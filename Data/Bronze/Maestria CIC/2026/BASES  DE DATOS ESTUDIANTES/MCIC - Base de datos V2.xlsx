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4.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updateLinks="always"/>
  <mc:AlternateContent xmlns:mc="http://schemas.openxmlformats.org/markup-compatibility/2006">
    <mc:Choice Requires="x15">
      <x15ac:absPath xmlns:x15ac="http://schemas.microsoft.com/office/spreadsheetml/2010/11/ac" url="https://udistritaleduco-my.sharepoint.com/personal/mcic_udistrital_edu_co/Documents/Maestria CIC/"/>
    </mc:Choice>
  </mc:AlternateContent>
  <xr:revisionPtr revIDLastSave="20" documentId="8_{2BA63D35-8198-4693-9253-62A7504A6CF4}" xr6:coauthVersionLast="47" xr6:coauthVersionMax="47" xr10:uidLastSave="{C2FD4894-4D86-491D-9FE0-1F32E36E8A84}"/>
  <bookViews>
    <workbookView xWindow="-120" yWindow="-120" windowWidth="29040" windowHeight="15720" firstSheet="2" activeTab="5" xr2:uid="{00000000-000D-0000-FFFF-FFFF00000000}"/>
  </bookViews>
  <sheets>
    <sheet name="Datos Personales" sheetId="2" r:id="rId1"/>
    <sheet name="Listas" sheetId="1" r:id="rId2"/>
    <sheet name="N-A Investigación" sheetId="13" r:id="rId3"/>
    <sheet name="N-A Profundizacion" sheetId="14" r:id="rId4"/>
    <sheet name="DIRECTOR - REVISOR - JURADO" sheetId="15" r:id="rId5"/>
    <sheet name="Pasantías" sheetId="11" r:id="rId6"/>
    <sheet name="Acuerdo Antiguo" sheetId="7" state="hidden" r:id="rId7"/>
    <sheet name="ESTADOS ESTUDIANTES" sheetId="16" r:id="rId8"/>
  </sheets>
  <definedNames>
    <definedName name="_xlnm._FilterDatabase" localSheetId="4" hidden="1">'DIRECTOR - REVISOR - JURADO'!$A$2:$I$2</definedName>
    <definedName name="_xlnm._FilterDatabase" localSheetId="7" hidden="1">'ESTADOS ESTUDIANTES'!$A$3:$S$3</definedName>
    <definedName name="_xlnm._FilterDatabase" localSheetId="2" hidden="1">'N-A Investigación'!$AG$233:$AG$233</definedName>
    <definedName name="_xlnm._FilterDatabase" localSheetId="5" hidden="1">Pasantías!$A$1:$AE$1</definedName>
  </definedNames>
  <calcPr calcId="191028"/>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2" i="13" l="1"/>
  <c r="B2" i="2"/>
  <c r="I180" i="13"/>
  <c r="B130" i="14" l="1"/>
  <c r="C130" i="14"/>
  <c r="D130" i="14"/>
  <c r="E130" i="14" s="1"/>
  <c r="F130" i="14"/>
  <c r="G130" i="14"/>
  <c r="H130" i="14"/>
  <c r="BC130" i="14" s="1"/>
  <c r="I130" i="14"/>
  <c r="S130" i="14"/>
  <c r="T130" i="14"/>
  <c r="AT130" i="14"/>
  <c r="C177" i="13"/>
  <c r="D177" i="13"/>
  <c r="E177" i="13" s="1"/>
  <c r="F177" i="13"/>
  <c r="G177" i="13"/>
  <c r="H177" i="13"/>
  <c r="BG177" i="13" s="1"/>
  <c r="I177" i="13"/>
  <c r="S177" i="13"/>
  <c r="T177" i="13"/>
  <c r="BC177" i="13"/>
  <c r="BD177" i="13" s="1"/>
  <c r="T2" i="14"/>
  <c r="T3" i="14"/>
  <c r="T4" i="14"/>
  <c r="T5" i="14"/>
  <c r="T7" i="14"/>
  <c r="T8" i="14"/>
  <c r="T9" i="14"/>
  <c r="T10" i="14"/>
  <c r="T12" i="14"/>
  <c r="T13" i="14"/>
  <c r="T17" i="14"/>
  <c r="T18" i="14"/>
  <c r="T19" i="14"/>
  <c r="T21" i="14"/>
  <c r="T23" i="14"/>
  <c r="T24" i="14"/>
  <c r="T28" i="14"/>
  <c r="T30" i="14"/>
  <c r="T34" i="14"/>
  <c r="T35" i="14"/>
  <c r="T37" i="14"/>
  <c r="T39" i="14"/>
  <c r="T40" i="14"/>
  <c r="T42" i="14"/>
  <c r="T43" i="14"/>
  <c r="T44" i="14"/>
  <c r="T45" i="14"/>
  <c r="T46" i="14"/>
  <c r="T48" i="14"/>
  <c r="T54" i="14"/>
  <c r="T55" i="14"/>
  <c r="T57" i="14"/>
  <c r="T58" i="14"/>
  <c r="T59" i="14"/>
  <c r="T60" i="14"/>
  <c r="T61" i="14"/>
  <c r="T62" i="14"/>
  <c r="T63" i="14"/>
  <c r="T64" i="14"/>
  <c r="T65" i="14"/>
  <c r="T67" i="14"/>
  <c r="T70" i="14"/>
  <c r="T73" i="14"/>
  <c r="T74" i="14"/>
  <c r="T76" i="14"/>
  <c r="T78" i="14"/>
  <c r="T79" i="14"/>
  <c r="T82" i="14"/>
  <c r="T83" i="14"/>
  <c r="T84" i="14"/>
  <c r="T85" i="14"/>
  <c r="T86" i="14"/>
  <c r="T87" i="14"/>
  <c r="T91" i="14"/>
  <c r="T92" i="14"/>
  <c r="T95" i="14"/>
  <c r="T97" i="14"/>
  <c r="T102" i="14"/>
  <c r="T104" i="14"/>
  <c r="T105" i="14"/>
  <c r="T106" i="14"/>
  <c r="T108" i="14"/>
  <c r="T111" i="14"/>
  <c r="T112" i="14"/>
  <c r="T113" i="14"/>
  <c r="T116" i="14"/>
  <c r="T117" i="14"/>
  <c r="T118" i="14"/>
  <c r="T121" i="14"/>
  <c r="T126" i="14"/>
  <c r="T127" i="14"/>
  <c r="T128" i="14"/>
  <c r="T129" i="14"/>
  <c r="T132" i="14"/>
  <c r="T133" i="14"/>
  <c r="T134" i="14"/>
  <c r="T135" i="14"/>
  <c r="T137" i="14"/>
  <c r="T139" i="14"/>
  <c r="T140" i="14"/>
  <c r="S2" i="14"/>
  <c r="S3" i="14"/>
  <c r="S4" i="14"/>
  <c r="S5" i="14"/>
  <c r="S6" i="14"/>
  <c r="T6" i="14" s="1"/>
  <c r="S7" i="14"/>
  <c r="S8" i="14"/>
  <c r="S9" i="14"/>
  <c r="S10" i="14"/>
  <c r="S11" i="14"/>
  <c r="T11" i="14" s="1"/>
  <c r="S12" i="14"/>
  <c r="S13" i="14"/>
  <c r="S14" i="14"/>
  <c r="T14" i="14" s="1"/>
  <c r="S15" i="14"/>
  <c r="T15" i="14" s="1"/>
  <c r="S16" i="14"/>
  <c r="T16" i="14" s="1"/>
  <c r="S17" i="14"/>
  <c r="S18" i="14"/>
  <c r="S19" i="14"/>
  <c r="S20" i="14"/>
  <c r="T20" i="14" s="1"/>
  <c r="S21" i="14"/>
  <c r="S22" i="14"/>
  <c r="T22" i="14" s="1"/>
  <c r="S23" i="14"/>
  <c r="S24" i="14"/>
  <c r="S25" i="14"/>
  <c r="T25" i="14" s="1"/>
  <c r="S26" i="14"/>
  <c r="T26" i="14" s="1"/>
  <c r="S27" i="14"/>
  <c r="T27" i="14" s="1"/>
  <c r="S28" i="14"/>
  <c r="S29" i="14"/>
  <c r="T29" i="14" s="1"/>
  <c r="S30" i="14"/>
  <c r="S31" i="14"/>
  <c r="T31" i="14" s="1"/>
  <c r="S32" i="14"/>
  <c r="T32" i="14" s="1"/>
  <c r="S33" i="14"/>
  <c r="T33" i="14" s="1"/>
  <c r="S34" i="14"/>
  <c r="S35" i="14"/>
  <c r="S36" i="14"/>
  <c r="T36" i="14" s="1"/>
  <c r="S37" i="14"/>
  <c r="S38" i="14"/>
  <c r="T38" i="14" s="1"/>
  <c r="S39" i="14"/>
  <c r="S40" i="14"/>
  <c r="S41" i="14"/>
  <c r="T41" i="14" s="1"/>
  <c r="S42" i="14"/>
  <c r="S43" i="14"/>
  <c r="S44" i="14"/>
  <c r="S45" i="14"/>
  <c r="S46" i="14"/>
  <c r="S47" i="14"/>
  <c r="T47" i="14" s="1"/>
  <c r="S48" i="14"/>
  <c r="S49" i="14"/>
  <c r="T49" i="14" s="1"/>
  <c r="S50" i="14"/>
  <c r="T50" i="14" s="1"/>
  <c r="S51" i="14"/>
  <c r="T51" i="14" s="1"/>
  <c r="S52" i="14"/>
  <c r="T52" i="14" s="1"/>
  <c r="S53" i="14"/>
  <c r="T53" i="14" s="1"/>
  <c r="S54" i="14"/>
  <c r="S55" i="14"/>
  <c r="S56" i="14"/>
  <c r="T56" i="14" s="1"/>
  <c r="S57" i="14"/>
  <c r="S58" i="14"/>
  <c r="S59" i="14"/>
  <c r="S60" i="14"/>
  <c r="S61" i="14"/>
  <c r="S62" i="14"/>
  <c r="S63" i="14"/>
  <c r="S64" i="14"/>
  <c r="S65" i="14"/>
  <c r="S66" i="14"/>
  <c r="T66" i="14" s="1"/>
  <c r="S67" i="14"/>
  <c r="S68" i="14"/>
  <c r="T68" i="14" s="1"/>
  <c r="S69" i="14"/>
  <c r="T69" i="14" s="1"/>
  <c r="S70" i="14"/>
  <c r="S71" i="14"/>
  <c r="T71" i="14" s="1"/>
  <c r="S72" i="14"/>
  <c r="T72" i="14" s="1"/>
  <c r="S73" i="14"/>
  <c r="S74" i="14"/>
  <c r="S75" i="14"/>
  <c r="T75" i="14" s="1"/>
  <c r="S76" i="14"/>
  <c r="S77" i="14"/>
  <c r="T77" i="14" s="1"/>
  <c r="S78" i="14"/>
  <c r="S79" i="14"/>
  <c r="S80" i="14"/>
  <c r="T80" i="14" s="1"/>
  <c r="S81" i="14"/>
  <c r="T81" i="14" s="1"/>
  <c r="S82" i="14"/>
  <c r="S83" i="14"/>
  <c r="S84" i="14"/>
  <c r="S85" i="14"/>
  <c r="S86" i="14"/>
  <c r="S87" i="14"/>
  <c r="S88" i="14"/>
  <c r="T88" i="14" s="1"/>
  <c r="S89" i="14"/>
  <c r="T89" i="14" s="1"/>
  <c r="S90" i="14"/>
  <c r="T90" i="14" s="1"/>
  <c r="S91" i="14"/>
  <c r="S92" i="14"/>
  <c r="S93" i="14"/>
  <c r="T93" i="14" s="1"/>
  <c r="S94" i="14"/>
  <c r="T94" i="14" s="1"/>
  <c r="S95" i="14"/>
  <c r="S96" i="14"/>
  <c r="T96" i="14" s="1"/>
  <c r="S97" i="14"/>
  <c r="S98" i="14"/>
  <c r="T98" i="14" s="1"/>
  <c r="S99" i="14"/>
  <c r="T99" i="14" s="1"/>
  <c r="S100" i="14"/>
  <c r="T100" i="14" s="1"/>
  <c r="S101" i="14"/>
  <c r="T101" i="14" s="1"/>
  <c r="S102" i="14"/>
  <c r="S103" i="14"/>
  <c r="T103" i="14" s="1"/>
  <c r="S104" i="14"/>
  <c r="S105" i="14"/>
  <c r="S106" i="14"/>
  <c r="S107" i="14"/>
  <c r="T107" i="14" s="1"/>
  <c r="S108" i="14"/>
  <c r="S109" i="14"/>
  <c r="T109" i="14" s="1"/>
  <c r="S110" i="14"/>
  <c r="T110" i="14" s="1"/>
  <c r="S111" i="14"/>
  <c r="S112" i="14"/>
  <c r="S113" i="14"/>
  <c r="S114" i="14"/>
  <c r="T114" i="14" s="1"/>
  <c r="S115" i="14"/>
  <c r="T115" i="14" s="1"/>
  <c r="S116" i="14"/>
  <c r="S117" i="14"/>
  <c r="S118" i="14"/>
  <c r="S119" i="14"/>
  <c r="T119" i="14" s="1"/>
  <c r="S120" i="14"/>
  <c r="T120" i="14" s="1"/>
  <c r="S121" i="14"/>
  <c r="S122" i="14"/>
  <c r="T122" i="14" s="1"/>
  <c r="S123" i="14"/>
  <c r="T123" i="14" s="1"/>
  <c r="S124" i="14"/>
  <c r="T124" i="14" s="1"/>
  <c r="S125" i="14"/>
  <c r="T125" i="14" s="1"/>
  <c r="S126" i="14"/>
  <c r="S127" i="14"/>
  <c r="S128" i="14"/>
  <c r="S129" i="14"/>
  <c r="S131" i="14"/>
  <c r="T131" i="14" s="1"/>
  <c r="S132" i="14"/>
  <c r="S133" i="14"/>
  <c r="S134" i="14"/>
  <c r="S135" i="14"/>
  <c r="S136" i="14"/>
  <c r="T136" i="14" s="1"/>
  <c r="S137" i="14"/>
  <c r="S138" i="14"/>
  <c r="T138" i="14" s="1"/>
  <c r="S139" i="14"/>
  <c r="S140" i="14"/>
  <c r="S141" i="14"/>
  <c r="T141" i="14" s="1"/>
  <c r="S142" i="14"/>
  <c r="T142" i="14" s="1"/>
  <c r="T2" i="13"/>
  <c r="T3" i="13"/>
  <c r="T6" i="13"/>
  <c r="T8" i="13"/>
  <c r="T9" i="13"/>
  <c r="T10" i="13"/>
  <c r="T11" i="13"/>
  <c r="T16" i="13"/>
  <c r="T21" i="13"/>
  <c r="T22" i="13"/>
  <c r="T23" i="13"/>
  <c r="T24" i="13"/>
  <c r="T27" i="13"/>
  <c r="T28" i="13"/>
  <c r="T30" i="13"/>
  <c r="T31" i="13"/>
  <c r="T38" i="13"/>
  <c r="T39" i="13"/>
  <c r="T42" i="13"/>
  <c r="T52" i="13"/>
  <c r="T55" i="13"/>
  <c r="T57" i="13"/>
  <c r="T62" i="13"/>
  <c r="T63" i="13"/>
  <c r="T65" i="13"/>
  <c r="T69" i="13"/>
  <c r="T70" i="13"/>
  <c r="T72" i="13"/>
  <c r="T74" i="13"/>
  <c r="T77" i="13"/>
  <c r="T78" i="13"/>
  <c r="T79" i="13"/>
  <c r="T82" i="13"/>
  <c r="T86" i="13"/>
  <c r="T95" i="13"/>
  <c r="T97" i="13"/>
  <c r="T101" i="13"/>
  <c r="T103" i="13"/>
  <c r="T106" i="13"/>
  <c r="T113" i="13"/>
  <c r="T119" i="13"/>
  <c r="T120" i="13"/>
  <c r="T121" i="13"/>
  <c r="T124" i="13"/>
  <c r="T125" i="13"/>
  <c r="T130" i="13"/>
  <c r="T131" i="13"/>
  <c r="T132" i="13"/>
  <c r="T133" i="13"/>
  <c r="T134" i="13"/>
  <c r="T135" i="13"/>
  <c r="T137" i="13"/>
  <c r="T141" i="13"/>
  <c r="T146" i="13"/>
  <c r="T149" i="13"/>
  <c r="T150" i="13"/>
  <c r="T153" i="13"/>
  <c r="T154" i="13"/>
  <c r="T160" i="13"/>
  <c r="T161" i="13"/>
  <c r="T163" i="13"/>
  <c r="T169" i="13"/>
  <c r="T175" i="13"/>
  <c r="T178" i="13"/>
  <c r="T179" i="13"/>
  <c r="T180" i="13"/>
  <c r="T181" i="13"/>
  <c r="T182" i="13"/>
  <c r="T183" i="13"/>
  <c r="T186" i="13"/>
  <c r="T187" i="13"/>
  <c r="T188" i="13"/>
  <c r="T189" i="13"/>
  <c r="T190" i="13"/>
  <c r="T191" i="13"/>
  <c r="T192" i="13"/>
  <c r="T193" i="13"/>
  <c r="T194" i="13"/>
  <c r="T195" i="13"/>
  <c r="T197" i="13"/>
  <c r="T198" i="13"/>
  <c r="T199" i="13"/>
  <c r="T200" i="13"/>
  <c r="T201" i="13"/>
  <c r="T202" i="13"/>
  <c r="T203" i="13"/>
  <c r="T204" i="13"/>
  <c r="T205" i="13"/>
  <c r="T206" i="13"/>
  <c r="T207" i="13"/>
  <c r="T208" i="13"/>
  <c r="T209" i="13"/>
  <c r="T210" i="13"/>
  <c r="T211" i="13"/>
  <c r="T212" i="13"/>
  <c r="T213" i="13"/>
  <c r="T214" i="13"/>
  <c r="T215" i="13"/>
  <c r="T216" i="13"/>
  <c r="T217" i="13"/>
  <c r="T218" i="13"/>
  <c r="T219" i="13"/>
  <c r="T220" i="13"/>
  <c r="T221" i="13"/>
  <c r="T222" i="13"/>
  <c r="T223" i="13"/>
  <c r="T224" i="13"/>
  <c r="T225" i="13"/>
  <c r="T226" i="13"/>
  <c r="T227" i="13"/>
  <c r="T228" i="13"/>
  <c r="T229" i="13"/>
  <c r="T230" i="13"/>
  <c r="T231" i="13"/>
  <c r="S2" i="13"/>
  <c r="S3" i="13"/>
  <c r="S4" i="13"/>
  <c r="T4" i="13" s="1"/>
  <c r="S5" i="13"/>
  <c r="T5" i="13" s="1"/>
  <c r="S6" i="13"/>
  <c r="S7" i="13"/>
  <c r="T7" i="13" s="1"/>
  <c r="S8" i="13"/>
  <c r="S9" i="13"/>
  <c r="S10" i="13"/>
  <c r="S11" i="13"/>
  <c r="S12" i="13"/>
  <c r="T12" i="13" s="1"/>
  <c r="S13" i="13"/>
  <c r="T13" i="13" s="1"/>
  <c r="S14" i="13"/>
  <c r="T14" i="13" s="1"/>
  <c r="S15" i="13"/>
  <c r="T15" i="13" s="1"/>
  <c r="S16" i="13"/>
  <c r="S17" i="13"/>
  <c r="T17" i="13" s="1"/>
  <c r="S18" i="13"/>
  <c r="T18" i="13" s="1"/>
  <c r="S19" i="13"/>
  <c r="T19" i="13" s="1"/>
  <c r="S20" i="13"/>
  <c r="T20" i="13" s="1"/>
  <c r="S21" i="13"/>
  <c r="S22" i="13"/>
  <c r="S23" i="13"/>
  <c r="S24" i="13"/>
  <c r="S25" i="13"/>
  <c r="T25" i="13" s="1"/>
  <c r="S26" i="13"/>
  <c r="T26" i="13" s="1"/>
  <c r="S27" i="13"/>
  <c r="S28" i="13"/>
  <c r="S29" i="13"/>
  <c r="T29" i="13" s="1"/>
  <c r="S30" i="13"/>
  <c r="S31" i="13"/>
  <c r="S32" i="13"/>
  <c r="T32" i="13" s="1"/>
  <c r="S33" i="13"/>
  <c r="T33" i="13" s="1"/>
  <c r="S34" i="13"/>
  <c r="T34" i="13" s="1"/>
  <c r="S35" i="13"/>
  <c r="T35" i="13" s="1"/>
  <c r="S36" i="13"/>
  <c r="T36" i="13" s="1"/>
  <c r="S37" i="13"/>
  <c r="T37" i="13" s="1"/>
  <c r="S38" i="13"/>
  <c r="S39" i="13"/>
  <c r="S40" i="13"/>
  <c r="T40" i="13" s="1"/>
  <c r="S41" i="13"/>
  <c r="T41" i="13" s="1"/>
  <c r="S42" i="13"/>
  <c r="S43" i="13"/>
  <c r="T43" i="13" s="1"/>
  <c r="S44" i="13"/>
  <c r="T44" i="13" s="1"/>
  <c r="S45" i="13"/>
  <c r="T45" i="13" s="1"/>
  <c r="S46" i="13"/>
  <c r="T46" i="13" s="1"/>
  <c r="S47" i="13"/>
  <c r="T47" i="13" s="1"/>
  <c r="S48" i="13"/>
  <c r="T48" i="13" s="1"/>
  <c r="S49" i="13"/>
  <c r="T49" i="13" s="1"/>
  <c r="S50" i="13"/>
  <c r="T50" i="13" s="1"/>
  <c r="S51" i="13"/>
  <c r="T51" i="13" s="1"/>
  <c r="S52" i="13"/>
  <c r="S53" i="13"/>
  <c r="T53" i="13" s="1"/>
  <c r="S54" i="13"/>
  <c r="T54" i="13" s="1"/>
  <c r="S55" i="13"/>
  <c r="S56" i="13"/>
  <c r="T56" i="13" s="1"/>
  <c r="S57" i="13"/>
  <c r="S58" i="13"/>
  <c r="T58" i="13" s="1"/>
  <c r="S59" i="13"/>
  <c r="T59" i="13" s="1"/>
  <c r="S60" i="13"/>
  <c r="T60" i="13" s="1"/>
  <c r="S61" i="13"/>
  <c r="T61" i="13" s="1"/>
  <c r="S62" i="13"/>
  <c r="S63" i="13"/>
  <c r="S64" i="13"/>
  <c r="T64" i="13" s="1"/>
  <c r="S65" i="13"/>
  <c r="S66" i="13"/>
  <c r="T66" i="13" s="1"/>
  <c r="S67" i="13"/>
  <c r="T67" i="13" s="1"/>
  <c r="S68" i="13"/>
  <c r="T68" i="13" s="1"/>
  <c r="S69" i="13"/>
  <c r="S70" i="13"/>
  <c r="S71" i="13"/>
  <c r="T71" i="13" s="1"/>
  <c r="S72" i="13"/>
  <c r="S73" i="13"/>
  <c r="T73" i="13" s="1"/>
  <c r="S74" i="13"/>
  <c r="S75" i="13"/>
  <c r="T75" i="13" s="1"/>
  <c r="S76" i="13"/>
  <c r="T76" i="13" s="1"/>
  <c r="S77" i="13"/>
  <c r="S78" i="13"/>
  <c r="S79" i="13"/>
  <c r="S80" i="13"/>
  <c r="T80" i="13" s="1"/>
  <c r="S81" i="13"/>
  <c r="T81" i="13" s="1"/>
  <c r="S82" i="13"/>
  <c r="S83" i="13"/>
  <c r="T83" i="13" s="1"/>
  <c r="S84" i="13"/>
  <c r="T84" i="13" s="1"/>
  <c r="S85" i="13"/>
  <c r="T85" i="13" s="1"/>
  <c r="S86" i="13"/>
  <c r="S87" i="13"/>
  <c r="T87" i="13" s="1"/>
  <c r="S88" i="13"/>
  <c r="T88" i="13" s="1"/>
  <c r="S89" i="13"/>
  <c r="T89" i="13" s="1"/>
  <c r="S90" i="13"/>
  <c r="T90" i="13" s="1"/>
  <c r="S91" i="13"/>
  <c r="T91" i="13" s="1"/>
  <c r="S92" i="13"/>
  <c r="T92" i="13" s="1"/>
  <c r="S93" i="13"/>
  <c r="T93" i="13" s="1"/>
  <c r="S94" i="13"/>
  <c r="T94" i="13" s="1"/>
  <c r="S95" i="13"/>
  <c r="S96" i="13"/>
  <c r="T96" i="13" s="1"/>
  <c r="S97" i="13"/>
  <c r="S98" i="13"/>
  <c r="T98" i="13" s="1"/>
  <c r="S99" i="13"/>
  <c r="T99" i="13" s="1"/>
  <c r="S100" i="13"/>
  <c r="T100" i="13" s="1"/>
  <c r="S101" i="13"/>
  <c r="S102" i="13"/>
  <c r="T102" i="13" s="1"/>
  <c r="S103" i="13"/>
  <c r="S104" i="13"/>
  <c r="S105" i="13"/>
  <c r="T105" i="13" s="1"/>
  <c r="S106" i="13"/>
  <c r="S107" i="13"/>
  <c r="T107" i="13" s="1"/>
  <c r="S108" i="13"/>
  <c r="T108" i="13" s="1"/>
  <c r="S109" i="13"/>
  <c r="T109" i="13" s="1"/>
  <c r="S110" i="13"/>
  <c r="T110" i="13" s="1"/>
  <c r="S111" i="13"/>
  <c r="T111" i="13" s="1"/>
  <c r="S112" i="13"/>
  <c r="T112" i="13" s="1"/>
  <c r="S113" i="13"/>
  <c r="S114" i="13"/>
  <c r="T114" i="13" s="1"/>
  <c r="S115" i="13"/>
  <c r="T115" i="13" s="1"/>
  <c r="S116" i="13"/>
  <c r="T116" i="13" s="1"/>
  <c r="S117" i="13"/>
  <c r="T117" i="13" s="1"/>
  <c r="S118" i="13"/>
  <c r="T118" i="13" s="1"/>
  <c r="S119" i="13"/>
  <c r="S120" i="13"/>
  <c r="S121" i="13"/>
  <c r="S122" i="13"/>
  <c r="T122" i="13" s="1"/>
  <c r="S123" i="13"/>
  <c r="T123" i="13" s="1"/>
  <c r="S124" i="13"/>
  <c r="S125" i="13"/>
  <c r="S126" i="13"/>
  <c r="T126" i="13" s="1"/>
  <c r="S127" i="13"/>
  <c r="T127" i="13" s="1"/>
  <c r="S128" i="13"/>
  <c r="T128" i="13" s="1"/>
  <c r="S129" i="13"/>
  <c r="T129" i="13" s="1"/>
  <c r="S130" i="13"/>
  <c r="S131" i="13"/>
  <c r="S132" i="13"/>
  <c r="S133" i="13"/>
  <c r="S134" i="13"/>
  <c r="S135" i="13"/>
  <c r="S136" i="13"/>
  <c r="T136" i="13" s="1"/>
  <c r="S137" i="13"/>
  <c r="S138" i="13"/>
  <c r="T138" i="13" s="1"/>
  <c r="S139" i="13"/>
  <c r="T139" i="13" s="1"/>
  <c r="S140" i="13"/>
  <c r="T140" i="13" s="1"/>
  <c r="S141" i="13"/>
  <c r="S142" i="13"/>
  <c r="T142" i="13" s="1"/>
  <c r="S143" i="13"/>
  <c r="T143" i="13" s="1"/>
  <c r="S144" i="13"/>
  <c r="T144" i="13" s="1"/>
  <c r="S145" i="13"/>
  <c r="T145" i="13" s="1"/>
  <c r="S146" i="13"/>
  <c r="S147" i="13"/>
  <c r="T147" i="13" s="1"/>
  <c r="S148" i="13"/>
  <c r="T148" i="13" s="1"/>
  <c r="S149" i="13"/>
  <c r="S150" i="13"/>
  <c r="S151" i="13"/>
  <c r="T151" i="13" s="1"/>
  <c r="S152" i="13"/>
  <c r="T152" i="13" s="1"/>
  <c r="S153" i="13"/>
  <c r="S154" i="13"/>
  <c r="S155" i="13"/>
  <c r="T155" i="13" s="1"/>
  <c r="S156" i="13"/>
  <c r="T156" i="13" s="1"/>
  <c r="S157" i="13"/>
  <c r="T157" i="13" s="1"/>
  <c r="S158" i="13"/>
  <c r="T158" i="13" s="1"/>
  <c r="S159" i="13"/>
  <c r="T159" i="13" s="1"/>
  <c r="S160" i="13"/>
  <c r="S161" i="13"/>
  <c r="S162" i="13"/>
  <c r="T162" i="13" s="1"/>
  <c r="S163" i="13"/>
  <c r="S164" i="13"/>
  <c r="T164" i="13" s="1"/>
  <c r="S165" i="13"/>
  <c r="T165" i="13" s="1"/>
  <c r="S166" i="13"/>
  <c r="T166" i="13" s="1"/>
  <c r="S167" i="13"/>
  <c r="T167" i="13" s="1"/>
  <c r="S168" i="13"/>
  <c r="T168" i="13" s="1"/>
  <c r="S169" i="13"/>
  <c r="S170" i="13"/>
  <c r="T170" i="13" s="1"/>
  <c r="S171" i="13"/>
  <c r="T171" i="13" s="1"/>
  <c r="S172" i="13"/>
  <c r="T172" i="13" s="1"/>
  <c r="S173" i="13"/>
  <c r="T173" i="13" s="1"/>
  <c r="S174" i="13"/>
  <c r="T174" i="13" s="1"/>
  <c r="S175" i="13"/>
  <c r="S176" i="13"/>
  <c r="T176" i="13" s="1"/>
  <c r="S178" i="13"/>
  <c r="S179" i="13"/>
  <c r="S180" i="13"/>
  <c r="S181" i="13"/>
  <c r="S182" i="13"/>
  <c r="S183" i="13"/>
  <c r="S184" i="13"/>
  <c r="T184" i="13" s="1"/>
  <c r="S185" i="13"/>
  <c r="T185" i="13" s="1"/>
  <c r="S186" i="13"/>
  <c r="S187" i="13"/>
  <c r="S188" i="13"/>
  <c r="S189" i="13"/>
  <c r="S190" i="13"/>
  <c r="S191" i="13"/>
  <c r="S192" i="13"/>
  <c r="S193" i="13"/>
  <c r="S194" i="13"/>
  <c r="S195" i="13"/>
  <c r="S196" i="13"/>
  <c r="T196" i="13" s="1"/>
  <c r="S197" i="13"/>
  <c r="S198" i="13"/>
  <c r="S199" i="13"/>
  <c r="S200" i="13"/>
  <c r="S201" i="13"/>
  <c r="S202" i="13"/>
  <c r="S203" i="13"/>
  <c r="S204" i="13"/>
  <c r="S205" i="13"/>
  <c r="S206" i="13"/>
  <c r="S207" i="13"/>
  <c r="S208" i="13"/>
  <c r="S209" i="13"/>
  <c r="S210" i="13"/>
  <c r="S211" i="13"/>
  <c r="S212" i="13"/>
  <c r="S213" i="13"/>
  <c r="S214" i="13"/>
  <c r="S215" i="13"/>
  <c r="S216" i="13"/>
  <c r="S217" i="13"/>
  <c r="S218" i="13"/>
  <c r="S219" i="13"/>
  <c r="S220" i="13"/>
  <c r="S221" i="13"/>
  <c r="S222" i="13"/>
  <c r="S223" i="13"/>
  <c r="S224" i="13"/>
  <c r="S225" i="13"/>
  <c r="S226" i="13"/>
  <c r="S227" i="13"/>
  <c r="S228" i="13"/>
  <c r="S229" i="13"/>
  <c r="S230" i="13"/>
  <c r="S231" i="13"/>
  <c r="E198" i="13"/>
  <c r="E199" i="13"/>
  <c r="E200" i="13"/>
  <c r="E201" i="13"/>
  <c r="E202" i="13"/>
  <c r="E203" i="13"/>
  <c r="E204" i="13"/>
  <c r="E205" i="13"/>
  <c r="E206" i="13"/>
  <c r="E207" i="13"/>
  <c r="E208" i="13"/>
  <c r="E209" i="13"/>
  <c r="E210" i="13"/>
  <c r="E211" i="13"/>
  <c r="E212" i="13"/>
  <c r="E213" i="13"/>
  <c r="E214" i="13"/>
  <c r="E215" i="13"/>
  <c r="E216" i="13"/>
  <c r="E217" i="13"/>
  <c r="E218" i="13"/>
  <c r="E219" i="13"/>
  <c r="E220" i="13"/>
  <c r="E221" i="13"/>
  <c r="E222" i="13"/>
  <c r="E223" i="13"/>
  <c r="E224" i="13"/>
  <c r="E225" i="13"/>
  <c r="E226" i="13"/>
  <c r="E227" i="13"/>
  <c r="E228" i="13"/>
  <c r="E229" i="13"/>
  <c r="E230" i="13"/>
  <c r="E231" i="13"/>
  <c r="B142" i="14" l="1"/>
  <c r="C142" i="14"/>
  <c r="D142" i="14"/>
  <c r="E142" i="14" s="1"/>
  <c r="F142" i="14"/>
  <c r="G142" i="14"/>
  <c r="H142" i="14"/>
  <c r="BC142" i="14" s="1"/>
  <c r="I142" i="14"/>
  <c r="AT142" i="14"/>
  <c r="C158" i="13"/>
  <c r="I158" i="13"/>
  <c r="BC158" i="13"/>
  <c r="BD158" i="13" s="1"/>
  <c r="F2" i="11"/>
  <c r="E2" i="11"/>
  <c r="F38" i="11"/>
  <c r="B36" i="11"/>
  <c r="I141" i="14"/>
  <c r="I140" i="14"/>
  <c r="I139" i="14"/>
  <c r="I138" i="14"/>
  <c r="I137" i="14"/>
  <c r="I136" i="14"/>
  <c r="I135" i="14"/>
  <c r="I134" i="14"/>
  <c r="I133" i="14"/>
  <c r="I132" i="14"/>
  <c r="I131" i="14"/>
  <c r="I129" i="14"/>
  <c r="I128" i="14"/>
  <c r="I127" i="14"/>
  <c r="I126" i="14"/>
  <c r="I125" i="14"/>
  <c r="I124" i="14"/>
  <c r="I123" i="14"/>
  <c r="I122" i="14"/>
  <c r="I121" i="14"/>
  <c r="I120" i="14"/>
  <c r="I119" i="14"/>
  <c r="I118" i="14"/>
  <c r="I117" i="14"/>
  <c r="I116" i="14"/>
  <c r="I115" i="14"/>
  <c r="I114" i="14"/>
  <c r="I113" i="14"/>
  <c r="I112" i="14"/>
  <c r="I111" i="14"/>
  <c r="I110" i="14"/>
  <c r="I109" i="14"/>
  <c r="I108" i="14"/>
  <c r="I107" i="14"/>
  <c r="I106" i="14"/>
  <c r="I105" i="14"/>
  <c r="I104" i="14"/>
  <c r="I103" i="14"/>
  <c r="I102" i="14"/>
  <c r="I101" i="14"/>
  <c r="I100" i="14"/>
  <c r="I99" i="14"/>
  <c r="I98" i="14"/>
  <c r="I97" i="14"/>
  <c r="I96" i="14"/>
  <c r="I95" i="14"/>
  <c r="I94" i="14"/>
  <c r="I93" i="14"/>
  <c r="I92" i="14"/>
  <c r="I91" i="14"/>
  <c r="I90" i="14"/>
  <c r="I89" i="14"/>
  <c r="I88" i="14"/>
  <c r="I87" i="14"/>
  <c r="I86" i="14"/>
  <c r="I85" i="14"/>
  <c r="I84" i="14"/>
  <c r="I83" i="14"/>
  <c r="I82" i="14"/>
  <c r="I81" i="14"/>
  <c r="I80" i="14"/>
  <c r="I79" i="14"/>
  <c r="I78" i="14"/>
  <c r="I77" i="14"/>
  <c r="I76" i="14"/>
  <c r="I75" i="14"/>
  <c r="I74" i="14"/>
  <c r="I73" i="14"/>
  <c r="I72" i="14"/>
  <c r="I71" i="14"/>
  <c r="I70" i="14"/>
  <c r="I69" i="14"/>
  <c r="I68" i="14"/>
  <c r="I67" i="14"/>
  <c r="I66" i="14"/>
  <c r="I65" i="14"/>
  <c r="I64" i="14"/>
  <c r="I63" i="14"/>
  <c r="I62" i="14"/>
  <c r="I61" i="14"/>
  <c r="I60" i="14"/>
  <c r="I59" i="14"/>
  <c r="I58" i="14"/>
  <c r="I57" i="14"/>
  <c r="I56" i="14"/>
  <c r="I55" i="14"/>
  <c r="I54" i="14"/>
  <c r="I53" i="14"/>
  <c r="I52" i="14"/>
  <c r="I51" i="14"/>
  <c r="I50" i="14"/>
  <c r="I49" i="14"/>
  <c r="I48" i="14"/>
  <c r="I47" i="14"/>
  <c r="I46" i="14"/>
  <c r="I45" i="14"/>
  <c r="I44" i="14"/>
  <c r="I43" i="14"/>
  <c r="I42" i="14"/>
  <c r="I41" i="14"/>
  <c r="I40" i="14"/>
  <c r="I39" i="14"/>
  <c r="I38" i="14"/>
  <c r="I37" i="14"/>
  <c r="I36" i="14"/>
  <c r="I35" i="14"/>
  <c r="I34" i="14"/>
  <c r="I33" i="14"/>
  <c r="I32" i="14"/>
  <c r="I31" i="14"/>
  <c r="I30" i="14"/>
  <c r="I29" i="14"/>
  <c r="I28" i="14"/>
  <c r="I27" i="14"/>
  <c r="I26" i="14"/>
  <c r="I25" i="14"/>
  <c r="I24" i="14"/>
  <c r="I23" i="14"/>
  <c r="I22" i="14"/>
  <c r="I21" i="14"/>
  <c r="I20" i="14"/>
  <c r="I19" i="14"/>
  <c r="I18" i="14"/>
  <c r="I17" i="14"/>
  <c r="I16" i="14"/>
  <c r="I15" i="14"/>
  <c r="I14" i="14"/>
  <c r="I13" i="14"/>
  <c r="I12" i="14"/>
  <c r="I11" i="14"/>
  <c r="I10" i="14"/>
  <c r="I9" i="14"/>
  <c r="I8" i="14"/>
  <c r="I7" i="14"/>
  <c r="I6" i="14"/>
  <c r="I5" i="14"/>
  <c r="I4" i="14"/>
  <c r="I3" i="14"/>
  <c r="I2" i="14"/>
  <c r="I43" i="13"/>
  <c r="I3" i="13"/>
  <c r="I4" i="13"/>
  <c r="I5" i="13"/>
  <c r="I6" i="1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35" i="13"/>
  <c r="I36" i="13"/>
  <c r="I37" i="13"/>
  <c r="I38" i="13"/>
  <c r="I39" i="13"/>
  <c r="I40" i="13"/>
  <c r="I41" i="13"/>
  <c r="I42" i="13"/>
  <c r="I44" i="13"/>
  <c r="I45" i="13"/>
  <c r="I46" i="13"/>
  <c r="I47" i="13"/>
  <c r="I48" i="13"/>
  <c r="I49" i="13"/>
  <c r="I50" i="13"/>
  <c r="I51" i="13"/>
  <c r="I52" i="13"/>
  <c r="I53" i="13"/>
  <c r="I54" i="13"/>
  <c r="I55" i="13"/>
  <c r="I56" i="13"/>
  <c r="I57" i="13"/>
  <c r="I58" i="13"/>
  <c r="I59" i="13"/>
  <c r="I60" i="13"/>
  <c r="I61" i="13"/>
  <c r="I62" i="13"/>
  <c r="I63" i="13"/>
  <c r="I64" i="13"/>
  <c r="I65" i="13"/>
  <c r="I66" i="13"/>
  <c r="I67" i="13"/>
  <c r="I68" i="13"/>
  <c r="I69" i="13"/>
  <c r="I70" i="13"/>
  <c r="I71" i="13"/>
  <c r="I72" i="13"/>
  <c r="I73" i="13"/>
  <c r="I74" i="13"/>
  <c r="I75" i="13"/>
  <c r="I76" i="13"/>
  <c r="I77" i="13"/>
  <c r="I78" i="13"/>
  <c r="I79" i="13"/>
  <c r="I80" i="13"/>
  <c r="I81" i="13"/>
  <c r="I82" i="13"/>
  <c r="I83" i="13"/>
  <c r="I84" i="13"/>
  <c r="I85" i="13"/>
  <c r="I86" i="13"/>
  <c r="I87" i="13"/>
  <c r="I88" i="13"/>
  <c r="I89" i="13"/>
  <c r="I90" i="13"/>
  <c r="I91" i="13"/>
  <c r="I92" i="13"/>
  <c r="I93" i="13"/>
  <c r="I94" i="13"/>
  <c r="I95" i="13"/>
  <c r="I96" i="13"/>
  <c r="I97" i="13"/>
  <c r="I98" i="13"/>
  <c r="I99" i="13"/>
  <c r="I100" i="13"/>
  <c r="I101" i="13"/>
  <c r="I102" i="13"/>
  <c r="I103" i="13"/>
  <c r="I104" i="13"/>
  <c r="I105" i="13"/>
  <c r="I106" i="13"/>
  <c r="I107" i="13"/>
  <c r="I108" i="13"/>
  <c r="I109" i="13"/>
  <c r="I110" i="13"/>
  <c r="I111" i="13"/>
  <c r="I112" i="13"/>
  <c r="I113" i="13"/>
  <c r="I114" i="13"/>
  <c r="I115" i="13"/>
  <c r="I116" i="13"/>
  <c r="I117" i="13"/>
  <c r="I118" i="13"/>
  <c r="I119" i="13"/>
  <c r="I120" i="13"/>
  <c r="I121" i="13"/>
  <c r="I122" i="13"/>
  <c r="I123" i="13"/>
  <c r="I124" i="13"/>
  <c r="I125" i="13"/>
  <c r="I126" i="13"/>
  <c r="I127" i="13"/>
  <c r="I128" i="13"/>
  <c r="I129" i="13"/>
  <c r="I130" i="13"/>
  <c r="I131" i="13"/>
  <c r="I132" i="13"/>
  <c r="I133" i="13"/>
  <c r="I134" i="13"/>
  <c r="I135" i="13"/>
  <c r="I136" i="13"/>
  <c r="I137" i="13"/>
  <c r="I138" i="13"/>
  <c r="I139" i="13"/>
  <c r="I140" i="13"/>
  <c r="I141" i="13"/>
  <c r="I142" i="13"/>
  <c r="I143" i="13"/>
  <c r="I144" i="13"/>
  <c r="I145" i="13"/>
  <c r="I146" i="13"/>
  <c r="I147" i="13"/>
  <c r="I148" i="13"/>
  <c r="I149" i="13"/>
  <c r="I150" i="13"/>
  <c r="I151" i="13"/>
  <c r="I152" i="13"/>
  <c r="I153" i="13"/>
  <c r="I154" i="13"/>
  <c r="I155" i="13"/>
  <c r="I156" i="13"/>
  <c r="I157" i="13"/>
  <c r="I159" i="13"/>
  <c r="I160" i="13"/>
  <c r="I161" i="13"/>
  <c r="I162" i="13"/>
  <c r="I163" i="13"/>
  <c r="I164" i="13"/>
  <c r="I165" i="13"/>
  <c r="I166" i="13"/>
  <c r="I167" i="13"/>
  <c r="I168" i="13"/>
  <c r="I169" i="13"/>
  <c r="I170" i="13"/>
  <c r="I171" i="13"/>
  <c r="I172" i="13"/>
  <c r="I173" i="13"/>
  <c r="I174" i="13"/>
  <c r="I175" i="13"/>
  <c r="I176" i="13"/>
  <c r="I178" i="13"/>
  <c r="I179" i="13"/>
  <c r="I181" i="13"/>
  <c r="I182" i="13"/>
  <c r="I183" i="13"/>
  <c r="I184" i="13"/>
  <c r="I185" i="13"/>
  <c r="I186" i="13"/>
  <c r="I187" i="13"/>
  <c r="I188" i="13"/>
  <c r="I189" i="13"/>
  <c r="I190" i="13"/>
  <c r="I191" i="13"/>
  <c r="I192" i="13"/>
  <c r="I193" i="13"/>
  <c r="I194" i="13"/>
  <c r="I195" i="13"/>
  <c r="I196" i="13"/>
  <c r="I197" i="13"/>
  <c r="F39" i="11"/>
  <c r="E39" i="11"/>
  <c r="C39" i="11"/>
  <c r="C37" i="11"/>
  <c r="C38" i="11"/>
  <c r="E38" i="11"/>
  <c r="D1122" i="2"/>
  <c r="AJ54" i="13" l="1"/>
  <c r="AJ55" i="13"/>
  <c r="AJ56" i="13"/>
  <c r="AJ57" i="13"/>
  <c r="AJ58" i="13"/>
  <c r="AJ59" i="13"/>
  <c r="AJ60" i="13"/>
  <c r="AJ61" i="13"/>
  <c r="BC91" i="13"/>
  <c r="BD91" i="13" s="1"/>
  <c r="C91" i="13"/>
  <c r="B122" i="14"/>
  <c r="G1045" i="2"/>
  <c r="F99" i="14"/>
  <c r="F131" i="14"/>
  <c r="F31" i="14"/>
  <c r="AT141" i="14"/>
  <c r="AT125" i="14"/>
  <c r="AT122" i="14"/>
  <c r="O38" i="14"/>
  <c r="O53" i="14"/>
  <c r="O103" i="14"/>
  <c r="B99" i="14"/>
  <c r="B141" i="14"/>
  <c r="C141" i="14"/>
  <c r="D141" i="14"/>
  <c r="E141" i="14" s="1"/>
  <c r="F141" i="14"/>
  <c r="G141" i="14"/>
  <c r="H141" i="14"/>
  <c r="BC141" i="14" s="1"/>
  <c r="B969" i="2"/>
  <c r="C54" i="13"/>
  <c r="B956" i="2"/>
  <c r="C956" i="2"/>
  <c r="D956" i="2"/>
  <c r="E956" i="2"/>
  <c r="F956" i="2" s="1"/>
  <c r="G956" i="2"/>
  <c r="H956" i="2"/>
  <c r="I956" i="2"/>
  <c r="J956" i="2"/>
  <c r="K956" i="2"/>
  <c r="C969" i="2"/>
  <c r="D969" i="2"/>
  <c r="E969" i="2"/>
  <c r="F969" i="2" s="1"/>
  <c r="G969" i="2"/>
  <c r="H969" i="2"/>
  <c r="I969" i="2"/>
  <c r="G43" i="13" s="1"/>
  <c r="J969" i="2"/>
  <c r="K969" i="2"/>
  <c r="C112" i="13" l="1"/>
  <c r="E37" i="11"/>
  <c r="F37" i="11"/>
  <c r="B312" i="7"/>
  <c r="C319" i="7"/>
  <c r="D31" i="14"/>
  <c r="E31" i="14" s="1"/>
  <c r="F107" i="14"/>
  <c r="C48" i="13"/>
  <c r="BC48" i="13"/>
  <c r="BB196" i="13"/>
  <c r="BB191" i="13"/>
  <c r="BB187" i="13"/>
  <c r="BB185" i="13"/>
  <c r="BB178" i="13"/>
  <c r="BB166" i="13"/>
  <c r="BB165" i="13"/>
  <c r="BB162" i="13"/>
  <c r="BB46" i="13"/>
  <c r="BB45" i="13"/>
  <c r="BC45" i="13" s="1"/>
  <c r="BD45" i="13" s="1"/>
  <c r="BB44" i="13"/>
  <c r="BB43" i="13"/>
  <c r="BC43" i="13" s="1"/>
  <c r="BD43" i="13" s="1"/>
  <c r="BB42" i="13"/>
  <c r="BB41" i="13"/>
  <c r="BB47" i="13"/>
  <c r="BB50" i="13"/>
  <c r="BB56" i="13"/>
  <c r="BC56" i="13" s="1"/>
  <c r="BD56" i="13" s="1"/>
  <c r="BB54" i="13"/>
  <c r="BC54" i="13" s="1"/>
  <c r="BD54" i="13" s="1"/>
  <c r="BB58" i="13"/>
  <c r="BC58" i="13" s="1"/>
  <c r="BB59" i="13"/>
  <c r="BC59" i="13" s="1"/>
  <c r="BD59" i="13" s="1"/>
  <c r="BB61" i="13"/>
  <c r="BC61" i="13" s="1"/>
  <c r="BD61" i="13" s="1"/>
  <c r="BB64" i="13"/>
  <c r="BB67" i="13"/>
  <c r="BB71" i="13"/>
  <c r="BB75" i="13"/>
  <c r="BB81" i="13"/>
  <c r="BB88" i="13"/>
  <c r="BB84" i="13"/>
  <c r="BB90" i="13"/>
  <c r="BB92" i="13"/>
  <c r="BB96" i="13"/>
  <c r="BB104" i="13"/>
  <c r="BB102" i="13"/>
  <c r="BB99" i="13"/>
  <c r="BB105" i="13"/>
  <c r="BB108" i="13"/>
  <c r="BB109" i="13"/>
  <c r="BB112" i="13"/>
  <c r="BB110" i="13"/>
  <c r="BB115" i="13"/>
  <c r="BB114" i="13"/>
  <c r="BB122" i="13"/>
  <c r="BB128" i="13"/>
  <c r="BB126" i="13"/>
  <c r="BB123" i="13"/>
  <c r="BB129" i="13"/>
  <c r="BB130" i="13"/>
  <c r="BB139" i="13"/>
  <c r="BB144" i="13"/>
  <c r="BB148" i="13"/>
  <c r="C45" i="13"/>
  <c r="C43" i="13"/>
  <c r="G36" i="14"/>
  <c r="C1090" i="2"/>
  <c r="C103" i="14"/>
  <c r="C56" i="13"/>
  <c r="F103" i="14"/>
  <c r="C98" i="14"/>
  <c r="B50" i="14"/>
  <c r="AJ8" i="13"/>
  <c r="AK8" i="13" s="1"/>
  <c r="AJ9" i="13"/>
  <c r="AK9" i="13" s="1"/>
  <c r="AJ10" i="13"/>
  <c r="AK10" i="13" s="1"/>
  <c r="AJ11" i="13"/>
  <c r="AK11" i="13" s="1"/>
  <c r="AJ12" i="13"/>
  <c r="AJ13" i="13"/>
  <c r="AK13" i="13" s="1"/>
  <c r="AJ14" i="13"/>
  <c r="AK14" i="13" s="1"/>
  <c r="AJ15" i="13"/>
  <c r="AK15" i="13" s="1"/>
  <c r="AJ16" i="13"/>
  <c r="AK16" i="13" s="1"/>
  <c r="AJ17" i="13"/>
  <c r="AK17" i="13" s="1"/>
  <c r="AJ18" i="13"/>
  <c r="AJ19" i="13"/>
  <c r="AJ20" i="13"/>
  <c r="AJ21" i="13"/>
  <c r="AK21" i="13" s="1"/>
  <c r="AJ22" i="13"/>
  <c r="AK22" i="13" s="1"/>
  <c r="AJ23" i="13"/>
  <c r="AK23" i="13" s="1"/>
  <c r="AJ24" i="13"/>
  <c r="AJ25" i="13"/>
  <c r="AJ26" i="13"/>
  <c r="AJ27" i="13"/>
  <c r="AJ28" i="13"/>
  <c r="AJ29" i="13"/>
  <c r="BC29" i="13" s="1"/>
  <c r="AJ30" i="13"/>
  <c r="AK30" i="13" s="1"/>
  <c r="AJ31" i="13"/>
  <c r="AK31" i="13" s="1"/>
  <c r="AJ32" i="13"/>
  <c r="AK32" i="13" s="1"/>
  <c r="AJ33" i="13"/>
  <c r="AJ34" i="13"/>
  <c r="AJ35" i="13"/>
  <c r="AJ36" i="13"/>
  <c r="AJ37" i="13"/>
  <c r="AJ38" i="13"/>
  <c r="AK38" i="13" s="1"/>
  <c r="AJ39" i="13"/>
  <c r="AK39" i="13" s="1"/>
  <c r="AJ40" i="13"/>
  <c r="AK40" i="13" s="1"/>
  <c r="AJ41" i="13"/>
  <c r="AK41" i="13" s="1"/>
  <c r="AJ42" i="13"/>
  <c r="AJ44" i="13"/>
  <c r="AJ46" i="13"/>
  <c r="AJ47" i="13"/>
  <c r="AJ49" i="13"/>
  <c r="AJ50" i="13"/>
  <c r="AJ51" i="13"/>
  <c r="AJ52" i="13"/>
  <c r="AK52" i="13" s="1"/>
  <c r="AJ53" i="13"/>
  <c r="AK55" i="13"/>
  <c r="AK56" i="13"/>
  <c r="AK57" i="13"/>
  <c r="AK59" i="13"/>
  <c r="AK60" i="13"/>
  <c r="AJ62" i="13"/>
  <c r="AK62" i="13" s="1"/>
  <c r="AJ63" i="13"/>
  <c r="AK63" i="13" s="1"/>
  <c r="AJ64" i="13"/>
  <c r="AJ65" i="13"/>
  <c r="AK65" i="13" s="1"/>
  <c r="AJ66" i="13"/>
  <c r="AK66" i="13" s="1"/>
  <c r="AJ67" i="13"/>
  <c r="AJ68" i="13"/>
  <c r="AK68" i="13" s="1"/>
  <c r="AJ69" i="13"/>
  <c r="AK69" i="13" s="1"/>
  <c r="AJ70" i="13"/>
  <c r="AK70" i="13" s="1"/>
  <c r="AJ71" i="13"/>
  <c r="AJ72" i="13"/>
  <c r="AK72" i="13" s="1"/>
  <c r="AJ73" i="13"/>
  <c r="AK73" i="13" s="1"/>
  <c r="AJ74" i="13"/>
  <c r="AK74" i="13" s="1"/>
  <c r="AJ75" i="13"/>
  <c r="AK75" i="13" s="1"/>
  <c r="AJ76" i="13"/>
  <c r="AK76" i="13" s="1"/>
  <c r="AJ77" i="13"/>
  <c r="AK77" i="13" s="1"/>
  <c r="AJ78" i="13"/>
  <c r="AK78" i="13" s="1"/>
  <c r="AJ79" i="13"/>
  <c r="AK79" i="13" s="1"/>
  <c r="AJ80" i="13"/>
  <c r="AJ81" i="13"/>
  <c r="AK81" i="13" s="1"/>
  <c r="AJ82" i="13"/>
  <c r="AK82" i="13" s="1"/>
  <c r="AJ83" i="13"/>
  <c r="AJ84" i="13"/>
  <c r="AJ85" i="13"/>
  <c r="AJ86" i="13"/>
  <c r="AK86" i="13" s="1"/>
  <c r="AJ87" i="13"/>
  <c r="BC87" i="13" s="1"/>
  <c r="AJ88" i="13"/>
  <c r="AK88" i="13" s="1"/>
  <c r="AJ89" i="13"/>
  <c r="AK89" i="13" s="1"/>
  <c r="AJ90" i="13"/>
  <c r="AJ92" i="13"/>
  <c r="AK92" i="13" s="1"/>
  <c r="AV92" i="13" s="1"/>
  <c r="AJ93" i="13"/>
  <c r="AJ94" i="13"/>
  <c r="AJ95" i="13"/>
  <c r="AK95" i="13" s="1"/>
  <c r="AJ96" i="13"/>
  <c r="AJ97" i="13"/>
  <c r="AK97" i="13" s="1"/>
  <c r="AJ98" i="13"/>
  <c r="AJ99" i="13"/>
  <c r="AJ100" i="13"/>
  <c r="AJ101" i="13"/>
  <c r="AK101" i="13" s="1"/>
  <c r="AJ102" i="13"/>
  <c r="AK102" i="13" s="1"/>
  <c r="AJ103" i="13"/>
  <c r="AK103" i="13" s="1"/>
  <c r="AJ104" i="13"/>
  <c r="AK104" i="13" s="1"/>
  <c r="AJ108" i="13"/>
  <c r="AK108" i="13" s="1"/>
  <c r="AJ105" i="13"/>
  <c r="AJ106" i="13"/>
  <c r="AK106" i="13" s="1"/>
  <c r="AJ107" i="13"/>
  <c r="AJ109" i="13"/>
  <c r="AK109" i="13" s="1"/>
  <c r="AJ110" i="13"/>
  <c r="AK110" i="13" s="1"/>
  <c r="AJ111" i="13"/>
  <c r="AK111" i="13" s="1"/>
  <c r="AJ112" i="13"/>
  <c r="AJ113" i="13"/>
  <c r="AK113" i="13" s="1"/>
  <c r="AJ114" i="13"/>
  <c r="AJ115" i="13"/>
  <c r="AJ116" i="13"/>
  <c r="AK116" i="13" s="1"/>
  <c r="AJ117" i="13"/>
  <c r="AK117" i="13" s="1"/>
  <c r="AJ118" i="13"/>
  <c r="AK118" i="13" s="1"/>
  <c r="AJ119" i="13"/>
  <c r="AK119" i="13" s="1"/>
  <c r="AJ120" i="13"/>
  <c r="AK120" i="13" s="1"/>
  <c r="AJ121" i="13"/>
  <c r="AK121" i="13" s="1"/>
  <c r="AJ122" i="13"/>
  <c r="AK122" i="13" s="1"/>
  <c r="AJ123" i="13"/>
  <c r="AK123" i="13" s="1"/>
  <c r="AJ124" i="13"/>
  <c r="AK124" i="13" s="1"/>
  <c r="AJ125" i="13"/>
  <c r="AK125" i="13" s="1"/>
  <c r="AJ126" i="13"/>
  <c r="AK126" i="13" s="1"/>
  <c r="AJ127" i="13"/>
  <c r="AK127" i="13" s="1"/>
  <c r="AJ128" i="13"/>
  <c r="AJ129" i="13"/>
  <c r="AJ130" i="13"/>
  <c r="AK130" i="13" s="1"/>
  <c r="AJ131" i="13"/>
  <c r="AK131" i="13" s="1"/>
  <c r="AJ132" i="13"/>
  <c r="AK132" i="13" s="1"/>
  <c r="AJ133" i="13"/>
  <c r="AK133" i="13" s="1"/>
  <c r="AJ134" i="13"/>
  <c r="AK134" i="13" s="1"/>
  <c r="AJ135" i="13"/>
  <c r="AK135" i="13" s="1"/>
  <c r="AJ136" i="13"/>
  <c r="AJ137" i="13"/>
  <c r="AK137" i="13" s="1"/>
  <c r="AJ138" i="13"/>
  <c r="AK138" i="13" s="1"/>
  <c r="AJ139" i="13"/>
  <c r="AK139" i="13" s="1"/>
  <c r="AJ140" i="13"/>
  <c r="AK140" i="13" s="1"/>
  <c r="AJ141" i="13"/>
  <c r="AK141" i="13" s="1"/>
  <c r="AJ142" i="13"/>
  <c r="AK142" i="13" s="1"/>
  <c r="AJ143" i="13"/>
  <c r="AJ144" i="13"/>
  <c r="AJ145" i="13"/>
  <c r="AK145" i="13" s="1"/>
  <c r="AJ146" i="13"/>
  <c r="AK146" i="13" s="1"/>
  <c r="AJ147" i="13"/>
  <c r="AJ148" i="13"/>
  <c r="AJ149" i="13"/>
  <c r="AK149" i="13" s="1"/>
  <c r="AJ150" i="13"/>
  <c r="AK150" i="13" s="1"/>
  <c r="AJ151" i="13"/>
  <c r="AK151" i="13" s="1"/>
  <c r="AJ152" i="13"/>
  <c r="AK152" i="13" s="1"/>
  <c r="AJ153" i="13"/>
  <c r="AK153" i="13" s="1"/>
  <c r="AJ154" i="13"/>
  <c r="AK154" i="13" s="1"/>
  <c r="AJ155" i="13"/>
  <c r="AJ156" i="13"/>
  <c r="AJ157" i="13"/>
  <c r="AJ159" i="13"/>
  <c r="AJ160" i="13"/>
  <c r="AK160" i="13" s="1"/>
  <c r="AJ161" i="13"/>
  <c r="AK161" i="13" s="1"/>
  <c r="AJ162" i="13"/>
  <c r="AK162" i="13" s="1"/>
  <c r="AJ163" i="13"/>
  <c r="AK163" i="13" s="1"/>
  <c r="AJ164" i="13"/>
  <c r="AJ165" i="13"/>
  <c r="AK165" i="13" s="1"/>
  <c r="AJ166" i="13"/>
  <c r="AJ167" i="13"/>
  <c r="AJ168" i="13"/>
  <c r="AK168" i="13" s="1"/>
  <c r="AJ169" i="13"/>
  <c r="AK169" i="13" s="1"/>
  <c r="AJ170" i="13"/>
  <c r="AK170" i="13" s="1"/>
  <c r="AJ171" i="13"/>
  <c r="AK171" i="13" s="1"/>
  <c r="AJ172" i="13"/>
  <c r="AK172" i="13" s="1"/>
  <c r="AJ173" i="13"/>
  <c r="AJ174" i="13"/>
  <c r="AJ175" i="13"/>
  <c r="AK175" i="13" s="1"/>
  <c r="AJ176" i="13"/>
  <c r="AJ178" i="13"/>
  <c r="AK178" i="13" s="1"/>
  <c r="AJ179" i="13"/>
  <c r="AK179" i="13" s="1"/>
  <c r="AJ180" i="13"/>
  <c r="AK180" i="13" s="1"/>
  <c r="AJ181" i="13"/>
  <c r="BC181" i="13" s="1"/>
  <c r="BD181" i="13" s="1"/>
  <c r="AJ182" i="13"/>
  <c r="AK182" i="13" s="1"/>
  <c r="AJ183" i="13"/>
  <c r="AK183" i="13" s="1"/>
  <c r="AJ184" i="13"/>
  <c r="AK184" i="13" s="1"/>
  <c r="AJ185" i="13"/>
  <c r="AK185" i="13" s="1"/>
  <c r="AJ186" i="13"/>
  <c r="AK186" i="13" s="1"/>
  <c r="AJ187" i="13"/>
  <c r="AK187" i="13" s="1"/>
  <c r="AJ188" i="13"/>
  <c r="BC188" i="13" s="1"/>
  <c r="BD188" i="13" s="1"/>
  <c r="AJ189" i="13"/>
  <c r="AK189" i="13" s="1"/>
  <c r="AJ190" i="13"/>
  <c r="AK190" i="13" s="1"/>
  <c r="AJ191" i="13"/>
  <c r="AK191" i="13" s="1"/>
  <c r="AJ192" i="13"/>
  <c r="AK192" i="13" s="1"/>
  <c r="AJ193" i="13"/>
  <c r="BC193" i="13" s="1"/>
  <c r="BD193" i="13" s="1"/>
  <c r="AJ194" i="13"/>
  <c r="BC194" i="13" s="1"/>
  <c r="BD194" i="13" s="1"/>
  <c r="AJ195" i="13"/>
  <c r="BC195" i="13" s="1"/>
  <c r="BD195" i="13" s="1"/>
  <c r="AJ196" i="13"/>
  <c r="AJ197" i="13"/>
  <c r="AK197" i="13" s="1"/>
  <c r="AJ2" i="13"/>
  <c r="AK2" i="13" s="1"/>
  <c r="AJ3" i="13"/>
  <c r="AK3" i="13" s="1"/>
  <c r="AJ4" i="13"/>
  <c r="AK4" i="13" s="1"/>
  <c r="AJ5" i="13"/>
  <c r="AK5" i="13" s="1"/>
  <c r="AJ6" i="13"/>
  <c r="AK6" i="13" s="1"/>
  <c r="M8" i="1"/>
  <c r="AK54" i="13" s="1"/>
  <c r="M3" i="1"/>
  <c r="M4" i="1"/>
  <c r="M5" i="1"/>
  <c r="M6" i="1"/>
  <c r="M7" i="1"/>
  <c r="M2" i="1"/>
  <c r="D27" i="14"/>
  <c r="E27" i="14" s="1"/>
  <c r="BB35" i="13"/>
  <c r="BB36" i="13"/>
  <c r="H2" i="2"/>
  <c r="F2" i="13" s="1"/>
  <c r="H3" i="2"/>
  <c r="F3" i="13" s="1"/>
  <c r="H4" i="2"/>
  <c r="F4" i="13" s="1"/>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F5" i="13" s="1"/>
  <c r="H533" i="2"/>
  <c r="H534" i="2"/>
  <c r="H535" i="2"/>
  <c r="H536" i="2"/>
  <c r="H537" i="2"/>
  <c r="F6" i="13" s="1"/>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F7" i="13" s="1"/>
  <c r="H583" i="2"/>
  <c r="H584" i="2"/>
  <c r="H585" i="2"/>
  <c r="H586" i="2"/>
  <c r="H587" i="2"/>
  <c r="H588" i="2"/>
  <c r="H589" i="2"/>
  <c r="H590" i="2"/>
  <c r="H591" i="2"/>
  <c r="H592" i="2"/>
  <c r="H593" i="2"/>
  <c r="H594" i="2"/>
  <c r="H595" i="2"/>
  <c r="F8" i="13" s="1"/>
  <c r="H596" i="2"/>
  <c r="H597" i="2"/>
  <c r="H598" i="2"/>
  <c r="H599" i="2"/>
  <c r="H600" i="2"/>
  <c r="H601" i="2"/>
  <c r="H602" i="2"/>
  <c r="H603" i="2"/>
  <c r="H604" i="2"/>
  <c r="H605" i="2"/>
  <c r="H606" i="2"/>
  <c r="H607" i="2"/>
  <c r="H608" i="2"/>
  <c r="H609" i="2"/>
  <c r="H610" i="2"/>
  <c r="H611" i="2"/>
  <c r="H612" i="2"/>
  <c r="H613" i="2"/>
  <c r="H614" i="2"/>
  <c r="H615" i="2"/>
  <c r="H616" i="2"/>
  <c r="H617" i="2"/>
  <c r="F9" i="13" s="1"/>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F10" i="13" s="1"/>
  <c r="H689" i="2"/>
  <c r="H690" i="2"/>
  <c r="H691" i="2"/>
  <c r="H692" i="2"/>
  <c r="H693" i="2"/>
  <c r="H694" i="2"/>
  <c r="H695" i="2"/>
  <c r="F11" i="13" s="1"/>
  <c r="H696" i="2"/>
  <c r="H697" i="2"/>
  <c r="H698" i="2"/>
  <c r="H699" i="2"/>
  <c r="H700" i="2"/>
  <c r="H701" i="2"/>
  <c r="H702" i="2"/>
  <c r="H703" i="2"/>
  <c r="F12" i="13" s="1"/>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F14" i="13" s="1"/>
  <c r="H761" i="2"/>
  <c r="H762" i="2"/>
  <c r="H763" i="2"/>
  <c r="H764" i="2"/>
  <c r="H765" i="2"/>
  <c r="H766" i="2"/>
  <c r="H767" i="2"/>
  <c r="H768" i="2"/>
  <c r="H769" i="2"/>
  <c r="H770" i="2"/>
  <c r="F15" i="13" s="1"/>
  <c r="H771" i="2"/>
  <c r="H772" i="2"/>
  <c r="H773" i="2"/>
  <c r="H774" i="2"/>
  <c r="H775" i="2"/>
  <c r="H776" i="2"/>
  <c r="H777" i="2"/>
  <c r="H778" i="2"/>
  <c r="H779" i="2"/>
  <c r="H780" i="2"/>
  <c r="H781" i="2"/>
  <c r="H782" i="2"/>
  <c r="F16" i="13" s="1"/>
  <c r="H783" i="2"/>
  <c r="H784" i="2"/>
  <c r="F17" i="13" s="1"/>
  <c r="H785" i="2"/>
  <c r="H786" i="2"/>
  <c r="H787" i="2"/>
  <c r="H788" i="2"/>
  <c r="H789" i="2"/>
  <c r="H790" i="2"/>
  <c r="H791" i="2"/>
  <c r="H792" i="2"/>
  <c r="F18" i="13" s="1"/>
  <c r="H793" i="2"/>
  <c r="H794" i="2"/>
  <c r="F19" i="13" s="1"/>
  <c r="H795" i="2"/>
  <c r="H796" i="2"/>
  <c r="H797" i="2"/>
  <c r="H798" i="2"/>
  <c r="H799" i="2"/>
  <c r="H800" i="2"/>
  <c r="F20" i="13" s="1"/>
  <c r="H801" i="2"/>
  <c r="H802" i="2"/>
  <c r="H803" i="2"/>
  <c r="H804" i="2"/>
  <c r="F21" i="13" s="1"/>
  <c r="H805" i="2"/>
  <c r="H806" i="2"/>
  <c r="H807" i="2"/>
  <c r="F22" i="13" s="1"/>
  <c r="H808" i="2"/>
  <c r="H809" i="2"/>
  <c r="H810" i="2"/>
  <c r="H811" i="2"/>
  <c r="H812" i="2"/>
  <c r="F23" i="13" s="1"/>
  <c r="H813" i="2"/>
  <c r="H814" i="2"/>
  <c r="H815" i="2"/>
  <c r="H816" i="2"/>
  <c r="F24" i="13" s="1"/>
  <c r="H817" i="2"/>
  <c r="H818" i="2"/>
  <c r="H819" i="2"/>
  <c r="H820" i="2"/>
  <c r="H821" i="2"/>
  <c r="H822" i="2"/>
  <c r="H823" i="2"/>
  <c r="H824" i="2"/>
  <c r="H825" i="2"/>
  <c r="H826" i="2"/>
  <c r="H827" i="2"/>
  <c r="H828" i="2"/>
  <c r="H829" i="2"/>
  <c r="H830" i="2"/>
  <c r="H831" i="2"/>
  <c r="H832" i="2"/>
  <c r="H833" i="2"/>
  <c r="H834" i="2"/>
  <c r="H835" i="2"/>
  <c r="F25" i="13" s="1"/>
  <c r="H836" i="2"/>
  <c r="H837" i="2"/>
  <c r="H838" i="2"/>
  <c r="H839" i="2"/>
  <c r="H840" i="2"/>
  <c r="F26" i="13" s="1"/>
  <c r="H841" i="2"/>
  <c r="H842" i="2"/>
  <c r="H843" i="2"/>
  <c r="H844" i="2"/>
  <c r="H845" i="2"/>
  <c r="H846" i="2"/>
  <c r="H847" i="2"/>
  <c r="H848" i="2"/>
  <c r="F27" i="13" s="1"/>
  <c r="H849" i="2"/>
  <c r="F28" i="13" s="1"/>
  <c r="H850" i="2"/>
  <c r="H851" i="2"/>
  <c r="F29" i="13" s="1"/>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F30" i="13" s="1"/>
  <c r="H878" i="2"/>
  <c r="H879" i="2"/>
  <c r="H880" i="2"/>
  <c r="H881" i="2"/>
  <c r="H882" i="2"/>
  <c r="H883" i="2"/>
  <c r="H884" i="2"/>
  <c r="H885" i="2"/>
  <c r="H886" i="2"/>
  <c r="F31" i="13" s="1"/>
  <c r="H887" i="2"/>
  <c r="H888" i="2"/>
  <c r="H889" i="2"/>
  <c r="H890" i="2"/>
  <c r="H891" i="2"/>
  <c r="H892" i="2"/>
  <c r="H893" i="2"/>
  <c r="F32" i="13" s="1"/>
  <c r="H894" i="2"/>
  <c r="H895" i="2"/>
  <c r="H896" i="2"/>
  <c r="H897" i="2"/>
  <c r="H898" i="2"/>
  <c r="H899" i="2"/>
  <c r="H900" i="2"/>
  <c r="H901" i="2"/>
  <c r="H902" i="2"/>
  <c r="H903" i="2"/>
  <c r="H904" i="2"/>
  <c r="H905" i="2"/>
  <c r="H906" i="2"/>
  <c r="H907" i="2"/>
  <c r="H908" i="2"/>
  <c r="H909" i="2"/>
  <c r="H910" i="2"/>
  <c r="H911" i="2"/>
  <c r="H912" i="2"/>
  <c r="F33" i="13" s="1"/>
  <c r="H913" i="2"/>
  <c r="H914" i="2"/>
  <c r="H915" i="2"/>
  <c r="H916" i="2"/>
  <c r="H917" i="2"/>
  <c r="H918" i="2"/>
  <c r="H919" i="2"/>
  <c r="H920" i="2"/>
  <c r="H921" i="2"/>
  <c r="H922" i="2"/>
  <c r="H923" i="2"/>
  <c r="H924" i="2"/>
  <c r="H925" i="2"/>
  <c r="H926" i="2"/>
  <c r="H927" i="2"/>
  <c r="H928" i="2"/>
  <c r="H929" i="2"/>
  <c r="H930" i="2"/>
  <c r="H931" i="2"/>
  <c r="H932" i="2"/>
  <c r="H933" i="2"/>
  <c r="H934" i="2"/>
  <c r="F35" i="13" s="1"/>
  <c r="H935" i="2"/>
  <c r="H936" i="2"/>
  <c r="F36" i="13" s="1"/>
  <c r="H937" i="2"/>
  <c r="H938" i="2"/>
  <c r="H939" i="2"/>
  <c r="H940" i="2"/>
  <c r="H941" i="2"/>
  <c r="H942" i="2"/>
  <c r="F37" i="13" s="1"/>
  <c r="H943" i="2"/>
  <c r="H944" i="2"/>
  <c r="F38" i="13" s="1"/>
  <c r="H945" i="2"/>
  <c r="H946" i="2"/>
  <c r="H947" i="2"/>
  <c r="H948" i="2"/>
  <c r="H949" i="2"/>
  <c r="F39" i="13" s="1"/>
  <c r="H950" i="2"/>
  <c r="H951" i="2"/>
  <c r="H952" i="2"/>
  <c r="H953" i="2"/>
  <c r="H954" i="2"/>
  <c r="H955" i="2"/>
  <c r="H957" i="2"/>
  <c r="H958" i="2"/>
  <c r="H959" i="2"/>
  <c r="H960" i="2"/>
  <c r="H961" i="2"/>
  <c r="F40" i="13" s="1"/>
  <c r="H962" i="2"/>
  <c r="H963" i="2"/>
  <c r="F41" i="13" s="1"/>
  <c r="H964" i="2"/>
  <c r="H965" i="2"/>
  <c r="H966" i="2"/>
  <c r="H967" i="2"/>
  <c r="F42" i="13" s="1"/>
  <c r="H968" i="2"/>
  <c r="F43" i="13"/>
  <c r="H970" i="2"/>
  <c r="H971" i="2"/>
  <c r="H972" i="2"/>
  <c r="H973" i="2"/>
  <c r="F44" i="13" s="1"/>
  <c r="H974" i="2"/>
  <c r="H975" i="2"/>
  <c r="H976" i="2"/>
  <c r="H977" i="2"/>
  <c r="H978" i="2"/>
  <c r="F45" i="13" s="1"/>
  <c r="H979" i="2"/>
  <c r="H980" i="2"/>
  <c r="H981" i="2"/>
  <c r="H982" i="2"/>
  <c r="H983" i="2"/>
  <c r="H984" i="2"/>
  <c r="H985" i="2"/>
  <c r="F46" i="13" s="1"/>
  <c r="H986" i="2"/>
  <c r="H987" i="2"/>
  <c r="H988" i="2"/>
  <c r="F47" i="13" s="1"/>
  <c r="H989" i="2"/>
  <c r="H990" i="2"/>
  <c r="H991" i="2"/>
  <c r="H992" i="2"/>
  <c r="F48" i="13" s="1"/>
  <c r="H993" i="2"/>
  <c r="H994" i="2"/>
  <c r="H995" i="2"/>
  <c r="F49" i="13" s="1"/>
  <c r="H996" i="2"/>
  <c r="H997" i="2"/>
  <c r="F50" i="13" s="1"/>
  <c r="H998" i="2"/>
  <c r="H999" i="2"/>
  <c r="H1000" i="2"/>
  <c r="H1001" i="2"/>
  <c r="F51" i="13" s="1"/>
  <c r="H1002" i="2"/>
  <c r="H1003" i="2"/>
  <c r="F52" i="13" s="1"/>
  <c r="H1004" i="2"/>
  <c r="H1005" i="2"/>
  <c r="H1006" i="2"/>
  <c r="H1007" i="2"/>
  <c r="H1008" i="2"/>
  <c r="H1009" i="2"/>
  <c r="F53" i="13" s="1"/>
  <c r="H1010" i="2"/>
  <c r="F54" i="13" s="1"/>
  <c r="H1011" i="2"/>
  <c r="H1012" i="2"/>
  <c r="F55" i="13" s="1"/>
  <c r="H1013" i="2"/>
  <c r="F56" i="13" s="1"/>
  <c r="H1014" i="2"/>
  <c r="F57" i="13" s="1"/>
  <c r="H1015" i="2"/>
  <c r="H1016" i="2"/>
  <c r="F58" i="13" s="1"/>
  <c r="H1017" i="2"/>
  <c r="F59" i="13" s="1"/>
  <c r="H1018" i="2"/>
  <c r="F60" i="13" s="1"/>
  <c r="H1019" i="2"/>
  <c r="H1020" i="2"/>
  <c r="F61" i="13" s="1"/>
  <c r="H1021" i="2"/>
  <c r="F62" i="13" s="1"/>
  <c r="H1022" i="2"/>
  <c r="F63" i="13" s="1"/>
  <c r="H1023" i="2"/>
  <c r="F64" i="13" s="1"/>
  <c r="H1024" i="2"/>
  <c r="F65" i="13" s="1"/>
  <c r="H1025" i="2"/>
  <c r="H1026" i="2"/>
  <c r="F66" i="13" s="1"/>
  <c r="H1027" i="2"/>
  <c r="F67" i="13" s="1"/>
  <c r="H1028" i="2"/>
  <c r="F68" i="13" s="1"/>
  <c r="H1029" i="2"/>
  <c r="H1030" i="2"/>
  <c r="F69" i="13" s="1"/>
  <c r="H1031" i="2"/>
  <c r="H1032" i="2"/>
  <c r="H1033" i="2"/>
  <c r="H1034" i="2"/>
  <c r="F70" i="13" s="1"/>
  <c r="H1035" i="2"/>
  <c r="F71" i="13" s="1"/>
  <c r="H1036" i="2"/>
  <c r="F72" i="13" s="1"/>
  <c r="H1037" i="2"/>
  <c r="H1038" i="2"/>
  <c r="F73" i="13" s="1"/>
  <c r="H1039" i="2"/>
  <c r="H1040" i="2"/>
  <c r="H1041" i="2"/>
  <c r="H1042" i="2"/>
  <c r="H1043" i="2"/>
  <c r="F74" i="13" s="1"/>
  <c r="H1044" i="2"/>
  <c r="F75" i="13" s="1"/>
  <c r="H1045" i="2"/>
  <c r="F76" i="13" s="1"/>
  <c r="H1046" i="2"/>
  <c r="H1047" i="2"/>
  <c r="H1048" i="2"/>
  <c r="F77" i="13" s="1"/>
  <c r="H1049" i="2"/>
  <c r="F78" i="13" s="1"/>
  <c r="H1050" i="2"/>
  <c r="H1051" i="2"/>
  <c r="F79" i="13" s="1"/>
  <c r="H1052" i="2"/>
  <c r="F80" i="13" s="1"/>
  <c r="H1053" i="2"/>
  <c r="H1054" i="2"/>
  <c r="F82" i="13" s="1"/>
  <c r="H1055" i="2"/>
  <c r="F83" i="13" s="1"/>
  <c r="H1056" i="2"/>
  <c r="F84" i="13" s="1"/>
  <c r="H1057" i="2"/>
  <c r="F85" i="13" s="1"/>
  <c r="H1058" i="2"/>
  <c r="F86" i="13" s="1"/>
  <c r="H1059" i="2"/>
  <c r="F87" i="13" s="1"/>
  <c r="H1060" i="2"/>
  <c r="H1061" i="2"/>
  <c r="F88" i="13" s="1"/>
  <c r="H1062" i="2"/>
  <c r="F89" i="13" s="1"/>
  <c r="H1063" i="2"/>
  <c r="F90" i="13" s="1"/>
  <c r="H1064" i="2"/>
  <c r="F91" i="13" s="1"/>
  <c r="H1065" i="2"/>
  <c r="H1066" i="2"/>
  <c r="F93" i="13" s="1"/>
  <c r="H1067" i="2"/>
  <c r="F94" i="13" s="1"/>
  <c r="H1068" i="2"/>
  <c r="F95" i="13" s="1"/>
  <c r="H1069" i="2"/>
  <c r="F96" i="13" s="1"/>
  <c r="H1070" i="2"/>
  <c r="F97" i="13" s="1"/>
  <c r="H1071" i="2"/>
  <c r="F98" i="13" s="1"/>
  <c r="H1072" i="2"/>
  <c r="H1073" i="2"/>
  <c r="F99" i="13" s="1"/>
  <c r="H1074" i="2"/>
  <c r="F100" i="13" s="1"/>
  <c r="H1075" i="2"/>
  <c r="F101" i="13" s="1"/>
  <c r="H1076" i="2"/>
  <c r="F102" i="13" s="1"/>
  <c r="H1077" i="2"/>
  <c r="H1078" i="2"/>
  <c r="F103" i="13" s="1"/>
  <c r="H1079" i="2"/>
  <c r="F104" i="13" s="1"/>
  <c r="H1080" i="2"/>
  <c r="F108" i="13" s="1"/>
  <c r="H1081" i="2"/>
  <c r="F105" i="13" s="1"/>
  <c r="H1082" i="2"/>
  <c r="F106" i="13" s="1"/>
  <c r="H1083" i="2"/>
  <c r="F107" i="13" s="1"/>
  <c r="H1084" i="2"/>
  <c r="F109" i="13" s="1"/>
  <c r="H1085" i="2"/>
  <c r="F110" i="13" s="1"/>
  <c r="H1086" i="2"/>
  <c r="F111" i="13" s="1"/>
  <c r="H1087" i="2"/>
  <c r="H1088" i="2"/>
  <c r="H1089" i="2"/>
  <c r="H1090" i="2"/>
  <c r="H1091" i="2"/>
  <c r="F112" i="13" s="1"/>
  <c r="H1092" i="2"/>
  <c r="F113" i="13" s="1"/>
  <c r="H1093" i="2"/>
  <c r="F114" i="13" s="1"/>
  <c r="H1094" i="2"/>
  <c r="H1095" i="2"/>
  <c r="F115" i="13" s="1"/>
  <c r="H1096" i="2"/>
  <c r="F116" i="13" s="1"/>
  <c r="H1097" i="2"/>
  <c r="H1098" i="2"/>
  <c r="H1099" i="2"/>
  <c r="F117" i="13" s="1"/>
  <c r="H1100" i="2"/>
  <c r="F118" i="13" s="1"/>
  <c r="H1101" i="2"/>
  <c r="H1102" i="2"/>
  <c r="F119" i="13" s="1"/>
  <c r="H1103" i="2"/>
  <c r="F120" i="13" s="1"/>
  <c r="H1104" i="2"/>
  <c r="H1105" i="2"/>
  <c r="H1106" i="2"/>
  <c r="F121" i="13" s="1"/>
  <c r="H1107" i="2"/>
  <c r="F122" i="13" s="1"/>
  <c r="H1108" i="2"/>
  <c r="F123" i="13" s="1"/>
  <c r="H1109" i="2"/>
  <c r="H1110" i="2"/>
  <c r="F124" i="13" s="1"/>
  <c r="H1111" i="2"/>
  <c r="F125" i="13" s="1"/>
  <c r="H1112" i="2"/>
  <c r="F126" i="13" s="1"/>
  <c r="H1113" i="2"/>
  <c r="H1114" i="2"/>
  <c r="F127" i="13" s="1"/>
  <c r="H1115" i="2"/>
  <c r="F128" i="13" s="1"/>
  <c r="H1116" i="2"/>
  <c r="H1117" i="2"/>
  <c r="F129" i="13" s="1"/>
  <c r="H1118" i="2"/>
  <c r="F130" i="13" s="1"/>
  <c r="H1119" i="2"/>
  <c r="F131" i="13" s="1"/>
  <c r="H1120" i="2"/>
  <c r="F132" i="13" s="1"/>
  <c r="H1121" i="2"/>
  <c r="F133" i="13" s="1"/>
  <c r="H1122" i="2"/>
  <c r="F134" i="13" s="1"/>
  <c r="H1123" i="2"/>
  <c r="F135" i="13" s="1"/>
  <c r="H1124" i="2"/>
  <c r="F136" i="13" s="1"/>
  <c r="H1125" i="2"/>
  <c r="F137" i="13" s="1"/>
  <c r="H1126" i="2"/>
  <c r="H1127" i="2"/>
  <c r="H1128" i="2"/>
  <c r="H1129" i="2"/>
  <c r="H1130" i="2"/>
  <c r="H1131" i="2"/>
  <c r="F138" i="13" s="1"/>
  <c r="H1132" i="2"/>
  <c r="F139" i="13" s="1"/>
  <c r="H1133" i="2"/>
  <c r="F140" i="13" s="1"/>
  <c r="H1134" i="2"/>
  <c r="H1135" i="2"/>
  <c r="F141" i="13" s="1"/>
  <c r="H1136" i="2"/>
  <c r="H1137" i="2"/>
  <c r="F142" i="13" s="1"/>
  <c r="H1138" i="2"/>
  <c r="H1139" i="2"/>
  <c r="F143" i="13" s="1"/>
  <c r="H1140" i="2"/>
  <c r="H1141" i="2"/>
  <c r="F144" i="13" s="1"/>
  <c r="H1142" i="2"/>
  <c r="F145" i="13" s="1"/>
  <c r="H1143" i="2"/>
  <c r="H1144" i="2"/>
  <c r="F146" i="13" s="1"/>
  <c r="H1145" i="2"/>
  <c r="H1146" i="2"/>
  <c r="F147" i="13" s="1"/>
  <c r="H1147" i="2"/>
  <c r="F148" i="13" s="1"/>
  <c r="H1148" i="2"/>
  <c r="F149" i="13" s="1"/>
  <c r="H1149" i="2"/>
  <c r="F150" i="13" s="1"/>
  <c r="H1150" i="2"/>
  <c r="H1151" i="2"/>
  <c r="H1152" i="2"/>
  <c r="F151" i="13" s="1"/>
  <c r="H1153" i="2"/>
  <c r="H1154" i="2"/>
  <c r="H1155" i="2"/>
  <c r="H1156" i="2"/>
  <c r="F152" i="13" s="1"/>
  <c r="H1157" i="2"/>
  <c r="H1158" i="2"/>
  <c r="H1159" i="2"/>
  <c r="H1160" i="2"/>
  <c r="F153" i="13" s="1"/>
  <c r="H1161" i="2"/>
  <c r="H1162" i="2"/>
  <c r="F154" i="13" s="1"/>
  <c r="H1163" i="2"/>
  <c r="F155" i="13" s="1"/>
  <c r="H1164" i="2"/>
  <c r="F156" i="13" s="1"/>
  <c r="H1165" i="2"/>
  <c r="F157" i="13" s="1"/>
  <c r="H1166" i="2"/>
  <c r="F158" i="13" s="1"/>
  <c r="H1167" i="2"/>
  <c r="H1168" i="2"/>
  <c r="F159" i="13" s="1"/>
  <c r="H1169" i="2"/>
  <c r="F160" i="13" s="1"/>
  <c r="H1170" i="2"/>
  <c r="F161" i="13" s="1"/>
  <c r="H1171" i="2"/>
  <c r="H1172" i="2"/>
  <c r="F162" i="13" s="1"/>
  <c r="H1173" i="2"/>
  <c r="F163" i="13" s="1"/>
  <c r="H1174" i="2"/>
  <c r="F164" i="13" s="1"/>
  <c r="H1175" i="2"/>
  <c r="H1176" i="2"/>
  <c r="H1177" i="2"/>
  <c r="H1178" i="2"/>
  <c r="F165" i="13" s="1"/>
  <c r="H1179" i="2"/>
  <c r="F166" i="13" s="1"/>
  <c r="H1180" i="2"/>
  <c r="F167" i="13" s="1"/>
  <c r="H1181" i="2"/>
  <c r="F168" i="13" s="1"/>
  <c r="H1182" i="2"/>
  <c r="F169" i="13" s="1"/>
  <c r="H1183" i="2"/>
  <c r="F170" i="13" s="1"/>
  <c r="H1184" i="2"/>
  <c r="H1185" i="2"/>
  <c r="H1186" i="2"/>
  <c r="H1187" i="2"/>
  <c r="F171" i="13" s="1"/>
  <c r="H1188" i="2"/>
  <c r="F172" i="13" s="1"/>
  <c r="H1189" i="2"/>
  <c r="F173" i="13" s="1"/>
  <c r="H1190" i="2"/>
  <c r="H1191" i="2"/>
  <c r="F174" i="13" s="1"/>
  <c r="H1192" i="2"/>
  <c r="H1193" i="2"/>
  <c r="H1194" i="2"/>
  <c r="H1195" i="2"/>
  <c r="F175" i="13" s="1"/>
  <c r="H1196" i="2"/>
  <c r="H1197" i="2"/>
  <c r="H1198" i="2"/>
  <c r="H1199" i="2"/>
  <c r="F176" i="13" s="1"/>
  <c r="H1200" i="2"/>
  <c r="F178" i="13" s="1"/>
  <c r="H1201" i="2"/>
  <c r="F179" i="13" s="1"/>
  <c r="H1202" i="2"/>
  <c r="H1203" i="2"/>
  <c r="F180" i="13" s="1"/>
  <c r="H1204" i="2"/>
  <c r="H1205" i="2"/>
  <c r="H1206" i="2"/>
  <c r="H1207" i="2"/>
  <c r="F181" i="13" s="1"/>
  <c r="H1208" i="2"/>
  <c r="H1209" i="2"/>
  <c r="F182" i="13" s="1"/>
  <c r="H1210" i="2"/>
  <c r="F183" i="13" s="1"/>
  <c r="H1211" i="2"/>
  <c r="F184" i="13" s="1"/>
  <c r="H1212" i="2"/>
  <c r="F185" i="13" s="1"/>
  <c r="H1213" i="2"/>
  <c r="F186" i="13" s="1"/>
  <c r="H1214" i="2"/>
  <c r="F187" i="13" s="1"/>
  <c r="H1215" i="2"/>
  <c r="H1216" i="2"/>
  <c r="F188" i="13" s="1"/>
  <c r="H1217" i="2"/>
  <c r="H1218" i="2"/>
  <c r="F189" i="13" s="1"/>
  <c r="H1219" i="2"/>
  <c r="F190" i="13" s="1"/>
  <c r="H1220" i="2"/>
  <c r="F191" i="13" s="1"/>
  <c r="H1221" i="2"/>
  <c r="F192" i="13" s="1"/>
  <c r="H1222" i="2"/>
  <c r="H1223" i="2"/>
  <c r="F193" i="13" s="1"/>
  <c r="H1224" i="2"/>
  <c r="H1225" i="2"/>
  <c r="H1226" i="2"/>
  <c r="F194" i="13" s="1"/>
  <c r="H1227" i="2"/>
  <c r="F195" i="13" s="1"/>
  <c r="H1228" i="2"/>
  <c r="F196" i="13" s="1"/>
  <c r="H1229" i="2"/>
  <c r="F197" i="13" s="1"/>
  <c r="B982" i="2"/>
  <c r="B987" i="2"/>
  <c r="C42" i="13"/>
  <c r="C35" i="13"/>
  <c r="B920" i="2"/>
  <c r="C35" i="11"/>
  <c r="C36" i="11"/>
  <c r="E36" i="11"/>
  <c r="F36" i="11"/>
  <c r="C44" i="13"/>
  <c r="C40" i="13"/>
  <c r="C47" i="13"/>
  <c r="D1168" i="2"/>
  <c r="E1168" i="2"/>
  <c r="H159" i="13" s="1"/>
  <c r="BG159" i="13" s="1"/>
  <c r="E2" i="2"/>
  <c r="E3" i="2"/>
  <c r="H3" i="13" s="1"/>
  <c r="BG3" i="13" s="1"/>
  <c r="E4" i="2"/>
  <c r="F4" i="2" s="1"/>
  <c r="E124" i="2"/>
  <c r="E191" i="2"/>
  <c r="F191" i="2" s="1"/>
  <c r="E537" i="2"/>
  <c r="H6" i="13" s="1"/>
  <c r="BG6" i="13" s="1"/>
  <c r="E582" i="2"/>
  <c r="F582" i="2" s="1"/>
  <c r="E621" i="2"/>
  <c r="F621" i="2" s="1"/>
  <c r="E625" i="2"/>
  <c r="F625" i="2" s="1"/>
  <c r="E741" i="2"/>
  <c r="F741" i="2" s="1"/>
  <c r="E742" i="2"/>
  <c r="F742" i="2" s="1"/>
  <c r="E747" i="2"/>
  <c r="F747" i="2" s="1"/>
  <c r="E770" i="2"/>
  <c r="E772" i="2"/>
  <c r="F772" i="2" s="1"/>
  <c r="E773" i="2"/>
  <c r="F773" i="2" s="1"/>
  <c r="E777" i="2"/>
  <c r="F777" i="2" s="1"/>
  <c r="E816" i="2"/>
  <c r="H24" i="13" s="1"/>
  <c r="E823" i="2"/>
  <c r="F823" i="2" s="1"/>
  <c r="E851" i="2"/>
  <c r="H29" i="13" s="1"/>
  <c r="E854" i="2"/>
  <c r="F854" i="2" s="1"/>
  <c r="E890" i="2"/>
  <c r="F890" i="2" s="1"/>
  <c r="E893" i="2"/>
  <c r="H32" i="13" s="1"/>
  <c r="E897" i="2"/>
  <c r="F897" i="2" s="1"/>
  <c r="E931" i="2"/>
  <c r="F931" i="2" s="1"/>
  <c r="E933" i="2"/>
  <c r="F933" i="2" s="1"/>
  <c r="E934" i="2"/>
  <c r="E936" i="2"/>
  <c r="H36" i="13" s="1"/>
  <c r="E958" i="2"/>
  <c r="F958" i="2" s="1"/>
  <c r="E960" i="2"/>
  <c r="F960" i="2" s="1"/>
  <c r="E961" i="2"/>
  <c r="F961" i="2" s="1"/>
  <c r="E962" i="2"/>
  <c r="F962" i="2" s="1"/>
  <c r="E963" i="2"/>
  <c r="F963" i="2" s="1"/>
  <c r="E992" i="2"/>
  <c r="H48" i="13" s="1"/>
  <c r="BG48" i="13" s="1"/>
  <c r="E995" i="2"/>
  <c r="H49" i="13" s="1"/>
  <c r="BG49" i="13" s="1"/>
  <c r="E997" i="2"/>
  <c r="F997" i="2" s="1"/>
  <c r="E1042" i="2"/>
  <c r="F1042" i="2" s="1"/>
  <c r="E1044" i="2"/>
  <c r="H75" i="13" s="1"/>
  <c r="E1045" i="2"/>
  <c r="F1045" i="2" s="1"/>
  <c r="E1076" i="2"/>
  <c r="H102" i="13" s="1"/>
  <c r="BG102" i="13" s="1"/>
  <c r="E1079" i="2"/>
  <c r="H104" i="13" s="1"/>
  <c r="BG104" i="13" s="1"/>
  <c r="E1080" i="2"/>
  <c r="H108" i="13" s="1"/>
  <c r="BG108" i="13" s="1"/>
  <c r="E1081" i="2"/>
  <c r="H105" i="13" s="1"/>
  <c r="BG105" i="13" s="1"/>
  <c r="E1083" i="2"/>
  <c r="H107" i="13" s="1"/>
  <c r="E1084" i="2"/>
  <c r="H109" i="13" s="1"/>
  <c r="BG109" i="13" s="1"/>
  <c r="E1104" i="2"/>
  <c r="F1104" i="2" s="1"/>
  <c r="E1105" i="2"/>
  <c r="E1107" i="2"/>
  <c r="E1108" i="2"/>
  <c r="H123" i="13" s="1"/>
  <c r="BG123" i="13" s="1"/>
  <c r="E1109" i="2"/>
  <c r="F1109" i="2" s="1"/>
  <c r="E1150" i="2"/>
  <c r="F1150" i="2" s="1"/>
  <c r="E1151" i="2"/>
  <c r="F1151" i="2" s="1"/>
  <c r="E1152" i="2"/>
  <c r="F1152" i="2" s="1"/>
  <c r="E1155" i="2"/>
  <c r="F1155" i="2" s="1"/>
  <c r="E1181" i="2"/>
  <c r="H168" i="13" s="1"/>
  <c r="BG168" i="13" s="1"/>
  <c r="E1183" i="2"/>
  <c r="H170" i="13" s="1"/>
  <c r="BG170" i="13" s="1"/>
  <c r="E1185" i="2"/>
  <c r="F1185" i="2" s="1"/>
  <c r="E1200" i="2"/>
  <c r="H178" i="13" s="1"/>
  <c r="E1202" i="2"/>
  <c r="F1202" i="2" s="1"/>
  <c r="E1085" i="2"/>
  <c r="H110" i="13" s="1"/>
  <c r="BG110" i="13" s="1"/>
  <c r="E7" i="2"/>
  <c r="F7" i="2" s="1"/>
  <c r="E10" i="2"/>
  <c r="F10" i="2" s="1"/>
  <c r="E13" i="2"/>
  <c r="F13" i="2" s="1"/>
  <c r="E20" i="2"/>
  <c r="F20" i="2" s="1"/>
  <c r="E21" i="2"/>
  <c r="F21" i="2" s="1"/>
  <c r="E24" i="2"/>
  <c r="F24" i="2" s="1"/>
  <c r="E25" i="2"/>
  <c r="F25" i="2" s="1"/>
  <c r="E26" i="2"/>
  <c r="F26" i="2" s="1"/>
  <c r="E28" i="2"/>
  <c r="F28" i="2" s="1"/>
  <c r="E30" i="2"/>
  <c r="F30" i="2" s="1"/>
  <c r="E35" i="2"/>
  <c r="F35" i="2" s="1"/>
  <c r="E36" i="2"/>
  <c r="F36" i="2" s="1"/>
  <c r="E44" i="2"/>
  <c r="F44" i="2" s="1"/>
  <c r="E45" i="2"/>
  <c r="F45" i="2" s="1"/>
  <c r="E73" i="2"/>
  <c r="F73" i="2" s="1"/>
  <c r="E74" i="2"/>
  <c r="F74" i="2" s="1"/>
  <c r="E78" i="2"/>
  <c r="F78" i="2" s="1"/>
  <c r="E80" i="2"/>
  <c r="F80" i="2" s="1"/>
  <c r="E81" i="2"/>
  <c r="F81" i="2" s="1"/>
  <c r="E84" i="2"/>
  <c r="F84" i="2" s="1"/>
  <c r="E89" i="2"/>
  <c r="F89" i="2" s="1"/>
  <c r="E90" i="2"/>
  <c r="F90" i="2" s="1"/>
  <c r="E92" i="2"/>
  <c r="F92" i="2" s="1"/>
  <c r="E115" i="2"/>
  <c r="F115" i="2" s="1"/>
  <c r="E122" i="2"/>
  <c r="F122" i="2" s="1"/>
  <c r="E125" i="2"/>
  <c r="F125" i="2" s="1"/>
  <c r="E129" i="2"/>
  <c r="F129" i="2" s="1"/>
  <c r="E130" i="2"/>
  <c r="F130" i="2" s="1"/>
  <c r="E131" i="2"/>
  <c r="F131" i="2" s="1"/>
  <c r="E159" i="2"/>
  <c r="F159" i="2" s="1"/>
  <c r="E163" i="2"/>
  <c r="F163" i="2" s="1"/>
  <c r="E179" i="2"/>
  <c r="F179" i="2" s="1"/>
  <c r="E180" i="2"/>
  <c r="F180" i="2" s="1"/>
  <c r="E181" i="2"/>
  <c r="F181" i="2" s="1"/>
  <c r="E188" i="2"/>
  <c r="F188" i="2" s="1"/>
  <c r="E190" i="2"/>
  <c r="F190" i="2" s="1"/>
  <c r="E192" i="2"/>
  <c r="F192" i="2" s="1"/>
  <c r="E216" i="2"/>
  <c r="F216" i="2" s="1"/>
  <c r="E217" i="2"/>
  <c r="F217" i="2" s="1"/>
  <c r="E220" i="2"/>
  <c r="F220" i="2" s="1"/>
  <c r="E225" i="2"/>
  <c r="F225" i="2" s="1"/>
  <c r="E232" i="2"/>
  <c r="F232" i="2" s="1"/>
  <c r="E234" i="2"/>
  <c r="F234" i="2" s="1"/>
  <c r="E236" i="2"/>
  <c r="F236" i="2" s="1"/>
  <c r="E237" i="2"/>
  <c r="F237" i="2" s="1"/>
  <c r="E246" i="2"/>
  <c r="F246" i="2" s="1"/>
  <c r="E247" i="2"/>
  <c r="F247" i="2" s="1"/>
  <c r="E248" i="2"/>
  <c r="F248" i="2" s="1"/>
  <c r="E249" i="2"/>
  <c r="F249" i="2" s="1"/>
  <c r="E251" i="2"/>
  <c r="F251" i="2" s="1"/>
  <c r="E252" i="2"/>
  <c r="F252" i="2" s="1"/>
  <c r="E253" i="2"/>
  <c r="F253" i="2" s="1"/>
  <c r="E254" i="2"/>
  <c r="F254" i="2" s="1"/>
  <c r="E306" i="2"/>
  <c r="F306" i="2" s="1"/>
  <c r="E307" i="2"/>
  <c r="F307" i="2" s="1"/>
  <c r="E312" i="2"/>
  <c r="F312" i="2" s="1"/>
  <c r="E343" i="2"/>
  <c r="F343" i="2" s="1"/>
  <c r="E344" i="2"/>
  <c r="F344" i="2" s="1"/>
  <c r="E351" i="2"/>
  <c r="F351" i="2" s="1"/>
  <c r="E363" i="2"/>
  <c r="F363" i="2" s="1"/>
  <c r="E367" i="2"/>
  <c r="F367" i="2" s="1"/>
  <c r="E370" i="2"/>
  <c r="F370" i="2" s="1"/>
  <c r="E375" i="2"/>
  <c r="F375" i="2" s="1"/>
  <c r="E394" i="2"/>
  <c r="F394" i="2" s="1"/>
  <c r="E403" i="2"/>
  <c r="F403" i="2" s="1"/>
  <c r="E405" i="2"/>
  <c r="F405" i="2" s="1"/>
  <c r="E407" i="2"/>
  <c r="F407" i="2" s="1"/>
  <c r="E409" i="2"/>
  <c r="F409" i="2" s="1"/>
  <c r="E429" i="2"/>
  <c r="F429" i="2" s="1"/>
  <c r="E431" i="2"/>
  <c r="F431" i="2" s="1"/>
  <c r="E442" i="2"/>
  <c r="F442" i="2" s="1"/>
  <c r="E462" i="2"/>
  <c r="F462" i="2" s="1"/>
  <c r="E463" i="2"/>
  <c r="F463" i="2" s="1"/>
  <c r="E465" i="2"/>
  <c r="F465" i="2" s="1"/>
  <c r="E467" i="2"/>
  <c r="F467" i="2" s="1"/>
  <c r="E468" i="2"/>
  <c r="F468" i="2" s="1"/>
  <c r="E470" i="2"/>
  <c r="F470" i="2" s="1"/>
  <c r="E474" i="2"/>
  <c r="F474" i="2" s="1"/>
  <c r="E475" i="2"/>
  <c r="F475" i="2" s="1"/>
  <c r="E477" i="2"/>
  <c r="F477" i="2" s="1"/>
  <c r="E478" i="2"/>
  <c r="F478" i="2" s="1"/>
  <c r="E482" i="2"/>
  <c r="F482" i="2" s="1"/>
  <c r="E483" i="2"/>
  <c r="F483" i="2" s="1"/>
  <c r="E509" i="2"/>
  <c r="F509" i="2" s="1"/>
  <c r="E514" i="2"/>
  <c r="F514" i="2" s="1"/>
  <c r="E517" i="2"/>
  <c r="F517" i="2" s="1"/>
  <c r="E536" i="2"/>
  <c r="F536" i="2" s="1"/>
  <c r="E549" i="2"/>
  <c r="F549" i="2" s="1"/>
  <c r="E551" i="2"/>
  <c r="F551" i="2" s="1"/>
  <c r="E553" i="2"/>
  <c r="F553" i="2" s="1"/>
  <c r="E563" i="2"/>
  <c r="F563" i="2" s="1"/>
  <c r="E565" i="2"/>
  <c r="F565" i="2" s="1"/>
  <c r="E566" i="2"/>
  <c r="F566" i="2" s="1"/>
  <c r="E568" i="2"/>
  <c r="F568" i="2" s="1"/>
  <c r="E580" i="2"/>
  <c r="F580" i="2" s="1"/>
  <c r="E593" i="2"/>
  <c r="F593" i="2" s="1"/>
  <c r="E622" i="2"/>
  <c r="F622" i="2" s="1"/>
  <c r="E624" i="2"/>
  <c r="E626" i="2"/>
  <c r="F626" i="2" s="1"/>
  <c r="E627" i="2"/>
  <c r="F627" i="2" s="1"/>
  <c r="E645" i="2"/>
  <c r="F645" i="2" s="1"/>
  <c r="E646" i="2"/>
  <c r="F646" i="2" s="1"/>
  <c r="E680" i="2"/>
  <c r="F680" i="2" s="1"/>
  <c r="E684" i="2"/>
  <c r="F684" i="2" s="1"/>
  <c r="E698" i="2"/>
  <c r="F698" i="2" s="1"/>
  <c r="E699" i="2"/>
  <c r="F699" i="2" s="1"/>
  <c r="E700" i="2"/>
  <c r="F700" i="2" s="1"/>
  <c r="E701" i="2"/>
  <c r="F701" i="2" s="1"/>
  <c r="E716" i="2"/>
  <c r="F716" i="2" s="1"/>
  <c r="E717" i="2"/>
  <c r="F717" i="2" s="1"/>
  <c r="E727" i="2"/>
  <c r="F727" i="2" s="1"/>
  <c r="E728" i="2"/>
  <c r="F728" i="2" s="1"/>
  <c r="E729" i="2"/>
  <c r="F729" i="2" s="1"/>
  <c r="E731" i="2"/>
  <c r="F731" i="2" s="1"/>
  <c r="E734" i="2"/>
  <c r="F734" i="2" s="1"/>
  <c r="E737" i="2"/>
  <c r="F737" i="2" s="1"/>
  <c r="E738" i="2"/>
  <c r="F738" i="2" s="1"/>
  <c r="E739" i="2"/>
  <c r="F739" i="2" s="1"/>
  <c r="E740" i="2"/>
  <c r="F740" i="2" s="1"/>
  <c r="E744" i="2"/>
  <c r="F744" i="2" s="1"/>
  <c r="E745" i="2"/>
  <c r="F745" i="2" s="1"/>
  <c r="E746" i="2"/>
  <c r="F746" i="2" s="1"/>
  <c r="E750" i="2"/>
  <c r="F750" i="2" s="1"/>
  <c r="E767" i="2"/>
  <c r="F767" i="2" s="1"/>
  <c r="E768" i="2"/>
  <c r="F768" i="2" s="1"/>
  <c r="E769" i="2"/>
  <c r="F769" i="2" s="1"/>
  <c r="E771" i="2"/>
  <c r="F771" i="2" s="1"/>
  <c r="E774" i="2"/>
  <c r="F774" i="2" s="1"/>
  <c r="E779" i="2"/>
  <c r="F779" i="2" s="1"/>
  <c r="E817" i="2"/>
  <c r="F817" i="2" s="1"/>
  <c r="E818" i="2"/>
  <c r="F818" i="2" s="1"/>
  <c r="E819" i="2"/>
  <c r="F819" i="2" s="1"/>
  <c r="E820" i="2"/>
  <c r="E822" i="2"/>
  <c r="F822" i="2" s="1"/>
  <c r="E853" i="2"/>
  <c r="F853" i="2" s="1"/>
  <c r="E891" i="2"/>
  <c r="F891" i="2" s="1"/>
  <c r="E930" i="2"/>
  <c r="F930" i="2" s="1"/>
  <c r="E935" i="2"/>
  <c r="F935" i="2" s="1"/>
  <c r="E937" i="2"/>
  <c r="F937" i="2" s="1"/>
  <c r="E938" i="2"/>
  <c r="F938" i="2" s="1"/>
  <c r="E940" i="2"/>
  <c r="F940" i="2" s="1"/>
  <c r="E959" i="2"/>
  <c r="F959" i="2" s="1"/>
  <c r="E33" i="2"/>
  <c r="F33" i="2" s="1"/>
  <c r="E37" i="2"/>
  <c r="F37" i="2" s="1"/>
  <c r="E42" i="2"/>
  <c r="F42" i="2" s="1"/>
  <c r="E1153" i="2"/>
  <c r="F1153" i="2" s="1"/>
  <c r="E1154" i="2"/>
  <c r="F1154" i="2" s="1"/>
  <c r="E1157" i="2"/>
  <c r="F1157" i="2" s="1"/>
  <c r="E1078" i="2"/>
  <c r="H103" i="13" s="1"/>
  <c r="BG103" i="13" s="1"/>
  <c r="E1106" i="2"/>
  <c r="F1106" i="2" s="1"/>
  <c r="E649" i="2"/>
  <c r="F649" i="2" s="1"/>
  <c r="E682" i="2"/>
  <c r="F682" i="2" s="1"/>
  <c r="E713" i="2"/>
  <c r="F713" i="2" s="1"/>
  <c r="E715" i="2"/>
  <c r="F715" i="2" s="1"/>
  <c r="E743" i="2"/>
  <c r="F743" i="2" s="1"/>
  <c r="E775" i="2"/>
  <c r="F775" i="2" s="1"/>
  <c r="E778" i="2"/>
  <c r="F778" i="2" s="1"/>
  <c r="E855" i="2"/>
  <c r="F855" i="2" s="1"/>
  <c r="E887" i="2"/>
  <c r="F887" i="2" s="1"/>
  <c r="E888" i="2"/>
  <c r="F888" i="2" s="1"/>
  <c r="E892" i="2"/>
  <c r="F892" i="2" s="1"/>
  <c r="E895" i="2"/>
  <c r="F895" i="2" s="1"/>
  <c r="E896" i="2"/>
  <c r="F896" i="2" s="1"/>
  <c r="E900" i="2"/>
  <c r="F900" i="2" s="1"/>
  <c r="E929" i="2"/>
  <c r="F929" i="2" s="1"/>
  <c r="E932" i="2"/>
  <c r="F932" i="2" s="1"/>
  <c r="E993" i="2"/>
  <c r="F993" i="2" s="1"/>
  <c r="E996" i="2"/>
  <c r="F996" i="2" s="1"/>
  <c r="E998" i="2"/>
  <c r="F998" i="2" s="1"/>
  <c r="E999" i="2"/>
  <c r="F999" i="2" s="1"/>
  <c r="E1110" i="2"/>
  <c r="F1110" i="2" s="1"/>
  <c r="E1111" i="2"/>
  <c r="H125" i="13" s="1"/>
  <c r="BG125" i="13" s="1"/>
  <c r="E1201" i="2"/>
  <c r="H179" i="13" s="1"/>
  <c r="BG179" i="13" s="1"/>
  <c r="E1077" i="2"/>
  <c r="F1077" i="2" s="1"/>
  <c r="E994" i="2"/>
  <c r="F994" i="2" s="1"/>
  <c r="E1075" i="2"/>
  <c r="H101" i="13" s="1"/>
  <c r="BG101" i="13" s="1"/>
  <c r="E1082" i="2"/>
  <c r="H106" i="13" s="1"/>
  <c r="BG106" i="13" s="1"/>
  <c r="E899" i="2"/>
  <c r="F899" i="2" s="1"/>
  <c r="E1043" i="2"/>
  <c r="F1043" i="2" s="1"/>
  <c r="E1156" i="2"/>
  <c r="H152" i="13" s="1"/>
  <c r="BG152" i="13" s="1"/>
  <c r="E1184" i="2"/>
  <c r="F1184" i="2" s="1"/>
  <c r="E991" i="2"/>
  <c r="F991" i="2" s="1"/>
  <c r="E11" i="2"/>
  <c r="F11" i="2" s="1"/>
  <c r="E17" i="2"/>
  <c r="F17" i="2" s="1"/>
  <c r="E18" i="2"/>
  <c r="F18" i="2" s="1"/>
  <c r="E22" i="2"/>
  <c r="F22" i="2" s="1"/>
  <c r="E23" i="2"/>
  <c r="F23" i="2" s="1"/>
  <c r="E27" i="2"/>
  <c r="F27" i="2" s="1"/>
  <c r="E29" i="2"/>
  <c r="F29" i="2" s="1"/>
  <c r="E31" i="2"/>
  <c r="F31" i="2" s="1"/>
  <c r="E32" i="2"/>
  <c r="F32" i="2" s="1"/>
  <c r="E34" i="2"/>
  <c r="F34" i="2" s="1"/>
  <c r="E38" i="2"/>
  <c r="F38" i="2" s="1"/>
  <c r="E39" i="2"/>
  <c r="F39" i="2" s="1"/>
  <c r="E40" i="2"/>
  <c r="F40" i="2" s="1"/>
  <c r="E41" i="2"/>
  <c r="F41" i="2" s="1"/>
  <c r="E43" i="2"/>
  <c r="F43" i="2" s="1"/>
  <c r="E75" i="2"/>
  <c r="F75" i="2" s="1"/>
  <c r="E76" i="2"/>
  <c r="F76" i="2" s="1"/>
  <c r="E77" i="2"/>
  <c r="F77" i="2" s="1"/>
  <c r="E79" i="2"/>
  <c r="F79" i="2" s="1"/>
  <c r="E82" i="2"/>
  <c r="F82" i="2" s="1"/>
  <c r="E83" i="2"/>
  <c r="F83" i="2" s="1"/>
  <c r="E85" i="2"/>
  <c r="F85" i="2" s="1"/>
  <c r="E86" i="2"/>
  <c r="F86" i="2" s="1"/>
  <c r="E87" i="2"/>
  <c r="F87" i="2" s="1"/>
  <c r="E88" i="2"/>
  <c r="F88" i="2" s="1"/>
  <c r="E91" i="2"/>
  <c r="F91" i="2" s="1"/>
  <c r="E93" i="2"/>
  <c r="F93" i="2" s="1"/>
  <c r="E94" i="2"/>
  <c r="F94" i="2" s="1"/>
  <c r="E110" i="2"/>
  <c r="F110" i="2" s="1"/>
  <c r="E111" i="2"/>
  <c r="F111" i="2" s="1"/>
  <c r="E112" i="2"/>
  <c r="F112" i="2" s="1"/>
  <c r="E113" i="2"/>
  <c r="F113" i="2" s="1"/>
  <c r="E114" i="2"/>
  <c r="F114" i="2" s="1"/>
  <c r="E116" i="2"/>
  <c r="F116" i="2" s="1"/>
  <c r="E117" i="2"/>
  <c r="F117" i="2" s="1"/>
  <c r="E118" i="2"/>
  <c r="F118" i="2" s="1"/>
  <c r="E119" i="2"/>
  <c r="F119" i="2" s="1"/>
  <c r="E120" i="2"/>
  <c r="F120" i="2" s="1"/>
  <c r="E121" i="2"/>
  <c r="F121" i="2" s="1"/>
  <c r="E123" i="2"/>
  <c r="F123" i="2" s="1"/>
  <c r="E126" i="2"/>
  <c r="F126" i="2" s="1"/>
  <c r="E127" i="2"/>
  <c r="F127" i="2" s="1"/>
  <c r="E128" i="2"/>
  <c r="F128" i="2" s="1"/>
  <c r="E152" i="2"/>
  <c r="F152" i="2" s="1"/>
  <c r="E153" i="2"/>
  <c r="F153" i="2" s="1"/>
  <c r="E154" i="2"/>
  <c r="F154" i="2" s="1"/>
  <c r="E155" i="2"/>
  <c r="F155" i="2" s="1"/>
  <c r="E156" i="2"/>
  <c r="F156" i="2" s="1"/>
  <c r="E157" i="2"/>
  <c r="F157" i="2" s="1"/>
  <c r="E158" i="2"/>
  <c r="F158" i="2" s="1"/>
  <c r="E160" i="2"/>
  <c r="F160" i="2" s="1"/>
  <c r="E161" i="2"/>
  <c r="F161" i="2" s="1"/>
  <c r="E162" i="2"/>
  <c r="F162" i="2" s="1"/>
  <c r="E178" i="2"/>
  <c r="F178" i="2" s="1"/>
  <c r="E182" i="2"/>
  <c r="F182" i="2" s="1"/>
  <c r="E183" i="2"/>
  <c r="F183" i="2" s="1"/>
  <c r="E184" i="2"/>
  <c r="F184" i="2" s="1"/>
  <c r="E185" i="2"/>
  <c r="F185" i="2" s="1"/>
  <c r="E186" i="2"/>
  <c r="F186" i="2" s="1"/>
  <c r="E187" i="2"/>
  <c r="F187" i="2" s="1"/>
  <c r="E189" i="2"/>
  <c r="F189" i="2" s="1"/>
  <c r="E193" i="2"/>
  <c r="F193" i="2" s="1"/>
  <c r="E194" i="2"/>
  <c r="F194" i="2" s="1"/>
  <c r="E195" i="2"/>
  <c r="F195" i="2" s="1"/>
  <c r="E196" i="2"/>
  <c r="F196" i="2" s="1"/>
  <c r="E218" i="2"/>
  <c r="F218" i="2" s="1"/>
  <c r="E219" i="2"/>
  <c r="F219" i="2" s="1"/>
  <c r="E221" i="2"/>
  <c r="F221" i="2" s="1"/>
  <c r="E222" i="2"/>
  <c r="F222" i="2" s="1"/>
  <c r="E223" i="2"/>
  <c r="F223" i="2" s="1"/>
  <c r="E224" i="2"/>
  <c r="F224" i="2" s="1"/>
  <c r="E226" i="2"/>
  <c r="F226" i="2" s="1"/>
  <c r="E227" i="2"/>
  <c r="F227" i="2" s="1"/>
  <c r="E228" i="2"/>
  <c r="F228" i="2" s="1"/>
  <c r="E229" i="2"/>
  <c r="F229" i="2" s="1"/>
  <c r="E230" i="2"/>
  <c r="F230" i="2" s="1"/>
  <c r="E231" i="2"/>
  <c r="F231" i="2" s="1"/>
  <c r="E233" i="2"/>
  <c r="F233" i="2" s="1"/>
  <c r="E239" i="2"/>
  <c r="F239" i="2" s="1"/>
  <c r="E240" i="2"/>
  <c r="F240" i="2" s="1"/>
  <c r="E241" i="2"/>
  <c r="F241" i="2" s="1"/>
  <c r="E242" i="2"/>
  <c r="F242" i="2" s="1"/>
  <c r="E243" i="2"/>
  <c r="F243" i="2" s="1"/>
  <c r="E244" i="2"/>
  <c r="F244" i="2" s="1"/>
  <c r="E245" i="2"/>
  <c r="F245" i="2" s="1"/>
  <c r="E250" i="2"/>
  <c r="F250" i="2" s="1"/>
  <c r="E255" i="2"/>
  <c r="F255" i="2" s="1"/>
  <c r="E256" i="2"/>
  <c r="F256" i="2" s="1"/>
  <c r="E257" i="2"/>
  <c r="F257" i="2" s="1"/>
  <c r="E308" i="2"/>
  <c r="F308" i="2" s="1"/>
  <c r="E310" i="2"/>
  <c r="F310" i="2" s="1"/>
  <c r="E311" i="2"/>
  <c r="F311" i="2" s="1"/>
  <c r="E313" i="2"/>
  <c r="F313" i="2" s="1"/>
  <c r="E314" i="2"/>
  <c r="F314" i="2" s="1"/>
  <c r="E315" i="2"/>
  <c r="F315" i="2" s="1"/>
  <c r="E316" i="2"/>
  <c r="F316" i="2" s="1"/>
  <c r="E317" i="2"/>
  <c r="F317" i="2" s="1"/>
  <c r="E318" i="2"/>
  <c r="F318" i="2" s="1"/>
  <c r="E319" i="2"/>
  <c r="F319" i="2" s="1"/>
  <c r="E320" i="2"/>
  <c r="F320" i="2" s="1"/>
  <c r="E321" i="2"/>
  <c r="F321" i="2" s="1"/>
  <c r="E340" i="2"/>
  <c r="F340" i="2" s="1"/>
  <c r="E341" i="2"/>
  <c r="F341" i="2" s="1"/>
  <c r="E342" i="2"/>
  <c r="F342" i="2" s="1"/>
  <c r="E345" i="2"/>
  <c r="F345" i="2" s="1"/>
  <c r="E346" i="2"/>
  <c r="F346" i="2" s="1"/>
  <c r="E347" i="2"/>
  <c r="F347" i="2" s="1"/>
  <c r="E348" i="2"/>
  <c r="F348" i="2" s="1"/>
  <c r="E349" i="2"/>
  <c r="F349" i="2" s="1"/>
  <c r="E350" i="2"/>
  <c r="F350" i="2" s="1"/>
  <c r="E362" i="2"/>
  <c r="F362" i="2" s="1"/>
  <c r="E364" i="2"/>
  <c r="F364" i="2" s="1"/>
  <c r="E365" i="2"/>
  <c r="F365" i="2" s="1"/>
  <c r="E366" i="2"/>
  <c r="F366" i="2" s="1"/>
  <c r="E368" i="2"/>
  <c r="F368" i="2" s="1"/>
  <c r="E369" i="2"/>
  <c r="F369" i="2" s="1"/>
  <c r="E371" i="2"/>
  <c r="F371" i="2" s="1"/>
  <c r="E372" i="2"/>
  <c r="F372" i="2" s="1"/>
  <c r="E373" i="2"/>
  <c r="F373" i="2" s="1"/>
  <c r="E374" i="2"/>
  <c r="F374" i="2" s="1"/>
  <c r="E393" i="2"/>
  <c r="F393" i="2" s="1"/>
  <c r="E395" i="2"/>
  <c r="F395" i="2" s="1"/>
  <c r="E397" i="2"/>
  <c r="F397" i="2" s="1"/>
  <c r="E398" i="2"/>
  <c r="F398" i="2" s="1"/>
  <c r="E399" i="2"/>
  <c r="F399" i="2" s="1"/>
  <c r="E400" i="2"/>
  <c r="F400" i="2" s="1"/>
  <c r="E401" i="2"/>
  <c r="F401" i="2" s="1"/>
  <c r="E404" i="2"/>
  <c r="F404" i="2" s="1"/>
  <c r="E406" i="2"/>
  <c r="F406" i="2" s="1"/>
  <c r="E408" i="2"/>
  <c r="F408" i="2" s="1"/>
  <c r="E410" i="2"/>
  <c r="F410" i="2" s="1"/>
  <c r="E427" i="2"/>
  <c r="F427" i="2" s="1"/>
  <c r="E428" i="2"/>
  <c r="F428" i="2" s="1"/>
  <c r="E430" i="2"/>
  <c r="F430" i="2" s="1"/>
  <c r="E432" i="2"/>
  <c r="F432" i="2" s="1"/>
  <c r="E433" i="2"/>
  <c r="F433" i="2" s="1"/>
  <c r="E434" i="2"/>
  <c r="F434" i="2" s="1"/>
  <c r="E435" i="2"/>
  <c r="F435" i="2" s="1"/>
  <c r="E436" i="2"/>
  <c r="F436" i="2" s="1"/>
  <c r="E437" i="2"/>
  <c r="F437" i="2" s="1"/>
  <c r="E438" i="2"/>
  <c r="F438" i="2" s="1"/>
  <c r="E439" i="2"/>
  <c r="F439" i="2" s="1"/>
  <c r="E440" i="2"/>
  <c r="F440" i="2" s="1"/>
  <c r="E441" i="2"/>
  <c r="F441" i="2" s="1"/>
  <c r="E464" i="2"/>
  <c r="F464" i="2" s="1"/>
  <c r="E466" i="2"/>
  <c r="F466" i="2" s="1"/>
  <c r="E469" i="2"/>
  <c r="F469" i="2" s="1"/>
  <c r="E471" i="2"/>
  <c r="F471" i="2" s="1"/>
  <c r="E472" i="2"/>
  <c r="F472" i="2" s="1"/>
  <c r="E473" i="2"/>
  <c r="F473" i="2" s="1"/>
  <c r="E476" i="2"/>
  <c r="F476" i="2" s="1"/>
  <c r="E479" i="2"/>
  <c r="F479" i="2" s="1"/>
  <c r="E480" i="2"/>
  <c r="F480" i="2" s="1"/>
  <c r="E481" i="2"/>
  <c r="F481" i="2" s="1"/>
  <c r="E504" i="2"/>
  <c r="F504" i="2" s="1"/>
  <c r="E505" i="2"/>
  <c r="F505" i="2" s="1"/>
  <c r="E506" i="2"/>
  <c r="F506" i="2" s="1"/>
  <c r="E507" i="2"/>
  <c r="F507" i="2" s="1"/>
  <c r="E508" i="2"/>
  <c r="F508" i="2" s="1"/>
  <c r="E510" i="2"/>
  <c r="F510" i="2" s="1"/>
  <c r="E511" i="2"/>
  <c r="F511" i="2" s="1"/>
  <c r="E512" i="2"/>
  <c r="F512" i="2" s="1"/>
  <c r="E513" i="2"/>
  <c r="F513" i="2" s="1"/>
  <c r="E515" i="2"/>
  <c r="F515" i="2" s="1"/>
  <c r="E516" i="2"/>
  <c r="F516" i="2" s="1"/>
  <c r="E518" i="2"/>
  <c r="F518" i="2" s="1"/>
  <c r="E534" i="2"/>
  <c r="F534" i="2" s="1"/>
  <c r="E535" i="2"/>
  <c r="F535" i="2" s="1"/>
  <c r="E538" i="2"/>
  <c r="F538" i="2" s="1"/>
  <c r="E539" i="2"/>
  <c r="F539" i="2" s="1"/>
  <c r="E540" i="2"/>
  <c r="F540" i="2" s="1"/>
  <c r="E547" i="2"/>
  <c r="F547" i="2" s="1"/>
  <c r="E548" i="2"/>
  <c r="F548" i="2" s="1"/>
  <c r="E550" i="2"/>
  <c r="F550" i="2" s="1"/>
  <c r="E552" i="2"/>
  <c r="F552" i="2" s="1"/>
  <c r="E562" i="2"/>
  <c r="F562" i="2" s="1"/>
  <c r="E564" i="2"/>
  <c r="F564" i="2" s="1"/>
  <c r="E567" i="2"/>
  <c r="F567" i="2" s="1"/>
  <c r="E569" i="2"/>
  <c r="F569" i="2" s="1"/>
  <c r="E581" i="2"/>
  <c r="F581" i="2" s="1"/>
  <c r="E583" i="2"/>
  <c r="F583" i="2" s="1"/>
  <c r="E584" i="2"/>
  <c r="F584" i="2" s="1"/>
  <c r="E585" i="2"/>
  <c r="F585" i="2" s="1"/>
  <c r="E586" i="2"/>
  <c r="F586" i="2" s="1"/>
  <c r="E587" i="2"/>
  <c r="F587" i="2" s="1"/>
  <c r="E588" i="2"/>
  <c r="F588" i="2" s="1"/>
  <c r="E589" i="2"/>
  <c r="F589" i="2" s="1"/>
  <c r="E590" i="2"/>
  <c r="F590" i="2" s="1"/>
  <c r="E591" i="2"/>
  <c r="F591" i="2" s="1"/>
  <c r="E592" i="2"/>
  <c r="F592" i="2" s="1"/>
  <c r="E594" i="2"/>
  <c r="F594" i="2" s="1"/>
  <c r="E595" i="2"/>
  <c r="F595" i="2" s="1"/>
  <c r="E620" i="2"/>
  <c r="F620" i="2" s="1"/>
  <c r="E623" i="2"/>
  <c r="F623" i="2" s="1"/>
  <c r="E643" i="2"/>
  <c r="F643" i="2" s="1"/>
  <c r="E644" i="2"/>
  <c r="F644" i="2" s="1"/>
  <c r="E647" i="2"/>
  <c r="F647" i="2" s="1"/>
  <c r="E648" i="2"/>
  <c r="F648" i="2" s="1"/>
  <c r="E681" i="2"/>
  <c r="F681" i="2" s="1"/>
  <c r="E683" i="2"/>
  <c r="F683" i="2" s="1"/>
  <c r="E685" i="2"/>
  <c r="F685" i="2" s="1"/>
  <c r="E714" i="2"/>
  <c r="F714" i="2" s="1"/>
  <c r="E730" i="2"/>
  <c r="F730" i="2" s="1"/>
  <c r="E732" i="2"/>
  <c r="F732" i="2" s="1"/>
  <c r="E733" i="2"/>
  <c r="F733" i="2" s="1"/>
  <c r="E735" i="2"/>
  <c r="F735" i="2" s="1"/>
  <c r="E736" i="2"/>
  <c r="F736" i="2" s="1"/>
  <c r="E748" i="2"/>
  <c r="F748" i="2" s="1"/>
  <c r="E749" i="2"/>
  <c r="F749" i="2" s="1"/>
  <c r="E776" i="2"/>
  <c r="F776" i="2" s="1"/>
  <c r="E780" i="2"/>
  <c r="F780" i="2" s="1"/>
  <c r="E815" i="2"/>
  <c r="F815" i="2" s="1"/>
  <c r="E821" i="2"/>
  <c r="F821" i="2" s="1"/>
  <c r="E852" i="2"/>
  <c r="F852" i="2" s="1"/>
  <c r="E889" i="2"/>
  <c r="F889" i="2" s="1"/>
  <c r="E894" i="2"/>
  <c r="F894" i="2" s="1"/>
  <c r="E898" i="2"/>
  <c r="F898" i="2" s="1"/>
  <c r="E901" i="2"/>
  <c r="F901" i="2" s="1"/>
  <c r="E1182" i="2"/>
  <c r="F1182" i="2" s="1"/>
  <c r="E6" i="2"/>
  <c r="F6" i="2" s="1"/>
  <c r="E9" i="2"/>
  <c r="F9" i="2" s="1"/>
  <c r="E14" i="2"/>
  <c r="F14" i="2" s="1"/>
  <c r="E15" i="2"/>
  <c r="F15" i="2" s="1"/>
  <c r="E19" i="2"/>
  <c r="F19" i="2" s="1"/>
  <c r="E235" i="2"/>
  <c r="F235" i="2" s="1"/>
  <c r="E238" i="2"/>
  <c r="F238" i="2" s="1"/>
  <c r="E203" i="2"/>
  <c r="F203" i="2" s="1"/>
  <c r="E208" i="2"/>
  <c r="F208" i="2" s="1"/>
  <c r="E383" i="2"/>
  <c r="F383" i="2" s="1"/>
  <c r="E532" i="2"/>
  <c r="H5" i="13" s="1"/>
  <c r="E722" i="2"/>
  <c r="F722" i="2" s="1"/>
  <c r="E8" i="2"/>
  <c r="F8" i="2" s="1"/>
  <c r="E12" i="2"/>
  <c r="F12" i="2" s="1"/>
  <c r="E49" i="2"/>
  <c r="F49" i="2" s="1"/>
  <c r="E52" i="2"/>
  <c r="F52" i="2" s="1"/>
  <c r="E54" i="2"/>
  <c r="F54" i="2" s="1"/>
  <c r="E55" i="2"/>
  <c r="F55" i="2" s="1"/>
  <c r="E58" i="2"/>
  <c r="F58" i="2" s="1"/>
  <c r="E62" i="2"/>
  <c r="F62" i="2" s="1"/>
  <c r="E70" i="2"/>
  <c r="F70" i="2" s="1"/>
  <c r="E96" i="2"/>
  <c r="F96" i="2" s="1"/>
  <c r="E98" i="2"/>
  <c r="F98" i="2" s="1"/>
  <c r="E103" i="2"/>
  <c r="F103" i="2" s="1"/>
  <c r="E107" i="2"/>
  <c r="F107" i="2" s="1"/>
  <c r="E109" i="2"/>
  <c r="F109" i="2" s="1"/>
  <c r="E133" i="2"/>
  <c r="F133" i="2" s="1"/>
  <c r="E134" i="2"/>
  <c r="F134" i="2" s="1"/>
  <c r="E136" i="2"/>
  <c r="F136" i="2" s="1"/>
  <c r="E137" i="2"/>
  <c r="F137" i="2" s="1"/>
  <c r="E138" i="2"/>
  <c r="F138" i="2" s="1"/>
  <c r="E140" i="2"/>
  <c r="F140" i="2" s="1"/>
  <c r="E141" i="2"/>
  <c r="F141" i="2" s="1"/>
  <c r="E148" i="2"/>
  <c r="F148" i="2" s="1"/>
  <c r="E149" i="2"/>
  <c r="F149" i="2" s="1"/>
  <c r="E150" i="2"/>
  <c r="F150" i="2" s="1"/>
  <c r="E168" i="2"/>
  <c r="F168" i="2" s="1"/>
  <c r="E170" i="2"/>
  <c r="F170" i="2" s="1"/>
  <c r="E172" i="2"/>
  <c r="F172" i="2" s="1"/>
  <c r="E176" i="2"/>
  <c r="F176" i="2" s="1"/>
  <c r="E200" i="2"/>
  <c r="F200" i="2" s="1"/>
  <c r="E206" i="2"/>
  <c r="F206" i="2" s="1"/>
  <c r="E209" i="2"/>
  <c r="F209" i="2" s="1"/>
  <c r="E210" i="2"/>
  <c r="F210" i="2" s="1"/>
  <c r="E212" i="2"/>
  <c r="F212" i="2" s="1"/>
  <c r="E260" i="2"/>
  <c r="F260" i="2" s="1"/>
  <c r="E267" i="2"/>
  <c r="F267" i="2" s="1"/>
  <c r="E273" i="2"/>
  <c r="F273" i="2" s="1"/>
  <c r="E274" i="2"/>
  <c r="F274" i="2" s="1"/>
  <c r="E277" i="2"/>
  <c r="F277" i="2" s="1"/>
  <c r="E279" i="2"/>
  <c r="F279" i="2" s="1"/>
  <c r="E280" i="2"/>
  <c r="F280" i="2" s="1"/>
  <c r="E281" i="2"/>
  <c r="F281" i="2" s="1"/>
  <c r="E285" i="2"/>
  <c r="F285" i="2" s="1"/>
  <c r="E286" i="2"/>
  <c r="F286" i="2" s="1"/>
  <c r="E287" i="2"/>
  <c r="F287" i="2" s="1"/>
  <c r="E292" i="2"/>
  <c r="F292" i="2" s="1"/>
  <c r="E294" i="2"/>
  <c r="F294" i="2" s="1"/>
  <c r="E295" i="2"/>
  <c r="F295" i="2" s="1"/>
  <c r="E296" i="2"/>
  <c r="F296" i="2" s="1"/>
  <c r="E297" i="2"/>
  <c r="F297" i="2" s="1"/>
  <c r="E298" i="2"/>
  <c r="F298" i="2" s="1"/>
  <c r="E299" i="2"/>
  <c r="F299" i="2" s="1"/>
  <c r="E301" i="2"/>
  <c r="F301" i="2" s="1"/>
  <c r="E302" i="2"/>
  <c r="F302" i="2" s="1"/>
  <c r="E305" i="2"/>
  <c r="F305" i="2" s="1"/>
  <c r="E309" i="2"/>
  <c r="F309" i="2" s="1"/>
  <c r="E323" i="2"/>
  <c r="F323" i="2" s="1"/>
  <c r="E326" i="2"/>
  <c r="F326" i="2" s="1"/>
  <c r="E329" i="2"/>
  <c r="F329" i="2" s="1"/>
  <c r="E331" i="2"/>
  <c r="F331" i="2" s="1"/>
  <c r="E356" i="2"/>
  <c r="F356" i="2" s="1"/>
  <c r="E377" i="2"/>
  <c r="F377" i="2" s="1"/>
  <c r="E378" i="2"/>
  <c r="F378" i="2" s="1"/>
  <c r="E379" i="2"/>
  <c r="F379" i="2" s="1"/>
  <c r="E381" i="2"/>
  <c r="F381" i="2" s="1"/>
  <c r="E389" i="2"/>
  <c r="F389" i="2" s="1"/>
  <c r="E411" i="2"/>
  <c r="F411" i="2" s="1"/>
  <c r="E412" i="2"/>
  <c r="F412" i="2" s="1"/>
  <c r="E414" i="2"/>
  <c r="F414" i="2" s="1"/>
  <c r="E417" i="2"/>
  <c r="F417" i="2" s="1"/>
  <c r="E422" i="2"/>
  <c r="F422" i="2" s="1"/>
  <c r="E425" i="2"/>
  <c r="F425" i="2" s="1"/>
  <c r="E426" i="2"/>
  <c r="F426" i="2" s="1"/>
  <c r="E448" i="2"/>
  <c r="F448" i="2" s="1"/>
  <c r="E449" i="2"/>
  <c r="F449" i="2" s="1"/>
  <c r="E450" i="2"/>
  <c r="F450" i="2" s="1"/>
  <c r="E452" i="2"/>
  <c r="F452" i="2" s="1"/>
  <c r="E453" i="2"/>
  <c r="F453" i="2" s="1"/>
  <c r="E454" i="2"/>
  <c r="F454" i="2" s="1"/>
  <c r="E455" i="2"/>
  <c r="F455" i="2" s="1"/>
  <c r="E458" i="2"/>
  <c r="F458" i="2" s="1"/>
  <c r="E487" i="2"/>
  <c r="F487" i="2" s="1"/>
  <c r="E490" i="2"/>
  <c r="F490" i="2" s="1"/>
  <c r="E493" i="2"/>
  <c r="F493" i="2" s="1"/>
  <c r="E494" i="2"/>
  <c r="F494" i="2" s="1"/>
  <c r="E498" i="2"/>
  <c r="F498" i="2" s="1"/>
  <c r="E500" i="2"/>
  <c r="F500" i="2" s="1"/>
  <c r="E501" i="2"/>
  <c r="F501" i="2" s="1"/>
  <c r="E529" i="2"/>
  <c r="F529" i="2" s="1"/>
  <c r="E542" i="2"/>
  <c r="F542" i="2" s="1"/>
  <c r="E546" i="2"/>
  <c r="F546" i="2" s="1"/>
  <c r="E555" i="2"/>
  <c r="F555" i="2" s="1"/>
  <c r="E559" i="2"/>
  <c r="F559" i="2" s="1"/>
  <c r="E560" i="2"/>
  <c r="F560" i="2" s="1"/>
  <c r="E578" i="2"/>
  <c r="F578" i="2" s="1"/>
  <c r="E600" i="2"/>
  <c r="F600" i="2" s="1"/>
  <c r="E630" i="2"/>
  <c r="F630" i="2" s="1"/>
  <c r="E651" i="2"/>
  <c r="F651" i="2" s="1"/>
  <c r="E655" i="2"/>
  <c r="F655" i="2" s="1"/>
  <c r="E669" i="2"/>
  <c r="F669" i="2" s="1"/>
  <c r="E674" i="2"/>
  <c r="F674" i="2" s="1"/>
  <c r="E677" i="2"/>
  <c r="F677" i="2" s="1"/>
  <c r="E687" i="2"/>
  <c r="F687" i="2" s="1"/>
  <c r="E689" i="2"/>
  <c r="F689" i="2" s="1"/>
  <c r="E690" i="2"/>
  <c r="F690" i="2" s="1"/>
  <c r="E692" i="2"/>
  <c r="F692" i="2" s="1"/>
  <c r="E693" i="2"/>
  <c r="F693" i="2" s="1"/>
  <c r="E723" i="2"/>
  <c r="F723" i="2" s="1"/>
  <c r="E485" i="2"/>
  <c r="F485" i="2" s="1"/>
  <c r="E544" i="2"/>
  <c r="F544" i="2" s="1"/>
  <c r="E597" i="2"/>
  <c r="F597" i="2" s="1"/>
  <c r="E656" i="2"/>
  <c r="F656" i="2" s="1"/>
  <c r="E706" i="2"/>
  <c r="F706" i="2" s="1"/>
  <c r="E707" i="2"/>
  <c r="F707" i="2" s="1"/>
  <c r="E688" i="2"/>
  <c r="H10" i="13" s="1"/>
  <c r="BG10" i="13" s="1"/>
  <c r="E702" i="2"/>
  <c r="F702" i="2" s="1"/>
  <c r="E704" i="2"/>
  <c r="F704" i="2" s="1"/>
  <c r="E705" i="2"/>
  <c r="F705" i="2" s="1"/>
  <c r="E719" i="2"/>
  <c r="F719" i="2" s="1"/>
  <c r="E720" i="2"/>
  <c r="F720" i="2" s="1"/>
  <c r="E484" i="2"/>
  <c r="F484" i="2" s="1"/>
  <c r="E533" i="2"/>
  <c r="F533" i="2" s="1"/>
  <c r="E631" i="2"/>
  <c r="F631" i="2" s="1"/>
  <c r="E5" i="2"/>
  <c r="F5" i="2" s="1"/>
  <c r="E16" i="2"/>
  <c r="F16" i="2" s="1"/>
  <c r="E46" i="2"/>
  <c r="F46" i="2" s="1"/>
  <c r="E47" i="2"/>
  <c r="F47" i="2" s="1"/>
  <c r="E48" i="2"/>
  <c r="F48" i="2" s="1"/>
  <c r="E50" i="2"/>
  <c r="F50" i="2" s="1"/>
  <c r="E51" i="2"/>
  <c r="F51" i="2" s="1"/>
  <c r="E53" i="2"/>
  <c r="F53" i="2" s="1"/>
  <c r="E56" i="2"/>
  <c r="F56" i="2" s="1"/>
  <c r="E57" i="2"/>
  <c r="F57" i="2" s="1"/>
  <c r="E59" i="2"/>
  <c r="F59" i="2" s="1"/>
  <c r="E60" i="2"/>
  <c r="F60" i="2" s="1"/>
  <c r="E61" i="2"/>
  <c r="F61" i="2" s="1"/>
  <c r="E63" i="2"/>
  <c r="F63" i="2" s="1"/>
  <c r="E64" i="2"/>
  <c r="F64" i="2" s="1"/>
  <c r="E65" i="2"/>
  <c r="F65" i="2" s="1"/>
  <c r="E66" i="2"/>
  <c r="F66" i="2" s="1"/>
  <c r="E67" i="2"/>
  <c r="F67" i="2" s="1"/>
  <c r="E68" i="2"/>
  <c r="F68" i="2" s="1"/>
  <c r="E69" i="2"/>
  <c r="F69" i="2" s="1"/>
  <c r="E71" i="2"/>
  <c r="F71" i="2" s="1"/>
  <c r="E95" i="2"/>
  <c r="F95" i="2" s="1"/>
  <c r="E97" i="2"/>
  <c r="F97" i="2" s="1"/>
  <c r="E99" i="2"/>
  <c r="F99" i="2" s="1"/>
  <c r="E100" i="2"/>
  <c r="F100" i="2" s="1"/>
  <c r="E101" i="2"/>
  <c r="F101" i="2" s="1"/>
  <c r="E102" i="2"/>
  <c r="F102" i="2" s="1"/>
  <c r="E104" i="2"/>
  <c r="F104" i="2" s="1"/>
  <c r="E105" i="2"/>
  <c r="F105" i="2" s="1"/>
  <c r="E106" i="2"/>
  <c r="F106" i="2" s="1"/>
  <c r="E108" i="2"/>
  <c r="F108" i="2" s="1"/>
  <c r="E132" i="2"/>
  <c r="F132" i="2" s="1"/>
  <c r="E135" i="2"/>
  <c r="F135" i="2" s="1"/>
  <c r="E139" i="2"/>
  <c r="F139" i="2" s="1"/>
  <c r="E142" i="2"/>
  <c r="F142" i="2" s="1"/>
  <c r="E143" i="2"/>
  <c r="F143" i="2" s="1"/>
  <c r="E144" i="2"/>
  <c r="F144" i="2" s="1"/>
  <c r="E145" i="2"/>
  <c r="F145" i="2" s="1"/>
  <c r="E146" i="2"/>
  <c r="F146" i="2" s="1"/>
  <c r="E147" i="2"/>
  <c r="F147" i="2" s="1"/>
  <c r="E151" i="2"/>
  <c r="F151" i="2" s="1"/>
  <c r="E164" i="2"/>
  <c r="F164" i="2" s="1"/>
  <c r="E165" i="2"/>
  <c r="F165" i="2" s="1"/>
  <c r="E166" i="2"/>
  <c r="F166" i="2" s="1"/>
  <c r="E167" i="2"/>
  <c r="F167" i="2" s="1"/>
  <c r="E169" i="2"/>
  <c r="F169" i="2" s="1"/>
  <c r="E171" i="2"/>
  <c r="F171" i="2" s="1"/>
  <c r="E173" i="2"/>
  <c r="F173" i="2" s="1"/>
  <c r="E174" i="2"/>
  <c r="F174" i="2" s="1"/>
  <c r="E175" i="2"/>
  <c r="F175" i="2" s="1"/>
  <c r="E177" i="2"/>
  <c r="F177" i="2" s="1"/>
  <c r="E197" i="2"/>
  <c r="F197" i="2" s="1"/>
  <c r="E198" i="2"/>
  <c r="F198" i="2" s="1"/>
  <c r="E199" i="2"/>
  <c r="F199" i="2" s="1"/>
  <c r="E201" i="2"/>
  <c r="F201" i="2" s="1"/>
  <c r="E202" i="2"/>
  <c r="F202" i="2" s="1"/>
  <c r="E204" i="2"/>
  <c r="F204" i="2" s="1"/>
  <c r="E205" i="2"/>
  <c r="F205" i="2" s="1"/>
  <c r="E207" i="2"/>
  <c r="F207" i="2" s="1"/>
  <c r="E211" i="2"/>
  <c r="F211" i="2" s="1"/>
  <c r="E213" i="2"/>
  <c r="F213" i="2" s="1"/>
  <c r="E214" i="2"/>
  <c r="F214" i="2" s="1"/>
  <c r="E215" i="2"/>
  <c r="F215" i="2" s="1"/>
  <c r="E258" i="2"/>
  <c r="F258" i="2" s="1"/>
  <c r="E259" i="2"/>
  <c r="F259" i="2" s="1"/>
  <c r="E261" i="2"/>
  <c r="F261" i="2" s="1"/>
  <c r="E262" i="2"/>
  <c r="F262" i="2" s="1"/>
  <c r="E263" i="2"/>
  <c r="F263" i="2" s="1"/>
  <c r="E264" i="2"/>
  <c r="F264" i="2" s="1"/>
  <c r="E265" i="2"/>
  <c r="F265" i="2" s="1"/>
  <c r="E266" i="2"/>
  <c r="F266" i="2" s="1"/>
  <c r="E268" i="2"/>
  <c r="F268" i="2" s="1"/>
  <c r="E269" i="2"/>
  <c r="F269" i="2" s="1"/>
  <c r="E270" i="2"/>
  <c r="F270" i="2" s="1"/>
  <c r="E271" i="2"/>
  <c r="F271" i="2" s="1"/>
  <c r="E272" i="2"/>
  <c r="F272" i="2" s="1"/>
  <c r="E275" i="2"/>
  <c r="F275" i="2" s="1"/>
  <c r="E276" i="2"/>
  <c r="F276" i="2" s="1"/>
  <c r="E278" i="2"/>
  <c r="F278" i="2" s="1"/>
  <c r="E282" i="2"/>
  <c r="F282" i="2" s="1"/>
  <c r="E283" i="2"/>
  <c r="F283" i="2" s="1"/>
  <c r="E284" i="2"/>
  <c r="F284" i="2" s="1"/>
  <c r="E288" i="2"/>
  <c r="F288" i="2" s="1"/>
  <c r="E289" i="2"/>
  <c r="F289" i="2" s="1"/>
  <c r="E290" i="2"/>
  <c r="F290" i="2" s="1"/>
  <c r="E291" i="2"/>
  <c r="F291" i="2" s="1"/>
  <c r="E293" i="2"/>
  <c r="F293" i="2" s="1"/>
  <c r="E300" i="2"/>
  <c r="F300" i="2" s="1"/>
  <c r="E303" i="2"/>
  <c r="F303" i="2" s="1"/>
  <c r="E304" i="2"/>
  <c r="F304" i="2" s="1"/>
  <c r="E322" i="2"/>
  <c r="F322" i="2" s="1"/>
  <c r="E324" i="2"/>
  <c r="F324" i="2" s="1"/>
  <c r="E325" i="2"/>
  <c r="F325" i="2" s="1"/>
  <c r="E327" i="2"/>
  <c r="F327" i="2" s="1"/>
  <c r="E328" i="2"/>
  <c r="F328" i="2" s="1"/>
  <c r="E330" i="2"/>
  <c r="F330" i="2" s="1"/>
  <c r="E332" i="2"/>
  <c r="F332" i="2" s="1"/>
  <c r="E333" i="2"/>
  <c r="F333" i="2" s="1"/>
  <c r="E334" i="2"/>
  <c r="F334" i="2" s="1"/>
  <c r="E335" i="2"/>
  <c r="F335" i="2" s="1"/>
  <c r="E336" i="2"/>
  <c r="F336" i="2" s="1"/>
  <c r="E337" i="2"/>
  <c r="F337" i="2" s="1"/>
  <c r="E338" i="2"/>
  <c r="F338" i="2" s="1"/>
  <c r="E339" i="2"/>
  <c r="F339" i="2" s="1"/>
  <c r="E352" i="2"/>
  <c r="F352" i="2" s="1"/>
  <c r="E353" i="2"/>
  <c r="F353" i="2" s="1"/>
  <c r="E354" i="2"/>
  <c r="F354" i="2" s="1"/>
  <c r="E355" i="2"/>
  <c r="F355" i="2" s="1"/>
  <c r="E357" i="2"/>
  <c r="F357" i="2" s="1"/>
  <c r="E358" i="2"/>
  <c r="F358" i="2" s="1"/>
  <c r="E359" i="2"/>
  <c r="F359" i="2" s="1"/>
  <c r="E360" i="2"/>
  <c r="F360" i="2" s="1"/>
  <c r="E361" i="2"/>
  <c r="F361" i="2" s="1"/>
  <c r="E376" i="2"/>
  <c r="F376" i="2" s="1"/>
  <c r="E380" i="2"/>
  <c r="F380" i="2" s="1"/>
  <c r="E382" i="2"/>
  <c r="F382" i="2" s="1"/>
  <c r="E384" i="2"/>
  <c r="F384" i="2" s="1"/>
  <c r="E385" i="2"/>
  <c r="F385" i="2" s="1"/>
  <c r="E386" i="2"/>
  <c r="F386" i="2" s="1"/>
  <c r="E387" i="2"/>
  <c r="F387" i="2" s="1"/>
  <c r="E388" i="2"/>
  <c r="F388" i="2" s="1"/>
  <c r="E390" i="2"/>
  <c r="F390" i="2" s="1"/>
  <c r="E391" i="2"/>
  <c r="F391" i="2" s="1"/>
  <c r="E392" i="2"/>
  <c r="F392" i="2" s="1"/>
  <c r="E396" i="2"/>
  <c r="F396" i="2" s="1"/>
  <c r="E402" i="2"/>
  <c r="F402" i="2" s="1"/>
  <c r="E413" i="2"/>
  <c r="F413" i="2" s="1"/>
  <c r="E415" i="2"/>
  <c r="F415" i="2" s="1"/>
  <c r="E416" i="2"/>
  <c r="F416" i="2" s="1"/>
  <c r="E418" i="2"/>
  <c r="F418" i="2" s="1"/>
  <c r="E419" i="2"/>
  <c r="F419" i="2" s="1"/>
  <c r="E420" i="2"/>
  <c r="F420" i="2" s="1"/>
  <c r="E421" i="2"/>
  <c r="F421" i="2" s="1"/>
  <c r="E423" i="2"/>
  <c r="F423" i="2" s="1"/>
  <c r="E424" i="2"/>
  <c r="F424" i="2" s="1"/>
  <c r="E443" i="2"/>
  <c r="F443" i="2" s="1"/>
  <c r="E444" i="2"/>
  <c r="F444" i="2" s="1"/>
  <c r="E445" i="2"/>
  <c r="F445" i="2" s="1"/>
  <c r="E446" i="2"/>
  <c r="F446" i="2" s="1"/>
  <c r="E447" i="2"/>
  <c r="F447" i="2" s="1"/>
  <c r="E451" i="2"/>
  <c r="F451" i="2" s="1"/>
  <c r="E456" i="2"/>
  <c r="F456" i="2" s="1"/>
  <c r="E457" i="2"/>
  <c r="F457" i="2" s="1"/>
  <c r="E459" i="2"/>
  <c r="F459" i="2" s="1"/>
  <c r="E460" i="2"/>
  <c r="F460" i="2" s="1"/>
  <c r="E461" i="2"/>
  <c r="F461" i="2" s="1"/>
  <c r="E486" i="2"/>
  <c r="F486" i="2" s="1"/>
  <c r="E488" i="2"/>
  <c r="F488" i="2" s="1"/>
  <c r="E489" i="2"/>
  <c r="F489" i="2" s="1"/>
  <c r="E491" i="2"/>
  <c r="F491" i="2" s="1"/>
  <c r="E492" i="2"/>
  <c r="F492" i="2" s="1"/>
  <c r="E495" i="2"/>
  <c r="F495" i="2" s="1"/>
  <c r="E496" i="2"/>
  <c r="F496" i="2" s="1"/>
  <c r="E497" i="2"/>
  <c r="F497" i="2" s="1"/>
  <c r="E499" i="2"/>
  <c r="F499" i="2" s="1"/>
  <c r="E502" i="2"/>
  <c r="F502" i="2" s="1"/>
  <c r="E503" i="2"/>
  <c r="F503" i="2" s="1"/>
  <c r="E519" i="2"/>
  <c r="F519" i="2" s="1"/>
  <c r="E520" i="2"/>
  <c r="F520" i="2" s="1"/>
  <c r="E521" i="2"/>
  <c r="F521" i="2" s="1"/>
  <c r="E522" i="2"/>
  <c r="F522" i="2" s="1"/>
  <c r="E523" i="2"/>
  <c r="F523" i="2" s="1"/>
  <c r="E524" i="2"/>
  <c r="F524" i="2" s="1"/>
  <c r="E525" i="2"/>
  <c r="F525" i="2" s="1"/>
  <c r="E526" i="2"/>
  <c r="F526" i="2" s="1"/>
  <c r="E527" i="2"/>
  <c r="F527" i="2" s="1"/>
  <c r="E528" i="2"/>
  <c r="F528" i="2" s="1"/>
  <c r="E530" i="2"/>
  <c r="F530" i="2" s="1"/>
  <c r="E541" i="2"/>
  <c r="F541" i="2" s="1"/>
  <c r="E543" i="2"/>
  <c r="F543" i="2" s="1"/>
  <c r="E545" i="2"/>
  <c r="F545" i="2" s="1"/>
  <c r="E554" i="2"/>
  <c r="F554" i="2" s="1"/>
  <c r="E556" i="2"/>
  <c r="F556" i="2" s="1"/>
  <c r="E557" i="2"/>
  <c r="F557" i="2" s="1"/>
  <c r="E558" i="2"/>
  <c r="F558" i="2" s="1"/>
  <c r="E561" i="2"/>
  <c r="F561" i="2" s="1"/>
  <c r="E570" i="2"/>
  <c r="F570" i="2" s="1"/>
  <c r="E571" i="2"/>
  <c r="F571" i="2" s="1"/>
  <c r="E572" i="2"/>
  <c r="F572" i="2" s="1"/>
  <c r="E573" i="2"/>
  <c r="F573" i="2" s="1"/>
  <c r="E574" i="2"/>
  <c r="F574" i="2" s="1"/>
  <c r="E575" i="2"/>
  <c r="F575" i="2" s="1"/>
  <c r="E576" i="2"/>
  <c r="F576" i="2" s="1"/>
  <c r="E577" i="2"/>
  <c r="F577" i="2" s="1"/>
  <c r="E579" i="2"/>
  <c r="F579" i="2" s="1"/>
  <c r="E596" i="2"/>
  <c r="F596" i="2" s="1"/>
  <c r="E598" i="2"/>
  <c r="F598" i="2" s="1"/>
  <c r="E599" i="2"/>
  <c r="F599" i="2" s="1"/>
  <c r="E601" i="2"/>
  <c r="F601" i="2" s="1"/>
  <c r="E602" i="2"/>
  <c r="F602" i="2" s="1"/>
  <c r="E628" i="2"/>
  <c r="F628" i="2" s="1"/>
  <c r="E629" i="2"/>
  <c r="F629" i="2" s="1"/>
  <c r="E632" i="2"/>
  <c r="F632" i="2" s="1"/>
  <c r="E633" i="2"/>
  <c r="F633" i="2" s="1"/>
  <c r="E650" i="2"/>
  <c r="F650" i="2" s="1"/>
  <c r="E652" i="2"/>
  <c r="F652" i="2" s="1"/>
  <c r="E653" i="2"/>
  <c r="F653" i="2" s="1"/>
  <c r="E654" i="2"/>
  <c r="F654" i="2" s="1"/>
  <c r="E670" i="2"/>
  <c r="F670" i="2" s="1"/>
  <c r="E671" i="2"/>
  <c r="F671" i="2" s="1"/>
  <c r="E672" i="2"/>
  <c r="F672" i="2" s="1"/>
  <c r="E673" i="2"/>
  <c r="F673" i="2" s="1"/>
  <c r="E675" i="2"/>
  <c r="F675" i="2" s="1"/>
  <c r="E676" i="2"/>
  <c r="F676" i="2" s="1"/>
  <c r="E678" i="2"/>
  <c r="F678" i="2" s="1"/>
  <c r="E679" i="2"/>
  <c r="F679" i="2" s="1"/>
  <c r="E691" i="2"/>
  <c r="F691" i="2" s="1"/>
  <c r="E703" i="2"/>
  <c r="F703" i="2" s="1"/>
  <c r="E718" i="2"/>
  <c r="F718" i="2" s="1"/>
  <c r="E721" i="2"/>
  <c r="F721" i="2" s="1"/>
  <c r="E724" i="2"/>
  <c r="F724" i="2" s="1"/>
  <c r="E726" i="2"/>
  <c r="F726" i="2" s="1"/>
  <c r="E72" i="2"/>
  <c r="F72" i="2" s="1"/>
  <c r="E712" i="2"/>
  <c r="H13" i="13" s="1"/>
  <c r="E751" i="2"/>
  <c r="F751" i="2" s="1"/>
  <c r="E754" i="2"/>
  <c r="F754" i="2" s="1"/>
  <c r="E782" i="2"/>
  <c r="H16" i="13" s="1"/>
  <c r="E787" i="2"/>
  <c r="F787" i="2" s="1"/>
  <c r="E790" i="2"/>
  <c r="F790" i="2" s="1"/>
  <c r="E826" i="2"/>
  <c r="E829" i="2"/>
  <c r="F829" i="2" s="1"/>
  <c r="E833" i="2"/>
  <c r="F833" i="2" s="1"/>
  <c r="E856" i="2"/>
  <c r="F856" i="2" s="1"/>
  <c r="E902" i="2"/>
  <c r="F902" i="2" s="1"/>
  <c r="E904" i="2"/>
  <c r="F904" i="2" s="1"/>
  <c r="E908" i="2"/>
  <c r="F908" i="2" s="1"/>
  <c r="E912" i="2"/>
  <c r="F912" i="2" s="1"/>
  <c r="E913" i="2"/>
  <c r="F913" i="2" s="1"/>
  <c r="E914" i="2"/>
  <c r="F914" i="2" s="1"/>
  <c r="E941" i="2"/>
  <c r="F941" i="2" s="1"/>
  <c r="E943" i="2"/>
  <c r="F943" i="2" s="1"/>
  <c r="E967" i="2"/>
  <c r="F967" i="2" s="1"/>
  <c r="E968" i="2"/>
  <c r="F968" i="2" s="1"/>
  <c r="H43" i="13"/>
  <c r="E970" i="2"/>
  <c r="F970" i="2" s="1"/>
  <c r="E971" i="2"/>
  <c r="F971" i="2" s="1"/>
  <c r="E972" i="2"/>
  <c r="F972" i="2" s="1"/>
  <c r="E973" i="2"/>
  <c r="H44" i="13" s="1"/>
  <c r="E974" i="2"/>
  <c r="F974" i="2" s="1"/>
  <c r="E1001" i="2"/>
  <c r="E1004" i="2"/>
  <c r="F1004" i="2" s="1"/>
  <c r="E1009" i="2"/>
  <c r="H53" i="13" s="1"/>
  <c r="E1010" i="2"/>
  <c r="F1010" i="2" s="1"/>
  <c r="E1050" i="2"/>
  <c r="F1050" i="2" s="1"/>
  <c r="E1052" i="2"/>
  <c r="H80" i="13" s="1"/>
  <c r="BG80" i="13" s="1"/>
  <c r="E1053" i="2"/>
  <c r="H81" i="13" s="1"/>
  <c r="BG81" i="13" s="1"/>
  <c r="E1056" i="2"/>
  <c r="H84" i="13" s="1"/>
  <c r="BG84" i="13" s="1"/>
  <c r="E1057" i="2"/>
  <c r="H85" i="13" s="1"/>
  <c r="BG85" i="13" s="1"/>
  <c r="E1059" i="2"/>
  <c r="F1059" i="2" s="1"/>
  <c r="E1086" i="2"/>
  <c r="H111" i="13" s="1"/>
  <c r="BG111" i="13" s="1"/>
  <c r="E1087" i="2"/>
  <c r="F1087" i="2" s="1"/>
  <c r="E1088" i="2"/>
  <c r="F1088" i="2" s="1"/>
  <c r="E1089" i="2"/>
  <c r="F1089" i="2" s="1"/>
  <c r="E1090" i="2"/>
  <c r="F1090" i="2" s="1"/>
  <c r="E1091" i="2"/>
  <c r="F1091" i="2" s="1"/>
  <c r="E1093" i="2"/>
  <c r="E1112" i="2"/>
  <c r="F1112" i="2" s="1"/>
  <c r="E1115" i="2"/>
  <c r="H128" i="13" s="1"/>
  <c r="BG128" i="13" s="1"/>
  <c r="E1116" i="2"/>
  <c r="F1116" i="2" s="1"/>
  <c r="E1117" i="2"/>
  <c r="E1118" i="2"/>
  <c r="H130" i="13" s="1"/>
  <c r="E1124" i="2"/>
  <c r="H136" i="13" s="1"/>
  <c r="BG136" i="13" s="1"/>
  <c r="E1126" i="2"/>
  <c r="E1158" i="2"/>
  <c r="F1158" i="2" s="1"/>
  <c r="E1161" i="2"/>
  <c r="F1161" i="2" s="1"/>
  <c r="E1163" i="2"/>
  <c r="F1163" i="2" s="1"/>
  <c r="E1165" i="2"/>
  <c r="H157" i="13" s="1"/>
  <c r="E1187" i="2"/>
  <c r="H171" i="13" s="1"/>
  <c r="BG171" i="13" s="1"/>
  <c r="E1188" i="2"/>
  <c r="E1189" i="2"/>
  <c r="E1190" i="2"/>
  <c r="E1203" i="2"/>
  <c r="H180" i="13" s="1"/>
  <c r="BG180" i="13" s="1"/>
  <c r="E1204" i="2"/>
  <c r="F1204" i="2" s="1"/>
  <c r="E1205" i="2"/>
  <c r="F1205" i="2" s="1"/>
  <c r="E1206" i="2"/>
  <c r="F1206" i="2" s="1"/>
  <c r="E1210" i="2"/>
  <c r="E1211" i="2"/>
  <c r="F1211" i="2" s="1"/>
  <c r="E1212" i="2"/>
  <c r="H185" i="13" s="1"/>
  <c r="E1119" i="2"/>
  <c r="H131" i="13" s="1"/>
  <c r="BG131" i="13" s="1"/>
  <c r="E910" i="2"/>
  <c r="F910" i="2" s="1"/>
  <c r="E942" i="2"/>
  <c r="H37" i="13" s="1"/>
  <c r="BG37" i="13" s="1"/>
  <c r="E1047" i="2"/>
  <c r="F1047" i="2" s="1"/>
  <c r="E531" i="2"/>
  <c r="F531" i="2" s="1"/>
  <c r="E605" i="2"/>
  <c r="F605" i="2" s="1"/>
  <c r="E606" i="2"/>
  <c r="F606" i="2" s="1"/>
  <c r="E613" i="2"/>
  <c r="F613" i="2" s="1"/>
  <c r="E614" i="2"/>
  <c r="F614" i="2" s="1"/>
  <c r="E615" i="2"/>
  <c r="F615" i="2" s="1"/>
  <c r="E616" i="2"/>
  <c r="F616" i="2" s="1"/>
  <c r="E619" i="2"/>
  <c r="F619" i="2" s="1"/>
  <c r="E637" i="2"/>
  <c r="F637" i="2" s="1"/>
  <c r="E638" i="2"/>
  <c r="F638" i="2" s="1"/>
  <c r="E639" i="2"/>
  <c r="F639" i="2" s="1"/>
  <c r="E640" i="2"/>
  <c r="F640" i="2" s="1"/>
  <c r="E641" i="2"/>
  <c r="F641" i="2" s="1"/>
  <c r="E658" i="2"/>
  <c r="F658" i="2" s="1"/>
  <c r="E663" i="2"/>
  <c r="F663" i="2" s="1"/>
  <c r="E665" i="2"/>
  <c r="F665" i="2" s="1"/>
  <c r="E696" i="2"/>
  <c r="F696" i="2" s="1"/>
  <c r="E711" i="2"/>
  <c r="F711" i="2" s="1"/>
  <c r="E725" i="2"/>
  <c r="F725" i="2" s="1"/>
  <c r="E752" i="2"/>
  <c r="E783" i="2"/>
  <c r="F783" i="2" s="1"/>
  <c r="E784" i="2"/>
  <c r="E785" i="2"/>
  <c r="F785" i="2" s="1"/>
  <c r="E825" i="2"/>
  <c r="F825" i="2" s="1"/>
  <c r="E828" i="2"/>
  <c r="F828" i="2" s="1"/>
  <c r="E831" i="2"/>
  <c r="F831" i="2" s="1"/>
  <c r="E834" i="2"/>
  <c r="F834" i="2" s="1"/>
  <c r="E858" i="2"/>
  <c r="F858" i="2" s="1"/>
  <c r="E859" i="2"/>
  <c r="F859" i="2" s="1"/>
  <c r="E861" i="2"/>
  <c r="F861" i="2" s="1"/>
  <c r="E862" i="2"/>
  <c r="F862" i="2" s="1"/>
  <c r="E863" i="2"/>
  <c r="F863" i="2" s="1"/>
  <c r="E864" i="2"/>
  <c r="F864" i="2" s="1"/>
  <c r="E865" i="2"/>
  <c r="F865" i="2" s="1"/>
  <c r="E906" i="2"/>
  <c r="F906" i="2" s="1"/>
  <c r="E909" i="2"/>
  <c r="F909" i="2" s="1"/>
  <c r="E917" i="2"/>
  <c r="F917" i="2" s="1"/>
  <c r="E918" i="2"/>
  <c r="F918" i="2" s="1"/>
  <c r="E1002" i="2"/>
  <c r="F1002" i="2" s="1"/>
  <c r="E1046" i="2"/>
  <c r="F1046" i="2" s="1"/>
  <c r="E1092" i="2"/>
  <c r="H113" i="13" s="1"/>
  <c r="BG113" i="13" s="1"/>
  <c r="E1094" i="2"/>
  <c r="F1094" i="2" s="1"/>
  <c r="E1159" i="2"/>
  <c r="F1159" i="2" s="1"/>
  <c r="E1162" i="2"/>
  <c r="H154" i="13" s="1"/>
  <c r="BG154" i="13" s="1"/>
  <c r="E1121" i="2"/>
  <c r="F1121" i="2" s="1"/>
  <c r="E1005" i="2"/>
  <c r="F1005" i="2" s="1"/>
  <c r="E1113" i="2"/>
  <c r="F1113" i="2" s="1"/>
  <c r="E694" i="2"/>
  <c r="F694" i="2" s="1"/>
  <c r="E781" i="2"/>
  <c r="F781" i="2" s="1"/>
  <c r="E824" i="2"/>
  <c r="F824" i="2" s="1"/>
  <c r="E832" i="2"/>
  <c r="F832" i="2" s="1"/>
  <c r="E857" i="2"/>
  <c r="F857" i="2" s="1"/>
  <c r="E903" i="2"/>
  <c r="F903" i="2" s="1"/>
  <c r="E905" i="2"/>
  <c r="F905" i="2" s="1"/>
  <c r="E916" i="2"/>
  <c r="F916" i="2" s="1"/>
  <c r="E964" i="2"/>
  <c r="F964" i="2" s="1"/>
  <c r="E965" i="2"/>
  <c r="F965" i="2" s="1"/>
  <c r="E1000" i="2"/>
  <c r="F1000" i="2" s="1"/>
  <c r="E1006" i="2"/>
  <c r="F1006" i="2" s="1"/>
  <c r="E1007" i="2"/>
  <c r="F1007" i="2" s="1"/>
  <c r="E1060" i="2"/>
  <c r="F1060" i="2" s="1"/>
  <c r="E1122" i="2"/>
  <c r="H134" i="13" s="1"/>
  <c r="BG134" i="13" s="1"/>
  <c r="E1127" i="2"/>
  <c r="F1127" i="2" s="1"/>
  <c r="E1186" i="2"/>
  <c r="F1186" i="2" s="1"/>
  <c r="E1208" i="2"/>
  <c r="F1208" i="2" s="1"/>
  <c r="E1209" i="2"/>
  <c r="E1207" i="2"/>
  <c r="H181" i="13" s="1"/>
  <c r="BG181" i="13" s="1"/>
  <c r="E617" i="2"/>
  <c r="F617" i="2" s="1"/>
  <c r="E695" i="2"/>
  <c r="E755" i="2"/>
  <c r="F755" i="2" s="1"/>
  <c r="E1055" i="2"/>
  <c r="E1160" i="2"/>
  <c r="H153" i="13" s="1"/>
  <c r="BG153" i="13" s="1"/>
  <c r="E603" i="2"/>
  <c r="F603" i="2" s="1"/>
  <c r="E604" i="2"/>
  <c r="F604" i="2" s="1"/>
  <c r="E607" i="2"/>
  <c r="F607" i="2" s="1"/>
  <c r="E608" i="2"/>
  <c r="F608" i="2" s="1"/>
  <c r="E609" i="2"/>
  <c r="F609" i="2" s="1"/>
  <c r="E610" i="2"/>
  <c r="F610" i="2" s="1"/>
  <c r="E611" i="2"/>
  <c r="F611" i="2" s="1"/>
  <c r="E612" i="2"/>
  <c r="F612" i="2" s="1"/>
  <c r="E618" i="2"/>
  <c r="F618" i="2" s="1"/>
  <c r="E634" i="2"/>
  <c r="F634" i="2" s="1"/>
  <c r="E635" i="2"/>
  <c r="F635" i="2" s="1"/>
  <c r="E636" i="2"/>
  <c r="F636" i="2" s="1"/>
  <c r="E642" i="2"/>
  <c r="F642" i="2" s="1"/>
  <c r="E657" i="2"/>
  <c r="F657" i="2" s="1"/>
  <c r="E659" i="2"/>
  <c r="F659" i="2" s="1"/>
  <c r="E660" i="2"/>
  <c r="F660" i="2" s="1"/>
  <c r="E661" i="2"/>
  <c r="F661" i="2" s="1"/>
  <c r="E662" i="2"/>
  <c r="F662" i="2" s="1"/>
  <c r="E664" i="2"/>
  <c r="F664" i="2" s="1"/>
  <c r="E666" i="2"/>
  <c r="F666" i="2" s="1"/>
  <c r="E667" i="2"/>
  <c r="F667" i="2" s="1"/>
  <c r="E668" i="2"/>
  <c r="F668" i="2" s="1"/>
  <c r="E697" i="2"/>
  <c r="F697" i="2" s="1"/>
  <c r="E708" i="2"/>
  <c r="F708" i="2" s="1"/>
  <c r="E709" i="2"/>
  <c r="F709" i="2" s="1"/>
  <c r="E710" i="2"/>
  <c r="F710" i="2" s="1"/>
  <c r="E753" i="2"/>
  <c r="F753" i="2" s="1"/>
  <c r="E786" i="2"/>
  <c r="F786" i="2" s="1"/>
  <c r="E788" i="2"/>
  <c r="F788" i="2" s="1"/>
  <c r="E789" i="2"/>
  <c r="F789" i="2" s="1"/>
  <c r="E791" i="2"/>
  <c r="F791" i="2" s="1"/>
  <c r="E827" i="2"/>
  <c r="F827" i="2" s="1"/>
  <c r="E830" i="2"/>
  <c r="F830" i="2" s="1"/>
  <c r="E860" i="2"/>
  <c r="F860" i="2" s="1"/>
  <c r="E866" i="2"/>
  <c r="F866" i="2" s="1"/>
  <c r="E867" i="2"/>
  <c r="F867" i="2" s="1"/>
  <c r="E907" i="2"/>
  <c r="F907" i="2" s="1"/>
  <c r="E911" i="2"/>
  <c r="F911" i="2" s="1"/>
  <c r="E915" i="2"/>
  <c r="F915" i="2" s="1"/>
  <c r="E939" i="2"/>
  <c r="F939" i="2" s="1"/>
  <c r="E966" i="2"/>
  <c r="F966" i="2" s="1"/>
  <c r="E1003" i="2"/>
  <c r="E1008" i="2"/>
  <c r="F1008" i="2" s="1"/>
  <c r="E1048" i="2"/>
  <c r="H77" i="13" s="1"/>
  <c r="BG77" i="13" s="1"/>
  <c r="E1049" i="2"/>
  <c r="F1049" i="2" s="1"/>
  <c r="E1051" i="2"/>
  <c r="E1054" i="2"/>
  <c r="E1058" i="2"/>
  <c r="H86" i="13" s="1"/>
  <c r="BG86" i="13" s="1"/>
  <c r="E1114" i="2"/>
  <c r="F1114" i="2" s="1"/>
  <c r="E1120" i="2"/>
  <c r="E1123" i="2"/>
  <c r="H135" i="13" s="1"/>
  <c r="BG135" i="13" s="1"/>
  <c r="E1125" i="2"/>
  <c r="E756" i="2"/>
  <c r="F756" i="2" s="1"/>
  <c r="E760" i="2"/>
  <c r="H14" i="13" s="1"/>
  <c r="E792" i="2"/>
  <c r="H18" i="13" s="1"/>
  <c r="BG18" i="13" s="1"/>
  <c r="E793" i="2"/>
  <c r="F793" i="2" s="1"/>
  <c r="E796" i="2"/>
  <c r="F796" i="2" s="1"/>
  <c r="E797" i="2"/>
  <c r="F797" i="2" s="1"/>
  <c r="E800" i="2"/>
  <c r="H20" i="13" s="1"/>
  <c r="E807" i="2"/>
  <c r="H22" i="13" s="1"/>
  <c r="E810" i="2"/>
  <c r="F810" i="2" s="1"/>
  <c r="E814" i="2"/>
  <c r="F814" i="2" s="1"/>
  <c r="E835" i="2"/>
  <c r="H25" i="13" s="1"/>
  <c r="E840" i="2"/>
  <c r="F840" i="2" s="1"/>
  <c r="E842" i="2"/>
  <c r="F842" i="2" s="1"/>
  <c r="E843" i="2"/>
  <c r="F843" i="2" s="1"/>
  <c r="E848" i="2"/>
  <c r="F848" i="2" s="1"/>
  <c r="E849" i="2"/>
  <c r="F849" i="2" s="1"/>
  <c r="E850" i="2"/>
  <c r="F850" i="2" s="1"/>
  <c r="E878" i="2"/>
  <c r="F878" i="2" s="1"/>
  <c r="E879" i="2"/>
  <c r="F879" i="2" s="1"/>
  <c r="E880" i="2"/>
  <c r="E885" i="2"/>
  <c r="E920" i="2"/>
  <c r="F920" i="2" s="1"/>
  <c r="E921" i="2"/>
  <c r="F921" i="2" s="1"/>
  <c r="E923" i="2"/>
  <c r="F923" i="2" s="1"/>
  <c r="E924" i="2"/>
  <c r="F924" i="2" s="1"/>
  <c r="E926" i="2"/>
  <c r="F926" i="2" s="1"/>
  <c r="E944" i="2"/>
  <c r="H38" i="13" s="1"/>
  <c r="BG38" i="13" s="1"/>
  <c r="E952" i="2"/>
  <c r="F952" i="2" s="1"/>
  <c r="E957" i="2"/>
  <c r="F957" i="2" s="1"/>
  <c r="E978" i="2"/>
  <c r="H45" i="13" s="1"/>
  <c r="E979" i="2"/>
  <c r="F979" i="2" s="1"/>
  <c r="E980" i="2"/>
  <c r="F980" i="2" s="1"/>
  <c r="E982" i="2"/>
  <c r="F982" i="2" s="1"/>
  <c r="E987" i="2"/>
  <c r="F987" i="2" s="1"/>
  <c r="E1011" i="2"/>
  <c r="F1011" i="2" s="1"/>
  <c r="E1013" i="2"/>
  <c r="F1013" i="2" s="1"/>
  <c r="E1016" i="2"/>
  <c r="H58" i="13" s="1"/>
  <c r="E1017" i="2"/>
  <c r="H59" i="13" s="1"/>
  <c r="BG59" i="13" s="1"/>
  <c r="E1018" i="2"/>
  <c r="H60" i="13" s="1"/>
  <c r="E1020" i="2"/>
  <c r="H61" i="13" s="1"/>
  <c r="BG61" i="13" s="1"/>
  <c r="E1023" i="2"/>
  <c r="E1027" i="2"/>
  <c r="E1028" i="2"/>
  <c r="F1028" i="2" s="1"/>
  <c r="E1029" i="2"/>
  <c r="F1029" i="2" s="1"/>
  <c r="E1035" i="2"/>
  <c r="H71" i="13" s="1"/>
  <c r="BG71" i="13" s="1"/>
  <c r="E1039" i="2"/>
  <c r="F1039" i="2" s="1"/>
  <c r="E1041" i="2"/>
  <c r="F1041" i="2" s="1"/>
  <c r="E1061" i="2"/>
  <c r="E1063" i="2"/>
  <c r="H90" i="13" s="1"/>
  <c r="BG90" i="13" s="1"/>
  <c r="E1064" i="2"/>
  <c r="H91" i="13" s="1"/>
  <c r="E1066" i="2"/>
  <c r="H93" i="13" s="1"/>
  <c r="BG93" i="13" s="1"/>
  <c r="E1067" i="2"/>
  <c r="H94" i="13" s="1"/>
  <c r="BG94" i="13" s="1"/>
  <c r="E1069" i="2"/>
  <c r="E1071" i="2"/>
  <c r="E1074" i="2"/>
  <c r="H100" i="13" s="1"/>
  <c r="BG100" i="13" s="1"/>
  <c r="E1095" i="2"/>
  <c r="F1095" i="2" s="1"/>
  <c r="E1096" i="2"/>
  <c r="H116" i="13" s="1"/>
  <c r="BG116" i="13" s="1"/>
  <c r="E1100" i="2"/>
  <c r="F1100" i="2" s="1"/>
  <c r="E1101" i="2"/>
  <c r="F1101" i="2" s="1"/>
  <c r="E1129" i="2"/>
  <c r="F1129" i="2" s="1"/>
  <c r="E1130" i="2"/>
  <c r="F1130" i="2" s="1"/>
  <c r="E1131" i="2"/>
  <c r="F1131" i="2" s="1"/>
  <c r="E1132" i="2"/>
  <c r="H139" i="13" s="1"/>
  <c r="BG139" i="13" s="1"/>
  <c r="E1134" i="2"/>
  <c r="F1134" i="2" s="1"/>
  <c r="E1136" i="2"/>
  <c r="E1139" i="2"/>
  <c r="F1139" i="2" s="1"/>
  <c r="E1140" i="2"/>
  <c r="F1140" i="2" s="1"/>
  <c r="E1142" i="2"/>
  <c r="E1147" i="2"/>
  <c r="H148" i="13" s="1"/>
  <c r="BG148" i="13" s="1"/>
  <c r="E1148" i="2"/>
  <c r="H149" i="13" s="1"/>
  <c r="BG149" i="13" s="1"/>
  <c r="E1164" i="2"/>
  <c r="H156" i="13" s="1"/>
  <c r="E1166" i="2"/>
  <c r="E1167" i="2"/>
  <c r="F1167" i="2" s="1"/>
  <c r="E1169" i="2"/>
  <c r="H160" i="13" s="1"/>
  <c r="BG160" i="13" s="1"/>
  <c r="E1171" i="2"/>
  <c r="F1171" i="2" s="1"/>
  <c r="E1172" i="2"/>
  <c r="E1174" i="2"/>
  <c r="H164" i="13" s="1"/>
  <c r="BG164" i="13" s="1"/>
  <c r="E1175" i="2"/>
  <c r="F1175" i="2" s="1"/>
  <c r="E1176" i="2"/>
  <c r="F1176" i="2" s="1"/>
  <c r="E1178" i="2"/>
  <c r="H165" i="13" s="1"/>
  <c r="E1179" i="2"/>
  <c r="E1180" i="2"/>
  <c r="E1191" i="2"/>
  <c r="H174" i="13" s="1"/>
  <c r="E1192" i="2"/>
  <c r="F1192" i="2" s="1"/>
  <c r="E1193" i="2"/>
  <c r="F1193" i="2" s="1"/>
  <c r="E1197" i="2"/>
  <c r="F1197" i="2" s="1"/>
  <c r="E1198" i="2"/>
  <c r="F1198" i="2" s="1"/>
  <c r="E1199" i="2"/>
  <c r="H176" i="13" s="1"/>
  <c r="BG176" i="13" s="1"/>
  <c r="E1213" i="2"/>
  <c r="H186" i="13" s="1"/>
  <c r="BG186" i="13" s="1"/>
  <c r="E1214" i="2"/>
  <c r="E1215" i="2"/>
  <c r="F1215" i="2" s="1"/>
  <c r="E1216" i="2"/>
  <c r="H188" i="13" s="1"/>
  <c r="BG188" i="13" s="1"/>
  <c r="E1217" i="2"/>
  <c r="F1217" i="2" s="1"/>
  <c r="E1218" i="2"/>
  <c r="E1219" i="2"/>
  <c r="H190" i="13" s="1"/>
  <c r="BG190" i="13" s="1"/>
  <c r="E1220" i="2"/>
  <c r="H191" i="13" s="1"/>
  <c r="BG191" i="13" s="1"/>
  <c r="E1221" i="2"/>
  <c r="E1222" i="2"/>
  <c r="F1222" i="2" s="1"/>
  <c r="E1224" i="2"/>
  <c r="F1224" i="2" s="1"/>
  <c r="E1225" i="2"/>
  <c r="F1225" i="2" s="1"/>
  <c r="E1226" i="2"/>
  <c r="H194" i="13" s="1"/>
  <c r="BG194" i="13" s="1"/>
  <c r="E1227" i="2"/>
  <c r="H195" i="13" s="1"/>
  <c r="BG195" i="13" s="1"/>
  <c r="E1228" i="2"/>
  <c r="E1229" i="2"/>
  <c r="F1229" i="2" s="1"/>
  <c r="E1137" i="2"/>
  <c r="E1143" i="2"/>
  <c r="F1143" i="2" s="1"/>
  <c r="E1173" i="2"/>
  <c r="H163" i="13" s="1"/>
  <c r="BG163" i="13" s="1"/>
  <c r="E1194" i="2"/>
  <c r="F1194" i="2" s="1"/>
  <c r="E1195" i="2"/>
  <c r="H175" i="13" s="1"/>
  <c r="BG175" i="13" s="1"/>
  <c r="E801" i="2"/>
  <c r="F801" i="2" s="1"/>
  <c r="E811" i="2"/>
  <c r="F811" i="2" s="1"/>
  <c r="E950" i="2"/>
  <c r="F950" i="2" s="1"/>
  <c r="E977" i="2"/>
  <c r="F977" i="2" s="1"/>
  <c r="E989" i="2"/>
  <c r="F989" i="2" s="1"/>
  <c r="E990" i="2"/>
  <c r="F990" i="2" s="1"/>
  <c r="E1065" i="2"/>
  <c r="F1065" i="2" s="1"/>
  <c r="E757" i="2"/>
  <c r="F757" i="2" s="1"/>
  <c r="E758" i="2"/>
  <c r="E763" i="2"/>
  <c r="F763" i="2" s="1"/>
  <c r="E794" i="2"/>
  <c r="H19" i="13" s="1"/>
  <c r="E802" i="2"/>
  <c r="F802" i="2" s="1"/>
  <c r="E809" i="2"/>
  <c r="F809" i="2" s="1"/>
  <c r="E838" i="2"/>
  <c r="F838" i="2" s="1"/>
  <c r="E846" i="2"/>
  <c r="F846" i="2" s="1"/>
  <c r="E847" i="2"/>
  <c r="F847" i="2" s="1"/>
  <c r="E868" i="2"/>
  <c r="F868" i="2" s="1"/>
  <c r="E876" i="2"/>
  <c r="F876" i="2" s="1"/>
  <c r="E883" i="2"/>
  <c r="F883" i="2" s="1"/>
  <c r="E884" i="2"/>
  <c r="F884" i="2" s="1"/>
  <c r="E925" i="2"/>
  <c r="F925" i="2" s="1"/>
  <c r="E928" i="2"/>
  <c r="F928" i="2" s="1"/>
  <c r="E945" i="2"/>
  <c r="F945" i="2" s="1"/>
  <c r="E947" i="2"/>
  <c r="F947" i="2" s="1"/>
  <c r="E1026" i="2"/>
  <c r="F1026" i="2" s="1"/>
  <c r="E1062" i="2"/>
  <c r="F1062" i="2" s="1"/>
  <c r="E1146" i="2"/>
  <c r="H147" i="13" s="1"/>
  <c r="BG147" i="13" s="1"/>
  <c r="E1097" i="2"/>
  <c r="F1097" i="2" s="1"/>
  <c r="E806" i="2"/>
  <c r="F806" i="2" s="1"/>
  <c r="E983" i="2"/>
  <c r="F983" i="2" s="1"/>
  <c r="E984" i="2"/>
  <c r="F984" i="2" s="1"/>
  <c r="E1033" i="2"/>
  <c r="F1033" i="2" s="1"/>
  <c r="E1037" i="2"/>
  <c r="F1037" i="2" s="1"/>
  <c r="E1098" i="2"/>
  <c r="F1098" i="2" s="1"/>
  <c r="E1099" i="2"/>
  <c r="F1099" i="2" s="1"/>
  <c r="E1128" i="2"/>
  <c r="F1128" i="2" s="1"/>
  <c r="E1133" i="2"/>
  <c r="H140" i="13" s="1"/>
  <c r="BG140" i="13" s="1"/>
  <c r="E1135" i="2"/>
  <c r="F1135" i="2" s="1"/>
  <c r="E1138" i="2"/>
  <c r="F1138" i="2" s="1"/>
  <c r="E1145" i="2"/>
  <c r="F1145" i="2" s="1"/>
  <c r="E1170" i="2"/>
  <c r="H161" i="13" s="1"/>
  <c r="BG161" i="13" s="1"/>
  <c r="E1177" i="2"/>
  <c r="F1177" i="2" s="1"/>
  <c r="E759" i="2"/>
  <c r="F759" i="2" s="1"/>
  <c r="E764" i="2"/>
  <c r="F764" i="2" s="1"/>
  <c r="E808" i="2"/>
  <c r="F808" i="2" s="1"/>
  <c r="E839" i="2"/>
  <c r="F839" i="2" s="1"/>
  <c r="E844" i="2"/>
  <c r="F844" i="2" s="1"/>
  <c r="E870" i="2"/>
  <c r="F870" i="2" s="1"/>
  <c r="E873" i="2"/>
  <c r="F873" i="2" s="1"/>
  <c r="E948" i="2"/>
  <c r="F948" i="2" s="1"/>
  <c r="E953" i="2"/>
  <c r="F953" i="2" s="1"/>
  <c r="E1015" i="2"/>
  <c r="F1015" i="2" s="1"/>
  <c r="E1032" i="2"/>
  <c r="F1032" i="2" s="1"/>
  <c r="E1072" i="2"/>
  <c r="F1072" i="2" s="1"/>
  <c r="E1102" i="2"/>
  <c r="H119" i="13" s="1"/>
  <c r="BG119" i="13" s="1"/>
  <c r="E1144" i="2"/>
  <c r="H146" i="13" s="1"/>
  <c r="BG146" i="13" s="1"/>
  <c r="E1223" i="2"/>
  <c r="H193" i="13" s="1"/>
  <c r="BG193" i="13" s="1"/>
  <c r="E877" i="2"/>
  <c r="H30" i="13" s="1"/>
  <c r="BG30" i="13" s="1"/>
  <c r="E951" i="2"/>
  <c r="F951" i="2" s="1"/>
  <c r="E1021" i="2"/>
  <c r="E1196" i="2"/>
  <c r="F1196" i="2" s="1"/>
  <c r="E886" i="2"/>
  <c r="F886" i="2" s="1"/>
  <c r="E954" i="2"/>
  <c r="F954" i="2" s="1"/>
  <c r="E981" i="2"/>
  <c r="F981" i="2" s="1"/>
  <c r="E985" i="2"/>
  <c r="H46" i="13" s="1"/>
  <c r="E988" i="2"/>
  <c r="F988" i="2" s="1"/>
  <c r="E1040" i="2"/>
  <c r="F1040" i="2" s="1"/>
  <c r="E1073" i="2"/>
  <c r="H99" i="13" s="1"/>
  <c r="E1141" i="2"/>
  <c r="H144" i="13" s="1"/>
  <c r="BG144" i="13" s="1"/>
  <c r="E761" i="2"/>
  <c r="F761" i="2" s="1"/>
  <c r="E795" i="2"/>
  <c r="F795" i="2" s="1"/>
  <c r="E798" i="2"/>
  <c r="F798" i="2" s="1"/>
  <c r="E804" i="2"/>
  <c r="E812" i="2"/>
  <c r="F812" i="2" s="1"/>
  <c r="E813" i="2"/>
  <c r="F813" i="2" s="1"/>
  <c r="E845" i="2"/>
  <c r="F845" i="2" s="1"/>
  <c r="E927" i="2"/>
  <c r="F927" i="2" s="1"/>
  <c r="E949" i="2"/>
  <c r="H39" i="13" s="1"/>
  <c r="BG39" i="13" s="1"/>
  <c r="E975" i="2"/>
  <c r="F975" i="2" s="1"/>
  <c r="E1012" i="2"/>
  <c r="F1012" i="2" s="1"/>
  <c r="E1019" i="2"/>
  <c r="F1019" i="2" s="1"/>
  <c r="E1025" i="2"/>
  <c r="F1025" i="2" s="1"/>
  <c r="E1031" i="2"/>
  <c r="F1031" i="2" s="1"/>
  <c r="E1034" i="2"/>
  <c r="F1034" i="2" s="1"/>
  <c r="E1038" i="2"/>
  <c r="H73" i="13" s="1"/>
  <c r="E1103" i="2"/>
  <c r="F1103" i="2" s="1"/>
  <c r="E1149" i="2"/>
  <c r="H150" i="13" s="1"/>
  <c r="BG150" i="13" s="1"/>
  <c r="E686" i="2"/>
  <c r="F686" i="2" s="1"/>
  <c r="E762" i="2"/>
  <c r="F762" i="2" s="1"/>
  <c r="E765" i="2"/>
  <c r="F765" i="2" s="1"/>
  <c r="E766" i="2"/>
  <c r="F766" i="2" s="1"/>
  <c r="E799" i="2"/>
  <c r="F799" i="2" s="1"/>
  <c r="E803" i="2"/>
  <c r="F803" i="2" s="1"/>
  <c r="E805" i="2"/>
  <c r="F805" i="2" s="1"/>
  <c r="E836" i="2"/>
  <c r="F836" i="2" s="1"/>
  <c r="E837" i="2"/>
  <c r="F837" i="2" s="1"/>
  <c r="E841" i="2"/>
  <c r="F841" i="2" s="1"/>
  <c r="E869" i="2"/>
  <c r="F869" i="2" s="1"/>
  <c r="E871" i="2"/>
  <c r="F871" i="2" s="1"/>
  <c r="E872" i="2"/>
  <c r="F872" i="2" s="1"/>
  <c r="E874" i="2"/>
  <c r="F874" i="2" s="1"/>
  <c r="E875" i="2"/>
  <c r="F875" i="2" s="1"/>
  <c r="E881" i="2"/>
  <c r="F881" i="2" s="1"/>
  <c r="E882" i="2"/>
  <c r="F882" i="2" s="1"/>
  <c r="E919" i="2"/>
  <c r="F919" i="2" s="1"/>
  <c r="E922" i="2"/>
  <c r="F922" i="2" s="1"/>
  <c r="E946" i="2"/>
  <c r="F946" i="2" s="1"/>
  <c r="E955" i="2"/>
  <c r="F955" i="2" s="1"/>
  <c r="E976" i="2"/>
  <c r="F976" i="2" s="1"/>
  <c r="E986" i="2"/>
  <c r="F986" i="2" s="1"/>
  <c r="E1014" i="2"/>
  <c r="H57" i="13" s="1"/>
  <c r="BG57" i="13" s="1"/>
  <c r="E1022" i="2"/>
  <c r="H63" i="13" s="1"/>
  <c r="BG63" i="13" s="1"/>
  <c r="E1024" i="2"/>
  <c r="E1030" i="2"/>
  <c r="F1030" i="2" s="1"/>
  <c r="E1036" i="2"/>
  <c r="E1068" i="2"/>
  <c r="H95" i="13" s="1"/>
  <c r="BG95" i="13" s="1"/>
  <c r="E1070" i="2"/>
  <c r="H97" i="13" s="1"/>
  <c r="BG97" i="13" s="1"/>
  <c r="B36" i="13"/>
  <c r="C36" i="13"/>
  <c r="B31" i="14"/>
  <c r="C31" i="14"/>
  <c r="G31" i="14"/>
  <c r="H31" i="14"/>
  <c r="AT31" i="14"/>
  <c r="C46" i="13"/>
  <c r="B124" i="14"/>
  <c r="B826" i="2"/>
  <c r="B13" i="11" s="1"/>
  <c r="G38" i="14"/>
  <c r="B133" i="14"/>
  <c r="BB33" i="13"/>
  <c r="C148" i="13"/>
  <c r="B36" i="14"/>
  <c r="C36" i="14"/>
  <c r="D36" i="14"/>
  <c r="E36" i="14" s="1"/>
  <c r="F36" i="14"/>
  <c r="H36" i="14"/>
  <c r="AT36" i="14"/>
  <c r="B105" i="14"/>
  <c r="I1118" i="2"/>
  <c r="G130" i="13" s="1"/>
  <c r="BB34" i="13"/>
  <c r="B26" i="14"/>
  <c r="C50" i="14"/>
  <c r="D50" i="14"/>
  <c r="E50" i="14" s="1"/>
  <c r="F50" i="14"/>
  <c r="G50" i="14"/>
  <c r="E268" i="7"/>
  <c r="B32" i="14"/>
  <c r="C32" i="14"/>
  <c r="D32" i="14"/>
  <c r="E32" i="14" s="1"/>
  <c r="F32" i="14"/>
  <c r="G32" i="14"/>
  <c r="H32" i="14"/>
  <c r="BC32" i="14" s="1"/>
  <c r="AT32" i="14"/>
  <c r="BB173" i="13"/>
  <c r="K1189" i="2"/>
  <c r="B756" i="2"/>
  <c r="B34" i="13"/>
  <c r="C34" i="13"/>
  <c r="D34" i="13"/>
  <c r="E34" i="13" s="1"/>
  <c r="F34" i="13"/>
  <c r="G34" i="13"/>
  <c r="H34" i="13"/>
  <c r="G116" i="14"/>
  <c r="BB12" i="13"/>
  <c r="BB20" i="13"/>
  <c r="BB24" i="13"/>
  <c r="E174" i="7"/>
  <c r="C29" i="13"/>
  <c r="E19" i="11"/>
  <c r="E18" i="11"/>
  <c r="E4" i="11"/>
  <c r="E12" i="11"/>
  <c r="E25" i="11"/>
  <c r="E10" i="11"/>
  <c r="E7" i="11"/>
  <c r="E17" i="11"/>
  <c r="E11" i="11"/>
  <c r="E26" i="11"/>
  <c r="E14" i="11"/>
  <c r="E9" i="11"/>
  <c r="E22" i="11"/>
  <c r="E23" i="11"/>
  <c r="E32" i="11"/>
  <c r="E3" i="11"/>
  <c r="E29" i="11"/>
  <c r="E30" i="11"/>
  <c r="E24" i="11"/>
  <c r="E16" i="11"/>
  <c r="E35" i="11"/>
  <c r="E5" i="11"/>
  <c r="E8" i="11"/>
  <c r="E28" i="11"/>
  <c r="E21" i="11"/>
  <c r="E33" i="11"/>
  <c r="E6" i="11"/>
  <c r="E34" i="11"/>
  <c r="E15" i="11"/>
  <c r="E20" i="11"/>
  <c r="E13" i="11"/>
  <c r="E27" i="11"/>
  <c r="E31" i="11"/>
  <c r="F19" i="11"/>
  <c r="F18" i="11"/>
  <c r="F4" i="11"/>
  <c r="F12" i="11"/>
  <c r="F25" i="11"/>
  <c r="F10" i="11"/>
  <c r="F7" i="11"/>
  <c r="F17" i="11"/>
  <c r="F11" i="11"/>
  <c r="F26" i="11"/>
  <c r="F14" i="11"/>
  <c r="F9" i="11"/>
  <c r="F22" i="11"/>
  <c r="F23" i="11"/>
  <c r="F32" i="11"/>
  <c r="F3" i="11"/>
  <c r="F29" i="11"/>
  <c r="F30" i="11"/>
  <c r="F24" i="11"/>
  <c r="F16" i="11"/>
  <c r="F35" i="11"/>
  <c r="F5" i="11"/>
  <c r="F8" i="11"/>
  <c r="F28" i="11"/>
  <c r="F21" i="11"/>
  <c r="F33" i="11"/>
  <c r="F6" i="11"/>
  <c r="F34" i="11"/>
  <c r="F15" i="11"/>
  <c r="F20" i="11"/>
  <c r="F13" i="11"/>
  <c r="F27" i="11"/>
  <c r="F31" i="11"/>
  <c r="D31" i="11"/>
  <c r="C31" i="11"/>
  <c r="B92" i="13"/>
  <c r="C92" i="13"/>
  <c r="D92" i="13"/>
  <c r="E92" i="13" s="1"/>
  <c r="F92" i="13"/>
  <c r="G92" i="13"/>
  <c r="H92" i="13"/>
  <c r="BE92" i="13" s="1"/>
  <c r="BA92" i="13"/>
  <c r="E2" i="7"/>
  <c r="E4" i="7"/>
  <c r="E3" i="7"/>
  <c r="E19" i="7"/>
  <c r="E42" i="7"/>
  <c r="E47" i="7"/>
  <c r="E50" i="7"/>
  <c r="E73" i="7"/>
  <c r="E5" i="7"/>
  <c r="E104" i="7"/>
  <c r="E16" i="7"/>
  <c r="E22" i="7"/>
  <c r="E27" i="7"/>
  <c r="E28" i="7"/>
  <c r="E35" i="7"/>
  <c r="E36" i="7"/>
  <c r="E37" i="7"/>
  <c r="E283" i="7"/>
  <c r="E20" i="7"/>
  <c r="E99" i="7"/>
  <c r="E117" i="7"/>
  <c r="E38" i="7"/>
  <c r="E40" i="7"/>
  <c r="E43" i="7"/>
  <c r="E46" i="7"/>
  <c r="E49" i="7"/>
  <c r="E116" i="7"/>
  <c r="E55" i="7"/>
  <c r="E79" i="7"/>
  <c r="E56" i="7"/>
  <c r="E147" i="7"/>
  <c r="E29" i="7"/>
  <c r="E12" i="7"/>
  <c r="E57" i="7"/>
  <c r="E58" i="7"/>
  <c r="E151" i="7"/>
  <c r="E156" i="7"/>
  <c r="E157" i="7"/>
  <c r="E59" i="7"/>
  <c r="E161" i="7"/>
  <c r="E72" i="7"/>
  <c r="E291" i="7"/>
  <c r="E75" i="7"/>
  <c r="E171" i="7"/>
  <c r="E84" i="7"/>
  <c r="E95" i="7"/>
  <c r="E102" i="7"/>
  <c r="E130" i="7"/>
  <c r="E122" i="7"/>
  <c r="E103" i="7"/>
  <c r="E187" i="7"/>
  <c r="E106" i="7"/>
  <c r="E110" i="7"/>
  <c r="E112" i="7"/>
  <c r="E113" i="7"/>
  <c r="E119" i="7"/>
  <c r="E188" i="7"/>
  <c r="E189" i="7"/>
  <c r="E121" i="7"/>
  <c r="E123" i="7"/>
  <c r="E190" i="7"/>
  <c r="E191" i="7"/>
  <c r="E196" i="7"/>
  <c r="E128" i="7"/>
  <c r="E133" i="7"/>
  <c r="E134" i="7"/>
  <c r="E317" i="7"/>
  <c r="E135" i="7"/>
  <c r="E136" i="7"/>
  <c r="E17" i="7"/>
  <c r="E201" i="7"/>
  <c r="E202" i="7"/>
  <c r="E139" i="7"/>
  <c r="E142" i="7"/>
  <c r="E90" i="7"/>
  <c r="E143" i="7"/>
  <c r="E210" i="7"/>
  <c r="E145" i="7"/>
  <c r="E218" i="7"/>
  <c r="E146" i="7"/>
  <c r="E327" i="7"/>
  <c r="E148" i="7"/>
  <c r="E149" i="7"/>
  <c r="E150" i="7"/>
  <c r="E154" i="7"/>
  <c r="E226" i="7"/>
  <c r="E158" i="7"/>
  <c r="E228" i="7"/>
  <c r="E159" i="7"/>
  <c r="E163" i="7"/>
  <c r="E256" i="7"/>
  <c r="E215" i="7"/>
  <c r="E167" i="7"/>
  <c r="E242" i="7"/>
  <c r="E114" i="7"/>
  <c r="E168" i="7"/>
  <c r="E169" i="7"/>
  <c r="E170" i="7"/>
  <c r="E172" i="7"/>
  <c r="E175" i="7"/>
  <c r="E178" i="7"/>
  <c r="E179" i="7"/>
  <c r="E252" i="7"/>
  <c r="E245" i="7"/>
  <c r="E246" i="7"/>
  <c r="E247" i="7"/>
  <c r="E248" i="7"/>
  <c r="E249" i="7"/>
  <c r="E250" i="7"/>
  <c r="E180" i="7"/>
  <c r="E253" i="7"/>
  <c r="E254" i="7"/>
  <c r="E182" i="7"/>
  <c r="E185" i="7"/>
  <c r="E144" i="7"/>
  <c r="E270" i="7"/>
  <c r="E257" i="7"/>
  <c r="E193" i="7"/>
  <c r="E88" i="7"/>
  <c r="E197" i="7"/>
  <c r="E199" i="7"/>
  <c r="E200" i="7"/>
  <c r="E259" i="7"/>
  <c r="E260" i="7"/>
  <c r="E269" i="7"/>
  <c r="E203" i="7"/>
  <c r="E205" i="7"/>
  <c r="E206" i="7"/>
  <c r="E213" i="7"/>
  <c r="E271" i="7"/>
  <c r="E276" i="7"/>
  <c r="E207" i="7"/>
  <c r="E107" i="7"/>
  <c r="E209" i="7"/>
  <c r="E221" i="7"/>
  <c r="E212" i="7"/>
  <c r="E275" i="7"/>
  <c r="E214" i="7"/>
  <c r="E278" i="7"/>
  <c r="E233" i="7"/>
  <c r="E284" i="7"/>
  <c r="E285" i="7"/>
  <c r="E219" i="7"/>
  <c r="E222" i="7"/>
  <c r="E225" i="7"/>
  <c r="E296" i="7"/>
  <c r="E229" i="7"/>
  <c r="E230" i="7"/>
  <c r="E231" i="7"/>
  <c r="E287" i="7"/>
  <c r="E286" i="7"/>
  <c r="E289" i="7"/>
  <c r="E234" i="7"/>
  <c r="E85" i="7"/>
  <c r="E236" i="7"/>
  <c r="E6" i="7"/>
  <c r="E237" i="7"/>
  <c r="E239" i="7"/>
  <c r="E240" i="7"/>
  <c r="E292" i="7"/>
  <c r="E295" i="7"/>
  <c r="E241" i="7"/>
  <c r="E89" i="7"/>
  <c r="E244" i="7"/>
  <c r="E251" i="7"/>
  <c r="E232" i="7"/>
  <c r="E322" i="7"/>
  <c r="E298" i="7"/>
  <c r="E255" i="7"/>
  <c r="E258" i="7"/>
  <c r="E299" i="7"/>
  <c r="E309" i="7"/>
  <c r="E300" i="7"/>
  <c r="E272" i="7"/>
  <c r="E303" i="7"/>
  <c r="E301" i="7"/>
  <c r="E302" i="7"/>
  <c r="E306" i="7"/>
  <c r="E304" i="7"/>
  <c r="E34" i="7"/>
  <c r="E274" i="7"/>
  <c r="E277" i="7"/>
  <c r="E68" i="7"/>
  <c r="E308" i="7"/>
  <c r="E281" i="7"/>
  <c r="E310" i="7"/>
  <c r="E312" i="7"/>
  <c r="E282" i="7"/>
  <c r="E288" i="7"/>
  <c r="E290" i="7"/>
  <c r="E311" i="7"/>
  <c r="E82" i="7"/>
  <c r="E293" i="7"/>
  <c r="E7" i="7"/>
  <c r="E8" i="7"/>
  <c r="E9" i="7"/>
  <c r="E10" i="7"/>
  <c r="E11" i="7"/>
  <c r="E13" i="7"/>
  <c r="E14" i="7"/>
  <c r="E15" i="7"/>
  <c r="E18" i="7"/>
  <c r="E21" i="7"/>
  <c r="E23" i="7"/>
  <c r="E24" i="7"/>
  <c r="E25" i="7"/>
  <c r="E26" i="7"/>
  <c r="E30" i="7"/>
  <c r="E31" i="7"/>
  <c r="E32" i="7"/>
  <c r="E33" i="7"/>
  <c r="E39" i="7"/>
  <c r="E41" i="7"/>
  <c r="E44" i="7"/>
  <c r="E45" i="7"/>
  <c r="E48" i="7"/>
  <c r="E51" i="7"/>
  <c r="E52" i="7"/>
  <c r="E53" i="7"/>
  <c r="E54" i="7"/>
  <c r="E60" i="7"/>
  <c r="E61" i="7"/>
  <c r="E62" i="7"/>
  <c r="E63" i="7"/>
  <c r="E64" i="7"/>
  <c r="E65" i="7"/>
  <c r="E66" i="7"/>
  <c r="E67" i="7"/>
  <c r="E69" i="7"/>
  <c r="E70" i="7"/>
  <c r="E71" i="7"/>
  <c r="E74" i="7"/>
  <c r="E76" i="7"/>
  <c r="E77" i="7"/>
  <c r="E78" i="7"/>
  <c r="E80" i="7"/>
  <c r="E81" i="7"/>
  <c r="E83" i="7"/>
  <c r="E86" i="7"/>
  <c r="E87" i="7"/>
  <c r="E91" i="7"/>
  <c r="E92" i="7"/>
  <c r="E93" i="7"/>
  <c r="E94" i="7"/>
  <c r="E96" i="7"/>
  <c r="E97" i="7"/>
  <c r="E98" i="7"/>
  <c r="E294" i="7"/>
  <c r="E100" i="7"/>
  <c r="E101" i="7"/>
  <c r="E105" i="7"/>
  <c r="E108" i="7"/>
  <c r="E109" i="7"/>
  <c r="E111" i="7"/>
  <c r="E115" i="7"/>
  <c r="E118" i="7"/>
  <c r="E120" i="7"/>
  <c r="E124" i="7"/>
  <c r="E125" i="7"/>
  <c r="E126" i="7"/>
  <c r="E127" i="7"/>
  <c r="E129" i="7"/>
  <c r="E131" i="7"/>
  <c r="E132" i="7"/>
  <c r="E137" i="7"/>
  <c r="E138" i="7"/>
  <c r="E140" i="7"/>
  <c r="E141" i="7"/>
  <c r="E152" i="7"/>
  <c r="E153" i="7"/>
  <c r="E155" i="7"/>
  <c r="E160" i="7"/>
  <c r="E162" i="7"/>
  <c r="E164" i="7"/>
  <c r="E165" i="7"/>
  <c r="E166" i="7"/>
  <c r="E173" i="7"/>
  <c r="E176" i="7"/>
  <c r="E177" i="7"/>
  <c r="E181" i="7"/>
  <c r="E183" i="7"/>
  <c r="E184" i="7"/>
  <c r="E186" i="7"/>
  <c r="E192" i="7"/>
  <c r="E194" i="7"/>
  <c r="E195" i="7"/>
  <c r="E198" i="7"/>
  <c r="E204" i="7"/>
  <c r="E208" i="7"/>
  <c r="E211" i="7"/>
  <c r="E216" i="7"/>
  <c r="E217" i="7"/>
  <c r="E220" i="7"/>
  <c r="E223" i="7"/>
  <c r="E224" i="7"/>
  <c r="E227" i="7"/>
  <c r="E235" i="7"/>
  <c r="E238" i="7"/>
  <c r="E243" i="7"/>
  <c r="E265" i="7"/>
  <c r="E261" i="7"/>
  <c r="E262" i="7"/>
  <c r="E263" i="7"/>
  <c r="E264" i="7"/>
  <c r="E297" i="7"/>
  <c r="E266" i="7"/>
  <c r="E267" i="7"/>
  <c r="E273" i="7"/>
  <c r="E279" i="7"/>
  <c r="E280" i="7"/>
  <c r="E307" i="7"/>
  <c r="E313" i="7"/>
  <c r="E314" i="7"/>
  <c r="E305" i="7"/>
  <c r="E315" i="7"/>
  <c r="E319" i="7"/>
  <c r="E318" i="7"/>
  <c r="E316" i="7"/>
  <c r="E320" i="7"/>
  <c r="E321" i="7"/>
  <c r="E324" i="7"/>
  <c r="E323" i="7"/>
  <c r="E325" i="7"/>
  <c r="E326" i="7"/>
  <c r="F174" i="7"/>
  <c r="AT50" i="14"/>
  <c r="BC50" i="14"/>
  <c r="C33" i="13"/>
  <c r="C30" i="13"/>
  <c r="BB30" i="13"/>
  <c r="J840" i="2"/>
  <c r="BB26" i="13"/>
  <c r="K1212" i="2"/>
  <c r="I1107" i="2"/>
  <c r="G122" i="13" s="1"/>
  <c r="AK315" i="7"/>
  <c r="AK113" i="7"/>
  <c r="AK40" i="7"/>
  <c r="AK278" i="7"/>
  <c r="AK95" i="7"/>
  <c r="AK5" i="7"/>
  <c r="AK72" i="7"/>
  <c r="AK43" i="7"/>
  <c r="AK229" i="7"/>
  <c r="AK55" i="7"/>
  <c r="AK200" i="7"/>
  <c r="AK207" i="7"/>
  <c r="AK84" i="7"/>
  <c r="AT25" i="14"/>
  <c r="AT20" i="14"/>
  <c r="G285" i="7"/>
  <c r="BE285" i="7" s="1"/>
  <c r="BB28" i="13"/>
  <c r="C28" i="13"/>
  <c r="B38" i="14"/>
  <c r="F38" i="14"/>
  <c r="D1191" i="2"/>
  <c r="D782" i="2"/>
  <c r="C12" i="13"/>
  <c r="G1229" i="2"/>
  <c r="BB18" i="13"/>
  <c r="BB16" i="13"/>
  <c r="BB22" i="13"/>
  <c r="BB197" i="13"/>
  <c r="BB189" i="13"/>
  <c r="BB184" i="13"/>
  <c r="BB180" i="13"/>
  <c r="BB176" i="13"/>
  <c r="BB174" i="13"/>
  <c r="BB172" i="13"/>
  <c r="BB170" i="13"/>
  <c r="BB168" i="13"/>
  <c r="BB167" i="13"/>
  <c r="BB164" i="13"/>
  <c r="BB160" i="13"/>
  <c r="BB159" i="13"/>
  <c r="BB157" i="13"/>
  <c r="BB156" i="13"/>
  <c r="BB155" i="13"/>
  <c r="BB149" i="13"/>
  <c r="BB145" i="13"/>
  <c r="BB142" i="13"/>
  <c r="BB138" i="13"/>
  <c r="BB136" i="13"/>
  <c r="BB118" i="13"/>
  <c r="BB116" i="13"/>
  <c r="BB111" i="13"/>
  <c r="BB107" i="13"/>
  <c r="BB98" i="13"/>
  <c r="BB83" i="13"/>
  <c r="BB80" i="13"/>
  <c r="BB76" i="13"/>
  <c r="BB73" i="13"/>
  <c r="BC73" i="13" s="1"/>
  <c r="BD73" i="13" s="1"/>
  <c r="BB68" i="13"/>
  <c r="BB49" i="13"/>
  <c r="BB40" i="13"/>
  <c r="BB38" i="13"/>
  <c r="BB25" i="13"/>
  <c r="BB14" i="13"/>
  <c r="BB7" i="13"/>
  <c r="AJ7" i="13"/>
  <c r="AK212" i="7"/>
  <c r="F123" i="14"/>
  <c r="BB6" i="13"/>
  <c r="BB8" i="13"/>
  <c r="AQ324" i="7"/>
  <c r="AQ319" i="7"/>
  <c r="AQ305" i="7"/>
  <c r="AQ315" i="7"/>
  <c r="AQ265" i="7"/>
  <c r="AQ312" i="7"/>
  <c r="AQ308" i="7"/>
  <c r="AQ306" i="7"/>
  <c r="AQ303" i="7"/>
  <c r="AQ298" i="7"/>
  <c r="AQ295" i="7"/>
  <c r="AQ287" i="7"/>
  <c r="AQ285" i="7"/>
  <c r="AQ284" i="7"/>
  <c r="AQ278" i="7"/>
  <c r="AQ277" i="7"/>
  <c r="AQ270" i="7"/>
  <c r="AQ268" i="7"/>
  <c r="AQ203" i="7"/>
  <c r="AQ200" i="7"/>
  <c r="AQ197" i="7"/>
  <c r="AQ185" i="7"/>
  <c r="AQ178" i="7"/>
  <c r="AQ174" i="7"/>
  <c r="AQ172" i="7"/>
  <c r="AQ151" i="7"/>
  <c r="AQ146" i="7"/>
  <c r="AK324" i="7"/>
  <c r="AK319" i="7"/>
  <c r="AK305" i="7"/>
  <c r="AK265" i="7"/>
  <c r="AK312" i="7"/>
  <c r="AK308" i="7"/>
  <c r="AK306" i="7"/>
  <c r="AK303" i="7"/>
  <c r="AK298" i="7"/>
  <c r="AK295" i="7"/>
  <c r="AK287" i="7"/>
  <c r="AK285" i="7"/>
  <c r="AK284" i="7"/>
  <c r="AK277" i="7"/>
  <c r="AK270" i="7"/>
  <c r="AK268" i="7"/>
  <c r="AK203" i="7"/>
  <c r="AK197" i="7"/>
  <c r="AK185" i="7"/>
  <c r="AK178" i="7"/>
  <c r="AK174" i="7"/>
  <c r="AK172" i="7"/>
  <c r="AK151" i="7"/>
  <c r="AK146" i="7"/>
  <c r="AD324" i="7"/>
  <c r="AD319" i="7"/>
  <c r="AD305" i="7"/>
  <c r="AD315" i="7"/>
  <c r="AD265" i="7"/>
  <c r="AD312" i="7"/>
  <c r="AD308" i="7"/>
  <c r="AD306" i="7"/>
  <c r="AD303" i="7"/>
  <c r="AD298" i="7"/>
  <c r="AD295" i="7"/>
  <c r="AD287" i="7"/>
  <c r="AD285" i="7"/>
  <c r="AD284" i="7"/>
  <c r="AD278" i="7"/>
  <c r="AD277" i="7"/>
  <c r="AD270" i="7"/>
  <c r="AD268" i="7"/>
  <c r="AD203" i="7"/>
  <c r="AD200" i="7"/>
  <c r="AD197" i="7"/>
  <c r="AD185" i="7"/>
  <c r="AD178" i="7"/>
  <c r="AD174" i="7"/>
  <c r="AD172" i="7"/>
  <c r="AD151" i="7"/>
  <c r="AD146" i="7"/>
  <c r="X324" i="7"/>
  <c r="X319" i="7"/>
  <c r="X305" i="7"/>
  <c r="X315" i="7"/>
  <c r="X265" i="7"/>
  <c r="X312" i="7"/>
  <c r="X308" i="7"/>
  <c r="X306" i="7"/>
  <c r="X303" i="7"/>
  <c r="X298" i="7"/>
  <c r="X295" i="7"/>
  <c r="X287" i="7"/>
  <c r="X285" i="7"/>
  <c r="X284" i="7"/>
  <c r="X278" i="7"/>
  <c r="X277" i="7"/>
  <c r="X270" i="7"/>
  <c r="X268" i="7"/>
  <c r="X203" i="7"/>
  <c r="X200" i="7"/>
  <c r="X197" i="7"/>
  <c r="X185" i="7"/>
  <c r="X178" i="7"/>
  <c r="X174" i="7"/>
  <c r="X172" i="7"/>
  <c r="X151" i="7"/>
  <c r="X146" i="7"/>
  <c r="AQ87" i="7"/>
  <c r="AQ91" i="7"/>
  <c r="AQ92" i="7"/>
  <c r="AQ93" i="7"/>
  <c r="AQ94" i="7"/>
  <c r="AQ96" i="7"/>
  <c r="AQ97" i="7"/>
  <c r="AQ98" i="7"/>
  <c r="AQ99" i="7"/>
  <c r="AQ100" i="7"/>
  <c r="AQ101" i="7"/>
  <c r="AQ105" i="7"/>
  <c r="AQ108" i="7"/>
  <c r="AQ109" i="7"/>
  <c r="AQ111" i="7"/>
  <c r="AQ115" i="7"/>
  <c r="AQ118" i="7"/>
  <c r="AQ120" i="7"/>
  <c r="AQ124" i="7"/>
  <c r="AQ125" i="7"/>
  <c r="AQ126" i="7"/>
  <c r="AQ127" i="7"/>
  <c r="AQ129" i="7"/>
  <c r="AQ131" i="7"/>
  <c r="AQ132" i="7"/>
  <c r="AQ137" i="7"/>
  <c r="AQ138" i="7"/>
  <c r="AQ140" i="7"/>
  <c r="AQ141" i="7"/>
  <c r="AQ152" i="7"/>
  <c r="AQ153" i="7"/>
  <c r="AQ155" i="7"/>
  <c r="AQ160" i="7"/>
  <c r="AQ162" i="7"/>
  <c r="AQ164" i="7"/>
  <c r="AQ165" i="7"/>
  <c r="AQ166" i="7"/>
  <c r="AQ173" i="7"/>
  <c r="AQ176" i="7"/>
  <c r="AQ177" i="7"/>
  <c r="AQ181" i="7"/>
  <c r="AQ183" i="7"/>
  <c r="AQ184" i="7"/>
  <c r="AQ186" i="7"/>
  <c r="AQ192" i="7"/>
  <c r="AQ194" i="7"/>
  <c r="AQ195" i="7"/>
  <c r="AQ198" i="7"/>
  <c r="AQ204" i="7"/>
  <c r="AQ208" i="7"/>
  <c r="AQ211" i="7"/>
  <c r="AQ216" i="7"/>
  <c r="AQ217" i="7"/>
  <c r="AQ220" i="7"/>
  <c r="AQ223" i="7"/>
  <c r="AQ224" i="7"/>
  <c r="AQ227" i="7"/>
  <c r="AQ235" i="7"/>
  <c r="AQ238" i="7"/>
  <c r="AQ243" i="7"/>
  <c r="AQ261" i="7"/>
  <c r="AQ262" i="7"/>
  <c r="AQ263" i="7"/>
  <c r="AQ264" i="7"/>
  <c r="AQ266" i="7"/>
  <c r="AQ267" i="7"/>
  <c r="AQ273" i="7"/>
  <c r="AQ279" i="7"/>
  <c r="AQ280" i="7"/>
  <c r="AQ281" i="7"/>
  <c r="AQ294" i="7"/>
  <c r="AQ316" i="7"/>
  <c r="AQ318" i="7"/>
  <c r="AQ314" i="7"/>
  <c r="AQ320" i="7"/>
  <c r="AQ321" i="7"/>
  <c r="AQ323" i="7"/>
  <c r="AQ325" i="7"/>
  <c r="AQ326" i="7"/>
  <c r="AQ289" i="7"/>
  <c r="AQ58" i="7"/>
  <c r="AQ85" i="7"/>
  <c r="AQ290" i="7"/>
  <c r="AQ6" i="7"/>
  <c r="AQ233" i="7"/>
  <c r="AQ297" i="7"/>
  <c r="AQ168" i="7"/>
  <c r="AQ292" i="7"/>
  <c r="AQ293" i="7"/>
  <c r="AQ89" i="7"/>
  <c r="AQ28" i="7"/>
  <c r="AQ106" i="7"/>
  <c r="AQ232" i="7"/>
  <c r="AQ322" i="7"/>
  <c r="AQ175" i="7"/>
  <c r="AQ113" i="7"/>
  <c r="AQ169" i="7"/>
  <c r="AQ299" i="7"/>
  <c r="AQ309" i="7"/>
  <c r="AQ300" i="7"/>
  <c r="AQ36" i="7"/>
  <c r="AQ301" i="7"/>
  <c r="AQ302" i="7"/>
  <c r="AQ304" i="7"/>
  <c r="AQ34" i="7"/>
  <c r="AQ274" i="7"/>
  <c r="AQ75" i="7"/>
  <c r="AQ68" i="7"/>
  <c r="AQ307" i="7"/>
  <c r="AQ310" i="7"/>
  <c r="AQ35" i="7"/>
  <c r="AQ38" i="7"/>
  <c r="AQ237" i="7"/>
  <c r="AQ239" i="7"/>
  <c r="AQ311" i="7"/>
  <c r="AQ82" i="7"/>
  <c r="AQ313" i="7"/>
  <c r="AQ7" i="7"/>
  <c r="AQ8" i="7"/>
  <c r="AQ9" i="7"/>
  <c r="AQ10" i="7"/>
  <c r="AQ11" i="7"/>
  <c r="AQ13" i="7"/>
  <c r="AQ14" i="7"/>
  <c r="AQ15" i="7"/>
  <c r="AQ18" i="7"/>
  <c r="AQ21" i="7"/>
  <c r="AQ23" i="7"/>
  <c r="AQ24" i="7"/>
  <c r="AQ25" i="7"/>
  <c r="AQ26" i="7"/>
  <c r="AQ30" i="7"/>
  <c r="AQ31" i="7"/>
  <c r="AQ32" i="7"/>
  <c r="AQ33" i="7"/>
  <c r="AQ39" i="7"/>
  <c r="AQ41" i="7"/>
  <c r="AQ44" i="7"/>
  <c r="AQ45" i="7"/>
  <c r="AQ48" i="7"/>
  <c r="AQ51" i="7"/>
  <c r="AQ52" i="7"/>
  <c r="AQ53" i="7"/>
  <c r="AQ54" i="7"/>
  <c r="AQ60" i="7"/>
  <c r="AQ61" i="7"/>
  <c r="AQ62" i="7"/>
  <c r="AQ63" i="7"/>
  <c r="AQ64" i="7"/>
  <c r="AQ65" i="7"/>
  <c r="AQ66" i="7"/>
  <c r="AQ67" i="7"/>
  <c r="AQ69" i="7"/>
  <c r="AQ70" i="7"/>
  <c r="AQ71" i="7"/>
  <c r="AQ74" i="7"/>
  <c r="AQ76" i="7"/>
  <c r="AQ77" i="7"/>
  <c r="AQ78" i="7"/>
  <c r="AQ80" i="7"/>
  <c r="AQ81" i="7"/>
  <c r="AQ83" i="7"/>
  <c r="AQ86" i="7"/>
  <c r="AQ102" i="7"/>
  <c r="AQ3" i="7"/>
  <c r="AQ19" i="7"/>
  <c r="AQ42" i="7"/>
  <c r="AQ47" i="7"/>
  <c r="AQ50" i="7"/>
  <c r="AQ73" i="7"/>
  <c r="AQ103" i="7"/>
  <c r="AQ104" i="7"/>
  <c r="AQ136" i="7"/>
  <c r="AQ145" i="7"/>
  <c r="AQ150" i="7"/>
  <c r="AQ207" i="7"/>
  <c r="AQ212" i="7"/>
  <c r="AQ230" i="7"/>
  <c r="AQ240" i="7"/>
  <c r="AQ283" i="7"/>
  <c r="AQ20" i="7"/>
  <c r="AQ116" i="7"/>
  <c r="AQ117" i="7"/>
  <c r="AQ180" i="7"/>
  <c r="AQ133" i="7"/>
  <c r="AQ57" i="7"/>
  <c r="AQ139" i="7"/>
  <c r="AQ56" i="7"/>
  <c r="AQ79" i="7"/>
  <c r="AQ282" i="7"/>
  <c r="AQ147" i="7"/>
  <c r="AQ29" i="7"/>
  <c r="AQ12" i="7"/>
  <c r="AQ49" i="7"/>
  <c r="AQ84" i="7"/>
  <c r="AQ156" i="7"/>
  <c r="AQ157" i="7"/>
  <c r="AQ158" i="7"/>
  <c r="AQ161" i="7"/>
  <c r="AQ205" i="7"/>
  <c r="AQ291" i="7"/>
  <c r="AQ170" i="7"/>
  <c r="AQ171" i="7"/>
  <c r="AQ182" i="7"/>
  <c r="AQ130" i="7"/>
  <c r="AQ122" i="7"/>
  <c r="AQ222" i="7"/>
  <c r="AQ187" i="7"/>
  <c r="AQ112" i="7"/>
  <c r="AQ121" i="7"/>
  <c r="AQ123" i="7"/>
  <c r="AQ128" i="7"/>
  <c r="AQ134" i="7"/>
  <c r="AQ188" i="7"/>
  <c r="AQ189" i="7"/>
  <c r="AQ193" i="7"/>
  <c r="AQ199" i="7"/>
  <c r="AQ190" i="7"/>
  <c r="AQ191" i="7"/>
  <c r="AQ196" i="7"/>
  <c r="AQ46" i="7"/>
  <c r="AQ142" i="7"/>
  <c r="AQ317" i="7"/>
  <c r="AQ167" i="7"/>
  <c r="AQ17" i="7"/>
  <c r="AQ201" i="7"/>
  <c r="AQ202" i="7"/>
  <c r="AQ55" i="7"/>
  <c r="AQ90" i="7"/>
  <c r="AQ143" i="7"/>
  <c r="AQ210" i="7"/>
  <c r="AQ215" i="7"/>
  <c r="AQ218" i="7"/>
  <c r="AQ219" i="7"/>
  <c r="AQ327" i="7"/>
  <c r="AQ149" i="7"/>
  <c r="AQ225" i="7"/>
  <c r="AQ22" i="7"/>
  <c r="AQ37" i="7"/>
  <c r="AQ226" i="7"/>
  <c r="AQ135" i="7"/>
  <c r="AQ228" i="7"/>
  <c r="AQ231" i="7"/>
  <c r="AQ229" i="7"/>
  <c r="AQ256" i="7"/>
  <c r="AQ234" i="7"/>
  <c r="AQ242" i="7"/>
  <c r="AQ114" i="7"/>
  <c r="AQ154" i="7"/>
  <c r="AQ163" i="7"/>
  <c r="AQ209" i="7"/>
  <c r="AQ236" i="7"/>
  <c r="AQ241" i="7"/>
  <c r="AQ244" i="7"/>
  <c r="AQ43" i="7"/>
  <c r="AQ252" i="7"/>
  <c r="AQ245" i="7"/>
  <c r="AQ246" i="7"/>
  <c r="AQ247" i="7"/>
  <c r="AQ248" i="7"/>
  <c r="AQ249" i="7"/>
  <c r="AQ250" i="7"/>
  <c r="AQ251" i="7"/>
  <c r="AQ253" i="7"/>
  <c r="AQ254" i="7"/>
  <c r="AQ206" i="7"/>
  <c r="AQ144" i="7"/>
  <c r="AQ257" i="7"/>
  <c r="AQ258" i="7"/>
  <c r="AQ88" i="7"/>
  <c r="AQ72" i="7"/>
  <c r="AQ16" i="7"/>
  <c r="AQ159" i="7"/>
  <c r="AQ259" i="7"/>
  <c r="AQ260" i="7"/>
  <c r="AQ269" i="7"/>
  <c r="AQ5" i="7"/>
  <c r="AQ27" i="7"/>
  <c r="AQ179" i="7"/>
  <c r="AQ213" i="7"/>
  <c r="AQ271" i="7"/>
  <c r="AQ276" i="7"/>
  <c r="AQ95" i="7"/>
  <c r="AQ107" i="7"/>
  <c r="AQ119" i="7"/>
  <c r="AQ221" i="7"/>
  <c r="AQ272" i="7"/>
  <c r="AQ275" i="7"/>
  <c r="AQ214" i="7"/>
  <c r="AQ59" i="7"/>
  <c r="AQ110" i="7"/>
  <c r="AQ40" i="7"/>
  <c r="AQ296" i="7"/>
  <c r="AQ148" i="7"/>
  <c r="AQ255" i="7"/>
  <c r="AQ4" i="7"/>
  <c r="AQ286" i="7"/>
  <c r="AQ288" i="7"/>
  <c r="AQ2" i="7"/>
  <c r="AK2" i="7"/>
  <c r="AD102" i="7"/>
  <c r="AD3" i="7"/>
  <c r="AD19" i="7"/>
  <c r="AD42" i="7"/>
  <c r="AD47" i="7"/>
  <c r="AD50" i="7"/>
  <c r="AD73" i="7"/>
  <c r="AD103" i="7"/>
  <c r="AD104" i="7"/>
  <c r="AD136" i="7"/>
  <c r="AD145" i="7"/>
  <c r="AD150" i="7"/>
  <c r="AD207" i="7"/>
  <c r="AD212" i="7"/>
  <c r="AD230" i="7"/>
  <c r="AD240" i="7"/>
  <c r="AD283" i="7"/>
  <c r="AD20" i="7"/>
  <c r="AD116" i="7"/>
  <c r="AD117" i="7"/>
  <c r="AD180" i="7"/>
  <c r="AD133" i="7"/>
  <c r="AD57" i="7"/>
  <c r="AD139" i="7"/>
  <c r="AD56" i="7"/>
  <c r="AD79" i="7"/>
  <c r="AD282" i="7"/>
  <c r="AD147" i="7"/>
  <c r="AD29" i="7"/>
  <c r="AD12" i="7"/>
  <c r="AD49" i="7"/>
  <c r="AD84" i="7"/>
  <c r="AD156" i="7"/>
  <c r="AD157" i="7"/>
  <c r="AD158" i="7"/>
  <c r="AD161" i="7"/>
  <c r="AD205" i="7"/>
  <c r="AD291" i="7"/>
  <c r="AD170" i="7"/>
  <c r="AD171" i="7"/>
  <c r="AD182" i="7"/>
  <c r="AD130" i="7"/>
  <c r="AD122" i="7"/>
  <c r="AD222" i="7"/>
  <c r="AD187" i="7"/>
  <c r="AD112" i="7"/>
  <c r="AD121" i="7"/>
  <c r="AD123" i="7"/>
  <c r="AD128" i="7"/>
  <c r="AD134" i="7"/>
  <c r="AD188" i="7"/>
  <c r="AD189" i="7"/>
  <c r="AD193" i="7"/>
  <c r="AD199" i="7"/>
  <c r="AD190" i="7"/>
  <c r="AD191" i="7"/>
  <c r="AD196" i="7"/>
  <c r="AD46" i="7"/>
  <c r="AD142" i="7"/>
  <c r="AD317" i="7"/>
  <c r="AD167" i="7"/>
  <c r="AD17" i="7"/>
  <c r="AD201" i="7"/>
  <c r="AD202" i="7"/>
  <c r="AD55" i="7"/>
  <c r="AD90" i="7"/>
  <c r="AD143" i="7"/>
  <c r="AD210" i="7"/>
  <c r="AD215" i="7"/>
  <c r="AD218" i="7"/>
  <c r="AD219" i="7"/>
  <c r="AD327" i="7"/>
  <c r="AD149" i="7"/>
  <c r="AD225" i="7"/>
  <c r="AD22" i="7"/>
  <c r="AD37" i="7"/>
  <c r="AD226" i="7"/>
  <c r="AD135" i="7"/>
  <c r="AD228" i="7"/>
  <c r="AD231" i="7"/>
  <c r="AD229" i="7"/>
  <c r="AD256" i="7"/>
  <c r="AD234" i="7"/>
  <c r="AD242" i="7"/>
  <c r="AD114" i="7"/>
  <c r="AD154" i="7"/>
  <c r="AD163" i="7"/>
  <c r="AD209" i="7"/>
  <c r="AD236" i="7"/>
  <c r="AD241" i="7"/>
  <c r="AD244" i="7"/>
  <c r="AD43" i="7"/>
  <c r="AD252" i="7"/>
  <c r="AD245" i="7"/>
  <c r="AD246" i="7"/>
  <c r="AD247" i="7"/>
  <c r="AD248" i="7"/>
  <c r="AD249" i="7"/>
  <c r="AD250" i="7"/>
  <c r="AD251" i="7"/>
  <c r="AD253" i="7"/>
  <c r="AD254" i="7"/>
  <c r="AD206" i="7"/>
  <c r="AD144" i="7"/>
  <c r="AD257" i="7"/>
  <c r="AD258" i="7"/>
  <c r="AD88" i="7"/>
  <c r="AD72" i="7"/>
  <c r="AD16" i="7"/>
  <c r="AD159" i="7"/>
  <c r="AD259" i="7"/>
  <c r="AD260" i="7"/>
  <c r="AD269" i="7"/>
  <c r="AD5" i="7"/>
  <c r="AD27" i="7"/>
  <c r="AD179" i="7"/>
  <c r="AD213" i="7"/>
  <c r="AD271" i="7"/>
  <c r="AD276" i="7"/>
  <c r="AD95" i="7"/>
  <c r="AD107" i="7"/>
  <c r="AD119" i="7"/>
  <c r="AD221" i="7"/>
  <c r="AD272" i="7"/>
  <c r="AD275" i="7"/>
  <c r="AD214" i="7"/>
  <c r="AD59" i="7"/>
  <c r="AD110" i="7"/>
  <c r="AD40" i="7"/>
  <c r="AD296" i="7"/>
  <c r="AD148" i="7"/>
  <c r="AD255" i="7"/>
  <c r="AD4" i="7"/>
  <c r="AD286" i="7"/>
  <c r="AD288" i="7"/>
  <c r="AD289" i="7"/>
  <c r="AD58" i="7"/>
  <c r="AD85" i="7"/>
  <c r="AD290" i="7"/>
  <c r="AD6" i="7"/>
  <c r="AD233" i="7"/>
  <c r="AD297" i="7"/>
  <c r="AD168" i="7"/>
  <c r="AD292" i="7"/>
  <c r="AD293" i="7"/>
  <c r="AD89" i="7"/>
  <c r="AD28" i="7"/>
  <c r="AD106" i="7"/>
  <c r="AD232" i="7"/>
  <c r="AD322" i="7"/>
  <c r="AD175" i="7"/>
  <c r="AD113" i="7"/>
  <c r="AD169" i="7"/>
  <c r="AD299" i="7"/>
  <c r="AD309" i="7"/>
  <c r="AD300" i="7"/>
  <c r="AD36" i="7"/>
  <c r="AD301" i="7"/>
  <c r="AD302" i="7"/>
  <c r="AD304" i="7"/>
  <c r="AD34" i="7"/>
  <c r="AD274" i="7"/>
  <c r="AD75" i="7"/>
  <c r="AD68" i="7"/>
  <c r="AD307" i="7"/>
  <c r="AD310" i="7"/>
  <c r="AD35" i="7"/>
  <c r="AD38" i="7"/>
  <c r="AD237" i="7"/>
  <c r="AD239" i="7"/>
  <c r="AD311" i="7"/>
  <c r="AD82" i="7"/>
  <c r="AD313" i="7"/>
  <c r="AD7" i="7"/>
  <c r="AD8" i="7"/>
  <c r="AD9" i="7"/>
  <c r="AD10" i="7"/>
  <c r="AD11" i="7"/>
  <c r="AD13" i="7"/>
  <c r="AD14" i="7"/>
  <c r="AD15" i="7"/>
  <c r="AD18" i="7"/>
  <c r="AD21" i="7"/>
  <c r="AD23" i="7"/>
  <c r="AD24" i="7"/>
  <c r="AD25" i="7"/>
  <c r="AD26" i="7"/>
  <c r="AD30" i="7"/>
  <c r="AD31" i="7"/>
  <c r="AD32" i="7"/>
  <c r="AD33" i="7"/>
  <c r="AD39" i="7"/>
  <c r="AD41" i="7"/>
  <c r="AD44" i="7"/>
  <c r="AD45" i="7"/>
  <c r="AD48" i="7"/>
  <c r="AD51" i="7"/>
  <c r="AD52" i="7"/>
  <c r="AD53" i="7"/>
  <c r="AD54" i="7"/>
  <c r="AD60" i="7"/>
  <c r="AD61" i="7"/>
  <c r="AD62" i="7"/>
  <c r="AD63" i="7"/>
  <c r="AD64" i="7"/>
  <c r="AD65" i="7"/>
  <c r="AD66" i="7"/>
  <c r="AD67" i="7"/>
  <c r="AD69" i="7"/>
  <c r="AD70" i="7"/>
  <c r="AD71" i="7"/>
  <c r="AD74" i="7"/>
  <c r="AD76" i="7"/>
  <c r="AD77" i="7"/>
  <c r="AD78" i="7"/>
  <c r="AD80" i="7"/>
  <c r="AD81" i="7"/>
  <c r="AD83" i="7"/>
  <c r="AD86" i="7"/>
  <c r="AD87" i="7"/>
  <c r="AD91" i="7"/>
  <c r="AD92" i="7"/>
  <c r="AD93" i="7"/>
  <c r="AD94" i="7"/>
  <c r="AD96" i="7"/>
  <c r="AD97" i="7"/>
  <c r="AD98" i="7"/>
  <c r="AD99" i="7"/>
  <c r="AD100" i="7"/>
  <c r="AD101" i="7"/>
  <c r="AD105" i="7"/>
  <c r="AD108" i="7"/>
  <c r="AD109" i="7"/>
  <c r="AD111" i="7"/>
  <c r="AD115" i="7"/>
  <c r="AD118" i="7"/>
  <c r="AD120" i="7"/>
  <c r="AD124" i="7"/>
  <c r="AD125" i="7"/>
  <c r="AD126" i="7"/>
  <c r="AD127" i="7"/>
  <c r="AD129" i="7"/>
  <c r="AD131" i="7"/>
  <c r="AD132" i="7"/>
  <c r="AD137" i="7"/>
  <c r="AD138" i="7"/>
  <c r="AD140" i="7"/>
  <c r="AD141" i="7"/>
  <c r="AD152" i="7"/>
  <c r="AD153" i="7"/>
  <c r="AD155" i="7"/>
  <c r="AD160" i="7"/>
  <c r="AD162" i="7"/>
  <c r="AD164" i="7"/>
  <c r="AD165" i="7"/>
  <c r="AD166" i="7"/>
  <c r="AD173" i="7"/>
  <c r="AD176" i="7"/>
  <c r="AD177" i="7"/>
  <c r="AD181" i="7"/>
  <c r="AD183" i="7"/>
  <c r="AD184" i="7"/>
  <c r="AD186" i="7"/>
  <c r="AD192" i="7"/>
  <c r="AD194" i="7"/>
  <c r="AD195" i="7"/>
  <c r="AD198" i="7"/>
  <c r="AD204" i="7"/>
  <c r="AD208" i="7"/>
  <c r="AD211" i="7"/>
  <c r="AD216" i="7"/>
  <c r="AD217" i="7"/>
  <c r="AD220" i="7"/>
  <c r="AD223" i="7"/>
  <c r="AD224" i="7"/>
  <c r="AD227" i="7"/>
  <c r="AD235" i="7"/>
  <c r="AD238" i="7"/>
  <c r="AD243" i="7"/>
  <c r="AD261" i="7"/>
  <c r="AD262" i="7"/>
  <c r="AD263" i="7"/>
  <c r="AD264" i="7"/>
  <c r="AD266" i="7"/>
  <c r="AD267" i="7"/>
  <c r="AD273" i="7"/>
  <c r="AD279" i="7"/>
  <c r="AD280" i="7"/>
  <c r="AD281" i="7"/>
  <c r="AD294" i="7"/>
  <c r="AD316" i="7"/>
  <c r="AD318" i="7"/>
  <c r="AD314" i="7"/>
  <c r="AD320" i="7"/>
  <c r="AD321" i="7"/>
  <c r="AD323" i="7"/>
  <c r="AD325" i="7"/>
  <c r="AD326" i="7"/>
  <c r="AD2" i="7"/>
  <c r="X2" i="7"/>
  <c r="X102" i="7"/>
  <c r="X3" i="7"/>
  <c r="X19" i="7"/>
  <c r="X42" i="7"/>
  <c r="X47" i="7"/>
  <c r="X50" i="7"/>
  <c r="X73" i="7"/>
  <c r="X103" i="7"/>
  <c r="X104" i="7"/>
  <c r="X136" i="7"/>
  <c r="X145" i="7"/>
  <c r="X150" i="7"/>
  <c r="X207" i="7"/>
  <c r="X212" i="7"/>
  <c r="X230" i="7"/>
  <c r="X240" i="7"/>
  <c r="X283" i="7"/>
  <c r="X20" i="7"/>
  <c r="X116" i="7"/>
  <c r="X117" i="7"/>
  <c r="X180" i="7"/>
  <c r="X133" i="7"/>
  <c r="X57" i="7"/>
  <c r="X139" i="7"/>
  <c r="X56" i="7"/>
  <c r="X79" i="7"/>
  <c r="X282" i="7"/>
  <c r="X147" i="7"/>
  <c r="X29" i="7"/>
  <c r="X12" i="7"/>
  <c r="X49" i="7"/>
  <c r="X84" i="7"/>
  <c r="X156" i="7"/>
  <c r="X157" i="7"/>
  <c r="X158" i="7"/>
  <c r="X161" i="7"/>
  <c r="X205" i="7"/>
  <c r="X291" i="7"/>
  <c r="X170" i="7"/>
  <c r="X171" i="7"/>
  <c r="X182" i="7"/>
  <c r="X130" i="7"/>
  <c r="X122" i="7"/>
  <c r="X222" i="7"/>
  <c r="X187" i="7"/>
  <c r="X112" i="7"/>
  <c r="X121" i="7"/>
  <c r="X123" i="7"/>
  <c r="X128" i="7"/>
  <c r="X134" i="7"/>
  <c r="X188" i="7"/>
  <c r="X189" i="7"/>
  <c r="X193" i="7"/>
  <c r="X199" i="7"/>
  <c r="X190" i="7"/>
  <c r="X191" i="7"/>
  <c r="X196" i="7"/>
  <c r="X46" i="7"/>
  <c r="X142" i="7"/>
  <c r="X317" i="7"/>
  <c r="X167" i="7"/>
  <c r="X17" i="7"/>
  <c r="X201" i="7"/>
  <c r="X202" i="7"/>
  <c r="X55" i="7"/>
  <c r="X90" i="7"/>
  <c r="X143" i="7"/>
  <c r="X210" i="7"/>
  <c r="X215" i="7"/>
  <c r="X218" i="7"/>
  <c r="X219" i="7"/>
  <c r="X327" i="7"/>
  <c r="X149" i="7"/>
  <c r="X225" i="7"/>
  <c r="X22" i="7"/>
  <c r="X37" i="7"/>
  <c r="X226" i="7"/>
  <c r="X135" i="7"/>
  <c r="X228" i="7"/>
  <c r="X231" i="7"/>
  <c r="X229" i="7"/>
  <c r="X256" i="7"/>
  <c r="X234" i="7"/>
  <c r="X242" i="7"/>
  <c r="X114" i="7"/>
  <c r="X154" i="7"/>
  <c r="X163" i="7"/>
  <c r="X209" i="7"/>
  <c r="X236" i="7"/>
  <c r="X241" i="7"/>
  <c r="X244" i="7"/>
  <c r="X43" i="7"/>
  <c r="X252" i="7"/>
  <c r="X245" i="7"/>
  <c r="X246" i="7"/>
  <c r="X247" i="7"/>
  <c r="X248" i="7"/>
  <c r="X249" i="7"/>
  <c r="X250" i="7"/>
  <c r="X251" i="7"/>
  <c r="X253" i="7"/>
  <c r="X254" i="7"/>
  <c r="X206" i="7"/>
  <c r="X144" i="7"/>
  <c r="X257" i="7"/>
  <c r="X258" i="7"/>
  <c r="X88" i="7"/>
  <c r="X72" i="7"/>
  <c r="X16" i="7"/>
  <c r="X159" i="7"/>
  <c r="X259" i="7"/>
  <c r="X260" i="7"/>
  <c r="X269" i="7"/>
  <c r="X5" i="7"/>
  <c r="X27" i="7"/>
  <c r="X179" i="7"/>
  <c r="X213" i="7"/>
  <c r="X271" i="7"/>
  <c r="X276" i="7"/>
  <c r="X95" i="7"/>
  <c r="X107" i="7"/>
  <c r="X119" i="7"/>
  <c r="X221" i="7"/>
  <c r="X272" i="7"/>
  <c r="X275" i="7"/>
  <c r="X214" i="7"/>
  <c r="X59" i="7"/>
  <c r="X110" i="7"/>
  <c r="X40" i="7"/>
  <c r="X296" i="7"/>
  <c r="X148" i="7"/>
  <c r="X255" i="7"/>
  <c r="X4" i="7"/>
  <c r="X286" i="7"/>
  <c r="X288" i="7"/>
  <c r="X289" i="7"/>
  <c r="X58" i="7"/>
  <c r="X85" i="7"/>
  <c r="X290" i="7"/>
  <c r="X6" i="7"/>
  <c r="X233" i="7"/>
  <c r="X297" i="7"/>
  <c r="X168" i="7"/>
  <c r="X292" i="7"/>
  <c r="X293" i="7"/>
  <c r="X89" i="7"/>
  <c r="X28" i="7"/>
  <c r="X106" i="7"/>
  <c r="X232" i="7"/>
  <c r="X322" i="7"/>
  <c r="X175" i="7"/>
  <c r="X113" i="7"/>
  <c r="X169" i="7"/>
  <c r="X299" i="7"/>
  <c r="X309" i="7"/>
  <c r="X300" i="7"/>
  <c r="X36" i="7"/>
  <c r="X301" i="7"/>
  <c r="X302" i="7"/>
  <c r="X304" i="7"/>
  <c r="X34" i="7"/>
  <c r="X274" i="7"/>
  <c r="X75" i="7"/>
  <c r="X68" i="7"/>
  <c r="X307" i="7"/>
  <c r="X310" i="7"/>
  <c r="X35" i="7"/>
  <c r="X38" i="7"/>
  <c r="X237" i="7"/>
  <c r="X239" i="7"/>
  <c r="X311" i="7"/>
  <c r="X82" i="7"/>
  <c r="X313" i="7"/>
  <c r="X7" i="7"/>
  <c r="X8" i="7"/>
  <c r="X9" i="7"/>
  <c r="X10" i="7"/>
  <c r="X11" i="7"/>
  <c r="X13" i="7"/>
  <c r="X14" i="7"/>
  <c r="X15" i="7"/>
  <c r="X18" i="7"/>
  <c r="X21" i="7"/>
  <c r="X23" i="7"/>
  <c r="X24" i="7"/>
  <c r="X25" i="7"/>
  <c r="X26" i="7"/>
  <c r="X30" i="7"/>
  <c r="X31" i="7"/>
  <c r="X32" i="7"/>
  <c r="X33" i="7"/>
  <c r="X39" i="7"/>
  <c r="X41" i="7"/>
  <c r="X44" i="7"/>
  <c r="X45" i="7"/>
  <c r="X48" i="7"/>
  <c r="X51" i="7"/>
  <c r="X52" i="7"/>
  <c r="X53" i="7"/>
  <c r="X54" i="7"/>
  <c r="X60" i="7"/>
  <c r="X61" i="7"/>
  <c r="X62" i="7"/>
  <c r="X63" i="7"/>
  <c r="X64" i="7"/>
  <c r="X65" i="7"/>
  <c r="X66" i="7"/>
  <c r="X67" i="7"/>
  <c r="X69" i="7"/>
  <c r="X70" i="7"/>
  <c r="X71" i="7"/>
  <c r="X74" i="7"/>
  <c r="X76" i="7"/>
  <c r="X77" i="7"/>
  <c r="X78" i="7"/>
  <c r="X80" i="7"/>
  <c r="X81" i="7"/>
  <c r="X83" i="7"/>
  <c r="X86" i="7"/>
  <c r="X87" i="7"/>
  <c r="X91" i="7"/>
  <c r="X92" i="7"/>
  <c r="X93" i="7"/>
  <c r="X94" i="7"/>
  <c r="X96" i="7"/>
  <c r="X97" i="7"/>
  <c r="X98" i="7"/>
  <c r="X99" i="7"/>
  <c r="X100" i="7"/>
  <c r="X101" i="7"/>
  <c r="X105" i="7"/>
  <c r="X108" i="7"/>
  <c r="X109" i="7"/>
  <c r="X111" i="7"/>
  <c r="X115" i="7"/>
  <c r="X118" i="7"/>
  <c r="X120" i="7"/>
  <c r="X124" i="7"/>
  <c r="X125" i="7"/>
  <c r="X126" i="7"/>
  <c r="X127" i="7"/>
  <c r="X129" i="7"/>
  <c r="X131" i="7"/>
  <c r="X132" i="7"/>
  <c r="X137" i="7"/>
  <c r="X138" i="7"/>
  <c r="X140" i="7"/>
  <c r="X141" i="7"/>
  <c r="X152" i="7"/>
  <c r="X153" i="7"/>
  <c r="X155" i="7"/>
  <c r="X160" i="7"/>
  <c r="X162" i="7"/>
  <c r="X164" i="7"/>
  <c r="X165" i="7"/>
  <c r="X166" i="7"/>
  <c r="X173" i="7"/>
  <c r="X176" i="7"/>
  <c r="X177" i="7"/>
  <c r="X181" i="7"/>
  <c r="X183" i="7"/>
  <c r="X184" i="7"/>
  <c r="X186" i="7"/>
  <c r="X192" i="7"/>
  <c r="X194" i="7"/>
  <c r="X195" i="7"/>
  <c r="X198" i="7"/>
  <c r="X204" i="7"/>
  <c r="X208" i="7"/>
  <c r="X211" i="7"/>
  <c r="X216" i="7"/>
  <c r="X217" i="7"/>
  <c r="X220" i="7"/>
  <c r="X223" i="7"/>
  <c r="X224" i="7"/>
  <c r="X227" i="7"/>
  <c r="X235" i="7"/>
  <c r="X238" i="7"/>
  <c r="X243" i="7"/>
  <c r="X261" i="7"/>
  <c r="X262" i="7"/>
  <c r="X263" i="7"/>
  <c r="X264" i="7"/>
  <c r="X266" i="7"/>
  <c r="X267" i="7"/>
  <c r="X273" i="7"/>
  <c r="X279" i="7"/>
  <c r="X280" i="7"/>
  <c r="X281" i="7"/>
  <c r="X294" i="7"/>
  <c r="X316" i="7"/>
  <c r="X318" i="7"/>
  <c r="X314" i="7"/>
  <c r="X320" i="7"/>
  <c r="X321" i="7"/>
  <c r="X323" i="7"/>
  <c r="X325" i="7"/>
  <c r="X326" i="7"/>
  <c r="AK7" i="7"/>
  <c r="AK8" i="7"/>
  <c r="AK9" i="7"/>
  <c r="AK10" i="7"/>
  <c r="AK11" i="7"/>
  <c r="AK13" i="7"/>
  <c r="AK14" i="7"/>
  <c r="AK15" i="7"/>
  <c r="AK18" i="7"/>
  <c r="AK21" i="7"/>
  <c r="AK23" i="7"/>
  <c r="AK24" i="7"/>
  <c r="AK25" i="7"/>
  <c r="AK26" i="7"/>
  <c r="AK30" i="7"/>
  <c r="AK31" i="7"/>
  <c r="AK32" i="7"/>
  <c r="AK33" i="7"/>
  <c r="AK39" i="7"/>
  <c r="AK41" i="7"/>
  <c r="AK44" i="7"/>
  <c r="AK45" i="7"/>
  <c r="AK48" i="7"/>
  <c r="AK51" i="7"/>
  <c r="AK52" i="7"/>
  <c r="AK53" i="7"/>
  <c r="AK54" i="7"/>
  <c r="AK60" i="7"/>
  <c r="AK61" i="7"/>
  <c r="AK62" i="7"/>
  <c r="AK63" i="7"/>
  <c r="AK64" i="7"/>
  <c r="AK65" i="7"/>
  <c r="AK66" i="7"/>
  <c r="AK67" i="7"/>
  <c r="AK69" i="7"/>
  <c r="AK70" i="7"/>
  <c r="AK71" i="7"/>
  <c r="AK74" i="7"/>
  <c r="AK76" i="7"/>
  <c r="AK77" i="7"/>
  <c r="AK78" i="7"/>
  <c r="AK80" i="7"/>
  <c r="AK81" i="7"/>
  <c r="AK83" i="7"/>
  <c r="AK86" i="7"/>
  <c r="AK87" i="7"/>
  <c r="AK91" i="7"/>
  <c r="AK92" i="7"/>
  <c r="AK93" i="7"/>
  <c r="AK94" i="7"/>
  <c r="AK96" i="7"/>
  <c r="AK97" i="7"/>
  <c r="AK98" i="7"/>
  <c r="AK99" i="7"/>
  <c r="AK100" i="7"/>
  <c r="AK101" i="7"/>
  <c r="AK105" i="7"/>
  <c r="AK108" i="7"/>
  <c r="AK109" i="7"/>
  <c r="AK111" i="7"/>
  <c r="AK115" i="7"/>
  <c r="AK118" i="7"/>
  <c r="AK120" i="7"/>
  <c r="AK124" i="7"/>
  <c r="AK125" i="7"/>
  <c r="AK126" i="7"/>
  <c r="AK127" i="7"/>
  <c r="AK129" i="7"/>
  <c r="AK131" i="7"/>
  <c r="AK132" i="7"/>
  <c r="AK137" i="7"/>
  <c r="AK138" i="7"/>
  <c r="AK140" i="7"/>
  <c r="AK141" i="7"/>
  <c r="AK152" i="7"/>
  <c r="AK153" i="7"/>
  <c r="AK155" i="7"/>
  <c r="AK160" i="7"/>
  <c r="AK162" i="7"/>
  <c r="AK164" i="7"/>
  <c r="AK165" i="7"/>
  <c r="AK166" i="7"/>
  <c r="AK173" i="7"/>
  <c r="AK176" i="7"/>
  <c r="AK177" i="7"/>
  <c r="AK181" i="7"/>
  <c r="AK183" i="7"/>
  <c r="AK184" i="7"/>
  <c r="AK186" i="7"/>
  <c r="AK192" i="7"/>
  <c r="AK194" i="7"/>
  <c r="AK195" i="7"/>
  <c r="AK198" i="7"/>
  <c r="AK204" i="7"/>
  <c r="AK208" i="7"/>
  <c r="AK211" i="7"/>
  <c r="AK216" i="7"/>
  <c r="AK217" i="7"/>
  <c r="AK220" i="7"/>
  <c r="AK223" i="7"/>
  <c r="AK224" i="7"/>
  <c r="AK227" i="7"/>
  <c r="AK235" i="7"/>
  <c r="AK238" i="7"/>
  <c r="AK243" i="7"/>
  <c r="AK261" i="7"/>
  <c r="AK262" i="7"/>
  <c r="AK263" i="7"/>
  <c r="AK264" i="7"/>
  <c r="AK266" i="7"/>
  <c r="AK267" i="7"/>
  <c r="AK273" i="7"/>
  <c r="AK279" i="7"/>
  <c r="AK280" i="7"/>
  <c r="AK281" i="7"/>
  <c r="AK294" i="7"/>
  <c r="AK316" i="7"/>
  <c r="AK318" i="7"/>
  <c r="AK314" i="7"/>
  <c r="AK320" i="7"/>
  <c r="AK321" i="7"/>
  <c r="AK323" i="7"/>
  <c r="AK325" i="7"/>
  <c r="AK326" i="7"/>
  <c r="AK102" i="7"/>
  <c r="AK3" i="7"/>
  <c r="AK19" i="7"/>
  <c r="AK42" i="7"/>
  <c r="AK47" i="7"/>
  <c r="AK50" i="7"/>
  <c r="AK73" i="7"/>
  <c r="AK103" i="7"/>
  <c r="AK104" i="7"/>
  <c r="AK136" i="7"/>
  <c r="AK145" i="7"/>
  <c r="AK150" i="7"/>
  <c r="AK230" i="7"/>
  <c r="AK240" i="7"/>
  <c r="AK283" i="7"/>
  <c r="AK20" i="7"/>
  <c r="AK116" i="7"/>
  <c r="AK117" i="7"/>
  <c r="AK180" i="7"/>
  <c r="AK133" i="7"/>
  <c r="AK57" i="7"/>
  <c r="AK139" i="7"/>
  <c r="AK56" i="7"/>
  <c r="AK79" i="7"/>
  <c r="AK282" i="7"/>
  <c r="AK147" i="7"/>
  <c r="AK29" i="7"/>
  <c r="AK12" i="7"/>
  <c r="AK49" i="7"/>
  <c r="AK156" i="7"/>
  <c r="AK157" i="7"/>
  <c r="AK158" i="7"/>
  <c r="AK161" i="7"/>
  <c r="AK205" i="7"/>
  <c r="AK291" i="7"/>
  <c r="AK170" i="7"/>
  <c r="AK171" i="7"/>
  <c r="AK182" i="7"/>
  <c r="AK130" i="7"/>
  <c r="AK122" i="7"/>
  <c r="AK222" i="7"/>
  <c r="AK187" i="7"/>
  <c r="AK112" i="7"/>
  <c r="AK121" i="7"/>
  <c r="AK123" i="7"/>
  <c r="AK128" i="7"/>
  <c r="AK134" i="7"/>
  <c r="AK188" i="7"/>
  <c r="AK189" i="7"/>
  <c r="AK193" i="7"/>
  <c r="AK199" i="7"/>
  <c r="AK190" i="7"/>
  <c r="AK191" i="7"/>
  <c r="AK196" i="7"/>
  <c r="AK46" i="7"/>
  <c r="AK142" i="7"/>
  <c r="AK317" i="7"/>
  <c r="AK167" i="7"/>
  <c r="AK17" i="7"/>
  <c r="AK201" i="7"/>
  <c r="AK202" i="7"/>
  <c r="AK90" i="7"/>
  <c r="AK143" i="7"/>
  <c r="AK210" i="7"/>
  <c r="AK215" i="7"/>
  <c r="AK218" i="7"/>
  <c r="AK219" i="7"/>
  <c r="AK327" i="7"/>
  <c r="AK149" i="7"/>
  <c r="AK225" i="7"/>
  <c r="AK22" i="7"/>
  <c r="AK37" i="7"/>
  <c r="AK226" i="7"/>
  <c r="AK135" i="7"/>
  <c r="AK228" i="7"/>
  <c r="AK231" i="7"/>
  <c r="AK256" i="7"/>
  <c r="AK234" i="7"/>
  <c r="AK242" i="7"/>
  <c r="AK114" i="7"/>
  <c r="AK154" i="7"/>
  <c r="AK163" i="7"/>
  <c r="AK209" i="7"/>
  <c r="AK236" i="7"/>
  <c r="AK241" i="7"/>
  <c r="AK244" i="7"/>
  <c r="AK252" i="7"/>
  <c r="AK245" i="7"/>
  <c r="AK246" i="7"/>
  <c r="AK247" i="7"/>
  <c r="AK248" i="7"/>
  <c r="AK249" i="7"/>
  <c r="AK250" i="7"/>
  <c r="AK251" i="7"/>
  <c r="AK253" i="7"/>
  <c r="AK254" i="7"/>
  <c r="AK206" i="7"/>
  <c r="AK144" i="7"/>
  <c r="AK257" i="7"/>
  <c r="AK258" i="7"/>
  <c r="AK88" i="7"/>
  <c r="AK16" i="7"/>
  <c r="AK159" i="7"/>
  <c r="AK259" i="7"/>
  <c r="AK260" i="7"/>
  <c r="AK269" i="7"/>
  <c r="AK27" i="7"/>
  <c r="AK179" i="7"/>
  <c r="AK213" i="7"/>
  <c r="AK271" i="7"/>
  <c r="AK276" i="7"/>
  <c r="AK107" i="7"/>
  <c r="AK119" i="7"/>
  <c r="AK221" i="7"/>
  <c r="AK272" i="7"/>
  <c r="AK275" i="7"/>
  <c r="AK214" i="7"/>
  <c r="AK59" i="7"/>
  <c r="AK110" i="7"/>
  <c r="AK296" i="7"/>
  <c r="AK148" i="7"/>
  <c r="AK255" i="7"/>
  <c r="AK4" i="7"/>
  <c r="AK286" i="7"/>
  <c r="AK288" i="7"/>
  <c r="AK289" i="7"/>
  <c r="AK58" i="7"/>
  <c r="AK85" i="7"/>
  <c r="AK290" i="7"/>
  <c r="AK6" i="7"/>
  <c r="AK233" i="7"/>
  <c r="AK297" i="7"/>
  <c r="AK168" i="7"/>
  <c r="AK292" i="7"/>
  <c r="AK293" i="7"/>
  <c r="AK89" i="7"/>
  <c r="AK28" i="7"/>
  <c r="AK106" i="7"/>
  <c r="AK232" i="7"/>
  <c r="AK322" i="7"/>
  <c r="AK175" i="7"/>
  <c r="AK169" i="7"/>
  <c r="AK299" i="7"/>
  <c r="AK309" i="7"/>
  <c r="AK300" i="7"/>
  <c r="AK36" i="7"/>
  <c r="AK301" i="7"/>
  <c r="AK302" i="7"/>
  <c r="AK304" i="7"/>
  <c r="AK34" i="7"/>
  <c r="AK274" i="7"/>
  <c r="AK75" i="7"/>
  <c r="AK68" i="7"/>
  <c r="AK307" i="7"/>
  <c r="AK310" i="7"/>
  <c r="AK35" i="7"/>
  <c r="AK38" i="7"/>
  <c r="AK237" i="7"/>
  <c r="AK239" i="7"/>
  <c r="AK311" i="7"/>
  <c r="AK82" i="7"/>
  <c r="AK313" i="7"/>
  <c r="C16" i="13"/>
  <c r="B30" i="14"/>
  <c r="C30" i="14"/>
  <c r="D30" i="14"/>
  <c r="E30" i="14" s="1"/>
  <c r="F30" i="14"/>
  <c r="G30" i="14"/>
  <c r="H30" i="14"/>
  <c r="BC30" i="14" s="1"/>
  <c r="AT30" i="14"/>
  <c r="B19" i="14"/>
  <c r="C19" i="14"/>
  <c r="D19" i="14"/>
  <c r="E19" i="14" s="1"/>
  <c r="F19" i="14"/>
  <c r="G19" i="14"/>
  <c r="H19" i="14"/>
  <c r="BC19" i="14" s="1"/>
  <c r="AT19" i="14"/>
  <c r="D57" i="14"/>
  <c r="E57" i="14" s="1"/>
  <c r="D146" i="7"/>
  <c r="C2" i="13"/>
  <c r="C3" i="13"/>
  <c r="C4" i="13"/>
  <c r="C6" i="13"/>
  <c r="C7" i="13"/>
  <c r="C8" i="13"/>
  <c r="C9" i="13"/>
  <c r="C10" i="13"/>
  <c r="C11" i="13"/>
  <c r="C14" i="13"/>
  <c r="C15" i="13"/>
  <c r="C17" i="13"/>
  <c r="C18" i="13"/>
  <c r="C19" i="13"/>
  <c r="C20" i="13"/>
  <c r="C21" i="13"/>
  <c r="C23" i="13"/>
  <c r="C24" i="13"/>
  <c r="C25" i="13"/>
  <c r="C26" i="13"/>
  <c r="C31" i="13"/>
  <c r="C37" i="13"/>
  <c r="C38" i="13"/>
  <c r="C39" i="13"/>
  <c r="C41" i="13"/>
  <c r="C49" i="13"/>
  <c r="C50" i="13"/>
  <c r="C51" i="13"/>
  <c r="C52" i="13"/>
  <c r="C53" i="13"/>
  <c r="C55" i="13"/>
  <c r="C57" i="13"/>
  <c r="C58" i="13"/>
  <c r="C59" i="13"/>
  <c r="C60" i="13"/>
  <c r="C61" i="13"/>
  <c r="C62" i="13"/>
  <c r="C63" i="13"/>
  <c r="C64" i="13"/>
  <c r="C65" i="13"/>
  <c r="C66" i="13"/>
  <c r="C67" i="13"/>
  <c r="C68" i="13"/>
  <c r="C69" i="13"/>
  <c r="C70" i="13"/>
  <c r="C71" i="13"/>
  <c r="C72" i="13"/>
  <c r="C73" i="13"/>
  <c r="C74" i="13"/>
  <c r="C75" i="13"/>
  <c r="C76" i="13"/>
  <c r="C77" i="13"/>
  <c r="C78" i="13"/>
  <c r="C79" i="13"/>
  <c r="C80" i="13"/>
  <c r="C81" i="13"/>
  <c r="C82" i="13"/>
  <c r="C83" i="13"/>
  <c r="C84" i="13"/>
  <c r="C85" i="13"/>
  <c r="C86" i="13"/>
  <c r="C87" i="13"/>
  <c r="C88" i="13"/>
  <c r="C89" i="13"/>
  <c r="C90" i="13"/>
  <c r="C93" i="13"/>
  <c r="C94" i="13"/>
  <c r="C95" i="13"/>
  <c r="C96" i="13"/>
  <c r="C97" i="13"/>
  <c r="C98" i="13"/>
  <c r="C99" i="13"/>
  <c r="C100" i="13"/>
  <c r="C101" i="13"/>
  <c r="C102" i="13"/>
  <c r="C103" i="13"/>
  <c r="C104" i="13"/>
  <c r="C108" i="13"/>
  <c r="C105" i="13"/>
  <c r="C106" i="13"/>
  <c r="C107" i="13"/>
  <c r="C109" i="13"/>
  <c r="C110" i="13"/>
  <c r="C111" i="13"/>
  <c r="C113" i="13"/>
  <c r="C114" i="13"/>
  <c r="C115" i="13"/>
  <c r="C116" i="13"/>
  <c r="C117" i="13"/>
  <c r="C118" i="13"/>
  <c r="C119" i="13"/>
  <c r="C120" i="13"/>
  <c r="C121" i="13"/>
  <c r="C122" i="13"/>
  <c r="C123" i="13"/>
  <c r="C124" i="13"/>
  <c r="C125" i="13"/>
  <c r="C126" i="13"/>
  <c r="C127" i="13"/>
  <c r="C128" i="13"/>
  <c r="C129" i="13"/>
  <c r="C130" i="13"/>
  <c r="C131" i="13"/>
  <c r="C132" i="13"/>
  <c r="C133" i="13"/>
  <c r="C134" i="13"/>
  <c r="C135" i="13"/>
  <c r="C136" i="13"/>
  <c r="C137" i="13"/>
  <c r="C138" i="13"/>
  <c r="C139" i="13"/>
  <c r="C140" i="13"/>
  <c r="C141" i="13"/>
  <c r="C142" i="13"/>
  <c r="C143" i="13"/>
  <c r="C144" i="13"/>
  <c r="C145" i="13"/>
  <c r="C146" i="13"/>
  <c r="C147" i="13"/>
  <c r="C149" i="13"/>
  <c r="C150" i="13"/>
  <c r="C151" i="13"/>
  <c r="C152" i="13"/>
  <c r="C153" i="13"/>
  <c r="C154" i="13"/>
  <c r="C155" i="13"/>
  <c r="C156" i="13"/>
  <c r="C157" i="13"/>
  <c r="C159" i="13"/>
  <c r="C160" i="13"/>
  <c r="C161" i="13"/>
  <c r="C162" i="13"/>
  <c r="C163" i="13"/>
  <c r="C164" i="13"/>
  <c r="C165" i="13"/>
  <c r="C166" i="13"/>
  <c r="C167" i="13"/>
  <c r="C168" i="13"/>
  <c r="C169" i="13"/>
  <c r="C170" i="13"/>
  <c r="C171" i="13"/>
  <c r="C172" i="13"/>
  <c r="C173" i="13"/>
  <c r="C174" i="13"/>
  <c r="C175" i="13"/>
  <c r="C176" i="13"/>
  <c r="C178" i="13"/>
  <c r="C179" i="13"/>
  <c r="C180" i="13"/>
  <c r="C181" i="13"/>
  <c r="C182" i="13"/>
  <c r="C183" i="13"/>
  <c r="C184" i="13"/>
  <c r="C185" i="13"/>
  <c r="C186" i="13"/>
  <c r="C187" i="13"/>
  <c r="C188" i="13"/>
  <c r="C189" i="13"/>
  <c r="C190" i="13"/>
  <c r="C191" i="13"/>
  <c r="C192" i="13"/>
  <c r="C193" i="13"/>
  <c r="C194" i="13"/>
  <c r="C195" i="13"/>
  <c r="C196" i="13"/>
  <c r="C197" i="13"/>
  <c r="C5" i="13"/>
  <c r="C13" i="13"/>
  <c r="C32" i="13"/>
  <c r="C27" i="13"/>
  <c r="C22" i="13"/>
  <c r="G41" i="14"/>
  <c r="G2" i="7"/>
  <c r="BG2" i="7" s="1"/>
  <c r="G102" i="7"/>
  <c r="BH102" i="7" s="1"/>
  <c r="G3" i="7"/>
  <c r="BF3" i="7" s="1"/>
  <c r="G19" i="7"/>
  <c r="G42" i="7"/>
  <c r="G47" i="7"/>
  <c r="BF47" i="7" s="1"/>
  <c r="G50" i="7"/>
  <c r="BG50" i="7" s="1"/>
  <c r="G73" i="7"/>
  <c r="BG73" i="7" s="1"/>
  <c r="G103" i="7"/>
  <c r="G104" i="7"/>
  <c r="BH104" i="7" s="1"/>
  <c r="G136" i="7"/>
  <c r="BH136" i="7" s="1"/>
  <c r="G145" i="7"/>
  <c r="BH145" i="7" s="1"/>
  <c r="G150" i="7"/>
  <c r="BH150" i="7" s="1"/>
  <c r="G207" i="7"/>
  <c r="BD207" i="7" s="1"/>
  <c r="G212" i="7"/>
  <c r="BH212" i="7" s="1"/>
  <c r="G230" i="7"/>
  <c r="BD230" i="7" s="1"/>
  <c r="G240" i="7"/>
  <c r="BG240" i="7" s="1"/>
  <c r="G283" i="7"/>
  <c r="BF283" i="7" s="1"/>
  <c r="G20" i="7"/>
  <c r="BH20" i="7" s="1"/>
  <c r="G116" i="7"/>
  <c r="G117" i="7"/>
  <c r="G180" i="7"/>
  <c r="BE180" i="7" s="1"/>
  <c r="G133" i="7"/>
  <c r="BH133" i="7" s="1"/>
  <c r="G57" i="7"/>
  <c r="BD57" i="7" s="1"/>
  <c r="G139" i="7"/>
  <c r="BH139" i="7" s="1"/>
  <c r="G56" i="7"/>
  <c r="BH56" i="7" s="1"/>
  <c r="G146" i="7"/>
  <c r="BH146" i="7" s="1"/>
  <c r="G79" i="7"/>
  <c r="BG79" i="7" s="1"/>
  <c r="G282" i="7"/>
  <c r="BE282" i="7" s="1"/>
  <c r="G147" i="7"/>
  <c r="BD147" i="7" s="1"/>
  <c r="G29" i="7"/>
  <c r="BG29" i="7" s="1"/>
  <c r="G12" i="7"/>
  <c r="BH12" i="7" s="1"/>
  <c r="G49" i="7"/>
  <c r="BH49" i="7" s="1"/>
  <c r="G84" i="7"/>
  <c r="G151" i="7"/>
  <c r="BG151" i="7" s="1"/>
  <c r="G156" i="7"/>
  <c r="BF156" i="7" s="1"/>
  <c r="G157" i="7"/>
  <c r="BE157" i="7" s="1"/>
  <c r="G158" i="7"/>
  <c r="BE158" i="7" s="1"/>
  <c r="G161" i="7"/>
  <c r="BH161" i="7" s="1"/>
  <c r="G205" i="7"/>
  <c r="BD205" i="7" s="1"/>
  <c r="G291" i="7"/>
  <c r="BH291" i="7" s="1"/>
  <c r="G170" i="7"/>
  <c r="G171" i="7"/>
  <c r="BG171" i="7" s="1"/>
  <c r="G172" i="7"/>
  <c r="BD172" i="7" s="1"/>
  <c r="G174" i="7"/>
  <c r="BD174" i="7" s="1"/>
  <c r="G178" i="7"/>
  <c r="BE178" i="7" s="1"/>
  <c r="G182" i="7"/>
  <c r="BF182" i="7" s="1"/>
  <c r="G185" i="7"/>
  <c r="BH185" i="7" s="1"/>
  <c r="G130" i="7"/>
  <c r="BG130" i="7" s="1"/>
  <c r="G122" i="7"/>
  <c r="BD122" i="7" s="1"/>
  <c r="G222" i="7"/>
  <c r="BH222" i="7" s="1"/>
  <c r="G187" i="7"/>
  <c r="BG187" i="7" s="1"/>
  <c r="G112" i="7"/>
  <c r="BE112" i="7" s="1"/>
  <c r="G121" i="7"/>
  <c r="BE121" i="7" s="1"/>
  <c r="G123" i="7"/>
  <c r="G128" i="7"/>
  <c r="BG128" i="7" s="1"/>
  <c r="G134" i="7"/>
  <c r="BF134" i="7" s="1"/>
  <c r="G188" i="7"/>
  <c r="BG188" i="7" s="1"/>
  <c r="G189" i="7"/>
  <c r="BG189" i="7" s="1"/>
  <c r="G193" i="7"/>
  <c r="G199" i="7"/>
  <c r="BH199" i="7" s="1"/>
  <c r="G190" i="7"/>
  <c r="G191" i="7"/>
  <c r="BF191" i="7" s="1"/>
  <c r="G196" i="7"/>
  <c r="BH196" i="7" s="1"/>
  <c r="G197" i="7"/>
  <c r="BG197" i="7" s="1"/>
  <c r="G46" i="7"/>
  <c r="BG46" i="7" s="1"/>
  <c r="G142" i="7"/>
  <c r="BH142" i="7" s="1"/>
  <c r="G317" i="7"/>
  <c r="BE317" i="7" s="1"/>
  <c r="G167" i="7"/>
  <c r="BF167" i="7" s="1"/>
  <c r="G200" i="7"/>
  <c r="BF200" i="7" s="1"/>
  <c r="G17" i="7"/>
  <c r="G201" i="7"/>
  <c r="BF201" i="7" s="1"/>
  <c r="G202" i="7"/>
  <c r="BF202" i="7" s="1"/>
  <c r="G203" i="7"/>
  <c r="BG203" i="7" s="1"/>
  <c r="G55" i="7"/>
  <c r="BF55" i="7" s="1"/>
  <c r="G90" i="7"/>
  <c r="G143" i="7"/>
  <c r="G210" i="7"/>
  <c r="BE210" i="7" s="1"/>
  <c r="G215" i="7"/>
  <c r="BG215" i="7" s="1"/>
  <c r="G218" i="7"/>
  <c r="BG218" i="7" s="1"/>
  <c r="G219" i="7"/>
  <c r="BH219" i="7" s="1"/>
  <c r="G327" i="7"/>
  <c r="BD327" i="7" s="1"/>
  <c r="G149" i="7"/>
  <c r="BG149" i="7" s="1"/>
  <c r="G225" i="7"/>
  <c r="G268" i="7"/>
  <c r="BH268" i="7" s="1"/>
  <c r="G22" i="7"/>
  <c r="BF22" i="7" s="1"/>
  <c r="G37" i="7"/>
  <c r="BG37" i="7" s="1"/>
  <c r="G226" i="7"/>
  <c r="BH226" i="7" s="1"/>
  <c r="G135" i="7"/>
  <c r="BE135" i="7" s="1"/>
  <c r="G228" i="7"/>
  <c r="G231" i="7"/>
  <c r="BD231" i="7" s="1"/>
  <c r="G229" i="7"/>
  <c r="BD229" i="7" s="1"/>
  <c r="G256" i="7"/>
  <c r="BH256" i="7" s="1"/>
  <c r="G234" i="7"/>
  <c r="BD234" i="7" s="1"/>
  <c r="G242" i="7"/>
  <c r="BG242" i="7" s="1"/>
  <c r="G114" i="7"/>
  <c r="G154" i="7"/>
  <c r="G163" i="7"/>
  <c r="BG163" i="7" s="1"/>
  <c r="G209" i="7"/>
  <c r="BG209" i="7" s="1"/>
  <c r="G236" i="7"/>
  <c r="G241" i="7"/>
  <c r="BH241" i="7" s="1"/>
  <c r="G244" i="7"/>
  <c r="G43" i="7"/>
  <c r="BE43" i="7" s="1"/>
  <c r="G252" i="7"/>
  <c r="G245" i="7"/>
  <c r="BE245" i="7" s="1"/>
  <c r="G246" i="7"/>
  <c r="G247" i="7"/>
  <c r="G248" i="7"/>
  <c r="BH248" i="7" s="1"/>
  <c r="G249" i="7"/>
  <c r="BE249" i="7" s="1"/>
  <c r="G250" i="7"/>
  <c r="BD250" i="7" s="1"/>
  <c r="G251" i="7"/>
  <c r="BH251" i="7" s="1"/>
  <c r="G253" i="7"/>
  <c r="BH253" i="7" s="1"/>
  <c r="G254" i="7"/>
  <c r="BF254" i="7" s="1"/>
  <c r="G206" i="7"/>
  <c r="BD206" i="7" s="1"/>
  <c r="G144" i="7"/>
  <c r="BH144" i="7" s="1"/>
  <c r="G257" i="7"/>
  <c r="G258" i="7"/>
  <c r="G88" i="7"/>
  <c r="BF88" i="7" s="1"/>
  <c r="G72" i="7"/>
  <c r="BH72" i="7" s="1"/>
  <c r="G16" i="7"/>
  <c r="BE16" i="7" s="1"/>
  <c r="G159" i="7"/>
  <c r="BH159" i="7" s="1"/>
  <c r="G259" i="7"/>
  <c r="BG259" i="7" s="1"/>
  <c r="G260" i="7"/>
  <c r="BF260" i="7" s="1"/>
  <c r="G269" i="7"/>
  <c r="BH269" i="7" s="1"/>
  <c r="G270" i="7"/>
  <c r="G5" i="7"/>
  <c r="BH5" i="7" s="1"/>
  <c r="G27" i="7"/>
  <c r="BH27" i="7" s="1"/>
  <c r="G179" i="7"/>
  <c r="G213" i="7"/>
  <c r="BD213" i="7" s="1"/>
  <c r="G271" i="7"/>
  <c r="BH271" i="7" s="1"/>
  <c r="G276" i="7"/>
  <c r="BG276" i="7" s="1"/>
  <c r="G95" i="7"/>
  <c r="G107" i="7"/>
  <c r="G119" i="7"/>
  <c r="BH119" i="7" s="1"/>
  <c r="G221" i="7"/>
  <c r="BG221" i="7" s="1"/>
  <c r="G272" i="7"/>
  <c r="BH272" i="7" s="1"/>
  <c r="G275" i="7"/>
  <c r="BH275" i="7" s="1"/>
  <c r="G277" i="7"/>
  <c r="BF277" i="7" s="1"/>
  <c r="G214" i="7"/>
  <c r="BH214" i="7" s="1"/>
  <c r="G278" i="7"/>
  <c r="BH278" i="7" s="1"/>
  <c r="G284" i="7"/>
  <c r="G59" i="7"/>
  <c r="BE59" i="7" s="1"/>
  <c r="G110" i="7"/>
  <c r="BG110" i="7" s="1"/>
  <c r="G40" i="7"/>
  <c r="G296" i="7"/>
  <c r="BF296" i="7" s="1"/>
  <c r="G148" i="7"/>
  <c r="BH148" i="7" s="1"/>
  <c r="G255" i="7"/>
  <c r="BH255" i="7" s="1"/>
  <c r="G4" i="7"/>
  <c r="BD4" i="7" s="1"/>
  <c r="G286" i="7"/>
  <c r="BG286" i="7" s="1"/>
  <c r="G287" i="7"/>
  <c r="BF287" i="7" s="1"/>
  <c r="G288" i="7"/>
  <c r="BH288" i="7" s="1"/>
  <c r="G289" i="7"/>
  <c r="BF289" i="7" s="1"/>
  <c r="G58" i="7"/>
  <c r="BF58" i="7" s="1"/>
  <c r="G85" i="7"/>
  <c r="BG85" i="7" s="1"/>
  <c r="G290" i="7"/>
  <c r="BG290" i="7" s="1"/>
  <c r="G6" i="7"/>
  <c r="BH6" i="7" s="1"/>
  <c r="G233" i="7"/>
  <c r="BG233" i="7" s="1"/>
  <c r="G297" i="7"/>
  <c r="BF297" i="7" s="1"/>
  <c r="G168" i="7"/>
  <c r="BH168" i="7" s="1"/>
  <c r="G292" i="7"/>
  <c r="BD292" i="7" s="1"/>
  <c r="G293" i="7"/>
  <c r="BH293" i="7" s="1"/>
  <c r="G89" i="7"/>
  <c r="BE89" i="7" s="1"/>
  <c r="G28" i="7"/>
  <c r="BF28" i="7" s="1"/>
  <c r="G106" i="7"/>
  <c r="BF106" i="7" s="1"/>
  <c r="G232" i="7"/>
  <c r="G295" i="7"/>
  <c r="BG295" i="7" s="1"/>
  <c r="G322" i="7"/>
  <c r="BG322" i="7" s="1"/>
  <c r="G298" i="7"/>
  <c r="BE298" i="7" s="1"/>
  <c r="G175" i="7"/>
  <c r="BD175" i="7" s="1"/>
  <c r="G113" i="7"/>
  <c r="BH113" i="7" s="1"/>
  <c r="G169" i="7"/>
  <c r="G299" i="7"/>
  <c r="G309" i="7"/>
  <c r="BE309" i="7" s="1"/>
  <c r="G300" i="7"/>
  <c r="BD300" i="7" s="1"/>
  <c r="G36" i="7"/>
  <c r="BG36" i="7" s="1"/>
  <c r="G301" i="7"/>
  <c r="BF301" i="7" s="1"/>
  <c r="G302" i="7"/>
  <c r="BG302" i="7" s="1"/>
  <c r="G303" i="7"/>
  <c r="BH303" i="7" s="1"/>
  <c r="G304" i="7"/>
  <c r="BF304" i="7" s="1"/>
  <c r="G34" i="7"/>
  <c r="BH34" i="7" s="1"/>
  <c r="G274" i="7"/>
  <c r="G75" i="7"/>
  <c r="BF75" i="7" s="1"/>
  <c r="G68" i="7"/>
  <c r="BF68" i="7" s="1"/>
  <c r="G306" i="7"/>
  <c r="BF306" i="7" s="1"/>
  <c r="G307" i="7"/>
  <c r="G308" i="7"/>
  <c r="BH308" i="7" s="1"/>
  <c r="G310" i="7"/>
  <c r="G35" i="7"/>
  <c r="BH35" i="7" s="1"/>
  <c r="G38" i="7"/>
  <c r="BG38" i="7" s="1"/>
  <c r="G237" i="7"/>
  <c r="BH237" i="7" s="1"/>
  <c r="G239" i="7"/>
  <c r="BH239" i="7" s="1"/>
  <c r="G311" i="7"/>
  <c r="BF311" i="7" s="1"/>
  <c r="G312" i="7"/>
  <c r="BE312" i="7" s="1"/>
  <c r="G82" i="7"/>
  <c r="BH82" i="7" s="1"/>
  <c r="G313" i="7"/>
  <c r="G7" i="7"/>
  <c r="BE7" i="7" s="1"/>
  <c r="G8" i="7"/>
  <c r="BD8" i="7" s="1"/>
  <c r="G9" i="7"/>
  <c r="BE9" i="7" s="1"/>
  <c r="G10" i="7"/>
  <c r="BE10" i="7" s="1"/>
  <c r="G11" i="7"/>
  <c r="BG11" i="7" s="1"/>
  <c r="G13" i="7"/>
  <c r="BG13" i="7" s="1"/>
  <c r="G14" i="7"/>
  <c r="BG14" i="7" s="1"/>
  <c r="G15" i="7"/>
  <c r="G18" i="7"/>
  <c r="BF18" i="7" s="1"/>
  <c r="G21" i="7"/>
  <c r="BD21" i="7" s="1"/>
  <c r="G23" i="7"/>
  <c r="G24" i="7"/>
  <c r="BF24" i="7" s="1"/>
  <c r="G25" i="7"/>
  <c r="BH25" i="7" s="1"/>
  <c r="G26" i="7"/>
  <c r="G30" i="7"/>
  <c r="BH30" i="7" s="1"/>
  <c r="G31" i="7"/>
  <c r="G32" i="7"/>
  <c r="BF32" i="7" s="1"/>
  <c r="G33" i="7"/>
  <c r="BE33" i="7" s="1"/>
  <c r="G39" i="7"/>
  <c r="BD39" i="7" s="1"/>
  <c r="G41" i="7"/>
  <c r="BH41" i="7" s="1"/>
  <c r="G44" i="7"/>
  <c r="BE44" i="7" s="1"/>
  <c r="G45" i="7"/>
  <c r="BE45" i="7" s="1"/>
  <c r="G48" i="7"/>
  <c r="BG48" i="7" s="1"/>
  <c r="G51" i="7"/>
  <c r="BG51" i="7" s="1"/>
  <c r="G52" i="7"/>
  <c r="BF52" i="7" s="1"/>
  <c r="G53" i="7"/>
  <c r="BH53" i="7" s="1"/>
  <c r="G54" i="7"/>
  <c r="BF54" i="7" s="1"/>
  <c r="G60" i="7"/>
  <c r="BG60" i="7" s="1"/>
  <c r="G61" i="7"/>
  <c r="BH61" i="7" s="1"/>
  <c r="G62" i="7"/>
  <c r="BE62" i="7" s="1"/>
  <c r="G63" i="7"/>
  <c r="BH63" i="7" s="1"/>
  <c r="G64" i="7"/>
  <c r="BH64" i="7" s="1"/>
  <c r="G65" i="7"/>
  <c r="BG65" i="7" s="1"/>
  <c r="G66" i="7"/>
  <c r="BH66" i="7" s="1"/>
  <c r="G67" i="7"/>
  <c r="BD67" i="7" s="1"/>
  <c r="G69" i="7"/>
  <c r="BD69" i="7" s="1"/>
  <c r="G70" i="7"/>
  <c r="BD70" i="7" s="1"/>
  <c r="G71" i="7"/>
  <c r="BE71" i="7" s="1"/>
  <c r="G74" i="7"/>
  <c r="BH74" i="7" s="1"/>
  <c r="G76" i="7"/>
  <c r="G77" i="7"/>
  <c r="BE77" i="7" s="1"/>
  <c r="G78" i="7"/>
  <c r="BD78" i="7" s="1"/>
  <c r="G80" i="7"/>
  <c r="BD80" i="7" s="1"/>
  <c r="G81" i="7"/>
  <c r="BH81" i="7" s="1"/>
  <c r="G83" i="7"/>
  <c r="BD83" i="7" s="1"/>
  <c r="G86" i="7"/>
  <c r="BD86" i="7" s="1"/>
  <c r="G87" i="7"/>
  <c r="BE87" i="7" s="1"/>
  <c r="G91" i="7"/>
  <c r="G92" i="7"/>
  <c r="BH92" i="7" s="1"/>
  <c r="G93" i="7"/>
  <c r="BG93" i="7" s="1"/>
  <c r="G94" i="7"/>
  <c r="BH94" i="7" s="1"/>
  <c r="G96" i="7"/>
  <c r="BH96" i="7" s="1"/>
  <c r="G97" i="7"/>
  <c r="BH97" i="7" s="1"/>
  <c r="G98" i="7"/>
  <c r="G99" i="7"/>
  <c r="BH99" i="7" s="1"/>
  <c r="G100" i="7"/>
  <c r="BD100" i="7" s="1"/>
  <c r="G101" i="7"/>
  <c r="BF101" i="7" s="1"/>
  <c r="G105" i="7"/>
  <c r="BF105" i="7" s="1"/>
  <c r="G108" i="7"/>
  <c r="BG108" i="7" s="1"/>
  <c r="G109" i="7"/>
  <c r="BH109" i="7" s="1"/>
  <c r="G111" i="7"/>
  <c r="BF111" i="7" s="1"/>
  <c r="G115" i="7"/>
  <c r="BE115" i="7" s="1"/>
  <c r="G118" i="7"/>
  <c r="BG118" i="7" s="1"/>
  <c r="G120" i="7"/>
  <c r="BH120" i="7" s="1"/>
  <c r="G124" i="7"/>
  <c r="G125" i="7"/>
  <c r="BF125" i="7" s="1"/>
  <c r="G126" i="7"/>
  <c r="BH126" i="7" s="1"/>
  <c r="G127" i="7"/>
  <c r="BE127" i="7" s="1"/>
  <c r="G129" i="7"/>
  <c r="BG129" i="7" s="1"/>
  <c r="G131" i="7"/>
  <c r="BG131" i="7" s="1"/>
  <c r="G132" i="7"/>
  <c r="BF132" i="7" s="1"/>
  <c r="G137" i="7"/>
  <c r="G138" i="7"/>
  <c r="BE138" i="7" s="1"/>
  <c r="G140" i="7"/>
  <c r="BH140" i="7" s="1"/>
  <c r="G141" i="7"/>
  <c r="BF141" i="7" s="1"/>
  <c r="G152" i="7"/>
  <c r="BH152" i="7" s="1"/>
  <c r="G153" i="7"/>
  <c r="BE153" i="7" s="1"/>
  <c r="G155" i="7"/>
  <c r="BG155" i="7" s="1"/>
  <c r="G160" i="7"/>
  <c r="BE160" i="7" s="1"/>
  <c r="G162" i="7"/>
  <c r="BG162" i="7" s="1"/>
  <c r="G164" i="7"/>
  <c r="BG164" i="7" s="1"/>
  <c r="G165" i="7"/>
  <c r="BD165" i="7" s="1"/>
  <c r="G166" i="7"/>
  <c r="BF166" i="7" s="1"/>
  <c r="G173" i="7"/>
  <c r="BE173" i="7" s="1"/>
  <c r="G176" i="7"/>
  <c r="BE176" i="7" s="1"/>
  <c r="G177" i="7"/>
  <c r="BH177" i="7" s="1"/>
  <c r="G181" i="7"/>
  <c r="BE181" i="7" s="1"/>
  <c r="G183" i="7"/>
  <c r="G184" i="7"/>
  <c r="BE184" i="7" s="1"/>
  <c r="G186" i="7"/>
  <c r="BD186" i="7" s="1"/>
  <c r="G192" i="7"/>
  <c r="BH192" i="7" s="1"/>
  <c r="G194" i="7"/>
  <c r="BH194" i="7" s="1"/>
  <c r="G195" i="7"/>
  <c r="BD195" i="7" s="1"/>
  <c r="G198" i="7"/>
  <c r="BH198" i="7" s="1"/>
  <c r="G204" i="7"/>
  <c r="BH204" i="7" s="1"/>
  <c r="G208" i="7"/>
  <c r="G211" i="7"/>
  <c r="G216" i="7"/>
  <c r="BH216" i="7" s="1"/>
  <c r="G217" i="7"/>
  <c r="BH217" i="7" s="1"/>
  <c r="G220" i="7"/>
  <c r="BE220" i="7" s="1"/>
  <c r="G223" i="7"/>
  <c r="BD223" i="7" s="1"/>
  <c r="G224" i="7"/>
  <c r="BG224" i="7" s="1"/>
  <c r="G227" i="7"/>
  <c r="BH227" i="7" s="1"/>
  <c r="G235" i="7"/>
  <c r="G238" i="7"/>
  <c r="G243" i="7"/>
  <c r="BH243" i="7" s="1"/>
  <c r="G261" i="7"/>
  <c r="BE261" i="7" s="1"/>
  <c r="G262" i="7"/>
  <c r="BG262" i="7" s="1"/>
  <c r="G263" i="7"/>
  <c r="BE263" i="7" s="1"/>
  <c r="G264" i="7"/>
  <c r="BH264" i="7" s="1"/>
  <c r="G265" i="7"/>
  <c r="BH265" i="7" s="1"/>
  <c r="G266" i="7"/>
  <c r="BH266" i="7" s="1"/>
  <c r="G267" i="7"/>
  <c r="BE267" i="7" s="1"/>
  <c r="G273" i="7"/>
  <c r="BH273" i="7" s="1"/>
  <c r="G279" i="7"/>
  <c r="BD279" i="7" s="1"/>
  <c r="G280" i="7"/>
  <c r="BF280" i="7" s="1"/>
  <c r="G281" i="7"/>
  <c r="G294" i="7"/>
  <c r="BD294" i="7" s="1"/>
  <c r="G315" i="7"/>
  <c r="BF315" i="7" s="1"/>
  <c r="G316" i="7"/>
  <c r="BF316" i="7" s="1"/>
  <c r="G305" i="7"/>
  <c r="BH305" i="7" s="1"/>
  <c r="G318" i="7"/>
  <c r="BG318" i="7" s="1"/>
  <c r="G319" i="7"/>
  <c r="BE319" i="7" s="1"/>
  <c r="G314" i="7"/>
  <c r="G320" i="7"/>
  <c r="BH320" i="7" s="1"/>
  <c r="G321" i="7"/>
  <c r="BG321" i="7" s="1"/>
  <c r="G323" i="7"/>
  <c r="BH323" i="7" s="1"/>
  <c r="G324" i="7"/>
  <c r="BH324" i="7" s="1"/>
  <c r="G325" i="7"/>
  <c r="G326" i="7"/>
  <c r="BH326" i="7" s="1"/>
  <c r="F2" i="7"/>
  <c r="H2" i="14"/>
  <c r="BC2" i="14" s="1"/>
  <c r="H3" i="14"/>
  <c r="BC3" i="14" s="1"/>
  <c r="H4" i="14"/>
  <c r="BC4" i="14" s="1"/>
  <c r="H5" i="14"/>
  <c r="BC5" i="14" s="1"/>
  <c r="H6" i="14"/>
  <c r="H7" i="14"/>
  <c r="BC7" i="14" s="1"/>
  <c r="H8" i="14"/>
  <c r="BC8" i="14" s="1"/>
  <c r="H9" i="14"/>
  <c r="BC9" i="14" s="1"/>
  <c r="H10" i="14"/>
  <c r="H11" i="14"/>
  <c r="H12" i="14"/>
  <c r="BC12" i="14" s="1"/>
  <c r="H13" i="14"/>
  <c r="BC13" i="14" s="1"/>
  <c r="H15" i="14"/>
  <c r="BC15" i="14" s="1"/>
  <c r="H16" i="14"/>
  <c r="BC16" i="14" s="1"/>
  <c r="H17" i="14"/>
  <c r="BC17" i="14" s="1"/>
  <c r="H18" i="14"/>
  <c r="BC18" i="14" s="1"/>
  <c r="H20" i="14"/>
  <c r="H21" i="14"/>
  <c r="BC21" i="14" s="1"/>
  <c r="H22" i="14"/>
  <c r="BC22" i="14" s="1"/>
  <c r="H23" i="14"/>
  <c r="BC23" i="14" s="1"/>
  <c r="H25" i="14"/>
  <c r="H26" i="14"/>
  <c r="H27" i="14"/>
  <c r="H28" i="14"/>
  <c r="BC28" i="14" s="1"/>
  <c r="H29" i="14"/>
  <c r="BC29" i="14" s="1"/>
  <c r="H33" i="14"/>
  <c r="H34" i="14"/>
  <c r="BC34" i="14" s="1"/>
  <c r="H35" i="14"/>
  <c r="BC35" i="14" s="1"/>
  <c r="H37" i="14"/>
  <c r="BC37" i="14" s="1"/>
  <c r="H38" i="14"/>
  <c r="BC38" i="14" s="1"/>
  <c r="H39" i="14"/>
  <c r="H40" i="14"/>
  <c r="BC40" i="14" s="1"/>
  <c r="H41" i="14"/>
  <c r="BC41" i="14" s="1"/>
  <c r="H42" i="14"/>
  <c r="BC42" i="14" s="1"/>
  <c r="H43" i="14"/>
  <c r="BC43" i="14" s="1"/>
  <c r="H44" i="14"/>
  <c r="BC44" i="14" s="1"/>
  <c r="H45" i="14"/>
  <c r="BC45" i="14" s="1"/>
  <c r="H46" i="14"/>
  <c r="H47" i="14"/>
  <c r="BC47" i="14" s="1"/>
  <c r="H48" i="14"/>
  <c r="BC48" i="14" s="1"/>
  <c r="H49" i="14"/>
  <c r="BC49" i="14" s="1"/>
  <c r="H51" i="14"/>
  <c r="BC51" i="14" s="1"/>
  <c r="H52" i="14"/>
  <c r="BC52" i="14" s="1"/>
  <c r="H53" i="14"/>
  <c r="H54" i="14"/>
  <c r="BC54" i="14" s="1"/>
  <c r="H55" i="14"/>
  <c r="BC55" i="14" s="1"/>
  <c r="H56" i="14"/>
  <c r="BC56" i="14" s="1"/>
  <c r="H57" i="14"/>
  <c r="BC57" i="14" s="1"/>
  <c r="H58" i="14"/>
  <c r="BC58" i="14" s="1"/>
  <c r="H59" i="14"/>
  <c r="BC59" i="14" s="1"/>
  <c r="H60" i="14"/>
  <c r="BC60" i="14" s="1"/>
  <c r="H61" i="14"/>
  <c r="BC61" i="14" s="1"/>
  <c r="H62" i="14"/>
  <c r="BC62" i="14" s="1"/>
  <c r="H63" i="14"/>
  <c r="H64" i="14"/>
  <c r="BC64" i="14" s="1"/>
  <c r="H65" i="14"/>
  <c r="BC65" i="14" s="1"/>
  <c r="H66" i="14"/>
  <c r="H67" i="14"/>
  <c r="BC67" i="14" s="1"/>
  <c r="H68" i="14"/>
  <c r="BC68" i="14" s="1"/>
  <c r="H69" i="14"/>
  <c r="BC69" i="14" s="1"/>
  <c r="H70" i="14"/>
  <c r="BC70" i="14" s="1"/>
  <c r="H71" i="14"/>
  <c r="BC71" i="14" s="1"/>
  <c r="H72" i="14"/>
  <c r="BC72" i="14" s="1"/>
  <c r="H73" i="14"/>
  <c r="BC73" i="14" s="1"/>
  <c r="H74" i="14"/>
  <c r="BC74" i="14" s="1"/>
  <c r="H75" i="14"/>
  <c r="BC75" i="14" s="1"/>
  <c r="H76" i="14"/>
  <c r="H77" i="14"/>
  <c r="BC77" i="14" s="1"/>
  <c r="H78" i="14"/>
  <c r="BC78" i="14" s="1"/>
  <c r="H79" i="14"/>
  <c r="BC79" i="14" s="1"/>
  <c r="H80" i="14"/>
  <c r="BC80" i="14" s="1"/>
  <c r="H81" i="14"/>
  <c r="BC81" i="14" s="1"/>
  <c r="H82" i="14"/>
  <c r="BC82" i="14" s="1"/>
  <c r="H83" i="14"/>
  <c r="BC83" i="14" s="1"/>
  <c r="H84" i="14"/>
  <c r="BC84" i="14" s="1"/>
  <c r="H85" i="14"/>
  <c r="BC85" i="14" s="1"/>
  <c r="H86" i="14"/>
  <c r="BC86" i="14" s="1"/>
  <c r="H87" i="14"/>
  <c r="H88" i="14"/>
  <c r="BC88" i="14" s="1"/>
  <c r="H89" i="14"/>
  <c r="BC89" i="14" s="1"/>
  <c r="H90" i="14"/>
  <c r="H91" i="14"/>
  <c r="BC91" i="14" s="1"/>
  <c r="H92" i="14"/>
  <c r="BC92" i="14" s="1"/>
  <c r="H93" i="14"/>
  <c r="BC93" i="14" s="1"/>
  <c r="H94" i="14"/>
  <c r="BC94" i="14" s="1"/>
  <c r="H95" i="14"/>
  <c r="BC95" i="14" s="1"/>
  <c r="H96" i="14"/>
  <c r="BC96" i="14" s="1"/>
  <c r="H97" i="14"/>
  <c r="BC97" i="14" s="1"/>
  <c r="H98" i="14"/>
  <c r="BC98" i="14" s="1"/>
  <c r="H99" i="14"/>
  <c r="BC99" i="14" s="1"/>
  <c r="H100" i="14"/>
  <c r="BC100" i="14" s="1"/>
  <c r="H101" i="14"/>
  <c r="BC101" i="14" s="1"/>
  <c r="H102" i="14"/>
  <c r="BC102" i="14" s="1"/>
  <c r="H103" i="14"/>
  <c r="BC103" i="14" s="1"/>
  <c r="H104" i="14"/>
  <c r="BC104" i="14" s="1"/>
  <c r="H105" i="14"/>
  <c r="BC105" i="14" s="1"/>
  <c r="H106" i="14"/>
  <c r="BC106" i="14" s="1"/>
  <c r="H107" i="14"/>
  <c r="BC107" i="14" s="1"/>
  <c r="H108" i="14"/>
  <c r="BC108" i="14" s="1"/>
  <c r="H109" i="14"/>
  <c r="BC109" i="14" s="1"/>
  <c r="H110" i="14"/>
  <c r="BC110" i="14" s="1"/>
  <c r="H111" i="14"/>
  <c r="BC111" i="14" s="1"/>
  <c r="H112" i="14"/>
  <c r="BC112" i="14" s="1"/>
  <c r="H113" i="14"/>
  <c r="BC113" i="14" s="1"/>
  <c r="H114" i="14"/>
  <c r="H115" i="14"/>
  <c r="H116" i="14"/>
  <c r="BC116" i="14" s="1"/>
  <c r="H117" i="14"/>
  <c r="BC117" i="14" s="1"/>
  <c r="H118" i="14"/>
  <c r="BC118" i="14" s="1"/>
  <c r="H119" i="14"/>
  <c r="BC119" i="14" s="1"/>
  <c r="H120" i="14"/>
  <c r="BC120" i="14" s="1"/>
  <c r="H121" i="14"/>
  <c r="BC121" i="14" s="1"/>
  <c r="H122" i="14"/>
  <c r="H123" i="14"/>
  <c r="BC123" i="14" s="1"/>
  <c r="H124" i="14"/>
  <c r="BC124" i="14" s="1"/>
  <c r="H125" i="14"/>
  <c r="BC125" i="14" s="1"/>
  <c r="H126" i="14"/>
  <c r="BC126" i="14" s="1"/>
  <c r="H127" i="14"/>
  <c r="BC127" i="14" s="1"/>
  <c r="H128" i="14"/>
  <c r="BC128" i="14" s="1"/>
  <c r="H129" i="14"/>
  <c r="BC129" i="14" s="1"/>
  <c r="H131" i="14"/>
  <c r="BC131" i="14" s="1"/>
  <c r="H132" i="14"/>
  <c r="BC132" i="14" s="1"/>
  <c r="H133" i="14"/>
  <c r="BC133" i="14" s="1"/>
  <c r="H134" i="14"/>
  <c r="BC134" i="14" s="1"/>
  <c r="H135" i="14"/>
  <c r="BC135" i="14" s="1"/>
  <c r="H136" i="14"/>
  <c r="H137" i="14"/>
  <c r="BC137" i="14" s="1"/>
  <c r="H138" i="14"/>
  <c r="BC138" i="14" s="1"/>
  <c r="H139" i="14"/>
  <c r="BC139" i="14" s="1"/>
  <c r="H140" i="14"/>
  <c r="BC140" i="14" s="1"/>
  <c r="H24" i="14"/>
  <c r="H14" i="14"/>
  <c r="G2" i="14"/>
  <c r="G3" i="14"/>
  <c r="G4" i="14"/>
  <c r="G5" i="14"/>
  <c r="G6" i="14"/>
  <c r="G7" i="14"/>
  <c r="G8" i="14"/>
  <c r="G9" i="14"/>
  <c r="G10" i="14"/>
  <c r="G11" i="14"/>
  <c r="G12" i="14"/>
  <c r="G13" i="14"/>
  <c r="G15" i="14"/>
  <c r="G16" i="14"/>
  <c r="G17" i="14"/>
  <c r="G18" i="14"/>
  <c r="G20" i="14"/>
  <c r="G21" i="14"/>
  <c r="G22" i="14"/>
  <c r="G23" i="14"/>
  <c r="G25" i="14"/>
  <c r="G26" i="14"/>
  <c r="G27" i="14"/>
  <c r="G28" i="14"/>
  <c r="G29" i="14"/>
  <c r="G33" i="14"/>
  <c r="G34" i="14"/>
  <c r="G35" i="14"/>
  <c r="G37" i="14"/>
  <c r="G39" i="14"/>
  <c r="G40" i="14"/>
  <c r="G42" i="14"/>
  <c r="G43" i="14"/>
  <c r="G44" i="14"/>
  <c r="G45" i="14"/>
  <c r="G46" i="14"/>
  <c r="G47" i="14"/>
  <c r="G48" i="14"/>
  <c r="G49" i="14"/>
  <c r="G51" i="14"/>
  <c r="G52" i="14"/>
  <c r="G53" i="14"/>
  <c r="G54" i="14"/>
  <c r="G55" i="14"/>
  <c r="G56" i="14"/>
  <c r="G57" i="14"/>
  <c r="G58" i="14"/>
  <c r="G59" i="14"/>
  <c r="G60" i="14"/>
  <c r="G61" i="14"/>
  <c r="G62" i="14"/>
  <c r="G63" i="14"/>
  <c r="G64" i="14"/>
  <c r="G65" i="14"/>
  <c r="G66" i="14"/>
  <c r="G67" i="14"/>
  <c r="G68" i="14"/>
  <c r="G69" i="14"/>
  <c r="G70" i="14"/>
  <c r="G71" i="14"/>
  <c r="G72" i="14"/>
  <c r="G73" i="14"/>
  <c r="G74" i="14"/>
  <c r="G75" i="14"/>
  <c r="G76" i="14"/>
  <c r="G77" i="14"/>
  <c r="G78" i="14"/>
  <c r="G79" i="14"/>
  <c r="G80" i="14"/>
  <c r="G81" i="14"/>
  <c r="G82" i="14"/>
  <c r="G83" i="14"/>
  <c r="G84" i="14"/>
  <c r="G85" i="14"/>
  <c r="G86" i="14"/>
  <c r="G87" i="14"/>
  <c r="G88" i="14"/>
  <c r="G89" i="14"/>
  <c r="G90" i="14"/>
  <c r="G91" i="14"/>
  <c r="G92" i="14"/>
  <c r="G93" i="14"/>
  <c r="G94" i="14"/>
  <c r="G95" i="14"/>
  <c r="G96" i="14"/>
  <c r="G97" i="14"/>
  <c r="G98" i="14"/>
  <c r="G99" i="14"/>
  <c r="G100" i="14"/>
  <c r="G101" i="14"/>
  <c r="G102" i="14"/>
  <c r="G103" i="14"/>
  <c r="G104" i="14"/>
  <c r="G105" i="14"/>
  <c r="G106" i="14"/>
  <c r="G107" i="14"/>
  <c r="G108" i="14"/>
  <c r="G109" i="14"/>
  <c r="G110" i="14"/>
  <c r="G111" i="14"/>
  <c r="G112" i="14"/>
  <c r="G113" i="14"/>
  <c r="G114" i="14"/>
  <c r="G115" i="14"/>
  <c r="G117" i="14"/>
  <c r="G118" i="14"/>
  <c r="G119" i="14"/>
  <c r="G120" i="14"/>
  <c r="G121" i="14"/>
  <c r="G122" i="14"/>
  <c r="G123" i="14"/>
  <c r="G124" i="14"/>
  <c r="G125" i="14"/>
  <c r="G126" i="14"/>
  <c r="G127" i="14"/>
  <c r="G128" i="14"/>
  <c r="G129" i="14"/>
  <c r="G131" i="14"/>
  <c r="G132" i="14"/>
  <c r="G133" i="14"/>
  <c r="G134" i="14"/>
  <c r="G135" i="14"/>
  <c r="G136" i="14"/>
  <c r="G137" i="14"/>
  <c r="G138" i="14"/>
  <c r="G139" i="14"/>
  <c r="G140" i="14"/>
  <c r="G24" i="14"/>
  <c r="G14" i="14"/>
  <c r="F2" i="14"/>
  <c r="F3" i="14"/>
  <c r="F4" i="14"/>
  <c r="F5" i="14"/>
  <c r="F6" i="14"/>
  <c r="F7" i="14"/>
  <c r="F8" i="14"/>
  <c r="F9" i="14"/>
  <c r="F10" i="14"/>
  <c r="F11" i="14"/>
  <c r="F12" i="14"/>
  <c r="F13" i="14"/>
  <c r="F15" i="14"/>
  <c r="F16" i="14"/>
  <c r="F17" i="14"/>
  <c r="F18" i="14"/>
  <c r="F20" i="14"/>
  <c r="F21" i="14"/>
  <c r="F22" i="14"/>
  <c r="F23" i="14"/>
  <c r="F25" i="14"/>
  <c r="F26" i="14"/>
  <c r="F27" i="14"/>
  <c r="F28" i="14"/>
  <c r="F29" i="14"/>
  <c r="F33" i="14"/>
  <c r="F34" i="14"/>
  <c r="F35" i="14"/>
  <c r="F37" i="14"/>
  <c r="F39" i="14"/>
  <c r="F40" i="14"/>
  <c r="F41" i="14"/>
  <c r="F42" i="14"/>
  <c r="F43" i="14"/>
  <c r="F44" i="14"/>
  <c r="F45" i="14"/>
  <c r="F46" i="14"/>
  <c r="F47" i="14"/>
  <c r="F48" i="14"/>
  <c r="F49"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100" i="14"/>
  <c r="F101" i="14"/>
  <c r="F102" i="14"/>
  <c r="F104" i="14"/>
  <c r="F105" i="14"/>
  <c r="F106" i="14"/>
  <c r="F108" i="14"/>
  <c r="F109" i="14"/>
  <c r="F110" i="14"/>
  <c r="F111" i="14"/>
  <c r="F112" i="14"/>
  <c r="F113" i="14"/>
  <c r="F114" i="14"/>
  <c r="F115" i="14"/>
  <c r="F116" i="14"/>
  <c r="F117" i="14"/>
  <c r="F118" i="14"/>
  <c r="F119" i="14"/>
  <c r="F120" i="14"/>
  <c r="F121" i="14"/>
  <c r="F122" i="14"/>
  <c r="F124" i="14"/>
  <c r="F125" i="14"/>
  <c r="F126" i="14"/>
  <c r="F127" i="14"/>
  <c r="F128" i="14"/>
  <c r="F129" i="14"/>
  <c r="F132" i="14"/>
  <c r="F133" i="14"/>
  <c r="F134" i="14"/>
  <c r="F135" i="14"/>
  <c r="F136" i="14"/>
  <c r="F137" i="14"/>
  <c r="F138" i="14"/>
  <c r="F139" i="14"/>
  <c r="F140" i="14"/>
  <c r="F24" i="14"/>
  <c r="F14" i="14"/>
  <c r="D2" i="14"/>
  <c r="E2" i="14" s="1"/>
  <c r="D3" i="14"/>
  <c r="E3" i="14" s="1"/>
  <c r="D4" i="14"/>
  <c r="E4" i="14" s="1"/>
  <c r="D5" i="14"/>
  <c r="E5" i="14" s="1"/>
  <c r="D6" i="14"/>
  <c r="E6" i="14" s="1"/>
  <c r="D7" i="14"/>
  <c r="E7" i="14" s="1"/>
  <c r="D8" i="14"/>
  <c r="E8" i="14" s="1"/>
  <c r="D9" i="14"/>
  <c r="E9" i="14" s="1"/>
  <c r="D10" i="14"/>
  <c r="E10" i="14" s="1"/>
  <c r="D11" i="14"/>
  <c r="E11" i="14" s="1"/>
  <c r="D12" i="14"/>
  <c r="E12" i="14" s="1"/>
  <c r="D13" i="14"/>
  <c r="E13" i="14" s="1"/>
  <c r="D15" i="14"/>
  <c r="E15" i="14" s="1"/>
  <c r="D16" i="14"/>
  <c r="E16" i="14" s="1"/>
  <c r="D17" i="14"/>
  <c r="E17" i="14" s="1"/>
  <c r="D18" i="14"/>
  <c r="E18" i="14" s="1"/>
  <c r="D20" i="14"/>
  <c r="E20" i="14" s="1"/>
  <c r="D21" i="14"/>
  <c r="E21" i="14" s="1"/>
  <c r="D22" i="14"/>
  <c r="E22" i="14" s="1"/>
  <c r="D23" i="14"/>
  <c r="E23" i="14" s="1"/>
  <c r="D25" i="14"/>
  <c r="E25" i="14" s="1"/>
  <c r="D26" i="14"/>
  <c r="E26" i="14" s="1"/>
  <c r="D28" i="14"/>
  <c r="E28" i="14" s="1"/>
  <c r="D29" i="14"/>
  <c r="E29" i="14" s="1"/>
  <c r="D33" i="14"/>
  <c r="E33" i="14" s="1"/>
  <c r="D34" i="14"/>
  <c r="E34" i="14" s="1"/>
  <c r="D35" i="14"/>
  <c r="E35" i="14" s="1"/>
  <c r="D37" i="14"/>
  <c r="E37" i="14" s="1"/>
  <c r="D38" i="14"/>
  <c r="E38" i="14" s="1"/>
  <c r="D39" i="14"/>
  <c r="E39" i="14" s="1"/>
  <c r="D40" i="14"/>
  <c r="E40" i="14" s="1"/>
  <c r="D41" i="14"/>
  <c r="E41" i="14" s="1"/>
  <c r="D42" i="14"/>
  <c r="E42" i="14" s="1"/>
  <c r="D43" i="14"/>
  <c r="E43" i="14" s="1"/>
  <c r="D44" i="14"/>
  <c r="E44" i="14" s="1"/>
  <c r="D45" i="14"/>
  <c r="E45" i="14" s="1"/>
  <c r="D46" i="14"/>
  <c r="E46" i="14" s="1"/>
  <c r="D47" i="14"/>
  <c r="E47" i="14" s="1"/>
  <c r="D48" i="14"/>
  <c r="E48" i="14" s="1"/>
  <c r="D49" i="14"/>
  <c r="E49" i="14" s="1"/>
  <c r="D51" i="14"/>
  <c r="E51" i="14" s="1"/>
  <c r="D52" i="14"/>
  <c r="E52" i="14" s="1"/>
  <c r="D53" i="14"/>
  <c r="E53" i="14" s="1"/>
  <c r="D54" i="14"/>
  <c r="E54" i="14" s="1"/>
  <c r="D55" i="14"/>
  <c r="E55" i="14" s="1"/>
  <c r="D56" i="14"/>
  <c r="E56" i="14" s="1"/>
  <c r="D58" i="14"/>
  <c r="E58" i="14" s="1"/>
  <c r="D59" i="14"/>
  <c r="E59" i="14" s="1"/>
  <c r="D60" i="14"/>
  <c r="E60" i="14" s="1"/>
  <c r="D61" i="14"/>
  <c r="E61" i="14" s="1"/>
  <c r="D62" i="14"/>
  <c r="E62" i="14" s="1"/>
  <c r="D63" i="14"/>
  <c r="E63" i="14" s="1"/>
  <c r="D64" i="14"/>
  <c r="E64" i="14" s="1"/>
  <c r="D65" i="14"/>
  <c r="E65" i="14" s="1"/>
  <c r="D66" i="14"/>
  <c r="E66" i="14" s="1"/>
  <c r="D67" i="14"/>
  <c r="E67" i="14" s="1"/>
  <c r="D68" i="14"/>
  <c r="E68" i="14" s="1"/>
  <c r="D69" i="14"/>
  <c r="E69" i="14" s="1"/>
  <c r="D70" i="14"/>
  <c r="E70" i="14" s="1"/>
  <c r="D71" i="14"/>
  <c r="E71" i="14" s="1"/>
  <c r="D72" i="14"/>
  <c r="E72" i="14" s="1"/>
  <c r="D73" i="14"/>
  <c r="E73" i="14" s="1"/>
  <c r="D74" i="14"/>
  <c r="E74" i="14" s="1"/>
  <c r="D75" i="14"/>
  <c r="E75" i="14" s="1"/>
  <c r="D76" i="14"/>
  <c r="E76" i="14" s="1"/>
  <c r="D77" i="14"/>
  <c r="E77" i="14" s="1"/>
  <c r="D78" i="14"/>
  <c r="E78" i="14" s="1"/>
  <c r="D79" i="14"/>
  <c r="E79" i="14" s="1"/>
  <c r="D80" i="14"/>
  <c r="E80" i="14" s="1"/>
  <c r="D81" i="14"/>
  <c r="E81" i="14" s="1"/>
  <c r="D82" i="14"/>
  <c r="E82" i="14" s="1"/>
  <c r="D83" i="14"/>
  <c r="E83" i="14" s="1"/>
  <c r="D84" i="14"/>
  <c r="E84" i="14" s="1"/>
  <c r="D85" i="14"/>
  <c r="E85" i="14" s="1"/>
  <c r="D86" i="14"/>
  <c r="E86" i="14" s="1"/>
  <c r="D87" i="14"/>
  <c r="E87" i="14" s="1"/>
  <c r="D88" i="14"/>
  <c r="E88" i="14" s="1"/>
  <c r="D89" i="14"/>
  <c r="E89" i="14" s="1"/>
  <c r="D90" i="14"/>
  <c r="E90" i="14" s="1"/>
  <c r="D91" i="14"/>
  <c r="E91" i="14" s="1"/>
  <c r="D92" i="14"/>
  <c r="E92" i="14" s="1"/>
  <c r="D93" i="14"/>
  <c r="E93" i="14" s="1"/>
  <c r="D94" i="14"/>
  <c r="E94" i="14" s="1"/>
  <c r="D95" i="14"/>
  <c r="E95" i="14" s="1"/>
  <c r="D96" i="14"/>
  <c r="E96" i="14" s="1"/>
  <c r="D97" i="14"/>
  <c r="E97" i="14" s="1"/>
  <c r="D98" i="14"/>
  <c r="E98" i="14" s="1"/>
  <c r="D99" i="14"/>
  <c r="E99" i="14" s="1"/>
  <c r="D100" i="14"/>
  <c r="E100" i="14" s="1"/>
  <c r="D101" i="14"/>
  <c r="E101" i="14" s="1"/>
  <c r="D102" i="14"/>
  <c r="E102" i="14" s="1"/>
  <c r="D103" i="14"/>
  <c r="E103" i="14" s="1"/>
  <c r="D104" i="14"/>
  <c r="E104" i="14" s="1"/>
  <c r="D105" i="14"/>
  <c r="E105" i="14" s="1"/>
  <c r="D106" i="14"/>
  <c r="E106" i="14" s="1"/>
  <c r="D107" i="14"/>
  <c r="E107" i="14" s="1"/>
  <c r="D108" i="14"/>
  <c r="E108" i="14" s="1"/>
  <c r="D109" i="14"/>
  <c r="E109" i="14" s="1"/>
  <c r="D110" i="14"/>
  <c r="E110" i="14" s="1"/>
  <c r="D111" i="14"/>
  <c r="E111" i="14" s="1"/>
  <c r="D112" i="14"/>
  <c r="E112" i="14" s="1"/>
  <c r="D113" i="14"/>
  <c r="E113" i="14" s="1"/>
  <c r="D114" i="14"/>
  <c r="E114" i="14" s="1"/>
  <c r="D115" i="14"/>
  <c r="E115" i="14" s="1"/>
  <c r="D116" i="14"/>
  <c r="E116" i="14" s="1"/>
  <c r="D117" i="14"/>
  <c r="E117" i="14" s="1"/>
  <c r="D118" i="14"/>
  <c r="E118" i="14" s="1"/>
  <c r="D119" i="14"/>
  <c r="E119" i="14" s="1"/>
  <c r="D120" i="14"/>
  <c r="E120" i="14" s="1"/>
  <c r="D121" i="14"/>
  <c r="E121" i="14" s="1"/>
  <c r="D122" i="14"/>
  <c r="E122" i="14" s="1"/>
  <c r="D123" i="14"/>
  <c r="E123" i="14" s="1"/>
  <c r="D124" i="14"/>
  <c r="E124" i="14" s="1"/>
  <c r="D125" i="14"/>
  <c r="E125" i="14" s="1"/>
  <c r="D126" i="14"/>
  <c r="E126" i="14" s="1"/>
  <c r="D127" i="14"/>
  <c r="E127" i="14" s="1"/>
  <c r="D128" i="14"/>
  <c r="E128" i="14" s="1"/>
  <c r="D129" i="14"/>
  <c r="E129" i="14" s="1"/>
  <c r="D131" i="14"/>
  <c r="E131" i="14" s="1"/>
  <c r="D132" i="14"/>
  <c r="E132" i="14" s="1"/>
  <c r="D133" i="14"/>
  <c r="E133" i="14" s="1"/>
  <c r="D134" i="14"/>
  <c r="E134" i="14" s="1"/>
  <c r="D135" i="14"/>
  <c r="E135" i="14" s="1"/>
  <c r="D136" i="14"/>
  <c r="E136" i="14" s="1"/>
  <c r="D137" i="14"/>
  <c r="E137" i="14" s="1"/>
  <c r="D138" i="14"/>
  <c r="E138" i="14" s="1"/>
  <c r="D139" i="14"/>
  <c r="E139" i="14" s="1"/>
  <c r="D140" i="14"/>
  <c r="E140" i="14" s="1"/>
  <c r="D24" i="14"/>
  <c r="E24" i="14" s="1"/>
  <c r="D14" i="14"/>
  <c r="E14" i="14" s="1"/>
  <c r="C2" i="14"/>
  <c r="C3" i="14"/>
  <c r="C4" i="14"/>
  <c r="C5" i="14"/>
  <c r="C6" i="14"/>
  <c r="C7" i="14"/>
  <c r="C8" i="14"/>
  <c r="C9" i="14"/>
  <c r="C10" i="14"/>
  <c r="C11" i="14"/>
  <c r="C12" i="14"/>
  <c r="C13" i="14"/>
  <c r="C15" i="14"/>
  <c r="C16" i="14"/>
  <c r="C17" i="14"/>
  <c r="C18" i="14"/>
  <c r="C20" i="14"/>
  <c r="C21" i="14"/>
  <c r="C22" i="14"/>
  <c r="C23" i="14"/>
  <c r="C25" i="14"/>
  <c r="C26" i="14"/>
  <c r="C27" i="14"/>
  <c r="C28" i="14"/>
  <c r="C29" i="14"/>
  <c r="C33" i="14"/>
  <c r="C34" i="14"/>
  <c r="C35" i="14"/>
  <c r="C37" i="14"/>
  <c r="C38" i="14"/>
  <c r="C39" i="14"/>
  <c r="C40" i="14"/>
  <c r="C41" i="14"/>
  <c r="C42" i="14"/>
  <c r="C43" i="14"/>
  <c r="C44" i="14"/>
  <c r="C45" i="14"/>
  <c r="C46" i="14"/>
  <c r="C47" i="14"/>
  <c r="C48" i="14"/>
  <c r="C49"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9" i="14"/>
  <c r="C100" i="14"/>
  <c r="C101" i="14"/>
  <c r="C102" i="14"/>
  <c r="C104" i="14"/>
  <c r="C105" i="14"/>
  <c r="C106" i="14"/>
  <c r="C107" i="14"/>
  <c r="C108" i="14"/>
  <c r="C109" i="14"/>
  <c r="C110" i="14"/>
  <c r="C111" i="14"/>
  <c r="C112" i="14"/>
  <c r="C113" i="14"/>
  <c r="C114" i="14"/>
  <c r="C115" i="14"/>
  <c r="C116" i="14"/>
  <c r="C117" i="14"/>
  <c r="C118" i="14"/>
  <c r="C119" i="14"/>
  <c r="C120" i="14"/>
  <c r="C121" i="14"/>
  <c r="C122" i="14"/>
  <c r="C123" i="14"/>
  <c r="C124" i="14"/>
  <c r="C125" i="14"/>
  <c r="C126" i="14"/>
  <c r="C127" i="14"/>
  <c r="C128" i="14"/>
  <c r="C129" i="14"/>
  <c r="C131" i="14"/>
  <c r="C132" i="14"/>
  <c r="C133" i="14"/>
  <c r="C134" i="14"/>
  <c r="C135" i="14"/>
  <c r="C136" i="14"/>
  <c r="C137" i="14"/>
  <c r="C138" i="14"/>
  <c r="C139" i="14"/>
  <c r="C140" i="14"/>
  <c r="C24" i="14"/>
  <c r="C14" i="14"/>
  <c r="B2" i="14"/>
  <c r="B3" i="14"/>
  <c r="B4" i="14"/>
  <c r="B5" i="14"/>
  <c r="B6" i="14"/>
  <c r="B7" i="14"/>
  <c r="B8" i="14"/>
  <c r="B9" i="14"/>
  <c r="B10" i="14"/>
  <c r="B11" i="14"/>
  <c r="B12" i="14"/>
  <c r="B13" i="14"/>
  <c r="B15" i="14"/>
  <c r="B16" i="14"/>
  <c r="B17" i="14"/>
  <c r="B18" i="14"/>
  <c r="B20" i="14"/>
  <c r="B21" i="14"/>
  <c r="B22" i="14"/>
  <c r="B23" i="14"/>
  <c r="B25" i="14"/>
  <c r="B27" i="14"/>
  <c r="B28" i="14"/>
  <c r="B29" i="14"/>
  <c r="B33" i="14"/>
  <c r="B34" i="14"/>
  <c r="B35" i="14"/>
  <c r="B37" i="14"/>
  <c r="B39" i="14"/>
  <c r="B40" i="14"/>
  <c r="B41" i="14"/>
  <c r="B42" i="14"/>
  <c r="B43" i="14"/>
  <c r="B44" i="14"/>
  <c r="B45" i="14"/>
  <c r="B46" i="14"/>
  <c r="B47" i="14"/>
  <c r="B48" i="14"/>
  <c r="B49" i="14"/>
  <c r="B51" i="14"/>
  <c r="B52" i="14"/>
  <c r="B53" i="14"/>
  <c r="B54" i="14"/>
  <c r="B55" i="14"/>
  <c r="B56" i="14"/>
  <c r="B57" i="14"/>
  <c r="B58" i="14"/>
  <c r="B59" i="14"/>
  <c r="B60" i="14"/>
  <c r="B61" i="14"/>
  <c r="B62" i="14"/>
  <c r="B63" i="14"/>
  <c r="B64" i="14"/>
  <c r="B65" i="14"/>
  <c r="B66" i="14"/>
  <c r="B67" i="14"/>
  <c r="B68" i="14"/>
  <c r="B69" i="14"/>
  <c r="B70" i="14"/>
  <c r="B71" i="14"/>
  <c r="B72" i="14"/>
  <c r="B73" i="14"/>
  <c r="B74" i="14"/>
  <c r="B75" i="14"/>
  <c r="B76" i="14"/>
  <c r="B77" i="14"/>
  <c r="B78" i="14"/>
  <c r="B79" i="14"/>
  <c r="B80" i="14"/>
  <c r="B81" i="14"/>
  <c r="B82" i="14"/>
  <c r="B83" i="14"/>
  <c r="B84" i="14"/>
  <c r="B85" i="14"/>
  <c r="B86" i="14"/>
  <c r="B87" i="14"/>
  <c r="B88" i="14"/>
  <c r="B89" i="14"/>
  <c r="B90" i="14"/>
  <c r="B91" i="14"/>
  <c r="B92" i="14"/>
  <c r="B93" i="14"/>
  <c r="B94" i="14"/>
  <c r="B95" i="14"/>
  <c r="B96" i="14"/>
  <c r="B97" i="14"/>
  <c r="B98" i="14"/>
  <c r="B100" i="14"/>
  <c r="B101" i="14"/>
  <c r="B102" i="14"/>
  <c r="B103" i="14"/>
  <c r="B104" i="14"/>
  <c r="B106" i="14"/>
  <c r="B107" i="14"/>
  <c r="B108" i="14"/>
  <c r="B109" i="14"/>
  <c r="B110" i="14"/>
  <c r="B111" i="14"/>
  <c r="B112" i="14"/>
  <c r="B113" i="14"/>
  <c r="B114" i="14"/>
  <c r="B115" i="14"/>
  <c r="B116" i="14"/>
  <c r="B117" i="14"/>
  <c r="B118" i="14"/>
  <c r="B119" i="14"/>
  <c r="B120" i="14"/>
  <c r="B121" i="14"/>
  <c r="B123" i="14"/>
  <c r="B125" i="14"/>
  <c r="B126" i="14"/>
  <c r="B127" i="14"/>
  <c r="B128" i="14"/>
  <c r="B129" i="14"/>
  <c r="B131" i="14"/>
  <c r="B132" i="14"/>
  <c r="B134" i="14"/>
  <c r="B135" i="14"/>
  <c r="B136" i="14"/>
  <c r="B137" i="14"/>
  <c r="B138" i="14"/>
  <c r="B139" i="14"/>
  <c r="B140" i="14"/>
  <c r="B24" i="14"/>
  <c r="B14" i="14"/>
  <c r="C19" i="11"/>
  <c r="C18" i="11"/>
  <c r="C4" i="11"/>
  <c r="C12" i="11"/>
  <c r="C25" i="11"/>
  <c r="C10" i="11"/>
  <c r="C7" i="11"/>
  <c r="C17" i="11"/>
  <c r="C11" i="11"/>
  <c r="C26" i="11"/>
  <c r="C14" i="11"/>
  <c r="C9" i="11"/>
  <c r="C22" i="11"/>
  <c r="C23" i="11"/>
  <c r="C32" i="11"/>
  <c r="C3" i="11"/>
  <c r="C29" i="11"/>
  <c r="C30" i="11"/>
  <c r="C24" i="11"/>
  <c r="C16" i="11"/>
  <c r="C5" i="11"/>
  <c r="C8" i="11"/>
  <c r="C28" i="11"/>
  <c r="C21" i="11"/>
  <c r="C33" i="11"/>
  <c r="C2" i="11"/>
  <c r="C6" i="11"/>
  <c r="C34" i="11"/>
  <c r="C15" i="11"/>
  <c r="C20" i="11"/>
  <c r="C13" i="11"/>
  <c r="C27" i="11"/>
  <c r="K2" i="2"/>
  <c r="K3" i="2"/>
  <c r="K4" i="2"/>
  <c r="K124" i="2"/>
  <c r="K191" i="2"/>
  <c r="K537" i="2"/>
  <c r="K582" i="2"/>
  <c r="K621" i="2"/>
  <c r="K625" i="2"/>
  <c r="K741" i="2"/>
  <c r="K742" i="2"/>
  <c r="K747" i="2"/>
  <c r="K770" i="2"/>
  <c r="K772" i="2"/>
  <c r="K773" i="2"/>
  <c r="K777" i="2"/>
  <c r="K816" i="2"/>
  <c r="K823" i="2"/>
  <c r="K851" i="2"/>
  <c r="K854" i="2"/>
  <c r="K890" i="2"/>
  <c r="K893" i="2"/>
  <c r="K897" i="2"/>
  <c r="K931" i="2"/>
  <c r="K933" i="2"/>
  <c r="K934" i="2"/>
  <c r="K936" i="2"/>
  <c r="K958" i="2"/>
  <c r="K960" i="2"/>
  <c r="K961" i="2"/>
  <c r="K962" i="2"/>
  <c r="K963" i="2"/>
  <c r="K992" i="2"/>
  <c r="K995" i="2"/>
  <c r="K997" i="2"/>
  <c r="K1042" i="2"/>
  <c r="K1044" i="2"/>
  <c r="K1045" i="2"/>
  <c r="K1076" i="2"/>
  <c r="K1079" i="2"/>
  <c r="K1080" i="2"/>
  <c r="K1081" i="2"/>
  <c r="K1083" i="2"/>
  <c r="K1084" i="2"/>
  <c r="K1104" i="2"/>
  <c r="K1105" i="2"/>
  <c r="K1107" i="2"/>
  <c r="K1108" i="2"/>
  <c r="K1109" i="2"/>
  <c r="K1150" i="2"/>
  <c r="K1151" i="2"/>
  <c r="K1152" i="2"/>
  <c r="K1155" i="2"/>
  <c r="K1181" i="2"/>
  <c r="K1183" i="2"/>
  <c r="K1185" i="2"/>
  <c r="K1200" i="2"/>
  <c r="K1202" i="2"/>
  <c r="K1085" i="2"/>
  <c r="K7" i="2"/>
  <c r="K10" i="2"/>
  <c r="K13" i="2"/>
  <c r="K20" i="2"/>
  <c r="K21" i="2"/>
  <c r="K24" i="2"/>
  <c r="K25" i="2"/>
  <c r="K26" i="2"/>
  <c r="K28" i="2"/>
  <c r="K30" i="2"/>
  <c r="K35" i="2"/>
  <c r="K36" i="2"/>
  <c r="K44" i="2"/>
  <c r="K45" i="2"/>
  <c r="K73" i="2"/>
  <c r="K74" i="2"/>
  <c r="K78" i="2"/>
  <c r="K80" i="2"/>
  <c r="K81" i="2"/>
  <c r="K84" i="2"/>
  <c r="K89" i="2"/>
  <c r="K90" i="2"/>
  <c r="K92" i="2"/>
  <c r="K115" i="2"/>
  <c r="K122" i="2"/>
  <c r="K125" i="2"/>
  <c r="K129" i="2"/>
  <c r="K130" i="2"/>
  <c r="K131" i="2"/>
  <c r="K159" i="2"/>
  <c r="K163" i="2"/>
  <c r="K179" i="2"/>
  <c r="K180" i="2"/>
  <c r="K181" i="2"/>
  <c r="K188" i="2"/>
  <c r="K190" i="2"/>
  <c r="K192" i="2"/>
  <c r="K216" i="2"/>
  <c r="K217" i="2"/>
  <c r="K220" i="2"/>
  <c r="K225" i="2"/>
  <c r="K232" i="2"/>
  <c r="K234" i="2"/>
  <c r="K236" i="2"/>
  <c r="K237" i="2"/>
  <c r="K246" i="2"/>
  <c r="K247" i="2"/>
  <c r="K248" i="2"/>
  <c r="K249" i="2"/>
  <c r="K251" i="2"/>
  <c r="K252" i="2"/>
  <c r="K253" i="2"/>
  <c r="K254" i="2"/>
  <c r="K306" i="2"/>
  <c r="K307" i="2"/>
  <c r="K312" i="2"/>
  <c r="K343" i="2"/>
  <c r="K344" i="2"/>
  <c r="K351" i="2"/>
  <c r="K363" i="2"/>
  <c r="K367" i="2"/>
  <c r="K370" i="2"/>
  <c r="K375" i="2"/>
  <c r="K394" i="2"/>
  <c r="K403" i="2"/>
  <c r="K405" i="2"/>
  <c r="K407" i="2"/>
  <c r="K409" i="2"/>
  <c r="K429" i="2"/>
  <c r="K431" i="2"/>
  <c r="K442" i="2"/>
  <c r="K462" i="2"/>
  <c r="K463" i="2"/>
  <c r="K465" i="2"/>
  <c r="K467" i="2"/>
  <c r="K468" i="2"/>
  <c r="K470" i="2"/>
  <c r="K474" i="2"/>
  <c r="K475" i="2"/>
  <c r="K477" i="2"/>
  <c r="K478" i="2"/>
  <c r="K482" i="2"/>
  <c r="K483" i="2"/>
  <c r="K509" i="2"/>
  <c r="K514" i="2"/>
  <c r="K517" i="2"/>
  <c r="K536" i="2"/>
  <c r="K549" i="2"/>
  <c r="K551" i="2"/>
  <c r="K553" i="2"/>
  <c r="K563" i="2"/>
  <c r="K565" i="2"/>
  <c r="K566" i="2"/>
  <c r="K568" i="2"/>
  <c r="K580" i="2"/>
  <c r="K593" i="2"/>
  <c r="K622" i="2"/>
  <c r="K624" i="2"/>
  <c r="K626" i="2"/>
  <c r="K627" i="2"/>
  <c r="K645" i="2"/>
  <c r="K646" i="2"/>
  <c r="K680" i="2"/>
  <c r="K684" i="2"/>
  <c r="K698" i="2"/>
  <c r="K699" i="2"/>
  <c r="K700" i="2"/>
  <c r="K701" i="2"/>
  <c r="K716" i="2"/>
  <c r="K717" i="2"/>
  <c r="K727" i="2"/>
  <c r="K728" i="2"/>
  <c r="K729" i="2"/>
  <c r="K731" i="2"/>
  <c r="K734" i="2"/>
  <c r="K737" i="2"/>
  <c r="K738" i="2"/>
  <c r="K739" i="2"/>
  <c r="K740" i="2"/>
  <c r="K744" i="2"/>
  <c r="K745" i="2"/>
  <c r="K746" i="2"/>
  <c r="K750" i="2"/>
  <c r="K767" i="2"/>
  <c r="K768" i="2"/>
  <c r="K769" i="2"/>
  <c r="K771" i="2"/>
  <c r="K774" i="2"/>
  <c r="K779" i="2"/>
  <c r="K817" i="2"/>
  <c r="K818" i="2"/>
  <c r="K819" i="2"/>
  <c r="K820" i="2"/>
  <c r="K822" i="2"/>
  <c r="K853" i="2"/>
  <c r="K891" i="2"/>
  <c r="K930" i="2"/>
  <c r="K935" i="2"/>
  <c r="K937" i="2"/>
  <c r="K938" i="2"/>
  <c r="K940" i="2"/>
  <c r="K959" i="2"/>
  <c r="K33" i="2"/>
  <c r="K37" i="2"/>
  <c r="K42" i="2"/>
  <c r="K1153" i="2"/>
  <c r="K1154" i="2"/>
  <c r="K1157" i="2"/>
  <c r="K1078" i="2"/>
  <c r="K1106" i="2"/>
  <c r="K649" i="2"/>
  <c r="K682" i="2"/>
  <c r="K713" i="2"/>
  <c r="K715" i="2"/>
  <c r="K743" i="2"/>
  <c r="K775" i="2"/>
  <c r="K778" i="2"/>
  <c r="K855" i="2"/>
  <c r="K887" i="2"/>
  <c r="K888" i="2"/>
  <c r="K892" i="2"/>
  <c r="K895" i="2"/>
  <c r="K896" i="2"/>
  <c r="K900" i="2"/>
  <c r="K929" i="2"/>
  <c r="K932" i="2"/>
  <c r="K993" i="2"/>
  <c r="K996" i="2"/>
  <c r="K998" i="2"/>
  <c r="K999" i="2"/>
  <c r="K1110" i="2"/>
  <c r="K1111" i="2"/>
  <c r="K1201" i="2"/>
  <c r="K1077" i="2"/>
  <c r="K994" i="2"/>
  <c r="K1075" i="2"/>
  <c r="K1082" i="2"/>
  <c r="K899" i="2"/>
  <c r="K1043" i="2"/>
  <c r="K1156" i="2"/>
  <c r="K1184" i="2"/>
  <c r="K991" i="2"/>
  <c r="K11" i="2"/>
  <c r="K17" i="2"/>
  <c r="K18" i="2"/>
  <c r="K22" i="2"/>
  <c r="K23" i="2"/>
  <c r="K27" i="2"/>
  <c r="K29" i="2"/>
  <c r="K31" i="2"/>
  <c r="K32" i="2"/>
  <c r="K34" i="2"/>
  <c r="K38" i="2"/>
  <c r="K39" i="2"/>
  <c r="K40" i="2"/>
  <c r="K41" i="2"/>
  <c r="K43" i="2"/>
  <c r="K75" i="2"/>
  <c r="K76" i="2"/>
  <c r="K77" i="2"/>
  <c r="K79" i="2"/>
  <c r="K82" i="2"/>
  <c r="K83" i="2"/>
  <c r="K85" i="2"/>
  <c r="K86" i="2"/>
  <c r="K87" i="2"/>
  <c r="K88" i="2"/>
  <c r="K91" i="2"/>
  <c r="K93" i="2"/>
  <c r="K94" i="2"/>
  <c r="K110" i="2"/>
  <c r="K111" i="2"/>
  <c r="K112" i="2"/>
  <c r="K113" i="2"/>
  <c r="K114" i="2"/>
  <c r="K116" i="2"/>
  <c r="K117" i="2"/>
  <c r="K118" i="2"/>
  <c r="K119" i="2"/>
  <c r="K120" i="2"/>
  <c r="K121" i="2"/>
  <c r="K123" i="2"/>
  <c r="K126" i="2"/>
  <c r="K127" i="2"/>
  <c r="K128" i="2"/>
  <c r="K152" i="2"/>
  <c r="K153" i="2"/>
  <c r="K154" i="2"/>
  <c r="K155" i="2"/>
  <c r="K156" i="2"/>
  <c r="K157" i="2"/>
  <c r="K158" i="2"/>
  <c r="K160" i="2"/>
  <c r="K161" i="2"/>
  <c r="K162" i="2"/>
  <c r="K178" i="2"/>
  <c r="K182" i="2"/>
  <c r="K183" i="2"/>
  <c r="K184" i="2"/>
  <c r="K185" i="2"/>
  <c r="K186" i="2"/>
  <c r="K187" i="2"/>
  <c r="K189" i="2"/>
  <c r="K193" i="2"/>
  <c r="K194" i="2"/>
  <c r="K195" i="2"/>
  <c r="K196" i="2"/>
  <c r="K218" i="2"/>
  <c r="K219" i="2"/>
  <c r="K221" i="2"/>
  <c r="K222" i="2"/>
  <c r="K223" i="2"/>
  <c r="K224" i="2"/>
  <c r="K226" i="2"/>
  <c r="K227" i="2"/>
  <c r="K228" i="2"/>
  <c r="K229" i="2"/>
  <c r="K230" i="2"/>
  <c r="K231" i="2"/>
  <c r="K233" i="2"/>
  <c r="K239" i="2"/>
  <c r="K240" i="2"/>
  <c r="K241" i="2"/>
  <c r="K242" i="2"/>
  <c r="K243" i="2"/>
  <c r="K244" i="2"/>
  <c r="K245" i="2"/>
  <c r="K250" i="2"/>
  <c r="K255" i="2"/>
  <c r="K256" i="2"/>
  <c r="K257" i="2"/>
  <c r="K308" i="2"/>
  <c r="K310" i="2"/>
  <c r="K311" i="2"/>
  <c r="K313" i="2"/>
  <c r="K314" i="2"/>
  <c r="K315" i="2"/>
  <c r="K316" i="2"/>
  <c r="K317" i="2"/>
  <c r="K318" i="2"/>
  <c r="K319" i="2"/>
  <c r="K320" i="2"/>
  <c r="K321" i="2"/>
  <c r="K340" i="2"/>
  <c r="K341" i="2"/>
  <c r="K342" i="2"/>
  <c r="K345" i="2"/>
  <c r="K346" i="2"/>
  <c r="K347" i="2"/>
  <c r="K348" i="2"/>
  <c r="K349" i="2"/>
  <c r="K350" i="2"/>
  <c r="K362" i="2"/>
  <c r="K364" i="2"/>
  <c r="K365" i="2"/>
  <c r="K366" i="2"/>
  <c r="K368" i="2"/>
  <c r="K369" i="2"/>
  <c r="K371" i="2"/>
  <c r="K372" i="2"/>
  <c r="K373" i="2"/>
  <c r="K374" i="2"/>
  <c r="K393" i="2"/>
  <c r="K395" i="2"/>
  <c r="K397" i="2"/>
  <c r="K398" i="2"/>
  <c r="K399" i="2"/>
  <c r="K400" i="2"/>
  <c r="K401" i="2"/>
  <c r="K404" i="2"/>
  <c r="K406" i="2"/>
  <c r="K408" i="2"/>
  <c r="K410" i="2"/>
  <c r="K427" i="2"/>
  <c r="K428" i="2"/>
  <c r="K430" i="2"/>
  <c r="K432" i="2"/>
  <c r="K433" i="2"/>
  <c r="K434" i="2"/>
  <c r="K435" i="2"/>
  <c r="K436" i="2"/>
  <c r="K437" i="2"/>
  <c r="K438" i="2"/>
  <c r="K439" i="2"/>
  <c r="K440" i="2"/>
  <c r="K441" i="2"/>
  <c r="K464" i="2"/>
  <c r="K466" i="2"/>
  <c r="K469" i="2"/>
  <c r="K471" i="2"/>
  <c r="K472" i="2"/>
  <c r="K473" i="2"/>
  <c r="K476" i="2"/>
  <c r="K479" i="2"/>
  <c r="K480" i="2"/>
  <c r="K481" i="2"/>
  <c r="K504" i="2"/>
  <c r="K505" i="2"/>
  <c r="K506" i="2"/>
  <c r="K507" i="2"/>
  <c r="K508" i="2"/>
  <c r="K510" i="2"/>
  <c r="K511" i="2"/>
  <c r="K512" i="2"/>
  <c r="K513" i="2"/>
  <c r="K515" i="2"/>
  <c r="K516" i="2"/>
  <c r="K518" i="2"/>
  <c r="K534" i="2"/>
  <c r="K535" i="2"/>
  <c r="K538" i="2"/>
  <c r="K539" i="2"/>
  <c r="K540" i="2"/>
  <c r="K547" i="2"/>
  <c r="K548" i="2"/>
  <c r="K550" i="2"/>
  <c r="K552" i="2"/>
  <c r="K562" i="2"/>
  <c r="K564" i="2"/>
  <c r="K567" i="2"/>
  <c r="K569" i="2"/>
  <c r="K581" i="2"/>
  <c r="K583" i="2"/>
  <c r="K584" i="2"/>
  <c r="K585" i="2"/>
  <c r="K586" i="2"/>
  <c r="K587" i="2"/>
  <c r="K588" i="2"/>
  <c r="K589" i="2"/>
  <c r="K590" i="2"/>
  <c r="K591" i="2"/>
  <c r="K592" i="2"/>
  <c r="K594" i="2"/>
  <c r="K595" i="2"/>
  <c r="K620" i="2"/>
  <c r="K623" i="2"/>
  <c r="K643" i="2"/>
  <c r="K644" i="2"/>
  <c r="K647" i="2"/>
  <c r="K648" i="2"/>
  <c r="K681" i="2"/>
  <c r="K683" i="2"/>
  <c r="K685" i="2"/>
  <c r="K714" i="2"/>
  <c r="K730" i="2"/>
  <c r="K732" i="2"/>
  <c r="K733" i="2"/>
  <c r="K735" i="2"/>
  <c r="K736" i="2"/>
  <c r="K748" i="2"/>
  <c r="K749" i="2"/>
  <c r="K776" i="2"/>
  <c r="K780" i="2"/>
  <c r="K815" i="2"/>
  <c r="K821" i="2"/>
  <c r="K852" i="2"/>
  <c r="K889" i="2"/>
  <c r="K894" i="2"/>
  <c r="K898" i="2"/>
  <c r="K901" i="2"/>
  <c r="K1182" i="2"/>
  <c r="K6" i="2"/>
  <c r="K9" i="2"/>
  <c r="K14" i="2"/>
  <c r="K15" i="2"/>
  <c r="K19" i="2"/>
  <c r="K235" i="2"/>
  <c r="K238" i="2"/>
  <c r="K203" i="2"/>
  <c r="K208" i="2"/>
  <c r="K383" i="2"/>
  <c r="K532" i="2"/>
  <c r="K722" i="2"/>
  <c r="K8" i="2"/>
  <c r="K12" i="2"/>
  <c r="K49" i="2"/>
  <c r="K52" i="2"/>
  <c r="K54" i="2"/>
  <c r="K55" i="2"/>
  <c r="K58" i="2"/>
  <c r="K62" i="2"/>
  <c r="K70" i="2"/>
  <c r="K96" i="2"/>
  <c r="K98" i="2"/>
  <c r="K103" i="2"/>
  <c r="K107" i="2"/>
  <c r="K109" i="2"/>
  <c r="K133" i="2"/>
  <c r="K134" i="2"/>
  <c r="K136" i="2"/>
  <c r="K137" i="2"/>
  <c r="K138" i="2"/>
  <c r="K140" i="2"/>
  <c r="K141" i="2"/>
  <c r="K148" i="2"/>
  <c r="K149" i="2"/>
  <c r="K150" i="2"/>
  <c r="K168" i="2"/>
  <c r="K170" i="2"/>
  <c r="K172" i="2"/>
  <c r="K176" i="2"/>
  <c r="K200" i="2"/>
  <c r="K206" i="2"/>
  <c r="K209" i="2"/>
  <c r="K210" i="2"/>
  <c r="K212" i="2"/>
  <c r="K260" i="2"/>
  <c r="K267" i="2"/>
  <c r="K273" i="2"/>
  <c r="K274" i="2"/>
  <c r="K277" i="2"/>
  <c r="K279" i="2"/>
  <c r="K280" i="2"/>
  <c r="K281" i="2"/>
  <c r="K285" i="2"/>
  <c r="K286" i="2"/>
  <c r="K287" i="2"/>
  <c r="K292" i="2"/>
  <c r="K294" i="2"/>
  <c r="K295" i="2"/>
  <c r="K296" i="2"/>
  <c r="K297" i="2"/>
  <c r="K298" i="2"/>
  <c r="K299" i="2"/>
  <c r="K301" i="2"/>
  <c r="K302" i="2"/>
  <c r="K305" i="2"/>
  <c r="K309" i="2"/>
  <c r="K323" i="2"/>
  <c r="K326" i="2"/>
  <c r="K329" i="2"/>
  <c r="K331" i="2"/>
  <c r="K356" i="2"/>
  <c r="K377" i="2"/>
  <c r="K378" i="2"/>
  <c r="K379" i="2"/>
  <c r="K381" i="2"/>
  <c r="K389" i="2"/>
  <c r="K411" i="2"/>
  <c r="K412" i="2"/>
  <c r="K414" i="2"/>
  <c r="K417" i="2"/>
  <c r="K422" i="2"/>
  <c r="K425" i="2"/>
  <c r="K426" i="2"/>
  <c r="K448" i="2"/>
  <c r="K449" i="2"/>
  <c r="K450" i="2"/>
  <c r="K452" i="2"/>
  <c r="K453" i="2"/>
  <c r="K454" i="2"/>
  <c r="K455" i="2"/>
  <c r="K458" i="2"/>
  <c r="K487" i="2"/>
  <c r="K490" i="2"/>
  <c r="K493" i="2"/>
  <c r="K494" i="2"/>
  <c r="K498" i="2"/>
  <c r="K500" i="2"/>
  <c r="K501" i="2"/>
  <c r="K529" i="2"/>
  <c r="K542" i="2"/>
  <c r="K546" i="2"/>
  <c r="K555" i="2"/>
  <c r="K559" i="2"/>
  <c r="K560" i="2"/>
  <c r="K578" i="2"/>
  <c r="K600" i="2"/>
  <c r="K630" i="2"/>
  <c r="K651" i="2"/>
  <c r="K655" i="2"/>
  <c r="K669" i="2"/>
  <c r="K674" i="2"/>
  <c r="K677" i="2"/>
  <c r="K687" i="2"/>
  <c r="K689" i="2"/>
  <c r="K690" i="2"/>
  <c r="K692" i="2"/>
  <c r="K693" i="2"/>
  <c r="K723" i="2"/>
  <c r="K485" i="2"/>
  <c r="K544" i="2"/>
  <c r="K597" i="2"/>
  <c r="K656" i="2"/>
  <c r="K706" i="2"/>
  <c r="K707" i="2"/>
  <c r="K688" i="2"/>
  <c r="K702" i="2"/>
  <c r="K704" i="2"/>
  <c r="K705" i="2"/>
  <c r="K719" i="2"/>
  <c r="K720" i="2"/>
  <c r="K484" i="2"/>
  <c r="K533" i="2"/>
  <c r="K631" i="2"/>
  <c r="K5" i="2"/>
  <c r="K16" i="2"/>
  <c r="K46" i="2"/>
  <c r="K47" i="2"/>
  <c r="K48" i="2"/>
  <c r="K50" i="2"/>
  <c r="K51" i="2"/>
  <c r="K53" i="2"/>
  <c r="K56" i="2"/>
  <c r="K57" i="2"/>
  <c r="K59" i="2"/>
  <c r="K60" i="2"/>
  <c r="K61" i="2"/>
  <c r="K63" i="2"/>
  <c r="K64" i="2"/>
  <c r="K65" i="2"/>
  <c r="K66" i="2"/>
  <c r="K67" i="2"/>
  <c r="K68" i="2"/>
  <c r="K69" i="2"/>
  <c r="K71" i="2"/>
  <c r="K95" i="2"/>
  <c r="K97" i="2"/>
  <c r="K99" i="2"/>
  <c r="K100" i="2"/>
  <c r="K101" i="2"/>
  <c r="K102" i="2"/>
  <c r="K104" i="2"/>
  <c r="K105" i="2"/>
  <c r="K106" i="2"/>
  <c r="K108" i="2"/>
  <c r="K132" i="2"/>
  <c r="K135" i="2"/>
  <c r="K139" i="2"/>
  <c r="K142" i="2"/>
  <c r="K143" i="2"/>
  <c r="K144" i="2"/>
  <c r="K145" i="2"/>
  <c r="K146" i="2"/>
  <c r="K147" i="2"/>
  <c r="K151" i="2"/>
  <c r="K164" i="2"/>
  <c r="K165" i="2"/>
  <c r="K166" i="2"/>
  <c r="K167" i="2"/>
  <c r="K169" i="2"/>
  <c r="K171" i="2"/>
  <c r="K173" i="2"/>
  <c r="K174" i="2"/>
  <c r="K175" i="2"/>
  <c r="K177" i="2"/>
  <c r="K197" i="2"/>
  <c r="K198" i="2"/>
  <c r="K199" i="2"/>
  <c r="K201" i="2"/>
  <c r="K202" i="2"/>
  <c r="K204" i="2"/>
  <c r="K205" i="2"/>
  <c r="K207" i="2"/>
  <c r="K211" i="2"/>
  <c r="K213" i="2"/>
  <c r="K214" i="2"/>
  <c r="K215" i="2"/>
  <c r="K258" i="2"/>
  <c r="K259" i="2"/>
  <c r="K261" i="2"/>
  <c r="K262" i="2"/>
  <c r="K263" i="2"/>
  <c r="K264" i="2"/>
  <c r="K265" i="2"/>
  <c r="K266" i="2"/>
  <c r="K268" i="2"/>
  <c r="K269" i="2"/>
  <c r="K270" i="2"/>
  <c r="K271" i="2"/>
  <c r="K272" i="2"/>
  <c r="K275" i="2"/>
  <c r="K276" i="2"/>
  <c r="K278" i="2"/>
  <c r="K282" i="2"/>
  <c r="K283" i="2"/>
  <c r="K284" i="2"/>
  <c r="K288" i="2"/>
  <c r="K289" i="2"/>
  <c r="K290" i="2"/>
  <c r="K291" i="2"/>
  <c r="K293" i="2"/>
  <c r="K300" i="2"/>
  <c r="K303" i="2"/>
  <c r="K304" i="2"/>
  <c r="K322" i="2"/>
  <c r="K324" i="2"/>
  <c r="K325" i="2"/>
  <c r="K327" i="2"/>
  <c r="K328" i="2"/>
  <c r="K330" i="2"/>
  <c r="K332" i="2"/>
  <c r="K333" i="2"/>
  <c r="K334" i="2"/>
  <c r="K335" i="2"/>
  <c r="K336" i="2"/>
  <c r="K337" i="2"/>
  <c r="K338" i="2"/>
  <c r="K339" i="2"/>
  <c r="K352" i="2"/>
  <c r="K353" i="2"/>
  <c r="K354" i="2"/>
  <c r="K355" i="2"/>
  <c r="K357" i="2"/>
  <c r="K358" i="2"/>
  <c r="K359" i="2"/>
  <c r="K360" i="2"/>
  <c r="K361" i="2"/>
  <c r="K376" i="2"/>
  <c r="K380" i="2"/>
  <c r="K382" i="2"/>
  <c r="K384" i="2"/>
  <c r="K385" i="2"/>
  <c r="K386" i="2"/>
  <c r="K387" i="2"/>
  <c r="K388" i="2"/>
  <c r="K390" i="2"/>
  <c r="K391" i="2"/>
  <c r="K392" i="2"/>
  <c r="K396" i="2"/>
  <c r="K402" i="2"/>
  <c r="K413" i="2"/>
  <c r="K415" i="2"/>
  <c r="K416" i="2"/>
  <c r="K418" i="2"/>
  <c r="K419" i="2"/>
  <c r="K420" i="2"/>
  <c r="K421" i="2"/>
  <c r="K423" i="2"/>
  <c r="K424" i="2"/>
  <c r="K443" i="2"/>
  <c r="K444" i="2"/>
  <c r="K445" i="2"/>
  <c r="K446" i="2"/>
  <c r="K447" i="2"/>
  <c r="K451" i="2"/>
  <c r="K456" i="2"/>
  <c r="K457" i="2"/>
  <c r="K459" i="2"/>
  <c r="K460" i="2"/>
  <c r="K461" i="2"/>
  <c r="K486" i="2"/>
  <c r="K488" i="2"/>
  <c r="K489" i="2"/>
  <c r="K491" i="2"/>
  <c r="K492" i="2"/>
  <c r="K495" i="2"/>
  <c r="K496" i="2"/>
  <c r="K497" i="2"/>
  <c r="K499" i="2"/>
  <c r="K502" i="2"/>
  <c r="K503" i="2"/>
  <c r="K519" i="2"/>
  <c r="K520" i="2"/>
  <c r="K521" i="2"/>
  <c r="K522" i="2"/>
  <c r="K523" i="2"/>
  <c r="K524" i="2"/>
  <c r="K525" i="2"/>
  <c r="K526" i="2"/>
  <c r="K527" i="2"/>
  <c r="K528" i="2"/>
  <c r="K530" i="2"/>
  <c r="K541" i="2"/>
  <c r="K543" i="2"/>
  <c r="K545" i="2"/>
  <c r="K554" i="2"/>
  <c r="K556" i="2"/>
  <c r="K557" i="2"/>
  <c r="K558" i="2"/>
  <c r="K561" i="2"/>
  <c r="K570" i="2"/>
  <c r="K571" i="2"/>
  <c r="K572" i="2"/>
  <c r="K573" i="2"/>
  <c r="K574" i="2"/>
  <c r="K575" i="2"/>
  <c r="K576" i="2"/>
  <c r="K577" i="2"/>
  <c r="K579" i="2"/>
  <c r="K596" i="2"/>
  <c r="K598" i="2"/>
  <c r="K599" i="2"/>
  <c r="K601" i="2"/>
  <c r="K602" i="2"/>
  <c r="K628" i="2"/>
  <c r="K629" i="2"/>
  <c r="K632" i="2"/>
  <c r="K633" i="2"/>
  <c r="K650" i="2"/>
  <c r="K652" i="2"/>
  <c r="K653" i="2"/>
  <c r="K654" i="2"/>
  <c r="K670" i="2"/>
  <c r="K671" i="2"/>
  <c r="K672" i="2"/>
  <c r="K673" i="2"/>
  <c r="K675" i="2"/>
  <c r="K676" i="2"/>
  <c r="K678" i="2"/>
  <c r="K679" i="2"/>
  <c r="K691" i="2"/>
  <c r="K703" i="2"/>
  <c r="K718" i="2"/>
  <c r="K721" i="2"/>
  <c r="K724" i="2"/>
  <c r="K726" i="2"/>
  <c r="K72" i="2"/>
  <c r="K712" i="2"/>
  <c r="K751" i="2"/>
  <c r="K754" i="2"/>
  <c r="K782" i="2"/>
  <c r="K787" i="2"/>
  <c r="K790" i="2"/>
  <c r="K826" i="2"/>
  <c r="K829" i="2"/>
  <c r="K833" i="2"/>
  <c r="K856" i="2"/>
  <c r="K902" i="2"/>
  <c r="K904" i="2"/>
  <c r="K908" i="2"/>
  <c r="K912" i="2"/>
  <c r="K913" i="2"/>
  <c r="K914" i="2"/>
  <c r="K941" i="2"/>
  <c r="K943" i="2"/>
  <c r="K967" i="2"/>
  <c r="K968" i="2"/>
  <c r="K970" i="2"/>
  <c r="K971" i="2"/>
  <c r="K972" i="2"/>
  <c r="K973" i="2"/>
  <c r="K974" i="2"/>
  <c r="K1001" i="2"/>
  <c r="K1004" i="2"/>
  <c r="K1009" i="2"/>
  <c r="K1010" i="2"/>
  <c r="K1050" i="2"/>
  <c r="K1052" i="2"/>
  <c r="K1053" i="2"/>
  <c r="K1056" i="2"/>
  <c r="K1057" i="2"/>
  <c r="K1059" i="2"/>
  <c r="K1086" i="2"/>
  <c r="K1087" i="2"/>
  <c r="K1088" i="2"/>
  <c r="K1089" i="2"/>
  <c r="K1090" i="2"/>
  <c r="K1091" i="2"/>
  <c r="K1093" i="2"/>
  <c r="K1112" i="2"/>
  <c r="K1115" i="2"/>
  <c r="K1116" i="2"/>
  <c r="K1117" i="2"/>
  <c r="K1118" i="2"/>
  <c r="K1124" i="2"/>
  <c r="K1126" i="2"/>
  <c r="K1158" i="2"/>
  <c r="K1161" i="2"/>
  <c r="K1163" i="2"/>
  <c r="K1165" i="2"/>
  <c r="K1187" i="2"/>
  <c r="K1188" i="2"/>
  <c r="K1190" i="2"/>
  <c r="K1203" i="2"/>
  <c r="K1204" i="2"/>
  <c r="K1205" i="2"/>
  <c r="K1206" i="2"/>
  <c r="K1210" i="2"/>
  <c r="K1211" i="2"/>
  <c r="K1119" i="2"/>
  <c r="K910" i="2"/>
  <c r="K942" i="2"/>
  <c r="K1047" i="2"/>
  <c r="K531" i="2"/>
  <c r="K605" i="2"/>
  <c r="K606" i="2"/>
  <c r="K613" i="2"/>
  <c r="K614" i="2"/>
  <c r="K615" i="2"/>
  <c r="K616" i="2"/>
  <c r="K619" i="2"/>
  <c r="K637" i="2"/>
  <c r="K638" i="2"/>
  <c r="K639" i="2"/>
  <c r="K640" i="2"/>
  <c r="K641" i="2"/>
  <c r="K658" i="2"/>
  <c r="K663" i="2"/>
  <c r="K665" i="2"/>
  <c r="K696" i="2"/>
  <c r="K711" i="2"/>
  <c r="K725" i="2"/>
  <c r="K752" i="2"/>
  <c r="K783" i="2"/>
  <c r="K784" i="2"/>
  <c r="K785" i="2"/>
  <c r="K825" i="2"/>
  <c r="K828" i="2"/>
  <c r="K831" i="2"/>
  <c r="K834" i="2"/>
  <c r="K858" i="2"/>
  <c r="K859" i="2"/>
  <c r="K861" i="2"/>
  <c r="K862" i="2"/>
  <c r="K863" i="2"/>
  <c r="K864" i="2"/>
  <c r="K865" i="2"/>
  <c r="K906" i="2"/>
  <c r="K909" i="2"/>
  <c r="K917" i="2"/>
  <c r="K918" i="2"/>
  <c r="K1002" i="2"/>
  <c r="K1046" i="2"/>
  <c r="K1092" i="2"/>
  <c r="K1094" i="2"/>
  <c r="K1159" i="2"/>
  <c r="K1162" i="2"/>
  <c r="K1121" i="2"/>
  <c r="K1005" i="2"/>
  <c r="K1113" i="2"/>
  <c r="K694" i="2"/>
  <c r="K781" i="2"/>
  <c r="K824" i="2"/>
  <c r="K832" i="2"/>
  <c r="K857" i="2"/>
  <c r="K903" i="2"/>
  <c r="K905" i="2"/>
  <c r="K916" i="2"/>
  <c r="K964" i="2"/>
  <c r="K965" i="2"/>
  <c r="K1000" i="2"/>
  <c r="K1006" i="2"/>
  <c r="K1007" i="2"/>
  <c r="K1060" i="2"/>
  <c r="K1122" i="2"/>
  <c r="K1127" i="2"/>
  <c r="K1186" i="2"/>
  <c r="K1208" i="2"/>
  <c r="K1209" i="2"/>
  <c r="K1207" i="2"/>
  <c r="K617" i="2"/>
  <c r="K695" i="2"/>
  <c r="K755" i="2"/>
  <c r="K1055" i="2"/>
  <c r="K1160" i="2"/>
  <c r="K603" i="2"/>
  <c r="K604" i="2"/>
  <c r="K607" i="2"/>
  <c r="K608" i="2"/>
  <c r="K609" i="2"/>
  <c r="K610" i="2"/>
  <c r="K611" i="2"/>
  <c r="K612" i="2"/>
  <c r="K618" i="2"/>
  <c r="K634" i="2"/>
  <c r="K635" i="2"/>
  <c r="K636" i="2"/>
  <c r="K642" i="2"/>
  <c r="K657" i="2"/>
  <c r="K659" i="2"/>
  <c r="K660" i="2"/>
  <c r="K661" i="2"/>
  <c r="K662" i="2"/>
  <c r="K664" i="2"/>
  <c r="K666" i="2"/>
  <c r="K667" i="2"/>
  <c r="K668" i="2"/>
  <c r="K697" i="2"/>
  <c r="K708" i="2"/>
  <c r="K709" i="2"/>
  <c r="K710" i="2"/>
  <c r="K753" i="2"/>
  <c r="K786" i="2"/>
  <c r="K788" i="2"/>
  <c r="K789" i="2"/>
  <c r="K791" i="2"/>
  <c r="K827" i="2"/>
  <c r="K830" i="2"/>
  <c r="K860" i="2"/>
  <c r="K866" i="2"/>
  <c r="K867" i="2"/>
  <c r="K907" i="2"/>
  <c r="K911" i="2"/>
  <c r="K915" i="2"/>
  <c r="K939" i="2"/>
  <c r="K966" i="2"/>
  <c r="K1003" i="2"/>
  <c r="K1008" i="2"/>
  <c r="K1048" i="2"/>
  <c r="K1049" i="2"/>
  <c r="K1051" i="2"/>
  <c r="K1054" i="2"/>
  <c r="K1058" i="2"/>
  <c r="K1114" i="2"/>
  <c r="K1120" i="2"/>
  <c r="K1123" i="2"/>
  <c r="K1125" i="2"/>
  <c r="K756" i="2"/>
  <c r="K760" i="2"/>
  <c r="K792" i="2"/>
  <c r="K793" i="2"/>
  <c r="K796" i="2"/>
  <c r="K797" i="2"/>
  <c r="K800" i="2"/>
  <c r="K807" i="2"/>
  <c r="K810" i="2"/>
  <c r="K814" i="2"/>
  <c r="K835" i="2"/>
  <c r="K840" i="2"/>
  <c r="K842" i="2"/>
  <c r="K843" i="2"/>
  <c r="K848" i="2"/>
  <c r="K849" i="2"/>
  <c r="K850" i="2"/>
  <c r="K878" i="2"/>
  <c r="K879" i="2"/>
  <c r="K880" i="2"/>
  <c r="K885" i="2"/>
  <c r="K920" i="2"/>
  <c r="K921" i="2"/>
  <c r="K923" i="2"/>
  <c r="K924" i="2"/>
  <c r="K926" i="2"/>
  <c r="K944" i="2"/>
  <c r="K952" i="2"/>
  <c r="K957" i="2"/>
  <c r="K978" i="2"/>
  <c r="K979" i="2"/>
  <c r="K980" i="2"/>
  <c r="K982" i="2"/>
  <c r="K987" i="2"/>
  <c r="K1011" i="2"/>
  <c r="K1013" i="2"/>
  <c r="K1016" i="2"/>
  <c r="K1017" i="2"/>
  <c r="K1018" i="2"/>
  <c r="K1020" i="2"/>
  <c r="K1023" i="2"/>
  <c r="K1027" i="2"/>
  <c r="K1028" i="2"/>
  <c r="K1029" i="2"/>
  <c r="K1035" i="2"/>
  <c r="K1039" i="2"/>
  <c r="K1041" i="2"/>
  <c r="K1061" i="2"/>
  <c r="K1063" i="2"/>
  <c r="K1064" i="2"/>
  <c r="K1066" i="2"/>
  <c r="K1067" i="2"/>
  <c r="K1069" i="2"/>
  <c r="K1071" i="2"/>
  <c r="K1074" i="2"/>
  <c r="K1095" i="2"/>
  <c r="K1096" i="2"/>
  <c r="K1100" i="2"/>
  <c r="K1101" i="2"/>
  <c r="K1129" i="2"/>
  <c r="K1130" i="2"/>
  <c r="K1131" i="2"/>
  <c r="K1132" i="2"/>
  <c r="K1134" i="2"/>
  <c r="K1136" i="2"/>
  <c r="K1139" i="2"/>
  <c r="K1140" i="2"/>
  <c r="K1142" i="2"/>
  <c r="K1147" i="2"/>
  <c r="K1148" i="2"/>
  <c r="K1164" i="2"/>
  <c r="K1166" i="2"/>
  <c r="K1167" i="2"/>
  <c r="K1168" i="2"/>
  <c r="K1169" i="2"/>
  <c r="K1171" i="2"/>
  <c r="K1172" i="2"/>
  <c r="K1174" i="2"/>
  <c r="K1175" i="2"/>
  <c r="K1176" i="2"/>
  <c r="K1178" i="2"/>
  <c r="K1179" i="2"/>
  <c r="K1180" i="2"/>
  <c r="K1191" i="2"/>
  <c r="K1192" i="2"/>
  <c r="K1193" i="2"/>
  <c r="K1197" i="2"/>
  <c r="K1198" i="2"/>
  <c r="K1199" i="2"/>
  <c r="K1213" i="2"/>
  <c r="K1214" i="2"/>
  <c r="K1215" i="2"/>
  <c r="K1216" i="2"/>
  <c r="K1217" i="2"/>
  <c r="K1218" i="2"/>
  <c r="K1219" i="2"/>
  <c r="K1220" i="2"/>
  <c r="K1221" i="2"/>
  <c r="K1222" i="2"/>
  <c r="K1224" i="2"/>
  <c r="K1225" i="2"/>
  <c r="K1226" i="2"/>
  <c r="K1227" i="2"/>
  <c r="K1228" i="2"/>
  <c r="K1229" i="2"/>
  <c r="K1137" i="2"/>
  <c r="K1143" i="2"/>
  <c r="K1173" i="2"/>
  <c r="K1194" i="2"/>
  <c r="K1195" i="2"/>
  <c r="K801" i="2"/>
  <c r="K811" i="2"/>
  <c r="K950" i="2"/>
  <c r="K977" i="2"/>
  <c r="K989" i="2"/>
  <c r="K990" i="2"/>
  <c r="K1065" i="2"/>
  <c r="K757" i="2"/>
  <c r="K758" i="2"/>
  <c r="K763" i="2"/>
  <c r="K794" i="2"/>
  <c r="K802" i="2"/>
  <c r="K809" i="2"/>
  <c r="K838" i="2"/>
  <c r="K846" i="2"/>
  <c r="K847" i="2"/>
  <c r="K868" i="2"/>
  <c r="K876" i="2"/>
  <c r="K883" i="2"/>
  <c r="K884" i="2"/>
  <c r="K925" i="2"/>
  <c r="K928" i="2"/>
  <c r="K945" i="2"/>
  <c r="K947" i="2"/>
  <c r="K1026" i="2"/>
  <c r="K1062" i="2"/>
  <c r="K1146" i="2"/>
  <c r="K1097" i="2"/>
  <c r="K806" i="2"/>
  <c r="K983" i="2"/>
  <c r="K984" i="2"/>
  <c r="K1033" i="2"/>
  <c r="K1037" i="2"/>
  <c r="K1098" i="2"/>
  <c r="K1099" i="2"/>
  <c r="K1128" i="2"/>
  <c r="K1133" i="2"/>
  <c r="K1135" i="2"/>
  <c r="K1138" i="2"/>
  <c r="K1145" i="2"/>
  <c r="K1170" i="2"/>
  <c r="K1177" i="2"/>
  <c r="K759" i="2"/>
  <c r="K764" i="2"/>
  <c r="K808" i="2"/>
  <c r="K839" i="2"/>
  <c r="K844" i="2"/>
  <c r="K870" i="2"/>
  <c r="K873" i="2"/>
  <c r="K948" i="2"/>
  <c r="K953" i="2"/>
  <c r="K1015" i="2"/>
  <c r="K1032" i="2"/>
  <c r="K1072" i="2"/>
  <c r="K1102" i="2"/>
  <c r="K1144" i="2"/>
  <c r="K1223" i="2"/>
  <c r="K877" i="2"/>
  <c r="K951" i="2"/>
  <c r="K1021" i="2"/>
  <c r="K1196" i="2"/>
  <c r="K886" i="2"/>
  <c r="K954" i="2"/>
  <c r="K981" i="2"/>
  <c r="K985" i="2"/>
  <c r="K988" i="2"/>
  <c r="K1040" i="2"/>
  <c r="K1073" i="2"/>
  <c r="K1141" i="2"/>
  <c r="K761" i="2"/>
  <c r="K795" i="2"/>
  <c r="K798" i="2"/>
  <c r="K804" i="2"/>
  <c r="K812" i="2"/>
  <c r="K813" i="2"/>
  <c r="K845" i="2"/>
  <c r="K927" i="2"/>
  <c r="K949" i="2"/>
  <c r="K975" i="2"/>
  <c r="K1012" i="2"/>
  <c r="K1019" i="2"/>
  <c r="K1025" i="2"/>
  <c r="K1031" i="2"/>
  <c r="K1034" i="2"/>
  <c r="K1038" i="2"/>
  <c r="K1103" i="2"/>
  <c r="K1149" i="2"/>
  <c r="K686" i="2"/>
  <c r="K762" i="2"/>
  <c r="K765" i="2"/>
  <c r="K766" i="2"/>
  <c r="K799" i="2"/>
  <c r="K803" i="2"/>
  <c r="K805" i="2"/>
  <c r="K836" i="2"/>
  <c r="K837" i="2"/>
  <c r="K841" i="2"/>
  <c r="K869" i="2"/>
  <c r="K871" i="2"/>
  <c r="K872" i="2"/>
  <c r="K874" i="2"/>
  <c r="K875" i="2"/>
  <c r="K881" i="2"/>
  <c r="K882" i="2"/>
  <c r="K919" i="2"/>
  <c r="K922" i="2"/>
  <c r="K946" i="2"/>
  <c r="K955" i="2"/>
  <c r="K976" i="2"/>
  <c r="K986" i="2"/>
  <c r="K1014" i="2"/>
  <c r="K1022" i="2"/>
  <c r="K1024" i="2"/>
  <c r="K1030" i="2"/>
  <c r="K1036" i="2"/>
  <c r="K1068" i="2"/>
  <c r="K1070" i="2"/>
  <c r="J2" i="2"/>
  <c r="J3" i="2"/>
  <c r="J4" i="2"/>
  <c r="J124" i="2"/>
  <c r="J191" i="2"/>
  <c r="J537" i="2"/>
  <c r="J582" i="2"/>
  <c r="J621" i="2"/>
  <c r="J625" i="2"/>
  <c r="J741" i="2"/>
  <c r="J742" i="2"/>
  <c r="J747" i="2"/>
  <c r="J770" i="2"/>
  <c r="J772" i="2"/>
  <c r="J773" i="2"/>
  <c r="J777" i="2"/>
  <c r="J816" i="2"/>
  <c r="J823" i="2"/>
  <c r="J851" i="2"/>
  <c r="J854" i="2"/>
  <c r="J890" i="2"/>
  <c r="J893" i="2"/>
  <c r="J897" i="2"/>
  <c r="J931" i="2"/>
  <c r="J933" i="2"/>
  <c r="J934" i="2"/>
  <c r="J936" i="2"/>
  <c r="J958" i="2"/>
  <c r="J960" i="2"/>
  <c r="J961" i="2"/>
  <c r="J962" i="2"/>
  <c r="J963" i="2"/>
  <c r="J992" i="2"/>
  <c r="J995" i="2"/>
  <c r="J997" i="2"/>
  <c r="J1042" i="2"/>
  <c r="J1044" i="2"/>
  <c r="J1045" i="2"/>
  <c r="J1076" i="2"/>
  <c r="J1079" i="2"/>
  <c r="J1080" i="2"/>
  <c r="J1081" i="2"/>
  <c r="J1083" i="2"/>
  <c r="J1084" i="2"/>
  <c r="J1104" i="2"/>
  <c r="J1105" i="2"/>
  <c r="J1107" i="2"/>
  <c r="J1108" i="2"/>
  <c r="J1109" i="2"/>
  <c r="J1150" i="2"/>
  <c r="J1151" i="2"/>
  <c r="J1152" i="2"/>
  <c r="J1155" i="2"/>
  <c r="J1181" i="2"/>
  <c r="J1183" i="2"/>
  <c r="J1185" i="2"/>
  <c r="J1200" i="2"/>
  <c r="J1202" i="2"/>
  <c r="J1085" i="2"/>
  <c r="J7" i="2"/>
  <c r="J10" i="2"/>
  <c r="J13" i="2"/>
  <c r="J20" i="2"/>
  <c r="J21" i="2"/>
  <c r="J24" i="2"/>
  <c r="J25" i="2"/>
  <c r="J26" i="2"/>
  <c r="J28" i="2"/>
  <c r="J30" i="2"/>
  <c r="J35" i="2"/>
  <c r="J36" i="2"/>
  <c r="J44" i="2"/>
  <c r="J45" i="2"/>
  <c r="J73" i="2"/>
  <c r="J74" i="2"/>
  <c r="J78" i="2"/>
  <c r="J80" i="2"/>
  <c r="J81" i="2"/>
  <c r="J84" i="2"/>
  <c r="J89" i="2"/>
  <c r="J90" i="2"/>
  <c r="J92" i="2"/>
  <c r="J115" i="2"/>
  <c r="J122" i="2"/>
  <c r="J125" i="2"/>
  <c r="J129" i="2"/>
  <c r="J130" i="2"/>
  <c r="J131" i="2"/>
  <c r="J159" i="2"/>
  <c r="J163" i="2"/>
  <c r="J179" i="2"/>
  <c r="J180" i="2"/>
  <c r="J181" i="2"/>
  <c r="J188" i="2"/>
  <c r="J190" i="2"/>
  <c r="J192" i="2"/>
  <c r="J216" i="2"/>
  <c r="J217" i="2"/>
  <c r="J220" i="2"/>
  <c r="J225" i="2"/>
  <c r="J232" i="2"/>
  <c r="J234" i="2"/>
  <c r="J236" i="2"/>
  <c r="J237" i="2"/>
  <c r="J246" i="2"/>
  <c r="J247" i="2"/>
  <c r="J248" i="2"/>
  <c r="J249" i="2"/>
  <c r="J251" i="2"/>
  <c r="J252" i="2"/>
  <c r="J253" i="2"/>
  <c r="J254" i="2"/>
  <c r="J306" i="2"/>
  <c r="J307" i="2"/>
  <c r="J312" i="2"/>
  <c r="J343" i="2"/>
  <c r="J344" i="2"/>
  <c r="J351" i="2"/>
  <c r="J363" i="2"/>
  <c r="J367" i="2"/>
  <c r="J370" i="2"/>
  <c r="J375" i="2"/>
  <c r="J394" i="2"/>
  <c r="J403" i="2"/>
  <c r="J405" i="2"/>
  <c r="J407" i="2"/>
  <c r="J409" i="2"/>
  <c r="J429" i="2"/>
  <c r="J431" i="2"/>
  <c r="J442" i="2"/>
  <c r="J462" i="2"/>
  <c r="J463" i="2"/>
  <c r="J465" i="2"/>
  <c r="J467" i="2"/>
  <c r="J468" i="2"/>
  <c r="J470" i="2"/>
  <c r="J474" i="2"/>
  <c r="J475" i="2"/>
  <c r="J477" i="2"/>
  <c r="J478" i="2"/>
  <c r="J482" i="2"/>
  <c r="J483" i="2"/>
  <c r="J509" i="2"/>
  <c r="J514" i="2"/>
  <c r="J517" i="2"/>
  <c r="J536" i="2"/>
  <c r="J549" i="2"/>
  <c r="J551" i="2"/>
  <c r="J553" i="2"/>
  <c r="J563" i="2"/>
  <c r="J565" i="2"/>
  <c r="J566" i="2"/>
  <c r="J568" i="2"/>
  <c r="J580" i="2"/>
  <c r="J593" i="2"/>
  <c r="J622" i="2"/>
  <c r="J624" i="2"/>
  <c r="J626" i="2"/>
  <c r="J627" i="2"/>
  <c r="J645" i="2"/>
  <c r="J646" i="2"/>
  <c r="J680" i="2"/>
  <c r="J684" i="2"/>
  <c r="J698" i="2"/>
  <c r="J699" i="2"/>
  <c r="J700" i="2"/>
  <c r="J701" i="2"/>
  <c r="J716" i="2"/>
  <c r="J717" i="2"/>
  <c r="J727" i="2"/>
  <c r="J728" i="2"/>
  <c r="J729" i="2"/>
  <c r="J731" i="2"/>
  <c r="J734" i="2"/>
  <c r="J737" i="2"/>
  <c r="J738" i="2"/>
  <c r="J739" i="2"/>
  <c r="J740" i="2"/>
  <c r="J744" i="2"/>
  <c r="J745" i="2"/>
  <c r="J746" i="2"/>
  <c r="J750" i="2"/>
  <c r="J767" i="2"/>
  <c r="J768" i="2"/>
  <c r="J769" i="2"/>
  <c r="J771" i="2"/>
  <c r="J774" i="2"/>
  <c r="J779" i="2"/>
  <c r="J817" i="2"/>
  <c r="J818" i="2"/>
  <c r="J819" i="2"/>
  <c r="J820" i="2"/>
  <c r="J822" i="2"/>
  <c r="J853" i="2"/>
  <c r="J891" i="2"/>
  <c r="J930" i="2"/>
  <c r="J935" i="2"/>
  <c r="J937" i="2"/>
  <c r="J938" i="2"/>
  <c r="J940" i="2"/>
  <c r="J959" i="2"/>
  <c r="J33" i="2"/>
  <c r="J37" i="2"/>
  <c r="J42" i="2"/>
  <c r="J1153" i="2"/>
  <c r="J1154" i="2"/>
  <c r="J1157" i="2"/>
  <c r="J1078" i="2"/>
  <c r="J1106" i="2"/>
  <c r="J649" i="2"/>
  <c r="J682" i="2"/>
  <c r="J713" i="2"/>
  <c r="J715" i="2"/>
  <c r="J743" i="2"/>
  <c r="J775" i="2"/>
  <c r="J778" i="2"/>
  <c r="J855" i="2"/>
  <c r="J887" i="2"/>
  <c r="J888" i="2"/>
  <c r="J892" i="2"/>
  <c r="J895" i="2"/>
  <c r="J896" i="2"/>
  <c r="J900" i="2"/>
  <c r="J929" i="2"/>
  <c r="J932" i="2"/>
  <c r="J993" i="2"/>
  <c r="J996" i="2"/>
  <c r="J998" i="2"/>
  <c r="J999" i="2"/>
  <c r="J1110" i="2"/>
  <c r="J1111" i="2"/>
  <c r="J1201" i="2"/>
  <c r="J1077" i="2"/>
  <c r="J994" i="2"/>
  <c r="J1075" i="2"/>
  <c r="J1082" i="2"/>
  <c r="J899" i="2"/>
  <c r="J1043" i="2"/>
  <c r="J1156" i="2"/>
  <c r="J1184" i="2"/>
  <c r="J991" i="2"/>
  <c r="J11" i="2"/>
  <c r="J17" i="2"/>
  <c r="J18" i="2"/>
  <c r="J22" i="2"/>
  <c r="J23" i="2"/>
  <c r="J27" i="2"/>
  <c r="J29" i="2"/>
  <c r="J31" i="2"/>
  <c r="J32" i="2"/>
  <c r="J34" i="2"/>
  <c r="J38" i="2"/>
  <c r="J39" i="2"/>
  <c r="J40" i="2"/>
  <c r="J41" i="2"/>
  <c r="J43" i="2"/>
  <c r="J75" i="2"/>
  <c r="J76" i="2"/>
  <c r="J77" i="2"/>
  <c r="J79" i="2"/>
  <c r="J82" i="2"/>
  <c r="J83" i="2"/>
  <c r="J85" i="2"/>
  <c r="J86" i="2"/>
  <c r="J87" i="2"/>
  <c r="J88" i="2"/>
  <c r="J91" i="2"/>
  <c r="J93" i="2"/>
  <c r="J94" i="2"/>
  <c r="J110" i="2"/>
  <c r="J111" i="2"/>
  <c r="J112" i="2"/>
  <c r="J113" i="2"/>
  <c r="J114" i="2"/>
  <c r="J116" i="2"/>
  <c r="J117" i="2"/>
  <c r="J118" i="2"/>
  <c r="J119" i="2"/>
  <c r="J120" i="2"/>
  <c r="J121" i="2"/>
  <c r="J123" i="2"/>
  <c r="J126" i="2"/>
  <c r="J127" i="2"/>
  <c r="J128" i="2"/>
  <c r="J152" i="2"/>
  <c r="J153" i="2"/>
  <c r="J154" i="2"/>
  <c r="J155" i="2"/>
  <c r="J156" i="2"/>
  <c r="J157" i="2"/>
  <c r="J158" i="2"/>
  <c r="J160" i="2"/>
  <c r="J161" i="2"/>
  <c r="J162" i="2"/>
  <c r="J178" i="2"/>
  <c r="J182" i="2"/>
  <c r="J183" i="2"/>
  <c r="J184" i="2"/>
  <c r="J185" i="2"/>
  <c r="J186" i="2"/>
  <c r="J187" i="2"/>
  <c r="J189" i="2"/>
  <c r="J193" i="2"/>
  <c r="J194" i="2"/>
  <c r="J195" i="2"/>
  <c r="J196" i="2"/>
  <c r="J218" i="2"/>
  <c r="J219" i="2"/>
  <c r="J221" i="2"/>
  <c r="J222" i="2"/>
  <c r="J223" i="2"/>
  <c r="J224" i="2"/>
  <c r="J226" i="2"/>
  <c r="J227" i="2"/>
  <c r="J228" i="2"/>
  <c r="J229" i="2"/>
  <c r="J230" i="2"/>
  <c r="J231" i="2"/>
  <c r="J233" i="2"/>
  <c r="J239" i="2"/>
  <c r="J240" i="2"/>
  <c r="J241" i="2"/>
  <c r="J242" i="2"/>
  <c r="J243" i="2"/>
  <c r="J244" i="2"/>
  <c r="J245" i="2"/>
  <c r="J250" i="2"/>
  <c r="J255" i="2"/>
  <c r="J256" i="2"/>
  <c r="J257" i="2"/>
  <c r="J308" i="2"/>
  <c r="J310" i="2"/>
  <c r="J311" i="2"/>
  <c r="J313" i="2"/>
  <c r="J314" i="2"/>
  <c r="J315" i="2"/>
  <c r="J316" i="2"/>
  <c r="J317" i="2"/>
  <c r="J318" i="2"/>
  <c r="J319" i="2"/>
  <c r="J320" i="2"/>
  <c r="J321" i="2"/>
  <c r="J340" i="2"/>
  <c r="J341" i="2"/>
  <c r="J342" i="2"/>
  <c r="J345" i="2"/>
  <c r="J346" i="2"/>
  <c r="J347" i="2"/>
  <c r="J348" i="2"/>
  <c r="J349" i="2"/>
  <c r="J350" i="2"/>
  <c r="J362" i="2"/>
  <c r="J364" i="2"/>
  <c r="J365" i="2"/>
  <c r="J366" i="2"/>
  <c r="J368" i="2"/>
  <c r="J369" i="2"/>
  <c r="J371" i="2"/>
  <c r="J372" i="2"/>
  <c r="J373" i="2"/>
  <c r="J374" i="2"/>
  <c r="J393" i="2"/>
  <c r="J395" i="2"/>
  <c r="J397" i="2"/>
  <c r="J398" i="2"/>
  <c r="J399" i="2"/>
  <c r="J400" i="2"/>
  <c r="J401" i="2"/>
  <c r="J404" i="2"/>
  <c r="J406" i="2"/>
  <c r="J408" i="2"/>
  <c r="J410" i="2"/>
  <c r="J427" i="2"/>
  <c r="J428" i="2"/>
  <c r="J430" i="2"/>
  <c r="J432" i="2"/>
  <c r="J433" i="2"/>
  <c r="J434" i="2"/>
  <c r="J435" i="2"/>
  <c r="J436" i="2"/>
  <c r="J437" i="2"/>
  <c r="J438" i="2"/>
  <c r="J439" i="2"/>
  <c r="J440" i="2"/>
  <c r="J441" i="2"/>
  <c r="J464" i="2"/>
  <c r="J466" i="2"/>
  <c r="J469" i="2"/>
  <c r="J471" i="2"/>
  <c r="J472" i="2"/>
  <c r="J473" i="2"/>
  <c r="J476" i="2"/>
  <c r="J479" i="2"/>
  <c r="J480" i="2"/>
  <c r="J481" i="2"/>
  <c r="J504" i="2"/>
  <c r="J505" i="2"/>
  <c r="J506" i="2"/>
  <c r="J507" i="2"/>
  <c r="J508" i="2"/>
  <c r="J510" i="2"/>
  <c r="J511" i="2"/>
  <c r="J512" i="2"/>
  <c r="J513" i="2"/>
  <c r="J515" i="2"/>
  <c r="J516" i="2"/>
  <c r="J518" i="2"/>
  <c r="J534" i="2"/>
  <c r="J535" i="2"/>
  <c r="J538" i="2"/>
  <c r="J539" i="2"/>
  <c r="J540" i="2"/>
  <c r="J547" i="2"/>
  <c r="J548" i="2"/>
  <c r="J550" i="2"/>
  <c r="J552" i="2"/>
  <c r="J562" i="2"/>
  <c r="J564" i="2"/>
  <c r="J567" i="2"/>
  <c r="J569" i="2"/>
  <c r="J581" i="2"/>
  <c r="J583" i="2"/>
  <c r="J584" i="2"/>
  <c r="J585" i="2"/>
  <c r="J586" i="2"/>
  <c r="J587" i="2"/>
  <c r="J588" i="2"/>
  <c r="J589" i="2"/>
  <c r="J590" i="2"/>
  <c r="J591" i="2"/>
  <c r="J592" i="2"/>
  <c r="J594" i="2"/>
  <c r="J595" i="2"/>
  <c r="J620" i="2"/>
  <c r="J623" i="2"/>
  <c r="J643" i="2"/>
  <c r="J644" i="2"/>
  <c r="J647" i="2"/>
  <c r="J648" i="2"/>
  <c r="J681" i="2"/>
  <c r="J683" i="2"/>
  <c r="J685" i="2"/>
  <c r="J714" i="2"/>
  <c r="J730" i="2"/>
  <c r="J732" i="2"/>
  <c r="J733" i="2"/>
  <c r="J735" i="2"/>
  <c r="J736" i="2"/>
  <c r="J748" i="2"/>
  <c r="J749" i="2"/>
  <c r="J776" i="2"/>
  <c r="J780" i="2"/>
  <c r="J815" i="2"/>
  <c r="J821" i="2"/>
  <c r="J852" i="2"/>
  <c r="J889" i="2"/>
  <c r="J894" i="2"/>
  <c r="J898" i="2"/>
  <c r="J901" i="2"/>
  <c r="J1182" i="2"/>
  <c r="J6" i="2"/>
  <c r="J9" i="2"/>
  <c r="J14" i="2"/>
  <c r="J15" i="2"/>
  <c r="J19" i="2"/>
  <c r="J235" i="2"/>
  <c r="J238" i="2"/>
  <c r="J203" i="2"/>
  <c r="J208" i="2"/>
  <c r="J383" i="2"/>
  <c r="J532" i="2"/>
  <c r="J722" i="2"/>
  <c r="J8" i="2"/>
  <c r="J12" i="2"/>
  <c r="J49" i="2"/>
  <c r="J52" i="2"/>
  <c r="J54" i="2"/>
  <c r="J55" i="2"/>
  <c r="J58" i="2"/>
  <c r="J62" i="2"/>
  <c r="J70" i="2"/>
  <c r="J96" i="2"/>
  <c r="J98" i="2"/>
  <c r="J103" i="2"/>
  <c r="J107" i="2"/>
  <c r="J109" i="2"/>
  <c r="J133" i="2"/>
  <c r="J134" i="2"/>
  <c r="J136" i="2"/>
  <c r="J137" i="2"/>
  <c r="J138" i="2"/>
  <c r="J140" i="2"/>
  <c r="J141" i="2"/>
  <c r="J148" i="2"/>
  <c r="J149" i="2"/>
  <c r="J150" i="2"/>
  <c r="J168" i="2"/>
  <c r="J170" i="2"/>
  <c r="J172" i="2"/>
  <c r="J176" i="2"/>
  <c r="J200" i="2"/>
  <c r="J206" i="2"/>
  <c r="J209" i="2"/>
  <c r="J210" i="2"/>
  <c r="J212" i="2"/>
  <c r="J260" i="2"/>
  <c r="J267" i="2"/>
  <c r="J273" i="2"/>
  <c r="J274" i="2"/>
  <c r="J277" i="2"/>
  <c r="J279" i="2"/>
  <c r="J280" i="2"/>
  <c r="J281" i="2"/>
  <c r="J285" i="2"/>
  <c r="J286" i="2"/>
  <c r="J287" i="2"/>
  <c r="J292" i="2"/>
  <c r="J294" i="2"/>
  <c r="J295" i="2"/>
  <c r="J296" i="2"/>
  <c r="J297" i="2"/>
  <c r="J298" i="2"/>
  <c r="J299" i="2"/>
  <c r="J301" i="2"/>
  <c r="J302" i="2"/>
  <c r="J305" i="2"/>
  <c r="J309" i="2"/>
  <c r="J323" i="2"/>
  <c r="J326" i="2"/>
  <c r="J329" i="2"/>
  <c r="J331" i="2"/>
  <c r="J356" i="2"/>
  <c r="J377" i="2"/>
  <c r="J378" i="2"/>
  <c r="J379" i="2"/>
  <c r="J381" i="2"/>
  <c r="J389" i="2"/>
  <c r="J411" i="2"/>
  <c r="J412" i="2"/>
  <c r="J414" i="2"/>
  <c r="J417" i="2"/>
  <c r="J422" i="2"/>
  <c r="J425" i="2"/>
  <c r="J426" i="2"/>
  <c r="J448" i="2"/>
  <c r="J449" i="2"/>
  <c r="J450" i="2"/>
  <c r="J452" i="2"/>
  <c r="J453" i="2"/>
  <c r="J454" i="2"/>
  <c r="J455" i="2"/>
  <c r="J458" i="2"/>
  <c r="J487" i="2"/>
  <c r="J490" i="2"/>
  <c r="J493" i="2"/>
  <c r="J494" i="2"/>
  <c r="J498" i="2"/>
  <c r="J500" i="2"/>
  <c r="J501" i="2"/>
  <c r="J529" i="2"/>
  <c r="J542" i="2"/>
  <c r="J546" i="2"/>
  <c r="J555" i="2"/>
  <c r="J559" i="2"/>
  <c r="J560" i="2"/>
  <c r="J578" i="2"/>
  <c r="J600" i="2"/>
  <c r="J630" i="2"/>
  <c r="J651" i="2"/>
  <c r="J655" i="2"/>
  <c r="J669" i="2"/>
  <c r="J674" i="2"/>
  <c r="J677" i="2"/>
  <c r="J687" i="2"/>
  <c r="J689" i="2"/>
  <c r="J690" i="2"/>
  <c r="J692" i="2"/>
  <c r="J693" i="2"/>
  <c r="J723" i="2"/>
  <c r="J485" i="2"/>
  <c r="J544" i="2"/>
  <c r="J597" i="2"/>
  <c r="J656" i="2"/>
  <c r="J706" i="2"/>
  <c r="J707" i="2"/>
  <c r="J688" i="2"/>
  <c r="J702" i="2"/>
  <c r="J704" i="2"/>
  <c r="J705" i="2"/>
  <c r="J719" i="2"/>
  <c r="J720" i="2"/>
  <c r="J484" i="2"/>
  <c r="J533" i="2"/>
  <c r="J631" i="2"/>
  <c r="J5" i="2"/>
  <c r="J16" i="2"/>
  <c r="J46" i="2"/>
  <c r="J47" i="2"/>
  <c r="J48" i="2"/>
  <c r="J50" i="2"/>
  <c r="J51" i="2"/>
  <c r="J53" i="2"/>
  <c r="J56" i="2"/>
  <c r="J57" i="2"/>
  <c r="J59" i="2"/>
  <c r="J60" i="2"/>
  <c r="J61" i="2"/>
  <c r="J63" i="2"/>
  <c r="J64" i="2"/>
  <c r="J65" i="2"/>
  <c r="J66" i="2"/>
  <c r="J67" i="2"/>
  <c r="J68" i="2"/>
  <c r="J69" i="2"/>
  <c r="J71" i="2"/>
  <c r="J95" i="2"/>
  <c r="J97" i="2"/>
  <c r="J99" i="2"/>
  <c r="J100" i="2"/>
  <c r="J101" i="2"/>
  <c r="J102" i="2"/>
  <c r="J104" i="2"/>
  <c r="J105" i="2"/>
  <c r="J106" i="2"/>
  <c r="J108" i="2"/>
  <c r="J132" i="2"/>
  <c r="J135" i="2"/>
  <c r="J139" i="2"/>
  <c r="J142" i="2"/>
  <c r="J143" i="2"/>
  <c r="J144" i="2"/>
  <c r="J145" i="2"/>
  <c r="J146" i="2"/>
  <c r="J147" i="2"/>
  <c r="J151" i="2"/>
  <c r="J164" i="2"/>
  <c r="J165" i="2"/>
  <c r="J166" i="2"/>
  <c r="J167" i="2"/>
  <c r="J169" i="2"/>
  <c r="J171" i="2"/>
  <c r="J173" i="2"/>
  <c r="J174" i="2"/>
  <c r="J175" i="2"/>
  <c r="J177" i="2"/>
  <c r="J197" i="2"/>
  <c r="J198" i="2"/>
  <c r="J199" i="2"/>
  <c r="J201" i="2"/>
  <c r="J202" i="2"/>
  <c r="J204" i="2"/>
  <c r="J205" i="2"/>
  <c r="J207" i="2"/>
  <c r="J211" i="2"/>
  <c r="J213" i="2"/>
  <c r="J214" i="2"/>
  <c r="J215" i="2"/>
  <c r="J258" i="2"/>
  <c r="J259" i="2"/>
  <c r="J261" i="2"/>
  <c r="J262" i="2"/>
  <c r="J263" i="2"/>
  <c r="J264" i="2"/>
  <c r="J265" i="2"/>
  <c r="J266" i="2"/>
  <c r="J268" i="2"/>
  <c r="J269" i="2"/>
  <c r="J270" i="2"/>
  <c r="J271" i="2"/>
  <c r="J272" i="2"/>
  <c r="J275" i="2"/>
  <c r="J276" i="2"/>
  <c r="J278" i="2"/>
  <c r="J282" i="2"/>
  <c r="J283" i="2"/>
  <c r="J284" i="2"/>
  <c r="J288" i="2"/>
  <c r="J289" i="2"/>
  <c r="J290" i="2"/>
  <c r="J291" i="2"/>
  <c r="J293" i="2"/>
  <c r="J300" i="2"/>
  <c r="J303" i="2"/>
  <c r="J304" i="2"/>
  <c r="J322" i="2"/>
  <c r="J324" i="2"/>
  <c r="J325" i="2"/>
  <c r="J327" i="2"/>
  <c r="J328" i="2"/>
  <c r="J330" i="2"/>
  <c r="J332" i="2"/>
  <c r="J333" i="2"/>
  <c r="J334" i="2"/>
  <c r="J335" i="2"/>
  <c r="J336" i="2"/>
  <c r="J337" i="2"/>
  <c r="J338" i="2"/>
  <c r="J339" i="2"/>
  <c r="J352" i="2"/>
  <c r="J353" i="2"/>
  <c r="J354" i="2"/>
  <c r="J355" i="2"/>
  <c r="J357" i="2"/>
  <c r="J358" i="2"/>
  <c r="J359" i="2"/>
  <c r="J360" i="2"/>
  <c r="J361" i="2"/>
  <c r="J376" i="2"/>
  <c r="J380" i="2"/>
  <c r="J382" i="2"/>
  <c r="J384" i="2"/>
  <c r="J385" i="2"/>
  <c r="J386" i="2"/>
  <c r="J387" i="2"/>
  <c r="J388" i="2"/>
  <c r="J390" i="2"/>
  <c r="J391" i="2"/>
  <c r="J392" i="2"/>
  <c r="J396" i="2"/>
  <c r="J402" i="2"/>
  <c r="J413" i="2"/>
  <c r="J415" i="2"/>
  <c r="J416" i="2"/>
  <c r="J418" i="2"/>
  <c r="J419" i="2"/>
  <c r="J420" i="2"/>
  <c r="J421" i="2"/>
  <c r="J423" i="2"/>
  <c r="J424" i="2"/>
  <c r="J443" i="2"/>
  <c r="J444" i="2"/>
  <c r="J445" i="2"/>
  <c r="J446" i="2"/>
  <c r="J447" i="2"/>
  <c r="J451" i="2"/>
  <c r="J456" i="2"/>
  <c r="J457" i="2"/>
  <c r="J459" i="2"/>
  <c r="J460" i="2"/>
  <c r="J461" i="2"/>
  <c r="J486" i="2"/>
  <c r="J488" i="2"/>
  <c r="J489" i="2"/>
  <c r="J491" i="2"/>
  <c r="J492" i="2"/>
  <c r="J495" i="2"/>
  <c r="J496" i="2"/>
  <c r="J497" i="2"/>
  <c r="J499" i="2"/>
  <c r="J502" i="2"/>
  <c r="J503" i="2"/>
  <c r="J519" i="2"/>
  <c r="J520" i="2"/>
  <c r="J521" i="2"/>
  <c r="J522" i="2"/>
  <c r="J523" i="2"/>
  <c r="J524" i="2"/>
  <c r="J525" i="2"/>
  <c r="J526" i="2"/>
  <c r="J527" i="2"/>
  <c r="J528" i="2"/>
  <c r="J530" i="2"/>
  <c r="J541" i="2"/>
  <c r="J543" i="2"/>
  <c r="J545" i="2"/>
  <c r="J554" i="2"/>
  <c r="J556" i="2"/>
  <c r="J557" i="2"/>
  <c r="J558" i="2"/>
  <c r="J561" i="2"/>
  <c r="J570" i="2"/>
  <c r="J571" i="2"/>
  <c r="J572" i="2"/>
  <c r="J573" i="2"/>
  <c r="J574" i="2"/>
  <c r="J575" i="2"/>
  <c r="J576" i="2"/>
  <c r="J577" i="2"/>
  <c r="J579" i="2"/>
  <c r="J596" i="2"/>
  <c r="J598" i="2"/>
  <c r="J599" i="2"/>
  <c r="J601" i="2"/>
  <c r="J602" i="2"/>
  <c r="J628" i="2"/>
  <c r="J629" i="2"/>
  <c r="J632" i="2"/>
  <c r="J633" i="2"/>
  <c r="J650" i="2"/>
  <c r="J652" i="2"/>
  <c r="J653" i="2"/>
  <c r="J654" i="2"/>
  <c r="J670" i="2"/>
  <c r="J671" i="2"/>
  <c r="J672" i="2"/>
  <c r="J673" i="2"/>
  <c r="J675" i="2"/>
  <c r="J676" i="2"/>
  <c r="J678" i="2"/>
  <c r="J679" i="2"/>
  <c r="J691" i="2"/>
  <c r="J703" i="2"/>
  <c r="J718" i="2"/>
  <c r="J721" i="2"/>
  <c r="J724" i="2"/>
  <c r="J726" i="2"/>
  <c r="J72" i="2"/>
  <c r="J712" i="2"/>
  <c r="J751" i="2"/>
  <c r="J754" i="2"/>
  <c r="J782" i="2"/>
  <c r="J787" i="2"/>
  <c r="J790" i="2"/>
  <c r="J826" i="2"/>
  <c r="J829" i="2"/>
  <c r="J833" i="2"/>
  <c r="J856" i="2"/>
  <c r="J902" i="2"/>
  <c r="J904" i="2"/>
  <c r="J908" i="2"/>
  <c r="J912" i="2"/>
  <c r="J913" i="2"/>
  <c r="J914" i="2"/>
  <c r="J941" i="2"/>
  <c r="J943" i="2"/>
  <c r="J967" i="2"/>
  <c r="J968" i="2"/>
  <c r="J970" i="2"/>
  <c r="J971" i="2"/>
  <c r="J972" i="2"/>
  <c r="J973" i="2"/>
  <c r="J974" i="2"/>
  <c r="J1001" i="2"/>
  <c r="J1004" i="2"/>
  <c r="J1009" i="2"/>
  <c r="J1010" i="2"/>
  <c r="J1050" i="2"/>
  <c r="J1052" i="2"/>
  <c r="J1053" i="2"/>
  <c r="J1056" i="2"/>
  <c r="J1057" i="2"/>
  <c r="J1059" i="2"/>
  <c r="J1086" i="2"/>
  <c r="J1087" i="2"/>
  <c r="J1088" i="2"/>
  <c r="J1089" i="2"/>
  <c r="J1090" i="2"/>
  <c r="J1091" i="2"/>
  <c r="J1093" i="2"/>
  <c r="J1112" i="2"/>
  <c r="J1115" i="2"/>
  <c r="J1116" i="2"/>
  <c r="J1117" i="2"/>
  <c r="J1118" i="2"/>
  <c r="J1124" i="2"/>
  <c r="J1126" i="2"/>
  <c r="J1158" i="2"/>
  <c r="J1161" i="2"/>
  <c r="J1163" i="2"/>
  <c r="J1165" i="2"/>
  <c r="J1187" i="2"/>
  <c r="J1188" i="2"/>
  <c r="J1189" i="2"/>
  <c r="J1190" i="2"/>
  <c r="J1203" i="2"/>
  <c r="J1204" i="2"/>
  <c r="J1205" i="2"/>
  <c r="J1206" i="2"/>
  <c r="J1210" i="2"/>
  <c r="J1211" i="2"/>
  <c r="J1212" i="2"/>
  <c r="J1119" i="2"/>
  <c r="J910" i="2"/>
  <c r="J942" i="2"/>
  <c r="J1047" i="2"/>
  <c r="J531" i="2"/>
  <c r="J605" i="2"/>
  <c r="J606" i="2"/>
  <c r="J613" i="2"/>
  <c r="J614" i="2"/>
  <c r="J615" i="2"/>
  <c r="J616" i="2"/>
  <c r="J619" i="2"/>
  <c r="J637" i="2"/>
  <c r="J638" i="2"/>
  <c r="J639" i="2"/>
  <c r="J640" i="2"/>
  <c r="J641" i="2"/>
  <c r="J658" i="2"/>
  <c r="J663" i="2"/>
  <c r="J665" i="2"/>
  <c r="J696" i="2"/>
  <c r="J711" i="2"/>
  <c r="J725" i="2"/>
  <c r="J752" i="2"/>
  <c r="J783" i="2"/>
  <c r="J784" i="2"/>
  <c r="J785" i="2"/>
  <c r="J825" i="2"/>
  <c r="J828" i="2"/>
  <c r="J831" i="2"/>
  <c r="J834" i="2"/>
  <c r="J858" i="2"/>
  <c r="J859" i="2"/>
  <c r="J861" i="2"/>
  <c r="J862" i="2"/>
  <c r="J863" i="2"/>
  <c r="J864" i="2"/>
  <c r="J865" i="2"/>
  <c r="J906" i="2"/>
  <c r="J909" i="2"/>
  <c r="J917" i="2"/>
  <c r="J918" i="2"/>
  <c r="J1002" i="2"/>
  <c r="J1046" i="2"/>
  <c r="J1092" i="2"/>
  <c r="J1094" i="2"/>
  <c r="J1159" i="2"/>
  <c r="J1162" i="2"/>
  <c r="J1121" i="2"/>
  <c r="J1005" i="2"/>
  <c r="J1113" i="2"/>
  <c r="J694" i="2"/>
  <c r="J781" i="2"/>
  <c r="J824" i="2"/>
  <c r="J832" i="2"/>
  <c r="J857" i="2"/>
  <c r="J903" i="2"/>
  <c r="J905" i="2"/>
  <c r="J916" i="2"/>
  <c r="J964" i="2"/>
  <c r="J965" i="2"/>
  <c r="J1000" i="2"/>
  <c r="J1006" i="2"/>
  <c r="J1007" i="2"/>
  <c r="J1060" i="2"/>
  <c r="J1122" i="2"/>
  <c r="J1127" i="2"/>
  <c r="J1186" i="2"/>
  <c r="J1208" i="2"/>
  <c r="J1209" i="2"/>
  <c r="J1207" i="2"/>
  <c r="J617" i="2"/>
  <c r="J695" i="2"/>
  <c r="J755" i="2"/>
  <c r="J1055" i="2"/>
  <c r="J1160" i="2"/>
  <c r="J603" i="2"/>
  <c r="J604" i="2"/>
  <c r="J607" i="2"/>
  <c r="J608" i="2"/>
  <c r="J609" i="2"/>
  <c r="J610" i="2"/>
  <c r="J611" i="2"/>
  <c r="J612" i="2"/>
  <c r="J618" i="2"/>
  <c r="J634" i="2"/>
  <c r="J635" i="2"/>
  <c r="J636" i="2"/>
  <c r="J642" i="2"/>
  <c r="J657" i="2"/>
  <c r="J659" i="2"/>
  <c r="J660" i="2"/>
  <c r="J661" i="2"/>
  <c r="J662" i="2"/>
  <c r="J664" i="2"/>
  <c r="J666" i="2"/>
  <c r="J667" i="2"/>
  <c r="J668" i="2"/>
  <c r="J697" i="2"/>
  <c r="J708" i="2"/>
  <c r="J709" i="2"/>
  <c r="J710" i="2"/>
  <c r="J753" i="2"/>
  <c r="J786" i="2"/>
  <c r="J788" i="2"/>
  <c r="J789" i="2"/>
  <c r="J791" i="2"/>
  <c r="J827" i="2"/>
  <c r="J830" i="2"/>
  <c r="J860" i="2"/>
  <c r="J866" i="2"/>
  <c r="J867" i="2"/>
  <c r="J907" i="2"/>
  <c r="J911" i="2"/>
  <c r="J915" i="2"/>
  <c r="J939" i="2"/>
  <c r="J966" i="2"/>
  <c r="J1003" i="2"/>
  <c r="J1008" i="2"/>
  <c r="J1048" i="2"/>
  <c r="J1049" i="2"/>
  <c r="J1051" i="2"/>
  <c r="J1054" i="2"/>
  <c r="J1058" i="2"/>
  <c r="J1114" i="2"/>
  <c r="J1120" i="2"/>
  <c r="J1123" i="2"/>
  <c r="J1125" i="2"/>
  <c r="J756" i="2"/>
  <c r="J760" i="2"/>
  <c r="J792" i="2"/>
  <c r="J793" i="2"/>
  <c r="J796" i="2"/>
  <c r="J797" i="2"/>
  <c r="J800" i="2"/>
  <c r="J807" i="2"/>
  <c r="J810" i="2"/>
  <c r="J814" i="2"/>
  <c r="J835" i="2"/>
  <c r="J842" i="2"/>
  <c r="J843" i="2"/>
  <c r="J848" i="2"/>
  <c r="J849" i="2"/>
  <c r="J850" i="2"/>
  <c r="J878" i="2"/>
  <c r="J879" i="2"/>
  <c r="J880" i="2"/>
  <c r="J885" i="2"/>
  <c r="J920" i="2"/>
  <c r="J921" i="2"/>
  <c r="J923" i="2"/>
  <c r="J924" i="2"/>
  <c r="J926" i="2"/>
  <c r="J944" i="2"/>
  <c r="J952" i="2"/>
  <c r="J957" i="2"/>
  <c r="J978" i="2"/>
  <c r="J979" i="2"/>
  <c r="J980" i="2"/>
  <c r="J982" i="2"/>
  <c r="J987" i="2"/>
  <c r="J1011" i="2"/>
  <c r="J1013" i="2"/>
  <c r="J1016" i="2"/>
  <c r="J1017" i="2"/>
  <c r="J1018" i="2"/>
  <c r="J1020" i="2"/>
  <c r="J1023" i="2"/>
  <c r="J1027" i="2"/>
  <c r="J1028" i="2"/>
  <c r="J1029" i="2"/>
  <c r="J1035" i="2"/>
  <c r="J1039" i="2"/>
  <c r="J1041" i="2"/>
  <c r="J1061" i="2"/>
  <c r="J1063" i="2"/>
  <c r="J1064" i="2"/>
  <c r="J1066" i="2"/>
  <c r="J1067" i="2"/>
  <c r="J1069" i="2"/>
  <c r="J1071" i="2"/>
  <c r="J1074" i="2"/>
  <c r="J1095" i="2"/>
  <c r="J1096" i="2"/>
  <c r="J1100" i="2"/>
  <c r="J1101" i="2"/>
  <c r="J1129" i="2"/>
  <c r="J1130" i="2"/>
  <c r="J1131" i="2"/>
  <c r="J1132" i="2"/>
  <c r="J1134" i="2"/>
  <c r="J1136" i="2"/>
  <c r="J1139" i="2"/>
  <c r="J1140" i="2"/>
  <c r="J1142" i="2"/>
  <c r="J1147" i="2"/>
  <c r="J1148" i="2"/>
  <c r="J1164" i="2"/>
  <c r="J1166" i="2"/>
  <c r="J1167" i="2"/>
  <c r="J1168" i="2"/>
  <c r="J1169" i="2"/>
  <c r="J1171" i="2"/>
  <c r="J1172" i="2"/>
  <c r="J1174" i="2"/>
  <c r="J1175" i="2"/>
  <c r="J1176" i="2"/>
  <c r="J1178" i="2"/>
  <c r="J1179" i="2"/>
  <c r="J1180" i="2"/>
  <c r="J1191" i="2"/>
  <c r="J1192" i="2"/>
  <c r="J1193" i="2"/>
  <c r="J1197" i="2"/>
  <c r="J1198" i="2"/>
  <c r="J1199" i="2"/>
  <c r="J1213" i="2"/>
  <c r="J1214" i="2"/>
  <c r="J1215" i="2"/>
  <c r="J1216" i="2"/>
  <c r="J1217" i="2"/>
  <c r="J1218" i="2"/>
  <c r="J1219" i="2"/>
  <c r="J1220" i="2"/>
  <c r="J1221" i="2"/>
  <c r="J1222" i="2"/>
  <c r="J1224" i="2"/>
  <c r="J1225" i="2"/>
  <c r="J1226" i="2"/>
  <c r="J1227" i="2"/>
  <c r="J1228" i="2"/>
  <c r="J1229" i="2"/>
  <c r="J1137" i="2"/>
  <c r="J1143" i="2"/>
  <c r="J1173" i="2"/>
  <c r="J1194" i="2"/>
  <c r="J1195" i="2"/>
  <c r="J801" i="2"/>
  <c r="J811" i="2"/>
  <c r="J950" i="2"/>
  <c r="J977" i="2"/>
  <c r="J989" i="2"/>
  <c r="J990" i="2"/>
  <c r="J1065" i="2"/>
  <c r="J757" i="2"/>
  <c r="J758" i="2"/>
  <c r="J763" i="2"/>
  <c r="J794" i="2"/>
  <c r="J802" i="2"/>
  <c r="J809" i="2"/>
  <c r="J838" i="2"/>
  <c r="J846" i="2"/>
  <c r="J847" i="2"/>
  <c r="J868" i="2"/>
  <c r="J876" i="2"/>
  <c r="J883" i="2"/>
  <c r="J884" i="2"/>
  <c r="J925" i="2"/>
  <c r="J928" i="2"/>
  <c r="J945" i="2"/>
  <c r="J947" i="2"/>
  <c r="J1026" i="2"/>
  <c r="J1062" i="2"/>
  <c r="J1146" i="2"/>
  <c r="J1097" i="2"/>
  <c r="J806" i="2"/>
  <c r="J983" i="2"/>
  <c r="J984" i="2"/>
  <c r="J1033" i="2"/>
  <c r="J1037" i="2"/>
  <c r="J1098" i="2"/>
  <c r="J1099" i="2"/>
  <c r="J1128" i="2"/>
  <c r="J1133" i="2"/>
  <c r="J1135" i="2"/>
  <c r="J1138" i="2"/>
  <c r="J1145" i="2"/>
  <c r="J1170" i="2"/>
  <c r="J1177" i="2"/>
  <c r="J759" i="2"/>
  <c r="J764" i="2"/>
  <c r="J808" i="2"/>
  <c r="J839" i="2"/>
  <c r="J844" i="2"/>
  <c r="J870" i="2"/>
  <c r="J873" i="2"/>
  <c r="J948" i="2"/>
  <c r="J953" i="2"/>
  <c r="J1015" i="2"/>
  <c r="J1032" i="2"/>
  <c r="J1072" i="2"/>
  <c r="J1102" i="2"/>
  <c r="J1144" i="2"/>
  <c r="J1223" i="2"/>
  <c r="J877" i="2"/>
  <c r="J951" i="2"/>
  <c r="J1021" i="2"/>
  <c r="J1196" i="2"/>
  <c r="J886" i="2"/>
  <c r="J954" i="2"/>
  <c r="J981" i="2"/>
  <c r="J985" i="2"/>
  <c r="J988" i="2"/>
  <c r="J1040" i="2"/>
  <c r="J1073" i="2"/>
  <c r="J1141" i="2"/>
  <c r="J761" i="2"/>
  <c r="J795" i="2"/>
  <c r="J798" i="2"/>
  <c r="J804" i="2"/>
  <c r="J812" i="2"/>
  <c r="J813" i="2"/>
  <c r="J845" i="2"/>
  <c r="J927" i="2"/>
  <c r="J949" i="2"/>
  <c r="J975" i="2"/>
  <c r="J1012" i="2"/>
  <c r="J1019" i="2"/>
  <c r="J1025" i="2"/>
  <c r="J1031" i="2"/>
  <c r="J1034" i="2"/>
  <c r="J1038" i="2"/>
  <c r="J1103" i="2"/>
  <c r="J1149" i="2"/>
  <c r="J686" i="2"/>
  <c r="J762" i="2"/>
  <c r="J765" i="2"/>
  <c r="J766" i="2"/>
  <c r="J799" i="2"/>
  <c r="J803" i="2"/>
  <c r="J805" i="2"/>
  <c r="J836" i="2"/>
  <c r="J837" i="2"/>
  <c r="J841" i="2"/>
  <c r="J869" i="2"/>
  <c r="J871" i="2"/>
  <c r="J872" i="2"/>
  <c r="J874" i="2"/>
  <c r="J875" i="2"/>
  <c r="J881" i="2"/>
  <c r="J882" i="2"/>
  <c r="J919" i="2"/>
  <c r="J922" i="2"/>
  <c r="J946" i="2"/>
  <c r="J955" i="2"/>
  <c r="J976" i="2"/>
  <c r="J986" i="2"/>
  <c r="J1014" i="2"/>
  <c r="J1022" i="2"/>
  <c r="J1024" i="2"/>
  <c r="J1030" i="2"/>
  <c r="J1036" i="2"/>
  <c r="J1068" i="2"/>
  <c r="J1070" i="2"/>
  <c r="I2" i="2"/>
  <c r="G2" i="13" s="1"/>
  <c r="I3" i="2"/>
  <c r="G3" i="13" s="1"/>
  <c r="I4" i="2"/>
  <c r="G4" i="13" s="1"/>
  <c r="I124" i="2"/>
  <c r="I191" i="2"/>
  <c r="I537" i="2"/>
  <c r="G6" i="13" s="1"/>
  <c r="I582" i="2"/>
  <c r="G7" i="13" s="1"/>
  <c r="I621" i="2"/>
  <c r="I625" i="2"/>
  <c r="I741" i="2"/>
  <c r="I742" i="2"/>
  <c r="I747" i="2"/>
  <c r="I770" i="2"/>
  <c r="G15" i="13" s="1"/>
  <c r="I772" i="2"/>
  <c r="I773" i="2"/>
  <c r="I777" i="2"/>
  <c r="I816" i="2"/>
  <c r="G24" i="13" s="1"/>
  <c r="I823" i="2"/>
  <c r="I851" i="2"/>
  <c r="G29" i="13" s="1"/>
  <c r="I854" i="2"/>
  <c r="I890" i="2"/>
  <c r="I893" i="2"/>
  <c r="G32" i="13" s="1"/>
  <c r="I897" i="2"/>
  <c r="I931" i="2"/>
  <c r="I933" i="2"/>
  <c r="I934" i="2"/>
  <c r="G35" i="13" s="1"/>
  <c r="I936" i="2"/>
  <c r="G36" i="13" s="1"/>
  <c r="I958" i="2"/>
  <c r="I960" i="2"/>
  <c r="I961" i="2"/>
  <c r="G40" i="13" s="1"/>
  <c r="I962" i="2"/>
  <c r="I963" i="2"/>
  <c r="G41" i="13" s="1"/>
  <c r="I992" i="2"/>
  <c r="G48" i="13" s="1"/>
  <c r="I995" i="2"/>
  <c r="G49" i="13" s="1"/>
  <c r="I997" i="2"/>
  <c r="G50" i="13" s="1"/>
  <c r="I1042" i="2"/>
  <c r="I1044" i="2"/>
  <c r="G75" i="13" s="1"/>
  <c r="I1045" i="2"/>
  <c r="G76" i="13" s="1"/>
  <c r="I1076" i="2"/>
  <c r="G102" i="13" s="1"/>
  <c r="I1079" i="2"/>
  <c r="G104" i="13" s="1"/>
  <c r="I1080" i="2"/>
  <c r="G108" i="13" s="1"/>
  <c r="I1081" i="2"/>
  <c r="G105" i="13" s="1"/>
  <c r="I1083" i="2"/>
  <c r="G107" i="13" s="1"/>
  <c r="I1084" i="2"/>
  <c r="G109" i="13" s="1"/>
  <c r="I1104" i="2"/>
  <c r="I1105" i="2"/>
  <c r="I1108" i="2"/>
  <c r="G123" i="13" s="1"/>
  <c r="I1109" i="2"/>
  <c r="I1150" i="2"/>
  <c r="I1151" i="2"/>
  <c r="I1152" i="2"/>
  <c r="G151" i="13" s="1"/>
  <c r="I1155" i="2"/>
  <c r="I1181" i="2"/>
  <c r="G168" i="13" s="1"/>
  <c r="I1183" i="2"/>
  <c r="G170" i="13" s="1"/>
  <c r="I1185" i="2"/>
  <c r="I1200" i="2"/>
  <c r="G178" i="13" s="1"/>
  <c r="I1202" i="2"/>
  <c r="I1085" i="2"/>
  <c r="G110" i="13" s="1"/>
  <c r="I7" i="2"/>
  <c r="I10" i="2"/>
  <c r="I13" i="2"/>
  <c r="I20" i="2"/>
  <c r="I21" i="2"/>
  <c r="I24" i="2"/>
  <c r="I25" i="2"/>
  <c r="I26" i="2"/>
  <c r="I28" i="2"/>
  <c r="I30" i="2"/>
  <c r="I35" i="2"/>
  <c r="I36" i="2"/>
  <c r="I44" i="2"/>
  <c r="I45" i="2"/>
  <c r="I73" i="2"/>
  <c r="I74" i="2"/>
  <c r="I78" i="2"/>
  <c r="I80" i="2"/>
  <c r="I81" i="2"/>
  <c r="I84" i="2"/>
  <c r="I89" i="2"/>
  <c r="I90" i="2"/>
  <c r="I92" i="2"/>
  <c r="I115" i="2"/>
  <c r="I122" i="2"/>
  <c r="I125" i="2"/>
  <c r="I129" i="2"/>
  <c r="I130" i="2"/>
  <c r="I131" i="2"/>
  <c r="I159" i="2"/>
  <c r="I163" i="2"/>
  <c r="I179" i="2"/>
  <c r="I180" i="2"/>
  <c r="I181" i="2"/>
  <c r="I188" i="2"/>
  <c r="I190" i="2"/>
  <c r="I192" i="2"/>
  <c r="I216" i="2"/>
  <c r="I217" i="2"/>
  <c r="I220" i="2"/>
  <c r="I225" i="2"/>
  <c r="I232" i="2"/>
  <c r="I234" i="2"/>
  <c r="I236" i="2"/>
  <c r="I237" i="2"/>
  <c r="I246" i="2"/>
  <c r="I247" i="2"/>
  <c r="I248" i="2"/>
  <c r="I249" i="2"/>
  <c r="I251" i="2"/>
  <c r="I252" i="2"/>
  <c r="I253" i="2"/>
  <c r="I254" i="2"/>
  <c r="I306" i="2"/>
  <c r="I307" i="2"/>
  <c r="I312" i="2"/>
  <c r="I343" i="2"/>
  <c r="I344" i="2"/>
  <c r="I351" i="2"/>
  <c r="I363" i="2"/>
  <c r="I367" i="2"/>
  <c r="I370" i="2"/>
  <c r="I375" i="2"/>
  <c r="I394" i="2"/>
  <c r="I403" i="2"/>
  <c r="I405" i="2"/>
  <c r="I407" i="2"/>
  <c r="I409" i="2"/>
  <c r="I429" i="2"/>
  <c r="I431" i="2"/>
  <c r="I442" i="2"/>
  <c r="I462" i="2"/>
  <c r="I463" i="2"/>
  <c r="I465" i="2"/>
  <c r="I467" i="2"/>
  <c r="I468" i="2"/>
  <c r="I470" i="2"/>
  <c r="I474" i="2"/>
  <c r="I475" i="2"/>
  <c r="I477" i="2"/>
  <c r="I478" i="2"/>
  <c r="I482" i="2"/>
  <c r="I483" i="2"/>
  <c r="I509" i="2"/>
  <c r="I514" i="2"/>
  <c r="I517" i="2"/>
  <c r="I536" i="2"/>
  <c r="I549" i="2"/>
  <c r="I551" i="2"/>
  <c r="I553" i="2"/>
  <c r="I563" i="2"/>
  <c r="I565" i="2"/>
  <c r="I566" i="2"/>
  <c r="I568" i="2"/>
  <c r="I580" i="2"/>
  <c r="I593" i="2"/>
  <c r="I622" i="2"/>
  <c r="I624" i="2"/>
  <c r="I626" i="2"/>
  <c r="I627" i="2"/>
  <c r="I645" i="2"/>
  <c r="I646" i="2"/>
  <c r="I680" i="2"/>
  <c r="I684" i="2"/>
  <c r="I698" i="2"/>
  <c r="I699" i="2"/>
  <c r="I700" i="2"/>
  <c r="I701" i="2"/>
  <c r="I716" i="2"/>
  <c r="I717" i="2"/>
  <c r="I727" i="2"/>
  <c r="I728" i="2"/>
  <c r="I729" i="2"/>
  <c r="I731" i="2"/>
  <c r="I734" i="2"/>
  <c r="I737" i="2"/>
  <c r="I738" i="2"/>
  <c r="I739" i="2"/>
  <c r="I740" i="2"/>
  <c r="I744" i="2"/>
  <c r="I745" i="2"/>
  <c r="I746" i="2"/>
  <c r="I750" i="2"/>
  <c r="I767" i="2"/>
  <c r="I768" i="2"/>
  <c r="I769" i="2"/>
  <c r="I771" i="2"/>
  <c r="I774" i="2"/>
  <c r="I779" i="2"/>
  <c r="I817" i="2"/>
  <c r="I818" i="2"/>
  <c r="I819" i="2"/>
  <c r="I820" i="2"/>
  <c r="I822" i="2"/>
  <c r="I853" i="2"/>
  <c r="I891" i="2"/>
  <c r="I930" i="2"/>
  <c r="I935" i="2"/>
  <c r="I937" i="2"/>
  <c r="I938" i="2"/>
  <c r="I940" i="2"/>
  <c r="I959" i="2"/>
  <c r="I33" i="2"/>
  <c r="I37" i="2"/>
  <c r="I42" i="2"/>
  <c r="I1153" i="2"/>
  <c r="I1154" i="2"/>
  <c r="I1157" i="2"/>
  <c r="I1078" i="2"/>
  <c r="G103" i="13" s="1"/>
  <c r="I1106" i="2"/>
  <c r="G121" i="13" s="1"/>
  <c r="I649" i="2"/>
  <c r="I682" i="2"/>
  <c r="I713" i="2"/>
  <c r="I715" i="2"/>
  <c r="I743" i="2"/>
  <c r="I775" i="2"/>
  <c r="I778" i="2"/>
  <c r="I855" i="2"/>
  <c r="I887" i="2"/>
  <c r="I888" i="2"/>
  <c r="I892" i="2"/>
  <c r="I895" i="2"/>
  <c r="I896" i="2"/>
  <c r="I900" i="2"/>
  <c r="I929" i="2"/>
  <c r="I932" i="2"/>
  <c r="I993" i="2"/>
  <c r="I996" i="2"/>
  <c r="I998" i="2"/>
  <c r="I999" i="2"/>
  <c r="I1110" i="2"/>
  <c r="G124" i="13" s="1"/>
  <c r="I1111" i="2"/>
  <c r="G125" i="13" s="1"/>
  <c r="I1201" i="2"/>
  <c r="G179" i="13" s="1"/>
  <c r="I1077" i="2"/>
  <c r="I994" i="2"/>
  <c r="I1075" i="2"/>
  <c r="G101" i="13" s="1"/>
  <c r="I1082" i="2"/>
  <c r="G106" i="13" s="1"/>
  <c r="I899" i="2"/>
  <c r="I1043" i="2"/>
  <c r="G74" i="13" s="1"/>
  <c r="I1156" i="2"/>
  <c r="G152" i="13" s="1"/>
  <c r="I1184" i="2"/>
  <c r="I991" i="2"/>
  <c r="I11" i="2"/>
  <c r="I17" i="2"/>
  <c r="I18" i="2"/>
  <c r="I22" i="2"/>
  <c r="I23" i="2"/>
  <c r="I27" i="2"/>
  <c r="I29" i="2"/>
  <c r="I31" i="2"/>
  <c r="I32" i="2"/>
  <c r="I34" i="2"/>
  <c r="I38" i="2"/>
  <c r="I39" i="2"/>
  <c r="I40" i="2"/>
  <c r="I41" i="2"/>
  <c r="I43" i="2"/>
  <c r="I75" i="2"/>
  <c r="I76" i="2"/>
  <c r="I77" i="2"/>
  <c r="I79" i="2"/>
  <c r="I82" i="2"/>
  <c r="I83" i="2"/>
  <c r="I85" i="2"/>
  <c r="I86" i="2"/>
  <c r="I87" i="2"/>
  <c r="I88" i="2"/>
  <c r="I91" i="2"/>
  <c r="I93" i="2"/>
  <c r="I94" i="2"/>
  <c r="I110" i="2"/>
  <c r="I111" i="2"/>
  <c r="I112" i="2"/>
  <c r="I113" i="2"/>
  <c r="I114" i="2"/>
  <c r="I116" i="2"/>
  <c r="I117" i="2"/>
  <c r="I118" i="2"/>
  <c r="I119" i="2"/>
  <c r="I120" i="2"/>
  <c r="I121" i="2"/>
  <c r="I123" i="2"/>
  <c r="I126" i="2"/>
  <c r="I127" i="2"/>
  <c r="I128" i="2"/>
  <c r="I152" i="2"/>
  <c r="I153" i="2"/>
  <c r="I154" i="2"/>
  <c r="I155" i="2"/>
  <c r="I156" i="2"/>
  <c r="I157" i="2"/>
  <c r="I158" i="2"/>
  <c r="I160" i="2"/>
  <c r="I161" i="2"/>
  <c r="I162" i="2"/>
  <c r="I178" i="2"/>
  <c r="I182" i="2"/>
  <c r="I183" i="2"/>
  <c r="I184" i="2"/>
  <c r="I185" i="2"/>
  <c r="I186" i="2"/>
  <c r="I187" i="2"/>
  <c r="I189" i="2"/>
  <c r="I193" i="2"/>
  <c r="I194" i="2"/>
  <c r="I195" i="2"/>
  <c r="I196" i="2"/>
  <c r="I218" i="2"/>
  <c r="I219" i="2"/>
  <c r="I221" i="2"/>
  <c r="I222" i="2"/>
  <c r="I223" i="2"/>
  <c r="I224" i="2"/>
  <c r="I226" i="2"/>
  <c r="I227" i="2"/>
  <c r="I228" i="2"/>
  <c r="I229" i="2"/>
  <c r="I230" i="2"/>
  <c r="I231" i="2"/>
  <c r="I233" i="2"/>
  <c r="I239" i="2"/>
  <c r="I240" i="2"/>
  <c r="I241" i="2"/>
  <c r="I242" i="2"/>
  <c r="I243" i="2"/>
  <c r="I244" i="2"/>
  <c r="I245" i="2"/>
  <c r="I250" i="2"/>
  <c r="I255" i="2"/>
  <c r="I256" i="2"/>
  <c r="I257" i="2"/>
  <c r="I308" i="2"/>
  <c r="I310" i="2"/>
  <c r="I311" i="2"/>
  <c r="I313" i="2"/>
  <c r="I314" i="2"/>
  <c r="I315" i="2"/>
  <c r="I316" i="2"/>
  <c r="I317" i="2"/>
  <c r="I318" i="2"/>
  <c r="I319" i="2"/>
  <c r="I320" i="2"/>
  <c r="I321" i="2"/>
  <c r="I340" i="2"/>
  <c r="I341" i="2"/>
  <c r="I342" i="2"/>
  <c r="I345" i="2"/>
  <c r="I346" i="2"/>
  <c r="I347" i="2"/>
  <c r="I348" i="2"/>
  <c r="I349" i="2"/>
  <c r="I350" i="2"/>
  <c r="I362" i="2"/>
  <c r="I364" i="2"/>
  <c r="I365" i="2"/>
  <c r="I366" i="2"/>
  <c r="I368" i="2"/>
  <c r="I369" i="2"/>
  <c r="I371" i="2"/>
  <c r="I372" i="2"/>
  <c r="I373" i="2"/>
  <c r="I374" i="2"/>
  <c r="I393" i="2"/>
  <c r="I395" i="2"/>
  <c r="I397" i="2"/>
  <c r="I398" i="2"/>
  <c r="I399" i="2"/>
  <c r="I400" i="2"/>
  <c r="I401" i="2"/>
  <c r="I404" i="2"/>
  <c r="I406" i="2"/>
  <c r="I408" i="2"/>
  <c r="I410" i="2"/>
  <c r="I427" i="2"/>
  <c r="I428" i="2"/>
  <c r="I430" i="2"/>
  <c r="I432" i="2"/>
  <c r="I433" i="2"/>
  <c r="I434" i="2"/>
  <c r="I435" i="2"/>
  <c r="I436" i="2"/>
  <c r="I437" i="2"/>
  <c r="I438" i="2"/>
  <c r="I439" i="2"/>
  <c r="I440" i="2"/>
  <c r="I441" i="2"/>
  <c r="I464" i="2"/>
  <c r="I466" i="2"/>
  <c r="I469" i="2"/>
  <c r="I471" i="2"/>
  <c r="I472" i="2"/>
  <c r="I473" i="2"/>
  <c r="I476" i="2"/>
  <c r="I479" i="2"/>
  <c r="I480" i="2"/>
  <c r="I481" i="2"/>
  <c r="I504" i="2"/>
  <c r="I505" i="2"/>
  <c r="I506" i="2"/>
  <c r="I507" i="2"/>
  <c r="I508" i="2"/>
  <c r="I510" i="2"/>
  <c r="I511" i="2"/>
  <c r="I512" i="2"/>
  <c r="I513" i="2"/>
  <c r="I515" i="2"/>
  <c r="I516" i="2"/>
  <c r="I518" i="2"/>
  <c r="I534" i="2"/>
  <c r="I535" i="2"/>
  <c r="I538" i="2"/>
  <c r="I539" i="2"/>
  <c r="I540" i="2"/>
  <c r="I547" i="2"/>
  <c r="I548" i="2"/>
  <c r="I550" i="2"/>
  <c r="I552" i="2"/>
  <c r="I562" i="2"/>
  <c r="I564" i="2"/>
  <c r="I567" i="2"/>
  <c r="I569" i="2"/>
  <c r="I581" i="2"/>
  <c r="I583" i="2"/>
  <c r="I584" i="2"/>
  <c r="I585" i="2"/>
  <c r="I586" i="2"/>
  <c r="I587" i="2"/>
  <c r="I588" i="2"/>
  <c r="I589" i="2"/>
  <c r="I590" i="2"/>
  <c r="I591" i="2"/>
  <c r="I592" i="2"/>
  <c r="I594" i="2"/>
  <c r="I595" i="2"/>
  <c r="G8" i="13" s="1"/>
  <c r="I620" i="2"/>
  <c r="I623" i="2"/>
  <c r="I643" i="2"/>
  <c r="I644" i="2"/>
  <c r="I647" i="2"/>
  <c r="I648" i="2"/>
  <c r="I681" i="2"/>
  <c r="I683" i="2"/>
  <c r="I685" i="2"/>
  <c r="I714" i="2"/>
  <c r="I730" i="2"/>
  <c r="I732" i="2"/>
  <c r="I733" i="2"/>
  <c r="I735" i="2"/>
  <c r="I736" i="2"/>
  <c r="I748" i="2"/>
  <c r="I749" i="2"/>
  <c r="I776" i="2"/>
  <c r="I780" i="2"/>
  <c r="I815" i="2"/>
  <c r="I821" i="2"/>
  <c r="I852" i="2"/>
  <c r="I889" i="2"/>
  <c r="I894" i="2"/>
  <c r="I898" i="2"/>
  <c r="I901" i="2"/>
  <c r="I1182" i="2"/>
  <c r="G169" i="13" s="1"/>
  <c r="I6" i="2"/>
  <c r="I9" i="2"/>
  <c r="I14" i="2"/>
  <c r="I15" i="2"/>
  <c r="I19" i="2"/>
  <c r="I235" i="2"/>
  <c r="I238" i="2"/>
  <c r="I203" i="2"/>
  <c r="I208" i="2"/>
  <c r="I383" i="2"/>
  <c r="I532" i="2"/>
  <c r="G5" i="13" s="1"/>
  <c r="I722" i="2"/>
  <c r="I8" i="2"/>
  <c r="I12" i="2"/>
  <c r="I49" i="2"/>
  <c r="I52" i="2"/>
  <c r="I54" i="2"/>
  <c r="I55" i="2"/>
  <c r="I58" i="2"/>
  <c r="I62" i="2"/>
  <c r="I70" i="2"/>
  <c r="I96" i="2"/>
  <c r="I98" i="2"/>
  <c r="I103" i="2"/>
  <c r="I107" i="2"/>
  <c r="I109" i="2"/>
  <c r="I133" i="2"/>
  <c r="I134" i="2"/>
  <c r="I136" i="2"/>
  <c r="I137" i="2"/>
  <c r="I138" i="2"/>
  <c r="I140" i="2"/>
  <c r="I141" i="2"/>
  <c r="I148" i="2"/>
  <c r="I149" i="2"/>
  <c r="I150" i="2"/>
  <c r="I168" i="2"/>
  <c r="I170" i="2"/>
  <c r="I172" i="2"/>
  <c r="I176" i="2"/>
  <c r="I200" i="2"/>
  <c r="I206" i="2"/>
  <c r="I209" i="2"/>
  <c r="I210" i="2"/>
  <c r="I212" i="2"/>
  <c r="I260" i="2"/>
  <c r="I267" i="2"/>
  <c r="I273" i="2"/>
  <c r="I274" i="2"/>
  <c r="I277" i="2"/>
  <c r="I279" i="2"/>
  <c r="I280" i="2"/>
  <c r="I281" i="2"/>
  <c r="I285" i="2"/>
  <c r="I286" i="2"/>
  <c r="I287" i="2"/>
  <c r="I292" i="2"/>
  <c r="I294" i="2"/>
  <c r="I295" i="2"/>
  <c r="I296" i="2"/>
  <c r="I297" i="2"/>
  <c r="I298" i="2"/>
  <c r="I299" i="2"/>
  <c r="I301" i="2"/>
  <c r="I302" i="2"/>
  <c r="I305" i="2"/>
  <c r="I309" i="2"/>
  <c r="I323" i="2"/>
  <c r="I326" i="2"/>
  <c r="I329" i="2"/>
  <c r="I331" i="2"/>
  <c r="I356" i="2"/>
  <c r="I377" i="2"/>
  <c r="I378" i="2"/>
  <c r="I379" i="2"/>
  <c r="I381" i="2"/>
  <c r="I389" i="2"/>
  <c r="I411" i="2"/>
  <c r="I412" i="2"/>
  <c r="I414" i="2"/>
  <c r="I417" i="2"/>
  <c r="I422" i="2"/>
  <c r="I425" i="2"/>
  <c r="I426" i="2"/>
  <c r="I448" i="2"/>
  <c r="I449" i="2"/>
  <c r="I450" i="2"/>
  <c r="I452" i="2"/>
  <c r="I453" i="2"/>
  <c r="I454" i="2"/>
  <c r="I455" i="2"/>
  <c r="I458" i="2"/>
  <c r="I487" i="2"/>
  <c r="I490" i="2"/>
  <c r="I493" i="2"/>
  <c r="I494" i="2"/>
  <c r="I498" i="2"/>
  <c r="I500" i="2"/>
  <c r="I501" i="2"/>
  <c r="I529" i="2"/>
  <c r="I542" i="2"/>
  <c r="I546" i="2"/>
  <c r="I555" i="2"/>
  <c r="I559" i="2"/>
  <c r="I560" i="2"/>
  <c r="I578" i="2"/>
  <c r="I600" i="2"/>
  <c r="I630" i="2"/>
  <c r="I651" i="2"/>
  <c r="I655" i="2"/>
  <c r="I669" i="2"/>
  <c r="I674" i="2"/>
  <c r="I677" i="2"/>
  <c r="I687" i="2"/>
  <c r="I689" i="2"/>
  <c r="I690" i="2"/>
  <c r="I692" i="2"/>
  <c r="I693" i="2"/>
  <c r="I723" i="2"/>
  <c r="I485" i="2"/>
  <c r="I544" i="2"/>
  <c r="I597" i="2"/>
  <c r="I656" i="2"/>
  <c r="I706" i="2"/>
  <c r="I707" i="2"/>
  <c r="I688" i="2"/>
  <c r="G10" i="13" s="1"/>
  <c r="I702" i="2"/>
  <c r="I704" i="2"/>
  <c r="I705" i="2"/>
  <c r="I719" i="2"/>
  <c r="I720" i="2"/>
  <c r="I484" i="2"/>
  <c r="I533" i="2"/>
  <c r="I631" i="2"/>
  <c r="I5" i="2"/>
  <c r="I16" i="2"/>
  <c r="I46" i="2"/>
  <c r="I47" i="2"/>
  <c r="I48" i="2"/>
  <c r="I50" i="2"/>
  <c r="I51" i="2"/>
  <c r="I53" i="2"/>
  <c r="I56" i="2"/>
  <c r="I57" i="2"/>
  <c r="I59" i="2"/>
  <c r="I60" i="2"/>
  <c r="I61" i="2"/>
  <c r="I63" i="2"/>
  <c r="I64" i="2"/>
  <c r="I65" i="2"/>
  <c r="I66" i="2"/>
  <c r="I67" i="2"/>
  <c r="I68" i="2"/>
  <c r="I69" i="2"/>
  <c r="I71" i="2"/>
  <c r="I95" i="2"/>
  <c r="I97" i="2"/>
  <c r="I99" i="2"/>
  <c r="I100" i="2"/>
  <c r="I101" i="2"/>
  <c r="I102" i="2"/>
  <c r="I104" i="2"/>
  <c r="I105" i="2"/>
  <c r="I106" i="2"/>
  <c r="I108" i="2"/>
  <c r="I132" i="2"/>
  <c r="I135" i="2"/>
  <c r="I139" i="2"/>
  <c r="I142" i="2"/>
  <c r="I143" i="2"/>
  <c r="I144" i="2"/>
  <c r="I145" i="2"/>
  <c r="I146" i="2"/>
  <c r="I147" i="2"/>
  <c r="I151" i="2"/>
  <c r="I164" i="2"/>
  <c r="I165" i="2"/>
  <c r="I166" i="2"/>
  <c r="I167" i="2"/>
  <c r="I169" i="2"/>
  <c r="I171" i="2"/>
  <c r="I173" i="2"/>
  <c r="I174" i="2"/>
  <c r="I175" i="2"/>
  <c r="I177" i="2"/>
  <c r="I197" i="2"/>
  <c r="I198" i="2"/>
  <c r="I199" i="2"/>
  <c r="I201" i="2"/>
  <c r="I202" i="2"/>
  <c r="I204" i="2"/>
  <c r="I205" i="2"/>
  <c r="I207" i="2"/>
  <c r="I211" i="2"/>
  <c r="I213" i="2"/>
  <c r="I214" i="2"/>
  <c r="I215" i="2"/>
  <c r="I258" i="2"/>
  <c r="I259" i="2"/>
  <c r="I261" i="2"/>
  <c r="I262" i="2"/>
  <c r="I263" i="2"/>
  <c r="I264" i="2"/>
  <c r="I265" i="2"/>
  <c r="I266" i="2"/>
  <c r="I268" i="2"/>
  <c r="I269" i="2"/>
  <c r="I270" i="2"/>
  <c r="I271" i="2"/>
  <c r="I272" i="2"/>
  <c r="I275" i="2"/>
  <c r="I276" i="2"/>
  <c r="I278" i="2"/>
  <c r="I282" i="2"/>
  <c r="I283" i="2"/>
  <c r="I284" i="2"/>
  <c r="I288" i="2"/>
  <c r="I289" i="2"/>
  <c r="I290" i="2"/>
  <c r="I291" i="2"/>
  <c r="I293" i="2"/>
  <c r="I300" i="2"/>
  <c r="I303" i="2"/>
  <c r="I304" i="2"/>
  <c r="I322" i="2"/>
  <c r="I324" i="2"/>
  <c r="I325" i="2"/>
  <c r="I327" i="2"/>
  <c r="I328" i="2"/>
  <c r="I330" i="2"/>
  <c r="I332" i="2"/>
  <c r="I333" i="2"/>
  <c r="I334" i="2"/>
  <c r="I335" i="2"/>
  <c r="I336" i="2"/>
  <c r="I337" i="2"/>
  <c r="I338" i="2"/>
  <c r="I339" i="2"/>
  <c r="I352" i="2"/>
  <c r="I353" i="2"/>
  <c r="I354" i="2"/>
  <c r="I355" i="2"/>
  <c r="I357" i="2"/>
  <c r="I358" i="2"/>
  <c r="I359" i="2"/>
  <c r="I360" i="2"/>
  <c r="I361" i="2"/>
  <c r="I376" i="2"/>
  <c r="I380" i="2"/>
  <c r="I382" i="2"/>
  <c r="I384" i="2"/>
  <c r="I385" i="2"/>
  <c r="I386" i="2"/>
  <c r="I387" i="2"/>
  <c r="I388" i="2"/>
  <c r="I390" i="2"/>
  <c r="I391" i="2"/>
  <c r="I392" i="2"/>
  <c r="I396" i="2"/>
  <c r="I402" i="2"/>
  <c r="I413" i="2"/>
  <c r="I415" i="2"/>
  <c r="I416" i="2"/>
  <c r="I418" i="2"/>
  <c r="I419" i="2"/>
  <c r="I420" i="2"/>
  <c r="I421" i="2"/>
  <c r="I423" i="2"/>
  <c r="I424" i="2"/>
  <c r="I443" i="2"/>
  <c r="I444" i="2"/>
  <c r="I445" i="2"/>
  <c r="I446" i="2"/>
  <c r="I447" i="2"/>
  <c r="I451" i="2"/>
  <c r="I456" i="2"/>
  <c r="I457" i="2"/>
  <c r="I459" i="2"/>
  <c r="I460" i="2"/>
  <c r="I461" i="2"/>
  <c r="I486" i="2"/>
  <c r="I488" i="2"/>
  <c r="I489" i="2"/>
  <c r="I491" i="2"/>
  <c r="I492" i="2"/>
  <c r="I495" i="2"/>
  <c r="I496" i="2"/>
  <c r="I497" i="2"/>
  <c r="I499" i="2"/>
  <c r="I502" i="2"/>
  <c r="I503" i="2"/>
  <c r="I519" i="2"/>
  <c r="I520" i="2"/>
  <c r="I521" i="2"/>
  <c r="I522" i="2"/>
  <c r="I523" i="2"/>
  <c r="I524" i="2"/>
  <c r="I525" i="2"/>
  <c r="I526" i="2"/>
  <c r="I527" i="2"/>
  <c r="I528" i="2"/>
  <c r="I530" i="2"/>
  <c r="I541" i="2"/>
  <c r="I543" i="2"/>
  <c r="I545" i="2"/>
  <c r="I554" i="2"/>
  <c r="I556" i="2"/>
  <c r="I557" i="2"/>
  <c r="I558" i="2"/>
  <c r="I561" i="2"/>
  <c r="I570" i="2"/>
  <c r="I571" i="2"/>
  <c r="I572" i="2"/>
  <c r="I573" i="2"/>
  <c r="I574" i="2"/>
  <c r="I575" i="2"/>
  <c r="I576" i="2"/>
  <c r="I577" i="2"/>
  <c r="I579" i="2"/>
  <c r="I596" i="2"/>
  <c r="I598" i="2"/>
  <c r="I599" i="2"/>
  <c r="I601" i="2"/>
  <c r="I602" i="2"/>
  <c r="I628" i="2"/>
  <c r="I629" i="2"/>
  <c r="I632" i="2"/>
  <c r="I633" i="2"/>
  <c r="I650" i="2"/>
  <c r="I652" i="2"/>
  <c r="I653" i="2"/>
  <c r="I654" i="2"/>
  <c r="I670" i="2"/>
  <c r="I671" i="2"/>
  <c r="I672" i="2"/>
  <c r="I673" i="2"/>
  <c r="I675" i="2"/>
  <c r="I676" i="2"/>
  <c r="I678" i="2"/>
  <c r="I679" i="2"/>
  <c r="I691" i="2"/>
  <c r="I703" i="2"/>
  <c r="G12" i="13" s="1"/>
  <c r="I718" i="2"/>
  <c r="I721" i="2"/>
  <c r="I724" i="2"/>
  <c r="I726" i="2"/>
  <c r="I72" i="2"/>
  <c r="I712" i="2"/>
  <c r="G13" i="13" s="1"/>
  <c r="I751" i="2"/>
  <c r="I754" i="2"/>
  <c r="I782" i="2"/>
  <c r="G16" i="13" s="1"/>
  <c r="I787" i="2"/>
  <c r="I790" i="2"/>
  <c r="I826" i="2"/>
  <c r="I829" i="2"/>
  <c r="I833" i="2"/>
  <c r="I856" i="2"/>
  <c r="I902" i="2"/>
  <c r="I904" i="2"/>
  <c r="I908" i="2"/>
  <c r="I912" i="2"/>
  <c r="G33" i="13" s="1"/>
  <c r="I913" i="2"/>
  <c r="I914" i="2"/>
  <c r="I941" i="2"/>
  <c r="I943" i="2"/>
  <c r="I967" i="2"/>
  <c r="I968" i="2"/>
  <c r="I970" i="2"/>
  <c r="I971" i="2"/>
  <c r="I972" i="2"/>
  <c r="I973" i="2"/>
  <c r="G44" i="13" s="1"/>
  <c r="I974" i="2"/>
  <c r="I1001" i="2"/>
  <c r="G51" i="13" s="1"/>
  <c r="I1004" i="2"/>
  <c r="I1009" i="2"/>
  <c r="G53" i="13" s="1"/>
  <c r="I1010" i="2"/>
  <c r="G54" i="13" s="1"/>
  <c r="I1050" i="2"/>
  <c r="I1052" i="2"/>
  <c r="G80" i="13" s="1"/>
  <c r="I1053" i="2"/>
  <c r="G81" i="13" s="1"/>
  <c r="I1056" i="2"/>
  <c r="G84" i="13" s="1"/>
  <c r="I1057" i="2"/>
  <c r="G85" i="13" s="1"/>
  <c r="I1059" i="2"/>
  <c r="G87" i="13" s="1"/>
  <c r="I1086" i="2"/>
  <c r="G111" i="13" s="1"/>
  <c r="I1087" i="2"/>
  <c r="I1088" i="2"/>
  <c r="I1089" i="2"/>
  <c r="I1090" i="2"/>
  <c r="I1091" i="2"/>
  <c r="G112" i="13" s="1"/>
  <c r="I1093" i="2"/>
  <c r="G114" i="13" s="1"/>
  <c r="I1112" i="2"/>
  <c r="G126" i="13" s="1"/>
  <c r="I1115" i="2"/>
  <c r="G128" i="13" s="1"/>
  <c r="I1116" i="2"/>
  <c r="I1117" i="2"/>
  <c r="G129" i="13" s="1"/>
  <c r="I1124" i="2"/>
  <c r="G136" i="13" s="1"/>
  <c r="I1126" i="2"/>
  <c r="I1158" i="2"/>
  <c r="I1161" i="2"/>
  <c r="I1163" i="2"/>
  <c r="G155" i="13" s="1"/>
  <c r="I1165" i="2"/>
  <c r="G157" i="13" s="1"/>
  <c r="I1187" i="2"/>
  <c r="G171" i="13" s="1"/>
  <c r="I1188" i="2"/>
  <c r="G172" i="13" s="1"/>
  <c r="I1189" i="2"/>
  <c r="G173" i="13" s="1"/>
  <c r="I1190" i="2"/>
  <c r="I1203" i="2"/>
  <c r="G180" i="13" s="1"/>
  <c r="I1204" i="2"/>
  <c r="I1205" i="2"/>
  <c r="I1206" i="2"/>
  <c r="I1210" i="2"/>
  <c r="G183" i="13" s="1"/>
  <c r="I1211" i="2"/>
  <c r="G184" i="13" s="1"/>
  <c r="I1212" i="2"/>
  <c r="G185" i="13" s="1"/>
  <c r="I1119" i="2"/>
  <c r="G131" i="13" s="1"/>
  <c r="I910" i="2"/>
  <c r="I942" i="2"/>
  <c r="G37" i="13" s="1"/>
  <c r="I1047" i="2"/>
  <c r="I531" i="2"/>
  <c r="I605" i="2"/>
  <c r="I606" i="2"/>
  <c r="I613" i="2"/>
  <c r="I614" i="2"/>
  <c r="I615" i="2"/>
  <c r="I616" i="2"/>
  <c r="I619" i="2"/>
  <c r="I637" i="2"/>
  <c r="I638" i="2"/>
  <c r="I639" i="2"/>
  <c r="I640" i="2"/>
  <c r="I641" i="2"/>
  <c r="I658" i="2"/>
  <c r="I663" i="2"/>
  <c r="I665" i="2"/>
  <c r="I696" i="2"/>
  <c r="I711" i="2"/>
  <c r="I725" i="2"/>
  <c r="I752" i="2"/>
  <c r="I783" i="2"/>
  <c r="I784" i="2"/>
  <c r="G17" i="13" s="1"/>
  <c r="I785" i="2"/>
  <c r="I825" i="2"/>
  <c r="I828" i="2"/>
  <c r="I831" i="2"/>
  <c r="I834" i="2"/>
  <c r="I858" i="2"/>
  <c r="I859" i="2"/>
  <c r="I861" i="2"/>
  <c r="I862" i="2"/>
  <c r="I863" i="2"/>
  <c r="I864" i="2"/>
  <c r="I865" i="2"/>
  <c r="I906" i="2"/>
  <c r="I909" i="2"/>
  <c r="I917" i="2"/>
  <c r="I918" i="2"/>
  <c r="I1002" i="2"/>
  <c r="I1046" i="2"/>
  <c r="I1092" i="2"/>
  <c r="G113" i="13" s="1"/>
  <c r="I1094" i="2"/>
  <c r="I1159" i="2"/>
  <c r="I1162" i="2"/>
  <c r="G154" i="13" s="1"/>
  <c r="I1121" i="2"/>
  <c r="G133" i="13" s="1"/>
  <c r="I1005" i="2"/>
  <c r="I1113" i="2"/>
  <c r="I694" i="2"/>
  <c r="I781" i="2"/>
  <c r="I824" i="2"/>
  <c r="I832" i="2"/>
  <c r="I857" i="2"/>
  <c r="I903" i="2"/>
  <c r="I905" i="2"/>
  <c r="I916" i="2"/>
  <c r="I964" i="2"/>
  <c r="I965" i="2"/>
  <c r="I1000" i="2"/>
  <c r="I1006" i="2"/>
  <c r="I1007" i="2"/>
  <c r="I1060" i="2"/>
  <c r="I1122" i="2"/>
  <c r="G134" i="13" s="1"/>
  <c r="I1127" i="2"/>
  <c r="I1186" i="2"/>
  <c r="I1208" i="2"/>
  <c r="I1209" i="2"/>
  <c r="G182" i="13" s="1"/>
  <c r="I1207" i="2"/>
  <c r="G181" i="13" s="1"/>
  <c r="I617" i="2"/>
  <c r="G9" i="13" s="1"/>
  <c r="I695" i="2"/>
  <c r="G11" i="13" s="1"/>
  <c r="I755" i="2"/>
  <c r="I1055" i="2"/>
  <c r="G83" i="13" s="1"/>
  <c r="I1160" i="2"/>
  <c r="G153" i="13" s="1"/>
  <c r="I603" i="2"/>
  <c r="I604" i="2"/>
  <c r="I607" i="2"/>
  <c r="I608" i="2"/>
  <c r="I609" i="2"/>
  <c r="I610" i="2"/>
  <c r="I611" i="2"/>
  <c r="I612" i="2"/>
  <c r="I618" i="2"/>
  <c r="I634" i="2"/>
  <c r="I635" i="2"/>
  <c r="I636" i="2"/>
  <c r="I642" i="2"/>
  <c r="I657" i="2"/>
  <c r="I659" i="2"/>
  <c r="I660" i="2"/>
  <c r="I661" i="2"/>
  <c r="I662" i="2"/>
  <c r="I664" i="2"/>
  <c r="I666" i="2"/>
  <c r="I667" i="2"/>
  <c r="I668" i="2"/>
  <c r="I697" i="2"/>
  <c r="I708" i="2"/>
  <c r="I709" i="2"/>
  <c r="I710" i="2"/>
  <c r="I753" i="2"/>
  <c r="I786" i="2"/>
  <c r="I788" i="2"/>
  <c r="I789" i="2"/>
  <c r="I791" i="2"/>
  <c r="I827" i="2"/>
  <c r="I830" i="2"/>
  <c r="I860" i="2"/>
  <c r="I866" i="2"/>
  <c r="I867" i="2"/>
  <c r="I907" i="2"/>
  <c r="I911" i="2"/>
  <c r="I915" i="2"/>
  <c r="I939" i="2"/>
  <c r="I966" i="2"/>
  <c r="I1003" i="2"/>
  <c r="G52" i="13" s="1"/>
  <c r="I1008" i="2"/>
  <c r="I1048" i="2"/>
  <c r="G77" i="13" s="1"/>
  <c r="I1049" i="2"/>
  <c r="G78" i="13" s="1"/>
  <c r="I1051" i="2"/>
  <c r="G79" i="13" s="1"/>
  <c r="I1054" i="2"/>
  <c r="G82" i="13" s="1"/>
  <c r="I1058" i="2"/>
  <c r="G86" i="13" s="1"/>
  <c r="I1114" i="2"/>
  <c r="G127" i="13" s="1"/>
  <c r="I1120" i="2"/>
  <c r="G132" i="13" s="1"/>
  <c r="I1123" i="2"/>
  <c r="G135" i="13" s="1"/>
  <c r="I1125" i="2"/>
  <c r="G137" i="13" s="1"/>
  <c r="I756" i="2"/>
  <c r="I760" i="2"/>
  <c r="G14" i="13" s="1"/>
  <c r="I792" i="2"/>
  <c r="G18" i="13" s="1"/>
  <c r="I793" i="2"/>
  <c r="I796" i="2"/>
  <c r="I797" i="2"/>
  <c r="I800" i="2"/>
  <c r="G20" i="13" s="1"/>
  <c r="I807" i="2"/>
  <c r="G22" i="13" s="1"/>
  <c r="I810" i="2"/>
  <c r="I814" i="2"/>
  <c r="I835" i="2"/>
  <c r="G25" i="13" s="1"/>
  <c r="I840" i="2"/>
  <c r="G26" i="13" s="1"/>
  <c r="I842" i="2"/>
  <c r="I843" i="2"/>
  <c r="I848" i="2"/>
  <c r="G27" i="13" s="1"/>
  <c r="I849" i="2"/>
  <c r="G28" i="13" s="1"/>
  <c r="I850" i="2"/>
  <c r="I878" i="2"/>
  <c r="I879" i="2"/>
  <c r="I880" i="2"/>
  <c r="I885" i="2"/>
  <c r="I920" i="2"/>
  <c r="I921" i="2"/>
  <c r="I923" i="2"/>
  <c r="I924" i="2"/>
  <c r="I926" i="2"/>
  <c r="I944" i="2"/>
  <c r="G38" i="13" s="1"/>
  <c r="I952" i="2"/>
  <c r="I957" i="2"/>
  <c r="I978" i="2"/>
  <c r="G45" i="13" s="1"/>
  <c r="I979" i="2"/>
  <c r="I980" i="2"/>
  <c r="I982" i="2"/>
  <c r="I987" i="2"/>
  <c r="I1011" i="2"/>
  <c r="I1013" i="2"/>
  <c r="G56" i="13" s="1"/>
  <c r="I1016" i="2"/>
  <c r="G58" i="13" s="1"/>
  <c r="I1017" i="2"/>
  <c r="G59" i="13" s="1"/>
  <c r="I1018" i="2"/>
  <c r="G60" i="13" s="1"/>
  <c r="I1020" i="2"/>
  <c r="G61" i="13" s="1"/>
  <c r="I1023" i="2"/>
  <c r="G64" i="13" s="1"/>
  <c r="I1027" i="2"/>
  <c r="G67" i="13" s="1"/>
  <c r="I1028" i="2"/>
  <c r="G68" i="13" s="1"/>
  <c r="I1029" i="2"/>
  <c r="I1035" i="2"/>
  <c r="G71" i="13" s="1"/>
  <c r="I1039" i="2"/>
  <c r="I1041" i="2"/>
  <c r="I1061" i="2"/>
  <c r="G88" i="13" s="1"/>
  <c r="I1063" i="2"/>
  <c r="G90" i="13" s="1"/>
  <c r="I1064" i="2"/>
  <c r="G91" i="13" s="1"/>
  <c r="I1066" i="2"/>
  <c r="G93" i="13" s="1"/>
  <c r="I1067" i="2"/>
  <c r="G94" i="13" s="1"/>
  <c r="I1069" i="2"/>
  <c r="G96" i="13" s="1"/>
  <c r="I1071" i="2"/>
  <c r="G98" i="13" s="1"/>
  <c r="I1074" i="2"/>
  <c r="G100" i="13" s="1"/>
  <c r="I1095" i="2"/>
  <c r="G115" i="13" s="1"/>
  <c r="I1096" i="2"/>
  <c r="G116" i="13" s="1"/>
  <c r="I1100" i="2"/>
  <c r="G118" i="13" s="1"/>
  <c r="I1101" i="2"/>
  <c r="I1129" i="2"/>
  <c r="I1130" i="2"/>
  <c r="I1131" i="2"/>
  <c r="G138" i="13" s="1"/>
  <c r="I1132" i="2"/>
  <c r="G139" i="13" s="1"/>
  <c r="I1134" i="2"/>
  <c r="I1136" i="2"/>
  <c r="I1139" i="2"/>
  <c r="G143" i="13" s="1"/>
  <c r="I1140" i="2"/>
  <c r="I1142" i="2"/>
  <c r="G145" i="13" s="1"/>
  <c r="I1147" i="2"/>
  <c r="G148" i="13" s="1"/>
  <c r="I1148" i="2"/>
  <c r="G149" i="13" s="1"/>
  <c r="I1164" i="2"/>
  <c r="G156" i="13" s="1"/>
  <c r="I1166" i="2"/>
  <c r="G158" i="13" s="1"/>
  <c r="I1167" i="2"/>
  <c r="I1168" i="2"/>
  <c r="G159" i="13" s="1"/>
  <c r="I1169" i="2"/>
  <c r="G160" i="13" s="1"/>
  <c r="I1171" i="2"/>
  <c r="I1172" i="2"/>
  <c r="G162" i="13" s="1"/>
  <c r="I1174" i="2"/>
  <c r="G164" i="13" s="1"/>
  <c r="I1175" i="2"/>
  <c r="I1176" i="2"/>
  <c r="I1178" i="2"/>
  <c r="G165" i="13" s="1"/>
  <c r="I1179" i="2"/>
  <c r="G166" i="13" s="1"/>
  <c r="I1180" i="2"/>
  <c r="G167" i="13" s="1"/>
  <c r="I1191" i="2"/>
  <c r="G174" i="13" s="1"/>
  <c r="I1192" i="2"/>
  <c r="I1193" i="2"/>
  <c r="I1197" i="2"/>
  <c r="I1198" i="2"/>
  <c r="I1199" i="2"/>
  <c r="G176" i="13" s="1"/>
  <c r="I1213" i="2"/>
  <c r="G186" i="13" s="1"/>
  <c r="I1214" i="2"/>
  <c r="G187" i="13" s="1"/>
  <c r="I1215" i="2"/>
  <c r="I1216" i="2"/>
  <c r="G188" i="13" s="1"/>
  <c r="I1217" i="2"/>
  <c r="I1218" i="2"/>
  <c r="G189" i="13" s="1"/>
  <c r="I1219" i="2"/>
  <c r="G190" i="13" s="1"/>
  <c r="I1220" i="2"/>
  <c r="G191" i="13" s="1"/>
  <c r="I1221" i="2"/>
  <c r="G192" i="13" s="1"/>
  <c r="I1222" i="2"/>
  <c r="I1224" i="2"/>
  <c r="I1225" i="2"/>
  <c r="I1226" i="2"/>
  <c r="G194" i="13" s="1"/>
  <c r="I1227" i="2"/>
  <c r="G195" i="13" s="1"/>
  <c r="I1228" i="2"/>
  <c r="G196" i="13" s="1"/>
  <c r="I1229" i="2"/>
  <c r="G197" i="13" s="1"/>
  <c r="I1137" i="2"/>
  <c r="G142" i="13" s="1"/>
  <c r="I1143" i="2"/>
  <c r="I1173" i="2"/>
  <c r="G163" i="13" s="1"/>
  <c r="I1194" i="2"/>
  <c r="I1195" i="2"/>
  <c r="G175" i="13" s="1"/>
  <c r="I801" i="2"/>
  <c r="I811" i="2"/>
  <c r="I950" i="2"/>
  <c r="I977" i="2"/>
  <c r="I989" i="2"/>
  <c r="I990" i="2"/>
  <c r="I1065" i="2"/>
  <c r="I757" i="2"/>
  <c r="I758" i="2"/>
  <c r="I763" i="2"/>
  <c r="I794" i="2"/>
  <c r="G19" i="13" s="1"/>
  <c r="I802" i="2"/>
  <c r="I809" i="2"/>
  <c r="I838" i="2"/>
  <c r="I846" i="2"/>
  <c r="I847" i="2"/>
  <c r="I868" i="2"/>
  <c r="I876" i="2"/>
  <c r="I883" i="2"/>
  <c r="I884" i="2"/>
  <c r="I925" i="2"/>
  <c r="I928" i="2"/>
  <c r="I945" i="2"/>
  <c r="I947" i="2"/>
  <c r="I1026" i="2"/>
  <c r="G66" i="13" s="1"/>
  <c r="I1062" i="2"/>
  <c r="G89" i="13" s="1"/>
  <c r="I1146" i="2"/>
  <c r="G147" i="13" s="1"/>
  <c r="I1097" i="2"/>
  <c r="I806" i="2"/>
  <c r="I983" i="2"/>
  <c r="I984" i="2"/>
  <c r="I1033" i="2"/>
  <c r="I1037" i="2"/>
  <c r="I1098" i="2"/>
  <c r="I1099" i="2"/>
  <c r="G117" i="13" s="1"/>
  <c r="I1128" i="2"/>
  <c r="I1133" i="2"/>
  <c r="G140" i="13" s="1"/>
  <c r="I1135" i="2"/>
  <c r="G141" i="13" s="1"/>
  <c r="I1138" i="2"/>
  <c r="I1145" i="2"/>
  <c r="I1170" i="2"/>
  <c r="G161" i="13" s="1"/>
  <c r="I1177" i="2"/>
  <c r="I759" i="2"/>
  <c r="I764" i="2"/>
  <c r="I808" i="2"/>
  <c r="I839" i="2"/>
  <c r="I844" i="2"/>
  <c r="I870" i="2"/>
  <c r="I873" i="2"/>
  <c r="I948" i="2"/>
  <c r="I953" i="2"/>
  <c r="I1015" i="2"/>
  <c r="I1032" i="2"/>
  <c r="I1072" i="2"/>
  <c r="I1102" i="2"/>
  <c r="G119" i="13" s="1"/>
  <c r="I1144" i="2"/>
  <c r="G146" i="13" s="1"/>
  <c r="I1223" i="2"/>
  <c r="G193" i="13" s="1"/>
  <c r="I877" i="2"/>
  <c r="G30" i="13" s="1"/>
  <c r="I951" i="2"/>
  <c r="I1021" i="2"/>
  <c r="G62" i="13" s="1"/>
  <c r="I1196" i="2"/>
  <c r="I886" i="2"/>
  <c r="G31" i="13" s="1"/>
  <c r="I954" i="2"/>
  <c r="I981" i="2"/>
  <c r="I985" i="2"/>
  <c r="G46" i="13" s="1"/>
  <c r="I988" i="2"/>
  <c r="G47" i="13" s="1"/>
  <c r="I1040" i="2"/>
  <c r="I1073" i="2"/>
  <c r="G99" i="13" s="1"/>
  <c r="I1141" i="2"/>
  <c r="G144" i="13" s="1"/>
  <c r="I761" i="2"/>
  <c r="I795" i="2"/>
  <c r="I798" i="2"/>
  <c r="I804" i="2"/>
  <c r="G21" i="13" s="1"/>
  <c r="I812" i="2"/>
  <c r="G23" i="13" s="1"/>
  <c r="I813" i="2"/>
  <c r="I845" i="2"/>
  <c r="I927" i="2"/>
  <c r="I949" i="2"/>
  <c r="G39" i="13" s="1"/>
  <c r="I975" i="2"/>
  <c r="I1012" i="2"/>
  <c r="G55" i="13" s="1"/>
  <c r="I1019" i="2"/>
  <c r="I1025" i="2"/>
  <c r="I1031" i="2"/>
  <c r="I1034" i="2"/>
  <c r="G70" i="13" s="1"/>
  <c r="I1038" i="2"/>
  <c r="G73" i="13" s="1"/>
  <c r="I1103" i="2"/>
  <c r="G120" i="13" s="1"/>
  <c r="I1149" i="2"/>
  <c r="G150" i="13" s="1"/>
  <c r="I686" i="2"/>
  <c r="I762" i="2"/>
  <c r="I765" i="2"/>
  <c r="I766" i="2"/>
  <c r="I799" i="2"/>
  <c r="I803" i="2"/>
  <c r="I805" i="2"/>
  <c r="I836" i="2"/>
  <c r="I837" i="2"/>
  <c r="I841" i="2"/>
  <c r="I869" i="2"/>
  <c r="I871" i="2"/>
  <c r="I872" i="2"/>
  <c r="I874" i="2"/>
  <c r="I875" i="2"/>
  <c r="I881" i="2"/>
  <c r="I882" i="2"/>
  <c r="I919" i="2"/>
  <c r="I922" i="2"/>
  <c r="I946" i="2"/>
  <c r="I955" i="2"/>
  <c r="I976" i="2"/>
  <c r="I986" i="2"/>
  <c r="I1014" i="2"/>
  <c r="G57" i="13" s="1"/>
  <c r="I1022" i="2"/>
  <c r="G63" i="13" s="1"/>
  <c r="I1024" i="2"/>
  <c r="G65" i="13" s="1"/>
  <c r="I1030" i="2"/>
  <c r="G69" i="13" s="1"/>
  <c r="I1036" i="2"/>
  <c r="G72" i="13" s="1"/>
  <c r="I1068" i="2"/>
  <c r="G95" i="13" s="1"/>
  <c r="I1070" i="2"/>
  <c r="G97" i="13" s="1"/>
  <c r="F13" i="13"/>
  <c r="G2" i="2"/>
  <c r="G3" i="2"/>
  <c r="G4" i="2"/>
  <c r="G124" i="2"/>
  <c r="G191" i="2"/>
  <c r="G537" i="2"/>
  <c r="G582" i="2"/>
  <c r="G621" i="2"/>
  <c r="G625" i="2"/>
  <c r="G741" i="2"/>
  <c r="G742" i="2"/>
  <c r="G747" i="2"/>
  <c r="G770" i="2"/>
  <c r="G772" i="2"/>
  <c r="G773" i="2"/>
  <c r="G777" i="2"/>
  <c r="G816" i="2"/>
  <c r="G823" i="2"/>
  <c r="G851" i="2"/>
  <c r="G854" i="2"/>
  <c r="G890" i="2"/>
  <c r="G893" i="2"/>
  <c r="G897" i="2"/>
  <c r="G931" i="2"/>
  <c r="G933" i="2"/>
  <c r="G934" i="2"/>
  <c r="G936" i="2"/>
  <c r="G958" i="2"/>
  <c r="G960" i="2"/>
  <c r="G961" i="2"/>
  <c r="G962" i="2"/>
  <c r="G963" i="2"/>
  <c r="G992" i="2"/>
  <c r="G995" i="2"/>
  <c r="G997" i="2"/>
  <c r="G1042" i="2"/>
  <c r="G1044" i="2"/>
  <c r="G1076" i="2"/>
  <c r="G1079" i="2"/>
  <c r="G1080" i="2"/>
  <c r="G1081" i="2"/>
  <c r="G1083" i="2"/>
  <c r="G1084" i="2"/>
  <c r="G1104" i="2"/>
  <c r="G1105" i="2"/>
  <c r="G1107" i="2"/>
  <c r="G1108" i="2"/>
  <c r="G1109" i="2"/>
  <c r="G1150" i="2"/>
  <c r="G1151" i="2"/>
  <c r="G1152" i="2"/>
  <c r="G1155" i="2"/>
  <c r="G1181" i="2"/>
  <c r="G1183" i="2"/>
  <c r="G1185" i="2"/>
  <c r="G1200" i="2"/>
  <c r="G1202" i="2"/>
  <c r="G1085" i="2"/>
  <c r="G7" i="2"/>
  <c r="G10" i="2"/>
  <c r="G13" i="2"/>
  <c r="G20" i="2"/>
  <c r="G21" i="2"/>
  <c r="G24" i="2"/>
  <c r="G25" i="2"/>
  <c r="G26" i="2"/>
  <c r="G28" i="2"/>
  <c r="G30" i="2"/>
  <c r="G35" i="2"/>
  <c r="G36" i="2"/>
  <c r="G44" i="2"/>
  <c r="G45" i="2"/>
  <c r="G73" i="2"/>
  <c r="G74" i="2"/>
  <c r="G78" i="2"/>
  <c r="G80" i="2"/>
  <c r="G81" i="2"/>
  <c r="G84" i="2"/>
  <c r="G89" i="2"/>
  <c r="G90" i="2"/>
  <c r="G92" i="2"/>
  <c r="G115" i="2"/>
  <c r="G122" i="2"/>
  <c r="G125" i="2"/>
  <c r="G129" i="2"/>
  <c r="G130" i="2"/>
  <c r="G131" i="2"/>
  <c r="G159" i="2"/>
  <c r="G163" i="2"/>
  <c r="G179" i="2"/>
  <c r="G180" i="2"/>
  <c r="G181" i="2"/>
  <c r="G188" i="2"/>
  <c r="G190" i="2"/>
  <c r="G192" i="2"/>
  <c r="G216" i="2"/>
  <c r="G217" i="2"/>
  <c r="G220" i="2"/>
  <c r="G225" i="2"/>
  <c r="G232" i="2"/>
  <c r="G234" i="2"/>
  <c r="G236" i="2"/>
  <c r="G237" i="2"/>
  <c r="G246" i="2"/>
  <c r="G247" i="2"/>
  <c r="G248" i="2"/>
  <c r="G249" i="2"/>
  <c r="G251" i="2"/>
  <c r="G252" i="2"/>
  <c r="G253" i="2"/>
  <c r="G254" i="2"/>
  <c r="G306" i="2"/>
  <c r="G307" i="2"/>
  <c r="G312" i="2"/>
  <c r="G343" i="2"/>
  <c r="G344" i="2"/>
  <c r="G351" i="2"/>
  <c r="G363" i="2"/>
  <c r="G367" i="2"/>
  <c r="G370" i="2"/>
  <c r="G375" i="2"/>
  <c r="G394" i="2"/>
  <c r="G403" i="2"/>
  <c r="G405" i="2"/>
  <c r="G407" i="2"/>
  <c r="G409" i="2"/>
  <c r="G429" i="2"/>
  <c r="G431" i="2"/>
  <c r="G442" i="2"/>
  <c r="G462" i="2"/>
  <c r="G463" i="2"/>
  <c r="G465" i="2"/>
  <c r="G467" i="2"/>
  <c r="G468" i="2"/>
  <c r="G470" i="2"/>
  <c r="G474" i="2"/>
  <c r="G475" i="2"/>
  <c r="G477" i="2"/>
  <c r="G478" i="2"/>
  <c r="G482" i="2"/>
  <c r="G483" i="2"/>
  <c r="G509" i="2"/>
  <c r="G514" i="2"/>
  <c r="G517" i="2"/>
  <c r="G536" i="2"/>
  <c r="G549" i="2"/>
  <c r="G551" i="2"/>
  <c r="G553" i="2"/>
  <c r="G563" i="2"/>
  <c r="G565" i="2"/>
  <c r="G566" i="2"/>
  <c r="G568" i="2"/>
  <c r="G580" i="2"/>
  <c r="G593" i="2"/>
  <c r="G622" i="2"/>
  <c r="G624" i="2"/>
  <c r="G626" i="2"/>
  <c r="G627" i="2"/>
  <c r="G645" i="2"/>
  <c r="G646" i="2"/>
  <c r="G680" i="2"/>
  <c r="G684" i="2"/>
  <c r="G698" i="2"/>
  <c r="G699" i="2"/>
  <c r="G700" i="2"/>
  <c r="G701" i="2"/>
  <c r="G716" i="2"/>
  <c r="G717" i="2"/>
  <c r="G727" i="2"/>
  <c r="G728" i="2"/>
  <c r="G729" i="2"/>
  <c r="G731" i="2"/>
  <c r="G734" i="2"/>
  <c r="G737" i="2"/>
  <c r="G738" i="2"/>
  <c r="G739" i="2"/>
  <c r="G740" i="2"/>
  <c r="G744" i="2"/>
  <c r="G745" i="2"/>
  <c r="G746" i="2"/>
  <c r="G750" i="2"/>
  <c r="G767" i="2"/>
  <c r="G768" i="2"/>
  <c r="G769" i="2"/>
  <c r="G771" i="2"/>
  <c r="G774" i="2"/>
  <c r="G779" i="2"/>
  <c r="G817" i="2"/>
  <c r="G818" i="2"/>
  <c r="G819" i="2"/>
  <c r="G820" i="2"/>
  <c r="G822" i="2"/>
  <c r="G853" i="2"/>
  <c r="G891" i="2"/>
  <c r="G930" i="2"/>
  <c r="G935" i="2"/>
  <c r="G937" i="2"/>
  <c r="G938" i="2"/>
  <c r="G940" i="2"/>
  <c r="G959" i="2"/>
  <c r="G33" i="2"/>
  <c r="G37" i="2"/>
  <c r="G42" i="2"/>
  <c r="G1153" i="2"/>
  <c r="G1154" i="2"/>
  <c r="G1157" i="2"/>
  <c r="G1078" i="2"/>
  <c r="G1106" i="2"/>
  <c r="G649" i="2"/>
  <c r="G682" i="2"/>
  <c r="G713" i="2"/>
  <c r="G715" i="2"/>
  <c r="G743" i="2"/>
  <c r="G775" i="2"/>
  <c r="G778" i="2"/>
  <c r="G855" i="2"/>
  <c r="G887" i="2"/>
  <c r="G888" i="2"/>
  <c r="G892" i="2"/>
  <c r="G895" i="2"/>
  <c r="G896" i="2"/>
  <c r="G900" i="2"/>
  <c r="G929" i="2"/>
  <c r="G932" i="2"/>
  <c r="G993" i="2"/>
  <c r="G996" i="2"/>
  <c r="G998" i="2"/>
  <c r="G999" i="2"/>
  <c r="G1110" i="2"/>
  <c r="G1111" i="2"/>
  <c r="G1201" i="2"/>
  <c r="G1077" i="2"/>
  <c r="G994" i="2"/>
  <c r="G1075" i="2"/>
  <c r="G1082" i="2"/>
  <c r="G899" i="2"/>
  <c r="G1043" i="2"/>
  <c r="G1156" i="2"/>
  <c r="G1184" i="2"/>
  <c r="G991" i="2"/>
  <c r="G11" i="2"/>
  <c r="G17" i="2"/>
  <c r="G18" i="2"/>
  <c r="G22" i="2"/>
  <c r="G23" i="2"/>
  <c r="G27" i="2"/>
  <c r="G29" i="2"/>
  <c r="G31" i="2"/>
  <c r="G32" i="2"/>
  <c r="G34" i="2"/>
  <c r="G38" i="2"/>
  <c r="G39" i="2"/>
  <c r="G40" i="2"/>
  <c r="G41" i="2"/>
  <c r="G43" i="2"/>
  <c r="G75" i="2"/>
  <c r="G76" i="2"/>
  <c r="G77" i="2"/>
  <c r="G79" i="2"/>
  <c r="G82" i="2"/>
  <c r="G83" i="2"/>
  <c r="G85" i="2"/>
  <c r="G86" i="2"/>
  <c r="G87" i="2"/>
  <c r="G88" i="2"/>
  <c r="G91" i="2"/>
  <c r="G93" i="2"/>
  <c r="G94" i="2"/>
  <c r="G110" i="2"/>
  <c r="G111" i="2"/>
  <c r="G112" i="2"/>
  <c r="G113" i="2"/>
  <c r="G114" i="2"/>
  <c r="G116" i="2"/>
  <c r="G117" i="2"/>
  <c r="G118" i="2"/>
  <c r="G119" i="2"/>
  <c r="G120" i="2"/>
  <c r="G121" i="2"/>
  <c r="G123" i="2"/>
  <c r="G126" i="2"/>
  <c r="G127" i="2"/>
  <c r="G128" i="2"/>
  <c r="G152" i="2"/>
  <c r="G153" i="2"/>
  <c r="G154" i="2"/>
  <c r="G155" i="2"/>
  <c r="G156" i="2"/>
  <c r="G157" i="2"/>
  <c r="G158" i="2"/>
  <c r="G160" i="2"/>
  <c r="G161" i="2"/>
  <c r="G162" i="2"/>
  <c r="G178" i="2"/>
  <c r="G182" i="2"/>
  <c r="G183" i="2"/>
  <c r="G184" i="2"/>
  <c r="G185" i="2"/>
  <c r="G186" i="2"/>
  <c r="G187" i="2"/>
  <c r="G189" i="2"/>
  <c r="G193" i="2"/>
  <c r="G194" i="2"/>
  <c r="G195" i="2"/>
  <c r="G196" i="2"/>
  <c r="G218" i="2"/>
  <c r="G219" i="2"/>
  <c r="G221" i="2"/>
  <c r="G222" i="2"/>
  <c r="G223" i="2"/>
  <c r="G224" i="2"/>
  <c r="G226" i="2"/>
  <c r="G227" i="2"/>
  <c r="G228" i="2"/>
  <c r="G229" i="2"/>
  <c r="G230" i="2"/>
  <c r="G231" i="2"/>
  <c r="G233" i="2"/>
  <c r="G239" i="2"/>
  <c r="G240" i="2"/>
  <c r="G241" i="2"/>
  <c r="G242" i="2"/>
  <c r="G243" i="2"/>
  <c r="G244" i="2"/>
  <c r="G245" i="2"/>
  <c r="G250" i="2"/>
  <c r="G255" i="2"/>
  <c r="G256" i="2"/>
  <c r="G257" i="2"/>
  <c r="G308" i="2"/>
  <c r="G310" i="2"/>
  <c r="G311" i="2"/>
  <c r="G313" i="2"/>
  <c r="G314" i="2"/>
  <c r="G315" i="2"/>
  <c r="G316" i="2"/>
  <c r="G317" i="2"/>
  <c r="G318" i="2"/>
  <c r="G319" i="2"/>
  <c r="G320" i="2"/>
  <c r="G321" i="2"/>
  <c r="G340" i="2"/>
  <c r="G341" i="2"/>
  <c r="G342" i="2"/>
  <c r="G345" i="2"/>
  <c r="G346" i="2"/>
  <c r="G347" i="2"/>
  <c r="G348" i="2"/>
  <c r="G349" i="2"/>
  <c r="G350" i="2"/>
  <c r="G362" i="2"/>
  <c r="G364" i="2"/>
  <c r="G365" i="2"/>
  <c r="G366" i="2"/>
  <c r="G368" i="2"/>
  <c r="G369" i="2"/>
  <c r="G371" i="2"/>
  <c r="G372" i="2"/>
  <c r="G373" i="2"/>
  <c r="G374" i="2"/>
  <c r="G393" i="2"/>
  <c r="G395" i="2"/>
  <c r="G397" i="2"/>
  <c r="G398" i="2"/>
  <c r="G399" i="2"/>
  <c r="G400" i="2"/>
  <c r="G401" i="2"/>
  <c r="G404" i="2"/>
  <c r="G406" i="2"/>
  <c r="G408" i="2"/>
  <c r="G410" i="2"/>
  <c r="G427" i="2"/>
  <c r="G428" i="2"/>
  <c r="G430" i="2"/>
  <c r="G432" i="2"/>
  <c r="G433" i="2"/>
  <c r="G434" i="2"/>
  <c r="G435" i="2"/>
  <c r="G436" i="2"/>
  <c r="G437" i="2"/>
  <c r="G438" i="2"/>
  <c r="G439" i="2"/>
  <c r="G440" i="2"/>
  <c r="G441" i="2"/>
  <c r="G464" i="2"/>
  <c r="G466" i="2"/>
  <c r="G469" i="2"/>
  <c r="G471" i="2"/>
  <c r="G472" i="2"/>
  <c r="G473" i="2"/>
  <c r="G476" i="2"/>
  <c r="G479" i="2"/>
  <c r="G480" i="2"/>
  <c r="G481" i="2"/>
  <c r="G504" i="2"/>
  <c r="G505" i="2"/>
  <c r="G506" i="2"/>
  <c r="G507" i="2"/>
  <c r="G508" i="2"/>
  <c r="G510" i="2"/>
  <c r="G511" i="2"/>
  <c r="G512" i="2"/>
  <c r="G513" i="2"/>
  <c r="G515" i="2"/>
  <c r="G516" i="2"/>
  <c r="G518" i="2"/>
  <c r="G534" i="2"/>
  <c r="G535" i="2"/>
  <c r="G538" i="2"/>
  <c r="G539" i="2"/>
  <c r="G540" i="2"/>
  <c r="G547" i="2"/>
  <c r="G548" i="2"/>
  <c r="G550" i="2"/>
  <c r="G552" i="2"/>
  <c r="G562" i="2"/>
  <c r="G564" i="2"/>
  <c r="G567" i="2"/>
  <c r="G569" i="2"/>
  <c r="G581" i="2"/>
  <c r="G583" i="2"/>
  <c r="G584" i="2"/>
  <c r="G585" i="2"/>
  <c r="G586" i="2"/>
  <c r="G587" i="2"/>
  <c r="G588" i="2"/>
  <c r="G589" i="2"/>
  <c r="G590" i="2"/>
  <c r="G591" i="2"/>
  <c r="G592" i="2"/>
  <c r="G594" i="2"/>
  <c r="G595" i="2"/>
  <c r="G620" i="2"/>
  <c r="G623" i="2"/>
  <c r="G643" i="2"/>
  <c r="G644" i="2"/>
  <c r="G647" i="2"/>
  <c r="G648" i="2"/>
  <c r="G681" i="2"/>
  <c r="G683" i="2"/>
  <c r="G685" i="2"/>
  <c r="G714" i="2"/>
  <c r="G730" i="2"/>
  <c r="G732" i="2"/>
  <c r="G733" i="2"/>
  <c r="G735" i="2"/>
  <c r="G736" i="2"/>
  <c r="G748" i="2"/>
  <c r="G749" i="2"/>
  <c r="G776" i="2"/>
  <c r="G780" i="2"/>
  <c r="G815" i="2"/>
  <c r="G821" i="2"/>
  <c r="G852" i="2"/>
  <c r="G889" i="2"/>
  <c r="G894" i="2"/>
  <c r="G898" i="2"/>
  <c r="G901" i="2"/>
  <c r="G1182" i="2"/>
  <c r="G6" i="2"/>
  <c r="G9" i="2"/>
  <c r="G14" i="2"/>
  <c r="G15" i="2"/>
  <c r="G19" i="2"/>
  <c r="G235" i="2"/>
  <c r="G238" i="2"/>
  <c r="G203" i="2"/>
  <c r="G208" i="2"/>
  <c r="G383" i="2"/>
  <c r="G532" i="2"/>
  <c r="G722" i="2"/>
  <c r="G8" i="2"/>
  <c r="G12" i="2"/>
  <c r="G49" i="2"/>
  <c r="G52" i="2"/>
  <c r="G54" i="2"/>
  <c r="G55" i="2"/>
  <c r="G58" i="2"/>
  <c r="G62" i="2"/>
  <c r="G70" i="2"/>
  <c r="G96" i="2"/>
  <c r="G98" i="2"/>
  <c r="G103" i="2"/>
  <c r="G107" i="2"/>
  <c r="G109" i="2"/>
  <c r="G133" i="2"/>
  <c r="G134" i="2"/>
  <c r="G136" i="2"/>
  <c r="G137" i="2"/>
  <c r="G138" i="2"/>
  <c r="G140" i="2"/>
  <c r="G141" i="2"/>
  <c r="G148" i="2"/>
  <c r="G149" i="2"/>
  <c r="G150" i="2"/>
  <c r="G168" i="2"/>
  <c r="G170" i="2"/>
  <c r="G172" i="2"/>
  <c r="G176" i="2"/>
  <c r="G200" i="2"/>
  <c r="G206" i="2"/>
  <c r="G209" i="2"/>
  <c r="G210" i="2"/>
  <c r="G212" i="2"/>
  <c r="G260" i="2"/>
  <c r="G267" i="2"/>
  <c r="G273" i="2"/>
  <c r="G274" i="2"/>
  <c r="G277" i="2"/>
  <c r="G279" i="2"/>
  <c r="G280" i="2"/>
  <c r="G281" i="2"/>
  <c r="G285" i="2"/>
  <c r="G286" i="2"/>
  <c r="G287" i="2"/>
  <c r="G292" i="2"/>
  <c r="G294" i="2"/>
  <c r="G295" i="2"/>
  <c r="G296" i="2"/>
  <c r="G297" i="2"/>
  <c r="G298" i="2"/>
  <c r="G299" i="2"/>
  <c r="G301" i="2"/>
  <c r="G302" i="2"/>
  <c r="G305" i="2"/>
  <c r="G309" i="2"/>
  <c r="G323" i="2"/>
  <c r="G326" i="2"/>
  <c r="G329" i="2"/>
  <c r="G331" i="2"/>
  <c r="G356" i="2"/>
  <c r="G377" i="2"/>
  <c r="G378" i="2"/>
  <c r="G379" i="2"/>
  <c r="G381" i="2"/>
  <c r="G389" i="2"/>
  <c r="G411" i="2"/>
  <c r="G412" i="2"/>
  <c r="G414" i="2"/>
  <c r="G417" i="2"/>
  <c r="G422" i="2"/>
  <c r="G425" i="2"/>
  <c r="G426" i="2"/>
  <c r="G448" i="2"/>
  <c r="G449" i="2"/>
  <c r="G450" i="2"/>
  <c r="G452" i="2"/>
  <c r="G453" i="2"/>
  <c r="G454" i="2"/>
  <c r="G455" i="2"/>
  <c r="G458" i="2"/>
  <c r="G487" i="2"/>
  <c r="G490" i="2"/>
  <c r="G493" i="2"/>
  <c r="G494" i="2"/>
  <c r="G498" i="2"/>
  <c r="G500" i="2"/>
  <c r="G501" i="2"/>
  <c r="G529" i="2"/>
  <c r="G542" i="2"/>
  <c r="G546" i="2"/>
  <c r="G555" i="2"/>
  <c r="G559" i="2"/>
  <c r="G560" i="2"/>
  <c r="G578" i="2"/>
  <c r="G600" i="2"/>
  <c r="G630" i="2"/>
  <c r="G651" i="2"/>
  <c r="G655" i="2"/>
  <c r="G669" i="2"/>
  <c r="G674" i="2"/>
  <c r="G677" i="2"/>
  <c r="G687" i="2"/>
  <c r="G689" i="2"/>
  <c r="G690" i="2"/>
  <c r="G692" i="2"/>
  <c r="G693" i="2"/>
  <c r="G723" i="2"/>
  <c r="G485" i="2"/>
  <c r="G544" i="2"/>
  <c r="G597" i="2"/>
  <c r="G656" i="2"/>
  <c r="G706" i="2"/>
  <c r="G707" i="2"/>
  <c r="G688" i="2"/>
  <c r="G702" i="2"/>
  <c r="G704" i="2"/>
  <c r="G705" i="2"/>
  <c r="G719" i="2"/>
  <c r="G720" i="2"/>
  <c r="G484" i="2"/>
  <c r="G533" i="2"/>
  <c r="G631" i="2"/>
  <c r="G5" i="2"/>
  <c r="G16" i="2"/>
  <c r="G46" i="2"/>
  <c r="G47" i="2"/>
  <c r="G48" i="2"/>
  <c r="G50" i="2"/>
  <c r="G51" i="2"/>
  <c r="G53" i="2"/>
  <c r="G56" i="2"/>
  <c r="G57" i="2"/>
  <c r="G59" i="2"/>
  <c r="G60" i="2"/>
  <c r="G61" i="2"/>
  <c r="G63" i="2"/>
  <c r="G64" i="2"/>
  <c r="G65" i="2"/>
  <c r="G66" i="2"/>
  <c r="G67" i="2"/>
  <c r="G68" i="2"/>
  <c r="G69" i="2"/>
  <c r="G71" i="2"/>
  <c r="G95" i="2"/>
  <c r="G97" i="2"/>
  <c r="G99" i="2"/>
  <c r="G100" i="2"/>
  <c r="G101" i="2"/>
  <c r="G102" i="2"/>
  <c r="G104" i="2"/>
  <c r="G105" i="2"/>
  <c r="G106" i="2"/>
  <c r="G108" i="2"/>
  <c r="G132" i="2"/>
  <c r="G135" i="2"/>
  <c r="G139" i="2"/>
  <c r="G142" i="2"/>
  <c r="G143" i="2"/>
  <c r="G144" i="2"/>
  <c r="G145" i="2"/>
  <c r="G146" i="2"/>
  <c r="G147" i="2"/>
  <c r="G151" i="2"/>
  <c r="G164" i="2"/>
  <c r="G165" i="2"/>
  <c r="G166" i="2"/>
  <c r="G167" i="2"/>
  <c r="G169" i="2"/>
  <c r="G171" i="2"/>
  <c r="G173" i="2"/>
  <c r="G174" i="2"/>
  <c r="G175" i="2"/>
  <c r="G177" i="2"/>
  <c r="G197" i="2"/>
  <c r="G198" i="2"/>
  <c r="G199" i="2"/>
  <c r="G201" i="2"/>
  <c r="G202" i="2"/>
  <c r="G204" i="2"/>
  <c r="G205" i="2"/>
  <c r="G207" i="2"/>
  <c r="G211" i="2"/>
  <c r="G213" i="2"/>
  <c r="G214" i="2"/>
  <c r="G215" i="2"/>
  <c r="G258" i="2"/>
  <c r="G259" i="2"/>
  <c r="G261" i="2"/>
  <c r="G262" i="2"/>
  <c r="G263" i="2"/>
  <c r="G264" i="2"/>
  <c r="G265" i="2"/>
  <c r="G266" i="2"/>
  <c r="G268" i="2"/>
  <c r="G269" i="2"/>
  <c r="G270" i="2"/>
  <c r="G271" i="2"/>
  <c r="G272" i="2"/>
  <c r="G275" i="2"/>
  <c r="G276" i="2"/>
  <c r="G278" i="2"/>
  <c r="G282" i="2"/>
  <c r="G283" i="2"/>
  <c r="G284" i="2"/>
  <c r="G288" i="2"/>
  <c r="G289" i="2"/>
  <c r="G290" i="2"/>
  <c r="G291" i="2"/>
  <c r="G293" i="2"/>
  <c r="G300" i="2"/>
  <c r="G303" i="2"/>
  <c r="G304" i="2"/>
  <c r="G322" i="2"/>
  <c r="G324" i="2"/>
  <c r="G325" i="2"/>
  <c r="G327" i="2"/>
  <c r="G328" i="2"/>
  <c r="G330" i="2"/>
  <c r="G332" i="2"/>
  <c r="G333" i="2"/>
  <c r="G334" i="2"/>
  <c r="G335" i="2"/>
  <c r="G336" i="2"/>
  <c r="G337" i="2"/>
  <c r="G338" i="2"/>
  <c r="G339" i="2"/>
  <c r="G352" i="2"/>
  <c r="G353" i="2"/>
  <c r="G354" i="2"/>
  <c r="G355" i="2"/>
  <c r="G357" i="2"/>
  <c r="G358" i="2"/>
  <c r="G359" i="2"/>
  <c r="G360" i="2"/>
  <c r="G361" i="2"/>
  <c r="G376" i="2"/>
  <c r="G380" i="2"/>
  <c r="G382" i="2"/>
  <c r="G384" i="2"/>
  <c r="G385" i="2"/>
  <c r="G386" i="2"/>
  <c r="G387" i="2"/>
  <c r="G388" i="2"/>
  <c r="G390" i="2"/>
  <c r="G391" i="2"/>
  <c r="G392" i="2"/>
  <c r="G396" i="2"/>
  <c r="G402" i="2"/>
  <c r="G413" i="2"/>
  <c r="G415" i="2"/>
  <c r="G416" i="2"/>
  <c r="G418" i="2"/>
  <c r="G419" i="2"/>
  <c r="G420" i="2"/>
  <c r="G421" i="2"/>
  <c r="G423" i="2"/>
  <c r="G424" i="2"/>
  <c r="G443" i="2"/>
  <c r="G444" i="2"/>
  <c r="G445" i="2"/>
  <c r="G446" i="2"/>
  <c r="G447" i="2"/>
  <c r="G451" i="2"/>
  <c r="G456" i="2"/>
  <c r="G457" i="2"/>
  <c r="G459" i="2"/>
  <c r="G460" i="2"/>
  <c r="G461" i="2"/>
  <c r="G486" i="2"/>
  <c r="G488" i="2"/>
  <c r="G489" i="2"/>
  <c r="G491" i="2"/>
  <c r="G492" i="2"/>
  <c r="G495" i="2"/>
  <c r="G496" i="2"/>
  <c r="G497" i="2"/>
  <c r="G499" i="2"/>
  <c r="G502" i="2"/>
  <c r="G503" i="2"/>
  <c r="G519" i="2"/>
  <c r="G520" i="2"/>
  <c r="G521" i="2"/>
  <c r="G522" i="2"/>
  <c r="G523" i="2"/>
  <c r="G524" i="2"/>
  <c r="G525" i="2"/>
  <c r="G526" i="2"/>
  <c r="G527" i="2"/>
  <c r="G528" i="2"/>
  <c r="G530" i="2"/>
  <c r="G541" i="2"/>
  <c r="G543" i="2"/>
  <c r="G545" i="2"/>
  <c r="G554" i="2"/>
  <c r="G556" i="2"/>
  <c r="G557" i="2"/>
  <c r="G558" i="2"/>
  <c r="G561" i="2"/>
  <c r="G570" i="2"/>
  <c r="G571" i="2"/>
  <c r="G572" i="2"/>
  <c r="G573" i="2"/>
  <c r="G574" i="2"/>
  <c r="G575" i="2"/>
  <c r="G576" i="2"/>
  <c r="G577" i="2"/>
  <c r="G579" i="2"/>
  <c r="G596" i="2"/>
  <c r="G598" i="2"/>
  <c r="G599" i="2"/>
  <c r="G601" i="2"/>
  <c r="G602" i="2"/>
  <c r="G628" i="2"/>
  <c r="G629" i="2"/>
  <c r="G632" i="2"/>
  <c r="G633" i="2"/>
  <c r="G650" i="2"/>
  <c r="G652" i="2"/>
  <c r="G653" i="2"/>
  <c r="G654" i="2"/>
  <c r="G670" i="2"/>
  <c r="G671" i="2"/>
  <c r="G672" i="2"/>
  <c r="G673" i="2"/>
  <c r="G675" i="2"/>
  <c r="G676" i="2"/>
  <c r="G678" i="2"/>
  <c r="G679" i="2"/>
  <c r="G691" i="2"/>
  <c r="G703" i="2"/>
  <c r="G718" i="2"/>
  <c r="G721" i="2"/>
  <c r="G724" i="2"/>
  <c r="G726" i="2"/>
  <c r="G72" i="2"/>
  <c r="G712" i="2"/>
  <c r="G751" i="2"/>
  <c r="G754" i="2"/>
  <c r="G782" i="2"/>
  <c r="G787" i="2"/>
  <c r="G790" i="2"/>
  <c r="G826" i="2"/>
  <c r="G829" i="2"/>
  <c r="G833" i="2"/>
  <c r="G856" i="2"/>
  <c r="G902" i="2"/>
  <c r="G904" i="2"/>
  <c r="G908" i="2"/>
  <c r="G912" i="2"/>
  <c r="G913" i="2"/>
  <c r="G914" i="2"/>
  <c r="G941" i="2"/>
  <c r="G943" i="2"/>
  <c r="G967" i="2"/>
  <c r="G968" i="2"/>
  <c r="G970" i="2"/>
  <c r="G971" i="2"/>
  <c r="G972" i="2"/>
  <c r="G973" i="2"/>
  <c r="G974" i="2"/>
  <c r="G1001" i="2"/>
  <c r="G1004" i="2"/>
  <c r="G1009" i="2"/>
  <c r="G1010" i="2"/>
  <c r="G1050" i="2"/>
  <c r="G1052" i="2"/>
  <c r="G1053" i="2"/>
  <c r="G1056" i="2"/>
  <c r="G1057" i="2"/>
  <c r="G1059" i="2"/>
  <c r="G1086" i="2"/>
  <c r="G1087" i="2"/>
  <c r="G1088" i="2"/>
  <c r="G1089" i="2"/>
  <c r="G1090" i="2"/>
  <c r="G1091" i="2"/>
  <c r="G1093" i="2"/>
  <c r="G1112" i="2"/>
  <c r="G1115" i="2"/>
  <c r="G1116" i="2"/>
  <c r="G1117" i="2"/>
  <c r="G1118" i="2"/>
  <c r="G1124" i="2"/>
  <c r="G1126" i="2"/>
  <c r="G1158" i="2"/>
  <c r="G1161" i="2"/>
  <c r="G1163" i="2"/>
  <c r="G1165" i="2"/>
  <c r="G1187" i="2"/>
  <c r="G1188" i="2"/>
  <c r="G1189" i="2"/>
  <c r="G1190" i="2"/>
  <c r="G1203" i="2"/>
  <c r="G1204" i="2"/>
  <c r="G1205" i="2"/>
  <c r="G1206" i="2"/>
  <c r="G1210" i="2"/>
  <c r="G1211" i="2"/>
  <c r="G1212" i="2"/>
  <c r="G1119" i="2"/>
  <c r="G910" i="2"/>
  <c r="G942" i="2"/>
  <c r="G1047" i="2"/>
  <c r="G531" i="2"/>
  <c r="G605" i="2"/>
  <c r="G606" i="2"/>
  <c r="G613" i="2"/>
  <c r="G614" i="2"/>
  <c r="G615" i="2"/>
  <c r="G616" i="2"/>
  <c r="G619" i="2"/>
  <c r="G637" i="2"/>
  <c r="G638" i="2"/>
  <c r="G639" i="2"/>
  <c r="G640" i="2"/>
  <c r="G641" i="2"/>
  <c r="G658" i="2"/>
  <c r="G663" i="2"/>
  <c r="G665" i="2"/>
  <c r="G696" i="2"/>
  <c r="G711" i="2"/>
  <c r="G725" i="2"/>
  <c r="G752" i="2"/>
  <c r="G783" i="2"/>
  <c r="G784" i="2"/>
  <c r="G785" i="2"/>
  <c r="G825" i="2"/>
  <c r="G828" i="2"/>
  <c r="G831" i="2"/>
  <c r="G834" i="2"/>
  <c r="G858" i="2"/>
  <c r="G859" i="2"/>
  <c r="G861" i="2"/>
  <c r="G862" i="2"/>
  <c r="G863" i="2"/>
  <c r="G864" i="2"/>
  <c r="G865" i="2"/>
  <c r="G906" i="2"/>
  <c r="G909" i="2"/>
  <c r="G917" i="2"/>
  <c r="G918" i="2"/>
  <c r="G1002" i="2"/>
  <c r="G1046" i="2"/>
  <c r="G1092" i="2"/>
  <c r="G1094" i="2"/>
  <c r="G1159" i="2"/>
  <c r="G1162" i="2"/>
  <c r="G1121" i="2"/>
  <c r="G1005" i="2"/>
  <c r="G1113" i="2"/>
  <c r="G694" i="2"/>
  <c r="G781" i="2"/>
  <c r="G824" i="2"/>
  <c r="G832" i="2"/>
  <c r="G857" i="2"/>
  <c r="G903" i="2"/>
  <c r="G905" i="2"/>
  <c r="G916" i="2"/>
  <c r="G964" i="2"/>
  <c r="G965" i="2"/>
  <c r="G1000" i="2"/>
  <c r="G1006" i="2"/>
  <c r="G1007" i="2"/>
  <c r="G1060" i="2"/>
  <c r="G1122" i="2"/>
  <c r="G1127" i="2"/>
  <c r="G1186" i="2"/>
  <c r="G1208" i="2"/>
  <c r="G1209" i="2"/>
  <c r="G1207" i="2"/>
  <c r="G617" i="2"/>
  <c r="G695" i="2"/>
  <c r="G755" i="2"/>
  <c r="G1055" i="2"/>
  <c r="G1160" i="2"/>
  <c r="G603" i="2"/>
  <c r="G604" i="2"/>
  <c r="G607" i="2"/>
  <c r="G608" i="2"/>
  <c r="G609" i="2"/>
  <c r="G610" i="2"/>
  <c r="G611" i="2"/>
  <c r="G612" i="2"/>
  <c r="G618" i="2"/>
  <c r="G634" i="2"/>
  <c r="G635" i="2"/>
  <c r="G636" i="2"/>
  <c r="G642" i="2"/>
  <c r="G657" i="2"/>
  <c r="G659" i="2"/>
  <c r="G660" i="2"/>
  <c r="G661" i="2"/>
  <c r="G662" i="2"/>
  <c r="G664" i="2"/>
  <c r="G666" i="2"/>
  <c r="G667" i="2"/>
  <c r="G668" i="2"/>
  <c r="G697" i="2"/>
  <c r="G708" i="2"/>
  <c r="G709" i="2"/>
  <c r="G710" i="2"/>
  <c r="G753" i="2"/>
  <c r="G786" i="2"/>
  <c r="G788" i="2"/>
  <c r="G789" i="2"/>
  <c r="G791" i="2"/>
  <c r="G827" i="2"/>
  <c r="G830" i="2"/>
  <c r="G860" i="2"/>
  <c r="G866" i="2"/>
  <c r="G867" i="2"/>
  <c r="G907" i="2"/>
  <c r="G911" i="2"/>
  <c r="G915" i="2"/>
  <c r="G939" i="2"/>
  <c r="G966" i="2"/>
  <c r="G1003" i="2"/>
  <c r="G1008" i="2"/>
  <c r="G1048" i="2"/>
  <c r="G1049" i="2"/>
  <c r="G1051" i="2"/>
  <c r="G1054" i="2"/>
  <c r="G1058" i="2"/>
  <c r="G1114" i="2"/>
  <c r="G1120" i="2"/>
  <c r="G1123" i="2"/>
  <c r="G1125" i="2"/>
  <c r="G756" i="2"/>
  <c r="G760" i="2"/>
  <c r="G792" i="2"/>
  <c r="G793" i="2"/>
  <c r="G796" i="2"/>
  <c r="G797" i="2"/>
  <c r="G800" i="2"/>
  <c r="G807" i="2"/>
  <c r="G810" i="2"/>
  <c r="G814" i="2"/>
  <c r="G835" i="2"/>
  <c r="G840" i="2"/>
  <c r="G842" i="2"/>
  <c r="G843" i="2"/>
  <c r="G848" i="2"/>
  <c r="G849" i="2"/>
  <c r="G850" i="2"/>
  <c r="G878" i="2"/>
  <c r="G879" i="2"/>
  <c r="G880" i="2"/>
  <c r="G885" i="2"/>
  <c r="G920" i="2"/>
  <c r="G921" i="2"/>
  <c r="G923" i="2"/>
  <c r="G924" i="2"/>
  <c r="G926" i="2"/>
  <c r="G944" i="2"/>
  <c r="G952" i="2"/>
  <c r="G957" i="2"/>
  <c r="G978" i="2"/>
  <c r="G979" i="2"/>
  <c r="G980" i="2"/>
  <c r="G982" i="2"/>
  <c r="G987" i="2"/>
  <c r="G1011" i="2"/>
  <c r="G1013" i="2"/>
  <c r="G1016" i="2"/>
  <c r="G1017" i="2"/>
  <c r="G1018" i="2"/>
  <c r="G1020" i="2"/>
  <c r="G1023" i="2"/>
  <c r="G1027" i="2"/>
  <c r="G1028" i="2"/>
  <c r="G1029" i="2"/>
  <c r="G1035" i="2"/>
  <c r="G1039" i="2"/>
  <c r="G1041" i="2"/>
  <c r="G1061" i="2"/>
  <c r="G1063" i="2"/>
  <c r="G1064" i="2"/>
  <c r="G1066" i="2"/>
  <c r="G1067" i="2"/>
  <c r="G1069" i="2"/>
  <c r="G1071" i="2"/>
  <c r="G1074" i="2"/>
  <c r="G1095" i="2"/>
  <c r="G1096" i="2"/>
  <c r="G1100" i="2"/>
  <c r="G1101" i="2"/>
  <c r="G1129" i="2"/>
  <c r="G1130" i="2"/>
  <c r="G1131" i="2"/>
  <c r="G1132" i="2"/>
  <c r="G1134" i="2"/>
  <c r="G1136" i="2"/>
  <c r="G1139" i="2"/>
  <c r="G1140" i="2"/>
  <c r="G1142" i="2"/>
  <c r="G1147" i="2"/>
  <c r="G1148" i="2"/>
  <c r="G1164" i="2"/>
  <c r="G1166" i="2"/>
  <c r="G1167" i="2"/>
  <c r="G1168" i="2"/>
  <c r="G1169" i="2"/>
  <c r="G1171" i="2"/>
  <c r="G1172" i="2"/>
  <c r="G1174" i="2"/>
  <c r="G1175" i="2"/>
  <c r="G1176" i="2"/>
  <c r="G1178" i="2"/>
  <c r="G1179" i="2"/>
  <c r="G1180" i="2"/>
  <c r="G1191" i="2"/>
  <c r="G1192" i="2"/>
  <c r="G1193" i="2"/>
  <c r="G1197" i="2"/>
  <c r="G1198" i="2"/>
  <c r="G1199" i="2"/>
  <c r="G1213" i="2"/>
  <c r="G1214" i="2"/>
  <c r="G1215" i="2"/>
  <c r="G1216" i="2"/>
  <c r="G1217" i="2"/>
  <c r="G1218" i="2"/>
  <c r="G1219" i="2"/>
  <c r="G1220" i="2"/>
  <c r="G1221" i="2"/>
  <c r="G1222" i="2"/>
  <c r="G1224" i="2"/>
  <c r="G1225" i="2"/>
  <c r="G1226" i="2"/>
  <c r="G1227" i="2"/>
  <c r="G1228" i="2"/>
  <c r="G1137" i="2"/>
  <c r="G1143" i="2"/>
  <c r="G1173" i="2"/>
  <c r="G1194" i="2"/>
  <c r="G1195" i="2"/>
  <c r="G801" i="2"/>
  <c r="G811" i="2"/>
  <c r="G950" i="2"/>
  <c r="G977" i="2"/>
  <c r="G989" i="2"/>
  <c r="G990" i="2"/>
  <c r="G1065" i="2"/>
  <c r="G757" i="2"/>
  <c r="G758" i="2"/>
  <c r="G763" i="2"/>
  <c r="G794" i="2"/>
  <c r="G802" i="2"/>
  <c r="G809" i="2"/>
  <c r="G838" i="2"/>
  <c r="G846" i="2"/>
  <c r="G847" i="2"/>
  <c r="G868" i="2"/>
  <c r="G876" i="2"/>
  <c r="G883" i="2"/>
  <c r="G884" i="2"/>
  <c r="G925" i="2"/>
  <c r="G928" i="2"/>
  <c r="G945" i="2"/>
  <c r="G947" i="2"/>
  <c r="G1026" i="2"/>
  <c r="G1062" i="2"/>
  <c r="G1146" i="2"/>
  <c r="G1097" i="2"/>
  <c r="G806" i="2"/>
  <c r="G983" i="2"/>
  <c r="G984" i="2"/>
  <c r="G1033" i="2"/>
  <c r="G1037" i="2"/>
  <c r="G1098" i="2"/>
  <c r="G1099" i="2"/>
  <c r="G1128" i="2"/>
  <c r="G1133" i="2"/>
  <c r="G1135" i="2"/>
  <c r="G1138" i="2"/>
  <c r="G1145" i="2"/>
  <c r="G1170" i="2"/>
  <c r="G1177" i="2"/>
  <c r="G759" i="2"/>
  <c r="G764" i="2"/>
  <c r="G808" i="2"/>
  <c r="G839" i="2"/>
  <c r="G844" i="2"/>
  <c r="G870" i="2"/>
  <c r="G873" i="2"/>
  <c r="G948" i="2"/>
  <c r="G953" i="2"/>
  <c r="G1015" i="2"/>
  <c r="G1032" i="2"/>
  <c r="G1072" i="2"/>
  <c r="G1102" i="2"/>
  <c r="G1144" i="2"/>
  <c r="G1223" i="2"/>
  <c r="G877" i="2"/>
  <c r="G951" i="2"/>
  <c r="G1021" i="2"/>
  <c r="G1196" i="2"/>
  <c r="G886" i="2"/>
  <c r="G954" i="2"/>
  <c r="G981" i="2"/>
  <c r="G985" i="2"/>
  <c r="G988" i="2"/>
  <c r="G1040" i="2"/>
  <c r="G1073" i="2"/>
  <c r="G1141" i="2"/>
  <c r="G761" i="2"/>
  <c r="G795" i="2"/>
  <c r="G798" i="2"/>
  <c r="G804" i="2"/>
  <c r="G812" i="2"/>
  <c r="G813" i="2"/>
  <c r="G845" i="2"/>
  <c r="G927" i="2"/>
  <c r="G949" i="2"/>
  <c r="G975" i="2"/>
  <c r="G1012" i="2"/>
  <c r="G1019" i="2"/>
  <c r="G1025" i="2"/>
  <c r="G1031" i="2"/>
  <c r="G1034" i="2"/>
  <c r="G1038" i="2"/>
  <c r="G1103" i="2"/>
  <c r="G1149" i="2"/>
  <c r="G686" i="2"/>
  <c r="G762" i="2"/>
  <c r="G765" i="2"/>
  <c r="G766" i="2"/>
  <c r="G799" i="2"/>
  <c r="G803" i="2"/>
  <c r="G805" i="2"/>
  <c r="G836" i="2"/>
  <c r="G837" i="2"/>
  <c r="G841" i="2"/>
  <c r="G869" i="2"/>
  <c r="G871" i="2"/>
  <c r="G872" i="2"/>
  <c r="G874" i="2"/>
  <c r="G875" i="2"/>
  <c r="G881" i="2"/>
  <c r="G882" i="2"/>
  <c r="G919" i="2"/>
  <c r="G922" i="2"/>
  <c r="G946" i="2"/>
  <c r="G955" i="2"/>
  <c r="G976" i="2"/>
  <c r="G986" i="2"/>
  <c r="G1014" i="2"/>
  <c r="G1022" i="2"/>
  <c r="G1024" i="2"/>
  <c r="G1030" i="2"/>
  <c r="G1036" i="2"/>
  <c r="G1068" i="2"/>
  <c r="G1070" i="2"/>
  <c r="BG50" i="13"/>
  <c r="D2" i="2"/>
  <c r="D3" i="2"/>
  <c r="D4" i="2"/>
  <c r="D124" i="2"/>
  <c r="D191" i="2"/>
  <c r="D537" i="2"/>
  <c r="D582" i="2"/>
  <c r="D621" i="2"/>
  <c r="D625" i="2"/>
  <c r="D741" i="2"/>
  <c r="D742" i="2"/>
  <c r="D747" i="2"/>
  <c r="D770" i="2"/>
  <c r="D772" i="2"/>
  <c r="D773" i="2"/>
  <c r="D777" i="2"/>
  <c r="D816" i="2"/>
  <c r="D823" i="2"/>
  <c r="D851" i="2"/>
  <c r="D854" i="2"/>
  <c r="D890" i="2"/>
  <c r="D893" i="2"/>
  <c r="D897" i="2"/>
  <c r="D931" i="2"/>
  <c r="D933" i="2"/>
  <c r="D934" i="2"/>
  <c r="D936" i="2"/>
  <c r="D958" i="2"/>
  <c r="D960" i="2"/>
  <c r="D961" i="2"/>
  <c r="D962" i="2"/>
  <c r="D963" i="2"/>
  <c r="D992" i="2"/>
  <c r="D995" i="2"/>
  <c r="D997" i="2"/>
  <c r="D1042" i="2"/>
  <c r="D1044" i="2"/>
  <c r="D1045" i="2"/>
  <c r="D1076" i="2"/>
  <c r="D1079" i="2"/>
  <c r="D1080" i="2"/>
  <c r="D1081" i="2"/>
  <c r="D1083" i="2"/>
  <c r="D1084" i="2"/>
  <c r="D1104" i="2"/>
  <c r="D1105" i="2"/>
  <c r="D1107" i="2"/>
  <c r="D1108" i="2"/>
  <c r="D1109" i="2"/>
  <c r="D1150" i="2"/>
  <c r="D1151" i="2"/>
  <c r="D1152" i="2"/>
  <c r="D1155" i="2"/>
  <c r="D1181" i="2"/>
  <c r="D1183" i="2"/>
  <c r="D1185" i="2"/>
  <c r="D1200" i="2"/>
  <c r="D1202" i="2"/>
  <c r="D1085" i="2"/>
  <c r="D7" i="2"/>
  <c r="D10" i="2"/>
  <c r="D13" i="2"/>
  <c r="D20" i="2"/>
  <c r="D21" i="2"/>
  <c r="D24" i="2"/>
  <c r="D25" i="2"/>
  <c r="D26" i="2"/>
  <c r="D28" i="2"/>
  <c r="D30" i="2"/>
  <c r="D35" i="2"/>
  <c r="D36" i="2"/>
  <c r="D44" i="2"/>
  <c r="D45" i="2"/>
  <c r="D73" i="2"/>
  <c r="D74" i="2"/>
  <c r="D78" i="2"/>
  <c r="D80" i="2"/>
  <c r="D81" i="2"/>
  <c r="D84" i="2"/>
  <c r="D89" i="2"/>
  <c r="D90" i="2"/>
  <c r="D92" i="2"/>
  <c r="D115" i="2"/>
  <c r="D122" i="2"/>
  <c r="D125" i="2"/>
  <c r="D129" i="2"/>
  <c r="D130" i="2"/>
  <c r="D131" i="2"/>
  <c r="D159" i="2"/>
  <c r="D163" i="2"/>
  <c r="D179" i="2"/>
  <c r="D180" i="2"/>
  <c r="D181" i="2"/>
  <c r="D188" i="2"/>
  <c r="D190" i="2"/>
  <c r="D192" i="2"/>
  <c r="D216" i="2"/>
  <c r="D217" i="2"/>
  <c r="D220" i="2"/>
  <c r="D225" i="2"/>
  <c r="D232" i="2"/>
  <c r="D234" i="2"/>
  <c r="D236" i="2"/>
  <c r="D237" i="2"/>
  <c r="D246" i="2"/>
  <c r="D247" i="2"/>
  <c r="D248" i="2"/>
  <c r="D249" i="2"/>
  <c r="D251" i="2"/>
  <c r="D252" i="2"/>
  <c r="D253" i="2"/>
  <c r="D254" i="2"/>
  <c r="D306" i="2"/>
  <c r="D307" i="2"/>
  <c r="D312" i="2"/>
  <c r="D343" i="2"/>
  <c r="D344" i="2"/>
  <c r="D351" i="2"/>
  <c r="D363" i="2"/>
  <c r="D367" i="2"/>
  <c r="D370" i="2"/>
  <c r="D375" i="2"/>
  <c r="D394" i="2"/>
  <c r="D403" i="2"/>
  <c r="D405" i="2"/>
  <c r="D407" i="2"/>
  <c r="D409" i="2"/>
  <c r="D429" i="2"/>
  <c r="D431" i="2"/>
  <c r="D442" i="2"/>
  <c r="D462" i="2"/>
  <c r="D463" i="2"/>
  <c r="D465" i="2"/>
  <c r="D467" i="2"/>
  <c r="D468" i="2"/>
  <c r="D470" i="2"/>
  <c r="D474" i="2"/>
  <c r="D475" i="2"/>
  <c r="D477" i="2"/>
  <c r="D478" i="2"/>
  <c r="D482" i="2"/>
  <c r="D483" i="2"/>
  <c r="D509" i="2"/>
  <c r="D514" i="2"/>
  <c r="D517" i="2"/>
  <c r="D536" i="2"/>
  <c r="D549" i="2"/>
  <c r="D551" i="2"/>
  <c r="D553" i="2"/>
  <c r="D563" i="2"/>
  <c r="D565" i="2"/>
  <c r="D566" i="2"/>
  <c r="D568" i="2"/>
  <c r="D580" i="2"/>
  <c r="D593" i="2"/>
  <c r="D622" i="2"/>
  <c r="D624" i="2"/>
  <c r="D626" i="2"/>
  <c r="D627" i="2"/>
  <c r="D645" i="2"/>
  <c r="D646" i="2"/>
  <c r="D680" i="2"/>
  <c r="D684" i="2"/>
  <c r="D698" i="2"/>
  <c r="D699" i="2"/>
  <c r="D700" i="2"/>
  <c r="D701" i="2"/>
  <c r="D716" i="2"/>
  <c r="D717" i="2"/>
  <c r="D727" i="2"/>
  <c r="D728" i="2"/>
  <c r="D729" i="2"/>
  <c r="D731" i="2"/>
  <c r="D734" i="2"/>
  <c r="D737" i="2"/>
  <c r="D738" i="2"/>
  <c r="D739" i="2"/>
  <c r="D740" i="2"/>
  <c r="D744" i="2"/>
  <c r="D745" i="2"/>
  <c r="D746" i="2"/>
  <c r="D750" i="2"/>
  <c r="D767" i="2"/>
  <c r="D768" i="2"/>
  <c r="D769" i="2"/>
  <c r="D771" i="2"/>
  <c r="D774" i="2"/>
  <c r="D779" i="2"/>
  <c r="D817" i="2"/>
  <c r="D818" i="2"/>
  <c r="D819" i="2"/>
  <c r="D820" i="2"/>
  <c r="D822" i="2"/>
  <c r="D853" i="2"/>
  <c r="D891" i="2"/>
  <c r="D930" i="2"/>
  <c r="D935" i="2"/>
  <c r="D937" i="2"/>
  <c r="D938" i="2"/>
  <c r="D940" i="2"/>
  <c r="D959" i="2"/>
  <c r="D33" i="2"/>
  <c r="D37" i="2"/>
  <c r="D42" i="2"/>
  <c r="D1153" i="2"/>
  <c r="D1154" i="2"/>
  <c r="D1157" i="2"/>
  <c r="D1078" i="2"/>
  <c r="D1106" i="2"/>
  <c r="D649" i="2"/>
  <c r="D682" i="2"/>
  <c r="D713" i="2"/>
  <c r="D715" i="2"/>
  <c r="D743" i="2"/>
  <c r="D775" i="2"/>
  <c r="D778" i="2"/>
  <c r="D855" i="2"/>
  <c r="D887" i="2"/>
  <c r="D888" i="2"/>
  <c r="D892" i="2"/>
  <c r="D895" i="2"/>
  <c r="D896" i="2"/>
  <c r="D900" i="2"/>
  <c r="D929" i="2"/>
  <c r="D932" i="2"/>
  <c r="D993" i="2"/>
  <c r="D996" i="2"/>
  <c r="D998" i="2"/>
  <c r="D999" i="2"/>
  <c r="D1110" i="2"/>
  <c r="D1111" i="2"/>
  <c r="D1201" i="2"/>
  <c r="D1077" i="2"/>
  <c r="D994" i="2"/>
  <c r="D1075" i="2"/>
  <c r="D1082" i="2"/>
  <c r="D899" i="2"/>
  <c r="D1043" i="2"/>
  <c r="D1156" i="2"/>
  <c r="D1184" i="2"/>
  <c r="D991" i="2"/>
  <c r="D11" i="2"/>
  <c r="D17" i="2"/>
  <c r="D18" i="2"/>
  <c r="D22" i="2"/>
  <c r="D23" i="2"/>
  <c r="D27" i="2"/>
  <c r="D29" i="2"/>
  <c r="D31" i="2"/>
  <c r="D32" i="2"/>
  <c r="D34" i="2"/>
  <c r="D38" i="2"/>
  <c r="D39" i="2"/>
  <c r="D40" i="2"/>
  <c r="D41" i="2"/>
  <c r="D43" i="2"/>
  <c r="D75" i="2"/>
  <c r="D76" i="2"/>
  <c r="D77" i="2"/>
  <c r="D79" i="2"/>
  <c r="D82" i="2"/>
  <c r="D83" i="2"/>
  <c r="D85" i="2"/>
  <c r="D86" i="2"/>
  <c r="D87" i="2"/>
  <c r="D88" i="2"/>
  <c r="D91" i="2"/>
  <c r="D93" i="2"/>
  <c r="D94" i="2"/>
  <c r="D110" i="2"/>
  <c r="D111" i="2"/>
  <c r="D112" i="2"/>
  <c r="D113" i="2"/>
  <c r="D114" i="2"/>
  <c r="D116" i="2"/>
  <c r="D117" i="2"/>
  <c r="D118" i="2"/>
  <c r="D119" i="2"/>
  <c r="D120" i="2"/>
  <c r="D121" i="2"/>
  <c r="D123" i="2"/>
  <c r="D126" i="2"/>
  <c r="D127" i="2"/>
  <c r="D128" i="2"/>
  <c r="D152" i="2"/>
  <c r="D153" i="2"/>
  <c r="D154" i="2"/>
  <c r="D155" i="2"/>
  <c r="D156" i="2"/>
  <c r="D157" i="2"/>
  <c r="D158" i="2"/>
  <c r="D160" i="2"/>
  <c r="D161" i="2"/>
  <c r="D162" i="2"/>
  <c r="D178" i="2"/>
  <c r="D182" i="2"/>
  <c r="D183" i="2"/>
  <c r="D184" i="2"/>
  <c r="D185" i="2"/>
  <c r="D186" i="2"/>
  <c r="D187" i="2"/>
  <c r="D189" i="2"/>
  <c r="D193" i="2"/>
  <c r="D194" i="2"/>
  <c r="D195" i="2"/>
  <c r="D196" i="2"/>
  <c r="D218" i="2"/>
  <c r="D219" i="2"/>
  <c r="D221" i="2"/>
  <c r="D222" i="2"/>
  <c r="D223" i="2"/>
  <c r="D224" i="2"/>
  <c r="D226" i="2"/>
  <c r="D227" i="2"/>
  <c r="D228" i="2"/>
  <c r="D229" i="2"/>
  <c r="D230" i="2"/>
  <c r="D231" i="2"/>
  <c r="D233" i="2"/>
  <c r="D239" i="2"/>
  <c r="D240" i="2"/>
  <c r="D241" i="2"/>
  <c r="D242" i="2"/>
  <c r="D243" i="2"/>
  <c r="D244" i="2"/>
  <c r="D245" i="2"/>
  <c r="D250" i="2"/>
  <c r="D255" i="2"/>
  <c r="D256" i="2"/>
  <c r="D257" i="2"/>
  <c r="D308" i="2"/>
  <c r="D310" i="2"/>
  <c r="D311" i="2"/>
  <c r="D313" i="2"/>
  <c r="D314" i="2"/>
  <c r="D315" i="2"/>
  <c r="D316" i="2"/>
  <c r="D317" i="2"/>
  <c r="D318" i="2"/>
  <c r="D319" i="2"/>
  <c r="D320" i="2"/>
  <c r="D321" i="2"/>
  <c r="D340" i="2"/>
  <c r="D341" i="2"/>
  <c r="D342" i="2"/>
  <c r="D345" i="2"/>
  <c r="D346" i="2"/>
  <c r="D347" i="2"/>
  <c r="D348" i="2"/>
  <c r="D349" i="2"/>
  <c r="D350" i="2"/>
  <c r="D362" i="2"/>
  <c r="D364" i="2"/>
  <c r="D365" i="2"/>
  <c r="D366" i="2"/>
  <c r="D368" i="2"/>
  <c r="D369" i="2"/>
  <c r="D371" i="2"/>
  <c r="D372" i="2"/>
  <c r="D373" i="2"/>
  <c r="D374" i="2"/>
  <c r="D393" i="2"/>
  <c r="D395" i="2"/>
  <c r="D397" i="2"/>
  <c r="D398" i="2"/>
  <c r="D399" i="2"/>
  <c r="D400" i="2"/>
  <c r="D401" i="2"/>
  <c r="D404" i="2"/>
  <c r="D406" i="2"/>
  <c r="D408" i="2"/>
  <c r="D410" i="2"/>
  <c r="D427" i="2"/>
  <c r="D428" i="2"/>
  <c r="D430" i="2"/>
  <c r="D432" i="2"/>
  <c r="D433" i="2"/>
  <c r="D434" i="2"/>
  <c r="D435" i="2"/>
  <c r="D436" i="2"/>
  <c r="D437" i="2"/>
  <c r="D438" i="2"/>
  <c r="D439" i="2"/>
  <c r="D440" i="2"/>
  <c r="D441" i="2"/>
  <c r="D464" i="2"/>
  <c r="D466" i="2"/>
  <c r="D469" i="2"/>
  <c r="D471" i="2"/>
  <c r="D472" i="2"/>
  <c r="D473" i="2"/>
  <c r="D476" i="2"/>
  <c r="D479" i="2"/>
  <c r="D480" i="2"/>
  <c r="D481" i="2"/>
  <c r="D504" i="2"/>
  <c r="D505" i="2"/>
  <c r="D506" i="2"/>
  <c r="D507" i="2"/>
  <c r="D508" i="2"/>
  <c r="D510" i="2"/>
  <c r="D511" i="2"/>
  <c r="D512" i="2"/>
  <c r="D513" i="2"/>
  <c r="D515" i="2"/>
  <c r="D516" i="2"/>
  <c r="D518" i="2"/>
  <c r="D534" i="2"/>
  <c r="D535" i="2"/>
  <c r="D538" i="2"/>
  <c r="D539" i="2"/>
  <c r="D540" i="2"/>
  <c r="D547" i="2"/>
  <c r="D548" i="2"/>
  <c r="D550" i="2"/>
  <c r="D552" i="2"/>
  <c r="D562" i="2"/>
  <c r="D564" i="2"/>
  <c r="D567" i="2"/>
  <c r="D569" i="2"/>
  <c r="D581" i="2"/>
  <c r="D583" i="2"/>
  <c r="D584" i="2"/>
  <c r="D585" i="2"/>
  <c r="D586" i="2"/>
  <c r="D587" i="2"/>
  <c r="D588" i="2"/>
  <c r="D589" i="2"/>
  <c r="D590" i="2"/>
  <c r="D591" i="2"/>
  <c r="D592" i="2"/>
  <c r="D594" i="2"/>
  <c r="D595" i="2"/>
  <c r="D620" i="2"/>
  <c r="D623" i="2"/>
  <c r="D643" i="2"/>
  <c r="D644" i="2"/>
  <c r="D647" i="2"/>
  <c r="D648" i="2"/>
  <c r="D681" i="2"/>
  <c r="D683" i="2"/>
  <c r="D685" i="2"/>
  <c r="D714" i="2"/>
  <c r="D730" i="2"/>
  <c r="D732" i="2"/>
  <c r="D733" i="2"/>
  <c r="D735" i="2"/>
  <c r="D736" i="2"/>
  <c r="D748" i="2"/>
  <c r="D749" i="2"/>
  <c r="D776" i="2"/>
  <c r="D780" i="2"/>
  <c r="D815" i="2"/>
  <c r="D821" i="2"/>
  <c r="D852" i="2"/>
  <c r="D889" i="2"/>
  <c r="D894" i="2"/>
  <c r="D898" i="2"/>
  <c r="D901" i="2"/>
  <c r="D1182" i="2"/>
  <c r="D6" i="2"/>
  <c r="D9" i="2"/>
  <c r="D14" i="2"/>
  <c r="D15" i="2"/>
  <c r="D19" i="2"/>
  <c r="D235" i="2"/>
  <c r="D238" i="2"/>
  <c r="D203" i="2"/>
  <c r="D208" i="2"/>
  <c r="D383" i="2"/>
  <c r="D532" i="2"/>
  <c r="D722" i="2"/>
  <c r="D8" i="2"/>
  <c r="D12" i="2"/>
  <c r="D49" i="2"/>
  <c r="D52" i="2"/>
  <c r="D54" i="2"/>
  <c r="D55" i="2"/>
  <c r="D58" i="2"/>
  <c r="D62" i="2"/>
  <c r="D70" i="2"/>
  <c r="D96" i="2"/>
  <c r="D98" i="2"/>
  <c r="D103" i="2"/>
  <c r="D107" i="2"/>
  <c r="D109" i="2"/>
  <c r="D133" i="2"/>
  <c r="D134" i="2"/>
  <c r="D136" i="2"/>
  <c r="D137" i="2"/>
  <c r="D138" i="2"/>
  <c r="D140" i="2"/>
  <c r="D141" i="2"/>
  <c r="D148" i="2"/>
  <c r="D149" i="2"/>
  <c r="D150" i="2"/>
  <c r="D168" i="2"/>
  <c r="D170" i="2"/>
  <c r="D172" i="2"/>
  <c r="D176" i="2"/>
  <c r="D200" i="2"/>
  <c r="D206" i="2"/>
  <c r="D209" i="2"/>
  <c r="D210" i="2"/>
  <c r="D212" i="2"/>
  <c r="D260" i="2"/>
  <c r="D267" i="2"/>
  <c r="D273" i="2"/>
  <c r="D274" i="2"/>
  <c r="D277" i="2"/>
  <c r="D279" i="2"/>
  <c r="D280" i="2"/>
  <c r="D281" i="2"/>
  <c r="D285" i="2"/>
  <c r="D286" i="2"/>
  <c r="D287" i="2"/>
  <c r="D292" i="2"/>
  <c r="D294" i="2"/>
  <c r="D295" i="2"/>
  <c r="D296" i="2"/>
  <c r="D297" i="2"/>
  <c r="D298" i="2"/>
  <c r="D299" i="2"/>
  <c r="D301" i="2"/>
  <c r="D302" i="2"/>
  <c r="D305" i="2"/>
  <c r="D309" i="2"/>
  <c r="D323" i="2"/>
  <c r="D326" i="2"/>
  <c r="D329" i="2"/>
  <c r="D331" i="2"/>
  <c r="D356" i="2"/>
  <c r="D377" i="2"/>
  <c r="D378" i="2"/>
  <c r="D379" i="2"/>
  <c r="D381" i="2"/>
  <c r="D389" i="2"/>
  <c r="D411" i="2"/>
  <c r="D412" i="2"/>
  <c r="D414" i="2"/>
  <c r="D417" i="2"/>
  <c r="D422" i="2"/>
  <c r="D425" i="2"/>
  <c r="D426" i="2"/>
  <c r="D448" i="2"/>
  <c r="D449" i="2"/>
  <c r="D450" i="2"/>
  <c r="D452" i="2"/>
  <c r="D453" i="2"/>
  <c r="D454" i="2"/>
  <c r="D455" i="2"/>
  <c r="D458" i="2"/>
  <c r="D487" i="2"/>
  <c r="D490" i="2"/>
  <c r="D493" i="2"/>
  <c r="D494" i="2"/>
  <c r="D498" i="2"/>
  <c r="D500" i="2"/>
  <c r="D501" i="2"/>
  <c r="D529" i="2"/>
  <c r="D542" i="2"/>
  <c r="D546" i="2"/>
  <c r="D555" i="2"/>
  <c r="D559" i="2"/>
  <c r="D560" i="2"/>
  <c r="D578" i="2"/>
  <c r="D600" i="2"/>
  <c r="D630" i="2"/>
  <c r="D651" i="2"/>
  <c r="D655" i="2"/>
  <c r="D669" i="2"/>
  <c r="D674" i="2"/>
  <c r="D677" i="2"/>
  <c r="D687" i="2"/>
  <c r="D689" i="2"/>
  <c r="D690" i="2"/>
  <c r="D692" i="2"/>
  <c r="D693" i="2"/>
  <c r="D723" i="2"/>
  <c r="D485" i="2"/>
  <c r="D544" i="2"/>
  <c r="D597" i="2"/>
  <c r="D656" i="2"/>
  <c r="D706" i="2"/>
  <c r="D707" i="2"/>
  <c r="D688" i="2"/>
  <c r="D702" i="2"/>
  <c r="D704" i="2"/>
  <c r="D705" i="2"/>
  <c r="D719" i="2"/>
  <c r="D720" i="2"/>
  <c r="D484" i="2"/>
  <c r="D533" i="2"/>
  <c r="D631" i="2"/>
  <c r="D5" i="2"/>
  <c r="D16" i="2"/>
  <c r="D46" i="2"/>
  <c r="D47" i="2"/>
  <c r="D48" i="2"/>
  <c r="D50" i="2"/>
  <c r="D51" i="2"/>
  <c r="D53" i="2"/>
  <c r="D56" i="2"/>
  <c r="D57" i="2"/>
  <c r="D59" i="2"/>
  <c r="D60" i="2"/>
  <c r="D61" i="2"/>
  <c r="D63" i="2"/>
  <c r="D64" i="2"/>
  <c r="D65" i="2"/>
  <c r="D66" i="2"/>
  <c r="D67" i="2"/>
  <c r="D68" i="2"/>
  <c r="D69" i="2"/>
  <c r="D71" i="2"/>
  <c r="D95" i="2"/>
  <c r="D97" i="2"/>
  <c r="D99" i="2"/>
  <c r="D100" i="2"/>
  <c r="D101" i="2"/>
  <c r="D102" i="2"/>
  <c r="D104" i="2"/>
  <c r="D105" i="2"/>
  <c r="D106" i="2"/>
  <c r="D108" i="2"/>
  <c r="D132" i="2"/>
  <c r="D135" i="2"/>
  <c r="D139" i="2"/>
  <c r="D142" i="2"/>
  <c r="D143" i="2"/>
  <c r="D144" i="2"/>
  <c r="D145" i="2"/>
  <c r="D146" i="2"/>
  <c r="D147" i="2"/>
  <c r="D151" i="2"/>
  <c r="D164" i="2"/>
  <c r="D165" i="2"/>
  <c r="D166" i="2"/>
  <c r="D167" i="2"/>
  <c r="D169" i="2"/>
  <c r="D171" i="2"/>
  <c r="D173" i="2"/>
  <c r="D174" i="2"/>
  <c r="D175" i="2"/>
  <c r="D177" i="2"/>
  <c r="D197" i="2"/>
  <c r="D198" i="2"/>
  <c r="D199" i="2"/>
  <c r="D201" i="2"/>
  <c r="D202" i="2"/>
  <c r="D204" i="2"/>
  <c r="D205" i="2"/>
  <c r="D207" i="2"/>
  <c r="D211" i="2"/>
  <c r="D213" i="2"/>
  <c r="D214" i="2"/>
  <c r="D215" i="2"/>
  <c r="D258" i="2"/>
  <c r="D259" i="2"/>
  <c r="D261" i="2"/>
  <c r="D262" i="2"/>
  <c r="D263" i="2"/>
  <c r="D264" i="2"/>
  <c r="D265" i="2"/>
  <c r="D266" i="2"/>
  <c r="D268" i="2"/>
  <c r="D269" i="2"/>
  <c r="D270" i="2"/>
  <c r="D271" i="2"/>
  <c r="D272" i="2"/>
  <c r="D275" i="2"/>
  <c r="D276" i="2"/>
  <c r="D278" i="2"/>
  <c r="D282" i="2"/>
  <c r="D283" i="2"/>
  <c r="D284" i="2"/>
  <c r="D288" i="2"/>
  <c r="D289" i="2"/>
  <c r="D290" i="2"/>
  <c r="D291" i="2"/>
  <c r="D293" i="2"/>
  <c r="D300" i="2"/>
  <c r="D303" i="2"/>
  <c r="D304" i="2"/>
  <c r="D322" i="2"/>
  <c r="D324" i="2"/>
  <c r="D325" i="2"/>
  <c r="D327" i="2"/>
  <c r="D328" i="2"/>
  <c r="D330" i="2"/>
  <c r="D332" i="2"/>
  <c r="D333" i="2"/>
  <c r="D334" i="2"/>
  <c r="D335" i="2"/>
  <c r="D336" i="2"/>
  <c r="D337" i="2"/>
  <c r="D338" i="2"/>
  <c r="D339" i="2"/>
  <c r="D352" i="2"/>
  <c r="D353" i="2"/>
  <c r="D354" i="2"/>
  <c r="D355" i="2"/>
  <c r="D357" i="2"/>
  <c r="D358" i="2"/>
  <c r="D359" i="2"/>
  <c r="D360" i="2"/>
  <c r="D361" i="2"/>
  <c r="D376" i="2"/>
  <c r="D380" i="2"/>
  <c r="D382" i="2"/>
  <c r="D384" i="2"/>
  <c r="D385" i="2"/>
  <c r="D386" i="2"/>
  <c r="D387" i="2"/>
  <c r="D388" i="2"/>
  <c r="D390" i="2"/>
  <c r="D391" i="2"/>
  <c r="D392" i="2"/>
  <c r="D396" i="2"/>
  <c r="D402" i="2"/>
  <c r="D413" i="2"/>
  <c r="D415" i="2"/>
  <c r="D416" i="2"/>
  <c r="D418" i="2"/>
  <c r="D419" i="2"/>
  <c r="D420" i="2"/>
  <c r="D421" i="2"/>
  <c r="D423" i="2"/>
  <c r="D424" i="2"/>
  <c r="D443" i="2"/>
  <c r="D444" i="2"/>
  <c r="D445" i="2"/>
  <c r="D446" i="2"/>
  <c r="D447" i="2"/>
  <c r="D451" i="2"/>
  <c r="D456" i="2"/>
  <c r="D457" i="2"/>
  <c r="D459" i="2"/>
  <c r="D460" i="2"/>
  <c r="D461" i="2"/>
  <c r="D486" i="2"/>
  <c r="D488" i="2"/>
  <c r="D489" i="2"/>
  <c r="D491" i="2"/>
  <c r="D492" i="2"/>
  <c r="D495" i="2"/>
  <c r="D496" i="2"/>
  <c r="D497" i="2"/>
  <c r="D499" i="2"/>
  <c r="D502" i="2"/>
  <c r="D503" i="2"/>
  <c r="D519" i="2"/>
  <c r="D520" i="2"/>
  <c r="D521" i="2"/>
  <c r="D522" i="2"/>
  <c r="D523" i="2"/>
  <c r="D524" i="2"/>
  <c r="D525" i="2"/>
  <c r="D526" i="2"/>
  <c r="D527" i="2"/>
  <c r="D528" i="2"/>
  <c r="D530" i="2"/>
  <c r="D541" i="2"/>
  <c r="D543" i="2"/>
  <c r="D545" i="2"/>
  <c r="D554" i="2"/>
  <c r="D556" i="2"/>
  <c r="D557" i="2"/>
  <c r="D558" i="2"/>
  <c r="D561" i="2"/>
  <c r="D570" i="2"/>
  <c r="D571" i="2"/>
  <c r="D572" i="2"/>
  <c r="D573" i="2"/>
  <c r="D574" i="2"/>
  <c r="D575" i="2"/>
  <c r="D576" i="2"/>
  <c r="D577" i="2"/>
  <c r="D579" i="2"/>
  <c r="D596" i="2"/>
  <c r="D598" i="2"/>
  <c r="D599" i="2"/>
  <c r="D601" i="2"/>
  <c r="D602" i="2"/>
  <c r="D628" i="2"/>
  <c r="D629" i="2"/>
  <c r="D632" i="2"/>
  <c r="D633" i="2"/>
  <c r="D650" i="2"/>
  <c r="D652" i="2"/>
  <c r="D653" i="2"/>
  <c r="D654" i="2"/>
  <c r="D670" i="2"/>
  <c r="D671" i="2"/>
  <c r="D672" i="2"/>
  <c r="D673" i="2"/>
  <c r="D675" i="2"/>
  <c r="D676" i="2"/>
  <c r="D678" i="2"/>
  <c r="D679" i="2"/>
  <c r="D691" i="2"/>
  <c r="D703" i="2"/>
  <c r="D718" i="2"/>
  <c r="D721" i="2"/>
  <c r="D724" i="2"/>
  <c r="D726" i="2"/>
  <c r="D72" i="2"/>
  <c r="D712" i="2"/>
  <c r="D751" i="2"/>
  <c r="D754" i="2"/>
  <c r="D787" i="2"/>
  <c r="D790" i="2"/>
  <c r="D826" i="2"/>
  <c r="D829" i="2"/>
  <c r="D833" i="2"/>
  <c r="D856" i="2"/>
  <c r="D902" i="2"/>
  <c r="D904" i="2"/>
  <c r="D908" i="2"/>
  <c r="D912" i="2"/>
  <c r="D913" i="2"/>
  <c r="D914" i="2"/>
  <c r="D941" i="2"/>
  <c r="D943" i="2"/>
  <c r="D967" i="2"/>
  <c r="D968" i="2"/>
  <c r="D970" i="2"/>
  <c r="D971" i="2"/>
  <c r="D972" i="2"/>
  <c r="D973" i="2"/>
  <c r="D974" i="2"/>
  <c r="D1001" i="2"/>
  <c r="D1004" i="2"/>
  <c r="D1009" i="2"/>
  <c r="D1010" i="2"/>
  <c r="D1050" i="2"/>
  <c r="D1052" i="2"/>
  <c r="D1053" i="2"/>
  <c r="D1056" i="2"/>
  <c r="D1057" i="2"/>
  <c r="D1059" i="2"/>
  <c r="D1086" i="2"/>
  <c r="D1087" i="2"/>
  <c r="D1088" i="2"/>
  <c r="D1089" i="2"/>
  <c r="D1090" i="2"/>
  <c r="D1091" i="2"/>
  <c r="D1093" i="2"/>
  <c r="D1112" i="2"/>
  <c r="D1115" i="2"/>
  <c r="D1116" i="2"/>
  <c r="D1117" i="2"/>
  <c r="D1118" i="2"/>
  <c r="D1124" i="2"/>
  <c r="D1126" i="2"/>
  <c r="D1158" i="2"/>
  <c r="D1161" i="2"/>
  <c r="D1163" i="2"/>
  <c r="D1165" i="2"/>
  <c r="D1187" i="2"/>
  <c r="D1188" i="2"/>
  <c r="D1189" i="2"/>
  <c r="D1190" i="2"/>
  <c r="D1203" i="2"/>
  <c r="D1204" i="2"/>
  <c r="D1205" i="2"/>
  <c r="D1206" i="2"/>
  <c r="D1210" i="2"/>
  <c r="D1211" i="2"/>
  <c r="D1212" i="2"/>
  <c r="D1119" i="2"/>
  <c r="D910" i="2"/>
  <c r="D942" i="2"/>
  <c r="D1047" i="2"/>
  <c r="D531" i="2"/>
  <c r="D605" i="2"/>
  <c r="D606" i="2"/>
  <c r="D613" i="2"/>
  <c r="D614" i="2"/>
  <c r="D615" i="2"/>
  <c r="D616" i="2"/>
  <c r="D619" i="2"/>
  <c r="D637" i="2"/>
  <c r="D638" i="2"/>
  <c r="D639" i="2"/>
  <c r="D640" i="2"/>
  <c r="D641" i="2"/>
  <c r="D658" i="2"/>
  <c r="D663" i="2"/>
  <c r="D665" i="2"/>
  <c r="D696" i="2"/>
  <c r="D711" i="2"/>
  <c r="D725" i="2"/>
  <c r="D752" i="2"/>
  <c r="D783" i="2"/>
  <c r="D784" i="2"/>
  <c r="D785" i="2"/>
  <c r="D825" i="2"/>
  <c r="D828" i="2"/>
  <c r="D831" i="2"/>
  <c r="D834" i="2"/>
  <c r="D858" i="2"/>
  <c r="D859" i="2"/>
  <c r="D861" i="2"/>
  <c r="D862" i="2"/>
  <c r="D863" i="2"/>
  <c r="D864" i="2"/>
  <c r="D865" i="2"/>
  <c r="D906" i="2"/>
  <c r="D909" i="2"/>
  <c r="D917" i="2"/>
  <c r="D918" i="2"/>
  <c r="D1002" i="2"/>
  <c r="D1046" i="2"/>
  <c r="D1092" i="2"/>
  <c r="D1094" i="2"/>
  <c r="D1159" i="2"/>
  <c r="D1162" i="2"/>
  <c r="D1121" i="2"/>
  <c r="D1005" i="2"/>
  <c r="D1113" i="2"/>
  <c r="D694" i="2"/>
  <c r="D781" i="2"/>
  <c r="D824" i="2"/>
  <c r="D832" i="2"/>
  <c r="D857" i="2"/>
  <c r="D903" i="2"/>
  <c r="D905" i="2"/>
  <c r="D916" i="2"/>
  <c r="D964" i="2"/>
  <c r="D965" i="2"/>
  <c r="D1000" i="2"/>
  <c r="D1006" i="2"/>
  <c r="D1007" i="2"/>
  <c r="D1060" i="2"/>
  <c r="D1127" i="2"/>
  <c r="D1186" i="2"/>
  <c r="D1208" i="2"/>
  <c r="D1209" i="2"/>
  <c r="D1207" i="2"/>
  <c r="D617" i="2"/>
  <c r="D695" i="2"/>
  <c r="D755" i="2"/>
  <c r="D1055" i="2"/>
  <c r="D1160" i="2"/>
  <c r="D603" i="2"/>
  <c r="D604" i="2"/>
  <c r="D607" i="2"/>
  <c r="D608" i="2"/>
  <c r="D609" i="2"/>
  <c r="D610" i="2"/>
  <c r="D611" i="2"/>
  <c r="D612" i="2"/>
  <c r="D618" i="2"/>
  <c r="D634" i="2"/>
  <c r="D635" i="2"/>
  <c r="D636" i="2"/>
  <c r="D642" i="2"/>
  <c r="D657" i="2"/>
  <c r="D659" i="2"/>
  <c r="D660" i="2"/>
  <c r="D661" i="2"/>
  <c r="D662" i="2"/>
  <c r="D664" i="2"/>
  <c r="D666" i="2"/>
  <c r="D667" i="2"/>
  <c r="D668" i="2"/>
  <c r="D697" i="2"/>
  <c r="D708" i="2"/>
  <c r="D709" i="2"/>
  <c r="D710" i="2"/>
  <c r="D753" i="2"/>
  <c r="D786" i="2"/>
  <c r="D788" i="2"/>
  <c r="D789" i="2"/>
  <c r="D791" i="2"/>
  <c r="D827" i="2"/>
  <c r="D830" i="2"/>
  <c r="D860" i="2"/>
  <c r="D866" i="2"/>
  <c r="D867" i="2"/>
  <c r="D907" i="2"/>
  <c r="D911" i="2"/>
  <c r="D915" i="2"/>
  <c r="D939" i="2"/>
  <c r="D966" i="2"/>
  <c r="D1003" i="2"/>
  <c r="D1008" i="2"/>
  <c r="D1048" i="2"/>
  <c r="D1049" i="2"/>
  <c r="D1051" i="2"/>
  <c r="D1054" i="2"/>
  <c r="D1058" i="2"/>
  <c r="D1114" i="2"/>
  <c r="D1120" i="2"/>
  <c r="D1123" i="2"/>
  <c r="D1125" i="2"/>
  <c r="D756" i="2"/>
  <c r="D760" i="2"/>
  <c r="D792" i="2"/>
  <c r="D793" i="2"/>
  <c r="D796" i="2"/>
  <c r="D797" i="2"/>
  <c r="D800" i="2"/>
  <c r="D807" i="2"/>
  <c r="D810" i="2"/>
  <c r="D814" i="2"/>
  <c r="D835" i="2"/>
  <c r="D840" i="2"/>
  <c r="D842" i="2"/>
  <c r="D843" i="2"/>
  <c r="D849" i="2"/>
  <c r="D850" i="2"/>
  <c r="D878" i="2"/>
  <c r="D879" i="2"/>
  <c r="D880" i="2"/>
  <c r="D885" i="2"/>
  <c r="D920" i="2"/>
  <c r="D921" i="2"/>
  <c r="D923" i="2"/>
  <c r="D924" i="2"/>
  <c r="D926" i="2"/>
  <c r="D944" i="2"/>
  <c r="D952" i="2"/>
  <c r="D957" i="2"/>
  <c r="D978" i="2"/>
  <c r="D979" i="2"/>
  <c r="D980" i="2"/>
  <c r="D982" i="2"/>
  <c r="D987" i="2"/>
  <c r="D1011" i="2"/>
  <c r="D1013" i="2"/>
  <c r="D1016" i="2"/>
  <c r="D1017" i="2"/>
  <c r="D1018" i="2"/>
  <c r="D1020" i="2"/>
  <c r="D1023" i="2"/>
  <c r="D1027" i="2"/>
  <c r="D1028" i="2"/>
  <c r="D1029" i="2"/>
  <c r="D1035" i="2"/>
  <c r="D1039" i="2"/>
  <c r="D1041" i="2"/>
  <c r="D1061" i="2"/>
  <c r="D1063" i="2"/>
  <c r="D1064" i="2"/>
  <c r="D1066" i="2"/>
  <c r="D1067" i="2"/>
  <c r="D1069" i="2"/>
  <c r="D1071" i="2"/>
  <c r="D1074" i="2"/>
  <c r="D1095" i="2"/>
  <c r="D1096" i="2"/>
  <c r="D1100" i="2"/>
  <c r="D1101" i="2"/>
  <c r="D1129" i="2"/>
  <c r="D1130" i="2"/>
  <c r="D1131" i="2"/>
  <c r="D1132" i="2"/>
  <c r="D1134" i="2"/>
  <c r="D1136" i="2"/>
  <c r="D1139" i="2"/>
  <c r="D1140" i="2"/>
  <c r="D1142" i="2"/>
  <c r="D1147" i="2"/>
  <c r="D1148" i="2"/>
  <c r="D1164" i="2"/>
  <c r="D1166" i="2"/>
  <c r="D1167" i="2"/>
  <c r="D1169" i="2"/>
  <c r="D1171" i="2"/>
  <c r="D1172" i="2"/>
  <c r="D1174" i="2"/>
  <c r="D1175" i="2"/>
  <c r="D1176" i="2"/>
  <c r="D1178" i="2"/>
  <c r="D1179" i="2"/>
  <c r="D1180" i="2"/>
  <c r="D1192" i="2"/>
  <c r="D1193" i="2"/>
  <c r="D1197" i="2"/>
  <c r="D1198" i="2"/>
  <c r="D1199" i="2"/>
  <c r="D1213" i="2"/>
  <c r="D1214" i="2"/>
  <c r="D1215" i="2"/>
  <c r="D1216" i="2"/>
  <c r="D1217" i="2"/>
  <c r="D1218" i="2"/>
  <c r="D1219" i="2"/>
  <c r="D1220" i="2"/>
  <c r="D1221" i="2"/>
  <c r="D1222" i="2"/>
  <c r="D1224" i="2"/>
  <c r="D1225" i="2"/>
  <c r="D1226" i="2"/>
  <c r="D1227" i="2"/>
  <c r="D1228" i="2"/>
  <c r="D1229" i="2"/>
  <c r="D1137" i="2"/>
  <c r="D1143" i="2"/>
  <c r="D1173" i="2"/>
  <c r="D1194" i="2"/>
  <c r="D1195" i="2"/>
  <c r="D801" i="2"/>
  <c r="D811" i="2"/>
  <c r="D950" i="2"/>
  <c r="D977" i="2"/>
  <c r="D989" i="2"/>
  <c r="D990" i="2"/>
  <c r="D1065" i="2"/>
  <c r="D757" i="2"/>
  <c r="D758" i="2"/>
  <c r="D763" i="2"/>
  <c r="D794" i="2"/>
  <c r="D802" i="2"/>
  <c r="D809" i="2"/>
  <c r="D838" i="2"/>
  <c r="D846" i="2"/>
  <c r="D847" i="2"/>
  <c r="D868" i="2"/>
  <c r="D876" i="2"/>
  <c r="D883" i="2"/>
  <c r="D884" i="2"/>
  <c r="D925" i="2"/>
  <c r="D928" i="2"/>
  <c r="D945" i="2"/>
  <c r="D947" i="2"/>
  <c r="D1026" i="2"/>
  <c r="D1062" i="2"/>
  <c r="D1146" i="2"/>
  <c r="D1097" i="2"/>
  <c r="D806" i="2"/>
  <c r="D983" i="2"/>
  <c r="D984" i="2"/>
  <c r="D1033" i="2"/>
  <c r="D1037" i="2"/>
  <c r="D1098" i="2"/>
  <c r="D1099" i="2"/>
  <c r="D1128" i="2"/>
  <c r="D1133" i="2"/>
  <c r="D1135" i="2"/>
  <c r="D1138" i="2"/>
  <c r="D1145" i="2"/>
  <c r="D1170" i="2"/>
  <c r="D1177" i="2"/>
  <c r="D759" i="2"/>
  <c r="D764" i="2"/>
  <c r="D808" i="2"/>
  <c r="D839" i="2"/>
  <c r="D844" i="2"/>
  <c r="D870" i="2"/>
  <c r="D873" i="2"/>
  <c r="D948" i="2"/>
  <c r="D953" i="2"/>
  <c r="D1015" i="2"/>
  <c r="D1032" i="2"/>
  <c r="D1072" i="2"/>
  <c r="D1102" i="2"/>
  <c r="D1144" i="2"/>
  <c r="D1223" i="2"/>
  <c r="D877" i="2"/>
  <c r="D951" i="2"/>
  <c r="D1021" i="2"/>
  <c r="D1196" i="2"/>
  <c r="D886" i="2"/>
  <c r="D954" i="2"/>
  <c r="D981" i="2"/>
  <c r="D985" i="2"/>
  <c r="D988" i="2"/>
  <c r="D1040" i="2"/>
  <c r="D1073" i="2"/>
  <c r="D1141" i="2"/>
  <c r="D761" i="2"/>
  <c r="D795" i="2"/>
  <c r="D798" i="2"/>
  <c r="D804" i="2"/>
  <c r="D812" i="2"/>
  <c r="D813" i="2"/>
  <c r="D845" i="2"/>
  <c r="D927" i="2"/>
  <c r="D949" i="2"/>
  <c r="D975" i="2"/>
  <c r="D1012" i="2"/>
  <c r="D1019" i="2"/>
  <c r="D1025" i="2"/>
  <c r="D1031" i="2"/>
  <c r="D1034" i="2"/>
  <c r="D1038" i="2"/>
  <c r="D1103" i="2"/>
  <c r="D1149" i="2"/>
  <c r="D686" i="2"/>
  <c r="D762" i="2"/>
  <c r="D765" i="2"/>
  <c r="D766" i="2"/>
  <c r="D799" i="2"/>
  <c r="D803" i="2"/>
  <c r="D805" i="2"/>
  <c r="D836" i="2"/>
  <c r="D837" i="2"/>
  <c r="D841" i="2"/>
  <c r="D869" i="2"/>
  <c r="D871" i="2"/>
  <c r="D872" i="2"/>
  <c r="D874" i="2"/>
  <c r="D875" i="2"/>
  <c r="D881" i="2"/>
  <c r="D882" i="2"/>
  <c r="D919" i="2"/>
  <c r="D922" i="2"/>
  <c r="D946" i="2"/>
  <c r="D955" i="2"/>
  <c r="D976" i="2"/>
  <c r="D986" i="2"/>
  <c r="D1014" i="2"/>
  <c r="D1022" i="2"/>
  <c r="D1024" i="2"/>
  <c r="D1030" i="2"/>
  <c r="D1036" i="2"/>
  <c r="D1068" i="2"/>
  <c r="D1070" i="2"/>
  <c r="C2" i="2"/>
  <c r="D2" i="13" s="1"/>
  <c r="E2" i="13" s="1"/>
  <c r="C3" i="2"/>
  <c r="D3" i="13" s="1"/>
  <c r="E3" i="13" s="1"/>
  <c r="C4" i="2"/>
  <c r="D4" i="13" s="1"/>
  <c r="E4" i="13" s="1"/>
  <c r="C124" i="2"/>
  <c r="D2" i="11" s="1"/>
  <c r="C191" i="2"/>
  <c r="D3" i="11" s="1"/>
  <c r="C537" i="2"/>
  <c r="D6" i="13" s="1"/>
  <c r="E6" i="13" s="1"/>
  <c r="C582" i="2"/>
  <c r="D7" i="13" s="1"/>
  <c r="E7" i="13" s="1"/>
  <c r="C621" i="2"/>
  <c r="C625" i="2"/>
  <c r="C741" i="2"/>
  <c r="C742" i="2"/>
  <c r="C747" i="2"/>
  <c r="C770" i="2"/>
  <c r="D15" i="13" s="1"/>
  <c r="E15" i="13" s="1"/>
  <c r="C772" i="2"/>
  <c r="C773" i="2"/>
  <c r="C777" i="2"/>
  <c r="C816" i="2"/>
  <c r="D24" i="13" s="1"/>
  <c r="E24" i="13" s="1"/>
  <c r="C823" i="2"/>
  <c r="C851" i="2"/>
  <c r="D29" i="13" s="1"/>
  <c r="E29" i="13" s="1"/>
  <c r="C854" i="2"/>
  <c r="C890" i="2"/>
  <c r="C893" i="2"/>
  <c r="D32" i="13" s="1"/>
  <c r="E32" i="13" s="1"/>
  <c r="C897" i="2"/>
  <c r="C931" i="2"/>
  <c r="C933" i="2"/>
  <c r="C934" i="2"/>
  <c r="D35" i="13" s="1"/>
  <c r="E35" i="13" s="1"/>
  <c r="C936" i="2"/>
  <c r="D36" i="13" s="1"/>
  <c r="E36" i="13" s="1"/>
  <c r="C958" i="2"/>
  <c r="C960" i="2"/>
  <c r="C961" i="2"/>
  <c r="D40" i="13" s="1"/>
  <c r="E40" i="13" s="1"/>
  <c r="C962" i="2"/>
  <c r="C963" i="2"/>
  <c r="D41" i="13" s="1"/>
  <c r="E41" i="13" s="1"/>
  <c r="C992" i="2"/>
  <c r="D48" i="13" s="1"/>
  <c r="E48" i="13" s="1"/>
  <c r="C995" i="2"/>
  <c r="D49" i="13" s="1"/>
  <c r="E49" i="13" s="1"/>
  <c r="C997" i="2"/>
  <c r="D50" i="13" s="1"/>
  <c r="E50" i="13" s="1"/>
  <c r="C1042" i="2"/>
  <c r="C1044" i="2"/>
  <c r="D75" i="13" s="1"/>
  <c r="E75" i="13" s="1"/>
  <c r="C1045" i="2"/>
  <c r="D76" i="13" s="1"/>
  <c r="E76" i="13" s="1"/>
  <c r="C1076" i="2"/>
  <c r="D102" i="13" s="1"/>
  <c r="E102" i="13" s="1"/>
  <c r="C1079" i="2"/>
  <c r="D104" i="13" s="1"/>
  <c r="E104" i="13" s="1"/>
  <c r="C1080" i="2"/>
  <c r="D108" i="13" s="1"/>
  <c r="E108" i="13" s="1"/>
  <c r="C1081" i="2"/>
  <c r="D105" i="13" s="1"/>
  <c r="E105" i="13" s="1"/>
  <c r="C1083" i="2"/>
  <c r="D107" i="13" s="1"/>
  <c r="E107" i="13" s="1"/>
  <c r="C1084" i="2"/>
  <c r="D109" i="13" s="1"/>
  <c r="E109" i="13" s="1"/>
  <c r="C1104" i="2"/>
  <c r="C1105" i="2"/>
  <c r="C1107" i="2"/>
  <c r="D122" i="13" s="1"/>
  <c r="E122" i="13" s="1"/>
  <c r="C1108" i="2"/>
  <c r="D123" i="13" s="1"/>
  <c r="E123" i="13" s="1"/>
  <c r="C1109" i="2"/>
  <c r="C1150" i="2"/>
  <c r="C1151" i="2"/>
  <c r="C1152" i="2"/>
  <c r="D151" i="13" s="1"/>
  <c r="E151" i="13" s="1"/>
  <c r="C1155" i="2"/>
  <c r="C1181" i="2"/>
  <c r="D168" i="13" s="1"/>
  <c r="E168" i="13" s="1"/>
  <c r="C1183" i="2"/>
  <c r="D170" i="13" s="1"/>
  <c r="E170" i="13" s="1"/>
  <c r="C1185" i="2"/>
  <c r="C1200" i="2"/>
  <c r="D178" i="13" s="1"/>
  <c r="E178" i="13" s="1"/>
  <c r="C1202" i="2"/>
  <c r="C1085" i="2"/>
  <c r="D110" i="13" s="1"/>
  <c r="E110" i="13" s="1"/>
  <c r="C7" i="2"/>
  <c r="C10" i="2"/>
  <c r="C13" i="2"/>
  <c r="C20" i="2"/>
  <c r="C21" i="2"/>
  <c r="C24" i="2"/>
  <c r="C25" i="2"/>
  <c r="C26" i="2"/>
  <c r="C28" i="2"/>
  <c r="C30" i="2"/>
  <c r="C35" i="2"/>
  <c r="C36" i="2"/>
  <c r="C44" i="2"/>
  <c r="C45" i="2"/>
  <c r="C73" i="2"/>
  <c r="C74" i="2"/>
  <c r="C78" i="2"/>
  <c r="C80" i="2"/>
  <c r="C81" i="2"/>
  <c r="C84" i="2"/>
  <c r="C89" i="2"/>
  <c r="C90" i="2"/>
  <c r="C92" i="2"/>
  <c r="C115" i="2"/>
  <c r="C122" i="2"/>
  <c r="C125" i="2"/>
  <c r="C129" i="2"/>
  <c r="C130" i="2"/>
  <c r="C131" i="2"/>
  <c r="C159" i="2"/>
  <c r="C163" i="2"/>
  <c r="C179" i="2"/>
  <c r="C180" i="2"/>
  <c r="C181" i="2"/>
  <c r="C188" i="2"/>
  <c r="C190" i="2"/>
  <c r="C192" i="2"/>
  <c r="C216" i="2"/>
  <c r="C217" i="2"/>
  <c r="C220" i="2"/>
  <c r="C225" i="2"/>
  <c r="C232" i="2"/>
  <c r="C234" i="2"/>
  <c r="C236" i="2"/>
  <c r="C237" i="2"/>
  <c r="C246" i="2"/>
  <c r="C247" i="2"/>
  <c r="C248" i="2"/>
  <c r="C249" i="2"/>
  <c r="C251" i="2"/>
  <c r="C252" i="2"/>
  <c r="C253" i="2"/>
  <c r="C254" i="2"/>
  <c r="C306" i="2"/>
  <c r="C307" i="2"/>
  <c r="C312" i="2"/>
  <c r="C343" i="2"/>
  <c r="C344" i="2"/>
  <c r="C351" i="2"/>
  <c r="C363" i="2"/>
  <c r="C367" i="2"/>
  <c r="C370" i="2"/>
  <c r="C375" i="2"/>
  <c r="C394" i="2"/>
  <c r="C403" i="2"/>
  <c r="C405" i="2"/>
  <c r="C407" i="2"/>
  <c r="C409" i="2"/>
  <c r="C429" i="2"/>
  <c r="C431" i="2"/>
  <c r="C442" i="2"/>
  <c r="C462" i="2"/>
  <c r="C463" i="2"/>
  <c r="C465" i="2"/>
  <c r="C467" i="2"/>
  <c r="C468" i="2"/>
  <c r="C470" i="2"/>
  <c r="C474" i="2"/>
  <c r="C475" i="2"/>
  <c r="C477" i="2"/>
  <c r="C478" i="2"/>
  <c r="C482" i="2"/>
  <c r="C483" i="2"/>
  <c r="C509" i="2"/>
  <c r="C514" i="2"/>
  <c r="C517" i="2"/>
  <c r="C536" i="2"/>
  <c r="C549" i="2"/>
  <c r="C551" i="2"/>
  <c r="C553" i="2"/>
  <c r="C563" i="2"/>
  <c r="C565" i="2"/>
  <c r="C566" i="2"/>
  <c r="C568" i="2"/>
  <c r="C580" i="2"/>
  <c r="C593" i="2"/>
  <c r="C622" i="2"/>
  <c r="C624" i="2"/>
  <c r="D5" i="11" s="1"/>
  <c r="C626" i="2"/>
  <c r="C627" i="2"/>
  <c r="C645" i="2"/>
  <c r="C646" i="2"/>
  <c r="C680" i="2"/>
  <c r="C684" i="2"/>
  <c r="C698" i="2"/>
  <c r="D8" i="11" s="1"/>
  <c r="C699" i="2"/>
  <c r="C700" i="2"/>
  <c r="C701" i="2"/>
  <c r="C716" i="2"/>
  <c r="C717" i="2"/>
  <c r="C727" i="2"/>
  <c r="C728" i="2"/>
  <c r="C729" i="2"/>
  <c r="C731" i="2"/>
  <c r="C734" i="2"/>
  <c r="C737" i="2"/>
  <c r="C738" i="2"/>
  <c r="C739" i="2"/>
  <c r="C740" i="2"/>
  <c r="C744" i="2"/>
  <c r="C745" i="2"/>
  <c r="C746" i="2"/>
  <c r="C750" i="2"/>
  <c r="C767" i="2"/>
  <c r="C768" i="2"/>
  <c r="C769" i="2"/>
  <c r="C771" i="2"/>
  <c r="C774" i="2"/>
  <c r="D11" i="11" s="1"/>
  <c r="C779" i="2"/>
  <c r="C817" i="2"/>
  <c r="C818" i="2"/>
  <c r="C819" i="2"/>
  <c r="C820" i="2"/>
  <c r="D12" i="11" s="1"/>
  <c r="C822" i="2"/>
  <c r="C853" i="2"/>
  <c r="C891" i="2"/>
  <c r="C930" i="2"/>
  <c r="D21" i="11" s="1"/>
  <c r="C935" i="2"/>
  <c r="C937" i="2"/>
  <c r="D22" i="11" s="1"/>
  <c r="C938" i="2"/>
  <c r="D23" i="11" s="1"/>
  <c r="C940" i="2"/>
  <c r="D24" i="11" s="1"/>
  <c r="C959" i="2"/>
  <c r="C33" i="2"/>
  <c r="C37" i="2"/>
  <c r="C42" i="2"/>
  <c r="C1153" i="2"/>
  <c r="C1154" i="2"/>
  <c r="C1157" i="2"/>
  <c r="C1078" i="2"/>
  <c r="D103" i="13" s="1"/>
  <c r="E103" i="13" s="1"/>
  <c r="C1106" i="2"/>
  <c r="D121" i="13" s="1"/>
  <c r="E121" i="13" s="1"/>
  <c r="C649" i="2"/>
  <c r="C682" i="2"/>
  <c r="C713" i="2"/>
  <c r="C715" i="2"/>
  <c r="C743" i="2"/>
  <c r="C775" i="2"/>
  <c r="C778" i="2"/>
  <c r="C855" i="2"/>
  <c r="C887" i="2"/>
  <c r="C888" i="2"/>
  <c r="C892" i="2"/>
  <c r="C895" i="2"/>
  <c r="C896" i="2"/>
  <c r="C900" i="2"/>
  <c r="C929" i="2"/>
  <c r="C932" i="2"/>
  <c r="C993" i="2"/>
  <c r="C996" i="2"/>
  <c r="C998" i="2"/>
  <c r="C999" i="2"/>
  <c r="C1110" i="2"/>
  <c r="D124" i="13" s="1"/>
  <c r="E124" i="13" s="1"/>
  <c r="C1111" i="2"/>
  <c r="D125" i="13" s="1"/>
  <c r="E125" i="13" s="1"/>
  <c r="C1201" i="2"/>
  <c r="D179" i="13" s="1"/>
  <c r="E179" i="13" s="1"/>
  <c r="C1077" i="2"/>
  <c r="C994" i="2"/>
  <c r="C1075" i="2"/>
  <c r="D101" i="13" s="1"/>
  <c r="E101" i="13" s="1"/>
  <c r="C1082" i="2"/>
  <c r="D106" i="13" s="1"/>
  <c r="E106" i="13" s="1"/>
  <c r="C899" i="2"/>
  <c r="C1043" i="2"/>
  <c r="D74" i="13" s="1"/>
  <c r="E74" i="13" s="1"/>
  <c r="C1156" i="2"/>
  <c r="D152" i="13" s="1"/>
  <c r="E152" i="13" s="1"/>
  <c r="C1184" i="2"/>
  <c r="C991" i="2"/>
  <c r="C11" i="2"/>
  <c r="C17" i="2"/>
  <c r="C18" i="2"/>
  <c r="C22" i="2"/>
  <c r="C23" i="2"/>
  <c r="C27" i="2"/>
  <c r="C29" i="2"/>
  <c r="C31" i="2"/>
  <c r="C32" i="2"/>
  <c r="C34" i="2"/>
  <c r="C38" i="2"/>
  <c r="C39" i="2"/>
  <c r="C40" i="2"/>
  <c r="C41" i="2"/>
  <c r="C43" i="2"/>
  <c r="C75" i="2"/>
  <c r="C76" i="2"/>
  <c r="C77" i="2"/>
  <c r="C79" i="2"/>
  <c r="C82" i="2"/>
  <c r="C83" i="2"/>
  <c r="C85" i="2"/>
  <c r="C86" i="2"/>
  <c r="C87" i="2"/>
  <c r="C88" i="2"/>
  <c r="C91" i="2"/>
  <c r="C93" i="2"/>
  <c r="C94" i="2"/>
  <c r="C110" i="2"/>
  <c r="C111" i="2"/>
  <c r="C112" i="2"/>
  <c r="C113" i="2"/>
  <c r="C114" i="2"/>
  <c r="C116" i="2"/>
  <c r="C117" i="2"/>
  <c r="C118" i="2"/>
  <c r="C119" i="2"/>
  <c r="C120" i="2"/>
  <c r="C121" i="2"/>
  <c r="C123" i="2"/>
  <c r="C126" i="2"/>
  <c r="C127" i="2"/>
  <c r="C128" i="2"/>
  <c r="C152" i="2"/>
  <c r="C153" i="2"/>
  <c r="C154" i="2"/>
  <c r="C155" i="2"/>
  <c r="C156" i="2"/>
  <c r="C157" i="2"/>
  <c r="C158" i="2"/>
  <c r="C160" i="2"/>
  <c r="C161" i="2"/>
  <c r="C162" i="2"/>
  <c r="C178" i="2"/>
  <c r="C182" i="2"/>
  <c r="C183" i="2"/>
  <c r="C184" i="2"/>
  <c r="C185" i="2"/>
  <c r="C186" i="2"/>
  <c r="C187" i="2"/>
  <c r="C189" i="2"/>
  <c r="C193" i="2"/>
  <c r="C194" i="2"/>
  <c r="C195" i="2"/>
  <c r="C196" i="2"/>
  <c r="C218" i="2"/>
  <c r="C219" i="2"/>
  <c r="C221" i="2"/>
  <c r="C222" i="2"/>
  <c r="C223" i="2"/>
  <c r="C224" i="2"/>
  <c r="C226" i="2"/>
  <c r="C227" i="2"/>
  <c r="C228" i="2"/>
  <c r="C229" i="2"/>
  <c r="C230" i="2"/>
  <c r="C231" i="2"/>
  <c r="C233" i="2"/>
  <c r="C239" i="2"/>
  <c r="C240" i="2"/>
  <c r="C241" i="2"/>
  <c r="C242" i="2"/>
  <c r="C243" i="2"/>
  <c r="C244" i="2"/>
  <c r="C245" i="2"/>
  <c r="C250" i="2"/>
  <c r="C255" i="2"/>
  <c r="C256" i="2"/>
  <c r="C257" i="2"/>
  <c r="C308" i="2"/>
  <c r="C310" i="2"/>
  <c r="C311" i="2"/>
  <c r="C313" i="2"/>
  <c r="C314" i="2"/>
  <c r="C315" i="2"/>
  <c r="C316" i="2"/>
  <c r="C317" i="2"/>
  <c r="C318" i="2"/>
  <c r="C319" i="2"/>
  <c r="C320" i="2"/>
  <c r="C321" i="2"/>
  <c r="C340" i="2"/>
  <c r="C341" i="2"/>
  <c r="C342" i="2"/>
  <c r="C345" i="2"/>
  <c r="C346" i="2"/>
  <c r="C347" i="2"/>
  <c r="C348" i="2"/>
  <c r="C349" i="2"/>
  <c r="C350" i="2"/>
  <c r="C362" i="2"/>
  <c r="C364" i="2"/>
  <c r="C365" i="2"/>
  <c r="C366" i="2"/>
  <c r="C368" i="2"/>
  <c r="C369" i="2"/>
  <c r="C371" i="2"/>
  <c r="C372" i="2"/>
  <c r="C373" i="2"/>
  <c r="C374" i="2"/>
  <c r="C393" i="2"/>
  <c r="C395" i="2"/>
  <c r="C397" i="2"/>
  <c r="C398" i="2"/>
  <c r="C399" i="2"/>
  <c r="C400" i="2"/>
  <c r="C401" i="2"/>
  <c r="C404" i="2"/>
  <c r="C406" i="2"/>
  <c r="C408" i="2"/>
  <c r="C410" i="2"/>
  <c r="C427" i="2"/>
  <c r="C428" i="2"/>
  <c r="C430" i="2"/>
  <c r="C432" i="2"/>
  <c r="C433" i="2"/>
  <c r="C434" i="2"/>
  <c r="C435" i="2"/>
  <c r="C436" i="2"/>
  <c r="C437" i="2"/>
  <c r="C438" i="2"/>
  <c r="C439" i="2"/>
  <c r="C440" i="2"/>
  <c r="C441" i="2"/>
  <c r="C464" i="2"/>
  <c r="C466" i="2"/>
  <c r="C469" i="2"/>
  <c r="C471" i="2"/>
  <c r="C472" i="2"/>
  <c r="C473" i="2"/>
  <c r="C476" i="2"/>
  <c r="C479" i="2"/>
  <c r="C480" i="2"/>
  <c r="C481" i="2"/>
  <c r="C504" i="2"/>
  <c r="C505" i="2"/>
  <c r="C506" i="2"/>
  <c r="C507" i="2"/>
  <c r="C508" i="2"/>
  <c r="C510" i="2"/>
  <c r="C511" i="2"/>
  <c r="C512" i="2"/>
  <c r="C513" i="2"/>
  <c r="C515" i="2"/>
  <c r="C516" i="2"/>
  <c r="C518" i="2"/>
  <c r="C534" i="2"/>
  <c r="C535" i="2"/>
  <c r="C538" i="2"/>
  <c r="C539" i="2"/>
  <c r="C540" i="2"/>
  <c r="C547" i="2"/>
  <c r="C548" i="2"/>
  <c r="C550" i="2"/>
  <c r="C552" i="2"/>
  <c r="C562" i="2"/>
  <c r="C564" i="2"/>
  <c r="C567" i="2"/>
  <c r="C569" i="2"/>
  <c r="C581" i="2"/>
  <c r="C583" i="2"/>
  <c r="C584" i="2"/>
  <c r="C585" i="2"/>
  <c r="C586" i="2"/>
  <c r="C587" i="2"/>
  <c r="C588" i="2"/>
  <c r="C589" i="2"/>
  <c r="C590" i="2"/>
  <c r="C591" i="2"/>
  <c r="C592" i="2"/>
  <c r="C594" i="2"/>
  <c r="C595" i="2"/>
  <c r="D8" i="13" s="1"/>
  <c r="E8" i="13" s="1"/>
  <c r="C620" i="2"/>
  <c r="C623" i="2"/>
  <c r="C643" i="2"/>
  <c r="C644" i="2"/>
  <c r="C647" i="2"/>
  <c r="C648" i="2"/>
  <c r="C681" i="2"/>
  <c r="C683" i="2"/>
  <c r="C685" i="2"/>
  <c r="C714" i="2"/>
  <c r="C730" i="2"/>
  <c r="C732" i="2"/>
  <c r="C733" i="2"/>
  <c r="C735" i="2"/>
  <c r="C736" i="2"/>
  <c r="C748" i="2"/>
  <c r="C749" i="2"/>
  <c r="C776" i="2"/>
  <c r="C780" i="2"/>
  <c r="C815" i="2"/>
  <c r="C821" i="2"/>
  <c r="C852" i="2"/>
  <c r="C889" i="2"/>
  <c r="C894" i="2"/>
  <c r="C898" i="2"/>
  <c r="C901" i="2"/>
  <c r="C1182" i="2"/>
  <c r="D169" i="13" s="1"/>
  <c r="E169" i="13" s="1"/>
  <c r="C6" i="2"/>
  <c r="C9" i="2"/>
  <c r="C14" i="2"/>
  <c r="C15" i="2"/>
  <c r="C19" i="2"/>
  <c r="C235" i="2"/>
  <c r="C238" i="2"/>
  <c r="C203" i="2"/>
  <c r="C208" i="2"/>
  <c r="C383" i="2"/>
  <c r="C532" i="2"/>
  <c r="D5" i="13" s="1"/>
  <c r="E5" i="13" s="1"/>
  <c r="C722" i="2"/>
  <c r="C8" i="2"/>
  <c r="C12" i="2"/>
  <c r="C49" i="2"/>
  <c r="C52" i="2"/>
  <c r="C54" i="2"/>
  <c r="C55" i="2"/>
  <c r="C58" i="2"/>
  <c r="C62" i="2"/>
  <c r="C70" i="2"/>
  <c r="C96" i="2"/>
  <c r="C98" i="2"/>
  <c r="C103" i="2"/>
  <c r="C107" i="2"/>
  <c r="C109" i="2"/>
  <c r="C133" i="2"/>
  <c r="C134" i="2"/>
  <c r="C136" i="2"/>
  <c r="C137" i="2"/>
  <c r="C138" i="2"/>
  <c r="C140" i="2"/>
  <c r="C141" i="2"/>
  <c r="C148" i="2"/>
  <c r="C149" i="2"/>
  <c r="C150" i="2"/>
  <c r="C168" i="2"/>
  <c r="C170" i="2"/>
  <c r="C172" i="2"/>
  <c r="C176" i="2"/>
  <c r="C200" i="2"/>
  <c r="C206" i="2"/>
  <c r="C209" i="2"/>
  <c r="C210" i="2"/>
  <c r="C212" i="2"/>
  <c r="C260" i="2"/>
  <c r="C267" i="2"/>
  <c r="C273" i="2"/>
  <c r="C274" i="2"/>
  <c r="C277" i="2"/>
  <c r="C279" i="2"/>
  <c r="C280" i="2"/>
  <c r="C281" i="2"/>
  <c r="C285" i="2"/>
  <c r="C286" i="2"/>
  <c r="C287" i="2"/>
  <c r="C292" i="2"/>
  <c r="C294" i="2"/>
  <c r="C295" i="2"/>
  <c r="C296" i="2"/>
  <c r="C297" i="2"/>
  <c r="C298" i="2"/>
  <c r="C299" i="2"/>
  <c r="C301" i="2"/>
  <c r="C302" i="2"/>
  <c r="C305" i="2"/>
  <c r="D4" i="11" s="1"/>
  <c r="C309" i="2"/>
  <c r="C323" i="2"/>
  <c r="C326" i="2"/>
  <c r="C329" i="2"/>
  <c r="C331" i="2"/>
  <c r="C356" i="2"/>
  <c r="C377" i="2"/>
  <c r="C378" i="2"/>
  <c r="C379" i="2"/>
  <c r="C381" i="2"/>
  <c r="C389" i="2"/>
  <c r="C411" i="2"/>
  <c r="C412" i="2"/>
  <c r="C414" i="2"/>
  <c r="C417" i="2"/>
  <c r="C422" i="2"/>
  <c r="C425" i="2"/>
  <c r="C426" i="2"/>
  <c r="C448" i="2"/>
  <c r="C449" i="2"/>
  <c r="C450" i="2"/>
  <c r="C452" i="2"/>
  <c r="C453" i="2"/>
  <c r="C454" i="2"/>
  <c r="C455" i="2"/>
  <c r="C458" i="2"/>
  <c r="C487" i="2"/>
  <c r="C490" i="2"/>
  <c r="C493" i="2"/>
  <c r="C494" i="2"/>
  <c r="C498" i="2"/>
  <c r="C500" i="2"/>
  <c r="C501" i="2"/>
  <c r="C529" i="2"/>
  <c r="C542" i="2"/>
  <c r="C546" i="2"/>
  <c r="C555" i="2"/>
  <c r="C559" i="2"/>
  <c r="C560" i="2"/>
  <c r="C578" i="2"/>
  <c r="C600" i="2"/>
  <c r="C630" i="2"/>
  <c r="C651" i="2"/>
  <c r="C655" i="2"/>
  <c r="C669" i="2"/>
  <c r="C674" i="2"/>
  <c r="C677" i="2"/>
  <c r="C687" i="2"/>
  <c r="C689" i="2"/>
  <c r="C690" i="2"/>
  <c r="C692" i="2"/>
  <c r="C693" i="2"/>
  <c r="C723" i="2"/>
  <c r="C485" i="2"/>
  <c r="C544" i="2"/>
  <c r="C597" i="2"/>
  <c r="C656" i="2"/>
  <c r="C706" i="2"/>
  <c r="C707" i="2"/>
  <c r="C688" i="2"/>
  <c r="D10" i="13" s="1"/>
  <c r="E10" i="13" s="1"/>
  <c r="C702" i="2"/>
  <c r="C704" i="2"/>
  <c r="C705" i="2"/>
  <c r="C719" i="2"/>
  <c r="C720" i="2"/>
  <c r="C484" i="2"/>
  <c r="C533" i="2"/>
  <c r="C631" i="2"/>
  <c r="C5" i="2"/>
  <c r="C16" i="2"/>
  <c r="C46" i="2"/>
  <c r="C47" i="2"/>
  <c r="C48" i="2"/>
  <c r="C50" i="2"/>
  <c r="C51" i="2"/>
  <c r="C53" i="2"/>
  <c r="C56" i="2"/>
  <c r="C57" i="2"/>
  <c r="C59" i="2"/>
  <c r="C60" i="2"/>
  <c r="C61" i="2"/>
  <c r="C63" i="2"/>
  <c r="C64" i="2"/>
  <c r="C65" i="2"/>
  <c r="C66" i="2"/>
  <c r="C67" i="2"/>
  <c r="C68" i="2"/>
  <c r="C69" i="2"/>
  <c r="C71" i="2"/>
  <c r="C95" i="2"/>
  <c r="C97" i="2"/>
  <c r="C99" i="2"/>
  <c r="C100" i="2"/>
  <c r="C101" i="2"/>
  <c r="C102" i="2"/>
  <c r="C104" i="2"/>
  <c r="C105" i="2"/>
  <c r="C106" i="2"/>
  <c r="C108" i="2"/>
  <c r="C132" i="2"/>
  <c r="C135" i="2"/>
  <c r="C139" i="2"/>
  <c r="C142" i="2"/>
  <c r="C143" i="2"/>
  <c r="C144" i="2"/>
  <c r="C145" i="2"/>
  <c r="C146" i="2"/>
  <c r="C147" i="2"/>
  <c r="C151" i="2"/>
  <c r="C164" i="2"/>
  <c r="C165" i="2"/>
  <c r="C166" i="2"/>
  <c r="C167" i="2"/>
  <c r="C169" i="2"/>
  <c r="C171" i="2"/>
  <c r="C173" i="2"/>
  <c r="C174" i="2"/>
  <c r="C175" i="2"/>
  <c r="C177" i="2"/>
  <c r="C197" i="2"/>
  <c r="C198" i="2"/>
  <c r="C199" i="2"/>
  <c r="C201" i="2"/>
  <c r="C202" i="2"/>
  <c r="C204" i="2"/>
  <c r="C205" i="2"/>
  <c r="C207" i="2"/>
  <c r="C211" i="2"/>
  <c r="C213" i="2"/>
  <c r="C214" i="2"/>
  <c r="C215" i="2"/>
  <c r="C258" i="2"/>
  <c r="C259" i="2"/>
  <c r="C261" i="2"/>
  <c r="C262" i="2"/>
  <c r="C263" i="2"/>
  <c r="C264" i="2"/>
  <c r="C265" i="2"/>
  <c r="C266" i="2"/>
  <c r="C268" i="2"/>
  <c r="C269" i="2"/>
  <c r="C270" i="2"/>
  <c r="C271" i="2"/>
  <c r="C272" i="2"/>
  <c r="C275" i="2"/>
  <c r="C276" i="2"/>
  <c r="C278" i="2"/>
  <c r="C282" i="2"/>
  <c r="C283" i="2"/>
  <c r="C284" i="2"/>
  <c r="C288" i="2"/>
  <c r="C289" i="2"/>
  <c r="C290" i="2"/>
  <c r="C291" i="2"/>
  <c r="C293" i="2"/>
  <c r="C300" i="2"/>
  <c r="C303" i="2"/>
  <c r="C304" i="2"/>
  <c r="C322" i="2"/>
  <c r="C324" i="2"/>
  <c r="C325" i="2"/>
  <c r="C327" i="2"/>
  <c r="C328" i="2"/>
  <c r="C330" i="2"/>
  <c r="C332" i="2"/>
  <c r="C333" i="2"/>
  <c r="C334" i="2"/>
  <c r="C335" i="2"/>
  <c r="C336" i="2"/>
  <c r="C337" i="2"/>
  <c r="C338" i="2"/>
  <c r="C339" i="2"/>
  <c r="C352" i="2"/>
  <c r="C353" i="2"/>
  <c r="C354" i="2"/>
  <c r="C355" i="2"/>
  <c r="C357" i="2"/>
  <c r="C358" i="2"/>
  <c r="C359" i="2"/>
  <c r="C360" i="2"/>
  <c r="C361" i="2"/>
  <c r="C376" i="2"/>
  <c r="C380" i="2"/>
  <c r="C382" i="2"/>
  <c r="C384" i="2"/>
  <c r="C385" i="2"/>
  <c r="C386" i="2"/>
  <c r="C387" i="2"/>
  <c r="C388" i="2"/>
  <c r="C390" i="2"/>
  <c r="C391" i="2"/>
  <c r="C392" i="2"/>
  <c r="C396" i="2"/>
  <c r="C402" i="2"/>
  <c r="C413" i="2"/>
  <c r="C415" i="2"/>
  <c r="C416" i="2"/>
  <c r="C418" i="2"/>
  <c r="C419" i="2"/>
  <c r="C420" i="2"/>
  <c r="C421" i="2"/>
  <c r="C423" i="2"/>
  <c r="C424" i="2"/>
  <c r="C443" i="2"/>
  <c r="C444" i="2"/>
  <c r="C445" i="2"/>
  <c r="C446" i="2"/>
  <c r="C447" i="2"/>
  <c r="C451" i="2"/>
  <c r="C456" i="2"/>
  <c r="C457" i="2"/>
  <c r="C459" i="2"/>
  <c r="C460" i="2"/>
  <c r="C461" i="2"/>
  <c r="C486" i="2"/>
  <c r="C488" i="2"/>
  <c r="C489" i="2"/>
  <c r="C491" i="2"/>
  <c r="C492" i="2"/>
  <c r="C495" i="2"/>
  <c r="C496" i="2"/>
  <c r="C497" i="2"/>
  <c r="C499" i="2"/>
  <c r="C502" i="2"/>
  <c r="C503" i="2"/>
  <c r="C519" i="2"/>
  <c r="C520" i="2"/>
  <c r="C521" i="2"/>
  <c r="C522" i="2"/>
  <c r="C523" i="2"/>
  <c r="C524" i="2"/>
  <c r="C525" i="2"/>
  <c r="C526" i="2"/>
  <c r="C527" i="2"/>
  <c r="C528" i="2"/>
  <c r="C530" i="2"/>
  <c r="C541" i="2"/>
  <c r="C543" i="2"/>
  <c r="C545" i="2"/>
  <c r="C554" i="2"/>
  <c r="C556" i="2"/>
  <c r="C557" i="2"/>
  <c r="C558" i="2"/>
  <c r="C561" i="2"/>
  <c r="C570" i="2"/>
  <c r="C571" i="2"/>
  <c r="C572" i="2"/>
  <c r="C573" i="2"/>
  <c r="C574" i="2"/>
  <c r="C575" i="2"/>
  <c r="C576" i="2"/>
  <c r="C577" i="2"/>
  <c r="C579" i="2"/>
  <c r="C596" i="2"/>
  <c r="C598" i="2"/>
  <c r="C599" i="2"/>
  <c r="C601" i="2"/>
  <c r="C602" i="2"/>
  <c r="C628" i="2"/>
  <c r="C629" i="2"/>
  <c r="C632" i="2"/>
  <c r="C633" i="2"/>
  <c r="C650" i="2"/>
  <c r="C652" i="2"/>
  <c r="C653" i="2"/>
  <c r="C654" i="2"/>
  <c r="C670" i="2"/>
  <c r="C671" i="2"/>
  <c r="C672" i="2"/>
  <c r="C673" i="2"/>
  <c r="C675" i="2"/>
  <c r="C676" i="2"/>
  <c r="C678" i="2"/>
  <c r="C679" i="2"/>
  <c r="C691" i="2"/>
  <c r="C703" i="2"/>
  <c r="D12" i="13" s="1"/>
  <c r="E12" i="13" s="1"/>
  <c r="C718" i="2"/>
  <c r="C721" i="2"/>
  <c r="C724" i="2"/>
  <c r="C726" i="2"/>
  <c r="C72" i="2"/>
  <c r="C712" i="2"/>
  <c r="D13" i="13" s="1"/>
  <c r="E13" i="13" s="1"/>
  <c r="C751" i="2"/>
  <c r="C754" i="2"/>
  <c r="C782" i="2"/>
  <c r="D16" i="13" s="1"/>
  <c r="E16" i="13" s="1"/>
  <c r="C787" i="2"/>
  <c r="C790" i="2"/>
  <c r="C826" i="2"/>
  <c r="C829" i="2"/>
  <c r="C833" i="2"/>
  <c r="C856" i="2"/>
  <c r="C902" i="2"/>
  <c r="C904" i="2"/>
  <c r="C908" i="2"/>
  <c r="C912" i="2"/>
  <c r="D33" i="13" s="1"/>
  <c r="E33" i="13" s="1"/>
  <c r="C913" i="2"/>
  <c r="C914" i="2"/>
  <c r="C941" i="2"/>
  <c r="C943" i="2"/>
  <c r="C967" i="2"/>
  <c r="C968" i="2"/>
  <c r="D43" i="13"/>
  <c r="E43" i="13" s="1"/>
  <c r="C970" i="2"/>
  <c r="C971" i="2"/>
  <c r="C972" i="2"/>
  <c r="C973" i="2"/>
  <c r="D44" i="13" s="1"/>
  <c r="E44" i="13" s="1"/>
  <c r="C974" i="2"/>
  <c r="C1001" i="2"/>
  <c r="D51" i="13" s="1"/>
  <c r="E51" i="13" s="1"/>
  <c r="C1004" i="2"/>
  <c r="C1009" i="2"/>
  <c r="D53" i="13" s="1"/>
  <c r="E53" i="13" s="1"/>
  <c r="C1010" i="2"/>
  <c r="D54" i="13" s="1"/>
  <c r="E54" i="13" s="1"/>
  <c r="C1050" i="2"/>
  <c r="C1052" i="2"/>
  <c r="D80" i="13" s="1"/>
  <c r="E80" i="13" s="1"/>
  <c r="C1053" i="2"/>
  <c r="D81" i="13" s="1"/>
  <c r="E81" i="13" s="1"/>
  <c r="C1056" i="2"/>
  <c r="D84" i="13" s="1"/>
  <c r="E84" i="13" s="1"/>
  <c r="C1057" i="2"/>
  <c r="D85" i="13" s="1"/>
  <c r="E85" i="13" s="1"/>
  <c r="C1059" i="2"/>
  <c r="D87" i="13" s="1"/>
  <c r="E87" i="13" s="1"/>
  <c r="C1086" i="2"/>
  <c r="D111" i="13" s="1"/>
  <c r="E111" i="13" s="1"/>
  <c r="C1087" i="2"/>
  <c r="C1088" i="2"/>
  <c r="C1089" i="2"/>
  <c r="C1091" i="2"/>
  <c r="D112" i="13" s="1"/>
  <c r="E112" i="13" s="1"/>
  <c r="C1093" i="2"/>
  <c r="D114" i="13" s="1"/>
  <c r="E114" i="13" s="1"/>
  <c r="C1112" i="2"/>
  <c r="D126" i="13" s="1"/>
  <c r="E126" i="13" s="1"/>
  <c r="C1115" i="2"/>
  <c r="D128" i="13" s="1"/>
  <c r="E128" i="13" s="1"/>
  <c r="C1116" i="2"/>
  <c r="C1117" i="2"/>
  <c r="D129" i="13" s="1"/>
  <c r="E129" i="13" s="1"/>
  <c r="C1118" i="2"/>
  <c r="D130" i="13" s="1"/>
  <c r="E130" i="13" s="1"/>
  <c r="C1124" i="2"/>
  <c r="D136" i="13" s="1"/>
  <c r="E136" i="13" s="1"/>
  <c r="C1126" i="2"/>
  <c r="D35" i="11" s="1"/>
  <c r="C1158" i="2"/>
  <c r="C1161" i="2"/>
  <c r="C1163" i="2"/>
  <c r="D155" i="13" s="1"/>
  <c r="E155" i="13" s="1"/>
  <c r="C1165" i="2"/>
  <c r="D157" i="13" s="1"/>
  <c r="E157" i="13" s="1"/>
  <c r="C1187" i="2"/>
  <c r="D171" i="13" s="1"/>
  <c r="E171" i="13" s="1"/>
  <c r="C1188" i="2"/>
  <c r="D172" i="13" s="1"/>
  <c r="E172" i="13" s="1"/>
  <c r="C1189" i="2"/>
  <c r="D173" i="13" s="1"/>
  <c r="E173" i="13" s="1"/>
  <c r="C1190" i="2"/>
  <c r="C1203" i="2"/>
  <c r="D180" i="13" s="1"/>
  <c r="E180" i="13" s="1"/>
  <c r="C1204" i="2"/>
  <c r="C1205" i="2"/>
  <c r="C1206" i="2"/>
  <c r="C1210" i="2"/>
  <c r="D183" i="13" s="1"/>
  <c r="E183" i="13" s="1"/>
  <c r="C1211" i="2"/>
  <c r="D184" i="13" s="1"/>
  <c r="E184" i="13" s="1"/>
  <c r="C1212" i="2"/>
  <c r="D185" i="13" s="1"/>
  <c r="E185" i="13" s="1"/>
  <c r="C1119" i="2"/>
  <c r="D131" i="13" s="1"/>
  <c r="E131" i="13" s="1"/>
  <c r="C910" i="2"/>
  <c r="C942" i="2"/>
  <c r="D37" i="13" s="1"/>
  <c r="E37" i="13" s="1"/>
  <c r="C1047" i="2"/>
  <c r="C531" i="2"/>
  <c r="C605" i="2"/>
  <c r="C606" i="2"/>
  <c r="C613" i="2"/>
  <c r="C614" i="2"/>
  <c r="C615" i="2"/>
  <c r="C616" i="2"/>
  <c r="C619" i="2"/>
  <c r="C637" i="2"/>
  <c r="C638" i="2"/>
  <c r="C639" i="2"/>
  <c r="C640" i="2"/>
  <c r="C641" i="2"/>
  <c r="C658" i="2"/>
  <c r="C663" i="2"/>
  <c r="D7" i="11" s="1"/>
  <c r="C665" i="2"/>
  <c r="C696" i="2"/>
  <c r="C711" i="2"/>
  <c r="C725" i="2"/>
  <c r="C752" i="2"/>
  <c r="D9" i="11" s="1"/>
  <c r="C783" i="2"/>
  <c r="C784" i="2"/>
  <c r="D17" i="13" s="1"/>
  <c r="E17" i="13" s="1"/>
  <c r="C785" i="2"/>
  <c r="C825" i="2"/>
  <c r="C828" i="2"/>
  <c r="C831" i="2"/>
  <c r="D14" i="11" s="1"/>
  <c r="C834" i="2"/>
  <c r="C858" i="2"/>
  <c r="C859" i="2"/>
  <c r="C861" i="2"/>
  <c r="D16" i="11" s="1"/>
  <c r="C862" i="2"/>
  <c r="C863" i="2"/>
  <c r="C864" i="2"/>
  <c r="D17" i="11" s="1"/>
  <c r="C865" i="2"/>
  <c r="C906" i="2"/>
  <c r="C909" i="2"/>
  <c r="C917" i="2"/>
  <c r="C918" i="2"/>
  <c r="C1002" i="2"/>
  <c r="D29" i="11" s="1"/>
  <c r="C1046" i="2"/>
  <c r="D33" i="11" s="1"/>
  <c r="C1092" i="2"/>
  <c r="D113" i="13" s="1"/>
  <c r="E113" i="13" s="1"/>
  <c r="C1094" i="2"/>
  <c r="C1159" i="2"/>
  <c r="C1162" i="2"/>
  <c r="D154" i="13" s="1"/>
  <c r="E154" i="13" s="1"/>
  <c r="C1121" i="2"/>
  <c r="D133" i="13" s="1"/>
  <c r="E133" i="13" s="1"/>
  <c r="C1005" i="2"/>
  <c r="D30" i="11" s="1"/>
  <c r="C1113" i="2"/>
  <c r="C694" i="2"/>
  <c r="C781" i="2"/>
  <c r="C824" i="2"/>
  <c r="C832" i="2"/>
  <c r="C857" i="2"/>
  <c r="C903" i="2"/>
  <c r="C905" i="2"/>
  <c r="C916" i="2"/>
  <c r="C964" i="2"/>
  <c r="C965" i="2"/>
  <c r="C1000" i="2"/>
  <c r="C1006" i="2"/>
  <c r="C1007" i="2"/>
  <c r="C1060" i="2"/>
  <c r="C1122" i="2"/>
  <c r="D134" i="13" s="1"/>
  <c r="E134" i="13" s="1"/>
  <c r="C1127" i="2"/>
  <c r="C1186" i="2"/>
  <c r="C1208" i="2"/>
  <c r="C1209" i="2"/>
  <c r="D182" i="13" s="1"/>
  <c r="E182" i="13" s="1"/>
  <c r="C1207" i="2"/>
  <c r="D181" i="13" s="1"/>
  <c r="E181" i="13" s="1"/>
  <c r="C617" i="2"/>
  <c r="D9" i="13" s="1"/>
  <c r="E9" i="13" s="1"/>
  <c r="C695" i="2"/>
  <c r="D11" i="13" s="1"/>
  <c r="E11" i="13" s="1"/>
  <c r="C755" i="2"/>
  <c r="C1055" i="2"/>
  <c r="D83" i="13" s="1"/>
  <c r="E83" i="13" s="1"/>
  <c r="C1160" i="2"/>
  <c r="D153" i="13" s="1"/>
  <c r="E153" i="13" s="1"/>
  <c r="C603" i="2"/>
  <c r="C604" i="2"/>
  <c r="C607" i="2"/>
  <c r="C608" i="2"/>
  <c r="C609" i="2"/>
  <c r="C610" i="2"/>
  <c r="C611" i="2"/>
  <c r="C612" i="2"/>
  <c r="C618" i="2"/>
  <c r="C634" i="2"/>
  <c r="C635" i="2"/>
  <c r="C636" i="2"/>
  <c r="D6" i="11" s="1"/>
  <c r="C642" i="2"/>
  <c r="C657" i="2"/>
  <c r="C659" i="2"/>
  <c r="C660" i="2"/>
  <c r="C661" i="2"/>
  <c r="C662" i="2"/>
  <c r="C664" i="2"/>
  <c r="C666" i="2"/>
  <c r="C667" i="2"/>
  <c r="C668" i="2"/>
  <c r="C697" i="2"/>
  <c r="C708" i="2"/>
  <c r="C709" i="2"/>
  <c r="C710" i="2"/>
  <c r="C753" i="2"/>
  <c r="C786" i="2"/>
  <c r="C788" i="2"/>
  <c r="C789" i="2"/>
  <c r="C791" i="2"/>
  <c r="C827" i="2"/>
  <c r="C830" i="2"/>
  <c r="C860" i="2"/>
  <c r="C866" i="2"/>
  <c r="C867" i="2"/>
  <c r="C907" i="2"/>
  <c r="C911" i="2"/>
  <c r="C915" i="2"/>
  <c r="C939" i="2"/>
  <c r="C966" i="2"/>
  <c r="C1003" i="2"/>
  <c r="D52" i="13" s="1"/>
  <c r="E52" i="13" s="1"/>
  <c r="C1008" i="2"/>
  <c r="C1048" i="2"/>
  <c r="D77" i="13" s="1"/>
  <c r="E77" i="13" s="1"/>
  <c r="C1049" i="2"/>
  <c r="D78" i="13" s="1"/>
  <c r="E78" i="13" s="1"/>
  <c r="C1051" i="2"/>
  <c r="D79" i="13" s="1"/>
  <c r="E79" i="13" s="1"/>
  <c r="C1054" i="2"/>
  <c r="D82" i="13" s="1"/>
  <c r="E82" i="13" s="1"/>
  <c r="C1058" i="2"/>
  <c r="D86" i="13" s="1"/>
  <c r="E86" i="13" s="1"/>
  <c r="C1114" i="2"/>
  <c r="D127" i="13" s="1"/>
  <c r="E127" i="13" s="1"/>
  <c r="C1120" i="2"/>
  <c r="D132" i="13" s="1"/>
  <c r="E132" i="13" s="1"/>
  <c r="C1123" i="2"/>
  <c r="D135" i="13" s="1"/>
  <c r="E135" i="13" s="1"/>
  <c r="C1125" i="2"/>
  <c r="D137" i="13" s="1"/>
  <c r="E137" i="13" s="1"/>
  <c r="C756" i="2"/>
  <c r="C760" i="2"/>
  <c r="D14" i="13" s="1"/>
  <c r="E14" i="13" s="1"/>
  <c r="C792" i="2"/>
  <c r="D18" i="13" s="1"/>
  <c r="E18" i="13" s="1"/>
  <c r="C793" i="2"/>
  <c r="C796" i="2"/>
  <c r="C797" i="2"/>
  <c r="C800" i="2"/>
  <c r="D20" i="13" s="1"/>
  <c r="E20" i="13" s="1"/>
  <c r="C807" i="2"/>
  <c r="D22" i="13" s="1"/>
  <c r="E22" i="13" s="1"/>
  <c r="C810" i="2"/>
  <c r="C814" i="2"/>
  <c r="C835" i="2"/>
  <c r="D25" i="13" s="1"/>
  <c r="E25" i="13" s="1"/>
  <c r="C840" i="2"/>
  <c r="D26" i="13" s="1"/>
  <c r="E26" i="13" s="1"/>
  <c r="C842" i="2"/>
  <c r="C843" i="2"/>
  <c r="C848" i="2"/>
  <c r="D27" i="13" s="1"/>
  <c r="E27" i="13" s="1"/>
  <c r="C849" i="2"/>
  <c r="D28" i="13" s="1"/>
  <c r="E28" i="13" s="1"/>
  <c r="C850" i="2"/>
  <c r="C878" i="2"/>
  <c r="C879" i="2"/>
  <c r="D18" i="11" s="1"/>
  <c r="C880" i="2"/>
  <c r="D19" i="11" s="1"/>
  <c r="C885" i="2"/>
  <c r="C920" i="2"/>
  <c r="C921" i="2"/>
  <c r="C923" i="2"/>
  <c r="C924" i="2"/>
  <c r="C926" i="2"/>
  <c r="C944" i="2"/>
  <c r="D38" i="13" s="1"/>
  <c r="E38" i="13" s="1"/>
  <c r="C952" i="2"/>
  <c r="C957" i="2"/>
  <c r="C978" i="2"/>
  <c r="D45" i="13" s="1"/>
  <c r="E45" i="13" s="1"/>
  <c r="C979" i="2"/>
  <c r="D28" i="11" s="1"/>
  <c r="C980" i="2"/>
  <c r="C982" i="2"/>
  <c r="C987" i="2"/>
  <c r="C1011" i="2"/>
  <c r="C1013" i="2"/>
  <c r="D56" i="13" s="1"/>
  <c r="E56" i="13" s="1"/>
  <c r="C1016" i="2"/>
  <c r="D58" i="13" s="1"/>
  <c r="E58" i="13" s="1"/>
  <c r="C1017" i="2"/>
  <c r="D59" i="13" s="1"/>
  <c r="E59" i="13" s="1"/>
  <c r="C1018" i="2"/>
  <c r="D60" i="13" s="1"/>
  <c r="E60" i="13" s="1"/>
  <c r="C1020" i="2"/>
  <c r="D61" i="13" s="1"/>
  <c r="E61" i="13" s="1"/>
  <c r="C1023" i="2"/>
  <c r="D64" i="13" s="1"/>
  <c r="E64" i="13" s="1"/>
  <c r="C1027" i="2"/>
  <c r="D67" i="13" s="1"/>
  <c r="E67" i="13" s="1"/>
  <c r="C1028" i="2"/>
  <c r="D68" i="13" s="1"/>
  <c r="E68" i="13" s="1"/>
  <c r="C1029" i="2"/>
  <c r="C1035" i="2"/>
  <c r="D71" i="13" s="1"/>
  <c r="E71" i="13" s="1"/>
  <c r="C1039" i="2"/>
  <c r="D32" i="11" s="1"/>
  <c r="C1041" i="2"/>
  <c r="C1061" i="2"/>
  <c r="D88" i="13" s="1"/>
  <c r="E88" i="13" s="1"/>
  <c r="C1063" i="2"/>
  <c r="D90" i="13" s="1"/>
  <c r="E90" i="13" s="1"/>
  <c r="C1064" i="2"/>
  <c r="D91" i="13" s="1"/>
  <c r="E91" i="13" s="1"/>
  <c r="C1066" i="2"/>
  <c r="D93" i="13" s="1"/>
  <c r="E93" i="13" s="1"/>
  <c r="C1067" i="2"/>
  <c r="D94" i="13" s="1"/>
  <c r="E94" i="13" s="1"/>
  <c r="C1069" i="2"/>
  <c r="D96" i="13" s="1"/>
  <c r="E96" i="13" s="1"/>
  <c r="C1071" i="2"/>
  <c r="D98" i="13" s="1"/>
  <c r="E98" i="13" s="1"/>
  <c r="C1074" i="2"/>
  <c r="D100" i="13" s="1"/>
  <c r="E100" i="13" s="1"/>
  <c r="C1095" i="2"/>
  <c r="D115" i="13" s="1"/>
  <c r="E115" i="13" s="1"/>
  <c r="C1096" i="2"/>
  <c r="D116" i="13" s="1"/>
  <c r="E116" i="13" s="1"/>
  <c r="C1100" i="2"/>
  <c r="D118" i="13" s="1"/>
  <c r="E118" i="13" s="1"/>
  <c r="C1101" i="2"/>
  <c r="C1129" i="2"/>
  <c r="C1130" i="2"/>
  <c r="C1131" i="2"/>
  <c r="D138" i="13" s="1"/>
  <c r="E138" i="13" s="1"/>
  <c r="C1132" i="2"/>
  <c r="D139" i="13" s="1"/>
  <c r="E139" i="13" s="1"/>
  <c r="C1134" i="2"/>
  <c r="C1136" i="2"/>
  <c r="C1139" i="2"/>
  <c r="D143" i="13" s="1"/>
  <c r="E143" i="13" s="1"/>
  <c r="C1140" i="2"/>
  <c r="C1142" i="2"/>
  <c r="D145" i="13" s="1"/>
  <c r="E145" i="13" s="1"/>
  <c r="C1147" i="2"/>
  <c r="D148" i="13" s="1"/>
  <c r="E148" i="13" s="1"/>
  <c r="C1148" i="2"/>
  <c r="D149" i="13" s="1"/>
  <c r="E149" i="13" s="1"/>
  <c r="C1164" i="2"/>
  <c r="D156" i="13" s="1"/>
  <c r="E156" i="13" s="1"/>
  <c r="C1166" i="2"/>
  <c r="D158" i="13" s="1"/>
  <c r="E158" i="13" s="1"/>
  <c r="C1167" i="2"/>
  <c r="C1168" i="2"/>
  <c r="D159" i="13" s="1"/>
  <c r="E159" i="13" s="1"/>
  <c r="C1169" i="2"/>
  <c r="D160" i="13" s="1"/>
  <c r="E160" i="13" s="1"/>
  <c r="C1171" i="2"/>
  <c r="C1172" i="2"/>
  <c r="D162" i="13" s="1"/>
  <c r="E162" i="13" s="1"/>
  <c r="C1174" i="2"/>
  <c r="D164" i="13" s="1"/>
  <c r="E164" i="13" s="1"/>
  <c r="C1175" i="2"/>
  <c r="C1176" i="2"/>
  <c r="C1178" i="2"/>
  <c r="D165" i="13" s="1"/>
  <c r="E165" i="13" s="1"/>
  <c r="C1179" i="2"/>
  <c r="D166" i="13" s="1"/>
  <c r="E166" i="13" s="1"/>
  <c r="C1180" i="2"/>
  <c r="D167" i="13" s="1"/>
  <c r="E167" i="13" s="1"/>
  <c r="C1191" i="2"/>
  <c r="D174" i="13" s="1"/>
  <c r="E174" i="13" s="1"/>
  <c r="C1192" i="2"/>
  <c r="C1193" i="2"/>
  <c r="C1197" i="2"/>
  <c r="C1198" i="2"/>
  <c r="C1199" i="2"/>
  <c r="D176" i="13" s="1"/>
  <c r="E176" i="13" s="1"/>
  <c r="C1213" i="2"/>
  <c r="D186" i="13" s="1"/>
  <c r="E186" i="13" s="1"/>
  <c r="C1214" i="2"/>
  <c r="D187" i="13" s="1"/>
  <c r="E187" i="13" s="1"/>
  <c r="C1215" i="2"/>
  <c r="C1216" i="2"/>
  <c r="D188" i="13" s="1"/>
  <c r="E188" i="13" s="1"/>
  <c r="C1217" i="2"/>
  <c r="C1218" i="2"/>
  <c r="D189" i="13" s="1"/>
  <c r="E189" i="13" s="1"/>
  <c r="C1219" i="2"/>
  <c r="D190" i="13" s="1"/>
  <c r="E190" i="13" s="1"/>
  <c r="C1220" i="2"/>
  <c r="D191" i="13" s="1"/>
  <c r="E191" i="13" s="1"/>
  <c r="C1221" i="2"/>
  <c r="D192" i="13" s="1"/>
  <c r="E192" i="13" s="1"/>
  <c r="C1222" i="2"/>
  <c r="C1224" i="2"/>
  <c r="C1225" i="2"/>
  <c r="C1226" i="2"/>
  <c r="D194" i="13" s="1"/>
  <c r="E194" i="13" s="1"/>
  <c r="C1227" i="2"/>
  <c r="D195" i="13" s="1"/>
  <c r="E195" i="13" s="1"/>
  <c r="C1228" i="2"/>
  <c r="D196" i="13" s="1"/>
  <c r="E196" i="13" s="1"/>
  <c r="C1229" i="2"/>
  <c r="D197" i="13" s="1"/>
  <c r="E197" i="13" s="1"/>
  <c r="C1137" i="2"/>
  <c r="D142" i="13" s="1"/>
  <c r="E142" i="13" s="1"/>
  <c r="C1143" i="2"/>
  <c r="C1173" i="2"/>
  <c r="D163" i="13" s="1"/>
  <c r="E163" i="13" s="1"/>
  <c r="C1194" i="2"/>
  <c r="C1195" i="2"/>
  <c r="D175" i="13" s="1"/>
  <c r="E175" i="13" s="1"/>
  <c r="C801" i="2"/>
  <c r="C811" i="2"/>
  <c r="C950" i="2"/>
  <c r="C977" i="2"/>
  <c r="C989" i="2"/>
  <c r="C990" i="2"/>
  <c r="C1065" i="2"/>
  <c r="C757" i="2"/>
  <c r="C758" i="2"/>
  <c r="D10" i="11" s="1"/>
  <c r="C763" i="2"/>
  <c r="C794" i="2"/>
  <c r="D19" i="13" s="1"/>
  <c r="E19" i="13" s="1"/>
  <c r="C802" i="2"/>
  <c r="C809" i="2"/>
  <c r="C838" i="2"/>
  <c r="C846" i="2"/>
  <c r="C847" i="2"/>
  <c r="C868" i="2"/>
  <c r="C876" i="2"/>
  <c r="C883" i="2"/>
  <c r="C884" i="2"/>
  <c r="C925" i="2"/>
  <c r="C928" i="2"/>
  <c r="C945" i="2"/>
  <c r="D25" i="11" s="1"/>
  <c r="C947" i="2"/>
  <c r="D26" i="11" s="1"/>
  <c r="C1026" i="2"/>
  <c r="D66" i="13" s="1"/>
  <c r="E66" i="13" s="1"/>
  <c r="C1062" i="2"/>
  <c r="D89" i="13" s="1"/>
  <c r="E89" i="13" s="1"/>
  <c r="C1146" i="2"/>
  <c r="D147" i="13" s="1"/>
  <c r="E147" i="13" s="1"/>
  <c r="C1097" i="2"/>
  <c r="C806" i="2"/>
  <c r="C983" i="2"/>
  <c r="C984" i="2"/>
  <c r="C1033" i="2"/>
  <c r="C1037" i="2"/>
  <c r="C1098" i="2"/>
  <c r="C1099" i="2"/>
  <c r="D117" i="13" s="1"/>
  <c r="E117" i="13" s="1"/>
  <c r="C1128" i="2"/>
  <c r="C1133" i="2"/>
  <c r="D140" i="13" s="1"/>
  <c r="E140" i="13" s="1"/>
  <c r="C1135" i="2"/>
  <c r="D141" i="13" s="1"/>
  <c r="E141" i="13" s="1"/>
  <c r="C1138" i="2"/>
  <c r="C1145" i="2"/>
  <c r="C1170" i="2"/>
  <c r="D161" i="13" s="1"/>
  <c r="E161" i="13" s="1"/>
  <c r="C1177" i="2"/>
  <c r="C759" i="2"/>
  <c r="C764" i="2"/>
  <c r="C808" i="2"/>
  <c r="C839" i="2"/>
  <c r="C844" i="2"/>
  <c r="C870" i="2"/>
  <c r="C873" i="2"/>
  <c r="C948" i="2"/>
  <c r="C953" i="2"/>
  <c r="C1015" i="2"/>
  <c r="C1032" i="2"/>
  <c r="C1072" i="2"/>
  <c r="C1102" i="2"/>
  <c r="D119" i="13" s="1"/>
  <c r="E119" i="13" s="1"/>
  <c r="C1144" i="2"/>
  <c r="D146" i="13" s="1"/>
  <c r="E146" i="13" s="1"/>
  <c r="C1223" i="2"/>
  <c r="D193" i="13" s="1"/>
  <c r="E193" i="13" s="1"/>
  <c r="C877" i="2"/>
  <c r="D30" i="13" s="1"/>
  <c r="E30" i="13" s="1"/>
  <c r="C951" i="2"/>
  <c r="C1021" i="2"/>
  <c r="D62" i="13" s="1"/>
  <c r="E62" i="13" s="1"/>
  <c r="C1196" i="2"/>
  <c r="C886" i="2"/>
  <c r="D31" i="13" s="1"/>
  <c r="E31" i="13" s="1"/>
  <c r="C954" i="2"/>
  <c r="C981" i="2"/>
  <c r="C985" i="2"/>
  <c r="D46" i="13" s="1"/>
  <c r="E46" i="13" s="1"/>
  <c r="C988" i="2"/>
  <c r="D47" i="13" s="1"/>
  <c r="E47" i="13" s="1"/>
  <c r="C1040" i="2"/>
  <c r="C1073" i="2"/>
  <c r="D99" i="13" s="1"/>
  <c r="E99" i="13" s="1"/>
  <c r="C1141" i="2"/>
  <c r="D144" i="13" s="1"/>
  <c r="E144" i="13" s="1"/>
  <c r="C761" i="2"/>
  <c r="C795" i="2"/>
  <c r="C798" i="2"/>
  <c r="C804" i="2"/>
  <c r="D21" i="13" s="1"/>
  <c r="E21" i="13" s="1"/>
  <c r="C812" i="2"/>
  <c r="D23" i="13" s="1"/>
  <c r="E23" i="13" s="1"/>
  <c r="C813" i="2"/>
  <c r="C845" i="2"/>
  <c r="C927" i="2"/>
  <c r="C949" i="2"/>
  <c r="D39" i="13" s="1"/>
  <c r="E39" i="13" s="1"/>
  <c r="C975" i="2"/>
  <c r="C1012" i="2"/>
  <c r="D55" i="13" s="1"/>
  <c r="E55" i="13" s="1"/>
  <c r="C1019" i="2"/>
  <c r="C1025" i="2"/>
  <c r="C1031" i="2"/>
  <c r="C1034" i="2"/>
  <c r="D70" i="13" s="1"/>
  <c r="E70" i="13" s="1"/>
  <c r="C1038" i="2"/>
  <c r="D73" i="13" s="1"/>
  <c r="E73" i="13" s="1"/>
  <c r="C1103" i="2"/>
  <c r="D120" i="13" s="1"/>
  <c r="E120" i="13" s="1"/>
  <c r="C1149" i="2"/>
  <c r="D150" i="13" s="1"/>
  <c r="E150" i="13" s="1"/>
  <c r="C686" i="2"/>
  <c r="C762" i="2"/>
  <c r="C765" i="2"/>
  <c r="C766" i="2"/>
  <c r="C799" i="2"/>
  <c r="C803" i="2"/>
  <c r="C805" i="2"/>
  <c r="C836" i="2"/>
  <c r="C837" i="2"/>
  <c r="C841" i="2"/>
  <c r="C869" i="2"/>
  <c r="C871" i="2"/>
  <c r="C872" i="2"/>
  <c r="C874" i="2"/>
  <c r="C875" i="2"/>
  <c r="C881" i="2"/>
  <c r="C882" i="2"/>
  <c r="C919" i="2"/>
  <c r="C922" i="2"/>
  <c r="C946" i="2"/>
  <c r="C955" i="2"/>
  <c r="C976" i="2"/>
  <c r="C986" i="2"/>
  <c r="C1014" i="2"/>
  <c r="D57" i="13" s="1"/>
  <c r="E57" i="13" s="1"/>
  <c r="C1022" i="2"/>
  <c r="D63" i="13" s="1"/>
  <c r="E63" i="13" s="1"/>
  <c r="C1024" i="2"/>
  <c r="D65" i="13" s="1"/>
  <c r="E65" i="13" s="1"/>
  <c r="C1030" i="2"/>
  <c r="D69" i="13" s="1"/>
  <c r="E69" i="13" s="1"/>
  <c r="C1036" i="2"/>
  <c r="D72" i="13" s="1"/>
  <c r="E72" i="13" s="1"/>
  <c r="C1068" i="2"/>
  <c r="D95" i="13" s="1"/>
  <c r="E95" i="13" s="1"/>
  <c r="C1070" i="2"/>
  <c r="D97" i="13" s="1"/>
  <c r="E97" i="13" s="1"/>
  <c r="B2" i="13"/>
  <c r="B3" i="2"/>
  <c r="B3" i="13" s="1"/>
  <c r="B4" i="2"/>
  <c r="B4" i="13" s="1"/>
  <c r="B124" i="2"/>
  <c r="B2" i="11" s="1"/>
  <c r="B191" i="2"/>
  <c r="B3" i="11" s="1"/>
  <c r="B537" i="2"/>
  <c r="B6" i="13" s="1"/>
  <c r="B582" i="2"/>
  <c r="B7" i="13" s="1"/>
  <c r="B621" i="2"/>
  <c r="B625" i="2"/>
  <c r="B741" i="2"/>
  <c r="B742" i="2"/>
  <c r="B747" i="2"/>
  <c r="B770" i="2"/>
  <c r="B15" i="13" s="1"/>
  <c r="B772" i="2"/>
  <c r="B773" i="2"/>
  <c r="B777" i="2"/>
  <c r="B816" i="2"/>
  <c r="B24" i="13" s="1"/>
  <c r="B823" i="2"/>
  <c r="B851" i="2"/>
  <c r="B29" i="13" s="1"/>
  <c r="B854" i="2"/>
  <c r="B890" i="2"/>
  <c r="B893" i="2"/>
  <c r="B32" i="13" s="1"/>
  <c r="B897" i="2"/>
  <c r="B931" i="2"/>
  <c r="B933" i="2"/>
  <c r="B934" i="2"/>
  <c r="B35" i="13" s="1"/>
  <c r="B936" i="2"/>
  <c r="B958" i="2"/>
  <c r="B960" i="2"/>
  <c r="B961" i="2"/>
  <c r="B40" i="13" s="1"/>
  <c r="B962" i="2"/>
  <c r="B27" i="11" s="1"/>
  <c r="B963" i="2"/>
  <c r="B41" i="13" s="1"/>
  <c r="B992" i="2"/>
  <c r="B48" i="13" s="1"/>
  <c r="B995" i="2"/>
  <c r="B49" i="13" s="1"/>
  <c r="B997" i="2"/>
  <c r="B50" i="13" s="1"/>
  <c r="B1042" i="2"/>
  <c r="B1044" i="2"/>
  <c r="B75" i="13" s="1"/>
  <c r="B1045" i="2"/>
  <c r="B76" i="13" s="1"/>
  <c r="B1076" i="2"/>
  <c r="B102" i="13" s="1"/>
  <c r="B1079" i="2"/>
  <c r="B104" i="13" s="1"/>
  <c r="B1080" i="2"/>
  <c r="B108" i="13" s="1"/>
  <c r="B1081" i="2"/>
  <c r="B105" i="13" s="1"/>
  <c r="B1083" i="2"/>
  <c r="B107" i="13" s="1"/>
  <c r="B1084" i="2"/>
  <c r="B109" i="13" s="1"/>
  <c r="B1104" i="2"/>
  <c r="B1105" i="2"/>
  <c r="B34" i="11" s="1"/>
  <c r="B1107" i="2"/>
  <c r="B122" i="13" s="1"/>
  <c r="B1108" i="2"/>
  <c r="B123" i="13" s="1"/>
  <c r="B1109" i="2"/>
  <c r="B1150" i="2"/>
  <c r="B1151" i="2"/>
  <c r="B1152" i="2"/>
  <c r="B151" i="13" s="1"/>
  <c r="B1155" i="2"/>
  <c r="B1181" i="2"/>
  <c r="B168" i="13" s="1"/>
  <c r="B1183" i="2"/>
  <c r="B170" i="13" s="1"/>
  <c r="B1185" i="2"/>
  <c r="B1200" i="2"/>
  <c r="B178" i="13" s="1"/>
  <c r="B1202" i="2"/>
  <c r="B1085" i="2"/>
  <c r="B110" i="13" s="1"/>
  <c r="B7" i="2"/>
  <c r="B10" i="2"/>
  <c r="B13" i="2"/>
  <c r="B20" i="2"/>
  <c r="B21" i="2"/>
  <c r="B24" i="2"/>
  <c r="B25" i="2"/>
  <c r="B26" i="2"/>
  <c r="B28" i="2"/>
  <c r="B30" i="2"/>
  <c r="B35" i="2"/>
  <c r="B36" i="2"/>
  <c r="B44" i="2"/>
  <c r="B45" i="2"/>
  <c r="B73" i="2"/>
  <c r="B74" i="2"/>
  <c r="B78" i="2"/>
  <c r="B80" i="2"/>
  <c r="B81" i="2"/>
  <c r="B84" i="2"/>
  <c r="B89" i="2"/>
  <c r="B90" i="2"/>
  <c r="B92" i="2"/>
  <c r="B115" i="2"/>
  <c r="B122" i="2"/>
  <c r="B125" i="2"/>
  <c r="B129" i="2"/>
  <c r="B130" i="2"/>
  <c r="B131" i="2"/>
  <c r="B159" i="2"/>
  <c r="B163" i="2"/>
  <c r="B179" i="2"/>
  <c r="B180" i="2"/>
  <c r="B181" i="2"/>
  <c r="B188" i="2"/>
  <c r="B190" i="2"/>
  <c r="B192" i="2"/>
  <c r="B216" i="2"/>
  <c r="B217" i="2"/>
  <c r="B220" i="2"/>
  <c r="B225" i="2"/>
  <c r="B232" i="2"/>
  <c r="B234" i="2"/>
  <c r="B236" i="2"/>
  <c r="B237" i="2"/>
  <c r="B246" i="2"/>
  <c r="B247" i="2"/>
  <c r="B248" i="2"/>
  <c r="B249" i="2"/>
  <c r="B251" i="2"/>
  <c r="B252" i="2"/>
  <c r="B253" i="2"/>
  <c r="B254" i="2"/>
  <c r="B306" i="2"/>
  <c r="B307" i="2"/>
  <c r="B312" i="2"/>
  <c r="B343" i="2"/>
  <c r="B344" i="2"/>
  <c r="B351" i="2"/>
  <c r="B363" i="2"/>
  <c r="B367" i="2"/>
  <c r="B370" i="2"/>
  <c r="B375" i="2"/>
  <c r="B394" i="2"/>
  <c r="B403" i="2"/>
  <c r="B405" i="2"/>
  <c r="B407" i="2"/>
  <c r="B409" i="2"/>
  <c r="B429" i="2"/>
  <c r="B431" i="2"/>
  <c r="B442" i="2"/>
  <c r="B462" i="2"/>
  <c r="B463" i="2"/>
  <c r="B465" i="2"/>
  <c r="B467" i="2"/>
  <c r="B468" i="2"/>
  <c r="B470" i="2"/>
  <c r="B474" i="2"/>
  <c r="B475" i="2"/>
  <c r="B477" i="2"/>
  <c r="B478" i="2"/>
  <c r="B482" i="2"/>
  <c r="B483" i="2"/>
  <c r="B509" i="2"/>
  <c r="B514" i="2"/>
  <c r="B517" i="2"/>
  <c r="B536" i="2"/>
  <c r="B549" i="2"/>
  <c r="B551" i="2"/>
  <c r="B553" i="2"/>
  <c r="B563" i="2"/>
  <c r="B565" i="2"/>
  <c r="B566" i="2"/>
  <c r="B568" i="2"/>
  <c r="B580" i="2"/>
  <c r="B593" i="2"/>
  <c r="B622" i="2"/>
  <c r="B624" i="2"/>
  <c r="B5" i="11" s="1"/>
  <c r="B626" i="2"/>
  <c r="B627" i="2"/>
  <c r="B645" i="2"/>
  <c r="B646" i="2"/>
  <c r="B680" i="2"/>
  <c r="B684" i="2"/>
  <c r="B698" i="2"/>
  <c r="B8" i="11" s="1"/>
  <c r="B699" i="2"/>
  <c r="B700" i="2"/>
  <c r="B701" i="2"/>
  <c r="B716" i="2"/>
  <c r="B717" i="2"/>
  <c r="B727" i="2"/>
  <c r="B728" i="2"/>
  <c r="B729" i="2"/>
  <c r="B731" i="2"/>
  <c r="B734" i="2"/>
  <c r="B737" i="2"/>
  <c r="B738" i="2"/>
  <c r="B739" i="2"/>
  <c r="B740" i="2"/>
  <c r="B744" i="2"/>
  <c r="B745" i="2"/>
  <c r="B746" i="2"/>
  <c r="B750" i="2"/>
  <c r="B767" i="2"/>
  <c r="B768" i="2"/>
  <c r="B769" i="2"/>
  <c r="B771" i="2"/>
  <c r="B774" i="2"/>
  <c r="B11" i="11" s="1"/>
  <c r="B779" i="2"/>
  <c r="B817" i="2"/>
  <c r="B818" i="2"/>
  <c r="B819" i="2"/>
  <c r="B820" i="2"/>
  <c r="B12" i="11" s="1"/>
  <c r="B822" i="2"/>
  <c r="B853" i="2"/>
  <c r="B891" i="2"/>
  <c r="B930" i="2"/>
  <c r="B21" i="11" s="1"/>
  <c r="B935" i="2"/>
  <c r="B937" i="2"/>
  <c r="B22" i="11" s="1"/>
  <c r="B938" i="2"/>
  <c r="B23" i="11" s="1"/>
  <c r="B940" i="2"/>
  <c r="B24" i="11" s="1"/>
  <c r="B959" i="2"/>
  <c r="B33" i="2"/>
  <c r="B37" i="2"/>
  <c r="B42" i="2"/>
  <c r="B1153" i="2"/>
  <c r="B1154" i="2"/>
  <c r="B1157" i="2"/>
  <c r="B1078" i="2"/>
  <c r="B103" i="13" s="1"/>
  <c r="B1106" i="2"/>
  <c r="B121" i="13" s="1"/>
  <c r="B649" i="2"/>
  <c r="B682" i="2"/>
  <c r="B713" i="2"/>
  <c r="B715" i="2"/>
  <c r="B743" i="2"/>
  <c r="B775" i="2"/>
  <c r="B778" i="2"/>
  <c r="B855" i="2"/>
  <c r="B887" i="2"/>
  <c r="B888" i="2"/>
  <c r="B892" i="2"/>
  <c r="B895" i="2"/>
  <c r="B896" i="2"/>
  <c r="B900" i="2"/>
  <c r="B929" i="2"/>
  <c r="B932" i="2"/>
  <c r="B993" i="2"/>
  <c r="B996" i="2"/>
  <c r="B998" i="2"/>
  <c r="B999" i="2"/>
  <c r="B1110" i="2"/>
  <c r="B124" i="13" s="1"/>
  <c r="B1111" i="2"/>
  <c r="B125" i="13" s="1"/>
  <c r="B1201" i="2"/>
  <c r="B179" i="13" s="1"/>
  <c r="B1077" i="2"/>
  <c r="B994" i="2"/>
  <c r="B1075" i="2"/>
  <c r="B101" i="13" s="1"/>
  <c r="B1082" i="2"/>
  <c r="B106" i="13" s="1"/>
  <c r="B899" i="2"/>
  <c r="B1043" i="2"/>
  <c r="B74" i="13" s="1"/>
  <c r="B1156" i="2"/>
  <c r="B152" i="13" s="1"/>
  <c r="B1184" i="2"/>
  <c r="B991" i="2"/>
  <c r="B11" i="2"/>
  <c r="B17" i="2"/>
  <c r="B18" i="2"/>
  <c r="B22" i="2"/>
  <c r="B23" i="2"/>
  <c r="B27" i="2"/>
  <c r="B29" i="2"/>
  <c r="B31" i="2"/>
  <c r="B32" i="2"/>
  <c r="B34" i="2"/>
  <c r="B38" i="2"/>
  <c r="B39" i="2"/>
  <c r="B40" i="2"/>
  <c r="B41" i="2"/>
  <c r="B43" i="2"/>
  <c r="B75" i="2"/>
  <c r="B76" i="2"/>
  <c r="B77" i="2"/>
  <c r="B79" i="2"/>
  <c r="B82" i="2"/>
  <c r="B83" i="2"/>
  <c r="B85" i="2"/>
  <c r="B86" i="2"/>
  <c r="B87" i="2"/>
  <c r="B88" i="2"/>
  <c r="B91" i="2"/>
  <c r="B93" i="2"/>
  <c r="B94" i="2"/>
  <c r="B110" i="2"/>
  <c r="B111" i="2"/>
  <c r="B112" i="2"/>
  <c r="B113" i="2"/>
  <c r="B114" i="2"/>
  <c r="B116" i="2"/>
  <c r="B117" i="2"/>
  <c r="B118" i="2"/>
  <c r="B119" i="2"/>
  <c r="B120" i="2"/>
  <c r="B121" i="2"/>
  <c r="B123" i="2"/>
  <c r="B126" i="2"/>
  <c r="B127" i="2"/>
  <c r="B128" i="2"/>
  <c r="B152" i="2"/>
  <c r="B153" i="2"/>
  <c r="B154" i="2"/>
  <c r="B155" i="2"/>
  <c r="B156" i="2"/>
  <c r="B157" i="2"/>
  <c r="B158" i="2"/>
  <c r="B160" i="2"/>
  <c r="B161" i="2"/>
  <c r="B162" i="2"/>
  <c r="B178" i="2"/>
  <c r="B182" i="2"/>
  <c r="B183" i="2"/>
  <c r="B184" i="2"/>
  <c r="B185" i="2"/>
  <c r="B186" i="2"/>
  <c r="B187" i="2"/>
  <c r="B189" i="2"/>
  <c r="B193" i="2"/>
  <c r="B194" i="2"/>
  <c r="B195" i="2"/>
  <c r="B196" i="2"/>
  <c r="B218" i="2"/>
  <c r="B219" i="2"/>
  <c r="B221" i="2"/>
  <c r="B222" i="2"/>
  <c r="B223" i="2"/>
  <c r="B224" i="2"/>
  <c r="B226" i="2"/>
  <c r="B227" i="2"/>
  <c r="B228" i="2"/>
  <c r="B229" i="2"/>
  <c r="B230" i="2"/>
  <c r="B231" i="2"/>
  <c r="B233" i="2"/>
  <c r="B239" i="2"/>
  <c r="B240" i="2"/>
  <c r="B241" i="2"/>
  <c r="B242" i="2"/>
  <c r="B243" i="2"/>
  <c r="B244" i="2"/>
  <c r="B245" i="2"/>
  <c r="B250" i="2"/>
  <c r="B255" i="2"/>
  <c r="B256" i="2"/>
  <c r="B257" i="2"/>
  <c r="B308" i="2"/>
  <c r="B310" i="2"/>
  <c r="B311" i="2"/>
  <c r="B313" i="2"/>
  <c r="B314" i="2"/>
  <c r="B315" i="2"/>
  <c r="B316" i="2"/>
  <c r="B317" i="2"/>
  <c r="B318" i="2"/>
  <c r="B319" i="2"/>
  <c r="B320" i="2"/>
  <c r="B321" i="2"/>
  <c r="B340" i="2"/>
  <c r="B341" i="2"/>
  <c r="B342" i="2"/>
  <c r="B345" i="2"/>
  <c r="B346" i="2"/>
  <c r="B347" i="2"/>
  <c r="B348" i="2"/>
  <c r="B349" i="2"/>
  <c r="B350" i="2"/>
  <c r="B362" i="2"/>
  <c r="B364" i="2"/>
  <c r="B365" i="2"/>
  <c r="B366" i="2"/>
  <c r="B368" i="2"/>
  <c r="B369" i="2"/>
  <c r="B371" i="2"/>
  <c r="B372" i="2"/>
  <c r="B373" i="2"/>
  <c r="B374" i="2"/>
  <c r="B393" i="2"/>
  <c r="B395" i="2"/>
  <c r="B397" i="2"/>
  <c r="B398" i="2"/>
  <c r="B399" i="2"/>
  <c r="B400" i="2"/>
  <c r="B401" i="2"/>
  <c r="B404" i="2"/>
  <c r="B406" i="2"/>
  <c r="B408" i="2"/>
  <c r="B410" i="2"/>
  <c r="B427" i="2"/>
  <c r="B428" i="2"/>
  <c r="B430" i="2"/>
  <c r="B432" i="2"/>
  <c r="B433" i="2"/>
  <c r="B434" i="2"/>
  <c r="B435" i="2"/>
  <c r="B436" i="2"/>
  <c r="B437" i="2"/>
  <c r="B438" i="2"/>
  <c r="B439" i="2"/>
  <c r="B440" i="2"/>
  <c r="B441" i="2"/>
  <c r="B464" i="2"/>
  <c r="B466" i="2"/>
  <c r="B469" i="2"/>
  <c r="B471" i="2"/>
  <c r="B472" i="2"/>
  <c r="B473" i="2"/>
  <c r="B476" i="2"/>
  <c r="B479" i="2"/>
  <c r="B480" i="2"/>
  <c r="B481" i="2"/>
  <c r="B504" i="2"/>
  <c r="B505" i="2"/>
  <c r="B506" i="2"/>
  <c r="B507" i="2"/>
  <c r="B508" i="2"/>
  <c r="B510" i="2"/>
  <c r="B511" i="2"/>
  <c r="B512" i="2"/>
  <c r="B513" i="2"/>
  <c r="B515" i="2"/>
  <c r="B516" i="2"/>
  <c r="B518" i="2"/>
  <c r="B534" i="2"/>
  <c r="B535" i="2"/>
  <c r="B538" i="2"/>
  <c r="B539" i="2"/>
  <c r="B540" i="2"/>
  <c r="B547" i="2"/>
  <c r="B548" i="2"/>
  <c r="B550" i="2"/>
  <c r="B552" i="2"/>
  <c r="B562" i="2"/>
  <c r="B564" i="2"/>
  <c r="B567" i="2"/>
  <c r="B569" i="2"/>
  <c r="B581" i="2"/>
  <c r="B583" i="2"/>
  <c r="B584" i="2"/>
  <c r="B585" i="2"/>
  <c r="B586" i="2"/>
  <c r="B587" i="2"/>
  <c r="B588" i="2"/>
  <c r="B589" i="2"/>
  <c r="B590" i="2"/>
  <c r="B591" i="2"/>
  <c r="B592" i="2"/>
  <c r="B594" i="2"/>
  <c r="B595" i="2"/>
  <c r="B8" i="13" s="1"/>
  <c r="B620" i="2"/>
  <c r="B623" i="2"/>
  <c r="B643" i="2"/>
  <c r="B644" i="2"/>
  <c r="B647" i="2"/>
  <c r="B648" i="2"/>
  <c r="B681" i="2"/>
  <c r="B683" i="2"/>
  <c r="B685" i="2"/>
  <c r="B714" i="2"/>
  <c r="B730" i="2"/>
  <c r="B732" i="2"/>
  <c r="B733" i="2"/>
  <c r="B735" i="2"/>
  <c r="B736" i="2"/>
  <c r="B748" i="2"/>
  <c r="B749" i="2"/>
  <c r="B776" i="2"/>
  <c r="B780" i="2"/>
  <c r="B815" i="2"/>
  <c r="B821" i="2"/>
  <c r="B852" i="2"/>
  <c r="B889" i="2"/>
  <c r="B894" i="2"/>
  <c r="B898" i="2"/>
  <c r="B901" i="2"/>
  <c r="B1182" i="2"/>
  <c r="B169" i="13" s="1"/>
  <c r="B6" i="2"/>
  <c r="B9" i="2"/>
  <c r="B14" i="2"/>
  <c r="B15" i="2"/>
  <c r="B19" i="2"/>
  <c r="B235" i="2"/>
  <c r="B238" i="2"/>
  <c r="B203" i="2"/>
  <c r="B208" i="2"/>
  <c r="B383" i="2"/>
  <c r="B532" i="2"/>
  <c r="B5" i="13" s="1"/>
  <c r="B722" i="2"/>
  <c r="B8" i="2"/>
  <c r="B12" i="2"/>
  <c r="B49" i="2"/>
  <c r="B52" i="2"/>
  <c r="B54" i="2"/>
  <c r="B55" i="2"/>
  <c r="B58" i="2"/>
  <c r="B62" i="2"/>
  <c r="B70" i="2"/>
  <c r="B96" i="2"/>
  <c r="B98" i="2"/>
  <c r="B103" i="2"/>
  <c r="B107" i="2"/>
  <c r="B109" i="2"/>
  <c r="B133" i="2"/>
  <c r="B134" i="2"/>
  <c r="B136" i="2"/>
  <c r="B137" i="2"/>
  <c r="B138" i="2"/>
  <c r="B140" i="2"/>
  <c r="B141" i="2"/>
  <c r="B148" i="2"/>
  <c r="B149" i="2"/>
  <c r="B150" i="2"/>
  <c r="B168" i="2"/>
  <c r="B170" i="2"/>
  <c r="B172" i="2"/>
  <c r="B176" i="2"/>
  <c r="B200" i="2"/>
  <c r="B206" i="2"/>
  <c r="B209" i="2"/>
  <c r="B210" i="2"/>
  <c r="B212" i="2"/>
  <c r="B260" i="2"/>
  <c r="B267" i="2"/>
  <c r="B273" i="2"/>
  <c r="B274" i="2"/>
  <c r="B277" i="2"/>
  <c r="B279" i="2"/>
  <c r="B280" i="2"/>
  <c r="B281" i="2"/>
  <c r="B285" i="2"/>
  <c r="B286" i="2"/>
  <c r="B287" i="2"/>
  <c r="B292" i="2"/>
  <c r="B294" i="2"/>
  <c r="B295" i="2"/>
  <c r="B296" i="2"/>
  <c r="B297" i="2"/>
  <c r="B298" i="2"/>
  <c r="B299" i="2"/>
  <c r="B301" i="2"/>
  <c r="B302" i="2"/>
  <c r="B305" i="2"/>
  <c r="B4" i="11" s="1"/>
  <c r="B309" i="2"/>
  <c r="B323" i="2"/>
  <c r="B326" i="2"/>
  <c r="B329" i="2"/>
  <c r="B331" i="2"/>
  <c r="B356" i="2"/>
  <c r="B377" i="2"/>
  <c r="B378" i="2"/>
  <c r="B379" i="2"/>
  <c r="B381" i="2"/>
  <c r="B389" i="2"/>
  <c r="B411" i="2"/>
  <c r="B412" i="2"/>
  <c r="B414" i="2"/>
  <c r="B417" i="2"/>
  <c r="B422" i="2"/>
  <c r="B425" i="2"/>
  <c r="B426" i="2"/>
  <c r="B448" i="2"/>
  <c r="B449" i="2"/>
  <c r="B450" i="2"/>
  <c r="B452" i="2"/>
  <c r="B453" i="2"/>
  <c r="B454" i="2"/>
  <c r="B455" i="2"/>
  <c r="B458" i="2"/>
  <c r="B487" i="2"/>
  <c r="B490" i="2"/>
  <c r="B493" i="2"/>
  <c r="B494" i="2"/>
  <c r="B498" i="2"/>
  <c r="B500" i="2"/>
  <c r="B501" i="2"/>
  <c r="B529" i="2"/>
  <c r="B542" i="2"/>
  <c r="B546" i="2"/>
  <c r="B555" i="2"/>
  <c r="B559" i="2"/>
  <c r="B560" i="2"/>
  <c r="B578" i="2"/>
  <c r="B600" i="2"/>
  <c r="B630" i="2"/>
  <c r="B651" i="2"/>
  <c r="B655" i="2"/>
  <c r="B669" i="2"/>
  <c r="B674" i="2"/>
  <c r="B677" i="2"/>
  <c r="B687" i="2"/>
  <c r="B689" i="2"/>
  <c r="B690" i="2"/>
  <c r="B692" i="2"/>
  <c r="B693" i="2"/>
  <c r="B723" i="2"/>
  <c r="B485" i="2"/>
  <c r="B544" i="2"/>
  <c r="B597" i="2"/>
  <c r="B656" i="2"/>
  <c r="B706" i="2"/>
  <c r="B707" i="2"/>
  <c r="B688" i="2"/>
  <c r="B10" i="13" s="1"/>
  <c r="B702" i="2"/>
  <c r="B704" i="2"/>
  <c r="B705" i="2"/>
  <c r="B719" i="2"/>
  <c r="B720" i="2"/>
  <c r="B484" i="2"/>
  <c r="B533" i="2"/>
  <c r="B631" i="2"/>
  <c r="B5" i="2"/>
  <c r="B16" i="2"/>
  <c r="B46" i="2"/>
  <c r="B47" i="2"/>
  <c r="B48" i="2"/>
  <c r="B50" i="2"/>
  <c r="B51" i="2"/>
  <c r="B53" i="2"/>
  <c r="B56" i="2"/>
  <c r="B57" i="2"/>
  <c r="B59" i="2"/>
  <c r="B60" i="2"/>
  <c r="B61" i="2"/>
  <c r="B63" i="2"/>
  <c r="B64" i="2"/>
  <c r="B65" i="2"/>
  <c r="B66" i="2"/>
  <c r="B67" i="2"/>
  <c r="B68" i="2"/>
  <c r="B69" i="2"/>
  <c r="B71" i="2"/>
  <c r="B95" i="2"/>
  <c r="B97" i="2"/>
  <c r="B99" i="2"/>
  <c r="B100" i="2"/>
  <c r="B101" i="2"/>
  <c r="B102" i="2"/>
  <c r="B104" i="2"/>
  <c r="B105" i="2"/>
  <c r="B106" i="2"/>
  <c r="B108" i="2"/>
  <c r="B132" i="2"/>
  <c r="B135" i="2"/>
  <c r="B139" i="2"/>
  <c r="B142" i="2"/>
  <c r="B143" i="2"/>
  <c r="B144" i="2"/>
  <c r="B145" i="2"/>
  <c r="B146" i="2"/>
  <c r="B147" i="2"/>
  <c r="B151" i="2"/>
  <c r="B164" i="2"/>
  <c r="B165" i="2"/>
  <c r="B166" i="2"/>
  <c r="B167" i="2"/>
  <c r="B169" i="2"/>
  <c r="B171" i="2"/>
  <c r="B173" i="2"/>
  <c r="B174" i="2"/>
  <c r="B175" i="2"/>
  <c r="B177" i="2"/>
  <c r="B197" i="2"/>
  <c r="B198" i="2"/>
  <c r="B199" i="2"/>
  <c r="B201" i="2"/>
  <c r="B202" i="2"/>
  <c r="B204" i="2"/>
  <c r="B205" i="2"/>
  <c r="B207" i="2"/>
  <c r="B211" i="2"/>
  <c r="B213" i="2"/>
  <c r="B214" i="2"/>
  <c r="B215" i="2"/>
  <c r="B258" i="2"/>
  <c r="B259" i="2"/>
  <c r="B261" i="2"/>
  <c r="B262" i="2"/>
  <c r="B263" i="2"/>
  <c r="B264" i="2"/>
  <c r="B265" i="2"/>
  <c r="B266" i="2"/>
  <c r="B268" i="2"/>
  <c r="B269" i="2"/>
  <c r="B270" i="2"/>
  <c r="B271" i="2"/>
  <c r="B272" i="2"/>
  <c r="B275" i="2"/>
  <c r="B276" i="2"/>
  <c r="B278" i="2"/>
  <c r="B282" i="2"/>
  <c r="B283" i="2"/>
  <c r="B284" i="2"/>
  <c r="B288" i="2"/>
  <c r="B289" i="2"/>
  <c r="B290" i="2"/>
  <c r="B291" i="2"/>
  <c r="B293" i="2"/>
  <c r="B300" i="2"/>
  <c r="B303" i="2"/>
  <c r="B304" i="2"/>
  <c r="B322" i="2"/>
  <c r="B324" i="2"/>
  <c r="B325" i="2"/>
  <c r="B327" i="2"/>
  <c r="B328" i="2"/>
  <c r="B330" i="2"/>
  <c r="B332" i="2"/>
  <c r="B333" i="2"/>
  <c r="B334" i="2"/>
  <c r="B335" i="2"/>
  <c r="B336" i="2"/>
  <c r="B337" i="2"/>
  <c r="B338" i="2"/>
  <c r="B339" i="2"/>
  <c r="B352" i="2"/>
  <c r="B353" i="2"/>
  <c r="B354" i="2"/>
  <c r="B355" i="2"/>
  <c r="B357" i="2"/>
  <c r="B358" i="2"/>
  <c r="B359" i="2"/>
  <c r="B360" i="2"/>
  <c r="B361" i="2"/>
  <c r="B376" i="2"/>
  <c r="B380" i="2"/>
  <c r="B382" i="2"/>
  <c r="B384" i="2"/>
  <c r="B385" i="2"/>
  <c r="B386" i="2"/>
  <c r="B387" i="2"/>
  <c r="B388" i="2"/>
  <c r="B390" i="2"/>
  <c r="B391" i="2"/>
  <c r="B392" i="2"/>
  <c r="B396" i="2"/>
  <c r="B402" i="2"/>
  <c r="B413" i="2"/>
  <c r="B415" i="2"/>
  <c r="B416" i="2"/>
  <c r="B418" i="2"/>
  <c r="B419" i="2"/>
  <c r="B420" i="2"/>
  <c r="B421" i="2"/>
  <c r="B423" i="2"/>
  <c r="B424" i="2"/>
  <c r="B443" i="2"/>
  <c r="B444" i="2"/>
  <c r="B445" i="2"/>
  <c r="B446" i="2"/>
  <c r="B447" i="2"/>
  <c r="B451" i="2"/>
  <c r="B456" i="2"/>
  <c r="B457" i="2"/>
  <c r="B459" i="2"/>
  <c r="B460" i="2"/>
  <c r="B461" i="2"/>
  <c r="B486" i="2"/>
  <c r="B488" i="2"/>
  <c r="B489" i="2"/>
  <c r="B491" i="2"/>
  <c r="B492" i="2"/>
  <c r="B495" i="2"/>
  <c r="B496" i="2"/>
  <c r="B497" i="2"/>
  <c r="B499" i="2"/>
  <c r="B502" i="2"/>
  <c r="B503" i="2"/>
  <c r="B519" i="2"/>
  <c r="B520" i="2"/>
  <c r="B521" i="2"/>
  <c r="B522" i="2"/>
  <c r="B523" i="2"/>
  <c r="B524" i="2"/>
  <c r="B525" i="2"/>
  <c r="B526" i="2"/>
  <c r="B527" i="2"/>
  <c r="B528" i="2"/>
  <c r="B530" i="2"/>
  <c r="B541" i="2"/>
  <c r="B543" i="2"/>
  <c r="B545" i="2"/>
  <c r="B554" i="2"/>
  <c r="B556" i="2"/>
  <c r="B557" i="2"/>
  <c r="B558" i="2"/>
  <c r="B561" i="2"/>
  <c r="B570" i="2"/>
  <c r="B571" i="2"/>
  <c r="B572" i="2"/>
  <c r="B573" i="2"/>
  <c r="B574" i="2"/>
  <c r="B575" i="2"/>
  <c r="B576" i="2"/>
  <c r="B577" i="2"/>
  <c r="B579" i="2"/>
  <c r="B596" i="2"/>
  <c r="B598" i="2"/>
  <c r="B599" i="2"/>
  <c r="B601" i="2"/>
  <c r="B602" i="2"/>
  <c r="B628" i="2"/>
  <c r="B629" i="2"/>
  <c r="B632" i="2"/>
  <c r="B633" i="2"/>
  <c r="B650" i="2"/>
  <c r="B652" i="2"/>
  <c r="B653" i="2"/>
  <c r="B654" i="2"/>
  <c r="B670" i="2"/>
  <c r="B671" i="2"/>
  <c r="B672" i="2"/>
  <c r="B673" i="2"/>
  <c r="B675" i="2"/>
  <c r="B676" i="2"/>
  <c r="B678" i="2"/>
  <c r="B679" i="2"/>
  <c r="B691" i="2"/>
  <c r="B703" i="2"/>
  <c r="B12" i="13" s="1"/>
  <c r="B718" i="2"/>
  <c r="B721" i="2"/>
  <c r="B724" i="2"/>
  <c r="B726" i="2"/>
  <c r="B72" i="2"/>
  <c r="B712" i="2"/>
  <c r="B13" i="13" s="1"/>
  <c r="B751" i="2"/>
  <c r="B754" i="2"/>
  <c r="B782" i="2"/>
  <c r="B16" i="13" s="1"/>
  <c r="B787" i="2"/>
  <c r="B790" i="2"/>
  <c r="B829" i="2"/>
  <c r="B833" i="2"/>
  <c r="B856" i="2"/>
  <c r="B15" i="11" s="1"/>
  <c r="B902" i="2"/>
  <c r="B904" i="2"/>
  <c r="B908" i="2"/>
  <c r="B912" i="2"/>
  <c r="B33" i="13" s="1"/>
  <c r="B913" i="2"/>
  <c r="B914" i="2"/>
  <c r="B941" i="2"/>
  <c r="B943" i="2"/>
  <c r="B967" i="2"/>
  <c r="B968" i="2"/>
  <c r="B43" i="13"/>
  <c r="B970" i="2"/>
  <c r="B971" i="2"/>
  <c r="B972" i="2"/>
  <c r="B973" i="2"/>
  <c r="B44" i="13" s="1"/>
  <c r="B974" i="2"/>
  <c r="B1001" i="2"/>
  <c r="B51" i="13" s="1"/>
  <c r="B1004" i="2"/>
  <c r="B1009" i="2"/>
  <c r="B53" i="13" s="1"/>
  <c r="B1010" i="2"/>
  <c r="B54" i="13" s="1"/>
  <c r="B1050" i="2"/>
  <c r="B1052" i="2"/>
  <c r="B80" i="13" s="1"/>
  <c r="B1053" i="2"/>
  <c r="B81" i="13" s="1"/>
  <c r="B1056" i="2"/>
  <c r="B84" i="13" s="1"/>
  <c r="B1057" i="2"/>
  <c r="B85" i="13" s="1"/>
  <c r="B1059" i="2"/>
  <c r="B87" i="13" s="1"/>
  <c r="B1086" i="2"/>
  <c r="B111" i="13" s="1"/>
  <c r="B1087" i="2"/>
  <c r="B1088" i="2"/>
  <c r="B1089" i="2"/>
  <c r="B1090" i="2"/>
  <c r="B1091" i="2"/>
  <c r="B112" i="13" s="1"/>
  <c r="B1093" i="2"/>
  <c r="B114" i="13" s="1"/>
  <c r="B1112" i="2"/>
  <c r="B126" i="13" s="1"/>
  <c r="B1115" i="2"/>
  <c r="B128" i="13" s="1"/>
  <c r="B1116" i="2"/>
  <c r="B1117" i="2"/>
  <c r="B129" i="13" s="1"/>
  <c r="B1118" i="2"/>
  <c r="B130" i="13" s="1"/>
  <c r="B1124" i="2"/>
  <c r="B136" i="13" s="1"/>
  <c r="B1126" i="2"/>
  <c r="B35" i="11" s="1"/>
  <c r="B1158" i="2"/>
  <c r="B1161" i="2"/>
  <c r="B1163" i="2"/>
  <c r="B155" i="13" s="1"/>
  <c r="B1165" i="2"/>
  <c r="B157" i="13" s="1"/>
  <c r="B1187" i="2"/>
  <c r="B171" i="13" s="1"/>
  <c r="B1188" i="2"/>
  <c r="B172" i="13" s="1"/>
  <c r="B1189" i="2"/>
  <c r="B173" i="13" s="1"/>
  <c r="B1190" i="2"/>
  <c r="B1203" i="2"/>
  <c r="B180" i="13" s="1"/>
  <c r="B1204" i="2"/>
  <c r="B1205" i="2"/>
  <c r="B1206" i="2"/>
  <c r="B1210" i="2"/>
  <c r="B183" i="13" s="1"/>
  <c r="B1211" i="2"/>
  <c r="B184" i="13" s="1"/>
  <c r="B1212" i="2"/>
  <c r="B185" i="13" s="1"/>
  <c r="B1119" i="2"/>
  <c r="B131" i="13" s="1"/>
  <c r="B910" i="2"/>
  <c r="B942" i="2"/>
  <c r="B37" i="13" s="1"/>
  <c r="B1047" i="2"/>
  <c r="B531" i="2"/>
  <c r="B605" i="2"/>
  <c r="B606" i="2"/>
  <c r="B613" i="2"/>
  <c r="B614" i="2"/>
  <c r="B615" i="2"/>
  <c r="B616" i="2"/>
  <c r="B619" i="2"/>
  <c r="B637" i="2"/>
  <c r="B638" i="2"/>
  <c r="B639" i="2"/>
  <c r="B640" i="2"/>
  <c r="B641" i="2"/>
  <c r="B658" i="2"/>
  <c r="B663" i="2"/>
  <c r="B7" i="11" s="1"/>
  <c r="B665" i="2"/>
  <c r="B696" i="2"/>
  <c r="B711" i="2"/>
  <c r="B725" i="2"/>
  <c r="B752" i="2"/>
  <c r="B9" i="11" s="1"/>
  <c r="B783" i="2"/>
  <c r="B784" i="2"/>
  <c r="B17" i="13" s="1"/>
  <c r="B785" i="2"/>
  <c r="B825" i="2"/>
  <c r="B828" i="2"/>
  <c r="B831" i="2"/>
  <c r="B14" i="11" s="1"/>
  <c r="B834" i="2"/>
  <c r="B858" i="2"/>
  <c r="B859" i="2"/>
  <c r="B861" i="2"/>
  <c r="B16" i="11" s="1"/>
  <c r="B862" i="2"/>
  <c r="B863" i="2"/>
  <c r="B864" i="2"/>
  <c r="B17" i="11" s="1"/>
  <c r="B865" i="2"/>
  <c r="B906" i="2"/>
  <c r="B909" i="2"/>
  <c r="B917" i="2"/>
  <c r="B918" i="2"/>
  <c r="B1002" i="2"/>
  <c r="B29" i="11" s="1"/>
  <c r="B1046" i="2"/>
  <c r="B33" i="11" s="1"/>
  <c r="B1092" i="2"/>
  <c r="B113" i="13" s="1"/>
  <c r="B1094" i="2"/>
  <c r="B1159" i="2"/>
  <c r="B1162" i="2"/>
  <c r="B154" i="13" s="1"/>
  <c r="B1121" i="2"/>
  <c r="B133" i="13" s="1"/>
  <c r="B1005" i="2"/>
  <c r="B30" i="11" s="1"/>
  <c r="B1113" i="2"/>
  <c r="B694" i="2"/>
  <c r="B781" i="2"/>
  <c r="B824" i="2"/>
  <c r="B832" i="2"/>
  <c r="B857" i="2"/>
  <c r="B903" i="2"/>
  <c r="B905" i="2"/>
  <c r="B916" i="2"/>
  <c r="B964" i="2"/>
  <c r="B965" i="2"/>
  <c r="B1000" i="2"/>
  <c r="B1006" i="2"/>
  <c r="B1007" i="2"/>
  <c r="B1060" i="2"/>
  <c r="B1122" i="2"/>
  <c r="B134" i="13" s="1"/>
  <c r="B1127" i="2"/>
  <c r="B1186" i="2"/>
  <c r="B1208" i="2"/>
  <c r="B1209" i="2"/>
  <c r="B182" i="13" s="1"/>
  <c r="B1207" i="2"/>
  <c r="B181" i="13" s="1"/>
  <c r="B617" i="2"/>
  <c r="B9" i="13" s="1"/>
  <c r="B695" i="2"/>
  <c r="B11" i="13" s="1"/>
  <c r="B755" i="2"/>
  <c r="B1055" i="2"/>
  <c r="B83" i="13" s="1"/>
  <c r="B1160" i="2"/>
  <c r="B153" i="13" s="1"/>
  <c r="B603" i="2"/>
  <c r="B604" i="2"/>
  <c r="B607" i="2"/>
  <c r="B608" i="2"/>
  <c r="B609" i="2"/>
  <c r="B610" i="2"/>
  <c r="B611" i="2"/>
  <c r="B612" i="2"/>
  <c r="B618" i="2"/>
  <c r="B634" i="2"/>
  <c r="B635" i="2"/>
  <c r="B636" i="2"/>
  <c r="B6" i="11" s="1"/>
  <c r="B642" i="2"/>
  <c r="B657" i="2"/>
  <c r="B659" i="2"/>
  <c r="B660" i="2"/>
  <c r="B661" i="2"/>
  <c r="B662" i="2"/>
  <c r="B664" i="2"/>
  <c r="B666" i="2"/>
  <c r="B667" i="2"/>
  <c r="B668" i="2"/>
  <c r="B697" i="2"/>
  <c r="B708" i="2"/>
  <c r="B709" i="2"/>
  <c r="B710" i="2"/>
  <c r="B753" i="2"/>
  <c r="B786" i="2"/>
  <c r="B788" i="2"/>
  <c r="B789" i="2"/>
  <c r="B791" i="2"/>
  <c r="B827" i="2"/>
  <c r="B830" i="2"/>
  <c r="B860" i="2"/>
  <c r="B866" i="2"/>
  <c r="B867" i="2"/>
  <c r="B907" i="2"/>
  <c r="B911" i="2"/>
  <c r="B915" i="2"/>
  <c r="B939" i="2"/>
  <c r="B966" i="2"/>
  <c r="B1003" i="2"/>
  <c r="B52" i="13" s="1"/>
  <c r="B1008" i="2"/>
  <c r="B1048" i="2"/>
  <c r="B77" i="13" s="1"/>
  <c r="B1049" i="2"/>
  <c r="B78" i="13" s="1"/>
  <c r="B1051" i="2"/>
  <c r="B79" i="13" s="1"/>
  <c r="B1054" i="2"/>
  <c r="B82" i="13" s="1"/>
  <c r="B1058" i="2"/>
  <c r="B86" i="13" s="1"/>
  <c r="B1114" i="2"/>
  <c r="B127" i="13" s="1"/>
  <c r="B1120" i="2"/>
  <c r="B132" i="13" s="1"/>
  <c r="B1123" i="2"/>
  <c r="B135" i="13" s="1"/>
  <c r="B1125" i="2"/>
  <c r="B137" i="13" s="1"/>
  <c r="B760" i="2"/>
  <c r="B14" i="13" s="1"/>
  <c r="B792" i="2"/>
  <c r="B18" i="13" s="1"/>
  <c r="B793" i="2"/>
  <c r="B796" i="2"/>
  <c r="B797" i="2"/>
  <c r="B800" i="2"/>
  <c r="B20" i="13" s="1"/>
  <c r="B807" i="2"/>
  <c r="B22" i="13" s="1"/>
  <c r="B810" i="2"/>
  <c r="B814" i="2"/>
  <c r="B835" i="2"/>
  <c r="B25" i="13" s="1"/>
  <c r="B840" i="2"/>
  <c r="B26" i="13" s="1"/>
  <c r="B842" i="2"/>
  <c r="B843" i="2"/>
  <c r="B848" i="2"/>
  <c r="B27" i="13" s="1"/>
  <c r="B849" i="2"/>
  <c r="B28" i="13" s="1"/>
  <c r="B850" i="2"/>
  <c r="B878" i="2"/>
  <c r="B879" i="2"/>
  <c r="B18" i="11" s="1"/>
  <c r="B880" i="2"/>
  <c r="B19" i="11" s="1"/>
  <c r="B885" i="2"/>
  <c r="B20" i="11" s="1"/>
  <c r="B921" i="2"/>
  <c r="B923" i="2"/>
  <c r="B924" i="2"/>
  <c r="B926" i="2"/>
  <c r="B944" i="2"/>
  <c r="B38" i="13" s="1"/>
  <c r="B952" i="2"/>
  <c r="B957" i="2"/>
  <c r="B978" i="2"/>
  <c r="B45" i="13" s="1"/>
  <c r="B979" i="2"/>
  <c r="B28" i="11" s="1"/>
  <c r="B980" i="2"/>
  <c r="B1011" i="2"/>
  <c r="B1013" i="2"/>
  <c r="B56" i="13" s="1"/>
  <c r="B1016" i="2"/>
  <c r="B58" i="13" s="1"/>
  <c r="B1017" i="2"/>
  <c r="B59" i="13" s="1"/>
  <c r="B1018" i="2"/>
  <c r="B60" i="13" s="1"/>
  <c r="B1020" i="2"/>
  <c r="B61" i="13" s="1"/>
  <c r="B1023" i="2"/>
  <c r="B64" i="13" s="1"/>
  <c r="B1027" i="2"/>
  <c r="B67" i="13" s="1"/>
  <c r="B1028" i="2"/>
  <c r="B68" i="13" s="1"/>
  <c r="B1029" i="2"/>
  <c r="B31" i="11" s="1"/>
  <c r="B1035" i="2"/>
  <c r="B71" i="13" s="1"/>
  <c r="B1039" i="2"/>
  <c r="B32" i="11" s="1"/>
  <c r="B1041" i="2"/>
  <c r="B1061" i="2"/>
  <c r="B88" i="13" s="1"/>
  <c r="B1063" i="2"/>
  <c r="B90" i="13" s="1"/>
  <c r="B1064" i="2"/>
  <c r="B91" i="13" s="1"/>
  <c r="B1066" i="2"/>
  <c r="B93" i="13" s="1"/>
  <c r="B1067" i="2"/>
  <c r="B94" i="13" s="1"/>
  <c r="B1069" i="2"/>
  <c r="B96" i="13" s="1"/>
  <c r="B1071" i="2"/>
  <c r="B98" i="13" s="1"/>
  <c r="B1074" i="2"/>
  <c r="B100" i="13" s="1"/>
  <c r="B1095" i="2"/>
  <c r="B115" i="13" s="1"/>
  <c r="B1096" i="2"/>
  <c r="B116" i="13" s="1"/>
  <c r="B1100" i="2"/>
  <c r="B118" i="13" s="1"/>
  <c r="B1101" i="2"/>
  <c r="B1129" i="2"/>
  <c r="B1130" i="2"/>
  <c r="B1131" i="2"/>
  <c r="B138" i="13" s="1"/>
  <c r="B1132" i="2"/>
  <c r="B139" i="13" s="1"/>
  <c r="B1134" i="2"/>
  <c r="B1136" i="2"/>
  <c r="B37" i="11" s="1"/>
  <c r="B1139" i="2"/>
  <c r="B143" i="13" s="1"/>
  <c r="B1140" i="2"/>
  <c r="B1142" i="2"/>
  <c r="B145" i="13" s="1"/>
  <c r="B1147" i="2"/>
  <c r="B148" i="13" s="1"/>
  <c r="B1148" i="2"/>
  <c r="B149" i="13" s="1"/>
  <c r="B1164" i="2"/>
  <c r="B156" i="13" s="1"/>
  <c r="B1166" i="2"/>
  <c r="B158" i="13" s="1"/>
  <c r="B1167" i="2"/>
  <c r="B1168" i="2"/>
  <c r="B159" i="13" s="1"/>
  <c r="B1169" i="2"/>
  <c r="B160" i="13" s="1"/>
  <c r="B1171" i="2"/>
  <c r="B1172" i="2"/>
  <c r="B162" i="13" s="1"/>
  <c r="B1174" i="2"/>
  <c r="B164" i="13" s="1"/>
  <c r="B1175" i="2"/>
  <c r="B1176" i="2"/>
  <c r="B1178" i="2"/>
  <c r="B165" i="13" s="1"/>
  <c r="B1179" i="2"/>
  <c r="B166" i="13" s="1"/>
  <c r="B1180" i="2"/>
  <c r="B167" i="13" s="1"/>
  <c r="B1191" i="2"/>
  <c r="B174" i="13" s="1"/>
  <c r="B1192" i="2"/>
  <c r="B1193" i="2"/>
  <c r="B1197" i="2"/>
  <c r="B1198" i="2"/>
  <c r="B1199" i="2"/>
  <c r="B176" i="13" s="1"/>
  <c r="B1213" i="2"/>
  <c r="B186" i="13" s="1"/>
  <c r="B1214" i="2"/>
  <c r="B187" i="13" s="1"/>
  <c r="B1215" i="2"/>
  <c r="B1216" i="2"/>
  <c r="B188" i="13" s="1"/>
  <c r="B1217" i="2"/>
  <c r="B39" i="11" s="1"/>
  <c r="B1218" i="2"/>
  <c r="B189" i="13" s="1"/>
  <c r="B1219" i="2"/>
  <c r="B190" i="13" s="1"/>
  <c r="B1220" i="2"/>
  <c r="B191" i="13" s="1"/>
  <c r="B1221" i="2"/>
  <c r="B192" i="13" s="1"/>
  <c r="B1222" i="2"/>
  <c r="B1224" i="2"/>
  <c r="B38" i="11" s="1"/>
  <c r="B1225" i="2"/>
  <c r="B1226" i="2"/>
  <c r="B194" i="13" s="1"/>
  <c r="B1227" i="2"/>
  <c r="B195" i="13" s="1"/>
  <c r="B1228" i="2"/>
  <c r="B196" i="13" s="1"/>
  <c r="B1229" i="2"/>
  <c r="B197" i="13" s="1"/>
  <c r="B1137" i="2"/>
  <c r="B142" i="13" s="1"/>
  <c r="B1143" i="2"/>
  <c r="B1173" i="2"/>
  <c r="B163" i="13" s="1"/>
  <c r="B1194" i="2"/>
  <c r="B1195" i="2"/>
  <c r="B175" i="13" s="1"/>
  <c r="B801" i="2"/>
  <c r="B811" i="2"/>
  <c r="B950" i="2"/>
  <c r="B977" i="2"/>
  <c r="B989" i="2"/>
  <c r="B990" i="2"/>
  <c r="B1065" i="2"/>
  <c r="B757" i="2"/>
  <c r="B758" i="2"/>
  <c r="B10" i="11" s="1"/>
  <c r="B763" i="2"/>
  <c r="B794" i="2"/>
  <c r="B19" i="13" s="1"/>
  <c r="B802" i="2"/>
  <c r="B809" i="2"/>
  <c r="B838" i="2"/>
  <c r="B846" i="2"/>
  <c r="B847" i="2"/>
  <c r="B868" i="2"/>
  <c r="B876" i="2"/>
  <c r="B883" i="2"/>
  <c r="B884" i="2"/>
  <c r="B925" i="2"/>
  <c r="B928" i="2"/>
  <c r="B945" i="2"/>
  <c r="B25" i="11" s="1"/>
  <c r="B947" i="2"/>
  <c r="B26" i="11" s="1"/>
  <c r="B1026" i="2"/>
  <c r="B66" i="13" s="1"/>
  <c r="B1062" i="2"/>
  <c r="B89" i="13" s="1"/>
  <c r="B1146" i="2"/>
  <c r="B147" i="13" s="1"/>
  <c r="B1097" i="2"/>
  <c r="B806" i="2"/>
  <c r="B983" i="2"/>
  <c r="B984" i="2"/>
  <c r="B1033" i="2"/>
  <c r="B1037" i="2"/>
  <c r="B1098" i="2"/>
  <c r="B1099" i="2"/>
  <c r="B117" i="13" s="1"/>
  <c r="B1128" i="2"/>
  <c r="B1133" i="2"/>
  <c r="B140" i="13" s="1"/>
  <c r="B1135" i="2"/>
  <c r="B141" i="13" s="1"/>
  <c r="B1138" i="2"/>
  <c r="B1145" i="2"/>
  <c r="B1170" i="2"/>
  <c r="B161" i="13" s="1"/>
  <c r="B1177" i="2"/>
  <c r="B759" i="2"/>
  <c r="B764" i="2"/>
  <c r="B808" i="2"/>
  <c r="B839" i="2"/>
  <c r="B844" i="2"/>
  <c r="B870" i="2"/>
  <c r="B873" i="2"/>
  <c r="B948" i="2"/>
  <c r="B953" i="2"/>
  <c r="B1015" i="2"/>
  <c r="B1032" i="2"/>
  <c r="B1072" i="2"/>
  <c r="B1102" i="2"/>
  <c r="B119" i="13" s="1"/>
  <c r="B1144" i="2"/>
  <c r="B146" i="13" s="1"/>
  <c r="B1223" i="2"/>
  <c r="B193" i="13" s="1"/>
  <c r="B877" i="2"/>
  <c r="B30" i="13" s="1"/>
  <c r="B951" i="2"/>
  <c r="B1021" i="2"/>
  <c r="B62" i="13" s="1"/>
  <c r="B1196" i="2"/>
  <c r="B886" i="2"/>
  <c r="B31" i="13" s="1"/>
  <c r="B954" i="2"/>
  <c r="B981" i="2"/>
  <c r="B985" i="2"/>
  <c r="B46" i="13" s="1"/>
  <c r="B988" i="2"/>
  <c r="B47" i="13" s="1"/>
  <c r="B1040" i="2"/>
  <c r="B1073" i="2"/>
  <c r="B99" i="13" s="1"/>
  <c r="B1141" i="2"/>
  <c r="B144" i="13" s="1"/>
  <c r="B761" i="2"/>
  <c r="B795" i="2"/>
  <c r="B798" i="2"/>
  <c r="B804" i="2"/>
  <c r="B21" i="13" s="1"/>
  <c r="B812" i="2"/>
  <c r="B23" i="13" s="1"/>
  <c r="B813" i="2"/>
  <c r="B845" i="2"/>
  <c r="B927" i="2"/>
  <c r="B949" i="2"/>
  <c r="B39" i="13" s="1"/>
  <c r="B975" i="2"/>
  <c r="B1012" i="2"/>
  <c r="B55" i="13" s="1"/>
  <c r="B1019" i="2"/>
  <c r="B1025" i="2"/>
  <c r="B1031" i="2"/>
  <c r="B1034" i="2"/>
  <c r="B70" i="13" s="1"/>
  <c r="B1038" i="2"/>
  <c r="B73" i="13" s="1"/>
  <c r="B1103" i="2"/>
  <c r="B120" i="13" s="1"/>
  <c r="B1149" i="2"/>
  <c r="B150" i="13" s="1"/>
  <c r="B686" i="2"/>
  <c r="B762" i="2"/>
  <c r="B765" i="2"/>
  <c r="B766" i="2"/>
  <c r="B799" i="2"/>
  <c r="B803" i="2"/>
  <c r="B805" i="2"/>
  <c r="B836" i="2"/>
  <c r="B837" i="2"/>
  <c r="B841" i="2"/>
  <c r="B869" i="2"/>
  <c r="B871" i="2"/>
  <c r="B872" i="2"/>
  <c r="B874" i="2"/>
  <c r="B875" i="2"/>
  <c r="B881" i="2"/>
  <c r="B882" i="2"/>
  <c r="B919" i="2"/>
  <c r="B922" i="2"/>
  <c r="B946" i="2"/>
  <c r="B955" i="2"/>
  <c r="B976" i="2"/>
  <c r="B986" i="2"/>
  <c r="B1014" i="2"/>
  <c r="B57" i="13" s="1"/>
  <c r="B1022" i="2"/>
  <c r="B63" i="13" s="1"/>
  <c r="B1024" i="2"/>
  <c r="B65" i="13" s="1"/>
  <c r="B1030" i="2"/>
  <c r="B69" i="13" s="1"/>
  <c r="B1036" i="2"/>
  <c r="B72" i="13" s="1"/>
  <c r="B1068" i="2"/>
  <c r="B95" i="13" s="1"/>
  <c r="B1070" i="2"/>
  <c r="B97" i="13" s="1"/>
  <c r="F102" i="7"/>
  <c r="F3" i="7"/>
  <c r="F19" i="7"/>
  <c r="F42" i="7"/>
  <c r="F47" i="7"/>
  <c r="F50" i="7"/>
  <c r="F73" i="7"/>
  <c r="F103" i="7"/>
  <c r="F104" i="7"/>
  <c r="F136" i="7"/>
  <c r="F145" i="7"/>
  <c r="F150" i="7"/>
  <c r="F207" i="7"/>
  <c r="F212" i="7"/>
  <c r="F230" i="7"/>
  <c r="F240" i="7"/>
  <c r="F283" i="7"/>
  <c r="F20" i="7"/>
  <c r="F116" i="7"/>
  <c r="F117" i="7"/>
  <c r="F180" i="7"/>
  <c r="F133" i="7"/>
  <c r="F57" i="7"/>
  <c r="F139" i="7"/>
  <c r="F56" i="7"/>
  <c r="F146" i="7"/>
  <c r="F79" i="7"/>
  <c r="F282" i="7"/>
  <c r="F147" i="7"/>
  <c r="F29" i="7"/>
  <c r="F12" i="7"/>
  <c r="F49" i="7"/>
  <c r="F84" i="7"/>
  <c r="F151" i="7"/>
  <c r="F156" i="7"/>
  <c r="F157" i="7"/>
  <c r="F158" i="7"/>
  <c r="F161" i="7"/>
  <c r="F205" i="7"/>
  <c r="F291" i="7"/>
  <c r="F170" i="7"/>
  <c r="F171" i="7"/>
  <c r="F172" i="7"/>
  <c r="F178" i="7"/>
  <c r="F182" i="7"/>
  <c r="F185" i="7"/>
  <c r="F130" i="7"/>
  <c r="F122" i="7"/>
  <c r="F222" i="7"/>
  <c r="F187" i="7"/>
  <c r="F112" i="7"/>
  <c r="F121" i="7"/>
  <c r="F123" i="7"/>
  <c r="F128" i="7"/>
  <c r="F134" i="7"/>
  <c r="F188" i="7"/>
  <c r="F189" i="7"/>
  <c r="F193" i="7"/>
  <c r="F199" i="7"/>
  <c r="F190" i="7"/>
  <c r="F191" i="7"/>
  <c r="F196" i="7"/>
  <c r="F197" i="7"/>
  <c r="F46" i="7"/>
  <c r="F142" i="7"/>
  <c r="F317" i="7"/>
  <c r="F167" i="7"/>
  <c r="F200" i="7"/>
  <c r="F17" i="7"/>
  <c r="F201" i="7"/>
  <c r="F202" i="7"/>
  <c r="F203" i="7"/>
  <c r="F55" i="7"/>
  <c r="F90" i="7"/>
  <c r="F143" i="7"/>
  <c r="F210" i="7"/>
  <c r="F215" i="7"/>
  <c r="F218" i="7"/>
  <c r="F219" i="7"/>
  <c r="F327" i="7"/>
  <c r="F149" i="7"/>
  <c r="F225" i="7"/>
  <c r="F268" i="7"/>
  <c r="F22" i="7"/>
  <c r="F37" i="7"/>
  <c r="F226" i="7"/>
  <c r="F135" i="7"/>
  <c r="F228" i="7"/>
  <c r="F231" i="7"/>
  <c r="F229" i="7"/>
  <c r="F256" i="7"/>
  <c r="F234" i="7"/>
  <c r="F242" i="7"/>
  <c r="F114" i="7"/>
  <c r="F154" i="7"/>
  <c r="F163" i="7"/>
  <c r="F236" i="7"/>
  <c r="F241" i="7"/>
  <c r="F244" i="7"/>
  <c r="F43" i="7"/>
  <c r="F252" i="7"/>
  <c r="F245" i="7"/>
  <c r="F246" i="7"/>
  <c r="F247" i="7"/>
  <c r="F248" i="7"/>
  <c r="F249" i="7"/>
  <c r="F250" i="7"/>
  <c r="F251" i="7"/>
  <c r="F253" i="7"/>
  <c r="F254" i="7"/>
  <c r="F206" i="7"/>
  <c r="F144" i="7"/>
  <c r="F257" i="7"/>
  <c r="F258" i="7"/>
  <c r="F88" i="7"/>
  <c r="F72" i="7"/>
  <c r="F16" i="7"/>
  <c r="F159" i="7"/>
  <c r="F259" i="7"/>
  <c r="F260" i="7"/>
  <c r="F269" i="7"/>
  <c r="F270" i="7"/>
  <c r="F5" i="7"/>
  <c r="F27" i="7"/>
  <c r="F179" i="7"/>
  <c r="F213" i="7"/>
  <c r="F271" i="7"/>
  <c r="F276" i="7"/>
  <c r="F95" i="7"/>
  <c r="F107" i="7"/>
  <c r="F119" i="7"/>
  <c r="F221" i="7"/>
  <c r="F272" i="7"/>
  <c r="F275" i="7"/>
  <c r="F277" i="7"/>
  <c r="F214" i="7"/>
  <c r="F278" i="7"/>
  <c r="F284" i="7"/>
  <c r="F59" i="7"/>
  <c r="F110" i="7"/>
  <c r="F40" i="7"/>
  <c r="F296" i="7"/>
  <c r="F148" i="7"/>
  <c r="F255" i="7"/>
  <c r="F4" i="7"/>
  <c r="F285" i="7"/>
  <c r="F286" i="7"/>
  <c r="F287" i="7"/>
  <c r="F288" i="7"/>
  <c r="F289" i="7"/>
  <c r="F58" i="7"/>
  <c r="F85" i="7"/>
  <c r="F290" i="7"/>
  <c r="F6" i="7"/>
  <c r="F233" i="7"/>
  <c r="F297" i="7"/>
  <c r="F168" i="7"/>
  <c r="F292" i="7"/>
  <c r="F293" i="7"/>
  <c r="F89" i="7"/>
  <c r="F28" i="7"/>
  <c r="F106" i="7"/>
  <c r="F232" i="7"/>
  <c r="F295" i="7"/>
  <c r="F322" i="7"/>
  <c r="F298" i="7"/>
  <c r="F175" i="7"/>
  <c r="F113" i="7"/>
  <c r="F169" i="7"/>
  <c r="F299" i="7"/>
  <c r="F309" i="7"/>
  <c r="F300" i="7"/>
  <c r="F36" i="7"/>
  <c r="F301" i="7"/>
  <c r="F302" i="7"/>
  <c r="F303" i="7"/>
  <c r="F304" i="7"/>
  <c r="F34" i="7"/>
  <c r="F274" i="7"/>
  <c r="F75" i="7"/>
  <c r="F68" i="7"/>
  <c r="F306" i="7"/>
  <c r="F307" i="7"/>
  <c r="F308" i="7"/>
  <c r="F310" i="7"/>
  <c r="F35" i="7"/>
  <c r="F38" i="7"/>
  <c r="F237" i="7"/>
  <c r="F239" i="7"/>
  <c r="F311" i="7"/>
  <c r="F312" i="7"/>
  <c r="F82" i="7"/>
  <c r="F313" i="7"/>
  <c r="F7" i="7"/>
  <c r="F8" i="7"/>
  <c r="F9" i="7"/>
  <c r="F10" i="7"/>
  <c r="F11" i="7"/>
  <c r="F13" i="7"/>
  <c r="F14" i="7"/>
  <c r="F15" i="7"/>
  <c r="F18" i="7"/>
  <c r="F21" i="7"/>
  <c r="F23" i="7"/>
  <c r="F24" i="7"/>
  <c r="F25" i="7"/>
  <c r="F26" i="7"/>
  <c r="F30" i="7"/>
  <c r="F31" i="7"/>
  <c r="F32" i="7"/>
  <c r="F33" i="7"/>
  <c r="F39" i="7"/>
  <c r="F41" i="7"/>
  <c r="F44" i="7"/>
  <c r="F45" i="7"/>
  <c r="F48" i="7"/>
  <c r="F51" i="7"/>
  <c r="F52" i="7"/>
  <c r="F53" i="7"/>
  <c r="F54" i="7"/>
  <c r="F60" i="7"/>
  <c r="F61" i="7"/>
  <c r="F62" i="7"/>
  <c r="F63" i="7"/>
  <c r="F64" i="7"/>
  <c r="F65" i="7"/>
  <c r="F66" i="7"/>
  <c r="F67" i="7"/>
  <c r="F69" i="7"/>
  <c r="F70" i="7"/>
  <c r="F71" i="7"/>
  <c r="F74" i="7"/>
  <c r="F76" i="7"/>
  <c r="F77" i="7"/>
  <c r="F78" i="7"/>
  <c r="F80" i="7"/>
  <c r="F81" i="7"/>
  <c r="F83" i="7"/>
  <c r="F86" i="7"/>
  <c r="F87" i="7"/>
  <c r="F91" i="7"/>
  <c r="F92" i="7"/>
  <c r="F93" i="7"/>
  <c r="F94" i="7"/>
  <c r="F96" i="7"/>
  <c r="F97" i="7"/>
  <c r="F98" i="7"/>
  <c r="F99" i="7"/>
  <c r="F100" i="7"/>
  <c r="F101" i="7"/>
  <c r="F105" i="7"/>
  <c r="F108" i="7"/>
  <c r="F109" i="7"/>
  <c r="F111" i="7"/>
  <c r="F115" i="7"/>
  <c r="F118" i="7"/>
  <c r="F120" i="7"/>
  <c r="F124" i="7"/>
  <c r="F125" i="7"/>
  <c r="F126" i="7"/>
  <c r="F127" i="7"/>
  <c r="F129" i="7"/>
  <c r="F131" i="7"/>
  <c r="F132" i="7"/>
  <c r="F137" i="7"/>
  <c r="F138" i="7"/>
  <c r="F140" i="7"/>
  <c r="F141" i="7"/>
  <c r="F152" i="7"/>
  <c r="F153" i="7"/>
  <c r="F155" i="7"/>
  <c r="F160" i="7"/>
  <c r="F162" i="7"/>
  <c r="F164" i="7"/>
  <c r="F165" i="7"/>
  <c r="F166" i="7"/>
  <c r="F173" i="7"/>
  <c r="F176" i="7"/>
  <c r="F177" i="7"/>
  <c r="F181" i="7"/>
  <c r="F183" i="7"/>
  <c r="F184" i="7"/>
  <c r="F186" i="7"/>
  <c r="F192" i="7"/>
  <c r="F194" i="7"/>
  <c r="F195" i="7"/>
  <c r="F198" i="7"/>
  <c r="F204" i="7"/>
  <c r="F208" i="7"/>
  <c r="F211" i="7"/>
  <c r="F216" i="7"/>
  <c r="F217" i="7"/>
  <c r="F220" i="7"/>
  <c r="F223" i="7"/>
  <c r="F224" i="7"/>
  <c r="F227" i="7"/>
  <c r="F235" i="7"/>
  <c r="F238" i="7"/>
  <c r="F243" i="7"/>
  <c r="F261" i="7"/>
  <c r="F262" i="7"/>
  <c r="F263" i="7"/>
  <c r="F264" i="7"/>
  <c r="F265" i="7"/>
  <c r="F266" i="7"/>
  <c r="F267" i="7"/>
  <c r="F273" i="7"/>
  <c r="F279" i="7"/>
  <c r="F280" i="7"/>
  <c r="F281" i="7"/>
  <c r="F294" i="7"/>
  <c r="F315" i="7"/>
  <c r="F316" i="7"/>
  <c r="F305" i="7"/>
  <c r="F318" i="7"/>
  <c r="F319" i="7"/>
  <c r="F314" i="7"/>
  <c r="F320" i="7"/>
  <c r="F321" i="7"/>
  <c r="F323" i="7"/>
  <c r="F324" i="7"/>
  <c r="F325" i="7"/>
  <c r="F326" i="7"/>
  <c r="D261" i="7"/>
  <c r="D262" i="7"/>
  <c r="D263" i="7"/>
  <c r="D264" i="7"/>
  <c r="D265" i="7"/>
  <c r="D266" i="7"/>
  <c r="D267" i="7"/>
  <c r="D273" i="7"/>
  <c r="D279" i="7"/>
  <c r="D280" i="7"/>
  <c r="D281" i="7"/>
  <c r="D294" i="7"/>
  <c r="D315" i="7"/>
  <c r="D316" i="7"/>
  <c r="D305" i="7"/>
  <c r="D318" i="7"/>
  <c r="D319" i="7"/>
  <c r="D314" i="7"/>
  <c r="D320" i="7"/>
  <c r="D321" i="7"/>
  <c r="D323" i="7"/>
  <c r="D324" i="7"/>
  <c r="D325" i="7"/>
  <c r="D326" i="7"/>
  <c r="D215" i="7"/>
  <c r="D218" i="7"/>
  <c r="D219" i="7"/>
  <c r="D327" i="7"/>
  <c r="D149" i="7"/>
  <c r="D225" i="7"/>
  <c r="D268" i="7"/>
  <c r="D22" i="7"/>
  <c r="D37" i="7"/>
  <c r="D226" i="7"/>
  <c r="D135" i="7"/>
  <c r="D228" i="7"/>
  <c r="D231" i="7"/>
  <c r="D229" i="7"/>
  <c r="D256" i="7"/>
  <c r="D234" i="7"/>
  <c r="D242" i="7"/>
  <c r="D114" i="7"/>
  <c r="D154" i="7"/>
  <c r="D163" i="7"/>
  <c r="D209" i="7"/>
  <c r="D236" i="7"/>
  <c r="D241" i="7"/>
  <c r="D244" i="7"/>
  <c r="D43" i="7"/>
  <c r="D252" i="7"/>
  <c r="D245" i="7"/>
  <c r="D246" i="7"/>
  <c r="D247" i="7"/>
  <c r="D248" i="7"/>
  <c r="D249" i="7"/>
  <c r="D250" i="7"/>
  <c r="D251" i="7"/>
  <c r="D253" i="7"/>
  <c r="D254" i="7"/>
  <c r="D206" i="7"/>
  <c r="D144" i="7"/>
  <c r="D257" i="7"/>
  <c r="D258" i="7"/>
  <c r="D88" i="7"/>
  <c r="D72" i="7"/>
  <c r="D16" i="7"/>
  <c r="D159" i="7"/>
  <c r="D259" i="7"/>
  <c r="D260" i="7"/>
  <c r="D269" i="7"/>
  <c r="D270" i="7"/>
  <c r="D5" i="7"/>
  <c r="D27" i="7"/>
  <c r="D179" i="7"/>
  <c r="D213" i="7"/>
  <c r="D271" i="7"/>
  <c r="D276" i="7"/>
  <c r="D95" i="7"/>
  <c r="D107" i="7"/>
  <c r="D119" i="7"/>
  <c r="D221" i="7"/>
  <c r="D272" i="7"/>
  <c r="D275" i="7"/>
  <c r="D277" i="7"/>
  <c r="D214" i="7"/>
  <c r="D278" i="7"/>
  <c r="D284" i="7"/>
  <c r="D59" i="7"/>
  <c r="D110" i="7"/>
  <c r="D40" i="7"/>
  <c r="D296" i="7"/>
  <c r="D148" i="7"/>
  <c r="D255" i="7"/>
  <c r="D4" i="7"/>
  <c r="D285" i="7"/>
  <c r="D286" i="7"/>
  <c r="D287" i="7"/>
  <c r="D288" i="7"/>
  <c r="D289" i="7"/>
  <c r="D58" i="7"/>
  <c r="D85" i="7"/>
  <c r="D290" i="7"/>
  <c r="D6" i="7"/>
  <c r="D233" i="7"/>
  <c r="D297" i="7"/>
  <c r="D168" i="7"/>
  <c r="D292" i="7"/>
  <c r="D293" i="7"/>
  <c r="D89" i="7"/>
  <c r="D28" i="7"/>
  <c r="D106" i="7"/>
  <c r="D232" i="7"/>
  <c r="D295" i="7"/>
  <c r="D322" i="7"/>
  <c r="D298" i="7"/>
  <c r="D175" i="7"/>
  <c r="D113" i="7"/>
  <c r="D169" i="7"/>
  <c r="D299" i="7"/>
  <c r="D309" i="7"/>
  <c r="D300" i="7"/>
  <c r="D36" i="7"/>
  <c r="D301" i="7"/>
  <c r="D302" i="7"/>
  <c r="D303" i="7"/>
  <c r="D304" i="7"/>
  <c r="D34" i="7"/>
  <c r="D274" i="7"/>
  <c r="D75" i="7"/>
  <c r="D68" i="7"/>
  <c r="D306" i="7"/>
  <c r="D307" i="7"/>
  <c r="D308" i="7"/>
  <c r="D310" i="7"/>
  <c r="D35" i="7"/>
  <c r="D38" i="7"/>
  <c r="D237" i="7"/>
  <c r="D239" i="7"/>
  <c r="D311" i="7"/>
  <c r="D312" i="7"/>
  <c r="D82" i="7"/>
  <c r="D313" i="7"/>
  <c r="D7" i="7"/>
  <c r="D8" i="7"/>
  <c r="D9" i="7"/>
  <c r="D10" i="7"/>
  <c r="D11" i="7"/>
  <c r="D13" i="7"/>
  <c r="D14" i="7"/>
  <c r="D15" i="7"/>
  <c r="D18" i="7"/>
  <c r="D21" i="7"/>
  <c r="D23" i="7"/>
  <c r="D24" i="7"/>
  <c r="D25" i="7"/>
  <c r="D26" i="7"/>
  <c r="D30" i="7"/>
  <c r="D31" i="7"/>
  <c r="D32" i="7"/>
  <c r="D33" i="7"/>
  <c r="D39" i="7"/>
  <c r="D41" i="7"/>
  <c r="D44" i="7"/>
  <c r="D45" i="7"/>
  <c r="D48" i="7"/>
  <c r="D51" i="7"/>
  <c r="D52" i="7"/>
  <c r="D53" i="7"/>
  <c r="D54" i="7"/>
  <c r="D60" i="7"/>
  <c r="D61" i="7"/>
  <c r="D62" i="7"/>
  <c r="D63" i="7"/>
  <c r="D64" i="7"/>
  <c r="D65" i="7"/>
  <c r="D66" i="7"/>
  <c r="D67" i="7"/>
  <c r="D69" i="7"/>
  <c r="D70" i="7"/>
  <c r="D71" i="7"/>
  <c r="D74" i="7"/>
  <c r="D76" i="7"/>
  <c r="D77" i="7"/>
  <c r="D78" i="7"/>
  <c r="D80" i="7"/>
  <c r="D81" i="7"/>
  <c r="D83" i="7"/>
  <c r="D86" i="7"/>
  <c r="D87" i="7"/>
  <c r="D91" i="7"/>
  <c r="D92" i="7"/>
  <c r="D93" i="7"/>
  <c r="D94" i="7"/>
  <c r="D96" i="7"/>
  <c r="D97" i="7"/>
  <c r="D98" i="7"/>
  <c r="D99" i="7"/>
  <c r="D100" i="7"/>
  <c r="D101" i="7"/>
  <c r="D105" i="7"/>
  <c r="D108" i="7"/>
  <c r="D109" i="7"/>
  <c r="D111" i="7"/>
  <c r="D115" i="7"/>
  <c r="D118" i="7"/>
  <c r="D120" i="7"/>
  <c r="D124" i="7"/>
  <c r="D125" i="7"/>
  <c r="D126" i="7"/>
  <c r="D127" i="7"/>
  <c r="D129" i="7"/>
  <c r="D131" i="7"/>
  <c r="D132" i="7"/>
  <c r="D137" i="7"/>
  <c r="D138" i="7"/>
  <c r="D140" i="7"/>
  <c r="D141" i="7"/>
  <c r="D152" i="7"/>
  <c r="D153" i="7"/>
  <c r="D155" i="7"/>
  <c r="D160" i="7"/>
  <c r="D162" i="7"/>
  <c r="D164" i="7"/>
  <c r="D165" i="7"/>
  <c r="D166" i="7"/>
  <c r="D173" i="7"/>
  <c r="D176" i="7"/>
  <c r="D177" i="7"/>
  <c r="D181" i="7"/>
  <c r="D183" i="7"/>
  <c r="D184" i="7"/>
  <c r="D186" i="7"/>
  <c r="D192" i="7"/>
  <c r="D194" i="7"/>
  <c r="D195" i="7"/>
  <c r="D198" i="7"/>
  <c r="D204" i="7"/>
  <c r="D208" i="7"/>
  <c r="D211" i="7"/>
  <c r="D216" i="7"/>
  <c r="D217" i="7"/>
  <c r="D220" i="7"/>
  <c r="D223" i="7"/>
  <c r="D224" i="7"/>
  <c r="D227" i="7"/>
  <c r="D235" i="7"/>
  <c r="D238" i="7"/>
  <c r="D243" i="7"/>
  <c r="D102" i="7"/>
  <c r="D3" i="7"/>
  <c r="D19" i="7"/>
  <c r="D42" i="7"/>
  <c r="D47" i="7"/>
  <c r="D50" i="7"/>
  <c r="D73" i="7"/>
  <c r="D103" i="7"/>
  <c r="D104" i="7"/>
  <c r="D136" i="7"/>
  <c r="D145" i="7"/>
  <c r="D150" i="7"/>
  <c r="D207" i="7"/>
  <c r="D212" i="7"/>
  <c r="D230" i="7"/>
  <c r="D240" i="7"/>
  <c r="D283" i="7"/>
  <c r="D20" i="7"/>
  <c r="D116" i="7"/>
  <c r="D117" i="7"/>
  <c r="D180" i="7"/>
  <c r="D133" i="7"/>
  <c r="D57" i="7"/>
  <c r="D139" i="7"/>
  <c r="D56" i="7"/>
  <c r="D79" i="7"/>
  <c r="D282" i="7"/>
  <c r="D147" i="7"/>
  <c r="D29" i="7"/>
  <c r="D12" i="7"/>
  <c r="D49" i="7"/>
  <c r="D84" i="7"/>
  <c r="D151" i="7"/>
  <c r="D156" i="7"/>
  <c r="D157" i="7"/>
  <c r="D158" i="7"/>
  <c r="D161" i="7"/>
  <c r="D205" i="7"/>
  <c r="D291" i="7"/>
  <c r="D170" i="7"/>
  <c r="D171" i="7"/>
  <c r="D172" i="7"/>
  <c r="D174" i="7"/>
  <c r="D178" i="7"/>
  <c r="D182" i="7"/>
  <c r="D185" i="7"/>
  <c r="D130" i="7"/>
  <c r="D122" i="7"/>
  <c r="D222" i="7"/>
  <c r="D187" i="7"/>
  <c r="D112" i="7"/>
  <c r="D121" i="7"/>
  <c r="D123" i="7"/>
  <c r="D128" i="7"/>
  <c r="D134" i="7"/>
  <c r="D188" i="7"/>
  <c r="D189" i="7"/>
  <c r="D193" i="7"/>
  <c r="D199" i="7"/>
  <c r="D190" i="7"/>
  <c r="D191" i="7"/>
  <c r="D196" i="7"/>
  <c r="D197" i="7"/>
  <c r="D46" i="7"/>
  <c r="D142" i="7"/>
  <c r="D317" i="7"/>
  <c r="D167" i="7"/>
  <c r="D200" i="7"/>
  <c r="D17" i="7"/>
  <c r="D201" i="7"/>
  <c r="D202" i="7"/>
  <c r="D203" i="7"/>
  <c r="D55" i="7"/>
  <c r="D90" i="7"/>
  <c r="D143" i="7"/>
  <c r="D210" i="7"/>
  <c r="D2" i="7"/>
  <c r="C2" i="7"/>
  <c r="C102" i="7"/>
  <c r="C3" i="7"/>
  <c r="C19" i="7"/>
  <c r="C42" i="7"/>
  <c r="C47" i="7"/>
  <c r="C50" i="7"/>
  <c r="C73" i="7"/>
  <c r="C103" i="7"/>
  <c r="C104" i="7"/>
  <c r="C136" i="7"/>
  <c r="C145" i="7"/>
  <c r="C150" i="7"/>
  <c r="C207" i="7"/>
  <c r="C212" i="7"/>
  <c r="C230" i="7"/>
  <c r="C240" i="7"/>
  <c r="C283" i="7"/>
  <c r="C20" i="7"/>
  <c r="C116" i="7"/>
  <c r="C117" i="7"/>
  <c r="C180" i="7"/>
  <c r="C133" i="7"/>
  <c r="C57" i="7"/>
  <c r="C139" i="7"/>
  <c r="C56" i="7"/>
  <c r="C146" i="7"/>
  <c r="C79" i="7"/>
  <c r="C282" i="7"/>
  <c r="C147" i="7"/>
  <c r="C29" i="7"/>
  <c r="C12" i="7"/>
  <c r="C49" i="7"/>
  <c r="C84" i="7"/>
  <c r="C151" i="7"/>
  <c r="C156" i="7"/>
  <c r="C157" i="7"/>
  <c r="C158" i="7"/>
  <c r="C161" i="7"/>
  <c r="C205" i="7"/>
  <c r="C291" i="7"/>
  <c r="C170" i="7"/>
  <c r="C171" i="7"/>
  <c r="C172" i="7"/>
  <c r="C174" i="7"/>
  <c r="C178" i="7"/>
  <c r="C182" i="7"/>
  <c r="C185" i="7"/>
  <c r="C130" i="7"/>
  <c r="C122" i="7"/>
  <c r="C222" i="7"/>
  <c r="C187" i="7"/>
  <c r="C112" i="7"/>
  <c r="C121" i="7"/>
  <c r="C123" i="7"/>
  <c r="C128" i="7"/>
  <c r="C134" i="7"/>
  <c r="C188" i="7"/>
  <c r="C189" i="7"/>
  <c r="C193" i="7"/>
  <c r="C199" i="7"/>
  <c r="C190" i="7"/>
  <c r="C191" i="7"/>
  <c r="C196" i="7"/>
  <c r="C197" i="7"/>
  <c r="C46" i="7"/>
  <c r="C142" i="7"/>
  <c r="C317" i="7"/>
  <c r="C167" i="7"/>
  <c r="C200" i="7"/>
  <c r="C17" i="7"/>
  <c r="C201" i="7"/>
  <c r="C202" i="7"/>
  <c r="C203" i="7"/>
  <c r="C55" i="7"/>
  <c r="C90" i="7"/>
  <c r="C143" i="7"/>
  <c r="C210" i="7"/>
  <c r="C215" i="7"/>
  <c r="C218" i="7"/>
  <c r="C219" i="7"/>
  <c r="C327" i="7"/>
  <c r="C149" i="7"/>
  <c r="C225" i="7"/>
  <c r="C268" i="7"/>
  <c r="C22" i="7"/>
  <c r="C37" i="7"/>
  <c r="C226" i="7"/>
  <c r="C135" i="7"/>
  <c r="C228" i="7"/>
  <c r="C231" i="7"/>
  <c r="C229" i="7"/>
  <c r="C256" i="7"/>
  <c r="C234" i="7"/>
  <c r="C242" i="7"/>
  <c r="C114" i="7"/>
  <c r="C154" i="7"/>
  <c r="C163" i="7"/>
  <c r="C209" i="7"/>
  <c r="C236" i="7"/>
  <c r="C241" i="7"/>
  <c r="C244" i="7"/>
  <c r="C43" i="7"/>
  <c r="C252" i="7"/>
  <c r="C245" i="7"/>
  <c r="C246" i="7"/>
  <c r="C247" i="7"/>
  <c r="C248" i="7"/>
  <c r="C249" i="7"/>
  <c r="C250" i="7"/>
  <c r="C251" i="7"/>
  <c r="C253" i="7"/>
  <c r="C254" i="7"/>
  <c r="C206" i="7"/>
  <c r="C144" i="7"/>
  <c r="C257" i="7"/>
  <c r="C258" i="7"/>
  <c r="C88" i="7"/>
  <c r="C72" i="7"/>
  <c r="C16" i="7"/>
  <c r="C159" i="7"/>
  <c r="C259" i="7"/>
  <c r="C260" i="7"/>
  <c r="C269" i="7"/>
  <c r="C270" i="7"/>
  <c r="C5" i="7"/>
  <c r="C27" i="7"/>
  <c r="C179" i="7"/>
  <c r="C213" i="7"/>
  <c r="C271" i="7"/>
  <c r="C276" i="7"/>
  <c r="C95" i="7"/>
  <c r="C107" i="7"/>
  <c r="C119" i="7"/>
  <c r="C221" i="7"/>
  <c r="C272" i="7"/>
  <c r="C275" i="7"/>
  <c r="C277" i="7"/>
  <c r="C214" i="7"/>
  <c r="C278" i="7"/>
  <c r="C284" i="7"/>
  <c r="C59" i="7"/>
  <c r="C110" i="7"/>
  <c r="C40" i="7"/>
  <c r="C296" i="7"/>
  <c r="C148" i="7"/>
  <c r="C255" i="7"/>
  <c r="C4" i="7"/>
  <c r="C285" i="7"/>
  <c r="C286" i="7"/>
  <c r="C287" i="7"/>
  <c r="C288" i="7"/>
  <c r="C289" i="7"/>
  <c r="C58" i="7"/>
  <c r="C85" i="7"/>
  <c r="C290" i="7"/>
  <c r="C6" i="7"/>
  <c r="C233" i="7"/>
  <c r="C297" i="7"/>
  <c r="C168" i="7"/>
  <c r="C292" i="7"/>
  <c r="C293" i="7"/>
  <c r="C89" i="7"/>
  <c r="C28" i="7"/>
  <c r="C106" i="7"/>
  <c r="C232" i="7"/>
  <c r="C295" i="7"/>
  <c r="C322" i="7"/>
  <c r="C298" i="7"/>
  <c r="C175" i="7"/>
  <c r="C113" i="7"/>
  <c r="C169" i="7"/>
  <c r="C299" i="7"/>
  <c r="C309" i="7"/>
  <c r="C300" i="7"/>
  <c r="C36" i="7"/>
  <c r="C301" i="7"/>
  <c r="C302" i="7"/>
  <c r="C303" i="7"/>
  <c r="C304" i="7"/>
  <c r="C34" i="7"/>
  <c r="C274" i="7"/>
  <c r="C75" i="7"/>
  <c r="C68" i="7"/>
  <c r="C306" i="7"/>
  <c r="C307" i="7"/>
  <c r="C308" i="7"/>
  <c r="C310" i="7"/>
  <c r="C35" i="7"/>
  <c r="C38" i="7"/>
  <c r="C237" i="7"/>
  <c r="C239" i="7"/>
  <c r="C311" i="7"/>
  <c r="C312" i="7"/>
  <c r="C82" i="7"/>
  <c r="C313" i="7"/>
  <c r="C7" i="7"/>
  <c r="C8" i="7"/>
  <c r="C9" i="7"/>
  <c r="C10" i="7"/>
  <c r="C11" i="7"/>
  <c r="C13" i="7"/>
  <c r="C14" i="7"/>
  <c r="C15" i="7"/>
  <c r="C18" i="7"/>
  <c r="C21" i="7"/>
  <c r="C23" i="7"/>
  <c r="C24" i="7"/>
  <c r="C25" i="7"/>
  <c r="C26" i="7"/>
  <c r="C30" i="7"/>
  <c r="C31" i="7"/>
  <c r="C32" i="7"/>
  <c r="C33" i="7"/>
  <c r="C39" i="7"/>
  <c r="C41" i="7"/>
  <c r="C44" i="7"/>
  <c r="C45" i="7"/>
  <c r="C48" i="7"/>
  <c r="C51" i="7"/>
  <c r="C52" i="7"/>
  <c r="C53" i="7"/>
  <c r="C54" i="7"/>
  <c r="C60" i="7"/>
  <c r="C61" i="7"/>
  <c r="C62" i="7"/>
  <c r="C63" i="7"/>
  <c r="C64" i="7"/>
  <c r="C65" i="7"/>
  <c r="C66" i="7"/>
  <c r="C67" i="7"/>
  <c r="C69" i="7"/>
  <c r="C70" i="7"/>
  <c r="C71" i="7"/>
  <c r="C74" i="7"/>
  <c r="C76" i="7"/>
  <c r="C77" i="7"/>
  <c r="C78" i="7"/>
  <c r="C80" i="7"/>
  <c r="C81" i="7"/>
  <c r="C83" i="7"/>
  <c r="C86" i="7"/>
  <c r="C87" i="7"/>
  <c r="C91" i="7"/>
  <c r="C92" i="7"/>
  <c r="C93" i="7"/>
  <c r="C94" i="7"/>
  <c r="C96" i="7"/>
  <c r="C97" i="7"/>
  <c r="C98" i="7"/>
  <c r="C99" i="7"/>
  <c r="C100" i="7"/>
  <c r="C101" i="7"/>
  <c r="C105" i="7"/>
  <c r="C108" i="7"/>
  <c r="C109" i="7"/>
  <c r="C111" i="7"/>
  <c r="C115" i="7"/>
  <c r="C118" i="7"/>
  <c r="C120" i="7"/>
  <c r="C124" i="7"/>
  <c r="C125" i="7"/>
  <c r="C126" i="7"/>
  <c r="C127" i="7"/>
  <c r="C129" i="7"/>
  <c r="C131" i="7"/>
  <c r="C132" i="7"/>
  <c r="C137" i="7"/>
  <c r="C138" i="7"/>
  <c r="C140" i="7"/>
  <c r="C141" i="7"/>
  <c r="C152" i="7"/>
  <c r="C153" i="7"/>
  <c r="C155" i="7"/>
  <c r="C160" i="7"/>
  <c r="C162" i="7"/>
  <c r="C164" i="7"/>
  <c r="C165" i="7"/>
  <c r="C166" i="7"/>
  <c r="C173" i="7"/>
  <c r="C176" i="7"/>
  <c r="C177" i="7"/>
  <c r="C181" i="7"/>
  <c r="C183" i="7"/>
  <c r="C184" i="7"/>
  <c r="C186" i="7"/>
  <c r="C192" i="7"/>
  <c r="C194" i="7"/>
  <c r="C195" i="7"/>
  <c r="C198" i="7"/>
  <c r="C204" i="7"/>
  <c r="C208" i="7"/>
  <c r="C211" i="7"/>
  <c r="C216" i="7"/>
  <c r="C217" i="7"/>
  <c r="C220" i="7"/>
  <c r="C223" i="7"/>
  <c r="C224" i="7"/>
  <c r="C227" i="7"/>
  <c r="C235" i="7"/>
  <c r="C238" i="7"/>
  <c r="C243" i="7"/>
  <c r="C261" i="7"/>
  <c r="C262" i="7"/>
  <c r="C263" i="7"/>
  <c r="C264" i="7"/>
  <c r="C265" i="7"/>
  <c r="C266" i="7"/>
  <c r="C267" i="7"/>
  <c r="C273" i="7"/>
  <c r="C279" i="7"/>
  <c r="C280" i="7"/>
  <c r="C281" i="7"/>
  <c r="C294" i="7"/>
  <c r="C315" i="7"/>
  <c r="C316" i="7"/>
  <c r="C305" i="7"/>
  <c r="C318" i="7"/>
  <c r="C314" i="7"/>
  <c r="C320" i="7"/>
  <c r="C321" i="7"/>
  <c r="C323" i="7"/>
  <c r="C324" i="7"/>
  <c r="C325" i="7"/>
  <c r="C326" i="7"/>
  <c r="B2" i="7"/>
  <c r="B102" i="7"/>
  <c r="B3" i="7"/>
  <c r="B19" i="7"/>
  <c r="B42" i="7"/>
  <c r="B47" i="7"/>
  <c r="B50" i="7"/>
  <c r="B73" i="7"/>
  <c r="B103" i="7"/>
  <c r="B104" i="7"/>
  <c r="B136" i="7"/>
  <c r="B145" i="7"/>
  <c r="B150" i="7"/>
  <c r="B207" i="7"/>
  <c r="B212" i="7"/>
  <c r="B230" i="7"/>
  <c r="B240" i="7"/>
  <c r="B283" i="7"/>
  <c r="B20" i="7"/>
  <c r="B116" i="7"/>
  <c r="B117" i="7"/>
  <c r="B180" i="7"/>
  <c r="B133" i="7"/>
  <c r="B57" i="7"/>
  <c r="B139" i="7"/>
  <c r="B56" i="7"/>
  <c r="B146" i="7"/>
  <c r="B79" i="7"/>
  <c r="B282" i="7"/>
  <c r="B147" i="7"/>
  <c r="B29" i="7"/>
  <c r="B12" i="7"/>
  <c r="B49" i="7"/>
  <c r="B84" i="7"/>
  <c r="B151" i="7"/>
  <c r="B156" i="7"/>
  <c r="B157" i="7"/>
  <c r="B158" i="7"/>
  <c r="B161" i="7"/>
  <c r="B205" i="7"/>
  <c r="B291" i="7"/>
  <c r="B170" i="7"/>
  <c r="B171" i="7"/>
  <c r="B172" i="7"/>
  <c r="B174" i="7"/>
  <c r="B178" i="7"/>
  <c r="B182" i="7"/>
  <c r="B185" i="7"/>
  <c r="B130" i="7"/>
  <c r="B122" i="7"/>
  <c r="B222" i="7"/>
  <c r="B187" i="7"/>
  <c r="B112" i="7"/>
  <c r="B121" i="7"/>
  <c r="B123" i="7"/>
  <c r="B128" i="7"/>
  <c r="B134" i="7"/>
  <c r="B188" i="7"/>
  <c r="B189" i="7"/>
  <c r="B193" i="7"/>
  <c r="B199" i="7"/>
  <c r="B190" i="7"/>
  <c r="B191" i="7"/>
  <c r="B196" i="7"/>
  <c r="B197" i="7"/>
  <c r="B46" i="7"/>
  <c r="B142" i="7"/>
  <c r="B317" i="7"/>
  <c r="B167" i="7"/>
  <c r="B200" i="7"/>
  <c r="B17" i="7"/>
  <c r="B201" i="7"/>
  <c r="B202" i="7"/>
  <c r="B203" i="7"/>
  <c r="B55" i="7"/>
  <c r="B90" i="7"/>
  <c r="B143" i="7"/>
  <c r="B210" i="7"/>
  <c r="B215" i="7"/>
  <c r="B218" i="7"/>
  <c r="B219" i="7"/>
  <c r="B327" i="7"/>
  <c r="B149" i="7"/>
  <c r="B225" i="7"/>
  <c r="B268" i="7"/>
  <c r="B22" i="7"/>
  <c r="B37" i="7"/>
  <c r="B226" i="7"/>
  <c r="B135" i="7"/>
  <c r="B228" i="7"/>
  <c r="B231" i="7"/>
  <c r="B229" i="7"/>
  <c r="B256" i="7"/>
  <c r="B234" i="7"/>
  <c r="B242" i="7"/>
  <c r="B114" i="7"/>
  <c r="B154" i="7"/>
  <c r="B163" i="7"/>
  <c r="B209" i="7"/>
  <c r="B236" i="7"/>
  <c r="B241" i="7"/>
  <c r="B244" i="7"/>
  <c r="B43" i="7"/>
  <c r="B252" i="7"/>
  <c r="B245" i="7"/>
  <c r="B246" i="7"/>
  <c r="B247" i="7"/>
  <c r="B248" i="7"/>
  <c r="B249" i="7"/>
  <c r="B250" i="7"/>
  <c r="B251" i="7"/>
  <c r="B253" i="7"/>
  <c r="B254" i="7"/>
  <c r="B206" i="7"/>
  <c r="B144" i="7"/>
  <c r="B257" i="7"/>
  <c r="B258" i="7"/>
  <c r="B88" i="7"/>
  <c r="B72" i="7"/>
  <c r="B16" i="7"/>
  <c r="B159" i="7"/>
  <c r="B259" i="7"/>
  <c r="B260" i="7"/>
  <c r="B269" i="7"/>
  <c r="B270" i="7"/>
  <c r="B5" i="7"/>
  <c r="B27" i="7"/>
  <c r="B179" i="7"/>
  <c r="B213" i="7"/>
  <c r="B271" i="7"/>
  <c r="B276" i="7"/>
  <c r="B95" i="7"/>
  <c r="B107" i="7"/>
  <c r="B119" i="7"/>
  <c r="B221" i="7"/>
  <c r="B272" i="7"/>
  <c r="B275" i="7"/>
  <c r="B277" i="7"/>
  <c r="B214" i="7"/>
  <c r="B278" i="7"/>
  <c r="B284" i="7"/>
  <c r="B59" i="7"/>
  <c r="B110" i="7"/>
  <c r="B40" i="7"/>
  <c r="B296" i="7"/>
  <c r="B148" i="7"/>
  <c r="B255" i="7"/>
  <c r="B4" i="7"/>
  <c r="B285" i="7"/>
  <c r="B286" i="7"/>
  <c r="B287" i="7"/>
  <c r="B288" i="7"/>
  <c r="B289" i="7"/>
  <c r="B58" i="7"/>
  <c r="B85" i="7"/>
  <c r="B290" i="7"/>
  <c r="B6" i="7"/>
  <c r="B233" i="7"/>
  <c r="B297" i="7"/>
  <c r="B168" i="7"/>
  <c r="B292" i="7"/>
  <c r="B293" i="7"/>
  <c r="B89" i="7"/>
  <c r="B28" i="7"/>
  <c r="B106" i="7"/>
  <c r="B232" i="7"/>
  <c r="B295" i="7"/>
  <c r="B322" i="7"/>
  <c r="B298" i="7"/>
  <c r="B175" i="7"/>
  <c r="B113" i="7"/>
  <c r="B169" i="7"/>
  <c r="B299" i="7"/>
  <c r="B309" i="7"/>
  <c r="B300" i="7"/>
  <c r="B36" i="7"/>
  <c r="B301" i="7"/>
  <c r="B302" i="7"/>
  <c r="B303" i="7"/>
  <c r="B304" i="7"/>
  <c r="B34" i="7"/>
  <c r="B274" i="7"/>
  <c r="B75" i="7"/>
  <c r="B68" i="7"/>
  <c r="B306" i="7"/>
  <c r="B307" i="7"/>
  <c r="B308" i="7"/>
  <c r="B310" i="7"/>
  <c r="B35" i="7"/>
  <c r="B38" i="7"/>
  <c r="B237" i="7"/>
  <c r="B239" i="7"/>
  <c r="B311" i="7"/>
  <c r="B82" i="7"/>
  <c r="B313" i="7"/>
  <c r="B7" i="7"/>
  <c r="B8" i="7"/>
  <c r="B9" i="7"/>
  <c r="B10" i="7"/>
  <c r="B11" i="7"/>
  <c r="B13" i="7"/>
  <c r="B14" i="7"/>
  <c r="B15" i="7"/>
  <c r="B18" i="7"/>
  <c r="B21" i="7"/>
  <c r="B23" i="7"/>
  <c r="B24" i="7"/>
  <c r="B25" i="7"/>
  <c r="B26" i="7"/>
  <c r="B30" i="7"/>
  <c r="B31" i="7"/>
  <c r="B32" i="7"/>
  <c r="B33" i="7"/>
  <c r="B39" i="7"/>
  <c r="B41" i="7"/>
  <c r="B44" i="7"/>
  <c r="B45" i="7"/>
  <c r="B48" i="7"/>
  <c r="B51" i="7"/>
  <c r="B52" i="7"/>
  <c r="B53" i="7"/>
  <c r="B54" i="7"/>
  <c r="B60" i="7"/>
  <c r="B61" i="7"/>
  <c r="B62" i="7"/>
  <c r="B63" i="7"/>
  <c r="B64" i="7"/>
  <c r="B65" i="7"/>
  <c r="B66" i="7"/>
  <c r="B67" i="7"/>
  <c r="B69" i="7"/>
  <c r="B70" i="7"/>
  <c r="B71" i="7"/>
  <c r="B74" i="7"/>
  <c r="B76" i="7"/>
  <c r="B77" i="7"/>
  <c r="B78" i="7"/>
  <c r="B80" i="7"/>
  <c r="B81" i="7"/>
  <c r="B83" i="7"/>
  <c r="B86" i="7"/>
  <c r="B87" i="7"/>
  <c r="B91" i="7"/>
  <c r="B92" i="7"/>
  <c r="B93" i="7"/>
  <c r="B94" i="7"/>
  <c r="B96" i="7"/>
  <c r="B97" i="7"/>
  <c r="B98" i="7"/>
  <c r="B99" i="7"/>
  <c r="B100" i="7"/>
  <c r="B101" i="7"/>
  <c r="B105" i="7"/>
  <c r="B108" i="7"/>
  <c r="B109" i="7"/>
  <c r="B111" i="7"/>
  <c r="B115" i="7"/>
  <c r="B118" i="7"/>
  <c r="B120" i="7"/>
  <c r="B124" i="7"/>
  <c r="B125" i="7"/>
  <c r="B126" i="7"/>
  <c r="B127" i="7"/>
  <c r="B129" i="7"/>
  <c r="B131" i="7"/>
  <c r="B132" i="7"/>
  <c r="B137" i="7"/>
  <c r="B138" i="7"/>
  <c r="B140" i="7"/>
  <c r="B141" i="7"/>
  <c r="B152" i="7"/>
  <c r="B153" i="7"/>
  <c r="B155" i="7"/>
  <c r="B160" i="7"/>
  <c r="B162" i="7"/>
  <c r="B164" i="7"/>
  <c r="B165" i="7"/>
  <c r="B166" i="7"/>
  <c r="B173" i="7"/>
  <c r="B176" i="7"/>
  <c r="B177" i="7"/>
  <c r="B181" i="7"/>
  <c r="B183" i="7"/>
  <c r="B184" i="7"/>
  <c r="B186" i="7"/>
  <c r="B192" i="7"/>
  <c r="B194" i="7"/>
  <c r="B195" i="7"/>
  <c r="B198" i="7"/>
  <c r="B204" i="7"/>
  <c r="B208" i="7"/>
  <c r="B211" i="7"/>
  <c r="B216" i="7"/>
  <c r="B217" i="7"/>
  <c r="B220" i="7"/>
  <c r="B223" i="7"/>
  <c r="B224" i="7"/>
  <c r="B227" i="7"/>
  <c r="B235" i="7"/>
  <c r="B238" i="7"/>
  <c r="B243" i="7"/>
  <c r="B261" i="7"/>
  <c r="B262" i="7"/>
  <c r="B263" i="7"/>
  <c r="B264" i="7"/>
  <c r="B265" i="7"/>
  <c r="B266" i="7"/>
  <c r="B267" i="7"/>
  <c r="B273" i="7"/>
  <c r="B279" i="7"/>
  <c r="B280" i="7"/>
  <c r="B281" i="7"/>
  <c r="B294" i="7"/>
  <c r="B315" i="7"/>
  <c r="B316" i="7"/>
  <c r="B305" i="7"/>
  <c r="B318" i="7"/>
  <c r="B319" i="7"/>
  <c r="B314" i="7"/>
  <c r="B320" i="7"/>
  <c r="B321" i="7"/>
  <c r="B323" i="7"/>
  <c r="B324" i="7"/>
  <c r="B325" i="7"/>
  <c r="B326" i="7"/>
  <c r="AT2" i="14"/>
  <c r="AY2" i="14"/>
  <c r="AT3" i="14"/>
  <c r="AY3" i="14"/>
  <c r="AT4" i="14"/>
  <c r="AY4" i="14"/>
  <c r="AT5" i="14"/>
  <c r="AY5" i="14"/>
  <c r="AT6" i="14"/>
  <c r="AT7" i="14"/>
  <c r="AY7" i="14"/>
  <c r="AT8" i="14"/>
  <c r="AY8" i="14"/>
  <c r="AT9" i="14"/>
  <c r="AY9" i="14"/>
  <c r="AT10" i="14"/>
  <c r="AY10" i="14"/>
  <c r="AT11" i="14"/>
  <c r="AT12" i="14"/>
  <c r="AY12" i="14"/>
  <c r="AT13" i="14"/>
  <c r="AY13" i="14"/>
  <c r="AT15" i="14"/>
  <c r="AT16" i="14"/>
  <c r="AY16" i="14"/>
  <c r="AT17" i="14"/>
  <c r="AY17" i="14"/>
  <c r="AT18" i="14"/>
  <c r="AY18" i="14"/>
  <c r="AT21" i="14"/>
  <c r="AY21" i="14"/>
  <c r="AT23" i="14"/>
  <c r="AY23" i="14"/>
  <c r="AY25" i="14"/>
  <c r="AT26" i="14"/>
  <c r="AY26" i="14"/>
  <c r="AT28" i="14"/>
  <c r="AY28" i="14"/>
  <c r="AT33" i="14"/>
  <c r="AT34" i="14"/>
  <c r="AY34" i="14"/>
  <c r="AT35" i="14"/>
  <c r="AY35" i="14"/>
  <c r="AT37" i="14"/>
  <c r="AY37" i="14"/>
  <c r="AT38" i="14"/>
  <c r="AT39" i="14"/>
  <c r="AY39" i="14"/>
  <c r="AT40" i="14"/>
  <c r="AY40" i="14"/>
  <c r="AT41" i="14"/>
  <c r="AT42" i="14"/>
  <c r="AY42" i="14"/>
  <c r="AT43" i="14"/>
  <c r="AY43" i="14"/>
  <c r="AT44" i="14"/>
  <c r="AY44" i="14"/>
  <c r="AT45" i="14"/>
  <c r="AY45" i="14"/>
  <c r="AT46" i="14"/>
  <c r="AY46" i="14"/>
  <c r="AT47" i="14"/>
  <c r="AT48" i="14"/>
  <c r="AY48" i="14"/>
  <c r="AY49" i="14"/>
  <c r="AT51" i="14"/>
  <c r="AY51" i="14"/>
  <c r="AT52" i="14"/>
  <c r="AY52" i="14"/>
  <c r="AT53" i="14"/>
  <c r="AT54" i="14"/>
  <c r="AY54" i="14"/>
  <c r="AT55" i="14"/>
  <c r="AY55" i="14"/>
  <c r="AT56" i="14"/>
  <c r="AY56" i="14"/>
  <c r="AT57" i="14"/>
  <c r="AY57" i="14"/>
  <c r="AT58" i="14"/>
  <c r="AY58" i="14"/>
  <c r="AT59" i="14"/>
  <c r="AY59" i="14"/>
  <c r="AT60" i="14"/>
  <c r="AY60" i="14"/>
  <c r="AT61" i="14"/>
  <c r="AY61" i="14"/>
  <c r="AT62" i="14"/>
  <c r="AY62" i="14"/>
  <c r="AT63" i="14"/>
  <c r="AY63" i="14"/>
  <c r="AT64" i="14"/>
  <c r="AY64" i="14"/>
  <c r="AT65" i="14"/>
  <c r="AY65" i="14"/>
  <c r="AT66" i="14"/>
  <c r="AT67" i="14"/>
  <c r="AT68" i="14"/>
  <c r="AT69" i="14"/>
  <c r="AT70" i="14"/>
  <c r="AY70" i="14"/>
  <c r="AT71" i="14"/>
  <c r="AY71" i="14"/>
  <c r="AT72" i="14"/>
  <c r="AY72" i="14"/>
  <c r="AT73" i="14"/>
  <c r="AY73" i="14"/>
  <c r="AT74" i="14"/>
  <c r="AY74" i="14"/>
  <c r="AT75" i="14"/>
  <c r="AY75" i="14"/>
  <c r="AT76" i="14"/>
  <c r="AY76" i="14"/>
  <c r="AT77" i="14"/>
  <c r="AY77" i="14"/>
  <c r="AT78" i="14"/>
  <c r="AY78" i="14"/>
  <c r="AT79" i="14"/>
  <c r="AY79" i="14"/>
  <c r="AT80" i="14"/>
  <c r="AY80" i="14"/>
  <c r="AT81" i="14"/>
  <c r="AY81" i="14"/>
  <c r="AT82" i="14"/>
  <c r="AY82" i="14"/>
  <c r="AT83" i="14"/>
  <c r="AY83" i="14"/>
  <c r="AT84" i="14"/>
  <c r="AY84" i="14"/>
  <c r="AT85" i="14"/>
  <c r="AY85" i="14"/>
  <c r="AT86" i="14"/>
  <c r="AY86" i="14"/>
  <c r="AT87" i="14"/>
  <c r="AY87" i="14"/>
  <c r="AT88" i="14"/>
  <c r="AY88" i="14"/>
  <c r="AT89" i="14"/>
  <c r="AY89" i="14"/>
  <c r="AT90" i="14"/>
  <c r="AY90" i="14"/>
  <c r="AT91" i="14"/>
  <c r="AY91" i="14"/>
  <c r="AT92" i="14"/>
  <c r="AY92" i="14"/>
  <c r="AT93" i="14"/>
  <c r="AY93" i="14"/>
  <c r="AT94" i="14"/>
  <c r="AY94" i="14"/>
  <c r="AT95" i="14"/>
  <c r="AY95" i="14"/>
  <c r="AT96" i="14"/>
  <c r="AY96" i="14"/>
  <c r="AT97" i="14"/>
  <c r="AY97" i="14"/>
  <c r="AT99" i="14"/>
  <c r="AY99" i="14"/>
  <c r="AT100" i="14"/>
  <c r="AY100" i="14"/>
  <c r="AT101" i="14"/>
  <c r="AT102" i="14"/>
  <c r="AY102" i="14"/>
  <c r="AT103" i="14"/>
  <c r="AT104" i="14"/>
  <c r="AY104" i="14"/>
  <c r="AT105" i="14"/>
  <c r="AY105" i="14"/>
  <c r="AT106" i="14"/>
  <c r="AY106" i="14"/>
  <c r="AT107" i="14"/>
  <c r="AY107" i="14"/>
  <c r="AT108" i="14"/>
  <c r="AY108" i="14"/>
  <c r="AT109" i="14"/>
  <c r="AY109" i="14"/>
  <c r="AT110" i="14"/>
  <c r="AT111" i="14"/>
  <c r="AY111" i="14"/>
  <c r="AT112" i="14"/>
  <c r="AY112" i="14"/>
  <c r="AT113" i="14"/>
  <c r="AY113" i="14"/>
  <c r="AT114" i="14"/>
  <c r="AY114" i="14"/>
  <c r="AT115" i="14"/>
  <c r="AY115" i="14"/>
  <c r="AT116" i="14"/>
  <c r="AY116" i="14"/>
  <c r="AT117" i="14"/>
  <c r="AY117" i="14"/>
  <c r="AT118" i="14"/>
  <c r="AY118" i="14"/>
  <c r="AT119" i="14"/>
  <c r="AY119" i="14"/>
  <c r="AT120" i="14"/>
  <c r="AY120" i="14"/>
  <c r="AT121" i="14"/>
  <c r="AY121" i="14"/>
  <c r="AT123" i="14"/>
  <c r="AT124" i="14"/>
  <c r="AT126" i="14"/>
  <c r="AY126" i="14"/>
  <c r="AT127" i="14"/>
  <c r="AY127" i="14"/>
  <c r="AT128" i="14"/>
  <c r="AY128" i="14"/>
  <c r="AT129" i="14"/>
  <c r="AY129" i="14"/>
  <c r="AT131" i="14"/>
  <c r="AY131" i="14"/>
  <c r="AT132" i="14"/>
  <c r="AY132" i="14"/>
  <c r="AT133" i="14"/>
  <c r="AY133" i="14"/>
  <c r="AT134" i="14"/>
  <c r="AY134" i="14"/>
  <c r="AT135" i="14"/>
  <c r="AY135" i="14"/>
  <c r="AT136" i="14"/>
  <c r="AY136" i="14"/>
  <c r="AT137" i="14"/>
  <c r="AY137" i="14"/>
  <c r="AT138" i="14"/>
  <c r="AY138" i="14"/>
  <c r="AT139" i="14"/>
  <c r="AY139" i="14"/>
  <c r="AT140" i="14"/>
  <c r="AY140" i="14"/>
  <c r="AT24" i="14"/>
  <c r="AT14" i="14"/>
  <c r="BB2" i="13"/>
  <c r="BB3" i="13"/>
  <c r="BB4" i="13"/>
  <c r="BB9" i="13"/>
  <c r="BB10" i="13"/>
  <c r="BB11" i="13"/>
  <c r="BB15" i="13"/>
  <c r="BB19" i="13"/>
  <c r="BB21" i="13"/>
  <c r="BB23" i="13"/>
  <c r="BB31" i="13"/>
  <c r="BB37" i="13"/>
  <c r="BB39" i="13"/>
  <c r="BC39" i="13" s="1"/>
  <c r="BD39" i="13" s="1"/>
  <c r="BB51" i="13"/>
  <c r="BB52" i="13"/>
  <c r="BB53" i="13"/>
  <c r="BB55" i="13"/>
  <c r="BC55" i="13" s="1"/>
  <c r="BD55" i="13" s="1"/>
  <c r="BB57" i="13"/>
  <c r="BC57" i="13" s="1"/>
  <c r="BD57" i="13" s="1"/>
  <c r="BB60" i="13"/>
  <c r="BC60" i="13" s="1"/>
  <c r="BD60" i="13" s="1"/>
  <c r="BB62" i="13"/>
  <c r="BB63" i="13"/>
  <c r="BB65" i="13"/>
  <c r="BB69" i="13"/>
  <c r="BC69" i="13" s="1"/>
  <c r="BD69" i="13" s="1"/>
  <c r="BB70" i="13"/>
  <c r="BC70" i="13" s="1"/>
  <c r="BD70" i="13" s="1"/>
  <c r="BB72" i="13"/>
  <c r="BC72" i="13" s="1"/>
  <c r="BD72" i="13" s="1"/>
  <c r="BB74" i="13"/>
  <c r="BC74" i="13" s="1"/>
  <c r="BD74" i="13" s="1"/>
  <c r="BB77" i="13"/>
  <c r="BC77" i="13" s="1"/>
  <c r="BD77" i="13" s="1"/>
  <c r="BB78" i="13"/>
  <c r="BC78" i="13" s="1"/>
  <c r="BD78" i="13" s="1"/>
  <c r="BB79" i="13"/>
  <c r="BC79" i="13" s="1"/>
  <c r="BD79" i="13" s="1"/>
  <c r="BB82" i="13"/>
  <c r="BB85" i="13"/>
  <c r="BB86" i="13"/>
  <c r="BB93" i="13"/>
  <c r="BB94" i="13"/>
  <c r="BB95" i="13"/>
  <c r="BB97" i="13"/>
  <c r="BB100" i="13"/>
  <c r="BB101" i="13"/>
  <c r="BB103" i="13"/>
  <c r="BB106" i="13"/>
  <c r="BB113" i="13"/>
  <c r="BC113" i="13" s="1"/>
  <c r="BD113" i="13" s="1"/>
  <c r="BB117" i="13"/>
  <c r="BB119" i="13"/>
  <c r="BB120" i="13"/>
  <c r="BB121" i="13"/>
  <c r="BB124" i="13"/>
  <c r="BB125" i="13"/>
  <c r="BB127" i="13"/>
  <c r="BB131" i="13"/>
  <c r="BB132" i="13"/>
  <c r="BB133" i="13"/>
  <c r="BB134" i="13"/>
  <c r="BB135" i="13"/>
  <c r="BB137" i="13"/>
  <c r="BB140" i="13"/>
  <c r="BB141" i="13"/>
  <c r="BB143" i="13"/>
  <c r="BB146" i="13"/>
  <c r="BB147" i="13"/>
  <c r="BB150" i="13"/>
  <c r="BB151" i="13"/>
  <c r="BB152" i="13"/>
  <c r="BB153" i="13"/>
  <c r="BB154" i="13"/>
  <c r="BB161" i="13"/>
  <c r="BB163" i="13"/>
  <c r="BB169" i="13"/>
  <c r="BB171" i="13"/>
  <c r="BB175" i="13"/>
  <c r="BB179" i="13"/>
  <c r="BB5" i="13"/>
  <c r="BB13" i="13"/>
  <c r="BB32" i="13"/>
  <c r="S325" i="7"/>
  <c r="S320" i="7"/>
  <c r="S314" i="7"/>
  <c r="S305" i="7"/>
  <c r="S265" i="7"/>
  <c r="S263" i="7"/>
  <c r="S99" i="7"/>
  <c r="S308" i="7"/>
  <c r="S306" i="7"/>
  <c r="S34" i="7"/>
  <c r="S303" i="7"/>
  <c r="S301" i="7"/>
  <c r="S113" i="7"/>
  <c r="S295" i="7"/>
  <c r="S293" i="7"/>
  <c r="S297" i="7"/>
  <c r="S289" i="7"/>
  <c r="S287" i="7"/>
  <c r="S285" i="7"/>
  <c r="S278" i="7"/>
  <c r="S119" i="7"/>
  <c r="S27" i="7"/>
  <c r="S270" i="7"/>
  <c r="S258" i="7"/>
  <c r="S241" i="7"/>
  <c r="S236" i="7"/>
  <c r="S114" i="7"/>
  <c r="S234" i="7"/>
  <c r="S231" i="7"/>
  <c r="S228" i="7"/>
  <c r="S226" i="7"/>
  <c r="S37" i="7"/>
  <c r="S225" i="7"/>
  <c r="S219" i="7"/>
  <c r="S218" i="7"/>
  <c r="S215" i="7"/>
  <c r="S210" i="7"/>
  <c r="S202" i="7"/>
  <c r="S196" i="7"/>
  <c r="S193" i="7"/>
  <c r="S189" i="7"/>
  <c r="S185" i="7"/>
  <c r="S182" i="7"/>
  <c r="S174" i="7"/>
  <c r="S171" i="7"/>
  <c r="S170" i="7"/>
  <c r="S158" i="7"/>
  <c r="S157" i="7"/>
  <c r="S146" i="7"/>
  <c r="S117" i="7"/>
  <c r="S116" i="7"/>
  <c r="S20" i="7"/>
  <c r="BG112" i="13"/>
  <c r="BC82" i="13" l="1"/>
  <c r="BD82" i="13" s="1"/>
  <c r="BC115" i="13"/>
  <c r="BD115" i="13" s="1"/>
  <c r="BC36" i="13"/>
  <c r="BC96" i="13"/>
  <c r="BD96" i="13" s="1"/>
  <c r="BC37" i="13"/>
  <c r="F1187" i="2"/>
  <c r="BC25" i="13"/>
  <c r="BC123" i="13"/>
  <c r="BD123" i="13" s="1"/>
  <c r="F1219" i="2"/>
  <c r="BC75" i="13"/>
  <c r="BD75" i="13" s="1"/>
  <c r="BC9" i="13"/>
  <c r="BD9" i="13" s="1"/>
  <c r="BC76" i="13"/>
  <c r="BD76" i="13" s="1"/>
  <c r="BC156" i="13"/>
  <c r="BC125" i="13"/>
  <c r="BD125" i="13" s="1"/>
  <c r="BC95" i="13"/>
  <c r="BD95" i="13" s="1"/>
  <c r="BC28" i="13"/>
  <c r="BC94" i="13"/>
  <c r="BC93" i="13"/>
  <c r="BC128" i="13"/>
  <c r="BD128" i="13" s="1"/>
  <c r="BC20" i="13"/>
  <c r="BC173" i="13"/>
  <c r="BC98" i="13"/>
  <c r="BC22" i="13"/>
  <c r="BD22" i="13" s="1"/>
  <c r="BC89" i="13"/>
  <c r="BD89" i="13" s="1"/>
  <c r="BC129" i="13"/>
  <c r="BC63" i="13"/>
  <c r="BD63" i="13" s="1"/>
  <c r="BC21" i="13"/>
  <c r="BD21" i="13" s="1"/>
  <c r="BC19" i="13"/>
  <c r="BC41" i="13"/>
  <c r="BD41" i="13" s="1"/>
  <c r="BE276" i="7"/>
  <c r="BE96" i="7"/>
  <c r="BE212" i="7"/>
  <c r="BC126" i="13"/>
  <c r="BD126" i="13" s="1"/>
  <c r="BC62" i="13"/>
  <c r="BD62" i="13" s="1"/>
  <c r="BC111" i="13"/>
  <c r="BD111" i="13" s="1"/>
  <c r="BC24" i="13"/>
  <c r="BC143" i="13"/>
  <c r="BC8" i="13"/>
  <c r="BD8" i="13" s="1"/>
  <c r="BC40" i="13"/>
  <c r="BD40" i="13" s="1"/>
  <c r="BC141" i="13"/>
  <c r="BD141" i="13" s="1"/>
  <c r="BC142" i="13"/>
  <c r="BD142" i="13" s="1"/>
  <c r="BC174" i="13"/>
  <c r="BD174" i="13" s="1"/>
  <c r="BE133" i="7"/>
  <c r="BD173" i="7"/>
  <c r="BH29" i="7"/>
  <c r="F1165" i="2"/>
  <c r="BC146" i="13"/>
  <c r="BD146" i="13" s="1"/>
  <c r="BF133" i="7"/>
  <c r="BF173" i="7"/>
  <c r="BG133" i="7"/>
  <c r="BG288" i="7"/>
  <c r="BF161" i="7"/>
  <c r="F1226" i="2"/>
  <c r="BE68" i="7"/>
  <c r="BD288" i="7"/>
  <c r="BD262" i="7"/>
  <c r="BE50" i="7"/>
  <c r="BF41" i="7"/>
  <c r="BF50" i="7"/>
  <c r="BF60" i="7"/>
  <c r="BH50" i="7"/>
  <c r="BD220" i="7"/>
  <c r="BD96" i="7"/>
  <c r="BF110" i="7"/>
  <c r="BF220" i="7"/>
  <c r="F1083" i="2"/>
  <c r="F1076" i="2"/>
  <c r="BC154" i="13"/>
  <c r="BD154" i="13" s="1"/>
  <c r="BC155" i="13"/>
  <c r="BC172" i="13"/>
  <c r="BD172" i="13" s="1"/>
  <c r="BC157" i="13"/>
  <c r="BC114" i="13"/>
  <c r="BG53" i="7"/>
  <c r="BG199" i="7"/>
  <c r="BH233" i="7"/>
  <c r="BF112" i="7"/>
  <c r="BD256" i="7"/>
  <c r="BG273" i="7"/>
  <c r="F1183" i="2"/>
  <c r="BD199" i="7"/>
  <c r="BD33" i="7"/>
  <c r="BE199" i="7"/>
  <c r="F942" i="2"/>
  <c r="F936" i="2"/>
  <c r="BD167" i="7"/>
  <c r="BF199" i="7"/>
  <c r="BF318" i="7"/>
  <c r="F944" i="2"/>
  <c r="BD53" i="7"/>
  <c r="BF140" i="7"/>
  <c r="BG105" i="7"/>
  <c r="BE216" i="7"/>
  <c r="BE105" i="7"/>
  <c r="BH318" i="7"/>
  <c r="BH174" i="7"/>
  <c r="BD66" i="7"/>
  <c r="BH105" i="7"/>
  <c r="BF216" i="7"/>
  <c r="F1123" i="2"/>
  <c r="F1052" i="2"/>
  <c r="BC171" i="13"/>
  <c r="BD171" i="13" s="1"/>
  <c r="BC159" i="13"/>
  <c r="BD210" i="7"/>
  <c r="BE3" i="7"/>
  <c r="BH39" i="7"/>
  <c r="BF276" i="7"/>
  <c r="BE222" i="7"/>
  <c r="BF256" i="7"/>
  <c r="BH276" i="7"/>
  <c r="BD255" i="7"/>
  <c r="BD286" i="7"/>
  <c r="BF59" i="7"/>
  <c r="BE144" i="7"/>
  <c r="BE241" i="7"/>
  <c r="BH78" i="7"/>
  <c r="BG279" i="7"/>
  <c r="BG255" i="7"/>
  <c r="BF286" i="7"/>
  <c r="F1085" i="2"/>
  <c r="BE93" i="7"/>
  <c r="BE174" i="7"/>
  <c r="BE149" i="7"/>
  <c r="BF8" i="7"/>
  <c r="BD22" i="7"/>
  <c r="BD105" i="7"/>
  <c r="BH80" i="7"/>
  <c r="BD287" i="7"/>
  <c r="F1075" i="2"/>
  <c r="H4" i="13"/>
  <c r="BG4" i="13" s="1"/>
  <c r="BC127" i="13"/>
  <c r="BD127" i="13" s="1"/>
  <c r="BF96" i="7"/>
  <c r="BD72" i="7"/>
  <c r="BH127" i="7"/>
  <c r="BF109" i="7"/>
  <c r="BF242" i="7"/>
  <c r="H27" i="13"/>
  <c r="BG27" i="13" s="1"/>
  <c r="BG10" i="7"/>
  <c r="BD280" i="7"/>
  <c r="BD161" i="7"/>
  <c r="BD221" i="7"/>
  <c r="H184" i="13"/>
  <c r="BG184" i="13" s="1"/>
  <c r="BC165" i="13"/>
  <c r="BD165" i="13" s="1"/>
  <c r="BF69" i="7"/>
  <c r="BD152" i="7"/>
  <c r="BF72" i="7"/>
  <c r="BE182" i="7"/>
  <c r="BD133" i="7"/>
  <c r="BH10" i="7"/>
  <c r="BE152" i="7"/>
  <c r="BF94" i="7"/>
  <c r="BH36" i="7"/>
  <c r="BG280" i="7"/>
  <c r="BE161" i="7"/>
  <c r="BH221" i="7"/>
  <c r="F800" i="2"/>
  <c r="F1111" i="2"/>
  <c r="BC189" i="13"/>
  <c r="BD189" i="13" s="1"/>
  <c r="BC140" i="13"/>
  <c r="BD140" i="13" s="1"/>
  <c r="BF322" i="7"/>
  <c r="BG220" i="7"/>
  <c r="BD5" i="7"/>
  <c r="BF10" i="7"/>
  <c r="BE72" i="7"/>
  <c r="BH69" i="7"/>
  <c r="BD217" i="7"/>
  <c r="BE320" i="7"/>
  <c r="BH220" i="7"/>
  <c r="BH287" i="7"/>
  <c r="BG210" i="7"/>
  <c r="BH47" i="7"/>
  <c r="BF180" i="7"/>
  <c r="BE207" i="7"/>
  <c r="BG237" i="7"/>
  <c r="BF285" i="7"/>
  <c r="H87" i="13"/>
  <c r="BG87" i="13" s="1"/>
  <c r="BG41" i="7"/>
  <c r="BH141" i="7"/>
  <c r="BD68" i="7"/>
  <c r="BD50" i="7"/>
  <c r="BG69" i="7"/>
  <c r="BD127" i="7"/>
  <c r="BH75" i="7"/>
  <c r="BE109" i="7"/>
  <c r="BD320" i="7"/>
  <c r="F1156" i="2"/>
  <c r="BD41" i="7"/>
  <c r="BG96" i="7"/>
  <c r="BG173" i="7"/>
  <c r="BG72" i="7"/>
  <c r="BF37" i="7"/>
  <c r="BF239" i="7"/>
  <c r="BH280" i="7"/>
  <c r="BG161" i="7"/>
  <c r="BE221" i="7"/>
  <c r="F1118" i="2"/>
  <c r="H7" i="13"/>
  <c r="BG7" i="13" s="1"/>
  <c r="BH234" i="7"/>
  <c r="BE41" i="7"/>
  <c r="BH173" i="7"/>
  <c r="BE69" i="7"/>
  <c r="BG239" i="7"/>
  <c r="BD322" i="7"/>
  <c r="BF221" i="7"/>
  <c r="F532" i="2"/>
  <c r="BH207" i="7"/>
  <c r="BD141" i="7"/>
  <c r="BH88" i="7"/>
  <c r="BF126" i="7"/>
  <c r="BF185" i="7"/>
  <c r="BH83" i="7"/>
  <c r="BF320" i="7"/>
  <c r="BE192" i="7"/>
  <c r="F1148" i="2"/>
  <c r="H76" i="13"/>
  <c r="BG76" i="13" s="1"/>
  <c r="BF121" i="7"/>
  <c r="BH158" i="7"/>
  <c r="BE196" i="7"/>
  <c r="F1181" i="2"/>
  <c r="F537" i="2"/>
  <c r="F792" i="2"/>
  <c r="F782" i="2"/>
  <c r="H141" i="13"/>
  <c r="BG141" i="13" s="1"/>
  <c r="BF269" i="7"/>
  <c r="F1216" i="2"/>
  <c r="H41" i="13"/>
  <c r="BG41" i="13" s="1"/>
  <c r="BE61" i="7"/>
  <c r="BG185" i="7"/>
  <c r="BE111" i="7"/>
  <c r="BH201" i="7"/>
  <c r="BH230" i="7"/>
  <c r="H40" i="13"/>
  <c r="BG40" i="13" s="1"/>
  <c r="BE295" i="7"/>
  <c r="BD12" i="7"/>
  <c r="BG140" i="7"/>
  <c r="BE125" i="7"/>
  <c r="BD47" i="7"/>
  <c r="BE86" i="7"/>
  <c r="BF119" i="7"/>
  <c r="BF186" i="7"/>
  <c r="BH197" i="7"/>
  <c r="BE301" i="7"/>
  <c r="F1212" i="2"/>
  <c r="F712" i="2"/>
  <c r="H74" i="13"/>
  <c r="BG74" i="13" s="1"/>
  <c r="BD296" i="7"/>
  <c r="F1141" i="2"/>
  <c r="BF147" i="7"/>
  <c r="BG121" i="7"/>
  <c r="BD125" i="7"/>
  <c r="F985" i="2"/>
  <c r="BE126" i="7"/>
  <c r="BD216" i="7"/>
  <c r="BE318" i="7"/>
  <c r="F893" i="2"/>
  <c r="H138" i="13"/>
  <c r="BG138" i="13" s="1"/>
  <c r="F1169" i="2"/>
  <c r="BG234" i="7"/>
  <c r="BG135" i="7"/>
  <c r="BH22" i="7"/>
  <c r="BD75" i="7"/>
  <c r="BD237" i="7"/>
  <c r="BG83" i="7"/>
  <c r="BD243" i="7"/>
  <c r="BD158" i="7"/>
  <c r="BD196" i="7"/>
  <c r="F1038" i="2"/>
  <c r="F992" i="2"/>
  <c r="BE238" i="7"/>
  <c r="BD238" i="7"/>
  <c r="BF211" i="7"/>
  <c r="BE211" i="7"/>
  <c r="BH164" i="7"/>
  <c r="BE164" i="7"/>
  <c r="BH124" i="7"/>
  <c r="BG124" i="7"/>
  <c r="BD124" i="7"/>
  <c r="BG92" i="7"/>
  <c r="BF92" i="7"/>
  <c r="BH7" i="7"/>
  <c r="BG7" i="7"/>
  <c r="BD7" i="7"/>
  <c r="BG34" i="7"/>
  <c r="BE34" i="7"/>
  <c r="BE4" i="7"/>
  <c r="BH4" i="7"/>
  <c r="BG4" i="7"/>
  <c r="BG257" i="7"/>
  <c r="BH257" i="7"/>
  <c r="BD187" i="7"/>
  <c r="BF187" i="7"/>
  <c r="BG19" i="7"/>
  <c r="BH19" i="7"/>
  <c r="BD19" i="7"/>
  <c r="H162" i="13"/>
  <c r="BG162" i="13" s="1"/>
  <c r="F1172" i="2"/>
  <c r="BD325" i="7"/>
  <c r="BH325" i="7"/>
  <c r="BG325" i="7"/>
  <c r="BF267" i="7"/>
  <c r="BD267" i="7"/>
  <c r="BH267" i="7"/>
  <c r="BH138" i="7"/>
  <c r="BF138" i="7"/>
  <c r="BE101" i="7"/>
  <c r="BH101" i="7"/>
  <c r="BD65" i="7"/>
  <c r="BF65" i="7"/>
  <c r="BH32" i="7"/>
  <c r="BG32" i="7"/>
  <c r="BD32" i="7"/>
  <c r="BH106" i="7"/>
  <c r="BE106" i="7"/>
  <c r="BE95" i="7"/>
  <c r="BG95" i="7"/>
  <c r="BD95" i="7"/>
  <c r="BD236" i="7"/>
  <c r="BH236" i="7"/>
  <c r="BF317" i="7"/>
  <c r="BD317" i="7"/>
  <c r="BH317" i="7"/>
  <c r="BH156" i="7"/>
  <c r="BE156" i="7"/>
  <c r="BG6" i="7"/>
  <c r="BE65" i="7"/>
  <c r="BD138" i="7"/>
  <c r="BG267" i="7"/>
  <c r="BD106" i="7"/>
  <c r="BG86" i="7"/>
  <c r="BG156" i="7"/>
  <c r="BF79" i="7"/>
  <c r="BH187" i="7"/>
  <c r="BE305" i="7"/>
  <c r="BG317" i="7"/>
  <c r="BH65" i="7"/>
  <c r="BF26" i="7"/>
  <c r="BH26" i="7"/>
  <c r="BF154" i="7"/>
  <c r="BH154" i="7"/>
  <c r="BD135" i="7"/>
  <c r="BH135" i="7"/>
  <c r="BG101" i="7"/>
  <c r="BH103" i="7"/>
  <c r="BD103" i="7"/>
  <c r="H167" i="13"/>
  <c r="BG167" i="13" s="1"/>
  <c r="F1180" i="2"/>
  <c r="BD98" i="7"/>
  <c r="BH98" i="7"/>
  <c r="BH307" i="7"/>
  <c r="BG307" i="7"/>
  <c r="F1137" i="2"/>
  <c r="H142" i="13"/>
  <c r="BG142" i="13" s="1"/>
  <c r="BF19" i="7"/>
  <c r="BF124" i="7"/>
  <c r="F1133" i="2"/>
  <c r="F1064" i="2"/>
  <c r="BD45" i="7"/>
  <c r="BG154" i="7"/>
  <c r="BE94" i="7"/>
  <c r="BE236" i="7"/>
  <c r="BG26" i="7"/>
  <c r="BE325" i="7"/>
  <c r="BE166" i="7"/>
  <c r="BF7" i="7"/>
  <c r="BF95" i="7"/>
  <c r="H143" i="13"/>
  <c r="BG143" i="13" s="1"/>
  <c r="BH279" i="7"/>
  <c r="BF279" i="7"/>
  <c r="BE279" i="7"/>
  <c r="BG67" i="7"/>
  <c r="BE67" i="7"/>
  <c r="BG23" i="7"/>
  <c r="BE23" i="7"/>
  <c r="BD9" i="7"/>
  <c r="BG9" i="7"/>
  <c r="BE75" i="7"/>
  <c r="BG75" i="7"/>
  <c r="BF295" i="7"/>
  <c r="BD295" i="7"/>
  <c r="BH295" i="7"/>
  <c r="BE287" i="7"/>
  <c r="BG287" i="7"/>
  <c r="BD59" i="7"/>
  <c r="BH59" i="7"/>
  <c r="BG59" i="7"/>
  <c r="BG119" i="7"/>
  <c r="BE119" i="7"/>
  <c r="BD119" i="7"/>
  <c r="BG88" i="7"/>
  <c r="BE88" i="7"/>
  <c r="BD88" i="7"/>
  <c r="BE244" i="7"/>
  <c r="BG244" i="7"/>
  <c r="BF244" i="7"/>
  <c r="BF234" i="7"/>
  <c r="BE234" i="7"/>
  <c r="BE22" i="7"/>
  <c r="BG22" i="7"/>
  <c r="BH210" i="7"/>
  <c r="BF210" i="7"/>
  <c r="BG200" i="7"/>
  <c r="BD200" i="7"/>
  <c r="BH200" i="7"/>
  <c r="BD190" i="7"/>
  <c r="BH190" i="7"/>
  <c r="BE190" i="7"/>
  <c r="BD121" i="7"/>
  <c r="BH121" i="7"/>
  <c r="BG178" i="7"/>
  <c r="BD178" i="7"/>
  <c r="BG158" i="7"/>
  <c r="BF158" i="7"/>
  <c r="BH180" i="7"/>
  <c r="BG180" i="7"/>
  <c r="BD180" i="7"/>
  <c r="BG207" i="7"/>
  <c r="BF207" i="7"/>
  <c r="BE47" i="7"/>
  <c r="BG47" i="7"/>
  <c r="BD285" i="7"/>
  <c r="BH285" i="7"/>
  <c r="BG285" i="7"/>
  <c r="H65" i="13"/>
  <c r="BG65" i="13" s="1"/>
  <c r="F1024" i="2"/>
  <c r="H189" i="13"/>
  <c r="BG189" i="13" s="1"/>
  <c r="F1218" i="2"/>
  <c r="H98" i="13"/>
  <c r="BG98" i="13" s="1"/>
  <c r="F1071" i="2"/>
  <c r="H52" i="13"/>
  <c r="BG52" i="13" s="1"/>
  <c r="F1003" i="2"/>
  <c r="H182" i="13"/>
  <c r="BG182" i="13" s="1"/>
  <c r="F1209" i="2"/>
  <c r="H183" i="13"/>
  <c r="BG183" i="13" s="1"/>
  <c r="F1210" i="2"/>
  <c r="F1117" i="2"/>
  <c r="H129" i="13"/>
  <c r="BG129" i="13" s="1"/>
  <c r="BF4" i="7"/>
  <c r="BG106" i="7"/>
  <c r="BE124" i="7"/>
  <c r="BD257" i="7"/>
  <c r="BD92" i="7"/>
  <c r="BD18" i="7"/>
  <c r="BD35" i="7"/>
  <c r="BD211" i="7"/>
  <c r="BF325" i="7"/>
  <c r="BD164" i="7"/>
  <c r="F1014" i="2"/>
  <c r="BH95" i="7"/>
  <c r="BF257" i="7"/>
  <c r="BE92" i="7"/>
  <c r="BE18" i="7"/>
  <c r="BD156" i="7"/>
  <c r="BE32" i="7"/>
  <c r="BG213" i="7"/>
  <c r="BE187" i="7"/>
  <c r="BF164" i="7"/>
  <c r="BE185" i="7"/>
  <c r="BD311" i="7"/>
  <c r="F1124" i="2"/>
  <c r="BC3" i="13"/>
  <c r="BD3" i="13" s="1"/>
  <c r="F1166" i="2"/>
  <c r="H158" i="13"/>
  <c r="BG158" i="13" s="1"/>
  <c r="BD61" i="7"/>
  <c r="BF25" i="7"/>
  <c r="BD111" i="7"/>
  <c r="BG201" i="7"/>
  <c r="BF196" i="7"/>
  <c r="BC175" i="13"/>
  <c r="BD175" i="13" s="1"/>
  <c r="H124" i="13"/>
  <c r="BG124" i="13" s="1"/>
  <c r="BG98" i="7"/>
  <c r="BE103" i="7"/>
  <c r="BC153" i="13"/>
  <c r="BD153" i="13" s="1"/>
  <c r="BE327" i="7"/>
  <c r="BF303" i="7"/>
  <c r="BG294" i="7"/>
  <c r="BF135" i="7"/>
  <c r="BG159" i="7"/>
  <c r="BC137" i="13"/>
  <c r="BD137" i="13" s="1"/>
  <c r="BG291" i="7"/>
  <c r="BE102" i="7"/>
  <c r="F1092" i="2"/>
  <c r="BG63" i="7"/>
  <c r="F1149" i="2"/>
  <c r="F1174" i="2"/>
  <c r="H55" i="13"/>
  <c r="BG55" i="13" s="1"/>
  <c r="H54" i="13"/>
  <c r="BG54" i="13" s="1"/>
  <c r="BD303" i="7"/>
  <c r="BC53" i="13"/>
  <c r="H33" i="13"/>
  <c r="BG33" i="13" s="1"/>
  <c r="BD89" i="7"/>
  <c r="BF87" i="7"/>
  <c r="BF327" i="7"/>
  <c r="BF89" i="7"/>
  <c r="F1102" i="2"/>
  <c r="BC112" i="13"/>
  <c r="F1195" i="2"/>
  <c r="BC34" i="13"/>
  <c r="BC121" i="13"/>
  <c r="BD121" i="13" s="1"/>
  <c r="BF206" i="7"/>
  <c r="F1067" i="2"/>
  <c r="BC18" i="13"/>
  <c r="BE206" i="7"/>
  <c r="BG89" i="7"/>
  <c r="BH89" i="7"/>
  <c r="BG206" i="7"/>
  <c r="F1044" i="2"/>
  <c r="H56" i="13"/>
  <c r="BG56" i="13" s="1"/>
  <c r="BH206" i="7"/>
  <c r="F1035" i="2"/>
  <c r="H127" i="13"/>
  <c r="BG127" i="13" s="1"/>
  <c r="BH128" i="7"/>
  <c r="BG176" i="7"/>
  <c r="BH176" i="7"/>
  <c r="BG68" i="7"/>
  <c r="BF127" i="7"/>
  <c r="BH322" i="7"/>
  <c r="BF97" i="7"/>
  <c r="BG97" i="7"/>
  <c r="BD10" i="7"/>
  <c r="BG111" i="7"/>
  <c r="BG195" i="7"/>
  <c r="BH68" i="7"/>
  <c r="BG127" i="7"/>
  <c r="BD298" i="7"/>
  <c r="BH111" i="7"/>
  <c r="BE289" i="7"/>
  <c r="BH195" i="7"/>
  <c r="F1070" i="2"/>
  <c r="BE73" i="7"/>
  <c r="BD110" i="7"/>
  <c r="BH129" i="7"/>
  <c r="BD201" i="7"/>
  <c r="BF226" i="7"/>
  <c r="BE57" i="7"/>
  <c r="BD272" i="7"/>
  <c r="BF16" i="7"/>
  <c r="BF128" i="7"/>
  <c r="BF70" i="7"/>
  <c r="BC51" i="13"/>
  <c r="BC151" i="13"/>
  <c r="BD151" i="13" s="1"/>
  <c r="BC119" i="13"/>
  <c r="BD119" i="13" s="1"/>
  <c r="BC32" i="13"/>
  <c r="BD32" i="13" s="1"/>
  <c r="BC5" i="13"/>
  <c r="BD5" i="13" s="1"/>
  <c r="BC103" i="13"/>
  <c r="BD103" i="13" s="1"/>
  <c r="BC135" i="13"/>
  <c r="BD135" i="13" s="1"/>
  <c r="BC86" i="13"/>
  <c r="BD86" i="13" s="1"/>
  <c r="BC170" i="13"/>
  <c r="BD170" i="13" s="1"/>
  <c r="BD276" i="7"/>
  <c r="BG142" i="7"/>
  <c r="BE266" i="7"/>
  <c r="BD266" i="7"/>
  <c r="BD144" i="7"/>
  <c r="BF266" i="7"/>
  <c r="BD151" i="7"/>
  <c r="BF144" i="7"/>
  <c r="BH3" i="7"/>
  <c r="BE28" i="7"/>
  <c r="BD324" i="7"/>
  <c r="BE151" i="7"/>
  <c r="BG144" i="7"/>
  <c r="BH151" i="7"/>
  <c r="BD222" i="7"/>
  <c r="BF149" i="7"/>
  <c r="BH149" i="7"/>
  <c r="BC50" i="13"/>
  <c r="BD139" i="7"/>
  <c r="BE275" i="7"/>
  <c r="BG58" i="7"/>
  <c r="F1079" i="2"/>
  <c r="BD306" i="7"/>
  <c r="BE122" i="7"/>
  <c r="BE134" i="7"/>
  <c r="BG139" i="7"/>
  <c r="BD148" i="7"/>
  <c r="BH175" i="7"/>
  <c r="BD97" i="7"/>
  <c r="BH13" i="7"/>
  <c r="BD49" i="7"/>
  <c r="BH2" i="7"/>
  <c r="BG70" i="7"/>
  <c r="BE218" i="7"/>
  <c r="BE130" i="7"/>
  <c r="BE240" i="7"/>
  <c r="BD25" i="7"/>
  <c r="BF82" i="7"/>
  <c r="BG226" i="7"/>
  <c r="BE201" i="7"/>
  <c r="BH321" i="7"/>
  <c r="BG320" i="7"/>
  <c r="BD253" i="7"/>
  <c r="F1164" i="2"/>
  <c r="F1162" i="2"/>
  <c r="H197" i="13"/>
  <c r="BG197" i="13" s="1"/>
  <c r="BC44" i="13"/>
  <c r="BD134" i="7"/>
  <c r="BF139" i="7"/>
  <c r="BG175" i="7"/>
  <c r="BF13" i="7"/>
  <c r="BF275" i="7"/>
  <c r="BF131" i="7"/>
  <c r="BE321" i="7"/>
  <c r="F1168" i="2"/>
  <c r="BG122" i="7"/>
  <c r="BH205" i="7"/>
  <c r="BE97" i="7"/>
  <c r="BD264" i="7"/>
  <c r="BD73" i="7"/>
  <c r="BH70" i="7"/>
  <c r="BH218" i="7"/>
  <c r="BF130" i="7"/>
  <c r="BE25" i="7"/>
  <c r="BF83" i="7"/>
  <c r="BF213" i="7"/>
  <c r="BH223" i="7"/>
  <c r="F1048" i="2"/>
  <c r="F1201" i="2"/>
  <c r="H78" i="13"/>
  <c r="BG78" i="13" s="1"/>
  <c r="BC42" i="13"/>
  <c r="BD42" i="13" s="1"/>
  <c r="BC71" i="13"/>
  <c r="F2" i="2"/>
  <c r="H2" i="13"/>
  <c r="BG2" i="13" s="1"/>
  <c r="AK196" i="13"/>
  <c r="BF264" i="7"/>
  <c r="BE49" i="7"/>
  <c r="BE296" i="7"/>
  <c r="BD26" i="7"/>
  <c r="BH296" i="7"/>
  <c r="BE154" i="7"/>
  <c r="BE26" i="7"/>
  <c r="BG296" i="7"/>
  <c r="BD154" i="7"/>
  <c r="BH16" i="7"/>
  <c r="BE139" i="7"/>
  <c r="BE98" i="7"/>
  <c r="BD185" i="7"/>
  <c r="BF36" i="7"/>
  <c r="BE243" i="7"/>
  <c r="BF190" i="7"/>
  <c r="F1022" i="2"/>
  <c r="F978" i="2"/>
  <c r="F1053" i="2"/>
  <c r="BC87" i="14"/>
  <c r="BF46" i="7"/>
  <c r="BE118" i="7"/>
  <c r="BG327" i="7"/>
  <c r="BD163" i="7"/>
  <c r="BD293" i="7"/>
  <c r="BE175" i="7"/>
  <c r="BE294" i="7"/>
  <c r="BF61" i="7"/>
  <c r="BD176" i="7"/>
  <c r="BF103" i="7"/>
  <c r="BE21" i="7"/>
  <c r="BF129" i="7"/>
  <c r="BD38" i="7"/>
  <c r="BD30" i="7"/>
  <c r="BH118" i="7"/>
  <c r="BH327" i="7"/>
  <c r="BE163" i="7"/>
  <c r="BD198" i="7"/>
  <c r="BE283" i="7"/>
  <c r="F1132" i="2"/>
  <c r="H69" i="13"/>
  <c r="BG69" i="13" s="1"/>
  <c r="BF293" i="7"/>
  <c r="BD63" i="7"/>
  <c r="BF175" i="7"/>
  <c r="BF294" i="7"/>
  <c r="BG61" i="7"/>
  <c r="BF176" i="7"/>
  <c r="BG103" i="7"/>
  <c r="BH21" i="7"/>
  <c r="BE70" i="7"/>
  <c r="BD218" i="7"/>
  <c r="BE30" i="7"/>
  <c r="BE155" i="7"/>
  <c r="BH163" i="7"/>
  <c r="BE198" i="7"/>
  <c r="BE195" i="7"/>
  <c r="BG283" i="7"/>
  <c r="BG293" i="7"/>
  <c r="BE63" i="7"/>
  <c r="BG271" i="7"/>
  <c r="BG30" i="7"/>
  <c r="BF198" i="7"/>
  <c r="BH283" i="7"/>
  <c r="BF2" i="7"/>
  <c r="BD130" i="7"/>
  <c r="BH213" i="7"/>
  <c r="BD321" i="7"/>
  <c r="BE302" i="7"/>
  <c r="BC114" i="14"/>
  <c r="BG46" i="13"/>
  <c r="BG75" i="13"/>
  <c r="BG165" i="13"/>
  <c r="BG178" i="13"/>
  <c r="BG5" i="13"/>
  <c r="BC76" i="14"/>
  <c r="BG185" i="13"/>
  <c r="BC122" i="14"/>
  <c r="BG45" i="13"/>
  <c r="BG130" i="13"/>
  <c r="BC25" i="14"/>
  <c r="BG32" i="13"/>
  <c r="BE293" i="7"/>
  <c r="BH262" i="7"/>
  <c r="BH60" i="7"/>
  <c r="BD27" i="7"/>
  <c r="BH130" i="7"/>
  <c r="BD239" i="7"/>
  <c r="BD29" i="7"/>
  <c r="BG198" i="7"/>
  <c r="BC136" i="14"/>
  <c r="BC39" i="14"/>
  <c r="BG53" i="13"/>
  <c r="BG25" i="13"/>
  <c r="BG29" i="13"/>
  <c r="BC24" i="14"/>
  <c r="BE36" i="7"/>
  <c r="BD240" i="7"/>
  <c r="BD155" i="7"/>
  <c r="BF321" i="7"/>
  <c r="BD302" i="7"/>
  <c r="BD194" i="7"/>
  <c r="F1147" i="2"/>
  <c r="BG13" i="13"/>
  <c r="BC53" i="14"/>
  <c r="BC31" i="14"/>
  <c r="BG19" i="13"/>
  <c r="BG24" i="13"/>
  <c r="BG14" i="13"/>
  <c r="BC6" i="14"/>
  <c r="BG99" i="13"/>
  <c r="BC33" i="14"/>
  <c r="BC11" i="14"/>
  <c r="BC36" i="14"/>
  <c r="BG20" i="13"/>
  <c r="BF240" i="7"/>
  <c r="BF155" i="7"/>
  <c r="BH302" i="7"/>
  <c r="BF219" i="7"/>
  <c r="BH240" i="7"/>
  <c r="BH155" i="7"/>
  <c r="BE197" i="7"/>
  <c r="BG157" i="13"/>
  <c r="BG156" i="13"/>
  <c r="BG44" i="13"/>
  <c r="BF302" i="7"/>
  <c r="BC66" i="14"/>
  <c r="BC10" i="14"/>
  <c r="BG58" i="13"/>
  <c r="BD2" i="7"/>
  <c r="BG219" i="7"/>
  <c r="BF197" i="7"/>
  <c r="BC27" i="14"/>
  <c r="BG174" i="13"/>
  <c r="BG43" i="13"/>
  <c r="BC90" i="14"/>
  <c r="BC115" i="14"/>
  <c r="BG60" i="13"/>
  <c r="BG22" i="13"/>
  <c r="BD197" i="7"/>
  <c r="BE2" i="7"/>
  <c r="BE24" i="7"/>
  <c r="BE213" i="7"/>
  <c r="F1074" i="2"/>
  <c r="BG107" i="13"/>
  <c r="BC14" i="14"/>
  <c r="BC63" i="14"/>
  <c r="BC46" i="14"/>
  <c r="BC26" i="14"/>
  <c r="BG73" i="13"/>
  <c r="BC134" i="13"/>
  <c r="BD134" i="13" s="1"/>
  <c r="BC85" i="13"/>
  <c r="BC2" i="13"/>
  <c r="BD2" i="13" s="1"/>
  <c r="BC167" i="13"/>
  <c r="BC150" i="13"/>
  <c r="BD150" i="13" s="1"/>
  <c r="BG71" i="7"/>
  <c r="BH294" i="7"/>
  <c r="BF98" i="7"/>
  <c r="BD275" i="7"/>
  <c r="BF245" i="7"/>
  <c r="H28" i="13"/>
  <c r="BG275" i="7"/>
  <c r="BH131" i="7"/>
  <c r="BD202" i="7"/>
  <c r="BD224" i="7"/>
  <c r="BD177" i="7"/>
  <c r="BD159" i="7"/>
  <c r="BE202" i="7"/>
  <c r="BH224" i="7"/>
  <c r="BD13" i="7"/>
  <c r="BE177" i="7"/>
  <c r="BE159" i="7"/>
  <c r="BE13" i="7"/>
  <c r="BF177" i="7"/>
  <c r="BF159" i="7"/>
  <c r="BE171" i="7"/>
  <c r="BH260" i="7"/>
  <c r="BH171" i="7"/>
  <c r="BD55" i="7"/>
  <c r="BG55" i="7"/>
  <c r="BH55" i="7"/>
  <c r="BD189" i="7"/>
  <c r="BE189" i="7"/>
  <c r="BF231" i="7"/>
  <c r="BH189" i="7"/>
  <c r="BH231" i="7"/>
  <c r="BG216" i="7"/>
  <c r="BE167" i="7"/>
  <c r="BD93" i="7"/>
  <c r="BH93" i="7"/>
  <c r="BF93" i="7"/>
  <c r="BD112" i="7"/>
  <c r="BH157" i="7"/>
  <c r="BD273" i="7"/>
  <c r="BE273" i="7"/>
  <c r="BF273" i="7"/>
  <c r="BG268" i="7"/>
  <c r="F1115" i="2"/>
  <c r="F1173" i="2"/>
  <c r="BF218" i="7"/>
  <c r="BD282" i="7"/>
  <c r="BF195" i="7"/>
  <c r="BE38" i="7"/>
  <c r="BG25" i="7"/>
  <c r="BF21" i="7"/>
  <c r="BG196" i="7"/>
  <c r="BG260" i="7"/>
  <c r="BG21" i="7"/>
  <c r="BE83" i="7"/>
  <c r="F1227" i="2"/>
  <c r="BE55" i="7"/>
  <c r="BD318" i="7"/>
  <c r="BD171" i="7"/>
  <c r="BF189" i="7"/>
  <c r="BE231" i="7"/>
  <c r="BF171" i="7"/>
  <c r="BG231" i="7"/>
  <c r="H117" i="13"/>
  <c r="BG117" i="13" s="1"/>
  <c r="F1220" i="2"/>
  <c r="F1200" i="2"/>
  <c r="F1056" i="2"/>
  <c r="F1178" i="2"/>
  <c r="F1080" i="2"/>
  <c r="H133" i="13"/>
  <c r="F1057" i="2"/>
  <c r="F688" i="2"/>
  <c r="F760" i="2"/>
  <c r="F1068" i="2"/>
  <c r="F1081" i="2"/>
  <c r="H70" i="13"/>
  <c r="BG70" i="13" s="1"/>
  <c r="F1122" i="2"/>
  <c r="F1063" i="2"/>
  <c r="F1073" i="2"/>
  <c r="BC120" i="13"/>
  <c r="BD120" i="13" s="1"/>
  <c r="BC67" i="13"/>
  <c r="BC169" i="13"/>
  <c r="BD169" i="13" s="1"/>
  <c r="BC4" i="13"/>
  <c r="BD4" i="13" s="1"/>
  <c r="BC52" i="13"/>
  <c r="BD52" i="13" s="1"/>
  <c r="BC136" i="13"/>
  <c r="BD136" i="13" s="1"/>
  <c r="BC17" i="13"/>
  <c r="BD17" i="13" s="1"/>
  <c r="BC184" i="13"/>
  <c r="BD184" i="13" s="1"/>
  <c r="BD102" i="7"/>
  <c r="BD82" i="7"/>
  <c r="BE303" i="7"/>
  <c r="BE204" i="7"/>
  <c r="BG303" i="7"/>
  <c r="BE148" i="7"/>
  <c r="BF102" i="7"/>
  <c r="BF148" i="7"/>
  <c r="BG204" i="7"/>
  <c r="BG102" i="7"/>
  <c r="BD271" i="7"/>
  <c r="BD323" i="7"/>
  <c r="BG148" i="7"/>
  <c r="BE271" i="7"/>
  <c r="BC46" i="13"/>
  <c r="BF271" i="7"/>
  <c r="BD283" i="7"/>
  <c r="H68" i="13"/>
  <c r="BG87" i="7"/>
  <c r="F124" i="2"/>
  <c r="BC186" i="13"/>
  <c r="BD186" i="13" s="1"/>
  <c r="BF163" i="7"/>
  <c r="BF160" i="7"/>
  <c r="BG160" i="7"/>
  <c r="BC139" i="13"/>
  <c r="BD139" i="13" s="1"/>
  <c r="BC130" i="13"/>
  <c r="BD130" i="13" s="1"/>
  <c r="BC122" i="13"/>
  <c r="BD122" i="13" s="1"/>
  <c r="BC108" i="13"/>
  <c r="BD108" i="13" s="1"/>
  <c r="BC105" i="13"/>
  <c r="BD105" i="13" s="1"/>
  <c r="BC104" i="13"/>
  <c r="BD104" i="13" s="1"/>
  <c r="BC88" i="13"/>
  <c r="BD88" i="13" s="1"/>
  <c r="BC185" i="13"/>
  <c r="BD185" i="13" s="1"/>
  <c r="BC187" i="13"/>
  <c r="BD187" i="13" s="1"/>
  <c r="BC191" i="13"/>
  <c r="BD191" i="13" s="1"/>
  <c r="BC196" i="13"/>
  <c r="H67" i="13"/>
  <c r="F1027" i="2"/>
  <c r="H82" i="13"/>
  <c r="BG82" i="13" s="1"/>
  <c r="F1054" i="2"/>
  <c r="F995" i="2"/>
  <c r="H66" i="13"/>
  <c r="BG66" i="13" s="1"/>
  <c r="BC162" i="13"/>
  <c r="BD162" i="13" s="1"/>
  <c r="BC109" i="13"/>
  <c r="BD109" i="13" s="1"/>
  <c r="BC117" i="13"/>
  <c r="BD117" i="13" s="1"/>
  <c r="H79" i="13"/>
  <c r="BG79" i="13" s="1"/>
  <c r="F1051" i="2"/>
  <c r="H17" i="13"/>
  <c r="F784" i="2"/>
  <c r="F1001" i="2"/>
  <c r="H51" i="13"/>
  <c r="BG51" i="13" s="1"/>
  <c r="BH193" i="7"/>
  <c r="BG193" i="7"/>
  <c r="BF193" i="7"/>
  <c r="BH247" i="7"/>
  <c r="BG247" i="7"/>
  <c r="AK80" i="13"/>
  <c r="BC80" i="13"/>
  <c r="BD80" i="13" s="1"/>
  <c r="AK27" i="13"/>
  <c r="BC27" i="13"/>
  <c r="BD27" i="13" s="1"/>
  <c r="BG184" i="7"/>
  <c r="BG229" i="7"/>
  <c r="BC101" i="13"/>
  <c r="BD101" i="13" s="1"/>
  <c r="BF307" i="7"/>
  <c r="BE307" i="7"/>
  <c r="BD307" i="7"/>
  <c r="BH134" i="7"/>
  <c r="BG134" i="7"/>
  <c r="F826" i="2"/>
  <c r="F1105" i="2"/>
  <c r="BC31" i="13"/>
  <c r="BD31" i="13" s="1"/>
  <c r="H62" i="13"/>
  <c r="BG62" i="13" s="1"/>
  <c r="F1021" i="2"/>
  <c r="BG305" i="7"/>
  <c r="BF305" i="7"/>
  <c r="BH299" i="7"/>
  <c r="BG299" i="7"/>
  <c r="BF299" i="7"/>
  <c r="BH90" i="7"/>
  <c r="BG90" i="7"/>
  <c r="H8" i="13"/>
  <c r="BG8" i="13" s="1"/>
  <c r="BE169" i="7"/>
  <c r="BD169" i="7"/>
  <c r="F752" i="2"/>
  <c r="BD146" i="7"/>
  <c r="BD278" i="7"/>
  <c r="BG238" i="7"/>
  <c r="BF229" i="7"/>
  <c r="BF259" i="7"/>
  <c r="BH259" i="7"/>
  <c r="F1188" i="2"/>
  <c r="H172" i="13"/>
  <c r="BG172" i="13" s="1"/>
  <c r="H122" i="13"/>
  <c r="F1107" i="2"/>
  <c r="AK144" i="13"/>
  <c r="BC144" i="13"/>
  <c r="BD144" i="13" s="1"/>
  <c r="AK64" i="13"/>
  <c r="BC64" i="13"/>
  <c r="BD64" i="13" s="1"/>
  <c r="BH172" i="7"/>
  <c r="BD136" i="7"/>
  <c r="BF145" i="7"/>
  <c r="BH238" i="7"/>
  <c r="F820" i="2"/>
  <c r="F1108" i="2"/>
  <c r="BE58" i="7"/>
  <c r="BD58" i="7"/>
  <c r="BF146" i="7"/>
  <c r="BE136" i="7"/>
  <c r="BG145" i="7"/>
  <c r="BG266" i="7"/>
  <c r="BD20" i="7"/>
  <c r="BH48" i="7"/>
  <c r="BE90" i="7"/>
  <c r="BH58" i="7"/>
  <c r="BD214" i="7"/>
  <c r="BG177" i="7"/>
  <c r="BH184" i="7"/>
  <c r="BH229" i="7"/>
  <c r="BE224" i="7"/>
  <c r="F1144" i="2"/>
  <c r="F1146" i="2"/>
  <c r="F1213" i="2"/>
  <c r="F973" i="2"/>
  <c r="F851" i="2"/>
  <c r="H23" i="13"/>
  <c r="BG23" i="13" s="1"/>
  <c r="BD129" i="7"/>
  <c r="BE129" i="7"/>
  <c r="BH11" i="7"/>
  <c r="BF11" i="7"/>
  <c r="BE11" i="7"/>
  <c r="BD11" i="7"/>
  <c r="BH298" i="7"/>
  <c r="BG298" i="7"/>
  <c r="BF298" i="7"/>
  <c r="BH289" i="7"/>
  <c r="BG289" i="7"/>
  <c r="BD289" i="7"/>
  <c r="BG252" i="7"/>
  <c r="BE252" i="7"/>
  <c r="BD252" i="7"/>
  <c r="BH252" i="7"/>
  <c r="BF252" i="7"/>
  <c r="BE128" i="7"/>
  <c r="BD128" i="7"/>
  <c r="BH57" i="7"/>
  <c r="BG57" i="7"/>
  <c r="BF57" i="7"/>
  <c r="AK166" i="13"/>
  <c r="BC166" i="13"/>
  <c r="BD166" i="13" s="1"/>
  <c r="F3" i="2"/>
  <c r="BG278" i="7"/>
  <c r="BF278" i="7"/>
  <c r="F695" i="2"/>
  <c r="H11" i="13"/>
  <c r="BG11" i="13" s="1"/>
  <c r="BD184" i="7"/>
  <c r="BD310" i="7"/>
  <c r="BH310" i="7"/>
  <c r="BF310" i="7"/>
  <c r="H196" i="13"/>
  <c r="F1228" i="2"/>
  <c r="BF136" i="7"/>
  <c r="BE20" i="7"/>
  <c r="BD52" i="7"/>
  <c r="BD71" i="7"/>
  <c r="BF224" i="7"/>
  <c r="BC176" i="13"/>
  <c r="BD176" i="13" s="1"/>
  <c r="BC84" i="13"/>
  <c r="BD84" i="13" s="1"/>
  <c r="H187" i="13"/>
  <c r="BG187" i="13" s="1"/>
  <c r="F1214" i="2"/>
  <c r="H64" i="13"/>
  <c r="BG64" i="13" s="1"/>
  <c r="F1023" i="2"/>
  <c r="BH79" i="7"/>
  <c r="BE79" i="7"/>
  <c r="BD79" i="7"/>
  <c r="BE35" i="7"/>
  <c r="BF238" i="7"/>
  <c r="H173" i="13"/>
  <c r="BG173" i="13" s="1"/>
  <c r="F1189" i="2"/>
  <c r="F758" i="2"/>
  <c r="BE146" i="7"/>
  <c r="BH18" i="7"/>
  <c r="BF48" i="7"/>
  <c r="BD90" i="7"/>
  <c r="BG35" i="7"/>
  <c r="F1223" i="2"/>
  <c r="BH45" i="7"/>
  <c r="BG45" i="7"/>
  <c r="BF45" i="7"/>
  <c r="BH202" i="7"/>
  <c r="BG202" i="7"/>
  <c r="H96" i="13"/>
  <c r="BG96" i="13" s="1"/>
  <c r="F1069" i="2"/>
  <c r="BG146" i="7"/>
  <c r="BD131" i="7"/>
  <c r="BE214" i="7"/>
  <c r="F1199" i="2"/>
  <c r="F1020" i="2"/>
  <c r="F835" i="2"/>
  <c r="H121" i="13"/>
  <c r="BG136" i="7"/>
  <c r="BE291" i="7"/>
  <c r="BD3" i="7"/>
  <c r="BG20" i="7"/>
  <c r="BE52" i="7"/>
  <c r="BF71" i="7"/>
  <c r="BE131" i="7"/>
  <c r="BF214" i="7"/>
  <c r="BE310" i="7"/>
  <c r="BD77" i="7"/>
  <c r="F1018" i="2"/>
  <c r="F816" i="2"/>
  <c r="H83" i="13"/>
  <c r="F1055" i="2"/>
  <c r="BF248" i="7"/>
  <c r="BE248" i="7"/>
  <c r="F1203" i="2"/>
  <c r="BG18" i="7"/>
  <c r="BF35" i="7"/>
  <c r="F877" i="2"/>
  <c r="BH246" i="7"/>
  <c r="BF246" i="7"/>
  <c r="F804" i="2"/>
  <c r="H21" i="13"/>
  <c r="BG21" i="13" s="1"/>
  <c r="BF169" i="7"/>
  <c r="BG52" i="7"/>
  <c r="BG214" i="7"/>
  <c r="BF77" i="7"/>
  <c r="BD193" i="7"/>
  <c r="BD299" i="7"/>
  <c r="F1017" i="2"/>
  <c r="H118" i="13"/>
  <c r="BD326" i="7"/>
  <c r="BG326" i="7"/>
  <c r="BF326" i="7"/>
  <c r="BE326" i="7"/>
  <c r="BH165" i="7"/>
  <c r="BG165" i="7"/>
  <c r="BF165" i="7"/>
  <c r="BE165" i="7"/>
  <c r="BH125" i="7"/>
  <c r="BG125" i="7"/>
  <c r="BG33" i="7"/>
  <c r="BH33" i="7"/>
  <c r="BF33" i="7"/>
  <c r="BH232" i="7"/>
  <c r="BD232" i="7"/>
  <c r="BH286" i="7"/>
  <c r="BE286" i="7"/>
  <c r="BG241" i="7"/>
  <c r="BF241" i="7"/>
  <c r="BD241" i="7"/>
  <c r="BG167" i="7"/>
  <c r="BH167" i="7"/>
  <c r="BH112" i="7"/>
  <c r="BG112" i="7"/>
  <c r="BG117" i="7"/>
  <c r="BE117" i="7"/>
  <c r="BD117" i="7"/>
  <c r="F1221" i="2"/>
  <c r="H192" i="13"/>
  <c r="BG192" i="13" s="1"/>
  <c r="F1179" i="2"/>
  <c r="H166" i="13"/>
  <c r="BG166" i="13" s="1"/>
  <c r="F1136" i="2"/>
  <c r="BG3" i="7"/>
  <c r="BH52" i="7"/>
  <c r="BH71" i="7"/>
  <c r="BG77" i="7"/>
  <c r="BE193" i="7"/>
  <c r="BG246" i="7"/>
  <c r="BE299" i="7"/>
  <c r="F1016" i="2"/>
  <c r="F807" i="2"/>
  <c r="H115" i="13"/>
  <c r="AK7" i="13"/>
  <c r="BG172" i="7"/>
  <c r="BG169" i="7"/>
  <c r="BH169" i="7"/>
  <c r="BD6" i="7"/>
  <c r="BH77" i="7"/>
  <c r="BD247" i="7"/>
  <c r="BG324" i="7"/>
  <c r="BF324" i="7"/>
  <c r="BE324" i="7"/>
  <c r="BE304" i="7"/>
  <c r="BD304" i="7"/>
  <c r="BE142" i="7"/>
  <c r="BD142" i="7"/>
  <c r="BF151" i="7"/>
  <c r="BF209" i="7"/>
  <c r="BE6" i="7"/>
  <c r="BE260" i="7"/>
  <c r="BE255" i="7"/>
  <c r="BD248" i="7"/>
  <c r="BE247" i="7"/>
  <c r="BG304" i="7"/>
  <c r="F1096" i="2"/>
  <c r="F1207" i="2"/>
  <c r="BC102" i="13"/>
  <c r="BD102" i="13" s="1"/>
  <c r="H12" i="13"/>
  <c r="BE145" i="7"/>
  <c r="BD145" i="7"/>
  <c r="BC49" i="13"/>
  <c r="BG138" i="7"/>
  <c r="BE229" i="7"/>
  <c r="F794" i="2"/>
  <c r="BF184" i="7"/>
  <c r="F1190" i="2"/>
  <c r="H9" i="13"/>
  <c r="BG9" i="13" s="1"/>
  <c r="BD260" i="7"/>
  <c r="H126" i="13"/>
  <c r="BG222" i="7"/>
  <c r="BF222" i="7"/>
  <c r="BF142" i="7"/>
  <c r="BD149" i="7"/>
  <c r="BF6" i="7"/>
  <c r="BD269" i="7"/>
  <c r="BD305" i="7"/>
  <c r="BF255" i="7"/>
  <c r="BG248" i="7"/>
  <c r="BD101" i="7"/>
  <c r="BF247" i="7"/>
  <c r="BH304" i="7"/>
  <c r="F1170" i="2"/>
  <c r="F1078" i="2"/>
  <c r="H89" i="13"/>
  <c r="BG89" i="13" s="1"/>
  <c r="BC47" i="13"/>
  <c r="BC148" i="13"/>
  <c r="BD148" i="13" s="1"/>
  <c r="BC99" i="13"/>
  <c r="F1126" i="2"/>
  <c r="BH211" i="7"/>
  <c r="BG211" i="7"/>
  <c r="BG236" i="7"/>
  <c r="BF236" i="7"/>
  <c r="F1142" i="2"/>
  <c r="H145" i="13"/>
  <c r="BG145" i="13" s="1"/>
  <c r="F885" i="2"/>
  <c r="BC149" i="13"/>
  <c r="BD149" i="13" s="1"/>
  <c r="H35" i="13"/>
  <c r="F934" i="2"/>
  <c r="AK90" i="13"/>
  <c r="AL90" i="13" s="1"/>
  <c r="BC90" i="13"/>
  <c r="BD90" i="13" s="1"/>
  <c r="BC11" i="13"/>
  <c r="BD11" i="13" s="1"/>
  <c r="BC26" i="13"/>
  <c r="F1119" i="2"/>
  <c r="BC197" i="13"/>
  <c r="BD197" i="13" s="1"/>
  <c r="H137" i="13"/>
  <c r="BG137" i="13" s="1"/>
  <c r="F1125" i="2"/>
  <c r="BC65" i="13"/>
  <c r="BD65" i="13" s="1"/>
  <c r="BG319" i="7"/>
  <c r="BH319" i="7"/>
  <c r="BC38" i="13"/>
  <c r="BD38" i="13" s="1"/>
  <c r="BC107" i="13"/>
  <c r="BD107" i="13" s="1"/>
  <c r="BG243" i="7"/>
  <c r="BF243" i="7"/>
  <c r="BF53" i="7"/>
  <c r="BE53" i="7"/>
  <c r="BC16" i="13"/>
  <c r="BD16" i="13" s="1"/>
  <c r="BC179" i="13"/>
  <c r="BD179" i="13" s="1"/>
  <c r="BC106" i="13"/>
  <c r="BD106" i="13" s="1"/>
  <c r="BC23" i="13"/>
  <c r="BD23" i="13" s="1"/>
  <c r="BC6" i="13"/>
  <c r="BD6" i="13" s="1"/>
  <c r="BC118" i="13"/>
  <c r="BD118" i="13" s="1"/>
  <c r="BC160" i="13"/>
  <c r="BD160" i="13" s="1"/>
  <c r="BC12" i="13"/>
  <c r="BC163" i="13"/>
  <c r="BD163" i="13" s="1"/>
  <c r="BC133" i="13"/>
  <c r="BD133" i="13" s="1"/>
  <c r="BC97" i="13"/>
  <c r="BD97" i="13" s="1"/>
  <c r="BC10" i="13"/>
  <c r="BD10" i="13" s="1"/>
  <c r="BC161" i="13"/>
  <c r="BD161" i="13" s="1"/>
  <c r="BC132" i="13"/>
  <c r="BD132" i="13" s="1"/>
  <c r="BC13" i="13"/>
  <c r="BD13" i="13" s="1"/>
  <c r="AK194" i="13"/>
  <c r="BC178" i="13"/>
  <c r="BD178" i="13" s="1"/>
  <c r="BC164" i="13"/>
  <c r="BC145" i="13"/>
  <c r="BD145" i="13" s="1"/>
  <c r="BC131" i="13"/>
  <c r="BD131" i="13" s="1"/>
  <c r="BC81" i="13"/>
  <c r="BD81" i="13" s="1"/>
  <c r="BC68" i="13"/>
  <c r="BD68" i="13" s="1"/>
  <c r="BC180" i="13"/>
  <c r="BD180" i="13" s="1"/>
  <c r="AK67" i="13"/>
  <c r="BC66" i="13"/>
  <c r="BD66" i="13" s="1"/>
  <c r="BC14" i="13"/>
  <c r="BD14" i="13" s="1"/>
  <c r="BC100" i="13"/>
  <c r="BC116" i="13"/>
  <c r="BD116" i="13" s="1"/>
  <c r="BC147" i="13"/>
  <c r="BC83" i="13"/>
  <c r="AK181" i="13"/>
  <c r="BD212" i="7"/>
  <c r="H26" i="13"/>
  <c r="BG26" i="13" s="1"/>
  <c r="AK96" i="13"/>
  <c r="BE262" i="7"/>
  <c r="BF215" i="7"/>
  <c r="BD60" i="7"/>
  <c r="BG212" i="7"/>
  <c r="BF29" i="7"/>
  <c r="H31" i="13"/>
  <c r="BG31" i="13" s="1"/>
  <c r="BF212" i="7"/>
  <c r="BE29" i="7"/>
  <c r="F1058" i="2"/>
  <c r="BF262" i="7"/>
  <c r="BE60" i="7"/>
  <c r="F949" i="2"/>
  <c r="AK193" i="13"/>
  <c r="BD36" i="7"/>
  <c r="BE239" i="7"/>
  <c r="BD109" i="7"/>
  <c r="BC152" i="13"/>
  <c r="BD152" i="13" s="1"/>
  <c r="BF152" i="7"/>
  <c r="BD24" i="7"/>
  <c r="BE110" i="7"/>
  <c r="BG109" i="7"/>
  <c r="BD242" i="7"/>
  <c r="BE194" i="7"/>
  <c r="F1160" i="2"/>
  <c r="BC124" i="13"/>
  <c r="BD124" i="13" s="1"/>
  <c r="BC15" i="13"/>
  <c r="BD15" i="13" s="1"/>
  <c r="BC138" i="13"/>
  <c r="BD138" i="13" s="1"/>
  <c r="BC183" i="13"/>
  <c r="BD183" i="13" s="1"/>
  <c r="BG152" i="7"/>
  <c r="BD81" i="7"/>
  <c r="BD251" i="7"/>
  <c r="BF194" i="7"/>
  <c r="BE27" i="7"/>
  <c r="BE81" i="7"/>
  <c r="BG194" i="7"/>
  <c r="BE168" i="7"/>
  <c r="BG24" i="7"/>
  <c r="BH182" i="7"/>
  <c r="BF27" i="7"/>
  <c r="BH110" i="7"/>
  <c r="BF81" i="7"/>
  <c r="BF251" i="7"/>
  <c r="BC168" i="13"/>
  <c r="BD168" i="13" s="1"/>
  <c r="BF168" i="7"/>
  <c r="BH24" i="7"/>
  <c r="BG27" i="7"/>
  <c r="BG81" i="7"/>
  <c r="BG251" i="7"/>
  <c r="BC110" i="13"/>
  <c r="BD110" i="13" s="1"/>
  <c r="H151" i="13"/>
  <c r="BG151" i="13" s="1"/>
  <c r="BC30" i="13"/>
  <c r="BD30" i="13" s="1"/>
  <c r="BD168" i="7"/>
  <c r="F1009" i="2"/>
  <c r="BG182" i="7"/>
  <c r="BH242" i="7"/>
  <c r="BE251" i="7"/>
  <c r="BG168" i="7"/>
  <c r="BH263" i="7"/>
  <c r="BG263" i="7"/>
  <c r="BF263" i="7"/>
  <c r="BD263" i="7"/>
  <c r="BH153" i="7"/>
  <c r="BG153" i="7"/>
  <c r="BF153" i="7"/>
  <c r="BD153" i="7"/>
  <c r="BH311" i="7"/>
  <c r="BG311" i="7"/>
  <c r="BE311" i="7"/>
  <c r="BG292" i="7"/>
  <c r="BH292" i="7"/>
  <c r="BF292" i="7"/>
  <c r="BE292" i="7"/>
  <c r="BE40" i="7"/>
  <c r="BD40" i="7"/>
  <c r="BF179" i="7"/>
  <c r="BE179" i="7"/>
  <c r="BG253" i="7"/>
  <c r="BF253" i="7"/>
  <c r="BE253" i="7"/>
  <c r="BG12" i="7"/>
  <c r="BF12" i="7"/>
  <c r="BE12" i="7"/>
  <c r="BH261" i="7"/>
  <c r="BG261" i="7"/>
  <c r="BF261" i="7"/>
  <c r="BD261" i="7"/>
  <c r="BG5" i="7"/>
  <c r="BF5" i="7"/>
  <c r="BE5" i="7"/>
  <c r="BH178" i="7"/>
  <c r="BF178" i="7"/>
  <c r="BH147" i="7"/>
  <c r="BG147" i="7"/>
  <c r="BE147" i="7"/>
  <c r="BH186" i="7"/>
  <c r="BG186" i="7"/>
  <c r="BE186" i="7"/>
  <c r="BE140" i="7"/>
  <c r="BD140" i="7"/>
  <c r="BG78" i="7"/>
  <c r="BF78" i="7"/>
  <c r="BE78" i="7"/>
  <c r="BH38" i="7"/>
  <c r="BF38" i="7"/>
  <c r="BH309" i="7"/>
  <c r="BG309" i="7"/>
  <c r="BF233" i="7"/>
  <c r="BE233" i="7"/>
  <c r="BD233" i="7"/>
  <c r="BG249" i="7"/>
  <c r="BH249" i="7"/>
  <c r="BG174" i="7"/>
  <c r="BF174" i="7"/>
  <c r="F1093" i="2"/>
  <c r="H114" i="13"/>
  <c r="BG114" i="13" s="1"/>
  <c r="BG223" i="7"/>
  <c r="BF223" i="7"/>
  <c r="BE223" i="7"/>
  <c r="BH44" i="7"/>
  <c r="BG44" i="7"/>
  <c r="BF44" i="7"/>
  <c r="BD44" i="7"/>
  <c r="BE226" i="7"/>
  <c r="BD226" i="7"/>
  <c r="BG205" i="7"/>
  <c r="BF205" i="7"/>
  <c r="BE205" i="7"/>
  <c r="F624" i="2"/>
  <c r="H15" i="13"/>
  <c r="F770" i="2"/>
  <c r="BG66" i="7"/>
  <c r="BF66" i="7"/>
  <c r="BE66" i="7"/>
  <c r="BH8" i="7"/>
  <c r="BG8" i="7"/>
  <c r="BE8" i="7"/>
  <c r="BG232" i="7"/>
  <c r="BF232" i="7"/>
  <c r="BE232" i="7"/>
  <c r="BF268" i="7"/>
  <c r="BE268" i="7"/>
  <c r="BD268" i="7"/>
  <c r="BH117" i="7"/>
  <c r="BF117" i="7"/>
  <c r="F1036" i="2"/>
  <c r="H72" i="13"/>
  <c r="BG72" i="13" s="1"/>
  <c r="F1061" i="2"/>
  <c r="H88" i="13"/>
  <c r="BG88" i="13" s="1"/>
  <c r="BH115" i="7"/>
  <c r="BG115" i="7"/>
  <c r="BF115" i="7"/>
  <c r="BD115" i="7"/>
  <c r="BH86" i="7"/>
  <c r="BF86" i="7"/>
  <c r="BH62" i="7"/>
  <c r="BG62" i="7"/>
  <c r="BF62" i="7"/>
  <c r="BD62" i="7"/>
  <c r="BH312" i="7"/>
  <c r="BG312" i="7"/>
  <c r="BF312" i="7"/>
  <c r="BD312" i="7"/>
  <c r="BE219" i="7"/>
  <c r="BD219" i="7"/>
  <c r="BG49" i="7"/>
  <c r="BF49" i="7"/>
  <c r="H132" i="13"/>
  <c r="BG132" i="13" s="1"/>
  <c r="F1120" i="2"/>
  <c r="AK129" i="13"/>
  <c r="BC192" i="13"/>
  <c r="BD192" i="13" s="1"/>
  <c r="BC190" i="13"/>
  <c r="BD190" i="13" s="1"/>
  <c r="AK115" i="13"/>
  <c r="AK188" i="13"/>
  <c r="H120" i="13"/>
  <c r="BG120" i="13" s="1"/>
  <c r="F1191" i="2"/>
  <c r="BF203" i="7"/>
  <c r="F1066" i="2"/>
  <c r="H155" i="13"/>
  <c r="BG155" i="13" s="1"/>
  <c r="BD14" i="7"/>
  <c r="BE113" i="7"/>
  <c r="BE259" i="7"/>
  <c r="BF14" i="7"/>
  <c r="BH315" i="7"/>
  <c r="BD246" i="7"/>
  <c r="BD259" i="7"/>
  <c r="BG315" i="7"/>
  <c r="BH14" i="7"/>
  <c r="BD48" i="7"/>
  <c r="BE246" i="7"/>
  <c r="F1082" i="2"/>
  <c r="F1084" i="2"/>
  <c r="AK195" i="13"/>
  <c r="AK58" i="13"/>
  <c r="BD58" i="13" s="1"/>
  <c r="BC182" i="13"/>
  <c r="BD182" i="13" s="1"/>
  <c r="BC92" i="13"/>
  <c r="BD92" i="13" s="1"/>
  <c r="BD104" i="7"/>
  <c r="BG56" i="7"/>
  <c r="BD308" i="7"/>
  <c r="BE99" i="7"/>
  <c r="BF104" i="7"/>
  <c r="BG132" i="7"/>
  <c r="BD277" i="7"/>
  <c r="BE56" i="7"/>
  <c r="BD132" i="7"/>
  <c r="H169" i="13"/>
  <c r="BG169" i="13" s="1"/>
  <c r="BE308" i="7"/>
  <c r="BG99" i="7"/>
  <c r="BG104" i="7"/>
  <c r="BH132" i="7"/>
  <c r="BE277" i="7"/>
  <c r="BD74" i="7"/>
  <c r="F1086" i="2"/>
  <c r="AK71" i="13"/>
  <c r="BE74" i="7"/>
  <c r="BE104" i="7"/>
  <c r="BF308" i="7"/>
  <c r="BG308" i="7"/>
  <c r="BG74" i="7"/>
  <c r="BG181" i="7"/>
  <c r="BG227" i="7"/>
  <c r="BE227" i="7"/>
  <c r="BH85" i="7"/>
  <c r="BG277" i="7"/>
  <c r="BH277" i="7"/>
  <c r="BE315" i="7"/>
  <c r="F880" i="2"/>
  <c r="BE85" i="7"/>
  <c r="BF181" i="7"/>
  <c r="BD315" i="7"/>
  <c r="AK61" i="13"/>
  <c r="AK128" i="13"/>
  <c r="AK148" i="13"/>
  <c r="AK42" i="13"/>
  <c r="AK105" i="13"/>
  <c r="AK48" i="13"/>
  <c r="BD48" i="13" s="1"/>
  <c r="AK46" i="13"/>
  <c r="AK47" i="13"/>
  <c r="AK50" i="13"/>
  <c r="AK112" i="13"/>
  <c r="BH281" i="7"/>
  <c r="BG281" i="7"/>
  <c r="BE281" i="7"/>
  <c r="BD281" i="7"/>
  <c r="BF281" i="7"/>
  <c r="BG265" i="7"/>
  <c r="BF265" i="7"/>
  <c r="BD265" i="7"/>
  <c r="BE265" i="7"/>
  <c r="BH183" i="7"/>
  <c r="BG183" i="7"/>
  <c r="BE183" i="7"/>
  <c r="BD183" i="7"/>
  <c r="BF183" i="7"/>
  <c r="BH100" i="7"/>
  <c r="BF100" i="7"/>
  <c r="BG100" i="7"/>
  <c r="BE100" i="7"/>
  <c r="BG64" i="7"/>
  <c r="BF64" i="7"/>
  <c r="BD64" i="7"/>
  <c r="BE64" i="7"/>
  <c r="BF31" i="7"/>
  <c r="BE31" i="7"/>
  <c r="BG31" i="7"/>
  <c r="BD31" i="7"/>
  <c r="BE274" i="7"/>
  <c r="BD274" i="7"/>
  <c r="BH274" i="7"/>
  <c r="BF274" i="7"/>
  <c r="BD270" i="7"/>
  <c r="BH270" i="7"/>
  <c r="BG270" i="7"/>
  <c r="BF270" i="7"/>
  <c r="BE270" i="7"/>
  <c r="BG43" i="7"/>
  <c r="BF43" i="7"/>
  <c r="BD43" i="7"/>
  <c r="BH43" i="7"/>
  <c r="BH225" i="7"/>
  <c r="BG225" i="7"/>
  <c r="BE225" i="7"/>
  <c r="BD225" i="7"/>
  <c r="BF225" i="7"/>
  <c r="BH17" i="7"/>
  <c r="BG17" i="7"/>
  <c r="BE17" i="7"/>
  <c r="BF17" i="7"/>
  <c r="BD17" i="7"/>
  <c r="BH123" i="7"/>
  <c r="BG123" i="7"/>
  <c r="BE123" i="7"/>
  <c r="BF123" i="7"/>
  <c r="BH116" i="7"/>
  <c r="BF116" i="7"/>
  <c r="BE116" i="7"/>
  <c r="BD116" i="7"/>
  <c r="BG116" i="7"/>
  <c r="BD123" i="7"/>
  <c r="BG314" i="7"/>
  <c r="BF314" i="7"/>
  <c r="BE314" i="7"/>
  <c r="BH314" i="7"/>
  <c r="BD208" i="7"/>
  <c r="BG208" i="7"/>
  <c r="BF208" i="7"/>
  <c r="BE208" i="7"/>
  <c r="BH137" i="7"/>
  <c r="BF137" i="7"/>
  <c r="BD137" i="7"/>
  <c r="BG137" i="7"/>
  <c r="BE137" i="7"/>
  <c r="BF120" i="7"/>
  <c r="BE120" i="7"/>
  <c r="BG120" i="7"/>
  <c r="BD120" i="7"/>
  <c r="BF76" i="7"/>
  <c r="BE76" i="7"/>
  <c r="BH76" i="7"/>
  <c r="BG76" i="7"/>
  <c r="BE15" i="7"/>
  <c r="BD15" i="7"/>
  <c r="BH15" i="7"/>
  <c r="BF15" i="7"/>
  <c r="BG313" i="7"/>
  <c r="BF313" i="7"/>
  <c r="BD313" i="7"/>
  <c r="BH313" i="7"/>
  <c r="BE313" i="7"/>
  <c r="BG300" i="7"/>
  <c r="BF300" i="7"/>
  <c r="BE300" i="7"/>
  <c r="BH300" i="7"/>
  <c r="BH284" i="7"/>
  <c r="BG284" i="7"/>
  <c r="BE284" i="7"/>
  <c r="BD284" i="7"/>
  <c r="BH258" i="7"/>
  <c r="BF258" i="7"/>
  <c r="BG258" i="7"/>
  <c r="BE258" i="7"/>
  <c r="BG114" i="7"/>
  <c r="BE114" i="7"/>
  <c r="BF114" i="7"/>
  <c r="BD114" i="7"/>
  <c r="BD191" i="7"/>
  <c r="BH191" i="7"/>
  <c r="BG191" i="7"/>
  <c r="BE191" i="7"/>
  <c r="BF170" i="7"/>
  <c r="BE170" i="7"/>
  <c r="BH170" i="7"/>
  <c r="BG170" i="7"/>
  <c r="BD170" i="7"/>
  <c r="BF42" i="7"/>
  <c r="BE42" i="7"/>
  <c r="BH42" i="7"/>
  <c r="BD42" i="7"/>
  <c r="BG42" i="7"/>
  <c r="BG15" i="7"/>
  <c r="BF284" i="7"/>
  <c r="BE235" i="7"/>
  <c r="BD235" i="7"/>
  <c r="BH235" i="7"/>
  <c r="BG235" i="7"/>
  <c r="BF235" i="7"/>
  <c r="BF162" i="7"/>
  <c r="BE162" i="7"/>
  <c r="BH162" i="7"/>
  <c r="BD162" i="7"/>
  <c r="BF91" i="7"/>
  <c r="BE91" i="7"/>
  <c r="BH91" i="7"/>
  <c r="BG91" i="7"/>
  <c r="BD91" i="7"/>
  <c r="BE51" i="7"/>
  <c r="BD51" i="7"/>
  <c r="BH51" i="7"/>
  <c r="BF51" i="7"/>
  <c r="BH290" i="7"/>
  <c r="BF290" i="7"/>
  <c r="BE290" i="7"/>
  <c r="BD290" i="7"/>
  <c r="BG107" i="7"/>
  <c r="BE107" i="7"/>
  <c r="BH107" i="7"/>
  <c r="BF107" i="7"/>
  <c r="BD107" i="7"/>
  <c r="BG250" i="7"/>
  <c r="BF250" i="7"/>
  <c r="BE250" i="7"/>
  <c r="BH250" i="7"/>
  <c r="BG228" i="7"/>
  <c r="BF228" i="7"/>
  <c r="BE228" i="7"/>
  <c r="BH228" i="7"/>
  <c r="BD228" i="7"/>
  <c r="BH143" i="7"/>
  <c r="BG143" i="7"/>
  <c r="BE143" i="7"/>
  <c r="BF143" i="7"/>
  <c r="BE84" i="7"/>
  <c r="BD84" i="7"/>
  <c r="BH84" i="7"/>
  <c r="BG84" i="7"/>
  <c r="BF84" i="7"/>
  <c r="BG150" i="7"/>
  <c r="BF150" i="7"/>
  <c r="BD150" i="7"/>
  <c r="BE150" i="7"/>
  <c r="BD258" i="7"/>
  <c r="BD143" i="7"/>
  <c r="BD314" i="7"/>
  <c r="BH114" i="7"/>
  <c r="BH208" i="7"/>
  <c r="BG274" i="7"/>
  <c r="BH31" i="7"/>
  <c r="BD76" i="7"/>
  <c r="BG323" i="7"/>
  <c r="BF323" i="7"/>
  <c r="BE323" i="7"/>
  <c r="BH316" i="7"/>
  <c r="BG316" i="7"/>
  <c r="BE316" i="7"/>
  <c r="BD316" i="7"/>
  <c r="BG217" i="7"/>
  <c r="BF217" i="7"/>
  <c r="BE217" i="7"/>
  <c r="BG192" i="7"/>
  <c r="BF192" i="7"/>
  <c r="BD192" i="7"/>
  <c r="BD166" i="7"/>
  <c r="BH166" i="7"/>
  <c r="BG166" i="7"/>
  <c r="BG141" i="7"/>
  <c r="BE141" i="7"/>
  <c r="BD126" i="7"/>
  <c r="BG126" i="7"/>
  <c r="BH108" i="7"/>
  <c r="BF108" i="7"/>
  <c r="BE108" i="7"/>
  <c r="BD108" i="7"/>
  <c r="BD94" i="7"/>
  <c r="BG94" i="7"/>
  <c r="BG80" i="7"/>
  <c r="BF80" i="7"/>
  <c r="BE80" i="7"/>
  <c r="BH67" i="7"/>
  <c r="BF67" i="7"/>
  <c r="BH54" i="7"/>
  <c r="BG54" i="7"/>
  <c r="BE54" i="7"/>
  <c r="BD54" i="7"/>
  <c r="BG39" i="7"/>
  <c r="BF39" i="7"/>
  <c r="BE39" i="7"/>
  <c r="BH23" i="7"/>
  <c r="BF23" i="7"/>
  <c r="BD23" i="7"/>
  <c r="BH9" i="7"/>
  <c r="BF9" i="7"/>
  <c r="BF237" i="7"/>
  <c r="BE237" i="7"/>
  <c r="BH306" i="7"/>
  <c r="BG306" i="7"/>
  <c r="BE306" i="7"/>
  <c r="BD301" i="7"/>
  <c r="BH301" i="7"/>
  <c r="BG301" i="7"/>
  <c r="BG113" i="7"/>
  <c r="BF113" i="7"/>
  <c r="BD113" i="7"/>
  <c r="BD28" i="7"/>
  <c r="BH28" i="7"/>
  <c r="BG28" i="7"/>
  <c r="BH297" i="7"/>
  <c r="BG297" i="7"/>
  <c r="BE297" i="7"/>
  <c r="BD297" i="7"/>
  <c r="BF288" i="7"/>
  <c r="BE288" i="7"/>
  <c r="BH40" i="7"/>
  <c r="BG40" i="7"/>
  <c r="BF40" i="7"/>
  <c r="BG272" i="7"/>
  <c r="BF272" i="7"/>
  <c r="BE272" i="7"/>
  <c r="BD179" i="7"/>
  <c r="BH179" i="7"/>
  <c r="BG179" i="7"/>
  <c r="BD16" i="7"/>
  <c r="BG16" i="7"/>
  <c r="BH254" i="7"/>
  <c r="BG254" i="7"/>
  <c r="BE254" i="7"/>
  <c r="BD254" i="7"/>
  <c r="BD245" i="7"/>
  <c r="BH245" i="7"/>
  <c r="BG245" i="7"/>
  <c r="BE209" i="7"/>
  <c r="BD209" i="7"/>
  <c r="BH209" i="7"/>
  <c r="BG256" i="7"/>
  <c r="BE256" i="7"/>
  <c r="BE37" i="7"/>
  <c r="BD37" i="7"/>
  <c r="BH37" i="7"/>
  <c r="BE215" i="7"/>
  <c r="BD215" i="7"/>
  <c r="BH215" i="7"/>
  <c r="BE203" i="7"/>
  <c r="BD203" i="7"/>
  <c r="BH203" i="7"/>
  <c r="BE46" i="7"/>
  <c r="BD46" i="7"/>
  <c r="BH46" i="7"/>
  <c r="BH188" i="7"/>
  <c r="BF188" i="7"/>
  <c r="BE188" i="7"/>
  <c r="BD188" i="7"/>
  <c r="BH122" i="7"/>
  <c r="BF122" i="7"/>
  <c r="BF172" i="7"/>
  <c r="BE172" i="7"/>
  <c r="BG157" i="7"/>
  <c r="BF157" i="7"/>
  <c r="BD157" i="7"/>
  <c r="BH282" i="7"/>
  <c r="BG282" i="7"/>
  <c r="BF282" i="7"/>
  <c r="BG230" i="7"/>
  <c r="BF230" i="7"/>
  <c r="BE230" i="7"/>
  <c r="BH73" i="7"/>
  <c r="BF73" i="7"/>
  <c r="BF63" i="7"/>
  <c r="BD99" i="7"/>
  <c r="BD291" i="7"/>
  <c r="BE14" i="7"/>
  <c r="BD204" i="7"/>
  <c r="BE257" i="7"/>
  <c r="BF20" i="7"/>
  <c r="BE48" i="7"/>
  <c r="BH87" i="7"/>
  <c r="BF90" i="7"/>
  <c r="BE278" i="7"/>
  <c r="BD56" i="7"/>
  <c r="BD309" i="7"/>
  <c r="BG310" i="7"/>
  <c r="BF30" i="7"/>
  <c r="BF74" i="7"/>
  <c r="BH181" i="7"/>
  <c r="BE242" i="7"/>
  <c r="BG190" i="7"/>
  <c r="BE200" i="7"/>
  <c r="BH244" i="7"/>
  <c r="BE322" i="7"/>
  <c r="BH160" i="7"/>
  <c r="BD227" i="7"/>
  <c r="BF99" i="7"/>
  <c r="BF291" i="7"/>
  <c r="BF204" i="7"/>
  <c r="BE264" i="7"/>
  <c r="BE19" i="7"/>
  <c r="BD85" i="7"/>
  <c r="BD182" i="7"/>
  <c r="BF56" i="7"/>
  <c r="BE269" i="7"/>
  <c r="BF309" i="7"/>
  <c r="BD34" i="7"/>
  <c r="BE82" i="7"/>
  <c r="BD118" i="7"/>
  <c r="BD319" i="7"/>
  <c r="BF227" i="7"/>
  <c r="BD249" i="7"/>
  <c r="BG264" i="7"/>
  <c r="BF85" i="7"/>
  <c r="BD87" i="7"/>
  <c r="BE132" i="7"/>
  <c r="BG269" i="7"/>
  <c r="BE280" i="7"/>
  <c r="BF34" i="7"/>
  <c r="BG82" i="7"/>
  <c r="BF118" i="7"/>
  <c r="BD181" i="7"/>
  <c r="BF319" i="7"/>
  <c r="BD244" i="7"/>
  <c r="BD160" i="7"/>
  <c r="BF249" i="7"/>
  <c r="AK19" i="13"/>
  <c r="AK93" i="13"/>
  <c r="AK94" i="13"/>
  <c r="AK100" i="13"/>
  <c r="AK167" i="13"/>
  <c r="AK28" i="13"/>
  <c r="AK114" i="13"/>
  <c r="AK136" i="13"/>
  <c r="AK143" i="13"/>
  <c r="AK164" i="13"/>
  <c r="AK34" i="13"/>
  <c r="AK36" i="13"/>
  <c r="AK37" i="13"/>
  <c r="AK51" i="13"/>
  <c r="AK53" i="13"/>
  <c r="AK83" i="13"/>
  <c r="AK84" i="13"/>
  <c r="AK85" i="13"/>
  <c r="AK87" i="13"/>
  <c r="BD87" i="13" s="1"/>
  <c r="AK147" i="13"/>
  <c r="AK155" i="13"/>
  <c r="AK156" i="13"/>
  <c r="AK174" i="13"/>
  <c r="AK12" i="13"/>
  <c r="AK18" i="13"/>
  <c r="AK20" i="13"/>
  <c r="AK24" i="13"/>
  <c r="AK25" i="13"/>
  <c r="AK26" i="13"/>
  <c r="AK29" i="13"/>
  <c r="BD29" i="13" s="1"/>
  <c r="AK33" i="13"/>
  <c r="AK35" i="13"/>
  <c r="AK44" i="13"/>
  <c r="AK49" i="13"/>
  <c r="AK98" i="13"/>
  <c r="AK99" i="13"/>
  <c r="AK107" i="13"/>
  <c r="AK157" i="13"/>
  <c r="AK159" i="13"/>
  <c r="AK173" i="13"/>
  <c r="AK176" i="13"/>
  <c r="BC7" i="13"/>
  <c r="BC33" i="13"/>
  <c r="BC35" i="13"/>
  <c r="BD35" i="13" s="1"/>
  <c r="B42" i="13"/>
  <c r="D42" i="13"/>
  <c r="E42" i="13" s="1"/>
  <c r="G42" i="13"/>
  <c r="H42" i="13"/>
  <c r="BD129" i="13" l="1"/>
  <c r="BD37" i="13"/>
  <c r="BD36" i="13"/>
  <c r="BD25" i="13"/>
  <c r="BD28" i="13"/>
  <c r="BD156" i="13"/>
  <c r="BD19" i="13"/>
  <c r="BD159" i="13"/>
  <c r="BD94" i="13"/>
  <c r="BD155" i="13"/>
  <c r="BD173" i="13"/>
  <c r="BD20" i="13"/>
  <c r="BD93" i="13"/>
  <c r="BD98" i="13"/>
  <c r="BD44" i="13"/>
  <c r="BD24" i="13"/>
  <c r="BD143" i="13"/>
  <c r="BD157" i="13"/>
  <c r="BD114" i="13"/>
  <c r="BD51" i="13"/>
  <c r="BD167" i="13"/>
  <c r="BD34" i="13"/>
  <c r="BD71" i="13"/>
  <c r="BD50" i="13"/>
  <c r="BD18" i="13"/>
  <c r="BD112" i="13"/>
  <c r="BD53" i="13"/>
  <c r="BD196" i="13"/>
  <c r="BD67" i="13"/>
  <c r="BD46" i="13"/>
  <c r="D8" i="15"/>
  <c r="BD7" i="13"/>
  <c r="BD147" i="13"/>
  <c r="C8" i="15"/>
  <c r="BD85" i="13"/>
  <c r="D195" i="15"/>
  <c r="D194" i="15"/>
  <c r="C194" i="15"/>
  <c r="C195" i="15"/>
  <c r="BG196" i="13"/>
  <c r="BG15" i="13"/>
  <c r="BG12" i="13"/>
  <c r="BG122" i="13"/>
  <c r="BG17" i="13"/>
  <c r="BG28" i="13"/>
  <c r="BG126" i="13"/>
  <c r="BG133" i="13"/>
  <c r="BG68" i="13"/>
  <c r="BG118" i="13"/>
  <c r="BG121" i="13"/>
  <c r="BG83" i="13"/>
  <c r="BG115" i="13"/>
  <c r="BG67" i="13"/>
  <c r="BD47" i="13"/>
  <c r="BD49" i="13"/>
  <c r="BD99" i="13"/>
  <c r="BD100" i="13"/>
  <c r="C29" i="15"/>
  <c r="D29" i="15"/>
  <c r="C30" i="15"/>
  <c r="D30" i="15"/>
  <c r="BD83" i="13"/>
  <c r="BD164" i="13"/>
  <c r="BD12" i="13"/>
  <c r="BD26" i="13"/>
  <c r="BD33" i="13"/>
  <c r="C190" i="15"/>
  <c r="C124" i="15"/>
  <c r="C192" i="15"/>
  <c r="D192" i="15"/>
  <c r="D193" i="15"/>
  <c r="C193" i="15"/>
  <c r="C150" i="15"/>
  <c r="C99" i="15"/>
  <c r="D181" i="15"/>
  <c r="D99" i="15"/>
  <c r="D180" i="15"/>
  <c r="D127" i="15"/>
  <c r="C181" i="15"/>
  <c r="D83" i="15"/>
  <c r="C180" i="15"/>
  <c r="BG42" i="13"/>
  <c r="C83" i="15"/>
  <c r="C196" i="15"/>
  <c r="C84" i="15"/>
  <c r="D146" i="15"/>
  <c r="D84" i="15"/>
  <c r="C145" i="15"/>
  <c r="C26" i="15"/>
  <c r="D42" i="15"/>
  <c r="D93" i="15"/>
  <c r="C143" i="15"/>
  <c r="C25" i="15"/>
  <c r="D107" i="15"/>
  <c r="D37" i="15"/>
  <c r="D148" i="15"/>
  <c r="D174" i="15"/>
  <c r="C32" i="15"/>
  <c r="C95" i="15"/>
  <c r="C142" i="15"/>
  <c r="C161" i="15"/>
  <c r="C81" i="15"/>
  <c r="C160" i="15"/>
  <c r="C10" i="15"/>
  <c r="C78" i="15"/>
  <c r="D126" i="15"/>
  <c r="D150" i="15"/>
  <c r="C149" i="15"/>
  <c r="C53" i="15"/>
  <c r="D162" i="15"/>
  <c r="D82" i="15"/>
  <c r="D13" i="15"/>
  <c r="D12" i="15"/>
  <c r="D98" i="15"/>
  <c r="D28" i="15"/>
  <c r="D137" i="15"/>
  <c r="D62" i="15"/>
  <c r="D164" i="15"/>
  <c r="D87" i="15"/>
  <c r="D15" i="15"/>
  <c r="C164" i="15"/>
  <c r="C87" i="15"/>
  <c r="C14" i="15"/>
  <c r="C134" i="15"/>
  <c r="C59" i="15"/>
  <c r="C153" i="15"/>
  <c r="C73" i="15"/>
  <c r="C114" i="15"/>
  <c r="C152" i="15"/>
  <c r="C72" i="15"/>
  <c r="C113" i="15"/>
  <c r="C148" i="15"/>
  <c r="C70" i="15"/>
  <c r="C173" i="15"/>
  <c r="D23" i="15"/>
  <c r="D22" i="15"/>
  <c r="D70" i="15"/>
  <c r="D95" i="15"/>
  <c r="D25" i="15"/>
  <c r="C172" i="15"/>
  <c r="C67" i="15"/>
  <c r="C11" i="15"/>
  <c r="C80" i="15"/>
  <c r="C158" i="15"/>
  <c r="C6" i="15"/>
  <c r="C189" i="15"/>
  <c r="D121" i="15"/>
  <c r="C127" i="15"/>
  <c r="D149" i="15"/>
  <c r="D154" i="15"/>
  <c r="D74" i="15"/>
  <c r="D4" i="15"/>
  <c r="D167" i="15"/>
  <c r="D90" i="15"/>
  <c r="D19" i="15"/>
  <c r="D129" i="15"/>
  <c r="D54" i="15"/>
  <c r="D156" i="15"/>
  <c r="D76" i="15"/>
  <c r="D6" i="15"/>
  <c r="C156" i="15"/>
  <c r="C76" i="15"/>
  <c r="C4" i="15"/>
  <c r="C122" i="15"/>
  <c r="C50" i="15"/>
  <c r="C140" i="15"/>
  <c r="C65" i="15"/>
  <c r="C191" i="15"/>
  <c r="C139" i="15"/>
  <c r="C64" i="15"/>
  <c r="C28" i="15"/>
  <c r="C137" i="15"/>
  <c r="C62" i="15"/>
  <c r="C17" i="15"/>
  <c r="C144" i="15"/>
  <c r="D141" i="15"/>
  <c r="D79" i="15"/>
  <c r="D116" i="15"/>
  <c r="D113" i="15"/>
  <c r="C111" i="15"/>
  <c r="C179" i="15"/>
  <c r="C129" i="15"/>
  <c r="D196" i="15"/>
  <c r="D58" i="15"/>
  <c r="D71" i="15"/>
  <c r="D185" i="15"/>
  <c r="D36" i="15"/>
  <c r="D135" i="15"/>
  <c r="D60" i="15"/>
  <c r="D173" i="15"/>
  <c r="C135" i="15"/>
  <c r="C60" i="15"/>
  <c r="C182" i="15"/>
  <c r="C103" i="15"/>
  <c r="C33" i="15"/>
  <c r="C119" i="15"/>
  <c r="C48" i="15"/>
  <c r="C169" i="15"/>
  <c r="C118" i="15"/>
  <c r="C47" i="15"/>
  <c r="C7" i="15"/>
  <c r="C116" i="15"/>
  <c r="C44" i="15"/>
  <c r="C20" i="15"/>
  <c r="C121" i="15"/>
  <c r="D66" i="15"/>
  <c r="D145" i="15"/>
  <c r="D68" i="15"/>
  <c r="C68" i="15"/>
  <c r="C3" i="15"/>
  <c r="C132" i="15"/>
  <c r="C131" i="15"/>
  <c r="C19" i="15"/>
  <c r="C9" i="15"/>
  <c r="D125" i="15"/>
  <c r="D144" i="15"/>
  <c r="D133" i="15"/>
  <c r="D57" i="15"/>
  <c r="D151" i="15"/>
  <c r="D106" i="15"/>
  <c r="D124" i="15"/>
  <c r="D190" i="15"/>
  <c r="D143" i="15"/>
  <c r="C85" i="15"/>
  <c r="D120" i="15"/>
  <c r="D49" i="15"/>
  <c r="D48" i="15"/>
  <c r="D138" i="15"/>
  <c r="D63" i="15"/>
  <c r="D176" i="15"/>
  <c r="D97" i="15"/>
  <c r="D27" i="15"/>
  <c r="D123" i="15"/>
  <c r="D51" i="15"/>
  <c r="D187" i="15"/>
  <c r="C123" i="15"/>
  <c r="C51" i="15"/>
  <c r="C171" i="15"/>
  <c r="C94" i="15"/>
  <c r="C24" i="15"/>
  <c r="C109" i="15"/>
  <c r="C39" i="15"/>
  <c r="C188" i="15"/>
  <c r="C108" i="15"/>
  <c r="C38" i="15"/>
  <c r="C185" i="15"/>
  <c r="C106" i="15"/>
  <c r="C36" i="15"/>
  <c r="D170" i="15"/>
  <c r="C126" i="15"/>
  <c r="D159" i="15"/>
  <c r="D10" i="15"/>
  <c r="D44" i="15"/>
  <c r="C146" i="15"/>
  <c r="C41" i="15"/>
  <c r="C57" i="15"/>
  <c r="C56" i="15"/>
  <c r="C54" i="15"/>
  <c r="C125" i="15"/>
  <c r="D189" i="15"/>
  <c r="D85" i="15"/>
  <c r="C23" i="15"/>
  <c r="C49" i="15"/>
  <c r="C71" i="15"/>
  <c r="C96" i="15"/>
  <c r="C120" i="15"/>
  <c r="C151" i="15"/>
  <c r="C175" i="15"/>
  <c r="C74" i="15"/>
  <c r="C98" i="15"/>
  <c r="C128" i="15"/>
  <c r="C154" i="15"/>
  <c r="C177" i="15"/>
  <c r="C12" i="15"/>
  <c r="C115" i="15"/>
  <c r="C141" i="15"/>
  <c r="C15" i="15"/>
  <c r="C147" i="15"/>
  <c r="C55" i="15"/>
  <c r="C77" i="15"/>
  <c r="C102" i="15"/>
  <c r="C130" i="15"/>
  <c r="C157" i="15"/>
  <c r="C66" i="15"/>
  <c r="C90" i="15"/>
  <c r="C167" i="15"/>
  <c r="C69" i="15"/>
  <c r="C170" i="15"/>
  <c r="C35" i="15"/>
  <c r="C58" i="15"/>
  <c r="C79" i="15"/>
  <c r="C105" i="15"/>
  <c r="C133" i="15"/>
  <c r="C159" i="15"/>
  <c r="C184" i="15"/>
  <c r="C43" i="15"/>
  <c r="C93" i="15"/>
  <c r="C37" i="15"/>
  <c r="C61" i="15"/>
  <c r="C82" i="15"/>
  <c r="C107" i="15"/>
  <c r="C136" i="15"/>
  <c r="C162" i="15"/>
  <c r="C186" i="15"/>
  <c r="C117" i="15"/>
  <c r="C5" i="15"/>
  <c r="C40" i="15"/>
  <c r="C63" i="15"/>
  <c r="C88" i="15"/>
  <c r="C110" i="15"/>
  <c r="C138" i="15"/>
  <c r="C165" i="15"/>
  <c r="C45" i="15"/>
  <c r="D110" i="15"/>
  <c r="D40" i="15"/>
  <c r="D39" i="15"/>
  <c r="D130" i="15"/>
  <c r="D55" i="15"/>
  <c r="D166" i="15"/>
  <c r="D89" i="15"/>
  <c r="D17" i="15"/>
  <c r="D112" i="15"/>
  <c r="C112" i="15"/>
  <c r="C42" i="15"/>
  <c r="C163" i="15"/>
  <c r="C86" i="15"/>
  <c r="C13" i="15"/>
  <c r="C101" i="15"/>
  <c r="C31" i="15"/>
  <c r="C178" i="15"/>
  <c r="C100" i="15"/>
  <c r="C176" i="15"/>
  <c r="C97" i="15"/>
  <c r="C27" i="15"/>
  <c r="C174" i="15"/>
  <c r="D11" i="15"/>
  <c r="D35" i="15"/>
  <c r="D59" i="15"/>
  <c r="D75" i="15"/>
  <c r="D94" i="15"/>
  <c r="D111" i="15"/>
  <c r="D134" i="15"/>
  <c r="D155" i="15"/>
  <c r="D171" i="15"/>
  <c r="D184" i="15"/>
  <c r="D53" i="15"/>
  <c r="D14" i="15"/>
  <c r="D38" i="15"/>
  <c r="D61" i="15"/>
  <c r="D77" i="15"/>
  <c r="D96" i="15"/>
  <c r="D115" i="15"/>
  <c r="D136" i="15"/>
  <c r="D157" i="15"/>
  <c r="D172" i="15"/>
  <c r="D186" i="15"/>
  <c r="D86" i="15"/>
  <c r="D122" i="15"/>
  <c r="D91" i="15"/>
  <c r="D152" i="15"/>
  <c r="D182" i="15"/>
  <c r="D73" i="15"/>
  <c r="D16" i="15"/>
  <c r="D41" i="15"/>
  <c r="D64" i="15"/>
  <c r="D80" i="15"/>
  <c r="D100" i="15"/>
  <c r="D118" i="15"/>
  <c r="D139" i="15"/>
  <c r="D160" i="15"/>
  <c r="D175" i="15"/>
  <c r="D188" i="15"/>
  <c r="D103" i="15"/>
  <c r="D163" i="15"/>
  <c r="D3" i="15"/>
  <c r="D5" i="15"/>
  <c r="D108" i="15"/>
  <c r="D131" i="15"/>
  <c r="D56" i="15"/>
  <c r="D109" i="15"/>
  <c r="D183" i="15"/>
  <c r="D21" i="15"/>
  <c r="D43" i="15"/>
  <c r="D65" i="15"/>
  <c r="D81" i="15"/>
  <c r="D101" i="15"/>
  <c r="D119" i="15"/>
  <c r="D140" i="15"/>
  <c r="D161" i="15"/>
  <c r="D177" i="15"/>
  <c r="D191" i="15"/>
  <c r="D47" i="15"/>
  <c r="D67" i="15"/>
  <c r="D142" i="15"/>
  <c r="D178" i="15"/>
  <c r="D72" i="15"/>
  <c r="D168" i="15"/>
  <c r="D33" i="15"/>
  <c r="D92" i="15"/>
  <c r="D132" i="15"/>
  <c r="D114" i="15"/>
  <c r="D24" i="15"/>
  <c r="D26" i="15"/>
  <c r="D50" i="15"/>
  <c r="D69" i="15"/>
  <c r="D88" i="15"/>
  <c r="D105" i="15"/>
  <c r="D128" i="15"/>
  <c r="D147" i="15"/>
  <c r="D165" i="15"/>
  <c r="D179" i="15"/>
  <c r="D7" i="15"/>
  <c r="D153" i="15"/>
  <c r="D169" i="15"/>
  <c r="D102" i="15"/>
  <c r="D32" i="15"/>
  <c r="D31" i="15"/>
  <c r="D117" i="15"/>
  <c r="D45" i="15"/>
  <c r="D158" i="15"/>
  <c r="D78" i="15"/>
  <c r="D9" i="15"/>
  <c r="D104" i="15"/>
  <c r="D34" i="15"/>
  <c r="C183" i="15"/>
  <c r="C104" i="15"/>
  <c r="C34" i="15"/>
  <c r="C155" i="15"/>
  <c r="C75" i="15"/>
  <c r="C187" i="15"/>
  <c r="C92" i="15"/>
  <c r="C22" i="15"/>
  <c r="C168" i="15"/>
  <c r="C91" i="15"/>
  <c r="C21" i="15"/>
  <c r="C166" i="15"/>
  <c r="C89" i="15"/>
  <c r="C16" i="15"/>
  <c r="D20" i="15"/>
  <c r="B170" i="15" l="1"/>
  <c r="B139" i="15"/>
  <c r="B8" i="15"/>
  <c r="B194" i="15"/>
  <c r="B169" i="15"/>
  <c r="B168" i="15"/>
  <c r="B176" i="15"/>
  <c r="B147" i="15"/>
  <c r="B195" i="15"/>
  <c r="B136" i="15"/>
  <c r="B172" i="15"/>
  <c r="B141" i="15"/>
  <c r="B19" i="15"/>
  <c r="B138" i="15"/>
  <c r="B167" i="15"/>
  <c r="B165" i="15"/>
  <c r="B118" i="15"/>
  <c r="B162" i="15"/>
  <c r="B110" i="15"/>
  <c r="B120" i="15"/>
  <c r="B91" i="15"/>
  <c r="B161" i="15"/>
  <c r="B191" i="15"/>
  <c r="B160" i="15"/>
  <c r="B88" i="15"/>
  <c r="B159" i="15"/>
  <c r="B42" i="15"/>
  <c r="B157" i="15"/>
  <c r="B187" i="15"/>
  <c r="B153" i="15"/>
  <c r="B183" i="15"/>
  <c r="B152" i="15"/>
  <c r="B186" i="15"/>
  <c r="B182" i="15"/>
  <c r="B184" i="15"/>
  <c r="B179" i="15"/>
  <c r="B151" i="15"/>
  <c r="B177" i="15"/>
  <c r="B148" i="15"/>
  <c r="B129" i="15"/>
  <c r="B93" i="15"/>
  <c r="B56" i="15"/>
  <c r="B16" i="15"/>
  <c r="B128" i="15"/>
  <c r="B92" i="15"/>
  <c r="B55" i="15"/>
  <c r="B7" i="15"/>
  <c r="B53" i="15"/>
  <c r="B6" i="15"/>
  <c r="B119" i="15"/>
  <c r="B90" i="15"/>
  <c r="B43" i="15"/>
  <c r="B188" i="15"/>
  <c r="B166" i="15"/>
  <c r="B146" i="15"/>
  <c r="B117" i="15"/>
  <c r="B77" i="15"/>
  <c r="B40" i="15"/>
  <c r="B114" i="15"/>
  <c r="B115" i="15"/>
  <c r="B76" i="15"/>
  <c r="B39" i="15"/>
  <c r="B113" i="15"/>
  <c r="B185" i="15"/>
  <c r="B164" i="15"/>
  <c r="B140" i="15"/>
  <c r="B112" i="15"/>
  <c r="B74" i="15"/>
  <c r="B38" i="15"/>
  <c r="B173" i="15"/>
  <c r="B73" i="15"/>
  <c r="B37" i="15"/>
  <c r="B85" i="15"/>
  <c r="B127" i="15"/>
  <c r="B109" i="15"/>
  <c r="B72" i="15"/>
  <c r="B35" i="15"/>
  <c r="B84" i="15"/>
  <c r="B108" i="15"/>
  <c r="B71" i="15"/>
  <c r="B26" i="15"/>
  <c r="B150" i="15"/>
  <c r="B107" i="15"/>
  <c r="B69" i="15"/>
  <c r="B25" i="15"/>
  <c r="B149" i="15"/>
  <c r="B135" i="15"/>
  <c r="B178" i="15"/>
  <c r="B158" i="15"/>
  <c r="B133" i="15"/>
  <c r="B105" i="15"/>
  <c r="B61" i="15"/>
  <c r="B23" i="15"/>
  <c r="B132" i="15"/>
  <c r="B98" i="15"/>
  <c r="B60" i="15"/>
  <c r="B22" i="15"/>
  <c r="B131" i="15"/>
  <c r="B96" i="15"/>
  <c r="B58" i="15"/>
  <c r="B21" i="15"/>
  <c r="B156" i="15"/>
  <c r="B175" i="15"/>
  <c r="B154" i="15"/>
  <c r="B130" i="15"/>
  <c r="B95" i="15"/>
  <c r="B57" i="15"/>
  <c r="B99" i="15"/>
  <c r="B29" i="15"/>
  <c r="B30" i="15"/>
  <c r="B106" i="15"/>
  <c r="B89" i="15"/>
  <c r="B70" i="15"/>
  <c r="B54" i="15"/>
  <c r="B36" i="15"/>
  <c r="B17" i="15"/>
  <c r="B174" i="15"/>
  <c r="B124" i="15"/>
  <c r="B123" i="15"/>
  <c r="B104" i="15"/>
  <c r="B87" i="15"/>
  <c r="B68" i="15"/>
  <c r="B51" i="15"/>
  <c r="B34" i="15"/>
  <c r="B15" i="15"/>
  <c r="B20" i="15"/>
  <c r="B163" i="15"/>
  <c r="B142" i="15"/>
  <c r="B122" i="15"/>
  <c r="B103" i="15"/>
  <c r="B86" i="15"/>
  <c r="B67" i="15"/>
  <c r="B50" i="15"/>
  <c r="B33" i="15"/>
  <c r="B14" i="15"/>
  <c r="B145" i="15"/>
  <c r="B102" i="15"/>
  <c r="B82" i="15"/>
  <c r="B66" i="15"/>
  <c r="B49" i="15"/>
  <c r="B32" i="15"/>
  <c r="B13" i="15"/>
  <c r="B196" i="15"/>
  <c r="B101" i="15"/>
  <c r="B81" i="15"/>
  <c r="B65" i="15"/>
  <c r="B48" i="15"/>
  <c r="B31" i="15"/>
  <c r="B12" i="15"/>
  <c r="B190" i="15"/>
  <c r="B100" i="15"/>
  <c r="B80" i="15"/>
  <c r="B64" i="15"/>
  <c r="B47" i="15"/>
  <c r="B11" i="15"/>
  <c r="B189" i="15"/>
  <c r="B193" i="15"/>
  <c r="B79" i="15"/>
  <c r="B63" i="15"/>
  <c r="B45" i="15"/>
  <c r="B28" i="15"/>
  <c r="B10" i="15"/>
  <c r="B144" i="15"/>
  <c r="B121" i="15"/>
  <c r="B192" i="15"/>
  <c r="B137" i="15"/>
  <c r="B116" i="15"/>
  <c r="B97" i="15"/>
  <c r="B78" i="15"/>
  <c r="B62" i="15"/>
  <c r="B44" i="15"/>
  <c r="B27" i="15"/>
  <c r="B9" i="15"/>
  <c r="B143" i="15"/>
  <c r="B171" i="15"/>
  <c r="B155" i="15"/>
  <c r="B134" i="15"/>
  <c r="B111" i="15"/>
  <c r="B94" i="15"/>
  <c r="B75" i="15"/>
  <c r="B59" i="15"/>
  <c r="B41" i="15"/>
  <c r="B24" i="15"/>
  <c r="B5" i="15"/>
  <c r="B83" i="15"/>
  <c r="B180" i="15"/>
  <c r="B181" i="15"/>
  <c r="B125" i="15"/>
  <c r="B126"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 importado</author>
  </authors>
  <commentList>
    <comment ref="B4" authorId="0" shapeId="0" xr:uid="{00000000-0006-0000-0100-000001000000}">
      <text>
        <r>
          <rPr>
            <sz val="11"/>
            <color indexed="8"/>
            <rFont val="Helvetica Neue"/>
          </rPr>
          <t>Autor importado:
======
ID#AAAAUnkqYPQ
tc={A8884F70-9483-4B0A-8C32-3C8FCD098741}    (2022-02-04 20:26:38)
[Comentario encadenado]
Su versión de Excel le permite leer este comentario encadenado; sin embargo, las ediciones que se apliquen se quitarán si el archivo se abre en una versión más reciente de Excel. Más información: https://go.microsoft.com/fwlink/?linkid=870924
Comentario:
    tiene dos codigos</t>
        </r>
      </text>
    </comment>
    <comment ref="A266" authorId="0" shapeId="0" xr:uid="{00000000-0006-0000-0100-000002000000}">
      <text>
        <r>
          <rPr>
            <sz val="11"/>
            <color indexed="8"/>
            <rFont val="Helvetica Neue"/>
          </rPr>
          <t>Autor importado:
======
ID#AAAAUnkqYPo
tc={4B3D2E71-D356-4548-B557-31CFE2E8F440}    (2022-02-04 20:26:38)
[Comentario encadenado]
Su versión de Excel le permite leer este comentario encadenado; sin embargo, las ediciones que se apliquen se quitarán si el archivo se abre en una versión más reciente de Excel. Más información: https://go.microsoft.com/fwlink/?linkid=870924
Comentario:
    REVISAR DOCUMENTO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MAESTRIAENINGENIERIA</author>
    <author>Autor importado</author>
    <author>tc={3ED3494B-68E7-4B3E-9C8A-60E9E6A78A9F}</author>
  </authors>
  <commentList>
    <comment ref="I1" authorId="0" shapeId="0" xr:uid="{32388652-EC20-4767-B27D-1C428C332249}">
      <text>
        <r>
          <rPr>
            <b/>
            <sz val="9"/>
            <color indexed="81"/>
            <rFont val="Tahoma"/>
            <family val="2"/>
          </rPr>
          <t>MAESTRIAENINGENIERIA:</t>
        </r>
        <r>
          <rPr>
            <sz val="9"/>
            <color indexed="81"/>
            <rFont val="Tahoma"/>
            <family val="2"/>
          </rPr>
          <t xml:space="preserve">
</t>
        </r>
      </text>
    </comment>
    <comment ref="K1" authorId="0" shapeId="0" xr:uid="{2D57A6B6-AEFB-4953-B546-A41F7F72C70A}">
      <text>
        <r>
          <rPr>
            <b/>
            <sz val="9"/>
            <color indexed="81"/>
            <rFont val="Tahoma"/>
            <family val="2"/>
          </rPr>
          <t>MAESTRIAENINGENIERIA:</t>
        </r>
        <r>
          <rPr>
            <sz val="9"/>
            <color indexed="81"/>
            <rFont val="Tahoma"/>
            <family val="2"/>
          </rPr>
          <t xml:space="preserve">
1. Carpeta - Carta de viabilidad grupo de investicación - (la cuadrada)</t>
        </r>
      </text>
    </comment>
    <comment ref="N1" authorId="1" shapeId="0" xr:uid="{00000000-0006-0000-0400-000001000000}">
      <text>
        <r>
          <rPr>
            <sz val="11"/>
            <color indexed="8"/>
            <rFont val="Helvetica Neue"/>
          </rPr>
          <t>es la carta normal, se consulta en la carpeta</t>
        </r>
      </text>
    </comment>
    <comment ref="R1" authorId="1" shapeId="0" xr:uid="{00000000-0006-0000-0400-000002000000}">
      <text>
        <r>
          <rPr>
            <sz val="11"/>
            <color indexed="8"/>
            <rFont val="Helvetica Neue"/>
          </rPr>
          <t>Autor importado:
======
ID#AAAAUnkqYQA
Casalejo    (2022-02-04 20:26:38)
(Carta aval y viabilidad)</t>
        </r>
      </text>
    </comment>
    <comment ref="AL1" authorId="1" shapeId="0" xr:uid="{00000000-0006-0000-0400-000003000000}">
      <text>
        <r>
          <rPr>
            <sz val="11"/>
            <color indexed="8"/>
            <rFont val="Helvetica Neue"/>
          </rPr>
          <t>Autor importado:
======
ID#AAAAUnkqYPM
Casalejo    (2022-02-04 20:26:38)
(Solicitud jurados)</t>
        </r>
      </text>
    </comment>
    <comment ref="A12" authorId="1" shapeId="0" xr:uid="{DEC4471F-C720-4113-8CEB-505F82653222}">
      <text>
        <r>
          <rPr>
            <sz val="11"/>
            <color indexed="8"/>
            <rFont val="Helvetica Neue"/>
          </rPr>
          <t>Autor importado:
======
ID#AAAAUnkqYQE
FAMILIA    (2022-02-04 20:26:38)
PENDIENTE EXCLUSIÓN POR TIEMPO</t>
        </r>
      </text>
    </comment>
    <comment ref="B21" authorId="1" shapeId="0" xr:uid="{00000000-0006-0000-0400-000004000000}">
      <text>
        <r>
          <rPr>
            <sz val="11"/>
            <color indexed="8"/>
            <rFont val="Helvetica Neue"/>
          </rPr>
          <t>Autor importado:
======
ID#AAAAUnkqYPY
    (2021-10-08 20:49:07)
CUIDADO, tiene una deuda de 2017 con la universidad NO generar paz y salvo
	-Maestría en Ciencias de la Información y las Comunicaciones</t>
        </r>
      </text>
    </comment>
    <comment ref="B23" authorId="1" shapeId="0" xr:uid="{00000000-0006-0000-0400-000005000000}">
      <text>
        <r>
          <rPr>
            <sz val="11"/>
            <color indexed="8"/>
            <rFont val="Helvetica Neue"/>
          </rPr>
          <t>Autor importado:
======
ID#AAAAUnkqYPw
    (2021-10-08 20:49:07)
CUIDADO, tiene una deuda con la univeraidad de 2017, NO generar paz y salvo
	-Maestría en Ciencias de la Información y las Comunicaciones</t>
        </r>
      </text>
    </comment>
    <comment ref="L70" authorId="1" shapeId="0" xr:uid="{00000000-0006-0000-0400-000008000000}">
      <text>
        <r>
          <rPr>
            <sz val="11"/>
            <color indexed="8"/>
            <rFont val="Helvetica Neue"/>
          </rPr>
          <t>Autor importado:
Paulo Gaona solicito dejar la dirección acta 002 2022
======</t>
        </r>
      </text>
    </comment>
    <comment ref="L93" authorId="1" shapeId="0" xr:uid="{00000000-0006-0000-0400-000009000000}">
      <text>
        <r>
          <rPr>
            <sz val="11"/>
            <color indexed="8"/>
            <rFont val="Helvetica Neue"/>
          </rPr>
          <t>Autor importado:
Paulo Gaona solicito el cambio a Carlos Montenegro
======</t>
        </r>
      </text>
    </comment>
    <comment ref="K104" authorId="0" shapeId="0" xr:uid="{B772EA3C-007A-4048-B069-B17430EB78B9}">
      <text>
        <r>
          <rPr>
            <b/>
            <sz val="9"/>
            <color indexed="81"/>
            <rFont val="Tahoma"/>
            <family val="2"/>
          </rPr>
          <t>MAESTRIAENINGENIERIA:</t>
        </r>
        <r>
          <rPr>
            <sz val="9"/>
            <color indexed="81"/>
            <rFont val="Tahoma"/>
            <family val="2"/>
          </rPr>
          <t xml:space="preserve">
Presenta derecho de petición Solicitud de aplazamiento del semestre académico 2026-I el 15 dic 2025</t>
        </r>
      </text>
    </comment>
    <comment ref="B106" authorId="1" shapeId="0" xr:uid="{00000000-0006-0000-0400-00000A000000}">
      <text>
        <r>
          <rPr>
            <sz val="11"/>
            <color indexed="8"/>
            <rFont val="Helvetica Neue"/>
          </rPr>
          <t>Autor importado:
======
ID#AAAAUnkqYPc
    (2021-10-08 20:49:07)
Debe tercera cuota 2020-3
	-Maestría en Ciencias de la Información y las Comunicaciones</t>
        </r>
      </text>
    </comment>
    <comment ref="K122" authorId="0" shapeId="0" xr:uid="{25191990-677F-4F1E-936D-FC6E41C610C6}">
      <text>
        <r>
          <rPr>
            <b/>
            <sz val="9"/>
            <color indexed="81"/>
            <rFont val="Tahoma"/>
            <family val="2"/>
          </rPr>
          <t>MAESTRIAENINGENIERIA:</t>
        </r>
        <r>
          <rPr>
            <sz val="9"/>
            <color indexed="81"/>
            <rFont val="Tahoma"/>
            <family val="2"/>
          </rPr>
          <t xml:space="preserve">
El nombre del proyecto difiere del aval, el cual es:
DISEÑO DE UNA APLICACIÓN PARA EL ANÁLISIS DE LA DISPONIBILIDAD DEL 
RECURSO EÓLICO PARA LA GENERACIÓN DE ENERGÍA ELÉCTRICA EN UNA MICRORRED</t>
        </r>
      </text>
    </comment>
    <comment ref="B127" authorId="1" shapeId="0" xr:uid="{00000000-0006-0000-0400-00000B000000}">
      <text>
        <r>
          <rPr>
            <sz val="11"/>
            <color indexed="8"/>
            <rFont val="Helvetica Neue"/>
          </rPr>
          <t>Autor importado:
======
ID#AAAAUnkqYPk
    (2021-10-08 20:49:07)
2021-1 perdio 4 materias
	-Maestría en Ciencias de la Información y las Comunicaciones</t>
        </r>
      </text>
    </comment>
    <comment ref="L130" authorId="0" shapeId="0" xr:uid="{F4E27AF9-5844-42A5-A198-65EA2EE888DA}">
      <text>
        <r>
          <rPr>
            <b/>
            <sz val="9"/>
            <color indexed="81"/>
            <rFont val="Tahoma"/>
            <family val="2"/>
          </rPr>
          <t>MAESTRIAENINGENIERIA:</t>
        </r>
        <r>
          <rPr>
            <sz val="9"/>
            <color indexed="81"/>
            <rFont val="Tahoma"/>
            <family val="2"/>
          </rPr>
          <t xml:space="preserve">
La profe Luz Angela renuncia como director el 19 de  sep 2025</t>
        </r>
      </text>
    </comment>
    <comment ref="B141" authorId="1" shapeId="0" xr:uid="{00000000-0006-0000-0400-00000C000000}">
      <text>
        <r>
          <rPr>
            <sz val="11"/>
            <color indexed="8"/>
            <rFont val="Helvetica Neue"/>
          </rPr>
          <t>Autor importado:
======
ID#AAAAUnkqYQI
    (2021-10-08 20:49:07)
perdio 3 materias
	-Maestría en Ciencias de la Información y las Comunicaciones</t>
        </r>
      </text>
    </comment>
    <comment ref="B144" authorId="0" shapeId="0" xr:uid="{34443563-D18D-4481-AC4F-265209DCD1E9}">
      <text>
        <r>
          <rPr>
            <b/>
            <sz val="9"/>
            <color indexed="81"/>
            <rFont val="Tahoma"/>
            <family val="2"/>
          </rPr>
          <t>MAESTRIAENINGENIERIA:</t>
        </r>
        <r>
          <rPr>
            <sz val="9"/>
            <color indexed="81"/>
            <rFont val="Tahoma"/>
            <family val="2"/>
          </rPr>
          <t xml:space="preserve">
Aparece pasantia
</t>
        </r>
      </text>
    </comment>
    <comment ref="A156" authorId="1" shapeId="0" xr:uid="{00000000-0006-0000-0400-00000D000000}">
      <text>
        <r>
          <rPr>
            <sz val="11"/>
            <color indexed="8"/>
            <rFont val="Helvetica Neue"/>
          </rPr>
          <t>Autor importado:
======
ID#AAAAUnkqYP0
    (2021-10-08 20:49:07)
Cambio de enfasis de Geomatica a ing de software
	-Maestría en Ciencias de la Información y las Comunicaciones</t>
        </r>
      </text>
    </comment>
    <comment ref="B166" authorId="0" shapeId="0" xr:uid="{853593A0-0E63-4F05-92F4-1602AF7ED10F}">
      <text>
        <r>
          <rPr>
            <b/>
            <sz val="9"/>
            <color indexed="81"/>
            <rFont val="Tahoma"/>
            <family val="2"/>
          </rPr>
          <t>MAESTRIAENINGENIERIA:</t>
        </r>
        <r>
          <rPr>
            <sz val="9"/>
            <color indexed="81"/>
            <rFont val="Tahoma"/>
            <family val="2"/>
          </rPr>
          <t xml:space="preserve">
no encontré aval</t>
        </r>
      </text>
    </comment>
    <comment ref="A172" authorId="2" shapeId="0" xr:uid="{3ED3494B-68E7-4B3E-9C8A-60E9E6A78A9F}">
      <text>
        <r>
          <rPr>
            <sz val="11"/>
            <color indexed="8"/>
            <rFont val="Verdana"/>
          </rPr>
          <t>[Threaded comment]
Your version of Excel allows you to read this threaded comment; however, any edits to it will get removed if the file is opened in a newer version of Excel. Learn more: https://go.microsoft.com/fwlink/?linkid=870924
Comment:
    Cambia a enfasis en ing. De software acta 1/2022</t>
        </r>
      </text>
    </comment>
    <comment ref="B178" authorId="0" shapeId="0" xr:uid="{311A311E-0F5D-4A0A-98FC-D234AB7125B4}">
      <text>
        <r>
          <rPr>
            <b/>
            <sz val="9"/>
            <color indexed="81"/>
            <rFont val="Tahoma"/>
            <family val="2"/>
          </rPr>
          <t>MAESTRIAENINGENIERIA:</t>
        </r>
        <r>
          <rPr>
            <sz val="9"/>
            <color indexed="81"/>
            <rFont val="Tahoma"/>
            <family val="2"/>
          </rPr>
          <t xml:space="preserve">
No encontré aval</t>
        </r>
      </text>
    </comment>
    <comment ref="B185" authorId="0" shapeId="0" xr:uid="{8D80051B-E296-4B90-8CF1-786A7B7B08FC}">
      <text>
        <r>
          <rPr>
            <b/>
            <sz val="9"/>
            <color indexed="81"/>
            <rFont val="Tahoma"/>
            <family val="2"/>
          </rPr>
          <t>MAESTRIAENINGENIERIA:</t>
        </r>
        <r>
          <rPr>
            <sz val="9"/>
            <color indexed="81"/>
            <rFont val="Tahoma"/>
            <family val="2"/>
          </rPr>
          <t xml:space="preserve">
no coincide proyecto entre radicacion y aval</t>
        </r>
      </text>
    </comment>
    <comment ref="B187" authorId="0" shapeId="0" xr:uid="{CD03DC8D-325F-45BF-BFDB-C6759D75C608}">
      <text>
        <r>
          <rPr>
            <b/>
            <sz val="9"/>
            <color indexed="81"/>
            <rFont val="Tahoma"/>
            <family val="2"/>
          </rPr>
          <t>MAESTRIAENINGENIERIA:</t>
        </r>
        <r>
          <rPr>
            <sz val="9"/>
            <color indexed="81"/>
            <rFont val="Tahoma"/>
            <family val="2"/>
          </rPr>
          <t xml:space="preserve">
No radicó</t>
        </r>
      </text>
    </comment>
    <comment ref="B191" authorId="0" shapeId="0" xr:uid="{501EC22D-8849-4B2A-B979-4083ECAF2066}">
      <text>
        <r>
          <rPr>
            <b/>
            <sz val="9"/>
            <color indexed="81"/>
            <rFont val="Tahoma"/>
            <family val="2"/>
          </rPr>
          <t>MAESTRIAENINGENIERIA:</t>
        </r>
        <r>
          <rPr>
            <sz val="9"/>
            <color indexed="81"/>
            <rFont val="Tahoma"/>
            <family val="2"/>
          </rPr>
          <t xml:space="preserve">
no encuentro soportes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MAESTRIAENINGENIERIA</author>
  </authors>
  <commentList>
    <comment ref="M77" authorId="0" shapeId="0" xr:uid="{299062BB-7A8B-48CA-A394-804808DA0BC4}">
      <text>
        <r>
          <rPr>
            <b/>
            <sz val="9"/>
            <color indexed="81"/>
            <rFont val="Tahoma"/>
            <family val="2"/>
          </rPr>
          <t>MAESTRIAENINGENIERIA:</t>
        </r>
        <r>
          <rPr>
            <sz val="9"/>
            <color indexed="81"/>
            <rFont val="Tahoma"/>
            <family val="2"/>
          </rPr>
          <t xml:space="preserve">
Pertenece al INSTITUTO NACIONAL DE METROLOGIA</t>
        </r>
      </text>
    </comment>
    <comment ref="B93" authorId="0" shapeId="0" xr:uid="{8F457832-01C2-458F-92CB-3D86720D55CC}">
      <text>
        <r>
          <rPr>
            <b/>
            <sz val="9"/>
            <color indexed="81"/>
            <rFont val="Tahoma"/>
            <family val="2"/>
          </rPr>
          <t>MAESTRIAENINGENIERIA:</t>
        </r>
        <r>
          <rPr>
            <sz val="9"/>
            <color indexed="81"/>
            <rFont val="Tahoma"/>
            <family val="2"/>
          </rPr>
          <t xml:space="preserve">
pasantía</t>
        </r>
      </text>
    </comment>
    <comment ref="B100" authorId="0" shapeId="0" xr:uid="{626BBEFB-2B9B-4927-AA85-ED72D3628819}">
      <text>
        <r>
          <rPr>
            <b/>
            <sz val="9"/>
            <color indexed="81"/>
            <rFont val="Tahoma"/>
            <family val="2"/>
          </rPr>
          <t>MAESTRIAENINGENIERIA:</t>
        </r>
        <r>
          <rPr>
            <sz val="9"/>
            <color indexed="81"/>
            <rFont val="Tahoma"/>
            <family val="2"/>
          </rPr>
          <t xml:space="preserve">
No se encuentran soportes de aval</t>
        </r>
      </text>
    </comment>
    <comment ref="B136" authorId="0" shapeId="0" xr:uid="{8682238B-9415-4F54-86CF-290226EE940B}">
      <text>
        <r>
          <rPr>
            <b/>
            <sz val="9"/>
            <color indexed="81"/>
            <rFont val="Tahoma"/>
            <family val="2"/>
          </rPr>
          <t>MAESTRIAENINGENIERIA:</t>
        </r>
        <r>
          <rPr>
            <sz val="9"/>
            <color indexed="81"/>
            <rFont val="Tahoma"/>
            <family val="2"/>
          </rPr>
          <t xml:space="preserve">
pasantía</t>
        </r>
      </text>
    </comment>
    <comment ref="B138" authorId="0" shapeId="0" xr:uid="{9EBD59B4-CF34-4655-986C-7E08D390E24A}">
      <text>
        <r>
          <rPr>
            <b/>
            <sz val="9"/>
            <color indexed="81"/>
            <rFont val="Tahoma"/>
            <family val="2"/>
          </rPr>
          <t>MAESTRIAENINGENIERIA:</t>
        </r>
        <r>
          <rPr>
            <sz val="9"/>
            <color indexed="81"/>
            <rFont val="Tahoma"/>
            <family val="2"/>
          </rPr>
          <t xml:space="preserve">
pasantá</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tc={09A7DA52-6AB8-4269-A0C1-12DFE043A8E5}</author>
  </authors>
  <commentList>
    <comment ref="B2" authorId="0" shapeId="0" xr:uid="{09A7DA52-6AB8-4269-A0C1-12DFE043A8E5}">
      <text>
        <r>
          <rPr>
            <sz val="11"/>
            <color indexed="8"/>
            <rFont val="Verdana"/>
          </rPr>
          <t>[Threaded comment]
Your version of Excel allows you to read this threaded comment; however, any edits to it will get removed if the file is opened in a newer version of Excel. Learn more: https://go.microsoft.com/fwlink/?linkid=870924
Comment:
    Codirector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Autor importado</author>
  </authors>
  <commentList>
    <comment ref="J31" authorId="0" shapeId="0" xr:uid="{C2D0DDFF-4364-4142-BE55-CAF78FE76F1F}">
      <text>
        <r>
          <rPr>
            <sz val="11"/>
            <color indexed="8"/>
            <rFont val="Helvetica Neue"/>
          </rPr>
          <t>Autor importado:
Paulo Gaona solicito dejar la dirección acta 002 2022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Autor importado</author>
    <author>tc={6E694448-02EE-4321-9563-EEC524518D78}</author>
    <author>tc={E0261C08-167D-43B0-A58A-2163B01FF215}</author>
  </authors>
  <commentList>
    <comment ref="J4" authorId="0" shapeId="0" xr:uid="{00000000-0006-0000-0600-000070000000}">
      <text>
        <r>
          <rPr>
            <sz val="11"/>
            <color indexed="8"/>
            <rFont val="Helvetica Neue"/>
          </rPr>
          <t>Autor importado:
======
ID#AAAAZKRVeuI
SHARON MELISA REINA GONZALEZ    (2022-05-23 14:09:11)
Director Roberto Pava Díaz</t>
        </r>
      </text>
    </comment>
    <comment ref="J5" authorId="0" shapeId="0" xr:uid="{00000000-0006-0000-0600-00005F000000}">
      <text>
        <r>
          <rPr>
            <sz val="11"/>
            <color indexed="8"/>
            <rFont val="Helvetica Neue"/>
          </rPr>
          <t>Autor importado:
======
ID#AAAAZKRVeuM
SHARON MELISA REINA GONZALEZ    (2022-05-23 14:12:35)
DIRECTOR ELVIS EDUARDO GAONA GARCÍA</t>
        </r>
      </text>
    </comment>
    <comment ref="BD5" authorId="0" shapeId="0" xr:uid="{00000000-0006-0000-0600-000060000000}">
      <text>
        <r>
          <rPr>
            <sz val="11"/>
            <color indexed="8"/>
            <rFont val="Helvetica Neue"/>
          </rPr>
          <t>Autor importado:
======
ID#AAAAZKRVexU
SHARON MELISA REINA GONZALEZ    (2022-05-23 14:21:31)
DIRECTOR
ELVIS EDUARDO GAONA GARCÍA</t>
        </r>
      </text>
    </comment>
    <comment ref="U12" authorId="0" shapeId="0" xr:uid="{00000000-0006-0000-0600-00001F000000}">
      <text>
        <r>
          <rPr>
            <sz val="11"/>
            <color indexed="8"/>
            <rFont val="Helvetica Neue"/>
          </rPr>
          <t>Autor importado:
======
ID#AAAAZKRVexk
SHARON MELISA REINA GONZALEZ    (2022-05-23 14:33:15)
JAIME BENITEZ</t>
        </r>
      </text>
    </comment>
    <comment ref="J16" authorId="0" shapeId="0" xr:uid="{00000000-0006-0000-0600-00005C000000}">
      <text>
        <r>
          <rPr>
            <sz val="11"/>
            <color indexed="8"/>
            <rFont val="Helvetica Neue"/>
          </rPr>
          <t>Autor importado:
======
ID#AAAAZKRVex0
SHARON MELISA REINA GONZALEZ    (2022-05-23 14:42:46)
DIRECTOR ROBERTO FERRO ESCOBAR</t>
        </r>
      </text>
    </comment>
    <comment ref="BD16" authorId="0" shapeId="0" xr:uid="{00000000-0006-0000-0600-00005D000000}">
      <text>
        <r>
          <rPr>
            <sz val="11"/>
            <color indexed="8"/>
            <rFont val="Helvetica Neue"/>
          </rPr>
          <t>Autor importado:
======
ID#AAAAZKRVex4
SHARON MELISA REINA GONZALEZ    (2022-05-23 14:45:31)
DIRECTOR ROBERTO FERRO ESCOBAR</t>
        </r>
      </text>
    </comment>
    <comment ref="T17" authorId="0" shapeId="0" xr:uid="{00000000-0006-0000-0600-00003E000000}">
      <text>
        <r>
          <rPr>
            <sz val="11"/>
            <color indexed="8"/>
            <rFont val="Helvetica Neue"/>
          </rPr>
          <t>Autor importado:
======
ID#AAAAZKRVeyA
SHARON MELISA REINA GONZALEZ    (2022-05-23 14:48:05)
APARECE HANS IGOR LOPEZ</t>
        </r>
      </text>
    </comment>
    <comment ref="J19" authorId="0" shapeId="0" xr:uid="{00000000-0006-0000-0600-000002000000}">
      <text>
        <r>
          <rPr>
            <sz val="11"/>
            <color indexed="8"/>
            <rFont val="Helvetica Neue"/>
          </rPr>
          <t>Autor importado:
======
ID#AAAAZKRVeyE
SHARON MELISA REINA GONZALEZ    (2022-05-23 14:50:55)
NO APARECE</t>
        </r>
      </text>
    </comment>
    <comment ref="J22" authorId="0" shapeId="0" xr:uid="{00000000-0006-0000-0600-000048000000}">
      <text>
        <r>
          <rPr>
            <sz val="11"/>
            <color indexed="8"/>
            <rFont val="Helvetica Neue"/>
          </rPr>
          <t>Autor importado:
======
ID#AAAAZKRVeyQ
SHARON MELISA REINA GONZALEZ    (2022-05-23 15:04:39)
DIRECTOR WILLIAM BARRAGAN</t>
        </r>
      </text>
    </comment>
    <comment ref="J27" authorId="0" shapeId="0" xr:uid="{00000000-0006-0000-0600-000061000000}">
      <text>
        <r>
          <rPr>
            <sz val="11"/>
            <color indexed="8"/>
            <rFont val="Helvetica Neue"/>
          </rPr>
          <t>Autor importado:
======
ID#AAAAZKRVeyg
SHARON MELISA REINA GONZALEZ    (2022-05-23 15:14:16)
DIRECTOR RUBEN JAVIER MEDINA</t>
        </r>
      </text>
    </comment>
    <comment ref="J28" authorId="0" shapeId="0" xr:uid="{00000000-0006-0000-0600-000078000000}">
      <text>
        <r>
          <rPr>
            <sz val="11"/>
            <color indexed="8"/>
            <rFont val="Helvetica Neue"/>
          </rPr>
          <t>Autor importado:
======
ID#AAAAZKRVeyo
SHARON MELISA REINA GONZALEZ    (2022-05-23 15:16:41)
DIRECTOR LUZ ANGELA ROCHA / Cesar Andrey Perdomo</t>
        </r>
      </text>
    </comment>
    <comment ref="J35" authorId="0" shapeId="0" xr:uid="{00000000-0006-0000-0600-000082000000}">
      <text>
        <r>
          <rPr>
            <sz val="11"/>
            <color indexed="8"/>
            <rFont val="Helvetica Neue"/>
          </rPr>
          <t>Autor importado:
======
ID#AAAAZKRVezA
SHARON MELISA REINA GONZALEZ    (2022-05-23 15:32:38)
APARECE OMAR PATIÑO</t>
        </r>
      </text>
    </comment>
    <comment ref="J36" authorId="0" shapeId="0" xr:uid="{00000000-0006-0000-0600-00007E000000}">
      <text>
        <r>
          <rPr>
            <sz val="11"/>
            <color indexed="8"/>
            <rFont val="Helvetica Neue"/>
          </rPr>
          <t>Autor importado:
======
ID#AAAAZKRVezE
SHARON MELISA REINA GONZALEZ    (2022-05-23 15:37:03)
APARECE WILMER FERNANDEZ</t>
        </r>
      </text>
    </comment>
    <comment ref="J37" authorId="0" shapeId="0" xr:uid="{00000000-0006-0000-0600-000049000000}">
      <text>
        <r>
          <rPr>
            <sz val="11"/>
            <color indexed="8"/>
            <rFont val="Helvetica Neue"/>
          </rPr>
          <t>Autor importado:
======
ID#AAAAZKRVezI
SHARON MELISA REINA GONZALEZ    (2022-05-23 15:39:14)
APARECE ALVARO ENRIQUE ORTÍZ DÁVILA</t>
        </r>
      </text>
    </comment>
    <comment ref="J38" authorId="0" shapeId="0" xr:uid="{00000000-0006-0000-0600-000083000000}">
      <text>
        <r>
          <rPr>
            <sz val="11"/>
            <color indexed="8"/>
            <rFont val="Helvetica Neue"/>
          </rPr>
          <t>Autor importado:
======
ID#AAAAZKRVezM
SHARON MELISA REINA GONZALEZ    (2022-05-23 15:42:09)
APARECE
WILSON VARGAS VARGAS</t>
        </r>
      </text>
    </comment>
    <comment ref="J40" authorId="0" shapeId="0" xr:uid="{00000000-0006-0000-0600-00006D000000}">
      <text>
        <r>
          <rPr>
            <sz val="11"/>
            <color indexed="8"/>
            <rFont val="Helvetica Neue"/>
          </rPr>
          <t>Autor importado:
======
ID#AAAAZKRVezQ
SHARON MELISA REINA GONZALEZ    (2022-05-23 15:44:48)
ORLANDO RIAÑO</t>
        </r>
      </text>
    </comment>
    <comment ref="J43" authorId="0" shapeId="0" xr:uid="{00000000-0006-0000-0600-000055000000}">
      <text>
        <r>
          <rPr>
            <sz val="11"/>
            <color indexed="8"/>
            <rFont val="Helvetica Neue"/>
          </rPr>
          <t>Autor importado:
======
ID#AAAAZKRVezU
SHARON MELISA REINA GONZALEZ    (2022-05-23 15:48:24)
APARECE DIRECTOR 
OCTAVIO SALCEDO PARRA</t>
        </r>
      </text>
    </comment>
    <comment ref="J46" authorId="0" shapeId="0" xr:uid="{00000000-0006-0000-0600-000039000000}">
      <text>
        <r>
          <rPr>
            <sz val="11"/>
            <color indexed="8"/>
            <rFont val="Helvetica Neue"/>
          </rPr>
          <t>Autor importado:
======
ID#AAAAZKRVezY
SHARON MELISA REINA GONZALEZ    (2022-05-23 15:52:04)
APARECE DIRECTOR CESAR AUGUSTO HERNANDEZ SUAREZ</t>
        </r>
      </text>
    </comment>
    <comment ref="BD46" authorId="0" shapeId="0" xr:uid="{00000000-0006-0000-0600-00003A000000}">
      <text>
        <r>
          <rPr>
            <sz val="11"/>
            <color indexed="8"/>
            <rFont val="Helvetica Neue"/>
          </rPr>
          <t>Autor importado:
======
ID#AAAAZKRVezc
SHARON MELISA REINA GONZALEZ    (2022-05-23 15:52:57)
CESAR AUGUSTO HERNANDEZ SUAREZ</t>
        </r>
      </text>
    </comment>
    <comment ref="A47" authorId="0" shapeId="0" xr:uid="{00000000-0006-0000-0600-000003000000}">
      <text>
        <r>
          <rPr>
            <sz val="11"/>
            <color indexed="8"/>
            <rFont val="Helvetica Neue"/>
          </rPr>
          <t>Autor importado:
======
ID#AAAAZuyW9OA
SHARON MELISA REINA GONZALEZ    (2022-05-26 14:30:20)
AQUÍ NO APARECE NOMBRE U OTRA INFORMACIÓN</t>
        </r>
      </text>
    </comment>
    <comment ref="J49" authorId="0" shapeId="0" xr:uid="{00000000-0006-0000-0600-000020000000}">
      <text>
        <r>
          <rPr>
            <sz val="11"/>
            <color indexed="8"/>
            <rFont val="Helvetica Neue"/>
          </rPr>
          <t>Autor importado:
======
ID#AAAAZuyW9OE
SHARON MELISA REINA GONZALEZ    (2022-05-26 14:32:09)
APARECE DIRECTOR JOSE NELSON PEREZ</t>
        </r>
      </text>
    </comment>
    <comment ref="J55" authorId="0" shapeId="0" xr:uid="{00000000-0006-0000-0600-000042000000}">
      <text>
        <r>
          <rPr>
            <sz val="11"/>
            <color indexed="8"/>
            <rFont val="Helvetica Neue"/>
          </rPr>
          <t>Autor importado:
======
ID#AAAAZuyW9OI
SHARON MELISA REINA GONZALEZ    (2022-05-26 14:36:49)
APARECE DIRECTOR WILLIAM BARRAGAN</t>
        </r>
      </text>
    </comment>
    <comment ref="J56" authorId="0" shapeId="0" xr:uid="{00000000-0006-0000-0600-00001C000000}">
      <text>
        <r>
          <rPr>
            <sz val="11"/>
            <color indexed="8"/>
            <rFont val="Helvetica Neue"/>
          </rPr>
          <t>Autor importado:
======
ID#AAAAZuyW9OM
SHARON MELISA REINA GONZALEZ    (2022-05-26 14:37:45)
APARECE COMO DIRECTOR CARLOS ENRIQUE MONTENEGRO</t>
        </r>
      </text>
    </comment>
    <comment ref="J57" authorId="0" shapeId="0" xr:uid="{00000000-0006-0000-0600-000019000000}">
      <text>
        <r>
          <rPr>
            <sz val="11"/>
            <color indexed="8"/>
            <rFont val="Helvetica Neue"/>
          </rPr>
          <t>Autor importado:
======
ID#AAAAZuyW9OQ
SHARON MELISA REINA GONZALEZ    (2022-05-26 14:38:45)
APARECE COMO DIRECTOR WILLIAM BARRAGAN</t>
        </r>
      </text>
    </comment>
    <comment ref="J58" authorId="0" shapeId="0" xr:uid="{00000000-0006-0000-0600-000072000000}">
      <text>
        <r>
          <rPr>
            <sz val="11"/>
            <color indexed="8"/>
            <rFont val="Helvetica Neue"/>
          </rPr>
          <t>Autor importado:
======
ID#AAAAZuyW9OY
SHARON MELISA REINA GONZALEZ    (2022-05-26 14:40:17)
DIRECTOR CARLOS ENRIQUE MONTENEGRO</t>
        </r>
      </text>
    </comment>
    <comment ref="J59" authorId="0" shapeId="0" xr:uid="{00000000-0006-0000-0600-00006A000000}">
      <text>
        <r>
          <rPr>
            <sz val="11"/>
            <color indexed="8"/>
            <rFont val="Helvetica Neue"/>
          </rPr>
          <t>Autor importado:
======
ID#AAAAZuyW9Oc
SHARON MELISA REINA GONZALEZ    (2022-05-26 14:42:18)
DIRECTOR ALVARO ENRIQUE ORTÍZ DÁVILA</t>
        </r>
      </text>
    </comment>
    <comment ref="J72" authorId="0" shapeId="0" xr:uid="{00000000-0006-0000-0600-000059000000}">
      <text>
        <r>
          <rPr>
            <sz val="11"/>
            <color indexed="8"/>
            <rFont val="Helvetica Neue"/>
          </rPr>
          <t>Autor importado:
======
ID#AAAAZuyW9Ok
SHARON MELISA REINA GONZALEZ    (2022-05-26 14:56:27)
APARECE DIRECTOR LUZ DEYCI ALVARADO NIETO</t>
        </r>
      </text>
    </comment>
    <comment ref="BD72" authorId="0" shapeId="0" xr:uid="{00000000-0006-0000-0600-00005A000000}">
      <text>
        <r>
          <rPr>
            <sz val="11"/>
            <color indexed="8"/>
            <rFont val="Helvetica Neue"/>
          </rPr>
          <t>Autor importado:
======
ID#AAAAZuyW9Oo
SHARON MELISA REINA GONZALEZ    (2022-05-26 14:56:50)
APARECE DIRECTOR LUZ DEYCI ALVARADO NIETO</t>
        </r>
      </text>
    </comment>
    <comment ref="BE72" authorId="0" shapeId="0" xr:uid="{00000000-0006-0000-0600-00005B000000}">
      <text>
        <r>
          <rPr>
            <sz val="11"/>
            <color indexed="8"/>
            <rFont val="Helvetica Neue"/>
          </rPr>
          <t>Autor importado:
======
ID#AAAAZuyW9Os
SHARON MELISA REINA GONZALEZ    (2022-05-26 14:57:28)
NO APARECEN</t>
        </r>
      </text>
    </comment>
    <comment ref="A73" authorId="0" shapeId="0" xr:uid="{00000000-0006-0000-0600-000004000000}">
      <text>
        <r>
          <rPr>
            <sz val="11"/>
            <color indexed="8"/>
            <rFont val="Helvetica Neue"/>
          </rPr>
          <t>Autor importado:
======
ID#AAAAZuyW9Ow
SHARON MELISA REINA GONZALEZ    (2022-05-26 14:58:40)
AQUÍ NO APARECE NINGUNA INFORMACIÓN</t>
        </r>
      </text>
    </comment>
    <comment ref="J75" authorId="0" shapeId="0" xr:uid="{00000000-0006-0000-0600-000080000000}">
      <text>
        <r>
          <rPr>
            <sz val="11"/>
            <color indexed="8"/>
            <rFont val="Helvetica Neue"/>
          </rPr>
          <t>Autor importado:
======
ID#AAAAZuyW9O0
SHARON MELISA REINA GONZALEZ    (2022-05-26 15:00:57)
APARECE DIRECTOR LUZ ANGELA ROCHA</t>
        </r>
      </text>
    </comment>
    <comment ref="BD75" authorId="0" shapeId="0" xr:uid="{00000000-0006-0000-0600-000081000000}">
      <text>
        <r>
          <rPr>
            <sz val="11"/>
            <color indexed="8"/>
            <rFont val="Helvetica Neue"/>
          </rPr>
          <t>Autor importado:
======
ID#AAAAZuyW9O4
SHARON MELISA REINA GONZALEZ    (2022-05-26 15:01:13)
APARECE DIRECTOR LUZ ANGELA ROCHA</t>
        </r>
      </text>
    </comment>
    <comment ref="BD82" authorId="0" shapeId="0" xr:uid="{00000000-0006-0000-0600-000086000000}">
      <text>
        <r>
          <rPr>
            <sz val="11"/>
            <color indexed="8"/>
            <rFont val="Helvetica Neue"/>
          </rPr>
          <t>Autor importado:
======
ID#AAAAZuyW9Pg
SHARON MELISA REINA GONZALEZ    (2022-05-26 15:24:04)
PAULO ALONSO GAONA</t>
        </r>
      </text>
    </comment>
    <comment ref="BE82" authorId="0" shapeId="0" xr:uid="{00000000-0006-0000-0600-000087000000}">
      <text>
        <r>
          <rPr>
            <sz val="11"/>
            <color indexed="8"/>
            <rFont val="Helvetica Neue"/>
          </rPr>
          <t>Autor importado:
======
ID#AAAAZuyW9PM
SHARON MELISA REINA GONZALEZ    (2022-05-26 15:20:59)
NO APARECE ESTA INFO AQUÍ
------
ID#AAAAZuyW9Pc
SHARON MELISA REINA GONZALEZ    (2022-05-26 15:22:42)
CESAR ANDREY PERDOMO CHARRY</t>
        </r>
      </text>
    </comment>
    <comment ref="BF82" authorId="0" shapeId="0" xr:uid="{00000000-0006-0000-0600-000088000000}">
      <text>
        <r>
          <rPr>
            <sz val="11"/>
            <color indexed="8"/>
            <rFont val="Helvetica Neue"/>
          </rPr>
          <t>Autor importado:
======
ID#AAAAZuyW9PY
SHARON MELISA REINA GONZALEZ    (2022-05-26 15:22:02)
HANS IGOR LOPEZ RODRIGUEZ</t>
        </r>
      </text>
    </comment>
    <comment ref="BG82" authorId="0" shapeId="0" xr:uid="{00000000-0006-0000-0600-000089000000}">
      <text>
        <r>
          <rPr>
            <sz val="11"/>
            <color indexed="8"/>
            <rFont val="Helvetica Neue"/>
          </rPr>
          <t>Autor importado:
======
ID#AAAAZuyW9PQ
SHARON MELISA REINA GONZALEZ    (2022-05-26 15:21:27)
CESAR ANDREY PERDOMO</t>
        </r>
      </text>
    </comment>
    <comment ref="BH82" authorId="0" shapeId="0" xr:uid="{00000000-0006-0000-0600-00008A000000}">
      <text>
        <r>
          <rPr>
            <sz val="11"/>
            <color indexed="8"/>
            <rFont val="Helvetica Neue"/>
          </rPr>
          <t>Autor importado:
======
ID#AAAAZuyW9PU
SHARON MELISA REINA GONZALEZ    (2022-05-26 15:21:41)
HANS IGOR LOPEZ RODRIGUEZ</t>
        </r>
      </text>
    </comment>
    <comment ref="J84" authorId="0" shapeId="0" xr:uid="{00000000-0006-0000-0600-000021000000}">
      <text>
        <r>
          <rPr>
            <sz val="11"/>
            <color indexed="8"/>
            <rFont val="Helvetica Neue"/>
          </rPr>
          <t>Autor importado:
======
ID#AAAAZuyW9Pk
SHARON MELISA REINA GONZALEZ    (2022-05-26 15:25:42)
PAULO ALONSO GAONA</t>
        </r>
      </text>
    </comment>
    <comment ref="BD84" authorId="0" shapeId="0" xr:uid="{00000000-0006-0000-0600-000022000000}">
      <text>
        <r>
          <rPr>
            <sz val="11"/>
            <color indexed="8"/>
            <rFont val="Helvetica Neue"/>
          </rPr>
          <t>Autor importado:
======
ID#AAAAZuyW9Ps
SHARON MELISA REINA GONZALEZ    (2022-05-26 15:26:53)
PAULO ALONSO GAONA</t>
        </r>
      </text>
    </comment>
    <comment ref="BE84" authorId="0" shapeId="0" xr:uid="{00000000-0006-0000-0600-000023000000}">
      <text>
        <r>
          <rPr>
            <sz val="11"/>
            <color indexed="8"/>
            <rFont val="Helvetica Neue"/>
          </rPr>
          <t>Autor importado:
======
ID#AAAAZuyW9Po
SHARON MELISA REINA GONZALEZ    (2022-05-26 15:26:30)
NO APARECE ESTA INFO EN EL OTRO EXCEL</t>
        </r>
      </text>
    </comment>
    <comment ref="J89" authorId="0" shapeId="0" xr:uid="{00000000-0006-0000-0600-000077000000}">
      <text>
        <r>
          <rPr>
            <sz val="11"/>
            <color indexed="8"/>
            <rFont val="Helvetica Neue"/>
          </rPr>
          <t>Autor importado:
======
ID#AAAAZuyW9TQ
SHARON MELISA REINA GONZALEZ    (2022-05-26 15:55:17)
APARECE JOSE ANTONIO VALERO</t>
        </r>
      </text>
    </comment>
    <comment ref="J92" authorId="0" shapeId="0" xr:uid="{00000000-0006-0000-0600-00008C000000}">
      <text>
        <r>
          <rPr>
            <sz val="11"/>
            <color indexed="8"/>
            <rFont val="Helvetica Neue"/>
          </rPr>
          <t>Autor importado:
======
ID#AAAAZuyW9TY
SHARON MELISA REINA GONZALEZ    (2022-05-26 16:07:55)
EN L OTRO EXCEL NO APARECE</t>
        </r>
      </text>
    </comment>
    <comment ref="J95" authorId="0" shapeId="0" xr:uid="{00000000-0006-0000-0600-000063000000}">
      <text>
        <r>
          <rPr>
            <sz val="11"/>
            <color indexed="8"/>
            <rFont val="Helvetica Neue"/>
          </rPr>
          <t>Autor importado:
======
ID#AAAAZuyW9Tc
SHARON MELISA REINA GONZALEZ    (2022-05-26 16:09:21)
APARECE COMO DIRECTOR ROBERTO FERRO ESCOBAR</t>
        </r>
      </text>
    </comment>
    <comment ref="J99" authorId="0" shapeId="0" xr:uid="{00000000-0006-0000-0600-00008D000000}">
      <text>
        <r>
          <rPr>
            <sz val="11"/>
            <color indexed="8"/>
            <rFont val="Helvetica Neue"/>
          </rPr>
          <t>Autor importado:
======
ID#AAAAZuyW9Tk
SHARON MELISA REINA GONZALEZ    (2022-05-26 16:25:24)
EL DIRECTOR QUE APARECE ES JUAN CARLOS GOMEZ PAREDES</t>
        </r>
      </text>
    </comment>
    <comment ref="J102" authorId="0" shapeId="0" xr:uid="{00000000-0006-0000-0600-000001000000}">
      <text>
        <r>
          <rPr>
            <sz val="11"/>
            <color indexed="8"/>
            <rFont val="Helvetica Neue"/>
          </rPr>
          <t>Autor importado:
======
ID#AAAAZuyW9Tw
SHARON MELISA REINA GONZALEZ    (2022-05-26 16:28:05)
RUBEN JAVIER MEDINA</t>
        </r>
      </text>
    </comment>
    <comment ref="J103" authorId="0" shapeId="0" xr:uid="{00000000-0006-0000-0600-000006000000}">
      <text>
        <r>
          <rPr>
            <sz val="11"/>
            <color indexed="8"/>
            <rFont val="Helvetica Neue"/>
          </rPr>
          <t>Autor importado:
======
ID#AAAAZuyW9T0
SHARON MELISA REINA GONZALEZ    (2022-05-26 16:29:19)
APARECE ES LUZ ANGELA ROCHA</t>
        </r>
      </text>
    </comment>
    <comment ref="J104" authorId="0" shapeId="0" xr:uid="{00000000-0006-0000-0600-000007000000}">
      <text>
        <r>
          <rPr>
            <sz val="11"/>
            <color indexed="8"/>
            <rFont val="Helvetica Neue"/>
          </rPr>
          <t>Autor importado:
======
ID#AAAAZuyW9T4
SHARON MELISA REINA GONZALEZ    (2022-05-26 16:38:36)
CARLOS ENRIQUE MONTENEGRO</t>
        </r>
      </text>
    </comment>
    <comment ref="J106" authorId="0" shapeId="0" xr:uid="{00000000-0006-0000-0600-000079000000}">
      <text>
        <r>
          <rPr>
            <sz val="11"/>
            <color indexed="8"/>
            <rFont val="Helvetica Neue"/>
          </rPr>
          <t>Autor importado:
======
ID#AAAAZuyW9T8
SHARON MELISA REINA GONZALEZ    (2022-05-26 16:39:38)
JOSE NELSON PEREZ</t>
        </r>
      </text>
    </comment>
    <comment ref="BD106" authorId="0" shapeId="0" xr:uid="{00000000-0006-0000-0600-00007A000000}">
      <text>
        <r>
          <rPr>
            <sz val="11"/>
            <color indexed="8"/>
            <rFont val="Helvetica Neue"/>
          </rPr>
          <t>Autor importado:
======
ID#AAAAZuyW9UA
SHARON MELISA REINA GONZALEZ    (2022-05-26 16:40:01)
JOSE NELSON PEREZ</t>
        </r>
      </text>
    </comment>
    <comment ref="J107" authorId="0" shapeId="0" xr:uid="{00000000-0006-0000-0600-000064000000}">
      <text>
        <r>
          <rPr>
            <sz val="11"/>
            <color indexed="8"/>
            <rFont val="Helvetica Neue"/>
          </rPr>
          <t>Autor importado:
======
ID#AAAAZuyW9UE
SHARON MELISA REINA GONZALEZ    (2022-05-26 16:40:49)
CESAR AUGUSTO HERNANDEZ SUAREZ</t>
        </r>
      </text>
    </comment>
    <comment ref="BD107" authorId="0" shapeId="0" xr:uid="{00000000-0006-0000-0600-000065000000}">
      <text>
        <r>
          <rPr>
            <sz val="11"/>
            <color indexed="8"/>
            <rFont val="Helvetica Neue"/>
          </rPr>
          <t>Autor importado:
======
ID#AAAAZuyW9UI
SHARON MELISA REINA GONZALEZ    (2022-05-26 16:41:00)
CESAR AUGUSTO HERNANDEZ SUAREZ</t>
        </r>
      </text>
    </comment>
    <comment ref="J110" authorId="0" shapeId="0" xr:uid="{00000000-0006-0000-0600-00006B000000}">
      <text>
        <r>
          <rPr>
            <sz val="11"/>
            <color indexed="8"/>
            <rFont val="Helvetica Neue"/>
          </rPr>
          <t>Autor importado:
======
ID#AAAAZuyW9UQ
SHARON MELISA REINA GONZALEZ    (2022-05-26 16:49:15)
ANDRES CARDENAS CONTRERAS</t>
        </r>
      </text>
    </comment>
    <comment ref="BD110" authorId="0" shapeId="0" xr:uid="{00000000-0006-0000-0600-00006C000000}">
      <text>
        <r>
          <rPr>
            <sz val="11"/>
            <color indexed="8"/>
            <rFont val="Helvetica Neue"/>
          </rPr>
          <t>Autor importado:
======
ID#AAAAZuyW9UU
SHARON MELISA REINA GONZALEZ    (2022-05-26 16:49:45)
ANDRES CARDENAS CONTRERAS</t>
        </r>
      </text>
    </comment>
    <comment ref="J112" authorId="0" shapeId="0" xr:uid="{00000000-0006-0000-0600-000029000000}">
      <text>
        <r>
          <rPr>
            <sz val="11"/>
            <color indexed="8"/>
            <rFont val="Helvetica Neue"/>
          </rPr>
          <t>Autor importado:
======
ID#AAAAZuyW9UY
SHARON MELISA REINA GONZALEZ    (2022-05-26 16:54:28)
LILIA EDITH APARICIO PICO</t>
        </r>
      </text>
    </comment>
    <comment ref="BD112" authorId="0" shapeId="0" xr:uid="{00000000-0006-0000-0600-00002A000000}">
      <text>
        <r>
          <rPr>
            <sz val="11"/>
            <color indexed="8"/>
            <rFont val="Helvetica Neue"/>
          </rPr>
          <t>Autor importado:
======
ID#AAAAZuyW9Uc
SHARON MELISA REINA GONZALEZ    (2022-05-26 16:54:44)
LILIA EDITH APARICIO PICO</t>
        </r>
      </text>
    </comment>
    <comment ref="J113" authorId="0" shapeId="0" xr:uid="{00000000-0006-0000-0600-00007C000000}">
      <text>
        <r>
          <rPr>
            <sz val="11"/>
            <color indexed="8"/>
            <rFont val="Helvetica Neue"/>
          </rPr>
          <t>Autor importado:
======
ID#AAAAZuyW9Ug
SHARON MELISA REINA GONZALEZ    (2022-05-26 16:55:48)
OCTAVIO SALCEDO PARRA</t>
        </r>
      </text>
    </comment>
    <comment ref="BD113" authorId="0" shapeId="0" xr:uid="{00000000-0006-0000-0600-00007D000000}">
      <text>
        <r>
          <rPr>
            <sz val="11"/>
            <color indexed="8"/>
            <rFont val="Helvetica Neue"/>
          </rPr>
          <t>Autor importado:
======
ID#AAAAZuyW9Uk
SHARON MELISA REINA GONZALEZ    (2022-05-26 16:55:54)
OCTAVIO SALCEDO PARRA</t>
        </r>
      </text>
    </comment>
    <comment ref="J114" authorId="0" shapeId="0" xr:uid="{00000000-0006-0000-0600-00004D000000}">
      <text>
        <r>
          <rPr>
            <sz val="11"/>
            <color indexed="8"/>
            <rFont val="Helvetica Neue"/>
          </rPr>
          <t>Autor importado:
======
ID#AAAAZuyW9Uo
SHARON MELISA REINA GONZALEZ    (2022-05-26 16:56:42)
LILIA EDITH APARICIO PICO</t>
        </r>
      </text>
    </comment>
    <comment ref="BD114" authorId="0" shapeId="0" xr:uid="{00000000-0006-0000-0600-00004E000000}">
      <text>
        <r>
          <rPr>
            <sz val="11"/>
            <color indexed="8"/>
            <rFont val="Helvetica Neue"/>
          </rPr>
          <t>Autor importado:
======
ID#AAAAZuyW9Us
SHARON MELISA REINA GONZALEZ    (2022-05-26 16:56:50)
LILIA EDITH APARICIO PICO</t>
        </r>
      </text>
    </comment>
    <comment ref="J119" authorId="0" shapeId="0" xr:uid="{00000000-0006-0000-0600-000066000000}">
      <text>
        <r>
          <rPr>
            <sz val="11"/>
            <color indexed="8"/>
            <rFont val="Helvetica Neue"/>
          </rPr>
          <t>Autor importado:
======
ID#AAAAZuyW9VU
SHARON MELISA REINA GONZALEZ    (2022-05-26 17:08:15)
RUBEN JAVIER MEDINA</t>
        </r>
      </text>
    </comment>
    <comment ref="BD119" authorId="0" shapeId="0" xr:uid="{00000000-0006-0000-0600-000067000000}">
      <text>
        <r>
          <rPr>
            <sz val="11"/>
            <color indexed="8"/>
            <rFont val="Helvetica Neue"/>
          </rPr>
          <t>Autor importado:
======
ID#AAAAZuyW9VQ
SHARON MELISA REINA GONZALEZ    (2022-05-26 17:08:09)
RUBEN JAVIER MEDINA</t>
        </r>
      </text>
    </comment>
    <comment ref="B121" authorId="1" shapeId="0" xr:uid="{6E694448-02EE-4321-9563-EEC524518D78}">
      <text>
        <r>
          <rPr>
            <sz val="11"/>
            <color indexed="8"/>
            <rFont val="Verdana"/>
          </rPr>
          <t>[Threaded comment]
Your version of Excel allows you to read this threaded comment; however, any edits to it will get removed if the file is opened in a newer version of Excel. Learn more: https://go.microsoft.com/fwlink/?linkid=870924
Comment:
    Error en los datos registrados, revisar a detalle cada celda.</t>
        </r>
      </text>
    </comment>
    <comment ref="J121" authorId="0" shapeId="0" xr:uid="{00000000-0006-0000-0600-00002D000000}">
      <text>
        <r>
          <rPr>
            <sz val="11"/>
            <color indexed="8"/>
            <rFont val="Helvetica Neue"/>
          </rPr>
          <t>Autor importado:
======
ID#AAAAZuyW9Vs
SHARON MELISA REINA GONZALEZ    (2022-05-26 17:19:03)
OCTAVIO SALCEDO PARRA</t>
        </r>
      </text>
    </comment>
    <comment ref="BD121" authorId="0" shapeId="0" xr:uid="{00000000-0006-0000-0600-00002E000000}">
      <text>
        <r>
          <rPr>
            <sz val="11"/>
            <color indexed="8"/>
            <rFont val="Helvetica Neue"/>
          </rPr>
          <t>Autor importado:
======
ID#AAAAZuyW9V0
SHARON MELISA REINA GONZALEZ    (2022-05-26 17:19:20)
OCTAVIO SALCEDO PARRA</t>
        </r>
      </text>
    </comment>
    <comment ref="J122" authorId="0" shapeId="0" xr:uid="{00000000-0006-0000-0600-000026000000}">
      <text>
        <r>
          <rPr>
            <sz val="11"/>
            <color indexed="8"/>
            <rFont val="Helvetica Neue"/>
          </rPr>
          <t>Autor importado:
======
ID#AAAAZuyW9V8
SHARON MELISA REINA GONZALEZ    (2022-05-26 17:20:05)
ROBERTO FERRO ESCOBAR</t>
        </r>
      </text>
    </comment>
    <comment ref="BD122" authorId="0" shapeId="0" xr:uid="{00000000-0006-0000-0600-000027000000}">
      <text>
        <r>
          <rPr>
            <sz val="11"/>
            <color indexed="8"/>
            <rFont val="Helvetica Neue"/>
          </rPr>
          <t>Autor importado:
======
ID#AAAAZuyW9WE
SHARON MELISA REINA GONZALEZ    (2022-05-26 17:20:39)
ROBERTO FERRO ESCOBAR</t>
        </r>
      </text>
    </comment>
    <comment ref="J123" authorId="0" shapeId="0" xr:uid="{00000000-0006-0000-0600-00002F000000}">
      <text>
        <r>
          <rPr>
            <sz val="11"/>
            <color indexed="8"/>
            <rFont val="Helvetica Neue"/>
          </rPr>
          <t>Autor importado:
======
ID#AAAAZuyW9WA
SHARON MELISA REINA GONZALEZ    (2022-05-26 17:20:31)
ROBERTO FERRO ESCOBAR</t>
        </r>
      </text>
    </comment>
    <comment ref="BD123" authorId="0" shapeId="0" xr:uid="{00000000-0006-0000-0600-000030000000}">
      <text>
        <r>
          <rPr>
            <sz val="11"/>
            <color indexed="8"/>
            <rFont val="Helvetica Neue"/>
          </rPr>
          <t>Autor importado:
======
ID#AAAAZuyW9WI
SHARON MELISA REINA GONZALEZ    (2022-05-26 17:20:44)
ROBERTO FERRO ESCOBAR</t>
        </r>
      </text>
    </comment>
    <comment ref="J128" authorId="0" shapeId="0" xr:uid="{00000000-0006-0000-0600-000031000000}">
      <text>
        <r>
          <rPr>
            <sz val="11"/>
            <color indexed="8"/>
            <rFont val="Helvetica Neue"/>
          </rPr>
          <t>Autor importado:
======
ID#AAAAZuyW9Ws
SHARON MELISA REINA GONZALEZ    (2022-05-26 17:27:48)
ALVARO ESPINEL ORTEGA</t>
        </r>
      </text>
    </comment>
    <comment ref="BD128" authorId="0" shapeId="0" xr:uid="{00000000-0006-0000-0600-000032000000}">
      <text>
        <r>
          <rPr>
            <sz val="11"/>
            <color indexed="8"/>
            <rFont val="Helvetica Neue"/>
          </rPr>
          <t>Autor importado:
======
ID#AAAAZuyW9Ww
SHARON MELISA REINA GONZALEZ    (2022-05-26 17:28:08)
ALVARO ESPINEL ORTEGA</t>
        </r>
      </text>
    </comment>
    <comment ref="J130" authorId="0" shapeId="0" xr:uid="{00000000-0006-0000-0600-000024000000}">
      <text>
        <r>
          <rPr>
            <sz val="11"/>
            <color indexed="8"/>
            <rFont val="Helvetica Neue"/>
          </rPr>
          <t>Autor importado:
======
ID#AAAAZuyW9W4
SHARON MELISA REINA GONZALEZ    (2022-05-26 17:30:06)
ALVARO ENRIQUE ORTÍZ DÁVILA</t>
        </r>
      </text>
    </comment>
    <comment ref="BD130" authorId="0" shapeId="0" xr:uid="{00000000-0006-0000-0600-000025000000}">
      <text>
        <r>
          <rPr>
            <sz val="11"/>
            <color indexed="8"/>
            <rFont val="Helvetica Neue"/>
          </rPr>
          <t>Autor importado:
======
ID#AAAAZuyW9XA
SHARON MELISA REINA GONZALEZ    (2022-05-26 17:30:40)
ALVARO ENRIQUE ORTÍZ DÁVILA</t>
        </r>
      </text>
    </comment>
    <comment ref="J131" authorId="0" shapeId="0" xr:uid="{00000000-0006-0000-0600-00008E000000}">
      <text>
        <r>
          <rPr>
            <sz val="11"/>
            <color indexed="8"/>
            <rFont val="Helvetica Neue"/>
          </rPr>
          <t>Autor importado:
======
ID#AAAAZuyW9W8
SHARON MELISA REINA GONZALEZ    (2022-05-26 17:30:11)
ALVARO ENRIQUE ORTÍZ DÁVILA</t>
        </r>
      </text>
    </comment>
    <comment ref="BD131" authorId="0" shapeId="0" xr:uid="{00000000-0006-0000-0600-00008F000000}">
      <text>
        <r>
          <rPr>
            <sz val="11"/>
            <color indexed="8"/>
            <rFont val="Helvetica Neue"/>
          </rPr>
          <t>Autor importado:
======
ID#AAAAZuyW9XE
SHARON MELISA REINA GONZALEZ    (2022-05-26 17:30:45)
ALVARO ENRIQUE ORTÍZ DÁVILA</t>
        </r>
      </text>
    </comment>
    <comment ref="J133" authorId="0" shapeId="0" xr:uid="{00000000-0006-0000-0600-000017000000}">
      <text>
        <r>
          <rPr>
            <sz val="11"/>
            <color indexed="8"/>
            <rFont val="Helvetica Neue"/>
          </rPr>
          <t>Autor importado:
======
ID#AAAAZuyW9XM
SHARON MELISA REINA GONZALEZ    (2022-05-26 17:32:02)
OCTAVIO SALCEDO PARRA</t>
        </r>
      </text>
    </comment>
    <comment ref="BD133" authorId="0" shapeId="0" xr:uid="{00000000-0006-0000-0600-000018000000}">
      <text>
        <r>
          <rPr>
            <sz val="11"/>
            <color indexed="8"/>
            <rFont val="Helvetica Neue"/>
          </rPr>
          <t>Autor importado:
======
ID#AAAAZuyW9XI
SHARON MELISA REINA GONZALEZ    (2022-05-26 17:31:52)
OCTAVIO SALCEDO PARRA</t>
        </r>
      </text>
    </comment>
    <comment ref="J134" authorId="0" shapeId="0" xr:uid="{00000000-0006-0000-0600-000033000000}">
      <text>
        <r>
          <rPr>
            <sz val="11"/>
            <color indexed="8"/>
            <rFont val="Helvetica Neue"/>
          </rPr>
          <t>Autor importado:
======
ID#AAAAZuyW9XQ
SHARON MELISA REINA GONZALEZ    (2022-05-26 17:32:37)
OCTAVIO SALCEDO PARRA</t>
        </r>
      </text>
    </comment>
    <comment ref="BD134" authorId="0" shapeId="0" xr:uid="{00000000-0006-0000-0600-000034000000}">
      <text>
        <r>
          <rPr>
            <sz val="11"/>
            <color indexed="8"/>
            <rFont val="Helvetica Neue"/>
          </rPr>
          <t>Autor importado:
======
ID#AAAAZuyW9XU
SHARON MELISA REINA GONZALEZ    (2022-05-26 17:33:02)
OCTAVIO SALCEDO PARRA</t>
        </r>
      </text>
    </comment>
    <comment ref="J135" authorId="0" shapeId="0" xr:uid="{00000000-0006-0000-0600-00004A000000}">
      <text>
        <r>
          <rPr>
            <sz val="11"/>
            <color indexed="8"/>
            <rFont val="Helvetica Neue"/>
          </rPr>
          <t>Autor importado:
======
ID#AAAAZuyW9XY
SHARON MELISA REINA GONZALEZ    (2022-05-26 17:33:46)
ROBERTO FERRO ESCOBAR</t>
        </r>
      </text>
    </comment>
    <comment ref="BD135" authorId="0" shapeId="0" xr:uid="{00000000-0006-0000-0600-00004B000000}">
      <text>
        <r>
          <rPr>
            <sz val="11"/>
            <color indexed="8"/>
            <rFont val="Helvetica Neue"/>
          </rPr>
          <t>Autor importado:
======
ID#AAAAZuyW9Xc
SHARON MELISA REINA GONZALEZ    (2022-05-26 17:33:57)
ROBERTO FERRO ESCOBAR</t>
        </r>
      </text>
    </comment>
    <comment ref="J136" authorId="0" shapeId="0" xr:uid="{00000000-0006-0000-0600-000008000000}">
      <text>
        <r>
          <rPr>
            <sz val="11"/>
            <color indexed="8"/>
            <rFont val="Helvetica Neue"/>
          </rPr>
          <t>Autor importado:
======
ID#AAAAZuyW9X8
SHARON MELISA REINA GONZALEZ    (2022-05-26 18:40:25)
ERNESTO GÓMEZ VARGAS</t>
        </r>
      </text>
    </comment>
    <comment ref="BD136" authorId="0" shapeId="0" xr:uid="{00000000-0006-0000-0600-000009000000}">
      <text>
        <r>
          <rPr>
            <sz val="11"/>
            <color indexed="8"/>
            <rFont val="Helvetica Neue"/>
          </rPr>
          <t>Autor importado:
======
ID#AAAAZuyW9YA
SHARON MELISA REINA GONZALEZ    (2022-05-26 18:40:42)
ERNESTO GÓMEZ VARGAS</t>
        </r>
      </text>
    </comment>
    <comment ref="J139" authorId="0" shapeId="0" xr:uid="{00000000-0006-0000-0600-00001A000000}">
      <text>
        <r>
          <rPr>
            <sz val="11"/>
            <color indexed="8"/>
            <rFont val="Helvetica Neue"/>
          </rPr>
          <t>Autor importado:
======
ID#AAAAZuyW9YQ
SHARON MELISA REINA GONZALEZ    (2022-05-26 18:43:00)
OCTAVIO SALCEDO PARRA</t>
        </r>
      </text>
    </comment>
    <comment ref="BD139" authorId="0" shapeId="0" xr:uid="{00000000-0006-0000-0600-00001B000000}">
      <text>
        <r>
          <rPr>
            <sz val="11"/>
            <color indexed="8"/>
            <rFont val="Helvetica Neue"/>
          </rPr>
          <t>Autor importado:
======
ID#AAAAZuyW9YU
SHARON MELISA REINA GONZALEZ    (2022-05-26 18:43:13)
OCTAVIO SALCEDO PARRA</t>
        </r>
      </text>
    </comment>
    <comment ref="J142" authorId="0" shapeId="0" xr:uid="{00000000-0006-0000-0600-00003B000000}">
      <text>
        <r>
          <rPr>
            <sz val="11"/>
            <color indexed="8"/>
            <rFont val="Helvetica Neue"/>
          </rPr>
          <t>Autor importado:
======
ID#AAAAZuyW9Yg
SHARON MELISA REINA GONZALEZ    (2022-05-26 18:45:21)
ELVIS EDUARDO GAONA GARCÍA</t>
        </r>
      </text>
    </comment>
    <comment ref="J144" authorId="0" shapeId="0" xr:uid="{00000000-0006-0000-0600-000058000000}">
      <text>
        <r>
          <rPr>
            <sz val="11"/>
            <color indexed="8"/>
            <rFont val="Helvetica Neue"/>
          </rPr>
          <t>Autor importado:
======
ID#AAAAZuyW9Yk
SHARON MELISA REINA GONZALEZ    (2022-05-26 18:46:43)
FRANCISCO SANTAMARIA</t>
        </r>
      </text>
    </comment>
    <comment ref="J145" authorId="0" shapeId="0" xr:uid="{00000000-0006-0000-0600-00000A000000}">
      <text>
        <r>
          <rPr>
            <sz val="11"/>
            <color indexed="8"/>
            <rFont val="Helvetica Neue"/>
          </rPr>
          <t>Autor importado:
======
ID#AAAAZuyW9Ys
SHARON MELISA REINA GONZALEZ    (2022-05-26 18:47:26)
ROBERTO FERRO ESCOBAR</t>
        </r>
      </text>
    </comment>
    <comment ref="BD145" authorId="0" shapeId="0" xr:uid="{00000000-0006-0000-0600-00000B000000}">
      <text>
        <r>
          <rPr>
            <sz val="11"/>
            <color indexed="8"/>
            <rFont val="Helvetica Neue"/>
          </rPr>
          <t>Autor importado:
======
ID#AAAAZuyW9Yw
SHARON MELISA REINA GONZALEZ    (2022-05-26 18:47:39)
ROBERTO FERRO ESCOBAR</t>
        </r>
      </text>
    </comment>
    <comment ref="BD146" authorId="0" shapeId="0" xr:uid="{00000000-0006-0000-0600-00001D000000}">
      <text>
        <r>
          <rPr>
            <sz val="11"/>
            <color indexed="8"/>
            <rFont val="Helvetica Neue"/>
          </rPr>
          <t>Autor importado:
======
ID#AAAAZuyW9Y4
SHARON MELISA REINA GONZALEZ    (2022-05-26 18:49:30)
GUSTAVO ADOLFO PUERTO</t>
        </r>
      </text>
    </comment>
    <comment ref="J148" authorId="0" shapeId="0" xr:uid="{00000000-0006-0000-0600-00006E000000}">
      <text>
        <r>
          <rPr>
            <sz val="11"/>
            <color indexed="8"/>
            <rFont val="Helvetica Neue"/>
          </rPr>
          <t>Autor importado:
======
ID#AAAAZuyW9ZA
SHARON MELISA REINA GONZALEZ    (2022-05-26 18:51:37)
CESAR ANDREY PERDOMO</t>
        </r>
      </text>
    </comment>
    <comment ref="J149" authorId="0" shapeId="0" xr:uid="{00000000-0006-0000-0600-000046000000}">
      <text>
        <r>
          <rPr>
            <sz val="11"/>
            <color indexed="8"/>
            <rFont val="Helvetica Neue"/>
          </rPr>
          <t>Autor importado:
======
ID#AAAAZuyW9ZE
SHARON MELISA REINA GONZALEZ    (2022-05-26 18:52:12)
CARLOS ENRIQUE MONTENEGRO</t>
        </r>
      </text>
    </comment>
    <comment ref="J150" authorId="0" shapeId="0" xr:uid="{00000000-0006-0000-0600-00000C000000}">
      <text>
        <r>
          <rPr>
            <sz val="11"/>
            <color indexed="8"/>
            <rFont val="Helvetica Neue"/>
          </rPr>
          <t>Autor importado:
======
ID#AAAAZuyW9ZI
SHARON MELISA REINA GONZALEZ    (2022-05-26 18:52:59)
GUSTAVO ADOLFO PUERTO</t>
        </r>
      </text>
    </comment>
    <comment ref="J154" authorId="0" shapeId="0" xr:uid="{00000000-0006-0000-0600-00004F000000}">
      <text>
        <r>
          <rPr>
            <sz val="11"/>
            <color indexed="8"/>
            <rFont val="Helvetica Neue"/>
          </rPr>
          <t>Autor importado:
======
ID#AAAAZuyW9ZU
SHARON MELISA REINA GONZALEZ    (2022-05-26 18:55:55)
ELVIS EDUARDO GAONA GARCÍA</t>
        </r>
      </text>
    </comment>
    <comment ref="J159" authorId="0" shapeId="0" xr:uid="{00000000-0006-0000-0600-00005E000000}">
      <text>
        <r>
          <rPr>
            <sz val="11"/>
            <color indexed="8"/>
            <rFont val="Helvetica Neue"/>
          </rPr>
          <t>Autor importado:
======
ID#AAAAZuyW9Zs
SHARON MELISA REINA GONZALEZ    (2022-05-26 18:58:59)
OCTAVIO SALCEDO PARRA</t>
        </r>
      </text>
    </comment>
    <comment ref="J163" authorId="0" shapeId="0" xr:uid="{00000000-0006-0000-0600-000050000000}">
      <text>
        <r>
          <rPr>
            <sz val="11"/>
            <color indexed="8"/>
            <rFont val="Helvetica Neue"/>
          </rPr>
          <t>Autor importado:
======
ID#AAAAZuyW9Z8
SHARON MELISA REINA GONZALEZ    (2022-05-26 19:02:39)
ROBERTO CARDENAS</t>
        </r>
      </text>
    </comment>
    <comment ref="J167" authorId="0" shapeId="0" xr:uid="{00000000-0006-0000-0600-00003C000000}">
      <text>
        <r>
          <rPr>
            <sz val="11"/>
            <color indexed="8"/>
            <rFont val="Helvetica Neue"/>
          </rPr>
          <t>Autor importado:
======
ID#AAAAZuyW9aM
SHARON MELISA REINA GONZALEZ    (2022-05-26 19:06:18)
CESAR AUGUSTO HERNANDEZ SUAREZ</t>
        </r>
      </text>
    </comment>
    <comment ref="J168" authorId="0" shapeId="0" xr:uid="{00000000-0006-0000-0600-000076000000}">
      <text>
        <r>
          <rPr>
            <sz val="11"/>
            <color indexed="8"/>
            <rFont val="Helvetica Neue"/>
          </rPr>
          <t>Autor importado:
======
ID#AAAAZuyW9aQ
SHARON MELISA REINA GONZALEZ    (2022-05-26 19:06:56)
ALVARO ESPINEL ORTEGA</t>
        </r>
      </text>
    </comment>
    <comment ref="J175" authorId="0" shapeId="0" xr:uid="{00000000-0006-0000-0600-00007B000000}">
      <text>
        <r>
          <rPr>
            <sz val="11"/>
            <color indexed="8"/>
            <rFont val="Helvetica Neue"/>
          </rPr>
          <t>Autor importado:
======
ID#AAAAZuyW9ao
SHARON MELISA REINA GONZALEZ    (2022-05-26 19:14:56)
JOSE NELSON PEREZ</t>
        </r>
      </text>
    </comment>
    <comment ref="B178" authorId="2" shapeId="0" xr:uid="{E0261C08-167D-43B0-A58A-2163B01FF215}">
      <text>
        <r>
          <rPr>
            <sz val="11"/>
            <color indexed="8"/>
            <rFont val="Verdana"/>
          </rPr>
          <t>[Threaded comment]
Your version of Excel allows you to read this threaded comment; however, any edits to it will get removed if the file is opened in a newer version of Excel. Learn more: https://go.microsoft.com/fwlink/?linkid=870924
Comment:
    Cambio de acuerdo acta 024-2022</t>
        </r>
      </text>
    </comment>
    <comment ref="J179" authorId="0" shapeId="0" xr:uid="{00000000-0006-0000-0600-000062000000}">
      <text>
        <r>
          <rPr>
            <sz val="11"/>
            <color indexed="8"/>
            <rFont val="Helvetica Neue"/>
          </rPr>
          <t>Autor importado:
======
ID#AAAAZuyW9a0
SHARON MELISA REINA GONZALEZ    (2022-05-26 19:17:07)
RUBEN JAVIER MEDINA</t>
        </r>
      </text>
    </comment>
    <comment ref="J180" authorId="0" shapeId="0" xr:uid="{00000000-0006-0000-0600-000012000000}">
      <text>
        <r>
          <rPr>
            <sz val="11"/>
            <color indexed="8"/>
            <rFont val="Helvetica Neue"/>
          </rPr>
          <t>Autor importado:
======
ID#AAAAZuyW9a4
SHARON MELISA REINA GONZALEZ    (2022-05-26 19:17:29)
JOSE NELSON PEREZ</t>
        </r>
      </text>
    </comment>
    <comment ref="J193" authorId="0" shapeId="0" xr:uid="{00000000-0006-0000-0600-000035000000}">
      <text>
        <r>
          <rPr>
            <sz val="11"/>
            <color indexed="8"/>
            <rFont val="Helvetica Neue"/>
          </rPr>
          <t>Autor importado:
======
ID#AAAAaQEpgSw
SHARON MELISA REINA GONZALEZ    (2022-06-03 13:49:37)
ALVARO ESPINEL ORTEGA</t>
        </r>
      </text>
    </comment>
    <comment ref="BD196" authorId="0" shapeId="0" xr:uid="{00000000-0006-0000-0600-000038000000}">
      <text>
        <r>
          <rPr>
            <sz val="11"/>
            <color indexed="8"/>
            <rFont val="Helvetica Neue"/>
          </rPr>
          <t>Autor importado:
======
ID#AAAAaQEpgTA
SHARON MELISA REINA GONZALEZ    (2022-06-03 13:52:43)
JULIO BARON VELANDIA</t>
        </r>
      </text>
    </comment>
    <comment ref="J199" authorId="0" shapeId="0" xr:uid="{00000000-0006-0000-0600-000036000000}">
      <text>
        <r>
          <rPr>
            <sz val="11"/>
            <color indexed="8"/>
            <rFont val="Helvetica Neue"/>
          </rPr>
          <t>Autor importado:
======
ID#AAAAaQEpgTM
SHARON MELISA REINA GONZALEZ    (2022-06-03 13:55:08)
NELSON VERA</t>
        </r>
      </text>
    </comment>
    <comment ref="BD199" authorId="0" shapeId="0" xr:uid="{00000000-0006-0000-0600-000037000000}">
      <text>
        <r>
          <rPr>
            <sz val="11"/>
            <color indexed="8"/>
            <rFont val="Helvetica Neue"/>
          </rPr>
          <t>Autor importado:
======
ID#AAAAaQEpgTQ
SHARON MELISA REINA GONZALEZ    (2022-06-03 13:55:22)
NELSON VERA</t>
        </r>
      </text>
    </comment>
    <comment ref="BD200" authorId="0" shapeId="0" xr:uid="{00000000-0006-0000-0600-00003D000000}">
      <text>
        <r>
          <rPr>
            <sz val="11"/>
            <color indexed="8"/>
            <rFont val="Helvetica Neue"/>
          </rPr>
          <t>Autor importado:
======
ID#AAAAaQEpgTY
SHARON MELISA REINA GONZALEZ    (2022-06-03 13:56:57)
LILIA EDITH APARICIO PICO</t>
        </r>
      </text>
    </comment>
    <comment ref="BD201" authorId="0" shapeId="0" xr:uid="{00000000-0006-0000-0600-00003F000000}">
      <text>
        <r>
          <rPr>
            <sz val="11"/>
            <color indexed="8"/>
            <rFont val="Helvetica Neue"/>
          </rPr>
          <t>Autor importado:
======
ID#AAAAaQEpgTg
SHARON MELISA REINA GONZALEZ    (2022-06-03 13:59:04)
LINDSAY ALVAREZ</t>
        </r>
      </text>
    </comment>
    <comment ref="BD202" authorId="0" shapeId="0" xr:uid="{00000000-0006-0000-0600-000040000000}">
      <text>
        <r>
          <rPr>
            <sz val="11"/>
            <color indexed="8"/>
            <rFont val="Helvetica Neue"/>
          </rPr>
          <t>Autor importado:
======
ID#AAAAaQEpgTk
SHARON MELISA REINA GONZALEZ    (2022-06-03 14:00:06)
FRANCISCO ZAMORA</t>
        </r>
      </text>
    </comment>
    <comment ref="BD203" authorId="0" shapeId="0" xr:uid="{00000000-0006-0000-0600-000041000000}">
      <text>
        <r>
          <rPr>
            <sz val="11"/>
            <color indexed="8"/>
            <rFont val="Helvetica Neue"/>
          </rPr>
          <t>Autor importado:
======
ID#AAAAaQEpgTs
SHARON MELISA REINA GONZALEZ    (2022-06-03 14:01:30)
ROBERTO MANUEL POVEDA</t>
        </r>
      </text>
    </comment>
    <comment ref="J206" authorId="0" shapeId="0" xr:uid="{00000000-0006-0000-0600-000057000000}">
      <text>
        <r>
          <rPr>
            <sz val="11"/>
            <color indexed="8"/>
            <rFont val="Helvetica Neue"/>
          </rPr>
          <t>Autor importado:
======
ID#AAAAaQEpgUI
SHARON MELISA REINA GONZALEZ    (2022-06-03 14:07:52)
EDMUNDO VEGA</t>
        </r>
      </text>
    </comment>
    <comment ref="J207" authorId="0" shapeId="0" xr:uid="{00000000-0006-0000-0600-00000D000000}">
      <text>
        <r>
          <rPr>
            <sz val="11"/>
            <color indexed="8"/>
            <rFont val="Helvetica Neue"/>
          </rPr>
          <t>Autor importado:
======
ID#AAAAaQEpgUM
SHARON MELISA REINA GONZALEZ    (2022-06-03 14:08:23)
ERNESTO GÓMEZ VARGAS</t>
        </r>
      </text>
    </comment>
    <comment ref="J209" authorId="0" shapeId="0" xr:uid="{00000000-0006-0000-0600-000051000000}">
      <text>
        <r>
          <rPr>
            <sz val="11"/>
            <color indexed="8"/>
            <rFont val="Helvetica Neue"/>
          </rPr>
          <t>Autor importado:
======
ID#AAAAaQEpgUQ
SHARON MELISA REINA GONZALEZ    (2022-06-03 14:13:35)
CARLOS ARTURO SUAREZ FAJARDO</t>
        </r>
      </text>
    </comment>
    <comment ref="BD209" authorId="0" shapeId="0" xr:uid="{00000000-0006-0000-0600-000052000000}">
      <text>
        <r>
          <rPr>
            <sz val="11"/>
            <color indexed="8"/>
            <rFont val="Helvetica Neue"/>
          </rPr>
          <t>Autor importado:
======
ID#AAAAaQEpgUU
SHARON MELISA REINA GONZALEZ    (2022-06-03 14:13:47)
CARLOS ARTURO SUAREZ FAJARDO</t>
        </r>
      </text>
    </comment>
    <comment ref="J212" authorId="0" shapeId="0" xr:uid="{00000000-0006-0000-0600-00000E000000}">
      <text>
        <r>
          <rPr>
            <sz val="11"/>
            <color indexed="8"/>
            <rFont val="Helvetica Neue"/>
          </rPr>
          <t>Autor importado:
======
ID#AAAAaQEpgUc
SHARON MELISA REINA GONZALEZ    (2022-06-03 14:15:35)
ERNESTO GÓMEZ VARGAS</t>
        </r>
      </text>
    </comment>
    <comment ref="J214" authorId="0" shapeId="0" xr:uid="{00000000-0006-0000-0600-000069000000}">
      <text>
        <r>
          <rPr>
            <sz val="11"/>
            <color indexed="8"/>
            <rFont val="Helvetica Neue"/>
          </rPr>
          <t>Autor importado:
======
ID#AAAAaQEpgUo
SHARON MELISA REINA GONZALEZ    (2022-06-03 14:18:30)
LUZ ANGELA ROCHA</t>
        </r>
      </text>
    </comment>
    <comment ref="J219" authorId="0" shapeId="0" xr:uid="{00000000-0006-0000-0600-000045000000}">
      <text>
        <r>
          <rPr>
            <sz val="11"/>
            <color indexed="8"/>
            <rFont val="Helvetica Neue"/>
          </rPr>
          <t>Autor importado:
======
ID#AAAAaQEpgU0
SHARON MELISA REINA GONZALEZ    (2022-06-03 14:22:26)
WILLIAM BARRAGAN</t>
        </r>
      </text>
    </comment>
    <comment ref="J222" authorId="0" shapeId="0" xr:uid="{00000000-0006-0000-0600-000028000000}">
      <text>
        <r>
          <rPr>
            <sz val="11"/>
            <color indexed="8"/>
            <rFont val="Helvetica Neue"/>
          </rPr>
          <t>Autor importado:
======
ID#AAAAaQEpgVA
SHARON MELISA REINA GONZALEZ    (2022-06-03 14:30:57)
ALVARO ESPINEL ORTEGA</t>
        </r>
      </text>
    </comment>
    <comment ref="J225" authorId="0" shapeId="0" xr:uid="{00000000-0006-0000-0600-000047000000}">
      <text>
        <r>
          <rPr>
            <sz val="11"/>
            <color indexed="8"/>
            <rFont val="Helvetica Neue"/>
          </rPr>
          <t>Autor importado:
======
ID#AAAAaQEpgVQ
SHARON MELISA REINA GONZALEZ    (2022-06-03 14:43:08)
JOSE NELSON PEREZ/ NELSON VERA</t>
        </r>
      </text>
    </comment>
    <comment ref="J229" authorId="0" shapeId="0" xr:uid="{00000000-0006-0000-0600-00004C000000}">
      <text>
        <r>
          <rPr>
            <sz val="11"/>
            <color indexed="8"/>
            <rFont val="Helvetica Neue"/>
          </rPr>
          <t>Autor importado:
======
ID#AAAAaQEpgVs
SHARON MELISA REINA GONZALEZ    (2022-06-03 14:50:31)
JULIO BARON VELANDIA</t>
        </r>
      </text>
    </comment>
    <comment ref="J230" authorId="0" shapeId="0" xr:uid="{00000000-0006-0000-0600-00000F000000}">
      <text>
        <r>
          <rPr>
            <sz val="11"/>
            <color indexed="8"/>
            <rFont val="Helvetica Neue"/>
          </rPr>
          <t>Autor importado:
======
ID#AAAAaQEpgVw
SHARON MELISA REINA GONZALEZ    (2022-06-03 14:51:12)
ROBERTO CARDENAS</t>
        </r>
      </text>
    </comment>
    <comment ref="J233" authorId="0" shapeId="0" xr:uid="{00000000-0006-0000-0600-000074000000}">
      <text>
        <r>
          <rPr>
            <sz val="11"/>
            <color indexed="8"/>
            <rFont val="Helvetica Neue"/>
          </rPr>
          <t>Autor importado:
======
ID#AAAAaQEpgWI
SHARON MELISA REINA GONZALEZ    (2022-06-03 14:56:01)
CESAR AUGUSTO HERNANDEZ SUAREZ</t>
        </r>
      </text>
    </comment>
    <comment ref="J236" authorId="0" shapeId="0" xr:uid="{00000000-0006-0000-0600-000053000000}">
      <text>
        <r>
          <rPr>
            <sz val="11"/>
            <color indexed="8"/>
            <rFont val="Helvetica Neue"/>
          </rPr>
          <t>Autor importado:
======
ID#AAAAaQEpgWY
SHARON MELISA REINA GONZALEZ    (2022-06-03 14:59:19)
ALVARO ESPINEL ORTEGA</t>
        </r>
      </text>
    </comment>
    <comment ref="J237" authorId="0" shapeId="0" xr:uid="{00000000-0006-0000-0600-000084000000}">
      <text>
        <r>
          <rPr>
            <sz val="11"/>
            <color indexed="8"/>
            <rFont val="Helvetica Neue"/>
          </rPr>
          <t>Autor importado:
======
ID#AAAAaQEpgWc
SHARON MELISA REINA GONZALEZ    (2022-06-03 14:59:52)
RUBEN JAVIER MEDINA</t>
        </r>
      </text>
    </comment>
    <comment ref="J239" authorId="0" shapeId="0" xr:uid="{00000000-0006-0000-0600-000085000000}">
      <text>
        <r>
          <rPr>
            <sz val="11"/>
            <color indexed="8"/>
            <rFont val="Helvetica Neue"/>
          </rPr>
          <t>Autor importado:
======
ID#AAAAaQEpgW8
SHARON MELISA REINA GONZALEZ    (2022-06-03 15:15:29)
ERIKA UPEGUI</t>
        </r>
      </text>
    </comment>
    <comment ref="J240" authorId="0" shapeId="0" xr:uid="{00000000-0006-0000-0600-000010000000}">
      <text>
        <r>
          <rPr>
            <sz val="11"/>
            <color indexed="8"/>
            <rFont val="Helvetica Neue"/>
          </rPr>
          <t>Autor importado:
======
ID#AAAAaQEpgXA
SHARON MELISA REINA GONZALEZ    (2022-06-03 15:15:58)
ROBINSON QUINTANA</t>
        </r>
      </text>
    </comment>
    <comment ref="J241" authorId="0" shapeId="0" xr:uid="{00000000-0006-0000-0600-000054000000}">
      <text>
        <r>
          <rPr>
            <sz val="11"/>
            <color indexed="8"/>
            <rFont val="Helvetica Neue"/>
          </rPr>
          <t>Autor importado:
======
ID#AAAAaQEpgXE
SHARON MELISA REINA GONZALEZ    (2022-06-03 15:16:40)
ALVARO ENRIQUE ORTÍZ DÁVILA</t>
        </r>
      </text>
    </comment>
    <comment ref="J251" authorId="0" shapeId="0" xr:uid="{00000000-0006-0000-0600-000056000000}">
      <text>
        <r>
          <rPr>
            <sz val="11"/>
            <color indexed="8"/>
            <rFont val="Helvetica Neue"/>
          </rPr>
          <t>Autor importado:
======
ID#AAAAaQEpgXo
SHARON MELISA REINA GONZALEZ    (2022-06-03 15:26:05)
LUIS EDUARDO CASTILLO</t>
        </r>
      </text>
    </comment>
    <comment ref="J255" authorId="0" shapeId="0" xr:uid="{00000000-0006-0000-0600-00006F000000}">
      <text>
        <r>
          <rPr>
            <sz val="11"/>
            <color indexed="8"/>
            <rFont val="Helvetica Neue"/>
          </rPr>
          <t>Autor importado:
======
ID#AAAAaQEpgX8
SHARON MELISA REINA GONZALEZ    (2022-06-03 15:28:45)
JOSE NELSON PEREZ</t>
        </r>
      </text>
    </comment>
    <comment ref="J272" authorId="0" shapeId="0" xr:uid="{00000000-0006-0000-0600-000068000000}">
      <text>
        <r>
          <rPr>
            <sz val="11"/>
            <color indexed="8"/>
            <rFont val="Helvetica Neue"/>
          </rPr>
          <t>Autor importado:
======
ID#AAAAaQEpgZE
SHARON MELISA REINA GONZALEZ    (2022-06-03 15:38:43)
PAULO CÉSAR CORONADO</t>
        </r>
      </text>
    </comment>
    <comment ref="J274" authorId="0" shapeId="0" xr:uid="{00000000-0006-0000-0600-00007F000000}">
      <text>
        <r>
          <rPr>
            <sz val="11"/>
            <color indexed="8"/>
            <rFont val="Helvetica Neue"/>
          </rPr>
          <t>Autor importado:
======
ID#AAAAaQEpgZY
SHARON MELISA REINA GONZALEZ    (2022-06-03 15:41:54)
LUZ ANGELA ROCHA</t>
        </r>
      </text>
    </comment>
    <comment ref="J281" authorId="0" shapeId="0" xr:uid="{00000000-0006-0000-0600-000090000000}">
      <text>
        <r>
          <rPr>
            <sz val="11"/>
            <color indexed="8"/>
            <rFont val="Helvetica Neue"/>
          </rPr>
          <t>Autor importado:
======
ID#AAAAaQEpgZs
SHARON MELISA REINA GONZALEZ    (2022-06-03 15:46:43)
RUBEN JAVIER MEDINA</t>
        </r>
      </text>
    </comment>
    <comment ref="J282" authorId="0" shapeId="0" xr:uid="{00000000-0006-0000-0600-00001E000000}">
      <text>
        <r>
          <rPr>
            <sz val="11"/>
            <color indexed="8"/>
            <rFont val="Helvetica Neue"/>
          </rPr>
          <t>Autor importado:
======
ID#AAAAaQEpgZw
SHARON MELISA REINA GONZALEZ    (2022-06-03 15:48:06)
RUBEN JAVIER MEDINA</t>
        </r>
      </text>
    </comment>
    <comment ref="J288" authorId="0" shapeId="0" xr:uid="{00000000-0006-0000-0600-000071000000}">
      <text>
        <r>
          <rPr>
            <sz val="11"/>
            <color indexed="8"/>
            <rFont val="Helvetica Neue"/>
          </rPr>
          <t>Autor importado:
======
ID#AAAAaQEpgaM
SHARON MELISA REINA GONZALEZ    (2022-06-03 15:54:25)
PAULO CESAR CORONADO</t>
        </r>
      </text>
    </comment>
    <comment ref="J290" authorId="0" shapeId="0" xr:uid="{00000000-0006-0000-0600-000073000000}">
      <text>
        <r>
          <rPr>
            <sz val="11"/>
            <color indexed="8"/>
            <rFont val="Helvetica Neue"/>
          </rPr>
          <t>Autor importado:
======
ID#AAAAaQEpgaU
SHARON MELISA REINA GONZALEZ    (2022-06-03 15:56:21)
PAULO ALONSO GAONA GARCÍA</t>
        </r>
      </text>
    </comment>
    <comment ref="J294" authorId="0" shapeId="0" xr:uid="{00000000-0006-0000-0600-000091000000}">
      <text>
        <r>
          <rPr>
            <sz val="11"/>
            <color indexed="8"/>
            <rFont val="Helvetica Neue"/>
          </rPr>
          <t>Autor importado:
======
ID#AAAAaQEpgaw
SHARON MELISA REINA GONZALEZ    (2022-06-03 15:59:49)
LILIA EDITH APARICIO PICO</t>
        </r>
      </text>
    </comment>
    <comment ref="J297" authorId="0" shapeId="0" xr:uid="{00000000-0006-0000-0600-000075000000}">
      <text>
        <r>
          <rPr>
            <sz val="11"/>
            <color indexed="8"/>
            <rFont val="Helvetica Neue"/>
          </rPr>
          <t>Autor importado:
======
ID#AAAAaQEpgbE
SHARON MELISA REINA GONZALEZ    (2022-06-03 16:04:19)
LUZ ANGELA ROCHA</t>
        </r>
      </text>
    </comment>
    <comment ref="I313" authorId="0" shapeId="0" xr:uid="{00000000-0006-0000-0600-00008B000000}">
      <text>
        <r>
          <rPr>
            <sz val="11"/>
            <color indexed="8"/>
            <rFont val="Helvetica Neue"/>
          </rPr>
          <t>Autor importado:
======
ID#AAAAaQEpgcg
SHARON MELISA REINA GONZALEZ    (2022-06-03 16:14:16)
titulo de proyecto diferente</t>
        </r>
      </text>
    </comment>
  </commentList>
</comments>
</file>

<file path=xl/sharedStrings.xml><?xml version="1.0" encoding="utf-8"?>
<sst xmlns="http://schemas.openxmlformats.org/spreadsheetml/2006/main" count="22699" uniqueCount="6405">
  <si>
    <t>CODIGO</t>
  </si>
  <si>
    <t>NOMBRE ESTUDIANTE</t>
  </si>
  <si>
    <t>COD. 
PROYECTO</t>
  </si>
  <si>
    <t>PROYECTO CURRICULAR</t>
  </si>
  <si>
    <t>ESTADO</t>
  </si>
  <si>
    <t>ESTADOS</t>
  </si>
  <si>
    <t>ESTRATO</t>
  </si>
  <si>
    <t>CORREO INSTITUCIONAL</t>
  </si>
  <si>
    <t>CORREO PERSONAL</t>
  </si>
  <si>
    <t>ID</t>
  </si>
  <si>
    <t>DOCUMENTO</t>
  </si>
  <si>
    <t>CELULAR</t>
  </si>
  <si>
    <t>FECHA NAC</t>
  </si>
  <si>
    <t>GRUPO DE INVESTIGACION</t>
  </si>
  <si>
    <t>fagamboaq@correo.udistrital.edu.co</t>
  </si>
  <si>
    <t>06danielsms@gmail.com</t>
  </si>
  <si>
    <t>jibecerrar@correo.udistrital.edu.co</t>
  </si>
  <si>
    <t>Grupo Investigacion</t>
  </si>
  <si>
    <t>Codigo Estado</t>
  </si>
  <si>
    <t>Descripcion Estado</t>
  </si>
  <si>
    <t>Codigo Enfasis</t>
  </si>
  <si>
    <t>Descripcion Enfasis</t>
  </si>
  <si>
    <t>Puntuacion Ingles</t>
  </si>
  <si>
    <t>Clasificacion
Ingles</t>
  </si>
  <si>
    <t>Caracter tesis (nuevo)</t>
  </si>
  <si>
    <t>Caracter tesis (antiguo)</t>
  </si>
  <si>
    <t>Revisores</t>
  </si>
  <si>
    <t>Categoría 
revista</t>
  </si>
  <si>
    <t>Porcentaje</t>
  </si>
  <si>
    <t>NOTA</t>
  </si>
  <si>
    <t>Estado 
Pasantía</t>
  </si>
  <si>
    <t>Modalidad</t>
  </si>
  <si>
    <t>ESTADO ARTICULO</t>
  </si>
  <si>
    <t>AMPLIACION</t>
  </si>
  <si>
    <t>COD.</t>
  </si>
  <si>
    <t>PROYECTO</t>
  </si>
  <si>
    <t>ARMOS*</t>
  </si>
  <si>
    <t>A</t>
  </si>
  <si>
    <t>ACTIVO</t>
  </si>
  <si>
    <t>Sin Enfasis</t>
  </si>
  <si>
    <t>C2</t>
  </si>
  <si>
    <t>Aprobado</t>
  </si>
  <si>
    <t>LISTO PARA SUSTENTAR</t>
  </si>
  <si>
    <t>VIABLE</t>
  </si>
  <si>
    <t>Revista A1</t>
  </si>
  <si>
    <t>Finalizada</t>
  </si>
  <si>
    <t>Profundización</t>
  </si>
  <si>
    <t>Enviado</t>
  </si>
  <si>
    <t>SI</t>
  </si>
  <si>
    <t>MAESTRIA EN TELEINFORMATICA</t>
  </si>
  <si>
    <t>ARQUISOT</t>
  </si>
  <si>
    <t>B</t>
  </si>
  <si>
    <t>PRUEBA ACADEMICA Y MATRICULADO</t>
  </si>
  <si>
    <t>Teleinformatica</t>
  </si>
  <si>
    <t>C1</t>
  </si>
  <si>
    <t>Meritorio</t>
  </si>
  <si>
    <t>MODIFICABLE</t>
  </si>
  <si>
    <t>NO VIABLE</t>
  </si>
  <si>
    <t>Revista A2</t>
  </si>
  <si>
    <t>En proceso</t>
  </si>
  <si>
    <t>Investigación</t>
  </si>
  <si>
    <t>Publicado</t>
  </si>
  <si>
    <t>NO</t>
  </si>
  <si>
    <t>EN TELEINF.</t>
  </si>
  <si>
    <t>CEPMS</t>
  </si>
  <si>
    <t>C</t>
  </si>
  <si>
    <t>CANCELADO</t>
  </si>
  <si>
    <t>Sis. Informaticos</t>
  </si>
  <si>
    <t>B2</t>
  </si>
  <si>
    <t>Laureado</t>
  </si>
  <si>
    <t>RECHAZADO</t>
  </si>
  <si>
    <t>Libro de investigación</t>
  </si>
  <si>
    <t>Pendiente</t>
  </si>
  <si>
    <t>Por publicar</t>
  </si>
  <si>
    <t>ENFASIS EN SIS. INFOR</t>
  </si>
  <si>
    <t>GCEM</t>
  </si>
  <si>
    <t>D</t>
  </si>
  <si>
    <t>NO REPORTO NOTAS</t>
  </si>
  <si>
    <t>Geomatica</t>
  </si>
  <si>
    <t>B1</t>
  </si>
  <si>
    <t>Revista B</t>
  </si>
  <si>
    <t>Perdida</t>
  </si>
  <si>
    <t>ENFASIS EN GEOMATICA</t>
  </si>
  <si>
    <t>GEFEM</t>
  </si>
  <si>
    <t>E</t>
  </si>
  <si>
    <t>EGRESADO</t>
  </si>
  <si>
    <t>Ing. Software</t>
  </si>
  <si>
    <t>A2</t>
  </si>
  <si>
    <t>capítulo de un libro</t>
  </si>
  <si>
    <t>ENFASIS EN ING. SOFT</t>
  </si>
  <si>
    <t>GESETIC</t>
  </si>
  <si>
    <t>F</t>
  </si>
  <si>
    <t>PRUEBA ACADEM Y NO SE MATRICULO</t>
  </si>
  <si>
    <t>A1</t>
  </si>
  <si>
    <t>Revista C</t>
  </si>
  <si>
    <t>INVESTIGACIÓN</t>
  </si>
  <si>
    <t>GESDATOS</t>
  </si>
  <si>
    <t>G</t>
  </si>
  <si>
    <t>POR DEFINIR DEL 2001/1</t>
  </si>
  <si>
    <t>Ponencia</t>
  </si>
  <si>
    <t>PROFUNDIZACIÓN</t>
  </si>
  <si>
    <t>GICOECOL</t>
  </si>
  <si>
    <t>H</t>
  </si>
  <si>
    <t>TERMINO MATERIA Y MATRICULADO ACTUAL PERIODO</t>
  </si>
  <si>
    <t>N/A</t>
  </si>
  <si>
    <t>0</t>
  </si>
  <si>
    <t>GICOGE</t>
  </si>
  <si>
    <t>I</t>
  </si>
  <si>
    <t>INACTIVO</t>
  </si>
  <si>
    <t>GIDENUTAS¨*</t>
  </si>
  <si>
    <t>J</t>
  </si>
  <si>
    <t>PRUEBA ACAD</t>
  </si>
  <si>
    <t>GIIRA</t>
  </si>
  <si>
    <t>K</t>
  </si>
  <si>
    <t>PRUEBA AC.NO REPORTO NOTAS DE SEM ACTIVO</t>
  </si>
  <si>
    <t>GITEM ++</t>
  </si>
  <si>
    <t>L</t>
  </si>
  <si>
    <t>PASANTIA O TRABAJO DE GRADO</t>
  </si>
  <si>
    <t>GITUD</t>
  </si>
  <si>
    <t>M</t>
  </si>
  <si>
    <t>NO SE MATRICULO</t>
  </si>
  <si>
    <t>GRECO</t>
  </si>
  <si>
    <t>N</t>
  </si>
  <si>
    <t>ERROR DE CODIGO</t>
  </si>
  <si>
    <t>GINFRA</t>
  </si>
  <si>
    <t>INTECSE</t>
  </si>
  <si>
    <t>O</t>
  </si>
  <si>
    <t>ESTUDIANTE MOVILIDAD ACADEMICA</t>
  </si>
  <si>
    <t>ITI*</t>
  </si>
  <si>
    <t>P</t>
  </si>
  <si>
    <t>APLAZO SEMESTRE</t>
  </si>
  <si>
    <t>INTERNET INTELIGENTE</t>
  </si>
  <si>
    <t>Q</t>
  </si>
  <si>
    <t>ESTUDIANTE MOVILIDAD ACADEMICA EN VACACIONES</t>
  </si>
  <si>
    <t>LAMIC</t>
  </si>
  <si>
    <t>R</t>
  </si>
  <si>
    <t>RETIRADO</t>
  </si>
  <si>
    <t>LASER</t>
  </si>
  <si>
    <t>S</t>
  </si>
  <si>
    <t>PERDIO CUPO DURANTE UN A?O</t>
  </si>
  <si>
    <t>LIDER</t>
  </si>
  <si>
    <t>T</t>
  </si>
  <si>
    <t>TERMINO MATERIAS Y NO SE MATRICULO</t>
  </si>
  <si>
    <t>LIFAE</t>
  </si>
  <si>
    <t>U</t>
  </si>
  <si>
    <t>PERDIDA CALIDAD ESTUDIANTE ACUERDO 004</t>
  </si>
  <si>
    <t>NIDE</t>
  </si>
  <si>
    <t>V</t>
  </si>
  <si>
    <t>VACACIONES</t>
  </si>
  <si>
    <t>GIICUD</t>
  </si>
  <si>
    <t>W</t>
  </si>
  <si>
    <t>ABANDONO</t>
  </si>
  <si>
    <t>PROPROBOS</t>
  </si>
  <si>
    <t>FISINFOR</t>
  </si>
  <si>
    <t>X</t>
  </si>
  <si>
    <t>EXCLUIDO</t>
  </si>
  <si>
    <t>Bionanotecnología</t>
  </si>
  <si>
    <t>Z - NO SUPERO PRUEBA ACADEMICA</t>
  </si>
  <si>
    <t>Z</t>
  </si>
  <si>
    <t>NO SUP. PRUEBA ACAD.</t>
  </si>
  <si>
    <t>SIE</t>
  </si>
  <si>
    <t>IAFT</t>
  </si>
  <si>
    <t>COMPLEX UD</t>
  </si>
  <si>
    <t>DIMSI</t>
  </si>
  <si>
    <t>XUE</t>
  </si>
  <si>
    <t>INFRAESTRUCTURA SOSTENIBLE</t>
  </si>
  <si>
    <t>NOMBRE</t>
  </si>
  <si>
    <t>CEDULA</t>
  </si>
  <si>
    <t>ENFASIS</t>
  </si>
  <si>
    <t>RECIBO</t>
  </si>
  <si>
    <t>MODALIDAD</t>
  </si>
  <si>
    <t>TITULO DE PROYECTO</t>
  </si>
  <si>
    <t>DIRECTOR</t>
  </si>
  <si>
    <t>CO-DIRECTOR</t>
  </si>
  <si>
    <t>FECHA DE RADICACION ANTEPROYECTO</t>
  </si>
  <si>
    <t>AÑO</t>
  </si>
  <si>
    <t xml:space="preserve">GRUPO DE INVESTIGACION </t>
  </si>
  <si>
    <t>DIRECTOR G. INVESTIGACION</t>
  </si>
  <si>
    <t>FECHA DE ACEPTACION DEL GRUP. INV.</t>
  </si>
  <si>
    <t>FECHA DE VENCIMIENTO ANTE PROYECTO</t>
  </si>
  <si>
    <t>¿PROYECTO VENCIDO?</t>
  </si>
  <si>
    <t>FECHA MAXIMA RADICACIÓN2</t>
  </si>
  <si>
    <t>ACTA ACEPTACION PROPUESTA</t>
  </si>
  <si>
    <t>LINEA DE INVESTIGACIÓN</t>
  </si>
  <si>
    <t>Ex. Ingles Historico</t>
  </si>
  <si>
    <t>Pts. Ingles Historico</t>
  </si>
  <si>
    <t>Ex. Ingles Actual</t>
  </si>
  <si>
    <t>Pts. Ingles Actual</t>
  </si>
  <si>
    <t>Clasifiacion Ingles</t>
  </si>
  <si>
    <t>ACTA COMPONENTE 1</t>
  </si>
  <si>
    <t>FECHA ACTA</t>
  </si>
  <si>
    <t>TITULO COMPONENTE 1</t>
  </si>
  <si>
    <t>REVISTA O EVENTO</t>
  </si>
  <si>
    <t>AÑO DE PUBLICACIÓN O EVENTO</t>
  </si>
  <si>
    <t>Componente 1</t>
  </si>
  <si>
    <t>% COMPONENTE 1</t>
  </si>
  <si>
    <t>NOTA COMPONENTE 1</t>
  </si>
  <si>
    <t>FECHA DE RADICACION</t>
  </si>
  <si>
    <t>ACTA ASIGNACIÓN JURADOS</t>
  </si>
  <si>
    <t>FECHA ASIGNACION JURADOS</t>
  </si>
  <si>
    <t>JURADO 1</t>
  </si>
  <si>
    <t>FECHA DE RECIBIDO</t>
  </si>
  <si>
    <t>FECHA ENTREGADO</t>
  </si>
  <si>
    <t>NOTA 1 INFORME</t>
  </si>
  <si>
    <t>NOTA 2 SUSTENTACIÓN</t>
  </si>
  <si>
    <t>CONCEPTO JURADO 1</t>
  </si>
  <si>
    <t>JURADO 2</t>
  </si>
  <si>
    <t>FECHA DE RECIBIDO2</t>
  </si>
  <si>
    <t>FECHA ENTREGADO2</t>
  </si>
  <si>
    <t>NOTA 1 INFORME5</t>
  </si>
  <si>
    <t>NOTA 2 SUSTENTACIÓN2</t>
  </si>
  <si>
    <t>CONCEPTO JURADO 2</t>
  </si>
  <si>
    <t>FECHA SUSTENTACION</t>
  </si>
  <si>
    <t>NOTA SUSTENTACION</t>
  </si>
  <si>
    <t>PORCENTAJE DE COMPONENTE 2</t>
  </si>
  <si>
    <t>Columna1</t>
  </si>
  <si>
    <t>ESTUDIANTE VERIFICADO</t>
  </si>
  <si>
    <t>PAZ Y SALVO FINANCIERO</t>
  </si>
  <si>
    <t>DIRECTOR2</t>
  </si>
  <si>
    <t>CODISEÑO HARDWARE-SOFTWARE PARA LA IMPLEMENTACION DE UN ALGORITMO CRIPTOGRAFICO</t>
  </si>
  <si>
    <t>Elvis Eduardo Gaona Garcia</t>
  </si>
  <si>
    <t>Edwar Jacinto Gomez</t>
  </si>
  <si>
    <t>Carlos Enrique Montenegro Marin</t>
  </si>
  <si>
    <t>08-2021</t>
  </si>
  <si>
    <t>PROPUESTA DE UN MARCO DE ENSEÑANZAAPRENDIZAJE BASADO EN CASOS DE ESTUDIO PARA LA IMPLEMENTACION AGIL DE PROYECTOS DE ANALITICA GEOESPACIAL</t>
  </si>
  <si>
    <t>Jose Nelson Perez</t>
  </si>
  <si>
    <t>Sandro Javier Bolaños</t>
  </si>
  <si>
    <t>11-2022</t>
  </si>
  <si>
    <t>Sandro Bolaños</t>
  </si>
  <si>
    <t>Luz Angela Rocha Salamanca</t>
  </si>
  <si>
    <t>OPTIMIZACION DE LA OPERACION DE UNA MICRO RED RURAL AISLADA ENFOCADA EN COSTOS/ 
MODELO DE OPTIMIZACION ENFOCADO EN LA MINIMIZACION DE COSTOS DEGENERACION DE UNA MICRORRED RURAL AISLADA - CASO DE ESTUDIO CORREGIMIENTO NAZARETH URIBIA (LA GUAJIRA).</t>
  </si>
  <si>
    <t>Jose Guillermo Guarnizo</t>
  </si>
  <si>
    <t>Nelson Diaz Aldana</t>
  </si>
  <si>
    <t>08-2020</t>
  </si>
  <si>
    <t>003/2023</t>
  </si>
  <si>
    <t>Optimización de la operación rural aislada enfocada en costos</t>
  </si>
  <si>
    <t>Segundo congreso internacional de ingenieria "Ingenieria para todos"</t>
  </si>
  <si>
    <t>023/2022</t>
  </si>
  <si>
    <t>Javier Guacaneme</t>
  </si>
  <si>
    <t>Francisco Santamaria Piedrahita</t>
  </si>
  <si>
    <t>OK</t>
  </si>
  <si>
    <t>PREDICCIÓN DE INDICADORES ECONÓMICOS A TRAVES DE NOTICIAS USÁNDO RSS, MINERÍA DE TEXTO E INTELIGENCIA COMPUTACIONAL.</t>
  </si>
  <si>
    <t>Deicy Alvarado</t>
  </si>
  <si>
    <t>5--10-2022</t>
  </si>
  <si>
    <t>012 de 2023</t>
  </si>
  <si>
    <t xml:space="preserve">Analysis of economic indicators through news and Twitter using text mining, machine learning and multiagent systems. </t>
  </si>
  <si>
    <t>IEEE ColCACI 2023</t>
  </si>
  <si>
    <t>Cesar Augusto Hernandez Suarez</t>
  </si>
  <si>
    <t>Andres Eduardo Gaona Barrera</t>
  </si>
  <si>
    <t>MODELO DE DIAGNOSTICO DE LAS ESTRUCTURAS DE LAS EDIFICACIONES DE CHAPINERO Y BOSA EN EL CASO DE UN EVENTO SISMICO QUE AFECTE A LA CIUDAD DE BOGOTA. / MODELO PROBABILISTICO  APLICADO AL COLAPSO DE LAS ESTRUCTURAS DE LAS EDIFICACIONES DE LA UPZ DE EL RETIRO, CHAPINERO Y DE LA UPZ  EL PORVENIR EN BOSA, EN CASO DE PRESENTARSE UN EVENTO SISMICO.</t>
  </si>
  <si>
    <t>Andres Cardenas Contreras</t>
  </si>
  <si>
    <t>Mauricio Rocha</t>
  </si>
  <si>
    <t>ROBINSON QUINTANA</t>
  </si>
  <si>
    <t>MAURICIO ROCHA</t>
  </si>
  <si>
    <t>SIMULACION BASADA EN AGENTES DEL PROCESO DE APROXIMACION FINAL Y ATERRIZAJE DE UNA AERONAVE, EN UN AERODROMO APLICANDO METAHEURISTICAS // MODELACION METAHEURISTICA DEL PROCESO DE APROXIMACION FINAL Y ATERRIZAJE DE UNA AERONAVE, EN UN AERODROMO</t>
  </si>
  <si>
    <t>Luz Deyci Alvarado Nieto</t>
  </si>
  <si>
    <t>COMPLEXUD</t>
  </si>
  <si>
    <t xml:space="preserve">Deicy Alvarado </t>
  </si>
  <si>
    <t>05-2021</t>
  </si>
  <si>
    <t>PRONOSTICO DE OPORTUNIDADES ESPECTRALES CON BASE EN EL MODELO DE PROPAGACION SAKAGAMI-KUBOI</t>
  </si>
  <si>
    <t>Luis Fernando Pedraza</t>
  </si>
  <si>
    <t>Abel Antonio Navarrete</t>
  </si>
  <si>
    <t>GIDENUTAS</t>
  </si>
  <si>
    <t>14-2019</t>
  </si>
  <si>
    <t>MODELO DE IDENTIDAD DIGITAL PARA DOCUMENTOS ADMINISTRATIVOS MEDIANTE FIRMA ELECTRONICA Y BLOCKCHAIN</t>
  </si>
  <si>
    <t>Edward Jacinto Gomez</t>
  </si>
  <si>
    <t>02-2023</t>
  </si>
  <si>
    <t>Modelo de identidad digital con firma digital y Blockchain</t>
  </si>
  <si>
    <t>Edward Jacinto Gómez</t>
  </si>
  <si>
    <t>IMPLEMENTACION DE IMAGENES HIPERESPECTRALES Y DE RADAR COMO HERRAMIENTA PARA LA IDENTIFICACION MINERALOGICA PARA GRANDES EXTENSIONES EN ESTUDIOS DE EXPLORACION - ZONA DE ESTUDIO: REGION DEL MAGDALENA MEDIO</t>
  </si>
  <si>
    <t>Ruben Javier Medina Daza</t>
  </si>
  <si>
    <t>Nelson Enrique Vera Parra</t>
  </si>
  <si>
    <t>Erika Sofia Upegui Cardona</t>
  </si>
  <si>
    <t>“MODELO DE IDENTIDAD DIGITAL PARA DOCUMENTOS ADMINISTRATIVOS MEDIANTE FIRMA ELECTRONICA Y BLOCKCHAIN”</t>
  </si>
  <si>
    <t>Rocio Rodriguez</t>
  </si>
  <si>
    <t>ARMOS</t>
  </si>
  <si>
    <t>Fredy Hernan Martinez</t>
  </si>
  <si>
    <t>12-2020</t>
  </si>
  <si>
    <t>002/2023</t>
  </si>
  <si>
    <t xml:space="preserve">12° Congreso 
Internacional de  Computación 
CICOM 2022 </t>
  </si>
  <si>
    <t>2022</t>
  </si>
  <si>
    <t>Julio Baron Velandia</t>
  </si>
  <si>
    <t xml:space="preserve">MODELO DE ENTRENAMIENTO DE UN SISTEMA EXPERTO BASADO EN REGLAS MEDIANTE
APRENDIZAJE POR REFUERZO APLICADO A LA GENERACION DE TRAYECTORIAS
</t>
  </si>
  <si>
    <t>Esperanza Camargo Casallas</t>
  </si>
  <si>
    <t>DIGITI</t>
  </si>
  <si>
    <t>Esperanza Camargo</t>
  </si>
  <si>
    <t>04/2020</t>
  </si>
  <si>
    <t>09-2021</t>
  </si>
  <si>
    <t>009-2021</t>
  </si>
  <si>
    <t>Andres Leonardo Jutinico</t>
  </si>
  <si>
    <t>Alejandro Paolo Daza Corredor</t>
  </si>
  <si>
    <t>Aplicación de autómatas celulares y algoritmos genéticos en la creación de una técnica estenográfica.</t>
  </si>
  <si>
    <t>Lilia Edith Aparicio Pico</t>
  </si>
  <si>
    <t>010-2023</t>
  </si>
  <si>
    <t xml:space="preserve">Técnica estenográfica basada en Modelos Matemáticos Dinámicos y Métodos de Inteligencia Artificial
</t>
  </si>
  <si>
    <t xml:space="preserve">XVI CONGRESO
INTERNACIONAL DE
ELECTRÓNICA, CONTROL Y
TELECOMUNICACIONES
</t>
  </si>
  <si>
    <t>2023</t>
  </si>
  <si>
    <t>Miguel Alberto Melgarejo</t>
  </si>
  <si>
    <t>Paulo Cesar Coronado Sanchez</t>
  </si>
  <si>
    <t>Roberto Manuel Poveda</t>
  </si>
  <si>
    <t>023</t>
  </si>
  <si>
    <t>NSGA-II y Greedy 2-opt Paralelo (PNG2) implementado en CUDA C++ para la solución de problemas de asignación cuadrática multiobjetivo mQAP aplicables a la toma de decisiones en planeación estratégica hotelera</t>
  </si>
  <si>
    <t>Jorge Enrique Rodriguez Rodriguez</t>
  </si>
  <si>
    <t>Cesar Andrey Perdomo Charry</t>
  </si>
  <si>
    <t>DISEÑO DE UNA INTERFAZ DIGITAL INTERPRETADORA DE BRAILLE PARA FACILITAR LA COMUNICACIÓN EFECTIVA DOCENTE – ALUMNO- DOCENTE EN LA INSTITUCIÓN EDUCATIVA TECNOLÓGICO DE MADRID.</t>
  </si>
  <si>
    <t>Edmundo Vega</t>
  </si>
  <si>
    <t>008/2023</t>
  </si>
  <si>
    <t>Diseño de una Interfaz digital interpretadora de Braile para facilitar la comunicación efectiva docente - alumno- docente en la Institución educativa Tecnológico de Madrid</t>
  </si>
  <si>
    <t>CITICI Congreso Internacional sobre tecnología e Innovación + Ciencia e Investigación</t>
  </si>
  <si>
    <t>Octavio Jose Salcedo Parra</t>
  </si>
  <si>
    <t>Leonardo Plazas Nossa</t>
  </si>
  <si>
    <t>GENERACIÓN DE DOCUMENTACIÓN UML MEDIANTE CADENAS DE
TRASNFORMACIÓN DE MODELOS</t>
  </si>
  <si>
    <t>Hector Arturo Florez Hernandez</t>
  </si>
  <si>
    <t>23/2022</t>
  </si>
  <si>
    <t xml:space="preserve">Implementation of the domain metamodel for the generation of UML documentation
through model transformation chains
</t>
  </si>
  <si>
    <t xml:space="preserve">5th
International Conference on Applied Informatics (ICAI 2022)
</t>
  </si>
  <si>
    <t>Jhon Herrera</t>
  </si>
  <si>
    <t>GENERACIÓN SEMIAUTOMATICA DE APLCIACIONES WEB USANDO CADENAS DE
TRASNFORMACIÓN DE MODELOS</t>
  </si>
  <si>
    <t>24/2022</t>
  </si>
  <si>
    <t>CONSTRUCTION OF DOMAIN METAMODEL USING EMF FOR SEMIAUTOMATIC GENERATION OF WEB APPS</t>
  </si>
  <si>
    <t>006/2023</t>
  </si>
  <si>
    <t>Model Transformation Chain to Manage peripherals in mobile devices</t>
  </si>
  <si>
    <t>Modelo de sistema multi-agente para la
clasificación de recursos vinculados basados en niveles de confianza y mediante especificaciones Linked Open Data</t>
  </si>
  <si>
    <t>Paulo Alonso Gaona Garcia</t>
  </si>
  <si>
    <t>06/2023</t>
  </si>
  <si>
    <t>Ontological model based on web of trust to analyze the use of resources in learning environment</t>
  </si>
  <si>
    <t>ITECKNE Vol 14 No 1 (2017).</t>
  </si>
  <si>
    <t>2017</t>
  </si>
  <si>
    <t>DESARROLLO DE UN PROTOTIPO DE SISTEMA PARA EL APOYO EN LA MOVILIDAD AUTÓNOMA DE PERSONAS INVIDENTES EN EXTERIORES</t>
  </si>
  <si>
    <t>Nancy Yaneth Gelvez</t>
  </si>
  <si>
    <t>15-2023</t>
  </si>
  <si>
    <t>002-2024</t>
  </si>
  <si>
    <t>DESARROLLO DE UN PROTOTIPO DE SISTEMA PARA EL APOYO EN LA MOVILIDAD
AUTÓNOMA DE PERSONAS INVIDENTES EN EXTERIORES.</t>
  </si>
  <si>
    <t>1era Conferencia Internacional de Innovación e
Investigación FAEDIS</t>
  </si>
  <si>
    <t>02/2024</t>
  </si>
  <si>
    <t>Luz Helena Camargo</t>
  </si>
  <si>
    <t>ACTUALIZACION DE TODOS LOS CAMINOS MAS CORTOS EN GRAFOS DINAMICOS CON INSERCION DE ARCOS</t>
  </si>
  <si>
    <t>Sergio Rojas Galeano</t>
  </si>
  <si>
    <t>Marco Aurelio Alzate</t>
  </si>
  <si>
    <t>12-2022</t>
  </si>
  <si>
    <t>14-2020</t>
  </si>
  <si>
    <t>MARCO AURELIO ALZATE</t>
  </si>
  <si>
    <t>LUIS CASTILLO</t>
  </si>
  <si>
    <t>Diseño de un prototipo para clasificación automática de imágenes satelitales mediante algoritmos de machine learning</t>
  </si>
  <si>
    <t>Alvaro Enrique Ortiz Davila</t>
  </si>
  <si>
    <t>12-2023</t>
  </si>
  <si>
    <t>Development of a prototype system to support the autonomous mobility of blind people outdoors.</t>
  </si>
  <si>
    <t>2-11-2023</t>
  </si>
  <si>
    <t>William Barragan Zaque</t>
  </si>
  <si>
    <t>MODELO DE ASEGURAMIENTO DE LA CALIDAD DE DATOS FORESTALES EN EL MARCO DE LOS OBJETIVOS DE DESARROLLO SOSTENIBLE</t>
  </si>
  <si>
    <t>Beitmantt Cardenas</t>
  </si>
  <si>
    <t>Victor Hugo Medina Garcia</t>
  </si>
  <si>
    <t>017-2023</t>
  </si>
  <si>
    <t>Gestión total de la calidad de datos (TDQM) aplicada a la evaluación de calidad de datos abiertos de superficie de bosque natural de Colombia</t>
  </si>
  <si>
    <t>Iberian Journal of Information Systems and Technologies-RISTI</t>
  </si>
  <si>
    <t>17-2024</t>
  </si>
  <si>
    <t>Alvaro Espinel Ortega</t>
  </si>
  <si>
    <t>46</t>
  </si>
  <si>
    <t>26-2-24</t>
  </si>
  <si>
    <t>ALGORITMO PARA LA DETECCIÓN DE CRISIS EPILÉPTICAS APLICABLE A REDES DE IOT</t>
  </si>
  <si>
    <t>Laura Victoria Guio</t>
  </si>
  <si>
    <t>04/2024</t>
  </si>
  <si>
    <t>08/2024</t>
  </si>
  <si>
    <t>Desarrollo de un sistema de IoT con Machine Learning para la detección temprana de crisis epilépticas</t>
  </si>
  <si>
    <t>SAFARIS - TECH International 2024</t>
  </si>
  <si>
    <t>10/5/2024</t>
  </si>
  <si>
    <t>008/2024</t>
  </si>
  <si>
    <t>=SI(O(G40="A";$G40="D";$G40="P";$G40="V");J40;"")</t>
  </si>
  <si>
    <t>MODELO PARA CLASIFICACIÓN DE PRECIPITACIONES ESTRATIFORMES Y CONVECTIVAS EN ZONA ECUATORIAL USANDO DATOS DE RADARES METEOROLÓGICOS.</t>
  </si>
  <si>
    <t>Ernesto Gomez Vargas</t>
  </si>
  <si>
    <t>008-24</t>
  </si>
  <si>
    <t>09-2024</t>
  </si>
  <si>
    <t>Classification of Stratiform and Convective Precipitation in the Equatorial Zone Using Meteorological Radar Data</t>
  </si>
  <si>
    <t>Revista de Ingeniería, Universidad Distrital Francisco José de Caldas
CATEGORIA B</t>
  </si>
  <si>
    <t>30-1-2025</t>
  </si>
  <si>
    <t>Javier Moncada</t>
  </si>
  <si>
    <t>=SI(O(G41="A";$G41="D";$G41="P";$G41="V");J41;"")</t>
  </si>
  <si>
    <t>EXTRACCION DE CONTEXTO GEOGRAFICO A PARTIR DE NLP PARA INFORMACION DE TRANSITO EN REDES SOCIALES</t>
  </si>
  <si>
    <t>LASER LAMIC</t>
  </si>
  <si>
    <t>13-2019</t>
  </si>
  <si>
    <t>10-2021</t>
  </si>
  <si>
    <t>13-2021</t>
  </si>
  <si>
    <t>Jorge Mario Calvo</t>
  </si>
  <si>
    <t>MERITORIO</t>
  </si>
  <si>
    <t>DESARROLLO DE UN PROTOTIPO DE SMART CONTRACT BAJO ARQUITECTURA DE BLOCKCHAIN PARA LOS PROCESOS DE COMPRA DE EQUIPOS ROBUSTOS DE LA UNIVERSIDAD DISTRITAL FRANCISCO JOSE DE CALDAS</t>
  </si>
  <si>
    <t>Roberto Ferro Escobar</t>
  </si>
  <si>
    <t>10-2019</t>
  </si>
  <si>
    <t>DISEÑO DE UN MODELO DE GOBIERNO DE TECNOLOGIAS DE LA INFORMACION (TI), PARA INSTITUCIONES DE EDUCACION SUPERIOR (IES). CASO DE ESTUDIO: UNIVERSIDAD DISTRITAL FRANCISCO JOSE DE CALDAS</t>
  </si>
  <si>
    <t>09-2019</t>
  </si>
  <si>
    <t>Propuesta metodologica Para La Recoleccion De Informacion Para El Catastro Multiproposito conforme al Modelo LADM-COL</t>
  </si>
  <si>
    <t>Instituto Colombo.</t>
  </si>
  <si>
    <t>015/2024</t>
  </si>
  <si>
    <t xml:space="preserve">Geographic Information Management Applied to Land Administration in Colombia Through the Use of Free Software Tools </t>
  </si>
  <si>
    <t xml:space="preserve">Applied Computer Sciences in Engineering 11th Workshop on Engineering Applications, WEA 2024, Barranquilla, Colombia, October 23–25, 2024, Proceedings, Part II ISBN 978-3-031-74598-0 </t>
  </si>
  <si>
    <t>2024</t>
  </si>
  <si>
    <t>Hector Javier Fuentes Lopez</t>
  </si>
  <si>
    <t>Miriam Rivas</t>
  </si>
  <si>
    <t xml:space="preserve">Modelado Predictivo de la Incidencia del Deterioro del Arbolado Urbano con Aprendizaje Automático y GIS: Implementación de Servicios Geográficos Web para una Zonificación de Manejo para la Ciudad de Cali - Colombia </t>
  </si>
  <si>
    <t>Max Alejandro Triana Góme</t>
  </si>
  <si>
    <t>Jaime Alberto Moreno Gutierrez</t>
  </si>
  <si>
    <t xml:space="preserve">Tesis 2  </t>
  </si>
  <si>
    <t>Análisis espacial de la fragmentación urbana basado en la destinación económica predominante por manzana en Bogotá D.C</t>
  </si>
  <si>
    <t>Luis Eduardo Castillo Mendez</t>
  </si>
  <si>
    <t>GFEM</t>
  </si>
  <si>
    <t>017/2023</t>
  </si>
  <si>
    <t>014-2024</t>
  </si>
  <si>
    <t>Fragmentación Urbana en Bogotá D.C: Análisis Espacial de los Retos en Ámbitos Sociales y Ambientales</t>
  </si>
  <si>
    <t>II Congreso Internacional Sobre Retos y Desafíos Ambientales Locales.</t>
  </si>
  <si>
    <t>014/2024</t>
  </si>
  <si>
    <t>Yenny Espinosa</t>
  </si>
  <si>
    <t>Evaluación de un Modelo Basado en la Arquitectura Transformer para Generar Test Unitarios en Java</t>
  </si>
  <si>
    <t>Sonia Ordoñez Salinas</t>
  </si>
  <si>
    <t>016/2023</t>
  </si>
  <si>
    <t>METAMODELO SOFTWARE DE SIMULACION REMOTA INTERACTIVA EN AMBIENTE WEB</t>
  </si>
  <si>
    <t>21-3-2024</t>
  </si>
  <si>
    <t>016-2024</t>
  </si>
  <si>
    <t xml:space="preserve">Caracterización de un Entorno de Simulación Visual Interactiva de Procesamiento Remoto Aplicado a Redes de Enrrutamiento </t>
  </si>
  <si>
    <t xml:space="preserve">IX Semana Internacional de Ciencia, Tecnología e Innovación </t>
  </si>
  <si>
    <t>Oswaldo Romero</t>
  </si>
  <si>
    <t>Metodología para validar la integridad de la información de las transacciones de los 
contratos inteligentes empleando cifrado homomórfico</t>
  </si>
  <si>
    <t xml:space="preserve">A Survey of Homomorphic cryptography, ZPK and zk-SNARK protocols for identity and privacy protection in Ethereum blockchain </t>
  </si>
  <si>
    <t>Workshop on Engineering Applications (WEA 2022)</t>
  </si>
  <si>
    <t>Roberto Albeiro Pava Diaz</t>
  </si>
  <si>
    <t>METODOLOGÍA PARA LA ELECCIÓN DE MODELOS DE LENGUAJE DE GRAN TAMAÑO (LLMS) EN APLICACIONES DE PREDICCIÓN METEREOLÓGICAS A TRAVÉS DE ALGORITMOS DE APRENDIZAJE AUTOMÁTICO SOBRE ENTORNOS DE COMPUTACIÓN EN LA NUBE Y CAPTURAS DE DATOS A TRAVÉS DE IOT</t>
  </si>
  <si>
    <t>No</t>
  </si>
  <si>
    <t>010-2024</t>
  </si>
  <si>
    <t>An Iterative Methodology for Evaluating Large Language Models in IoT Weather Monitoring Systems</t>
  </si>
  <si>
    <t>Workshop on Engineering Applications 2024 Artificial Intelligence, Optimization and Simulation Oct. 23-25, 2024, Barranquilla - Colombia</t>
  </si>
  <si>
    <t xml:space="preserve">Diseño e implementación de un algoritmo y plataforma
para el análisis descriptivo y predictivo de la producción energética de la turbina HAWT-VG bioinspirada en Plumas dorsales de halcón peregrino
</t>
  </si>
  <si>
    <t>Alejandro Oyono Ondo (Uni. Rosario)</t>
  </si>
  <si>
    <t>01-2020</t>
  </si>
  <si>
    <t>001/2023</t>
  </si>
  <si>
    <t>Generadores de vórtice activos y bio-inspirados para rotores eólicos en zonas rurales de Cundinamarca mediante CFD</t>
  </si>
  <si>
    <t>Julian Orlando Camargo</t>
  </si>
  <si>
    <t>Julian Rodriguez</t>
  </si>
  <si>
    <t>Metodología para el análisis de vulnerabilidades aplicado a sistemas de navegación y telemetría presentes en RPA’s</t>
  </si>
  <si>
    <t>017/2024</t>
  </si>
  <si>
    <t xml:space="preserve">A Risk assessment approach methodology to score vulnerabilities in airworthiness systems </t>
  </si>
  <si>
    <t xml:space="preserve">Workshop in Engineering Applications 2024 </t>
  </si>
  <si>
    <t>MODELO PARA LA DETERMINACION DE ISOGLOSAS Y CLASIFICACION DIALECTAL A PARTIR DEL TOMO II DE ATLAS LINGUISTICO ETNOGRAFICO DE COLOMBIA</t>
  </si>
  <si>
    <t>Luz Angela Rocha</t>
  </si>
  <si>
    <t>Johnatan Estiven Bonilla</t>
  </si>
  <si>
    <t>07-2022</t>
  </si>
  <si>
    <t xml:space="preserve">cryptography, ZPK and zk-SNARK protocols for identity and privacy protection in Ethereum blockchain </t>
  </si>
  <si>
    <t>Johan Andres Avendaño Arias</t>
  </si>
  <si>
    <t>LAUREADO</t>
  </si>
  <si>
    <t>Julio Alexander Bernal Chávez</t>
  </si>
  <si>
    <t>ANÁLISIS DE PRECIPITACIONES CON MODELOS PREDICTIVOS A PARTIR DE LA INTERRELACIÓN DE SERIES DE TIEMPO Y GEOESTADÍSTICA PARA EL DEPARTAMENTO DE CUNDINAMARCA</t>
  </si>
  <si>
    <t>Carlos Eduardo Melo</t>
  </si>
  <si>
    <t>02/2021</t>
  </si>
  <si>
    <t>14-2022</t>
  </si>
  <si>
    <t xml:space="preserve">Metodología para el monitoreo de la subsidencia del suelo en la ciudad de Bogotá D.C. con técnicas de interferometría y Persistent Scatterers </t>
  </si>
  <si>
    <t>Edilberto Suarez Torres</t>
  </si>
  <si>
    <t>13-2024</t>
  </si>
  <si>
    <t>013-2025</t>
  </si>
  <si>
    <t xml:space="preserve">Estimación y análisis de la subsidencia del suelo en la ciudad de Bogotá D.C. con técnicas de Interferometría y Persistent Scatterers </t>
  </si>
  <si>
    <t xml:space="preserve">Congreso internacional en Ingeniería, tecnología e innovación- CIITI 2025 </t>
  </si>
  <si>
    <t>2025</t>
  </si>
  <si>
    <t>Jose Luis Herrera Escorcia</t>
  </si>
  <si>
    <t>ESQUEMA VISUAL PARA LA EXPLOTACION DE RECURSOS BASADO EN LINKED OPEN DATA Y ANALITICA VISUAL</t>
  </si>
  <si>
    <t>MULTIMEDIA INTERACTIVA</t>
  </si>
  <si>
    <t>ESQUEMA DE CLASIFICACION DE RECURSOS HISTORICOS DE POSTCONFLICTO EN COLOMBIA BASADO EN SKOS EN AMBIENTES INMERSIVOS</t>
  </si>
  <si>
    <t xml:space="preserve">Mejoramiento de la descripción de recursos educativos abiertos, a partir de técnicas basadas en inteligencia artificial, machine learning y minería de datos </t>
  </si>
  <si>
    <t>Jhon Francined Herrera Cubides</t>
  </si>
  <si>
    <t>011/2025</t>
  </si>
  <si>
    <t>Estrategia para mejorar la descripción a Recursos Educativos Abiertos a partir de la integración de técnicas basadas en Inteligencia Artificial, Machine Learning y Minería de Datos</t>
  </si>
  <si>
    <t>5ta edición del Congreso Internacional en Ingeniería, tecnología e innovación - CIITI 2025</t>
  </si>
  <si>
    <t>Daniel Leal</t>
  </si>
  <si>
    <t>SEGUIMIENTO DE ENFERMEDAD DE PARKINSON A TRAVES DE ANALISIS DE MARCHA USANDO DEEP LEARNING Y VISION ARTIFICIAL</t>
  </si>
  <si>
    <t>MODELO DE LA DINAMICA ESPACIO-TEMPORAL DE LOS ACCIDENTES DE TRANSITO DESDE UNA OPTICA DE SISTEMAS COMPLEJOS</t>
  </si>
  <si>
    <t xml:space="preserve">Modelo de clasificación de imágenes basado en multiview learning </t>
  </si>
  <si>
    <t>012-2025</t>
  </si>
  <si>
    <t xml:space="preserve">Modelo de clasificación de ímagenes basado en multiview learning </t>
  </si>
  <si>
    <t xml:space="preserve">IV Congreso Internacional en Ingeniería, Tecnología e Innovación – CIITI 2025 </t>
  </si>
  <si>
    <t>Gerardo Alcides Muñoz Quiñones</t>
  </si>
  <si>
    <t>MECANISMO DE INTELIGENCIA ARTIFICIAL PARA PREDECIR EL POSIBLE EMPAREJAMINTO EMPRESARIAL ENTRE LA OFERTA Y LA DEMANDA DEL SECTOR DE CALZADO PARA MIPYMES EN VILLAVICENCIO, META - COLOMBIA</t>
  </si>
  <si>
    <t>Paulo Cesar Coronado</t>
  </si>
  <si>
    <t xml:space="preserve">Modelo de asignación de recursos indivisibles con restricciones de exclusividad aplicando agentes autónomos mediante negociación distribuida </t>
  </si>
  <si>
    <t>Sebastian Camilo Vanegas Ayala</t>
  </si>
  <si>
    <t>020-2025</t>
  </si>
  <si>
    <t xml:space="preserve">Agentes inteligentes para gestión de recursos en campañas multicanal de marketing digital </t>
  </si>
  <si>
    <t xml:space="preserve">Congreso internacional Ingeniería tecnología e innovación CIITI 2025 </t>
  </si>
  <si>
    <t>MODELO DE PRONOSTICO EN LA EDUCACION SUPERIOR EN PRUEBAS ESPECIFICAS DE INGENIERIA, LICENCIATURA, Y PENSAMIENTO CIENTIFICO MATEMATCICO EN SABER PRO APLICANDO MACHINE LEARNING</t>
  </si>
  <si>
    <t>Octavio Jose Salcedo</t>
  </si>
  <si>
    <t>Marco Aguilera Prado</t>
  </si>
  <si>
    <t>16-2020</t>
  </si>
  <si>
    <t>Leonardo Rodriguez Contreras</t>
  </si>
  <si>
    <t>Análisis de minería de datos y desarrollo de software con inteligencia artificial enfocado a la detección de perfiles de aprobaciones de visas para estados unidos</t>
  </si>
  <si>
    <t>007-2025</t>
  </si>
  <si>
    <t>011-2025</t>
  </si>
  <si>
    <t>Análisis de minería de datos y desarrollo de software con inteligencia artificial </t>
  </si>
  <si>
    <t xml:space="preserve">Revista Prospectiva con ISSN en línea: 2216-1368 en el volumen 23 número 2 de Julio a diciembre. </t>
  </si>
  <si>
    <t>MODELO DE PREDICCION DE VELOCIDAD DE TRAFICO BASADO EN APRENDIZAJE PROFUNDO UTILIZANDO COMPUTACION HETEROGENEA</t>
  </si>
  <si>
    <t>MODELO DE ESCENARIOS DE GAMIFICACION BASADO EN CONSUMO DE RECURSOS ABIERTOS BAJO PRINCIPIOS LINKED OPEN DATA, INTERFACES CEREBRO COMPUTADORA Y TECNOLOGIAS DE RECONOCIMIENTO DE OBJETOS TANGIBLES</t>
  </si>
  <si>
    <t>DISEÑO DE UN METAMODELO DE SOFTWARE PARA EL DESARROLLO DE APLICACIONES INMERSIVAS.</t>
  </si>
  <si>
    <t>006-2025</t>
  </si>
  <si>
    <t>METAMODEL FOR THE DEVELOPMENT OF IMMERSIVE APPLICATIONS BASED ON USABILITY AND INTERACTIVITY FEATURES</t>
  </si>
  <si>
    <t>VI CONGRESO INTERNACIONAL DE CIENCIA DE LA COMPUTACIÓN, ELECTRÓNICA E INGENIERÍA INDUSTRIAL CSEI 2024</t>
  </si>
  <si>
    <t>José Bocanegra</t>
  </si>
  <si>
    <t>MODELO UNIVERSAL PARA EL DESARROLLO DE FRAMEWORKS WEB DINAMICOS</t>
  </si>
  <si>
    <t>Francisco Javier Zamora</t>
  </si>
  <si>
    <t xml:space="preserve">MODELO DE PREDICCION DE ACCIDENTES VIALES USANDO INTERNET DE LAS COSAS </t>
  </si>
  <si>
    <t>Un modelo de clasificación del estado del pavimento a partir de imágenes, tomas de video y señales de GNSS</t>
  </si>
  <si>
    <t>Wilmar Dario Fernandez Gomez</t>
  </si>
  <si>
    <t>Andrés Julián Moreno Moreno</t>
  </si>
  <si>
    <t xml:space="preserve"> 012 DE 2023</t>
  </si>
  <si>
    <t>Tesis 2</t>
  </si>
  <si>
    <t>Metodología para la recolección, procesamiento y 
Detallados de Llamadas de una empresa de telecomunicacionesmóviles  en Colombia</t>
  </si>
  <si>
    <t>009-2025</t>
  </si>
  <si>
    <t>PREDICCION DE PRECIPITACION CON ENFOQUE DE REDES NEURONALES ARTIFICIALES E INFORMACION DE SENSORES TERRESTRES Y REMOTOS EN LA REGION CENTRAL (RAPE)</t>
  </si>
  <si>
    <t>kahuertasv@udistrital.edu.co</t>
  </si>
  <si>
    <t>DINAMICA Y PRONOSTICO MULTITEMPORAL DE ECOSISTEMAS ESTUARINOS EN COLOMBIA UTILIZANDO IMAGENES DE RADAR DE APERTURA SINTETICA A PARTIR DE LA IMPLEMENTACION DE ALGORITMOS MACHINE LEARNING BASADOS EN INTELIGENCIA ARTIFICIAL (AI) Y CLASIFICACION SUPERVISADA MEDIANTE COMPUTACION EN LA NUBE</t>
  </si>
  <si>
    <t>Luis Eduardo Castillo</t>
  </si>
  <si>
    <t xml:space="preserve">METODOLOGIA PARA LA GENERACION (DETECCION Y CLASIFICACION) DE CAMBIOS DE COBERTURA DE LA TIERRA MEDIANTE EL ANALISIS DE IMAGENES MULTIESPECTRALES BASADAS EN ALGORITMOS DE DEEP LEARNING </t>
  </si>
  <si>
    <t>18/2022</t>
  </si>
  <si>
    <t>ZONIFICACIÓN AMBIENTAL DE DISTRITOS DE MANEJO INTEGRADO USANDO EL MÉTODO AHP</t>
  </si>
  <si>
    <t xml:space="preserve">Zonificación ambiental de distritos de manejo integrado usando el método AHP </t>
  </si>
  <si>
    <t xml:space="preserve">Juan Carlos Alarcón Hincapié </t>
  </si>
  <si>
    <t xml:space="preserve">GEOAR, INTEGRACION DE MODELOS DIGITALES DE ELEVACION EN AMBIENTES DE REALIDAD AUMENTADA </t>
  </si>
  <si>
    <t xml:space="preserve">Alexandra Abuchar </t>
  </si>
  <si>
    <t>Sandra Yanet Velazco</t>
  </si>
  <si>
    <t>Jose Ignacio Rodriguez</t>
  </si>
  <si>
    <t>16-2021</t>
  </si>
  <si>
    <t xml:space="preserve">DETECCIÓN DE FRAUDES EN EMPRESAS DE 
SERVICIOS PÚBLICOS DOMICILIARIOS 
UTILIZANDO CIENCIA DE DATOS Y ANÁLISIS 
GEOESPACIALES </t>
  </si>
  <si>
    <t>Carlos Melo</t>
  </si>
  <si>
    <t xml:space="preserve">Fraud Detection in Utilities Using Data Analytics and Geospatial Analysis </t>
  </si>
  <si>
    <t xml:space="preserve">International Journal of Safety and Security Engineering 
</t>
  </si>
  <si>
    <t>015-2023</t>
  </si>
  <si>
    <t xml:space="preserve">DESARROLLO DE UN SISTEMA PARA IDENTIFICAR SIGNOS DE DEPRESION LABORAL MEDIANTE PROCESAMIENTO DE IMAGENES </t>
  </si>
  <si>
    <t>15-2020</t>
  </si>
  <si>
    <t xml:space="preserve">MODELO DE PRONOSTICO DE INCIDENTES EN CONDUCCION DE MOTOCICLETAS BASADO EN IOT E INTELIGENCIA ARTIFICIAL </t>
  </si>
  <si>
    <t xml:space="preserve">Dinamica Energetica del Malware: Autoorganizacion Morfologica de su Identidad Comportamental
</t>
  </si>
  <si>
    <t>Cancelado</t>
  </si>
  <si>
    <t>Desarrollo de un sistema de diseño de antenas Microsip utilizando inteligencia artificial</t>
  </si>
  <si>
    <t xml:space="preserve"> MODELO DE LEARNING ANALYTICS BASADO EN METRICAS EMOCIONALES PARA ESCENARIOS INMERSIVOS DE APRENDIZAJE// MODELO DE LEARNING ANALYTICS BASADO EN METRICAS EMOCIONALES PARA ESCENARIOS INMERSIVOS DE APRENDIZAJE EN SEGUNDA LENGUA //MODELO DE LEARNING ANALYTICS BASADO EN METRICAS EMOCIONALES PARA APLICACIONES MOVILES DE APRENDIZAJE EN SEGUNDA LENGUA </t>
  </si>
  <si>
    <t>016/2022</t>
  </si>
  <si>
    <t xml:space="preserve">MODELO COMPUTACIONAL DE LA REACCION POR SEÑALES ELECTRICAS DE UNA RED COMPLEJA DE NEURONAS DEL SISTEMA NERVIOSO DEL GUSANO CAENORHABBITIS ELEGANS </t>
  </si>
  <si>
    <t>ITI</t>
  </si>
  <si>
    <t>23-09-2020
13/04/2021</t>
  </si>
  <si>
    <t>018/2022</t>
  </si>
  <si>
    <t xml:space="preserve">MODELO DE PRONOSTICO PARA LESIONES NO FATALES APLICADO A VIOLENCIA INTERPERSONAL EN LA CIUDAD DE BOGOTA UTILIZANDO APRENDIZAJE AUTOMATICO </t>
  </si>
  <si>
    <t>Clasificación de Eventos Astronómicos Transitorios con Redes Neuronales Recurrentes.</t>
  </si>
  <si>
    <t>21-2022</t>
  </si>
  <si>
    <t>Clasificación de Eventos Astronómicos Transitorios con Redes Neuronales Recurrentes</t>
  </si>
  <si>
    <t xml:space="preserve">VII Congreso Colombiano de Astronomía y Astrofísica. </t>
  </si>
  <si>
    <t>013/2023</t>
  </si>
  <si>
    <t>Miguel Jose Espitia Rico</t>
  </si>
  <si>
    <t>METODOLOGIA PARA IMPLEMENTAR UN MODELO HILES DE UNA WSN</t>
  </si>
  <si>
    <t xml:space="preserve">Graphical and textual representation of a wireless sensor system using a high level specification </t>
  </si>
  <si>
    <t>Workshop on Engineering </t>
  </si>
  <si>
    <t>Jose Roberto Cardenas Castiblanco</t>
  </si>
  <si>
    <t>MODELO DE INFERENCIA ONTOLOGICA PARA CARACTERIZACION DE OPCIONES DE CULTIVO A PARTIR DE VARIABLES CLIMATICAS</t>
  </si>
  <si>
    <t>Applications 2022 </t>
  </si>
  <si>
    <t>17/2022</t>
  </si>
  <si>
    <t>MODELADO Y SIMULACIÓN CON EL USO DE PLATAFORMAS IoT EN ESCENARIOS 5G PARA LAS FACULTADES DE LA UNIVERSIDAD DISTRITAL</t>
  </si>
  <si>
    <t>Metodología para adquisición de evidencia digital basado en BlockChain</t>
  </si>
  <si>
    <t>01-2021</t>
  </si>
  <si>
    <t>Tesis 2 y volver a radicar anteproyecto</t>
  </si>
  <si>
    <t>Mecanismo de clasificación de paisajes de optimización basado en muestreo multiescala y aprendizaje automático  </t>
  </si>
  <si>
    <t>08-2024</t>
  </si>
  <si>
    <t xml:space="preserve">Optimization landscape classification with multi-scale sampling and deep neural networks </t>
  </si>
  <si>
    <t xml:space="preserve">The Sixth international conference on inteligent computing in data sciences (ICDS 2024), IEEE Proceedings  ISBN 979-8-3503-5120-0 </t>
  </si>
  <si>
    <t xml:space="preserve"> MODELO DE PERFIL DE ÍNDICE PARA FIBRA ÓPTICA DE POCOS MODOS</t>
  </si>
  <si>
    <t>Gustavo Adolfo Puerto Leguizamon</t>
  </si>
  <si>
    <t>Carlos Arturo Suarez Fajardo</t>
  </si>
  <si>
    <t>03-2021</t>
  </si>
  <si>
    <t>MODELO DE PERFIL DE ÍNDICE PARA LA SÍNTESIS DE FIBRAS
ÓPTICAS DE POCOS MODOS</t>
  </si>
  <si>
    <t>CIECT XVIII CONGRESO INTERNACIONAL DE
ELECTRÓNICA, CONTROL Y
TELECOMUNICACIONES.
SOMIXXXVII-CONGRESO DE
INSTRUMENTACION. 3ER CONGRESO IBEROAMERICANO DE INSTRUMENTACION Y CIENCIAS APLICADAS.</t>
  </si>
  <si>
    <t>Juan Carlos Gomez Paredes</t>
  </si>
  <si>
    <t>Diseño e implementación de un sistema inteligente para 
el apoyo al diagnóstico de fallos operativos en entornos 
cloud basados en AWS</t>
  </si>
  <si>
    <t>ARQUITECTURA CLOUD-NATIVE PARA 
LA TRANSFORMACIÓN, FUSIÓN Y 
ANÁLISIS DE DATOS DE RADAR 
METEOROLÓGICO EN ENTORNOS AWS</t>
  </si>
  <si>
    <t>MODELO PREDICTIVO DE RECURSO 
EÓLICO PARA TERRITORIOS DE LAS ZNI 
USANDO IA</t>
  </si>
  <si>
    <t>Javier Antonio Guacaneme Moreno</t>
  </si>
  <si>
    <t xml:space="preserve">EÓLICO PARA TERRITORIOS DE LAS ZNI </t>
  </si>
  <si>
    <t>USANDO IA</t>
  </si>
  <si>
    <t>07/2024</t>
  </si>
  <si>
    <t>016/2024</t>
  </si>
  <si>
    <t xml:space="preserve">Architectural prototype for credit evaluation of Colombian SMEs based on digital banking ecosystems: a proof of concept (PoC) </t>
  </si>
  <si>
    <t>Workshop on Engineering Applications 2024</t>
  </si>
  <si>
    <t>PREDICCION DE LA INCIDENCIA EPIDEMIOLOGICA DEL DENGUE EN LA REGION CENTRO-ORIENTE DE COLOMBIA UTILIZANDO UNA RED NEURONAL RECURRENTE A PARTIR DE INFORMACION CAPTADA POR SENSORES REMOTOS</t>
  </si>
  <si>
    <t xml:space="preserve">Machine learning y teledetección aplicados a la predicción de incidencia epidemiológica del dengue en Colombia </t>
  </si>
  <si>
    <t xml:space="preserve">2024 International Conference on Information Technology &amp; Systems (ICITS'24). Universidad de la Frontera, Temuco, Chile. </t>
  </si>
  <si>
    <t>014 - 2024</t>
  </si>
  <si>
    <t xml:space="preserve">Metodología para la detección y clasificación en tiempo real de muescas de tensión </t>
  </si>
  <si>
    <t>Edwin Rivas Trujillo</t>
  </si>
  <si>
    <t>Jan Meyer</t>
  </si>
  <si>
    <t xml:space="preserve">A systematic review of real-time detection and classification of power quality disturbances </t>
  </si>
  <si>
    <t xml:space="preserve">Protection and Control of Modern Power Systems </t>
  </si>
  <si>
    <t>ALGORITMOS BASADOS EN MACHINE LEARNING APLICADOS A LA PREDICCIÓN DE FLUJO DE TRÁFICO EN CIUDADES INTELIGENTES</t>
  </si>
  <si>
    <t>15-2025</t>
  </si>
  <si>
    <t>DISEÑO DE MODELO PREDICTIVO PARA LA GESTION DEL TALENTO HUMANO A NIVEL INDIVIDUAL CON BASE EN EL
APRENDIZAJE AUTOMATICO</t>
  </si>
  <si>
    <t>DISEÑO DE UN SISTEMA CATASTRAL MULTIFINALITARIO DESCENTRALIZADO PARA LA GESTION DE LA INFROMACION TERRITORIAL</t>
  </si>
  <si>
    <t>11-2020</t>
  </si>
  <si>
    <t>DISEÑO Y CARACTERIZACION DE UN COMPUTADOR DE ABORDO PARA SATELITES PEQUEÑOS DE ORBITA TERRESTRE BAJA</t>
  </si>
  <si>
    <t>EVALUACION DE LA CONFIABILIDAD DE UNA MICRORRED BASADA EN EL ESTANDAR IEC 61850</t>
  </si>
  <si>
    <t>Oscar Florez Cediel</t>
  </si>
  <si>
    <t>ANALISIS TEMPORAL DE LA COBERTURA VEGETAL DEL PARQUE NATURAL REGIONAL SISAVITA EN COLOMBIA CON IMAGENES SATELITALES DE ORBITA POLAR</t>
  </si>
  <si>
    <t>Implementación de protocolos NTRIP para la corrección diferencial RTK en tiempo real sobre el 
territorio colombiano</t>
  </si>
  <si>
    <t>Miguel Antonio Avila</t>
  </si>
  <si>
    <t>SISITEMA DE ALERTA TEMPRANA DE RIESGOS EN ZONAS DE SERVIDUMBRE DE INFRAESTRUCTURA ELECTRICA</t>
  </si>
  <si>
    <t xml:space="preserve">Investigación una implementación de la propuesta de modelo extendido de administracion de  tierras (ladm-col) para el inventario vial
</t>
  </si>
  <si>
    <t xml:space="preserve">Propuesta de Modelo Extendido LADM-COL para el Inventario Vial Obtenido con un Sistema de Mapeo Móvil </t>
  </si>
  <si>
    <t>Revista Cartográfica IPGH</t>
  </si>
  <si>
    <t>001-2025</t>
  </si>
  <si>
    <t>Mariam Rivas</t>
  </si>
  <si>
    <t>Extracción automática  de perfiles longitudinales  del pavimento a partir de  LiDAR móvil</t>
  </si>
  <si>
    <t>016-2025</t>
  </si>
  <si>
    <t>018/2025</t>
  </si>
  <si>
    <t xml:space="preserve">ANN-Based Approach for Road Surface Extraction from Mobile LiDAR Point Clouds  </t>
  </si>
  <si>
    <t xml:space="preserve">Journal of Soft Computing in Civil Engineering Q1- Scimago </t>
  </si>
  <si>
    <t>019-2025</t>
  </si>
  <si>
    <t>alexander orduña</t>
  </si>
  <si>
    <t>USO DE TECNICAS DE ESPECTRO-RADIOMETRIA EN CAMPO Y CLASIFICACION DE IMAGENES SATELITALES PARA EL ESTUDIO DE LA AFECTACION DE LA CAPACIDAD DE ALMACENAMIENTO HIDRICO DEL EMBALSE DEL NEUSA CAUSADA POR PINUS PATULA</t>
  </si>
  <si>
    <t xml:space="preserve">Tesis 1 y Tesis 2 y volver a radicar anteproyecto </t>
  </si>
  <si>
    <t>MODELO DE GESTION DE DATOS ESPACIALES 3D PARA LOS SISTEMAS DE ADMINISTRACION DE TIERRAS EN LA PROPIEDAD HORIZONTAL</t>
  </si>
  <si>
    <t xml:space="preserve">EVALUACION MULTIESPECTRAL Y MULTITEMPORAL DE IMAGENES SATELITALES SENTINEL- 2, BASADO EN OBJETOS GEOGRAFICOS (GEOBIA), PARA LA ESTIMACION DE AREAS AFECTADAS POR INCENDIOS FORESTALES EN LOS CERROS ORIENTALES DE BOGOTA </t>
  </si>
  <si>
    <t>14/12/2020</t>
  </si>
  <si>
    <t>Estimación de áreas afectadas por incendios en la reserva forestal protectora bosque oriental de Bogotá. Usando imágenes satelitales Sentinel- 2, basado en objetos geográficos (GEOBIA)</t>
  </si>
  <si>
    <t>RISTI - Revista Iberica de Sistemas e Tecnologias de Informacao
CATEGORIA C</t>
  </si>
  <si>
    <t>MODELO ADAPTATIVO DE MARCO DE ARQUITECTURA EMPRESARIAL CON PERSPECTIVA A LA TRANSFORMACION DIGITAL DE LAS ORGANIZACIONES</t>
  </si>
  <si>
    <t>MODELO DE PREDICCION DE TEMPEREATURA DE INVERNADEROS APLICANDO OPTIMIZACION DE SISTEMAS DE INFERENCIA DIFUSA</t>
  </si>
  <si>
    <t>009-2026</t>
  </si>
  <si>
    <t>PILOTO AUTOMATICO PARA RETORNO DE LA SONDA SABIO CALDAS</t>
  </si>
  <si>
    <t>SISTEMA PARA LA LOCALIZACIÓN AUTOMÁTICA DE FALLAS EN LÍNEAS DE TRANSMISIÓN DE ENERGÍA</t>
  </si>
  <si>
    <t>Juan Carlos Carreño Gomez</t>
  </si>
  <si>
    <t>MODELO PARA DETECCION DE XANTHOMONAS CAMPESTRIS APLICANDO TECNICAS DE MACHINE LEARNING MEJORADAS MEDIANTE ALGORITMOS DE OPTIMIZACION</t>
  </si>
  <si>
    <t>10-2022</t>
  </si>
  <si>
    <t>Helbert Eduardo Espitia Cuchango</t>
  </si>
  <si>
    <t>Ana Maria Peña Reyes</t>
  </si>
  <si>
    <t>METODOLOGIA PARA PROYECTOS DE CIENCIA DE DATOS QUE PROMUEVE EL USO EFICIENTE DE RECURSOS</t>
  </si>
  <si>
    <t xml:space="preserve"> Eduyn Ramiro López Santana.</t>
  </si>
  <si>
    <t>MODELO DE INTERACCION WEB APLICADO A LA PREVENCION DEL SINDROME DEPRESIVO EN TIEMPOS DE PANDEMIA.</t>
  </si>
  <si>
    <t>MODELO PREDICTIVO DE HUMEDAD EN INVERNADEROS MEDIANTE INFERENCIA DIFUSA APLICANDO METODOS DE OPTIMIZACION</t>
  </si>
  <si>
    <t>001/2022</t>
  </si>
  <si>
    <t>Modelo para la evaluación de la calidad intrínseca y dinámica de los datos abiertos sector salud en Bogotá D.C. basado en Machine Learning </t>
  </si>
  <si>
    <t>El Papel de los Datos Abiertos Vinculados (LOD): Una Mirada Desde las Fuentes de Datos Inteligentes (OSINT)</t>
  </si>
  <si>
    <t>Revista Logos Ciencia &amp; Tecnología</t>
  </si>
  <si>
    <t>MODELO PARA ESTIMAR LA VERACIDAD DE MENSAJES ESCRITOS</t>
  </si>
  <si>
    <t>DETECCION DEL RIESGO CARDIOVASCULAR UTILIZANDO INTELIGENCIA ARTIFICIAL</t>
  </si>
  <si>
    <t>MODELO DE RED BLOCKCHAIN PARA EL PROCESO DE TRANSMISION DE INFORMACION DE LOS CONTADORES DEL SERVICIO DE ENERGIA.</t>
  </si>
  <si>
    <t>Edwar Gomez</t>
  </si>
  <si>
    <t>STRUCTURE-FROM-MOTION A PARTIR DE UAV COMO ALTERNATIVA DE SOLUCION PARA LA OCLUSION FOTOGRAMETRICA</t>
  </si>
  <si>
    <t>William Benigno Barragan</t>
  </si>
  <si>
    <t>014-2023</t>
  </si>
  <si>
    <t>"Construcción de Geometrías 3D utilizando imágenes UAV como alternativa de solución para la oclusión fotogramétrica"</t>
  </si>
  <si>
    <t>“Educación, Investigación y Desarrollo”. Cuarta Edición.
ISBN 978-958-53624-5-1</t>
  </si>
  <si>
    <t>1353 - 2024</t>
  </si>
  <si>
    <t>MODELO DE SISTEMA DE ALERTA TEMPRANA PARA DESBORDAMIENTOS DE ARROYOS EN BARRANQUILLA BASADO EN LA COMUNIDAD</t>
  </si>
  <si>
    <t>004-2024</t>
  </si>
  <si>
    <t xml:space="preserve">A Community-Based Early Warning System Model for Stream Overflow in Barranquilla </t>
  </si>
  <si>
    <t>Ingeniería Journal of Universidad Distrital Francisco José de 21Caldas</t>
  </si>
  <si>
    <t>METODOLOGÍA PARA LA PUBLICACIÓN ESTANDARIZADA DE FIRMAS ESPECTRALES PARA LA CLASIFICACIÓN DE COBERTURAS DEL SUELO</t>
  </si>
  <si>
    <t xml:space="preserve">Metodología para la publicación 
estandarizada de firmas espectrales para la clasificación de coberturas del suelo
</t>
  </si>
  <si>
    <t xml:space="preserve">XX Simposio Internacional 
SELPER: “La geo información al servicio de un futuro sostenible para la sociedad”
</t>
  </si>
  <si>
    <t>Rose Maria Aldana</t>
  </si>
  <si>
    <t xml:space="preserve">​​Modelo de recomendación de alojamientos turísticos mediante machine learning, con extracción de información a través de la técnica de Web Scraping​​ </t>
  </si>
  <si>
    <t>Jorge Enrique Salamanca</t>
  </si>
  <si>
    <t>Jose Ignacio Rodriguez Molano</t>
  </si>
  <si>
    <t xml:space="preserve">Tesis 1 y Tesis 2   </t>
  </si>
  <si>
    <t>METODOLOGIA PARA LA APLICACION DE ́LA CIENCIA DE DATOS EN EL DIAGNOSTICO DEL CANCER DE MAMA</t>
  </si>
  <si>
    <t>Methodology for the application of data science in breast cancer diagnosis</t>
  </si>
  <si>
    <t xml:space="preserve">ICMECE 2022 - II. 
Interdisciplinary Conference on 
Mechanics, Computers and Electrics 
</t>
  </si>
  <si>
    <t>Jaime Benitez</t>
  </si>
  <si>
    <t>IMPLEMENTACION DEL PROCESO DE ESCRUTINIO EN ELECCIONES ATIPICAS EMPLEANDO BLOCKCHAIN</t>
  </si>
  <si>
    <t>MODELO DE DEEP LEARNING PARA EL MEJORAMIENTO EN EL DIAGNOSTICO DE CANCER DE MAMA MEDIANTE IMAGENES HISTOPATOLOGICAS.</t>
  </si>
  <si>
    <t>08-2022</t>
  </si>
  <si>
    <t>MODELO DE CLASIFICACION SUPERVISADO PARA LA DETECCION DE LA ROYA EN HOJAS DEL CULTIVO DE CAFE APLICANDO TECNICAS DE MACHINE LEARNING</t>
  </si>
  <si>
    <t>Supervised model for the detection of coffee leaf diseases by image analysis</t>
  </si>
  <si>
    <t xml:space="preserve">International Journal of Intelligent Systems and applications in engineering
</t>
  </si>
  <si>
    <t>EXPLORACION DE DATACHANNEL DE WEBRTC Y SU APLICACION PARA E-LEARNING EN COMUNICACIONES P2P</t>
  </si>
  <si>
    <t>Segmentación productiva mediante 
aprendizaje no supervisado y optimización 
de modelos temporales para la predicción de 
cultivos transitorios de gran escala a nivel 
departamental en Colombia</t>
  </si>
  <si>
    <t>MODELO PARA PREDICCION DEL RENDIMIENTO DE CULTIVOS DE MAIZ EN COLOMBIA EMPLEANDO APRENDIZAJE PROFUNDO</t>
  </si>
  <si>
    <t>27/06/2021</t>
  </si>
  <si>
    <t>006/2024</t>
  </si>
  <si>
    <t>Assessment of the relevance of features associated with corn crop yield prediction in colombia, a country in the neotropical zone</t>
  </si>
  <si>
    <t>International Journal of Information Technology/
CATEGORIA A2/ 
Enviado octubre 2023
Publicado el 27 de enero de 2024</t>
  </si>
  <si>
    <t>DESARROLLO DE SISTEMA ROBÓTICO EDUCATIVO MODULAR CON ESTRATEGIA STEM</t>
  </si>
  <si>
    <t>16/2021</t>
  </si>
  <si>
    <t>Tesis 1 y Tesis 2</t>
  </si>
  <si>
    <t>MODELO PREDICTIVO PARA LA TOMA DE
DECISIONES SOBRE EL CONSUMO DE AYUDAS ERGOGÉNICAS NUTRICIONALES Y FARMACOLÓGICAS EN POBLACIÓN FÍSICAMENTE ACTIVA</t>
  </si>
  <si>
    <t>Beatriz Jaramillo</t>
  </si>
  <si>
    <t>ANÁLISIS DE LAS INFRACCIONES DE TRANSITO IMPUESTAS EN EL 2019 EN LA CIUDAD DE BOGOTÁ, PARA LA CREACIÓN DE APLICACIÓN MÓVIL INFORMATIVA</t>
  </si>
  <si>
    <t>MODELO ONTOLÓGICO PARA LA PERFILACIÓN DE CLIENTES DE MIPYMES DEL SECTOR MARROQUINERO</t>
  </si>
  <si>
    <t>22/2022</t>
  </si>
  <si>
    <t>Modelo Ontológico para la perfilación de clientes de MiPymes del sector Marroquinero</t>
  </si>
  <si>
    <t>22-2022</t>
  </si>
  <si>
    <t>APLICACIÓN DE MACHINE LEARNING PARA LA ORIENTACIÓN EN LA TOMA DE DECISIONES FRENTE AL USO AGRÍCOLA APROPIADO DEL SUELO PARA ZONAS CON CULTIVOS ILÍCITOS EN COLOMBIA</t>
  </si>
  <si>
    <t>Aplicación de machine learning para la orientación en la toma  de decisiones frente al uso agrícola apropiado del suelo para zonas con cultivos ilícitos en Colombia</t>
  </si>
  <si>
    <t>XX Simposio Internacional
SELPER “La geoinformación al servicio de un futuro sostenible para la sociedad”</t>
  </si>
  <si>
    <t>17-2023</t>
  </si>
  <si>
    <t>MODELO MATEMÁTICO-INFORMÁTICO DE DIGITALIZACIÓN 3D DE OBJETOS SÓLIDOS REALES O VIRTUALES, MEDIANTE EL PROCESAMIENTO DE MATRICES MULTIDIMENSIONALES.</t>
  </si>
  <si>
    <t>Carlos Gregorio Pastran Beltrán</t>
  </si>
  <si>
    <t>Sir Alexci Suarez Castrillón</t>
  </si>
  <si>
    <t>Hernando Villota</t>
  </si>
  <si>
    <t>13-2022</t>
  </si>
  <si>
    <t>016-2022</t>
  </si>
  <si>
    <t>Proposal for Digitizing Objects through Its Three Views</t>
  </si>
  <si>
    <t>International Journal of Engineering Research and Technology</t>
  </si>
  <si>
    <t>005/2023</t>
  </si>
  <si>
    <t>MODELO DE ESCRITURA DIGITAL MEDIANTE EL USO DE SEÑALES EEG</t>
  </si>
  <si>
    <t>012-2024</t>
  </si>
  <si>
    <t>Detección de potenciales relacionados a eventos P300</t>
  </si>
  <si>
    <t>CONGRESO INTERNACIONAL DE ELECTRÓNICA, CONTROL Y TELECOMUNICACIONES CIECT XVIII</t>
  </si>
  <si>
    <t>012/2024</t>
  </si>
  <si>
    <t>HACIA EL DISEÑO DE SISTEMAS DE RECOMENDACIÓN BASADOS EN INTELIGENCIA COMPUTACIONAL</t>
  </si>
  <si>
    <t>Miguel Melgarejo</t>
  </si>
  <si>
    <t>MODELO PREDICTIVO DE LAS EMISIONES DE DIOXIDO DE CARBONO GENERADAS POR LA DE LA DEFORESTACION Y DEGRADACION FORESTAL EN EL DEPARTAMENTO DEL GUAVIARE</t>
  </si>
  <si>
    <t>Modelado espacio-temporal de eventos s´ısmicos en
Colombia entre 2005 – 2020 mediante procesos de Cox
Log-Gaussian y aproximaci´on Bayesiana INLA-SPDE</t>
  </si>
  <si>
    <t>MODELO EXPLICATIVO/PREDICTIVO DE LA LOCALIZACIÓN DE LA ACTIVIDAD ECONÓMICA EN LA CIUDAD DE ARMENIA, COLOMBIA UTILIZANDO DATOS GEOGRÁFICOS ABIERTOS</t>
  </si>
  <si>
    <t>LUZ ÁNGELA ROCHA SALAMANCA</t>
  </si>
  <si>
    <t>Sin radicación actual</t>
  </si>
  <si>
    <t>VISTA DE DISEÑO ARQUITECTÓNICO PARA EL CUMPLIMIENTO DE LA REGULACION (GENERAL DATA PROTECTION REGULATION) CON ENFASIS EN CONCURRENCIA DE DATOS</t>
  </si>
  <si>
    <t>Héctor Florez Fernández</t>
  </si>
  <si>
    <t>Identificación del punto de impacto de la descarga eléctrica atmosférica en un sistema eléctrico de potencia previamente establecido</t>
  </si>
  <si>
    <t xml:space="preserve">Nelson Enrique Vera </t>
  </si>
  <si>
    <t>Comparative Analysis of  Deep Learning Models for  NIR Reconstruction from  RGB Images in Precision  Agriculture</t>
  </si>
  <si>
    <t>Artificial Neural Networks for  Image Processing in Precision  Agriculture: A Systematic  Literature Review on Mango,  Apple, Lemon, and Coffee Crops</t>
  </si>
  <si>
    <t>MDPI</t>
  </si>
  <si>
    <t>19-2025</t>
  </si>
  <si>
    <t>TRANSFORMACIÓN CUÁNTICA DEL ALGORITMO GOTA DE AGUA INTELIGENTE (IWD) PARA LA PROGRAMACIÓN DE FLUJOS DE TRABAJO EN ENTORNOS DE COMPUTACIÓN EN LA NUBE</t>
  </si>
  <si>
    <t>Último recibo</t>
  </si>
  <si>
    <t>Linea de investigación</t>
  </si>
  <si>
    <t>FECHA MAXIMA RADICACIÓN</t>
  </si>
  <si>
    <t>AMPLIACIÓN</t>
  </si>
  <si>
    <t>FECHA DE RADICACION PROYECO FINAL</t>
  </si>
  <si>
    <t>FECHA ENTREGADO3</t>
  </si>
  <si>
    <t xml:space="preserve">TITULO ARTICULO  </t>
  </si>
  <si>
    <t>REVISTA</t>
  </si>
  <si>
    <t>ENVIADO O PUBLICADO</t>
  </si>
  <si>
    <t>CATEGORIA REVISTA</t>
  </si>
  <si>
    <t>ACTA DE ARTICULO</t>
  </si>
  <si>
    <t>FECHA DE ACTA</t>
  </si>
  <si>
    <t>PREDICCION DE ZONAS DE RIESGO DE FILARIASIS LINFATICA EN EL TERRITORIO COLOMBIANO A PARTIR
DE MODELOS DE DISTRIBUCION DE ESPECIES BASADOS EN MAXIMA ENTROPIA</t>
  </si>
  <si>
    <t>Modelado de nicho ecológico como herramienta para predecir áreas potenciales de distribución de especies transmisoras de enfermedades tropicales</t>
  </si>
  <si>
    <t xml:space="preserve">Panamericana de
Salud Pública.
</t>
  </si>
  <si>
    <t>03/2023</t>
  </si>
  <si>
    <t>MODELO DE CLASIFICACION DE CONSULTAS SOBRE CONCEPTOS DE EQUIVALENCIAS DE NORMAS TECNICAS CON EL RETIE REALIZADAS AL GRUPO DE POLITICA Y REGLAMENTO DEL MINISTERIO DE MINAS Y ENERGIA, PARA OBTENER UN CONJUNTO DE PATRONES QUE LAS DEFINA.</t>
  </si>
  <si>
    <t>DESARROLLO DE SOFTWARE ORIENTADO A DISPOSITIVO MOVILES BASADO EN REALIDA AUMENTADA PARA LA VALIDACION DE SISTEMAS DE INFORMACION GEOGRAFICA A NIVEL CATASTRAL.</t>
  </si>
  <si>
    <t>LUZ ANGELA ROCHA</t>
  </si>
  <si>
    <t>METODOLOGÍA PARA LA PREDICCIÓN DE PROBLEMAS REFERENTES A LAS TIC EN ORGANIZACIONES DE SERVICIOS GENERALES</t>
  </si>
  <si>
    <t>Adriana Vega</t>
  </si>
  <si>
    <t xml:space="preserve">PREDICCIÓN DE PROBLEMAS REFERENTES A TIC EN ORGANIZACIONES DE SERVICIOS GENERALES UTILIZANDO REDES NEURONALES </t>
  </si>
  <si>
    <t>revista RIDI – UPTC de Duitama</t>
  </si>
  <si>
    <t>PRUEBA PILOTO PARA EL LEVANTAMIENTO DE INFORMACION DEL RUD A TRAVES DE PLATAFORMA MOVIL Y VISUALIZACION EN VISOR GEOGRAFICO.</t>
  </si>
  <si>
    <t>04-2021</t>
  </si>
  <si>
    <t>13/2021</t>
  </si>
  <si>
    <t>09-2022</t>
  </si>
  <si>
    <t>FUSION DE IMAGENES SATELITALES USANDO LA TRANSFORMADA WAVELET A TROUS PARA EL ANALISIS MULTITEMPORAL DEL RETROCESO GLACIAR EN EL NEVADO DEL RUIZ USANDO GOOGLE EARTH ENGINE</t>
  </si>
  <si>
    <t>SISTEMA DE IDENTIFICACIÓN Y ANÁLISIS DE VARIABLES DE RIESGO PARA EL CÁLCULO DE PRIMAS DE REASEGURO EMPLEANDO MODELOS COMPUTACIONALES.</t>
  </si>
  <si>
    <t>Roberto Salas</t>
  </si>
  <si>
    <t>026/2022</t>
  </si>
  <si>
    <t>TENDENCIAS EMERGENTES PARA LA GESTION DE PROYECTOS DE TECNOLOGIAS DE LA INFORMACION. ESTUDIO DE CASO: IMPLEMENTACION DEL COMPONENTE DE NOTIFICACIONES EN LA SUPERINTENDENCIA NACIONAL DE SALUD</t>
  </si>
  <si>
    <t>JOSE NELSON PEREZ// NELSON VERA</t>
  </si>
  <si>
    <t>ESTUDIO Y DISEÑO DE UN SISTEMA DE RADIO SOBRE FIBRA COMO SOPORTE AL TRANSPORTE DE INFORMACION EN ENTORNOS DE AGRICULTURA INTELIGENTE</t>
  </si>
  <si>
    <t>MODELO DE ANALÍTICA DE DATOS Y VISUALIZACIÓN GEOGRÁFICA DE PATRONES DEL HURTO A PERSONAS EN ESPACIOS PÚBLICOS</t>
  </si>
  <si>
    <t>Alvaro Ortiz</t>
  </si>
  <si>
    <t>10 - 2022</t>
  </si>
  <si>
    <t>PROPUESTA DE MODELO DE CLASIFICACION DE COMPORTAMIENTO DE DEPRESION EN JOVENES COLOMBIANOS EN ENTORNOS DIGITALES</t>
  </si>
  <si>
    <t>27/02/0202</t>
  </si>
  <si>
    <t>03-2020</t>
  </si>
  <si>
    <t>PRONOSTICO DE CONTAMINACION POR MATERIAL PARTICULADO, MEDIANTE REDES NEIRONALES ARTIFICIALES PARA GENERAR UN SISTEMA DE ALARMAS AMBIENTALES.</t>
  </si>
  <si>
    <t>Acta 013 de 2023</t>
  </si>
  <si>
    <t>45</t>
  </si>
  <si>
    <t>PRONOSTICO DE CONTAMINACIÓN POR MATERIAL PARTICULADO, MEDIANTE REDES NEURONALES ARTIFICIALES PARA GENERAR UN SISTEMA DE ALARMAS AMBIENTALES</t>
  </si>
  <si>
    <t>TECNURA ISSN 0123-921X</t>
  </si>
  <si>
    <t>017 de 2023</t>
  </si>
  <si>
    <t xml:space="preserve">SISTEMA DE TRAZABILIDAD PARA LA CALIDAD DE PROCESOS EN  CENTRALES DE ESTERILIZACIÓN “CASO DE ESTUDIO”
</t>
  </si>
  <si>
    <t>011-2020</t>
  </si>
  <si>
    <t>43</t>
  </si>
  <si>
    <t>Trazabilidad para la calidad de procesos de centrales de esterilización en hospitales</t>
  </si>
  <si>
    <t>008 de 2023</t>
  </si>
  <si>
    <t xml:space="preserve">dentificación de patrones de deserción y riesgo académico en carreras de la facultad de ingeniería de la universidad distrital a través de técnicas machine learning </t>
  </si>
  <si>
    <t>Leonardo Emiro Contreras Bravo</t>
  </si>
  <si>
    <t>Modelo predictivo de riesgo académico y deserción estudiantil en facultad de ingeniería en la Universidad Distrital</t>
  </si>
  <si>
    <t>Ingenierías USB Med</t>
  </si>
  <si>
    <t>Modelo semántico aplicado a la gestión de contenidos en el marco de la contratación en las empresas del estado</t>
  </si>
  <si>
    <t>018-2023</t>
  </si>
  <si>
    <t xml:space="preserve">Modelo Semántico de la Contratación en las Empresas del Estado en el Marco de la Gestión de Contenido Empresarial </t>
  </si>
  <si>
    <t>Revista TECNURA</t>
  </si>
  <si>
    <t>DISEÑO DE UNA PLATAFORMA PARA LA EJECUCION DE MODELOS DE PREDICCION SOBRE EL MERCADO DE DIVISAS MEDIANTE MACHINE LEARNING</t>
  </si>
  <si>
    <t>Towards an agriculture solution for product supply chain using blockchain: casestudy Agrochain with BigchainDB</t>
  </si>
  <si>
    <t>Soil &amp; Plant
Science</t>
  </si>
  <si>
    <t>009 de 2023</t>
  </si>
  <si>
    <t>MODELO PARA LA VISUALIZACION DE DATOS HISTORICOS, UTILIZANDO ALGORITMOS DE VISION COMPUTACIONAL</t>
  </si>
  <si>
    <t>Nancy Gelvez</t>
  </si>
  <si>
    <t>ARQUITECTURA NG-PON2 BAJO TECNOLOGIA TWDM-PON</t>
  </si>
  <si>
    <t>Gustavo Puerto</t>
  </si>
  <si>
    <t xml:space="preserve">An Iterative Methodology for Evaluating Large Language Models in IoT Weather Monitoring Systems </t>
  </si>
  <si>
    <t>Workshop on Engineering Applications 2024 Artificial Intelligence, Optimization and Simulation</t>
  </si>
  <si>
    <t>Diseño de un prototipo en el motor base de datos para la validación de reglas topológicas y cumplimiento del modelo de aplicación de levantamiento catastral LADM-COL v. 2.0.</t>
  </si>
  <si>
    <t>Acta 014 de 2023</t>
  </si>
  <si>
    <t>Validación automática de reglas topológicas en bases de datos para unidades espaciales conforme al modelo LADM</t>
  </si>
  <si>
    <t>Revista Ingenierías Universidad de Medellín</t>
  </si>
  <si>
    <t>007/2025</t>
  </si>
  <si>
    <t>ACELERADOR DE DESARROLLO DE SOFTWARE BASADO EN INEGNEIRIA DIRIGIDAPOR MODELOS. CASO DE ESTUDIO: SERVICIOS RESTFULL SOBRE BASE DE DATOS RELACIONALES</t>
  </si>
  <si>
    <t>MODELO DE ARQUITECTURA CORE TRANSACCIONAL BASADA EN ARQUITECTURAS REACTIVAS Y MICROSERVICIOS PARA EL SECTOR FINANCIERO COLOMBIANO / Diseño de una solución basada en computación en la nube para el telemonitoreo de saturación de oxígeno y frecuencia cardiaca en tiempo real</t>
  </si>
  <si>
    <t>Design of a solution based on cloud computing for the telemonitoring of oxygen
saturation and heart rate in real time</t>
  </si>
  <si>
    <t>VISIÓN ELECTRÓNICA</t>
  </si>
  <si>
    <t>Acta 010 de 2023</t>
  </si>
  <si>
    <t>METODOLOGIA PARA MEDIR LA EFECTIVIDAD DE UN CURSO VIRTUAL A PARTIR DE MINERIA DE TEXTOS EN SUS OPINIONES Y SUGERENCIAS</t>
  </si>
  <si>
    <t>MODELO PREDICTIVO DE FALLAS EN DATAFONOS A PARTIR DE REGISTROS LOGS Y MANTENIMIENTO</t>
  </si>
  <si>
    <t>Jhon Freddy Parra</t>
  </si>
  <si>
    <t>ESTIMAR EL NIVEL DE RESPONSABILIDAD DE UN ACCIDENTE AUTOMOVILISTICO BASADO EN EL ANALIS DE IMAGNES, UTILIZANDO APRENDIZAJE DE MAQUINA // UNA APLICACION QUE ESTIME EL NIVEL DE RESPONSABILIDAD DE UN CONDUCTOR EN UN ACCIDENTE AUTOMOVILISTICO BASADO EN EL ANALISIS DE IMAGENES IMPLEMENTANDO APRENDIZAJE DE MAQUINA.</t>
  </si>
  <si>
    <t xml:space="preserve">Identificación de Vehículo Culpable en un Accidente de Tránsito Implementando Algoritmos de Minería de Datos </t>
  </si>
  <si>
    <t>Educación en Ingeniería</t>
  </si>
  <si>
    <t>017-2022</t>
  </si>
  <si>
    <t>SISTEMA LUDIFICADO DE REALIDAD VIRTUAL PARA EL DESARROLLO DE PROCESO SW DE ENSEÑANZA
APRENDIZAJE RELACIONADOS CON LA PROGRAMACIÓN DE COMPUTADORES</t>
  </si>
  <si>
    <t>14/2023</t>
  </si>
  <si>
    <t>47</t>
  </si>
  <si>
    <t>SISTEMA LUDIFICADO DE REALIDAD VIRTUAL PARA EL DESARROLLO DE PROCESO SW DE ENSEÑANZA</t>
  </si>
  <si>
    <t>Metodología para la valoración de riesgos de proyectos de software en Colombia</t>
  </si>
  <si>
    <t>007-2024</t>
  </si>
  <si>
    <t>008-2024</t>
  </si>
  <si>
    <t>Usando ARIMA en Predicción de Riesgos</t>
  </si>
  <si>
    <t>Revista Científica
ISSN 0124-2253 E-2344-8350
http://revistas.udistrital.edu.co/ojs/index.php/revcie</t>
  </si>
  <si>
    <t>Ciencia de datos aplicado a proyectos dentro de empresas del estado. Unidad Nacional de
Protección UNP</t>
  </si>
  <si>
    <t>Andres Escobar Diaz</t>
  </si>
  <si>
    <t>Trabajo de Grado y volver a radicar anteproyecto</t>
  </si>
  <si>
    <t>ESTUDIO DE INDICADOR DEMOGRÁFICO DE LOS CONTAGIOS POR COVID-19 EN BOGOTÁ BASADO EN ANALÍTICA DE DIAGNÓSTICO</t>
  </si>
  <si>
    <t>007-2022</t>
  </si>
  <si>
    <t>MODELO DE GESTIÓN DE INFORMACIÓN ESPACIAL PARA AUTORREGULAR EL ACCESO A ESTACIONES DE TRANSMILENIO UTILIZANDO HERRAMIENTAS COLABORATIVAS</t>
  </si>
  <si>
    <t>18-2024</t>
  </si>
  <si>
    <t>Optimización del acceso a estaciones de transporte público mediante herramientas 
colaborativas en Bogotá Colombia</t>
  </si>
  <si>
    <t>Revista Perspectiva Geografica</t>
  </si>
  <si>
    <t>016/2025</t>
  </si>
  <si>
    <t>Vulnerabilidad territorial y quema de biomasa en Ciudad Bolívar, Bogotá 2024: Aproximación a un análisis espacial</t>
  </si>
  <si>
    <t>CARLOS HERNÁN CASTRO ORTEGA</t>
  </si>
  <si>
    <t xml:space="preserve">Trabajo de Grado </t>
  </si>
  <si>
    <t>MODELO DE CARACTERIZACION DE SEÑALES ELECTROENCEFALOGRAFICAS EN
ESTADO DE RELAJACION</t>
  </si>
  <si>
    <t>Análisis multitemporal de la conurbación en los municipios de Madrid y Mosquera mediante métodos de Geobia e índices espectrales.</t>
  </si>
  <si>
    <t>013/2025</t>
  </si>
  <si>
    <t>Luis Leonardo Rodriguez Bernal</t>
  </si>
  <si>
    <t>Análisis multitemporal de la 
conurbación en los municipios 
de Madrid y Mosquera 
mediante métodos de 
GEOBIA e índices espectrales</t>
  </si>
  <si>
    <t>Revista INGENIERIAS de 
la Universidad de 
Medellín</t>
  </si>
  <si>
    <t>022-2025</t>
  </si>
  <si>
    <t>MODELO DE SIG CON EL USO DE REALIDAD AUMENTADA PARA USUARIOS POS CON DISCAPACIDAD AUDITIVA QUE USEN LOS SERVICIOS DE SALUD</t>
  </si>
  <si>
    <t>Carlos Enrique Montenegro</t>
  </si>
  <si>
    <t>Modelo de SIG con el uso de realidad aumentada para usuarios con discapacidad auditiva que usen los servicios de salud</t>
  </si>
  <si>
    <t>ICPM2022</t>
  </si>
  <si>
    <t>020-2022</t>
  </si>
  <si>
    <t>PRONOSTICO DE LA ESPERANZA DE VIDA PARA LA POBLACION DE COLOMBIA UTILIZANDO MACHINE
LEARNING</t>
  </si>
  <si>
    <t>14-2-25</t>
  </si>
  <si>
    <t>Sí</t>
  </si>
  <si>
    <t>26/05/2021</t>
  </si>
  <si>
    <t>003-2025</t>
  </si>
  <si>
    <t>Pronóstico de la esperanza de vida para la población de Colombia utilizando machine learning</t>
  </si>
  <si>
    <t>Biomédica (Revista del Instituto Nacional de Salud)</t>
  </si>
  <si>
    <t>PREDICCION DE ESPERANZA DE VIDA, CONSIDERANDO EL COVID-19 BAJO ALGORITMOS DE MACHINE
LEARNING BASADOS EN DATOS EPIDEMIOLOGICOS Y PATOLOGICOS</t>
  </si>
  <si>
    <t>28-2-2025</t>
  </si>
  <si>
    <t>005-2025</t>
  </si>
  <si>
    <t>Predicción de esperanza de vida considerando el covid-19, bajo algoritmos de machine learning basados en datos epidemiológicos y patológicos</t>
  </si>
  <si>
    <t>GESTION DESCENTRALIZADA DE LA IDENTIDAD DIGITAL A TRAVES DE BLOCKCHAIN Y SMART CONTRACT</t>
  </si>
  <si>
    <t>MARCO METODOLOGICO PARA LA ADOPCION Y DISEÑO DE SOLUCIONES TECNOLOGICAS BASADAS EN SISTEMAS BLOCKCHAIN EN ENTORNOS EMPRESARIALES E INSTITUCIONALES</t>
  </si>
  <si>
    <t>METODOLOGIA DE IMPLEMENTACION DE UN PROTOTIPO DE INTEROPERABILIDAD UTILIZANDO LA ARQUITECTURA X-ROAD EN ENTIDADES DEL ESTADO EN COLOMBIA</t>
  </si>
  <si>
    <t>MODELO PREDICTOR DEL NUMERO DE CASOS DE VIOLENCIA DE PAREJA EN BOGOTA BASADO EN REDES NEURONALES ARTIFICIALES</t>
  </si>
  <si>
    <t>Medición de la Diferencia de Fase de la Señal de Salida de Osciladores Atómicos mediante Comparación Satelital</t>
  </si>
  <si>
    <t>Nelson Bahamón Cortés</t>
  </si>
  <si>
    <t>INTELIGENCIA ARTIFICIAL PARA LA CLASIFICACION AUTOMATIZADA DE COBERTURAS DEL SUELO A PARTIR DE UN ANALISIS MULTITEMPORAL CON IMAGENES DE SATELITE</t>
  </si>
  <si>
    <t>Aplicación de técnicas de machine learning para la detección de anomalías en conjuntos de datos georreferenciados: un enfoque multivariado</t>
  </si>
  <si>
    <t>06-2024</t>
  </si>
  <si>
    <t>ANALISIS Y DISEÑO DE UN SISTEMA BASADO EN ALGORITMOS DE APRENDIZAJE AUTOMATICO PARA DETECTAR FACTORES DE RIESGO DE SUICIDIO EN REDES SOCIALES SOBRE LA POBLACION ADOLESCENTE.</t>
  </si>
  <si>
    <t>Alejandro Paolo daza Corredor</t>
  </si>
  <si>
    <t>PROPUESTA DE UN MODELO EN CLOUD PAAS DE ESCALABILIDAD DE RECURSOS INTELIGENTE A PARTIR DE LAS METRICAS Y ESCALABILIDAD DE ALGORITMOS PARALELOS, IMPLEMENTADOS EN UN GRUPO DE RECURSOS EN LA NUBE DE IFX</t>
  </si>
  <si>
    <t xml:space="preserve"> </t>
  </si>
  <si>
    <t>MODELO CLASIFICADOR EN TIEMPO REAL PARA ATAQUES DE SEGURIDAD EN SISTEMAS IOT</t>
  </si>
  <si>
    <t>Carlos Montenegro Marin</t>
  </si>
  <si>
    <t>OPTIMIZACIÓN DE PROCESAMIENTO BACKEND MEDIANTE ARQUITECTURA HEXAGONAL Y LAS CORRUTINAS DE KOTLIN COMO PATRÓN DE DISEÑO DE SIMULTANEIDAD</t>
  </si>
  <si>
    <t>10/11/20202</t>
  </si>
  <si>
    <t>SISTEMA PARA DETECCION Y REFACTORIZACION DE RUIDO EN CODIGO FUENTE BASADO EN INTELIGENCIA ARTIFICIAL</t>
  </si>
  <si>
    <t>MODELO ANALITICO BASADO EN COMPONENTES DE MACHINE LEARNING APLICADO AL SECTOR DE TURISMO DE NATURALEZA</t>
  </si>
  <si>
    <t>APLICACION DE TECNICAS DE MINERIA DE DATOS PARA PREDECIR EL TIEMPO DE RESOLUCION EN EL PROCESO DE GESTION DE INCIDENTES DE LA MESA DE AYUDA DE LA GOBERNACION DE CUNDINAMARCA</t>
  </si>
  <si>
    <t>PROTOTIPO DE SALA DE URGENCIAS AGIL EMPLEANDO TECNOLOGIAS BPM Y BI</t>
  </si>
  <si>
    <t>NETWORK SLICING EN REDES 5G PARA TRAFICO STREAMING APLICANDO DEEP LEARNING</t>
  </si>
  <si>
    <t>04/2024-</t>
  </si>
  <si>
    <t>Danilo Lopez Sarmiento</t>
  </si>
  <si>
    <t>50</t>
  </si>
  <si>
    <t>Network slicing con  una red neuronal 
profunda para redes 5g</t>
  </si>
  <si>
    <t>TECNURA</t>
  </si>
  <si>
    <t>1221/2024</t>
  </si>
  <si>
    <t>MACHINE LEARNING PARA LA EVALUACION DE BALANCES VOLUMETRICOS EN EL TRANSPORTE DE HIDROCARBUROS</t>
  </si>
  <si>
    <t>27/03/2025</t>
  </si>
  <si>
    <t>Diseño e implementación de un sistema 
RAG (Retrieval-Augmented Generation) en 
un LLM para la construcción de reglas YARA
en la detección de malware</t>
  </si>
  <si>
    <t xml:space="preserve">RAG (Retrieval-Augmented Generation) en </t>
  </si>
  <si>
    <t xml:space="preserve">Estimación de la Severidad de Incendio, Usando Imágenes Satelitales Landsat para el Parque Nacional Natural El Tuparro entre los años 2013 a 2023 </t>
  </si>
  <si>
    <t xml:space="preserve">Revista RISTI (Revista Ibérica de Sistemas y Tecnologías de la Información) </t>
  </si>
  <si>
    <t>un LLM para la construcción de reglas YARA</t>
  </si>
  <si>
    <t>en la detección de malware</t>
  </si>
  <si>
    <t>Martha Patricia Valbuena Gaona</t>
  </si>
  <si>
    <t>Implementación de machine learning para el análisis multitemporal del estado fenológico de cultivos con muestreo in situ: caso de estudio del cultivo de cebolla en el municipio de tota, Boyacá, utilizando métodos de crowdsourcing para la adquisición de puntos de control y segmentación para la estima</t>
  </si>
  <si>
    <t>Revista XXI Simposio Internacional SELPER: "Além do Dossel – Tecnologias e Aplicações de Sensoriamento Remoto</t>
  </si>
  <si>
    <t>MODELO DE CERTIFICADO DIGITAL DE CALIBRACION
PARA LOS INSTITUTOS NACIONALES DE METROLOGIA</t>
  </si>
  <si>
    <t>PROTOTIPO DE SISTEMAS LUMINICOS PARA LA PRODUCCION DE PLANTAS MEDICINALES DE LA TAXONOMIA CANNABIS SAVITA RUDERALIS (CANNABACEAE) UTILIZANDO ENERGIAS ALTERNATIVAS EN EL MUNICIPIO DE TIBACUY INSPECCION DE CUMACA</t>
  </si>
  <si>
    <t>EVALUACIÓN DE LA CALIDAD DE DATOS
GEOESPACIALES ABIERTOS DE INFRAESTRUCTURA
URBANA EN COLOMBIA MEDIANTE MÉTRICAS
NORMATIVAS Y APRENDIZAJE AUTOMÁTICO</t>
  </si>
  <si>
    <t>SISTEMA DE SOPORTE DE DECISIONES PARA LA ADMINISTRACION DE PRODUCTOS AGRICOLAS DEL CAMPO COLOMBIANO.</t>
  </si>
  <si>
    <t>CONSTANCIA – 353– 2022</t>
  </si>
  <si>
    <t>Luz Andrea Rodríguez Rojas</t>
  </si>
  <si>
    <t xml:space="preserve">Sistema de soporte de decisiones para contribuir en la administración de cultivos de arroz
</t>
  </si>
  <si>
    <t xml:space="preserve">Revista de Investigación Agraria y Ambiental 
(soporte de envio)
</t>
  </si>
  <si>
    <t>MODELO DE CLASIFICACION DE EVENTOS SONOROS Y TRAFICO VEHICULAR EN BOGOTA</t>
  </si>
  <si>
    <t>Oscar Esneider Acosta</t>
  </si>
  <si>
    <t>Diseño e implementación de un gestor de eventos para la recolección automática de registros de fallas de relés de protección eléctrica multimarca a través del protocolo IEC 61850</t>
  </si>
  <si>
    <t>Juan Carlos Carreño Pérez</t>
  </si>
  <si>
    <t>MODELO DE CONSENSO PARA CONTABILIDAD DISTRIBUIDA BASADA EN BLOCKCHAIN</t>
  </si>
  <si>
    <t>Diseño e  implementación de un modelo de trazabilidad descentralizada en la cadena de suministro 
de medicamentos</t>
  </si>
  <si>
    <t>Dario Alejandro Segura</t>
  </si>
  <si>
    <t>MODELO PARA LA EVALUACIÓN DE INFORMES DE INTERCEPTACIÓN DE COMUNICACIONES TELEFÓNICAS A TRAVÉS DEL PROCESAMIENTO DE LENGUAJE NATURAL</t>
  </si>
  <si>
    <t>SISTEMA IOT PARA LA GESTIÓN DE VARIABLES DE PROCESO EN AMBIENTES DE REFRIGERACIÓN DE LA INDUSTRIA CÁRNICA</t>
  </si>
  <si>
    <t>14/2022</t>
  </si>
  <si>
    <t xml:space="preserve">Sistema iot para la gestión de variables de proceso en ambientes de refrigeración de la industria cárnica </t>
  </si>
  <si>
    <t>Revista Ingeniería Solidaria</t>
  </si>
  <si>
    <t xml:space="preserve">Metodología para la evaluación de incendios de vegetación en la sierra de la macarena utilizando técnicas de análisis de imágenes basado en objetos geográficos y árboles de decisión </t>
  </si>
  <si>
    <t>Rubén Javier Medina</t>
  </si>
  <si>
    <t>Luis eduardo Castillo</t>
  </si>
  <si>
    <t>14-2025</t>
  </si>
  <si>
    <t>017-2025</t>
  </si>
  <si>
    <t xml:space="preserve">Clasificación de áreas quemadas usando imágenes satelitales Sentinel-2 con GEOBIA, SVM y árbol de decisión en la Sierra de La Macarena durante el periodo 2018 a 2024 </t>
  </si>
  <si>
    <t xml:space="preserve">Ciencia e Ingeniería Neogranadina </t>
  </si>
  <si>
    <t>015/2025</t>
  </si>
  <si>
    <t>DESARROLLO DE UN PROTOTIPO DE MODELO CATASTRAL 3D A PARTIR DE SISTEMAS DE INFORMACIÓN GEOGRÁFICA PARA LA VISUALIZACIÓN DE LOS ASPECTOS LEGALES Y FÍSICOS DE LOS PREDIOS DEL CONJUNTO RESIDENCIAL CONDOMINIOS II DE TEJARES EN EL MUNICIPIO DE SOACHA.</t>
  </si>
  <si>
    <t>14-2024</t>
  </si>
  <si>
    <t>Desarrollo de un prototipo de modelo catastral 3D a partir de herramientas de geoprocesamiento para la visualización de los aspectos legales y físicos en una propiedad horizontal en el municipio de Soacha, Cundinamarca</t>
  </si>
  <si>
    <t>Revista Ciencia e Ingeniería Neogranadina</t>
  </si>
  <si>
    <t>009/2025</t>
  </si>
  <si>
    <t>METODOLOGÍA PARA LA CLARIFICACIÓN DEL TERRITORIO; RESGUARDO INDÍGENA LLANOS DEL YARI YAGUARA 2.</t>
  </si>
  <si>
    <t>La realidad del territorio: Desafíos en la representación oficial de los resguardos indígenas en Colombia.</t>
  </si>
  <si>
    <t>Revista Territorios</t>
  </si>
  <si>
    <t>012/2025</t>
  </si>
  <si>
    <t>ANÁLISIS DE IMPACTO PRESUPUESTAL DE CUATRO MODELOS DE GESTIÓN DE RIESGO DE LA ENFERMEDAD RENAL CRÓNICA, BASADOS EN UNA COHORTE DE LA VIDA REAL</t>
  </si>
  <si>
    <t>CONSTRUCCIÓN DE UN SOFTWARE PARA EL ESTUDIO PARAMÉTRICO DE LA INTERACCIÓN DE RADIACIÓN SOLAR Y LA CAPA OZONOSFERICA DE LA TIERRA</t>
  </si>
  <si>
    <t>Julian Andres Salamanca Bernal</t>
  </si>
  <si>
    <t>Alejandro Hurtado Márquez</t>
  </si>
  <si>
    <t>MODELACIÓN HIDROLÓGICA PARA LA ESTIMACIÓN CUANTITATIVA DE PRECIPITACIONES MEDIANTE EL PROCESAMIENTO DE IMÁGENES PRODUCIDAS POR RADAR METEOROLÓGICO</t>
  </si>
  <si>
    <t>Ernesto Gomez</t>
  </si>
  <si>
    <t>PROPUESTA DE PROCESO DE CAPTURA, ANÁLISIS Y APLICACIÓN DE SEÑALES EEG POR MEDIO DE PLATAFORMAS WEB</t>
  </si>
  <si>
    <t>009-2024</t>
  </si>
  <si>
    <t>16/2024</t>
  </si>
  <si>
    <t>MODELO DE ANALITICA AL SERVICIO DEL SECTOR INMOBILIARIO</t>
  </si>
  <si>
    <t>DIRECTOR - REVISOR - JURADO</t>
  </si>
  <si>
    <t>Nombre</t>
  </si>
  <si>
    <t>Director</t>
  </si>
  <si>
    <t>Revisor</t>
  </si>
  <si>
    <t>Jurado</t>
  </si>
  <si>
    <t>=CONTAR.SI('Acuerdo Antiguo'!BD:BD;A3)+CONTAR.SI('N-A Profundizacion'!AX:AX;A3)+CONTAR.SI('N-A Investigación'!BB:BB;A3)</t>
  </si>
  <si>
    <t>anavarrete@udistrital.edu.co</t>
  </si>
  <si>
    <t>grupo de investigación internacional de informática, comunicación y gestión del conocimiento</t>
  </si>
  <si>
    <t>Adolfo Jaramillo</t>
  </si>
  <si>
    <t>=CONTAR.SI('Acuerdo Antiguo'!BD:BD;A4)+CONTAR.SI('N-A Profundizacion'!AX:AX;A4)+CONTAR.SI('N-A Investigación'!BB:BB;A4)</t>
  </si>
  <si>
    <t>ajaramillom@udistrital.edu.co</t>
  </si>
  <si>
    <t>laboratorio de investigación en fuentes alternativas de energía</t>
  </si>
  <si>
    <t>avegae@udistrital.edu.co</t>
  </si>
  <si>
    <t>gestión de sistemas energéticos
grupo de compatibilidad e interferencia electromagnetica</t>
  </si>
  <si>
    <t>Alberto Acosta</t>
  </si>
  <si>
    <t>aacosta@udistrital.edu.co</t>
  </si>
  <si>
    <t>tratamiento de historias clinicas universidad distrital</t>
  </si>
  <si>
    <t>Alberto Sarcina Brigada</t>
  </si>
  <si>
    <t>-</t>
  </si>
  <si>
    <t>apdazac@udistrital.edu.co</t>
  </si>
  <si>
    <t>interoperabilidad tecnologica y semantíca</t>
  </si>
  <si>
    <t>Alexandra Abuchar</t>
  </si>
  <si>
    <t>aabucharp@udistrital.edu.co</t>
  </si>
  <si>
    <t>aeortizd@udistrital.edu.co</t>
  </si>
  <si>
    <t>nucleo investigacion en datos espaciales</t>
  </si>
  <si>
    <t>aespinel@udistrital.edu.co</t>
  </si>
  <si>
    <t>grupo de investigación en telemedicina</t>
  </si>
  <si>
    <t>Alvaro Sanabria Duque</t>
  </si>
  <si>
    <t>msanabria@udistrital.edu.co</t>
  </si>
  <si>
    <t>gesdatos</t>
  </si>
  <si>
    <t>penareyes2002@gmail.com</t>
  </si>
  <si>
    <t>Andres Bustamante</t>
  </si>
  <si>
    <t>acardenas@udistrital.edu.co</t>
  </si>
  <si>
    <t>aegaonab@udistrital.edu.co</t>
  </si>
  <si>
    <t>aljutinicoa@udistrital.edu.co</t>
  </si>
  <si>
    <t>laboratorio de investigación en fuentes alternativas de energía
laboratorio de automatizacion sistemas embebidos y robotica: laser</t>
  </si>
  <si>
    <t>Andres Osorio</t>
  </si>
  <si>
    <t>Antonio Hernandez</t>
  </si>
  <si>
    <t>bjaramillo@udistrital.edu.co</t>
  </si>
  <si>
    <t>bgcardenasq@udistrital.edu.co</t>
  </si>
  <si>
    <t>Carlos Andres Franco</t>
  </si>
  <si>
    <t>Carlos Andres Macana Moreno</t>
  </si>
  <si>
    <t>csuarezf@udistrital.edu.co</t>
  </si>
  <si>
    <t>radiacion electromagnetica y comunicaciones opticas: greco</t>
  </si>
  <si>
    <t>Carlos Hernan  Catro Ortega</t>
  </si>
  <si>
    <t>cmelo@udistrital.edu.co</t>
  </si>
  <si>
    <t>cemontenegrom@udistrital.edu.co</t>
  </si>
  <si>
    <t>GIIRA
multimedia interactiva y animacion digital</t>
  </si>
  <si>
    <t>Carlos Garcia</t>
  </si>
  <si>
    <t>cgpastranb@udistrital.edu.co</t>
  </si>
  <si>
    <t>giicud: grupo de investigación en ingeniería civil de la universidad distrital</t>
  </si>
  <si>
    <t>Carlos Mendoza</t>
  </si>
  <si>
    <t>Carlos Suarez</t>
  </si>
  <si>
    <t xml:space="preserve">cperdomo@correo.udistrital.edu.co </t>
  </si>
  <si>
    <t>laboratorio de automatizacion sistemas embebidos y robotica: laser</t>
  </si>
  <si>
    <t>cahernandezs@udistrital.edu.co</t>
  </si>
  <si>
    <t>internet inteligente</t>
  </si>
  <si>
    <t>Cesar Castellanos</t>
  </si>
  <si>
    <t>ceacastellanosg@correo.udistrital.edu.co</t>
  </si>
  <si>
    <t>Cesar Garcia Ubaque</t>
  </si>
  <si>
    <t>cagarciau@udistrital.edu.co</t>
  </si>
  <si>
    <t>Cesar Hernandez</t>
  </si>
  <si>
    <t>Cesar Trujillo</t>
  </si>
  <si>
    <t>cltrujillo@udistrital.edu.co</t>
  </si>
  <si>
    <t>grupo de investigación en sistemas eléctricos y eficiencia energética
laboratorio de investigación en fuentes alternativas de energía</t>
  </si>
  <si>
    <t>Claudia Berenice Rojas</t>
  </si>
  <si>
    <t>cbrojasr@gmail.com</t>
  </si>
  <si>
    <t>Claudia Ordoñez</t>
  </si>
  <si>
    <t>dalopezs@udistrital.edu.co</t>
  </si>
  <si>
    <t>internet inteligente
laboratorio de investigacion y desarrollo en electronica y redes</t>
  </si>
  <si>
    <t>Darin Mosquera</t>
  </si>
  <si>
    <t>djmosquerap@udistrital.edu.co</t>
  </si>
  <si>
    <t>grupo de compatibilidad e interferencia electromagnetica</t>
  </si>
  <si>
    <t>lalvarado@udistrital.edu.co</t>
  </si>
  <si>
    <t>grupo de complejidad de la universidad distrital</t>
  </si>
  <si>
    <t>Edgar Aguirre</t>
  </si>
  <si>
    <t>eaaguirreb@correo.udistrital.edu.co</t>
  </si>
  <si>
    <t>laboratorio de investigacion y desarrollo en electronica y redes</t>
  </si>
  <si>
    <t>esuarez@udistrital.edu.co</t>
  </si>
  <si>
    <t>edvega@udistrital.edu.co</t>
  </si>
  <si>
    <t>bionanotecnología</t>
  </si>
  <si>
    <t>erivas@udistrital.edu.co</t>
  </si>
  <si>
    <t>egaona@udistrital.edu.co</t>
  </si>
  <si>
    <t>giira
laboratorio de investigación en fuentes alternativas de energía</t>
  </si>
  <si>
    <t>esupeguic@udistrital.edu.co</t>
  </si>
  <si>
    <t>estudio en temas de la física, de la estadística y de la matemática</t>
  </si>
  <si>
    <t>egomez@udistrital.edu.co</t>
  </si>
  <si>
    <t>ecamargoc@udistrital.edu.co</t>
  </si>
  <si>
    <t>sistemas digitales inteligentes
robótica móvil autónoma</t>
  </si>
  <si>
    <t>Esteban Hernandez</t>
  </si>
  <si>
    <t>Fernando Cancino</t>
  </si>
  <si>
    <t>fcancino@udistrital.edu.co</t>
  </si>
  <si>
    <t>ingeniería y nanotecnologia para la vida</t>
  </si>
  <si>
    <t>fzamora@udistrital.edu.co</t>
  </si>
  <si>
    <t>fsantamariap@udistrital.edu.co</t>
  </si>
  <si>
    <t>grupo de compatibilidad e interferencia electromagnetica
grupo de investigación en sistemas eléctricos y eficiencia energética</t>
  </si>
  <si>
    <t>fhmartinezs@udistrital.edu.co</t>
  </si>
  <si>
    <t>arquitecturas modernas para sistemas de alimentación</t>
  </si>
  <si>
    <t>gm4055@gmail.com</t>
  </si>
  <si>
    <t>laboratorio de automatica, microeletronica e inteligencia computacional</t>
  </si>
  <si>
    <t>German Andres Mendez Giraldo</t>
  </si>
  <si>
    <t>gmendez@udistrital.edu.co</t>
  </si>
  <si>
    <t>grupo adquisición y representación del conocimiento - sistemas expertos y simulación (arco ses)</t>
  </si>
  <si>
    <t>German Cifuentes</t>
  </si>
  <si>
    <t>German Torrijos</t>
  </si>
  <si>
    <t>gtorrijosc@hotmail.com</t>
  </si>
  <si>
    <t>investigacion en didáctica de las ciencias
geotopo</t>
  </si>
  <si>
    <t>Gina Paola Suarez</t>
  </si>
  <si>
    <t>Giovanni Mauricio Tarazona Bermudez</t>
  </si>
  <si>
    <t>gtarazona@udistrital.edu.co</t>
  </si>
  <si>
    <t>comercio electronico en colombia</t>
  </si>
  <si>
    <t>gapuerto@udistrital.edu.co</t>
  </si>
  <si>
    <t>Hans Igor Lopez Rodriguez</t>
  </si>
  <si>
    <t>hilopezc@udistrital.edu.co</t>
  </si>
  <si>
    <t>investigacion, desarrollo y aplicaciones en señales</t>
  </si>
  <si>
    <t>haflorezf@udistrital.edu.co</t>
  </si>
  <si>
    <t>grupo de investigación metis
innovacion en tecnologias de informacion</t>
  </si>
  <si>
    <t>hjfuentesl@udistrital.edu.co</t>
  </si>
  <si>
    <t>Hector Mora Paez</t>
  </si>
  <si>
    <t>heespitiac@udistrital.edu.co</t>
  </si>
  <si>
    <t>laboratorio de automatica, microeletronica e inteligencia computacional
	giira
	interoperabilidad tecnologica y semantíca</t>
  </si>
  <si>
    <t>Henry Alberto Diosa</t>
  </si>
  <si>
    <t>hdiosa@udistrital.edu.co</t>
  </si>
  <si>
    <t>grupo de investigación en arquitecturas de software</t>
  </si>
  <si>
    <t>Hermes Javier Eslava</t>
  </si>
  <si>
    <t>hjeslavab@udistrital.edu.co</t>
  </si>
  <si>
    <t>grupo de investigación en telecomunicaciones</t>
  </si>
  <si>
    <t>havillotap@udistrital.edu.co</t>
  </si>
  <si>
    <t>Tecnologías para la Construcción</t>
  </si>
  <si>
    <t>Ismael Osorio</t>
  </si>
  <si>
    <t>iosoriob@udistrital.edu.co</t>
  </si>
  <si>
    <t>TopografÍa y Territorio</t>
  </si>
  <si>
    <t>Ivan Alberto Lizarazo</t>
  </si>
  <si>
    <t>ilizarazo@udistrital.edu.co</t>
  </si>
  <si>
    <t>Ivan Gonzalez</t>
  </si>
  <si>
    <t>jguacaneme@udistrital.edu.co</t>
  </si>
  <si>
    <t xml:space="preserve">	gestión de sistemas energéticos
laboratorio de investigación en fuentes alternativas de energía</t>
  </si>
  <si>
    <t>Janeth Pardo</t>
  </si>
  <si>
    <t>jpardop@udistrital.edu.co</t>
  </si>
  <si>
    <t>jfmoncada@udistrital.edu.co</t>
  </si>
  <si>
    <t>giira
	laboratorio de investigacion y desarrollo en electronica y redes</t>
  </si>
  <si>
    <t>Jenny Plazas</t>
  </si>
  <si>
    <t>jfherrerac@udistrital.edu.co</t>
  </si>
  <si>
    <t>giira
	multimedia interactiva y animacion digital</t>
  </si>
  <si>
    <t>jfparrap@udistrital.edu.co</t>
  </si>
  <si>
    <t>jaavendanoa@correo.udistrital.edu.co</t>
  </si>
  <si>
    <t>Johanna Sanchez Guarquin</t>
  </si>
  <si>
    <t>John Freddy Parra</t>
  </si>
  <si>
    <t>jerodriguezr@udistrital.edu.co</t>
  </si>
  <si>
    <t>grupo de investigación en inteligencia artificial</t>
  </si>
  <si>
    <t>jsalamanca@udistrital.edu.co</t>
  </si>
  <si>
    <t>grupo de investigación en telemedicina
gestión de sistemas energéticos
grupo de compatibilidad e interferencia electromagnetica</t>
  </si>
  <si>
    <t>jorgemariocalvo@gmail.com</t>
  </si>
  <si>
    <t>Jose Adolfo Lizcano</t>
  </si>
  <si>
    <t>Jose Antonio Valero</t>
  </si>
  <si>
    <t>jvalero@udistrital.edu.co</t>
  </si>
  <si>
    <t>Jose De Jesus Patermina</t>
  </si>
  <si>
    <t>Jose Ignacio Palacios Osma</t>
  </si>
  <si>
    <t>jipalaosma@gmail.com</t>
  </si>
  <si>
    <t>jirodriguez@udistrital.edu.co</t>
  </si>
  <si>
    <t>Jose Jairo Soriano Mendez</t>
  </si>
  <si>
    <t>josoriano@gmail.com</t>
  </si>
  <si>
    <t>Jose Lizcano Caro</t>
  </si>
  <si>
    <t>jalizcanoc@udistrital.edu.co</t>
  </si>
  <si>
    <t>jherrera@udistrital.edu.co</t>
  </si>
  <si>
    <t>Fallecido</t>
  </si>
  <si>
    <t>Jose Valero</t>
  </si>
  <si>
    <t>jcalarconh@udistrital.edu.co</t>
  </si>
  <si>
    <t>Juan Carlos Figueroa Garcia</t>
  </si>
  <si>
    <t>jcfigueroag@udistrital.edu.co</t>
  </si>
  <si>
    <t>gitud@udistrital.edu.co</t>
  </si>
  <si>
    <t>telecomunicaciones de la univesidad distrital</t>
  </si>
  <si>
    <t>Juan David Mendez</t>
  </si>
  <si>
    <t>Juan Fernando Santa</t>
  </si>
  <si>
    <t>Juan Gilberto Linares Bustos</t>
  </si>
  <si>
    <t>Juan Manuel Sanchez</t>
  </si>
  <si>
    <t>jmsanchezcespedes@gmail.com</t>
  </si>
  <si>
    <t>giira</t>
  </si>
  <si>
    <t>Julian Alfonso Tristancho Ortiz</t>
  </si>
  <si>
    <t>jutrista@gmail.com</t>
  </si>
  <si>
    <t>diseño, modelamiento y simulación</t>
  </si>
  <si>
    <t>Julian Rolando Camargo</t>
  </si>
  <si>
    <t>jcamargo@udistrital.edu.co</t>
  </si>
  <si>
    <t>telecomunicaciones de la univesidad distrita
laboratorio de investigacion y desarrollo en electronica y redes
	ingeniería y nanotecnologia para la vida
	laboratorio de automatizacion sistemas embebidos y robotica: laser</t>
  </si>
  <si>
    <t>djrodriguezp@udistrital.edu.co</t>
  </si>
  <si>
    <t>ingeniería y nanotecnologia para la vida
grupo física e informática
laboratorio de investigación en fuentes alternativas de energía</t>
  </si>
  <si>
    <t xml:space="preserve">Julian Barragan </t>
  </si>
  <si>
    <t>jbaron@udsitrital.edu.co</t>
  </si>
  <si>
    <t>interoperabilidad tecnologica y semantíca
	multimedia interactiva y animacion digital</t>
  </si>
  <si>
    <t>lplazasn@udistrital.edu.co</t>
  </si>
  <si>
    <t>eaparicio@udistrital.edu.co</t>
  </si>
  <si>
    <t>Lindsay Alvarez Pomar</t>
  </si>
  <si>
    <t>lalvarez@udistrital.edu.co</t>
  </si>
  <si>
    <t>lecastillom@udistrital.edu.co</t>
  </si>
  <si>
    <t>Luis Fernando Gomez</t>
  </si>
  <si>
    <t>lfgomezn@correo.udistrital.edu.co</t>
  </si>
  <si>
    <t>robótica móvil autónoma</t>
  </si>
  <si>
    <t>lfpedrazam@udistrital.edu.co</t>
  </si>
  <si>
    <t>llrodriguez@udistrital.edu.co</t>
  </si>
  <si>
    <t>geoanalisis</t>
  </si>
  <si>
    <t xml:space="preserve">larodriguezr@udistrital.edu.co </t>
  </si>
  <si>
    <t>lrocha@udistrital.edu.co</t>
  </si>
  <si>
    <t>lhcamargoc@udistrital.edu.co</t>
  </si>
  <si>
    <t>Lydia Marleny Prieto</t>
  </si>
  <si>
    <t>lmprietol@gmail.com</t>
  </si>
  <si>
    <t>malzate@udistrital.edu.co</t>
  </si>
  <si>
    <t>Maria Cristina Duran</t>
  </si>
  <si>
    <t>Marleny Prieto</t>
  </si>
  <si>
    <t>mrocha73@gmail.com</t>
  </si>
  <si>
    <t>mmelgarejo@udistrital.edu.co</t>
  </si>
  <si>
    <t>maavila@udistrital.edu.co</t>
  </si>
  <si>
    <t>Miguel Cepeda</t>
  </si>
  <si>
    <t>Moises Poyatos</t>
  </si>
  <si>
    <t>nayag24@gmail.com</t>
  </si>
  <si>
    <t>nldiaza@udistriltal.edu.co</t>
  </si>
  <si>
    <t>neverap@udistrital.edu.co</t>
  </si>
  <si>
    <t>Nelson Felipe Rosas</t>
  </si>
  <si>
    <t>osalcedo@udistrital.edu.co</t>
  </si>
  <si>
    <t>Omar Patiño</t>
  </si>
  <si>
    <t>opatino17@yahoo.com</t>
  </si>
  <si>
    <t>Orlando Riaño</t>
  </si>
  <si>
    <t>oriano@udistrital.edu.co</t>
  </si>
  <si>
    <t>odflorez@udistrital.edu.co</t>
  </si>
  <si>
    <t>Oscar Perdomo Charry</t>
  </si>
  <si>
    <t>oscarjulian.perdomo@gmail.com</t>
  </si>
  <si>
    <t>Oscar Torres</t>
  </si>
  <si>
    <t>oscarftc47@yahoo.com</t>
  </si>
  <si>
    <t>grupo de investigación en gestión pública, avalúos y urbanismo</t>
  </si>
  <si>
    <t>oromerov@udistrital.edu.co</t>
  </si>
  <si>
    <t>giira
	comercio electronico en colombia</t>
  </si>
  <si>
    <t>pagaonag@udistrital.edu.co</t>
  </si>
  <si>
    <t>paulo_cesar@udistrital.edu.co</t>
  </si>
  <si>
    <t>grupo de investigación en gestión pública, avalúos y urbanismo
	grupo de investigación en telemedicina
	nucleo investigacion en datos espaciales
grupo de investigación internacional de informática, comunicación y gestión del conocimiento</t>
  </si>
  <si>
    <t>Ricardo Gonzalez</t>
  </si>
  <si>
    <t>ricatv@hotmail.com</t>
  </si>
  <si>
    <t>rapavad@udistrital.edu.co</t>
  </si>
  <si>
    <t>giira 
grupo de investigación internacional de informática, comunicación y gestión del conocimiento	
laboratorio de investigacion y desarrollo en electronica y redes</t>
  </si>
  <si>
    <t>Roberto Cardenas</t>
  </si>
  <si>
    <t>rcardenas@udistrital.edu.co</t>
  </si>
  <si>
    <t>redes abiertas de control</t>
  </si>
  <si>
    <t>rferro@udistrital.edu.co</t>
  </si>
  <si>
    <t>rpoveda@udistrital.edu.co</t>
  </si>
  <si>
    <t>Roberto Pava Diaz</t>
  </si>
  <si>
    <t>resalasr@udistrital.edu.co</t>
  </si>
  <si>
    <t>Robinson Quintana Puentes</t>
  </si>
  <si>
    <t>rquintanap@udistrital.edu.co</t>
  </si>
  <si>
    <t>geos</t>
  </si>
  <si>
    <t>Rodrigo Herrera</t>
  </si>
  <si>
    <t>rherrera@udistrital.edu.co</t>
  </si>
  <si>
    <t>rmedina@udistrital.edu.co</t>
  </si>
  <si>
    <t>estudio en temas de la física, de la estadística y de la matemática
nucleo investigacion en datos espaciales</t>
  </si>
  <si>
    <t>Salomon Ramirez</t>
  </si>
  <si>
    <t>salomon.einstein@gmail.com</t>
  </si>
  <si>
    <t>Samuel Mesa</t>
  </si>
  <si>
    <t>sbolanos@udistrital.edu.co</t>
  </si>
  <si>
    <t>grupo de investigación internacional de informática, comunicación y gestión del conocimiento
	interoperabilidad tecnologica y semantíca
	modelamiento en ingeniería de sistemas -</t>
  </si>
  <si>
    <t>sordonez@udsitrital.edu.co</t>
  </si>
  <si>
    <t>vmedina@udistrital.edu.co</t>
  </si>
  <si>
    <t>wbarraganz@gmail.com</t>
  </si>
  <si>
    <t>wfernandez@udistrital.edu.co</t>
  </si>
  <si>
    <t>centro de estudios en pavimentos y materiales sostenibles</t>
  </si>
  <si>
    <t>Wilson Diaz Gamba</t>
  </si>
  <si>
    <t>wdiazg@udistrital.edu.co</t>
  </si>
  <si>
    <t>grupo de investigación en sistemas eléctricos y eficiencia energética</t>
  </si>
  <si>
    <t>Wilson Ricardo Lopez</t>
  </si>
  <si>
    <t>Wilson Ernesto Vargas Vargas</t>
  </si>
  <si>
    <t>wvargas@udistrital.edu.co</t>
  </si>
  <si>
    <t>topovial</t>
  </si>
  <si>
    <t>Yovanny Martinez</t>
  </si>
  <si>
    <t>Yull Fernando Salcedo</t>
  </si>
  <si>
    <t xml:space="preserve">Eistein Salomón Ramírez </t>
  </si>
  <si>
    <t xml:space="preserve">Hugo Alexander Rondón Quintana  </t>
  </si>
  <si>
    <t>Zulima Ortiz</t>
  </si>
  <si>
    <t>Martha Valbuena</t>
  </si>
  <si>
    <t>SEMESTRE DE REALIZACION</t>
  </si>
  <si>
    <t>EMPRESA</t>
  </si>
  <si>
    <t>Fecha ingles</t>
  </si>
  <si>
    <t>Ingles para grado</t>
  </si>
  <si>
    <t>DIRECTOR GRUPO INV.</t>
  </si>
  <si>
    <t>ESTADO2</t>
  </si>
  <si>
    <t>ESTADO3</t>
  </si>
  <si>
    <t>ACTA ACEP. PROPUESTA</t>
  </si>
  <si>
    <t>ACTA ARTICULO</t>
  </si>
  <si>
    <t>ACTA DE SUSTENTACION</t>
  </si>
  <si>
    <t>=BUSCARV(A2;'ESTADOS ESTUDIANTES'!B:L;9;0)</t>
  </si>
  <si>
    <t>ESTRUCTURACION DE UN LABORATORIO SE REDES INALAMBRICAS LAN CON ENFASIS EN WI-FI PARA LA UNIVERSIDAD DISTRITAL FRANCISCO JOSE DE CALDAS</t>
  </si>
  <si>
    <t>2020-3</t>
  </si>
  <si>
    <t>Grupo de I LIDER</t>
  </si>
  <si>
    <t>86.92</t>
  </si>
  <si>
    <t>FINALIZADA</t>
  </si>
  <si>
    <t>10-2020 
02-2021</t>
  </si>
  <si>
    <t>=BUSCARV(A2;'Datos Personales'!A:E;5;FALSO</t>
  </si>
  <si>
    <t>ANALISIS, DEFINICION E IMPLEMENTACION DE UNA PLATAFORMA DE PRUEBAS IOT PARA EL SEMILLERO DE I SCISEN</t>
  </si>
  <si>
    <t>79.44</t>
  </si>
  <si>
    <t>GENERACION DE INFORMACION PARA LA ESTIMACION DEL COMPORTAMIENTO DE LA OCUPACION DE LOS SERVICIOS TRONCALES DEL SISTEMA TRANSMILENIO, A PARTIR DE LOS DATOS OBTENIDOS DESDE EL EQUIPAMIENTO DE TELEMETRIA DE LOS BUSES TRONCALES PERTENECIENTES A LA RENOVACION DE LA FASE I Y II.</t>
  </si>
  <si>
    <t>Transmilenio</t>
  </si>
  <si>
    <t>Carlos Montenegro</t>
  </si>
  <si>
    <t>DESARROLLO DE UN SISTEMA DE INFORMACION GEORREFENCIADO PARA EL SEGUIMIENTO A LA ESTABILIDAD Y CALIDAD DE OBRAS DE ESPACIO PUBLICO, MALLA VIAL Y DE TRANSPORTE</t>
  </si>
  <si>
    <t>LOO SOLUTIONS</t>
  </si>
  <si>
    <t>GENERACION DE CARTOGRAFIA CON PROPOSITOS CATASTRALES PARA EL AREA URBANA DEL MUNICIPIO DE PROVIDENCIA Y SANTA CATALINA// DESARROLLO DE UN APLICATIVO PARA MEDIR EL IMPACTO AMBIENTAL BASADO EN EL CICLO DE VIDA DE LOS PAVIMENTOS.</t>
  </si>
  <si>
    <t>2021-3</t>
  </si>
  <si>
    <t>Centro de Estudios en Pavimentos y Materiales Sostenibles</t>
  </si>
  <si>
    <t>84.11</t>
  </si>
  <si>
    <t>PERDIDA</t>
  </si>
  <si>
    <t>02-2021 
09-2021</t>
  </si>
  <si>
    <t>GENERACION DE MODELOS DIGITALES DEL TERRENO DE ALTA PRECISION, EN LA PRIMERA CIUDAD ESPAÑOLA FUNDADA EN TIERRA FIRME DE AMERICA</t>
  </si>
  <si>
    <t>Fundacion Trenza e Instituto colombiano de antropologia e historia - ICANH)</t>
  </si>
  <si>
    <t>91.59</t>
  </si>
  <si>
    <t>GITEM</t>
  </si>
  <si>
    <t>Lilia Edith Aparicio</t>
  </si>
  <si>
    <t>17/2020</t>
  </si>
  <si>
    <t>14-2021</t>
  </si>
  <si>
    <t>ESTRUCTURACION DE UN LABORATORIO EN SEGURIDAD DE REDES PARA LA UNIVERSIDAD DISTRITAL FRANCISCO JOSE DE CALDAS</t>
  </si>
  <si>
    <t>Grupo de investigacion LIDER</t>
  </si>
  <si>
    <t>80.37</t>
  </si>
  <si>
    <t>ANALISIS Y EVALUACION DEL RIESGO POR INUNDACION EN LA PLANTA DE TRATAMIENTO DE AGUA RESIDUAL (PTAR) DEL MUNICIPIO DE LA PLATA HUILA,</t>
  </si>
  <si>
    <t>INGENIERIA Y CONSULTORIA AMBIENTAL Y SANITARIA INCOLSAM SAS</t>
  </si>
  <si>
    <t>CONSTRUCCION DE UN ESPACIO VIRTUAL CON MATERIAL DE APOYO Y EJERCICIOS REPRODUCIBLES PARA LAS PRACTICAS DE MACHINE LEARNING E INTELIGENCIA ARTIFICIAL.</t>
  </si>
  <si>
    <t>Grupo de I en inteligencia computacional LASER</t>
  </si>
  <si>
    <t>012-2020</t>
  </si>
  <si>
    <t>DISEÑO E IMPLEMANTACION DE LA POLITICA DE GOBIERNO DE TECNOLOGIAS DE INFROMACION Y COMUNICAICONES (FUNDACION UNIVERSITARIA PANAMERICANA)</t>
  </si>
  <si>
    <t>JUAN CARLOS GOMEZ</t>
  </si>
  <si>
    <t>Fundacion Universitaria Panamericana</t>
  </si>
  <si>
    <t>88.79</t>
  </si>
  <si>
    <t>Elvis Gaona</t>
  </si>
  <si>
    <t>DESARROLLO DE UNA APLICACION SOFTWARE CON INTERFAZ DE COMUNICACIONES PARA ADQUISICION Y PROCESAMIENTO DE SEÑALES USADAS EN SISTEMAS PARA REHABILITACION DEL CAMINAR</t>
  </si>
  <si>
    <t>92.52</t>
  </si>
  <si>
    <t>Análisis espacial de restricciones y condicionantes a derechos de uso y propiedad de la tierra sobre predios objeto de regularización, formulación, acceso y restitución de tierras en Colombia</t>
  </si>
  <si>
    <t>Oscar Alfonzo Molano</t>
  </si>
  <si>
    <t>SALMER INGENIERIA SAS</t>
  </si>
  <si>
    <t>019/2022</t>
  </si>
  <si>
    <t xml:space="preserve">Metodología para el análisis espacial de restricciones y condicionantes a derechos de uso y propiedad en predios de regularización, formalización y restitución de tierras en Colombia </t>
  </si>
  <si>
    <t xml:space="preserve">Prospectiva Geográfica de la UPTC </t>
  </si>
  <si>
    <t>ok</t>
  </si>
  <si>
    <t>031-2022</t>
  </si>
  <si>
    <t>METODOLOGIA PARA LA OBTENCION DE DATOS INMOBILIARIOS USANDO FUENTES ALTERNATIVAS - DEEP LEARNING APLICADO A LA IDENTIFICACION DE TIPOLOGIAS DE CONSTRUCCION</t>
  </si>
  <si>
    <t>IGAC</t>
  </si>
  <si>
    <t>87.85</t>
  </si>
  <si>
    <t>CREACIÓN DE VISOR GEOGRÁFICO UTILIZANDO HERRAMIENTAS DE SOFTWARE LIBRE PARA LA REPRESENTACIÓN DE FENÓMENOS RELACIONADOS CON EL CONFLICTO ARMADO</t>
  </si>
  <si>
    <t>Laura Angelica Cadena contreras</t>
  </si>
  <si>
    <t>ICG’S SAS</t>
  </si>
  <si>
    <t>Internet Inteligente</t>
  </si>
  <si>
    <t>017/2022</t>
  </si>
  <si>
    <t>PROPUESTA METODOLOGICA PARA EVALUACION DE LOS SERVICIOS DE CORRECCIONES DIFERENCIALES SATELITALES EMPLEADOS EN EL MEJORAMIENTO DE DATOS GNSS DE PROYECTOS DE BARRIDO PREDIAL MASIVO</t>
  </si>
  <si>
    <t>011/2021</t>
  </si>
  <si>
    <t>CAPTURA Y PROCESAMIENTO DE INFORMACION MULTIESPECTRAL COMO BASE PARA ANALISIS ANTROPOLOGICO</t>
  </si>
  <si>
    <t>90.65</t>
  </si>
  <si>
    <t>012/2021</t>
  </si>
  <si>
    <t>IMPLEMENTACION DEL MODELO DE GESTION DE PROYECTOS TECNOLOGICOS AGILES (BASADO EN LA METODOLOGIA SCRUM-DEVOPS) PARA LA EMPRESA CREDIBANCO / Como una arquitectura de microservicios apoya el despliegue de terminales: Estudio de caso</t>
  </si>
  <si>
    <t>Octavio Salcedo</t>
  </si>
  <si>
    <t>Credibanco</t>
  </si>
  <si>
    <t>MICRO-SERVICES ARCHITECTURE AS DEPLOYMENT OF TERMINALS</t>
  </si>
  <si>
    <t>Revista Facultad de Ingeniería</t>
  </si>
  <si>
    <t>010 de 2023</t>
  </si>
  <si>
    <t>MODELO DE ARQUITECTURA EMPRESARIAL PARA EL SOFTWARE MINSTITUTO DE LA EMPRESA CREA TICS SAS UTILIZANDO ARCHIMATE.</t>
  </si>
  <si>
    <t>Crea TICS SAS</t>
  </si>
  <si>
    <t>Modelo de arquitectura empresarial utilizando el lenguaje de modelado archimate</t>
  </si>
  <si>
    <t>revista ingeniería investigación y desarrollo</t>
  </si>
  <si>
    <t>021-2022</t>
  </si>
  <si>
    <t>Implementación de un Algoritmo para Cambio de Canal de Frecuencia en Redes de Radio Cognitivas</t>
  </si>
  <si>
    <t>Diego Giral</t>
  </si>
  <si>
    <t>Sistemas y Redes Cognitivas” (SIREC)</t>
  </si>
  <si>
    <t>ANALISIS E IMPLEMENTACION DE ARQUITECTURA PARA MONITOREO DE USO DE TABLEROS EN QUICKSIGHT AWS</t>
  </si>
  <si>
    <t>GUSTAVO ADOLFO PUERTO</t>
  </si>
  <si>
    <t>Cesar Suarez</t>
  </si>
  <si>
    <t>CONSULTORA NIVEL 7 S.A.S</t>
  </si>
  <si>
    <t>93.46</t>
  </si>
  <si>
    <t>Gustavo Adolfo Puerto</t>
  </si>
  <si>
    <t>05-2022</t>
  </si>
  <si>
    <t>DESARROLLO DE UNA APLICACION MOVIL INTELIGENTE PARA PROMOCIONAR Y COMERCILIZAR LOS PRODUCTOS AGRICOLAS OFERTADOS POR LOS PRODUCTORES RURALES EN LAS AREAS DE INFLUENCIA DE LA CIUDAD DE IBAGUE</t>
  </si>
  <si>
    <t>COFEMCO</t>
  </si>
  <si>
    <t>APLICACION MOVIL INTELIGENTE PARA LA PROMOCION Y COMERCILIZACION DE EXPERIENCIAS TURITICAS DEL CAÑON DEL COMBEIMA DE LA CIUDAD DE IBAGUE</t>
  </si>
  <si>
    <t>DISEÑO DE UNA OFICINA DE DIRECCION DE PROYECTOS PMO CON ENFOQUE EN PROYECTOS DE INVESTIGACION EN LA RED DE INVESTIGACIONES DE TECNOLOGIA AVANZADA DE LA UNIVERSIDAD DISTRITAL</t>
  </si>
  <si>
    <t>Roberto Ferro</t>
  </si>
  <si>
    <t>RITA UD</t>
  </si>
  <si>
    <t>DISEÑO DE UNA PLATAFORMA WEB PARA EL IPAZUD CON EL OBJETIVO DE ALIMENTAR Y CLASIFICAR RECURSOS HISTORICOS Y CULTURALES, GARANTIZANDO LA INTEGRIDAD DE LA MEMORIA HISTORICA DE LOS LIDERES SOCIALES INDIGENAS ASESINADOS EN COLOMBIA DESDE LA FIRMA DEL ACUERDO DE PAZ DEL 2016</t>
  </si>
  <si>
    <t>IPAZUD UD</t>
  </si>
  <si>
    <t>Carlos montenegro</t>
  </si>
  <si>
    <t>MODELO DE SISTEMA DE GESTION DE INSTRUMENTOS ARCHIVISTICOS CON PRINCIPIOS DE TRASABILIDAD INTEGRIDAD Y TRANSPARENCIA</t>
  </si>
  <si>
    <t>Julian Camargo</t>
  </si>
  <si>
    <t>Cesar Perdomo</t>
  </si>
  <si>
    <t>Grupo de investigacion LASER</t>
  </si>
  <si>
    <t xml:space="preserve">Implementación de una Plataforma para internet de las cosas de la nube de Amazon web  ervices En un sistema embebido para la adquisición y procesamiento de datos
</t>
  </si>
  <si>
    <t>Ernesto Gómez</t>
  </si>
  <si>
    <t>DISEÑO E IMPLEMENTACION DE UN SISTEMA DE MONITOREO REMOTO DE RITMO CARDIACO Y GENERACION DE ALERTAS PREVENTIVAS PARA LA SUPERVISION DE PACIENTES EN RIESGO POTENCIAL</t>
  </si>
  <si>
    <t>Diego Convers Laverde</t>
  </si>
  <si>
    <t>Firefly-Energy S.A.S</t>
  </si>
  <si>
    <t>75.65</t>
  </si>
  <si>
    <t>IoT Based System for Heart Monitoring and Arrhythmia Detection
Using Machine Learning</t>
  </si>
  <si>
    <t>Journal of Healthcare Engineering</t>
  </si>
  <si>
    <t>ANALISIS MULTITEMPORAL  PARA LA DETECCION DE CMABIOS EN EL EMBALSE DEL MUÑA UTILIZANDO METODOS DE FUSION DE IMAGNES SATELITALES// ANALISIS MULTITEMPORAL PARALA DETECCION DE CAMBIOS EN EL MUNICIPIO DE POPAYAN CAUCA Y SOCHA BOYACA UTILIZANDO IMAGENES DE ULTRA ALTA RESOLUCION ESPACIAL</t>
  </si>
  <si>
    <t>Ruben Medina</t>
  </si>
  <si>
    <t>IMPLEMENTACION DE DIFERENTES TECNICAS DE CLASIFICACION DE IMAGENES SATELITALES MULTIESPECTRALES PARA LA IDENTIFICACION DE COBERTURAS Y ZONIFICACION DEL COMPLEJO DE PARAMO DE CHINGAZA EN LA JURISDICCION DE LA CORPORACION AUTONOMA REGIONAL DEL GUAVIO CORPOGUAVIO.</t>
  </si>
  <si>
    <t>Diego Leandro Cardenas Chala</t>
  </si>
  <si>
    <t>Organizacion Gubernamental  Corpoguavio</t>
  </si>
  <si>
    <t>MODELO DE UN ECOSISTEMA DE REALIDAD VIRTUAL GAMIFICADO ORIENTADO A POTENCIAR LOS PENSAMIENTOS LOGICO MATEMATICO Y ESPACIAL EN NIÑOS DE SEIS A OCHO AÑOS</t>
  </si>
  <si>
    <t>Eduar Francisco Gonzalez</t>
  </si>
  <si>
    <t>2023-3</t>
  </si>
  <si>
    <t>Universidad Distrital oficina OATI</t>
  </si>
  <si>
    <t xml:space="preserve">Diseño de la plataforma de datos de autoservicio para soportar la implantación de un enfoque de malla de datos en la oficina asesora de tecnologías de la información </t>
  </si>
  <si>
    <t xml:space="preserve">Revista ingeniería UDFJC </t>
  </si>
  <si>
    <t>027-2023</t>
  </si>
  <si>
    <t>IMPLEMENTACION DE UNA PLATAFORMA WEB PARA EL IPAZUD CON EL OBJETIVO DE ALMACENAR, CLASIFICAR Y DIVULGAR LAS PUBLICACIONES QUE PRODUCE LA ENTIDAD (LIBROS, REVISTAS, INVESTIGACIONES Y PROYECTOS), GARANTIZANDO SU INTEGRIDAD Y DISPONIENDO LA INFORMACION PARA SU CONSULTA A TRAVES DEL SITIO WEB</t>
  </si>
  <si>
    <t>91.30</t>
  </si>
  <si>
    <t>DISEÑO DE UN MODELO PARA LA MEDICION DEL DESEMPEÑO DEL GOBIERNO DE LA ICDE: CASO ADMINISTRACION DE TIERRAS</t>
  </si>
  <si>
    <t>Alexander Paez Lancheros</t>
  </si>
  <si>
    <t>Construcción de un espacio virtual con tutoriales de
Machine Learning e Inteligencia Computacional</t>
  </si>
  <si>
    <t>GI. LASER</t>
  </si>
  <si>
    <t>002/2022</t>
  </si>
  <si>
    <t>METODOLOGIA PARA LA DETECCION DE CONSTRUCCIONES POR MEDIO DE ESPECTROGRAMETRIA CON FINES DEL CATASTRO MULTIPROPOSITO</t>
  </si>
  <si>
    <t>APOYO TÉCNICO Y ADMINISTRATIVO EN EL MARCO DE CONVENIO Y
CONTRATO DE COOPERACIÓN INTERADMINISTRATIVO PARA REALIZAR
UN EJERCICIO DE CIENCIA DE DATOS CON UN PROBLEMA DE LA UNIDAD
NACIONAL DE PROTECCIÓN (UNP)</t>
  </si>
  <si>
    <t>2024-1</t>
  </si>
  <si>
    <t>002/2024</t>
  </si>
  <si>
    <t>MATLAB for Data Science: A Qualitative Review of Applications in Data Analysis and Machine Learning</t>
  </si>
  <si>
    <t>REVISTA DE INGENIERIA</t>
  </si>
  <si>
    <t>011/2024</t>
  </si>
  <si>
    <t>Diseño De Modelo Arquitectónico Asíncrono Para La Implementación De Servicios De Computación Sin Servidor En La Infraestructura De Nube Privada De IFX NETWORKS</t>
  </si>
  <si>
    <t>PAULO ALONSO GAONA</t>
  </si>
  <si>
    <t>LIOR HAREL</t>
  </si>
  <si>
    <t>2025-1</t>
  </si>
  <si>
    <t>IFX NETWORKS COLOMBIA SAS</t>
  </si>
  <si>
    <t>5,0</t>
  </si>
  <si>
    <t>Diseño de Modelo Arquitectónico Asíncrono para la Implementación de Servicios de Computación sin Servidor en Infraestructura de Nube Privada</t>
  </si>
  <si>
    <t>Workshop on Engineering Applications 2025 Artificial Intelligence, Optimization and Simulation</t>
  </si>
  <si>
    <t>010-2025</t>
  </si>
  <si>
    <t>Minería de Datos Geoespaciales y Optimización de Software para el Estudio del Ozono Estratosférico.</t>
  </si>
  <si>
    <t>Julián Andres Salamanca Berna</t>
  </si>
  <si>
    <t>2025-3</t>
  </si>
  <si>
    <t>NELSON DIAZ</t>
  </si>
  <si>
    <t>Relación Físico-Estadística entre Manchas Solares y Columna de Ozono: Modelado y Predicción</t>
  </si>
  <si>
    <t>ACTA ACTUAL</t>
  </si>
  <si>
    <t>FECHA RAD. ANTEPROY.</t>
  </si>
  <si>
    <t>REVISOR 1 ANTEP. ACTUAL</t>
  </si>
  <si>
    <t>FECHA RECIBIDO ANTEP. REVISOR 1</t>
  </si>
  <si>
    <t>FECHA ENT. CONCEP. REVISOR 1</t>
  </si>
  <si>
    <t>CORRECIONES REVISOR 1</t>
  </si>
  <si>
    <t>CONTEO DE DIAS REVISOR 1</t>
  </si>
  <si>
    <t>CONCEPTO REVISOR 1</t>
  </si>
  <si>
    <t>REVISOR 2 ANTEP. ACTUAL</t>
  </si>
  <si>
    <t>FECHA RECIBIDO ANTEP. REVISOR 2</t>
  </si>
  <si>
    <t>FECHA ENT. CONCEP. REVISOR 2</t>
  </si>
  <si>
    <t>CORRECIONES REVISOR 2</t>
  </si>
  <si>
    <t>CONTEO DE DIAS REVISOR 2</t>
  </si>
  <si>
    <t>CONCEPTO REVISOR 2</t>
  </si>
  <si>
    <t>FECHA RADICACION PROYECTO FINAL</t>
  </si>
  <si>
    <t>JURADO 1  ACTUAL</t>
  </si>
  <si>
    <t>FECHA RECIBIDO PROY.  JURADO 1</t>
  </si>
  <si>
    <t>FECHA ENTREGA PROY.  JURADO 1</t>
  </si>
  <si>
    <t># VECES JURADO 1 (CORRECIONES)</t>
  </si>
  <si>
    <t>CONTEO DIAS JURADO 1</t>
  </si>
  <si>
    <t>JURADO 2  ACTUAL</t>
  </si>
  <si>
    <t>FECHA DE RECIBIDO DE PROYECTO  JURADO2</t>
  </si>
  <si>
    <t>FECHA DE ENTREGA DE PROYECTO  JURADO 2</t>
  </si>
  <si>
    <t># CORRECIONESJURADO 2</t>
  </si>
  <si>
    <t>CONTEO DE DIAS JURADO 2</t>
  </si>
  <si>
    <t>ACTA</t>
  </si>
  <si>
    <t>CARACTER TESIS</t>
  </si>
  <si>
    <t>FECHA ACTA SUSTENTACION</t>
  </si>
  <si>
    <t>FECHA DE GRADO</t>
  </si>
  <si>
    <t>AÑO DE GRADO</t>
  </si>
  <si>
    <t xml:space="preserve">ACTA ARTICULO </t>
  </si>
  <si>
    <t>FECHA</t>
  </si>
  <si>
    <t>Titulo articulo</t>
  </si>
  <si>
    <t>TIPO REVISTA</t>
  </si>
  <si>
    <t>DIRECTOR3</t>
  </si>
  <si>
    <t>REVISOR1</t>
  </si>
  <si>
    <t>REVISOR2</t>
  </si>
  <si>
    <t>JURADO2</t>
  </si>
  <si>
    <t>SISTEMA PARA CATEGORIZACION AUTOMATICA DE TEXTO BASADO EN TECNICAS DE APRENDIZAJE DE MAQUINA, PROCESAMIENTO DE LENGUAJE NATURAL Y MINERIA DE OPINIONES</t>
  </si>
  <si>
    <t>Nelson Vera</t>
  </si>
  <si>
    <t>5.0</t>
  </si>
  <si>
    <t>MODELO DE TOMA DE DECISIONES PARA LA GESTION DE RECURSOS EN UNA SMART GRID UTILIZANDO LA ARQUITECTURA MDA BASADA EN WSN</t>
  </si>
  <si>
    <t>14-2013</t>
  </si>
  <si>
    <t>LUIS FERNANDO PEDRAZA</t>
  </si>
  <si>
    <t>CARLOS ENRIQUE MONTENEGRO</t>
  </si>
  <si>
    <t>NELSON PEREZ</t>
  </si>
  <si>
    <t>MEDICION DE TRAFICO STREAMING DE VOZ Y VIDEO PARA MUNDOS VIRTUALES EN OPENSIM</t>
  </si>
  <si>
    <t>24-2013</t>
  </si>
  <si>
    <t>OCTAVIO JOSe SALCEDO PARRA</t>
  </si>
  <si>
    <t xml:space="preserve">METODOLOGIAS PARA EL DESARROLLO DE SISTEMAS DE EHEALTH </t>
  </si>
  <si>
    <t>CARLOS MONTENEGRO</t>
  </si>
  <si>
    <t>PROPUESTA DE UN PROTOTIPO DE ACCESO REMOTO VIRTUAL AL PROYECTO GLOBAL ROBOTICTELESCOPES INTELLIGENT ARRAY</t>
  </si>
  <si>
    <t>23-2016</t>
  </si>
  <si>
    <t>LILIA EDITH APARICIO PICO</t>
  </si>
  <si>
    <t>NELSON VERA</t>
  </si>
  <si>
    <t>31/5/2017
 25/10/2017</t>
  </si>
  <si>
    <t>IMPLEMENTACIPON DE UN MODELO PREDICTOR PARA LA SELECCION DE BANDAS ESPECTRALES EN LA ETAPA DE TOMA DE DESICIONES EN REDES INALAMBRICAS DE RADIO COGNITIVA</t>
  </si>
  <si>
    <t>22/2015</t>
  </si>
  <si>
    <t>ANALISIS DE DECISIONES MULTICRITERIO ESPACIAL PARA DISEÑAR LA POLITICA DE PRIORIZACION DE ESTUDIANTES</t>
  </si>
  <si>
    <t>14-2014</t>
  </si>
  <si>
    <t>ALVARO ORTIZ</t>
  </si>
  <si>
    <t>EVALUACION DE UNA METODOLOGIA PARA LA GENERACION DE MODELOS DIGITALES DEL TERRENO A PARTIR DE LA ESTEREOFOTOGRAFIA DIGITAL APLICANDO EL MODELO DE CORRELACION POR MINIMOS CUADRADROS MEDIANTE UNA RED NEURONAL ARTIFICIAL</t>
  </si>
  <si>
    <t>JOSE LUIS HERRERA</t>
  </si>
  <si>
    <t>CARLOS MENDOZA</t>
  </si>
  <si>
    <t xml:space="preserve">LISTO PARA SUSTENTAR </t>
  </si>
  <si>
    <t>ESTIMACION DE IRRADIANCIA SOLAR APLICANDO EL LOGARITMO HELIOSAT CON MARGENES SATELITALES GOES EN LA REGION CUNDIBOYACENSE PARA EL AÑO 2011</t>
  </si>
  <si>
    <t>01/2018</t>
  </si>
  <si>
    <t>LUIS GOMEZ</t>
  </si>
  <si>
    <t>METODOLOGIA PARA LA TRANSFORMACION DE DATOS GEOGARFICOS A RECURSOS RDFCASO DE APLICACION: MAPA DE REFERENCIA BOGOTA / METODOLOGIA PARA LA TRANSFORMACION DE DATOS GEOGRAFICOS A RECURSOS RDF</t>
  </si>
  <si>
    <t>GERMAN CIFUENTES</t>
  </si>
  <si>
    <t>CONTRIBUCION DE LA WEB SEMANTICA A LA PUBLICACION DE DATOS ENLAZADOS Y ABIERTOS EN EL AMBITO TRIBUTARIO DEL TERRITORIO COLOMBIA EN BENEFICIO DEL CONTRIBUYENTE</t>
  </si>
  <si>
    <t>MOELO DE ESTADISTICA ESPACIAL PARA EL ESTUDIO DE LA INFECCION RESPIRATORIA AGUDA (IRA) EN LA LOCALIDAD DE BOSA EN LOS AÑOS 2012  2013</t>
  </si>
  <si>
    <t>14/2017</t>
  </si>
  <si>
    <t>SALOMON RAMIREZ</t>
  </si>
  <si>
    <t>LUZ HELENA CAMARGO</t>
  </si>
  <si>
    <t>ESTUDIO DE LA VARIABLE ALTIMETRICA (Z) SOBRE UN MODELO DIGITAL DE ELEVACION POR MEDIO DE LA TECNOLOGIALIDAR TERRESTRE</t>
  </si>
  <si>
    <t>WILLIAM BARRAGAN</t>
  </si>
  <si>
    <t>IVAN LIZARAZO</t>
  </si>
  <si>
    <t>JORGE ENRIQUE SALAMANCA</t>
  </si>
  <si>
    <t>EVALUACION DE LA CONDICION DE ENVEJECIMIENTO DE PAVIMENTOS FLEXIBLES MEDIANTE TECNICAS DE ESPECTRORADIACION Y SU CLASIFICACION EN IMAGENES MULTIESPECTRALES</t>
  </si>
  <si>
    <t>FERNANDO CANCINO</t>
  </si>
  <si>
    <t>006/2016</t>
  </si>
  <si>
    <t>EXTRACCION DIGITAL DE SISTEMAS CONVECTIVOS DE MESOESCALA A PARTIR DE IMAGENES METEOROLOGICAS MULTIESPECTRALES Y SU REPRESENTACION EN BASES DE DATOS ESPACIALES</t>
  </si>
  <si>
    <t xml:space="preserve">JOSE LUIS HERRERA </t>
  </si>
  <si>
    <t xml:space="preserve">VIABLE </t>
  </si>
  <si>
    <t xml:space="preserve">WILLIAM BARRAGAN </t>
  </si>
  <si>
    <t>EVALUACIPON DE LA TEXTURA Y LA RUGOSIDAD DE PAVIMENTOS FLEXIBLES MEDIANTE IMAGENES TOMADAS A PARTIR DE CAMARA NO METRICA/ MODELO ALGORITMICO PARA LIMITAR LA CONGESTION DEL PROTOCOLO TCP EN REDES DE EXTREMO A EXTREMO</t>
  </si>
  <si>
    <t>012/2016</t>
  </si>
  <si>
    <t>28/062/2016</t>
  </si>
  <si>
    <t>28/06/2016 
 21/7/2016</t>
  </si>
  <si>
    <t>18/07/2017
 7/11/2017</t>
  </si>
  <si>
    <t>25/07/2017
 20/11/2017</t>
  </si>
  <si>
    <t>019/2017</t>
  </si>
  <si>
    <t>ANALISIS MULTITEMPORAL DEL PROCESO EROSIVO MEDIANTE IMAGENES DIGITALES</t>
  </si>
  <si>
    <t>Octavio Salcedo Parra</t>
  </si>
  <si>
    <t>MIGUEL CEPEDA</t>
  </si>
  <si>
    <t>CARLOS GARCIA</t>
  </si>
  <si>
    <t>21/2016</t>
  </si>
  <si>
    <t>DISEÑO DE UNA ARQUITECTURA PARA EL MONITOREO DE LOS SIGNOS VITALES EN ENTORNOS RESTRINGIDOS</t>
  </si>
  <si>
    <t>013/2018</t>
  </si>
  <si>
    <t>JULIO BARON VELANDIA</t>
  </si>
  <si>
    <t>22/9/2015
 26/9/2017
 21/11/2017</t>
  </si>
  <si>
    <t>10/5/2016
 13/11/2017
 11/12/2017</t>
  </si>
  <si>
    <t>BEATRIZ JARAMILLO</t>
  </si>
  <si>
    <t>22/9/2015
 26/9/2017
 5/12/2017</t>
  </si>
  <si>
    <t>JULIO BARON</t>
  </si>
  <si>
    <t>MODELO DE HANDOFF ESPECTRAL PROACTIVOPREDICTIVO PARA REDES DE RADIO COGNITIVA</t>
  </si>
  <si>
    <t>005/2015</t>
  </si>
  <si>
    <t>0018/2017</t>
  </si>
  <si>
    <t>CARACTERIZACION, IMPLANTACION Y EVALUACION DE DISPOSITIVOS DOMOTICOS PARA ADULTOS MAYORES MEDIANTE SISTEMAS EMBEBIDOS E INTERNET DE LAS COSAS</t>
  </si>
  <si>
    <t>017/2016</t>
  </si>
  <si>
    <t>CESAR ANDREY PERDOMO CHARRY</t>
  </si>
  <si>
    <t>CESAR ANDREY PERDOMO</t>
  </si>
  <si>
    <t>18/07/2017
 27/11/2017</t>
  </si>
  <si>
    <t>14/08/2017
 14/11/2017</t>
  </si>
  <si>
    <t>021/2017</t>
  </si>
  <si>
    <t>DESARROLLO DE UNA METODOLOGIA PARA ESTIMACION DE LA DEFORESTACION MEDIANTE ANALISIS MULTITEMPORAL DE IMAGENES MULTIESPECIES EN UN ENTONO ORIENTADO A OBJETIVOS GEOGRSFICOS.</t>
  </si>
  <si>
    <t>JANETH PARDO</t>
  </si>
  <si>
    <t>(MAPEO DEL CRIMEN USANDO ANALISIS ESPACIAL HISTORICO)
DESARROLLO DE UN LENGUAJE DE DOMINIO ESPECIFICO (DSL) PARA EL MODELAMIENTO DE BASES DE DATOS ESPACIALES</t>
  </si>
  <si>
    <t>015/2018</t>
  </si>
  <si>
    <t>Pablo Cesar Coronado</t>
  </si>
  <si>
    <t>MODELAMIENTO MATEMATICO DE LA PRESCION DE UN ESCANER LASER TERRESTRE</t>
  </si>
  <si>
    <t>003/2018</t>
  </si>
  <si>
    <t>ANTONIO HERNANDEZ</t>
  </si>
  <si>
    <t>LUIS EDUARDO CASTILLO</t>
  </si>
  <si>
    <t>sin registro</t>
  </si>
  <si>
    <t>DISEÑO Y DESARROLLO DE UN FRAMEWORK PARA ANALISIS DE REDES SIG, IMPLEMENTANNDO EL ALGORITMO DE DIJKSTRA QUE SOPORTE LA IMPEDANCIA DE GIROS</t>
  </si>
  <si>
    <t>006/2015</t>
  </si>
  <si>
    <t>06/04/2015
 07/12/2015</t>
  </si>
  <si>
    <t>INTERPOLACION ESPACIAL EN 3 DOMINIOS (3D) DE DATOS SISMICOS DE REFLEXION EN UN AREA DE LA CUENCA DE LOS LLANOS ORIENTALES, COLOMBIA</t>
  </si>
  <si>
    <t>MIGUEL AVILA</t>
  </si>
  <si>
    <t>ANDRES CARDENAS CONTRERAS</t>
  </si>
  <si>
    <t>MODELAMIENTO SIMULACION DEL FENOMENO DE LA DESERCION Y RETENCION ESTUDIANTIL UNIVERSITARIA COMO UN SISTEMA CONPLEJO</t>
  </si>
  <si>
    <t>014/2018</t>
  </si>
  <si>
    <t>SANDRO BOLAÑOS</t>
  </si>
  <si>
    <t>LINDSAY ALVAREZ</t>
  </si>
  <si>
    <t>26/03/2015
 26/05/2015</t>
  </si>
  <si>
    <t>MODELO DE UN SISTEMA INMUNOLOGICO ARTIFICIAL BASADSO EN LA TEORIA DE LA CONTINUIDAD DE THOMAS PRADEU</t>
  </si>
  <si>
    <t>14/2018</t>
  </si>
  <si>
    <t>LILIA EDITH APARICIO</t>
  </si>
  <si>
    <t>METODOLOGIA PARA EL ANALISIS DE LA INVASION DEL ESPACIO PUBLICO EN LA CIUDAD DE BOGOTA, UTILIZANDO CROWDSOURCING ZONA DE ESTUDIO CHAPINERO</t>
  </si>
  <si>
    <t>002/2016</t>
  </si>
  <si>
    <t>20/11/2013
 3/2/2016</t>
  </si>
  <si>
    <t>SAMUEL MESA</t>
  </si>
  <si>
    <t>30/03/2017
 30/10/2017</t>
  </si>
  <si>
    <t>24/04/2017
 20/11/2017</t>
  </si>
  <si>
    <t>018/2017</t>
  </si>
  <si>
    <t>MODELO PARA LA PREDICCION DE RIESGO DE INUNDACION USANDO DATOS INTERFEROMETRICOS DIFERENCIAL (DINSAR) Y LA SATURACION DEL SUELO / EVALUACION DE INTERFEROMETRIA DE RADAR PARA MONITOREO DE AMENAZA POR INUNDACION EN COLOMBIA</t>
  </si>
  <si>
    <t xml:space="preserve">ENFOQUE GEOESTADISTICO PARA LA INCORPORACION DE LA RADIACION SOLAR EN LA ESTIMACION DE LA TEMPERATURA AMBIENTE </t>
  </si>
  <si>
    <t>33/2013</t>
  </si>
  <si>
    <t>MODELO PARA LA CARACTERIZACION DE PROCESOS DE TOMA DE DESICIONES NO PROGRAMADAS POR UN MEDIO DE GAMIFICACION</t>
  </si>
  <si>
    <t>HANS IGOR LOPEZ RODRIGUEZ</t>
  </si>
  <si>
    <t>DISEÑO E IMPLEMENTACION DE HONEYNET PARA LA DETECCION DE ATAQUES INFORMATICOS</t>
  </si>
  <si>
    <t>010/2014</t>
  </si>
  <si>
    <t>ROBERTO CARDENAS</t>
  </si>
  <si>
    <t>BUSQUEDA SISTEMATICA DE ARTICULOS CIENTIFICOS USANDO TEORIA DE LA INFORMACION</t>
  </si>
  <si>
    <t>MODELO PARA LA CALSIFICACION DE IMAGENES MULTIESPECTRALES A PARTIR DE LOS COMPLEJOS DE CELDAS ABSTRACTOS (CCA)</t>
  </si>
  <si>
    <t>ORLANDO RIAÑO</t>
  </si>
  <si>
    <t>|</t>
  </si>
  <si>
    <t>MODELO METODOLOGICO BASADO EN VISUAL ANALYTICS PARA DETERMINAR EL ESTADO ACTUAL DE LA VINCULACION DE DATOS: CASO DE ESTUDIO DATAHUB I.O Y DBPEDIA</t>
  </si>
  <si>
    <t>009/2016</t>
  </si>
  <si>
    <t>JHON HERRERA</t>
  </si>
  <si>
    <t>JORGE MARIO CALVO</t>
  </si>
  <si>
    <t>#VALUE!</t>
  </si>
  <si>
    <t>MODELO DE ARQUITECTURA DE MEDIADOR (MIDDLEWARE) PARA EL SISTEMA DE TRANSPORTE URBANO BASADO EN SMART CITY</t>
  </si>
  <si>
    <t>PROPUESTA PARA UN MODELO DE ANTENA MICROSTRIP BASADA EN PERTURBACIONES GEOMETRICAS</t>
  </si>
  <si>
    <t>CARLOS SUAREZ</t>
  </si>
  <si>
    <t>PROPUESTA METODOLOGICA PARA EL ANALISIS ESPACIO.TEMPORAL DE LA PRODUCCION ESTUDIO DE CASO: GUAYABA EN LA PROVINCIA DE VELEZ</t>
  </si>
  <si>
    <t>11-2018</t>
  </si>
  <si>
    <t>06/10/2015
 21/11/2016</t>
  </si>
  <si>
    <t>MODELO DE DESCRIPCION ANALISIS Y EVALUACION DE LA MEDICION DE ANALFABETISMO EN AREAS RURALES DE LA COSTA ATLANTICA COLOMBIANA MEDIANTE EL USO DE LOS SERVICIOS SIG WEB PARA LA TOMA DE DECISIONES</t>
  </si>
  <si>
    <t>06-2015</t>
  </si>
  <si>
    <t>JOSE LUIS HERRERANELSON PEREZ</t>
  </si>
  <si>
    <t>MODELO DE INTERFAZ DE LENGUAJE NATURAL PARA LA EVALUACION DE RUTINAS ERGONOMICAS EN SALUD OCUPACIONAL</t>
  </si>
  <si>
    <t>27-2015</t>
  </si>
  <si>
    <t>PAULO ALONSO GANOA</t>
  </si>
  <si>
    <t xml:space="preserve">       </t>
  </si>
  <si>
    <t>0013/2017</t>
  </si>
  <si>
    <t>MODELO DE SEGURIDAD PARA LAS PLATAFORMAS COLABORATIVAS DE ECIENCIA SOBRE CLOUD COMPUTING</t>
  </si>
  <si>
    <t>15/2015</t>
  </si>
  <si>
    <t>10/09/2015
 27/11/2015</t>
  </si>
  <si>
    <t>18/09/2015
 27/11/2015</t>
  </si>
  <si>
    <t>MODELO PARA LA MOVILIDAD ESPECTRAL EN REDES DE RADIO COGNITIVA</t>
  </si>
  <si>
    <t>MARCO ALZATE</t>
  </si>
  <si>
    <t>EXPULSADO DE LA U</t>
  </si>
  <si>
    <t>APLICACION DE LOS METODOS NUMERICOS EN LA DETERMINACION DE LA CORRECION DE TERRENO PARA ESTIMAR EL GRADIENTE GEOTERMICO EN COLOMBIA</t>
  </si>
  <si>
    <t>27/2014</t>
  </si>
  <si>
    <t>JUAN FERNANDO SANTA</t>
  </si>
  <si>
    <t>30/04/2015
 10/02/2015</t>
  </si>
  <si>
    <t>4/03/2015
 05/06/2015</t>
  </si>
  <si>
    <t>12/10/2017
 23/11/2017</t>
  </si>
  <si>
    <t>7/11/2017
 14/12/2017</t>
  </si>
  <si>
    <t>SISTEMA DE TELEMETRIA Y SEGUIMIENTO PARA LA ESTACION TERRENA DEL PROYECTO CUBESATUD PARA TRABAJAR CON LA RED GLOBAL GENSO/ MODELO DE TRANSFERENCIA DE TELEMETRIA EN REDES Y SISTEMAS SATELITALES CUBESAT</t>
  </si>
  <si>
    <t>ERNESTO GOMEZ VARGAS</t>
  </si>
  <si>
    <t>10/05/2016
 20/9/2016</t>
  </si>
  <si>
    <t>Acta 132019</t>
  </si>
  <si>
    <t>ERNESTO VARGAS</t>
  </si>
  <si>
    <t>Acta 14 2020</t>
  </si>
  <si>
    <t>Clasificacion C</t>
  </si>
  <si>
    <t>MODELO DE OPTIMIZACION DEL RENDIMIENTO EN REDES 802.11AC UTILIZANDO PROGRAMACION MULTIOBJETIVO</t>
  </si>
  <si>
    <t>ROBERTO FERRO ESCOBAR</t>
  </si>
  <si>
    <t>DANILO LOPEZ</t>
  </si>
  <si>
    <t>MODELO DE CONTROL SDE CONGESTION EN REDES VEHICULARES DE PROXIMA GENERACION/ MODELO DE INTEGRACION DEL MODULO DE COMUNICACIONES DE ESTACION TERRENA CUBESATUD CON LA RED SATNET/ SISTEMA MODULADOR Y DEMODULADOR DE LA ESTACION TERRENA CUBESATUD PARA LA COMUNICACION CON LA RED SANET</t>
  </si>
  <si>
    <t>26/2016</t>
  </si>
  <si>
    <t>29/11/2016
 29/3/2017</t>
  </si>
  <si>
    <t>30/11/2017
 03/04/2017</t>
  </si>
  <si>
    <t>LEONARDO PLAZAS NOSSA</t>
  </si>
  <si>
    <t>29/11/2016
 29/03/2017</t>
  </si>
  <si>
    <t>07/12/2016
 5/4/2017</t>
  </si>
  <si>
    <t>LISTO PARA SUTENTAR</t>
  </si>
  <si>
    <t>LEONARDO PLAZAS</t>
  </si>
  <si>
    <t>MODELO MATEMATICO COMO FUNDAMENTO PARA LA APLICACION DE PLANOS TOPOOGRAFICOS LOCALES  PTL EN LA GEOMATICA / EXTRACCION DE INFORMACION GEOGRAFICA A PARTIR DE METODOS DE FUSION DE IMAGENES SATELITALES RAPIDEYE Y WORLDVIEW EN LA LOCALIDAD DE SUBA</t>
  </si>
  <si>
    <t>MODELO TEORICO PARA LA GEORREFERENCIACION INDIRECTA EN ZONAS DE ALTO RIESGO/COMPONENTES RELEVANTES PARA LA IMPLEMENTACION DE LINEAS DE VISION A LA GEORREFERENCIACION INDIRECTA DE ZONAS DE ALTA RIESGO.</t>
  </si>
  <si>
    <t>06-2018</t>
  </si>
  <si>
    <t>MODIFICABLE  03072020         07072020</t>
  </si>
  <si>
    <t>RETIRO VOLUNTARIO</t>
  </si>
  <si>
    <t xml:space="preserve">CAMPOS ALEATORIOS MARKOV APLICADOS A TECNICAS DE CLASIFICACION DE COBERTURAS EN IMAGENES DE SUPERFICIE TERRESTRE /DESARROLLO Y PROPUESTA METODOLOGICA PARA EL EMPLEO DE CAMPOS ALEATORIOS DE MARKOV APLICADOS A TECNICAS DE CLASIFICACION DE COBERTURA EN IMAGENES DE LA SUPERFICIE TERRESTRE. </t>
  </si>
  <si>
    <t>014/2015</t>
  </si>
  <si>
    <t>MARCO AURELIO SUAREZ</t>
  </si>
  <si>
    <t>METODOLOGIA PARA LA IMPLEMENTACION DE QOS EN REDES LIFI SOBRE ENTORNOS DE 5° GENERACION</t>
  </si>
  <si>
    <t>ELVIS EDUARDO GAONA GARCiA</t>
  </si>
  <si>
    <t>006/2017</t>
  </si>
  <si>
    <t>MODELO DE UN PROTOCOLO DE COMUNICACIONES ENTRE ROBOTS MOVILES PARA LA PLANEACION DE RUTAS DE NAVEGACION USANDO TEORIA DE NODOS</t>
  </si>
  <si>
    <t>ERNESTO GOMEZ</t>
  </si>
  <si>
    <t xml:space="preserve">JAIRO SORIANO </t>
  </si>
  <si>
    <t xml:space="preserve">ERNESTO GOMEZ </t>
  </si>
  <si>
    <t xml:space="preserve">viable </t>
  </si>
  <si>
    <t>JAIME SORIANO</t>
  </si>
  <si>
    <t xml:space="preserve">MODIFICABLE </t>
  </si>
  <si>
    <t>001/2017</t>
  </si>
  <si>
    <t>MODELO DE INTERACCION INTELIGENTE DEL REGLAMENTO DEL CONGRESO DE COLOMBIA PARA DISPOSITIVOS MOVILES A NIRC'</t>
  </si>
  <si>
    <t>012/2018</t>
  </si>
  <si>
    <t>JOSE NELSON PEREZ</t>
  </si>
  <si>
    <t>IMPLEMENTACION DEL METODO MAQUINAS DE SOPORTE VECTORIAL EN BASES DE DATOS ESPECIALES PARA ANALISIS DE CLASIFICACION SUPERVISADA EN IMAGENES DE SATELITE</t>
  </si>
  <si>
    <t>22/2016</t>
  </si>
  <si>
    <t>ERIKA UPEGUI</t>
  </si>
  <si>
    <t>JORGE ENRIQUE RODRIGUEZ</t>
  </si>
  <si>
    <t>29/09/2016
 8/4/2017</t>
  </si>
  <si>
    <t>23/11/2016
 10/6/2017</t>
  </si>
  <si>
    <t>29/2/2018</t>
  </si>
  <si>
    <t>IMPLEMENTACION DEL METODO MAQUINAS DE SOPORTE VECTORIAL EN BASES DE DATOS SEPACIALES PARA ANALISIS DE CLASIFICACION SUPERVISADA EN IMAGENES DE SENSORES REMOTOS</t>
  </si>
  <si>
    <t>ERIKA SOFiA UPEGUI CARDONA</t>
  </si>
  <si>
    <t>JORGE ENRIQUE RODRiGUEZ RODRIGUEZ</t>
  </si>
  <si>
    <t>SISTEMAS DE INTERCONECTIVIDAD DE TECNOLOGIAS CELULARES E INALAMBRICAS  // SISTEMA DE INTEROPERABILIDAD PARA TECNOLOGIAS CELULARES E INALAMBRICAS ESTABLECIDAS EN LOS ESTANDARES IEEE 802.15.1, IEEE 802.15.4, IEEE 802.11</t>
  </si>
  <si>
    <t>001-2016</t>
  </si>
  <si>
    <t>3/3/2016 24/04/17</t>
  </si>
  <si>
    <t>06/04/2016
 18/4/2016</t>
  </si>
  <si>
    <t>Leonardo plazas</t>
  </si>
  <si>
    <t>MODIFICACIONES (27102020     09112020)</t>
  </si>
  <si>
    <t>METODOLOGIA PARA PALICAR CALIDAD DE SERVICIO A REDES OTN</t>
  </si>
  <si>
    <t>JORGE SALAMANCA</t>
  </si>
  <si>
    <t>DISEÑO DE UN SISTEMA DE RIESGO PARA GRANJA INTELIGENTE BASADO EN INTERNET DE LAS COSAS</t>
  </si>
  <si>
    <t>014/2017</t>
  </si>
  <si>
    <t>OCTAVIO SALCEDO PARRA</t>
  </si>
  <si>
    <t>OCTAVIO SALCEDO</t>
  </si>
  <si>
    <t>18-2020</t>
  </si>
  <si>
    <t>MODELO PARA LA DETECCION DE PROPAGACIONES ANOMALAS EN RADARES METEOROLOGICOS PARA ZONAS ECUATORIALES</t>
  </si>
  <si>
    <t>01-2015</t>
  </si>
  <si>
    <t>CESAR CASTELLANOS</t>
  </si>
  <si>
    <t>MODELO ALGORITMICO PARA LILMITAR LA CONGESTION DEL PROTOCOLO9 TCP EN REDES DE EXTREMO A EXTREMO</t>
  </si>
  <si>
    <t>30/2015</t>
  </si>
  <si>
    <t>007/2017</t>
  </si>
  <si>
    <t>METODOLOGIA PARA LA PLANEACION DE REDES DE TELEVISION DIGITAL TERRESTRE EN COLOMBIA</t>
  </si>
  <si>
    <t>30-2015</t>
  </si>
  <si>
    <t>009/2017</t>
  </si>
  <si>
    <t>MODELO PARA LA ESTIMACION DE LA CALIDAD DEL AGUA EN AFLUENTES HIDRICAS</t>
  </si>
  <si>
    <t>007/2018</t>
  </si>
  <si>
    <t>CESAR GARCiA UBAQUE</t>
  </si>
  <si>
    <t>Jorge Rodriguez</t>
  </si>
  <si>
    <t>Cesar Garcia</t>
  </si>
  <si>
    <t>INFRAESTRCUTURA DE MEDICION AVANZADA PARA MICROREDES ELECTRICAS</t>
  </si>
  <si>
    <t>DISEÑO Y EVALUACION DE UN PROTOTIPO DE HARDWARE Y SOFTWARE PARA EL CONTROL DE VUELO REMOTO DE UN DRONE APLICADO A LA INSPECCION DE LINEAS ELECTRICAS</t>
  </si>
  <si>
    <t>ANALISIS Y DISEÑO DE UNA RED DE SENSORES OPTICOS DISTRIBUIDOS DE LARGA DISTANCIA BASADA EN RED DE DRIFRACCION DE BREGG</t>
  </si>
  <si>
    <t>5/9/2016
 28/11/2017</t>
  </si>
  <si>
    <t>12/12/2016
 08/09/2017</t>
  </si>
  <si>
    <t>19/1/2017
 25/9/2017</t>
  </si>
  <si>
    <t>LEONARDO PLAZAS NOSA</t>
  </si>
  <si>
    <t>19/1/2017
 18/9/2017</t>
  </si>
  <si>
    <t>004/2023</t>
  </si>
  <si>
    <t>Investigación y Desarrollo de la Universidad del 
Norte.</t>
  </si>
  <si>
    <t>METODOLOGIA PARA GARANTIZAR LA QOS DE LAS COMUNICIONES IOT CON REDES MOVILESCELULAR 4.5G</t>
  </si>
  <si>
    <t>030-2015</t>
  </si>
  <si>
    <t>15/01/2016
 04/9/2017</t>
  </si>
  <si>
    <t>06/02/2016
 13/9/2017</t>
  </si>
  <si>
    <t>(15012016    4282016)   (23082017   )</t>
  </si>
  <si>
    <t>METODOLOGIA PARA EL DESARROLLO DE SISTEMAS EMBEBIDOS CON SOPORTE A SERVICIOS DE WEB DE LAS COSAS</t>
  </si>
  <si>
    <t>NANCY GALVEZ</t>
  </si>
  <si>
    <t>222/1/2018</t>
  </si>
  <si>
    <t>MODELO DE ESTIMACION PARA EL USO DE AGUA DEL RIO BOGOTA, BASADO EN EL ANALISIS DE VERTIMIENTO EN AGUAS SUPERFICIES</t>
  </si>
  <si>
    <t>16/2016</t>
  </si>
  <si>
    <t>JOSE LIZCANO</t>
  </si>
  <si>
    <t>19/072016</t>
  </si>
  <si>
    <t>27/07/2016
 09/05/2016</t>
  </si>
  <si>
    <t>015/2017</t>
  </si>
  <si>
    <t>DISEÑO DE UNA RED DE ACCESO OPTICA DE LARGA DISTANCIA Y ALTA CAPACIDAD</t>
  </si>
  <si>
    <t>01-2016</t>
  </si>
  <si>
    <t>016/2017</t>
  </si>
  <si>
    <t>METODOLOGIA DE LA CALIDAD DE SERVICIO EN FIREWALLS DE NUEVA GENERACION EN AMBIENTES DE COMPUTACION EN LA NUBE</t>
  </si>
  <si>
    <t>011-2016</t>
  </si>
  <si>
    <t>MODELO DE AFECTACION DE CALIDAD DE SERVICIO EN REDES WIFI EN COEXISTENCIA CON REDES LTE EN BANDA NO LICENCIADA,</t>
  </si>
  <si>
    <t>008/2017</t>
  </si>
  <si>
    <t>ANALISIS ESTADISTICO DE LOS RESULTADOS DE LAS PRUEBAS SABER 3, 5, 7 Y 9, CON OPTICA GEOESPACIAL</t>
  </si>
  <si>
    <t>MODELO DE ARQUITECTURA DE LA INTERNET FR LAS COSAS PARA GESTIONAR LA EMISION DE CARBONO EN LAS CIUDADES</t>
  </si>
  <si>
    <t>008-2016</t>
  </si>
  <si>
    <t>024</t>
  </si>
  <si>
    <t>“DIAGNOSTICO DE LOS MECANISMOS DE AUTORIZACION Y AUNTENTICACION DE USUARIOS QUE FACILITEN EL CUMPLIMIENTO DE LOS ESTANDARES COBIT 4.1/5.0 APLICANDO TEORIA DE JUEGOS”</t>
  </si>
  <si>
    <t>001/2016</t>
  </si>
  <si>
    <t>01/03/2016
 18/4/2016</t>
  </si>
  <si>
    <t>CLASIFICACION DEL COMPORTAMIENTO VEHICULAR EN UN SEMAFORO DE BOGOTA BASADO EN EL ANALISIS ESTADISTICO(HISTORICO)  MODELO DE INTEGRACION DE DATOS HIDROMETEOROLOGICOS BASADO EN IOT PARA EL PRONOSTICO DE INUNDACIONES</t>
  </si>
  <si>
    <t>003-2018</t>
  </si>
  <si>
    <t>MODIFICABLE      (MARZO 2018      05042018)</t>
  </si>
  <si>
    <t>MEJORAMIENTO EL MODELO BASADO EN MLB (MOBILITY LOAD BALANCING) SOBRE REDES LTE</t>
  </si>
  <si>
    <t>030/2015</t>
  </si>
  <si>
    <t>17-2020</t>
  </si>
  <si>
    <t>Acta 3 2021</t>
  </si>
  <si>
    <t>MODELO INTELIGENTE DE DESICION DE ESPECTRO PARA MEJORAR EL DESEMPEÑO EN REDES EN RADIO COGNITIVA</t>
  </si>
  <si>
    <t>15/2016</t>
  </si>
  <si>
    <t xml:space="preserve">MODELO DE EVALUACION DE CIBER VULNERABILIDAD PARA SISTEMAS DE TRANSMISION DE NERGIA ELECTRICA EN EL AMBITO DE CIBERSEGURIDAD APLICADO AL ENTORNO COLOMBIANO /METODOLOGIA PARA EVALUACION DE CIBER VULNERABILIDAD EN SISTEMAS DE TRANSMISION DE ENERGIA ELECTRICA “EVULCIB” ESTUDIO DE CASO SUBESTACION ELECTRICA 230 KV UBICADA EN LA CIUDAD DE BOGOTA COLOMBIA. </t>
  </si>
  <si>
    <t>019/2016</t>
  </si>
  <si>
    <t>sin soporte</t>
  </si>
  <si>
    <t>EDWIN RIVAS</t>
  </si>
  <si>
    <t>sin reporte</t>
  </si>
  <si>
    <t>MODELO ARQUITECTONICO PARA LA INTERCONECTIVIDAD DE REDES VANET UTILIZANDO INTERNET DE LAS COSAS.</t>
  </si>
  <si>
    <t>016/2016</t>
  </si>
  <si>
    <t xml:space="preserve">(11082016     14092016)      (11082017   no hay regristro)             MODIFICABLE  </t>
  </si>
  <si>
    <t>IVAN GONZALEZ</t>
  </si>
  <si>
    <t>(31082016        14/09/2016)    (14072017    no reporta)    MODIFICABLE</t>
  </si>
  <si>
    <t>LUIS PEDRAZA</t>
  </si>
  <si>
    <t>DESARROLLO DE UN ALGORITMO FUNDAMENTADO EN UN MODELO DE TARIFICACION EN TIEMPO REAL BASADO EN RESPUESTA A LA DEMANDA PARA GESTIONAR LA DEMANDA ENERGETICA DE UN CARGADOR RESIDENCIAL DE BATERIAS PARA VEHICULOS ELECCTRICOS //DESARROLLO DE UN ALGORITMO DE GESTION DE LA DEMANDA ENERGETICA RESIDENCIAL DE ABTERIAS PARA VEHICULOS ELECTRICOS EN UN ESCENARIO DE TARIFICACION EN TIEMPO REAL</t>
  </si>
  <si>
    <t>017-2016</t>
  </si>
  <si>
    <t>MODIFICABLE (08032016     09052016)</t>
  </si>
  <si>
    <t>FRANCISCO SANTAMARIA</t>
  </si>
  <si>
    <t>MODIFICABLE  (08082016         8262016)</t>
  </si>
  <si>
    <t>Francisco Santamaria</t>
  </si>
  <si>
    <t>JOHAN HERNANDEZ</t>
  </si>
  <si>
    <t>18-2021</t>
  </si>
  <si>
    <t>12-2021</t>
  </si>
  <si>
    <t>MODELO INALAMBRICO LIFI PARA OIT SOBRE DISPOSITIVOS SENSIBLES A RADIOFRECUENCIA</t>
  </si>
  <si>
    <t>014-2014</t>
  </si>
  <si>
    <t>DARIN MOSQUERA</t>
  </si>
  <si>
    <t>Modificable</t>
  </si>
  <si>
    <t>DISEÑO E IMPLEMENTACION DE UN ENTORNO IOT EN CULTIVOS DE MAIZ EN LA VEREDA DE PIEDRALARGA DEL MUNICIPIO DE CIENAGA  BOYACA</t>
  </si>
  <si>
    <t>010-2018</t>
  </si>
  <si>
    <t>6/2023</t>
  </si>
  <si>
    <t>Revista EIA</t>
  </si>
  <si>
    <t>DISEÑO DE UN SISTEMA DE SUPERVISION Y MONITOREO EN TIEMPO REAL PARA AGENTES CONTAMINANTES EN EL AIRE, APLICADO A LA VEREDA MOCHUELO ALTO ALEDAÑA AL RELLENO SANITARIO DOÑA JUANA (RSDJ) EN BOGOTA  COLOMBIA</t>
  </si>
  <si>
    <t>20-2016</t>
  </si>
  <si>
    <t>sin soporte
 07/12/2016</t>
  </si>
  <si>
    <t>3-</t>
  </si>
  <si>
    <t>ANALISIS DE RIESGOS TECNICOS DE SEGURIDAD DE LA INFROMACION EN LA PLATAFORMA WINDOWS AZURE EN LA CATEGORIA INFRAESTRUCTURA COMO SERVICIO (LAAS)(HISTORICO)  GUIA PARA EL USO DE CLOUD COMPUTING COMO MECANISMO DE RECUPERACION ANTE DESASTRES TECNOLOGICOS EN PYMES COLOMBIANAS</t>
  </si>
  <si>
    <t>010/2018</t>
  </si>
  <si>
    <t>2/6/10/2017</t>
  </si>
  <si>
    <t>HECTOR ARTURO FLOREZ</t>
  </si>
  <si>
    <t>Modificable   08022018</t>
  </si>
  <si>
    <t>HECTOR FLORES</t>
  </si>
  <si>
    <t>Modificable  16112018</t>
  </si>
  <si>
    <t>PROPUESTA DE UN MODELO DE ESPACIO DE ESTADOS PARA DESCRIBIR CAMBIO EN EL AREA DE COBERTURA DEL PARAMO DE CHIGAZA</t>
  </si>
  <si>
    <t>004-2017</t>
  </si>
  <si>
    <t>22/03/2017    10052018     08082018</t>
  </si>
  <si>
    <t>005/2022</t>
  </si>
  <si>
    <t>PONENCIA</t>
  </si>
  <si>
    <t xml:space="preserve">MODELACION DE UN DERRAME DE CRUDO BASADO EN UN ANALISIS CUANTITATIVO Y TECNOLOGI SIG USANDO IMAGENES SATELITALES LANDSAT EN LA ZONA DE PUERTO GAITAN META, COLOMBIA  /// MODELACION DE UN DERRAME DE CRUDO MEDIANTE IMAGENES SATELITALES LANDSAT OLI Y ANALISIS ESPACIAL EN LA ZONA DE CUBARA BOYACA. </t>
  </si>
  <si>
    <t>MODIFICABLE (12122017      02022018)</t>
  </si>
  <si>
    <t>MODIFICABLE   (15/02/2021      12/03/2021)</t>
  </si>
  <si>
    <t>Acta 17 2020</t>
  </si>
  <si>
    <t>REDES NEURONALES ARTIFICIALES PARA EL ANALISIS ESPACIO Y TIEMPO EN LA DETECCION DE ZONAS SUCEPTIBLES A DESLIZAMIENTOS // PREDICCION ESPACIAL DE PROCESOS DE REMOCION EN MASA A PARTIR DE LA CONSTRUCCION DE UN MODELO HIBRIDO DE APRENDIZAJE DE MAQUINA BASADO EN ESTRUCTURAS DE DEPENDENCIA ESPACIOTEMPORALES</t>
  </si>
  <si>
    <t>04-2017</t>
  </si>
  <si>
    <t>MODIFICABLE (09092017     25042017)    (03/09/2017    20/09/2017)</t>
  </si>
  <si>
    <t>06/04/2017
 30/8/2017</t>
  </si>
  <si>
    <t>9/5/2017
 1/11/2017</t>
  </si>
  <si>
    <t>MODELO SEMANTICO PARA TRAYECTORIAS DE PUNTOS EN MOMENTO</t>
  </si>
  <si>
    <t>001-2017</t>
  </si>
  <si>
    <t>21/02/2017
 28/07/2017</t>
  </si>
  <si>
    <t>06/03/2017
 1/8/2017</t>
  </si>
  <si>
    <t>20/02/2017
 06/06/2017</t>
  </si>
  <si>
    <t>26/04/2017
 06/06/2017</t>
  </si>
  <si>
    <t>BEITMANTT CARDENAS</t>
  </si>
  <si>
    <t>MODIFICABLE   (01/06/2021   
 10/06/2021)</t>
  </si>
  <si>
    <t>PAULO CORONADO</t>
  </si>
  <si>
    <t>MODIFICABLE (01/06/2021     03/06/2021)</t>
  </si>
  <si>
    <t>020-2021</t>
  </si>
  <si>
    <t>METODOLOGIA PARA IDENTIFICAR FRAILEJON MEDIANTE EL USO DE IMAGENES DE RADAR: UNA HERRAMIENTA PARA LA CONSERVACION AMBIENTAL</t>
  </si>
  <si>
    <t>13-2016</t>
  </si>
  <si>
    <t>18/7/2016
 17/11/2016</t>
  </si>
  <si>
    <t>Viable</t>
  </si>
  <si>
    <t>005</t>
  </si>
  <si>
    <t>023-2022</t>
  </si>
  <si>
    <t>MODELO CONCEPTUAL DEL CRIMEN EN BOGOTA BASADO EN LA EPISTEMOLOGIA DE LA FISICA ESTADISTICA</t>
  </si>
  <si>
    <t>MODIFICABLE (11082016   07092016)</t>
  </si>
  <si>
    <t>JULIAN RODRIGUEZ</t>
  </si>
  <si>
    <t>METAMODELO PARA VINCULAR RECURSOS EDUCATIVOS ABIERTOS BASADO EN LA CONFIABILIDAD Y CALIDAD DE LOS DATOS</t>
  </si>
  <si>
    <t>006-2018</t>
  </si>
  <si>
    <t>OSWALDO ROMERO</t>
  </si>
  <si>
    <t>“IMPLEMENTACION DE UN MODELO WEB SEMANTICO QUE FACILITE EL CONTACTO DIGITAL ENTRE EL CLIENTE Y GRUPOS MUSICALES EN LA CIUDAD DE BOGOTA</t>
  </si>
  <si>
    <t>17/2016</t>
  </si>
  <si>
    <t>Acta 7  2021</t>
  </si>
  <si>
    <t>MODELO PARA LA GENERACION E INTEGRACION DE REPOSITORIOS NO ESTRUCTURADOS Y MICROSERVICIOS BASADO EN ARQUITECTURA DIRIGIDA POR MODELOS/ MODELO PARA LA GENERACION DE MICROSERVICIOS DE SOFWARE QUE INTERACTUAN CON REPOSITORIOS NO ESTRUCTURADOS BASADO EN ARQUITECTURA DIRIGIDA POR MODELOS</t>
  </si>
  <si>
    <t>016-2016</t>
  </si>
  <si>
    <t>17/08/2016 
 07/04/17</t>
  </si>
  <si>
    <t>9/9/2016
 7/04/2017</t>
  </si>
  <si>
    <t>MODELO DE SISTEMA DE INFROMACION PARA LA COORDINACION DE SERVICIOS DE CONSULTA EXTERNA BAADO EN UN MODELO DE WEB SOCIAL // ALGORITMO GENETICO PARALELO IMPLEMENTADO EN GPU PARA LA SOLUCION DEL PROBLEMA DE ASIGNACION CUADRATICA MULTIOBJETIVO.</t>
  </si>
  <si>
    <t>MODIFICABLE    (24052019      4062019)</t>
  </si>
  <si>
    <t>SERGIO ROJAS</t>
  </si>
  <si>
    <t>MODIFICABLE  (7102019    8212019)     (2432020      24032020)</t>
  </si>
  <si>
    <t>ARTICULO</t>
  </si>
  <si>
    <t>MODELO DE PROCESAMIENTO PARALELO EN ARQUITECTURAS HETEROGENEAS PARA REGRESIONES LINEALES MULTIVARIABLES</t>
  </si>
  <si>
    <t>023/2016</t>
  </si>
  <si>
    <t>21/11/2016
 23/8/2017</t>
  </si>
  <si>
    <t>MODELO DE GESTION DE CONOCIMIENTO BASADO EN SISTEMAS DE INFROMACION PARA LA TOMA DE DESICIONES EN SERVICIO DE URGENCIAS / DISEÑO DE UNA ARQUITECTURA DE SOFTWARE PARA SISTEMAS DE PREDICCION BURSATIL BASADOS EN MACHINE LEARNING.</t>
  </si>
  <si>
    <t>022-23</t>
  </si>
  <si>
    <t>Acuerdo 001 de 2019 / Acta 014 de 2023</t>
  </si>
  <si>
    <t>PROPUESTA DE MODELO DE SIMULACION DE PRACTICAS PEDAGOGICAS PARA PROGRAMAS DE LICENCIATURAS USANDO SISTEMAS EXPERTOS</t>
  </si>
  <si>
    <t>21-2016</t>
  </si>
  <si>
    <t>DISEÑO DE UN SISTEMA TUTORIAL INTELIGENTE EN MOODLE ENFOCAO A UN CURSO TRANSVERSAL EN BIOFISICA</t>
  </si>
  <si>
    <t>01-2017</t>
  </si>
  <si>
    <t>SOLUCIONES CERCANAS AL OPTIMO PARA EL PROBLEMA DEL LADRON VIAJERO A TRAVES DE UN ALGORITMO EVOLUTIVO PARALELO IMPLEMENTADO EN UNIDADES DE PROCESAMIENTO GRAFICO (GPU)</t>
  </si>
  <si>
    <t>MODIFICABLE   (24052019     6042019)</t>
  </si>
  <si>
    <t>(10072019     24072019)
(18/06/2020     15/07/2020)</t>
  </si>
  <si>
    <t>Acuerdo 004 de 2022 / acta 008 de 2023</t>
  </si>
  <si>
    <t>Soluciones cercanas al óptimo para el problema del ladrón viajero a través de un algoritmo genético paralelo implementado en unidades de procesamiento gráfico (GPUS)</t>
  </si>
  <si>
    <t xml:space="preserve">Congreso Internacional en Ingeniería, Tecnología E 
Innovación
</t>
  </si>
  <si>
    <t>MODELO DE DETECCION Y ELIMINACION DE ECOS DE TIERRA (GROUND CLUTTER) EN IMAGENES DE RADARES METEOROLOGICOS/ MODELO DE DETECCION Y ELIMINACION DE ECOS DE TIERRA EN IMAGENES DE RADARES METEOROLOGICOS.</t>
  </si>
  <si>
    <t>011/2016</t>
  </si>
  <si>
    <t>CONFIGURAR UN SERVICIO DE TELEVISION MOVIL EN LA RED DE TRANSMISION DIGITAL TERRESTRE DE CANAL CAPITAL</t>
  </si>
  <si>
    <t>MODIFICABLE (9112018    14092018)</t>
  </si>
  <si>
    <t>MODIFICABLE  (17092018                sin registro)</t>
  </si>
  <si>
    <t>Leonardo Plazas</t>
  </si>
  <si>
    <t>MODELO DE INVASIVO PARA LA DETECCION DE FACTORES EXTRINSECOS DE RIESGO DE SIMS</t>
  </si>
  <si>
    <t>30-2016</t>
  </si>
  <si>
    <t>09/03/2017
 8/6/2017</t>
  </si>
  <si>
    <t>MODELO DE SISTESIS DE DIAGRAMAS DE RADICACION EN AGRUPACIONES LINEALES DE ANTENAS PARA APLICACIONES EN ESTACIONES BASE DE TELEFONIA CELULAR</t>
  </si>
  <si>
    <t>SIN SOPORTE</t>
  </si>
  <si>
    <t>Juan Carlos Gomez</t>
  </si>
  <si>
    <t>METODOLOGIA DE IMPLEMENTACION DE CIBERDEFENSA NACIONAL EN COLOMBIA</t>
  </si>
  <si>
    <t>003-2017</t>
  </si>
  <si>
    <t>RETIRO DE CODIGO</t>
  </si>
  <si>
    <t>MODELO DE CLASIFICACION DE HIDROMRTEOROS PARA ZONAS ECUATORIALES A PARTIR DE OBSERVACIONES DE RADAR METEREOLOGICO</t>
  </si>
  <si>
    <t>05-2017</t>
  </si>
  <si>
    <t>VIA ELECTRONICA</t>
  </si>
  <si>
    <t>ALVARO ESPINEL ORTEGA</t>
  </si>
  <si>
    <t>004/2017</t>
  </si>
  <si>
    <t>APLICACION EN TIEMPO REAL PARA OBTENER EL PORCENTAJE DE DIFERENCIA ENTRE EL LEVANTAMIENTO TOPOGRAFICO Y EL CATASTRO NACIONAL O DESCENTRALIZADO, EN FUNCION DE LA PROPIEDAD PRIVADA</t>
  </si>
  <si>
    <t>003/2016</t>
  </si>
  <si>
    <t>DISEÑO Y CREACION DE UN MODELO CONCEPTUAL PARA LA CONSTRUCCION DE UNA INFRAESTRUCTURA DE DATOS ESPACIALES A NIVEL DEPARTAMENTAL.</t>
  </si>
  <si>
    <t>017/2017</t>
  </si>
  <si>
    <t>MARLENY PRIETO</t>
  </si>
  <si>
    <t>07/21/2021</t>
  </si>
  <si>
    <t>MODIFICABLE
(03/07/2020     13/07/2020)</t>
  </si>
  <si>
    <t>Acta 8 2021</t>
  </si>
  <si>
    <t>Categoria C</t>
  </si>
  <si>
    <t>GENERACION DE MODELO PREDICTIVO DE ERUPCION VOLCANICA CON MODIS Y EVISAT USANDO MODVOLC E INTERFEROMETRIA DE RADAR. CASO DE ESTUDIO: VOLCAN GALERAS</t>
  </si>
  <si>
    <t>007-2017</t>
  </si>
  <si>
    <t>Sin soporte</t>
  </si>
  <si>
    <t>Acta 16 2020</t>
  </si>
  <si>
    <t>EL VALOR ECONOMICO DE LA INFORMACION EN LA BASE DE DATOS GEOESPACIALES (VECTOR).</t>
  </si>
  <si>
    <t>018-2017</t>
  </si>
  <si>
    <t>METODOLOGIA PARA LA INTEGRACION DE COMPONENTES DE AMENAZAS AMBIENTALES OBTENIDAS POR MEDIO DE RAPS (SISTEMA DE AERONAVE PILOTADA REMOTAMENTE)</t>
  </si>
  <si>
    <t xml:space="preserve">
 Sin soporte</t>
  </si>
  <si>
    <t xml:space="preserve">MODIFICABLE  (2/2/2017        15/02/2017)
(...  30/08/2017)
</t>
  </si>
  <si>
    <t>MODICABLE  (27/10/2020    26/11/2020)</t>
  </si>
  <si>
    <t>Alvaro ortiz</t>
  </si>
  <si>
    <t>modificable (27/10/2020    02/12/2020)</t>
  </si>
  <si>
    <t>013/2021</t>
  </si>
  <si>
    <t>BUSQUEDA DE PALABRAS EN SEÑALES DIGITALES DE VOZ EN ESPAÑOL BASADA EN TRANSFORMADA WAVEWLET</t>
  </si>
  <si>
    <t>MODELO DE REDES NEURONALES OPTIMIZADAS PARA LA PROYECCION AUTOMATICA DE CURSOS EN INSTITUCIONES PRIVADAS DE EDUACION SUPERIOR// MODELO PARA ESTIMAR CUPOS EN ASIGNATURAS DE PROGRAMAS UNIVERSITARIOS EN INSTITUCIONES DE EDUACION SUPERIOR UTILIZANDO TECNICAS DE APRENDIZAJE SUSPERVISADO</t>
  </si>
  <si>
    <t>MODIFICABLE (742017     1652017)</t>
  </si>
  <si>
    <t>SISTEMA DE TOMA DE DECISIONES EN EL ENTORNO UNIVERSITARIO, BASADO EN EL ANALISIS DE DATOS</t>
  </si>
  <si>
    <t>012-2018</t>
  </si>
  <si>
    <t>JOSE ADELFO LIZCANO</t>
  </si>
  <si>
    <t>MODIFICABLE (01062021           08062021)</t>
  </si>
  <si>
    <t>MODIFICABLE   (01062021     14072021)</t>
  </si>
  <si>
    <t>MODELO PARA LA EVALUACION DE LOS ASPECTOS EXOGENOS QUE INCIDEN EN LA REALIZACION DE LAS PRUEBAS SABER PRO POR COMPUTADOR</t>
  </si>
  <si>
    <t>DISEÑO DE UNA ARQUITECTURA PARA EL MONITOREO DE LOS SIGNOS VITALES CON NANOSENSORES</t>
  </si>
  <si>
    <t>13/03/2017
 17/5/2017</t>
  </si>
  <si>
    <t>REPRESENTACION DE MODELO SEMANTICO EN EL DOMINIO JURIDICO APLICADO AL DERECHO INFORMATICO EN COLOMBIA</t>
  </si>
  <si>
    <t>009/2018</t>
  </si>
  <si>
    <t>55-2019</t>
  </si>
  <si>
    <t>LAS REDES SOCIALES COMO FACTOR DE PREDICCION DE RESULTADOS ELECTORALES EN  CAMPAÑAS PRESIDENCIALES</t>
  </si>
  <si>
    <t>10/12/2019
13052020</t>
  </si>
  <si>
    <t>13/2/2017
 8/5/2017</t>
  </si>
  <si>
    <t>20/2/2017
 1/6/2017</t>
  </si>
  <si>
    <t>ROBERTO FERRO</t>
  </si>
  <si>
    <t>MODEL TRANSFORMATION CHAIN TO MANAGE PERIPHERALS IN MOBILE DEVICES</t>
  </si>
  <si>
    <t>026-2022</t>
  </si>
  <si>
    <t>20-2022</t>
  </si>
  <si>
    <t xml:space="preserve">revista IAENG International Journal of Computer Science </t>
  </si>
  <si>
    <t>MODELO DE INTEGRACION DE DATOS PARA EL SISTEMA DE ALERTAS TEMPRANAS ORIENTADO A LA GESTION DE RIESGOS</t>
  </si>
  <si>
    <t>011/2017</t>
  </si>
  <si>
    <t>MODELO DE ASIGNACION ESPECTRAL PARA EL USO EFICINETE DE LA BANDA DE TELEVISION DIGITAL EN LA CIUDAD DE BOGOTA A TRAVES DE LA RADIO COGNITIVA</t>
  </si>
  <si>
    <t>DESARROLLO DE UN SIMULADOR DE DATOS DE RADAR METEOROLOGICO DE POLARIZACION DUAL PARA ZONAS ECUATORIALES</t>
  </si>
  <si>
    <t>011-2017</t>
  </si>
  <si>
    <t>016</t>
  </si>
  <si>
    <t>010-2019</t>
  </si>
  <si>
    <t>DISEÑO Y DESARROLLO DE UN SERVICIO DE PROCESAMIENTO DE DATOS GPS EN LINEA PARA COLOMBIA</t>
  </si>
  <si>
    <t>015-2017</t>
  </si>
  <si>
    <t>MODIFICABLE (14012021    14022021)</t>
  </si>
  <si>
    <t>15-2021</t>
  </si>
  <si>
    <t>ELABORACION DE UN MODELO APLICADO A IMAGENES OBTENIDAS POR DRON PARA LA CUANTIFICACION DE FITOPLANCTON</t>
  </si>
  <si>
    <t>(12052017        19122017)         (1822019      21032019)      MODIFICABLE             2</t>
  </si>
  <si>
    <t>EFECTO DEL ARBOLADO URBANO EN LA DISTRIBUCION ESPACIAL DEL DIOXIDO DE CARBONO EMITIDO EN LA ZONA INDUSTRIAL DE BOGOTA D.C.</t>
  </si>
  <si>
    <t>METODOLOGIA DE ZONIFICACION DE AMENAZAS GEOLOGICAS USANDO ESTACIONES GPS PERMANENTES DEL PAIS</t>
  </si>
  <si>
    <t>15-2018</t>
  </si>
  <si>
    <t>PAULO CESAR CORONADO</t>
  </si>
  <si>
    <t>Andres Cardenas</t>
  </si>
  <si>
    <t>MODIFICABLE (28012019                     18022019)</t>
  </si>
  <si>
    <t>13/2020</t>
  </si>
  <si>
    <t>DETENCION DE ANOMALIAS EN SISTEMAS DE MOVILIDAD MASIVOS A PARTIR DE TRAYECTORIAS EN BASES DE DATOS ESPACIOTEMPORALES // MODELO PARA LA DETECCION DE ANOMALIAS SOBRE OBJETOS EN MOVIMIENTO EN BASES DE DATOS ESPACIOTEMPORALES.</t>
  </si>
  <si>
    <t>MODIFICACIONES (09062020      07072020)</t>
  </si>
  <si>
    <t>MODIFICACIONES (09062020      23072020)</t>
  </si>
  <si>
    <t>17-2021</t>
  </si>
  <si>
    <t xml:space="preserve">Acta 9 2021 </t>
  </si>
  <si>
    <t>Categoria B</t>
  </si>
  <si>
    <t>DISEÑO DE INFRSESTRUCTURA DE DATOS ESPACIALES PARA LOS PROYECTOS DE PROSPECCION DE HIDROCARBUROS (EXPLORACION SISMICA)</t>
  </si>
  <si>
    <t>JOSE VALERO</t>
  </si>
  <si>
    <t>INTERNET OF THINGS PARA EL MONITOREO DE CULTIVOS USANDO LORAWAN Y BIGDATA ANALYTICS(HISTORICO)  EVALUACION DE TECNICAS DE MACHINE LEARNING A DATA CLEANING CASP DE ESTUDIO "PROGRAMA PRIMERA INFACIA DEL ICBF</t>
  </si>
  <si>
    <t>015-2018</t>
  </si>
  <si>
    <t>8/06/2017      12122018</t>
  </si>
  <si>
    <t>23/01/2019
27/02/2019    MODIFICABLE</t>
  </si>
  <si>
    <t>PRINCIPIOS DE CONFIABILIDAD DE RECURSOS ENLAZADOS COMO LINKED OPEN DATA A PARTIR DE TECNICAS DE APRENDIZAJE BASADOS EN DEEP LEARNING</t>
  </si>
  <si>
    <t>ANALISIS DE COSTOS PARA EL SECTOR DE SALUD EN COLOMBIA APLICANDO TECNICAS DE DATA SCIENCE/ PROTOTIPO DE ANALISIS DE INFORMACION PARA EL SISTEMA DE SALUD COLOMBIANO APLICADO A LA ENFERMEDAD RENAL CRONICA UTILIZANDO TECNICAS DE APRENDIZAJE COMPUTACIONAL</t>
  </si>
  <si>
    <t>31/07/2017       22012019</t>
  </si>
  <si>
    <t>MODIFICABLE (20/01/2019       29/01/2019)</t>
  </si>
  <si>
    <t>Lilia Edtih Aparicio</t>
  </si>
  <si>
    <t>MODIFICACIONES (03072020     29072020)</t>
  </si>
  <si>
    <t>METODOLOGIA DE PRIORIZACION DE PROYECTOS DE MANTENIMIENTO DE LA INFRAESTRUCTURA VIAL EN COLOMBIA</t>
  </si>
  <si>
    <t xml:space="preserve">APORTE METODOLOGICO AL LEVANTAMIENTO DE REQUERIMIENTOS UTILIZANDO BUSINESS PROCESS MANAGMENT PARA SISTEMAS DE INFORMACION DEL ESTADO COLOMBIANO // PROPUESTA DE METODOLOGIA PARA LA INGENIERIA DE REQUISITOS APLICANDO GESTION PROCESOS DE NEGOCIO // METODOLOGIA PARA LA INGENIERIA DE REQUISITOS APLICANDO EL ENFOQUE DE GESTION DE PROCESOS DE NEGOCIO
</t>
  </si>
  <si>
    <t>006/2018</t>
  </si>
  <si>
    <t>7/17/0218</t>
  </si>
  <si>
    <t>MODIFICABLE     (03072020     13072020)</t>
  </si>
  <si>
    <t>010-2020</t>
  </si>
  <si>
    <t>DISEÑO DE ARQUITECTURAS CONVERGENTES PARA INFRAESTRUCTURA TECNOLOGICA DE NUBE PRIVADA</t>
  </si>
  <si>
    <t>021-2017</t>
  </si>
  <si>
    <t>Acta 012020</t>
  </si>
  <si>
    <t>MODIFICACIONES (21022020              14042020)</t>
  </si>
  <si>
    <t>MODIFICACIONES (04032020              06032020)</t>
  </si>
  <si>
    <t xml:space="preserve">MODELO DE INGENIERIA DE TRAFICO PAR GESTIONAR REDES MPLSTP BASADAS EN SDN UTILIZANDO MACHINE LEARNING </t>
  </si>
  <si>
    <t>MODELO PARA LA DETENCION DE TIZON TARDIO EN CULTIVOS DE PAPA UTILIZANDO IMAGENES MULTIESPECTRALES Y TECNICAS DE I.A.</t>
  </si>
  <si>
    <t>08/2024/</t>
  </si>
  <si>
    <t>Diseño de un sistema de monitoreo de temperatura para personas de la tercera edad basado en IOT y metodología scrum.</t>
  </si>
  <si>
    <t>MODELO DE IDPS EN RED BASADO EN ANOMALIAS MEDIANTE TECNICAS DE PRENDIZAJE PROFUNDO</t>
  </si>
  <si>
    <t>020/2017</t>
  </si>
  <si>
    <t>ANALISIS DE LAS PROPUESTAS METODOLOGICAS DE LA AGENCIA SUIZA Y DE CATASTRO DE HOLANDA PARA LA MODERNIZACION DEL SISTEMA DE INFORMACION TERRITORIAL EN COLOMBIA / PROPUESTA METODOLOGICA PARA LA INTEGRACION Y MEJORAMIENTO DE LAS METODOLOGIAS FIT FOR POURPOSE Y PILOTOS CONVENCIONALES PARA EL CATASTRO MULTIPROPOSITO COLOMBIANO</t>
  </si>
  <si>
    <t>001-2018</t>
  </si>
  <si>
    <t>035/2022</t>
  </si>
  <si>
    <t>Acta 9 2021</t>
  </si>
  <si>
    <t>Categoria A2</t>
  </si>
  <si>
    <t>GEODISEÑO PARA LA PRESTACION DEL SERVICIO DE JARDINES INFANTILES PUBLICOS</t>
  </si>
  <si>
    <t>002-2018</t>
  </si>
  <si>
    <t>PAULO ALONSO GAONA GARCiA</t>
  </si>
  <si>
    <t>MODELO DE ARQUITECTURA EMPRESARIAL ORIENTADO A LAS EMPRESAS PRIVADAS COLOMBIANAS DEL SECTOR DE OBRAS CIVILES</t>
  </si>
  <si>
    <t>MODELO PARA DETERMINAR LA APROPIACION DE LAS TECNOLOGIAS DE INFORMACION GEOGRAFICA EN LAS SECRETARIAS DE AMBIENTE, HABITAT Y PLANEACION PARA PROMOVER EL CUMPLIMIENTO DE LOS OBJETIVOS DE DESARROLLO SOSTENIBLE EN BOGOTA.</t>
  </si>
  <si>
    <t xml:space="preserve">OCTAVIO SALCEDO </t>
  </si>
  <si>
    <t>MODIFICABLE   09022018        21/02/2018</t>
  </si>
  <si>
    <t>LYDIA MAYERLI PRIETO</t>
  </si>
  <si>
    <t>MODIFICABLE  (25112020           22022021)</t>
  </si>
  <si>
    <t>MODIFICABLE (25112020         05022021)</t>
  </si>
  <si>
    <t>Acta 162020</t>
  </si>
  <si>
    <t>Clasificacion B</t>
  </si>
  <si>
    <t>DESARROLLO DE UN PROTOTIPO PARA LA IMPLEMENTACION DE LA METODOLOGIA “FIT FOR PURPOSE” COMO APOYO A LOS PROCESOS DE ADMINISTRACION DE TIERRAS EN COLOMBIA</t>
  </si>
  <si>
    <t>Modificable    05042018       25/04/2018</t>
  </si>
  <si>
    <t>MODIFICABLE        (27022018      02042018)</t>
  </si>
  <si>
    <t>DETERMINACION DEL FACTOR DE CAMBIO EN EL GLACIAR DE LA SIERRA NEVADA DE SANTA MARTA, A PARTIR DE REGIONES EN MOVIMIENTO EN BASES DE DATOS ESPACIO TEMPORALES</t>
  </si>
  <si>
    <t>020-23</t>
  </si>
  <si>
    <t>MODELO PARA LA CREACION DE UNA INFRAESTRUCTURA DE POSICIONAMIENTO QUE FUNDAMENTE LA CONSTITUCION DE UNA SOCIEDAD ESPACIALMENTE HABILITADA EN BOGOTA</t>
  </si>
  <si>
    <t>Modificable               (27022018     02042018)</t>
  </si>
  <si>
    <t>010</t>
  </si>
  <si>
    <t>Elementos Tecnológicos de una Infraestructura de Posicionamiento como apoyo a la creación de una Sociedad Espacialmente Habilitada (SEH</t>
  </si>
  <si>
    <t>1135/2024</t>
  </si>
  <si>
    <t>IMPLEMENTACION Y GENERACION DE UN ALGORTIMO (TWD) NO DECIMADO PARA LA FUSION DE IMAGENES SATELITALES IKONOS</t>
  </si>
  <si>
    <t>002/2018</t>
  </si>
  <si>
    <t>HANS IGOR LoPEZ</t>
  </si>
  <si>
    <t>HANS IGOR LOPEZ</t>
  </si>
  <si>
    <t>19-2020</t>
  </si>
  <si>
    <t>GENERACION DE UN MODELO DE PREDICCION ESPACIAL DE LA DEFORESTACION EN LA JURISDICCION DE CORPOCHIVOR PARA EL PERIODO 20172047 BASADO EN MAPAS DE COBERTURA Y ANALISIS DE VARIABLES ESPACIALES CON DINAMICA EGO</t>
  </si>
  <si>
    <t>METODOLOGIA PARA LA BUSQUEDA DE PATRONES ASOCIADOS AL CANCER DE PULMON MEDIANTE LA UTILIZACION DE ALGORITMOS MACHINE LEARNING.</t>
  </si>
  <si>
    <t>20-2017</t>
  </si>
  <si>
    <t>MODIFICABLE  18/12/2018       04/04/2018</t>
  </si>
  <si>
    <t>Modificable   (12022018     16022018)</t>
  </si>
  <si>
    <t>17-2022</t>
  </si>
  <si>
    <t>MODELO PARA LA VINCULACION Y PUBLICACION DE RECURSOS DIGITALES EDUCATIVOS MEDIANTE PRINCIPIOS DE LINKED DATA</t>
  </si>
  <si>
    <t>MODELO PARA LA BUSQUEDA DE RECURSOS EDUCATIVOS VINCULADOS MEDIANTE EL CONSUMO DE METADATOS</t>
  </si>
  <si>
    <t>METODOLOGIA DE AUDITORIA PARA CONTRATOS INTELIGENTES APLICADO AL INTERCAMBIO DE INFORMACION</t>
  </si>
  <si>
    <t>MODELO BASE DE CONOCIMIENTO PARA LA AUDITORIA DE SEGURIDAD EN SERVICIOS WEB Y EVITAR ATAQUES DE TIPO SQL INJECTION, UTILIZANDO LINEAMIENTOS DE MINTIC// MODELO BASE DE CONOCIMIENTO PARA AUDITORIAS DE SEGURIDAD EN SERVICIOS WEB CON SQL INJECTION</t>
  </si>
  <si>
    <t>18/2017</t>
  </si>
  <si>
    <t>013-2019</t>
  </si>
  <si>
    <t>APRENDIZAJE DE NOSQL A TRAVES DE GAMIFICACION Y APRENDIZAJE COLABORATIVO</t>
  </si>
  <si>
    <t>020-2017</t>
  </si>
  <si>
    <t>HENRY ALBERTO DIOSA</t>
  </si>
  <si>
    <t>11/12/2017     
13122018</t>
  </si>
  <si>
    <t xml:space="preserve">17/09/2018   
17012019
</t>
  </si>
  <si>
    <t>MODELO DE AUTENTICACION UNICA PARA LA GESTION Y VISUALIZACION DE COMPONENTES WEB ORIENTADOS A SERVICIOS</t>
  </si>
  <si>
    <t>MODELO DE OPTIMIZACION PARA LA CALIDAD DE SERVICIOS (QUALITY OF SERVICE – QOS) EN REDES WIFI (802.11 AH) APLICANDO PROGRAMACION MULTIOBJETIVO.</t>
  </si>
  <si>
    <t>15</t>
  </si>
  <si>
    <t>PONENCIA (Cambio nuevo reglamento)</t>
  </si>
  <si>
    <t>MODELO DE CLASIFICACION AUTOMATICA PARA EL DIAGNOSTICO DE GLIOBASTOMA  / MODELO DE CLASIFICACION AUTOMATICA PARA EL DIAGNOSTICO DEL CANCER DE PROSTATA</t>
  </si>
  <si>
    <t>05/06/2018    141118           032019</t>
  </si>
  <si>
    <t>CESAR HERNANDEZ</t>
  </si>
  <si>
    <t>NELSON ENRIQUE VERA</t>
  </si>
  <si>
    <t>(MODIFICACIONES
21022020     05032020)</t>
  </si>
  <si>
    <t xml:space="preserve">MODELO DE CLASIFICACION DE PRECIPITACIONES ESTRATIFORMES Y CONVECTIVAS EN ZONA ECUATORIAL USADNO DATOS DE RADARES METEOROLOGICAS
</t>
  </si>
  <si>
    <t>MODELO PARA LA EVALUACION DE LA CALIDAD DE AGUA UTILIZANDO IMAGENES DE SATELITE, A PARTIR DE LAS CARACTERISTICAS FISICOQUIMICAS</t>
  </si>
  <si>
    <t>MODIFICABLE (17072018     08082018)</t>
  </si>
  <si>
    <t>8</t>
  </si>
  <si>
    <t>Acta 3  2021</t>
  </si>
  <si>
    <t xml:space="preserve">MODELO GEOMANTICO PARA VALORACION Y SEGUIMIENTO EN PROYECTOS MINEROS DE METALICOS EN FASE DE EXPLORACION </t>
  </si>
  <si>
    <t>UNA ESTRATEGIA ELECTIVA PARA ABORDAR LA AGILIDAD EN LAS EMPRESAS CON PROCESOS TRADICIONALES EN LE AMBITO DE TECNOLOGIAS DE LA INFORMACION</t>
  </si>
  <si>
    <t>INTELIGENCIA INSTITUCIONAL A PARTIR DE UN MODELO DE PREDICCION DE RENDIMIENTO DE ESTUDIANTES PARA MEJORAR LAS COMPETENCIAS DE ESTUDIANTES</t>
  </si>
  <si>
    <t>No registro</t>
  </si>
  <si>
    <t>MODIFICABLE    (16072018          17082018)</t>
  </si>
  <si>
    <t>MODELO DE GESTION DOCUMENTAL EN EL MARCO DE LA INTELIGENCIA INSTITUCIONAL UNIVERSITARIA</t>
  </si>
  <si>
    <t>SISTEMA DE ANALISIS BIG DATA COMO ELEMENTO FUNDAMENTAL EN EL DESARROLLO DE UN OBSERVATORIO DE LA CONTRATACION PUBLICA DE IMPORTANCIA ESTRATEGICA PARA COLOMBIA COMPRA EFICIENTE</t>
  </si>
  <si>
    <t>JORGE RODRiGUEZ RODRiGUEZ</t>
  </si>
  <si>
    <t>MODELO DE DIAGNOSTICO DE SINDROME DE ASPERGER EN NIÑOS DE 0 A 12 AÑOS USANDO MAPAS COGNITIVOS DIFUSOS SOBRE EL GRAFO DE ACTIVIDADES DE AKILY</t>
  </si>
  <si>
    <t>MIGUEL MELGAREJO</t>
  </si>
  <si>
    <t>Técnica de estimación de costos de proyectos de software basada algoritmo C5.0</t>
  </si>
  <si>
    <t xml:space="preserve">REALIZAR UN ESTUDIO CON TECNICAS DE INTELIGENCIA DE NEGOCIO CON EL FIN DE IDENTIFICAR POTENCIALIDAD TURISTICA EN EL MUNICIPIO DE CHIA CUNDINAMARCA </t>
  </si>
  <si>
    <t>Nelson Perez</t>
  </si>
  <si>
    <t>MODELO HIBRIDO DE CONTROL CON SEÑALES MIOELECTRICA Y ENCEFALOGRAFICA PARA UNA PROTESIS DE MIEMBRO SUPERIOR</t>
  </si>
  <si>
    <t xml:space="preserve">El docente manifiesta que no es experto en el tema para revisar el proyecto final </t>
  </si>
  <si>
    <t>GUSTAVO PUERTO</t>
  </si>
  <si>
    <t>ELVIS GAONA</t>
  </si>
  <si>
    <t>19-2021</t>
  </si>
  <si>
    <t>Acta 2-2021</t>
  </si>
  <si>
    <t>MODELO DE ESTIMACION CUANTITATIVA DE LA PRECIPITACION PARA COLOMBIA CON VARIABILIDAD TEMPORAL PARA RADARES METEOROLOGICOS DE BANDA C.</t>
  </si>
  <si>
    <t>Jose Luis Herrera</t>
  </si>
  <si>
    <t>MODIFICABLE (28012019    19022019)   (21052019      05072019)</t>
  </si>
  <si>
    <t>SISTEMAS DE ALERTAS TEMPRANAS PARA HELADAS</t>
  </si>
  <si>
    <t>Luis Castillo</t>
  </si>
  <si>
    <t>METODOLOGIA PARA LA RECOLECCION DE INFORMACION PARA EL CATASTRO MULTIPROPOSITO A PARTIR DEL MODELO LADMCOL</t>
  </si>
  <si>
    <t>MODIFICABLE    (07022019     01032019)</t>
  </si>
  <si>
    <t>MODIFICABLE (26022019   12042019)</t>
  </si>
  <si>
    <t xml:space="preserve"> ANALISIS EXPLORATORIO ESPACIO TEMPORAL DE LA DELINCUENCIA EN COLOMBIA ASOCIADA AL HURTO DE VEHICULOS ENTRE LOS AÑOS 20102019 MEDIANTE LA INTEGRACION DE TECNICAS DE MINERIA DE DATOS, GEOESTADISTICA Y SIG</t>
  </si>
  <si>
    <t>MODIFICABLE   (01022019         04032019)</t>
  </si>
  <si>
    <t>001-2022</t>
  </si>
  <si>
    <t>CONSTRUCCION DE UN MODELO DE CALIDAD PARA LA PROSPECTIVA DEL SUELO EN LOS ORDENAMIENTOS TERRITORIALES ENMARCADOS EN UNA INFRAESTRUCTURA DE DATOS PARA LA ADMINISTRACION DE TIERRAS / CONSTRUCCION DEL MODELO DE CALIDAD PARA LA CLASIFICACION DEL SUELO EN EL ORDENAMIENTO TERRITORIAL ENMARCADO EN LA INFRAESTRUCTURA DE DATOS ESPACIALES PARA LA ADMINISTRACION DE TIERRAS.</t>
  </si>
  <si>
    <t xml:space="preserve">MODIFICABLE (18022019    21032019)       (07052019      23052019)   </t>
  </si>
  <si>
    <t>Leonardo Rodriguez</t>
  </si>
  <si>
    <t>MODIFICABLE (0702201     01032019)</t>
  </si>
  <si>
    <t>UN MODELO PROBABILÍSTICO PARA EL ESTUDIO DE LA RELOCALIZACIÓN INDUSTRIAL EN COLOMBIA DEL PERIODO 2005 - 2015</t>
  </si>
  <si>
    <t>Acuerdo 001 de 2019 / acta 010 de 2023 /acta 17 de 2023</t>
  </si>
  <si>
    <t xml:space="preserve">Análisis de relocalización de actividades económicas en Colombia </t>
  </si>
  <si>
    <t>ANALISIS DE LA METODOLOGIA “SAR POLARIMETRIC TARGET ANALYSIS” PARA EL MEJORAMIENTO DE LA METODOLOGIA CORINE LAND COVER EN COLOMBIA.</t>
  </si>
  <si>
    <t>Erika Upegui</t>
  </si>
  <si>
    <t xml:space="preserve">MODELO DE EVALUACION DE ALGORITMOS DE CONSENSO PARA DIFERENTES ESCENARIOS DE IMPLEMENTACION DE BLOCKCHAIN </t>
  </si>
  <si>
    <t>MODIFICABLE (26022019             04042019)</t>
  </si>
  <si>
    <t>Edward Jaciento Gomez</t>
  </si>
  <si>
    <t>INTELIGENCIA ARTIFICIAL EN CIBERSEGURIDAD ENFOCADO EN A MALWARE</t>
  </si>
  <si>
    <t>Hans Igor Lopez</t>
  </si>
  <si>
    <t>MODELO PARA LA ADMINISTRACION DE RECURSOS LOGISTICOS DE ALIMENTOS SOPORTADO EN BLOCKCHAIN Y IOT DESARROLLADO BAJO EL PROGRAMA PAE  (PROGRAMA DE ALIMENTOS ESCOLARES) // MODELO DESCENTRALIZADO PARA LA ADMINISTRACION DE LA CADENA LOGISTICA EN LA DISTRIBUCION DE ALIMENTOS</t>
  </si>
  <si>
    <t>Elvis Eduardo Gaona</t>
  </si>
  <si>
    <t>29/07/2020</t>
  </si>
  <si>
    <t>MODIFICABLE (10062020      7072020)</t>
  </si>
  <si>
    <t>DETECCION DEL PLAGIO INVOLUCRANDO TRADUCCION RECURSIVA</t>
  </si>
  <si>
    <t>016/2021</t>
  </si>
  <si>
    <t>MODIFICABLE (04/03/2019 -21/03/2019)
06/10/2021</t>
  </si>
  <si>
    <t>MODELO DE DESPLIEGUE CONTINUO EN INFRAESTRUCTURA COMO SERVICIO PARA APLICACIONES IN HOUSE</t>
  </si>
  <si>
    <t>SISTEMA PARA PRE DIAGNOSTICO DEL CANCER DE MAMA CON BASE EN IMAGENES MAMOGRAFICA</t>
  </si>
  <si>
    <t>MODELO DE ORIENTACION PARA LA ELECCION DE UNA CARRERA PROFESIONAL</t>
  </si>
  <si>
    <t>MODELO DE ARQUITECTURA SEGURO PARA EL DESARROLLO DE APLICACIONES MEDIANTE METODOLOGIA AGIL MEDIANTE DEVOPS</t>
  </si>
  <si>
    <t>MODELO DE APRENDIZAJE AUTORREGULADO ORIENTADO AL ESTUDIANTE DE EDUCACION SUPERIOR VIRTUAL / DISEÑO Y DESARROLLO DE UN PROTOTIPO DE SOFTWARE ORIENTADO AL ESTUDIANTE DE EDUCACION SUPERIOR VIRTUAL COMO ESTRATEGIA PARA DISMINUIR LA DESERCION</t>
  </si>
  <si>
    <t>MODIFICABLE (23012019      31012019)  (09072019   18072019)</t>
  </si>
  <si>
    <t>Jose Ignacio Palacios</t>
  </si>
  <si>
    <t>11072019 (correo)</t>
  </si>
  <si>
    <t>Modificable  (22012019    07022019)</t>
  </si>
  <si>
    <t>DESARROLLO DE UN PROTOTIPO DE INDUSTRIA 4.0</t>
  </si>
  <si>
    <t>Julian Tristancho</t>
  </si>
  <si>
    <t>Estado</t>
  </si>
  <si>
    <t>E - Graduado</t>
  </si>
  <si>
    <t>No.</t>
  </si>
  <si>
    <t>COD. ESTUDIANTE</t>
  </si>
  <si>
    <t>COD. PROYECTO</t>
  </si>
  <si>
    <t>DESCRIPCIÓN</t>
  </si>
  <si>
    <t>TIP. DOC.</t>
  </si>
  <si>
    <t>ULTIMA MATRICULA</t>
  </si>
  <si>
    <t>SOLER LOPEZ FERNANDO</t>
  </si>
  <si>
    <t>Graduado</t>
  </si>
  <si>
    <t>NO REGISTRA</t>
  </si>
  <si>
    <t>CC</t>
  </si>
  <si>
    <t>AHUMADA VALDERRAMA HERNANDO JOSE</t>
  </si>
  <si>
    <t>APARICIO PICO LILIA EDITH</t>
  </si>
  <si>
    <t>medicina@udistrital.edu.co</t>
  </si>
  <si>
    <t>BARRIOS CANO JOSE ADAN</t>
  </si>
  <si>
    <t>CAMERANO FUENTES RAFAEL A.</t>
  </si>
  <si>
    <t>CARDENAS CASTIBLANCO JOSE ROBERTO</t>
  </si>
  <si>
    <t>NARVAEZ RIVAS HEIBER</t>
  </si>
  <si>
    <t>ORTIZ DIAZ DELIA CONSUELO</t>
  </si>
  <si>
    <t>PEÑA VILLAMIL HERNANDO JOSE</t>
  </si>
  <si>
    <t>hjpenav@correo.udistrital.edu.co</t>
  </si>
  <si>
    <t>PEREZ CASTILLO JOSE NELSON</t>
  </si>
  <si>
    <t>RAMIREZ ARTUNDUAGA JAIME</t>
  </si>
  <si>
    <t>RUIZ PLAZA NANCY</t>
  </si>
  <si>
    <t>TARRIFA AREVALO ALEXIS RAFAEL</t>
  </si>
  <si>
    <t>artarrifaa@correo.udistrital.edu.co</t>
  </si>
  <si>
    <t>VELASCO PATINO ROBERTO</t>
  </si>
  <si>
    <t>VELASCO SALAZAR ANGELA MARLENY</t>
  </si>
  <si>
    <t>CLAVIJO VILLALOBOS EDGAR O.</t>
  </si>
  <si>
    <t>edgclavijo@hotmail.com</t>
  </si>
  <si>
    <t>MANUEL ERNESTO PEREZ VELASCO</t>
  </si>
  <si>
    <t>MENDOZA GARZON SONIA ADRIANA</t>
  </si>
  <si>
    <t>MORENO ARENAS CARLOS A.</t>
  </si>
  <si>
    <t>PARDO RODRIGUEZ MARIO CESAR</t>
  </si>
  <si>
    <t>SANTACRUZ GARZON RICARDO JAIME</t>
  </si>
  <si>
    <t>SANTOS HOMEZ LUZ MARY</t>
  </si>
  <si>
    <t>QUIROGA ARIZA PEDRO LUIS</t>
  </si>
  <si>
    <t>CAMERANO SALCEDO CLIMACO</t>
  </si>
  <si>
    <t>VALERO MEDINA JOSE ANTONIO</t>
  </si>
  <si>
    <t>LIBIA AURORA TALERO CASTAÑEDA</t>
  </si>
  <si>
    <t>ACOSTA LOPEZ ALBERTO</t>
  </si>
  <si>
    <t>NESTOR ENRIQUE CERON CORREA</t>
  </si>
  <si>
    <t>YANETH PATRICIA FERREIRA BARRERO</t>
  </si>
  <si>
    <t>JOSE JIMMY MORENO VIVAS</t>
  </si>
  <si>
    <t>RODRIGO JAVIER HERRERA GARCIA</t>
  </si>
  <si>
    <t>CARDENAS FORONDA SANDRA MIREYA</t>
  </si>
  <si>
    <t>smcardenasf@correo.udistrital.edu.co</t>
  </si>
  <si>
    <t>smcardenasf@estudiante.udistrital.edu.co</t>
  </si>
  <si>
    <t>2003-3</t>
  </si>
  <si>
    <t>CORDOBA NIETO JOSE MARIA</t>
  </si>
  <si>
    <t>DIOSSA HENRY ALBERTO</t>
  </si>
  <si>
    <t>SOLIS MENDEZ DIEGO JAVIER</t>
  </si>
  <si>
    <t>TOLOSA PENA CARLOS JULIAN</t>
  </si>
  <si>
    <t>LESMES ACOSTA MAURICIO</t>
  </si>
  <si>
    <t>mlesmesa@correo.udistrital.edu.co</t>
  </si>
  <si>
    <t>mlesmesa@estudiante.udistrital.edu.co</t>
  </si>
  <si>
    <t>GONZALEZ CHAVEZ ERIKA MARITZA</t>
  </si>
  <si>
    <t>emgonzalezc@correo.udistrital.edu.co</t>
  </si>
  <si>
    <t>emgonzalezc@estudiante.udistrital.edu.co</t>
  </si>
  <si>
    <t>2002-1</t>
  </si>
  <si>
    <t>MEJIA FAJARDO ANGELA MARCELA</t>
  </si>
  <si>
    <t>MÉNDEZ GUEVARA HAROLD ALEXANDER</t>
  </si>
  <si>
    <t>hamendezg@udistrital.edu.co</t>
  </si>
  <si>
    <t>haroldmendezg@hotmail.com</t>
  </si>
  <si>
    <t>SALCEDO PARRA OCTAVIO JOSE</t>
  </si>
  <si>
    <t>VELOZA CORTES NELSY</t>
  </si>
  <si>
    <t>IVAN FERNANDO GONZALEZ RODRIGUEZ</t>
  </si>
  <si>
    <t>FLOREZ ABRIL SANDRA YAZMIN</t>
  </si>
  <si>
    <t>GALINDO PULIDO FRANCISCO</t>
  </si>
  <si>
    <t>LUNA CEBALLOS MARTHA</t>
  </si>
  <si>
    <t>RUIZ PERALTA JOSE ALFREDO</t>
  </si>
  <si>
    <t>EDGAR AUGUSTO FUERTES PUERTO</t>
  </si>
  <si>
    <t>MANRIQUE ESPINDOLA HERNAN DE JESUS</t>
  </si>
  <si>
    <t>SYLVIA ZARAFYAN MANOYAN</t>
  </si>
  <si>
    <t>CE</t>
  </si>
  <si>
    <t>JOSE ENRIQUE TORRES HERRADA</t>
  </si>
  <si>
    <t>PULIDO GRANADOS ELKIN RENE</t>
  </si>
  <si>
    <t>erpulidog@correo.udistrital.edu.co</t>
  </si>
  <si>
    <t>erpulido@gmail.com</t>
  </si>
  <si>
    <t>2007-3</t>
  </si>
  <si>
    <t>ORTEGON BOLIVAR JAIRO AUGUSTO</t>
  </si>
  <si>
    <t>POVEDA ZAFRA JOSE NOE</t>
  </si>
  <si>
    <t>SANCHEZ CARDOZO JULIO ENRIQUE</t>
  </si>
  <si>
    <t>jesanchezc@correo.udistrital.edu.co</t>
  </si>
  <si>
    <t>jesanchezc@estudiante.udistrital.edu.co</t>
  </si>
  <si>
    <t>2005-1</t>
  </si>
  <si>
    <t>RODRIGUEZ MUJICA LEONARDO</t>
  </si>
  <si>
    <t>lrodriguezm@correo.udistrital.edu.co</t>
  </si>
  <si>
    <t>lrodriguezm@estudiante.udistrital.edu.co</t>
  </si>
  <si>
    <t>JOSE TOBIAS AGUDELO GUTIERREZ</t>
  </si>
  <si>
    <t>jtagudelog@correo.udistrital.edu.co</t>
  </si>
  <si>
    <t>jtagudelog@estudiante.udistrital.edu.co</t>
  </si>
  <si>
    <t>2004-3</t>
  </si>
  <si>
    <t>PEDRO ALEXANDER DIAZ QUIROGA</t>
  </si>
  <si>
    <t>pdiazq@hotmail.com</t>
  </si>
  <si>
    <t>JARAMILLO MORENO BEATRIZ ELISA</t>
  </si>
  <si>
    <t>bejaramillom@correo.udistrital.edu.co</t>
  </si>
  <si>
    <t>2009-1</t>
  </si>
  <si>
    <t>MANTILLA BAUTISTA EDGAR JAVIER</t>
  </si>
  <si>
    <t>ejmantillab@correo.udistrital.edu.co</t>
  </si>
  <si>
    <t>ejmantillab@estudiante.udistrital.edu.co</t>
  </si>
  <si>
    <t>MARTINEZ BARRERA CRISMAN</t>
  </si>
  <si>
    <t>JOSE FELIX VEGA STAVRO</t>
  </si>
  <si>
    <t>jfvegas@correo.udistrital.edu.co</t>
  </si>
  <si>
    <t>jfvegas@estudiante.udistrital.edu.co</t>
  </si>
  <si>
    <t>2003-1</t>
  </si>
  <si>
    <t>BOLAÑOS CASTRO SANDRO JAVIER</t>
  </si>
  <si>
    <t>FLOREZ BAEZ JULIO CESAR</t>
  </si>
  <si>
    <t>ZAMORA NAVARRO FRANCISCO</t>
  </si>
  <si>
    <t>2016-1</t>
  </si>
  <si>
    <t>FUQUENE ARDILA HECTOR JULIO</t>
  </si>
  <si>
    <t>SUAREZ OSCAR JARDEY</t>
  </si>
  <si>
    <t>ojardeys@correo.udistrital.edu.co</t>
  </si>
  <si>
    <t>CELY PULIDO JOHN WILLIAM</t>
  </si>
  <si>
    <t>MEDINA DAZA RUBEN JAVIER</t>
  </si>
  <si>
    <t>RUIZ CAMPOS WILLIAM ENRIQUE</t>
  </si>
  <si>
    <t>RAMIREZ ESCOBAR JORGE FEDERICO</t>
  </si>
  <si>
    <t>LADINO VEGA IVAN DARIO</t>
  </si>
  <si>
    <t>idladinov@correo.udistrital.edu.co</t>
  </si>
  <si>
    <t>ivan.ladino@hotmail.com</t>
  </si>
  <si>
    <t>FÉLIX TIVERIO RIVERA RIVERA</t>
  </si>
  <si>
    <t>mhsaenzs@correo.udistrital.edu.co</t>
  </si>
  <si>
    <t>mhsaenzs@unal.edu.co</t>
  </si>
  <si>
    <t>JUAN MANUEL VELASQUEZ CHAVES</t>
  </si>
  <si>
    <t>REYES MONCAYO HECTOR IVAN</t>
  </si>
  <si>
    <t>hireyesm@correo.udistrital.edu.co</t>
  </si>
  <si>
    <t>hireyesm@estudiante.udistrital.edu.co</t>
  </si>
  <si>
    <t>JUAN CARLOS DAVILA MESA</t>
  </si>
  <si>
    <t>FERRO ESCOBAR ROBERTO</t>
  </si>
  <si>
    <t>robertoferro@hotmail.com</t>
  </si>
  <si>
    <t>GARCIA CABRERA ALEXANDER</t>
  </si>
  <si>
    <t>agarciac@correo.udistrital.edu.co</t>
  </si>
  <si>
    <t>alexgarc@gmail.com</t>
  </si>
  <si>
    <t>2015-3</t>
  </si>
  <si>
    <t>GUILLEN PINTO EDWARD PAUL</t>
  </si>
  <si>
    <t>epguillenp@correo.udistrital.edu.co</t>
  </si>
  <si>
    <t>epguillenp@estudiante.udistrital.edu.co</t>
  </si>
  <si>
    <t>RAMOS LINARES CARLOS OMAR</t>
  </si>
  <si>
    <t>coramosl@correo.udistrital.edu.co</t>
  </si>
  <si>
    <t>coramosl@estudiante.udistrital.edu.co</t>
  </si>
  <si>
    <t>NUBIA XIOMARA SEPULVEDA MENDOZA</t>
  </si>
  <si>
    <t>nxsepulvedam@correo.udistrital.edu.co</t>
  </si>
  <si>
    <t>nxsepulvedam@estudiante.udistrital.edu.co</t>
  </si>
  <si>
    <t>FERNANDEZ IBARRA LUZ MYRIAM</t>
  </si>
  <si>
    <t>lmfernandezi@correo.udistrital.edu.co</t>
  </si>
  <si>
    <t>luzferi@gmail.com</t>
  </si>
  <si>
    <t>PAZ PENAGOS HERNAN</t>
  </si>
  <si>
    <t>MURILLO DUARTE HERNANDO</t>
  </si>
  <si>
    <t>hmurillod@correo.udistrital.edu.co</t>
  </si>
  <si>
    <t>hmurillod@estudiante.udistrital.edu.co</t>
  </si>
  <si>
    <t>2005-3</t>
  </si>
  <si>
    <t>JAVIER ALARCON BARRERA</t>
  </si>
  <si>
    <t>jalarconb@correo.udistrital.edu.co</t>
  </si>
  <si>
    <t>jalarconb@estudiante.udistrital.edu.co</t>
  </si>
  <si>
    <t>ESPINEL ORTEGA ALVARO</t>
  </si>
  <si>
    <t>VELANDIA JULIO BARON</t>
  </si>
  <si>
    <t>jbaronv@correo.udistrital.edu.co</t>
  </si>
  <si>
    <t>juliobaron@gmail.com</t>
  </si>
  <si>
    <t>2013-3</t>
  </si>
  <si>
    <t>OSPINA LOPEZ JAVIER DAVID</t>
  </si>
  <si>
    <t>jdospinal@correo.udistrital.edu.co</t>
  </si>
  <si>
    <t>jdospinal@estudiante.udistrital.edu.co</t>
  </si>
  <si>
    <t>CRUZ RODRIGUEZ CARLOS ANDRES</t>
  </si>
  <si>
    <t>cacruzr@correo.udistrital.edu.co</t>
  </si>
  <si>
    <t>cacruzr@estudiante.udistrital.edu.co</t>
  </si>
  <si>
    <t>MOYANO ACEVEDO NELSON RAUL</t>
  </si>
  <si>
    <t>nrmoyanoa@udistrital.edu.co</t>
  </si>
  <si>
    <t>SAMUEL BARRETO MELO</t>
  </si>
  <si>
    <t>sbarretom@correo.udistrital.edu.co</t>
  </si>
  <si>
    <t>sbarretom@estudiante.udistrital.edu.co</t>
  </si>
  <si>
    <t>2002-3</t>
  </si>
  <si>
    <t>CASTANG MONTIEL GERARDO ALBERTO</t>
  </si>
  <si>
    <t>gacastangm@correo.udistrital.edu.co</t>
  </si>
  <si>
    <t>gacastangm@estudiante.udistrital.edu.co</t>
  </si>
  <si>
    <t>LOPEZ ORTEGA DIANA LUZ</t>
  </si>
  <si>
    <t>dllopezo@correo.udistrital.edu.co</t>
  </si>
  <si>
    <t>dllopezo@estudiante.udistrital.edu.co</t>
  </si>
  <si>
    <t>SOTO VARGAS JAVIER EVANDRO</t>
  </si>
  <si>
    <t>jesotov@correo.udistrital.edu.co</t>
  </si>
  <si>
    <t>jesotov@estudiante.udistrital.edu.co</t>
  </si>
  <si>
    <t>DE DIEGO PALAENCIA ALEXANDRA</t>
  </si>
  <si>
    <t>FERNANDEZ IBARRA RAFAEL ALBERTO</t>
  </si>
  <si>
    <t>rafernandezi@correo.udistrital.edu.co</t>
  </si>
  <si>
    <t>rfernandeztalkpro@gmail.com</t>
  </si>
  <si>
    <t>2015-1</t>
  </si>
  <si>
    <t>GIRALDO PEÑARANDA LEONEL</t>
  </si>
  <si>
    <t>JAIME VITOLA OYAGA</t>
  </si>
  <si>
    <t>jvitolao@correo.udistrital.edu.co</t>
  </si>
  <si>
    <t>jvitolao@estudiante.udistrital.edu.co</t>
  </si>
  <si>
    <t>ANDRES ACUÑA CANO</t>
  </si>
  <si>
    <t>aacunac@correo.udistrital.edu.co</t>
  </si>
  <si>
    <t>aacunac@estudiante.udistrital.edu.co</t>
  </si>
  <si>
    <t>DARIO ORLANDO BECERRA ERAZO</t>
  </si>
  <si>
    <t>dobecerrae@correo.udistrital.edu.co</t>
  </si>
  <si>
    <t>dario.becerra@gmail.com</t>
  </si>
  <si>
    <t>2009-3</t>
  </si>
  <si>
    <t>GALINDO CASTILLO MARTHA EMMA</t>
  </si>
  <si>
    <t>megalindoc@correo.udistrital.edu.co</t>
  </si>
  <si>
    <t>memmanosauria@gmail.com</t>
  </si>
  <si>
    <t>GARZON GAITAN ANTONIO JOSUE</t>
  </si>
  <si>
    <t>LOPEZ SARMIENTO DANILO ALFONSO</t>
  </si>
  <si>
    <t>dalopezs@correo.udistrital.edu.co</t>
  </si>
  <si>
    <t>dalopezs@estudiante.udistrital.edu.co</t>
  </si>
  <si>
    <t>RIOS ALZATE ANGELA PATRICIA</t>
  </si>
  <si>
    <t>apriosa@correo.udistrital.edu.co</t>
  </si>
  <si>
    <t>aprios@gmail.com</t>
  </si>
  <si>
    <t>TOVIO TORRES OSCAR ANTONIO</t>
  </si>
  <si>
    <t>oatoviot@correo.udistrital.edu.co</t>
  </si>
  <si>
    <t>oscartovio@gmail.com</t>
  </si>
  <si>
    <t>URIBE MONTAÑA SANDRA LILIANA</t>
  </si>
  <si>
    <t>sluribem@correo.udistrital.edu.co</t>
  </si>
  <si>
    <t>sluribem@gmail.com</t>
  </si>
  <si>
    <t>VEGA OSORIO EDMUNDO</t>
  </si>
  <si>
    <t>evegao@correo.udistrital.edu.co</t>
  </si>
  <si>
    <t>evegao@estudiante.udistrital.edu.co</t>
  </si>
  <si>
    <t>AMAYA HURTADO DARIO</t>
  </si>
  <si>
    <t>damayah@correo.udistrital.edu.co</t>
  </si>
  <si>
    <t>damaya2005@gmail.com</t>
  </si>
  <si>
    <t>2004-1</t>
  </si>
  <si>
    <t>AMAYA OCAMPO WALDIMAR ALEXANDER</t>
  </si>
  <si>
    <t>waamayao@correo.udistrital.edu.co</t>
  </si>
  <si>
    <t>waamayao@estudiante.udistrital.edu.co</t>
  </si>
  <si>
    <t>CASTANEDA FANDINO JOSE IGNACIO</t>
  </si>
  <si>
    <t>jicastanedaf@correo.udistrital.edu.co</t>
  </si>
  <si>
    <t>jicastanedaf@estudiante.udistrital.edu.co</t>
  </si>
  <si>
    <t>HERNANDEZ RIAÑO VELSSY LILIANA</t>
  </si>
  <si>
    <t>vlhernandezr@correo.udistrital.edu.co</t>
  </si>
  <si>
    <t>vlhernandezr@estudiante.udistrital.edu.co</t>
  </si>
  <si>
    <t>NARVAEZ PANTOJA GIOVANI</t>
  </si>
  <si>
    <t>gnarvaezp@correo.udistrital.edu.co</t>
  </si>
  <si>
    <t>giovanni.narvaez@telecom.net.co</t>
  </si>
  <si>
    <t>RAMOS SANDOVAL OLGA LUCIA</t>
  </si>
  <si>
    <t>olramoss@correo.udistrital.edu.co</t>
  </si>
  <si>
    <t>olgalu2005@gmail.com</t>
  </si>
  <si>
    <t>AVENDAÑO FERNANDEZ EDUARDO</t>
  </si>
  <si>
    <t>eavendanof@udistrital.edu.co</t>
  </si>
  <si>
    <t>eduardoavendañof@outlook.com</t>
  </si>
  <si>
    <t>BONILLA ROMERO CLARA INES</t>
  </si>
  <si>
    <t>clibonillar@correo.udistrital.edu.co</t>
  </si>
  <si>
    <t>clibonillar@estudiante.udistrital.edu.co</t>
  </si>
  <si>
    <t>DIAZ ORTIZ FERNANDO AUGUSTO</t>
  </si>
  <si>
    <t>fadiazo@correo.udistrital.edu.co</t>
  </si>
  <si>
    <t>fdiazor@gmail.com</t>
  </si>
  <si>
    <t>DARIN JAIRO MOSQUERA PALACIOS</t>
  </si>
  <si>
    <t>djmosquerap@correo.udistrital.edu.co</t>
  </si>
  <si>
    <t>djmosquerap@estudiante.udistrital.edu.co</t>
  </si>
  <si>
    <t>OSCAR IVAN VARELA VELEZ</t>
  </si>
  <si>
    <t>oivarelav@correo.udistrital.edu.co</t>
  </si>
  <si>
    <t>oivarelav@estudiante.udistrital.edu.co</t>
  </si>
  <si>
    <t>DELGADO CORREAL MONICA ISABEL</t>
  </si>
  <si>
    <t>midelgadoc@correo.udistrital.edu.co</t>
  </si>
  <si>
    <t>midelgadoc@estudiante.udistrital.edu.co</t>
  </si>
  <si>
    <t>2006-3</t>
  </si>
  <si>
    <t>SOLER LOPEZ FERNANDO ARTURO</t>
  </si>
  <si>
    <t>fasolerl@correo.udistrital.edu.co</t>
  </si>
  <si>
    <t>fasolerl@estudiante.udistrital.edu.co</t>
  </si>
  <si>
    <t>GOMEZ VARGAS ERNESTO</t>
  </si>
  <si>
    <t>egomezv@correo.udistrital.edu.co</t>
  </si>
  <si>
    <t> </t>
  </si>
  <si>
    <t>I - INACTIVO</t>
  </si>
  <si>
    <t>ANDRADE LONDONO JOHNNY</t>
  </si>
  <si>
    <t>BEJARANO GARZON LILIAN</t>
  </si>
  <si>
    <t>CONTRERAS MONTES JUAN EMIGDIO</t>
  </si>
  <si>
    <t>COTTE A. OSWALDO</t>
  </si>
  <si>
    <t>MEZA ALVAREZ JOAQUIN</t>
  </si>
  <si>
    <t>PINTO JORGE</t>
  </si>
  <si>
    <t>POSSO BURITICA ANDERSON A.</t>
  </si>
  <si>
    <t>SOLER L. FERNANDO</t>
  </si>
  <si>
    <t>GARCIA CESPEDES WILSON</t>
  </si>
  <si>
    <t>DIAZ WISTON</t>
  </si>
  <si>
    <t>LUENGAS APONTE SANDRA</t>
  </si>
  <si>
    <t>OTALORA WILSON</t>
  </si>
  <si>
    <t>CUERVO MERCHAN MARLENE</t>
  </si>
  <si>
    <t>MONROY GONZALEZ JESUS ALIRIO</t>
  </si>
  <si>
    <t>MOLINA F. FERNANDO</t>
  </si>
  <si>
    <t>URICOECHEA ORLANDO</t>
  </si>
  <si>
    <t>ECHEVERRY ARANGO OLGA</t>
  </si>
  <si>
    <t>ESCOBAR ALVARO</t>
  </si>
  <si>
    <t>ESPITIA VANEGAS LUZ STELLA</t>
  </si>
  <si>
    <t>GARCIA GARCIA ALVARO</t>
  </si>
  <si>
    <t>OCHOA FONSECA JAIME A.</t>
  </si>
  <si>
    <t>ORJUELA HENAO VIRGINIA</t>
  </si>
  <si>
    <t>ORJUELA RODOLFO</t>
  </si>
  <si>
    <t>ROJAS FRANCISCO ANTONIO</t>
  </si>
  <si>
    <t>SANABRIA HUGO</t>
  </si>
  <si>
    <t>SOSA GIRALDO JUAN</t>
  </si>
  <si>
    <t>VALERO PULIDO EDGAR</t>
  </si>
  <si>
    <t>VILLARREAL MARIA PATRICIA</t>
  </si>
  <si>
    <t>WALTEROS PEDRO ANTONIO</t>
  </si>
  <si>
    <t>PEÑA C. RAUL</t>
  </si>
  <si>
    <t>CORDOBA CORDOBA JOAQUIN</t>
  </si>
  <si>
    <t>UMAÑA TORRES WILMER</t>
  </si>
  <si>
    <t>ALFONSO OSORIO JORGE</t>
  </si>
  <si>
    <t>CASAS B. ROSA MARGARITA</t>
  </si>
  <si>
    <t>RAMIREZ COLMENARES ALVARO</t>
  </si>
  <si>
    <t>BELTRAN SONIA</t>
  </si>
  <si>
    <t>GAVIRIA LONDOÑO JOSE FERNANDO</t>
  </si>
  <si>
    <t>ROA ERNESTO</t>
  </si>
  <si>
    <t>ROA M. ERNESTO</t>
  </si>
  <si>
    <t>RIVEROS NELLY</t>
  </si>
  <si>
    <t>VILLEGAS CESPEDES DIANA</t>
  </si>
  <si>
    <t>SANTAMARIA OMAR</t>
  </si>
  <si>
    <t>BENAVIDEZ H. JAIRO</t>
  </si>
  <si>
    <t>ALVARADO G. MYRIAM MILENA</t>
  </si>
  <si>
    <t>CESPEDES JARAMILLO ALFREDO E.</t>
  </si>
  <si>
    <t>MORENO S. BLANCA O.</t>
  </si>
  <si>
    <t>BARRERO G. JANETH C.</t>
  </si>
  <si>
    <t>GUERRERO CASTILLO NUVIA</t>
  </si>
  <si>
    <t>LUGO RUGELES HECTOR GERMAN</t>
  </si>
  <si>
    <t>MARTINEZ H. FABIO</t>
  </si>
  <si>
    <t>OSSA CRUZ SANDRA A.</t>
  </si>
  <si>
    <t>PATIÑO FRANCO LUCY A.</t>
  </si>
  <si>
    <t>PELAEZ CARLOS A.</t>
  </si>
  <si>
    <t>PEÑA JIMENEZ ORLANDO</t>
  </si>
  <si>
    <t>AMAYA G. MYRIAM</t>
  </si>
  <si>
    <t>BENAVIDEZ B. NORMA C.</t>
  </si>
  <si>
    <t>CANCELADO GOMEZ ESTEBAN</t>
  </si>
  <si>
    <t>GUTIERREZ DIEZ JUAN CARLOS</t>
  </si>
  <si>
    <t>JIMENEZ ROMERO MARIA AMALIA</t>
  </si>
  <si>
    <t>MONTOYA OVALLE DORA JUDITH</t>
  </si>
  <si>
    <t>OSORNO ALDANA GERMAN ALBERTO</t>
  </si>
  <si>
    <t>PARDO GARCIA CARLOS EDUARDO</t>
  </si>
  <si>
    <t>VELEZ ALVAREZ CARLOS ALBERTO</t>
  </si>
  <si>
    <t>JURADO CERON ANTONIO</t>
  </si>
  <si>
    <t>MUÑOZ MORENO CESAR GONZALO</t>
  </si>
  <si>
    <t>QUINTIN ROJAS JOSE GILBERTO</t>
  </si>
  <si>
    <t>TAUTIVA CINTURA ANGEL ROBERTO</t>
  </si>
  <si>
    <t>ANDRADE MORALES JUAN MANUEL</t>
  </si>
  <si>
    <t>CASTELLANOS DANIEL</t>
  </si>
  <si>
    <t>CRUZ BRAVO AURA YOLANDA</t>
  </si>
  <si>
    <t>ESTEBAN BASABE LUIS FERNANDO</t>
  </si>
  <si>
    <t>GONZALEZ GONZALEZ JAIME</t>
  </si>
  <si>
    <t>RODRIGUEZ RAMIREZ OMAR</t>
  </si>
  <si>
    <t>ROVIRA GONZALEZ LUZ JEANETH</t>
  </si>
  <si>
    <t>VARGAS HERNAN</t>
  </si>
  <si>
    <t>FLECHAS FAJARDO ROBERTO</t>
  </si>
  <si>
    <t>LEON DIAZ ALFREDO ENRIQUE</t>
  </si>
  <si>
    <t>LOPEZ LOPEZ ALFONSO MARIA</t>
  </si>
  <si>
    <t>MAYORGA HUERTAS OSCAR</t>
  </si>
  <si>
    <t>MORENO HUERTAS RAFAEL ALFONSO</t>
  </si>
  <si>
    <t>OCHOA VALBUENA MAURICIO</t>
  </si>
  <si>
    <t>OVIEDO BUITRAGO DIEGO FELIPE</t>
  </si>
  <si>
    <t>PANQUEVA ROMERO MIRYAM ZORAIDA</t>
  </si>
  <si>
    <t>RODRIGUEZ FONTECHA OSCAR ALONSO</t>
  </si>
  <si>
    <t>LAGOS F. NYDIA YANETH</t>
  </si>
  <si>
    <t>PATINO HERNANDEZ MARYSOL</t>
  </si>
  <si>
    <t>BAUTISTA U. JOSE ANTONIO</t>
  </si>
  <si>
    <t>RINCON WALTER LUIS FELIPE</t>
  </si>
  <si>
    <t>BARRERA FAJARDO OSCAR LEONARDO</t>
  </si>
  <si>
    <t>GIRALDO ARCESIO DE JESUS</t>
  </si>
  <si>
    <t>PERALTA CASTRO ENILDA ISABEL</t>
  </si>
  <si>
    <t>SEGURA FRANCO ESPERANZA</t>
  </si>
  <si>
    <t>LAGOS GOMEZ RAFAEL ANTONIO</t>
  </si>
  <si>
    <t>GARCIA CORRALES JUAN CARLOS</t>
  </si>
  <si>
    <t>MEDINA JEANETTE CLAUDIA</t>
  </si>
  <si>
    <t>BRITO LUCAS JOSE DE JESUS</t>
  </si>
  <si>
    <t>malesmesa@correo.udistrital.edu.co</t>
  </si>
  <si>
    <t>malesmesa@estudiante.udistrital.edu.co</t>
  </si>
  <si>
    <t>COGUA MORENO JAIME</t>
  </si>
  <si>
    <t>CUESTA ROMERO JAIME</t>
  </si>
  <si>
    <t>GALVIS CARRASCO JAIRO ALBERTO</t>
  </si>
  <si>
    <t>GUERRERO SOLORZANO NEIL EDWIN</t>
  </si>
  <si>
    <t>GUTIERREZ ACHURI FREDY ALEJANDRO</t>
  </si>
  <si>
    <t>MARTINEZ AVILA HECTOR AMIN</t>
  </si>
  <si>
    <t>PARRA ULLOA MARTHA NEILA</t>
  </si>
  <si>
    <t>RINCON ROSAS NESTOR JAVIER</t>
  </si>
  <si>
    <t>RODRIGUEZ RAMOS RONALD JOSE</t>
  </si>
  <si>
    <t>MEJIA BETANCOUR JAIME ALBERTO</t>
  </si>
  <si>
    <t>FERREIRA B. YANETH P.</t>
  </si>
  <si>
    <t>ACOSTA ROMO ALVARO FERNANDO</t>
  </si>
  <si>
    <t>BAQUERO VANEGAS MANUEL FRANCISCO</t>
  </si>
  <si>
    <t>BECERRA CORREA NELSON REYNALDO</t>
  </si>
  <si>
    <t>BENITEZ FORERO JAIME ANTONIO</t>
  </si>
  <si>
    <t>CHARRY MALLUNGO POLO</t>
  </si>
  <si>
    <t>GARCIA ARCOS CLAUDIA YANETH</t>
  </si>
  <si>
    <t>GARZON RUIZ RICARDO ANDRES</t>
  </si>
  <si>
    <t>GUEVARA ORTIZ EDUARDO ARMANDO</t>
  </si>
  <si>
    <t>JIMENEZ GONZALEZ JOSE MANUEL</t>
  </si>
  <si>
    <t>LOPEZ ORJUELA CARLOS EDUARDO</t>
  </si>
  <si>
    <t>MALDONADO GOMEZ NANCY</t>
  </si>
  <si>
    <t>RIVEROS GUTIERREZ JOSE PATROCINIO</t>
  </si>
  <si>
    <t>ROJAS MOLINA OSCAR EMILIO</t>
  </si>
  <si>
    <t>ROJAS RODRIGUEZ REINALDO ALEXIS</t>
  </si>
  <si>
    <t>CUEVAS AVELLANEDA HAIDET</t>
  </si>
  <si>
    <t>BENAVIDES BELTRAN JAIRO</t>
  </si>
  <si>
    <t>CAMACHO TAUTA ALEJANDRO</t>
  </si>
  <si>
    <t>CASTILLO T. GUSTAVO</t>
  </si>
  <si>
    <t>CORREA BELTRAN EDGAR FRANCISCO</t>
  </si>
  <si>
    <t>CUPAJITA DEDIOS OSCAR</t>
  </si>
  <si>
    <t>LOPEZ NICOLAS</t>
  </si>
  <si>
    <t>MENDEZ CALDERON CLARA MYRIAM</t>
  </si>
  <si>
    <t>NARANJO GONZALEZ JUAN</t>
  </si>
  <si>
    <t>ORDENEZ CORREA VIRNA</t>
  </si>
  <si>
    <t>PINEDA ROBAYO RUTH</t>
  </si>
  <si>
    <t>RODRIGUEZ GONZALEZ NESTOR</t>
  </si>
  <si>
    <t>DIAZ PLAZAS LUIS EDUARDO</t>
  </si>
  <si>
    <t>ALFONSO PACATIVA JOSE GREGORIO</t>
  </si>
  <si>
    <t>PACHON MUCIA JOSE ALFONSO</t>
  </si>
  <si>
    <t>AVENDANO MARIA CLAUDIA</t>
  </si>
  <si>
    <t>AYALA DIAZ MILTON ARMANDO</t>
  </si>
  <si>
    <t>CASTILLO TRUJILLO GUSTAVO</t>
  </si>
  <si>
    <t>CONTRERAS SANTANDER ROCIO</t>
  </si>
  <si>
    <t>GARZON NAVARRETE CESAR AUGUSTO</t>
  </si>
  <si>
    <t>MORA GODOY JOSE MANUEL</t>
  </si>
  <si>
    <t>RUIZ CAICEDO JAIRO ALFONSO</t>
  </si>
  <si>
    <t>SANTAMARIA GONZALEZ HECTOR RICARDO</t>
  </si>
  <si>
    <t>RODRIGUEZ GARCIA CESAR LEONARDO</t>
  </si>
  <si>
    <t>LOZANO GONZALEZ RUSBEL ALFREDO</t>
  </si>
  <si>
    <t>GUEVARA REYES SANDRA PATRICIA</t>
  </si>
  <si>
    <t>VILLARAGA MOLINA MARIA JIMENA</t>
  </si>
  <si>
    <t>BUCHELI ENRIQUE CLAUDIA LILIANA</t>
  </si>
  <si>
    <t>MANCILLA GAONA GIOVANI</t>
  </si>
  <si>
    <t>MOSQUERA LOPEZ EDGAR ALBERTO</t>
  </si>
  <si>
    <t>ARAUJO LUIS FERNANDO</t>
  </si>
  <si>
    <t>BARRIOS PINEDA ALVARO IVAN</t>
  </si>
  <si>
    <t>CACERES BALLONA ORLANDO</t>
  </si>
  <si>
    <t>CERRA ESCOBAR IBO LUIS</t>
  </si>
  <si>
    <t>FORERO RAMIREZ JOSE ORLANDO</t>
  </si>
  <si>
    <t>GONZALEZ AVELLA LUIS NICOLAS</t>
  </si>
  <si>
    <t>JURADO RUBIO FREDY ALBERTO</t>
  </si>
  <si>
    <t>MEDINA DAZA RUBER JAVIER</t>
  </si>
  <si>
    <t>MUNOZ MONROY HUMBERTO</t>
  </si>
  <si>
    <t>PERDOMO HERRERA OLGA LILIANA</t>
  </si>
  <si>
    <t>RIVEROS VILLALOBOS EDGAR I</t>
  </si>
  <si>
    <t>TORRES TORRES HENRY WILLIAM</t>
  </si>
  <si>
    <t>VASQUEZ JOYA RICARDO O.</t>
  </si>
  <si>
    <t>CARDENAS MONTOYA LUIS EUGENIO</t>
  </si>
  <si>
    <t>CORREA VELASQUEZ MARCELA</t>
  </si>
  <si>
    <t>GARIBELLO MATALLANA RUBEN D.</t>
  </si>
  <si>
    <t>GARZON GUILLERMO LUIS ALFREDO</t>
  </si>
  <si>
    <t>GUTIERREZ GUERRERO DIANA MARIA</t>
  </si>
  <si>
    <t>MANTILLA HUGO JAVIER</t>
  </si>
  <si>
    <t>MURILLO PULIDO WILSON FABIAN</t>
  </si>
  <si>
    <t>ORJUELA CAMARGO RICARDO A.</t>
  </si>
  <si>
    <t>SOSSA VIVAS ALVARO ENRIQUE</t>
  </si>
  <si>
    <t>TORRES ACERO JAIME</t>
  </si>
  <si>
    <t>TOLE GALVIS GERARDO</t>
  </si>
  <si>
    <t>gtole.udistrital.edu.co</t>
  </si>
  <si>
    <t>ALVAREZ GAITAN ADREY ALI</t>
  </si>
  <si>
    <t>HERNANDEZ PAJA JULIAN ALFREDO</t>
  </si>
  <si>
    <t>MOLINA LOPEZ ANGEL DE JESUS</t>
  </si>
  <si>
    <t>OSPINA MEJIA NOHORA ESPERANZA</t>
  </si>
  <si>
    <t>PINZON NUNEZ SONIA</t>
  </si>
  <si>
    <t>RODRIGUEZ GORDO SERGIO ANDRES</t>
  </si>
  <si>
    <t>RODRIGUEZ ZULUAGA ALBERT G.</t>
  </si>
  <si>
    <t>SUAREZ CARDONA YADIRA EUGENIA</t>
  </si>
  <si>
    <t>VILLAREAL PAVA FLORINDO</t>
  </si>
  <si>
    <t>CORRALES PEREZ RICARDO ENRIQUE</t>
  </si>
  <si>
    <t>OLARTE TRIANA OMAR</t>
  </si>
  <si>
    <t>GALVIS FORIGUA JAIME ORLANDO</t>
  </si>
  <si>
    <t>CORTES PINZON OSCAR MAURICIO</t>
  </si>
  <si>
    <t>FIGUEROA CARRENO HERNANDO</t>
  </si>
  <si>
    <t>GUALDRON PINZON JORGE ALBERTO</t>
  </si>
  <si>
    <t>HERNANDEZ PENA JULIAN ALFREDO</t>
  </si>
  <si>
    <t>LOZANO RODRIGUEZ MARIA INES</t>
  </si>
  <si>
    <t>MOLINA GARZON LUCIO ARMANDO</t>
  </si>
  <si>
    <t>PADILLA CUBIDES LUIS FERNANDO</t>
  </si>
  <si>
    <t>PINZON NUNEZ SONIA ALEXANDRA</t>
  </si>
  <si>
    <t>RODRIGUEZ PIMIENTA JORGE ENRIQUE</t>
  </si>
  <si>
    <t>ROJAS HERNANDEZ GUILLERMO EDUARDO</t>
  </si>
  <si>
    <t>SANCHEZ MUNOZ JUAN CARLOS</t>
  </si>
  <si>
    <t>CADENAS SANCHEZ YANETH</t>
  </si>
  <si>
    <t>LOPEZ LUIS RAFAEL</t>
  </si>
  <si>
    <t>ALONSO WILLIAM NIETO</t>
  </si>
  <si>
    <t>COPETE RENTERIA INDALECIO</t>
  </si>
  <si>
    <t>ECHEVERRI PEREZ DIEGO FABIAN</t>
  </si>
  <si>
    <t>HENAO ZARATE CLARA ROCIO</t>
  </si>
  <si>
    <t>QUINTANA MAHECHA LUZ MARINA</t>
  </si>
  <si>
    <t>SOSA SOSA SEGUNDO SILVESTRE</t>
  </si>
  <si>
    <t>BARACALDO TUTA JAVIER ANTONIO</t>
  </si>
  <si>
    <t>BUENO RUEDA JESUS</t>
  </si>
  <si>
    <t>CARRERO VARGAS CARLOS</t>
  </si>
  <si>
    <t>LOPEZ BARRAGAN JUAN CARLOS</t>
  </si>
  <si>
    <t>LOPEZ MORENO RODRIGO ALONSO</t>
  </si>
  <si>
    <t>MORALES MORENO MIGUEL ANDRES</t>
  </si>
  <si>
    <t>REINA HERRERA GABRIEL ALFONSO</t>
  </si>
  <si>
    <t>RODRIGUEZ CENTENO CONSTANZA ELIZA</t>
  </si>
  <si>
    <t>TORRES GUTIERREZ ALBERTO</t>
  </si>
  <si>
    <t>VELASQUEZ OTALORA JOHN FREDY</t>
  </si>
  <si>
    <t>RODRIGUEZ MONTA\A FERY</t>
  </si>
  <si>
    <t>OSORIO ARIZA GABRIEL ERNESTO</t>
  </si>
  <si>
    <t>TRUJILLO G CESAR A</t>
  </si>
  <si>
    <t>RAMOS DIEGO</t>
  </si>
  <si>
    <t>MARTINEZ I GUILLERMO A</t>
  </si>
  <si>
    <t>VIZCANO NOVOA JUAN CARLOS</t>
  </si>
  <si>
    <t>OCHOA CARRENO GERMAN</t>
  </si>
  <si>
    <t>TOVAR RACHE JESUS GUILLERMO</t>
  </si>
  <si>
    <t>LEON ZABALA TAMARA</t>
  </si>
  <si>
    <t>GOMEZ HERNANDEZ JUAN CARLOS</t>
  </si>
  <si>
    <t>GONZALEZ MURILLO HERMAN GIOVANNI</t>
  </si>
  <si>
    <t>GARZON G ANTONIO J</t>
  </si>
  <si>
    <t>BOJACA BELLO PILAR</t>
  </si>
  <si>
    <t>GUZMAN AMAYA GONZALO ANDRES</t>
  </si>
  <si>
    <t>MARTINEZ BUENO GIOVANNI ESTEBAN</t>
  </si>
  <si>
    <t>ALVAREZ HERNANDEZ SANDRA LILIANA</t>
  </si>
  <si>
    <t>N - INACTIVO</t>
  </si>
  <si>
    <t>BERNAL RUIZ GIOVANNI ALEJANDRO</t>
  </si>
  <si>
    <t>REYES ARIAS SAUL ANTONIO</t>
  </si>
  <si>
    <t>MARTINEZ BUENO ESTEBAN</t>
  </si>
  <si>
    <t>SALAS SANCHEZ ALEXANDRA</t>
  </si>
  <si>
    <t>GUTIERREZ BERMUDEZ LEONARDO FABIO</t>
  </si>
  <si>
    <t>PULIDO SARMIENTO RUBEN DARIO</t>
  </si>
  <si>
    <t>VASQUEZ MOLANO ANDERSON</t>
  </si>
  <si>
    <t>PEÑA SALGADO PIERRE AUGUSTO</t>
  </si>
  <si>
    <t>W - Abandono</t>
  </si>
  <si>
    <t>QUINTERO PACHON JOSE ANTONIO</t>
  </si>
  <si>
    <t>Abandono</t>
  </si>
  <si>
    <t>jaquinterop@correo.udistrital.edu.co</t>
  </si>
  <si>
    <t>jaquinteroo@gmail.com</t>
  </si>
  <si>
    <t>2020-1</t>
  </si>
  <si>
    <t>X - Pérdida de calidad de estudiante - Suspendido</t>
  </si>
  <si>
    <t>RODRIGUEZ JUAN JOSE</t>
  </si>
  <si>
    <t>Pérdida de calidad de estudiante - Suspendido</t>
  </si>
  <si>
    <t>jrodriguezj@correo.udistrital.edu.co</t>
  </si>
  <si>
    <t>jrodriguezj@estudiante.udistrital.edu.co</t>
  </si>
  <si>
    <t>BERNAL ACERO LUIS HORACIO</t>
  </si>
  <si>
    <t>lhbernala@correo.udistrital.edu.co</t>
  </si>
  <si>
    <t>lhbernala@estudiante.udistrital.edu.co</t>
  </si>
  <si>
    <t>CASTANEDA GONZALEZ ENRIQUE</t>
  </si>
  <si>
    <t>SANABRIA MARTINEZ RAFAEL A.</t>
  </si>
  <si>
    <t>ALFONSO CRISTANCHO EDITH</t>
  </si>
  <si>
    <t>ALONSO ALVARADO RAFAEL</t>
  </si>
  <si>
    <t>rafaaxn@gmail.com</t>
  </si>
  <si>
    <t>CORREDOR NIAMPIRA NESTOR JULIO</t>
  </si>
  <si>
    <t>njcorredorn@correo.udistrital.edu.co</t>
  </si>
  <si>
    <t>njcorredorn@estudiante.udistrital.edu.co</t>
  </si>
  <si>
    <t>DE LA HOZ DOMINGUEZ MANUEL MARTIN</t>
  </si>
  <si>
    <t>mdlhzdz@yahoo.com</t>
  </si>
  <si>
    <t>VANEGAS HEREDIA PEDRO ALONSO</t>
  </si>
  <si>
    <t>ARGOTE FUENTES VICTOR RAUL</t>
  </si>
  <si>
    <t>vvargote@contraloriagem.gov.co</t>
  </si>
  <si>
    <t>PEÑA PORRAS LUIS ALBERTO</t>
  </si>
  <si>
    <t>luis.pena@extra.net.co</t>
  </si>
  <si>
    <t>GUAMAN ROJAS JAVIER</t>
  </si>
  <si>
    <t>jguamanr@correo.udistrital.edu.co</t>
  </si>
  <si>
    <t>jguamanr@estudiante.udistrital.edu.co</t>
  </si>
  <si>
    <t>ORTIZ OREJUELA CESAR EDMUNDO</t>
  </si>
  <si>
    <t>ceeortizo@correo.udistrital.edu.co</t>
  </si>
  <si>
    <t>ceortiz98@hotmail.com</t>
  </si>
  <si>
    <t>mochoav@correo.udistrital.edu.co</t>
  </si>
  <si>
    <t>mochoav@estudiante.udistrital.edu.co</t>
  </si>
  <si>
    <t>PERDOMO DEVIA MARIO</t>
  </si>
  <si>
    <t>GARZON ESTRADA ARIEL JOSE</t>
  </si>
  <si>
    <t>aigarzone@gmail.com</t>
  </si>
  <si>
    <t>CARABALLO ZAMUDIO MYRIAM PATRICIA</t>
  </si>
  <si>
    <t>GARCIA LOPEZ NIDIA LETTY</t>
  </si>
  <si>
    <t>nlgarcial@correo.udistrital.edu.co</t>
  </si>
  <si>
    <t>nlgarcial@estudiante.udistrital.edu.co</t>
  </si>
  <si>
    <t>BOGOTA ANGEL EDGAR ENRIQUE</t>
  </si>
  <si>
    <t>eebogotaa@correo.udistrital.edu.co</t>
  </si>
  <si>
    <t>eebogotaa@estudiante.udistrital.edu.co</t>
  </si>
  <si>
    <t>CASTRO CASTRO CARLOS ORLANDO</t>
  </si>
  <si>
    <t>GALAN CADENA BERENICE</t>
  </si>
  <si>
    <t>PALACIOS GONZALEZ CARLOS IVAN</t>
  </si>
  <si>
    <t>JIMENEZ CASTRO MARTHA LUCIA</t>
  </si>
  <si>
    <t>RUGELIS SUAREZ MAURICIO</t>
  </si>
  <si>
    <t>mrugeliss@correo.udistrital.edu.co</t>
  </si>
  <si>
    <t>mrugeliss@estudiante.udistrital.edu.co</t>
  </si>
  <si>
    <t>ROBLEDO OSORIO MONICA ADRIANA</t>
  </si>
  <si>
    <t>marobledoo@correo.udistrital.edu.co</t>
  </si>
  <si>
    <t>marobledoo@estudiante.udistrital.edu.co</t>
  </si>
  <si>
    <t>DIAZ PINZON ISABEL</t>
  </si>
  <si>
    <t>BUELVAS PENARREDONDA DUILIO</t>
  </si>
  <si>
    <t>dbuelvasp@correo.udistrital.edu.co</t>
  </si>
  <si>
    <t>dbuelvas10@gmail.com</t>
  </si>
  <si>
    <t>2014-3</t>
  </si>
  <si>
    <t>CALDERON GONZALEZ JOSE OMAR</t>
  </si>
  <si>
    <t>CORREA NACHE ROSA LINA</t>
  </si>
  <si>
    <t>rlcorrean@correo.udistrital.edu.co</t>
  </si>
  <si>
    <t>rlcorrean@estudiante.udistrital.edu.co</t>
  </si>
  <si>
    <t>MOGOLLON GALVIS JAVIER OCTAVIO</t>
  </si>
  <si>
    <t>ROJAS GUZMAN OSCAR LEONARDO</t>
  </si>
  <si>
    <t>TAFUR REINOSO LUIS ALBERTO</t>
  </si>
  <si>
    <t>FONSECA VELASQUEZ ALDEMAR</t>
  </si>
  <si>
    <t>CORTES ALDANA FELIX ANTONIO</t>
  </si>
  <si>
    <t>MAYA BENAVIDES JAIRO FERNANDO</t>
  </si>
  <si>
    <t>jfmayab@correo.udistrital.edu.co</t>
  </si>
  <si>
    <t>mayagato@yahoo.com</t>
  </si>
  <si>
    <t>2014-1</t>
  </si>
  <si>
    <t>SANTOS HOMES JOSE ERMIS</t>
  </si>
  <si>
    <t>RODRIGUEZ BORBON JOSE MILET</t>
  </si>
  <si>
    <t>jmrodriguezb@correo.udistrital.edu.co</t>
  </si>
  <si>
    <t>jmrodriguezb@estudiante.udistrital.edu.co</t>
  </si>
  <si>
    <t>RODRIGUEZ PARRA MARIA ISABEL</t>
  </si>
  <si>
    <t>VELANDIA DELGADO MARIO LENIN</t>
  </si>
  <si>
    <t>mlvelandiad@correo.udistrital.edu.co</t>
  </si>
  <si>
    <t>mlvelandiad@estudiante.udistrital.edu.co</t>
  </si>
  <si>
    <t>BARREIRO OSSA IVAN DARIO</t>
  </si>
  <si>
    <t>GARCIA CASTRO ALFREDO</t>
  </si>
  <si>
    <t>MORA LOPEZ MARIELA</t>
  </si>
  <si>
    <t>QUINTERO CAMACHO RIGOBERTO</t>
  </si>
  <si>
    <t>ROJAS FERNANDEZ JOHN JAIRO</t>
  </si>
  <si>
    <t>REYES MERCHAN JOSE IGNACIO</t>
  </si>
  <si>
    <t>RIVERA RIVERA FELIX TIBERIO</t>
  </si>
  <si>
    <t>ftriverar@correo.udistrital.edu.co</t>
  </si>
  <si>
    <t>ftriverar@estudiante.udistrital.edu.co</t>
  </si>
  <si>
    <t>REYES SILVA GABRIEL ANTONIO</t>
  </si>
  <si>
    <t>CARDENAS SEGURA CLARIS CECILIA</t>
  </si>
  <si>
    <t>CAMARGO RODRIGUEZ ANYELA VALENTINA</t>
  </si>
  <si>
    <t>CASTELLANOS CASTANO OSCAR ALBERTO</t>
  </si>
  <si>
    <t>LEAL GOMEZ VIANEY</t>
  </si>
  <si>
    <t>MAYO RENTERIA CARLOS ALBERTO</t>
  </si>
  <si>
    <t>MIRANDA REYES RUBY</t>
  </si>
  <si>
    <t>ORJUELA ROJAS LUZ MARINA</t>
  </si>
  <si>
    <t>luz.orjuela.rojas@gmail.com</t>
  </si>
  <si>
    <t>RAMOS HERNANDEZ JUAN ALBERTO</t>
  </si>
  <si>
    <t>RODRIGUEZ ALBORNOZ JOSE MANUEL</t>
  </si>
  <si>
    <t>josemaroa@tutoria.com</t>
  </si>
  <si>
    <t>GARRIDO GROSS EDGAR</t>
  </si>
  <si>
    <t>egarridog@correo.udistrital.edu.co</t>
  </si>
  <si>
    <t>edgarrid@gmail.com</t>
  </si>
  <si>
    <t>MARTINEZ MARTINEZ EFRAIN</t>
  </si>
  <si>
    <t>RAMIREZ BALLESTEROS ALEXANDER</t>
  </si>
  <si>
    <t>FAJARDO ORTEGA OSCAR</t>
  </si>
  <si>
    <t>MERLANO JORGE LUIS</t>
  </si>
  <si>
    <t>BERMUDEZ ROMERO MARGARITA</t>
  </si>
  <si>
    <t>ORTIZ OSORIO EDGAR EDUARDO</t>
  </si>
  <si>
    <t>ABRIL FRADE DIEGO ORLANDO</t>
  </si>
  <si>
    <t>doabrilf@correo.udistrital.edu.co</t>
  </si>
  <si>
    <t>diegoabril@hotmail.com</t>
  </si>
  <si>
    <t>ALARCON CORREDOR MESIAS AUGUSTO</t>
  </si>
  <si>
    <t>CARDENAS SUAREZ YAMYLE</t>
  </si>
  <si>
    <t>GARRIDO CASTILLO EDGAR AUGUSTO</t>
  </si>
  <si>
    <t>GODOY MORALES OLGA LUCIA</t>
  </si>
  <si>
    <t>olgodoym@correo.udistrital.edu.co</t>
  </si>
  <si>
    <t>LOMBANA MILLAN ALFONSO MARTIN</t>
  </si>
  <si>
    <t>OCHOA CARREÑO GERMAN</t>
  </si>
  <si>
    <t>gochoac@correo.udistrital.edu.co</t>
  </si>
  <si>
    <t>german.ochoa@telecom.com.co</t>
  </si>
  <si>
    <t>QUIÑONES SERRANO JORGE ARTURO</t>
  </si>
  <si>
    <t>VARGAS ESCOBAR JAVIER EDUARDO</t>
  </si>
  <si>
    <t>VIVAS ROCHA NIDIA PATRICIA</t>
  </si>
  <si>
    <t>npvivasr@correo.udistrital.edu.co</t>
  </si>
  <si>
    <t>npvivasr@estudiante.udistrital.edu.co</t>
  </si>
  <si>
    <t>ZAMORA CASALLAS FREDDY</t>
  </si>
  <si>
    <t>PUERTO TABARES JULIAN HUMBERTO</t>
  </si>
  <si>
    <t>BAUTISTA ARIAS PAUL RENE</t>
  </si>
  <si>
    <t>prbautistaa@correo.udistrital.edu.co</t>
  </si>
  <si>
    <t>prbautistaa@estudiante.udistrital.edu.co</t>
  </si>
  <si>
    <t>HENAO PILPUD JOHN EDUARDO</t>
  </si>
  <si>
    <t>jehenaop@correo.udistrital.edu.co</t>
  </si>
  <si>
    <t>jehenaop@estudiante.udistrital.edu.co</t>
  </si>
  <si>
    <t>JEREZ ROMERO CAROLINA</t>
  </si>
  <si>
    <t>LEAL PEDRAZA OSCAR GERMAN</t>
  </si>
  <si>
    <t>MARTINEZ MARTINEZ HERNAN</t>
  </si>
  <si>
    <t>MARTINEZ SILVA PEDRO IGNACIO</t>
  </si>
  <si>
    <t>MEJIA GOMEZ WILLIAM ANDRES</t>
  </si>
  <si>
    <t>wiamejiag@correo.udistrital.edu.co</t>
  </si>
  <si>
    <t>williamejia2000@yahoo.com</t>
  </si>
  <si>
    <t>MOLINA GOMEZ HENRY</t>
  </si>
  <si>
    <t>hmolinag@correo.udistrital.edu.co</t>
  </si>
  <si>
    <t>hmolinagomez@yahoo.com</t>
  </si>
  <si>
    <t>NIÑO GALEANO JOSE FERMIN</t>
  </si>
  <si>
    <t>PEDRAZA LEON VICTOR GABRIEL</t>
  </si>
  <si>
    <t>PLAZAS RISCANEVO VICTOR MANUEL</t>
  </si>
  <si>
    <t>QUINTERO CAMACHO RIG0BERTO</t>
  </si>
  <si>
    <t>SANCHEZ CASTILLO CESAR AUGUSTO</t>
  </si>
  <si>
    <t>SUAREZ ACUÑA SANDRA MILENA</t>
  </si>
  <si>
    <t>smsuareza@correo.udistrital.edu.co</t>
  </si>
  <si>
    <t>smsuareza@estudiante.udistrital.edu.co</t>
  </si>
  <si>
    <t>TORRES AHUMADA WILLGER OLEGARIO</t>
  </si>
  <si>
    <t>wotorresa@correo.udistrital.edu.co</t>
  </si>
  <si>
    <t>willgert@hotmail.com</t>
  </si>
  <si>
    <t>CASSIANI ESQUIVIA CESAR AUGUSTO</t>
  </si>
  <si>
    <t>HUERTAS MAYA MANUEL OSWALDO</t>
  </si>
  <si>
    <t>LEON SANABRIA TAMARA JOHANA</t>
  </si>
  <si>
    <t>LEON ZABALA TAMARA JOHANA</t>
  </si>
  <si>
    <t>tjleonz@correo.udistrital.edu.co</t>
  </si>
  <si>
    <t>tamileon@yahoo.com</t>
  </si>
  <si>
    <t>SANCHEZ PEREZ EDWARD AGUSTO</t>
  </si>
  <si>
    <t>SUAREZ IVAN HERNANDO</t>
  </si>
  <si>
    <t>isuarez@correo.udistrital.edu.co</t>
  </si>
  <si>
    <t>vanchis10@hotmail.com</t>
  </si>
  <si>
    <t>TAPIAS HERNAN DARIO</t>
  </si>
  <si>
    <t>ZUÑIGA VILLANUEVA HUMBERTO</t>
  </si>
  <si>
    <t>hzunigav@correo.udistrital.edu.co</t>
  </si>
  <si>
    <t>hzunigav@estudiante.udistrital.edu.co</t>
  </si>
  <si>
    <t>ROMERO VILLALOBOS OSWALDO ALBERTO</t>
  </si>
  <si>
    <t>SANCHEZ APARICIO ISMAEL FERNANDO</t>
  </si>
  <si>
    <t>RESTREPO BUSTAMANTE JAIME ALBERTO</t>
  </si>
  <si>
    <t>MARTINEZ CHAPARRO FREDA</t>
  </si>
  <si>
    <t>AMAYA GUATAQUIRA WILLIAM</t>
  </si>
  <si>
    <t>BAQUEROROZO GIOVANNI</t>
  </si>
  <si>
    <t>CERINZA BLANCO JULIA ELVIRA</t>
  </si>
  <si>
    <t>FANDINO CASTILLO</t>
  </si>
  <si>
    <t>FORRERO BERRANTES MARLON JAVIER</t>
  </si>
  <si>
    <t>LOZANO OVALLOS RUDY NELSON</t>
  </si>
  <si>
    <t>MUNOZ SANCHEZ ADRIANA</t>
  </si>
  <si>
    <t>OSPINA TORRES MARTHA RUHT</t>
  </si>
  <si>
    <t>SIERRA HERNANDEZ FREDY ALFONSO</t>
  </si>
  <si>
    <t>fasierrah@correo.udistrital.edu.co</t>
  </si>
  <si>
    <t>intecman@hotmail.com</t>
  </si>
  <si>
    <t>REINA FAJARDO SORAYA</t>
  </si>
  <si>
    <t>sreinaf@correo.udistrital.edu.co</t>
  </si>
  <si>
    <t>sreinaf@estudiante.udistrital.edu.co</t>
  </si>
  <si>
    <t>STERLING COLLAZOS JOSE MARIA</t>
  </si>
  <si>
    <t>SUAREZ FAJARDO CARLOS ARTURO</t>
  </si>
  <si>
    <t>PULIDO LANCHEROS RUBEN DARIO</t>
  </si>
  <si>
    <t>CARDENAS FRANCO ARMANDO</t>
  </si>
  <si>
    <t>acardenasf@correo.udistrital.edu.co</t>
  </si>
  <si>
    <t>acardenasf@estudiante.udistrital.edu.co</t>
  </si>
  <si>
    <t>ROA PATIÑO JAIME</t>
  </si>
  <si>
    <t>CASAS SALGADO JAVIER</t>
  </si>
  <si>
    <t>jcasass@correo.udistrital.edu.co</t>
  </si>
  <si>
    <t>jcasass@ucentral.edu.co</t>
  </si>
  <si>
    <t>CARVAJAL ESCOBARFEDERICO ALEXANDER</t>
  </si>
  <si>
    <t>facarvajale@correo.udistrital.edu.co</t>
  </si>
  <si>
    <t>facarvajale@estudiante.udistrital.edu.co</t>
  </si>
  <si>
    <t>CHAPARRO FONSECA JUAN MANUEL</t>
  </si>
  <si>
    <t>jmchaparrof@udistrital.edu.co</t>
  </si>
  <si>
    <t>jmchaparrof@estudiante.udistrital.edu.co</t>
  </si>
  <si>
    <t>FONSECA BUITRAGO PETER GIOVANY</t>
  </si>
  <si>
    <t>pgfonsecab@correo.udistrital.edu.co</t>
  </si>
  <si>
    <t>pgfonsecab@estudiante.udistrital.edu.co</t>
  </si>
  <si>
    <t>LEMUS ALARCON MAURO ENRIQUE</t>
  </si>
  <si>
    <t>MANCIPE BARENO GIOVANNY ALBERTO</t>
  </si>
  <si>
    <t>PERILLA FORERO RAUL ERNEST</t>
  </si>
  <si>
    <t>PINEDA ECHAVARRIA MARIA SOLEDAD</t>
  </si>
  <si>
    <t>mspinedae@correo.udistrital.edu.co</t>
  </si>
  <si>
    <t>sol26@hotmail.com</t>
  </si>
  <si>
    <t>REALPE DIAZ MILENA ELIZABETH</t>
  </si>
  <si>
    <t>GONZALEZ RAMIREZ PEDRO LUIS</t>
  </si>
  <si>
    <t>plgonzalezr@correo.udistrital.edu.co</t>
  </si>
  <si>
    <t>pgonzalezr1@ucentral.edu.co</t>
  </si>
  <si>
    <t>TORRES ACEVEDO LUZ STELLA</t>
  </si>
  <si>
    <t>VERGARA NIETO MAURICIO</t>
  </si>
  <si>
    <t>mvergaran@correo.udistrital.edu.co</t>
  </si>
  <si>
    <t>mvergaran@ucentral.edu.co</t>
  </si>
  <si>
    <t>PEÑA PLAZA REINALDO</t>
  </si>
  <si>
    <t>ARCINIEGAS PALOMINO HECTOR JAVIER</t>
  </si>
  <si>
    <t>hjarciniegasp@correo.udistrital.edu.co</t>
  </si>
  <si>
    <t>hjarciniegasp@estudiante.udistrital.edu.co</t>
  </si>
  <si>
    <t>CAMACHO VALENCIA MIGUEL ERIKSSON</t>
  </si>
  <si>
    <t>mecamachov@correo.udistrital.edu.co</t>
  </si>
  <si>
    <t>mecamachov@estudiante.udistrital.edu.co</t>
  </si>
  <si>
    <t>FORERO ORREGO OSCAR AUGUSTO</t>
  </si>
  <si>
    <t>oaforeroo@correo.udistrital.edu.co</t>
  </si>
  <si>
    <t>oaforeroo@estudiante.udistrital.edu.co</t>
  </si>
  <si>
    <t>GELVEZ CHONA BEATRIZ EUGENIA</t>
  </si>
  <si>
    <t>begelvezc@correo.udistrital.edu.co</t>
  </si>
  <si>
    <t>begelvezc@estudiante.udistrital.edu.co</t>
  </si>
  <si>
    <t>GUEVARA QUINTERO CORA MABEL</t>
  </si>
  <si>
    <t>cmguevaraq@correo.udistrital.edu.co</t>
  </si>
  <si>
    <t>cmguevaraq@estudiante.udistrital.edu.co</t>
  </si>
  <si>
    <t>LASSO MUÑOZ DIANA LUCRECIA</t>
  </si>
  <si>
    <t>dllassom@correo.udistrital.edu.co</t>
  </si>
  <si>
    <t>dlasso@suncor.com</t>
  </si>
  <si>
    <t>MARTIN BALLESTEROS HUGO ANDRES</t>
  </si>
  <si>
    <t>hamartinb@correo.udistrital.edu.co</t>
  </si>
  <si>
    <t>hamartinb@estudiante.udistrital.edu.co</t>
  </si>
  <si>
    <t>NONTEJO HERNANDEZ ADRIAN MARITZA</t>
  </si>
  <si>
    <t>amnontejoh@correo.udistrital.edu.co</t>
  </si>
  <si>
    <t>amnontejoh@estudiante.udistrital.edu.co</t>
  </si>
  <si>
    <t>PALOMINO PARRA JHON ADEMIR</t>
  </si>
  <si>
    <t>japalominop@correo.udistrital.edu.co</t>
  </si>
  <si>
    <t>jadepalpa@gmail.com</t>
  </si>
  <si>
    <t>PEREZ SUAREZ JUAN CARLOS</t>
  </si>
  <si>
    <t>PIRAGAUTA AMADOR RODRIGO</t>
  </si>
  <si>
    <t>rpiragautaa@correo.udistrital.edu.co</t>
  </si>
  <si>
    <t>rpiragautaa@estudiante.udistrital.edu.co</t>
  </si>
  <si>
    <t>PLAZAS PINTO EDWIN ROBINSON</t>
  </si>
  <si>
    <t>erplazasp@correo.udistrital.edu.co</t>
  </si>
  <si>
    <t>erplazasp@estudiante.udistrital.edu.co</t>
  </si>
  <si>
    <t>RAMOS QUINTERO ISABEL CRISTINA</t>
  </si>
  <si>
    <t>VILLALOBOS RAMIREZ RICARDO</t>
  </si>
  <si>
    <t>rvillalobosr@correo.udistrital.edu.co</t>
  </si>
  <si>
    <t>rvillalobosr@estudiante.udistrital.edu.co</t>
  </si>
  <si>
    <t>SUAREZ MARTINEZ WILSON E.</t>
  </si>
  <si>
    <t>wesuarezm@correo.udistrital.edu.co</t>
  </si>
  <si>
    <t>wesuarezm@estudiante.udistrital.edu.co</t>
  </si>
  <si>
    <t>BOTACHE PINZON CESAR GABRIEL</t>
  </si>
  <si>
    <t>cgbotachep@correo.udistrital.edu.co</t>
  </si>
  <si>
    <t>cgbotachep@estudiante.udistrital.edu.co</t>
  </si>
  <si>
    <t>BRICEÑO ZAMUDIO ENRIQUE</t>
  </si>
  <si>
    <t>ebricenoz@correo.udistrital.edu.co</t>
  </si>
  <si>
    <t>ebricenoz@estudiante.udistrital.edu.co</t>
  </si>
  <si>
    <t>CORREA CORREA JUAN CARLOS</t>
  </si>
  <si>
    <t>jccorreac@correo.udistrital.edu.co</t>
  </si>
  <si>
    <t>jccorreac@estudiante.udistrital.edu.co</t>
  </si>
  <si>
    <t>NOVA ROMERO CARLOS ALBERTO</t>
  </si>
  <si>
    <t>canovar@correo.udistrital.edu.co</t>
  </si>
  <si>
    <t>canovar@estudiante.udistrital.edu.co</t>
  </si>
  <si>
    <t>SUAREZ PUENTES JANNY MARCEL</t>
  </si>
  <si>
    <t>jmsuarezp@correo.udistrital.edu.co</t>
  </si>
  <si>
    <t>jmsuarezp@estudiante.udistrital.edu.co</t>
  </si>
  <si>
    <t>Z - Pérdida de calidad de estudiante - Expulsado</t>
  </si>
  <si>
    <t>Pérdida de calidad de estudiante - Expulsado</t>
  </si>
  <si>
    <t>ALARCON HERNANDEZ SANDRA PATRICIA</t>
  </si>
  <si>
    <t>GUTIERREZ MENDOZA LUCIA</t>
  </si>
  <si>
    <t>PINILLA SANCHEZ ALFONSO NAHOR</t>
  </si>
  <si>
    <t>SANDOVAL MORALES RAFAEL IGNACIO</t>
  </si>
  <si>
    <t>MUÑOZ ARCOS KRHYSTAL</t>
  </si>
  <si>
    <t>PARADA LANDAZABAL LAURA ROCIO</t>
  </si>
  <si>
    <t>RODRIGUEZ JIMENEZ CARLOS EDUARDO</t>
  </si>
  <si>
    <t>cerodriguezj@correo.udistrital.edu.co</t>
  </si>
  <si>
    <t>carloserj@udistrital.edu.co</t>
  </si>
  <si>
    <t>2006-1</t>
  </si>
  <si>
    <t>A - Matriculado</t>
  </si>
  <si>
    <t>MAE. EN CIENCIAS DE LA INF. Y LAS COMUNICACIONES ENFASIS EN TELEINF.</t>
  </si>
  <si>
    <t>GARZÓN BAUTISTA HARVEY ALEXANDER</t>
  </si>
  <si>
    <t>Matriculado</t>
  </si>
  <si>
    <t>haagarzonb@udistrital.edu.co</t>
  </si>
  <si>
    <t>bautista56@hotmail.com</t>
  </si>
  <si>
    <t>2026-3</t>
  </si>
  <si>
    <t>PATIÑO LOPEZ LUIS FELIPE</t>
  </si>
  <si>
    <t>lfpatinol@udistrital.edu.co</t>
  </si>
  <si>
    <t>felipephat@hotmail.com</t>
  </si>
  <si>
    <t>BRICENO MOLINA STHEVEN ARLEY</t>
  </si>
  <si>
    <t>sabricenom@udistrital.edu.co</t>
  </si>
  <si>
    <t>sabm20@gmail.com</t>
  </si>
  <si>
    <t>QUINTERO GARZON CESAR IVAN</t>
  </si>
  <si>
    <t>ciquinterog@udistrital.edu.co</t>
  </si>
  <si>
    <t>cquinterog@protonmail.com</t>
  </si>
  <si>
    <t>RINCON BUITRAGO EDWIN FERNANDO</t>
  </si>
  <si>
    <t>edfrinconb@udistrital.edu.co</t>
  </si>
  <si>
    <t>edwinrincon098@gmail.com</t>
  </si>
  <si>
    <t>MARTINEZ MORENO KAREN GERALDINE</t>
  </si>
  <si>
    <t>kgmartinezm@udistrital.edu.co</t>
  </si>
  <si>
    <t>kgmartinezm@gmail.com</t>
  </si>
  <si>
    <t>CEDANO GARCIA ROCIO</t>
  </si>
  <si>
    <t>rcedanog@correo.udistrital.edu.co</t>
  </si>
  <si>
    <t>rociocedano@yahoo.com</t>
  </si>
  <si>
    <t>2011-3</t>
  </si>
  <si>
    <t>RENE GEOVANI GONZALEZ CABALLERO</t>
  </si>
  <si>
    <t>rggonzalezc@correo.udistrital.edu.co</t>
  </si>
  <si>
    <t>rengoca@hotmail.com</t>
  </si>
  <si>
    <t>2013-1</t>
  </si>
  <si>
    <t>PADILLA BAÑOS DOLLY MARCELA</t>
  </si>
  <si>
    <t>dmpadillab@correo.udistrital.edu.co</t>
  </si>
  <si>
    <t>dollypadilla@hotmail.com</t>
  </si>
  <si>
    <t>BONILLA OLAYA JOSE EBERT</t>
  </si>
  <si>
    <t>jebonillao@correo.udistrital.edu.co</t>
  </si>
  <si>
    <t>jose.ebert@gmail.com</t>
  </si>
  <si>
    <t>BUITRAGO BRAVO RONALD YESID</t>
  </si>
  <si>
    <t>rybuitragob@correo.udistrital.edu.co</t>
  </si>
  <si>
    <t>rybuitrago@bancodeoccidente.com.co</t>
  </si>
  <si>
    <t>DIAZ MARTINEZ NEIL ORLANDO</t>
  </si>
  <si>
    <t>nodiazm@correo.udistrital.edu.co</t>
  </si>
  <si>
    <t>neil_or@yahoo.com</t>
  </si>
  <si>
    <t>GAONA GARCIA ELVIS EDUARDO</t>
  </si>
  <si>
    <t>eegaonag@correo.udistrital.edu.co</t>
  </si>
  <si>
    <t>GAONA GARCIA PAULO ALONSO</t>
  </si>
  <si>
    <t>pagaonag@correo.udistrital.edu.co</t>
  </si>
  <si>
    <t>gaoanaalonso@yahoo.es</t>
  </si>
  <si>
    <t>MACIAS MUNOZ GERMAN</t>
  </si>
  <si>
    <t>gmaciasm@udistrital.edu.co</t>
  </si>
  <si>
    <t>germaci@gmail.com</t>
  </si>
  <si>
    <t>MONTENEGRO MARIN CARLOS E.</t>
  </si>
  <si>
    <t>cemontenegrom@correo.udistrital.edu.co</t>
  </si>
  <si>
    <t>cemontenegrom@estudiante.udistrital.edu.co</t>
  </si>
  <si>
    <t>TRIANA PERDOMO FABIO ALEXIS</t>
  </si>
  <si>
    <t>fatrianap@correo.udistrital.edu.co</t>
  </si>
  <si>
    <t>trianafp@gmail.com</t>
  </si>
  <si>
    <t>URBANO CHAVES DIEGO FERNANDO</t>
  </si>
  <si>
    <t>dfurbanoc@udistrital.edu.co</t>
  </si>
  <si>
    <t>diego.urbano@gmail.com</t>
  </si>
  <si>
    <t>CASTAÑEDA PARRA JAVIER ALFONSO</t>
  </si>
  <si>
    <t>jacastanedap@correo.udistrital.edu.co</t>
  </si>
  <si>
    <t>jacastanedap@estudiante.udistrital.edu.co</t>
  </si>
  <si>
    <t>LOPEZ CHAVEZ HANS IGOR</t>
  </si>
  <si>
    <t>hilopezc@correo.udistrital.edu.co</t>
  </si>
  <si>
    <t>hanslop@gmail.com</t>
  </si>
  <si>
    <t>2012-1</t>
  </si>
  <si>
    <t>ARTEAGA MEZA DIEGO GERMAN</t>
  </si>
  <si>
    <t>dgarteagam@correo.udistrital.edu.co</t>
  </si>
  <si>
    <t>diego.arteaga@gmail.com</t>
  </si>
  <si>
    <t>2011-1</t>
  </si>
  <si>
    <t>BELTRAN PARDO DAVID MAURICIO</t>
  </si>
  <si>
    <t>dmbeltranp@correo.udistrital.edu.co</t>
  </si>
  <si>
    <t>davidmbpardo@gmail.com</t>
  </si>
  <si>
    <t>CORREDOR CAMARGO OSCAR FABIAN</t>
  </si>
  <si>
    <t>ofcorredorc@udistrital.edu.co</t>
  </si>
  <si>
    <t>ofcca@hotmail.com</t>
  </si>
  <si>
    <t>CARLOS GALINDO BALLESTEROS</t>
  </si>
  <si>
    <t>cgalindob@correo.udistrital.edu.co</t>
  </si>
  <si>
    <t>galindocarlos@hotmail.com</t>
  </si>
  <si>
    <t>2012-3</t>
  </si>
  <si>
    <t>GARCIA GIRALDO GUSTAVO ANDRES</t>
  </si>
  <si>
    <t>guagarciag@correo.udistrital.edu.co</t>
  </si>
  <si>
    <t>gustavo_31727@yahoo.es</t>
  </si>
  <si>
    <t>2010-3</t>
  </si>
  <si>
    <t>HERNANDEZ SUAREZ CESAR AUGUSTO</t>
  </si>
  <si>
    <t>ceahernandezs@correo.udistrital.edu.co</t>
  </si>
  <si>
    <t>ceahernandezs@estudiante.udistrital.edu.co</t>
  </si>
  <si>
    <t>PEDRAZA MARTINEZ LUIS FERNANDO</t>
  </si>
  <si>
    <t>lfpedrazam@correo.udistrital.edu.co</t>
  </si>
  <si>
    <t>pedrazaluis2001@yahoo.es</t>
  </si>
  <si>
    <t>PEREZ HERRERA PABLO GERMAN</t>
  </si>
  <si>
    <t>pgperezh@correo.udistrital.edu.co</t>
  </si>
  <si>
    <t>pgphpollo@yahoo.com.mx</t>
  </si>
  <si>
    <t>RIOS SENDOYA LUIS FERNANDO</t>
  </si>
  <si>
    <t>lfrioss@correo.udistrital.edu.co</t>
  </si>
  <si>
    <t>riosjot@gmail.com</t>
  </si>
  <si>
    <t>CORONADO SANCHEZ PAULO CESAR</t>
  </si>
  <si>
    <t>pccoronados@udistrital.edu.co</t>
  </si>
  <si>
    <t>pccoronados@estudiante.udistrital.edu.co</t>
  </si>
  <si>
    <t>MANTA CARO HECTOR CRISTYAN</t>
  </si>
  <si>
    <t>hcmantac@correo.udistrital.edu.co</t>
  </si>
  <si>
    <t>cristyan_manta@hotmail.com</t>
  </si>
  <si>
    <t>NUVAN HURTADO JAIRO ANTONIO</t>
  </si>
  <si>
    <t>januvanh@udistrital.edu.co</t>
  </si>
  <si>
    <t>januvan@hotmail.com</t>
  </si>
  <si>
    <t>2022-1</t>
  </si>
  <si>
    <t>PLAZAS NOSSA LEONARDO</t>
  </si>
  <si>
    <t>lplazasn@correo.udistrital.edu.co</t>
  </si>
  <si>
    <t>leoplazas@gmail.com</t>
  </si>
  <si>
    <t>JOSE LUIS SILVA SUAREZ</t>
  </si>
  <si>
    <t>jlsilvas@udistrital.edu.co</t>
  </si>
  <si>
    <t>soportedigital1@gmail.com</t>
  </si>
  <si>
    <t>SALAMANCA CESPEDES JORGE ENRIQUE</t>
  </si>
  <si>
    <t>jesalamancac@correo.udistrital.edu.co</t>
  </si>
  <si>
    <t>jesalamancac@estudiante.udistrital.edu.co</t>
  </si>
  <si>
    <t>ROZO GARCIA PABLO EMILIO</t>
  </si>
  <si>
    <t>perozog@correo.udistrital.edu.co</t>
  </si>
  <si>
    <t>perozog@estudiante.udistrital.edu.co</t>
  </si>
  <si>
    <t>PERDOMO CHARRY CESAR ANDREY</t>
  </si>
  <si>
    <t>cperdomo@udistrital.edu.co</t>
  </si>
  <si>
    <t>CESAR.PERDOMO@GMAIL.COM</t>
  </si>
  <si>
    <t>PAULA ALEXANDRA VARGAS AGUILAR</t>
  </si>
  <si>
    <t>paavargasa@correo.udistrital.edu.co</t>
  </si>
  <si>
    <t>pa20mk@gmail.com</t>
  </si>
  <si>
    <t>ARIAS BARRAGAN LUIS ALEJANDRO</t>
  </si>
  <si>
    <t>laariasb@correo.udistrital.edu.co</t>
  </si>
  <si>
    <t>lincarias@yahoo.com</t>
  </si>
  <si>
    <t>2008-3</t>
  </si>
  <si>
    <t>AVILA ANGULO MIGUEL ANTONIO</t>
  </si>
  <si>
    <t>maavilaa@correo.udistrital.edu.co</t>
  </si>
  <si>
    <t>maavilaa@estudiante.udistrital.edu.co</t>
  </si>
  <si>
    <t>CASTELLANOS ACUÑA HERMES ENRIQUE</t>
  </si>
  <si>
    <t>hecastellanosa@correo.udistrital.edu.co</t>
  </si>
  <si>
    <t>hsajca@gmail.com</t>
  </si>
  <si>
    <t>MOJICA CACERES JORGE ARTURO</t>
  </si>
  <si>
    <t>jamojicac@correo.udistrital.edu.co</t>
  </si>
  <si>
    <t>arturomojica@gmail.com</t>
  </si>
  <si>
    <t>RICO RIVEROS LUIS FERNANDO</t>
  </si>
  <si>
    <t>lfricor@correo.udistrital.edu.co</t>
  </si>
  <si>
    <t>lferrico@yahoo.com</t>
  </si>
  <si>
    <t>RODRIGUEZ COSSIO HANS</t>
  </si>
  <si>
    <t>hrodriguezc@correo.udistrital.edu.co</t>
  </si>
  <si>
    <t>hansrodriguez@gmail.com</t>
  </si>
  <si>
    <t>SUAREZ PERPIÑAN NESTOR RAUL</t>
  </si>
  <si>
    <t>nrsuarezp@correo.udistrital.edu.co</t>
  </si>
  <si>
    <t>nessuper@gmail.com</t>
  </si>
  <si>
    <t>GARZON RODRIGUEZ YAQUELINE</t>
  </si>
  <si>
    <t>ygarzonr@udistrital.edu.co</t>
  </si>
  <si>
    <t>RICARDO ALIRIO GONZALEZ BUSTAMANTE</t>
  </si>
  <si>
    <t>ragonzalezb@correo.udistrital.edu.co</t>
  </si>
  <si>
    <t>ricargonzalez@gmail.com</t>
  </si>
  <si>
    <t>LOPEZ SEVILLANO ALEXANDRA MARIA</t>
  </si>
  <si>
    <t>amlopezs@udistrital.edu.co</t>
  </si>
  <si>
    <t>alelose@gmail.com</t>
  </si>
  <si>
    <t>RODRIGUEZ SUAREZ CESAR AUGUSTO</t>
  </si>
  <si>
    <t>sicarsoft@hotmail.com</t>
  </si>
  <si>
    <t>CRISTANCHO PRADA ANGELA MARIA</t>
  </si>
  <si>
    <t>angelacris353@gmail.com</t>
  </si>
  <si>
    <t>SERGIO ENRIQUE HERNANDEZ RUBIO</t>
  </si>
  <si>
    <t>sehernandezr@correo.udistrital.edu.co</t>
  </si>
  <si>
    <t>sergioehr@gmail.com</t>
  </si>
  <si>
    <t>LEON TRUJILLO JIMMY ALEXANDER</t>
  </si>
  <si>
    <t>jaleont@correo.udistrital.edu.co</t>
  </si>
  <si>
    <t>jimmyalexanderleon@yahoo.com</t>
  </si>
  <si>
    <t>LUIS GABRIEL MARIN COLLAZOS</t>
  </si>
  <si>
    <t>lgmarinc@correo.udistrital.edu.co</t>
  </si>
  <si>
    <t>lgmarinc@gmail.com</t>
  </si>
  <si>
    <t>ESPINDOLA DIAZ JORGE ENRIQUE</t>
  </si>
  <si>
    <t>jeespindolad@correo.udistrital.edu.co</t>
  </si>
  <si>
    <t>jespindoladiaz@gmail.com</t>
  </si>
  <si>
    <t>JUAN FEDERICO GÓMEZ ESTUPIÑAN</t>
  </si>
  <si>
    <t>jfgomeze@correo.udistrital.edu.co</t>
  </si>
  <si>
    <t>jfgomez@uniboyaca.edu.co</t>
  </si>
  <si>
    <t>OCHOA ECHEVERRIA MAURICIO</t>
  </si>
  <si>
    <t>mochoae@correo.udistrital.edu.co</t>
  </si>
  <si>
    <t>mauriciochoae@gmail.com</t>
  </si>
  <si>
    <t>VARGAS BERMUDEZ FRANCISCO ARNALDO</t>
  </si>
  <si>
    <t>fravargasb@correo.udistrital.edu.co</t>
  </si>
  <si>
    <t>franciscovargasb@gmail.com</t>
  </si>
  <si>
    <t>BAEZ PEREZ CARMEN INES</t>
  </si>
  <si>
    <t>cibaezp@correo.udistrital.edu.co</t>
  </si>
  <si>
    <t>cibaezp@gmail.com</t>
  </si>
  <si>
    <t>BLANCO VELANDIA JORGE ANTONIO</t>
  </si>
  <si>
    <t>jorgeblancov@gmail.com</t>
  </si>
  <si>
    <t>JAIRO ALONSO MESA LARA</t>
  </si>
  <si>
    <t>jamesal@correo.udistrital.edu.co</t>
  </si>
  <si>
    <t>jairomesalara@gmail.com</t>
  </si>
  <si>
    <t>MONTAÑEZ TORRES SANDRA NEYID</t>
  </si>
  <si>
    <t>sandra.neyid@gmail.com</t>
  </si>
  <si>
    <t>SANCHEZ PANEZO LUIS FELIPE</t>
  </si>
  <si>
    <t>lfalbarracins@correo.udistrital.edu.co</t>
  </si>
  <si>
    <t>lfasanchez@gmail.com</t>
  </si>
  <si>
    <t>2010-1</t>
  </si>
  <si>
    <t>AVENDAÑO RODRIGUEZ FIDEL AUGUSTO</t>
  </si>
  <si>
    <t>faavendanor@correo.udistrital.edu.co</t>
  </si>
  <si>
    <t>favendanor@gmail.com</t>
  </si>
  <si>
    <t>MONICA ESPINOSA BUITRAGO</t>
  </si>
  <si>
    <t>mespinosab@correo.udistrital.edu.co</t>
  </si>
  <si>
    <t>ingmonicaeb@gmail.com</t>
  </si>
  <si>
    <t>PARRA SANTOS EDUWIN LEONARDO</t>
  </si>
  <si>
    <t>elparras@correo.udistrital.edu.co</t>
  </si>
  <si>
    <t>ingelparra@gmail.com</t>
  </si>
  <si>
    <t>PATERNINA ANAYA JOSE DE JESUS</t>
  </si>
  <si>
    <t>jdpaterninaa@correo.udistrital.edu.co</t>
  </si>
  <si>
    <t>jjpaterninaa@udistrital.edu.co</t>
  </si>
  <si>
    <t>IVAN EDUARDO DIAZ PARDO</t>
  </si>
  <si>
    <t>iediazp@udistrital.edu.co</t>
  </si>
  <si>
    <t>ivandiazpardo@gmail.com</t>
  </si>
  <si>
    <t>ARIZA AGAMEZ DANILO DE JESUS</t>
  </si>
  <si>
    <t>darizaagamez@yahoo.es</t>
  </si>
  <si>
    <t>ABINUN DE LIMA JOSEPH</t>
  </si>
  <si>
    <t>caescobard@correo.udistrital.edu.co</t>
  </si>
  <si>
    <t>ing.carlosdelima@gmail.com</t>
  </si>
  <si>
    <t>JACINTO GOMEZ EDWAR</t>
  </si>
  <si>
    <t>ejacintog@correo.udistrital.edu.co</t>
  </si>
  <si>
    <t>VACCA CASANOVA ANA BETY</t>
  </si>
  <si>
    <t>abvaccac@correo.udistrital.edu.co</t>
  </si>
  <si>
    <t>abvaccac@gmail.com</t>
  </si>
  <si>
    <t>ANZOLA ANZOLA JHON PATERSON</t>
  </si>
  <si>
    <t>jpanzolaa@udistrital.edu.co</t>
  </si>
  <si>
    <t>john.anzola@gmail.com</t>
  </si>
  <si>
    <t>ELKIN FERNANDO JIMENEZ INOCENCIO</t>
  </si>
  <si>
    <t>fernando6297@hotmail.com</t>
  </si>
  <si>
    <t>OSPINA NAVAS JAIDER</t>
  </si>
  <si>
    <t>jospinan@correo.udistrital.edu.co</t>
  </si>
  <si>
    <t>jaider.ospina@gmail.com</t>
  </si>
  <si>
    <t>PUENTE REYES SEBASTIAN FERNANDO</t>
  </si>
  <si>
    <t>sfpuenter@correo.udistrital.edu.co</t>
  </si>
  <si>
    <t>sebastianfpr@gmail.com</t>
  </si>
  <si>
    <t>SOCARRAS QUINTERO VIRGILIO SANTANDER</t>
  </si>
  <si>
    <t>vssocarrasq@correo.udistrital.edu.co</t>
  </si>
  <si>
    <t>vsquintero@yahoo.com</t>
  </si>
  <si>
    <t>JUAN GILBERTO GARCIA LOPEZ</t>
  </si>
  <si>
    <t>jggarcial@correo.udistrital.edu.co</t>
  </si>
  <si>
    <t>jugigalo@gmail.com</t>
  </si>
  <si>
    <t>ANTONIO RICARDO GONZALEZ TORRES</t>
  </si>
  <si>
    <t>argonzalezt@correo.udistrital.edu.co</t>
  </si>
  <si>
    <t>ricardog555@gmail.com</t>
  </si>
  <si>
    <t>FERRO BOLIVAR RICARDO ALONSO</t>
  </si>
  <si>
    <t>raferrob@correo.udistrital.edu.co</t>
  </si>
  <si>
    <t>rifer2411@hotmail.com</t>
  </si>
  <si>
    <t>AGUIRRE BUENAVENTURA EDGAR ALIRIO</t>
  </si>
  <si>
    <t>miratonera@gmail.com</t>
  </si>
  <si>
    <t>BADILLO RODRIGUEZ ANDRES</t>
  </si>
  <si>
    <t>abadillor@correo.udistrital.edu.co</t>
  </si>
  <si>
    <t>a4badillor@gmail.com</t>
  </si>
  <si>
    <t>BLANCO JORGE IGNACIO</t>
  </si>
  <si>
    <t>jblanco@correo.udistrital.edu.co</t>
  </si>
  <si>
    <t>ing.jorgeblanco@gmail.com</t>
  </si>
  <si>
    <t>CARROLL VARGAS JOEL</t>
  </si>
  <si>
    <t>jcarrollv@correo.udistrital.edu.co</t>
  </si>
  <si>
    <t>discomsystem@gmail.com</t>
  </si>
  <si>
    <t>CASANOVA CAICEDO JAIRO ANDRES</t>
  </si>
  <si>
    <t>jacasanovac@correo.udistrital.edu.co</t>
  </si>
  <si>
    <t>acasanova2010@gmail.com</t>
  </si>
  <si>
    <t>RAMON ERNESTO CORREA AMADO</t>
  </si>
  <si>
    <t>recorreaa@correo.udistrital.edu.co</t>
  </si>
  <si>
    <t>rcorrea@etb.net.co</t>
  </si>
  <si>
    <t>JIMENEZ GARZON EDWIN ALFONSO</t>
  </si>
  <si>
    <t>edajimenezg@correo.udistrital.edu.co</t>
  </si>
  <si>
    <t>eajimenezg@gmail.com</t>
  </si>
  <si>
    <t>LEON JARAMILLO DANNY FERNANDO</t>
  </si>
  <si>
    <t>dfleonj@correo.udistrital.edu.co</t>
  </si>
  <si>
    <t>dannyleonj@gmail.com</t>
  </si>
  <si>
    <t>PUERTA APONTE GABRIEL ALBERTO</t>
  </si>
  <si>
    <t>gapuertaa@correo.udistrital.edu.co</t>
  </si>
  <si>
    <t>licgapa@gmail.com</t>
  </si>
  <si>
    <t>ROCHA ARANGO DIEGO FERNANDO</t>
  </si>
  <si>
    <t>dfrochaa@udistrital.edu.co</t>
  </si>
  <si>
    <t>diegofernando24@gmail.com</t>
  </si>
  <si>
    <t>JIMENEZ PINTO GONZALO</t>
  </si>
  <si>
    <t>gjimenezp@correo.udistrital.edu.co</t>
  </si>
  <si>
    <t>gojimenez1@hotmail.com</t>
  </si>
  <si>
    <t>2017-3</t>
  </si>
  <si>
    <t>TAMARA RODRIGUEZ LEYDI JOHANNA</t>
  </si>
  <si>
    <t>ljtamarar@udistrital.edu.co</t>
  </si>
  <si>
    <t>tarolejo@gmail.com</t>
  </si>
  <si>
    <t>JUDY CAROLINA GUEVARA AMAYA</t>
  </si>
  <si>
    <t>jcguevaraa@correo.udistrital.edu.co</t>
  </si>
  <si>
    <t>judycarolina@gmail.com</t>
  </si>
  <si>
    <t>PIEDRAHITA VILLARRAGA ELKIN MAURICIO</t>
  </si>
  <si>
    <t>empiedrahitav@correo.udistrital.edu.co</t>
  </si>
  <si>
    <t>st.mauricio@hotmail.com</t>
  </si>
  <si>
    <t>GINA KATHERINE SIERRA PÁEZ</t>
  </si>
  <si>
    <t>gksierrap@correo.udistrital.edu.co</t>
  </si>
  <si>
    <t>katherinsierra@hotmail.com</t>
  </si>
  <si>
    <t>FORERO RODRIGUEZ FELIPE</t>
  </si>
  <si>
    <t>feforeror@correo.udistrital.edu.co</t>
  </si>
  <si>
    <t>pipeforero@hotmail.com</t>
  </si>
  <si>
    <t>HIGUERA CASTRO GUSTAVO ADOLFO</t>
  </si>
  <si>
    <t>gahiguerac@correo.udistrital.edu.co</t>
  </si>
  <si>
    <t>gustavohigcas@yahoo.es</t>
  </si>
  <si>
    <t>2016-3</t>
  </si>
  <si>
    <t>MARTINEZ ALAYON CARLOS ANDRES</t>
  </si>
  <si>
    <t>camartineza@correo.udistrital.edu.co</t>
  </si>
  <si>
    <t>carlosm563@gmail.com</t>
  </si>
  <si>
    <t>VELASQUEZ ROMERO NIRIYINETH HAXBLEIDY</t>
  </si>
  <si>
    <t>nhvelasquezr@correo.udistrital.edu.co</t>
  </si>
  <si>
    <t>niriyineth@live.com.ar</t>
  </si>
  <si>
    <t>2017-1</t>
  </si>
  <si>
    <t>BALAGUERA HERNANDEZ RAFAEL ENRIQUE</t>
  </si>
  <si>
    <t>rbalaguera@pedagogica.edu.co</t>
  </si>
  <si>
    <t>FORERO MARTINEZ DAVID EUGENIO</t>
  </si>
  <si>
    <t>eug_68@hotmail.com</t>
  </si>
  <si>
    <t>MANCERA LAGOS PEDRO ALEJANDRO</t>
  </si>
  <si>
    <t>pmancera@yahoo.com</t>
  </si>
  <si>
    <t>VALIENTE CRISTANCHO ADRIANA</t>
  </si>
  <si>
    <t>avcristancho@gmail.com</t>
  </si>
  <si>
    <t>2018-1</t>
  </si>
  <si>
    <t>ANGULO MORALES VICTOR DANIEL</t>
  </si>
  <si>
    <t>vdangulom@correo.udistrital.edu.co</t>
  </si>
  <si>
    <t>AVILA SANCHEZ JAIME ANTONIO</t>
  </si>
  <si>
    <t>jaaavilas@udistrital.edu.co</t>
  </si>
  <si>
    <t>jaimejaas@gmail.com</t>
  </si>
  <si>
    <t>2023-1</t>
  </si>
  <si>
    <t>SOTO CONDE DIEGO FELIPE</t>
  </si>
  <si>
    <t>scdiegof@correo.udistrital.edu.co</t>
  </si>
  <si>
    <t>difeso@gmail.com</t>
  </si>
  <si>
    <t>2019-1</t>
  </si>
  <si>
    <t>GUEVARA RIVEROS ADRIANA YOLANDA</t>
  </si>
  <si>
    <t>ayguevarar@udistrital.edu.co</t>
  </si>
  <si>
    <t>adriveros2006@hotmail.com</t>
  </si>
  <si>
    <t>REYES BONILLA LUZ YAMILE</t>
  </si>
  <si>
    <t>luzyare@gmail.com</t>
  </si>
  <si>
    <t>2021-1</t>
  </si>
  <si>
    <t>SALGADO FRANCO LIZET CAMILA</t>
  </si>
  <si>
    <t>camila.salgadof@gmail.com</t>
  </si>
  <si>
    <t>VASQUEZ SUAREZ HAROLD ANDREY</t>
  </si>
  <si>
    <t>harold869@hotmail.com</t>
  </si>
  <si>
    <t>CHAVEZ SANCHEZ RODOLFO ENRIQUE</t>
  </si>
  <si>
    <t>rechavezs@udistrital.edu.co</t>
  </si>
  <si>
    <t>rechavezs@correo.udistrital.edu.co</t>
  </si>
  <si>
    <t>GALEANO ROMERO KATHERINE JOHANNA</t>
  </si>
  <si>
    <t>kjgaleanor@udistrital.edu.co</t>
  </si>
  <si>
    <t>kjgr89@gmail.com</t>
  </si>
  <si>
    <t>GOMEZ SUAREZ RICARDO ALFONSO</t>
  </si>
  <si>
    <t>ragomezs@correo.udistrital.edu.co</t>
  </si>
  <si>
    <t>ragomezs@udistrital.edu.co</t>
  </si>
  <si>
    <t>QUIROZ LUIS ALEJANDRO</t>
  </si>
  <si>
    <t>luis.alejandro.quiroz@gmail.com</t>
  </si>
  <si>
    <t>JUAN CARLOS DELGADILLO BELTRAN</t>
  </si>
  <si>
    <t>ingjuandel@gmail.com</t>
  </si>
  <si>
    <t>WILMER ALBERTO FIGUEREDO RODRIGUEZ</t>
  </si>
  <si>
    <t>wilmerfr@gmail.com</t>
  </si>
  <si>
    <t>HECTOR MANUEL HERRERA HERRERA</t>
  </si>
  <si>
    <t>hetorherrera@hotmail.com</t>
  </si>
  <si>
    <t>NESTOR JAVIER RODRIGUEZ GARCIA</t>
  </si>
  <si>
    <t>nejrodriguezg@correo.udistrital.edu.co</t>
  </si>
  <si>
    <t>ing.nestor0818@gmail.com</t>
  </si>
  <si>
    <t>2019-3</t>
  </si>
  <si>
    <t>PATERNINA DURAN JESUS MANUEL</t>
  </si>
  <si>
    <t>jesus_p17@yahoo.com.ar</t>
  </si>
  <si>
    <t>RODRIGUEZ FONSECA ANDRES ALEXANDER</t>
  </si>
  <si>
    <t>aarodriguezf@gmail.com</t>
  </si>
  <si>
    <t>AGUDELO CRISTANCHO NELSON GIOVANNI</t>
  </si>
  <si>
    <t>ngagudeloc@correo.udistrital.edu.co</t>
  </si>
  <si>
    <t>nelsongiovani@gmail.com</t>
  </si>
  <si>
    <t>AGUIRRE MORENO DIEGO FERNANDO</t>
  </si>
  <si>
    <t>dfaguirrem@correo.udistrital.edu.co</t>
  </si>
  <si>
    <t>diego2281@gmail.com</t>
  </si>
  <si>
    <t>ALZATE ACUÑA GABRIEL ANDRES</t>
  </si>
  <si>
    <t>gabriel.andres.alzate@gmail.com</t>
  </si>
  <si>
    <t>CAMARGO LÓPEZ JULIÁN ROLANDO</t>
  </si>
  <si>
    <t>HERNANDEZ LEON ANDRES FELIPE</t>
  </si>
  <si>
    <t>afhernandezl@udistrital.edu.co</t>
  </si>
  <si>
    <t>anfeherle@hotmail.com</t>
  </si>
  <si>
    <t>LOPEZ SALAMANCA EDGAR ANDRES</t>
  </si>
  <si>
    <t>ealopezs@udistrital.edu.co</t>
  </si>
  <si>
    <t>andres.lopez.salamanca@gmail.com</t>
  </si>
  <si>
    <t>LOPEZ SANCHEZ WILSON RICARDO</t>
  </si>
  <si>
    <t>wilrilo@gmail.com</t>
  </si>
  <si>
    <t>2018-3</t>
  </si>
  <si>
    <t>MORALES VEGA TATIANA</t>
  </si>
  <si>
    <t>tmoralesv@correo.udistrital.edu.co</t>
  </si>
  <si>
    <t>tatiana.morales@transmilenio.gov.co</t>
  </si>
  <si>
    <t>MORENO MORENO ANDRES JULIAN</t>
  </si>
  <si>
    <t>andresm2.xy@gmail.com</t>
  </si>
  <si>
    <t>MUÑOZ NUÑEZ YENY KATHERINE</t>
  </si>
  <si>
    <t>yekamunu@gmail.com</t>
  </si>
  <si>
    <t>PARDO CADENA DUVAN ARLEY</t>
  </si>
  <si>
    <t>dapardoc@gmail.com</t>
  </si>
  <si>
    <t>PEÑA CARO WILSON JAVIER</t>
  </si>
  <si>
    <t>wjpenac@correo.udistrital.edu.co</t>
  </si>
  <si>
    <t>wiljha@hotmail.com</t>
  </si>
  <si>
    <t>PEREZ ALMEIDA SERGIO ALEJANDRO</t>
  </si>
  <si>
    <t>sapereza@udistrital.edu.co</t>
  </si>
  <si>
    <t>sergio9012@hotmail.com</t>
  </si>
  <si>
    <t>ZARTA ESCOBAR FELIPE ANDRES</t>
  </si>
  <si>
    <t>fazartae@correo.udistrital.edu.co</t>
  </si>
  <si>
    <t>felipe.zarta@gmail.com</t>
  </si>
  <si>
    <t>BERNAL ARIZA CRISTIAN CAMILO</t>
  </si>
  <si>
    <t>ccbernala@correo.udistrital.edu.co</t>
  </si>
  <si>
    <t>cristianbariza@gmail.com</t>
  </si>
  <si>
    <t>CARREÑO PEREZ JUAN CARLOS</t>
  </si>
  <si>
    <t>jccarrenop@correo.udistrital.edu.co</t>
  </si>
  <si>
    <t>juan_carlos_carreno@hotmail.com</t>
  </si>
  <si>
    <t>CORREA SANCHEZ LEWYS</t>
  </si>
  <si>
    <t>lcorreas@udistrital.edu.co</t>
  </si>
  <si>
    <t>lew.correa@gmail.com</t>
  </si>
  <si>
    <t>DAVILA ROJAS MIGUEL ANGEL</t>
  </si>
  <si>
    <t>miadavilar@correo.udistrital.edu.co</t>
  </si>
  <si>
    <t>GONZALEZ PRIETO FREDY ALEXANDER</t>
  </si>
  <si>
    <t>freagonzalezp@udistrital.edu.co</t>
  </si>
  <si>
    <t>fredyagonzalez@hotmail.com</t>
  </si>
  <si>
    <t>GOMEZ ACERO JAIRO CESAR</t>
  </si>
  <si>
    <t>jcgomeza@correo.udistrital.edu.co</t>
  </si>
  <si>
    <t>jacegom@gmail.com</t>
  </si>
  <si>
    <t>ROJAS PULIDO STIVEN ORLANDO</t>
  </si>
  <si>
    <t>sorojasp@udistrital.edu.co</t>
  </si>
  <si>
    <t>SERRANO MOLINA YOHEL RENE</t>
  </si>
  <si>
    <t>yrserranom@correo.udistrital.edu.co</t>
  </si>
  <si>
    <t>yorry_12@hotmail.com</t>
  </si>
  <si>
    <t>BELTRÁN GARCIA JORGE ELIECER</t>
  </si>
  <si>
    <t>jebeltrang@udistrital.edu.co</t>
  </si>
  <si>
    <t>jotaebeltrangarcia@gmail.com</t>
  </si>
  <si>
    <t>CUBILLOS SÁNCHEZ RAFAEL ORLANDO</t>
  </si>
  <si>
    <t>rocubilloss@udistrital.edu.co</t>
  </si>
  <si>
    <t>rafacubillos@gmail.com</t>
  </si>
  <si>
    <t>OTALORA RIVERO GEOVANNY RENE</t>
  </si>
  <si>
    <t>grotalorar@correo.udistrital.edu.co</t>
  </si>
  <si>
    <t>gotalora68@gmail.com</t>
  </si>
  <si>
    <t>RODRÍGUEZ CEDIEL ANA CAROLINA</t>
  </si>
  <si>
    <t>ancrodriguezc@udistrital.edu.co</t>
  </si>
  <si>
    <t>anacarolinarodriguezcediel@gmail.com</t>
  </si>
  <si>
    <t>RODRIGUEZ RODRÍGUEZ GUSTAVO ALONSO</t>
  </si>
  <si>
    <t>garodriguezr@correo.udistrital.edu.co</t>
  </si>
  <si>
    <t>garcaj@hotmail.com</t>
  </si>
  <si>
    <t>TORRES CASTILLO CAMILO ANDRÉS</t>
  </si>
  <si>
    <t>camito113@gmail.com</t>
  </si>
  <si>
    <t>JOSE AGUSTIN AREVALO SILVA</t>
  </si>
  <si>
    <t>jaarevalos@udistrital.edu.co</t>
  </si>
  <si>
    <t>agustin.arevalo@gmail.com</t>
  </si>
  <si>
    <t>PINEDA TORRES DIEGO EDUARDO</t>
  </si>
  <si>
    <t>depinedat@correo.udistrital.edu.co</t>
  </si>
  <si>
    <t>deduardopineda@gmail.com</t>
  </si>
  <si>
    <t>ROBAYO MENDEZ GUSTAVO ALEJANDRO</t>
  </si>
  <si>
    <t>garobayom@udistrital.edu.co</t>
  </si>
  <si>
    <t>tavoalejo@gmail.com</t>
  </si>
  <si>
    <t>2022-3</t>
  </si>
  <si>
    <t>CASTAÑEDA MOSCOSO EDWARD LENIN</t>
  </si>
  <si>
    <t>elcastanedam@correo.udistrital.edu.co</t>
  </si>
  <si>
    <t>boogiedca@gmail.com</t>
  </si>
  <si>
    <t>DE LEON ARTURO VERBEL</t>
  </si>
  <si>
    <t>averbeldl@correo.udistrital.edu.co</t>
  </si>
  <si>
    <t>arturo.verbel@gmail.com</t>
  </si>
  <si>
    <t>QUEVEDO VERA MARÍA ALEJANDRA</t>
  </si>
  <si>
    <t>maquevedov@udistrital.edu.co</t>
  </si>
  <si>
    <t>alejandra.quevedo85@gmail.com</t>
  </si>
  <si>
    <t>2024-3</t>
  </si>
  <si>
    <t>ARIAS FORERO JUAN DAVID</t>
  </si>
  <si>
    <t>jdariasforero2008@gmail.com</t>
  </si>
  <si>
    <t>CORZO MUÑOZ MIGUEL ANGEL</t>
  </si>
  <si>
    <t>macorzom@udistrital.edu.co</t>
  </si>
  <si>
    <t>mcorzom@gmail.com</t>
  </si>
  <si>
    <t>LUIS ALFREDO NARVAEZ JARAMILLO</t>
  </si>
  <si>
    <t>lnarvaezj@hotmail.com</t>
  </si>
  <si>
    <t>PEÑA ARISMENDI SANTIAGO ANDRES</t>
  </si>
  <si>
    <t>saapenaa@udistrital.edu.co</t>
  </si>
  <si>
    <t>saapenaa@correo.udistrital.edu.co</t>
  </si>
  <si>
    <t>RAMIREZ PÉREZ NATALIA ANDREA</t>
  </si>
  <si>
    <t>nata.r_1212@hotmail.com</t>
  </si>
  <si>
    <t>ROMERO ORTEGA RAUL</t>
  </si>
  <si>
    <t>rromeroo@udistrital.edu.co</t>
  </si>
  <si>
    <t>rromeroo7519@gmail.com</t>
  </si>
  <si>
    <t>SUAREZ ROLDAN MARCO ALEXANDER</t>
  </si>
  <si>
    <t>maasuarezr@correo.udistrital.edu.co</t>
  </si>
  <si>
    <t>masuarez90@misena.edu.co</t>
  </si>
  <si>
    <t>SUAREZ ROLDAN JUAN SEBASTIAN</t>
  </si>
  <si>
    <t>jssuarezr@udistrital.edu.co</t>
  </si>
  <si>
    <t>sebas.suarez.roldan@gmail.com</t>
  </si>
  <si>
    <t>DIAZ CARRETERO EDUARDO ALFONSO</t>
  </si>
  <si>
    <t>edadiazc@correo.udistrital.edu.co</t>
  </si>
  <si>
    <t>eadiaz96@gmail.com</t>
  </si>
  <si>
    <t>BARRETO SÁNCHEZ FABIAN DAVID</t>
  </si>
  <si>
    <t>fdbarretos@correo.udistrital.edu.co</t>
  </si>
  <si>
    <t>fabibeto11@hotmail.com</t>
  </si>
  <si>
    <t>BERMÚDEZ BUCURÚ BRAYAN ANDRÉS</t>
  </si>
  <si>
    <t>babermudezb@udistrital.edu.co</t>
  </si>
  <si>
    <t>babermudezb1@gmail.com</t>
  </si>
  <si>
    <t>BELLO GONZALEZ IVAN DARIO</t>
  </si>
  <si>
    <t>idbellog@udistrital.edu.co</t>
  </si>
  <si>
    <t>idbellog@gmail.com</t>
  </si>
  <si>
    <t>LOPEZ GARCÍA ANDRES CAMILO</t>
  </si>
  <si>
    <t>anclopezg@udistrital.edu.co</t>
  </si>
  <si>
    <t>anclopezg@correo.udistrital.edu.co</t>
  </si>
  <si>
    <t>RENGIFO GÜIZA WILMAR NEISER</t>
  </si>
  <si>
    <t>wnrengifog@udistrital.edu.co</t>
  </si>
  <si>
    <t>wilrengui@gmail.com</t>
  </si>
  <si>
    <t>ESPINEL GÓMEZ DIEGO FERNANDO</t>
  </si>
  <si>
    <t>dfespinelg@udistrital.edu.co</t>
  </si>
  <si>
    <t>espineldago@gmail.com</t>
  </si>
  <si>
    <t>2026-1</t>
  </si>
  <si>
    <t>RODRÍGUEZ HERNÁNDEZ ANGIE PATRICIA</t>
  </si>
  <si>
    <t>anprodriguezh@udistrital.edu.co</t>
  </si>
  <si>
    <t>ROMERO PEÑA MANUEL</t>
  </si>
  <si>
    <t>mromerop@udistrital.edu.co</t>
  </si>
  <si>
    <t>mromerop@correo.udistrital.edu.co</t>
  </si>
  <si>
    <t>CASTILLO CRUZ JUAN DIEGO</t>
  </si>
  <si>
    <t>judcastilloc@correo.udistrital.edu.co</t>
  </si>
  <si>
    <t>BOJACA CABRA JOHN NEIVER</t>
  </si>
  <si>
    <t>jnbojacac@udistrital.edu.co</t>
  </si>
  <si>
    <t>john.bojaca@gmail.com</t>
  </si>
  <si>
    <t>TRIANA USECHE JORDAN CAMILO</t>
  </si>
  <si>
    <t>jctrianau@udistrital.edu.co</t>
  </si>
  <si>
    <t>jordan49@hotmail.com</t>
  </si>
  <si>
    <t>PENA SALGADO PIERRE AUGUSTO</t>
  </si>
  <si>
    <t>VARGAS ROJAS HUBER ALVARO</t>
  </si>
  <si>
    <t>havargasr@correo.udistrital.edu.co</t>
  </si>
  <si>
    <t>havargasr@estudiante.udistrital.edu.co</t>
  </si>
  <si>
    <t>OLAYA ALDANA SHEYLA BELEN</t>
  </si>
  <si>
    <t>KING LOBO RICARDO JAVIER</t>
  </si>
  <si>
    <t>rcdking@yahoo.com</t>
  </si>
  <si>
    <t>MUNOZ CANON NORBEY DANILO</t>
  </si>
  <si>
    <t>ndmunozc@correo.udistrital.edu.co</t>
  </si>
  <si>
    <t>SIERRA FORERO BRAYAN LEONARDO</t>
  </si>
  <si>
    <t>brayansierraf97@gmail.com</t>
  </si>
  <si>
    <t>BORDA CASAS OSCAR FERNANDO</t>
  </si>
  <si>
    <t>oscarfbordac@gmail.com</t>
  </si>
  <si>
    <t>RESTREPO CRIOLLO CARLOS MARIO</t>
  </si>
  <si>
    <t>cmrestrepoc@correo.udistrital.edu.co</t>
  </si>
  <si>
    <t>aramirez@sic.gov.co</t>
  </si>
  <si>
    <t>tatymove@gmail.com</t>
  </si>
  <si>
    <t>ALVAREZ RAMIREZ CARLOS ANDRES</t>
  </si>
  <si>
    <t>andressynapsis@gmail.com</t>
  </si>
  <si>
    <t>DIAZ RODRIGUEZ WILMAR</t>
  </si>
  <si>
    <t>wdiazr@correo.udistrital.edu.co</t>
  </si>
  <si>
    <t>wilmardiazr@gmail.com</t>
  </si>
  <si>
    <t>PACHON PINZON JHON ALEXANDER</t>
  </si>
  <si>
    <t>john.pachon.p@gmail.com</t>
  </si>
  <si>
    <t>CRUZ MANRIQUE CAMILO ANDRES</t>
  </si>
  <si>
    <t>ingenierocamilocruz@gmail.com</t>
  </si>
  <si>
    <t>RUIZ MELO ALEJANDRO</t>
  </si>
  <si>
    <t>alejandro_ruiz_m@hotmail.com</t>
  </si>
  <si>
    <t>MUÑOZ RUBIO OSWALDO</t>
  </si>
  <si>
    <t>omunozr@correo.udistrital.edu.co</t>
  </si>
  <si>
    <t>oszo81@hotmail.com</t>
  </si>
  <si>
    <t>GALINDO CALDERON CATALINA</t>
  </si>
  <si>
    <t>cgalindoc@udistrital.edu.co</t>
  </si>
  <si>
    <t>catalina.galindoc@gmail.com</t>
  </si>
  <si>
    <t>OSORIO GOMEZ HENRY MAURICIO</t>
  </si>
  <si>
    <t>hmosoriog@correo.udistrital.edu.co</t>
  </si>
  <si>
    <t>ing.mauricio.187@hotmail.com</t>
  </si>
  <si>
    <t>CASTILLO JOHAN SEBASTIAN</t>
  </si>
  <si>
    <t>secastilloj@correo.udistrital.edu.co</t>
  </si>
  <si>
    <t>jhoanc17@gmail.com</t>
  </si>
  <si>
    <t>GUERRERO CASTRO JUAN DAVID</t>
  </si>
  <si>
    <t>jdguerreroc@correo.udistrital.edu.co</t>
  </si>
  <si>
    <t>jdavidguerrerocas@gmail.com</t>
  </si>
  <si>
    <t>MONROY MACHADO DAVID</t>
  </si>
  <si>
    <t>dmonroym@udistrital.edu.co</t>
  </si>
  <si>
    <t>david.monroy.machado@gmail.com</t>
  </si>
  <si>
    <t>SUAREZ MURCIA NESTOR LEONARDO</t>
  </si>
  <si>
    <t>nlsuarezm@correo.udistrital.edu.co</t>
  </si>
  <si>
    <t>ing.leonardo.suarez@gmail.com</t>
  </si>
  <si>
    <t>APONTE BERMUDEZ DIANA MILENA</t>
  </si>
  <si>
    <t>anaid1202@hotmail.com</t>
  </si>
  <si>
    <t>MUÑOZ CHAVEZ DAVID</t>
  </si>
  <si>
    <t>davidmuoz@gmail.com</t>
  </si>
  <si>
    <t>PABON LOPEZ ABEL</t>
  </si>
  <si>
    <t>apabonl@correo.udistrital.edu.co</t>
  </si>
  <si>
    <t>ing_pabon@yahoo.es</t>
  </si>
  <si>
    <t>RODRIGUEZ QUEVEDO LUISA PAULINA</t>
  </si>
  <si>
    <t>lprodriguezq@correo.udistrital.edu.co</t>
  </si>
  <si>
    <t>luparoque@gmail.com</t>
  </si>
  <si>
    <t>SIERRA BUITRAGO STEPHANIE JULIETH</t>
  </si>
  <si>
    <t>sjsierrab@correo.udistrital.edu.co</t>
  </si>
  <si>
    <t>stephanie.sierrab@gmail.com</t>
  </si>
  <si>
    <t>RUIZ CRUZ JESUS ALBERTO</t>
  </si>
  <si>
    <t>ruizcruzalberto@gmail.com</t>
  </si>
  <si>
    <t>CAMILO RAMIREZ ARDILA</t>
  </si>
  <si>
    <t>camramirez2@hotmail.com</t>
  </si>
  <si>
    <t>NIÑO RIVERA JUAN JOSE</t>
  </si>
  <si>
    <t>jnino82@hotmail.com</t>
  </si>
  <si>
    <t>V - En renovación de matrícula - Vacaciones</t>
  </si>
  <si>
    <t>MORENO REINA JOSE MIGUEL</t>
  </si>
  <si>
    <t>En renovación de matrícula - Vacaciones</t>
  </si>
  <si>
    <t>jmmorenor@udistrital.edu.co</t>
  </si>
  <si>
    <t>jose.moreno.ing@gmail.com</t>
  </si>
  <si>
    <t>TORRES RODRIGUEZ JENIFER ANDREA</t>
  </si>
  <si>
    <t>jeatorresr@udistrital.edu.co</t>
  </si>
  <si>
    <t>jeatorresr@correo.udistrital.edu.co</t>
  </si>
  <si>
    <t>OVIEDO PERDOMO JUAN PABLO</t>
  </si>
  <si>
    <t>jpoviedop@udistrital.edu.co</t>
  </si>
  <si>
    <t>MARTINEZ MORALES BRENDA MELISSA</t>
  </si>
  <si>
    <t>bmmartinezm@udistrital.edu.co</t>
  </si>
  <si>
    <t>ing.brendam3@outlook.com</t>
  </si>
  <si>
    <t>RODRIGUEZ RODRIGUEZ CLAUDIA FERNANDA</t>
  </si>
  <si>
    <t>cfrodriguezr@udistrital.edu.co</t>
  </si>
  <si>
    <t>claudifer1745@gmail.com</t>
  </si>
  <si>
    <t>BONILLA OCAMPO DIEGO ALEXANDER</t>
  </si>
  <si>
    <t>dabonillao@udistrital.edu.co</t>
  </si>
  <si>
    <t>dabiochemistry@gmail.com</t>
  </si>
  <si>
    <t>PAEZ PISCO SAMUEL</t>
  </si>
  <si>
    <t>spaezp@correo.udistrital.edu.co</t>
  </si>
  <si>
    <t>samuel.paez@fiscalia.gov.co</t>
  </si>
  <si>
    <t>RODRIGUEZ RENGIFO JORGE</t>
  </si>
  <si>
    <t>jrodriguezr@udistrital.edu.co</t>
  </si>
  <si>
    <t>jorge.rodriguez@engineer.com</t>
  </si>
  <si>
    <t>BECERRA FINO JOSE YASIS</t>
  </si>
  <si>
    <t>jybecerraf@correo.udistrital.edu.co</t>
  </si>
  <si>
    <t>jybecerra@gmail.com</t>
  </si>
  <si>
    <t>LOPEZ HERNANDEZ HERLEDY</t>
  </si>
  <si>
    <t>RIVERO PEREZ JUAN CARLOS</t>
  </si>
  <si>
    <t>jucriverop@correo.udistrital.edu.co</t>
  </si>
  <si>
    <t>jucriverop@estudiante.udistrital.edu.co</t>
  </si>
  <si>
    <t>ACERO SOTO DIEGO MAURICIO</t>
  </si>
  <si>
    <t>dmaceros@correo.udistrital.edu.co</t>
  </si>
  <si>
    <t>dmaceros@estudiante.udistrital.edu.co</t>
  </si>
  <si>
    <t>CORTES LOPEZ HERNAN ANDRES</t>
  </si>
  <si>
    <t>CUBILLOS SANCHEZ RAFAEL ORLANDO</t>
  </si>
  <si>
    <t>rocubilloss@estudiante.udistrital.edu.co</t>
  </si>
  <si>
    <t>LOPEZ QUINTERO JOSE FERNANDO</t>
  </si>
  <si>
    <t>jflopezq@correo.udistrital.edu.co</t>
  </si>
  <si>
    <t>jflopezq@estudiante.udistrital.edu.co</t>
  </si>
  <si>
    <t>MARTINEZ WITTINGHAN OSCAR H.</t>
  </si>
  <si>
    <t>ohmartinezw@correo.udistrital.edu.co</t>
  </si>
  <si>
    <t>ohmartinezw@estudiante.udistrital.edu.co</t>
  </si>
  <si>
    <t>MUSKUS RINCON ELKIN GABRIEL</t>
  </si>
  <si>
    <t>PAVA DIAZ ROBERTO ALBEIRO</t>
  </si>
  <si>
    <t>PUENTES PARAMO RAFAEL MAURICIO</t>
  </si>
  <si>
    <t>rmpuentesp@correo.udistrital.edu.co</t>
  </si>
  <si>
    <t>rpuentes2000@gmail.com</t>
  </si>
  <si>
    <t>ARDILA NIÑO YAZMIN ALEXANDRA</t>
  </si>
  <si>
    <t>yaardilan@udistrital.edu.co</t>
  </si>
  <si>
    <t>yaardilan@estudiante.udistrital.edu.co</t>
  </si>
  <si>
    <t>DIEZ JIMENEZ GABRIEL HORACIO</t>
  </si>
  <si>
    <t>HERRERA BOLIVAR CLAUDIA YANETH</t>
  </si>
  <si>
    <t>cyherrerab@correo.udistrital.edu.co</t>
  </si>
  <si>
    <t>cyherrerab@estudiante.udistrital.edu.co</t>
  </si>
  <si>
    <t>MONTENEGRO NARVAEZ CARLOS E.</t>
  </si>
  <si>
    <t>SANCHEZ CASTILLO CESAR A.</t>
  </si>
  <si>
    <t>CASTELLANOS CONTRERAS JOSE ULISES</t>
  </si>
  <si>
    <t>jucastellanosc@correo.udistrital.edu.co</t>
  </si>
  <si>
    <t>jucastellanosc@estudiante.udistrital.edu.co</t>
  </si>
  <si>
    <t>CASANOVA CALIMAN PAOLA ANDREA</t>
  </si>
  <si>
    <t>pacasanovac@correo.udistrital.edu.co</t>
  </si>
  <si>
    <t>pacasanovac@estudiante.udistrital.edu.co</t>
  </si>
  <si>
    <t>CUAYAL MUÑOZ JESUS OSWALDO</t>
  </si>
  <si>
    <t>jocuayalm@correo.udistrital.edu.co</t>
  </si>
  <si>
    <t>jocuayalm@estudiante.udistrital.edu.co</t>
  </si>
  <si>
    <t>DELGADO PEÑA PEDRO</t>
  </si>
  <si>
    <t>pdelgadop@correo.udistrital.edu.co</t>
  </si>
  <si>
    <t>pdelgadop@estudiante.udistrital.edu.co</t>
  </si>
  <si>
    <t>GARCIA RIAÑO JERONIMO</t>
  </si>
  <si>
    <t>jegarciar@correo.udistrital.edu.co</t>
  </si>
  <si>
    <t>jegarciar@estudiante.udistrital.edu.co</t>
  </si>
  <si>
    <t>GOMEZ HERAZO TANIA</t>
  </si>
  <si>
    <t>tgomezh@correo.udistrital.edu.co</t>
  </si>
  <si>
    <t>tgomezh@estudiante.udistrital.edu.co</t>
  </si>
  <si>
    <t>MALDONADO ALARCON JAIRO ORLANDO</t>
  </si>
  <si>
    <t>jaomaldonadoa@correo.udistrital.edu.co</t>
  </si>
  <si>
    <t>jaomaldonadoa@estudiante.udistrital.edu.co</t>
  </si>
  <si>
    <t>MARTINEZ MUÑOZ LUIS CARLOS</t>
  </si>
  <si>
    <t>lucmartinezm@correo.udistrital.edu.co</t>
  </si>
  <si>
    <t>lucmartinezm@estudiante.udistrital.edu.co</t>
  </si>
  <si>
    <t>MELO OSPINA LUIS ALFONSO</t>
  </si>
  <si>
    <t>lameloo@correo.udistrital.edu.co</t>
  </si>
  <si>
    <t>lameloo@estudiante.udistrital.edu.co</t>
  </si>
  <si>
    <t>MORENO DELGADO OSCAR JAVIER</t>
  </si>
  <si>
    <t>ojmorenod@correo.udistrital.edu.co</t>
  </si>
  <si>
    <t>richardibague@hotmail.com</t>
  </si>
  <si>
    <t>REYES MOZO JOSE VICENTE</t>
  </si>
  <si>
    <t>jvreyesr@correo.udistrital.edu.co</t>
  </si>
  <si>
    <t>jovireyesm@yahoo.com</t>
  </si>
  <si>
    <t>RUBIO PLAZAS JAVIER HUMBERTO</t>
  </si>
  <si>
    <t>jhrubiop@correo.udistrital.edu.co</t>
  </si>
  <si>
    <t>jhrubiop@estudiante.udistrital.edu.co</t>
  </si>
  <si>
    <t>GRANADOS HERNANDEZ LUIS ENRIQUE</t>
  </si>
  <si>
    <t>legranadosh@correo.udistrital.edu.co</t>
  </si>
  <si>
    <t>legranadosh@estudiante.udistrital.edu.co</t>
  </si>
  <si>
    <t>ARCINIEGAS HERRERA DANIEL EDUARDO</t>
  </si>
  <si>
    <t>dearciniegash@correo.udistrital.edu.co</t>
  </si>
  <si>
    <t>dearciniegash@estudiante.udistrital.edu.co</t>
  </si>
  <si>
    <t>AREVALO PEÑA JAVIER ENRIQUE</t>
  </si>
  <si>
    <t>BARBOSA GUERRERO LUGO MANUEL</t>
  </si>
  <si>
    <t>BOLAÑOS SALAZAR MILTON CESAR</t>
  </si>
  <si>
    <t>mcbolanoss@correo.udistrital.edu.co</t>
  </si>
  <si>
    <t>mcbolanoss@estudiante.udistrital.edu.co</t>
  </si>
  <si>
    <t>CRUZ DIAZ OMAR EDUARDO</t>
  </si>
  <si>
    <t>oecruzd@correo.udistrital.edu.co</t>
  </si>
  <si>
    <t>oecruzd@estudiante.udistrital.edu.co</t>
  </si>
  <si>
    <t>GALLO ROMERO JYMI ALEXANDER</t>
  </si>
  <si>
    <t>jymagallor@correo.udistrital.edu.co</t>
  </si>
  <si>
    <t>jymagallor@estudiante.udistrital.edu.co</t>
  </si>
  <si>
    <t>GALINDO CEPEDA WILLIAM FRANCISCO</t>
  </si>
  <si>
    <t>wfgalindoc@correo.udistrital.edu.co</t>
  </si>
  <si>
    <t>wfgalindoc@estudiante.udistrital.edu.co</t>
  </si>
  <si>
    <t>GRANDA MORENO MARLON FABIAN</t>
  </si>
  <si>
    <t>mfgranadam@correo.udistrital.edu.co</t>
  </si>
  <si>
    <t>mar_gran2003@yahoo.com.ar</t>
  </si>
  <si>
    <t>GUTIERREZ CUERVO MANUEL ALEJANDRO</t>
  </si>
  <si>
    <t>gcmanuela@udistrital.edu.co</t>
  </si>
  <si>
    <t>HOLGUIN OLIVEROS ERIKA PAOLA</t>
  </si>
  <si>
    <t>epholguino@correo.udistrital.edu.co</t>
  </si>
  <si>
    <t>epholguino@estudiante.udistrital.edu.co</t>
  </si>
  <si>
    <t>LUNA CASTAÑEDA JOSE MAURICIO</t>
  </si>
  <si>
    <t>jmlunac@correo.udistrital.edu.co</t>
  </si>
  <si>
    <t>jmlunac@estudiante.udistrital.edu.co</t>
  </si>
  <si>
    <t>MONCADA MENDEZ GERMAN</t>
  </si>
  <si>
    <t>gmoncadam@correo.udistrital.edu.co</t>
  </si>
  <si>
    <t>gmoncadam@estudiante.udistrital.edu.co</t>
  </si>
  <si>
    <t>PADILLA GALEANO WALTER LEONARDO</t>
  </si>
  <si>
    <t>wlpadillag@correo.udistrital.edu.co</t>
  </si>
  <si>
    <t>wlpadillag@estudiante.udistrital.edu.co</t>
  </si>
  <si>
    <t>RAMIREZ PINILLA EDGAR ALFONSO</t>
  </si>
  <si>
    <t>earamirezp@correo.udistrital.edu.co</t>
  </si>
  <si>
    <t>earamirezp@estudiante.udistrital.edu.co</t>
  </si>
  <si>
    <t>ROJAS LOMBANA MARIA CLEMENCIA</t>
  </si>
  <si>
    <t>BUITRAGO MONDRAGON PEDRO PABLO</t>
  </si>
  <si>
    <t>ppbuitragom@correo.udistrital.edu.co</t>
  </si>
  <si>
    <t>ppbuitragom@estudiante.udistrital.edu.co</t>
  </si>
  <si>
    <t>CHICO VARGAS DIANA CAROLINA</t>
  </si>
  <si>
    <t>dcchicov@correo.udistrital.edu.co</t>
  </si>
  <si>
    <t>dcchicov@estudiante.udistrital.edu.co</t>
  </si>
  <si>
    <t>CLAVIJO CASTRO LUIS GABRIEL</t>
  </si>
  <si>
    <t>lgclavijoc@correo.udistrital.edu.co</t>
  </si>
  <si>
    <t>lgclavijoc@estudiante.udistrital.edu.co</t>
  </si>
  <si>
    <t>COBA TORRES OSBEY ROBERTO</t>
  </si>
  <si>
    <t>orcobat@correo.udistrital.edu.co</t>
  </si>
  <si>
    <t>orcobat@estudiante.udistrital.edu.co</t>
  </si>
  <si>
    <t>HENAO PILPUD JOHN EDUARD</t>
  </si>
  <si>
    <t>jomlunac@correo.udistrital.edu.co</t>
  </si>
  <si>
    <t>jomlunac@estudiante.udistrital.edu.co</t>
  </si>
  <si>
    <t>QUIÑONEZ BONILLA FABIAN ALEXANDER</t>
  </si>
  <si>
    <t>faquinonezb@correo.udistrital.edu.co</t>
  </si>
  <si>
    <t>faquinonezb@estudiante.udistrital.edu.co</t>
  </si>
  <si>
    <t>RODRIGUEZ PIRATEQUE GERMAN</t>
  </si>
  <si>
    <t>TAPIA DUARTE LUCELLY</t>
  </si>
  <si>
    <t>lutapiad@correo.udistrital.edu.co</t>
  </si>
  <si>
    <t>lucelly_tap@yahoo.es</t>
  </si>
  <si>
    <t>ARDILA SUAREZ ANDRES MAURICIO</t>
  </si>
  <si>
    <t>amardilas@correo.udistrital.edu.co</t>
  </si>
  <si>
    <t>amardilas@estudiante.udistrital.edu.co</t>
  </si>
  <si>
    <t>CASTIBLANCO VILLAMIL LUIS EDUARDO</t>
  </si>
  <si>
    <t>lecastiblancov@correo.udistrital.edu.co</t>
  </si>
  <si>
    <t>lecastiblancov@estudiante.udistrital.edu.co</t>
  </si>
  <si>
    <t>DIAZ GARCIA CESAR AUGUSTO</t>
  </si>
  <si>
    <t>ceadiazg@correo.udistrital.edu.co</t>
  </si>
  <si>
    <t>cesar.diazga@unaula.edu.co</t>
  </si>
  <si>
    <t>JIMENEZ PINTO CLAUDIA</t>
  </si>
  <si>
    <t>cjimenezp@correo.udistrital.edu.co</t>
  </si>
  <si>
    <t>cjimenezp@estudiante.udistrital.edu.co</t>
  </si>
  <si>
    <t>LARA BELTRAN AGUSTIN</t>
  </si>
  <si>
    <t>alarab@correo.udistrital.edu.co</t>
  </si>
  <si>
    <t>alarab@estudiante.udistrital.edu.co</t>
  </si>
  <si>
    <t>MARTINEZ PEÑA FANNY LARITZA</t>
  </si>
  <si>
    <t>flmartinezp@correo.udistrital.edu.co</t>
  </si>
  <si>
    <t>fannylaritza@gmail.com</t>
  </si>
  <si>
    <t>HERNANDEZ MARIN JOSE FERNANDO</t>
  </si>
  <si>
    <t>jfhernandezm@correo.udistrital.edu.co</t>
  </si>
  <si>
    <t>jfhernandezm@udistrital.edu.co</t>
  </si>
  <si>
    <t>ORJUELA VIRACACHA JAIME</t>
  </si>
  <si>
    <t>jorjuelav@correo.udistrital.edu.co</t>
  </si>
  <si>
    <t>jaimeorjuela@etb.net.co</t>
  </si>
  <si>
    <t>CAMACHO ARAQUE CARLOS FABIAN</t>
  </si>
  <si>
    <t>GONZALEZ CARDENAS RENE</t>
  </si>
  <si>
    <t>rgonzalez@udistrital.edu.co</t>
  </si>
  <si>
    <t>MATULEVICH PELAEZ JORGE ALBERTO</t>
  </si>
  <si>
    <t>RODRIGUEZ CORTES JORGE LUIS</t>
  </si>
  <si>
    <t>jlrodriguezc@correo.udistrital.edu.co</t>
  </si>
  <si>
    <t>jlrodriguez120@gmail.com</t>
  </si>
  <si>
    <t>GUTIERREZ NARVAEZ JOHN JAIRO</t>
  </si>
  <si>
    <t>jjgutierrezn@correo.udistrital.edu.co</t>
  </si>
  <si>
    <t>jjgutin@yahoo.com</t>
  </si>
  <si>
    <t>JAIMES FERNANDEZ WILMAR</t>
  </si>
  <si>
    <t>wjaimesf@correo.udistrital.edu.co</t>
  </si>
  <si>
    <t>wilmar.jaimes@gmail.com</t>
  </si>
  <si>
    <t>MILLAN MENDEZ JAIRO ALONSO</t>
  </si>
  <si>
    <t>jamillanm@udistrital.edu.co</t>
  </si>
  <si>
    <t>ingjmillan@hotmail.com</t>
  </si>
  <si>
    <t>OSORIO FORERO DIEGO ALBERTO</t>
  </si>
  <si>
    <t>RAMIREZ NIÑO DIANA CRISTINA</t>
  </si>
  <si>
    <t>RESTREPO ORAMAS CARLOS ALFONSO</t>
  </si>
  <si>
    <t>RUBIANO CAMARGO DANNY MARSEL</t>
  </si>
  <si>
    <t>dmrubianoc@correo.udistrital.edu.co</t>
  </si>
  <si>
    <t>drsoft@gmail.com</t>
  </si>
  <si>
    <t>RUIZ ROJAS ANGELICA MARIA</t>
  </si>
  <si>
    <t>SANDINO POLANIA OSCAR LIBARDO</t>
  </si>
  <si>
    <t>VASQUEZ ESCAMILLA JIMENA</t>
  </si>
  <si>
    <t>jvasqueze@correo.udistrital.edu.co</t>
  </si>
  <si>
    <t>menavasqueze@gmail.com</t>
  </si>
  <si>
    <t>PERDOMO MARIN DIANA GISELLE</t>
  </si>
  <si>
    <t>ALDANA CASTELLANOS HECTOR WILLIAM</t>
  </si>
  <si>
    <t>GALLEGO RUIZ LUBEIMAR EDUARDO</t>
  </si>
  <si>
    <t>legallegor@correo.udistrital.edu.co</t>
  </si>
  <si>
    <t>lubeimar@hotmail.com</t>
  </si>
  <si>
    <t>RENTERIA GARCIA JOHAN LOODIN</t>
  </si>
  <si>
    <t>RAMIREZ SEGURA HERNAN GIOVANNI</t>
  </si>
  <si>
    <t>VASQUEZ MONTES SONIA ELENA</t>
  </si>
  <si>
    <t>sevasquezm@correo.udistrital.edu.co</t>
  </si>
  <si>
    <t>soniecita@gmail.com</t>
  </si>
  <si>
    <t>AMAYA TARAZONA CARLOS ALBERTO</t>
  </si>
  <si>
    <t>CASTRO RUSSI DIANA YADIRA</t>
  </si>
  <si>
    <t>dycastror@correo.udistrital.edu.co</t>
  </si>
  <si>
    <t>diya2829@yahoo.com</t>
  </si>
  <si>
    <t>FONSECA GUERRERO EDGAR MANUEL</t>
  </si>
  <si>
    <t>emfonsecag@correo.udistrital.edu.co</t>
  </si>
  <si>
    <t>edgarfonsecaguerrero@yahoo.es</t>
  </si>
  <si>
    <t>OCHOA SANABRIA YENIT ALEXANDRA</t>
  </si>
  <si>
    <t>yaochoas@correo.udistrital.edu.co</t>
  </si>
  <si>
    <t>yennyalexa8a@yahoo.es</t>
  </si>
  <si>
    <t>AVELLA CELY SANDY ENRIQUE</t>
  </si>
  <si>
    <t>seavellac@correo.udistrital.edu.co</t>
  </si>
  <si>
    <t>sanavella@gmail.com</t>
  </si>
  <si>
    <t>cfcamacho@gmail.com</t>
  </si>
  <si>
    <t>GARZON APONTE LUIS FERNANDO</t>
  </si>
  <si>
    <t>fercho290426@yahoo.com.mx</t>
  </si>
  <si>
    <t>FAGUA VIASUS NELSON CRISANTO</t>
  </si>
  <si>
    <t>nelson_fagua@hotmail.com</t>
  </si>
  <si>
    <t>BECERRA ESPITIA JULIAN ALFREDO</t>
  </si>
  <si>
    <t>jabecerrae@correo.udistrital.edu.co</t>
  </si>
  <si>
    <t>julian.becerra@telecom.net.co</t>
  </si>
  <si>
    <t>CORDOBA MONTENEGRO CARLOS ARIEL</t>
  </si>
  <si>
    <t>cacordobam@correo.udistrital.edu.co</t>
  </si>
  <si>
    <t>carloshariel@gmail.com</t>
  </si>
  <si>
    <t>ESCOBAR MAHECHA CRISTIAN</t>
  </si>
  <si>
    <t>FORERO ALDANA DAVID</t>
  </si>
  <si>
    <t>dforeroa@correo.udistrital.edu.co</t>
  </si>
  <si>
    <t>teleco.david@gmail.com</t>
  </si>
  <si>
    <t>JUTINICO ALARCON ANDRES LEONARDO</t>
  </si>
  <si>
    <t>aljutinicoa@correo.udistrital.edu.co</t>
  </si>
  <si>
    <t>LOPEZ FUENTES FRANCISCO</t>
  </si>
  <si>
    <t>MONTOYA OTALORA RICARDO AUGUSTO</t>
  </si>
  <si>
    <t>ramontoyao@correo.udistrital.edu.co</t>
  </si>
  <si>
    <t>ramontoya@cable.net.co</t>
  </si>
  <si>
    <t>MURILLO PEDRAZA ALEJANDRO</t>
  </si>
  <si>
    <t>almurillop@correo.udistrital.edu.co</t>
  </si>
  <si>
    <t>amurillo@fcm.org.co</t>
  </si>
  <si>
    <t>PATIÑO MARTINEZ MONICA MARITZA</t>
  </si>
  <si>
    <t>mmpatinom@correo.udistrital.edu.co</t>
  </si>
  <si>
    <t>monicamaritza@gmail.com</t>
  </si>
  <si>
    <t>PORRAS CALA FRANKLIN DIDIER</t>
  </si>
  <si>
    <t>fdporrasc@correo.udistrital.edu.co</t>
  </si>
  <si>
    <t>franklinporras@cable.net.co</t>
  </si>
  <si>
    <t>RAMIREZ SERAFINOFF HECTOR DIMITRI</t>
  </si>
  <si>
    <t>hdramirezs@correo.udistrital.edu.co</t>
  </si>
  <si>
    <t>hectordramirezs@gmail.com</t>
  </si>
  <si>
    <t>RODRIGUEZ BERNAL LEONARDO</t>
  </si>
  <si>
    <t>MAHECHA GUERRERO JAVIER ALEXANDER</t>
  </si>
  <si>
    <t>MARTINEZ MORENO HOSMAN YAITH</t>
  </si>
  <si>
    <t>MOMPHOTEZ TAVERA DOL EVEL</t>
  </si>
  <si>
    <t>PIÑARETE PIÑARETE CLAUDIA PATRICIA</t>
  </si>
  <si>
    <t>RINCON MOSQUERA NUBIA</t>
  </si>
  <si>
    <t>RODRIGUEZ PARRA ALEXANDER</t>
  </si>
  <si>
    <t>arodriguezp@correo.udistrital.edu.co</t>
  </si>
  <si>
    <t>allex59@hotmail.com</t>
  </si>
  <si>
    <t>TORRES TORRES ELMAN ROMAN</t>
  </si>
  <si>
    <t>ertorrest@correo.udistrital.edu.co</t>
  </si>
  <si>
    <t>elman.torres@gmail.com</t>
  </si>
  <si>
    <t>VARGAS PUERTO JORGE ELIECER</t>
  </si>
  <si>
    <t>VERA RAMIREZ HERNAN YESID</t>
  </si>
  <si>
    <t>ARAQUE PALMA JHON WILLIAM</t>
  </si>
  <si>
    <t>jwaraquep@correo.udistrital.edu.co</t>
  </si>
  <si>
    <t>johnaraque@hotmail.com</t>
  </si>
  <si>
    <t>ATUESTA FAJARDO DAVID ALBERTO</t>
  </si>
  <si>
    <t>darioroma12@hotmail.com</t>
  </si>
  <si>
    <t>CORRECHA RAMIREZ YOIS ANDREA</t>
  </si>
  <si>
    <t>DE LA ROSA PADILLA RODOLFO</t>
  </si>
  <si>
    <t>apocalipsi_b@yahoo.es</t>
  </si>
  <si>
    <t>GALLEGO SALDARRIAGA ARGEMIRO</t>
  </si>
  <si>
    <t>GELVEZ GARCIA NANCY YANETH</t>
  </si>
  <si>
    <t>MORENO VALENZUELA LUZ VIVIANA</t>
  </si>
  <si>
    <t>lvmorenov@correo.udistrital.edu.co</t>
  </si>
  <si>
    <t>ingluz10@yahoo.com</t>
  </si>
  <si>
    <t>MUÑOZ MARTINEZ JIMMY ARMANDO</t>
  </si>
  <si>
    <t>jamunozm@udistrital.edu.co</t>
  </si>
  <si>
    <t>jamm2050@yahoo.es</t>
  </si>
  <si>
    <t>NOGUERA VEGA LUIS ANTONIO</t>
  </si>
  <si>
    <t>lanoguerav@correo.udistrital.edu.co</t>
  </si>
  <si>
    <t>luis.noguerav@gmail.com</t>
  </si>
  <si>
    <t>ORTIZ ANDRADE MARISOL</t>
  </si>
  <si>
    <t>ingmaryortiz@hotmail.com</t>
  </si>
  <si>
    <t>ALMANZA SANDOVAL CESAR AUGUSTO</t>
  </si>
  <si>
    <t>caalmanzas@correo.udistrital.edu.co</t>
  </si>
  <si>
    <t>cesar_almanzas@hotmail.com</t>
  </si>
  <si>
    <t>BEJARANO BARRETO EDWARD HERNANDO</t>
  </si>
  <si>
    <t>edhbejaranob@correo.udistrital.edu.co</t>
  </si>
  <si>
    <t>ingedwardud@hotmail.com</t>
  </si>
  <si>
    <t>GALINDO PULIDO HECTOR HELIODORO</t>
  </si>
  <si>
    <t>hhgalindop@correo.udistrital.edu.co</t>
  </si>
  <si>
    <t>hectagoras@hotmail.com</t>
  </si>
  <si>
    <t>GAMA PEREZ WILLIAM ARTURO</t>
  </si>
  <si>
    <t>wagamap@correo.udistrital.edu.co</t>
  </si>
  <si>
    <t>wagamape@hotmail.com</t>
  </si>
  <si>
    <t>GARCIA BOHORQUEZ HENRY ERNESTO</t>
  </si>
  <si>
    <t>hegarciab@correo.udistrital.edu.co</t>
  </si>
  <si>
    <t>henrygarcibo@hotmail.com</t>
  </si>
  <si>
    <t>GOMEZ MURCIA LUIS ORLANDO</t>
  </si>
  <si>
    <t>logomezm@correo.udistrital.edu.co</t>
  </si>
  <si>
    <t>ciberpuil@yahoo.com</t>
  </si>
  <si>
    <t>GUTIERRREZ PUENTES NANCY CAROLINA</t>
  </si>
  <si>
    <t>ncgutierrrezp@correo.udistrital.edu.co</t>
  </si>
  <si>
    <t>carolinagutierrez415@hotmail.com</t>
  </si>
  <si>
    <t>MURILLO POLANIA FERNANDO ANDRES</t>
  </si>
  <si>
    <t>famurillop@correo.udistrital.edu.co</t>
  </si>
  <si>
    <t>murillofercho@hotmail.com</t>
  </si>
  <si>
    <t>jesus_p17@yahoo.com</t>
  </si>
  <si>
    <t>RODRIGUEZ MARTINEZ JAIRO ALEJANDRO</t>
  </si>
  <si>
    <t>jairorodriguez@usantotomas.edu</t>
  </si>
  <si>
    <t>TELLO CASTAÑEDA MARTHA LUCIA</t>
  </si>
  <si>
    <t>marticatello@gmail.com</t>
  </si>
  <si>
    <t>CADENA RODRIGUEZ DELIO MAURICIO</t>
  </si>
  <si>
    <t>dmcadenar@correo.udistrital.edu.co</t>
  </si>
  <si>
    <t>mauriciocadena@hotmail.com</t>
  </si>
  <si>
    <t>GAITAN REBOLLO NAYID ANTONIO</t>
  </si>
  <si>
    <t>nagaitanr@correo.udistrital.edu.co</t>
  </si>
  <si>
    <t>nanyhir@gmail.com</t>
  </si>
  <si>
    <t>GOMEZ VARGAS RICARDO CESAR</t>
  </si>
  <si>
    <t>rcgomezv@correo.udistrital.edu.co</t>
  </si>
  <si>
    <t>rcgomezv@yahoo.com</t>
  </si>
  <si>
    <t>HERNANDEZ RIAÑO JAVIER</t>
  </si>
  <si>
    <t>javhernandezr@correo.udistrital.edu.co</t>
  </si>
  <si>
    <t>savilin_h@yahoo.com</t>
  </si>
  <si>
    <t>NINO OLARTE JUAN JOSE</t>
  </si>
  <si>
    <t>jjninoo@correo.udistrital.edu.co</t>
  </si>
  <si>
    <t>juan.olarte@gmail.com</t>
  </si>
  <si>
    <t>ORTEGA CASTRO JOSE DEL CARMEN</t>
  </si>
  <si>
    <t>jdortegac@correo.udistrital.edu.co</t>
  </si>
  <si>
    <t>sysjor@hotmail.com</t>
  </si>
  <si>
    <t>PORRAS CORTES LAURA CECILIA</t>
  </si>
  <si>
    <t>lcporrasc@correo.udistrital.edu.co</t>
  </si>
  <si>
    <t>lalisporras@yahoo.com</t>
  </si>
  <si>
    <t>RODRIGUEZ BAUTISTA LUIS GABRIEL</t>
  </si>
  <si>
    <t>lgrodriguezb@udistrital.edu.co</t>
  </si>
  <si>
    <t>gaborod@gmail.com</t>
  </si>
  <si>
    <t>SANCHEZ CIFUENTES JUAQUIN FERNANDO</t>
  </si>
  <si>
    <t>joafsanchezc@udistrital.edu.co</t>
  </si>
  <si>
    <t>js012108@gmail.com</t>
  </si>
  <si>
    <t>SANCHEZ MUÑOZ JULIO CESAR</t>
  </si>
  <si>
    <t>jucsanchezm@correo.udistrital.edu.co</t>
  </si>
  <si>
    <t>julisanm@gmail.com</t>
  </si>
  <si>
    <t>SANCHEZ SERRATO JENNY CAROLINA</t>
  </si>
  <si>
    <t>jcsanchezs@correo.udistrital.edu.co</t>
  </si>
  <si>
    <t>jennyc_sanchez@yahoo.com</t>
  </si>
  <si>
    <t>VELASCO IZQUIERDO LUIS ALEJANDRO</t>
  </si>
  <si>
    <t>lavelascoi@correo.udistrital.edu.co</t>
  </si>
  <si>
    <t>luis.velasco@bsci.com</t>
  </si>
  <si>
    <t>GUEVARA PEÑA ALEXIS</t>
  </si>
  <si>
    <t>aguevarap@correo.udistrital.edu.co</t>
  </si>
  <si>
    <t>aleguepe@gmail.com</t>
  </si>
  <si>
    <t>BALLESTEROS URRUTIA IRVING EMIRO</t>
  </si>
  <si>
    <t>ieballesterosu@correo.udistrital.edu.co</t>
  </si>
  <si>
    <t>irebau@hotmail.com</t>
  </si>
  <si>
    <t>CAÑON LARA CARLOS ANDRES</t>
  </si>
  <si>
    <t>carlosacannon@hotmail.com</t>
  </si>
  <si>
    <t>CASTIBLANCO ORTIZ MARIELA</t>
  </si>
  <si>
    <t>marielacastiblanco@gmail.com</t>
  </si>
  <si>
    <t>GARCES RIOS JOSE LEANDRO</t>
  </si>
  <si>
    <t>jlgarcesr@correo.udistrital.edu.co</t>
  </si>
  <si>
    <t>leandrogarces@hotmail.com</t>
  </si>
  <si>
    <t>GIL ROMERO JUAN CARLOS</t>
  </si>
  <si>
    <t>jcgilr@correo.udistrital.edu.co</t>
  </si>
  <si>
    <t>juanktennis@gmail.com</t>
  </si>
  <si>
    <t>GONZALEZ VILLALOBOS JAIME URIEL</t>
  </si>
  <si>
    <t>jugonzalezv@correo.udistrital.edu.co</t>
  </si>
  <si>
    <t>jaimeuriel@gmail.com</t>
  </si>
  <si>
    <t>LINARES HENAO CARLOS NADRES</t>
  </si>
  <si>
    <t>cnlinaresh@correo.udistrital.edu.co</t>
  </si>
  <si>
    <t>alinares_h@hotmail.com</t>
  </si>
  <si>
    <t>GINA KATHERIN SIERRA PAEZ</t>
  </si>
  <si>
    <t>TORO BETANCOURT DIANA LORENA</t>
  </si>
  <si>
    <t>dilotobe@gmail.com</t>
  </si>
  <si>
    <t>TORRES ALVAREZ NELSON STIVET</t>
  </si>
  <si>
    <t>nstorresa@correo.udistrital.edu.co</t>
  </si>
  <si>
    <t>stivet25@hotmail.com</t>
  </si>
  <si>
    <t>ARIAS AYALA FABIAN LEONARDO</t>
  </si>
  <si>
    <t>flariasa@correo.udistrital.edu.co</t>
  </si>
  <si>
    <t>flariasayala@gmail.com</t>
  </si>
  <si>
    <t>FLOREZ CHARRY JUAN DAVID</t>
  </si>
  <si>
    <t>jdflorezc@correo.udistrital.edu.co</t>
  </si>
  <si>
    <t>juandf1@etb.net.co</t>
  </si>
  <si>
    <t>GALVIS CUELLAR WILLIAM</t>
  </si>
  <si>
    <t>wgalvisc@correo.udistrital.edu.co</t>
  </si>
  <si>
    <t>wgalvis@hotmail.com</t>
  </si>
  <si>
    <t>GARCIA SUAREZ ALDO CAMILO</t>
  </si>
  <si>
    <t>acgarcias@correo.udistrital.edu.co</t>
  </si>
  <si>
    <t>aldokmilo@yahoo.com</t>
  </si>
  <si>
    <t>GONZALEZ GIL SERGIO</t>
  </si>
  <si>
    <t>sgonzalezg@udistrital.edu.co</t>
  </si>
  <si>
    <t>sgg975@hotmail.com</t>
  </si>
  <si>
    <t>JIMENEZ REVELO OSCAR JAVIER</t>
  </si>
  <si>
    <t>ojjimenezr@correo.udistrital.edu.co</t>
  </si>
  <si>
    <t>jimenezrevelo@yahoo.com</t>
  </si>
  <si>
    <t>MURILLO NUÑEZ DAVID ALBERTO</t>
  </si>
  <si>
    <t>damurillon@udistrital.edu.co</t>
  </si>
  <si>
    <t>chino26_7@hotmail.com</t>
  </si>
  <si>
    <t>PARRA LEON ANDRES ALEXANDER</t>
  </si>
  <si>
    <t>aaparral@correo.udistrital.edu.co</t>
  </si>
  <si>
    <t>andresparraleonco@yahoo.es</t>
  </si>
  <si>
    <t>PÉREZ ACUÑA OSCAR ANDRÉS</t>
  </si>
  <si>
    <t>oapereza@correo.udistrital.edu.co</t>
  </si>
  <si>
    <t>anper81@gmail.com</t>
  </si>
  <si>
    <t>REYES MORENO CLAUDIA ISABEL</t>
  </si>
  <si>
    <t>cireyesm@correo.udistrital.edu.co</t>
  </si>
  <si>
    <t>clareismo@gmail.com</t>
  </si>
  <si>
    <t>RUIZ GUZMAN CARLOS HUMBERTO</t>
  </si>
  <si>
    <t>chruizg@correo.udistrital.edu.co</t>
  </si>
  <si>
    <t>carlos.ruiz@crcom.gov.co</t>
  </si>
  <si>
    <t>ZAPATA NUÑEZ GABRIEL VICENTE</t>
  </si>
  <si>
    <t>gvzapatan@correo.udistrital.edu.co</t>
  </si>
  <si>
    <t>gzapata@identica-sa.com</t>
  </si>
  <si>
    <t>PEREZ PACHON DIDIER GIOVANNI</t>
  </si>
  <si>
    <t>giovanotti@gmail.com</t>
  </si>
  <si>
    <t>ermis.santos@ecopetrol.com.co</t>
  </si>
  <si>
    <t>MOLINA MONGUI ANDRES MAURICIO</t>
  </si>
  <si>
    <t>ammolinam@udistrital.edu.co</t>
  </si>
  <si>
    <t>maomolina@hotmail.com</t>
  </si>
  <si>
    <t>NIÑO PALACIOS LUIS EDUARDO</t>
  </si>
  <si>
    <t>leninop@correo.udistrital.edu.co</t>
  </si>
  <si>
    <t>eduardnin@yahoo.com</t>
  </si>
  <si>
    <t>HERNANDEZ GUERRERO LUIS ENRIQUE</t>
  </si>
  <si>
    <t>lehernandezg@correo.udistrital.edu.co</t>
  </si>
  <si>
    <t>negrolehg@gmail.com</t>
  </si>
  <si>
    <t>CASTILLO MEDINA CARLOS ARTURO</t>
  </si>
  <si>
    <t>cacastillom@correo.udistrital.edu.co</t>
  </si>
  <si>
    <t>cacm.castillo@gmail.com</t>
  </si>
  <si>
    <t>BACCA QUIROGA DIANA CAROLINA</t>
  </si>
  <si>
    <t>dcbaccaq@correo.udistrital.edu.co</t>
  </si>
  <si>
    <t>dcarobacca@yahoo.es</t>
  </si>
  <si>
    <t>GOMEZ FIGUEROA MAURICIO ALEJANDRO</t>
  </si>
  <si>
    <t>maagomezf@correo.udistrital.edu.co</t>
  </si>
  <si>
    <t>mauricioagf1@hotmail.com</t>
  </si>
  <si>
    <t>LOPEZ SANCHEZ DUSTY JOSE</t>
  </si>
  <si>
    <t>dujlopezs@correo.udistrital.edu.co</t>
  </si>
  <si>
    <t>SUAREZ ROLDAN MONICA YULIETH</t>
  </si>
  <si>
    <t>mysuarezr@correo.udistrital.edu.co</t>
  </si>
  <si>
    <t>AYALA PAEZ DANIEL ALEXANDER</t>
  </si>
  <si>
    <t>danielbit2000@yahoo.es</t>
  </si>
  <si>
    <t>DOMINGUEZ VARGAS JOHANNA PATRICIA</t>
  </si>
  <si>
    <t>jdominv@yahoo.com</t>
  </si>
  <si>
    <t>SANCHEZ GARZON CRISTIAN ROLANDO</t>
  </si>
  <si>
    <t>cristianrolando@gmail.com</t>
  </si>
  <si>
    <t>AVENDAÑO BARRERA DAVIDSON</t>
  </si>
  <si>
    <t>davidson_aven_ba@hotmail.com</t>
  </si>
  <si>
    <t>CARILLO GUIZA AMALIA EMELDA</t>
  </si>
  <si>
    <t>amaliacargui@gmail.com</t>
  </si>
  <si>
    <t>CASTELLANOS MORA EIDA MARCELA</t>
  </si>
  <si>
    <t>emcmis@hotmail.com</t>
  </si>
  <si>
    <t>CISNEROS ROSERO ALVARO HUMBERTO</t>
  </si>
  <si>
    <t>humcis@gmail.com</t>
  </si>
  <si>
    <t>CRUZ GARCIA MANUEL ALEJANDRO</t>
  </si>
  <si>
    <t>macruga@gmail.com</t>
  </si>
  <si>
    <t>GAMBOA QUIROGA FAUSTO ALEXANDER</t>
  </si>
  <si>
    <t>leadhfg@gmail.com</t>
  </si>
  <si>
    <t>GUZMAN CUESTA OSCAR EDUARDO</t>
  </si>
  <si>
    <t>oscarguzman@ieee.org</t>
  </si>
  <si>
    <t>MONTAÑA CARPINTERO JAVIER ALBERTO</t>
  </si>
  <si>
    <t>javmon@cable.net.co</t>
  </si>
  <si>
    <t>MORA RODRIGUEZ CARLOS EDUARDO</t>
  </si>
  <si>
    <t>cemorar@gmail.com</t>
  </si>
  <si>
    <t>ROJAS HERNANDEZ JOSE ANDRES</t>
  </si>
  <si>
    <t>jar-hernandez@hotmail.com</t>
  </si>
  <si>
    <t>SEPULVEDA NUÑEZ DANIEL ALEJANDRO</t>
  </si>
  <si>
    <t>daniel.sepulvedanunez@gmail.com</t>
  </si>
  <si>
    <t>VILLANUEVA OCAMPO BAYRON FABIO</t>
  </si>
  <si>
    <t>bfv88@hotmail.com</t>
  </si>
  <si>
    <t>FERREIRA ANGARITA FABIO ALEXANDER</t>
  </si>
  <si>
    <t>fabiorov@gmail.com</t>
  </si>
  <si>
    <t>FUENMAYOR RIVADENEIRA GERALD BREEK</t>
  </si>
  <si>
    <t>gbfuenmayorr@udistrital.edu.co</t>
  </si>
  <si>
    <t>MONCALEANO OSPINA ARIEL RICARDO</t>
  </si>
  <si>
    <t>richardoe66@hotmail.com</t>
  </si>
  <si>
    <t>ROJAS DUARTE ORLANDO</t>
  </si>
  <si>
    <t>orlanrojas1@yahoo.es</t>
  </si>
  <si>
    <t>BERMUDEZ QUINTERO SERGIO LUIS</t>
  </si>
  <si>
    <t>slbermudezq@correo.udistrital.edu.co</t>
  </si>
  <si>
    <t>ser1028@hotmail.com</t>
  </si>
  <si>
    <t>CORTES LOZANO OSBALDO</t>
  </si>
  <si>
    <t>ocortesl@correo.udistrital.edu.co</t>
  </si>
  <si>
    <t>oscolo@yahoo.com</t>
  </si>
  <si>
    <t>GUEVARA RIVEROS ANDRES MAURICIO</t>
  </si>
  <si>
    <t>anmguevarar@correo.udistrital.edu.co</t>
  </si>
  <si>
    <t>amauric@hotmail.com</t>
  </si>
  <si>
    <t>RAMIREZ CANO ANGELICA MARIA</t>
  </si>
  <si>
    <t>anmramirezc@correo.udistrital.edu.co</t>
  </si>
  <si>
    <t>angeltbu@gmail.com</t>
  </si>
  <si>
    <t>HENAO PILPUD RAUL GEOVANI</t>
  </si>
  <si>
    <t>ge_henao@hotmail.com</t>
  </si>
  <si>
    <t>PIÑEROS MORA GIOVANNY JAVIER RICARDO</t>
  </si>
  <si>
    <t>gjpinerosm@gmail.com</t>
  </si>
  <si>
    <t>RODRIGUEZ RINCON MIGUEL YAMPOL</t>
  </si>
  <si>
    <t>myr.rod@gmail.com</t>
  </si>
  <si>
    <t>COY CHACON JORGE ANDRES</t>
  </si>
  <si>
    <t>andres.coy.math@gmail.com</t>
  </si>
  <si>
    <t>BURGOS ROJAS FABIAN ANDRES</t>
  </si>
  <si>
    <t>fabian.andres.burgos.rojas@gmail.com</t>
  </si>
  <si>
    <t>GACHARNA TRIVIÑO JUAN EDISON</t>
  </si>
  <si>
    <t>juedgt86@gmail.com</t>
  </si>
  <si>
    <t>LEON CARVAJAL JHON FREDY</t>
  </si>
  <si>
    <t>john_6691@hotmail.com</t>
  </si>
  <si>
    <t>OLIVEROS ROBAYO ORLANDO ENRIQUE</t>
  </si>
  <si>
    <t>orlando__ol@hotmail.com</t>
  </si>
  <si>
    <t>PICO RODRIGUEZ DIEGO ALEJANDRO</t>
  </si>
  <si>
    <t>dapicor@udistrital.edu.co</t>
  </si>
  <si>
    <t>diegoapico@gmail.com</t>
  </si>
  <si>
    <t>TRIANA ESPINOSA JHON JAIRO</t>
  </si>
  <si>
    <t>jjtrianae@correo.udistrital.edu.co</t>
  </si>
  <si>
    <t>jjairo.triana@gmail.com</t>
  </si>
  <si>
    <t>VARGAS HERNANDEZ ASTRID JOHANNA</t>
  </si>
  <si>
    <t>johannavha@gmail.com</t>
  </si>
  <si>
    <t>CORTES FONSECA DAVID RICAUTE</t>
  </si>
  <si>
    <t>drcortesf@udistrital.edu.co</t>
  </si>
  <si>
    <t>davidcortesfonseca@gmail.com</t>
  </si>
  <si>
    <t>FORERO RAMOS JEISSON ALBERTO</t>
  </si>
  <si>
    <t>jeaforeror@correo.udistrital.edu.co</t>
  </si>
  <si>
    <t>MUESES CUCHALA NELLY DEL ROSARIO</t>
  </si>
  <si>
    <t>nellyrmuesesc@gmail.com</t>
  </si>
  <si>
    <t>BEDOYA CASTAÑO CARLOS MAURICIO</t>
  </si>
  <si>
    <t>carlosm.bedoya@gmail.com</t>
  </si>
  <si>
    <t>ROMERO VILLANUEVA OSCAR FERNANDO</t>
  </si>
  <si>
    <t>oscar.romero.villa@gmail.com</t>
  </si>
  <si>
    <t>VELASCO ROMERO LAURA JINETH</t>
  </si>
  <si>
    <t>lvelascor@correo.udistrital.edu.co</t>
  </si>
  <si>
    <t>velasco.laura@outlook.com</t>
  </si>
  <si>
    <t>CASTELLANOS ALVARO ANDRES</t>
  </si>
  <si>
    <t>aacastellanos@correo.udistrital.edu.co</t>
  </si>
  <si>
    <t>monosony_101@hotmail.com</t>
  </si>
  <si>
    <t>BARRAGÁN VELASCO JAIME GONZALO</t>
  </si>
  <si>
    <t>jgbarraganv@correo.udistrital.edu.co</t>
  </si>
  <si>
    <t>jaime.barragan.velasco@gmail.com</t>
  </si>
  <si>
    <t>BECERRA RUIZ JEFFER IVAN</t>
  </si>
  <si>
    <t>jibecerrar@udistrital.edu.co</t>
  </si>
  <si>
    <t>jeffer.becerra@uptc.edu.co</t>
  </si>
  <si>
    <t>FRANCO PAMPLONA JOSÉ MAURICIO</t>
  </si>
  <si>
    <t>jmfrancop@correo.udistrital.edu.co</t>
  </si>
  <si>
    <t>maofrancop@hotmail.com</t>
  </si>
  <si>
    <t>MONTAÑEZ SÁENZ DIEGO ANTONIO</t>
  </si>
  <si>
    <t>damontanezs@udistrital.edu.co</t>
  </si>
  <si>
    <t>diego_m_saenz@hotmail.com</t>
  </si>
  <si>
    <t>NEUTA PALACIOS LORENA MARITZA</t>
  </si>
  <si>
    <t>lmneutap@correo.udistrital.edu.co</t>
  </si>
  <si>
    <t>loremach@gmail.com</t>
  </si>
  <si>
    <t>TORRES SÁNCHEZ JHONATAN LEONARDO</t>
  </si>
  <si>
    <t>jltorress@correo.udistrital.edu.co</t>
  </si>
  <si>
    <t>leonard_2103@hotmail.com</t>
  </si>
  <si>
    <t>AGUILAR VELÁSQUEZ WILSON JAVIER</t>
  </si>
  <si>
    <t>wjaguilarv@udistrital.edu.co</t>
  </si>
  <si>
    <t>waguilarv@ucundinamarca.edu.co</t>
  </si>
  <si>
    <t>MILLAN ORDUZ DAVID ANTONIO</t>
  </si>
  <si>
    <t>damillano@udistrital.edu.co</t>
  </si>
  <si>
    <t>damillano93@gmail.com</t>
  </si>
  <si>
    <t>RAMÍREZ JEREZ LUIS EDUARDO</t>
  </si>
  <si>
    <t>leramirezj@udistrital.edu.co</t>
  </si>
  <si>
    <t>leramirezj182@gmail.com</t>
  </si>
  <si>
    <t>MERIÑO SUAREZ IVET PATRICIA</t>
  </si>
  <si>
    <t>ipmerinos@udistrital.edu.co</t>
  </si>
  <si>
    <t>ivetpatricia@hotmail.com</t>
  </si>
  <si>
    <t>AGUDELO RAMIREZ SEBASTIAN</t>
  </si>
  <si>
    <t>seagudelor@correo.udistrital.edu.co</t>
  </si>
  <si>
    <t>sebasracers@hotmail.com</t>
  </si>
  <si>
    <t>INFANTE GARCIA JOSÉ ARGEMIRO</t>
  </si>
  <si>
    <t>jainfanteg@correo.udistrital.edu.co</t>
  </si>
  <si>
    <t>joseinfanteg@hotmail.com</t>
  </si>
  <si>
    <t>ARENILLA CEPEDA ANDRES FELIPE</t>
  </si>
  <si>
    <t>afarenillac@udistrital.edu.co</t>
  </si>
  <si>
    <t>andresare7@gmail.com</t>
  </si>
  <si>
    <t>GÓMEZ PINZÓN DIEGO ALEXANDER</t>
  </si>
  <si>
    <t>gpdiegoa@correo.udistrital.edu.co</t>
  </si>
  <si>
    <t>diegogopin@yandex.com</t>
  </si>
  <si>
    <t>PEREZ CRISTANCHO JERSON FERNANDO</t>
  </si>
  <si>
    <t>jfperezc@udistrital.edu.co</t>
  </si>
  <si>
    <t>injerson@gmail.com</t>
  </si>
  <si>
    <t>CASANOVA VARGAS ÁLVARO ANDRÉS</t>
  </si>
  <si>
    <t>aacasanovav@correo.udistrital.edu.co</t>
  </si>
  <si>
    <t>andresscasanova@hotmail.com</t>
  </si>
  <si>
    <t>GUAQUETA RESTREPO JORGE MARIO</t>
  </si>
  <si>
    <t>m_a15@hotmail.es</t>
  </si>
  <si>
    <t>HERRERA ARDILA VIVIAN BRIGITTE</t>
  </si>
  <si>
    <t>vherreraa@udistrital.edu.co</t>
  </si>
  <si>
    <t>vherreraa@correo.udistrital.edu.co</t>
  </si>
  <si>
    <t>ROMERO DUQUE OSCAR ALEJANDRO</t>
  </si>
  <si>
    <t>oaromerod@correo.udistrital.edu.co</t>
  </si>
  <si>
    <t>osar800@gmail.com</t>
  </si>
  <si>
    <t>LUNA CASTRO IVAN RODRIGO</t>
  </si>
  <si>
    <t>ivanluna@gmail.com</t>
  </si>
  <si>
    <t>GARCIA RINCON WILLIAM ROBERTO</t>
  </si>
  <si>
    <t>wrgarciar@udistrital.edu.co</t>
  </si>
  <si>
    <t>willygaa@gmail.com</t>
  </si>
  <si>
    <t>DIAZ HERRERA JAVIER GEOVANNI</t>
  </si>
  <si>
    <t>jgdiazh@correo.udistrital.edu.co</t>
  </si>
  <si>
    <t>geovann.diaz@correo.policia.gov.co</t>
  </si>
  <si>
    <t>MARTINEZ GARZON MARIA FERNANDA</t>
  </si>
  <si>
    <t>mfmartinezg@udistrital.edu.co</t>
  </si>
  <si>
    <t>mariafernanda1227@gmail.com</t>
  </si>
  <si>
    <t>AGUDELO SANTANA SERGIO IVAN</t>
  </si>
  <si>
    <t>siagudelos@udistrital.edu.co</t>
  </si>
  <si>
    <t>siagudelos@gmail.com</t>
  </si>
  <si>
    <t>BERNAL GOMEZ SEBASTIAN CAMILO</t>
  </si>
  <si>
    <t>scbernalg@correo.udistrital.edu.co</t>
  </si>
  <si>
    <t>ORJUELAROJAS MICHAEL ANDRES</t>
  </si>
  <si>
    <t>maorjuelar@correo.udistrital.edu.co</t>
  </si>
  <si>
    <t>michael_orjuela@hotmail.com</t>
  </si>
  <si>
    <t>AMAYA CORREDOR YESID</t>
  </si>
  <si>
    <t>GAMBA AGUIRRE DEISY JUDITH</t>
  </si>
  <si>
    <t>RINCON LEGUIZAMON LIZT MARICELLA</t>
  </si>
  <si>
    <t>lmrinconl@correo.udistrital.edu.co</t>
  </si>
  <si>
    <t>lmrinconl@estudiante.udistrital.edu.co</t>
  </si>
  <si>
    <t>RINCON BARRERA RAFAEL ANDRES</t>
  </si>
  <si>
    <t>AMAYA CAICEDO HERNAN G.</t>
  </si>
  <si>
    <t>hgamayac@correo.udistrital.edu.co</t>
  </si>
  <si>
    <t>hgamayac@estudiante.udistrital.edu.co</t>
  </si>
  <si>
    <t>HURTADO MOSQUERA RICARDO ALONSO</t>
  </si>
  <si>
    <t>riahurtadom@correo.udistrital.edu.co</t>
  </si>
  <si>
    <t>rahm@rocketmail.com</t>
  </si>
  <si>
    <t>MATIZ PERDOMO MAGDA CRISTINA</t>
  </si>
  <si>
    <t>MAE. EN CIENCIAS DE LA INF. Y LAS COMUNICACIONES ENFASIS EN SIS. INFOR</t>
  </si>
  <si>
    <t>FAJARDO ORTEGA OSCAR ALFREDO</t>
  </si>
  <si>
    <t>oafajardoo@correo.udistrital.edu.co</t>
  </si>
  <si>
    <t>fajardo_oscar@hotmail.com</t>
  </si>
  <si>
    <t>MEJIA ARIAS GASTON ANTONIO</t>
  </si>
  <si>
    <t>gamejiaa@correo.udistrital.edu.co</t>
  </si>
  <si>
    <t>gaston.mejia@gmail.com</t>
  </si>
  <si>
    <t>CLAVIJO CUINEME LUIS ALBERTO</t>
  </si>
  <si>
    <t>laclavijog@correo.udistrital.edu.co</t>
  </si>
  <si>
    <t>laclavijo@gmail.com</t>
  </si>
  <si>
    <t>FLOREZ FERNANDEZ HECTOR A.</t>
  </si>
  <si>
    <t>haflorezf@correo.udistrital.edu.co</t>
  </si>
  <si>
    <t>hectorarturo@yahoo.com</t>
  </si>
  <si>
    <t>GOMEZ MORA MILLER</t>
  </si>
  <si>
    <t>migomezm@correo.udistrital.edu.co</t>
  </si>
  <si>
    <t>migomezm@estudiante.udistrital.edu.co</t>
  </si>
  <si>
    <t>GUEVARA BOLAÑOS JUAN CARLOS</t>
  </si>
  <si>
    <t>jcguevarab@correo.udistrital.edu.co</t>
  </si>
  <si>
    <t>jcguevarab@udistrital.edu.co</t>
  </si>
  <si>
    <t>OSMA RODRIGUEZ JAIR EDUARDO</t>
  </si>
  <si>
    <t>jaeosmar@correo.udistrital.edu.co</t>
  </si>
  <si>
    <t>josma@007mundo.com</t>
  </si>
  <si>
    <t>SANCHEZ IPIA ALBER HAMERSSON</t>
  </si>
  <si>
    <t>ahsanchezi@correo.udistrital.edu.co</t>
  </si>
  <si>
    <t>ahsanchezi@estudiante.udistrital.edu.co</t>
  </si>
  <si>
    <t>PINZON NUÑEZ SONIA ALEXANDRA</t>
  </si>
  <si>
    <t>sapinzonn@correo.udistrital.edu.co</t>
  </si>
  <si>
    <t>spinzon@udistrital.edu.co</t>
  </si>
  <si>
    <t>MARIA LUISA BARRETO SANDOVAL</t>
  </si>
  <si>
    <t>mlbarretos@correo.udistrital.edu.co</t>
  </si>
  <si>
    <t>mbarreto93@yahoo.es</t>
  </si>
  <si>
    <t>CARDENAS QUINTERO BEITMANTT GEOVANNI</t>
  </si>
  <si>
    <t>bgcardenasq@correo.udistrital.edu.co</t>
  </si>
  <si>
    <t>bgcardenasq@estudiante.udistrital.edu.co</t>
  </si>
  <si>
    <t>OLAYA BENAVIDES AMPARO</t>
  </si>
  <si>
    <t>aolayab@correo.udistrital.edu.co</t>
  </si>
  <si>
    <t>aolayab@gmail.com</t>
  </si>
  <si>
    <t>VERA PARRA NELSON ENRIQUE</t>
  </si>
  <si>
    <t>neverap@correo.udistrital.edu.co</t>
  </si>
  <si>
    <t>neverap@estudiante.udistrital.edu.co</t>
  </si>
  <si>
    <t>RODRIGUEZ MOLANO JOSE IGNACIO</t>
  </si>
  <si>
    <t>jirodriguezm@correo.udistrital.edu.co</t>
  </si>
  <si>
    <t>JOSE RICARDO APONTE OVIEDO</t>
  </si>
  <si>
    <t>jraponteo@correo.udistrital.edu.co</t>
  </si>
  <si>
    <t>jraponte77@gmail.com</t>
  </si>
  <si>
    <t>BARRETO PERDOMO DERLY LUCIA</t>
  </si>
  <si>
    <t>dlbarretop@correo.udistrital.edu.co</t>
  </si>
  <si>
    <t>dlbarretop@gmail.com</t>
  </si>
  <si>
    <t>CANO OLIVERA LUIS EDUARDO</t>
  </si>
  <si>
    <t>lecanoo@correo.udistrital.edu.co</t>
  </si>
  <si>
    <t>luiscano77@gmail.com</t>
  </si>
  <si>
    <t>CARABALY TAPIA RENE FERNANDO</t>
  </si>
  <si>
    <t>rfcarabalyt@correo.udistrital.edu.co</t>
  </si>
  <si>
    <t>fernando.carabaly@gmail.com</t>
  </si>
  <si>
    <t>HERNANDO CASTILLO GARCIA</t>
  </si>
  <si>
    <t>hcastillog@correo.udistrital.edu.co</t>
  </si>
  <si>
    <t>hernandocastillo2004@yahoo.com</t>
  </si>
  <si>
    <t>COY REY ALDO FROILAN</t>
  </si>
  <si>
    <t>afcoyr@correo.udistrital.edu.co</t>
  </si>
  <si>
    <t>afcoyr@estudiante.udistrital.edu.co</t>
  </si>
  <si>
    <t>GUERRERO JIMENEZ DIEGO ANDRES</t>
  </si>
  <si>
    <t>diaguerreroj@correo.udistrital.edu.co</t>
  </si>
  <si>
    <t>diego.guerrero@gmail.com</t>
  </si>
  <si>
    <t>SANDOVAL CANTOR ANA EFIGENIA</t>
  </si>
  <si>
    <t>aesandovalc@correo.udistrital.edu.co</t>
  </si>
  <si>
    <t>aesandovalc@estudiante.udistrital.edu.co</t>
  </si>
  <si>
    <t>SERRATO LANUZA VICTOR EDUARDO</t>
  </si>
  <si>
    <t>veserratol@correo.udistrital.edu.co</t>
  </si>
  <si>
    <t>virrato@yahoo.com</t>
  </si>
  <si>
    <t>CESAR AUGUSTO TORRES ANDRADE</t>
  </si>
  <si>
    <t>catorresa@udistrital.edu.co</t>
  </si>
  <si>
    <t>cesartandrade@gmail.com</t>
  </si>
  <si>
    <t>FREILE BALDOVINO JOSE ROBERTO</t>
  </si>
  <si>
    <t>jfreidev@correo.udistrital.edu.co</t>
  </si>
  <si>
    <t>ing_freile@hotmail.com</t>
  </si>
  <si>
    <t>FRANCISCO JAVIER GUZMAN CIFUENTES</t>
  </si>
  <si>
    <t>fjguarinc@correo.udistrital.edu.co</t>
  </si>
  <si>
    <t>javier_guzman@ieee.org</t>
  </si>
  <si>
    <t>piapenas@correo.udistrital.edu.co</t>
  </si>
  <si>
    <t>piapenas@estudiante.udistrital.edu.co</t>
  </si>
  <si>
    <t>CAICEDO CAICEDO JULIO CESAR</t>
  </si>
  <si>
    <t>jccaicedoc@correo.udistrital.edu.co</t>
  </si>
  <si>
    <t>juliocaicedo@gmail.com</t>
  </si>
  <si>
    <t>INDIRA ROCIO DUARTE LOPEZ</t>
  </si>
  <si>
    <t>irduartel@correo.udistrital.edu.co</t>
  </si>
  <si>
    <t>indiraduarte@gmail.com</t>
  </si>
  <si>
    <t>PEDRO FABIAN PEREZ ARTEAGA</t>
  </si>
  <si>
    <t>pfpereza@correo.udistrital.edu.co</t>
  </si>
  <si>
    <t>pperezcolombia@gmail.com</t>
  </si>
  <si>
    <t>ROJAS CORDERO ALEXIS</t>
  </si>
  <si>
    <t>alerojasc@correo.udistrital.edu.co</t>
  </si>
  <si>
    <t>rojas.cordero.alexis@gmail.com</t>
  </si>
  <si>
    <t>JULIAN ROLON VIDAL</t>
  </si>
  <si>
    <t>jrolonv@correo.udistrital.edu.co</t>
  </si>
  <si>
    <t>julian.rolon@gmail.com</t>
  </si>
  <si>
    <t>BOLAÑOS GONZALEZ MANUEL ERNESTO</t>
  </si>
  <si>
    <t>mbolanosg@correo.udistrital.edu.co</t>
  </si>
  <si>
    <t>mbolanos@udenar.edu.co</t>
  </si>
  <si>
    <t>BALCEROS GARZON VICTOR MANUEL</t>
  </si>
  <si>
    <t>vmbalcerosg@correo.udistrital.edu.co</t>
  </si>
  <si>
    <t>victormanuel009@gmail.com</t>
  </si>
  <si>
    <t>LEON SANCHEZ CAMILO ALEXANDER</t>
  </si>
  <si>
    <t>caleons@correo.udistrital.edu.co</t>
  </si>
  <si>
    <t>herrleon@gmail.com</t>
  </si>
  <si>
    <t>SANTANA JIMENEZ SONIA CAROLINA</t>
  </si>
  <si>
    <t>sc.santana21@yahoo.com</t>
  </si>
  <si>
    <t>VELANDIA CASALLAS MARIA ISABEL</t>
  </si>
  <si>
    <t>mivelandiac@correo.udistrital.edu.co</t>
  </si>
  <si>
    <t>isabel.velandia@gmail.com</t>
  </si>
  <si>
    <t>ESCOBAR SARRIA RUTH DARY</t>
  </si>
  <si>
    <t>rdescobars@correo.udistrital.edu.co</t>
  </si>
  <si>
    <t>ruthdaryescobar@hotmail.com</t>
  </si>
  <si>
    <t>WILSON JOVEN SARRIA</t>
  </si>
  <si>
    <t>wjovens@correo.udistrital.edu.co</t>
  </si>
  <si>
    <t>wjoven@hotmail.com</t>
  </si>
  <si>
    <t>EDWIN EDUARDO MILLAN ROJAS</t>
  </si>
  <si>
    <t>eemillanr@correo.udistrital.edu.co</t>
  </si>
  <si>
    <t>edwineduardomillan@gmail.com</t>
  </si>
  <si>
    <t>YOIS SMITH PASCUAS RENGIFO</t>
  </si>
  <si>
    <t>yspascuasr@correo.udistrital.edu.co</t>
  </si>
  <si>
    <t>yoispascuas@hotmail.com</t>
  </si>
  <si>
    <t>VARGAS LOSADA HERIBERTO FERNANDO</t>
  </si>
  <si>
    <t>hfvargasl@correo.udistrital.edu.co</t>
  </si>
  <si>
    <t>heribertovargas@gmail.com</t>
  </si>
  <si>
    <t>VERASTEGUI GONZALEZ FREDY ANTONIO</t>
  </si>
  <si>
    <t>faverasteguig@correo.udistrital.edu.co</t>
  </si>
  <si>
    <t>fredy@uniamazonia.edu.co</t>
  </si>
  <si>
    <t>MONICA JANNETTE BARRIOS ROBAYO</t>
  </si>
  <si>
    <t>mjbarriosr@correo.udistrital.edu.co</t>
  </si>
  <si>
    <t>monijaja@gmail.com</t>
  </si>
  <si>
    <t>MONROY RODRIGUEZ MARISOL</t>
  </si>
  <si>
    <t>mmonroyr@correo.udistrital.edu.co</t>
  </si>
  <si>
    <t>monroy.marisol@gmail.com</t>
  </si>
  <si>
    <t>HOYOS PINEDA JORGE GABRIEL</t>
  </si>
  <si>
    <t>jghoyosp@correo.udistrital.edu.co</t>
  </si>
  <si>
    <t>hoyospi@yahoo.com</t>
  </si>
  <si>
    <t>CACERES CASTELLANOS GUSTAVO</t>
  </si>
  <si>
    <t>gcaceresc@correo.udistrital.edu.co</t>
  </si>
  <si>
    <t>gcaceresc@gmail.com</t>
  </si>
  <si>
    <t>MIGUEL ANGEL LEGUIZAMON PAEZ</t>
  </si>
  <si>
    <t>maleguizamonp@udistrital.edu.co</t>
  </si>
  <si>
    <t>mianlepa@gmail.com</t>
  </si>
  <si>
    <t>DEYANIRA DIAZ DIAZ</t>
  </si>
  <si>
    <t>ddiazd@correo.udistrital.edu.co</t>
  </si>
  <si>
    <t>deyaniradiazdiaz@gmail.com</t>
  </si>
  <si>
    <t>AMEZQUITA BECERRA GERMAN</t>
  </si>
  <si>
    <t>gamezquitab@correo.udistrital.edu.co</t>
  </si>
  <si>
    <t>german.amezquita@gmail.com</t>
  </si>
  <si>
    <t>GROSSO MOLANO EUGENIA</t>
  </si>
  <si>
    <t>egrossom@correo.udistrital.edu.co</t>
  </si>
  <si>
    <t>egrossom@gmail.com</t>
  </si>
  <si>
    <t>MENDOZA MORENO MIGUEL ANGEL</t>
  </si>
  <si>
    <t>mamendozam@correo.udistrital.edu.co</t>
  </si>
  <si>
    <t>miguelmendozamoreno@gmail.com</t>
  </si>
  <si>
    <t>SANTAMARIA GRANADOS LUZ HERMENCIA</t>
  </si>
  <si>
    <t>lhsantamariag@correo.udistrital.edu.co</t>
  </si>
  <si>
    <t>luzsantamariag@gmail.com</t>
  </si>
  <si>
    <t>RODRIGUEZ MORENO JOSE JULIAN</t>
  </si>
  <si>
    <t>jjrodriguezm@udistrital.edu.co</t>
  </si>
  <si>
    <t>julian.rodriguez.moreno@gmail.com</t>
  </si>
  <si>
    <t>CANTOR ARCINIEGAS CAMILO ANDRES</t>
  </si>
  <si>
    <t>cacantora@correo.udistrital.edu.co</t>
  </si>
  <si>
    <t>camilocantor@gmail.com</t>
  </si>
  <si>
    <t>ADAM BELTRAN GOMEZ</t>
  </si>
  <si>
    <t>abeltrang@correo.udistrital.edu.co</t>
  </si>
  <si>
    <t>adam_unic@yahoo.es</t>
  </si>
  <si>
    <t>DUEÑAS REYES MARIA XIMENA</t>
  </si>
  <si>
    <t>mxduenasr@correo.udistrital.edu.co</t>
  </si>
  <si>
    <t>ximenadue@gmail.com</t>
  </si>
  <si>
    <t>HERNANDEZ GARCIA CLAUDIA</t>
  </si>
  <si>
    <t>chernandezg@correo.udistrital.edu.co</t>
  </si>
  <si>
    <t>clhernandez@gmail.com</t>
  </si>
  <si>
    <t>PARDO PINZON JANNETH</t>
  </si>
  <si>
    <t>jpardop@correo.udistrital.edu.co</t>
  </si>
  <si>
    <t>jpardop@gmail.com</t>
  </si>
  <si>
    <t>MORENO SANDOVAL LUIS GABRIEL</t>
  </si>
  <si>
    <t>lgmorenos@correo.udistrital.edu.co</t>
  </si>
  <si>
    <t>gabrielmoreno10@gmail.com</t>
  </si>
  <si>
    <t>DIEGO ALEXANDER ANZOLA SAMUDIO</t>
  </si>
  <si>
    <t>daanzolas@correo.udistrital.edu.co</t>
  </si>
  <si>
    <t>diego_anzola@yahoo.es</t>
  </si>
  <si>
    <t>BELLO PEREZ FREDY ORLANDO</t>
  </si>
  <si>
    <t>fobellop@correo.udistrital.edu.co</t>
  </si>
  <si>
    <t>fredy.bello@gmail.com</t>
  </si>
  <si>
    <t>TICSIANA LORENA CARRILLO BOVEA</t>
  </si>
  <si>
    <t>tlcarrillob@correo.udistrital.edu.co</t>
  </si>
  <si>
    <t>anaiscit@yahoo.com</t>
  </si>
  <si>
    <t>CORTES MELO PEDRO FRANCISCO</t>
  </si>
  <si>
    <t>pfcortes@yahoo.com</t>
  </si>
  <si>
    <t>RODRIGUEZ GUERRERO ROCIO</t>
  </si>
  <si>
    <t>rrodriguezg@correo.udistrital.edu.co</t>
  </si>
  <si>
    <t>rrodriguezgr@hotmail.com</t>
  </si>
  <si>
    <t>OSCAR MANUEL AGUDELO VARELA</t>
  </si>
  <si>
    <t>omagudelov@correo.udistrital.edu.co</t>
  </si>
  <si>
    <t>oagudelo2@yahoo.com</t>
  </si>
  <si>
    <t>CASTELLANOS JAIMES LILIA MARINA</t>
  </si>
  <si>
    <t>lmcastellanosj@correo.udistrital.edu.co</t>
  </si>
  <si>
    <t>lcastel-jaim@hotmail.com</t>
  </si>
  <si>
    <t>DIAZ HERNANDO</t>
  </si>
  <si>
    <t>hdiaz@correo.udistrital.edu.co</t>
  </si>
  <si>
    <t>informaticaporvenir@yahoo.es</t>
  </si>
  <si>
    <t>GUARIN LOPEZ ANDRES PACIFICO</t>
  </si>
  <si>
    <t>apguarinl@correo.udistrital.edu.co</t>
  </si>
  <si>
    <t>andresguarinlo@yahoo.es</t>
  </si>
  <si>
    <t>SUAREZ PORRAS ANGELICA JOANA</t>
  </si>
  <si>
    <t>ajsuarezp@correo.udistrital.edu.co</t>
  </si>
  <si>
    <t>angelicasuarez430@hotmail.com</t>
  </si>
  <si>
    <t>FRANCISCO JAVIER PUENTE PEREZ</t>
  </si>
  <si>
    <t>fjpuentep@correo.udistrital.edu.co</t>
  </si>
  <si>
    <t>fjpuente2000@gmail.com</t>
  </si>
  <si>
    <t>mltelloc@correo.udistrital.edu.co</t>
  </si>
  <si>
    <t>CASTIBLANCO CASTRO HENRY OBANDO</t>
  </si>
  <si>
    <t>hocastiblancoc@correo.udistrital.edu.co</t>
  </si>
  <si>
    <t>henrycastiblanco@yahoo.es</t>
  </si>
  <si>
    <t>GARCIA MONSALVE LUZ STELLA</t>
  </si>
  <si>
    <t>lsgarciam@correo.udistrital.edu.co</t>
  </si>
  <si>
    <t>lucesgarmon@hotmail.com</t>
  </si>
  <si>
    <t>nygelvezg@correo.udistrital.edu.co</t>
  </si>
  <si>
    <t>nayag24@hotmail.com</t>
  </si>
  <si>
    <t>MORA HOLGUIN ELSA PAOLA</t>
  </si>
  <si>
    <t>epmorah@correo.udistrital.edu.co</t>
  </si>
  <si>
    <t>pamor_92@hotmail.com</t>
  </si>
  <si>
    <t>NIÑO NIÑO EDILBERTO</t>
  </si>
  <si>
    <t>eninon@correo.udistrital.edu.co</t>
  </si>
  <si>
    <t>edilbertonino@gmail.com</t>
  </si>
  <si>
    <t>OSORIO CABRERA CHRISTIAN</t>
  </si>
  <si>
    <t>cosorioc@correo.udistrital.edu.co</t>
  </si>
  <si>
    <t>ing.christianosorio@gmail.com</t>
  </si>
  <si>
    <t>DIEGO FABIÁN PAJARITO GRAJALES</t>
  </si>
  <si>
    <t>dfpajaritog@correo.udistrital.edu.co</t>
  </si>
  <si>
    <t>diegopajarito@gmail.com</t>
  </si>
  <si>
    <t>RODRIGUEZ SANCHEZ CARLOS ALBERTO</t>
  </si>
  <si>
    <t>caarodriguezs@correo.udistrital.edu.co</t>
  </si>
  <si>
    <t>carsis1@gmail.com</t>
  </si>
  <si>
    <t>BOLAÑO LOPEZ FABRIZIO</t>
  </si>
  <si>
    <t>fbolanol@correo.udistrital.edu.co</t>
  </si>
  <si>
    <t>fabriziobolano@gmail.com</t>
  </si>
  <si>
    <t>GARCIA HANSEN DANILO ANDRES</t>
  </si>
  <si>
    <t>dagarciah@udistrital.edu.co</t>
  </si>
  <si>
    <t>logicafago@gmail.com</t>
  </si>
  <si>
    <t>MANCILLA DIAZ YHONNY</t>
  </si>
  <si>
    <t>ymancillad@correo.udistrital.edu.co</t>
  </si>
  <si>
    <t>yhosol@hotmail.com</t>
  </si>
  <si>
    <t>MESA SALCEDO ANDRES MAURICIO</t>
  </si>
  <si>
    <t>ammesas@correo.udistrital.edu.co</t>
  </si>
  <si>
    <t>geodmaud@yahoo.com</t>
  </si>
  <si>
    <t>PARAMO FONSECA JORGE</t>
  </si>
  <si>
    <t>jparamof@correo.udistrital.edu.co</t>
  </si>
  <si>
    <t>mapinani@gmail.com</t>
  </si>
  <si>
    <t>RODRIGUEZ GAMBOA NESTOR ANDRES</t>
  </si>
  <si>
    <t>nearodriguezg@correo.udistrital.edu.co</t>
  </si>
  <si>
    <t>narg_95@hotmail.com</t>
  </si>
  <si>
    <t>SEGURA TORRES DARIO ALEJANDRO</t>
  </si>
  <si>
    <t>dasegurat@correo.udistrital.edu.co</t>
  </si>
  <si>
    <t>togo3@hotmail.com</t>
  </si>
  <si>
    <t>RICO GARCIA JORGE ALEJANDRO</t>
  </si>
  <si>
    <t>jaricog@correo.udistrital.edu.co</t>
  </si>
  <si>
    <t>jarg58@msn.com</t>
  </si>
  <si>
    <t>SANCHEZ JOSE ALEJANDRO</t>
  </si>
  <si>
    <t>jrestivang@udistrital.edu.co</t>
  </si>
  <si>
    <t>ijasanchez@gmail.com</t>
  </si>
  <si>
    <t>GUZMAN LOZANO JESUS AUGUSTO</t>
  </si>
  <si>
    <t>jaguzmanl@correo.udistrital.edu.co</t>
  </si>
  <si>
    <t>chuchoguzman@hotmail.com</t>
  </si>
  <si>
    <t>PEÑA SUAREZ ALFONSO</t>
  </si>
  <si>
    <t>alfonsopena00@gmail.com</t>
  </si>
  <si>
    <t>CASTAÑEDA SUA JEYMMI JOHANNA</t>
  </si>
  <si>
    <t>jjcastanedas@correo.udistrital.edu.co</t>
  </si>
  <si>
    <t>jejosua@gmail.com</t>
  </si>
  <si>
    <t>PUENTES PUENTES OSCAR JAVIER</t>
  </si>
  <si>
    <t>ojpuentesp@correo.udistrital.edu.co</t>
  </si>
  <si>
    <t>oskarj84@gmail.com</t>
  </si>
  <si>
    <t>RAMIREZ AREVALO HELIO HENRY</t>
  </si>
  <si>
    <t>hhramireza@udistrital.edu.co</t>
  </si>
  <si>
    <t>helio.ramirez@gmail.com</t>
  </si>
  <si>
    <t>MENDEZ MATAMOROS JORGE HERNANDO</t>
  </si>
  <si>
    <t>is.jorge@gmail.com</t>
  </si>
  <si>
    <t>CAJAMARCA MONTOYA YEISON JAVIER</t>
  </si>
  <si>
    <t>yeison_290@hotmail.com</t>
  </si>
  <si>
    <t>DÍAZ HERNÁNDEZ MARÍA FERNANDA</t>
  </si>
  <si>
    <t>mfdiazh@udistrital.edu.co</t>
  </si>
  <si>
    <t>mafediazh77@gmail.com</t>
  </si>
  <si>
    <t>CASTELLANOS ROJAS MARTHA CARMENZA</t>
  </si>
  <si>
    <t>mccastellanosr@udistrital.edu.co</t>
  </si>
  <si>
    <t>martha.castellanos@gmail.com</t>
  </si>
  <si>
    <t>PINILLA AVILA EDWIN GUSTAVO</t>
  </si>
  <si>
    <t>egpinillaa@correo.udistrital.edu.co</t>
  </si>
  <si>
    <t>egpinilla@gmail.com</t>
  </si>
  <si>
    <t>ALBADAN ROMERO JAVIER</t>
  </si>
  <si>
    <t>javier.albadan@gmail.com</t>
  </si>
  <si>
    <t>DALLOS BUSTOS CRISTIAN DAVID</t>
  </si>
  <si>
    <t>cristiandaviddallosbustos@gmail.com</t>
  </si>
  <si>
    <t>NIETO ACEVEDO YURI VANESSA</t>
  </si>
  <si>
    <t>yurivane89@hotmail.com</t>
  </si>
  <si>
    <t>BECERRA GONZALEZ LAURA CRISTINA</t>
  </si>
  <si>
    <t>lauracriss@misena.edu.co</t>
  </si>
  <si>
    <t>MESA TRUJILLO JENNY ANGELICA</t>
  </si>
  <si>
    <t>jenny.mesat@gmail.com</t>
  </si>
  <si>
    <t>MOYA JUTINICO CARLOS JULIO</t>
  </si>
  <si>
    <t>ingcarlosmoya@hotmail.com</t>
  </si>
  <si>
    <t>VARGAS BARRIOS PEDRO JULIO</t>
  </si>
  <si>
    <t>pedrojvar@gmail.com</t>
  </si>
  <si>
    <t>MARQUEZ RAMOS HANS RAUL</t>
  </si>
  <si>
    <t>hans.marquez.ramos@gmail.com</t>
  </si>
  <si>
    <t>CRISTIAN JHONATAN IZQUIERDO ORTIZ</t>
  </si>
  <si>
    <t>cjizquierdoo@udistrital.edu.co</t>
  </si>
  <si>
    <t>izquierdo.cristhian@gmail.com</t>
  </si>
  <si>
    <t>PINZON ORTIZ JESUS EMILSEN</t>
  </si>
  <si>
    <t>jesus.pinzon@hotmail.com</t>
  </si>
  <si>
    <t>BOJACA CABRA JHON NEIVER</t>
  </si>
  <si>
    <t>jnbojacac@correo.udistrital.edu.co</t>
  </si>
  <si>
    <t>jhonbojaca@hotmail.com</t>
  </si>
  <si>
    <t>MORENO BEDOYA IVONNE JANETH</t>
  </si>
  <si>
    <t>ivjmorenob@correo.udistrital.edu.co</t>
  </si>
  <si>
    <t>ijmorenob@gmail.com</t>
  </si>
  <si>
    <t>AYALA LEON ALEXANDER</t>
  </si>
  <si>
    <t>alexander.ayala.leon@gmail.com</t>
  </si>
  <si>
    <t>PRIETO SANCHEZ FREDY LEONARDO</t>
  </si>
  <si>
    <t>flprietos@correo.udistrital.edu.co</t>
  </si>
  <si>
    <t>flps2182@gmail.com</t>
  </si>
  <si>
    <t>DANIEL CAMILO GUARIN MUÑOZ</t>
  </si>
  <si>
    <t>dguarin@gmail.com</t>
  </si>
  <si>
    <t>JULIAN SANTAMARIA ROMERO</t>
  </si>
  <si>
    <t>julian.santamaria@oilfilters.com.co</t>
  </si>
  <si>
    <t>DANIEL ANDERSON SOTO FORERO</t>
  </si>
  <si>
    <t>dsoto.7@gmail.com</t>
  </si>
  <si>
    <t>CASTIBLANCO PALACIOS JULIAN ALBERTO</t>
  </si>
  <si>
    <t>julian.castiblanco@ieee.org</t>
  </si>
  <si>
    <t>GAYOTT RAMIREZ UZIEL</t>
  </si>
  <si>
    <t>uziel.gayott@live.com</t>
  </si>
  <si>
    <t>SEGURA ASCENCIO OMAR ENRIQUE</t>
  </si>
  <si>
    <t>oeseguraa@correo.udistrital.edu.co</t>
  </si>
  <si>
    <t>omarsegura12@hotmail.com</t>
  </si>
  <si>
    <t>BARACALDO JULIO CESAR</t>
  </si>
  <si>
    <t>jbaracaldo@correo.udistrital.edu.co</t>
  </si>
  <si>
    <t>jcbaracaldo@gmail.com</t>
  </si>
  <si>
    <t>ABDEL AZIZ GALINDO ANIS A.</t>
  </si>
  <si>
    <t>CAMARGO MENDOZA JORGE E.</t>
  </si>
  <si>
    <t>CANCELADO PACHON JULIO CESAR</t>
  </si>
  <si>
    <t>DIAZ CABRERA GLORIA MERCEDES</t>
  </si>
  <si>
    <t>gmdiazc@correo.udistrital.edu.co</t>
  </si>
  <si>
    <t>gmdiazc@estudiante.udistrital.edu.co</t>
  </si>
  <si>
    <t>ESPINOSA SALAZAR EDNA CECILIA</t>
  </si>
  <si>
    <t>ecespinosas@correo.udistrital.edu.co</t>
  </si>
  <si>
    <t>ecespinosa@gmail.com</t>
  </si>
  <si>
    <t>FRANCO HELVAR RODOLFO</t>
  </si>
  <si>
    <t>MARTINEZ GONZALEZ JOSE M</t>
  </si>
  <si>
    <t>jmmartinezg@correo.udistrital.edu.co</t>
  </si>
  <si>
    <t>jmmartinezg@estudiante.udistrital.edu.co</t>
  </si>
  <si>
    <t>MURIEL BEJARANO HERNAN A.</t>
  </si>
  <si>
    <t>hamurielb@correo.udistrital.edu.co</t>
  </si>
  <si>
    <t>hamurielb@estudiante.udistrital.edu.co</t>
  </si>
  <si>
    <t>OVALLE PULIDO OSCAR IVAN</t>
  </si>
  <si>
    <t>PADILLA GIL LUZ MYRIAM</t>
  </si>
  <si>
    <t>lmpadillag@correo.udistrital.edu.co</t>
  </si>
  <si>
    <t>myriampadilla@yahoo.es</t>
  </si>
  <si>
    <t>SANDOVAL DIAZ RICARDO</t>
  </si>
  <si>
    <t>TORRES FUENTES PEDRO A.</t>
  </si>
  <si>
    <t>jfvelasquezo@correo.udistrital.edu.co</t>
  </si>
  <si>
    <t>jfvelasquezo@estudiante.udistrital.edu.co</t>
  </si>
  <si>
    <t>BARRERA GONZALEZ JAIRO</t>
  </si>
  <si>
    <t>BARRERO MORA ANGELICA LORENA</t>
  </si>
  <si>
    <t>CABALLERO HERRERA JORGE E.</t>
  </si>
  <si>
    <t>PERALTA AMAYA LUIS ALBERTO</t>
  </si>
  <si>
    <t>laperaltaa@correo.udistrital.edu.co</t>
  </si>
  <si>
    <t>laperaltaa@estudiante.udistrital.edu.co</t>
  </si>
  <si>
    <t>ROZO BARAJAS DIANA MARCELA</t>
  </si>
  <si>
    <t>BARRAGAN TORRES LAURA EVA</t>
  </si>
  <si>
    <t>lebarragant@correo.udistrital.edu.co</t>
  </si>
  <si>
    <t>lebarragant@estudiante.udistrital.edu.co</t>
  </si>
  <si>
    <t>CABALLERO HERRERA JORGE ENRIQUE</t>
  </si>
  <si>
    <t>jecaballeroh@correo.udistrital.edu.co</t>
  </si>
  <si>
    <t>jecaballeroh@estudiante.udistrital.edu.co</t>
  </si>
  <si>
    <t>CASTRO AGREDO ZULMA IBETH</t>
  </si>
  <si>
    <t>zicastroa@correo.udistrital.edu.co</t>
  </si>
  <si>
    <t>zicazz@gmail.com</t>
  </si>
  <si>
    <t>jyagallor@correo.udistrital.edu.co</t>
  </si>
  <si>
    <t>jyagallor@estudiante.udistrital.edu.co</t>
  </si>
  <si>
    <t>MOLANO PUENTES FREDY ULISES</t>
  </si>
  <si>
    <t>fumolanop@correo.udistrital.edu.co</t>
  </si>
  <si>
    <t>fredymolano@yahoo.com</t>
  </si>
  <si>
    <t>MONJEJO HERNANDEZ ADRIANA</t>
  </si>
  <si>
    <t>amonjejoh@correo.udistrital.edu.co</t>
  </si>
  <si>
    <t>amonjejoh@estudiante.udistrital.edu.co</t>
  </si>
  <si>
    <t>RODRIGUEZ CEDEÑO DAGOBERTO</t>
  </si>
  <si>
    <t>drodriguezc@correo.udistrital.edu.co</t>
  </si>
  <si>
    <t>drodriguez@udistrital.edu.co</t>
  </si>
  <si>
    <t>SANABRIA GARZON JHON ALEXIS</t>
  </si>
  <si>
    <t>jasanabriag@correo.udistrital.edu.co</t>
  </si>
  <si>
    <t>jasanabriag@estudiante.udistrital.edu.co</t>
  </si>
  <si>
    <t>SANCHEZ SANCHEZ NELSON</t>
  </si>
  <si>
    <t>nsanchezs@correo.udistrital.edu.co</t>
  </si>
  <si>
    <t>nelson.sanchez@utadeo.edu.co</t>
  </si>
  <si>
    <t>TARAZONA BERMUDEZ GIOVANNY MAURICIO</t>
  </si>
  <si>
    <t>gimtarazonab@correo.udistrital.edu.co</t>
  </si>
  <si>
    <t>gimtarazonab@estudiante.udistrital.edu.co</t>
  </si>
  <si>
    <t>ALVARADO TORRES JULIAN MAURICIO</t>
  </si>
  <si>
    <t>jmalvaradot@correo.udistrital.edu.co</t>
  </si>
  <si>
    <t>alvator@gmail.com</t>
  </si>
  <si>
    <t>BUSTOS VIDES BLANCA ISABEL</t>
  </si>
  <si>
    <t>bibustosv@correo.udistrital.edu.co</t>
  </si>
  <si>
    <t>bibustosv@estudiante.udistrital.edu.co</t>
  </si>
  <si>
    <t>CAVIEDES PULIDO DIEGO ALFONSO</t>
  </si>
  <si>
    <t>dacaviedesp@correo.udistrital.edu.co</t>
  </si>
  <si>
    <t>dcaviedesp@gmail.com</t>
  </si>
  <si>
    <t>GUTIERREZ FORERO HEIDI PATRICIA</t>
  </si>
  <si>
    <t>hpgutierrezf@correo.udistrital.edu.co</t>
  </si>
  <si>
    <t>hpgutierrezf@estudiante.udistrital.edu.co</t>
  </si>
  <si>
    <t>HERNANDEZ VARGAS HERNANDO</t>
  </si>
  <si>
    <t>hhernandezv@correo.udistrital.edu.co</t>
  </si>
  <si>
    <t>hhernandezv@estudiante.udistrital.edu.co</t>
  </si>
  <si>
    <t>JIMENEZ CALDERON JOSE ALEXANDER</t>
  </si>
  <si>
    <t>MARIACA MINDA CXINGLER</t>
  </si>
  <si>
    <t>cmariacam@correo.udistrital.edu.co</t>
  </si>
  <si>
    <t>cinxgler@udistrital.edu.co</t>
  </si>
  <si>
    <t>MARTINEZ PEÑA JULIO CESAR</t>
  </si>
  <si>
    <t>jcmartinezp@correo.udistrital.edu.co</t>
  </si>
  <si>
    <t>juliocmp@yahoo.com</t>
  </si>
  <si>
    <t>SANDOVAL AMAYA JHON ALEXANDER</t>
  </si>
  <si>
    <t>VARGAS CORREDOR ANDREWS EDUARDO</t>
  </si>
  <si>
    <t>ACUÑA GARZON MARGOTH</t>
  </si>
  <si>
    <t>macunag@correo.udistrital.edu.co</t>
  </si>
  <si>
    <t>macunag@unal.edu.co</t>
  </si>
  <si>
    <t>BRAVO CISNEROS LUZ DARY</t>
  </si>
  <si>
    <t>DIAZ SEPULVEDA GEAN ALBERTO</t>
  </si>
  <si>
    <t>adiazs@correo.udistrital.edu.co</t>
  </si>
  <si>
    <t>adiazs@estudiante.udistrital.edu.co</t>
  </si>
  <si>
    <t>ESPINOSA OROZCO MARCOS</t>
  </si>
  <si>
    <t>mespinosao@correo.udistrital.edu.co</t>
  </si>
  <si>
    <t>mespinos@hotmail.com</t>
  </si>
  <si>
    <t>GARCIA BALAGUERRA VIVIANA</t>
  </si>
  <si>
    <t>vgarciab@correo.udistrital.edu.co</t>
  </si>
  <si>
    <t>vgarciab@estudiante.udistrital.edu.co</t>
  </si>
  <si>
    <t>ORTIZ GONZALEZ JHON JARBY</t>
  </si>
  <si>
    <t>jjortizg@correo.udistrital.edu.co</t>
  </si>
  <si>
    <t>jjortizg@estudiante.udistrital.edu.co</t>
  </si>
  <si>
    <t>RENZA TORRES DIEGO</t>
  </si>
  <si>
    <t>SALAMANCA FAJARDO GABRIEL</t>
  </si>
  <si>
    <t>gsalamancaf@correo.udistrital.edu.co</t>
  </si>
  <si>
    <t>gsalamancaf@estudiante.udistrital.edu.co</t>
  </si>
  <si>
    <t>MOYA LOZANO ERWIN ENRIQUE</t>
  </si>
  <si>
    <t>eemoyal@correo.udistrital.edu.co</t>
  </si>
  <si>
    <t>erwloz@hotmail.com</t>
  </si>
  <si>
    <t>VALDERRAMA MONCADA ORLANDO</t>
  </si>
  <si>
    <t>ovalderramam@correo.udistrital.edu.co</t>
  </si>
  <si>
    <t>ovalderramam@estudiante.udistrital.edu.co</t>
  </si>
  <si>
    <t>BONILLA RIAÑO ADRIANA</t>
  </si>
  <si>
    <t>abonillar@correo.udistrital.edu.co</t>
  </si>
  <si>
    <t>abonillar@gmail.com</t>
  </si>
  <si>
    <t>CABUYA NAVARRETE JUAN CARLOS</t>
  </si>
  <si>
    <t>jccabuyan@correo.udistrital.edu.co</t>
  </si>
  <si>
    <t>jccabuyan@estudiante.udistrital.edu.co</t>
  </si>
  <si>
    <t>DIAZ TORRES MONICA ALEXANDRA.</t>
  </si>
  <si>
    <t>madiazt@correo.udistrital.edu.co</t>
  </si>
  <si>
    <t>moaldito@gmail.com</t>
  </si>
  <si>
    <t>GUAÑARITA FERNANDEZ SANDRA LUCIA</t>
  </si>
  <si>
    <t>slguanaritaf@correo.udistrital.edu.co</t>
  </si>
  <si>
    <t>slguanaritaf@estudiante.udistrital.edu.co</t>
  </si>
  <si>
    <t>lgutierrezm@correo.udistrital.edu.co</t>
  </si>
  <si>
    <t>lgutierrezm@estudiante.udistrital.edu.co</t>
  </si>
  <si>
    <t>MORALES BALLESTEROS LUIS EDUARDO</t>
  </si>
  <si>
    <t>lemoralesb@correo.udistrital.edu.co</t>
  </si>
  <si>
    <t>luisemo.morales@gmail.com</t>
  </si>
  <si>
    <t>OSPINA MARIN PAULO ANDRES</t>
  </si>
  <si>
    <t>paospinam@correo.udistrital.edu.co</t>
  </si>
  <si>
    <t>paospinam@estudiante.udistrital.edu.co</t>
  </si>
  <si>
    <t>PEÑARANDA UREÑA LEYDI MILENA</t>
  </si>
  <si>
    <t>lmpenarandau@correo.udistrital.edu.co</t>
  </si>
  <si>
    <t>lmpenarandau@estudiante.udistrital.edu.co</t>
  </si>
  <si>
    <t>PEREZ CABALLERO JAVIER ALEXANDER</t>
  </si>
  <si>
    <t>japerezc@correo.udistrital.edu.co</t>
  </si>
  <si>
    <t>japerezc@estudiante.udistrital.edu.co</t>
  </si>
  <si>
    <t>RODRIGUEZ ROJAS CARLOS ALFREDO</t>
  </si>
  <si>
    <t>caalrodriguezr@correo.udistrital.edu.co</t>
  </si>
  <si>
    <t>crodriguez.ur@gmail.com</t>
  </si>
  <si>
    <t>RUIZ BARRETO JAVIER FERNANDO</t>
  </si>
  <si>
    <t>jfruizb@correo.udistrital.edu.co</t>
  </si>
  <si>
    <t>jfruizb@estudiante.udistrital.edu.co</t>
  </si>
  <si>
    <t>BOLAÑO GONZALEZ MANUEL ERNESTO</t>
  </si>
  <si>
    <t>TORO MARQUEZ SERGIO ANDRES</t>
  </si>
  <si>
    <t>ALARCON CABRA DIANA PATRICIA</t>
  </si>
  <si>
    <t>dpalarconc@correo.udistrital.edu.co</t>
  </si>
  <si>
    <t>dipacingcat@gmail.com</t>
  </si>
  <si>
    <t>ALARCON CABRA JHONY ALEXANDER</t>
  </si>
  <si>
    <t>jaalarconc@correo.udistrital.edu.co</t>
  </si>
  <si>
    <t>jhonyac@hotmail.com</t>
  </si>
  <si>
    <t>BERTIERI QUINTERO JOSE RAMIRO</t>
  </si>
  <si>
    <t>CASTILLO LANDINEZ SANDRA PATRICIA</t>
  </si>
  <si>
    <t>spcastillol@correo.udistrital.edu.co</t>
  </si>
  <si>
    <t>sandrap.castillo@gmail.com</t>
  </si>
  <si>
    <t>GALVIS BERRIO JOHN FELIPE</t>
  </si>
  <si>
    <t>GRANADOS MORALES ABNER MARIANO</t>
  </si>
  <si>
    <t>HERNANDEZ MATIZ GERMAN ANDRES</t>
  </si>
  <si>
    <t>gahernandez84@hotmail.com</t>
  </si>
  <si>
    <t>HURTADO VERGEL OSCAR</t>
  </si>
  <si>
    <t>MARTINEZ DIAZ DAMIAN ANTONIO</t>
  </si>
  <si>
    <t>damartinezd@correo.udistrital.edu.co</t>
  </si>
  <si>
    <t>damianingcat@gmail.com</t>
  </si>
  <si>
    <t>MELO ACOSTA FREDDY</t>
  </si>
  <si>
    <t>ROMERO GARCIA MARILUZ</t>
  </si>
  <si>
    <t>dmrozob@correo.udistrital.edu.co</t>
  </si>
  <si>
    <t>marcela.rozo@gmail.com</t>
  </si>
  <si>
    <t>BAQUERO REY LUIS EDUARDO</t>
  </si>
  <si>
    <t>DIAZ GARZON WEIMAR</t>
  </si>
  <si>
    <t>wediazg@correo.udistrital.edu.co</t>
  </si>
  <si>
    <t>wdg9@hotmail.com</t>
  </si>
  <si>
    <t>JOVEN SARRIA MARIO</t>
  </si>
  <si>
    <t>mjovens@correo.udistrital.edu.co</t>
  </si>
  <si>
    <t>mariojoven24@hotmail.com</t>
  </si>
  <si>
    <t>PATIÑO PERDOMO WILMER ARLEY</t>
  </si>
  <si>
    <t>ROJAS GARZON YILVER</t>
  </si>
  <si>
    <t>yirojasg@correo.udistrital.edu.co</t>
  </si>
  <si>
    <t>yilverrg@yahoo.com.ar</t>
  </si>
  <si>
    <t>TORRES MOTTA LINA MARCELA</t>
  </si>
  <si>
    <t>NIÑO BARON MONICA ANDREA</t>
  </si>
  <si>
    <t>maninob@correo.udistrital.edu.co</t>
  </si>
  <si>
    <t>ninoandrea@yahoo.com</t>
  </si>
  <si>
    <t>CAMARGO SARMIENTO FERNANDO IVAN</t>
  </si>
  <si>
    <t>ficamargos@correo.udistrital.edu.co</t>
  </si>
  <si>
    <t>ficasa@cosistel.com</t>
  </si>
  <si>
    <t>SAMANIEGO PARDO JAIME ALBERTO</t>
  </si>
  <si>
    <t>CHAPARRO LEMUS LUIS OLIVERIO</t>
  </si>
  <si>
    <t>SANTAMARIA BUITRAGO FREY ALFONSO</t>
  </si>
  <si>
    <t>fasantamariab@correo.udistrital.edu.co</t>
  </si>
  <si>
    <t>santfrey@gmail.com</t>
  </si>
  <si>
    <t>MONROY VASQUEZ JUAN OLEGARIO</t>
  </si>
  <si>
    <t>jomonroyv@correo.udistrital.edu.co</t>
  </si>
  <si>
    <t>juanolmv@gmail.com</t>
  </si>
  <si>
    <t>GONZALEZ TOVAR LUIS EDUARDO</t>
  </si>
  <si>
    <t>FONTECHA RUEDA NELSON JAVIER</t>
  </si>
  <si>
    <t>ALVAREZ QUIROGA CEIDY MARCELA</t>
  </si>
  <si>
    <t>cmalvarezq@correo.udistrital.edu.co</t>
  </si>
  <si>
    <t>ceidy_mar@hotmail.com</t>
  </si>
  <si>
    <t>CELY PALENCIA ANA LISET</t>
  </si>
  <si>
    <t>alcelyp@correo.udistrital.edu.co</t>
  </si>
  <si>
    <t>analiset@gmail.com</t>
  </si>
  <si>
    <t>CORTES MUÑOZ SANDRA</t>
  </si>
  <si>
    <t>sacortesm@correo.udistrital.edu.co</t>
  </si>
  <si>
    <t>my_lena78@hotmail.com</t>
  </si>
  <si>
    <t>FAJARDO BUITRAGO RUTH ALEXANDRA</t>
  </si>
  <si>
    <t>rafajardob@correo.udistrital.edu.co</t>
  </si>
  <si>
    <t>rafajardo@patprimo.com.co</t>
  </si>
  <si>
    <t>GIL AROS CELIO</t>
  </si>
  <si>
    <t>cgila@correo.udistrital.edu.co</t>
  </si>
  <si>
    <t>cegil0056@yahoo.es</t>
  </si>
  <si>
    <t>MUTO PARDO TITO TULIO</t>
  </si>
  <si>
    <t>ttmutop@correo.udistrital.edu.co</t>
  </si>
  <si>
    <t>titojmp99@hotmail.com</t>
  </si>
  <si>
    <t>PEÑA CESPEDES FERNANDO</t>
  </si>
  <si>
    <t>RAMIREZ SANCHEZ PABLO SERGIO</t>
  </si>
  <si>
    <t>RODRIGUEZ URUEÑA CARLOS RAMON</t>
  </si>
  <si>
    <t>TOBIAS ESCUDERO LUCY BEATRIZ</t>
  </si>
  <si>
    <t>lucy.tobias@gmail.com</t>
  </si>
  <si>
    <t>VASQUEZ BERNAL ROGELIO</t>
  </si>
  <si>
    <t>rvasquezb@correo.udistrital.edu.co</t>
  </si>
  <si>
    <t>rogelio.vasquez@gmail.com</t>
  </si>
  <si>
    <t>VEGA VEGA ANSELMO</t>
  </si>
  <si>
    <t>avega2104@yahoo.com</t>
  </si>
  <si>
    <t>CASTAÑO HERRERA FRANKY</t>
  </si>
  <si>
    <t>fcastanoh@correo.udistrital.edu.co</t>
  </si>
  <si>
    <t>frankycast@hotmail.com</t>
  </si>
  <si>
    <t>MAHECHA RANGEL JESUS ALVARO</t>
  </si>
  <si>
    <t>ANGEL ROMERO ISMAEL</t>
  </si>
  <si>
    <t>ARDILA PARRA SOL ANGEL</t>
  </si>
  <si>
    <t>sol_angel_a@hotmail.com</t>
  </si>
  <si>
    <t>GOMEZ GUTIERREZ ARIS ANDRES</t>
  </si>
  <si>
    <t>MARINEZ NARVAEZ GUILLERMO ALEXANDER</t>
  </si>
  <si>
    <t>gamnsig@gmail.com</t>
  </si>
  <si>
    <t>MOSQUERA TELLEZ LUZ DENY</t>
  </si>
  <si>
    <t>dennysmosqueraa@yahoo.es</t>
  </si>
  <si>
    <t>NARVAEZ ESPINOSA IRINA</t>
  </si>
  <si>
    <t>PEREZ GARCIA JORGE EDUARDO</t>
  </si>
  <si>
    <t>jorge_eduardo225@yahoo.com</t>
  </si>
  <si>
    <t>REYES MORENO JOHN JAIRO</t>
  </si>
  <si>
    <t>jjreyesm@correo.udistrital.edu.co</t>
  </si>
  <si>
    <t>johnjreyesm@gmail.com</t>
  </si>
  <si>
    <t>VARGAS MERCHAN MILTON SARETH</t>
  </si>
  <si>
    <t>AMÓRTEGUI VARGAS MARÍA PATRICIA</t>
  </si>
  <si>
    <t>patricia.amortegui@gmail.com</t>
  </si>
  <si>
    <t>CHAPARRO SANENZ CARLOS ALFONSO</t>
  </si>
  <si>
    <t>cachaparros@correo.udistrital.edu.co</t>
  </si>
  <si>
    <t>ing.carloschaparro@gmail.com</t>
  </si>
  <si>
    <t>FAJARDO REINA LUIS ALEJANDRO</t>
  </si>
  <si>
    <t>MONTERO LANCHEROS LUIS FERNANDO</t>
  </si>
  <si>
    <t>MORA RAMIREZ JOSE ARTURO</t>
  </si>
  <si>
    <t>CHRISTIAN OSORIO CABRERA</t>
  </si>
  <si>
    <t>PEÑA MARTIN FADER EDUARDO</t>
  </si>
  <si>
    <t>faepenam@correo.udistrital.edu.co</t>
  </si>
  <si>
    <t>fadereduardo@yahoo.es</t>
  </si>
  <si>
    <t>RUEDA RIVERA OLGA LUCIA</t>
  </si>
  <si>
    <t>olgalu66@hotmail.com</t>
  </si>
  <si>
    <t>VARGAS HERRERA EDWIN ANDRES</t>
  </si>
  <si>
    <t>maortiza@correo.udistrital.edu.co</t>
  </si>
  <si>
    <t>ingmaryortiz@gmail.com</t>
  </si>
  <si>
    <t>CRUZ MALDONADO NIDIA CRISTINA</t>
  </si>
  <si>
    <t>nccruzm@correo.udistrital.edu.co</t>
  </si>
  <si>
    <t>nidicrum@gmail.com</t>
  </si>
  <si>
    <t>HERNANDEZ GARZON ELIN ANDERSON</t>
  </si>
  <si>
    <t>eahernandezg@correo.udistrital.edu.co</t>
  </si>
  <si>
    <t>elin_anderson1@hotmail.com</t>
  </si>
  <si>
    <t>COLLO GARCIA RICHARD</t>
  </si>
  <si>
    <t>richard.collo@gmail.com</t>
  </si>
  <si>
    <t>GARZON GARCIA MIGUEL FERNANDO</t>
  </si>
  <si>
    <t>mfgarzong@correo.udistrital.edu.co</t>
  </si>
  <si>
    <t>miguelfg76@yahoo.com</t>
  </si>
  <si>
    <t>GIRON ECHEVERRY ERNESTO</t>
  </si>
  <si>
    <t>e.giron.e@gmail.com</t>
  </si>
  <si>
    <t>MARTINEZ BUSTOS JAIRO ALFONSO</t>
  </si>
  <si>
    <t>jamartinezb@unal.edu.co</t>
  </si>
  <si>
    <t>PEÑA NIÑO NELSON DARIO</t>
  </si>
  <si>
    <t>nelson.d.pena.n@gmail.com</t>
  </si>
  <si>
    <t>PEREZ PUENTES ALVARO</t>
  </si>
  <si>
    <t>alperezp@correo.udistrital.edu.co</t>
  </si>
  <si>
    <t>alvaro.perez.puentes@hotmail.com</t>
  </si>
  <si>
    <t>RAMIREZ GRACIA RONALD YESID</t>
  </si>
  <si>
    <t>ryramirezgracia@hotmail.com</t>
  </si>
  <si>
    <t>WILCHES MARADEY DANIEL</t>
  </si>
  <si>
    <t>dwilches@gmail.com</t>
  </si>
  <si>
    <t>IREGUI MAYORGA DANIEL EDUARDO</t>
  </si>
  <si>
    <t>diregui@unicundi.edu.co</t>
  </si>
  <si>
    <t>ARANGO ATEHORTUA MONICA MARIA</t>
  </si>
  <si>
    <t>mmarangoa@correo.udistrital.edu.co</t>
  </si>
  <si>
    <t>monicaarango20@msn.com</t>
  </si>
  <si>
    <t>AREVALO ALDANA JORGE ALBERTO</t>
  </si>
  <si>
    <t>joaarevaloa@correo.udistrital.edu.co</t>
  </si>
  <si>
    <t>jor.are@gmail.com</t>
  </si>
  <si>
    <t>BOTINA MUÑOZ YULI MARGARITA</t>
  </si>
  <si>
    <t>ymbotinam@correo.udistrital.edu.co</t>
  </si>
  <si>
    <t>ybotina@unicauca.edu.co</t>
  </si>
  <si>
    <t>CALDERON BARACALDO CARLOS ALBERTO</t>
  </si>
  <si>
    <t>cacalderonb@correo.udistrital.edu.co</t>
  </si>
  <si>
    <t>icg.carlos@gmail.com</t>
  </si>
  <si>
    <t>CASTELLANOS ARDILA JULIETH PATRICIA</t>
  </si>
  <si>
    <t>jpcastellanosa@correo.udistrital.edu.co</t>
  </si>
  <si>
    <t>jpatricia_c@yahoo.com.mx</t>
  </si>
  <si>
    <t>LARRAHONDO VALENCIA CARLOS MARIO</t>
  </si>
  <si>
    <t>cmlarrahondov@correo.udistrital.edu.co</t>
  </si>
  <si>
    <t>camalava@hotmail.com</t>
  </si>
  <si>
    <t>RAIGOSA EDSON EDUARDO</t>
  </si>
  <si>
    <t>eraigosae@correo.udistrital.edu.co</t>
  </si>
  <si>
    <t>edsoner_01@yahoo.com.mx</t>
  </si>
  <si>
    <t>RAMIREZ SANCHEZ YAMID EUGENIO</t>
  </si>
  <si>
    <t>yeramirezs@correo.udistrital.edu.co</t>
  </si>
  <si>
    <t>yamidr@gmail.com</t>
  </si>
  <si>
    <t>SILVA ORTIZ FERNANDO ANDRES</t>
  </si>
  <si>
    <t>fasilvao@correo.udistrital.edu.co</t>
  </si>
  <si>
    <t>fernandodistinto@gmail.com</t>
  </si>
  <si>
    <t>VARGAS CALDERON ANUAR EDILSON</t>
  </si>
  <si>
    <t>anevargasc@correo.udistrital.edu.co</t>
  </si>
  <si>
    <t>anuarvargas@yahoo.com</t>
  </si>
  <si>
    <t>HERRERA JIMENEZ SIMAR ENRIQUE</t>
  </si>
  <si>
    <t>seherreraj@correo.udistrital.edu.co</t>
  </si>
  <si>
    <t>seherreraj@udistrital.edu.co</t>
  </si>
  <si>
    <t>ARANGO BRICENO MANUEL IGNACIO</t>
  </si>
  <si>
    <t>miarangob@correo.udistrital.edu.co</t>
  </si>
  <si>
    <t>miarangob@gmail.com</t>
  </si>
  <si>
    <t>BOJACA VANEGAS DANIEL ARTURO</t>
  </si>
  <si>
    <t>danielbojaca@gmail.com</t>
  </si>
  <si>
    <t>CARDENAS JHON CARLOS</t>
  </si>
  <si>
    <t>jccardenas@correo.udistrital.edu.co</t>
  </si>
  <si>
    <t>john.carlos.cardenas@gmail.com</t>
  </si>
  <si>
    <t>DANGOND SARMIENTO EDGAR ESTEBAN</t>
  </si>
  <si>
    <t>eedangonds@correo.udistrital.edu.co</t>
  </si>
  <si>
    <t>edangons@hotmail.com</t>
  </si>
  <si>
    <t>HERRERA MOSQUERA JESUS DAVID</t>
  </si>
  <si>
    <t>jedherreram@correo.udistrital.edu.co</t>
  </si>
  <si>
    <t>jesusdavidherreram@yahoo.com</t>
  </si>
  <si>
    <t>LEON NAJERA FRANCISCO</t>
  </si>
  <si>
    <t>fleonn@correo.udistrital.edu.co</t>
  </si>
  <si>
    <t>projectileman@yahoo.com</t>
  </si>
  <si>
    <t>MURILLO GARCIA DEWIS</t>
  </si>
  <si>
    <t>dewinsmg@gmail.com</t>
  </si>
  <si>
    <t>NIETO GOMEZ ANGELA</t>
  </si>
  <si>
    <t>anietog@correo.udistrital.edu.co</t>
  </si>
  <si>
    <t>angienietog@gmail.com</t>
  </si>
  <si>
    <t>PALLARES ARRIETA BALMIRO JOSE</t>
  </si>
  <si>
    <t>bjpallaresa@correo.udistrital.edu.co</t>
  </si>
  <si>
    <t>balmirop@gmail.com</t>
  </si>
  <si>
    <t>fpenac@correo.udistrital.edu.co</t>
  </si>
  <si>
    <t>fpenac@yahoo.com</t>
  </si>
  <si>
    <t>SIERRA MARIN DIEGO ARMANDO</t>
  </si>
  <si>
    <t>diasierram@correo.udistrital.edu.co</t>
  </si>
  <si>
    <t>dasdiego@hotmail.com</t>
  </si>
  <si>
    <t>VALCARDEL QUITIAN JHON FREDY</t>
  </si>
  <si>
    <t>jfvalcardelq@correo.udistrital.edu.co</t>
  </si>
  <si>
    <t>samael345@hotmail.com</t>
  </si>
  <si>
    <t>CAICEDO BOLAÑOS JOHN JAIRO</t>
  </si>
  <si>
    <t>jjcaicedob@correo.udistrital.edu.co</t>
  </si>
  <si>
    <t>john.caicedo.osc@gmail.com</t>
  </si>
  <si>
    <t>GALVIS TOBAR EMIR ALEXANDER</t>
  </si>
  <si>
    <t>galvis.emir@googlemail.com</t>
  </si>
  <si>
    <t>GARCIA MARTINEZ LUIS FRANCISCO</t>
  </si>
  <si>
    <t>lufgarciam@correo.udistrital.edu.co</t>
  </si>
  <si>
    <t>fgarciam24@yahoo.es</t>
  </si>
  <si>
    <t>MARTINEZ BAQUERO ANA MARIA</t>
  </si>
  <si>
    <t>anammartinezb@correo.udistrital.edu.co</t>
  </si>
  <si>
    <t>ammartinezba@hotmail.com</t>
  </si>
  <si>
    <t>gemartinezb@correo.udistrital.edu.co</t>
  </si>
  <si>
    <t>emartinez.w2s2@gmail.com</t>
  </si>
  <si>
    <t>ORTIZ JIMENEZ EDUIN AUGUSTO</t>
  </si>
  <si>
    <t>eaortizj@correo.udistrital.edu.co</t>
  </si>
  <si>
    <t>eduinortiz@hotmail.com</t>
  </si>
  <si>
    <t>PATIÑO PINZON JULIAN RICARDO</t>
  </si>
  <si>
    <t>jrpatinop@correo.udistrital.edu.co</t>
  </si>
  <si>
    <t>julric@hotmail.com</t>
  </si>
  <si>
    <t>PEREZ PEREZ FRANCISCO DAVID</t>
  </si>
  <si>
    <t>fdperezp@correo.udistrital.edu.co</t>
  </si>
  <si>
    <t>fdavidperez@yahoo.es</t>
  </si>
  <si>
    <t>RAIGOSA LONDOÑO EDSON EDUARDO</t>
  </si>
  <si>
    <t>eeraigosal@correo.udistrital.edu.co</t>
  </si>
  <si>
    <t>REY RONDÓN OSCAR EDUARDO</t>
  </si>
  <si>
    <t>oereyr@correo.udistrital.edu.co</t>
  </si>
  <si>
    <t>oskr_rey@yahoo.com</t>
  </si>
  <si>
    <t>RINCÓN OSPINO PABLO ANDRES</t>
  </si>
  <si>
    <t>parincono@correo.udistrital.edu.co</t>
  </si>
  <si>
    <t>rincon.pabloandres@gmail.com</t>
  </si>
  <si>
    <t>SIERRA PALACIOS EDGAR AUGUSTO</t>
  </si>
  <si>
    <t>edasierrap@correo.udistrital.edu.co</t>
  </si>
  <si>
    <t>easierrap@yahoo.es</t>
  </si>
  <si>
    <t>DUARTE PACHECO JUAN GABRIEL</t>
  </si>
  <si>
    <t>jgduartep@correo.udistrital.edu.co</t>
  </si>
  <si>
    <t>jugadupa@gmail.com</t>
  </si>
  <si>
    <t>MAHECHA SUAREZ GERMAN ANDRES</t>
  </si>
  <si>
    <t>gamahechas@correo.udistrital.edu.co</t>
  </si>
  <si>
    <t>gandresmahecha@gmail.com</t>
  </si>
  <si>
    <t>OLARTE RAMOS JULIAN YEZID</t>
  </si>
  <si>
    <t>jyolarter@correo.udistrital.edu.co</t>
  </si>
  <si>
    <t>julian@naturasoftware.com</t>
  </si>
  <si>
    <t>BELTRAN VARGAS JUAN CARLOS</t>
  </si>
  <si>
    <t>jcbeltranv@correo.udistrital.edu.co</t>
  </si>
  <si>
    <t>beltrancito@gmail.com</t>
  </si>
  <si>
    <t>MUÑOZ SANCHEZ LAURA TERESA</t>
  </si>
  <si>
    <t>ltmunozs@correo.udistrital.edu.co</t>
  </si>
  <si>
    <t>inglauramunoz@misena.edu.co</t>
  </si>
  <si>
    <t>PACHON BALLEN JORGE ELIECER</t>
  </si>
  <si>
    <t>joepachonb@correo.udistrital.edu.co</t>
  </si>
  <si>
    <t>jorgepachonballen@yahoo.com</t>
  </si>
  <si>
    <t>PEÑUELA OLMOS DUMAR ALI</t>
  </si>
  <si>
    <t>ROMERO ARDILA LUIS FERNANDO</t>
  </si>
  <si>
    <t>lfromeroa@correo.udistrital.edu.co</t>
  </si>
  <si>
    <t>lucien.luisromero@gmail.com</t>
  </si>
  <si>
    <t>ABUCHAR PORRAS ALEXANDRA</t>
  </si>
  <si>
    <t>AMPUDIA ARRIAGA AMIRA DEL SOCORRO</t>
  </si>
  <si>
    <t>amiraampudia@hotmail.com</t>
  </si>
  <si>
    <t>ARTEAGA SILVA HERNANDO JAVIER</t>
  </si>
  <si>
    <t>javierarteaga@gmail.com</t>
  </si>
  <si>
    <t>BAEZ ALBA ANDRES IGNACIO</t>
  </si>
  <si>
    <t>andresignaciob@gmail.com</t>
  </si>
  <si>
    <t>BARAHONA ORJUELA SONIA CONSUELO</t>
  </si>
  <si>
    <t>socobaor@gmail.com</t>
  </si>
  <si>
    <t>BERNAL CONTRERAS LILIANA</t>
  </si>
  <si>
    <t>lilianabernalc@gmail.com</t>
  </si>
  <si>
    <t>CAMPO URRIAGA JHON ALCIDES</t>
  </si>
  <si>
    <t>jhon.campo@gmail.com</t>
  </si>
  <si>
    <t>MEDINA BATANERO FELIX</t>
  </si>
  <si>
    <t>femixmb@hotmail.com</t>
  </si>
  <si>
    <t>SANTOS HOME JOSE ERMIS</t>
  </si>
  <si>
    <t>ARANGO BUITRAGO CARLOS ALBERTO</t>
  </si>
  <si>
    <t>carlosarangob@hotmail.com</t>
  </si>
  <si>
    <t>BUITRAGO GIRLESA MARIA</t>
  </si>
  <si>
    <t>girlesa@gmail.com</t>
  </si>
  <si>
    <t>TRIANA DOMINGUEZ DIEGO HUMBERTO</t>
  </si>
  <si>
    <t>diegohtriana@gmail.com</t>
  </si>
  <si>
    <t>sarethsareth@gmail.com</t>
  </si>
  <si>
    <t>AYALA PÁEZ DANIEL ALEXANDER</t>
  </si>
  <si>
    <t>BURBANO MORENO JHONNY MAURICIO</t>
  </si>
  <si>
    <t>hogoblinj@gmail.com</t>
  </si>
  <si>
    <t>FERNÁNDEZ DOMÍNGUEZ JULÍAN ANDRÉS</t>
  </si>
  <si>
    <t>juanfedo@gmail.com</t>
  </si>
  <si>
    <t>FERNÁNDEZ NIETO GLORIA MILENA</t>
  </si>
  <si>
    <t>gmfernandezn@correo.udistrital.edu.co</t>
  </si>
  <si>
    <t>MORENO REY YESID ARTURO</t>
  </si>
  <si>
    <t>ymorenor@gmail.com</t>
  </si>
  <si>
    <t>AVELLA GUTIERREZ MAURICIO</t>
  </si>
  <si>
    <t>mavellag@correo.udistrital.edu.co</t>
  </si>
  <si>
    <t>mauricioavellag@yahoo.com</t>
  </si>
  <si>
    <t>FARFAN PINZON RONALD DANILO</t>
  </si>
  <si>
    <t>rdfarfanp@correo.udistrital.edu.co</t>
  </si>
  <si>
    <t>ronalddanilo@hotmail.com</t>
  </si>
  <si>
    <t>GUERRERO DIAZ MARIO FERNANDO</t>
  </si>
  <si>
    <t>mfguerrerod@correo.udistrital.edu.co</t>
  </si>
  <si>
    <t>mfguerrero@hotmail.com</t>
  </si>
  <si>
    <t>MORENO PINILLA ALEJANDRO</t>
  </si>
  <si>
    <t>almorenop@correo.udistrital.edu.co</t>
  </si>
  <si>
    <t>amoreno@dataglobal.com.co</t>
  </si>
  <si>
    <t>ACOSTA AGUDELO EIBIN FABIAN</t>
  </si>
  <si>
    <t>eibinfabian@gmail.com</t>
  </si>
  <si>
    <t>BERNAL COLLAZO MOISES</t>
  </si>
  <si>
    <t>thepower777@starmedia.com</t>
  </si>
  <si>
    <t>BLANCO RODRIGUEZ HECTOR IVAN</t>
  </si>
  <si>
    <t>blancor.hectori@gmail.com</t>
  </si>
  <si>
    <t>BUSTOS MOLINA JOSE RICARDO</t>
  </si>
  <si>
    <t>jrbustosm@gmail.com</t>
  </si>
  <si>
    <t>MARTINEZ PEREZ LUCY PAOLA</t>
  </si>
  <si>
    <t>paola928@hotmail.com</t>
  </si>
  <si>
    <t>MONCADA VEGA DIEGO ANDRES</t>
  </si>
  <si>
    <t>damoncadav@udistrital.edu.co</t>
  </si>
  <si>
    <t>dandresmv@yahoo.com</t>
  </si>
  <si>
    <t>ROJAS POLANIA FABIAN ANDRES</t>
  </si>
  <si>
    <t>faropo@gmail.com</t>
  </si>
  <si>
    <t>RUBIANO ACOSTA MARY LUZ</t>
  </si>
  <si>
    <t>ingmaryr@gmail.com</t>
  </si>
  <si>
    <t>DIAZ ESCUDERO HUMBERTO ANDRES</t>
  </si>
  <si>
    <t>huadiaze@correo.udistrital.edu.co</t>
  </si>
  <si>
    <t>humbertodiaz2@gmail.com</t>
  </si>
  <si>
    <t>TI</t>
  </si>
  <si>
    <t>PEREZ AREVALO JAVIER ALEXANDER</t>
  </si>
  <si>
    <t>ing.javier.perez@gmail.com</t>
  </si>
  <si>
    <t>CANO GARCIA FREDY ENRIQUE</t>
  </si>
  <si>
    <t>frecano@gmail.com</t>
  </si>
  <si>
    <t>SANTOS TIBADUIZA ARTURO</t>
  </si>
  <si>
    <t>udsantos2015@gmail.com</t>
  </si>
  <si>
    <t>MORA ESCOBAR LUIS MIGUEL</t>
  </si>
  <si>
    <t>ceo@ieiti.co</t>
  </si>
  <si>
    <t>CRUZ CARDOZO JOSE LAUREANO</t>
  </si>
  <si>
    <t>joseph019@gmail.com</t>
  </si>
  <si>
    <t>SABY BELTRAN JORGE ENRIQUE</t>
  </si>
  <si>
    <t>jesabyb@correo.udistrital.edu.co</t>
  </si>
  <si>
    <t>jesabyb@estudiante.udistrital.edu.co</t>
  </si>
  <si>
    <t>MAE. EN CIENCIAS DE LA INF. Y LAS COMUNICACIONES ENFASIS EN GEOMATICA</t>
  </si>
  <si>
    <t>GUTIERREZ URUENA CARLOS EDUARDO</t>
  </si>
  <si>
    <t>cegutierrezu@udistrital.edu.co</t>
  </si>
  <si>
    <t>cgutierrezu@unal.edu.co</t>
  </si>
  <si>
    <t>JASON MAURICIO ROMERO RIOS</t>
  </si>
  <si>
    <t>jamromeror@udistrital.edu.co</t>
  </si>
  <si>
    <t>MEJIA ROCHA MARINO</t>
  </si>
  <si>
    <t>mmejiar@udistrital.edu.co</t>
  </si>
  <si>
    <t>marino.mejia@gmail.com</t>
  </si>
  <si>
    <t>RIVERA GUERRERO BIBIANA ROCIO</t>
  </si>
  <si>
    <t>brriverag@correo.udistrital.edu.co</t>
  </si>
  <si>
    <t>bibianarocio1984@gmail.com</t>
  </si>
  <si>
    <t>DONCEL BALLEN DAVID</t>
  </si>
  <si>
    <t>ddoncelb@gmail.com</t>
  </si>
  <si>
    <t>FIGUEROA CEFERINO DIANA CAROLINA</t>
  </si>
  <si>
    <t>carofc@gmail.com</t>
  </si>
  <si>
    <t>OSORIO BAQUERO ISMAEL</t>
  </si>
  <si>
    <t>PACHON CENDALES INDIRA PAOLA</t>
  </si>
  <si>
    <t>indira197@gmail.com</t>
  </si>
  <si>
    <t>RAMIREZ FERNANDEZ SALOMON EISTEIN</t>
  </si>
  <si>
    <t>RIVAS DIAZGRANADOS MARIAM</t>
  </si>
  <si>
    <t>mrivasd@correo.udistrital.edu.co</t>
  </si>
  <si>
    <t>mariam_rivas@hotmail.com</t>
  </si>
  <si>
    <t>REYES GOMEZ IVAN ANDRES</t>
  </si>
  <si>
    <t>iareyesgomez@gmail.com</t>
  </si>
  <si>
    <t>ESPEJO VALERO OSCAR JAVIER</t>
  </si>
  <si>
    <t>ojespejo@gmail.com</t>
  </si>
  <si>
    <t>ESPINOSA GOMEZ YENNY</t>
  </si>
  <si>
    <t>yespinosa@udistrital.edu.co</t>
  </si>
  <si>
    <t>HERRERA DE LA ROSA LORENA LIZETH</t>
  </si>
  <si>
    <t>lorenadelarosa2@hotmail.com</t>
  </si>
  <si>
    <t>MONCADA SANCHEZ JAVIER FELIPE</t>
  </si>
  <si>
    <t>jfmoncadas@gmail.com</t>
  </si>
  <si>
    <t>ROCHA SALAMANCA MAURICIO FERNANDO</t>
  </si>
  <si>
    <t>CASTRILLON OSORIO OMAR</t>
  </si>
  <si>
    <t>ocastrillono@correo.udistrital.edu.co</t>
  </si>
  <si>
    <t>oco1117@gmail.com</t>
  </si>
  <si>
    <t>LOPEZ LOPEZ JHON FREDY</t>
  </si>
  <si>
    <t>jflopezl@correo.udistrital.edu.co</t>
  </si>
  <si>
    <t>jfredyl@gmail.com</t>
  </si>
  <si>
    <t>RAMIREZ NAVARRO SERGIO ALEXANDER</t>
  </si>
  <si>
    <t>saramirezn@correo.udistrital.edu.co</t>
  </si>
  <si>
    <t>sergio.ramirez@incige.com</t>
  </si>
  <si>
    <t>MATIZ LEON JHON CAMILO</t>
  </si>
  <si>
    <t>ing.camilo.matiz@gmail.com</t>
  </si>
  <si>
    <t>SERGIO ALEJANDRO ROJAS BARBOSA</t>
  </si>
  <si>
    <t>sarojasb@correo.udistrital.edu.co</t>
  </si>
  <si>
    <t>seralejo2004@gmail.com</t>
  </si>
  <si>
    <t>JESSICA ANDREA ZAPATA GRAJALES</t>
  </si>
  <si>
    <t>azapatag@correo.udistrital.edu.co</t>
  </si>
  <si>
    <t>jessiandre71@gmail.com</t>
  </si>
  <si>
    <t>MURILLO CASTAÑEDA RAUL ALEJANDRO</t>
  </si>
  <si>
    <t>raamurilloc@correo.udistrital.edu.co</t>
  </si>
  <si>
    <t>alejomurillo7@hotmail.com</t>
  </si>
  <si>
    <t>ALVARADO VARGAS DIANA CAROLINA</t>
  </si>
  <si>
    <t>dcalvaradov@correo.udistrital.edu.co</t>
  </si>
  <si>
    <t>diana.caro5212@gmail.com</t>
  </si>
  <si>
    <t>BENAVIDES GODOY JEISSON ENRIQUE</t>
  </si>
  <si>
    <t>jebenavidesg@correo.udistrital.edu.co</t>
  </si>
  <si>
    <t>jeissonbenavides@hotmail.com</t>
  </si>
  <si>
    <t>CABIATIVA SANCHEZ OSCAR ABRAHAM</t>
  </si>
  <si>
    <t>oacabiativas@udistrital.edu.co</t>
  </si>
  <si>
    <t>cabiato90@gmail.com</t>
  </si>
  <si>
    <t>CORTES BUITRAGO WALTER ANDRES</t>
  </si>
  <si>
    <t>wacortesb@correo.udistrital.edu.co</t>
  </si>
  <si>
    <t>wacortes88@gmail.com</t>
  </si>
  <si>
    <t>CUELLAR GUTIERREZ JULIO ARMANDO</t>
  </si>
  <si>
    <t>jacuellarg@correo.udistrital.edu.co</t>
  </si>
  <si>
    <t>ingjuliocuellar@gmail.com</t>
  </si>
  <si>
    <t>FLOREZ GARCIA ANDRES CAMILO</t>
  </si>
  <si>
    <t>andrescfg@gmail.com</t>
  </si>
  <si>
    <t>MARTINEZ AGUIRRE NELSON DAVID</t>
  </si>
  <si>
    <t>ndmartineza@udistrital.edu.co</t>
  </si>
  <si>
    <t>davidmartinezaguirre@hotmail.com</t>
  </si>
  <si>
    <t>SANDOVAL LAGOS JONATHAN SAID</t>
  </si>
  <si>
    <t>jssandovall@udistrital.edu.co</t>
  </si>
  <si>
    <t>CADENA CONTRERAS LAURA ANGÉLICA</t>
  </si>
  <si>
    <t>lacadenac@udistrital.edu.co</t>
  </si>
  <si>
    <t>lacadenacontreras@gmail.com</t>
  </si>
  <si>
    <t>CASTILLO CASTELLANOS OSCAR JAVIER</t>
  </si>
  <si>
    <t>ojcastilloc@udistrital.edu.co</t>
  </si>
  <si>
    <t>rakzocast@gmail.com</t>
  </si>
  <si>
    <t>GUTIERREZ GUERRERO HELBER LEONARDO</t>
  </si>
  <si>
    <t>hlgutierrezg@udistrital.edu.co</t>
  </si>
  <si>
    <t>leonardoh12@gmail.com</t>
  </si>
  <si>
    <t>LUNA AREVALO FABIO NICOLAS</t>
  </si>
  <si>
    <t>nicolaslunageo2@gmail.com</t>
  </si>
  <si>
    <t>OCHOA TORRES SINDY NATALI</t>
  </si>
  <si>
    <t>snochoat@correo.udistrital.edu.co</t>
  </si>
  <si>
    <t>nathaliochoa@gmail.com</t>
  </si>
  <si>
    <t>ZARATE AREVALO HERNAN DARIO</t>
  </si>
  <si>
    <t>hdzaratea@correo.udistrital.edu.co</t>
  </si>
  <si>
    <t>hzaratepot2013@gmail.com</t>
  </si>
  <si>
    <t>CABALLERO MODERA NICOLS ERNESTO</t>
  </si>
  <si>
    <t>necaballerom@udistrital.edu.co</t>
  </si>
  <si>
    <t>necaballerom@gmail.com</t>
  </si>
  <si>
    <t>CARDONA PIEDRAHITA LEONARDO ALEXANDER</t>
  </si>
  <si>
    <t>lacardonap@correo.udistrital.edu.co</t>
  </si>
  <si>
    <t>leocardonapiedrahita@gmail.com</t>
  </si>
  <si>
    <t>CARRILLO DURAN IVAN DARIO</t>
  </si>
  <si>
    <t>idcarrillod@correo.udistrital.edu.co</t>
  </si>
  <si>
    <t>ivancho4321@hotmail.com</t>
  </si>
  <si>
    <t>CORTES BUITRAGO OMAR</t>
  </si>
  <si>
    <t>ocortesb@udistrital.edu.co</t>
  </si>
  <si>
    <t>omar.cortes@wgsltda.com.co</t>
  </si>
  <si>
    <t>GARZON MARTINEZ SONIA CONSTANZA</t>
  </si>
  <si>
    <t>scgarzonm@correo.udistrital.edu.co</t>
  </si>
  <si>
    <t>garzonsonia@gmail.com</t>
  </si>
  <si>
    <t>GONZALEZ PARRA CAMILO ANDRES</t>
  </si>
  <si>
    <t>cagonzalezp@correo.udistrital.edu.co</t>
  </si>
  <si>
    <t>camiloandresgonzalezp@gmail.com</t>
  </si>
  <si>
    <t>NUÑEZ EGUIS EMILY DAYANA</t>
  </si>
  <si>
    <t>ednuneze@correo.udistrital.edu.co</t>
  </si>
  <si>
    <t>emilyda9@gmail.com</t>
  </si>
  <si>
    <t>RODRIGUEZ LAMUS DIEGO FERNANDO</t>
  </si>
  <si>
    <t>dfrodriguezl@correo.udistrital.edu.co</t>
  </si>
  <si>
    <t>dfrodriguezl94@gmail.com</t>
  </si>
  <si>
    <t>BECERRA GARCÍA LAURA JUANITA</t>
  </si>
  <si>
    <t>ljbecerrag@udistrital.edu.co</t>
  </si>
  <si>
    <t>ljbecerrag@gmail.com</t>
  </si>
  <si>
    <t>LEÓN CAROLINA GIRÓN</t>
  </si>
  <si>
    <t>cleong@correo.udistrital.edu.co</t>
  </si>
  <si>
    <t>cleongiron@gmail.com</t>
  </si>
  <si>
    <t>NIETO VERA YENI ANDREA</t>
  </si>
  <si>
    <t>yeanietov@correo.udistrital.edu.co</t>
  </si>
  <si>
    <t>yennynieto01@gmail.com</t>
  </si>
  <si>
    <t>PATIÑO RIVERA HÉCTOR RICARDO</t>
  </si>
  <si>
    <t>hrpatinor@udistrital.edu.co</t>
  </si>
  <si>
    <t>hectorpatino24@gmail.com</t>
  </si>
  <si>
    <t>PORRAS MARTÍN CAMILO ANDRÉS</t>
  </si>
  <si>
    <t>caporrasm@udistrital.edu.co</t>
  </si>
  <si>
    <t>milo1409@gmail.com</t>
  </si>
  <si>
    <t>PULIDO ARIAS ROBERT ANDRÉS</t>
  </si>
  <si>
    <t>rapulidoa@udistrital.edu.co</t>
  </si>
  <si>
    <t>ingrobertpulido@gmail.com</t>
  </si>
  <si>
    <t>TORO GARAY GISELLE HELENA</t>
  </si>
  <si>
    <t>ghtorog@correo.udistrital.edu.co</t>
  </si>
  <si>
    <t>gisetoga@live.com</t>
  </si>
  <si>
    <t>VALLEJO ARÉVALO WILMER HARVEY</t>
  </si>
  <si>
    <t>whvallejoa@correo.udistrital.edu.co</t>
  </si>
  <si>
    <t>whvallejoa@gmail.com</t>
  </si>
  <si>
    <t>GUERRERO BUELVAS LUIS MANUEL</t>
  </si>
  <si>
    <t>lmguerrerob@udistrital.edu.co</t>
  </si>
  <si>
    <t>lmguerrerob@correo.udistrital.edu.co</t>
  </si>
  <si>
    <t>ROBLES MONDRAGON DUVAN ALEXANDER</t>
  </si>
  <si>
    <t>daroblesm@correo.udistrital.edu.co</t>
  </si>
  <si>
    <t>dalexrobles@gmail.com</t>
  </si>
  <si>
    <t>GALINDO AMBUILA JHON ALEXANDER</t>
  </si>
  <si>
    <t>jagalindoa@udistrital.edu.co</t>
  </si>
  <si>
    <t>jagalindoa@correo.udistrital.edu.co</t>
  </si>
  <si>
    <t>GONZALEZ BUITRAGO GABRIEL HERNAN</t>
  </si>
  <si>
    <t>ghgonzalezb@correo.udistrital.edu.co</t>
  </si>
  <si>
    <t>MANRIQUE CHACON LAURA MELISSA</t>
  </si>
  <si>
    <t>lmmanriquec@correo.udistrital.edu.co</t>
  </si>
  <si>
    <t>manriquelaura31@gmail.com</t>
  </si>
  <si>
    <t>MESA OSPINA ANDRES DAVID</t>
  </si>
  <si>
    <t>andmesao@udistrital.edu.co</t>
  </si>
  <si>
    <t>admesao96@gmail.com</t>
  </si>
  <si>
    <t>MORENO GAMA JUAN MANUEL</t>
  </si>
  <si>
    <t>juammorenog@udistrital.edu.co</t>
  </si>
  <si>
    <t>PARRA GARZÓN JUAN CARLOS</t>
  </si>
  <si>
    <t>jcparrag@udistrital.edu.co</t>
  </si>
  <si>
    <t>Jcparrag2000@gmail.com</t>
  </si>
  <si>
    <t>FERNÁNDEZ CAMPOS JAVIER ORLANDO</t>
  </si>
  <si>
    <t>jofernandezc@correo.udistrital.edu.co</t>
  </si>
  <si>
    <t>fernandezjavier480@gmail.com</t>
  </si>
  <si>
    <t>GONZALEZ HERREÑO DAVID EDUARDO</t>
  </si>
  <si>
    <t>degonzalezh@correo.udistrital.edu.co</t>
  </si>
  <si>
    <t>davide_245@hotmail.com</t>
  </si>
  <si>
    <t>LÓPEZ CALLE MARÍA ISABEL</t>
  </si>
  <si>
    <t>milopezc@udistrital.edu.co</t>
  </si>
  <si>
    <t>isalopez0216@gmail.com</t>
  </si>
  <si>
    <t>MONTOYA QUINTERO GERMAN DAVID</t>
  </si>
  <si>
    <t>gdmontoyaq@correo.udistrital.edu.co</t>
  </si>
  <si>
    <t>gdmontoyaq@gmail.com</t>
  </si>
  <si>
    <t>RAYO BERMUDEZ KAREN YULIETH</t>
  </si>
  <si>
    <t>kyrayob@correo.udistrital.edu.co</t>
  </si>
  <si>
    <t>karenrayo27@gmail.com</t>
  </si>
  <si>
    <t>SUAREZ JAIMES PAOLA ANDREA</t>
  </si>
  <si>
    <t>pasuarezj@udistrital.edu.co</t>
  </si>
  <si>
    <t>ingpaolasuarez@gmail.com</t>
  </si>
  <si>
    <t>MORALES ESCOBAR ANA ALEXANDRA</t>
  </si>
  <si>
    <t>meanaa@udistrital.edu.co</t>
  </si>
  <si>
    <t>analexandra.morales@gmail.com</t>
  </si>
  <si>
    <t>GARCÍA GUZMÁN PEDRO PABLO</t>
  </si>
  <si>
    <t>ggpedrop@udistrital.edu.co</t>
  </si>
  <si>
    <t>pedropgarciag@gmail.com</t>
  </si>
  <si>
    <t>ZARAZA AGUILERA MAYCOL ALEJANDRO</t>
  </si>
  <si>
    <t>zamaycola@udistrital.edu.co</t>
  </si>
  <si>
    <t>maikolzaraza07@gmail.com</t>
  </si>
  <si>
    <t>RUIZ MORALES TANIA LORENA</t>
  </si>
  <si>
    <t>tlruizm@udistrital.edu.co</t>
  </si>
  <si>
    <t>tlorena.icg@gmail.com</t>
  </si>
  <si>
    <t>SUÁREZ RODRÍGUEZ JUAN MANUEL</t>
  </si>
  <si>
    <t>srjuanm@correo.udistrital.edu.co</t>
  </si>
  <si>
    <t>ingjuanmasuarez@gmail.com</t>
  </si>
  <si>
    <t>PACHON RODRIGUEZ WILLIAN ANTONIO</t>
  </si>
  <si>
    <t>prwilliana@udistrital.edu.co</t>
  </si>
  <si>
    <t>willian.pachon@gmail.com</t>
  </si>
  <si>
    <t>GÓMEZ CAMARGO LAURA NICOLE</t>
  </si>
  <si>
    <t>lngomezc@udistrital.edu.co</t>
  </si>
  <si>
    <t>laura.nicole.gomez@gmail.com</t>
  </si>
  <si>
    <t>MONTES LÓPEZ DIEGO FERNANDO</t>
  </si>
  <si>
    <t>dfmontesl@correo.udistrital.edu.co</t>
  </si>
  <si>
    <t>adiegomontes@gmail.com</t>
  </si>
  <si>
    <t>PERALTA HERNÁNDEZ ANGIE ESTEFANÍA</t>
  </si>
  <si>
    <t>aeperaltah@udistrital.edu.co</t>
  </si>
  <si>
    <t>aeperaltah@correo.udistrital.edu.co</t>
  </si>
  <si>
    <t>RODRÍGUEZ LÓPEZ JORGE LEONARDO</t>
  </si>
  <si>
    <t>jolerodriguezl@udistrital.edu.co</t>
  </si>
  <si>
    <t>leo-rodriguez.08@hotmail.com</t>
  </si>
  <si>
    <t>RODRÍGUEZ RODRÍGUEZ WILLIAM STEVEN</t>
  </si>
  <si>
    <t>wsrodriguezr@udistrital.edu.co</t>
  </si>
  <si>
    <t>stevengears@gmail.com</t>
  </si>
  <si>
    <t>SILVA ÁVILA DANIEL FERNANDO</t>
  </si>
  <si>
    <t>dfsilvaa@udistrital.edu.co</t>
  </si>
  <si>
    <t>daniel1uno@gmail.com</t>
  </si>
  <si>
    <t>CRUZ HINCAPIE ARIANA CAROLINA</t>
  </si>
  <si>
    <t>accruzh@udistrital.edu.co</t>
  </si>
  <si>
    <t>accruzh@gmail.com</t>
  </si>
  <si>
    <t>LOPEZ PINZON SERGIO DANIEL</t>
  </si>
  <si>
    <t>sdlopezp@udistrital.edu.co</t>
  </si>
  <si>
    <t>sdlopezp@hotmail.es</t>
  </si>
  <si>
    <t>SUAREZ ALBARRACIN NADIA LUZ</t>
  </si>
  <si>
    <t>mpvalbuenag@udistrital.edu.co</t>
  </si>
  <si>
    <t>nadsual8@gmail.com</t>
  </si>
  <si>
    <t>ofbordac@udistrital.edu.co</t>
  </si>
  <si>
    <t>MONTANO MORENO ANDRES OROSMAN</t>
  </si>
  <si>
    <t>aomontanom@udistrital.edu.co</t>
  </si>
  <si>
    <t>andresorosman.65@gmail.com</t>
  </si>
  <si>
    <t>ROMERO BELTRAN JEISSON ANDRES</t>
  </si>
  <si>
    <t>jearomerob@udistrital.edu.co</t>
  </si>
  <si>
    <t>andresromerobeltran@gmail.com</t>
  </si>
  <si>
    <t>VALBUENA GAONA MARTHA PATRICIA</t>
  </si>
  <si>
    <t>mpvalbuenag@gmail.com</t>
  </si>
  <si>
    <t>MATTA MONROY NANCY JOHANA</t>
  </si>
  <si>
    <t>njmattam@udistrital.edu.co</t>
  </si>
  <si>
    <t>CABEZAS MARTIN GONZALO</t>
  </si>
  <si>
    <t>gcabezasm@udistrital.edu.co</t>
  </si>
  <si>
    <t>gonzalocabezas06@gmail.com</t>
  </si>
  <si>
    <t>CUMBE LOAIZA LAURA CAMILA</t>
  </si>
  <si>
    <t>lccumbel@udistrital.edu.co</t>
  </si>
  <si>
    <t>cumbelc@gmail.com</t>
  </si>
  <si>
    <t>GUERRERO VARONA LUIS MIGUEL</t>
  </si>
  <si>
    <t>lmguerrerov@udistrital.edu.co</t>
  </si>
  <si>
    <t>ROMERO BELTRÁN JEISSON ANDRÉS</t>
  </si>
  <si>
    <t>ZAPATA CASTRO SINDY ALEJANDRA</t>
  </si>
  <si>
    <t>ingeniera.alejandrazapata@gmail.com</t>
  </si>
  <si>
    <t>CORCHUELO CUERVO YULI ANDREA</t>
  </si>
  <si>
    <t>lacorchuelo@gmail.com</t>
  </si>
  <si>
    <t>RIVERA SANCHEZ HAYLERMAN FERNANDO</t>
  </si>
  <si>
    <t>hfriveras@udistrital.edu.co</t>
  </si>
  <si>
    <t>hfriveraz@gmail.com</t>
  </si>
  <si>
    <t>BLANCO GONZALEZ LUIS STEVENS</t>
  </si>
  <si>
    <t>ing.luisblancogonzalez@gmail.com</t>
  </si>
  <si>
    <t>BUSTACARA SALAZAR NATALIA ESPERANZA</t>
  </si>
  <si>
    <t>natabustacara@gmail.com</t>
  </si>
  <si>
    <t>dfrofriguezlf94@gmail.com</t>
  </si>
  <si>
    <t>CAICEDO TIVABIJA EDGAR JAVIER</t>
  </si>
  <si>
    <t>ejcaicedot@correo.udistrital.edu.co</t>
  </si>
  <si>
    <t>javiercaicedo007@gmail.com</t>
  </si>
  <si>
    <t>BECERRA MARTINEZ YURI LORENA</t>
  </si>
  <si>
    <t>ylbecerram@correo.udistrital.edu.co</t>
  </si>
  <si>
    <t>lorebm05@gmail.com</t>
  </si>
  <si>
    <t>CEPEDA QUINTERO RICARDO EDILBERTO</t>
  </si>
  <si>
    <t>recepedaq@correo.udistrital.edu.co</t>
  </si>
  <si>
    <t>ricardocepeda27@hotmail.com</t>
  </si>
  <si>
    <t>CCAMA TICONA ULISES</t>
  </si>
  <si>
    <t>ulccamat@correo.udistrital.edu.co</t>
  </si>
  <si>
    <t>uccamat@gmail.com</t>
  </si>
  <si>
    <t>PA</t>
  </si>
  <si>
    <t>AYALA RICO JAIRO ALEJANDRO</t>
  </si>
  <si>
    <t>jaayalar@udistrital.edu.co</t>
  </si>
  <si>
    <t>jaayalar@hotmail.com</t>
  </si>
  <si>
    <t>BOCANEGRA PATAQUIVA DIANA ALEJANDRA</t>
  </si>
  <si>
    <t>dabocanegrap@correo.udistrital.edu.co</t>
  </si>
  <si>
    <t>diana02aleja@hotmail.com</t>
  </si>
  <si>
    <t>lafajardor@correo.udistrital.edu.co</t>
  </si>
  <si>
    <t>fajardoreina@gmail.com</t>
  </si>
  <si>
    <t>NIÑO APARICIO DAVID FERNANDO</t>
  </si>
  <si>
    <t>dfninoa@correo.udistrital.edu.co</t>
  </si>
  <si>
    <t>davnino2015@gmail.com</t>
  </si>
  <si>
    <t>NIÑO PEÑA CHRISTIAM ALEJANDRO</t>
  </si>
  <si>
    <t>caninop@correo.udistrital.edu.co</t>
  </si>
  <si>
    <t>ca.nino@outlook.com</t>
  </si>
  <si>
    <t>gclauran@correo.udistrital.edu.co</t>
  </si>
  <si>
    <t>lngomezc@correo.udistrital.edu.co</t>
  </si>
  <si>
    <t>RUIZ FERNANDEZ MARLON RICARDO</t>
  </si>
  <si>
    <t>ricardh.95@gmail.com</t>
  </si>
  <si>
    <t>BAUTISTA MONTANA DANY JAVIER</t>
  </si>
  <si>
    <t>danyjavierb@gmail.com</t>
  </si>
  <si>
    <t>AVENDANO GOMEZ ANGIE LORENA</t>
  </si>
  <si>
    <t>angielrn@hotmail.es</t>
  </si>
  <si>
    <t>PULIDO CASTILLO DIEGO MAURICIO</t>
  </si>
  <si>
    <t>dmpulidoc@correo.udistrital.edu.co</t>
  </si>
  <si>
    <t>RODRIGUEZ LAYTON DANIEL MIGUEL</t>
  </si>
  <si>
    <t>dmrodriguezl@correo.udistrital.edu.co</t>
  </si>
  <si>
    <t>AGUILAR RUIZ JOSE MANUEL</t>
  </si>
  <si>
    <t>jmaguilarr@udistrital.edu.co</t>
  </si>
  <si>
    <t>josemanuel.aguilarruiz@gmail.com</t>
  </si>
  <si>
    <t>ROJAS NARANJO JORGE ELIECER</t>
  </si>
  <si>
    <t>jorerojasn@udistrital.edu.co</t>
  </si>
  <si>
    <t>jerojasn@gmail.com</t>
  </si>
  <si>
    <t>AGUDELO VELASQUEZ WILSON GERMAN</t>
  </si>
  <si>
    <t>germagu@live.com</t>
  </si>
  <si>
    <t>ARIAS VARGAS DIEGO ELEXANDER</t>
  </si>
  <si>
    <t>diegoariasvargas@gmail.com</t>
  </si>
  <si>
    <t>JARAMILLO GUTIERREZ ANTONIO JOSE</t>
  </si>
  <si>
    <t>antoniojaramillo2002@gmail.com</t>
  </si>
  <si>
    <t>LARA VALENCIA SONIA JANNETH</t>
  </si>
  <si>
    <t>ingsonialara@yahoo.es</t>
  </si>
  <si>
    <t>LOPEZ BARBOSA ISRAEL ALEJANDRO</t>
  </si>
  <si>
    <t>ialopezb@udistrital.edu.co</t>
  </si>
  <si>
    <t>alejandro3781@gmail.com</t>
  </si>
  <si>
    <t>MONTENEGRO SANTAFE MARCO AURELIO</t>
  </si>
  <si>
    <t>montemarau@hotmail.com</t>
  </si>
  <si>
    <t>MORENO SEGURA JHON ERVIN</t>
  </si>
  <si>
    <t>jmoreno370@yahoo.es</t>
  </si>
  <si>
    <t>MORON RINCONES JOSÉ ENRIQUE</t>
  </si>
  <si>
    <t>josemoron_9@hotmail.com</t>
  </si>
  <si>
    <t>RODRIGUEZ SABOGAL EDWIN MAURICIO</t>
  </si>
  <si>
    <t>emauriciors@gmail.com</t>
  </si>
  <si>
    <t>ROMERO MENDEZ YOULIN FARIDY</t>
  </si>
  <si>
    <t>ingyoulinromero@gmail.com</t>
  </si>
  <si>
    <t>AYALA LEÓN ALEXANDER</t>
  </si>
  <si>
    <t>BERNAL REYES GERMÁN ORLANDO</t>
  </si>
  <si>
    <t>gobernal@gmail.com</t>
  </si>
  <si>
    <t>BENAVIDES GONZÁLEZ ÁNGEL MANUEL</t>
  </si>
  <si>
    <t>ambenavidesg@gmail.com</t>
  </si>
  <si>
    <t>SÁNCHEZ PÉREZ DANIA LORENA</t>
  </si>
  <si>
    <t>dlorena01@gmail.com</t>
  </si>
  <si>
    <t>ACERO PATIÑO NATALIA</t>
  </si>
  <si>
    <t>nacerop@correo.udistrital.edu.co</t>
  </si>
  <si>
    <t>natalitaap@gmail.com</t>
  </si>
  <si>
    <t>CORTES CERON EDWIN ALVARO</t>
  </si>
  <si>
    <t>eacortesc@correo.udistrital.edu.co</t>
  </si>
  <si>
    <t>edwincorts@gmail.com</t>
  </si>
  <si>
    <t>DUITAMA GUIO ASTRID YADIRA</t>
  </si>
  <si>
    <t>ayduitamag@correo.udistrital.edu.co</t>
  </si>
  <si>
    <t>yadugui@gmail.com</t>
  </si>
  <si>
    <t>GIRALDO RODRIGUEZ PAOLA BORITA</t>
  </si>
  <si>
    <t>pbgiraldor@correo.udistrital.edu.co</t>
  </si>
  <si>
    <t>polisgiraldo@gmail.com</t>
  </si>
  <si>
    <t>LAZARO MENDEZ DIEGO FERNANDO</t>
  </si>
  <si>
    <t>dflazarom@correo.udistrital.edu.co</t>
  </si>
  <si>
    <t>diego23444@hotmail.com</t>
  </si>
  <si>
    <t>MARTINEZ DIAZ GINA PATRICIA</t>
  </si>
  <si>
    <t>gpmartinezd@correo.udistrital.edu.co</t>
  </si>
  <si>
    <t>ginamartinezd2@gmail.com</t>
  </si>
  <si>
    <t>ROJAS NAVARRO JORGE ELIECER</t>
  </si>
  <si>
    <t>jerojas@gmail.com</t>
  </si>
  <si>
    <t>SANCHEZ PEREZ DANIA LORENA</t>
  </si>
  <si>
    <t>dlsanchezp@correo.udistrital.edu.co</t>
  </si>
  <si>
    <t>WILCHES ROJAS HERNAN DARIO</t>
  </si>
  <si>
    <t>hdwilchesr@correo.udistrital.edu.co</t>
  </si>
  <si>
    <t>hernanw500@hotmail.com</t>
  </si>
  <si>
    <t>GONZALEZ RODRIGUEZ ADRIAN ALEJANDRO</t>
  </si>
  <si>
    <t>adagonzalezr@correo.udistrital.edu.co</t>
  </si>
  <si>
    <t>gerencia@geomap.com.co</t>
  </si>
  <si>
    <t>MORENO CASTILLO DIEGO ALEXANDER</t>
  </si>
  <si>
    <t>ingdiegoalex@hotmail.com</t>
  </si>
  <si>
    <t>AURA CAROLINA ARIAS ZAMORA</t>
  </si>
  <si>
    <t>acariasz@hotmail.com</t>
  </si>
  <si>
    <t>JORGE ALFONSO FONSECA QUIROGA</t>
  </si>
  <si>
    <t>phonck@gmail.com</t>
  </si>
  <si>
    <t>JULIETH MARCELA GARCIA VARGAS</t>
  </si>
  <si>
    <t>julietagarcia89@hotmail.com</t>
  </si>
  <si>
    <t>LADINO ROJAS EDITH JOHANA</t>
  </si>
  <si>
    <t>edjolaro@gmail.com</t>
  </si>
  <si>
    <t>SANCHEZ MIRA LEIDI YESENIA</t>
  </si>
  <si>
    <t>lysanchezm@correo.udistrital.edu.co</t>
  </si>
  <si>
    <t>mirayesenia@gmail.com</t>
  </si>
  <si>
    <t>TORRES ESQUIVEL JORGE ENRIQUE</t>
  </si>
  <si>
    <t>jetorrese@correo.udistrital.edu.co</t>
  </si>
  <si>
    <t>ing.jorgetorres87@gmail.com</t>
  </si>
  <si>
    <t>LOPEZ ROJAS ANGELA PATRICIA</t>
  </si>
  <si>
    <t>angelalopez80@hotmail.com</t>
  </si>
  <si>
    <t>PAEZ LEGUIZAMON EDGAR MAURICIO</t>
  </si>
  <si>
    <t>maopaez13@gmail.com</t>
  </si>
  <si>
    <t>ROZO VANEGAS OSCAR ARMANDO</t>
  </si>
  <si>
    <t>oscarciencia@hotmail.com</t>
  </si>
  <si>
    <t>GIRALDO PEREZ RUBINEL</t>
  </si>
  <si>
    <t>rgiraldop@correo.udistrital.edu.co</t>
  </si>
  <si>
    <t>rubinelgiraldo@itga.com.co</t>
  </si>
  <si>
    <t>MELO ACOSTA FREDY</t>
  </si>
  <si>
    <t>f_melo_acosta@hotmail.com</t>
  </si>
  <si>
    <t>SÁNCHEZ GAITÁN OSCAR</t>
  </si>
  <si>
    <t>osanchezg@correo.udistrital.edu.co</t>
  </si>
  <si>
    <t>osaga40@gmail.com</t>
  </si>
  <si>
    <t>CARO MARTINEZ LAURA CONSUELO</t>
  </si>
  <si>
    <t>lccarom@correo.udistrital.edu.co</t>
  </si>
  <si>
    <t>conylaura@gmail.com</t>
  </si>
  <si>
    <t>ORDUÑA DIAZ JOHN ALEXANDER</t>
  </si>
  <si>
    <t>jaordunad@correo.udistrital.edu.co</t>
  </si>
  <si>
    <t>jalexorduna@gmail.com</t>
  </si>
  <si>
    <t>DEAZA CASTILLO DIEGO ALBERTO</t>
  </si>
  <si>
    <t>dadeazac@correo.udistrital.edu.co</t>
  </si>
  <si>
    <t>dadeaza@gmail.com</t>
  </si>
  <si>
    <t>CASTILLO RAMÍREZ CARLOS ANDRÉS</t>
  </si>
  <si>
    <t>caacastillor@udistrital.edu.co</t>
  </si>
  <si>
    <t>karloanca@gmail.com</t>
  </si>
  <si>
    <t>GONZÁLEZ TRIANA LEYDI ANDREA</t>
  </si>
  <si>
    <t>lagonzalezt@correo.udistrital.edu.co</t>
  </si>
  <si>
    <t>leidygnzalez@gmail.com</t>
  </si>
  <si>
    <t>MURCIA MORALES JOHAN CAMILO</t>
  </si>
  <si>
    <t>jcmurciam@udistrital.edu.co</t>
  </si>
  <si>
    <t>camimur90@gmail.com</t>
  </si>
  <si>
    <t>NOSSA CALDERÓN JAVIER ANDRÉS</t>
  </si>
  <si>
    <t>janossac@correo.udistrital.edu.co</t>
  </si>
  <si>
    <t>andresnossac@gmail.com</t>
  </si>
  <si>
    <t>ORTIZ RUIZ STEVEN OSWALDO</t>
  </si>
  <si>
    <t>soortizr@correo.udistrital.edu.co</t>
  </si>
  <si>
    <t>ingsortizr90@gmail.com</t>
  </si>
  <si>
    <t>ALFÉREZ RUIZ GUILLERMO</t>
  </si>
  <si>
    <t>galferezr@correo.udistrital.edu.co</t>
  </si>
  <si>
    <t>ingalferez@gmail.com</t>
  </si>
  <si>
    <t>CAICEDO TIBAVIJA EDGAR JAVIER</t>
  </si>
  <si>
    <t>RUEDA RODRIGUEZ DAVID ALONSO</t>
  </si>
  <si>
    <t>daruedar@udistrital.edu.co</t>
  </si>
  <si>
    <t>rueda.david@gmail.com</t>
  </si>
  <si>
    <t>DUQUE GIRALDO ALEJANDRO</t>
  </si>
  <si>
    <t>aduqueg@correo.udistrital.edu.co</t>
  </si>
  <si>
    <t>duque_694@hotmail.com</t>
  </si>
  <si>
    <t>HURTADO VÁSQUEZ CRISTIAN CAMILO</t>
  </si>
  <si>
    <t>cchurtadov@udistrital.edu.co</t>
  </si>
  <si>
    <t>LEAL VELEZ ANDERSON</t>
  </si>
  <si>
    <t>alealv@udistrital.edu.co</t>
  </si>
  <si>
    <t>andersonlealv@gmail.com</t>
  </si>
  <si>
    <t>LARA ABELLO JENNIFFER</t>
  </si>
  <si>
    <t>jlaraa@correo.udistrital.edu.co</t>
  </si>
  <si>
    <t>NIÑO VILLAMIZAR IVAN DARIO</t>
  </si>
  <si>
    <t>idninov@correo.udistrital.edu.co</t>
  </si>
  <si>
    <t>SÁNCHEZ DÍAZ JUAN DAVID</t>
  </si>
  <si>
    <t>sdjuand@correo.udistrital.edu.co</t>
  </si>
  <si>
    <t>juandads@hotmail.com</t>
  </si>
  <si>
    <t>ALONSO NIETO WILLIAM</t>
  </si>
  <si>
    <t>anietow@correo.udistrital.edu.co</t>
  </si>
  <si>
    <t>wi.alonso@gmail.com</t>
  </si>
  <si>
    <t>CAITA SOTAQUIRÁ NATALIA</t>
  </si>
  <si>
    <t>ncaitas@udistrital.edu.co</t>
  </si>
  <si>
    <t>nati.caita@gmail.com</t>
  </si>
  <si>
    <t>CIFUENTES LÓPEZ DAVID LEONARDO</t>
  </si>
  <si>
    <t>cldavidl@correo.udistrital.edu.co</t>
  </si>
  <si>
    <t>dlcifuentesl@gmail.com</t>
  </si>
  <si>
    <t>MALAGON MARQUEZ DIEGO ALEJANDRO</t>
  </si>
  <si>
    <t>mmdiegoa@udistrital.edu.co</t>
  </si>
  <si>
    <t>dalejomalagon@gmail.com</t>
  </si>
  <si>
    <t>HUERTAS VARGAS KAREN ANDREA</t>
  </si>
  <si>
    <t>karenahva@gmail.com</t>
  </si>
  <si>
    <t>BAUTISTA MANRIQUE LUIS FERNANDO</t>
  </si>
  <si>
    <t>bmluisf@correo.udistrital.edu.co</t>
  </si>
  <si>
    <t>luferbaman@gmail.com</t>
  </si>
  <si>
    <t>MOLINA HERRERA DIVA ESMERALDA</t>
  </si>
  <si>
    <t>mhdivae@correo.udistrital.edu.co</t>
  </si>
  <si>
    <t>molina.esmeralda@gmail.com</t>
  </si>
  <si>
    <t>BARRERO CUBILLOS CAMILO ANDRÉS</t>
  </si>
  <si>
    <t>cabarreroc@udistrital.edu.co</t>
  </si>
  <si>
    <t>camilobarreroc@gmail.com</t>
  </si>
  <si>
    <t>BURGOS GALINDO ANYI LORENA</t>
  </si>
  <si>
    <t>alburgosg@correo.udistrital.edu.co</t>
  </si>
  <si>
    <t>COLONIA DAVID RICARDO</t>
  </si>
  <si>
    <t>angel.vid@gmail.com</t>
  </si>
  <si>
    <t>MARQUEZ GAMARRA SERGIO ALEXANDER</t>
  </si>
  <si>
    <t>seamarquezg@udistrital.edu.co</t>
  </si>
  <si>
    <t>patricioestupido@gmail.com</t>
  </si>
  <si>
    <t>PACHON GARZON SERGIO DAVID</t>
  </si>
  <si>
    <t>sdpachong@gmail.com</t>
  </si>
  <si>
    <t>RODRIGUEZ MARTIN ANGELA MARIA</t>
  </si>
  <si>
    <t>anmrodriguezm@correo.udistrital.edu.co</t>
  </si>
  <si>
    <t>RODRIGUEZ ORTIZ LUIS DANIEL</t>
  </si>
  <si>
    <t>danielrodriguezo@gmail.com</t>
  </si>
  <si>
    <t>SALINAS CORREDOR DIANA MARCELA</t>
  </si>
  <si>
    <t>dianasalinas820@gmail.com</t>
  </si>
  <si>
    <t>VILLAMIL RIVERA CINDY DAYANI</t>
  </si>
  <si>
    <t>cdvillamilr@correo.udistrital.edu.co</t>
  </si>
  <si>
    <t>sazapatac@udistrital.edu.co</t>
  </si>
  <si>
    <t>MEJIA CONTENTO CESAR ANDRES</t>
  </si>
  <si>
    <t>ceamejiac@correo.udistrital.edu.co</t>
  </si>
  <si>
    <t>ccma_93@hotmail.com</t>
  </si>
  <si>
    <t>CRISTANCHO CARO CAMILO SEBASTIAN</t>
  </si>
  <si>
    <t>cscristanchoc@correo.udistrital.edu.co</t>
  </si>
  <si>
    <t>cscristanchoc@gmail.com</t>
  </si>
  <si>
    <t>MOGOLLON DIAZ ALEXANDER</t>
  </si>
  <si>
    <t>amogollond@udistrital.edu.co</t>
  </si>
  <si>
    <t>jlexdiaz@gmail.com</t>
  </si>
  <si>
    <t>ANGEL VILLAREAL SERGIO LEONARDO</t>
  </si>
  <si>
    <t>slangelv@udistrital.edu.co</t>
  </si>
  <si>
    <t>angelvsergio@gmail.com</t>
  </si>
  <si>
    <t>MENDOZA RINCON JORGE ALIRIO</t>
  </si>
  <si>
    <t>aliriomri@gmail.com</t>
  </si>
  <si>
    <t>MAE. EN CIENCIAS DE LA INF. Y LAS COMUNICACIONES ENFASIS EN ING. SOFT</t>
  </si>
  <si>
    <t>MONTENEGRO ALVARADO ANDRÉS DAVID</t>
  </si>
  <si>
    <t>admontenegroa@udistrital.edu.co</t>
  </si>
  <si>
    <t>admontenegroa@gmail.com</t>
  </si>
  <si>
    <t>AGUIRRE CARPETA WILLIAM YESID</t>
  </si>
  <si>
    <t>wyaguirrec@udistrital.edu.co</t>
  </si>
  <si>
    <t>williamaguirrecarpeta@gmail.com</t>
  </si>
  <si>
    <t>CAPERA QUINTANA JONATHAN STEVEN</t>
  </si>
  <si>
    <t>jscaperaq@udistrital.edu.co</t>
  </si>
  <si>
    <t>jscaperaq@gmail.com</t>
  </si>
  <si>
    <t>CASTANEDA ALVARADO JUAN CAMILO</t>
  </si>
  <si>
    <t>juccastanedaa@udistrital.edu.co</t>
  </si>
  <si>
    <t>JUANCAMILO.CASTANEDAA@GMAIL.COM</t>
  </si>
  <si>
    <t>PINZON GOMEZ GUILLERMO</t>
  </si>
  <si>
    <t>gpinzong@udistrital.edu.co</t>
  </si>
  <si>
    <t>guillepin@gmail.com</t>
  </si>
  <si>
    <t>CAÑON ESQUIVEL JOSE DARIO</t>
  </si>
  <si>
    <t>jdcanone@udistrital.edu.co</t>
  </si>
  <si>
    <t>canonesquivel@hotmail.com</t>
  </si>
  <si>
    <t>RODRIGUEZ DAZA NICOLAS</t>
  </si>
  <si>
    <t>nrodriguezd@udistrital.edu.co</t>
  </si>
  <si>
    <t>nicolasrd1808@gmail.com</t>
  </si>
  <si>
    <t>SANCHEZ BOLAÑOS CRISTIAN DAVID</t>
  </si>
  <si>
    <t>cdsanchezbo@udistrital.edu.co</t>
  </si>
  <si>
    <t>crdsanchezb@correo.udistrital.edu.co</t>
  </si>
  <si>
    <t>PINZON CASAS CHRISTIAN JESUS</t>
  </si>
  <si>
    <t>cjpinzonc@udistrital.edu.co</t>
  </si>
  <si>
    <t>christian.pinzon92@gmail.com</t>
  </si>
  <si>
    <t>BERMUDEZ AMAYA MAURICIO ORLANDO</t>
  </si>
  <si>
    <t>mbermudez.amaya@gmail.com</t>
  </si>
  <si>
    <t>BUITRAGO ALVARADO ELISEO FERNANDO</t>
  </si>
  <si>
    <t>efbuitragoa@correo.udistrital.edu.co</t>
  </si>
  <si>
    <t>ebuitrago@kpmg.com</t>
  </si>
  <si>
    <t>BUITRAGO CASTELLANOS RAUL ALEJANDRO</t>
  </si>
  <si>
    <t>rabuitragoc@correo.udistrital.edu.co</t>
  </si>
  <si>
    <t>raulhabits@gmail.com</t>
  </si>
  <si>
    <t>RAMIREZ OCHOA JHON JAIME</t>
  </si>
  <si>
    <t>jjramirezo@correo.udistrital.edu.co</t>
  </si>
  <si>
    <t>jjramirezochoa@gmail.com</t>
  </si>
  <si>
    <t>ARCOS MUÑOZ NOÉ</t>
  </si>
  <si>
    <t>narcosm@udistrital.edu.co</t>
  </si>
  <si>
    <t>narcosmunoz@gmail.com</t>
  </si>
  <si>
    <t>CALDERÓN COY MILTON VICENTE</t>
  </si>
  <si>
    <t>mvcalderonc@correo.udistrital.edu.co</t>
  </si>
  <si>
    <t>miltonv.calderonc@gmail.com</t>
  </si>
  <si>
    <t>GUERRERO CALDERÓN ÁRNOL</t>
  </si>
  <si>
    <t>arguerreroc@udistrital.edu.co</t>
  </si>
  <si>
    <t>arnolgc@gmail.com</t>
  </si>
  <si>
    <t>KATZ DELGADO JUAN ESTEBAN</t>
  </si>
  <si>
    <t>jesteban.katz@gmail.com</t>
  </si>
  <si>
    <t>PUPIALES ARÉVALO ANDRÉS</t>
  </si>
  <si>
    <t>anpupialesa@udistrital.edu.co</t>
  </si>
  <si>
    <t>apupiales@gmail.com</t>
  </si>
  <si>
    <t>ROJAS QUINTERO CRISTIAN ALEJANDRO</t>
  </si>
  <si>
    <t>alejandro.0317@gmail.com</t>
  </si>
  <si>
    <t>ROMERO RAMIREZ JOHAN ALFREDO</t>
  </si>
  <si>
    <t>jaromeror@udistrital.edu.co</t>
  </si>
  <si>
    <t>jaromerora@gmail.com</t>
  </si>
  <si>
    <t>WISK CEBALLOS SEBASTIAN</t>
  </si>
  <si>
    <t>swiskc@udistrital.edu.co</t>
  </si>
  <si>
    <t>sebastianwc@hotmail.com</t>
  </si>
  <si>
    <t>ARÉVALO SANDOVAL JEYSON STITH</t>
  </si>
  <si>
    <t>jsarevalos@udistrital.edu.co</t>
  </si>
  <si>
    <t>jeysonarevalo@hotmail.com</t>
  </si>
  <si>
    <t>CASTRO MUNAR VERONICA</t>
  </si>
  <si>
    <t>vcastrom@udistrital.edu.co</t>
  </si>
  <si>
    <t>vkasmunar@gmail.com</t>
  </si>
  <si>
    <t>GARAY GONZALEZ LADY VIVIANA</t>
  </si>
  <si>
    <t>lvgarayg@udistrital.edu.co</t>
  </si>
  <si>
    <t>ladyviviana.garay@gmail.com</t>
  </si>
  <si>
    <t>GUZMÁN CASTILLO NANCI MILENA</t>
  </si>
  <si>
    <t>guzmanmiller02@gmail.com</t>
  </si>
  <si>
    <t>ROJAS MORENO JUAN FERNANDO</t>
  </si>
  <si>
    <t>jufrojasm@correo.udistrital.edu.co</t>
  </si>
  <si>
    <t>egeda9@gmail.com</t>
  </si>
  <si>
    <t>ROMERO MORENO FREDY YARNEY</t>
  </si>
  <si>
    <t>fyromerom@correo.udistrital.edu.co</t>
  </si>
  <si>
    <t>fredyromero1975@gmail.com</t>
  </si>
  <si>
    <t>SANCHEZ RODRIGUEZ DANIEL ESTEBAN</t>
  </si>
  <si>
    <t>danielssj88@gmail.com</t>
  </si>
  <si>
    <t>VALENCIA MARTINEZ CAMILO ALEJANDRO</t>
  </si>
  <si>
    <t>cavalenciam@udistrital.edu.co</t>
  </si>
  <si>
    <t>kmilov@gmail.com</t>
  </si>
  <si>
    <t>VARGAS CARRILLO LUZ ANGELA</t>
  </si>
  <si>
    <t>lavargasc@udistrital.edu.co</t>
  </si>
  <si>
    <t>ingangelavargas@gmail.com</t>
  </si>
  <si>
    <t>AMEZQUITA TOVAR JUAN CARLOS</t>
  </si>
  <si>
    <t>jucamezquitat@correo.udistrital.edu.co</t>
  </si>
  <si>
    <t>t.amezquita.juancarlos@gmail.com</t>
  </si>
  <si>
    <t>GOMEZ RODRIGUEZ JOSE IGNACIO</t>
  </si>
  <si>
    <t>jigomezr@correo.udistrital.edu.co</t>
  </si>
  <si>
    <t>jignaciogomezr@gmail.com</t>
  </si>
  <si>
    <t>NARIÑO NIÑO CRISTIAN</t>
  </si>
  <si>
    <t>cnarinon@udistrital.edu.co</t>
  </si>
  <si>
    <t>cristian.narino@credibanco.com</t>
  </si>
  <si>
    <t>PEÑA MENESES JOSE DANIEL</t>
  </si>
  <si>
    <t>jdpenam@udistrital.edu.co</t>
  </si>
  <si>
    <t>temp2010@msn.com</t>
  </si>
  <si>
    <t>RUEDA BASTO JOSE FERNANDO</t>
  </si>
  <si>
    <t>jfruedab@udistrital.edu.co</t>
  </si>
  <si>
    <t>jfrueda@opentic.co</t>
  </si>
  <si>
    <t>SOLER LOPEZ JORGE FERNANDO</t>
  </si>
  <si>
    <t>jofsolerl@correo.udistrital.edu.co</t>
  </si>
  <si>
    <t>jorgesoler1@gmail.com</t>
  </si>
  <si>
    <t>VACA VILLAMIL TANIA ALEXANDRA</t>
  </si>
  <si>
    <t>tavacav@udistrital.edu.co</t>
  </si>
  <si>
    <t>alexandra0512sys@gmail.com</t>
  </si>
  <si>
    <t>CELY GRANADOS OSCAR LEONARDO</t>
  </si>
  <si>
    <t>olcelyg@udistrital.edu.co</t>
  </si>
  <si>
    <t>ing.oscar.dba@gmail.com</t>
  </si>
  <si>
    <t>GONZALEZ GONZALEZ DIANA SOFIA</t>
  </si>
  <si>
    <t>dsgonzalezg@udistrital.edu.co</t>
  </si>
  <si>
    <t>dsofiagonzalezg@gmail.com</t>
  </si>
  <si>
    <t>MORENO MARIN JOHN EDISON</t>
  </si>
  <si>
    <t>jemorenom@correo.udistrital.edu.co</t>
  </si>
  <si>
    <t>johnmoreno333@gmail.com</t>
  </si>
  <si>
    <t>SALCEDO SALGADO GEINER ALEXIS</t>
  </si>
  <si>
    <t>gasalcedos@correo.udistrital.edu.co</t>
  </si>
  <si>
    <t>geiner.salcedo.ppc0111@gmail.com</t>
  </si>
  <si>
    <t>CARDONA TABORDA CARLOS HERNAN</t>
  </si>
  <si>
    <t>chcardonat@gmail.com</t>
  </si>
  <si>
    <t>CIFUENTES SANCHEZ JOSE WILLIAM</t>
  </si>
  <si>
    <t>jwcifuentess@correo.udistrital.edu.co</t>
  </si>
  <si>
    <t>jwcifuentes@gmail.com</t>
  </si>
  <si>
    <t>COLMENARES GAMEZ SERGIO ENRIQUE</t>
  </si>
  <si>
    <t>secolmenaresg@udistrital.edu.co</t>
  </si>
  <si>
    <t>azuresynchro@gmail.com</t>
  </si>
  <si>
    <t>PARRA ALEMAN JOSE ALEXANDER</t>
  </si>
  <si>
    <t>japarraa@udistrital.edu.co</t>
  </si>
  <si>
    <t>jottappe@hotmail.com</t>
  </si>
  <si>
    <t>SALAMANCA VASQUEZ ESTEBAN</t>
  </si>
  <si>
    <t>esalamancav@udistrital.edu.co</t>
  </si>
  <si>
    <t>esalamancav@gmail.com</t>
  </si>
  <si>
    <t>CAÑÓN CLAVIJO RUBÉN ENRIQUE</t>
  </si>
  <si>
    <t>recanonc@udistrital.edu.co</t>
  </si>
  <si>
    <t>rubendreamteam@hotmail.com</t>
  </si>
  <si>
    <t>ÉRIRA TRUJILLO WILLIAM ALBERTO</t>
  </si>
  <si>
    <t>waerirat@udistrital.edu.co</t>
  </si>
  <si>
    <t>werira@hotmail.com</t>
  </si>
  <si>
    <t>GORDILLO ORJUELA KEVIN STEVEN</t>
  </si>
  <si>
    <t>ksgordilloo@udistrital.edu.co</t>
  </si>
  <si>
    <t>ksgordillo94@gmail.com</t>
  </si>
  <si>
    <t>PIÑEROS RAMIREZ JEISSON RODRIGO</t>
  </si>
  <si>
    <t>jrpinerosr@udistrital.edu.co</t>
  </si>
  <si>
    <t>jeisson005@hotmail.com</t>
  </si>
  <si>
    <t>ROMERO PINTO JAWY ANDRÉS</t>
  </si>
  <si>
    <t>jawaromerop@udistrital.edu.co</t>
  </si>
  <si>
    <t>jawy.romero@gmail.com</t>
  </si>
  <si>
    <t>COTTA GARCÍA JUAN GUILLERMO</t>
  </si>
  <si>
    <t>jgcottag@udistrital.edu.co</t>
  </si>
  <si>
    <t>jgcotta@hotmail.com</t>
  </si>
  <si>
    <t>DAZA ROJAS JOHN JAIRO</t>
  </si>
  <si>
    <t>jjdazar@udistrital.edu.co</t>
  </si>
  <si>
    <t>jj.dazarojas@gmail.com</t>
  </si>
  <si>
    <t>DÍAZ MONJE KEVIN CAMILO</t>
  </si>
  <si>
    <t>kcdiazm@udistrital.edu.co</t>
  </si>
  <si>
    <t>kcdiazm@correo.udistrital.edu.co</t>
  </si>
  <si>
    <t>HERNÁNDEZ MONTEALEGRE DANIEL ALEXANDER</t>
  </si>
  <si>
    <t>danahernandezm@udistrital.edu.co</t>
  </si>
  <si>
    <t>dahm35@hotmail.com</t>
  </si>
  <si>
    <t>MARTÍNEZ CERVERA DANIEL ESTEBAN</t>
  </si>
  <si>
    <t>demartinezc@correo.udistrital.edu.co</t>
  </si>
  <si>
    <t>NOVOA PERALTA LEONARDO ANDRÉS</t>
  </si>
  <si>
    <t>lanovoap@udistrital.edu.co</t>
  </si>
  <si>
    <t>leonardo.novoa@grupohousemedia.com</t>
  </si>
  <si>
    <t>ORJUELA VELÁSQUEZ SERGIO DAVID</t>
  </si>
  <si>
    <t>sdorjuelav@udistrital.edu.co</t>
  </si>
  <si>
    <t>sergiorjuela940@gmail.com</t>
  </si>
  <si>
    <t>SAENZ BUSTOS DAISY JOHANNA</t>
  </si>
  <si>
    <t>djsaenzb@udistrital.edu.co</t>
  </si>
  <si>
    <t>daisysaenz1223@gmail.com</t>
  </si>
  <si>
    <t>SÁNCHEZ CRUZ ANDRÉS FELIPE</t>
  </si>
  <si>
    <t>andfesanchezc@udistrital.edu.co</t>
  </si>
  <si>
    <t>felipe_813@hotmail.com</t>
  </si>
  <si>
    <t>TAMAYO HERNÁNDEZ DONNA JOHANNA</t>
  </si>
  <si>
    <t>djtamayoh@udistrital.edu.co</t>
  </si>
  <si>
    <t>dojotama@gmail.com</t>
  </si>
  <si>
    <t>VARGAS ANZOLA MANUEL ANTONIO</t>
  </si>
  <si>
    <t>mavargasa@correo.udistrital.edu.co</t>
  </si>
  <si>
    <t>wanuel@gmail.com</t>
  </si>
  <si>
    <t>QUIROGA RUIZ JAVIER ALBERTO</t>
  </si>
  <si>
    <t>jaaquirogar@udistrital.edu.co</t>
  </si>
  <si>
    <t>ja_quiroga@hotmail.com</t>
  </si>
  <si>
    <t>CÁRDENAS LANCHEROS ESTEBAN ALEJANDRO</t>
  </si>
  <si>
    <t>clestebana@udistrital.edu.co</t>
  </si>
  <si>
    <t>esteban.cardenas.lancheros@gmail.com</t>
  </si>
  <si>
    <t>RESTREPO RODRÍGUEZ ANDRÉS OVIDIO</t>
  </si>
  <si>
    <t>rrandreso@udistrital.edu.co</t>
  </si>
  <si>
    <t>aorestrepor@correo.udistrital.edu.co</t>
  </si>
  <si>
    <t>HERNANDEZ RODRIGUEZ JORGE EDUARDO</t>
  </si>
  <si>
    <t>hrjorgee@udistrital.edu.co</t>
  </si>
  <si>
    <t>jehernandezrodriguez@gmail.com</t>
  </si>
  <si>
    <t>MARTIN VEGA DANIELA</t>
  </si>
  <si>
    <t>dmartinv@udistrital.edu.co</t>
  </si>
  <si>
    <t>dmartinvega@gmail.com</t>
  </si>
  <si>
    <t>IDROBO LOPEZ OSCAR JAVIER</t>
  </si>
  <si>
    <t>ojidrobol@udistrital.edu.co</t>
  </si>
  <si>
    <t>oscaridrobolopez@hotmail.com</t>
  </si>
  <si>
    <t>ARIZA RIAÑO MADDYZETH</t>
  </si>
  <si>
    <t>arianom@udistrital.edu.co</t>
  </si>
  <si>
    <t>maddyz182@gmail.com</t>
  </si>
  <si>
    <t>CAICEDO NAVARRO JOAQUÍN EDUARDO</t>
  </si>
  <si>
    <t>jecaicedon@udistrital.edu.co</t>
  </si>
  <si>
    <t>joacocn@gmail.com</t>
  </si>
  <si>
    <t>GONZALEZ ANGARITA BREITNER ENRIQUE</t>
  </si>
  <si>
    <t>begonzaleza@udistrital.edu.co</t>
  </si>
  <si>
    <t>breinergonza@hotmail.com</t>
  </si>
  <si>
    <t>LEAL LARA DANIEL DAVID</t>
  </si>
  <si>
    <t>ddleall@udistrital.edu.co</t>
  </si>
  <si>
    <t>VANEGAS AYALA SEBASTIAN CAMILO</t>
  </si>
  <si>
    <t>scva9708@gmail.com</t>
  </si>
  <si>
    <t>VARON CAPERA ALVARO</t>
  </si>
  <si>
    <t>avaronc@udistrital.edu.co</t>
  </si>
  <si>
    <t>varoncalvaro@gmail.com</t>
  </si>
  <si>
    <t>SERNA GALEANO IVAN ANDRES</t>
  </si>
  <si>
    <t>iasernag@udistrital.edu.co</t>
  </si>
  <si>
    <t>iasernag@correo.udistrital.edu.co</t>
  </si>
  <si>
    <t>MILLAN GOMEZ JORGE ARMANDO</t>
  </si>
  <si>
    <t>jamillang@udistrital.edu.co</t>
  </si>
  <si>
    <t>jamillan94@gmail.com</t>
  </si>
  <si>
    <t>ROCHA CALDERON CAMILO ENRIQUE</t>
  </si>
  <si>
    <t>cerochac@udistrital.edu.co</t>
  </si>
  <si>
    <t>SANCHEZ MANCILLA JUAN SEBASTIAN</t>
  </si>
  <si>
    <t>jussanchezm@udistrital.edu.co</t>
  </si>
  <si>
    <t>juansanchez011@gmail.com</t>
  </si>
  <si>
    <t>ndmunozc@udistrital.edu.co</t>
  </si>
  <si>
    <t>ndmunozc@gmail.com</t>
  </si>
  <si>
    <t>blsierraf@udistrital.edu.co</t>
  </si>
  <si>
    <t>GONZALEZ PARDO SONIA LUZ</t>
  </si>
  <si>
    <t>slgonzalezp@udistrital.edu.co</t>
  </si>
  <si>
    <t>sonigonzalezpardo@gmail.com</t>
  </si>
  <si>
    <t>ARIAS OMANA JUSTO REINALDO</t>
  </si>
  <si>
    <t>jrariaso@udistrital.edu.co</t>
  </si>
  <si>
    <t>reinaldoarias2002@yahoo.com</t>
  </si>
  <si>
    <t>VILLEGAS ISASA IVAN DANIEL</t>
  </si>
  <si>
    <t>idvillegasi@udistrital.edu.co</t>
  </si>
  <si>
    <t>ivandanielvillegasisasa@gmail.com</t>
  </si>
  <si>
    <t>FORERO CASTRO DIEGO DANIEL</t>
  </si>
  <si>
    <t>ddforeroc@udistrital.edu.co</t>
  </si>
  <si>
    <t>ddforeroc@gmail.com</t>
  </si>
  <si>
    <t>SALAZAR ORTIZ JAIVER ESTIVEN</t>
  </si>
  <si>
    <t>jesalazaro@udistrital.edu.co</t>
  </si>
  <si>
    <t>salazar_64@live.com</t>
  </si>
  <si>
    <t>UNIGARRO DIAZ CHRISTIAN JOSE</t>
  </si>
  <si>
    <t>cjunigarrod@udistrital.edu.co</t>
  </si>
  <si>
    <t>cunigarrod@gmail.com</t>
  </si>
  <si>
    <t>GONZÁLEZ SEPULVEDA JUAN RICARDO</t>
  </si>
  <si>
    <t>jrgonzalezsepulveda@gmail.com</t>
  </si>
  <si>
    <t>BRAVO MORA CRISTIAN ALEJANDRO</t>
  </si>
  <si>
    <t>alejandro049530@gmail.com</t>
  </si>
  <si>
    <t>AREVALO SAAVEDRA DANELLY DESIREE</t>
  </si>
  <si>
    <t>darevalo@gmail.com</t>
  </si>
  <si>
    <t>CORTES SANCHEZ ISIDRO FRANCISCO</t>
  </si>
  <si>
    <t>cortes.franck@gmail.com</t>
  </si>
  <si>
    <t>OVIES PULIDO DOUGLAS ROLANDO</t>
  </si>
  <si>
    <t>dovies@hotmail.com</t>
  </si>
  <si>
    <t>PULIDO SIERRA PEDRO MANUEL</t>
  </si>
  <si>
    <t>ing.pedropulido@gmail.com</t>
  </si>
  <si>
    <t>SUAREZ LOPEZ LEON CAMILO</t>
  </si>
  <si>
    <t>leon.suarez@gmail.com</t>
  </si>
  <si>
    <t>TAPIERO TAPIERO ROBIN ESTID</t>
  </si>
  <si>
    <t>retapierot@correo.udistrital.edu.co</t>
  </si>
  <si>
    <t>CAÑON MOZO EDWIN PARMENIO</t>
  </si>
  <si>
    <t>edwinpcm@gmail.com</t>
  </si>
  <si>
    <t>RODRIGUEZ JHONSON MANUEL ALEJANDRO</t>
  </si>
  <si>
    <t>ing.marodriguezjo@gmail.com</t>
  </si>
  <si>
    <t>ROJAS JIMÉNEZ JUÁN DAVID</t>
  </si>
  <si>
    <t>juliandrj@gmail.com</t>
  </si>
  <si>
    <t>CÓRDOBA AGUILAR RHOSBEN ADHIER</t>
  </si>
  <si>
    <t>racordobaa@correo.udistrital.edu.co</t>
  </si>
  <si>
    <t>rosben2@gmail.com</t>
  </si>
  <si>
    <t>RAMOS FERNÁNDEZ JOSE LUIS</t>
  </si>
  <si>
    <t>joselorf@gmail.com</t>
  </si>
  <si>
    <t>CASALLAS VELOZA ANDRES</t>
  </si>
  <si>
    <t>acasallasv@correo.udistrital.edu.co</t>
  </si>
  <si>
    <t>andres.cv07@gmail.com</t>
  </si>
  <si>
    <t>CONTRERAS TORRES DANIEL OSWALDO</t>
  </si>
  <si>
    <t>danieltorres1982@gmail.com</t>
  </si>
  <si>
    <t>PEÑA RAMIREZ MIGUEL ROBERTO</t>
  </si>
  <si>
    <t>miguepe@hotmail.com</t>
  </si>
  <si>
    <t>CORREDOR CEBALLOS NIDIA ESTEFANÍA</t>
  </si>
  <si>
    <t>necorredorc@correo.udistrital.edu.co</t>
  </si>
  <si>
    <t>estefania_corredor@outlook.com</t>
  </si>
  <si>
    <t>PEREZ VELOZA CRISTHIAN CAMILO</t>
  </si>
  <si>
    <t>cricperezv@correo.udistrital.edu.co</t>
  </si>
  <si>
    <t>christiancamiloperez@gmail.com</t>
  </si>
  <si>
    <t>FONSECA TRUJILLO JUAN SEBASTIAN</t>
  </si>
  <si>
    <t>ftjuans@correo.udistrital.edu.co</t>
  </si>
  <si>
    <t>jsfonsecat@correo.udistrital.edu.co</t>
  </si>
  <si>
    <t>SANABRIA ARTEAGA JHANS</t>
  </si>
  <si>
    <t>hans_sanabria@hotmail.com</t>
  </si>
  <si>
    <t>SORA OSPINA JUAN PABLO</t>
  </si>
  <si>
    <t>jsora@outlook.com</t>
  </si>
  <si>
    <t>SALAMANCA BELTRAN CARLOS LEONARDO</t>
  </si>
  <si>
    <t>carlos2294@hotmail.com</t>
  </si>
  <si>
    <t>ESPITIA PARDO DANIEL ENRIQUE</t>
  </si>
  <si>
    <t>deespitiap@udistrital.edu.co</t>
  </si>
  <si>
    <t>danielespitia63@gmail.com</t>
  </si>
  <si>
    <t>CABREJO RUBIANO NICOLAS</t>
  </si>
  <si>
    <t>ncabrejor@udistrital.edu.co</t>
  </si>
  <si>
    <t>BEJARANO MEDELLIN SEBASTIAN LEONARDO</t>
  </si>
  <si>
    <t>slbejaranom@udistrital.edu.co</t>
  </si>
  <si>
    <t>slbejaranom@gmail.com</t>
  </si>
  <si>
    <t>BALLESTEROS MUÑOZ EDUARDO ISAAC</t>
  </si>
  <si>
    <t>eduballesteros@yahoo.com</t>
  </si>
  <si>
    <t>DAZA ESPITIA CARLOS ANDRES</t>
  </si>
  <si>
    <t>cadazae@udistrital.edu.co</t>
  </si>
  <si>
    <t>cdaza1@outlook.com</t>
  </si>
  <si>
    <t>GARCIA OLAYA DIANA MERCEDES</t>
  </si>
  <si>
    <t>dimegarcia5@gmail.com</t>
  </si>
  <si>
    <t>EDGAR PALACINO ANTIA</t>
  </si>
  <si>
    <t>heonpinos@gmail.com</t>
  </si>
  <si>
    <t>BECERRA TORRES DANNY FERNANDO</t>
  </si>
  <si>
    <t>dfbecerrat@udistrital.edu.co</t>
  </si>
  <si>
    <t>dfbecerrat@correo.udistrital.edu.co</t>
  </si>
  <si>
    <t>CRISTANCHO SASTOQUE NELSON JAVIER</t>
  </si>
  <si>
    <t>nelsonjcristancho@gmail.com</t>
  </si>
  <si>
    <t>CUSPOCA RUIZ JONATHAN ENRIQUE</t>
  </si>
  <si>
    <t>jonath1032@gmail.com</t>
  </si>
  <si>
    <t>ESCOBAR NAVARRO JULIAN CAMILO</t>
  </si>
  <si>
    <t>juliancaescobar@gmail.com</t>
  </si>
  <si>
    <t>FLÓREZ LLANOS CINDY ALEJANDRA</t>
  </si>
  <si>
    <t>cindy2133@gmail.com</t>
  </si>
  <si>
    <t>HURTADO CRUZ EDWIN HERNÁN</t>
  </si>
  <si>
    <t>edwin.hernan.hurtado@gmail.com</t>
  </si>
  <si>
    <t>MARTIN ANGELA CAROLINA</t>
  </si>
  <si>
    <t>acmartin@correo.udistrital.edu.co</t>
  </si>
  <si>
    <t>ing.angelamartin@gmail.com</t>
  </si>
  <si>
    <t>MORA JIMÉNEZ JEANET</t>
  </si>
  <si>
    <t>jeanetmj@gmail.com</t>
  </si>
  <si>
    <t>OREJUELA VILLANUEVA EDISON ALEXANDER</t>
  </si>
  <si>
    <t>edisonorejuela@gmail.com</t>
  </si>
  <si>
    <t>ORTIZ GARZÓN LEONARDO JULIÁN</t>
  </si>
  <si>
    <t>ljortizg@correo.udistrital.edu.co</t>
  </si>
  <si>
    <t>leonorti@gmail.com</t>
  </si>
  <si>
    <t>TARAZONA ROMERO WILLIAM ANDRÉS</t>
  </si>
  <si>
    <t>watarazonar@correo.udistrital.edu.co</t>
  </si>
  <si>
    <t>willtarazona@gmail.com</t>
  </si>
  <si>
    <t>RUBIANO VÁSQUEZ LUIS ENRIQUE</t>
  </si>
  <si>
    <t>lerubianov@correo.udistrital.edu.co</t>
  </si>
  <si>
    <t>lrubianov@hotmail.com</t>
  </si>
  <si>
    <t>VERGARA ROMERO MARGARETTE</t>
  </si>
  <si>
    <t>mvergarar@correo.udistrital.edu.co</t>
  </si>
  <si>
    <t>akmargie30@hotmail.com</t>
  </si>
  <si>
    <t>CALDERON GUERRERO FABER ALEXANDER</t>
  </si>
  <si>
    <t>facalderong@outlook.com</t>
  </si>
  <si>
    <t>CANASTO QUECANO GIOVANNY ANDRÉS</t>
  </si>
  <si>
    <t>gacanastoq@correo.udistrital.edu.co</t>
  </si>
  <si>
    <t>giovanny.canasto@hotmail.com</t>
  </si>
  <si>
    <t>GUTIERRÉZ RAMÍREZ LUIS MIGUEL</t>
  </si>
  <si>
    <t>nazkter@gmail.com</t>
  </si>
  <si>
    <t>PASTRANA BONILLA JESSICA NATALIA</t>
  </si>
  <si>
    <t>jnpastranab@correo.udistrital.edu.co</t>
  </si>
  <si>
    <t>nataliapastranab@gmail.com</t>
  </si>
  <si>
    <t>REYES DAZA BRAYAN STEVEN</t>
  </si>
  <si>
    <t>ing.brayan.reyes@gmail.com</t>
  </si>
  <si>
    <t>ARISMENDI ESPINOSA CARLOS ARTURO</t>
  </si>
  <si>
    <t>caarismendie@correo.udistrital.edu.co</t>
  </si>
  <si>
    <t>r2d2.arismendi@gmail.com</t>
  </si>
  <si>
    <t>CAPERA NOMELIN EINER FABIAN</t>
  </si>
  <si>
    <t>efcaperan@correo.udistrital.edu.co</t>
  </si>
  <si>
    <t>einer58@gmail.com</t>
  </si>
  <si>
    <t>CARDENAS DIAZ JHON ANDERSON</t>
  </si>
  <si>
    <t>jacardenasd@correo.udistrital.edu.co</t>
  </si>
  <si>
    <t>Jhonderson2007@gmail.com</t>
  </si>
  <si>
    <t>COBOS PRADA ANDRES HAMIR</t>
  </si>
  <si>
    <t>ahcobosp@correo.udistrital.edu.co</t>
  </si>
  <si>
    <t>Andresc1125@gmail.com</t>
  </si>
  <si>
    <t>GALINDO VARGAS ANDRES JAVIER</t>
  </si>
  <si>
    <t>ajgalindov@correo.udistrital.edu.co</t>
  </si>
  <si>
    <t>Agalinvar9@gmail.com</t>
  </si>
  <si>
    <t>GONZALEZ ESCOBAR LEONARDO</t>
  </si>
  <si>
    <t>lgonzaleze@correo.udistrital.edu.co</t>
  </si>
  <si>
    <t>leonardo.gonzalez.escobar@gmail.com</t>
  </si>
  <si>
    <t>MORALES COTES IVAN ALBERTO</t>
  </si>
  <si>
    <t>iamoralesc@correo.udistrital.edu.co</t>
  </si>
  <si>
    <t>ivanmoralescotes@gmail.com</t>
  </si>
  <si>
    <t>PICON ACOSTA LAURA JULIANA</t>
  </si>
  <si>
    <t>ljpicona@correo.udistrital.edu.co</t>
  </si>
  <si>
    <t>julianapicon@gmail.com</t>
  </si>
  <si>
    <t>REY CASADIEGO CRISTHIAN ANDRES</t>
  </si>
  <si>
    <t>crareyc@correo.udistrital.edu.co</t>
  </si>
  <si>
    <t>crisandrey35@gmail.com</t>
  </si>
  <si>
    <t>VELASQUEZ ARTUNDUAGA INGRID JULIETH</t>
  </si>
  <si>
    <t>ijvelasqueza@correo.udistrital.edu.co</t>
  </si>
  <si>
    <t>Ingridjulieth20@gmail.com</t>
  </si>
  <si>
    <t>cagalindoc@correo.udistrital.edu.co</t>
  </si>
  <si>
    <t>CELI VALERO DIEGO FERNANDO</t>
  </si>
  <si>
    <t>dfceliv@udistrital.edu.co</t>
  </si>
  <si>
    <t>fernando.dfcv@gmail.com</t>
  </si>
  <si>
    <t>DUARTE TORRES OSCAR IVÁN</t>
  </si>
  <si>
    <t>oiduartet@correo.udistrital.edu.co</t>
  </si>
  <si>
    <t>o.duarte7@gmail.com</t>
  </si>
  <si>
    <t>TRUJILLO GARCIA EDGAR</t>
  </si>
  <si>
    <t>etrujillog@udistrital.edu.co</t>
  </si>
  <si>
    <t>etrujillo1@gmail.com</t>
  </si>
  <si>
    <t>OVALLE MARTINEZ CARLOS ANDRES</t>
  </si>
  <si>
    <t>caovallem@udistrital.edu.co</t>
  </si>
  <si>
    <t>caom838@gmail.com</t>
  </si>
  <si>
    <t>ROMERO PARRA DANIEL ALEJANDRO</t>
  </si>
  <si>
    <t>daromerop@correo.udistrital.edu.co</t>
  </si>
  <si>
    <t>danielrparra77@hotmail.com</t>
  </si>
  <si>
    <t>BARON JEREZ LADY MAYERLY</t>
  </si>
  <si>
    <t>lmbaronj@udistrital.edu.co</t>
  </si>
  <si>
    <t>ladybaronj@gmail.com</t>
  </si>
  <si>
    <t>CARVAJAL CHAVEZ LUIS FERNANDO</t>
  </si>
  <si>
    <t>compucarvajal@gmail.com</t>
  </si>
  <si>
    <t>CORREA ALBA KAREN MICHELLE</t>
  </si>
  <si>
    <t>kmcorreaa@udistrital.edu.co</t>
  </si>
  <si>
    <t>karencorrea93@hotmail.com</t>
  </si>
  <si>
    <t>GONZALEZ RODRIGUEZ NASLY ANDREA</t>
  </si>
  <si>
    <t>nagonzalezr@correo.udistrital.edu.co</t>
  </si>
  <si>
    <t>nasly.ud@gmail.com</t>
  </si>
  <si>
    <t>GOMEZ ORTIZ ANDRES LEONARDO</t>
  </si>
  <si>
    <t>andreslgomezo@gmail.com</t>
  </si>
  <si>
    <t>QUICENO OROZCO JHON ALEXANDER</t>
  </si>
  <si>
    <t>jaquicenoo@udistrital.edu.co</t>
  </si>
  <si>
    <t>jonasquiceno@gmail.com</t>
  </si>
  <si>
    <t>RODRIGUEZ SIATAMA BRYAN</t>
  </si>
  <si>
    <t>rodriguezbryan03@gmail.com</t>
  </si>
  <si>
    <t>VILLABONA SUAREZ RAUL</t>
  </si>
  <si>
    <t>rvillabonas@udistrital.edu.co</t>
  </si>
  <si>
    <t>rvillabonas@gmail.com</t>
  </si>
  <si>
    <t>AMAYA GIRALDO ANGÉLICA MARÍA</t>
  </si>
  <si>
    <t>amamayag@correo.udistrital.edu.co</t>
  </si>
  <si>
    <t>angelik.mag@gmail.com</t>
  </si>
  <si>
    <t>ANZOLA PAEZ JENNIFFER</t>
  </si>
  <si>
    <t>janzolap@correo.udistrital.edu.co</t>
  </si>
  <si>
    <t>japtheb@gmail.com</t>
  </si>
  <si>
    <t>AVENDAÑO ABRIL JOHON FREDY</t>
  </si>
  <si>
    <t>jfavendanoa@udistrital.edu.co</t>
  </si>
  <si>
    <t>jhonavendanoabril@gmail.com</t>
  </si>
  <si>
    <t>BARRAGAN SARMIENTO ANDRÉS MAURICIO</t>
  </si>
  <si>
    <t>ambarragans@udistrital.edu.co</t>
  </si>
  <si>
    <t>barragan_amb@hotmail.com</t>
  </si>
  <si>
    <t>GARNICA PARADA WILLIAM ALBERTO</t>
  </si>
  <si>
    <t>wagarnicap@correo.udistrital.edu.co</t>
  </si>
  <si>
    <t>williamgarnica@ingenieros.com</t>
  </si>
  <si>
    <t>PEÑALOZA MARTINEZ HARVEY RICARDO</t>
  </si>
  <si>
    <t>hrpenalozam@correo.udistrital.edu.co</t>
  </si>
  <si>
    <t>hrpenalozam@gmail.com</t>
  </si>
  <si>
    <t>PINZÓN BERDUGOPABLO ANDRÉS</t>
  </si>
  <si>
    <t>paapinzonb@correo.udistrital.edu.co</t>
  </si>
  <si>
    <t>ingpablopinzon@hotmail.com</t>
  </si>
  <si>
    <t>REINA CABREJO CRISTHIAM STICK</t>
  </si>
  <si>
    <t>csreinac@correo.udistrital.edu.co</t>
  </si>
  <si>
    <t>ROJAS SUAREZ LAURA PATRICIA</t>
  </si>
  <si>
    <t>lprojass@udistrital.edu.co</t>
  </si>
  <si>
    <t>laupatri27@gmail.com</t>
  </si>
  <si>
    <t>TAFUR CANTE YEISON EFRAIN</t>
  </si>
  <si>
    <t>yetafurc@correo.udistrital.edu.co</t>
  </si>
  <si>
    <t>yeisontafurc@gmail.com</t>
  </si>
  <si>
    <t>VARGAS PEÑA FRANCISCO ALEJANDRO</t>
  </si>
  <si>
    <t>fravargasp@correo.udistrital.edu.co</t>
  </si>
  <si>
    <t>francisco.a.vargas@gmail.com</t>
  </si>
  <si>
    <t>ÁVILA JAIMES DAVID HERNANDO</t>
  </si>
  <si>
    <t>dhavilaj@udistrital.edu.co</t>
  </si>
  <si>
    <t>dhavilaj@gmail.com</t>
  </si>
  <si>
    <t>BELTRAN ALFONSO RICARDO ANDRES</t>
  </si>
  <si>
    <t>rabeltrana@correo.udistrital.edu.co</t>
  </si>
  <si>
    <t>richardb9207@gmail.com</t>
  </si>
  <si>
    <t>CARVAJAL TORRES JOSE AUGUSTO</t>
  </si>
  <si>
    <t>jacarvajalt@udistrital.edu.co</t>
  </si>
  <si>
    <t>jacarvajalt@correo.udistrital.edu.co</t>
  </si>
  <si>
    <t>CATAÑO HOYOS LUIS ADOLFO</t>
  </si>
  <si>
    <t>lacatanoh@correo.udistrital.edu.co</t>
  </si>
  <si>
    <t>luchoad17@gmail.com</t>
  </si>
  <si>
    <t>CUELLAR MAYORGA JULIAN ORLANDO</t>
  </si>
  <si>
    <t>jocuellarm@udistrital.edu.co</t>
  </si>
  <si>
    <t>julianorlando@gmail.com</t>
  </si>
  <si>
    <t>DALLOS PARRA DAVID LEONARDO</t>
  </si>
  <si>
    <t>dldallosp@udistrital.edu.co</t>
  </si>
  <si>
    <t>leonardodallos@hotmail.com</t>
  </si>
  <si>
    <t>GARCIA BARAHONA YENY PAOLA</t>
  </si>
  <si>
    <t>ypgarciab@correo.udistrital.edu.co</t>
  </si>
  <si>
    <t>ingpaolagarcia@gmail.com</t>
  </si>
  <si>
    <t>GUERRERO BERMÚDEZ CRISTIAN ANDRÉS</t>
  </si>
  <si>
    <t>caguerrerob@correo.udistrital.edu.co</t>
  </si>
  <si>
    <t>cristianandresgb@hotmail.com</t>
  </si>
  <si>
    <t>HURTADO ROMERO JAIME ARTURO</t>
  </si>
  <si>
    <t>jaahurtador@correo.udistrital.edu.co</t>
  </si>
  <si>
    <t>jart1221@gmail.com</t>
  </si>
  <si>
    <t>MALDONADO PARDO WILLIAMS ALEXANDER</t>
  </si>
  <si>
    <t>wamaldonadop@correo.udistrital.edu.co</t>
  </si>
  <si>
    <t>wamaldonado30@gmail.com</t>
  </si>
  <si>
    <t>OBREGON BARRERA CARLOS IVAN</t>
  </si>
  <si>
    <t>ciobregonb@udistrital.edu.co</t>
  </si>
  <si>
    <t>carlos.ivan.obregon@gmail.com</t>
  </si>
  <si>
    <t>PAEZ MARTINEZ YERSON ALEXANDER</t>
  </si>
  <si>
    <t>yeapaezm@correo.udistrital.edu.co</t>
  </si>
  <si>
    <t>yeralex19@gmail.com</t>
  </si>
  <si>
    <t>PEÑA TELLEZ JHON ALEJANDRO</t>
  </si>
  <si>
    <t>japenat@correo.udistrital.edu.co</t>
  </si>
  <si>
    <t>jhalep2@gmail.com</t>
  </si>
  <si>
    <t>SAENZ RAMIREZ DIEGO AUGUSTO</t>
  </si>
  <si>
    <t>dasaenzr@correo.udistrital.edu.co</t>
  </si>
  <si>
    <t>autocopiante@gmail.com</t>
  </si>
  <si>
    <t>SUÁREZ GIRALDO JOSÉ DOMINGO</t>
  </si>
  <si>
    <t>jdsuarezg@correo.udistrital.edu.co</t>
  </si>
  <si>
    <t>josed_5@hotmail.com</t>
  </si>
  <si>
    <t>TELLEZ SANTAMARIA ROBINSON</t>
  </si>
  <si>
    <t>rtellezs@udistrital.edu.co</t>
  </si>
  <si>
    <t>rtellez@egt.com.co</t>
  </si>
  <si>
    <t>MUÑOZ PENAGOS NATHALIA CATALINA</t>
  </si>
  <si>
    <t>mpnathaliac@udistrital.edu.co</t>
  </si>
  <si>
    <t>nathmunoz19@gmail.com</t>
  </si>
  <si>
    <t>CASTRO CASTRO OMAR JOSE</t>
  </si>
  <si>
    <t>ccomarj@udistrital.edu.co</t>
  </si>
  <si>
    <t>kstroomar@yahoo.es</t>
  </si>
  <si>
    <t>DAZA NARVÁEZ ERIKA JUNNIETH</t>
  </si>
  <si>
    <t>dnerikaj@udistrital.edu.co</t>
  </si>
  <si>
    <t>ekdaza1709@gmail.com</t>
  </si>
  <si>
    <t>CRUZ CONTRERAS LUIS ARMANDO</t>
  </si>
  <si>
    <t>ccluisa@correo.udistrital.edu.co</t>
  </si>
  <si>
    <t>cruzco2009@hotmail.com</t>
  </si>
  <si>
    <t>ARAGÓN MORALES OSCAR MAURICIO</t>
  </si>
  <si>
    <t>amoscarm@udistrital.edu.co</t>
  </si>
  <si>
    <t>osaragonm@gmail.com</t>
  </si>
  <si>
    <t>SIERRA FORERO STEVEN</t>
  </si>
  <si>
    <t>sforeros@correo.udistrital.edu.co</t>
  </si>
  <si>
    <t>ingenieria.sierra@gmail.com</t>
  </si>
  <si>
    <t>EDISON RENÉ CABALLERO BARRIGA</t>
  </si>
  <si>
    <t>ercaballerob@udistrital.edu.co</t>
  </si>
  <si>
    <t>caballerorene@gmail.com</t>
  </si>
  <si>
    <t>GALVIS ESPITIA DAVID GUILLERMO</t>
  </si>
  <si>
    <t>dggalvise@correo.udistrital.edu.co</t>
  </si>
  <si>
    <t>davidggalvis@gmail.com</t>
  </si>
  <si>
    <t>ORTIZ MONTERO CHRISTOPHER GIOVANNY</t>
  </si>
  <si>
    <t>cgortizm@udistrital.edu.co</t>
  </si>
  <si>
    <t>RODRÍGUEZ PIÑEROS EDWAR ARTURO</t>
  </si>
  <si>
    <t>earodriguezp@udistrital.edu.co</t>
  </si>
  <si>
    <t>edwarod-107@hotmail.com</t>
  </si>
  <si>
    <t>VELÁSQUEZ MÉNDEZ WALTER IVÁN</t>
  </si>
  <si>
    <t>wivan.vel@gmail.com</t>
  </si>
  <si>
    <t>BAUTISTA POLANIA CARLOS ANDRES</t>
  </si>
  <si>
    <t>cabautistap@udistrital.edu.co</t>
  </si>
  <si>
    <t>carlosand_01@hotmail.com</t>
  </si>
  <si>
    <t>BOMBIELA RAMIREZ FABIO ANDRES</t>
  </si>
  <si>
    <t>fabombielar@udistrital.edu.co</t>
  </si>
  <si>
    <t>CANON MORENO JOSE SEBASTIAN</t>
  </si>
  <si>
    <t>jscanonm@udistrital.edu.co</t>
  </si>
  <si>
    <t>sebas951995@hotmail.com</t>
  </si>
  <si>
    <t>CHAVES BELTRAN GONZALO ANDRES</t>
  </si>
  <si>
    <t>gachavesb@correo.udistrital.edu.co</t>
  </si>
  <si>
    <t>CORTES BUSTOS JOHN ALEX</t>
  </si>
  <si>
    <t>joacortesb@udistrital.edu.co</t>
  </si>
  <si>
    <t>johnalex8411@hotmail.com</t>
  </si>
  <si>
    <t>DIAZ GUZMAN ANDRES FERNANDO</t>
  </si>
  <si>
    <t>afdiazg@correo.udistrital.edu.co</t>
  </si>
  <si>
    <t>GONZALEZ BUITRAGO MAURICIO</t>
  </si>
  <si>
    <t>mgonzalezb@udistrital.edu.co</t>
  </si>
  <si>
    <t>magobu@outlook.com</t>
  </si>
  <si>
    <t>GUEVARA MORALES SANDRA GUEVARA</t>
  </si>
  <si>
    <t>smilenaguevara@gmail.com</t>
  </si>
  <si>
    <t>OROZCO SERRANO GERARDO ALBERTO</t>
  </si>
  <si>
    <t>gaorozcos@udistrital.edu.co</t>
  </si>
  <si>
    <t>gerardorozco@hotmail.com</t>
  </si>
  <si>
    <t>REY HERRERA JESUS STEVEN</t>
  </si>
  <si>
    <t>reysteen@gmail.com</t>
  </si>
  <si>
    <t>SUAREZ ARRIETA SABRINA</t>
  </si>
  <si>
    <t>sabrinasuarezarrieta@gmail.com</t>
  </si>
  <si>
    <t>VILLA VARGAS HECTOR HERNANDO</t>
  </si>
  <si>
    <t>hhvillav@udistrital.edu.co</t>
  </si>
  <si>
    <t>hhvilla@gmail.com</t>
  </si>
  <si>
    <t>VILLAGRAN MARTINEZ SERGIO ANDRES</t>
  </si>
  <si>
    <t>sergiovillagran92@gmail.com</t>
  </si>
  <si>
    <t>CONTRERAS LEGUIZAMON WILMER JAIR</t>
  </si>
  <si>
    <t>wjcontrerasl@udistrital.edu.co</t>
  </si>
  <si>
    <t>WJCONTRERASL@YAHOO.ES</t>
  </si>
  <si>
    <t>MONTOYA ALVAREZ LUIS ORLANDO</t>
  </si>
  <si>
    <t>lomontoyaa@udistrital.edu.co</t>
  </si>
  <si>
    <t>luismontoya16@gmail.com</t>
  </si>
  <si>
    <t>MORENO SANDOVAL DANIEL STEVEN</t>
  </si>
  <si>
    <t>dsmorenos@correo.udistrital.edu.co</t>
  </si>
  <si>
    <t>PEDRAZA ROMERO OMAR</t>
  </si>
  <si>
    <t>opedrazar@udistrital.edu.co</t>
  </si>
  <si>
    <t>pedrazaomar@gmail.com</t>
  </si>
  <si>
    <t>RINCON ALBARRACIN JOSE GREGORIO</t>
  </si>
  <si>
    <t>jgrincona@correo.udistrital.edu.co</t>
  </si>
  <si>
    <t>jgregoriorincon@gmail.com</t>
  </si>
  <si>
    <t>RODRIGUEZ BUITRAGO LEIDY JOHANNA</t>
  </si>
  <si>
    <t>leijrodriguezb@udistrital.edu.co</t>
  </si>
  <si>
    <t>maoritharodriguez@gmail.com</t>
  </si>
  <si>
    <t>TORRES MONTOYA JULIAN ALBERTO</t>
  </si>
  <si>
    <t>jatorresm@correo.udistrital.edu.co</t>
  </si>
  <si>
    <t>eng.julian.torres@gmail.com</t>
  </si>
  <si>
    <t>URIZA FONTECHA CARLOS ANDRES</t>
  </si>
  <si>
    <t>caurizaf@udistrital.edu.co</t>
  </si>
  <si>
    <t>uriza_andres@hotmail.com</t>
  </si>
  <si>
    <t>CASTILLO ESTUPINAN LUIS ARIEL</t>
  </si>
  <si>
    <t>lacastilloe@udistrital.edu.co</t>
  </si>
  <si>
    <t>arielcastillo.es@gmail.com</t>
  </si>
  <si>
    <t>MANCIPE CASTANEDA YURI MARCELA</t>
  </si>
  <si>
    <t>ymmancipec@correo.udistrital.edu.co</t>
  </si>
  <si>
    <t>marcelamancipe@gmail.com</t>
  </si>
  <si>
    <t>PANA IGUARAN JOSE MARIA</t>
  </si>
  <si>
    <t>jmpanai@correo.udistrital.edu.co</t>
  </si>
  <si>
    <t>josepana@ingenieros.com</t>
  </si>
  <si>
    <t>RENGIFO ESPITIA MARIA CAMILA</t>
  </si>
  <si>
    <t>mcrengifoe@correo.udistrital.edu.co</t>
  </si>
  <si>
    <t>kamirenes@gmail.com</t>
  </si>
  <si>
    <t>SANDOVAL MESA NIDIA HELENA</t>
  </si>
  <si>
    <t>nhsandovalm@udistrital.edu.co</t>
  </si>
  <si>
    <t>hellenasandoval@gmail.com</t>
  </si>
  <si>
    <t>SUAREZ BASTIDAS WILLIAM FERNANDO</t>
  </si>
  <si>
    <t>wfsuarezb@udistrital.edu.co</t>
  </si>
  <si>
    <t>willfs144@gmail.com</t>
  </si>
  <si>
    <t>JIMENEZ HASTAMORIR LINA MARIA</t>
  </si>
  <si>
    <t>lmjimenezh@udistrital.edu.co</t>
  </si>
  <si>
    <t>lnmrjmnz@gmail.com</t>
  </si>
  <si>
    <t>PERDOMO ORJUELA LUIS EDUARDO</t>
  </si>
  <si>
    <t>leperdomoo@udistrital.edu.co</t>
  </si>
  <si>
    <t>luis1988perdomo@gmail.com</t>
  </si>
  <si>
    <t>VELANDIA GUACANEME CRISTIAN ESTEVED</t>
  </si>
  <si>
    <t>cevelandiag@udistrital.edu.co</t>
  </si>
  <si>
    <t>crevelandiagu@unal.edu.co</t>
  </si>
  <si>
    <t>MAESTRÍA EN CIENCIAS DE LA INFORMACIÓN Y LAS COMUNICACIONES</t>
  </si>
  <si>
    <t>CARANTON VELOZA JHON FREDY</t>
  </si>
  <si>
    <t>jfcarantonv@udistrital.edu.co</t>
  </si>
  <si>
    <t>jhonfreddycaranton@gmail.com</t>
  </si>
  <si>
    <t>ARIAS BERNAL HENRY</t>
  </si>
  <si>
    <t>hariasb@udistrital.edu.co</t>
  </si>
  <si>
    <t>henryariasbernal@gmail.com</t>
  </si>
  <si>
    <t>SILVA ROJAS JOSE ANTONIO</t>
  </si>
  <si>
    <t>jasilvar@udistrital.edu.co</t>
  </si>
  <si>
    <t>ja.silvarojas@gmail.com</t>
  </si>
  <si>
    <t>CUCHIA RUIZ JAIME ANDRÉS</t>
  </si>
  <si>
    <t>jacuchiar@udistrital.edu.co</t>
  </si>
  <si>
    <t>andrescuchia@gmail.com</t>
  </si>
  <si>
    <t>PINZÓN BALLESTEROS JOHAN CAMILO</t>
  </si>
  <si>
    <t>jcpinzonb@udistrital.edu.co</t>
  </si>
  <si>
    <t>camilion-aw7@hotmail.com</t>
  </si>
  <si>
    <t>SOLARTE ROSAS CRISTIAN JULIAN</t>
  </si>
  <si>
    <t>cjsolarter@udistrital.edu.co</t>
  </si>
  <si>
    <t>cristianjulians@hotmail.com</t>
  </si>
  <si>
    <t>ACOSTA AGUDELO JULIETH NATALIA</t>
  </si>
  <si>
    <t>jnacostaa@udistrital.edu.co</t>
  </si>
  <si>
    <t>jnatalia09803@gmail.com</t>
  </si>
  <si>
    <t>PUENTES CARVAJAL ANDERSON</t>
  </si>
  <si>
    <t>apuentesc@udistrital.edu.co</t>
  </si>
  <si>
    <t>andersonpuentesc@gmail.com</t>
  </si>
  <si>
    <t>ERAZO GUERRERO HERNAN ALVEIRO</t>
  </si>
  <si>
    <t>haerazog@udistrital.edu.co</t>
  </si>
  <si>
    <t>haerazogu@gmail.com</t>
  </si>
  <si>
    <t>MORA PEÑA DANNY FABIAN</t>
  </si>
  <si>
    <t>dfmorap@udistrital.edu.co</t>
  </si>
  <si>
    <t>dannyf620@gmail.com</t>
  </si>
  <si>
    <t>GRANADOS PEÑATE OSWALDO ENRIQUE</t>
  </si>
  <si>
    <t>oegranadosp@udistrital.edu.co</t>
  </si>
  <si>
    <t>oswaldogra@hotmail.com</t>
  </si>
  <si>
    <t>HERNANDEZ NAVARRETE JEISSON ANDRES</t>
  </si>
  <si>
    <t>jeahernandezn@udistrital.edu.co</t>
  </si>
  <si>
    <t>andrezhernandez29@yahoo.com</t>
  </si>
  <si>
    <t>HIGUERA VILLALBA ESTEBAN RICARDO</t>
  </si>
  <si>
    <t>erhiguerav@udistrital.edu.co</t>
  </si>
  <si>
    <t>esteban3622@gmail.com</t>
  </si>
  <si>
    <t>LEON CELIS GABRIELA</t>
  </si>
  <si>
    <t>gleonc@udistrital.edu.co</t>
  </si>
  <si>
    <t>gabrielaleonc@hotmail.com</t>
  </si>
  <si>
    <t>PEDRAZA HIGUERA JOSE DAVID</t>
  </si>
  <si>
    <t>jdpedrazah@udistrital.edu.co</t>
  </si>
  <si>
    <t>ing.david.pedraza@gmail.com</t>
  </si>
  <si>
    <t>PEÑA VILLAMIL JOAN CAMILO</t>
  </si>
  <si>
    <t>jucpenav@udistrital.edu.co</t>
  </si>
  <si>
    <t>camilop1998@gmail.com</t>
  </si>
  <si>
    <t>VELANDIA MONTAÑO CRISTIAN ANDRÉS</t>
  </si>
  <si>
    <t>cavelandiam@udistrital.edu.co</t>
  </si>
  <si>
    <t>cavelandiam@gmail.com</t>
  </si>
  <si>
    <t>FORERO ZAPATA SEBASTIAN</t>
  </si>
  <si>
    <t>sforeroz@udistrital.edu.co</t>
  </si>
  <si>
    <t>sebastian.forero.77@gmail.com</t>
  </si>
  <si>
    <t>GALINDO ARIAS LEIDY JHOANNA</t>
  </si>
  <si>
    <t>leijgalindoa@udistrital.edu.co</t>
  </si>
  <si>
    <t>ingjhoanna@gmail.com</t>
  </si>
  <si>
    <t>ZUBIETA CORTES FERNANDO</t>
  </si>
  <si>
    <t>fzubietac@udistrital.edu.co</t>
  </si>
  <si>
    <t>fernandozubieta10@hotmail.com</t>
  </si>
  <si>
    <t>ALAPE AVILA CRISTIAN LEONARDO</t>
  </si>
  <si>
    <t>clalapea@udistrital.edu.co</t>
  </si>
  <si>
    <t>BONILLA DIAZ MARIA ALEJANDRA</t>
  </si>
  <si>
    <t>mabonillad@udistrital.edu.co</t>
  </si>
  <si>
    <t>ORTIZ VARGAS YOUSSEF ALEJANDRO</t>
  </si>
  <si>
    <t>yaortizv@udistrital.edu.co</t>
  </si>
  <si>
    <t>ZARABANDA GUTIERREZ ALVARO ALEJANDRO</t>
  </si>
  <si>
    <t>aazarabandag@udistrital.edu.co</t>
  </si>
  <si>
    <t>LOPEZ CARDENAS KEVIN GIOVANNY</t>
  </si>
  <si>
    <t>kglopezc@udistrital.edu.co</t>
  </si>
  <si>
    <t>kevinglc21@gmail.com</t>
  </si>
  <si>
    <t>MALDONADO APONTE DAVID STEVEN</t>
  </si>
  <si>
    <t>dasmaldonadoa@udistrital.edu.co</t>
  </si>
  <si>
    <t>MORA CORTES MARLON SNEIDER</t>
  </si>
  <si>
    <t>msmorac@udistrital.edu.co</t>
  </si>
  <si>
    <t>RICO DANIEL ALEJANDRO</t>
  </si>
  <si>
    <t>dalejandror@udistrital.edu.co</t>
  </si>
  <si>
    <t>danielalejandrorico819@gmail.com</t>
  </si>
  <si>
    <t>RICO RODRIGUEZ JORDI ORLANDO</t>
  </si>
  <si>
    <t>joricor@udistrital.edu.co</t>
  </si>
  <si>
    <t>ROSERO TORRES JUAN DAVID</t>
  </si>
  <si>
    <t>jdroserot@udistrital.edu.co</t>
  </si>
  <si>
    <t>RUBIANO MÁNI</t>
  </si>
  <si>
    <t>mrubiano@udistrital.edu.co</t>
  </si>
  <si>
    <t>rubianomani@gmail.com</t>
  </si>
  <si>
    <t>DUARTE ROJAS SERGIO SANTIAGO</t>
  </si>
  <si>
    <t>ssduarter@udistrital.edu.co</t>
  </si>
  <si>
    <t>MORA HOYOS CARLOS STIVEN</t>
  </si>
  <si>
    <t>carlmora027@gmail.com</t>
  </si>
  <si>
    <t>RODRIGUEZ GALINDO JUAN FELIPE</t>
  </si>
  <si>
    <t>juafrodriguezg@udistrital.edu.co</t>
  </si>
  <si>
    <t>RODRIGUEZ VARGAS NATALIA LIZETH</t>
  </si>
  <si>
    <t>nlrodriguezv@udistrital.edu.co</t>
  </si>
  <si>
    <t>GUTIERREZ MENDIETA JORGE LEONARDO</t>
  </si>
  <si>
    <t>jolgutierrezm@udistrital.edu.co</t>
  </si>
  <si>
    <t>leogutierrez26@gmail.com</t>
  </si>
  <si>
    <t>PACHECO CASTRO JISSEDT ANDREA</t>
  </si>
  <si>
    <t>jiapachecoc@udistrital.edu.co</t>
  </si>
  <si>
    <t>ing._andreapacheco@hotmail.com</t>
  </si>
  <si>
    <t>SOLER MONSALVE DILAN STEVEN</t>
  </si>
  <si>
    <t>dssolerm@udistrital.edu.co</t>
  </si>
  <si>
    <t>dilansolermon@hotmail.com</t>
  </si>
  <si>
    <t>PEDRAZA ORTIZ ANGELO ALEXANDER</t>
  </si>
  <si>
    <t>aapedrazao@udistrital.edu.co</t>
  </si>
  <si>
    <t>GUTIERREZ MOLANO YEISON ESTEVEN</t>
  </si>
  <si>
    <t>ysgutierrezm@udistrital.edu.co</t>
  </si>
  <si>
    <t>estevenee96@gmail.com</t>
  </si>
  <si>
    <t>CARRILLO MEJIA LUIS</t>
  </si>
  <si>
    <t>lcarrillom@udistrital.edu.co</t>
  </si>
  <si>
    <t>Lucho1352@gmail.com</t>
  </si>
  <si>
    <t>SALAZAR BAEZ DIANA MILENA</t>
  </si>
  <si>
    <t>dmsalazarb@udistrital.edu.co</t>
  </si>
  <si>
    <t>dsalaz539@gmail.com</t>
  </si>
  <si>
    <t>OVIEDO YATE BRAYAN STIVEN</t>
  </si>
  <si>
    <t>bsoviedoy@udistrital.edu.co</t>
  </si>
  <si>
    <t>bsoviedoy98@gmail.com</t>
  </si>
  <si>
    <t>SÁNCHEZ MONTAÑA VIVIAN DANIELA</t>
  </si>
  <si>
    <t>vdsanchezm@udistrital.edu.co</t>
  </si>
  <si>
    <t>dani.sanchez300@gmail.com</t>
  </si>
  <si>
    <t>LAITON VARGAS CRISTIAN FELIPE</t>
  </si>
  <si>
    <t>cflaiton@gmail.com</t>
  </si>
  <si>
    <t>ROJAS GUARNIZO ALVARO</t>
  </si>
  <si>
    <t>alvarorojasguarnizo@gmail.com</t>
  </si>
  <si>
    <t>SANCHEZ LEON LUDWING ALEJANDRO</t>
  </si>
  <si>
    <t>luasanchezl@udistrital.edu.co</t>
  </si>
  <si>
    <t>MOLINA NOVA MIGUEL ANGEL</t>
  </si>
  <si>
    <t>mamolinan@udistrital.edu.co</t>
  </si>
  <si>
    <t>CUELLAR SALINAS JOHAN NICOLAS</t>
  </si>
  <si>
    <t>jncuellars@udistrital.edu.co</t>
  </si>
  <si>
    <t>nicolascs23@gmail.com</t>
  </si>
  <si>
    <t>ALAYON MORA RICARDO ARTURO</t>
  </si>
  <si>
    <t>raalayonm@udistrital.edu.co</t>
  </si>
  <si>
    <t>ricardiyon@gmail.com</t>
  </si>
  <si>
    <t>dandresmv@gmail.com</t>
  </si>
  <si>
    <t>GONZALEZ AGUIRRE FRANCISCO JAVIER</t>
  </si>
  <si>
    <t>fjgonzaleza@udistrital.edu.co</t>
  </si>
  <si>
    <t>frankyaz@gmail.com</t>
  </si>
  <si>
    <t>CRUZ CAPADOR GERSON DAVID</t>
  </si>
  <si>
    <t>gdcruzc@udistrital.edu.co</t>
  </si>
  <si>
    <t>gdavidcrux@gmail.com</t>
  </si>
  <si>
    <t>CASTELLANOS HERNANDEZ OMAR RICARDO</t>
  </si>
  <si>
    <t>orcastellanosh@udistrital.edu.co</t>
  </si>
  <si>
    <t>omarricardocastellanos@gmail.com</t>
  </si>
  <si>
    <t>GUEVARA VALENCIA EDWIN STEVEN</t>
  </si>
  <si>
    <t>esguevarav@udistrital.edu.co</t>
  </si>
  <si>
    <t>edwin.guevara.valencia@gmail.com</t>
  </si>
  <si>
    <t>PEREZ DIAZ ISABEL VICTORIA</t>
  </si>
  <si>
    <t>ivperezd@udistrital.edu.co</t>
  </si>
  <si>
    <t>isa8.perez@gmail.com</t>
  </si>
  <si>
    <t>HERNANDEZ RIVEROS PILLT YOJAN</t>
  </si>
  <si>
    <t>pyhernandezr@udistrital.edu.co</t>
  </si>
  <si>
    <t>yojanhdez@gmail.com</t>
  </si>
  <si>
    <t>MATIZ GAITAN JOHAN ANDRES</t>
  </si>
  <si>
    <t>jamatizg@udistrital.edu.co</t>
  </si>
  <si>
    <t>j.matiz18@gmail.com</t>
  </si>
  <si>
    <t>CASTIBLANCO PINILLA YINA FERNANDA</t>
  </si>
  <si>
    <t>fernandacastiblanco95@gmail.com</t>
  </si>
  <si>
    <t>CORREDOS CHAVES LUIS ARBEY</t>
  </si>
  <si>
    <t>arbeytecs@gmail.com</t>
  </si>
  <si>
    <t>SILVA ACOSTA LAURENCIO JOSE</t>
  </si>
  <si>
    <t>ljsilvaa@udistrital.edu.co</t>
  </si>
  <si>
    <t>laurenciosilvaa@gmail.com</t>
  </si>
  <si>
    <t>RUBIO RAMOS DIEGO ALEJANDRO</t>
  </si>
  <si>
    <t>darubior@udistrital.edu.co</t>
  </si>
  <si>
    <t>diegoalejandro.rubio@gmail.com</t>
  </si>
  <si>
    <t>GUERRERO PALMERA MIGUEL ANGEL</t>
  </si>
  <si>
    <t>miaguerrerop@udistrital.edu.co</t>
  </si>
  <si>
    <t>guerrero.palmera@gmail.com</t>
  </si>
  <si>
    <t>MOLINA ESPITIA AMPARO</t>
  </si>
  <si>
    <t>amolinae@udistrital.edu.co</t>
  </si>
  <si>
    <t>amparo.molinae@gmail.com</t>
  </si>
  <si>
    <t>BECERRA LOPEZ LUIS EDUARDO</t>
  </si>
  <si>
    <t>lebecerral@udistrital.edu.co</t>
  </si>
  <si>
    <t>luis_e_becerra@hotmail.com</t>
  </si>
  <si>
    <t>fagamboaq@udistrital.edu.co</t>
  </si>
  <si>
    <t>BARBOSA PEÑA JHONATAN JOSÉ</t>
  </si>
  <si>
    <t>jjbarbosap@udistrital.edu.co</t>
  </si>
  <si>
    <t>jhonatanjj.udistri@gmail.com</t>
  </si>
  <si>
    <t>GOMEZ RODRIGUEZ MAURICIO ALEXANDER</t>
  </si>
  <si>
    <t>mauagomezr@udistrital.edu.co</t>
  </si>
  <si>
    <t>maurgom39@gmail.com</t>
  </si>
  <si>
    <t>MAYORGA RONCANCIO GUSTAVO ADOLFO</t>
  </si>
  <si>
    <t>gamayorgar@udistrital.edu.co</t>
  </si>
  <si>
    <t>topingcivil@yahoo.es</t>
  </si>
  <si>
    <t>GARCÍA PEDROZA CÉSAR ALFREDO</t>
  </si>
  <si>
    <t>ceagarciap@udistrital.edu.co</t>
  </si>
  <si>
    <t>cesar_garcia_ts@hotmail.com</t>
  </si>
  <si>
    <t>MUNAR SUÁREZ OSCAR ENRIQUE</t>
  </si>
  <si>
    <t>oemunars@udistrital.edu.co</t>
  </si>
  <si>
    <t>oscar.munar.suarez@gmail.com</t>
  </si>
  <si>
    <t>PIÑEROS HERNANDEZ JOHN FREDY</t>
  </si>
  <si>
    <t>jfpinerosh@udistrital.edu.co</t>
  </si>
  <si>
    <t>johnpiud@gmail.com</t>
  </si>
  <si>
    <t>BELTRÁN CORTES CAMILO ANDRES</t>
  </si>
  <si>
    <t>cabeco99@gmail.com</t>
  </si>
  <si>
    <t>GARZÓN CORREA MAGDA LORENA</t>
  </si>
  <si>
    <t>mlgarzonc@udistrital.edu.co</t>
  </si>
  <si>
    <t>lorenagarzonc@gmail.com</t>
  </si>
  <si>
    <t>REY VANEGAS DIEGO ARMANDO</t>
  </si>
  <si>
    <t>dareyv@udistrital.edu.co</t>
  </si>
  <si>
    <t>diego.rey.vaneg@gmail.com</t>
  </si>
  <si>
    <t>BELTRAN ROMERO MAYER SANTIAGO</t>
  </si>
  <si>
    <t>msbeltranr@udistrital.edu.co</t>
  </si>
  <si>
    <t>mayer0111@hotmail.com</t>
  </si>
  <si>
    <t>CASTRO ALFEREZ RUSBY VANESSA</t>
  </si>
  <si>
    <t>rvcastroa@udistrital.edu.co</t>
  </si>
  <si>
    <t>rusbycastro@gmail.com</t>
  </si>
  <si>
    <t>GALINDO CANO CHRISTIAN YESID</t>
  </si>
  <si>
    <t>cygalindoc@udistrital.edu.co</t>
  </si>
  <si>
    <t>cygc1@hotmail.com</t>
  </si>
  <si>
    <t>GARCIA MALAGON LINA PAOLA</t>
  </si>
  <si>
    <t>lpgarciam@udistrital.edu.co</t>
  </si>
  <si>
    <t>linapaolagarcia@gmail.com</t>
  </si>
  <si>
    <t>GONZÁLEZ SALGUERO JHONATAN</t>
  </si>
  <si>
    <t>jgonzalezs@udistrital.edu.co</t>
  </si>
  <si>
    <t>icg.gonzalez@outlook.com</t>
  </si>
  <si>
    <t>NUÑEZ AYURE KAREN NATHALIA</t>
  </si>
  <si>
    <t>knnuneza@udistrital.edu.co</t>
  </si>
  <si>
    <t>knunezayure@gmail.com</t>
  </si>
  <si>
    <t>SANCHEZ ARIZA CARLOS IVAN</t>
  </si>
  <si>
    <t>cisancheza@udistrital.edu.co</t>
  </si>
  <si>
    <t>klivancho@gmail.com</t>
  </si>
  <si>
    <t>JIMENEZ BARRERO ALEJANDRO</t>
  </si>
  <si>
    <t>aljimenezb@udistrital.edu.co</t>
  </si>
  <si>
    <t>aljimba@gmail.com</t>
  </si>
  <si>
    <t>MORENO MARTINEZ IVONNE LIZETH</t>
  </si>
  <si>
    <t>ilmorenom@udistrital.edu.co</t>
  </si>
  <si>
    <t>imorenom@ucentral.edu.co</t>
  </si>
  <si>
    <t>BOHORQUEZ RAIRAN ANGELA MARCELA</t>
  </si>
  <si>
    <t>ambohorquez@udistrital.edu.co</t>
  </si>
  <si>
    <t>marchelita.bohorquez@gmail.com</t>
  </si>
  <si>
    <t>BARRETO REYES ROBERT NICOLAS</t>
  </si>
  <si>
    <t>rnbarretor@udistrital.edu.co</t>
  </si>
  <si>
    <t>FORERO SARMIENTO MIKE CRISTHIAM</t>
  </si>
  <si>
    <t>mcforeros@udistrital.edu.co</t>
  </si>
  <si>
    <t>mikecrth22@gmail.com</t>
  </si>
  <si>
    <t>GARZON GIL JUAN MANUEL</t>
  </si>
  <si>
    <t>juamgarzong@udistrital.edu.co</t>
  </si>
  <si>
    <t>PATIÑO MONTOYA GERARDO ANDRES</t>
  </si>
  <si>
    <t>gapatinom@udistrital.edu.co</t>
  </si>
  <si>
    <t>gand07p@gmail.com</t>
  </si>
  <si>
    <t>RODRIGUEZ BALAGUERA LINA FERNANDA</t>
  </si>
  <si>
    <t>lifrodriguezb@udistrital.edu.co</t>
  </si>
  <si>
    <t>linaferbalaguera@gmail.com</t>
  </si>
  <si>
    <t>SOLER UMBARILA JHON JAIRO</t>
  </si>
  <si>
    <t>jjsoleru@udistrital.edu.co</t>
  </si>
  <si>
    <t>ZABALA DONATO DANIELA IVON</t>
  </si>
  <si>
    <t>dizabalad@udistrital.edu.co</t>
  </si>
  <si>
    <t>danielaivonzabaladonato@gmail.com</t>
  </si>
  <si>
    <t>ZARATE MARTINEZ ALVARO NICOLAS</t>
  </si>
  <si>
    <t>anzaratem@udistrital.edu.co</t>
  </si>
  <si>
    <t>BELTRAN RODRIGUEZ JAVIER ALEJANDRO</t>
  </si>
  <si>
    <t>jaabeltranr@udistrital.edu.co</t>
  </si>
  <si>
    <t>CAMACHO HILARION CRISTIAN DANIEL</t>
  </si>
  <si>
    <t>cdcamachoh@udistrital.edu.co</t>
  </si>
  <si>
    <t>cristian.camachohilarion@gmail.com</t>
  </si>
  <si>
    <t>FLORIAN ARGUELLO MIGUEL ANDRES</t>
  </si>
  <si>
    <t>mafloriana@udistrital.edu.co</t>
  </si>
  <si>
    <t>migue560@gmail.com</t>
  </si>
  <si>
    <t>LEON CASTAÑEDA DANIEL MAURICIO</t>
  </si>
  <si>
    <t>dmleonc@udistrital.edu.co</t>
  </si>
  <si>
    <t>d_leon02@hotmail.com</t>
  </si>
  <si>
    <t>LIEVANO GONZÁLEZ DAVID MATEO</t>
  </si>
  <si>
    <t>dmlievanog@udistrital.edu.co</t>
  </si>
  <si>
    <t>davidmateolievano@gmail.com</t>
  </si>
  <si>
    <t>MARTINEZ FLOREZ DIEGO ARMANDO</t>
  </si>
  <si>
    <t>damartinezf@udistrital.edu.co</t>
  </si>
  <si>
    <t>diegoamartinezf@hotmail.com</t>
  </si>
  <si>
    <t>MORA NUNEZ SERGIO JENNER</t>
  </si>
  <si>
    <t>sjmoran@udistrital.edu.co</t>
  </si>
  <si>
    <t>PEÑA GOMEZ NEYIT SARAI</t>
  </si>
  <si>
    <t>nspenag@udistrital.edu.co</t>
  </si>
  <si>
    <t>RIAÑO MORA JULIETH TATIANA</t>
  </si>
  <si>
    <t>jtrianom@udistrital.edu.co</t>
  </si>
  <si>
    <t>juliethriano.m@gmail.com</t>
  </si>
  <si>
    <t>SANCHEZ DEANTONIO CRISTIAN ARLEY</t>
  </si>
  <si>
    <t>casanchezd@udistrital.edu.co</t>
  </si>
  <si>
    <t>ALCANTARA CORTES CRISTIAN CAMILO</t>
  </si>
  <si>
    <t>kr.istan@hotmail.com</t>
  </si>
  <si>
    <t>ARDILA NEIRA JONATHAN SNEYDER</t>
  </si>
  <si>
    <t>ardilajonathan99@gmail.com</t>
  </si>
  <si>
    <t>CHIVATÁ RIVERA SONIA JOHANA</t>
  </si>
  <si>
    <t>¿sjchivatar@udistrital.edu.co</t>
  </si>
  <si>
    <t>soniachivata@hotmail.com</t>
  </si>
  <si>
    <t>DIAZ LOPEZ ANGIE TATIANA</t>
  </si>
  <si>
    <t>atdiazl@udistrital.edu.co</t>
  </si>
  <si>
    <t>IGUAVITA TORO NATALIA</t>
  </si>
  <si>
    <t>niguavitat@udistrital.edu.co</t>
  </si>
  <si>
    <t>niguavitato@gmail.com</t>
  </si>
  <si>
    <t>JIMENEZ BOHORQUEZ ANGIE</t>
  </si>
  <si>
    <t>aejimenezb@udistrital.edu.co</t>
  </si>
  <si>
    <t>MUÑOZ LUNA JULY PAULINA</t>
  </si>
  <si>
    <t>julypau@gmail.com</t>
  </si>
  <si>
    <t>PERILLA GOMEZ JOHNATHAN STEVE</t>
  </si>
  <si>
    <t>perillagjs@gmail.com</t>
  </si>
  <si>
    <t>ROMERO OCHOA DANIEL FERNANDO</t>
  </si>
  <si>
    <t>danielrmo95@gmail.com</t>
  </si>
  <si>
    <t>RUBIANO ALARCON MARIA CAMILA</t>
  </si>
  <si>
    <t>mcrubianoa@udistrital.edu.co</t>
  </si>
  <si>
    <t>SOTO PANQUEVA DIEGO ALEJANDRO</t>
  </si>
  <si>
    <t>d.alejandrosoto@gmail.com</t>
  </si>
  <si>
    <t>RODRÍGUEZ REYES MIGUEL ANGEL</t>
  </si>
  <si>
    <t>miarodriguezr@udistrital.edu.co</t>
  </si>
  <si>
    <t>miguerox@gmail.com</t>
  </si>
  <si>
    <t>ROJAS CASTILLO HILDO NORBEY</t>
  </si>
  <si>
    <t>hnrojasc@udistrital.edu.co</t>
  </si>
  <si>
    <t>norbey932@gmail.com</t>
  </si>
  <si>
    <t>ALARCON MANRIQUE BRIAN SANTIAGO</t>
  </si>
  <si>
    <t>bsalarconm@udistrital.edu.co</t>
  </si>
  <si>
    <t>TORRES LLANES SERGIO DAVID</t>
  </si>
  <si>
    <t>sedtorresl@udistrital.edu.co</t>
  </si>
  <si>
    <t>CHAMORRO OBANDO WENDY JULIETH</t>
  </si>
  <si>
    <t>wjchamorroo@udistrital.edu.co</t>
  </si>
  <si>
    <t>ARIAS SANTOS JESUS ALFONSO</t>
  </si>
  <si>
    <t>jeaariass@udistrital.edu.co</t>
  </si>
  <si>
    <t>MUÑOZ GAMBA YAN SEBASTIAN</t>
  </si>
  <si>
    <t>ysmunozg@udistrital.edu.co</t>
  </si>
  <si>
    <t>yan.sebastian.m@gmail.com</t>
  </si>
  <si>
    <t>LÓPEZ CORREA JULIAN SANTIAGO</t>
  </si>
  <si>
    <t>jslopezc@udistrital.edu.co</t>
  </si>
  <si>
    <t>SERNA GALEANO IVAN ANDRES FELIPE</t>
  </si>
  <si>
    <t>DIEGO ALEJANDRO PINZON ROBERTO</t>
  </si>
  <si>
    <t>dapinzonr@udistrital.edu.co</t>
  </si>
  <si>
    <t>alejorobert@yahoo.es</t>
  </si>
  <si>
    <t>CALLE TORRES JULIAN DAVID</t>
  </si>
  <si>
    <t>jdcallet@udistrital.edu.co</t>
  </si>
  <si>
    <t>jdcallet@unal.edu.co</t>
  </si>
  <si>
    <t>HERNANDEZ CAPERA JEISSON ALEJANDRO</t>
  </si>
  <si>
    <t>cjeissonh@udistrital.edu.co</t>
  </si>
  <si>
    <t>yeisonh_88@hotmail.com</t>
  </si>
  <si>
    <t>MORALES MOJICA JHON ALEJANDRO</t>
  </si>
  <si>
    <t>jamoralesm@udistrital.edu.co</t>
  </si>
  <si>
    <t>jalejo999@gmail.com</t>
  </si>
  <si>
    <t>ORTIZ CAICEDO BRAYAN FERNANDO</t>
  </si>
  <si>
    <t>bfortizc@udistrital.edu.co</t>
  </si>
  <si>
    <t>b.ortiz13@hotmail.com</t>
  </si>
  <si>
    <t>ORTIZ MONCADA HAESSLER JOAN</t>
  </si>
  <si>
    <t>hjortizm@udistrital.edu.co</t>
  </si>
  <si>
    <t>haesslerortiz@gmail.com</t>
  </si>
  <si>
    <t>PINEDA ROJAS WILMAR FERNANDO</t>
  </si>
  <si>
    <t>wfpinedar@udistrital.edu.co</t>
  </si>
  <si>
    <t>wfpinedar@gmail.com</t>
  </si>
  <si>
    <t>PUENTES PEDRAZA KEVIN JULIAN</t>
  </si>
  <si>
    <t>kjpuentesp@udistrital.edu.co</t>
  </si>
  <si>
    <t>kevinpuentes26@hotmail.com</t>
  </si>
  <si>
    <t>PUENTES RIVERO JONATHAN</t>
  </si>
  <si>
    <t>jpuentesr@udistrital.edu.co</t>
  </si>
  <si>
    <t>jpuentesr96@gmail.com</t>
  </si>
  <si>
    <t>PULIDO CASTRO ANDRES FELIPE</t>
  </si>
  <si>
    <t>anfpulidoc@udistrital.edu.co</t>
  </si>
  <si>
    <t>CALDERON OBANDO CAMILO ALEXANDER</t>
  </si>
  <si>
    <t>cacalderono@udistrital.edu.co</t>
  </si>
  <si>
    <t>FAJARDO OSORIO LEONARDO</t>
  </si>
  <si>
    <t>lfajardoo@unal.edu.co</t>
  </si>
  <si>
    <t>MENDIETA SANCHEZ DIANA CAROLINA</t>
  </si>
  <si>
    <t>dcmendietas@udistrital.edu.co</t>
  </si>
  <si>
    <t>carolinamendietas2@gmail.com</t>
  </si>
  <si>
    <t>MURIEL BEJARANO HERNAN ALFONSO</t>
  </si>
  <si>
    <t>hamurielb@udistrital.edu.co</t>
  </si>
  <si>
    <t>muriel.hernan@gmail.com</t>
  </si>
  <si>
    <t>SILVA RINCON CAMILO ANDRES</t>
  </si>
  <si>
    <t>casilvar@udistrital.edu.co</t>
  </si>
  <si>
    <t>camilosilvar4@gmail.com</t>
  </si>
  <si>
    <t>MANRIQUE FLORIAN JONATHAN ALEXANDER</t>
  </si>
  <si>
    <t>alexandermanriquef@gmail.com</t>
  </si>
  <si>
    <t>GARCIA FLOREZ JOSE ANDRES</t>
  </si>
  <si>
    <t>josagarciaf@udistrital.edu.co</t>
  </si>
  <si>
    <t>joagaflo@gmail.com</t>
  </si>
  <si>
    <t>CASTILLO CAICEDO JOSÉ RICARDO</t>
  </si>
  <si>
    <t>jrcastilloc@udistrital.edu.co</t>
  </si>
  <si>
    <t>ricardoud2008@gmail.com</t>
  </si>
  <si>
    <t>QUINTERO VILLAMIZAR SEDITSIRA ANDREA</t>
  </si>
  <si>
    <t>saquinterov@udistrital.edu.co</t>
  </si>
  <si>
    <t>saquinterov@unal.edu.co</t>
  </si>
  <si>
    <t>LOPEZ MORA SAMUEL ALEJANDRO</t>
  </si>
  <si>
    <t>salopezm@udistrital.edu.co</t>
  </si>
  <si>
    <t>alopez@grupo-cubo.com</t>
  </si>
  <si>
    <t>LOPEZ PEREZ CRISTHIAN CAMILO</t>
  </si>
  <si>
    <t>cclopezp@udistrital.edu.co</t>
  </si>
  <si>
    <t>mathe.milopeez@gmail.com</t>
  </si>
  <si>
    <t>RUBIO BARRAGAN ANDREA ESTEFANIA</t>
  </si>
  <si>
    <t>aerubiob@udistrital.edu.co</t>
  </si>
  <si>
    <t>estefaniarubiob@gmail.com</t>
  </si>
  <si>
    <t>PULIDO VALENZUELA DEYSA KATHERINE</t>
  </si>
  <si>
    <t>dkpulidov@udistrital.edu.co</t>
  </si>
  <si>
    <t>VALETA MEDINA MAXIMILIANO</t>
  </si>
  <si>
    <t>mvaletam@udistrital.edu.co</t>
  </si>
  <si>
    <t>RODRIGUEZ CASTELLANOS STIVEN FELIPE</t>
  </si>
  <si>
    <t>steven.felipe.rodriguez@gmail.com</t>
  </si>
  <si>
    <t>CABALLERO ORTIZ DAISSY JOHANNA</t>
  </si>
  <si>
    <t>daissycaballero1@gmail.com</t>
  </si>
  <si>
    <t>SIERRA TORRES JORGE ELIECER</t>
  </si>
  <si>
    <t>jesierrat@udistrital.edu.co</t>
  </si>
  <si>
    <t>TORRES BERNAL CESAR ANDRES</t>
  </si>
  <si>
    <t>cesarandrestorresbernal604@gmail.com</t>
  </si>
  <si>
    <t>RUEDA GARZON STEFANY</t>
  </si>
  <si>
    <t>sruedag@udistrital.edu.co</t>
  </si>
  <si>
    <t>stefanyruedagarzon@gmail.com</t>
  </si>
  <si>
    <t>MUÑOZ CEDANO LEONEL</t>
  </si>
  <si>
    <t>lmunozc@udistrital.edu.co</t>
  </si>
  <si>
    <t>leoneling@gmail.com</t>
  </si>
  <si>
    <t>MORALES RIVERA JUAN PABLO</t>
  </si>
  <si>
    <t>jpmoralesr@udistrital.edu.co</t>
  </si>
  <si>
    <t>juanp1116@hotmail.com</t>
  </si>
  <si>
    <t>CASTRO QUIROGA YUBER ALFREDO</t>
  </si>
  <si>
    <t>yacastroq@udistrital.edu.co</t>
  </si>
  <si>
    <t>yubercastro@gmail.com</t>
  </si>
  <si>
    <t>CONDE GÓMEZ ALEXANDER</t>
  </si>
  <si>
    <t>acondeg@correo.udistrital.edu.co</t>
  </si>
  <si>
    <t>QUINTERO QUINTANA MARIA CLARA</t>
  </si>
  <si>
    <t>mcquinteroq@udistrital.edu.co</t>
  </si>
  <si>
    <t>ing.clara.quintero@gmail.com</t>
  </si>
  <si>
    <t>SCARPETTA RODRÍGUEZ LAURA CAMILA</t>
  </si>
  <si>
    <t>lcscarpettar@udistrital.edu.co</t>
  </si>
  <si>
    <t>lcscarpettar@gmail.com</t>
  </si>
  <si>
    <t>VARGAS MONTERO JOSÉ MANUEL</t>
  </si>
  <si>
    <t>jomvargasm@udistrital.edu.co</t>
  </si>
  <si>
    <t>jmvm1313@gmail.com</t>
  </si>
  <si>
    <t>ZAPATA MUÑOZ DIEGO FERNANDO</t>
  </si>
  <si>
    <t>dfzapatam@udistrital.edu.co</t>
  </si>
  <si>
    <t>fernandoz6m4@gmail.com</t>
  </si>
  <si>
    <t>POLANCO MÉNDEZ HENRY</t>
  </si>
  <si>
    <t>hpolancom@udistrital.edu.co</t>
  </si>
  <si>
    <t>PULIDO ROMERO LUIS ALBERTO</t>
  </si>
  <si>
    <t>lapulidor@udistrital.edu.co</t>
  </si>
  <si>
    <t>guin.luis@gmail.com</t>
  </si>
  <si>
    <t>HOSPITAL MELO JAVIER DUVAN</t>
  </si>
  <si>
    <t>jdhospitalm@udistrital.edu.co</t>
  </si>
  <si>
    <t>hoispital@gmail.com</t>
  </si>
  <si>
    <t>NOBOA CALDERÓN XAVIER ALBERTO</t>
  </si>
  <si>
    <t>xanoboac@udistrital.edu.co</t>
  </si>
  <si>
    <t>xanc1@hotmail.com</t>
  </si>
  <si>
    <t>BARRIOS MARROQUIN TANIA ALEJANDRA</t>
  </si>
  <si>
    <t>tabarriosm@udistrital.edu.co</t>
  </si>
  <si>
    <t>tania-barrios95@hotmail.com</t>
  </si>
  <si>
    <t>GOMEZ RUIZ DAVID ALFONSO</t>
  </si>
  <si>
    <t>daagomezr@udistrital.edu.co</t>
  </si>
  <si>
    <t>d.a.g.r138@gmail.com</t>
  </si>
  <si>
    <t>RONDEROS ACEVEDO ALVARO IVAN</t>
  </si>
  <si>
    <t>aironderosa@udistrital.edu.co</t>
  </si>
  <si>
    <t>a.ronderos@hotmail.com</t>
  </si>
  <si>
    <t>SANCHEZ RODRIGUEZ NATALIA ANDREA</t>
  </si>
  <si>
    <t>nataliasanchez0922@outlook.com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</si>
</sst>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000"/>
    <numFmt numFmtId="165" formatCode="dd/mm/yy"/>
    <numFmt numFmtId="166" formatCode="yyyy&quot;-&quot;m"/>
    <numFmt numFmtId="167" formatCode="dd/mmm/yyyy"/>
    <numFmt numFmtId="168" formatCode="mm&quot;-&quot;yyyy"/>
    <numFmt numFmtId="169" formatCode="mm\-yyyy"/>
    <numFmt numFmtId="170" formatCode="m&quot;-&quot;yyyy"/>
    <numFmt numFmtId="171" formatCode="d/m/yyyy"/>
    <numFmt numFmtId="172" formatCode="mm/yyyy"/>
    <numFmt numFmtId="173" formatCode="m\-yyyy"/>
    <numFmt numFmtId="174" formatCode="dd/mmm/yy"/>
    <numFmt numFmtId="175" formatCode="dd&quot;-&quot;mm&quot;-&quot;yyyy"/>
    <numFmt numFmtId="176" formatCode="m/yyyy"/>
    <numFmt numFmtId="177" formatCode="0.0"/>
    <numFmt numFmtId="178" formatCode="d\.m"/>
    <numFmt numFmtId="179" formatCode="d/m"/>
    <numFmt numFmtId="180" formatCode="d\-m\-yyyy"/>
  </numFmts>
  <fonts count="39">
    <font>
      <sz val="11"/>
      <color indexed="8"/>
      <name val="Verdana"/>
    </font>
    <font>
      <sz val="11"/>
      <color indexed="8"/>
      <name val="Calibri"/>
      <family val="2"/>
    </font>
    <font>
      <sz val="11"/>
      <color indexed="8"/>
      <name val="Helvetica Neue"/>
    </font>
    <font>
      <sz val="11"/>
      <color indexed="12"/>
      <name val="Calibri"/>
      <family val="2"/>
    </font>
    <font>
      <b/>
      <sz val="11"/>
      <color indexed="8"/>
      <name val="Calibri"/>
      <family val="2"/>
    </font>
    <font>
      <sz val="11"/>
      <color theme="0"/>
      <name val="Helvetica Neue"/>
      <scheme val="minor"/>
    </font>
    <font>
      <b/>
      <sz val="11"/>
      <color indexed="14"/>
      <name val="Calibri"/>
      <family val="2"/>
    </font>
    <font>
      <sz val="11"/>
      <color indexed="14"/>
      <name val="Calibri"/>
      <family val="2"/>
    </font>
    <font>
      <sz val="12"/>
      <color indexed="8"/>
      <name val="Calibri"/>
      <family val="2"/>
    </font>
    <font>
      <sz val="12"/>
      <color theme="0"/>
      <name val="Calibri"/>
      <family val="2"/>
    </font>
    <font>
      <sz val="12"/>
      <color indexed="12"/>
      <name val="Calibri"/>
      <family val="2"/>
    </font>
    <font>
      <u/>
      <sz val="11"/>
      <color indexed="29"/>
      <name val="Calibri"/>
      <family val="2"/>
    </font>
    <font>
      <sz val="11"/>
      <color rgb="FF444444"/>
      <name val="Calibri"/>
      <family val="2"/>
      <charset val="1"/>
    </font>
    <font>
      <sz val="10"/>
      <color indexed="8"/>
      <name val="Century Gothic"/>
      <family val="2"/>
      <charset val="1"/>
    </font>
    <font>
      <sz val="11"/>
      <color rgb="FFFF0000"/>
      <name val="Calibri"/>
      <family val="2"/>
    </font>
    <font>
      <u/>
      <sz val="11"/>
      <color theme="10"/>
      <name val="Verdana"/>
      <family val="2"/>
    </font>
    <font>
      <sz val="11"/>
      <color rgb="FF424242"/>
      <name val="Segoe UI"/>
      <family val="2"/>
    </font>
    <font>
      <sz val="11"/>
      <color rgb="FF000000"/>
      <name val="Verdana"/>
      <family val="2"/>
    </font>
    <font>
      <sz val="11"/>
      <color rgb="FF000000"/>
      <name val="Calibri"/>
      <family val="2"/>
    </font>
    <font>
      <sz val="9"/>
      <color indexed="8"/>
      <name val="Century Gothic"/>
      <family val="2"/>
      <charset val="1"/>
    </font>
    <font>
      <sz val="12"/>
      <color rgb="FFFF0000"/>
      <name val="Calibri"/>
      <family val="2"/>
    </font>
    <font>
      <sz val="11"/>
      <color rgb="FF000000"/>
      <name val="Helvetica Neue"/>
      <scheme val="minor"/>
    </font>
    <font>
      <sz val="12"/>
      <color rgb="FF000000"/>
      <name val="Calibri"/>
      <family val="2"/>
    </font>
    <font>
      <sz val="12"/>
      <color indexed="8"/>
      <name val="Calibri"/>
      <family val="2"/>
      <charset val="1"/>
    </font>
    <font>
      <sz val="10"/>
      <name val="Arial Narrow"/>
      <family val="2"/>
    </font>
    <font>
      <sz val="10"/>
      <color indexed="8"/>
      <name val="Arial Narrow"/>
      <family val="2"/>
      <charset val="1"/>
    </font>
    <font>
      <sz val="11"/>
      <color rgb="FF000000"/>
      <name val="Helvetica Neue"/>
    </font>
    <font>
      <sz val="10"/>
      <color rgb="FF000000"/>
      <name val="Arial"/>
      <family val="2"/>
    </font>
    <font>
      <sz val="11"/>
      <color rgb="FF000000"/>
      <name val="Arial"/>
      <family val="2"/>
    </font>
    <font>
      <sz val="11"/>
      <color rgb="FF000000"/>
      <name val="WordVisi_MSFontService"/>
      <charset val="1"/>
    </font>
    <font>
      <b/>
      <sz val="10"/>
      <color rgb="FF000000"/>
      <name val="Ariel"/>
      <charset val="1"/>
    </font>
    <font>
      <b/>
      <i/>
      <sz val="11"/>
      <color rgb="FF000000"/>
      <name val="Helvetica Neue"/>
    </font>
    <font>
      <b/>
      <i/>
      <sz val="10"/>
      <color rgb="FFFFFFFF"/>
      <name val="Ariel"/>
      <charset val="1"/>
    </font>
    <font>
      <sz val="10"/>
      <color rgb="FF000000"/>
      <name val="Ariel"/>
      <charset val="1"/>
    </font>
    <font>
      <sz val="9"/>
      <color indexed="81"/>
      <name val="Tahoma"/>
      <family val="2"/>
    </font>
    <font>
      <b/>
      <sz val="9"/>
      <color indexed="81"/>
      <name val="Tahoma"/>
      <family val="2"/>
    </font>
    <font>
      <sz val="11"/>
      <color indexed="8"/>
      <name val="Verdana"/>
      <family val="2"/>
    </font>
    <font>
      <sz val="12"/>
      <name val="Calibri"/>
      <family val="2"/>
    </font>
    <font>
      <sz val="11"/>
      <name val="Helvetica Neue"/>
      <scheme val="minor"/>
    </font>
  </fonts>
  <fills count="32">
    <fill>
      <patternFill patternType="none"/>
    </fill>
    <fill>
      <patternFill patternType="gray125"/>
    </fill>
    <fill>
      <patternFill patternType="solid">
        <fgColor indexed="13"/>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
      <patternFill patternType="solid">
        <fgColor indexed="26"/>
        <bgColor auto="1"/>
      </patternFill>
    </fill>
    <fill>
      <patternFill patternType="solid">
        <fgColor theme="4"/>
      </patternFill>
    </fill>
    <fill>
      <patternFill patternType="solid">
        <fgColor rgb="FFFFFF00"/>
        <bgColor indexed="64"/>
      </patternFill>
    </fill>
    <fill>
      <patternFill patternType="solid">
        <fgColor indexed="13"/>
        <bgColor indexed="64"/>
      </patternFill>
    </fill>
    <fill>
      <patternFill patternType="solid">
        <fgColor rgb="FFFF0000"/>
        <bgColor indexed="64"/>
      </patternFill>
    </fill>
    <fill>
      <patternFill patternType="solid">
        <fgColor rgb="FFED7D31"/>
        <bgColor indexed="64"/>
      </patternFill>
    </fill>
    <fill>
      <patternFill patternType="solid">
        <fgColor rgb="FFAEAAAA"/>
        <bgColor indexed="64"/>
      </patternFill>
    </fill>
    <fill>
      <patternFill patternType="solid">
        <fgColor rgb="FFBFBFBF"/>
        <bgColor indexed="64"/>
      </patternFill>
    </fill>
    <fill>
      <patternFill patternType="solid">
        <fgColor theme="8" tint="-0.249977111117893"/>
        <bgColor indexed="64"/>
      </patternFill>
    </fill>
    <fill>
      <patternFill patternType="solid">
        <fgColor theme="9" tint="0.39997558519241921"/>
        <bgColor indexed="64"/>
      </patternFill>
    </fill>
    <fill>
      <patternFill patternType="solid">
        <fgColor theme="9"/>
        <bgColor indexed="64"/>
      </patternFill>
    </fill>
    <fill>
      <patternFill patternType="solid">
        <fgColor rgb="FF00B050"/>
        <bgColor indexed="64"/>
      </patternFill>
    </fill>
    <fill>
      <patternFill patternType="solid">
        <fgColor theme="0"/>
        <bgColor indexed="64"/>
      </patternFill>
    </fill>
    <fill>
      <patternFill patternType="solid">
        <fgColor theme="7" tint="0.79998168889431442"/>
        <bgColor indexed="64"/>
      </patternFill>
    </fill>
    <fill>
      <patternFill patternType="solid">
        <fgColor rgb="FFC00000"/>
        <bgColor indexed="64"/>
      </patternFill>
    </fill>
    <fill>
      <patternFill patternType="solid">
        <fgColor rgb="FFEEEEFF"/>
        <bgColor indexed="64"/>
      </patternFill>
    </fill>
    <fill>
      <patternFill patternType="solid">
        <fgColor rgb="FF999999"/>
        <bgColor indexed="64"/>
      </patternFill>
    </fill>
    <fill>
      <patternFill patternType="solid">
        <fgColor rgb="FFDDDDFF"/>
        <bgColor indexed="64"/>
      </patternFill>
    </fill>
    <fill>
      <patternFill patternType="solid">
        <fgColor rgb="FFFFFFFF"/>
        <bgColor indexed="64"/>
      </patternFill>
    </fill>
    <fill>
      <patternFill patternType="solid">
        <fgColor rgb="FF92D050"/>
        <bgColor indexed="64"/>
      </patternFill>
    </fill>
    <fill>
      <patternFill patternType="solid">
        <fgColor theme="1"/>
        <bgColor indexed="64"/>
      </patternFill>
    </fill>
  </fills>
  <borders count="41">
    <border>
      <left/>
      <right/>
      <top/>
      <bottom/>
      <diagonal/>
    </border>
    <border>
      <left style="thin">
        <color indexed="8"/>
      </left>
      <right/>
      <top style="thin">
        <color indexed="11"/>
      </top>
      <bottom/>
      <diagonal/>
    </border>
    <border>
      <left/>
      <right/>
      <top style="thin">
        <color indexed="11"/>
      </top>
      <bottom/>
      <diagonal/>
    </border>
    <border>
      <left style="thin">
        <color indexed="8"/>
      </left>
      <right/>
      <top/>
      <bottom/>
      <diagonal/>
    </border>
    <border>
      <left/>
      <right style="thin">
        <color indexed="8"/>
      </right>
      <top/>
      <bottom/>
      <diagonal/>
    </border>
    <border>
      <left/>
      <right/>
      <top/>
      <bottom/>
      <diagonal/>
    </border>
    <border>
      <left style="thin">
        <color indexed="8"/>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indexed="11"/>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rgb="FF000000"/>
      </left>
      <right style="thin">
        <color rgb="FF000000"/>
      </right>
      <top style="thin">
        <color rgb="FF000000"/>
      </top>
      <bottom style="thin">
        <color rgb="FF000000"/>
      </bottom>
      <diagonal/>
    </border>
    <border>
      <left style="thin">
        <color indexed="8"/>
      </left>
      <right style="medium">
        <color indexed="8"/>
      </right>
      <top/>
      <bottom style="thin">
        <color indexed="8"/>
      </bottom>
      <diagonal/>
    </border>
    <border>
      <left style="medium">
        <color indexed="8"/>
      </left>
      <right style="thin">
        <color indexed="8"/>
      </right>
      <top/>
      <bottom style="thin">
        <color indexed="8"/>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8"/>
      </left>
      <right style="medium">
        <color indexed="8"/>
      </right>
      <top style="thin">
        <color indexed="8"/>
      </top>
      <bottom/>
      <diagonal/>
    </border>
    <border>
      <left style="thin">
        <color rgb="FF000000"/>
      </left>
      <right style="thin">
        <color rgb="FF000000"/>
      </right>
      <top style="thin">
        <color rgb="FF000000"/>
      </top>
      <bottom/>
      <diagonal/>
    </border>
    <border>
      <left/>
      <right/>
      <top style="dotted">
        <color rgb="FF000000"/>
      </top>
      <bottom/>
      <diagonal/>
    </border>
    <border>
      <left style="medium">
        <color indexed="8"/>
      </left>
      <right style="thin">
        <color indexed="8"/>
      </right>
      <top style="thin">
        <color indexed="8"/>
      </top>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style="thin">
        <color rgb="FF000000"/>
      </top>
      <bottom/>
      <diagonal/>
    </border>
    <border>
      <left/>
      <right/>
      <top style="thin">
        <color rgb="FFDDDDFF"/>
      </top>
      <bottom/>
      <diagonal/>
    </border>
    <border>
      <left/>
      <right/>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s>
  <cellStyleXfs count="3">
    <xf numFmtId="0" fontId="0" fillId="0" borderId="0" applyNumberFormat="0" applyFill="0" applyBorder="0" applyProtection="0"/>
    <xf numFmtId="0" fontId="5" fillId="12" borderId="0" applyNumberFormat="0" applyBorder="0" applyAlignment="0" applyProtection="0"/>
    <xf numFmtId="0" fontId="15" fillId="0" borderId="0" applyNumberFormat="0" applyFill="0" applyBorder="0" applyAlignment="0" applyProtection="0"/>
  </cellStyleXfs>
  <cellXfs count="748">
    <xf numFmtId="0" fontId="0" fillId="0" borderId="0" xfId="0"/>
    <xf numFmtId="0" fontId="0" fillId="0" borderId="0" xfId="0" applyNumberFormat="1"/>
    <xf numFmtId="0" fontId="1" fillId="0" borderId="0" xfId="0" applyNumberFormat="1" applyFont="1"/>
    <xf numFmtId="9" fontId="3" fillId="0" borderId="5" xfId="0" applyNumberFormat="1" applyFont="1" applyBorder="1" applyAlignment="1">
      <alignment horizontal="center"/>
    </xf>
    <xf numFmtId="0" fontId="1" fillId="0" borderId="5" xfId="0" applyFont="1" applyBorder="1"/>
    <xf numFmtId="0" fontId="1" fillId="0" borderId="5" xfId="0" applyFont="1" applyBorder="1" applyAlignment="1">
      <alignment horizontal="center"/>
    </xf>
    <xf numFmtId="0" fontId="1" fillId="0" borderId="5" xfId="0" applyNumberFormat="1" applyFont="1" applyBorder="1"/>
    <xf numFmtId="9" fontId="1" fillId="0" borderId="5" xfId="0" applyNumberFormat="1" applyFont="1" applyBorder="1" applyAlignment="1">
      <alignment horizontal="center"/>
    </xf>
    <xf numFmtId="0" fontId="1" fillId="0" borderId="5" xfId="0" applyFont="1" applyFill="1" applyBorder="1"/>
    <xf numFmtId="0" fontId="1" fillId="0" borderId="5" xfId="0" applyNumberFormat="1" applyFont="1" applyFill="1" applyBorder="1"/>
    <xf numFmtId="0" fontId="1" fillId="2" borderId="7" xfId="0" applyNumberFormat="1" applyFont="1" applyFill="1" applyBorder="1" applyAlignment="1">
      <alignment horizontal="center" vertical="center" wrapText="1"/>
    </xf>
    <xf numFmtId="165" fontId="1" fillId="2" borderId="7" xfId="0" applyNumberFormat="1" applyFont="1" applyFill="1" applyBorder="1" applyAlignment="1">
      <alignment horizontal="center" vertical="center" wrapText="1"/>
    </xf>
    <xf numFmtId="0" fontId="1" fillId="2" borderId="7"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1" fillId="0" borderId="5" xfId="0" applyFont="1" applyFill="1" applyBorder="1" applyAlignment="1">
      <alignment vertical="center" wrapText="1"/>
    </xf>
    <xf numFmtId="0" fontId="1" fillId="0" borderId="17" xfId="0" applyFont="1" applyBorder="1"/>
    <xf numFmtId="0" fontId="4" fillId="2" borderId="22" xfId="0" applyNumberFormat="1" applyFont="1" applyFill="1" applyBorder="1" applyAlignment="1">
      <alignment horizontal="center" vertical="center" wrapText="1"/>
    </xf>
    <xf numFmtId="49" fontId="1" fillId="2" borderId="22" xfId="0" applyNumberFormat="1" applyFont="1" applyFill="1" applyBorder="1" applyAlignment="1">
      <alignment horizontal="center" vertical="center" wrapText="1"/>
    </xf>
    <xf numFmtId="0" fontId="1" fillId="2" borderId="22" xfId="0" applyNumberFormat="1" applyFont="1" applyFill="1" applyBorder="1" applyAlignment="1">
      <alignment horizontal="center" vertical="center" wrapText="1"/>
    </xf>
    <xf numFmtId="165" fontId="1" fillId="2" borderId="22" xfId="0" applyNumberFormat="1" applyFont="1" applyFill="1" applyBorder="1" applyAlignment="1">
      <alignment horizontal="center" vertical="center" wrapText="1"/>
    </xf>
    <xf numFmtId="1" fontId="1" fillId="2" borderId="22" xfId="0" applyNumberFormat="1" applyFont="1" applyFill="1" applyBorder="1" applyAlignment="1">
      <alignment horizontal="center" vertical="center" wrapText="1"/>
    </xf>
    <xf numFmtId="0" fontId="1" fillId="2" borderId="22" xfId="0" applyFont="1" applyFill="1" applyBorder="1" applyAlignment="1">
      <alignment vertical="center" wrapText="1"/>
    </xf>
    <xf numFmtId="0" fontId="1" fillId="2" borderId="22" xfId="0" applyFont="1" applyFill="1" applyBorder="1" applyAlignment="1">
      <alignment horizontal="center" vertical="center" wrapText="1"/>
    </xf>
    <xf numFmtId="0" fontId="3" fillId="0" borderId="22" xfId="0" applyFont="1" applyBorder="1"/>
    <xf numFmtId="49" fontId="6" fillId="3" borderId="4" xfId="0" applyNumberFormat="1" applyFont="1" applyFill="1" applyBorder="1" applyAlignment="1">
      <alignment horizontal="center" vertical="center" wrapText="1"/>
    </xf>
    <xf numFmtId="49" fontId="7" fillId="3" borderId="6" xfId="0" applyNumberFormat="1" applyFont="1" applyFill="1" applyBorder="1" applyAlignment="1">
      <alignment horizontal="center" vertical="center" wrapText="1"/>
    </xf>
    <xf numFmtId="49" fontId="7" fillId="3" borderId="3" xfId="0" applyNumberFormat="1" applyFont="1" applyFill="1" applyBorder="1" applyAlignment="1">
      <alignment horizontal="center" vertical="center" wrapText="1"/>
    </xf>
    <xf numFmtId="0" fontId="4" fillId="2" borderId="21" xfId="0" applyFont="1" applyFill="1" applyBorder="1" applyAlignment="1">
      <alignment horizontal="center" vertical="center" wrapText="1"/>
    </xf>
    <xf numFmtId="0" fontId="1" fillId="2" borderId="21" xfId="0" applyFont="1" applyFill="1" applyBorder="1" applyAlignment="1">
      <alignment horizontal="center" vertical="center" wrapText="1"/>
    </xf>
    <xf numFmtId="165" fontId="1" fillId="2" borderId="21" xfId="0" applyNumberFormat="1" applyFont="1" applyFill="1" applyBorder="1" applyAlignment="1">
      <alignment horizontal="center" vertical="center" wrapText="1"/>
    </xf>
    <xf numFmtId="0" fontId="1" fillId="0" borderId="19" xfId="0" applyFont="1" applyBorder="1"/>
    <xf numFmtId="49" fontId="3" fillId="2" borderId="7" xfId="0" applyNumberFormat="1" applyFont="1" applyFill="1" applyBorder="1" applyAlignment="1">
      <alignment horizontal="center" vertical="center" wrapText="1"/>
    </xf>
    <xf numFmtId="0" fontId="3" fillId="2" borderId="7" xfId="0" applyFont="1" applyFill="1" applyBorder="1" applyAlignment="1">
      <alignment horizontal="center" vertical="center"/>
    </xf>
    <xf numFmtId="0" fontId="3" fillId="2" borderId="7" xfId="0" applyNumberFormat="1" applyFont="1" applyFill="1" applyBorder="1" applyAlignment="1">
      <alignment horizontal="center" vertical="center"/>
    </xf>
    <xf numFmtId="49" fontId="3" fillId="2" borderId="7" xfId="0" applyNumberFormat="1" applyFont="1" applyFill="1" applyBorder="1" applyAlignment="1">
      <alignment horizontal="center" vertical="center"/>
    </xf>
    <xf numFmtId="49" fontId="5" fillId="12" borderId="5" xfId="1" applyNumberFormat="1" applyBorder="1" applyAlignment="1">
      <alignment horizontal="center" vertical="center"/>
    </xf>
    <xf numFmtId="49" fontId="1" fillId="0" borderId="22" xfId="0" applyNumberFormat="1" applyFont="1" applyBorder="1"/>
    <xf numFmtId="49" fontId="5" fillId="12" borderId="25" xfId="1" applyNumberFormat="1" applyBorder="1" applyAlignment="1">
      <alignment horizontal="center" vertical="center" wrapText="1"/>
    </xf>
    <xf numFmtId="49" fontId="1" fillId="0" borderId="25" xfId="0" applyNumberFormat="1" applyFont="1" applyBorder="1"/>
    <xf numFmtId="49" fontId="1" fillId="0" borderId="25" xfId="0" applyNumberFormat="1" applyFont="1" applyBorder="1" applyAlignment="1">
      <alignment horizontal="center"/>
    </xf>
    <xf numFmtId="49" fontId="5" fillId="12" borderId="22" xfId="1" applyNumberFormat="1" applyBorder="1" applyAlignment="1">
      <alignment horizontal="center" vertical="center"/>
    </xf>
    <xf numFmtId="49" fontId="3" fillId="0" borderId="22" xfId="0" applyNumberFormat="1" applyFont="1" applyBorder="1" applyAlignment="1">
      <alignment horizontal="center"/>
    </xf>
    <xf numFmtId="49" fontId="3" fillId="2" borderId="22" xfId="0" applyNumberFormat="1" applyFont="1" applyFill="1" applyBorder="1" applyAlignment="1">
      <alignment horizontal="center" wrapText="1"/>
    </xf>
    <xf numFmtId="49" fontId="5" fillId="12" borderId="25" xfId="1" applyNumberFormat="1" applyBorder="1" applyAlignment="1">
      <alignment horizontal="center" vertical="center"/>
    </xf>
    <xf numFmtId="9" fontId="3" fillId="0" borderId="25" xfId="0" applyNumberFormat="1" applyFont="1" applyBorder="1" applyAlignment="1">
      <alignment horizontal="center"/>
    </xf>
    <xf numFmtId="49" fontId="3" fillId="0" borderId="25" xfId="0" applyNumberFormat="1" applyFont="1" applyBorder="1" applyAlignment="1">
      <alignment horizontal="center"/>
    </xf>
    <xf numFmtId="49" fontId="3" fillId="2" borderId="25" xfId="0" applyNumberFormat="1" applyFont="1" applyFill="1" applyBorder="1" applyAlignment="1">
      <alignment horizontal="center" wrapText="1"/>
    </xf>
    <xf numFmtId="1" fontId="1" fillId="0" borderId="22" xfId="0" applyNumberFormat="1" applyFont="1" applyBorder="1" applyAlignment="1">
      <alignment horizontal="center"/>
    </xf>
    <xf numFmtId="49" fontId="5" fillId="12" borderId="25" xfId="1" applyNumberFormat="1" applyBorder="1" applyAlignment="1">
      <alignment vertical="center"/>
    </xf>
    <xf numFmtId="1" fontId="1" fillId="0" borderId="25" xfId="0" applyNumberFormat="1" applyFont="1" applyBorder="1" applyAlignment="1">
      <alignment horizontal="center"/>
    </xf>
    <xf numFmtId="164" fontId="1" fillId="0" borderId="25" xfId="0" applyNumberFormat="1" applyFont="1" applyBorder="1" applyAlignment="1">
      <alignment horizontal="center"/>
    </xf>
    <xf numFmtId="0" fontId="1" fillId="0" borderId="25" xfId="0" applyNumberFormat="1" applyFont="1" applyBorder="1" applyAlignment="1">
      <alignment horizontal="center"/>
    </xf>
    <xf numFmtId="49" fontId="11" fillId="2" borderId="7" xfId="0" applyNumberFormat="1" applyFont="1" applyFill="1" applyBorder="1" applyAlignment="1">
      <alignment horizontal="center" wrapText="1"/>
    </xf>
    <xf numFmtId="49" fontId="3" fillId="2" borderId="7" xfId="0" applyNumberFormat="1" applyFont="1" applyFill="1" applyBorder="1" applyAlignment="1">
      <alignment horizontal="center" wrapText="1"/>
    </xf>
    <xf numFmtId="0" fontId="3" fillId="2" borderId="7" xfId="0" applyFont="1" applyFill="1" applyBorder="1" applyAlignment="1">
      <alignment horizontal="center" wrapText="1"/>
    </xf>
    <xf numFmtId="49" fontId="3" fillId="5" borderId="7" xfId="0" applyNumberFormat="1" applyFont="1" applyFill="1" applyBorder="1" applyAlignment="1">
      <alignment horizontal="center" wrapText="1"/>
    </xf>
    <xf numFmtId="0" fontId="3" fillId="5" borderId="7" xfId="0" applyFont="1" applyFill="1" applyBorder="1" applyAlignment="1">
      <alignment horizontal="center" wrapText="1"/>
    </xf>
    <xf numFmtId="0" fontId="1" fillId="0" borderId="3" xfId="0" applyFont="1" applyBorder="1"/>
    <xf numFmtId="0" fontId="1" fillId="0" borderId="1" xfId="0" applyFont="1" applyBorder="1"/>
    <xf numFmtId="0" fontId="1" fillId="0" borderId="6" xfId="0" applyFont="1" applyBorder="1"/>
    <xf numFmtId="0" fontId="3" fillId="0" borderId="6" xfId="0" applyFont="1" applyBorder="1"/>
    <xf numFmtId="0" fontId="5" fillId="12" borderId="2" xfId="1" applyBorder="1"/>
    <xf numFmtId="0" fontId="5" fillId="12" borderId="15" xfId="1" applyBorder="1" applyAlignment="1">
      <alignment horizontal="center" vertical="center"/>
    </xf>
    <xf numFmtId="0" fontId="7" fillId="3" borderId="6" xfId="0" applyNumberFormat="1" applyFont="1" applyFill="1" applyBorder="1" applyAlignment="1">
      <alignment horizontal="center" vertical="center" wrapText="1"/>
    </xf>
    <xf numFmtId="0" fontId="1" fillId="2" borderId="21" xfId="0" applyNumberFormat="1" applyFont="1" applyFill="1" applyBorder="1" applyAlignment="1">
      <alignment horizontal="center" vertical="center" wrapText="1"/>
    </xf>
    <xf numFmtId="0" fontId="1" fillId="2" borderId="22" xfId="0" applyNumberFormat="1" applyFont="1" applyFill="1" applyBorder="1" applyAlignment="1">
      <alignment vertical="center" wrapText="1"/>
    </xf>
    <xf numFmtId="0" fontId="4" fillId="2" borderId="22" xfId="0" applyNumberFormat="1" applyFont="1" applyFill="1" applyBorder="1" applyAlignment="1">
      <alignment vertical="center" wrapText="1"/>
    </xf>
    <xf numFmtId="0" fontId="1" fillId="2" borderId="21" xfId="0" applyNumberFormat="1" applyFont="1" applyFill="1" applyBorder="1" applyAlignment="1">
      <alignment vertical="center" wrapText="1"/>
    </xf>
    <xf numFmtId="0" fontId="1" fillId="2" borderId="7" xfId="0" applyNumberFormat="1" applyFont="1" applyFill="1" applyBorder="1" applyAlignment="1">
      <alignment vertical="center" wrapText="1"/>
    </xf>
    <xf numFmtId="0" fontId="4" fillId="0" borderId="22" xfId="0" applyNumberFormat="1" applyFont="1" applyBorder="1" applyAlignment="1">
      <alignment horizontal="center" vertical="center"/>
    </xf>
    <xf numFmtId="0" fontId="4" fillId="0" borderId="21" xfId="0" applyNumberFormat="1" applyFont="1" applyBorder="1" applyAlignment="1">
      <alignment horizontal="center" vertical="center"/>
    </xf>
    <xf numFmtId="0" fontId="4" fillId="0" borderId="7" xfId="0" applyNumberFormat="1" applyFont="1" applyBorder="1" applyAlignment="1">
      <alignment horizontal="center" vertical="center"/>
    </xf>
    <xf numFmtId="0" fontId="1" fillId="0" borderId="0" xfId="0" applyNumberFormat="1" applyFont="1" applyAlignment="1">
      <alignment horizontal="center" vertical="center"/>
    </xf>
    <xf numFmtId="49" fontId="1" fillId="0" borderId="22" xfId="0" applyNumberFormat="1" applyFont="1" applyBorder="1" applyAlignment="1">
      <alignment horizontal="center"/>
    </xf>
    <xf numFmtId="0" fontId="1" fillId="0" borderId="25" xfId="0" applyFont="1" applyBorder="1"/>
    <xf numFmtId="0" fontId="1" fillId="0" borderId="25" xfId="0" applyFont="1" applyBorder="1" applyAlignment="1">
      <alignment horizontal="center"/>
    </xf>
    <xf numFmtId="0" fontId="1" fillId="13" borderId="0" xfId="0" applyNumberFormat="1" applyFont="1" applyFill="1"/>
    <xf numFmtId="0" fontId="5" fillId="12" borderId="7" xfId="1" applyNumberFormat="1" applyBorder="1" applyAlignment="1">
      <alignment horizontal="center" vertical="center"/>
    </xf>
    <xf numFmtId="0" fontId="5" fillId="12" borderId="7" xfId="1" applyNumberFormat="1" applyBorder="1" applyAlignment="1">
      <alignment horizontal="center"/>
    </xf>
    <xf numFmtId="0" fontId="1" fillId="0" borderId="10" xfId="0" applyNumberFormat="1" applyFont="1" applyBorder="1" applyAlignment="1">
      <alignment horizontal="left"/>
    </xf>
    <xf numFmtId="0" fontId="1" fillId="0" borderId="7" xfId="0" applyNumberFormat="1" applyFont="1" applyBorder="1" applyAlignment="1">
      <alignment horizontal="left"/>
    </xf>
    <xf numFmtId="0" fontId="3" fillId="0" borderId="7" xfId="0" applyNumberFormat="1" applyFont="1" applyBorder="1" applyAlignment="1">
      <alignment horizontal="left"/>
    </xf>
    <xf numFmtId="0" fontId="3" fillId="2" borderId="7" xfId="0" applyNumberFormat="1" applyFont="1" applyFill="1" applyBorder="1" applyAlignment="1">
      <alignment horizontal="left" vertical="center" wrapText="1"/>
    </xf>
    <xf numFmtId="49" fontId="0" fillId="2" borderId="7" xfId="0" applyNumberFormat="1" applyFill="1" applyBorder="1" applyAlignment="1">
      <alignment horizontal="center" vertical="center"/>
    </xf>
    <xf numFmtId="49" fontId="3" fillId="2" borderId="17" xfId="0" applyNumberFormat="1" applyFont="1" applyFill="1" applyBorder="1" applyAlignment="1">
      <alignment horizontal="center" wrapText="1"/>
    </xf>
    <xf numFmtId="174" fontId="1" fillId="14" borderId="22" xfId="0" applyNumberFormat="1" applyFont="1" applyFill="1" applyBorder="1" applyAlignment="1">
      <alignment horizontal="center" vertical="center" wrapText="1"/>
    </xf>
    <xf numFmtId="49" fontId="1" fillId="14" borderId="22" xfId="0" applyNumberFormat="1" applyFont="1" applyFill="1" applyBorder="1" applyAlignment="1">
      <alignment horizontal="center" vertical="center" wrapText="1"/>
    </xf>
    <xf numFmtId="0" fontId="1" fillId="0" borderId="18" xfId="0" applyFont="1" applyBorder="1"/>
    <xf numFmtId="0" fontId="1" fillId="0" borderId="16" xfId="0" applyFont="1" applyBorder="1"/>
    <xf numFmtId="49" fontId="5" fillId="12" borderId="22" xfId="1" applyNumberFormat="1" applyBorder="1" applyAlignment="1">
      <alignment horizontal="center" vertical="center" wrapText="1"/>
    </xf>
    <xf numFmtId="0" fontId="12" fillId="0" borderId="22" xfId="0" quotePrefix="1" applyFont="1" applyBorder="1" applyAlignment="1">
      <alignment horizontal="center" vertical="center"/>
    </xf>
    <xf numFmtId="0" fontId="12" fillId="0" borderId="22" xfId="0" quotePrefix="1" applyFont="1" applyBorder="1" applyAlignment="1">
      <alignment horizontal="center"/>
    </xf>
    <xf numFmtId="0" fontId="5" fillId="12" borderId="22" xfId="1" applyNumberFormat="1" applyBorder="1" applyAlignment="1">
      <alignment horizontal="center" vertical="center" wrapText="1"/>
    </xf>
    <xf numFmtId="49" fontId="5" fillId="13" borderId="22" xfId="1" applyNumberFormat="1" applyFill="1" applyBorder="1" applyAlignment="1">
      <alignment horizontal="center" vertical="center" wrapText="1"/>
    </xf>
    <xf numFmtId="0" fontId="1" fillId="0" borderId="22" xfId="0" applyNumberFormat="1" applyFont="1" applyBorder="1"/>
    <xf numFmtId="174" fontId="1" fillId="2" borderId="22" xfId="0" applyNumberFormat="1" applyFont="1" applyFill="1" applyBorder="1" applyAlignment="1">
      <alignment horizontal="center" vertical="center" wrapText="1"/>
    </xf>
    <xf numFmtId="4" fontId="1" fillId="2" borderId="22" xfId="0" applyNumberFormat="1" applyFont="1" applyFill="1" applyBorder="1" applyAlignment="1">
      <alignment horizontal="center" vertical="center" wrapText="1"/>
    </xf>
    <xf numFmtId="49" fontId="1" fillId="13" borderId="22" xfId="0" applyNumberFormat="1" applyFont="1" applyFill="1" applyBorder="1" applyAlignment="1">
      <alignment horizontal="center" vertical="center" wrapText="1"/>
    </xf>
    <xf numFmtId="0" fontId="1" fillId="2" borderId="22" xfId="0" applyFont="1" applyFill="1" applyBorder="1" applyAlignment="1">
      <alignment horizontal="center" vertical="center"/>
    </xf>
    <xf numFmtId="49" fontId="3" fillId="2" borderId="22" xfId="0" applyNumberFormat="1" applyFont="1" applyFill="1" applyBorder="1" applyAlignment="1">
      <alignment horizontal="center" vertical="center" wrapText="1"/>
    </xf>
    <xf numFmtId="1" fontId="3" fillId="2" borderId="22" xfId="0" applyNumberFormat="1" applyFont="1" applyFill="1" applyBorder="1" applyAlignment="1">
      <alignment horizontal="center" vertical="center" wrapText="1"/>
    </xf>
    <xf numFmtId="0" fontId="3" fillId="2" borderId="22" xfId="0" applyNumberFormat="1" applyFont="1" applyFill="1" applyBorder="1" applyAlignment="1">
      <alignment horizontal="center" vertical="center" wrapText="1"/>
    </xf>
    <xf numFmtId="0" fontId="3" fillId="2" borderId="22" xfId="0" applyFont="1" applyFill="1" applyBorder="1" applyAlignment="1">
      <alignment horizontal="center" vertical="center" wrapText="1"/>
    </xf>
    <xf numFmtId="0" fontId="3" fillId="11" borderId="22" xfId="0" applyFont="1" applyFill="1" applyBorder="1" applyAlignment="1">
      <alignment horizontal="center" vertical="center" wrapText="1"/>
    </xf>
    <xf numFmtId="174" fontId="3" fillId="2" borderId="22" xfId="0" applyNumberFormat="1" applyFont="1" applyFill="1" applyBorder="1" applyAlignment="1">
      <alignment horizontal="center" vertical="center" wrapText="1"/>
    </xf>
    <xf numFmtId="4" fontId="3" fillId="2" borderId="22" xfId="0" applyNumberFormat="1" applyFont="1" applyFill="1" applyBorder="1" applyAlignment="1">
      <alignment horizontal="center" vertical="center" wrapText="1"/>
    </xf>
    <xf numFmtId="0" fontId="3" fillId="13" borderId="22" xfId="0" applyFont="1" applyFill="1" applyBorder="1" applyAlignment="1">
      <alignment horizontal="center" vertical="center" wrapText="1"/>
    </xf>
    <xf numFmtId="49" fontId="3" fillId="11" borderId="22" xfId="0" applyNumberFormat="1" applyFont="1" applyFill="1" applyBorder="1" applyAlignment="1">
      <alignment horizontal="center" vertical="center" wrapText="1"/>
    </xf>
    <xf numFmtId="1" fontId="3" fillId="11" borderId="22" xfId="0" applyNumberFormat="1" applyFont="1" applyFill="1" applyBorder="1" applyAlignment="1">
      <alignment horizontal="center" vertical="center" wrapText="1"/>
    </xf>
    <xf numFmtId="0" fontId="1" fillId="13" borderId="22" xfId="0" applyFont="1" applyFill="1" applyBorder="1" applyAlignment="1">
      <alignment horizontal="center" vertical="center" wrapText="1"/>
    </xf>
    <xf numFmtId="1" fontId="1" fillId="15" borderId="22" xfId="0" applyNumberFormat="1" applyFont="1" applyFill="1" applyBorder="1" applyAlignment="1">
      <alignment horizontal="center" vertical="center" wrapText="1"/>
    </xf>
    <xf numFmtId="49" fontId="3" fillId="13" borderId="22" xfId="0" applyNumberFormat="1" applyFont="1" applyFill="1" applyBorder="1" applyAlignment="1">
      <alignment horizontal="center" vertical="center" wrapText="1"/>
    </xf>
    <xf numFmtId="171" fontId="3" fillId="2" borderId="22" xfId="0" applyNumberFormat="1" applyFont="1" applyFill="1" applyBorder="1" applyAlignment="1">
      <alignment horizontal="center" vertical="center" wrapText="1"/>
    </xf>
    <xf numFmtId="49" fontId="1" fillId="2" borderId="22" xfId="0" applyNumberFormat="1" applyFont="1" applyFill="1" applyBorder="1" applyAlignment="1">
      <alignment horizontal="center" vertical="center"/>
    </xf>
    <xf numFmtId="169" fontId="3" fillId="2" borderId="22" xfId="0" applyNumberFormat="1" applyFont="1" applyFill="1" applyBorder="1" applyAlignment="1">
      <alignment horizontal="center" vertical="center" wrapText="1"/>
    </xf>
    <xf numFmtId="178" fontId="3" fillId="2" borderId="22" xfId="0" applyNumberFormat="1" applyFont="1" applyFill="1" applyBorder="1" applyAlignment="1">
      <alignment horizontal="center" vertical="center" wrapText="1"/>
    </xf>
    <xf numFmtId="14" fontId="3" fillId="2" borderId="22" xfId="0" applyNumberFormat="1" applyFont="1" applyFill="1" applyBorder="1" applyAlignment="1">
      <alignment horizontal="center" vertical="center" wrapText="1"/>
    </xf>
    <xf numFmtId="1" fontId="1" fillId="10" borderId="22" xfId="0" applyNumberFormat="1" applyFont="1" applyFill="1" applyBorder="1" applyAlignment="1">
      <alignment horizontal="center" vertical="center" wrapText="1"/>
    </xf>
    <xf numFmtId="0" fontId="1" fillId="11" borderId="22" xfId="0" applyFont="1" applyFill="1" applyBorder="1" applyAlignment="1">
      <alignment horizontal="center" vertical="center" wrapText="1"/>
    </xf>
    <xf numFmtId="14" fontId="1" fillId="2" borderId="22" xfId="0" applyNumberFormat="1" applyFont="1" applyFill="1" applyBorder="1" applyAlignment="1">
      <alignment horizontal="center" vertical="center" wrapText="1"/>
    </xf>
    <xf numFmtId="171" fontId="1" fillId="2" borderId="22" xfId="0" applyNumberFormat="1" applyFont="1" applyFill="1" applyBorder="1" applyAlignment="1">
      <alignment horizontal="center" vertical="center"/>
    </xf>
    <xf numFmtId="49" fontId="3" fillId="2" borderId="22" xfId="0" applyNumberFormat="1" applyFont="1" applyFill="1" applyBorder="1" applyAlignment="1">
      <alignment horizontal="center" vertical="center"/>
    </xf>
    <xf numFmtId="174" fontId="3" fillId="11" borderId="22" xfId="0" applyNumberFormat="1" applyFont="1" applyFill="1" applyBorder="1" applyAlignment="1">
      <alignment horizontal="center" vertical="center" wrapText="1"/>
    </xf>
    <xf numFmtId="171" fontId="1" fillId="2" borderId="22" xfId="0" applyNumberFormat="1" applyFont="1" applyFill="1" applyBorder="1" applyAlignment="1">
      <alignment horizontal="center" vertical="center" wrapText="1"/>
    </xf>
    <xf numFmtId="49" fontId="1" fillId="11" borderId="22" xfId="0" applyNumberFormat="1" applyFont="1" applyFill="1" applyBorder="1" applyAlignment="1">
      <alignment horizontal="center" vertical="center" wrapText="1"/>
    </xf>
    <xf numFmtId="178" fontId="1" fillId="2" borderId="22" xfId="0" applyNumberFormat="1" applyFont="1" applyFill="1" applyBorder="1" applyAlignment="1">
      <alignment horizontal="center" vertical="center" wrapText="1"/>
    </xf>
    <xf numFmtId="176" fontId="1" fillId="2" borderId="22" xfId="0" applyNumberFormat="1" applyFont="1" applyFill="1" applyBorder="1" applyAlignment="1">
      <alignment horizontal="center" vertical="center" wrapText="1"/>
    </xf>
    <xf numFmtId="179" fontId="3" fillId="2" borderId="22" xfId="0" applyNumberFormat="1" applyFont="1" applyFill="1" applyBorder="1" applyAlignment="1">
      <alignment horizontal="center" vertical="center" wrapText="1"/>
    </xf>
    <xf numFmtId="1" fontId="3" fillId="16" borderId="22" xfId="0" applyNumberFormat="1" applyFont="1" applyFill="1" applyBorder="1" applyAlignment="1">
      <alignment horizontal="center" vertical="center" wrapText="1"/>
    </xf>
    <xf numFmtId="0" fontId="1" fillId="16" borderId="22" xfId="0" applyNumberFormat="1" applyFont="1" applyFill="1" applyBorder="1" applyAlignment="1">
      <alignment horizontal="center" vertical="center" wrapText="1"/>
    </xf>
    <xf numFmtId="0" fontId="3" fillId="16" borderId="22" xfId="0" applyNumberFormat="1" applyFont="1" applyFill="1" applyBorder="1" applyAlignment="1">
      <alignment horizontal="center" vertical="center" wrapText="1"/>
    </xf>
    <xf numFmtId="0" fontId="1" fillId="16" borderId="22" xfId="0" applyFont="1" applyFill="1" applyBorder="1" applyAlignment="1">
      <alignment horizontal="center" vertical="center" wrapText="1"/>
    </xf>
    <xf numFmtId="0" fontId="3" fillId="16" borderId="22" xfId="0" applyFont="1" applyFill="1" applyBorder="1" applyAlignment="1">
      <alignment horizontal="center" vertical="center" wrapText="1"/>
    </xf>
    <xf numFmtId="49" fontId="3" fillId="16" borderId="22" xfId="0" applyNumberFormat="1" applyFont="1" applyFill="1" applyBorder="1" applyAlignment="1">
      <alignment horizontal="center" vertical="center" wrapText="1"/>
    </xf>
    <xf numFmtId="174" fontId="3" fillId="16" borderId="22" xfId="0" applyNumberFormat="1" applyFont="1" applyFill="1" applyBorder="1" applyAlignment="1">
      <alignment horizontal="center" vertical="center" wrapText="1"/>
    </xf>
    <xf numFmtId="4" fontId="3" fillId="16" borderId="22" xfId="0" applyNumberFormat="1" applyFont="1" applyFill="1" applyBorder="1" applyAlignment="1">
      <alignment horizontal="center" vertical="center" wrapText="1"/>
    </xf>
    <xf numFmtId="171" fontId="3" fillId="16" borderId="22" xfId="0" applyNumberFormat="1" applyFont="1" applyFill="1" applyBorder="1" applyAlignment="1">
      <alignment horizontal="center" vertical="center" wrapText="1"/>
    </xf>
    <xf numFmtId="0" fontId="1" fillId="16" borderId="22" xfId="0" applyNumberFormat="1" applyFont="1" applyFill="1" applyBorder="1"/>
    <xf numFmtId="173" fontId="1" fillId="2" borderId="22" xfId="0" applyNumberFormat="1" applyFont="1" applyFill="1" applyBorder="1" applyAlignment="1">
      <alignment horizontal="center" vertical="center" wrapText="1"/>
    </xf>
    <xf numFmtId="49" fontId="1" fillId="2" borderId="22" xfId="0" applyNumberFormat="1" applyFont="1" applyFill="1" applyBorder="1" applyAlignment="1">
      <alignment horizontal="center" wrapText="1"/>
    </xf>
    <xf numFmtId="180" fontId="1" fillId="2" borderId="22" xfId="0" applyNumberFormat="1" applyFont="1" applyFill="1" applyBorder="1" applyAlignment="1">
      <alignment horizontal="center" vertical="center" wrapText="1"/>
    </xf>
    <xf numFmtId="1" fontId="1" fillId="4" borderId="22" xfId="0" applyNumberFormat="1" applyFont="1" applyFill="1" applyBorder="1" applyAlignment="1">
      <alignment horizontal="center" vertical="center" wrapText="1"/>
    </xf>
    <xf numFmtId="0" fontId="1" fillId="4" borderId="22" xfId="0" applyNumberFormat="1" applyFont="1" applyFill="1" applyBorder="1" applyAlignment="1">
      <alignment horizontal="center" vertical="center" wrapText="1"/>
    </xf>
    <xf numFmtId="49" fontId="1" fillId="4" borderId="22" xfId="0" applyNumberFormat="1" applyFont="1" applyFill="1" applyBorder="1" applyAlignment="1">
      <alignment horizontal="center" vertical="center" wrapText="1"/>
    </xf>
    <xf numFmtId="174" fontId="1" fillId="4" borderId="22" xfId="0" applyNumberFormat="1" applyFont="1" applyFill="1" applyBorder="1" applyAlignment="1">
      <alignment horizontal="center" vertical="center" wrapText="1"/>
    </xf>
    <xf numFmtId="4" fontId="1" fillId="4" borderId="22" xfId="0" applyNumberFormat="1" applyFont="1" applyFill="1" applyBorder="1" applyAlignment="1">
      <alignment horizontal="center" vertical="center" wrapText="1"/>
    </xf>
    <xf numFmtId="0" fontId="1" fillId="4" borderId="22" xfId="0" applyFont="1" applyFill="1" applyBorder="1" applyAlignment="1">
      <alignment horizontal="center" vertical="center" wrapText="1"/>
    </xf>
    <xf numFmtId="49" fontId="3" fillId="4" borderId="22" xfId="0" applyNumberFormat="1" applyFont="1" applyFill="1" applyBorder="1" applyAlignment="1">
      <alignment horizontal="center" vertical="center" wrapText="1"/>
    </xf>
    <xf numFmtId="178" fontId="1" fillId="4" borderId="22" xfId="0" applyNumberFormat="1" applyFont="1" applyFill="1" applyBorder="1" applyAlignment="1">
      <alignment horizontal="center" vertical="center" wrapText="1"/>
    </xf>
    <xf numFmtId="171" fontId="1" fillId="4" borderId="22" xfId="0" applyNumberFormat="1" applyFont="1" applyFill="1" applyBorder="1" applyAlignment="1">
      <alignment horizontal="center" vertical="center" wrapText="1"/>
    </xf>
    <xf numFmtId="169" fontId="3" fillId="0" borderId="22" xfId="0" applyNumberFormat="1" applyFont="1" applyBorder="1" applyAlignment="1">
      <alignment horizontal="center"/>
    </xf>
    <xf numFmtId="17" fontId="1" fillId="2" borderId="22" xfId="0" applyNumberFormat="1" applyFont="1" applyFill="1" applyBorder="1" applyAlignment="1">
      <alignment horizontal="center" vertical="center" wrapText="1"/>
    </xf>
    <xf numFmtId="169" fontId="1" fillId="2" borderId="22" xfId="0" applyNumberFormat="1" applyFont="1" applyFill="1" applyBorder="1" applyAlignment="1">
      <alignment horizontal="center" vertical="center" wrapText="1"/>
    </xf>
    <xf numFmtId="173" fontId="3" fillId="2" borderId="22" xfId="0" applyNumberFormat="1" applyFont="1" applyFill="1" applyBorder="1" applyAlignment="1">
      <alignment horizontal="center" vertical="center" wrapText="1"/>
    </xf>
    <xf numFmtId="171" fontId="3" fillId="0" borderId="22" xfId="0" applyNumberFormat="1" applyFont="1" applyBorder="1"/>
    <xf numFmtId="14" fontId="1" fillId="4" borderId="22" xfId="0" applyNumberFormat="1" applyFont="1" applyFill="1" applyBorder="1" applyAlignment="1">
      <alignment horizontal="center" vertical="center" wrapText="1"/>
    </xf>
    <xf numFmtId="176" fontId="3" fillId="2" borderId="22" xfId="0" applyNumberFormat="1" applyFont="1" applyFill="1" applyBorder="1" applyAlignment="1">
      <alignment horizontal="center" vertical="center" wrapText="1"/>
    </xf>
    <xf numFmtId="1" fontId="1" fillId="14" borderId="22" xfId="0" applyNumberFormat="1" applyFont="1" applyFill="1" applyBorder="1" applyAlignment="1">
      <alignment horizontal="center" vertical="center" wrapText="1"/>
    </xf>
    <xf numFmtId="0" fontId="1" fillId="14" borderId="22" xfId="0" applyNumberFormat="1" applyFont="1" applyFill="1" applyBorder="1" applyAlignment="1">
      <alignment horizontal="center" vertical="center" wrapText="1"/>
    </xf>
    <xf numFmtId="4" fontId="1" fillId="14" borderId="22" xfId="0" applyNumberFormat="1" applyFont="1" applyFill="1" applyBorder="1" applyAlignment="1">
      <alignment horizontal="center" vertical="center" wrapText="1"/>
    </xf>
    <xf numFmtId="0" fontId="1" fillId="2" borderId="25" xfId="0" applyFont="1" applyFill="1" applyBorder="1" applyAlignment="1">
      <alignment horizontal="center" vertical="center" wrapText="1"/>
    </xf>
    <xf numFmtId="49" fontId="3" fillId="2" borderId="25" xfId="0" applyNumberFormat="1" applyFont="1" applyFill="1" applyBorder="1" applyAlignment="1">
      <alignment horizontal="center" vertical="center" wrapText="1"/>
    </xf>
    <xf numFmtId="0" fontId="3" fillId="2" borderId="25" xfId="0" applyFont="1" applyFill="1" applyBorder="1" applyAlignment="1">
      <alignment horizontal="center" vertical="center" wrapText="1"/>
    </xf>
    <xf numFmtId="49" fontId="1" fillId="2" borderId="25" xfId="0" applyNumberFormat="1" applyFont="1" applyFill="1" applyBorder="1" applyAlignment="1">
      <alignment horizontal="center" vertical="center" wrapText="1"/>
    </xf>
    <xf numFmtId="49" fontId="3" fillId="16" borderId="25" xfId="0" applyNumberFormat="1" applyFont="1" applyFill="1" applyBorder="1" applyAlignment="1">
      <alignment horizontal="center" vertical="center" wrapText="1"/>
    </xf>
    <xf numFmtId="49" fontId="1" fillId="2" borderId="25" xfId="0" applyNumberFormat="1" applyFont="1" applyFill="1" applyBorder="1" applyAlignment="1">
      <alignment horizontal="center" wrapText="1"/>
    </xf>
    <xf numFmtId="49" fontId="3" fillId="4" borderId="25" xfId="0" applyNumberFormat="1" applyFont="1" applyFill="1" applyBorder="1" applyAlignment="1">
      <alignment horizontal="center" vertical="center" wrapText="1"/>
    </xf>
    <xf numFmtId="0" fontId="1" fillId="13" borderId="0" xfId="0" applyNumberFormat="1" applyFont="1" applyFill="1" applyAlignment="1">
      <alignment horizontal="center" vertical="center"/>
    </xf>
    <xf numFmtId="0" fontId="1" fillId="0" borderId="22" xfId="0" applyFont="1" applyFill="1" applyBorder="1" applyAlignment="1">
      <alignment horizontal="center" vertical="center" wrapText="1"/>
    </xf>
    <xf numFmtId="9" fontId="1" fillId="2" borderId="22" xfId="0" applyNumberFormat="1" applyFont="1" applyFill="1" applyBorder="1" applyAlignment="1">
      <alignment horizontal="center" vertical="center" wrapText="1"/>
    </xf>
    <xf numFmtId="49" fontId="1" fillId="0" borderId="22" xfId="0" applyNumberFormat="1" applyFont="1" applyFill="1" applyBorder="1" applyAlignment="1">
      <alignment horizontal="center" vertical="center" wrapText="1"/>
    </xf>
    <xf numFmtId="0" fontId="1" fillId="14" borderId="22" xfId="0" applyFont="1" applyFill="1" applyBorder="1" applyAlignment="1">
      <alignment horizontal="center" vertical="center" wrapText="1"/>
    </xf>
    <xf numFmtId="171" fontId="1" fillId="14" borderId="22" xfId="0" applyNumberFormat="1" applyFont="1" applyFill="1" applyBorder="1" applyAlignment="1">
      <alignment horizontal="center" vertical="center" wrapText="1"/>
    </xf>
    <xf numFmtId="171" fontId="14" fillId="17" borderId="22" xfId="0" applyNumberFormat="1" applyFont="1" applyFill="1" applyBorder="1" applyAlignment="1">
      <alignment horizontal="center" vertical="center" wrapText="1"/>
    </xf>
    <xf numFmtId="49" fontId="14" fillId="17" borderId="22" xfId="0" applyNumberFormat="1" applyFont="1" applyFill="1" applyBorder="1" applyAlignment="1">
      <alignment horizontal="center" vertical="center" wrapText="1"/>
    </xf>
    <xf numFmtId="9" fontId="5" fillId="12" borderId="22" xfId="1" applyNumberFormat="1" applyBorder="1" applyAlignment="1">
      <alignment horizontal="center" vertical="center" wrapText="1"/>
    </xf>
    <xf numFmtId="175" fontId="1" fillId="2" borderId="22" xfId="0" applyNumberFormat="1" applyFont="1" applyFill="1" applyBorder="1" applyAlignment="1">
      <alignment horizontal="center" vertical="center" wrapText="1"/>
    </xf>
    <xf numFmtId="172" fontId="1" fillId="2" borderId="22" xfId="0" applyNumberFormat="1" applyFont="1" applyFill="1" applyBorder="1" applyAlignment="1">
      <alignment horizontal="center" vertical="center" wrapText="1"/>
    </xf>
    <xf numFmtId="169" fontId="1" fillId="4" borderId="22" xfId="0" applyNumberFormat="1" applyFont="1" applyFill="1" applyBorder="1" applyAlignment="1">
      <alignment horizontal="center" vertical="center" wrapText="1"/>
    </xf>
    <xf numFmtId="9" fontId="1" fillId="14" borderId="22" xfId="0" applyNumberFormat="1" applyFont="1" applyFill="1" applyBorder="1" applyAlignment="1">
      <alignment horizontal="center" vertical="center" wrapText="1"/>
    </xf>
    <xf numFmtId="0" fontId="0" fillId="0" borderId="22" xfId="0" applyNumberFormat="1" applyBorder="1" applyAlignment="1">
      <alignment wrapText="1"/>
    </xf>
    <xf numFmtId="1" fontId="1" fillId="18" borderId="22" xfId="0" applyNumberFormat="1" applyFont="1" applyFill="1" applyBorder="1" applyAlignment="1">
      <alignment horizontal="center" vertical="center" wrapText="1"/>
    </xf>
    <xf numFmtId="0" fontId="15" fillId="2" borderId="22" xfId="2" applyFill="1" applyBorder="1" applyAlignment="1">
      <alignment horizontal="center" vertical="center" wrapText="1"/>
    </xf>
    <xf numFmtId="1" fontId="1" fillId="14" borderId="25" xfId="0" applyNumberFormat="1" applyFont="1" applyFill="1" applyBorder="1" applyAlignment="1">
      <alignment horizontal="center" vertical="center" wrapText="1"/>
    </xf>
    <xf numFmtId="2" fontId="1" fillId="2" borderId="22" xfId="0" applyNumberFormat="1" applyFont="1" applyFill="1" applyBorder="1" applyAlignment="1">
      <alignment horizontal="center" vertical="center" wrapText="1"/>
    </xf>
    <xf numFmtId="1" fontId="5" fillId="12" borderId="22" xfId="1" applyNumberFormat="1" applyBorder="1" applyAlignment="1">
      <alignment horizontal="center" vertical="center" wrapText="1"/>
    </xf>
    <xf numFmtId="1" fontId="1" fillId="0" borderId="22" xfId="0" applyNumberFormat="1" applyFont="1" applyFill="1" applyBorder="1" applyAlignment="1">
      <alignment horizontal="center" vertical="center" wrapText="1"/>
    </xf>
    <xf numFmtId="0" fontId="1" fillId="0" borderId="22" xfId="0" applyNumberFormat="1" applyFont="1" applyFill="1" applyBorder="1" applyAlignment="1">
      <alignment horizontal="center" vertical="center" wrapText="1"/>
    </xf>
    <xf numFmtId="174" fontId="1" fillId="0" borderId="22" xfId="0" applyNumberFormat="1" applyFont="1" applyFill="1" applyBorder="1" applyAlignment="1">
      <alignment horizontal="center" vertical="center" wrapText="1"/>
    </xf>
    <xf numFmtId="171" fontId="1" fillId="0" borderId="22" xfId="0" applyNumberFormat="1" applyFont="1" applyFill="1" applyBorder="1" applyAlignment="1">
      <alignment horizontal="center" vertical="center" wrapText="1"/>
    </xf>
    <xf numFmtId="4" fontId="1" fillId="0" borderId="22" xfId="0" applyNumberFormat="1" applyFont="1" applyFill="1" applyBorder="1" applyAlignment="1">
      <alignment horizontal="center" vertical="center" wrapText="1"/>
    </xf>
    <xf numFmtId="0" fontId="13" fillId="0" borderId="22" xfId="0" applyFont="1" applyFill="1" applyBorder="1" applyAlignment="1">
      <alignment vertical="center" wrapText="1"/>
    </xf>
    <xf numFmtId="9" fontId="1" fillId="0" borderId="22" xfId="0" applyNumberFormat="1" applyFont="1" applyFill="1" applyBorder="1" applyAlignment="1">
      <alignment horizontal="center" vertical="center" wrapText="1"/>
    </xf>
    <xf numFmtId="49" fontId="3" fillId="0" borderId="22" xfId="0" applyNumberFormat="1" applyFont="1" applyFill="1" applyBorder="1" applyAlignment="1">
      <alignment horizontal="center" vertical="center" wrapText="1"/>
    </xf>
    <xf numFmtId="1" fontId="1" fillId="19" borderId="22" xfId="0" applyNumberFormat="1" applyFont="1" applyFill="1" applyBorder="1" applyAlignment="1">
      <alignment horizontal="center" vertical="center" wrapText="1"/>
    </xf>
    <xf numFmtId="1" fontId="1" fillId="20" borderId="22" xfId="0" applyNumberFormat="1" applyFont="1" applyFill="1" applyBorder="1" applyAlignment="1">
      <alignment horizontal="center" vertical="center" wrapText="1"/>
    </xf>
    <xf numFmtId="0" fontId="1" fillId="20" borderId="22" xfId="0" applyNumberFormat="1" applyFont="1" applyFill="1" applyBorder="1" applyAlignment="1">
      <alignment horizontal="center" vertical="center" wrapText="1"/>
    </xf>
    <xf numFmtId="0" fontId="1" fillId="20" borderId="22" xfId="0" applyFont="1" applyFill="1" applyBorder="1" applyAlignment="1">
      <alignment horizontal="center" vertical="center" wrapText="1"/>
    </xf>
    <xf numFmtId="49" fontId="1" fillId="20" borderId="22" xfId="0" applyNumberFormat="1" applyFont="1" applyFill="1" applyBorder="1" applyAlignment="1">
      <alignment horizontal="center" vertical="center" wrapText="1"/>
    </xf>
    <xf numFmtId="174" fontId="1" fillId="20" borderId="22" xfId="0" applyNumberFormat="1" applyFont="1" applyFill="1" applyBorder="1" applyAlignment="1">
      <alignment horizontal="center" vertical="center" wrapText="1"/>
    </xf>
    <xf numFmtId="4" fontId="1" fillId="20" borderId="22" xfId="0" applyNumberFormat="1" applyFont="1" applyFill="1" applyBorder="1" applyAlignment="1">
      <alignment horizontal="center" vertical="center" wrapText="1"/>
    </xf>
    <xf numFmtId="0" fontId="12" fillId="20" borderId="22" xfId="0" quotePrefix="1" applyFont="1" applyFill="1" applyBorder="1" applyAlignment="1">
      <alignment horizontal="center" vertical="center"/>
    </xf>
    <xf numFmtId="0" fontId="3" fillId="20" borderId="25" xfId="0" applyFont="1" applyFill="1" applyBorder="1" applyAlignment="1">
      <alignment horizontal="center" vertical="center" wrapText="1"/>
    </xf>
    <xf numFmtId="0" fontId="1" fillId="20" borderId="25" xfId="0" applyFont="1" applyFill="1" applyBorder="1" applyAlignment="1">
      <alignment horizontal="center" vertical="center" wrapText="1"/>
    </xf>
    <xf numFmtId="49" fontId="3" fillId="20" borderId="22" xfId="0" applyNumberFormat="1" applyFont="1" applyFill="1" applyBorder="1" applyAlignment="1">
      <alignment horizontal="center" vertical="center" wrapText="1"/>
    </xf>
    <xf numFmtId="0" fontId="3" fillId="20" borderId="22" xfId="0" applyNumberFormat="1" applyFont="1" applyFill="1" applyBorder="1" applyAlignment="1">
      <alignment horizontal="center" vertical="center" wrapText="1"/>
    </xf>
    <xf numFmtId="0" fontId="1" fillId="20" borderId="22" xfId="0" applyNumberFormat="1" applyFont="1" applyFill="1" applyBorder="1"/>
    <xf numFmtId="1" fontId="1" fillId="21" borderId="22" xfId="0" applyNumberFormat="1" applyFont="1" applyFill="1" applyBorder="1" applyAlignment="1">
      <alignment horizontal="center" vertical="center" wrapText="1"/>
    </xf>
    <xf numFmtId="0" fontId="1" fillId="21" borderId="22" xfId="0" applyNumberFormat="1" applyFont="1" applyFill="1" applyBorder="1" applyAlignment="1">
      <alignment horizontal="center" vertical="center" wrapText="1"/>
    </xf>
    <xf numFmtId="49" fontId="1" fillId="21" borderId="22" xfId="0" applyNumberFormat="1" applyFont="1" applyFill="1" applyBorder="1" applyAlignment="1">
      <alignment horizontal="center" vertical="center" wrapText="1"/>
    </xf>
    <xf numFmtId="0" fontId="1" fillId="21" borderId="22" xfId="0" applyFont="1" applyFill="1" applyBorder="1" applyAlignment="1">
      <alignment horizontal="center" vertical="center" wrapText="1"/>
    </xf>
    <xf numFmtId="174" fontId="1" fillId="21" borderId="22" xfId="0" applyNumberFormat="1" applyFont="1" applyFill="1" applyBorder="1" applyAlignment="1">
      <alignment horizontal="center" vertical="center" wrapText="1"/>
    </xf>
    <xf numFmtId="171" fontId="1" fillId="21" borderId="22" xfId="0" applyNumberFormat="1" applyFont="1" applyFill="1" applyBorder="1" applyAlignment="1">
      <alignment horizontal="center" vertical="center" wrapText="1"/>
    </xf>
    <xf numFmtId="4" fontId="1" fillId="21" borderId="22" xfId="0" applyNumberFormat="1" applyFont="1" applyFill="1" applyBorder="1" applyAlignment="1">
      <alignment horizontal="center" vertical="center" wrapText="1"/>
    </xf>
    <xf numFmtId="2" fontId="1" fillId="21" borderId="22" xfId="0" applyNumberFormat="1" applyFont="1" applyFill="1" applyBorder="1" applyAlignment="1">
      <alignment horizontal="center" vertical="center" wrapText="1"/>
    </xf>
    <xf numFmtId="49" fontId="3" fillId="21" borderId="22" xfId="0" applyNumberFormat="1" applyFont="1" applyFill="1" applyBorder="1" applyAlignment="1">
      <alignment horizontal="center" vertical="center" wrapText="1"/>
    </xf>
    <xf numFmtId="0" fontId="12" fillId="21" borderId="22" xfId="0" quotePrefix="1" applyFont="1" applyFill="1" applyBorder="1" applyAlignment="1">
      <alignment horizontal="center" vertical="center"/>
    </xf>
    <xf numFmtId="49" fontId="1" fillId="21" borderId="22" xfId="0" applyNumberFormat="1" applyFont="1" applyFill="1" applyBorder="1" applyAlignment="1">
      <alignment horizontal="center" vertical="center"/>
    </xf>
    <xf numFmtId="0" fontId="3" fillId="21" borderId="25" xfId="0" applyFont="1" applyFill="1" applyBorder="1" applyAlignment="1">
      <alignment horizontal="center" vertical="center" wrapText="1"/>
    </xf>
    <xf numFmtId="0" fontId="1" fillId="21" borderId="25" xfId="0" applyFont="1" applyFill="1" applyBorder="1" applyAlignment="1">
      <alignment horizontal="center" vertical="center" wrapText="1"/>
    </xf>
    <xf numFmtId="0" fontId="3" fillId="21" borderId="22" xfId="0" applyNumberFormat="1" applyFont="1" applyFill="1" applyBorder="1" applyAlignment="1">
      <alignment horizontal="center" vertical="center" wrapText="1"/>
    </xf>
    <xf numFmtId="0" fontId="1" fillId="21" borderId="22" xfId="0" applyNumberFormat="1" applyFont="1" applyFill="1" applyBorder="1"/>
    <xf numFmtId="0" fontId="0" fillId="21" borderId="0" xfId="0" applyFill="1"/>
    <xf numFmtId="49" fontId="3" fillId="21" borderId="25" xfId="0" applyNumberFormat="1" applyFont="1" applyFill="1" applyBorder="1" applyAlignment="1">
      <alignment horizontal="center" vertical="center" wrapText="1"/>
    </xf>
    <xf numFmtId="173" fontId="1" fillId="21" borderId="22" xfId="0" applyNumberFormat="1" applyFont="1" applyFill="1" applyBorder="1" applyAlignment="1">
      <alignment horizontal="center" vertical="center" wrapText="1"/>
    </xf>
    <xf numFmtId="14" fontId="1" fillId="21" borderId="22" xfId="0" applyNumberFormat="1" applyFont="1" applyFill="1" applyBorder="1" applyAlignment="1">
      <alignment horizontal="center" vertical="center" wrapText="1"/>
    </xf>
    <xf numFmtId="49" fontId="1" fillId="21" borderId="25" xfId="0" applyNumberFormat="1" applyFont="1" applyFill="1" applyBorder="1" applyAlignment="1">
      <alignment horizontal="center" vertical="center" wrapText="1"/>
    </xf>
    <xf numFmtId="174" fontId="3" fillId="21" borderId="22" xfId="0" applyNumberFormat="1" applyFont="1" applyFill="1" applyBorder="1" applyAlignment="1">
      <alignment horizontal="center" vertical="center" wrapText="1"/>
    </xf>
    <xf numFmtId="0" fontId="18" fillId="13" borderId="22" xfId="0" applyFont="1" applyFill="1" applyBorder="1" applyAlignment="1">
      <alignment horizontal="center" vertical="center" wrapText="1"/>
    </xf>
    <xf numFmtId="171" fontId="14" fillId="0" borderId="22" xfId="0" applyNumberFormat="1" applyFont="1" applyFill="1" applyBorder="1" applyAlignment="1">
      <alignment horizontal="center" vertical="center" wrapText="1"/>
    </xf>
    <xf numFmtId="49" fontId="14" fillId="0" borderId="22" xfId="0" applyNumberFormat="1" applyFont="1" applyFill="1" applyBorder="1" applyAlignment="1">
      <alignment horizontal="center" vertical="center" wrapText="1"/>
    </xf>
    <xf numFmtId="2" fontId="1" fillId="0" borderId="22" xfId="0" applyNumberFormat="1" applyFont="1" applyFill="1" applyBorder="1" applyAlignment="1">
      <alignment horizontal="center" vertical="center" wrapText="1"/>
    </xf>
    <xf numFmtId="0" fontId="3" fillId="0" borderId="22" xfId="0" applyNumberFormat="1" applyFont="1" applyFill="1" applyBorder="1" applyAlignment="1">
      <alignment horizontal="center" vertical="center" wrapText="1"/>
    </xf>
    <xf numFmtId="49" fontId="3" fillId="0" borderId="27" xfId="0" applyNumberFormat="1" applyFont="1" applyFill="1" applyBorder="1" applyAlignment="1">
      <alignment horizontal="center" vertical="center" wrapText="1"/>
    </xf>
    <xf numFmtId="1" fontId="1" fillId="0" borderId="25" xfId="0" applyNumberFormat="1" applyFont="1" applyFill="1" applyBorder="1" applyAlignment="1">
      <alignment horizontal="center" vertical="center" wrapText="1"/>
    </xf>
    <xf numFmtId="175" fontId="1" fillId="0" borderId="22" xfId="0" applyNumberFormat="1" applyFont="1" applyFill="1" applyBorder="1" applyAlignment="1">
      <alignment horizontal="center" vertical="center" wrapText="1"/>
    </xf>
    <xf numFmtId="171" fontId="18" fillId="0" borderId="22" xfId="0" applyNumberFormat="1" applyFont="1" applyFill="1" applyBorder="1" applyAlignment="1">
      <alignment horizontal="center" vertical="center" wrapText="1"/>
    </xf>
    <xf numFmtId="0" fontId="8" fillId="0" borderId="22" xfId="0" applyFont="1" applyFill="1" applyBorder="1" applyAlignment="1">
      <alignment horizontal="center" vertical="center" wrapText="1"/>
    </xf>
    <xf numFmtId="0" fontId="8" fillId="0" borderId="22" xfId="0" applyNumberFormat="1" applyFont="1" applyFill="1" applyBorder="1" applyAlignment="1">
      <alignment horizontal="center" vertical="center" wrapText="1"/>
    </xf>
    <xf numFmtId="49" fontId="8" fillId="0" borderId="22" xfId="0" applyNumberFormat="1" applyFont="1" applyFill="1" applyBorder="1" applyAlignment="1">
      <alignment horizontal="center" vertical="center" wrapText="1"/>
    </xf>
    <xf numFmtId="174" fontId="8" fillId="0" borderId="22" xfId="0" applyNumberFormat="1" applyFont="1" applyFill="1" applyBorder="1" applyAlignment="1">
      <alignment horizontal="center" vertical="center" wrapText="1"/>
    </xf>
    <xf numFmtId="171" fontId="8" fillId="0" borderId="22" xfId="0" applyNumberFormat="1" applyFont="1" applyFill="1" applyBorder="1" applyAlignment="1">
      <alignment horizontal="center" vertical="center" wrapText="1"/>
    </xf>
    <xf numFmtId="4" fontId="8" fillId="0" borderId="22" xfId="0" applyNumberFormat="1" applyFont="1" applyFill="1" applyBorder="1" applyAlignment="1">
      <alignment horizontal="center" vertical="center" wrapText="1"/>
    </xf>
    <xf numFmtId="1" fontId="8" fillId="0" borderId="22" xfId="0" applyNumberFormat="1" applyFont="1" applyFill="1" applyBorder="1" applyAlignment="1">
      <alignment horizontal="center" vertical="center" wrapText="1"/>
    </xf>
    <xf numFmtId="49" fontId="10" fillId="0" borderId="22" xfId="0" applyNumberFormat="1" applyFont="1" applyFill="1" applyBorder="1" applyAlignment="1">
      <alignment horizontal="center" vertical="center" wrapText="1"/>
    </xf>
    <xf numFmtId="0" fontId="1" fillId="2" borderId="29" xfId="0" applyNumberFormat="1" applyFont="1" applyFill="1" applyBorder="1" applyAlignment="1">
      <alignment horizontal="center" vertical="center" wrapText="1"/>
    </xf>
    <xf numFmtId="49" fontId="1" fillId="2" borderId="29" xfId="0" applyNumberFormat="1" applyFont="1" applyFill="1" applyBorder="1" applyAlignment="1">
      <alignment horizontal="center" vertical="center" wrapText="1"/>
    </xf>
    <xf numFmtId="1" fontId="1" fillId="2" borderId="29" xfId="0" applyNumberFormat="1" applyFont="1" applyFill="1" applyBorder="1" applyAlignment="1">
      <alignment horizontal="center" vertical="center" wrapText="1"/>
    </xf>
    <xf numFmtId="0" fontId="1" fillId="0" borderId="26" xfId="0" applyFont="1" applyFill="1" applyBorder="1" applyAlignment="1">
      <alignment horizontal="center" vertical="center" wrapText="1"/>
    </xf>
    <xf numFmtId="4" fontId="1" fillId="0" borderId="26" xfId="0" applyNumberFormat="1" applyFont="1" applyFill="1" applyBorder="1" applyAlignment="1">
      <alignment horizontal="center" vertical="center" wrapText="1"/>
    </xf>
    <xf numFmtId="0" fontId="1" fillId="2" borderId="29" xfId="0" applyFont="1" applyFill="1" applyBorder="1" applyAlignment="1">
      <alignment horizontal="center" vertical="center" wrapText="1"/>
    </xf>
    <xf numFmtId="174" fontId="1" fillId="2" borderId="29" xfId="0" applyNumberFormat="1" applyFont="1" applyFill="1" applyBorder="1" applyAlignment="1">
      <alignment horizontal="center" vertical="center" wrapText="1"/>
    </xf>
    <xf numFmtId="171" fontId="1" fillId="2" borderId="29" xfId="0" applyNumberFormat="1" applyFont="1" applyFill="1" applyBorder="1" applyAlignment="1">
      <alignment horizontal="center" vertical="center" wrapText="1"/>
    </xf>
    <xf numFmtId="0" fontId="1" fillId="0" borderId="29" xfId="0" applyFont="1" applyFill="1" applyBorder="1" applyAlignment="1">
      <alignment horizontal="center" vertical="center" wrapText="1"/>
    </xf>
    <xf numFmtId="49" fontId="3" fillId="7" borderId="27" xfId="0" applyNumberFormat="1" applyFont="1" applyFill="1" applyBorder="1" applyAlignment="1">
      <alignment horizontal="center" vertical="center" wrapText="1"/>
    </xf>
    <xf numFmtId="174" fontId="1" fillId="23" borderId="22" xfId="0" applyNumberFormat="1" applyFont="1" applyFill="1" applyBorder="1" applyAlignment="1">
      <alignment horizontal="center" vertical="center" wrapText="1"/>
    </xf>
    <xf numFmtId="4" fontId="1" fillId="23" borderId="22" xfId="0" applyNumberFormat="1" applyFont="1" applyFill="1" applyBorder="1" applyAlignment="1">
      <alignment horizontal="center" vertical="center" wrapText="1"/>
    </xf>
    <xf numFmtId="14" fontId="8" fillId="0" borderId="22" xfId="0" applyNumberFormat="1" applyFont="1" applyFill="1" applyBorder="1" applyAlignment="1">
      <alignment horizontal="center" vertical="center" wrapText="1"/>
    </xf>
    <xf numFmtId="0" fontId="0" fillId="0" borderId="5" xfId="0" applyFill="1" applyBorder="1"/>
    <xf numFmtId="0" fontId="0" fillId="0" borderId="0" xfId="0" applyFill="1"/>
    <xf numFmtId="0" fontId="0" fillId="0" borderId="22" xfId="0" applyBorder="1" applyAlignment="1">
      <alignment wrapText="1"/>
    </xf>
    <xf numFmtId="0" fontId="0" fillId="0" borderId="22" xfId="0" applyFill="1" applyBorder="1" applyAlignment="1">
      <alignment wrapText="1"/>
    </xf>
    <xf numFmtId="0" fontId="0" fillId="13" borderId="22" xfId="0" applyFill="1" applyBorder="1" applyAlignment="1">
      <alignment wrapText="1"/>
    </xf>
    <xf numFmtId="0" fontId="8" fillId="0" borderId="22" xfId="0" applyFont="1" applyFill="1" applyBorder="1" applyAlignment="1">
      <alignment wrapText="1"/>
    </xf>
    <xf numFmtId="174" fontId="1" fillId="2" borderId="22" xfId="0" applyNumberFormat="1" applyFont="1" applyFill="1" applyBorder="1" applyAlignment="1">
      <alignment vertical="center" wrapText="1"/>
    </xf>
    <xf numFmtId="171" fontId="1" fillId="2" borderId="22" xfId="0" applyNumberFormat="1" applyFont="1" applyFill="1" applyBorder="1" applyAlignment="1">
      <alignment vertical="center" wrapText="1"/>
    </xf>
    <xf numFmtId="49" fontId="1" fillId="2" borderId="22" xfId="0" applyNumberFormat="1" applyFont="1" applyFill="1" applyBorder="1" applyAlignment="1">
      <alignment vertical="center" wrapText="1"/>
    </xf>
    <xf numFmtId="0" fontId="8" fillId="0" borderId="5" xfId="0" applyFont="1" applyFill="1" applyBorder="1" applyAlignment="1">
      <alignment wrapText="1"/>
    </xf>
    <xf numFmtId="0" fontId="0" fillId="0" borderId="27" xfId="0" applyBorder="1" applyAlignment="1">
      <alignment wrapText="1"/>
    </xf>
    <xf numFmtId="9" fontId="0" fillId="0" borderId="22" xfId="0" applyNumberFormat="1" applyBorder="1" applyAlignment="1">
      <alignment wrapText="1"/>
    </xf>
    <xf numFmtId="1" fontId="0" fillId="0" borderId="22" xfId="0" applyNumberFormat="1" applyBorder="1" applyAlignment="1">
      <alignment wrapText="1"/>
    </xf>
    <xf numFmtId="49" fontId="8" fillId="13" borderId="22" xfId="0" applyNumberFormat="1" applyFont="1" applyFill="1" applyBorder="1" applyAlignment="1">
      <alignment horizontal="center" vertical="center" wrapText="1"/>
    </xf>
    <xf numFmtId="177" fontId="3" fillId="0" borderId="25" xfId="0" applyNumberFormat="1" applyFont="1" applyBorder="1" applyAlignment="1">
      <alignment horizontal="center"/>
    </xf>
    <xf numFmtId="177" fontId="1" fillId="2" borderId="22" xfId="0" applyNumberFormat="1" applyFont="1" applyFill="1" applyBorder="1" applyAlignment="1">
      <alignment horizontal="center" vertical="center" wrapText="1"/>
    </xf>
    <xf numFmtId="0" fontId="1" fillId="13" borderId="22" xfId="0" applyNumberFormat="1" applyFont="1" applyFill="1" applyBorder="1" applyAlignment="1">
      <alignment horizontal="center" vertical="center" wrapText="1"/>
    </xf>
    <xf numFmtId="171" fontId="1" fillId="15" borderId="22" xfId="0" applyNumberFormat="1" applyFont="1" applyFill="1" applyBorder="1" applyAlignment="1">
      <alignment horizontal="center" vertical="center" wrapText="1"/>
    </xf>
    <xf numFmtId="49" fontId="18" fillId="0" borderId="22" xfId="0" applyNumberFormat="1" applyFont="1" applyFill="1" applyBorder="1" applyAlignment="1">
      <alignment horizontal="center" vertical="center" wrapText="1"/>
    </xf>
    <xf numFmtId="174" fontId="3" fillId="2" borderId="7" xfId="0" applyNumberFormat="1" applyFont="1" applyFill="1" applyBorder="1" applyAlignment="1">
      <alignment horizontal="center" vertical="center" wrapText="1"/>
    </xf>
    <xf numFmtId="0" fontId="12" fillId="0" borderId="22" xfId="0" quotePrefix="1" applyFont="1" applyFill="1" applyBorder="1" applyAlignment="1">
      <alignment horizontal="center" vertical="center"/>
    </xf>
    <xf numFmtId="0" fontId="1" fillId="0" borderId="25" xfId="0" applyFont="1" applyFill="1" applyBorder="1" applyAlignment="1">
      <alignment horizontal="center" vertical="center" wrapText="1"/>
    </xf>
    <xf numFmtId="0" fontId="1" fillId="0" borderId="22" xfId="0" applyNumberFormat="1" applyFont="1" applyFill="1" applyBorder="1"/>
    <xf numFmtId="49" fontId="1" fillId="0" borderId="22" xfId="0" applyNumberFormat="1" applyFont="1" applyFill="1" applyBorder="1" applyAlignment="1">
      <alignment horizontal="center" vertical="center"/>
    </xf>
    <xf numFmtId="0" fontId="3" fillId="0" borderId="25" xfId="0" applyFont="1" applyFill="1" applyBorder="1" applyAlignment="1">
      <alignment horizontal="center" vertical="center" wrapText="1"/>
    </xf>
    <xf numFmtId="174" fontId="1" fillId="0" borderId="22" xfId="0" applyNumberFormat="1" applyFont="1" applyFill="1" applyBorder="1" applyAlignment="1">
      <alignment horizontal="center" vertical="center"/>
    </xf>
    <xf numFmtId="49" fontId="3" fillId="0" borderId="25" xfId="0" applyNumberFormat="1" applyFont="1" applyFill="1" applyBorder="1" applyAlignment="1">
      <alignment horizontal="center" vertical="center" wrapText="1"/>
    </xf>
    <xf numFmtId="14" fontId="1" fillId="0" borderId="22" xfId="0" applyNumberFormat="1" applyFont="1" applyFill="1" applyBorder="1" applyAlignment="1">
      <alignment horizontal="center" vertical="center" wrapText="1"/>
    </xf>
    <xf numFmtId="0" fontId="1" fillId="0" borderId="0" xfId="0" applyNumberFormat="1" applyFont="1" applyFill="1"/>
    <xf numFmtId="0" fontId="12" fillId="0" borderId="26" xfId="0" quotePrefix="1" applyFont="1" applyFill="1" applyBorder="1" applyAlignment="1">
      <alignment horizontal="center"/>
    </xf>
    <xf numFmtId="0" fontId="1" fillId="0" borderId="5" xfId="0" applyNumberFormat="1" applyFont="1" applyFill="1" applyBorder="1" applyAlignment="1">
      <alignment horizontal="center" vertical="center"/>
    </xf>
    <xf numFmtId="0" fontId="12" fillId="0" borderId="22" xfId="0" quotePrefix="1" applyFont="1" applyFill="1" applyBorder="1" applyAlignment="1">
      <alignment horizontal="center"/>
    </xf>
    <xf numFmtId="0" fontId="1" fillId="0" borderId="0" xfId="0" applyNumberFormat="1" applyFont="1" applyFill="1" applyAlignment="1">
      <alignment horizontal="center" vertical="center"/>
    </xf>
    <xf numFmtId="2" fontId="1" fillId="14" borderId="22" xfId="0" applyNumberFormat="1" applyFont="1" applyFill="1" applyBorder="1" applyAlignment="1">
      <alignment horizontal="center" vertical="center" wrapText="1"/>
    </xf>
    <xf numFmtId="49" fontId="3" fillId="6" borderId="27" xfId="0" applyNumberFormat="1" applyFont="1" applyFill="1" applyBorder="1" applyAlignment="1">
      <alignment horizontal="center" vertical="center" wrapText="1"/>
    </xf>
    <xf numFmtId="1" fontId="18" fillId="0" borderId="22" xfId="0" applyNumberFormat="1" applyFont="1" applyFill="1" applyBorder="1" applyAlignment="1">
      <alignment horizontal="center" vertical="center" wrapText="1"/>
    </xf>
    <xf numFmtId="0" fontId="18" fillId="0" borderId="22" xfId="0" applyNumberFormat="1" applyFont="1" applyFill="1" applyBorder="1" applyAlignment="1">
      <alignment horizontal="center" vertical="center" wrapText="1"/>
    </xf>
    <xf numFmtId="174" fontId="18" fillId="0" borderId="22" xfId="0" applyNumberFormat="1" applyFont="1" applyFill="1" applyBorder="1" applyAlignment="1">
      <alignment horizontal="center" vertical="center" wrapText="1"/>
    </xf>
    <xf numFmtId="4" fontId="18" fillId="0" borderId="22" xfId="0" applyNumberFormat="1" applyFont="1" applyFill="1" applyBorder="1" applyAlignment="1">
      <alignment horizontal="center" vertical="center" wrapText="1"/>
    </xf>
    <xf numFmtId="0" fontId="18" fillId="0" borderId="22" xfId="0" applyFont="1" applyFill="1" applyBorder="1" applyAlignment="1">
      <alignment horizontal="center" vertical="center" wrapText="1"/>
    </xf>
    <xf numFmtId="2" fontId="18" fillId="0" borderId="22" xfId="0" applyNumberFormat="1" applyFont="1" applyFill="1" applyBorder="1" applyAlignment="1">
      <alignment horizontal="center" vertical="center" wrapText="1"/>
    </xf>
    <xf numFmtId="175" fontId="1" fillId="14" borderId="22" xfId="0" applyNumberFormat="1" applyFont="1" applyFill="1" applyBorder="1" applyAlignment="1">
      <alignment horizontal="center" vertical="center" wrapText="1"/>
    </xf>
    <xf numFmtId="1" fontId="18" fillId="0" borderId="7" xfId="0" applyNumberFormat="1" applyFont="1" applyFill="1" applyBorder="1" applyAlignment="1">
      <alignment horizontal="center" vertical="center" wrapText="1"/>
    </xf>
    <xf numFmtId="0" fontId="18" fillId="0" borderId="7" xfId="0" applyNumberFormat="1" applyFont="1" applyFill="1" applyBorder="1" applyAlignment="1">
      <alignment horizontal="center" vertical="center" wrapText="1"/>
    </xf>
    <xf numFmtId="49" fontId="18" fillId="0" borderId="7" xfId="0" applyNumberFormat="1" applyFont="1" applyFill="1" applyBorder="1" applyAlignment="1">
      <alignment horizontal="center" vertical="center" wrapText="1"/>
    </xf>
    <xf numFmtId="49" fontId="18" fillId="0" borderId="8" xfId="0" applyNumberFormat="1" applyFont="1" applyFill="1" applyBorder="1" applyAlignment="1">
      <alignment horizontal="center" vertical="center" wrapText="1"/>
    </xf>
    <xf numFmtId="49" fontId="18" fillId="0" borderId="9" xfId="0" applyNumberFormat="1" applyFont="1" applyFill="1" applyBorder="1" applyAlignment="1">
      <alignment horizontal="center" vertical="center" wrapText="1"/>
    </xf>
    <xf numFmtId="0" fontId="18" fillId="0" borderId="7" xfId="0" applyFont="1" applyFill="1" applyBorder="1" applyAlignment="1">
      <alignment horizontal="center" vertical="center" wrapText="1"/>
    </xf>
    <xf numFmtId="167" fontId="18" fillId="0" borderId="9" xfId="0" applyNumberFormat="1" applyFont="1" applyFill="1" applyBorder="1" applyAlignment="1">
      <alignment horizontal="center" vertical="center" wrapText="1"/>
    </xf>
    <xf numFmtId="166" fontId="18" fillId="0" borderId="7" xfId="0" applyNumberFormat="1" applyFont="1" applyFill="1" applyBorder="1" applyAlignment="1">
      <alignment horizontal="center" vertical="center" wrapText="1"/>
    </xf>
    <xf numFmtId="49" fontId="22" fillId="0" borderId="9" xfId="0" applyNumberFormat="1" applyFont="1" applyFill="1" applyBorder="1" applyAlignment="1">
      <alignment horizontal="center" vertical="center" wrapText="1"/>
    </xf>
    <xf numFmtId="49" fontId="22" fillId="0" borderId="7" xfId="0" applyNumberFormat="1" applyFont="1" applyFill="1" applyBorder="1" applyAlignment="1">
      <alignment horizontal="center" vertical="center" wrapText="1"/>
    </xf>
    <xf numFmtId="174" fontId="22" fillId="0" borderId="7" xfId="0" applyNumberFormat="1" applyFont="1" applyFill="1" applyBorder="1" applyAlignment="1">
      <alignment horizontal="center" vertical="center" wrapText="1"/>
    </xf>
    <xf numFmtId="0" fontId="18" fillId="0" borderId="11" xfId="0" applyNumberFormat="1" applyFont="1" applyFill="1" applyBorder="1" applyAlignment="1">
      <alignment horizontal="center" vertical="center" wrapText="1"/>
    </xf>
    <xf numFmtId="167" fontId="18" fillId="0" borderId="22" xfId="0" applyNumberFormat="1" applyFont="1" applyFill="1" applyBorder="1" applyAlignment="1">
      <alignment horizontal="center" vertical="center" wrapText="1"/>
    </xf>
    <xf numFmtId="168" fontId="18" fillId="0" borderId="22" xfId="0" applyNumberFormat="1" applyFont="1" applyFill="1" applyBorder="1" applyAlignment="1">
      <alignment horizontal="center" vertical="center" wrapText="1"/>
    </xf>
    <xf numFmtId="174" fontId="22" fillId="0" borderId="22" xfId="0" applyNumberFormat="1" applyFont="1" applyFill="1" applyBorder="1" applyAlignment="1">
      <alignment horizontal="center" vertical="center" wrapText="1"/>
    </xf>
    <xf numFmtId="4" fontId="22" fillId="0" borderId="22" xfId="0" applyNumberFormat="1" applyFont="1" applyFill="1" applyBorder="1" applyAlignment="1">
      <alignment horizontal="center" vertical="center" wrapText="1"/>
    </xf>
    <xf numFmtId="49" fontId="22" fillId="0" borderId="22" xfId="0" applyNumberFormat="1" applyFont="1" applyFill="1" applyBorder="1" applyAlignment="1">
      <alignment horizontal="center" vertical="center" wrapText="1"/>
    </xf>
    <xf numFmtId="172" fontId="18" fillId="0" borderId="22" xfId="0" applyNumberFormat="1" applyFont="1" applyFill="1" applyBorder="1" applyAlignment="1">
      <alignment horizontal="center" vertical="center" wrapText="1"/>
    </xf>
    <xf numFmtId="171" fontId="18" fillId="14" borderId="22" xfId="0" applyNumberFormat="1" applyFont="1" applyFill="1" applyBorder="1" applyAlignment="1">
      <alignment horizontal="center" vertical="center" wrapText="1"/>
    </xf>
    <xf numFmtId="2" fontId="18" fillId="0" borderId="17" xfId="0" applyNumberFormat="1" applyFont="1" applyFill="1" applyBorder="1" applyAlignment="1">
      <alignment horizontal="center" vertical="center" wrapText="1"/>
    </xf>
    <xf numFmtId="4" fontId="22" fillId="0" borderId="17" xfId="0" applyNumberFormat="1" applyFont="1" applyFill="1" applyBorder="1" applyAlignment="1">
      <alignment horizontal="center" vertical="center" wrapText="1"/>
    </xf>
    <xf numFmtId="0" fontId="17" fillId="0" borderId="0" xfId="0" applyFont="1" applyAlignment="1">
      <alignment horizontal="center" vertical="center"/>
    </xf>
    <xf numFmtId="0" fontId="17" fillId="0" borderId="5" xfId="0" applyFont="1" applyBorder="1" applyAlignment="1">
      <alignment horizontal="center" vertical="center"/>
    </xf>
    <xf numFmtId="0" fontId="17" fillId="0" borderId="5" xfId="0" applyFont="1" applyFill="1" applyBorder="1" applyAlignment="1">
      <alignment horizontal="center" vertical="center"/>
    </xf>
    <xf numFmtId="0" fontId="17" fillId="0" borderId="0" xfId="0" applyFont="1" applyFill="1" applyAlignment="1">
      <alignment horizontal="center" vertical="center"/>
    </xf>
    <xf numFmtId="0" fontId="17" fillId="0" borderId="0" xfId="0" applyNumberFormat="1" applyFont="1" applyAlignment="1">
      <alignment horizontal="center" vertical="center"/>
    </xf>
    <xf numFmtId="0" fontId="17" fillId="13" borderId="0" xfId="0" applyFont="1" applyFill="1" applyAlignment="1">
      <alignment horizontal="center" vertical="center"/>
    </xf>
    <xf numFmtId="174" fontId="8" fillId="14" borderId="22" xfId="0" applyNumberFormat="1" applyFont="1" applyFill="1" applyBorder="1" applyAlignment="1">
      <alignment horizontal="center" vertical="center" wrapText="1"/>
    </xf>
    <xf numFmtId="4" fontId="8" fillId="14" borderId="22" xfId="0" applyNumberFormat="1" applyFont="1" applyFill="1" applyBorder="1" applyAlignment="1">
      <alignment horizontal="center" vertical="center" wrapText="1"/>
    </xf>
    <xf numFmtId="174" fontId="8" fillId="2" borderId="22" xfId="0" applyNumberFormat="1" applyFont="1" applyFill="1" applyBorder="1" applyAlignment="1">
      <alignment horizontal="center" vertical="center" wrapText="1"/>
    </xf>
    <xf numFmtId="0" fontId="8" fillId="2" borderId="22" xfId="0" applyFont="1" applyFill="1" applyBorder="1" applyAlignment="1">
      <alignment horizontal="center" vertical="center" wrapText="1"/>
    </xf>
    <xf numFmtId="0" fontId="16" fillId="0" borderId="22" xfId="0" applyFont="1" applyBorder="1"/>
    <xf numFmtId="0" fontId="1" fillId="2" borderId="5" xfId="0" applyNumberFormat="1" applyFont="1" applyFill="1" applyBorder="1" applyAlignment="1">
      <alignment vertical="center" wrapText="1"/>
    </xf>
    <xf numFmtId="0" fontId="23" fillId="0" borderId="0" xfId="0" applyFont="1" applyAlignment="1">
      <alignment horizontal="center" wrapText="1"/>
    </xf>
    <xf numFmtId="174" fontId="8" fillId="13" borderId="22" xfId="0" applyNumberFormat="1" applyFont="1" applyFill="1" applyBorder="1" applyAlignment="1">
      <alignment horizontal="center" vertical="center" wrapText="1"/>
    </xf>
    <xf numFmtId="1" fontId="1" fillId="2" borderId="18" xfId="0" applyNumberFormat="1" applyFont="1" applyFill="1" applyBorder="1" applyAlignment="1">
      <alignment horizontal="center" vertical="center" wrapText="1"/>
    </xf>
    <xf numFmtId="173" fontId="1" fillId="23" borderId="22" xfId="0" applyNumberFormat="1" applyFont="1" applyFill="1" applyBorder="1" applyAlignment="1">
      <alignment horizontal="center" vertical="center" wrapText="1"/>
    </xf>
    <xf numFmtId="2" fontId="1" fillId="23" borderId="22" xfId="0" applyNumberFormat="1" applyFont="1" applyFill="1" applyBorder="1" applyAlignment="1">
      <alignment horizontal="center" vertical="center" wrapText="1"/>
    </xf>
    <xf numFmtId="0" fontId="0" fillId="0" borderId="5" xfId="0" applyFill="1" applyBorder="1" applyAlignment="1">
      <alignment wrapText="1"/>
    </xf>
    <xf numFmtId="0" fontId="0" fillId="0" borderId="5" xfId="0" applyBorder="1" applyAlignment="1">
      <alignment wrapText="1"/>
    </xf>
    <xf numFmtId="0" fontId="0" fillId="21" borderId="5" xfId="0" applyFill="1" applyBorder="1" applyAlignment="1">
      <alignment wrapText="1"/>
    </xf>
    <xf numFmtId="0" fontId="3" fillId="0" borderId="27" xfId="0" applyNumberFormat="1" applyFont="1" applyFill="1" applyBorder="1" applyAlignment="1">
      <alignment horizontal="center" vertical="center" wrapText="1"/>
    </xf>
    <xf numFmtId="49" fontId="3" fillId="21" borderId="27" xfId="0" applyNumberFormat="1" applyFont="1" applyFill="1" applyBorder="1" applyAlignment="1">
      <alignment horizontal="center" vertical="center" wrapText="1"/>
    </xf>
    <xf numFmtId="0" fontId="8" fillId="0" borderId="27" xfId="0" applyFont="1" applyFill="1" applyBorder="1" applyAlignment="1">
      <alignment wrapText="1"/>
    </xf>
    <xf numFmtId="0" fontId="0" fillId="0" borderId="27" xfId="0" applyFill="1" applyBorder="1" applyAlignment="1">
      <alignment wrapText="1"/>
    </xf>
    <xf numFmtId="49" fontId="18" fillId="0" borderId="27" xfId="0" applyNumberFormat="1" applyFont="1" applyFill="1" applyBorder="1" applyAlignment="1">
      <alignment horizontal="center" vertical="center" wrapText="1"/>
    </xf>
    <xf numFmtId="49" fontId="3" fillId="2" borderId="27" xfId="0" applyNumberFormat="1" applyFont="1" applyFill="1" applyBorder="1" applyAlignment="1">
      <alignment horizontal="center" vertical="center" wrapText="1"/>
    </xf>
    <xf numFmtId="49" fontId="3" fillId="2" borderId="33" xfId="0" applyNumberFormat="1" applyFont="1" applyFill="1" applyBorder="1" applyAlignment="1">
      <alignment horizontal="center" vertical="center" wrapText="1"/>
    </xf>
    <xf numFmtId="0" fontId="0" fillId="0" borderId="29" xfId="0" applyBorder="1" applyAlignment="1">
      <alignment wrapText="1"/>
    </xf>
    <xf numFmtId="0" fontId="0" fillId="0" borderId="34" xfId="0" applyFill="1" applyBorder="1" applyAlignment="1">
      <alignment wrapText="1"/>
    </xf>
    <xf numFmtId="0" fontId="0" fillId="0" borderId="34" xfId="0" applyBorder="1" applyAlignment="1">
      <alignment wrapText="1"/>
    </xf>
    <xf numFmtId="0" fontId="8" fillId="0" borderId="34" xfId="0" applyFont="1" applyFill="1" applyBorder="1" applyAlignment="1">
      <alignment wrapText="1"/>
    </xf>
    <xf numFmtId="1" fontId="1" fillId="23" borderId="22" xfId="0" applyNumberFormat="1" applyFont="1" applyFill="1" applyBorder="1" applyAlignment="1">
      <alignment horizontal="center" vertical="center" wrapText="1"/>
    </xf>
    <xf numFmtId="49" fontId="8" fillId="23" borderId="22" xfId="0" applyNumberFormat="1" applyFont="1" applyFill="1" applyBorder="1" applyAlignment="1">
      <alignment horizontal="center" vertical="center" wrapText="1"/>
    </xf>
    <xf numFmtId="174" fontId="18" fillId="14" borderId="22" xfId="0" applyNumberFormat="1" applyFont="1" applyFill="1" applyBorder="1" applyAlignment="1">
      <alignment horizontal="center" vertical="center" wrapText="1"/>
    </xf>
    <xf numFmtId="0" fontId="17" fillId="0" borderId="22" xfId="0" applyFont="1" applyBorder="1" applyAlignment="1">
      <alignment wrapText="1"/>
    </xf>
    <xf numFmtId="1" fontId="1" fillId="0" borderId="35" xfId="0" applyNumberFormat="1" applyFont="1" applyFill="1" applyBorder="1" applyAlignment="1">
      <alignment horizontal="center" vertical="center" wrapText="1"/>
    </xf>
    <xf numFmtId="0" fontId="1" fillId="0" borderId="29" xfId="0" applyNumberFormat="1" applyFont="1" applyFill="1" applyBorder="1" applyAlignment="1">
      <alignment horizontal="center" vertical="center" wrapText="1"/>
    </xf>
    <xf numFmtId="0" fontId="8" fillId="0" borderId="29" xfId="0" applyFont="1" applyFill="1" applyBorder="1" applyAlignment="1">
      <alignment horizontal="center" vertical="center" wrapText="1"/>
    </xf>
    <xf numFmtId="49" fontId="1" fillId="0" borderId="29" xfId="0" applyNumberFormat="1" applyFont="1" applyFill="1" applyBorder="1" applyAlignment="1">
      <alignment horizontal="center" vertical="center" wrapText="1"/>
    </xf>
    <xf numFmtId="174" fontId="1" fillId="0" borderId="29" xfId="0" applyNumberFormat="1" applyFont="1" applyFill="1" applyBorder="1" applyAlignment="1">
      <alignment horizontal="center" vertical="center" wrapText="1"/>
    </xf>
    <xf numFmtId="171" fontId="18" fillId="0" borderId="29" xfId="0" applyNumberFormat="1" applyFont="1" applyFill="1" applyBorder="1" applyAlignment="1">
      <alignment horizontal="center" vertical="center" wrapText="1"/>
    </xf>
    <xf numFmtId="49" fontId="18" fillId="0" borderId="29" xfId="0" applyNumberFormat="1" applyFont="1" applyFill="1" applyBorder="1" applyAlignment="1">
      <alignment horizontal="center" vertical="center" wrapText="1"/>
    </xf>
    <xf numFmtId="174" fontId="1" fillId="0" borderId="26" xfId="0" applyNumberFormat="1" applyFont="1" applyFill="1" applyBorder="1" applyAlignment="1">
      <alignment horizontal="center" vertical="center" wrapText="1"/>
    </xf>
    <xf numFmtId="171" fontId="1" fillId="0" borderId="29" xfId="0" applyNumberFormat="1" applyFont="1" applyFill="1" applyBorder="1" applyAlignment="1">
      <alignment horizontal="center" vertical="center" wrapText="1"/>
    </xf>
    <xf numFmtId="0" fontId="0" fillId="0" borderId="26" xfId="0" applyFill="1" applyBorder="1" applyAlignment="1">
      <alignment wrapText="1"/>
    </xf>
    <xf numFmtId="1" fontId="1" fillId="0" borderId="29" xfId="0" applyNumberFormat="1" applyFont="1" applyFill="1" applyBorder="1" applyAlignment="1">
      <alignment horizontal="center" vertical="center" wrapText="1"/>
    </xf>
    <xf numFmtId="49" fontId="3" fillId="0" borderId="33" xfId="0" applyNumberFormat="1" applyFont="1" applyFill="1" applyBorder="1" applyAlignment="1">
      <alignment horizontal="center" vertical="center" wrapText="1"/>
    </xf>
    <xf numFmtId="0" fontId="0" fillId="0" borderId="22" xfId="0" applyFill="1" applyBorder="1" applyAlignment="1">
      <alignment horizontal="center" vertical="center" wrapText="1"/>
    </xf>
    <xf numFmtId="0" fontId="0" fillId="0" borderId="22" xfId="0" applyBorder="1" applyAlignment="1">
      <alignment horizontal="center" vertical="center" wrapText="1"/>
    </xf>
    <xf numFmtId="0" fontId="3" fillId="0" borderId="33" xfId="0" applyNumberFormat="1" applyFont="1" applyFill="1" applyBorder="1" applyAlignment="1">
      <alignment horizontal="center" vertical="center" wrapText="1"/>
    </xf>
    <xf numFmtId="49" fontId="1" fillId="0" borderId="5" xfId="0" applyNumberFormat="1" applyFont="1" applyFill="1" applyBorder="1" applyAlignment="1">
      <alignment horizontal="center" vertical="center" wrapText="1"/>
    </xf>
    <xf numFmtId="1" fontId="1" fillId="13" borderId="22" xfId="0" applyNumberFormat="1" applyFont="1" applyFill="1" applyBorder="1" applyAlignment="1">
      <alignment horizontal="center" vertical="center" wrapText="1"/>
    </xf>
    <xf numFmtId="1" fontId="1" fillId="13" borderId="25" xfId="0" applyNumberFormat="1" applyFont="1" applyFill="1" applyBorder="1" applyAlignment="1">
      <alignment horizontal="center" vertical="center" wrapText="1"/>
    </xf>
    <xf numFmtId="49" fontId="1" fillId="0" borderId="22" xfId="0" applyNumberFormat="1" applyFont="1" applyBorder="1" applyAlignment="1">
      <alignment horizontal="center" vertical="center" wrapText="1"/>
    </xf>
    <xf numFmtId="0" fontId="8" fillId="0" borderId="22" xfId="0" applyFont="1" applyBorder="1" applyAlignment="1">
      <alignment wrapText="1"/>
    </xf>
    <xf numFmtId="49" fontId="9" fillId="12" borderId="22" xfId="1" applyNumberFormat="1" applyFont="1" applyBorder="1" applyAlignment="1">
      <alignment horizontal="center" vertical="center" wrapText="1"/>
    </xf>
    <xf numFmtId="0" fontId="9" fillId="12" borderId="22" xfId="1" applyNumberFormat="1" applyFont="1" applyBorder="1" applyAlignment="1">
      <alignment horizontal="center" vertical="center" wrapText="1"/>
    </xf>
    <xf numFmtId="49" fontId="9" fillId="13" borderId="22" xfId="1" applyNumberFormat="1" applyFont="1" applyFill="1" applyBorder="1" applyAlignment="1">
      <alignment horizontal="center" vertical="center" wrapText="1"/>
    </xf>
    <xf numFmtId="0" fontId="8" fillId="23" borderId="22" xfId="0" applyFont="1" applyFill="1" applyBorder="1" applyAlignment="1">
      <alignment wrapText="1"/>
    </xf>
    <xf numFmtId="9" fontId="8" fillId="0" borderId="22" xfId="0" applyNumberFormat="1" applyFont="1" applyFill="1" applyBorder="1" applyAlignment="1">
      <alignment horizontal="center" vertical="center" wrapText="1"/>
    </xf>
    <xf numFmtId="0" fontId="10" fillId="0" borderId="22" xfId="0" applyNumberFormat="1" applyFont="1" applyFill="1" applyBorder="1" applyAlignment="1">
      <alignment horizontal="center" vertical="center" wrapText="1"/>
    </xf>
    <xf numFmtId="1" fontId="8" fillId="2" borderId="22" xfId="0" applyNumberFormat="1" applyFont="1" applyFill="1" applyBorder="1" applyAlignment="1">
      <alignment horizontal="center" vertical="center" wrapText="1"/>
    </xf>
    <xf numFmtId="0" fontId="8" fillId="2" borderId="22" xfId="0" applyNumberFormat="1" applyFont="1" applyFill="1" applyBorder="1" applyAlignment="1">
      <alignment horizontal="center" vertical="center" wrapText="1"/>
    </xf>
    <xf numFmtId="171" fontId="8" fillId="2" borderId="22" xfId="0" applyNumberFormat="1" applyFont="1" applyFill="1" applyBorder="1" applyAlignment="1">
      <alignment horizontal="center" vertical="center" wrapText="1"/>
    </xf>
    <xf numFmtId="49" fontId="8" fillId="2" borderId="22" xfId="0" applyNumberFormat="1" applyFont="1" applyFill="1" applyBorder="1" applyAlignment="1">
      <alignment horizontal="center" vertical="center" wrapText="1"/>
    </xf>
    <xf numFmtId="4" fontId="8" fillId="2" borderId="22" xfId="0" applyNumberFormat="1" applyFont="1" applyFill="1" applyBorder="1" applyAlignment="1">
      <alignment horizontal="center" vertical="center" wrapText="1"/>
    </xf>
    <xf numFmtId="9" fontId="8" fillId="2" borderId="22" xfId="0" applyNumberFormat="1" applyFont="1" applyFill="1" applyBorder="1" applyAlignment="1">
      <alignment horizontal="center" vertical="center" wrapText="1"/>
    </xf>
    <xf numFmtId="49" fontId="10" fillId="7" borderId="22" xfId="0" applyNumberFormat="1" applyFont="1" applyFill="1" applyBorder="1" applyAlignment="1">
      <alignment horizontal="center" vertical="center" wrapText="1"/>
    </xf>
    <xf numFmtId="0" fontId="8" fillId="13" borderId="22" xfId="0" applyFont="1" applyFill="1" applyBorder="1" applyAlignment="1">
      <alignment horizontal="center" vertical="center" wrapText="1"/>
    </xf>
    <xf numFmtId="49" fontId="10" fillId="6" borderId="22" xfId="0" applyNumberFormat="1" applyFont="1" applyFill="1" applyBorder="1" applyAlignment="1">
      <alignment horizontal="center" vertical="center" wrapText="1"/>
    </xf>
    <xf numFmtId="14" fontId="8" fillId="2" borderId="22" xfId="0" applyNumberFormat="1" applyFont="1" applyFill="1" applyBorder="1" applyAlignment="1">
      <alignment horizontal="center" vertical="center" wrapText="1"/>
    </xf>
    <xf numFmtId="172" fontId="8" fillId="2" borderId="22" xfId="0" applyNumberFormat="1" applyFont="1" applyFill="1" applyBorder="1" applyAlignment="1">
      <alignment horizontal="center" vertical="center" wrapText="1"/>
    </xf>
    <xf numFmtId="49" fontId="8" fillId="11" borderId="22" xfId="0" applyNumberFormat="1" applyFont="1" applyFill="1" applyBorder="1" applyAlignment="1">
      <alignment horizontal="center" vertical="center" wrapText="1"/>
    </xf>
    <xf numFmtId="49" fontId="10" fillId="2" borderId="22" xfId="0" applyNumberFormat="1" applyFont="1" applyFill="1" applyBorder="1" applyAlignment="1">
      <alignment horizontal="center" vertical="center" wrapText="1"/>
    </xf>
    <xf numFmtId="1" fontId="8" fillId="14" borderId="22" xfId="0" applyNumberFormat="1" applyFont="1" applyFill="1" applyBorder="1" applyAlignment="1">
      <alignment horizontal="center" vertical="center" wrapText="1"/>
    </xf>
    <xf numFmtId="0" fontId="8" fillId="14" borderId="22" xfId="0" applyNumberFormat="1" applyFont="1" applyFill="1" applyBorder="1" applyAlignment="1">
      <alignment horizontal="center" vertical="center" wrapText="1"/>
    </xf>
    <xf numFmtId="49" fontId="8" fillId="14" borderId="22" xfId="0" applyNumberFormat="1" applyFont="1" applyFill="1" applyBorder="1" applyAlignment="1">
      <alignment horizontal="center" vertical="center" wrapText="1"/>
    </xf>
    <xf numFmtId="0" fontId="8" fillId="14" borderId="22" xfId="0" applyFont="1" applyFill="1" applyBorder="1" applyAlignment="1">
      <alignment horizontal="center" vertical="center" wrapText="1"/>
    </xf>
    <xf numFmtId="171" fontId="8" fillId="14" borderId="22" xfId="0" applyNumberFormat="1" applyFont="1" applyFill="1" applyBorder="1" applyAlignment="1">
      <alignment horizontal="center" vertical="center" wrapText="1"/>
    </xf>
    <xf numFmtId="9" fontId="8" fillId="14" borderId="22" xfId="0" applyNumberFormat="1" applyFont="1" applyFill="1" applyBorder="1" applyAlignment="1">
      <alignment horizontal="center" vertical="center" wrapText="1"/>
    </xf>
    <xf numFmtId="49" fontId="10" fillId="14" borderId="22" xfId="0" applyNumberFormat="1" applyFont="1" applyFill="1" applyBorder="1" applyAlignment="1">
      <alignment horizontal="center" vertical="center" wrapText="1"/>
    </xf>
    <xf numFmtId="1" fontId="8" fillId="22" borderId="22" xfId="0" applyNumberFormat="1" applyFont="1" applyFill="1" applyBorder="1" applyAlignment="1">
      <alignment horizontal="center" vertical="center" wrapText="1"/>
    </xf>
    <xf numFmtId="0" fontId="8" fillId="22" borderId="22" xfId="0" applyNumberFormat="1" applyFont="1" applyFill="1" applyBorder="1" applyAlignment="1">
      <alignment horizontal="center" vertical="center" wrapText="1"/>
    </xf>
    <xf numFmtId="49" fontId="8" fillId="22" borderId="22" xfId="0" applyNumberFormat="1" applyFont="1" applyFill="1" applyBorder="1" applyAlignment="1">
      <alignment horizontal="center" vertical="center" wrapText="1"/>
    </xf>
    <xf numFmtId="0" fontId="8" fillId="22" borderId="22" xfId="0" applyFont="1" applyFill="1" applyBorder="1" applyAlignment="1">
      <alignment horizontal="center" vertical="center" wrapText="1"/>
    </xf>
    <xf numFmtId="174" fontId="8" fillId="22" borderId="22" xfId="0" applyNumberFormat="1" applyFont="1" applyFill="1" applyBorder="1" applyAlignment="1">
      <alignment horizontal="center" vertical="center" wrapText="1"/>
    </xf>
    <xf numFmtId="171" fontId="8" fillId="22" borderId="22" xfId="0" applyNumberFormat="1" applyFont="1" applyFill="1" applyBorder="1" applyAlignment="1">
      <alignment horizontal="center" vertical="center" wrapText="1"/>
    </xf>
    <xf numFmtId="4" fontId="8" fillId="22" borderId="22" xfId="0" applyNumberFormat="1" applyFont="1" applyFill="1" applyBorder="1" applyAlignment="1">
      <alignment horizontal="center" vertical="center" wrapText="1"/>
    </xf>
    <xf numFmtId="9" fontId="8" fillId="22" borderId="22" xfId="0" applyNumberFormat="1" applyFont="1" applyFill="1" applyBorder="1" applyAlignment="1">
      <alignment horizontal="center" vertical="center" wrapText="1"/>
    </xf>
    <xf numFmtId="49" fontId="10" fillId="22" borderId="22" xfId="0" applyNumberFormat="1" applyFont="1" applyFill="1" applyBorder="1" applyAlignment="1">
      <alignment horizontal="center" vertical="center" wrapText="1"/>
    </xf>
    <xf numFmtId="174" fontId="1" fillId="22" borderId="22" xfId="0" applyNumberFormat="1" applyFont="1" applyFill="1" applyBorder="1" applyAlignment="1">
      <alignment horizontal="center" vertical="center" wrapText="1"/>
    </xf>
    <xf numFmtId="0" fontId="1" fillId="22" borderId="22" xfId="0" applyFont="1" applyFill="1" applyBorder="1" applyAlignment="1">
      <alignment horizontal="center" vertical="center" wrapText="1"/>
    </xf>
    <xf numFmtId="14" fontId="8" fillId="22" borderId="22" xfId="0" applyNumberFormat="1" applyFont="1" applyFill="1" applyBorder="1" applyAlignment="1">
      <alignment horizontal="center" vertical="center" wrapText="1"/>
    </xf>
    <xf numFmtId="0" fontId="8" fillId="23" borderId="22" xfId="0" applyNumberFormat="1" applyFont="1" applyFill="1" applyBorder="1" applyAlignment="1">
      <alignment horizontal="center" vertical="center" wrapText="1"/>
    </xf>
    <xf numFmtId="174" fontId="8" fillId="23" borderId="22" xfId="0" applyNumberFormat="1" applyFont="1" applyFill="1" applyBorder="1" applyAlignment="1">
      <alignment horizontal="center" vertical="center" wrapText="1"/>
    </xf>
    <xf numFmtId="171" fontId="8" fillId="23" borderId="22" xfId="0" applyNumberFormat="1" applyFont="1" applyFill="1" applyBorder="1" applyAlignment="1">
      <alignment horizontal="center" vertical="center" wrapText="1"/>
    </xf>
    <xf numFmtId="4" fontId="8" fillId="23" borderId="22" xfId="0" applyNumberFormat="1" applyFont="1" applyFill="1" applyBorder="1" applyAlignment="1">
      <alignment horizontal="center" vertical="center" wrapText="1"/>
    </xf>
    <xf numFmtId="0" fontId="8" fillId="23" borderId="22" xfId="0" applyFont="1" applyFill="1" applyBorder="1" applyAlignment="1">
      <alignment horizontal="center" vertical="center" wrapText="1"/>
    </xf>
    <xf numFmtId="1" fontId="8" fillId="23" borderId="22" xfId="0" applyNumberFormat="1" applyFont="1" applyFill="1" applyBorder="1" applyAlignment="1">
      <alignment horizontal="center" vertical="center" wrapText="1"/>
    </xf>
    <xf numFmtId="14" fontId="8" fillId="23" borderId="22" xfId="0" applyNumberFormat="1" applyFont="1" applyFill="1" applyBorder="1" applyAlignment="1">
      <alignment horizontal="center" vertical="center" wrapText="1"/>
    </xf>
    <xf numFmtId="49" fontId="10" fillId="23" borderId="22" xfId="0" applyNumberFormat="1" applyFont="1" applyFill="1" applyBorder="1" applyAlignment="1">
      <alignment horizontal="center" vertical="center" wrapText="1"/>
    </xf>
    <xf numFmtId="1" fontId="8" fillId="21" borderId="22" xfId="0" applyNumberFormat="1" applyFont="1" applyFill="1" applyBorder="1" applyAlignment="1">
      <alignment horizontal="center" vertical="center" wrapText="1"/>
    </xf>
    <xf numFmtId="0" fontId="8" fillId="21" borderId="22" xfId="0" applyNumberFormat="1" applyFont="1" applyFill="1" applyBorder="1" applyAlignment="1">
      <alignment horizontal="center" vertical="center" wrapText="1"/>
    </xf>
    <xf numFmtId="49" fontId="8" fillId="21" borderId="22" xfId="0" applyNumberFormat="1" applyFont="1" applyFill="1" applyBorder="1" applyAlignment="1">
      <alignment horizontal="center" vertical="center" wrapText="1"/>
    </xf>
    <xf numFmtId="174" fontId="8" fillId="21" borderId="22" xfId="0" applyNumberFormat="1" applyFont="1" applyFill="1" applyBorder="1" applyAlignment="1">
      <alignment horizontal="center" vertical="center" wrapText="1"/>
    </xf>
    <xf numFmtId="171" fontId="8" fillId="21" borderId="22" xfId="0" applyNumberFormat="1" applyFont="1" applyFill="1" applyBorder="1" applyAlignment="1">
      <alignment horizontal="center" vertical="center" wrapText="1"/>
    </xf>
    <xf numFmtId="4" fontId="8" fillId="21" borderId="22" xfId="0" applyNumberFormat="1" applyFont="1" applyFill="1" applyBorder="1" applyAlignment="1">
      <alignment horizontal="center" vertical="center" wrapText="1"/>
    </xf>
    <xf numFmtId="0" fontId="8" fillId="21" borderId="22" xfId="0" applyFont="1" applyFill="1" applyBorder="1" applyAlignment="1">
      <alignment horizontal="center" vertical="center" wrapText="1"/>
    </xf>
    <xf numFmtId="14" fontId="8" fillId="21" borderId="22" xfId="0" applyNumberFormat="1" applyFont="1" applyFill="1" applyBorder="1" applyAlignment="1">
      <alignment horizontal="center" vertical="center" wrapText="1"/>
    </xf>
    <xf numFmtId="49" fontId="10" fillId="21" borderId="22" xfId="0" applyNumberFormat="1" applyFont="1" applyFill="1" applyBorder="1" applyAlignment="1">
      <alignment horizontal="center" vertical="center" wrapText="1"/>
    </xf>
    <xf numFmtId="1" fontId="8" fillId="24" borderId="22" xfId="0" applyNumberFormat="1" applyFont="1" applyFill="1" applyBorder="1" applyAlignment="1">
      <alignment horizontal="center" vertical="center" wrapText="1"/>
    </xf>
    <xf numFmtId="0" fontId="8" fillId="24" borderId="22" xfId="0" applyNumberFormat="1" applyFont="1" applyFill="1" applyBorder="1" applyAlignment="1">
      <alignment horizontal="center" vertical="center" wrapText="1"/>
    </xf>
    <xf numFmtId="49" fontId="8" fillId="24" borderId="22" xfId="0" applyNumberFormat="1" applyFont="1" applyFill="1" applyBorder="1" applyAlignment="1">
      <alignment horizontal="center" vertical="center" wrapText="1"/>
    </xf>
    <xf numFmtId="0" fontId="8" fillId="24" borderId="22" xfId="0" applyFont="1" applyFill="1" applyBorder="1" applyAlignment="1">
      <alignment horizontal="center" vertical="center" wrapText="1"/>
    </xf>
    <xf numFmtId="174" fontId="8" fillId="24" borderId="22" xfId="0" applyNumberFormat="1" applyFont="1" applyFill="1" applyBorder="1" applyAlignment="1">
      <alignment horizontal="center" vertical="center" wrapText="1"/>
    </xf>
    <xf numFmtId="171" fontId="8" fillId="24" borderId="22" xfId="0" applyNumberFormat="1" applyFont="1" applyFill="1" applyBorder="1" applyAlignment="1">
      <alignment horizontal="center" vertical="center" wrapText="1"/>
    </xf>
    <xf numFmtId="4" fontId="8" fillId="24" borderId="22" xfId="0" applyNumberFormat="1" applyFont="1" applyFill="1" applyBorder="1" applyAlignment="1">
      <alignment horizontal="center" vertical="center" wrapText="1"/>
    </xf>
    <xf numFmtId="14" fontId="8" fillId="24" borderId="22" xfId="0" applyNumberFormat="1" applyFont="1" applyFill="1" applyBorder="1" applyAlignment="1">
      <alignment horizontal="center" vertical="center" wrapText="1"/>
    </xf>
    <xf numFmtId="49" fontId="10" fillId="24" borderId="22" xfId="0" applyNumberFormat="1" applyFont="1" applyFill="1" applyBorder="1" applyAlignment="1">
      <alignment horizontal="center" vertical="center" wrapText="1"/>
    </xf>
    <xf numFmtId="0" fontId="8" fillId="24" borderId="22" xfId="0" applyFont="1" applyFill="1" applyBorder="1" applyAlignment="1">
      <alignment wrapText="1"/>
    </xf>
    <xf numFmtId="9" fontId="8" fillId="23" borderId="22" xfId="0" applyNumberFormat="1" applyFont="1" applyFill="1" applyBorder="1" applyAlignment="1">
      <alignment horizontal="center" vertical="center" wrapText="1"/>
    </xf>
    <xf numFmtId="168" fontId="8" fillId="2" borderId="22" xfId="0" applyNumberFormat="1" applyFont="1" applyFill="1" applyBorder="1" applyAlignment="1">
      <alignment horizontal="center" vertical="center" wrapText="1"/>
    </xf>
    <xf numFmtId="177" fontId="8" fillId="2" borderId="22" xfId="0" applyNumberFormat="1" applyFont="1" applyFill="1" applyBorder="1" applyAlignment="1">
      <alignment horizontal="center" vertical="center" wrapText="1"/>
    </xf>
    <xf numFmtId="49" fontId="8" fillId="8" borderId="22" xfId="0" applyNumberFormat="1" applyFont="1" applyFill="1" applyBorder="1" applyAlignment="1">
      <alignment horizontal="center" vertical="center" wrapText="1"/>
    </xf>
    <xf numFmtId="0" fontId="8" fillId="2" borderId="22" xfId="0" applyFont="1" applyFill="1" applyBorder="1" applyAlignment="1">
      <alignment vertical="center" wrapText="1"/>
    </xf>
    <xf numFmtId="174" fontId="8" fillId="2" borderId="22" xfId="0" applyNumberFormat="1" applyFont="1" applyFill="1" applyBorder="1" applyAlignment="1">
      <alignment vertical="center" wrapText="1"/>
    </xf>
    <xf numFmtId="171" fontId="8" fillId="2" borderId="22" xfId="0" applyNumberFormat="1" applyFont="1" applyFill="1" applyBorder="1" applyAlignment="1">
      <alignment vertical="center" wrapText="1"/>
    </xf>
    <xf numFmtId="171" fontId="8" fillId="9" borderId="22" xfId="0" applyNumberFormat="1" applyFont="1" applyFill="1" applyBorder="1" applyAlignment="1">
      <alignment horizontal="center" vertical="center" wrapText="1"/>
    </xf>
    <xf numFmtId="49" fontId="8" fillId="9" borderId="22" xfId="0" applyNumberFormat="1" applyFont="1" applyFill="1" applyBorder="1" applyAlignment="1">
      <alignment horizontal="center" vertical="center" wrapText="1"/>
    </xf>
    <xf numFmtId="49" fontId="8" fillId="2" borderId="22" xfId="0" applyNumberFormat="1" applyFont="1" applyFill="1" applyBorder="1" applyAlignment="1">
      <alignment vertical="center" wrapText="1"/>
    </xf>
    <xf numFmtId="0" fontId="8" fillId="23" borderId="22" xfId="0" applyFont="1" applyFill="1" applyBorder="1" applyAlignment="1">
      <alignment vertical="center" wrapText="1"/>
    </xf>
    <xf numFmtId="0" fontId="8" fillId="0" borderId="22" xfId="0" applyFont="1" applyFill="1" applyBorder="1" applyAlignment="1">
      <alignment vertical="center" wrapText="1"/>
    </xf>
    <xf numFmtId="49" fontId="20" fillId="23" borderId="22" xfId="0" applyNumberFormat="1" applyFont="1" applyFill="1" applyBorder="1" applyAlignment="1">
      <alignment horizontal="center" vertical="center" wrapText="1"/>
    </xf>
    <xf numFmtId="0" fontId="8" fillId="0" borderId="22" xfId="0" applyNumberFormat="1" applyFont="1" applyBorder="1" applyAlignment="1">
      <alignment wrapText="1"/>
    </xf>
    <xf numFmtId="0" fontId="8" fillId="0" borderId="22" xfId="0" applyFont="1" applyBorder="1" applyAlignment="1">
      <alignment horizontal="center" vertical="center" wrapText="1"/>
    </xf>
    <xf numFmtId="0" fontId="8" fillId="13" borderId="22" xfId="0" applyFont="1" applyFill="1" applyBorder="1" applyAlignment="1">
      <alignment wrapText="1"/>
    </xf>
    <xf numFmtId="14" fontId="18" fillId="0" borderId="22" xfId="0" applyNumberFormat="1" applyFont="1" applyFill="1" applyBorder="1" applyAlignment="1">
      <alignment horizontal="center" vertical="center" wrapText="1"/>
    </xf>
    <xf numFmtId="17" fontId="8" fillId="0" borderId="22" xfId="0" applyNumberFormat="1" applyFont="1" applyFill="1" applyBorder="1" applyAlignment="1">
      <alignment horizontal="center" vertical="center" wrapText="1"/>
    </xf>
    <xf numFmtId="0" fontId="8" fillId="0" borderId="29" xfId="0" applyFont="1" applyFill="1" applyBorder="1" applyAlignment="1">
      <alignment horizontal="center" wrapText="1"/>
    </xf>
    <xf numFmtId="0" fontId="8" fillId="0" borderId="29" xfId="0" applyFont="1" applyFill="1" applyBorder="1" applyAlignment="1">
      <alignment wrapText="1"/>
    </xf>
    <xf numFmtId="0" fontId="8" fillId="0" borderId="22" xfId="0" applyFont="1" applyFill="1" applyBorder="1" applyAlignment="1">
      <alignment horizontal="center" wrapText="1"/>
    </xf>
    <xf numFmtId="0" fontId="8" fillId="0" borderId="22" xfId="0" applyNumberFormat="1" applyFont="1" applyFill="1" applyBorder="1" applyAlignment="1">
      <alignment wrapText="1"/>
    </xf>
    <xf numFmtId="49" fontId="1" fillId="0" borderId="26" xfId="0" applyNumberFormat="1" applyFont="1" applyFill="1" applyBorder="1" applyAlignment="1">
      <alignment horizontal="center" vertical="center" wrapText="1"/>
    </xf>
    <xf numFmtId="171" fontId="1" fillId="0" borderId="26" xfId="0" applyNumberFormat="1" applyFont="1" applyFill="1" applyBorder="1" applyAlignment="1">
      <alignment horizontal="center" vertical="center" wrapText="1"/>
    </xf>
    <xf numFmtId="1" fontId="1" fillId="0" borderId="26" xfId="0" applyNumberFormat="1" applyFont="1" applyFill="1" applyBorder="1" applyAlignment="1">
      <alignment horizontal="center" vertical="center" wrapText="1"/>
    </xf>
    <xf numFmtId="0" fontId="0" fillId="0" borderId="32" xfId="0" applyFill="1" applyBorder="1" applyAlignment="1">
      <alignment wrapText="1"/>
    </xf>
    <xf numFmtId="3" fontId="1" fillId="0" borderId="22" xfId="0" applyNumberFormat="1" applyFont="1" applyFill="1" applyBorder="1" applyAlignment="1">
      <alignment horizontal="center" vertical="center" wrapText="1"/>
    </xf>
    <xf numFmtId="171" fontId="22" fillId="0" borderId="22" xfId="0" applyNumberFormat="1" applyFont="1" applyFill="1" applyBorder="1" applyAlignment="1">
      <alignment horizontal="center" vertical="center" wrapText="1"/>
    </xf>
    <xf numFmtId="0" fontId="0" fillId="0" borderId="5" xfId="0" applyFill="1" applyBorder="1" applyAlignment="1">
      <alignment horizontal="center" wrapText="1"/>
    </xf>
    <xf numFmtId="9" fontId="1" fillId="0" borderId="29" xfId="0" applyNumberFormat="1" applyFont="1" applyFill="1" applyBorder="1" applyAlignment="1">
      <alignment horizontal="center" vertical="center" wrapText="1"/>
    </xf>
    <xf numFmtId="2" fontId="1" fillId="0" borderId="29" xfId="0" applyNumberFormat="1" applyFont="1" applyFill="1" applyBorder="1" applyAlignment="1">
      <alignment horizontal="center" vertical="center" wrapText="1"/>
    </xf>
    <xf numFmtId="0" fontId="8" fillId="0" borderId="22" xfId="0" applyFont="1" applyBorder="1" applyAlignment="1">
      <alignment horizontal="center" wrapText="1"/>
    </xf>
    <xf numFmtId="49" fontId="1" fillId="23" borderId="22" xfId="0" applyNumberFormat="1" applyFont="1" applyFill="1" applyBorder="1" applyAlignment="1">
      <alignment horizontal="center" vertical="center" wrapText="1"/>
    </xf>
    <xf numFmtId="1" fontId="1" fillId="2" borderId="35" xfId="0" applyNumberFormat="1" applyFont="1" applyFill="1" applyBorder="1" applyAlignment="1">
      <alignment horizontal="center" vertical="center" wrapText="1"/>
    </xf>
    <xf numFmtId="49" fontId="1" fillId="0" borderId="7" xfId="0" applyNumberFormat="1" applyFont="1" applyFill="1" applyBorder="1" applyAlignment="1">
      <alignment horizontal="center" vertical="center" wrapText="1"/>
    </xf>
    <xf numFmtId="0" fontId="1" fillId="2" borderId="5" xfId="0" applyFont="1" applyFill="1" applyBorder="1" applyAlignment="1">
      <alignment horizontal="center" vertical="center" wrapText="1"/>
    </xf>
    <xf numFmtId="174" fontId="1" fillId="0" borderId="7" xfId="0" applyNumberFormat="1" applyFont="1" applyFill="1" applyBorder="1" applyAlignment="1">
      <alignment horizontal="center" vertical="center" wrapText="1"/>
    </xf>
    <xf numFmtId="0" fontId="1" fillId="0" borderId="7" xfId="0" applyNumberFormat="1" applyFont="1" applyFill="1" applyBorder="1" applyAlignment="1">
      <alignment horizontal="center" vertical="center" wrapText="1"/>
    </xf>
    <xf numFmtId="171" fontId="1" fillId="0" borderId="7" xfId="0" applyNumberFormat="1" applyFont="1" applyFill="1" applyBorder="1" applyAlignment="1">
      <alignment horizontal="center" vertical="center" wrapText="1"/>
    </xf>
    <xf numFmtId="171" fontId="18" fillId="0" borderId="7" xfId="0" applyNumberFormat="1" applyFont="1" applyFill="1" applyBorder="1" applyAlignment="1">
      <alignment horizontal="center" vertical="center" wrapText="1"/>
    </xf>
    <xf numFmtId="4" fontId="1" fillId="0" borderId="7" xfId="0" applyNumberFormat="1" applyFont="1" applyFill="1" applyBorder="1" applyAlignment="1">
      <alignment horizontal="center" vertical="center" wrapText="1"/>
    </xf>
    <xf numFmtId="4" fontId="1" fillId="0" borderId="29" xfId="0" applyNumberFormat="1" applyFont="1" applyFill="1" applyBorder="1" applyAlignment="1">
      <alignment horizontal="center" vertical="center" wrapText="1"/>
    </xf>
    <xf numFmtId="49" fontId="1" fillId="13" borderId="7" xfId="0" applyNumberFormat="1" applyFont="1" applyFill="1" applyBorder="1" applyAlignment="1">
      <alignment horizontal="center" vertical="center" wrapText="1"/>
    </xf>
    <xf numFmtId="0" fontId="28" fillId="0" borderId="22" xfId="0" applyFont="1" applyBorder="1" applyAlignment="1">
      <alignment vertical="center" wrapText="1"/>
    </xf>
    <xf numFmtId="0" fontId="25" fillId="0" borderId="22" xfId="0" applyFont="1" applyFill="1" applyBorder="1"/>
    <xf numFmtId="0" fontId="29" fillId="0" borderId="22" xfId="0" applyFont="1" applyBorder="1" applyAlignment="1">
      <alignment vertical="center" wrapText="1"/>
    </xf>
    <xf numFmtId="0" fontId="24" fillId="0" borderId="22" xfId="0" applyFont="1" applyBorder="1" applyAlignment="1">
      <alignment wrapText="1"/>
    </xf>
    <xf numFmtId="9" fontId="1" fillId="2" borderId="29" xfId="0" applyNumberFormat="1" applyFont="1" applyFill="1" applyBorder="1" applyAlignment="1">
      <alignment horizontal="center" vertical="center" wrapText="1"/>
    </xf>
    <xf numFmtId="0" fontId="1" fillId="0" borderId="7" xfId="0" applyFont="1" applyFill="1" applyBorder="1" applyAlignment="1">
      <alignment horizontal="center" vertical="center" wrapText="1"/>
    </xf>
    <xf numFmtId="2" fontId="1" fillId="23" borderId="29" xfId="0" applyNumberFormat="1" applyFont="1" applyFill="1" applyBorder="1" applyAlignment="1">
      <alignment horizontal="center" vertical="center" wrapText="1"/>
    </xf>
    <xf numFmtId="49" fontId="3" fillId="2" borderId="5" xfId="0" applyNumberFormat="1" applyFont="1" applyFill="1" applyBorder="1" applyAlignment="1">
      <alignment horizontal="center" wrapText="1"/>
    </xf>
    <xf numFmtId="171" fontId="1" fillId="0" borderId="5" xfId="0" applyNumberFormat="1" applyFont="1" applyFill="1" applyBorder="1" applyAlignment="1">
      <alignment horizontal="center" vertical="center" wrapText="1"/>
    </xf>
    <xf numFmtId="0" fontId="1" fillId="0" borderId="5" xfId="0" applyFont="1" applyFill="1" applyBorder="1" applyAlignment="1">
      <alignment horizontal="center" vertical="center" wrapText="1"/>
    </xf>
    <xf numFmtId="1" fontId="8" fillId="0" borderId="35" xfId="0" applyNumberFormat="1" applyFont="1" applyFill="1" applyBorder="1" applyAlignment="1">
      <alignment horizontal="center" vertical="center" wrapText="1"/>
    </xf>
    <xf numFmtId="0" fontId="8" fillId="0" borderId="29" xfId="0" applyNumberFormat="1" applyFont="1" applyFill="1" applyBorder="1" applyAlignment="1">
      <alignment horizontal="center" vertical="center" wrapText="1"/>
    </xf>
    <xf numFmtId="49" fontId="8" fillId="0" borderId="29" xfId="0" applyNumberFormat="1" applyFont="1" applyFill="1" applyBorder="1" applyAlignment="1">
      <alignment horizontal="center" vertical="center" wrapText="1"/>
    </xf>
    <xf numFmtId="174" fontId="8" fillId="0" borderId="29" xfId="0" applyNumberFormat="1" applyFont="1" applyFill="1" applyBorder="1" applyAlignment="1">
      <alignment horizontal="center" vertical="center" wrapText="1"/>
    </xf>
    <xf numFmtId="171" fontId="8" fillId="0" borderId="29" xfId="0" applyNumberFormat="1" applyFont="1" applyFill="1" applyBorder="1" applyAlignment="1">
      <alignment horizontal="center" vertical="center" wrapText="1"/>
    </xf>
    <xf numFmtId="49" fontId="10" fillId="0" borderId="33" xfId="0" applyNumberFormat="1" applyFont="1" applyFill="1" applyBorder="1" applyAlignment="1">
      <alignment horizontal="center" vertical="center" wrapText="1"/>
    </xf>
    <xf numFmtId="0" fontId="1" fillId="0" borderId="7" xfId="0" applyNumberFormat="1" applyFont="1" applyBorder="1" applyAlignment="1">
      <alignment horizontal="left" wrapText="1"/>
    </xf>
    <xf numFmtId="177" fontId="8" fillId="0" borderId="22" xfId="0" applyNumberFormat="1" applyFont="1" applyFill="1" applyBorder="1" applyAlignment="1">
      <alignment horizontal="center" vertical="center" wrapText="1"/>
    </xf>
    <xf numFmtId="49" fontId="21" fillId="12" borderId="7" xfId="1" applyNumberFormat="1" applyFont="1" applyBorder="1" applyAlignment="1">
      <alignment horizontal="center" vertical="center" wrapText="1"/>
    </xf>
    <xf numFmtId="0" fontId="21" fillId="12" borderId="7" xfId="1" applyNumberFormat="1" applyFont="1" applyBorder="1" applyAlignment="1">
      <alignment horizontal="center" vertical="center" wrapText="1"/>
    </xf>
    <xf numFmtId="49" fontId="21" fillId="12" borderId="8" xfId="1" applyNumberFormat="1" applyFont="1" applyBorder="1" applyAlignment="1">
      <alignment horizontal="center" vertical="center" wrapText="1"/>
    </xf>
    <xf numFmtId="49" fontId="21" fillId="12" borderId="9" xfId="1" applyNumberFormat="1" applyFont="1" applyBorder="1" applyAlignment="1">
      <alignment horizontal="center" vertical="center" wrapText="1"/>
    </xf>
    <xf numFmtId="49" fontId="21" fillId="13" borderId="7" xfId="1" applyNumberFormat="1" applyFont="1" applyFill="1" applyBorder="1" applyAlignment="1">
      <alignment horizontal="center" vertical="center" wrapText="1"/>
    </xf>
    <xf numFmtId="0" fontId="4" fillId="13" borderId="22" xfId="0" applyNumberFormat="1" applyFont="1" applyFill="1" applyBorder="1" applyAlignment="1">
      <alignment horizontal="center" vertical="center" wrapText="1"/>
    </xf>
    <xf numFmtId="166" fontId="18" fillId="0" borderId="22" xfId="0" applyNumberFormat="1" applyFont="1" applyFill="1" applyBorder="1" applyAlignment="1">
      <alignment horizontal="center" vertical="center" wrapText="1"/>
    </xf>
    <xf numFmtId="0" fontId="17" fillId="0" borderId="5" xfId="0" applyNumberFormat="1" applyFont="1" applyBorder="1" applyAlignment="1">
      <alignment horizontal="center" vertical="center"/>
    </xf>
    <xf numFmtId="1" fontId="8" fillId="25" borderId="22" xfId="0" applyNumberFormat="1" applyFont="1" applyFill="1" applyBorder="1" applyAlignment="1">
      <alignment horizontal="center" vertical="center" wrapText="1"/>
    </xf>
    <xf numFmtId="0" fontId="8" fillId="25" borderId="22" xfId="0" applyNumberFormat="1" applyFont="1" applyFill="1" applyBorder="1" applyAlignment="1">
      <alignment horizontal="center" vertical="center" wrapText="1"/>
    </xf>
    <xf numFmtId="49" fontId="8" fillId="25" borderId="22" xfId="0" applyNumberFormat="1" applyFont="1" applyFill="1" applyBorder="1" applyAlignment="1">
      <alignment horizontal="center" vertical="center" wrapText="1"/>
    </xf>
    <xf numFmtId="0" fontId="8" fillId="25" borderId="22" xfId="0" applyFont="1" applyFill="1" applyBorder="1" applyAlignment="1">
      <alignment horizontal="center" vertical="center" wrapText="1"/>
    </xf>
    <xf numFmtId="174" fontId="8" fillId="25" borderId="22" xfId="0" applyNumberFormat="1" applyFont="1" applyFill="1" applyBorder="1" applyAlignment="1">
      <alignment horizontal="center" vertical="center" wrapText="1"/>
    </xf>
    <xf numFmtId="171" fontId="8" fillId="25" borderId="22" xfId="0" applyNumberFormat="1" applyFont="1" applyFill="1" applyBorder="1" applyAlignment="1">
      <alignment horizontal="center" vertical="center" wrapText="1"/>
    </xf>
    <xf numFmtId="4" fontId="8" fillId="25" borderId="22" xfId="0" applyNumberFormat="1" applyFont="1" applyFill="1" applyBorder="1" applyAlignment="1">
      <alignment horizontal="center" vertical="center" wrapText="1"/>
    </xf>
    <xf numFmtId="9" fontId="8" fillId="25" borderId="22" xfId="0" applyNumberFormat="1" applyFont="1" applyFill="1" applyBorder="1" applyAlignment="1">
      <alignment horizontal="center" vertical="center" wrapText="1"/>
    </xf>
    <xf numFmtId="49" fontId="10" fillId="25" borderId="22" xfId="0" applyNumberFormat="1" applyFont="1" applyFill="1" applyBorder="1" applyAlignment="1">
      <alignment horizontal="center" vertical="center" wrapText="1"/>
    </xf>
    <xf numFmtId="0" fontId="18" fillId="0" borderId="5" xfId="0" applyFont="1" applyFill="1" applyBorder="1"/>
    <xf numFmtId="0" fontId="26" fillId="0" borderId="5" xfId="0" applyFont="1" applyFill="1" applyBorder="1"/>
    <xf numFmtId="49" fontId="22" fillId="0" borderId="27" xfId="0" applyNumberFormat="1" applyFont="1" applyFill="1" applyBorder="1" applyAlignment="1">
      <alignment horizontal="center" vertical="center" wrapText="1"/>
    </xf>
    <xf numFmtId="0" fontId="18" fillId="0" borderId="27" xfId="0" applyFont="1" applyFill="1" applyBorder="1" applyAlignment="1">
      <alignment horizontal="center" vertical="center" wrapText="1"/>
    </xf>
    <xf numFmtId="0" fontId="8" fillId="0" borderId="27" xfId="0" applyFont="1" applyFill="1" applyBorder="1" applyAlignment="1">
      <alignment horizontal="center" vertical="center" wrapText="1"/>
    </xf>
    <xf numFmtId="168" fontId="18" fillId="0" borderId="25" xfId="0" applyNumberFormat="1" applyFont="1" applyFill="1" applyBorder="1" applyAlignment="1">
      <alignment horizontal="center" vertical="center" wrapText="1"/>
    </xf>
    <xf numFmtId="172" fontId="18" fillId="0" borderId="25" xfId="0" applyNumberFormat="1" applyFont="1" applyFill="1" applyBorder="1" applyAlignment="1">
      <alignment horizontal="center" vertical="center" wrapText="1"/>
    </xf>
    <xf numFmtId="0" fontId="17" fillId="0" borderId="22" xfId="0" applyFont="1" applyFill="1" applyBorder="1" applyAlignment="1">
      <alignment horizontal="center" vertical="center"/>
    </xf>
    <xf numFmtId="168" fontId="18" fillId="0" borderId="27" xfId="0" applyNumberFormat="1" applyFont="1" applyFill="1" applyBorder="1" applyAlignment="1">
      <alignment horizontal="center" vertical="center" wrapText="1"/>
    </xf>
    <xf numFmtId="172" fontId="18" fillId="0" borderId="27" xfId="0" applyNumberFormat="1" applyFont="1" applyFill="1" applyBorder="1" applyAlignment="1">
      <alignment horizontal="center" vertical="center" wrapText="1"/>
    </xf>
    <xf numFmtId="49" fontId="21" fillId="12" borderId="12" xfId="1" applyNumberFormat="1" applyFont="1" applyBorder="1" applyAlignment="1">
      <alignment horizontal="center" vertical="center" wrapText="1"/>
    </xf>
    <xf numFmtId="49" fontId="21" fillId="12" borderId="11" xfId="1" applyNumberFormat="1" applyFont="1" applyBorder="1" applyAlignment="1">
      <alignment horizontal="center" vertical="center" wrapText="1"/>
    </xf>
    <xf numFmtId="1" fontId="1" fillId="0" borderId="7" xfId="0" applyNumberFormat="1" applyFont="1" applyFill="1" applyBorder="1" applyAlignment="1">
      <alignment horizontal="center" vertical="center" wrapText="1"/>
    </xf>
    <xf numFmtId="49" fontId="3" fillId="0" borderId="8" xfId="0" applyNumberFormat="1" applyFont="1" applyFill="1" applyBorder="1" applyAlignment="1">
      <alignment horizontal="center" vertical="center" wrapText="1"/>
    </xf>
    <xf numFmtId="49" fontId="3" fillId="0" borderId="9" xfId="0" applyNumberFormat="1" applyFont="1" applyFill="1" applyBorder="1" applyAlignment="1">
      <alignment horizontal="center" vertical="center" wrapText="1"/>
    </xf>
    <xf numFmtId="0" fontId="3" fillId="0" borderId="7" xfId="0" applyFont="1" applyFill="1" applyBorder="1" applyAlignment="1">
      <alignment horizontal="center" vertical="center" wrapText="1"/>
    </xf>
    <xf numFmtId="49" fontId="3" fillId="0" borderId="7" xfId="0" applyNumberFormat="1" applyFont="1" applyFill="1" applyBorder="1" applyAlignment="1">
      <alignment horizontal="center" vertical="center" wrapText="1"/>
    </xf>
    <xf numFmtId="167" fontId="3" fillId="0" borderId="9" xfId="0" applyNumberFormat="1" applyFont="1" applyFill="1" applyBorder="1" applyAlignment="1">
      <alignment horizontal="center" vertical="center" wrapText="1"/>
    </xf>
    <xf numFmtId="2" fontId="3" fillId="0" borderId="7" xfId="0" applyNumberFormat="1" applyFont="1" applyFill="1" applyBorder="1" applyAlignment="1">
      <alignment horizontal="center" vertical="center" wrapText="1"/>
    </xf>
    <xf numFmtId="167" fontId="3" fillId="0" borderId="7" xfId="0" applyNumberFormat="1" applyFont="1" applyFill="1" applyBorder="1" applyAlignment="1">
      <alignment horizontal="center" vertical="center" wrapText="1"/>
    </xf>
    <xf numFmtId="0" fontId="3" fillId="0" borderId="17" xfId="0" applyFont="1" applyFill="1" applyBorder="1" applyAlignment="1">
      <alignment horizontal="center" vertical="center" wrapText="1"/>
    </xf>
    <xf numFmtId="173" fontId="3" fillId="0" borderId="22" xfId="0" applyNumberFormat="1" applyFont="1" applyFill="1" applyBorder="1" applyAlignment="1">
      <alignment horizontal="center" vertical="center" wrapText="1"/>
    </xf>
    <xf numFmtId="0" fontId="0" fillId="0" borderId="22" xfId="0" applyFill="1" applyBorder="1"/>
    <xf numFmtId="166" fontId="3" fillId="0" borderId="7" xfId="0" applyNumberFormat="1" applyFont="1" applyFill="1" applyBorder="1" applyAlignment="1">
      <alignment horizontal="center" vertical="center" wrapText="1"/>
    </xf>
    <xf numFmtId="170" fontId="3" fillId="0" borderId="7" xfId="0" applyNumberFormat="1" applyFont="1" applyFill="1" applyBorder="1" applyAlignment="1">
      <alignment horizontal="center" vertical="center" wrapText="1"/>
    </xf>
    <xf numFmtId="170" fontId="3" fillId="0" borderId="17" xfId="0" applyNumberFormat="1" applyFont="1" applyFill="1" applyBorder="1" applyAlignment="1">
      <alignment horizontal="center" vertical="center" wrapText="1"/>
    </xf>
    <xf numFmtId="49" fontId="3" fillId="0" borderId="8" xfId="0" applyNumberFormat="1" applyFont="1" applyFill="1" applyBorder="1" applyAlignment="1">
      <alignment horizontal="center" vertical="center"/>
    </xf>
    <xf numFmtId="168" fontId="3" fillId="0" borderId="7" xfId="0" applyNumberFormat="1" applyFont="1" applyFill="1" applyBorder="1" applyAlignment="1">
      <alignment horizontal="center" vertical="center" wrapText="1"/>
    </xf>
    <xf numFmtId="0" fontId="3" fillId="0" borderId="22" xfId="0" applyFont="1" applyFill="1" applyBorder="1" applyAlignment="1">
      <alignment horizontal="center" vertical="center"/>
    </xf>
    <xf numFmtId="1" fontId="1" fillId="0" borderId="10" xfId="0" applyNumberFormat="1" applyFont="1" applyFill="1" applyBorder="1" applyAlignment="1">
      <alignment horizontal="center" vertical="center" wrapText="1"/>
    </xf>
    <xf numFmtId="167" fontId="3" fillId="0" borderId="11" xfId="0" applyNumberFormat="1" applyFont="1" applyFill="1" applyBorder="1" applyAlignment="1">
      <alignment horizontal="center" vertical="center" wrapText="1"/>
    </xf>
    <xf numFmtId="49" fontId="3" fillId="0" borderId="11" xfId="0" applyNumberFormat="1" applyFont="1" applyFill="1" applyBorder="1" applyAlignment="1">
      <alignment horizontal="center" vertical="center" wrapText="1"/>
    </xf>
    <xf numFmtId="49" fontId="1" fillId="0" borderId="11" xfId="0" applyNumberFormat="1" applyFont="1" applyFill="1" applyBorder="1" applyAlignment="1">
      <alignment horizontal="center" vertical="center" wrapText="1"/>
    </xf>
    <xf numFmtId="170" fontId="3" fillId="0" borderId="11" xfId="0" applyNumberFormat="1" applyFont="1" applyFill="1" applyBorder="1" applyAlignment="1">
      <alignment horizontal="center" vertical="center" wrapText="1"/>
    </xf>
    <xf numFmtId="0" fontId="3" fillId="0" borderId="11" xfId="0" applyFont="1" applyFill="1" applyBorder="1" applyAlignment="1">
      <alignment horizontal="center" vertical="center" wrapText="1"/>
    </xf>
    <xf numFmtId="0" fontId="1" fillId="0" borderId="11" xfId="0" applyFont="1" applyFill="1" applyBorder="1" applyAlignment="1">
      <alignment horizontal="center" vertical="center" wrapText="1"/>
    </xf>
    <xf numFmtId="49" fontId="3" fillId="0" borderId="12" xfId="0" applyNumberFormat="1" applyFont="1" applyFill="1" applyBorder="1" applyAlignment="1">
      <alignment horizontal="center" vertical="center" wrapText="1"/>
    </xf>
    <xf numFmtId="0" fontId="3" fillId="0" borderId="22" xfId="0" applyFont="1" applyFill="1" applyBorder="1" applyAlignment="1">
      <alignment horizontal="center" vertical="center" wrapText="1"/>
    </xf>
    <xf numFmtId="167" fontId="3" fillId="0" borderId="21" xfId="0" applyNumberFormat="1" applyFont="1" applyFill="1" applyBorder="1" applyAlignment="1">
      <alignment horizontal="center" vertical="center" wrapText="1"/>
    </xf>
    <xf numFmtId="49" fontId="3" fillId="0" borderId="21" xfId="0" applyNumberFormat="1" applyFont="1" applyFill="1" applyBorder="1" applyAlignment="1">
      <alignment horizontal="center" vertical="center" wrapText="1"/>
    </xf>
    <xf numFmtId="49" fontId="3" fillId="0" borderId="23" xfId="0" applyNumberFormat="1" applyFont="1" applyFill="1" applyBorder="1" applyAlignment="1">
      <alignment horizontal="center" vertical="center" wrapText="1"/>
    </xf>
    <xf numFmtId="49" fontId="3" fillId="0" borderId="24" xfId="0" applyNumberFormat="1" applyFont="1" applyFill="1" applyBorder="1" applyAlignment="1">
      <alignment horizontal="center" vertical="center" wrapText="1"/>
    </xf>
    <xf numFmtId="170" fontId="3" fillId="0" borderId="21" xfId="0" applyNumberFormat="1" applyFont="1" applyFill="1" applyBorder="1" applyAlignment="1">
      <alignment horizontal="center" vertical="center" wrapText="1"/>
    </xf>
    <xf numFmtId="0" fontId="1" fillId="0" borderId="21" xfId="0" applyFont="1" applyFill="1" applyBorder="1" applyAlignment="1">
      <alignment horizontal="center" vertical="center" wrapText="1"/>
    </xf>
    <xf numFmtId="49" fontId="3" fillId="0" borderId="19" xfId="0" applyNumberFormat="1" applyFont="1" applyFill="1" applyBorder="1" applyAlignment="1">
      <alignment horizontal="center" vertical="center" wrapText="1"/>
    </xf>
    <xf numFmtId="49" fontId="3" fillId="0" borderId="17" xfId="0" applyNumberFormat="1" applyFont="1" applyFill="1" applyBorder="1" applyAlignment="1">
      <alignment horizontal="center" vertical="center" wrapText="1"/>
    </xf>
    <xf numFmtId="168" fontId="3" fillId="0" borderId="11" xfId="0" applyNumberFormat="1" applyFont="1" applyFill="1" applyBorder="1" applyAlignment="1">
      <alignment horizontal="center" vertical="center" wrapText="1"/>
    </xf>
    <xf numFmtId="171" fontId="3" fillId="0" borderId="22" xfId="0" applyNumberFormat="1" applyFont="1" applyFill="1" applyBorder="1" applyAlignment="1">
      <alignment horizontal="center" vertical="center" wrapText="1"/>
    </xf>
    <xf numFmtId="167" fontId="3" fillId="0" borderId="6" xfId="0" applyNumberFormat="1" applyFont="1" applyFill="1" applyBorder="1" applyAlignment="1">
      <alignment horizontal="center" vertical="center" wrapText="1"/>
    </xf>
    <xf numFmtId="49" fontId="3" fillId="0" borderId="6" xfId="0" applyNumberFormat="1" applyFont="1" applyFill="1" applyBorder="1" applyAlignment="1">
      <alignment horizontal="center" vertical="center" wrapText="1"/>
    </xf>
    <xf numFmtId="0" fontId="3" fillId="0" borderId="6"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3" fillId="0" borderId="3" xfId="0" applyFont="1" applyFill="1" applyBorder="1" applyAlignment="1">
      <alignment horizontal="center" vertical="center" wrapText="1"/>
    </xf>
    <xf numFmtId="169" fontId="3" fillId="0" borderId="22" xfId="0" applyNumberFormat="1" applyFont="1" applyFill="1" applyBorder="1" applyAlignment="1">
      <alignment horizontal="center" vertical="center" wrapText="1"/>
    </xf>
    <xf numFmtId="172" fontId="3" fillId="0" borderId="21" xfId="0" applyNumberFormat="1" applyFont="1" applyFill="1" applyBorder="1" applyAlignment="1">
      <alignment horizontal="center" vertical="center" wrapText="1"/>
    </xf>
    <xf numFmtId="0" fontId="3" fillId="0" borderId="21" xfId="0" applyFont="1" applyFill="1" applyBorder="1" applyAlignment="1">
      <alignment horizontal="center" vertical="center" wrapText="1"/>
    </xf>
    <xf numFmtId="174" fontId="1" fillId="0" borderId="9" xfId="0" applyNumberFormat="1" applyFont="1" applyFill="1" applyBorder="1" applyAlignment="1">
      <alignment horizontal="center" vertical="center" wrapText="1"/>
    </xf>
    <xf numFmtId="168" fontId="3" fillId="0" borderId="17" xfId="0" applyNumberFormat="1" applyFont="1" applyFill="1" applyBorder="1" applyAlignment="1">
      <alignment horizontal="center" vertical="center" wrapText="1"/>
    </xf>
    <xf numFmtId="172" fontId="3" fillId="0" borderId="7" xfId="0" applyNumberFormat="1" applyFont="1" applyFill="1" applyBorder="1" applyAlignment="1">
      <alignment horizontal="center" vertical="center" wrapText="1"/>
    </xf>
    <xf numFmtId="0" fontId="3" fillId="0" borderId="8" xfId="0" applyFont="1" applyFill="1" applyBorder="1" applyAlignment="1">
      <alignment horizontal="center" vertical="center" wrapText="1"/>
    </xf>
    <xf numFmtId="174" fontId="1" fillId="0" borderId="11" xfId="0" applyNumberFormat="1" applyFont="1" applyFill="1" applyBorder="1" applyAlignment="1">
      <alignment horizontal="center" vertical="center" wrapText="1"/>
    </xf>
    <xf numFmtId="4" fontId="1" fillId="0" borderId="11" xfId="0" applyNumberFormat="1" applyFont="1" applyFill="1" applyBorder="1" applyAlignment="1">
      <alignment horizontal="center" vertical="center" wrapText="1"/>
    </xf>
    <xf numFmtId="168" fontId="3" fillId="0" borderId="12" xfId="0" applyNumberFormat="1" applyFont="1" applyFill="1" applyBorder="1" applyAlignment="1">
      <alignment horizontal="center" vertical="center" wrapText="1"/>
    </xf>
    <xf numFmtId="168" fontId="3" fillId="0" borderId="22" xfId="0" applyNumberFormat="1" applyFont="1" applyFill="1" applyBorder="1" applyAlignment="1">
      <alignment horizontal="center" vertical="center" wrapText="1"/>
    </xf>
    <xf numFmtId="168" fontId="3" fillId="0" borderId="20" xfId="0" applyNumberFormat="1" applyFont="1" applyFill="1" applyBorder="1" applyAlignment="1">
      <alignment horizontal="center" vertical="center" wrapText="1"/>
    </xf>
    <xf numFmtId="168" fontId="3" fillId="0" borderId="19" xfId="0" applyNumberFormat="1" applyFont="1" applyFill="1" applyBorder="1" applyAlignment="1">
      <alignment horizontal="center" vertical="center" wrapText="1"/>
    </xf>
    <xf numFmtId="0" fontId="3" fillId="0" borderId="16" xfId="0" applyFont="1" applyFill="1" applyBorder="1" applyAlignment="1">
      <alignment horizontal="center" vertical="center" wrapText="1"/>
    </xf>
    <xf numFmtId="0" fontId="3" fillId="0" borderId="5" xfId="0" applyFont="1" applyFill="1" applyBorder="1" applyAlignment="1">
      <alignment horizontal="center" vertical="center" wrapText="1"/>
    </xf>
    <xf numFmtId="170" fontId="3" fillId="0" borderId="22" xfId="0" applyNumberFormat="1" applyFont="1" applyFill="1" applyBorder="1" applyAlignment="1">
      <alignment horizontal="center" vertical="center" wrapText="1"/>
    </xf>
    <xf numFmtId="172" fontId="3" fillId="0" borderId="22" xfId="0" applyNumberFormat="1" applyFont="1" applyFill="1" applyBorder="1" applyAlignment="1">
      <alignment horizontal="center" vertical="center" wrapText="1"/>
    </xf>
    <xf numFmtId="0" fontId="3" fillId="0" borderId="8" xfId="0" applyFont="1" applyFill="1" applyBorder="1"/>
    <xf numFmtId="0" fontId="3" fillId="0" borderId="9" xfId="0" applyFont="1" applyFill="1" applyBorder="1"/>
    <xf numFmtId="0" fontId="3" fillId="0" borderId="7" xfId="0" applyFont="1" applyFill="1" applyBorder="1"/>
    <xf numFmtId="0" fontId="3" fillId="0" borderId="22" xfId="0" applyFont="1" applyFill="1" applyBorder="1"/>
    <xf numFmtId="0" fontId="3" fillId="0" borderId="16" xfId="0" applyFont="1" applyFill="1" applyBorder="1"/>
    <xf numFmtId="0" fontId="3" fillId="0" borderId="17" xfId="0" applyFont="1" applyFill="1" applyBorder="1"/>
    <xf numFmtId="0" fontId="19" fillId="0" borderId="16" xfId="0" applyFont="1" applyFill="1" applyBorder="1"/>
    <xf numFmtId="2" fontId="3" fillId="0" borderId="11" xfId="0" applyNumberFormat="1" applyFont="1" applyFill="1" applyBorder="1" applyAlignment="1">
      <alignment horizontal="center" vertical="center" wrapText="1"/>
    </xf>
    <xf numFmtId="170" fontId="3" fillId="0" borderId="14" xfId="0" applyNumberFormat="1" applyFont="1" applyFill="1" applyBorder="1" applyAlignment="1">
      <alignment horizontal="center" vertical="center" wrapText="1"/>
    </xf>
    <xf numFmtId="170" fontId="3" fillId="0" borderId="12" xfId="0" applyNumberFormat="1" applyFont="1" applyFill="1" applyBorder="1" applyAlignment="1">
      <alignment horizontal="center" vertical="center" wrapText="1"/>
    </xf>
    <xf numFmtId="1" fontId="1" fillId="0" borderId="11" xfId="0" applyNumberFormat="1" applyFont="1" applyFill="1" applyBorder="1" applyAlignment="1">
      <alignment horizontal="center" vertical="center" wrapText="1"/>
    </xf>
    <xf numFmtId="0" fontId="1" fillId="0" borderId="11" xfId="0" applyNumberFormat="1" applyFont="1" applyFill="1" applyBorder="1" applyAlignment="1">
      <alignment horizontal="center" vertical="center" wrapText="1"/>
    </xf>
    <xf numFmtId="49" fontId="3" fillId="0" borderId="28" xfId="0" applyNumberFormat="1" applyFont="1" applyFill="1" applyBorder="1" applyAlignment="1">
      <alignment horizontal="center" vertical="center" wrapText="1"/>
    </xf>
    <xf numFmtId="49" fontId="3" fillId="0" borderId="31" xfId="0" applyNumberFormat="1" applyFont="1" applyFill="1" applyBorder="1" applyAlignment="1">
      <alignment horizontal="center" vertical="center" wrapText="1"/>
    </xf>
    <xf numFmtId="166" fontId="3" fillId="0" borderId="11" xfId="0" applyNumberFormat="1" applyFont="1" applyFill="1" applyBorder="1" applyAlignment="1">
      <alignment horizontal="center" vertical="center" wrapText="1"/>
    </xf>
    <xf numFmtId="167" fontId="3" fillId="0" borderId="31" xfId="0" applyNumberFormat="1" applyFont="1" applyFill="1" applyBorder="1" applyAlignment="1">
      <alignment horizontal="center" vertical="center" wrapText="1"/>
    </xf>
    <xf numFmtId="2" fontId="3" fillId="0" borderId="6" xfId="0" applyNumberFormat="1" applyFont="1" applyFill="1" applyBorder="1" applyAlignment="1">
      <alignment horizontal="center" vertical="center" wrapText="1"/>
    </xf>
    <xf numFmtId="49" fontId="3" fillId="0" borderId="3" xfId="0" applyNumberFormat="1" applyFont="1" applyFill="1" applyBorder="1" applyAlignment="1">
      <alignment horizontal="center" vertical="center" wrapText="1"/>
    </xf>
    <xf numFmtId="170" fontId="3" fillId="0" borderId="20" xfId="0" applyNumberFormat="1" applyFont="1" applyFill="1" applyBorder="1" applyAlignment="1">
      <alignment horizontal="center" vertical="center" wrapText="1"/>
    </xf>
    <xf numFmtId="170" fontId="3" fillId="0" borderId="19" xfId="0" applyNumberFormat="1" applyFont="1" applyFill="1" applyBorder="1" applyAlignment="1">
      <alignment horizontal="center" vertical="center" wrapText="1"/>
    </xf>
    <xf numFmtId="166" fontId="3" fillId="0" borderId="22" xfId="0" applyNumberFormat="1" applyFont="1" applyFill="1" applyBorder="1" applyAlignment="1">
      <alignment horizontal="center" vertical="center" wrapText="1"/>
    </xf>
    <xf numFmtId="167" fontId="3" fillId="0" borderId="22" xfId="0" applyNumberFormat="1" applyFont="1" applyFill="1" applyBorder="1" applyAlignment="1">
      <alignment horizontal="center" vertical="center" wrapText="1"/>
    </xf>
    <xf numFmtId="2" fontId="3" fillId="0" borderId="22" xfId="0" applyNumberFormat="1" applyFont="1" applyFill="1" applyBorder="1" applyAlignment="1">
      <alignment horizontal="center" vertical="center" wrapText="1"/>
    </xf>
    <xf numFmtId="0" fontId="3" fillId="0" borderId="27" xfId="0" applyFont="1" applyFill="1" applyBorder="1" applyAlignment="1">
      <alignment horizontal="center" vertical="center" wrapText="1"/>
    </xf>
    <xf numFmtId="168" fontId="3" fillId="0" borderId="14" xfId="0" applyNumberFormat="1" applyFont="1" applyFill="1" applyBorder="1" applyAlignment="1">
      <alignment horizontal="center" vertical="center" wrapText="1"/>
    </xf>
    <xf numFmtId="49" fontId="1" fillId="0" borderId="27" xfId="0" applyNumberFormat="1" applyFont="1" applyFill="1" applyBorder="1" applyAlignment="1">
      <alignment horizontal="center" vertical="center" wrapText="1"/>
    </xf>
    <xf numFmtId="17" fontId="17" fillId="0" borderId="22" xfId="0" applyNumberFormat="1" applyFont="1" applyFill="1" applyBorder="1" applyAlignment="1">
      <alignment horizontal="center" vertical="center"/>
    </xf>
    <xf numFmtId="0" fontId="17" fillId="0" borderId="22" xfId="0" applyFont="1" applyFill="1" applyBorder="1" applyAlignment="1">
      <alignment horizontal="center" vertical="center" wrapText="1"/>
    </xf>
    <xf numFmtId="15" fontId="22" fillId="0" borderId="22" xfId="0" applyNumberFormat="1" applyFont="1" applyFill="1" applyBorder="1" applyAlignment="1">
      <alignment wrapText="1"/>
    </xf>
    <xf numFmtId="168" fontId="18" fillId="0" borderId="14" xfId="0" applyNumberFormat="1" applyFont="1" applyFill="1" applyBorder="1" applyAlignment="1">
      <alignment horizontal="center" vertical="center" wrapText="1"/>
    </xf>
    <xf numFmtId="0" fontId="18" fillId="0" borderId="11" xfId="0" applyFont="1" applyFill="1" applyBorder="1" applyAlignment="1">
      <alignment horizontal="center" vertical="center" wrapText="1"/>
    </xf>
    <xf numFmtId="168" fontId="18" fillId="0" borderId="12" xfId="0" applyNumberFormat="1" applyFont="1" applyFill="1" applyBorder="1" applyAlignment="1">
      <alignment horizontal="center" vertical="center" wrapText="1"/>
    </xf>
    <xf numFmtId="168" fontId="3" fillId="0" borderId="16" xfId="0" applyNumberFormat="1" applyFont="1" applyFill="1" applyBorder="1" applyAlignment="1">
      <alignment horizontal="center" vertical="center" wrapText="1"/>
    </xf>
    <xf numFmtId="0" fontId="2" fillId="0" borderId="0" xfId="0" applyFont="1" applyFill="1"/>
    <xf numFmtId="174" fontId="1" fillId="13" borderId="22" xfId="0" applyNumberFormat="1" applyFont="1" applyFill="1" applyBorder="1" applyAlignment="1">
      <alignment horizontal="center" vertical="center" wrapText="1"/>
    </xf>
    <xf numFmtId="171" fontId="1" fillId="13" borderId="22" xfId="0" applyNumberFormat="1" applyFont="1" applyFill="1" applyBorder="1" applyAlignment="1">
      <alignment horizontal="center" vertical="center" wrapText="1"/>
    </xf>
    <xf numFmtId="171" fontId="18" fillId="13" borderId="22" xfId="0" applyNumberFormat="1" applyFont="1" applyFill="1" applyBorder="1" applyAlignment="1">
      <alignment horizontal="center" vertical="center" wrapText="1"/>
    </xf>
    <xf numFmtId="4" fontId="1" fillId="13" borderId="22" xfId="0" applyNumberFormat="1" applyFont="1" applyFill="1" applyBorder="1" applyAlignment="1">
      <alignment horizontal="center" vertical="center" wrapText="1"/>
    </xf>
    <xf numFmtId="9" fontId="1" fillId="13" borderId="22" xfId="0" applyNumberFormat="1" applyFont="1" applyFill="1" applyBorder="1" applyAlignment="1">
      <alignment horizontal="center" vertical="center" wrapText="1"/>
    </xf>
    <xf numFmtId="49" fontId="3" fillId="13" borderId="27" xfId="0" applyNumberFormat="1" applyFont="1" applyFill="1" applyBorder="1" applyAlignment="1">
      <alignment horizontal="center" vertical="center" wrapText="1"/>
    </xf>
    <xf numFmtId="0" fontId="0" fillId="13" borderId="5" xfId="0" applyFill="1" applyBorder="1" applyAlignment="1">
      <alignment wrapText="1"/>
    </xf>
    <xf numFmtId="1" fontId="1" fillId="25" borderId="22" xfId="0" applyNumberFormat="1" applyFont="1" applyFill="1" applyBorder="1" applyAlignment="1">
      <alignment horizontal="center" vertical="center" wrapText="1"/>
    </xf>
    <xf numFmtId="0" fontId="1" fillId="25" borderId="22" xfId="0" applyNumberFormat="1" applyFont="1" applyFill="1" applyBorder="1" applyAlignment="1">
      <alignment horizontal="center" vertical="center" wrapText="1"/>
    </xf>
    <xf numFmtId="49" fontId="1" fillId="25" borderId="22" xfId="0" applyNumberFormat="1" applyFont="1" applyFill="1" applyBorder="1" applyAlignment="1">
      <alignment horizontal="center" vertical="center" wrapText="1"/>
    </xf>
    <xf numFmtId="0" fontId="1" fillId="25" borderId="22" xfId="0" applyFont="1" applyFill="1" applyBorder="1" applyAlignment="1">
      <alignment horizontal="center" vertical="center" wrapText="1"/>
    </xf>
    <xf numFmtId="174" fontId="1" fillId="25" borderId="22" xfId="0" applyNumberFormat="1" applyFont="1" applyFill="1" applyBorder="1" applyAlignment="1">
      <alignment horizontal="center" vertical="center" wrapText="1"/>
    </xf>
    <xf numFmtId="171" fontId="1" fillId="25" borderId="22" xfId="0" applyNumberFormat="1" applyFont="1" applyFill="1" applyBorder="1" applyAlignment="1">
      <alignment horizontal="center" vertical="center" wrapText="1"/>
    </xf>
    <xf numFmtId="171" fontId="18" fillId="25" borderId="22" xfId="0" applyNumberFormat="1" applyFont="1" applyFill="1" applyBorder="1" applyAlignment="1">
      <alignment horizontal="center" vertical="center" wrapText="1"/>
    </xf>
    <xf numFmtId="4" fontId="1" fillId="25" borderId="22" xfId="0" applyNumberFormat="1" applyFont="1" applyFill="1" applyBorder="1" applyAlignment="1">
      <alignment horizontal="center" vertical="center" wrapText="1"/>
    </xf>
    <xf numFmtId="9" fontId="1" fillId="25" borderId="22" xfId="0" applyNumberFormat="1" applyFont="1" applyFill="1" applyBorder="1" applyAlignment="1">
      <alignment horizontal="center" vertical="center" wrapText="1"/>
    </xf>
    <xf numFmtId="0" fontId="3" fillId="25" borderId="27" xfId="0" applyNumberFormat="1" applyFont="1" applyFill="1" applyBorder="1" applyAlignment="1">
      <alignment horizontal="center" vertical="center" wrapText="1"/>
    </xf>
    <xf numFmtId="0" fontId="0" fillId="25" borderId="34" xfId="0" applyFill="1" applyBorder="1" applyAlignment="1">
      <alignment wrapText="1"/>
    </xf>
    <xf numFmtId="0" fontId="0" fillId="25" borderId="5" xfId="0" applyFill="1" applyBorder="1" applyAlignment="1">
      <alignment wrapText="1"/>
    </xf>
    <xf numFmtId="49" fontId="1" fillId="0" borderId="5" xfId="0" applyNumberFormat="1" applyFont="1" applyBorder="1" applyAlignment="1">
      <alignment horizontal="center"/>
    </xf>
    <xf numFmtId="49" fontId="1" fillId="0" borderId="5" xfId="0" applyNumberFormat="1" applyFont="1" applyBorder="1"/>
    <xf numFmtId="49" fontId="5" fillId="30" borderId="22" xfId="1" applyNumberFormat="1" applyFill="1" applyBorder="1" applyAlignment="1">
      <alignment horizontal="center" vertical="center" wrapText="1"/>
    </xf>
    <xf numFmtId="0" fontId="30" fillId="0" borderId="36" xfId="0" applyFont="1" applyFill="1" applyBorder="1" applyAlignment="1">
      <alignment wrapText="1"/>
    </xf>
    <xf numFmtId="0" fontId="30" fillId="0" borderId="5" xfId="0" applyFont="1" applyFill="1" applyBorder="1" applyAlignment="1">
      <alignment wrapText="1"/>
    </xf>
    <xf numFmtId="49" fontId="5" fillId="12" borderId="40" xfId="1" applyNumberFormat="1" applyBorder="1" applyAlignment="1">
      <alignment horizontal="center" vertical="center" wrapText="1"/>
    </xf>
    <xf numFmtId="0" fontId="0" fillId="0" borderId="39" xfId="0" applyBorder="1"/>
    <xf numFmtId="0" fontId="36" fillId="0" borderId="39" xfId="0" applyFont="1" applyBorder="1"/>
    <xf numFmtId="49" fontId="1" fillId="30" borderId="22" xfId="0" applyNumberFormat="1" applyFont="1" applyFill="1" applyBorder="1" applyAlignment="1">
      <alignment horizontal="center" vertical="center" wrapText="1"/>
    </xf>
    <xf numFmtId="0" fontId="1" fillId="30" borderId="26" xfId="0" applyFont="1" applyFill="1" applyBorder="1" applyAlignment="1">
      <alignment horizontal="center" vertical="center" wrapText="1"/>
    </xf>
    <xf numFmtId="49" fontId="1" fillId="30" borderId="26" xfId="0" applyNumberFormat="1" applyFont="1" applyFill="1" applyBorder="1" applyAlignment="1">
      <alignment horizontal="center" vertical="center" wrapText="1"/>
    </xf>
    <xf numFmtId="171" fontId="1" fillId="30" borderId="26" xfId="0" applyNumberFormat="1" applyFont="1" applyFill="1" applyBorder="1" applyAlignment="1">
      <alignment horizontal="center" vertical="center" wrapText="1"/>
    </xf>
    <xf numFmtId="174" fontId="1" fillId="30" borderId="26" xfId="0" applyNumberFormat="1" applyFont="1" applyFill="1" applyBorder="1" applyAlignment="1">
      <alignment horizontal="center" vertical="center" wrapText="1"/>
    </xf>
    <xf numFmtId="171" fontId="1" fillId="30" borderId="22" xfId="0" applyNumberFormat="1" applyFont="1" applyFill="1" applyBorder="1" applyAlignment="1">
      <alignment horizontal="center" vertical="center" wrapText="1"/>
    </xf>
    <xf numFmtId="171" fontId="18" fillId="30" borderId="22" xfId="0" applyNumberFormat="1" applyFont="1" applyFill="1" applyBorder="1" applyAlignment="1">
      <alignment horizontal="center" vertical="center" wrapText="1"/>
    </xf>
    <xf numFmtId="174" fontId="1" fillId="30" borderId="22" xfId="0" applyNumberFormat="1" applyFont="1" applyFill="1" applyBorder="1" applyAlignment="1">
      <alignment horizontal="center" vertical="center" wrapText="1"/>
    </xf>
    <xf numFmtId="0" fontId="1" fillId="30" borderId="22" xfId="0" applyNumberFormat="1" applyFont="1" applyFill="1" applyBorder="1" applyAlignment="1">
      <alignment horizontal="center" vertical="center" wrapText="1"/>
    </xf>
    <xf numFmtId="0" fontId="1" fillId="30" borderId="22" xfId="0" applyFont="1" applyFill="1" applyBorder="1" applyAlignment="1">
      <alignment horizontal="center" vertical="center" wrapText="1"/>
    </xf>
    <xf numFmtId="167" fontId="1" fillId="30" borderId="22" xfId="0" applyNumberFormat="1" applyFont="1" applyFill="1" applyBorder="1" applyAlignment="1">
      <alignment horizontal="center" vertical="center" wrapText="1"/>
    </xf>
    <xf numFmtId="1" fontId="1" fillId="30" borderId="22" xfId="0" applyNumberFormat="1" applyFont="1" applyFill="1" applyBorder="1" applyAlignment="1">
      <alignment horizontal="center" vertical="center" wrapText="1"/>
    </xf>
    <xf numFmtId="171" fontId="14" fillId="13" borderId="22" xfId="0" applyNumberFormat="1" applyFont="1" applyFill="1" applyBorder="1" applyAlignment="1">
      <alignment horizontal="center" vertical="center" wrapText="1"/>
    </xf>
    <xf numFmtId="0" fontId="8" fillId="30" borderId="22" xfId="0" applyFont="1" applyFill="1" applyBorder="1" applyAlignment="1">
      <alignment horizontal="center" vertical="center" wrapText="1"/>
    </xf>
    <xf numFmtId="49" fontId="8" fillId="30" borderId="22" xfId="0" applyNumberFormat="1" applyFont="1" applyFill="1" applyBorder="1" applyAlignment="1">
      <alignment horizontal="center" vertical="center" wrapText="1"/>
    </xf>
    <xf numFmtId="0" fontId="8" fillId="30" borderId="29" xfId="0" applyFont="1" applyFill="1" applyBorder="1" applyAlignment="1">
      <alignment horizontal="center" vertical="center" wrapText="1"/>
    </xf>
    <xf numFmtId="174" fontId="8" fillId="30" borderId="22" xfId="0" applyNumberFormat="1" applyFont="1" applyFill="1" applyBorder="1" applyAlignment="1">
      <alignment horizontal="center" vertical="center" wrapText="1"/>
    </xf>
    <xf numFmtId="171" fontId="8" fillId="30" borderId="22" xfId="0" applyNumberFormat="1" applyFont="1" applyFill="1" applyBorder="1" applyAlignment="1">
      <alignment horizontal="center" vertical="center" wrapText="1"/>
    </xf>
    <xf numFmtId="1" fontId="8" fillId="30" borderId="22" xfId="0" applyNumberFormat="1" applyFont="1" applyFill="1" applyBorder="1" applyAlignment="1">
      <alignment horizontal="center" vertical="center" wrapText="1"/>
    </xf>
    <xf numFmtId="0" fontId="8" fillId="30" borderId="22" xfId="0" applyNumberFormat="1" applyFont="1" applyFill="1" applyBorder="1" applyAlignment="1">
      <alignment horizontal="center" vertical="center" wrapText="1"/>
    </xf>
    <xf numFmtId="0" fontId="27" fillId="30" borderId="0" xfId="0" applyFont="1" applyFill="1" applyAlignment="1">
      <alignment wrapText="1"/>
    </xf>
    <xf numFmtId="1" fontId="8" fillId="13" borderId="22" xfId="0" applyNumberFormat="1" applyFont="1" applyFill="1" applyBorder="1" applyAlignment="1">
      <alignment horizontal="center" vertical="center" wrapText="1"/>
    </xf>
    <xf numFmtId="0" fontId="8" fillId="13" borderId="22" xfId="0" applyNumberFormat="1" applyFont="1" applyFill="1" applyBorder="1" applyAlignment="1">
      <alignment horizontal="center" vertical="center" wrapText="1"/>
    </xf>
    <xf numFmtId="171" fontId="1" fillId="30" borderId="29" xfId="0" applyNumberFormat="1" applyFont="1" applyFill="1" applyBorder="1" applyAlignment="1">
      <alignment horizontal="center" vertical="center" wrapText="1"/>
    </xf>
    <xf numFmtId="0" fontId="8" fillId="30" borderId="29" xfId="0" applyNumberFormat="1" applyFont="1" applyFill="1" applyBorder="1" applyAlignment="1">
      <alignment horizontal="center" vertical="center" wrapText="1"/>
    </xf>
    <xf numFmtId="171" fontId="8" fillId="15" borderId="22" xfId="0" applyNumberFormat="1" applyFont="1" applyFill="1" applyBorder="1" applyAlignment="1">
      <alignment horizontal="center" vertical="center" wrapText="1"/>
    </xf>
    <xf numFmtId="0" fontId="1" fillId="31" borderId="22" xfId="0" applyNumberFormat="1" applyFont="1" applyFill="1" applyBorder="1" applyAlignment="1">
      <alignment horizontal="center" vertical="center" wrapText="1"/>
    </xf>
    <xf numFmtId="49" fontId="1" fillId="31" borderId="22" xfId="0" applyNumberFormat="1" applyFont="1" applyFill="1" applyBorder="1" applyAlignment="1">
      <alignment horizontal="center" vertical="center" wrapText="1"/>
    </xf>
    <xf numFmtId="171" fontId="1" fillId="31" borderId="22" xfId="0" applyNumberFormat="1" applyFont="1" applyFill="1" applyBorder="1" applyAlignment="1">
      <alignment horizontal="center" vertical="center" wrapText="1"/>
    </xf>
    <xf numFmtId="0" fontId="1" fillId="31" borderId="22" xfId="0" applyFont="1" applyFill="1" applyBorder="1" applyAlignment="1">
      <alignment horizontal="center" vertical="center" wrapText="1"/>
    </xf>
    <xf numFmtId="49" fontId="3" fillId="31" borderId="27" xfId="0" applyNumberFormat="1" applyFont="1" applyFill="1" applyBorder="1" applyAlignment="1">
      <alignment horizontal="center" vertical="center" wrapText="1"/>
    </xf>
    <xf numFmtId="0" fontId="0" fillId="31" borderId="5" xfId="0" applyFill="1" applyBorder="1" applyAlignment="1">
      <alignment wrapText="1"/>
    </xf>
    <xf numFmtId="49" fontId="1" fillId="30" borderId="5" xfId="0" applyNumberFormat="1" applyFont="1" applyFill="1" applyBorder="1" applyAlignment="1">
      <alignment horizontal="center" vertical="center" wrapText="1"/>
    </xf>
    <xf numFmtId="4" fontId="1" fillId="30" borderId="22" xfId="0" applyNumberFormat="1" applyFont="1" applyFill="1" applyBorder="1" applyAlignment="1">
      <alignment horizontal="center" vertical="center" wrapText="1"/>
    </xf>
    <xf numFmtId="9" fontId="1" fillId="30" borderId="22" xfId="0" applyNumberFormat="1" applyFont="1" applyFill="1" applyBorder="1" applyAlignment="1">
      <alignment horizontal="center" vertical="center" wrapText="1"/>
    </xf>
    <xf numFmtId="49" fontId="3" fillId="30" borderId="27" xfId="0" applyNumberFormat="1" applyFont="1" applyFill="1" applyBorder="1" applyAlignment="1">
      <alignment horizontal="center" vertical="center" wrapText="1"/>
    </xf>
    <xf numFmtId="0" fontId="17" fillId="30" borderId="5" xfId="0" applyFont="1" applyFill="1" applyBorder="1" applyAlignment="1">
      <alignment wrapText="1"/>
    </xf>
    <xf numFmtId="1" fontId="8" fillId="31" borderId="22" xfId="0" applyNumberFormat="1" applyFont="1" applyFill="1" applyBorder="1" applyAlignment="1">
      <alignment horizontal="center" vertical="center" wrapText="1"/>
    </xf>
    <xf numFmtId="0" fontId="8" fillId="31" borderId="22" xfId="0" applyNumberFormat="1" applyFont="1" applyFill="1" applyBorder="1" applyAlignment="1">
      <alignment horizontal="center" vertical="center" wrapText="1"/>
    </xf>
    <xf numFmtId="0" fontId="8" fillId="31" borderId="22" xfId="0" applyFont="1" applyFill="1" applyBorder="1" applyAlignment="1">
      <alignment horizontal="center" vertical="center" wrapText="1"/>
    </xf>
    <xf numFmtId="0" fontId="8" fillId="31" borderId="29" xfId="0" applyFont="1" applyFill="1" applyBorder="1" applyAlignment="1">
      <alignment horizontal="center" vertical="center" wrapText="1"/>
    </xf>
    <xf numFmtId="174" fontId="8" fillId="31" borderId="22" xfId="0" applyNumberFormat="1" applyFont="1" applyFill="1" applyBorder="1" applyAlignment="1">
      <alignment horizontal="center" vertical="center" wrapText="1"/>
    </xf>
    <xf numFmtId="171" fontId="8" fillId="31" borderId="22" xfId="0" applyNumberFormat="1" applyFont="1" applyFill="1" applyBorder="1" applyAlignment="1">
      <alignment horizontal="center" vertical="center" wrapText="1"/>
    </xf>
    <xf numFmtId="49" fontId="8" fillId="31" borderId="22" xfId="0" applyNumberFormat="1" applyFont="1" applyFill="1" applyBorder="1" applyAlignment="1">
      <alignment horizontal="center" vertical="center" wrapText="1"/>
    </xf>
    <xf numFmtId="4" fontId="8" fillId="31" borderId="22" xfId="0" applyNumberFormat="1" applyFont="1" applyFill="1" applyBorder="1" applyAlignment="1">
      <alignment horizontal="center" vertical="center" wrapText="1"/>
    </xf>
    <xf numFmtId="9" fontId="8" fillId="31" borderId="22" xfId="0" applyNumberFormat="1" applyFont="1" applyFill="1" applyBorder="1" applyAlignment="1">
      <alignment horizontal="center" vertical="center" wrapText="1"/>
    </xf>
    <xf numFmtId="49" fontId="10" fillId="31" borderId="22" xfId="0" applyNumberFormat="1" applyFont="1" applyFill="1" applyBorder="1" applyAlignment="1">
      <alignment horizontal="center" vertical="center" wrapText="1"/>
    </xf>
    <xf numFmtId="0" fontId="8" fillId="31" borderId="22" xfId="0" applyFont="1" applyFill="1" applyBorder="1" applyAlignment="1">
      <alignment wrapText="1"/>
    </xf>
    <xf numFmtId="171" fontId="37" fillId="0" borderId="22" xfId="0" applyNumberFormat="1" applyFont="1" applyFill="1" applyBorder="1" applyAlignment="1">
      <alignment horizontal="center" vertical="center" wrapText="1"/>
    </xf>
    <xf numFmtId="49" fontId="37" fillId="0" borderId="22" xfId="0" applyNumberFormat="1" applyFont="1" applyFill="1" applyBorder="1" applyAlignment="1">
      <alignment horizontal="center" vertical="center" wrapText="1"/>
    </xf>
    <xf numFmtId="49" fontId="38" fillId="13" borderId="22" xfId="1" applyNumberFormat="1" applyFont="1" applyFill="1" applyBorder="1" applyAlignment="1">
      <alignment horizontal="center" vertical="center" wrapText="1"/>
    </xf>
    <xf numFmtId="49" fontId="37" fillId="13" borderId="22" xfId="1" applyNumberFormat="1" applyFont="1" applyFill="1" applyBorder="1" applyAlignment="1">
      <alignment horizontal="center" vertical="center" wrapText="1"/>
    </xf>
    <xf numFmtId="1" fontId="1" fillId="31" borderId="25" xfId="0" applyNumberFormat="1" applyFont="1" applyFill="1" applyBorder="1" applyAlignment="1">
      <alignment horizontal="center" vertical="center" wrapText="1"/>
    </xf>
    <xf numFmtId="174" fontId="1" fillId="31" borderId="22" xfId="0" applyNumberFormat="1" applyFont="1" applyFill="1" applyBorder="1" applyAlignment="1">
      <alignment horizontal="center" vertical="center" wrapText="1"/>
    </xf>
    <xf numFmtId="4" fontId="1" fillId="31" borderId="22" xfId="0" applyNumberFormat="1" applyFont="1" applyFill="1" applyBorder="1" applyAlignment="1">
      <alignment horizontal="center" vertical="center" wrapText="1"/>
    </xf>
    <xf numFmtId="9" fontId="1" fillId="31" borderId="22" xfId="0" applyNumberFormat="1" applyFont="1" applyFill="1" applyBorder="1" applyAlignment="1">
      <alignment horizontal="center" vertical="center" wrapText="1"/>
    </xf>
    <xf numFmtId="1" fontId="1" fillId="31" borderId="22" xfId="0" applyNumberFormat="1" applyFont="1" applyFill="1" applyBorder="1" applyAlignment="1">
      <alignment horizontal="center" vertical="center" wrapText="1"/>
    </xf>
    <xf numFmtId="2" fontId="1" fillId="31" borderId="22" xfId="0" applyNumberFormat="1" applyFont="1" applyFill="1" applyBorder="1" applyAlignment="1">
      <alignment horizontal="center" vertical="center" wrapText="1"/>
    </xf>
    <xf numFmtId="1" fontId="8" fillId="30" borderId="35" xfId="0" applyNumberFormat="1" applyFont="1" applyFill="1" applyBorder="1" applyAlignment="1">
      <alignment horizontal="center" vertical="center" wrapText="1"/>
    </xf>
    <xf numFmtId="49" fontId="8" fillId="30" borderId="29" xfId="0" applyNumberFormat="1" applyFont="1" applyFill="1" applyBorder="1" applyAlignment="1">
      <alignment horizontal="center" vertical="center" wrapText="1"/>
    </xf>
    <xf numFmtId="49" fontId="8" fillId="14" borderId="29" xfId="0" applyNumberFormat="1" applyFont="1" applyFill="1" applyBorder="1" applyAlignment="1">
      <alignment horizontal="center" vertical="center" wrapText="1"/>
    </xf>
    <xf numFmtId="174" fontId="8" fillId="14" borderId="29" xfId="0" applyNumberFormat="1" applyFont="1" applyFill="1" applyBorder="1" applyAlignment="1">
      <alignment horizontal="center" vertical="center" wrapText="1"/>
    </xf>
    <xf numFmtId="4" fontId="8" fillId="14" borderId="29" xfId="0" applyNumberFormat="1" applyFont="1" applyFill="1" applyBorder="1" applyAlignment="1">
      <alignment horizontal="center" vertical="center" wrapText="1"/>
    </xf>
    <xf numFmtId="0" fontId="8" fillId="13" borderId="29" xfId="0" applyFont="1" applyFill="1" applyBorder="1" applyAlignment="1">
      <alignment horizontal="center" vertical="center" wrapText="1"/>
    </xf>
    <xf numFmtId="0" fontId="8" fillId="14" borderId="29" xfId="0" applyFont="1" applyFill="1" applyBorder="1" applyAlignment="1">
      <alignment horizontal="center" vertical="center" wrapText="1"/>
    </xf>
    <xf numFmtId="1" fontId="8" fillId="14" borderId="29" xfId="0" applyNumberFormat="1" applyFont="1" applyFill="1" applyBorder="1" applyAlignment="1">
      <alignment horizontal="center" vertical="center" wrapText="1"/>
    </xf>
    <xf numFmtId="9" fontId="8" fillId="14" borderId="29" xfId="0" applyNumberFormat="1" applyFont="1" applyFill="1" applyBorder="1" applyAlignment="1">
      <alignment horizontal="center" vertical="center" wrapText="1"/>
    </xf>
    <xf numFmtId="49" fontId="10" fillId="14" borderId="33" xfId="0" applyNumberFormat="1" applyFont="1" applyFill="1" applyBorder="1" applyAlignment="1">
      <alignment horizontal="center" vertical="center" wrapText="1"/>
    </xf>
    <xf numFmtId="0" fontId="30" fillId="26" borderId="36" xfId="0" applyFont="1" applyFill="1" applyBorder="1" applyAlignment="1">
      <alignment wrapText="1"/>
    </xf>
    <xf numFmtId="0" fontId="32" fillId="27" borderId="37" xfId="0" applyFont="1" applyFill="1" applyBorder="1" applyAlignment="1">
      <alignment wrapText="1"/>
    </xf>
    <xf numFmtId="0" fontId="33" fillId="26" borderId="0" xfId="0" applyFont="1" applyFill="1" applyAlignment="1">
      <alignment wrapText="1"/>
    </xf>
    <xf numFmtId="0" fontId="33" fillId="26" borderId="0" xfId="0" quotePrefix="1" applyFont="1" applyFill="1" applyAlignment="1">
      <alignment wrapText="1"/>
    </xf>
    <xf numFmtId="0" fontId="33" fillId="28" borderId="0" xfId="0" applyFont="1" applyFill="1" applyAlignment="1">
      <alignment wrapText="1"/>
    </xf>
    <xf numFmtId="0" fontId="33" fillId="28" borderId="0" xfId="0" quotePrefix="1" applyFont="1" applyFill="1" applyAlignment="1">
      <alignment wrapText="1"/>
    </xf>
    <xf numFmtId="0" fontId="33" fillId="29" borderId="30" xfId="0" applyFont="1" applyFill="1" applyBorder="1" applyAlignment="1">
      <alignment wrapText="1"/>
    </xf>
    <xf numFmtId="0" fontId="26" fillId="0" borderId="38" xfId="0" applyFont="1" applyFill="1" applyBorder="1"/>
    <xf numFmtId="0" fontId="33" fillId="0" borderId="0" xfId="0" applyFont="1" applyAlignment="1">
      <alignment wrapText="1"/>
    </xf>
    <xf numFmtId="0" fontId="33" fillId="0" borderId="0" xfId="0" applyFont="1"/>
    <xf numFmtId="0" fontId="2" fillId="0" borderId="0" xfId="0" applyFont="1" applyAlignment="1">
      <alignment horizontal="center" vertical="center"/>
    </xf>
    <xf numFmtId="49" fontId="3" fillId="2" borderId="19" xfId="0" applyNumberFormat="1" applyFont="1" applyFill="1" applyBorder="1" applyAlignment="1">
      <alignment horizontal="center" wrapText="1"/>
    </xf>
    <xf numFmtId="0" fontId="1" fillId="0" borderId="15" xfId="0" applyFont="1" applyBorder="1" applyAlignment="1"/>
    <xf numFmtId="0" fontId="1" fillId="0" borderId="20" xfId="0" applyFont="1" applyBorder="1" applyAlignment="1"/>
    <xf numFmtId="49" fontId="3" fillId="2" borderId="17" xfId="0" applyNumberFormat="1" applyFont="1" applyFill="1" applyBorder="1" applyAlignment="1">
      <alignment horizontal="center" wrapText="1"/>
    </xf>
    <xf numFmtId="0" fontId="1" fillId="0" borderId="18" xfId="0" applyFont="1" applyBorder="1" applyAlignment="1"/>
    <xf numFmtId="0" fontId="1" fillId="0" borderId="16" xfId="0" applyFont="1" applyBorder="1" applyAlignment="1"/>
    <xf numFmtId="0" fontId="5" fillId="12" borderId="17" xfId="1" applyNumberFormat="1" applyBorder="1" applyAlignment="1">
      <alignment horizontal="center"/>
    </xf>
    <xf numFmtId="0" fontId="5" fillId="12" borderId="18" xfId="1" applyNumberFormat="1" applyBorder="1" applyAlignment="1"/>
    <xf numFmtId="0" fontId="5" fillId="12" borderId="16" xfId="1" applyNumberFormat="1" applyBorder="1" applyAlignment="1"/>
    <xf numFmtId="49" fontId="3" fillId="2" borderId="12" xfId="0" applyNumberFormat="1" applyFont="1" applyFill="1" applyBorder="1" applyAlignment="1">
      <alignment horizontal="center" wrapText="1"/>
    </xf>
    <xf numFmtId="0" fontId="1" fillId="0" borderId="13" xfId="0" applyFont="1" applyBorder="1" applyAlignment="1"/>
    <xf numFmtId="0" fontId="1" fillId="0" borderId="14" xfId="0" applyFont="1" applyBorder="1" applyAlignment="1"/>
    <xf numFmtId="0" fontId="3" fillId="2" borderId="12" xfId="0" applyFont="1" applyFill="1" applyBorder="1" applyAlignment="1">
      <alignment horizontal="center" wrapText="1"/>
    </xf>
    <xf numFmtId="0" fontId="3" fillId="2" borderId="17" xfId="0" applyFont="1" applyFill="1" applyBorder="1" applyAlignment="1">
      <alignment horizontal="center" wrapText="1"/>
    </xf>
    <xf numFmtId="49" fontId="3" fillId="2" borderId="18" xfId="0" applyNumberFormat="1" applyFont="1" applyFill="1" applyBorder="1" applyAlignment="1">
      <alignment horizontal="center" wrapText="1"/>
    </xf>
    <xf numFmtId="49" fontId="3" fillId="2" borderId="16" xfId="0" applyNumberFormat="1" applyFont="1" applyFill="1" applyBorder="1" applyAlignment="1">
      <alignment horizontal="center" wrapText="1"/>
    </xf>
    <xf numFmtId="0" fontId="26" fillId="0" borderId="5" xfId="0" applyFont="1" applyFill="1" applyBorder="1" applyAlignment="1"/>
    <xf numFmtId="0" fontId="31" fillId="0" borderId="37" xfId="0" applyFont="1" applyFill="1" applyBorder="1" applyAlignment="1"/>
  </cellXfs>
  <cellStyles count="3">
    <cellStyle name="Énfasis1" xfId="1" builtinId="29"/>
    <cellStyle name="Hyperlink" xfId="2" xr:uid="{00000000-000B-0000-0000-000008000000}"/>
    <cellStyle name="Normal" xfId="0" builtinId="0"/>
  </cellStyles>
  <dxfs count="209">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FFFFFF"/>
      </font>
      <fill>
        <patternFill patternType="solid">
          <bgColor rgb="FF305496"/>
        </patternFill>
      </fill>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indexed="8"/>
        </left>
        <right/>
        <top style="thin">
          <color indexed="8"/>
        </top>
        <bottom style="thin">
          <color indexed="8"/>
        </bottom>
        <vertical/>
        <horizontal/>
      </border>
    </dxf>
    <dxf>
      <font>
        <b val="0"/>
        <i val="0"/>
        <strike val="0"/>
        <condense val="0"/>
        <extend val="0"/>
        <outline val="0"/>
        <shadow val="0"/>
        <u val="none"/>
        <vertAlign val="baseline"/>
        <sz val="11"/>
        <color indexed="12"/>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1"/>
        <color indexed="12"/>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1"/>
        <color indexed="12"/>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1"/>
        <color indexed="12"/>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1"/>
        <color indexed="12"/>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medium">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indexed="8"/>
        </left>
        <right style="medium">
          <color indexed="8"/>
        </right>
        <top style="thin">
          <color indexed="8"/>
        </top>
        <bottom style="thin">
          <color indexed="8"/>
        </bottom>
        <vertical/>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1"/>
        <color indexed="8"/>
        <name val="Calibri"/>
        <scheme val="none"/>
      </font>
      <numFmt numFmtId="1" formatCode="0"/>
      <fill>
        <patternFill patternType="solid">
          <fgColor indexed="64"/>
          <bgColor indexed="13"/>
        </patternFill>
      </fill>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medium">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indexed="8"/>
        </left>
        <right style="medium">
          <color indexed="8"/>
        </right>
        <top style="thin">
          <color indexed="8"/>
        </top>
        <bottom style="thin">
          <color indexed="8"/>
        </bottom>
        <vertical/>
        <horizontal/>
      </border>
    </dxf>
    <dxf>
      <font>
        <b val="0"/>
        <i val="0"/>
        <strike val="0"/>
        <condense val="0"/>
        <extend val="0"/>
        <outline val="0"/>
        <shadow val="0"/>
        <u val="none"/>
        <vertAlign val="baseline"/>
        <sz val="11"/>
        <color indexed="8"/>
        <name val="Calibri"/>
        <scheme val="none"/>
      </font>
      <numFmt numFmtId="1" formatCode="0"/>
      <fill>
        <patternFill patternType="solid">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 formatCode="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444444"/>
        <name val="Calibri"/>
        <family val="2"/>
        <charset val="1"/>
        <scheme val="none"/>
      </font>
      <numFmt numFmtId="30" formatCode="@"/>
      <fill>
        <patternFill patternType="solid">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 formatCode="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solid">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4" formatCode="#,##0.0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4" formatCode="#,##0.0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 formatCode="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8"/>
        </left>
        <right style="thin">
          <color indexed="8"/>
        </right>
        <top style="thin">
          <color indexed="8"/>
        </top>
      </border>
    </dxf>
    <dxf>
      <font>
        <b val="0"/>
        <i val="0"/>
        <strike val="0"/>
        <condense val="0"/>
        <extend val="0"/>
        <outline val="0"/>
        <shadow val="0"/>
        <u val="none"/>
        <vertAlign val="baseline"/>
        <sz val="11"/>
        <color indexed="12"/>
        <name val="Calibri"/>
        <scheme val="none"/>
      </font>
      <fill>
        <patternFill patternType="solid">
          <fgColor indexed="64"/>
          <bgColor indexed="13"/>
        </patternFill>
      </fill>
      <alignment horizontal="center" vertical="center" textRotation="0" wrapText="1" indent="0" justifyLastLine="0" shrinkToFit="0" readingOrder="0"/>
    </dxf>
    <dxf>
      <border outline="0">
        <bottom style="thin">
          <color indexed="8"/>
        </bottom>
      </border>
    </dxf>
    <dxf>
      <numFmt numFmtId="30" formatCode="@"/>
      <alignment horizontal="center" vertical="center" textRotation="0" wrapText="1" indent="0" justifyLastLine="0" shrinkToFit="0" readingOrder="0"/>
      <border diagonalUp="0" diagonalDown="0" outline="0">
        <left style="thin">
          <color indexed="8"/>
        </left>
        <right style="thin">
          <color indexed="8"/>
        </right>
        <top/>
        <bottom/>
      </border>
    </dxf>
    <dxf>
      <font>
        <b val="0"/>
        <i val="0"/>
        <strike val="0"/>
        <condense val="0"/>
        <extend val="0"/>
        <outline val="0"/>
        <shadow val="0"/>
        <u val="none"/>
        <vertAlign val="baseline"/>
        <sz val="12"/>
        <color indexed="12"/>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3" formatCode="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 formatCode="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 formatCode="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 formatCode="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 formatCode="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solid">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4" formatCode="#,##0.0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4" formatCode="#,##0.0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71" formatCode="d/m/yyyy"/>
    </dxf>
    <dxf>
      <numFmt numFmtId="171" formatCode="d/m/yyyy"/>
    </dxf>
    <dxf>
      <font>
        <b val="0"/>
        <i val="0"/>
        <strike val="0"/>
        <condense val="0"/>
        <extend val="0"/>
        <outline val="0"/>
        <shadow val="0"/>
        <u val="none"/>
        <vertAlign val="baseline"/>
        <sz val="12"/>
        <color indexed="8"/>
        <name val="Calibri"/>
        <scheme val="none"/>
      </font>
      <numFmt numFmtId="171" formatCode="d/m/yy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family val="2"/>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dxf>
    <dxf>
      <font>
        <b val="0"/>
        <i val="0"/>
        <strike val="0"/>
        <condense val="0"/>
        <extend val="0"/>
        <outline val="0"/>
        <shadow val="0"/>
        <u val="none"/>
        <vertAlign val="baseline"/>
        <sz val="12"/>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 formatCode="0"/>
      <fill>
        <patternFill patternType="solid">
          <fgColor indexed="64"/>
          <bgColor indexed="13"/>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outline="0">
        <top style="thin">
          <color indexed="8"/>
        </top>
      </border>
    </dxf>
    <dxf>
      <border outline="0">
        <left style="thin">
          <color indexed="8"/>
        </left>
        <right style="thin">
          <color indexed="8"/>
        </right>
        <top style="thin">
          <color indexed="8"/>
        </top>
        <bottom style="thin">
          <color indexed="8"/>
        </bottom>
      </border>
    </dxf>
    <dxf>
      <numFmt numFmtId="30" formatCode="@"/>
      <alignment wrapText="1"/>
    </dxf>
    <dxf>
      <border outline="0">
        <bottom style="thin">
          <color indexed="8"/>
        </bottom>
      </border>
    </dxf>
    <dxf>
      <font>
        <b val="0"/>
        <i val="0"/>
        <strike val="0"/>
        <condense val="0"/>
        <extend val="0"/>
        <outline val="0"/>
        <shadow val="0"/>
        <u val="none"/>
        <vertAlign val="baseline"/>
        <sz val="12"/>
        <color theme="0"/>
        <name val="Calibri"/>
        <scheme val="none"/>
      </font>
      <numFmt numFmtId="30" formatCode="@"/>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alignment wrapText="1"/>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2" formatCode="0.0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indexed="8"/>
        <name val="Calibri"/>
        <scheme val="none"/>
      </font>
      <numFmt numFmtId="2" formatCode="0.0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indexed="8"/>
        <name val="Calibri"/>
        <scheme val="none"/>
      </font>
      <numFmt numFmtId="1" formatCode="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 formatCode="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 formatCode="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 formatCode="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 formatCode="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3" formatCode="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3" formatCode="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1" formatCode="d/m/yy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1" formatCode="d/m/yy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rgb="FFFFFF00"/>
        </patternFill>
      </fill>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4" formatCode="#,##0.0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4" formatCode="#,##0.0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family val="2"/>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1" formatCode="d/m/yy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indexed="8"/>
        <name val="Calibri"/>
        <scheme val="none"/>
      </font>
      <numFmt numFmtId="171" formatCode="d/m/yy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indexed="8"/>
        <name val="Calibri"/>
        <family val="2"/>
        <scheme val="none"/>
      </font>
      <numFmt numFmtId="171" formatCode="d/m/yy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indexed="8"/>
        <name val="Calibri"/>
        <family val="2"/>
        <scheme val="none"/>
      </font>
      <numFmt numFmtId="171" formatCode="d/m/yy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indexed="8"/>
        <name val="Calibri"/>
        <scheme val="none"/>
      </font>
      <numFmt numFmtId="171" formatCode="d/m/yy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family val="2"/>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family val="2"/>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 formatCode="0"/>
      <fill>
        <patternFill patternType="solid">
          <fgColor indexed="64"/>
          <bgColor indexed="13"/>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outline="0">
        <right style="thin">
          <color indexed="8"/>
        </right>
        <top style="thin">
          <color indexed="8"/>
        </top>
        <bottom style="thin">
          <color indexed="8"/>
        </bottom>
      </border>
    </dxf>
    <dxf>
      <numFmt numFmtId="30" formatCode="@"/>
      <alignment wrapText="1"/>
    </dxf>
    <dxf>
      <border outline="0">
        <bottom style="thin">
          <color indexed="8"/>
        </bottom>
      </border>
    </dxf>
    <dxf>
      <numFmt numFmtId="30" formatCode="@"/>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65" formatCode="dd/mm/yy"/>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indexed="8"/>
        <name val="Calibri"/>
        <scheme val="none"/>
      </font>
      <numFmt numFmtId="0" formatCode="Genera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8"/>
        </top>
      </border>
    </dxf>
    <dxf>
      <border outline="0">
        <left style="thin">
          <color indexed="8"/>
        </left>
        <top style="thin">
          <color indexed="8"/>
        </top>
        <bottom style="thin">
          <color indexed="8"/>
        </bottom>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dxf>
    <dxf>
      <border outline="0">
        <bottom style="thin">
          <color indexed="8"/>
        </bottom>
      </border>
    </dxf>
    <dxf>
      <font>
        <b val="0"/>
        <i val="0"/>
        <strike val="0"/>
        <condense val="0"/>
        <extend val="0"/>
        <outline val="0"/>
        <shadow val="0"/>
        <u val="none"/>
        <vertAlign val="baseline"/>
        <sz val="11"/>
        <color indexed="14"/>
        <name val="Calibri"/>
        <scheme val="none"/>
      </font>
      <numFmt numFmtId="30" formatCode="@"/>
      <fill>
        <patternFill patternType="solid">
          <fgColor indexed="64"/>
          <bgColor indexed="15"/>
        </patternFill>
      </fill>
      <alignment horizontal="center" vertical="center" textRotation="0" wrapText="1" indent="0" justifyLastLine="0" shrinkToFit="0" readingOrder="0"/>
      <border diagonalUp="0" diagonalDown="0" outline="0">
        <left style="thin">
          <color indexed="8"/>
        </left>
        <right style="thin">
          <color indexed="8"/>
        </right>
        <top/>
        <bottom/>
      </border>
    </dxf>
  </dxfs>
  <tableStyles count="0"/>
  <colors>
    <indexedColors>
      <rgbColor rgb="FF000000"/>
      <rgbColor rgb="FFFFFFFF"/>
      <rgbColor rgb="FFFF0000"/>
      <rgbColor rgb="FF00FF00"/>
      <rgbColor rgb="FF0000FF"/>
      <rgbColor rgb="FFFFFF00"/>
      <rgbColor rgb="FFFF00FF"/>
      <rgbColor rgb="FF00FFFF"/>
      <rgbColor rgb="FF000000"/>
      <rgbColor rgb="FFF5FCFF"/>
      <rgbColor rgb="FF548135"/>
      <rgbColor rgb="FFAAAAAA"/>
      <rgbColor rgb="FF005975"/>
      <rgbColor rgb="FFFFFFFF"/>
      <rgbColor rgb="FFD8D8D8"/>
      <rgbColor rgb="FF1F3864"/>
      <rgbColor rgb="FFDDDDFF"/>
      <rgbColor rgb="FFFFC000"/>
      <rgbColor rgb="FFD9E2F3"/>
      <rgbColor rgb="FFDEEAF6"/>
      <rgbColor rgb="FF00FFFF"/>
      <rgbColor rgb="FFC9DAF8"/>
      <rgbColor rgb="FFC5E0B3"/>
      <rgbColor rgb="FFFF0000"/>
      <rgbColor rgb="FF0078B8"/>
      <rgbColor rgb="FFF4B083"/>
      <rgbColor rgb="FF42BDFF"/>
      <rgbColor rgb="FFFFD965"/>
      <rgbColor rgb="FF548235"/>
      <rgbColor rgb="FF0000FF"/>
      <rgbColor rgb="FFA4C2F4"/>
      <rgbColor rgb="FF999999"/>
      <rgbColor rgb="FFEEEEFF"/>
      <rgbColor rgb="FF7F7F7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DFABB"/>
      <color rgb="FFEBDCF2"/>
      <color rgb="FFD298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Maestria en Ciencias de la Informacion y las Comunicaciones" id="{65C6CEAE-CABD-4B5B-AF5F-3C2896182AD3}" userId="S::mcic@udistrital.edu.co::a948891c-ec10-43e9-ae99-744f5d6ee7b0" providerId="AD"/>
  <person displayName="Usuario invitado" id="{38E1011E-87D7-4ED8-8780-4476AB31B69F}" userId="S::urn:spo:anon#4ef241d5f746b94627159fbf5f4a94f49aab1cf957454d0ea25d1882de1f46e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6CAB85-D5D1-4853-BF43-57B1D829C927}" name="Tabla1" displayName="Tabla1" ref="A1:N1229" totalsRowShown="0" headerRowDxfId="208" dataDxfId="206" headerRowBorderDxfId="207" tableBorderDxfId="205" totalsRowBorderDxfId="204">
  <autoFilter ref="A1:N1229" xr:uid="{B1946F21-4DBB-4821-8AC8-6CDB6CADBA86}"/>
  <tableColumns count="14">
    <tableColumn id="1" xr3:uid="{E455EF08-B0DD-43CC-AAD9-E7C376F026BC}" name="CODIGO" dataDxfId="203"/>
    <tableColumn id="2" xr3:uid="{932E6E3B-916E-4AC4-9431-7A83A616DF4F}" name="NOMBRE ESTUDIANTE" dataDxfId="202">
      <calculatedColumnFormula>VLOOKUP(A2,'ESTADOS ESTUDIANTES'!B:L,2,0)</calculatedColumnFormula>
    </tableColumn>
    <tableColumn id="3" xr3:uid="{7F2623CE-1DB0-4CE4-A915-9AD07BD28AC6}" name="COD. _x000a_PROYECTO" dataDxfId="201">
      <calculatedColumnFormula>VLOOKUP(A2,'ESTADOS ESTUDIANTES'!B:L,3,0)</calculatedColumnFormula>
    </tableColumn>
    <tableColumn id="4" xr3:uid="{BCCA621A-B59E-4AD0-AA23-9737493B24B1}" name="PROYECTO CURRICULAR" dataDxfId="200">
      <calculatedColumnFormula>VLOOKUP(A2,'ESTADOS ESTUDIANTES'!B:L,4,0)</calculatedColumnFormula>
    </tableColumn>
    <tableColumn id="5" xr3:uid="{0B5F7920-B51B-4447-84D9-C887A7AF33B3}" name="ESTADO" dataDxfId="199">
      <calculatedColumnFormula>VLOOKUP(A2,'ESTADOS ESTUDIANTES'!B:L,5,0)</calculatedColumnFormula>
    </tableColumn>
    <tableColumn id="6" xr3:uid="{037CA7E0-0B5C-40B7-A3CF-E937F3E48F4B}" name="ESTADOS" dataDxfId="198"/>
    <tableColumn id="7" xr3:uid="{1A5C5E95-C7A7-4BE1-B325-D3AA505BFA05}" name="ESTRATO" dataDxfId="197">
      <calculatedColumnFormula>VLOOKUP(A2,'ESTADOS ESTUDIANTES'!B:L,7,0)</calculatedColumnFormula>
    </tableColumn>
    <tableColumn id="8" xr3:uid="{B221D34C-E2E5-4032-91BB-D0746D681D64}" name="CORREO INSTITUCIONAL" dataDxfId="196">
      <calculatedColumnFormula>VLOOKUP(A2,'ESTADOS ESTUDIANTES'!B:L,8,0)</calculatedColumnFormula>
    </tableColumn>
    <tableColumn id="9" xr3:uid="{2E0EB8E1-E64F-4C29-8238-46F804FBAE44}" name="CORREO PERSONAL" dataDxfId="195">
      <calculatedColumnFormula>VLOOKUP(A2,'ESTADOS ESTUDIANTES'!B:L,9,0)</calculatedColumnFormula>
    </tableColumn>
    <tableColumn id="10" xr3:uid="{C0C1FC46-8806-4273-A345-5CF9DED9F02E}" name="ID" dataDxfId="194">
      <calculatedColumnFormula>VLOOKUP(A2,'ESTADOS ESTUDIANTES'!B:L,10,0)</calculatedColumnFormula>
    </tableColumn>
    <tableColumn id="11" xr3:uid="{974D2D98-9459-4D67-9825-72EDF4BED521}" name="DOCUMENTO" dataDxfId="193">
      <calculatedColumnFormula>VLOOKUP(A2,'ESTADOS ESTUDIANTES'!B:L,11,0)</calculatedColumnFormula>
    </tableColumn>
    <tableColumn id="12" xr3:uid="{D3E3C8EF-5511-4139-8859-5B1804088909}" name="CELULAR" dataDxfId="192"/>
    <tableColumn id="13" xr3:uid="{C5712A74-4F45-4FD7-A613-0818FBDDC91A}" name="FECHA NAC" dataDxfId="191"/>
    <tableColumn id="15" xr3:uid="{41BFA5A5-A64E-42C1-9C5D-21E84373766E}" name="GRUPO DE INVESTIGACION" dataDxfId="19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B52824-D095-41BA-8695-45E64F11EFAC}" name="Tabla4" displayName="Tabla4" ref="A1:BG231" totalsRowShown="0" headerRowDxfId="189" dataDxfId="187" headerRowBorderDxfId="188" tableBorderDxfId="186">
  <autoFilter ref="A1:BG231" xr:uid="{E00019B7-C23D-4151-B55F-B03C950EDD38}">
    <filterColumn colId="0">
      <filters>
        <filter val="20211495001"/>
      </filters>
    </filterColumn>
  </autoFilter>
  <tableColumns count="59">
    <tableColumn id="1" xr3:uid="{43B9253B-7E16-4559-B9BA-816B8FEF4D78}" name="CODIGO" dataDxfId="185"/>
    <tableColumn id="2" xr3:uid="{D2D467FB-B0C8-4BA8-B578-0E8D01569F3A}" name="NOMBRE" dataDxfId="184"/>
    <tableColumn id="3" xr3:uid="{51338E42-38A7-49B5-808C-3D204882CED1}" name="CEDULA" dataDxfId="183">
      <calculatedColumnFormula>VLOOKUP(A2,'ESTADOS ESTUDIANTES'!B:L,11,0)</calculatedColumnFormula>
    </tableColumn>
    <tableColumn id="4" xr3:uid="{06A9BD0F-713C-4CDA-8997-7E4A867497F9}" name="ENFASIS" dataDxfId="182">
      <calculatedColumnFormula>VLOOKUP(A2,'Datos Personales'!$A:$M,3,FALSE)</calculatedColumnFormula>
    </tableColumn>
    <tableColumn id="58" xr3:uid="{4506E5BC-1472-42BE-8EC9-9F6C6227BAEB}" name="PROYECTO" dataDxfId="181">
      <calculatedColumnFormula>VLOOKUP(Tabla4[[#This Row],[ENFASIS]],Listas!$R$2:$S$8,2,0)</calculatedColumnFormula>
    </tableColumn>
    <tableColumn id="5" xr3:uid="{49B2DDA0-118F-4097-92E4-1A9B003A8A1E}" name="CORREO INSTITUCIONAL" dataDxfId="180">
      <calculatedColumnFormula>VLOOKUP(A2,'Datos Personales'!A:M,8,0)</calculatedColumnFormula>
    </tableColumn>
    <tableColumn id="6" xr3:uid="{132C8503-2D87-4D64-881F-09C03FDE13F6}" name="CORREO PERSONAL" dataDxfId="179">
      <calculatedColumnFormula>VLOOKUP(A2,'Datos Personales'!A:M,9,0)</calculatedColumnFormula>
    </tableColumn>
    <tableColumn id="7" xr3:uid="{8870653E-F36B-4840-81EE-D9D222901AB7}" name="ESTADO" dataDxfId="178">
      <calculatedColumnFormula>VLOOKUP(A2,'Datos Personales'!A:M,5,FALSE)</calculatedColumnFormula>
    </tableColumn>
    <tableColumn id="55" xr3:uid="{B692EFF8-C24A-4BE2-BF94-9DDE38C12DF5}" name="RECIBO" dataDxfId="177">
      <calculatedColumnFormula>VLOOKUP(Tabla4[[#This Row],[CODIGO]],'ESTADOS ESTUDIANTES'!B:M,12,0)</calculatedColumnFormula>
    </tableColumn>
    <tableColumn id="8" xr3:uid="{3F0BDB57-C5B2-483D-9A8B-8A776BA37D20}" name="MODALIDAD" dataDxfId="176"/>
    <tableColumn id="9" xr3:uid="{D9D515AC-1E96-4D51-8076-EF68D59179E3}" name="TITULO DE PROYECTO" dataDxfId="175"/>
    <tableColumn id="10" xr3:uid="{83FB7B4C-1DD7-4D82-8A7F-D210D5F483B3}" name="DIRECTOR" dataDxfId="174"/>
    <tableColumn id="11" xr3:uid="{2B0B3DE5-57CC-46C9-9ACD-C6C74447CCFF}" name="CO-DIRECTOR" dataDxfId="173"/>
    <tableColumn id="12" xr3:uid="{9FE47F5B-951F-4021-8C63-64321AC6836C}" name="FECHA DE RADICACION ANTEPROYECTO" dataDxfId="172"/>
    <tableColumn id="13" xr3:uid="{9656B369-6AE4-4D75-BF37-41D9DB983BF7}" name="AÑO" dataDxfId="171"/>
    <tableColumn id="14" xr3:uid="{A871916A-1C76-4130-B5E0-BFB34CC9D2C2}" name="GRUPO DE INVESTIGACION " dataDxfId="170"/>
    <tableColumn id="15" xr3:uid="{8A737041-DEDB-40F8-BEF4-1DBE72A9ED64}" name="DIRECTOR G. INVESTIGACION" dataDxfId="169"/>
    <tableColumn id="16" xr3:uid="{881F1A98-8F0A-4774-9ACD-6A6BE55B98BF}" name="FECHA DE ACEPTACION DEL GRUP. INV." dataDxfId="168"/>
    <tableColumn id="56" xr3:uid="{C4D9FD4E-E5BE-403A-993C-1FDB82602A6F}" name="FECHA DE VENCIMIENTO ANTE PROYECTO" dataDxfId="167">
      <calculatedColumnFormula>IF(Tabla4[[#This Row],[FECHA DE ACEPTACION DEL GRUP. INV.]]="","",DATE(YEAR(Tabla4[[#This Row],[FECHA DE ACEPTACION DEL GRUP. INV.]])+2,MONTH(Tabla4[[#This Row],[FECHA DE ACEPTACION DEL GRUP. INV.]]),DAY(Tabla4[[#This Row],[FECHA DE ACEPTACION DEL GRUP. INV.]])))</calculatedColumnFormula>
    </tableColumn>
    <tableColumn id="57" xr3:uid="{AEED1406-61D9-4627-8405-BE79FAA12488}" name="¿PROYECTO VENCIDO?" dataDxfId="166">
      <calculatedColumnFormula>IF(Tabla4[[#This Row],[FECHA DE ACEPTACION DEL GRUP. INV.]]="","",IF(Tabla4[[#This Row],[FECHA DE VENCIMIENTO ANTE PROYECTO]]&lt;TODAY(),"SÍ","NO"))</calculatedColumnFormula>
    </tableColumn>
    <tableColumn id="45" xr3:uid="{F343916E-FC92-452E-8313-1398DF8D5DA5}" name="AMPLIACION" dataDxfId="165"/>
    <tableColumn id="44" xr3:uid="{981D1F0C-02FC-4F9E-BBA9-B265E0C3D372}" name="FECHA MAXIMA RADICACIÓN2" dataDxfId="164"/>
    <tableColumn id="17" xr3:uid="{5E45F301-796D-43CE-8F33-205771C815F7}" name="ACTA ACEPTACION PROPUESTA" dataDxfId="163"/>
    <tableColumn id="60" xr3:uid="{DA293BE3-4C8F-440C-992C-F0CC0C7C4D78}" name="LINEA DE INVESTIGACIÓN" dataDxfId="162"/>
    <tableColumn id="18" xr3:uid="{E36B7157-98A1-4C69-95D7-92FADA14836B}" name="Ex. Ingles Historico" dataDxfId="161"/>
    <tableColumn id="19" xr3:uid="{2C263FB7-3DF8-40D3-A470-E0F97618FA32}" name="Pts. Ingles Historico" dataDxfId="160"/>
    <tableColumn id="20" xr3:uid="{3F1619F9-0479-4CCA-A83F-1A0C8F9777A8}" name="Ex. Ingles Actual" dataDxfId="159"/>
    <tableColumn id="21" xr3:uid="{15C535D2-773D-4797-A260-3C69AD251F16}" name="Pts. Ingles Actual" dataDxfId="158"/>
    <tableColumn id="22" xr3:uid="{A160C4FE-9C14-4D36-959E-E83C0E2B606B}" name="Clasifiacion Ingles" dataDxfId="157"/>
    <tableColumn id="46" xr3:uid="{2BD74311-7934-4537-83C0-08C9EE0C0366}" name="ACTA COMPONENTE 1" dataDxfId="156"/>
    <tableColumn id="47" xr3:uid="{2AC6B469-2CDB-4742-926B-DE15152B5592}" name="FECHA ACTA" dataDxfId="155"/>
    <tableColumn id="51" xr3:uid="{2D1E76FB-6F10-4DD9-BA0F-07A2F72310E6}" name="TITULO COMPONENTE 1" dataDxfId="154"/>
    <tableColumn id="52" xr3:uid="{CFD1E230-60EA-4A70-89CA-69F6681D0497}" name="REVISTA O EVENTO" dataDxfId="153"/>
    <tableColumn id="53" xr3:uid="{3D77358A-1490-4255-ADC5-8AE21262747B}" name="AÑO DE PUBLICACIÓN O EVENTO" dataDxfId="152"/>
    <tableColumn id="54" xr3:uid="{7C4FFE18-2474-4784-A810-E671D758C7A8}" name="Componente 1" dataDxfId="151"/>
    <tableColumn id="43" xr3:uid="{9B2FFB74-B3AC-40E7-953F-E068E71C6504}" name="% COMPONENTE 1" dataDxfId="150"/>
    <tableColumn id="29" xr3:uid="{0F8BEB86-A890-4C1F-BA2B-56EE8C2C0938}" name="NOTA COMPONENTE 1" dataDxfId="149"/>
    <tableColumn id="23" xr3:uid="{3A1BB5E9-5E8A-40D2-914A-E8FC25CF63BC}" name="FECHA DE RADICACION" dataDxfId="148"/>
    <tableColumn id="24" xr3:uid="{B9CC2DAC-2039-446C-B459-8292DD26DF8E}" name="ACTA ASIGNACIÓN JURADOS" dataDxfId="147"/>
    <tableColumn id="25" xr3:uid="{25B50D66-E35B-4F17-9422-42AB69C5B12A}" name="FECHA ASIGNACION JURADOS" dataDxfId="146"/>
    <tableColumn id="26" xr3:uid="{399E0EE7-D31D-43AC-A3B9-EF5D9F438B68}" name="JURADO 1" dataDxfId="145"/>
    <tableColumn id="27" xr3:uid="{612CABEE-A5A1-4BD0-A18D-7CAF87E5B772}" name="FECHA DE RECIBIDO" dataDxfId="144"/>
    <tableColumn id="28" xr3:uid="{CB43D322-D62F-4FB4-87F4-D45886047B3C}" name="FECHA ENTREGADO" dataDxfId="143"/>
    <tableColumn id="30" xr3:uid="{27594897-20E0-42FB-BE8A-9F90925CE7A8}" name="NOTA 1 INFORME" dataDxfId="142"/>
    <tableColumn id="31" xr3:uid="{8A85711B-B877-49EF-B339-312F77FA9626}" name="NOTA 2 SUSTENTACIÓN" dataDxfId="141"/>
    <tableColumn id="32" xr3:uid="{C446DFBD-2824-42BA-8554-94B1299E3B55}" name="CONCEPTO JURADO 1" dataDxfId="140"/>
    <tableColumn id="33" xr3:uid="{3E6981D4-9D39-43EA-88EB-010278DDE074}" name="JURADO 2" dataDxfId="139"/>
    <tableColumn id="34" xr3:uid="{9A8416D3-4387-48A4-A7BB-3EA9750D1636}" name="FECHA DE RECIBIDO2" dataDxfId="138"/>
    <tableColumn id="35" xr3:uid="{2185EF64-6F7A-48BA-AB38-573CA3CFCB47}" name="FECHA ENTREGADO2" dataDxfId="137"/>
    <tableColumn id="37" xr3:uid="{D1A0A130-B884-413F-B207-468183EC337B}" name="NOTA 1 INFORME5" dataDxfId="136"/>
    <tableColumn id="38" xr3:uid="{F7241B0F-465D-448D-B4F7-849051879901}" name="NOTA 2 SUSTENTACIÓN2" dataDxfId="135"/>
    <tableColumn id="39" xr3:uid="{B04BF81C-3B74-49B2-850B-F88CC7BF4759}" name="CONCEPTO JURADO 2" dataDxfId="134"/>
    <tableColumn id="40" xr3:uid="{5BD52059-9F62-453D-912B-58FEF47CA208}" name="FECHA SUSTENTACION" dataDxfId="133"/>
    <tableColumn id="41" xr3:uid="{17551629-D5D6-457C-A474-F33B4B2732C1}" name="NOTA SUSTENTACION" dataDxfId="132"/>
    <tableColumn id="42" xr3:uid="{79E3A7D2-4016-43E8-B51D-9D871574EC83}" name="PORCENTAJE DE COMPONENTE 2" dataDxfId="131">
      <calculatedColumnFormula>(BB2*0.8)/10</calculatedColumnFormula>
    </tableColumn>
    <tableColumn id="36" xr3:uid="{F60F31EB-8B2D-4D40-9512-7AACC8F36E0C}" name="Columna1" dataDxfId="130">
      <calculatedColumnFormula>SUM(BC2,AK2)</calculatedColumnFormula>
    </tableColumn>
    <tableColumn id="48" xr3:uid="{1A0F9C8F-03D6-4A3D-BDC9-DB16D775AD01}" name="ESTUDIANTE VERIFICADO" dataDxfId="129"/>
    <tableColumn id="49" xr3:uid="{00D19475-81AF-448C-A106-C473BA1DD333}" name="PAZ Y SALVO FINANCIERO" dataDxfId="128"/>
    <tableColumn id="50" xr3:uid="{D391BBF7-EE36-458E-A090-527E97E1C361}" name="DIRECTOR2" dataDxfId="127">
      <calculatedColumnFormula>IF(OR(H2="A",$H2="D",$H2="P",$H2="V"),L2,"")</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B78AF72-59AB-4857-B3CA-98D848EC1D5B}" name="Tabla8" displayName="Tabla8" ref="A1:BC142" totalsRowShown="0" headerRowDxfId="126" dataDxfId="124" headerRowBorderDxfId="125" tableBorderDxfId="123" totalsRowBorderDxfId="122">
  <autoFilter ref="A1:BC142" xr:uid="{6B78AF72-59AB-4857-B3CA-98D848EC1D5B}"/>
  <tableColumns count="55">
    <tableColumn id="1" xr3:uid="{1BF131D7-A8A3-465B-85B0-76DF229BCD61}" name="CODIGO" dataDxfId="121"/>
    <tableColumn id="2" xr3:uid="{6F37998B-B95F-4C44-A83D-AA84B9106603}" name="NOMBRE" dataDxfId="120">
      <calculatedColumnFormula>VLOOKUP(A2,'ESTADOS ESTUDIANTES'!B:L,2,0)</calculatedColumnFormula>
    </tableColumn>
    <tableColumn id="3" xr3:uid="{77945A34-BD40-4FE7-BA5E-E238AAAF2CDA}" name="CEDULA" dataDxfId="119">
      <calculatedColumnFormula>VLOOKUP(A2,'ESTADOS ESTUDIANTES'!B:L,11,0)</calculatedColumnFormula>
    </tableColumn>
    <tableColumn id="4" xr3:uid="{A4318674-091A-4ADD-9EC1-E4B5127B91E2}" name="ENFASIS" dataDxfId="118">
      <calculatedColumnFormula>VLOOKUP(A2,'ESTADOS ESTUDIANTES'!B:L,3,0)</calculatedColumnFormula>
    </tableColumn>
    <tableColumn id="52" xr3:uid="{E3146F66-C73B-47F7-8813-367EAEB7EA79}" name="PROYECTO" dataDxfId="117">
      <calculatedColumnFormula>VLOOKUP(Tabla8[[#This Row],[ENFASIS]],Listas!$R$2:$S$8,2,0)</calculatedColumnFormula>
    </tableColumn>
    <tableColumn id="5" xr3:uid="{2F4EC01E-C690-4941-84FE-81A13E0ECA8D}" name="CORREO INSTITUCIONAL" dataDxfId="116">
      <calculatedColumnFormula>VLOOKUP(A2,'ESTADOS ESTUDIANTES'!B:L,8,0)</calculatedColumnFormula>
    </tableColumn>
    <tableColumn id="6" xr3:uid="{A52ED220-6277-43DF-8DA9-68C44D7444C4}" name="CORREO PERSONAL" dataDxfId="115">
      <calculatedColumnFormula>VLOOKUP(A2,'ESTADOS ESTUDIANTES'!B:L,9,0)</calculatedColumnFormula>
    </tableColumn>
    <tableColumn id="7" xr3:uid="{58FB2DF0-F40F-45E4-8292-9E48FB1DE583}" name="ESTADO" dataDxfId="114">
      <calculatedColumnFormula>VLOOKUP(A2,'ESTADOS ESTUDIANTES'!B:L,5,0)</calculatedColumnFormula>
    </tableColumn>
    <tableColumn id="36" xr3:uid="{382DB16F-92F6-45D6-9EBA-4EC495544A2C}" name="Último recibo" dataDxfId="113">
      <calculatedColumnFormula>VLOOKUP(Tabla8[[#This Row],[CODIGO]],'ESTADOS ESTUDIANTES'!B:M,12,0)</calculatedColumnFormula>
    </tableColumn>
    <tableColumn id="8" xr3:uid="{4BD497B9-1803-4763-8585-7029A936AC9F}" name="MODALIDAD" dataDxfId="112"/>
    <tableColumn id="9" xr3:uid="{ACC23F56-462B-4AF1-8EC0-7EC76E5209EF}" name="TITULO DE PROYECTO" dataDxfId="111"/>
    <tableColumn id="10" xr3:uid="{EC237240-3B88-4AD2-B0E4-EF75527D7E37}" name="DIRECTOR" dataDxfId="110"/>
    <tableColumn id="11" xr3:uid="{F046CEEC-5541-4D39-B6DF-18140A6F9FD7}" name="CO-DIRECTOR" dataDxfId="109"/>
    <tableColumn id="12" xr3:uid="{82D58424-4045-4EEC-B3B6-DBA911E7FAD4}" name="FECHA DE RADICACION ANTEPROYECTO" dataDxfId="108"/>
    <tableColumn id="13" xr3:uid="{C07ACFCC-B8D1-4A6D-B562-67C2D5479C70}" name="AÑO" dataDxfId="107"/>
    <tableColumn id="14" xr3:uid="{97793136-E8DE-4903-937C-7E2B0313E759}" name="GRUPO DE INVESTIGACION " dataDxfId="106"/>
    <tableColumn id="15" xr3:uid="{62D23325-553F-4A92-AA67-C45AFEBF8673}" name="DIRECTOR G. INVESTIGACION" dataDxfId="105"/>
    <tableColumn id="16" xr3:uid="{4BDB63EA-689A-439B-B453-E2E85241836A}" name="FECHA DE ACEPTACION DEL GRUP. INV." dataDxfId="104"/>
    <tableColumn id="53" xr3:uid="{A12FDD06-4EE3-4FD1-AD6A-2B51C2E6BEC6}" name="FECHA DE VENCIMIENTO ANTE PROYECTO" dataDxfId="103">
      <calculatedColumnFormula>IF(Tabla8[[#This Row],[FECHA DE ACEPTACION DEL GRUP. INV.]]="","",DATE(YEAR(Tabla8[[#This Row],[FECHA DE ACEPTACION DEL GRUP. INV.]])+2,MONTH(Tabla8[[#This Row],[FECHA DE ACEPTACION DEL GRUP. INV.]]),DAY(Tabla8[[#This Row],[FECHA DE ACEPTACION DEL GRUP. INV.]])))</calculatedColumnFormula>
    </tableColumn>
    <tableColumn id="54" xr3:uid="{501DE247-0F6C-4A76-9B12-E6168A7E79D1}" name="¿PROYECTO VENCIDO?" dataDxfId="102">
      <calculatedColumnFormula>IF(Tabla8[[#This Row],[FECHA DE ACEPTACION DEL GRUP. INV.]]="","",IF(Tabla8[[#This Row],[FECHA DE VENCIMIENTO ANTE PROYECTO]]&lt;TODAY(),"SÍ","NO"))</calculatedColumnFormula>
    </tableColumn>
    <tableColumn id="55" xr3:uid="{63E59632-6B38-48DA-9C08-B55771AE7C3C}" name="Linea de investigación"/>
    <tableColumn id="17" xr3:uid="{EED592E5-2C5F-49A3-A982-09F458AA46D0}" name="ACTA ACEPTACION PROPUESTA" dataDxfId="101"/>
    <tableColumn id="51" xr3:uid="{1422FC3A-4342-4078-827A-899162B67973}" name="FECHA MAXIMA RADICACIÓN"/>
    <tableColumn id="29" xr3:uid="{725E6400-DC01-4540-9B99-BFFB62E81214}" name="AMPLIACIÓN" dataDxfId="100"/>
    <tableColumn id="18" xr3:uid="{9AD9AF9D-18AD-4B4A-8FB4-D4F10BE6A3C6}" name="Ex. Ingles Historico" dataDxfId="99"/>
    <tableColumn id="19" xr3:uid="{BE0ED57D-711F-494A-A5A7-859B6078AEEE}" name="Pts. Ingles Historico" dataDxfId="98"/>
    <tableColumn id="20" xr3:uid="{C80707D4-4558-4436-A354-8466CBD150F0}" name="Ex. Ingles Actual" dataDxfId="97"/>
    <tableColumn id="21" xr3:uid="{F2E030AD-0BFD-408F-856F-3C192C6FACC1}" name="Pts. Ingles Actual" dataDxfId="96"/>
    <tableColumn id="22" xr3:uid="{A3B50C00-D598-4213-9CC3-0C490C207E5C}" name="Clasifiacion Ingles" dataDxfId="95"/>
    <tableColumn id="23" xr3:uid="{19E4906E-7B62-4EEE-8827-500232857015}" name="FECHA DE RADICACION PROYECO FINAL" dataDxfId="94"/>
    <tableColumn id="24" xr3:uid="{8050BC8C-2373-45F7-A921-6CA86BAE60C1}" name="ACTA ASIGNACIÓN JURADOS" dataDxfId="93"/>
    <tableColumn id="25" xr3:uid="{D8454743-0909-4617-92B8-3F8092941F38}" name="FECHA ASIGNACION JURADOS" dataDxfId="92"/>
    <tableColumn id="26" xr3:uid="{8497CDC8-93E3-40DB-8C9F-2E5CEF42719E}" name="JURADO 1" dataDxfId="91"/>
    <tableColumn id="27" xr3:uid="{F37F7F8F-56C5-457F-BEFD-1EEFE56E3CC4}" name="FECHA DE RECIBIDO" dataDxfId="90"/>
    <tableColumn id="28" xr3:uid="{BE42D28E-F748-4D4D-B9C4-EC96DB91B70E}" name="FECHA ENTREGADO" dataDxfId="89"/>
    <tableColumn id="30" xr3:uid="{4C61C4BE-5D7B-487E-B90A-85AEF8CBA675}" name="NOTA 1 INFORME" dataDxfId="88"/>
    <tableColumn id="31" xr3:uid="{0600E91C-C682-4C20-86B1-A9CE6055E8A1}" name="NOTA 2 SUSTENTACIÓN" dataDxfId="87"/>
    <tableColumn id="32" xr3:uid="{D6DA4D72-21F1-4D58-9085-545554603051}" name="CONCEPTO JURADO 1" dataDxfId="86"/>
    <tableColumn id="33" xr3:uid="{AE190352-32EF-46BA-96AF-D455B86283E0}" name="JURADO 2" dataDxfId="85"/>
    <tableColumn id="34" xr3:uid="{8D37CA80-E2D0-4F4B-90E2-0583A12FE4B0}" name="FECHA DE RECIBIDO2" dataDxfId="84"/>
    <tableColumn id="35" xr3:uid="{AD75AE58-57B8-4093-8DFC-C308DB159593}" name="FECHA ENTREGADO3" dataDxfId="83"/>
    <tableColumn id="37" xr3:uid="{C3384074-FCDD-40FC-A285-5DA693FE7D95}" name="NOTA 1 INFORME5" dataDxfId="82"/>
    <tableColumn id="38" xr3:uid="{145110E9-1582-4CDC-AD5A-7D92524E3C03}" name="NOTA 2 SUSTENTACIÓN2" dataDxfId="81"/>
    <tableColumn id="39" xr3:uid="{3E7CD966-9433-4C8E-8402-DEB1257D22AE}" name="CONCEPTO JURADO 2" dataDxfId="80"/>
    <tableColumn id="40" xr3:uid="{5A397BC5-B951-4B07-8592-D8D9B3D92110}" name="FECHA SUSTENTACION" dataDxfId="79"/>
    <tableColumn id="41" xr3:uid="{E0B59D69-ECA6-4FC5-AABE-07FC2284D8AE}" name="NOTA SUSTENTACION" dataDxfId="78">
      <calculatedColumnFormula>IFERROR(ROUND(AVERAGE(AQ2,AP2,AK2,AJ2),0),"")</calculatedColumnFormula>
    </tableColumn>
    <tableColumn id="42" xr3:uid="{091EE340-4250-41EB-84E9-CC8ADA06248E}" name="TITULO ARTICULO  " dataDxfId="77"/>
    <tableColumn id="43" xr3:uid="{EE3CAFED-943A-4397-BFB9-4A54FB3E1E72}" name="REVISTA" dataDxfId="76"/>
    <tableColumn id="44" xr3:uid="{98C39B6F-1C16-4AB4-8DCE-388C6D945514}" name="ENVIADO O PUBLICADO" dataDxfId="75"/>
    <tableColumn id="45" xr3:uid="{5D0C03BD-0877-4166-B8EF-C127997D83C0}" name="CATEGORIA REVISTA" dataDxfId="74"/>
    <tableColumn id="46" xr3:uid="{A8FB9D37-89CF-482B-91C2-65ABB3627D1D}" name="ACTA DE ARTICULO" dataDxfId="73"/>
    <tableColumn id="47" xr3:uid="{E85342CB-2911-44ED-AF58-81D7223FCFFF}" name="FECHA DE ACTA" dataDxfId="72"/>
    <tableColumn id="48" xr3:uid="{93411606-6112-4B3B-B6CB-2352E6F7C1E9}" name="ESTUDIANTE VERIFICADO" dataDxfId="71"/>
    <tableColumn id="49" xr3:uid="{4C4DB303-FF14-4F19-B32D-BFD4C81EA58E}" name="PAZ Y SALVO FINANCIERO" dataDxfId="70"/>
    <tableColumn id="50" xr3:uid="{67D61653-F37A-4393-8D71-7E7EC2844BC8}" name="DIRECTOR2" dataDxfId="69">
      <calculatedColumnFormula>IF(OR(H2="A",$H2="D",$H2="P",$H2="V"),L2,"")</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7C0EEC4-D540-440F-A024-7200BE6BC479}" name="Tabla7" displayName="Tabla7" ref="A1:BI328" totalsRowShown="0" headerRowDxfId="68" dataDxfId="66" headerRowBorderDxfId="67" tableBorderDxfId="65">
  <autoFilter ref="A1:BI328" xr:uid="{97C0EEC4-D540-440F-A024-7200BE6BC479}"/>
  <tableColumns count="61">
    <tableColumn id="1" xr3:uid="{D51D189D-F45D-495A-ADE5-717DED7C939B}" name="CODIGO" dataDxfId="64"/>
    <tableColumn id="2" xr3:uid="{6C9F0BF5-D3FE-476C-A45E-EA123BA1A84F}" name="NOMBRE" dataDxfId="63">
      <calculatedColumnFormula>VLOOKUP(A2,'ESTADOS ESTUDIANTES'!B:L,2,0)</calculatedColumnFormula>
    </tableColumn>
    <tableColumn id="3" xr3:uid="{706090A7-3660-4FFD-B643-4B4F26C3003E}" name="CEDULA" dataDxfId="62">
      <calculatedColumnFormula>VLOOKUP(A2,'ESTADOS ESTUDIANTES'!B:L,11,0)</calculatedColumnFormula>
    </tableColumn>
    <tableColumn id="4" xr3:uid="{8D8DCF4F-2ED0-450D-9324-1F199B8CE83E}" name="ENFASIS" dataDxfId="61"/>
    <tableColumn id="5" xr3:uid="{D25D5B0A-6487-4DF4-8539-F24A58753C5B}" name="CORREO INSTITUCIONAL" dataDxfId="60">
      <calculatedColumnFormula>VLOOKUP(A2,'ESTADOS ESTUDIANTES'!B:L,8,0)</calculatedColumnFormula>
    </tableColumn>
    <tableColumn id="6" xr3:uid="{9D2A473C-F5E3-4F05-B697-400AF2866189}" name="CORREO PERSONAL" dataDxfId="59">
      <calculatedColumnFormula>VLOOKUP(A2,'ESTADOS ESTUDIANTES'!B:L,9,0)</calculatedColumnFormula>
    </tableColumn>
    <tableColumn id="7" xr3:uid="{F14FA214-F614-41AC-97DE-F09522739F7C}" name="ESTADO" dataDxfId="58">
      <calculatedColumnFormula>VLOOKUP(A2,'ESTADOS ESTUDIANTES'!B:L,5,0)</calculatedColumnFormula>
    </tableColumn>
    <tableColumn id="8" xr3:uid="{03CD8989-FFFE-45C1-98A4-FC5EE7BB318C}" name="MODALIDAD" dataDxfId="57"/>
    <tableColumn id="9" xr3:uid="{9B892CE6-563C-4930-A465-665B21F8AB67}" name="TITULO DE PROYECTO" dataDxfId="56"/>
    <tableColumn id="10" xr3:uid="{3FD33A1A-231D-4C17-B99E-C88B69C2A298}" name="DIRECTOR" dataDxfId="55"/>
    <tableColumn id="11" xr3:uid="{8F4BBDD1-7683-4EF6-B57C-6D9C635ED70E}" name="CO-DIRECTOR" dataDxfId="54"/>
    <tableColumn id="12" xr3:uid="{C9949A7A-07EB-4E78-AF56-0C9B48443341}" name="Ex. Ingles Historico" dataDxfId="53"/>
    <tableColumn id="13" xr3:uid="{0B2B8BA7-3A94-40F4-A01D-59B4A8AFA4BF}" name="Pts. Ingles Historico" dataDxfId="52"/>
    <tableColumn id="14" xr3:uid="{D1B537F7-92CB-48D5-AC84-B6DD4CB991B4}" name="Ex. Ingles Actual" dataDxfId="51"/>
    <tableColumn id="15" xr3:uid="{0AFAB8B2-52DC-458F-9620-6B28A46F8691}" name="Pts. Ingles Actual" dataDxfId="50"/>
    <tableColumn id="16" xr3:uid="{26F63DE3-0C35-4640-A709-32BA4E398A2F}" name="Clasifiacion Ingles" dataDxfId="49"/>
    <tableColumn id="18" xr3:uid="{6DF6FAC7-4E26-4DF4-9C12-4844D6658AA0}" name="ACTA ACTUAL" dataDxfId="48"/>
    <tableColumn id="19" xr3:uid="{F21B9340-DE17-4A59-A88E-8326849B47A8}" name="FECHA RAD. ANTEPROY." dataDxfId="47"/>
    <tableColumn id="20" xr3:uid="{4B3CFBF1-6F61-4877-AA85-844E8A1A766B}" name="AÑO" dataDxfId="46"/>
    <tableColumn id="23" xr3:uid="{7063C645-B2A0-435E-AA28-64FCC68E32A4}" name="REVISOR 1 ANTEP. ACTUAL" dataDxfId="45"/>
    <tableColumn id="24" xr3:uid="{4B6C3410-9DF0-4385-92C1-9A9DE7EDCF0B}" name="FECHA RECIBIDO ANTEP. REVISOR 1" dataDxfId="44"/>
    <tableColumn id="25" xr3:uid="{B931BDA6-42BE-441C-BFEF-4B763228126C}" name="FECHA ENT. CONCEP. REVISOR 1" dataDxfId="43"/>
    <tableColumn id="26" xr3:uid="{59502EFB-3F6F-4EE3-A1E1-06824CE34BB2}" name="CORRECIONES REVISOR 1" dataDxfId="42"/>
    <tableColumn id="27" xr3:uid="{4A9DED61-31CD-4561-9867-6B266AA96CA9}" name="CONTEO DE DIAS REVISOR 1" dataDxfId="41">
      <calculatedColumnFormula>IF(U2="",NETWORKDAYS.INTL(Y2,TODAY(),1),0)</calculatedColumnFormula>
    </tableColumn>
    <tableColumn id="29" xr3:uid="{A9E8331F-140D-4015-9805-0764010574B3}" name="CONCEPTO REVISOR 1" dataDxfId="40"/>
    <tableColumn id="32" xr3:uid="{834670D0-E06A-4B76-AA0E-E9A09DE43938}" name="REVISOR 2 ANTEP. ACTUAL" dataDxfId="39"/>
    <tableColumn id="33" xr3:uid="{3557E19F-CD5E-4442-B3E7-63AD2620BA4F}" name="FECHA RECIBIDO ANTEP. REVISOR 2" dataDxfId="38"/>
    <tableColumn id="34" xr3:uid="{B99EA741-080D-46CC-891C-5DA7A7FF73C9}" name="FECHA ENT. CONCEP. REVISOR 2" dataDxfId="37"/>
    <tableColumn id="35" xr3:uid="{B03010D7-34FF-4AE9-916B-E7D6EFE332C3}" name="CORRECIONES REVISOR 2" dataDxfId="36"/>
    <tableColumn id="36" xr3:uid="{BEF40861-5899-47FF-A76D-2858C79717F3}" name="CONTEO DE DIAS REVISOR 2" dataDxfId="35">
      <calculatedColumnFormula>IF(AA2="",NETWORKDAYS.INTL(AE2,TODAY(),1),0)</calculatedColumnFormula>
    </tableColumn>
    <tableColumn id="38" xr3:uid="{D9B6D7D9-E2A2-4D5E-80FB-517E90A14BC3}" name="CONCEPTO REVISOR 2" dataDxfId="34"/>
    <tableColumn id="39" xr3:uid="{BBAEEF56-8621-40CB-95E9-0E4CA4C0A7AD}" name="FECHA RADICACION PROYECTO FINAL" dataDxfId="33"/>
    <tableColumn id="41" xr3:uid="{72C23DDD-AF7A-4BEB-9094-25B68CB7E677}" name="JURADO 1  ACTUAL" dataDxfId="32"/>
    <tableColumn id="42" xr3:uid="{0C8910B1-36FE-46DB-AAC9-B0A857E2C486}" name="FECHA RECIBIDO PROY.  JURADO 1" dataDxfId="31"/>
    <tableColumn id="43" xr3:uid="{42F57C06-669E-4412-953F-8611B240FF57}" name="FECHA ENTREGA PROY.  JURADO 1" dataDxfId="30"/>
    <tableColumn id="44" xr3:uid="{29B8A0C3-901D-4904-A8B3-83BC7821F560}" name="# VECES JURADO 1 (CORRECIONES)" dataDxfId="29"/>
    <tableColumn id="45" xr3:uid="{68F7557C-DF5D-44EE-89C0-39B714E3BC99}" name="CONTEO DIAS JURADO 1" dataDxfId="28"/>
    <tableColumn id="47" xr3:uid="{3C7672A2-1693-46E8-97DE-8EC3A1143D0B}" name="CONCEPTO JURADO 1" dataDxfId="27"/>
    <tableColumn id="48" xr3:uid="{1F85201E-33E9-4BA6-A233-769035696E48}" name="JURADO 2  ACTUAL" dataDxfId="26"/>
    <tableColumn id="49" xr3:uid="{0671A7C3-90A9-4B1E-A05C-6B478412B127}" name="FECHA DE RECIBIDO DE PROYECTO  JURADO2" dataDxfId="25"/>
    <tableColumn id="50" xr3:uid="{B99C9714-4841-4F4E-BD65-A4EEAE95CBCB}" name="FECHA DE ENTREGA DE PROYECTO  JURADO 2" dataDxfId="24"/>
    <tableColumn id="51" xr3:uid="{F8216CC9-77AB-4937-832F-4D98A1C7AFE8}" name="# CORRECIONESJURADO 2" dataDxfId="23"/>
    <tableColumn id="52" xr3:uid="{8D955536-C589-43B6-80AE-37BE9311E527}" name="CONTEO DE DIAS JURADO 2" dataDxfId="22"/>
    <tableColumn id="54" xr3:uid="{A6A076FC-006A-491A-A2F4-8FB06CECA600}" name="CONCEPTO JURADO 2" dataDxfId="21"/>
    <tableColumn id="55" xr3:uid="{319DB0D9-ABE6-49FD-B2BA-0B2D621DABC2}" name="ACTA" dataDxfId="20"/>
    <tableColumn id="56" xr3:uid="{D7B55E76-8AEA-4F4C-A6AA-570BC8EB3D9B}" name="NOTA SUSTENTACION" dataDxfId="19"/>
    <tableColumn id="57" xr3:uid="{CEB9A06E-6ED3-4AA1-B9F7-8829D677890F}" name="CARACTER TESIS" dataDxfId="18"/>
    <tableColumn id="58" xr3:uid="{D69AB1CE-24AB-465F-93F7-847F1DCCD6B4}" name="FECHA ACTA SUSTENTACION" dataDxfId="17"/>
    <tableColumn id="59" xr3:uid="{A613A1BC-31F2-4B62-AA51-7CB857491F3F}" name="FECHA DE GRADO" dataDxfId="16"/>
    <tableColumn id="60" xr3:uid="{394B952E-D03B-4030-92C0-1F0CDF2FEB0E}" name="AÑO DE GRADO" dataDxfId="15"/>
    <tableColumn id="61" xr3:uid="{40A5A560-754A-4623-894E-6325129556E5}" name="ACTA ARTICULO " dataDxfId="14"/>
    <tableColumn id="62" xr3:uid="{08BA95A0-9AAA-4CB8-BD61-4082015DEC35}" name="FECHA" dataDxfId="13"/>
    <tableColumn id="17" xr3:uid="{1288F2E9-AB01-4002-82D8-588E888F403C}" name="Titulo articulo" dataDxfId="12"/>
    <tableColumn id="63" xr3:uid="{785EC355-F978-403F-9F8D-A2FCC7D347E2}" name="TIPO REVISTA" dataDxfId="11"/>
    <tableColumn id="64" xr3:uid="{4F253A8D-2D40-4256-A038-FD8A13EBFBB3}" name="PAZ Y SALVO FINANCIERO" dataDxfId="10"/>
    <tableColumn id="65" xr3:uid="{162215DA-24C6-4F80-B7CF-7AB273FADD5F}" name="DIRECTOR3" dataDxfId="9">
      <calculatedColumnFormula>IF(OR($G2="A",$G2="D",$G2="P",$G2="V"),J2,"")</calculatedColumnFormula>
    </tableColumn>
    <tableColumn id="66" xr3:uid="{443C707E-EA2D-4574-A46F-49DDE0FD7541}" name="REVISOR1" dataDxfId="8">
      <calculatedColumnFormula>IF(OR($G2="A",$G2="D",$G2="P",$G2="V"),T2,"")</calculatedColumnFormula>
    </tableColumn>
    <tableColumn id="67" xr3:uid="{2B7249CC-6AF5-4880-8589-849AACC0700D}" name="REVISOR2" dataDxfId="7">
      <calculatedColumnFormula>IF(OR($G2="A",$G2="D",$G2="P",$G2="V"),Z2,"")</calculatedColumnFormula>
    </tableColumn>
    <tableColumn id="68" xr3:uid="{BF126A17-E4B3-4E82-BAB9-65D417987185}" name="JURADO 1" dataDxfId="6">
      <calculatedColumnFormula>IF(OR($G2="A",$G2="D",$G2="P",$G2="V"),AM2,"")</calculatedColumnFormula>
    </tableColumn>
    <tableColumn id="69" xr3:uid="{857FA6A7-43CA-47B7-995F-FC869082058A}" name="JURADO2" dataDxfId="5">
      <calculatedColumnFormula>IF(OR($G2="A",$G2="D",$G2="P",$G2="V"),AG2,"")</calculatedColumnFormula>
    </tableColumn>
    <tableColumn id="70" xr3:uid="{7BA1FD06-D54A-4AF2-BB39-12312082EDFC}" name="ESTUDIANTE VERIFICADO" dataDxfId="4"/>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0078B8"/>
      </a:accent1>
      <a:accent2>
        <a:srgbClr val="0091DE"/>
      </a:accent2>
      <a:accent3>
        <a:srgbClr val="00A3FA"/>
      </a:accent3>
      <a:accent4>
        <a:srgbClr val="42BDFF"/>
      </a:accent4>
      <a:accent5>
        <a:srgbClr val="6ECCFF"/>
      </a:accent5>
      <a:accent6>
        <a:srgbClr val="8FE1FF"/>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5FC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5975"/>
            </a:solidFill>
            <a:effectLst/>
            <a:uFillTx/>
            <a:latin typeface="Verdana"/>
            <a:ea typeface="Verdana"/>
            <a:cs typeface="Verdana"/>
            <a:sym typeface="Verdan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5975"/>
            </a:solidFill>
            <a:effectLst/>
            <a:uFillTx/>
            <a:latin typeface="Verdana"/>
            <a:ea typeface="Verdana"/>
            <a:cs typeface="Verdana"/>
            <a:sym typeface="Verdan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72" dT="2023-03-16T19:16:36.70" personId="{65C6CEAE-CABD-4B5B-AF5F-3C2896182AD3}" id="{3ED3494B-68E7-4B3E-9C8A-60E9E6A78A9F}">
    <text>Cambia a enfasis en ing. De software acta 1/2022</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3-03-15T14:12:06.52" personId="{38E1011E-87D7-4ED8-8780-4476AB31B69F}" id="{09A7DA52-6AB8-4269-A0C1-12DFE043A8E5}">
    <text>Codirector ?</text>
  </threadedComment>
</ThreadedComments>
</file>

<file path=xl/threadedComments/threadedComment3.xml><?xml version="1.0" encoding="utf-8"?>
<ThreadedComments xmlns="http://schemas.microsoft.com/office/spreadsheetml/2018/threadedcomments" xmlns:x="http://schemas.openxmlformats.org/spreadsheetml/2006/main">
  <threadedComment ref="B121" dT="2023-03-13T20:00:38.34" personId="{38E1011E-87D7-4ED8-8780-4476AB31B69F}" id="{6E694448-02EE-4321-9563-EEC524518D78}">
    <text>Error en los datos registrados, revisar a detalle cada celda.</text>
  </threadedComment>
  <threadedComment ref="B178" dT="2023-03-16T19:34:29.74" personId="{65C6CEAE-CABD-4B5B-AF5F-3C2896182AD3}" id="{E0261C08-167D-43B0-A58A-2163B01FF215}">
    <text>Cambio de acuerdo acta 024-2022</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8" Type="http://schemas.openxmlformats.org/officeDocument/2006/relationships/hyperlink" Target="mailto:eaparicio@udistrital.edu.co" TargetMode="External"/><Relationship Id="rId13" Type="http://schemas.openxmlformats.org/officeDocument/2006/relationships/hyperlink" Target="mailto:rcardenas@udistrital.edu.co" TargetMode="External"/><Relationship Id="rId18" Type="http://schemas.openxmlformats.org/officeDocument/2006/relationships/comments" Target="../comments4.xml"/><Relationship Id="rId3" Type="http://schemas.openxmlformats.org/officeDocument/2006/relationships/hyperlink" Target="mailto:erivas@udistrital.edu.co" TargetMode="External"/><Relationship Id="rId7" Type="http://schemas.openxmlformats.org/officeDocument/2006/relationships/hyperlink" Target="mailto:jbaron@udsitrital.edu.co" TargetMode="External"/><Relationship Id="rId12" Type="http://schemas.openxmlformats.org/officeDocument/2006/relationships/hyperlink" Target="mailto:rapavad@udistrital.edu.co" TargetMode="External"/><Relationship Id="rId17" Type="http://schemas.openxmlformats.org/officeDocument/2006/relationships/vmlDrawing" Target="../drawings/vmlDrawing4.vml"/><Relationship Id="rId2" Type="http://schemas.openxmlformats.org/officeDocument/2006/relationships/hyperlink" Target="mailto:cemontenegrom@udistrital.edu.co" TargetMode="External"/><Relationship Id="rId16" Type="http://schemas.openxmlformats.org/officeDocument/2006/relationships/hyperlink" Target="mailto:sordonez@udsitrital.edu.co" TargetMode="External"/><Relationship Id="rId1" Type="http://schemas.openxmlformats.org/officeDocument/2006/relationships/hyperlink" Target="mailto:anavarrete@udistrital.edu.co" TargetMode="External"/><Relationship Id="rId6" Type="http://schemas.openxmlformats.org/officeDocument/2006/relationships/hyperlink" Target="mailto:jipalaosma@gmail.com" TargetMode="External"/><Relationship Id="rId11" Type="http://schemas.openxmlformats.org/officeDocument/2006/relationships/hyperlink" Target="mailto:odflorez@udistrital.edu.co" TargetMode="External"/><Relationship Id="rId5" Type="http://schemas.openxmlformats.org/officeDocument/2006/relationships/hyperlink" Target="mailto:gtarazona@udistrital.edu.co" TargetMode="External"/><Relationship Id="rId15" Type="http://schemas.openxmlformats.org/officeDocument/2006/relationships/hyperlink" Target="mailto:sbolanos@udistrital.edu.co" TargetMode="External"/><Relationship Id="rId10" Type="http://schemas.openxmlformats.org/officeDocument/2006/relationships/hyperlink" Target="mailto:osalcedo@udistrital.edu.co" TargetMode="External"/><Relationship Id="rId19" Type="http://schemas.microsoft.com/office/2017/10/relationships/threadedComment" Target="../threadedComments/threadedComment2.xml"/><Relationship Id="rId4" Type="http://schemas.openxmlformats.org/officeDocument/2006/relationships/hyperlink" Target="mailto:egomez@udistrital.edu.co" TargetMode="External"/><Relationship Id="rId9" Type="http://schemas.openxmlformats.org/officeDocument/2006/relationships/hyperlink" Target="mailto:neverap@udistrital.edu.co" TargetMode="External"/><Relationship Id="rId14" Type="http://schemas.openxmlformats.org/officeDocument/2006/relationships/hyperlink" Target="mailto:rapavad@udistrital.edu.co"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4.xml"/><Relationship Id="rId1" Type="http://schemas.openxmlformats.org/officeDocument/2006/relationships/vmlDrawing" Target="../drawings/vmlDrawing6.vml"/><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V1236"/>
  <sheetViews>
    <sheetView showGridLines="0" workbookViewId="0">
      <selection activeCell="E5" sqref="E5"/>
    </sheetView>
  </sheetViews>
  <sheetFormatPr baseColWidth="10" defaultColWidth="11.296875" defaultRowHeight="15" customHeight="1"/>
  <cols>
    <col min="1" max="1" width="10.3984375" style="2" bestFit="1" customWidth="1"/>
    <col min="2" max="2" width="20" style="2" customWidth="1"/>
    <col min="3" max="3" width="9" style="2" bestFit="1" customWidth="1"/>
    <col min="4" max="4" width="9.5" style="2" customWidth="1"/>
    <col min="5" max="5" width="7.296875" style="2" bestFit="1" customWidth="1"/>
    <col min="6" max="6" width="15.69921875" style="2" customWidth="1"/>
    <col min="7" max="7" width="9.09765625" style="2" bestFit="1" customWidth="1"/>
    <col min="8" max="8" width="27.296875" style="2" bestFit="1" customWidth="1"/>
    <col min="9" max="9" width="30.5" style="73" bestFit="1" customWidth="1"/>
    <col min="10" max="10" width="3.59765625" style="2" bestFit="1" customWidth="1"/>
    <col min="11" max="11" width="10.8984375" style="2" customWidth="1"/>
    <col min="12" max="12" width="11.19921875" style="2" customWidth="1"/>
    <col min="13" max="13" width="12.59765625" style="2" customWidth="1"/>
    <col min="14" max="14" width="19.19921875" style="6" bestFit="1" customWidth="1"/>
    <col min="15" max="21" width="8.8984375" style="9" customWidth="1"/>
    <col min="22" max="22" width="11.296875" style="6" customWidth="1"/>
    <col min="23" max="16384" width="11.296875" style="2"/>
  </cols>
  <sheetData>
    <row r="1" spans="1:21" ht="30">
      <c r="A1" s="25" t="s">
        <v>0</v>
      </c>
      <c r="B1" s="64" t="s">
        <v>1</v>
      </c>
      <c r="C1" s="64" t="s">
        <v>2</v>
      </c>
      <c r="D1" s="64" t="s">
        <v>3</v>
      </c>
      <c r="E1" s="64" t="s">
        <v>4</v>
      </c>
      <c r="F1" s="26" t="s">
        <v>5</v>
      </c>
      <c r="G1" s="64" t="s">
        <v>6</v>
      </c>
      <c r="H1" s="64" t="s">
        <v>7</v>
      </c>
      <c r="I1" s="64" t="s">
        <v>8</v>
      </c>
      <c r="J1" s="64" t="s">
        <v>9</v>
      </c>
      <c r="K1" s="64" t="s">
        <v>10</v>
      </c>
      <c r="L1" s="26" t="s">
        <v>11</v>
      </c>
      <c r="M1" s="26" t="s">
        <v>12</v>
      </c>
      <c r="N1" s="27" t="s">
        <v>13</v>
      </c>
      <c r="O1" s="14"/>
      <c r="P1" s="14"/>
      <c r="Q1" s="14"/>
      <c r="R1" s="14"/>
      <c r="S1" s="14"/>
      <c r="T1" s="14"/>
      <c r="U1" s="14"/>
    </row>
    <row r="2" spans="1:21" ht="90">
      <c r="A2" s="17">
        <v>9929531</v>
      </c>
      <c r="B2" s="19" t="str">
        <f>VLOOKUP(A2,'ESTADOS ESTUDIANTES'!B:L,2,0)</f>
        <v>PAEZ PISCO SAMUEL</v>
      </c>
      <c r="C2" s="19">
        <f>VLOOKUP(A2,'ESTADOS ESTUDIANTES'!B:L,3,0)</f>
        <v>195</v>
      </c>
      <c r="D2" s="66" t="str">
        <f>VLOOKUP(A2,'ESTADOS ESTUDIANTES'!B:L,4,0)</f>
        <v>MAE. EN CIENCIAS DE LA INF. Y LAS COMUNICACIONES ENFASIS EN TELEINF.</v>
      </c>
      <c r="E2" s="19" t="str">
        <f>VLOOKUP(A2,'ESTADOS ESTUDIANTES'!B:L,5,0)</f>
        <v>X</v>
      </c>
      <c r="F2" s="18" t="str">
        <f>VLOOKUP(E2,Listas!B1:C1004,2,0)</f>
        <v>EXCLUIDO</v>
      </c>
      <c r="G2" s="19">
        <f>VLOOKUP(A2,'ESTADOS ESTUDIANTES'!B:L,7,0)</f>
        <v>3</v>
      </c>
      <c r="H2" s="19" t="str">
        <f>VLOOKUP(A2,'ESTADOS ESTUDIANTES'!B:L,8,0)</f>
        <v>spaezp@correo.udistrital.edu.co</v>
      </c>
      <c r="I2" s="70" t="str">
        <f>VLOOKUP(A2,'ESTADOS ESTUDIANTES'!B:L,9,0)</f>
        <v>samuel.paez@fiscalia.gov.co</v>
      </c>
      <c r="J2" s="19" t="str">
        <f>VLOOKUP(A2,'ESTADOS ESTUDIANTES'!B:L,10,0)</f>
        <v>CC</v>
      </c>
      <c r="K2" s="19">
        <f>VLOOKUP(A2,'ESTADOS ESTUDIANTES'!B:L,11,0)</f>
        <v>79472385</v>
      </c>
      <c r="L2" s="19">
        <v>3174861160</v>
      </c>
      <c r="M2" s="20"/>
      <c r="N2" s="22"/>
      <c r="O2" s="15"/>
      <c r="P2" s="15"/>
      <c r="Q2" s="15"/>
      <c r="R2" s="15"/>
      <c r="S2" s="15"/>
      <c r="T2" s="15"/>
      <c r="U2" s="15"/>
    </row>
    <row r="3" spans="1:21" ht="90">
      <c r="A3" s="17">
        <v>9929539</v>
      </c>
      <c r="B3" s="19" t="str">
        <f>VLOOKUP(A3,'ESTADOS ESTUDIANTES'!B:L,2,0)</f>
        <v>RODRIGUEZ RENGIFO JORGE</v>
      </c>
      <c r="C3" s="19">
        <f>VLOOKUP(A3,'ESTADOS ESTUDIANTES'!B:L,3,0)</f>
        <v>195</v>
      </c>
      <c r="D3" s="66" t="str">
        <f>VLOOKUP(A3,'ESTADOS ESTUDIANTES'!B:L,4,0)</f>
        <v>MAE. EN CIENCIAS DE LA INF. Y LAS COMUNICACIONES ENFASIS EN TELEINF.</v>
      </c>
      <c r="E3" s="19" t="str">
        <f>VLOOKUP(A3,'ESTADOS ESTUDIANTES'!B:L,5,0)</f>
        <v>X</v>
      </c>
      <c r="F3" s="18" t="str">
        <f>VLOOKUP(E3,Listas!B1:C1004,2,0)</f>
        <v>EXCLUIDO</v>
      </c>
      <c r="G3" s="19">
        <f>VLOOKUP(A3,'ESTADOS ESTUDIANTES'!B:L,7,0)</f>
        <v>3</v>
      </c>
      <c r="H3" s="19" t="str">
        <f>VLOOKUP(A3,'ESTADOS ESTUDIANTES'!B:L,8,0)</f>
        <v>jrodriguezr@udistrital.edu.co</v>
      </c>
      <c r="I3" s="70" t="str">
        <f>VLOOKUP(A3,'ESTADOS ESTUDIANTES'!B:L,9,0)</f>
        <v>jorge.rodriguez@engineer.com</v>
      </c>
      <c r="J3" s="19" t="str">
        <f>VLOOKUP(A3,'ESTADOS ESTUDIANTES'!B:L,10,0)</f>
        <v>CC</v>
      </c>
      <c r="K3" s="19">
        <f>VLOOKUP(A3,'ESTADOS ESTUDIANTES'!B:L,11,0)</f>
        <v>7545588</v>
      </c>
      <c r="L3" s="19">
        <v>3012399398</v>
      </c>
      <c r="M3" s="20"/>
      <c r="N3" s="22"/>
      <c r="O3" s="15"/>
      <c r="P3" s="15"/>
      <c r="Q3" s="15"/>
      <c r="R3" s="15"/>
      <c r="S3" s="15"/>
      <c r="T3" s="15"/>
      <c r="U3" s="15"/>
    </row>
    <row r="4" spans="1:21" ht="90">
      <c r="A4" s="17">
        <v>20012095004</v>
      </c>
      <c r="B4" s="19" t="str">
        <f>VLOOKUP(A4,'ESTADOS ESTUDIANTES'!B:L,2,0)</f>
        <v>BECERRA FINO JOSE YASIS</v>
      </c>
      <c r="C4" s="19">
        <f>VLOOKUP(A4,'ESTADOS ESTUDIANTES'!B:L,3,0)</f>
        <v>195</v>
      </c>
      <c r="D4" s="66" t="str">
        <f>VLOOKUP(A4,'ESTADOS ESTUDIANTES'!B:L,4,0)</f>
        <v>MAE. EN CIENCIAS DE LA INF. Y LAS COMUNICACIONES ENFASIS EN TELEINF.</v>
      </c>
      <c r="E4" s="19" t="str">
        <f>VLOOKUP(A4,'ESTADOS ESTUDIANTES'!B:L,5,0)</f>
        <v>X</v>
      </c>
      <c r="F4" s="18" t="str">
        <f>VLOOKUP(E4,Listas!B1:C1004,2,0)</f>
        <v>EXCLUIDO</v>
      </c>
      <c r="G4" s="19">
        <f>VLOOKUP(A4,'ESTADOS ESTUDIANTES'!B:L,7,0)</f>
        <v>3</v>
      </c>
      <c r="H4" s="19" t="str">
        <f>VLOOKUP(A4,'ESTADOS ESTUDIANTES'!B:L,8,0)</f>
        <v>jybecerraf@correo.udistrital.edu.co</v>
      </c>
      <c r="I4" s="70" t="str">
        <f>VLOOKUP(A4,'ESTADOS ESTUDIANTES'!B:L,9,0)</f>
        <v>jybecerra@gmail.com</v>
      </c>
      <c r="J4" s="19" t="str">
        <f>VLOOKUP(A4,'ESTADOS ESTUDIANTES'!B:L,10,0)</f>
        <v>CC</v>
      </c>
      <c r="K4" s="19">
        <f>VLOOKUP(A4,'ESTADOS ESTUDIANTES'!B:L,11,0)</f>
        <v>79483121</v>
      </c>
      <c r="L4" s="19">
        <v>3106981701</v>
      </c>
      <c r="M4" s="20"/>
      <c r="N4" s="22"/>
      <c r="O4" s="15"/>
      <c r="P4" s="15"/>
      <c r="Q4" s="15"/>
      <c r="R4" s="15"/>
      <c r="S4" s="15"/>
      <c r="T4" s="15"/>
      <c r="U4" s="15"/>
    </row>
    <row r="5" spans="1:21" ht="90">
      <c r="A5" s="17">
        <v>20022095016</v>
      </c>
      <c r="B5" s="19" t="str">
        <f>VLOOKUP(A5,'ESTADOS ESTUDIANTES'!B:L,2,0)</f>
        <v>SEGURA ASCENCIO OMAR ENRIQUE</v>
      </c>
      <c r="C5" s="19">
        <f>VLOOKUP(A5,'ESTADOS ESTUDIANTES'!B:L,3,0)</f>
        <v>295</v>
      </c>
      <c r="D5" s="66" t="str">
        <f>VLOOKUP(A5,'ESTADOS ESTUDIANTES'!B:L,4,0)</f>
        <v>MAE. EN CIENCIAS DE LA INF. Y LAS COMUNICACIONES ENFASIS EN SIS. INFOR</v>
      </c>
      <c r="E5" s="19" t="str">
        <f>VLOOKUP(A5,'ESTADOS ESTUDIANTES'!B:L,5,0)</f>
        <v>X</v>
      </c>
      <c r="F5" s="18" t="str">
        <f>VLOOKUP(E5,Listas!B1:C1004,2,0)</f>
        <v>EXCLUIDO</v>
      </c>
      <c r="G5" s="19" t="str">
        <f>VLOOKUP(A5,'ESTADOS ESTUDIANTES'!B:L,7,0)</f>
        <v>NO REGISTRA</v>
      </c>
      <c r="H5" s="19" t="str">
        <f>VLOOKUP(A5,'ESTADOS ESTUDIANTES'!B:L,8,0)</f>
        <v>oeseguraa@correo.udistrital.edu.co</v>
      </c>
      <c r="I5" s="70" t="str">
        <f>VLOOKUP(A5,'ESTADOS ESTUDIANTES'!B:L,9,0)</f>
        <v>omarsegura12@hotmail.com</v>
      </c>
      <c r="J5" s="19" t="str">
        <f>VLOOKUP(A5,'ESTADOS ESTUDIANTES'!B:L,10,0)</f>
        <v>CC</v>
      </c>
      <c r="K5" s="19">
        <f>VLOOKUP(A5,'ESTADOS ESTUDIANTES'!B:L,11,0)</f>
        <v>4979940</v>
      </c>
      <c r="L5" s="23"/>
      <c r="M5" s="20"/>
      <c r="N5" s="22"/>
      <c r="O5" s="15"/>
      <c r="P5" s="15"/>
      <c r="Q5" s="15"/>
      <c r="R5" s="15"/>
      <c r="S5" s="15"/>
      <c r="T5" s="15"/>
      <c r="U5" s="15"/>
    </row>
    <row r="6" spans="1:21" ht="90">
      <c r="A6" s="17">
        <v>20032095001</v>
      </c>
      <c r="B6" s="19" t="str">
        <f>VLOOKUP(A6,'ESTADOS ESTUDIANTES'!B:L,2,0)</f>
        <v>AMAYA CORREDOR YESID</v>
      </c>
      <c r="C6" s="19">
        <f>VLOOKUP(A6,'ESTADOS ESTUDIANTES'!B:L,3,0)</f>
        <v>195</v>
      </c>
      <c r="D6" s="66" t="str">
        <f>VLOOKUP(A6,'ESTADOS ESTUDIANTES'!B:L,4,0)</f>
        <v>MAE. EN CIENCIAS DE LA INF. Y LAS COMUNICACIONES ENFASIS EN TELEINF.</v>
      </c>
      <c r="E6" s="19" t="str">
        <f>VLOOKUP(A6,'ESTADOS ESTUDIANTES'!B:L,5,0)</f>
        <v>Z</v>
      </c>
      <c r="F6" s="18" t="str">
        <f>VLOOKUP(E6,Listas!B1:C1004,2,0)</f>
        <v>NO SUP. PRUEBA ACAD.</v>
      </c>
      <c r="G6" s="19" t="str">
        <f>VLOOKUP(A6,'ESTADOS ESTUDIANTES'!B:L,7,0)</f>
        <v>NO REGISTRA</v>
      </c>
      <c r="H6" s="19">
        <f>VLOOKUP(A6,'ESTADOS ESTUDIANTES'!B:L,8,0)</f>
        <v>0</v>
      </c>
      <c r="I6" s="70">
        <f>VLOOKUP(A6,'ESTADOS ESTUDIANTES'!B:L,9,0)</f>
        <v>0</v>
      </c>
      <c r="J6" s="19" t="str">
        <f>VLOOKUP(A6,'ESTADOS ESTUDIANTES'!B:L,10,0)</f>
        <v>CC</v>
      </c>
      <c r="K6" s="19">
        <f>VLOOKUP(A6,'ESTADOS ESTUDIANTES'!B:L,11,0)</f>
        <v>13928471</v>
      </c>
      <c r="L6" s="23"/>
      <c r="M6" s="20"/>
      <c r="N6" s="22"/>
      <c r="O6" s="15"/>
      <c r="P6" s="15"/>
      <c r="Q6" s="15"/>
      <c r="R6" s="15"/>
      <c r="S6" s="15"/>
      <c r="T6" s="15"/>
      <c r="U6" s="15"/>
    </row>
    <row r="7" spans="1:21" ht="90">
      <c r="A7" s="17">
        <v>20032095004</v>
      </c>
      <c r="B7" s="19" t="str">
        <f>VLOOKUP(A7,'ESTADOS ESTUDIANTES'!B:L,2,0)</f>
        <v>CEDANO GARCIA ROCIO</v>
      </c>
      <c r="C7" s="19">
        <f>VLOOKUP(A7,'ESTADOS ESTUDIANTES'!B:L,3,0)</f>
        <v>195</v>
      </c>
      <c r="D7" s="66" t="str">
        <f>VLOOKUP(A7,'ESTADOS ESTUDIANTES'!B:L,4,0)</f>
        <v>MAE. EN CIENCIAS DE LA INF. Y LAS COMUNICACIONES ENFASIS EN TELEINF.</v>
      </c>
      <c r="E7" s="19" t="str">
        <f>VLOOKUP(A7,'ESTADOS ESTUDIANTES'!B:L,5,0)</f>
        <v>E</v>
      </c>
      <c r="F7" s="18" t="str">
        <f>VLOOKUP(E7,Listas!B1:C1004,2,0)</f>
        <v>EGRESADO</v>
      </c>
      <c r="G7" s="19">
        <f>VLOOKUP(A7,'ESTADOS ESTUDIANTES'!B:L,7,0)</f>
        <v>1</v>
      </c>
      <c r="H7" s="19" t="str">
        <f>VLOOKUP(A7,'ESTADOS ESTUDIANTES'!B:L,8,0)</f>
        <v>rcedanog@correo.udistrital.edu.co</v>
      </c>
      <c r="I7" s="70" t="str">
        <f>VLOOKUP(A7,'ESTADOS ESTUDIANTES'!B:L,9,0)</f>
        <v>rociocedano@yahoo.com</v>
      </c>
      <c r="J7" s="19" t="str">
        <f>VLOOKUP(A7,'ESTADOS ESTUDIANTES'!B:L,10,0)</f>
        <v>CC</v>
      </c>
      <c r="K7" s="19">
        <f>VLOOKUP(A7,'ESTADOS ESTUDIANTES'!B:L,11,0)</f>
        <v>51960945</v>
      </c>
      <c r="L7" s="23"/>
      <c r="M7" s="20"/>
      <c r="N7" s="22"/>
      <c r="O7" s="15"/>
      <c r="P7" s="15"/>
      <c r="Q7" s="15"/>
      <c r="R7" s="15"/>
      <c r="S7" s="15"/>
      <c r="T7" s="15"/>
      <c r="U7" s="15"/>
    </row>
    <row r="8" spans="1:21" ht="90">
      <c r="A8" s="17">
        <v>20032095006</v>
      </c>
      <c r="B8" s="19" t="str">
        <f>VLOOKUP(A8,'ESTADOS ESTUDIANTES'!B:L,2,0)</f>
        <v>FAJARDO ORTEGA OSCAR ALFREDO</v>
      </c>
      <c r="C8" s="19">
        <f>VLOOKUP(A8,'ESTADOS ESTUDIANTES'!B:L,3,0)</f>
        <v>295</v>
      </c>
      <c r="D8" s="66" t="str">
        <f>VLOOKUP(A8,'ESTADOS ESTUDIANTES'!B:L,4,0)</f>
        <v>MAE. EN CIENCIAS DE LA INF. Y LAS COMUNICACIONES ENFASIS EN SIS. INFOR</v>
      </c>
      <c r="E8" s="19" t="str">
        <f>VLOOKUP(A8,'ESTADOS ESTUDIANTES'!B:L,5,0)</f>
        <v>E</v>
      </c>
      <c r="F8" s="18" t="str">
        <f>VLOOKUP(E8,Listas!B1:C1004,2,0)</f>
        <v>EGRESADO</v>
      </c>
      <c r="G8" s="19">
        <f>VLOOKUP(A8,'ESTADOS ESTUDIANTES'!B:L,7,0)</f>
        <v>1</v>
      </c>
      <c r="H8" s="19" t="str">
        <f>VLOOKUP(A8,'ESTADOS ESTUDIANTES'!B:L,8,0)</f>
        <v>oafajardoo@correo.udistrital.edu.co</v>
      </c>
      <c r="I8" s="70" t="str">
        <f>VLOOKUP(A8,'ESTADOS ESTUDIANTES'!B:L,9,0)</f>
        <v>fajardo_oscar@hotmail.com</v>
      </c>
      <c r="J8" s="19" t="str">
        <f>VLOOKUP(A8,'ESTADOS ESTUDIANTES'!B:L,10,0)</f>
        <v>CC</v>
      </c>
      <c r="K8" s="19">
        <f>VLOOKUP(A8,'ESTADOS ESTUDIANTES'!B:L,11,0)</f>
        <v>97470859</v>
      </c>
      <c r="L8" s="23"/>
      <c r="M8" s="20"/>
      <c r="N8" s="22"/>
      <c r="O8" s="15"/>
      <c r="P8" s="15"/>
      <c r="Q8" s="15"/>
      <c r="R8" s="15"/>
      <c r="S8" s="15"/>
      <c r="T8" s="15"/>
      <c r="U8" s="15"/>
    </row>
    <row r="9" spans="1:21" ht="90">
      <c r="A9" s="17">
        <v>20032095007</v>
      </c>
      <c r="B9" s="19" t="str">
        <f>VLOOKUP(A9,'ESTADOS ESTUDIANTES'!B:L,2,0)</f>
        <v>GAMBA AGUIRRE DEISY JUDITH</v>
      </c>
      <c r="C9" s="19">
        <f>VLOOKUP(A9,'ESTADOS ESTUDIANTES'!B:L,3,0)</f>
        <v>195</v>
      </c>
      <c r="D9" s="66" t="str">
        <f>VLOOKUP(A9,'ESTADOS ESTUDIANTES'!B:L,4,0)</f>
        <v>MAE. EN CIENCIAS DE LA INF. Y LAS COMUNICACIONES ENFASIS EN TELEINF.</v>
      </c>
      <c r="E9" s="19" t="str">
        <f>VLOOKUP(A9,'ESTADOS ESTUDIANTES'!B:L,5,0)</f>
        <v>Z</v>
      </c>
      <c r="F9" s="18" t="str">
        <f>VLOOKUP(E9,Listas!B1:C1004,2,0)</f>
        <v>NO SUP. PRUEBA ACAD.</v>
      </c>
      <c r="G9" s="19" t="str">
        <f>VLOOKUP(A9,'ESTADOS ESTUDIANTES'!B:L,7,0)</f>
        <v>NO REGISTRA</v>
      </c>
      <c r="H9" s="19">
        <f>VLOOKUP(A9,'ESTADOS ESTUDIANTES'!B:L,8,0)</f>
        <v>0</v>
      </c>
      <c r="I9" s="70">
        <f>VLOOKUP(A9,'ESTADOS ESTUDIANTES'!B:L,9,0)</f>
        <v>0</v>
      </c>
      <c r="J9" s="19" t="str">
        <f>VLOOKUP(A9,'ESTADOS ESTUDIANTES'!B:L,10,0)</f>
        <v>CC</v>
      </c>
      <c r="K9" s="19">
        <f>VLOOKUP(A9,'ESTADOS ESTUDIANTES'!B:L,11,0)</f>
        <v>52396642</v>
      </c>
      <c r="L9" s="23"/>
      <c r="M9" s="20"/>
      <c r="N9" s="22"/>
      <c r="O9" s="15"/>
      <c r="P9" s="15"/>
      <c r="Q9" s="15"/>
      <c r="R9" s="15"/>
      <c r="S9" s="15"/>
      <c r="T9" s="15"/>
      <c r="U9" s="15"/>
    </row>
    <row r="10" spans="1:21" ht="90">
      <c r="A10" s="17">
        <v>20032095008</v>
      </c>
      <c r="B10" s="19" t="str">
        <f>VLOOKUP(A10,'ESTADOS ESTUDIANTES'!B:L,2,0)</f>
        <v>RENE GEOVANI GONZALEZ CABALLERO</v>
      </c>
      <c r="C10" s="19">
        <f>VLOOKUP(A10,'ESTADOS ESTUDIANTES'!B:L,3,0)</f>
        <v>195</v>
      </c>
      <c r="D10" s="66" t="str">
        <f>VLOOKUP(A10,'ESTADOS ESTUDIANTES'!B:L,4,0)</f>
        <v>MAE. EN CIENCIAS DE LA INF. Y LAS COMUNICACIONES ENFASIS EN TELEINF.</v>
      </c>
      <c r="E10" s="19" t="str">
        <f>VLOOKUP(A10,'ESTADOS ESTUDIANTES'!B:L,5,0)</f>
        <v>E</v>
      </c>
      <c r="F10" s="18" t="str">
        <f>VLOOKUP(E10,Listas!B1:C1004,2,0)</f>
        <v>EGRESADO</v>
      </c>
      <c r="G10" s="19">
        <f>VLOOKUP(A10,'ESTADOS ESTUDIANTES'!B:L,7,0)</f>
        <v>1</v>
      </c>
      <c r="H10" s="19" t="str">
        <f>VLOOKUP(A10,'ESTADOS ESTUDIANTES'!B:L,8,0)</f>
        <v>rggonzalezc@correo.udistrital.edu.co</v>
      </c>
      <c r="I10" s="70" t="str">
        <f>VLOOKUP(A10,'ESTADOS ESTUDIANTES'!B:L,9,0)</f>
        <v>rengoca@hotmail.com</v>
      </c>
      <c r="J10" s="19" t="str">
        <f>VLOOKUP(A10,'ESTADOS ESTUDIANTES'!B:L,10,0)</f>
        <v>CC</v>
      </c>
      <c r="K10" s="19">
        <f>VLOOKUP(A10,'ESTADOS ESTUDIANTES'!B:L,11,0)</f>
        <v>13957351</v>
      </c>
      <c r="L10" s="23"/>
      <c r="M10" s="20"/>
      <c r="N10" s="22"/>
      <c r="O10" s="15"/>
      <c r="P10" s="15"/>
      <c r="Q10" s="15"/>
      <c r="R10" s="15"/>
      <c r="S10" s="15"/>
      <c r="T10" s="15"/>
      <c r="U10" s="15"/>
    </row>
    <row r="11" spans="1:21" ht="90">
      <c r="A11" s="17">
        <v>20032095009</v>
      </c>
      <c r="B11" s="19" t="str">
        <f>VLOOKUP(A11,'ESTADOS ESTUDIANTES'!B:L,2,0)</f>
        <v>LOPEZ HERNANDEZ HERLEDY</v>
      </c>
      <c r="C11" s="19">
        <f>VLOOKUP(A11,'ESTADOS ESTUDIANTES'!B:L,3,0)</f>
        <v>195</v>
      </c>
      <c r="D11" s="66" t="str">
        <f>VLOOKUP(A11,'ESTADOS ESTUDIANTES'!B:L,4,0)</f>
        <v>MAE. EN CIENCIAS DE LA INF. Y LAS COMUNICACIONES ENFASIS EN TELEINF.</v>
      </c>
      <c r="E11" s="19" t="str">
        <f>VLOOKUP(A11,'ESTADOS ESTUDIANTES'!B:L,5,0)</f>
        <v>X</v>
      </c>
      <c r="F11" s="18" t="str">
        <f>VLOOKUP(E11,Listas!B1:C1004,2,0)</f>
        <v>EXCLUIDO</v>
      </c>
      <c r="G11" s="19" t="str">
        <f>VLOOKUP(A11,'ESTADOS ESTUDIANTES'!B:L,7,0)</f>
        <v>NO REGISTRA</v>
      </c>
      <c r="H11" s="19">
        <f>VLOOKUP(A11,'ESTADOS ESTUDIANTES'!B:L,8,0)</f>
        <v>0</v>
      </c>
      <c r="I11" s="70">
        <f>VLOOKUP(A11,'ESTADOS ESTUDIANTES'!B:L,9,0)</f>
        <v>0</v>
      </c>
      <c r="J11" s="19" t="str">
        <f>VLOOKUP(A11,'ESTADOS ESTUDIANTES'!B:L,10,0)</f>
        <v>CC</v>
      </c>
      <c r="K11" s="19">
        <f>VLOOKUP(A11,'ESTADOS ESTUDIANTES'!B:L,11,0)</f>
        <v>79414063</v>
      </c>
      <c r="L11" s="23"/>
      <c r="M11" s="20"/>
      <c r="N11" s="22"/>
      <c r="O11" s="15"/>
      <c r="P11" s="15"/>
      <c r="Q11" s="15"/>
      <c r="R11" s="15"/>
      <c r="S11" s="15"/>
      <c r="T11" s="15"/>
      <c r="U11" s="15"/>
    </row>
    <row r="12" spans="1:21" ht="90">
      <c r="A12" s="17">
        <v>20032095010</v>
      </c>
      <c r="B12" s="19" t="str">
        <f>VLOOKUP(A12,'ESTADOS ESTUDIANTES'!B:L,2,0)</f>
        <v>MEJIA ARIAS GASTON ANTONIO</v>
      </c>
      <c r="C12" s="19">
        <f>VLOOKUP(A12,'ESTADOS ESTUDIANTES'!B:L,3,0)</f>
        <v>295</v>
      </c>
      <c r="D12" s="66" t="str">
        <f>VLOOKUP(A12,'ESTADOS ESTUDIANTES'!B:L,4,0)</f>
        <v>MAE. EN CIENCIAS DE LA INF. Y LAS COMUNICACIONES ENFASIS EN SIS. INFOR</v>
      </c>
      <c r="E12" s="19" t="str">
        <f>VLOOKUP(A12,'ESTADOS ESTUDIANTES'!B:L,5,0)</f>
        <v>E</v>
      </c>
      <c r="F12" s="18" t="str">
        <f>VLOOKUP(E12,Listas!B1:C1004,2,0)</f>
        <v>EGRESADO</v>
      </c>
      <c r="G12" s="19" t="str">
        <f>VLOOKUP(A12,'ESTADOS ESTUDIANTES'!B:L,7,0)</f>
        <v>NO REGISTRA</v>
      </c>
      <c r="H12" s="19" t="str">
        <f>VLOOKUP(A12,'ESTADOS ESTUDIANTES'!B:L,8,0)</f>
        <v>gamejiaa@correo.udistrital.edu.co</v>
      </c>
      <c r="I12" s="70" t="str">
        <f>VLOOKUP(A12,'ESTADOS ESTUDIANTES'!B:L,9,0)</f>
        <v>gaston.mejia@gmail.com</v>
      </c>
      <c r="J12" s="19" t="str">
        <f>VLOOKUP(A12,'ESTADOS ESTUDIANTES'!B:L,10,0)</f>
        <v>CC</v>
      </c>
      <c r="K12" s="19">
        <f>VLOOKUP(A12,'ESTADOS ESTUDIANTES'!B:L,11,0)</f>
        <v>79697729</v>
      </c>
      <c r="L12" s="23"/>
      <c r="M12" s="20"/>
      <c r="N12" s="22"/>
      <c r="O12" s="15"/>
      <c r="P12" s="15"/>
      <c r="Q12" s="15"/>
      <c r="R12" s="15"/>
      <c r="S12" s="15"/>
      <c r="T12" s="15"/>
      <c r="U12" s="15"/>
    </row>
    <row r="13" spans="1:21" ht="90">
      <c r="A13" s="17">
        <v>20032095012</v>
      </c>
      <c r="B13" s="19" t="str">
        <f>VLOOKUP(A13,'ESTADOS ESTUDIANTES'!B:L,2,0)</f>
        <v>PADILLA BAÑOS DOLLY MARCELA</v>
      </c>
      <c r="C13" s="19">
        <f>VLOOKUP(A13,'ESTADOS ESTUDIANTES'!B:L,3,0)</f>
        <v>195</v>
      </c>
      <c r="D13" s="66" t="str">
        <f>VLOOKUP(A13,'ESTADOS ESTUDIANTES'!B:L,4,0)</f>
        <v>MAE. EN CIENCIAS DE LA INF. Y LAS COMUNICACIONES ENFASIS EN TELEINF.</v>
      </c>
      <c r="E13" s="19" t="str">
        <f>VLOOKUP(A13,'ESTADOS ESTUDIANTES'!B:L,5,0)</f>
        <v>E</v>
      </c>
      <c r="F13" s="18" t="str">
        <f>VLOOKUP(E13,Listas!B1:C1004,2,0)</f>
        <v>EGRESADO</v>
      </c>
      <c r="G13" s="19">
        <f>VLOOKUP(A13,'ESTADOS ESTUDIANTES'!B:L,7,0)</f>
        <v>3</v>
      </c>
      <c r="H13" s="19" t="str">
        <f>VLOOKUP(A13,'ESTADOS ESTUDIANTES'!B:L,8,0)</f>
        <v>dmpadillab@correo.udistrital.edu.co</v>
      </c>
      <c r="I13" s="70" t="str">
        <f>VLOOKUP(A13,'ESTADOS ESTUDIANTES'!B:L,9,0)</f>
        <v>dollypadilla@hotmail.com</v>
      </c>
      <c r="J13" s="19" t="str">
        <f>VLOOKUP(A13,'ESTADOS ESTUDIANTES'!B:L,10,0)</f>
        <v>CC</v>
      </c>
      <c r="K13" s="19">
        <f>VLOOKUP(A13,'ESTADOS ESTUDIANTES'!B:L,11,0)</f>
        <v>22546893</v>
      </c>
      <c r="L13" s="23"/>
      <c r="M13" s="20"/>
      <c r="N13" s="22"/>
      <c r="O13" s="15"/>
      <c r="P13" s="15"/>
      <c r="Q13" s="15"/>
      <c r="R13" s="15"/>
      <c r="S13" s="15"/>
      <c r="T13" s="15"/>
      <c r="U13" s="15"/>
    </row>
    <row r="14" spans="1:21" ht="90">
      <c r="A14" s="17">
        <v>20032095013</v>
      </c>
      <c r="B14" s="19" t="str">
        <f>VLOOKUP(A14,'ESTADOS ESTUDIANTES'!B:L,2,0)</f>
        <v>RINCON LEGUIZAMON LIZT MARICELLA</v>
      </c>
      <c r="C14" s="19">
        <f>VLOOKUP(A14,'ESTADOS ESTUDIANTES'!B:L,3,0)</f>
        <v>195</v>
      </c>
      <c r="D14" s="66" t="str">
        <f>VLOOKUP(A14,'ESTADOS ESTUDIANTES'!B:L,4,0)</f>
        <v>MAE. EN CIENCIAS DE LA INF. Y LAS COMUNICACIONES ENFASIS EN TELEINF.</v>
      </c>
      <c r="E14" s="19" t="str">
        <f>VLOOKUP(A14,'ESTADOS ESTUDIANTES'!B:L,5,0)</f>
        <v>Z</v>
      </c>
      <c r="F14" s="18" t="str">
        <f>VLOOKUP(E14,Listas!B1:C1004,2,0)</f>
        <v>NO SUP. PRUEBA ACAD.</v>
      </c>
      <c r="G14" s="19" t="str">
        <f>VLOOKUP(A14,'ESTADOS ESTUDIANTES'!B:L,7,0)</f>
        <v>NO REGISTRA</v>
      </c>
      <c r="H14" s="19" t="str">
        <f>VLOOKUP(A14,'ESTADOS ESTUDIANTES'!B:L,8,0)</f>
        <v>lmrinconl@correo.udistrital.edu.co</v>
      </c>
      <c r="I14" s="70" t="str">
        <f>VLOOKUP(A14,'ESTADOS ESTUDIANTES'!B:L,9,0)</f>
        <v>lmrinconl@estudiante.udistrital.edu.co</v>
      </c>
      <c r="J14" s="19" t="str">
        <f>VLOOKUP(A14,'ESTADOS ESTUDIANTES'!B:L,10,0)</f>
        <v>CC</v>
      </c>
      <c r="K14" s="19">
        <f>VLOOKUP(A14,'ESTADOS ESTUDIANTES'!B:L,11,0)</f>
        <v>40031895</v>
      </c>
      <c r="L14" s="23"/>
      <c r="M14" s="20"/>
      <c r="N14" s="22"/>
      <c r="O14" s="15"/>
      <c r="P14" s="15"/>
      <c r="Q14" s="15"/>
      <c r="R14" s="15"/>
      <c r="S14" s="15"/>
      <c r="T14" s="15"/>
      <c r="U14" s="15"/>
    </row>
    <row r="15" spans="1:21" ht="90">
      <c r="A15" s="17">
        <v>20032095014</v>
      </c>
      <c r="B15" s="19" t="str">
        <f>VLOOKUP(A15,'ESTADOS ESTUDIANTES'!B:L,2,0)</f>
        <v>RINCON BARRERA RAFAEL ANDRES</v>
      </c>
      <c r="C15" s="19">
        <f>VLOOKUP(A15,'ESTADOS ESTUDIANTES'!B:L,3,0)</f>
        <v>195</v>
      </c>
      <c r="D15" s="66" t="str">
        <f>VLOOKUP(A15,'ESTADOS ESTUDIANTES'!B:L,4,0)</f>
        <v>MAE. EN CIENCIAS DE LA INF. Y LAS COMUNICACIONES ENFASIS EN TELEINF.</v>
      </c>
      <c r="E15" s="19" t="str">
        <f>VLOOKUP(A15,'ESTADOS ESTUDIANTES'!B:L,5,0)</f>
        <v>Z</v>
      </c>
      <c r="F15" s="18" t="str">
        <f>VLOOKUP(E15,Listas!B1:C1004,2,0)</f>
        <v>NO SUP. PRUEBA ACAD.</v>
      </c>
      <c r="G15" s="19" t="str">
        <f>VLOOKUP(A15,'ESTADOS ESTUDIANTES'!B:L,7,0)</f>
        <v>NO REGISTRA</v>
      </c>
      <c r="H15" s="19">
        <f>VLOOKUP(A15,'ESTADOS ESTUDIANTES'!B:L,8,0)</f>
        <v>0</v>
      </c>
      <c r="I15" s="70">
        <f>VLOOKUP(A15,'ESTADOS ESTUDIANTES'!B:L,9,0)</f>
        <v>0</v>
      </c>
      <c r="J15" s="19" t="str">
        <f>VLOOKUP(A15,'ESTADOS ESTUDIANTES'!B:L,10,0)</f>
        <v>CC</v>
      </c>
      <c r="K15" s="19">
        <f>VLOOKUP(A15,'ESTADOS ESTUDIANTES'!B:L,11,0)</f>
        <v>79185945</v>
      </c>
      <c r="L15" s="23"/>
      <c r="M15" s="20"/>
      <c r="N15" s="22"/>
      <c r="O15" s="15"/>
      <c r="P15" s="15"/>
      <c r="Q15" s="15"/>
      <c r="R15" s="15"/>
      <c r="S15" s="15"/>
      <c r="T15" s="15"/>
      <c r="U15" s="15"/>
    </row>
    <row r="16" spans="1:21" ht="90">
      <c r="A16" s="17">
        <v>20032095016</v>
      </c>
      <c r="B16" s="19" t="str">
        <f>VLOOKUP(A16,'ESTADOS ESTUDIANTES'!B:L,2,0)</f>
        <v>BARACALDO JULIO CESAR</v>
      </c>
      <c r="C16" s="19">
        <f>VLOOKUP(A16,'ESTADOS ESTUDIANTES'!B:L,3,0)</f>
        <v>295</v>
      </c>
      <c r="D16" s="66" t="str">
        <f>VLOOKUP(A16,'ESTADOS ESTUDIANTES'!B:L,4,0)</f>
        <v>MAE. EN CIENCIAS DE LA INF. Y LAS COMUNICACIONES ENFASIS EN SIS. INFOR</v>
      </c>
      <c r="E16" s="19" t="str">
        <f>VLOOKUP(A16,'ESTADOS ESTUDIANTES'!B:L,5,0)</f>
        <v>X</v>
      </c>
      <c r="F16" s="18" t="str">
        <f>VLOOKUP(E16,Listas!B1:C1004,2,0)</f>
        <v>EXCLUIDO</v>
      </c>
      <c r="G16" s="19" t="str">
        <f>VLOOKUP(A16,'ESTADOS ESTUDIANTES'!B:L,7,0)</f>
        <v>NO REGISTRA</v>
      </c>
      <c r="H16" s="19" t="str">
        <f>VLOOKUP(A16,'ESTADOS ESTUDIANTES'!B:L,8,0)</f>
        <v>jbaracaldo@correo.udistrital.edu.co</v>
      </c>
      <c r="I16" s="70" t="str">
        <f>VLOOKUP(A16,'ESTADOS ESTUDIANTES'!B:L,9,0)</f>
        <v>jcbaracaldo@gmail.com</v>
      </c>
      <c r="J16" s="19" t="str">
        <f>VLOOKUP(A16,'ESTADOS ESTUDIANTES'!B:L,10,0)</f>
        <v>CC</v>
      </c>
      <c r="K16" s="19">
        <f>VLOOKUP(A16,'ESTADOS ESTUDIANTES'!B:L,11,0)</f>
        <v>19359635</v>
      </c>
      <c r="L16" s="23"/>
      <c r="M16" s="20"/>
      <c r="N16" s="22"/>
      <c r="O16" s="15"/>
      <c r="P16" s="15"/>
      <c r="Q16" s="15"/>
      <c r="R16" s="15"/>
      <c r="S16" s="15"/>
      <c r="T16" s="15"/>
      <c r="U16" s="15"/>
    </row>
    <row r="17" spans="1:21" ht="90">
      <c r="A17" s="17">
        <v>20032095017</v>
      </c>
      <c r="B17" s="19" t="str">
        <f>VLOOKUP(A17,'ESTADOS ESTUDIANTES'!B:L,2,0)</f>
        <v>RIVERO PEREZ JUAN CARLOS</v>
      </c>
      <c r="C17" s="19">
        <f>VLOOKUP(A17,'ESTADOS ESTUDIANTES'!B:L,3,0)</f>
        <v>195</v>
      </c>
      <c r="D17" s="66" t="str">
        <f>VLOOKUP(A17,'ESTADOS ESTUDIANTES'!B:L,4,0)</f>
        <v>MAE. EN CIENCIAS DE LA INF. Y LAS COMUNICACIONES ENFASIS EN TELEINF.</v>
      </c>
      <c r="E17" s="19" t="str">
        <f>VLOOKUP(A17,'ESTADOS ESTUDIANTES'!B:L,5,0)</f>
        <v>X</v>
      </c>
      <c r="F17" s="18" t="str">
        <f>VLOOKUP(E17,Listas!B1:C1004,2,0)</f>
        <v>EXCLUIDO</v>
      </c>
      <c r="G17" s="19" t="str">
        <f>VLOOKUP(A17,'ESTADOS ESTUDIANTES'!B:L,7,0)</f>
        <v>NO REGISTRA</v>
      </c>
      <c r="H17" s="19" t="str">
        <f>VLOOKUP(A17,'ESTADOS ESTUDIANTES'!B:L,8,0)</f>
        <v>jucriverop@correo.udistrital.edu.co</v>
      </c>
      <c r="I17" s="70" t="str">
        <f>VLOOKUP(A17,'ESTADOS ESTUDIANTES'!B:L,9,0)</f>
        <v>jucriverop@estudiante.udistrital.edu.co</v>
      </c>
      <c r="J17" s="19" t="str">
        <f>VLOOKUP(A17,'ESTADOS ESTUDIANTES'!B:L,10,0)</f>
        <v>CC</v>
      </c>
      <c r="K17" s="19">
        <f>VLOOKUP(A17,'ESTADOS ESTUDIANTES'!B:L,11,0)</f>
        <v>79425695</v>
      </c>
      <c r="L17" s="23"/>
      <c r="M17" s="20"/>
      <c r="N17" s="22"/>
      <c r="O17" s="15"/>
      <c r="P17" s="15"/>
      <c r="Q17" s="15"/>
      <c r="R17" s="15"/>
      <c r="S17" s="15"/>
      <c r="T17" s="15"/>
      <c r="U17" s="15"/>
    </row>
    <row r="18" spans="1:21" ht="90">
      <c r="A18" s="17">
        <v>20041195001</v>
      </c>
      <c r="B18" s="19" t="str">
        <f>VLOOKUP(A18,'ESTADOS ESTUDIANTES'!B:L,2,0)</f>
        <v>ACERO SOTO DIEGO MAURICIO</v>
      </c>
      <c r="C18" s="19">
        <f>VLOOKUP(A18,'ESTADOS ESTUDIANTES'!B:L,3,0)</f>
        <v>195</v>
      </c>
      <c r="D18" s="66" t="str">
        <f>VLOOKUP(A18,'ESTADOS ESTUDIANTES'!B:L,4,0)</f>
        <v>MAE. EN CIENCIAS DE LA INF. Y LAS COMUNICACIONES ENFASIS EN TELEINF.</v>
      </c>
      <c r="E18" s="19" t="str">
        <f>VLOOKUP(A18,'ESTADOS ESTUDIANTES'!B:L,5,0)</f>
        <v>X</v>
      </c>
      <c r="F18" s="18" t="str">
        <f>VLOOKUP(E18,Listas!B1:C1004,2,0)</f>
        <v>EXCLUIDO</v>
      </c>
      <c r="G18" s="19" t="str">
        <f>VLOOKUP(A18,'ESTADOS ESTUDIANTES'!B:L,7,0)</f>
        <v>NO REGISTRA</v>
      </c>
      <c r="H18" s="19" t="str">
        <f>VLOOKUP(A18,'ESTADOS ESTUDIANTES'!B:L,8,0)</f>
        <v>dmaceros@correo.udistrital.edu.co</v>
      </c>
      <c r="I18" s="70" t="str">
        <f>VLOOKUP(A18,'ESTADOS ESTUDIANTES'!B:L,9,0)</f>
        <v>dmaceros@estudiante.udistrital.edu.co</v>
      </c>
      <c r="J18" s="19" t="str">
        <f>VLOOKUP(A18,'ESTADOS ESTUDIANTES'!B:L,10,0)</f>
        <v>CC</v>
      </c>
      <c r="K18" s="19">
        <f>VLOOKUP(A18,'ESTADOS ESTUDIANTES'!B:L,11,0)</f>
        <v>79576183</v>
      </c>
      <c r="L18" s="23"/>
      <c r="M18" s="20"/>
      <c r="N18" s="22"/>
      <c r="O18" s="15"/>
      <c r="P18" s="15"/>
      <c r="Q18" s="15"/>
      <c r="R18" s="15"/>
      <c r="S18" s="15"/>
      <c r="T18" s="15"/>
      <c r="U18" s="15"/>
    </row>
    <row r="19" spans="1:21" ht="90">
      <c r="A19" s="17">
        <v>20041195002</v>
      </c>
      <c r="B19" s="19" t="str">
        <f>VLOOKUP(A19,'ESTADOS ESTUDIANTES'!B:L,2,0)</f>
        <v>AMAYA CAICEDO HERNAN G.</v>
      </c>
      <c r="C19" s="19">
        <f>VLOOKUP(A19,'ESTADOS ESTUDIANTES'!B:L,3,0)</f>
        <v>195</v>
      </c>
      <c r="D19" s="66" t="str">
        <f>VLOOKUP(A19,'ESTADOS ESTUDIANTES'!B:L,4,0)</f>
        <v>MAE. EN CIENCIAS DE LA INF. Y LAS COMUNICACIONES ENFASIS EN TELEINF.</v>
      </c>
      <c r="E19" s="19" t="str">
        <f>VLOOKUP(A19,'ESTADOS ESTUDIANTES'!B:L,5,0)</f>
        <v>Z</v>
      </c>
      <c r="F19" s="18" t="str">
        <f>VLOOKUP(E19,Listas!B1:C1004,2,0)</f>
        <v>NO SUP. PRUEBA ACAD.</v>
      </c>
      <c r="G19" s="19" t="str">
        <f>VLOOKUP(A19,'ESTADOS ESTUDIANTES'!B:L,7,0)</f>
        <v>NO REGISTRA</v>
      </c>
      <c r="H19" s="19" t="str">
        <f>VLOOKUP(A19,'ESTADOS ESTUDIANTES'!B:L,8,0)</f>
        <v>hgamayac@correo.udistrital.edu.co</v>
      </c>
      <c r="I19" s="70" t="str">
        <f>VLOOKUP(A19,'ESTADOS ESTUDIANTES'!B:L,9,0)</f>
        <v>hgamayac@estudiante.udistrital.edu.co</v>
      </c>
      <c r="J19" s="19" t="str">
        <f>VLOOKUP(A19,'ESTADOS ESTUDIANTES'!B:L,10,0)</f>
        <v>CC</v>
      </c>
      <c r="K19" s="19">
        <f>VLOOKUP(A19,'ESTADOS ESTUDIANTES'!B:L,11,0)</f>
        <v>7170256</v>
      </c>
      <c r="L19" s="23"/>
      <c r="M19" s="20"/>
      <c r="N19" s="22"/>
      <c r="O19" s="15"/>
      <c r="P19" s="15"/>
      <c r="Q19" s="15"/>
      <c r="R19" s="15"/>
      <c r="S19" s="15"/>
      <c r="T19" s="15"/>
      <c r="U19" s="15"/>
    </row>
    <row r="20" spans="1:21" ht="90">
      <c r="A20" s="17">
        <v>20041195003</v>
      </c>
      <c r="B20" s="19" t="str">
        <f>VLOOKUP(A20,'ESTADOS ESTUDIANTES'!B:L,2,0)</f>
        <v>BONILLA OLAYA JOSE EBERT</v>
      </c>
      <c r="C20" s="19">
        <f>VLOOKUP(A20,'ESTADOS ESTUDIANTES'!B:L,3,0)</f>
        <v>195</v>
      </c>
      <c r="D20" s="66" t="str">
        <f>VLOOKUP(A20,'ESTADOS ESTUDIANTES'!B:L,4,0)</f>
        <v>MAE. EN CIENCIAS DE LA INF. Y LAS COMUNICACIONES ENFASIS EN TELEINF.</v>
      </c>
      <c r="E20" s="19" t="str">
        <f>VLOOKUP(A20,'ESTADOS ESTUDIANTES'!B:L,5,0)</f>
        <v>E</v>
      </c>
      <c r="F20" s="18" t="str">
        <f>VLOOKUP(E20,Listas!B1:C1004,2,0)</f>
        <v>EGRESADO</v>
      </c>
      <c r="G20" s="19" t="str">
        <f>VLOOKUP(A20,'ESTADOS ESTUDIANTES'!B:L,7,0)</f>
        <v>NO REGISTRA</v>
      </c>
      <c r="H20" s="19" t="str">
        <f>VLOOKUP(A20,'ESTADOS ESTUDIANTES'!B:L,8,0)</f>
        <v>jebonillao@correo.udistrital.edu.co</v>
      </c>
      <c r="I20" s="70" t="str">
        <f>VLOOKUP(A20,'ESTADOS ESTUDIANTES'!B:L,9,0)</f>
        <v>jose.ebert@gmail.com</v>
      </c>
      <c r="J20" s="19" t="str">
        <f>VLOOKUP(A20,'ESTADOS ESTUDIANTES'!B:L,10,0)</f>
        <v>CC</v>
      </c>
      <c r="K20" s="19">
        <f>VLOOKUP(A20,'ESTADOS ESTUDIANTES'!B:L,11,0)</f>
        <v>80269115</v>
      </c>
      <c r="L20" s="23"/>
      <c r="M20" s="20"/>
      <c r="N20" s="22"/>
      <c r="O20" s="15"/>
      <c r="P20" s="15"/>
      <c r="Q20" s="15"/>
      <c r="R20" s="15"/>
      <c r="S20" s="15"/>
      <c r="T20" s="15"/>
      <c r="U20" s="15"/>
    </row>
    <row r="21" spans="1:21" ht="90">
      <c r="A21" s="17">
        <v>20041195004</v>
      </c>
      <c r="B21" s="19" t="str">
        <f>VLOOKUP(A21,'ESTADOS ESTUDIANTES'!B:L,2,0)</f>
        <v>BUITRAGO BRAVO RONALD YESID</v>
      </c>
      <c r="C21" s="19">
        <f>VLOOKUP(A21,'ESTADOS ESTUDIANTES'!B:L,3,0)</f>
        <v>195</v>
      </c>
      <c r="D21" s="66" t="str">
        <f>VLOOKUP(A21,'ESTADOS ESTUDIANTES'!B:L,4,0)</f>
        <v>MAE. EN CIENCIAS DE LA INF. Y LAS COMUNICACIONES ENFASIS EN TELEINF.</v>
      </c>
      <c r="E21" s="19" t="str">
        <f>VLOOKUP(A21,'ESTADOS ESTUDIANTES'!B:L,5,0)</f>
        <v>E</v>
      </c>
      <c r="F21" s="18" t="str">
        <f>VLOOKUP(E21,Listas!B1:C1004,2,0)</f>
        <v>EGRESADO</v>
      </c>
      <c r="G21" s="19" t="str">
        <f>VLOOKUP(A21,'ESTADOS ESTUDIANTES'!B:L,7,0)</f>
        <v>NO REGISTRA</v>
      </c>
      <c r="H21" s="19" t="str">
        <f>VLOOKUP(A21,'ESTADOS ESTUDIANTES'!B:L,8,0)</f>
        <v>rybuitragob@correo.udistrital.edu.co</v>
      </c>
      <c r="I21" s="70" t="str">
        <f>VLOOKUP(A21,'ESTADOS ESTUDIANTES'!B:L,9,0)</f>
        <v>rybuitrago@bancodeoccidente.com.co</v>
      </c>
      <c r="J21" s="19" t="str">
        <f>VLOOKUP(A21,'ESTADOS ESTUDIANTES'!B:L,10,0)</f>
        <v>CC</v>
      </c>
      <c r="K21" s="19">
        <f>VLOOKUP(A21,'ESTADOS ESTUDIANTES'!B:L,11,0)</f>
        <v>79796071</v>
      </c>
      <c r="L21" s="23"/>
      <c r="M21" s="20"/>
      <c r="N21" s="22"/>
      <c r="O21" s="15"/>
      <c r="P21" s="15"/>
      <c r="Q21" s="15"/>
      <c r="R21" s="15"/>
      <c r="S21" s="15"/>
      <c r="T21" s="15"/>
      <c r="U21" s="15"/>
    </row>
    <row r="22" spans="1:21" ht="90">
      <c r="A22" s="17">
        <v>20041195005</v>
      </c>
      <c r="B22" s="19" t="str">
        <f>VLOOKUP(A22,'ESTADOS ESTUDIANTES'!B:L,2,0)</f>
        <v>CORTES LOPEZ HERNAN ANDRES</v>
      </c>
      <c r="C22" s="19">
        <f>VLOOKUP(A22,'ESTADOS ESTUDIANTES'!B:L,3,0)</f>
        <v>195</v>
      </c>
      <c r="D22" s="66" t="str">
        <f>VLOOKUP(A22,'ESTADOS ESTUDIANTES'!B:L,4,0)</f>
        <v>MAE. EN CIENCIAS DE LA INF. Y LAS COMUNICACIONES ENFASIS EN TELEINF.</v>
      </c>
      <c r="E22" s="19" t="str">
        <f>VLOOKUP(A22,'ESTADOS ESTUDIANTES'!B:L,5,0)</f>
        <v>X</v>
      </c>
      <c r="F22" s="18" t="str">
        <f>VLOOKUP(E22,Listas!B1:C1004,2,0)</f>
        <v>EXCLUIDO</v>
      </c>
      <c r="G22" s="19" t="str">
        <f>VLOOKUP(A22,'ESTADOS ESTUDIANTES'!B:L,7,0)</f>
        <v>NO REGISTRA</v>
      </c>
      <c r="H22" s="19">
        <f>VLOOKUP(A22,'ESTADOS ESTUDIANTES'!B:L,8,0)</f>
        <v>0</v>
      </c>
      <c r="I22" s="70">
        <f>VLOOKUP(A22,'ESTADOS ESTUDIANTES'!B:L,9,0)</f>
        <v>0</v>
      </c>
      <c r="J22" s="19" t="str">
        <f>VLOOKUP(A22,'ESTADOS ESTUDIANTES'!B:L,10,0)</f>
        <v>CC</v>
      </c>
      <c r="K22" s="19">
        <f>VLOOKUP(A22,'ESTADOS ESTUDIANTES'!B:L,11,0)</f>
        <v>74187327</v>
      </c>
      <c r="L22" s="23"/>
      <c r="M22" s="20"/>
      <c r="N22" s="22"/>
      <c r="O22" s="15"/>
      <c r="P22" s="15"/>
      <c r="Q22" s="15"/>
      <c r="R22" s="15"/>
      <c r="S22" s="15"/>
      <c r="T22" s="15"/>
      <c r="U22" s="15"/>
    </row>
    <row r="23" spans="1:21" ht="90">
      <c r="A23" s="17">
        <v>20041195006</v>
      </c>
      <c r="B23" s="19" t="str">
        <f>VLOOKUP(A23,'ESTADOS ESTUDIANTES'!B:L,2,0)</f>
        <v>CUBILLOS SANCHEZ RAFAEL ORLANDO</v>
      </c>
      <c r="C23" s="19">
        <f>VLOOKUP(A23,'ESTADOS ESTUDIANTES'!B:L,3,0)</f>
        <v>195</v>
      </c>
      <c r="D23" s="66" t="str">
        <f>VLOOKUP(A23,'ESTADOS ESTUDIANTES'!B:L,4,0)</f>
        <v>MAE. EN CIENCIAS DE LA INF. Y LAS COMUNICACIONES ENFASIS EN TELEINF.</v>
      </c>
      <c r="E23" s="19" t="str">
        <f>VLOOKUP(A23,'ESTADOS ESTUDIANTES'!B:L,5,0)</f>
        <v>X</v>
      </c>
      <c r="F23" s="18" t="str">
        <f>VLOOKUP(E23,Listas!B1:C1004,2,0)</f>
        <v>EXCLUIDO</v>
      </c>
      <c r="G23" s="19" t="str">
        <f>VLOOKUP(A23,'ESTADOS ESTUDIANTES'!B:L,7,0)</f>
        <v>NO REGISTRA</v>
      </c>
      <c r="H23" s="19" t="str">
        <f>VLOOKUP(A23,'ESTADOS ESTUDIANTES'!B:L,8,0)</f>
        <v>rocubilloss@udistrital.edu.co</v>
      </c>
      <c r="I23" s="70" t="str">
        <f>VLOOKUP(A23,'ESTADOS ESTUDIANTES'!B:L,9,0)</f>
        <v>rocubilloss@estudiante.udistrital.edu.co</v>
      </c>
      <c r="J23" s="19" t="str">
        <f>VLOOKUP(A23,'ESTADOS ESTUDIANTES'!B:L,10,0)</f>
        <v>CC</v>
      </c>
      <c r="K23" s="19">
        <f>VLOOKUP(A23,'ESTADOS ESTUDIANTES'!B:L,11,0)</f>
        <v>79578336</v>
      </c>
      <c r="L23" s="23"/>
      <c r="M23" s="20"/>
      <c r="N23" s="22"/>
      <c r="O23" s="15"/>
      <c r="P23" s="15"/>
      <c r="Q23" s="15"/>
      <c r="R23" s="15"/>
      <c r="S23" s="15"/>
      <c r="T23" s="15"/>
      <c r="U23" s="15"/>
    </row>
    <row r="24" spans="1:21" ht="90">
      <c r="A24" s="17">
        <v>20041195007</v>
      </c>
      <c r="B24" s="19" t="str">
        <f>VLOOKUP(A24,'ESTADOS ESTUDIANTES'!B:L,2,0)</f>
        <v>DIAZ MARTINEZ NEIL ORLANDO</v>
      </c>
      <c r="C24" s="19">
        <f>VLOOKUP(A24,'ESTADOS ESTUDIANTES'!B:L,3,0)</f>
        <v>195</v>
      </c>
      <c r="D24" s="66" t="str">
        <f>VLOOKUP(A24,'ESTADOS ESTUDIANTES'!B:L,4,0)</f>
        <v>MAE. EN CIENCIAS DE LA INF. Y LAS COMUNICACIONES ENFASIS EN TELEINF.</v>
      </c>
      <c r="E24" s="19" t="str">
        <f>VLOOKUP(A24,'ESTADOS ESTUDIANTES'!B:L,5,0)</f>
        <v>E</v>
      </c>
      <c r="F24" s="18" t="str">
        <f>VLOOKUP(E24,Listas!B1:C1004,2,0)</f>
        <v>EGRESADO</v>
      </c>
      <c r="G24" s="19" t="str">
        <f>VLOOKUP(A24,'ESTADOS ESTUDIANTES'!B:L,7,0)</f>
        <v>NO REGISTRA</v>
      </c>
      <c r="H24" s="19" t="str">
        <f>VLOOKUP(A24,'ESTADOS ESTUDIANTES'!B:L,8,0)</f>
        <v>nodiazm@correo.udistrital.edu.co</v>
      </c>
      <c r="I24" s="70" t="str">
        <f>VLOOKUP(A24,'ESTADOS ESTUDIANTES'!B:L,9,0)</f>
        <v>neil_or@yahoo.com</v>
      </c>
      <c r="J24" s="19" t="str">
        <f>VLOOKUP(A24,'ESTADOS ESTUDIANTES'!B:L,10,0)</f>
        <v>CC</v>
      </c>
      <c r="K24" s="19">
        <f>VLOOKUP(A24,'ESTADOS ESTUDIANTES'!B:L,11,0)</f>
        <v>72270879</v>
      </c>
      <c r="L24" s="23"/>
      <c r="M24" s="20"/>
      <c r="N24" s="22"/>
      <c r="O24" s="15"/>
      <c r="P24" s="15"/>
      <c r="Q24" s="15"/>
      <c r="R24" s="15"/>
      <c r="S24" s="15"/>
      <c r="T24" s="15"/>
      <c r="U24" s="15"/>
    </row>
    <row r="25" spans="1:21" ht="90">
      <c r="A25" s="17">
        <v>20041195008</v>
      </c>
      <c r="B25" s="19" t="str">
        <f>VLOOKUP(A25,'ESTADOS ESTUDIANTES'!B:L,2,0)</f>
        <v>GAONA GARCIA ELVIS EDUARDO</v>
      </c>
      <c r="C25" s="19">
        <f>VLOOKUP(A25,'ESTADOS ESTUDIANTES'!B:L,3,0)</f>
        <v>195</v>
      </c>
      <c r="D25" s="66" t="str">
        <f>VLOOKUP(A25,'ESTADOS ESTUDIANTES'!B:L,4,0)</f>
        <v>MAE. EN CIENCIAS DE LA INF. Y LAS COMUNICACIONES ENFASIS EN TELEINF.</v>
      </c>
      <c r="E25" s="19" t="str">
        <f>VLOOKUP(A25,'ESTADOS ESTUDIANTES'!B:L,5,0)</f>
        <v>E</v>
      </c>
      <c r="F25" s="18" t="str">
        <f>VLOOKUP(E25,Listas!B1:C1004,2,0)</f>
        <v>EGRESADO</v>
      </c>
      <c r="G25" s="19" t="str">
        <f>VLOOKUP(A25,'ESTADOS ESTUDIANTES'!B:L,7,0)</f>
        <v>NO REGISTRA</v>
      </c>
      <c r="H25" s="19" t="str">
        <f>VLOOKUP(A25,'ESTADOS ESTUDIANTES'!B:L,8,0)</f>
        <v>eegaonag@correo.udistrital.edu.co</v>
      </c>
      <c r="I25" s="70" t="str">
        <f>VLOOKUP(A25,'ESTADOS ESTUDIANTES'!B:L,9,0)</f>
        <v>egaona@udistrital.edu.co</v>
      </c>
      <c r="J25" s="19" t="str">
        <f>VLOOKUP(A25,'ESTADOS ESTUDIANTES'!B:L,10,0)</f>
        <v>CC</v>
      </c>
      <c r="K25" s="19">
        <f>VLOOKUP(A25,'ESTADOS ESTUDIANTES'!B:L,11,0)</f>
        <v>79950025</v>
      </c>
      <c r="L25" s="23"/>
      <c r="M25" s="20"/>
      <c r="N25" s="22"/>
      <c r="O25" s="15"/>
      <c r="P25" s="15"/>
      <c r="Q25" s="15"/>
      <c r="R25" s="15"/>
      <c r="S25" s="15"/>
      <c r="T25" s="15"/>
      <c r="U25" s="15"/>
    </row>
    <row r="26" spans="1:21" ht="90">
      <c r="A26" s="17">
        <v>20041195009</v>
      </c>
      <c r="B26" s="19" t="str">
        <f>VLOOKUP(A26,'ESTADOS ESTUDIANTES'!B:L,2,0)</f>
        <v>GAONA GARCIA PAULO ALONSO</v>
      </c>
      <c r="C26" s="19">
        <f>VLOOKUP(A26,'ESTADOS ESTUDIANTES'!B:L,3,0)</f>
        <v>195</v>
      </c>
      <c r="D26" s="66" t="str">
        <f>VLOOKUP(A26,'ESTADOS ESTUDIANTES'!B:L,4,0)</f>
        <v>MAE. EN CIENCIAS DE LA INF. Y LAS COMUNICACIONES ENFASIS EN TELEINF.</v>
      </c>
      <c r="E26" s="19" t="str">
        <f>VLOOKUP(A26,'ESTADOS ESTUDIANTES'!B:L,5,0)</f>
        <v>E</v>
      </c>
      <c r="F26" s="18" t="str">
        <f>VLOOKUP(E26,Listas!B1:C1004,2,0)</f>
        <v>EGRESADO</v>
      </c>
      <c r="G26" s="19" t="str">
        <f>VLOOKUP(A26,'ESTADOS ESTUDIANTES'!B:L,7,0)</f>
        <v>NO REGISTRA</v>
      </c>
      <c r="H26" s="19" t="str">
        <f>VLOOKUP(A26,'ESTADOS ESTUDIANTES'!B:L,8,0)</f>
        <v>pagaonag@correo.udistrital.edu.co</v>
      </c>
      <c r="I26" s="70" t="str">
        <f>VLOOKUP(A26,'ESTADOS ESTUDIANTES'!B:L,9,0)</f>
        <v>gaoanaalonso@yahoo.es</v>
      </c>
      <c r="J26" s="19" t="str">
        <f>VLOOKUP(A26,'ESTADOS ESTUDIANTES'!B:L,10,0)</f>
        <v>CC</v>
      </c>
      <c r="K26" s="19">
        <f>VLOOKUP(A26,'ESTADOS ESTUDIANTES'!B:L,11,0)</f>
        <v>80092512</v>
      </c>
      <c r="L26" s="23"/>
      <c r="M26" s="20"/>
      <c r="N26" s="22"/>
      <c r="O26" s="15"/>
      <c r="P26" s="15"/>
      <c r="Q26" s="15"/>
      <c r="R26" s="15"/>
      <c r="S26" s="15"/>
      <c r="T26" s="15"/>
      <c r="U26" s="15"/>
    </row>
    <row r="27" spans="1:21" ht="90">
      <c r="A27" s="17">
        <v>20041195010</v>
      </c>
      <c r="B27" s="19" t="str">
        <f>VLOOKUP(A27,'ESTADOS ESTUDIANTES'!B:L,2,0)</f>
        <v>LOPEZ QUINTERO JOSE FERNANDO</v>
      </c>
      <c r="C27" s="19">
        <f>VLOOKUP(A27,'ESTADOS ESTUDIANTES'!B:L,3,0)</f>
        <v>195</v>
      </c>
      <c r="D27" s="66" t="str">
        <f>VLOOKUP(A27,'ESTADOS ESTUDIANTES'!B:L,4,0)</f>
        <v>MAE. EN CIENCIAS DE LA INF. Y LAS COMUNICACIONES ENFASIS EN TELEINF.</v>
      </c>
      <c r="E27" s="19" t="str">
        <f>VLOOKUP(A27,'ESTADOS ESTUDIANTES'!B:L,5,0)</f>
        <v>X</v>
      </c>
      <c r="F27" s="18" t="str">
        <f>VLOOKUP(E27,Listas!B1:C1004,2,0)</f>
        <v>EXCLUIDO</v>
      </c>
      <c r="G27" s="19" t="str">
        <f>VLOOKUP(A27,'ESTADOS ESTUDIANTES'!B:L,7,0)</f>
        <v>NO REGISTRA</v>
      </c>
      <c r="H27" s="19" t="str">
        <f>VLOOKUP(A27,'ESTADOS ESTUDIANTES'!B:L,8,0)</f>
        <v>jflopezq@correo.udistrital.edu.co</v>
      </c>
      <c r="I27" s="70" t="str">
        <f>VLOOKUP(A27,'ESTADOS ESTUDIANTES'!B:L,9,0)</f>
        <v>jflopezq@estudiante.udistrital.edu.co</v>
      </c>
      <c r="J27" s="19" t="str">
        <f>VLOOKUP(A27,'ESTADOS ESTUDIANTES'!B:L,10,0)</f>
        <v>CC</v>
      </c>
      <c r="K27" s="19">
        <f>VLOOKUP(A27,'ESTADOS ESTUDIANTES'!B:L,11,0)</f>
        <v>79788244</v>
      </c>
      <c r="L27" s="23"/>
      <c r="M27" s="20"/>
      <c r="N27" s="22"/>
      <c r="O27" s="15"/>
      <c r="P27" s="15"/>
      <c r="Q27" s="15"/>
      <c r="R27" s="15"/>
      <c r="S27" s="15"/>
      <c r="T27" s="15"/>
      <c r="U27" s="15"/>
    </row>
    <row r="28" spans="1:21" ht="90">
      <c r="A28" s="17">
        <v>20041195011</v>
      </c>
      <c r="B28" s="19" t="str">
        <f>VLOOKUP(A28,'ESTADOS ESTUDIANTES'!B:L,2,0)</f>
        <v>MACIAS MUNOZ GERMAN</v>
      </c>
      <c r="C28" s="19">
        <f>VLOOKUP(A28,'ESTADOS ESTUDIANTES'!B:L,3,0)</f>
        <v>195</v>
      </c>
      <c r="D28" s="66" t="str">
        <f>VLOOKUP(A28,'ESTADOS ESTUDIANTES'!B:L,4,0)</f>
        <v>MAE. EN CIENCIAS DE LA INF. Y LAS COMUNICACIONES ENFASIS EN TELEINF.</v>
      </c>
      <c r="E28" s="19" t="str">
        <f>VLOOKUP(A28,'ESTADOS ESTUDIANTES'!B:L,5,0)</f>
        <v>E</v>
      </c>
      <c r="F28" s="18" t="str">
        <f>VLOOKUP(E28,Listas!B1:C1004,2,0)</f>
        <v>EGRESADO</v>
      </c>
      <c r="G28" s="19" t="str">
        <f>VLOOKUP(A28,'ESTADOS ESTUDIANTES'!B:L,7,0)</f>
        <v>NO REGISTRA</v>
      </c>
      <c r="H28" s="19" t="str">
        <f>VLOOKUP(A28,'ESTADOS ESTUDIANTES'!B:L,8,0)</f>
        <v>gmaciasm@udistrital.edu.co</v>
      </c>
      <c r="I28" s="70" t="str">
        <f>VLOOKUP(A28,'ESTADOS ESTUDIANTES'!B:L,9,0)</f>
        <v>germaci@gmail.com</v>
      </c>
      <c r="J28" s="19" t="str">
        <f>VLOOKUP(A28,'ESTADOS ESTUDIANTES'!B:L,10,0)</f>
        <v>CC</v>
      </c>
      <c r="K28" s="19">
        <f>VLOOKUP(A28,'ESTADOS ESTUDIANTES'!B:L,11,0)</f>
        <v>79453519</v>
      </c>
      <c r="L28" s="23"/>
      <c r="M28" s="20"/>
      <c r="N28" s="22"/>
      <c r="O28" s="15"/>
      <c r="P28" s="15"/>
      <c r="Q28" s="15"/>
      <c r="R28" s="15"/>
      <c r="S28" s="15"/>
      <c r="T28" s="15"/>
      <c r="U28" s="15"/>
    </row>
    <row r="29" spans="1:21" ht="90">
      <c r="A29" s="17">
        <v>20041195012</v>
      </c>
      <c r="B29" s="19" t="str">
        <f>VLOOKUP(A29,'ESTADOS ESTUDIANTES'!B:L,2,0)</f>
        <v>MARTINEZ WITTINGHAN OSCAR H.</v>
      </c>
      <c r="C29" s="19">
        <f>VLOOKUP(A29,'ESTADOS ESTUDIANTES'!B:L,3,0)</f>
        <v>195</v>
      </c>
      <c r="D29" s="66" t="str">
        <f>VLOOKUP(A29,'ESTADOS ESTUDIANTES'!B:L,4,0)</f>
        <v>MAE. EN CIENCIAS DE LA INF. Y LAS COMUNICACIONES ENFASIS EN TELEINF.</v>
      </c>
      <c r="E29" s="19" t="str">
        <f>VLOOKUP(A29,'ESTADOS ESTUDIANTES'!B:L,5,0)</f>
        <v>X</v>
      </c>
      <c r="F29" s="18" t="str">
        <f>VLOOKUP(E29,Listas!B1:C1004,2,0)</f>
        <v>EXCLUIDO</v>
      </c>
      <c r="G29" s="19" t="str">
        <f>VLOOKUP(A29,'ESTADOS ESTUDIANTES'!B:L,7,0)</f>
        <v>NO REGISTRA</v>
      </c>
      <c r="H29" s="19" t="str">
        <f>VLOOKUP(A29,'ESTADOS ESTUDIANTES'!B:L,8,0)</f>
        <v>ohmartinezw@correo.udistrital.edu.co</v>
      </c>
      <c r="I29" s="70" t="str">
        <f>VLOOKUP(A29,'ESTADOS ESTUDIANTES'!B:L,9,0)</f>
        <v>ohmartinezw@estudiante.udistrital.edu.co</v>
      </c>
      <c r="J29" s="19" t="str">
        <f>VLOOKUP(A29,'ESTADOS ESTUDIANTES'!B:L,10,0)</f>
        <v>CC</v>
      </c>
      <c r="K29" s="19">
        <f>VLOOKUP(A29,'ESTADOS ESTUDIANTES'!B:L,11,0)</f>
        <v>74184170</v>
      </c>
      <c r="L29" s="23"/>
      <c r="M29" s="20"/>
      <c r="N29" s="22"/>
      <c r="O29" s="15"/>
      <c r="P29" s="15"/>
      <c r="Q29" s="15"/>
      <c r="R29" s="15"/>
      <c r="S29" s="15"/>
      <c r="T29" s="15"/>
      <c r="U29" s="15"/>
    </row>
    <row r="30" spans="1:21" ht="90">
      <c r="A30" s="17">
        <v>20041195013</v>
      </c>
      <c r="B30" s="19" t="str">
        <f>VLOOKUP(A30,'ESTADOS ESTUDIANTES'!B:L,2,0)</f>
        <v>MONTENEGRO MARIN CARLOS E.</v>
      </c>
      <c r="C30" s="19">
        <f>VLOOKUP(A30,'ESTADOS ESTUDIANTES'!B:L,3,0)</f>
        <v>195</v>
      </c>
      <c r="D30" s="66" t="str">
        <f>VLOOKUP(A30,'ESTADOS ESTUDIANTES'!B:L,4,0)</f>
        <v>MAE. EN CIENCIAS DE LA INF. Y LAS COMUNICACIONES ENFASIS EN TELEINF.</v>
      </c>
      <c r="E30" s="19" t="str">
        <f>VLOOKUP(A30,'ESTADOS ESTUDIANTES'!B:L,5,0)</f>
        <v>E</v>
      </c>
      <c r="F30" s="18" t="str">
        <f>VLOOKUP(E30,Listas!B1:C1004,2,0)</f>
        <v>EGRESADO</v>
      </c>
      <c r="G30" s="19" t="str">
        <f>VLOOKUP(A30,'ESTADOS ESTUDIANTES'!B:L,7,0)</f>
        <v>NO REGISTRA</v>
      </c>
      <c r="H30" s="19" t="str">
        <f>VLOOKUP(A30,'ESTADOS ESTUDIANTES'!B:L,8,0)</f>
        <v>cemontenegrom@correo.udistrital.edu.co</v>
      </c>
      <c r="I30" s="70" t="str">
        <f>VLOOKUP(A30,'ESTADOS ESTUDIANTES'!B:L,9,0)</f>
        <v>cemontenegrom@estudiante.udistrital.edu.co</v>
      </c>
      <c r="J30" s="19" t="str">
        <f>VLOOKUP(A30,'ESTADOS ESTUDIANTES'!B:L,10,0)</f>
        <v>CC</v>
      </c>
      <c r="K30" s="19">
        <f>VLOOKUP(A30,'ESTADOS ESTUDIANTES'!B:L,11,0)</f>
        <v>80093200</v>
      </c>
      <c r="L30" s="23"/>
      <c r="M30" s="20"/>
      <c r="N30" s="22"/>
      <c r="O30" s="15"/>
      <c r="P30" s="15"/>
      <c r="Q30" s="15"/>
      <c r="R30" s="15"/>
      <c r="S30" s="15"/>
      <c r="T30" s="15"/>
      <c r="U30" s="15"/>
    </row>
    <row r="31" spans="1:21" ht="90">
      <c r="A31" s="17">
        <v>20041195014</v>
      </c>
      <c r="B31" s="19" t="str">
        <f>VLOOKUP(A31,'ESTADOS ESTUDIANTES'!B:L,2,0)</f>
        <v>MUSKUS RINCON ELKIN GABRIEL</v>
      </c>
      <c r="C31" s="19">
        <f>VLOOKUP(A31,'ESTADOS ESTUDIANTES'!B:L,3,0)</f>
        <v>195</v>
      </c>
      <c r="D31" s="66" t="str">
        <f>VLOOKUP(A31,'ESTADOS ESTUDIANTES'!B:L,4,0)</f>
        <v>MAE. EN CIENCIAS DE LA INF. Y LAS COMUNICACIONES ENFASIS EN TELEINF.</v>
      </c>
      <c r="E31" s="19" t="str">
        <f>VLOOKUP(A31,'ESTADOS ESTUDIANTES'!B:L,5,0)</f>
        <v>X</v>
      </c>
      <c r="F31" s="18" t="str">
        <f>VLOOKUP(E31,Listas!B1:C1004,2,0)</f>
        <v>EXCLUIDO</v>
      </c>
      <c r="G31" s="19" t="str">
        <f>VLOOKUP(A31,'ESTADOS ESTUDIANTES'!B:L,7,0)</f>
        <v>NO REGISTRA</v>
      </c>
      <c r="H31" s="19">
        <f>VLOOKUP(A31,'ESTADOS ESTUDIANTES'!B:L,8,0)</f>
        <v>0</v>
      </c>
      <c r="I31" s="70">
        <f>VLOOKUP(A31,'ESTADOS ESTUDIANTES'!B:L,9,0)</f>
        <v>0</v>
      </c>
      <c r="J31" s="19" t="str">
        <f>VLOOKUP(A31,'ESTADOS ESTUDIANTES'!B:L,10,0)</f>
        <v>CC</v>
      </c>
      <c r="K31" s="19">
        <f>VLOOKUP(A31,'ESTADOS ESTUDIANTES'!B:L,11,0)</f>
        <v>80021637</v>
      </c>
      <c r="L31" s="23"/>
      <c r="M31" s="20"/>
      <c r="N31" s="22"/>
      <c r="O31" s="15"/>
      <c r="P31" s="15"/>
      <c r="Q31" s="15"/>
      <c r="R31" s="15"/>
      <c r="S31" s="15"/>
      <c r="T31" s="15"/>
      <c r="U31" s="15"/>
    </row>
    <row r="32" spans="1:21" ht="90">
      <c r="A32" s="17">
        <v>20041195015</v>
      </c>
      <c r="B32" s="19" t="str">
        <f>VLOOKUP(A32,'ESTADOS ESTUDIANTES'!B:L,2,0)</f>
        <v>PAVA DIAZ ROBERTO ALBEIRO</v>
      </c>
      <c r="C32" s="19">
        <f>VLOOKUP(A32,'ESTADOS ESTUDIANTES'!B:L,3,0)</f>
        <v>195</v>
      </c>
      <c r="D32" s="66" t="str">
        <f>VLOOKUP(A32,'ESTADOS ESTUDIANTES'!B:L,4,0)</f>
        <v>MAE. EN CIENCIAS DE LA INF. Y LAS COMUNICACIONES ENFASIS EN TELEINF.</v>
      </c>
      <c r="E32" s="19" t="str">
        <f>VLOOKUP(A32,'ESTADOS ESTUDIANTES'!B:L,5,0)</f>
        <v>X</v>
      </c>
      <c r="F32" s="18" t="str">
        <f>VLOOKUP(E32,Listas!B1:C1004,2,0)</f>
        <v>EXCLUIDO</v>
      </c>
      <c r="G32" s="19" t="str">
        <f>VLOOKUP(A32,'ESTADOS ESTUDIANTES'!B:L,7,0)</f>
        <v>NO REGISTRA</v>
      </c>
      <c r="H32" s="19">
        <f>VLOOKUP(A32,'ESTADOS ESTUDIANTES'!B:L,8,0)</f>
        <v>0</v>
      </c>
      <c r="I32" s="70">
        <f>VLOOKUP(A32,'ESTADOS ESTUDIANTES'!B:L,9,0)</f>
        <v>0</v>
      </c>
      <c r="J32" s="19" t="str">
        <f>VLOOKUP(A32,'ESTADOS ESTUDIANTES'!B:L,10,0)</f>
        <v>CC</v>
      </c>
      <c r="K32" s="19">
        <f>VLOOKUP(A32,'ESTADOS ESTUDIANTES'!B:L,11,0)</f>
        <v>79943556</v>
      </c>
      <c r="L32" s="23"/>
      <c r="M32" s="20"/>
      <c r="N32" s="22"/>
      <c r="O32" s="15"/>
      <c r="P32" s="15"/>
      <c r="Q32" s="15"/>
      <c r="R32" s="15"/>
      <c r="S32" s="15"/>
      <c r="T32" s="15"/>
      <c r="U32" s="15"/>
    </row>
    <row r="33" spans="1:21" ht="90">
      <c r="A33" s="17">
        <v>20041195016</v>
      </c>
      <c r="B33" s="19" t="str">
        <f>VLOOKUP(A33,'ESTADOS ESTUDIANTES'!B:L,2,0)</f>
        <v>PENA SALGADO PIERRE AUGUSTO</v>
      </c>
      <c r="C33" s="19">
        <f>VLOOKUP(A33,'ESTADOS ESTUDIANTES'!B:L,3,0)</f>
        <v>195</v>
      </c>
      <c r="D33" s="66" t="str">
        <f>VLOOKUP(A33,'ESTADOS ESTUDIANTES'!B:L,4,0)</f>
        <v>MAE. EN CIENCIAS DE LA INF. Y LAS COMUNICACIONES ENFASIS EN TELEINF.</v>
      </c>
      <c r="E33" s="19" t="str">
        <f>VLOOKUP(A33,'ESTADOS ESTUDIANTES'!B:L,5,0)</f>
        <v>I</v>
      </c>
      <c r="F33" s="18" t="str">
        <f>VLOOKUP(E33,Listas!B1:C1004,2,0)</f>
        <v>INACTIVO</v>
      </c>
      <c r="G33" s="19" t="str">
        <f>VLOOKUP(A33,'ESTADOS ESTUDIANTES'!B:L,7,0)</f>
        <v>NO REGISTRA</v>
      </c>
      <c r="H33" s="19">
        <f>VLOOKUP(A33,'ESTADOS ESTUDIANTES'!B:L,8,0)</f>
        <v>0</v>
      </c>
      <c r="I33" s="70">
        <f>VLOOKUP(A33,'ESTADOS ESTUDIANTES'!B:L,9,0)</f>
        <v>0</v>
      </c>
      <c r="J33" s="19" t="str">
        <f>VLOOKUP(A33,'ESTADOS ESTUDIANTES'!B:L,10,0)</f>
        <v>CC</v>
      </c>
      <c r="K33" s="19">
        <f>VLOOKUP(A33,'ESTADOS ESTUDIANTES'!B:L,11,0)</f>
        <v>78674082</v>
      </c>
      <c r="L33" s="21"/>
      <c r="M33" s="20"/>
      <c r="N33" s="22"/>
      <c r="O33" s="15"/>
      <c r="P33" s="15"/>
      <c r="Q33" s="15"/>
      <c r="R33" s="15"/>
      <c r="S33" s="15"/>
      <c r="T33" s="15"/>
      <c r="U33" s="15"/>
    </row>
    <row r="34" spans="1:21" ht="90">
      <c r="A34" s="17">
        <v>20041195017</v>
      </c>
      <c r="B34" s="19" t="str">
        <f>VLOOKUP(A34,'ESTADOS ESTUDIANTES'!B:L,2,0)</f>
        <v>PUENTES PARAMO RAFAEL MAURICIO</v>
      </c>
      <c r="C34" s="19">
        <f>VLOOKUP(A34,'ESTADOS ESTUDIANTES'!B:L,3,0)</f>
        <v>195</v>
      </c>
      <c r="D34" s="66" t="str">
        <f>VLOOKUP(A34,'ESTADOS ESTUDIANTES'!B:L,4,0)</f>
        <v>MAE. EN CIENCIAS DE LA INF. Y LAS COMUNICACIONES ENFASIS EN TELEINF.</v>
      </c>
      <c r="E34" s="19" t="str">
        <f>VLOOKUP(A34,'ESTADOS ESTUDIANTES'!B:L,5,0)</f>
        <v>X</v>
      </c>
      <c r="F34" s="18" t="str">
        <f>VLOOKUP(E34,Listas!B1:C1004,2,0)</f>
        <v>EXCLUIDO</v>
      </c>
      <c r="G34" s="19" t="str">
        <f>VLOOKUP(A34,'ESTADOS ESTUDIANTES'!B:L,7,0)</f>
        <v>NO REGISTRA</v>
      </c>
      <c r="H34" s="19" t="str">
        <f>VLOOKUP(A34,'ESTADOS ESTUDIANTES'!B:L,8,0)</f>
        <v>rmpuentesp@correo.udistrital.edu.co</v>
      </c>
      <c r="I34" s="70" t="str">
        <f>VLOOKUP(A34,'ESTADOS ESTUDIANTES'!B:L,9,0)</f>
        <v>rpuentes2000@gmail.com</v>
      </c>
      <c r="J34" s="19" t="str">
        <f>VLOOKUP(A34,'ESTADOS ESTUDIANTES'!B:L,10,0)</f>
        <v>CC</v>
      </c>
      <c r="K34" s="19">
        <f>VLOOKUP(A34,'ESTADOS ESTUDIANTES'!B:L,11,0)</f>
        <v>79137742</v>
      </c>
      <c r="L34" s="23"/>
      <c r="M34" s="20"/>
      <c r="N34" s="22"/>
      <c r="O34" s="15"/>
      <c r="P34" s="15"/>
      <c r="Q34" s="15"/>
      <c r="R34" s="15"/>
      <c r="S34" s="15"/>
      <c r="T34" s="15"/>
      <c r="U34" s="15"/>
    </row>
    <row r="35" spans="1:21" ht="90">
      <c r="A35" s="17">
        <v>20041195018</v>
      </c>
      <c r="B35" s="19" t="str">
        <f>VLOOKUP(A35,'ESTADOS ESTUDIANTES'!B:L,2,0)</f>
        <v>TRIANA PERDOMO FABIO ALEXIS</v>
      </c>
      <c r="C35" s="19">
        <f>VLOOKUP(A35,'ESTADOS ESTUDIANTES'!B:L,3,0)</f>
        <v>195</v>
      </c>
      <c r="D35" s="66" t="str">
        <f>VLOOKUP(A35,'ESTADOS ESTUDIANTES'!B:L,4,0)</f>
        <v>MAE. EN CIENCIAS DE LA INF. Y LAS COMUNICACIONES ENFASIS EN TELEINF.</v>
      </c>
      <c r="E35" s="19" t="str">
        <f>VLOOKUP(A35,'ESTADOS ESTUDIANTES'!B:L,5,0)</f>
        <v>E</v>
      </c>
      <c r="F35" s="18" t="str">
        <f>VLOOKUP(E35,Listas!B1:C1004,2,0)</f>
        <v>EGRESADO</v>
      </c>
      <c r="G35" s="19" t="str">
        <f>VLOOKUP(A35,'ESTADOS ESTUDIANTES'!B:L,7,0)</f>
        <v>NO REGISTRA</v>
      </c>
      <c r="H35" s="19" t="str">
        <f>VLOOKUP(A35,'ESTADOS ESTUDIANTES'!B:L,8,0)</f>
        <v>fatrianap@correo.udistrital.edu.co</v>
      </c>
      <c r="I35" s="70" t="str">
        <f>VLOOKUP(A35,'ESTADOS ESTUDIANTES'!B:L,9,0)</f>
        <v>trianafp@gmail.com</v>
      </c>
      <c r="J35" s="19" t="str">
        <f>VLOOKUP(A35,'ESTADOS ESTUDIANTES'!B:L,10,0)</f>
        <v>CC</v>
      </c>
      <c r="K35" s="19">
        <f>VLOOKUP(A35,'ESTADOS ESTUDIANTES'!B:L,11,0)</f>
        <v>80084469</v>
      </c>
      <c r="L35" s="23"/>
      <c r="M35" s="20"/>
      <c r="N35" s="22"/>
      <c r="O35" s="15"/>
      <c r="P35" s="15"/>
      <c r="Q35" s="15"/>
      <c r="R35" s="15"/>
      <c r="S35" s="15"/>
      <c r="T35" s="15"/>
      <c r="U35" s="15"/>
    </row>
    <row r="36" spans="1:21" ht="90">
      <c r="A36" s="17">
        <v>20041195019</v>
      </c>
      <c r="B36" s="19" t="str">
        <f>VLOOKUP(A36,'ESTADOS ESTUDIANTES'!B:L,2,0)</f>
        <v>URBANO CHAVES DIEGO FERNANDO</v>
      </c>
      <c r="C36" s="19">
        <f>VLOOKUP(A36,'ESTADOS ESTUDIANTES'!B:L,3,0)</f>
        <v>195</v>
      </c>
      <c r="D36" s="66" t="str">
        <f>VLOOKUP(A36,'ESTADOS ESTUDIANTES'!B:L,4,0)</f>
        <v>MAE. EN CIENCIAS DE LA INF. Y LAS COMUNICACIONES ENFASIS EN TELEINF.</v>
      </c>
      <c r="E36" s="19" t="str">
        <f>VLOOKUP(A36,'ESTADOS ESTUDIANTES'!B:L,5,0)</f>
        <v>E</v>
      </c>
      <c r="F36" s="18" t="str">
        <f>VLOOKUP(E36,Listas!B1:C1004,2,0)</f>
        <v>EGRESADO</v>
      </c>
      <c r="G36" s="19" t="str">
        <f>VLOOKUP(A36,'ESTADOS ESTUDIANTES'!B:L,7,0)</f>
        <v>NO REGISTRA</v>
      </c>
      <c r="H36" s="19" t="str">
        <f>VLOOKUP(A36,'ESTADOS ESTUDIANTES'!B:L,8,0)</f>
        <v>dfurbanoc@udistrital.edu.co</v>
      </c>
      <c r="I36" s="70" t="str">
        <f>VLOOKUP(A36,'ESTADOS ESTUDIANTES'!B:L,9,0)</f>
        <v>diego.urbano@gmail.com</v>
      </c>
      <c r="J36" s="19" t="str">
        <f>VLOOKUP(A36,'ESTADOS ESTUDIANTES'!B:L,10,0)</f>
        <v>CC</v>
      </c>
      <c r="K36" s="19">
        <f>VLOOKUP(A36,'ESTADOS ESTUDIANTES'!B:L,11,0)</f>
        <v>79965521</v>
      </c>
      <c r="L36" s="23"/>
      <c r="M36" s="20"/>
      <c r="N36" s="22"/>
      <c r="O36" s="15"/>
      <c r="P36" s="15"/>
      <c r="Q36" s="15"/>
      <c r="R36" s="15"/>
      <c r="S36" s="15"/>
      <c r="T36" s="15"/>
      <c r="U36" s="15"/>
    </row>
    <row r="37" spans="1:21" ht="90">
      <c r="A37" s="17">
        <v>20041195020</v>
      </c>
      <c r="B37" s="19" t="str">
        <f>VLOOKUP(A37,'ESTADOS ESTUDIANTES'!B:L,2,0)</f>
        <v>VARGAS ROJAS HUBER ALVARO</v>
      </c>
      <c r="C37" s="19">
        <f>VLOOKUP(A37,'ESTADOS ESTUDIANTES'!B:L,3,0)</f>
        <v>195</v>
      </c>
      <c r="D37" s="66" t="str">
        <f>VLOOKUP(A37,'ESTADOS ESTUDIANTES'!B:L,4,0)</f>
        <v>MAE. EN CIENCIAS DE LA INF. Y LAS COMUNICACIONES ENFASIS EN TELEINF.</v>
      </c>
      <c r="E37" s="19" t="str">
        <f>VLOOKUP(A37,'ESTADOS ESTUDIANTES'!B:L,5,0)</f>
        <v>I</v>
      </c>
      <c r="F37" s="18" t="str">
        <f>VLOOKUP(E37,Listas!B1:C1004,2,0)</f>
        <v>INACTIVO</v>
      </c>
      <c r="G37" s="19" t="str">
        <f>VLOOKUP(A37,'ESTADOS ESTUDIANTES'!B:L,7,0)</f>
        <v>NO REGISTRA</v>
      </c>
      <c r="H37" s="19" t="str">
        <f>VLOOKUP(A37,'ESTADOS ESTUDIANTES'!B:L,8,0)</f>
        <v>havargasr@correo.udistrital.edu.co</v>
      </c>
      <c r="I37" s="70" t="str">
        <f>VLOOKUP(A37,'ESTADOS ESTUDIANTES'!B:L,9,0)</f>
        <v>havargasr@estudiante.udistrital.edu.co</v>
      </c>
      <c r="J37" s="19" t="str">
        <f>VLOOKUP(A37,'ESTADOS ESTUDIANTES'!B:L,10,0)</f>
        <v>CC</v>
      </c>
      <c r="K37" s="19">
        <f>VLOOKUP(A37,'ESTADOS ESTUDIANTES'!B:L,11,0)</f>
        <v>79460726</v>
      </c>
      <c r="L37" s="21"/>
      <c r="M37" s="20"/>
      <c r="N37" s="22"/>
      <c r="O37" s="15"/>
      <c r="P37" s="15"/>
      <c r="Q37" s="15"/>
      <c r="R37" s="15"/>
      <c r="S37" s="15"/>
      <c r="T37" s="15"/>
      <c r="U37" s="15"/>
    </row>
    <row r="38" spans="1:21" ht="90">
      <c r="A38" s="17">
        <v>20041195021</v>
      </c>
      <c r="B38" s="19" t="str">
        <f>VLOOKUP(A38,'ESTADOS ESTUDIANTES'!B:L,2,0)</f>
        <v>ARDILA NIÑO YAZMIN ALEXANDRA</v>
      </c>
      <c r="C38" s="19">
        <f>VLOOKUP(A38,'ESTADOS ESTUDIANTES'!B:L,3,0)</f>
        <v>195</v>
      </c>
      <c r="D38" s="66" t="str">
        <f>VLOOKUP(A38,'ESTADOS ESTUDIANTES'!B:L,4,0)</f>
        <v>MAE. EN CIENCIAS DE LA INF. Y LAS COMUNICACIONES ENFASIS EN TELEINF.</v>
      </c>
      <c r="E38" s="19" t="str">
        <f>VLOOKUP(A38,'ESTADOS ESTUDIANTES'!B:L,5,0)</f>
        <v>X</v>
      </c>
      <c r="F38" s="18" t="str">
        <f>VLOOKUP(E38,Listas!B1:C1004,2,0)</f>
        <v>EXCLUIDO</v>
      </c>
      <c r="G38" s="19" t="str">
        <f>VLOOKUP(A38,'ESTADOS ESTUDIANTES'!B:L,7,0)</f>
        <v>NO REGISTRA</v>
      </c>
      <c r="H38" s="19" t="str">
        <f>VLOOKUP(A38,'ESTADOS ESTUDIANTES'!B:L,8,0)</f>
        <v>yaardilan@udistrital.edu.co</v>
      </c>
      <c r="I38" s="70" t="str">
        <f>VLOOKUP(A38,'ESTADOS ESTUDIANTES'!B:L,9,0)</f>
        <v>yaardilan@estudiante.udistrital.edu.co</v>
      </c>
      <c r="J38" s="19" t="str">
        <f>VLOOKUP(A38,'ESTADOS ESTUDIANTES'!B:L,10,0)</f>
        <v>CC</v>
      </c>
      <c r="K38" s="19">
        <f>VLOOKUP(A38,'ESTADOS ESTUDIANTES'!B:L,11,0)</f>
        <v>52530310</v>
      </c>
      <c r="L38" s="23"/>
      <c r="M38" s="20"/>
      <c r="N38" s="22"/>
      <c r="O38" s="15"/>
      <c r="P38" s="15"/>
      <c r="Q38" s="15"/>
      <c r="R38" s="15"/>
      <c r="S38" s="15"/>
      <c r="T38" s="15"/>
      <c r="U38" s="15"/>
    </row>
    <row r="39" spans="1:21" ht="90">
      <c r="A39" s="17">
        <v>20041195022</v>
      </c>
      <c r="B39" s="19" t="str">
        <f>VLOOKUP(A39,'ESTADOS ESTUDIANTES'!B:L,2,0)</f>
        <v>DIEZ JIMENEZ GABRIEL HORACIO</v>
      </c>
      <c r="C39" s="19">
        <f>VLOOKUP(A39,'ESTADOS ESTUDIANTES'!B:L,3,0)</f>
        <v>195</v>
      </c>
      <c r="D39" s="66" t="str">
        <f>VLOOKUP(A39,'ESTADOS ESTUDIANTES'!B:L,4,0)</f>
        <v>MAE. EN CIENCIAS DE LA INF. Y LAS COMUNICACIONES ENFASIS EN TELEINF.</v>
      </c>
      <c r="E39" s="19" t="str">
        <f>VLOOKUP(A39,'ESTADOS ESTUDIANTES'!B:L,5,0)</f>
        <v>X</v>
      </c>
      <c r="F39" s="18" t="str">
        <f>VLOOKUP(E39,Listas!B1:C1004,2,0)</f>
        <v>EXCLUIDO</v>
      </c>
      <c r="G39" s="19" t="str">
        <f>VLOOKUP(A39,'ESTADOS ESTUDIANTES'!B:L,7,0)</f>
        <v>NO REGISTRA</v>
      </c>
      <c r="H39" s="19">
        <f>VLOOKUP(A39,'ESTADOS ESTUDIANTES'!B:L,8,0)</f>
        <v>0</v>
      </c>
      <c r="I39" s="70">
        <f>VLOOKUP(A39,'ESTADOS ESTUDIANTES'!B:L,9,0)</f>
        <v>0</v>
      </c>
      <c r="J39" s="19" t="str">
        <f>VLOOKUP(A39,'ESTADOS ESTUDIANTES'!B:L,10,0)</f>
        <v>CC</v>
      </c>
      <c r="K39" s="19">
        <f>VLOOKUP(A39,'ESTADOS ESTUDIANTES'!B:L,11,0)</f>
        <v>19457291</v>
      </c>
      <c r="L39" s="23"/>
      <c r="M39" s="20"/>
      <c r="N39" s="22"/>
      <c r="O39" s="15"/>
      <c r="P39" s="15"/>
      <c r="Q39" s="15"/>
      <c r="R39" s="15"/>
      <c r="S39" s="15"/>
      <c r="T39" s="15"/>
      <c r="U39" s="15"/>
    </row>
    <row r="40" spans="1:21" ht="90">
      <c r="A40" s="17">
        <v>20041195023</v>
      </c>
      <c r="B40" s="19" t="str">
        <f>VLOOKUP(A40,'ESTADOS ESTUDIANTES'!B:L,2,0)</f>
        <v>HERRERA BOLIVAR CLAUDIA YANETH</v>
      </c>
      <c r="C40" s="19">
        <f>VLOOKUP(A40,'ESTADOS ESTUDIANTES'!B:L,3,0)</f>
        <v>195</v>
      </c>
      <c r="D40" s="66" t="str">
        <f>VLOOKUP(A40,'ESTADOS ESTUDIANTES'!B:L,4,0)</f>
        <v>MAE. EN CIENCIAS DE LA INF. Y LAS COMUNICACIONES ENFASIS EN TELEINF.</v>
      </c>
      <c r="E40" s="19" t="str">
        <f>VLOOKUP(A40,'ESTADOS ESTUDIANTES'!B:L,5,0)</f>
        <v>X</v>
      </c>
      <c r="F40" s="18" t="str">
        <f>VLOOKUP(E40,Listas!B1:C1004,2,0)</f>
        <v>EXCLUIDO</v>
      </c>
      <c r="G40" s="19" t="str">
        <f>VLOOKUP(A40,'ESTADOS ESTUDIANTES'!B:L,7,0)</f>
        <v>NO REGISTRA</v>
      </c>
      <c r="H40" s="19" t="str">
        <f>VLOOKUP(A40,'ESTADOS ESTUDIANTES'!B:L,8,0)</f>
        <v>cyherrerab@correo.udistrital.edu.co</v>
      </c>
      <c r="I40" s="70" t="str">
        <f>VLOOKUP(A40,'ESTADOS ESTUDIANTES'!B:L,9,0)</f>
        <v>cyherrerab@estudiante.udistrital.edu.co</v>
      </c>
      <c r="J40" s="19" t="str">
        <f>VLOOKUP(A40,'ESTADOS ESTUDIANTES'!B:L,10,0)</f>
        <v>CC</v>
      </c>
      <c r="K40" s="19">
        <f>VLOOKUP(A40,'ESTADOS ESTUDIANTES'!B:L,11,0)</f>
        <v>52228374</v>
      </c>
      <c r="L40" s="23"/>
      <c r="M40" s="20"/>
      <c r="N40" s="22"/>
      <c r="O40" s="15"/>
      <c r="P40" s="15"/>
      <c r="Q40" s="15"/>
      <c r="R40" s="15"/>
      <c r="S40" s="15"/>
      <c r="T40" s="15"/>
      <c r="U40" s="15"/>
    </row>
    <row r="41" spans="1:21" ht="90">
      <c r="A41" s="17">
        <v>20041195024</v>
      </c>
      <c r="B41" s="19" t="str">
        <f>VLOOKUP(A41,'ESTADOS ESTUDIANTES'!B:L,2,0)</f>
        <v>MONTENEGRO NARVAEZ CARLOS E.</v>
      </c>
      <c r="C41" s="19">
        <f>VLOOKUP(A41,'ESTADOS ESTUDIANTES'!B:L,3,0)</f>
        <v>195</v>
      </c>
      <c r="D41" s="66" t="str">
        <f>VLOOKUP(A41,'ESTADOS ESTUDIANTES'!B:L,4,0)</f>
        <v>MAE. EN CIENCIAS DE LA INF. Y LAS COMUNICACIONES ENFASIS EN TELEINF.</v>
      </c>
      <c r="E41" s="19" t="str">
        <f>VLOOKUP(A41,'ESTADOS ESTUDIANTES'!B:L,5,0)</f>
        <v>X</v>
      </c>
      <c r="F41" s="18" t="str">
        <f>VLOOKUP(E41,Listas!B1:C1004,2,0)</f>
        <v>EXCLUIDO</v>
      </c>
      <c r="G41" s="19" t="str">
        <f>VLOOKUP(A41,'ESTADOS ESTUDIANTES'!B:L,7,0)</f>
        <v>NO REGISTRA</v>
      </c>
      <c r="H41" s="19">
        <f>VLOOKUP(A41,'ESTADOS ESTUDIANTES'!B:L,8,0)</f>
        <v>0</v>
      </c>
      <c r="I41" s="70">
        <f>VLOOKUP(A41,'ESTADOS ESTUDIANTES'!B:L,9,0)</f>
        <v>0</v>
      </c>
      <c r="J41" s="19" t="str">
        <f>VLOOKUP(A41,'ESTADOS ESTUDIANTES'!B:L,10,0)</f>
        <v>CC</v>
      </c>
      <c r="K41" s="19">
        <f>VLOOKUP(A41,'ESTADOS ESTUDIANTES'!B:L,11,0)</f>
        <v>98384496</v>
      </c>
      <c r="L41" s="23"/>
      <c r="M41" s="20"/>
      <c r="N41" s="22"/>
      <c r="O41" s="15"/>
      <c r="P41" s="15"/>
      <c r="Q41" s="15"/>
      <c r="R41" s="15"/>
      <c r="S41" s="15"/>
      <c r="T41" s="15"/>
      <c r="U41" s="15"/>
    </row>
    <row r="42" spans="1:21" ht="90">
      <c r="A42" s="17">
        <v>20041195025</v>
      </c>
      <c r="B42" s="19" t="str">
        <f>VLOOKUP(A42,'ESTADOS ESTUDIANTES'!B:L,2,0)</f>
        <v>OLAYA ALDANA SHEYLA BELEN</v>
      </c>
      <c r="C42" s="19">
        <f>VLOOKUP(A42,'ESTADOS ESTUDIANTES'!B:L,3,0)</f>
        <v>195</v>
      </c>
      <c r="D42" s="66" t="str">
        <f>VLOOKUP(A42,'ESTADOS ESTUDIANTES'!B:L,4,0)</f>
        <v>MAE. EN CIENCIAS DE LA INF. Y LAS COMUNICACIONES ENFASIS EN TELEINF.</v>
      </c>
      <c r="E42" s="19" t="str">
        <f>VLOOKUP(A42,'ESTADOS ESTUDIANTES'!B:L,5,0)</f>
        <v>I</v>
      </c>
      <c r="F42" s="18" t="str">
        <f>VLOOKUP(E42,Listas!B1:C1004,2,0)</f>
        <v>INACTIVO</v>
      </c>
      <c r="G42" s="19" t="str">
        <f>VLOOKUP(A42,'ESTADOS ESTUDIANTES'!B:L,7,0)</f>
        <v>NO REGISTRA</v>
      </c>
      <c r="H42" s="19">
        <f>VLOOKUP(A42,'ESTADOS ESTUDIANTES'!B:L,8,0)</f>
        <v>0</v>
      </c>
      <c r="I42" s="70">
        <f>VLOOKUP(A42,'ESTADOS ESTUDIANTES'!B:L,9,0)</f>
        <v>0</v>
      </c>
      <c r="J42" s="19" t="str">
        <f>VLOOKUP(A42,'ESTADOS ESTUDIANTES'!B:L,10,0)</f>
        <v>CC</v>
      </c>
      <c r="K42" s="19">
        <f>VLOOKUP(A42,'ESTADOS ESTUDIANTES'!B:L,11,0)</f>
        <v>36069422</v>
      </c>
      <c r="L42" s="21"/>
      <c r="M42" s="20"/>
      <c r="N42" s="22"/>
      <c r="O42" s="15"/>
      <c r="P42" s="15"/>
      <c r="Q42" s="15"/>
      <c r="R42" s="15"/>
      <c r="S42" s="15"/>
      <c r="T42" s="15"/>
      <c r="U42" s="15"/>
    </row>
    <row r="43" spans="1:21" ht="90">
      <c r="A43" s="17">
        <v>20041195026</v>
      </c>
      <c r="B43" s="19" t="str">
        <f>VLOOKUP(A43,'ESTADOS ESTUDIANTES'!B:L,2,0)</f>
        <v>SANCHEZ CASTILLO CESAR A.</v>
      </c>
      <c r="C43" s="19">
        <f>VLOOKUP(A43,'ESTADOS ESTUDIANTES'!B:L,3,0)</f>
        <v>195</v>
      </c>
      <c r="D43" s="66" t="str">
        <f>VLOOKUP(A43,'ESTADOS ESTUDIANTES'!B:L,4,0)</f>
        <v>MAE. EN CIENCIAS DE LA INF. Y LAS COMUNICACIONES ENFASIS EN TELEINF.</v>
      </c>
      <c r="E43" s="19" t="str">
        <f>VLOOKUP(A43,'ESTADOS ESTUDIANTES'!B:L,5,0)</f>
        <v>X</v>
      </c>
      <c r="F43" s="18" t="str">
        <f>VLOOKUP(E43,Listas!B1:C1004,2,0)</f>
        <v>EXCLUIDO</v>
      </c>
      <c r="G43" s="19" t="str">
        <f>VLOOKUP(A43,'ESTADOS ESTUDIANTES'!B:L,7,0)</f>
        <v>NO REGISTRA</v>
      </c>
      <c r="H43" s="19">
        <f>VLOOKUP(A43,'ESTADOS ESTUDIANTES'!B:L,8,0)</f>
        <v>0</v>
      </c>
      <c r="I43" s="70">
        <f>VLOOKUP(A43,'ESTADOS ESTUDIANTES'!B:L,9,0)</f>
        <v>0</v>
      </c>
      <c r="J43" s="19" t="str">
        <f>VLOOKUP(A43,'ESTADOS ESTUDIANTES'!B:L,10,0)</f>
        <v>CC</v>
      </c>
      <c r="K43" s="19">
        <f>VLOOKUP(A43,'ESTADOS ESTUDIANTES'!B:L,11,0)</f>
        <v>79650761</v>
      </c>
      <c r="L43" s="23"/>
      <c r="M43" s="20"/>
      <c r="N43" s="22"/>
      <c r="O43" s="15"/>
      <c r="P43" s="15"/>
      <c r="Q43" s="15"/>
      <c r="R43" s="15"/>
      <c r="S43" s="15"/>
      <c r="T43" s="15"/>
      <c r="U43" s="15"/>
    </row>
    <row r="44" spans="1:21" ht="90">
      <c r="A44" s="17">
        <v>20041195027</v>
      </c>
      <c r="B44" s="19" t="str">
        <f>VLOOKUP(A44,'ESTADOS ESTUDIANTES'!B:L,2,0)</f>
        <v>CASTAÑEDA PARRA JAVIER ALFONSO</v>
      </c>
      <c r="C44" s="19">
        <f>VLOOKUP(A44,'ESTADOS ESTUDIANTES'!B:L,3,0)</f>
        <v>195</v>
      </c>
      <c r="D44" s="66" t="str">
        <f>VLOOKUP(A44,'ESTADOS ESTUDIANTES'!B:L,4,0)</f>
        <v>MAE. EN CIENCIAS DE LA INF. Y LAS COMUNICACIONES ENFASIS EN TELEINF.</v>
      </c>
      <c r="E44" s="19" t="str">
        <f>VLOOKUP(A44,'ESTADOS ESTUDIANTES'!B:L,5,0)</f>
        <v>E</v>
      </c>
      <c r="F44" s="18" t="str">
        <f>VLOOKUP(E44,Listas!B1:C1004,2,0)</f>
        <v>EGRESADO</v>
      </c>
      <c r="G44" s="19" t="str">
        <f>VLOOKUP(A44,'ESTADOS ESTUDIANTES'!B:L,7,0)</f>
        <v>NO REGISTRA</v>
      </c>
      <c r="H44" s="19" t="str">
        <f>VLOOKUP(A44,'ESTADOS ESTUDIANTES'!B:L,8,0)</f>
        <v>jacastanedap@correo.udistrital.edu.co</v>
      </c>
      <c r="I44" s="70" t="str">
        <f>VLOOKUP(A44,'ESTADOS ESTUDIANTES'!B:L,9,0)</f>
        <v>jacastanedap@estudiante.udistrital.edu.co</v>
      </c>
      <c r="J44" s="19" t="str">
        <f>VLOOKUP(A44,'ESTADOS ESTUDIANTES'!B:L,10,0)</f>
        <v>CC</v>
      </c>
      <c r="K44" s="19">
        <f>VLOOKUP(A44,'ESTADOS ESTUDIANTES'!B:L,11,0)</f>
        <v>79363308</v>
      </c>
      <c r="L44" s="23"/>
      <c r="M44" s="20"/>
      <c r="N44" s="22"/>
      <c r="O44" s="15"/>
      <c r="P44" s="15"/>
      <c r="Q44" s="15"/>
      <c r="R44" s="15"/>
      <c r="S44" s="15"/>
      <c r="T44" s="15"/>
      <c r="U44" s="15"/>
    </row>
    <row r="45" spans="1:21" ht="90">
      <c r="A45" s="17">
        <v>20041195028</v>
      </c>
      <c r="B45" s="19" t="str">
        <f>VLOOKUP(A45,'ESTADOS ESTUDIANTES'!B:L,2,0)</f>
        <v>LOPEZ CHAVEZ HANS IGOR</v>
      </c>
      <c r="C45" s="19">
        <f>VLOOKUP(A45,'ESTADOS ESTUDIANTES'!B:L,3,0)</f>
        <v>195</v>
      </c>
      <c r="D45" s="66" t="str">
        <f>VLOOKUP(A45,'ESTADOS ESTUDIANTES'!B:L,4,0)</f>
        <v>MAE. EN CIENCIAS DE LA INF. Y LAS COMUNICACIONES ENFASIS EN TELEINF.</v>
      </c>
      <c r="E45" s="19" t="str">
        <f>VLOOKUP(A45,'ESTADOS ESTUDIANTES'!B:L,5,0)</f>
        <v>E</v>
      </c>
      <c r="F45" s="18" t="str">
        <f>VLOOKUP(E45,Listas!B1:C1004,2,0)</f>
        <v>EGRESADO</v>
      </c>
      <c r="G45" s="19" t="str">
        <f>VLOOKUP(A45,'ESTADOS ESTUDIANTES'!B:L,7,0)</f>
        <v>NO REGISTRA</v>
      </c>
      <c r="H45" s="19" t="str">
        <f>VLOOKUP(A45,'ESTADOS ESTUDIANTES'!B:L,8,0)</f>
        <v>hilopezc@correo.udistrital.edu.co</v>
      </c>
      <c r="I45" s="70" t="str">
        <f>VLOOKUP(A45,'ESTADOS ESTUDIANTES'!B:L,9,0)</f>
        <v>hanslop@gmail.com</v>
      </c>
      <c r="J45" s="19" t="str">
        <f>VLOOKUP(A45,'ESTADOS ESTUDIANTES'!B:L,10,0)</f>
        <v>CC</v>
      </c>
      <c r="K45" s="19">
        <f>VLOOKUP(A45,'ESTADOS ESTUDIANTES'!B:L,11,0)</f>
        <v>80033827</v>
      </c>
      <c r="L45" s="23"/>
      <c r="M45" s="20"/>
      <c r="N45" s="22"/>
      <c r="O45" s="15"/>
      <c r="P45" s="15"/>
      <c r="Q45" s="15"/>
      <c r="R45" s="15"/>
      <c r="S45" s="15"/>
      <c r="T45" s="15"/>
      <c r="U45" s="15"/>
    </row>
    <row r="46" spans="1:21" ht="90">
      <c r="A46" s="17">
        <v>20041295001</v>
      </c>
      <c r="B46" s="19" t="str">
        <f>VLOOKUP(A46,'ESTADOS ESTUDIANTES'!B:L,2,0)</f>
        <v>ABDEL AZIZ GALINDO ANIS A.</v>
      </c>
      <c r="C46" s="19">
        <f>VLOOKUP(A46,'ESTADOS ESTUDIANTES'!B:L,3,0)</f>
        <v>295</v>
      </c>
      <c r="D46" s="66" t="str">
        <f>VLOOKUP(A46,'ESTADOS ESTUDIANTES'!B:L,4,0)</f>
        <v>MAE. EN CIENCIAS DE LA INF. Y LAS COMUNICACIONES ENFASIS EN SIS. INFOR</v>
      </c>
      <c r="E46" s="19" t="str">
        <f>VLOOKUP(A46,'ESTADOS ESTUDIANTES'!B:L,5,0)</f>
        <v>X</v>
      </c>
      <c r="F46" s="18" t="str">
        <f>VLOOKUP(E46,Listas!B1:C1004,2,0)</f>
        <v>EXCLUIDO</v>
      </c>
      <c r="G46" s="19" t="str">
        <f>VLOOKUP(A46,'ESTADOS ESTUDIANTES'!B:L,7,0)</f>
        <v>NO REGISTRA</v>
      </c>
      <c r="H46" s="19">
        <f>VLOOKUP(A46,'ESTADOS ESTUDIANTES'!B:L,8,0)</f>
        <v>0</v>
      </c>
      <c r="I46" s="70">
        <f>VLOOKUP(A46,'ESTADOS ESTUDIANTES'!B:L,9,0)</f>
        <v>0</v>
      </c>
      <c r="J46" s="19" t="str">
        <f>VLOOKUP(A46,'ESTADOS ESTUDIANTES'!B:L,10,0)</f>
        <v>CC</v>
      </c>
      <c r="K46" s="19">
        <f>VLOOKUP(A46,'ESTADOS ESTUDIANTES'!B:L,11,0)</f>
        <v>79788234</v>
      </c>
      <c r="L46" s="23"/>
      <c r="M46" s="20"/>
      <c r="N46" s="22"/>
      <c r="O46" s="15"/>
      <c r="P46" s="15"/>
      <c r="Q46" s="15"/>
      <c r="R46" s="15"/>
      <c r="S46" s="15"/>
      <c r="T46" s="15"/>
      <c r="U46" s="15"/>
    </row>
    <row r="47" spans="1:21" ht="90">
      <c r="A47" s="17">
        <v>20041295002</v>
      </c>
      <c r="B47" s="19" t="str">
        <f>VLOOKUP(A47,'ESTADOS ESTUDIANTES'!B:L,2,0)</f>
        <v>CAMARGO MENDOZA JORGE E.</v>
      </c>
      <c r="C47" s="19">
        <f>VLOOKUP(A47,'ESTADOS ESTUDIANTES'!B:L,3,0)</f>
        <v>295</v>
      </c>
      <c r="D47" s="66" t="str">
        <f>VLOOKUP(A47,'ESTADOS ESTUDIANTES'!B:L,4,0)</f>
        <v>MAE. EN CIENCIAS DE LA INF. Y LAS COMUNICACIONES ENFASIS EN SIS. INFOR</v>
      </c>
      <c r="E47" s="19" t="str">
        <f>VLOOKUP(A47,'ESTADOS ESTUDIANTES'!B:L,5,0)</f>
        <v>X</v>
      </c>
      <c r="F47" s="18" t="str">
        <f>VLOOKUP(E47,Listas!B1:C1004,2,0)</f>
        <v>EXCLUIDO</v>
      </c>
      <c r="G47" s="19" t="str">
        <f>VLOOKUP(A47,'ESTADOS ESTUDIANTES'!B:L,7,0)</f>
        <v>NO REGISTRA</v>
      </c>
      <c r="H47" s="19">
        <f>VLOOKUP(A47,'ESTADOS ESTUDIANTES'!B:L,8,0)</f>
        <v>0</v>
      </c>
      <c r="I47" s="70">
        <f>VLOOKUP(A47,'ESTADOS ESTUDIANTES'!B:L,9,0)</f>
        <v>0</v>
      </c>
      <c r="J47" s="19" t="str">
        <f>VLOOKUP(A47,'ESTADOS ESTUDIANTES'!B:L,10,0)</f>
        <v>CC</v>
      </c>
      <c r="K47" s="19">
        <f>VLOOKUP(A47,'ESTADOS ESTUDIANTES'!B:L,11,0)</f>
        <v>79755516</v>
      </c>
      <c r="L47" s="23"/>
      <c r="M47" s="20"/>
      <c r="N47" s="22"/>
      <c r="O47" s="15"/>
      <c r="P47" s="15"/>
      <c r="Q47" s="15"/>
      <c r="R47" s="15"/>
      <c r="S47" s="15"/>
      <c r="T47" s="15"/>
      <c r="U47" s="15"/>
    </row>
    <row r="48" spans="1:21" ht="90">
      <c r="A48" s="17">
        <v>20041295003</v>
      </c>
      <c r="B48" s="19" t="str">
        <f>VLOOKUP(A48,'ESTADOS ESTUDIANTES'!B:L,2,0)</f>
        <v>CANCELADO PACHON JULIO CESAR</v>
      </c>
      <c r="C48" s="19">
        <f>VLOOKUP(A48,'ESTADOS ESTUDIANTES'!B:L,3,0)</f>
        <v>295</v>
      </c>
      <c r="D48" s="66" t="str">
        <f>VLOOKUP(A48,'ESTADOS ESTUDIANTES'!B:L,4,0)</f>
        <v>MAE. EN CIENCIAS DE LA INF. Y LAS COMUNICACIONES ENFASIS EN SIS. INFOR</v>
      </c>
      <c r="E48" s="19" t="str">
        <f>VLOOKUP(A48,'ESTADOS ESTUDIANTES'!B:L,5,0)</f>
        <v>X</v>
      </c>
      <c r="F48" s="18" t="str">
        <f>VLOOKUP(E48,Listas!B1:C1004,2,0)</f>
        <v>EXCLUIDO</v>
      </c>
      <c r="G48" s="19" t="str">
        <f>VLOOKUP(A48,'ESTADOS ESTUDIANTES'!B:L,7,0)</f>
        <v>NO REGISTRA</v>
      </c>
      <c r="H48" s="19">
        <f>VLOOKUP(A48,'ESTADOS ESTUDIANTES'!B:L,8,0)</f>
        <v>0</v>
      </c>
      <c r="I48" s="70">
        <f>VLOOKUP(A48,'ESTADOS ESTUDIANTES'!B:L,9,0)</f>
        <v>0</v>
      </c>
      <c r="J48" s="19" t="str">
        <f>VLOOKUP(A48,'ESTADOS ESTUDIANTES'!B:L,10,0)</f>
        <v>CC</v>
      </c>
      <c r="K48" s="19">
        <f>VLOOKUP(A48,'ESTADOS ESTUDIANTES'!B:L,11,0)</f>
        <v>19453135</v>
      </c>
      <c r="L48" s="23"/>
      <c r="M48" s="20"/>
      <c r="N48" s="22"/>
      <c r="O48" s="15"/>
      <c r="P48" s="15"/>
      <c r="Q48" s="15"/>
      <c r="R48" s="15"/>
      <c r="S48" s="15"/>
      <c r="T48" s="15"/>
      <c r="U48" s="15"/>
    </row>
    <row r="49" spans="1:21" ht="90">
      <c r="A49" s="17">
        <v>20041295004</v>
      </c>
      <c r="B49" s="19" t="str">
        <f>VLOOKUP(A49,'ESTADOS ESTUDIANTES'!B:L,2,0)</f>
        <v>CLAVIJO CUINEME LUIS ALBERTO</v>
      </c>
      <c r="C49" s="19">
        <f>VLOOKUP(A49,'ESTADOS ESTUDIANTES'!B:L,3,0)</f>
        <v>295</v>
      </c>
      <c r="D49" s="66" t="str">
        <f>VLOOKUP(A49,'ESTADOS ESTUDIANTES'!B:L,4,0)</f>
        <v>MAE. EN CIENCIAS DE LA INF. Y LAS COMUNICACIONES ENFASIS EN SIS. INFOR</v>
      </c>
      <c r="E49" s="19" t="str">
        <f>VLOOKUP(A49,'ESTADOS ESTUDIANTES'!B:L,5,0)</f>
        <v>E</v>
      </c>
      <c r="F49" s="18" t="str">
        <f>VLOOKUP(E49,Listas!B1:C1004,2,0)</f>
        <v>EGRESADO</v>
      </c>
      <c r="G49" s="19" t="str">
        <f>VLOOKUP(A49,'ESTADOS ESTUDIANTES'!B:L,7,0)</f>
        <v>NO REGISTRA</v>
      </c>
      <c r="H49" s="19" t="str">
        <f>VLOOKUP(A49,'ESTADOS ESTUDIANTES'!B:L,8,0)</f>
        <v>laclavijog@correo.udistrital.edu.co</v>
      </c>
      <c r="I49" s="70" t="str">
        <f>VLOOKUP(A49,'ESTADOS ESTUDIANTES'!B:L,9,0)</f>
        <v>laclavijo@gmail.com</v>
      </c>
      <c r="J49" s="19" t="str">
        <f>VLOOKUP(A49,'ESTADOS ESTUDIANTES'!B:L,10,0)</f>
        <v>CC</v>
      </c>
      <c r="K49" s="19">
        <f>VLOOKUP(A49,'ESTADOS ESTUDIANTES'!B:L,11,0)</f>
        <v>19458790</v>
      </c>
      <c r="L49" s="23"/>
      <c r="M49" s="20"/>
      <c r="N49" s="22"/>
      <c r="O49" s="15"/>
      <c r="P49" s="15"/>
      <c r="Q49" s="15"/>
      <c r="R49" s="15"/>
      <c r="S49" s="15"/>
      <c r="T49" s="15"/>
      <c r="U49" s="15"/>
    </row>
    <row r="50" spans="1:21" ht="90">
      <c r="A50" s="17">
        <v>20041295005</v>
      </c>
      <c r="B50" s="19" t="str">
        <f>VLOOKUP(A50,'ESTADOS ESTUDIANTES'!B:L,2,0)</f>
        <v>DIAZ CABRERA GLORIA MERCEDES</v>
      </c>
      <c r="C50" s="19">
        <f>VLOOKUP(A50,'ESTADOS ESTUDIANTES'!B:L,3,0)</f>
        <v>295</v>
      </c>
      <c r="D50" s="66" t="str">
        <f>VLOOKUP(A50,'ESTADOS ESTUDIANTES'!B:L,4,0)</f>
        <v>MAE. EN CIENCIAS DE LA INF. Y LAS COMUNICACIONES ENFASIS EN SIS. INFOR</v>
      </c>
      <c r="E50" s="19" t="str">
        <f>VLOOKUP(A50,'ESTADOS ESTUDIANTES'!B:L,5,0)</f>
        <v>X</v>
      </c>
      <c r="F50" s="18" t="str">
        <f>VLOOKUP(E50,Listas!B1:C1004,2,0)</f>
        <v>EXCLUIDO</v>
      </c>
      <c r="G50" s="19" t="str">
        <f>VLOOKUP(A50,'ESTADOS ESTUDIANTES'!B:L,7,0)</f>
        <v>NO REGISTRA</v>
      </c>
      <c r="H50" s="19" t="str">
        <f>VLOOKUP(A50,'ESTADOS ESTUDIANTES'!B:L,8,0)</f>
        <v>gmdiazc@correo.udistrital.edu.co</v>
      </c>
      <c r="I50" s="70" t="str">
        <f>VLOOKUP(A50,'ESTADOS ESTUDIANTES'!B:L,9,0)</f>
        <v>gmdiazc@estudiante.udistrital.edu.co</v>
      </c>
      <c r="J50" s="19" t="str">
        <f>VLOOKUP(A50,'ESTADOS ESTUDIANTES'!B:L,10,0)</f>
        <v>CC</v>
      </c>
      <c r="K50" s="19">
        <f>VLOOKUP(A50,'ESTADOS ESTUDIANTES'!B:L,11,0)</f>
        <v>52433428</v>
      </c>
      <c r="L50" s="23"/>
      <c r="M50" s="20"/>
      <c r="N50" s="22"/>
      <c r="O50" s="15"/>
      <c r="P50" s="15"/>
      <c r="Q50" s="15"/>
      <c r="R50" s="15"/>
      <c r="S50" s="15"/>
      <c r="T50" s="15"/>
      <c r="U50" s="15"/>
    </row>
    <row r="51" spans="1:21" ht="90">
      <c r="A51" s="17">
        <v>20041295006</v>
      </c>
      <c r="B51" s="19" t="str">
        <f>VLOOKUP(A51,'ESTADOS ESTUDIANTES'!B:L,2,0)</f>
        <v>ESPINOSA SALAZAR EDNA CECILIA</v>
      </c>
      <c r="C51" s="19">
        <f>VLOOKUP(A51,'ESTADOS ESTUDIANTES'!B:L,3,0)</f>
        <v>295</v>
      </c>
      <c r="D51" s="66" t="str">
        <f>VLOOKUP(A51,'ESTADOS ESTUDIANTES'!B:L,4,0)</f>
        <v>MAE. EN CIENCIAS DE LA INF. Y LAS COMUNICACIONES ENFASIS EN SIS. INFOR</v>
      </c>
      <c r="E51" s="19" t="str">
        <f>VLOOKUP(A51,'ESTADOS ESTUDIANTES'!B:L,5,0)</f>
        <v>X</v>
      </c>
      <c r="F51" s="18" t="str">
        <f>VLOOKUP(E51,Listas!B1:C1004,2,0)</f>
        <v>EXCLUIDO</v>
      </c>
      <c r="G51" s="19" t="str">
        <f>VLOOKUP(A51,'ESTADOS ESTUDIANTES'!B:L,7,0)</f>
        <v>NO REGISTRA</v>
      </c>
      <c r="H51" s="19" t="str">
        <f>VLOOKUP(A51,'ESTADOS ESTUDIANTES'!B:L,8,0)</f>
        <v>ecespinosas@correo.udistrital.edu.co</v>
      </c>
      <c r="I51" s="70" t="str">
        <f>VLOOKUP(A51,'ESTADOS ESTUDIANTES'!B:L,9,0)</f>
        <v>ecespinosa@gmail.com</v>
      </c>
      <c r="J51" s="19" t="str">
        <f>VLOOKUP(A51,'ESTADOS ESTUDIANTES'!B:L,10,0)</f>
        <v>CC</v>
      </c>
      <c r="K51" s="19">
        <f>VLOOKUP(A51,'ESTADOS ESTUDIANTES'!B:L,11,0)</f>
        <v>32785853</v>
      </c>
      <c r="L51" s="23"/>
      <c r="M51" s="20"/>
      <c r="N51" s="22"/>
      <c r="O51" s="15"/>
      <c r="P51" s="15"/>
      <c r="Q51" s="15"/>
      <c r="R51" s="15"/>
      <c r="S51" s="15"/>
      <c r="T51" s="15"/>
      <c r="U51" s="15"/>
    </row>
    <row r="52" spans="1:21" ht="90">
      <c r="A52" s="17">
        <v>20041295007</v>
      </c>
      <c r="B52" s="19" t="str">
        <f>VLOOKUP(A52,'ESTADOS ESTUDIANTES'!B:L,2,0)</f>
        <v>FLOREZ FERNANDEZ HECTOR A.</v>
      </c>
      <c r="C52" s="19">
        <f>VLOOKUP(A52,'ESTADOS ESTUDIANTES'!B:L,3,0)</f>
        <v>295</v>
      </c>
      <c r="D52" s="66" t="str">
        <f>VLOOKUP(A52,'ESTADOS ESTUDIANTES'!B:L,4,0)</f>
        <v>MAE. EN CIENCIAS DE LA INF. Y LAS COMUNICACIONES ENFASIS EN SIS. INFOR</v>
      </c>
      <c r="E52" s="19" t="str">
        <f>VLOOKUP(A52,'ESTADOS ESTUDIANTES'!B:L,5,0)</f>
        <v>E</v>
      </c>
      <c r="F52" s="18" t="str">
        <f>VLOOKUP(E52,Listas!B1:C1004,2,0)</f>
        <v>EGRESADO</v>
      </c>
      <c r="G52" s="19" t="str">
        <f>VLOOKUP(A52,'ESTADOS ESTUDIANTES'!B:L,7,0)</f>
        <v>NO REGISTRA</v>
      </c>
      <c r="H52" s="19" t="str">
        <f>VLOOKUP(A52,'ESTADOS ESTUDIANTES'!B:L,8,0)</f>
        <v>haflorezf@correo.udistrital.edu.co</v>
      </c>
      <c r="I52" s="70" t="str">
        <f>VLOOKUP(A52,'ESTADOS ESTUDIANTES'!B:L,9,0)</f>
        <v>hectorarturo@yahoo.com</v>
      </c>
      <c r="J52" s="19" t="str">
        <f>VLOOKUP(A52,'ESTADOS ESTUDIANTES'!B:L,10,0)</f>
        <v>CC</v>
      </c>
      <c r="K52" s="19">
        <f>VLOOKUP(A52,'ESTADOS ESTUDIANTES'!B:L,11,0)</f>
        <v>80180279</v>
      </c>
      <c r="L52" s="23"/>
      <c r="M52" s="20"/>
      <c r="N52" s="22"/>
      <c r="O52" s="15"/>
      <c r="P52" s="15"/>
      <c r="Q52" s="15"/>
      <c r="R52" s="15"/>
      <c r="S52" s="15"/>
      <c r="T52" s="15"/>
      <c r="U52" s="15"/>
    </row>
    <row r="53" spans="1:21" ht="90">
      <c r="A53" s="17">
        <v>20041295008</v>
      </c>
      <c r="B53" s="19" t="str">
        <f>VLOOKUP(A53,'ESTADOS ESTUDIANTES'!B:L,2,0)</f>
        <v>FRANCO HELVAR RODOLFO</v>
      </c>
      <c r="C53" s="19">
        <f>VLOOKUP(A53,'ESTADOS ESTUDIANTES'!B:L,3,0)</f>
        <v>295</v>
      </c>
      <c r="D53" s="66" t="str">
        <f>VLOOKUP(A53,'ESTADOS ESTUDIANTES'!B:L,4,0)</f>
        <v>MAE. EN CIENCIAS DE LA INF. Y LAS COMUNICACIONES ENFASIS EN SIS. INFOR</v>
      </c>
      <c r="E53" s="19" t="str">
        <f>VLOOKUP(A53,'ESTADOS ESTUDIANTES'!B:L,5,0)</f>
        <v>X</v>
      </c>
      <c r="F53" s="18" t="str">
        <f>VLOOKUP(E53,Listas!B1:C1004,2,0)</f>
        <v>EXCLUIDO</v>
      </c>
      <c r="G53" s="19" t="str">
        <f>VLOOKUP(A53,'ESTADOS ESTUDIANTES'!B:L,7,0)</f>
        <v>NO REGISTRA</v>
      </c>
      <c r="H53" s="19">
        <f>VLOOKUP(A53,'ESTADOS ESTUDIANTES'!B:L,8,0)</f>
        <v>0</v>
      </c>
      <c r="I53" s="70">
        <f>VLOOKUP(A53,'ESTADOS ESTUDIANTES'!B:L,9,0)</f>
        <v>0</v>
      </c>
      <c r="J53" s="19" t="str">
        <f>VLOOKUP(A53,'ESTADOS ESTUDIANTES'!B:L,10,0)</f>
        <v>CC</v>
      </c>
      <c r="K53" s="19">
        <f>VLOOKUP(A53,'ESTADOS ESTUDIANTES'!B:L,11,0)</f>
        <v>79601302</v>
      </c>
      <c r="L53" s="23"/>
      <c r="M53" s="20"/>
      <c r="N53" s="22"/>
      <c r="O53" s="15"/>
      <c r="P53" s="15"/>
      <c r="Q53" s="15"/>
      <c r="R53" s="15"/>
      <c r="S53" s="15"/>
      <c r="T53" s="15"/>
      <c r="U53" s="15"/>
    </row>
    <row r="54" spans="1:21" ht="90">
      <c r="A54" s="17">
        <v>20041295009</v>
      </c>
      <c r="B54" s="19" t="str">
        <f>VLOOKUP(A54,'ESTADOS ESTUDIANTES'!B:L,2,0)</f>
        <v>GOMEZ MORA MILLER</v>
      </c>
      <c r="C54" s="19">
        <f>VLOOKUP(A54,'ESTADOS ESTUDIANTES'!B:L,3,0)</f>
        <v>295</v>
      </c>
      <c r="D54" s="66" t="str">
        <f>VLOOKUP(A54,'ESTADOS ESTUDIANTES'!B:L,4,0)</f>
        <v>MAE. EN CIENCIAS DE LA INF. Y LAS COMUNICACIONES ENFASIS EN SIS. INFOR</v>
      </c>
      <c r="E54" s="19" t="str">
        <f>VLOOKUP(A54,'ESTADOS ESTUDIANTES'!B:L,5,0)</f>
        <v>E</v>
      </c>
      <c r="F54" s="18" t="str">
        <f>VLOOKUP(E54,Listas!B1:C1004,2,0)</f>
        <v>EGRESADO</v>
      </c>
      <c r="G54" s="19" t="str">
        <f>VLOOKUP(A54,'ESTADOS ESTUDIANTES'!B:L,7,0)</f>
        <v>NO REGISTRA</v>
      </c>
      <c r="H54" s="19" t="str">
        <f>VLOOKUP(A54,'ESTADOS ESTUDIANTES'!B:L,8,0)</f>
        <v>migomezm@correo.udistrital.edu.co</v>
      </c>
      <c r="I54" s="70" t="str">
        <f>VLOOKUP(A54,'ESTADOS ESTUDIANTES'!B:L,9,0)</f>
        <v>migomezm@estudiante.udistrital.edu.co</v>
      </c>
      <c r="J54" s="19" t="str">
        <f>VLOOKUP(A54,'ESTADOS ESTUDIANTES'!B:L,10,0)</f>
        <v>CC</v>
      </c>
      <c r="K54" s="19">
        <f>VLOOKUP(A54,'ESTADOS ESTUDIANTES'!B:L,11,0)</f>
        <v>79520182</v>
      </c>
      <c r="L54" s="23"/>
      <c r="M54" s="20"/>
      <c r="N54" s="22"/>
      <c r="O54" s="15"/>
      <c r="P54" s="15"/>
      <c r="Q54" s="15"/>
      <c r="R54" s="15"/>
      <c r="S54" s="15"/>
      <c r="T54" s="15"/>
      <c r="U54" s="15"/>
    </row>
    <row r="55" spans="1:21" ht="90">
      <c r="A55" s="17">
        <v>20041295010</v>
      </c>
      <c r="B55" s="19" t="str">
        <f>VLOOKUP(A55,'ESTADOS ESTUDIANTES'!B:L,2,0)</f>
        <v>GUEVARA BOLAÑOS JUAN CARLOS</v>
      </c>
      <c r="C55" s="19">
        <f>VLOOKUP(A55,'ESTADOS ESTUDIANTES'!B:L,3,0)</f>
        <v>295</v>
      </c>
      <c r="D55" s="66" t="str">
        <f>VLOOKUP(A55,'ESTADOS ESTUDIANTES'!B:L,4,0)</f>
        <v>MAE. EN CIENCIAS DE LA INF. Y LAS COMUNICACIONES ENFASIS EN SIS. INFOR</v>
      </c>
      <c r="E55" s="19" t="str">
        <f>VLOOKUP(A55,'ESTADOS ESTUDIANTES'!B:L,5,0)</f>
        <v>E</v>
      </c>
      <c r="F55" s="18" t="str">
        <f>VLOOKUP(E55,Listas!B1:C1004,2,0)</f>
        <v>EGRESADO</v>
      </c>
      <c r="G55" s="19" t="str">
        <f>VLOOKUP(A55,'ESTADOS ESTUDIANTES'!B:L,7,0)</f>
        <v>NO REGISTRA</v>
      </c>
      <c r="H55" s="19" t="str">
        <f>VLOOKUP(A55,'ESTADOS ESTUDIANTES'!B:L,8,0)</f>
        <v>jcguevarab@correo.udistrital.edu.co</v>
      </c>
      <c r="I55" s="70" t="str">
        <f>VLOOKUP(A55,'ESTADOS ESTUDIANTES'!B:L,9,0)</f>
        <v>jcguevarab@udistrital.edu.co</v>
      </c>
      <c r="J55" s="19" t="str">
        <f>VLOOKUP(A55,'ESTADOS ESTUDIANTES'!B:L,10,0)</f>
        <v>CC</v>
      </c>
      <c r="K55" s="19">
        <f>VLOOKUP(A55,'ESTADOS ESTUDIANTES'!B:L,11,0)</f>
        <v>79422893</v>
      </c>
      <c r="L55" s="23"/>
      <c r="M55" s="20"/>
      <c r="N55" s="22"/>
      <c r="O55" s="15"/>
      <c r="P55" s="15"/>
      <c r="Q55" s="15"/>
      <c r="R55" s="15"/>
      <c r="S55" s="15"/>
      <c r="T55" s="15"/>
      <c r="U55" s="15"/>
    </row>
    <row r="56" spans="1:21" ht="90">
      <c r="A56" s="17">
        <v>20041295011</v>
      </c>
      <c r="B56" s="19" t="str">
        <f>VLOOKUP(A56,'ESTADOS ESTUDIANTES'!B:L,2,0)</f>
        <v>MARTINEZ GONZALEZ JOSE M</v>
      </c>
      <c r="C56" s="19">
        <f>VLOOKUP(A56,'ESTADOS ESTUDIANTES'!B:L,3,0)</f>
        <v>295</v>
      </c>
      <c r="D56" s="66" t="str">
        <f>VLOOKUP(A56,'ESTADOS ESTUDIANTES'!B:L,4,0)</f>
        <v>MAE. EN CIENCIAS DE LA INF. Y LAS COMUNICACIONES ENFASIS EN SIS. INFOR</v>
      </c>
      <c r="E56" s="19" t="str">
        <f>VLOOKUP(A56,'ESTADOS ESTUDIANTES'!B:L,5,0)</f>
        <v>X</v>
      </c>
      <c r="F56" s="18" t="str">
        <f>VLOOKUP(E56,Listas!B1:C1004,2,0)</f>
        <v>EXCLUIDO</v>
      </c>
      <c r="G56" s="19" t="str">
        <f>VLOOKUP(A56,'ESTADOS ESTUDIANTES'!B:L,7,0)</f>
        <v>NO REGISTRA</v>
      </c>
      <c r="H56" s="19" t="str">
        <f>VLOOKUP(A56,'ESTADOS ESTUDIANTES'!B:L,8,0)</f>
        <v>jmmartinezg@correo.udistrital.edu.co</v>
      </c>
      <c r="I56" s="70" t="str">
        <f>VLOOKUP(A56,'ESTADOS ESTUDIANTES'!B:L,9,0)</f>
        <v>jmmartinezg@estudiante.udistrital.edu.co</v>
      </c>
      <c r="J56" s="19" t="str">
        <f>VLOOKUP(A56,'ESTADOS ESTUDIANTES'!B:L,10,0)</f>
        <v>CC</v>
      </c>
      <c r="K56" s="19">
        <f>VLOOKUP(A56,'ESTADOS ESTUDIANTES'!B:L,11,0)</f>
        <v>79715018</v>
      </c>
      <c r="L56" s="23"/>
      <c r="M56" s="20"/>
      <c r="N56" s="22"/>
      <c r="O56" s="15"/>
      <c r="P56" s="15"/>
      <c r="Q56" s="15"/>
      <c r="R56" s="15"/>
      <c r="S56" s="15"/>
      <c r="T56" s="15"/>
      <c r="U56" s="15"/>
    </row>
    <row r="57" spans="1:21" ht="90">
      <c r="A57" s="17">
        <v>20041295012</v>
      </c>
      <c r="B57" s="19" t="str">
        <f>VLOOKUP(A57,'ESTADOS ESTUDIANTES'!B:L,2,0)</f>
        <v>MURIEL BEJARANO HERNAN A.</v>
      </c>
      <c r="C57" s="19">
        <f>VLOOKUP(A57,'ESTADOS ESTUDIANTES'!B:L,3,0)</f>
        <v>295</v>
      </c>
      <c r="D57" s="66" t="str">
        <f>VLOOKUP(A57,'ESTADOS ESTUDIANTES'!B:L,4,0)</f>
        <v>MAE. EN CIENCIAS DE LA INF. Y LAS COMUNICACIONES ENFASIS EN SIS. INFOR</v>
      </c>
      <c r="E57" s="19" t="str">
        <f>VLOOKUP(A57,'ESTADOS ESTUDIANTES'!B:L,5,0)</f>
        <v>X</v>
      </c>
      <c r="F57" s="18" t="str">
        <f>VLOOKUP(E57,Listas!B1:C1004,2,0)</f>
        <v>EXCLUIDO</v>
      </c>
      <c r="G57" s="19" t="str">
        <f>VLOOKUP(A57,'ESTADOS ESTUDIANTES'!B:L,7,0)</f>
        <v>NO REGISTRA</v>
      </c>
      <c r="H57" s="19" t="str">
        <f>VLOOKUP(A57,'ESTADOS ESTUDIANTES'!B:L,8,0)</f>
        <v>hamurielb@correo.udistrital.edu.co</v>
      </c>
      <c r="I57" s="70" t="str">
        <f>VLOOKUP(A57,'ESTADOS ESTUDIANTES'!B:L,9,0)</f>
        <v>hamurielb@estudiante.udistrital.edu.co</v>
      </c>
      <c r="J57" s="19" t="str">
        <f>VLOOKUP(A57,'ESTADOS ESTUDIANTES'!B:L,10,0)</f>
        <v>CC</v>
      </c>
      <c r="K57" s="19">
        <f>VLOOKUP(A57,'ESTADOS ESTUDIANTES'!B:L,11,0)</f>
        <v>79041180</v>
      </c>
      <c r="L57" s="23"/>
      <c r="M57" s="20"/>
      <c r="N57" s="22"/>
      <c r="O57" s="15"/>
      <c r="P57" s="15"/>
      <c r="Q57" s="15"/>
      <c r="R57" s="15"/>
      <c r="S57" s="15"/>
      <c r="T57" s="15"/>
      <c r="U57" s="15"/>
    </row>
    <row r="58" spans="1:21" ht="90">
      <c r="A58" s="17">
        <v>20041295013</v>
      </c>
      <c r="B58" s="19" t="str">
        <f>VLOOKUP(A58,'ESTADOS ESTUDIANTES'!B:L,2,0)</f>
        <v>OSMA RODRIGUEZ JAIR EDUARDO</v>
      </c>
      <c r="C58" s="19">
        <f>VLOOKUP(A58,'ESTADOS ESTUDIANTES'!B:L,3,0)</f>
        <v>295</v>
      </c>
      <c r="D58" s="66" t="str">
        <f>VLOOKUP(A58,'ESTADOS ESTUDIANTES'!B:L,4,0)</f>
        <v>MAE. EN CIENCIAS DE LA INF. Y LAS COMUNICACIONES ENFASIS EN SIS. INFOR</v>
      </c>
      <c r="E58" s="19" t="str">
        <f>VLOOKUP(A58,'ESTADOS ESTUDIANTES'!B:L,5,0)</f>
        <v>E</v>
      </c>
      <c r="F58" s="18" t="str">
        <f>VLOOKUP(E58,Listas!B1:C1004,2,0)</f>
        <v>EGRESADO</v>
      </c>
      <c r="G58" s="19" t="str">
        <f>VLOOKUP(A58,'ESTADOS ESTUDIANTES'!B:L,7,0)</f>
        <v>NO REGISTRA</v>
      </c>
      <c r="H58" s="19" t="str">
        <f>VLOOKUP(A58,'ESTADOS ESTUDIANTES'!B:L,8,0)</f>
        <v>jaeosmar@correo.udistrital.edu.co</v>
      </c>
      <c r="I58" s="70" t="str">
        <f>VLOOKUP(A58,'ESTADOS ESTUDIANTES'!B:L,9,0)</f>
        <v>josma@007mundo.com</v>
      </c>
      <c r="J58" s="19" t="str">
        <f>VLOOKUP(A58,'ESTADOS ESTUDIANTES'!B:L,10,0)</f>
        <v>CC</v>
      </c>
      <c r="K58" s="19">
        <f>VLOOKUP(A58,'ESTADOS ESTUDIANTES'!B:L,11,0)</f>
        <v>79380285</v>
      </c>
      <c r="L58" s="23"/>
      <c r="M58" s="20"/>
      <c r="N58" s="22"/>
      <c r="O58" s="15"/>
      <c r="P58" s="15"/>
      <c r="Q58" s="15"/>
      <c r="R58" s="15"/>
      <c r="S58" s="15"/>
      <c r="T58" s="15"/>
      <c r="U58" s="15"/>
    </row>
    <row r="59" spans="1:21" ht="90">
      <c r="A59" s="17">
        <v>20041295014</v>
      </c>
      <c r="B59" s="19" t="str">
        <f>VLOOKUP(A59,'ESTADOS ESTUDIANTES'!B:L,2,0)</f>
        <v>OVALLE PULIDO OSCAR IVAN</v>
      </c>
      <c r="C59" s="19">
        <f>VLOOKUP(A59,'ESTADOS ESTUDIANTES'!B:L,3,0)</f>
        <v>295</v>
      </c>
      <c r="D59" s="66" t="str">
        <f>VLOOKUP(A59,'ESTADOS ESTUDIANTES'!B:L,4,0)</f>
        <v>MAE. EN CIENCIAS DE LA INF. Y LAS COMUNICACIONES ENFASIS EN SIS. INFOR</v>
      </c>
      <c r="E59" s="19" t="str">
        <f>VLOOKUP(A59,'ESTADOS ESTUDIANTES'!B:L,5,0)</f>
        <v>X</v>
      </c>
      <c r="F59" s="18" t="str">
        <f>VLOOKUP(E59,Listas!B1:C1004,2,0)</f>
        <v>EXCLUIDO</v>
      </c>
      <c r="G59" s="19" t="str">
        <f>VLOOKUP(A59,'ESTADOS ESTUDIANTES'!B:L,7,0)</f>
        <v>NO REGISTRA</v>
      </c>
      <c r="H59" s="19">
        <f>VLOOKUP(A59,'ESTADOS ESTUDIANTES'!B:L,8,0)</f>
        <v>0</v>
      </c>
      <c r="I59" s="70">
        <f>VLOOKUP(A59,'ESTADOS ESTUDIANTES'!B:L,9,0)</f>
        <v>0</v>
      </c>
      <c r="J59" s="19" t="str">
        <f>VLOOKUP(A59,'ESTADOS ESTUDIANTES'!B:L,10,0)</f>
        <v>CC</v>
      </c>
      <c r="K59" s="19">
        <f>VLOOKUP(A59,'ESTADOS ESTUDIANTES'!B:L,11,0)</f>
        <v>79127925</v>
      </c>
      <c r="L59" s="23"/>
      <c r="M59" s="20"/>
      <c r="N59" s="22"/>
      <c r="O59" s="15"/>
      <c r="P59" s="15"/>
      <c r="Q59" s="15"/>
      <c r="R59" s="15"/>
      <c r="S59" s="15"/>
      <c r="T59" s="15"/>
      <c r="U59" s="15"/>
    </row>
    <row r="60" spans="1:21" ht="90">
      <c r="A60" s="17">
        <v>20041295015</v>
      </c>
      <c r="B60" s="19" t="str">
        <f>VLOOKUP(A60,'ESTADOS ESTUDIANTES'!B:L,2,0)</f>
        <v>PADILLA GIL LUZ MYRIAM</v>
      </c>
      <c r="C60" s="19">
        <f>VLOOKUP(A60,'ESTADOS ESTUDIANTES'!B:L,3,0)</f>
        <v>295</v>
      </c>
      <c r="D60" s="66" t="str">
        <f>VLOOKUP(A60,'ESTADOS ESTUDIANTES'!B:L,4,0)</f>
        <v>MAE. EN CIENCIAS DE LA INF. Y LAS COMUNICACIONES ENFASIS EN SIS. INFOR</v>
      </c>
      <c r="E60" s="19" t="str">
        <f>VLOOKUP(A60,'ESTADOS ESTUDIANTES'!B:L,5,0)</f>
        <v>X</v>
      </c>
      <c r="F60" s="18" t="str">
        <f>VLOOKUP(E60,Listas!B1:C1004,2,0)</f>
        <v>EXCLUIDO</v>
      </c>
      <c r="G60" s="19" t="str">
        <f>VLOOKUP(A60,'ESTADOS ESTUDIANTES'!B:L,7,0)</f>
        <v>NO REGISTRA</v>
      </c>
      <c r="H60" s="19" t="str">
        <f>VLOOKUP(A60,'ESTADOS ESTUDIANTES'!B:L,8,0)</f>
        <v>lmpadillag@correo.udistrital.edu.co</v>
      </c>
      <c r="I60" s="70" t="str">
        <f>VLOOKUP(A60,'ESTADOS ESTUDIANTES'!B:L,9,0)</f>
        <v>myriampadilla@yahoo.es</v>
      </c>
      <c r="J60" s="19" t="str">
        <f>VLOOKUP(A60,'ESTADOS ESTUDIANTES'!B:L,10,0)</f>
        <v>CC</v>
      </c>
      <c r="K60" s="19">
        <f>VLOOKUP(A60,'ESTADOS ESTUDIANTES'!B:L,11,0)</f>
        <v>51749112</v>
      </c>
      <c r="L60" s="23"/>
      <c r="M60" s="20"/>
      <c r="N60" s="22"/>
      <c r="O60" s="15"/>
      <c r="P60" s="15"/>
      <c r="Q60" s="15"/>
      <c r="R60" s="15"/>
      <c r="S60" s="15"/>
      <c r="T60" s="15"/>
      <c r="U60" s="15"/>
    </row>
    <row r="61" spans="1:21" ht="90">
      <c r="A61" s="17">
        <v>20041295016</v>
      </c>
      <c r="B61" s="19" t="str">
        <f>VLOOKUP(A61,'ESTADOS ESTUDIANTES'!B:L,2,0)</f>
        <v>RODRIGUEZ GUERRERO ROCIO</v>
      </c>
      <c r="C61" s="19">
        <f>VLOOKUP(A61,'ESTADOS ESTUDIANTES'!B:L,3,0)</f>
        <v>295</v>
      </c>
      <c r="D61" s="66" t="str">
        <f>VLOOKUP(A61,'ESTADOS ESTUDIANTES'!B:L,4,0)</f>
        <v>MAE. EN CIENCIAS DE LA INF. Y LAS COMUNICACIONES ENFASIS EN SIS. INFOR</v>
      </c>
      <c r="E61" s="19" t="str">
        <f>VLOOKUP(A61,'ESTADOS ESTUDIANTES'!B:L,5,0)</f>
        <v>X</v>
      </c>
      <c r="F61" s="18" t="str">
        <f>VLOOKUP(E61,Listas!B1:C1004,2,0)</f>
        <v>EXCLUIDO</v>
      </c>
      <c r="G61" s="19" t="str">
        <f>VLOOKUP(A61,'ESTADOS ESTUDIANTES'!B:L,7,0)</f>
        <v>NO REGISTRA</v>
      </c>
      <c r="H61" s="19">
        <f>VLOOKUP(A61,'ESTADOS ESTUDIANTES'!B:L,8,0)</f>
        <v>0</v>
      </c>
      <c r="I61" s="70">
        <f>VLOOKUP(A61,'ESTADOS ESTUDIANTES'!B:L,9,0)</f>
        <v>0</v>
      </c>
      <c r="J61" s="19" t="str">
        <f>VLOOKUP(A61,'ESTADOS ESTUDIANTES'!B:L,10,0)</f>
        <v>CC</v>
      </c>
      <c r="K61" s="19">
        <f>VLOOKUP(A61,'ESTADOS ESTUDIANTES'!B:L,11,0)</f>
        <v>52369898</v>
      </c>
      <c r="L61" s="23"/>
      <c r="M61" s="20"/>
      <c r="N61" s="22"/>
      <c r="O61" s="15"/>
      <c r="P61" s="15"/>
      <c r="Q61" s="15"/>
      <c r="R61" s="15"/>
      <c r="S61" s="15"/>
      <c r="T61" s="15"/>
      <c r="U61" s="15"/>
    </row>
    <row r="62" spans="1:21" ht="90">
      <c r="A62" s="17">
        <v>20041295017</v>
      </c>
      <c r="B62" s="19" t="str">
        <f>VLOOKUP(A62,'ESTADOS ESTUDIANTES'!B:L,2,0)</f>
        <v>SANCHEZ IPIA ALBER HAMERSSON</v>
      </c>
      <c r="C62" s="19">
        <f>VLOOKUP(A62,'ESTADOS ESTUDIANTES'!B:L,3,0)</f>
        <v>295</v>
      </c>
      <c r="D62" s="66" t="str">
        <f>VLOOKUP(A62,'ESTADOS ESTUDIANTES'!B:L,4,0)</f>
        <v>MAE. EN CIENCIAS DE LA INF. Y LAS COMUNICACIONES ENFASIS EN SIS. INFOR</v>
      </c>
      <c r="E62" s="19" t="str">
        <f>VLOOKUP(A62,'ESTADOS ESTUDIANTES'!B:L,5,0)</f>
        <v>E</v>
      </c>
      <c r="F62" s="18" t="str">
        <f>VLOOKUP(E62,Listas!B1:C1004,2,0)</f>
        <v>EGRESADO</v>
      </c>
      <c r="G62" s="19" t="str">
        <f>VLOOKUP(A62,'ESTADOS ESTUDIANTES'!B:L,7,0)</f>
        <v>NO REGISTRA</v>
      </c>
      <c r="H62" s="19" t="str">
        <f>VLOOKUP(A62,'ESTADOS ESTUDIANTES'!B:L,8,0)</f>
        <v>ahsanchezi@correo.udistrital.edu.co</v>
      </c>
      <c r="I62" s="70" t="str">
        <f>VLOOKUP(A62,'ESTADOS ESTUDIANTES'!B:L,9,0)</f>
        <v>ahsanchezi@estudiante.udistrital.edu.co</v>
      </c>
      <c r="J62" s="19" t="str">
        <f>VLOOKUP(A62,'ESTADOS ESTUDIANTES'!B:L,10,0)</f>
        <v>CC</v>
      </c>
      <c r="K62" s="19">
        <f>VLOOKUP(A62,'ESTADOS ESTUDIANTES'!B:L,11,0)</f>
        <v>79985582</v>
      </c>
      <c r="L62" s="23"/>
      <c r="M62" s="20"/>
      <c r="N62" s="22"/>
      <c r="O62" s="15"/>
      <c r="P62" s="15"/>
      <c r="Q62" s="15"/>
      <c r="R62" s="15"/>
      <c r="S62" s="15"/>
      <c r="T62" s="15"/>
      <c r="U62" s="15"/>
    </row>
    <row r="63" spans="1:21" ht="90">
      <c r="A63" s="17">
        <v>20041295018</v>
      </c>
      <c r="B63" s="19" t="str">
        <f>VLOOKUP(A63,'ESTADOS ESTUDIANTES'!B:L,2,0)</f>
        <v>SANDOVAL DIAZ RICARDO</v>
      </c>
      <c r="C63" s="19">
        <f>VLOOKUP(A63,'ESTADOS ESTUDIANTES'!B:L,3,0)</f>
        <v>295</v>
      </c>
      <c r="D63" s="66" t="str">
        <f>VLOOKUP(A63,'ESTADOS ESTUDIANTES'!B:L,4,0)</f>
        <v>MAE. EN CIENCIAS DE LA INF. Y LAS COMUNICACIONES ENFASIS EN SIS. INFOR</v>
      </c>
      <c r="E63" s="19" t="str">
        <f>VLOOKUP(A63,'ESTADOS ESTUDIANTES'!B:L,5,0)</f>
        <v>X</v>
      </c>
      <c r="F63" s="18" t="str">
        <f>VLOOKUP(E63,Listas!B1:C1004,2,0)</f>
        <v>EXCLUIDO</v>
      </c>
      <c r="G63" s="19" t="str">
        <f>VLOOKUP(A63,'ESTADOS ESTUDIANTES'!B:L,7,0)</f>
        <v>NO REGISTRA</v>
      </c>
      <c r="H63" s="19">
        <f>VLOOKUP(A63,'ESTADOS ESTUDIANTES'!B:L,8,0)</f>
        <v>0</v>
      </c>
      <c r="I63" s="70">
        <f>VLOOKUP(A63,'ESTADOS ESTUDIANTES'!B:L,9,0)</f>
        <v>0</v>
      </c>
      <c r="J63" s="19" t="str">
        <f>VLOOKUP(A63,'ESTADOS ESTUDIANTES'!B:L,10,0)</f>
        <v>CC</v>
      </c>
      <c r="K63" s="19">
        <f>VLOOKUP(A63,'ESTADOS ESTUDIANTES'!B:L,11,0)</f>
        <v>80016936</v>
      </c>
      <c r="L63" s="23"/>
      <c r="M63" s="20"/>
      <c r="N63" s="22"/>
      <c r="O63" s="15"/>
      <c r="P63" s="15"/>
      <c r="Q63" s="15"/>
      <c r="R63" s="15"/>
      <c r="S63" s="15"/>
      <c r="T63" s="15"/>
      <c r="U63" s="15"/>
    </row>
    <row r="64" spans="1:21" ht="90">
      <c r="A64" s="17">
        <v>20041295019</v>
      </c>
      <c r="B64" s="19" t="str">
        <f>VLOOKUP(A64,'ESTADOS ESTUDIANTES'!B:L,2,0)</f>
        <v>TORRES FUENTES PEDRO A.</v>
      </c>
      <c r="C64" s="19">
        <f>VLOOKUP(A64,'ESTADOS ESTUDIANTES'!B:L,3,0)</f>
        <v>295</v>
      </c>
      <c r="D64" s="66" t="str">
        <f>VLOOKUP(A64,'ESTADOS ESTUDIANTES'!B:L,4,0)</f>
        <v>MAE. EN CIENCIAS DE LA INF. Y LAS COMUNICACIONES ENFASIS EN SIS. INFOR</v>
      </c>
      <c r="E64" s="19" t="str">
        <f>VLOOKUP(A64,'ESTADOS ESTUDIANTES'!B:L,5,0)</f>
        <v>X</v>
      </c>
      <c r="F64" s="18" t="str">
        <f>VLOOKUP(E64,Listas!B1:C1004,2,0)</f>
        <v>EXCLUIDO</v>
      </c>
      <c r="G64" s="19" t="str">
        <f>VLOOKUP(A64,'ESTADOS ESTUDIANTES'!B:L,7,0)</f>
        <v>NO REGISTRA</v>
      </c>
      <c r="H64" s="19">
        <f>VLOOKUP(A64,'ESTADOS ESTUDIANTES'!B:L,8,0)</f>
        <v>0</v>
      </c>
      <c r="I64" s="70">
        <f>VLOOKUP(A64,'ESTADOS ESTUDIANTES'!B:L,9,0)</f>
        <v>0</v>
      </c>
      <c r="J64" s="19" t="str">
        <f>VLOOKUP(A64,'ESTADOS ESTUDIANTES'!B:L,10,0)</f>
        <v>CC</v>
      </c>
      <c r="K64" s="19">
        <f>VLOOKUP(A64,'ESTADOS ESTUDIANTES'!B:L,11,0)</f>
        <v>91298791</v>
      </c>
      <c r="L64" s="23"/>
      <c r="M64" s="20"/>
      <c r="N64" s="22"/>
      <c r="O64" s="15"/>
      <c r="P64" s="15"/>
      <c r="Q64" s="15"/>
      <c r="R64" s="15"/>
      <c r="S64" s="15"/>
      <c r="T64" s="15"/>
      <c r="U64" s="15"/>
    </row>
    <row r="65" spans="1:21" ht="90">
      <c r="A65" s="17">
        <v>20041295020</v>
      </c>
      <c r="B65" s="19" t="str">
        <f>VLOOKUP(A65,'ESTADOS ESTUDIANTES'!B:L,2,0)</f>
        <v>VELASQUEZ OTALORA JOHN FREDY</v>
      </c>
      <c r="C65" s="19">
        <f>VLOOKUP(A65,'ESTADOS ESTUDIANTES'!B:L,3,0)</f>
        <v>295</v>
      </c>
      <c r="D65" s="66" t="str">
        <f>VLOOKUP(A65,'ESTADOS ESTUDIANTES'!B:L,4,0)</f>
        <v>MAE. EN CIENCIAS DE LA INF. Y LAS COMUNICACIONES ENFASIS EN SIS. INFOR</v>
      </c>
      <c r="E65" s="19" t="str">
        <f>VLOOKUP(A65,'ESTADOS ESTUDIANTES'!B:L,5,0)</f>
        <v>X</v>
      </c>
      <c r="F65" s="18" t="str">
        <f>VLOOKUP(E65,Listas!B1:C1004,2,0)</f>
        <v>EXCLUIDO</v>
      </c>
      <c r="G65" s="19" t="str">
        <f>VLOOKUP(A65,'ESTADOS ESTUDIANTES'!B:L,7,0)</f>
        <v>NO REGISTRA</v>
      </c>
      <c r="H65" s="19" t="str">
        <f>VLOOKUP(A65,'ESTADOS ESTUDIANTES'!B:L,8,0)</f>
        <v>jfvelasquezo@correo.udistrital.edu.co</v>
      </c>
      <c r="I65" s="70" t="str">
        <f>VLOOKUP(A65,'ESTADOS ESTUDIANTES'!B:L,9,0)</f>
        <v>jfvelasquezo@estudiante.udistrital.edu.co</v>
      </c>
      <c r="J65" s="19" t="str">
        <f>VLOOKUP(A65,'ESTADOS ESTUDIANTES'!B:L,10,0)</f>
        <v>CC</v>
      </c>
      <c r="K65" s="19">
        <f>VLOOKUP(A65,'ESTADOS ESTUDIANTES'!B:L,11,0)</f>
        <v>11187517</v>
      </c>
      <c r="L65" s="23"/>
      <c r="M65" s="20"/>
      <c r="N65" s="22"/>
      <c r="O65" s="15"/>
      <c r="P65" s="15"/>
      <c r="Q65" s="15"/>
      <c r="R65" s="15"/>
      <c r="S65" s="15"/>
      <c r="T65" s="15"/>
      <c r="U65" s="15"/>
    </row>
    <row r="66" spans="1:21" ht="90">
      <c r="A66" s="17">
        <v>20041295021</v>
      </c>
      <c r="B66" s="19" t="str">
        <f>VLOOKUP(A66,'ESTADOS ESTUDIANTES'!B:L,2,0)</f>
        <v>BARRERA GONZALEZ JAIRO</v>
      </c>
      <c r="C66" s="19">
        <f>VLOOKUP(A66,'ESTADOS ESTUDIANTES'!B:L,3,0)</f>
        <v>295</v>
      </c>
      <c r="D66" s="66" t="str">
        <f>VLOOKUP(A66,'ESTADOS ESTUDIANTES'!B:L,4,0)</f>
        <v>MAE. EN CIENCIAS DE LA INF. Y LAS COMUNICACIONES ENFASIS EN SIS. INFOR</v>
      </c>
      <c r="E66" s="19" t="str">
        <f>VLOOKUP(A66,'ESTADOS ESTUDIANTES'!B:L,5,0)</f>
        <v>X</v>
      </c>
      <c r="F66" s="18" t="str">
        <f>VLOOKUP(E66,Listas!B1:C1004,2,0)</f>
        <v>EXCLUIDO</v>
      </c>
      <c r="G66" s="19" t="str">
        <f>VLOOKUP(A66,'ESTADOS ESTUDIANTES'!B:L,7,0)</f>
        <v>NO REGISTRA</v>
      </c>
      <c r="H66" s="19">
        <f>VLOOKUP(A66,'ESTADOS ESTUDIANTES'!B:L,8,0)</f>
        <v>0</v>
      </c>
      <c r="I66" s="70">
        <f>VLOOKUP(A66,'ESTADOS ESTUDIANTES'!B:L,9,0)</f>
        <v>0</v>
      </c>
      <c r="J66" s="19" t="str">
        <f>VLOOKUP(A66,'ESTADOS ESTUDIANTES'!B:L,10,0)</f>
        <v>CC</v>
      </c>
      <c r="K66" s="19">
        <f>VLOOKUP(A66,'ESTADOS ESTUDIANTES'!B:L,11,0)</f>
        <v>91013867</v>
      </c>
      <c r="L66" s="23"/>
      <c r="M66" s="20"/>
      <c r="N66" s="22"/>
      <c r="O66" s="15"/>
      <c r="P66" s="15"/>
      <c r="Q66" s="15"/>
      <c r="R66" s="15"/>
      <c r="S66" s="15"/>
      <c r="T66" s="15"/>
      <c r="U66" s="15"/>
    </row>
    <row r="67" spans="1:21" ht="90">
      <c r="A67" s="17">
        <v>20041295022</v>
      </c>
      <c r="B67" s="19" t="str">
        <f>VLOOKUP(A67,'ESTADOS ESTUDIANTES'!B:L,2,0)</f>
        <v>BARRERO MORA ANGELICA LORENA</v>
      </c>
      <c r="C67" s="19">
        <f>VLOOKUP(A67,'ESTADOS ESTUDIANTES'!B:L,3,0)</f>
        <v>295</v>
      </c>
      <c r="D67" s="66" t="str">
        <f>VLOOKUP(A67,'ESTADOS ESTUDIANTES'!B:L,4,0)</f>
        <v>MAE. EN CIENCIAS DE LA INF. Y LAS COMUNICACIONES ENFASIS EN SIS. INFOR</v>
      </c>
      <c r="E67" s="19" t="str">
        <f>VLOOKUP(A67,'ESTADOS ESTUDIANTES'!B:L,5,0)</f>
        <v>X</v>
      </c>
      <c r="F67" s="18" t="str">
        <f>VLOOKUP(E67,Listas!B1:C1004,2,0)</f>
        <v>EXCLUIDO</v>
      </c>
      <c r="G67" s="19" t="str">
        <f>VLOOKUP(A67,'ESTADOS ESTUDIANTES'!B:L,7,0)</f>
        <v>NO REGISTRA</v>
      </c>
      <c r="H67" s="19">
        <f>VLOOKUP(A67,'ESTADOS ESTUDIANTES'!B:L,8,0)</f>
        <v>0</v>
      </c>
      <c r="I67" s="70">
        <f>VLOOKUP(A67,'ESTADOS ESTUDIANTES'!B:L,9,0)</f>
        <v>0</v>
      </c>
      <c r="J67" s="19" t="str">
        <f>VLOOKUP(A67,'ESTADOS ESTUDIANTES'!B:L,10,0)</f>
        <v>CC</v>
      </c>
      <c r="K67" s="19">
        <f>VLOOKUP(A67,'ESTADOS ESTUDIANTES'!B:L,11,0)</f>
        <v>52429104</v>
      </c>
      <c r="L67" s="23"/>
      <c r="M67" s="20"/>
      <c r="N67" s="22"/>
      <c r="O67" s="15"/>
      <c r="P67" s="15"/>
      <c r="Q67" s="15"/>
      <c r="R67" s="15"/>
      <c r="S67" s="15"/>
      <c r="T67" s="15"/>
      <c r="U67" s="15"/>
    </row>
    <row r="68" spans="1:21" ht="90">
      <c r="A68" s="17">
        <v>20041295023</v>
      </c>
      <c r="B68" s="19" t="str">
        <f>VLOOKUP(A68,'ESTADOS ESTUDIANTES'!B:L,2,0)</f>
        <v>CABALLERO HERRERA JORGE E.</v>
      </c>
      <c r="C68" s="19">
        <f>VLOOKUP(A68,'ESTADOS ESTUDIANTES'!B:L,3,0)</f>
        <v>295</v>
      </c>
      <c r="D68" s="66" t="str">
        <f>VLOOKUP(A68,'ESTADOS ESTUDIANTES'!B:L,4,0)</f>
        <v>MAE. EN CIENCIAS DE LA INF. Y LAS COMUNICACIONES ENFASIS EN SIS. INFOR</v>
      </c>
      <c r="E68" s="19" t="str">
        <f>VLOOKUP(A68,'ESTADOS ESTUDIANTES'!B:L,5,0)</f>
        <v>X</v>
      </c>
      <c r="F68" s="18" t="str">
        <f>VLOOKUP(E68,Listas!B1:C1004,2,0)</f>
        <v>EXCLUIDO</v>
      </c>
      <c r="G68" s="19" t="str">
        <f>VLOOKUP(A68,'ESTADOS ESTUDIANTES'!B:L,7,0)</f>
        <v>NO REGISTRA</v>
      </c>
      <c r="H68" s="19">
        <f>VLOOKUP(A68,'ESTADOS ESTUDIANTES'!B:L,8,0)</f>
        <v>0</v>
      </c>
      <c r="I68" s="70">
        <f>VLOOKUP(A68,'ESTADOS ESTUDIANTES'!B:L,9,0)</f>
        <v>0</v>
      </c>
      <c r="J68" s="19" t="str">
        <f>VLOOKUP(A68,'ESTADOS ESTUDIANTES'!B:L,10,0)</f>
        <v>CC</v>
      </c>
      <c r="K68" s="19">
        <f>VLOOKUP(A68,'ESTADOS ESTUDIANTES'!B:L,11,0)</f>
        <v>79514639</v>
      </c>
      <c r="L68" s="23"/>
      <c r="M68" s="20"/>
      <c r="N68" s="22"/>
      <c r="O68" s="15"/>
      <c r="P68" s="15"/>
      <c r="Q68" s="15"/>
      <c r="R68" s="15"/>
      <c r="S68" s="15"/>
      <c r="T68" s="15"/>
      <c r="U68" s="15"/>
    </row>
    <row r="69" spans="1:21" ht="90">
      <c r="A69" s="17">
        <v>20041295024</v>
      </c>
      <c r="B69" s="19" t="str">
        <f>VLOOKUP(A69,'ESTADOS ESTUDIANTES'!B:L,2,0)</f>
        <v>PERALTA AMAYA LUIS ALBERTO</v>
      </c>
      <c r="C69" s="19">
        <f>VLOOKUP(A69,'ESTADOS ESTUDIANTES'!B:L,3,0)</f>
        <v>295</v>
      </c>
      <c r="D69" s="66" t="str">
        <f>VLOOKUP(A69,'ESTADOS ESTUDIANTES'!B:L,4,0)</f>
        <v>MAE. EN CIENCIAS DE LA INF. Y LAS COMUNICACIONES ENFASIS EN SIS. INFOR</v>
      </c>
      <c r="E69" s="19" t="str">
        <f>VLOOKUP(A69,'ESTADOS ESTUDIANTES'!B:L,5,0)</f>
        <v>X</v>
      </c>
      <c r="F69" s="18" t="str">
        <f>VLOOKUP(E69,Listas!B1:C1004,2,0)</f>
        <v>EXCLUIDO</v>
      </c>
      <c r="G69" s="19" t="str">
        <f>VLOOKUP(A69,'ESTADOS ESTUDIANTES'!B:L,7,0)</f>
        <v>NO REGISTRA</v>
      </c>
      <c r="H69" s="19" t="str">
        <f>VLOOKUP(A69,'ESTADOS ESTUDIANTES'!B:L,8,0)</f>
        <v>laperaltaa@correo.udistrital.edu.co</v>
      </c>
      <c r="I69" s="70" t="str">
        <f>VLOOKUP(A69,'ESTADOS ESTUDIANTES'!B:L,9,0)</f>
        <v>laperaltaa@estudiante.udistrital.edu.co</v>
      </c>
      <c r="J69" s="19" t="str">
        <f>VLOOKUP(A69,'ESTADOS ESTUDIANTES'!B:L,10,0)</f>
        <v>CC</v>
      </c>
      <c r="K69" s="19">
        <f>VLOOKUP(A69,'ESTADOS ESTUDIANTES'!B:L,11,0)</f>
        <v>19422321</v>
      </c>
      <c r="L69" s="23"/>
      <c r="M69" s="20"/>
      <c r="N69" s="22"/>
      <c r="O69" s="15"/>
      <c r="P69" s="15"/>
      <c r="Q69" s="15"/>
      <c r="R69" s="15"/>
      <c r="S69" s="15"/>
      <c r="T69" s="15"/>
      <c r="U69" s="15"/>
    </row>
    <row r="70" spans="1:21" ht="90">
      <c r="A70" s="17">
        <v>20041295025</v>
      </c>
      <c r="B70" s="19" t="str">
        <f>VLOOKUP(A70,'ESTADOS ESTUDIANTES'!B:L,2,0)</f>
        <v>PINZON NUÑEZ SONIA ALEXANDRA</v>
      </c>
      <c r="C70" s="19">
        <f>VLOOKUP(A70,'ESTADOS ESTUDIANTES'!B:L,3,0)</f>
        <v>295</v>
      </c>
      <c r="D70" s="66" t="str">
        <f>VLOOKUP(A70,'ESTADOS ESTUDIANTES'!B:L,4,0)</f>
        <v>MAE. EN CIENCIAS DE LA INF. Y LAS COMUNICACIONES ENFASIS EN SIS. INFOR</v>
      </c>
      <c r="E70" s="19" t="str">
        <f>VLOOKUP(A70,'ESTADOS ESTUDIANTES'!B:L,5,0)</f>
        <v>E</v>
      </c>
      <c r="F70" s="18" t="str">
        <f>VLOOKUP(E70,Listas!B1:C1004,2,0)</f>
        <v>EGRESADO</v>
      </c>
      <c r="G70" s="19">
        <f>VLOOKUP(A70,'ESTADOS ESTUDIANTES'!B:L,7,0)</f>
        <v>2</v>
      </c>
      <c r="H70" s="19" t="str">
        <f>VLOOKUP(A70,'ESTADOS ESTUDIANTES'!B:L,8,0)</f>
        <v>sapinzonn@correo.udistrital.edu.co</v>
      </c>
      <c r="I70" s="70" t="str">
        <f>VLOOKUP(A70,'ESTADOS ESTUDIANTES'!B:L,9,0)</f>
        <v>spinzon@udistrital.edu.co</v>
      </c>
      <c r="J70" s="19" t="str">
        <f>VLOOKUP(A70,'ESTADOS ESTUDIANTES'!B:L,10,0)</f>
        <v>CC</v>
      </c>
      <c r="K70" s="19">
        <f>VLOOKUP(A70,'ESTADOS ESTUDIANTES'!B:L,11,0)</f>
        <v>52204302</v>
      </c>
      <c r="L70" s="23"/>
      <c r="M70" s="20"/>
      <c r="N70" s="22"/>
      <c r="O70" s="15"/>
      <c r="P70" s="15"/>
      <c r="Q70" s="15"/>
      <c r="R70" s="15"/>
      <c r="S70" s="15"/>
      <c r="T70" s="15"/>
      <c r="U70" s="15"/>
    </row>
    <row r="71" spans="1:21" ht="90">
      <c r="A71" s="17">
        <v>20041295026</v>
      </c>
      <c r="B71" s="19" t="str">
        <f>VLOOKUP(A71,'ESTADOS ESTUDIANTES'!B:L,2,0)</f>
        <v>ROZO BARAJAS DIANA MARCELA</v>
      </c>
      <c r="C71" s="19">
        <f>VLOOKUP(A71,'ESTADOS ESTUDIANTES'!B:L,3,0)</f>
        <v>295</v>
      </c>
      <c r="D71" s="66" t="str">
        <f>VLOOKUP(A71,'ESTADOS ESTUDIANTES'!B:L,4,0)</f>
        <v>MAE. EN CIENCIAS DE LA INF. Y LAS COMUNICACIONES ENFASIS EN SIS. INFOR</v>
      </c>
      <c r="E71" s="19" t="str">
        <f>VLOOKUP(A71,'ESTADOS ESTUDIANTES'!B:L,5,0)</f>
        <v>X</v>
      </c>
      <c r="F71" s="18" t="str">
        <f>VLOOKUP(E71,Listas!B1:C1004,2,0)</f>
        <v>EXCLUIDO</v>
      </c>
      <c r="G71" s="19" t="str">
        <f>VLOOKUP(A71,'ESTADOS ESTUDIANTES'!B:L,7,0)</f>
        <v>NO REGISTRA</v>
      </c>
      <c r="H71" s="19">
        <f>VLOOKUP(A71,'ESTADOS ESTUDIANTES'!B:L,8,0)</f>
        <v>0</v>
      </c>
      <c r="I71" s="70">
        <f>VLOOKUP(A71,'ESTADOS ESTUDIANTES'!B:L,9,0)</f>
        <v>0</v>
      </c>
      <c r="J71" s="19" t="str">
        <f>VLOOKUP(A71,'ESTADOS ESTUDIANTES'!B:L,10,0)</f>
        <v>CC</v>
      </c>
      <c r="K71" s="19">
        <f>VLOOKUP(A71,'ESTADOS ESTUDIANTES'!B:L,11,0)</f>
        <v>52436418</v>
      </c>
      <c r="L71" s="23"/>
      <c r="M71" s="20"/>
      <c r="N71" s="22"/>
      <c r="O71" s="15"/>
      <c r="P71" s="15"/>
      <c r="Q71" s="15"/>
      <c r="R71" s="15"/>
      <c r="S71" s="15"/>
      <c r="T71" s="15"/>
      <c r="U71" s="15"/>
    </row>
    <row r="72" spans="1:21" ht="90">
      <c r="A72" s="17">
        <v>20041295027</v>
      </c>
      <c r="B72" s="19" t="str">
        <f>VLOOKUP(A72,'ESTADOS ESTUDIANTES'!B:L,2,0)</f>
        <v>SABY BELTRAN JORGE ENRIQUE</v>
      </c>
      <c r="C72" s="19">
        <f>VLOOKUP(A72,'ESTADOS ESTUDIANTES'!B:L,3,0)</f>
        <v>295</v>
      </c>
      <c r="D72" s="66" t="str">
        <f>VLOOKUP(A72,'ESTADOS ESTUDIANTES'!B:L,4,0)</f>
        <v>MAE. EN CIENCIAS DE LA INF. Y LAS COMUNICACIONES ENFASIS EN SIS. INFOR</v>
      </c>
      <c r="E72" s="19" t="str">
        <f>VLOOKUP(A72,'ESTADOS ESTUDIANTES'!B:L,5,0)</f>
        <v>Z</v>
      </c>
      <c r="F72" s="18" t="str">
        <f>VLOOKUP(E72,Listas!B1:C1004,2,0)</f>
        <v>NO SUP. PRUEBA ACAD.</v>
      </c>
      <c r="G72" s="19" t="str">
        <f>VLOOKUP(A72,'ESTADOS ESTUDIANTES'!B:L,7,0)</f>
        <v>NO REGISTRA</v>
      </c>
      <c r="H72" s="19" t="str">
        <f>VLOOKUP(A72,'ESTADOS ESTUDIANTES'!B:L,8,0)</f>
        <v>jesabyb@correo.udistrital.edu.co</v>
      </c>
      <c r="I72" s="70" t="str">
        <f>VLOOKUP(A72,'ESTADOS ESTUDIANTES'!B:L,9,0)</f>
        <v>jesabyb@estudiante.udistrital.edu.co</v>
      </c>
      <c r="J72" s="19" t="str">
        <f>VLOOKUP(A72,'ESTADOS ESTUDIANTES'!B:L,10,0)</f>
        <v>CC</v>
      </c>
      <c r="K72" s="19">
        <f>VLOOKUP(A72,'ESTADOS ESTUDIANTES'!B:L,11,0)</f>
        <v>19461640</v>
      </c>
      <c r="L72" s="23"/>
      <c r="M72" s="20"/>
      <c r="N72" s="22"/>
      <c r="O72" s="15"/>
      <c r="P72" s="15"/>
      <c r="Q72" s="15"/>
      <c r="R72" s="15"/>
      <c r="S72" s="15"/>
      <c r="T72" s="15"/>
      <c r="U72" s="15"/>
    </row>
    <row r="73" spans="1:21" ht="90">
      <c r="A73" s="17">
        <v>20042195001</v>
      </c>
      <c r="B73" s="19" t="str">
        <f>VLOOKUP(A73,'ESTADOS ESTUDIANTES'!B:L,2,0)</f>
        <v>ARTEAGA MEZA DIEGO GERMAN</v>
      </c>
      <c r="C73" s="19">
        <f>VLOOKUP(A73,'ESTADOS ESTUDIANTES'!B:L,3,0)</f>
        <v>195</v>
      </c>
      <c r="D73" s="66" t="str">
        <f>VLOOKUP(A73,'ESTADOS ESTUDIANTES'!B:L,4,0)</f>
        <v>MAE. EN CIENCIAS DE LA INF. Y LAS COMUNICACIONES ENFASIS EN TELEINF.</v>
      </c>
      <c r="E73" s="19" t="str">
        <f>VLOOKUP(A73,'ESTADOS ESTUDIANTES'!B:L,5,0)</f>
        <v>E</v>
      </c>
      <c r="F73" s="18" t="str">
        <f>VLOOKUP(E73,Listas!B1:C1004,2,0)</f>
        <v>EGRESADO</v>
      </c>
      <c r="G73" s="19" t="str">
        <f>VLOOKUP(A73,'ESTADOS ESTUDIANTES'!B:L,7,0)</f>
        <v>NO REGISTRA</v>
      </c>
      <c r="H73" s="19" t="str">
        <f>VLOOKUP(A73,'ESTADOS ESTUDIANTES'!B:L,8,0)</f>
        <v>dgarteagam@correo.udistrital.edu.co</v>
      </c>
      <c r="I73" s="70" t="str">
        <f>VLOOKUP(A73,'ESTADOS ESTUDIANTES'!B:L,9,0)</f>
        <v>diego.arteaga@gmail.com</v>
      </c>
      <c r="J73" s="19" t="str">
        <f>VLOOKUP(A73,'ESTADOS ESTUDIANTES'!B:L,10,0)</f>
        <v>CC</v>
      </c>
      <c r="K73" s="19">
        <f>VLOOKUP(A73,'ESTADOS ESTUDIANTES'!B:L,11,0)</f>
        <v>98398037</v>
      </c>
      <c r="L73" s="23"/>
      <c r="M73" s="20"/>
      <c r="N73" s="22"/>
      <c r="O73" s="15"/>
      <c r="P73" s="15"/>
      <c r="Q73" s="15"/>
      <c r="R73" s="15"/>
      <c r="S73" s="15"/>
      <c r="T73" s="15"/>
      <c r="U73" s="15"/>
    </row>
    <row r="74" spans="1:21" ht="90">
      <c r="A74" s="17">
        <v>20042195002</v>
      </c>
      <c r="B74" s="19" t="str">
        <f>VLOOKUP(A74,'ESTADOS ESTUDIANTES'!B:L,2,0)</f>
        <v>BELTRAN PARDO DAVID MAURICIO</v>
      </c>
      <c r="C74" s="19">
        <f>VLOOKUP(A74,'ESTADOS ESTUDIANTES'!B:L,3,0)</f>
        <v>195</v>
      </c>
      <c r="D74" s="66" t="str">
        <f>VLOOKUP(A74,'ESTADOS ESTUDIANTES'!B:L,4,0)</f>
        <v>MAE. EN CIENCIAS DE LA INF. Y LAS COMUNICACIONES ENFASIS EN TELEINF.</v>
      </c>
      <c r="E74" s="19" t="str">
        <f>VLOOKUP(A74,'ESTADOS ESTUDIANTES'!B:L,5,0)</f>
        <v>E</v>
      </c>
      <c r="F74" s="18" t="str">
        <f>VLOOKUP(E74,Listas!B1:C1004,2,0)</f>
        <v>EGRESADO</v>
      </c>
      <c r="G74" s="19">
        <f>VLOOKUP(A74,'ESTADOS ESTUDIANTES'!B:L,7,0)</f>
        <v>1</v>
      </c>
      <c r="H74" s="19" t="str">
        <f>VLOOKUP(A74,'ESTADOS ESTUDIANTES'!B:L,8,0)</f>
        <v>dmbeltranp@correo.udistrital.edu.co</v>
      </c>
      <c r="I74" s="70" t="str">
        <f>VLOOKUP(A74,'ESTADOS ESTUDIANTES'!B:L,9,0)</f>
        <v>davidmbpardo@gmail.com</v>
      </c>
      <c r="J74" s="19" t="str">
        <f>VLOOKUP(A74,'ESTADOS ESTUDIANTES'!B:L,10,0)</f>
        <v>CC</v>
      </c>
      <c r="K74" s="19">
        <f>VLOOKUP(A74,'ESTADOS ESTUDIANTES'!B:L,11,0)</f>
        <v>80083236</v>
      </c>
      <c r="L74" s="23"/>
      <c r="M74" s="20"/>
      <c r="N74" s="22"/>
      <c r="O74" s="15"/>
      <c r="P74" s="15"/>
      <c r="Q74" s="15"/>
      <c r="R74" s="15"/>
      <c r="S74" s="15"/>
      <c r="T74" s="15"/>
      <c r="U74" s="15"/>
    </row>
    <row r="75" spans="1:21" ht="90">
      <c r="A75" s="17">
        <v>20042195003</v>
      </c>
      <c r="B75" s="19" t="str">
        <f>VLOOKUP(A75,'ESTADOS ESTUDIANTES'!B:L,2,0)</f>
        <v>CASTELLANOS CONTRERAS JOSE ULISES</v>
      </c>
      <c r="C75" s="19">
        <f>VLOOKUP(A75,'ESTADOS ESTUDIANTES'!B:L,3,0)</f>
        <v>195</v>
      </c>
      <c r="D75" s="66" t="str">
        <f>VLOOKUP(A75,'ESTADOS ESTUDIANTES'!B:L,4,0)</f>
        <v>MAE. EN CIENCIAS DE LA INF. Y LAS COMUNICACIONES ENFASIS EN TELEINF.</v>
      </c>
      <c r="E75" s="19" t="str">
        <f>VLOOKUP(A75,'ESTADOS ESTUDIANTES'!B:L,5,0)</f>
        <v>X</v>
      </c>
      <c r="F75" s="18" t="str">
        <f>VLOOKUP(E75,Listas!B1:C1004,2,0)</f>
        <v>EXCLUIDO</v>
      </c>
      <c r="G75" s="19" t="str">
        <f>VLOOKUP(A75,'ESTADOS ESTUDIANTES'!B:L,7,0)</f>
        <v>NO REGISTRA</v>
      </c>
      <c r="H75" s="19" t="str">
        <f>VLOOKUP(A75,'ESTADOS ESTUDIANTES'!B:L,8,0)</f>
        <v>jucastellanosc@correo.udistrital.edu.co</v>
      </c>
      <c r="I75" s="70" t="str">
        <f>VLOOKUP(A75,'ESTADOS ESTUDIANTES'!B:L,9,0)</f>
        <v>jucastellanosc@estudiante.udistrital.edu.co</v>
      </c>
      <c r="J75" s="19" t="str">
        <f>VLOOKUP(A75,'ESTADOS ESTUDIANTES'!B:L,10,0)</f>
        <v>CC</v>
      </c>
      <c r="K75" s="19">
        <f>VLOOKUP(A75,'ESTADOS ESTUDIANTES'!B:L,11,0)</f>
        <v>79860808</v>
      </c>
      <c r="L75" s="23"/>
      <c r="M75" s="20"/>
      <c r="N75" s="22"/>
      <c r="O75" s="15"/>
      <c r="P75" s="15"/>
      <c r="Q75" s="15"/>
      <c r="R75" s="15"/>
      <c r="S75" s="15"/>
      <c r="T75" s="15"/>
      <c r="U75" s="15"/>
    </row>
    <row r="76" spans="1:21" ht="90">
      <c r="A76" s="17">
        <v>20042195004</v>
      </c>
      <c r="B76" s="19" t="str">
        <f>VLOOKUP(A76,'ESTADOS ESTUDIANTES'!B:L,2,0)</f>
        <v>CASANOVA CALIMAN PAOLA ANDREA</v>
      </c>
      <c r="C76" s="19">
        <f>VLOOKUP(A76,'ESTADOS ESTUDIANTES'!B:L,3,0)</f>
        <v>195</v>
      </c>
      <c r="D76" s="66" t="str">
        <f>VLOOKUP(A76,'ESTADOS ESTUDIANTES'!B:L,4,0)</f>
        <v>MAE. EN CIENCIAS DE LA INF. Y LAS COMUNICACIONES ENFASIS EN TELEINF.</v>
      </c>
      <c r="E76" s="19" t="str">
        <f>VLOOKUP(A76,'ESTADOS ESTUDIANTES'!B:L,5,0)</f>
        <v>X</v>
      </c>
      <c r="F76" s="18" t="str">
        <f>VLOOKUP(E76,Listas!B1:C1004,2,0)</f>
        <v>EXCLUIDO</v>
      </c>
      <c r="G76" s="19" t="str">
        <f>VLOOKUP(A76,'ESTADOS ESTUDIANTES'!B:L,7,0)</f>
        <v>NO REGISTRA</v>
      </c>
      <c r="H76" s="19" t="str">
        <f>VLOOKUP(A76,'ESTADOS ESTUDIANTES'!B:L,8,0)</f>
        <v>pacasanovac@correo.udistrital.edu.co</v>
      </c>
      <c r="I76" s="70" t="str">
        <f>VLOOKUP(A76,'ESTADOS ESTUDIANTES'!B:L,9,0)</f>
        <v>pacasanovac@estudiante.udistrital.edu.co</v>
      </c>
      <c r="J76" s="19" t="str">
        <f>VLOOKUP(A76,'ESTADOS ESTUDIANTES'!B:L,10,0)</f>
        <v>CC</v>
      </c>
      <c r="K76" s="19">
        <f>VLOOKUP(A76,'ESTADOS ESTUDIANTES'!B:L,11,0)</f>
        <v>52856792</v>
      </c>
      <c r="L76" s="23"/>
      <c r="M76" s="20"/>
      <c r="N76" s="22"/>
      <c r="O76" s="15"/>
      <c r="P76" s="15"/>
      <c r="Q76" s="15"/>
      <c r="R76" s="15"/>
      <c r="S76" s="15"/>
      <c r="T76" s="15"/>
      <c r="U76" s="15"/>
    </row>
    <row r="77" spans="1:21" ht="90">
      <c r="A77" s="17">
        <v>20042195005</v>
      </c>
      <c r="B77" s="19" t="str">
        <f>VLOOKUP(A77,'ESTADOS ESTUDIANTES'!B:L,2,0)</f>
        <v>CUAYAL MUÑOZ JESUS OSWALDO</v>
      </c>
      <c r="C77" s="19">
        <f>VLOOKUP(A77,'ESTADOS ESTUDIANTES'!B:L,3,0)</f>
        <v>195</v>
      </c>
      <c r="D77" s="66" t="str">
        <f>VLOOKUP(A77,'ESTADOS ESTUDIANTES'!B:L,4,0)</f>
        <v>MAE. EN CIENCIAS DE LA INF. Y LAS COMUNICACIONES ENFASIS EN TELEINF.</v>
      </c>
      <c r="E77" s="19" t="str">
        <f>VLOOKUP(A77,'ESTADOS ESTUDIANTES'!B:L,5,0)</f>
        <v>X</v>
      </c>
      <c r="F77" s="18" t="str">
        <f>VLOOKUP(E77,Listas!B1:C1004,2,0)</f>
        <v>EXCLUIDO</v>
      </c>
      <c r="G77" s="19" t="str">
        <f>VLOOKUP(A77,'ESTADOS ESTUDIANTES'!B:L,7,0)</f>
        <v>NO REGISTRA</v>
      </c>
      <c r="H77" s="19" t="str">
        <f>VLOOKUP(A77,'ESTADOS ESTUDIANTES'!B:L,8,0)</f>
        <v>jocuayalm@correo.udistrital.edu.co</v>
      </c>
      <c r="I77" s="70" t="str">
        <f>VLOOKUP(A77,'ESTADOS ESTUDIANTES'!B:L,9,0)</f>
        <v>jocuayalm@estudiante.udistrital.edu.co</v>
      </c>
      <c r="J77" s="19" t="str">
        <f>VLOOKUP(A77,'ESTADOS ESTUDIANTES'!B:L,10,0)</f>
        <v>CC</v>
      </c>
      <c r="K77" s="19">
        <f>VLOOKUP(A77,'ESTADOS ESTUDIANTES'!B:L,11,0)</f>
        <v>12966163</v>
      </c>
      <c r="L77" s="23"/>
      <c r="M77" s="20"/>
      <c r="N77" s="22"/>
      <c r="O77" s="15"/>
      <c r="P77" s="15"/>
      <c r="Q77" s="15"/>
      <c r="R77" s="15"/>
      <c r="S77" s="15"/>
      <c r="T77" s="15"/>
      <c r="U77" s="15"/>
    </row>
    <row r="78" spans="1:21" ht="90">
      <c r="A78" s="17">
        <v>20042195006</v>
      </c>
      <c r="B78" s="19" t="str">
        <f>VLOOKUP(A78,'ESTADOS ESTUDIANTES'!B:L,2,0)</f>
        <v>CORREDOR CAMARGO OSCAR FABIAN</v>
      </c>
      <c r="C78" s="19">
        <f>VLOOKUP(A78,'ESTADOS ESTUDIANTES'!B:L,3,0)</f>
        <v>195</v>
      </c>
      <c r="D78" s="66" t="str">
        <f>VLOOKUP(A78,'ESTADOS ESTUDIANTES'!B:L,4,0)</f>
        <v>MAE. EN CIENCIAS DE LA INF. Y LAS COMUNICACIONES ENFASIS EN TELEINF.</v>
      </c>
      <c r="E78" s="19" t="str">
        <f>VLOOKUP(A78,'ESTADOS ESTUDIANTES'!B:L,5,0)</f>
        <v>E</v>
      </c>
      <c r="F78" s="18" t="str">
        <f>VLOOKUP(E78,Listas!B1:C1004,2,0)</f>
        <v>EGRESADO</v>
      </c>
      <c r="G78" s="19" t="str">
        <f>VLOOKUP(A78,'ESTADOS ESTUDIANTES'!B:L,7,0)</f>
        <v>NO REGISTRA</v>
      </c>
      <c r="H78" s="19" t="str">
        <f>VLOOKUP(A78,'ESTADOS ESTUDIANTES'!B:L,8,0)</f>
        <v>ofcorredorc@udistrital.edu.co</v>
      </c>
      <c r="I78" s="70" t="str">
        <f>VLOOKUP(A78,'ESTADOS ESTUDIANTES'!B:L,9,0)</f>
        <v>ofcca@hotmail.com</v>
      </c>
      <c r="J78" s="19" t="str">
        <f>VLOOKUP(A78,'ESTADOS ESTUDIANTES'!B:L,10,0)</f>
        <v>CC</v>
      </c>
      <c r="K78" s="19">
        <f>VLOOKUP(A78,'ESTADOS ESTUDIANTES'!B:L,11,0)</f>
        <v>88244208</v>
      </c>
      <c r="L78" s="23"/>
      <c r="M78" s="20"/>
      <c r="N78" s="22"/>
      <c r="O78" s="15"/>
      <c r="P78" s="15"/>
      <c r="Q78" s="15"/>
      <c r="R78" s="15"/>
      <c r="S78" s="15"/>
      <c r="T78" s="15"/>
      <c r="U78" s="15"/>
    </row>
    <row r="79" spans="1:21" ht="90">
      <c r="A79" s="17">
        <v>20042195007</v>
      </c>
      <c r="B79" s="19" t="str">
        <f>VLOOKUP(A79,'ESTADOS ESTUDIANTES'!B:L,2,0)</f>
        <v>DELGADO PEÑA PEDRO</v>
      </c>
      <c r="C79" s="19">
        <f>VLOOKUP(A79,'ESTADOS ESTUDIANTES'!B:L,3,0)</f>
        <v>195</v>
      </c>
      <c r="D79" s="66" t="str">
        <f>VLOOKUP(A79,'ESTADOS ESTUDIANTES'!B:L,4,0)</f>
        <v>MAE. EN CIENCIAS DE LA INF. Y LAS COMUNICACIONES ENFASIS EN TELEINF.</v>
      </c>
      <c r="E79" s="19" t="str">
        <f>VLOOKUP(A79,'ESTADOS ESTUDIANTES'!B:L,5,0)</f>
        <v>X</v>
      </c>
      <c r="F79" s="18" t="str">
        <f>VLOOKUP(E79,Listas!B1:C1004,2,0)</f>
        <v>EXCLUIDO</v>
      </c>
      <c r="G79" s="19" t="str">
        <f>VLOOKUP(A79,'ESTADOS ESTUDIANTES'!B:L,7,0)</f>
        <v>NO REGISTRA</v>
      </c>
      <c r="H79" s="19" t="str">
        <f>VLOOKUP(A79,'ESTADOS ESTUDIANTES'!B:L,8,0)</f>
        <v>pdelgadop@correo.udistrital.edu.co</v>
      </c>
      <c r="I79" s="70" t="str">
        <f>VLOOKUP(A79,'ESTADOS ESTUDIANTES'!B:L,9,0)</f>
        <v>pdelgadop@estudiante.udistrital.edu.co</v>
      </c>
      <c r="J79" s="19" t="str">
        <f>VLOOKUP(A79,'ESTADOS ESTUDIANTES'!B:L,10,0)</f>
        <v>CC</v>
      </c>
      <c r="K79" s="19">
        <f>VLOOKUP(A79,'ESTADOS ESTUDIANTES'!B:L,11,0)</f>
        <v>79360383</v>
      </c>
      <c r="L79" s="23"/>
      <c r="M79" s="20"/>
      <c r="N79" s="22"/>
      <c r="O79" s="15"/>
      <c r="P79" s="15"/>
      <c r="Q79" s="15"/>
      <c r="R79" s="15"/>
      <c r="S79" s="15"/>
      <c r="T79" s="15"/>
      <c r="U79" s="15"/>
    </row>
    <row r="80" spans="1:21" ht="90">
      <c r="A80" s="17">
        <v>20042195008</v>
      </c>
      <c r="B80" s="19" t="str">
        <f>VLOOKUP(A80,'ESTADOS ESTUDIANTES'!B:L,2,0)</f>
        <v>CARLOS GALINDO BALLESTEROS</v>
      </c>
      <c r="C80" s="19">
        <f>VLOOKUP(A80,'ESTADOS ESTUDIANTES'!B:L,3,0)</f>
        <v>195</v>
      </c>
      <c r="D80" s="66" t="str">
        <f>VLOOKUP(A80,'ESTADOS ESTUDIANTES'!B:L,4,0)</f>
        <v>MAE. EN CIENCIAS DE LA INF. Y LAS COMUNICACIONES ENFASIS EN TELEINF.</v>
      </c>
      <c r="E80" s="19" t="str">
        <f>VLOOKUP(A80,'ESTADOS ESTUDIANTES'!B:L,5,0)</f>
        <v>E</v>
      </c>
      <c r="F80" s="18" t="str">
        <f>VLOOKUP(E80,Listas!B1:C1004,2,0)</f>
        <v>EGRESADO</v>
      </c>
      <c r="G80" s="19" t="str">
        <f>VLOOKUP(A80,'ESTADOS ESTUDIANTES'!B:L,7,0)</f>
        <v>NO REGISTRA</v>
      </c>
      <c r="H80" s="19" t="str">
        <f>VLOOKUP(A80,'ESTADOS ESTUDIANTES'!B:L,8,0)</f>
        <v>cgalindob@correo.udistrital.edu.co</v>
      </c>
      <c r="I80" s="70" t="str">
        <f>VLOOKUP(A80,'ESTADOS ESTUDIANTES'!B:L,9,0)</f>
        <v>galindocarlos@hotmail.com</v>
      </c>
      <c r="J80" s="19" t="str">
        <f>VLOOKUP(A80,'ESTADOS ESTUDIANTES'!B:L,10,0)</f>
        <v>CC</v>
      </c>
      <c r="K80" s="19">
        <f>VLOOKUP(A80,'ESTADOS ESTUDIANTES'!B:L,11,0)</f>
        <v>79330024</v>
      </c>
      <c r="L80" s="23"/>
      <c r="M80" s="20"/>
      <c r="N80" s="22"/>
      <c r="O80" s="15"/>
      <c r="P80" s="15"/>
      <c r="Q80" s="15"/>
      <c r="R80" s="15"/>
      <c r="S80" s="15"/>
      <c r="T80" s="15"/>
      <c r="U80" s="15"/>
    </row>
    <row r="81" spans="1:21" ht="90">
      <c r="A81" s="17">
        <v>20042195009</v>
      </c>
      <c r="B81" s="19" t="str">
        <f>VLOOKUP(A81,'ESTADOS ESTUDIANTES'!B:L,2,0)</f>
        <v>GARCIA GIRALDO GUSTAVO ANDRES</v>
      </c>
      <c r="C81" s="19">
        <f>VLOOKUP(A81,'ESTADOS ESTUDIANTES'!B:L,3,0)</f>
        <v>195</v>
      </c>
      <c r="D81" s="66" t="str">
        <f>VLOOKUP(A81,'ESTADOS ESTUDIANTES'!B:L,4,0)</f>
        <v>MAE. EN CIENCIAS DE LA INF. Y LAS COMUNICACIONES ENFASIS EN TELEINF.</v>
      </c>
      <c r="E81" s="19" t="str">
        <f>VLOOKUP(A81,'ESTADOS ESTUDIANTES'!B:L,5,0)</f>
        <v>E</v>
      </c>
      <c r="F81" s="18" t="str">
        <f>VLOOKUP(E81,Listas!B1:C1004,2,0)</f>
        <v>EGRESADO</v>
      </c>
      <c r="G81" s="19">
        <f>VLOOKUP(A81,'ESTADOS ESTUDIANTES'!B:L,7,0)</f>
        <v>1</v>
      </c>
      <c r="H81" s="19" t="str">
        <f>VLOOKUP(A81,'ESTADOS ESTUDIANTES'!B:L,8,0)</f>
        <v>guagarciag@correo.udistrital.edu.co</v>
      </c>
      <c r="I81" s="70" t="str">
        <f>VLOOKUP(A81,'ESTADOS ESTUDIANTES'!B:L,9,0)</f>
        <v>gustavo_31727@yahoo.es</v>
      </c>
      <c r="J81" s="19" t="str">
        <f>VLOOKUP(A81,'ESTADOS ESTUDIANTES'!B:L,10,0)</f>
        <v>CC</v>
      </c>
      <c r="K81" s="19">
        <f>VLOOKUP(A81,'ESTADOS ESTUDIANTES'!B:L,11,0)</f>
        <v>9728027</v>
      </c>
      <c r="L81" s="23"/>
      <c r="M81" s="20"/>
      <c r="N81" s="22"/>
      <c r="O81" s="15"/>
      <c r="P81" s="15"/>
      <c r="Q81" s="15"/>
      <c r="R81" s="15"/>
      <c r="S81" s="15"/>
      <c r="T81" s="15"/>
      <c r="U81" s="15"/>
    </row>
    <row r="82" spans="1:21" ht="90">
      <c r="A82" s="17">
        <v>20042195010</v>
      </c>
      <c r="B82" s="19" t="str">
        <f>VLOOKUP(A82,'ESTADOS ESTUDIANTES'!B:L,2,0)</f>
        <v>GARCIA RIAÑO JERONIMO</v>
      </c>
      <c r="C82" s="19">
        <f>VLOOKUP(A82,'ESTADOS ESTUDIANTES'!B:L,3,0)</f>
        <v>195</v>
      </c>
      <c r="D82" s="66" t="str">
        <f>VLOOKUP(A82,'ESTADOS ESTUDIANTES'!B:L,4,0)</f>
        <v>MAE. EN CIENCIAS DE LA INF. Y LAS COMUNICACIONES ENFASIS EN TELEINF.</v>
      </c>
      <c r="E82" s="19" t="str">
        <f>VLOOKUP(A82,'ESTADOS ESTUDIANTES'!B:L,5,0)</f>
        <v>X</v>
      </c>
      <c r="F82" s="18" t="str">
        <f>VLOOKUP(E82,Listas!B1:C1004,2,0)</f>
        <v>EXCLUIDO</v>
      </c>
      <c r="G82" s="19" t="str">
        <f>VLOOKUP(A82,'ESTADOS ESTUDIANTES'!B:L,7,0)</f>
        <v>NO REGISTRA</v>
      </c>
      <c r="H82" s="19" t="str">
        <f>VLOOKUP(A82,'ESTADOS ESTUDIANTES'!B:L,8,0)</f>
        <v>jegarciar@correo.udistrital.edu.co</v>
      </c>
      <c r="I82" s="70" t="str">
        <f>VLOOKUP(A82,'ESTADOS ESTUDIANTES'!B:L,9,0)</f>
        <v>jegarciar@estudiante.udistrital.edu.co</v>
      </c>
      <c r="J82" s="19" t="str">
        <f>VLOOKUP(A82,'ESTADOS ESTUDIANTES'!B:L,10,0)</f>
        <v>CC</v>
      </c>
      <c r="K82" s="19">
        <f>VLOOKUP(A82,'ESTADOS ESTUDIANTES'!B:L,11,0)</f>
        <v>43774216</v>
      </c>
      <c r="L82" s="23"/>
      <c r="M82" s="20"/>
      <c r="N82" s="22"/>
      <c r="O82" s="15"/>
      <c r="P82" s="15"/>
      <c r="Q82" s="15"/>
      <c r="R82" s="15"/>
      <c r="S82" s="15"/>
      <c r="T82" s="15"/>
      <c r="U82" s="15"/>
    </row>
    <row r="83" spans="1:21" ht="90">
      <c r="A83" s="17">
        <v>20042195011</v>
      </c>
      <c r="B83" s="19" t="str">
        <f>VLOOKUP(A83,'ESTADOS ESTUDIANTES'!B:L,2,0)</f>
        <v>GOMEZ HERAZO TANIA</v>
      </c>
      <c r="C83" s="19">
        <f>VLOOKUP(A83,'ESTADOS ESTUDIANTES'!B:L,3,0)</f>
        <v>195</v>
      </c>
      <c r="D83" s="66" t="str">
        <f>VLOOKUP(A83,'ESTADOS ESTUDIANTES'!B:L,4,0)</f>
        <v>MAE. EN CIENCIAS DE LA INF. Y LAS COMUNICACIONES ENFASIS EN TELEINF.</v>
      </c>
      <c r="E83" s="19" t="str">
        <f>VLOOKUP(A83,'ESTADOS ESTUDIANTES'!B:L,5,0)</f>
        <v>X</v>
      </c>
      <c r="F83" s="18" t="str">
        <f>VLOOKUP(E83,Listas!B1:C1004,2,0)</f>
        <v>EXCLUIDO</v>
      </c>
      <c r="G83" s="19" t="str">
        <f>VLOOKUP(A83,'ESTADOS ESTUDIANTES'!B:L,7,0)</f>
        <v>NO REGISTRA</v>
      </c>
      <c r="H83" s="19" t="str">
        <f>VLOOKUP(A83,'ESTADOS ESTUDIANTES'!B:L,8,0)</f>
        <v>tgomezh@correo.udistrital.edu.co</v>
      </c>
      <c r="I83" s="70" t="str">
        <f>VLOOKUP(A83,'ESTADOS ESTUDIANTES'!B:L,9,0)</f>
        <v>tgomezh@estudiante.udistrital.edu.co</v>
      </c>
      <c r="J83" s="19" t="str">
        <f>VLOOKUP(A83,'ESTADOS ESTUDIANTES'!B:L,10,0)</f>
        <v>CC</v>
      </c>
      <c r="K83" s="19">
        <f>VLOOKUP(A83,'ESTADOS ESTUDIANTES'!B:L,11,0)</f>
        <v>52262287</v>
      </c>
      <c r="L83" s="23"/>
      <c r="M83" s="20"/>
      <c r="N83" s="22"/>
      <c r="O83" s="15"/>
      <c r="P83" s="15"/>
      <c r="Q83" s="15"/>
      <c r="R83" s="15"/>
      <c r="S83" s="15"/>
      <c r="T83" s="15"/>
      <c r="U83" s="15"/>
    </row>
    <row r="84" spans="1:21" ht="90">
      <c r="A84" s="17">
        <v>20042195012</v>
      </c>
      <c r="B84" s="19" t="str">
        <f>VLOOKUP(A84,'ESTADOS ESTUDIANTES'!B:L,2,0)</f>
        <v>HERNANDEZ SUAREZ CESAR AUGUSTO</v>
      </c>
      <c r="C84" s="19">
        <f>VLOOKUP(A84,'ESTADOS ESTUDIANTES'!B:L,3,0)</f>
        <v>195</v>
      </c>
      <c r="D84" s="66" t="str">
        <f>VLOOKUP(A84,'ESTADOS ESTUDIANTES'!B:L,4,0)</f>
        <v>MAE. EN CIENCIAS DE LA INF. Y LAS COMUNICACIONES ENFASIS EN TELEINF.</v>
      </c>
      <c r="E84" s="19" t="str">
        <f>VLOOKUP(A84,'ESTADOS ESTUDIANTES'!B:L,5,0)</f>
        <v>E</v>
      </c>
      <c r="F84" s="18" t="str">
        <f>VLOOKUP(E84,Listas!B1:C1004,2,0)</f>
        <v>EGRESADO</v>
      </c>
      <c r="G84" s="19" t="str">
        <f>VLOOKUP(A84,'ESTADOS ESTUDIANTES'!B:L,7,0)</f>
        <v>NO REGISTRA</v>
      </c>
      <c r="H84" s="19" t="str">
        <f>VLOOKUP(A84,'ESTADOS ESTUDIANTES'!B:L,8,0)</f>
        <v>ceahernandezs@correo.udistrital.edu.co</v>
      </c>
      <c r="I84" s="70" t="str">
        <f>VLOOKUP(A84,'ESTADOS ESTUDIANTES'!B:L,9,0)</f>
        <v>ceahernandezs@estudiante.udistrital.edu.co</v>
      </c>
      <c r="J84" s="19" t="str">
        <f>VLOOKUP(A84,'ESTADOS ESTUDIANTES'!B:L,10,0)</f>
        <v>CC</v>
      </c>
      <c r="K84" s="19">
        <f>VLOOKUP(A84,'ESTADOS ESTUDIANTES'!B:L,11,0)</f>
        <v>86062285</v>
      </c>
      <c r="L84" s="23"/>
      <c r="M84" s="20"/>
      <c r="N84" s="22"/>
      <c r="O84" s="15"/>
      <c r="P84" s="15"/>
      <c r="Q84" s="15"/>
      <c r="R84" s="15"/>
      <c r="S84" s="15"/>
      <c r="T84" s="15"/>
      <c r="U84" s="15"/>
    </row>
    <row r="85" spans="1:21" ht="90">
      <c r="A85" s="17">
        <v>20042195013</v>
      </c>
      <c r="B85" s="19" t="str">
        <f>VLOOKUP(A85,'ESTADOS ESTUDIANTES'!B:L,2,0)</f>
        <v>MALDONADO ALARCON JAIRO ORLANDO</v>
      </c>
      <c r="C85" s="19">
        <f>VLOOKUP(A85,'ESTADOS ESTUDIANTES'!B:L,3,0)</f>
        <v>195</v>
      </c>
      <c r="D85" s="66" t="str">
        <f>VLOOKUP(A85,'ESTADOS ESTUDIANTES'!B:L,4,0)</f>
        <v>MAE. EN CIENCIAS DE LA INF. Y LAS COMUNICACIONES ENFASIS EN TELEINF.</v>
      </c>
      <c r="E85" s="19" t="str">
        <f>VLOOKUP(A85,'ESTADOS ESTUDIANTES'!B:L,5,0)</f>
        <v>X</v>
      </c>
      <c r="F85" s="18" t="str">
        <f>VLOOKUP(E85,Listas!B1:C1004,2,0)</f>
        <v>EXCLUIDO</v>
      </c>
      <c r="G85" s="19" t="str">
        <f>VLOOKUP(A85,'ESTADOS ESTUDIANTES'!B:L,7,0)</f>
        <v>NO REGISTRA</v>
      </c>
      <c r="H85" s="19" t="str">
        <f>VLOOKUP(A85,'ESTADOS ESTUDIANTES'!B:L,8,0)</f>
        <v>jaomaldonadoa@correo.udistrital.edu.co</v>
      </c>
      <c r="I85" s="70" t="str">
        <f>VLOOKUP(A85,'ESTADOS ESTUDIANTES'!B:L,9,0)</f>
        <v>jaomaldonadoa@estudiante.udistrital.edu.co</v>
      </c>
      <c r="J85" s="19" t="str">
        <f>VLOOKUP(A85,'ESTADOS ESTUDIANTES'!B:L,10,0)</f>
        <v>CC</v>
      </c>
      <c r="K85" s="19">
        <f>VLOOKUP(A85,'ESTADOS ESTUDIANTES'!B:L,11,0)</f>
        <v>79756271</v>
      </c>
      <c r="L85" s="23"/>
      <c r="M85" s="20"/>
      <c r="N85" s="22"/>
      <c r="O85" s="15"/>
      <c r="P85" s="15"/>
      <c r="Q85" s="15"/>
      <c r="R85" s="15"/>
      <c r="S85" s="15"/>
      <c r="T85" s="15"/>
      <c r="U85" s="15"/>
    </row>
    <row r="86" spans="1:21" ht="90">
      <c r="A86" s="17">
        <v>20042195014</v>
      </c>
      <c r="B86" s="19" t="str">
        <f>VLOOKUP(A86,'ESTADOS ESTUDIANTES'!B:L,2,0)</f>
        <v>MARTINEZ MUÑOZ LUIS CARLOS</v>
      </c>
      <c r="C86" s="19">
        <f>VLOOKUP(A86,'ESTADOS ESTUDIANTES'!B:L,3,0)</f>
        <v>195</v>
      </c>
      <c r="D86" s="66" t="str">
        <f>VLOOKUP(A86,'ESTADOS ESTUDIANTES'!B:L,4,0)</f>
        <v>MAE. EN CIENCIAS DE LA INF. Y LAS COMUNICACIONES ENFASIS EN TELEINF.</v>
      </c>
      <c r="E86" s="19" t="str">
        <f>VLOOKUP(A86,'ESTADOS ESTUDIANTES'!B:L,5,0)</f>
        <v>X</v>
      </c>
      <c r="F86" s="18" t="str">
        <f>VLOOKUP(E86,Listas!B1:C1004,2,0)</f>
        <v>EXCLUIDO</v>
      </c>
      <c r="G86" s="19" t="str">
        <f>VLOOKUP(A86,'ESTADOS ESTUDIANTES'!B:L,7,0)</f>
        <v>NO REGISTRA</v>
      </c>
      <c r="H86" s="19" t="str">
        <f>VLOOKUP(A86,'ESTADOS ESTUDIANTES'!B:L,8,0)</f>
        <v>lucmartinezm@correo.udistrital.edu.co</v>
      </c>
      <c r="I86" s="70" t="str">
        <f>VLOOKUP(A86,'ESTADOS ESTUDIANTES'!B:L,9,0)</f>
        <v>lucmartinezm@estudiante.udistrital.edu.co</v>
      </c>
      <c r="J86" s="19" t="str">
        <f>VLOOKUP(A86,'ESTADOS ESTUDIANTES'!B:L,10,0)</f>
        <v>CC</v>
      </c>
      <c r="K86" s="19">
        <f>VLOOKUP(A86,'ESTADOS ESTUDIANTES'!B:L,11,0)</f>
        <v>12985822</v>
      </c>
      <c r="L86" s="23"/>
      <c r="M86" s="20"/>
      <c r="N86" s="22"/>
      <c r="O86" s="15"/>
      <c r="P86" s="15"/>
      <c r="Q86" s="15"/>
      <c r="R86" s="15"/>
      <c r="S86" s="15"/>
      <c r="T86" s="15"/>
      <c r="U86" s="15"/>
    </row>
    <row r="87" spans="1:21" ht="90">
      <c r="A87" s="17">
        <v>20042195015</v>
      </c>
      <c r="B87" s="19" t="str">
        <f>VLOOKUP(A87,'ESTADOS ESTUDIANTES'!B:L,2,0)</f>
        <v>MELO OSPINA LUIS ALFONSO</v>
      </c>
      <c r="C87" s="19">
        <f>VLOOKUP(A87,'ESTADOS ESTUDIANTES'!B:L,3,0)</f>
        <v>195</v>
      </c>
      <c r="D87" s="66" t="str">
        <f>VLOOKUP(A87,'ESTADOS ESTUDIANTES'!B:L,4,0)</f>
        <v>MAE. EN CIENCIAS DE LA INF. Y LAS COMUNICACIONES ENFASIS EN TELEINF.</v>
      </c>
      <c r="E87" s="19" t="str">
        <f>VLOOKUP(A87,'ESTADOS ESTUDIANTES'!B:L,5,0)</f>
        <v>X</v>
      </c>
      <c r="F87" s="18" t="str">
        <f>VLOOKUP(E87,Listas!B1:C1004,2,0)</f>
        <v>EXCLUIDO</v>
      </c>
      <c r="G87" s="19" t="str">
        <f>VLOOKUP(A87,'ESTADOS ESTUDIANTES'!B:L,7,0)</f>
        <v>NO REGISTRA</v>
      </c>
      <c r="H87" s="19" t="str">
        <f>VLOOKUP(A87,'ESTADOS ESTUDIANTES'!B:L,8,0)</f>
        <v>lameloo@correo.udistrital.edu.co</v>
      </c>
      <c r="I87" s="70" t="str">
        <f>VLOOKUP(A87,'ESTADOS ESTUDIANTES'!B:L,9,0)</f>
        <v>lameloo@estudiante.udistrital.edu.co</v>
      </c>
      <c r="J87" s="19" t="str">
        <f>VLOOKUP(A87,'ESTADOS ESTUDIANTES'!B:L,10,0)</f>
        <v>CC</v>
      </c>
      <c r="K87" s="19">
        <f>VLOOKUP(A87,'ESTADOS ESTUDIANTES'!B:L,11,0)</f>
        <v>19371562</v>
      </c>
      <c r="L87" s="23"/>
      <c r="M87" s="20"/>
      <c r="N87" s="22"/>
      <c r="O87" s="15"/>
      <c r="P87" s="15"/>
      <c r="Q87" s="15"/>
      <c r="R87" s="15"/>
      <c r="S87" s="15"/>
      <c r="T87" s="15"/>
      <c r="U87" s="15"/>
    </row>
    <row r="88" spans="1:21" ht="90">
      <c r="A88" s="17">
        <v>20042195016</v>
      </c>
      <c r="B88" s="19" t="str">
        <f>VLOOKUP(A88,'ESTADOS ESTUDIANTES'!B:L,2,0)</f>
        <v>MORENO DELGADO OSCAR JAVIER</v>
      </c>
      <c r="C88" s="19">
        <f>VLOOKUP(A88,'ESTADOS ESTUDIANTES'!B:L,3,0)</f>
        <v>195</v>
      </c>
      <c r="D88" s="66" t="str">
        <f>VLOOKUP(A88,'ESTADOS ESTUDIANTES'!B:L,4,0)</f>
        <v>MAE. EN CIENCIAS DE LA INF. Y LAS COMUNICACIONES ENFASIS EN TELEINF.</v>
      </c>
      <c r="E88" s="19" t="str">
        <f>VLOOKUP(A88,'ESTADOS ESTUDIANTES'!B:L,5,0)</f>
        <v>X</v>
      </c>
      <c r="F88" s="18" t="str">
        <f>VLOOKUP(E88,Listas!B1:C1004,2,0)</f>
        <v>EXCLUIDO</v>
      </c>
      <c r="G88" s="19" t="str">
        <f>VLOOKUP(A88,'ESTADOS ESTUDIANTES'!B:L,7,0)</f>
        <v>NO REGISTRA</v>
      </c>
      <c r="H88" s="19" t="str">
        <f>VLOOKUP(A88,'ESTADOS ESTUDIANTES'!B:L,8,0)</f>
        <v>ojmorenod@correo.udistrital.edu.co</v>
      </c>
      <c r="I88" s="70" t="str">
        <f>VLOOKUP(A88,'ESTADOS ESTUDIANTES'!B:L,9,0)</f>
        <v>richardibague@hotmail.com</v>
      </c>
      <c r="J88" s="19" t="str">
        <f>VLOOKUP(A88,'ESTADOS ESTUDIANTES'!B:L,10,0)</f>
        <v>CC</v>
      </c>
      <c r="K88" s="19">
        <f>VLOOKUP(A88,'ESTADOS ESTUDIANTES'!B:L,11,0)</f>
        <v>93411774</v>
      </c>
      <c r="L88" s="23"/>
      <c r="M88" s="20"/>
      <c r="N88" s="22"/>
      <c r="O88" s="15"/>
      <c r="P88" s="15"/>
      <c r="Q88" s="15"/>
      <c r="R88" s="15"/>
      <c r="S88" s="15"/>
      <c r="T88" s="15"/>
      <c r="U88" s="15"/>
    </row>
    <row r="89" spans="1:21" ht="90">
      <c r="A89" s="17">
        <v>20042195018</v>
      </c>
      <c r="B89" s="19" t="str">
        <f>VLOOKUP(A89,'ESTADOS ESTUDIANTES'!B:L,2,0)</f>
        <v>PEDRAZA MARTINEZ LUIS FERNANDO</v>
      </c>
      <c r="C89" s="19">
        <f>VLOOKUP(A89,'ESTADOS ESTUDIANTES'!B:L,3,0)</f>
        <v>195</v>
      </c>
      <c r="D89" s="66" t="str">
        <f>VLOOKUP(A89,'ESTADOS ESTUDIANTES'!B:L,4,0)</f>
        <v>MAE. EN CIENCIAS DE LA INF. Y LAS COMUNICACIONES ENFASIS EN TELEINF.</v>
      </c>
      <c r="E89" s="19" t="str">
        <f>VLOOKUP(A89,'ESTADOS ESTUDIANTES'!B:L,5,0)</f>
        <v>E</v>
      </c>
      <c r="F89" s="18" t="str">
        <f>VLOOKUP(E89,Listas!B1:C1004,2,0)</f>
        <v>EGRESADO</v>
      </c>
      <c r="G89" s="19" t="str">
        <f>VLOOKUP(A89,'ESTADOS ESTUDIANTES'!B:L,7,0)</f>
        <v>NO REGISTRA</v>
      </c>
      <c r="H89" s="19" t="str">
        <f>VLOOKUP(A89,'ESTADOS ESTUDIANTES'!B:L,8,0)</f>
        <v>lfpedrazam@correo.udistrital.edu.co</v>
      </c>
      <c r="I89" s="70" t="str">
        <f>VLOOKUP(A89,'ESTADOS ESTUDIANTES'!B:L,9,0)</f>
        <v>pedrazaluis2001@yahoo.es</v>
      </c>
      <c r="J89" s="19" t="str">
        <f>VLOOKUP(A89,'ESTADOS ESTUDIANTES'!B:L,10,0)</f>
        <v>CC</v>
      </c>
      <c r="K89" s="19">
        <f>VLOOKUP(A89,'ESTADOS ESTUDIANTES'!B:L,11,0)</f>
        <v>79880251</v>
      </c>
      <c r="L89" s="23"/>
      <c r="M89" s="20"/>
      <c r="N89" s="22"/>
      <c r="O89" s="15"/>
      <c r="P89" s="15"/>
      <c r="Q89" s="15"/>
      <c r="R89" s="15"/>
      <c r="S89" s="15"/>
      <c r="T89" s="15"/>
      <c r="U89" s="15"/>
    </row>
    <row r="90" spans="1:21" ht="90">
      <c r="A90" s="17">
        <v>20042195019</v>
      </c>
      <c r="B90" s="19" t="str">
        <f>VLOOKUP(A90,'ESTADOS ESTUDIANTES'!B:L,2,0)</f>
        <v>PEREZ HERRERA PABLO GERMAN</v>
      </c>
      <c r="C90" s="19">
        <f>VLOOKUP(A90,'ESTADOS ESTUDIANTES'!B:L,3,0)</f>
        <v>195</v>
      </c>
      <c r="D90" s="66" t="str">
        <f>VLOOKUP(A90,'ESTADOS ESTUDIANTES'!B:L,4,0)</f>
        <v>MAE. EN CIENCIAS DE LA INF. Y LAS COMUNICACIONES ENFASIS EN TELEINF.</v>
      </c>
      <c r="E90" s="19" t="str">
        <f>VLOOKUP(A90,'ESTADOS ESTUDIANTES'!B:L,5,0)</f>
        <v>E</v>
      </c>
      <c r="F90" s="18" t="str">
        <f>VLOOKUP(E90,Listas!B1:C1004,2,0)</f>
        <v>EGRESADO</v>
      </c>
      <c r="G90" s="19" t="str">
        <f>VLOOKUP(A90,'ESTADOS ESTUDIANTES'!B:L,7,0)</f>
        <v>NO REGISTRA</v>
      </c>
      <c r="H90" s="19" t="str">
        <f>VLOOKUP(A90,'ESTADOS ESTUDIANTES'!B:L,8,0)</f>
        <v>pgperezh@correo.udistrital.edu.co</v>
      </c>
      <c r="I90" s="70" t="str">
        <f>VLOOKUP(A90,'ESTADOS ESTUDIANTES'!B:L,9,0)</f>
        <v>pgphpollo@yahoo.com.mx</v>
      </c>
      <c r="J90" s="19" t="str">
        <f>VLOOKUP(A90,'ESTADOS ESTUDIANTES'!B:L,10,0)</f>
        <v>CC</v>
      </c>
      <c r="K90" s="19">
        <f>VLOOKUP(A90,'ESTADOS ESTUDIANTES'!B:L,11,0)</f>
        <v>19055103</v>
      </c>
      <c r="L90" s="23"/>
      <c r="M90" s="20"/>
      <c r="N90" s="22"/>
      <c r="O90" s="15"/>
      <c r="P90" s="15"/>
      <c r="Q90" s="15"/>
      <c r="R90" s="15"/>
      <c r="S90" s="15"/>
      <c r="T90" s="15"/>
      <c r="U90" s="15"/>
    </row>
    <row r="91" spans="1:21" ht="90">
      <c r="A91" s="17">
        <v>20042195020</v>
      </c>
      <c r="B91" s="19" t="str">
        <f>VLOOKUP(A91,'ESTADOS ESTUDIANTES'!B:L,2,0)</f>
        <v>REYES MOZO JOSE VICENTE</v>
      </c>
      <c r="C91" s="19">
        <f>VLOOKUP(A91,'ESTADOS ESTUDIANTES'!B:L,3,0)</f>
        <v>195</v>
      </c>
      <c r="D91" s="66" t="str">
        <f>VLOOKUP(A91,'ESTADOS ESTUDIANTES'!B:L,4,0)</f>
        <v>MAE. EN CIENCIAS DE LA INF. Y LAS COMUNICACIONES ENFASIS EN TELEINF.</v>
      </c>
      <c r="E91" s="19" t="str">
        <f>VLOOKUP(A91,'ESTADOS ESTUDIANTES'!B:L,5,0)</f>
        <v>X</v>
      </c>
      <c r="F91" s="18" t="str">
        <f>VLOOKUP(E91,Listas!B1:C1004,2,0)</f>
        <v>EXCLUIDO</v>
      </c>
      <c r="G91" s="19" t="str">
        <f>VLOOKUP(A91,'ESTADOS ESTUDIANTES'!B:L,7,0)</f>
        <v>NO REGISTRA</v>
      </c>
      <c r="H91" s="19" t="str">
        <f>VLOOKUP(A91,'ESTADOS ESTUDIANTES'!B:L,8,0)</f>
        <v>jvreyesr@correo.udistrital.edu.co</v>
      </c>
      <c r="I91" s="70" t="str">
        <f>VLOOKUP(A91,'ESTADOS ESTUDIANTES'!B:L,9,0)</f>
        <v>jovireyesm@yahoo.com</v>
      </c>
      <c r="J91" s="19" t="str">
        <f>VLOOKUP(A91,'ESTADOS ESTUDIANTES'!B:L,10,0)</f>
        <v>CC</v>
      </c>
      <c r="K91" s="19">
        <f>VLOOKUP(A91,'ESTADOS ESTUDIANTES'!B:L,11,0)</f>
        <v>7161428</v>
      </c>
      <c r="L91" s="23"/>
      <c r="M91" s="20"/>
      <c r="N91" s="22"/>
      <c r="O91" s="15"/>
      <c r="P91" s="15"/>
      <c r="Q91" s="15"/>
      <c r="R91" s="15"/>
      <c r="S91" s="15"/>
      <c r="T91" s="15"/>
      <c r="U91" s="15"/>
    </row>
    <row r="92" spans="1:21" ht="90">
      <c r="A92" s="17">
        <v>20042195021</v>
      </c>
      <c r="B92" s="19" t="str">
        <f>VLOOKUP(A92,'ESTADOS ESTUDIANTES'!B:L,2,0)</f>
        <v>RIOS SENDOYA LUIS FERNANDO</v>
      </c>
      <c r="C92" s="19">
        <f>VLOOKUP(A92,'ESTADOS ESTUDIANTES'!B:L,3,0)</f>
        <v>195</v>
      </c>
      <c r="D92" s="66" t="str">
        <f>VLOOKUP(A92,'ESTADOS ESTUDIANTES'!B:L,4,0)</f>
        <v>MAE. EN CIENCIAS DE LA INF. Y LAS COMUNICACIONES ENFASIS EN TELEINF.</v>
      </c>
      <c r="E92" s="19" t="str">
        <f>VLOOKUP(A92,'ESTADOS ESTUDIANTES'!B:L,5,0)</f>
        <v>E</v>
      </c>
      <c r="F92" s="18" t="str">
        <f>VLOOKUP(E92,Listas!B1:C1004,2,0)</f>
        <v>EGRESADO</v>
      </c>
      <c r="G92" s="19">
        <f>VLOOKUP(A92,'ESTADOS ESTUDIANTES'!B:L,7,0)</f>
        <v>1</v>
      </c>
      <c r="H92" s="19" t="str">
        <f>VLOOKUP(A92,'ESTADOS ESTUDIANTES'!B:L,8,0)</f>
        <v>lfrioss@correo.udistrital.edu.co</v>
      </c>
      <c r="I92" s="70" t="str">
        <f>VLOOKUP(A92,'ESTADOS ESTUDIANTES'!B:L,9,0)</f>
        <v>riosjot@gmail.com</v>
      </c>
      <c r="J92" s="19" t="str">
        <f>VLOOKUP(A92,'ESTADOS ESTUDIANTES'!B:L,10,0)</f>
        <v>CC</v>
      </c>
      <c r="K92" s="19">
        <f>VLOOKUP(A92,'ESTADOS ESTUDIANTES'!B:L,11,0)</f>
        <v>19052013</v>
      </c>
      <c r="L92" s="23"/>
      <c r="M92" s="20"/>
      <c r="N92" s="22"/>
      <c r="O92" s="15"/>
      <c r="P92" s="15"/>
      <c r="Q92" s="15"/>
      <c r="R92" s="15"/>
      <c r="S92" s="15"/>
      <c r="T92" s="15"/>
      <c r="U92" s="15"/>
    </row>
    <row r="93" spans="1:21" ht="90">
      <c r="A93" s="17">
        <v>20042195022</v>
      </c>
      <c r="B93" s="19" t="str">
        <f>VLOOKUP(A93,'ESTADOS ESTUDIANTES'!B:L,2,0)</f>
        <v>RUBIO PLAZAS JAVIER HUMBERTO</v>
      </c>
      <c r="C93" s="19">
        <f>VLOOKUP(A93,'ESTADOS ESTUDIANTES'!B:L,3,0)</f>
        <v>195</v>
      </c>
      <c r="D93" s="66" t="str">
        <f>VLOOKUP(A93,'ESTADOS ESTUDIANTES'!B:L,4,0)</f>
        <v>MAE. EN CIENCIAS DE LA INF. Y LAS COMUNICACIONES ENFASIS EN TELEINF.</v>
      </c>
      <c r="E93" s="19" t="str">
        <f>VLOOKUP(A93,'ESTADOS ESTUDIANTES'!B:L,5,0)</f>
        <v>X</v>
      </c>
      <c r="F93" s="18" t="str">
        <f>VLOOKUP(E93,Listas!B1:C1004,2,0)</f>
        <v>EXCLUIDO</v>
      </c>
      <c r="G93" s="19" t="str">
        <f>VLOOKUP(A93,'ESTADOS ESTUDIANTES'!B:L,7,0)</f>
        <v>NO REGISTRA</v>
      </c>
      <c r="H93" s="19" t="str">
        <f>VLOOKUP(A93,'ESTADOS ESTUDIANTES'!B:L,8,0)</f>
        <v>jhrubiop@correo.udistrital.edu.co</v>
      </c>
      <c r="I93" s="70" t="str">
        <f>VLOOKUP(A93,'ESTADOS ESTUDIANTES'!B:L,9,0)</f>
        <v>jhrubiop@estudiante.udistrital.edu.co</v>
      </c>
      <c r="J93" s="19" t="str">
        <f>VLOOKUP(A93,'ESTADOS ESTUDIANTES'!B:L,10,0)</f>
        <v>CC</v>
      </c>
      <c r="K93" s="19">
        <f>VLOOKUP(A93,'ESTADOS ESTUDIANTES'!B:L,11,0)</f>
        <v>76320312</v>
      </c>
      <c r="L93" s="23"/>
      <c r="M93" s="20"/>
      <c r="N93" s="22"/>
      <c r="O93" s="15"/>
      <c r="P93" s="15"/>
      <c r="Q93" s="15"/>
      <c r="R93" s="15"/>
      <c r="S93" s="15"/>
      <c r="T93" s="15"/>
      <c r="U93" s="15"/>
    </row>
    <row r="94" spans="1:21" ht="90">
      <c r="A94" s="17">
        <v>20042195023</v>
      </c>
      <c r="B94" s="19" t="str">
        <f>VLOOKUP(A94,'ESTADOS ESTUDIANTES'!B:L,2,0)</f>
        <v>GRANADOS HERNANDEZ LUIS ENRIQUE</v>
      </c>
      <c r="C94" s="19">
        <f>VLOOKUP(A94,'ESTADOS ESTUDIANTES'!B:L,3,0)</f>
        <v>195</v>
      </c>
      <c r="D94" s="66" t="str">
        <f>VLOOKUP(A94,'ESTADOS ESTUDIANTES'!B:L,4,0)</f>
        <v>MAE. EN CIENCIAS DE LA INF. Y LAS COMUNICACIONES ENFASIS EN TELEINF.</v>
      </c>
      <c r="E94" s="19" t="str">
        <f>VLOOKUP(A94,'ESTADOS ESTUDIANTES'!B:L,5,0)</f>
        <v>X</v>
      </c>
      <c r="F94" s="18" t="str">
        <f>VLOOKUP(E94,Listas!B1:C1004,2,0)</f>
        <v>EXCLUIDO</v>
      </c>
      <c r="G94" s="19" t="str">
        <f>VLOOKUP(A94,'ESTADOS ESTUDIANTES'!B:L,7,0)</f>
        <v>NO REGISTRA</v>
      </c>
      <c r="H94" s="19" t="str">
        <f>VLOOKUP(A94,'ESTADOS ESTUDIANTES'!B:L,8,0)</f>
        <v>legranadosh@correo.udistrital.edu.co</v>
      </c>
      <c r="I94" s="70" t="str">
        <f>VLOOKUP(A94,'ESTADOS ESTUDIANTES'!B:L,9,0)</f>
        <v>legranadosh@estudiante.udistrital.edu.co</v>
      </c>
      <c r="J94" s="19" t="str">
        <f>VLOOKUP(A94,'ESTADOS ESTUDIANTES'!B:L,10,0)</f>
        <v>CC</v>
      </c>
      <c r="K94" s="19">
        <f>VLOOKUP(A94,'ESTADOS ESTUDIANTES'!B:L,11,0)</f>
        <v>19266719</v>
      </c>
      <c r="L94" s="23"/>
      <c r="M94" s="20"/>
      <c r="N94" s="22"/>
      <c r="O94" s="15"/>
      <c r="P94" s="15"/>
      <c r="Q94" s="15"/>
      <c r="R94" s="15"/>
      <c r="S94" s="15"/>
      <c r="T94" s="15"/>
      <c r="U94" s="15"/>
    </row>
    <row r="95" spans="1:21" ht="90">
      <c r="A95" s="17">
        <v>20042295001</v>
      </c>
      <c r="B95" s="19" t="str">
        <f>VLOOKUP(A95,'ESTADOS ESTUDIANTES'!B:L,2,0)</f>
        <v>BARRAGAN TORRES LAURA EVA</v>
      </c>
      <c r="C95" s="19">
        <f>VLOOKUP(A95,'ESTADOS ESTUDIANTES'!B:L,3,0)</f>
        <v>295</v>
      </c>
      <c r="D95" s="66" t="str">
        <f>VLOOKUP(A95,'ESTADOS ESTUDIANTES'!B:L,4,0)</f>
        <v>MAE. EN CIENCIAS DE LA INF. Y LAS COMUNICACIONES ENFASIS EN SIS. INFOR</v>
      </c>
      <c r="E95" s="19" t="str">
        <f>VLOOKUP(A95,'ESTADOS ESTUDIANTES'!B:L,5,0)</f>
        <v>X</v>
      </c>
      <c r="F95" s="18" t="str">
        <f>VLOOKUP(E95,Listas!B1:C1004,2,0)</f>
        <v>EXCLUIDO</v>
      </c>
      <c r="G95" s="19" t="str">
        <f>VLOOKUP(A95,'ESTADOS ESTUDIANTES'!B:L,7,0)</f>
        <v>NO REGISTRA</v>
      </c>
      <c r="H95" s="19" t="str">
        <f>VLOOKUP(A95,'ESTADOS ESTUDIANTES'!B:L,8,0)</f>
        <v>lebarragant@correo.udistrital.edu.co</v>
      </c>
      <c r="I95" s="70" t="str">
        <f>VLOOKUP(A95,'ESTADOS ESTUDIANTES'!B:L,9,0)</f>
        <v>lebarragant@estudiante.udistrital.edu.co</v>
      </c>
      <c r="J95" s="19" t="str">
        <f>VLOOKUP(A95,'ESTADOS ESTUDIANTES'!B:L,10,0)</f>
        <v>CC</v>
      </c>
      <c r="K95" s="19">
        <f>VLOOKUP(A95,'ESTADOS ESTUDIANTES'!B:L,11,0)</f>
        <v>52020395</v>
      </c>
      <c r="L95" s="23"/>
      <c r="M95" s="20"/>
      <c r="N95" s="22"/>
      <c r="O95" s="15"/>
      <c r="P95" s="15"/>
      <c r="Q95" s="15"/>
      <c r="R95" s="15"/>
      <c r="S95" s="15"/>
      <c r="T95" s="15"/>
      <c r="U95" s="15"/>
    </row>
    <row r="96" spans="1:21" ht="90">
      <c r="A96" s="17">
        <v>20042295002</v>
      </c>
      <c r="B96" s="19" t="str">
        <f>VLOOKUP(A96,'ESTADOS ESTUDIANTES'!B:L,2,0)</f>
        <v>MARIA LUISA BARRETO SANDOVAL</v>
      </c>
      <c r="C96" s="19">
        <f>VLOOKUP(A96,'ESTADOS ESTUDIANTES'!B:L,3,0)</f>
        <v>295</v>
      </c>
      <c r="D96" s="66" t="str">
        <f>VLOOKUP(A96,'ESTADOS ESTUDIANTES'!B:L,4,0)</f>
        <v>MAE. EN CIENCIAS DE LA INF. Y LAS COMUNICACIONES ENFASIS EN SIS. INFOR</v>
      </c>
      <c r="E96" s="19" t="str">
        <f>VLOOKUP(A96,'ESTADOS ESTUDIANTES'!B:L,5,0)</f>
        <v>E</v>
      </c>
      <c r="F96" s="18" t="str">
        <f>VLOOKUP(E96,Listas!B1:C1004,2,0)</f>
        <v>EGRESADO</v>
      </c>
      <c r="G96" s="19">
        <f>VLOOKUP(A96,'ESTADOS ESTUDIANTES'!B:L,7,0)</f>
        <v>1</v>
      </c>
      <c r="H96" s="19" t="str">
        <f>VLOOKUP(A96,'ESTADOS ESTUDIANTES'!B:L,8,0)</f>
        <v>mlbarretos@correo.udistrital.edu.co</v>
      </c>
      <c r="I96" s="70" t="str">
        <f>VLOOKUP(A96,'ESTADOS ESTUDIANTES'!B:L,9,0)</f>
        <v>mbarreto93@yahoo.es</v>
      </c>
      <c r="J96" s="19" t="str">
        <f>VLOOKUP(A96,'ESTADOS ESTUDIANTES'!B:L,10,0)</f>
        <v>CC</v>
      </c>
      <c r="K96" s="19">
        <f>VLOOKUP(A96,'ESTADOS ESTUDIANTES'!B:L,11,0)</f>
        <v>52426307</v>
      </c>
      <c r="L96" s="23"/>
      <c r="M96" s="20"/>
      <c r="N96" s="22"/>
      <c r="O96" s="15"/>
      <c r="P96" s="15"/>
      <c r="Q96" s="15"/>
      <c r="R96" s="15"/>
      <c r="S96" s="15"/>
      <c r="T96" s="15"/>
      <c r="U96" s="15"/>
    </row>
    <row r="97" spans="1:21" ht="90">
      <c r="A97" s="17">
        <v>20042295003</v>
      </c>
      <c r="B97" s="19" t="str">
        <f>VLOOKUP(A97,'ESTADOS ESTUDIANTES'!B:L,2,0)</f>
        <v>CABALLERO HERRERA JORGE ENRIQUE</v>
      </c>
      <c r="C97" s="19">
        <f>VLOOKUP(A97,'ESTADOS ESTUDIANTES'!B:L,3,0)</f>
        <v>295</v>
      </c>
      <c r="D97" s="66" t="str">
        <f>VLOOKUP(A97,'ESTADOS ESTUDIANTES'!B:L,4,0)</f>
        <v>MAE. EN CIENCIAS DE LA INF. Y LAS COMUNICACIONES ENFASIS EN SIS. INFOR</v>
      </c>
      <c r="E97" s="19" t="str">
        <f>VLOOKUP(A97,'ESTADOS ESTUDIANTES'!B:L,5,0)</f>
        <v>X</v>
      </c>
      <c r="F97" s="18" t="str">
        <f>VLOOKUP(E97,Listas!B1:C1004,2,0)</f>
        <v>EXCLUIDO</v>
      </c>
      <c r="G97" s="19" t="str">
        <f>VLOOKUP(A97,'ESTADOS ESTUDIANTES'!B:L,7,0)</f>
        <v>NO REGISTRA</v>
      </c>
      <c r="H97" s="19" t="str">
        <f>VLOOKUP(A97,'ESTADOS ESTUDIANTES'!B:L,8,0)</f>
        <v>jecaballeroh@correo.udistrital.edu.co</v>
      </c>
      <c r="I97" s="70" t="str">
        <f>VLOOKUP(A97,'ESTADOS ESTUDIANTES'!B:L,9,0)</f>
        <v>jecaballeroh@estudiante.udistrital.edu.co</v>
      </c>
      <c r="J97" s="19" t="str">
        <f>VLOOKUP(A97,'ESTADOS ESTUDIANTES'!B:L,10,0)</f>
        <v>CC</v>
      </c>
      <c r="K97" s="19">
        <f>VLOOKUP(A97,'ESTADOS ESTUDIANTES'!B:L,11,0)</f>
        <v>79514639</v>
      </c>
      <c r="L97" s="23"/>
      <c r="M97" s="20"/>
      <c r="N97" s="22"/>
      <c r="O97" s="15"/>
      <c r="P97" s="15"/>
      <c r="Q97" s="15"/>
      <c r="R97" s="15"/>
      <c r="S97" s="15"/>
      <c r="T97" s="15"/>
      <c r="U97" s="15"/>
    </row>
    <row r="98" spans="1:21" ht="90">
      <c r="A98" s="17">
        <v>20042295004</v>
      </c>
      <c r="B98" s="19" t="str">
        <f>VLOOKUP(A98,'ESTADOS ESTUDIANTES'!B:L,2,0)</f>
        <v>CARDENAS QUINTERO BEITMANTT GEOVANNI</v>
      </c>
      <c r="C98" s="19">
        <f>VLOOKUP(A98,'ESTADOS ESTUDIANTES'!B:L,3,0)</f>
        <v>295</v>
      </c>
      <c r="D98" s="66" t="str">
        <f>VLOOKUP(A98,'ESTADOS ESTUDIANTES'!B:L,4,0)</f>
        <v>MAE. EN CIENCIAS DE LA INF. Y LAS COMUNICACIONES ENFASIS EN SIS. INFOR</v>
      </c>
      <c r="E98" s="19" t="str">
        <f>VLOOKUP(A98,'ESTADOS ESTUDIANTES'!B:L,5,0)</f>
        <v>E</v>
      </c>
      <c r="F98" s="18" t="str">
        <f>VLOOKUP(E98,Listas!B1:C1004,2,0)</f>
        <v>EGRESADO</v>
      </c>
      <c r="G98" s="19" t="str">
        <f>VLOOKUP(A98,'ESTADOS ESTUDIANTES'!B:L,7,0)</f>
        <v>NO REGISTRA</v>
      </c>
      <c r="H98" s="19" t="str">
        <f>VLOOKUP(A98,'ESTADOS ESTUDIANTES'!B:L,8,0)</f>
        <v>bgcardenasq@correo.udistrital.edu.co</v>
      </c>
      <c r="I98" s="70" t="str">
        <f>VLOOKUP(A98,'ESTADOS ESTUDIANTES'!B:L,9,0)</f>
        <v>bgcardenasq@estudiante.udistrital.edu.co</v>
      </c>
      <c r="J98" s="19" t="str">
        <f>VLOOKUP(A98,'ESTADOS ESTUDIANTES'!B:L,10,0)</f>
        <v>CC</v>
      </c>
      <c r="K98" s="19">
        <f>VLOOKUP(A98,'ESTADOS ESTUDIANTES'!B:L,11,0)</f>
        <v>7164610</v>
      </c>
      <c r="L98" s="23"/>
      <c r="M98" s="20"/>
      <c r="N98" s="22"/>
      <c r="O98" s="15"/>
      <c r="P98" s="15"/>
      <c r="Q98" s="15"/>
      <c r="R98" s="15"/>
      <c r="S98" s="15"/>
      <c r="T98" s="15"/>
      <c r="U98" s="15"/>
    </row>
    <row r="99" spans="1:21" ht="90">
      <c r="A99" s="17">
        <v>20042295005</v>
      </c>
      <c r="B99" s="19" t="str">
        <f>VLOOKUP(A99,'ESTADOS ESTUDIANTES'!B:L,2,0)</f>
        <v>CASTRO AGREDO ZULMA IBETH</v>
      </c>
      <c r="C99" s="19">
        <f>VLOOKUP(A99,'ESTADOS ESTUDIANTES'!B:L,3,0)</f>
        <v>295</v>
      </c>
      <c r="D99" s="66" t="str">
        <f>VLOOKUP(A99,'ESTADOS ESTUDIANTES'!B:L,4,0)</f>
        <v>MAE. EN CIENCIAS DE LA INF. Y LAS COMUNICACIONES ENFASIS EN SIS. INFOR</v>
      </c>
      <c r="E99" s="19" t="str">
        <f>VLOOKUP(A99,'ESTADOS ESTUDIANTES'!B:L,5,0)</f>
        <v>X</v>
      </c>
      <c r="F99" s="18" t="str">
        <f>VLOOKUP(E99,Listas!B1:C1004,2,0)</f>
        <v>EXCLUIDO</v>
      </c>
      <c r="G99" s="19" t="str">
        <f>VLOOKUP(A99,'ESTADOS ESTUDIANTES'!B:L,7,0)</f>
        <v>NO REGISTRA</v>
      </c>
      <c r="H99" s="19" t="str">
        <f>VLOOKUP(A99,'ESTADOS ESTUDIANTES'!B:L,8,0)</f>
        <v>zicastroa@correo.udistrital.edu.co</v>
      </c>
      <c r="I99" s="70" t="str">
        <f>VLOOKUP(A99,'ESTADOS ESTUDIANTES'!B:L,9,0)</f>
        <v>zicazz@gmail.com</v>
      </c>
      <c r="J99" s="19" t="str">
        <f>VLOOKUP(A99,'ESTADOS ESTUDIANTES'!B:L,10,0)</f>
        <v>CC</v>
      </c>
      <c r="K99" s="19">
        <f>VLOOKUP(A99,'ESTADOS ESTUDIANTES'!B:L,11,0)</f>
        <v>52206646</v>
      </c>
      <c r="L99" s="23"/>
      <c r="M99" s="20"/>
      <c r="N99" s="22"/>
      <c r="O99" s="15"/>
      <c r="P99" s="15"/>
      <c r="Q99" s="15"/>
      <c r="R99" s="15"/>
      <c r="S99" s="15"/>
      <c r="T99" s="15"/>
      <c r="U99" s="15"/>
    </row>
    <row r="100" spans="1:21" ht="90">
      <c r="A100" s="17">
        <v>20042295006</v>
      </c>
      <c r="B100" s="19" t="str">
        <f>VLOOKUP(A100,'ESTADOS ESTUDIANTES'!B:L,2,0)</f>
        <v>GALLO ROMERO JYMI ALEXANDER</v>
      </c>
      <c r="C100" s="19">
        <f>VLOOKUP(A100,'ESTADOS ESTUDIANTES'!B:L,3,0)</f>
        <v>295</v>
      </c>
      <c r="D100" s="66" t="str">
        <f>VLOOKUP(A100,'ESTADOS ESTUDIANTES'!B:L,4,0)</f>
        <v>MAE. EN CIENCIAS DE LA INF. Y LAS COMUNICACIONES ENFASIS EN SIS. INFOR</v>
      </c>
      <c r="E100" s="19" t="str">
        <f>VLOOKUP(A100,'ESTADOS ESTUDIANTES'!B:L,5,0)</f>
        <v>X</v>
      </c>
      <c r="F100" s="18" t="str">
        <f>VLOOKUP(E100,Listas!B1:C1004,2,0)</f>
        <v>EXCLUIDO</v>
      </c>
      <c r="G100" s="19" t="str">
        <f>VLOOKUP(A100,'ESTADOS ESTUDIANTES'!B:L,7,0)</f>
        <v>NO REGISTRA</v>
      </c>
      <c r="H100" s="19" t="str">
        <f>VLOOKUP(A100,'ESTADOS ESTUDIANTES'!B:L,8,0)</f>
        <v>jyagallor@correo.udistrital.edu.co</v>
      </c>
      <c r="I100" s="70" t="str">
        <f>VLOOKUP(A100,'ESTADOS ESTUDIANTES'!B:L,9,0)</f>
        <v>jyagallor@estudiante.udistrital.edu.co</v>
      </c>
      <c r="J100" s="19" t="str">
        <f>VLOOKUP(A100,'ESTADOS ESTUDIANTES'!B:L,10,0)</f>
        <v>CC</v>
      </c>
      <c r="K100" s="19">
        <f>VLOOKUP(A100,'ESTADOS ESTUDIANTES'!B:L,11,0)</f>
        <v>79761096</v>
      </c>
      <c r="L100" s="23"/>
      <c r="M100" s="20"/>
      <c r="N100" s="22"/>
      <c r="O100" s="15"/>
      <c r="P100" s="15"/>
      <c r="Q100" s="15"/>
      <c r="R100" s="15"/>
      <c r="S100" s="15"/>
      <c r="T100" s="15"/>
      <c r="U100" s="15"/>
    </row>
    <row r="101" spans="1:21" ht="90">
      <c r="A101" s="17">
        <v>20042295007</v>
      </c>
      <c r="B101" s="19" t="str">
        <f>VLOOKUP(A101,'ESTADOS ESTUDIANTES'!B:L,2,0)</f>
        <v>MOLANO PUENTES FREDY ULISES</v>
      </c>
      <c r="C101" s="19">
        <f>VLOOKUP(A101,'ESTADOS ESTUDIANTES'!B:L,3,0)</f>
        <v>295</v>
      </c>
      <c r="D101" s="66" t="str">
        <f>VLOOKUP(A101,'ESTADOS ESTUDIANTES'!B:L,4,0)</f>
        <v>MAE. EN CIENCIAS DE LA INF. Y LAS COMUNICACIONES ENFASIS EN SIS. INFOR</v>
      </c>
      <c r="E101" s="19" t="str">
        <f>VLOOKUP(A101,'ESTADOS ESTUDIANTES'!B:L,5,0)</f>
        <v>X</v>
      </c>
      <c r="F101" s="18" t="str">
        <f>VLOOKUP(E101,Listas!B1:C1004,2,0)</f>
        <v>EXCLUIDO</v>
      </c>
      <c r="G101" s="19" t="str">
        <f>VLOOKUP(A101,'ESTADOS ESTUDIANTES'!B:L,7,0)</f>
        <v>NO REGISTRA</v>
      </c>
      <c r="H101" s="19" t="str">
        <f>VLOOKUP(A101,'ESTADOS ESTUDIANTES'!B:L,8,0)</f>
        <v>fumolanop@correo.udistrital.edu.co</v>
      </c>
      <c r="I101" s="70" t="str">
        <f>VLOOKUP(A101,'ESTADOS ESTUDIANTES'!B:L,9,0)</f>
        <v>fredymolano@yahoo.com</v>
      </c>
      <c r="J101" s="19" t="str">
        <f>VLOOKUP(A101,'ESTADOS ESTUDIANTES'!B:L,10,0)</f>
        <v>CC</v>
      </c>
      <c r="K101" s="19">
        <f>VLOOKUP(A101,'ESTADOS ESTUDIANTES'!B:L,11,0)</f>
        <v>7170907</v>
      </c>
      <c r="L101" s="23"/>
      <c r="M101" s="20"/>
      <c r="N101" s="22"/>
      <c r="O101" s="15"/>
      <c r="P101" s="15"/>
      <c r="Q101" s="15"/>
      <c r="R101" s="15"/>
      <c r="S101" s="15"/>
      <c r="T101" s="15"/>
      <c r="U101" s="15"/>
    </row>
    <row r="102" spans="1:21" ht="90">
      <c r="A102" s="17">
        <v>20042295008</v>
      </c>
      <c r="B102" s="19" t="str">
        <f>VLOOKUP(A102,'ESTADOS ESTUDIANTES'!B:L,2,0)</f>
        <v>MONJEJO HERNANDEZ ADRIANA</v>
      </c>
      <c r="C102" s="19">
        <f>VLOOKUP(A102,'ESTADOS ESTUDIANTES'!B:L,3,0)</f>
        <v>295</v>
      </c>
      <c r="D102" s="66" t="str">
        <f>VLOOKUP(A102,'ESTADOS ESTUDIANTES'!B:L,4,0)</f>
        <v>MAE. EN CIENCIAS DE LA INF. Y LAS COMUNICACIONES ENFASIS EN SIS. INFOR</v>
      </c>
      <c r="E102" s="19" t="str">
        <f>VLOOKUP(A102,'ESTADOS ESTUDIANTES'!B:L,5,0)</f>
        <v>X</v>
      </c>
      <c r="F102" s="18" t="str">
        <f>VLOOKUP(E102,Listas!B1:C1004,2,0)</f>
        <v>EXCLUIDO</v>
      </c>
      <c r="G102" s="19" t="str">
        <f>VLOOKUP(A102,'ESTADOS ESTUDIANTES'!B:L,7,0)</f>
        <v>NO REGISTRA</v>
      </c>
      <c r="H102" s="19" t="str">
        <f>VLOOKUP(A102,'ESTADOS ESTUDIANTES'!B:L,8,0)</f>
        <v>amonjejoh@correo.udistrital.edu.co</v>
      </c>
      <c r="I102" s="70" t="str">
        <f>VLOOKUP(A102,'ESTADOS ESTUDIANTES'!B:L,9,0)</f>
        <v>amonjejoh@estudiante.udistrital.edu.co</v>
      </c>
      <c r="J102" s="19" t="str">
        <f>VLOOKUP(A102,'ESTADOS ESTUDIANTES'!B:L,10,0)</f>
        <v>CC</v>
      </c>
      <c r="K102" s="19">
        <f>VLOOKUP(A102,'ESTADOS ESTUDIANTES'!B:L,11,0)</f>
        <v>23690324</v>
      </c>
      <c r="L102" s="23"/>
      <c r="M102" s="20"/>
      <c r="N102" s="22"/>
      <c r="O102" s="15"/>
      <c r="P102" s="15"/>
      <c r="Q102" s="15"/>
      <c r="R102" s="15"/>
      <c r="S102" s="15"/>
      <c r="T102" s="15"/>
      <c r="U102" s="15"/>
    </row>
    <row r="103" spans="1:21" ht="90">
      <c r="A103" s="17">
        <v>20042295009</v>
      </c>
      <c r="B103" s="19" t="str">
        <f>VLOOKUP(A103,'ESTADOS ESTUDIANTES'!B:L,2,0)</f>
        <v>OLAYA BENAVIDES AMPARO</v>
      </c>
      <c r="C103" s="19">
        <f>VLOOKUP(A103,'ESTADOS ESTUDIANTES'!B:L,3,0)</f>
        <v>295</v>
      </c>
      <c r="D103" s="66" t="str">
        <f>VLOOKUP(A103,'ESTADOS ESTUDIANTES'!B:L,4,0)</f>
        <v>MAE. EN CIENCIAS DE LA INF. Y LAS COMUNICACIONES ENFASIS EN SIS. INFOR</v>
      </c>
      <c r="E103" s="19" t="str">
        <f>VLOOKUP(A103,'ESTADOS ESTUDIANTES'!B:L,5,0)</f>
        <v>E</v>
      </c>
      <c r="F103" s="18" t="str">
        <f>VLOOKUP(E103,Listas!B1:C1004,2,0)</f>
        <v>EGRESADO</v>
      </c>
      <c r="G103" s="19" t="str">
        <f>VLOOKUP(A103,'ESTADOS ESTUDIANTES'!B:L,7,0)</f>
        <v>NO REGISTRA</v>
      </c>
      <c r="H103" s="19" t="str">
        <f>VLOOKUP(A103,'ESTADOS ESTUDIANTES'!B:L,8,0)</f>
        <v>aolayab@correo.udistrital.edu.co</v>
      </c>
      <c r="I103" s="70" t="str">
        <f>VLOOKUP(A103,'ESTADOS ESTUDIANTES'!B:L,9,0)</f>
        <v>aolayab@gmail.com</v>
      </c>
      <c r="J103" s="19" t="str">
        <f>VLOOKUP(A103,'ESTADOS ESTUDIANTES'!B:L,10,0)</f>
        <v>CC</v>
      </c>
      <c r="K103" s="19">
        <f>VLOOKUP(A103,'ESTADOS ESTUDIANTES'!B:L,11,0)</f>
        <v>52117438</v>
      </c>
      <c r="L103" s="23"/>
      <c r="M103" s="20"/>
      <c r="N103" s="22"/>
      <c r="O103" s="15"/>
      <c r="P103" s="15"/>
      <c r="Q103" s="15"/>
      <c r="R103" s="15"/>
      <c r="S103" s="15"/>
      <c r="T103" s="15"/>
      <c r="U103" s="15"/>
    </row>
    <row r="104" spans="1:21" ht="90">
      <c r="A104" s="17">
        <v>20042295010</v>
      </c>
      <c r="B104" s="19" t="str">
        <f>VLOOKUP(A104,'ESTADOS ESTUDIANTES'!B:L,2,0)</f>
        <v>RODRIGUEZ CEDEÑO DAGOBERTO</v>
      </c>
      <c r="C104" s="19">
        <f>VLOOKUP(A104,'ESTADOS ESTUDIANTES'!B:L,3,0)</f>
        <v>295</v>
      </c>
      <c r="D104" s="66" t="str">
        <f>VLOOKUP(A104,'ESTADOS ESTUDIANTES'!B:L,4,0)</f>
        <v>MAE. EN CIENCIAS DE LA INF. Y LAS COMUNICACIONES ENFASIS EN SIS. INFOR</v>
      </c>
      <c r="E104" s="19" t="str">
        <f>VLOOKUP(A104,'ESTADOS ESTUDIANTES'!B:L,5,0)</f>
        <v>X</v>
      </c>
      <c r="F104" s="18" t="str">
        <f>VLOOKUP(E104,Listas!B1:C1004,2,0)</f>
        <v>EXCLUIDO</v>
      </c>
      <c r="G104" s="19" t="str">
        <f>VLOOKUP(A104,'ESTADOS ESTUDIANTES'!B:L,7,0)</f>
        <v>NO REGISTRA</v>
      </c>
      <c r="H104" s="19" t="str">
        <f>VLOOKUP(A104,'ESTADOS ESTUDIANTES'!B:L,8,0)</f>
        <v>drodriguezc@correo.udistrital.edu.co</v>
      </c>
      <c r="I104" s="70" t="str">
        <f>VLOOKUP(A104,'ESTADOS ESTUDIANTES'!B:L,9,0)</f>
        <v>drodriguez@udistrital.edu.co</v>
      </c>
      <c r="J104" s="19" t="str">
        <f>VLOOKUP(A104,'ESTADOS ESTUDIANTES'!B:L,10,0)</f>
        <v>CC</v>
      </c>
      <c r="K104" s="19">
        <f>VLOOKUP(A104,'ESTADOS ESTUDIANTES'!B:L,11,0)</f>
        <v>93362446</v>
      </c>
      <c r="L104" s="23"/>
      <c r="M104" s="20"/>
      <c r="N104" s="22"/>
      <c r="O104" s="15"/>
      <c r="P104" s="15"/>
      <c r="Q104" s="15"/>
      <c r="R104" s="15"/>
      <c r="S104" s="15"/>
      <c r="T104" s="15"/>
      <c r="U104" s="15"/>
    </row>
    <row r="105" spans="1:21" ht="90">
      <c r="A105" s="17">
        <v>20042295011</v>
      </c>
      <c r="B105" s="19" t="str">
        <f>VLOOKUP(A105,'ESTADOS ESTUDIANTES'!B:L,2,0)</f>
        <v>SANABRIA GARZON JHON ALEXIS</v>
      </c>
      <c r="C105" s="19">
        <f>VLOOKUP(A105,'ESTADOS ESTUDIANTES'!B:L,3,0)</f>
        <v>295</v>
      </c>
      <c r="D105" s="66" t="str">
        <f>VLOOKUP(A105,'ESTADOS ESTUDIANTES'!B:L,4,0)</f>
        <v>MAE. EN CIENCIAS DE LA INF. Y LAS COMUNICACIONES ENFASIS EN SIS. INFOR</v>
      </c>
      <c r="E105" s="19" t="str">
        <f>VLOOKUP(A105,'ESTADOS ESTUDIANTES'!B:L,5,0)</f>
        <v>X</v>
      </c>
      <c r="F105" s="18" t="str">
        <f>VLOOKUP(E105,Listas!B1:C1004,2,0)</f>
        <v>EXCLUIDO</v>
      </c>
      <c r="G105" s="19" t="str">
        <f>VLOOKUP(A105,'ESTADOS ESTUDIANTES'!B:L,7,0)</f>
        <v>NO REGISTRA</v>
      </c>
      <c r="H105" s="19" t="str">
        <f>VLOOKUP(A105,'ESTADOS ESTUDIANTES'!B:L,8,0)</f>
        <v>jasanabriag@correo.udistrital.edu.co</v>
      </c>
      <c r="I105" s="70" t="str">
        <f>VLOOKUP(A105,'ESTADOS ESTUDIANTES'!B:L,9,0)</f>
        <v>jasanabriag@estudiante.udistrital.edu.co</v>
      </c>
      <c r="J105" s="19" t="str">
        <f>VLOOKUP(A105,'ESTADOS ESTUDIANTES'!B:L,10,0)</f>
        <v>CC</v>
      </c>
      <c r="K105" s="19">
        <f>VLOOKUP(A105,'ESTADOS ESTUDIANTES'!B:L,11,0)</f>
        <v>86065236</v>
      </c>
      <c r="L105" s="23"/>
      <c r="M105" s="20"/>
      <c r="N105" s="22"/>
      <c r="O105" s="15"/>
      <c r="P105" s="15"/>
      <c r="Q105" s="15"/>
      <c r="R105" s="15"/>
      <c r="S105" s="15"/>
      <c r="T105" s="15"/>
      <c r="U105" s="15"/>
    </row>
    <row r="106" spans="1:21" ht="90">
      <c r="A106" s="17">
        <v>20042295012</v>
      </c>
      <c r="B106" s="19" t="str">
        <f>VLOOKUP(A106,'ESTADOS ESTUDIANTES'!B:L,2,0)</f>
        <v>SANCHEZ SANCHEZ NELSON</v>
      </c>
      <c r="C106" s="19">
        <f>VLOOKUP(A106,'ESTADOS ESTUDIANTES'!B:L,3,0)</f>
        <v>295</v>
      </c>
      <c r="D106" s="66" t="str">
        <f>VLOOKUP(A106,'ESTADOS ESTUDIANTES'!B:L,4,0)</f>
        <v>MAE. EN CIENCIAS DE LA INF. Y LAS COMUNICACIONES ENFASIS EN SIS. INFOR</v>
      </c>
      <c r="E106" s="19" t="str">
        <f>VLOOKUP(A106,'ESTADOS ESTUDIANTES'!B:L,5,0)</f>
        <v>X</v>
      </c>
      <c r="F106" s="18" t="str">
        <f>VLOOKUP(E106,Listas!B1:C1004,2,0)</f>
        <v>EXCLUIDO</v>
      </c>
      <c r="G106" s="19">
        <f>VLOOKUP(A106,'ESTADOS ESTUDIANTES'!B:L,7,0)</f>
        <v>1</v>
      </c>
      <c r="H106" s="19" t="str">
        <f>VLOOKUP(A106,'ESTADOS ESTUDIANTES'!B:L,8,0)</f>
        <v>nsanchezs@correo.udistrital.edu.co</v>
      </c>
      <c r="I106" s="70" t="str">
        <f>VLOOKUP(A106,'ESTADOS ESTUDIANTES'!B:L,9,0)</f>
        <v>nelson.sanchez@utadeo.edu.co</v>
      </c>
      <c r="J106" s="19" t="str">
        <f>VLOOKUP(A106,'ESTADOS ESTUDIANTES'!B:L,10,0)</f>
        <v>CC</v>
      </c>
      <c r="K106" s="19">
        <f>VLOOKUP(A106,'ESTADOS ESTUDIANTES'!B:L,11,0)</f>
        <v>79406386</v>
      </c>
      <c r="L106" s="23"/>
      <c r="M106" s="20"/>
      <c r="N106" s="22"/>
      <c r="O106" s="15"/>
      <c r="P106" s="15"/>
      <c r="Q106" s="15"/>
      <c r="R106" s="15"/>
      <c r="S106" s="15"/>
      <c r="T106" s="15"/>
      <c r="U106" s="15"/>
    </row>
    <row r="107" spans="1:21" ht="90">
      <c r="A107" s="17">
        <v>20042295013</v>
      </c>
      <c r="B107" s="19" t="str">
        <f>VLOOKUP(A107,'ESTADOS ESTUDIANTES'!B:L,2,0)</f>
        <v>VERA PARRA NELSON ENRIQUE</v>
      </c>
      <c r="C107" s="19">
        <f>VLOOKUP(A107,'ESTADOS ESTUDIANTES'!B:L,3,0)</f>
        <v>295</v>
      </c>
      <c r="D107" s="66" t="str">
        <f>VLOOKUP(A107,'ESTADOS ESTUDIANTES'!B:L,4,0)</f>
        <v>MAE. EN CIENCIAS DE LA INF. Y LAS COMUNICACIONES ENFASIS EN SIS. INFOR</v>
      </c>
      <c r="E107" s="19" t="str">
        <f>VLOOKUP(A107,'ESTADOS ESTUDIANTES'!B:L,5,0)</f>
        <v>E</v>
      </c>
      <c r="F107" s="18" t="str">
        <f>VLOOKUP(E107,Listas!B1:C1004,2,0)</f>
        <v>EGRESADO</v>
      </c>
      <c r="G107" s="19" t="str">
        <f>VLOOKUP(A107,'ESTADOS ESTUDIANTES'!B:L,7,0)</f>
        <v>NO REGISTRA</v>
      </c>
      <c r="H107" s="19" t="str">
        <f>VLOOKUP(A107,'ESTADOS ESTUDIANTES'!B:L,8,0)</f>
        <v>neverap@correo.udistrital.edu.co</v>
      </c>
      <c r="I107" s="70" t="str">
        <f>VLOOKUP(A107,'ESTADOS ESTUDIANTES'!B:L,9,0)</f>
        <v>neverap@estudiante.udistrital.edu.co</v>
      </c>
      <c r="J107" s="19" t="str">
        <f>VLOOKUP(A107,'ESTADOS ESTUDIANTES'!B:L,10,0)</f>
        <v>CC</v>
      </c>
      <c r="K107" s="19">
        <f>VLOOKUP(A107,'ESTADOS ESTUDIANTES'!B:L,11,0)</f>
        <v>93414617</v>
      </c>
      <c r="L107" s="23"/>
      <c r="M107" s="20"/>
      <c r="N107" s="22"/>
      <c r="O107" s="15"/>
      <c r="P107" s="15"/>
      <c r="Q107" s="15"/>
      <c r="R107" s="15"/>
      <c r="S107" s="15"/>
      <c r="T107" s="15"/>
      <c r="U107" s="15"/>
    </row>
    <row r="108" spans="1:21" ht="90">
      <c r="A108" s="17">
        <v>20042295014</v>
      </c>
      <c r="B108" s="19" t="str">
        <f>VLOOKUP(A108,'ESTADOS ESTUDIANTES'!B:L,2,0)</f>
        <v>TARAZONA BERMUDEZ GIOVANNY MAURICIO</v>
      </c>
      <c r="C108" s="19">
        <f>VLOOKUP(A108,'ESTADOS ESTUDIANTES'!B:L,3,0)</f>
        <v>295</v>
      </c>
      <c r="D108" s="66" t="str">
        <f>VLOOKUP(A108,'ESTADOS ESTUDIANTES'!B:L,4,0)</f>
        <v>MAE. EN CIENCIAS DE LA INF. Y LAS COMUNICACIONES ENFASIS EN SIS. INFOR</v>
      </c>
      <c r="E108" s="19" t="str">
        <f>VLOOKUP(A108,'ESTADOS ESTUDIANTES'!B:L,5,0)</f>
        <v>X</v>
      </c>
      <c r="F108" s="18" t="str">
        <f>VLOOKUP(E108,Listas!B1:C1004,2,0)</f>
        <v>EXCLUIDO</v>
      </c>
      <c r="G108" s="19" t="str">
        <f>VLOOKUP(A108,'ESTADOS ESTUDIANTES'!B:L,7,0)</f>
        <v>NO REGISTRA</v>
      </c>
      <c r="H108" s="19" t="str">
        <f>VLOOKUP(A108,'ESTADOS ESTUDIANTES'!B:L,8,0)</f>
        <v>gimtarazonab@correo.udistrital.edu.co</v>
      </c>
      <c r="I108" s="70" t="str">
        <f>VLOOKUP(A108,'ESTADOS ESTUDIANTES'!B:L,9,0)</f>
        <v>gimtarazonab@estudiante.udistrital.edu.co</v>
      </c>
      <c r="J108" s="19" t="str">
        <f>VLOOKUP(A108,'ESTADOS ESTUDIANTES'!B:L,10,0)</f>
        <v>CC</v>
      </c>
      <c r="K108" s="19">
        <f>VLOOKUP(A108,'ESTADOS ESTUDIANTES'!B:L,11,0)</f>
        <v>79571941</v>
      </c>
      <c r="L108" s="23"/>
      <c r="M108" s="20"/>
      <c r="N108" s="22"/>
      <c r="O108" s="15"/>
      <c r="P108" s="15"/>
      <c r="Q108" s="15"/>
      <c r="R108" s="15"/>
      <c r="S108" s="15"/>
      <c r="T108" s="15"/>
      <c r="U108" s="15"/>
    </row>
    <row r="109" spans="1:21" ht="90">
      <c r="A109" s="17">
        <v>20042295015</v>
      </c>
      <c r="B109" s="19" t="str">
        <f>VLOOKUP(A109,'ESTADOS ESTUDIANTES'!B:L,2,0)</f>
        <v>RODRIGUEZ MOLANO JOSE IGNACIO</v>
      </c>
      <c r="C109" s="19">
        <f>VLOOKUP(A109,'ESTADOS ESTUDIANTES'!B:L,3,0)</f>
        <v>295</v>
      </c>
      <c r="D109" s="66" t="str">
        <f>VLOOKUP(A109,'ESTADOS ESTUDIANTES'!B:L,4,0)</f>
        <v>MAE. EN CIENCIAS DE LA INF. Y LAS COMUNICACIONES ENFASIS EN SIS. INFOR</v>
      </c>
      <c r="E109" s="19" t="str">
        <f>VLOOKUP(A109,'ESTADOS ESTUDIANTES'!B:L,5,0)</f>
        <v>E</v>
      </c>
      <c r="F109" s="18" t="str">
        <f>VLOOKUP(E109,Listas!B1:C1004,2,0)</f>
        <v>EGRESADO</v>
      </c>
      <c r="G109" s="19" t="str">
        <f>VLOOKUP(A109,'ESTADOS ESTUDIANTES'!B:L,7,0)</f>
        <v>NO REGISTRA</v>
      </c>
      <c r="H109" s="19" t="str">
        <f>VLOOKUP(A109,'ESTADOS ESTUDIANTES'!B:L,8,0)</f>
        <v>jirodriguezm@correo.udistrital.edu.co</v>
      </c>
      <c r="I109" s="70" t="str">
        <f>VLOOKUP(A109,'ESTADOS ESTUDIANTES'!B:L,9,0)</f>
        <v>jirodriguez@udistrital.edu.co</v>
      </c>
      <c r="J109" s="19" t="str">
        <f>VLOOKUP(A109,'ESTADOS ESTUDIANTES'!B:L,10,0)</f>
        <v>CC</v>
      </c>
      <c r="K109" s="19">
        <f>VLOOKUP(A109,'ESTADOS ESTUDIANTES'!B:L,11,0)</f>
        <v>79671115</v>
      </c>
      <c r="L109" s="23"/>
      <c r="M109" s="20"/>
      <c r="N109" s="22"/>
      <c r="O109" s="15"/>
      <c r="P109" s="15"/>
      <c r="Q109" s="15"/>
      <c r="R109" s="15"/>
      <c r="S109" s="15"/>
      <c r="T109" s="15"/>
      <c r="U109" s="15"/>
    </row>
    <row r="110" spans="1:21" ht="90">
      <c r="A110" s="17">
        <v>20051195001</v>
      </c>
      <c r="B110" s="19" t="str">
        <f>VLOOKUP(A110,'ESTADOS ESTUDIANTES'!B:L,2,0)</f>
        <v>ARCINIEGAS HERRERA DANIEL EDUARDO</v>
      </c>
      <c r="C110" s="19">
        <f>VLOOKUP(A110,'ESTADOS ESTUDIANTES'!B:L,3,0)</f>
        <v>195</v>
      </c>
      <c r="D110" s="66" t="str">
        <f>VLOOKUP(A110,'ESTADOS ESTUDIANTES'!B:L,4,0)</f>
        <v>MAE. EN CIENCIAS DE LA INF. Y LAS COMUNICACIONES ENFASIS EN TELEINF.</v>
      </c>
      <c r="E110" s="19" t="str">
        <f>VLOOKUP(A110,'ESTADOS ESTUDIANTES'!B:L,5,0)</f>
        <v>X</v>
      </c>
      <c r="F110" s="18" t="str">
        <f>VLOOKUP(E110,Listas!B1:C1004,2,0)</f>
        <v>EXCLUIDO</v>
      </c>
      <c r="G110" s="19" t="str">
        <f>VLOOKUP(A110,'ESTADOS ESTUDIANTES'!B:L,7,0)</f>
        <v>NO REGISTRA</v>
      </c>
      <c r="H110" s="19" t="str">
        <f>VLOOKUP(A110,'ESTADOS ESTUDIANTES'!B:L,8,0)</f>
        <v>dearciniegash@correo.udistrital.edu.co</v>
      </c>
      <c r="I110" s="70" t="str">
        <f>VLOOKUP(A110,'ESTADOS ESTUDIANTES'!B:L,9,0)</f>
        <v>dearciniegash@estudiante.udistrital.edu.co</v>
      </c>
      <c r="J110" s="19" t="str">
        <f>VLOOKUP(A110,'ESTADOS ESTUDIANTES'!B:L,10,0)</f>
        <v>CC</v>
      </c>
      <c r="K110" s="19">
        <f>VLOOKUP(A110,'ESTADOS ESTUDIANTES'!B:L,11,0)</f>
        <v>79618578</v>
      </c>
      <c r="L110" s="23"/>
      <c r="M110" s="20"/>
      <c r="N110" s="22"/>
      <c r="O110" s="15"/>
      <c r="P110" s="15"/>
      <c r="Q110" s="15"/>
      <c r="R110" s="15"/>
      <c r="S110" s="15"/>
      <c r="T110" s="15"/>
      <c r="U110" s="15"/>
    </row>
    <row r="111" spans="1:21" ht="90">
      <c r="A111" s="17">
        <v>20051195002</v>
      </c>
      <c r="B111" s="19" t="str">
        <f>VLOOKUP(A111,'ESTADOS ESTUDIANTES'!B:L,2,0)</f>
        <v>AREVALO PEÑA JAVIER ENRIQUE</v>
      </c>
      <c r="C111" s="19">
        <f>VLOOKUP(A111,'ESTADOS ESTUDIANTES'!B:L,3,0)</f>
        <v>195</v>
      </c>
      <c r="D111" s="66" t="str">
        <f>VLOOKUP(A111,'ESTADOS ESTUDIANTES'!B:L,4,0)</f>
        <v>MAE. EN CIENCIAS DE LA INF. Y LAS COMUNICACIONES ENFASIS EN TELEINF.</v>
      </c>
      <c r="E111" s="19" t="str">
        <f>VLOOKUP(A111,'ESTADOS ESTUDIANTES'!B:L,5,0)</f>
        <v>X</v>
      </c>
      <c r="F111" s="18" t="str">
        <f>VLOOKUP(E111,Listas!B1:C1004,2,0)</f>
        <v>EXCLUIDO</v>
      </c>
      <c r="G111" s="19" t="str">
        <f>VLOOKUP(A111,'ESTADOS ESTUDIANTES'!B:L,7,0)</f>
        <v>NO REGISTRA</v>
      </c>
      <c r="H111" s="19">
        <f>VLOOKUP(A111,'ESTADOS ESTUDIANTES'!B:L,8,0)</f>
        <v>0</v>
      </c>
      <c r="I111" s="70">
        <f>VLOOKUP(A111,'ESTADOS ESTUDIANTES'!B:L,9,0)</f>
        <v>0</v>
      </c>
      <c r="J111" s="19" t="str">
        <f>VLOOKUP(A111,'ESTADOS ESTUDIANTES'!B:L,10,0)</f>
        <v>CC</v>
      </c>
      <c r="K111" s="19">
        <f>VLOOKUP(A111,'ESTADOS ESTUDIANTES'!B:L,11,0)</f>
        <v>79715645</v>
      </c>
      <c r="L111" s="23"/>
      <c r="M111" s="20"/>
      <c r="N111" s="22"/>
      <c r="O111" s="15"/>
      <c r="P111" s="15"/>
      <c r="Q111" s="15"/>
      <c r="R111" s="15"/>
      <c r="S111" s="15"/>
      <c r="T111" s="15"/>
      <c r="U111" s="15"/>
    </row>
    <row r="112" spans="1:21" ht="90">
      <c r="A112" s="17">
        <v>20051195003</v>
      </c>
      <c r="B112" s="19" t="str">
        <f>VLOOKUP(A112,'ESTADOS ESTUDIANTES'!B:L,2,0)</f>
        <v>BARBOSA GUERRERO LUGO MANUEL</v>
      </c>
      <c r="C112" s="19">
        <f>VLOOKUP(A112,'ESTADOS ESTUDIANTES'!B:L,3,0)</f>
        <v>195</v>
      </c>
      <c r="D112" s="66" t="str">
        <f>VLOOKUP(A112,'ESTADOS ESTUDIANTES'!B:L,4,0)</f>
        <v>MAE. EN CIENCIAS DE LA INF. Y LAS COMUNICACIONES ENFASIS EN TELEINF.</v>
      </c>
      <c r="E112" s="19" t="str">
        <f>VLOOKUP(A112,'ESTADOS ESTUDIANTES'!B:L,5,0)</f>
        <v>X</v>
      </c>
      <c r="F112" s="18" t="str">
        <f>VLOOKUP(E112,Listas!B1:C1004,2,0)</f>
        <v>EXCLUIDO</v>
      </c>
      <c r="G112" s="19" t="str">
        <f>VLOOKUP(A112,'ESTADOS ESTUDIANTES'!B:L,7,0)</f>
        <v>NO REGISTRA</v>
      </c>
      <c r="H112" s="19">
        <f>VLOOKUP(A112,'ESTADOS ESTUDIANTES'!B:L,8,0)</f>
        <v>0</v>
      </c>
      <c r="I112" s="70">
        <f>VLOOKUP(A112,'ESTADOS ESTUDIANTES'!B:L,9,0)</f>
        <v>0</v>
      </c>
      <c r="J112" s="19" t="str">
        <f>VLOOKUP(A112,'ESTADOS ESTUDIANTES'!B:L,10,0)</f>
        <v>CC</v>
      </c>
      <c r="K112" s="19">
        <f>VLOOKUP(A112,'ESTADOS ESTUDIANTES'!B:L,11,0)</f>
        <v>79435895</v>
      </c>
      <c r="L112" s="23"/>
      <c r="M112" s="20"/>
      <c r="N112" s="22"/>
      <c r="O112" s="15"/>
      <c r="P112" s="15"/>
      <c r="Q112" s="15"/>
      <c r="R112" s="15"/>
      <c r="S112" s="15"/>
      <c r="T112" s="15"/>
      <c r="U112" s="15"/>
    </row>
    <row r="113" spans="1:21" ht="90">
      <c r="A113" s="17">
        <v>20051195004</v>
      </c>
      <c r="B113" s="19" t="str">
        <f>VLOOKUP(A113,'ESTADOS ESTUDIANTES'!B:L,2,0)</f>
        <v>BOLAÑOS SALAZAR MILTON CESAR</v>
      </c>
      <c r="C113" s="19">
        <f>VLOOKUP(A113,'ESTADOS ESTUDIANTES'!B:L,3,0)</f>
        <v>195</v>
      </c>
      <c r="D113" s="66" t="str">
        <f>VLOOKUP(A113,'ESTADOS ESTUDIANTES'!B:L,4,0)</f>
        <v>MAE. EN CIENCIAS DE LA INF. Y LAS COMUNICACIONES ENFASIS EN TELEINF.</v>
      </c>
      <c r="E113" s="19" t="str">
        <f>VLOOKUP(A113,'ESTADOS ESTUDIANTES'!B:L,5,0)</f>
        <v>X</v>
      </c>
      <c r="F113" s="18" t="str">
        <f>VLOOKUP(E113,Listas!B1:C1004,2,0)</f>
        <v>EXCLUIDO</v>
      </c>
      <c r="G113" s="19" t="str">
        <f>VLOOKUP(A113,'ESTADOS ESTUDIANTES'!B:L,7,0)</f>
        <v>NO REGISTRA</v>
      </c>
      <c r="H113" s="19" t="str">
        <f>VLOOKUP(A113,'ESTADOS ESTUDIANTES'!B:L,8,0)</f>
        <v>mcbolanoss@correo.udistrital.edu.co</v>
      </c>
      <c r="I113" s="70" t="str">
        <f>VLOOKUP(A113,'ESTADOS ESTUDIANTES'!B:L,9,0)</f>
        <v>mcbolanoss@estudiante.udistrital.edu.co</v>
      </c>
      <c r="J113" s="19" t="str">
        <f>VLOOKUP(A113,'ESTADOS ESTUDIANTES'!B:L,10,0)</f>
        <v>CC</v>
      </c>
      <c r="K113" s="19">
        <f>VLOOKUP(A113,'ESTADOS ESTUDIANTES'!B:L,11,0)</f>
        <v>79781420</v>
      </c>
      <c r="L113" s="23"/>
      <c r="M113" s="20"/>
      <c r="N113" s="22"/>
      <c r="O113" s="15"/>
      <c r="P113" s="15"/>
      <c r="Q113" s="15"/>
      <c r="R113" s="15"/>
      <c r="S113" s="15"/>
      <c r="T113" s="15"/>
      <c r="U113" s="15"/>
    </row>
    <row r="114" spans="1:21" ht="90">
      <c r="A114" s="17">
        <v>20051195005</v>
      </c>
      <c r="B114" s="19" t="str">
        <f>VLOOKUP(A114,'ESTADOS ESTUDIANTES'!B:L,2,0)</f>
        <v>CRUZ DIAZ OMAR EDUARDO</v>
      </c>
      <c r="C114" s="19">
        <f>VLOOKUP(A114,'ESTADOS ESTUDIANTES'!B:L,3,0)</f>
        <v>195</v>
      </c>
      <c r="D114" s="66" t="str">
        <f>VLOOKUP(A114,'ESTADOS ESTUDIANTES'!B:L,4,0)</f>
        <v>MAE. EN CIENCIAS DE LA INF. Y LAS COMUNICACIONES ENFASIS EN TELEINF.</v>
      </c>
      <c r="E114" s="19" t="str">
        <f>VLOOKUP(A114,'ESTADOS ESTUDIANTES'!B:L,5,0)</f>
        <v>X</v>
      </c>
      <c r="F114" s="18" t="str">
        <f>VLOOKUP(E114,Listas!B1:C1004,2,0)</f>
        <v>EXCLUIDO</v>
      </c>
      <c r="G114" s="19" t="str">
        <f>VLOOKUP(A114,'ESTADOS ESTUDIANTES'!B:L,7,0)</f>
        <v>NO REGISTRA</v>
      </c>
      <c r="H114" s="19" t="str">
        <f>VLOOKUP(A114,'ESTADOS ESTUDIANTES'!B:L,8,0)</f>
        <v>oecruzd@correo.udistrital.edu.co</v>
      </c>
      <c r="I114" s="70" t="str">
        <f>VLOOKUP(A114,'ESTADOS ESTUDIANTES'!B:L,9,0)</f>
        <v>oecruzd@estudiante.udistrital.edu.co</v>
      </c>
      <c r="J114" s="19" t="str">
        <f>VLOOKUP(A114,'ESTADOS ESTUDIANTES'!B:L,10,0)</f>
        <v>CC</v>
      </c>
      <c r="K114" s="19">
        <f>VLOOKUP(A114,'ESTADOS ESTUDIANTES'!B:L,11,0)</f>
        <v>80172050</v>
      </c>
      <c r="L114" s="23"/>
      <c r="M114" s="20"/>
      <c r="N114" s="22"/>
      <c r="O114" s="15"/>
      <c r="P114" s="15"/>
      <c r="Q114" s="15"/>
      <c r="R114" s="15"/>
      <c r="S114" s="15"/>
      <c r="T114" s="15"/>
      <c r="U114" s="15"/>
    </row>
    <row r="115" spans="1:21" ht="90">
      <c r="A115" s="17">
        <v>20051195006</v>
      </c>
      <c r="B115" s="19" t="str">
        <f>VLOOKUP(A115,'ESTADOS ESTUDIANTES'!B:L,2,0)</f>
        <v>CORONADO SANCHEZ PAULO CESAR</v>
      </c>
      <c r="C115" s="19">
        <f>VLOOKUP(A115,'ESTADOS ESTUDIANTES'!B:L,3,0)</f>
        <v>195</v>
      </c>
      <c r="D115" s="66" t="str">
        <f>VLOOKUP(A115,'ESTADOS ESTUDIANTES'!B:L,4,0)</f>
        <v>MAE. EN CIENCIAS DE LA INF. Y LAS COMUNICACIONES ENFASIS EN TELEINF.</v>
      </c>
      <c r="E115" s="19" t="str">
        <f>VLOOKUP(A115,'ESTADOS ESTUDIANTES'!B:L,5,0)</f>
        <v>E</v>
      </c>
      <c r="F115" s="18" t="str">
        <f>VLOOKUP(E115,Listas!B1:C1004,2,0)</f>
        <v>EGRESADO</v>
      </c>
      <c r="G115" s="19" t="str">
        <f>VLOOKUP(A115,'ESTADOS ESTUDIANTES'!B:L,7,0)</f>
        <v>NO REGISTRA</v>
      </c>
      <c r="H115" s="19" t="str">
        <f>VLOOKUP(A115,'ESTADOS ESTUDIANTES'!B:L,8,0)</f>
        <v>pccoronados@udistrital.edu.co</v>
      </c>
      <c r="I115" s="70" t="str">
        <f>VLOOKUP(A115,'ESTADOS ESTUDIANTES'!B:L,9,0)</f>
        <v>pccoronados@estudiante.udistrital.edu.co</v>
      </c>
      <c r="J115" s="19" t="str">
        <f>VLOOKUP(A115,'ESTADOS ESTUDIANTES'!B:L,10,0)</f>
        <v>CC</v>
      </c>
      <c r="K115" s="19">
        <f>VLOOKUP(A115,'ESTADOS ESTUDIANTES'!B:L,11,0)</f>
        <v>79708124</v>
      </c>
      <c r="L115" s="23"/>
      <c r="M115" s="20"/>
      <c r="N115" s="22"/>
      <c r="O115" s="15"/>
      <c r="P115" s="15"/>
      <c r="Q115" s="15"/>
      <c r="R115" s="15"/>
      <c r="S115" s="15"/>
      <c r="T115" s="15"/>
      <c r="U115" s="15"/>
    </row>
    <row r="116" spans="1:21" ht="90">
      <c r="A116" s="17">
        <v>20051195007</v>
      </c>
      <c r="B116" s="19" t="str">
        <f>VLOOKUP(A116,'ESTADOS ESTUDIANTES'!B:L,2,0)</f>
        <v>GALLO ROMERO JYMI ALEXANDER</v>
      </c>
      <c r="C116" s="19">
        <f>VLOOKUP(A116,'ESTADOS ESTUDIANTES'!B:L,3,0)</f>
        <v>195</v>
      </c>
      <c r="D116" s="66" t="str">
        <f>VLOOKUP(A116,'ESTADOS ESTUDIANTES'!B:L,4,0)</f>
        <v>MAE. EN CIENCIAS DE LA INF. Y LAS COMUNICACIONES ENFASIS EN TELEINF.</v>
      </c>
      <c r="E116" s="19" t="str">
        <f>VLOOKUP(A116,'ESTADOS ESTUDIANTES'!B:L,5,0)</f>
        <v>X</v>
      </c>
      <c r="F116" s="18" t="str">
        <f>VLOOKUP(E116,Listas!B1:C1004,2,0)</f>
        <v>EXCLUIDO</v>
      </c>
      <c r="G116" s="19" t="str">
        <f>VLOOKUP(A116,'ESTADOS ESTUDIANTES'!B:L,7,0)</f>
        <v>NO REGISTRA</v>
      </c>
      <c r="H116" s="19" t="str">
        <f>VLOOKUP(A116,'ESTADOS ESTUDIANTES'!B:L,8,0)</f>
        <v>jymagallor@correo.udistrital.edu.co</v>
      </c>
      <c r="I116" s="70" t="str">
        <f>VLOOKUP(A116,'ESTADOS ESTUDIANTES'!B:L,9,0)</f>
        <v>jymagallor@estudiante.udistrital.edu.co</v>
      </c>
      <c r="J116" s="19" t="str">
        <f>VLOOKUP(A116,'ESTADOS ESTUDIANTES'!B:L,10,0)</f>
        <v>CC</v>
      </c>
      <c r="K116" s="19">
        <f>VLOOKUP(A116,'ESTADOS ESTUDIANTES'!B:L,11,0)</f>
        <v>79761096</v>
      </c>
      <c r="L116" s="23"/>
      <c r="M116" s="20"/>
      <c r="N116" s="22"/>
      <c r="O116" s="15"/>
      <c r="P116" s="15"/>
      <c r="Q116" s="15"/>
      <c r="R116" s="15"/>
      <c r="S116" s="15"/>
      <c r="T116" s="15"/>
      <c r="U116" s="15"/>
    </row>
    <row r="117" spans="1:21" ht="90">
      <c r="A117" s="17">
        <v>20051195008</v>
      </c>
      <c r="B117" s="19" t="str">
        <f>VLOOKUP(A117,'ESTADOS ESTUDIANTES'!B:L,2,0)</f>
        <v>GALINDO CEPEDA WILLIAM FRANCISCO</v>
      </c>
      <c r="C117" s="19">
        <f>VLOOKUP(A117,'ESTADOS ESTUDIANTES'!B:L,3,0)</f>
        <v>195</v>
      </c>
      <c r="D117" s="66" t="str">
        <f>VLOOKUP(A117,'ESTADOS ESTUDIANTES'!B:L,4,0)</f>
        <v>MAE. EN CIENCIAS DE LA INF. Y LAS COMUNICACIONES ENFASIS EN TELEINF.</v>
      </c>
      <c r="E117" s="19" t="str">
        <f>VLOOKUP(A117,'ESTADOS ESTUDIANTES'!B:L,5,0)</f>
        <v>X</v>
      </c>
      <c r="F117" s="18" t="str">
        <f>VLOOKUP(E117,Listas!B1:C1004,2,0)</f>
        <v>EXCLUIDO</v>
      </c>
      <c r="G117" s="19" t="str">
        <f>VLOOKUP(A117,'ESTADOS ESTUDIANTES'!B:L,7,0)</f>
        <v>NO REGISTRA</v>
      </c>
      <c r="H117" s="19" t="str">
        <f>VLOOKUP(A117,'ESTADOS ESTUDIANTES'!B:L,8,0)</f>
        <v>wfgalindoc@correo.udistrital.edu.co</v>
      </c>
      <c r="I117" s="70" t="str">
        <f>VLOOKUP(A117,'ESTADOS ESTUDIANTES'!B:L,9,0)</f>
        <v>wfgalindoc@estudiante.udistrital.edu.co</v>
      </c>
      <c r="J117" s="19" t="str">
        <f>VLOOKUP(A117,'ESTADOS ESTUDIANTES'!B:L,10,0)</f>
        <v>CC</v>
      </c>
      <c r="K117" s="19">
        <f>VLOOKUP(A117,'ESTADOS ESTUDIANTES'!B:L,11,0)</f>
        <v>80059179</v>
      </c>
      <c r="L117" s="23"/>
      <c r="M117" s="20"/>
      <c r="N117" s="22"/>
      <c r="O117" s="15"/>
      <c r="P117" s="15"/>
      <c r="Q117" s="15"/>
      <c r="R117" s="15"/>
      <c r="S117" s="15"/>
      <c r="T117" s="15"/>
      <c r="U117" s="15"/>
    </row>
    <row r="118" spans="1:21" ht="90">
      <c r="A118" s="17">
        <v>20051195009</v>
      </c>
      <c r="B118" s="19" t="str">
        <f>VLOOKUP(A118,'ESTADOS ESTUDIANTES'!B:L,2,0)</f>
        <v>GRANDA MORENO MARLON FABIAN</v>
      </c>
      <c r="C118" s="19">
        <f>VLOOKUP(A118,'ESTADOS ESTUDIANTES'!B:L,3,0)</f>
        <v>195</v>
      </c>
      <c r="D118" s="66" t="str">
        <f>VLOOKUP(A118,'ESTADOS ESTUDIANTES'!B:L,4,0)</f>
        <v>MAE. EN CIENCIAS DE LA INF. Y LAS COMUNICACIONES ENFASIS EN TELEINF.</v>
      </c>
      <c r="E118" s="19" t="str">
        <f>VLOOKUP(A118,'ESTADOS ESTUDIANTES'!B:L,5,0)</f>
        <v>X</v>
      </c>
      <c r="F118" s="18" t="str">
        <f>VLOOKUP(E118,Listas!B1:C1004,2,0)</f>
        <v>EXCLUIDO</v>
      </c>
      <c r="G118" s="19" t="str">
        <f>VLOOKUP(A118,'ESTADOS ESTUDIANTES'!B:L,7,0)</f>
        <v>NO REGISTRA</v>
      </c>
      <c r="H118" s="19" t="str">
        <f>VLOOKUP(A118,'ESTADOS ESTUDIANTES'!B:L,8,0)</f>
        <v>mfgranadam@correo.udistrital.edu.co</v>
      </c>
      <c r="I118" s="70" t="str">
        <f>VLOOKUP(A118,'ESTADOS ESTUDIANTES'!B:L,9,0)</f>
        <v>mar_gran2003@yahoo.com.ar</v>
      </c>
      <c r="J118" s="19" t="str">
        <f>VLOOKUP(A118,'ESTADOS ESTUDIANTES'!B:L,10,0)</f>
        <v>CC</v>
      </c>
      <c r="K118" s="19">
        <f>VLOOKUP(A118,'ESTADOS ESTUDIANTES'!B:L,11,0)</f>
        <v>79748103</v>
      </c>
      <c r="L118" s="23"/>
      <c r="M118" s="20"/>
      <c r="N118" s="22"/>
      <c r="O118" s="15"/>
      <c r="P118" s="15"/>
      <c r="Q118" s="15"/>
      <c r="R118" s="15"/>
      <c r="S118" s="15"/>
      <c r="T118" s="15"/>
      <c r="U118" s="15"/>
    </row>
    <row r="119" spans="1:21" ht="90">
      <c r="A119" s="17">
        <v>20051195010</v>
      </c>
      <c r="B119" s="19" t="str">
        <f>VLOOKUP(A119,'ESTADOS ESTUDIANTES'!B:L,2,0)</f>
        <v>GUTIERREZ CUERVO MANUEL ALEJANDRO</v>
      </c>
      <c r="C119" s="19">
        <f>VLOOKUP(A119,'ESTADOS ESTUDIANTES'!B:L,3,0)</f>
        <v>195</v>
      </c>
      <c r="D119" s="66" t="str">
        <f>VLOOKUP(A119,'ESTADOS ESTUDIANTES'!B:L,4,0)</f>
        <v>MAE. EN CIENCIAS DE LA INF. Y LAS COMUNICACIONES ENFASIS EN TELEINF.</v>
      </c>
      <c r="E119" s="19" t="str">
        <f>VLOOKUP(A119,'ESTADOS ESTUDIANTES'!B:L,5,0)</f>
        <v>X</v>
      </c>
      <c r="F119" s="18" t="str">
        <f>VLOOKUP(E119,Listas!B1:C1004,2,0)</f>
        <v>EXCLUIDO</v>
      </c>
      <c r="G119" s="19" t="str">
        <f>VLOOKUP(A119,'ESTADOS ESTUDIANTES'!B:L,7,0)</f>
        <v>NO REGISTRA</v>
      </c>
      <c r="H119" s="19" t="str">
        <f>VLOOKUP(A119,'ESTADOS ESTUDIANTES'!B:L,8,0)</f>
        <v>gcmanuela@udistrital.edu.co</v>
      </c>
      <c r="I119" s="70" t="str">
        <f>VLOOKUP(A119,'ESTADOS ESTUDIANTES'!B:L,9,0)</f>
        <v>gcmanuela@udistrital.edu.co</v>
      </c>
      <c r="J119" s="19" t="str">
        <f>VLOOKUP(A119,'ESTADOS ESTUDIANTES'!B:L,10,0)</f>
        <v>CC</v>
      </c>
      <c r="K119" s="19">
        <f>VLOOKUP(A119,'ESTADOS ESTUDIANTES'!B:L,11,0)</f>
        <v>79877016</v>
      </c>
      <c r="L119" s="23"/>
      <c r="M119" s="20"/>
      <c r="N119" s="22"/>
      <c r="O119" s="15"/>
      <c r="P119" s="15"/>
      <c r="Q119" s="15"/>
      <c r="R119" s="15"/>
      <c r="S119" s="15"/>
      <c r="T119" s="15"/>
      <c r="U119" s="15"/>
    </row>
    <row r="120" spans="1:21" ht="90">
      <c r="A120" s="17">
        <v>20051195011</v>
      </c>
      <c r="B120" s="19" t="str">
        <f>VLOOKUP(A120,'ESTADOS ESTUDIANTES'!B:L,2,0)</f>
        <v>HOLGUIN OLIVEROS ERIKA PAOLA</v>
      </c>
      <c r="C120" s="19">
        <f>VLOOKUP(A120,'ESTADOS ESTUDIANTES'!B:L,3,0)</f>
        <v>195</v>
      </c>
      <c r="D120" s="66" t="str">
        <f>VLOOKUP(A120,'ESTADOS ESTUDIANTES'!B:L,4,0)</f>
        <v>MAE. EN CIENCIAS DE LA INF. Y LAS COMUNICACIONES ENFASIS EN TELEINF.</v>
      </c>
      <c r="E120" s="19" t="str">
        <f>VLOOKUP(A120,'ESTADOS ESTUDIANTES'!B:L,5,0)</f>
        <v>X</v>
      </c>
      <c r="F120" s="18" t="str">
        <f>VLOOKUP(E120,Listas!B1:C1004,2,0)</f>
        <v>EXCLUIDO</v>
      </c>
      <c r="G120" s="19" t="str">
        <f>VLOOKUP(A120,'ESTADOS ESTUDIANTES'!B:L,7,0)</f>
        <v>NO REGISTRA</v>
      </c>
      <c r="H120" s="19" t="str">
        <f>VLOOKUP(A120,'ESTADOS ESTUDIANTES'!B:L,8,0)</f>
        <v>epholguino@correo.udistrital.edu.co</v>
      </c>
      <c r="I120" s="70" t="str">
        <f>VLOOKUP(A120,'ESTADOS ESTUDIANTES'!B:L,9,0)</f>
        <v>epholguino@estudiante.udistrital.edu.co</v>
      </c>
      <c r="J120" s="19" t="str">
        <f>VLOOKUP(A120,'ESTADOS ESTUDIANTES'!B:L,10,0)</f>
        <v>CC</v>
      </c>
      <c r="K120" s="19">
        <f>VLOOKUP(A120,'ESTADOS ESTUDIANTES'!B:L,11,0)</f>
        <v>52790336</v>
      </c>
      <c r="L120" s="23"/>
      <c r="M120" s="20"/>
      <c r="N120" s="22"/>
      <c r="O120" s="15"/>
      <c r="P120" s="15"/>
      <c r="Q120" s="15"/>
      <c r="R120" s="15"/>
      <c r="S120" s="15"/>
      <c r="T120" s="15"/>
      <c r="U120" s="15"/>
    </row>
    <row r="121" spans="1:21" ht="90">
      <c r="A121" s="17">
        <v>20051195012</v>
      </c>
      <c r="B121" s="19" t="str">
        <f>VLOOKUP(A121,'ESTADOS ESTUDIANTES'!B:L,2,0)</f>
        <v>LUNA CASTAÑEDA JOSE MAURICIO</v>
      </c>
      <c r="C121" s="19">
        <f>VLOOKUP(A121,'ESTADOS ESTUDIANTES'!B:L,3,0)</f>
        <v>195</v>
      </c>
      <c r="D121" s="66" t="str">
        <f>VLOOKUP(A121,'ESTADOS ESTUDIANTES'!B:L,4,0)</f>
        <v>MAE. EN CIENCIAS DE LA INF. Y LAS COMUNICACIONES ENFASIS EN TELEINF.</v>
      </c>
      <c r="E121" s="19" t="str">
        <f>VLOOKUP(A121,'ESTADOS ESTUDIANTES'!B:L,5,0)</f>
        <v>X</v>
      </c>
      <c r="F121" s="18" t="str">
        <f>VLOOKUP(E121,Listas!B1:C1004,2,0)</f>
        <v>EXCLUIDO</v>
      </c>
      <c r="G121" s="19" t="str">
        <f>VLOOKUP(A121,'ESTADOS ESTUDIANTES'!B:L,7,0)</f>
        <v>NO REGISTRA</v>
      </c>
      <c r="H121" s="19" t="str">
        <f>VLOOKUP(A121,'ESTADOS ESTUDIANTES'!B:L,8,0)</f>
        <v>jmlunac@correo.udistrital.edu.co</v>
      </c>
      <c r="I121" s="70" t="str">
        <f>VLOOKUP(A121,'ESTADOS ESTUDIANTES'!B:L,9,0)</f>
        <v>jmlunac@estudiante.udistrital.edu.co</v>
      </c>
      <c r="J121" s="19" t="str">
        <f>VLOOKUP(A121,'ESTADOS ESTUDIANTES'!B:L,10,0)</f>
        <v>CC</v>
      </c>
      <c r="K121" s="19">
        <f>VLOOKUP(A121,'ESTADOS ESTUDIANTES'!B:L,11,0)</f>
        <v>80092595</v>
      </c>
      <c r="L121" s="23"/>
      <c r="M121" s="20"/>
      <c r="N121" s="22"/>
      <c r="O121" s="15"/>
      <c r="P121" s="15"/>
      <c r="Q121" s="15"/>
      <c r="R121" s="15"/>
      <c r="S121" s="15"/>
      <c r="T121" s="15"/>
      <c r="U121" s="15"/>
    </row>
    <row r="122" spans="1:21" ht="90">
      <c r="A122" s="17">
        <v>20051195013</v>
      </c>
      <c r="B122" s="19" t="str">
        <f>VLOOKUP(A122,'ESTADOS ESTUDIANTES'!B:L,2,0)</f>
        <v>MANTA CARO HECTOR CRISTYAN</v>
      </c>
      <c r="C122" s="19">
        <f>VLOOKUP(A122,'ESTADOS ESTUDIANTES'!B:L,3,0)</f>
        <v>195</v>
      </c>
      <c r="D122" s="66" t="str">
        <f>VLOOKUP(A122,'ESTADOS ESTUDIANTES'!B:L,4,0)</f>
        <v>MAE. EN CIENCIAS DE LA INF. Y LAS COMUNICACIONES ENFASIS EN TELEINF.</v>
      </c>
      <c r="E122" s="19" t="str">
        <f>VLOOKUP(A122,'ESTADOS ESTUDIANTES'!B:L,5,0)</f>
        <v>E</v>
      </c>
      <c r="F122" s="18" t="str">
        <f>VLOOKUP(E122,Listas!B1:C1004,2,0)</f>
        <v>EGRESADO</v>
      </c>
      <c r="G122" s="19" t="str">
        <f>VLOOKUP(A122,'ESTADOS ESTUDIANTES'!B:L,7,0)</f>
        <v>NO REGISTRA</v>
      </c>
      <c r="H122" s="19" t="str">
        <f>VLOOKUP(A122,'ESTADOS ESTUDIANTES'!B:L,8,0)</f>
        <v>hcmantac@correo.udistrital.edu.co</v>
      </c>
      <c r="I122" s="70" t="str">
        <f>VLOOKUP(A122,'ESTADOS ESTUDIANTES'!B:L,9,0)</f>
        <v>cristyan_manta@hotmail.com</v>
      </c>
      <c r="J122" s="19" t="str">
        <f>VLOOKUP(A122,'ESTADOS ESTUDIANTES'!B:L,10,0)</f>
        <v>CC</v>
      </c>
      <c r="K122" s="19">
        <f>VLOOKUP(A122,'ESTADOS ESTUDIANTES'!B:L,11,0)</f>
        <v>80108466</v>
      </c>
      <c r="L122" s="23"/>
      <c r="M122" s="20"/>
      <c r="N122" s="22"/>
      <c r="O122" s="15"/>
      <c r="P122" s="15"/>
      <c r="Q122" s="15"/>
      <c r="R122" s="15"/>
      <c r="S122" s="15"/>
      <c r="T122" s="15"/>
      <c r="U122" s="15"/>
    </row>
    <row r="123" spans="1:21" ht="90">
      <c r="A123" s="17">
        <v>20051195014</v>
      </c>
      <c r="B123" s="19" t="str">
        <f>VLOOKUP(A123,'ESTADOS ESTUDIANTES'!B:L,2,0)</f>
        <v>MONCADA MENDEZ GERMAN</v>
      </c>
      <c r="C123" s="19">
        <f>VLOOKUP(A123,'ESTADOS ESTUDIANTES'!B:L,3,0)</f>
        <v>195</v>
      </c>
      <c r="D123" s="66" t="str">
        <f>VLOOKUP(A123,'ESTADOS ESTUDIANTES'!B:L,4,0)</f>
        <v>MAE. EN CIENCIAS DE LA INF. Y LAS COMUNICACIONES ENFASIS EN TELEINF.</v>
      </c>
      <c r="E123" s="19" t="str">
        <f>VLOOKUP(A123,'ESTADOS ESTUDIANTES'!B:L,5,0)</f>
        <v>X</v>
      </c>
      <c r="F123" s="18" t="str">
        <f>VLOOKUP(E123,Listas!B1:C1004,2,0)</f>
        <v>EXCLUIDO</v>
      </c>
      <c r="G123" s="19" t="str">
        <f>VLOOKUP(A123,'ESTADOS ESTUDIANTES'!B:L,7,0)</f>
        <v>NO REGISTRA</v>
      </c>
      <c r="H123" s="19" t="str">
        <f>VLOOKUP(A123,'ESTADOS ESTUDIANTES'!B:L,8,0)</f>
        <v>gmoncadam@correo.udistrital.edu.co</v>
      </c>
      <c r="I123" s="70" t="str">
        <f>VLOOKUP(A123,'ESTADOS ESTUDIANTES'!B:L,9,0)</f>
        <v>gmoncadam@estudiante.udistrital.edu.co</v>
      </c>
      <c r="J123" s="19" t="str">
        <f>VLOOKUP(A123,'ESTADOS ESTUDIANTES'!B:L,10,0)</f>
        <v>CC</v>
      </c>
      <c r="K123" s="19">
        <f>VLOOKUP(A123,'ESTADOS ESTUDIANTES'!B:L,11,0)</f>
        <v>19152538</v>
      </c>
      <c r="L123" s="23"/>
      <c r="M123" s="20"/>
      <c r="N123" s="22"/>
      <c r="O123" s="15"/>
      <c r="P123" s="15"/>
      <c r="Q123" s="15"/>
      <c r="R123" s="15"/>
      <c r="S123" s="15"/>
      <c r="T123" s="15"/>
      <c r="U123" s="15"/>
    </row>
    <row r="124" spans="1:21" ht="90">
      <c r="A124" s="17">
        <v>20051195015</v>
      </c>
      <c r="B124" s="19" t="str">
        <f>VLOOKUP(A124,'ESTADOS ESTUDIANTES'!B:L,2,0)</f>
        <v>NUVAN HURTADO JAIRO ANTONIO</v>
      </c>
      <c r="C124" s="19">
        <f>VLOOKUP(A124,'ESTADOS ESTUDIANTES'!B:L,3,0)</f>
        <v>195</v>
      </c>
      <c r="D124" s="66" t="str">
        <f>VLOOKUP(A124,'ESTADOS ESTUDIANTES'!B:L,4,0)</f>
        <v>MAE. EN CIENCIAS DE LA INF. Y LAS COMUNICACIONES ENFASIS EN TELEINF.</v>
      </c>
      <c r="E124" s="19" t="str">
        <f>VLOOKUP(A124,'ESTADOS ESTUDIANTES'!B:L,5,0)</f>
        <v>E</v>
      </c>
      <c r="F124" s="18" t="str">
        <f>VLOOKUP(E124,Listas!B1:C1004,2,0)</f>
        <v>EGRESADO</v>
      </c>
      <c r="G124" s="19">
        <f>VLOOKUP(A124,'ESTADOS ESTUDIANTES'!B:L,7,0)</f>
        <v>4</v>
      </c>
      <c r="H124" s="19" t="str">
        <f>VLOOKUP(A124,'ESTADOS ESTUDIANTES'!B:L,8,0)</f>
        <v>januvanh@udistrital.edu.co</v>
      </c>
      <c r="I124" s="70" t="str">
        <f>VLOOKUP(A124,'ESTADOS ESTUDIANTES'!B:L,9,0)</f>
        <v>januvan@hotmail.com</v>
      </c>
      <c r="J124" s="19" t="str">
        <f>VLOOKUP(A124,'ESTADOS ESTUDIANTES'!B:L,10,0)</f>
        <v>CC</v>
      </c>
      <c r="K124" s="19">
        <f>VLOOKUP(A124,'ESTADOS ESTUDIANTES'!B:L,11,0)</f>
        <v>9396968</v>
      </c>
      <c r="L124" s="19">
        <v>3107628224</v>
      </c>
      <c r="M124" s="20">
        <v>26534</v>
      </c>
      <c r="N124" s="22"/>
      <c r="O124" s="15"/>
      <c r="P124" s="15"/>
      <c r="Q124" s="15"/>
      <c r="R124" s="15"/>
      <c r="S124" s="15"/>
      <c r="T124" s="15"/>
      <c r="U124" s="15"/>
    </row>
    <row r="125" spans="1:21" ht="90">
      <c r="A125" s="17">
        <v>20051195016</v>
      </c>
      <c r="B125" s="19" t="str">
        <f>VLOOKUP(A125,'ESTADOS ESTUDIANTES'!B:L,2,0)</f>
        <v>PLAZAS NOSSA LEONARDO</v>
      </c>
      <c r="C125" s="19">
        <f>VLOOKUP(A125,'ESTADOS ESTUDIANTES'!B:L,3,0)</f>
        <v>195</v>
      </c>
      <c r="D125" s="66" t="str">
        <f>VLOOKUP(A125,'ESTADOS ESTUDIANTES'!B:L,4,0)</f>
        <v>MAE. EN CIENCIAS DE LA INF. Y LAS COMUNICACIONES ENFASIS EN TELEINF.</v>
      </c>
      <c r="E125" s="19" t="str">
        <f>VLOOKUP(A125,'ESTADOS ESTUDIANTES'!B:L,5,0)</f>
        <v>E</v>
      </c>
      <c r="F125" s="18" t="str">
        <f>VLOOKUP(E125,Listas!B1:C1004,2,0)</f>
        <v>EGRESADO</v>
      </c>
      <c r="G125" s="19" t="str">
        <f>VLOOKUP(A125,'ESTADOS ESTUDIANTES'!B:L,7,0)</f>
        <v>NO REGISTRA</v>
      </c>
      <c r="H125" s="19" t="str">
        <f>VLOOKUP(A125,'ESTADOS ESTUDIANTES'!B:L,8,0)</f>
        <v>lplazasn@correo.udistrital.edu.co</v>
      </c>
      <c r="I125" s="70" t="str">
        <f>VLOOKUP(A125,'ESTADOS ESTUDIANTES'!B:L,9,0)</f>
        <v>leoplazas@gmail.com</v>
      </c>
      <c r="J125" s="19" t="str">
        <f>VLOOKUP(A125,'ESTADOS ESTUDIANTES'!B:L,10,0)</f>
        <v>CC</v>
      </c>
      <c r="K125" s="19">
        <f>VLOOKUP(A125,'ESTADOS ESTUDIANTES'!B:L,11,0)</f>
        <v>9395122</v>
      </c>
      <c r="L125" s="23"/>
      <c r="M125" s="20"/>
      <c r="N125" s="22"/>
      <c r="O125" s="15"/>
      <c r="P125" s="15"/>
      <c r="Q125" s="15"/>
      <c r="R125" s="15"/>
      <c r="S125" s="15"/>
      <c r="T125" s="15"/>
      <c r="U125" s="15"/>
    </row>
    <row r="126" spans="1:21" ht="90">
      <c r="A126" s="17">
        <v>20051195017</v>
      </c>
      <c r="B126" s="19" t="str">
        <f>VLOOKUP(A126,'ESTADOS ESTUDIANTES'!B:L,2,0)</f>
        <v>PADILLA GALEANO WALTER LEONARDO</v>
      </c>
      <c r="C126" s="19">
        <f>VLOOKUP(A126,'ESTADOS ESTUDIANTES'!B:L,3,0)</f>
        <v>195</v>
      </c>
      <c r="D126" s="66" t="str">
        <f>VLOOKUP(A126,'ESTADOS ESTUDIANTES'!B:L,4,0)</f>
        <v>MAE. EN CIENCIAS DE LA INF. Y LAS COMUNICACIONES ENFASIS EN TELEINF.</v>
      </c>
      <c r="E126" s="19" t="str">
        <f>VLOOKUP(A126,'ESTADOS ESTUDIANTES'!B:L,5,0)</f>
        <v>X</v>
      </c>
      <c r="F126" s="18" t="str">
        <f>VLOOKUP(E126,Listas!B1:C1004,2,0)</f>
        <v>EXCLUIDO</v>
      </c>
      <c r="G126" s="19" t="str">
        <f>VLOOKUP(A126,'ESTADOS ESTUDIANTES'!B:L,7,0)</f>
        <v>NO REGISTRA</v>
      </c>
      <c r="H126" s="19" t="str">
        <f>VLOOKUP(A126,'ESTADOS ESTUDIANTES'!B:L,8,0)</f>
        <v>wlpadillag@correo.udistrital.edu.co</v>
      </c>
      <c r="I126" s="70" t="str">
        <f>VLOOKUP(A126,'ESTADOS ESTUDIANTES'!B:L,9,0)</f>
        <v>wlpadillag@estudiante.udistrital.edu.co</v>
      </c>
      <c r="J126" s="19" t="str">
        <f>VLOOKUP(A126,'ESTADOS ESTUDIANTES'!B:L,10,0)</f>
        <v>CC</v>
      </c>
      <c r="K126" s="19">
        <f>VLOOKUP(A126,'ESTADOS ESTUDIANTES'!B:L,11,0)</f>
        <v>7179595</v>
      </c>
      <c r="L126" s="23"/>
      <c r="M126" s="20"/>
      <c r="N126" s="22"/>
      <c r="O126" s="15"/>
      <c r="P126" s="15"/>
      <c r="Q126" s="15"/>
      <c r="R126" s="15"/>
      <c r="S126" s="15"/>
      <c r="T126" s="15"/>
      <c r="U126" s="15"/>
    </row>
    <row r="127" spans="1:21" ht="90">
      <c r="A127" s="17">
        <v>20051195018</v>
      </c>
      <c r="B127" s="19" t="str">
        <f>VLOOKUP(A127,'ESTADOS ESTUDIANTES'!B:L,2,0)</f>
        <v>RAMIREZ PINILLA EDGAR ALFONSO</v>
      </c>
      <c r="C127" s="19">
        <f>VLOOKUP(A127,'ESTADOS ESTUDIANTES'!B:L,3,0)</f>
        <v>195</v>
      </c>
      <c r="D127" s="66" t="str">
        <f>VLOOKUP(A127,'ESTADOS ESTUDIANTES'!B:L,4,0)</f>
        <v>MAE. EN CIENCIAS DE LA INF. Y LAS COMUNICACIONES ENFASIS EN TELEINF.</v>
      </c>
      <c r="E127" s="19" t="str">
        <f>VLOOKUP(A127,'ESTADOS ESTUDIANTES'!B:L,5,0)</f>
        <v>X</v>
      </c>
      <c r="F127" s="18" t="str">
        <f>VLOOKUP(E127,Listas!B1:C1004,2,0)</f>
        <v>EXCLUIDO</v>
      </c>
      <c r="G127" s="19" t="str">
        <f>VLOOKUP(A127,'ESTADOS ESTUDIANTES'!B:L,7,0)</f>
        <v>NO REGISTRA</v>
      </c>
      <c r="H127" s="19" t="str">
        <f>VLOOKUP(A127,'ESTADOS ESTUDIANTES'!B:L,8,0)</f>
        <v>earamirezp@correo.udistrital.edu.co</v>
      </c>
      <c r="I127" s="70" t="str">
        <f>VLOOKUP(A127,'ESTADOS ESTUDIANTES'!B:L,9,0)</f>
        <v>earamirezp@estudiante.udistrital.edu.co</v>
      </c>
      <c r="J127" s="19" t="str">
        <f>VLOOKUP(A127,'ESTADOS ESTUDIANTES'!B:L,10,0)</f>
        <v>CC</v>
      </c>
      <c r="K127" s="19">
        <f>VLOOKUP(A127,'ESTADOS ESTUDIANTES'!B:L,11,0)</f>
        <v>79555750</v>
      </c>
      <c r="L127" s="23"/>
      <c r="M127" s="20"/>
      <c r="N127" s="22"/>
      <c r="O127" s="15"/>
      <c r="P127" s="15"/>
      <c r="Q127" s="15"/>
      <c r="R127" s="15"/>
      <c r="S127" s="15"/>
      <c r="T127" s="15"/>
      <c r="U127" s="15"/>
    </row>
    <row r="128" spans="1:21" ht="90">
      <c r="A128" s="17">
        <v>20051195019</v>
      </c>
      <c r="B128" s="19" t="str">
        <f>VLOOKUP(A128,'ESTADOS ESTUDIANTES'!B:L,2,0)</f>
        <v>ROJAS LOMBANA MARIA CLEMENCIA</v>
      </c>
      <c r="C128" s="19">
        <f>VLOOKUP(A128,'ESTADOS ESTUDIANTES'!B:L,3,0)</f>
        <v>195</v>
      </c>
      <c r="D128" s="66" t="str">
        <f>VLOOKUP(A128,'ESTADOS ESTUDIANTES'!B:L,4,0)</f>
        <v>MAE. EN CIENCIAS DE LA INF. Y LAS COMUNICACIONES ENFASIS EN TELEINF.</v>
      </c>
      <c r="E128" s="19" t="str">
        <f>VLOOKUP(A128,'ESTADOS ESTUDIANTES'!B:L,5,0)</f>
        <v>X</v>
      </c>
      <c r="F128" s="18" t="str">
        <f>VLOOKUP(E128,Listas!B1:C1004,2,0)</f>
        <v>EXCLUIDO</v>
      </c>
      <c r="G128" s="19" t="str">
        <f>VLOOKUP(A128,'ESTADOS ESTUDIANTES'!B:L,7,0)</f>
        <v>NO REGISTRA</v>
      </c>
      <c r="H128" s="19">
        <f>VLOOKUP(A128,'ESTADOS ESTUDIANTES'!B:L,8,0)</f>
        <v>0</v>
      </c>
      <c r="I128" s="70">
        <f>VLOOKUP(A128,'ESTADOS ESTUDIANTES'!B:L,9,0)</f>
        <v>0</v>
      </c>
      <c r="J128" s="19" t="str">
        <f>VLOOKUP(A128,'ESTADOS ESTUDIANTES'!B:L,10,0)</f>
        <v>CC</v>
      </c>
      <c r="K128" s="19">
        <f>VLOOKUP(A128,'ESTADOS ESTUDIANTES'!B:L,11,0)</f>
        <v>51896568</v>
      </c>
      <c r="L128" s="23"/>
      <c r="M128" s="20"/>
      <c r="N128" s="22"/>
      <c r="O128" s="15"/>
      <c r="P128" s="15"/>
      <c r="Q128" s="15"/>
      <c r="R128" s="15"/>
      <c r="S128" s="15"/>
      <c r="T128" s="15"/>
      <c r="U128" s="15"/>
    </row>
    <row r="129" spans="1:21" ht="90">
      <c r="A129" s="17">
        <v>20051195020</v>
      </c>
      <c r="B129" s="19" t="str">
        <f>VLOOKUP(A129,'ESTADOS ESTUDIANTES'!B:L,2,0)</f>
        <v>JOSE LUIS SILVA SUAREZ</v>
      </c>
      <c r="C129" s="19">
        <f>VLOOKUP(A129,'ESTADOS ESTUDIANTES'!B:L,3,0)</f>
        <v>195</v>
      </c>
      <c r="D129" s="66" t="str">
        <f>VLOOKUP(A129,'ESTADOS ESTUDIANTES'!B:L,4,0)</f>
        <v>MAE. EN CIENCIAS DE LA INF. Y LAS COMUNICACIONES ENFASIS EN TELEINF.</v>
      </c>
      <c r="E129" s="19" t="str">
        <f>VLOOKUP(A129,'ESTADOS ESTUDIANTES'!B:L,5,0)</f>
        <v>E</v>
      </c>
      <c r="F129" s="18" t="str">
        <f>VLOOKUP(E129,Listas!B1:C1004,2,0)</f>
        <v>EGRESADO</v>
      </c>
      <c r="G129" s="19" t="str">
        <f>VLOOKUP(A129,'ESTADOS ESTUDIANTES'!B:L,7,0)</f>
        <v>NO REGISTRA</v>
      </c>
      <c r="H129" s="19" t="str">
        <f>VLOOKUP(A129,'ESTADOS ESTUDIANTES'!B:L,8,0)</f>
        <v>jlsilvas@udistrital.edu.co</v>
      </c>
      <c r="I129" s="70" t="str">
        <f>VLOOKUP(A129,'ESTADOS ESTUDIANTES'!B:L,9,0)</f>
        <v>soportedigital1@gmail.com</v>
      </c>
      <c r="J129" s="19" t="str">
        <f>VLOOKUP(A129,'ESTADOS ESTUDIANTES'!B:L,10,0)</f>
        <v>CC</v>
      </c>
      <c r="K129" s="19">
        <f>VLOOKUP(A129,'ESTADOS ESTUDIANTES'!B:L,11,0)</f>
        <v>88154191</v>
      </c>
      <c r="L129" s="23"/>
      <c r="M129" s="20"/>
      <c r="N129" s="22"/>
      <c r="O129" s="15"/>
      <c r="P129" s="15"/>
      <c r="Q129" s="15"/>
      <c r="R129" s="15"/>
      <c r="S129" s="15"/>
      <c r="T129" s="15"/>
      <c r="U129" s="15"/>
    </row>
    <row r="130" spans="1:21" ht="90">
      <c r="A130" s="17">
        <v>20051195021</v>
      </c>
      <c r="B130" s="19" t="str">
        <f>VLOOKUP(A130,'ESTADOS ESTUDIANTES'!B:L,2,0)</f>
        <v>SALAMANCA CESPEDES JORGE ENRIQUE</v>
      </c>
      <c r="C130" s="19">
        <f>VLOOKUP(A130,'ESTADOS ESTUDIANTES'!B:L,3,0)</f>
        <v>195</v>
      </c>
      <c r="D130" s="66" t="str">
        <f>VLOOKUP(A130,'ESTADOS ESTUDIANTES'!B:L,4,0)</f>
        <v>MAE. EN CIENCIAS DE LA INF. Y LAS COMUNICACIONES ENFASIS EN TELEINF.</v>
      </c>
      <c r="E130" s="19" t="str">
        <f>VLOOKUP(A130,'ESTADOS ESTUDIANTES'!B:L,5,0)</f>
        <v>E</v>
      </c>
      <c r="F130" s="18" t="str">
        <f>VLOOKUP(E130,Listas!B1:C1004,2,0)</f>
        <v>EGRESADO</v>
      </c>
      <c r="G130" s="19" t="str">
        <f>VLOOKUP(A130,'ESTADOS ESTUDIANTES'!B:L,7,0)</f>
        <v>NO REGISTRA</v>
      </c>
      <c r="H130" s="19" t="str">
        <f>VLOOKUP(A130,'ESTADOS ESTUDIANTES'!B:L,8,0)</f>
        <v>jesalamancac@correo.udistrital.edu.co</v>
      </c>
      <c r="I130" s="70" t="str">
        <f>VLOOKUP(A130,'ESTADOS ESTUDIANTES'!B:L,9,0)</f>
        <v>jesalamancac@estudiante.udistrital.edu.co</v>
      </c>
      <c r="J130" s="19" t="str">
        <f>VLOOKUP(A130,'ESTADOS ESTUDIANTES'!B:L,10,0)</f>
        <v>CC</v>
      </c>
      <c r="K130" s="19">
        <f>VLOOKUP(A130,'ESTADOS ESTUDIANTES'!B:L,11,0)</f>
        <v>79425787</v>
      </c>
      <c r="L130" s="23"/>
      <c r="M130" s="20"/>
      <c r="N130" s="22"/>
      <c r="O130" s="15"/>
      <c r="P130" s="15"/>
      <c r="Q130" s="15"/>
      <c r="R130" s="15"/>
      <c r="S130" s="15"/>
      <c r="T130" s="15"/>
      <c r="U130" s="15"/>
    </row>
    <row r="131" spans="1:21" ht="90">
      <c r="A131" s="17">
        <v>20051195022</v>
      </c>
      <c r="B131" s="19" t="str">
        <f>VLOOKUP(A131,'ESTADOS ESTUDIANTES'!B:L,2,0)</f>
        <v>ROZO GARCIA PABLO EMILIO</v>
      </c>
      <c r="C131" s="19">
        <f>VLOOKUP(A131,'ESTADOS ESTUDIANTES'!B:L,3,0)</f>
        <v>195</v>
      </c>
      <c r="D131" s="66" t="str">
        <f>VLOOKUP(A131,'ESTADOS ESTUDIANTES'!B:L,4,0)</f>
        <v>MAE. EN CIENCIAS DE LA INF. Y LAS COMUNICACIONES ENFASIS EN TELEINF.</v>
      </c>
      <c r="E131" s="19" t="str">
        <f>VLOOKUP(A131,'ESTADOS ESTUDIANTES'!B:L,5,0)</f>
        <v>E</v>
      </c>
      <c r="F131" s="18" t="str">
        <f>VLOOKUP(E131,Listas!B1:C1004,2,0)</f>
        <v>EGRESADO</v>
      </c>
      <c r="G131" s="19" t="str">
        <f>VLOOKUP(A131,'ESTADOS ESTUDIANTES'!B:L,7,0)</f>
        <v>NO REGISTRA</v>
      </c>
      <c r="H131" s="19" t="str">
        <f>VLOOKUP(A131,'ESTADOS ESTUDIANTES'!B:L,8,0)</f>
        <v>perozog@correo.udistrital.edu.co</v>
      </c>
      <c r="I131" s="70" t="str">
        <f>VLOOKUP(A131,'ESTADOS ESTUDIANTES'!B:L,9,0)</f>
        <v>perozog@estudiante.udistrital.edu.co</v>
      </c>
      <c r="J131" s="19" t="str">
        <f>VLOOKUP(A131,'ESTADOS ESTUDIANTES'!B:L,10,0)</f>
        <v>CC</v>
      </c>
      <c r="K131" s="19">
        <f>VLOOKUP(A131,'ESTADOS ESTUDIANTES'!B:L,11,0)</f>
        <v>79370039</v>
      </c>
      <c r="L131" s="23"/>
      <c r="M131" s="20"/>
      <c r="N131" s="22"/>
      <c r="O131" s="15"/>
      <c r="P131" s="15"/>
      <c r="Q131" s="15"/>
      <c r="R131" s="15"/>
      <c r="S131" s="15"/>
      <c r="T131" s="15"/>
      <c r="U131" s="15"/>
    </row>
    <row r="132" spans="1:21" ht="90">
      <c r="A132" s="17">
        <v>20051295001</v>
      </c>
      <c r="B132" s="19" t="str">
        <f>VLOOKUP(A132,'ESTADOS ESTUDIANTES'!B:L,2,0)</f>
        <v>ALVARADO TORRES JULIAN MAURICIO</v>
      </c>
      <c r="C132" s="19">
        <f>VLOOKUP(A132,'ESTADOS ESTUDIANTES'!B:L,3,0)</f>
        <v>295</v>
      </c>
      <c r="D132" s="66" t="str">
        <f>VLOOKUP(A132,'ESTADOS ESTUDIANTES'!B:L,4,0)</f>
        <v>MAE. EN CIENCIAS DE LA INF. Y LAS COMUNICACIONES ENFASIS EN SIS. INFOR</v>
      </c>
      <c r="E132" s="19" t="str">
        <f>VLOOKUP(A132,'ESTADOS ESTUDIANTES'!B:L,5,0)</f>
        <v>X</v>
      </c>
      <c r="F132" s="18" t="str">
        <f>VLOOKUP(E132,Listas!B1:C1004,2,0)</f>
        <v>EXCLUIDO</v>
      </c>
      <c r="G132" s="19" t="str">
        <f>VLOOKUP(A132,'ESTADOS ESTUDIANTES'!B:L,7,0)</f>
        <v>NO REGISTRA</v>
      </c>
      <c r="H132" s="19" t="str">
        <f>VLOOKUP(A132,'ESTADOS ESTUDIANTES'!B:L,8,0)</f>
        <v>jmalvaradot@correo.udistrital.edu.co</v>
      </c>
      <c r="I132" s="70" t="str">
        <f>VLOOKUP(A132,'ESTADOS ESTUDIANTES'!B:L,9,0)</f>
        <v>alvator@gmail.com</v>
      </c>
      <c r="J132" s="19" t="str">
        <f>VLOOKUP(A132,'ESTADOS ESTUDIANTES'!B:L,10,0)</f>
        <v>CC</v>
      </c>
      <c r="K132" s="19">
        <f>VLOOKUP(A132,'ESTADOS ESTUDIANTES'!B:L,11,0)</f>
        <v>79707100</v>
      </c>
      <c r="L132" s="23"/>
      <c r="M132" s="20"/>
      <c r="N132" s="22"/>
      <c r="O132" s="15"/>
      <c r="P132" s="15"/>
      <c r="Q132" s="15"/>
      <c r="R132" s="15"/>
      <c r="S132" s="15"/>
      <c r="T132" s="15"/>
      <c r="U132" s="15"/>
    </row>
    <row r="133" spans="1:21" ht="90">
      <c r="A133" s="17">
        <v>20051295002</v>
      </c>
      <c r="B133" s="19" t="str">
        <f>VLOOKUP(A133,'ESTADOS ESTUDIANTES'!B:L,2,0)</f>
        <v>JOSE RICARDO APONTE OVIEDO</v>
      </c>
      <c r="C133" s="19">
        <f>VLOOKUP(A133,'ESTADOS ESTUDIANTES'!B:L,3,0)</f>
        <v>295</v>
      </c>
      <c r="D133" s="66" t="str">
        <f>VLOOKUP(A133,'ESTADOS ESTUDIANTES'!B:L,4,0)</f>
        <v>MAE. EN CIENCIAS DE LA INF. Y LAS COMUNICACIONES ENFASIS EN SIS. INFOR</v>
      </c>
      <c r="E133" s="19" t="str">
        <f>VLOOKUP(A133,'ESTADOS ESTUDIANTES'!B:L,5,0)</f>
        <v>E</v>
      </c>
      <c r="F133" s="18" t="str">
        <f>VLOOKUP(E133,Listas!B1:C1004,2,0)</f>
        <v>EGRESADO</v>
      </c>
      <c r="G133" s="19">
        <f>VLOOKUP(A133,'ESTADOS ESTUDIANTES'!B:L,7,0)</f>
        <v>1</v>
      </c>
      <c r="H133" s="19" t="str">
        <f>VLOOKUP(A133,'ESTADOS ESTUDIANTES'!B:L,8,0)</f>
        <v>jraponteo@correo.udistrital.edu.co</v>
      </c>
      <c r="I133" s="70" t="str">
        <f>VLOOKUP(A133,'ESTADOS ESTUDIANTES'!B:L,9,0)</f>
        <v>jraponte77@gmail.com</v>
      </c>
      <c r="J133" s="19" t="str">
        <f>VLOOKUP(A133,'ESTADOS ESTUDIANTES'!B:L,10,0)</f>
        <v>CC</v>
      </c>
      <c r="K133" s="19">
        <f>VLOOKUP(A133,'ESTADOS ESTUDIANTES'!B:L,11,0)</f>
        <v>79962012</v>
      </c>
      <c r="L133" s="23"/>
      <c r="M133" s="20"/>
      <c r="N133" s="22"/>
      <c r="O133" s="15"/>
      <c r="P133" s="15"/>
      <c r="Q133" s="15"/>
      <c r="R133" s="15"/>
      <c r="S133" s="15"/>
      <c r="T133" s="15"/>
      <c r="U133" s="15"/>
    </row>
    <row r="134" spans="1:21" ht="90">
      <c r="A134" s="17">
        <v>20051295003</v>
      </c>
      <c r="B134" s="19" t="str">
        <f>VLOOKUP(A134,'ESTADOS ESTUDIANTES'!B:L,2,0)</f>
        <v>BARRETO PERDOMO DERLY LUCIA</v>
      </c>
      <c r="C134" s="19">
        <f>VLOOKUP(A134,'ESTADOS ESTUDIANTES'!B:L,3,0)</f>
        <v>295</v>
      </c>
      <c r="D134" s="66" t="str">
        <f>VLOOKUP(A134,'ESTADOS ESTUDIANTES'!B:L,4,0)</f>
        <v>MAE. EN CIENCIAS DE LA INF. Y LAS COMUNICACIONES ENFASIS EN SIS. INFOR</v>
      </c>
      <c r="E134" s="19" t="str">
        <f>VLOOKUP(A134,'ESTADOS ESTUDIANTES'!B:L,5,0)</f>
        <v>E</v>
      </c>
      <c r="F134" s="18" t="str">
        <f>VLOOKUP(E134,Listas!B1:C1004,2,0)</f>
        <v>EGRESADO</v>
      </c>
      <c r="G134" s="19">
        <f>VLOOKUP(A134,'ESTADOS ESTUDIANTES'!B:L,7,0)</f>
        <v>1</v>
      </c>
      <c r="H134" s="19" t="str">
        <f>VLOOKUP(A134,'ESTADOS ESTUDIANTES'!B:L,8,0)</f>
        <v>dlbarretop@correo.udistrital.edu.co</v>
      </c>
      <c r="I134" s="70" t="str">
        <f>VLOOKUP(A134,'ESTADOS ESTUDIANTES'!B:L,9,0)</f>
        <v>dlbarretop@gmail.com</v>
      </c>
      <c r="J134" s="19" t="str">
        <f>VLOOKUP(A134,'ESTADOS ESTUDIANTES'!B:L,10,0)</f>
        <v>CC</v>
      </c>
      <c r="K134" s="19">
        <f>VLOOKUP(A134,'ESTADOS ESTUDIANTES'!B:L,11,0)</f>
        <v>52718006</v>
      </c>
      <c r="L134" s="23"/>
      <c r="M134" s="20"/>
      <c r="N134" s="22"/>
      <c r="O134" s="15"/>
      <c r="P134" s="15"/>
      <c r="Q134" s="15"/>
      <c r="R134" s="15"/>
      <c r="S134" s="15"/>
      <c r="T134" s="15"/>
      <c r="U134" s="15"/>
    </row>
    <row r="135" spans="1:21" ht="90">
      <c r="A135" s="17">
        <v>20051295004</v>
      </c>
      <c r="B135" s="19" t="str">
        <f>VLOOKUP(A135,'ESTADOS ESTUDIANTES'!B:L,2,0)</f>
        <v>BUSTOS VIDES BLANCA ISABEL</v>
      </c>
      <c r="C135" s="19">
        <f>VLOOKUP(A135,'ESTADOS ESTUDIANTES'!B:L,3,0)</f>
        <v>295</v>
      </c>
      <c r="D135" s="66" t="str">
        <f>VLOOKUP(A135,'ESTADOS ESTUDIANTES'!B:L,4,0)</f>
        <v>MAE. EN CIENCIAS DE LA INF. Y LAS COMUNICACIONES ENFASIS EN SIS. INFOR</v>
      </c>
      <c r="E135" s="19" t="str">
        <f>VLOOKUP(A135,'ESTADOS ESTUDIANTES'!B:L,5,0)</f>
        <v>X</v>
      </c>
      <c r="F135" s="18" t="str">
        <f>VLOOKUP(E135,Listas!B1:C1004,2,0)</f>
        <v>EXCLUIDO</v>
      </c>
      <c r="G135" s="19" t="str">
        <f>VLOOKUP(A135,'ESTADOS ESTUDIANTES'!B:L,7,0)</f>
        <v>NO REGISTRA</v>
      </c>
      <c r="H135" s="19" t="str">
        <f>VLOOKUP(A135,'ESTADOS ESTUDIANTES'!B:L,8,0)</f>
        <v>bibustosv@correo.udistrital.edu.co</v>
      </c>
      <c r="I135" s="70" t="str">
        <f>VLOOKUP(A135,'ESTADOS ESTUDIANTES'!B:L,9,0)</f>
        <v>bibustosv@estudiante.udistrital.edu.co</v>
      </c>
      <c r="J135" s="19" t="str">
        <f>VLOOKUP(A135,'ESTADOS ESTUDIANTES'!B:L,10,0)</f>
        <v>CC</v>
      </c>
      <c r="K135" s="19">
        <f>VLOOKUP(A135,'ESTADOS ESTUDIANTES'!B:L,11,0)</f>
        <v>22492135</v>
      </c>
      <c r="L135" s="23"/>
      <c r="M135" s="20"/>
      <c r="N135" s="22"/>
      <c r="O135" s="15"/>
      <c r="P135" s="15"/>
      <c r="Q135" s="15"/>
      <c r="R135" s="15"/>
      <c r="S135" s="15"/>
      <c r="T135" s="15"/>
      <c r="U135" s="15"/>
    </row>
    <row r="136" spans="1:21" ht="90">
      <c r="A136" s="17">
        <v>20051295005</v>
      </c>
      <c r="B136" s="19" t="str">
        <f>VLOOKUP(A136,'ESTADOS ESTUDIANTES'!B:L,2,0)</f>
        <v>CANO OLIVERA LUIS EDUARDO</v>
      </c>
      <c r="C136" s="19">
        <f>VLOOKUP(A136,'ESTADOS ESTUDIANTES'!B:L,3,0)</f>
        <v>295</v>
      </c>
      <c r="D136" s="66" t="str">
        <f>VLOOKUP(A136,'ESTADOS ESTUDIANTES'!B:L,4,0)</f>
        <v>MAE. EN CIENCIAS DE LA INF. Y LAS COMUNICACIONES ENFASIS EN SIS. INFOR</v>
      </c>
      <c r="E136" s="19" t="str">
        <f>VLOOKUP(A136,'ESTADOS ESTUDIANTES'!B:L,5,0)</f>
        <v>E</v>
      </c>
      <c r="F136" s="18" t="str">
        <f>VLOOKUP(E136,Listas!B1:C1004,2,0)</f>
        <v>EGRESADO</v>
      </c>
      <c r="G136" s="19" t="str">
        <f>VLOOKUP(A136,'ESTADOS ESTUDIANTES'!B:L,7,0)</f>
        <v>NO REGISTRA</v>
      </c>
      <c r="H136" s="19" t="str">
        <f>VLOOKUP(A136,'ESTADOS ESTUDIANTES'!B:L,8,0)</f>
        <v>lecanoo@correo.udistrital.edu.co</v>
      </c>
      <c r="I136" s="70" t="str">
        <f>VLOOKUP(A136,'ESTADOS ESTUDIANTES'!B:L,9,0)</f>
        <v>luiscano77@gmail.com</v>
      </c>
      <c r="J136" s="19" t="str">
        <f>VLOOKUP(A136,'ESTADOS ESTUDIANTES'!B:L,10,0)</f>
        <v>CC</v>
      </c>
      <c r="K136" s="19">
        <f>VLOOKUP(A136,'ESTADOS ESTUDIANTES'!B:L,11,0)</f>
        <v>79506098</v>
      </c>
      <c r="L136" s="23"/>
      <c r="M136" s="20"/>
      <c r="N136" s="22"/>
      <c r="O136" s="15"/>
      <c r="P136" s="15"/>
      <c r="Q136" s="15"/>
      <c r="R136" s="15"/>
      <c r="S136" s="15"/>
      <c r="T136" s="15"/>
      <c r="U136" s="15"/>
    </row>
    <row r="137" spans="1:21" ht="90">
      <c r="A137" s="17">
        <v>20051295006</v>
      </c>
      <c r="B137" s="19" t="str">
        <f>VLOOKUP(A137,'ESTADOS ESTUDIANTES'!B:L,2,0)</f>
        <v>CARABALY TAPIA RENE FERNANDO</v>
      </c>
      <c r="C137" s="19">
        <f>VLOOKUP(A137,'ESTADOS ESTUDIANTES'!B:L,3,0)</f>
        <v>295</v>
      </c>
      <c r="D137" s="66" t="str">
        <f>VLOOKUP(A137,'ESTADOS ESTUDIANTES'!B:L,4,0)</f>
        <v>MAE. EN CIENCIAS DE LA INF. Y LAS COMUNICACIONES ENFASIS EN SIS. INFOR</v>
      </c>
      <c r="E137" s="19" t="str">
        <f>VLOOKUP(A137,'ESTADOS ESTUDIANTES'!B:L,5,0)</f>
        <v>E</v>
      </c>
      <c r="F137" s="18" t="str">
        <f>VLOOKUP(E137,Listas!B1:C1004,2,0)</f>
        <v>EGRESADO</v>
      </c>
      <c r="G137" s="19">
        <f>VLOOKUP(A137,'ESTADOS ESTUDIANTES'!B:L,7,0)</f>
        <v>1</v>
      </c>
      <c r="H137" s="19" t="str">
        <f>VLOOKUP(A137,'ESTADOS ESTUDIANTES'!B:L,8,0)</f>
        <v>rfcarabalyt@correo.udistrital.edu.co</v>
      </c>
      <c r="I137" s="70" t="str">
        <f>VLOOKUP(A137,'ESTADOS ESTUDIANTES'!B:L,9,0)</f>
        <v>fernando.carabaly@gmail.com</v>
      </c>
      <c r="J137" s="19" t="str">
        <f>VLOOKUP(A137,'ESTADOS ESTUDIANTES'!B:L,10,0)</f>
        <v>CC</v>
      </c>
      <c r="K137" s="19">
        <f>VLOOKUP(A137,'ESTADOS ESTUDIANTES'!B:L,11,0)</f>
        <v>5203755</v>
      </c>
      <c r="L137" s="23"/>
      <c r="M137" s="20"/>
      <c r="N137" s="22"/>
      <c r="O137" s="15"/>
      <c r="P137" s="15"/>
      <c r="Q137" s="15"/>
      <c r="R137" s="15"/>
      <c r="S137" s="15"/>
      <c r="T137" s="15"/>
      <c r="U137" s="15"/>
    </row>
    <row r="138" spans="1:21" ht="90">
      <c r="A138" s="17">
        <v>20051295007</v>
      </c>
      <c r="B138" s="19" t="str">
        <f>VLOOKUP(A138,'ESTADOS ESTUDIANTES'!B:L,2,0)</f>
        <v>HERNANDO CASTILLO GARCIA</v>
      </c>
      <c r="C138" s="19">
        <f>VLOOKUP(A138,'ESTADOS ESTUDIANTES'!B:L,3,0)</f>
        <v>295</v>
      </c>
      <c r="D138" s="66" t="str">
        <f>VLOOKUP(A138,'ESTADOS ESTUDIANTES'!B:L,4,0)</f>
        <v>MAE. EN CIENCIAS DE LA INF. Y LAS COMUNICACIONES ENFASIS EN SIS. INFOR</v>
      </c>
      <c r="E138" s="19" t="str">
        <f>VLOOKUP(A138,'ESTADOS ESTUDIANTES'!B:L,5,0)</f>
        <v>E</v>
      </c>
      <c r="F138" s="18" t="str">
        <f>VLOOKUP(E138,Listas!B1:C1004,2,0)</f>
        <v>EGRESADO</v>
      </c>
      <c r="G138" s="19" t="str">
        <f>VLOOKUP(A138,'ESTADOS ESTUDIANTES'!B:L,7,0)</f>
        <v>NO REGISTRA</v>
      </c>
      <c r="H138" s="19" t="str">
        <f>VLOOKUP(A138,'ESTADOS ESTUDIANTES'!B:L,8,0)</f>
        <v>hcastillog@correo.udistrital.edu.co</v>
      </c>
      <c r="I138" s="70" t="str">
        <f>VLOOKUP(A138,'ESTADOS ESTUDIANTES'!B:L,9,0)</f>
        <v>hernandocastillo2004@yahoo.com</v>
      </c>
      <c r="J138" s="19" t="str">
        <f>VLOOKUP(A138,'ESTADOS ESTUDIANTES'!B:L,10,0)</f>
        <v>CC</v>
      </c>
      <c r="K138" s="19">
        <f>VLOOKUP(A138,'ESTADOS ESTUDIANTES'!B:L,11,0)</f>
        <v>11251679</v>
      </c>
      <c r="L138" s="23"/>
      <c r="M138" s="20"/>
      <c r="N138" s="22"/>
      <c r="O138" s="15"/>
      <c r="P138" s="15"/>
      <c r="Q138" s="15"/>
      <c r="R138" s="15"/>
      <c r="S138" s="15"/>
      <c r="T138" s="15"/>
      <c r="U138" s="15"/>
    </row>
    <row r="139" spans="1:21" ht="90">
      <c r="A139" s="17">
        <v>20051295008</v>
      </c>
      <c r="B139" s="19" t="str">
        <f>VLOOKUP(A139,'ESTADOS ESTUDIANTES'!B:L,2,0)</f>
        <v>CAVIEDES PULIDO DIEGO ALFONSO</v>
      </c>
      <c r="C139" s="19">
        <f>VLOOKUP(A139,'ESTADOS ESTUDIANTES'!B:L,3,0)</f>
        <v>295</v>
      </c>
      <c r="D139" s="66" t="str">
        <f>VLOOKUP(A139,'ESTADOS ESTUDIANTES'!B:L,4,0)</f>
        <v>MAE. EN CIENCIAS DE LA INF. Y LAS COMUNICACIONES ENFASIS EN SIS. INFOR</v>
      </c>
      <c r="E139" s="19" t="str">
        <f>VLOOKUP(A139,'ESTADOS ESTUDIANTES'!B:L,5,0)</f>
        <v>X</v>
      </c>
      <c r="F139" s="18" t="str">
        <f>VLOOKUP(E139,Listas!B1:C1004,2,0)</f>
        <v>EXCLUIDO</v>
      </c>
      <c r="G139" s="19" t="str">
        <f>VLOOKUP(A139,'ESTADOS ESTUDIANTES'!B:L,7,0)</f>
        <v>NO REGISTRA</v>
      </c>
      <c r="H139" s="19" t="str">
        <f>VLOOKUP(A139,'ESTADOS ESTUDIANTES'!B:L,8,0)</f>
        <v>dacaviedesp@correo.udistrital.edu.co</v>
      </c>
      <c r="I139" s="70" t="str">
        <f>VLOOKUP(A139,'ESTADOS ESTUDIANTES'!B:L,9,0)</f>
        <v>dcaviedesp@gmail.com</v>
      </c>
      <c r="J139" s="19" t="str">
        <f>VLOOKUP(A139,'ESTADOS ESTUDIANTES'!B:L,10,0)</f>
        <v>CC</v>
      </c>
      <c r="K139" s="19">
        <f>VLOOKUP(A139,'ESTADOS ESTUDIANTES'!B:L,11,0)</f>
        <v>79801885</v>
      </c>
      <c r="L139" s="23"/>
      <c r="M139" s="20"/>
      <c r="N139" s="22"/>
      <c r="O139" s="15"/>
      <c r="P139" s="15"/>
      <c r="Q139" s="15"/>
      <c r="R139" s="15"/>
      <c r="S139" s="15"/>
      <c r="T139" s="15"/>
      <c r="U139" s="15"/>
    </row>
    <row r="140" spans="1:21" ht="90">
      <c r="A140" s="17">
        <v>20051295009</v>
      </c>
      <c r="B140" s="19" t="str">
        <f>VLOOKUP(A140,'ESTADOS ESTUDIANTES'!B:L,2,0)</f>
        <v>COY REY ALDO FROILAN</v>
      </c>
      <c r="C140" s="19">
        <f>VLOOKUP(A140,'ESTADOS ESTUDIANTES'!B:L,3,0)</f>
        <v>295</v>
      </c>
      <c r="D140" s="66" t="str">
        <f>VLOOKUP(A140,'ESTADOS ESTUDIANTES'!B:L,4,0)</f>
        <v>MAE. EN CIENCIAS DE LA INF. Y LAS COMUNICACIONES ENFASIS EN SIS. INFOR</v>
      </c>
      <c r="E140" s="19" t="str">
        <f>VLOOKUP(A140,'ESTADOS ESTUDIANTES'!B:L,5,0)</f>
        <v>E</v>
      </c>
      <c r="F140" s="18" t="str">
        <f>VLOOKUP(E140,Listas!B1:C1004,2,0)</f>
        <v>EGRESADO</v>
      </c>
      <c r="G140" s="19" t="str">
        <f>VLOOKUP(A140,'ESTADOS ESTUDIANTES'!B:L,7,0)</f>
        <v>NO REGISTRA</v>
      </c>
      <c r="H140" s="19" t="str">
        <f>VLOOKUP(A140,'ESTADOS ESTUDIANTES'!B:L,8,0)</f>
        <v>afcoyr@correo.udistrital.edu.co</v>
      </c>
      <c r="I140" s="70" t="str">
        <f>VLOOKUP(A140,'ESTADOS ESTUDIANTES'!B:L,9,0)</f>
        <v>afcoyr@estudiante.udistrital.edu.co</v>
      </c>
      <c r="J140" s="19" t="str">
        <f>VLOOKUP(A140,'ESTADOS ESTUDIANTES'!B:L,10,0)</f>
        <v>CC</v>
      </c>
      <c r="K140" s="19">
        <f>VLOOKUP(A140,'ESTADOS ESTUDIANTES'!B:L,11,0)</f>
        <v>80019759</v>
      </c>
      <c r="L140" s="23"/>
      <c r="M140" s="20"/>
      <c r="N140" s="22"/>
      <c r="O140" s="15"/>
      <c r="P140" s="15"/>
      <c r="Q140" s="15"/>
      <c r="R140" s="15"/>
      <c r="S140" s="15"/>
      <c r="T140" s="15"/>
      <c r="U140" s="15"/>
    </row>
    <row r="141" spans="1:21" ht="90">
      <c r="A141" s="17">
        <v>20051295010</v>
      </c>
      <c r="B141" s="19" t="str">
        <f>VLOOKUP(A141,'ESTADOS ESTUDIANTES'!B:L,2,0)</f>
        <v>GUERRERO JIMENEZ DIEGO ANDRES</v>
      </c>
      <c r="C141" s="19">
        <f>VLOOKUP(A141,'ESTADOS ESTUDIANTES'!B:L,3,0)</f>
        <v>295</v>
      </c>
      <c r="D141" s="66" t="str">
        <f>VLOOKUP(A141,'ESTADOS ESTUDIANTES'!B:L,4,0)</f>
        <v>MAE. EN CIENCIAS DE LA INF. Y LAS COMUNICACIONES ENFASIS EN SIS. INFOR</v>
      </c>
      <c r="E141" s="19" t="str">
        <f>VLOOKUP(A141,'ESTADOS ESTUDIANTES'!B:L,5,0)</f>
        <v>E</v>
      </c>
      <c r="F141" s="18" t="str">
        <f>VLOOKUP(E141,Listas!B1:C1004,2,0)</f>
        <v>EGRESADO</v>
      </c>
      <c r="G141" s="19">
        <f>VLOOKUP(A141,'ESTADOS ESTUDIANTES'!B:L,7,0)</f>
        <v>1</v>
      </c>
      <c r="H141" s="19" t="str">
        <f>VLOOKUP(A141,'ESTADOS ESTUDIANTES'!B:L,8,0)</f>
        <v>diaguerreroj@correo.udistrital.edu.co</v>
      </c>
      <c r="I141" s="70" t="str">
        <f>VLOOKUP(A141,'ESTADOS ESTUDIANTES'!B:L,9,0)</f>
        <v>diego.guerrero@gmail.com</v>
      </c>
      <c r="J141" s="19" t="str">
        <f>VLOOKUP(A141,'ESTADOS ESTUDIANTES'!B:L,10,0)</f>
        <v>CC</v>
      </c>
      <c r="K141" s="19">
        <f>VLOOKUP(A141,'ESTADOS ESTUDIANTES'!B:L,11,0)</f>
        <v>80028694</v>
      </c>
      <c r="L141" s="23"/>
      <c r="M141" s="20"/>
      <c r="N141" s="22"/>
      <c r="O141" s="15"/>
      <c r="P141" s="15"/>
      <c r="Q141" s="15"/>
      <c r="R141" s="15"/>
      <c r="S141" s="15"/>
      <c r="T141" s="15"/>
      <c r="U141" s="15"/>
    </row>
    <row r="142" spans="1:21" ht="90">
      <c r="A142" s="17">
        <v>20051295011</v>
      </c>
      <c r="B142" s="19" t="str">
        <f>VLOOKUP(A142,'ESTADOS ESTUDIANTES'!B:L,2,0)</f>
        <v>GUTIERREZ FORERO HEIDI PATRICIA</v>
      </c>
      <c r="C142" s="19">
        <f>VLOOKUP(A142,'ESTADOS ESTUDIANTES'!B:L,3,0)</f>
        <v>295</v>
      </c>
      <c r="D142" s="66" t="str">
        <f>VLOOKUP(A142,'ESTADOS ESTUDIANTES'!B:L,4,0)</f>
        <v>MAE. EN CIENCIAS DE LA INF. Y LAS COMUNICACIONES ENFASIS EN SIS. INFOR</v>
      </c>
      <c r="E142" s="19" t="str">
        <f>VLOOKUP(A142,'ESTADOS ESTUDIANTES'!B:L,5,0)</f>
        <v>X</v>
      </c>
      <c r="F142" s="18" t="str">
        <f>VLOOKUP(E142,Listas!B1:C1004,2,0)</f>
        <v>EXCLUIDO</v>
      </c>
      <c r="G142" s="19" t="str">
        <f>VLOOKUP(A142,'ESTADOS ESTUDIANTES'!B:L,7,0)</f>
        <v>NO REGISTRA</v>
      </c>
      <c r="H142" s="19" t="str">
        <f>VLOOKUP(A142,'ESTADOS ESTUDIANTES'!B:L,8,0)</f>
        <v>hpgutierrezf@correo.udistrital.edu.co</v>
      </c>
      <c r="I142" s="70" t="str">
        <f>VLOOKUP(A142,'ESTADOS ESTUDIANTES'!B:L,9,0)</f>
        <v>hpgutierrezf@estudiante.udistrital.edu.co</v>
      </c>
      <c r="J142" s="19" t="str">
        <f>VLOOKUP(A142,'ESTADOS ESTUDIANTES'!B:L,10,0)</f>
        <v>CC</v>
      </c>
      <c r="K142" s="19">
        <f>VLOOKUP(A142,'ESTADOS ESTUDIANTES'!B:L,11,0)</f>
        <v>35250386</v>
      </c>
      <c r="L142" s="23"/>
      <c r="M142" s="20"/>
      <c r="N142" s="22"/>
      <c r="O142" s="15"/>
      <c r="P142" s="15"/>
      <c r="Q142" s="15"/>
      <c r="R142" s="15"/>
      <c r="S142" s="15"/>
      <c r="T142" s="15"/>
      <c r="U142" s="15"/>
    </row>
    <row r="143" spans="1:21" ht="90">
      <c r="A143" s="17">
        <v>20051295012</v>
      </c>
      <c r="B143" s="19" t="str">
        <f>VLOOKUP(A143,'ESTADOS ESTUDIANTES'!B:L,2,0)</f>
        <v>HERNANDEZ VARGAS HERNANDO</v>
      </c>
      <c r="C143" s="19">
        <f>VLOOKUP(A143,'ESTADOS ESTUDIANTES'!B:L,3,0)</f>
        <v>295</v>
      </c>
      <c r="D143" s="66" t="str">
        <f>VLOOKUP(A143,'ESTADOS ESTUDIANTES'!B:L,4,0)</f>
        <v>MAE. EN CIENCIAS DE LA INF. Y LAS COMUNICACIONES ENFASIS EN SIS. INFOR</v>
      </c>
      <c r="E143" s="19" t="str">
        <f>VLOOKUP(A143,'ESTADOS ESTUDIANTES'!B:L,5,0)</f>
        <v>X</v>
      </c>
      <c r="F143" s="18" t="str">
        <f>VLOOKUP(E143,Listas!B1:C1004,2,0)</f>
        <v>EXCLUIDO</v>
      </c>
      <c r="G143" s="19" t="str">
        <f>VLOOKUP(A143,'ESTADOS ESTUDIANTES'!B:L,7,0)</f>
        <v>NO REGISTRA</v>
      </c>
      <c r="H143" s="19" t="str">
        <f>VLOOKUP(A143,'ESTADOS ESTUDIANTES'!B:L,8,0)</f>
        <v>hhernandezv@correo.udistrital.edu.co</v>
      </c>
      <c r="I143" s="70" t="str">
        <f>VLOOKUP(A143,'ESTADOS ESTUDIANTES'!B:L,9,0)</f>
        <v>hhernandezv@estudiante.udistrital.edu.co</v>
      </c>
      <c r="J143" s="19" t="str">
        <f>VLOOKUP(A143,'ESTADOS ESTUDIANTES'!B:L,10,0)</f>
        <v>CC</v>
      </c>
      <c r="K143" s="19">
        <f>VLOOKUP(A143,'ESTADOS ESTUDIANTES'!B:L,11,0)</f>
        <v>79667413</v>
      </c>
      <c r="L143" s="23"/>
      <c r="M143" s="20"/>
      <c r="N143" s="22"/>
      <c r="O143" s="15"/>
      <c r="P143" s="15"/>
      <c r="Q143" s="15"/>
      <c r="R143" s="15"/>
      <c r="S143" s="15"/>
      <c r="T143" s="15"/>
      <c r="U143" s="15"/>
    </row>
    <row r="144" spans="1:21" ht="90">
      <c r="A144" s="17">
        <v>20051295013</v>
      </c>
      <c r="B144" s="19" t="str">
        <f>VLOOKUP(A144,'ESTADOS ESTUDIANTES'!B:L,2,0)</f>
        <v>JIMENEZ CALDERON JOSE ALEXANDER</v>
      </c>
      <c r="C144" s="19">
        <f>VLOOKUP(A144,'ESTADOS ESTUDIANTES'!B:L,3,0)</f>
        <v>295</v>
      </c>
      <c r="D144" s="66" t="str">
        <f>VLOOKUP(A144,'ESTADOS ESTUDIANTES'!B:L,4,0)</f>
        <v>MAE. EN CIENCIAS DE LA INF. Y LAS COMUNICACIONES ENFASIS EN SIS. INFOR</v>
      </c>
      <c r="E144" s="19" t="str">
        <f>VLOOKUP(A144,'ESTADOS ESTUDIANTES'!B:L,5,0)</f>
        <v>X</v>
      </c>
      <c r="F144" s="18" t="str">
        <f>VLOOKUP(E144,Listas!B1:C1004,2,0)</f>
        <v>EXCLUIDO</v>
      </c>
      <c r="G144" s="19" t="str">
        <f>VLOOKUP(A144,'ESTADOS ESTUDIANTES'!B:L,7,0)</f>
        <v>NO REGISTRA</v>
      </c>
      <c r="H144" s="19">
        <f>VLOOKUP(A144,'ESTADOS ESTUDIANTES'!B:L,8,0)</f>
        <v>0</v>
      </c>
      <c r="I144" s="70">
        <f>VLOOKUP(A144,'ESTADOS ESTUDIANTES'!B:L,9,0)</f>
        <v>0</v>
      </c>
      <c r="J144" s="19" t="str">
        <f>VLOOKUP(A144,'ESTADOS ESTUDIANTES'!B:L,10,0)</f>
        <v>CC</v>
      </c>
      <c r="K144" s="19">
        <f>VLOOKUP(A144,'ESTADOS ESTUDIANTES'!B:L,11,0)</f>
        <v>79864731</v>
      </c>
      <c r="L144" s="23"/>
      <c r="M144" s="20"/>
      <c r="N144" s="22"/>
      <c r="O144" s="15"/>
      <c r="P144" s="15"/>
      <c r="Q144" s="15"/>
      <c r="R144" s="15"/>
      <c r="S144" s="15"/>
      <c r="T144" s="15"/>
      <c r="U144" s="15"/>
    </row>
    <row r="145" spans="1:21" ht="90">
      <c r="A145" s="17">
        <v>20051295014</v>
      </c>
      <c r="B145" s="19" t="str">
        <f>VLOOKUP(A145,'ESTADOS ESTUDIANTES'!B:L,2,0)</f>
        <v>MARIACA MINDA CXINGLER</v>
      </c>
      <c r="C145" s="19">
        <f>VLOOKUP(A145,'ESTADOS ESTUDIANTES'!B:L,3,0)</f>
        <v>295</v>
      </c>
      <c r="D145" s="66" t="str">
        <f>VLOOKUP(A145,'ESTADOS ESTUDIANTES'!B:L,4,0)</f>
        <v>MAE. EN CIENCIAS DE LA INF. Y LAS COMUNICACIONES ENFASIS EN SIS. INFOR</v>
      </c>
      <c r="E145" s="19" t="str">
        <f>VLOOKUP(A145,'ESTADOS ESTUDIANTES'!B:L,5,0)</f>
        <v>X</v>
      </c>
      <c r="F145" s="18" t="str">
        <f>VLOOKUP(E145,Listas!B1:C1004,2,0)</f>
        <v>EXCLUIDO</v>
      </c>
      <c r="G145" s="19" t="str">
        <f>VLOOKUP(A145,'ESTADOS ESTUDIANTES'!B:L,7,0)</f>
        <v>NO REGISTRA</v>
      </c>
      <c r="H145" s="19" t="str">
        <f>VLOOKUP(A145,'ESTADOS ESTUDIANTES'!B:L,8,0)</f>
        <v>cmariacam@correo.udistrital.edu.co</v>
      </c>
      <c r="I145" s="70" t="str">
        <f>VLOOKUP(A145,'ESTADOS ESTUDIANTES'!B:L,9,0)</f>
        <v>cinxgler@udistrital.edu.co</v>
      </c>
      <c r="J145" s="19" t="str">
        <f>VLOOKUP(A145,'ESTADOS ESTUDIANTES'!B:L,10,0)</f>
        <v>CC</v>
      </c>
      <c r="K145" s="19">
        <f>VLOOKUP(A145,'ESTADOS ESTUDIANTES'!B:L,11,0)</f>
        <v>80000584</v>
      </c>
      <c r="L145" s="23"/>
      <c r="M145" s="20"/>
      <c r="N145" s="22"/>
      <c r="O145" s="15"/>
      <c r="P145" s="15"/>
      <c r="Q145" s="15"/>
      <c r="R145" s="15"/>
      <c r="S145" s="15"/>
      <c r="T145" s="15"/>
      <c r="U145" s="15"/>
    </row>
    <row r="146" spans="1:21" ht="90">
      <c r="A146" s="17">
        <v>20051295015</v>
      </c>
      <c r="B146" s="19" t="str">
        <f>VLOOKUP(A146,'ESTADOS ESTUDIANTES'!B:L,2,0)</f>
        <v>MARTINEZ PEÑA JULIO CESAR</v>
      </c>
      <c r="C146" s="19">
        <f>VLOOKUP(A146,'ESTADOS ESTUDIANTES'!B:L,3,0)</f>
        <v>295</v>
      </c>
      <c r="D146" s="66" t="str">
        <f>VLOOKUP(A146,'ESTADOS ESTUDIANTES'!B:L,4,0)</f>
        <v>MAE. EN CIENCIAS DE LA INF. Y LAS COMUNICACIONES ENFASIS EN SIS. INFOR</v>
      </c>
      <c r="E146" s="19" t="str">
        <f>VLOOKUP(A146,'ESTADOS ESTUDIANTES'!B:L,5,0)</f>
        <v>X</v>
      </c>
      <c r="F146" s="18" t="str">
        <f>VLOOKUP(E146,Listas!B1:C1004,2,0)</f>
        <v>EXCLUIDO</v>
      </c>
      <c r="G146" s="19" t="str">
        <f>VLOOKUP(A146,'ESTADOS ESTUDIANTES'!B:L,7,0)</f>
        <v>NO REGISTRA</v>
      </c>
      <c r="H146" s="19" t="str">
        <f>VLOOKUP(A146,'ESTADOS ESTUDIANTES'!B:L,8,0)</f>
        <v>jcmartinezp@correo.udistrital.edu.co</v>
      </c>
      <c r="I146" s="70" t="str">
        <f>VLOOKUP(A146,'ESTADOS ESTUDIANTES'!B:L,9,0)</f>
        <v>juliocmp@yahoo.com</v>
      </c>
      <c r="J146" s="19" t="str">
        <f>VLOOKUP(A146,'ESTADOS ESTUDIANTES'!B:L,10,0)</f>
        <v>CC</v>
      </c>
      <c r="K146" s="19">
        <f>VLOOKUP(A146,'ESTADOS ESTUDIANTES'!B:L,11,0)</f>
        <v>79404227</v>
      </c>
      <c r="L146" s="23"/>
      <c r="M146" s="20"/>
      <c r="N146" s="22"/>
      <c r="O146" s="15"/>
      <c r="P146" s="15"/>
      <c r="Q146" s="15"/>
      <c r="R146" s="15"/>
      <c r="S146" s="15"/>
      <c r="T146" s="15"/>
      <c r="U146" s="15"/>
    </row>
    <row r="147" spans="1:21" ht="90">
      <c r="A147" s="17">
        <v>20051295016</v>
      </c>
      <c r="B147" s="19" t="str">
        <f>VLOOKUP(A147,'ESTADOS ESTUDIANTES'!B:L,2,0)</f>
        <v>SANDOVAL AMAYA JHON ALEXANDER</v>
      </c>
      <c r="C147" s="19">
        <f>VLOOKUP(A147,'ESTADOS ESTUDIANTES'!B:L,3,0)</f>
        <v>295</v>
      </c>
      <c r="D147" s="66" t="str">
        <f>VLOOKUP(A147,'ESTADOS ESTUDIANTES'!B:L,4,0)</f>
        <v>MAE. EN CIENCIAS DE LA INF. Y LAS COMUNICACIONES ENFASIS EN SIS. INFOR</v>
      </c>
      <c r="E147" s="19" t="str">
        <f>VLOOKUP(A147,'ESTADOS ESTUDIANTES'!B:L,5,0)</f>
        <v>X</v>
      </c>
      <c r="F147" s="18" t="str">
        <f>VLOOKUP(E147,Listas!B1:C1004,2,0)</f>
        <v>EXCLUIDO</v>
      </c>
      <c r="G147" s="19" t="str">
        <f>VLOOKUP(A147,'ESTADOS ESTUDIANTES'!B:L,7,0)</f>
        <v>NO REGISTRA</v>
      </c>
      <c r="H147" s="19">
        <f>VLOOKUP(A147,'ESTADOS ESTUDIANTES'!B:L,8,0)</f>
        <v>0</v>
      </c>
      <c r="I147" s="70">
        <f>VLOOKUP(A147,'ESTADOS ESTUDIANTES'!B:L,9,0)</f>
        <v>0</v>
      </c>
      <c r="J147" s="19" t="str">
        <f>VLOOKUP(A147,'ESTADOS ESTUDIANTES'!B:L,10,0)</f>
        <v>CC</v>
      </c>
      <c r="K147" s="19">
        <f>VLOOKUP(A147,'ESTADOS ESTUDIANTES'!B:L,11,0)</f>
        <v>79797090</v>
      </c>
      <c r="L147" s="23"/>
      <c r="M147" s="20"/>
      <c r="N147" s="22"/>
      <c r="O147" s="15"/>
      <c r="P147" s="15"/>
      <c r="Q147" s="15"/>
      <c r="R147" s="15"/>
      <c r="S147" s="15"/>
      <c r="T147" s="15"/>
      <c r="U147" s="15"/>
    </row>
    <row r="148" spans="1:21" ht="90">
      <c r="A148" s="17">
        <v>20051295017</v>
      </c>
      <c r="B148" s="19" t="str">
        <f>VLOOKUP(A148,'ESTADOS ESTUDIANTES'!B:L,2,0)</f>
        <v>SANDOVAL CANTOR ANA EFIGENIA</v>
      </c>
      <c r="C148" s="19">
        <f>VLOOKUP(A148,'ESTADOS ESTUDIANTES'!B:L,3,0)</f>
        <v>295</v>
      </c>
      <c r="D148" s="66" t="str">
        <f>VLOOKUP(A148,'ESTADOS ESTUDIANTES'!B:L,4,0)</f>
        <v>MAE. EN CIENCIAS DE LA INF. Y LAS COMUNICACIONES ENFASIS EN SIS. INFOR</v>
      </c>
      <c r="E148" s="19" t="str">
        <f>VLOOKUP(A148,'ESTADOS ESTUDIANTES'!B:L,5,0)</f>
        <v>E</v>
      </c>
      <c r="F148" s="18" t="str">
        <f>VLOOKUP(E148,Listas!B1:C1004,2,0)</f>
        <v>EGRESADO</v>
      </c>
      <c r="G148" s="19" t="str">
        <f>VLOOKUP(A148,'ESTADOS ESTUDIANTES'!B:L,7,0)</f>
        <v>NO REGISTRA</v>
      </c>
      <c r="H148" s="19" t="str">
        <f>VLOOKUP(A148,'ESTADOS ESTUDIANTES'!B:L,8,0)</f>
        <v>aesandovalc@correo.udistrital.edu.co</v>
      </c>
      <c r="I148" s="70" t="str">
        <f>VLOOKUP(A148,'ESTADOS ESTUDIANTES'!B:L,9,0)</f>
        <v>aesandovalc@estudiante.udistrital.edu.co</v>
      </c>
      <c r="J148" s="19" t="str">
        <f>VLOOKUP(A148,'ESTADOS ESTUDIANTES'!B:L,10,0)</f>
        <v>CC</v>
      </c>
      <c r="K148" s="19">
        <f>VLOOKUP(A148,'ESTADOS ESTUDIANTES'!B:L,11,0)</f>
        <v>52260632</v>
      </c>
      <c r="L148" s="23"/>
      <c r="M148" s="20"/>
      <c r="N148" s="22"/>
      <c r="O148" s="15"/>
      <c r="P148" s="15"/>
      <c r="Q148" s="15"/>
      <c r="R148" s="15"/>
      <c r="S148" s="15"/>
      <c r="T148" s="15"/>
      <c r="U148" s="15"/>
    </row>
    <row r="149" spans="1:21" ht="90">
      <c r="A149" s="17">
        <v>20051295018</v>
      </c>
      <c r="B149" s="19" t="str">
        <f>VLOOKUP(A149,'ESTADOS ESTUDIANTES'!B:L,2,0)</f>
        <v>SERRATO LANUZA VICTOR EDUARDO</v>
      </c>
      <c r="C149" s="19">
        <f>VLOOKUP(A149,'ESTADOS ESTUDIANTES'!B:L,3,0)</f>
        <v>295</v>
      </c>
      <c r="D149" s="66" t="str">
        <f>VLOOKUP(A149,'ESTADOS ESTUDIANTES'!B:L,4,0)</f>
        <v>MAE. EN CIENCIAS DE LA INF. Y LAS COMUNICACIONES ENFASIS EN SIS. INFOR</v>
      </c>
      <c r="E149" s="19" t="str">
        <f>VLOOKUP(A149,'ESTADOS ESTUDIANTES'!B:L,5,0)</f>
        <v>E</v>
      </c>
      <c r="F149" s="18" t="str">
        <f>VLOOKUP(E149,Listas!B1:C1004,2,0)</f>
        <v>EGRESADO</v>
      </c>
      <c r="G149" s="19">
        <f>VLOOKUP(A149,'ESTADOS ESTUDIANTES'!B:L,7,0)</f>
        <v>1</v>
      </c>
      <c r="H149" s="19" t="str">
        <f>VLOOKUP(A149,'ESTADOS ESTUDIANTES'!B:L,8,0)</f>
        <v>veserratol@correo.udistrital.edu.co</v>
      </c>
      <c r="I149" s="70" t="str">
        <f>VLOOKUP(A149,'ESTADOS ESTUDIANTES'!B:L,9,0)</f>
        <v>virrato@yahoo.com</v>
      </c>
      <c r="J149" s="19" t="str">
        <f>VLOOKUP(A149,'ESTADOS ESTUDIANTES'!B:L,10,0)</f>
        <v>CC</v>
      </c>
      <c r="K149" s="19">
        <f>VLOOKUP(A149,'ESTADOS ESTUDIANTES'!B:L,11,0)</f>
        <v>79910510</v>
      </c>
      <c r="L149" s="23"/>
      <c r="M149" s="20"/>
      <c r="N149" s="22"/>
      <c r="O149" s="15"/>
      <c r="P149" s="15"/>
      <c r="Q149" s="15"/>
      <c r="R149" s="15"/>
      <c r="S149" s="15"/>
      <c r="T149" s="15"/>
      <c r="U149" s="15"/>
    </row>
    <row r="150" spans="1:21" ht="90">
      <c r="A150" s="17">
        <v>20051295019</v>
      </c>
      <c r="B150" s="19" t="str">
        <f>VLOOKUP(A150,'ESTADOS ESTUDIANTES'!B:L,2,0)</f>
        <v>CESAR AUGUSTO TORRES ANDRADE</v>
      </c>
      <c r="C150" s="19">
        <f>VLOOKUP(A150,'ESTADOS ESTUDIANTES'!B:L,3,0)</f>
        <v>295</v>
      </c>
      <c r="D150" s="66" t="str">
        <f>VLOOKUP(A150,'ESTADOS ESTUDIANTES'!B:L,4,0)</f>
        <v>MAE. EN CIENCIAS DE LA INF. Y LAS COMUNICACIONES ENFASIS EN SIS. INFOR</v>
      </c>
      <c r="E150" s="19" t="str">
        <f>VLOOKUP(A150,'ESTADOS ESTUDIANTES'!B:L,5,0)</f>
        <v>E</v>
      </c>
      <c r="F150" s="18" t="str">
        <f>VLOOKUP(E150,Listas!B1:C1004,2,0)</f>
        <v>EGRESADO</v>
      </c>
      <c r="G150" s="19" t="str">
        <f>VLOOKUP(A150,'ESTADOS ESTUDIANTES'!B:L,7,0)</f>
        <v>NO REGISTRA</v>
      </c>
      <c r="H150" s="19" t="str">
        <f>VLOOKUP(A150,'ESTADOS ESTUDIANTES'!B:L,8,0)</f>
        <v>catorresa@udistrital.edu.co</v>
      </c>
      <c r="I150" s="70" t="str">
        <f>VLOOKUP(A150,'ESTADOS ESTUDIANTES'!B:L,9,0)</f>
        <v>cesartandrade@gmail.com</v>
      </c>
      <c r="J150" s="19" t="str">
        <f>VLOOKUP(A150,'ESTADOS ESTUDIANTES'!B:L,10,0)</f>
        <v>CC</v>
      </c>
      <c r="K150" s="19">
        <f>VLOOKUP(A150,'ESTADOS ESTUDIANTES'!B:L,11,0)</f>
        <v>80002834</v>
      </c>
      <c r="L150" s="23"/>
      <c r="M150" s="20"/>
      <c r="N150" s="22"/>
      <c r="O150" s="15"/>
      <c r="P150" s="15"/>
      <c r="Q150" s="15"/>
      <c r="R150" s="15"/>
      <c r="S150" s="15"/>
      <c r="T150" s="15"/>
      <c r="U150" s="15"/>
    </row>
    <row r="151" spans="1:21" ht="90">
      <c r="A151" s="17">
        <v>20051295020</v>
      </c>
      <c r="B151" s="19" t="str">
        <f>VLOOKUP(A151,'ESTADOS ESTUDIANTES'!B:L,2,0)</f>
        <v>VARGAS CORREDOR ANDREWS EDUARDO</v>
      </c>
      <c r="C151" s="19">
        <f>VLOOKUP(A151,'ESTADOS ESTUDIANTES'!B:L,3,0)</f>
        <v>295</v>
      </c>
      <c r="D151" s="66" t="str">
        <f>VLOOKUP(A151,'ESTADOS ESTUDIANTES'!B:L,4,0)</f>
        <v>MAE. EN CIENCIAS DE LA INF. Y LAS COMUNICACIONES ENFASIS EN SIS. INFOR</v>
      </c>
      <c r="E151" s="19" t="str">
        <f>VLOOKUP(A151,'ESTADOS ESTUDIANTES'!B:L,5,0)</f>
        <v>X</v>
      </c>
      <c r="F151" s="18" t="str">
        <f>VLOOKUP(E151,Listas!B1:C1004,2,0)</f>
        <v>EXCLUIDO</v>
      </c>
      <c r="G151" s="19" t="str">
        <f>VLOOKUP(A151,'ESTADOS ESTUDIANTES'!B:L,7,0)</f>
        <v>NO REGISTRA</v>
      </c>
      <c r="H151" s="19">
        <f>VLOOKUP(A151,'ESTADOS ESTUDIANTES'!B:L,8,0)</f>
        <v>0</v>
      </c>
      <c r="I151" s="70">
        <f>VLOOKUP(A151,'ESTADOS ESTUDIANTES'!B:L,9,0)</f>
        <v>0</v>
      </c>
      <c r="J151" s="19" t="str">
        <f>VLOOKUP(A151,'ESTADOS ESTUDIANTES'!B:L,10,0)</f>
        <v>CC</v>
      </c>
      <c r="K151" s="19">
        <f>VLOOKUP(A151,'ESTADOS ESTUDIANTES'!B:L,11,0)</f>
        <v>79750363</v>
      </c>
      <c r="L151" s="23"/>
      <c r="M151" s="20"/>
      <c r="N151" s="22"/>
      <c r="O151" s="15"/>
      <c r="P151" s="15"/>
      <c r="Q151" s="15"/>
      <c r="R151" s="15"/>
      <c r="S151" s="15"/>
      <c r="T151" s="15"/>
      <c r="U151" s="15"/>
    </row>
    <row r="152" spans="1:21" ht="90">
      <c r="A152" s="17">
        <v>20052195001</v>
      </c>
      <c r="B152" s="19" t="str">
        <f>VLOOKUP(A152,'ESTADOS ESTUDIANTES'!B:L,2,0)</f>
        <v>BOLAÑOS SALAZAR MILTON CESAR</v>
      </c>
      <c r="C152" s="19">
        <f>VLOOKUP(A152,'ESTADOS ESTUDIANTES'!B:L,3,0)</f>
        <v>195</v>
      </c>
      <c r="D152" s="66" t="str">
        <f>VLOOKUP(A152,'ESTADOS ESTUDIANTES'!B:L,4,0)</f>
        <v>MAE. EN CIENCIAS DE LA INF. Y LAS COMUNICACIONES ENFASIS EN TELEINF.</v>
      </c>
      <c r="E152" s="19" t="str">
        <f>VLOOKUP(A152,'ESTADOS ESTUDIANTES'!B:L,5,0)</f>
        <v>X</v>
      </c>
      <c r="F152" s="18" t="str">
        <f>VLOOKUP(E152,Listas!B1:C1004,2,0)</f>
        <v>EXCLUIDO</v>
      </c>
      <c r="G152" s="19" t="str">
        <f>VLOOKUP(A152,'ESTADOS ESTUDIANTES'!B:L,7,0)</f>
        <v>NO REGISTRA</v>
      </c>
      <c r="H152" s="19">
        <f>VLOOKUP(A152,'ESTADOS ESTUDIANTES'!B:L,8,0)</f>
        <v>0</v>
      </c>
      <c r="I152" s="70">
        <f>VLOOKUP(A152,'ESTADOS ESTUDIANTES'!B:L,9,0)</f>
        <v>0</v>
      </c>
      <c r="J152" s="19" t="str">
        <f>VLOOKUP(A152,'ESTADOS ESTUDIANTES'!B:L,10,0)</f>
        <v>CC</v>
      </c>
      <c r="K152" s="19">
        <f>VLOOKUP(A152,'ESTADOS ESTUDIANTES'!B:L,11,0)</f>
        <v>79781420</v>
      </c>
      <c r="L152" s="23"/>
      <c r="M152" s="20"/>
      <c r="N152" s="22"/>
      <c r="O152" s="15"/>
      <c r="P152" s="15"/>
      <c r="Q152" s="15"/>
      <c r="R152" s="15"/>
      <c r="S152" s="15"/>
      <c r="T152" s="15"/>
      <c r="U152" s="15"/>
    </row>
    <row r="153" spans="1:21" ht="90">
      <c r="A153" s="17">
        <v>20052195002</v>
      </c>
      <c r="B153" s="19" t="str">
        <f>VLOOKUP(A153,'ESTADOS ESTUDIANTES'!B:L,2,0)</f>
        <v>BUITRAGO MONDRAGON PEDRO PABLO</v>
      </c>
      <c r="C153" s="19">
        <f>VLOOKUP(A153,'ESTADOS ESTUDIANTES'!B:L,3,0)</f>
        <v>195</v>
      </c>
      <c r="D153" s="66" t="str">
        <f>VLOOKUP(A153,'ESTADOS ESTUDIANTES'!B:L,4,0)</f>
        <v>MAE. EN CIENCIAS DE LA INF. Y LAS COMUNICACIONES ENFASIS EN TELEINF.</v>
      </c>
      <c r="E153" s="19" t="str">
        <f>VLOOKUP(A153,'ESTADOS ESTUDIANTES'!B:L,5,0)</f>
        <v>X</v>
      </c>
      <c r="F153" s="18" t="str">
        <f>VLOOKUP(E153,Listas!B1:C1004,2,0)</f>
        <v>EXCLUIDO</v>
      </c>
      <c r="G153" s="19" t="str">
        <f>VLOOKUP(A153,'ESTADOS ESTUDIANTES'!B:L,7,0)</f>
        <v>NO REGISTRA</v>
      </c>
      <c r="H153" s="19" t="str">
        <f>VLOOKUP(A153,'ESTADOS ESTUDIANTES'!B:L,8,0)</f>
        <v>ppbuitragom@correo.udistrital.edu.co</v>
      </c>
      <c r="I153" s="70" t="str">
        <f>VLOOKUP(A153,'ESTADOS ESTUDIANTES'!B:L,9,0)</f>
        <v>ppbuitragom@estudiante.udistrital.edu.co</v>
      </c>
      <c r="J153" s="19" t="str">
        <f>VLOOKUP(A153,'ESTADOS ESTUDIANTES'!B:L,10,0)</f>
        <v>CC</v>
      </c>
      <c r="K153" s="19">
        <f>VLOOKUP(A153,'ESTADOS ESTUDIANTES'!B:L,11,0)</f>
        <v>79655184</v>
      </c>
      <c r="L153" s="23"/>
      <c r="M153" s="20"/>
      <c r="N153" s="22"/>
      <c r="O153" s="15"/>
      <c r="P153" s="15"/>
      <c r="Q153" s="15"/>
      <c r="R153" s="15"/>
      <c r="S153" s="15"/>
      <c r="T153" s="15"/>
      <c r="U153" s="15"/>
    </row>
    <row r="154" spans="1:21" ht="90">
      <c r="A154" s="17">
        <v>20052195003</v>
      </c>
      <c r="B154" s="19" t="str">
        <f>VLOOKUP(A154,'ESTADOS ESTUDIANTES'!B:L,2,0)</f>
        <v>CHICO VARGAS DIANA CAROLINA</v>
      </c>
      <c r="C154" s="19">
        <f>VLOOKUP(A154,'ESTADOS ESTUDIANTES'!B:L,3,0)</f>
        <v>195</v>
      </c>
      <c r="D154" s="66" t="str">
        <f>VLOOKUP(A154,'ESTADOS ESTUDIANTES'!B:L,4,0)</f>
        <v>MAE. EN CIENCIAS DE LA INF. Y LAS COMUNICACIONES ENFASIS EN TELEINF.</v>
      </c>
      <c r="E154" s="19" t="str">
        <f>VLOOKUP(A154,'ESTADOS ESTUDIANTES'!B:L,5,0)</f>
        <v>X</v>
      </c>
      <c r="F154" s="18" t="str">
        <f>VLOOKUP(E154,Listas!B1:C1004,2,0)</f>
        <v>EXCLUIDO</v>
      </c>
      <c r="G154" s="19" t="str">
        <f>VLOOKUP(A154,'ESTADOS ESTUDIANTES'!B:L,7,0)</f>
        <v>NO REGISTRA</v>
      </c>
      <c r="H154" s="19" t="str">
        <f>VLOOKUP(A154,'ESTADOS ESTUDIANTES'!B:L,8,0)</f>
        <v>dcchicov@correo.udistrital.edu.co</v>
      </c>
      <c r="I154" s="70" t="str">
        <f>VLOOKUP(A154,'ESTADOS ESTUDIANTES'!B:L,9,0)</f>
        <v>dcchicov@estudiante.udistrital.edu.co</v>
      </c>
      <c r="J154" s="19" t="str">
        <f>VLOOKUP(A154,'ESTADOS ESTUDIANTES'!B:L,10,0)</f>
        <v>CC</v>
      </c>
      <c r="K154" s="19">
        <f>VLOOKUP(A154,'ESTADOS ESTUDIANTES'!B:L,11,0)</f>
        <v>52737272</v>
      </c>
      <c r="L154" s="23"/>
      <c r="M154" s="20"/>
      <c r="N154" s="22"/>
      <c r="O154" s="15"/>
      <c r="P154" s="15"/>
      <c r="Q154" s="15"/>
      <c r="R154" s="15"/>
      <c r="S154" s="15"/>
      <c r="T154" s="15"/>
      <c r="U154" s="15"/>
    </row>
    <row r="155" spans="1:21" ht="90">
      <c r="A155" s="17">
        <v>20052195004</v>
      </c>
      <c r="B155" s="19" t="str">
        <f>VLOOKUP(A155,'ESTADOS ESTUDIANTES'!B:L,2,0)</f>
        <v>CLAVIJO CASTRO LUIS GABRIEL</v>
      </c>
      <c r="C155" s="19">
        <f>VLOOKUP(A155,'ESTADOS ESTUDIANTES'!B:L,3,0)</f>
        <v>195</v>
      </c>
      <c r="D155" s="66" t="str">
        <f>VLOOKUP(A155,'ESTADOS ESTUDIANTES'!B:L,4,0)</f>
        <v>MAE. EN CIENCIAS DE LA INF. Y LAS COMUNICACIONES ENFASIS EN TELEINF.</v>
      </c>
      <c r="E155" s="19" t="str">
        <f>VLOOKUP(A155,'ESTADOS ESTUDIANTES'!B:L,5,0)</f>
        <v>X</v>
      </c>
      <c r="F155" s="18" t="str">
        <f>VLOOKUP(E155,Listas!B1:C1004,2,0)</f>
        <v>EXCLUIDO</v>
      </c>
      <c r="G155" s="19" t="str">
        <f>VLOOKUP(A155,'ESTADOS ESTUDIANTES'!B:L,7,0)</f>
        <v>NO REGISTRA</v>
      </c>
      <c r="H155" s="19" t="str">
        <f>VLOOKUP(A155,'ESTADOS ESTUDIANTES'!B:L,8,0)</f>
        <v>lgclavijoc@correo.udistrital.edu.co</v>
      </c>
      <c r="I155" s="70" t="str">
        <f>VLOOKUP(A155,'ESTADOS ESTUDIANTES'!B:L,9,0)</f>
        <v>lgclavijoc@estudiante.udistrital.edu.co</v>
      </c>
      <c r="J155" s="19" t="str">
        <f>VLOOKUP(A155,'ESTADOS ESTUDIANTES'!B:L,10,0)</f>
        <v>CC</v>
      </c>
      <c r="K155" s="19">
        <f>VLOOKUP(A155,'ESTADOS ESTUDIANTES'!B:L,11,0)</f>
        <v>79972126</v>
      </c>
      <c r="L155" s="23"/>
      <c r="M155" s="20"/>
      <c r="N155" s="22"/>
      <c r="O155" s="15"/>
      <c r="P155" s="15"/>
      <c r="Q155" s="15"/>
      <c r="R155" s="15"/>
      <c r="S155" s="15"/>
      <c r="T155" s="15"/>
      <c r="U155" s="15"/>
    </row>
    <row r="156" spans="1:21" ht="90">
      <c r="A156" s="17">
        <v>20052195005</v>
      </c>
      <c r="B156" s="19" t="str">
        <f>VLOOKUP(A156,'ESTADOS ESTUDIANTES'!B:L,2,0)</f>
        <v>COBA TORRES OSBEY ROBERTO</v>
      </c>
      <c r="C156" s="19">
        <f>VLOOKUP(A156,'ESTADOS ESTUDIANTES'!B:L,3,0)</f>
        <v>195</v>
      </c>
      <c r="D156" s="66" t="str">
        <f>VLOOKUP(A156,'ESTADOS ESTUDIANTES'!B:L,4,0)</f>
        <v>MAE. EN CIENCIAS DE LA INF. Y LAS COMUNICACIONES ENFASIS EN TELEINF.</v>
      </c>
      <c r="E156" s="19" t="str">
        <f>VLOOKUP(A156,'ESTADOS ESTUDIANTES'!B:L,5,0)</f>
        <v>X</v>
      </c>
      <c r="F156" s="18" t="str">
        <f>VLOOKUP(E156,Listas!B1:C1004,2,0)</f>
        <v>EXCLUIDO</v>
      </c>
      <c r="G156" s="19" t="str">
        <f>VLOOKUP(A156,'ESTADOS ESTUDIANTES'!B:L,7,0)</f>
        <v>NO REGISTRA</v>
      </c>
      <c r="H156" s="19" t="str">
        <f>VLOOKUP(A156,'ESTADOS ESTUDIANTES'!B:L,8,0)</f>
        <v>orcobat@correo.udistrital.edu.co</v>
      </c>
      <c r="I156" s="70" t="str">
        <f>VLOOKUP(A156,'ESTADOS ESTUDIANTES'!B:L,9,0)</f>
        <v>orcobat@estudiante.udistrital.edu.co</v>
      </c>
      <c r="J156" s="19" t="str">
        <f>VLOOKUP(A156,'ESTADOS ESTUDIANTES'!B:L,10,0)</f>
        <v>CC</v>
      </c>
      <c r="K156" s="19">
        <f>VLOOKUP(A156,'ESTADOS ESTUDIANTES'!B:L,11,0)</f>
        <v>84089025</v>
      </c>
      <c r="L156" s="23"/>
      <c r="M156" s="20"/>
      <c r="N156" s="22"/>
      <c r="O156" s="15"/>
      <c r="P156" s="15"/>
      <c r="Q156" s="15"/>
      <c r="R156" s="15"/>
      <c r="S156" s="15"/>
      <c r="T156" s="15"/>
      <c r="U156" s="15"/>
    </row>
    <row r="157" spans="1:21" ht="90">
      <c r="A157" s="17">
        <v>20052195006</v>
      </c>
      <c r="B157" s="19" t="str">
        <f>VLOOKUP(A157,'ESTADOS ESTUDIANTES'!B:L,2,0)</f>
        <v>HENAO PILPUD JOHN EDUARD</v>
      </c>
      <c r="C157" s="19">
        <f>VLOOKUP(A157,'ESTADOS ESTUDIANTES'!B:L,3,0)</f>
        <v>195</v>
      </c>
      <c r="D157" s="66" t="str">
        <f>VLOOKUP(A157,'ESTADOS ESTUDIANTES'!B:L,4,0)</f>
        <v>MAE. EN CIENCIAS DE LA INF. Y LAS COMUNICACIONES ENFASIS EN TELEINF.</v>
      </c>
      <c r="E157" s="19" t="str">
        <f>VLOOKUP(A157,'ESTADOS ESTUDIANTES'!B:L,5,0)</f>
        <v>X</v>
      </c>
      <c r="F157" s="18" t="str">
        <f>VLOOKUP(E157,Listas!B1:C1004,2,0)</f>
        <v>EXCLUIDO</v>
      </c>
      <c r="G157" s="19" t="str">
        <f>VLOOKUP(A157,'ESTADOS ESTUDIANTES'!B:L,7,0)</f>
        <v>NO REGISTRA</v>
      </c>
      <c r="H157" s="19" t="str">
        <f>VLOOKUP(A157,'ESTADOS ESTUDIANTES'!B:L,8,0)</f>
        <v>jehenaop@correo.udistrital.edu.co</v>
      </c>
      <c r="I157" s="70" t="str">
        <f>VLOOKUP(A157,'ESTADOS ESTUDIANTES'!B:L,9,0)</f>
        <v>jehenaop@estudiante.udistrital.edu.co</v>
      </c>
      <c r="J157" s="19" t="str">
        <f>VLOOKUP(A157,'ESTADOS ESTUDIANTES'!B:L,10,0)</f>
        <v>CC</v>
      </c>
      <c r="K157" s="19">
        <f>VLOOKUP(A157,'ESTADOS ESTUDIANTES'!B:L,11,0)</f>
        <v>79125668</v>
      </c>
      <c r="L157" s="23"/>
      <c r="M157" s="20"/>
      <c r="N157" s="22"/>
      <c r="O157" s="15"/>
      <c r="P157" s="15"/>
      <c r="Q157" s="15"/>
      <c r="R157" s="15"/>
      <c r="S157" s="15"/>
      <c r="T157" s="15"/>
      <c r="U157" s="15"/>
    </row>
    <row r="158" spans="1:21" ht="90">
      <c r="A158" s="17">
        <v>20052195007</v>
      </c>
      <c r="B158" s="19" t="str">
        <f>VLOOKUP(A158,'ESTADOS ESTUDIANTES'!B:L,2,0)</f>
        <v>LUNA CASTAÑEDA JOSE MAURICIO</v>
      </c>
      <c r="C158" s="19">
        <f>VLOOKUP(A158,'ESTADOS ESTUDIANTES'!B:L,3,0)</f>
        <v>195</v>
      </c>
      <c r="D158" s="66" t="str">
        <f>VLOOKUP(A158,'ESTADOS ESTUDIANTES'!B:L,4,0)</f>
        <v>MAE. EN CIENCIAS DE LA INF. Y LAS COMUNICACIONES ENFASIS EN TELEINF.</v>
      </c>
      <c r="E158" s="19" t="str">
        <f>VLOOKUP(A158,'ESTADOS ESTUDIANTES'!B:L,5,0)</f>
        <v>X</v>
      </c>
      <c r="F158" s="18" t="str">
        <f>VLOOKUP(E158,Listas!B1:C1004,2,0)</f>
        <v>EXCLUIDO</v>
      </c>
      <c r="G158" s="19" t="str">
        <f>VLOOKUP(A158,'ESTADOS ESTUDIANTES'!B:L,7,0)</f>
        <v>NO REGISTRA</v>
      </c>
      <c r="H158" s="19" t="str">
        <f>VLOOKUP(A158,'ESTADOS ESTUDIANTES'!B:L,8,0)</f>
        <v>jomlunac@correo.udistrital.edu.co</v>
      </c>
      <c r="I158" s="70" t="str">
        <f>VLOOKUP(A158,'ESTADOS ESTUDIANTES'!B:L,9,0)</f>
        <v>jomlunac@estudiante.udistrital.edu.co</v>
      </c>
      <c r="J158" s="19" t="str">
        <f>VLOOKUP(A158,'ESTADOS ESTUDIANTES'!B:L,10,0)</f>
        <v>CC</v>
      </c>
      <c r="K158" s="19">
        <f>VLOOKUP(A158,'ESTADOS ESTUDIANTES'!B:L,11,0)</f>
        <v>80092595</v>
      </c>
      <c r="L158" s="23"/>
      <c r="M158" s="20"/>
      <c r="N158" s="22"/>
      <c r="O158" s="15"/>
      <c r="P158" s="15"/>
      <c r="Q158" s="15"/>
      <c r="R158" s="15"/>
      <c r="S158" s="15"/>
      <c r="T158" s="15"/>
      <c r="U158" s="15"/>
    </row>
    <row r="159" spans="1:21" ht="90">
      <c r="A159" s="17">
        <v>20052195008</v>
      </c>
      <c r="B159" s="19" t="str">
        <f>VLOOKUP(A159,'ESTADOS ESTUDIANTES'!B:L,2,0)</f>
        <v>PERDOMO CHARRY CESAR ANDREY</v>
      </c>
      <c r="C159" s="19">
        <f>VLOOKUP(A159,'ESTADOS ESTUDIANTES'!B:L,3,0)</f>
        <v>195</v>
      </c>
      <c r="D159" s="66" t="str">
        <f>VLOOKUP(A159,'ESTADOS ESTUDIANTES'!B:L,4,0)</f>
        <v>MAE. EN CIENCIAS DE LA INF. Y LAS COMUNICACIONES ENFASIS EN TELEINF.</v>
      </c>
      <c r="E159" s="19" t="str">
        <f>VLOOKUP(A159,'ESTADOS ESTUDIANTES'!B:L,5,0)</f>
        <v>E</v>
      </c>
      <c r="F159" s="18" t="str">
        <f>VLOOKUP(E159,Listas!B1:C1004,2,0)</f>
        <v>EGRESADO</v>
      </c>
      <c r="G159" s="19" t="str">
        <f>VLOOKUP(A159,'ESTADOS ESTUDIANTES'!B:L,7,0)</f>
        <v>NO REGISTRA</v>
      </c>
      <c r="H159" s="19" t="str">
        <f>VLOOKUP(A159,'ESTADOS ESTUDIANTES'!B:L,8,0)</f>
        <v>cperdomo@udistrital.edu.co</v>
      </c>
      <c r="I159" s="70" t="str">
        <f>VLOOKUP(A159,'ESTADOS ESTUDIANTES'!B:L,9,0)</f>
        <v>CESAR.PERDOMO@GMAIL.COM</v>
      </c>
      <c r="J159" s="19" t="str">
        <f>VLOOKUP(A159,'ESTADOS ESTUDIANTES'!B:L,10,0)</f>
        <v>CC</v>
      </c>
      <c r="K159" s="19">
        <f>VLOOKUP(A159,'ESTADOS ESTUDIANTES'!B:L,11,0)</f>
        <v>7724669</v>
      </c>
      <c r="L159" s="23"/>
      <c r="M159" s="20"/>
      <c r="N159" s="22"/>
      <c r="O159" s="15"/>
      <c r="P159" s="15"/>
      <c r="Q159" s="15"/>
      <c r="R159" s="15"/>
      <c r="S159" s="15"/>
      <c r="T159" s="15"/>
      <c r="U159" s="15"/>
    </row>
    <row r="160" spans="1:21" ht="90">
      <c r="A160" s="17">
        <v>20052195009</v>
      </c>
      <c r="B160" s="19" t="str">
        <f>VLOOKUP(A160,'ESTADOS ESTUDIANTES'!B:L,2,0)</f>
        <v>QUIÑONEZ BONILLA FABIAN ALEXANDER</v>
      </c>
      <c r="C160" s="19">
        <f>VLOOKUP(A160,'ESTADOS ESTUDIANTES'!B:L,3,0)</f>
        <v>195</v>
      </c>
      <c r="D160" s="66" t="str">
        <f>VLOOKUP(A160,'ESTADOS ESTUDIANTES'!B:L,4,0)</f>
        <v>MAE. EN CIENCIAS DE LA INF. Y LAS COMUNICACIONES ENFASIS EN TELEINF.</v>
      </c>
      <c r="E160" s="19" t="str">
        <f>VLOOKUP(A160,'ESTADOS ESTUDIANTES'!B:L,5,0)</f>
        <v>X</v>
      </c>
      <c r="F160" s="18" t="str">
        <f>VLOOKUP(E160,Listas!B1:C1004,2,0)</f>
        <v>EXCLUIDO</v>
      </c>
      <c r="G160" s="19" t="str">
        <f>VLOOKUP(A160,'ESTADOS ESTUDIANTES'!B:L,7,0)</f>
        <v>NO REGISTRA</v>
      </c>
      <c r="H160" s="19" t="str">
        <f>VLOOKUP(A160,'ESTADOS ESTUDIANTES'!B:L,8,0)</f>
        <v>faquinonezb@correo.udistrital.edu.co</v>
      </c>
      <c r="I160" s="70" t="str">
        <f>VLOOKUP(A160,'ESTADOS ESTUDIANTES'!B:L,9,0)</f>
        <v>faquinonezb@estudiante.udistrital.edu.co</v>
      </c>
      <c r="J160" s="19" t="str">
        <f>VLOOKUP(A160,'ESTADOS ESTUDIANTES'!B:L,10,0)</f>
        <v>CC</v>
      </c>
      <c r="K160" s="19">
        <f>VLOOKUP(A160,'ESTADOS ESTUDIANTES'!B:L,11,0)</f>
        <v>4148955</v>
      </c>
      <c r="L160" s="23"/>
      <c r="M160" s="20"/>
      <c r="N160" s="22"/>
      <c r="O160" s="15"/>
      <c r="P160" s="15"/>
      <c r="Q160" s="15"/>
      <c r="R160" s="15"/>
      <c r="S160" s="15"/>
      <c r="T160" s="15"/>
      <c r="U160" s="15"/>
    </row>
    <row r="161" spans="1:21" ht="90">
      <c r="A161" s="17">
        <v>20052195010</v>
      </c>
      <c r="B161" s="19" t="str">
        <f>VLOOKUP(A161,'ESTADOS ESTUDIANTES'!B:L,2,0)</f>
        <v>RODRIGUEZ PIRATEQUE GERMAN</v>
      </c>
      <c r="C161" s="19">
        <f>VLOOKUP(A161,'ESTADOS ESTUDIANTES'!B:L,3,0)</f>
        <v>195</v>
      </c>
      <c r="D161" s="66" t="str">
        <f>VLOOKUP(A161,'ESTADOS ESTUDIANTES'!B:L,4,0)</f>
        <v>MAE. EN CIENCIAS DE LA INF. Y LAS COMUNICACIONES ENFASIS EN TELEINF.</v>
      </c>
      <c r="E161" s="19" t="str">
        <f>VLOOKUP(A161,'ESTADOS ESTUDIANTES'!B:L,5,0)</f>
        <v>X</v>
      </c>
      <c r="F161" s="18" t="str">
        <f>VLOOKUP(E161,Listas!B1:C1004,2,0)</f>
        <v>EXCLUIDO</v>
      </c>
      <c r="G161" s="19" t="str">
        <f>VLOOKUP(A161,'ESTADOS ESTUDIANTES'!B:L,7,0)</f>
        <v>NO REGISTRA</v>
      </c>
      <c r="H161" s="19">
        <f>VLOOKUP(A161,'ESTADOS ESTUDIANTES'!B:L,8,0)</f>
        <v>0</v>
      </c>
      <c r="I161" s="70">
        <f>VLOOKUP(A161,'ESTADOS ESTUDIANTES'!B:L,9,0)</f>
        <v>0</v>
      </c>
      <c r="J161" s="19" t="str">
        <f>VLOOKUP(A161,'ESTADOS ESTUDIANTES'!B:L,10,0)</f>
        <v>CC</v>
      </c>
      <c r="K161" s="19">
        <f>VLOOKUP(A161,'ESTADOS ESTUDIANTES'!B:L,11,0)</f>
        <v>80056621</v>
      </c>
      <c r="L161" s="23"/>
      <c r="M161" s="20"/>
      <c r="N161" s="22"/>
      <c r="O161" s="15"/>
      <c r="P161" s="15"/>
      <c r="Q161" s="15"/>
      <c r="R161" s="15"/>
      <c r="S161" s="15"/>
      <c r="T161" s="15"/>
      <c r="U161" s="15"/>
    </row>
    <row r="162" spans="1:21" ht="90">
      <c r="A162" s="17">
        <v>20052195011</v>
      </c>
      <c r="B162" s="19" t="str">
        <f>VLOOKUP(A162,'ESTADOS ESTUDIANTES'!B:L,2,0)</f>
        <v>TAPIA DUARTE LUCELLY</v>
      </c>
      <c r="C162" s="19">
        <f>VLOOKUP(A162,'ESTADOS ESTUDIANTES'!B:L,3,0)</f>
        <v>195</v>
      </c>
      <c r="D162" s="66" t="str">
        <f>VLOOKUP(A162,'ESTADOS ESTUDIANTES'!B:L,4,0)</f>
        <v>MAE. EN CIENCIAS DE LA INF. Y LAS COMUNICACIONES ENFASIS EN TELEINF.</v>
      </c>
      <c r="E162" s="19" t="str">
        <f>VLOOKUP(A162,'ESTADOS ESTUDIANTES'!B:L,5,0)</f>
        <v>X</v>
      </c>
      <c r="F162" s="18" t="str">
        <f>VLOOKUP(E162,Listas!B1:C1004,2,0)</f>
        <v>EXCLUIDO</v>
      </c>
      <c r="G162" s="19" t="str">
        <f>VLOOKUP(A162,'ESTADOS ESTUDIANTES'!B:L,7,0)</f>
        <v>NO REGISTRA</v>
      </c>
      <c r="H162" s="19" t="str">
        <f>VLOOKUP(A162,'ESTADOS ESTUDIANTES'!B:L,8,0)</f>
        <v>lutapiad@correo.udistrital.edu.co</v>
      </c>
      <c r="I162" s="70" t="str">
        <f>VLOOKUP(A162,'ESTADOS ESTUDIANTES'!B:L,9,0)</f>
        <v>lucelly_tap@yahoo.es</v>
      </c>
      <c r="J162" s="19" t="str">
        <f>VLOOKUP(A162,'ESTADOS ESTUDIANTES'!B:L,10,0)</f>
        <v>CC</v>
      </c>
      <c r="K162" s="19">
        <f>VLOOKUP(A162,'ESTADOS ESTUDIANTES'!B:L,11,0)</f>
        <v>30508698</v>
      </c>
      <c r="L162" s="23"/>
      <c r="M162" s="20"/>
      <c r="N162" s="22"/>
      <c r="O162" s="15"/>
      <c r="P162" s="15"/>
      <c r="Q162" s="15"/>
      <c r="R162" s="15"/>
      <c r="S162" s="15"/>
      <c r="T162" s="15"/>
      <c r="U162" s="15"/>
    </row>
    <row r="163" spans="1:21" ht="90">
      <c r="A163" s="17">
        <v>20052195012</v>
      </c>
      <c r="B163" s="19" t="str">
        <f>VLOOKUP(A163,'ESTADOS ESTUDIANTES'!B:L,2,0)</f>
        <v>PAULA ALEXANDRA VARGAS AGUILAR</v>
      </c>
      <c r="C163" s="19">
        <f>VLOOKUP(A163,'ESTADOS ESTUDIANTES'!B:L,3,0)</f>
        <v>195</v>
      </c>
      <c r="D163" s="66" t="str">
        <f>VLOOKUP(A163,'ESTADOS ESTUDIANTES'!B:L,4,0)</f>
        <v>MAE. EN CIENCIAS DE LA INF. Y LAS COMUNICACIONES ENFASIS EN TELEINF.</v>
      </c>
      <c r="E163" s="19" t="str">
        <f>VLOOKUP(A163,'ESTADOS ESTUDIANTES'!B:L,5,0)</f>
        <v>E</v>
      </c>
      <c r="F163" s="18" t="str">
        <f>VLOOKUP(E163,Listas!B1:C1004,2,0)</f>
        <v>EGRESADO</v>
      </c>
      <c r="G163" s="19">
        <f>VLOOKUP(A163,'ESTADOS ESTUDIANTES'!B:L,7,0)</f>
        <v>1</v>
      </c>
      <c r="H163" s="19" t="str">
        <f>VLOOKUP(A163,'ESTADOS ESTUDIANTES'!B:L,8,0)</f>
        <v>paavargasa@correo.udistrital.edu.co</v>
      </c>
      <c r="I163" s="70" t="str">
        <f>VLOOKUP(A163,'ESTADOS ESTUDIANTES'!B:L,9,0)</f>
        <v>pa20mk@gmail.com</v>
      </c>
      <c r="J163" s="19" t="str">
        <f>VLOOKUP(A163,'ESTADOS ESTUDIANTES'!B:L,10,0)</f>
        <v>CC</v>
      </c>
      <c r="K163" s="19">
        <f>VLOOKUP(A163,'ESTADOS ESTUDIANTES'!B:L,11,0)</f>
        <v>40048134</v>
      </c>
      <c r="L163" s="23"/>
      <c r="M163" s="20"/>
      <c r="N163" s="22"/>
      <c r="O163" s="15"/>
      <c r="P163" s="15"/>
      <c r="Q163" s="15"/>
      <c r="R163" s="15"/>
      <c r="S163" s="15"/>
      <c r="T163" s="15"/>
      <c r="U163" s="15"/>
    </row>
    <row r="164" spans="1:21" ht="90">
      <c r="A164" s="17">
        <v>20052295001</v>
      </c>
      <c r="B164" s="19" t="str">
        <f>VLOOKUP(A164,'ESTADOS ESTUDIANTES'!B:L,2,0)</f>
        <v>ACUÑA GARZON MARGOTH</v>
      </c>
      <c r="C164" s="19">
        <f>VLOOKUP(A164,'ESTADOS ESTUDIANTES'!B:L,3,0)</f>
        <v>295</v>
      </c>
      <c r="D164" s="66" t="str">
        <f>VLOOKUP(A164,'ESTADOS ESTUDIANTES'!B:L,4,0)</f>
        <v>MAE. EN CIENCIAS DE LA INF. Y LAS COMUNICACIONES ENFASIS EN SIS. INFOR</v>
      </c>
      <c r="E164" s="19" t="str">
        <f>VLOOKUP(A164,'ESTADOS ESTUDIANTES'!B:L,5,0)</f>
        <v>X</v>
      </c>
      <c r="F164" s="18" t="str">
        <f>VLOOKUP(E164,Listas!B1:C1004,2,0)</f>
        <v>EXCLUIDO</v>
      </c>
      <c r="G164" s="19" t="str">
        <f>VLOOKUP(A164,'ESTADOS ESTUDIANTES'!B:L,7,0)</f>
        <v>NO REGISTRA</v>
      </c>
      <c r="H164" s="19" t="str">
        <f>VLOOKUP(A164,'ESTADOS ESTUDIANTES'!B:L,8,0)</f>
        <v>macunag@correo.udistrital.edu.co</v>
      </c>
      <c r="I164" s="70" t="str">
        <f>VLOOKUP(A164,'ESTADOS ESTUDIANTES'!B:L,9,0)</f>
        <v>macunag@unal.edu.co</v>
      </c>
      <c r="J164" s="19" t="str">
        <f>VLOOKUP(A164,'ESTADOS ESTUDIANTES'!B:L,10,0)</f>
        <v>CC</v>
      </c>
      <c r="K164" s="19">
        <f>VLOOKUP(A164,'ESTADOS ESTUDIANTES'!B:L,11,0)</f>
        <v>52316031</v>
      </c>
      <c r="L164" s="23"/>
      <c r="M164" s="20"/>
      <c r="N164" s="22"/>
      <c r="O164" s="15"/>
      <c r="P164" s="15"/>
      <c r="Q164" s="15"/>
      <c r="R164" s="15"/>
      <c r="S164" s="15"/>
      <c r="T164" s="15"/>
      <c r="U164" s="15"/>
    </row>
    <row r="165" spans="1:21" ht="90">
      <c r="A165" s="17">
        <v>20052295002</v>
      </c>
      <c r="B165" s="19" t="str">
        <f>VLOOKUP(A165,'ESTADOS ESTUDIANTES'!B:L,2,0)</f>
        <v>BRAVO CISNEROS LUZ DARY</v>
      </c>
      <c r="C165" s="19">
        <f>VLOOKUP(A165,'ESTADOS ESTUDIANTES'!B:L,3,0)</f>
        <v>295</v>
      </c>
      <c r="D165" s="66" t="str">
        <f>VLOOKUP(A165,'ESTADOS ESTUDIANTES'!B:L,4,0)</f>
        <v>MAE. EN CIENCIAS DE LA INF. Y LAS COMUNICACIONES ENFASIS EN SIS. INFOR</v>
      </c>
      <c r="E165" s="19" t="str">
        <f>VLOOKUP(A165,'ESTADOS ESTUDIANTES'!B:L,5,0)</f>
        <v>X</v>
      </c>
      <c r="F165" s="18" t="str">
        <f>VLOOKUP(E165,Listas!B1:C1004,2,0)</f>
        <v>EXCLUIDO</v>
      </c>
      <c r="G165" s="19" t="str">
        <f>VLOOKUP(A165,'ESTADOS ESTUDIANTES'!B:L,7,0)</f>
        <v>NO REGISTRA</v>
      </c>
      <c r="H165" s="19">
        <f>VLOOKUP(A165,'ESTADOS ESTUDIANTES'!B:L,8,0)</f>
        <v>0</v>
      </c>
      <c r="I165" s="70">
        <f>VLOOKUP(A165,'ESTADOS ESTUDIANTES'!B:L,9,0)</f>
        <v>0</v>
      </c>
      <c r="J165" s="19" t="str">
        <f>VLOOKUP(A165,'ESTADOS ESTUDIANTES'!B:L,10,0)</f>
        <v>CC</v>
      </c>
      <c r="K165" s="19">
        <f>VLOOKUP(A165,'ESTADOS ESTUDIANTES'!B:L,11,0)</f>
        <v>40731600</v>
      </c>
      <c r="L165" s="23"/>
      <c r="M165" s="20"/>
      <c r="N165" s="22"/>
      <c r="O165" s="15"/>
      <c r="P165" s="15"/>
      <c r="Q165" s="15"/>
      <c r="R165" s="15"/>
      <c r="S165" s="15"/>
      <c r="T165" s="15"/>
      <c r="U165" s="15"/>
    </row>
    <row r="166" spans="1:21" ht="90">
      <c r="A166" s="17">
        <v>20052295003</v>
      </c>
      <c r="B166" s="19" t="str">
        <f>VLOOKUP(A166,'ESTADOS ESTUDIANTES'!B:L,2,0)</f>
        <v>DIAZ SEPULVEDA GEAN ALBERTO</v>
      </c>
      <c r="C166" s="19">
        <f>VLOOKUP(A166,'ESTADOS ESTUDIANTES'!B:L,3,0)</f>
        <v>295</v>
      </c>
      <c r="D166" s="66" t="str">
        <f>VLOOKUP(A166,'ESTADOS ESTUDIANTES'!B:L,4,0)</f>
        <v>MAE. EN CIENCIAS DE LA INF. Y LAS COMUNICACIONES ENFASIS EN SIS. INFOR</v>
      </c>
      <c r="E166" s="19" t="str">
        <f>VLOOKUP(A166,'ESTADOS ESTUDIANTES'!B:L,5,0)</f>
        <v>X</v>
      </c>
      <c r="F166" s="18" t="str">
        <f>VLOOKUP(E166,Listas!B1:C1004,2,0)</f>
        <v>EXCLUIDO</v>
      </c>
      <c r="G166" s="19" t="str">
        <f>VLOOKUP(A166,'ESTADOS ESTUDIANTES'!B:L,7,0)</f>
        <v>NO REGISTRA</v>
      </c>
      <c r="H166" s="19" t="str">
        <f>VLOOKUP(A166,'ESTADOS ESTUDIANTES'!B:L,8,0)</f>
        <v>adiazs@correo.udistrital.edu.co</v>
      </c>
      <c r="I166" s="70" t="str">
        <f>VLOOKUP(A166,'ESTADOS ESTUDIANTES'!B:L,9,0)</f>
        <v>adiazs@estudiante.udistrital.edu.co</v>
      </c>
      <c r="J166" s="19" t="str">
        <f>VLOOKUP(A166,'ESTADOS ESTUDIANTES'!B:L,10,0)</f>
        <v>CC</v>
      </c>
      <c r="K166" s="19">
        <f>VLOOKUP(A166,'ESTADOS ESTUDIANTES'!B:L,11,0)</f>
        <v>13541405</v>
      </c>
      <c r="L166" s="23"/>
      <c r="M166" s="20"/>
      <c r="N166" s="22"/>
      <c r="O166" s="15"/>
      <c r="P166" s="15"/>
      <c r="Q166" s="15"/>
      <c r="R166" s="15"/>
      <c r="S166" s="15"/>
      <c r="T166" s="15"/>
      <c r="U166" s="15"/>
    </row>
    <row r="167" spans="1:21" ht="90">
      <c r="A167" s="17">
        <v>20052295004</v>
      </c>
      <c r="B167" s="19" t="str">
        <f>VLOOKUP(A167,'ESTADOS ESTUDIANTES'!B:L,2,0)</f>
        <v>ESPINOSA OROZCO MARCOS</v>
      </c>
      <c r="C167" s="19">
        <f>VLOOKUP(A167,'ESTADOS ESTUDIANTES'!B:L,3,0)</f>
        <v>295</v>
      </c>
      <c r="D167" s="66" t="str">
        <f>VLOOKUP(A167,'ESTADOS ESTUDIANTES'!B:L,4,0)</f>
        <v>MAE. EN CIENCIAS DE LA INF. Y LAS COMUNICACIONES ENFASIS EN SIS. INFOR</v>
      </c>
      <c r="E167" s="19" t="str">
        <f>VLOOKUP(A167,'ESTADOS ESTUDIANTES'!B:L,5,0)</f>
        <v>X</v>
      </c>
      <c r="F167" s="18" t="str">
        <f>VLOOKUP(E167,Listas!B1:C1004,2,0)</f>
        <v>EXCLUIDO</v>
      </c>
      <c r="G167" s="19" t="str">
        <f>VLOOKUP(A167,'ESTADOS ESTUDIANTES'!B:L,7,0)</f>
        <v>NO REGISTRA</v>
      </c>
      <c r="H167" s="19" t="str">
        <f>VLOOKUP(A167,'ESTADOS ESTUDIANTES'!B:L,8,0)</f>
        <v>mespinosao@correo.udistrital.edu.co</v>
      </c>
      <c r="I167" s="70" t="str">
        <f>VLOOKUP(A167,'ESTADOS ESTUDIANTES'!B:L,9,0)</f>
        <v>mespinos@hotmail.com</v>
      </c>
      <c r="J167" s="19" t="str">
        <f>VLOOKUP(A167,'ESTADOS ESTUDIANTES'!B:L,10,0)</f>
        <v>CC</v>
      </c>
      <c r="K167" s="19">
        <f>VLOOKUP(A167,'ESTADOS ESTUDIANTES'!B:L,11,0)</f>
        <v>77029142</v>
      </c>
      <c r="L167" s="23"/>
      <c r="M167" s="20"/>
      <c r="N167" s="22"/>
      <c r="O167" s="15"/>
      <c r="P167" s="15"/>
      <c r="Q167" s="15"/>
      <c r="R167" s="15"/>
      <c r="S167" s="15"/>
      <c r="T167" s="15"/>
      <c r="U167" s="15"/>
    </row>
    <row r="168" spans="1:21" ht="90">
      <c r="A168" s="17">
        <v>20052295005</v>
      </c>
      <c r="B168" s="19" t="str">
        <f>VLOOKUP(A168,'ESTADOS ESTUDIANTES'!B:L,2,0)</f>
        <v>FREILE BALDOVINO JOSE ROBERTO</v>
      </c>
      <c r="C168" s="19">
        <f>VLOOKUP(A168,'ESTADOS ESTUDIANTES'!B:L,3,0)</f>
        <v>295</v>
      </c>
      <c r="D168" s="66" t="str">
        <f>VLOOKUP(A168,'ESTADOS ESTUDIANTES'!B:L,4,0)</f>
        <v>MAE. EN CIENCIAS DE LA INF. Y LAS COMUNICACIONES ENFASIS EN SIS. INFOR</v>
      </c>
      <c r="E168" s="19" t="str">
        <f>VLOOKUP(A168,'ESTADOS ESTUDIANTES'!B:L,5,0)</f>
        <v>E</v>
      </c>
      <c r="F168" s="18" t="str">
        <f>VLOOKUP(E168,Listas!B1:C1004,2,0)</f>
        <v>EGRESADO</v>
      </c>
      <c r="G168" s="19" t="str">
        <f>VLOOKUP(A168,'ESTADOS ESTUDIANTES'!B:L,7,0)</f>
        <v>NO REGISTRA</v>
      </c>
      <c r="H168" s="19" t="str">
        <f>VLOOKUP(A168,'ESTADOS ESTUDIANTES'!B:L,8,0)</f>
        <v>jfreidev@correo.udistrital.edu.co</v>
      </c>
      <c r="I168" s="70" t="str">
        <f>VLOOKUP(A168,'ESTADOS ESTUDIANTES'!B:L,9,0)</f>
        <v>ing_freile@hotmail.com</v>
      </c>
      <c r="J168" s="19" t="str">
        <f>VLOOKUP(A168,'ESTADOS ESTUDIANTES'!B:L,10,0)</f>
        <v>CC</v>
      </c>
      <c r="K168" s="19">
        <f>VLOOKUP(A168,'ESTADOS ESTUDIANTES'!B:L,11,0)</f>
        <v>9024962</v>
      </c>
      <c r="L168" s="23"/>
      <c r="M168" s="20"/>
      <c r="N168" s="22"/>
      <c r="O168" s="15"/>
      <c r="P168" s="15"/>
      <c r="Q168" s="15"/>
      <c r="R168" s="15"/>
      <c r="S168" s="15"/>
      <c r="T168" s="15"/>
      <c r="U168" s="15"/>
    </row>
    <row r="169" spans="1:21" ht="90">
      <c r="A169" s="17">
        <v>20052295006</v>
      </c>
      <c r="B169" s="19" t="str">
        <f>VLOOKUP(A169,'ESTADOS ESTUDIANTES'!B:L,2,0)</f>
        <v>GARCIA BALAGUERRA VIVIANA</v>
      </c>
      <c r="C169" s="19">
        <f>VLOOKUP(A169,'ESTADOS ESTUDIANTES'!B:L,3,0)</f>
        <v>295</v>
      </c>
      <c r="D169" s="66" t="str">
        <f>VLOOKUP(A169,'ESTADOS ESTUDIANTES'!B:L,4,0)</f>
        <v>MAE. EN CIENCIAS DE LA INF. Y LAS COMUNICACIONES ENFASIS EN SIS. INFOR</v>
      </c>
      <c r="E169" s="19" t="str">
        <f>VLOOKUP(A169,'ESTADOS ESTUDIANTES'!B:L,5,0)</f>
        <v>X</v>
      </c>
      <c r="F169" s="18" t="str">
        <f>VLOOKUP(E169,Listas!B1:C1004,2,0)</f>
        <v>EXCLUIDO</v>
      </c>
      <c r="G169" s="19" t="str">
        <f>VLOOKUP(A169,'ESTADOS ESTUDIANTES'!B:L,7,0)</f>
        <v>NO REGISTRA</v>
      </c>
      <c r="H169" s="19" t="str">
        <f>VLOOKUP(A169,'ESTADOS ESTUDIANTES'!B:L,8,0)</f>
        <v>vgarciab@correo.udistrital.edu.co</v>
      </c>
      <c r="I169" s="70" t="str">
        <f>VLOOKUP(A169,'ESTADOS ESTUDIANTES'!B:L,9,0)</f>
        <v>vgarciab@estudiante.udistrital.edu.co</v>
      </c>
      <c r="J169" s="19" t="str">
        <f>VLOOKUP(A169,'ESTADOS ESTUDIANTES'!B:L,10,0)</f>
        <v>CC</v>
      </c>
      <c r="K169" s="19">
        <f>VLOOKUP(A169,'ESTADOS ESTUDIANTES'!B:L,11,0)</f>
        <v>52437232</v>
      </c>
      <c r="L169" s="23"/>
      <c r="M169" s="20"/>
      <c r="N169" s="22"/>
      <c r="O169" s="15"/>
      <c r="P169" s="15"/>
      <c r="Q169" s="15"/>
      <c r="R169" s="15"/>
      <c r="S169" s="15"/>
      <c r="T169" s="15"/>
      <c r="U169" s="15"/>
    </row>
    <row r="170" spans="1:21" ht="90">
      <c r="A170" s="17">
        <v>20052295007</v>
      </c>
      <c r="B170" s="19" t="str">
        <f>VLOOKUP(A170,'ESTADOS ESTUDIANTES'!B:L,2,0)</f>
        <v>FRANCISCO JAVIER GUZMAN CIFUENTES</v>
      </c>
      <c r="C170" s="19">
        <f>VLOOKUP(A170,'ESTADOS ESTUDIANTES'!B:L,3,0)</f>
        <v>295</v>
      </c>
      <c r="D170" s="66" t="str">
        <f>VLOOKUP(A170,'ESTADOS ESTUDIANTES'!B:L,4,0)</f>
        <v>MAE. EN CIENCIAS DE LA INF. Y LAS COMUNICACIONES ENFASIS EN SIS. INFOR</v>
      </c>
      <c r="E170" s="19" t="str">
        <f>VLOOKUP(A170,'ESTADOS ESTUDIANTES'!B:L,5,0)</f>
        <v>E</v>
      </c>
      <c r="F170" s="18" t="str">
        <f>VLOOKUP(E170,Listas!B1:C1004,2,0)</f>
        <v>EGRESADO</v>
      </c>
      <c r="G170" s="19" t="str">
        <f>VLOOKUP(A170,'ESTADOS ESTUDIANTES'!B:L,7,0)</f>
        <v>NO REGISTRA</v>
      </c>
      <c r="H170" s="19" t="str">
        <f>VLOOKUP(A170,'ESTADOS ESTUDIANTES'!B:L,8,0)</f>
        <v>fjguarinc@correo.udistrital.edu.co</v>
      </c>
      <c r="I170" s="70" t="str">
        <f>VLOOKUP(A170,'ESTADOS ESTUDIANTES'!B:L,9,0)</f>
        <v>javier_guzman@ieee.org</v>
      </c>
      <c r="J170" s="19" t="str">
        <f>VLOOKUP(A170,'ESTADOS ESTUDIANTES'!B:L,10,0)</f>
        <v>CC</v>
      </c>
      <c r="K170" s="19">
        <f>VLOOKUP(A170,'ESTADOS ESTUDIANTES'!B:L,11,0)</f>
        <v>17330087</v>
      </c>
      <c r="L170" s="23"/>
      <c r="M170" s="20"/>
      <c r="N170" s="22"/>
      <c r="O170" s="15"/>
      <c r="P170" s="15"/>
      <c r="Q170" s="15"/>
      <c r="R170" s="15"/>
      <c r="S170" s="15"/>
      <c r="T170" s="15"/>
      <c r="U170" s="15"/>
    </row>
    <row r="171" spans="1:21" ht="90">
      <c r="A171" s="17">
        <v>20052295008</v>
      </c>
      <c r="B171" s="19" t="str">
        <f>VLOOKUP(A171,'ESTADOS ESTUDIANTES'!B:L,2,0)</f>
        <v>ORTIZ GONZALEZ JHON JARBY</v>
      </c>
      <c r="C171" s="19">
        <f>VLOOKUP(A171,'ESTADOS ESTUDIANTES'!B:L,3,0)</f>
        <v>295</v>
      </c>
      <c r="D171" s="66" t="str">
        <f>VLOOKUP(A171,'ESTADOS ESTUDIANTES'!B:L,4,0)</f>
        <v>MAE. EN CIENCIAS DE LA INF. Y LAS COMUNICACIONES ENFASIS EN SIS. INFOR</v>
      </c>
      <c r="E171" s="19" t="str">
        <f>VLOOKUP(A171,'ESTADOS ESTUDIANTES'!B:L,5,0)</f>
        <v>X</v>
      </c>
      <c r="F171" s="18" t="str">
        <f>VLOOKUP(E171,Listas!B1:C1004,2,0)</f>
        <v>EXCLUIDO</v>
      </c>
      <c r="G171" s="19" t="str">
        <f>VLOOKUP(A171,'ESTADOS ESTUDIANTES'!B:L,7,0)</f>
        <v>NO REGISTRA</v>
      </c>
      <c r="H171" s="19" t="str">
        <f>VLOOKUP(A171,'ESTADOS ESTUDIANTES'!B:L,8,0)</f>
        <v>jjortizg@correo.udistrital.edu.co</v>
      </c>
      <c r="I171" s="70" t="str">
        <f>VLOOKUP(A171,'ESTADOS ESTUDIANTES'!B:L,9,0)</f>
        <v>jjortizg@estudiante.udistrital.edu.co</v>
      </c>
      <c r="J171" s="19" t="str">
        <f>VLOOKUP(A171,'ESTADOS ESTUDIANTES'!B:L,10,0)</f>
        <v>CC</v>
      </c>
      <c r="K171" s="19">
        <f>VLOOKUP(A171,'ESTADOS ESTUDIANTES'!B:L,11,0)</f>
        <v>79756903</v>
      </c>
      <c r="L171" s="23"/>
      <c r="M171" s="20"/>
      <c r="N171" s="22"/>
      <c r="O171" s="15"/>
      <c r="P171" s="15"/>
      <c r="Q171" s="15"/>
      <c r="R171" s="15"/>
      <c r="S171" s="15"/>
      <c r="T171" s="15"/>
      <c r="U171" s="15"/>
    </row>
    <row r="172" spans="1:21" ht="90">
      <c r="A172" s="17">
        <v>20052295009</v>
      </c>
      <c r="B172" s="19" t="str">
        <f>VLOOKUP(A172,'ESTADOS ESTUDIANTES'!B:L,2,0)</f>
        <v>PEÑA SALGADO PIERRE AUGUSTO</v>
      </c>
      <c r="C172" s="19">
        <f>VLOOKUP(A172,'ESTADOS ESTUDIANTES'!B:L,3,0)</f>
        <v>295</v>
      </c>
      <c r="D172" s="66" t="str">
        <f>VLOOKUP(A172,'ESTADOS ESTUDIANTES'!B:L,4,0)</f>
        <v>MAE. EN CIENCIAS DE LA INF. Y LAS COMUNICACIONES ENFASIS EN SIS. INFOR</v>
      </c>
      <c r="E172" s="19" t="str">
        <f>VLOOKUP(A172,'ESTADOS ESTUDIANTES'!B:L,5,0)</f>
        <v>E</v>
      </c>
      <c r="F172" s="18" t="str">
        <f>VLOOKUP(E172,Listas!B1:C1004,2,0)</f>
        <v>EGRESADO</v>
      </c>
      <c r="G172" s="19" t="str">
        <f>VLOOKUP(A172,'ESTADOS ESTUDIANTES'!B:L,7,0)</f>
        <v>NO REGISTRA</v>
      </c>
      <c r="H172" s="19" t="str">
        <f>VLOOKUP(A172,'ESTADOS ESTUDIANTES'!B:L,8,0)</f>
        <v>piapenas@correo.udistrital.edu.co</v>
      </c>
      <c r="I172" s="70" t="str">
        <f>VLOOKUP(A172,'ESTADOS ESTUDIANTES'!B:L,9,0)</f>
        <v>piapenas@estudiante.udistrital.edu.co</v>
      </c>
      <c r="J172" s="19" t="str">
        <f>VLOOKUP(A172,'ESTADOS ESTUDIANTES'!B:L,10,0)</f>
        <v>CC</v>
      </c>
      <c r="K172" s="19">
        <f>VLOOKUP(A172,'ESTADOS ESTUDIANTES'!B:L,11,0)</f>
        <v>78674082</v>
      </c>
      <c r="L172" s="23"/>
      <c r="M172" s="20"/>
      <c r="N172" s="22"/>
      <c r="O172" s="15"/>
      <c r="P172" s="15"/>
      <c r="Q172" s="15"/>
      <c r="R172" s="15"/>
      <c r="S172" s="15"/>
      <c r="T172" s="15"/>
      <c r="U172" s="15"/>
    </row>
    <row r="173" spans="1:21" ht="90">
      <c r="A173" s="17">
        <v>20052295010</v>
      </c>
      <c r="B173" s="19" t="str">
        <f>VLOOKUP(A173,'ESTADOS ESTUDIANTES'!B:L,2,0)</f>
        <v>RENZA TORRES DIEGO</v>
      </c>
      <c r="C173" s="19">
        <f>VLOOKUP(A173,'ESTADOS ESTUDIANTES'!B:L,3,0)</f>
        <v>295</v>
      </c>
      <c r="D173" s="66" t="str">
        <f>VLOOKUP(A173,'ESTADOS ESTUDIANTES'!B:L,4,0)</f>
        <v>MAE. EN CIENCIAS DE LA INF. Y LAS COMUNICACIONES ENFASIS EN SIS. INFOR</v>
      </c>
      <c r="E173" s="19" t="str">
        <f>VLOOKUP(A173,'ESTADOS ESTUDIANTES'!B:L,5,0)</f>
        <v>X</v>
      </c>
      <c r="F173" s="18" t="str">
        <f>VLOOKUP(E173,Listas!B1:C1004,2,0)</f>
        <v>EXCLUIDO</v>
      </c>
      <c r="G173" s="19" t="str">
        <f>VLOOKUP(A173,'ESTADOS ESTUDIANTES'!B:L,7,0)</f>
        <v>NO REGISTRA</v>
      </c>
      <c r="H173" s="19">
        <f>VLOOKUP(A173,'ESTADOS ESTUDIANTES'!B:L,8,0)</f>
        <v>0</v>
      </c>
      <c r="I173" s="70">
        <f>VLOOKUP(A173,'ESTADOS ESTUDIANTES'!B:L,9,0)</f>
        <v>0</v>
      </c>
      <c r="J173" s="19" t="str">
        <f>VLOOKUP(A173,'ESTADOS ESTUDIANTES'!B:L,10,0)</f>
        <v>CC</v>
      </c>
      <c r="K173" s="19">
        <f>VLOOKUP(A173,'ESTADOS ESTUDIANTES'!B:L,11,0)</f>
        <v>12264767</v>
      </c>
      <c r="L173" s="23"/>
      <c r="M173" s="20"/>
      <c r="N173" s="22"/>
      <c r="O173" s="15"/>
      <c r="P173" s="15"/>
      <c r="Q173" s="15"/>
      <c r="R173" s="15"/>
      <c r="S173" s="15"/>
      <c r="T173" s="15"/>
      <c r="U173" s="15"/>
    </row>
    <row r="174" spans="1:21" ht="90">
      <c r="A174" s="17">
        <v>20052295011</v>
      </c>
      <c r="B174" s="19" t="str">
        <f>VLOOKUP(A174,'ESTADOS ESTUDIANTES'!B:L,2,0)</f>
        <v>SALAMANCA FAJARDO GABRIEL</v>
      </c>
      <c r="C174" s="19">
        <f>VLOOKUP(A174,'ESTADOS ESTUDIANTES'!B:L,3,0)</f>
        <v>295</v>
      </c>
      <c r="D174" s="66" t="str">
        <f>VLOOKUP(A174,'ESTADOS ESTUDIANTES'!B:L,4,0)</f>
        <v>MAE. EN CIENCIAS DE LA INF. Y LAS COMUNICACIONES ENFASIS EN SIS. INFOR</v>
      </c>
      <c r="E174" s="19" t="str">
        <f>VLOOKUP(A174,'ESTADOS ESTUDIANTES'!B:L,5,0)</f>
        <v>X</v>
      </c>
      <c r="F174" s="18" t="str">
        <f>VLOOKUP(E174,Listas!B1:C1004,2,0)</f>
        <v>EXCLUIDO</v>
      </c>
      <c r="G174" s="19" t="str">
        <f>VLOOKUP(A174,'ESTADOS ESTUDIANTES'!B:L,7,0)</f>
        <v>NO REGISTRA</v>
      </c>
      <c r="H174" s="19" t="str">
        <f>VLOOKUP(A174,'ESTADOS ESTUDIANTES'!B:L,8,0)</f>
        <v>gsalamancaf@correo.udistrital.edu.co</v>
      </c>
      <c r="I174" s="70" t="str">
        <f>VLOOKUP(A174,'ESTADOS ESTUDIANTES'!B:L,9,0)</f>
        <v>gsalamancaf@estudiante.udistrital.edu.co</v>
      </c>
      <c r="J174" s="19" t="str">
        <f>VLOOKUP(A174,'ESTADOS ESTUDIANTES'!B:L,10,0)</f>
        <v>CC</v>
      </c>
      <c r="K174" s="19">
        <f>VLOOKUP(A174,'ESTADOS ESTUDIANTES'!B:L,11,0)</f>
        <v>40610741</v>
      </c>
      <c r="L174" s="23"/>
      <c r="M174" s="20"/>
      <c r="N174" s="22"/>
      <c r="O174" s="15"/>
      <c r="P174" s="15"/>
      <c r="Q174" s="15"/>
      <c r="R174" s="15"/>
      <c r="S174" s="15"/>
      <c r="T174" s="15"/>
      <c r="U174" s="15"/>
    </row>
    <row r="175" spans="1:21" ht="90">
      <c r="A175" s="17">
        <v>20052295012</v>
      </c>
      <c r="B175" s="19" t="str">
        <f>VLOOKUP(A175,'ESTADOS ESTUDIANTES'!B:L,2,0)</f>
        <v>MOYA LOZANO ERWIN ENRIQUE</v>
      </c>
      <c r="C175" s="19">
        <f>VLOOKUP(A175,'ESTADOS ESTUDIANTES'!B:L,3,0)</f>
        <v>295</v>
      </c>
      <c r="D175" s="66" t="str">
        <f>VLOOKUP(A175,'ESTADOS ESTUDIANTES'!B:L,4,0)</f>
        <v>MAE. EN CIENCIAS DE LA INF. Y LAS COMUNICACIONES ENFASIS EN SIS. INFOR</v>
      </c>
      <c r="E175" s="19" t="str">
        <f>VLOOKUP(A175,'ESTADOS ESTUDIANTES'!B:L,5,0)</f>
        <v>X</v>
      </c>
      <c r="F175" s="18" t="str">
        <f>VLOOKUP(E175,Listas!B1:C1004,2,0)</f>
        <v>EXCLUIDO</v>
      </c>
      <c r="G175" s="19" t="str">
        <f>VLOOKUP(A175,'ESTADOS ESTUDIANTES'!B:L,7,0)</f>
        <v>NO REGISTRA</v>
      </c>
      <c r="H175" s="19" t="str">
        <f>VLOOKUP(A175,'ESTADOS ESTUDIANTES'!B:L,8,0)</f>
        <v>eemoyal@correo.udistrital.edu.co</v>
      </c>
      <c r="I175" s="70" t="str">
        <f>VLOOKUP(A175,'ESTADOS ESTUDIANTES'!B:L,9,0)</f>
        <v>erwloz@hotmail.com</v>
      </c>
      <c r="J175" s="19" t="str">
        <f>VLOOKUP(A175,'ESTADOS ESTUDIANTES'!B:L,10,0)</f>
        <v>CC</v>
      </c>
      <c r="K175" s="19">
        <f>VLOOKUP(A175,'ESTADOS ESTUDIANTES'!B:L,11,0)</f>
        <v>11791194</v>
      </c>
      <c r="L175" s="23"/>
      <c r="M175" s="20"/>
      <c r="N175" s="22"/>
      <c r="O175" s="15"/>
      <c r="P175" s="15"/>
      <c r="Q175" s="15"/>
      <c r="R175" s="15"/>
      <c r="S175" s="15"/>
      <c r="T175" s="15"/>
      <c r="U175" s="15"/>
    </row>
    <row r="176" spans="1:21" ht="90">
      <c r="A176" s="17">
        <v>20052295013</v>
      </c>
      <c r="B176" s="19" t="str">
        <f>VLOOKUP(A176,'ESTADOS ESTUDIANTES'!B:L,2,0)</f>
        <v>CAICEDO CAICEDO JULIO CESAR</v>
      </c>
      <c r="C176" s="19">
        <f>VLOOKUP(A176,'ESTADOS ESTUDIANTES'!B:L,3,0)</f>
        <v>295</v>
      </c>
      <c r="D176" s="66" t="str">
        <f>VLOOKUP(A176,'ESTADOS ESTUDIANTES'!B:L,4,0)</f>
        <v>MAE. EN CIENCIAS DE LA INF. Y LAS COMUNICACIONES ENFASIS EN SIS. INFOR</v>
      </c>
      <c r="E176" s="19" t="str">
        <f>VLOOKUP(A176,'ESTADOS ESTUDIANTES'!B:L,5,0)</f>
        <v>E</v>
      </c>
      <c r="F176" s="18" t="str">
        <f>VLOOKUP(E176,Listas!B1:C1004,2,0)</f>
        <v>EGRESADO</v>
      </c>
      <c r="G176" s="19" t="str">
        <f>VLOOKUP(A176,'ESTADOS ESTUDIANTES'!B:L,7,0)</f>
        <v>NO REGISTRA</v>
      </c>
      <c r="H176" s="19" t="str">
        <f>VLOOKUP(A176,'ESTADOS ESTUDIANTES'!B:L,8,0)</f>
        <v>jccaicedoc@correo.udistrital.edu.co</v>
      </c>
      <c r="I176" s="70" t="str">
        <f>VLOOKUP(A176,'ESTADOS ESTUDIANTES'!B:L,9,0)</f>
        <v>juliocaicedo@gmail.com</v>
      </c>
      <c r="J176" s="19" t="str">
        <f>VLOOKUP(A176,'ESTADOS ESTUDIANTES'!B:L,10,0)</f>
        <v>CC</v>
      </c>
      <c r="K176" s="19">
        <f>VLOOKUP(A176,'ESTADOS ESTUDIANTES'!B:L,11,0)</f>
        <v>94452462</v>
      </c>
      <c r="L176" s="23"/>
      <c r="M176" s="20"/>
      <c r="N176" s="22"/>
      <c r="O176" s="15"/>
      <c r="P176" s="15"/>
      <c r="Q176" s="15"/>
      <c r="R176" s="15"/>
      <c r="S176" s="15"/>
      <c r="T176" s="15"/>
      <c r="U176" s="15"/>
    </row>
    <row r="177" spans="1:21" ht="90">
      <c r="A177" s="17">
        <v>20052295014</v>
      </c>
      <c r="B177" s="19" t="str">
        <f>VLOOKUP(A177,'ESTADOS ESTUDIANTES'!B:L,2,0)</f>
        <v>VALDERRAMA MONCADA ORLANDO</v>
      </c>
      <c r="C177" s="19">
        <f>VLOOKUP(A177,'ESTADOS ESTUDIANTES'!B:L,3,0)</f>
        <v>295</v>
      </c>
      <c r="D177" s="66" t="str">
        <f>VLOOKUP(A177,'ESTADOS ESTUDIANTES'!B:L,4,0)</f>
        <v>MAE. EN CIENCIAS DE LA INF. Y LAS COMUNICACIONES ENFASIS EN SIS. INFOR</v>
      </c>
      <c r="E177" s="19" t="str">
        <f>VLOOKUP(A177,'ESTADOS ESTUDIANTES'!B:L,5,0)</f>
        <v>X</v>
      </c>
      <c r="F177" s="18" t="str">
        <f>VLOOKUP(E177,Listas!B1:C1004,2,0)</f>
        <v>EXCLUIDO</v>
      </c>
      <c r="G177" s="19" t="str">
        <f>VLOOKUP(A177,'ESTADOS ESTUDIANTES'!B:L,7,0)</f>
        <v>NO REGISTRA</v>
      </c>
      <c r="H177" s="19" t="str">
        <f>VLOOKUP(A177,'ESTADOS ESTUDIANTES'!B:L,8,0)</f>
        <v>ovalderramam@correo.udistrital.edu.co</v>
      </c>
      <c r="I177" s="70" t="str">
        <f>VLOOKUP(A177,'ESTADOS ESTUDIANTES'!B:L,9,0)</f>
        <v>ovalderramam@estudiante.udistrital.edu.co</v>
      </c>
      <c r="J177" s="19" t="str">
        <f>VLOOKUP(A177,'ESTADOS ESTUDIANTES'!B:L,10,0)</f>
        <v>CC</v>
      </c>
      <c r="K177" s="19">
        <f>VLOOKUP(A177,'ESTADOS ESTUDIANTES'!B:L,11,0)</f>
        <v>19151318</v>
      </c>
      <c r="L177" s="23"/>
      <c r="M177" s="20"/>
      <c r="N177" s="22"/>
      <c r="O177" s="15"/>
      <c r="P177" s="15"/>
      <c r="Q177" s="15"/>
      <c r="R177" s="15"/>
      <c r="S177" s="15"/>
      <c r="T177" s="15"/>
      <c r="U177" s="15"/>
    </row>
    <row r="178" spans="1:21" ht="90">
      <c r="A178" s="17">
        <v>20061195001</v>
      </c>
      <c r="B178" s="19" t="str">
        <f>VLOOKUP(A178,'ESTADOS ESTUDIANTES'!B:L,2,0)</f>
        <v>ARDILA SUAREZ ANDRES MAURICIO</v>
      </c>
      <c r="C178" s="19">
        <f>VLOOKUP(A178,'ESTADOS ESTUDIANTES'!B:L,3,0)</f>
        <v>195</v>
      </c>
      <c r="D178" s="66" t="str">
        <f>VLOOKUP(A178,'ESTADOS ESTUDIANTES'!B:L,4,0)</f>
        <v>MAE. EN CIENCIAS DE LA INF. Y LAS COMUNICACIONES ENFASIS EN TELEINF.</v>
      </c>
      <c r="E178" s="19" t="str">
        <f>VLOOKUP(A178,'ESTADOS ESTUDIANTES'!B:L,5,0)</f>
        <v>X</v>
      </c>
      <c r="F178" s="18" t="str">
        <f>VLOOKUP(E178,Listas!B1:C1004,2,0)</f>
        <v>EXCLUIDO</v>
      </c>
      <c r="G178" s="19" t="str">
        <f>VLOOKUP(A178,'ESTADOS ESTUDIANTES'!B:L,7,0)</f>
        <v>NO REGISTRA</v>
      </c>
      <c r="H178" s="19" t="str">
        <f>VLOOKUP(A178,'ESTADOS ESTUDIANTES'!B:L,8,0)</f>
        <v>amardilas@correo.udistrital.edu.co</v>
      </c>
      <c r="I178" s="70" t="str">
        <f>VLOOKUP(A178,'ESTADOS ESTUDIANTES'!B:L,9,0)</f>
        <v>amardilas@estudiante.udistrital.edu.co</v>
      </c>
      <c r="J178" s="19" t="str">
        <f>VLOOKUP(A178,'ESTADOS ESTUDIANTES'!B:L,10,0)</f>
        <v>CC</v>
      </c>
      <c r="K178" s="19">
        <f>VLOOKUP(A178,'ESTADOS ESTUDIANTES'!B:L,11,0)</f>
        <v>86066806</v>
      </c>
      <c r="L178" s="23"/>
      <c r="M178" s="20"/>
      <c r="N178" s="22"/>
      <c r="O178" s="15"/>
      <c r="P178" s="15"/>
      <c r="Q178" s="15"/>
      <c r="R178" s="15"/>
      <c r="S178" s="15"/>
      <c r="T178" s="15"/>
      <c r="U178" s="15"/>
    </row>
    <row r="179" spans="1:21" ht="90">
      <c r="A179" s="17">
        <v>20061195002</v>
      </c>
      <c r="B179" s="19" t="str">
        <f>VLOOKUP(A179,'ESTADOS ESTUDIANTES'!B:L,2,0)</f>
        <v>ARIAS BARRAGAN LUIS ALEJANDRO</v>
      </c>
      <c r="C179" s="19">
        <f>VLOOKUP(A179,'ESTADOS ESTUDIANTES'!B:L,3,0)</f>
        <v>195</v>
      </c>
      <c r="D179" s="66" t="str">
        <f>VLOOKUP(A179,'ESTADOS ESTUDIANTES'!B:L,4,0)</f>
        <v>MAE. EN CIENCIAS DE LA INF. Y LAS COMUNICACIONES ENFASIS EN TELEINF.</v>
      </c>
      <c r="E179" s="19" t="str">
        <f>VLOOKUP(A179,'ESTADOS ESTUDIANTES'!B:L,5,0)</f>
        <v>E</v>
      </c>
      <c r="F179" s="18" t="str">
        <f>VLOOKUP(E179,Listas!B1:C1004,2,0)</f>
        <v>EGRESADO</v>
      </c>
      <c r="G179" s="19" t="str">
        <f>VLOOKUP(A179,'ESTADOS ESTUDIANTES'!B:L,7,0)</f>
        <v>NO REGISTRA</v>
      </c>
      <c r="H179" s="19" t="str">
        <f>VLOOKUP(A179,'ESTADOS ESTUDIANTES'!B:L,8,0)</f>
        <v>laariasb@correo.udistrital.edu.co</v>
      </c>
      <c r="I179" s="70" t="str">
        <f>VLOOKUP(A179,'ESTADOS ESTUDIANTES'!B:L,9,0)</f>
        <v>lincarias@yahoo.com</v>
      </c>
      <c r="J179" s="19" t="str">
        <f>VLOOKUP(A179,'ESTADOS ESTUDIANTES'!B:L,10,0)</f>
        <v>CC</v>
      </c>
      <c r="K179" s="19">
        <f>VLOOKUP(A179,'ESTADOS ESTUDIANTES'!B:L,11,0)</f>
        <v>10178313</v>
      </c>
      <c r="L179" s="23"/>
      <c r="M179" s="20"/>
      <c r="N179" s="22"/>
      <c r="O179" s="15"/>
      <c r="P179" s="15"/>
      <c r="Q179" s="15"/>
      <c r="R179" s="15"/>
      <c r="S179" s="15"/>
      <c r="T179" s="15"/>
      <c r="U179" s="15"/>
    </row>
    <row r="180" spans="1:21" ht="90">
      <c r="A180" s="17">
        <v>20061195003</v>
      </c>
      <c r="B180" s="19" t="str">
        <f>VLOOKUP(A180,'ESTADOS ESTUDIANTES'!B:L,2,0)</f>
        <v>AVILA ANGULO MIGUEL ANTONIO</v>
      </c>
      <c r="C180" s="19">
        <f>VLOOKUP(A180,'ESTADOS ESTUDIANTES'!B:L,3,0)</f>
        <v>195</v>
      </c>
      <c r="D180" s="66" t="str">
        <f>VLOOKUP(A180,'ESTADOS ESTUDIANTES'!B:L,4,0)</f>
        <v>MAE. EN CIENCIAS DE LA INF. Y LAS COMUNICACIONES ENFASIS EN TELEINF.</v>
      </c>
      <c r="E180" s="19" t="str">
        <f>VLOOKUP(A180,'ESTADOS ESTUDIANTES'!B:L,5,0)</f>
        <v>E</v>
      </c>
      <c r="F180" s="18" t="str">
        <f>VLOOKUP(E180,Listas!B1:C1004,2,0)</f>
        <v>EGRESADO</v>
      </c>
      <c r="G180" s="19">
        <f>VLOOKUP(A180,'ESTADOS ESTUDIANTES'!B:L,7,0)</f>
        <v>1</v>
      </c>
      <c r="H180" s="19" t="str">
        <f>VLOOKUP(A180,'ESTADOS ESTUDIANTES'!B:L,8,0)</f>
        <v>maavilaa@correo.udistrital.edu.co</v>
      </c>
      <c r="I180" s="70" t="str">
        <f>VLOOKUP(A180,'ESTADOS ESTUDIANTES'!B:L,9,0)</f>
        <v>maavilaa@estudiante.udistrital.edu.co</v>
      </c>
      <c r="J180" s="19" t="str">
        <f>VLOOKUP(A180,'ESTADOS ESTUDIANTES'!B:L,10,0)</f>
        <v>CC</v>
      </c>
      <c r="K180" s="19">
        <f>VLOOKUP(A180,'ESTADOS ESTUDIANTES'!B:L,11,0)</f>
        <v>79397454</v>
      </c>
      <c r="L180" s="23"/>
      <c r="M180" s="20"/>
      <c r="N180" s="22"/>
      <c r="O180" s="15"/>
      <c r="P180" s="15"/>
      <c r="Q180" s="15"/>
      <c r="R180" s="15"/>
      <c r="S180" s="15"/>
      <c r="T180" s="15"/>
      <c r="U180" s="15"/>
    </row>
    <row r="181" spans="1:21" ht="90">
      <c r="A181" s="17">
        <v>20061195004</v>
      </c>
      <c r="B181" s="19" t="str">
        <f>VLOOKUP(A181,'ESTADOS ESTUDIANTES'!B:L,2,0)</f>
        <v>CASTELLANOS ACUÑA HERMES ENRIQUE</v>
      </c>
      <c r="C181" s="19">
        <f>VLOOKUP(A181,'ESTADOS ESTUDIANTES'!B:L,3,0)</f>
        <v>195</v>
      </c>
      <c r="D181" s="66" t="str">
        <f>VLOOKUP(A181,'ESTADOS ESTUDIANTES'!B:L,4,0)</f>
        <v>MAE. EN CIENCIAS DE LA INF. Y LAS COMUNICACIONES ENFASIS EN TELEINF.</v>
      </c>
      <c r="E181" s="19" t="str">
        <f>VLOOKUP(A181,'ESTADOS ESTUDIANTES'!B:L,5,0)</f>
        <v>E</v>
      </c>
      <c r="F181" s="18" t="str">
        <f>VLOOKUP(E181,Listas!B1:C1004,2,0)</f>
        <v>EGRESADO</v>
      </c>
      <c r="G181" s="19">
        <f>VLOOKUP(A181,'ESTADOS ESTUDIANTES'!B:L,7,0)</f>
        <v>1</v>
      </c>
      <c r="H181" s="19" t="str">
        <f>VLOOKUP(A181,'ESTADOS ESTUDIANTES'!B:L,8,0)</f>
        <v>hecastellanosa@correo.udistrital.edu.co</v>
      </c>
      <c r="I181" s="70" t="str">
        <f>VLOOKUP(A181,'ESTADOS ESTUDIANTES'!B:L,9,0)</f>
        <v>hsajca@gmail.com</v>
      </c>
      <c r="J181" s="19" t="str">
        <f>VLOOKUP(A181,'ESTADOS ESTUDIANTES'!B:L,10,0)</f>
        <v>CC</v>
      </c>
      <c r="K181" s="19">
        <f>VLOOKUP(A181,'ESTADOS ESTUDIANTES'!B:L,11,0)</f>
        <v>8645703</v>
      </c>
      <c r="L181" s="23"/>
      <c r="M181" s="20"/>
      <c r="N181" s="22"/>
      <c r="O181" s="15"/>
      <c r="P181" s="15"/>
      <c r="Q181" s="15"/>
      <c r="R181" s="15"/>
      <c r="S181" s="15"/>
      <c r="T181" s="15"/>
      <c r="U181" s="15"/>
    </row>
    <row r="182" spans="1:21" ht="90">
      <c r="A182" s="17">
        <v>20061195005</v>
      </c>
      <c r="B182" s="19" t="str">
        <f>VLOOKUP(A182,'ESTADOS ESTUDIANTES'!B:L,2,0)</f>
        <v>CASTIBLANCO VILLAMIL LUIS EDUARDO</v>
      </c>
      <c r="C182" s="19">
        <f>VLOOKUP(A182,'ESTADOS ESTUDIANTES'!B:L,3,0)</f>
        <v>195</v>
      </c>
      <c r="D182" s="66" t="str">
        <f>VLOOKUP(A182,'ESTADOS ESTUDIANTES'!B:L,4,0)</f>
        <v>MAE. EN CIENCIAS DE LA INF. Y LAS COMUNICACIONES ENFASIS EN TELEINF.</v>
      </c>
      <c r="E182" s="19" t="str">
        <f>VLOOKUP(A182,'ESTADOS ESTUDIANTES'!B:L,5,0)</f>
        <v>X</v>
      </c>
      <c r="F182" s="18" t="str">
        <f>VLOOKUP(E182,Listas!B1:C1004,2,0)</f>
        <v>EXCLUIDO</v>
      </c>
      <c r="G182" s="19" t="str">
        <f>VLOOKUP(A182,'ESTADOS ESTUDIANTES'!B:L,7,0)</f>
        <v>NO REGISTRA</v>
      </c>
      <c r="H182" s="19" t="str">
        <f>VLOOKUP(A182,'ESTADOS ESTUDIANTES'!B:L,8,0)</f>
        <v>lecastiblancov@correo.udistrital.edu.co</v>
      </c>
      <c r="I182" s="70" t="str">
        <f>VLOOKUP(A182,'ESTADOS ESTUDIANTES'!B:L,9,0)</f>
        <v>lecastiblancov@estudiante.udistrital.edu.co</v>
      </c>
      <c r="J182" s="19" t="str">
        <f>VLOOKUP(A182,'ESTADOS ESTUDIANTES'!B:L,10,0)</f>
        <v>CC</v>
      </c>
      <c r="K182" s="19">
        <f>VLOOKUP(A182,'ESTADOS ESTUDIANTES'!B:L,11,0)</f>
        <v>79791942</v>
      </c>
      <c r="L182" s="23"/>
      <c r="M182" s="20"/>
      <c r="N182" s="22"/>
      <c r="O182" s="15"/>
      <c r="P182" s="15"/>
      <c r="Q182" s="15"/>
      <c r="R182" s="15"/>
      <c r="S182" s="15"/>
      <c r="T182" s="15"/>
      <c r="U182" s="15"/>
    </row>
    <row r="183" spans="1:21" ht="90">
      <c r="A183" s="17">
        <v>20061195006</v>
      </c>
      <c r="B183" s="19" t="str">
        <f>VLOOKUP(A183,'ESTADOS ESTUDIANTES'!B:L,2,0)</f>
        <v>DIAZ GARCIA CESAR AUGUSTO</v>
      </c>
      <c r="C183" s="19">
        <f>VLOOKUP(A183,'ESTADOS ESTUDIANTES'!B:L,3,0)</f>
        <v>195</v>
      </c>
      <c r="D183" s="66" t="str">
        <f>VLOOKUP(A183,'ESTADOS ESTUDIANTES'!B:L,4,0)</f>
        <v>MAE. EN CIENCIAS DE LA INF. Y LAS COMUNICACIONES ENFASIS EN TELEINF.</v>
      </c>
      <c r="E183" s="19" t="str">
        <f>VLOOKUP(A183,'ESTADOS ESTUDIANTES'!B:L,5,0)</f>
        <v>X</v>
      </c>
      <c r="F183" s="18" t="str">
        <f>VLOOKUP(E183,Listas!B1:C1004,2,0)</f>
        <v>EXCLUIDO</v>
      </c>
      <c r="G183" s="19" t="str">
        <f>VLOOKUP(A183,'ESTADOS ESTUDIANTES'!B:L,7,0)</f>
        <v>NO REGISTRA</v>
      </c>
      <c r="H183" s="19" t="str">
        <f>VLOOKUP(A183,'ESTADOS ESTUDIANTES'!B:L,8,0)</f>
        <v>ceadiazg@correo.udistrital.edu.co</v>
      </c>
      <c r="I183" s="70" t="str">
        <f>VLOOKUP(A183,'ESTADOS ESTUDIANTES'!B:L,9,0)</f>
        <v>cesar.diazga@unaula.edu.co</v>
      </c>
      <c r="J183" s="19" t="str">
        <f>VLOOKUP(A183,'ESTADOS ESTUDIANTES'!B:L,10,0)</f>
        <v>CC</v>
      </c>
      <c r="K183" s="19">
        <f>VLOOKUP(A183,'ESTADOS ESTUDIANTES'!B:L,11,0)</f>
        <v>93385564</v>
      </c>
      <c r="L183" s="23"/>
      <c r="M183" s="20"/>
      <c r="N183" s="22"/>
      <c r="O183" s="15"/>
      <c r="P183" s="15"/>
      <c r="Q183" s="15"/>
      <c r="R183" s="15"/>
      <c r="S183" s="15"/>
      <c r="T183" s="15"/>
      <c r="U183" s="15"/>
    </row>
    <row r="184" spans="1:21" ht="90">
      <c r="A184" s="17">
        <v>20061195007</v>
      </c>
      <c r="B184" s="19" t="str">
        <f>VLOOKUP(A184,'ESTADOS ESTUDIANTES'!B:L,2,0)</f>
        <v>JIMENEZ PINTO CLAUDIA</v>
      </c>
      <c r="C184" s="19">
        <f>VLOOKUP(A184,'ESTADOS ESTUDIANTES'!B:L,3,0)</f>
        <v>195</v>
      </c>
      <c r="D184" s="66" t="str">
        <f>VLOOKUP(A184,'ESTADOS ESTUDIANTES'!B:L,4,0)</f>
        <v>MAE. EN CIENCIAS DE LA INF. Y LAS COMUNICACIONES ENFASIS EN TELEINF.</v>
      </c>
      <c r="E184" s="19" t="str">
        <f>VLOOKUP(A184,'ESTADOS ESTUDIANTES'!B:L,5,0)</f>
        <v>X</v>
      </c>
      <c r="F184" s="18" t="str">
        <f>VLOOKUP(E184,Listas!B1:C1004,2,0)</f>
        <v>EXCLUIDO</v>
      </c>
      <c r="G184" s="19" t="str">
        <f>VLOOKUP(A184,'ESTADOS ESTUDIANTES'!B:L,7,0)</f>
        <v>NO REGISTRA</v>
      </c>
      <c r="H184" s="19" t="str">
        <f>VLOOKUP(A184,'ESTADOS ESTUDIANTES'!B:L,8,0)</f>
        <v>cjimenezp@correo.udistrital.edu.co</v>
      </c>
      <c r="I184" s="70" t="str">
        <f>VLOOKUP(A184,'ESTADOS ESTUDIANTES'!B:L,9,0)</f>
        <v>cjimenezp@estudiante.udistrital.edu.co</v>
      </c>
      <c r="J184" s="19" t="str">
        <f>VLOOKUP(A184,'ESTADOS ESTUDIANTES'!B:L,10,0)</f>
        <v>CC</v>
      </c>
      <c r="K184" s="19">
        <f>VLOOKUP(A184,'ESTADOS ESTUDIANTES'!B:L,11,0)</f>
        <v>52423352</v>
      </c>
      <c r="L184" s="23"/>
      <c r="M184" s="20"/>
      <c r="N184" s="22"/>
      <c r="O184" s="15"/>
      <c r="P184" s="15"/>
      <c r="Q184" s="15"/>
      <c r="R184" s="15"/>
      <c r="S184" s="15"/>
      <c r="T184" s="15"/>
      <c r="U184" s="15"/>
    </row>
    <row r="185" spans="1:21" ht="90">
      <c r="A185" s="17">
        <v>20061195008</v>
      </c>
      <c r="B185" s="19" t="str">
        <f>VLOOKUP(A185,'ESTADOS ESTUDIANTES'!B:L,2,0)</f>
        <v>LARA BELTRAN AGUSTIN</v>
      </c>
      <c r="C185" s="19">
        <f>VLOOKUP(A185,'ESTADOS ESTUDIANTES'!B:L,3,0)</f>
        <v>195</v>
      </c>
      <c r="D185" s="66" t="str">
        <f>VLOOKUP(A185,'ESTADOS ESTUDIANTES'!B:L,4,0)</f>
        <v>MAE. EN CIENCIAS DE LA INF. Y LAS COMUNICACIONES ENFASIS EN TELEINF.</v>
      </c>
      <c r="E185" s="19" t="str">
        <f>VLOOKUP(A185,'ESTADOS ESTUDIANTES'!B:L,5,0)</f>
        <v>X</v>
      </c>
      <c r="F185" s="18" t="str">
        <f>VLOOKUP(E185,Listas!B1:C1004,2,0)</f>
        <v>EXCLUIDO</v>
      </c>
      <c r="G185" s="19" t="str">
        <f>VLOOKUP(A185,'ESTADOS ESTUDIANTES'!B:L,7,0)</f>
        <v>NO REGISTRA</v>
      </c>
      <c r="H185" s="19" t="str">
        <f>VLOOKUP(A185,'ESTADOS ESTUDIANTES'!B:L,8,0)</f>
        <v>alarab@correo.udistrital.edu.co</v>
      </c>
      <c r="I185" s="70" t="str">
        <f>VLOOKUP(A185,'ESTADOS ESTUDIANTES'!B:L,9,0)</f>
        <v>alarab@estudiante.udistrital.edu.co</v>
      </c>
      <c r="J185" s="19" t="str">
        <f>VLOOKUP(A185,'ESTADOS ESTUDIANTES'!B:L,10,0)</f>
        <v>CC</v>
      </c>
      <c r="K185" s="19">
        <f>VLOOKUP(A185,'ESTADOS ESTUDIANTES'!B:L,11,0)</f>
        <v>79814029</v>
      </c>
      <c r="L185" s="23"/>
      <c r="M185" s="20"/>
      <c r="N185" s="22"/>
      <c r="O185" s="15"/>
      <c r="P185" s="15"/>
      <c r="Q185" s="15"/>
      <c r="R185" s="15"/>
      <c r="S185" s="15"/>
      <c r="T185" s="15"/>
      <c r="U185" s="15"/>
    </row>
    <row r="186" spans="1:21" ht="90">
      <c r="A186" s="17">
        <v>20061195009</v>
      </c>
      <c r="B186" s="19" t="str">
        <f>VLOOKUP(A186,'ESTADOS ESTUDIANTES'!B:L,2,0)</f>
        <v>MARTINEZ PEÑA FANNY LARITZA</v>
      </c>
      <c r="C186" s="19">
        <f>VLOOKUP(A186,'ESTADOS ESTUDIANTES'!B:L,3,0)</f>
        <v>195</v>
      </c>
      <c r="D186" s="66" t="str">
        <f>VLOOKUP(A186,'ESTADOS ESTUDIANTES'!B:L,4,0)</f>
        <v>MAE. EN CIENCIAS DE LA INF. Y LAS COMUNICACIONES ENFASIS EN TELEINF.</v>
      </c>
      <c r="E186" s="19" t="str">
        <f>VLOOKUP(A186,'ESTADOS ESTUDIANTES'!B:L,5,0)</f>
        <v>X</v>
      </c>
      <c r="F186" s="18" t="str">
        <f>VLOOKUP(E186,Listas!B1:C1004,2,0)</f>
        <v>EXCLUIDO</v>
      </c>
      <c r="G186" s="19" t="str">
        <f>VLOOKUP(A186,'ESTADOS ESTUDIANTES'!B:L,7,0)</f>
        <v>NO REGISTRA</v>
      </c>
      <c r="H186" s="19" t="str">
        <f>VLOOKUP(A186,'ESTADOS ESTUDIANTES'!B:L,8,0)</f>
        <v>flmartinezp@correo.udistrital.edu.co</v>
      </c>
      <c r="I186" s="70" t="str">
        <f>VLOOKUP(A186,'ESTADOS ESTUDIANTES'!B:L,9,0)</f>
        <v>fannylaritza@gmail.com</v>
      </c>
      <c r="J186" s="19" t="str">
        <f>VLOOKUP(A186,'ESTADOS ESTUDIANTES'!B:L,10,0)</f>
        <v>CC</v>
      </c>
      <c r="K186" s="19">
        <f>VLOOKUP(A186,'ESTADOS ESTUDIANTES'!B:L,11,0)</f>
        <v>52021307</v>
      </c>
      <c r="L186" s="23"/>
      <c r="M186" s="20"/>
      <c r="N186" s="22"/>
      <c r="O186" s="15"/>
      <c r="P186" s="15"/>
      <c r="Q186" s="15"/>
      <c r="R186" s="15"/>
      <c r="S186" s="15"/>
      <c r="T186" s="15"/>
      <c r="U186" s="15"/>
    </row>
    <row r="187" spans="1:21" ht="90">
      <c r="A187" s="17">
        <v>20061195010</v>
      </c>
      <c r="B187" s="19" t="str">
        <f>VLOOKUP(A187,'ESTADOS ESTUDIANTES'!B:L,2,0)</f>
        <v>HERNANDEZ MARIN JOSE FERNANDO</v>
      </c>
      <c r="C187" s="19">
        <f>VLOOKUP(A187,'ESTADOS ESTUDIANTES'!B:L,3,0)</f>
        <v>195</v>
      </c>
      <c r="D187" s="66" t="str">
        <f>VLOOKUP(A187,'ESTADOS ESTUDIANTES'!B:L,4,0)</f>
        <v>MAE. EN CIENCIAS DE LA INF. Y LAS COMUNICACIONES ENFASIS EN TELEINF.</v>
      </c>
      <c r="E187" s="19" t="str">
        <f>VLOOKUP(A187,'ESTADOS ESTUDIANTES'!B:L,5,0)</f>
        <v>X</v>
      </c>
      <c r="F187" s="18" t="str">
        <f>VLOOKUP(E187,Listas!B1:C1004,2,0)</f>
        <v>EXCLUIDO</v>
      </c>
      <c r="G187" s="19" t="str">
        <f>VLOOKUP(A187,'ESTADOS ESTUDIANTES'!B:L,7,0)</f>
        <v>NO REGISTRA</v>
      </c>
      <c r="H187" s="19" t="str">
        <f>VLOOKUP(A187,'ESTADOS ESTUDIANTES'!B:L,8,0)</f>
        <v>jfhernandezm@correo.udistrital.edu.co</v>
      </c>
      <c r="I187" s="70" t="str">
        <f>VLOOKUP(A187,'ESTADOS ESTUDIANTES'!B:L,9,0)</f>
        <v>jfhernandezm@udistrital.edu.co</v>
      </c>
      <c r="J187" s="19" t="str">
        <f>VLOOKUP(A187,'ESTADOS ESTUDIANTES'!B:L,10,0)</f>
        <v>CC</v>
      </c>
      <c r="K187" s="19">
        <f>VLOOKUP(A187,'ESTADOS ESTUDIANTES'!B:L,11,0)</f>
        <v>79907472</v>
      </c>
      <c r="L187" s="23"/>
      <c r="M187" s="20"/>
      <c r="N187" s="22"/>
      <c r="O187" s="15"/>
      <c r="P187" s="15"/>
      <c r="Q187" s="15"/>
      <c r="R187" s="15"/>
      <c r="S187" s="15"/>
      <c r="T187" s="15"/>
      <c r="U187" s="15"/>
    </row>
    <row r="188" spans="1:21" ht="90">
      <c r="A188" s="17">
        <v>20061195011</v>
      </c>
      <c r="B188" s="19" t="str">
        <f>VLOOKUP(A188,'ESTADOS ESTUDIANTES'!B:L,2,0)</f>
        <v>MOJICA CACERES JORGE ARTURO</v>
      </c>
      <c r="C188" s="19">
        <f>VLOOKUP(A188,'ESTADOS ESTUDIANTES'!B:L,3,0)</f>
        <v>195</v>
      </c>
      <c r="D188" s="66" t="str">
        <f>VLOOKUP(A188,'ESTADOS ESTUDIANTES'!B:L,4,0)</f>
        <v>MAE. EN CIENCIAS DE LA INF. Y LAS COMUNICACIONES ENFASIS EN TELEINF.</v>
      </c>
      <c r="E188" s="19" t="str">
        <f>VLOOKUP(A188,'ESTADOS ESTUDIANTES'!B:L,5,0)</f>
        <v>E</v>
      </c>
      <c r="F188" s="18" t="str">
        <f>VLOOKUP(E188,Listas!B1:C1004,2,0)</f>
        <v>EGRESADO</v>
      </c>
      <c r="G188" s="19">
        <f>VLOOKUP(A188,'ESTADOS ESTUDIANTES'!B:L,7,0)</f>
        <v>3</v>
      </c>
      <c r="H188" s="19" t="str">
        <f>VLOOKUP(A188,'ESTADOS ESTUDIANTES'!B:L,8,0)</f>
        <v>jamojicac@correo.udistrital.edu.co</v>
      </c>
      <c r="I188" s="70" t="str">
        <f>VLOOKUP(A188,'ESTADOS ESTUDIANTES'!B:L,9,0)</f>
        <v>arturomojica@gmail.com</v>
      </c>
      <c r="J188" s="19" t="str">
        <f>VLOOKUP(A188,'ESTADOS ESTUDIANTES'!B:L,10,0)</f>
        <v>CC</v>
      </c>
      <c r="K188" s="19">
        <f>VLOOKUP(A188,'ESTADOS ESTUDIANTES'!B:L,11,0)</f>
        <v>74181088</v>
      </c>
      <c r="L188" s="23"/>
      <c r="M188" s="20"/>
      <c r="N188" s="22"/>
      <c r="O188" s="15"/>
      <c r="P188" s="15"/>
      <c r="Q188" s="15"/>
      <c r="R188" s="15"/>
      <c r="S188" s="15"/>
      <c r="T188" s="15"/>
      <c r="U188" s="15"/>
    </row>
    <row r="189" spans="1:21" ht="90">
      <c r="A189" s="17">
        <v>20061195012</v>
      </c>
      <c r="B189" s="19" t="str">
        <f>VLOOKUP(A189,'ESTADOS ESTUDIANTES'!B:L,2,0)</f>
        <v>ORJUELA VIRACACHA JAIME</v>
      </c>
      <c r="C189" s="19">
        <f>VLOOKUP(A189,'ESTADOS ESTUDIANTES'!B:L,3,0)</f>
        <v>195</v>
      </c>
      <c r="D189" s="66" t="str">
        <f>VLOOKUP(A189,'ESTADOS ESTUDIANTES'!B:L,4,0)</f>
        <v>MAE. EN CIENCIAS DE LA INF. Y LAS COMUNICACIONES ENFASIS EN TELEINF.</v>
      </c>
      <c r="E189" s="19" t="str">
        <f>VLOOKUP(A189,'ESTADOS ESTUDIANTES'!B:L,5,0)</f>
        <v>X</v>
      </c>
      <c r="F189" s="18" t="str">
        <f>VLOOKUP(E189,Listas!B1:C1004,2,0)</f>
        <v>EXCLUIDO</v>
      </c>
      <c r="G189" s="19">
        <f>VLOOKUP(A189,'ESTADOS ESTUDIANTES'!B:L,7,0)</f>
        <v>1</v>
      </c>
      <c r="H189" s="19" t="str">
        <f>VLOOKUP(A189,'ESTADOS ESTUDIANTES'!B:L,8,0)</f>
        <v>jorjuelav@correo.udistrital.edu.co</v>
      </c>
      <c r="I189" s="70" t="str">
        <f>VLOOKUP(A189,'ESTADOS ESTUDIANTES'!B:L,9,0)</f>
        <v>jaimeorjuela@etb.net.co</v>
      </c>
      <c r="J189" s="19" t="str">
        <f>VLOOKUP(A189,'ESTADOS ESTUDIANTES'!B:L,10,0)</f>
        <v>CC</v>
      </c>
      <c r="K189" s="19">
        <f>VLOOKUP(A189,'ESTADOS ESTUDIANTES'!B:L,11,0)</f>
        <v>79798784</v>
      </c>
      <c r="L189" s="23"/>
      <c r="M189" s="20"/>
      <c r="N189" s="22"/>
      <c r="O189" s="15"/>
      <c r="P189" s="15"/>
      <c r="Q189" s="15"/>
      <c r="R189" s="15"/>
      <c r="S189" s="15"/>
      <c r="T189" s="15"/>
      <c r="U189" s="15"/>
    </row>
    <row r="190" spans="1:21" ht="90">
      <c r="A190" s="17">
        <v>20061195013</v>
      </c>
      <c r="B190" s="19" t="str">
        <f>VLOOKUP(A190,'ESTADOS ESTUDIANTES'!B:L,2,0)</f>
        <v>RICO RIVEROS LUIS FERNANDO</v>
      </c>
      <c r="C190" s="19">
        <f>VLOOKUP(A190,'ESTADOS ESTUDIANTES'!B:L,3,0)</f>
        <v>195</v>
      </c>
      <c r="D190" s="66" t="str">
        <f>VLOOKUP(A190,'ESTADOS ESTUDIANTES'!B:L,4,0)</f>
        <v>MAE. EN CIENCIAS DE LA INF. Y LAS COMUNICACIONES ENFASIS EN TELEINF.</v>
      </c>
      <c r="E190" s="19" t="str">
        <f>VLOOKUP(A190,'ESTADOS ESTUDIANTES'!B:L,5,0)</f>
        <v>E</v>
      </c>
      <c r="F190" s="18" t="str">
        <f>VLOOKUP(E190,Listas!B1:C1004,2,0)</f>
        <v>EGRESADO</v>
      </c>
      <c r="G190" s="19" t="str">
        <f>VLOOKUP(A190,'ESTADOS ESTUDIANTES'!B:L,7,0)</f>
        <v>NO REGISTRA</v>
      </c>
      <c r="H190" s="19" t="str">
        <f>VLOOKUP(A190,'ESTADOS ESTUDIANTES'!B:L,8,0)</f>
        <v>lfricor@correo.udistrital.edu.co</v>
      </c>
      <c r="I190" s="70" t="str">
        <f>VLOOKUP(A190,'ESTADOS ESTUDIANTES'!B:L,9,0)</f>
        <v>lferrico@yahoo.com</v>
      </c>
      <c r="J190" s="19" t="str">
        <f>VLOOKUP(A190,'ESTADOS ESTUDIANTES'!B:L,10,0)</f>
        <v>CC</v>
      </c>
      <c r="K190" s="19">
        <f>VLOOKUP(A190,'ESTADOS ESTUDIANTES'!B:L,11,0)</f>
        <v>79481416</v>
      </c>
      <c r="L190" s="23"/>
      <c r="M190" s="20"/>
      <c r="N190" s="22"/>
      <c r="O190" s="15"/>
      <c r="P190" s="15"/>
      <c r="Q190" s="15"/>
      <c r="R190" s="15"/>
      <c r="S190" s="15"/>
      <c r="T190" s="15"/>
      <c r="U190" s="15"/>
    </row>
    <row r="191" spans="1:21" ht="90">
      <c r="A191" s="17">
        <v>20061195014</v>
      </c>
      <c r="B191" s="19" t="str">
        <f>VLOOKUP(A191,'ESTADOS ESTUDIANTES'!B:L,2,0)</f>
        <v>RODRIGUEZ COSSIO HANS</v>
      </c>
      <c r="C191" s="19">
        <f>VLOOKUP(A191,'ESTADOS ESTUDIANTES'!B:L,3,0)</f>
        <v>195</v>
      </c>
      <c r="D191" s="66" t="str">
        <f>VLOOKUP(A191,'ESTADOS ESTUDIANTES'!B:L,4,0)</f>
        <v>MAE. EN CIENCIAS DE LA INF. Y LAS COMUNICACIONES ENFASIS EN TELEINF.</v>
      </c>
      <c r="E191" s="19" t="str">
        <f>VLOOKUP(A191,'ESTADOS ESTUDIANTES'!B:L,5,0)</f>
        <v>E</v>
      </c>
      <c r="F191" s="18" t="str">
        <f>VLOOKUP(E191,Listas!B1:C1004,2,0)</f>
        <v>EGRESADO</v>
      </c>
      <c r="G191" s="19">
        <f>VLOOKUP(A191,'ESTADOS ESTUDIANTES'!B:L,7,0)</f>
        <v>3</v>
      </c>
      <c r="H191" s="19" t="str">
        <f>VLOOKUP(A191,'ESTADOS ESTUDIANTES'!B:L,8,0)</f>
        <v>hrodriguezc@correo.udistrital.edu.co</v>
      </c>
      <c r="I191" s="70" t="str">
        <f>VLOOKUP(A191,'ESTADOS ESTUDIANTES'!B:L,9,0)</f>
        <v>hansrodriguez@gmail.com</v>
      </c>
      <c r="J191" s="19" t="str">
        <f>VLOOKUP(A191,'ESTADOS ESTUDIANTES'!B:L,10,0)</f>
        <v>CC</v>
      </c>
      <c r="K191" s="19">
        <f>VLOOKUP(A191,'ESTADOS ESTUDIANTES'!B:L,11,0)</f>
        <v>79999284</v>
      </c>
      <c r="L191" s="19">
        <v>3138706113</v>
      </c>
      <c r="M191" s="20">
        <v>28585</v>
      </c>
      <c r="N191" s="22"/>
      <c r="O191" s="15"/>
      <c r="P191" s="15"/>
      <c r="Q191" s="15"/>
      <c r="R191" s="15"/>
      <c r="S191" s="15"/>
      <c r="T191" s="15"/>
      <c r="U191" s="15"/>
    </row>
    <row r="192" spans="1:21" ht="90">
      <c r="A192" s="17">
        <v>20061195015</v>
      </c>
      <c r="B192" s="19" t="str">
        <f>VLOOKUP(A192,'ESTADOS ESTUDIANTES'!B:L,2,0)</f>
        <v>SUAREZ PERPIÑAN NESTOR RAUL</v>
      </c>
      <c r="C192" s="19">
        <f>VLOOKUP(A192,'ESTADOS ESTUDIANTES'!B:L,3,0)</f>
        <v>195</v>
      </c>
      <c r="D192" s="66" t="str">
        <f>VLOOKUP(A192,'ESTADOS ESTUDIANTES'!B:L,4,0)</f>
        <v>MAE. EN CIENCIAS DE LA INF. Y LAS COMUNICACIONES ENFASIS EN TELEINF.</v>
      </c>
      <c r="E192" s="19" t="str">
        <f>VLOOKUP(A192,'ESTADOS ESTUDIANTES'!B:L,5,0)</f>
        <v>E</v>
      </c>
      <c r="F192" s="18" t="str">
        <f>VLOOKUP(E192,Listas!B1:C1004,2,0)</f>
        <v>EGRESADO</v>
      </c>
      <c r="G192" s="19" t="str">
        <f>VLOOKUP(A192,'ESTADOS ESTUDIANTES'!B:L,7,0)</f>
        <v>NO REGISTRA</v>
      </c>
      <c r="H192" s="19" t="str">
        <f>VLOOKUP(A192,'ESTADOS ESTUDIANTES'!B:L,8,0)</f>
        <v>nrsuarezp@correo.udistrital.edu.co</v>
      </c>
      <c r="I192" s="70" t="str">
        <f>VLOOKUP(A192,'ESTADOS ESTUDIANTES'!B:L,9,0)</f>
        <v>nessuper@gmail.com</v>
      </c>
      <c r="J192" s="19" t="str">
        <f>VLOOKUP(A192,'ESTADOS ESTUDIANTES'!B:L,10,0)</f>
        <v>CC</v>
      </c>
      <c r="K192" s="19">
        <f>VLOOKUP(A192,'ESTADOS ESTUDIANTES'!B:L,11,0)</f>
        <v>15174216</v>
      </c>
      <c r="L192" s="23"/>
      <c r="M192" s="20"/>
      <c r="N192" s="22"/>
      <c r="O192" s="15"/>
      <c r="P192" s="15"/>
      <c r="Q192" s="15"/>
      <c r="R192" s="15"/>
      <c r="S192" s="15"/>
      <c r="T192" s="15"/>
      <c r="U192" s="15"/>
    </row>
    <row r="193" spans="1:21" ht="90">
      <c r="A193" s="17">
        <v>20061195016</v>
      </c>
      <c r="B193" s="19" t="str">
        <f>VLOOKUP(A193,'ESTADOS ESTUDIANTES'!B:L,2,0)</f>
        <v>CAMACHO ARAQUE CARLOS FABIAN</v>
      </c>
      <c r="C193" s="19">
        <f>VLOOKUP(A193,'ESTADOS ESTUDIANTES'!B:L,3,0)</f>
        <v>195</v>
      </c>
      <c r="D193" s="66" t="str">
        <f>VLOOKUP(A193,'ESTADOS ESTUDIANTES'!B:L,4,0)</f>
        <v>MAE. EN CIENCIAS DE LA INF. Y LAS COMUNICACIONES ENFASIS EN TELEINF.</v>
      </c>
      <c r="E193" s="19" t="str">
        <f>VLOOKUP(A193,'ESTADOS ESTUDIANTES'!B:L,5,0)</f>
        <v>X</v>
      </c>
      <c r="F193" s="18" t="str">
        <f>VLOOKUP(E193,Listas!B1:C1004,2,0)</f>
        <v>EXCLUIDO</v>
      </c>
      <c r="G193" s="19" t="str">
        <f>VLOOKUP(A193,'ESTADOS ESTUDIANTES'!B:L,7,0)</f>
        <v>NO REGISTRA</v>
      </c>
      <c r="H193" s="19">
        <f>VLOOKUP(A193,'ESTADOS ESTUDIANTES'!B:L,8,0)</f>
        <v>0</v>
      </c>
      <c r="I193" s="70">
        <f>VLOOKUP(A193,'ESTADOS ESTUDIANTES'!B:L,9,0)</f>
        <v>0</v>
      </c>
      <c r="J193" s="19" t="str">
        <f>VLOOKUP(A193,'ESTADOS ESTUDIANTES'!B:L,10,0)</f>
        <v>CC</v>
      </c>
      <c r="K193" s="19">
        <f>VLOOKUP(A193,'ESTADOS ESTUDIANTES'!B:L,11,0)</f>
        <v>88157552</v>
      </c>
      <c r="L193" s="23"/>
      <c r="M193" s="20"/>
      <c r="N193" s="22"/>
      <c r="O193" s="15"/>
      <c r="P193" s="15"/>
      <c r="Q193" s="15"/>
      <c r="R193" s="15"/>
      <c r="S193" s="15"/>
      <c r="T193" s="15"/>
      <c r="U193" s="15"/>
    </row>
    <row r="194" spans="1:21" ht="90">
      <c r="A194" s="17">
        <v>20061195017</v>
      </c>
      <c r="B194" s="19" t="str">
        <f>VLOOKUP(A194,'ESTADOS ESTUDIANTES'!B:L,2,0)</f>
        <v>GONZALEZ CARDENAS RENE</v>
      </c>
      <c r="C194" s="19">
        <f>VLOOKUP(A194,'ESTADOS ESTUDIANTES'!B:L,3,0)</f>
        <v>195</v>
      </c>
      <c r="D194" s="66" t="str">
        <f>VLOOKUP(A194,'ESTADOS ESTUDIANTES'!B:L,4,0)</f>
        <v>MAE. EN CIENCIAS DE LA INF. Y LAS COMUNICACIONES ENFASIS EN TELEINF.</v>
      </c>
      <c r="E194" s="19" t="str">
        <f>VLOOKUP(A194,'ESTADOS ESTUDIANTES'!B:L,5,0)</f>
        <v>X</v>
      </c>
      <c r="F194" s="18" t="str">
        <f>VLOOKUP(E194,Listas!B1:C1004,2,0)</f>
        <v>EXCLUIDO</v>
      </c>
      <c r="G194" s="19" t="str">
        <f>VLOOKUP(A194,'ESTADOS ESTUDIANTES'!B:L,7,0)</f>
        <v>NO REGISTRA</v>
      </c>
      <c r="H194" s="19" t="str">
        <f>VLOOKUP(A194,'ESTADOS ESTUDIANTES'!B:L,8,0)</f>
        <v>rgonzalez@udistrital.edu.co</v>
      </c>
      <c r="I194" s="70" t="str">
        <f>VLOOKUP(A194,'ESTADOS ESTUDIANTES'!B:L,9,0)</f>
        <v>rgonzalez@udistrital.edu.co</v>
      </c>
      <c r="J194" s="19" t="str">
        <f>VLOOKUP(A194,'ESTADOS ESTUDIANTES'!B:L,10,0)</f>
        <v>CC</v>
      </c>
      <c r="K194" s="19">
        <f>VLOOKUP(A194,'ESTADOS ESTUDIANTES'!B:L,11,0)</f>
        <v>79523497</v>
      </c>
      <c r="L194" s="23"/>
      <c r="M194" s="20"/>
      <c r="N194" s="22"/>
      <c r="O194" s="15"/>
      <c r="P194" s="15"/>
      <c r="Q194" s="15"/>
      <c r="R194" s="15"/>
      <c r="S194" s="15"/>
      <c r="T194" s="15"/>
      <c r="U194" s="15"/>
    </row>
    <row r="195" spans="1:21" ht="90">
      <c r="A195" s="17">
        <v>20061195018</v>
      </c>
      <c r="B195" s="19" t="str">
        <f>VLOOKUP(A195,'ESTADOS ESTUDIANTES'!B:L,2,0)</f>
        <v>MATULEVICH PELAEZ JORGE ALBERTO</v>
      </c>
      <c r="C195" s="19">
        <f>VLOOKUP(A195,'ESTADOS ESTUDIANTES'!B:L,3,0)</f>
        <v>195</v>
      </c>
      <c r="D195" s="66" t="str">
        <f>VLOOKUP(A195,'ESTADOS ESTUDIANTES'!B:L,4,0)</f>
        <v>MAE. EN CIENCIAS DE LA INF. Y LAS COMUNICACIONES ENFASIS EN TELEINF.</v>
      </c>
      <c r="E195" s="19" t="str">
        <f>VLOOKUP(A195,'ESTADOS ESTUDIANTES'!B:L,5,0)</f>
        <v>X</v>
      </c>
      <c r="F195" s="18" t="str">
        <f>VLOOKUP(E195,Listas!B1:C1004,2,0)</f>
        <v>EXCLUIDO</v>
      </c>
      <c r="G195" s="19" t="str">
        <f>VLOOKUP(A195,'ESTADOS ESTUDIANTES'!B:L,7,0)</f>
        <v>NO REGISTRA</v>
      </c>
      <c r="H195" s="19">
        <f>VLOOKUP(A195,'ESTADOS ESTUDIANTES'!B:L,8,0)</f>
        <v>0</v>
      </c>
      <c r="I195" s="70">
        <f>VLOOKUP(A195,'ESTADOS ESTUDIANTES'!B:L,9,0)</f>
        <v>0</v>
      </c>
      <c r="J195" s="19" t="str">
        <f>VLOOKUP(A195,'ESTADOS ESTUDIANTES'!B:L,10,0)</f>
        <v>CC</v>
      </c>
      <c r="K195" s="19">
        <f>VLOOKUP(A195,'ESTADOS ESTUDIANTES'!B:L,11,0)</f>
        <v>79760815</v>
      </c>
      <c r="L195" s="23"/>
      <c r="M195" s="20"/>
      <c r="N195" s="22"/>
      <c r="O195" s="15"/>
      <c r="P195" s="15"/>
      <c r="Q195" s="15"/>
      <c r="R195" s="15"/>
      <c r="S195" s="15"/>
      <c r="T195" s="15"/>
      <c r="U195" s="15"/>
    </row>
    <row r="196" spans="1:21" ht="90">
      <c r="A196" s="17">
        <v>20061195019</v>
      </c>
      <c r="B196" s="19" t="str">
        <f>VLOOKUP(A196,'ESTADOS ESTUDIANTES'!B:L,2,0)</f>
        <v>RODRIGUEZ CORTES JORGE LUIS</v>
      </c>
      <c r="C196" s="19">
        <f>VLOOKUP(A196,'ESTADOS ESTUDIANTES'!B:L,3,0)</f>
        <v>195</v>
      </c>
      <c r="D196" s="66" t="str">
        <f>VLOOKUP(A196,'ESTADOS ESTUDIANTES'!B:L,4,0)</f>
        <v>MAE. EN CIENCIAS DE LA INF. Y LAS COMUNICACIONES ENFASIS EN TELEINF.</v>
      </c>
      <c r="E196" s="19" t="str">
        <f>VLOOKUP(A196,'ESTADOS ESTUDIANTES'!B:L,5,0)</f>
        <v>X</v>
      </c>
      <c r="F196" s="18" t="str">
        <f>VLOOKUP(E196,Listas!B1:C1004,2,0)</f>
        <v>EXCLUIDO</v>
      </c>
      <c r="G196" s="19" t="str">
        <f>VLOOKUP(A196,'ESTADOS ESTUDIANTES'!B:L,7,0)</f>
        <v>NO REGISTRA</v>
      </c>
      <c r="H196" s="19" t="str">
        <f>VLOOKUP(A196,'ESTADOS ESTUDIANTES'!B:L,8,0)</f>
        <v>jlrodriguezc@correo.udistrital.edu.co</v>
      </c>
      <c r="I196" s="70" t="str">
        <f>VLOOKUP(A196,'ESTADOS ESTUDIANTES'!B:L,9,0)</f>
        <v>jlrodriguez120@gmail.com</v>
      </c>
      <c r="J196" s="19" t="str">
        <f>VLOOKUP(A196,'ESTADOS ESTUDIANTES'!B:L,10,0)</f>
        <v>CC</v>
      </c>
      <c r="K196" s="19">
        <f>VLOOKUP(A196,'ESTADOS ESTUDIANTES'!B:L,11,0)</f>
        <v>19420889</v>
      </c>
      <c r="L196" s="23"/>
      <c r="M196" s="20"/>
      <c r="N196" s="22"/>
      <c r="O196" s="15"/>
      <c r="P196" s="15"/>
      <c r="Q196" s="15"/>
      <c r="R196" s="15"/>
      <c r="S196" s="15"/>
      <c r="T196" s="15"/>
      <c r="U196" s="15"/>
    </row>
    <row r="197" spans="1:21" ht="90">
      <c r="A197" s="17">
        <v>20061295001</v>
      </c>
      <c r="B197" s="19" t="str">
        <f>VLOOKUP(A197,'ESTADOS ESTUDIANTES'!B:L,2,0)</f>
        <v>BONILLA RIAÑO ADRIANA</v>
      </c>
      <c r="C197" s="19">
        <f>VLOOKUP(A197,'ESTADOS ESTUDIANTES'!B:L,3,0)</f>
        <v>295</v>
      </c>
      <c r="D197" s="66" t="str">
        <f>VLOOKUP(A197,'ESTADOS ESTUDIANTES'!B:L,4,0)</f>
        <v>MAE. EN CIENCIAS DE LA INF. Y LAS COMUNICACIONES ENFASIS EN SIS. INFOR</v>
      </c>
      <c r="E197" s="19" t="str">
        <f>VLOOKUP(A197,'ESTADOS ESTUDIANTES'!B:L,5,0)</f>
        <v>X</v>
      </c>
      <c r="F197" s="18" t="str">
        <f>VLOOKUP(E197,Listas!B1:C1004,2,0)</f>
        <v>EXCLUIDO</v>
      </c>
      <c r="G197" s="19" t="str">
        <f>VLOOKUP(A197,'ESTADOS ESTUDIANTES'!B:L,7,0)</f>
        <v>NO REGISTRA</v>
      </c>
      <c r="H197" s="19" t="str">
        <f>VLOOKUP(A197,'ESTADOS ESTUDIANTES'!B:L,8,0)</f>
        <v>abonillar@correo.udistrital.edu.co</v>
      </c>
      <c r="I197" s="70" t="str">
        <f>VLOOKUP(A197,'ESTADOS ESTUDIANTES'!B:L,9,0)</f>
        <v>abonillar@gmail.com</v>
      </c>
      <c r="J197" s="19" t="str">
        <f>VLOOKUP(A197,'ESTADOS ESTUDIANTES'!B:L,10,0)</f>
        <v>CC</v>
      </c>
      <c r="K197" s="19">
        <f>VLOOKUP(A197,'ESTADOS ESTUDIANTES'!B:L,11,0)</f>
        <v>52792484</v>
      </c>
      <c r="L197" s="23"/>
      <c r="M197" s="20"/>
      <c r="N197" s="22"/>
      <c r="O197" s="15"/>
      <c r="P197" s="15"/>
      <c r="Q197" s="15"/>
      <c r="R197" s="15"/>
      <c r="S197" s="15"/>
      <c r="T197" s="15"/>
      <c r="U197" s="15"/>
    </row>
    <row r="198" spans="1:21" ht="90">
      <c r="A198" s="17">
        <v>20061295002</v>
      </c>
      <c r="B198" s="19" t="str">
        <f>VLOOKUP(A198,'ESTADOS ESTUDIANTES'!B:L,2,0)</f>
        <v>CABUYA NAVARRETE JUAN CARLOS</v>
      </c>
      <c r="C198" s="19">
        <f>VLOOKUP(A198,'ESTADOS ESTUDIANTES'!B:L,3,0)</f>
        <v>295</v>
      </c>
      <c r="D198" s="66" t="str">
        <f>VLOOKUP(A198,'ESTADOS ESTUDIANTES'!B:L,4,0)</f>
        <v>MAE. EN CIENCIAS DE LA INF. Y LAS COMUNICACIONES ENFASIS EN SIS. INFOR</v>
      </c>
      <c r="E198" s="19" t="str">
        <f>VLOOKUP(A198,'ESTADOS ESTUDIANTES'!B:L,5,0)</f>
        <v>X</v>
      </c>
      <c r="F198" s="18" t="str">
        <f>VLOOKUP(E198,Listas!B1:C1004,2,0)</f>
        <v>EXCLUIDO</v>
      </c>
      <c r="G198" s="19" t="str">
        <f>VLOOKUP(A198,'ESTADOS ESTUDIANTES'!B:L,7,0)</f>
        <v>NO REGISTRA</v>
      </c>
      <c r="H198" s="19" t="str">
        <f>VLOOKUP(A198,'ESTADOS ESTUDIANTES'!B:L,8,0)</f>
        <v>jccabuyan@correo.udistrital.edu.co</v>
      </c>
      <c r="I198" s="70" t="str">
        <f>VLOOKUP(A198,'ESTADOS ESTUDIANTES'!B:L,9,0)</f>
        <v>jccabuyan@estudiante.udistrital.edu.co</v>
      </c>
      <c r="J198" s="19" t="str">
        <f>VLOOKUP(A198,'ESTADOS ESTUDIANTES'!B:L,10,0)</f>
        <v>CC</v>
      </c>
      <c r="K198" s="19">
        <f>VLOOKUP(A198,'ESTADOS ESTUDIANTES'!B:L,11,0)</f>
        <v>80492107</v>
      </c>
      <c r="L198" s="23"/>
      <c r="M198" s="20"/>
      <c r="N198" s="22"/>
      <c r="O198" s="15"/>
      <c r="P198" s="15"/>
      <c r="Q198" s="15"/>
      <c r="R198" s="15"/>
      <c r="S198" s="15"/>
      <c r="T198" s="15"/>
      <c r="U198" s="15"/>
    </row>
    <row r="199" spans="1:21" ht="90">
      <c r="A199" s="17">
        <v>20061295003</v>
      </c>
      <c r="B199" s="19" t="str">
        <f>VLOOKUP(A199,'ESTADOS ESTUDIANTES'!B:L,2,0)</f>
        <v>DIAZ TORRES MONICA ALEXANDRA.</v>
      </c>
      <c r="C199" s="19">
        <f>VLOOKUP(A199,'ESTADOS ESTUDIANTES'!B:L,3,0)</f>
        <v>295</v>
      </c>
      <c r="D199" s="66" t="str">
        <f>VLOOKUP(A199,'ESTADOS ESTUDIANTES'!B:L,4,0)</f>
        <v>MAE. EN CIENCIAS DE LA INF. Y LAS COMUNICACIONES ENFASIS EN SIS. INFOR</v>
      </c>
      <c r="E199" s="19" t="str">
        <f>VLOOKUP(A199,'ESTADOS ESTUDIANTES'!B:L,5,0)</f>
        <v>X</v>
      </c>
      <c r="F199" s="18" t="str">
        <f>VLOOKUP(E199,Listas!B1:C1004,2,0)</f>
        <v>EXCLUIDO</v>
      </c>
      <c r="G199" s="19" t="str">
        <f>VLOOKUP(A199,'ESTADOS ESTUDIANTES'!B:L,7,0)</f>
        <v>NO REGISTRA</v>
      </c>
      <c r="H199" s="19" t="str">
        <f>VLOOKUP(A199,'ESTADOS ESTUDIANTES'!B:L,8,0)</f>
        <v>madiazt@correo.udistrital.edu.co</v>
      </c>
      <c r="I199" s="70" t="str">
        <f>VLOOKUP(A199,'ESTADOS ESTUDIANTES'!B:L,9,0)</f>
        <v>moaldito@gmail.com</v>
      </c>
      <c r="J199" s="19" t="str">
        <f>VLOOKUP(A199,'ESTADOS ESTUDIANTES'!B:L,10,0)</f>
        <v>CC</v>
      </c>
      <c r="K199" s="19">
        <f>VLOOKUP(A199,'ESTADOS ESTUDIANTES'!B:L,11,0)</f>
        <v>52426128</v>
      </c>
      <c r="L199" s="23"/>
      <c r="M199" s="20"/>
      <c r="N199" s="22"/>
      <c r="O199" s="15"/>
      <c r="P199" s="15"/>
      <c r="Q199" s="15"/>
      <c r="R199" s="15"/>
      <c r="S199" s="15"/>
      <c r="T199" s="15"/>
      <c r="U199" s="15"/>
    </row>
    <row r="200" spans="1:21" ht="90">
      <c r="A200" s="17">
        <v>20061295004</v>
      </c>
      <c r="B200" s="19" t="str">
        <f>VLOOKUP(A200,'ESTADOS ESTUDIANTES'!B:L,2,0)</f>
        <v>INDIRA ROCIO DUARTE LOPEZ</v>
      </c>
      <c r="C200" s="19">
        <f>VLOOKUP(A200,'ESTADOS ESTUDIANTES'!B:L,3,0)</f>
        <v>295</v>
      </c>
      <c r="D200" s="66" t="str">
        <f>VLOOKUP(A200,'ESTADOS ESTUDIANTES'!B:L,4,0)</f>
        <v>MAE. EN CIENCIAS DE LA INF. Y LAS COMUNICACIONES ENFASIS EN SIS. INFOR</v>
      </c>
      <c r="E200" s="19" t="str">
        <f>VLOOKUP(A200,'ESTADOS ESTUDIANTES'!B:L,5,0)</f>
        <v>E</v>
      </c>
      <c r="F200" s="18" t="str">
        <f>VLOOKUP(E200,Listas!B1:C1004,2,0)</f>
        <v>EGRESADO</v>
      </c>
      <c r="G200" s="19">
        <f>VLOOKUP(A200,'ESTADOS ESTUDIANTES'!B:L,7,0)</f>
        <v>1</v>
      </c>
      <c r="H200" s="19" t="str">
        <f>VLOOKUP(A200,'ESTADOS ESTUDIANTES'!B:L,8,0)</f>
        <v>irduartel@correo.udistrital.edu.co</v>
      </c>
      <c r="I200" s="70" t="str">
        <f>VLOOKUP(A200,'ESTADOS ESTUDIANTES'!B:L,9,0)</f>
        <v>indiraduarte@gmail.com</v>
      </c>
      <c r="J200" s="19" t="str">
        <f>VLOOKUP(A200,'ESTADOS ESTUDIANTES'!B:L,10,0)</f>
        <v>CC</v>
      </c>
      <c r="K200" s="19">
        <f>VLOOKUP(A200,'ESTADOS ESTUDIANTES'!B:L,11,0)</f>
        <v>60337274</v>
      </c>
      <c r="L200" s="23"/>
      <c r="M200" s="20"/>
      <c r="N200" s="22"/>
      <c r="O200" s="15"/>
      <c r="P200" s="15"/>
      <c r="Q200" s="15"/>
      <c r="R200" s="15"/>
      <c r="S200" s="15"/>
      <c r="T200" s="15"/>
      <c r="U200" s="15"/>
    </row>
    <row r="201" spans="1:21" ht="90">
      <c r="A201" s="17">
        <v>20061295005</v>
      </c>
      <c r="B201" s="19" t="str">
        <f>VLOOKUP(A201,'ESTADOS ESTUDIANTES'!B:L,2,0)</f>
        <v>GUAÑARITA FERNANDEZ SANDRA LUCIA</v>
      </c>
      <c r="C201" s="19">
        <f>VLOOKUP(A201,'ESTADOS ESTUDIANTES'!B:L,3,0)</f>
        <v>295</v>
      </c>
      <c r="D201" s="66" t="str">
        <f>VLOOKUP(A201,'ESTADOS ESTUDIANTES'!B:L,4,0)</f>
        <v>MAE. EN CIENCIAS DE LA INF. Y LAS COMUNICACIONES ENFASIS EN SIS. INFOR</v>
      </c>
      <c r="E201" s="19" t="str">
        <f>VLOOKUP(A201,'ESTADOS ESTUDIANTES'!B:L,5,0)</f>
        <v>X</v>
      </c>
      <c r="F201" s="18" t="str">
        <f>VLOOKUP(E201,Listas!B1:C1004,2,0)</f>
        <v>EXCLUIDO</v>
      </c>
      <c r="G201" s="19" t="str">
        <f>VLOOKUP(A201,'ESTADOS ESTUDIANTES'!B:L,7,0)</f>
        <v>NO REGISTRA</v>
      </c>
      <c r="H201" s="19" t="str">
        <f>VLOOKUP(A201,'ESTADOS ESTUDIANTES'!B:L,8,0)</f>
        <v>slguanaritaf@correo.udistrital.edu.co</v>
      </c>
      <c r="I201" s="70" t="str">
        <f>VLOOKUP(A201,'ESTADOS ESTUDIANTES'!B:L,9,0)</f>
        <v>slguanaritaf@estudiante.udistrital.edu.co</v>
      </c>
      <c r="J201" s="19" t="str">
        <f>VLOOKUP(A201,'ESTADOS ESTUDIANTES'!B:L,10,0)</f>
        <v>CC</v>
      </c>
      <c r="K201" s="19">
        <f>VLOOKUP(A201,'ESTADOS ESTUDIANTES'!B:L,11,0)</f>
        <v>66827649</v>
      </c>
      <c r="L201" s="23"/>
      <c r="M201" s="20"/>
      <c r="N201" s="22"/>
      <c r="O201" s="15"/>
      <c r="P201" s="15"/>
      <c r="Q201" s="15"/>
      <c r="R201" s="15"/>
      <c r="S201" s="15"/>
      <c r="T201" s="15"/>
      <c r="U201" s="15"/>
    </row>
    <row r="202" spans="1:21" ht="90">
      <c r="A202" s="17">
        <v>20061295006</v>
      </c>
      <c r="B202" s="19" t="str">
        <f>VLOOKUP(A202,'ESTADOS ESTUDIANTES'!B:L,2,0)</f>
        <v>GUTIERREZ MENDOZA LUCIA</v>
      </c>
      <c r="C202" s="19">
        <f>VLOOKUP(A202,'ESTADOS ESTUDIANTES'!B:L,3,0)</f>
        <v>295</v>
      </c>
      <c r="D202" s="66" t="str">
        <f>VLOOKUP(A202,'ESTADOS ESTUDIANTES'!B:L,4,0)</f>
        <v>MAE. EN CIENCIAS DE LA INF. Y LAS COMUNICACIONES ENFASIS EN SIS. INFOR</v>
      </c>
      <c r="E202" s="19" t="str">
        <f>VLOOKUP(A202,'ESTADOS ESTUDIANTES'!B:L,5,0)</f>
        <v>X</v>
      </c>
      <c r="F202" s="18" t="str">
        <f>VLOOKUP(E202,Listas!B1:C1004,2,0)</f>
        <v>EXCLUIDO</v>
      </c>
      <c r="G202" s="19" t="str">
        <f>VLOOKUP(A202,'ESTADOS ESTUDIANTES'!B:L,7,0)</f>
        <v>NO REGISTRA</v>
      </c>
      <c r="H202" s="19" t="str">
        <f>VLOOKUP(A202,'ESTADOS ESTUDIANTES'!B:L,8,0)</f>
        <v>lgutierrezm@correo.udistrital.edu.co</v>
      </c>
      <c r="I202" s="70" t="str">
        <f>VLOOKUP(A202,'ESTADOS ESTUDIANTES'!B:L,9,0)</f>
        <v>lgutierrezm@estudiante.udistrital.edu.co</v>
      </c>
      <c r="J202" s="19" t="str">
        <f>VLOOKUP(A202,'ESTADOS ESTUDIANTES'!B:L,10,0)</f>
        <v>CC</v>
      </c>
      <c r="K202" s="19">
        <f>VLOOKUP(A202,'ESTADOS ESTUDIANTES'!B:L,11,0)</f>
        <v>51964766</v>
      </c>
      <c r="L202" s="23"/>
      <c r="M202" s="20"/>
      <c r="N202" s="22"/>
      <c r="O202" s="15"/>
      <c r="P202" s="15"/>
      <c r="Q202" s="15"/>
      <c r="R202" s="15"/>
      <c r="S202" s="15"/>
      <c r="T202" s="15"/>
      <c r="U202" s="15"/>
    </row>
    <row r="203" spans="1:21" ht="90">
      <c r="A203" s="17">
        <v>20061295007</v>
      </c>
      <c r="B203" s="19" t="str">
        <f>VLOOKUP(A203,'ESTADOS ESTUDIANTES'!B:L,2,0)</f>
        <v>MORALES BALLESTEROS LUIS EDUARDO</v>
      </c>
      <c r="C203" s="19">
        <f>VLOOKUP(A203,'ESTADOS ESTUDIANTES'!B:L,3,0)</f>
        <v>295</v>
      </c>
      <c r="D203" s="66" t="str">
        <f>VLOOKUP(A203,'ESTADOS ESTUDIANTES'!B:L,4,0)</f>
        <v>MAE. EN CIENCIAS DE LA INF. Y LAS COMUNICACIONES ENFASIS EN SIS. INFOR</v>
      </c>
      <c r="E203" s="19" t="str">
        <f>VLOOKUP(A203,'ESTADOS ESTUDIANTES'!B:L,5,0)</f>
        <v>X</v>
      </c>
      <c r="F203" s="18" t="str">
        <f>VLOOKUP(E203,Listas!B1:C1004,2,0)</f>
        <v>EXCLUIDO</v>
      </c>
      <c r="G203" s="19">
        <f>VLOOKUP(A203,'ESTADOS ESTUDIANTES'!B:L,7,0)</f>
        <v>4</v>
      </c>
      <c r="H203" s="19" t="str">
        <f>VLOOKUP(A203,'ESTADOS ESTUDIANTES'!B:L,8,0)</f>
        <v>lemoralesb@correo.udistrital.edu.co</v>
      </c>
      <c r="I203" s="70" t="str">
        <f>VLOOKUP(A203,'ESTADOS ESTUDIANTES'!B:L,9,0)</f>
        <v>luisemo.morales@gmail.com</v>
      </c>
      <c r="J203" s="19" t="str">
        <f>VLOOKUP(A203,'ESTADOS ESTUDIANTES'!B:L,10,0)</f>
        <v>CC</v>
      </c>
      <c r="K203" s="19">
        <f>VLOOKUP(A203,'ESTADOS ESTUDIANTES'!B:L,11,0)</f>
        <v>79378087</v>
      </c>
      <c r="L203" s="23"/>
      <c r="M203" s="20">
        <v>24323</v>
      </c>
      <c r="N203" s="22"/>
      <c r="O203" s="15"/>
      <c r="P203" s="15"/>
      <c r="Q203" s="15"/>
      <c r="R203" s="15"/>
      <c r="S203" s="15"/>
      <c r="T203" s="15"/>
      <c r="U203" s="15"/>
    </row>
    <row r="204" spans="1:21" ht="90">
      <c r="A204" s="17">
        <v>20061295008</v>
      </c>
      <c r="B204" s="19" t="str">
        <f>VLOOKUP(A204,'ESTADOS ESTUDIANTES'!B:L,2,0)</f>
        <v>OSPINA MARIN PAULO ANDRES</v>
      </c>
      <c r="C204" s="19">
        <f>VLOOKUP(A204,'ESTADOS ESTUDIANTES'!B:L,3,0)</f>
        <v>295</v>
      </c>
      <c r="D204" s="66" t="str">
        <f>VLOOKUP(A204,'ESTADOS ESTUDIANTES'!B:L,4,0)</f>
        <v>MAE. EN CIENCIAS DE LA INF. Y LAS COMUNICACIONES ENFASIS EN SIS. INFOR</v>
      </c>
      <c r="E204" s="19" t="str">
        <f>VLOOKUP(A204,'ESTADOS ESTUDIANTES'!B:L,5,0)</f>
        <v>X</v>
      </c>
      <c r="F204" s="18" t="str">
        <f>VLOOKUP(E204,Listas!B1:C1004,2,0)</f>
        <v>EXCLUIDO</v>
      </c>
      <c r="G204" s="19" t="str">
        <f>VLOOKUP(A204,'ESTADOS ESTUDIANTES'!B:L,7,0)</f>
        <v>NO REGISTRA</v>
      </c>
      <c r="H204" s="19" t="str">
        <f>VLOOKUP(A204,'ESTADOS ESTUDIANTES'!B:L,8,0)</f>
        <v>paospinam@correo.udistrital.edu.co</v>
      </c>
      <c r="I204" s="70" t="str">
        <f>VLOOKUP(A204,'ESTADOS ESTUDIANTES'!B:L,9,0)</f>
        <v>paospinam@estudiante.udistrital.edu.co</v>
      </c>
      <c r="J204" s="19" t="str">
        <f>VLOOKUP(A204,'ESTADOS ESTUDIANTES'!B:L,10,0)</f>
        <v>CC</v>
      </c>
      <c r="K204" s="19">
        <f>VLOOKUP(A204,'ESTADOS ESTUDIANTES'!B:L,11,0)</f>
        <v>6801457</v>
      </c>
      <c r="L204" s="23"/>
      <c r="M204" s="20"/>
      <c r="N204" s="22"/>
      <c r="O204" s="15"/>
      <c r="P204" s="15"/>
      <c r="Q204" s="15"/>
      <c r="R204" s="15"/>
      <c r="S204" s="15"/>
      <c r="T204" s="15"/>
      <c r="U204" s="15"/>
    </row>
    <row r="205" spans="1:21" ht="90">
      <c r="A205" s="17">
        <v>20061295009</v>
      </c>
      <c r="B205" s="19" t="str">
        <f>VLOOKUP(A205,'ESTADOS ESTUDIANTES'!B:L,2,0)</f>
        <v>PEÑARANDA UREÑA LEYDI MILENA</v>
      </c>
      <c r="C205" s="19">
        <f>VLOOKUP(A205,'ESTADOS ESTUDIANTES'!B:L,3,0)</f>
        <v>295</v>
      </c>
      <c r="D205" s="66" t="str">
        <f>VLOOKUP(A205,'ESTADOS ESTUDIANTES'!B:L,4,0)</f>
        <v>MAE. EN CIENCIAS DE LA INF. Y LAS COMUNICACIONES ENFASIS EN SIS. INFOR</v>
      </c>
      <c r="E205" s="19" t="str">
        <f>VLOOKUP(A205,'ESTADOS ESTUDIANTES'!B:L,5,0)</f>
        <v>X</v>
      </c>
      <c r="F205" s="18" t="str">
        <f>VLOOKUP(E205,Listas!B1:C1004,2,0)</f>
        <v>EXCLUIDO</v>
      </c>
      <c r="G205" s="19" t="str">
        <f>VLOOKUP(A205,'ESTADOS ESTUDIANTES'!B:L,7,0)</f>
        <v>NO REGISTRA</v>
      </c>
      <c r="H205" s="19" t="str">
        <f>VLOOKUP(A205,'ESTADOS ESTUDIANTES'!B:L,8,0)</f>
        <v>lmpenarandau@correo.udistrital.edu.co</v>
      </c>
      <c r="I205" s="70" t="str">
        <f>VLOOKUP(A205,'ESTADOS ESTUDIANTES'!B:L,9,0)</f>
        <v>lmpenarandau@estudiante.udistrital.edu.co</v>
      </c>
      <c r="J205" s="19" t="str">
        <f>VLOOKUP(A205,'ESTADOS ESTUDIANTES'!B:L,10,0)</f>
        <v>CC</v>
      </c>
      <c r="K205" s="19">
        <f>VLOOKUP(A205,'ESTADOS ESTUDIANTES'!B:L,11,0)</f>
        <v>37270135</v>
      </c>
      <c r="L205" s="23"/>
      <c r="M205" s="20"/>
      <c r="N205" s="22"/>
      <c r="O205" s="15"/>
      <c r="P205" s="15"/>
      <c r="Q205" s="15"/>
      <c r="R205" s="15"/>
      <c r="S205" s="15"/>
      <c r="T205" s="15"/>
      <c r="U205" s="15"/>
    </row>
    <row r="206" spans="1:21" ht="90">
      <c r="A206" s="17">
        <v>20061295010</v>
      </c>
      <c r="B206" s="19" t="str">
        <f>VLOOKUP(A206,'ESTADOS ESTUDIANTES'!B:L,2,0)</f>
        <v>PEDRO FABIAN PEREZ ARTEAGA</v>
      </c>
      <c r="C206" s="19">
        <f>VLOOKUP(A206,'ESTADOS ESTUDIANTES'!B:L,3,0)</f>
        <v>295</v>
      </c>
      <c r="D206" s="66" t="str">
        <f>VLOOKUP(A206,'ESTADOS ESTUDIANTES'!B:L,4,0)</f>
        <v>MAE. EN CIENCIAS DE LA INF. Y LAS COMUNICACIONES ENFASIS EN SIS. INFOR</v>
      </c>
      <c r="E206" s="19" t="str">
        <f>VLOOKUP(A206,'ESTADOS ESTUDIANTES'!B:L,5,0)</f>
        <v>E</v>
      </c>
      <c r="F206" s="18" t="str">
        <f>VLOOKUP(E206,Listas!B1:C1004,2,0)</f>
        <v>EGRESADO</v>
      </c>
      <c r="G206" s="19">
        <f>VLOOKUP(A206,'ESTADOS ESTUDIANTES'!B:L,7,0)</f>
        <v>3</v>
      </c>
      <c r="H206" s="19" t="str">
        <f>VLOOKUP(A206,'ESTADOS ESTUDIANTES'!B:L,8,0)</f>
        <v>pfpereza@correo.udistrital.edu.co</v>
      </c>
      <c r="I206" s="70" t="str">
        <f>VLOOKUP(A206,'ESTADOS ESTUDIANTES'!B:L,9,0)</f>
        <v>pperezcolombia@gmail.com</v>
      </c>
      <c r="J206" s="19" t="str">
        <f>VLOOKUP(A206,'ESTADOS ESTUDIANTES'!B:L,10,0)</f>
        <v>CC</v>
      </c>
      <c r="K206" s="19">
        <f>VLOOKUP(A206,'ESTADOS ESTUDIANTES'!B:L,11,0)</f>
        <v>79623881</v>
      </c>
      <c r="L206" s="23"/>
      <c r="M206" s="20"/>
      <c r="N206" s="22"/>
      <c r="O206" s="15"/>
      <c r="P206" s="15"/>
      <c r="Q206" s="15"/>
      <c r="R206" s="15"/>
      <c r="S206" s="15"/>
      <c r="T206" s="15"/>
      <c r="U206" s="15"/>
    </row>
    <row r="207" spans="1:21" ht="90">
      <c r="A207" s="17">
        <v>20061295011</v>
      </c>
      <c r="B207" s="19" t="str">
        <f>VLOOKUP(A207,'ESTADOS ESTUDIANTES'!B:L,2,0)</f>
        <v>PEREZ CABALLERO JAVIER ALEXANDER</v>
      </c>
      <c r="C207" s="19">
        <f>VLOOKUP(A207,'ESTADOS ESTUDIANTES'!B:L,3,0)</f>
        <v>295</v>
      </c>
      <c r="D207" s="66" t="str">
        <f>VLOOKUP(A207,'ESTADOS ESTUDIANTES'!B:L,4,0)</f>
        <v>MAE. EN CIENCIAS DE LA INF. Y LAS COMUNICACIONES ENFASIS EN SIS. INFOR</v>
      </c>
      <c r="E207" s="19" t="str">
        <f>VLOOKUP(A207,'ESTADOS ESTUDIANTES'!B:L,5,0)</f>
        <v>X</v>
      </c>
      <c r="F207" s="18" t="str">
        <f>VLOOKUP(E207,Listas!B1:C1004,2,0)</f>
        <v>EXCLUIDO</v>
      </c>
      <c r="G207" s="19" t="str">
        <f>VLOOKUP(A207,'ESTADOS ESTUDIANTES'!B:L,7,0)</f>
        <v>NO REGISTRA</v>
      </c>
      <c r="H207" s="19" t="str">
        <f>VLOOKUP(A207,'ESTADOS ESTUDIANTES'!B:L,8,0)</f>
        <v>japerezc@correo.udistrital.edu.co</v>
      </c>
      <c r="I207" s="70" t="str">
        <f>VLOOKUP(A207,'ESTADOS ESTUDIANTES'!B:L,9,0)</f>
        <v>japerezc@estudiante.udistrital.edu.co</v>
      </c>
      <c r="J207" s="19" t="str">
        <f>VLOOKUP(A207,'ESTADOS ESTUDIANTES'!B:L,10,0)</f>
        <v>CC</v>
      </c>
      <c r="K207" s="19">
        <f>VLOOKUP(A207,'ESTADOS ESTUDIANTES'!B:L,11,0)</f>
        <v>79988689</v>
      </c>
      <c r="L207" s="23"/>
      <c r="M207" s="20"/>
      <c r="N207" s="22"/>
      <c r="O207" s="15"/>
      <c r="P207" s="15"/>
      <c r="Q207" s="15"/>
      <c r="R207" s="15"/>
      <c r="S207" s="15"/>
      <c r="T207" s="15"/>
      <c r="U207" s="15"/>
    </row>
    <row r="208" spans="1:21" ht="90">
      <c r="A208" s="17">
        <v>20061295012</v>
      </c>
      <c r="B208" s="19" t="str">
        <f>VLOOKUP(A208,'ESTADOS ESTUDIANTES'!B:L,2,0)</f>
        <v>RODRIGUEZ ROJAS CARLOS ALFREDO</v>
      </c>
      <c r="C208" s="19">
        <f>VLOOKUP(A208,'ESTADOS ESTUDIANTES'!B:L,3,0)</f>
        <v>295</v>
      </c>
      <c r="D208" s="66" t="str">
        <f>VLOOKUP(A208,'ESTADOS ESTUDIANTES'!B:L,4,0)</f>
        <v>MAE. EN CIENCIAS DE LA INF. Y LAS COMUNICACIONES ENFASIS EN SIS. INFOR</v>
      </c>
      <c r="E208" s="19" t="str">
        <f>VLOOKUP(A208,'ESTADOS ESTUDIANTES'!B:L,5,0)</f>
        <v>X</v>
      </c>
      <c r="F208" s="18" t="str">
        <f>VLOOKUP(E208,Listas!B1:C1004,2,0)</f>
        <v>EXCLUIDO</v>
      </c>
      <c r="G208" s="19">
        <f>VLOOKUP(A208,'ESTADOS ESTUDIANTES'!B:L,7,0)</f>
        <v>4</v>
      </c>
      <c r="H208" s="19" t="str">
        <f>VLOOKUP(A208,'ESTADOS ESTUDIANTES'!B:L,8,0)</f>
        <v>caalrodriguezr@correo.udistrital.edu.co</v>
      </c>
      <c r="I208" s="70" t="str">
        <f>VLOOKUP(A208,'ESTADOS ESTUDIANTES'!B:L,9,0)</f>
        <v>crodriguez.ur@gmail.com</v>
      </c>
      <c r="J208" s="19" t="str">
        <f>VLOOKUP(A208,'ESTADOS ESTUDIANTES'!B:L,10,0)</f>
        <v>CC</v>
      </c>
      <c r="K208" s="19">
        <f>VLOOKUP(A208,'ESTADOS ESTUDIANTES'!B:L,11,0)</f>
        <v>79497552</v>
      </c>
      <c r="L208" s="19">
        <v>3102804065</v>
      </c>
      <c r="M208" s="20">
        <v>25215</v>
      </c>
      <c r="N208" s="22"/>
      <c r="O208" s="15"/>
      <c r="P208" s="15"/>
      <c r="Q208" s="15"/>
      <c r="R208" s="15"/>
      <c r="S208" s="15"/>
      <c r="T208" s="15"/>
      <c r="U208" s="15"/>
    </row>
    <row r="209" spans="1:21" ht="90">
      <c r="A209" s="17">
        <v>20061295013</v>
      </c>
      <c r="B209" s="19" t="str">
        <f>VLOOKUP(A209,'ESTADOS ESTUDIANTES'!B:L,2,0)</f>
        <v>ROJAS CORDERO ALEXIS</v>
      </c>
      <c r="C209" s="19">
        <f>VLOOKUP(A209,'ESTADOS ESTUDIANTES'!B:L,3,0)</f>
        <v>295</v>
      </c>
      <c r="D209" s="66" t="str">
        <f>VLOOKUP(A209,'ESTADOS ESTUDIANTES'!B:L,4,0)</f>
        <v>MAE. EN CIENCIAS DE LA INF. Y LAS COMUNICACIONES ENFASIS EN SIS. INFOR</v>
      </c>
      <c r="E209" s="19" t="str">
        <f>VLOOKUP(A209,'ESTADOS ESTUDIANTES'!B:L,5,0)</f>
        <v>E</v>
      </c>
      <c r="F209" s="18" t="str">
        <f>VLOOKUP(E209,Listas!B1:C1004,2,0)</f>
        <v>EGRESADO</v>
      </c>
      <c r="G209" s="19" t="str">
        <f>VLOOKUP(A209,'ESTADOS ESTUDIANTES'!B:L,7,0)</f>
        <v>NO REGISTRA</v>
      </c>
      <c r="H209" s="19" t="str">
        <f>VLOOKUP(A209,'ESTADOS ESTUDIANTES'!B:L,8,0)</f>
        <v>alerojasc@correo.udistrital.edu.co</v>
      </c>
      <c r="I209" s="70" t="str">
        <f>VLOOKUP(A209,'ESTADOS ESTUDIANTES'!B:L,9,0)</f>
        <v>rojas.cordero.alexis@gmail.com</v>
      </c>
      <c r="J209" s="19" t="str">
        <f>VLOOKUP(A209,'ESTADOS ESTUDIANTES'!B:L,10,0)</f>
        <v>CC</v>
      </c>
      <c r="K209" s="19">
        <f>VLOOKUP(A209,'ESTADOS ESTUDIANTES'!B:L,11,0)</f>
        <v>13844262</v>
      </c>
      <c r="L209" s="23"/>
      <c r="M209" s="20"/>
      <c r="N209" s="22"/>
      <c r="O209" s="15"/>
      <c r="P209" s="15"/>
      <c r="Q209" s="15"/>
      <c r="R209" s="15"/>
      <c r="S209" s="15"/>
      <c r="T209" s="15"/>
      <c r="U209" s="15"/>
    </row>
    <row r="210" spans="1:21" ht="90">
      <c r="A210" s="17">
        <v>20061295014</v>
      </c>
      <c r="B210" s="19" t="str">
        <f>VLOOKUP(A210,'ESTADOS ESTUDIANTES'!B:L,2,0)</f>
        <v>JULIAN ROLON VIDAL</v>
      </c>
      <c r="C210" s="19">
        <f>VLOOKUP(A210,'ESTADOS ESTUDIANTES'!B:L,3,0)</f>
        <v>295</v>
      </c>
      <c r="D210" s="66" t="str">
        <f>VLOOKUP(A210,'ESTADOS ESTUDIANTES'!B:L,4,0)</f>
        <v>MAE. EN CIENCIAS DE LA INF. Y LAS COMUNICACIONES ENFASIS EN SIS. INFOR</v>
      </c>
      <c r="E210" s="19" t="str">
        <f>VLOOKUP(A210,'ESTADOS ESTUDIANTES'!B:L,5,0)</f>
        <v>E</v>
      </c>
      <c r="F210" s="18" t="str">
        <f>VLOOKUP(E210,Listas!B1:C1004,2,0)</f>
        <v>EGRESADO</v>
      </c>
      <c r="G210" s="19" t="str">
        <f>VLOOKUP(A210,'ESTADOS ESTUDIANTES'!B:L,7,0)</f>
        <v>NO REGISTRA</v>
      </c>
      <c r="H210" s="19" t="str">
        <f>VLOOKUP(A210,'ESTADOS ESTUDIANTES'!B:L,8,0)</f>
        <v>jrolonv@correo.udistrital.edu.co</v>
      </c>
      <c r="I210" s="70" t="str">
        <f>VLOOKUP(A210,'ESTADOS ESTUDIANTES'!B:L,9,0)</f>
        <v>julian.rolon@gmail.com</v>
      </c>
      <c r="J210" s="19" t="str">
        <f>VLOOKUP(A210,'ESTADOS ESTUDIANTES'!B:L,10,0)</f>
        <v>CC</v>
      </c>
      <c r="K210" s="19">
        <f>VLOOKUP(A210,'ESTADOS ESTUDIANTES'!B:L,11,0)</f>
        <v>79786860</v>
      </c>
      <c r="L210" s="23"/>
      <c r="M210" s="20"/>
      <c r="N210" s="22"/>
      <c r="O210" s="15"/>
      <c r="P210" s="15"/>
      <c r="Q210" s="15"/>
      <c r="R210" s="15"/>
      <c r="S210" s="15"/>
      <c r="T210" s="15"/>
      <c r="U210" s="15"/>
    </row>
    <row r="211" spans="1:21" ht="90">
      <c r="A211" s="17">
        <v>20061295015</v>
      </c>
      <c r="B211" s="19" t="str">
        <f>VLOOKUP(A211,'ESTADOS ESTUDIANTES'!B:L,2,0)</f>
        <v>RUIZ BARRETO JAVIER FERNANDO</v>
      </c>
      <c r="C211" s="19">
        <f>VLOOKUP(A211,'ESTADOS ESTUDIANTES'!B:L,3,0)</f>
        <v>295</v>
      </c>
      <c r="D211" s="66" t="str">
        <f>VLOOKUP(A211,'ESTADOS ESTUDIANTES'!B:L,4,0)</f>
        <v>MAE. EN CIENCIAS DE LA INF. Y LAS COMUNICACIONES ENFASIS EN SIS. INFOR</v>
      </c>
      <c r="E211" s="19" t="str">
        <f>VLOOKUP(A211,'ESTADOS ESTUDIANTES'!B:L,5,0)</f>
        <v>X</v>
      </c>
      <c r="F211" s="18" t="str">
        <f>VLOOKUP(E211,Listas!B1:C1004,2,0)</f>
        <v>EXCLUIDO</v>
      </c>
      <c r="G211" s="19" t="str">
        <f>VLOOKUP(A211,'ESTADOS ESTUDIANTES'!B:L,7,0)</f>
        <v>NO REGISTRA</v>
      </c>
      <c r="H211" s="19" t="str">
        <f>VLOOKUP(A211,'ESTADOS ESTUDIANTES'!B:L,8,0)</f>
        <v>jfruizb@correo.udistrital.edu.co</v>
      </c>
      <c r="I211" s="70" t="str">
        <f>VLOOKUP(A211,'ESTADOS ESTUDIANTES'!B:L,9,0)</f>
        <v>jfruizb@estudiante.udistrital.edu.co</v>
      </c>
      <c r="J211" s="19" t="str">
        <f>VLOOKUP(A211,'ESTADOS ESTUDIANTES'!B:L,10,0)</f>
        <v>CC</v>
      </c>
      <c r="K211" s="19">
        <f>VLOOKUP(A211,'ESTADOS ESTUDIANTES'!B:L,11,0)</f>
        <v>80155443</v>
      </c>
      <c r="L211" s="23"/>
      <c r="M211" s="20"/>
      <c r="N211" s="22"/>
      <c r="O211" s="15"/>
      <c r="P211" s="15"/>
      <c r="Q211" s="15"/>
      <c r="R211" s="15"/>
      <c r="S211" s="15"/>
      <c r="T211" s="15"/>
      <c r="U211" s="15"/>
    </row>
    <row r="212" spans="1:21" ht="90">
      <c r="A212" s="17">
        <v>20061295016</v>
      </c>
      <c r="B212" s="19" t="str">
        <f>VLOOKUP(A212,'ESTADOS ESTUDIANTES'!B:L,2,0)</f>
        <v>BOLAÑOS GONZALEZ MANUEL ERNESTO</v>
      </c>
      <c r="C212" s="19">
        <f>VLOOKUP(A212,'ESTADOS ESTUDIANTES'!B:L,3,0)</f>
        <v>295</v>
      </c>
      <c r="D212" s="66" t="str">
        <f>VLOOKUP(A212,'ESTADOS ESTUDIANTES'!B:L,4,0)</f>
        <v>MAE. EN CIENCIAS DE LA INF. Y LAS COMUNICACIONES ENFASIS EN SIS. INFOR</v>
      </c>
      <c r="E212" s="19" t="str">
        <f>VLOOKUP(A212,'ESTADOS ESTUDIANTES'!B:L,5,0)</f>
        <v>E</v>
      </c>
      <c r="F212" s="18" t="str">
        <f>VLOOKUP(E212,Listas!B1:C1004,2,0)</f>
        <v>EGRESADO</v>
      </c>
      <c r="G212" s="19" t="str">
        <f>VLOOKUP(A212,'ESTADOS ESTUDIANTES'!B:L,7,0)</f>
        <v>NO REGISTRA</v>
      </c>
      <c r="H212" s="19" t="str">
        <f>VLOOKUP(A212,'ESTADOS ESTUDIANTES'!B:L,8,0)</f>
        <v>mbolanosg@correo.udistrital.edu.co</v>
      </c>
      <c r="I212" s="70" t="str">
        <f>VLOOKUP(A212,'ESTADOS ESTUDIANTES'!B:L,9,0)</f>
        <v>mbolanos@udenar.edu.co</v>
      </c>
      <c r="J212" s="19" t="str">
        <f>VLOOKUP(A212,'ESTADOS ESTUDIANTES'!B:L,10,0)</f>
        <v>CC</v>
      </c>
      <c r="K212" s="19">
        <f>VLOOKUP(A212,'ESTADOS ESTUDIANTES'!B:L,11,0)</f>
        <v>79457186</v>
      </c>
      <c r="L212" s="23"/>
      <c r="M212" s="20"/>
      <c r="N212" s="22"/>
      <c r="O212" s="15"/>
      <c r="P212" s="15"/>
      <c r="Q212" s="15"/>
      <c r="R212" s="15"/>
      <c r="S212" s="15"/>
      <c r="T212" s="15"/>
      <c r="U212" s="15"/>
    </row>
    <row r="213" spans="1:21" ht="90">
      <c r="A213" s="17">
        <v>20061295017</v>
      </c>
      <c r="B213" s="19" t="str">
        <f>VLOOKUP(A213,'ESTADOS ESTUDIANTES'!B:L,2,0)</f>
        <v>HERNANDEZ MARIN JOSE FERNANDO</v>
      </c>
      <c r="C213" s="19">
        <f>VLOOKUP(A213,'ESTADOS ESTUDIANTES'!B:L,3,0)</f>
        <v>295</v>
      </c>
      <c r="D213" s="66" t="str">
        <f>VLOOKUP(A213,'ESTADOS ESTUDIANTES'!B:L,4,0)</f>
        <v>MAE. EN CIENCIAS DE LA INF. Y LAS COMUNICACIONES ENFASIS EN SIS. INFOR</v>
      </c>
      <c r="E213" s="19" t="str">
        <f>VLOOKUP(A213,'ESTADOS ESTUDIANTES'!B:L,5,0)</f>
        <v>X</v>
      </c>
      <c r="F213" s="18" t="str">
        <f>VLOOKUP(E213,Listas!B1:C1004,2,0)</f>
        <v>EXCLUIDO</v>
      </c>
      <c r="G213" s="19" t="str">
        <f>VLOOKUP(A213,'ESTADOS ESTUDIANTES'!B:L,7,0)</f>
        <v>NO REGISTRA</v>
      </c>
      <c r="H213" s="19">
        <f>VLOOKUP(A213,'ESTADOS ESTUDIANTES'!B:L,8,0)</f>
        <v>0</v>
      </c>
      <c r="I213" s="70">
        <f>VLOOKUP(A213,'ESTADOS ESTUDIANTES'!B:L,9,0)</f>
        <v>0</v>
      </c>
      <c r="J213" s="19" t="str">
        <f>VLOOKUP(A213,'ESTADOS ESTUDIANTES'!B:L,10,0)</f>
        <v>CC</v>
      </c>
      <c r="K213" s="19">
        <f>VLOOKUP(A213,'ESTADOS ESTUDIANTES'!B:L,11,0)</f>
        <v>79907472</v>
      </c>
      <c r="L213" s="23"/>
      <c r="M213" s="20"/>
      <c r="N213" s="22"/>
      <c r="O213" s="15"/>
      <c r="P213" s="15"/>
      <c r="Q213" s="15"/>
      <c r="R213" s="15"/>
      <c r="S213" s="15"/>
      <c r="T213" s="15"/>
      <c r="U213" s="15"/>
    </row>
    <row r="214" spans="1:21" ht="90">
      <c r="A214" s="17">
        <v>20061295018</v>
      </c>
      <c r="B214" s="19" t="str">
        <f>VLOOKUP(A214,'ESTADOS ESTUDIANTES'!B:L,2,0)</f>
        <v>BOLAÑO GONZALEZ MANUEL ERNESTO</v>
      </c>
      <c r="C214" s="19">
        <f>VLOOKUP(A214,'ESTADOS ESTUDIANTES'!B:L,3,0)</f>
        <v>295</v>
      </c>
      <c r="D214" s="66" t="str">
        <f>VLOOKUP(A214,'ESTADOS ESTUDIANTES'!B:L,4,0)</f>
        <v>MAE. EN CIENCIAS DE LA INF. Y LAS COMUNICACIONES ENFASIS EN SIS. INFOR</v>
      </c>
      <c r="E214" s="19" t="str">
        <f>VLOOKUP(A214,'ESTADOS ESTUDIANTES'!B:L,5,0)</f>
        <v>X</v>
      </c>
      <c r="F214" s="18" t="str">
        <f>VLOOKUP(E214,Listas!B1:C1004,2,0)</f>
        <v>EXCLUIDO</v>
      </c>
      <c r="G214" s="19" t="str">
        <f>VLOOKUP(A214,'ESTADOS ESTUDIANTES'!B:L,7,0)</f>
        <v>NO REGISTRA</v>
      </c>
      <c r="H214" s="19">
        <f>VLOOKUP(A214,'ESTADOS ESTUDIANTES'!B:L,8,0)</f>
        <v>0</v>
      </c>
      <c r="I214" s="70">
        <f>VLOOKUP(A214,'ESTADOS ESTUDIANTES'!B:L,9,0)</f>
        <v>0</v>
      </c>
      <c r="J214" s="19" t="str">
        <f>VLOOKUP(A214,'ESTADOS ESTUDIANTES'!B:L,10,0)</f>
        <v>CC</v>
      </c>
      <c r="K214" s="19">
        <f>VLOOKUP(A214,'ESTADOS ESTUDIANTES'!B:L,11,0)</f>
        <v>79457186</v>
      </c>
      <c r="L214" s="23"/>
      <c r="M214" s="20"/>
      <c r="N214" s="22"/>
      <c r="O214" s="15"/>
      <c r="P214" s="15"/>
      <c r="Q214" s="15"/>
      <c r="R214" s="15"/>
      <c r="S214" s="15"/>
      <c r="T214" s="15"/>
      <c r="U214" s="15"/>
    </row>
    <row r="215" spans="1:21" ht="90">
      <c r="A215" s="17">
        <v>20061295019</v>
      </c>
      <c r="B215" s="19" t="str">
        <f>VLOOKUP(A215,'ESTADOS ESTUDIANTES'!B:L,2,0)</f>
        <v>TORO MARQUEZ SERGIO ANDRES</v>
      </c>
      <c r="C215" s="19">
        <f>VLOOKUP(A215,'ESTADOS ESTUDIANTES'!B:L,3,0)</f>
        <v>295</v>
      </c>
      <c r="D215" s="66" t="str">
        <f>VLOOKUP(A215,'ESTADOS ESTUDIANTES'!B:L,4,0)</f>
        <v>MAE. EN CIENCIAS DE LA INF. Y LAS COMUNICACIONES ENFASIS EN SIS. INFOR</v>
      </c>
      <c r="E215" s="19" t="str">
        <f>VLOOKUP(A215,'ESTADOS ESTUDIANTES'!B:L,5,0)</f>
        <v>X</v>
      </c>
      <c r="F215" s="18" t="str">
        <f>VLOOKUP(E215,Listas!B1:C1004,2,0)</f>
        <v>EXCLUIDO</v>
      </c>
      <c r="G215" s="19" t="str">
        <f>VLOOKUP(A215,'ESTADOS ESTUDIANTES'!B:L,7,0)</f>
        <v>NO REGISTRA</v>
      </c>
      <c r="H215" s="19">
        <f>VLOOKUP(A215,'ESTADOS ESTUDIANTES'!B:L,8,0)</f>
        <v>0</v>
      </c>
      <c r="I215" s="70">
        <f>VLOOKUP(A215,'ESTADOS ESTUDIANTES'!B:L,9,0)</f>
        <v>0</v>
      </c>
      <c r="J215" s="19" t="str">
        <f>VLOOKUP(A215,'ESTADOS ESTUDIANTES'!B:L,10,0)</f>
        <v>CC</v>
      </c>
      <c r="K215" s="19">
        <f>VLOOKUP(A215,'ESTADOS ESTUDIANTES'!B:L,11,0)</f>
        <v>7601769</v>
      </c>
      <c r="L215" s="23"/>
      <c r="M215" s="20"/>
      <c r="N215" s="22"/>
      <c r="O215" s="15"/>
      <c r="P215" s="15"/>
      <c r="Q215" s="15"/>
      <c r="R215" s="15"/>
      <c r="S215" s="15"/>
      <c r="T215" s="15"/>
      <c r="U215" s="15"/>
    </row>
    <row r="216" spans="1:21" ht="90">
      <c r="A216" s="17">
        <v>20062195002</v>
      </c>
      <c r="B216" s="19" t="str">
        <f>VLOOKUP(A216,'ESTADOS ESTUDIANTES'!B:L,2,0)</f>
        <v>GARZON RODRIGUEZ YAQUELINE</v>
      </c>
      <c r="C216" s="19">
        <f>VLOOKUP(A216,'ESTADOS ESTUDIANTES'!B:L,3,0)</f>
        <v>195</v>
      </c>
      <c r="D216" s="66" t="str">
        <f>VLOOKUP(A216,'ESTADOS ESTUDIANTES'!B:L,4,0)</f>
        <v>MAE. EN CIENCIAS DE LA INF. Y LAS COMUNICACIONES ENFASIS EN TELEINF.</v>
      </c>
      <c r="E216" s="19" t="str">
        <f>VLOOKUP(A216,'ESTADOS ESTUDIANTES'!B:L,5,0)</f>
        <v>E</v>
      </c>
      <c r="F216" s="18" t="str">
        <f>VLOOKUP(E216,Listas!B1:C1004,2,0)</f>
        <v>EGRESADO</v>
      </c>
      <c r="G216" s="19" t="str">
        <f>VLOOKUP(A216,'ESTADOS ESTUDIANTES'!B:L,7,0)</f>
        <v>NO REGISTRA</v>
      </c>
      <c r="H216" s="19" t="str">
        <f>VLOOKUP(A216,'ESTADOS ESTUDIANTES'!B:L,8,0)</f>
        <v>ygarzonr@udistrital.edu.co</v>
      </c>
      <c r="I216" s="70" t="str">
        <f>VLOOKUP(A216,'ESTADOS ESTUDIANTES'!B:L,9,0)</f>
        <v>ygarzonr@udistrital.edu.co</v>
      </c>
      <c r="J216" s="19" t="str">
        <f>VLOOKUP(A216,'ESTADOS ESTUDIANTES'!B:L,10,0)</f>
        <v>CC</v>
      </c>
      <c r="K216" s="19">
        <f>VLOOKUP(A216,'ESTADOS ESTUDIANTES'!B:L,11,0)</f>
        <v>52529975</v>
      </c>
      <c r="L216" s="23"/>
      <c r="M216" s="20"/>
      <c r="N216" s="22"/>
      <c r="O216" s="15"/>
      <c r="P216" s="15"/>
      <c r="Q216" s="15"/>
      <c r="R216" s="15"/>
      <c r="S216" s="15"/>
      <c r="T216" s="15"/>
      <c r="U216" s="15"/>
    </row>
    <row r="217" spans="1:21" ht="90">
      <c r="A217" s="17">
        <v>20062195003</v>
      </c>
      <c r="B217" s="19" t="str">
        <f>VLOOKUP(A217,'ESTADOS ESTUDIANTES'!B:L,2,0)</f>
        <v>RICARDO ALIRIO GONZALEZ BUSTAMANTE</v>
      </c>
      <c r="C217" s="19">
        <f>VLOOKUP(A217,'ESTADOS ESTUDIANTES'!B:L,3,0)</f>
        <v>195</v>
      </c>
      <c r="D217" s="66" t="str">
        <f>VLOOKUP(A217,'ESTADOS ESTUDIANTES'!B:L,4,0)</f>
        <v>MAE. EN CIENCIAS DE LA INF. Y LAS COMUNICACIONES ENFASIS EN TELEINF.</v>
      </c>
      <c r="E217" s="19" t="str">
        <f>VLOOKUP(A217,'ESTADOS ESTUDIANTES'!B:L,5,0)</f>
        <v>E</v>
      </c>
      <c r="F217" s="18" t="str">
        <f>VLOOKUP(E217,Listas!B1:C1004,2,0)</f>
        <v>EGRESADO</v>
      </c>
      <c r="G217" s="19" t="str">
        <f>VLOOKUP(A217,'ESTADOS ESTUDIANTES'!B:L,7,0)</f>
        <v>NO REGISTRA</v>
      </c>
      <c r="H217" s="19" t="str">
        <f>VLOOKUP(A217,'ESTADOS ESTUDIANTES'!B:L,8,0)</f>
        <v>ragonzalezb@correo.udistrital.edu.co</v>
      </c>
      <c r="I217" s="70" t="str">
        <f>VLOOKUP(A217,'ESTADOS ESTUDIANTES'!B:L,9,0)</f>
        <v>ricargonzalez@gmail.com</v>
      </c>
      <c r="J217" s="19" t="str">
        <f>VLOOKUP(A217,'ESTADOS ESTUDIANTES'!B:L,10,0)</f>
        <v>CC</v>
      </c>
      <c r="K217" s="19">
        <f>VLOOKUP(A217,'ESTADOS ESTUDIANTES'!B:L,11,0)</f>
        <v>79333839</v>
      </c>
      <c r="L217" s="23"/>
      <c r="M217" s="20"/>
      <c r="N217" s="22"/>
      <c r="O217" s="15"/>
      <c r="P217" s="15"/>
      <c r="Q217" s="15"/>
      <c r="R217" s="15"/>
      <c r="S217" s="15"/>
      <c r="T217" s="15"/>
      <c r="U217" s="15"/>
    </row>
    <row r="218" spans="1:21" ht="90">
      <c r="A218" s="17">
        <v>20062195004</v>
      </c>
      <c r="B218" s="19" t="str">
        <f>VLOOKUP(A218,'ESTADOS ESTUDIANTES'!B:L,2,0)</f>
        <v>GUTIERREZ NARVAEZ JOHN JAIRO</v>
      </c>
      <c r="C218" s="19">
        <f>VLOOKUP(A218,'ESTADOS ESTUDIANTES'!B:L,3,0)</f>
        <v>195</v>
      </c>
      <c r="D218" s="66" t="str">
        <f>VLOOKUP(A218,'ESTADOS ESTUDIANTES'!B:L,4,0)</f>
        <v>MAE. EN CIENCIAS DE LA INF. Y LAS COMUNICACIONES ENFASIS EN TELEINF.</v>
      </c>
      <c r="E218" s="19" t="str">
        <f>VLOOKUP(A218,'ESTADOS ESTUDIANTES'!B:L,5,0)</f>
        <v>X</v>
      </c>
      <c r="F218" s="18" t="str">
        <f>VLOOKUP(E218,Listas!B1:C1004,2,0)</f>
        <v>EXCLUIDO</v>
      </c>
      <c r="G218" s="19" t="str">
        <f>VLOOKUP(A218,'ESTADOS ESTUDIANTES'!B:L,7,0)</f>
        <v>NO REGISTRA</v>
      </c>
      <c r="H218" s="19" t="str">
        <f>VLOOKUP(A218,'ESTADOS ESTUDIANTES'!B:L,8,0)</f>
        <v>jjgutierrezn@correo.udistrital.edu.co</v>
      </c>
      <c r="I218" s="70" t="str">
        <f>VLOOKUP(A218,'ESTADOS ESTUDIANTES'!B:L,9,0)</f>
        <v>jjgutin@yahoo.com</v>
      </c>
      <c r="J218" s="19" t="str">
        <f>VLOOKUP(A218,'ESTADOS ESTUDIANTES'!B:L,10,0)</f>
        <v>CC</v>
      </c>
      <c r="K218" s="19">
        <f>VLOOKUP(A218,'ESTADOS ESTUDIANTES'!B:L,11,0)</f>
        <v>79947963</v>
      </c>
      <c r="L218" s="23"/>
      <c r="M218" s="20"/>
      <c r="N218" s="22"/>
      <c r="O218" s="15"/>
      <c r="P218" s="15"/>
      <c r="Q218" s="15"/>
      <c r="R218" s="15"/>
      <c r="S218" s="15"/>
      <c r="T218" s="15"/>
      <c r="U218" s="15"/>
    </row>
    <row r="219" spans="1:21" ht="90">
      <c r="A219" s="17">
        <v>20062195005</v>
      </c>
      <c r="B219" s="19" t="str">
        <f>VLOOKUP(A219,'ESTADOS ESTUDIANTES'!B:L,2,0)</f>
        <v>JAIMES FERNANDEZ WILMAR</v>
      </c>
      <c r="C219" s="19">
        <f>VLOOKUP(A219,'ESTADOS ESTUDIANTES'!B:L,3,0)</f>
        <v>195</v>
      </c>
      <c r="D219" s="66" t="str">
        <f>VLOOKUP(A219,'ESTADOS ESTUDIANTES'!B:L,4,0)</f>
        <v>MAE. EN CIENCIAS DE LA INF. Y LAS COMUNICACIONES ENFASIS EN TELEINF.</v>
      </c>
      <c r="E219" s="19" t="str">
        <f>VLOOKUP(A219,'ESTADOS ESTUDIANTES'!B:L,5,0)</f>
        <v>X</v>
      </c>
      <c r="F219" s="18" t="str">
        <f>VLOOKUP(E219,Listas!B1:C1004,2,0)</f>
        <v>EXCLUIDO</v>
      </c>
      <c r="G219" s="19" t="str">
        <f>VLOOKUP(A219,'ESTADOS ESTUDIANTES'!B:L,7,0)</f>
        <v>NO REGISTRA</v>
      </c>
      <c r="H219" s="19" t="str">
        <f>VLOOKUP(A219,'ESTADOS ESTUDIANTES'!B:L,8,0)</f>
        <v>wjaimesf@correo.udistrital.edu.co</v>
      </c>
      <c r="I219" s="70" t="str">
        <f>VLOOKUP(A219,'ESTADOS ESTUDIANTES'!B:L,9,0)</f>
        <v>wilmar.jaimes@gmail.com</v>
      </c>
      <c r="J219" s="19" t="str">
        <f>VLOOKUP(A219,'ESTADOS ESTUDIANTES'!B:L,10,0)</f>
        <v>CC</v>
      </c>
      <c r="K219" s="19">
        <f>VLOOKUP(A219,'ESTADOS ESTUDIANTES'!B:L,11,0)</f>
        <v>80795877</v>
      </c>
      <c r="L219" s="23"/>
      <c r="M219" s="20"/>
      <c r="N219" s="22"/>
      <c r="O219" s="15"/>
      <c r="P219" s="15"/>
      <c r="Q219" s="15"/>
      <c r="R219" s="15"/>
      <c r="S219" s="15"/>
      <c r="T219" s="15"/>
      <c r="U219" s="15"/>
    </row>
    <row r="220" spans="1:21" ht="90">
      <c r="A220" s="17">
        <v>20062195006</v>
      </c>
      <c r="B220" s="19" t="str">
        <f>VLOOKUP(A220,'ESTADOS ESTUDIANTES'!B:L,2,0)</f>
        <v>LOPEZ SEVILLANO ALEXANDRA MARIA</v>
      </c>
      <c r="C220" s="19">
        <f>VLOOKUP(A220,'ESTADOS ESTUDIANTES'!B:L,3,0)</f>
        <v>195</v>
      </c>
      <c r="D220" s="66" t="str">
        <f>VLOOKUP(A220,'ESTADOS ESTUDIANTES'!B:L,4,0)</f>
        <v>MAE. EN CIENCIAS DE LA INF. Y LAS COMUNICACIONES ENFASIS EN TELEINF.</v>
      </c>
      <c r="E220" s="19" t="str">
        <f>VLOOKUP(A220,'ESTADOS ESTUDIANTES'!B:L,5,0)</f>
        <v>E</v>
      </c>
      <c r="F220" s="18" t="str">
        <f>VLOOKUP(E220,Listas!B1:C1004,2,0)</f>
        <v>EGRESADO</v>
      </c>
      <c r="G220" s="19" t="str">
        <f>VLOOKUP(A220,'ESTADOS ESTUDIANTES'!B:L,7,0)</f>
        <v>NO REGISTRA</v>
      </c>
      <c r="H220" s="19" t="str">
        <f>VLOOKUP(A220,'ESTADOS ESTUDIANTES'!B:L,8,0)</f>
        <v>amlopezs@udistrital.edu.co</v>
      </c>
      <c r="I220" s="70" t="str">
        <f>VLOOKUP(A220,'ESTADOS ESTUDIANTES'!B:L,9,0)</f>
        <v>alelose@gmail.com</v>
      </c>
      <c r="J220" s="19" t="str">
        <f>VLOOKUP(A220,'ESTADOS ESTUDIANTES'!B:L,10,0)</f>
        <v>CC</v>
      </c>
      <c r="K220" s="19">
        <f>VLOOKUP(A220,'ESTADOS ESTUDIANTES'!B:L,11,0)</f>
        <v>52156500</v>
      </c>
      <c r="L220" s="23"/>
      <c r="M220" s="20"/>
      <c r="N220" s="22"/>
      <c r="O220" s="15"/>
      <c r="P220" s="15"/>
      <c r="Q220" s="15"/>
      <c r="R220" s="15"/>
      <c r="S220" s="15"/>
      <c r="T220" s="15"/>
      <c r="U220" s="15"/>
    </row>
    <row r="221" spans="1:21" ht="90">
      <c r="A221" s="17">
        <v>20062195007</v>
      </c>
      <c r="B221" s="19" t="str">
        <f>VLOOKUP(A221,'ESTADOS ESTUDIANTES'!B:L,2,0)</f>
        <v>MILLAN MENDEZ JAIRO ALONSO</v>
      </c>
      <c r="C221" s="19">
        <f>VLOOKUP(A221,'ESTADOS ESTUDIANTES'!B:L,3,0)</f>
        <v>195</v>
      </c>
      <c r="D221" s="66" t="str">
        <f>VLOOKUP(A221,'ESTADOS ESTUDIANTES'!B:L,4,0)</f>
        <v>MAE. EN CIENCIAS DE LA INF. Y LAS COMUNICACIONES ENFASIS EN TELEINF.</v>
      </c>
      <c r="E221" s="19" t="str">
        <f>VLOOKUP(A221,'ESTADOS ESTUDIANTES'!B:L,5,0)</f>
        <v>X</v>
      </c>
      <c r="F221" s="18" t="str">
        <f>VLOOKUP(E221,Listas!B1:C1004,2,0)</f>
        <v>EXCLUIDO</v>
      </c>
      <c r="G221" s="19" t="str">
        <f>VLOOKUP(A221,'ESTADOS ESTUDIANTES'!B:L,7,0)</f>
        <v>NO REGISTRA</v>
      </c>
      <c r="H221" s="19" t="str">
        <f>VLOOKUP(A221,'ESTADOS ESTUDIANTES'!B:L,8,0)</f>
        <v>jamillanm@udistrital.edu.co</v>
      </c>
      <c r="I221" s="70" t="str">
        <f>VLOOKUP(A221,'ESTADOS ESTUDIANTES'!B:L,9,0)</f>
        <v>ingjmillan@hotmail.com</v>
      </c>
      <c r="J221" s="19" t="str">
        <f>VLOOKUP(A221,'ESTADOS ESTUDIANTES'!B:L,10,0)</f>
        <v>CC</v>
      </c>
      <c r="K221" s="19">
        <f>VLOOKUP(A221,'ESTADOS ESTUDIANTES'!B:L,11,0)</f>
        <v>79968085</v>
      </c>
      <c r="L221" s="23"/>
      <c r="M221" s="20"/>
      <c r="N221" s="22"/>
      <c r="O221" s="15"/>
      <c r="P221" s="15"/>
      <c r="Q221" s="15"/>
      <c r="R221" s="15"/>
      <c r="S221" s="15"/>
      <c r="T221" s="15"/>
      <c r="U221" s="15"/>
    </row>
    <row r="222" spans="1:21" ht="90">
      <c r="A222" s="17">
        <v>20062195008</v>
      </c>
      <c r="B222" s="19" t="str">
        <f>VLOOKUP(A222,'ESTADOS ESTUDIANTES'!B:L,2,0)</f>
        <v>OSORIO FORERO DIEGO ALBERTO</v>
      </c>
      <c r="C222" s="19">
        <f>VLOOKUP(A222,'ESTADOS ESTUDIANTES'!B:L,3,0)</f>
        <v>195</v>
      </c>
      <c r="D222" s="66" t="str">
        <f>VLOOKUP(A222,'ESTADOS ESTUDIANTES'!B:L,4,0)</f>
        <v>MAE. EN CIENCIAS DE LA INF. Y LAS COMUNICACIONES ENFASIS EN TELEINF.</v>
      </c>
      <c r="E222" s="19" t="str">
        <f>VLOOKUP(A222,'ESTADOS ESTUDIANTES'!B:L,5,0)</f>
        <v>X</v>
      </c>
      <c r="F222" s="18" t="str">
        <f>VLOOKUP(E222,Listas!B1:C1004,2,0)</f>
        <v>EXCLUIDO</v>
      </c>
      <c r="G222" s="19" t="str">
        <f>VLOOKUP(A222,'ESTADOS ESTUDIANTES'!B:L,7,0)</f>
        <v>NO REGISTRA</v>
      </c>
      <c r="H222" s="19">
        <f>VLOOKUP(A222,'ESTADOS ESTUDIANTES'!B:L,8,0)</f>
        <v>0</v>
      </c>
      <c r="I222" s="70">
        <f>VLOOKUP(A222,'ESTADOS ESTUDIANTES'!B:L,9,0)</f>
        <v>0</v>
      </c>
      <c r="J222" s="19" t="str">
        <f>VLOOKUP(A222,'ESTADOS ESTUDIANTES'!B:L,10,0)</f>
        <v>CC</v>
      </c>
      <c r="K222" s="19">
        <f>VLOOKUP(A222,'ESTADOS ESTUDIANTES'!B:L,11,0)</f>
        <v>73648011</v>
      </c>
      <c r="L222" s="23"/>
      <c r="M222" s="20"/>
      <c r="N222" s="22"/>
      <c r="O222" s="15"/>
      <c r="P222" s="15"/>
      <c r="Q222" s="15"/>
      <c r="R222" s="15"/>
      <c r="S222" s="15"/>
      <c r="T222" s="15"/>
      <c r="U222" s="15"/>
    </row>
    <row r="223" spans="1:21" ht="90">
      <c r="A223" s="17">
        <v>20062195009</v>
      </c>
      <c r="B223" s="19" t="str">
        <f>VLOOKUP(A223,'ESTADOS ESTUDIANTES'!B:L,2,0)</f>
        <v>RAMIREZ NIÑO DIANA CRISTINA</v>
      </c>
      <c r="C223" s="19">
        <f>VLOOKUP(A223,'ESTADOS ESTUDIANTES'!B:L,3,0)</f>
        <v>195</v>
      </c>
      <c r="D223" s="66" t="str">
        <f>VLOOKUP(A223,'ESTADOS ESTUDIANTES'!B:L,4,0)</f>
        <v>MAE. EN CIENCIAS DE LA INF. Y LAS COMUNICACIONES ENFASIS EN TELEINF.</v>
      </c>
      <c r="E223" s="19" t="str">
        <f>VLOOKUP(A223,'ESTADOS ESTUDIANTES'!B:L,5,0)</f>
        <v>X</v>
      </c>
      <c r="F223" s="18" t="str">
        <f>VLOOKUP(E223,Listas!B1:C1004,2,0)</f>
        <v>EXCLUIDO</v>
      </c>
      <c r="G223" s="19" t="str">
        <f>VLOOKUP(A223,'ESTADOS ESTUDIANTES'!B:L,7,0)</f>
        <v>NO REGISTRA</v>
      </c>
      <c r="H223" s="19">
        <f>VLOOKUP(A223,'ESTADOS ESTUDIANTES'!B:L,8,0)</f>
        <v>0</v>
      </c>
      <c r="I223" s="70">
        <f>VLOOKUP(A223,'ESTADOS ESTUDIANTES'!B:L,9,0)</f>
        <v>0</v>
      </c>
      <c r="J223" s="19" t="str">
        <f>VLOOKUP(A223,'ESTADOS ESTUDIANTES'!B:L,10,0)</f>
        <v>CC</v>
      </c>
      <c r="K223" s="19">
        <f>VLOOKUP(A223,'ESTADOS ESTUDIANTES'!B:L,11,0)</f>
        <v>52217249</v>
      </c>
      <c r="L223" s="23"/>
      <c r="M223" s="20"/>
      <c r="N223" s="22"/>
      <c r="O223" s="15"/>
      <c r="P223" s="15"/>
      <c r="Q223" s="15"/>
      <c r="R223" s="15"/>
      <c r="S223" s="15"/>
      <c r="T223" s="15"/>
      <c r="U223" s="15"/>
    </row>
    <row r="224" spans="1:21" ht="90">
      <c r="A224" s="17">
        <v>20062195010</v>
      </c>
      <c r="B224" s="19" t="str">
        <f>VLOOKUP(A224,'ESTADOS ESTUDIANTES'!B:L,2,0)</f>
        <v>RESTREPO ORAMAS CARLOS ALFONSO</v>
      </c>
      <c r="C224" s="19">
        <f>VLOOKUP(A224,'ESTADOS ESTUDIANTES'!B:L,3,0)</f>
        <v>195</v>
      </c>
      <c r="D224" s="66" t="str">
        <f>VLOOKUP(A224,'ESTADOS ESTUDIANTES'!B:L,4,0)</f>
        <v>MAE. EN CIENCIAS DE LA INF. Y LAS COMUNICACIONES ENFASIS EN TELEINF.</v>
      </c>
      <c r="E224" s="19" t="str">
        <f>VLOOKUP(A224,'ESTADOS ESTUDIANTES'!B:L,5,0)</f>
        <v>X</v>
      </c>
      <c r="F224" s="18" t="str">
        <f>VLOOKUP(E224,Listas!B1:C1004,2,0)</f>
        <v>EXCLUIDO</v>
      </c>
      <c r="G224" s="19" t="str">
        <f>VLOOKUP(A224,'ESTADOS ESTUDIANTES'!B:L,7,0)</f>
        <v>NO REGISTRA</v>
      </c>
      <c r="H224" s="19">
        <f>VLOOKUP(A224,'ESTADOS ESTUDIANTES'!B:L,8,0)</f>
        <v>0</v>
      </c>
      <c r="I224" s="70">
        <f>VLOOKUP(A224,'ESTADOS ESTUDIANTES'!B:L,9,0)</f>
        <v>0</v>
      </c>
      <c r="J224" s="19" t="str">
        <f>VLOOKUP(A224,'ESTADOS ESTUDIANTES'!B:L,10,0)</f>
        <v>CC</v>
      </c>
      <c r="K224" s="19">
        <f>VLOOKUP(A224,'ESTADOS ESTUDIANTES'!B:L,11,0)</f>
        <v>79400955</v>
      </c>
      <c r="L224" s="23"/>
      <c r="M224" s="20"/>
      <c r="N224" s="22"/>
      <c r="O224" s="15"/>
      <c r="P224" s="15"/>
      <c r="Q224" s="15"/>
      <c r="R224" s="15"/>
      <c r="S224" s="15"/>
      <c r="T224" s="15"/>
      <c r="U224" s="15"/>
    </row>
    <row r="225" spans="1:21" ht="90">
      <c r="A225" s="17">
        <v>20062195011</v>
      </c>
      <c r="B225" s="19" t="str">
        <f>VLOOKUP(A225,'ESTADOS ESTUDIANTES'!B:L,2,0)</f>
        <v>RODRIGUEZ SUAREZ CESAR AUGUSTO</v>
      </c>
      <c r="C225" s="19">
        <f>VLOOKUP(A225,'ESTADOS ESTUDIANTES'!B:L,3,0)</f>
        <v>195</v>
      </c>
      <c r="D225" s="66" t="str">
        <f>VLOOKUP(A225,'ESTADOS ESTUDIANTES'!B:L,4,0)</f>
        <v>MAE. EN CIENCIAS DE LA INF. Y LAS COMUNICACIONES ENFASIS EN TELEINF.</v>
      </c>
      <c r="E225" s="19" t="str">
        <f>VLOOKUP(A225,'ESTADOS ESTUDIANTES'!B:L,5,0)</f>
        <v>E</v>
      </c>
      <c r="F225" s="18" t="str">
        <f>VLOOKUP(E225,Listas!B1:C1004,2,0)</f>
        <v>EGRESADO</v>
      </c>
      <c r="G225" s="19" t="str">
        <f>VLOOKUP(A225,'ESTADOS ESTUDIANTES'!B:L,7,0)</f>
        <v>NO REGISTRA</v>
      </c>
      <c r="H225" s="19">
        <f>VLOOKUP(A225,'ESTADOS ESTUDIANTES'!B:L,8,0)</f>
        <v>0</v>
      </c>
      <c r="I225" s="70" t="str">
        <f>VLOOKUP(A225,'ESTADOS ESTUDIANTES'!B:L,9,0)</f>
        <v>sicarsoft@hotmail.com</v>
      </c>
      <c r="J225" s="19" t="str">
        <f>VLOOKUP(A225,'ESTADOS ESTUDIANTES'!B:L,10,0)</f>
        <v>CC</v>
      </c>
      <c r="K225" s="19">
        <f>VLOOKUP(A225,'ESTADOS ESTUDIANTES'!B:L,11,0)</f>
        <v>10025092</v>
      </c>
      <c r="L225" s="23"/>
      <c r="M225" s="20"/>
      <c r="N225" s="22"/>
      <c r="O225" s="15"/>
      <c r="P225" s="15"/>
      <c r="Q225" s="15"/>
      <c r="R225" s="15"/>
      <c r="S225" s="15"/>
      <c r="T225" s="15"/>
      <c r="U225" s="15"/>
    </row>
    <row r="226" spans="1:21" ht="90">
      <c r="A226" s="17">
        <v>20062195012</v>
      </c>
      <c r="B226" s="19" t="str">
        <f>VLOOKUP(A226,'ESTADOS ESTUDIANTES'!B:L,2,0)</f>
        <v>RUBIANO CAMARGO DANNY MARSEL</v>
      </c>
      <c r="C226" s="19">
        <f>VLOOKUP(A226,'ESTADOS ESTUDIANTES'!B:L,3,0)</f>
        <v>195</v>
      </c>
      <c r="D226" s="66" t="str">
        <f>VLOOKUP(A226,'ESTADOS ESTUDIANTES'!B:L,4,0)</f>
        <v>MAE. EN CIENCIAS DE LA INF. Y LAS COMUNICACIONES ENFASIS EN TELEINF.</v>
      </c>
      <c r="E226" s="19" t="str">
        <f>VLOOKUP(A226,'ESTADOS ESTUDIANTES'!B:L,5,0)</f>
        <v>X</v>
      </c>
      <c r="F226" s="18" t="str">
        <f>VLOOKUP(E226,Listas!B1:C1004,2,0)</f>
        <v>EXCLUIDO</v>
      </c>
      <c r="G226" s="19">
        <f>VLOOKUP(A226,'ESTADOS ESTUDIANTES'!B:L,7,0)</f>
        <v>3</v>
      </c>
      <c r="H226" s="19" t="str">
        <f>VLOOKUP(A226,'ESTADOS ESTUDIANTES'!B:L,8,0)</f>
        <v>dmrubianoc@correo.udistrital.edu.co</v>
      </c>
      <c r="I226" s="70" t="str">
        <f>VLOOKUP(A226,'ESTADOS ESTUDIANTES'!B:L,9,0)</f>
        <v>drsoft@gmail.com</v>
      </c>
      <c r="J226" s="19" t="str">
        <f>VLOOKUP(A226,'ESTADOS ESTUDIANTES'!B:L,10,0)</f>
        <v>CC</v>
      </c>
      <c r="K226" s="19">
        <f>VLOOKUP(A226,'ESTADOS ESTUDIANTES'!B:L,11,0)</f>
        <v>79792513</v>
      </c>
      <c r="L226" s="23"/>
      <c r="M226" s="20"/>
      <c r="N226" s="22"/>
      <c r="O226" s="15"/>
      <c r="P226" s="15"/>
      <c r="Q226" s="15"/>
      <c r="R226" s="15"/>
      <c r="S226" s="15"/>
      <c r="T226" s="15"/>
      <c r="U226" s="15"/>
    </row>
    <row r="227" spans="1:21" ht="90">
      <c r="A227" s="17">
        <v>20062195013</v>
      </c>
      <c r="B227" s="19" t="str">
        <f>VLOOKUP(A227,'ESTADOS ESTUDIANTES'!B:L,2,0)</f>
        <v>RUIZ ROJAS ANGELICA MARIA</v>
      </c>
      <c r="C227" s="19">
        <f>VLOOKUP(A227,'ESTADOS ESTUDIANTES'!B:L,3,0)</f>
        <v>195</v>
      </c>
      <c r="D227" s="66" t="str">
        <f>VLOOKUP(A227,'ESTADOS ESTUDIANTES'!B:L,4,0)</f>
        <v>MAE. EN CIENCIAS DE LA INF. Y LAS COMUNICACIONES ENFASIS EN TELEINF.</v>
      </c>
      <c r="E227" s="19" t="str">
        <f>VLOOKUP(A227,'ESTADOS ESTUDIANTES'!B:L,5,0)</f>
        <v>X</v>
      </c>
      <c r="F227" s="18" t="str">
        <f>VLOOKUP(E227,Listas!B1:C1004,2,0)</f>
        <v>EXCLUIDO</v>
      </c>
      <c r="G227" s="19" t="str">
        <f>VLOOKUP(A227,'ESTADOS ESTUDIANTES'!B:L,7,0)</f>
        <v>NO REGISTRA</v>
      </c>
      <c r="H227" s="19">
        <f>VLOOKUP(A227,'ESTADOS ESTUDIANTES'!B:L,8,0)</f>
        <v>0</v>
      </c>
      <c r="I227" s="70">
        <f>VLOOKUP(A227,'ESTADOS ESTUDIANTES'!B:L,9,0)</f>
        <v>0</v>
      </c>
      <c r="J227" s="19" t="str">
        <f>VLOOKUP(A227,'ESTADOS ESTUDIANTES'!B:L,10,0)</f>
        <v>CC</v>
      </c>
      <c r="K227" s="19">
        <f>VLOOKUP(A227,'ESTADOS ESTUDIANTES'!B:L,11,0)</f>
        <v>52531041</v>
      </c>
      <c r="L227" s="23"/>
      <c r="M227" s="20"/>
      <c r="N227" s="22"/>
      <c r="O227" s="15"/>
      <c r="P227" s="15"/>
      <c r="Q227" s="15"/>
      <c r="R227" s="15"/>
      <c r="S227" s="15"/>
      <c r="T227" s="15"/>
      <c r="U227" s="15"/>
    </row>
    <row r="228" spans="1:21" ht="90">
      <c r="A228" s="17">
        <v>20062195014</v>
      </c>
      <c r="B228" s="19" t="str">
        <f>VLOOKUP(A228,'ESTADOS ESTUDIANTES'!B:L,2,0)</f>
        <v>SANDINO POLANIA OSCAR LIBARDO</v>
      </c>
      <c r="C228" s="19">
        <f>VLOOKUP(A228,'ESTADOS ESTUDIANTES'!B:L,3,0)</f>
        <v>195</v>
      </c>
      <c r="D228" s="66" t="str">
        <f>VLOOKUP(A228,'ESTADOS ESTUDIANTES'!B:L,4,0)</f>
        <v>MAE. EN CIENCIAS DE LA INF. Y LAS COMUNICACIONES ENFASIS EN TELEINF.</v>
      </c>
      <c r="E228" s="19" t="str">
        <f>VLOOKUP(A228,'ESTADOS ESTUDIANTES'!B:L,5,0)</f>
        <v>X</v>
      </c>
      <c r="F228" s="18" t="str">
        <f>VLOOKUP(E228,Listas!B1:C1004,2,0)</f>
        <v>EXCLUIDO</v>
      </c>
      <c r="G228" s="19" t="str">
        <f>VLOOKUP(A228,'ESTADOS ESTUDIANTES'!B:L,7,0)</f>
        <v>NO REGISTRA</v>
      </c>
      <c r="H228" s="19">
        <f>VLOOKUP(A228,'ESTADOS ESTUDIANTES'!B:L,8,0)</f>
        <v>0</v>
      </c>
      <c r="I228" s="70">
        <f>VLOOKUP(A228,'ESTADOS ESTUDIANTES'!B:L,9,0)</f>
        <v>0</v>
      </c>
      <c r="J228" s="19" t="str">
        <f>VLOOKUP(A228,'ESTADOS ESTUDIANTES'!B:L,10,0)</f>
        <v>CC</v>
      </c>
      <c r="K228" s="19">
        <f>VLOOKUP(A228,'ESTADOS ESTUDIANTES'!B:L,11,0)</f>
        <v>79268143</v>
      </c>
      <c r="L228" s="23"/>
      <c r="M228" s="20"/>
      <c r="N228" s="22"/>
      <c r="O228" s="15"/>
      <c r="P228" s="15"/>
      <c r="Q228" s="15"/>
      <c r="R228" s="15"/>
      <c r="S228" s="15"/>
      <c r="T228" s="15"/>
      <c r="U228" s="15"/>
    </row>
    <row r="229" spans="1:21" ht="90">
      <c r="A229" s="17">
        <v>20062195015</v>
      </c>
      <c r="B229" s="19" t="str">
        <f>VLOOKUP(A229,'ESTADOS ESTUDIANTES'!B:L,2,0)</f>
        <v>VASQUEZ ESCAMILLA JIMENA</v>
      </c>
      <c r="C229" s="19">
        <f>VLOOKUP(A229,'ESTADOS ESTUDIANTES'!B:L,3,0)</f>
        <v>195</v>
      </c>
      <c r="D229" s="66" t="str">
        <f>VLOOKUP(A229,'ESTADOS ESTUDIANTES'!B:L,4,0)</f>
        <v>MAE. EN CIENCIAS DE LA INF. Y LAS COMUNICACIONES ENFASIS EN TELEINF.</v>
      </c>
      <c r="E229" s="19" t="str">
        <f>VLOOKUP(A229,'ESTADOS ESTUDIANTES'!B:L,5,0)</f>
        <v>X</v>
      </c>
      <c r="F229" s="18" t="str">
        <f>VLOOKUP(E229,Listas!B1:C1004,2,0)</f>
        <v>EXCLUIDO</v>
      </c>
      <c r="G229" s="19" t="str">
        <f>VLOOKUP(A229,'ESTADOS ESTUDIANTES'!B:L,7,0)</f>
        <v>NO REGISTRA</v>
      </c>
      <c r="H229" s="19" t="str">
        <f>VLOOKUP(A229,'ESTADOS ESTUDIANTES'!B:L,8,0)</f>
        <v>jvasqueze@correo.udistrital.edu.co</v>
      </c>
      <c r="I229" s="70" t="str">
        <f>VLOOKUP(A229,'ESTADOS ESTUDIANTES'!B:L,9,0)</f>
        <v>menavasqueze@gmail.com</v>
      </c>
      <c r="J229" s="19" t="str">
        <f>VLOOKUP(A229,'ESTADOS ESTUDIANTES'!B:L,10,0)</f>
        <v>CC</v>
      </c>
      <c r="K229" s="19">
        <f>VLOOKUP(A229,'ESTADOS ESTUDIANTES'!B:L,11,0)</f>
        <v>37751301</v>
      </c>
      <c r="L229" s="23"/>
      <c r="M229" s="20"/>
      <c r="N229" s="22"/>
      <c r="O229" s="15"/>
      <c r="P229" s="15"/>
      <c r="Q229" s="15"/>
      <c r="R229" s="15"/>
      <c r="S229" s="15"/>
      <c r="T229" s="15"/>
      <c r="U229" s="15"/>
    </row>
    <row r="230" spans="1:21" ht="90">
      <c r="A230" s="17">
        <v>20062195016</v>
      </c>
      <c r="B230" s="19" t="str">
        <f>VLOOKUP(A230,'ESTADOS ESTUDIANTES'!B:L,2,0)</f>
        <v>PERDOMO MARIN DIANA GISELLE</v>
      </c>
      <c r="C230" s="19">
        <f>VLOOKUP(A230,'ESTADOS ESTUDIANTES'!B:L,3,0)</f>
        <v>195</v>
      </c>
      <c r="D230" s="66" t="str">
        <f>VLOOKUP(A230,'ESTADOS ESTUDIANTES'!B:L,4,0)</f>
        <v>MAE. EN CIENCIAS DE LA INF. Y LAS COMUNICACIONES ENFASIS EN TELEINF.</v>
      </c>
      <c r="E230" s="19" t="str">
        <f>VLOOKUP(A230,'ESTADOS ESTUDIANTES'!B:L,5,0)</f>
        <v>X</v>
      </c>
      <c r="F230" s="18" t="str">
        <f>VLOOKUP(E230,Listas!B1:C1004,2,0)</f>
        <v>EXCLUIDO</v>
      </c>
      <c r="G230" s="19" t="str">
        <f>VLOOKUP(A230,'ESTADOS ESTUDIANTES'!B:L,7,0)</f>
        <v>NO REGISTRA</v>
      </c>
      <c r="H230" s="19">
        <f>VLOOKUP(A230,'ESTADOS ESTUDIANTES'!B:L,8,0)</f>
        <v>0</v>
      </c>
      <c r="I230" s="70">
        <f>VLOOKUP(A230,'ESTADOS ESTUDIANTES'!B:L,9,0)</f>
        <v>0</v>
      </c>
      <c r="J230" s="19" t="str">
        <f>VLOOKUP(A230,'ESTADOS ESTUDIANTES'!B:L,10,0)</f>
        <v>CC</v>
      </c>
      <c r="K230" s="19">
        <f>VLOOKUP(A230,'ESTADOS ESTUDIANTES'!B:L,11,0)</f>
        <v>30509141</v>
      </c>
      <c r="L230" s="23"/>
      <c r="M230" s="20"/>
      <c r="N230" s="22"/>
      <c r="O230" s="15"/>
      <c r="P230" s="15"/>
      <c r="Q230" s="15"/>
      <c r="R230" s="15"/>
      <c r="S230" s="15"/>
      <c r="T230" s="15"/>
      <c r="U230" s="15"/>
    </row>
    <row r="231" spans="1:21" ht="90">
      <c r="A231" s="17">
        <v>20062195017</v>
      </c>
      <c r="B231" s="19" t="str">
        <f>VLOOKUP(A231,'ESTADOS ESTUDIANTES'!B:L,2,0)</f>
        <v>ALDANA CASTELLANOS HECTOR WILLIAM</v>
      </c>
      <c r="C231" s="19">
        <f>VLOOKUP(A231,'ESTADOS ESTUDIANTES'!B:L,3,0)</f>
        <v>195</v>
      </c>
      <c r="D231" s="66" t="str">
        <f>VLOOKUP(A231,'ESTADOS ESTUDIANTES'!B:L,4,0)</f>
        <v>MAE. EN CIENCIAS DE LA INF. Y LAS COMUNICACIONES ENFASIS EN TELEINF.</v>
      </c>
      <c r="E231" s="19" t="str">
        <f>VLOOKUP(A231,'ESTADOS ESTUDIANTES'!B:L,5,0)</f>
        <v>X</v>
      </c>
      <c r="F231" s="18" t="str">
        <f>VLOOKUP(E231,Listas!B1:C1004,2,0)</f>
        <v>EXCLUIDO</v>
      </c>
      <c r="G231" s="19" t="str">
        <f>VLOOKUP(A231,'ESTADOS ESTUDIANTES'!B:L,7,0)</f>
        <v>NO REGISTRA</v>
      </c>
      <c r="H231" s="19">
        <f>VLOOKUP(A231,'ESTADOS ESTUDIANTES'!B:L,8,0)</f>
        <v>0</v>
      </c>
      <c r="I231" s="70">
        <f>VLOOKUP(A231,'ESTADOS ESTUDIANTES'!B:L,9,0)</f>
        <v>0</v>
      </c>
      <c r="J231" s="19" t="str">
        <f>VLOOKUP(A231,'ESTADOS ESTUDIANTES'!B:L,10,0)</f>
        <v>CC</v>
      </c>
      <c r="K231" s="19">
        <f>VLOOKUP(A231,'ESTADOS ESTUDIANTES'!B:L,11,0)</f>
        <v>71647703</v>
      </c>
      <c r="L231" s="23"/>
      <c r="M231" s="20"/>
      <c r="N231" s="22"/>
      <c r="O231" s="15"/>
      <c r="P231" s="15"/>
      <c r="Q231" s="15"/>
      <c r="R231" s="15"/>
      <c r="S231" s="15"/>
      <c r="T231" s="15"/>
      <c r="U231" s="15"/>
    </row>
    <row r="232" spans="1:21" ht="90">
      <c r="A232" s="17">
        <v>20062195018</v>
      </c>
      <c r="B232" s="19" t="str">
        <f>VLOOKUP(A232,'ESTADOS ESTUDIANTES'!B:L,2,0)</f>
        <v>CRISTANCHO PRADA ANGELA MARIA</v>
      </c>
      <c r="C232" s="19">
        <f>VLOOKUP(A232,'ESTADOS ESTUDIANTES'!B:L,3,0)</f>
        <v>195</v>
      </c>
      <c r="D232" s="66" t="str">
        <f>VLOOKUP(A232,'ESTADOS ESTUDIANTES'!B:L,4,0)</f>
        <v>MAE. EN CIENCIAS DE LA INF. Y LAS COMUNICACIONES ENFASIS EN TELEINF.</v>
      </c>
      <c r="E232" s="19" t="str">
        <f>VLOOKUP(A232,'ESTADOS ESTUDIANTES'!B:L,5,0)</f>
        <v>E</v>
      </c>
      <c r="F232" s="18" t="str">
        <f>VLOOKUP(E232,Listas!B1:C1004,2,0)</f>
        <v>EGRESADO</v>
      </c>
      <c r="G232" s="19" t="str">
        <f>VLOOKUP(A232,'ESTADOS ESTUDIANTES'!B:L,7,0)</f>
        <v>NO REGISTRA</v>
      </c>
      <c r="H232" s="19">
        <f>VLOOKUP(A232,'ESTADOS ESTUDIANTES'!B:L,8,0)</f>
        <v>0</v>
      </c>
      <c r="I232" s="70" t="str">
        <f>VLOOKUP(A232,'ESTADOS ESTUDIANTES'!B:L,9,0)</f>
        <v>angelacris353@gmail.com</v>
      </c>
      <c r="J232" s="19" t="str">
        <f>VLOOKUP(A232,'ESTADOS ESTUDIANTES'!B:L,10,0)</f>
        <v>CC</v>
      </c>
      <c r="K232" s="19">
        <f>VLOOKUP(A232,'ESTADOS ESTUDIANTES'!B:L,11,0)</f>
        <v>52783069</v>
      </c>
      <c r="L232" s="23"/>
      <c r="M232" s="20"/>
      <c r="N232" s="22"/>
      <c r="O232" s="15"/>
      <c r="P232" s="15"/>
      <c r="Q232" s="15"/>
      <c r="R232" s="15"/>
      <c r="S232" s="15"/>
      <c r="T232" s="15"/>
      <c r="U232" s="15"/>
    </row>
    <row r="233" spans="1:21" ht="90">
      <c r="A233" s="17">
        <v>20062195019</v>
      </c>
      <c r="B233" s="19" t="str">
        <f>VLOOKUP(A233,'ESTADOS ESTUDIANTES'!B:L,2,0)</f>
        <v>GALLEGO RUIZ LUBEIMAR EDUARDO</v>
      </c>
      <c r="C233" s="19">
        <f>VLOOKUP(A233,'ESTADOS ESTUDIANTES'!B:L,3,0)</f>
        <v>195</v>
      </c>
      <c r="D233" s="66" t="str">
        <f>VLOOKUP(A233,'ESTADOS ESTUDIANTES'!B:L,4,0)</f>
        <v>MAE. EN CIENCIAS DE LA INF. Y LAS COMUNICACIONES ENFASIS EN TELEINF.</v>
      </c>
      <c r="E233" s="19" t="str">
        <f>VLOOKUP(A233,'ESTADOS ESTUDIANTES'!B:L,5,0)</f>
        <v>X</v>
      </c>
      <c r="F233" s="18" t="str">
        <f>VLOOKUP(E233,Listas!B1:C1004,2,0)</f>
        <v>EXCLUIDO</v>
      </c>
      <c r="G233" s="19" t="str">
        <f>VLOOKUP(A233,'ESTADOS ESTUDIANTES'!B:L,7,0)</f>
        <v>NO REGISTRA</v>
      </c>
      <c r="H233" s="19" t="str">
        <f>VLOOKUP(A233,'ESTADOS ESTUDIANTES'!B:L,8,0)</f>
        <v>legallegor@correo.udistrital.edu.co</v>
      </c>
      <c r="I233" s="70" t="str">
        <f>VLOOKUP(A233,'ESTADOS ESTUDIANTES'!B:L,9,0)</f>
        <v>lubeimar@hotmail.com</v>
      </c>
      <c r="J233" s="19" t="str">
        <f>VLOOKUP(A233,'ESTADOS ESTUDIANTES'!B:L,10,0)</f>
        <v>CC</v>
      </c>
      <c r="K233" s="19">
        <f>VLOOKUP(A233,'ESTADOS ESTUDIANTES'!B:L,11,0)</f>
        <v>17655312</v>
      </c>
      <c r="L233" s="23"/>
      <c r="M233" s="20"/>
      <c r="N233" s="22"/>
      <c r="O233" s="15"/>
      <c r="P233" s="15"/>
      <c r="Q233" s="15"/>
      <c r="R233" s="15"/>
      <c r="S233" s="15"/>
      <c r="T233" s="15"/>
      <c r="U233" s="15"/>
    </row>
    <row r="234" spans="1:21" ht="90">
      <c r="A234" s="17">
        <v>20062195020</v>
      </c>
      <c r="B234" s="19" t="str">
        <f>VLOOKUP(A234,'ESTADOS ESTUDIANTES'!B:L,2,0)</f>
        <v>SERGIO ENRIQUE HERNANDEZ RUBIO</v>
      </c>
      <c r="C234" s="19">
        <f>VLOOKUP(A234,'ESTADOS ESTUDIANTES'!B:L,3,0)</f>
        <v>195</v>
      </c>
      <c r="D234" s="66" t="str">
        <f>VLOOKUP(A234,'ESTADOS ESTUDIANTES'!B:L,4,0)</f>
        <v>MAE. EN CIENCIAS DE LA INF. Y LAS COMUNICACIONES ENFASIS EN TELEINF.</v>
      </c>
      <c r="E234" s="19" t="str">
        <f>VLOOKUP(A234,'ESTADOS ESTUDIANTES'!B:L,5,0)</f>
        <v>E</v>
      </c>
      <c r="F234" s="18" t="str">
        <f>VLOOKUP(E234,Listas!B1:C1004,2,0)</f>
        <v>EGRESADO</v>
      </c>
      <c r="G234" s="19" t="str">
        <f>VLOOKUP(A234,'ESTADOS ESTUDIANTES'!B:L,7,0)</f>
        <v>NO REGISTRA</v>
      </c>
      <c r="H234" s="19" t="str">
        <f>VLOOKUP(A234,'ESTADOS ESTUDIANTES'!B:L,8,0)</f>
        <v>sehernandezr@correo.udistrital.edu.co</v>
      </c>
      <c r="I234" s="70" t="str">
        <f>VLOOKUP(A234,'ESTADOS ESTUDIANTES'!B:L,9,0)</f>
        <v>sergioehr@gmail.com</v>
      </c>
      <c r="J234" s="19" t="str">
        <f>VLOOKUP(A234,'ESTADOS ESTUDIANTES'!B:L,10,0)</f>
        <v>CC</v>
      </c>
      <c r="K234" s="19">
        <f>VLOOKUP(A234,'ESTADOS ESTUDIANTES'!B:L,11,0)</f>
        <v>17625270</v>
      </c>
      <c r="L234" s="23"/>
      <c r="M234" s="20"/>
      <c r="N234" s="22"/>
      <c r="O234" s="15"/>
      <c r="P234" s="15"/>
      <c r="Q234" s="15"/>
      <c r="R234" s="15"/>
      <c r="S234" s="15"/>
      <c r="T234" s="15"/>
      <c r="U234" s="15"/>
    </row>
    <row r="235" spans="1:21" ht="90">
      <c r="A235" s="17">
        <v>20062195021</v>
      </c>
      <c r="B235" s="19" t="str">
        <f>VLOOKUP(A235,'ESTADOS ESTUDIANTES'!B:L,2,0)</f>
        <v>HURTADO MOSQUERA RICARDO ALONSO</v>
      </c>
      <c r="C235" s="19">
        <f>VLOOKUP(A235,'ESTADOS ESTUDIANTES'!B:L,3,0)</f>
        <v>195</v>
      </c>
      <c r="D235" s="66" t="str">
        <f>VLOOKUP(A235,'ESTADOS ESTUDIANTES'!B:L,4,0)</f>
        <v>MAE. EN CIENCIAS DE LA INF. Y LAS COMUNICACIONES ENFASIS EN TELEINF.</v>
      </c>
      <c r="E235" s="19" t="str">
        <f>VLOOKUP(A235,'ESTADOS ESTUDIANTES'!B:L,5,0)</f>
        <v>Z</v>
      </c>
      <c r="F235" s="18" t="str">
        <f>VLOOKUP(E235,Listas!B1:C1004,2,0)</f>
        <v>NO SUP. PRUEBA ACAD.</v>
      </c>
      <c r="G235" s="19" t="str">
        <f>VLOOKUP(A235,'ESTADOS ESTUDIANTES'!B:L,7,0)</f>
        <v>NO REGISTRA</v>
      </c>
      <c r="H235" s="19" t="str">
        <f>VLOOKUP(A235,'ESTADOS ESTUDIANTES'!B:L,8,0)</f>
        <v>riahurtadom@correo.udistrital.edu.co</v>
      </c>
      <c r="I235" s="70" t="str">
        <f>VLOOKUP(A235,'ESTADOS ESTUDIANTES'!B:L,9,0)</f>
        <v>rahm@rocketmail.com</v>
      </c>
      <c r="J235" s="19" t="str">
        <f>VLOOKUP(A235,'ESTADOS ESTUDIANTES'!B:L,10,0)</f>
        <v>CC</v>
      </c>
      <c r="K235" s="19">
        <f>VLOOKUP(A235,'ESTADOS ESTUDIANTES'!B:L,11,0)</f>
        <v>75090874</v>
      </c>
      <c r="L235" s="23"/>
      <c r="M235" s="20"/>
      <c r="N235" s="22"/>
      <c r="O235" s="15"/>
      <c r="P235" s="15"/>
      <c r="Q235" s="15"/>
      <c r="R235" s="15"/>
      <c r="S235" s="15"/>
      <c r="T235" s="15"/>
      <c r="U235" s="15"/>
    </row>
    <row r="236" spans="1:21" ht="90">
      <c r="A236" s="17">
        <v>20062195022</v>
      </c>
      <c r="B236" s="19" t="str">
        <f>VLOOKUP(A236,'ESTADOS ESTUDIANTES'!B:L,2,0)</f>
        <v>LEON TRUJILLO JIMMY ALEXANDER</v>
      </c>
      <c r="C236" s="19">
        <f>VLOOKUP(A236,'ESTADOS ESTUDIANTES'!B:L,3,0)</f>
        <v>195</v>
      </c>
      <c r="D236" s="66" t="str">
        <f>VLOOKUP(A236,'ESTADOS ESTUDIANTES'!B:L,4,0)</f>
        <v>MAE. EN CIENCIAS DE LA INF. Y LAS COMUNICACIONES ENFASIS EN TELEINF.</v>
      </c>
      <c r="E236" s="19" t="str">
        <f>VLOOKUP(A236,'ESTADOS ESTUDIANTES'!B:L,5,0)</f>
        <v>E</v>
      </c>
      <c r="F236" s="18" t="str">
        <f>VLOOKUP(E236,Listas!B1:C1004,2,0)</f>
        <v>EGRESADO</v>
      </c>
      <c r="G236" s="19" t="str">
        <f>VLOOKUP(A236,'ESTADOS ESTUDIANTES'!B:L,7,0)</f>
        <v>NO REGISTRA</v>
      </c>
      <c r="H236" s="19" t="str">
        <f>VLOOKUP(A236,'ESTADOS ESTUDIANTES'!B:L,8,0)</f>
        <v>jaleont@correo.udistrital.edu.co</v>
      </c>
      <c r="I236" s="70" t="str">
        <f>VLOOKUP(A236,'ESTADOS ESTUDIANTES'!B:L,9,0)</f>
        <v>jimmyalexanderleon@yahoo.com</v>
      </c>
      <c r="J236" s="19" t="str">
        <f>VLOOKUP(A236,'ESTADOS ESTUDIANTES'!B:L,10,0)</f>
        <v>CC</v>
      </c>
      <c r="K236" s="19">
        <f>VLOOKUP(A236,'ESTADOS ESTUDIANTES'!B:L,11,0)</f>
        <v>17656203</v>
      </c>
      <c r="L236" s="23"/>
      <c r="M236" s="20"/>
      <c r="N236" s="22"/>
      <c r="O236" s="15"/>
      <c r="P236" s="15"/>
      <c r="Q236" s="15"/>
      <c r="R236" s="15"/>
      <c r="S236" s="15"/>
      <c r="T236" s="15"/>
      <c r="U236" s="15"/>
    </row>
    <row r="237" spans="1:21" ht="90">
      <c r="A237" s="17">
        <v>20062195023</v>
      </c>
      <c r="B237" s="19" t="str">
        <f>VLOOKUP(A237,'ESTADOS ESTUDIANTES'!B:L,2,0)</f>
        <v>LUIS GABRIEL MARIN COLLAZOS</v>
      </c>
      <c r="C237" s="19">
        <f>VLOOKUP(A237,'ESTADOS ESTUDIANTES'!B:L,3,0)</f>
        <v>195</v>
      </c>
      <c r="D237" s="66" t="str">
        <f>VLOOKUP(A237,'ESTADOS ESTUDIANTES'!B:L,4,0)</f>
        <v>MAE. EN CIENCIAS DE LA INF. Y LAS COMUNICACIONES ENFASIS EN TELEINF.</v>
      </c>
      <c r="E237" s="19" t="str">
        <f>VLOOKUP(A237,'ESTADOS ESTUDIANTES'!B:L,5,0)</f>
        <v>E</v>
      </c>
      <c r="F237" s="18" t="str">
        <f>VLOOKUP(E237,Listas!B1:C1004,2,0)</f>
        <v>EGRESADO</v>
      </c>
      <c r="G237" s="19">
        <f>VLOOKUP(A237,'ESTADOS ESTUDIANTES'!B:L,7,0)</f>
        <v>1</v>
      </c>
      <c r="H237" s="19" t="str">
        <f>VLOOKUP(A237,'ESTADOS ESTUDIANTES'!B:L,8,0)</f>
        <v>lgmarinc@correo.udistrital.edu.co</v>
      </c>
      <c r="I237" s="70" t="str">
        <f>VLOOKUP(A237,'ESTADOS ESTUDIANTES'!B:L,9,0)</f>
        <v>lgmarinc@gmail.com</v>
      </c>
      <c r="J237" s="19" t="str">
        <f>VLOOKUP(A237,'ESTADOS ESTUDIANTES'!B:L,10,0)</f>
        <v>CC</v>
      </c>
      <c r="K237" s="19">
        <f>VLOOKUP(A237,'ESTADOS ESTUDIANTES'!B:L,11,0)</f>
        <v>17657933</v>
      </c>
      <c r="L237" s="23"/>
      <c r="M237" s="20"/>
      <c r="N237" s="22"/>
      <c r="O237" s="15"/>
      <c r="P237" s="15"/>
      <c r="Q237" s="15"/>
      <c r="R237" s="15"/>
      <c r="S237" s="15"/>
      <c r="T237" s="15"/>
      <c r="U237" s="15"/>
    </row>
    <row r="238" spans="1:21" ht="90">
      <c r="A238" s="17">
        <v>20062195024</v>
      </c>
      <c r="B238" s="19" t="str">
        <f>VLOOKUP(A238,'ESTADOS ESTUDIANTES'!B:L,2,0)</f>
        <v>MATIZ PERDOMO MAGDA CRISTINA</v>
      </c>
      <c r="C238" s="19">
        <f>VLOOKUP(A238,'ESTADOS ESTUDIANTES'!B:L,3,0)</f>
        <v>195</v>
      </c>
      <c r="D238" s="66" t="str">
        <f>VLOOKUP(A238,'ESTADOS ESTUDIANTES'!B:L,4,0)</f>
        <v>MAE. EN CIENCIAS DE LA INF. Y LAS COMUNICACIONES ENFASIS EN TELEINF.</v>
      </c>
      <c r="E238" s="19" t="str">
        <f>VLOOKUP(A238,'ESTADOS ESTUDIANTES'!B:L,5,0)</f>
        <v>Z</v>
      </c>
      <c r="F238" s="18" t="str">
        <f>VLOOKUP(E238,Listas!B1:C1004,2,0)</f>
        <v>NO SUP. PRUEBA ACAD.</v>
      </c>
      <c r="G238" s="19" t="str">
        <f>VLOOKUP(A238,'ESTADOS ESTUDIANTES'!B:L,7,0)</f>
        <v>NO REGISTRA</v>
      </c>
      <c r="H238" s="19">
        <f>VLOOKUP(A238,'ESTADOS ESTUDIANTES'!B:L,8,0)</f>
        <v>0</v>
      </c>
      <c r="I238" s="70">
        <f>VLOOKUP(A238,'ESTADOS ESTUDIANTES'!B:L,9,0)</f>
        <v>0</v>
      </c>
      <c r="J238" s="19" t="str">
        <f>VLOOKUP(A238,'ESTADOS ESTUDIANTES'!B:L,10,0)</f>
        <v>CC</v>
      </c>
      <c r="K238" s="19">
        <f>VLOOKUP(A238,'ESTADOS ESTUDIANTES'!B:L,11,0)</f>
        <v>30519110</v>
      </c>
      <c r="L238" s="24"/>
      <c r="M238" s="20"/>
      <c r="N238" s="22"/>
      <c r="O238" s="15"/>
      <c r="P238" s="15"/>
      <c r="Q238" s="15"/>
      <c r="R238" s="15"/>
      <c r="S238" s="15"/>
      <c r="T238" s="15"/>
      <c r="U238" s="15"/>
    </row>
    <row r="239" spans="1:21" ht="90">
      <c r="A239" s="17">
        <v>20062195025</v>
      </c>
      <c r="B239" s="19" t="str">
        <f>VLOOKUP(A239,'ESTADOS ESTUDIANTES'!B:L,2,0)</f>
        <v>RENTERIA GARCIA JOHAN LOODIN</v>
      </c>
      <c r="C239" s="19">
        <f>VLOOKUP(A239,'ESTADOS ESTUDIANTES'!B:L,3,0)</f>
        <v>195</v>
      </c>
      <c r="D239" s="66" t="str">
        <f>VLOOKUP(A239,'ESTADOS ESTUDIANTES'!B:L,4,0)</f>
        <v>MAE. EN CIENCIAS DE LA INF. Y LAS COMUNICACIONES ENFASIS EN TELEINF.</v>
      </c>
      <c r="E239" s="19" t="str">
        <f>VLOOKUP(A239,'ESTADOS ESTUDIANTES'!B:L,5,0)</f>
        <v>X</v>
      </c>
      <c r="F239" s="18" t="str">
        <f>VLOOKUP(E239,Listas!B1:C1004,2,0)</f>
        <v>EXCLUIDO</v>
      </c>
      <c r="G239" s="19" t="str">
        <f>VLOOKUP(A239,'ESTADOS ESTUDIANTES'!B:L,7,0)</f>
        <v>NO REGISTRA</v>
      </c>
      <c r="H239" s="19">
        <f>VLOOKUP(A239,'ESTADOS ESTUDIANTES'!B:L,8,0)</f>
        <v>0</v>
      </c>
      <c r="I239" s="70">
        <f>VLOOKUP(A239,'ESTADOS ESTUDIANTES'!B:L,9,0)</f>
        <v>0</v>
      </c>
      <c r="J239" s="19" t="str">
        <f>VLOOKUP(A239,'ESTADOS ESTUDIANTES'!B:L,10,0)</f>
        <v>CC</v>
      </c>
      <c r="K239" s="19">
        <f>VLOOKUP(A239,'ESTADOS ESTUDIANTES'!B:L,11,0)</f>
        <v>17658098</v>
      </c>
      <c r="L239" s="23"/>
      <c r="M239" s="20"/>
      <c r="N239" s="22"/>
      <c r="O239" s="15"/>
      <c r="P239" s="15"/>
      <c r="Q239" s="15"/>
      <c r="R239" s="15"/>
      <c r="S239" s="15"/>
      <c r="T239" s="15"/>
      <c r="U239" s="15"/>
    </row>
    <row r="240" spans="1:21" ht="90">
      <c r="A240" s="17">
        <v>20062195026</v>
      </c>
      <c r="B240" s="19" t="str">
        <f>VLOOKUP(A240,'ESTADOS ESTUDIANTES'!B:L,2,0)</f>
        <v>RAMIREZ SEGURA HERNAN GIOVANNI</v>
      </c>
      <c r="C240" s="19">
        <f>VLOOKUP(A240,'ESTADOS ESTUDIANTES'!B:L,3,0)</f>
        <v>195</v>
      </c>
      <c r="D240" s="66" t="str">
        <f>VLOOKUP(A240,'ESTADOS ESTUDIANTES'!B:L,4,0)</f>
        <v>MAE. EN CIENCIAS DE LA INF. Y LAS COMUNICACIONES ENFASIS EN TELEINF.</v>
      </c>
      <c r="E240" s="19" t="str">
        <f>VLOOKUP(A240,'ESTADOS ESTUDIANTES'!B:L,5,0)</f>
        <v>X</v>
      </c>
      <c r="F240" s="18" t="str">
        <f>VLOOKUP(E240,Listas!B1:C1004,2,0)</f>
        <v>EXCLUIDO</v>
      </c>
      <c r="G240" s="19" t="str">
        <f>VLOOKUP(A240,'ESTADOS ESTUDIANTES'!B:L,7,0)</f>
        <v>NO REGISTRA</v>
      </c>
      <c r="H240" s="19">
        <f>VLOOKUP(A240,'ESTADOS ESTUDIANTES'!B:L,8,0)</f>
        <v>0</v>
      </c>
      <c r="I240" s="70">
        <f>VLOOKUP(A240,'ESTADOS ESTUDIANTES'!B:L,9,0)</f>
        <v>0</v>
      </c>
      <c r="J240" s="19" t="str">
        <f>VLOOKUP(A240,'ESTADOS ESTUDIANTES'!B:L,10,0)</f>
        <v>CC</v>
      </c>
      <c r="K240" s="19">
        <f>VLOOKUP(A240,'ESTADOS ESTUDIANTES'!B:L,11,0)</f>
        <v>17653156</v>
      </c>
      <c r="L240" s="23"/>
      <c r="M240" s="20"/>
      <c r="N240" s="22"/>
      <c r="O240" s="15"/>
      <c r="P240" s="15"/>
      <c r="Q240" s="15"/>
      <c r="R240" s="15"/>
      <c r="S240" s="15"/>
      <c r="T240" s="15"/>
      <c r="U240" s="15"/>
    </row>
    <row r="241" spans="1:21" ht="90">
      <c r="A241" s="17">
        <v>20062195027</v>
      </c>
      <c r="B241" s="19" t="str">
        <f>VLOOKUP(A241,'ESTADOS ESTUDIANTES'!B:L,2,0)</f>
        <v>VASQUEZ MONTES SONIA ELENA</v>
      </c>
      <c r="C241" s="19">
        <f>VLOOKUP(A241,'ESTADOS ESTUDIANTES'!B:L,3,0)</f>
        <v>195</v>
      </c>
      <c r="D241" s="66" t="str">
        <f>VLOOKUP(A241,'ESTADOS ESTUDIANTES'!B:L,4,0)</f>
        <v>MAE. EN CIENCIAS DE LA INF. Y LAS COMUNICACIONES ENFASIS EN TELEINF.</v>
      </c>
      <c r="E241" s="19" t="str">
        <f>VLOOKUP(A241,'ESTADOS ESTUDIANTES'!B:L,5,0)</f>
        <v>X</v>
      </c>
      <c r="F241" s="18" t="str">
        <f>VLOOKUP(E241,Listas!B1:C1004,2,0)</f>
        <v>EXCLUIDO</v>
      </c>
      <c r="G241" s="19" t="str">
        <f>VLOOKUP(A241,'ESTADOS ESTUDIANTES'!B:L,7,0)</f>
        <v>NO REGISTRA</v>
      </c>
      <c r="H241" s="19" t="str">
        <f>VLOOKUP(A241,'ESTADOS ESTUDIANTES'!B:L,8,0)</f>
        <v>sevasquezm@correo.udistrital.edu.co</v>
      </c>
      <c r="I241" s="70" t="str">
        <f>VLOOKUP(A241,'ESTADOS ESTUDIANTES'!B:L,9,0)</f>
        <v>soniecita@gmail.com</v>
      </c>
      <c r="J241" s="19" t="str">
        <f>VLOOKUP(A241,'ESTADOS ESTUDIANTES'!B:L,10,0)</f>
        <v>CC</v>
      </c>
      <c r="K241" s="19">
        <f>VLOOKUP(A241,'ESTADOS ESTUDIANTES'!B:L,11,0)</f>
        <v>35252552</v>
      </c>
      <c r="L241" s="23"/>
      <c r="M241" s="20"/>
      <c r="N241" s="22"/>
      <c r="O241" s="15"/>
      <c r="P241" s="15"/>
      <c r="Q241" s="15"/>
      <c r="R241" s="15"/>
      <c r="S241" s="15"/>
      <c r="T241" s="15"/>
      <c r="U241" s="15"/>
    </row>
    <row r="242" spans="1:21" ht="90">
      <c r="A242" s="17">
        <v>20062195028</v>
      </c>
      <c r="B242" s="19" t="str">
        <f>VLOOKUP(A242,'ESTADOS ESTUDIANTES'!B:L,2,0)</f>
        <v>AMAYA TARAZONA CARLOS ALBERTO</v>
      </c>
      <c r="C242" s="19">
        <f>VLOOKUP(A242,'ESTADOS ESTUDIANTES'!B:L,3,0)</f>
        <v>195</v>
      </c>
      <c r="D242" s="66" t="str">
        <f>VLOOKUP(A242,'ESTADOS ESTUDIANTES'!B:L,4,0)</f>
        <v>MAE. EN CIENCIAS DE LA INF. Y LAS COMUNICACIONES ENFASIS EN TELEINF.</v>
      </c>
      <c r="E242" s="19" t="str">
        <f>VLOOKUP(A242,'ESTADOS ESTUDIANTES'!B:L,5,0)</f>
        <v>X</v>
      </c>
      <c r="F242" s="18" t="str">
        <f>VLOOKUP(E242,Listas!B1:C1004,2,0)</f>
        <v>EXCLUIDO</v>
      </c>
      <c r="G242" s="19" t="str">
        <f>VLOOKUP(A242,'ESTADOS ESTUDIANTES'!B:L,7,0)</f>
        <v>NO REGISTRA</v>
      </c>
      <c r="H242" s="19">
        <f>VLOOKUP(A242,'ESTADOS ESTUDIANTES'!B:L,8,0)</f>
        <v>0</v>
      </c>
      <c r="I242" s="70">
        <f>VLOOKUP(A242,'ESTADOS ESTUDIANTES'!B:L,9,0)</f>
        <v>0</v>
      </c>
      <c r="J242" s="19" t="str">
        <f>VLOOKUP(A242,'ESTADOS ESTUDIANTES'!B:L,10,0)</f>
        <v>CC</v>
      </c>
      <c r="K242" s="19">
        <f>VLOOKUP(A242,'ESTADOS ESTUDIANTES'!B:L,11,0)</f>
        <v>7226392</v>
      </c>
      <c r="L242" s="23"/>
      <c r="M242" s="20"/>
      <c r="N242" s="22"/>
      <c r="O242" s="15"/>
      <c r="P242" s="15"/>
      <c r="Q242" s="15"/>
      <c r="R242" s="15"/>
      <c r="S242" s="15"/>
      <c r="T242" s="15"/>
      <c r="U242" s="15"/>
    </row>
    <row r="243" spans="1:21" ht="90">
      <c r="A243" s="17">
        <v>20062195029</v>
      </c>
      <c r="B243" s="19" t="str">
        <f>VLOOKUP(A243,'ESTADOS ESTUDIANTES'!B:L,2,0)</f>
        <v>CASTRO RUSSI DIANA YADIRA</v>
      </c>
      <c r="C243" s="19">
        <f>VLOOKUP(A243,'ESTADOS ESTUDIANTES'!B:L,3,0)</f>
        <v>195</v>
      </c>
      <c r="D243" s="66" t="str">
        <f>VLOOKUP(A243,'ESTADOS ESTUDIANTES'!B:L,4,0)</f>
        <v>MAE. EN CIENCIAS DE LA INF. Y LAS COMUNICACIONES ENFASIS EN TELEINF.</v>
      </c>
      <c r="E243" s="19" t="str">
        <f>VLOOKUP(A243,'ESTADOS ESTUDIANTES'!B:L,5,0)</f>
        <v>X</v>
      </c>
      <c r="F243" s="18" t="str">
        <f>VLOOKUP(E243,Listas!B1:C1004,2,0)</f>
        <v>EXCLUIDO</v>
      </c>
      <c r="G243" s="19" t="str">
        <f>VLOOKUP(A243,'ESTADOS ESTUDIANTES'!B:L,7,0)</f>
        <v>NO REGISTRA</v>
      </c>
      <c r="H243" s="19" t="str">
        <f>VLOOKUP(A243,'ESTADOS ESTUDIANTES'!B:L,8,0)</f>
        <v>dycastror@correo.udistrital.edu.co</v>
      </c>
      <c r="I243" s="70" t="str">
        <f>VLOOKUP(A243,'ESTADOS ESTUDIANTES'!B:L,9,0)</f>
        <v>diya2829@yahoo.com</v>
      </c>
      <c r="J243" s="19" t="str">
        <f>VLOOKUP(A243,'ESTADOS ESTUDIANTES'!B:L,10,0)</f>
        <v>CC</v>
      </c>
      <c r="K243" s="19">
        <f>VLOOKUP(A243,'ESTADOS ESTUDIANTES'!B:L,11,0)</f>
        <v>46451632</v>
      </c>
      <c r="L243" s="23"/>
      <c r="M243" s="20"/>
      <c r="N243" s="22"/>
      <c r="O243" s="15"/>
      <c r="P243" s="15"/>
      <c r="Q243" s="15"/>
      <c r="R243" s="15"/>
      <c r="S243" s="15"/>
      <c r="T243" s="15"/>
      <c r="U243" s="15"/>
    </row>
    <row r="244" spans="1:21" ht="90">
      <c r="A244" s="17">
        <v>20062195030</v>
      </c>
      <c r="B244" s="19" t="str">
        <f>VLOOKUP(A244,'ESTADOS ESTUDIANTES'!B:L,2,0)</f>
        <v>FONSECA GUERRERO EDGAR MANUEL</v>
      </c>
      <c r="C244" s="19">
        <f>VLOOKUP(A244,'ESTADOS ESTUDIANTES'!B:L,3,0)</f>
        <v>195</v>
      </c>
      <c r="D244" s="66" t="str">
        <f>VLOOKUP(A244,'ESTADOS ESTUDIANTES'!B:L,4,0)</f>
        <v>MAE. EN CIENCIAS DE LA INF. Y LAS COMUNICACIONES ENFASIS EN TELEINF.</v>
      </c>
      <c r="E244" s="19" t="str">
        <f>VLOOKUP(A244,'ESTADOS ESTUDIANTES'!B:L,5,0)</f>
        <v>X</v>
      </c>
      <c r="F244" s="18" t="str">
        <f>VLOOKUP(E244,Listas!B1:C1004,2,0)</f>
        <v>EXCLUIDO</v>
      </c>
      <c r="G244" s="19">
        <f>VLOOKUP(A244,'ESTADOS ESTUDIANTES'!B:L,7,0)</f>
        <v>1</v>
      </c>
      <c r="H244" s="19" t="str">
        <f>VLOOKUP(A244,'ESTADOS ESTUDIANTES'!B:L,8,0)</f>
        <v>emfonsecag@correo.udistrital.edu.co</v>
      </c>
      <c r="I244" s="70" t="str">
        <f>VLOOKUP(A244,'ESTADOS ESTUDIANTES'!B:L,9,0)</f>
        <v>edgarfonsecaguerrero@yahoo.es</v>
      </c>
      <c r="J244" s="19" t="str">
        <f>VLOOKUP(A244,'ESTADOS ESTUDIANTES'!B:L,10,0)</f>
        <v>CC</v>
      </c>
      <c r="K244" s="19">
        <f>VLOOKUP(A244,'ESTADOS ESTUDIANTES'!B:L,11,0)</f>
        <v>7220685</v>
      </c>
      <c r="L244" s="23"/>
      <c r="M244" s="20"/>
      <c r="N244" s="22"/>
      <c r="O244" s="15"/>
      <c r="P244" s="15"/>
      <c r="Q244" s="15"/>
      <c r="R244" s="15"/>
      <c r="S244" s="15"/>
      <c r="T244" s="15"/>
      <c r="U244" s="15"/>
    </row>
    <row r="245" spans="1:21" ht="90">
      <c r="A245" s="17">
        <v>20062195031</v>
      </c>
      <c r="B245" s="19" t="str">
        <f>VLOOKUP(A245,'ESTADOS ESTUDIANTES'!B:L,2,0)</f>
        <v>OCHOA SANABRIA YENIT ALEXANDRA</v>
      </c>
      <c r="C245" s="19">
        <f>VLOOKUP(A245,'ESTADOS ESTUDIANTES'!B:L,3,0)</f>
        <v>195</v>
      </c>
      <c r="D245" s="66" t="str">
        <f>VLOOKUP(A245,'ESTADOS ESTUDIANTES'!B:L,4,0)</f>
        <v>MAE. EN CIENCIAS DE LA INF. Y LAS COMUNICACIONES ENFASIS EN TELEINF.</v>
      </c>
      <c r="E245" s="19" t="str">
        <f>VLOOKUP(A245,'ESTADOS ESTUDIANTES'!B:L,5,0)</f>
        <v>X</v>
      </c>
      <c r="F245" s="18" t="str">
        <f>VLOOKUP(E245,Listas!B1:C1004,2,0)</f>
        <v>EXCLUIDO</v>
      </c>
      <c r="G245" s="19">
        <f>VLOOKUP(A245,'ESTADOS ESTUDIANTES'!B:L,7,0)</f>
        <v>1</v>
      </c>
      <c r="H245" s="19" t="str">
        <f>VLOOKUP(A245,'ESTADOS ESTUDIANTES'!B:L,8,0)</f>
        <v>yaochoas@correo.udistrital.edu.co</v>
      </c>
      <c r="I245" s="70" t="str">
        <f>VLOOKUP(A245,'ESTADOS ESTUDIANTES'!B:L,9,0)</f>
        <v>yennyalexa8a@yahoo.es</v>
      </c>
      <c r="J245" s="19" t="str">
        <f>VLOOKUP(A245,'ESTADOS ESTUDIANTES'!B:L,10,0)</f>
        <v>CC</v>
      </c>
      <c r="K245" s="19">
        <f>VLOOKUP(A245,'ESTADOS ESTUDIANTES'!B:L,11,0)</f>
        <v>46680969</v>
      </c>
      <c r="L245" s="23"/>
      <c r="M245" s="20"/>
      <c r="N245" s="22"/>
      <c r="O245" s="15"/>
      <c r="P245" s="15"/>
      <c r="Q245" s="15"/>
      <c r="R245" s="15"/>
      <c r="S245" s="15"/>
      <c r="T245" s="15"/>
      <c r="U245" s="15"/>
    </row>
    <row r="246" spans="1:21" ht="90">
      <c r="A246" s="17">
        <v>20062195032</v>
      </c>
      <c r="B246" s="19" t="str">
        <f>VLOOKUP(A246,'ESTADOS ESTUDIANTES'!B:L,2,0)</f>
        <v>ESPINDOLA DIAZ JORGE ENRIQUE</v>
      </c>
      <c r="C246" s="19">
        <f>VLOOKUP(A246,'ESTADOS ESTUDIANTES'!B:L,3,0)</f>
        <v>195</v>
      </c>
      <c r="D246" s="66" t="str">
        <f>VLOOKUP(A246,'ESTADOS ESTUDIANTES'!B:L,4,0)</f>
        <v>MAE. EN CIENCIAS DE LA INF. Y LAS COMUNICACIONES ENFASIS EN TELEINF.</v>
      </c>
      <c r="E246" s="19" t="str">
        <f>VLOOKUP(A246,'ESTADOS ESTUDIANTES'!B:L,5,0)</f>
        <v>E</v>
      </c>
      <c r="F246" s="18" t="str">
        <f>VLOOKUP(E246,Listas!B1:C1004,2,0)</f>
        <v>EGRESADO</v>
      </c>
      <c r="G246" s="19">
        <f>VLOOKUP(A246,'ESTADOS ESTUDIANTES'!B:L,7,0)</f>
        <v>1</v>
      </c>
      <c r="H246" s="19" t="str">
        <f>VLOOKUP(A246,'ESTADOS ESTUDIANTES'!B:L,8,0)</f>
        <v>jeespindolad@correo.udistrital.edu.co</v>
      </c>
      <c r="I246" s="70" t="str">
        <f>VLOOKUP(A246,'ESTADOS ESTUDIANTES'!B:L,9,0)</f>
        <v>jespindoladiaz@gmail.com</v>
      </c>
      <c r="J246" s="19" t="str">
        <f>VLOOKUP(A246,'ESTADOS ESTUDIANTES'!B:L,10,0)</f>
        <v>CC</v>
      </c>
      <c r="K246" s="19">
        <f>VLOOKUP(A246,'ESTADOS ESTUDIANTES'!B:L,11,0)</f>
        <v>74320537</v>
      </c>
      <c r="L246" s="23"/>
      <c r="M246" s="20"/>
      <c r="N246" s="22"/>
      <c r="O246" s="15"/>
      <c r="P246" s="15"/>
      <c r="Q246" s="15"/>
      <c r="R246" s="15"/>
      <c r="S246" s="15"/>
      <c r="T246" s="15"/>
      <c r="U246" s="15"/>
    </row>
    <row r="247" spans="1:21" ht="90">
      <c r="A247" s="17">
        <v>20062195033</v>
      </c>
      <c r="B247" s="19" t="str">
        <f>VLOOKUP(A247,'ESTADOS ESTUDIANTES'!B:L,2,0)</f>
        <v>JUAN FEDERICO GÓMEZ ESTUPIÑAN</v>
      </c>
      <c r="C247" s="19">
        <f>VLOOKUP(A247,'ESTADOS ESTUDIANTES'!B:L,3,0)</f>
        <v>195</v>
      </c>
      <c r="D247" s="66" t="str">
        <f>VLOOKUP(A247,'ESTADOS ESTUDIANTES'!B:L,4,0)</f>
        <v>MAE. EN CIENCIAS DE LA INF. Y LAS COMUNICACIONES ENFASIS EN TELEINF.</v>
      </c>
      <c r="E247" s="19" t="str">
        <f>VLOOKUP(A247,'ESTADOS ESTUDIANTES'!B:L,5,0)</f>
        <v>E</v>
      </c>
      <c r="F247" s="18" t="str">
        <f>VLOOKUP(E247,Listas!B1:C1004,2,0)</f>
        <v>EGRESADO</v>
      </c>
      <c r="G247" s="19" t="str">
        <f>VLOOKUP(A247,'ESTADOS ESTUDIANTES'!B:L,7,0)</f>
        <v>NO REGISTRA</v>
      </c>
      <c r="H247" s="19" t="str">
        <f>VLOOKUP(A247,'ESTADOS ESTUDIANTES'!B:L,8,0)</f>
        <v>jfgomeze@correo.udistrital.edu.co</v>
      </c>
      <c r="I247" s="70" t="str">
        <f>VLOOKUP(A247,'ESTADOS ESTUDIANTES'!B:L,9,0)</f>
        <v>jfgomez@uniboyaca.edu.co</v>
      </c>
      <c r="J247" s="19" t="str">
        <f>VLOOKUP(A247,'ESTADOS ESTUDIANTES'!B:L,10,0)</f>
        <v>CC</v>
      </c>
      <c r="K247" s="19">
        <f>VLOOKUP(A247,'ESTADOS ESTUDIANTES'!B:L,11,0)</f>
        <v>4251414</v>
      </c>
      <c r="L247" s="23"/>
      <c r="M247" s="20"/>
      <c r="N247" s="22"/>
      <c r="O247" s="15"/>
      <c r="P247" s="15"/>
      <c r="Q247" s="15"/>
      <c r="R247" s="15"/>
      <c r="S247" s="15"/>
      <c r="T247" s="15"/>
      <c r="U247" s="15"/>
    </row>
    <row r="248" spans="1:21" ht="90">
      <c r="A248" s="17">
        <v>20062195034</v>
      </c>
      <c r="B248" s="19" t="str">
        <f>VLOOKUP(A248,'ESTADOS ESTUDIANTES'!B:L,2,0)</f>
        <v>OCHOA ECHEVERRIA MAURICIO</v>
      </c>
      <c r="C248" s="19">
        <f>VLOOKUP(A248,'ESTADOS ESTUDIANTES'!B:L,3,0)</f>
        <v>195</v>
      </c>
      <c r="D248" s="66" t="str">
        <f>VLOOKUP(A248,'ESTADOS ESTUDIANTES'!B:L,4,0)</f>
        <v>MAE. EN CIENCIAS DE LA INF. Y LAS COMUNICACIONES ENFASIS EN TELEINF.</v>
      </c>
      <c r="E248" s="19" t="str">
        <f>VLOOKUP(A248,'ESTADOS ESTUDIANTES'!B:L,5,0)</f>
        <v>E</v>
      </c>
      <c r="F248" s="18" t="str">
        <f>VLOOKUP(E248,Listas!B1:C1004,2,0)</f>
        <v>EGRESADO</v>
      </c>
      <c r="G248" s="19" t="str">
        <f>VLOOKUP(A248,'ESTADOS ESTUDIANTES'!B:L,7,0)</f>
        <v>NO REGISTRA</v>
      </c>
      <c r="H248" s="19" t="str">
        <f>VLOOKUP(A248,'ESTADOS ESTUDIANTES'!B:L,8,0)</f>
        <v>mochoae@correo.udistrital.edu.co</v>
      </c>
      <c r="I248" s="70" t="str">
        <f>VLOOKUP(A248,'ESTADOS ESTUDIANTES'!B:L,9,0)</f>
        <v>mauriciochoae@gmail.com</v>
      </c>
      <c r="J248" s="19" t="str">
        <f>VLOOKUP(A248,'ESTADOS ESTUDIANTES'!B:L,10,0)</f>
        <v>CC</v>
      </c>
      <c r="K248" s="19">
        <f>VLOOKUP(A248,'ESTADOS ESTUDIANTES'!B:L,11,0)</f>
        <v>74324049</v>
      </c>
      <c r="L248" s="23"/>
      <c r="M248" s="20"/>
      <c r="N248" s="22"/>
      <c r="O248" s="15"/>
      <c r="P248" s="15"/>
      <c r="Q248" s="15"/>
      <c r="R248" s="15"/>
      <c r="S248" s="15"/>
      <c r="T248" s="15"/>
      <c r="U248" s="15"/>
    </row>
    <row r="249" spans="1:21" ht="90">
      <c r="A249" s="17">
        <v>20062195035</v>
      </c>
      <c r="B249" s="19" t="str">
        <f>VLOOKUP(A249,'ESTADOS ESTUDIANTES'!B:L,2,0)</f>
        <v>VARGAS BERMUDEZ FRANCISCO ARNALDO</v>
      </c>
      <c r="C249" s="19">
        <f>VLOOKUP(A249,'ESTADOS ESTUDIANTES'!B:L,3,0)</f>
        <v>195</v>
      </c>
      <c r="D249" s="66" t="str">
        <f>VLOOKUP(A249,'ESTADOS ESTUDIANTES'!B:L,4,0)</f>
        <v>MAE. EN CIENCIAS DE LA INF. Y LAS COMUNICACIONES ENFASIS EN TELEINF.</v>
      </c>
      <c r="E249" s="19" t="str">
        <f>VLOOKUP(A249,'ESTADOS ESTUDIANTES'!B:L,5,0)</f>
        <v>E</v>
      </c>
      <c r="F249" s="18" t="str">
        <f>VLOOKUP(E249,Listas!B1:C1004,2,0)</f>
        <v>EGRESADO</v>
      </c>
      <c r="G249" s="19" t="str">
        <f>VLOOKUP(A249,'ESTADOS ESTUDIANTES'!B:L,7,0)</f>
        <v>NO REGISTRA</v>
      </c>
      <c r="H249" s="19" t="str">
        <f>VLOOKUP(A249,'ESTADOS ESTUDIANTES'!B:L,8,0)</f>
        <v>fravargasb@correo.udistrital.edu.co</v>
      </c>
      <c r="I249" s="70" t="str">
        <f>VLOOKUP(A249,'ESTADOS ESTUDIANTES'!B:L,9,0)</f>
        <v>franciscovargasb@gmail.com</v>
      </c>
      <c r="J249" s="19" t="str">
        <f>VLOOKUP(A249,'ESTADOS ESTUDIANTES'!B:L,10,0)</f>
        <v>CC</v>
      </c>
      <c r="K249" s="19">
        <f>VLOOKUP(A249,'ESTADOS ESTUDIANTES'!B:L,11,0)</f>
        <v>7169907</v>
      </c>
      <c r="L249" s="23"/>
      <c r="M249" s="20"/>
      <c r="N249" s="22"/>
      <c r="O249" s="15"/>
      <c r="P249" s="15"/>
      <c r="Q249" s="15"/>
      <c r="R249" s="15"/>
      <c r="S249" s="15"/>
      <c r="T249" s="15"/>
      <c r="U249" s="15"/>
    </row>
    <row r="250" spans="1:21" ht="90">
      <c r="A250" s="17">
        <v>20062195036</v>
      </c>
      <c r="B250" s="19" t="str">
        <f>VLOOKUP(A250,'ESTADOS ESTUDIANTES'!B:L,2,0)</f>
        <v>AVELLA CELY SANDY ENRIQUE</v>
      </c>
      <c r="C250" s="19">
        <f>VLOOKUP(A250,'ESTADOS ESTUDIANTES'!B:L,3,0)</f>
        <v>195</v>
      </c>
      <c r="D250" s="66" t="str">
        <f>VLOOKUP(A250,'ESTADOS ESTUDIANTES'!B:L,4,0)</f>
        <v>MAE. EN CIENCIAS DE LA INF. Y LAS COMUNICACIONES ENFASIS EN TELEINF.</v>
      </c>
      <c r="E250" s="19" t="str">
        <f>VLOOKUP(A250,'ESTADOS ESTUDIANTES'!B:L,5,0)</f>
        <v>X</v>
      </c>
      <c r="F250" s="18" t="str">
        <f>VLOOKUP(E250,Listas!B1:C1004,2,0)</f>
        <v>EXCLUIDO</v>
      </c>
      <c r="G250" s="19" t="str">
        <f>VLOOKUP(A250,'ESTADOS ESTUDIANTES'!B:L,7,0)</f>
        <v>NO REGISTRA</v>
      </c>
      <c r="H250" s="19" t="str">
        <f>VLOOKUP(A250,'ESTADOS ESTUDIANTES'!B:L,8,0)</f>
        <v>seavellac@correo.udistrital.edu.co</v>
      </c>
      <c r="I250" s="70" t="str">
        <f>VLOOKUP(A250,'ESTADOS ESTUDIANTES'!B:L,9,0)</f>
        <v>sanavella@gmail.com</v>
      </c>
      <c r="J250" s="19" t="str">
        <f>VLOOKUP(A250,'ESTADOS ESTUDIANTES'!B:L,10,0)</f>
        <v>CC</v>
      </c>
      <c r="K250" s="19">
        <f>VLOOKUP(A250,'ESTADOS ESTUDIANTES'!B:L,11,0)</f>
        <v>9534813</v>
      </c>
      <c r="L250" s="23"/>
      <c r="M250" s="20"/>
      <c r="N250" s="22"/>
      <c r="O250" s="15"/>
      <c r="P250" s="15"/>
      <c r="Q250" s="15"/>
      <c r="R250" s="15"/>
      <c r="S250" s="15"/>
      <c r="T250" s="15"/>
      <c r="U250" s="15"/>
    </row>
    <row r="251" spans="1:21" ht="90">
      <c r="A251" s="17">
        <v>20062195037</v>
      </c>
      <c r="B251" s="19" t="str">
        <f>VLOOKUP(A251,'ESTADOS ESTUDIANTES'!B:L,2,0)</f>
        <v>BAEZ PEREZ CARMEN INES</v>
      </c>
      <c r="C251" s="19">
        <f>VLOOKUP(A251,'ESTADOS ESTUDIANTES'!B:L,3,0)</f>
        <v>195</v>
      </c>
      <c r="D251" s="66" t="str">
        <f>VLOOKUP(A251,'ESTADOS ESTUDIANTES'!B:L,4,0)</f>
        <v>MAE. EN CIENCIAS DE LA INF. Y LAS COMUNICACIONES ENFASIS EN TELEINF.</v>
      </c>
      <c r="E251" s="19" t="str">
        <f>VLOOKUP(A251,'ESTADOS ESTUDIANTES'!B:L,5,0)</f>
        <v>E</v>
      </c>
      <c r="F251" s="18" t="str">
        <f>VLOOKUP(E251,Listas!B1:C1004,2,0)</f>
        <v>EGRESADO</v>
      </c>
      <c r="G251" s="19" t="str">
        <f>VLOOKUP(A251,'ESTADOS ESTUDIANTES'!B:L,7,0)</f>
        <v>NO REGISTRA</v>
      </c>
      <c r="H251" s="19" t="str">
        <f>VLOOKUP(A251,'ESTADOS ESTUDIANTES'!B:L,8,0)</f>
        <v>cibaezp@correo.udistrital.edu.co</v>
      </c>
      <c r="I251" s="70" t="str">
        <f>VLOOKUP(A251,'ESTADOS ESTUDIANTES'!B:L,9,0)</f>
        <v>cibaezp@gmail.com</v>
      </c>
      <c r="J251" s="19" t="str">
        <f>VLOOKUP(A251,'ESTADOS ESTUDIANTES'!B:L,10,0)</f>
        <v>CC</v>
      </c>
      <c r="K251" s="19">
        <f>VLOOKUP(A251,'ESTADOS ESTUDIANTES'!B:L,11,0)</f>
        <v>40035165</v>
      </c>
      <c r="L251" s="23"/>
      <c r="M251" s="20"/>
      <c r="N251" s="22"/>
      <c r="O251" s="15"/>
      <c r="P251" s="15"/>
      <c r="Q251" s="15"/>
      <c r="R251" s="15"/>
      <c r="S251" s="15"/>
      <c r="T251" s="15"/>
      <c r="U251" s="15"/>
    </row>
    <row r="252" spans="1:21" ht="90">
      <c r="A252" s="17">
        <v>20062195038</v>
      </c>
      <c r="B252" s="19" t="str">
        <f>VLOOKUP(A252,'ESTADOS ESTUDIANTES'!B:L,2,0)</f>
        <v>BLANCO VELANDIA JORGE ANTONIO</v>
      </c>
      <c r="C252" s="19">
        <f>VLOOKUP(A252,'ESTADOS ESTUDIANTES'!B:L,3,0)</f>
        <v>195</v>
      </c>
      <c r="D252" s="66" t="str">
        <f>VLOOKUP(A252,'ESTADOS ESTUDIANTES'!B:L,4,0)</f>
        <v>MAE. EN CIENCIAS DE LA INF. Y LAS COMUNICACIONES ENFASIS EN TELEINF.</v>
      </c>
      <c r="E252" s="19" t="str">
        <f>VLOOKUP(A252,'ESTADOS ESTUDIANTES'!B:L,5,0)</f>
        <v>E</v>
      </c>
      <c r="F252" s="18" t="str">
        <f>VLOOKUP(E252,Listas!B1:C1004,2,0)</f>
        <v>EGRESADO</v>
      </c>
      <c r="G252" s="19" t="str">
        <f>VLOOKUP(A252,'ESTADOS ESTUDIANTES'!B:L,7,0)</f>
        <v>NO REGISTRA</v>
      </c>
      <c r="H252" s="19">
        <f>VLOOKUP(A252,'ESTADOS ESTUDIANTES'!B:L,8,0)</f>
        <v>0</v>
      </c>
      <c r="I252" s="70" t="str">
        <f>VLOOKUP(A252,'ESTADOS ESTUDIANTES'!B:L,9,0)</f>
        <v>jorgeblancov@gmail.com</v>
      </c>
      <c r="J252" s="19" t="str">
        <f>VLOOKUP(A252,'ESTADOS ESTUDIANTES'!B:L,10,0)</f>
        <v>CC</v>
      </c>
      <c r="K252" s="19">
        <f>VLOOKUP(A252,'ESTADOS ESTUDIANTES'!B:L,11,0)</f>
        <v>4252942</v>
      </c>
      <c r="L252" s="23"/>
      <c r="M252" s="20"/>
      <c r="N252" s="22"/>
      <c r="O252" s="15"/>
      <c r="P252" s="15"/>
      <c r="Q252" s="15"/>
      <c r="R252" s="15"/>
      <c r="S252" s="15"/>
      <c r="T252" s="15"/>
      <c r="U252" s="15"/>
    </row>
    <row r="253" spans="1:21" ht="90">
      <c r="A253" s="17">
        <v>20062195039</v>
      </c>
      <c r="B253" s="19" t="str">
        <f>VLOOKUP(A253,'ESTADOS ESTUDIANTES'!B:L,2,0)</f>
        <v>JAIRO ALONSO MESA LARA</v>
      </c>
      <c r="C253" s="19">
        <f>VLOOKUP(A253,'ESTADOS ESTUDIANTES'!B:L,3,0)</f>
        <v>195</v>
      </c>
      <c r="D253" s="66" t="str">
        <f>VLOOKUP(A253,'ESTADOS ESTUDIANTES'!B:L,4,0)</f>
        <v>MAE. EN CIENCIAS DE LA INF. Y LAS COMUNICACIONES ENFASIS EN TELEINF.</v>
      </c>
      <c r="E253" s="19" t="str">
        <f>VLOOKUP(A253,'ESTADOS ESTUDIANTES'!B:L,5,0)</f>
        <v>E</v>
      </c>
      <c r="F253" s="18" t="str">
        <f>VLOOKUP(E253,Listas!B1:C1004,2,0)</f>
        <v>EGRESADO</v>
      </c>
      <c r="G253" s="19">
        <f>VLOOKUP(A253,'ESTADOS ESTUDIANTES'!B:L,7,0)</f>
        <v>1</v>
      </c>
      <c r="H253" s="19" t="str">
        <f>VLOOKUP(A253,'ESTADOS ESTUDIANTES'!B:L,8,0)</f>
        <v>jamesal@correo.udistrital.edu.co</v>
      </c>
      <c r="I253" s="70" t="str">
        <f>VLOOKUP(A253,'ESTADOS ESTUDIANTES'!B:L,9,0)</f>
        <v>jairomesalara@gmail.com</v>
      </c>
      <c r="J253" s="19" t="str">
        <f>VLOOKUP(A253,'ESTADOS ESTUDIANTES'!B:L,10,0)</f>
        <v>CC</v>
      </c>
      <c r="K253" s="19">
        <f>VLOOKUP(A253,'ESTADOS ESTUDIANTES'!B:L,11,0)</f>
        <v>9399175</v>
      </c>
      <c r="L253" s="23"/>
      <c r="M253" s="20"/>
      <c r="N253" s="22"/>
      <c r="O253" s="15"/>
      <c r="P253" s="15"/>
      <c r="Q253" s="15"/>
      <c r="R253" s="15"/>
      <c r="S253" s="15"/>
      <c r="T253" s="15"/>
      <c r="U253" s="15"/>
    </row>
    <row r="254" spans="1:21" ht="90">
      <c r="A254" s="17">
        <v>20062195040</v>
      </c>
      <c r="B254" s="19" t="str">
        <f>VLOOKUP(A254,'ESTADOS ESTUDIANTES'!B:L,2,0)</f>
        <v>MONTAÑEZ TORRES SANDRA NEYID</v>
      </c>
      <c r="C254" s="19">
        <f>VLOOKUP(A254,'ESTADOS ESTUDIANTES'!B:L,3,0)</f>
        <v>195</v>
      </c>
      <c r="D254" s="66" t="str">
        <f>VLOOKUP(A254,'ESTADOS ESTUDIANTES'!B:L,4,0)</f>
        <v>MAE. EN CIENCIAS DE LA INF. Y LAS COMUNICACIONES ENFASIS EN TELEINF.</v>
      </c>
      <c r="E254" s="19" t="str">
        <f>VLOOKUP(A254,'ESTADOS ESTUDIANTES'!B:L,5,0)</f>
        <v>E</v>
      </c>
      <c r="F254" s="18" t="str">
        <f>VLOOKUP(E254,Listas!B1:C1004,2,0)</f>
        <v>EGRESADO</v>
      </c>
      <c r="G254" s="19" t="str">
        <f>VLOOKUP(A254,'ESTADOS ESTUDIANTES'!B:L,7,0)</f>
        <v>NO REGISTRA</v>
      </c>
      <c r="H254" s="19">
        <f>VLOOKUP(A254,'ESTADOS ESTUDIANTES'!B:L,8,0)</f>
        <v>0</v>
      </c>
      <c r="I254" s="70" t="str">
        <f>VLOOKUP(A254,'ESTADOS ESTUDIANTES'!B:L,9,0)</f>
        <v>sandra.neyid@gmail.com</v>
      </c>
      <c r="J254" s="19" t="str">
        <f>VLOOKUP(A254,'ESTADOS ESTUDIANTES'!B:L,10,0)</f>
        <v>CC</v>
      </c>
      <c r="K254" s="19">
        <f>VLOOKUP(A254,'ESTADOS ESTUDIANTES'!B:L,11,0)</f>
        <v>46378864</v>
      </c>
      <c r="L254" s="23"/>
      <c r="M254" s="20"/>
      <c r="N254" s="22"/>
      <c r="O254" s="15"/>
      <c r="P254" s="15"/>
      <c r="Q254" s="15"/>
      <c r="R254" s="15"/>
      <c r="S254" s="15"/>
      <c r="T254" s="15"/>
      <c r="U254" s="15"/>
    </row>
    <row r="255" spans="1:21" ht="90">
      <c r="A255" s="17">
        <v>20062195041</v>
      </c>
      <c r="B255" s="19" t="str">
        <f>VLOOKUP(A255,'ESTADOS ESTUDIANTES'!B:L,2,0)</f>
        <v>CAMACHO ARAQUE CARLOS FABIAN</v>
      </c>
      <c r="C255" s="19">
        <f>VLOOKUP(A255,'ESTADOS ESTUDIANTES'!B:L,3,0)</f>
        <v>195</v>
      </c>
      <c r="D255" s="66" t="str">
        <f>VLOOKUP(A255,'ESTADOS ESTUDIANTES'!B:L,4,0)</f>
        <v>MAE. EN CIENCIAS DE LA INF. Y LAS COMUNICACIONES ENFASIS EN TELEINF.</v>
      </c>
      <c r="E255" s="19" t="str">
        <f>VLOOKUP(A255,'ESTADOS ESTUDIANTES'!B:L,5,0)</f>
        <v>X</v>
      </c>
      <c r="F255" s="18" t="str">
        <f>VLOOKUP(E255,Listas!B1:C1004,2,0)</f>
        <v>EXCLUIDO</v>
      </c>
      <c r="G255" s="19" t="str">
        <f>VLOOKUP(A255,'ESTADOS ESTUDIANTES'!B:L,7,0)</f>
        <v>NO REGISTRA</v>
      </c>
      <c r="H255" s="19">
        <f>VLOOKUP(A255,'ESTADOS ESTUDIANTES'!B:L,8,0)</f>
        <v>0</v>
      </c>
      <c r="I255" s="70" t="str">
        <f>VLOOKUP(A255,'ESTADOS ESTUDIANTES'!B:L,9,0)</f>
        <v>cfcamacho@gmail.com</v>
      </c>
      <c r="J255" s="19" t="str">
        <f>VLOOKUP(A255,'ESTADOS ESTUDIANTES'!B:L,10,0)</f>
        <v>CC</v>
      </c>
      <c r="K255" s="19">
        <f>VLOOKUP(A255,'ESTADOS ESTUDIANTES'!B:L,11,0)</f>
        <v>88157552</v>
      </c>
      <c r="L255" s="23"/>
      <c r="M255" s="20"/>
      <c r="N255" s="22"/>
      <c r="O255" s="15"/>
      <c r="P255" s="15"/>
      <c r="Q255" s="15"/>
      <c r="R255" s="15"/>
      <c r="S255" s="15"/>
      <c r="T255" s="15"/>
      <c r="U255" s="15"/>
    </row>
    <row r="256" spans="1:21" ht="90">
      <c r="A256" s="17">
        <v>20062195042</v>
      </c>
      <c r="B256" s="19" t="str">
        <f>VLOOKUP(A256,'ESTADOS ESTUDIANTES'!B:L,2,0)</f>
        <v>GARZON APONTE LUIS FERNANDO</v>
      </c>
      <c r="C256" s="19">
        <f>VLOOKUP(A256,'ESTADOS ESTUDIANTES'!B:L,3,0)</f>
        <v>195</v>
      </c>
      <c r="D256" s="66" t="str">
        <f>VLOOKUP(A256,'ESTADOS ESTUDIANTES'!B:L,4,0)</f>
        <v>MAE. EN CIENCIAS DE LA INF. Y LAS COMUNICACIONES ENFASIS EN TELEINF.</v>
      </c>
      <c r="E256" s="19" t="str">
        <f>VLOOKUP(A256,'ESTADOS ESTUDIANTES'!B:L,5,0)</f>
        <v>X</v>
      </c>
      <c r="F256" s="18" t="str">
        <f>VLOOKUP(E256,Listas!B1:C1004,2,0)</f>
        <v>EXCLUIDO</v>
      </c>
      <c r="G256" s="19" t="str">
        <f>VLOOKUP(A256,'ESTADOS ESTUDIANTES'!B:L,7,0)</f>
        <v>NO REGISTRA</v>
      </c>
      <c r="H256" s="19">
        <f>VLOOKUP(A256,'ESTADOS ESTUDIANTES'!B:L,8,0)</f>
        <v>0</v>
      </c>
      <c r="I256" s="70" t="str">
        <f>VLOOKUP(A256,'ESTADOS ESTUDIANTES'!B:L,9,0)</f>
        <v>fercho290426@yahoo.com.mx</v>
      </c>
      <c r="J256" s="19" t="str">
        <f>VLOOKUP(A256,'ESTADOS ESTUDIANTES'!B:L,10,0)</f>
        <v>CC</v>
      </c>
      <c r="K256" s="19">
        <f>VLOOKUP(A256,'ESTADOS ESTUDIANTES'!B:L,11,0)</f>
        <v>80737483</v>
      </c>
      <c r="L256" s="23"/>
      <c r="M256" s="20"/>
      <c r="N256" s="22"/>
      <c r="O256" s="15"/>
      <c r="P256" s="15"/>
      <c r="Q256" s="15"/>
      <c r="R256" s="15"/>
      <c r="S256" s="15"/>
      <c r="T256" s="15"/>
      <c r="U256" s="15"/>
    </row>
    <row r="257" spans="1:21" ht="90">
      <c r="A257" s="17">
        <v>20062195043</v>
      </c>
      <c r="B257" s="19" t="str">
        <f>VLOOKUP(A257,'ESTADOS ESTUDIANTES'!B:L,2,0)</f>
        <v>FAGUA VIASUS NELSON CRISANTO</v>
      </c>
      <c r="C257" s="19">
        <f>VLOOKUP(A257,'ESTADOS ESTUDIANTES'!B:L,3,0)</f>
        <v>195</v>
      </c>
      <c r="D257" s="66" t="str">
        <f>VLOOKUP(A257,'ESTADOS ESTUDIANTES'!B:L,4,0)</f>
        <v>MAE. EN CIENCIAS DE LA INF. Y LAS COMUNICACIONES ENFASIS EN TELEINF.</v>
      </c>
      <c r="E257" s="19" t="str">
        <f>VLOOKUP(A257,'ESTADOS ESTUDIANTES'!B:L,5,0)</f>
        <v>X</v>
      </c>
      <c r="F257" s="18" t="str">
        <f>VLOOKUP(E257,Listas!B1:C1004,2,0)</f>
        <v>EXCLUIDO</v>
      </c>
      <c r="G257" s="19" t="str">
        <f>VLOOKUP(A257,'ESTADOS ESTUDIANTES'!B:L,7,0)</f>
        <v>NO REGISTRA</v>
      </c>
      <c r="H257" s="19">
        <f>VLOOKUP(A257,'ESTADOS ESTUDIANTES'!B:L,8,0)</f>
        <v>0</v>
      </c>
      <c r="I257" s="70" t="str">
        <f>VLOOKUP(A257,'ESTADOS ESTUDIANTES'!B:L,9,0)</f>
        <v>nelson_fagua@hotmail.com</v>
      </c>
      <c r="J257" s="19" t="str">
        <f>VLOOKUP(A257,'ESTADOS ESTUDIANTES'!B:L,10,0)</f>
        <v>CC</v>
      </c>
      <c r="K257" s="19">
        <f>VLOOKUP(A257,'ESTADOS ESTUDIANTES'!B:L,11,0)</f>
        <v>79887606</v>
      </c>
      <c r="L257" s="23"/>
      <c r="M257" s="20"/>
      <c r="N257" s="22"/>
      <c r="O257" s="15"/>
      <c r="P257" s="15"/>
      <c r="Q257" s="15"/>
      <c r="R257" s="15"/>
      <c r="S257" s="15"/>
      <c r="T257" s="15"/>
      <c r="U257" s="15"/>
    </row>
    <row r="258" spans="1:21" ht="90">
      <c r="A258" s="17">
        <v>20062295001</v>
      </c>
      <c r="B258" s="19" t="str">
        <f>VLOOKUP(A258,'ESTADOS ESTUDIANTES'!B:L,2,0)</f>
        <v>ALARCON CABRA DIANA PATRICIA</v>
      </c>
      <c r="C258" s="19">
        <f>VLOOKUP(A258,'ESTADOS ESTUDIANTES'!B:L,3,0)</f>
        <v>295</v>
      </c>
      <c r="D258" s="66" t="str">
        <f>VLOOKUP(A258,'ESTADOS ESTUDIANTES'!B:L,4,0)</f>
        <v>MAE. EN CIENCIAS DE LA INF. Y LAS COMUNICACIONES ENFASIS EN SIS. INFOR</v>
      </c>
      <c r="E258" s="19" t="str">
        <f>VLOOKUP(A258,'ESTADOS ESTUDIANTES'!B:L,5,0)</f>
        <v>X</v>
      </c>
      <c r="F258" s="18" t="str">
        <f>VLOOKUP(E258,Listas!B1:C1004,2,0)</f>
        <v>EXCLUIDO</v>
      </c>
      <c r="G258" s="19" t="str">
        <f>VLOOKUP(A258,'ESTADOS ESTUDIANTES'!B:L,7,0)</f>
        <v>NO REGISTRA</v>
      </c>
      <c r="H258" s="19" t="str">
        <f>VLOOKUP(A258,'ESTADOS ESTUDIANTES'!B:L,8,0)</f>
        <v>dpalarconc@correo.udistrital.edu.co</v>
      </c>
      <c r="I258" s="70" t="str">
        <f>VLOOKUP(A258,'ESTADOS ESTUDIANTES'!B:L,9,0)</f>
        <v>dipacingcat@gmail.com</v>
      </c>
      <c r="J258" s="19" t="str">
        <f>VLOOKUP(A258,'ESTADOS ESTUDIANTES'!B:L,10,0)</f>
        <v>CC</v>
      </c>
      <c r="K258" s="19">
        <f>VLOOKUP(A258,'ESTADOS ESTUDIANTES'!B:L,11,0)</f>
        <v>52235186</v>
      </c>
      <c r="L258" s="23"/>
      <c r="M258" s="20"/>
      <c r="N258" s="22"/>
      <c r="O258" s="15"/>
      <c r="P258" s="15"/>
      <c r="Q258" s="15"/>
      <c r="R258" s="15"/>
      <c r="S258" s="15"/>
      <c r="T258" s="15"/>
      <c r="U258" s="15"/>
    </row>
    <row r="259" spans="1:21" ht="90">
      <c r="A259" s="17">
        <v>20062295002</v>
      </c>
      <c r="B259" s="19" t="str">
        <f>VLOOKUP(A259,'ESTADOS ESTUDIANTES'!B:L,2,0)</f>
        <v>ALARCON CABRA JHONY ALEXANDER</v>
      </c>
      <c r="C259" s="19">
        <f>VLOOKUP(A259,'ESTADOS ESTUDIANTES'!B:L,3,0)</f>
        <v>295</v>
      </c>
      <c r="D259" s="66" t="str">
        <f>VLOOKUP(A259,'ESTADOS ESTUDIANTES'!B:L,4,0)</f>
        <v>MAE. EN CIENCIAS DE LA INF. Y LAS COMUNICACIONES ENFASIS EN SIS. INFOR</v>
      </c>
      <c r="E259" s="19" t="str">
        <f>VLOOKUP(A259,'ESTADOS ESTUDIANTES'!B:L,5,0)</f>
        <v>X</v>
      </c>
      <c r="F259" s="18" t="str">
        <f>VLOOKUP(E259,Listas!B1:C1004,2,0)</f>
        <v>EXCLUIDO</v>
      </c>
      <c r="G259" s="19">
        <f>VLOOKUP(A259,'ESTADOS ESTUDIANTES'!B:L,7,0)</f>
        <v>1</v>
      </c>
      <c r="H259" s="19" t="str">
        <f>VLOOKUP(A259,'ESTADOS ESTUDIANTES'!B:L,8,0)</f>
        <v>jaalarconc@correo.udistrital.edu.co</v>
      </c>
      <c r="I259" s="70" t="str">
        <f>VLOOKUP(A259,'ESTADOS ESTUDIANTES'!B:L,9,0)</f>
        <v>jhonyac@hotmail.com</v>
      </c>
      <c r="J259" s="19" t="str">
        <f>VLOOKUP(A259,'ESTADOS ESTUDIANTES'!B:L,10,0)</f>
        <v>CC</v>
      </c>
      <c r="K259" s="19">
        <f>VLOOKUP(A259,'ESTADOS ESTUDIANTES'!B:L,11,0)</f>
        <v>79692893</v>
      </c>
      <c r="L259" s="23"/>
      <c r="M259" s="20"/>
      <c r="N259" s="22"/>
      <c r="O259" s="15"/>
      <c r="P259" s="15"/>
      <c r="Q259" s="15"/>
      <c r="R259" s="15"/>
      <c r="S259" s="15"/>
      <c r="T259" s="15"/>
      <c r="U259" s="15"/>
    </row>
    <row r="260" spans="1:21" ht="90">
      <c r="A260" s="17">
        <v>20062295003</v>
      </c>
      <c r="B260" s="19" t="str">
        <f>VLOOKUP(A260,'ESTADOS ESTUDIANTES'!B:L,2,0)</f>
        <v>BALCEROS GARZON VICTOR MANUEL</v>
      </c>
      <c r="C260" s="19">
        <f>VLOOKUP(A260,'ESTADOS ESTUDIANTES'!B:L,3,0)</f>
        <v>295</v>
      </c>
      <c r="D260" s="66" t="str">
        <f>VLOOKUP(A260,'ESTADOS ESTUDIANTES'!B:L,4,0)</f>
        <v>MAE. EN CIENCIAS DE LA INF. Y LAS COMUNICACIONES ENFASIS EN SIS. INFOR</v>
      </c>
      <c r="E260" s="19" t="str">
        <f>VLOOKUP(A260,'ESTADOS ESTUDIANTES'!B:L,5,0)</f>
        <v>E</v>
      </c>
      <c r="F260" s="18" t="str">
        <f>VLOOKUP(E260,Listas!B1:C1004,2,0)</f>
        <v>EGRESADO</v>
      </c>
      <c r="G260" s="19" t="str">
        <f>VLOOKUP(A260,'ESTADOS ESTUDIANTES'!B:L,7,0)</f>
        <v>NO REGISTRA</v>
      </c>
      <c r="H260" s="19" t="str">
        <f>VLOOKUP(A260,'ESTADOS ESTUDIANTES'!B:L,8,0)</f>
        <v>vmbalcerosg@correo.udistrital.edu.co</v>
      </c>
      <c r="I260" s="70" t="str">
        <f>VLOOKUP(A260,'ESTADOS ESTUDIANTES'!B:L,9,0)</f>
        <v>victormanuel009@gmail.com</v>
      </c>
      <c r="J260" s="19" t="str">
        <f>VLOOKUP(A260,'ESTADOS ESTUDIANTES'!B:L,10,0)</f>
        <v>CC</v>
      </c>
      <c r="K260" s="19">
        <f>VLOOKUP(A260,'ESTADOS ESTUDIANTES'!B:L,11,0)</f>
        <v>80237727</v>
      </c>
      <c r="L260" s="23"/>
      <c r="M260" s="20"/>
      <c r="N260" s="22"/>
      <c r="O260" s="15"/>
      <c r="P260" s="15"/>
      <c r="Q260" s="15"/>
      <c r="R260" s="15"/>
      <c r="S260" s="15"/>
      <c r="T260" s="15"/>
      <c r="U260" s="15"/>
    </row>
    <row r="261" spans="1:21" ht="90">
      <c r="A261" s="17">
        <v>20062295004</v>
      </c>
      <c r="B261" s="19" t="str">
        <f>VLOOKUP(A261,'ESTADOS ESTUDIANTES'!B:L,2,0)</f>
        <v>BERTIERI QUINTERO JOSE RAMIRO</v>
      </c>
      <c r="C261" s="19">
        <f>VLOOKUP(A261,'ESTADOS ESTUDIANTES'!B:L,3,0)</f>
        <v>295</v>
      </c>
      <c r="D261" s="66" t="str">
        <f>VLOOKUP(A261,'ESTADOS ESTUDIANTES'!B:L,4,0)</f>
        <v>MAE. EN CIENCIAS DE LA INF. Y LAS COMUNICACIONES ENFASIS EN SIS. INFOR</v>
      </c>
      <c r="E261" s="19" t="str">
        <f>VLOOKUP(A261,'ESTADOS ESTUDIANTES'!B:L,5,0)</f>
        <v>X</v>
      </c>
      <c r="F261" s="18" t="str">
        <f>VLOOKUP(E261,Listas!B1:C1004,2,0)</f>
        <v>EXCLUIDO</v>
      </c>
      <c r="G261" s="19" t="str">
        <f>VLOOKUP(A261,'ESTADOS ESTUDIANTES'!B:L,7,0)</f>
        <v>NO REGISTRA</v>
      </c>
      <c r="H261" s="19">
        <f>VLOOKUP(A261,'ESTADOS ESTUDIANTES'!B:L,8,0)</f>
        <v>0</v>
      </c>
      <c r="I261" s="70">
        <f>VLOOKUP(A261,'ESTADOS ESTUDIANTES'!B:L,9,0)</f>
        <v>0</v>
      </c>
      <c r="J261" s="19" t="str">
        <f>VLOOKUP(A261,'ESTADOS ESTUDIANTES'!B:L,10,0)</f>
        <v>CC</v>
      </c>
      <c r="K261" s="19">
        <f>VLOOKUP(A261,'ESTADOS ESTUDIANTES'!B:L,11,0)</f>
        <v>80497293</v>
      </c>
      <c r="L261" s="23"/>
      <c r="M261" s="20"/>
      <c r="N261" s="22"/>
      <c r="O261" s="15"/>
      <c r="P261" s="15"/>
      <c r="Q261" s="15"/>
      <c r="R261" s="15"/>
      <c r="S261" s="15"/>
      <c r="T261" s="15"/>
      <c r="U261" s="15"/>
    </row>
    <row r="262" spans="1:21" ht="90">
      <c r="A262" s="17">
        <v>20062295005</v>
      </c>
      <c r="B262" s="19" t="str">
        <f>VLOOKUP(A262,'ESTADOS ESTUDIANTES'!B:L,2,0)</f>
        <v>CASTILLO LANDINEZ SANDRA PATRICIA</v>
      </c>
      <c r="C262" s="19">
        <f>VLOOKUP(A262,'ESTADOS ESTUDIANTES'!B:L,3,0)</f>
        <v>295</v>
      </c>
      <c r="D262" s="66" t="str">
        <f>VLOOKUP(A262,'ESTADOS ESTUDIANTES'!B:L,4,0)</f>
        <v>MAE. EN CIENCIAS DE LA INF. Y LAS COMUNICACIONES ENFASIS EN SIS. INFOR</v>
      </c>
      <c r="E262" s="19" t="str">
        <f>VLOOKUP(A262,'ESTADOS ESTUDIANTES'!B:L,5,0)</f>
        <v>X</v>
      </c>
      <c r="F262" s="18" t="str">
        <f>VLOOKUP(E262,Listas!B1:C1004,2,0)</f>
        <v>EXCLUIDO</v>
      </c>
      <c r="G262" s="19" t="str">
        <f>VLOOKUP(A262,'ESTADOS ESTUDIANTES'!B:L,7,0)</f>
        <v>NO REGISTRA</v>
      </c>
      <c r="H262" s="19" t="str">
        <f>VLOOKUP(A262,'ESTADOS ESTUDIANTES'!B:L,8,0)</f>
        <v>spcastillol@correo.udistrital.edu.co</v>
      </c>
      <c r="I262" s="70" t="str">
        <f>VLOOKUP(A262,'ESTADOS ESTUDIANTES'!B:L,9,0)</f>
        <v>sandrap.castillo@gmail.com</v>
      </c>
      <c r="J262" s="19" t="str">
        <f>VLOOKUP(A262,'ESTADOS ESTUDIANTES'!B:L,10,0)</f>
        <v>CC</v>
      </c>
      <c r="K262" s="19">
        <f>VLOOKUP(A262,'ESTADOS ESTUDIANTES'!B:L,11,0)</f>
        <v>52346045</v>
      </c>
      <c r="L262" s="23"/>
      <c r="M262" s="20"/>
      <c r="N262" s="22"/>
      <c r="O262" s="15"/>
      <c r="P262" s="15"/>
      <c r="Q262" s="15"/>
      <c r="R262" s="15"/>
      <c r="S262" s="15"/>
      <c r="T262" s="15"/>
      <c r="U262" s="15"/>
    </row>
    <row r="263" spans="1:21" ht="90">
      <c r="A263" s="17">
        <v>20062295006</v>
      </c>
      <c r="B263" s="19" t="str">
        <f>VLOOKUP(A263,'ESTADOS ESTUDIANTES'!B:L,2,0)</f>
        <v>GALVIS BERRIO JOHN FELIPE</v>
      </c>
      <c r="C263" s="19">
        <f>VLOOKUP(A263,'ESTADOS ESTUDIANTES'!B:L,3,0)</f>
        <v>295</v>
      </c>
      <c r="D263" s="66" t="str">
        <f>VLOOKUP(A263,'ESTADOS ESTUDIANTES'!B:L,4,0)</f>
        <v>MAE. EN CIENCIAS DE LA INF. Y LAS COMUNICACIONES ENFASIS EN SIS. INFOR</v>
      </c>
      <c r="E263" s="19" t="str">
        <f>VLOOKUP(A263,'ESTADOS ESTUDIANTES'!B:L,5,0)</f>
        <v>X</v>
      </c>
      <c r="F263" s="18" t="str">
        <f>VLOOKUP(E263,Listas!B1:C1004,2,0)</f>
        <v>EXCLUIDO</v>
      </c>
      <c r="G263" s="19" t="str">
        <f>VLOOKUP(A263,'ESTADOS ESTUDIANTES'!B:L,7,0)</f>
        <v>NO REGISTRA</v>
      </c>
      <c r="H263" s="19">
        <f>VLOOKUP(A263,'ESTADOS ESTUDIANTES'!B:L,8,0)</f>
        <v>0</v>
      </c>
      <c r="I263" s="70">
        <f>VLOOKUP(A263,'ESTADOS ESTUDIANTES'!B:L,9,0)</f>
        <v>0</v>
      </c>
      <c r="J263" s="19" t="str">
        <f>VLOOKUP(A263,'ESTADOS ESTUDIANTES'!B:L,10,0)</f>
        <v>CC</v>
      </c>
      <c r="K263" s="19">
        <f>VLOOKUP(A263,'ESTADOS ESTUDIANTES'!B:L,11,0)</f>
        <v>74531844</v>
      </c>
      <c r="L263" s="23"/>
      <c r="M263" s="20"/>
      <c r="N263" s="22"/>
      <c r="O263" s="15"/>
      <c r="P263" s="15"/>
      <c r="Q263" s="15"/>
      <c r="R263" s="15"/>
      <c r="S263" s="15"/>
      <c r="T263" s="15"/>
      <c r="U263" s="15"/>
    </row>
    <row r="264" spans="1:21" ht="90">
      <c r="A264" s="17">
        <v>20062295007</v>
      </c>
      <c r="B264" s="19" t="str">
        <f>VLOOKUP(A264,'ESTADOS ESTUDIANTES'!B:L,2,0)</f>
        <v>GRANADOS MORALES ABNER MARIANO</v>
      </c>
      <c r="C264" s="19">
        <f>VLOOKUP(A264,'ESTADOS ESTUDIANTES'!B:L,3,0)</f>
        <v>295</v>
      </c>
      <c r="D264" s="66" t="str">
        <f>VLOOKUP(A264,'ESTADOS ESTUDIANTES'!B:L,4,0)</f>
        <v>MAE. EN CIENCIAS DE LA INF. Y LAS COMUNICACIONES ENFASIS EN SIS. INFOR</v>
      </c>
      <c r="E264" s="19" t="str">
        <f>VLOOKUP(A264,'ESTADOS ESTUDIANTES'!B:L,5,0)</f>
        <v>X</v>
      </c>
      <c r="F264" s="18" t="str">
        <f>VLOOKUP(E264,Listas!B1:C1004,2,0)</f>
        <v>EXCLUIDO</v>
      </c>
      <c r="G264" s="19" t="str">
        <f>VLOOKUP(A264,'ESTADOS ESTUDIANTES'!B:L,7,0)</f>
        <v>NO REGISTRA</v>
      </c>
      <c r="H264" s="19">
        <f>VLOOKUP(A264,'ESTADOS ESTUDIANTES'!B:L,8,0)</f>
        <v>0</v>
      </c>
      <c r="I264" s="70">
        <f>VLOOKUP(A264,'ESTADOS ESTUDIANTES'!B:L,9,0)</f>
        <v>0</v>
      </c>
      <c r="J264" s="19" t="str">
        <f>VLOOKUP(A264,'ESTADOS ESTUDIANTES'!B:L,10,0)</f>
        <v>CC</v>
      </c>
      <c r="K264" s="19">
        <f>VLOOKUP(A264,'ESTADOS ESTUDIANTES'!B:L,11,0)</f>
        <v>17124178</v>
      </c>
      <c r="L264" s="23"/>
      <c r="M264" s="20"/>
      <c r="N264" s="22"/>
      <c r="O264" s="15"/>
      <c r="P264" s="15"/>
      <c r="Q264" s="15"/>
      <c r="R264" s="15"/>
      <c r="S264" s="15"/>
      <c r="T264" s="15"/>
      <c r="U264" s="15"/>
    </row>
    <row r="265" spans="1:21" ht="90">
      <c r="A265" s="17">
        <v>20062295008</v>
      </c>
      <c r="B265" s="19" t="str">
        <f>VLOOKUP(A265,'ESTADOS ESTUDIANTES'!B:L,2,0)</f>
        <v>HERNANDEZ MATIZ GERMAN ANDRES</v>
      </c>
      <c r="C265" s="19">
        <f>VLOOKUP(A265,'ESTADOS ESTUDIANTES'!B:L,3,0)</f>
        <v>295</v>
      </c>
      <c r="D265" s="66" t="str">
        <f>VLOOKUP(A265,'ESTADOS ESTUDIANTES'!B:L,4,0)</f>
        <v>MAE. EN CIENCIAS DE LA INF. Y LAS COMUNICACIONES ENFASIS EN SIS. INFOR</v>
      </c>
      <c r="E265" s="19" t="str">
        <f>VLOOKUP(A265,'ESTADOS ESTUDIANTES'!B:L,5,0)</f>
        <v>X</v>
      </c>
      <c r="F265" s="18" t="str">
        <f>VLOOKUP(E265,Listas!B1:C1004,2,0)</f>
        <v>EXCLUIDO</v>
      </c>
      <c r="G265" s="19" t="str">
        <f>VLOOKUP(A265,'ESTADOS ESTUDIANTES'!B:L,7,0)</f>
        <v>NO REGISTRA</v>
      </c>
      <c r="H265" s="19">
        <f>VLOOKUP(A265,'ESTADOS ESTUDIANTES'!B:L,8,0)</f>
        <v>0</v>
      </c>
      <c r="I265" s="70" t="str">
        <f>VLOOKUP(A265,'ESTADOS ESTUDIANTES'!B:L,9,0)</f>
        <v>gahernandez84@hotmail.com</v>
      </c>
      <c r="J265" s="19" t="str">
        <f>VLOOKUP(A265,'ESTADOS ESTUDIANTES'!B:L,10,0)</f>
        <v>CC</v>
      </c>
      <c r="K265" s="19">
        <f>VLOOKUP(A265,'ESTADOS ESTUDIANTES'!B:L,11,0)</f>
        <v>79612962</v>
      </c>
      <c r="L265" s="23"/>
      <c r="M265" s="20"/>
      <c r="N265" s="22"/>
      <c r="O265" s="15"/>
      <c r="P265" s="15"/>
      <c r="Q265" s="15"/>
      <c r="R265" s="15"/>
      <c r="S265" s="15"/>
      <c r="T265" s="15"/>
      <c r="U265" s="15"/>
    </row>
    <row r="266" spans="1:21" ht="90">
      <c r="A266" s="17">
        <v>20062295009</v>
      </c>
      <c r="B266" s="19" t="str">
        <f>VLOOKUP(A266,'ESTADOS ESTUDIANTES'!B:L,2,0)</f>
        <v>HURTADO VERGEL OSCAR</v>
      </c>
      <c r="C266" s="19">
        <f>VLOOKUP(A266,'ESTADOS ESTUDIANTES'!B:L,3,0)</f>
        <v>295</v>
      </c>
      <c r="D266" s="66" t="str">
        <f>VLOOKUP(A266,'ESTADOS ESTUDIANTES'!B:L,4,0)</f>
        <v>MAE. EN CIENCIAS DE LA INF. Y LAS COMUNICACIONES ENFASIS EN SIS. INFOR</v>
      </c>
      <c r="E266" s="19" t="str">
        <f>VLOOKUP(A266,'ESTADOS ESTUDIANTES'!B:L,5,0)</f>
        <v>X</v>
      </c>
      <c r="F266" s="18" t="str">
        <f>VLOOKUP(E266,Listas!B1:C1004,2,0)</f>
        <v>EXCLUIDO</v>
      </c>
      <c r="G266" s="19" t="str">
        <f>VLOOKUP(A266,'ESTADOS ESTUDIANTES'!B:L,7,0)</f>
        <v>NO REGISTRA</v>
      </c>
      <c r="H266" s="19">
        <f>VLOOKUP(A266,'ESTADOS ESTUDIANTES'!B:L,8,0)</f>
        <v>0</v>
      </c>
      <c r="I266" s="70">
        <f>VLOOKUP(A266,'ESTADOS ESTUDIANTES'!B:L,9,0)</f>
        <v>0</v>
      </c>
      <c r="J266" s="19" t="str">
        <f>VLOOKUP(A266,'ESTADOS ESTUDIANTES'!B:L,10,0)</f>
        <v>CC</v>
      </c>
      <c r="K266" s="19">
        <f>VLOOKUP(A266,'ESTADOS ESTUDIANTES'!B:L,11,0)</f>
        <v>79537982</v>
      </c>
      <c r="L266" s="23"/>
      <c r="M266" s="20"/>
      <c r="N266" s="22"/>
      <c r="O266" s="15"/>
      <c r="P266" s="15"/>
      <c r="Q266" s="15"/>
      <c r="R266" s="15"/>
      <c r="S266" s="15"/>
      <c r="T266" s="15"/>
      <c r="U266" s="15"/>
    </row>
    <row r="267" spans="1:21" ht="90">
      <c r="A267" s="17">
        <v>20062295010</v>
      </c>
      <c r="B267" s="19" t="str">
        <f>VLOOKUP(A267,'ESTADOS ESTUDIANTES'!B:L,2,0)</f>
        <v>LEON SANCHEZ CAMILO ALEXANDER</v>
      </c>
      <c r="C267" s="19">
        <f>VLOOKUP(A267,'ESTADOS ESTUDIANTES'!B:L,3,0)</f>
        <v>295</v>
      </c>
      <c r="D267" s="66" t="str">
        <f>VLOOKUP(A267,'ESTADOS ESTUDIANTES'!B:L,4,0)</f>
        <v>MAE. EN CIENCIAS DE LA INF. Y LAS COMUNICACIONES ENFASIS EN SIS. INFOR</v>
      </c>
      <c r="E267" s="19" t="str">
        <f>VLOOKUP(A267,'ESTADOS ESTUDIANTES'!B:L,5,0)</f>
        <v>E</v>
      </c>
      <c r="F267" s="18" t="str">
        <f>VLOOKUP(E267,Listas!B1:C1004,2,0)</f>
        <v>EGRESADO</v>
      </c>
      <c r="G267" s="19" t="str">
        <f>VLOOKUP(A267,'ESTADOS ESTUDIANTES'!B:L,7,0)</f>
        <v>NO REGISTRA</v>
      </c>
      <c r="H267" s="19" t="str">
        <f>VLOOKUP(A267,'ESTADOS ESTUDIANTES'!B:L,8,0)</f>
        <v>caleons@correo.udistrital.edu.co</v>
      </c>
      <c r="I267" s="70" t="str">
        <f>VLOOKUP(A267,'ESTADOS ESTUDIANTES'!B:L,9,0)</f>
        <v>herrleon@gmail.com</v>
      </c>
      <c r="J267" s="19" t="str">
        <f>VLOOKUP(A267,'ESTADOS ESTUDIANTES'!B:L,10,0)</f>
        <v>CC</v>
      </c>
      <c r="K267" s="19">
        <f>VLOOKUP(A267,'ESTADOS ESTUDIANTES'!B:L,11,0)</f>
        <v>80777278</v>
      </c>
      <c r="L267" s="23"/>
      <c r="M267" s="20"/>
      <c r="N267" s="22"/>
      <c r="O267" s="15"/>
      <c r="P267" s="15"/>
      <c r="Q267" s="15"/>
      <c r="R267" s="15"/>
      <c r="S267" s="15"/>
      <c r="T267" s="15"/>
      <c r="U267" s="15"/>
    </row>
    <row r="268" spans="1:21" ht="90">
      <c r="A268" s="17">
        <v>20062295011</v>
      </c>
      <c r="B268" s="19" t="str">
        <f>VLOOKUP(A268,'ESTADOS ESTUDIANTES'!B:L,2,0)</f>
        <v>MARTINEZ DIAZ DAMIAN ANTONIO</v>
      </c>
      <c r="C268" s="19">
        <f>VLOOKUP(A268,'ESTADOS ESTUDIANTES'!B:L,3,0)</f>
        <v>295</v>
      </c>
      <c r="D268" s="66" t="str">
        <f>VLOOKUP(A268,'ESTADOS ESTUDIANTES'!B:L,4,0)</f>
        <v>MAE. EN CIENCIAS DE LA INF. Y LAS COMUNICACIONES ENFASIS EN SIS. INFOR</v>
      </c>
      <c r="E268" s="19" t="str">
        <f>VLOOKUP(A268,'ESTADOS ESTUDIANTES'!B:L,5,0)</f>
        <v>X</v>
      </c>
      <c r="F268" s="18" t="str">
        <f>VLOOKUP(E268,Listas!B1:C1004,2,0)</f>
        <v>EXCLUIDO</v>
      </c>
      <c r="G268" s="19" t="str">
        <f>VLOOKUP(A268,'ESTADOS ESTUDIANTES'!B:L,7,0)</f>
        <v>NO REGISTRA</v>
      </c>
      <c r="H268" s="19" t="str">
        <f>VLOOKUP(A268,'ESTADOS ESTUDIANTES'!B:L,8,0)</f>
        <v>damartinezd@correo.udistrital.edu.co</v>
      </c>
      <c r="I268" s="70" t="str">
        <f>VLOOKUP(A268,'ESTADOS ESTUDIANTES'!B:L,9,0)</f>
        <v>damianingcat@gmail.com</v>
      </c>
      <c r="J268" s="19" t="str">
        <f>VLOOKUP(A268,'ESTADOS ESTUDIANTES'!B:L,10,0)</f>
        <v>CC</v>
      </c>
      <c r="K268" s="19">
        <f>VLOOKUP(A268,'ESTADOS ESTUDIANTES'!B:L,11,0)</f>
        <v>80022939</v>
      </c>
      <c r="L268" s="23"/>
      <c r="M268" s="20"/>
      <c r="N268" s="22"/>
      <c r="O268" s="15"/>
      <c r="P268" s="15"/>
      <c r="Q268" s="15"/>
      <c r="R268" s="15"/>
      <c r="S268" s="15"/>
      <c r="T268" s="15"/>
      <c r="U268" s="15"/>
    </row>
    <row r="269" spans="1:21" ht="90">
      <c r="A269" s="17">
        <v>20062295012</v>
      </c>
      <c r="B269" s="19" t="str">
        <f>VLOOKUP(A269,'ESTADOS ESTUDIANTES'!B:L,2,0)</f>
        <v>MELO ACOSTA FREDDY</v>
      </c>
      <c r="C269" s="19">
        <f>VLOOKUP(A269,'ESTADOS ESTUDIANTES'!B:L,3,0)</f>
        <v>295</v>
      </c>
      <c r="D269" s="66" t="str">
        <f>VLOOKUP(A269,'ESTADOS ESTUDIANTES'!B:L,4,0)</f>
        <v>MAE. EN CIENCIAS DE LA INF. Y LAS COMUNICACIONES ENFASIS EN SIS. INFOR</v>
      </c>
      <c r="E269" s="19" t="str">
        <f>VLOOKUP(A269,'ESTADOS ESTUDIANTES'!B:L,5,0)</f>
        <v>X</v>
      </c>
      <c r="F269" s="18" t="str">
        <f>VLOOKUP(E269,Listas!B1:C1004,2,0)</f>
        <v>EXCLUIDO</v>
      </c>
      <c r="G269" s="19" t="str">
        <f>VLOOKUP(A269,'ESTADOS ESTUDIANTES'!B:L,7,0)</f>
        <v>NO REGISTRA</v>
      </c>
      <c r="H269" s="19">
        <f>VLOOKUP(A269,'ESTADOS ESTUDIANTES'!B:L,8,0)</f>
        <v>0</v>
      </c>
      <c r="I269" s="70">
        <f>VLOOKUP(A269,'ESTADOS ESTUDIANTES'!B:L,9,0)</f>
        <v>0</v>
      </c>
      <c r="J269" s="19" t="str">
        <f>VLOOKUP(A269,'ESTADOS ESTUDIANTES'!B:L,10,0)</f>
        <v>CC</v>
      </c>
      <c r="K269" s="19">
        <f>VLOOKUP(A269,'ESTADOS ESTUDIANTES'!B:L,11,0)</f>
        <v>72125171</v>
      </c>
      <c r="L269" s="23"/>
      <c r="M269" s="20"/>
      <c r="N269" s="22"/>
      <c r="O269" s="15"/>
      <c r="P269" s="15"/>
      <c r="Q269" s="15"/>
      <c r="R269" s="15"/>
      <c r="S269" s="15"/>
      <c r="T269" s="15"/>
      <c r="U269" s="15"/>
    </row>
    <row r="270" spans="1:21" ht="90">
      <c r="A270" s="17">
        <v>20062295013</v>
      </c>
      <c r="B270" s="19" t="str">
        <f>VLOOKUP(A270,'ESTADOS ESTUDIANTES'!B:L,2,0)</f>
        <v>ROMERO GARCIA MARILUZ</v>
      </c>
      <c r="C270" s="19">
        <f>VLOOKUP(A270,'ESTADOS ESTUDIANTES'!B:L,3,0)</f>
        <v>295</v>
      </c>
      <c r="D270" s="66" t="str">
        <f>VLOOKUP(A270,'ESTADOS ESTUDIANTES'!B:L,4,0)</f>
        <v>MAE. EN CIENCIAS DE LA INF. Y LAS COMUNICACIONES ENFASIS EN SIS. INFOR</v>
      </c>
      <c r="E270" s="19" t="str">
        <f>VLOOKUP(A270,'ESTADOS ESTUDIANTES'!B:L,5,0)</f>
        <v>X</v>
      </c>
      <c r="F270" s="18" t="str">
        <f>VLOOKUP(E270,Listas!B1:C1004,2,0)</f>
        <v>EXCLUIDO</v>
      </c>
      <c r="G270" s="19" t="str">
        <f>VLOOKUP(A270,'ESTADOS ESTUDIANTES'!B:L,7,0)</f>
        <v>NO REGISTRA</v>
      </c>
      <c r="H270" s="19">
        <f>VLOOKUP(A270,'ESTADOS ESTUDIANTES'!B:L,8,0)</f>
        <v>0</v>
      </c>
      <c r="I270" s="70">
        <f>VLOOKUP(A270,'ESTADOS ESTUDIANTES'!B:L,9,0)</f>
        <v>0</v>
      </c>
      <c r="J270" s="19" t="str">
        <f>VLOOKUP(A270,'ESTADOS ESTUDIANTES'!B:L,10,0)</f>
        <v>CC</v>
      </c>
      <c r="K270" s="19">
        <f>VLOOKUP(A270,'ESTADOS ESTUDIANTES'!B:L,11,0)</f>
        <v>46676633</v>
      </c>
      <c r="L270" s="23"/>
      <c r="M270" s="20"/>
      <c r="N270" s="22"/>
      <c r="O270" s="15"/>
      <c r="P270" s="15"/>
      <c r="Q270" s="15"/>
      <c r="R270" s="15"/>
      <c r="S270" s="15"/>
      <c r="T270" s="15"/>
      <c r="U270" s="15"/>
    </row>
    <row r="271" spans="1:21" ht="90">
      <c r="A271" s="17">
        <v>20062295014</v>
      </c>
      <c r="B271" s="19" t="str">
        <f>VLOOKUP(A271,'ESTADOS ESTUDIANTES'!B:L,2,0)</f>
        <v>ROZO BARAJAS DIANA MARCELA</v>
      </c>
      <c r="C271" s="19">
        <f>VLOOKUP(A271,'ESTADOS ESTUDIANTES'!B:L,3,0)</f>
        <v>295</v>
      </c>
      <c r="D271" s="66" t="str">
        <f>VLOOKUP(A271,'ESTADOS ESTUDIANTES'!B:L,4,0)</f>
        <v>MAE. EN CIENCIAS DE LA INF. Y LAS COMUNICACIONES ENFASIS EN SIS. INFOR</v>
      </c>
      <c r="E271" s="19" t="str">
        <f>VLOOKUP(A271,'ESTADOS ESTUDIANTES'!B:L,5,0)</f>
        <v>X</v>
      </c>
      <c r="F271" s="18" t="str">
        <f>VLOOKUP(E271,Listas!B1:C1004,2,0)</f>
        <v>EXCLUIDO</v>
      </c>
      <c r="G271" s="19" t="str">
        <f>VLOOKUP(A271,'ESTADOS ESTUDIANTES'!B:L,7,0)</f>
        <v>NO REGISTRA</v>
      </c>
      <c r="H271" s="19" t="str">
        <f>VLOOKUP(A271,'ESTADOS ESTUDIANTES'!B:L,8,0)</f>
        <v>dmrozob@correo.udistrital.edu.co</v>
      </c>
      <c r="I271" s="70" t="str">
        <f>VLOOKUP(A271,'ESTADOS ESTUDIANTES'!B:L,9,0)</f>
        <v>marcela.rozo@gmail.com</v>
      </c>
      <c r="J271" s="19" t="str">
        <f>VLOOKUP(A271,'ESTADOS ESTUDIANTES'!B:L,10,0)</f>
        <v>CC</v>
      </c>
      <c r="K271" s="19">
        <f>VLOOKUP(A271,'ESTADOS ESTUDIANTES'!B:L,11,0)</f>
        <v>52436418</v>
      </c>
      <c r="L271" s="23"/>
      <c r="M271" s="20"/>
      <c r="N271" s="22"/>
      <c r="O271" s="15"/>
      <c r="P271" s="15"/>
      <c r="Q271" s="15"/>
      <c r="R271" s="15"/>
      <c r="S271" s="15"/>
      <c r="T271" s="15"/>
      <c r="U271" s="15"/>
    </row>
    <row r="272" spans="1:21" ht="90">
      <c r="A272" s="17">
        <v>20062295015</v>
      </c>
      <c r="B272" s="19" t="str">
        <f>VLOOKUP(A272,'ESTADOS ESTUDIANTES'!B:L,2,0)</f>
        <v>RUIZ BARRETO JAVIER FERNANDO</v>
      </c>
      <c r="C272" s="19">
        <f>VLOOKUP(A272,'ESTADOS ESTUDIANTES'!B:L,3,0)</f>
        <v>295</v>
      </c>
      <c r="D272" s="66" t="str">
        <f>VLOOKUP(A272,'ESTADOS ESTUDIANTES'!B:L,4,0)</f>
        <v>MAE. EN CIENCIAS DE LA INF. Y LAS COMUNICACIONES ENFASIS EN SIS. INFOR</v>
      </c>
      <c r="E272" s="19" t="str">
        <f>VLOOKUP(A272,'ESTADOS ESTUDIANTES'!B:L,5,0)</f>
        <v>X</v>
      </c>
      <c r="F272" s="18" t="str">
        <f>VLOOKUP(E272,Listas!B1:C1004,2,0)</f>
        <v>EXCLUIDO</v>
      </c>
      <c r="G272" s="19" t="str">
        <f>VLOOKUP(A272,'ESTADOS ESTUDIANTES'!B:L,7,0)</f>
        <v>NO REGISTRA</v>
      </c>
      <c r="H272" s="19">
        <f>VLOOKUP(A272,'ESTADOS ESTUDIANTES'!B:L,8,0)</f>
        <v>0</v>
      </c>
      <c r="I272" s="70">
        <f>VLOOKUP(A272,'ESTADOS ESTUDIANTES'!B:L,9,0)</f>
        <v>0</v>
      </c>
      <c r="J272" s="19" t="str">
        <f>VLOOKUP(A272,'ESTADOS ESTUDIANTES'!B:L,10,0)</f>
        <v>CC</v>
      </c>
      <c r="K272" s="19">
        <f>VLOOKUP(A272,'ESTADOS ESTUDIANTES'!B:L,11,0)</f>
        <v>80155443</v>
      </c>
      <c r="L272" s="23"/>
      <c r="M272" s="20"/>
      <c r="N272" s="22"/>
      <c r="O272" s="15"/>
      <c r="P272" s="15"/>
      <c r="Q272" s="15"/>
      <c r="R272" s="15"/>
      <c r="S272" s="15"/>
      <c r="T272" s="15"/>
      <c r="U272" s="15"/>
    </row>
    <row r="273" spans="1:21" ht="90">
      <c r="A273" s="17">
        <v>20062295016</v>
      </c>
      <c r="B273" s="19" t="str">
        <f>VLOOKUP(A273,'ESTADOS ESTUDIANTES'!B:L,2,0)</f>
        <v>SANTANA JIMENEZ SONIA CAROLINA</v>
      </c>
      <c r="C273" s="19">
        <f>VLOOKUP(A273,'ESTADOS ESTUDIANTES'!B:L,3,0)</f>
        <v>295</v>
      </c>
      <c r="D273" s="66" t="str">
        <f>VLOOKUP(A273,'ESTADOS ESTUDIANTES'!B:L,4,0)</f>
        <v>MAE. EN CIENCIAS DE LA INF. Y LAS COMUNICACIONES ENFASIS EN SIS. INFOR</v>
      </c>
      <c r="E273" s="19" t="str">
        <f>VLOOKUP(A273,'ESTADOS ESTUDIANTES'!B:L,5,0)</f>
        <v>E</v>
      </c>
      <c r="F273" s="18" t="str">
        <f>VLOOKUP(E273,Listas!B1:C1004,2,0)</f>
        <v>EGRESADO</v>
      </c>
      <c r="G273" s="19">
        <f>VLOOKUP(A273,'ESTADOS ESTUDIANTES'!B:L,7,0)</f>
        <v>1</v>
      </c>
      <c r="H273" s="19">
        <f>VLOOKUP(A273,'ESTADOS ESTUDIANTES'!B:L,8,0)</f>
        <v>0</v>
      </c>
      <c r="I273" s="70" t="str">
        <f>VLOOKUP(A273,'ESTADOS ESTUDIANTES'!B:L,9,0)</f>
        <v>sc.santana21@yahoo.com</v>
      </c>
      <c r="J273" s="19" t="str">
        <f>VLOOKUP(A273,'ESTADOS ESTUDIANTES'!B:L,10,0)</f>
        <v>CC</v>
      </c>
      <c r="K273" s="19">
        <f>VLOOKUP(A273,'ESTADOS ESTUDIANTES'!B:L,11,0)</f>
        <v>52498619</v>
      </c>
      <c r="L273" s="23"/>
      <c r="M273" s="20"/>
      <c r="N273" s="22"/>
      <c r="O273" s="15"/>
      <c r="P273" s="15"/>
      <c r="Q273" s="15"/>
      <c r="R273" s="15"/>
      <c r="S273" s="15"/>
      <c r="T273" s="15"/>
      <c r="U273" s="15"/>
    </row>
    <row r="274" spans="1:21" ht="90">
      <c r="A274" s="17">
        <v>20062295017</v>
      </c>
      <c r="B274" s="19" t="str">
        <f>VLOOKUP(A274,'ESTADOS ESTUDIANTES'!B:L,2,0)</f>
        <v>VELANDIA CASALLAS MARIA ISABEL</v>
      </c>
      <c r="C274" s="19">
        <f>VLOOKUP(A274,'ESTADOS ESTUDIANTES'!B:L,3,0)</f>
        <v>295</v>
      </c>
      <c r="D274" s="66" t="str">
        <f>VLOOKUP(A274,'ESTADOS ESTUDIANTES'!B:L,4,0)</f>
        <v>MAE. EN CIENCIAS DE LA INF. Y LAS COMUNICACIONES ENFASIS EN SIS. INFOR</v>
      </c>
      <c r="E274" s="19" t="str">
        <f>VLOOKUP(A274,'ESTADOS ESTUDIANTES'!B:L,5,0)</f>
        <v>E</v>
      </c>
      <c r="F274" s="18" t="str">
        <f>VLOOKUP(E274,Listas!B1:C1004,2,0)</f>
        <v>EGRESADO</v>
      </c>
      <c r="G274" s="19" t="str">
        <f>VLOOKUP(A274,'ESTADOS ESTUDIANTES'!B:L,7,0)</f>
        <v>NO REGISTRA</v>
      </c>
      <c r="H274" s="19" t="str">
        <f>VLOOKUP(A274,'ESTADOS ESTUDIANTES'!B:L,8,0)</f>
        <v>mivelandiac@correo.udistrital.edu.co</v>
      </c>
      <c r="I274" s="70" t="str">
        <f>VLOOKUP(A274,'ESTADOS ESTUDIANTES'!B:L,9,0)</f>
        <v>isabel.velandia@gmail.com</v>
      </c>
      <c r="J274" s="19" t="str">
        <f>VLOOKUP(A274,'ESTADOS ESTUDIANTES'!B:L,10,0)</f>
        <v>CC</v>
      </c>
      <c r="K274" s="19">
        <f>VLOOKUP(A274,'ESTADOS ESTUDIANTES'!B:L,11,0)</f>
        <v>52111472</v>
      </c>
      <c r="L274" s="23"/>
      <c r="M274" s="20"/>
      <c r="N274" s="22"/>
      <c r="O274" s="15"/>
      <c r="P274" s="15"/>
      <c r="Q274" s="15"/>
      <c r="R274" s="15"/>
      <c r="S274" s="15"/>
      <c r="T274" s="15"/>
      <c r="U274" s="15"/>
    </row>
    <row r="275" spans="1:21" ht="90">
      <c r="A275" s="17">
        <v>20062295018</v>
      </c>
      <c r="B275" s="19" t="str">
        <f>VLOOKUP(A275,'ESTADOS ESTUDIANTES'!B:L,2,0)</f>
        <v>BAQUERO REY LUIS EDUARDO</v>
      </c>
      <c r="C275" s="19">
        <f>VLOOKUP(A275,'ESTADOS ESTUDIANTES'!B:L,3,0)</f>
        <v>295</v>
      </c>
      <c r="D275" s="66" t="str">
        <f>VLOOKUP(A275,'ESTADOS ESTUDIANTES'!B:L,4,0)</f>
        <v>MAE. EN CIENCIAS DE LA INF. Y LAS COMUNICACIONES ENFASIS EN SIS. INFOR</v>
      </c>
      <c r="E275" s="19" t="str">
        <f>VLOOKUP(A275,'ESTADOS ESTUDIANTES'!B:L,5,0)</f>
        <v>X</v>
      </c>
      <c r="F275" s="18" t="str">
        <f>VLOOKUP(E275,Listas!B1:C1004,2,0)</f>
        <v>EXCLUIDO</v>
      </c>
      <c r="G275" s="19" t="str">
        <f>VLOOKUP(A275,'ESTADOS ESTUDIANTES'!B:L,7,0)</f>
        <v>NO REGISTRA</v>
      </c>
      <c r="H275" s="19">
        <f>VLOOKUP(A275,'ESTADOS ESTUDIANTES'!B:L,8,0)</f>
        <v>0</v>
      </c>
      <c r="I275" s="70">
        <f>VLOOKUP(A275,'ESTADOS ESTUDIANTES'!B:L,9,0)</f>
        <v>0</v>
      </c>
      <c r="J275" s="19" t="str">
        <f>VLOOKUP(A275,'ESTADOS ESTUDIANTES'!B:L,10,0)</f>
        <v>CC</v>
      </c>
      <c r="K275" s="19">
        <f>VLOOKUP(A275,'ESTADOS ESTUDIANTES'!B:L,11,0)</f>
        <v>17337533</v>
      </c>
      <c r="L275" s="23"/>
      <c r="M275" s="20"/>
      <c r="N275" s="22"/>
      <c r="O275" s="15"/>
      <c r="P275" s="15"/>
      <c r="Q275" s="15"/>
      <c r="R275" s="15"/>
      <c r="S275" s="15"/>
      <c r="T275" s="15"/>
      <c r="U275" s="15"/>
    </row>
    <row r="276" spans="1:21" ht="90">
      <c r="A276" s="17">
        <v>20062295019</v>
      </c>
      <c r="B276" s="19" t="str">
        <f>VLOOKUP(A276,'ESTADOS ESTUDIANTES'!B:L,2,0)</f>
        <v>DIAZ GARZON WEIMAR</v>
      </c>
      <c r="C276" s="19">
        <f>VLOOKUP(A276,'ESTADOS ESTUDIANTES'!B:L,3,0)</f>
        <v>295</v>
      </c>
      <c r="D276" s="66" t="str">
        <f>VLOOKUP(A276,'ESTADOS ESTUDIANTES'!B:L,4,0)</f>
        <v>MAE. EN CIENCIAS DE LA INF. Y LAS COMUNICACIONES ENFASIS EN SIS. INFOR</v>
      </c>
      <c r="E276" s="19" t="str">
        <f>VLOOKUP(A276,'ESTADOS ESTUDIANTES'!B:L,5,0)</f>
        <v>X</v>
      </c>
      <c r="F276" s="18" t="str">
        <f>VLOOKUP(E276,Listas!B1:C1004,2,0)</f>
        <v>EXCLUIDO</v>
      </c>
      <c r="G276" s="19" t="str">
        <f>VLOOKUP(A276,'ESTADOS ESTUDIANTES'!B:L,7,0)</f>
        <v>NO REGISTRA</v>
      </c>
      <c r="H276" s="19" t="str">
        <f>VLOOKUP(A276,'ESTADOS ESTUDIANTES'!B:L,8,0)</f>
        <v>wediazg@correo.udistrital.edu.co</v>
      </c>
      <c r="I276" s="70" t="str">
        <f>VLOOKUP(A276,'ESTADOS ESTUDIANTES'!B:L,9,0)</f>
        <v>wdg9@hotmail.com</v>
      </c>
      <c r="J276" s="19" t="str">
        <f>VLOOKUP(A276,'ESTADOS ESTUDIANTES'!B:L,10,0)</f>
        <v>CC</v>
      </c>
      <c r="K276" s="19">
        <f>VLOOKUP(A276,'ESTADOS ESTUDIANTES'!B:L,11,0)</f>
        <v>16185265</v>
      </c>
      <c r="L276" s="23"/>
      <c r="M276" s="20"/>
      <c r="N276" s="22"/>
      <c r="O276" s="15"/>
      <c r="P276" s="15"/>
      <c r="Q276" s="15"/>
      <c r="R276" s="15"/>
      <c r="S276" s="15"/>
      <c r="T276" s="15"/>
      <c r="U276" s="15"/>
    </row>
    <row r="277" spans="1:21" ht="90">
      <c r="A277" s="17">
        <v>20062295020</v>
      </c>
      <c r="B277" s="19" t="str">
        <f>VLOOKUP(A277,'ESTADOS ESTUDIANTES'!B:L,2,0)</f>
        <v>ESCOBAR SARRIA RUTH DARY</v>
      </c>
      <c r="C277" s="19">
        <f>VLOOKUP(A277,'ESTADOS ESTUDIANTES'!B:L,3,0)</f>
        <v>295</v>
      </c>
      <c r="D277" s="66" t="str">
        <f>VLOOKUP(A277,'ESTADOS ESTUDIANTES'!B:L,4,0)</f>
        <v>MAE. EN CIENCIAS DE LA INF. Y LAS COMUNICACIONES ENFASIS EN SIS. INFOR</v>
      </c>
      <c r="E277" s="19" t="str">
        <f>VLOOKUP(A277,'ESTADOS ESTUDIANTES'!B:L,5,0)</f>
        <v>E</v>
      </c>
      <c r="F277" s="18" t="str">
        <f>VLOOKUP(E277,Listas!B1:C1004,2,0)</f>
        <v>EGRESADO</v>
      </c>
      <c r="G277" s="19">
        <f>VLOOKUP(A277,'ESTADOS ESTUDIANTES'!B:L,7,0)</f>
        <v>1</v>
      </c>
      <c r="H277" s="19" t="str">
        <f>VLOOKUP(A277,'ESTADOS ESTUDIANTES'!B:L,8,0)</f>
        <v>rdescobars@correo.udistrital.edu.co</v>
      </c>
      <c r="I277" s="70" t="str">
        <f>VLOOKUP(A277,'ESTADOS ESTUDIANTES'!B:L,9,0)</f>
        <v>ruthdaryescobar@hotmail.com</v>
      </c>
      <c r="J277" s="19" t="str">
        <f>VLOOKUP(A277,'ESTADOS ESTUDIANTES'!B:L,10,0)</f>
        <v>CC</v>
      </c>
      <c r="K277" s="19">
        <f>VLOOKUP(A277,'ESTADOS ESTUDIANTES'!B:L,11,0)</f>
        <v>40775393</v>
      </c>
      <c r="L277" s="23"/>
      <c r="M277" s="20"/>
      <c r="N277" s="22"/>
      <c r="O277" s="15"/>
      <c r="P277" s="15"/>
      <c r="Q277" s="15"/>
      <c r="R277" s="15"/>
      <c r="S277" s="15"/>
      <c r="T277" s="15"/>
      <c r="U277" s="15"/>
    </row>
    <row r="278" spans="1:21" ht="90">
      <c r="A278" s="17">
        <v>20062295021</v>
      </c>
      <c r="B278" s="19" t="str">
        <f>VLOOKUP(A278,'ESTADOS ESTUDIANTES'!B:L,2,0)</f>
        <v>JOVEN SARRIA MARIO</v>
      </c>
      <c r="C278" s="19">
        <f>VLOOKUP(A278,'ESTADOS ESTUDIANTES'!B:L,3,0)</f>
        <v>295</v>
      </c>
      <c r="D278" s="66" t="str">
        <f>VLOOKUP(A278,'ESTADOS ESTUDIANTES'!B:L,4,0)</f>
        <v>MAE. EN CIENCIAS DE LA INF. Y LAS COMUNICACIONES ENFASIS EN SIS. INFOR</v>
      </c>
      <c r="E278" s="19" t="str">
        <f>VLOOKUP(A278,'ESTADOS ESTUDIANTES'!B:L,5,0)</f>
        <v>X</v>
      </c>
      <c r="F278" s="18" t="str">
        <f>VLOOKUP(E278,Listas!B1:C1004,2,0)</f>
        <v>EXCLUIDO</v>
      </c>
      <c r="G278" s="19" t="str">
        <f>VLOOKUP(A278,'ESTADOS ESTUDIANTES'!B:L,7,0)</f>
        <v>NO REGISTRA</v>
      </c>
      <c r="H278" s="19" t="str">
        <f>VLOOKUP(A278,'ESTADOS ESTUDIANTES'!B:L,8,0)</f>
        <v>mjovens@correo.udistrital.edu.co</v>
      </c>
      <c r="I278" s="70" t="str">
        <f>VLOOKUP(A278,'ESTADOS ESTUDIANTES'!B:L,9,0)</f>
        <v>mariojoven24@hotmail.com</v>
      </c>
      <c r="J278" s="19" t="str">
        <f>VLOOKUP(A278,'ESTADOS ESTUDIANTES'!B:L,10,0)</f>
        <v>CC</v>
      </c>
      <c r="K278" s="19">
        <f>VLOOKUP(A278,'ESTADOS ESTUDIANTES'!B:L,11,0)</f>
        <v>79521822</v>
      </c>
      <c r="L278" s="23"/>
      <c r="M278" s="20"/>
      <c r="N278" s="22"/>
      <c r="O278" s="15"/>
      <c r="P278" s="15"/>
      <c r="Q278" s="15"/>
      <c r="R278" s="15"/>
      <c r="S278" s="15"/>
      <c r="T278" s="15"/>
      <c r="U278" s="15"/>
    </row>
    <row r="279" spans="1:21" ht="90">
      <c r="A279" s="17">
        <v>20062295022</v>
      </c>
      <c r="B279" s="19" t="str">
        <f>VLOOKUP(A279,'ESTADOS ESTUDIANTES'!B:L,2,0)</f>
        <v>WILSON JOVEN SARRIA</v>
      </c>
      <c r="C279" s="19">
        <f>VLOOKUP(A279,'ESTADOS ESTUDIANTES'!B:L,3,0)</f>
        <v>295</v>
      </c>
      <c r="D279" s="66" t="str">
        <f>VLOOKUP(A279,'ESTADOS ESTUDIANTES'!B:L,4,0)</f>
        <v>MAE. EN CIENCIAS DE LA INF. Y LAS COMUNICACIONES ENFASIS EN SIS. INFOR</v>
      </c>
      <c r="E279" s="19" t="str">
        <f>VLOOKUP(A279,'ESTADOS ESTUDIANTES'!B:L,5,0)</f>
        <v>E</v>
      </c>
      <c r="F279" s="18" t="str">
        <f>VLOOKUP(E279,Listas!B1:C1004,2,0)</f>
        <v>EGRESADO</v>
      </c>
      <c r="G279" s="19">
        <f>VLOOKUP(A279,'ESTADOS ESTUDIANTES'!B:L,7,0)</f>
        <v>1</v>
      </c>
      <c r="H279" s="19" t="str">
        <f>VLOOKUP(A279,'ESTADOS ESTUDIANTES'!B:L,8,0)</f>
        <v>wjovens@correo.udistrital.edu.co</v>
      </c>
      <c r="I279" s="70" t="str">
        <f>VLOOKUP(A279,'ESTADOS ESTUDIANTES'!B:L,9,0)</f>
        <v>wjoven@hotmail.com</v>
      </c>
      <c r="J279" s="19" t="str">
        <f>VLOOKUP(A279,'ESTADOS ESTUDIANTES'!B:L,10,0)</f>
        <v>CC</v>
      </c>
      <c r="K279" s="19">
        <f>VLOOKUP(A279,'ESTADOS ESTUDIANTES'!B:L,11,0)</f>
        <v>79486881</v>
      </c>
      <c r="L279" s="23"/>
      <c r="M279" s="20"/>
      <c r="N279" s="22"/>
      <c r="O279" s="15"/>
      <c r="P279" s="15"/>
      <c r="Q279" s="15"/>
      <c r="R279" s="15"/>
      <c r="S279" s="15"/>
      <c r="T279" s="15"/>
      <c r="U279" s="15"/>
    </row>
    <row r="280" spans="1:21" ht="90">
      <c r="A280" s="17">
        <v>20062295023</v>
      </c>
      <c r="B280" s="19" t="str">
        <f>VLOOKUP(A280,'ESTADOS ESTUDIANTES'!B:L,2,0)</f>
        <v>EDWIN EDUARDO MILLAN ROJAS</v>
      </c>
      <c r="C280" s="19">
        <f>VLOOKUP(A280,'ESTADOS ESTUDIANTES'!B:L,3,0)</f>
        <v>295</v>
      </c>
      <c r="D280" s="66" t="str">
        <f>VLOOKUP(A280,'ESTADOS ESTUDIANTES'!B:L,4,0)</f>
        <v>MAE. EN CIENCIAS DE LA INF. Y LAS COMUNICACIONES ENFASIS EN SIS. INFOR</v>
      </c>
      <c r="E280" s="19" t="str">
        <f>VLOOKUP(A280,'ESTADOS ESTUDIANTES'!B:L,5,0)</f>
        <v>E</v>
      </c>
      <c r="F280" s="18" t="str">
        <f>VLOOKUP(E280,Listas!B1:C1004,2,0)</f>
        <v>EGRESADO</v>
      </c>
      <c r="G280" s="19">
        <f>VLOOKUP(A280,'ESTADOS ESTUDIANTES'!B:L,7,0)</f>
        <v>1</v>
      </c>
      <c r="H280" s="19" t="str">
        <f>VLOOKUP(A280,'ESTADOS ESTUDIANTES'!B:L,8,0)</f>
        <v>eemillanr@correo.udistrital.edu.co</v>
      </c>
      <c r="I280" s="70" t="str">
        <f>VLOOKUP(A280,'ESTADOS ESTUDIANTES'!B:L,9,0)</f>
        <v>edwineduardomillan@gmail.com</v>
      </c>
      <c r="J280" s="19" t="str">
        <f>VLOOKUP(A280,'ESTADOS ESTUDIANTES'!B:L,10,0)</f>
        <v>CC</v>
      </c>
      <c r="K280" s="19">
        <f>VLOOKUP(A280,'ESTADOS ESTUDIANTES'!B:L,11,0)</f>
        <v>79946475</v>
      </c>
      <c r="L280" s="23"/>
      <c r="M280" s="20"/>
      <c r="N280" s="22"/>
      <c r="O280" s="15"/>
      <c r="P280" s="15"/>
      <c r="Q280" s="15"/>
      <c r="R280" s="15"/>
      <c r="S280" s="15"/>
      <c r="T280" s="15"/>
      <c r="U280" s="15"/>
    </row>
    <row r="281" spans="1:21" ht="90">
      <c r="A281" s="17">
        <v>20062295024</v>
      </c>
      <c r="B281" s="19" t="str">
        <f>VLOOKUP(A281,'ESTADOS ESTUDIANTES'!B:L,2,0)</f>
        <v>YOIS SMITH PASCUAS RENGIFO</v>
      </c>
      <c r="C281" s="19">
        <f>VLOOKUP(A281,'ESTADOS ESTUDIANTES'!B:L,3,0)</f>
        <v>295</v>
      </c>
      <c r="D281" s="66" t="str">
        <f>VLOOKUP(A281,'ESTADOS ESTUDIANTES'!B:L,4,0)</f>
        <v>MAE. EN CIENCIAS DE LA INF. Y LAS COMUNICACIONES ENFASIS EN SIS. INFOR</v>
      </c>
      <c r="E281" s="19" t="str">
        <f>VLOOKUP(A281,'ESTADOS ESTUDIANTES'!B:L,5,0)</f>
        <v>E</v>
      </c>
      <c r="F281" s="18" t="str">
        <f>VLOOKUP(E281,Listas!B1:C1004,2,0)</f>
        <v>EGRESADO</v>
      </c>
      <c r="G281" s="19">
        <f>VLOOKUP(A281,'ESTADOS ESTUDIANTES'!B:L,7,0)</f>
        <v>1</v>
      </c>
      <c r="H281" s="19" t="str">
        <f>VLOOKUP(A281,'ESTADOS ESTUDIANTES'!B:L,8,0)</f>
        <v>yspascuasr@correo.udistrital.edu.co</v>
      </c>
      <c r="I281" s="70" t="str">
        <f>VLOOKUP(A281,'ESTADOS ESTUDIANTES'!B:L,9,0)</f>
        <v>yoispascuas@hotmail.com</v>
      </c>
      <c r="J281" s="19" t="str">
        <f>VLOOKUP(A281,'ESTADOS ESTUDIANTES'!B:L,10,0)</f>
        <v>CC</v>
      </c>
      <c r="K281" s="19">
        <f>VLOOKUP(A281,'ESTADOS ESTUDIANTES'!B:L,11,0)</f>
        <v>36314203</v>
      </c>
      <c r="L281" s="23"/>
      <c r="M281" s="20"/>
      <c r="N281" s="22"/>
      <c r="O281" s="15"/>
      <c r="P281" s="15"/>
      <c r="Q281" s="15"/>
      <c r="R281" s="15"/>
      <c r="S281" s="15"/>
      <c r="T281" s="15"/>
      <c r="U281" s="15"/>
    </row>
    <row r="282" spans="1:21" ht="90">
      <c r="A282" s="17">
        <v>20062295025</v>
      </c>
      <c r="B282" s="19" t="str">
        <f>VLOOKUP(A282,'ESTADOS ESTUDIANTES'!B:L,2,0)</f>
        <v>PATIÑO PERDOMO WILMER ARLEY</v>
      </c>
      <c r="C282" s="19">
        <f>VLOOKUP(A282,'ESTADOS ESTUDIANTES'!B:L,3,0)</f>
        <v>295</v>
      </c>
      <c r="D282" s="66" t="str">
        <f>VLOOKUP(A282,'ESTADOS ESTUDIANTES'!B:L,4,0)</f>
        <v>MAE. EN CIENCIAS DE LA INF. Y LAS COMUNICACIONES ENFASIS EN SIS. INFOR</v>
      </c>
      <c r="E282" s="19" t="str">
        <f>VLOOKUP(A282,'ESTADOS ESTUDIANTES'!B:L,5,0)</f>
        <v>X</v>
      </c>
      <c r="F282" s="18" t="str">
        <f>VLOOKUP(E282,Listas!B1:C1004,2,0)</f>
        <v>EXCLUIDO</v>
      </c>
      <c r="G282" s="19" t="str">
        <f>VLOOKUP(A282,'ESTADOS ESTUDIANTES'!B:L,7,0)</f>
        <v>NO REGISTRA</v>
      </c>
      <c r="H282" s="19">
        <f>VLOOKUP(A282,'ESTADOS ESTUDIANTES'!B:L,8,0)</f>
        <v>0</v>
      </c>
      <c r="I282" s="70">
        <f>VLOOKUP(A282,'ESTADOS ESTUDIANTES'!B:L,9,0)</f>
        <v>0</v>
      </c>
      <c r="J282" s="19" t="str">
        <f>VLOOKUP(A282,'ESTADOS ESTUDIANTES'!B:L,10,0)</f>
        <v>CC</v>
      </c>
      <c r="K282" s="19">
        <f>VLOOKUP(A282,'ESTADOS ESTUDIANTES'!B:L,11,0)</f>
        <v>16185791</v>
      </c>
      <c r="L282" s="23"/>
      <c r="M282" s="20"/>
      <c r="N282" s="22"/>
      <c r="O282" s="15"/>
      <c r="P282" s="15"/>
      <c r="Q282" s="15"/>
      <c r="R282" s="15"/>
      <c r="S282" s="15"/>
      <c r="T282" s="15"/>
      <c r="U282" s="15"/>
    </row>
    <row r="283" spans="1:21" ht="90">
      <c r="A283" s="17">
        <v>20062295026</v>
      </c>
      <c r="B283" s="19" t="str">
        <f>VLOOKUP(A283,'ESTADOS ESTUDIANTES'!B:L,2,0)</f>
        <v>ROJAS GARZON YILVER</v>
      </c>
      <c r="C283" s="19">
        <f>VLOOKUP(A283,'ESTADOS ESTUDIANTES'!B:L,3,0)</f>
        <v>295</v>
      </c>
      <c r="D283" s="66" t="str">
        <f>VLOOKUP(A283,'ESTADOS ESTUDIANTES'!B:L,4,0)</f>
        <v>MAE. EN CIENCIAS DE LA INF. Y LAS COMUNICACIONES ENFASIS EN SIS. INFOR</v>
      </c>
      <c r="E283" s="19" t="str">
        <f>VLOOKUP(A283,'ESTADOS ESTUDIANTES'!B:L,5,0)</f>
        <v>X</v>
      </c>
      <c r="F283" s="18" t="str">
        <f>VLOOKUP(E283,Listas!B1:C1004,2,0)</f>
        <v>EXCLUIDO</v>
      </c>
      <c r="G283" s="19" t="str">
        <f>VLOOKUP(A283,'ESTADOS ESTUDIANTES'!B:L,7,0)</f>
        <v>NO REGISTRA</v>
      </c>
      <c r="H283" s="19" t="str">
        <f>VLOOKUP(A283,'ESTADOS ESTUDIANTES'!B:L,8,0)</f>
        <v>yirojasg@correo.udistrital.edu.co</v>
      </c>
      <c r="I283" s="70" t="str">
        <f>VLOOKUP(A283,'ESTADOS ESTUDIANTES'!B:L,9,0)</f>
        <v>yilverrg@yahoo.com.ar</v>
      </c>
      <c r="J283" s="19" t="str">
        <f>VLOOKUP(A283,'ESTADOS ESTUDIANTES'!B:L,10,0)</f>
        <v>CC</v>
      </c>
      <c r="K283" s="19">
        <f>VLOOKUP(A283,'ESTADOS ESTUDIANTES'!B:L,11,0)</f>
        <v>17655754</v>
      </c>
      <c r="L283" s="23"/>
      <c r="M283" s="20"/>
      <c r="N283" s="22"/>
      <c r="O283" s="15"/>
      <c r="P283" s="15"/>
      <c r="Q283" s="15"/>
      <c r="R283" s="15"/>
      <c r="S283" s="15"/>
      <c r="T283" s="15"/>
      <c r="U283" s="15"/>
    </row>
    <row r="284" spans="1:21" ht="90">
      <c r="A284" s="17">
        <v>20062295027</v>
      </c>
      <c r="B284" s="19" t="str">
        <f>VLOOKUP(A284,'ESTADOS ESTUDIANTES'!B:L,2,0)</f>
        <v>TORRES MOTTA LINA MARCELA</v>
      </c>
      <c r="C284" s="19">
        <f>VLOOKUP(A284,'ESTADOS ESTUDIANTES'!B:L,3,0)</f>
        <v>295</v>
      </c>
      <c r="D284" s="66" t="str">
        <f>VLOOKUP(A284,'ESTADOS ESTUDIANTES'!B:L,4,0)</f>
        <v>MAE. EN CIENCIAS DE LA INF. Y LAS COMUNICACIONES ENFASIS EN SIS. INFOR</v>
      </c>
      <c r="E284" s="19" t="str">
        <f>VLOOKUP(A284,'ESTADOS ESTUDIANTES'!B:L,5,0)</f>
        <v>X</v>
      </c>
      <c r="F284" s="18" t="str">
        <f>VLOOKUP(E284,Listas!B1:C1004,2,0)</f>
        <v>EXCLUIDO</v>
      </c>
      <c r="G284" s="19" t="str">
        <f>VLOOKUP(A284,'ESTADOS ESTUDIANTES'!B:L,7,0)</f>
        <v>NO REGISTRA</v>
      </c>
      <c r="H284" s="19">
        <f>VLOOKUP(A284,'ESTADOS ESTUDIANTES'!B:L,8,0)</f>
        <v>0</v>
      </c>
      <c r="I284" s="70">
        <f>VLOOKUP(A284,'ESTADOS ESTUDIANTES'!B:L,9,0)</f>
        <v>0</v>
      </c>
      <c r="J284" s="19" t="str">
        <f>VLOOKUP(A284,'ESTADOS ESTUDIANTES'!B:L,10,0)</f>
        <v>CC</v>
      </c>
      <c r="K284" s="19">
        <f>VLOOKUP(A284,'ESTADOS ESTUDIANTES'!B:L,11,0)</f>
        <v>52538647</v>
      </c>
      <c r="L284" s="23"/>
      <c r="M284" s="20"/>
      <c r="N284" s="22"/>
      <c r="O284" s="15"/>
      <c r="P284" s="15"/>
      <c r="Q284" s="15"/>
      <c r="R284" s="15"/>
      <c r="S284" s="15"/>
      <c r="T284" s="15"/>
      <c r="U284" s="15"/>
    </row>
    <row r="285" spans="1:21" ht="90">
      <c r="A285" s="17">
        <v>20062295028</v>
      </c>
      <c r="B285" s="19" t="str">
        <f>VLOOKUP(A285,'ESTADOS ESTUDIANTES'!B:L,2,0)</f>
        <v>VARGAS LOSADA HERIBERTO FERNANDO</v>
      </c>
      <c r="C285" s="19">
        <f>VLOOKUP(A285,'ESTADOS ESTUDIANTES'!B:L,3,0)</f>
        <v>295</v>
      </c>
      <c r="D285" s="66" t="str">
        <f>VLOOKUP(A285,'ESTADOS ESTUDIANTES'!B:L,4,0)</f>
        <v>MAE. EN CIENCIAS DE LA INF. Y LAS COMUNICACIONES ENFASIS EN SIS. INFOR</v>
      </c>
      <c r="E285" s="19" t="str">
        <f>VLOOKUP(A285,'ESTADOS ESTUDIANTES'!B:L,5,0)</f>
        <v>E</v>
      </c>
      <c r="F285" s="18" t="str">
        <f>VLOOKUP(E285,Listas!B1:C1004,2,0)</f>
        <v>EGRESADO</v>
      </c>
      <c r="G285" s="19">
        <f>VLOOKUP(A285,'ESTADOS ESTUDIANTES'!B:L,7,0)</f>
        <v>1</v>
      </c>
      <c r="H285" s="19" t="str">
        <f>VLOOKUP(A285,'ESTADOS ESTUDIANTES'!B:L,8,0)</f>
        <v>hfvargasl@correo.udistrital.edu.co</v>
      </c>
      <c r="I285" s="70" t="str">
        <f>VLOOKUP(A285,'ESTADOS ESTUDIANTES'!B:L,9,0)</f>
        <v>heribertovargas@gmail.com</v>
      </c>
      <c r="J285" s="19" t="str">
        <f>VLOOKUP(A285,'ESTADOS ESTUDIANTES'!B:L,10,0)</f>
        <v>CC</v>
      </c>
      <c r="K285" s="19">
        <f>VLOOKUP(A285,'ESTADOS ESTUDIANTES'!B:L,11,0)</f>
        <v>79707883</v>
      </c>
      <c r="L285" s="23"/>
      <c r="M285" s="20"/>
      <c r="N285" s="22"/>
      <c r="O285" s="15"/>
      <c r="P285" s="15"/>
      <c r="Q285" s="15"/>
      <c r="R285" s="15"/>
      <c r="S285" s="15"/>
      <c r="T285" s="15"/>
      <c r="U285" s="15"/>
    </row>
    <row r="286" spans="1:21" ht="90">
      <c r="A286" s="17">
        <v>20062295029</v>
      </c>
      <c r="B286" s="19" t="str">
        <f>VLOOKUP(A286,'ESTADOS ESTUDIANTES'!B:L,2,0)</f>
        <v>VERASTEGUI GONZALEZ FREDY ANTONIO</v>
      </c>
      <c r="C286" s="19">
        <f>VLOOKUP(A286,'ESTADOS ESTUDIANTES'!B:L,3,0)</f>
        <v>295</v>
      </c>
      <c r="D286" s="66" t="str">
        <f>VLOOKUP(A286,'ESTADOS ESTUDIANTES'!B:L,4,0)</f>
        <v>MAE. EN CIENCIAS DE LA INF. Y LAS COMUNICACIONES ENFASIS EN SIS. INFOR</v>
      </c>
      <c r="E286" s="19" t="str">
        <f>VLOOKUP(A286,'ESTADOS ESTUDIANTES'!B:L,5,0)</f>
        <v>E</v>
      </c>
      <c r="F286" s="18" t="str">
        <f>VLOOKUP(E286,Listas!B1:C1004,2,0)</f>
        <v>EGRESADO</v>
      </c>
      <c r="G286" s="19">
        <f>VLOOKUP(A286,'ESTADOS ESTUDIANTES'!B:L,7,0)</f>
        <v>1</v>
      </c>
      <c r="H286" s="19" t="str">
        <f>VLOOKUP(A286,'ESTADOS ESTUDIANTES'!B:L,8,0)</f>
        <v>faverasteguig@correo.udistrital.edu.co</v>
      </c>
      <c r="I286" s="70" t="str">
        <f>VLOOKUP(A286,'ESTADOS ESTUDIANTES'!B:L,9,0)</f>
        <v>fredy@uniamazonia.edu.co</v>
      </c>
      <c r="J286" s="19" t="str">
        <f>VLOOKUP(A286,'ESTADOS ESTUDIANTES'!B:L,10,0)</f>
        <v>CC</v>
      </c>
      <c r="K286" s="19">
        <f>VLOOKUP(A286,'ESTADOS ESTUDIANTES'!B:L,11,0)</f>
        <v>88213248</v>
      </c>
      <c r="L286" s="23"/>
      <c r="M286" s="20"/>
      <c r="N286" s="22"/>
      <c r="O286" s="15"/>
      <c r="P286" s="15"/>
      <c r="Q286" s="15"/>
      <c r="R286" s="15"/>
      <c r="S286" s="15"/>
      <c r="T286" s="15"/>
      <c r="U286" s="15"/>
    </row>
    <row r="287" spans="1:21" ht="90">
      <c r="A287" s="17">
        <v>20062295030</v>
      </c>
      <c r="B287" s="19" t="str">
        <f>VLOOKUP(A287,'ESTADOS ESTUDIANTES'!B:L,2,0)</f>
        <v>MONICA JANNETTE BARRIOS ROBAYO</v>
      </c>
      <c r="C287" s="19">
        <f>VLOOKUP(A287,'ESTADOS ESTUDIANTES'!B:L,3,0)</f>
        <v>295</v>
      </c>
      <c r="D287" s="66" t="str">
        <f>VLOOKUP(A287,'ESTADOS ESTUDIANTES'!B:L,4,0)</f>
        <v>MAE. EN CIENCIAS DE LA INF. Y LAS COMUNICACIONES ENFASIS EN SIS. INFOR</v>
      </c>
      <c r="E287" s="19" t="str">
        <f>VLOOKUP(A287,'ESTADOS ESTUDIANTES'!B:L,5,0)</f>
        <v>E</v>
      </c>
      <c r="F287" s="18" t="str">
        <f>VLOOKUP(E287,Listas!B1:C1004,2,0)</f>
        <v>EGRESADO</v>
      </c>
      <c r="G287" s="19" t="str">
        <f>VLOOKUP(A287,'ESTADOS ESTUDIANTES'!B:L,7,0)</f>
        <v>NO REGISTRA</v>
      </c>
      <c r="H287" s="19" t="str">
        <f>VLOOKUP(A287,'ESTADOS ESTUDIANTES'!B:L,8,0)</f>
        <v>mjbarriosr@correo.udistrital.edu.co</v>
      </c>
      <c r="I287" s="70" t="str">
        <f>VLOOKUP(A287,'ESTADOS ESTUDIANTES'!B:L,9,0)</f>
        <v>monijaja@gmail.com</v>
      </c>
      <c r="J287" s="19" t="str">
        <f>VLOOKUP(A287,'ESTADOS ESTUDIANTES'!B:L,10,0)</f>
        <v>CC</v>
      </c>
      <c r="K287" s="19">
        <f>VLOOKUP(A287,'ESTADOS ESTUDIANTES'!B:L,11,0)</f>
        <v>52156247</v>
      </c>
      <c r="L287" s="23"/>
      <c r="M287" s="20"/>
      <c r="N287" s="22"/>
      <c r="O287" s="15"/>
      <c r="P287" s="15"/>
      <c r="Q287" s="15"/>
      <c r="R287" s="15"/>
      <c r="S287" s="15"/>
      <c r="T287" s="15"/>
      <c r="U287" s="15"/>
    </row>
    <row r="288" spans="1:21" ht="90">
      <c r="A288" s="17">
        <v>20062295031</v>
      </c>
      <c r="B288" s="19" t="str">
        <f>VLOOKUP(A288,'ESTADOS ESTUDIANTES'!B:L,2,0)</f>
        <v>NIÑO BARON MONICA ANDREA</v>
      </c>
      <c r="C288" s="19">
        <f>VLOOKUP(A288,'ESTADOS ESTUDIANTES'!B:L,3,0)</f>
        <v>295</v>
      </c>
      <c r="D288" s="66" t="str">
        <f>VLOOKUP(A288,'ESTADOS ESTUDIANTES'!B:L,4,0)</f>
        <v>MAE. EN CIENCIAS DE LA INF. Y LAS COMUNICACIONES ENFASIS EN SIS. INFOR</v>
      </c>
      <c r="E288" s="19" t="str">
        <f>VLOOKUP(A288,'ESTADOS ESTUDIANTES'!B:L,5,0)</f>
        <v>X</v>
      </c>
      <c r="F288" s="18" t="str">
        <f>VLOOKUP(E288,Listas!B1:C1004,2,0)</f>
        <v>EXCLUIDO</v>
      </c>
      <c r="G288" s="19" t="str">
        <f>VLOOKUP(A288,'ESTADOS ESTUDIANTES'!B:L,7,0)</f>
        <v>NO REGISTRA</v>
      </c>
      <c r="H288" s="19" t="str">
        <f>VLOOKUP(A288,'ESTADOS ESTUDIANTES'!B:L,8,0)</f>
        <v>maninob@correo.udistrital.edu.co</v>
      </c>
      <c r="I288" s="70" t="str">
        <f>VLOOKUP(A288,'ESTADOS ESTUDIANTES'!B:L,9,0)</f>
        <v>ninoandrea@yahoo.com</v>
      </c>
      <c r="J288" s="19" t="str">
        <f>VLOOKUP(A288,'ESTADOS ESTUDIANTES'!B:L,10,0)</f>
        <v>CC</v>
      </c>
      <c r="K288" s="19">
        <f>VLOOKUP(A288,'ESTADOS ESTUDIANTES'!B:L,11,0)</f>
        <v>46680610</v>
      </c>
      <c r="L288" s="23"/>
      <c r="M288" s="20"/>
      <c r="N288" s="22"/>
      <c r="O288" s="15"/>
      <c r="P288" s="15"/>
      <c r="Q288" s="15"/>
      <c r="R288" s="15"/>
      <c r="S288" s="15"/>
      <c r="T288" s="15"/>
      <c r="U288" s="15"/>
    </row>
    <row r="289" spans="1:21" ht="90">
      <c r="A289" s="17">
        <v>20062295032</v>
      </c>
      <c r="B289" s="19" t="str">
        <f>VLOOKUP(A289,'ESTADOS ESTUDIANTES'!B:L,2,0)</f>
        <v>CAMARGO SARMIENTO FERNANDO IVAN</v>
      </c>
      <c r="C289" s="19">
        <f>VLOOKUP(A289,'ESTADOS ESTUDIANTES'!B:L,3,0)</f>
        <v>295</v>
      </c>
      <c r="D289" s="66" t="str">
        <f>VLOOKUP(A289,'ESTADOS ESTUDIANTES'!B:L,4,0)</f>
        <v>MAE. EN CIENCIAS DE LA INF. Y LAS COMUNICACIONES ENFASIS EN SIS. INFOR</v>
      </c>
      <c r="E289" s="19" t="str">
        <f>VLOOKUP(A289,'ESTADOS ESTUDIANTES'!B:L,5,0)</f>
        <v>X</v>
      </c>
      <c r="F289" s="18" t="str">
        <f>VLOOKUP(E289,Listas!B1:C1004,2,0)</f>
        <v>EXCLUIDO</v>
      </c>
      <c r="G289" s="19" t="str">
        <f>VLOOKUP(A289,'ESTADOS ESTUDIANTES'!B:L,7,0)</f>
        <v>NO REGISTRA</v>
      </c>
      <c r="H289" s="19" t="str">
        <f>VLOOKUP(A289,'ESTADOS ESTUDIANTES'!B:L,8,0)</f>
        <v>ficamargos@correo.udistrital.edu.co</v>
      </c>
      <c r="I289" s="70" t="str">
        <f>VLOOKUP(A289,'ESTADOS ESTUDIANTES'!B:L,9,0)</f>
        <v>ficasa@cosistel.com</v>
      </c>
      <c r="J289" s="19" t="str">
        <f>VLOOKUP(A289,'ESTADOS ESTUDIANTES'!B:L,10,0)</f>
        <v>CC</v>
      </c>
      <c r="K289" s="19">
        <f>VLOOKUP(A289,'ESTADOS ESTUDIANTES'!B:L,11,0)</f>
        <v>74372451</v>
      </c>
      <c r="L289" s="23"/>
      <c r="M289" s="20"/>
      <c r="N289" s="22"/>
      <c r="O289" s="15"/>
      <c r="P289" s="15"/>
      <c r="Q289" s="15"/>
      <c r="R289" s="15"/>
      <c r="S289" s="15"/>
      <c r="T289" s="15"/>
      <c r="U289" s="15"/>
    </row>
    <row r="290" spans="1:21" ht="90">
      <c r="A290" s="17">
        <v>20062295033</v>
      </c>
      <c r="B290" s="19" t="str">
        <f>VLOOKUP(A290,'ESTADOS ESTUDIANTES'!B:L,2,0)</f>
        <v>SAMANIEGO PARDO JAIME ALBERTO</v>
      </c>
      <c r="C290" s="19">
        <f>VLOOKUP(A290,'ESTADOS ESTUDIANTES'!B:L,3,0)</f>
        <v>295</v>
      </c>
      <c r="D290" s="66" t="str">
        <f>VLOOKUP(A290,'ESTADOS ESTUDIANTES'!B:L,4,0)</f>
        <v>MAE. EN CIENCIAS DE LA INF. Y LAS COMUNICACIONES ENFASIS EN SIS. INFOR</v>
      </c>
      <c r="E290" s="19" t="str">
        <f>VLOOKUP(A290,'ESTADOS ESTUDIANTES'!B:L,5,0)</f>
        <v>X</v>
      </c>
      <c r="F290" s="18" t="str">
        <f>VLOOKUP(E290,Listas!B1:C1004,2,0)</f>
        <v>EXCLUIDO</v>
      </c>
      <c r="G290" s="19" t="str">
        <f>VLOOKUP(A290,'ESTADOS ESTUDIANTES'!B:L,7,0)</f>
        <v>NO REGISTRA</v>
      </c>
      <c r="H290" s="19">
        <f>VLOOKUP(A290,'ESTADOS ESTUDIANTES'!B:L,8,0)</f>
        <v>0</v>
      </c>
      <c r="I290" s="70">
        <f>VLOOKUP(A290,'ESTADOS ESTUDIANTES'!B:L,9,0)</f>
        <v>0</v>
      </c>
      <c r="J290" s="19" t="str">
        <f>VLOOKUP(A290,'ESTADOS ESTUDIANTES'!B:L,10,0)</f>
        <v>CC</v>
      </c>
      <c r="K290" s="19">
        <f>VLOOKUP(A290,'ESTADOS ESTUDIANTES'!B:L,11,0)</f>
        <v>74182805</v>
      </c>
      <c r="L290" s="23"/>
      <c r="M290" s="20"/>
      <c r="N290" s="22"/>
      <c r="O290" s="15"/>
      <c r="P290" s="15"/>
      <c r="Q290" s="15"/>
      <c r="R290" s="15"/>
      <c r="S290" s="15"/>
      <c r="T290" s="15"/>
      <c r="U290" s="15"/>
    </row>
    <row r="291" spans="1:21" ht="90">
      <c r="A291" s="17">
        <v>20062295034</v>
      </c>
      <c r="B291" s="19" t="str">
        <f>VLOOKUP(A291,'ESTADOS ESTUDIANTES'!B:L,2,0)</f>
        <v>CHAPARRO LEMUS LUIS OLIVERIO</v>
      </c>
      <c r="C291" s="19">
        <f>VLOOKUP(A291,'ESTADOS ESTUDIANTES'!B:L,3,0)</f>
        <v>295</v>
      </c>
      <c r="D291" s="66" t="str">
        <f>VLOOKUP(A291,'ESTADOS ESTUDIANTES'!B:L,4,0)</f>
        <v>MAE. EN CIENCIAS DE LA INF. Y LAS COMUNICACIONES ENFASIS EN SIS. INFOR</v>
      </c>
      <c r="E291" s="19" t="str">
        <f>VLOOKUP(A291,'ESTADOS ESTUDIANTES'!B:L,5,0)</f>
        <v>X</v>
      </c>
      <c r="F291" s="18" t="str">
        <f>VLOOKUP(E291,Listas!B1:C1004,2,0)</f>
        <v>EXCLUIDO</v>
      </c>
      <c r="G291" s="19" t="str">
        <f>VLOOKUP(A291,'ESTADOS ESTUDIANTES'!B:L,7,0)</f>
        <v>NO REGISTRA</v>
      </c>
      <c r="H291" s="19">
        <f>VLOOKUP(A291,'ESTADOS ESTUDIANTES'!B:L,8,0)</f>
        <v>0</v>
      </c>
      <c r="I291" s="70">
        <f>VLOOKUP(A291,'ESTADOS ESTUDIANTES'!B:L,9,0)</f>
        <v>0</v>
      </c>
      <c r="J291" s="19" t="str">
        <f>VLOOKUP(A291,'ESTADOS ESTUDIANTES'!B:L,10,0)</f>
        <v>CC</v>
      </c>
      <c r="K291" s="19">
        <f>VLOOKUP(A291,'ESTADOS ESTUDIANTES'!B:L,11,0)</f>
        <v>19289972</v>
      </c>
      <c r="L291" s="23"/>
      <c r="M291" s="20"/>
      <c r="N291" s="22"/>
      <c r="O291" s="15"/>
      <c r="P291" s="15"/>
      <c r="Q291" s="15"/>
      <c r="R291" s="15"/>
      <c r="S291" s="15"/>
      <c r="T291" s="15"/>
      <c r="U291" s="15"/>
    </row>
    <row r="292" spans="1:21" ht="90">
      <c r="A292" s="17">
        <v>20062295035</v>
      </c>
      <c r="B292" s="19" t="str">
        <f>VLOOKUP(A292,'ESTADOS ESTUDIANTES'!B:L,2,0)</f>
        <v>MONROY RODRIGUEZ MARISOL</v>
      </c>
      <c r="C292" s="19">
        <f>VLOOKUP(A292,'ESTADOS ESTUDIANTES'!B:L,3,0)</f>
        <v>295</v>
      </c>
      <c r="D292" s="66" t="str">
        <f>VLOOKUP(A292,'ESTADOS ESTUDIANTES'!B:L,4,0)</f>
        <v>MAE. EN CIENCIAS DE LA INF. Y LAS COMUNICACIONES ENFASIS EN SIS. INFOR</v>
      </c>
      <c r="E292" s="19" t="str">
        <f>VLOOKUP(A292,'ESTADOS ESTUDIANTES'!B:L,5,0)</f>
        <v>E</v>
      </c>
      <c r="F292" s="18" t="str">
        <f>VLOOKUP(E292,Listas!B1:C1004,2,0)</f>
        <v>EGRESADO</v>
      </c>
      <c r="G292" s="19" t="str">
        <f>VLOOKUP(A292,'ESTADOS ESTUDIANTES'!B:L,7,0)</f>
        <v>NO REGISTRA</v>
      </c>
      <c r="H292" s="19" t="str">
        <f>VLOOKUP(A292,'ESTADOS ESTUDIANTES'!B:L,8,0)</f>
        <v>mmonroyr@correo.udistrital.edu.co</v>
      </c>
      <c r="I292" s="70" t="str">
        <f>VLOOKUP(A292,'ESTADOS ESTUDIANTES'!B:L,9,0)</f>
        <v>monroy.marisol@gmail.com</v>
      </c>
      <c r="J292" s="19" t="str">
        <f>VLOOKUP(A292,'ESTADOS ESTUDIANTES'!B:L,10,0)</f>
        <v>CC</v>
      </c>
      <c r="K292" s="19">
        <f>VLOOKUP(A292,'ESTADOS ESTUDIANTES'!B:L,11,0)</f>
        <v>63357179</v>
      </c>
      <c r="L292" s="23"/>
      <c r="M292" s="20"/>
      <c r="N292" s="22"/>
      <c r="O292" s="15"/>
      <c r="P292" s="15"/>
      <c r="Q292" s="15"/>
      <c r="R292" s="15"/>
      <c r="S292" s="15"/>
      <c r="T292" s="15"/>
      <c r="U292" s="15"/>
    </row>
    <row r="293" spans="1:21" ht="90">
      <c r="A293" s="17">
        <v>20062295036</v>
      </c>
      <c r="B293" s="19" t="str">
        <f>VLOOKUP(A293,'ESTADOS ESTUDIANTES'!B:L,2,0)</f>
        <v>SANTAMARIA BUITRAGO FREY ALFONSO</v>
      </c>
      <c r="C293" s="19">
        <f>VLOOKUP(A293,'ESTADOS ESTUDIANTES'!B:L,3,0)</f>
        <v>295</v>
      </c>
      <c r="D293" s="66" t="str">
        <f>VLOOKUP(A293,'ESTADOS ESTUDIANTES'!B:L,4,0)</f>
        <v>MAE. EN CIENCIAS DE LA INF. Y LAS COMUNICACIONES ENFASIS EN SIS. INFOR</v>
      </c>
      <c r="E293" s="19" t="str">
        <f>VLOOKUP(A293,'ESTADOS ESTUDIANTES'!B:L,5,0)</f>
        <v>X</v>
      </c>
      <c r="F293" s="18" t="str">
        <f>VLOOKUP(E293,Listas!B1:C1004,2,0)</f>
        <v>EXCLUIDO</v>
      </c>
      <c r="G293" s="19" t="str">
        <f>VLOOKUP(A293,'ESTADOS ESTUDIANTES'!B:L,7,0)</f>
        <v>NO REGISTRA</v>
      </c>
      <c r="H293" s="19" t="str">
        <f>VLOOKUP(A293,'ESTADOS ESTUDIANTES'!B:L,8,0)</f>
        <v>fasantamariab@correo.udistrital.edu.co</v>
      </c>
      <c r="I293" s="70" t="str">
        <f>VLOOKUP(A293,'ESTADOS ESTUDIANTES'!B:L,9,0)</f>
        <v>santfrey@gmail.com</v>
      </c>
      <c r="J293" s="19" t="str">
        <f>VLOOKUP(A293,'ESTADOS ESTUDIANTES'!B:L,10,0)</f>
        <v>CC</v>
      </c>
      <c r="K293" s="19">
        <f>VLOOKUP(A293,'ESTADOS ESTUDIANTES'!B:L,11,0)</f>
        <v>7161396</v>
      </c>
      <c r="L293" s="23"/>
      <c r="M293" s="20"/>
      <c r="N293" s="22"/>
      <c r="O293" s="15"/>
      <c r="P293" s="15"/>
      <c r="Q293" s="15"/>
      <c r="R293" s="15"/>
      <c r="S293" s="15"/>
      <c r="T293" s="15"/>
      <c r="U293" s="15"/>
    </row>
    <row r="294" spans="1:21" ht="90">
      <c r="A294" s="17">
        <v>20062295037</v>
      </c>
      <c r="B294" s="19" t="str">
        <f>VLOOKUP(A294,'ESTADOS ESTUDIANTES'!B:L,2,0)</f>
        <v>HOYOS PINEDA JORGE GABRIEL</v>
      </c>
      <c r="C294" s="19">
        <f>VLOOKUP(A294,'ESTADOS ESTUDIANTES'!B:L,3,0)</f>
        <v>295</v>
      </c>
      <c r="D294" s="66" t="str">
        <f>VLOOKUP(A294,'ESTADOS ESTUDIANTES'!B:L,4,0)</f>
        <v>MAE. EN CIENCIAS DE LA INF. Y LAS COMUNICACIONES ENFASIS EN SIS. INFOR</v>
      </c>
      <c r="E294" s="19" t="str">
        <f>VLOOKUP(A294,'ESTADOS ESTUDIANTES'!B:L,5,0)</f>
        <v>E</v>
      </c>
      <c r="F294" s="18" t="str">
        <f>VLOOKUP(E294,Listas!B1:C1004,2,0)</f>
        <v>EGRESADO</v>
      </c>
      <c r="G294" s="19" t="str">
        <f>VLOOKUP(A294,'ESTADOS ESTUDIANTES'!B:L,7,0)</f>
        <v>NO REGISTRA</v>
      </c>
      <c r="H294" s="19" t="str">
        <f>VLOOKUP(A294,'ESTADOS ESTUDIANTES'!B:L,8,0)</f>
        <v>jghoyosp@correo.udistrital.edu.co</v>
      </c>
      <c r="I294" s="70" t="str">
        <f>VLOOKUP(A294,'ESTADOS ESTUDIANTES'!B:L,9,0)</f>
        <v>hoyospi@yahoo.com</v>
      </c>
      <c r="J294" s="19" t="str">
        <f>VLOOKUP(A294,'ESTADOS ESTUDIANTES'!B:L,10,0)</f>
        <v>CC</v>
      </c>
      <c r="K294" s="19">
        <f>VLOOKUP(A294,'ESTADOS ESTUDIANTES'!B:L,11,0)</f>
        <v>6775483</v>
      </c>
      <c r="L294" s="23"/>
      <c r="M294" s="20"/>
      <c r="N294" s="22"/>
      <c r="O294" s="15"/>
      <c r="P294" s="15"/>
      <c r="Q294" s="15"/>
      <c r="R294" s="15"/>
      <c r="S294" s="15"/>
      <c r="T294" s="15"/>
      <c r="U294" s="15"/>
    </row>
    <row r="295" spans="1:21" ht="90">
      <c r="A295" s="17">
        <v>20062295038</v>
      </c>
      <c r="B295" s="19" t="str">
        <f>VLOOKUP(A295,'ESTADOS ESTUDIANTES'!B:L,2,0)</f>
        <v>CACERES CASTELLANOS GUSTAVO</v>
      </c>
      <c r="C295" s="19">
        <f>VLOOKUP(A295,'ESTADOS ESTUDIANTES'!B:L,3,0)</f>
        <v>295</v>
      </c>
      <c r="D295" s="66" t="str">
        <f>VLOOKUP(A295,'ESTADOS ESTUDIANTES'!B:L,4,0)</f>
        <v>MAE. EN CIENCIAS DE LA INF. Y LAS COMUNICACIONES ENFASIS EN SIS. INFOR</v>
      </c>
      <c r="E295" s="19" t="str">
        <f>VLOOKUP(A295,'ESTADOS ESTUDIANTES'!B:L,5,0)</f>
        <v>E</v>
      </c>
      <c r="F295" s="18" t="str">
        <f>VLOOKUP(E295,Listas!B1:C1004,2,0)</f>
        <v>EGRESADO</v>
      </c>
      <c r="G295" s="19">
        <f>VLOOKUP(A295,'ESTADOS ESTUDIANTES'!B:L,7,0)</f>
        <v>1</v>
      </c>
      <c r="H295" s="19" t="str">
        <f>VLOOKUP(A295,'ESTADOS ESTUDIANTES'!B:L,8,0)</f>
        <v>gcaceresc@correo.udistrital.edu.co</v>
      </c>
      <c r="I295" s="70" t="str">
        <f>VLOOKUP(A295,'ESTADOS ESTUDIANTES'!B:L,9,0)</f>
        <v>gcaceresc@gmail.com</v>
      </c>
      <c r="J295" s="19" t="str">
        <f>VLOOKUP(A295,'ESTADOS ESTUDIANTES'!B:L,10,0)</f>
        <v>CC</v>
      </c>
      <c r="K295" s="19">
        <f>VLOOKUP(A295,'ESTADOS ESTUDIANTES'!B:L,11,0)</f>
        <v>79350660</v>
      </c>
      <c r="L295" s="23"/>
      <c r="M295" s="20"/>
      <c r="N295" s="22"/>
      <c r="O295" s="15"/>
      <c r="P295" s="15"/>
      <c r="Q295" s="15"/>
      <c r="R295" s="15"/>
      <c r="S295" s="15"/>
      <c r="T295" s="15"/>
      <c r="U295" s="15"/>
    </row>
    <row r="296" spans="1:21" ht="90">
      <c r="A296" s="17">
        <v>20062295039</v>
      </c>
      <c r="B296" s="19" t="str">
        <f>VLOOKUP(A296,'ESTADOS ESTUDIANTES'!B:L,2,0)</f>
        <v>MIGUEL ANGEL LEGUIZAMON PAEZ</v>
      </c>
      <c r="C296" s="19">
        <f>VLOOKUP(A296,'ESTADOS ESTUDIANTES'!B:L,3,0)</f>
        <v>295</v>
      </c>
      <c r="D296" s="66" t="str">
        <f>VLOOKUP(A296,'ESTADOS ESTUDIANTES'!B:L,4,0)</f>
        <v>MAE. EN CIENCIAS DE LA INF. Y LAS COMUNICACIONES ENFASIS EN SIS. INFOR</v>
      </c>
      <c r="E296" s="19" t="str">
        <f>VLOOKUP(A296,'ESTADOS ESTUDIANTES'!B:L,5,0)</f>
        <v>E</v>
      </c>
      <c r="F296" s="18" t="str">
        <f>VLOOKUP(E296,Listas!B1:C1004,2,0)</f>
        <v>EGRESADO</v>
      </c>
      <c r="G296" s="19" t="str">
        <f>VLOOKUP(A296,'ESTADOS ESTUDIANTES'!B:L,7,0)</f>
        <v>NO REGISTRA</v>
      </c>
      <c r="H296" s="19" t="str">
        <f>VLOOKUP(A296,'ESTADOS ESTUDIANTES'!B:L,8,0)</f>
        <v>maleguizamonp@udistrital.edu.co</v>
      </c>
      <c r="I296" s="70" t="str">
        <f>VLOOKUP(A296,'ESTADOS ESTUDIANTES'!B:L,9,0)</f>
        <v>mianlepa@gmail.com</v>
      </c>
      <c r="J296" s="19" t="str">
        <f>VLOOKUP(A296,'ESTADOS ESTUDIANTES'!B:L,10,0)</f>
        <v>CC</v>
      </c>
      <c r="K296" s="19">
        <f>VLOOKUP(A296,'ESTADOS ESTUDIANTES'!B:L,11,0)</f>
        <v>7168268</v>
      </c>
      <c r="L296" s="23"/>
      <c r="M296" s="20"/>
      <c r="N296" s="22"/>
      <c r="O296" s="15"/>
      <c r="P296" s="15"/>
      <c r="Q296" s="15"/>
      <c r="R296" s="15"/>
      <c r="S296" s="15"/>
      <c r="T296" s="15"/>
      <c r="U296" s="15"/>
    </row>
    <row r="297" spans="1:21" ht="90">
      <c r="A297" s="17">
        <v>20062295040</v>
      </c>
      <c r="B297" s="19" t="str">
        <f>VLOOKUP(A297,'ESTADOS ESTUDIANTES'!B:L,2,0)</f>
        <v>DEYANIRA DIAZ DIAZ</v>
      </c>
      <c r="C297" s="19">
        <f>VLOOKUP(A297,'ESTADOS ESTUDIANTES'!B:L,3,0)</f>
        <v>295</v>
      </c>
      <c r="D297" s="66" t="str">
        <f>VLOOKUP(A297,'ESTADOS ESTUDIANTES'!B:L,4,0)</f>
        <v>MAE. EN CIENCIAS DE LA INF. Y LAS COMUNICACIONES ENFASIS EN SIS. INFOR</v>
      </c>
      <c r="E297" s="19" t="str">
        <f>VLOOKUP(A297,'ESTADOS ESTUDIANTES'!B:L,5,0)</f>
        <v>E</v>
      </c>
      <c r="F297" s="18" t="str">
        <f>VLOOKUP(E297,Listas!B1:C1004,2,0)</f>
        <v>EGRESADO</v>
      </c>
      <c r="G297" s="19">
        <f>VLOOKUP(A297,'ESTADOS ESTUDIANTES'!B:L,7,0)</f>
        <v>1</v>
      </c>
      <c r="H297" s="19" t="str">
        <f>VLOOKUP(A297,'ESTADOS ESTUDIANTES'!B:L,8,0)</f>
        <v>ddiazd@correo.udistrital.edu.co</v>
      </c>
      <c r="I297" s="70" t="str">
        <f>VLOOKUP(A297,'ESTADOS ESTUDIANTES'!B:L,9,0)</f>
        <v>deyaniradiazdiaz@gmail.com</v>
      </c>
      <c r="J297" s="19" t="str">
        <f>VLOOKUP(A297,'ESTADOS ESTUDIANTES'!B:L,10,0)</f>
        <v>CC</v>
      </c>
      <c r="K297" s="19">
        <f>VLOOKUP(A297,'ESTADOS ESTUDIANTES'!B:L,11,0)</f>
        <v>40036727</v>
      </c>
      <c r="L297" s="23"/>
      <c r="M297" s="20"/>
      <c r="N297" s="22"/>
      <c r="O297" s="15"/>
      <c r="P297" s="15"/>
      <c r="Q297" s="15"/>
      <c r="R297" s="15"/>
      <c r="S297" s="15"/>
      <c r="T297" s="15"/>
      <c r="U297" s="15"/>
    </row>
    <row r="298" spans="1:21" ht="90">
      <c r="A298" s="17">
        <v>20062295041</v>
      </c>
      <c r="B298" s="19" t="str">
        <f>VLOOKUP(A298,'ESTADOS ESTUDIANTES'!B:L,2,0)</f>
        <v>AMEZQUITA BECERRA GERMAN</v>
      </c>
      <c r="C298" s="19">
        <f>VLOOKUP(A298,'ESTADOS ESTUDIANTES'!B:L,3,0)</f>
        <v>295</v>
      </c>
      <c r="D298" s="66" t="str">
        <f>VLOOKUP(A298,'ESTADOS ESTUDIANTES'!B:L,4,0)</f>
        <v>MAE. EN CIENCIAS DE LA INF. Y LAS COMUNICACIONES ENFASIS EN SIS. INFOR</v>
      </c>
      <c r="E298" s="19" t="str">
        <f>VLOOKUP(A298,'ESTADOS ESTUDIANTES'!B:L,5,0)</f>
        <v>E</v>
      </c>
      <c r="F298" s="18" t="str">
        <f>VLOOKUP(E298,Listas!B1:C1004,2,0)</f>
        <v>EGRESADO</v>
      </c>
      <c r="G298" s="19" t="str">
        <f>VLOOKUP(A298,'ESTADOS ESTUDIANTES'!B:L,7,0)</f>
        <v>NO REGISTRA</v>
      </c>
      <c r="H298" s="19" t="str">
        <f>VLOOKUP(A298,'ESTADOS ESTUDIANTES'!B:L,8,0)</f>
        <v>gamezquitab@correo.udistrital.edu.co</v>
      </c>
      <c r="I298" s="70" t="str">
        <f>VLOOKUP(A298,'ESTADOS ESTUDIANTES'!B:L,9,0)</f>
        <v>german.amezquita@gmail.com</v>
      </c>
      <c r="J298" s="19" t="str">
        <f>VLOOKUP(A298,'ESTADOS ESTUDIANTES'!B:L,10,0)</f>
        <v>CC</v>
      </c>
      <c r="K298" s="19">
        <f>VLOOKUP(A298,'ESTADOS ESTUDIANTES'!B:L,11,0)</f>
        <v>7221649</v>
      </c>
      <c r="L298" s="23"/>
      <c r="M298" s="20"/>
      <c r="N298" s="22"/>
      <c r="O298" s="15"/>
      <c r="P298" s="15"/>
      <c r="Q298" s="15"/>
      <c r="R298" s="15"/>
      <c r="S298" s="15"/>
      <c r="T298" s="15"/>
      <c r="U298" s="15"/>
    </row>
    <row r="299" spans="1:21" ht="90">
      <c r="A299" s="17">
        <v>20062295042</v>
      </c>
      <c r="B299" s="19" t="str">
        <f>VLOOKUP(A299,'ESTADOS ESTUDIANTES'!B:L,2,0)</f>
        <v>GROSSO MOLANO EUGENIA</v>
      </c>
      <c r="C299" s="19">
        <f>VLOOKUP(A299,'ESTADOS ESTUDIANTES'!B:L,3,0)</f>
        <v>295</v>
      </c>
      <c r="D299" s="66" t="str">
        <f>VLOOKUP(A299,'ESTADOS ESTUDIANTES'!B:L,4,0)</f>
        <v>MAE. EN CIENCIAS DE LA INF. Y LAS COMUNICACIONES ENFASIS EN SIS. INFOR</v>
      </c>
      <c r="E299" s="19" t="str">
        <f>VLOOKUP(A299,'ESTADOS ESTUDIANTES'!B:L,5,0)</f>
        <v>E</v>
      </c>
      <c r="F299" s="18" t="str">
        <f>VLOOKUP(E299,Listas!B1:C1004,2,0)</f>
        <v>EGRESADO</v>
      </c>
      <c r="G299" s="19">
        <f>VLOOKUP(A299,'ESTADOS ESTUDIANTES'!B:L,7,0)</f>
        <v>1</v>
      </c>
      <c r="H299" s="19" t="str">
        <f>VLOOKUP(A299,'ESTADOS ESTUDIANTES'!B:L,8,0)</f>
        <v>egrossom@correo.udistrital.edu.co</v>
      </c>
      <c r="I299" s="70" t="str">
        <f>VLOOKUP(A299,'ESTADOS ESTUDIANTES'!B:L,9,0)</f>
        <v>egrossom@gmail.com</v>
      </c>
      <c r="J299" s="19" t="str">
        <f>VLOOKUP(A299,'ESTADOS ESTUDIANTES'!B:L,10,0)</f>
        <v>CC</v>
      </c>
      <c r="K299" s="19">
        <f>VLOOKUP(A299,'ESTADOS ESTUDIANTES'!B:L,11,0)</f>
        <v>46664981</v>
      </c>
      <c r="L299" s="23"/>
      <c r="M299" s="20"/>
      <c r="N299" s="22"/>
      <c r="O299" s="15"/>
      <c r="P299" s="15"/>
      <c r="Q299" s="15"/>
      <c r="R299" s="15"/>
      <c r="S299" s="15"/>
      <c r="T299" s="15"/>
      <c r="U299" s="15"/>
    </row>
    <row r="300" spans="1:21" ht="90">
      <c r="A300" s="17">
        <v>20062295043</v>
      </c>
      <c r="B300" s="19" t="str">
        <f>VLOOKUP(A300,'ESTADOS ESTUDIANTES'!B:L,2,0)</f>
        <v>MONROY VASQUEZ JUAN OLEGARIO</v>
      </c>
      <c r="C300" s="19">
        <f>VLOOKUP(A300,'ESTADOS ESTUDIANTES'!B:L,3,0)</f>
        <v>295</v>
      </c>
      <c r="D300" s="66" t="str">
        <f>VLOOKUP(A300,'ESTADOS ESTUDIANTES'!B:L,4,0)</f>
        <v>MAE. EN CIENCIAS DE LA INF. Y LAS COMUNICACIONES ENFASIS EN SIS. INFOR</v>
      </c>
      <c r="E300" s="19" t="str">
        <f>VLOOKUP(A300,'ESTADOS ESTUDIANTES'!B:L,5,0)</f>
        <v>X</v>
      </c>
      <c r="F300" s="18" t="str">
        <f>VLOOKUP(E300,Listas!B1:C1004,2,0)</f>
        <v>EXCLUIDO</v>
      </c>
      <c r="G300" s="19" t="str">
        <f>VLOOKUP(A300,'ESTADOS ESTUDIANTES'!B:L,7,0)</f>
        <v>NO REGISTRA</v>
      </c>
      <c r="H300" s="19" t="str">
        <f>VLOOKUP(A300,'ESTADOS ESTUDIANTES'!B:L,8,0)</f>
        <v>jomonroyv@correo.udistrital.edu.co</v>
      </c>
      <c r="I300" s="70" t="str">
        <f>VLOOKUP(A300,'ESTADOS ESTUDIANTES'!B:L,9,0)</f>
        <v>juanolmv@gmail.com</v>
      </c>
      <c r="J300" s="19" t="str">
        <f>VLOOKUP(A300,'ESTADOS ESTUDIANTES'!B:L,10,0)</f>
        <v>CC</v>
      </c>
      <c r="K300" s="19">
        <f>VLOOKUP(A300,'ESTADOS ESTUDIANTES'!B:L,11,0)</f>
        <v>9395625</v>
      </c>
      <c r="L300" s="23"/>
      <c r="M300" s="20"/>
      <c r="N300" s="22"/>
      <c r="O300" s="15"/>
      <c r="P300" s="15"/>
      <c r="Q300" s="15"/>
      <c r="R300" s="15"/>
      <c r="S300" s="15"/>
      <c r="T300" s="15"/>
      <c r="U300" s="15"/>
    </row>
    <row r="301" spans="1:21" ht="90">
      <c r="A301" s="17">
        <v>20062295044</v>
      </c>
      <c r="B301" s="19" t="str">
        <f>VLOOKUP(A301,'ESTADOS ESTUDIANTES'!B:L,2,0)</f>
        <v>MENDOZA MORENO MIGUEL ANGEL</v>
      </c>
      <c r="C301" s="19">
        <f>VLOOKUP(A301,'ESTADOS ESTUDIANTES'!B:L,3,0)</f>
        <v>295</v>
      </c>
      <c r="D301" s="66" t="str">
        <f>VLOOKUP(A301,'ESTADOS ESTUDIANTES'!B:L,4,0)</f>
        <v>MAE. EN CIENCIAS DE LA INF. Y LAS COMUNICACIONES ENFASIS EN SIS. INFOR</v>
      </c>
      <c r="E301" s="19" t="str">
        <f>VLOOKUP(A301,'ESTADOS ESTUDIANTES'!B:L,5,0)</f>
        <v>E</v>
      </c>
      <c r="F301" s="18" t="str">
        <f>VLOOKUP(E301,Listas!B1:C1004,2,0)</f>
        <v>EGRESADO</v>
      </c>
      <c r="G301" s="19">
        <f>VLOOKUP(A301,'ESTADOS ESTUDIANTES'!B:L,7,0)</f>
        <v>1</v>
      </c>
      <c r="H301" s="19" t="str">
        <f>VLOOKUP(A301,'ESTADOS ESTUDIANTES'!B:L,8,0)</f>
        <v>mamendozam@correo.udistrital.edu.co</v>
      </c>
      <c r="I301" s="70" t="str">
        <f>VLOOKUP(A301,'ESTADOS ESTUDIANTES'!B:L,9,0)</f>
        <v>miguelmendozamoreno@gmail.com</v>
      </c>
      <c r="J301" s="19" t="str">
        <f>VLOOKUP(A301,'ESTADOS ESTUDIANTES'!B:L,10,0)</f>
        <v>CC</v>
      </c>
      <c r="K301" s="19">
        <f>VLOOKUP(A301,'ESTADOS ESTUDIANTES'!B:L,11,0)</f>
        <v>7171736</v>
      </c>
      <c r="L301" s="23"/>
      <c r="M301" s="20"/>
      <c r="N301" s="22"/>
      <c r="O301" s="15"/>
      <c r="P301" s="15"/>
      <c r="Q301" s="15"/>
      <c r="R301" s="15"/>
      <c r="S301" s="15"/>
      <c r="T301" s="15"/>
      <c r="U301" s="15"/>
    </row>
    <row r="302" spans="1:21" ht="90">
      <c r="A302" s="17">
        <v>20062295045</v>
      </c>
      <c r="B302" s="19" t="str">
        <f>VLOOKUP(A302,'ESTADOS ESTUDIANTES'!B:L,2,0)</f>
        <v>SANTAMARIA GRANADOS LUZ HERMENCIA</v>
      </c>
      <c r="C302" s="19">
        <f>VLOOKUP(A302,'ESTADOS ESTUDIANTES'!B:L,3,0)</f>
        <v>295</v>
      </c>
      <c r="D302" s="66" t="str">
        <f>VLOOKUP(A302,'ESTADOS ESTUDIANTES'!B:L,4,0)</f>
        <v>MAE. EN CIENCIAS DE LA INF. Y LAS COMUNICACIONES ENFASIS EN SIS. INFOR</v>
      </c>
      <c r="E302" s="19" t="str">
        <f>VLOOKUP(A302,'ESTADOS ESTUDIANTES'!B:L,5,0)</f>
        <v>E</v>
      </c>
      <c r="F302" s="18" t="str">
        <f>VLOOKUP(E302,Listas!B1:C1004,2,0)</f>
        <v>EGRESADO</v>
      </c>
      <c r="G302" s="19" t="str">
        <f>VLOOKUP(A302,'ESTADOS ESTUDIANTES'!B:L,7,0)</f>
        <v>NO REGISTRA</v>
      </c>
      <c r="H302" s="19" t="str">
        <f>VLOOKUP(A302,'ESTADOS ESTUDIANTES'!B:L,8,0)</f>
        <v>lhsantamariag@correo.udistrital.edu.co</v>
      </c>
      <c r="I302" s="70" t="str">
        <f>VLOOKUP(A302,'ESTADOS ESTUDIANTES'!B:L,9,0)</f>
        <v>luzsantamariag@gmail.com</v>
      </c>
      <c r="J302" s="19" t="str">
        <f>VLOOKUP(A302,'ESTADOS ESTUDIANTES'!B:L,10,0)</f>
        <v>CC</v>
      </c>
      <c r="K302" s="19">
        <f>VLOOKUP(A302,'ESTADOS ESTUDIANTES'!B:L,11,0)</f>
        <v>46670431</v>
      </c>
      <c r="L302" s="23"/>
      <c r="M302" s="20"/>
      <c r="N302" s="22"/>
      <c r="O302" s="15"/>
      <c r="P302" s="15"/>
      <c r="Q302" s="15"/>
      <c r="R302" s="15"/>
      <c r="S302" s="15"/>
      <c r="T302" s="15"/>
      <c r="U302" s="15"/>
    </row>
    <row r="303" spans="1:21" ht="90">
      <c r="A303" s="17">
        <v>20062295046</v>
      </c>
      <c r="B303" s="19" t="str">
        <f>VLOOKUP(A303,'ESTADOS ESTUDIANTES'!B:L,2,0)</f>
        <v>GONZALEZ TOVAR LUIS EDUARDO</v>
      </c>
      <c r="C303" s="19">
        <f>VLOOKUP(A303,'ESTADOS ESTUDIANTES'!B:L,3,0)</f>
        <v>295</v>
      </c>
      <c r="D303" s="66" t="str">
        <f>VLOOKUP(A303,'ESTADOS ESTUDIANTES'!B:L,4,0)</f>
        <v>MAE. EN CIENCIAS DE LA INF. Y LAS COMUNICACIONES ENFASIS EN SIS. INFOR</v>
      </c>
      <c r="E303" s="19" t="str">
        <f>VLOOKUP(A303,'ESTADOS ESTUDIANTES'!B:L,5,0)</f>
        <v>X</v>
      </c>
      <c r="F303" s="18" t="str">
        <f>VLOOKUP(E303,Listas!B1:C1004,2,0)</f>
        <v>EXCLUIDO</v>
      </c>
      <c r="G303" s="19" t="str">
        <f>VLOOKUP(A303,'ESTADOS ESTUDIANTES'!B:L,7,0)</f>
        <v>NO REGISTRA</v>
      </c>
      <c r="H303" s="19">
        <f>VLOOKUP(A303,'ESTADOS ESTUDIANTES'!B:L,8,0)</f>
        <v>0</v>
      </c>
      <c r="I303" s="70">
        <f>VLOOKUP(A303,'ESTADOS ESTUDIANTES'!B:L,9,0)</f>
        <v>0</v>
      </c>
      <c r="J303" s="19" t="str">
        <f>VLOOKUP(A303,'ESTADOS ESTUDIANTES'!B:L,10,0)</f>
        <v>CC</v>
      </c>
      <c r="K303" s="19">
        <f>VLOOKUP(A303,'ESTADOS ESTUDIANTES'!B:L,11,0)</f>
        <v>7162138</v>
      </c>
      <c r="L303" s="23"/>
      <c r="M303" s="20"/>
      <c r="N303" s="22"/>
      <c r="O303" s="15"/>
      <c r="P303" s="15"/>
      <c r="Q303" s="15"/>
      <c r="R303" s="15"/>
      <c r="S303" s="15"/>
      <c r="T303" s="15"/>
      <c r="U303" s="15"/>
    </row>
    <row r="304" spans="1:21" ht="90">
      <c r="A304" s="17">
        <v>20062295047</v>
      </c>
      <c r="B304" s="19" t="str">
        <f>VLOOKUP(A304,'ESTADOS ESTUDIANTES'!B:L,2,0)</f>
        <v>FONTECHA RUEDA NELSON JAVIER</v>
      </c>
      <c r="C304" s="19">
        <f>VLOOKUP(A304,'ESTADOS ESTUDIANTES'!B:L,3,0)</f>
        <v>295</v>
      </c>
      <c r="D304" s="66" t="str">
        <f>VLOOKUP(A304,'ESTADOS ESTUDIANTES'!B:L,4,0)</f>
        <v>MAE. EN CIENCIAS DE LA INF. Y LAS COMUNICACIONES ENFASIS EN SIS. INFOR</v>
      </c>
      <c r="E304" s="19" t="str">
        <f>VLOOKUP(A304,'ESTADOS ESTUDIANTES'!B:L,5,0)</f>
        <v>X</v>
      </c>
      <c r="F304" s="18" t="str">
        <f>VLOOKUP(E304,Listas!B1:C1004,2,0)</f>
        <v>EXCLUIDO</v>
      </c>
      <c r="G304" s="19" t="str">
        <f>VLOOKUP(A304,'ESTADOS ESTUDIANTES'!B:L,7,0)</f>
        <v>NO REGISTRA</v>
      </c>
      <c r="H304" s="19">
        <f>VLOOKUP(A304,'ESTADOS ESTUDIANTES'!B:L,8,0)</f>
        <v>0</v>
      </c>
      <c r="I304" s="70">
        <f>VLOOKUP(A304,'ESTADOS ESTUDIANTES'!B:L,9,0)</f>
        <v>0</v>
      </c>
      <c r="J304" s="19" t="str">
        <f>VLOOKUP(A304,'ESTADOS ESTUDIANTES'!B:L,10,0)</f>
        <v>CC</v>
      </c>
      <c r="K304" s="19">
        <f>VLOOKUP(A304,'ESTADOS ESTUDIANTES'!B:L,11,0)</f>
        <v>80038059</v>
      </c>
      <c r="L304" s="23"/>
      <c r="M304" s="20"/>
      <c r="N304" s="22"/>
      <c r="O304" s="15"/>
      <c r="P304" s="15"/>
      <c r="Q304" s="15"/>
      <c r="R304" s="15"/>
      <c r="S304" s="15"/>
      <c r="T304" s="15"/>
      <c r="U304" s="15"/>
    </row>
    <row r="305" spans="1:21" ht="90">
      <c r="A305" s="17">
        <v>20062295048</v>
      </c>
      <c r="B305" s="19" t="str">
        <f>VLOOKUP(A305,'ESTADOS ESTUDIANTES'!B:L,2,0)</f>
        <v>RODRIGUEZ MORENO JOSE JULIAN</v>
      </c>
      <c r="C305" s="19">
        <f>VLOOKUP(A305,'ESTADOS ESTUDIANTES'!B:L,3,0)</f>
        <v>295</v>
      </c>
      <c r="D305" s="66" t="str">
        <f>VLOOKUP(A305,'ESTADOS ESTUDIANTES'!B:L,4,0)</f>
        <v>MAE. EN CIENCIAS DE LA INF. Y LAS COMUNICACIONES ENFASIS EN SIS. INFOR</v>
      </c>
      <c r="E305" s="19" t="str">
        <f>VLOOKUP(A305,'ESTADOS ESTUDIANTES'!B:L,5,0)</f>
        <v>E</v>
      </c>
      <c r="F305" s="18" t="str">
        <f>VLOOKUP(E305,Listas!B1:C1004,2,0)</f>
        <v>EGRESADO</v>
      </c>
      <c r="G305" s="19">
        <f>VLOOKUP(A305,'ESTADOS ESTUDIANTES'!B:L,7,0)</f>
        <v>4</v>
      </c>
      <c r="H305" s="19" t="str">
        <f>VLOOKUP(A305,'ESTADOS ESTUDIANTES'!B:L,8,0)</f>
        <v>jjrodriguezm@udistrital.edu.co</v>
      </c>
      <c r="I305" s="70" t="str">
        <f>VLOOKUP(A305,'ESTADOS ESTUDIANTES'!B:L,9,0)</f>
        <v>julian.rodriguez.moreno@gmail.com</v>
      </c>
      <c r="J305" s="19" t="str">
        <f>VLOOKUP(A305,'ESTADOS ESTUDIANTES'!B:L,10,0)</f>
        <v>CC</v>
      </c>
      <c r="K305" s="19">
        <f>VLOOKUP(A305,'ESTADOS ESTUDIANTES'!B:L,11,0)</f>
        <v>79925864</v>
      </c>
      <c r="L305" s="23"/>
      <c r="M305" s="20"/>
      <c r="N305" s="22"/>
      <c r="O305" s="15"/>
      <c r="P305" s="15"/>
      <c r="Q305" s="15"/>
      <c r="R305" s="15"/>
      <c r="S305" s="15"/>
      <c r="T305" s="15"/>
      <c r="U305" s="15"/>
    </row>
    <row r="306" spans="1:21" ht="90">
      <c r="A306" s="17">
        <v>20071195001</v>
      </c>
      <c r="B306" s="19" t="str">
        <f>VLOOKUP(A306,'ESTADOS ESTUDIANTES'!B:L,2,0)</f>
        <v>SANCHEZ PANEZO LUIS FELIPE</v>
      </c>
      <c r="C306" s="19">
        <f>VLOOKUP(A306,'ESTADOS ESTUDIANTES'!B:L,3,0)</f>
        <v>195</v>
      </c>
      <c r="D306" s="66" t="str">
        <f>VLOOKUP(A306,'ESTADOS ESTUDIANTES'!B:L,4,0)</f>
        <v>MAE. EN CIENCIAS DE LA INF. Y LAS COMUNICACIONES ENFASIS EN TELEINF.</v>
      </c>
      <c r="E306" s="19" t="str">
        <f>VLOOKUP(A306,'ESTADOS ESTUDIANTES'!B:L,5,0)</f>
        <v>E</v>
      </c>
      <c r="F306" s="18" t="str">
        <f>VLOOKUP(E306,Listas!B1:C1004,2,0)</f>
        <v>EGRESADO</v>
      </c>
      <c r="G306" s="19" t="str">
        <f>VLOOKUP(A306,'ESTADOS ESTUDIANTES'!B:L,7,0)</f>
        <v>NO REGISTRA</v>
      </c>
      <c r="H306" s="19" t="str">
        <f>VLOOKUP(A306,'ESTADOS ESTUDIANTES'!B:L,8,0)</f>
        <v>lfalbarracins@correo.udistrital.edu.co</v>
      </c>
      <c r="I306" s="70" t="str">
        <f>VLOOKUP(A306,'ESTADOS ESTUDIANTES'!B:L,9,0)</f>
        <v>lfasanchez@gmail.com</v>
      </c>
      <c r="J306" s="19" t="str">
        <f>VLOOKUP(A306,'ESTADOS ESTUDIANTES'!B:L,10,0)</f>
        <v>CC</v>
      </c>
      <c r="K306" s="19">
        <f>VLOOKUP(A306,'ESTADOS ESTUDIANTES'!B:L,11,0)</f>
        <v>86077886</v>
      </c>
      <c r="L306" s="23"/>
      <c r="M306" s="20"/>
      <c r="N306" s="22"/>
      <c r="O306" s="15"/>
      <c r="P306" s="15"/>
      <c r="Q306" s="15"/>
      <c r="R306" s="15"/>
      <c r="S306" s="15"/>
      <c r="T306" s="15"/>
      <c r="U306" s="15"/>
    </row>
    <row r="307" spans="1:21" ht="90">
      <c r="A307" s="17">
        <v>20071195002</v>
      </c>
      <c r="B307" s="19" t="str">
        <f>VLOOKUP(A307,'ESTADOS ESTUDIANTES'!B:L,2,0)</f>
        <v>AVENDAÑO RODRIGUEZ FIDEL AUGUSTO</v>
      </c>
      <c r="C307" s="19">
        <f>VLOOKUP(A307,'ESTADOS ESTUDIANTES'!B:L,3,0)</f>
        <v>195</v>
      </c>
      <c r="D307" s="66" t="str">
        <f>VLOOKUP(A307,'ESTADOS ESTUDIANTES'!B:L,4,0)</f>
        <v>MAE. EN CIENCIAS DE LA INF. Y LAS COMUNICACIONES ENFASIS EN TELEINF.</v>
      </c>
      <c r="E307" s="19" t="str">
        <f>VLOOKUP(A307,'ESTADOS ESTUDIANTES'!B:L,5,0)</f>
        <v>E</v>
      </c>
      <c r="F307" s="18" t="str">
        <f>VLOOKUP(E307,Listas!B1:C1004,2,0)</f>
        <v>EGRESADO</v>
      </c>
      <c r="G307" s="19" t="str">
        <f>VLOOKUP(A307,'ESTADOS ESTUDIANTES'!B:L,7,0)</f>
        <v>NO REGISTRA</v>
      </c>
      <c r="H307" s="19" t="str">
        <f>VLOOKUP(A307,'ESTADOS ESTUDIANTES'!B:L,8,0)</f>
        <v>faavendanor@correo.udistrital.edu.co</v>
      </c>
      <c r="I307" s="70" t="str">
        <f>VLOOKUP(A307,'ESTADOS ESTUDIANTES'!B:L,9,0)</f>
        <v>favendanor@gmail.com</v>
      </c>
      <c r="J307" s="19" t="str">
        <f>VLOOKUP(A307,'ESTADOS ESTUDIANTES'!B:L,10,0)</f>
        <v>CC</v>
      </c>
      <c r="K307" s="19">
        <f>VLOOKUP(A307,'ESTADOS ESTUDIANTES'!B:L,11,0)</f>
        <v>19226685</v>
      </c>
      <c r="L307" s="23"/>
      <c r="M307" s="20"/>
      <c r="N307" s="22"/>
      <c r="O307" s="15"/>
      <c r="P307" s="15"/>
      <c r="Q307" s="15"/>
      <c r="R307" s="15"/>
      <c r="S307" s="15"/>
      <c r="T307" s="15"/>
      <c r="U307" s="15"/>
    </row>
    <row r="308" spans="1:21" ht="90">
      <c r="A308" s="17">
        <v>20071195003</v>
      </c>
      <c r="B308" s="19" t="str">
        <f>VLOOKUP(A308,'ESTADOS ESTUDIANTES'!B:L,2,0)</f>
        <v>BECERRA ESPITIA JULIAN ALFREDO</v>
      </c>
      <c r="C308" s="19">
        <f>VLOOKUP(A308,'ESTADOS ESTUDIANTES'!B:L,3,0)</f>
        <v>195</v>
      </c>
      <c r="D308" s="66" t="str">
        <f>VLOOKUP(A308,'ESTADOS ESTUDIANTES'!B:L,4,0)</f>
        <v>MAE. EN CIENCIAS DE LA INF. Y LAS COMUNICACIONES ENFASIS EN TELEINF.</v>
      </c>
      <c r="E308" s="19" t="str">
        <f>VLOOKUP(A308,'ESTADOS ESTUDIANTES'!B:L,5,0)</f>
        <v>X</v>
      </c>
      <c r="F308" s="18" t="str">
        <f>VLOOKUP(E308,Listas!B1:C1004,2,0)</f>
        <v>EXCLUIDO</v>
      </c>
      <c r="G308" s="19" t="str">
        <f>VLOOKUP(A308,'ESTADOS ESTUDIANTES'!B:L,7,0)</f>
        <v>NO REGISTRA</v>
      </c>
      <c r="H308" s="19" t="str">
        <f>VLOOKUP(A308,'ESTADOS ESTUDIANTES'!B:L,8,0)</f>
        <v>jabecerrae@correo.udistrital.edu.co</v>
      </c>
      <c r="I308" s="70" t="str">
        <f>VLOOKUP(A308,'ESTADOS ESTUDIANTES'!B:L,9,0)</f>
        <v>julian.becerra@telecom.net.co</v>
      </c>
      <c r="J308" s="19" t="str">
        <f>VLOOKUP(A308,'ESTADOS ESTUDIANTES'!B:L,10,0)</f>
        <v>CC</v>
      </c>
      <c r="K308" s="19">
        <f>VLOOKUP(A308,'ESTADOS ESTUDIANTES'!B:L,11,0)</f>
        <v>79788444</v>
      </c>
      <c r="L308" s="23"/>
      <c r="M308" s="20"/>
      <c r="N308" s="22"/>
      <c r="O308" s="15"/>
      <c r="P308" s="15"/>
      <c r="Q308" s="15"/>
      <c r="R308" s="15"/>
      <c r="S308" s="15"/>
      <c r="T308" s="15"/>
      <c r="U308" s="15"/>
    </row>
    <row r="309" spans="1:21" ht="90">
      <c r="A309" s="17">
        <v>20071195004</v>
      </c>
      <c r="B309" s="19" t="str">
        <f>VLOOKUP(A309,'ESTADOS ESTUDIANTES'!B:L,2,0)</f>
        <v>CANTOR ARCINIEGAS CAMILO ANDRES</v>
      </c>
      <c r="C309" s="19">
        <f>VLOOKUP(A309,'ESTADOS ESTUDIANTES'!B:L,3,0)</f>
        <v>295</v>
      </c>
      <c r="D309" s="66" t="str">
        <f>VLOOKUP(A309,'ESTADOS ESTUDIANTES'!B:L,4,0)</f>
        <v>MAE. EN CIENCIAS DE LA INF. Y LAS COMUNICACIONES ENFASIS EN SIS. INFOR</v>
      </c>
      <c r="E309" s="19" t="str">
        <f>VLOOKUP(A309,'ESTADOS ESTUDIANTES'!B:L,5,0)</f>
        <v>E</v>
      </c>
      <c r="F309" s="18" t="str">
        <f>VLOOKUP(E309,Listas!B1:C1004,2,0)</f>
        <v>EGRESADO</v>
      </c>
      <c r="G309" s="19">
        <f>VLOOKUP(A309,'ESTADOS ESTUDIANTES'!B:L,7,0)</f>
        <v>1</v>
      </c>
      <c r="H309" s="19" t="str">
        <f>VLOOKUP(A309,'ESTADOS ESTUDIANTES'!B:L,8,0)</f>
        <v>cacantora@correo.udistrital.edu.co</v>
      </c>
      <c r="I309" s="70" t="str">
        <f>VLOOKUP(A309,'ESTADOS ESTUDIANTES'!B:L,9,0)</f>
        <v>camilocantor@gmail.com</v>
      </c>
      <c r="J309" s="19" t="str">
        <f>VLOOKUP(A309,'ESTADOS ESTUDIANTES'!B:L,10,0)</f>
        <v>CC</v>
      </c>
      <c r="K309" s="19">
        <f>VLOOKUP(A309,'ESTADOS ESTUDIANTES'!B:L,11,0)</f>
        <v>79983829</v>
      </c>
      <c r="L309" s="23"/>
      <c r="M309" s="20"/>
      <c r="N309" s="22"/>
      <c r="O309" s="15"/>
      <c r="P309" s="15"/>
      <c r="Q309" s="15"/>
      <c r="R309" s="15"/>
      <c r="S309" s="15"/>
      <c r="T309" s="15"/>
      <c r="U309" s="15"/>
    </row>
    <row r="310" spans="1:21" ht="90">
      <c r="A310" s="17">
        <v>20071195005</v>
      </c>
      <c r="B310" s="19" t="str">
        <f>VLOOKUP(A310,'ESTADOS ESTUDIANTES'!B:L,2,0)</f>
        <v>CORDOBA MONTENEGRO CARLOS ARIEL</v>
      </c>
      <c r="C310" s="19">
        <f>VLOOKUP(A310,'ESTADOS ESTUDIANTES'!B:L,3,0)</f>
        <v>195</v>
      </c>
      <c r="D310" s="66" t="str">
        <f>VLOOKUP(A310,'ESTADOS ESTUDIANTES'!B:L,4,0)</f>
        <v>MAE. EN CIENCIAS DE LA INF. Y LAS COMUNICACIONES ENFASIS EN TELEINF.</v>
      </c>
      <c r="E310" s="19" t="str">
        <f>VLOOKUP(A310,'ESTADOS ESTUDIANTES'!B:L,5,0)</f>
        <v>X</v>
      </c>
      <c r="F310" s="18" t="str">
        <f>VLOOKUP(E310,Listas!B1:C1004,2,0)</f>
        <v>EXCLUIDO</v>
      </c>
      <c r="G310" s="19" t="str">
        <f>VLOOKUP(A310,'ESTADOS ESTUDIANTES'!B:L,7,0)</f>
        <v>NO REGISTRA</v>
      </c>
      <c r="H310" s="19" t="str">
        <f>VLOOKUP(A310,'ESTADOS ESTUDIANTES'!B:L,8,0)</f>
        <v>cacordobam@correo.udistrital.edu.co</v>
      </c>
      <c r="I310" s="70" t="str">
        <f>VLOOKUP(A310,'ESTADOS ESTUDIANTES'!B:L,9,0)</f>
        <v>carloshariel@gmail.com</v>
      </c>
      <c r="J310" s="19" t="str">
        <f>VLOOKUP(A310,'ESTADOS ESTUDIANTES'!B:L,10,0)</f>
        <v>CC</v>
      </c>
      <c r="K310" s="19">
        <f>VLOOKUP(A310,'ESTADOS ESTUDIANTES'!B:L,11,0)</f>
        <v>7704386</v>
      </c>
      <c r="L310" s="23"/>
      <c r="M310" s="20"/>
      <c r="N310" s="22"/>
      <c r="O310" s="15"/>
      <c r="P310" s="15"/>
      <c r="Q310" s="15"/>
      <c r="R310" s="15"/>
      <c r="S310" s="15"/>
      <c r="T310" s="15"/>
      <c r="U310" s="15"/>
    </row>
    <row r="311" spans="1:21" ht="90">
      <c r="A311" s="17">
        <v>20071195006</v>
      </c>
      <c r="B311" s="19" t="str">
        <f>VLOOKUP(A311,'ESTADOS ESTUDIANTES'!B:L,2,0)</f>
        <v>ESCOBAR MAHECHA CRISTIAN</v>
      </c>
      <c r="C311" s="19">
        <f>VLOOKUP(A311,'ESTADOS ESTUDIANTES'!B:L,3,0)</f>
        <v>195</v>
      </c>
      <c r="D311" s="66" t="str">
        <f>VLOOKUP(A311,'ESTADOS ESTUDIANTES'!B:L,4,0)</f>
        <v>MAE. EN CIENCIAS DE LA INF. Y LAS COMUNICACIONES ENFASIS EN TELEINF.</v>
      </c>
      <c r="E311" s="19" t="str">
        <f>VLOOKUP(A311,'ESTADOS ESTUDIANTES'!B:L,5,0)</f>
        <v>X</v>
      </c>
      <c r="F311" s="18" t="str">
        <f>VLOOKUP(E311,Listas!B1:C1004,2,0)</f>
        <v>EXCLUIDO</v>
      </c>
      <c r="G311" s="19" t="str">
        <f>VLOOKUP(A311,'ESTADOS ESTUDIANTES'!B:L,7,0)</f>
        <v>NO REGISTRA</v>
      </c>
      <c r="H311" s="19">
        <f>VLOOKUP(A311,'ESTADOS ESTUDIANTES'!B:L,8,0)</f>
        <v>0</v>
      </c>
      <c r="I311" s="70">
        <f>VLOOKUP(A311,'ESTADOS ESTUDIANTES'!B:L,9,0)</f>
        <v>0</v>
      </c>
      <c r="J311" s="19" t="str">
        <f>VLOOKUP(A311,'ESTADOS ESTUDIANTES'!B:L,10,0)</f>
        <v>CC</v>
      </c>
      <c r="K311" s="19">
        <f>VLOOKUP(A311,'ESTADOS ESTUDIANTES'!B:L,11,0)</f>
        <v>80230716</v>
      </c>
      <c r="L311" s="23"/>
      <c r="M311" s="20"/>
      <c r="N311" s="22"/>
      <c r="O311" s="15"/>
      <c r="P311" s="15"/>
      <c r="Q311" s="15"/>
      <c r="R311" s="15"/>
      <c r="S311" s="15"/>
      <c r="T311" s="15"/>
      <c r="U311" s="15"/>
    </row>
    <row r="312" spans="1:21" ht="90">
      <c r="A312" s="17">
        <v>20071195007</v>
      </c>
      <c r="B312" s="19" t="str">
        <f>VLOOKUP(A312,'ESTADOS ESTUDIANTES'!B:L,2,0)</f>
        <v>MONICA ESPINOSA BUITRAGO</v>
      </c>
      <c r="C312" s="19">
        <f>VLOOKUP(A312,'ESTADOS ESTUDIANTES'!B:L,3,0)</f>
        <v>195</v>
      </c>
      <c r="D312" s="66" t="str">
        <f>VLOOKUP(A312,'ESTADOS ESTUDIANTES'!B:L,4,0)</f>
        <v>MAE. EN CIENCIAS DE LA INF. Y LAS COMUNICACIONES ENFASIS EN TELEINF.</v>
      </c>
      <c r="E312" s="19" t="str">
        <f>VLOOKUP(A312,'ESTADOS ESTUDIANTES'!B:L,5,0)</f>
        <v>E</v>
      </c>
      <c r="F312" s="18" t="str">
        <f>VLOOKUP(E312,Listas!B1:C1004,2,0)</f>
        <v>EGRESADO</v>
      </c>
      <c r="G312" s="19" t="str">
        <f>VLOOKUP(A312,'ESTADOS ESTUDIANTES'!B:L,7,0)</f>
        <v>NO REGISTRA</v>
      </c>
      <c r="H312" s="19" t="str">
        <f>VLOOKUP(A312,'ESTADOS ESTUDIANTES'!B:L,8,0)</f>
        <v>mespinosab@correo.udistrital.edu.co</v>
      </c>
      <c r="I312" s="70" t="str">
        <f>VLOOKUP(A312,'ESTADOS ESTUDIANTES'!B:L,9,0)</f>
        <v>ingmonicaeb@gmail.com</v>
      </c>
      <c r="J312" s="19" t="str">
        <f>VLOOKUP(A312,'ESTADOS ESTUDIANTES'!B:L,10,0)</f>
        <v>CC</v>
      </c>
      <c r="K312" s="19">
        <f>VLOOKUP(A312,'ESTADOS ESTUDIANTES'!B:L,11,0)</f>
        <v>52954852</v>
      </c>
      <c r="L312" s="23"/>
      <c r="M312" s="20"/>
      <c r="N312" s="22"/>
      <c r="O312" s="15"/>
      <c r="P312" s="15"/>
      <c r="Q312" s="15"/>
      <c r="R312" s="15"/>
      <c r="S312" s="15"/>
      <c r="T312" s="15"/>
      <c r="U312" s="15"/>
    </row>
    <row r="313" spans="1:21" ht="90">
      <c r="A313" s="17">
        <v>20071195008</v>
      </c>
      <c r="B313" s="19" t="str">
        <f>VLOOKUP(A313,'ESTADOS ESTUDIANTES'!B:L,2,0)</f>
        <v>FORERO ALDANA DAVID</v>
      </c>
      <c r="C313" s="19">
        <f>VLOOKUP(A313,'ESTADOS ESTUDIANTES'!B:L,3,0)</f>
        <v>195</v>
      </c>
      <c r="D313" s="66" t="str">
        <f>VLOOKUP(A313,'ESTADOS ESTUDIANTES'!B:L,4,0)</f>
        <v>MAE. EN CIENCIAS DE LA INF. Y LAS COMUNICACIONES ENFASIS EN TELEINF.</v>
      </c>
      <c r="E313" s="19" t="str">
        <f>VLOOKUP(A313,'ESTADOS ESTUDIANTES'!B:L,5,0)</f>
        <v>X</v>
      </c>
      <c r="F313" s="18" t="str">
        <f>VLOOKUP(E313,Listas!B1:C1004,2,0)</f>
        <v>EXCLUIDO</v>
      </c>
      <c r="G313" s="19" t="str">
        <f>VLOOKUP(A313,'ESTADOS ESTUDIANTES'!B:L,7,0)</f>
        <v>NO REGISTRA</v>
      </c>
      <c r="H313" s="19" t="str">
        <f>VLOOKUP(A313,'ESTADOS ESTUDIANTES'!B:L,8,0)</f>
        <v>dforeroa@correo.udistrital.edu.co</v>
      </c>
      <c r="I313" s="70" t="str">
        <f>VLOOKUP(A313,'ESTADOS ESTUDIANTES'!B:L,9,0)</f>
        <v>teleco.david@gmail.com</v>
      </c>
      <c r="J313" s="19" t="str">
        <f>VLOOKUP(A313,'ESTADOS ESTUDIANTES'!B:L,10,0)</f>
        <v>CC</v>
      </c>
      <c r="K313" s="19">
        <f>VLOOKUP(A313,'ESTADOS ESTUDIANTES'!B:L,11,0)</f>
        <v>80069873</v>
      </c>
      <c r="L313" s="23"/>
      <c r="M313" s="20"/>
      <c r="N313" s="22"/>
      <c r="O313" s="15"/>
      <c r="P313" s="15"/>
      <c r="Q313" s="15"/>
      <c r="R313" s="15"/>
      <c r="S313" s="15"/>
      <c r="T313" s="15"/>
      <c r="U313" s="15"/>
    </row>
    <row r="314" spans="1:21" ht="90">
      <c r="A314" s="17">
        <v>20071195009</v>
      </c>
      <c r="B314" s="19" t="str">
        <f>VLOOKUP(A314,'ESTADOS ESTUDIANTES'!B:L,2,0)</f>
        <v>JUTINICO ALARCON ANDRES LEONARDO</v>
      </c>
      <c r="C314" s="19">
        <f>VLOOKUP(A314,'ESTADOS ESTUDIANTES'!B:L,3,0)</f>
        <v>195</v>
      </c>
      <c r="D314" s="66" t="str">
        <f>VLOOKUP(A314,'ESTADOS ESTUDIANTES'!B:L,4,0)</f>
        <v>MAE. EN CIENCIAS DE LA INF. Y LAS COMUNICACIONES ENFASIS EN TELEINF.</v>
      </c>
      <c r="E314" s="19" t="str">
        <f>VLOOKUP(A314,'ESTADOS ESTUDIANTES'!B:L,5,0)</f>
        <v>X</v>
      </c>
      <c r="F314" s="18" t="str">
        <f>VLOOKUP(E314,Listas!B1:C1004,2,0)</f>
        <v>EXCLUIDO</v>
      </c>
      <c r="G314" s="19" t="str">
        <f>VLOOKUP(A314,'ESTADOS ESTUDIANTES'!B:L,7,0)</f>
        <v>NO REGISTRA</v>
      </c>
      <c r="H314" s="19" t="str">
        <f>VLOOKUP(A314,'ESTADOS ESTUDIANTES'!B:L,8,0)</f>
        <v>aljutinicoa@correo.udistrital.edu.co</v>
      </c>
      <c r="I314" s="70" t="str">
        <f>VLOOKUP(A314,'ESTADOS ESTUDIANTES'!B:L,9,0)</f>
        <v>aljutinicoa@correo.udistrital.edu.co</v>
      </c>
      <c r="J314" s="19" t="str">
        <f>VLOOKUP(A314,'ESTADOS ESTUDIANTES'!B:L,10,0)</f>
        <v>CC</v>
      </c>
      <c r="K314" s="19">
        <f>VLOOKUP(A314,'ESTADOS ESTUDIANTES'!B:L,11,0)</f>
        <v>79956820</v>
      </c>
      <c r="L314" s="23"/>
      <c r="M314" s="20"/>
      <c r="N314" s="22"/>
      <c r="O314" s="15"/>
      <c r="P314" s="15"/>
      <c r="Q314" s="15"/>
      <c r="R314" s="15"/>
      <c r="S314" s="15"/>
      <c r="T314" s="15"/>
      <c r="U314" s="15"/>
    </row>
    <row r="315" spans="1:21" ht="90">
      <c r="A315" s="17">
        <v>20071195010</v>
      </c>
      <c r="B315" s="19" t="str">
        <f>VLOOKUP(A315,'ESTADOS ESTUDIANTES'!B:L,2,0)</f>
        <v>LOPEZ FUENTES FRANCISCO</v>
      </c>
      <c r="C315" s="19">
        <f>VLOOKUP(A315,'ESTADOS ESTUDIANTES'!B:L,3,0)</f>
        <v>195</v>
      </c>
      <c r="D315" s="66" t="str">
        <f>VLOOKUP(A315,'ESTADOS ESTUDIANTES'!B:L,4,0)</f>
        <v>MAE. EN CIENCIAS DE LA INF. Y LAS COMUNICACIONES ENFASIS EN TELEINF.</v>
      </c>
      <c r="E315" s="19" t="str">
        <f>VLOOKUP(A315,'ESTADOS ESTUDIANTES'!B:L,5,0)</f>
        <v>X</v>
      </c>
      <c r="F315" s="18" t="str">
        <f>VLOOKUP(E315,Listas!B1:C1004,2,0)</f>
        <v>EXCLUIDO</v>
      </c>
      <c r="G315" s="19" t="str">
        <f>VLOOKUP(A315,'ESTADOS ESTUDIANTES'!B:L,7,0)</f>
        <v>NO REGISTRA</v>
      </c>
      <c r="H315" s="19">
        <f>VLOOKUP(A315,'ESTADOS ESTUDIANTES'!B:L,8,0)</f>
        <v>0</v>
      </c>
      <c r="I315" s="70">
        <f>VLOOKUP(A315,'ESTADOS ESTUDIANTES'!B:L,9,0)</f>
        <v>0</v>
      </c>
      <c r="J315" s="19" t="str">
        <f>VLOOKUP(A315,'ESTADOS ESTUDIANTES'!B:L,10,0)</f>
        <v>CC</v>
      </c>
      <c r="K315" s="19">
        <f>VLOOKUP(A315,'ESTADOS ESTUDIANTES'!B:L,11,0)</f>
        <v>11227249</v>
      </c>
      <c r="L315" s="23"/>
      <c r="M315" s="20"/>
      <c r="N315" s="22"/>
      <c r="O315" s="15"/>
      <c r="P315" s="15"/>
      <c r="Q315" s="15"/>
      <c r="R315" s="15"/>
      <c r="S315" s="15"/>
      <c r="T315" s="15"/>
      <c r="U315" s="15"/>
    </row>
    <row r="316" spans="1:21" ht="90">
      <c r="A316" s="17">
        <v>20071195011</v>
      </c>
      <c r="B316" s="19" t="str">
        <f>VLOOKUP(A316,'ESTADOS ESTUDIANTES'!B:L,2,0)</f>
        <v>MONTOYA OTALORA RICARDO AUGUSTO</v>
      </c>
      <c r="C316" s="19">
        <f>VLOOKUP(A316,'ESTADOS ESTUDIANTES'!B:L,3,0)</f>
        <v>195</v>
      </c>
      <c r="D316" s="66" t="str">
        <f>VLOOKUP(A316,'ESTADOS ESTUDIANTES'!B:L,4,0)</f>
        <v>MAE. EN CIENCIAS DE LA INF. Y LAS COMUNICACIONES ENFASIS EN TELEINF.</v>
      </c>
      <c r="E316" s="19" t="str">
        <f>VLOOKUP(A316,'ESTADOS ESTUDIANTES'!B:L,5,0)</f>
        <v>X</v>
      </c>
      <c r="F316" s="18" t="str">
        <f>VLOOKUP(E316,Listas!B1:C1004,2,0)</f>
        <v>EXCLUIDO</v>
      </c>
      <c r="G316" s="19" t="str">
        <f>VLOOKUP(A316,'ESTADOS ESTUDIANTES'!B:L,7,0)</f>
        <v>NO REGISTRA</v>
      </c>
      <c r="H316" s="19" t="str">
        <f>VLOOKUP(A316,'ESTADOS ESTUDIANTES'!B:L,8,0)</f>
        <v>ramontoyao@correo.udistrital.edu.co</v>
      </c>
      <c r="I316" s="70" t="str">
        <f>VLOOKUP(A316,'ESTADOS ESTUDIANTES'!B:L,9,0)</f>
        <v>ramontoya@cable.net.co</v>
      </c>
      <c r="J316" s="19" t="str">
        <f>VLOOKUP(A316,'ESTADOS ESTUDIANTES'!B:L,10,0)</f>
        <v>CC</v>
      </c>
      <c r="K316" s="19">
        <f>VLOOKUP(A316,'ESTADOS ESTUDIANTES'!B:L,11,0)</f>
        <v>79946666</v>
      </c>
      <c r="L316" s="23"/>
      <c r="M316" s="20"/>
      <c r="N316" s="22"/>
      <c r="O316" s="15"/>
      <c r="P316" s="15"/>
      <c r="Q316" s="15"/>
      <c r="R316" s="15"/>
      <c r="S316" s="15"/>
      <c r="T316" s="15"/>
      <c r="U316" s="15"/>
    </row>
    <row r="317" spans="1:21" ht="90">
      <c r="A317" s="17">
        <v>20071195012</v>
      </c>
      <c r="B317" s="19" t="str">
        <f>VLOOKUP(A317,'ESTADOS ESTUDIANTES'!B:L,2,0)</f>
        <v>MURILLO PEDRAZA ALEJANDRO</v>
      </c>
      <c r="C317" s="19">
        <f>VLOOKUP(A317,'ESTADOS ESTUDIANTES'!B:L,3,0)</f>
        <v>195</v>
      </c>
      <c r="D317" s="66" t="str">
        <f>VLOOKUP(A317,'ESTADOS ESTUDIANTES'!B:L,4,0)</f>
        <v>MAE. EN CIENCIAS DE LA INF. Y LAS COMUNICACIONES ENFASIS EN TELEINF.</v>
      </c>
      <c r="E317" s="19" t="str">
        <f>VLOOKUP(A317,'ESTADOS ESTUDIANTES'!B:L,5,0)</f>
        <v>X</v>
      </c>
      <c r="F317" s="18" t="str">
        <f>VLOOKUP(E317,Listas!B1:C1004,2,0)</f>
        <v>EXCLUIDO</v>
      </c>
      <c r="G317" s="19" t="str">
        <f>VLOOKUP(A317,'ESTADOS ESTUDIANTES'!B:L,7,0)</f>
        <v>NO REGISTRA</v>
      </c>
      <c r="H317" s="19" t="str">
        <f>VLOOKUP(A317,'ESTADOS ESTUDIANTES'!B:L,8,0)</f>
        <v>almurillop@correo.udistrital.edu.co</v>
      </c>
      <c r="I317" s="70" t="str">
        <f>VLOOKUP(A317,'ESTADOS ESTUDIANTES'!B:L,9,0)</f>
        <v>amurillo@fcm.org.co</v>
      </c>
      <c r="J317" s="19" t="str">
        <f>VLOOKUP(A317,'ESTADOS ESTUDIANTES'!B:L,10,0)</f>
        <v>CC</v>
      </c>
      <c r="K317" s="19">
        <f>VLOOKUP(A317,'ESTADOS ESTUDIANTES'!B:L,11,0)</f>
        <v>79845166</v>
      </c>
      <c r="L317" s="23"/>
      <c r="M317" s="20"/>
      <c r="N317" s="22"/>
      <c r="O317" s="15"/>
      <c r="P317" s="15"/>
      <c r="Q317" s="15"/>
      <c r="R317" s="15"/>
      <c r="S317" s="15"/>
      <c r="T317" s="15"/>
      <c r="U317" s="15"/>
    </row>
    <row r="318" spans="1:21" ht="90">
      <c r="A318" s="17">
        <v>20071195013</v>
      </c>
      <c r="B318" s="19" t="str">
        <f>VLOOKUP(A318,'ESTADOS ESTUDIANTES'!B:L,2,0)</f>
        <v>PATIÑO MARTINEZ MONICA MARITZA</v>
      </c>
      <c r="C318" s="19">
        <f>VLOOKUP(A318,'ESTADOS ESTUDIANTES'!B:L,3,0)</f>
        <v>195</v>
      </c>
      <c r="D318" s="66" t="str">
        <f>VLOOKUP(A318,'ESTADOS ESTUDIANTES'!B:L,4,0)</f>
        <v>MAE. EN CIENCIAS DE LA INF. Y LAS COMUNICACIONES ENFASIS EN TELEINF.</v>
      </c>
      <c r="E318" s="19" t="str">
        <f>VLOOKUP(A318,'ESTADOS ESTUDIANTES'!B:L,5,0)</f>
        <v>X</v>
      </c>
      <c r="F318" s="18" t="str">
        <f>VLOOKUP(E318,Listas!B1:C1004,2,0)</f>
        <v>EXCLUIDO</v>
      </c>
      <c r="G318" s="19" t="str">
        <f>VLOOKUP(A318,'ESTADOS ESTUDIANTES'!B:L,7,0)</f>
        <v>NO REGISTRA</v>
      </c>
      <c r="H318" s="19" t="str">
        <f>VLOOKUP(A318,'ESTADOS ESTUDIANTES'!B:L,8,0)</f>
        <v>mmpatinom@correo.udistrital.edu.co</v>
      </c>
      <c r="I318" s="70" t="str">
        <f>VLOOKUP(A318,'ESTADOS ESTUDIANTES'!B:L,9,0)</f>
        <v>monicamaritza@gmail.com</v>
      </c>
      <c r="J318" s="19" t="str">
        <f>VLOOKUP(A318,'ESTADOS ESTUDIANTES'!B:L,10,0)</f>
        <v>CC</v>
      </c>
      <c r="K318" s="19">
        <f>VLOOKUP(A318,'ESTADOS ESTUDIANTES'!B:L,11,0)</f>
        <v>40428403</v>
      </c>
      <c r="L318" s="23"/>
      <c r="M318" s="20"/>
      <c r="N318" s="22"/>
      <c r="O318" s="15"/>
      <c r="P318" s="15"/>
      <c r="Q318" s="15"/>
      <c r="R318" s="15"/>
      <c r="S318" s="15"/>
      <c r="T318" s="15"/>
      <c r="U318" s="15"/>
    </row>
    <row r="319" spans="1:21" ht="90">
      <c r="A319" s="17">
        <v>20071195014</v>
      </c>
      <c r="B319" s="19" t="str">
        <f>VLOOKUP(A319,'ESTADOS ESTUDIANTES'!B:L,2,0)</f>
        <v>PORRAS CALA FRANKLIN DIDIER</v>
      </c>
      <c r="C319" s="19">
        <f>VLOOKUP(A319,'ESTADOS ESTUDIANTES'!B:L,3,0)</f>
        <v>195</v>
      </c>
      <c r="D319" s="66" t="str">
        <f>VLOOKUP(A319,'ESTADOS ESTUDIANTES'!B:L,4,0)</f>
        <v>MAE. EN CIENCIAS DE LA INF. Y LAS COMUNICACIONES ENFASIS EN TELEINF.</v>
      </c>
      <c r="E319" s="19" t="str">
        <f>VLOOKUP(A319,'ESTADOS ESTUDIANTES'!B:L,5,0)</f>
        <v>X</v>
      </c>
      <c r="F319" s="18" t="str">
        <f>VLOOKUP(E319,Listas!B1:C1004,2,0)</f>
        <v>EXCLUIDO</v>
      </c>
      <c r="G319" s="19" t="str">
        <f>VLOOKUP(A319,'ESTADOS ESTUDIANTES'!B:L,7,0)</f>
        <v>NO REGISTRA</v>
      </c>
      <c r="H319" s="19" t="str">
        <f>VLOOKUP(A319,'ESTADOS ESTUDIANTES'!B:L,8,0)</f>
        <v>fdporrasc@correo.udistrital.edu.co</v>
      </c>
      <c r="I319" s="70" t="str">
        <f>VLOOKUP(A319,'ESTADOS ESTUDIANTES'!B:L,9,0)</f>
        <v>franklinporras@cable.net.co</v>
      </c>
      <c r="J319" s="19" t="str">
        <f>VLOOKUP(A319,'ESTADOS ESTUDIANTES'!B:L,10,0)</f>
        <v>CC</v>
      </c>
      <c r="K319" s="19">
        <f>VLOOKUP(A319,'ESTADOS ESTUDIANTES'!B:L,11,0)</f>
        <v>80065381</v>
      </c>
      <c r="L319" s="23"/>
      <c r="M319" s="20"/>
      <c r="N319" s="22"/>
      <c r="O319" s="15"/>
      <c r="P319" s="15"/>
      <c r="Q319" s="15"/>
      <c r="R319" s="15"/>
      <c r="S319" s="15"/>
      <c r="T319" s="15"/>
      <c r="U319" s="15"/>
    </row>
    <row r="320" spans="1:21" ht="90">
      <c r="A320" s="17">
        <v>20071195015</v>
      </c>
      <c r="B320" s="19" t="str">
        <f>VLOOKUP(A320,'ESTADOS ESTUDIANTES'!B:L,2,0)</f>
        <v>RAMIREZ SERAFINOFF HECTOR DIMITRI</v>
      </c>
      <c r="C320" s="19">
        <f>VLOOKUP(A320,'ESTADOS ESTUDIANTES'!B:L,3,0)</f>
        <v>195</v>
      </c>
      <c r="D320" s="66" t="str">
        <f>VLOOKUP(A320,'ESTADOS ESTUDIANTES'!B:L,4,0)</f>
        <v>MAE. EN CIENCIAS DE LA INF. Y LAS COMUNICACIONES ENFASIS EN TELEINF.</v>
      </c>
      <c r="E320" s="19" t="str">
        <f>VLOOKUP(A320,'ESTADOS ESTUDIANTES'!B:L,5,0)</f>
        <v>X</v>
      </c>
      <c r="F320" s="18" t="str">
        <f>VLOOKUP(E320,Listas!B1:C1004,2,0)</f>
        <v>EXCLUIDO</v>
      </c>
      <c r="G320" s="19" t="str">
        <f>VLOOKUP(A320,'ESTADOS ESTUDIANTES'!B:L,7,0)</f>
        <v>NO REGISTRA</v>
      </c>
      <c r="H320" s="19" t="str">
        <f>VLOOKUP(A320,'ESTADOS ESTUDIANTES'!B:L,8,0)</f>
        <v>hdramirezs@correo.udistrital.edu.co</v>
      </c>
      <c r="I320" s="70" t="str">
        <f>VLOOKUP(A320,'ESTADOS ESTUDIANTES'!B:L,9,0)</f>
        <v>hectordramirezs@gmail.com</v>
      </c>
      <c r="J320" s="19" t="str">
        <f>VLOOKUP(A320,'ESTADOS ESTUDIANTES'!B:L,10,0)</f>
        <v>CC</v>
      </c>
      <c r="K320" s="19">
        <f>VLOOKUP(A320,'ESTADOS ESTUDIANTES'!B:L,11,0)</f>
        <v>9268407</v>
      </c>
      <c r="L320" s="23"/>
      <c r="M320" s="20"/>
      <c r="N320" s="22"/>
      <c r="O320" s="15"/>
      <c r="P320" s="15"/>
      <c r="Q320" s="15"/>
      <c r="R320" s="15"/>
      <c r="S320" s="15"/>
      <c r="T320" s="15"/>
      <c r="U320" s="15"/>
    </row>
    <row r="321" spans="1:21" ht="90">
      <c r="A321" s="17">
        <v>20071195016</v>
      </c>
      <c r="B321" s="19" t="str">
        <f>VLOOKUP(A321,'ESTADOS ESTUDIANTES'!B:L,2,0)</f>
        <v>RODRIGUEZ BERNAL LEONARDO</v>
      </c>
      <c r="C321" s="19">
        <f>VLOOKUP(A321,'ESTADOS ESTUDIANTES'!B:L,3,0)</f>
        <v>195</v>
      </c>
      <c r="D321" s="66" t="str">
        <f>VLOOKUP(A321,'ESTADOS ESTUDIANTES'!B:L,4,0)</f>
        <v>MAE. EN CIENCIAS DE LA INF. Y LAS COMUNICACIONES ENFASIS EN TELEINF.</v>
      </c>
      <c r="E321" s="19" t="str">
        <f>VLOOKUP(A321,'ESTADOS ESTUDIANTES'!B:L,5,0)</f>
        <v>X</v>
      </c>
      <c r="F321" s="18" t="str">
        <f>VLOOKUP(E321,Listas!B1:C1004,2,0)</f>
        <v>EXCLUIDO</v>
      </c>
      <c r="G321" s="19" t="str">
        <f>VLOOKUP(A321,'ESTADOS ESTUDIANTES'!B:L,7,0)</f>
        <v>NO REGISTRA</v>
      </c>
      <c r="H321" s="19">
        <f>VLOOKUP(A321,'ESTADOS ESTUDIANTES'!B:L,8,0)</f>
        <v>0</v>
      </c>
      <c r="I321" s="70">
        <f>VLOOKUP(A321,'ESTADOS ESTUDIANTES'!B:L,9,0)</f>
        <v>0</v>
      </c>
      <c r="J321" s="19" t="str">
        <f>VLOOKUP(A321,'ESTADOS ESTUDIANTES'!B:L,10,0)</f>
        <v>CC</v>
      </c>
      <c r="K321" s="19">
        <f>VLOOKUP(A321,'ESTADOS ESTUDIANTES'!B:L,11,0)</f>
        <v>79722806</v>
      </c>
      <c r="L321" s="23"/>
      <c r="M321" s="20"/>
      <c r="N321" s="22"/>
      <c r="O321" s="15"/>
      <c r="P321" s="15"/>
      <c r="Q321" s="15"/>
      <c r="R321" s="15"/>
      <c r="S321" s="15"/>
      <c r="T321" s="15"/>
      <c r="U321" s="15"/>
    </row>
    <row r="322" spans="1:21" ht="90">
      <c r="A322" s="17">
        <v>20071295001</v>
      </c>
      <c r="B322" s="19" t="str">
        <f>VLOOKUP(A322,'ESTADOS ESTUDIANTES'!B:L,2,0)</f>
        <v>ALVAREZ QUIROGA CEIDY MARCELA</v>
      </c>
      <c r="C322" s="19">
        <f>VLOOKUP(A322,'ESTADOS ESTUDIANTES'!B:L,3,0)</f>
        <v>295</v>
      </c>
      <c r="D322" s="66" t="str">
        <f>VLOOKUP(A322,'ESTADOS ESTUDIANTES'!B:L,4,0)</f>
        <v>MAE. EN CIENCIAS DE LA INF. Y LAS COMUNICACIONES ENFASIS EN SIS. INFOR</v>
      </c>
      <c r="E322" s="19" t="str">
        <f>VLOOKUP(A322,'ESTADOS ESTUDIANTES'!B:L,5,0)</f>
        <v>X</v>
      </c>
      <c r="F322" s="18" t="str">
        <f>VLOOKUP(E322,Listas!B1:C1004,2,0)</f>
        <v>EXCLUIDO</v>
      </c>
      <c r="G322" s="19" t="str">
        <f>VLOOKUP(A322,'ESTADOS ESTUDIANTES'!B:L,7,0)</f>
        <v>NO REGISTRA</v>
      </c>
      <c r="H322" s="19" t="str">
        <f>VLOOKUP(A322,'ESTADOS ESTUDIANTES'!B:L,8,0)</f>
        <v>cmalvarezq@correo.udistrital.edu.co</v>
      </c>
      <c r="I322" s="70" t="str">
        <f>VLOOKUP(A322,'ESTADOS ESTUDIANTES'!B:L,9,0)</f>
        <v>ceidy_mar@hotmail.com</v>
      </c>
      <c r="J322" s="19" t="str">
        <f>VLOOKUP(A322,'ESTADOS ESTUDIANTES'!B:L,10,0)</f>
        <v>CC</v>
      </c>
      <c r="K322" s="19">
        <f>VLOOKUP(A322,'ESTADOS ESTUDIANTES'!B:L,11,0)</f>
        <v>52962545</v>
      </c>
      <c r="L322" s="23"/>
      <c r="M322" s="20"/>
      <c r="N322" s="22"/>
      <c r="O322" s="15"/>
      <c r="P322" s="15"/>
      <c r="Q322" s="15"/>
      <c r="R322" s="15"/>
      <c r="S322" s="15"/>
      <c r="T322" s="15"/>
      <c r="U322" s="15"/>
    </row>
    <row r="323" spans="1:21" ht="90">
      <c r="A323" s="17">
        <v>20071295002</v>
      </c>
      <c r="B323" s="19" t="str">
        <f>VLOOKUP(A323,'ESTADOS ESTUDIANTES'!B:L,2,0)</f>
        <v>ADAM BELTRAN GOMEZ</v>
      </c>
      <c r="C323" s="19">
        <f>VLOOKUP(A323,'ESTADOS ESTUDIANTES'!B:L,3,0)</f>
        <v>295</v>
      </c>
      <c r="D323" s="66" t="str">
        <f>VLOOKUP(A323,'ESTADOS ESTUDIANTES'!B:L,4,0)</f>
        <v>MAE. EN CIENCIAS DE LA INF. Y LAS COMUNICACIONES ENFASIS EN SIS. INFOR</v>
      </c>
      <c r="E323" s="19" t="str">
        <f>VLOOKUP(A323,'ESTADOS ESTUDIANTES'!B:L,5,0)</f>
        <v>E</v>
      </c>
      <c r="F323" s="18" t="str">
        <f>VLOOKUP(E323,Listas!B1:C1004,2,0)</f>
        <v>EGRESADO</v>
      </c>
      <c r="G323" s="19" t="str">
        <f>VLOOKUP(A323,'ESTADOS ESTUDIANTES'!B:L,7,0)</f>
        <v>NO REGISTRA</v>
      </c>
      <c r="H323" s="19" t="str">
        <f>VLOOKUP(A323,'ESTADOS ESTUDIANTES'!B:L,8,0)</f>
        <v>abeltrang@correo.udistrital.edu.co</v>
      </c>
      <c r="I323" s="70" t="str">
        <f>VLOOKUP(A323,'ESTADOS ESTUDIANTES'!B:L,9,0)</f>
        <v>adam_unic@yahoo.es</v>
      </c>
      <c r="J323" s="19" t="str">
        <f>VLOOKUP(A323,'ESTADOS ESTUDIANTES'!B:L,10,0)</f>
        <v>CC</v>
      </c>
      <c r="K323" s="19">
        <f>VLOOKUP(A323,'ESTADOS ESTUDIANTES'!B:L,11,0)</f>
        <v>72134209</v>
      </c>
      <c r="L323" s="23"/>
      <c r="M323" s="20"/>
      <c r="N323" s="22"/>
      <c r="O323" s="15"/>
      <c r="P323" s="15"/>
      <c r="Q323" s="15"/>
      <c r="R323" s="15"/>
      <c r="S323" s="15"/>
      <c r="T323" s="15"/>
      <c r="U323" s="15"/>
    </row>
    <row r="324" spans="1:21" ht="90">
      <c r="A324" s="17">
        <v>20071295003</v>
      </c>
      <c r="B324" s="19" t="str">
        <f>VLOOKUP(A324,'ESTADOS ESTUDIANTES'!B:L,2,0)</f>
        <v>CELY PALENCIA ANA LISET</v>
      </c>
      <c r="C324" s="19">
        <f>VLOOKUP(A324,'ESTADOS ESTUDIANTES'!B:L,3,0)</f>
        <v>295</v>
      </c>
      <c r="D324" s="66" t="str">
        <f>VLOOKUP(A324,'ESTADOS ESTUDIANTES'!B:L,4,0)</f>
        <v>MAE. EN CIENCIAS DE LA INF. Y LAS COMUNICACIONES ENFASIS EN SIS. INFOR</v>
      </c>
      <c r="E324" s="19" t="str">
        <f>VLOOKUP(A324,'ESTADOS ESTUDIANTES'!B:L,5,0)</f>
        <v>X</v>
      </c>
      <c r="F324" s="18" t="str">
        <f>VLOOKUP(E324,Listas!B1:C1004,2,0)</f>
        <v>EXCLUIDO</v>
      </c>
      <c r="G324" s="19" t="str">
        <f>VLOOKUP(A324,'ESTADOS ESTUDIANTES'!B:L,7,0)</f>
        <v>NO REGISTRA</v>
      </c>
      <c r="H324" s="19" t="str">
        <f>VLOOKUP(A324,'ESTADOS ESTUDIANTES'!B:L,8,0)</f>
        <v>alcelyp@correo.udistrital.edu.co</v>
      </c>
      <c r="I324" s="70" t="str">
        <f>VLOOKUP(A324,'ESTADOS ESTUDIANTES'!B:L,9,0)</f>
        <v>analiset@gmail.com</v>
      </c>
      <c r="J324" s="19" t="str">
        <f>VLOOKUP(A324,'ESTADOS ESTUDIANTES'!B:L,10,0)</f>
        <v>CC</v>
      </c>
      <c r="K324" s="19">
        <f>VLOOKUP(A324,'ESTADOS ESTUDIANTES'!B:L,11,0)</f>
        <v>46453607</v>
      </c>
      <c r="L324" s="23"/>
      <c r="M324" s="20"/>
      <c r="N324" s="22"/>
      <c r="O324" s="15"/>
      <c r="P324" s="15"/>
      <c r="Q324" s="15"/>
      <c r="R324" s="15"/>
      <c r="S324" s="15"/>
      <c r="T324" s="15"/>
      <c r="U324" s="15"/>
    </row>
    <row r="325" spans="1:21" ht="90">
      <c r="A325" s="17">
        <v>20071295004</v>
      </c>
      <c r="B325" s="19" t="str">
        <f>VLOOKUP(A325,'ESTADOS ESTUDIANTES'!B:L,2,0)</f>
        <v>CORTES MUÑOZ SANDRA</v>
      </c>
      <c r="C325" s="19">
        <f>VLOOKUP(A325,'ESTADOS ESTUDIANTES'!B:L,3,0)</f>
        <v>295</v>
      </c>
      <c r="D325" s="66" t="str">
        <f>VLOOKUP(A325,'ESTADOS ESTUDIANTES'!B:L,4,0)</f>
        <v>MAE. EN CIENCIAS DE LA INF. Y LAS COMUNICACIONES ENFASIS EN SIS. INFOR</v>
      </c>
      <c r="E325" s="19" t="str">
        <f>VLOOKUP(A325,'ESTADOS ESTUDIANTES'!B:L,5,0)</f>
        <v>X</v>
      </c>
      <c r="F325" s="18" t="str">
        <f>VLOOKUP(E325,Listas!B1:C1004,2,0)</f>
        <v>EXCLUIDO</v>
      </c>
      <c r="G325" s="19" t="str">
        <f>VLOOKUP(A325,'ESTADOS ESTUDIANTES'!B:L,7,0)</f>
        <v>NO REGISTRA</v>
      </c>
      <c r="H325" s="19" t="str">
        <f>VLOOKUP(A325,'ESTADOS ESTUDIANTES'!B:L,8,0)</f>
        <v>sacortesm@correo.udistrital.edu.co</v>
      </c>
      <c r="I325" s="70" t="str">
        <f>VLOOKUP(A325,'ESTADOS ESTUDIANTES'!B:L,9,0)</f>
        <v>my_lena78@hotmail.com</v>
      </c>
      <c r="J325" s="19" t="str">
        <f>VLOOKUP(A325,'ESTADOS ESTUDIANTES'!B:L,10,0)</f>
        <v>CC</v>
      </c>
      <c r="K325" s="19">
        <f>VLOOKUP(A325,'ESTADOS ESTUDIANTES'!B:L,11,0)</f>
        <v>52428767</v>
      </c>
      <c r="L325" s="23"/>
      <c r="M325" s="20"/>
      <c r="N325" s="22"/>
      <c r="O325" s="15"/>
      <c r="P325" s="15"/>
      <c r="Q325" s="15"/>
      <c r="R325" s="15"/>
      <c r="S325" s="15"/>
      <c r="T325" s="15"/>
      <c r="U325" s="15"/>
    </row>
    <row r="326" spans="1:21" ht="90">
      <c r="A326" s="17">
        <v>20071295005</v>
      </c>
      <c r="B326" s="19" t="str">
        <f>VLOOKUP(A326,'ESTADOS ESTUDIANTES'!B:L,2,0)</f>
        <v>DUEÑAS REYES MARIA XIMENA</v>
      </c>
      <c r="C326" s="19">
        <f>VLOOKUP(A326,'ESTADOS ESTUDIANTES'!B:L,3,0)</f>
        <v>295</v>
      </c>
      <c r="D326" s="66" t="str">
        <f>VLOOKUP(A326,'ESTADOS ESTUDIANTES'!B:L,4,0)</f>
        <v>MAE. EN CIENCIAS DE LA INF. Y LAS COMUNICACIONES ENFASIS EN SIS. INFOR</v>
      </c>
      <c r="E326" s="19" t="str">
        <f>VLOOKUP(A326,'ESTADOS ESTUDIANTES'!B:L,5,0)</f>
        <v>E</v>
      </c>
      <c r="F326" s="18" t="str">
        <f>VLOOKUP(E326,Listas!B1:C1004,2,0)</f>
        <v>EGRESADO</v>
      </c>
      <c r="G326" s="19" t="str">
        <f>VLOOKUP(A326,'ESTADOS ESTUDIANTES'!B:L,7,0)</f>
        <v>NO REGISTRA</v>
      </c>
      <c r="H326" s="19" t="str">
        <f>VLOOKUP(A326,'ESTADOS ESTUDIANTES'!B:L,8,0)</f>
        <v>mxduenasr@correo.udistrital.edu.co</v>
      </c>
      <c r="I326" s="70" t="str">
        <f>VLOOKUP(A326,'ESTADOS ESTUDIANTES'!B:L,9,0)</f>
        <v>ximenadue@gmail.com</v>
      </c>
      <c r="J326" s="19" t="str">
        <f>VLOOKUP(A326,'ESTADOS ESTUDIANTES'!B:L,10,0)</f>
        <v>CC</v>
      </c>
      <c r="K326" s="19">
        <f>VLOOKUP(A326,'ESTADOS ESTUDIANTES'!B:L,11,0)</f>
        <v>46383192</v>
      </c>
      <c r="L326" s="23"/>
      <c r="M326" s="20"/>
      <c r="N326" s="22"/>
      <c r="O326" s="15"/>
      <c r="P326" s="15"/>
      <c r="Q326" s="15"/>
      <c r="R326" s="15"/>
      <c r="S326" s="15"/>
      <c r="T326" s="15"/>
      <c r="U326" s="15"/>
    </row>
    <row r="327" spans="1:21" ht="90">
      <c r="A327" s="17">
        <v>20071295006</v>
      </c>
      <c r="B327" s="19" t="str">
        <f>VLOOKUP(A327,'ESTADOS ESTUDIANTES'!B:L,2,0)</f>
        <v>FAJARDO BUITRAGO RUTH ALEXANDRA</v>
      </c>
      <c r="C327" s="19">
        <f>VLOOKUP(A327,'ESTADOS ESTUDIANTES'!B:L,3,0)</f>
        <v>295</v>
      </c>
      <c r="D327" s="66" t="str">
        <f>VLOOKUP(A327,'ESTADOS ESTUDIANTES'!B:L,4,0)</f>
        <v>MAE. EN CIENCIAS DE LA INF. Y LAS COMUNICACIONES ENFASIS EN SIS. INFOR</v>
      </c>
      <c r="E327" s="19" t="str">
        <f>VLOOKUP(A327,'ESTADOS ESTUDIANTES'!B:L,5,0)</f>
        <v>X</v>
      </c>
      <c r="F327" s="18" t="str">
        <f>VLOOKUP(E327,Listas!B1:C1004,2,0)</f>
        <v>EXCLUIDO</v>
      </c>
      <c r="G327" s="19" t="str">
        <f>VLOOKUP(A327,'ESTADOS ESTUDIANTES'!B:L,7,0)</f>
        <v>NO REGISTRA</v>
      </c>
      <c r="H327" s="19" t="str">
        <f>VLOOKUP(A327,'ESTADOS ESTUDIANTES'!B:L,8,0)</f>
        <v>rafajardob@correo.udistrital.edu.co</v>
      </c>
      <c r="I327" s="70" t="str">
        <f>VLOOKUP(A327,'ESTADOS ESTUDIANTES'!B:L,9,0)</f>
        <v>rafajardo@patprimo.com.co</v>
      </c>
      <c r="J327" s="19" t="str">
        <f>VLOOKUP(A327,'ESTADOS ESTUDIANTES'!B:L,10,0)</f>
        <v>CC</v>
      </c>
      <c r="K327" s="19">
        <f>VLOOKUP(A327,'ESTADOS ESTUDIANTES'!B:L,11,0)</f>
        <v>52903269</v>
      </c>
      <c r="L327" s="23"/>
      <c r="M327" s="20"/>
      <c r="N327" s="22"/>
      <c r="O327" s="15"/>
      <c r="P327" s="15"/>
      <c r="Q327" s="15"/>
      <c r="R327" s="15"/>
      <c r="S327" s="15"/>
      <c r="T327" s="15"/>
      <c r="U327" s="15"/>
    </row>
    <row r="328" spans="1:21" ht="90">
      <c r="A328" s="17">
        <v>20071295007</v>
      </c>
      <c r="B328" s="19" t="str">
        <f>VLOOKUP(A328,'ESTADOS ESTUDIANTES'!B:L,2,0)</f>
        <v>GIL AROS CELIO</v>
      </c>
      <c r="C328" s="19">
        <f>VLOOKUP(A328,'ESTADOS ESTUDIANTES'!B:L,3,0)</f>
        <v>295</v>
      </c>
      <c r="D328" s="66" t="str">
        <f>VLOOKUP(A328,'ESTADOS ESTUDIANTES'!B:L,4,0)</f>
        <v>MAE. EN CIENCIAS DE LA INF. Y LAS COMUNICACIONES ENFASIS EN SIS. INFOR</v>
      </c>
      <c r="E328" s="19" t="str">
        <f>VLOOKUP(A328,'ESTADOS ESTUDIANTES'!B:L,5,0)</f>
        <v>X</v>
      </c>
      <c r="F328" s="18" t="str">
        <f>VLOOKUP(E328,Listas!B1:C1004,2,0)</f>
        <v>EXCLUIDO</v>
      </c>
      <c r="G328" s="19" t="str">
        <f>VLOOKUP(A328,'ESTADOS ESTUDIANTES'!B:L,7,0)</f>
        <v>NO REGISTRA</v>
      </c>
      <c r="H328" s="19" t="str">
        <f>VLOOKUP(A328,'ESTADOS ESTUDIANTES'!B:L,8,0)</f>
        <v>cgila@correo.udistrital.edu.co</v>
      </c>
      <c r="I328" s="70" t="str">
        <f>VLOOKUP(A328,'ESTADOS ESTUDIANTES'!B:L,9,0)</f>
        <v>cegil0056@yahoo.es</v>
      </c>
      <c r="J328" s="19" t="str">
        <f>VLOOKUP(A328,'ESTADOS ESTUDIANTES'!B:L,10,0)</f>
        <v>CC</v>
      </c>
      <c r="K328" s="19">
        <f>VLOOKUP(A328,'ESTADOS ESTUDIANTES'!B:L,11,0)</f>
        <v>19328278</v>
      </c>
      <c r="L328" s="23"/>
      <c r="M328" s="20"/>
      <c r="N328" s="22"/>
      <c r="O328" s="15"/>
      <c r="P328" s="15"/>
      <c r="Q328" s="15"/>
      <c r="R328" s="15"/>
      <c r="S328" s="15"/>
      <c r="T328" s="15"/>
      <c r="U328" s="15"/>
    </row>
    <row r="329" spans="1:21" ht="90">
      <c r="A329" s="17">
        <v>20071295008</v>
      </c>
      <c r="B329" s="19" t="str">
        <f>VLOOKUP(A329,'ESTADOS ESTUDIANTES'!B:L,2,0)</f>
        <v>HERNANDEZ GARCIA CLAUDIA</v>
      </c>
      <c r="C329" s="19">
        <f>VLOOKUP(A329,'ESTADOS ESTUDIANTES'!B:L,3,0)</f>
        <v>295</v>
      </c>
      <c r="D329" s="66" t="str">
        <f>VLOOKUP(A329,'ESTADOS ESTUDIANTES'!B:L,4,0)</f>
        <v>MAE. EN CIENCIAS DE LA INF. Y LAS COMUNICACIONES ENFASIS EN SIS. INFOR</v>
      </c>
      <c r="E329" s="19" t="str">
        <f>VLOOKUP(A329,'ESTADOS ESTUDIANTES'!B:L,5,0)</f>
        <v>E</v>
      </c>
      <c r="F329" s="18" t="str">
        <f>VLOOKUP(E329,Listas!B1:C1004,2,0)</f>
        <v>EGRESADO</v>
      </c>
      <c r="G329" s="19" t="str">
        <f>VLOOKUP(A329,'ESTADOS ESTUDIANTES'!B:L,7,0)</f>
        <v>NO REGISTRA</v>
      </c>
      <c r="H329" s="19" t="str">
        <f>VLOOKUP(A329,'ESTADOS ESTUDIANTES'!B:L,8,0)</f>
        <v>chernandezg@correo.udistrital.edu.co</v>
      </c>
      <c r="I329" s="70" t="str">
        <f>VLOOKUP(A329,'ESTADOS ESTUDIANTES'!B:L,9,0)</f>
        <v>clhernandez@gmail.com</v>
      </c>
      <c r="J329" s="19" t="str">
        <f>VLOOKUP(A329,'ESTADOS ESTUDIANTES'!B:L,10,0)</f>
        <v>CC</v>
      </c>
      <c r="K329" s="19">
        <f>VLOOKUP(A329,'ESTADOS ESTUDIANTES'!B:L,11,0)</f>
        <v>52519622</v>
      </c>
      <c r="L329" s="23"/>
      <c r="M329" s="20"/>
      <c r="N329" s="22"/>
      <c r="O329" s="15"/>
      <c r="P329" s="15"/>
      <c r="Q329" s="15"/>
      <c r="R329" s="15"/>
      <c r="S329" s="15"/>
      <c r="T329" s="15"/>
      <c r="U329" s="15"/>
    </row>
    <row r="330" spans="1:21" ht="90">
      <c r="A330" s="17">
        <v>20071295009</v>
      </c>
      <c r="B330" s="19" t="str">
        <f>VLOOKUP(A330,'ESTADOS ESTUDIANTES'!B:L,2,0)</f>
        <v>MUTO PARDO TITO TULIO</v>
      </c>
      <c r="C330" s="19">
        <f>VLOOKUP(A330,'ESTADOS ESTUDIANTES'!B:L,3,0)</f>
        <v>295</v>
      </c>
      <c r="D330" s="66" t="str">
        <f>VLOOKUP(A330,'ESTADOS ESTUDIANTES'!B:L,4,0)</f>
        <v>MAE. EN CIENCIAS DE LA INF. Y LAS COMUNICACIONES ENFASIS EN SIS. INFOR</v>
      </c>
      <c r="E330" s="19" t="str">
        <f>VLOOKUP(A330,'ESTADOS ESTUDIANTES'!B:L,5,0)</f>
        <v>X</v>
      </c>
      <c r="F330" s="18" t="str">
        <f>VLOOKUP(E330,Listas!B1:C1004,2,0)</f>
        <v>EXCLUIDO</v>
      </c>
      <c r="G330" s="19" t="str">
        <f>VLOOKUP(A330,'ESTADOS ESTUDIANTES'!B:L,7,0)</f>
        <v>NO REGISTRA</v>
      </c>
      <c r="H330" s="19" t="str">
        <f>VLOOKUP(A330,'ESTADOS ESTUDIANTES'!B:L,8,0)</f>
        <v>ttmutop@correo.udistrital.edu.co</v>
      </c>
      <c r="I330" s="70" t="str">
        <f>VLOOKUP(A330,'ESTADOS ESTUDIANTES'!B:L,9,0)</f>
        <v>titojmp99@hotmail.com</v>
      </c>
      <c r="J330" s="19" t="str">
        <f>VLOOKUP(A330,'ESTADOS ESTUDIANTES'!B:L,10,0)</f>
        <v>CC</v>
      </c>
      <c r="K330" s="19">
        <f>VLOOKUP(A330,'ESTADOS ESTUDIANTES'!B:L,11,0)</f>
        <v>79840738</v>
      </c>
      <c r="L330" s="23"/>
      <c r="M330" s="20"/>
      <c r="N330" s="22"/>
      <c r="O330" s="15"/>
      <c r="P330" s="15"/>
      <c r="Q330" s="15"/>
      <c r="R330" s="15"/>
      <c r="S330" s="15"/>
      <c r="T330" s="15"/>
      <c r="U330" s="15"/>
    </row>
    <row r="331" spans="1:21" ht="90">
      <c r="A331" s="17">
        <v>20071295010</v>
      </c>
      <c r="B331" s="19" t="str">
        <f>VLOOKUP(A331,'ESTADOS ESTUDIANTES'!B:L,2,0)</f>
        <v>PARDO PINZON JANNETH</v>
      </c>
      <c r="C331" s="19">
        <f>VLOOKUP(A331,'ESTADOS ESTUDIANTES'!B:L,3,0)</f>
        <v>295</v>
      </c>
      <c r="D331" s="66" t="str">
        <f>VLOOKUP(A331,'ESTADOS ESTUDIANTES'!B:L,4,0)</f>
        <v>MAE. EN CIENCIAS DE LA INF. Y LAS COMUNICACIONES ENFASIS EN SIS. INFOR</v>
      </c>
      <c r="E331" s="19" t="str">
        <f>VLOOKUP(A331,'ESTADOS ESTUDIANTES'!B:L,5,0)</f>
        <v>E</v>
      </c>
      <c r="F331" s="18" t="str">
        <f>VLOOKUP(E331,Listas!B1:C1004,2,0)</f>
        <v>EGRESADO</v>
      </c>
      <c r="G331" s="19">
        <f>VLOOKUP(A331,'ESTADOS ESTUDIANTES'!B:L,7,0)</f>
        <v>3</v>
      </c>
      <c r="H331" s="19" t="str">
        <f>VLOOKUP(A331,'ESTADOS ESTUDIANTES'!B:L,8,0)</f>
        <v>jpardop@correo.udistrital.edu.co</v>
      </c>
      <c r="I331" s="70" t="str">
        <f>VLOOKUP(A331,'ESTADOS ESTUDIANTES'!B:L,9,0)</f>
        <v>jpardop@gmail.com</v>
      </c>
      <c r="J331" s="19" t="str">
        <f>VLOOKUP(A331,'ESTADOS ESTUDIANTES'!B:L,10,0)</f>
        <v>CC</v>
      </c>
      <c r="K331" s="19">
        <f>VLOOKUP(A331,'ESTADOS ESTUDIANTES'!B:L,11,0)</f>
        <v>51882764</v>
      </c>
      <c r="L331" s="23"/>
      <c r="M331" s="20"/>
      <c r="N331" s="22"/>
      <c r="O331" s="15"/>
      <c r="P331" s="15"/>
      <c r="Q331" s="15"/>
      <c r="R331" s="15"/>
      <c r="S331" s="15"/>
      <c r="T331" s="15"/>
      <c r="U331" s="15"/>
    </row>
    <row r="332" spans="1:21" ht="90">
      <c r="A332" s="17">
        <v>20071295011</v>
      </c>
      <c r="B332" s="19" t="str">
        <f>VLOOKUP(A332,'ESTADOS ESTUDIANTES'!B:L,2,0)</f>
        <v>PEÑA CESPEDES FERNANDO</v>
      </c>
      <c r="C332" s="19">
        <f>VLOOKUP(A332,'ESTADOS ESTUDIANTES'!B:L,3,0)</f>
        <v>295</v>
      </c>
      <c r="D332" s="66" t="str">
        <f>VLOOKUP(A332,'ESTADOS ESTUDIANTES'!B:L,4,0)</f>
        <v>MAE. EN CIENCIAS DE LA INF. Y LAS COMUNICACIONES ENFASIS EN SIS. INFOR</v>
      </c>
      <c r="E332" s="19" t="str">
        <f>VLOOKUP(A332,'ESTADOS ESTUDIANTES'!B:L,5,0)</f>
        <v>X</v>
      </c>
      <c r="F332" s="18" t="str">
        <f>VLOOKUP(E332,Listas!B1:C1004,2,0)</f>
        <v>EXCLUIDO</v>
      </c>
      <c r="G332" s="19" t="str">
        <f>VLOOKUP(A332,'ESTADOS ESTUDIANTES'!B:L,7,0)</f>
        <v>NO REGISTRA</v>
      </c>
      <c r="H332" s="19">
        <f>VLOOKUP(A332,'ESTADOS ESTUDIANTES'!B:L,8,0)</f>
        <v>0</v>
      </c>
      <c r="I332" s="70">
        <f>VLOOKUP(A332,'ESTADOS ESTUDIANTES'!B:L,9,0)</f>
        <v>0</v>
      </c>
      <c r="J332" s="19" t="str">
        <f>VLOOKUP(A332,'ESTADOS ESTUDIANTES'!B:L,10,0)</f>
        <v>CC</v>
      </c>
      <c r="K332" s="19">
        <f>VLOOKUP(A332,'ESTADOS ESTUDIANTES'!B:L,11,0)</f>
        <v>79849589</v>
      </c>
      <c r="L332" s="23"/>
      <c r="M332" s="20"/>
      <c r="N332" s="22"/>
      <c r="O332" s="15"/>
      <c r="P332" s="15"/>
      <c r="Q332" s="15"/>
      <c r="R332" s="15"/>
      <c r="S332" s="15"/>
      <c r="T332" s="15"/>
      <c r="U332" s="15"/>
    </row>
    <row r="333" spans="1:21" ht="90">
      <c r="A333" s="17">
        <v>20071295012</v>
      </c>
      <c r="B333" s="19" t="str">
        <f>VLOOKUP(A333,'ESTADOS ESTUDIANTES'!B:L,2,0)</f>
        <v>RAMIREZ SANCHEZ PABLO SERGIO</v>
      </c>
      <c r="C333" s="19">
        <f>VLOOKUP(A333,'ESTADOS ESTUDIANTES'!B:L,3,0)</f>
        <v>295</v>
      </c>
      <c r="D333" s="66" t="str">
        <f>VLOOKUP(A333,'ESTADOS ESTUDIANTES'!B:L,4,0)</f>
        <v>MAE. EN CIENCIAS DE LA INF. Y LAS COMUNICACIONES ENFASIS EN SIS. INFOR</v>
      </c>
      <c r="E333" s="19" t="str">
        <f>VLOOKUP(A333,'ESTADOS ESTUDIANTES'!B:L,5,0)</f>
        <v>X</v>
      </c>
      <c r="F333" s="18" t="str">
        <f>VLOOKUP(E333,Listas!B1:C1004,2,0)</f>
        <v>EXCLUIDO</v>
      </c>
      <c r="G333" s="19" t="str">
        <f>VLOOKUP(A333,'ESTADOS ESTUDIANTES'!B:L,7,0)</f>
        <v>NO REGISTRA</v>
      </c>
      <c r="H333" s="19">
        <f>VLOOKUP(A333,'ESTADOS ESTUDIANTES'!B:L,8,0)</f>
        <v>0</v>
      </c>
      <c r="I333" s="70">
        <f>VLOOKUP(A333,'ESTADOS ESTUDIANTES'!B:L,9,0)</f>
        <v>0</v>
      </c>
      <c r="J333" s="19" t="str">
        <f>VLOOKUP(A333,'ESTADOS ESTUDIANTES'!B:L,10,0)</f>
        <v>CC</v>
      </c>
      <c r="K333" s="19">
        <f>VLOOKUP(A333,'ESTADOS ESTUDIANTES'!B:L,11,0)</f>
        <v>7700170</v>
      </c>
      <c r="L333" s="23"/>
      <c r="M333" s="20"/>
      <c r="N333" s="22"/>
      <c r="O333" s="15"/>
      <c r="P333" s="15"/>
      <c r="Q333" s="15"/>
      <c r="R333" s="15"/>
      <c r="S333" s="15"/>
      <c r="T333" s="15"/>
      <c r="U333" s="15"/>
    </row>
    <row r="334" spans="1:21" ht="90">
      <c r="A334" s="17">
        <v>20071295013</v>
      </c>
      <c r="B334" s="19" t="str">
        <f>VLOOKUP(A334,'ESTADOS ESTUDIANTES'!B:L,2,0)</f>
        <v>RODRIGUEZ URUEÑA CARLOS RAMON</v>
      </c>
      <c r="C334" s="19">
        <f>VLOOKUP(A334,'ESTADOS ESTUDIANTES'!B:L,3,0)</f>
        <v>295</v>
      </c>
      <c r="D334" s="66" t="str">
        <f>VLOOKUP(A334,'ESTADOS ESTUDIANTES'!B:L,4,0)</f>
        <v>MAE. EN CIENCIAS DE LA INF. Y LAS COMUNICACIONES ENFASIS EN SIS. INFOR</v>
      </c>
      <c r="E334" s="19" t="str">
        <f>VLOOKUP(A334,'ESTADOS ESTUDIANTES'!B:L,5,0)</f>
        <v>X</v>
      </c>
      <c r="F334" s="18" t="str">
        <f>VLOOKUP(E334,Listas!B1:C1004,2,0)</f>
        <v>EXCLUIDO</v>
      </c>
      <c r="G334" s="19" t="str">
        <f>VLOOKUP(A334,'ESTADOS ESTUDIANTES'!B:L,7,0)</f>
        <v>NO REGISTRA</v>
      </c>
      <c r="H334" s="19">
        <f>VLOOKUP(A334,'ESTADOS ESTUDIANTES'!B:L,8,0)</f>
        <v>0</v>
      </c>
      <c r="I334" s="70">
        <f>VLOOKUP(A334,'ESTADOS ESTUDIANTES'!B:L,9,0)</f>
        <v>0</v>
      </c>
      <c r="J334" s="19" t="str">
        <f>VLOOKUP(A334,'ESTADOS ESTUDIANTES'!B:L,10,0)</f>
        <v>CC</v>
      </c>
      <c r="K334" s="19">
        <f>VLOOKUP(A334,'ESTADOS ESTUDIANTES'!B:L,11,0)</f>
        <v>79237264</v>
      </c>
      <c r="L334" s="23"/>
      <c r="M334" s="20"/>
      <c r="N334" s="22"/>
      <c r="O334" s="15"/>
      <c r="P334" s="15"/>
      <c r="Q334" s="15"/>
      <c r="R334" s="15"/>
      <c r="S334" s="15"/>
      <c r="T334" s="15"/>
      <c r="U334" s="15"/>
    </row>
    <row r="335" spans="1:21" ht="90">
      <c r="A335" s="17">
        <v>20071295014</v>
      </c>
      <c r="B335" s="19" t="str">
        <f>VLOOKUP(A335,'ESTADOS ESTUDIANTES'!B:L,2,0)</f>
        <v>TOBIAS ESCUDERO LUCY BEATRIZ</v>
      </c>
      <c r="C335" s="19">
        <f>VLOOKUP(A335,'ESTADOS ESTUDIANTES'!B:L,3,0)</f>
        <v>295</v>
      </c>
      <c r="D335" s="66" t="str">
        <f>VLOOKUP(A335,'ESTADOS ESTUDIANTES'!B:L,4,0)</f>
        <v>MAE. EN CIENCIAS DE LA INF. Y LAS COMUNICACIONES ENFASIS EN SIS. INFOR</v>
      </c>
      <c r="E335" s="19" t="str">
        <f>VLOOKUP(A335,'ESTADOS ESTUDIANTES'!B:L,5,0)</f>
        <v>X</v>
      </c>
      <c r="F335" s="18" t="str">
        <f>VLOOKUP(E335,Listas!B1:C1004,2,0)</f>
        <v>EXCLUIDO</v>
      </c>
      <c r="G335" s="19">
        <f>VLOOKUP(A335,'ESTADOS ESTUDIANTES'!B:L,7,0)</f>
        <v>1</v>
      </c>
      <c r="H335" s="19">
        <f>VLOOKUP(A335,'ESTADOS ESTUDIANTES'!B:L,8,0)</f>
        <v>0</v>
      </c>
      <c r="I335" s="70" t="str">
        <f>VLOOKUP(A335,'ESTADOS ESTUDIANTES'!B:L,9,0)</f>
        <v>lucy.tobias@gmail.com</v>
      </c>
      <c r="J335" s="19" t="str">
        <f>VLOOKUP(A335,'ESTADOS ESTUDIANTES'!B:L,10,0)</f>
        <v>CC</v>
      </c>
      <c r="K335" s="19">
        <f>VLOOKUP(A335,'ESTADOS ESTUDIANTES'!B:L,11,0)</f>
        <v>39287905</v>
      </c>
      <c r="L335" s="23"/>
      <c r="M335" s="20"/>
      <c r="N335" s="22"/>
      <c r="O335" s="15"/>
      <c r="P335" s="15"/>
      <c r="Q335" s="15"/>
      <c r="R335" s="15"/>
      <c r="S335" s="15"/>
      <c r="T335" s="15"/>
      <c r="U335" s="15"/>
    </row>
    <row r="336" spans="1:21" ht="90">
      <c r="A336" s="17">
        <v>20071295015</v>
      </c>
      <c r="B336" s="19" t="str">
        <f>VLOOKUP(A336,'ESTADOS ESTUDIANTES'!B:L,2,0)</f>
        <v>VASQUEZ BERNAL ROGELIO</v>
      </c>
      <c r="C336" s="19">
        <f>VLOOKUP(A336,'ESTADOS ESTUDIANTES'!B:L,3,0)</f>
        <v>295</v>
      </c>
      <c r="D336" s="66" t="str">
        <f>VLOOKUP(A336,'ESTADOS ESTUDIANTES'!B:L,4,0)</f>
        <v>MAE. EN CIENCIAS DE LA INF. Y LAS COMUNICACIONES ENFASIS EN SIS. INFOR</v>
      </c>
      <c r="E336" s="19" t="str">
        <f>VLOOKUP(A336,'ESTADOS ESTUDIANTES'!B:L,5,0)</f>
        <v>X</v>
      </c>
      <c r="F336" s="18" t="str">
        <f>VLOOKUP(E336,Listas!B1:C1004,2,0)</f>
        <v>EXCLUIDO</v>
      </c>
      <c r="G336" s="19" t="str">
        <f>VLOOKUP(A336,'ESTADOS ESTUDIANTES'!B:L,7,0)</f>
        <v>NO REGISTRA</v>
      </c>
      <c r="H336" s="19" t="str">
        <f>VLOOKUP(A336,'ESTADOS ESTUDIANTES'!B:L,8,0)</f>
        <v>rvasquezb@correo.udistrital.edu.co</v>
      </c>
      <c r="I336" s="70" t="str">
        <f>VLOOKUP(A336,'ESTADOS ESTUDIANTES'!B:L,9,0)</f>
        <v>rogelio.vasquez@gmail.com</v>
      </c>
      <c r="J336" s="19" t="str">
        <f>VLOOKUP(A336,'ESTADOS ESTUDIANTES'!B:L,10,0)</f>
        <v>CC</v>
      </c>
      <c r="K336" s="19">
        <f>VLOOKUP(A336,'ESTADOS ESTUDIANTES'!B:L,11,0)</f>
        <v>19377512</v>
      </c>
      <c r="L336" s="23"/>
      <c r="M336" s="20"/>
      <c r="N336" s="22"/>
      <c r="O336" s="15"/>
      <c r="P336" s="15"/>
      <c r="Q336" s="15"/>
      <c r="R336" s="15"/>
      <c r="S336" s="15"/>
      <c r="T336" s="15"/>
      <c r="U336" s="15"/>
    </row>
    <row r="337" spans="1:21" ht="90">
      <c r="A337" s="17">
        <v>20071295016</v>
      </c>
      <c r="B337" s="19" t="str">
        <f>VLOOKUP(A337,'ESTADOS ESTUDIANTES'!B:L,2,0)</f>
        <v>VEGA VEGA ANSELMO</v>
      </c>
      <c r="C337" s="19">
        <f>VLOOKUP(A337,'ESTADOS ESTUDIANTES'!B:L,3,0)</f>
        <v>295</v>
      </c>
      <c r="D337" s="66" t="str">
        <f>VLOOKUP(A337,'ESTADOS ESTUDIANTES'!B:L,4,0)</f>
        <v>MAE. EN CIENCIAS DE LA INF. Y LAS COMUNICACIONES ENFASIS EN SIS. INFOR</v>
      </c>
      <c r="E337" s="19" t="str">
        <f>VLOOKUP(A337,'ESTADOS ESTUDIANTES'!B:L,5,0)</f>
        <v>X</v>
      </c>
      <c r="F337" s="18" t="str">
        <f>VLOOKUP(E337,Listas!B1:C1004,2,0)</f>
        <v>EXCLUIDO</v>
      </c>
      <c r="G337" s="19">
        <f>VLOOKUP(A337,'ESTADOS ESTUDIANTES'!B:L,7,0)</f>
        <v>4</v>
      </c>
      <c r="H337" s="19">
        <f>VLOOKUP(A337,'ESTADOS ESTUDIANTES'!B:L,8,0)</f>
        <v>0</v>
      </c>
      <c r="I337" s="70" t="str">
        <f>VLOOKUP(A337,'ESTADOS ESTUDIANTES'!B:L,9,0)</f>
        <v>avega2104@yahoo.com</v>
      </c>
      <c r="J337" s="19" t="str">
        <f>VLOOKUP(A337,'ESTADOS ESTUDIANTES'!B:L,10,0)</f>
        <v>CC</v>
      </c>
      <c r="K337" s="19">
        <f>VLOOKUP(A337,'ESTADOS ESTUDIANTES'!B:L,11,0)</f>
        <v>79100377</v>
      </c>
      <c r="L337" s="23"/>
      <c r="M337" s="20"/>
      <c r="N337" s="22"/>
      <c r="O337" s="15"/>
      <c r="P337" s="15"/>
      <c r="Q337" s="15"/>
      <c r="R337" s="15"/>
      <c r="S337" s="15"/>
      <c r="T337" s="15"/>
      <c r="U337" s="15"/>
    </row>
    <row r="338" spans="1:21" ht="90">
      <c r="A338" s="17">
        <v>20071295017</v>
      </c>
      <c r="B338" s="19" t="str">
        <f>VLOOKUP(A338,'ESTADOS ESTUDIANTES'!B:L,2,0)</f>
        <v>CASTAÑO HERRERA FRANKY</v>
      </c>
      <c r="C338" s="19">
        <f>VLOOKUP(A338,'ESTADOS ESTUDIANTES'!B:L,3,0)</f>
        <v>295</v>
      </c>
      <c r="D338" s="66" t="str">
        <f>VLOOKUP(A338,'ESTADOS ESTUDIANTES'!B:L,4,0)</f>
        <v>MAE. EN CIENCIAS DE LA INF. Y LAS COMUNICACIONES ENFASIS EN SIS. INFOR</v>
      </c>
      <c r="E338" s="19" t="str">
        <f>VLOOKUP(A338,'ESTADOS ESTUDIANTES'!B:L,5,0)</f>
        <v>X</v>
      </c>
      <c r="F338" s="18" t="str">
        <f>VLOOKUP(E338,Listas!B1:C1004,2,0)</f>
        <v>EXCLUIDO</v>
      </c>
      <c r="G338" s="19">
        <f>VLOOKUP(A338,'ESTADOS ESTUDIANTES'!B:L,7,0)</f>
        <v>1</v>
      </c>
      <c r="H338" s="19" t="str">
        <f>VLOOKUP(A338,'ESTADOS ESTUDIANTES'!B:L,8,0)</f>
        <v>fcastanoh@correo.udistrital.edu.co</v>
      </c>
      <c r="I338" s="70" t="str">
        <f>VLOOKUP(A338,'ESTADOS ESTUDIANTES'!B:L,9,0)</f>
        <v>frankycast@hotmail.com</v>
      </c>
      <c r="J338" s="19" t="str">
        <f>VLOOKUP(A338,'ESTADOS ESTUDIANTES'!B:L,10,0)</f>
        <v>CC</v>
      </c>
      <c r="K338" s="19">
        <f>VLOOKUP(A338,'ESTADOS ESTUDIANTES'!B:L,11,0)</f>
        <v>17339472</v>
      </c>
      <c r="L338" s="23"/>
      <c r="M338" s="20"/>
      <c r="N338" s="22"/>
      <c r="O338" s="15"/>
      <c r="P338" s="15"/>
      <c r="Q338" s="15"/>
      <c r="R338" s="15"/>
      <c r="S338" s="15"/>
      <c r="T338" s="15"/>
      <c r="U338" s="15"/>
    </row>
    <row r="339" spans="1:21" ht="90">
      <c r="A339" s="17">
        <v>20071295018</v>
      </c>
      <c r="B339" s="19" t="str">
        <f>VLOOKUP(A339,'ESTADOS ESTUDIANTES'!B:L,2,0)</f>
        <v>MAHECHA RANGEL JESUS ALVARO</v>
      </c>
      <c r="C339" s="19">
        <f>VLOOKUP(A339,'ESTADOS ESTUDIANTES'!B:L,3,0)</f>
        <v>295</v>
      </c>
      <c r="D339" s="66" t="str">
        <f>VLOOKUP(A339,'ESTADOS ESTUDIANTES'!B:L,4,0)</f>
        <v>MAE. EN CIENCIAS DE LA INF. Y LAS COMUNICACIONES ENFASIS EN SIS. INFOR</v>
      </c>
      <c r="E339" s="19" t="str">
        <f>VLOOKUP(A339,'ESTADOS ESTUDIANTES'!B:L,5,0)</f>
        <v>X</v>
      </c>
      <c r="F339" s="18" t="str">
        <f>VLOOKUP(E339,Listas!B1:C1004,2,0)</f>
        <v>EXCLUIDO</v>
      </c>
      <c r="G339" s="19" t="str">
        <f>VLOOKUP(A339,'ESTADOS ESTUDIANTES'!B:L,7,0)</f>
        <v>NO REGISTRA</v>
      </c>
      <c r="H339" s="19">
        <f>VLOOKUP(A339,'ESTADOS ESTUDIANTES'!B:L,8,0)</f>
        <v>0</v>
      </c>
      <c r="I339" s="70">
        <f>VLOOKUP(A339,'ESTADOS ESTUDIANTES'!B:L,9,0)</f>
        <v>0</v>
      </c>
      <c r="J339" s="19" t="str">
        <f>VLOOKUP(A339,'ESTADOS ESTUDIANTES'!B:L,10,0)</f>
        <v>CC</v>
      </c>
      <c r="K339" s="19">
        <f>VLOOKUP(A339,'ESTADOS ESTUDIANTES'!B:L,11,0)</f>
        <v>79115234</v>
      </c>
      <c r="L339" s="23"/>
      <c r="M339" s="20"/>
      <c r="N339" s="22"/>
      <c r="O339" s="15"/>
      <c r="P339" s="15"/>
      <c r="Q339" s="15"/>
      <c r="R339" s="15"/>
      <c r="S339" s="15"/>
      <c r="T339" s="15"/>
      <c r="U339" s="15"/>
    </row>
    <row r="340" spans="1:21" ht="90">
      <c r="A340" s="17">
        <v>20072195001</v>
      </c>
      <c r="B340" s="19" t="str">
        <f>VLOOKUP(A340,'ESTADOS ESTUDIANTES'!B:L,2,0)</f>
        <v>MAHECHA GUERRERO JAVIER ALEXANDER</v>
      </c>
      <c r="C340" s="19">
        <f>VLOOKUP(A340,'ESTADOS ESTUDIANTES'!B:L,3,0)</f>
        <v>195</v>
      </c>
      <c r="D340" s="66" t="str">
        <f>VLOOKUP(A340,'ESTADOS ESTUDIANTES'!B:L,4,0)</f>
        <v>MAE. EN CIENCIAS DE LA INF. Y LAS COMUNICACIONES ENFASIS EN TELEINF.</v>
      </c>
      <c r="E340" s="19" t="str">
        <f>VLOOKUP(A340,'ESTADOS ESTUDIANTES'!B:L,5,0)</f>
        <v>X</v>
      </c>
      <c r="F340" s="18" t="str">
        <f>VLOOKUP(E340,Listas!B1:C1004,2,0)</f>
        <v>EXCLUIDO</v>
      </c>
      <c r="G340" s="19" t="str">
        <f>VLOOKUP(A340,'ESTADOS ESTUDIANTES'!B:L,7,0)</f>
        <v>NO REGISTRA</v>
      </c>
      <c r="H340" s="19">
        <f>VLOOKUP(A340,'ESTADOS ESTUDIANTES'!B:L,8,0)</f>
        <v>0</v>
      </c>
      <c r="I340" s="70">
        <f>VLOOKUP(A340,'ESTADOS ESTUDIANTES'!B:L,9,0)</f>
        <v>0</v>
      </c>
      <c r="J340" s="19" t="str">
        <f>VLOOKUP(A340,'ESTADOS ESTUDIANTES'!B:L,10,0)</f>
        <v>CC</v>
      </c>
      <c r="K340" s="19">
        <f>VLOOKUP(A340,'ESTADOS ESTUDIANTES'!B:L,11,0)</f>
        <v>93411282</v>
      </c>
      <c r="L340" s="23"/>
      <c r="M340" s="20"/>
      <c r="N340" s="22"/>
      <c r="O340" s="15"/>
      <c r="P340" s="15"/>
      <c r="Q340" s="15"/>
      <c r="R340" s="15"/>
      <c r="S340" s="15"/>
      <c r="T340" s="15"/>
      <c r="U340" s="15"/>
    </row>
    <row r="341" spans="1:21" ht="90">
      <c r="A341" s="17">
        <v>20072195002</v>
      </c>
      <c r="B341" s="19" t="str">
        <f>VLOOKUP(A341,'ESTADOS ESTUDIANTES'!B:L,2,0)</f>
        <v>MARTINEZ MORENO HOSMAN YAITH</v>
      </c>
      <c r="C341" s="19">
        <f>VLOOKUP(A341,'ESTADOS ESTUDIANTES'!B:L,3,0)</f>
        <v>195</v>
      </c>
      <c r="D341" s="66" t="str">
        <f>VLOOKUP(A341,'ESTADOS ESTUDIANTES'!B:L,4,0)</f>
        <v>MAE. EN CIENCIAS DE LA INF. Y LAS COMUNICACIONES ENFASIS EN TELEINF.</v>
      </c>
      <c r="E341" s="19" t="str">
        <f>VLOOKUP(A341,'ESTADOS ESTUDIANTES'!B:L,5,0)</f>
        <v>X</v>
      </c>
      <c r="F341" s="18" t="str">
        <f>VLOOKUP(E341,Listas!B1:C1004,2,0)</f>
        <v>EXCLUIDO</v>
      </c>
      <c r="G341" s="19" t="str">
        <f>VLOOKUP(A341,'ESTADOS ESTUDIANTES'!B:L,7,0)</f>
        <v>NO REGISTRA</v>
      </c>
      <c r="H341" s="19">
        <f>VLOOKUP(A341,'ESTADOS ESTUDIANTES'!B:L,8,0)</f>
        <v>0</v>
      </c>
      <c r="I341" s="70">
        <f>VLOOKUP(A341,'ESTADOS ESTUDIANTES'!B:L,9,0)</f>
        <v>0</v>
      </c>
      <c r="J341" s="19" t="str">
        <f>VLOOKUP(A341,'ESTADOS ESTUDIANTES'!B:L,10,0)</f>
        <v>CC</v>
      </c>
      <c r="K341" s="19">
        <f>VLOOKUP(A341,'ESTADOS ESTUDIANTES'!B:L,11,0)</f>
        <v>80009886</v>
      </c>
      <c r="L341" s="23"/>
      <c r="M341" s="20"/>
      <c r="N341" s="22"/>
      <c r="O341" s="15"/>
      <c r="P341" s="15"/>
      <c r="Q341" s="15"/>
      <c r="R341" s="15"/>
      <c r="S341" s="15"/>
      <c r="T341" s="15"/>
      <c r="U341" s="15"/>
    </row>
    <row r="342" spans="1:21" ht="90">
      <c r="A342" s="17">
        <v>20072195003</v>
      </c>
      <c r="B342" s="19" t="str">
        <f>VLOOKUP(A342,'ESTADOS ESTUDIANTES'!B:L,2,0)</f>
        <v>MOMPHOTEZ TAVERA DOL EVEL</v>
      </c>
      <c r="C342" s="19">
        <f>VLOOKUP(A342,'ESTADOS ESTUDIANTES'!B:L,3,0)</f>
        <v>195</v>
      </c>
      <c r="D342" s="66" t="str">
        <f>VLOOKUP(A342,'ESTADOS ESTUDIANTES'!B:L,4,0)</f>
        <v>MAE. EN CIENCIAS DE LA INF. Y LAS COMUNICACIONES ENFASIS EN TELEINF.</v>
      </c>
      <c r="E342" s="19" t="str">
        <f>VLOOKUP(A342,'ESTADOS ESTUDIANTES'!B:L,5,0)</f>
        <v>X</v>
      </c>
      <c r="F342" s="18" t="str">
        <f>VLOOKUP(E342,Listas!B1:C1004,2,0)</f>
        <v>EXCLUIDO</v>
      </c>
      <c r="G342" s="19" t="str">
        <f>VLOOKUP(A342,'ESTADOS ESTUDIANTES'!B:L,7,0)</f>
        <v>NO REGISTRA</v>
      </c>
      <c r="H342" s="19">
        <f>VLOOKUP(A342,'ESTADOS ESTUDIANTES'!B:L,8,0)</f>
        <v>0</v>
      </c>
      <c r="I342" s="70">
        <f>VLOOKUP(A342,'ESTADOS ESTUDIANTES'!B:L,9,0)</f>
        <v>0</v>
      </c>
      <c r="J342" s="19" t="str">
        <f>VLOOKUP(A342,'ESTADOS ESTUDIANTES'!B:L,10,0)</f>
        <v>CC</v>
      </c>
      <c r="K342" s="19">
        <f>VLOOKUP(A342,'ESTADOS ESTUDIANTES'!B:L,11,0)</f>
        <v>24347694</v>
      </c>
      <c r="L342" s="23"/>
      <c r="M342" s="20"/>
      <c r="N342" s="22"/>
      <c r="O342" s="15"/>
      <c r="P342" s="15"/>
      <c r="Q342" s="15"/>
      <c r="R342" s="15"/>
      <c r="S342" s="15"/>
      <c r="T342" s="15"/>
      <c r="U342" s="15"/>
    </row>
    <row r="343" spans="1:21" ht="90">
      <c r="A343" s="17">
        <v>20072195004</v>
      </c>
      <c r="B343" s="19" t="str">
        <f>VLOOKUP(A343,'ESTADOS ESTUDIANTES'!B:L,2,0)</f>
        <v>PARRA SANTOS EDUWIN LEONARDO</v>
      </c>
      <c r="C343" s="19">
        <f>VLOOKUP(A343,'ESTADOS ESTUDIANTES'!B:L,3,0)</f>
        <v>195</v>
      </c>
      <c r="D343" s="66" t="str">
        <f>VLOOKUP(A343,'ESTADOS ESTUDIANTES'!B:L,4,0)</f>
        <v>MAE. EN CIENCIAS DE LA INF. Y LAS COMUNICACIONES ENFASIS EN TELEINF.</v>
      </c>
      <c r="E343" s="19" t="str">
        <f>VLOOKUP(A343,'ESTADOS ESTUDIANTES'!B:L,5,0)</f>
        <v>E</v>
      </c>
      <c r="F343" s="18" t="str">
        <f>VLOOKUP(E343,Listas!B1:C1004,2,0)</f>
        <v>EGRESADO</v>
      </c>
      <c r="G343" s="19" t="str">
        <f>VLOOKUP(A343,'ESTADOS ESTUDIANTES'!B:L,7,0)</f>
        <v>NO REGISTRA</v>
      </c>
      <c r="H343" s="19" t="str">
        <f>VLOOKUP(A343,'ESTADOS ESTUDIANTES'!B:L,8,0)</f>
        <v>elparras@correo.udistrital.edu.co</v>
      </c>
      <c r="I343" s="70" t="str">
        <f>VLOOKUP(A343,'ESTADOS ESTUDIANTES'!B:L,9,0)</f>
        <v>ingelparra@gmail.com</v>
      </c>
      <c r="J343" s="19" t="str">
        <f>VLOOKUP(A343,'ESTADOS ESTUDIANTES'!B:L,10,0)</f>
        <v>CC</v>
      </c>
      <c r="K343" s="19">
        <f>VLOOKUP(A343,'ESTADOS ESTUDIANTES'!B:L,11,0)</f>
        <v>80092690</v>
      </c>
      <c r="L343" s="23"/>
      <c r="M343" s="20"/>
      <c r="N343" s="22"/>
      <c r="O343" s="15"/>
      <c r="P343" s="15"/>
      <c r="Q343" s="15"/>
      <c r="R343" s="15"/>
      <c r="S343" s="15"/>
      <c r="T343" s="15"/>
      <c r="U343" s="15"/>
    </row>
    <row r="344" spans="1:21" ht="90">
      <c r="A344" s="17">
        <v>20072195005</v>
      </c>
      <c r="B344" s="19" t="str">
        <f>VLOOKUP(A344,'ESTADOS ESTUDIANTES'!B:L,2,0)</f>
        <v>PATERNINA ANAYA JOSE DE JESUS</v>
      </c>
      <c r="C344" s="19">
        <f>VLOOKUP(A344,'ESTADOS ESTUDIANTES'!B:L,3,0)</f>
        <v>195</v>
      </c>
      <c r="D344" s="66" t="str">
        <f>VLOOKUP(A344,'ESTADOS ESTUDIANTES'!B:L,4,0)</f>
        <v>MAE. EN CIENCIAS DE LA INF. Y LAS COMUNICACIONES ENFASIS EN TELEINF.</v>
      </c>
      <c r="E344" s="19" t="str">
        <f>VLOOKUP(A344,'ESTADOS ESTUDIANTES'!B:L,5,0)</f>
        <v>E</v>
      </c>
      <c r="F344" s="18" t="str">
        <f>VLOOKUP(E344,Listas!B1:C1004,2,0)</f>
        <v>EGRESADO</v>
      </c>
      <c r="G344" s="19" t="str">
        <f>VLOOKUP(A344,'ESTADOS ESTUDIANTES'!B:L,7,0)</f>
        <v>NO REGISTRA</v>
      </c>
      <c r="H344" s="19" t="str">
        <f>VLOOKUP(A344,'ESTADOS ESTUDIANTES'!B:L,8,0)</f>
        <v>jdpaterninaa@correo.udistrital.edu.co</v>
      </c>
      <c r="I344" s="70" t="str">
        <f>VLOOKUP(A344,'ESTADOS ESTUDIANTES'!B:L,9,0)</f>
        <v>jjpaterninaa@udistrital.edu.co</v>
      </c>
      <c r="J344" s="19" t="str">
        <f>VLOOKUP(A344,'ESTADOS ESTUDIANTES'!B:L,10,0)</f>
        <v>CC</v>
      </c>
      <c r="K344" s="19">
        <f>VLOOKUP(A344,'ESTADOS ESTUDIANTES'!B:L,11,0)</f>
        <v>19373890</v>
      </c>
      <c r="L344" s="23"/>
      <c r="M344" s="20"/>
      <c r="N344" s="22"/>
      <c r="O344" s="15"/>
      <c r="P344" s="15"/>
      <c r="Q344" s="15"/>
      <c r="R344" s="15"/>
      <c r="S344" s="15"/>
      <c r="T344" s="15"/>
      <c r="U344" s="15"/>
    </row>
    <row r="345" spans="1:21" ht="90">
      <c r="A345" s="17">
        <v>20072195006</v>
      </c>
      <c r="B345" s="19" t="str">
        <f>VLOOKUP(A345,'ESTADOS ESTUDIANTES'!B:L,2,0)</f>
        <v>PIÑARETE PIÑARETE CLAUDIA PATRICIA</v>
      </c>
      <c r="C345" s="19">
        <f>VLOOKUP(A345,'ESTADOS ESTUDIANTES'!B:L,3,0)</f>
        <v>195</v>
      </c>
      <c r="D345" s="66" t="str">
        <f>VLOOKUP(A345,'ESTADOS ESTUDIANTES'!B:L,4,0)</f>
        <v>MAE. EN CIENCIAS DE LA INF. Y LAS COMUNICACIONES ENFASIS EN TELEINF.</v>
      </c>
      <c r="E345" s="19" t="str">
        <f>VLOOKUP(A345,'ESTADOS ESTUDIANTES'!B:L,5,0)</f>
        <v>X</v>
      </c>
      <c r="F345" s="18" t="str">
        <f>VLOOKUP(E345,Listas!B1:C1004,2,0)</f>
        <v>EXCLUIDO</v>
      </c>
      <c r="G345" s="19" t="str">
        <f>VLOOKUP(A345,'ESTADOS ESTUDIANTES'!B:L,7,0)</f>
        <v>NO REGISTRA</v>
      </c>
      <c r="H345" s="19">
        <f>VLOOKUP(A345,'ESTADOS ESTUDIANTES'!B:L,8,0)</f>
        <v>0</v>
      </c>
      <c r="I345" s="70">
        <f>VLOOKUP(A345,'ESTADOS ESTUDIANTES'!B:L,9,0)</f>
        <v>0</v>
      </c>
      <c r="J345" s="19" t="str">
        <f>VLOOKUP(A345,'ESTADOS ESTUDIANTES'!B:L,10,0)</f>
        <v>CC</v>
      </c>
      <c r="K345" s="19">
        <f>VLOOKUP(A345,'ESTADOS ESTUDIANTES'!B:L,11,0)</f>
        <v>52426308</v>
      </c>
      <c r="L345" s="23"/>
      <c r="M345" s="20"/>
      <c r="N345" s="22"/>
      <c r="O345" s="15"/>
      <c r="P345" s="15"/>
      <c r="Q345" s="15"/>
      <c r="R345" s="15"/>
      <c r="S345" s="15"/>
      <c r="T345" s="15"/>
      <c r="U345" s="15"/>
    </row>
    <row r="346" spans="1:21" ht="90">
      <c r="A346" s="17">
        <v>20072195007</v>
      </c>
      <c r="B346" s="19" t="str">
        <f>VLOOKUP(A346,'ESTADOS ESTUDIANTES'!B:L,2,0)</f>
        <v>RINCON MOSQUERA NUBIA</v>
      </c>
      <c r="C346" s="19">
        <f>VLOOKUP(A346,'ESTADOS ESTUDIANTES'!B:L,3,0)</f>
        <v>195</v>
      </c>
      <c r="D346" s="66" t="str">
        <f>VLOOKUP(A346,'ESTADOS ESTUDIANTES'!B:L,4,0)</f>
        <v>MAE. EN CIENCIAS DE LA INF. Y LAS COMUNICACIONES ENFASIS EN TELEINF.</v>
      </c>
      <c r="E346" s="19" t="str">
        <f>VLOOKUP(A346,'ESTADOS ESTUDIANTES'!B:L,5,0)</f>
        <v>X</v>
      </c>
      <c r="F346" s="18" t="str">
        <f>VLOOKUP(E346,Listas!B1:C1004,2,0)</f>
        <v>EXCLUIDO</v>
      </c>
      <c r="G346" s="19" t="str">
        <f>VLOOKUP(A346,'ESTADOS ESTUDIANTES'!B:L,7,0)</f>
        <v>NO REGISTRA</v>
      </c>
      <c r="H346" s="19">
        <f>VLOOKUP(A346,'ESTADOS ESTUDIANTES'!B:L,8,0)</f>
        <v>0</v>
      </c>
      <c r="I346" s="70">
        <f>VLOOKUP(A346,'ESTADOS ESTUDIANTES'!B:L,9,0)</f>
        <v>0</v>
      </c>
      <c r="J346" s="19" t="str">
        <f>VLOOKUP(A346,'ESTADOS ESTUDIANTES'!B:L,10,0)</f>
        <v>CC</v>
      </c>
      <c r="K346" s="19">
        <f>VLOOKUP(A346,'ESTADOS ESTUDIANTES'!B:L,11,0)</f>
        <v>52364925</v>
      </c>
      <c r="L346" s="23"/>
      <c r="M346" s="20"/>
      <c r="N346" s="22"/>
      <c r="O346" s="15"/>
      <c r="P346" s="15"/>
      <c r="Q346" s="15"/>
      <c r="R346" s="15"/>
      <c r="S346" s="15"/>
      <c r="T346" s="15"/>
      <c r="U346" s="15"/>
    </row>
    <row r="347" spans="1:21" ht="90">
      <c r="A347" s="17">
        <v>20072195008</v>
      </c>
      <c r="B347" s="19" t="str">
        <f>VLOOKUP(A347,'ESTADOS ESTUDIANTES'!B:L,2,0)</f>
        <v>RODRIGUEZ PARRA ALEXANDER</v>
      </c>
      <c r="C347" s="19">
        <f>VLOOKUP(A347,'ESTADOS ESTUDIANTES'!B:L,3,0)</f>
        <v>195</v>
      </c>
      <c r="D347" s="66" t="str">
        <f>VLOOKUP(A347,'ESTADOS ESTUDIANTES'!B:L,4,0)</f>
        <v>MAE. EN CIENCIAS DE LA INF. Y LAS COMUNICACIONES ENFASIS EN TELEINF.</v>
      </c>
      <c r="E347" s="19" t="str">
        <f>VLOOKUP(A347,'ESTADOS ESTUDIANTES'!B:L,5,0)</f>
        <v>X</v>
      </c>
      <c r="F347" s="18" t="str">
        <f>VLOOKUP(E347,Listas!B1:C1004,2,0)</f>
        <v>EXCLUIDO</v>
      </c>
      <c r="G347" s="19" t="str">
        <f>VLOOKUP(A347,'ESTADOS ESTUDIANTES'!B:L,7,0)</f>
        <v>NO REGISTRA</v>
      </c>
      <c r="H347" s="19" t="str">
        <f>VLOOKUP(A347,'ESTADOS ESTUDIANTES'!B:L,8,0)</f>
        <v>arodriguezp@correo.udistrital.edu.co</v>
      </c>
      <c r="I347" s="70" t="str">
        <f>VLOOKUP(A347,'ESTADOS ESTUDIANTES'!B:L,9,0)</f>
        <v>allex59@hotmail.com</v>
      </c>
      <c r="J347" s="19" t="str">
        <f>VLOOKUP(A347,'ESTADOS ESTUDIANTES'!B:L,10,0)</f>
        <v>CC</v>
      </c>
      <c r="K347" s="19">
        <f>VLOOKUP(A347,'ESTADOS ESTUDIANTES'!B:L,11,0)</f>
        <v>79957264</v>
      </c>
      <c r="L347" s="23"/>
      <c r="M347" s="20"/>
      <c r="N347" s="22"/>
      <c r="O347" s="15"/>
      <c r="P347" s="15"/>
      <c r="Q347" s="15"/>
      <c r="R347" s="15"/>
      <c r="S347" s="15"/>
      <c r="T347" s="15"/>
      <c r="U347" s="15"/>
    </row>
    <row r="348" spans="1:21" ht="90">
      <c r="A348" s="17">
        <v>20072195009</v>
      </c>
      <c r="B348" s="19" t="str">
        <f>VLOOKUP(A348,'ESTADOS ESTUDIANTES'!B:L,2,0)</f>
        <v>TORRES TORRES ELMAN ROMAN</v>
      </c>
      <c r="C348" s="19">
        <f>VLOOKUP(A348,'ESTADOS ESTUDIANTES'!B:L,3,0)</f>
        <v>195</v>
      </c>
      <c r="D348" s="66" t="str">
        <f>VLOOKUP(A348,'ESTADOS ESTUDIANTES'!B:L,4,0)</f>
        <v>MAE. EN CIENCIAS DE LA INF. Y LAS COMUNICACIONES ENFASIS EN TELEINF.</v>
      </c>
      <c r="E348" s="19" t="str">
        <f>VLOOKUP(A348,'ESTADOS ESTUDIANTES'!B:L,5,0)</f>
        <v>X</v>
      </c>
      <c r="F348" s="18" t="str">
        <f>VLOOKUP(E348,Listas!B1:C1004,2,0)</f>
        <v>EXCLUIDO</v>
      </c>
      <c r="G348" s="19" t="str">
        <f>VLOOKUP(A348,'ESTADOS ESTUDIANTES'!B:L,7,0)</f>
        <v>NO REGISTRA</v>
      </c>
      <c r="H348" s="19" t="str">
        <f>VLOOKUP(A348,'ESTADOS ESTUDIANTES'!B:L,8,0)</f>
        <v>ertorrest@correo.udistrital.edu.co</v>
      </c>
      <c r="I348" s="70" t="str">
        <f>VLOOKUP(A348,'ESTADOS ESTUDIANTES'!B:L,9,0)</f>
        <v>elman.torres@gmail.com</v>
      </c>
      <c r="J348" s="19" t="str">
        <f>VLOOKUP(A348,'ESTADOS ESTUDIANTES'!B:L,10,0)</f>
        <v>CC</v>
      </c>
      <c r="K348" s="19">
        <f>VLOOKUP(A348,'ESTADOS ESTUDIANTES'!B:L,11,0)</f>
        <v>79661847</v>
      </c>
      <c r="L348" s="23"/>
      <c r="M348" s="20"/>
      <c r="N348" s="22"/>
      <c r="O348" s="15"/>
      <c r="P348" s="15"/>
      <c r="Q348" s="15"/>
      <c r="R348" s="15"/>
      <c r="S348" s="15"/>
      <c r="T348" s="15"/>
      <c r="U348" s="15"/>
    </row>
    <row r="349" spans="1:21" ht="90">
      <c r="A349" s="17">
        <v>20072195010</v>
      </c>
      <c r="B349" s="19" t="str">
        <f>VLOOKUP(A349,'ESTADOS ESTUDIANTES'!B:L,2,0)</f>
        <v>VARGAS PUERTO JORGE ELIECER</v>
      </c>
      <c r="C349" s="19">
        <f>VLOOKUP(A349,'ESTADOS ESTUDIANTES'!B:L,3,0)</f>
        <v>195</v>
      </c>
      <c r="D349" s="66" t="str">
        <f>VLOOKUP(A349,'ESTADOS ESTUDIANTES'!B:L,4,0)</f>
        <v>MAE. EN CIENCIAS DE LA INF. Y LAS COMUNICACIONES ENFASIS EN TELEINF.</v>
      </c>
      <c r="E349" s="19" t="str">
        <f>VLOOKUP(A349,'ESTADOS ESTUDIANTES'!B:L,5,0)</f>
        <v>X</v>
      </c>
      <c r="F349" s="18" t="str">
        <f>VLOOKUP(E349,Listas!B1:C1004,2,0)</f>
        <v>EXCLUIDO</v>
      </c>
      <c r="G349" s="19" t="str">
        <f>VLOOKUP(A349,'ESTADOS ESTUDIANTES'!B:L,7,0)</f>
        <v>NO REGISTRA</v>
      </c>
      <c r="H349" s="19">
        <f>VLOOKUP(A349,'ESTADOS ESTUDIANTES'!B:L,8,0)</f>
        <v>0</v>
      </c>
      <c r="I349" s="70">
        <f>VLOOKUP(A349,'ESTADOS ESTUDIANTES'!B:L,9,0)</f>
        <v>0</v>
      </c>
      <c r="J349" s="19" t="str">
        <f>VLOOKUP(A349,'ESTADOS ESTUDIANTES'!B:L,10,0)</f>
        <v>CC</v>
      </c>
      <c r="K349" s="19">
        <f>VLOOKUP(A349,'ESTADOS ESTUDIANTES'!B:L,11,0)</f>
        <v>19336943</v>
      </c>
      <c r="L349" s="23"/>
      <c r="M349" s="20"/>
      <c r="N349" s="22"/>
      <c r="O349" s="15"/>
      <c r="P349" s="15"/>
      <c r="Q349" s="15"/>
      <c r="R349" s="15"/>
      <c r="S349" s="15"/>
      <c r="T349" s="15"/>
      <c r="U349" s="15"/>
    </row>
    <row r="350" spans="1:21" ht="90">
      <c r="A350" s="17">
        <v>20072195011</v>
      </c>
      <c r="B350" s="19" t="str">
        <f>VLOOKUP(A350,'ESTADOS ESTUDIANTES'!B:L,2,0)</f>
        <v>VERA RAMIREZ HERNAN YESID</v>
      </c>
      <c r="C350" s="19">
        <f>VLOOKUP(A350,'ESTADOS ESTUDIANTES'!B:L,3,0)</f>
        <v>195</v>
      </c>
      <c r="D350" s="66" t="str">
        <f>VLOOKUP(A350,'ESTADOS ESTUDIANTES'!B:L,4,0)</f>
        <v>MAE. EN CIENCIAS DE LA INF. Y LAS COMUNICACIONES ENFASIS EN TELEINF.</v>
      </c>
      <c r="E350" s="19" t="str">
        <f>VLOOKUP(A350,'ESTADOS ESTUDIANTES'!B:L,5,0)</f>
        <v>X</v>
      </c>
      <c r="F350" s="18" t="str">
        <f>VLOOKUP(E350,Listas!B1:C1004,2,0)</f>
        <v>EXCLUIDO</v>
      </c>
      <c r="G350" s="19" t="str">
        <f>VLOOKUP(A350,'ESTADOS ESTUDIANTES'!B:L,7,0)</f>
        <v>NO REGISTRA</v>
      </c>
      <c r="H350" s="19">
        <f>VLOOKUP(A350,'ESTADOS ESTUDIANTES'!B:L,8,0)</f>
        <v>0</v>
      </c>
      <c r="I350" s="70">
        <f>VLOOKUP(A350,'ESTADOS ESTUDIANTES'!B:L,9,0)</f>
        <v>0</v>
      </c>
      <c r="J350" s="19" t="str">
        <f>VLOOKUP(A350,'ESTADOS ESTUDIANTES'!B:L,10,0)</f>
        <v>CC</v>
      </c>
      <c r="K350" s="19">
        <f>VLOOKUP(A350,'ESTADOS ESTUDIANTES'!B:L,11,0)</f>
        <v>80028425</v>
      </c>
      <c r="L350" s="23"/>
      <c r="M350" s="20"/>
      <c r="N350" s="22"/>
      <c r="O350" s="15"/>
      <c r="P350" s="15"/>
      <c r="Q350" s="15"/>
      <c r="R350" s="15"/>
      <c r="S350" s="15"/>
      <c r="T350" s="15"/>
      <c r="U350" s="15"/>
    </row>
    <row r="351" spans="1:21" ht="90">
      <c r="A351" s="17">
        <v>20072195012</v>
      </c>
      <c r="B351" s="19" t="str">
        <f>VLOOKUP(A351,'ESTADOS ESTUDIANTES'!B:L,2,0)</f>
        <v>IVAN EDUARDO DIAZ PARDO</v>
      </c>
      <c r="C351" s="19">
        <f>VLOOKUP(A351,'ESTADOS ESTUDIANTES'!B:L,3,0)</f>
        <v>195</v>
      </c>
      <c r="D351" s="66" t="str">
        <f>VLOOKUP(A351,'ESTADOS ESTUDIANTES'!B:L,4,0)</f>
        <v>MAE. EN CIENCIAS DE LA INF. Y LAS COMUNICACIONES ENFASIS EN TELEINF.</v>
      </c>
      <c r="E351" s="19" t="str">
        <f>VLOOKUP(A351,'ESTADOS ESTUDIANTES'!B:L,5,0)</f>
        <v>E</v>
      </c>
      <c r="F351" s="18" t="str">
        <f>VLOOKUP(E351,Listas!B1:C1004,2,0)</f>
        <v>EGRESADO</v>
      </c>
      <c r="G351" s="19">
        <f>VLOOKUP(A351,'ESTADOS ESTUDIANTES'!B:L,7,0)</f>
        <v>1</v>
      </c>
      <c r="H351" s="19" t="str">
        <f>VLOOKUP(A351,'ESTADOS ESTUDIANTES'!B:L,8,0)</f>
        <v>iediazp@udistrital.edu.co</v>
      </c>
      <c r="I351" s="70" t="str">
        <f>VLOOKUP(A351,'ESTADOS ESTUDIANTES'!B:L,9,0)</f>
        <v>ivandiazpardo@gmail.com</v>
      </c>
      <c r="J351" s="19" t="str">
        <f>VLOOKUP(A351,'ESTADOS ESTUDIANTES'!B:L,10,0)</f>
        <v>CC</v>
      </c>
      <c r="K351" s="19">
        <f>VLOOKUP(A351,'ESTADOS ESTUDIANTES'!B:L,11,0)</f>
        <v>80037224</v>
      </c>
      <c r="L351" s="23"/>
      <c r="M351" s="20"/>
      <c r="N351" s="22"/>
      <c r="O351" s="15"/>
      <c r="P351" s="15"/>
      <c r="Q351" s="15"/>
      <c r="R351" s="15"/>
      <c r="S351" s="15"/>
      <c r="T351" s="15"/>
      <c r="U351" s="15"/>
    </row>
    <row r="352" spans="1:21" ht="90">
      <c r="A352" s="17">
        <v>20072295001</v>
      </c>
      <c r="B352" s="19" t="str">
        <f>VLOOKUP(A352,'ESTADOS ESTUDIANTES'!B:L,2,0)</f>
        <v>ANGEL ROMERO ISMAEL</v>
      </c>
      <c r="C352" s="19">
        <f>VLOOKUP(A352,'ESTADOS ESTUDIANTES'!B:L,3,0)</f>
        <v>295</v>
      </c>
      <c r="D352" s="66" t="str">
        <f>VLOOKUP(A352,'ESTADOS ESTUDIANTES'!B:L,4,0)</f>
        <v>MAE. EN CIENCIAS DE LA INF. Y LAS COMUNICACIONES ENFASIS EN SIS. INFOR</v>
      </c>
      <c r="E352" s="19" t="str">
        <f>VLOOKUP(A352,'ESTADOS ESTUDIANTES'!B:L,5,0)</f>
        <v>X</v>
      </c>
      <c r="F352" s="18" t="str">
        <f>VLOOKUP(E352,Listas!B1:C1004,2,0)</f>
        <v>EXCLUIDO</v>
      </c>
      <c r="G352" s="19" t="str">
        <f>VLOOKUP(A352,'ESTADOS ESTUDIANTES'!B:L,7,0)</f>
        <v>NO REGISTRA</v>
      </c>
      <c r="H352" s="19">
        <f>VLOOKUP(A352,'ESTADOS ESTUDIANTES'!B:L,8,0)</f>
        <v>0</v>
      </c>
      <c r="I352" s="70">
        <f>VLOOKUP(A352,'ESTADOS ESTUDIANTES'!B:L,9,0)</f>
        <v>0</v>
      </c>
      <c r="J352" s="19" t="str">
        <f>VLOOKUP(A352,'ESTADOS ESTUDIANTES'!B:L,10,0)</f>
        <v>CC</v>
      </c>
      <c r="K352" s="19">
        <f>VLOOKUP(A352,'ESTADOS ESTUDIANTES'!B:L,11,0)</f>
        <v>19276334</v>
      </c>
      <c r="L352" s="23"/>
      <c r="M352" s="20"/>
      <c r="N352" s="22"/>
      <c r="O352" s="15"/>
      <c r="P352" s="15"/>
      <c r="Q352" s="15"/>
      <c r="R352" s="15"/>
      <c r="S352" s="15"/>
      <c r="T352" s="15"/>
      <c r="U352" s="15"/>
    </row>
    <row r="353" spans="1:21" ht="90">
      <c r="A353" s="17">
        <v>20072295002</v>
      </c>
      <c r="B353" s="19" t="str">
        <f>VLOOKUP(A353,'ESTADOS ESTUDIANTES'!B:L,2,0)</f>
        <v>ARDILA PARRA SOL ANGEL</v>
      </c>
      <c r="C353" s="19">
        <f>VLOOKUP(A353,'ESTADOS ESTUDIANTES'!B:L,3,0)</f>
        <v>295</v>
      </c>
      <c r="D353" s="66" t="str">
        <f>VLOOKUP(A353,'ESTADOS ESTUDIANTES'!B:L,4,0)</f>
        <v>MAE. EN CIENCIAS DE LA INF. Y LAS COMUNICACIONES ENFASIS EN SIS. INFOR</v>
      </c>
      <c r="E353" s="19" t="str">
        <f>VLOOKUP(A353,'ESTADOS ESTUDIANTES'!B:L,5,0)</f>
        <v>X</v>
      </c>
      <c r="F353" s="18" t="str">
        <f>VLOOKUP(E353,Listas!B1:C1004,2,0)</f>
        <v>EXCLUIDO</v>
      </c>
      <c r="G353" s="19" t="str">
        <f>VLOOKUP(A353,'ESTADOS ESTUDIANTES'!B:L,7,0)</f>
        <v>NO REGISTRA</v>
      </c>
      <c r="H353" s="19">
        <f>VLOOKUP(A353,'ESTADOS ESTUDIANTES'!B:L,8,0)</f>
        <v>0</v>
      </c>
      <c r="I353" s="70" t="str">
        <f>VLOOKUP(A353,'ESTADOS ESTUDIANTES'!B:L,9,0)</f>
        <v>sol_angel_a@hotmail.com</v>
      </c>
      <c r="J353" s="19" t="str">
        <f>VLOOKUP(A353,'ESTADOS ESTUDIANTES'!B:L,10,0)</f>
        <v>CC</v>
      </c>
      <c r="K353" s="19">
        <f>VLOOKUP(A353,'ESTADOS ESTUDIANTES'!B:L,11,0)</f>
        <v>52120257</v>
      </c>
      <c r="L353" s="23"/>
      <c r="M353" s="20"/>
      <c r="N353" s="22"/>
      <c r="O353" s="15"/>
      <c r="P353" s="15"/>
      <c r="Q353" s="15"/>
      <c r="R353" s="15"/>
      <c r="S353" s="15"/>
      <c r="T353" s="15"/>
      <c r="U353" s="15"/>
    </row>
    <row r="354" spans="1:21" ht="90">
      <c r="A354" s="17">
        <v>20072295003</v>
      </c>
      <c r="B354" s="19" t="str">
        <f>VLOOKUP(A354,'ESTADOS ESTUDIANTES'!B:L,2,0)</f>
        <v>GOMEZ GUTIERREZ ARIS ANDRES</v>
      </c>
      <c r="C354" s="19">
        <f>VLOOKUP(A354,'ESTADOS ESTUDIANTES'!B:L,3,0)</f>
        <v>295</v>
      </c>
      <c r="D354" s="66" t="str">
        <f>VLOOKUP(A354,'ESTADOS ESTUDIANTES'!B:L,4,0)</f>
        <v>MAE. EN CIENCIAS DE LA INF. Y LAS COMUNICACIONES ENFASIS EN SIS. INFOR</v>
      </c>
      <c r="E354" s="19" t="str">
        <f>VLOOKUP(A354,'ESTADOS ESTUDIANTES'!B:L,5,0)</f>
        <v>X</v>
      </c>
      <c r="F354" s="18" t="str">
        <f>VLOOKUP(E354,Listas!B1:C1004,2,0)</f>
        <v>EXCLUIDO</v>
      </c>
      <c r="G354" s="19" t="str">
        <f>VLOOKUP(A354,'ESTADOS ESTUDIANTES'!B:L,7,0)</f>
        <v>NO REGISTRA</v>
      </c>
      <c r="H354" s="19">
        <f>VLOOKUP(A354,'ESTADOS ESTUDIANTES'!B:L,8,0)</f>
        <v>0</v>
      </c>
      <c r="I354" s="70">
        <f>VLOOKUP(A354,'ESTADOS ESTUDIANTES'!B:L,9,0)</f>
        <v>0</v>
      </c>
      <c r="J354" s="19" t="str">
        <f>VLOOKUP(A354,'ESTADOS ESTUDIANTES'!B:L,10,0)</f>
        <v>CC</v>
      </c>
      <c r="K354" s="19">
        <f>VLOOKUP(A354,'ESTADOS ESTUDIANTES'!B:L,11,0)</f>
        <v>79724682</v>
      </c>
      <c r="L354" s="23"/>
      <c r="M354" s="20"/>
      <c r="N354" s="22"/>
      <c r="O354" s="15"/>
      <c r="P354" s="15"/>
      <c r="Q354" s="15"/>
      <c r="R354" s="15"/>
      <c r="S354" s="15"/>
      <c r="T354" s="15"/>
      <c r="U354" s="15"/>
    </row>
    <row r="355" spans="1:21" ht="90">
      <c r="A355" s="17">
        <v>20072295004</v>
      </c>
      <c r="B355" s="19" t="str">
        <f>VLOOKUP(A355,'ESTADOS ESTUDIANTES'!B:L,2,0)</f>
        <v>MARINEZ NARVAEZ GUILLERMO ALEXANDER</v>
      </c>
      <c r="C355" s="19">
        <f>VLOOKUP(A355,'ESTADOS ESTUDIANTES'!B:L,3,0)</f>
        <v>295</v>
      </c>
      <c r="D355" s="66" t="str">
        <f>VLOOKUP(A355,'ESTADOS ESTUDIANTES'!B:L,4,0)</f>
        <v>MAE. EN CIENCIAS DE LA INF. Y LAS COMUNICACIONES ENFASIS EN SIS. INFOR</v>
      </c>
      <c r="E355" s="19" t="str">
        <f>VLOOKUP(A355,'ESTADOS ESTUDIANTES'!B:L,5,0)</f>
        <v>X</v>
      </c>
      <c r="F355" s="18" t="str">
        <f>VLOOKUP(E355,Listas!B1:C1004,2,0)</f>
        <v>EXCLUIDO</v>
      </c>
      <c r="G355" s="19" t="str">
        <f>VLOOKUP(A355,'ESTADOS ESTUDIANTES'!B:L,7,0)</f>
        <v>NO REGISTRA</v>
      </c>
      <c r="H355" s="19">
        <f>VLOOKUP(A355,'ESTADOS ESTUDIANTES'!B:L,8,0)</f>
        <v>0</v>
      </c>
      <c r="I355" s="70" t="str">
        <f>VLOOKUP(A355,'ESTADOS ESTUDIANTES'!B:L,9,0)</f>
        <v>gamnsig@gmail.com</v>
      </c>
      <c r="J355" s="19" t="str">
        <f>VLOOKUP(A355,'ESTADOS ESTUDIANTES'!B:L,10,0)</f>
        <v>CC</v>
      </c>
      <c r="K355" s="19">
        <f>VLOOKUP(A355,'ESTADOS ESTUDIANTES'!B:L,11,0)</f>
        <v>79750228</v>
      </c>
      <c r="L355" s="23"/>
      <c r="M355" s="20"/>
      <c r="N355" s="22"/>
      <c r="O355" s="15"/>
      <c r="P355" s="15"/>
      <c r="Q355" s="15"/>
      <c r="R355" s="15"/>
      <c r="S355" s="15"/>
      <c r="T355" s="15"/>
      <c r="U355" s="15"/>
    </row>
    <row r="356" spans="1:21" ht="90">
      <c r="A356" s="17">
        <v>20072295005</v>
      </c>
      <c r="B356" s="19" t="str">
        <f>VLOOKUP(A356,'ESTADOS ESTUDIANTES'!B:L,2,0)</f>
        <v>MORENO SANDOVAL LUIS GABRIEL</v>
      </c>
      <c r="C356" s="19">
        <f>VLOOKUP(A356,'ESTADOS ESTUDIANTES'!B:L,3,0)</f>
        <v>295</v>
      </c>
      <c r="D356" s="66" t="str">
        <f>VLOOKUP(A356,'ESTADOS ESTUDIANTES'!B:L,4,0)</f>
        <v>MAE. EN CIENCIAS DE LA INF. Y LAS COMUNICACIONES ENFASIS EN SIS. INFOR</v>
      </c>
      <c r="E356" s="19" t="str">
        <f>VLOOKUP(A356,'ESTADOS ESTUDIANTES'!B:L,5,0)</f>
        <v>E</v>
      </c>
      <c r="F356" s="18" t="str">
        <f>VLOOKUP(E356,Listas!B1:C1004,2,0)</f>
        <v>EGRESADO</v>
      </c>
      <c r="G356" s="19" t="str">
        <f>VLOOKUP(A356,'ESTADOS ESTUDIANTES'!B:L,7,0)</f>
        <v>NO REGISTRA</v>
      </c>
      <c r="H356" s="19" t="str">
        <f>VLOOKUP(A356,'ESTADOS ESTUDIANTES'!B:L,8,0)</f>
        <v>lgmorenos@correo.udistrital.edu.co</v>
      </c>
      <c r="I356" s="70" t="str">
        <f>VLOOKUP(A356,'ESTADOS ESTUDIANTES'!B:L,9,0)</f>
        <v>gabrielmoreno10@gmail.com</v>
      </c>
      <c r="J356" s="19" t="str">
        <f>VLOOKUP(A356,'ESTADOS ESTUDIANTES'!B:L,10,0)</f>
        <v>CC</v>
      </c>
      <c r="K356" s="19">
        <f>VLOOKUP(A356,'ESTADOS ESTUDIANTES'!B:L,11,0)</f>
        <v>3251891</v>
      </c>
      <c r="L356" s="23"/>
      <c r="M356" s="20"/>
      <c r="N356" s="22"/>
      <c r="O356" s="15"/>
      <c r="P356" s="15"/>
      <c r="Q356" s="15"/>
      <c r="R356" s="15"/>
      <c r="S356" s="15"/>
      <c r="T356" s="15"/>
      <c r="U356" s="15"/>
    </row>
    <row r="357" spans="1:21" ht="90">
      <c r="A357" s="17">
        <v>20072295006</v>
      </c>
      <c r="B357" s="19" t="str">
        <f>VLOOKUP(A357,'ESTADOS ESTUDIANTES'!B:L,2,0)</f>
        <v>MOSQUERA TELLEZ LUZ DENY</v>
      </c>
      <c r="C357" s="19">
        <f>VLOOKUP(A357,'ESTADOS ESTUDIANTES'!B:L,3,0)</f>
        <v>295</v>
      </c>
      <c r="D357" s="66" t="str">
        <f>VLOOKUP(A357,'ESTADOS ESTUDIANTES'!B:L,4,0)</f>
        <v>MAE. EN CIENCIAS DE LA INF. Y LAS COMUNICACIONES ENFASIS EN SIS. INFOR</v>
      </c>
      <c r="E357" s="19" t="str">
        <f>VLOOKUP(A357,'ESTADOS ESTUDIANTES'!B:L,5,0)</f>
        <v>X</v>
      </c>
      <c r="F357" s="18" t="str">
        <f>VLOOKUP(E357,Listas!B1:C1004,2,0)</f>
        <v>EXCLUIDO</v>
      </c>
      <c r="G357" s="19" t="str">
        <f>VLOOKUP(A357,'ESTADOS ESTUDIANTES'!B:L,7,0)</f>
        <v>NO REGISTRA</v>
      </c>
      <c r="H357" s="19">
        <f>VLOOKUP(A357,'ESTADOS ESTUDIANTES'!B:L,8,0)</f>
        <v>0</v>
      </c>
      <c r="I357" s="70" t="str">
        <f>VLOOKUP(A357,'ESTADOS ESTUDIANTES'!B:L,9,0)</f>
        <v>dennysmosqueraa@yahoo.es</v>
      </c>
      <c r="J357" s="19" t="str">
        <f>VLOOKUP(A357,'ESTADOS ESTUDIANTES'!B:L,10,0)</f>
        <v>CC</v>
      </c>
      <c r="K357" s="19">
        <f>VLOOKUP(A357,'ESTADOS ESTUDIANTES'!B:L,11,0)</f>
        <v>52007866</v>
      </c>
      <c r="L357" s="23"/>
      <c r="M357" s="20"/>
      <c r="N357" s="22"/>
      <c r="O357" s="15"/>
      <c r="P357" s="15"/>
      <c r="Q357" s="15"/>
      <c r="R357" s="15"/>
      <c r="S357" s="15"/>
      <c r="T357" s="15"/>
      <c r="U357" s="15"/>
    </row>
    <row r="358" spans="1:21" ht="90">
      <c r="A358" s="17">
        <v>20072295007</v>
      </c>
      <c r="B358" s="19" t="str">
        <f>VLOOKUP(A358,'ESTADOS ESTUDIANTES'!B:L,2,0)</f>
        <v>NARVAEZ ESPINOSA IRINA</v>
      </c>
      <c r="C358" s="19">
        <f>VLOOKUP(A358,'ESTADOS ESTUDIANTES'!B:L,3,0)</f>
        <v>295</v>
      </c>
      <c r="D358" s="66" t="str">
        <f>VLOOKUP(A358,'ESTADOS ESTUDIANTES'!B:L,4,0)</f>
        <v>MAE. EN CIENCIAS DE LA INF. Y LAS COMUNICACIONES ENFASIS EN SIS. INFOR</v>
      </c>
      <c r="E358" s="19" t="str">
        <f>VLOOKUP(A358,'ESTADOS ESTUDIANTES'!B:L,5,0)</f>
        <v>X</v>
      </c>
      <c r="F358" s="18" t="str">
        <f>VLOOKUP(E358,Listas!B1:C1004,2,0)</f>
        <v>EXCLUIDO</v>
      </c>
      <c r="G358" s="19" t="str">
        <f>VLOOKUP(A358,'ESTADOS ESTUDIANTES'!B:L,7,0)</f>
        <v>NO REGISTRA</v>
      </c>
      <c r="H358" s="19">
        <f>VLOOKUP(A358,'ESTADOS ESTUDIANTES'!B:L,8,0)</f>
        <v>0</v>
      </c>
      <c r="I358" s="70">
        <f>VLOOKUP(A358,'ESTADOS ESTUDIANTES'!B:L,9,0)</f>
        <v>0</v>
      </c>
      <c r="J358" s="19" t="str">
        <f>VLOOKUP(A358,'ESTADOS ESTUDIANTES'!B:L,10,0)</f>
        <v>CC</v>
      </c>
      <c r="K358" s="19">
        <f>VLOOKUP(A358,'ESTADOS ESTUDIANTES'!B:L,11,0)</f>
        <v>40383178</v>
      </c>
      <c r="L358" s="23"/>
      <c r="M358" s="20"/>
      <c r="N358" s="22"/>
      <c r="O358" s="15"/>
      <c r="P358" s="15"/>
      <c r="Q358" s="15"/>
      <c r="R358" s="15"/>
      <c r="S358" s="15"/>
      <c r="T358" s="15"/>
      <c r="U358" s="15"/>
    </row>
    <row r="359" spans="1:21" ht="90">
      <c r="A359" s="17">
        <v>20072295008</v>
      </c>
      <c r="B359" s="19" t="str">
        <f>VLOOKUP(A359,'ESTADOS ESTUDIANTES'!B:L,2,0)</f>
        <v>PEREZ GARCIA JORGE EDUARDO</v>
      </c>
      <c r="C359" s="19">
        <f>VLOOKUP(A359,'ESTADOS ESTUDIANTES'!B:L,3,0)</f>
        <v>295</v>
      </c>
      <c r="D359" s="66" t="str">
        <f>VLOOKUP(A359,'ESTADOS ESTUDIANTES'!B:L,4,0)</f>
        <v>MAE. EN CIENCIAS DE LA INF. Y LAS COMUNICACIONES ENFASIS EN SIS. INFOR</v>
      </c>
      <c r="E359" s="19" t="str">
        <f>VLOOKUP(A359,'ESTADOS ESTUDIANTES'!B:L,5,0)</f>
        <v>X</v>
      </c>
      <c r="F359" s="18" t="str">
        <f>VLOOKUP(E359,Listas!B1:C1004,2,0)</f>
        <v>EXCLUIDO</v>
      </c>
      <c r="G359" s="19" t="str">
        <f>VLOOKUP(A359,'ESTADOS ESTUDIANTES'!B:L,7,0)</f>
        <v>NO REGISTRA</v>
      </c>
      <c r="H359" s="19">
        <f>VLOOKUP(A359,'ESTADOS ESTUDIANTES'!B:L,8,0)</f>
        <v>0</v>
      </c>
      <c r="I359" s="70" t="str">
        <f>VLOOKUP(A359,'ESTADOS ESTUDIANTES'!B:L,9,0)</f>
        <v>jorge_eduardo225@yahoo.com</v>
      </c>
      <c r="J359" s="19" t="str">
        <f>VLOOKUP(A359,'ESTADOS ESTUDIANTES'!B:L,10,0)</f>
        <v>CC</v>
      </c>
      <c r="K359" s="19">
        <f>VLOOKUP(A359,'ESTADOS ESTUDIANTES'!B:L,11,0)</f>
        <v>79419658</v>
      </c>
      <c r="L359" s="23"/>
      <c r="M359" s="20"/>
      <c r="N359" s="22"/>
      <c r="O359" s="15"/>
      <c r="P359" s="15"/>
      <c r="Q359" s="15"/>
      <c r="R359" s="15"/>
      <c r="S359" s="15"/>
      <c r="T359" s="15"/>
      <c r="U359" s="15"/>
    </row>
    <row r="360" spans="1:21" ht="90">
      <c r="A360" s="17">
        <v>20072295009</v>
      </c>
      <c r="B360" s="19" t="str">
        <f>VLOOKUP(A360,'ESTADOS ESTUDIANTES'!B:L,2,0)</f>
        <v>REYES MORENO JOHN JAIRO</v>
      </c>
      <c r="C360" s="19">
        <f>VLOOKUP(A360,'ESTADOS ESTUDIANTES'!B:L,3,0)</f>
        <v>295</v>
      </c>
      <c r="D360" s="66" t="str">
        <f>VLOOKUP(A360,'ESTADOS ESTUDIANTES'!B:L,4,0)</f>
        <v>MAE. EN CIENCIAS DE LA INF. Y LAS COMUNICACIONES ENFASIS EN SIS. INFOR</v>
      </c>
      <c r="E360" s="19" t="str">
        <f>VLOOKUP(A360,'ESTADOS ESTUDIANTES'!B:L,5,0)</f>
        <v>X</v>
      </c>
      <c r="F360" s="18" t="str">
        <f>VLOOKUP(E360,Listas!B1:C1004,2,0)</f>
        <v>EXCLUIDO</v>
      </c>
      <c r="G360" s="19" t="str">
        <f>VLOOKUP(A360,'ESTADOS ESTUDIANTES'!B:L,7,0)</f>
        <v>NO REGISTRA</v>
      </c>
      <c r="H360" s="19" t="str">
        <f>VLOOKUP(A360,'ESTADOS ESTUDIANTES'!B:L,8,0)</f>
        <v>jjreyesm@correo.udistrital.edu.co</v>
      </c>
      <c r="I360" s="70" t="str">
        <f>VLOOKUP(A360,'ESTADOS ESTUDIANTES'!B:L,9,0)</f>
        <v>johnjreyesm@gmail.com</v>
      </c>
      <c r="J360" s="19" t="str">
        <f>VLOOKUP(A360,'ESTADOS ESTUDIANTES'!B:L,10,0)</f>
        <v>CC</v>
      </c>
      <c r="K360" s="19">
        <f>VLOOKUP(A360,'ESTADOS ESTUDIANTES'!B:L,11,0)</f>
        <v>79655465</v>
      </c>
      <c r="L360" s="23"/>
      <c r="M360" s="20"/>
      <c r="N360" s="22"/>
      <c r="O360" s="15"/>
      <c r="P360" s="15"/>
      <c r="Q360" s="15"/>
      <c r="R360" s="15"/>
      <c r="S360" s="15"/>
      <c r="T360" s="15"/>
      <c r="U360" s="15"/>
    </row>
    <row r="361" spans="1:21" ht="90">
      <c r="A361" s="17">
        <v>20072295010</v>
      </c>
      <c r="B361" s="19" t="str">
        <f>VLOOKUP(A361,'ESTADOS ESTUDIANTES'!B:L,2,0)</f>
        <v>VARGAS MERCHAN MILTON SARETH</v>
      </c>
      <c r="C361" s="19">
        <f>VLOOKUP(A361,'ESTADOS ESTUDIANTES'!B:L,3,0)</f>
        <v>295</v>
      </c>
      <c r="D361" s="66" t="str">
        <f>VLOOKUP(A361,'ESTADOS ESTUDIANTES'!B:L,4,0)</f>
        <v>MAE. EN CIENCIAS DE LA INF. Y LAS COMUNICACIONES ENFASIS EN SIS. INFOR</v>
      </c>
      <c r="E361" s="19" t="str">
        <f>VLOOKUP(A361,'ESTADOS ESTUDIANTES'!B:L,5,0)</f>
        <v>X</v>
      </c>
      <c r="F361" s="18" t="str">
        <f>VLOOKUP(E361,Listas!B1:C1004,2,0)</f>
        <v>EXCLUIDO</v>
      </c>
      <c r="G361" s="19" t="str">
        <f>VLOOKUP(A361,'ESTADOS ESTUDIANTES'!B:L,7,0)</f>
        <v>NO REGISTRA</v>
      </c>
      <c r="H361" s="19">
        <f>VLOOKUP(A361,'ESTADOS ESTUDIANTES'!B:L,8,0)</f>
        <v>0</v>
      </c>
      <c r="I361" s="70">
        <f>VLOOKUP(A361,'ESTADOS ESTUDIANTES'!B:L,9,0)</f>
        <v>0</v>
      </c>
      <c r="J361" s="19" t="str">
        <f>VLOOKUP(A361,'ESTADOS ESTUDIANTES'!B:L,10,0)</f>
        <v>CC</v>
      </c>
      <c r="K361" s="19">
        <f>VLOOKUP(A361,'ESTADOS ESTUDIANTES'!B:L,11,0)</f>
        <v>80017826</v>
      </c>
      <c r="L361" s="23"/>
      <c r="M361" s="20"/>
      <c r="N361" s="22"/>
      <c r="O361" s="15"/>
      <c r="P361" s="15"/>
      <c r="Q361" s="15"/>
      <c r="R361" s="15"/>
      <c r="S361" s="15"/>
      <c r="T361" s="15"/>
      <c r="U361" s="15"/>
    </row>
    <row r="362" spans="1:21" ht="90">
      <c r="A362" s="17">
        <v>20081195001</v>
      </c>
      <c r="B362" s="19" t="str">
        <f>VLOOKUP(A362,'ESTADOS ESTUDIANTES'!B:L,2,0)</f>
        <v>ARAQUE PALMA JHON WILLIAM</v>
      </c>
      <c r="C362" s="19">
        <f>VLOOKUP(A362,'ESTADOS ESTUDIANTES'!B:L,3,0)</f>
        <v>195</v>
      </c>
      <c r="D362" s="66" t="str">
        <f>VLOOKUP(A362,'ESTADOS ESTUDIANTES'!B:L,4,0)</f>
        <v>MAE. EN CIENCIAS DE LA INF. Y LAS COMUNICACIONES ENFASIS EN TELEINF.</v>
      </c>
      <c r="E362" s="19" t="str">
        <f>VLOOKUP(A362,'ESTADOS ESTUDIANTES'!B:L,5,0)</f>
        <v>X</v>
      </c>
      <c r="F362" s="18" t="str">
        <f>VLOOKUP(E362,Listas!B1:C1004,2,0)</f>
        <v>EXCLUIDO</v>
      </c>
      <c r="G362" s="19" t="str">
        <f>VLOOKUP(A362,'ESTADOS ESTUDIANTES'!B:L,7,0)</f>
        <v>NO REGISTRA</v>
      </c>
      <c r="H362" s="19" t="str">
        <f>VLOOKUP(A362,'ESTADOS ESTUDIANTES'!B:L,8,0)</f>
        <v>jwaraquep@correo.udistrital.edu.co</v>
      </c>
      <c r="I362" s="70" t="str">
        <f>VLOOKUP(A362,'ESTADOS ESTUDIANTES'!B:L,9,0)</f>
        <v>johnaraque@hotmail.com</v>
      </c>
      <c r="J362" s="19" t="str">
        <f>VLOOKUP(A362,'ESTADOS ESTUDIANTES'!B:L,10,0)</f>
        <v>CC</v>
      </c>
      <c r="K362" s="19">
        <f>VLOOKUP(A362,'ESTADOS ESTUDIANTES'!B:L,11,0)</f>
        <v>7717787</v>
      </c>
      <c r="L362" s="23"/>
      <c r="M362" s="20"/>
      <c r="N362" s="22"/>
      <c r="O362" s="15"/>
      <c r="P362" s="15"/>
      <c r="Q362" s="15"/>
      <c r="R362" s="15"/>
      <c r="S362" s="15"/>
      <c r="T362" s="15"/>
      <c r="U362" s="15"/>
    </row>
    <row r="363" spans="1:21" ht="90">
      <c r="A363" s="17">
        <v>20081195002</v>
      </c>
      <c r="B363" s="19" t="str">
        <f>VLOOKUP(A363,'ESTADOS ESTUDIANTES'!B:L,2,0)</f>
        <v>ARIZA AGAMEZ DANILO DE JESUS</v>
      </c>
      <c r="C363" s="19">
        <f>VLOOKUP(A363,'ESTADOS ESTUDIANTES'!B:L,3,0)</f>
        <v>195</v>
      </c>
      <c r="D363" s="66" t="str">
        <f>VLOOKUP(A363,'ESTADOS ESTUDIANTES'!B:L,4,0)</f>
        <v>MAE. EN CIENCIAS DE LA INF. Y LAS COMUNICACIONES ENFASIS EN TELEINF.</v>
      </c>
      <c r="E363" s="19" t="str">
        <f>VLOOKUP(A363,'ESTADOS ESTUDIANTES'!B:L,5,0)</f>
        <v>E</v>
      </c>
      <c r="F363" s="18" t="str">
        <f>VLOOKUP(E363,Listas!B1:C1004,2,0)</f>
        <v>EGRESADO</v>
      </c>
      <c r="G363" s="19" t="str">
        <f>VLOOKUP(A363,'ESTADOS ESTUDIANTES'!B:L,7,0)</f>
        <v>NO REGISTRA</v>
      </c>
      <c r="H363" s="19">
        <f>VLOOKUP(A363,'ESTADOS ESTUDIANTES'!B:L,8,0)</f>
        <v>0</v>
      </c>
      <c r="I363" s="70" t="str">
        <f>VLOOKUP(A363,'ESTADOS ESTUDIANTES'!B:L,9,0)</f>
        <v>darizaagamez@yahoo.es</v>
      </c>
      <c r="J363" s="19" t="str">
        <f>VLOOKUP(A363,'ESTADOS ESTUDIANTES'!B:L,10,0)</f>
        <v>CC</v>
      </c>
      <c r="K363" s="19">
        <f>VLOOKUP(A363,'ESTADOS ESTUDIANTES'!B:L,11,0)</f>
        <v>8740480</v>
      </c>
      <c r="L363" s="23"/>
      <c r="M363" s="20"/>
      <c r="N363" s="22"/>
      <c r="O363" s="15"/>
      <c r="P363" s="15"/>
      <c r="Q363" s="15"/>
      <c r="R363" s="15"/>
      <c r="S363" s="15"/>
      <c r="T363" s="15"/>
      <c r="U363" s="15"/>
    </row>
    <row r="364" spans="1:21" ht="90">
      <c r="A364" s="17">
        <v>20081195003</v>
      </c>
      <c r="B364" s="19" t="str">
        <f>VLOOKUP(A364,'ESTADOS ESTUDIANTES'!B:L,2,0)</f>
        <v>ATUESTA FAJARDO DAVID ALBERTO</v>
      </c>
      <c r="C364" s="19">
        <f>VLOOKUP(A364,'ESTADOS ESTUDIANTES'!B:L,3,0)</f>
        <v>195</v>
      </c>
      <c r="D364" s="66" t="str">
        <f>VLOOKUP(A364,'ESTADOS ESTUDIANTES'!B:L,4,0)</f>
        <v>MAE. EN CIENCIAS DE LA INF. Y LAS COMUNICACIONES ENFASIS EN TELEINF.</v>
      </c>
      <c r="E364" s="19" t="str">
        <f>VLOOKUP(A364,'ESTADOS ESTUDIANTES'!B:L,5,0)</f>
        <v>X</v>
      </c>
      <c r="F364" s="18" t="str">
        <f>VLOOKUP(E364,Listas!B1:C1004,2,0)</f>
        <v>EXCLUIDO</v>
      </c>
      <c r="G364" s="19" t="str">
        <f>VLOOKUP(A364,'ESTADOS ESTUDIANTES'!B:L,7,0)</f>
        <v>NO REGISTRA</v>
      </c>
      <c r="H364" s="19">
        <f>VLOOKUP(A364,'ESTADOS ESTUDIANTES'!B:L,8,0)</f>
        <v>0</v>
      </c>
      <c r="I364" s="70" t="str">
        <f>VLOOKUP(A364,'ESTADOS ESTUDIANTES'!B:L,9,0)</f>
        <v>darioroma12@hotmail.com</v>
      </c>
      <c r="J364" s="19" t="str">
        <f>VLOOKUP(A364,'ESTADOS ESTUDIANTES'!B:L,10,0)</f>
        <v>CC</v>
      </c>
      <c r="K364" s="19">
        <f>VLOOKUP(A364,'ESTADOS ESTUDIANTES'!B:L,11,0)</f>
        <v>79748066</v>
      </c>
      <c r="L364" s="23"/>
      <c r="M364" s="20"/>
      <c r="N364" s="22"/>
      <c r="O364" s="15"/>
      <c r="P364" s="15"/>
      <c r="Q364" s="15"/>
      <c r="R364" s="15"/>
      <c r="S364" s="15"/>
      <c r="T364" s="15"/>
      <c r="U364" s="15"/>
    </row>
    <row r="365" spans="1:21" ht="90">
      <c r="A365" s="17">
        <v>20081195004</v>
      </c>
      <c r="B365" s="19" t="str">
        <f>VLOOKUP(A365,'ESTADOS ESTUDIANTES'!B:L,2,0)</f>
        <v>CORRECHA RAMIREZ YOIS ANDREA</v>
      </c>
      <c r="C365" s="19">
        <f>VLOOKUP(A365,'ESTADOS ESTUDIANTES'!B:L,3,0)</f>
        <v>195</v>
      </c>
      <c r="D365" s="66" t="str">
        <f>VLOOKUP(A365,'ESTADOS ESTUDIANTES'!B:L,4,0)</f>
        <v>MAE. EN CIENCIAS DE LA INF. Y LAS COMUNICACIONES ENFASIS EN TELEINF.</v>
      </c>
      <c r="E365" s="19" t="str">
        <f>VLOOKUP(A365,'ESTADOS ESTUDIANTES'!B:L,5,0)</f>
        <v>X</v>
      </c>
      <c r="F365" s="18" t="str">
        <f>VLOOKUP(E365,Listas!B1:C1004,2,0)</f>
        <v>EXCLUIDO</v>
      </c>
      <c r="G365" s="19" t="str">
        <f>VLOOKUP(A365,'ESTADOS ESTUDIANTES'!B:L,7,0)</f>
        <v>NO REGISTRA</v>
      </c>
      <c r="H365" s="19">
        <f>VLOOKUP(A365,'ESTADOS ESTUDIANTES'!B:L,8,0)</f>
        <v>0</v>
      </c>
      <c r="I365" s="70">
        <f>VLOOKUP(A365,'ESTADOS ESTUDIANTES'!B:L,9,0)</f>
        <v>0</v>
      </c>
      <c r="J365" s="19" t="str">
        <f>VLOOKUP(A365,'ESTADOS ESTUDIANTES'!B:L,10,0)</f>
        <v>CC</v>
      </c>
      <c r="K365" s="19">
        <f>VLOOKUP(A365,'ESTADOS ESTUDIANTES'!B:L,11,0)</f>
        <v>65776344</v>
      </c>
      <c r="L365" s="23"/>
      <c r="M365" s="20"/>
      <c r="N365" s="22"/>
      <c r="O365" s="15"/>
      <c r="P365" s="15"/>
      <c r="Q365" s="15"/>
      <c r="R365" s="15"/>
      <c r="S365" s="15"/>
      <c r="T365" s="15"/>
      <c r="U365" s="15"/>
    </row>
    <row r="366" spans="1:21" ht="90">
      <c r="A366" s="17">
        <v>20081195005</v>
      </c>
      <c r="B366" s="19" t="str">
        <f>VLOOKUP(A366,'ESTADOS ESTUDIANTES'!B:L,2,0)</f>
        <v>DE LA ROSA PADILLA RODOLFO</v>
      </c>
      <c r="C366" s="19">
        <f>VLOOKUP(A366,'ESTADOS ESTUDIANTES'!B:L,3,0)</f>
        <v>195</v>
      </c>
      <c r="D366" s="66" t="str">
        <f>VLOOKUP(A366,'ESTADOS ESTUDIANTES'!B:L,4,0)</f>
        <v>MAE. EN CIENCIAS DE LA INF. Y LAS COMUNICACIONES ENFASIS EN TELEINF.</v>
      </c>
      <c r="E366" s="19" t="str">
        <f>VLOOKUP(A366,'ESTADOS ESTUDIANTES'!B:L,5,0)</f>
        <v>X</v>
      </c>
      <c r="F366" s="18" t="str">
        <f>VLOOKUP(E366,Listas!B1:C1004,2,0)</f>
        <v>EXCLUIDO</v>
      </c>
      <c r="G366" s="19" t="str">
        <f>VLOOKUP(A366,'ESTADOS ESTUDIANTES'!B:L,7,0)</f>
        <v>NO REGISTRA</v>
      </c>
      <c r="H366" s="19">
        <f>VLOOKUP(A366,'ESTADOS ESTUDIANTES'!B:L,8,0)</f>
        <v>0</v>
      </c>
      <c r="I366" s="70" t="str">
        <f>VLOOKUP(A366,'ESTADOS ESTUDIANTES'!B:L,9,0)</f>
        <v>apocalipsi_b@yahoo.es</v>
      </c>
      <c r="J366" s="19" t="str">
        <f>VLOOKUP(A366,'ESTADOS ESTUDIANTES'!B:L,10,0)</f>
        <v>CC</v>
      </c>
      <c r="K366" s="19">
        <f>VLOOKUP(A366,'ESTADOS ESTUDIANTES'!B:L,11,0)</f>
        <v>73578827</v>
      </c>
      <c r="L366" s="23"/>
      <c r="M366" s="20"/>
      <c r="N366" s="22"/>
      <c r="O366" s="15"/>
      <c r="P366" s="15"/>
      <c r="Q366" s="15"/>
      <c r="R366" s="15"/>
      <c r="S366" s="15"/>
      <c r="T366" s="15"/>
      <c r="U366" s="15"/>
    </row>
    <row r="367" spans="1:21" ht="90">
      <c r="A367" s="17">
        <v>20081195006</v>
      </c>
      <c r="B367" s="19" t="str">
        <f>VLOOKUP(A367,'ESTADOS ESTUDIANTES'!B:L,2,0)</f>
        <v>ABINUN DE LIMA JOSEPH</v>
      </c>
      <c r="C367" s="19">
        <f>VLOOKUP(A367,'ESTADOS ESTUDIANTES'!B:L,3,0)</f>
        <v>195</v>
      </c>
      <c r="D367" s="66" t="str">
        <f>VLOOKUP(A367,'ESTADOS ESTUDIANTES'!B:L,4,0)</f>
        <v>MAE. EN CIENCIAS DE LA INF. Y LAS COMUNICACIONES ENFASIS EN TELEINF.</v>
      </c>
      <c r="E367" s="19" t="str">
        <f>VLOOKUP(A367,'ESTADOS ESTUDIANTES'!B:L,5,0)</f>
        <v>E</v>
      </c>
      <c r="F367" s="18" t="str">
        <f>VLOOKUP(E367,Listas!B1:C1004,2,0)</f>
        <v>EGRESADO</v>
      </c>
      <c r="G367" s="19">
        <f>VLOOKUP(A367,'ESTADOS ESTUDIANTES'!B:L,7,0)</f>
        <v>1</v>
      </c>
      <c r="H367" s="19" t="str">
        <f>VLOOKUP(A367,'ESTADOS ESTUDIANTES'!B:L,8,0)</f>
        <v>caescobard@correo.udistrital.edu.co</v>
      </c>
      <c r="I367" s="70" t="str">
        <f>VLOOKUP(A367,'ESTADOS ESTUDIANTES'!B:L,9,0)</f>
        <v>ing.carlosdelima@gmail.com</v>
      </c>
      <c r="J367" s="19" t="str">
        <f>VLOOKUP(A367,'ESTADOS ESTUDIANTES'!B:L,10,0)</f>
        <v>CC</v>
      </c>
      <c r="K367" s="19">
        <f>VLOOKUP(A367,'ESTADOS ESTUDIANTES'!B:L,11,0)</f>
        <v>94063023</v>
      </c>
      <c r="L367" s="23"/>
      <c r="M367" s="20"/>
      <c r="N367" s="22"/>
      <c r="O367" s="15"/>
      <c r="P367" s="15"/>
      <c r="Q367" s="15"/>
      <c r="R367" s="15"/>
      <c r="S367" s="15"/>
      <c r="T367" s="15"/>
      <c r="U367" s="15"/>
    </row>
    <row r="368" spans="1:21" ht="90">
      <c r="A368" s="17">
        <v>20081195007</v>
      </c>
      <c r="B368" s="19" t="str">
        <f>VLOOKUP(A368,'ESTADOS ESTUDIANTES'!B:L,2,0)</f>
        <v>GALLEGO SALDARRIAGA ARGEMIRO</v>
      </c>
      <c r="C368" s="19">
        <f>VLOOKUP(A368,'ESTADOS ESTUDIANTES'!B:L,3,0)</f>
        <v>195</v>
      </c>
      <c r="D368" s="66" t="str">
        <f>VLOOKUP(A368,'ESTADOS ESTUDIANTES'!B:L,4,0)</f>
        <v>MAE. EN CIENCIAS DE LA INF. Y LAS COMUNICACIONES ENFASIS EN TELEINF.</v>
      </c>
      <c r="E368" s="19" t="str">
        <f>VLOOKUP(A368,'ESTADOS ESTUDIANTES'!B:L,5,0)</f>
        <v>X</v>
      </c>
      <c r="F368" s="18" t="str">
        <f>VLOOKUP(E368,Listas!B1:C1004,2,0)</f>
        <v>EXCLUIDO</v>
      </c>
      <c r="G368" s="19" t="str">
        <f>VLOOKUP(A368,'ESTADOS ESTUDIANTES'!B:L,7,0)</f>
        <v>NO REGISTRA</v>
      </c>
      <c r="H368" s="19">
        <f>VLOOKUP(A368,'ESTADOS ESTUDIANTES'!B:L,8,0)</f>
        <v>0</v>
      </c>
      <c r="I368" s="70">
        <f>VLOOKUP(A368,'ESTADOS ESTUDIANTES'!B:L,9,0)</f>
        <v>0</v>
      </c>
      <c r="J368" s="19" t="str">
        <f>VLOOKUP(A368,'ESTADOS ESTUDIANTES'!B:L,10,0)</f>
        <v>CC</v>
      </c>
      <c r="K368" s="19">
        <f>VLOOKUP(A368,'ESTADOS ESTUDIANTES'!B:L,11,0)</f>
        <v>71611357</v>
      </c>
      <c r="L368" s="23"/>
      <c r="M368" s="20"/>
      <c r="N368" s="22"/>
      <c r="O368" s="15"/>
      <c r="P368" s="15"/>
      <c r="Q368" s="15"/>
      <c r="R368" s="15"/>
      <c r="S368" s="15"/>
      <c r="T368" s="15"/>
      <c r="U368" s="15"/>
    </row>
    <row r="369" spans="1:21" ht="90">
      <c r="A369" s="17">
        <v>20081195008</v>
      </c>
      <c r="B369" s="19" t="str">
        <f>VLOOKUP(A369,'ESTADOS ESTUDIANTES'!B:L,2,0)</f>
        <v>GELVEZ GARCIA NANCY YANETH</v>
      </c>
      <c r="C369" s="19">
        <f>VLOOKUP(A369,'ESTADOS ESTUDIANTES'!B:L,3,0)</f>
        <v>195</v>
      </c>
      <c r="D369" s="66" t="str">
        <f>VLOOKUP(A369,'ESTADOS ESTUDIANTES'!B:L,4,0)</f>
        <v>MAE. EN CIENCIAS DE LA INF. Y LAS COMUNICACIONES ENFASIS EN TELEINF.</v>
      </c>
      <c r="E369" s="19" t="str">
        <f>VLOOKUP(A369,'ESTADOS ESTUDIANTES'!B:L,5,0)</f>
        <v>X</v>
      </c>
      <c r="F369" s="18" t="str">
        <f>VLOOKUP(E369,Listas!B1:C1004,2,0)</f>
        <v>EXCLUIDO</v>
      </c>
      <c r="G369" s="19" t="str">
        <f>VLOOKUP(A369,'ESTADOS ESTUDIANTES'!B:L,7,0)</f>
        <v>NO REGISTRA</v>
      </c>
      <c r="H369" s="19">
        <f>VLOOKUP(A369,'ESTADOS ESTUDIANTES'!B:L,8,0)</f>
        <v>0</v>
      </c>
      <c r="I369" s="70">
        <f>VLOOKUP(A369,'ESTADOS ESTUDIANTES'!B:L,9,0)</f>
        <v>0</v>
      </c>
      <c r="J369" s="19" t="str">
        <f>VLOOKUP(A369,'ESTADOS ESTUDIANTES'!B:L,10,0)</f>
        <v>CC</v>
      </c>
      <c r="K369" s="19">
        <f>VLOOKUP(A369,'ESTADOS ESTUDIANTES'!B:L,11,0)</f>
        <v>60261576</v>
      </c>
      <c r="L369" s="23"/>
      <c r="M369" s="20"/>
      <c r="N369" s="22"/>
      <c r="O369" s="15"/>
      <c r="P369" s="15"/>
      <c r="Q369" s="15"/>
      <c r="R369" s="15"/>
      <c r="S369" s="15"/>
      <c r="T369" s="15"/>
      <c r="U369" s="15"/>
    </row>
    <row r="370" spans="1:21" ht="90">
      <c r="A370" s="17">
        <v>20081195009</v>
      </c>
      <c r="B370" s="19" t="str">
        <f>VLOOKUP(A370,'ESTADOS ESTUDIANTES'!B:L,2,0)</f>
        <v>JACINTO GOMEZ EDWAR</v>
      </c>
      <c r="C370" s="19">
        <f>VLOOKUP(A370,'ESTADOS ESTUDIANTES'!B:L,3,0)</f>
        <v>195</v>
      </c>
      <c r="D370" s="66" t="str">
        <f>VLOOKUP(A370,'ESTADOS ESTUDIANTES'!B:L,4,0)</f>
        <v>MAE. EN CIENCIAS DE LA INF. Y LAS COMUNICACIONES ENFASIS EN TELEINF.</v>
      </c>
      <c r="E370" s="19" t="str">
        <f>VLOOKUP(A370,'ESTADOS ESTUDIANTES'!B:L,5,0)</f>
        <v>E</v>
      </c>
      <c r="F370" s="18" t="str">
        <f>VLOOKUP(E370,Listas!B1:C1004,2,0)</f>
        <v>EGRESADO</v>
      </c>
      <c r="G370" s="19" t="str">
        <f>VLOOKUP(A370,'ESTADOS ESTUDIANTES'!B:L,7,0)</f>
        <v>NO REGISTRA</v>
      </c>
      <c r="H370" s="19" t="str">
        <f>VLOOKUP(A370,'ESTADOS ESTUDIANTES'!B:L,8,0)</f>
        <v>ejacintog@correo.udistrital.edu.co</v>
      </c>
      <c r="I370" s="70" t="str">
        <f>VLOOKUP(A370,'ESTADOS ESTUDIANTES'!B:L,9,0)</f>
        <v>ejacintog@correo.udistrital.edu.co</v>
      </c>
      <c r="J370" s="19" t="str">
        <f>VLOOKUP(A370,'ESTADOS ESTUDIANTES'!B:L,10,0)</f>
        <v>CC</v>
      </c>
      <c r="K370" s="19">
        <f>VLOOKUP(A370,'ESTADOS ESTUDIANTES'!B:L,11,0)</f>
        <v>79974667</v>
      </c>
      <c r="L370" s="23"/>
      <c r="M370" s="20"/>
      <c r="N370" s="22"/>
      <c r="O370" s="15"/>
      <c r="P370" s="15"/>
      <c r="Q370" s="15"/>
      <c r="R370" s="15"/>
      <c r="S370" s="15"/>
      <c r="T370" s="15"/>
      <c r="U370" s="15"/>
    </row>
    <row r="371" spans="1:21" ht="90">
      <c r="A371" s="17">
        <v>20081195010</v>
      </c>
      <c r="B371" s="19" t="str">
        <f>VLOOKUP(A371,'ESTADOS ESTUDIANTES'!B:L,2,0)</f>
        <v>MORENO VALENZUELA LUZ VIVIANA</v>
      </c>
      <c r="C371" s="19">
        <f>VLOOKUP(A371,'ESTADOS ESTUDIANTES'!B:L,3,0)</f>
        <v>195</v>
      </c>
      <c r="D371" s="66" t="str">
        <f>VLOOKUP(A371,'ESTADOS ESTUDIANTES'!B:L,4,0)</f>
        <v>MAE. EN CIENCIAS DE LA INF. Y LAS COMUNICACIONES ENFASIS EN TELEINF.</v>
      </c>
      <c r="E371" s="19" t="str">
        <f>VLOOKUP(A371,'ESTADOS ESTUDIANTES'!B:L,5,0)</f>
        <v>X</v>
      </c>
      <c r="F371" s="18" t="str">
        <f>VLOOKUP(E371,Listas!B1:C1004,2,0)</f>
        <v>EXCLUIDO</v>
      </c>
      <c r="G371" s="19" t="str">
        <f>VLOOKUP(A371,'ESTADOS ESTUDIANTES'!B:L,7,0)</f>
        <v>NO REGISTRA</v>
      </c>
      <c r="H371" s="19" t="str">
        <f>VLOOKUP(A371,'ESTADOS ESTUDIANTES'!B:L,8,0)</f>
        <v>lvmorenov@correo.udistrital.edu.co</v>
      </c>
      <c r="I371" s="70" t="str">
        <f>VLOOKUP(A371,'ESTADOS ESTUDIANTES'!B:L,9,0)</f>
        <v>ingluz10@yahoo.com</v>
      </c>
      <c r="J371" s="19" t="str">
        <f>VLOOKUP(A371,'ESTADOS ESTUDIANTES'!B:L,10,0)</f>
        <v>CC</v>
      </c>
      <c r="K371" s="19">
        <f>VLOOKUP(A371,'ESTADOS ESTUDIANTES'!B:L,11,0)</f>
        <v>53932123</v>
      </c>
      <c r="L371" s="23"/>
      <c r="M371" s="20"/>
      <c r="N371" s="22"/>
      <c r="O371" s="15"/>
      <c r="P371" s="15"/>
      <c r="Q371" s="15"/>
      <c r="R371" s="15"/>
      <c r="S371" s="15"/>
      <c r="T371" s="15"/>
      <c r="U371" s="15"/>
    </row>
    <row r="372" spans="1:21" ht="90">
      <c r="A372" s="17">
        <v>20081195011</v>
      </c>
      <c r="B372" s="19" t="str">
        <f>VLOOKUP(A372,'ESTADOS ESTUDIANTES'!B:L,2,0)</f>
        <v>MUÑOZ MARTINEZ JIMMY ARMANDO</v>
      </c>
      <c r="C372" s="19">
        <f>VLOOKUP(A372,'ESTADOS ESTUDIANTES'!B:L,3,0)</f>
        <v>195</v>
      </c>
      <c r="D372" s="66" t="str">
        <f>VLOOKUP(A372,'ESTADOS ESTUDIANTES'!B:L,4,0)</f>
        <v>MAE. EN CIENCIAS DE LA INF. Y LAS COMUNICACIONES ENFASIS EN TELEINF.</v>
      </c>
      <c r="E372" s="19" t="str">
        <f>VLOOKUP(A372,'ESTADOS ESTUDIANTES'!B:L,5,0)</f>
        <v>X</v>
      </c>
      <c r="F372" s="18" t="str">
        <f>VLOOKUP(E372,Listas!B1:C1004,2,0)</f>
        <v>EXCLUIDO</v>
      </c>
      <c r="G372" s="19">
        <f>VLOOKUP(A372,'ESTADOS ESTUDIANTES'!B:L,7,0)</f>
        <v>1</v>
      </c>
      <c r="H372" s="19" t="str">
        <f>VLOOKUP(A372,'ESTADOS ESTUDIANTES'!B:L,8,0)</f>
        <v>jamunozm@udistrital.edu.co</v>
      </c>
      <c r="I372" s="70" t="str">
        <f>VLOOKUP(A372,'ESTADOS ESTUDIANTES'!B:L,9,0)</f>
        <v>jamm2050@yahoo.es</v>
      </c>
      <c r="J372" s="19" t="str">
        <f>VLOOKUP(A372,'ESTADOS ESTUDIANTES'!B:L,10,0)</f>
        <v>CC</v>
      </c>
      <c r="K372" s="19">
        <f>VLOOKUP(A372,'ESTADOS ESTUDIANTES'!B:L,11,0)</f>
        <v>80056453</v>
      </c>
      <c r="L372" s="23"/>
      <c r="M372" s="20"/>
      <c r="N372" s="22"/>
      <c r="O372" s="15"/>
      <c r="P372" s="15"/>
      <c r="Q372" s="15"/>
      <c r="R372" s="15"/>
      <c r="S372" s="15"/>
      <c r="T372" s="15"/>
      <c r="U372" s="15"/>
    </row>
    <row r="373" spans="1:21" ht="90">
      <c r="A373" s="17">
        <v>20081195012</v>
      </c>
      <c r="B373" s="19" t="str">
        <f>VLOOKUP(A373,'ESTADOS ESTUDIANTES'!B:L,2,0)</f>
        <v>NOGUERA VEGA LUIS ANTONIO</v>
      </c>
      <c r="C373" s="19">
        <f>VLOOKUP(A373,'ESTADOS ESTUDIANTES'!B:L,3,0)</f>
        <v>195</v>
      </c>
      <c r="D373" s="66" t="str">
        <f>VLOOKUP(A373,'ESTADOS ESTUDIANTES'!B:L,4,0)</f>
        <v>MAE. EN CIENCIAS DE LA INF. Y LAS COMUNICACIONES ENFASIS EN TELEINF.</v>
      </c>
      <c r="E373" s="19" t="str">
        <f>VLOOKUP(A373,'ESTADOS ESTUDIANTES'!B:L,5,0)</f>
        <v>X</v>
      </c>
      <c r="F373" s="18" t="str">
        <f>VLOOKUP(E373,Listas!B1:C1004,2,0)</f>
        <v>EXCLUIDO</v>
      </c>
      <c r="G373" s="19" t="str">
        <f>VLOOKUP(A373,'ESTADOS ESTUDIANTES'!B:L,7,0)</f>
        <v>NO REGISTRA</v>
      </c>
      <c r="H373" s="19" t="str">
        <f>VLOOKUP(A373,'ESTADOS ESTUDIANTES'!B:L,8,0)</f>
        <v>lanoguerav@correo.udistrital.edu.co</v>
      </c>
      <c r="I373" s="70" t="str">
        <f>VLOOKUP(A373,'ESTADOS ESTUDIANTES'!B:L,9,0)</f>
        <v>luis.noguerav@gmail.com</v>
      </c>
      <c r="J373" s="19" t="str">
        <f>VLOOKUP(A373,'ESTADOS ESTUDIANTES'!B:L,10,0)</f>
        <v>CC</v>
      </c>
      <c r="K373" s="19">
        <f>VLOOKUP(A373,'ESTADOS ESTUDIANTES'!B:L,11,0)</f>
        <v>79966414</v>
      </c>
      <c r="L373" s="23"/>
      <c r="M373" s="20"/>
      <c r="N373" s="22"/>
      <c r="O373" s="15"/>
      <c r="P373" s="15"/>
      <c r="Q373" s="15"/>
      <c r="R373" s="15"/>
      <c r="S373" s="15"/>
      <c r="T373" s="15"/>
      <c r="U373" s="15"/>
    </row>
    <row r="374" spans="1:21" ht="90">
      <c r="A374" s="17">
        <v>20081195013</v>
      </c>
      <c r="B374" s="19" t="str">
        <f>VLOOKUP(A374,'ESTADOS ESTUDIANTES'!B:L,2,0)</f>
        <v>ORTIZ ANDRADE MARISOL</v>
      </c>
      <c r="C374" s="19">
        <f>VLOOKUP(A374,'ESTADOS ESTUDIANTES'!B:L,3,0)</f>
        <v>195</v>
      </c>
      <c r="D374" s="66" t="str">
        <f>VLOOKUP(A374,'ESTADOS ESTUDIANTES'!B:L,4,0)</f>
        <v>MAE. EN CIENCIAS DE LA INF. Y LAS COMUNICACIONES ENFASIS EN TELEINF.</v>
      </c>
      <c r="E374" s="19" t="str">
        <f>VLOOKUP(A374,'ESTADOS ESTUDIANTES'!B:L,5,0)</f>
        <v>X</v>
      </c>
      <c r="F374" s="18" t="str">
        <f>VLOOKUP(E374,Listas!B1:C1004,2,0)</f>
        <v>EXCLUIDO</v>
      </c>
      <c r="G374" s="19" t="str">
        <f>VLOOKUP(A374,'ESTADOS ESTUDIANTES'!B:L,7,0)</f>
        <v>NO REGISTRA</v>
      </c>
      <c r="H374" s="19">
        <f>VLOOKUP(A374,'ESTADOS ESTUDIANTES'!B:L,8,0)</f>
        <v>0</v>
      </c>
      <c r="I374" s="70" t="str">
        <f>VLOOKUP(A374,'ESTADOS ESTUDIANTES'!B:L,9,0)</f>
        <v>ingmaryortiz@hotmail.com</v>
      </c>
      <c r="J374" s="19" t="str">
        <f>VLOOKUP(A374,'ESTADOS ESTUDIANTES'!B:L,10,0)</f>
        <v>CC</v>
      </c>
      <c r="K374" s="19">
        <f>VLOOKUP(A374,'ESTADOS ESTUDIANTES'!B:L,11,0)</f>
        <v>0</v>
      </c>
      <c r="L374" s="23"/>
      <c r="M374" s="20"/>
      <c r="N374" s="22"/>
      <c r="O374" s="15"/>
      <c r="P374" s="15"/>
      <c r="Q374" s="15"/>
      <c r="R374" s="15"/>
      <c r="S374" s="15"/>
      <c r="T374" s="15"/>
      <c r="U374" s="15"/>
    </row>
    <row r="375" spans="1:21" ht="90">
      <c r="A375" s="17">
        <v>20081195014</v>
      </c>
      <c r="B375" s="19" t="str">
        <f>VLOOKUP(A375,'ESTADOS ESTUDIANTES'!B:L,2,0)</f>
        <v>VACCA CASANOVA ANA BETY</v>
      </c>
      <c r="C375" s="19">
        <f>VLOOKUP(A375,'ESTADOS ESTUDIANTES'!B:L,3,0)</f>
        <v>195</v>
      </c>
      <c r="D375" s="66" t="str">
        <f>VLOOKUP(A375,'ESTADOS ESTUDIANTES'!B:L,4,0)</f>
        <v>MAE. EN CIENCIAS DE LA INF. Y LAS COMUNICACIONES ENFASIS EN TELEINF.</v>
      </c>
      <c r="E375" s="19" t="str">
        <f>VLOOKUP(A375,'ESTADOS ESTUDIANTES'!B:L,5,0)</f>
        <v>E</v>
      </c>
      <c r="F375" s="18" t="str">
        <f>VLOOKUP(E375,Listas!B1:C1004,2,0)</f>
        <v>EGRESADO</v>
      </c>
      <c r="G375" s="19">
        <f>VLOOKUP(A375,'ESTADOS ESTUDIANTES'!B:L,7,0)</f>
        <v>4</v>
      </c>
      <c r="H375" s="19" t="str">
        <f>VLOOKUP(A375,'ESTADOS ESTUDIANTES'!B:L,8,0)</f>
        <v>abvaccac@correo.udistrital.edu.co</v>
      </c>
      <c r="I375" s="70" t="str">
        <f>VLOOKUP(A375,'ESTADOS ESTUDIANTES'!B:L,9,0)</f>
        <v>abvaccac@gmail.com</v>
      </c>
      <c r="J375" s="19" t="str">
        <f>VLOOKUP(A375,'ESTADOS ESTUDIANTES'!B:L,10,0)</f>
        <v>CC</v>
      </c>
      <c r="K375" s="19">
        <f>VLOOKUP(A375,'ESTADOS ESTUDIANTES'!B:L,11,0)</f>
        <v>51942548</v>
      </c>
      <c r="L375" s="23"/>
      <c r="M375" s="20"/>
      <c r="N375" s="22"/>
      <c r="O375" s="15"/>
      <c r="P375" s="15"/>
      <c r="Q375" s="15"/>
      <c r="R375" s="15"/>
      <c r="S375" s="15"/>
      <c r="T375" s="15"/>
      <c r="U375" s="15"/>
    </row>
    <row r="376" spans="1:21" ht="90">
      <c r="A376" s="17">
        <v>20081295001</v>
      </c>
      <c r="B376" s="19" t="str">
        <f>VLOOKUP(A376,'ESTADOS ESTUDIANTES'!B:L,2,0)</f>
        <v>AMÓRTEGUI VARGAS MARÍA PATRICIA</v>
      </c>
      <c r="C376" s="19">
        <f>VLOOKUP(A376,'ESTADOS ESTUDIANTES'!B:L,3,0)</f>
        <v>295</v>
      </c>
      <c r="D376" s="66" t="str">
        <f>VLOOKUP(A376,'ESTADOS ESTUDIANTES'!B:L,4,0)</f>
        <v>MAE. EN CIENCIAS DE LA INF. Y LAS COMUNICACIONES ENFASIS EN SIS. INFOR</v>
      </c>
      <c r="E376" s="19" t="str">
        <f>VLOOKUP(A376,'ESTADOS ESTUDIANTES'!B:L,5,0)</f>
        <v>X</v>
      </c>
      <c r="F376" s="18" t="str">
        <f>VLOOKUP(E376,Listas!B1:C1004,2,0)</f>
        <v>EXCLUIDO</v>
      </c>
      <c r="G376" s="19" t="str">
        <f>VLOOKUP(A376,'ESTADOS ESTUDIANTES'!B:L,7,0)</f>
        <v>NO REGISTRA</v>
      </c>
      <c r="H376" s="19">
        <f>VLOOKUP(A376,'ESTADOS ESTUDIANTES'!B:L,8,0)</f>
        <v>0</v>
      </c>
      <c r="I376" s="70" t="str">
        <f>VLOOKUP(A376,'ESTADOS ESTUDIANTES'!B:L,9,0)</f>
        <v>patricia.amortegui@gmail.com</v>
      </c>
      <c r="J376" s="19" t="str">
        <f>VLOOKUP(A376,'ESTADOS ESTUDIANTES'!B:L,10,0)</f>
        <v>CC</v>
      </c>
      <c r="K376" s="19">
        <f>VLOOKUP(A376,'ESTADOS ESTUDIANTES'!B:L,11,0)</f>
        <v>35530329</v>
      </c>
      <c r="L376" s="23"/>
      <c r="M376" s="20"/>
      <c r="N376" s="22"/>
      <c r="O376" s="15"/>
      <c r="P376" s="15"/>
      <c r="Q376" s="15"/>
      <c r="R376" s="15"/>
      <c r="S376" s="15"/>
      <c r="T376" s="15"/>
      <c r="U376" s="15"/>
    </row>
    <row r="377" spans="1:21" ht="90">
      <c r="A377" s="17">
        <v>20081295002</v>
      </c>
      <c r="B377" s="19" t="str">
        <f>VLOOKUP(A377,'ESTADOS ESTUDIANTES'!B:L,2,0)</f>
        <v>DIEGO ALEXANDER ANZOLA SAMUDIO</v>
      </c>
      <c r="C377" s="19">
        <f>VLOOKUP(A377,'ESTADOS ESTUDIANTES'!B:L,3,0)</f>
        <v>295</v>
      </c>
      <c r="D377" s="66" t="str">
        <f>VLOOKUP(A377,'ESTADOS ESTUDIANTES'!B:L,4,0)</f>
        <v>MAE. EN CIENCIAS DE LA INF. Y LAS COMUNICACIONES ENFASIS EN SIS. INFOR</v>
      </c>
      <c r="E377" s="19" t="str">
        <f>VLOOKUP(A377,'ESTADOS ESTUDIANTES'!B:L,5,0)</f>
        <v>E</v>
      </c>
      <c r="F377" s="18" t="str">
        <f>VLOOKUP(E377,Listas!B1:C1004,2,0)</f>
        <v>EGRESADO</v>
      </c>
      <c r="G377" s="19">
        <f>VLOOKUP(A377,'ESTADOS ESTUDIANTES'!B:L,7,0)</f>
        <v>1</v>
      </c>
      <c r="H377" s="19" t="str">
        <f>VLOOKUP(A377,'ESTADOS ESTUDIANTES'!B:L,8,0)</f>
        <v>daanzolas@correo.udistrital.edu.co</v>
      </c>
      <c r="I377" s="70" t="str">
        <f>VLOOKUP(A377,'ESTADOS ESTUDIANTES'!B:L,9,0)</f>
        <v>diego_anzola@yahoo.es</v>
      </c>
      <c r="J377" s="19" t="str">
        <f>VLOOKUP(A377,'ESTADOS ESTUDIANTES'!B:L,10,0)</f>
        <v>CC</v>
      </c>
      <c r="K377" s="19">
        <f>VLOOKUP(A377,'ESTADOS ESTUDIANTES'!B:L,11,0)</f>
        <v>80724491</v>
      </c>
      <c r="L377" s="23"/>
      <c r="M377" s="20"/>
      <c r="N377" s="22"/>
      <c r="O377" s="15"/>
      <c r="P377" s="15"/>
      <c r="Q377" s="15"/>
      <c r="R377" s="15"/>
      <c r="S377" s="15"/>
      <c r="T377" s="15"/>
      <c r="U377" s="15"/>
    </row>
    <row r="378" spans="1:21" ht="90">
      <c r="A378" s="17">
        <v>20081295003</v>
      </c>
      <c r="B378" s="19" t="str">
        <f>VLOOKUP(A378,'ESTADOS ESTUDIANTES'!B:L,2,0)</f>
        <v>BELLO PEREZ FREDY ORLANDO</v>
      </c>
      <c r="C378" s="19">
        <f>VLOOKUP(A378,'ESTADOS ESTUDIANTES'!B:L,3,0)</f>
        <v>295</v>
      </c>
      <c r="D378" s="66" t="str">
        <f>VLOOKUP(A378,'ESTADOS ESTUDIANTES'!B:L,4,0)</f>
        <v>MAE. EN CIENCIAS DE LA INF. Y LAS COMUNICACIONES ENFASIS EN SIS. INFOR</v>
      </c>
      <c r="E378" s="19" t="str">
        <f>VLOOKUP(A378,'ESTADOS ESTUDIANTES'!B:L,5,0)</f>
        <v>E</v>
      </c>
      <c r="F378" s="18" t="str">
        <f>VLOOKUP(E378,Listas!B1:C1004,2,0)</f>
        <v>EGRESADO</v>
      </c>
      <c r="G378" s="19" t="str">
        <f>VLOOKUP(A378,'ESTADOS ESTUDIANTES'!B:L,7,0)</f>
        <v>NO REGISTRA</v>
      </c>
      <c r="H378" s="19" t="str">
        <f>VLOOKUP(A378,'ESTADOS ESTUDIANTES'!B:L,8,0)</f>
        <v>fobellop@correo.udistrital.edu.co</v>
      </c>
      <c r="I378" s="70" t="str">
        <f>VLOOKUP(A378,'ESTADOS ESTUDIANTES'!B:L,9,0)</f>
        <v>fredy.bello@gmail.com</v>
      </c>
      <c r="J378" s="19" t="str">
        <f>VLOOKUP(A378,'ESTADOS ESTUDIANTES'!B:L,10,0)</f>
        <v>CC</v>
      </c>
      <c r="K378" s="19">
        <f>VLOOKUP(A378,'ESTADOS ESTUDIANTES'!B:L,11,0)</f>
        <v>7178325</v>
      </c>
      <c r="L378" s="23"/>
      <c r="M378" s="20"/>
      <c r="N378" s="22"/>
      <c r="O378" s="15"/>
      <c r="P378" s="15"/>
      <c r="Q378" s="15"/>
      <c r="R378" s="15"/>
      <c r="S378" s="15"/>
      <c r="T378" s="15"/>
      <c r="U378" s="15"/>
    </row>
    <row r="379" spans="1:21" ht="90">
      <c r="A379" s="17">
        <v>20081295004</v>
      </c>
      <c r="B379" s="19" t="str">
        <f>VLOOKUP(A379,'ESTADOS ESTUDIANTES'!B:L,2,0)</f>
        <v>TICSIANA LORENA CARRILLO BOVEA</v>
      </c>
      <c r="C379" s="19">
        <f>VLOOKUP(A379,'ESTADOS ESTUDIANTES'!B:L,3,0)</f>
        <v>295</v>
      </c>
      <c r="D379" s="66" t="str">
        <f>VLOOKUP(A379,'ESTADOS ESTUDIANTES'!B:L,4,0)</f>
        <v>MAE. EN CIENCIAS DE LA INF. Y LAS COMUNICACIONES ENFASIS EN SIS. INFOR</v>
      </c>
      <c r="E379" s="19" t="str">
        <f>VLOOKUP(A379,'ESTADOS ESTUDIANTES'!B:L,5,0)</f>
        <v>E</v>
      </c>
      <c r="F379" s="18" t="str">
        <f>VLOOKUP(E379,Listas!B1:C1004,2,0)</f>
        <v>EGRESADO</v>
      </c>
      <c r="G379" s="19">
        <f>VLOOKUP(A379,'ESTADOS ESTUDIANTES'!B:L,7,0)</f>
        <v>1</v>
      </c>
      <c r="H379" s="19" t="str">
        <f>VLOOKUP(A379,'ESTADOS ESTUDIANTES'!B:L,8,0)</f>
        <v>tlcarrillob@correo.udistrital.edu.co</v>
      </c>
      <c r="I379" s="70" t="str">
        <f>VLOOKUP(A379,'ESTADOS ESTUDIANTES'!B:L,9,0)</f>
        <v>anaiscit@yahoo.com</v>
      </c>
      <c r="J379" s="19" t="str">
        <f>VLOOKUP(A379,'ESTADOS ESTUDIANTES'!B:L,10,0)</f>
        <v>CC</v>
      </c>
      <c r="K379" s="19">
        <f>VLOOKUP(A379,'ESTADOS ESTUDIANTES'!B:L,11,0)</f>
        <v>44161192</v>
      </c>
      <c r="L379" s="23"/>
      <c r="M379" s="20"/>
      <c r="N379" s="22"/>
      <c r="O379" s="15"/>
      <c r="P379" s="15"/>
      <c r="Q379" s="15"/>
      <c r="R379" s="15"/>
      <c r="S379" s="15"/>
      <c r="T379" s="15"/>
      <c r="U379" s="15"/>
    </row>
    <row r="380" spans="1:21" ht="90">
      <c r="A380" s="17">
        <v>20081295005</v>
      </c>
      <c r="B380" s="19" t="str">
        <f>VLOOKUP(A380,'ESTADOS ESTUDIANTES'!B:L,2,0)</f>
        <v>CHAPARRO SANENZ CARLOS ALFONSO</v>
      </c>
      <c r="C380" s="19">
        <f>VLOOKUP(A380,'ESTADOS ESTUDIANTES'!B:L,3,0)</f>
        <v>295</v>
      </c>
      <c r="D380" s="66" t="str">
        <f>VLOOKUP(A380,'ESTADOS ESTUDIANTES'!B:L,4,0)</f>
        <v>MAE. EN CIENCIAS DE LA INF. Y LAS COMUNICACIONES ENFASIS EN SIS. INFOR</v>
      </c>
      <c r="E380" s="19" t="str">
        <f>VLOOKUP(A380,'ESTADOS ESTUDIANTES'!B:L,5,0)</f>
        <v>X</v>
      </c>
      <c r="F380" s="18" t="str">
        <f>VLOOKUP(E380,Listas!B1:C1004,2,0)</f>
        <v>EXCLUIDO</v>
      </c>
      <c r="G380" s="19">
        <f>VLOOKUP(A380,'ESTADOS ESTUDIANTES'!B:L,7,0)</f>
        <v>1</v>
      </c>
      <c r="H380" s="19" t="str">
        <f>VLOOKUP(A380,'ESTADOS ESTUDIANTES'!B:L,8,0)</f>
        <v>cachaparros@correo.udistrital.edu.co</v>
      </c>
      <c r="I380" s="70" t="str">
        <f>VLOOKUP(A380,'ESTADOS ESTUDIANTES'!B:L,9,0)</f>
        <v>ing.carloschaparro@gmail.com</v>
      </c>
      <c r="J380" s="19" t="str">
        <f>VLOOKUP(A380,'ESTADOS ESTUDIANTES'!B:L,10,0)</f>
        <v>CC</v>
      </c>
      <c r="K380" s="19">
        <f>VLOOKUP(A380,'ESTADOS ESTUDIANTES'!B:L,11,0)</f>
        <v>79883987</v>
      </c>
      <c r="L380" s="23"/>
      <c r="M380" s="20"/>
      <c r="N380" s="22"/>
      <c r="O380" s="15"/>
      <c r="P380" s="15"/>
      <c r="Q380" s="15"/>
      <c r="R380" s="15"/>
      <c r="S380" s="15"/>
      <c r="T380" s="15"/>
      <c r="U380" s="15"/>
    </row>
    <row r="381" spans="1:21" ht="90">
      <c r="A381" s="17">
        <v>20081295006</v>
      </c>
      <c r="B381" s="19" t="str">
        <f>VLOOKUP(A381,'ESTADOS ESTUDIANTES'!B:L,2,0)</f>
        <v>CORTES MELO PEDRO FRANCISCO</v>
      </c>
      <c r="C381" s="19">
        <f>VLOOKUP(A381,'ESTADOS ESTUDIANTES'!B:L,3,0)</f>
        <v>295</v>
      </c>
      <c r="D381" s="66" t="str">
        <f>VLOOKUP(A381,'ESTADOS ESTUDIANTES'!B:L,4,0)</f>
        <v>MAE. EN CIENCIAS DE LA INF. Y LAS COMUNICACIONES ENFASIS EN SIS. INFOR</v>
      </c>
      <c r="E381" s="19" t="str">
        <f>VLOOKUP(A381,'ESTADOS ESTUDIANTES'!B:L,5,0)</f>
        <v>E</v>
      </c>
      <c r="F381" s="18" t="str">
        <f>VLOOKUP(E381,Listas!B1:C1004,2,0)</f>
        <v>EGRESADO</v>
      </c>
      <c r="G381" s="19">
        <f>VLOOKUP(A381,'ESTADOS ESTUDIANTES'!B:L,7,0)</f>
        <v>1</v>
      </c>
      <c r="H381" s="19">
        <f>VLOOKUP(A381,'ESTADOS ESTUDIANTES'!B:L,8,0)</f>
        <v>0</v>
      </c>
      <c r="I381" s="70" t="str">
        <f>VLOOKUP(A381,'ESTADOS ESTUDIANTES'!B:L,9,0)</f>
        <v>pfcortes@yahoo.com</v>
      </c>
      <c r="J381" s="19" t="str">
        <f>VLOOKUP(A381,'ESTADOS ESTUDIANTES'!B:L,10,0)</f>
        <v>CC</v>
      </c>
      <c r="K381" s="19">
        <f>VLOOKUP(A381,'ESTADOS ESTUDIANTES'!B:L,11,0)</f>
        <v>11315786</v>
      </c>
      <c r="L381" s="23"/>
      <c r="M381" s="20"/>
      <c r="N381" s="22"/>
      <c r="O381" s="15"/>
      <c r="P381" s="15"/>
      <c r="Q381" s="15"/>
      <c r="R381" s="15"/>
      <c r="S381" s="15"/>
      <c r="T381" s="15"/>
      <c r="U381" s="15"/>
    </row>
    <row r="382" spans="1:21" ht="90">
      <c r="A382" s="17">
        <v>20081295007</v>
      </c>
      <c r="B382" s="19" t="str">
        <f>VLOOKUP(A382,'ESTADOS ESTUDIANTES'!B:L,2,0)</f>
        <v>FAJARDO REINA LUIS ALEJANDRO</v>
      </c>
      <c r="C382" s="19">
        <f>VLOOKUP(A382,'ESTADOS ESTUDIANTES'!B:L,3,0)</f>
        <v>295</v>
      </c>
      <c r="D382" s="66" t="str">
        <f>VLOOKUP(A382,'ESTADOS ESTUDIANTES'!B:L,4,0)</f>
        <v>MAE. EN CIENCIAS DE LA INF. Y LAS COMUNICACIONES ENFASIS EN SIS. INFOR</v>
      </c>
      <c r="E382" s="19" t="str">
        <f>VLOOKUP(A382,'ESTADOS ESTUDIANTES'!B:L,5,0)</f>
        <v>X</v>
      </c>
      <c r="F382" s="18" t="str">
        <f>VLOOKUP(E382,Listas!B1:C1004,2,0)</f>
        <v>EXCLUIDO</v>
      </c>
      <c r="G382" s="19" t="str">
        <f>VLOOKUP(A382,'ESTADOS ESTUDIANTES'!B:L,7,0)</f>
        <v>NO REGISTRA</v>
      </c>
      <c r="H382" s="19">
        <f>VLOOKUP(A382,'ESTADOS ESTUDIANTES'!B:L,8,0)</f>
        <v>0</v>
      </c>
      <c r="I382" s="70">
        <f>VLOOKUP(A382,'ESTADOS ESTUDIANTES'!B:L,9,0)</f>
        <v>0</v>
      </c>
      <c r="J382" s="19" t="str">
        <f>VLOOKUP(A382,'ESTADOS ESTUDIANTES'!B:L,10,0)</f>
        <v>CC</v>
      </c>
      <c r="K382" s="19">
        <f>VLOOKUP(A382,'ESTADOS ESTUDIANTES'!B:L,11,0)</f>
        <v>79797298</v>
      </c>
      <c r="L382" s="23"/>
      <c r="M382" s="20"/>
      <c r="N382" s="22"/>
      <c r="O382" s="15"/>
      <c r="P382" s="15"/>
      <c r="Q382" s="15"/>
      <c r="R382" s="15"/>
      <c r="S382" s="15"/>
      <c r="T382" s="15"/>
      <c r="U382" s="15"/>
    </row>
    <row r="383" spans="1:21" ht="105">
      <c r="A383" s="17">
        <v>20081295008</v>
      </c>
      <c r="B383" s="19" t="str">
        <f>VLOOKUP(A383,'ESTADOS ESTUDIANTES'!B:L,2,0)</f>
        <v>MEJIA ROCHA MARINO</v>
      </c>
      <c r="C383" s="19">
        <f>VLOOKUP(A383,'ESTADOS ESTUDIANTES'!B:L,3,0)</f>
        <v>395</v>
      </c>
      <c r="D383" s="66" t="str">
        <f>VLOOKUP(A383,'ESTADOS ESTUDIANTES'!B:L,4,0)</f>
        <v>MAE. EN CIENCIAS DE LA INF. Y LAS COMUNICACIONES ENFASIS EN GEOMATICA</v>
      </c>
      <c r="E383" s="19" t="str">
        <f>VLOOKUP(A383,'ESTADOS ESTUDIANTES'!B:L,5,0)</f>
        <v>E</v>
      </c>
      <c r="F383" s="18" t="str">
        <f>VLOOKUP(E383,Listas!B1:C1004,2,0)</f>
        <v>EGRESADO</v>
      </c>
      <c r="G383" s="19">
        <f>VLOOKUP(A383,'ESTADOS ESTUDIANTES'!B:L,7,0)</f>
        <v>4</v>
      </c>
      <c r="H383" s="19" t="str">
        <f>VLOOKUP(A383,'ESTADOS ESTUDIANTES'!B:L,8,0)</f>
        <v>mmejiar@udistrital.edu.co</v>
      </c>
      <c r="I383" s="70" t="str">
        <f>VLOOKUP(A383,'ESTADOS ESTUDIANTES'!B:L,9,0)</f>
        <v>marino.mejia@gmail.com</v>
      </c>
      <c r="J383" s="19" t="str">
        <f>VLOOKUP(A383,'ESTADOS ESTUDIANTES'!B:L,10,0)</f>
        <v>CC</v>
      </c>
      <c r="K383" s="19">
        <f>VLOOKUP(A383,'ESTADOS ESTUDIANTES'!B:L,11,0)</f>
        <v>79788977</v>
      </c>
      <c r="L383" s="19">
        <v>3002062101</v>
      </c>
      <c r="M383" s="20">
        <v>28026</v>
      </c>
      <c r="N383" s="22"/>
      <c r="O383" s="15"/>
      <c r="P383" s="15"/>
      <c r="Q383" s="15"/>
      <c r="R383" s="15"/>
      <c r="S383" s="15"/>
      <c r="T383" s="15"/>
      <c r="U383" s="15"/>
    </row>
    <row r="384" spans="1:21" ht="90">
      <c r="A384" s="17">
        <v>20081295009</v>
      </c>
      <c r="B384" s="19" t="str">
        <f>VLOOKUP(A384,'ESTADOS ESTUDIANTES'!B:L,2,0)</f>
        <v>MESA SALCEDO ANDRES MAURICIO</v>
      </c>
      <c r="C384" s="19">
        <f>VLOOKUP(A384,'ESTADOS ESTUDIANTES'!B:L,3,0)</f>
        <v>295</v>
      </c>
      <c r="D384" s="66" t="str">
        <f>VLOOKUP(A384,'ESTADOS ESTUDIANTES'!B:L,4,0)</f>
        <v>MAE. EN CIENCIAS DE LA INF. Y LAS COMUNICACIONES ENFASIS EN SIS. INFOR</v>
      </c>
      <c r="E384" s="19" t="str">
        <f>VLOOKUP(A384,'ESTADOS ESTUDIANTES'!B:L,5,0)</f>
        <v>X</v>
      </c>
      <c r="F384" s="18" t="str">
        <f>VLOOKUP(E384,Listas!B1:C1004,2,0)</f>
        <v>EXCLUIDO</v>
      </c>
      <c r="G384" s="19" t="str">
        <f>VLOOKUP(A384,'ESTADOS ESTUDIANTES'!B:L,7,0)</f>
        <v>NO REGISTRA</v>
      </c>
      <c r="H384" s="19">
        <f>VLOOKUP(A384,'ESTADOS ESTUDIANTES'!B:L,8,0)</f>
        <v>0</v>
      </c>
      <c r="I384" s="70">
        <f>VLOOKUP(A384,'ESTADOS ESTUDIANTES'!B:L,9,0)</f>
        <v>0</v>
      </c>
      <c r="J384" s="19" t="str">
        <f>VLOOKUP(A384,'ESTADOS ESTUDIANTES'!B:L,10,0)</f>
        <v>CC</v>
      </c>
      <c r="K384" s="19">
        <f>VLOOKUP(A384,'ESTADOS ESTUDIANTES'!B:L,11,0)</f>
        <v>80130797</v>
      </c>
      <c r="L384" s="23"/>
      <c r="M384" s="20"/>
      <c r="N384" s="22"/>
      <c r="O384" s="15"/>
      <c r="P384" s="15"/>
      <c r="Q384" s="15"/>
      <c r="R384" s="15"/>
      <c r="S384" s="15"/>
      <c r="T384" s="15"/>
      <c r="U384" s="15"/>
    </row>
    <row r="385" spans="1:21" ht="90">
      <c r="A385" s="17">
        <v>20081295010</v>
      </c>
      <c r="B385" s="19" t="str">
        <f>VLOOKUP(A385,'ESTADOS ESTUDIANTES'!B:L,2,0)</f>
        <v>MONTERO LANCHEROS LUIS FERNANDO</v>
      </c>
      <c r="C385" s="19">
        <f>VLOOKUP(A385,'ESTADOS ESTUDIANTES'!B:L,3,0)</f>
        <v>295</v>
      </c>
      <c r="D385" s="66" t="str">
        <f>VLOOKUP(A385,'ESTADOS ESTUDIANTES'!B:L,4,0)</f>
        <v>MAE. EN CIENCIAS DE LA INF. Y LAS COMUNICACIONES ENFASIS EN SIS. INFOR</v>
      </c>
      <c r="E385" s="19" t="str">
        <f>VLOOKUP(A385,'ESTADOS ESTUDIANTES'!B:L,5,0)</f>
        <v>X</v>
      </c>
      <c r="F385" s="18" t="str">
        <f>VLOOKUP(E385,Listas!B1:C1004,2,0)</f>
        <v>EXCLUIDO</v>
      </c>
      <c r="G385" s="19" t="str">
        <f>VLOOKUP(A385,'ESTADOS ESTUDIANTES'!B:L,7,0)</f>
        <v>NO REGISTRA</v>
      </c>
      <c r="H385" s="19">
        <f>VLOOKUP(A385,'ESTADOS ESTUDIANTES'!B:L,8,0)</f>
        <v>0</v>
      </c>
      <c r="I385" s="70">
        <f>VLOOKUP(A385,'ESTADOS ESTUDIANTES'!B:L,9,0)</f>
        <v>0</v>
      </c>
      <c r="J385" s="19" t="str">
        <f>VLOOKUP(A385,'ESTADOS ESTUDIANTES'!B:L,10,0)</f>
        <v>CC</v>
      </c>
      <c r="K385" s="19">
        <f>VLOOKUP(A385,'ESTADOS ESTUDIANTES'!B:L,11,0)</f>
        <v>80472617</v>
      </c>
      <c r="L385" s="23"/>
      <c r="M385" s="20"/>
      <c r="N385" s="22"/>
      <c r="O385" s="15"/>
      <c r="P385" s="15"/>
      <c r="Q385" s="15"/>
      <c r="R385" s="15"/>
      <c r="S385" s="15"/>
      <c r="T385" s="15"/>
      <c r="U385" s="15"/>
    </row>
    <row r="386" spans="1:21" ht="90">
      <c r="A386" s="17">
        <v>20081295011</v>
      </c>
      <c r="B386" s="19" t="str">
        <f>VLOOKUP(A386,'ESTADOS ESTUDIANTES'!B:L,2,0)</f>
        <v>MORA RAMIREZ JOSE ARTURO</v>
      </c>
      <c r="C386" s="19">
        <f>VLOOKUP(A386,'ESTADOS ESTUDIANTES'!B:L,3,0)</f>
        <v>295</v>
      </c>
      <c r="D386" s="66" t="str">
        <f>VLOOKUP(A386,'ESTADOS ESTUDIANTES'!B:L,4,0)</f>
        <v>MAE. EN CIENCIAS DE LA INF. Y LAS COMUNICACIONES ENFASIS EN SIS. INFOR</v>
      </c>
      <c r="E386" s="19" t="str">
        <f>VLOOKUP(A386,'ESTADOS ESTUDIANTES'!B:L,5,0)</f>
        <v>X</v>
      </c>
      <c r="F386" s="18" t="str">
        <f>VLOOKUP(E386,Listas!B1:C1004,2,0)</f>
        <v>EXCLUIDO</v>
      </c>
      <c r="G386" s="19" t="str">
        <f>VLOOKUP(A386,'ESTADOS ESTUDIANTES'!B:L,7,0)</f>
        <v>NO REGISTRA</v>
      </c>
      <c r="H386" s="19">
        <f>VLOOKUP(A386,'ESTADOS ESTUDIANTES'!B:L,8,0)</f>
        <v>0</v>
      </c>
      <c r="I386" s="70">
        <f>VLOOKUP(A386,'ESTADOS ESTUDIANTES'!B:L,9,0)</f>
        <v>0</v>
      </c>
      <c r="J386" s="19" t="str">
        <f>VLOOKUP(A386,'ESTADOS ESTUDIANTES'!B:L,10,0)</f>
        <v>CC</v>
      </c>
      <c r="K386" s="19">
        <f>VLOOKUP(A386,'ESTADOS ESTUDIANTES'!B:L,11,0)</f>
        <v>79522838</v>
      </c>
      <c r="L386" s="23"/>
      <c r="M386" s="20"/>
      <c r="N386" s="22"/>
      <c r="O386" s="15"/>
      <c r="P386" s="15"/>
      <c r="Q386" s="15"/>
      <c r="R386" s="15"/>
      <c r="S386" s="15"/>
      <c r="T386" s="15"/>
      <c r="U386" s="15"/>
    </row>
    <row r="387" spans="1:21" ht="90">
      <c r="A387" s="17">
        <v>20081295012</v>
      </c>
      <c r="B387" s="19" t="str">
        <f>VLOOKUP(A387,'ESTADOS ESTUDIANTES'!B:L,2,0)</f>
        <v>CHRISTIAN OSORIO CABRERA</v>
      </c>
      <c r="C387" s="19">
        <f>VLOOKUP(A387,'ESTADOS ESTUDIANTES'!B:L,3,0)</f>
        <v>295</v>
      </c>
      <c r="D387" s="66" t="str">
        <f>VLOOKUP(A387,'ESTADOS ESTUDIANTES'!B:L,4,0)</f>
        <v>MAE. EN CIENCIAS DE LA INF. Y LAS COMUNICACIONES ENFASIS EN SIS. INFOR</v>
      </c>
      <c r="E387" s="19" t="str">
        <f>VLOOKUP(A387,'ESTADOS ESTUDIANTES'!B:L,5,0)</f>
        <v>X</v>
      </c>
      <c r="F387" s="18" t="str">
        <f>VLOOKUP(E387,Listas!B1:C1004,2,0)</f>
        <v>EXCLUIDO</v>
      </c>
      <c r="G387" s="19" t="str">
        <f>VLOOKUP(A387,'ESTADOS ESTUDIANTES'!B:L,7,0)</f>
        <v>NO REGISTRA</v>
      </c>
      <c r="H387" s="19">
        <f>VLOOKUP(A387,'ESTADOS ESTUDIANTES'!B:L,8,0)</f>
        <v>0</v>
      </c>
      <c r="I387" s="70">
        <f>VLOOKUP(A387,'ESTADOS ESTUDIANTES'!B:L,9,0)</f>
        <v>0</v>
      </c>
      <c r="J387" s="19" t="str">
        <f>VLOOKUP(A387,'ESTADOS ESTUDIANTES'!B:L,10,0)</f>
        <v>CC</v>
      </c>
      <c r="K387" s="19">
        <f>VLOOKUP(A387,'ESTADOS ESTUDIANTES'!B:L,11,0)</f>
        <v>86072123</v>
      </c>
      <c r="L387" s="23"/>
      <c r="M387" s="20"/>
      <c r="N387" s="22"/>
      <c r="O387" s="15"/>
      <c r="P387" s="15"/>
      <c r="Q387" s="15"/>
      <c r="R387" s="15"/>
      <c r="S387" s="15"/>
      <c r="T387" s="15"/>
      <c r="U387" s="15"/>
    </row>
    <row r="388" spans="1:21" ht="90">
      <c r="A388" s="17">
        <v>20081295013</v>
      </c>
      <c r="B388" s="19" t="str">
        <f>VLOOKUP(A388,'ESTADOS ESTUDIANTES'!B:L,2,0)</f>
        <v>PEÑA MARTIN FADER EDUARDO</v>
      </c>
      <c r="C388" s="19">
        <f>VLOOKUP(A388,'ESTADOS ESTUDIANTES'!B:L,3,0)</f>
        <v>295</v>
      </c>
      <c r="D388" s="66" t="str">
        <f>VLOOKUP(A388,'ESTADOS ESTUDIANTES'!B:L,4,0)</f>
        <v>MAE. EN CIENCIAS DE LA INF. Y LAS COMUNICACIONES ENFASIS EN SIS. INFOR</v>
      </c>
      <c r="E388" s="19" t="str">
        <f>VLOOKUP(A388,'ESTADOS ESTUDIANTES'!B:L,5,0)</f>
        <v>X</v>
      </c>
      <c r="F388" s="18" t="str">
        <f>VLOOKUP(E388,Listas!B1:C1004,2,0)</f>
        <v>EXCLUIDO</v>
      </c>
      <c r="G388" s="19" t="str">
        <f>VLOOKUP(A388,'ESTADOS ESTUDIANTES'!B:L,7,0)</f>
        <v>NO REGISTRA</v>
      </c>
      <c r="H388" s="19" t="str">
        <f>VLOOKUP(A388,'ESTADOS ESTUDIANTES'!B:L,8,0)</f>
        <v>faepenam@correo.udistrital.edu.co</v>
      </c>
      <c r="I388" s="70" t="str">
        <f>VLOOKUP(A388,'ESTADOS ESTUDIANTES'!B:L,9,0)</f>
        <v>fadereduardo@yahoo.es</v>
      </c>
      <c r="J388" s="19" t="str">
        <f>VLOOKUP(A388,'ESTADOS ESTUDIANTES'!B:L,10,0)</f>
        <v>CC</v>
      </c>
      <c r="K388" s="19">
        <f>VLOOKUP(A388,'ESTADOS ESTUDIANTES'!B:L,11,0)</f>
        <v>80825086</v>
      </c>
      <c r="L388" s="23"/>
      <c r="M388" s="20"/>
      <c r="N388" s="22"/>
      <c r="O388" s="15"/>
      <c r="P388" s="15"/>
      <c r="Q388" s="15"/>
      <c r="R388" s="15"/>
      <c r="S388" s="15"/>
      <c r="T388" s="15"/>
      <c r="U388" s="15"/>
    </row>
    <row r="389" spans="1:21" ht="90">
      <c r="A389" s="17">
        <v>20081295014</v>
      </c>
      <c r="B389" s="19" t="str">
        <f>VLOOKUP(A389,'ESTADOS ESTUDIANTES'!B:L,2,0)</f>
        <v>RODRIGUEZ GUERRERO ROCIO</v>
      </c>
      <c r="C389" s="19">
        <f>VLOOKUP(A389,'ESTADOS ESTUDIANTES'!B:L,3,0)</f>
        <v>295</v>
      </c>
      <c r="D389" s="66" t="str">
        <f>VLOOKUP(A389,'ESTADOS ESTUDIANTES'!B:L,4,0)</f>
        <v>MAE. EN CIENCIAS DE LA INF. Y LAS COMUNICACIONES ENFASIS EN SIS. INFOR</v>
      </c>
      <c r="E389" s="19" t="str">
        <f>VLOOKUP(A389,'ESTADOS ESTUDIANTES'!B:L,5,0)</f>
        <v>E</v>
      </c>
      <c r="F389" s="18" t="str">
        <f>VLOOKUP(E389,Listas!B1:C1004,2,0)</f>
        <v>EGRESADO</v>
      </c>
      <c r="G389" s="19">
        <f>VLOOKUP(A389,'ESTADOS ESTUDIANTES'!B:L,7,0)</f>
        <v>1</v>
      </c>
      <c r="H389" s="19" t="str">
        <f>VLOOKUP(A389,'ESTADOS ESTUDIANTES'!B:L,8,0)</f>
        <v>rrodriguezg@correo.udistrital.edu.co</v>
      </c>
      <c r="I389" s="70" t="str">
        <f>VLOOKUP(A389,'ESTADOS ESTUDIANTES'!B:L,9,0)</f>
        <v>rrodriguezgr@hotmail.com</v>
      </c>
      <c r="J389" s="19" t="str">
        <f>VLOOKUP(A389,'ESTADOS ESTUDIANTES'!B:L,10,0)</f>
        <v>CC</v>
      </c>
      <c r="K389" s="19">
        <f>VLOOKUP(A389,'ESTADOS ESTUDIANTES'!B:L,11,0)</f>
        <v>52369898</v>
      </c>
      <c r="L389" s="23"/>
      <c r="M389" s="20"/>
      <c r="N389" s="22"/>
      <c r="O389" s="15"/>
      <c r="P389" s="15"/>
      <c r="Q389" s="15"/>
      <c r="R389" s="15"/>
      <c r="S389" s="15"/>
      <c r="T389" s="15"/>
      <c r="U389" s="15"/>
    </row>
    <row r="390" spans="1:21" ht="90">
      <c r="A390" s="17">
        <v>20081295015</v>
      </c>
      <c r="B390" s="19" t="str">
        <f>VLOOKUP(A390,'ESTADOS ESTUDIANTES'!B:L,2,0)</f>
        <v>RUEDA RIVERA OLGA LUCIA</v>
      </c>
      <c r="C390" s="19">
        <f>VLOOKUP(A390,'ESTADOS ESTUDIANTES'!B:L,3,0)</f>
        <v>295</v>
      </c>
      <c r="D390" s="66" t="str">
        <f>VLOOKUP(A390,'ESTADOS ESTUDIANTES'!B:L,4,0)</f>
        <v>MAE. EN CIENCIAS DE LA INF. Y LAS COMUNICACIONES ENFASIS EN SIS. INFOR</v>
      </c>
      <c r="E390" s="19" t="str">
        <f>VLOOKUP(A390,'ESTADOS ESTUDIANTES'!B:L,5,0)</f>
        <v>X</v>
      </c>
      <c r="F390" s="18" t="str">
        <f>VLOOKUP(E390,Listas!B1:C1004,2,0)</f>
        <v>EXCLUIDO</v>
      </c>
      <c r="G390" s="19" t="str">
        <f>VLOOKUP(A390,'ESTADOS ESTUDIANTES'!B:L,7,0)</f>
        <v>NO REGISTRA</v>
      </c>
      <c r="H390" s="19">
        <f>VLOOKUP(A390,'ESTADOS ESTUDIANTES'!B:L,8,0)</f>
        <v>0</v>
      </c>
      <c r="I390" s="70" t="str">
        <f>VLOOKUP(A390,'ESTADOS ESTUDIANTES'!B:L,9,0)</f>
        <v>olgalu66@hotmail.com</v>
      </c>
      <c r="J390" s="19" t="str">
        <f>VLOOKUP(A390,'ESTADOS ESTUDIANTES'!B:L,10,0)</f>
        <v>CC</v>
      </c>
      <c r="K390" s="19">
        <f>VLOOKUP(A390,'ESTADOS ESTUDIANTES'!B:L,11,0)</f>
        <v>55153214</v>
      </c>
      <c r="L390" s="23"/>
      <c r="M390" s="20"/>
      <c r="N390" s="22"/>
      <c r="O390" s="15"/>
      <c r="P390" s="15"/>
      <c r="Q390" s="15"/>
      <c r="R390" s="15"/>
      <c r="S390" s="15"/>
      <c r="T390" s="15"/>
      <c r="U390" s="15"/>
    </row>
    <row r="391" spans="1:21" ht="90">
      <c r="A391" s="17">
        <v>20081295016</v>
      </c>
      <c r="B391" s="19" t="str">
        <f>VLOOKUP(A391,'ESTADOS ESTUDIANTES'!B:L,2,0)</f>
        <v>VARGAS HERRERA EDWIN ANDRES</v>
      </c>
      <c r="C391" s="19">
        <f>VLOOKUP(A391,'ESTADOS ESTUDIANTES'!B:L,3,0)</f>
        <v>295</v>
      </c>
      <c r="D391" s="66" t="str">
        <f>VLOOKUP(A391,'ESTADOS ESTUDIANTES'!B:L,4,0)</f>
        <v>MAE. EN CIENCIAS DE LA INF. Y LAS COMUNICACIONES ENFASIS EN SIS. INFOR</v>
      </c>
      <c r="E391" s="19" t="str">
        <f>VLOOKUP(A391,'ESTADOS ESTUDIANTES'!B:L,5,0)</f>
        <v>X</v>
      </c>
      <c r="F391" s="18" t="str">
        <f>VLOOKUP(E391,Listas!B1:C1004,2,0)</f>
        <v>EXCLUIDO</v>
      </c>
      <c r="G391" s="19" t="str">
        <f>VLOOKUP(A391,'ESTADOS ESTUDIANTES'!B:L,7,0)</f>
        <v>NO REGISTRA</v>
      </c>
      <c r="H391" s="19">
        <f>VLOOKUP(A391,'ESTADOS ESTUDIANTES'!B:L,8,0)</f>
        <v>0</v>
      </c>
      <c r="I391" s="70">
        <f>VLOOKUP(A391,'ESTADOS ESTUDIANTES'!B:L,9,0)</f>
        <v>0</v>
      </c>
      <c r="J391" s="19" t="str">
        <f>VLOOKUP(A391,'ESTADOS ESTUDIANTES'!B:L,10,0)</f>
        <v>CC</v>
      </c>
      <c r="K391" s="19">
        <f>VLOOKUP(A391,'ESTADOS ESTUDIANTES'!B:L,11,0)</f>
        <v>80230426</v>
      </c>
      <c r="L391" s="23"/>
      <c r="M391" s="20"/>
      <c r="N391" s="22"/>
      <c r="O391" s="15"/>
      <c r="P391" s="15"/>
      <c r="Q391" s="15"/>
      <c r="R391" s="15"/>
      <c r="S391" s="15"/>
      <c r="T391" s="15"/>
      <c r="U391" s="15"/>
    </row>
    <row r="392" spans="1:21" ht="90">
      <c r="A392" s="17">
        <v>20081295017</v>
      </c>
      <c r="B392" s="19" t="str">
        <f>VLOOKUP(A392,'ESTADOS ESTUDIANTES'!B:L,2,0)</f>
        <v>ORTIZ ANDRADE MARISOL</v>
      </c>
      <c r="C392" s="19">
        <f>VLOOKUP(A392,'ESTADOS ESTUDIANTES'!B:L,3,0)</f>
        <v>295</v>
      </c>
      <c r="D392" s="66" t="str">
        <f>VLOOKUP(A392,'ESTADOS ESTUDIANTES'!B:L,4,0)</f>
        <v>MAE. EN CIENCIAS DE LA INF. Y LAS COMUNICACIONES ENFASIS EN SIS. INFOR</v>
      </c>
      <c r="E392" s="19" t="str">
        <f>VLOOKUP(A392,'ESTADOS ESTUDIANTES'!B:L,5,0)</f>
        <v>X</v>
      </c>
      <c r="F392" s="18" t="str">
        <f>VLOOKUP(E392,Listas!B1:C1004,2,0)</f>
        <v>EXCLUIDO</v>
      </c>
      <c r="G392" s="19">
        <f>VLOOKUP(A392,'ESTADOS ESTUDIANTES'!B:L,7,0)</f>
        <v>1</v>
      </c>
      <c r="H392" s="19" t="str">
        <f>VLOOKUP(A392,'ESTADOS ESTUDIANTES'!B:L,8,0)</f>
        <v>maortiza@correo.udistrital.edu.co</v>
      </c>
      <c r="I392" s="70" t="str">
        <f>VLOOKUP(A392,'ESTADOS ESTUDIANTES'!B:L,9,0)</f>
        <v>ingmaryortiz@gmail.com</v>
      </c>
      <c r="J392" s="19" t="str">
        <f>VLOOKUP(A392,'ESTADOS ESTUDIANTES'!B:L,10,0)</f>
        <v>CC</v>
      </c>
      <c r="K392" s="19">
        <f>VLOOKUP(A392,'ESTADOS ESTUDIANTES'!B:L,11,0)</f>
        <v>52197232</v>
      </c>
      <c r="L392" s="23"/>
      <c r="M392" s="20"/>
      <c r="N392" s="22"/>
      <c r="O392" s="15"/>
      <c r="P392" s="15"/>
      <c r="Q392" s="15"/>
      <c r="R392" s="15"/>
      <c r="S392" s="15"/>
      <c r="T392" s="15"/>
      <c r="U392" s="15"/>
    </row>
    <row r="393" spans="1:21" ht="90">
      <c r="A393" s="17">
        <v>20082195001</v>
      </c>
      <c r="B393" s="19" t="str">
        <f>VLOOKUP(A393,'ESTADOS ESTUDIANTES'!B:L,2,0)</f>
        <v>ALMANZA SANDOVAL CESAR AUGUSTO</v>
      </c>
      <c r="C393" s="19">
        <f>VLOOKUP(A393,'ESTADOS ESTUDIANTES'!B:L,3,0)</f>
        <v>195</v>
      </c>
      <c r="D393" s="66" t="str">
        <f>VLOOKUP(A393,'ESTADOS ESTUDIANTES'!B:L,4,0)</f>
        <v>MAE. EN CIENCIAS DE LA INF. Y LAS COMUNICACIONES ENFASIS EN TELEINF.</v>
      </c>
      <c r="E393" s="19" t="str">
        <f>VLOOKUP(A393,'ESTADOS ESTUDIANTES'!B:L,5,0)</f>
        <v>X</v>
      </c>
      <c r="F393" s="18" t="str">
        <f>VLOOKUP(E393,Listas!B1:C1004,2,0)</f>
        <v>EXCLUIDO</v>
      </c>
      <c r="G393" s="19" t="str">
        <f>VLOOKUP(A393,'ESTADOS ESTUDIANTES'!B:L,7,0)</f>
        <v>NO REGISTRA</v>
      </c>
      <c r="H393" s="19" t="str">
        <f>VLOOKUP(A393,'ESTADOS ESTUDIANTES'!B:L,8,0)</f>
        <v>caalmanzas@correo.udistrital.edu.co</v>
      </c>
      <c r="I393" s="70" t="str">
        <f>VLOOKUP(A393,'ESTADOS ESTUDIANTES'!B:L,9,0)</f>
        <v>cesar_almanzas@hotmail.com</v>
      </c>
      <c r="J393" s="19" t="str">
        <f>VLOOKUP(A393,'ESTADOS ESTUDIANTES'!B:L,10,0)</f>
        <v>CC</v>
      </c>
      <c r="K393" s="19">
        <f>VLOOKUP(A393,'ESTADOS ESTUDIANTES'!B:L,11,0)</f>
        <v>79715505</v>
      </c>
      <c r="L393" s="23"/>
      <c r="M393" s="20"/>
      <c r="N393" s="22"/>
      <c r="O393" s="15"/>
      <c r="P393" s="15"/>
      <c r="Q393" s="15"/>
      <c r="R393" s="15"/>
      <c r="S393" s="15"/>
      <c r="T393" s="15"/>
      <c r="U393" s="15"/>
    </row>
    <row r="394" spans="1:21" ht="90">
      <c r="A394" s="17">
        <v>20082195002</v>
      </c>
      <c r="B394" s="19" t="str">
        <f>VLOOKUP(A394,'ESTADOS ESTUDIANTES'!B:L,2,0)</f>
        <v>ANZOLA ANZOLA JHON PATERSON</v>
      </c>
      <c r="C394" s="19">
        <f>VLOOKUP(A394,'ESTADOS ESTUDIANTES'!B:L,3,0)</f>
        <v>195</v>
      </c>
      <c r="D394" s="66" t="str">
        <f>VLOOKUP(A394,'ESTADOS ESTUDIANTES'!B:L,4,0)</f>
        <v>MAE. EN CIENCIAS DE LA INF. Y LAS COMUNICACIONES ENFASIS EN TELEINF.</v>
      </c>
      <c r="E394" s="19" t="str">
        <f>VLOOKUP(A394,'ESTADOS ESTUDIANTES'!B:L,5,0)</f>
        <v>E</v>
      </c>
      <c r="F394" s="18" t="str">
        <f>VLOOKUP(E394,Listas!B1:C1004,2,0)</f>
        <v>EGRESADO</v>
      </c>
      <c r="G394" s="19">
        <f>VLOOKUP(A394,'ESTADOS ESTUDIANTES'!B:L,7,0)</f>
        <v>1</v>
      </c>
      <c r="H394" s="19" t="str">
        <f>VLOOKUP(A394,'ESTADOS ESTUDIANTES'!B:L,8,0)</f>
        <v>jpanzolaa@udistrital.edu.co</v>
      </c>
      <c r="I394" s="70" t="str">
        <f>VLOOKUP(A394,'ESTADOS ESTUDIANTES'!B:L,9,0)</f>
        <v>john.anzola@gmail.com</v>
      </c>
      <c r="J394" s="19" t="str">
        <f>VLOOKUP(A394,'ESTADOS ESTUDIANTES'!B:L,10,0)</f>
        <v>CC</v>
      </c>
      <c r="K394" s="19">
        <f>VLOOKUP(A394,'ESTADOS ESTUDIANTES'!B:L,11,0)</f>
        <v>79954590</v>
      </c>
      <c r="L394" s="23"/>
      <c r="M394" s="20"/>
      <c r="N394" s="22"/>
      <c r="O394" s="15"/>
      <c r="P394" s="15"/>
      <c r="Q394" s="15"/>
      <c r="R394" s="15"/>
      <c r="S394" s="15"/>
      <c r="T394" s="15"/>
      <c r="U394" s="15"/>
    </row>
    <row r="395" spans="1:21" ht="90">
      <c r="A395" s="17">
        <v>20082195003</v>
      </c>
      <c r="B395" s="19" t="str">
        <f>VLOOKUP(A395,'ESTADOS ESTUDIANTES'!B:L,2,0)</f>
        <v>BEJARANO BARRETO EDWARD HERNANDO</v>
      </c>
      <c r="C395" s="19">
        <f>VLOOKUP(A395,'ESTADOS ESTUDIANTES'!B:L,3,0)</f>
        <v>195</v>
      </c>
      <c r="D395" s="66" t="str">
        <f>VLOOKUP(A395,'ESTADOS ESTUDIANTES'!B:L,4,0)</f>
        <v>MAE. EN CIENCIAS DE LA INF. Y LAS COMUNICACIONES ENFASIS EN TELEINF.</v>
      </c>
      <c r="E395" s="19" t="str">
        <f>VLOOKUP(A395,'ESTADOS ESTUDIANTES'!B:L,5,0)</f>
        <v>X</v>
      </c>
      <c r="F395" s="18" t="str">
        <f>VLOOKUP(E395,Listas!B1:C1004,2,0)</f>
        <v>EXCLUIDO</v>
      </c>
      <c r="G395" s="19" t="str">
        <f>VLOOKUP(A395,'ESTADOS ESTUDIANTES'!B:L,7,0)</f>
        <v>NO REGISTRA</v>
      </c>
      <c r="H395" s="19" t="str">
        <f>VLOOKUP(A395,'ESTADOS ESTUDIANTES'!B:L,8,0)</f>
        <v>edhbejaranob@correo.udistrital.edu.co</v>
      </c>
      <c r="I395" s="70" t="str">
        <f>VLOOKUP(A395,'ESTADOS ESTUDIANTES'!B:L,9,0)</f>
        <v>ingedwardud@hotmail.com</v>
      </c>
      <c r="J395" s="19" t="str">
        <f>VLOOKUP(A395,'ESTADOS ESTUDIANTES'!B:L,10,0)</f>
        <v>CC</v>
      </c>
      <c r="K395" s="19">
        <f>VLOOKUP(A395,'ESTADOS ESTUDIANTES'!B:L,11,0)</f>
        <v>80210579</v>
      </c>
      <c r="L395" s="23"/>
      <c r="M395" s="20"/>
      <c r="N395" s="22"/>
      <c r="O395" s="15"/>
      <c r="P395" s="15"/>
      <c r="Q395" s="15"/>
      <c r="R395" s="15"/>
      <c r="S395" s="15"/>
      <c r="T395" s="15"/>
      <c r="U395" s="15"/>
    </row>
    <row r="396" spans="1:21" ht="90">
      <c r="A396" s="17">
        <v>20082195004</v>
      </c>
      <c r="B396" s="19" t="str">
        <f>VLOOKUP(A396,'ESTADOS ESTUDIANTES'!B:L,2,0)</f>
        <v>CRUZ MALDONADO NIDIA CRISTINA</v>
      </c>
      <c r="C396" s="19">
        <f>VLOOKUP(A396,'ESTADOS ESTUDIANTES'!B:L,3,0)</f>
        <v>295</v>
      </c>
      <c r="D396" s="66" t="str">
        <f>VLOOKUP(A396,'ESTADOS ESTUDIANTES'!B:L,4,0)</f>
        <v>MAE. EN CIENCIAS DE LA INF. Y LAS COMUNICACIONES ENFASIS EN SIS. INFOR</v>
      </c>
      <c r="E396" s="19" t="str">
        <f>VLOOKUP(A396,'ESTADOS ESTUDIANTES'!B:L,5,0)</f>
        <v>X</v>
      </c>
      <c r="F396" s="18" t="str">
        <f>VLOOKUP(E396,Listas!B1:C1004,2,0)</f>
        <v>EXCLUIDO</v>
      </c>
      <c r="G396" s="19" t="str">
        <f>VLOOKUP(A396,'ESTADOS ESTUDIANTES'!B:L,7,0)</f>
        <v>NO REGISTRA</v>
      </c>
      <c r="H396" s="19" t="str">
        <f>VLOOKUP(A396,'ESTADOS ESTUDIANTES'!B:L,8,0)</f>
        <v>nccruzm@correo.udistrital.edu.co</v>
      </c>
      <c r="I396" s="70" t="str">
        <f>VLOOKUP(A396,'ESTADOS ESTUDIANTES'!B:L,9,0)</f>
        <v>nidicrum@gmail.com</v>
      </c>
      <c r="J396" s="19" t="str">
        <f>VLOOKUP(A396,'ESTADOS ESTUDIANTES'!B:L,10,0)</f>
        <v>CC</v>
      </c>
      <c r="K396" s="19">
        <f>VLOOKUP(A396,'ESTADOS ESTUDIANTES'!B:L,11,0)</f>
        <v>52953096</v>
      </c>
      <c r="L396" s="23"/>
      <c r="M396" s="20"/>
      <c r="N396" s="22"/>
      <c r="O396" s="15"/>
      <c r="P396" s="15"/>
      <c r="Q396" s="15"/>
      <c r="R396" s="15"/>
      <c r="S396" s="15"/>
      <c r="T396" s="15"/>
      <c r="U396" s="15"/>
    </row>
    <row r="397" spans="1:21" ht="90">
      <c r="A397" s="17">
        <v>20082195005</v>
      </c>
      <c r="B397" s="19" t="str">
        <f>VLOOKUP(A397,'ESTADOS ESTUDIANTES'!B:L,2,0)</f>
        <v>GALINDO PULIDO HECTOR HELIODORO</v>
      </c>
      <c r="C397" s="19">
        <f>VLOOKUP(A397,'ESTADOS ESTUDIANTES'!B:L,3,0)</f>
        <v>195</v>
      </c>
      <c r="D397" s="66" t="str">
        <f>VLOOKUP(A397,'ESTADOS ESTUDIANTES'!B:L,4,0)</f>
        <v>MAE. EN CIENCIAS DE LA INF. Y LAS COMUNICACIONES ENFASIS EN TELEINF.</v>
      </c>
      <c r="E397" s="19" t="str">
        <f>VLOOKUP(A397,'ESTADOS ESTUDIANTES'!B:L,5,0)</f>
        <v>X</v>
      </c>
      <c r="F397" s="18" t="str">
        <f>VLOOKUP(E397,Listas!B1:C1004,2,0)</f>
        <v>EXCLUIDO</v>
      </c>
      <c r="G397" s="19" t="str">
        <f>VLOOKUP(A397,'ESTADOS ESTUDIANTES'!B:L,7,0)</f>
        <v>NO REGISTRA</v>
      </c>
      <c r="H397" s="19" t="str">
        <f>VLOOKUP(A397,'ESTADOS ESTUDIANTES'!B:L,8,0)</f>
        <v>hhgalindop@correo.udistrital.edu.co</v>
      </c>
      <c r="I397" s="70" t="str">
        <f>VLOOKUP(A397,'ESTADOS ESTUDIANTES'!B:L,9,0)</f>
        <v>hectagoras@hotmail.com</v>
      </c>
      <c r="J397" s="19" t="str">
        <f>VLOOKUP(A397,'ESTADOS ESTUDIANTES'!B:L,10,0)</f>
        <v>CC</v>
      </c>
      <c r="K397" s="19">
        <f>VLOOKUP(A397,'ESTADOS ESTUDIANTES'!B:L,11,0)</f>
        <v>80736220</v>
      </c>
      <c r="L397" s="23"/>
      <c r="M397" s="20"/>
      <c r="N397" s="22"/>
      <c r="O397" s="15"/>
      <c r="P397" s="15"/>
      <c r="Q397" s="15"/>
      <c r="R397" s="15"/>
      <c r="S397" s="15"/>
      <c r="T397" s="15"/>
      <c r="U397" s="15"/>
    </row>
    <row r="398" spans="1:21" ht="90">
      <c r="A398" s="17">
        <v>20082195006</v>
      </c>
      <c r="B398" s="19" t="str">
        <f>VLOOKUP(A398,'ESTADOS ESTUDIANTES'!B:L,2,0)</f>
        <v>GAMA PEREZ WILLIAM ARTURO</v>
      </c>
      <c r="C398" s="19">
        <f>VLOOKUP(A398,'ESTADOS ESTUDIANTES'!B:L,3,0)</f>
        <v>195</v>
      </c>
      <c r="D398" s="66" t="str">
        <f>VLOOKUP(A398,'ESTADOS ESTUDIANTES'!B:L,4,0)</f>
        <v>MAE. EN CIENCIAS DE LA INF. Y LAS COMUNICACIONES ENFASIS EN TELEINF.</v>
      </c>
      <c r="E398" s="19" t="str">
        <f>VLOOKUP(A398,'ESTADOS ESTUDIANTES'!B:L,5,0)</f>
        <v>X</v>
      </c>
      <c r="F398" s="18" t="str">
        <f>VLOOKUP(E398,Listas!B1:C1004,2,0)</f>
        <v>EXCLUIDO</v>
      </c>
      <c r="G398" s="19" t="str">
        <f>VLOOKUP(A398,'ESTADOS ESTUDIANTES'!B:L,7,0)</f>
        <v>NO REGISTRA</v>
      </c>
      <c r="H398" s="19" t="str">
        <f>VLOOKUP(A398,'ESTADOS ESTUDIANTES'!B:L,8,0)</f>
        <v>wagamap@correo.udistrital.edu.co</v>
      </c>
      <c r="I398" s="70" t="str">
        <f>VLOOKUP(A398,'ESTADOS ESTUDIANTES'!B:L,9,0)</f>
        <v>wagamape@hotmail.com</v>
      </c>
      <c r="J398" s="19" t="str">
        <f>VLOOKUP(A398,'ESTADOS ESTUDIANTES'!B:L,10,0)</f>
        <v>CC</v>
      </c>
      <c r="K398" s="19">
        <f>VLOOKUP(A398,'ESTADOS ESTUDIANTES'!B:L,11,0)</f>
        <v>79806183</v>
      </c>
      <c r="L398" s="23"/>
      <c r="M398" s="20"/>
      <c r="N398" s="22"/>
      <c r="O398" s="15"/>
      <c r="P398" s="15"/>
      <c r="Q398" s="15"/>
      <c r="R398" s="15"/>
      <c r="S398" s="15"/>
      <c r="T398" s="15"/>
      <c r="U398" s="15"/>
    </row>
    <row r="399" spans="1:21" ht="90">
      <c r="A399" s="17">
        <v>20082195007</v>
      </c>
      <c r="B399" s="19" t="str">
        <f>VLOOKUP(A399,'ESTADOS ESTUDIANTES'!B:L,2,0)</f>
        <v>GARCIA BOHORQUEZ HENRY ERNESTO</v>
      </c>
      <c r="C399" s="19">
        <f>VLOOKUP(A399,'ESTADOS ESTUDIANTES'!B:L,3,0)</f>
        <v>195</v>
      </c>
      <c r="D399" s="66" t="str">
        <f>VLOOKUP(A399,'ESTADOS ESTUDIANTES'!B:L,4,0)</f>
        <v>MAE. EN CIENCIAS DE LA INF. Y LAS COMUNICACIONES ENFASIS EN TELEINF.</v>
      </c>
      <c r="E399" s="19" t="str">
        <f>VLOOKUP(A399,'ESTADOS ESTUDIANTES'!B:L,5,0)</f>
        <v>X</v>
      </c>
      <c r="F399" s="18" t="str">
        <f>VLOOKUP(E399,Listas!B1:C1004,2,0)</f>
        <v>EXCLUIDO</v>
      </c>
      <c r="G399" s="19" t="str">
        <f>VLOOKUP(A399,'ESTADOS ESTUDIANTES'!B:L,7,0)</f>
        <v>NO REGISTRA</v>
      </c>
      <c r="H399" s="19" t="str">
        <f>VLOOKUP(A399,'ESTADOS ESTUDIANTES'!B:L,8,0)</f>
        <v>hegarciab@correo.udistrital.edu.co</v>
      </c>
      <c r="I399" s="70" t="str">
        <f>VLOOKUP(A399,'ESTADOS ESTUDIANTES'!B:L,9,0)</f>
        <v>henrygarcibo@hotmail.com</v>
      </c>
      <c r="J399" s="19" t="str">
        <f>VLOOKUP(A399,'ESTADOS ESTUDIANTES'!B:L,10,0)</f>
        <v>CC</v>
      </c>
      <c r="K399" s="19">
        <f>VLOOKUP(A399,'ESTADOS ESTUDIANTES'!B:L,11,0)</f>
        <v>79745723</v>
      </c>
      <c r="L399" s="23"/>
      <c r="M399" s="20"/>
      <c r="N399" s="22"/>
      <c r="O399" s="15"/>
      <c r="P399" s="15"/>
      <c r="Q399" s="15"/>
      <c r="R399" s="15"/>
      <c r="S399" s="15"/>
      <c r="T399" s="15"/>
      <c r="U399" s="15"/>
    </row>
    <row r="400" spans="1:21" ht="90">
      <c r="A400" s="17">
        <v>20082195008</v>
      </c>
      <c r="B400" s="19" t="str">
        <f>VLOOKUP(A400,'ESTADOS ESTUDIANTES'!B:L,2,0)</f>
        <v>GOMEZ MURCIA LUIS ORLANDO</v>
      </c>
      <c r="C400" s="19">
        <f>VLOOKUP(A400,'ESTADOS ESTUDIANTES'!B:L,3,0)</f>
        <v>195</v>
      </c>
      <c r="D400" s="66" t="str">
        <f>VLOOKUP(A400,'ESTADOS ESTUDIANTES'!B:L,4,0)</f>
        <v>MAE. EN CIENCIAS DE LA INF. Y LAS COMUNICACIONES ENFASIS EN TELEINF.</v>
      </c>
      <c r="E400" s="19" t="str">
        <f>VLOOKUP(A400,'ESTADOS ESTUDIANTES'!B:L,5,0)</f>
        <v>X</v>
      </c>
      <c r="F400" s="18" t="str">
        <f>VLOOKUP(E400,Listas!B1:C1004,2,0)</f>
        <v>EXCLUIDO</v>
      </c>
      <c r="G400" s="19" t="str">
        <f>VLOOKUP(A400,'ESTADOS ESTUDIANTES'!B:L,7,0)</f>
        <v>NO REGISTRA</v>
      </c>
      <c r="H400" s="19" t="str">
        <f>VLOOKUP(A400,'ESTADOS ESTUDIANTES'!B:L,8,0)</f>
        <v>logomezm@correo.udistrital.edu.co</v>
      </c>
      <c r="I400" s="70" t="str">
        <f>VLOOKUP(A400,'ESTADOS ESTUDIANTES'!B:L,9,0)</f>
        <v>ciberpuil@yahoo.com</v>
      </c>
      <c r="J400" s="19" t="str">
        <f>VLOOKUP(A400,'ESTADOS ESTUDIANTES'!B:L,10,0)</f>
        <v>CC</v>
      </c>
      <c r="K400" s="19">
        <f>VLOOKUP(A400,'ESTADOS ESTUDIANTES'!B:L,11,0)</f>
        <v>93414174</v>
      </c>
      <c r="L400" s="23"/>
      <c r="M400" s="20"/>
      <c r="N400" s="22"/>
      <c r="O400" s="15"/>
      <c r="P400" s="15"/>
      <c r="Q400" s="15"/>
      <c r="R400" s="15"/>
      <c r="S400" s="15"/>
      <c r="T400" s="15"/>
      <c r="U400" s="15"/>
    </row>
    <row r="401" spans="1:21" ht="90">
      <c r="A401" s="17">
        <v>20082195009</v>
      </c>
      <c r="B401" s="19" t="str">
        <f>VLOOKUP(A401,'ESTADOS ESTUDIANTES'!B:L,2,0)</f>
        <v>GUTIERRREZ PUENTES NANCY CAROLINA</v>
      </c>
      <c r="C401" s="19">
        <f>VLOOKUP(A401,'ESTADOS ESTUDIANTES'!B:L,3,0)</f>
        <v>195</v>
      </c>
      <c r="D401" s="66" t="str">
        <f>VLOOKUP(A401,'ESTADOS ESTUDIANTES'!B:L,4,0)</f>
        <v>MAE. EN CIENCIAS DE LA INF. Y LAS COMUNICACIONES ENFASIS EN TELEINF.</v>
      </c>
      <c r="E401" s="19" t="str">
        <f>VLOOKUP(A401,'ESTADOS ESTUDIANTES'!B:L,5,0)</f>
        <v>X</v>
      </c>
      <c r="F401" s="18" t="str">
        <f>VLOOKUP(E401,Listas!B1:C1004,2,0)</f>
        <v>EXCLUIDO</v>
      </c>
      <c r="G401" s="19" t="str">
        <f>VLOOKUP(A401,'ESTADOS ESTUDIANTES'!B:L,7,0)</f>
        <v>NO REGISTRA</v>
      </c>
      <c r="H401" s="19" t="str">
        <f>VLOOKUP(A401,'ESTADOS ESTUDIANTES'!B:L,8,0)</f>
        <v>ncgutierrrezp@correo.udistrital.edu.co</v>
      </c>
      <c r="I401" s="70" t="str">
        <f>VLOOKUP(A401,'ESTADOS ESTUDIANTES'!B:L,9,0)</f>
        <v>carolinagutierrez415@hotmail.com</v>
      </c>
      <c r="J401" s="19" t="str">
        <f>VLOOKUP(A401,'ESTADOS ESTUDIANTES'!B:L,10,0)</f>
        <v>CC</v>
      </c>
      <c r="K401" s="19">
        <f>VLOOKUP(A401,'ESTADOS ESTUDIANTES'!B:L,11,0)</f>
        <v>1110449571</v>
      </c>
      <c r="L401" s="23"/>
      <c r="M401" s="20"/>
      <c r="N401" s="22"/>
      <c r="O401" s="15"/>
      <c r="P401" s="15"/>
      <c r="Q401" s="15"/>
      <c r="R401" s="15"/>
      <c r="S401" s="15"/>
      <c r="T401" s="15"/>
      <c r="U401" s="15"/>
    </row>
    <row r="402" spans="1:21" ht="90">
      <c r="A402" s="17">
        <v>20082195010</v>
      </c>
      <c r="B402" s="19" t="str">
        <f>VLOOKUP(A402,'ESTADOS ESTUDIANTES'!B:L,2,0)</f>
        <v>HERNANDEZ GARZON ELIN ANDERSON</v>
      </c>
      <c r="C402" s="19">
        <f>VLOOKUP(A402,'ESTADOS ESTUDIANTES'!B:L,3,0)</f>
        <v>295</v>
      </c>
      <c r="D402" s="66" t="str">
        <f>VLOOKUP(A402,'ESTADOS ESTUDIANTES'!B:L,4,0)</f>
        <v>MAE. EN CIENCIAS DE LA INF. Y LAS COMUNICACIONES ENFASIS EN SIS. INFOR</v>
      </c>
      <c r="E402" s="19" t="str">
        <f>VLOOKUP(A402,'ESTADOS ESTUDIANTES'!B:L,5,0)</f>
        <v>X</v>
      </c>
      <c r="F402" s="18" t="str">
        <f>VLOOKUP(E402,Listas!B1:C1004,2,0)</f>
        <v>EXCLUIDO</v>
      </c>
      <c r="G402" s="19" t="str">
        <f>VLOOKUP(A402,'ESTADOS ESTUDIANTES'!B:L,7,0)</f>
        <v>NO REGISTRA</v>
      </c>
      <c r="H402" s="19" t="str">
        <f>VLOOKUP(A402,'ESTADOS ESTUDIANTES'!B:L,8,0)</f>
        <v>eahernandezg@correo.udistrital.edu.co</v>
      </c>
      <c r="I402" s="70" t="str">
        <f>VLOOKUP(A402,'ESTADOS ESTUDIANTES'!B:L,9,0)</f>
        <v>elin_anderson1@hotmail.com</v>
      </c>
      <c r="J402" s="19" t="str">
        <f>VLOOKUP(A402,'ESTADOS ESTUDIANTES'!B:L,10,0)</f>
        <v>CC</v>
      </c>
      <c r="K402" s="19">
        <f>VLOOKUP(A402,'ESTADOS ESTUDIANTES'!B:L,11,0)</f>
        <v>14297306</v>
      </c>
      <c r="L402" s="23"/>
      <c r="M402" s="20"/>
      <c r="N402" s="22"/>
      <c r="O402" s="15"/>
      <c r="P402" s="15"/>
      <c r="Q402" s="15"/>
      <c r="R402" s="15"/>
      <c r="S402" s="15"/>
      <c r="T402" s="15"/>
      <c r="U402" s="15"/>
    </row>
    <row r="403" spans="1:21" ht="90">
      <c r="A403" s="17">
        <v>20082195011</v>
      </c>
      <c r="B403" s="19" t="str">
        <f>VLOOKUP(A403,'ESTADOS ESTUDIANTES'!B:L,2,0)</f>
        <v>ELKIN FERNANDO JIMENEZ INOCENCIO</v>
      </c>
      <c r="C403" s="19">
        <f>VLOOKUP(A403,'ESTADOS ESTUDIANTES'!B:L,3,0)</f>
        <v>195</v>
      </c>
      <c r="D403" s="66" t="str">
        <f>VLOOKUP(A403,'ESTADOS ESTUDIANTES'!B:L,4,0)</f>
        <v>MAE. EN CIENCIAS DE LA INF. Y LAS COMUNICACIONES ENFASIS EN TELEINF.</v>
      </c>
      <c r="E403" s="19" t="str">
        <f>VLOOKUP(A403,'ESTADOS ESTUDIANTES'!B:L,5,0)</f>
        <v>E</v>
      </c>
      <c r="F403" s="18" t="str">
        <f>VLOOKUP(E403,Listas!B1:C1004,2,0)</f>
        <v>EGRESADO</v>
      </c>
      <c r="G403" s="19">
        <f>VLOOKUP(A403,'ESTADOS ESTUDIANTES'!B:L,7,0)</f>
        <v>1</v>
      </c>
      <c r="H403" s="19">
        <f>VLOOKUP(A403,'ESTADOS ESTUDIANTES'!B:L,8,0)</f>
        <v>0</v>
      </c>
      <c r="I403" s="70" t="str">
        <f>VLOOKUP(A403,'ESTADOS ESTUDIANTES'!B:L,9,0)</f>
        <v>fernando6297@hotmail.com</v>
      </c>
      <c r="J403" s="19" t="str">
        <f>VLOOKUP(A403,'ESTADOS ESTUDIANTES'!B:L,10,0)</f>
        <v>CC</v>
      </c>
      <c r="K403" s="19">
        <f>VLOOKUP(A403,'ESTADOS ESTUDIANTES'!B:L,11,0)</f>
        <v>91509715</v>
      </c>
      <c r="L403" s="23"/>
      <c r="M403" s="20"/>
      <c r="N403" s="22"/>
      <c r="O403" s="15"/>
      <c r="P403" s="15"/>
      <c r="Q403" s="15"/>
      <c r="R403" s="15"/>
      <c r="S403" s="15"/>
      <c r="T403" s="15"/>
      <c r="U403" s="15"/>
    </row>
    <row r="404" spans="1:21" ht="90">
      <c r="A404" s="17">
        <v>20082195012</v>
      </c>
      <c r="B404" s="19" t="str">
        <f>VLOOKUP(A404,'ESTADOS ESTUDIANTES'!B:L,2,0)</f>
        <v>MURILLO POLANIA FERNANDO ANDRES</v>
      </c>
      <c r="C404" s="19">
        <f>VLOOKUP(A404,'ESTADOS ESTUDIANTES'!B:L,3,0)</f>
        <v>195</v>
      </c>
      <c r="D404" s="66" t="str">
        <f>VLOOKUP(A404,'ESTADOS ESTUDIANTES'!B:L,4,0)</f>
        <v>MAE. EN CIENCIAS DE LA INF. Y LAS COMUNICACIONES ENFASIS EN TELEINF.</v>
      </c>
      <c r="E404" s="19" t="str">
        <f>VLOOKUP(A404,'ESTADOS ESTUDIANTES'!B:L,5,0)</f>
        <v>X</v>
      </c>
      <c r="F404" s="18" t="str">
        <f>VLOOKUP(E404,Listas!B1:C1004,2,0)</f>
        <v>EXCLUIDO</v>
      </c>
      <c r="G404" s="19" t="str">
        <f>VLOOKUP(A404,'ESTADOS ESTUDIANTES'!B:L,7,0)</f>
        <v>NO REGISTRA</v>
      </c>
      <c r="H404" s="19" t="str">
        <f>VLOOKUP(A404,'ESTADOS ESTUDIANTES'!B:L,8,0)</f>
        <v>famurillop@correo.udistrital.edu.co</v>
      </c>
      <c r="I404" s="70" t="str">
        <f>VLOOKUP(A404,'ESTADOS ESTUDIANTES'!B:L,9,0)</f>
        <v>murillofercho@hotmail.com</v>
      </c>
      <c r="J404" s="19" t="str">
        <f>VLOOKUP(A404,'ESTADOS ESTUDIANTES'!B:L,10,0)</f>
        <v>CC</v>
      </c>
      <c r="K404" s="19">
        <f>VLOOKUP(A404,'ESTADOS ESTUDIANTES'!B:L,11,0)</f>
        <v>7710659</v>
      </c>
      <c r="L404" s="23"/>
      <c r="M404" s="20"/>
      <c r="N404" s="22"/>
      <c r="O404" s="15"/>
      <c r="P404" s="15"/>
      <c r="Q404" s="15"/>
      <c r="R404" s="15"/>
      <c r="S404" s="15"/>
      <c r="T404" s="15"/>
      <c r="U404" s="15"/>
    </row>
    <row r="405" spans="1:21" ht="90">
      <c r="A405" s="17">
        <v>20082195013</v>
      </c>
      <c r="B405" s="19" t="str">
        <f>VLOOKUP(A405,'ESTADOS ESTUDIANTES'!B:L,2,0)</f>
        <v>OSPINA NAVAS JAIDER</v>
      </c>
      <c r="C405" s="19">
        <f>VLOOKUP(A405,'ESTADOS ESTUDIANTES'!B:L,3,0)</f>
        <v>195</v>
      </c>
      <c r="D405" s="66" t="str">
        <f>VLOOKUP(A405,'ESTADOS ESTUDIANTES'!B:L,4,0)</f>
        <v>MAE. EN CIENCIAS DE LA INF. Y LAS COMUNICACIONES ENFASIS EN TELEINF.</v>
      </c>
      <c r="E405" s="19" t="str">
        <f>VLOOKUP(A405,'ESTADOS ESTUDIANTES'!B:L,5,0)</f>
        <v>E</v>
      </c>
      <c r="F405" s="18" t="str">
        <f>VLOOKUP(E405,Listas!B1:C1004,2,0)</f>
        <v>EGRESADO</v>
      </c>
      <c r="G405" s="19">
        <f>VLOOKUP(A405,'ESTADOS ESTUDIANTES'!B:L,7,0)</f>
        <v>1</v>
      </c>
      <c r="H405" s="19" t="str">
        <f>VLOOKUP(A405,'ESTADOS ESTUDIANTES'!B:L,8,0)</f>
        <v>jospinan@correo.udistrital.edu.co</v>
      </c>
      <c r="I405" s="70" t="str">
        <f>VLOOKUP(A405,'ESTADOS ESTUDIANTES'!B:L,9,0)</f>
        <v>jaider.ospina@gmail.com</v>
      </c>
      <c r="J405" s="19" t="str">
        <f>VLOOKUP(A405,'ESTADOS ESTUDIANTES'!B:L,10,0)</f>
        <v>CC</v>
      </c>
      <c r="K405" s="19">
        <f>VLOOKUP(A405,'ESTADOS ESTUDIANTES'!B:L,11,0)</f>
        <v>17652534</v>
      </c>
      <c r="L405" s="23"/>
      <c r="M405" s="20"/>
      <c r="N405" s="22"/>
      <c r="O405" s="15"/>
      <c r="P405" s="15"/>
      <c r="Q405" s="15"/>
      <c r="R405" s="15"/>
      <c r="S405" s="15"/>
      <c r="T405" s="15"/>
      <c r="U405" s="15"/>
    </row>
    <row r="406" spans="1:21" ht="90">
      <c r="A406" s="17">
        <v>20082195014</v>
      </c>
      <c r="B406" s="19" t="str">
        <f>VLOOKUP(A406,'ESTADOS ESTUDIANTES'!B:L,2,0)</f>
        <v>PATERNINA DURAN JESUS MANUEL</v>
      </c>
      <c r="C406" s="19">
        <f>VLOOKUP(A406,'ESTADOS ESTUDIANTES'!B:L,3,0)</f>
        <v>195</v>
      </c>
      <c r="D406" s="66" t="str">
        <f>VLOOKUP(A406,'ESTADOS ESTUDIANTES'!B:L,4,0)</f>
        <v>MAE. EN CIENCIAS DE LA INF. Y LAS COMUNICACIONES ENFASIS EN TELEINF.</v>
      </c>
      <c r="E406" s="19" t="str">
        <f>VLOOKUP(A406,'ESTADOS ESTUDIANTES'!B:L,5,0)</f>
        <v>X</v>
      </c>
      <c r="F406" s="18" t="str">
        <f>VLOOKUP(E406,Listas!B1:C1004,2,0)</f>
        <v>EXCLUIDO</v>
      </c>
      <c r="G406" s="19" t="str">
        <f>VLOOKUP(A406,'ESTADOS ESTUDIANTES'!B:L,7,0)</f>
        <v>NO REGISTRA</v>
      </c>
      <c r="H406" s="19">
        <f>VLOOKUP(A406,'ESTADOS ESTUDIANTES'!B:L,8,0)</f>
        <v>0</v>
      </c>
      <c r="I406" s="70" t="str">
        <f>VLOOKUP(A406,'ESTADOS ESTUDIANTES'!B:L,9,0)</f>
        <v>jesus_p17@yahoo.com</v>
      </c>
      <c r="J406" s="19" t="str">
        <f>VLOOKUP(A406,'ESTADOS ESTUDIANTES'!B:L,10,0)</f>
        <v>CC</v>
      </c>
      <c r="K406" s="19">
        <f>VLOOKUP(A406,'ESTADOS ESTUDIANTES'!B:L,11,0)</f>
        <v>80095218</v>
      </c>
      <c r="L406" s="23"/>
      <c r="M406" s="20"/>
      <c r="N406" s="22"/>
      <c r="O406" s="15"/>
      <c r="P406" s="15"/>
      <c r="Q406" s="15"/>
      <c r="R406" s="15"/>
      <c r="S406" s="15"/>
      <c r="T406" s="15"/>
      <c r="U406" s="15"/>
    </row>
    <row r="407" spans="1:21" ht="90">
      <c r="A407" s="17">
        <v>20082195015</v>
      </c>
      <c r="B407" s="19" t="str">
        <f>VLOOKUP(A407,'ESTADOS ESTUDIANTES'!B:L,2,0)</f>
        <v>PUENTE REYES SEBASTIAN FERNANDO</v>
      </c>
      <c r="C407" s="19">
        <f>VLOOKUP(A407,'ESTADOS ESTUDIANTES'!B:L,3,0)</f>
        <v>195</v>
      </c>
      <c r="D407" s="66" t="str">
        <f>VLOOKUP(A407,'ESTADOS ESTUDIANTES'!B:L,4,0)</f>
        <v>MAE. EN CIENCIAS DE LA INF. Y LAS COMUNICACIONES ENFASIS EN TELEINF.</v>
      </c>
      <c r="E407" s="19" t="str">
        <f>VLOOKUP(A407,'ESTADOS ESTUDIANTES'!B:L,5,0)</f>
        <v>E</v>
      </c>
      <c r="F407" s="18" t="str">
        <f>VLOOKUP(E407,Listas!B1:C1004,2,0)</f>
        <v>EGRESADO</v>
      </c>
      <c r="G407" s="19">
        <f>VLOOKUP(A407,'ESTADOS ESTUDIANTES'!B:L,7,0)</f>
        <v>3</v>
      </c>
      <c r="H407" s="19" t="str">
        <f>VLOOKUP(A407,'ESTADOS ESTUDIANTES'!B:L,8,0)</f>
        <v>sfpuenter@correo.udistrital.edu.co</v>
      </c>
      <c r="I407" s="70" t="str">
        <f>VLOOKUP(A407,'ESTADOS ESTUDIANTES'!B:L,9,0)</f>
        <v>sebastianfpr@gmail.com</v>
      </c>
      <c r="J407" s="19" t="str">
        <f>VLOOKUP(A407,'ESTADOS ESTUDIANTES'!B:L,10,0)</f>
        <v>CC</v>
      </c>
      <c r="K407" s="19">
        <f>VLOOKUP(A407,'ESTADOS ESTUDIANTES'!B:L,11,0)</f>
        <v>86084280</v>
      </c>
      <c r="L407" s="23"/>
      <c r="M407" s="20"/>
      <c r="N407" s="22"/>
      <c r="O407" s="15"/>
      <c r="P407" s="15"/>
      <c r="Q407" s="15"/>
      <c r="R407" s="15"/>
      <c r="S407" s="15"/>
      <c r="T407" s="15"/>
      <c r="U407" s="15"/>
    </row>
    <row r="408" spans="1:21" ht="90">
      <c r="A408" s="17">
        <v>20082195016</v>
      </c>
      <c r="B408" s="19" t="str">
        <f>VLOOKUP(A408,'ESTADOS ESTUDIANTES'!B:L,2,0)</f>
        <v>RODRIGUEZ MARTINEZ JAIRO ALEJANDRO</v>
      </c>
      <c r="C408" s="19">
        <f>VLOOKUP(A408,'ESTADOS ESTUDIANTES'!B:L,3,0)</f>
        <v>195</v>
      </c>
      <c r="D408" s="66" t="str">
        <f>VLOOKUP(A408,'ESTADOS ESTUDIANTES'!B:L,4,0)</f>
        <v>MAE. EN CIENCIAS DE LA INF. Y LAS COMUNICACIONES ENFASIS EN TELEINF.</v>
      </c>
      <c r="E408" s="19" t="str">
        <f>VLOOKUP(A408,'ESTADOS ESTUDIANTES'!B:L,5,0)</f>
        <v>X</v>
      </c>
      <c r="F408" s="18" t="str">
        <f>VLOOKUP(E408,Listas!B1:C1004,2,0)</f>
        <v>EXCLUIDO</v>
      </c>
      <c r="G408" s="19" t="str">
        <f>VLOOKUP(A408,'ESTADOS ESTUDIANTES'!B:L,7,0)</f>
        <v>NO REGISTRA</v>
      </c>
      <c r="H408" s="19">
        <f>VLOOKUP(A408,'ESTADOS ESTUDIANTES'!B:L,8,0)</f>
        <v>0</v>
      </c>
      <c r="I408" s="70" t="str">
        <f>VLOOKUP(A408,'ESTADOS ESTUDIANTES'!B:L,9,0)</f>
        <v>jairorodriguez@usantotomas.edu</v>
      </c>
      <c r="J408" s="19" t="str">
        <f>VLOOKUP(A408,'ESTADOS ESTUDIANTES'!B:L,10,0)</f>
        <v>CC</v>
      </c>
      <c r="K408" s="19">
        <f>VLOOKUP(A408,'ESTADOS ESTUDIANTES'!B:L,11,0)</f>
        <v>19364964</v>
      </c>
      <c r="L408" s="23"/>
      <c r="M408" s="20"/>
      <c r="N408" s="22"/>
      <c r="O408" s="15"/>
      <c r="P408" s="15"/>
      <c r="Q408" s="15"/>
      <c r="R408" s="15"/>
      <c r="S408" s="15"/>
      <c r="T408" s="15"/>
      <c r="U408" s="15"/>
    </row>
    <row r="409" spans="1:21" ht="90">
      <c r="A409" s="17">
        <v>20082195017</v>
      </c>
      <c r="B409" s="19" t="str">
        <f>VLOOKUP(A409,'ESTADOS ESTUDIANTES'!B:L,2,0)</f>
        <v>SOCARRAS QUINTERO VIRGILIO SANTANDER</v>
      </c>
      <c r="C409" s="19">
        <f>VLOOKUP(A409,'ESTADOS ESTUDIANTES'!B:L,3,0)</f>
        <v>195</v>
      </c>
      <c r="D409" s="66" t="str">
        <f>VLOOKUP(A409,'ESTADOS ESTUDIANTES'!B:L,4,0)</f>
        <v>MAE. EN CIENCIAS DE LA INF. Y LAS COMUNICACIONES ENFASIS EN TELEINF.</v>
      </c>
      <c r="E409" s="19" t="str">
        <f>VLOOKUP(A409,'ESTADOS ESTUDIANTES'!B:L,5,0)</f>
        <v>E</v>
      </c>
      <c r="F409" s="18" t="str">
        <f>VLOOKUP(E409,Listas!B1:C1004,2,0)</f>
        <v>EGRESADO</v>
      </c>
      <c r="G409" s="19" t="str">
        <f>VLOOKUP(A409,'ESTADOS ESTUDIANTES'!B:L,7,0)</f>
        <v>NO REGISTRA</v>
      </c>
      <c r="H409" s="19" t="str">
        <f>VLOOKUP(A409,'ESTADOS ESTUDIANTES'!B:L,8,0)</f>
        <v>vssocarrasq@correo.udistrital.edu.co</v>
      </c>
      <c r="I409" s="70" t="str">
        <f>VLOOKUP(A409,'ESTADOS ESTUDIANTES'!B:L,9,0)</f>
        <v>vsquintero@yahoo.com</v>
      </c>
      <c r="J409" s="19" t="str">
        <f>VLOOKUP(A409,'ESTADOS ESTUDIANTES'!B:L,10,0)</f>
        <v>CC</v>
      </c>
      <c r="K409" s="19">
        <f>VLOOKUP(A409,'ESTADOS ESTUDIANTES'!B:L,11,0)</f>
        <v>84090824</v>
      </c>
      <c r="L409" s="23"/>
      <c r="M409" s="20"/>
      <c r="N409" s="22"/>
      <c r="O409" s="15"/>
      <c r="P409" s="15"/>
      <c r="Q409" s="15"/>
      <c r="R409" s="15"/>
      <c r="S409" s="15"/>
      <c r="T409" s="15"/>
      <c r="U409" s="15"/>
    </row>
    <row r="410" spans="1:21" ht="90">
      <c r="A410" s="17">
        <v>20082195018</v>
      </c>
      <c r="B410" s="19" t="str">
        <f>VLOOKUP(A410,'ESTADOS ESTUDIANTES'!B:L,2,0)</f>
        <v>TELLO CASTAÑEDA MARTHA LUCIA</v>
      </c>
      <c r="C410" s="19">
        <f>VLOOKUP(A410,'ESTADOS ESTUDIANTES'!B:L,3,0)</f>
        <v>195</v>
      </c>
      <c r="D410" s="66" t="str">
        <f>VLOOKUP(A410,'ESTADOS ESTUDIANTES'!B:L,4,0)</f>
        <v>MAE. EN CIENCIAS DE LA INF. Y LAS COMUNICACIONES ENFASIS EN TELEINF.</v>
      </c>
      <c r="E410" s="19" t="str">
        <f>VLOOKUP(A410,'ESTADOS ESTUDIANTES'!B:L,5,0)</f>
        <v>X</v>
      </c>
      <c r="F410" s="18" t="str">
        <f>VLOOKUP(E410,Listas!B1:C1004,2,0)</f>
        <v>EXCLUIDO</v>
      </c>
      <c r="G410" s="19" t="str">
        <f>VLOOKUP(A410,'ESTADOS ESTUDIANTES'!B:L,7,0)</f>
        <v>NO REGISTRA</v>
      </c>
      <c r="H410" s="19">
        <f>VLOOKUP(A410,'ESTADOS ESTUDIANTES'!B:L,8,0)</f>
        <v>0</v>
      </c>
      <c r="I410" s="70" t="str">
        <f>VLOOKUP(A410,'ESTADOS ESTUDIANTES'!B:L,9,0)</f>
        <v>marticatello@gmail.com</v>
      </c>
      <c r="J410" s="19" t="str">
        <f>VLOOKUP(A410,'ESTADOS ESTUDIANTES'!B:L,10,0)</f>
        <v>CC</v>
      </c>
      <c r="K410" s="19">
        <f>VLOOKUP(A410,'ESTADOS ESTUDIANTES'!B:L,11,0)</f>
        <v>65771052</v>
      </c>
      <c r="L410" s="23"/>
      <c r="M410" s="20"/>
      <c r="N410" s="22"/>
      <c r="O410" s="15"/>
      <c r="P410" s="15"/>
      <c r="Q410" s="15"/>
      <c r="R410" s="15"/>
      <c r="S410" s="15"/>
      <c r="T410" s="15"/>
      <c r="U410" s="15"/>
    </row>
    <row r="411" spans="1:21" ht="90">
      <c r="A411" s="17">
        <v>20082295001</v>
      </c>
      <c r="B411" s="19" t="str">
        <f>VLOOKUP(A411,'ESTADOS ESTUDIANTES'!B:L,2,0)</f>
        <v>OSCAR MANUEL AGUDELO VARELA</v>
      </c>
      <c r="C411" s="19">
        <f>VLOOKUP(A411,'ESTADOS ESTUDIANTES'!B:L,3,0)</f>
        <v>295</v>
      </c>
      <c r="D411" s="66" t="str">
        <f>VLOOKUP(A411,'ESTADOS ESTUDIANTES'!B:L,4,0)</f>
        <v>MAE. EN CIENCIAS DE LA INF. Y LAS COMUNICACIONES ENFASIS EN SIS. INFOR</v>
      </c>
      <c r="E411" s="19" t="str">
        <f>VLOOKUP(A411,'ESTADOS ESTUDIANTES'!B:L,5,0)</f>
        <v>E</v>
      </c>
      <c r="F411" s="18" t="str">
        <f>VLOOKUP(E411,Listas!B1:C1004,2,0)</f>
        <v>EGRESADO</v>
      </c>
      <c r="G411" s="19" t="str">
        <f>VLOOKUP(A411,'ESTADOS ESTUDIANTES'!B:L,7,0)</f>
        <v>NO REGISTRA</v>
      </c>
      <c r="H411" s="19" t="str">
        <f>VLOOKUP(A411,'ESTADOS ESTUDIANTES'!B:L,8,0)</f>
        <v>omagudelov@correo.udistrital.edu.co</v>
      </c>
      <c r="I411" s="70" t="str">
        <f>VLOOKUP(A411,'ESTADOS ESTUDIANTES'!B:L,9,0)</f>
        <v>oagudelo2@yahoo.com</v>
      </c>
      <c r="J411" s="19" t="str">
        <f>VLOOKUP(A411,'ESTADOS ESTUDIANTES'!B:L,10,0)</f>
        <v>CC</v>
      </c>
      <c r="K411" s="19">
        <f>VLOOKUP(A411,'ESTADOS ESTUDIANTES'!B:L,11,0)</f>
        <v>86042004</v>
      </c>
      <c r="L411" s="23"/>
      <c r="M411" s="20"/>
      <c r="N411" s="22"/>
      <c r="O411" s="15"/>
      <c r="P411" s="15"/>
      <c r="Q411" s="15"/>
      <c r="R411" s="15"/>
      <c r="S411" s="15"/>
      <c r="T411" s="15"/>
      <c r="U411" s="15"/>
    </row>
    <row r="412" spans="1:21" ht="90">
      <c r="A412" s="17">
        <v>20082295002</v>
      </c>
      <c r="B412" s="19" t="str">
        <f>VLOOKUP(A412,'ESTADOS ESTUDIANTES'!B:L,2,0)</f>
        <v>CASTELLANOS JAIMES LILIA MARINA</v>
      </c>
      <c r="C412" s="19">
        <f>VLOOKUP(A412,'ESTADOS ESTUDIANTES'!B:L,3,0)</f>
        <v>295</v>
      </c>
      <c r="D412" s="66" t="str">
        <f>VLOOKUP(A412,'ESTADOS ESTUDIANTES'!B:L,4,0)</f>
        <v>MAE. EN CIENCIAS DE LA INF. Y LAS COMUNICACIONES ENFASIS EN SIS. INFOR</v>
      </c>
      <c r="E412" s="19" t="str">
        <f>VLOOKUP(A412,'ESTADOS ESTUDIANTES'!B:L,5,0)</f>
        <v>E</v>
      </c>
      <c r="F412" s="18" t="str">
        <f>VLOOKUP(E412,Listas!B1:C1004,2,0)</f>
        <v>EGRESADO</v>
      </c>
      <c r="G412" s="19" t="str">
        <f>VLOOKUP(A412,'ESTADOS ESTUDIANTES'!B:L,7,0)</f>
        <v>NO REGISTRA</v>
      </c>
      <c r="H412" s="19" t="str">
        <f>VLOOKUP(A412,'ESTADOS ESTUDIANTES'!B:L,8,0)</f>
        <v>lmcastellanosj@correo.udistrital.edu.co</v>
      </c>
      <c r="I412" s="70" t="str">
        <f>VLOOKUP(A412,'ESTADOS ESTUDIANTES'!B:L,9,0)</f>
        <v>lcastel-jaim@hotmail.com</v>
      </c>
      <c r="J412" s="19" t="str">
        <f>VLOOKUP(A412,'ESTADOS ESTUDIANTES'!B:L,10,0)</f>
        <v>CC</v>
      </c>
      <c r="K412" s="19">
        <f>VLOOKUP(A412,'ESTADOS ESTUDIANTES'!B:L,11,0)</f>
        <v>63505871</v>
      </c>
      <c r="L412" s="23"/>
      <c r="M412" s="20"/>
      <c r="N412" s="22"/>
      <c r="O412" s="15"/>
      <c r="P412" s="15"/>
      <c r="Q412" s="15"/>
      <c r="R412" s="15"/>
      <c r="S412" s="15"/>
      <c r="T412" s="15"/>
      <c r="U412" s="15"/>
    </row>
    <row r="413" spans="1:21" ht="90">
      <c r="A413" s="17">
        <v>20082295003</v>
      </c>
      <c r="B413" s="19" t="str">
        <f>VLOOKUP(A413,'ESTADOS ESTUDIANTES'!B:L,2,0)</f>
        <v>COLLO GARCIA RICHARD</v>
      </c>
      <c r="C413" s="19">
        <f>VLOOKUP(A413,'ESTADOS ESTUDIANTES'!B:L,3,0)</f>
        <v>295</v>
      </c>
      <c r="D413" s="66" t="str">
        <f>VLOOKUP(A413,'ESTADOS ESTUDIANTES'!B:L,4,0)</f>
        <v>MAE. EN CIENCIAS DE LA INF. Y LAS COMUNICACIONES ENFASIS EN SIS. INFOR</v>
      </c>
      <c r="E413" s="19" t="str">
        <f>VLOOKUP(A413,'ESTADOS ESTUDIANTES'!B:L,5,0)</f>
        <v>X</v>
      </c>
      <c r="F413" s="18" t="str">
        <f>VLOOKUP(E413,Listas!B1:C1004,2,0)</f>
        <v>EXCLUIDO</v>
      </c>
      <c r="G413" s="19" t="str">
        <f>VLOOKUP(A413,'ESTADOS ESTUDIANTES'!B:L,7,0)</f>
        <v>NO REGISTRA</v>
      </c>
      <c r="H413" s="19">
        <f>VLOOKUP(A413,'ESTADOS ESTUDIANTES'!B:L,8,0)</f>
        <v>0</v>
      </c>
      <c r="I413" s="70" t="str">
        <f>VLOOKUP(A413,'ESTADOS ESTUDIANTES'!B:L,9,0)</f>
        <v>richard.collo@gmail.com</v>
      </c>
      <c r="J413" s="19" t="str">
        <f>VLOOKUP(A413,'ESTADOS ESTUDIANTES'!B:L,10,0)</f>
        <v>CC</v>
      </c>
      <c r="K413" s="19">
        <f>VLOOKUP(A413,'ESTADOS ESTUDIANTES'!B:L,11,0)</f>
        <v>79483314</v>
      </c>
      <c r="L413" s="23"/>
      <c r="M413" s="20"/>
      <c r="N413" s="22"/>
      <c r="O413" s="15"/>
      <c r="P413" s="15"/>
      <c r="Q413" s="15"/>
      <c r="R413" s="15"/>
      <c r="S413" s="15"/>
      <c r="T413" s="15"/>
      <c r="U413" s="15"/>
    </row>
    <row r="414" spans="1:21" ht="90">
      <c r="A414" s="17">
        <v>20082295004</v>
      </c>
      <c r="B414" s="19" t="str">
        <f>VLOOKUP(A414,'ESTADOS ESTUDIANTES'!B:L,2,0)</f>
        <v>DIAZ HERNANDO</v>
      </c>
      <c r="C414" s="19">
        <f>VLOOKUP(A414,'ESTADOS ESTUDIANTES'!B:L,3,0)</f>
        <v>295</v>
      </c>
      <c r="D414" s="66" t="str">
        <f>VLOOKUP(A414,'ESTADOS ESTUDIANTES'!B:L,4,0)</f>
        <v>MAE. EN CIENCIAS DE LA INF. Y LAS COMUNICACIONES ENFASIS EN SIS. INFOR</v>
      </c>
      <c r="E414" s="19" t="str">
        <f>VLOOKUP(A414,'ESTADOS ESTUDIANTES'!B:L,5,0)</f>
        <v>E</v>
      </c>
      <c r="F414" s="18" t="str">
        <f>VLOOKUP(E414,Listas!B1:C1004,2,0)</f>
        <v>EGRESADO</v>
      </c>
      <c r="G414" s="19">
        <f>VLOOKUP(A414,'ESTADOS ESTUDIANTES'!B:L,7,0)</f>
        <v>3</v>
      </c>
      <c r="H414" s="19" t="str">
        <f>VLOOKUP(A414,'ESTADOS ESTUDIANTES'!B:L,8,0)</f>
        <v>hdiaz@correo.udistrital.edu.co</v>
      </c>
      <c r="I414" s="70" t="str">
        <f>VLOOKUP(A414,'ESTADOS ESTUDIANTES'!B:L,9,0)</f>
        <v>informaticaporvenir@yahoo.es</v>
      </c>
      <c r="J414" s="19" t="str">
        <f>VLOOKUP(A414,'ESTADOS ESTUDIANTES'!B:L,10,0)</f>
        <v>CC</v>
      </c>
      <c r="K414" s="19">
        <f>VLOOKUP(A414,'ESTADOS ESTUDIANTES'!B:L,11,0)</f>
        <v>4238845</v>
      </c>
      <c r="L414" s="23"/>
      <c r="M414" s="20"/>
      <c r="N414" s="22"/>
      <c r="O414" s="15"/>
      <c r="P414" s="15"/>
      <c r="Q414" s="15"/>
      <c r="R414" s="15"/>
      <c r="S414" s="15"/>
      <c r="T414" s="15"/>
      <c r="U414" s="15"/>
    </row>
    <row r="415" spans="1:21" ht="90">
      <c r="A415" s="17">
        <v>20082295005</v>
      </c>
      <c r="B415" s="19" t="str">
        <f>VLOOKUP(A415,'ESTADOS ESTUDIANTES'!B:L,2,0)</f>
        <v>GARZON GARCIA MIGUEL FERNANDO</v>
      </c>
      <c r="C415" s="19">
        <f>VLOOKUP(A415,'ESTADOS ESTUDIANTES'!B:L,3,0)</f>
        <v>295</v>
      </c>
      <c r="D415" s="66" t="str">
        <f>VLOOKUP(A415,'ESTADOS ESTUDIANTES'!B:L,4,0)</f>
        <v>MAE. EN CIENCIAS DE LA INF. Y LAS COMUNICACIONES ENFASIS EN SIS. INFOR</v>
      </c>
      <c r="E415" s="19" t="str">
        <f>VLOOKUP(A415,'ESTADOS ESTUDIANTES'!B:L,5,0)</f>
        <v>X</v>
      </c>
      <c r="F415" s="18" t="str">
        <f>VLOOKUP(E415,Listas!B1:C1004,2,0)</f>
        <v>EXCLUIDO</v>
      </c>
      <c r="G415" s="19">
        <f>VLOOKUP(A415,'ESTADOS ESTUDIANTES'!B:L,7,0)</f>
        <v>4</v>
      </c>
      <c r="H415" s="19" t="str">
        <f>VLOOKUP(A415,'ESTADOS ESTUDIANTES'!B:L,8,0)</f>
        <v>mfgarzong@correo.udistrital.edu.co</v>
      </c>
      <c r="I415" s="70" t="str">
        <f>VLOOKUP(A415,'ESTADOS ESTUDIANTES'!B:L,9,0)</f>
        <v>miguelfg76@yahoo.com</v>
      </c>
      <c r="J415" s="19" t="str">
        <f>VLOOKUP(A415,'ESTADOS ESTUDIANTES'!B:L,10,0)</f>
        <v>CC</v>
      </c>
      <c r="K415" s="19">
        <f>VLOOKUP(A415,'ESTADOS ESTUDIANTES'!B:L,11,0)</f>
        <v>79904257</v>
      </c>
      <c r="L415" s="23"/>
      <c r="M415" s="20"/>
      <c r="N415" s="22"/>
      <c r="O415" s="15"/>
      <c r="P415" s="15"/>
      <c r="Q415" s="15"/>
      <c r="R415" s="15"/>
      <c r="S415" s="15"/>
      <c r="T415" s="15"/>
      <c r="U415" s="15"/>
    </row>
    <row r="416" spans="1:21" ht="90">
      <c r="A416" s="17">
        <v>20082295006</v>
      </c>
      <c r="B416" s="19" t="str">
        <f>VLOOKUP(A416,'ESTADOS ESTUDIANTES'!B:L,2,0)</f>
        <v>GIRON ECHEVERRY ERNESTO</v>
      </c>
      <c r="C416" s="19">
        <f>VLOOKUP(A416,'ESTADOS ESTUDIANTES'!B:L,3,0)</f>
        <v>295</v>
      </c>
      <c r="D416" s="66" t="str">
        <f>VLOOKUP(A416,'ESTADOS ESTUDIANTES'!B:L,4,0)</f>
        <v>MAE. EN CIENCIAS DE LA INF. Y LAS COMUNICACIONES ENFASIS EN SIS. INFOR</v>
      </c>
      <c r="E416" s="19" t="str">
        <f>VLOOKUP(A416,'ESTADOS ESTUDIANTES'!B:L,5,0)</f>
        <v>X</v>
      </c>
      <c r="F416" s="18" t="str">
        <f>VLOOKUP(E416,Listas!B1:C1004,2,0)</f>
        <v>EXCLUIDO</v>
      </c>
      <c r="G416" s="19" t="str">
        <f>VLOOKUP(A416,'ESTADOS ESTUDIANTES'!B:L,7,0)</f>
        <v>NO REGISTRA</v>
      </c>
      <c r="H416" s="19">
        <f>VLOOKUP(A416,'ESTADOS ESTUDIANTES'!B:L,8,0)</f>
        <v>0</v>
      </c>
      <c r="I416" s="70" t="str">
        <f>VLOOKUP(A416,'ESTADOS ESTUDIANTES'!B:L,9,0)</f>
        <v>e.giron.e@gmail.com</v>
      </c>
      <c r="J416" s="19" t="str">
        <f>VLOOKUP(A416,'ESTADOS ESTUDIANTES'!B:L,10,0)</f>
        <v>CC</v>
      </c>
      <c r="K416" s="19">
        <f>VLOOKUP(A416,'ESTADOS ESTUDIANTES'!B:L,11,0)</f>
        <v>94372372</v>
      </c>
      <c r="L416" s="23"/>
      <c r="M416" s="20"/>
      <c r="N416" s="22"/>
      <c r="O416" s="15"/>
      <c r="P416" s="15"/>
      <c r="Q416" s="15"/>
      <c r="R416" s="15"/>
      <c r="S416" s="15"/>
      <c r="T416" s="15"/>
      <c r="U416" s="15"/>
    </row>
    <row r="417" spans="1:21" ht="90">
      <c r="A417" s="17">
        <v>20082295007</v>
      </c>
      <c r="B417" s="19" t="str">
        <f>VLOOKUP(A417,'ESTADOS ESTUDIANTES'!B:L,2,0)</f>
        <v>GUARIN LOPEZ ANDRES PACIFICO</v>
      </c>
      <c r="C417" s="19">
        <f>VLOOKUP(A417,'ESTADOS ESTUDIANTES'!B:L,3,0)</f>
        <v>295</v>
      </c>
      <c r="D417" s="66" t="str">
        <f>VLOOKUP(A417,'ESTADOS ESTUDIANTES'!B:L,4,0)</f>
        <v>MAE. EN CIENCIAS DE LA INF. Y LAS COMUNICACIONES ENFASIS EN SIS. INFOR</v>
      </c>
      <c r="E417" s="19" t="str">
        <f>VLOOKUP(A417,'ESTADOS ESTUDIANTES'!B:L,5,0)</f>
        <v>E</v>
      </c>
      <c r="F417" s="18" t="str">
        <f>VLOOKUP(E417,Listas!B1:C1004,2,0)</f>
        <v>EGRESADO</v>
      </c>
      <c r="G417" s="19" t="str">
        <f>VLOOKUP(A417,'ESTADOS ESTUDIANTES'!B:L,7,0)</f>
        <v>NO REGISTRA</v>
      </c>
      <c r="H417" s="19" t="str">
        <f>VLOOKUP(A417,'ESTADOS ESTUDIANTES'!B:L,8,0)</f>
        <v>apguarinl@correo.udistrital.edu.co</v>
      </c>
      <c r="I417" s="70" t="str">
        <f>VLOOKUP(A417,'ESTADOS ESTUDIANTES'!B:L,9,0)</f>
        <v>andresguarinlo@yahoo.es</v>
      </c>
      <c r="J417" s="19" t="str">
        <f>VLOOKUP(A417,'ESTADOS ESTUDIANTES'!B:L,10,0)</f>
        <v>CC</v>
      </c>
      <c r="K417" s="19">
        <f>VLOOKUP(A417,'ESTADOS ESTUDIANTES'!B:L,11,0)</f>
        <v>80167835</v>
      </c>
      <c r="L417" s="23"/>
      <c r="M417" s="20"/>
      <c r="N417" s="22"/>
      <c r="O417" s="15"/>
      <c r="P417" s="15"/>
      <c r="Q417" s="15"/>
      <c r="R417" s="15"/>
      <c r="S417" s="15"/>
      <c r="T417" s="15"/>
      <c r="U417" s="15"/>
    </row>
    <row r="418" spans="1:21" ht="90">
      <c r="A418" s="17">
        <v>20082295008</v>
      </c>
      <c r="B418" s="19" t="str">
        <f>VLOOKUP(A418,'ESTADOS ESTUDIANTES'!B:L,2,0)</f>
        <v>MARTINEZ BUSTOS JAIRO ALFONSO</v>
      </c>
      <c r="C418" s="19">
        <f>VLOOKUP(A418,'ESTADOS ESTUDIANTES'!B:L,3,0)</f>
        <v>295</v>
      </c>
      <c r="D418" s="66" t="str">
        <f>VLOOKUP(A418,'ESTADOS ESTUDIANTES'!B:L,4,0)</f>
        <v>MAE. EN CIENCIAS DE LA INF. Y LAS COMUNICACIONES ENFASIS EN SIS. INFOR</v>
      </c>
      <c r="E418" s="19" t="str">
        <f>VLOOKUP(A418,'ESTADOS ESTUDIANTES'!B:L,5,0)</f>
        <v>X</v>
      </c>
      <c r="F418" s="18" t="str">
        <f>VLOOKUP(E418,Listas!B1:C1004,2,0)</f>
        <v>EXCLUIDO</v>
      </c>
      <c r="G418" s="19" t="str">
        <f>VLOOKUP(A418,'ESTADOS ESTUDIANTES'!B:L,7,0)</f>
        <v>NO REGISTRA</v>
      </c>
      <c r="H418" s="19">
        <f>VLOOKUP(A418,'ESTADOS ESTUDIANTES'!B:L,8,0)</f>
        <v>0</v>
      </c>
      <c r="I418" s="70" t="str">
        <f>VLOOKUP(A418,'ESTADOS ESTUDIANTES'!B:L,9,0)</f>
        <v>jamartinezb@unal.edu.co</v>
      </c>
      <c r="J418" s="19" t="str">
        <f>VLOOKUP(A418,'ESTADOS ESTUDIANTES'!B:L,10,0)</f>
        <v>CC</v>
      </c>
      <c r="K418" s="19">
        <f>VLOOKUP(A418,'ESTADOS ESTUDIANTES'!B:L,11,0)</f>
        <v>79343926</v>
      </c>
      <c r="L418" s="23"/>
      <c r="M418" s="20"/>
      <c r="N418" s="22"/>
      <c r="O418" s="15"/>
      <c r="P418" s="15"/>
      <c r="Q418" s="15"/>
      <c r="R418" s="15"/>
      <c r="S418" s="15"/>
      <c r="T418" s="15"/>
      <c r="U418" s="15"/>
    </row>
    <row r="419" spans="1:21" ht="90">
      <c r="A419" s="17">
        <v>20082295009</v>
      </c>
      <c r="B419" s="19" t="str">
        <f>VLOOKUP(A419,'ESTADOS ESTUDIANTES'!B:L,2,0)</f>
        <v>PEÑA NIÑO NELSON DARIO</v>
      </c>
      <c r="C419" s="19">
        <f>VLOOKUP(A419,'ESTADOS ESTUDIANTES'!B:L,3,0)</f>
        <v>295</v>
      </c>
      <c r="D419" s="66" t="str">
        <f>VLOOKUP(A419,'ESTADOS ESTUDIANTES'!B:L,4,0)</f>
        <v>MAE. EN CIENCIAS DE LA INF. Y LAS COMUNICACIONES ENFASIS EN SIS. INFOR</v>
      </c>
      <c r="E419" s="19" t="str">
        <f>VLOOKUP(A419,'ESTADOS ESTUDIANTES'!B:L,5,0)</f>
        <v>X</v>
      </c>
      <c r="F419" s="18" t="str">
        <f>VLOOKUP(E419,Listas!B1:C1004,2,0)</f>
        <v>EXCLUIDO</v>
      </c>
      <c r="G419" s="19" t="str">
        <f>VLOOKUP(A419,'ESTADOS ESTUDIANTES'!B:L,7,0)</f>
        <v>NO REGISTRA</v>
      </c>
      <c r="H419" s="19">
        <f>VLOOKUP(A419,'ESTADOS ESTUDIANTES'!B:L,8,0)</f>
        <v>0</v>
      </c>
      <c r="I419" s="70" t="str">
        <f>VLOOKUP(A419,'ESTADOS ESTUDIANTES'!B:L,9,0)</f>
        <v>nelson.d.pena.n@gmail.com</v>
      </c>
      <c r="J419" s="19" t="str">
        <f>VLOOKUP(A419,'ESTADOS ESTUDIANTES'!B:L,10,0)</f>
        <v>CC</v>
      </c>
      <c r="K419" s="19">
        <f>VLOOKUP(A419,'ESTADOS ESTUDIANTES'!B:L,11,0)</f>
        <v>79917618</v>
      </c>
      <c r="L419" s="23"/>
      <c r="M419" s="20"/>
      <c r="N419" s="22"/>
      <c r="O419" s="15"/>
      <c r="P419" s="15"/>
      <c r="Q419" s="15"/>
      <c r="R419" s="15"/>
      <c r="S419" s="15"/>
      <c r="T419" s="15"/>
      <c r="U419" s="15"/>
    </row>
    <row r="420" spans="1:21" ht="90">
      <c r="A420" s="17">
        <v>20082295010</v>
      </c>
      <c r="B420" s="19" t="str">
        <f>VLOOKUP(A420,'ESTADOS ESTUDIANTES'!B:L,2,0)</f>
        <v>PEREZ PUENTES ALVARO</v>
      </c>
      <c r="C420" s="19">
        <f>VLOOKUP(A420,'ESTADOS ESTUDIANTES'!B:L,3,0)</f>
        <v>295</v>
      </c>
      <c r="D420" s="66" t="str">
        <f>VLOOKUP(A420,'ESTADOS ESTUDIANTES'!B:L,4,0)</f>
        <v>MAE. EN CIENCIAS DE LA INF. Y LAS COMUNICACIONES ENFASIS EN SIS. INFOR</v>
      </c>
      <c r="E420" s="19" t="str">
        <f>VLOOKUP(A420,'ESTADOS ESTUDIANTES'!B:L,5,0)</f>
        <v>X</v>
      </c>
      <c r="F420" s="18" t="str">
        <f>VLOOKUP(E420,Listas!B1:C1004,2,0)</f>
        <v>EXCLUIDO</v>
      </c>
      <c r="G420" s="19" t="str">
        <f>VLOOKUP(A420,'ESTADOS ESTUDIANTES'!B:L,7,0)</f>
        <v>NO REGISTRA</v>
      </c>
      <c r="H420" s="19" t="str">
        <f>VLOOKUP(A420,'ESTADOS ESTUDIANTES'!B:L,8,0)</f>
        <v>alperezp@correo.udistrital.edu.co</v>
      </c>
      <c r="I420" s="70" t="str">
        <f>VLOOKUP(A420,'ESTADOS ESTUDIANTES'!B:L,9,0)</f>
        <v>alvaro.perez.puentes@hotmail.com</v>
      </c>
      <c r="J420" s="19" t="str">
        <f>VLOOKUP(A420,'ESTADOS ESTUDIANTES'!B:L,10,0)</f>
        <v>CC</v>
      </c>
      <c r="K420" s="19">
        <f>VLOOKUP(A420,'ESTADOS ESTUDIANTES'!B:L,11,0)</f>
        <v>79703666</v>
      </c>
      <c r="L420" s="23"/>
      <c r="M420" s="20"/>
      <c r="N420" s="22"/>
      <c r="O420" s="15"/>
      <c r="P420" s="15"/>
      <c r="Q420" s="15"/>
      <c r="R420" s="15"/>
      <c r="S420" s="15"/>
      <c r="T420" s="15"/>
      <c r="U420" s="15"/>
    </row>
    <row r="421" spans="1:21" ht="90">
      <c r="A421" s="17">
        <v>20082295011</v>
      </c>
      <c r="B421" s="19" t="str">
        <f>VLOOKUP(A421,'ESTADOS ESTUDIANTES'!B:L,2,0)</f>
        <v>RAMIREZ GRACIA RONALD YESID</v>
      </c>
      <c r="C421" s="19">
        <f>VLOOKUP(A421,'ESTADOS ESTUDIANTES'!B:L,3,0)</f>
        <v>295</v>
      </c>
      <c r="D421" s="66" t="str">
        <f>VLOOKUP(A421,'ESTADOS ESTUDIANTES'!B:L,4,0)</f>
        <v>MAE. EN CIENCIAS DE LA INF. Y LAS COMUNICACIONES ENFASIS EN SIS. INFOR</v>
      </c>
      <c r="E421" s="19" t="str">
        <f>VLOOKUP(A421,'ESTADOS ESTUDIANTES'!B:L,5,0)</f>
        <v>X</v>
      </c>
      <c r="F421" s="18" t="str">
        <f>VLOOKUP(E421,Listas!B1:C1004,2,0)</f>
        <v>EXCLUIDO</v>
      </c>
      <c r="G421" s="19" t="str">
        <f>VLOOKUP(A421,'ESTADOS ESTUDIANTES'!B:L,7,0)</f>
        <v>NO REGISTRA</v>
      </c>
      <c r="H421" s="19">
        <f>VLOOKUP(A421,'ESTADOS ESTUDIANTES'!B:L,8,0)</f>
        <v>0</v>
      </c>
      <c r="I421" s="70" t="str">
        <f>VLOOKUP(A421,'ESTADOS ESTUDIANTES'!B:L,9,0)</f>
        <v>ryramirezgracia@hotmail.com</v>
      </c>
      <c r="J421" s="19" t="str">
        <f>VLOOKUP(A421,'ESTADOS ESTUDIANTES'!B:L,10,0)</f>
        <v>CC</v>
      </c>
      <c r="K421" s="19">
        <f>VLOOKUP(A421,'ESTADOS ESTUDIANTES'!B:L,11,0)</f>
        <v>80832980</v>
      </c>
      <c r="L421" s="23"/>
      <c r="M421" s="20"/>
      <c r="N421" s="22"/>
      <c r="O421" s="15"/>
      <c r="P421" s="15"/>
      <c r="Q421" s="15"/>
      <c r="R421" s="15"/>
      <c r="S421" s="15"/>
      <c r="T421" s="15"/>
      <c r="U421" s="15"/>
    </row>
    <row r="422" spans="1:21" ht="90">
      <c r="A422" s="17">
        <v>20082295012</v>
      </c>
      <c r="B422" s="19" t="str">
        <f>VLOOKUP(A422,'ESTADOS ESTUDIANTES'!B:L,2,0)</f>
        <v>SUAREZ PORRAS ANGELICA JOANA</v>
      </c>
      <c r="C422" s="19">
        <f>VLOOKUP(A422,'ESTADOS ESTUDIANTES'!B:L,3,0)</f>
        <v>295</v>
      </c>
      <c r="D422" s="66" t="str">
        <f>VLOOKUP(A422,'ESTADOS ESTUDIANTES'!B:L,4,0)</f>
        <v>MAE. EN CIENCIAS DE LA INF. Y LAS COMUNICACIONES ENFASIS EN SIS. INFOR</v>
      </c>
      <c r="E422" s="19" t="str">
        <f>VLOOKUP(A422,'ESTADOS ESTUDIANTES'!B:L,5,0)</f>
        <v>E</v>
      </c>
      <c r="F422" s="18" t="str">
        <f>VLOOKUP(E422,Listas!B1:C1004,2,0)</f>
        <v>EGRESADO</v>
      </c>
      <c r="G422" s="19" t="str">
        <f>VLOOKUP(A422,'ESTADOS ESTUDIANTES'!B:L,7,0)</f>
        <v>NO REGISTRA</v>
      </c>
      <c r="H422" s="19" t="str">
        <f>VLOOKUP(A422,'ESTADOS ESTUDIANTES'!B:L,8,0)</f>
        <v>ajsuarezp@correo.udistrital.edu.co</v>
      </c>
      <c r="I422" s="70" t="str">
        <f>VLOOKUP(A422,'ESTADOS ESTUDIANTES'!B:L,9,0)</f>
        <v>angelicasuarez430@hotmail.com</v>
      </c>
      <c r="J422" s="19" t="str">
        <f>VLOOKUP(A422,'ESTADOS ESTUDIANTES'!B:L,10,0)</f>
        <v>CC</v>
      </c>
      <c r="K422" s="19">
        <f>VLOOKUP(A422,'ESTADOS ESTUDIANTES'!B:L,11,0)</f>
        <v>53050049</v>
      </c>
      <c r="L422" s="23"/>
      <c r="M422" s="20"/>
      <c r="N422" s="22"/>
      <c r="O422" s="15"/>
      <c r="P422" s="15"/>
      <c r="Q422" s="15"/>
      <c r="R422" s="15"/>
      <c r="S422" s="15"/>
      <c r="T422" s="15"/>
      <c r="U422" s="15"/>
    </row>
    <row r="423" spans="1:21" ht="90">
      <c r="A423" s="17">
        <v>20082295013</v>
      </c>
      <c r="B423" s="19" t="str">
        <f>VLOOKUP(A423,'ESTADOS ESTUDIANTES'!B:L,2,0)</f>
        <v>WILCHES MARADEY DANIEL</v>
      </c>
      <c r="C423" s="19">
        <f>VLOOKUP(A423,'ESTADOS ESTUDIANTES'!B:L,3,0)</f>
        <v>295</v>
      </c>
      <c r="D423" s="66" t="str">
        <f>VLOOKUP(A423,'ESTADOS ESTUDIANTES'!B:L,4,0)</f>
        <v>MAE. EN CIENCIAS DE LA INF. Y LAS COMUNICACIONES ENFASIS EN SIS. INFOR</v>
      </c>
      <c r="E423" s="19" t="str">
        <f>VLOOKUP(A423,'ESTADOS ESTUDIANTES'!B:L,5,0)</f>
        <v>X</v>
      </c>
      <c r="F423" s="18" t="str">
        <f>VLOOKUP(E423,Listas!B1:C1004,2,0)</f>
        <v>EXCLUIDO</v>
      </c>
      <c r="G423" s="19" t="str">
        <f>VLOOKUP(A423,'ESTADOS ESTUDIANTES'!B:L,7,0)</f>
        <v>NO REGISTRA</v>
      </c>
      <c r="H423" s="19">
        <f>VLOOKUP(A423,'ESTADOS ESTUDIANTES'!B:L,8,0)</f>
        <v>0</v>
      </c>
      <c r="I423" s="70" t="str">
        <f>VLOOKUP(A423,'ESTADOS ESTUDIANTES'!B:L,9,0)</f>
        <v>dwilches@gmail.com</v>
      </c>
      <c r="J423" s="19" t="str">
        <f>VLOOKUP(A423,'ESTADOS ESTUDIANTES'!B:L,10,0)</f>
        <v>CC</v>
      </c>
      <c r="K423" s="19">
        <f>VLOOKUP(A423,'ESTADOS ESTUDIANTES'!B:L,11,0)</f>
        <v>14624451</v>
      </c>
      <c r="L423" s="23"/>
      <c r="M423" s="20"/>
      <c r="N423" s="22"/>
      <c r="O423" s="15"/>
      <c r="P423" s="15"/>
      <c r="Q423" s="15"/>
      <c r="R423" s="15"/>
      <c r="S423" s="15"/>
      <c r="T423" s="15"/>
      <c r="U423" s="15"/>
    </row>
    <row r="424" spans="1:21" ht="90">
      <c r="A424" s="17">
        <v>20082295014</v>
      </c>
      <c r="B424" s="19" t="str">
        <f>VLOOKUP(A424,'ESTADOS ESTUDIANTES'!B:L,2,0)</f>
        <v>IREGUI MAYORGA DANIEL EDUARDO</v>
      </c>
      <c r="C424" s="19">
        <f>VLOOKUP(A424,'ESTADOS ESTUDIANTES'!B:L,3,0)</f>
        <v>295</v>
      </c>
      <c r="D424" s="66" t="str">
        <f>VLOOKUP(A424,'ESTADOS ESTUDIANTES'!B:L,4,0)</f>
        <v>MAE. EN CIENCIAS DE LA INF. Y LAS COMUNICACIONES ENFASIS EN SIS. INFOR</v>
      </c>
      <c r="E424" s="19" t="str">
        <f>VLOOKUP(A424,'ESTADOS ESTUDIANTES'!B:L,5,0)</f>
        <v>X</v>
      </c>
      <c r="F424" s="18" t="str">
        <f>VLOOKUP(E424,Listas!B1:C1004,2,0)</f>
        <v>EXCLUIDO</v>
      </c>
      <c r="G424" s="19" t="str">
        <f>VLOOKUP(A424,'ESTADOS ESTUDIANTES'!B:L,7,0)</f>
        <v>NO REGISTRA</v>
      </c>
      <c r="H424" s="19">
        <f>VLOOKUP(A424,'ESTADOS ESTUDIANTES'!B:L,8,0)</f>
        <v>0</v>
      </c>
      <c r="I424" s="70" t="str">
        <f>VLOOKUP(A424,'ESTADOS ESTUDIANTES'!B:L,9,0)</f>
        <v>diregui@unicundi.edu.co</v>
      </c>
      <c r="J424" s="19" t="str">
        <f>VLOOKUP(A424,'ESTADOS ESTUDIANTES'!B:L,10,0)</f>
        <v>CC</v>
      </c>
      <c r="K424" s="19">
        <f>VLOOKUP(A424,'ESTADOS ESTUDIANTES'!B:L,11,0)</f>
        <v>11256447</v>
      </c>
      <c r="L424" s="23"/>
      <c r="M424" s="20"/>
      <c r="N424" s="22"/>
      <c r="O424" s="15"/>
      <c r="P424" s="15"/>
      <c r="Q424" s="15"/>
      <c r="R424" s="15"/>
      <c r="S424" s="15"/>
      <c r="T424" s="15"/>
      <c r="U424" s="15"/>
    </row>
    <row r="425" spans="1:21" ht="90">
      <c r="A425" s="17">
        <v>20082295015</v>
      </c>
      <c r="B425" s="19" t="str">
        <f>VLOOKUP(A425,'ESTADOS ESTUDIANTES'!B:L,2,0)</f>
        <v>FRANCISCO JAVIER PUENTE PEREZ</v>
      </c>
      <c r="C425" s="19">
        <f>VLOOKUP(A425,'ESTADOS ESTUDIANTES'!B:L,3,0)</f>
        <v>295</v>
      </c>
      <c r="D425" s="66" t="str">
        <f>VLOOKUP(A425,'ESTADOS ESTUDIANTES'!B:L,4,0)</f>
        <v>MAE. EN CIENCIAS DE LA INF. Y LAS COMUNICACIONES ENFASIS EN SIS. INFOR</v>
      </c>
      <c r="E425" s="19" t="str">
        <f>VLOOKUP(A425,'ESTADOS ESTUDIANTES'!B:L,5,0)</f>
        <v>E</v>
      </c>
      <c r="F425" s="18" t="str">
        <f>VLOOKUP(E425,Listas!B1:C1004,2,0)</f>
        <v>EGRESADO</v>
      </c>
      <c r="G425" s="19">
        <f>VLOOKUP(A425,'ESTADOS ESTUDIANTES'!B:L,7,0)</f>
        <v>1</v>
      </c>
      <c r="H425" s="19" t="str">
        <f>VLOOKUP(A425,'ESTADOS ESTUDIANTES'!B:L,8,0)</f>
        <v>fjpuentep@correo.udistrital.edu.co</v>
      </c>
      <c r="I425" s="70" t="str">
        <f>VLOOKUP(A425,'ESTADOS ESTUDIANTES'!B:L,9,0)</f>
        <v>fjpuente2000@gmail.com</v>
      </c>
      <c r="J425" s="19" t="str">
        <f>VLOOKUP(A425,'ESTADOS ESTUDIANTES'!B:L,10,0)</f>
        <v>CC</v>
      </c>
      <c r="K425" s="19">
        <f>VLOOKUP(A425,'ESTADOS ESTUDIANTES'!B:L,11,0)</f>
        <v>80854045</v>
      </c>
      <c r="L425" s="23"/>
      <c r="M425" s="20"/>
      <c r="N425" s="22"/>
      <c r="O425" s="15"/>
      <c r="P425" s="15"/>
      <c r="Q425" s="15"/>
      <c r="R425" s="15"/>
      <c r="S425" s="15"/>
      <c r="T425" s="15"/>
      <c r="U425" s="15"/>
    </row>
    <row r="426" spans="1:21" ht="90">
      <c r="A426" s="17">
        <v>20082295016</v>
      </c>
      <c r="B426" s="19" t="str">
        <f>VLOOKUP(A426,'ESTADOS ESTUDIANTES'!B:L,2,0)</f>
        <v>TELLO CASTAÑEDA MARTHA LUCIA</v>
      </c>
      <c r="C426" s="19">
        <f>VLOOKUP(A426,'ESTADOS ESTUDIANTES'!B:L,3,0)</f>
        <v>295</v>
      </c>
      <c r="D426" s="66" t="str">
        <f>VLOOKUP(A426,'ESTADOS ESTUDIANTES'!B:L,4,0)</f>
        <v>MAE. EN CIENCIAS DE LA INF. Y LAS COMUNICACIONES ENFASIS EN SIS. INFOR</v>
      </c>
      <c r="E426" s="19" t="str">
        <f>VLOOKUP(A426,'ESTADOS ESTUDIANTES'!B:L,5,0)</f>
        <v>E</v>
      </c>
      <c r="F426" s="18" t="str">
        <f>VLOOKUP(E426,Listas!B1:C1004,2,0)</f>
        <v>EGRESADO</v>
      </c>
      <c r="G426" s="19">
        <f>VLOOKUP(A426,'ESTADOS ESTUDIANTES'!B:L,7,0)</f>
        <v>1</v>
      </c>
      <c r="H426" s="19" t="str">
        <f>VLOOKUP(A426,'ESTADOS ESTUDIANTES'!B:L,8,0)</f>
        <v>mltelloc@correo.udistrital.edu.co</v>
      </c>
      <c r="I426" s="70" t="str">
        <f>VLOOKUP(A426,'ESTADOS ESTUDIANTES'!B:L,9,0)</f>
        <v>marticatello@gmail.com</v>
      </c>
      <c r="J426" s="19" t="str">
        <f>VLOOKUP(A426,'ESTADOS ESTUDIANTES'!B:L,10,0)</f>
        <v>CC</v>
      </c>
      <c r="K426" s="19">
        <f>VLOOKUP(A426,'ESTADOS ESTUDIANTES'!B:L,11,0)</f>
        <v>65771052</v>
      </c>
      <c r="L426" s="23"/>
      <c r="M426" s="20"/>
      <c r="N426" s="22"/>
      <c r="O426" s="15"/>
      <c r="P426" s="15"/>
      <c r="Q426" s="15"/>
      <c r="R426" s="15"/>
      <c r="S426" s="15"/>
      <c r="T426" s="15"/>
      <c r="U426" s="15"/>
    </row>
    <row r="427" spans="1:21" ht="90">
      <c r="A427" s="17">
        <v>20091195001</v>
      </c>
      <c r="B427" s="19" t="str">
        <f>VLOOKUP(A427,'ESTADOS ESTUDIANTES'!B:L,2,0)</f>
        <v>CADENA RODRIGUEZ DELIO MAURICIO</v>
      </c>
      <c r="C427" s="19">
        <f>VLOOKUP(A427,'ESTADOS ESTUDIANTES'!B:L,3,0)</f>
        <v>195</v>
      </c>
      <c r="D427" s="66" t="str">
        <f>VLOOKUP(A427,'ESTADOS ESTUDIANTES'!B:L,4,0)</f>
        <v>MAE. EN CIENCIAS DE LA INF. Y LAS COMUNICACIONES ENFASIS EN TELEINF.</v>
      </c>
      <c r="E427" s="19" t="str">
        <f>VLOOKUP(A427,'ESTADOS ESTUDIANTES'!B:L,5,0)</f>
        <v>X</v>
      </c>
      <c r="F427" s="18" t="str">
        <f>VLOOKUP(E427,Listas!B1:C1004,2,0)</f>
        <v>EXCLUIDO</v>
      </c>
      <c r="G427" s="19" t="str">
        <f>VLOOKUP(A427,'ESTADOS ESTUDIANTES'!B:L,7,0)</f>
        <v>NO REGISTRA</v>
      </c>
      <c r="H427" s="19" t="str">
        <f>VLOOKUP(A427,'ESTADOS ESTUDIANTES'!B:L,8,0)</f>
        <v>dmcadenar@correo.udistrital.edu.co</v>
      </c>
      <c r="I427" s="70" t="str">
        <f>VLOOKUP(A427,'ESTADOS ESTUDIANTES'!B:L,9,0)</f>
        <v>mauriciocadena@hotmail.com</v>
      </c>
      <c r="J427" s="19" t="str">
        <f>VLOOKUP(A427,'ESTADOS ESTUDIANTES'!B:L,10,0)</f>
        <v>CC</v>
      </c>
      <c r="K427" s="19">
        <f>VLOOKUP(A427,'ESTADOS ESTUDIANTES'!B:L,11,0)</f>
        <v>79529265</v>
      </c>
      <c r="L427" s="23"/>
      <c r="M427" s="20"/>
      <c r="N427" s="22"/>
      <c r="O427" s="15"/>
      <c r="P427" s="15"/>
      <c r="Q427" s="15"/>
      <c r="R427" s="15"/>
      <c r="S427" s="15"/>
      <c r="T427" s="15"/>
      <c r="U427" s="15"/>
    </row>
    <row r="428" spans="1:21" ht="90">
      <c r="A428" s="17">
        <v>20091195002</v>
      </c>
      <c r="B428" s="19" t="str">
        <f>VLOOKUP(A428,'ESTADOS ESTUDIANTES'!B:L,2,0)</f>
        <v>GAITAN REBOLLO NAYID ANTONIO</v>
      </c>
      <c r="C428" s="19">
        <f>VLOOKUP(A428,'ESTADOS ESTUDIANTES'!B:L,3,0)</f>
        <v>195</v>
      </c>
      <c r="D428" s="66" t="str">
        <f>VLOOKUP(A428,'ESTADOS ESTUDIANTES'!B:L,4,0)</f>
        <v>MAE. EN CIENCIAS DE LA INF. Y LAS COMUNICACIONES ENFASIS EN TELEINF.</v>
      </c>
      <c r="E428" s="19" t="str">
        <f>VLOOKUP(A428,'ESTADOS ESTUDIANTES'!B:L,5,0)</f>
        <v>X</v>
      </c>
      <c r="F428" s="18" t="str">
        <f>VLOOKUP(E428,Listas!B1:C1004,2,0)</f>
        <v>EXCLUIDO</v>
      </c>
      <c r="G428" s="19">
        <f>VLOOKUP(A428,'ESTADOS ESTUDIANTES'!B:L,7,0)</f>
        <v>1</v>
      </c>
      <c r="H428" s="19" t="str">
        <f>VLOOKUP(A428,'ESTADOS ESTUDIANTES'!B:L,8,0)</f>
        <v>nagaitanr@correo.udistrital.edu.co</v>
      </c>
      <c r="I428" s="70" t="str">
        <f>VLOOKUP(A428,'ESTADOS ESTUDIANTES'!B:L,9,0)</f>
        <v>nanyhir@gmail.com</v>
      </c>
      <c r="J428" s="19" t="str">
        <f>VLOOKUP(A428,'ESTADOS ESTUDIANTES'!B:L,10,0)</f>
        <v>CC</v>
      </c>
      <c r="K428" s="19">
        <f>VLOOKUP(A428,'ESTADOS ESTUDIANTES'!B:L,11,0)</f>
        <v>72333804</v>
      </c>
      <c r="L428" s="23"/>
      <c r="M428" s="20"/>
      <c r="N428" s="22"/>
      <c r="O428" s="15"/>
      <c r="P428" s="15"/>
      <c r="Q428" s="15"/>
      <c r="R428" s="15"/>
      <c r="S428" s="15"/>
      <c r="T428" s="15"/>
      <c r="U428" s="15"/>
    </row>
    <row r="429" spans="1:21" ht="90">
      <c r="A429" s="17">
        <v>20091195003</v>
      </c>
      <c r="B429" s="19" t="str">
        <f>VLOOKUP(A429,'ESTADOS ESTUDIANTES'!B:L,2,0)</f>
        <v>JUAN GILBERTO GARCIA LOPEZ</v>
      </c>
      <c r="C429" s="19">
        <f>VLOOKUP(A429,'ESTADOS ESTUDIANTES'!B:L,3,0)</f>
        <v>195</v>
      </c>
      <c r="D429" s="66" t="str">
        <f>VLOOKUP(A429,'ESTADOS ESTUDIANTES'!B:L,4,0)</f>
        <v>MAE. EN CIENCIAS DE LA INF. Y LAS COMUNICACIONES ENFASIS EN TELEINF.</v>
      </c>
      <c r="E429" s="19" t="str">
        <f>VLOOKUP(A429,'ESTADOS ESTUDIANTES'!B:L,5,0)</f>
        <v>E</v>
      </c>
      <c r="F429" s="18" t="str">
        <f>VLOOKUP(E429,Listas!B1:C1004,2,0)</f>
        <v>EGRESADO</v>
      </c>
      <c r="G429" s="19">
        <f>VLOOKUP(A429,'ESTADOS ESTUDIANTES'!B:L,7,0)</f>
        <v>1</v>
      </c>
      <c r="H429" s="19" t="str">
        <f>VLOOKUP(A429,'ESTADOS ESTUDIANTES'!B:L,8,0)</f>
        <v>jggarcial@correo.udistrital.edu.co</v>
      </c>
      <c r="I429" s="70" t="str">
        <f>VLOOKUP(A429,'ESTADOS ESTUDIANTES'!B:L,9,0)</f>
        <v>jugigalo@gmail.com</v>
      </c>
      <c r="J429" s="19" t="str">
        <f>VLOOKUP(A429,'ESTADOS ESTUDIANTES'!B:L,10,0)</f>
        <v>CC</v>
      </c>
      <c r="K429" s="19">
        <f>VLOOKUP(A429,'ESTADOS ESTUDIANTES'!B:L,11,0)</f>
        <v>14139968</v>
      </c>
      <c r="L429" s="23"/>
      <c r="M429" s="20"/>
      <c r="N429" s="22"/>
      <c r="O429" s="15"/>
      <c r="P429" s="15"/>
      <c r="Q429" s="15"/>
      <c r="R429" s="15"/>
      <c r="S429" s="15"/>
      <c r="T429" s="15"/>
      <c r="U429" s="15"/>
    </row>
    <row r="430" spans="1:21" ht="90">
      <c r="A430" s="17">
        <v>20091195004</v>
      </c>
      <c r="B430" s="19" t="str">
        <f>VLOOKUP(A430,'ESTADOS ESTUDIANTES'!B:L,2,0)</f>
        <v>GOMEZ VARGAS RICARDO CESAR</v>
      </c>
      <c r="C430" s="19">
        <f>VLOOKUP(A430,'ESTADOS ESTUDIANTES'!B:L,3,0)</f>
        <v>195</v>
      </c>
      <c r="D430" s="66" t="str">
        <f>VLOOKUP(A430,'ESTADOS ESTUDIANTES'!B:L,4,0)</f>
        <v>MAE. EN CIENCIAS DE LA INF. Y LAS COMUNICACIONES ENFASIS EN TELEINF.</v>
      </c>
      <c r="E430" s="19" t="str">
        <f>VLOOKUP(A430,'ESTADOS ESTUDIANTES'!B:L,5,0)</f>
        <v>X</v>
      </c>
      <c r="F430" s="18" t="str">
        <f>VLOOKUP(E430,Listas!B1:C1004,2,0)</f>
        <v>EXCLUIDO</v>
      </c>
      <c r="G430" s="19" t="str">
        <f>VLOOKUP(A430,'ESTADOS ESTUDIANTES'!B:L,7,0)</f>
        <v>NO REGISTRA</v>
      </c>
      <c r="H430" s="19" t="str">
        <f>VLOOKUP(A430,'ESTADOS ESTUDIANTES'!B:L,8,0)</f>
        <v>rcgomezv@correo.udistrital.edu.co</v>
      </c>
      <c r="I430" s="70" t="str">
        <f>VLOOKUP(A430,'ESTADOS ESTUDIANTES'!B:L,9,0)</f>
        <v>rcgomezv@yahoo.com</v>
      </c>
      <c r="J430" s="19" t="str">
        <f>VLOOKUP(A430,'ESTADOS ESTUDIANTES'!B:L,10,0)</f>
        <v>CC</v>
      </c>
      <c r="K430" s="19">
        <f>VLOOKUP(A430,'ESTADOS ESTUDIANTES'!B:L,11,0)</f>
        <v>80030169</v>
      </c>
      <c r="L430" s="23"/>
      <c r="M430" s="20"/>
      <c r="N430" s="22"/>
      <c r="O430" s="15"/>
      <c r="P430" s="15"/>
      <c r="Q430" s="15"/>
      <c r="R430" s="15"/>
      <c r="S430" s="15"/>
      <c r="T430" s="15"/>
      <c r="U430" s="15"/>
    </row>
    <row r="431" spans="1:21" ht="90">
      <c r="A431" s="17">
        <v>20091195005</v>
      </c>
      <c r="B431" s="19" t="str">
        <f>VLOOKUP(A431,'ESTADOS ESTUDIANTES'!B:L,2,0)</f>
        <v>ANTONIO RICARDO GONZALEZ TORRES</v>
      </c>
      <c r="C431" s="19">
        <f>VLOOKUP(A431,'ESTADOS ESTUDIANTES'!B:L,3,0)</f>
        <v>195</v>
      </c>
      <c r="D431" s="66" t="str">
        <f>VLOOKUP(A431,'ESTADOS ESTUDIANTES'!B:L,4,0)</f>
        <v>MAE. EN CIENCIAS DE LA INF. Y LAS COMUNICACIONES ENFASIS EN TELEINF.</v>
      </c>
      <c r="E431" s="19" t="str">
        <f>VLOOKUP(A431,'ESTADOS ESTUDIANTES'!B:L,5,0)</f>
        <v>E</v>
      </c>
      <c r="F431" s="18" t="str">
        <f>VLOOKUP(E431,Listas!B1:C1004,2,0)</f>
        <v>EGRESADO</v>
      </c>
      <c r="G431" s="19" t="str">
        <f>VLOOKUP(A431,'ESTADOS ESTUDIANTES'!B:L,7,0)</f>
        <v>NO REGISTRA</v>
      </c>
      <c r="H431" s="19" t="str">
        <f>VLOOKUP(A431,'ESTADOS ESTUDIANTES'!B:L,8,0)</f>
        <v>argonzalezt@correo.udistrital.edu.co</v>
      </c>
      <c r="I431" s="70" t="str">
        <f>VLOOKUP(A431,'ESTADOS ESTUDIANTES'!B:L,9,0)</f>
        <v>ricardog555@gmail.com</v>
      </c>
      <c r="J431" s="19" t="str">
        <f>VLOOKUP(A431,'ESTADOS ESTUDIANTES'!B:L,10,0)</f>
        <v>CC</v>
      </c>
      <c r="K431" s="19">
        <f>VLOOKUP(A431,'ESTADOS ESTUDIANTES'!B:L,11,0)</f>
        <v>79567084</v>
      </c>
      <c r="L431" s="23"/>
      <c r="M431" s="20"/>
      <c r="N431" s="22"/>
      <c r="O431" s="15"/>
      <c r="P431" s="15"/>
      <c r="Q431" s="15"/>
      <c r="R431" s="15"/>
      <c r="S431" s="15"/>
      <c r="T431" s="15"/>
      <c r="U431" s="15"/>
    </row>
    <row r="432" spans="1:21" ht="90">
      <c r="A432" s="17">
        <v>20091195006</v>
      </c>
      <c r="B432" s="19" t="str">
        <f>VLOOKUP(A432,'ESTADOS ESTUDIANTES'!B:L,2,0)</f>
        <v>HERNANDEZ RIAÑO JAVIER</v>
      </c>
      <c r="C432" s="19">
        <f>VLOOKUP(A432,'ESTADOS ESTUDIANTES'!B:L,3,0)</f>
        <v>195</v>
      </c>
      <c r="D432" s="66" t="str">
        <f>VLOOKUP(A432,'ESTADOS ESTUDIANTES'!B:L,4,0)</f>
        <v>MAE. EN CIENCIAS DE LA INF. Y LAS COMUNICACIONES ENFASIS EN TELEINF.</v>
      </c>
      <c r="E432" s="19" t="str">
        <f>VLOOKUP(A432,'ESTADOS ESTUDIANTES'!B:L,5,0)</f>
        <v>X</v>
      </c>
      <c r="F432" s="18" t="str">
        <f>VLOOKUP(E432,Listas!B1:C1004,2,0)</f>
        <v>EXCLUIDO</v>
      </c>
      <c r="G432" s="19">
        <f>VLOOKUP(A432,'ESTADOS ESTUDIANTES'!B:L,7,0)</f>
        <v>1</v>
      </c>
      <c r="H432" s="19" t="str">
        <f>VLOOKUP(A432,'ESTADOS ESTUDIANTES'!B:L,8,0)</f>
        <v>javhernandezr@correo.udistrital.edu.co</v>
      </c>
      <c r="I432" s="70" t="str">
        <f>VLOOKUP(A432,'ESTADOS ESTUDIANTES'!B:L,9,0)</f>
        <v>savilin_h@yahoo.com</v>
      </c>
      <c r="J432" s="19" t="str">
        <f>VLOOKUP(A432,'ESTADOS ESTUDIANTES'!B:L,10,0)</f>
        <v>CC</v>
      </c>
      <c r="K432" s="19">
        <f>VLOOKUP(A432,'ESTADOS ESTUDIANTES'!B:L,11,0)</f>
        <v>79971376</v>
      </c>
      <c r="L432" s="23"/>
      <c r="M432" s="20"/>
      <c r="N432" s="22"/>
      <c r="O432" s="15"/>
      <c r="P432" s="15"/>
      <c r="Q432" s="15"/>
      <c r="R432" s="15"/>
      <c r="S432" s="15"/>
      <c r="T432" s="15"/>
      <c r="U432" s="15"/>
    </row>
    <row r="433" spans="1:21" ht="90">
      <c r="A433" s="17">
        <v>20091195007</v>
      </c>
      <c r="B433" s="19" t="str">
        <f>VLOOKUP(A433,'ESTADOS ESTUDIANTES'!B:L,2,0)</f>
        <v>NINO OLARTE JUAN JOSE</v>
      </c>
      <c r="C433" s="19">
        <f>VLOOKUP(A433,'ESTADOS ESTUDIANTES'!B:L,3,0)</f>
        <v>195</v>
      </c>
      <c r="D433" s="66" t="str">
        <f>VLOOKUP(A433,'ESTADOS ESTUDIANTES'!B:L,4,0)</f>
        <v>MAE. EN CIENCIAS DE LA INF. Y LAS COMUNICACIONES ENFASIS EN TELEINF.</v>
      </c>
      <c r="E433" s="19" t="str">
        <f>VLOOKUP(A433,'ESTADOS ESTUDIANTES'!B:L,5,0)</f>
        <v>X</v>
      </c>
      <c r="F433" s="18" t="str">
        <f>VLOOKUP(E433,Listas!B1:C1004,2,0)</f>
        <v>EXCLUIDO</v>
      </c>
      <c r="G433" s="19" t="str">
        <f>VLOOKUP(A433,'ESTADOS ESTUDIANTES'!B:L,7,0)</f>
        <v>NO REGISTRA</v>
      </c>
      <c r="H433" s="19" t="str">
        <f>VLOOKUP(A433,'ESTADOS ESTUDIANTES'!B:L,8,0)</f>
        <v>jjninoo@correo.udistrital.edu.co</v>
      </c>
      <c r="I433" s="70" t="str">
        <f>VLOOKUP(A433,'ESTADOS ESTUDIANTES'!B:L,9,0)</f>
        <v>juan.olarte@gmail.com</v>
      </c>
      <c r="J433" s="19" t="str">
        <f>VLOOKUP(A433,'ESTADOS ESTUDIANTES'!B:L,10,0)</f>
        <v>CC</v>
      </c>
      <c r="K433" s="19">
        <f>VLOOKUP(A433,'ESTADOS ESTUDIANTES'!B:L,11,0)</f>
        <v>80111250</v>
      </c>
      <c r="L433" s="23"/>
      <c r="M433" s="20"/>
      <c r="N433" s="22"/>
      <c r="O433" s="15"/>
      <c r="P433" s="15"/>
      <c r="Q433" s="15"/>
      <c r="R433" s="15"/>
      <c r="S433" s="15"/>
      <c r="T433" s="15"/>
      <c r="U433" s="15"/>
    </row>
    <row r="434" spans="1:21" ht="90">
      <c r="A434" s="17">
        <v>20091195008</v>
      </c>
      <c r="B434" s="19" t="str">
        <f>VLOOKUP(A434,'ESTADOS ESTUDIANTES'!B:L,2,0)</f>
        <v>ORTEGA CASTRO JOSE DEL CARMEN</v>
      </c>
      <c r="C434" s="19">
        <f>VLOOKUP(A434,'ESTADOS ESTUDIANTES'!B:L,3,0)</f>
        <v>195</v>
      </c>
      <c r="D434" s="66" t="str">
        <f>VLOOKUP(A434,'ESTADOS ESTUDIANTES'!B:L,4,0)</f>
        <v>MAE. EN CIENCIAS DE LA INF. Y LAS COMUNICACIONES ENFASIS EN TELEINF.</v>
      </c>
      <c r="E434" s="19" t="str">
        <f>VLOOKUP(A434,'ESTADOS ESTUDIANTES'!B:L,5,0)</f>
        <v>X</v>
      </c>
      <c r="F434" s="18" t="str">
        <f>VLOOKUP(E434,Listas!B1:C1004,2,0)</f>
        <v>EXCLUIDO</v>
      </c>
      <c r="G434" s="19" t="str">
        <f>VLOOKUP(A434,'ESTADOS ESTUDIANTES'!B:L,7,0)</f>
        <v>NO REGISTRA</v>
      </c>
      <c r="H434" s="19" t="str">
        <f>VLOOKUP(A434,'ESTADOS ESTUDIANTES'!B:L,8,0)</f>
        <v>jdortegac@correo.udistrital.edu.co</v>
      </c>
      <c r="I434" s="70" t="str">
        <f>VLOOKUP(A434,'ESTADOS ESTUDIANTES'!B:L,9,0)</f>
        <v>sysjor@hotmail.com</v>
      </c>
      <c r="J434" s="19" t="str">
        <f>VLOOKUP(A434,'ESTADOS ESTUDIANTES'!B:L,10,0)</f>
        <v>CC</v>
      </c>
      <c r="K434" s="19">
        <f>VLOOKUP(A434,'ESTADOS ESTUDIANTES'!B:L,11,0)</f>
        <v>77035853</v>
      </c>
      <c r="L434" s="23"/>
      <c r="M434" s="20"/>
      <c r="N434" s="22"/>
      <c r="O434" s="15"/>
      <c r="P434" s="15"/>
      <c r="Q434" s="15"/>
      <c r="R434" s="15"/>
      <c r="S434" s="15"/>
      <c r="T434" s="15"/>
      <c r="U434" s="15"/>
    </row>
    <row r="435" spans="1:21" ht="90">
      <c r="A435" s="17">
        <v>20091195009</v>
      </c>
      <c r="B435" s="19" t="str">
        <f>VLOOKUP(A435,'ESTADOS ESTUDIANTES'!B:L,2,0)</f>
        <v>PORRAS CORTES LAURA CECILIA</v>
      </c>
      <c r="C435" s="19">
        <f>VLOOKUP(A435,'ESTADOS ESTUDIANTES'!B:L,3,0)</f>
        <v>195</v>
      </c>
      <c r="D435" s="66" t="str">
        <f>VLOOKUP(A435,'ESTADOS ESTUDIANTES'!B:L,4,0)</f>
        <v>MAE. EN CIENCIAS DE LA INF. Y LAS COMUNICACIONES ENFASIS EN TELEINF.</v>
      </c>
      <c r="E435" s="19" t="str">
        <f>VLOOKUP(A435,'ESTADOS ESTUDIANTES'!B:L,5,0)</f>
        <v>X</v>
      </c>
      <c r="F435" s="18" t="str">
        <f>VLOOKUP(E435,Listas!B1:C1004,2,0)</f>
        <v>EXCLUIDO</v>
      </c>
      <c r="G435" s="19">
        <f>VLOOKUP(A435,'ESTADOS ESTUDIANTES'!B:L,7,0)</f>
        <v>1</v>
      </c>
      <c r="H435" s="19" t="str">
        <f>VLOOKUP(A435,'ESTADOS ESTUDIANTES'!B:L,8,0)</f>
        <v>lcporrasc@correo.udistrital.edu.co</v>
      </c>
      <c r="I435" s="70" t="str">
        <f>VLOOKUP(A435,'ESTADOS ESTUDIANTES'!B:L,9,0)</f>
        <v>lalisporras@yahoo.com</v>
      </c>
      <c r="J435" s="19" t="str">
        <f>VLOOKUP(A435,'ESTADOS ESTUDIANTES'!B:L,10,0)</f>
        <v>CC</v>
      </c>
      <c r="K435" s="19">
        <f>VLOOKUP(A435,'ESTADOS ESTUDIANTES'!B:L,11,0)</f>
        <v>52776475</v>
      </c>
      <c r="L435" s="23"/>
      <c r="M435" s="20"/>
      <c r="N435" s="22"/>
      <c r="O435" s="15"/>
      <c r="P435" s="15"/>
      <c r="Q435" s="15"/>
      <c r="R435" s="15"/>
      <c r="S435" s="15"/>
      <c r="T435" s="15"/>
      <c r="U435" s="15"/>
    </row>
    <row r="436" spans="1:21" ht="90">
      <c r="A436" s="17">
        <v>20091195010</v>
      </c>
      <c r="B436" s="19" t="str">
        <f>VLOOKUP(A436,'ESTADOS ESTUDIANTES'!B:L,2,0)</f>
        <v>RODRIGUEZ BAUTISTA LUIS GABRIEL</v>
      </c>
      <c r="C436" s="19">
        <f>VLOOKUP(A436,'ESTADOS ESTUDIANTES'!B:L,3,0)</f>
        <v>195</v>
      </c>
      <c r="D436" s="66" t="str">
        <f>VLOOKUP(A436,'ESTADOS ESTUDIANTES'!B:L,4,0)</f>
        <v>MAE. EN CIENCIAS DE LA INF. Y LAS COMUNICACIONES ENFASIS EN TELEINF.</v>
      </c>
      <c r="E436" s="19" t="str">
        <f>VLOOKUP(A436,'ESTADOS ESTUDIANTES'!B:L,5,0)</f>
        <v>X</v>
      </c>
      <c r="F436" s="18" t="str">
        <f>VLOOKUP(E436,Listas!B1:C1004,2,0)</f>
        <v>EXCLUIDO</v>
      </c>
      <c r="G436" s="19" t="str">
        <f>VLOOKUP(A436,'ESTADOS ESTUDIANTES'!B:L,7,0)</f>
        <v>NO REGISTRA</v>
      </c>
      <c r="H436" s="19" t="str">
        <f>VLOOKUP(A436,'ESTADOS ESTUDIANTES'!B:L,8,0)</f>
        <v>lgrodriguezb@udistrital.edu.co</v>
      </c>
      <c r="I436" s="70" t="str">
        <f>VLOOKUP(A436,'ESTADOS ESTUDIANTES'!B:L,9,0)</f>
        <v>gaborod@gmail.com</v>
      </c>
      <c r="J436" s="19" t="str">
        <f>VLOOKUP(A436,'ESTADOS ESTUDIANTES'!B:L,10,0)</f>
        <v>CC</v>
      </c>
      <c r="K436" s="19">
        <f>VLOOKUP(A436,'ESTADOS ESTUDIANTES'!B:L,11,0)</f>
        <v>80099999</v>
      </c>
      <c r="L436" s="23"/>
      <c r="M436" s="20"/>
      <c r="N436" s="22"/>
      <c r="O436" s="15"/>
      <c r="P436" s="15"/>
      <c r="Q436" s="15"/>
      <c r="R436" s="15"/>
      <c r="S436" s="15"/>
      <c r="T436" s="15"/>
      <c r="U436" s="15"/>
    </row>
    <row r="437" spans="1:21" ht="90">
      <c r="A437" s="17">
        <v>20091195011</v>
      </c>
      <c r="B437" s="19" t="str">
        <f>VLOOKUP(A437,'ESTADOS ESTUDIANTES'!B:L,2,0)</f>
        <v>SANCHEZ CIFUENTES JUAQUIN FERNANDO</v>
      </c>
      <c r="C437" s="19">
        <f>VLOOKUP(A437,'ESTADOS ESTUDIANTES'!B:L,3,0)</f>
        <v>195</v>
      </c>
      <c r="D437" s="66" t="str">
        <f>VLOOKUP(A437,'ESTADOS ESTUDIANTES'!B:L,4,0)</f>
        <v>MAE. EN CIENCIAS DE LA INF. Y LAS COMUNICACIONES ENFASIS EN TELEINF.</v>
      </c>
      <c r="E437" s="19" t="str">
        <f>VLOOKUP(A437,'ESTADOS ESTUDIANTES'!B:L,5,0)</f>
        <v>X</v>
      </c>
      <c r="F437" s="18" t="str">
        <f>VLOOKUP(E437,Listas!B1:C1004,2,0)</f>
        <v>EXCLUIDO</v>
      </c>
      <c r="G437" s="19" t="str">
        <f>VLOOKUP(A437,'ESTADOS ESTUDIANTES'!B:L,7,0)</f>
        <v>NO REGISTRA</v>
      </c>
      <c r="H437" s="19" t="str">
        <f>VLOOKUP(A437,'ESTADOS ESTUDIANTES'!B:L,8,0)</f>
        <v>joafsanchezc@udistrital.edu.co</v>
      </c>
      <c r="I437" s="70" t="str">
        <f>VLOOKUP(A437,'ESTADOS ESTUDIANTES'!B:L,9,0)</f>
        <v>js012108@gmail.com</v>
      </c>
      <c r="J437" s="19" t="str">
        <f>VLOOKUP(A437,'ESTADOS ESTUDIANTES'!B:L,10,0)</f>
        <v>CC</v>
      </c>
      <c r="K437" s="19">
        <f>VLOOKUP(A437,'ESTADOS ESTUDIANTES'!B:L,11,0)</f>
        <v>80432896</v>
      </c>
      <c r="L437" s="23"/>
      <c r="M437" s="20"/>
      <c r="N437" s="22"/>
      <c r="O437" s="15"/>
      <c r="P437" s="15"/>
      <c r="Q437" s="15"/>
      <c r="R437" s="15"/>
      <c r="S437" s="15"/>
      <c r="T437" s="15"/>
      <c r="U437" s="15"/>
    </row>
    <row r="438" spans="1:21" ht="90">
      <c r="A438" s="17">
        <v>20091195012</v>
      </c>
      <c r="B438" s="19" t="str">
        <f>VLOOKUP(A438,'ESTADOS ESTUDIANTES'!B:L,2,0)</f>
        <v>SANCHEZ MUÑOZ JULIO CESAR</v>
      </c>
      <c r="C438" s="19">
        <f>VLOOKUP(A438,'ESTADOS ESTUDIANTES'!B:L,3,0)</f>
        <v>195</v>
      </c>
      <c r="D438" s="66" t="str">
        <f>VLOOKUP(A438,'ESTADOS ESTUDIANTES'!B:L,4,0)</f>
        <v>MAE. EN CIENCIAS DE LA INF. Y LAS COMUNICACIONES ENFASIS EN TELEINF.</v>
      </c>
      <c r="E438" s="19" t="str">
        <f>VLOOKUP(A438,'ESTADOS ESTUDIANTES'!B:L,5,0)</f>
        <v>X</v>
      </c>
      <c r="F438" s="18" t="str">
        <f>VLOOKUP(E438,Listas!B1:C1004,2,0)</f>
        <v>EXCLUIDO</v>
      </c>
      <c r="G438" s="19" t="str">
        <f>VLOOKUP(A438,'ESTADOS ESTUDIANTES'!B:L,7,0)</f>
        <v>NO REGISTRA</v>
      </c>
      <c r="H438" s="19" t="str">
        <f>VLOOKUP(A438,'ESTADOS ESTUDIANTES'!B:L,8,0)</f>
        <v>jucsanchezm@correo.udistrital.edu.co</v>
      </c>
      <c r="I438" s="70" t="str">
        <f>VLOOKUP(A438,'ESTADOS ESTUDIANTES'!B:L,9,0)</f>
        <v>julisanm@gmail.com</v>
      </c>
      <c r="J438" s="19" t="str">
        <f>VLOOKUP(A438,'ESTADOS ESTUDIANTES'!B:L,10,0)</f>
        <v>CC</v>
      </c>
      <c r="K438" s="19">
        <f>VLOOKUP(A438,'ESTADOS ESTUDIANTES'!B:L,11,0)</f>
        <v>79594830</v>
      </c>
      <c r="L438" s="23"/>
      <c r="M438" s="20"/>
      <c r="N438" s="22"/>
      <c r="O438" s="15"/>
      <c r="P438" s="15"/>
      <c r="Q438" s="15"/>
      <c r="R438" s="15"/>
      <c r="S438" s="15"/>
      <c r="T438" s="15"/>
      <c r="U438" s="15"/>
    </row>
    <row r="439" spans="1:21" ht="90">
      <c r="A439" s="17">
        <v>20091195013</v>
      </c>
      <c r="B439" s="19" t="str">
        <f>VLOOKUP(A439,'ESTADOS ESTUDIANTES'!B:L,2,0)</f>
        <v>SANCHEZ SERRATO JENNY CAROLINA</v>
      </c>
      <c r="C439" s="19">
        <f>VLOOKUP(A439,'ESTADOS ESTUDIANTES'!B:L,3,0)</f>
        <v>195</v>
      </c>
      <c r="D439" s="66" t="str">
        <f>VLOOKUP(A439,'ESTADOS ESTUDIANTES'!B:L,4,0)</f>
        <v>MAE. EN CIENCIAS DE LA INF. Y LAS COMUNICACIONES ENFASIS EN TELEINF.</v>
      </c>
      <c r="E439" s="19" t="str">
        <f>VLOOKUP(A439,'ESTADOS ESTUDIANTES'!B:L,5,0)</f>
        <v>X</v>
      </c>
      <c r="F439" s="18" t="str">
        <f>VLOOKUP(E439,Listas!B1:C1004,2,0)</f>
        <v>EXCLUIDO</v>
      </c>
      <c r="G439" s="19">
        <f>VLOOKUP(A439,'ESTADOS ESTUDIANTES'!B:L,7,0)</f>
        <v>1</v>
      </c>
      <c r="H439" s="19" t="str">
        <f>VLOOKUP(A439,'ESTADOS ESTUDIANTES'!B:L,8,0)</f>
        <v>jcsanchezs@correo.udistrital.edu.co</v>
      </c>
      <c r="I439" s="70" t="str">
        <f>VLOOKUP(A439,'ESTADOS ESTUDIANTES'!B:L,9,0)</f>
        <v>jennyc_sanchez@yahoo.com</v>
      </c>
      <c r="J439" s="19" t="str">
        <f>VLOOKUP(A439,'ESTADOS ESTUDIANTES'!B:L,10,0)</f>
        <v>CC</v>
      </c>
      <c r="K439" s="19">
        <f>VLOOKUP(A439,'ESTADOS ESTUDIANTES'!B:L,11,0)</f>
        <v>52546556</v>
      </c>
      <c r="L439" s="23"/>
      <c r="M439" s="20"/>
      <c r="N439" s="22"/>
      <c r="O439" s="15"/>
      <c r="P439" s="15"/>
      <c r="Q439" s="15"/>
      <c r="R439" s="15"/>
      <c r="S439" s="15"/>
      <c r="T439" s="15"/>
      <c r="U439" s="15"/>
    </row>
    <row r="440" spans="1:21" ht="90">
      <c r="A440" s="17">
        <v>20091195014</v>
      </c>
      <c r="B440" s="19" t="str">
        <f>VLOOKUP(A440,'ESTADOS ESTUDIANTES'!B:L,2,0)</f>
        <v>VELASCO IZQUIERDO LUIS ALEJANDRO</v>
      </c>
      <c r="C440" s="19">
        <f>VLOOKUP(A440,'ESTADOS ESTUDIANTES'!B:L,3,0)</f>
        <v>195</v>
      </c>
      <c r="D440" s="66" t="str">
        <f>VLOOKUP(A440,'ESTADOS ESTUDIANTES'!B:L,4,0)</f>
        <v>MAE. EN CIENCIAS DE LA INF. Y LAS COMUNICACIONES ENFASIS EN TELEINF.</v>
      </c>
      <c r="E440" s="19" t="str">
        <f>VLOOKUP(A440,'ESTADOS ESTUDIANTES'!B:L,5,0)</f>
        <v>X</v>
      </c>
      <c r="F440" s="18" t="str">
        <f>VLOOKUP(E440,Listas!B1:C1004,2,0)</f>
        <v>EXCLUIDO</v>
      </c>
      <c r="G440" s="19" t="str">
        <f>VLOOKUP(A440,'ESTADOS ESTUDIANTES'!B:L,7,0)</f>
        <v>NO REGISTRA</v>
      </c>
      <c r="H440" s="19" t="str">
        <f>VLOOKUP(A440,'ESTADOS ESTUDIANTES'!B:L,8,0)</f>
        <v>lavelascoi@correo.udistrital.edu.co</v>
      </c>
      <c r="I440" s="70" t="str">
        <f>VLOOKUP(A440,'ESTADOS ESTUDIANTES'!B:L,9,0)</f>
        <v>luis.velasco@bsci.com</v>
      </c>
      <c r="J440" s="19" t="str">
        <f>VLOOKUP(A440,'ESTADOS ESTUDIANTES'!B:L,10,0)</f>
        <v>CC</v>
      </c>
      <c r="K440" s="19">
        <f>VLOOKUP(A440,'ESTADOS ESTUDIANTES'!B:L,11,0)</f>
        <v>80732748</v>
      </c>
      <c r="L440" s="23"/>
      <c r="M440" s="20"/>
      <c r="N440" s="22"/>
      <c r="O440" s="15"/>
      <c r="P440" s="15"/>
      <c r="Q440" s="15"/>
      <c r="R440" s="15"/>
      <c r="S440" s="15"/>
      <c r="T440" s="15"/>
      <c r="U440" s="15"/>
    </row>
    <row r="441" spans="1:21" ht="90">
      <c r="A441" s="17">
        <v>20091195015</v>
      </c>
      <c r="B441" s="19" t="str">
        <f>VLOOKUP(A441,'ESTADOS ESTUDIANTES'!B:L,2,0)</f>
        <v>GUEVARA PEÑA ALEXIS</v>
      </c>
      <c r="C441" s="19">
        <f>VLOOKUP(A441,'ESTADOS ESTUDIANTES'!B:L,3,0)</f>
        <v>195</v>
      </c>
      <c r="D441" s="66" t="str">
        <f>VLOOKUP(A441,'ESTADOS ESTUDIANTES'!B:L,4,0)</f>
        <v>MAE. EN CIENCIAS DE LA INF. Y LAS COMUNICACIONES ENFASIS EN TELEINF.</v>
      </c>
      <c r="E441" s="19" t="str">
        <f>VLOOKUP(A441,'ESTADOS ESTUDIANTES'!B:L,5,0)</f>
        <v>X</v>
      </c>
      <c r="F441" s="18" t="str">
        <f>VLOOKUP(E441,Listas!B1:C1004,2,0)</f>
        <v>EXCLUIDO</v>
      </c>
      <c r="G441" s="19" t="str">
        <f>VLOOKUP(A441,'ESTADOS ESTUDIANTES'!B:L,7,0)</f>
        <v>NO REGISTRA</v>
      </c>
      <c r="H441" s="19" t="str">
        <f>VLOOKUP(A441,'ESTADOS ESTUDIANTES'!B:L,8,0)</f>
        <v>aguevarap@correo.udistrital.edu.co</v>
      </c>
      <c r="I441" s="70" t="str">
        <f>VLOOKUP(A441,'ESTADOS ESTUDIANTES'!B:L,9,0)</f>
        <v>aleguepe@gmail.com</v>
      </c>
      <c r="J441" s="19" t="str">
        <f>VLOOKUP(A441,'ESTADOS ESTUDIANTES'!B:L,10,0)</f>
        <v>CC</v>
      </c>
      <c r="K441" s="19">
        <f>VLOOKUP(A441,'ESTADOS ESTUDIANTES'!B:L,11,0)</f>
        <v>79346808</v>
      </c>
      <c r="L441" s="23"/>
      <c r="M441" s="20"/>
      <c r="N441" s="22"/>
      <c r="O441" s="15"/>
      <c r="P441" s="15"/>
      <c r="Q441" s="15"/>
      <c r="R441" s="15"/>
      <c r="S441" s="15"/>
      <c r="T441" s="15"/>
      <c r="U441" s="15"/>
    </row>
    <row r="442" spans="1:21" ht="90">
      <c r="A442" s="17">
        <v>20091195016</v>
      </c>
      <c r="B442" s="19" t="str">
        <f>VLOOKUP(A442,'ESTADOS ESTUDIANTES'!B:L,2,0)</f>
        <v>FERRO BOLIVAR RICARDO ALONSO</v>
      </c>
      <c r="C442" s="19">
        <f>VLOOKUP(A442,'ESTADOS ESTUDIANTES'!B:L,3,0)</f>
        <v>195</v>
      </c>
      <c r="D442" s="66" t="str">
        <f>VLOOKUP(A442,'ESTADOS ESTUDIANTES'!B:L,4,0)</f>
        <v>MAE. EN CIENCIAS DE LA INF. Y LAS COMUNICACIONES ENFASIS EN TELEINF.</v>
      </c>
      <c r="E442" s="19" t="str">
        <f>VLOOKUP(A442,'ESTADOS ESTUDIANTES'!B:L,5,0)</f>
        <v>E</v>
      </c>
      <c r="F442" s="18" t="str">
        <f>VLOOKUP(E442,Listas!B1:C1004,2,0)</f>
        <v>EGRESADO</v>
      </c>
      <c r="G442" s="19" t="str">
        <f>VLOOKUP(A442,'ESTADOS ESTUDIANTES'!B:L,7,0)</f>
        <v>NO REGISTRA</v>
      </c>
      <c r="H442" s="19" t="str">
        <f>VLOOKUP(A442,'ESTADOS ESTUDIANTES'!B:L,8,0)</f>
        <v>raferrob@correo.udistrital.edu.co</v>
      </c>
      <c r="I442" s="70" t="str">
        <f>VLOOKUP(A442,'ESTADOS ESTUDIANTES'!B:L,9,0)</f>
        <v>rifer2411@hotmail.com</v>
      </c>
      <c r="J442" s="19" t="str">
        <f>VLOOKUP(A442,'ESTADOS ESTUDIANTES'!B:L,10,0)</f>
        <v>CC</v>
      </c>
      <c r="K442" s="19">
        <f>VLOOKUP(A442,'ESTADOS ESTUDIANTES'!B:L,11,0)</f>
        <v>86066413</v>
      </c>
      <c r="L442" s="23"/>
      <c r="M442" s="20"/>
      <c r="N442" s="22"/>
      <c r="O442" s="15"/>
      <c r="P442" s="15"/>
      <c r="Q442" s="15"/>
      <c r="R442" s="15"/>
      <c r="S442" s="15"/>
      <c r="T442" s="15"/>
      <c r="U442" s="15"/>
    </row>
    <row r="443" spans="1:21" ht="90">
      <c r="A443" s="17">
        <v>20091295001</v>
      </c>
      <c r="B443" s="19" t="str">
        <f>VLOOKUP(A443,'ESTADOS ESTUDIANTES'!B:L,2,0)</f>
        <v>ARANGO ATEHORTUA MONICA MARIA</v>
      </c>
      <c r="C443" s="19">
        <f>VLOOKUP(A443,'ESTADOS ESTUDIANTES'!B:L,3,0)</f>
        <v>295</v>
      </c>
      <c r="D443" s="66" t="str">
        <f>VLOOKUP(A443,'ESTADOS ESTUDIANTES'!B:L,4,0)</f>
        <v>MAE. EN CIENCIAS DE LA INF. Y LAS COMUNICACIONES ENFASIS EN SIS. INFOR</v>
      </c>
      <c r="E443" s="19" t="str">
        <f>VLOOKUP(A443,'ESTADOS ESTUDIANTES'!B:L,5,0)</f>
        <v>X</v>
      </c>
      <c r="F443" s="18" t="str">
        <f>VLOOKUP(E443,Listas!B1:C1004,2,0)</f>
        <v>EXCLUIDO</v>
      </c>
      <c r="G443" s="19" t="str">
        <f>VLOOKUP(A443,'ESTADOS ESTUDIANTES'!B:L,7,0)</f>
        <v>NO REGISTRA</v>
      </c>
      <c r="H443" s="19" t="str">
        <f>VLOOKUP(A443,'ESTADOS ESTUDIANTES'!B:L,8,0)</f>
        <v>mmarangoa@correo.udistrital.edu.co</v>
      </c>
      <c r="I443" s="70" t="str">
        <f>VLOOKUP(A443,'ESTADOS ESTUDIANTES'!B:L,9,0)</f>
        <v>monicaarango20@msn.com</v>
      </c>
      <c r="J443" s="19" t="str">
        <f>VLOOKUP(A443,'ESTADOS ESTUDIANTES'!B:L,10,0)</f>
        <v>CC</v>
      </c>
      <c r="K443" s="19">
        <f>VLOOKUP(A443,'ESTADOS ESTUDIANTES'!B:L,11,0)</f>
        <v>51880693</v>
      </c>
      <c r="L443" s="23"/>
      <c r="M443" s="20"/>
      <c r="N443" s="22"/>
      <c r="O443" s="15"/>
      <c r="P443" s="15"/>
      <c r="Q443" s="15"/>
      <c r="R443" s="15"/>
      <c r="S443" s="15"/>
      <c r="T443" s="15"/>
      <c r="U443" s="15"/>
    </row>
    <row r="444" spans="1:21" ht="90">
      <c r="A444" s="17">
        <v>20091295002</v>
      </c>
      <c r="B444" s="19" t="str">
        <f>VLOOKUP(A444,'ESTADOS ESTUDIANTES'!B:L,2,0)</f>
        <v>AREVALO ALDANA JORGE ALBERTO</v>
      </c>
      <c r="C444" s="19">
        <f>VLOOKUP(A444,'ESTADOS ESTUDIANTES'!B:L,3,0)</f>
        <v>295</v>
      </c>
      <c r="D444" s="66" t="str">
        <f>VLOOKUP(A444,'ESTADOS ESTUDIANTES'!B:L,4,0)</f>
        <v>MAE. EN CIENCIAS DE LA INF. Y LAS COMUNICACIONES ENFASIS EN SIS. INFOR</v>
      </c>
      <c r="E444" s="19" t="str">
        <f>VLOOKUP(A444,'ESTADOS ESTUDIANTES'!B:L,5,0)</f>
        <v>X</v>
      </c>
      <c r="F444" s="18" t="str">
        <f>VLOOKUP(E444,Listas!B1:C1004,2,0)</f>
        <v>EXCLUIDO</v>
      </c>
      <c r="G444" s="19">
        <f>VLOOKUP(A444,'ESTADOS ESTUDIANTES'!B:L,7,0)</f>
        <v>1</v>
      </c>
      <c r="H444" s="19" t="str">
        <f>VLOOKUP(A444,'ESTADOS ESTUDIANTES'!B:L,8,0)</f>
        <v>joaarevaloa@correo.udistrital.edu.co</v>
      </c>
      <c r="I444" s="70" t="str">
        <f>VLOOKUP(A444,'ESTADOS ESTUDIANTES'!B:L,9,0)</f>
        <v>jor.are@gmail.com</v>
      </c>
      <c r="J444" s="19" t="str">
        <f>VLOOKUP(A444,'ESTADOS ESTUDIANTES'!B:L,10,0)</f>
        <v>CC</v>
      </c>
      <c r="K444" s="19">
        <f>VLOOKUP(A444,'ESTADOS ESTUDIANTES'!B:L,11,0)</f>
        <v>79635262</v>
      </c>
      <c r="L444" s="23"/>
      <c r="M444" s="20"/>
      <c r="N444" s="22"/>
      <c r="O444" s="15"/>
      <c r="P444" s="15"/>
      <c r="Q444" s="15"/>
      <c r="R444" s="15"/>
      <c r="S444" s="15"/>
      <c r="T444" s="15"/>
      <c r="U444" s="15"/>
    </row>
    <row r="445" spans="1:21" ht="90">
      <c r="A445" s="17">
        <v>20091295003</v>
      </c>
      <c r="B445" s="19" t="str">
        <f>VLOOKUP(A445,'ESTADOS ESTUDIANTES'!B:L,2,0)</f>
        <v>BOTINA MUÑOZ YULI MARGARITA</v>
      </c>
      <c r="C445" s="19">
        <f>VLOOKUP(A445,'ESTADOS ESTUDIANTES'!B:L,3,0)</f>
        <v>295</v>
      </c>
      <c r="D445" s="66" t="str">
        <f>VLOOKUP(A445,'ESTADOS ESTUDIANTES'!B:L,4,0)</f>
        <v>MAE. EN CIENCIAS DE LA INF. Y LAS COMUNICACIONES ENFASIS EN SIS. INFOR</v>
      </c>
      <c r="E445" s="19" t="str">
        <f>VLOOKUP(A445,'ESTADOS ESTUDIANTES'!B:L,5,0)</f>
        <v>X</v>
      </c>
      <c r="F445" s="18" t="str">
        <f>VLOOKUP(E445,Listas!B1:C1004,2,0)</f>
        <v>EXCLUIDO</v>
      </c>
      <c r="G445" s="19" t="str">
        <f>VLOOKUP(A445,'ESTADOS ESTUDIANTES'!B:L,7,0)</f>
        <v>NO REGISTRA</v>
      </c>
      <c r="H445" s="19" t="str">
        <f>VLOOKUP(A445,'ESTADOS ESTUDIANTES'!B:L,8,0)</f>
        <v>ymbotinam@correo.udistrital.edu.co</v>
      </c>
      <c r="I445" s="70" t="str">
        <f>VLOOKUP(A445,'ESTADOS ESTUDIANTES'!B:L,9,0)</f>
        <v>ybotina@unicauca.edu.co</v>
      </c>
      <c r="J445" s="19" t="str">
        <f>VLOOKUP(A445,'ESTADOS ESTUDIANTES'!B:L,10,0)</f>
        <v>CC</v>
      </c>
      <c r="K445" s="19">
        <f>VLOOKUP(A445,'ESTADOS ESTUDIANTES'!B:L,11,0)</f>
        <v>34320919</v>
      </c>
      <c r="L445" s="23"/>
      <c r="M445" s="20"/>
      <c r="N445" s="22"/>
      <c r="O445" s="15"/>
      <c r="P445" s="15"/>
      <c r="Q445" s="15"/>
      <c r="R445" s="15"/>
      <c r="S445" s="15"/>
      <c r="T445" s="15"/>
      <c r="U445" s="15"/>
    </row>
    <row r="446" spans="1:21" ht="90">
      <c r="A446" s="17">
        <v>20091295004</v>
      </c>
      <c r="B446" s="19" t="str">
        <f>VLOOKUP(A446,'ESTADOS ESTUDIANTES'!B:L,2,0)</f>
        <v>CALDERON BARACALDO CARLOS ALBERTO</v>
      </c>
      <c r="C446" s="19">
        <f>VLOOKUP(A446,'ESTADOS ESTUDIANTES'!B:L,3,0)</f>
        <v>295</v>
      </c>
      <c r="D446" s="66" t="str">
        <f>VLOOKUP(A446,'ESTADOS ESTUDIANTES'!B:L,4,0)</f>
        <v>MAE. EN CIENCIAS DE LA INF. Y LAS COMUNICACIONES ENFASIS EN SIS. INFOR</v>
      </c>
      <c r="E446" s="19" t="str">
        <f>VLOOKUP(A446,'ESTADOS ESTUDIANTES'!B:L,5,0)</f>
        <v>X</v>
      </c>
      <c r="F446" s="18" t="str">
        <f>VLOOKUP(E446,Listas!B1:C1004,2,0)</f>
        <v>EXCLUIDO</v>
      </c>
      <c r="G446" s="19" t="str">
        <f>VLOOKUP(A446,'ESTADOS ESTUDIANTES'!B:L,7,0)</f>
        <v>NO REGISTRA</v>
      </c>
      <c r="H446" s="19" t="str">
        <f>VLOOKUP(A446,'ESTADOS ESTUDIANTES'!B:L,8,0)</f>
        <v>cacalderonb@correo.udistrital.edu.co</v>
      </c>
      <c r="I446" s="70" t="str">
        <f>VLOOKUP(A446,'ESTADOS ESTUDIANTES'!B:L,9,0)</f>
        <v>icg.carlos@gmail.com</v>
      </c>
      <c r="J446" s="19" t="str">
        <f>VLOOKUP(A446,'ESTADOS ESTUDIANTES'!B:L,10,0)</f>
        <v>CC</v>
      </c>
      <c r="K446" s="19">
        <f>VLOOKUP(A446,'ESTADOS ESTUDIANTES'!B:L,11,0)</f>
        <v>80162544</v>
      </c>
      <c r="L446" s="23"/>
      <c r="M446" s="20"/>
      <c r="N446" s="22"/>
      <c r="O446" s="15"/>
      <c r="P446" s="15"/>
      <c r="Q446" s="15"/>
      <c r="R446" s="15"/>
      <c r="S446" s="15"/>
      <c r="T446" s="15"/>
      <c r="U446" s="15"/>
    </row>
    <row r="447" spans="1:21" ht="90">
      <c r="A447" s="17">
        <v>20091295005</v>
      </c>
      <c r="B447" s="19" t="str">
        <f>VLOOKUP(A447,'ESTADOS ESTUDIANTES'!B:L,2,0)</f>
        <v>CASTELLANOS ARDILA JULIETH PATRICIA</v>
      </c>
      <c r="C447" s="19">
        <f>VLOOKUP(A447,'ESTADOS ESTUDIANTES'!B:L,3,0)</f>
        <v>295</v>
      </c>
      <c r="D447" s="66" t="str">
        <f>VLOOKUP(A447,'ESTADOS ESTUDIANTES'!B:L,4,0)</f>
        <v>MAE. EN CIENCIAS DE LA INF. Y LAS COMUNICACIONES ENFASIS EN SIS. INFOR</v>
      </c>
      <c r="E447" s="19" t="str">
        <f>VLOOKUP(A447,'ESTADOS ESTUDIANTES'!B:L,5,0)</f>
        <v>X</v>
      </c>
      <c r="F447" s="18" t="str">
        <f>VLOOKUP(E447,Listas!B1:C1004,2,0)</f>
        <v>EXCLUIDO</v>
      </c>
      <c r="G447" s="19" t="str">
        <f>VLOOKUP(A447,'ESTADOS ESTUDIANTES'!B:L,7,0)</f>
        <v>NO REGISTRA</v>
      </c>
      <c r="H447" s="19" t="str">
        <f>VLOOKUP(A447,'ESTADOS ESTUDIANTES'!B:L,8,0)</f>
        <v>jpcastellanosa@correo.udistrital.edu.co</v>
      </c>
      <c r="I447" s="70" t="str">
        <f>VLOOKUP(A447,'ESTADOS ESTUDIANTES'!B:L,9,0)</f>
        <v>jpatricia_c@yahoo.com.mx</v>
      </c>
      <c r="J447" s="19" t="str">
        <f>VLOOKUP(A447,'ESTADOS ESTUDIANTES'!B:L,10,0)</f>
        <v>CC</v>
      </c>
      <c r="K447" s="19">
        <f>VLOOKUP(A447,'ESTADOS ESTUDIANTES'!B:L,11,0)</f>
        <v>63514844</v>
      </c>
      <c r="L447" s="23"/>
      <c r="M447" s="20"/>
      <c r="N447" s="22"/>
      <c r="O447" s="15"/>
      <c r="P447" s="15"/>
      <c r="Q447" s="15"/>
      <c r="R447" s="15"/>
      <c r="S447" s="15"/>
      <c r="T447" s="15"/>
      <c r="U447" s="15"/>
    </row>
    <row r="448" spans="1:21" ht="90">
      <c r="A448" s="17">
        <v>20091295006</v>
      </c>
      <c r="B448" s="19" t="str">
        <f>VLOOKUP(A448,'ESTADOS ESTUDIANTES'!B:L,2,0)</f>
        <v>CASTIBLANCO CASTRO HENRY OBANDO</v>
      </c>
      <c r="C448" s="19">
        <f>VLOOKUP(A448,'ESTADOS ESTUDIANTES'!B:L,3,0)</f>
        <v>295</v>
      </c>
      <c r="D448" s="66" t="str">
        <f>VLOOKUP(A448,'ESTADOS ESTUDIANTES'!B:L,4,0)</f>
        <v>MAE. EN CIENCIAS DE LA INF. Y LAS COMUNICACIONES ENFASIS EN SIS. INFOR</v>
      </c>
      <c r="E448" s="19" t="str">
        <f>VLOOKUP(A448,'ESTADOS ESTUDIANTES'!B:L,5,0)</f>
        <v>E</v>
      </c>
      <c r="F448" s="18" t="str">
        <f>VLOOKUP(E448,Listas!B1:C1004,2,0)</f>
        <v>EGRESADO</v>
      </c>
      <c r="G448" s="19">
        <f>VLOOKUP(A448,'ESTADOS ESTUDIANTES'!B:L,7,0)</f>
        <v>3</v>
      </c>
      <c r="H448" s="19" t="str">
        <f>VLOOKUP(A448,'ESTADOS ESTUDIANTES'!B:L,8,0)</f>
        <v>hocastiblancoc@correo.udistrital.edu.co</v>
      </c>
      <c r="I448" s="70" t="str">
        <f>VLOOKUP(A448,'ESTADOS ESTUDIANTES'!B:L,9,0)</f>
        <v>henrycastiblanco@yahoo.es</v>
      </c>
      <c r="J448" s="19" t="str">
        <f>VLOOKUP(A448,'ESTADOS ESTUDIANTES'!B:L,10,0)</f>
        <v>CC</v>
      </c>
      <c r="K448" s="19">
        <f>VLOOKUP(A448,'ESTADOS ESTUDIANTES'!B:L,11,0)</f>
        <v>80489909</v>
      </c>
      <c r="L448" s="23"/>
      <c r="M448" s="20"/>
      <c r="N448" s="22"/>
      <c r="O448" s="15"/>
      <c r="P448" s="15"/>
      <c r="Q448" s="15"/>
      <c r="R448" s="15"/>
      <c r="S448" s="15"/>
      <c r="T448" s="15"/>
      <c r="U448" s="15"/>
    </row>
    <row r="449" spans="1:21" ht="90">
      <c r="A449" s="17">
        <v>20091295007</v>
      </c>
      <c r="B449" s="19" t="str">
        <f>VLOOKUP(A449,'ESTADOS ESTUDIANTES'!B:L,2,0)</f>
        <v>GARCIA MONSALVE LUZ STELLA</v>
      </c>
      <c r="C449" s="19">
        <f>VLOOKUP(A449,'ESTADOS ESTUDIANTES'!B:L,3,0)</f>
        <v>295</v>
      </c>
      <c r="D449" s="66" t="str">
        <f>VLOOKUP(A449,'ESTADOS ESTUDIANTES'!B:L,4,0)</f>
        <v>MAE. EN CIENCIAS DE LA INF. Y LAS COMUNICACIONES ENFASIS EN SIS. INFOR</v>
      </c>
      <c r="E449" s="19" t="str">
        <f>VLOOKUP(A449,'ESTADOS ESTUDIANTES'!B:L,5,0)</f>
        <v>E</v>
      </c>
      <c r="F449" s="18" t="str">
        <f>VLOOKUP(E449,Listas!B1:C1004,2,0)</f>
        <v>EGRESADO</v>
      </c>
      <c r="G449" s="19">
        <f>VLOOKUP(A449,'ESTADOS ESTUDIANTES'!B:L,7,0)</f>
        <v>1</v>
      </c>
      <c r="H449" s="19" t="str">
        <f>VLOOKUP(A449,'ESTADOS ESTUDIANTES'!B:L,8,0)</f>
        <v>lsgarciam@correo.udistrital.edu.co</v>
      </c>
      <c r="I449" s="70" t="str">
        <f>VLOOKUP(A449,'ESTADOS ESTUDIANTES'!B:L,9,0)</f>
        <v>lucesgarmon@hotmail.com</v>
      </c>
      <c r="J449" s="19" t="str">
        <f>VLOOKUP(A449,'ESTADOS ESTUDIANTES'!B:L,10,0)</f>
        <v>CC</v>
      </c>
      <c r="K449" s="19">
        <f>VLOOKUP(A449,'ESTADOS ESTUDIANTES'!B:L,11,0)</f>
        <v>52204783</v>
      </c>
      <c r="L449" s="23"/>
      <c r="M449" s="20"/>
      <c r="N449" s="22"/>
      <c r="O449" s="15"/>
      <c r="P449" s="15"/>
      <c r="Q449" s="15"/>
      <c r="R449" s="15"/>
      <c r="S449" s="15"/>
      <c r="T449" s="15"/>
      <c r="U449" s="15"/>
    </row>
    <row r="450" spans="1:21" ht="90">
      <c r="A450" s="17">
        <v>20091295008</v>
      </c>
      <c r="B450" s="19" t="str">
        <f>VLOOKUP(A450,'ESTADOS ESTUDIANTES'!B:L,2,0)</f>
        <v>GELVEZ GARCIA NANCY YANETH</v>
      </c>
      <c r="C450" s="19">
        <f>VLOOKUP(A450,'ESTADOS ESTUDIANTES'!B:L,3,0)</f>
        <v>295</v>
      </c>
      <c r="D450" s="66" t="str">
        <f>VLOOKUP(A450,'ESTADOS ESTUDIANTES'!B:L,4,0)</f>
        <v>MAE. EN CIENCIAS DE LA INF. Y LAS COMUNICACIONES ENFASIS EN SIS. INFOR</v>
      </c>
      <c r="E450" s="19" t="str">
        <f>VLOOKUP(A450,'ESTADOS ESTUDIANTES'!B:L,5,0)</f>
        <v>E</v>
      </c>
      <c r="F450" s="18" t="str">
        <f>VLOOKUP(E450,Listas!B1:C1004,2,0)</f>
        <v>EGRESADO</v>
      </c>
      <c r="G450" s="19" t="str">
        <f>VLOOKUP(A450,'ESTADOS ESTUDIANTES'!B:L,7,0)</f>
        <v>NO REGISTRA</v>
      </c>
      <c r="H450" s="19" t="str">
        <f>VLOOKUP(A450,'ESTADOS ESTUDIANTES'!B:L,8,0)</f>
        <v>nygelvezg@correo.udistrital.edu.co</v>
      </c>
      <c r="I450" s="70" t="str">
        <f>VLOOKUP(A450,'ESTADOS ESTUDIANTES'!B:L,9,0)</f>
        <v>nayag24@hotmail.com</v>
      </c>
      <c r="J450" s="19" t="str">
        <f>VLOOKUP(A450,'ESTADOS ESTUDIANTES'!B:L,10,0)</f>
        <v>CC</v>
      </c>
      <c r="K450" s="19">
        <f>VLOOKUP(A450,'ESTADOS ESTUDIANTES'!B:L,11,0)</f>
        <v>60261576</v>
      </c>
      <c r="L450" s="23"/>
      <c r="M450" s="20"/>
      <c r="N450" s="22"/>
      <c r="O450" s="15"/>
      <c r="P450" s="15"/>
      <c r="Q450" s="15"/>
      <c r="R450" s="15"/>
      <c r="S450" s="15"/>
      <c r="T450" s="15"/>
      <c r="U450" s="15"/>
    </row>
    <row r="451" spans="1:21" ht="90">
      <c r="A451" s="17">
        <v>20091295009</v>
      </c>
      <c r="B451" s="19" t="str">
        <f>VLOOKUP(A451,'ESTADOS ESTUDIANTES'!B:L,2,0)</f>
        <v>LARRAHONDO VALENCIA CARLOS MARIO</v>
      </c>
      <c r="C451" s="19">
        <f>VLOOKUP(A451,'ESTADOS ESTUDIANTES'!B:L,3,0)</f>
        <v>295</v>
      </c>
      <c r="D451" s="66" t="str">
        <f>VLOOKUP(A451,'ESTADOS ESTUDIANTES'!B:L,4,0)</f>
        <v>MAE. EN CIENCIAS DE LA INF. Y LAS COMUNICACIONES ENFASIS EN SIS. INFOR</v>
      </c>
      <c r="E451" s="19" t="str">
        <f>VLOOKUP(A451,'ESTADOS ESTUDIANTES'!B:L,5,0)</f>
        <v>X</v>
      </c>
      <c r="F451" s="18" t="str">
        <f>VLOOKUP(E451,Listas!B1:C1004,2,0)</f>
        <v>EXCLUIDO</v>
      </c>
      <c r="G451" s="19" t="str">
        <f>VLOOKUP(A451,'ESTADOS ESTUDIANTES'!B:L,7,0)</f>
        <v>NO REGISTRA</v>
      </c>
      <c r="H451" s="19" t="str">
        <f>VLOOKUP(A451,'ESTADOS ESTUDIANTES'!B:L,8,0)</f>
        <v>cmlarrahondov@correo.udistrital.edu.co</v>
      </c>
      <c r="I451" s="70" t="str">
        <f>VLOOKUP(A451,'ESTADOS ESTUDIANTES'!B:L,9,0)</f>
        <v>camalava@hotmail.com</v>
      </c>
      <c r="J451" s="19" t="str">
        <f>VLOOKUP(A451,'ESTADOS ESTUDIANTES'!B:L,10,0)</f>
        <v>CC</v>
      </c>
      <c r="K451" s="19">
        <f>VLOOKUP(A451,'ESTADOS ESTUDIANTES'!B:L,11,0)</f>
        <v>94504280</v>
      </c>
      <c r="L451" s="23"/>
      <c r="M451" s="20"/>
      <c r="N451" s="22"/>
      <c r="O451" s="15"/>
      <c r="P451" s="15"/>
      <c r="Q451" s="15"/>
      <c r="R451" s="15"/>
      <c r="S451" s="15"/>
      <c r="T451" s="15"/>
      <c r="U451" s="15"/>
    </row>
    <row r="452" spans="1:21" ht="90">
      <c r="A452" s="17">
        <v>20091295010</v>
      </c>
      <c r="B452" s="19" t="str">
        <f>VLOOKUP(A452,'ESTADOS ESTUDIANTES'!B:L,2,0)</f>
        <v>MORA HOLGUIN ELSA PAOLA</v>
      </c>
      <c r="C452" s="19">
        <f>VLOOKUP(A452,'ESTADOS ESTUDIANTES'!B:L,3,0)</f>
        <v>295</v>
      </c>
      <c r="D452" s="66" t="str">
        <f>VLOOKUP(A452,'ESTADOS ESTUDIANTES'!B:L,4,0)</f>
        <v>MAE. EN CIENCIAS DE LA INF. Y LAS COMUNICACIONES ENFASIS EN SIS. INFOR</v>
      </c>
      <c r="E452" s="19" t="str">
        <f>VLOOKUP(A452,'ESTADOS ESTUDIANTES'!B:L,5,0)</f>
        <v>E</v>
      </c>
      <c r="F452" s="18" t="str">
        <f>VLOOKUP(E452,Listas!B1:C1004,2,0)</f>
        <v>EGRESADO</v>
      </c>
      <c r="G452" s="19">
        <f>VLOOKUP(A452,'ESTADOS ESTUDIANTES'!B:L,7,0)</f>
        <v>2</v>
      </c>
      <c r="H452" s="19" t="str">
        <f>VLOOKUP(A452,'ESTADOS ESTUDIANTES'!B:L,8,0)</f>
        <v>epmorah@correo.udistrital.edu.co</v>
      </c>
      <c r="I452" s="70" t="str">
        <f>VLOOKUP(A452,'ESTADOS ESTUDIANTES'!B:L,9,0)</f>
        <v>pamor_92@hotmail.com</v>
      </c>
      <c r="J452" s="19" t="str">
        <f>VLOOKUP(A452,'ESTADOS ESTUDIANTES'!B:L,10,0)</f>
        <v>CC</v>
      </c>
      <c r="K452" s="19">
        <f>VLOOKUP(A452,'ESTADOS ESTUDIANTES'!B:L,11,0)</f>
        <v>53068852</v>
      </c>
      <c r="L452" s="23"/>
      <c r="M452" s="20"/>
      <c r="N452" s="22"/>
      <c r="O452" s="15"/>
      <c r="P452" s="15"/>
      <c r="Q452" s="15"/>
      <c r="R452" s="15"/>
      <c r="S452" s="15"/>
      <c r="T452" s="15"/>
      <c r="U452" s="15"/>
    </row>
    <row r="453" spans="1:21" ht="90">
      <c r="A453" s="17">
        <v>20091295011</v>
      </c>
      <c r="B453" s="19" t="str">
        <f>VLOOKUP(A453,'ESTADOS ESTUDIANTES'!B:L,2,0)</f>
        <v>NIÑO NIÑO EDILBERTO</v>
      </c>
      <c r="C453" s="19">
        <f>VLOOKUP(A453,'ESTADOS ESTUDIANTES'!B:L,3,0)</f>
        <v>295</v>
      </c>
      <c r="D453" s="66" t="str">
        <f>VLOOKUP(A453,'ESTADOS ESTUDIANTES'!B:L,4,0)</f>
        <v>MAE. EN CIENCIAS DE LA INF. Y LAS COMUNICACIONES ENFASIS EN SIS. INFOR</v>
      </c>
      <c r="E453" s="19" t="str">
        <f>VLOOKUP(A453,'ESTADOS ESTUDIANTES'!B:L,5,0)</f>
        <v>E</v>
      </c>
      <c r="F453" s="18" t="str">
        <f>VLOOKUP(E453,Listas!B1:C1004,2,0)</f>
        <v>EGRESADO</v>
      </c>
      <c r="G453" s="19" t="str">
        <f>VLOOKUP(A453,'ESTADOS ESTUDIANTES'!B:L,7,0)</f>
        <v>NO REGISTRA</v>
      </c>
      <c r="H453" s="19" t="str">
        <f>VLOOKUP(A453,'ESTADOS ESTUDIANTES'!B:L,8,0)</f>
        <v>eninon@correo.udistrital.edu.co</v>
      </c>
      <c r="I453" s="70" t="str">
        <f>VLOOKUP(A453,'ESTADOS ESTUDIANTES'!B:L,9,0)</f>
        <v>edilbertonino@gmail.com</v>
      </c>
      <c r="J453" s="19" t="str">
        <f>VLOOKUP(A453,'ESTADOS ESTUDIANTES'!B:L,10,0)</f>
        <v>CC</v>
      </c>
      <c r="K453" s="19">
        <f>VLOOKUP(A453,'ESTADOS ESTUDIANTES'!B:L,11,0)</f>
        <v>19380272</v>
      </c>
      <c r="L453" s="23"/>
      <c r="M453" s="20"/>
      <c r="N453" s="22"/>
      <c r="O453" s="15"/>
      <c r="P453" s="15"/>
      <c r="Q453" s="15"/>
      <c r="R453" s="15"/>
      <c r="S453" s="15"/>
      <c r="T453" s="15"/>
      <c r="U453" s="15"/>
    </row>
    <row r="454" spans="1:21" ht="90">
      <c r="A454" s="17">
        <v>20091295012</v>
      </c>
      <c r="B454" s="19" t="str">
        <f>VLOOKUP(A454,'ESTADOS ESTUDIANTES'!B:L,2,0)</f>
        <v>OSORIO CABRERA CHRISTIAN</v>
      </c>
      <c r="C454" s="19">
        <f>VLOOKUP(A454,'ESTADOS ESTUDIANTES'!B:L,3,0)</f>
        <v>295</v>
      </c>
      <c r="D454" s="66" t="str">
        <f>VLOOKUP(A454,'ESTADOS ESTUDIANTES'!B:L,4,0)</f>
        <v>MAE. EN CIENCIAS DE LA INF. Y LAS COMUNICACIONES ENFASIS EN SIS. INFOR</v>
      </c>
      <c r="E454" s="19" t="str">
        <f>VLOOKUP(A454,'ESTADOS ESTUDIANTES'!B:L,5,0)</f>
        <v>E</v>
      </c>
      <c r="F454" s="18" t="str">
        <f>VLOOKUP(E454,Listas!B1:C1004,2,0)</f>
        <v>EGRESADO</v>
      </c>
      <c r="G454" s="19">
        <f>VLOOKUP(A454,'ESTADOS ESTUDIANTES'!B:L,7,0)</f>
        <v>1</v>
      </c>
      <c r="H454" s="19" t="str">
        <f>VLOOKUP(A454,'ESTADOS ESTUDIANTES'!B:L,8,0)</f>
        <v>cosorioc@correo.udistrital.edu.co</v>
      </c>
      <c r="I454" s="70" t="str">
        <f>VLOOKUP(A454,'ESTADOS ESTUDIANTES'!B:L,9,0)</f>
        <v>ing.christianosorio@gmail.com</v>
      </c>
      <c r="J454" s="19" t="str">
        <f>VLOOKUP(A454,'ESTADOS ESTUDIANTES'!B:L,10,0)</f>
        <v>CC</v>
      </c>
      <c r="K454" s="19">
        <f>VLOOKUP(A454,'ESTADOS ESTUDIANTES'!B:L,11,0)</f>
        <v>86072123</v>
      </c>
      <c r="L454" s="23"/>
      <c r="M454" s="20"/>
      <c r="N454" s="22"/>
      <c r="O454" s="15"/>
      <c r="P454" s="15"/>
      <c r="Q454" s="15"/>
      <c r="R454" s="15"/>
      <c r="S454" s="15"/>
      <c r="T454" s="15"/>
      <c r="U454" s="15"/>
    </row>
    <row r="455" spans="1:21" ht="90">
      <c r="A455" s="17">
        <v>20091295013</v>
      </c>
      <c r="B455" s="19" t="str">
        <f>VLOOKUP(A455,'ESTADOS ESTUDIANTES'!B:L,2,0)</f>
        <v>DIEGO FABIÁN PAJARITO GRAJALES</v>
      </c>
      <c r="C455" s="19">
        <f>VLOOKUP(A455,'ESTADOS ESTUDIANTES'!B:L,3,0)</f>
        <v>295</v>
      </c>
      <c r="D455" s="66" t="str">
        <f>VLOOKUP(A455,'ESTADOS ESTUDIANTES'!B:L,4,0)</f>
        <v>MAE. EN CIENCIAS DE LA INF. Y LAS COMUNICACIONES ENFASIS EN SIS. INFOR</v>
      </c>
      <c r="E455" s="19" t="str">
        <f>VLOOKUP(A455,'ESTADOS ESTUDIANTES'!B:L,5,0)</f>
        <v>E</v>
      </c>
      <c r="F455" s="18" t="str">
        <f>VLOOKUP(E455,Listas!B1:C1004,2,0)</f>
        <v>EGRESADO</v>
      </c>
      <c r="G455" s="19">
        <f>VLOOKUP(A455,'ESTADOS ESTUDIANTES'!B:L,7,0)</f>
        <v>2</v>
      </c>
      <c r="H455" s="19" t="str">
        <f>VLOOKUP(A455,'ESTADOS ESTUDIANTES'!B:L,8,0)</f>
        <v>dfpajaritog@correo.udistrital.edu.co</v>
      </c>
      <c r="I455" s="70" t="str">
        <f>VLOOKUP(A455,'ESTADOS ESTUDIANTES'!B:L,9,0)</f>
        <v>diegopajarito@gmail.com</v>
      </c>
      <c r="J455" s="19" t="str">
        <f>VLOOKUP(A455,'ESTADOS ESTUDIANTES'!B:L,10,0)</f>
        <v>CC</v>
      </c>
      <c r="K455" s="19">
        <f>VLOOKUP(A455,'ESTADOS ESTUDIANTES'!B:L,11,0)</f>
        <v>80110111</v>
      </c>
      <c r="L455" s="23"/>
      <c r="M455" s="20"/>
      <c r="N455" s="22"/>
      <c r="O455" s="15"/>
      <c r="P455" s="15"/>
      <c r="Q455" s="15"/>
      <c r="R455" s="15"/>
      <c r="S455" s="15"/>
      <c r="T455" s="15"/>
      <c r="U455" s="15"/>
    </row>
    <row r="456" spans="1:21" ht="90">
      <c r="A456" s="17">
        <v>20091295014</v>
      </c>
      <c r="B456" s="19" t="str">
        <f>VLOOKUP(A456,'ESTADOS ESTUDIANTES'!B:L,2,0)</f>
        <v>RAIGOSA EDSON EDUARDO</v>
      </c>
      <c r="C456" s="19">
        <f>VLOOKUP(A456,'ESTADOS ESTUDIANTES'!B:L,3,0)</f>
        <v>295</v>
      </c>
      <c r="D456" s="66" t="str">
        <f>VLOOKUP(A456,'ESTADOS ESTUDIANTES'!B:L,4,0)</f>
        <v>MAE. EN CIENCIAS DE LA INF. Y LAS COMUNICACIONES ENFASIS EN SIS. INFOR</v>
      </c>
      <c r="E456" s="19" t="str">
        <f>VLOOKUP(A456,'ESTADOS ESTUDIANTES'!B:L,5,0)</f>
        <v>X</v>
      </c>
      <c r="F456" s="18" t="str">
        <f>VLOOKUP(E456,Listas!B1:C1004,2,0)</f>
        <v>EXCLUIDO</v>
      </c>
      <c r="G456" s="19" t="str">
        <f>VLOOKUP(A456,'ESTADOS ESTUDIANTES'!B:L,7,0)</f>
        <v>NO REGISTRA</v>
      </c>
      <c r="H456" s="19" t="str">
        <f>VLOOKUP(A456,'ESTADOS ESTUDIANTES'!B:L,8,0)</f>
        <v>eraigosae@correo.udistrital.edu.co</v>
      </c>
      <c r="I456" s="70" t="str">
        <f>VLOOKUP(A456,'ESTADOS ESTUDIANTES'!B:L,9,0)</f>
        <v>edsoner_01@yahoo.com.mx</v>
      </c>
      <c r="J456" s="19" t="str">
        <f>VLOOKUP(A456,'ESTADOS ESTUDIANTES'!B:L,10,0)</f>
        <v>CC</v>
      </c>
      <c r="K456" s="19">
        <f>VLOOKUP(A456,'ESTADOS ESTUDIANTES'!B:L,11,0)</f>
        <v>16090419</v>
      </c>
      <c r="L456" s="23"/>
      <c r="M456" s="20"/>
      <c r="N456" s="22"/>
      <c r="O456" s="15"/>
      <c r="P456" s="15"/>
      <c r="Q456" s="15"/>
      <c r="R456" s="15"/>
      <c r="S456" s="15"/>
      <c r="T456" s="15"/>
      <c r="U456" s="15"/>
    </row>
    <row r="457" spans="1:21" ht="90">
      <c r="A457" s="17">
        <v>20091295015</v>
      </c>
      <c r="B457" s="19" t="str">
        <f>VLOOKUP(A457,'ESTADOS ESTUDIANTES'!B:L,2,0)</f>
        <v>RAMIREZ SANCHEZ YAMID EUGENIO</v>
      </c>
      <c r="C457" s="19">
        <f>VLOOKUP(A457,'ESTADOS ESTUDIANTES'!B:L,3,0)</f>
        <v>295</v>
      </c>
      <c r="D457" s="66" t="str">
        <f>VLOOKUP(A457,'ESTADOS ESTUDIANTES'!B:L,4,0)</f>
        <v>MAE. EN CIENCIAS DE LA INF. Y LAS COMUNICACIONES ENFASIS EN SIS. INFOR</v>
      </c>
      <c r="E457" s="19" t="str">
        <f>VLOOKUP(A457,'ESTADOS ESTUDIANTES'!B:L,5,0)</f>
        <v>X</v>
      </c>
      <c r="F457" s="18" t="str">
        <f>VLOOKUP(E457,Listas!B1:C1004,2,0)</f>
        <v>EXCLUIDO</v>
      </c>
      <c r="G457" s="19" t="str">
        <f>VLOOKUP(A457,'ESTADOS ESTUDIANTES'!B:L,7,0)</f>
        <v>NO REGISTRA</v>
      </c>
      <c r="H457" s="19" t="str">
        <f>VLOOKUP(A457,'ESTADOS ESTUDIANTES'!B:L,8,0)</f>
        <v>yeramirezs@correo.udistrital.edu.co</v>
      </c>
      <c r="I457" s="70" t="str">
        <f>VLOOKUP(A457,'ESTADOS ESTUDIANTES'!B:L,9,0)</f>
        <v>yamidr@gmail.com</v>
      </c>
      <c r="J457" s="19" t="str">
        <f>VLOOKUP(A457,'ESTADOS ESTUDIANTES'!B:L,10,0)</f>
        <v>CC</v>
      </c>
      <c r="K457" s="19">
        <f>VLOOKUP(A457,'ESTADOS ESTUDIANTES'!B:L,11,0)</f>
        <v>79812600</v>
      </c>
      <c r="L457" s="23"/>
      <c r="M457" s="20"/>
      <c r="N457" s="22"/>
      <c r="O457" s="15"/>
      <c r="P457" s="15"/>
      <c r="Q457" s="15"/>
      <c r="R457" s="15"/>
      <c r="S457" s="15"/>
      <c r="T457" s="15"/>
      <c r="U457" s="15"/>
    </row>
    <row r="458" spans="1:21" ht="90">
      <c r="A458" s="17">
        <v>20091295016</v>
      </c>
      <c r="B458" s="19" t="str">
        <f>VLOOKUP(A458,'ESTADOS ESTUDIANTES'!B:L,2,0)</f>
        <v>RODRIGUEZ SANCHEZ CARLOS ALBERTO</v>
      </c>
      <c r="C458" s="19">
        <f>VLOOKUP(A458,'ESTADOS ESTUDIANTES'!B:L,3,0)</f>
        <v>295</v>
      </c>
      <c r="D458" s="66" t="str">
        <f>VLOOKUP(A458,'ESTADOS ESTUDIANTES'!B:L,4,0)</f>
        <v>MAE. EN CIENCIAS DE LA INF. Y LAS COMUNICACIONES ENFASIS EN SIS. INFOR</v>
      </c>
      <c r="E458" s="19" t="str">
        <f>VLOOKUP(A458,'ESTADOS ESTUDIANTES'!B:L,5,0)</f>
        <v>E</v>
      </c>
      <c r="F458" s="18" t="str">
        <f>VLOOKUP(E458,Listas!B1:C1004,2,0)</f>
        <v>EGRESADO</v>
      </c>
      <c r="G458" s="19" t="str">
        <f>VLOOKUP(A458,'ESTADOS ESTUDIANTES'!B:L,7,0)</f>
        <v>NO REGISTRA</v>
      </c>
      <c r="H458" s="19" t="str">
        <f>VLOOKUP(A458,'ESTADOS ESTUDIANTES'!B:L,8,0)</f>
        <v>caarodriguezs@correo.udistrital.edu.co</v>
      </c>
      <c r="I458" s="70" t="str">
        <f>VLOOKUP(A458,'ESTADOS ESTUDIANTES'!B:L,9,0)</f>
        <v>carsis1@gmail.com</v>
      </c>
      <c r="J458" s="19" t="str">
        <f>VLOOKUP(A458,'ESTADOS ESTUDIANTES'!B:L,10,0)</f>
        <v>CC</v>
      </c>
      <c r="K458" s="19">
        <f>VLOOKUP(A458,'ESTADOS ESTUDIANTES'!B:L,11,0)</f>
        <v>79333635</v>
      </c>
      <c r="L458" s="23"/>
      <c r="M458" s="20"/>
      <c r="N458" s="22"/>
      <c r="O458" s="15"/>
      <c r="P458" s="15"/>
      <c r="Q458" s="15"/>
      <c r="R458" s="15"/>
      <c r="S458" s="15"/>
      <c r="T458" s="15"/>
      <c r="U458" s="15"/>
    </row>
    <row r="459" spans="1:21" ht="90">
      <c r="A459" s="17">
        <v>20091295017</v>
      </c>
      <c r="B459" s="19" t="str">
        <f>VLOOKUP(A459,'ESTADOS ESTUDIANTES'!B:L,2,0)</f>
        <v>SILVA ORTIZ FERNANDO ANDRES</v>
      </c>
      <c r="C459" s="19">
        <f>VLOOKUP(A459,'ESTADOS ESTUDIANTES'!B:L,3,0)</f>
        <v>295</v>
      </c>
      <c r="D459" s="66" t="str">
        <f>VLOOKUP(A459,'ESTADOS ESTUDIANTES'!B:L,4,0)</f>
        <v>MAE. EN CIENCIAS DE LA INF. Y LAS COMUNICACIONES ENFASIS EN SIS. INFOR</v>
      </c>
      <c r="E459" s="19" t="str">
        <f>VLOOKUP(A459,'ESTADOS ESTUDIANTES'!B:L,5,0)</f>
        <v>X</v>
      </c>
      <c r="F459" s="18" t="str">
        <f>VLOOKUP(E459,Listas!B1:C1004,2,0)</f>
        <v>EXCLUIDO</v>
      </c>
      <c r="G459" s="19" t="str">
        <f>VLOOKUP(A459,'ESTADOS ESTUDIANTES'!B:L,7,0)</f>
        <v>NO REGISTRA</v>
      </c>
      <c r="H459" s="19" t="str">
        <f>VLOOKUP(A459,'ESTADOS ESTUDIANTES'!B:L,8,0)</f>
        <v>fasilvao@correo.udistrital.edu.co</v>
      </c>
      <c r="I459" s="70" t="str">
        <f>VLOOKUP(A459,'ESTADOS ESTUDIANTES'!B:L,9,0)</f>
        <v>fernandodistinto@gmail.com</v>
      </c>
      <c r="J459" s="19" t="str">
        <f>VLOOKUP(A459,'ESTADOS ESTUDIANTES'!B:L,10,0)</f>
        <v>CC</v>
      </c>
      <c r="K459" s="19">
        <f>VLOOKUP(A459,'ESTADOS ESTUDIANTES'!B:L,11,0)</f>
        <v>1075210105</v>
      </c>
      <c r="L459" s="23"/>
      <c r="M459" s="20"/>
      <c r="N459" s="22"/>
      <c r="O459" s="15"/>
      <c r="P459" s="15"/>
      <c r="Q459" s="15"/>
      <c r="R459" s="15"/>
      <c r="S459" s="15"/>
      <c r="T459" s="15"/>
      <c r="U459" s="15"/>
    </row>
    <row r="460" spans="1:21" ht="90">
      <c r="A460" s="17">
        <v>20091295018</v>
      </c>
      <c r="B460" s="19" t="str">
        <f>VLOOKUP(A460,'ESTADOS ESTUDIANTES'!B:L,2,0)</f>
        <v>VARGAS CALDERON ANUAR EDILSON</v>
      </c>
      <c r="C460" s="19">
        <f>VLOOKUP(A460,'ESTADOS ESTUDIANTES'!B:L,3,0)</f>
        <v>295</v>
      </c>
      <c r="D460" s="66" t="str">
        <f>VLOOKUP(A460,'ESTADOS ESTUDIANTES'!B:L,4,0)</f>
        <v>MAE. EN CIENCIAS DE LA INF. Y LAS COMUNICACIONES ENFASIS EN SIS. INFOR</v>
      </c>
      <c r="E460" s="19" t="str">
        <f>VLOOKUP(A460,'ESTADOS ESTUDIANTES'!B:L,5,0)</f>
        <v>X</v>
      </c>
      <c r="F460" s="18" t="str">
        <f>VLOOKUP(E460,Listas!B1:C1004,2,0)</f>
        <v>EXCLUIDO</v>
      </c>
      <c r="G460" s="19" t="str">
        <f>VLOOKUP(A460,'ESTADOS ESTUDIANTES'!B:L,7,0)</f>
        <v>NO REGISTRA</v>
      </c>
      <c r="H460" s="19" t="str">
        <f>VLOOKUP(A460,'ESTADOS ESTUDIANTES'!B:L,8,0)</f>
        <v>anevargasc@correo.udistrital.edu.co</v>
      </c>
      <c r="I460" s="70" t="str">
        <f>VLOOKUP(A460,'ESTADOS ESTUDIANTES'!B:L,9,0)</f>
        <v>anuarvargas@yahoo.com</v>
      </c>
      <c r="J460" s="19" t="str">
        <f>VLOOKUP(A460,'ESTADOS ESTUDIANTES'!B:L,10,0)</f>
        <v>CC</v>
      </c>
      <c r="K460" s="19">
        <f>VLOOKUP(A460,'ESTADOS ESTUDIANTES'!B:L,11,0)</f>
        <v>79574777</v>
      </c>
      <c r="L460" s="23"/>
      <c r="M460" s="20"/>
      <c r="N460" s="22"/>
      <c r="O460" s="15"/>
      <c r="P460" s="15"/>
      <c r="Q460" s="15"/>
      <c r="R460" s="15"/>
      <c r="S460" s="15"/>
      <c r="T460" s="15"/>
      <c r="U460" s="15"/>
    </row>
    <row r="461" spans="1:21" ht="90">
      <c r="A461" s="17">
        <v>20091295019</v>
      </c>
      <c r="B461" s="19" t="str">
        <f>VLOOKUP(A461,'ESTADOS ESTUDIANTES'!B:L,2,0)</f>
        <v>HERRERA JIMENEZ SIMAR ENRIQUE</v>
      </c>
      <c r="C461" s="19">
        <f>VLOOKUP(A461,'ESTADOS ESTUDIANTES'!B:L,3,0)</f>
        <v>295</v>
      </c>
      <c r="D461" s="66" t="str">
        <f>VLOOKUP(A461,'ESTADOS ESTUDIANTES'!B:L,4,0)</f>
        <v>MAE. EN CIENCIAS DE LA INF. Y LAS COMUNICACIONES ENFASIS EN SIS. INFOR</v>
      </c>
      <c r="E461" s="19" t="str">
        <f>VLOOKUP(A461,'ESTADOS ESTUDIANTES'!B:L,5,0)</f>
        <v>X</v>
      </c>
      <c r="F461" s="18" t="str">
        <f>VLOOKUP(E461,Listas!B1:C1004,2,0)</f>
        <v>EXCLUIDO</v>
      </c>
      <c r="G461" s="19" t="str">
        <f>VLOOKUP(A461,'ESTADOS ESTUDIANTES'!B:L,7,0)</f>
        <v>NO REGISTRA</v>
      </c>
      <c r="H461" s="19" t="str">
        <f>VLOOKUP(A461,'ESTADOS ESTUDIANTES'!B:L,8,0)</f>
        <v>seherreraj@correo.udistrital.edu.co</v>
      </c>
      <c r="I461" s="70" t="str">
        <f>VLOOKUP(A461,'ESTADOS ESTUDIANTES'!B:L,9,0)</f>
        <v>seherreraj@udistrital.edu.co</v>
      </c>
      <c r="J461" s="19" t="str">
        <f>VLOOKUP(A461,'ESTADOS ESTUDIANTES'!B:L,10,0)</f>
        <v>CC</v>
      </c>
      <c r="K461" s="19">
        <f>VLOOKUP(A461,'ESTADOS ESTUDIANTES'!B:L,11,0)</f>
        <v>80901903</v>
      </c>
      <c r="L461" s="23"/>
      <c r="M461" s="20"/>
      <c r="N461" s="22"/>
      <c r="O461" s="15"/>
      <c r="P461" s="15"/>
      <c r="Q461" s="15"/>
      <c r="R461" s="15"/>
      <c r="S461" s="15"/>
      <c r="T461" s="15"/>
      <c r="U461" s="15"/>
    </row>
    <row r="462" spans="1:21" ht="90">
      <c r="A462" s="17">
        <v>20092195001</v>
      </c>
      <c r="B462" s="19" t="str">
        <f>VLOOKUP(A462,'ESTADOS ESTUDIANTES'!B:L,2,0)</f>
        <v>AGUIRRE BUENAVENTURA EDGAR ALIRIO</v>
      </c>
      <c r="C462" s="19">
        <f>VLOOKUP(A462,'ESTADOS ESTUDIANTES'!B:L,3,0)</f>
        <v>195</v>
      </c>
      <c r="D462" s="66" t="str">
        <f>VLOOKUP(A462,'ESTADOS ESTUDIANTES'!B:L,4,0)</f>
        <v>MAE. EN CIENCIAS DE LA INF. Y LAS COMUNICACIONES ENFASIS EN TELEINF.</v>
      </c>
      <c r="E462" s="19" t="str">
        <f>VLOOKUP(A462,'ESTADOS ESTUDIANTES'!B:L,5,0)</f>
        <v>E</v>
      </c>
      <c r="F462" s="18" t="str">
        <f>VLOOKUP(E462,Listas!B1:C1004,2,0)</f>
        <v>EGRESADO</v>
      </c>
      <c r="G462" s="19" t="str">
        <f>VLOOKUP(A462,'ESTADOS ESTUDIANTES'!B:L,7,0)</f>
        <v>NO REGISTRA</v>
      </c>
      <c r="H462" s="19" t="str">
        <f>VLOOKUP(A462,'ESTADOS ESTUDIANTES'!B:L,8,0)</f>
        <v>eaaguirreb@correo.udistrital.edu.co</v>
      </c>
      <c r="I462" s="70" t="str">
        <f>VLOOKUP(A462,'ESTADOS ESTUDIANTES'!B:L,9,0)</f>
        <v>miratonera@gmail.com</v>
      </c>
      <c r="J462" s="19" t="str">
        <f>VLOOKUP(A462,'ESTADOS ESTUDIANTES'!B:L,10,0)</f>
        <v>CC</v>
      </c>
      <c r="K462" s="19">
        <f>VLOOKUP(A462,'ESTADOS ESTUDIANTES'!B:L,11,0)</f>
        <v>79946573</v>
      </c>
      <c r="L462" s="23"/>
      <c r="M462" s="20"/>
      <c r="N462" s="22"/>
      <c r="O462" s="15"/>
      <c r="P462" s="15"/>
      <c r="Q462" s="15"/>
      <c r="R462" s="15"/>
      <c r="S462" s="15"/>
      <c r="T462" s="15"/>
      <c r="U462" s="15"/>
    </row>
    <row r="463" spans="1:21" ht="90">
      <c r="A463" s="17">
        <v>20092195002</v>
      </c>
      <c r="B463" s="19" t="str">
        <f>VLOOKUP(A463,'ESTADOS ESTUDIANTES'!B:L,2,0)</f>
        <v>BADILLO RODRIGUEZ ANDRES</v>
      </c>
      <c r="C463" s="19">
        <f>VLOOKUP(A463,'ESTADOS ESTUDIANTES'!B:L,3,0)</f>
        <v>195</v>
      </c>
      <c r="D463" s="66" t="str">
        <f>VLOOKUP(A463,'ESTADOS ESTUDIANTES'!B:L,4,0)</f>
        <v>MAE. EN CIENCIAS DE LA INF. Y LAS COMUNICACIONES ENFASIS EN TELEINF.</v>
      </c>
      <c r="E463" s="19" t="str">
        <f>VLOOKUP(A463,'ESTADOS ESTUDIANTES'!B:L,5,0)</f>
        <v>E</v>
      </c>
      <c r="F463" s="18" t="str">
        <f>VLOOKUP(E463,Listas!B1:C1004,2,0)</f>
        <v>EGRESADO</v>
      </c>
      <c r="G463" s="19">
        <f>VLOOKUP(A463,'ESTADOS ESTUDIANTES'!B:L,7,0)</f>
        <v>1</v>
      </c>
      <c r="H463" s="19" t="str">
        <f>VLOOKUP(A463,'ESTADOS ESTUDIANTES'!B:L,8,0)</f>
        <v>abadillor@correo.udistrital.edu.co</v>
      </c>
      <c r="I463" s="70" t="str">
        <f>VLOOKUP(A463,'ESTADOS ESTUDIANTES'!B:L,9,0)</f>
        <v>a4badillor@gmail.com</v>
      </c>
      <c r="J463" s="19" t="str">
        <f>VLOOKUP(A463,'ESTADOS ESTUDIANTES'!B:L,10,0)</f>
        <v>CC</v>
      </c>
      <c r="K463" s="19">
        <f>VLOOKUP(A463,'ESTADOS ESTUDIANTES'!B:L,11,0)</f>
        <v>1098605159</v>
      </c>
      <c r="L463" s="23"/>
      <c r="M463" s="20"/>
      <c r="N463" s="22"/>
      <c r="O463" s="15"/>
      <c r="P463" s="15"/>
      <c r="Q463" s="15"/>
      <c r="R463" s="15"/>
      <c r="S463" s="15"/>
      <c r="T463" s="15"/>
      <c r="U463" s="15"/>
    </row>
    <row r="464" spans="1:21" ht="90">
      <c r="A464" s="17">
        <v>20092195003</v>
      </c>
      <c r="B464" s="19" t="str">
        <f>VLOOKUP(A464,'ESTADOS ESTUDIANTES'!B:L,2,0)</f>
        <v>BALLESTEROS URRUTIA IRVING EMIRO</v>
      </c>
      <c r="C464" s="19">
        <f>VLOOKUP(A464,'ESTADOS ESTUDIANTES'!B:L,3,0)</f>
        <v>195</v>
      </c>
      <c r="D464" s="66" t="str">
        <f>VLOOKUP(A464,'ESTADOS ESTUDIANTES'!B:L,4,0)</f>
        <v>MAE. EN CIENCIAS DE LA INF. Y LAS COMUNICACIONES ENFASIS EN TELEINF.</v>
      </c>
      <c r="E464" s="19" t="str">
        <f>VLOOKUP(A464,'ESTADOS ESTUDIANTES'!B:L,5,0)</f>
        <v>X</v>
      </c>
      <c r="F464" s="18" t="str">
        <f>VLOOKUP(E464,Listas!B1:C1004,2,0)</f>
        <v>EXCLUIDO</v>
      </c>
      <c r="G464" s="19">
        <f>VLOOKUP(A464,'ESTADOS ESTUDIANTES'!B:L,7,0)</f>
        <v>1</v>
      </c>
      <c r="H464" s="19" t="str">
        <f>VLOOKUP(A464,'ESTADOS ESTUDIANTES'!B:L,8,0)</f>
        <v>ieballesterosu@correo.udistrital.edu.co</v>
      </c>
      <c r="I464" s="70" t="str">
        <f>VLOOKUP(A464,'ESTADOS ESTUDIANTES'!B:L,9,0)</f>
        <v>irebau@hotmail.com</v>
      </c>
      <c r="J464" s="19" t="str">
        <f>VLOOKUP(A464,'ESTADOS ESTUDIANTES'!B:L,10,0)</f>
        <v>CC</v>
      </c>
      <c r="K464" s="19">
        <f>VLOOKUP(A464,'ESTADOS ESTUDIANTES'!B:L,11,0)</f>
        <v>11707053</v>
      </c>
      <c r="L464" s="23"/>
      <c r="M464" s="20"/>
      <c r="N464" s="22"/>
      <c r="O464" s="15"/>
      <c r="P464" s="15"/>
      <c r="Q464" s="15"/>
      <c r="R464" s="15"/>
      <c r="S464" s="15"/>
      <c r="T464" s="15"/>
      <c r="U464" s="15"/>
    </row>
    <row r="465" spans="1:21" ht="90">
      <c r="A465" s="17">
        <v>20092195004</v>
      </c>
      <c r="B465" s="19" t="str">
        <f>VLOOKUP(A465,'ESTADOS ESTUDIANTES'!B:L,2,0)</f>
        <v>BLANCO JORGE IGNACIO</v>
      </c>
      <c r="C465" s="19">
        <f>VLOOKUP(A465,'ESTADOS ESTUDIANTES'!B:L,3,0)</f>
        <v>195</v>
      </c>
      <c r="D465" s="66" t="str">
        <f>VLOOKUP(A465,'ESTADOS ESTUDIANTES'!B:L,4,0)</f>
        <v>MAE. EN CIENCIAS DE LA INF. Y LAS COMUNICACIONES ENFASIS EN TELEINF.</v>
      </c>
      <c r="E465" s="19" t="str">
        <f>VLOOKUP(A465,'ESTADOS ESTUDIANTES'!B:L,5,0)</f>
        <v>E</v>
      </c>
      <c r="F465" s="18" t="str">
        <f>VLOOKUP(E465,Listas!B1:C1004,2,0)</f>
        <v>EGRESADO</v>
      </c>
      <c r="G465" s="19" t="str">
        <f>VLOOKUP(A465,'ESTADOS ESTUDIANTES'!B:L,7,0)</f>
        <v>NO REGISTRA</v>
      </c>
      <c r="H465" s="19" t="str">
        <f>VLOOKUP(A465,'ESTADOS ESTUDIANTES'!B:L,8,0)</f>
        <v>jblanco@correo.udistrital.edu.co</v>
      </c>
      <c r="I465" s="70" t="str">
        <f>VLOOKUP(A465,'ESTADOS ESTUDIANTES'!B:L,9,0)</f>
        <v>ing.jorgeblanco@gmail.com</v>
      </c>
      <c r="J465" s="19" t="str">
        <f>VLOOKUP(A465,'ESTADOS ESTUDIANTES'!B:L,10,0)</f>
        <v>CC</v>
      </c>
      <c r="K465" s="19">
        <f>VLOOKUP(A465,'ESTADOS ESTUDIANTES'!B:L,11,0)</f>
        <v>4252246</v>
      </c>
      <c r="L465" s="23"/>
      <c r="M465" s="20"/>
      <c r="N465" s="22"/>
      <c r="O465" s="15"/>
      <c r="P465" s="15"/>
      <c r="Q465" s="15"/>
      <c r="R465" s="15"/>
      <c r="S465" s="15"/>
      <c r="T465" s="15"/>
      <c r="U465" s="15"/>
    </row>
    <row r="466" spans="1:21" ht="90">
      <c r="A466" s="17">
        <v>20092195005</v>
      </c>
      <c r="B466" s="19" t="str">
        <f>VLOOKUP(A466,'ESTADOS ESTUDIANTES'!B:L,2,0)</f>
        <v>CAÑON LARA CARLOS ANDRES</v>
      </c>
      <c r="C466" s="19">
        <f>VLOOKUP(A466,'ESTADOS ESTUDIANTES'!B:L,3,0)</f>
        <v>195</v>
      </c>
      <c r="D466" s="66" t="str">
        <f>VLOOKUP(A466,'ESTADOS ESTUDIANTES'!B:L,4,0)</f>
        <v>MAE. EN CIENCIAS DE LA INF. Y LAS COMUNICACIONES ENFASIS EN TELEINF.</v>
      </c>
      <c r="E466" s="19" t="str">
        <f>VLOOKUP(A466,'ESTADOS ESTUDIANTES'!B:L,5,0)</f>
        <v>X</v>
      </c>
      <c r="F466" s="18" t="str">
        <f>VLOOKUP(E466,Listas!B1:C1004,2,0)</f>
        <v>EXCLUIDO</v>
      </c>
      <c r="G466" s="19" t="str">
        <f>VLOOKUP(A466,'ESTADOS ESTUDIANTES'!B:L,7,0)</f>
        <v>NO REGISTRA</v>
      </c>
      <c r="H466" s="19">
        <f>VLOOKUP(A466,'ESTADOS ESTUDIANTES'!B:L,8,0)</f>
        <v>0</v>
      </c>
      <c r="I466" s="70" t="str">
        <f>VLOOKUP(A466,'ESTADOS ESTUDIANTES'!B:L,9,0)</f>
        <v>carlosacannon@hotmail.com</v>
      </c>
      <c r="J466" s="19" t="str">
        <f>VLOOKUP(A466,'ESTADOS ESTUDIANTES'!B:L,10,0)</f>
        <v>CC</v>
      </c>
      <c r="K466" s="19">
        <f>VLOOKUP(A466,'ESTADOS ESTUDIANTES'!B:L,11,0)</f>
        <v>80070923</v>
      </c>
      <c r="L466" s="23"/>
      <c r="M466" s="20"/>
      <c r="N466" s="22"/>
      <c r="O466" s="15"/>
      <c r="P466" s="15"/>
      <c r="Q466" s="15"/>
      <c r="R466" s="15"/>
      <c r="S466" s="15"/>
      <c r="T466" s="15"/>
      <c r="U466" s="15"/>
    </row>
    <row r="467" spans="1:21" ht="90">
      <c r="A467" s="17">
        <v>20092195006</v>
      </c>
      <c r="B467" s="19" t="str">
        <f>VLOOKUP(A467,'ESTADOS ESTUDIANTES'!B:L,2,0)</f>
        <v>CARROLL VARGAS JOEL</v>
      </c>
      <c r="C467" s="19">
        <f>VLOOKUP(A467,'ESTADOS ESTUDIANTES'!B:L,3,0)</f>
        <v>195</v>
      </c>
      <c r="D467" s="66" t="str">
        <f>VLOOKUP(A467,'ESTADOS ESTUDIANTES'!B:L,4,0)</f>
        <v>MAE. EN CIENCIAS DE LA INF. Y LAS COMUNICACIONES ENFASIS EN TELEINF.</v>
      </c>
      <c r="E467" s="19" t="str">
        <f>VLOOKUP(A467,'ESTADOS ESTUDIANTES'!B:L,5,0)</f>
        <v>E</v>
      </c>
      <c r="F467" s="18" t="str">
        <f>VLOOKUP(E467,Listas!B1:C1004,2,0)</f>
        <v>EGRESADO</v>
      </c>
      <c r="G467" s="19">
        <f>VLOOKUP(A467,'ESTADOS ESTUDIANTES'!B:L,7,0)</f>
        <v>6</v>
      </c>
      <c r="H467" s="19" t="str">
        <f>VLOOKUP(A467,'ESTADOS ESTUDIANTES'!B:L,8,0)</f>
        <v>jcarrollv@correo.udistrital.edu.co</v>
      </c>
      <c r="I467" s="70" t="str">
        <f>VLOOKUP(A467,'ESTADOS ESTUDIANTES'!B:L,9,0)</f>
        <v>discomsystem@gmail.com</v>
      </c>
      <c r="J467" s="19" t="str">
        <f>VLOOKUP(A467,'ESTADOS ESTUDIANTES'!B:L,10,0)</f>
        <v>CC</v>
      </c>
      <c r="K467" s="19">
        <f>VLOOKUP(A467,'ESTADOS ESTUDIANTES'!B:L,11,0)</f>
        <v>80236337</v>
      </c>
      <c r="L467" s="23"/>
      <c r="M467" s="20"/>
      <c r="N467" s="22"/>
      <c r="O467" s="15"/>
      <c r="P467" s="15"/>
      <c r="Q467" s="15"/>
      <c r="R467" s="15"/>
      <c r="S467" s="15"/>
      <c r="T467" s="15"/>
      <c r="U467" s="15"/>
    </row>
    <row r="468" spans="1:21" ht="90">
      <c r="A468" s="17">
        <v>20092195007</v>
      </c>
      <c r="B468" s="19" t="str">
        <f>VLOOKUP(A468,'ESTADOS ESTUDIANTES'!B:L,2,0)</f>
        <v>CASANOVA CAICEDO JAIRO ANDRES</v>
      </c>
      <c r="C468" s="19">
        <f>VLOOKUP(A468,'ESTADOS ESTUDIANTES'!B:L,3,0)</f>
        <v>195</v>
      </c>
      <c r="D468" s="66" t="str">
        <f>VLOOKUP(A468,'ESTADOS ESTUDIANTES'!B:L,4,0)</f>
        <v>MAE. EN CIENCIAS DE LA INF. Y LAS COMUNICACIONES ENFASIS EN TELEINF.</v>
      </c>
      <c r="E468" s="19" t="str">
        <f>VLOOKUP(A468,'ESTADOS ESTUDIANTES'!B:L,5,0)</f>
        <v>E</v>
      </c>
      <c r="F468" s="18" t="str">
        <f>VLOOKUP(E468,Listas!B1:C1004,2,0)</f>
        <v>EGRESADO</v>
      </c>
      <c r="G468" s="19">
        <f>VLOOKUP(A468,'ESTADOS ESTUDIANTES'!B:L,7,0)</f>
        <v>1</v>
      </c>
      <c r="H468" s="19" t="str">
        <f>VLOOKUP(A468,'ESTADOS ESTUDIANTES'!B:L,8,0)</f>
        <v>jacasanovac@correo.udistrital.edu.co</v>
      </c>
      <c r="I468" s="70" t="str">
        <f>VLOOKUP(A468,'ESTADOS ESTUDIANTES'!B:L,9,0)</f>
        <v>acasanova2010@gmail.com</v>
      </c>
      <c r="J468" s="19" t="str">
        <f>VLOOKUP(A468,'ESTADOS ESTUDIANTES'!B:L,10,0)</f>
        <v>CC</v>
      </c>
      <c r="K468" s="19">
        <f>VLOOKUP(A468,'ESTADOS ESTUDIANTES'!B:L,11,0)</f>
        <v>98386141</v>
      </c>
      <c r="L468" s="23"/>
      <c r="M468" s="20"/>
      <c r="N468" s="22"/>
      <c r="O468" s="15"/>
      <c r="P468" s="15"/>
      <c r="Q468" s="15"/>
      <c r="R468" s="15"/>
      <c r="S468" s="15"/>
      <c r="T468" s="15"/>
      <c r="U468" s="15"/>
    </row>
    <row r="469" spans="1:21" ht="90">
      <c r="A469" s="17">
        <v>20092195008</v>
      </c>
      <c r="B469" s="19" t="str">
        <f>VLOOKUP(A469,'ESTADOS ESTUDIANTES'!B:L,2,0)</f>
        <v>CASTIBLANCO ORTIZ MARIELA</v>
      </c>
      <c r="C469" s="19">
        <f>VLOOKUP(A469,'ESTADOS ESTUDIANTES'!B:L,3,0)</f>
        <v>195</v>
      </c>
      <c r="D469" s="66" t="str">
        <f>VLOOKUP(A469,'ESTADOS ESTUDIANTES'!B:L,4,0)</f>
        <v>MAE. EN CIENCIAS DE LA INF. Y LAS COMUNICACIONES ENFASIS EN TELEINF.</v>
      </c>
      <c r="E469" s="19" t="str">
        <f>VLOOKUP(A469,'ESTADOS ESTUDIANTES'!B:L,5,0)</f>
        <v>X</v>
      </c>
      <c r="F469" s="18" t="str">
        <f>VLOOKUP(E469,Listas!B1:C1004,2,0)</f>
        <v>EXCLUIDO</v>
      </c>
      <c r="G469" s="19" t="str">
        <f>VLOOKUP(A469,'ESTADOS ESTUDIANTES'!B:L,7,0)</f>
        <v>NO REGISTRA</v>
      </c>
      <c r="H469" s="19">
        <f>VLOOKUP(A469,'ESTADOS ESTUDIANTES'!B:L,8,0)</f>
        <v>0</v>
      </c>
      <c r="I469" s="70" t="str">
        <f>VLOOKUP(A469,'ESTADOS ESTUDIANTES'!B:L,9,0)</f>
        <v>marielacastiblanco@gmail.com</v>
      </c>
      <c r="J469" s="19" t="str">
        <f>VLOOKUP(A469,'ESTADOS ESTUDIANTES'!B:L,10,0)</f>
        <v>CC</v>
      </c>
      <c r="K469" s="19">
        <f>VLOOKUP(A469,'ESTADOS ESTUDIANTES'!B:L,11,0)</f>
        <v>39740428</v>
      </c>
      <c r="L469" s="23"/>
      <c r="M469" s="20"/>
      <c r="N469" s="22"/>
      <c r="O469" s="15"/>
      <c r="P469" s="15"/>
      <c r="Q469" s="15"/>
      <c r="R469" s="15"/>
      <c r="S469" s="15"/>
      <c r="T469" s="15"/>
      <c r="U469" s="15"/>
    </row>
    <row r="470" spans="1:21" ht="90">
      <c r="A470" s="17">
        <v>20092195009</v>
      </c>
      <c r="B470" s="19" t="str">
        <f>VLOOKUP(A470,'ESTADOS ESTUDIANTES'!B:L,2,0)</f>
        <v>RAMON ERNESTO CORREA AMADO</v>
      </c>
      <c r="C470" s="19">
        <f>VLOOKUP(A470,'ESTADOS ESTUDIANTES'!B:L,3,0)</f>
        <v>195</v>
      </c>
      <c r="D470" s="66" t="str">
        <f>VLOOKUP(A470,'ESTADOS ESTUDIANTES'!B:L,4,0)</f>
        <v>MAE. EN CIENCIAS DE LA INF. Y LAS COMUNICACIONES ENFASIS EN TELEINF.</v>
      </c>
      <c r="E470" s="19" t="str">
        <f>VLOOKUP(A470,'ESTADOS ESTUDIANTES'!B:L,5,0)</f>
        <v>E</v>
      </c>
      <c r="F470" s="18" t="str">
        <f>VLOOKUP(E470,Listas!B1:C1004,2,0)</f>
        <v>EGRESADO</v>
      </c>
      <c r="G470" s="19" t="str">
        <f>VLOOKUP(A470,'ESTADOS ESTUDIANTES'!B:L,7,0)</f>
        <v>NO REGISTRA</v>
      </c>
      <c r="H470" s="19" t="str">
        <f>VLOOKUP(A470,'ESTADOS ESTUDIANTES'!B:L,8,0)</f>
        <v>recorreaa@correo.udistrital.edu.co</v>
      </c>
      <c r="I470" s="70" t="str">
        <f>VLOOKUP(A470,'ESTADOS ESTUDIANTES'!B:L,9,0)</f>
        <v>rcorrea@etb.net.co</v>
      </c>
      <c r="J470" s="19" t="str">
        <f>VLOOKUP(A470,'ESTADOS ESTUDIANTES'!B:L,10,0)</f>
        <v>CC</v>
      </c>
      <c r="K470" s="19">
        <f>VLOOKUP(A470,'ESTADOS ESTUDIANTES'!B:L,11,0)</f>
        <v>19196957</v>
      </c>
      <c r="L470" s="23"/>
      <c r="M470" s="20"/>
      <c r="N470" s="22"/>
      <c r="O470" s="15"/>
      <c r="P470" s="15"/>
      <c r="Q470" s="15"/>
      <c r="R470" s="15"/>
      <c r="S470" s="15"/>
      <c r="T470" s="15"/>
      <c r="U470" s="15"/>
    </row>
    <row r="471" spans="1:21" ht="90">
      <c r="A471" s="17">
        <v>20092195010</v>
      </c>
      <c r="B471" s="19" t="str">
        <f>VLOOKUP(A471,'ESTADOS ESTUDIANTES'!B:L,2,0)</f>
        <v>GARCES RIOS JOSE LEANDRO</v>
      </c>
      <c r="C471" s="19">
        <f>VLOOKUP(A471,'ESTADOS ESTUDIANTES'!B:L,3,0)</f>
        <v>195</v>
      </c>
      <c r="D471" s="66" t="str">
        <f>VLOOKUP(A471,'ESTADOS ESTUDIANTES'!B:L,4,0)</f>
        <v>MAE. EN CIENCIAS DE LA INF. Y LAS COMUNICACIONES ENFASIS EN TELEINF.</v>
      </c>
      <c r="E471" s="19" t="str">
        <f>VLOOKUP(A471,'ESTADOS ESTUDIANTES'!B:L,5,0)</f>
        <v>X</v>
      </c>
      <c r="F471" s="18" t="str">
        <f>VLOOKUP(E471,Listas!B1:C1004,2,0)</f>
        <v>EXCLUIDO</v>
      </c>
      <c r="G471" s="19">
        <f>VLOOKUP(A471,'ESTADOS ESTUDIANTES'!B:L,7,0)</f>
        <v>1</v>
      </c>
      <c r="H471" s="19" t="str">
        <f>VLOOKUP(A471,'ESTADOS ESTUDIANTES'!B:L,8,0)</f>
        <v>jlgarcesr@correo.udistrital.edu.co</v>
      </c>
      <c r="I471" s="70" t="str">
        <f>VLOOKUP(A471,'ESTADOS ESTUDIANTES'!B:L,9,0)</f>
        <v>leandrogarces@hotmail.com</v>
      </c>
      <c r="J471" s="19" t="str">
        <f>VLOOKUP(A471,'ESTADOS ESTUDIANTES'!B:L,10,0)</f>
        <v>CC</v>
      </c>
      <c r="K471" s="19">
        <f>VLOOKUP(A471,'ESTADOS ESTUDIANTES'!B:L,11,0)</f>
        <v>7181187</v>
      </c>
      <c r="L471" s="23"/>
      <c r="M471" s="20"/>
      <c r="N471" s="22"/>
      <c r="O471" s="15"/>
      <c r="P471" s="15"/>
      <c r="Q471" s="15"/>
      <c r="R471" s="15"/>
      <c r="S471" s="15"/>
      <c r="T471" s="15"/>
      <c r="U471" s="15"/>
    </row>
    <row r="472" spans="1:21" ht="90">
      <c r="A472" s="17">
        <v>20092195011</v>
      </c>
      <c r="B472" s="19" t="str">
        <f>VLOOKUP(A472,'ESTADOS ESTUDIANTES'!B:L,2,0)</f>
        <v>GIL ROMERO JUAN CARLOS</v>
      </c>
      <c r="C472" s="19">
        <f>VLOOKUP(A472,'ESTADOS ESTUDIANTES'!B:L,3,0)</f>
        <v>195</v>
      </c>
      <c r="D472" s="66" t="str">
        <f>VLOOKUP(A472,'ESTADOS ESTUDIANTES'!B:L,4,0)</f>
        <v>MAE. EN CIENCIAS DE LA INF. Y LAS COMUNICACIONES ENFASIS EN TELEINF.</v>
      </c>
      <c r="E472" s="19" t="str">
        <f>VLOOKUP(A472,'ESTADOS ESTUDIANTES'!B:L,5,0)</f>
        <v>X</v>
      </c>
      <c r="F472" s="18" t="str">
        <f>VLOOKUP(E472,Listas!B1:C1004,2,0)</f>
        <v>EXCLUIDO</v>
      </c>
      <c r="G472" s="19">
        <f>VLOOKUP(A472,'ESTADOS ESTUDIANTES'!B:L,7,0)</f>
        <v>3</v>
      </c>
      <c r="H472" s="19" t="str">
        <f>VLOOKUP(A472,'ESTADOS ESTUDIANTES'!B:L,8,0)</f>
        <v>jcgilr@correo.udistrital.edu.co</v>
      </c>
      <c r="I472" s="70" t="str">
        <f>VLOOKUP(A472,'ESTADOS ESTUDIANTES'!B:L,9,0)</f>
        <v>juanktennis@gmail.com</v>
      </c>
      <c r="J472" s="19" t="str">
        <f>VLOOKUP(A472,'ESTADOS ESTUDIANTES'!B:L,10,0)</f>
        <v>CC</v>
      </c>
      <c r="K472" s="19">
        <f>VLOOKUP(A472,'ESTADOS ESTUDIANTES'!B:L,11,0)</f>
        <v>79363290</v>
      </c>
      <c r="L472" s="23"/>
      <c r="M472" s="20"/>
      <c r="N472" s="22"/>
      <c r="O472" s="15"/>
      <c r="P472" s="15"/>
      <c r="Q472" s="15"/>
      <c r="R472" s="15"/>
      <c r="S472" s="15"/>
      <c r="T472" s="15"/>
      <c r="U472" s="15"/>
    </row>
    <row r="473" spans="1:21" ht="90">
      <c r="A473" s="17">
        <v>20092195012</v>
      </c>
      <c r="B473" s="19" t="str">
        <f>VLOOKUP(A473,'ESTADOS ESTUDIANTES'!B:L,2,0)</f>
        <v>GONZALEZ VILLALOBOS JAIME URIEL</v>
      </c>
      <c r="C473" s="19">
        <f>VLOOKUP(A473,'ESTADOS ESTUDIANTES'!B:L,3,0)</f>
        <v>195</v>
      </c>
      <c r="D473" s="66" t="str">
        <f>VLOOKUP(A473,'ESTADOS ESTUDIANTES'!B:L,4,0)</f>
        <v>MAE. EN CIENCIAS DE LA INF. Y LAS COMUNICACIONES ENFASIS EN TELEINF.</v>
      </c>
      <c r="E473" s="19" t="str">
        <f>VLOOKUP(A473,'ESTADOS ESTUDIANTES'!B:L,5,0)</f>
        <v>X</v>
      </c>
      <c r="F473" s="18" t="str">
        <f>VLOOKUP(E473,Listas!B1:C1004,2,0)</f>
        <v>EXCLUIDO</v>
      </c>
      <c r="G473" s="19">
        <f>VLOOKUP(A473,'ESTADOS ESTUDIANTES'!B:L,7,0)</f>
        <v>1</v>
      </c>
      <c r="H473" s="19" t="str">
        <f>VLOOKUP(A473,'ESTADOS ESTUDIANTES'!B:L,8,0)</f>
        <v>jugonzalezv@correo.udistrital.edu.co</v>
      </c>
      <c r="I473" s="70" t="str">
        <f>VLOOKUP(A473,'ESTADOS ESTUDIANTES'!B:L,9,0)</f>
        <v>jaimeuriel@gmail.com</v>
      </c>
      <c r="J473" s="19" t="str">
        <f>VLOOKUP(A473,'ESTADOS ESTUDIANTES'!B:L,10,0)</f>
        <v>CC</v>
      </c>
      <c r="K473" s="19">
        <f>VLOOKUP(A473,'ESTADOS ESTUDIANTES'!B:L,11,0)</f>
        <v>93181129</v>
      </c>
      <c r="L473" s="23"/>
      <c r="M473" s="20"/>
      <c r="N473" s="22"/>
      <c r="O473" s="15"/>
      <c r="P473" s="15"/>
      <c r="Q473" s="15"/>
      <c r="R473" s="15"/>
      <c r="S473" s="15"/>
      <c r="T473" s="15"/>
      <c r="U473" s="15"/>
    </row>
    <row r="474" spans="1:21" ht="90">
      <c r="A474" s="17">
        <v>20092195013</v>
      </c>
      <c r="B474" s="19" t="str">
        <f>VLOOKUP(A474,'ESTADOS ESTUDIANTES'!B:L,2,0)</f>
        <v>JIMENEZ GARZON EDWIN ALFONSO</v>
      </c>
      <c r="C474" s="19">
        <f>VLOOKUP(A474,'ESTADOS ESTUDIANTES'!B:L,3,0)</f>
        <v>195</v>
      </c>
      <c r="D474" s="66" t="str">
        <f>VLOOKUP(A474,'ESTADOS ESTUDIANTES'!B:L,4,0)</f>
        <v>MAE. EN CIENCIAS DE LA INF. Y LAS COMUNICACIONES ENFASIS EN TELEINF.</v>
      </c>
      <c r="E474" s="19" t="str">
        <f>VLOOKUP(A474,'ESTADOS ESTUDIANTES'!B:L,5,0)</f>
        <v>E</v>
      </c>
      <c r="F474" s="18" t="str">
        <f>VLOOKUP(E474,Listas!B1:C1004,2,0)</f>
        <v>EGRESADO</v>
      </c>
      <c r="G474" s="19">
        <f>VLOOKUP(A474,'ESTADOS ESTUDIANTES'!B:L,7,0)</f>
        <v>1</v>
      </c>
      <c r="H474" s="19" t="str">
        <f>VLOOKUP(A474,'ESTADOS ESTUDIANTES'!B:L,8,0)</f>
        <v>edajimenezg@correo.udistrital.edu.co</v>
      </c>
      <c r="I474" s="70" t="str">
        <f>VLOOKUP(A474,'ESTADOS ESTUDIANTES'!B:L,9,0)</f>
        <v>eajimenezg@gmail.com</v>
      </c>
      <c r="J474" s="19" t="str">
        <f>VLOOKUP(A474,'ESTADOS ESTUDIANTES'!B:L,10,0)</f>
        <v>CC</v>
      </c>
      <c r="K474" s="19">
        <f>VLOOKUP(A474,'ESTADOS ESTUDIANTES'!B:L,11,0)</f>
        <v>80222306</v>
      </c>
      <c r="L474" s="23"/>
      <c r="M474" s="20"/>
      <c r="N474" s="22"/>
      <c r="O474" s="15"/>
      <c r="P474" s="15"/>
      <c r="Q474" s="15"/>
      <c r="R474" s="15"/>
      <c r="S474" s="15"/>
      <c r="T474" s="15"/>
      <c r="U474" s="15"/>
    </row>
    <row r="475" spans="1:21" ht="90">
      <c r="A475" s="17">
        <v>20092195014</v>
      </c>
      <c r="B475" s="19" t="str">
        <f>VLOOKUP(A475,'ESTADOS ESTUDIANTES'!B:L,2,0)</f>
        <v>LEON JARAMILLO DANNY FERNANDO</v>
      </c>
      <c r="C475" s="19">
        <f>VLOOKUP(A475,'ESTADOS ESTUDIANTES'!B:L,3,0)</f>
        <v>195</v>
      </c>
      <c r="D475" s="66" t="str">
        <f>VLOOKUP(A475,'ESTADOS ESTUDIANTES'!B:L,4,0)</f>
        <v>MAE. EN CIENCIAS DE LA INF. Y LAS COMUNICACIONES ENFASIS EN TELEINF.</v>
      </c>
      <c r="E475" s="19" t="str">
        <f>VLOOKUP(A475,'ESTADOS ESTUDIANTES'!B:L,5,0)</f>
        <v>E</v>
      </c>
      <c r="F475" s="18" t="str">
        <f>VLOOKUP(E475,Listas!B1:C1004,2,0)</f>
        <v>EGRESADO</v>
      </c>
      <c r="G475" s="19">
        <f>VLOOKUP(A475,'ESTADOS ESTUDIANTES'!B:L,7,0)</f>
        <v>1</v>
      </c>
      <c r="H475" s="19" t="str">
        <f>VLOOKUP(A475,'ESTADOS ESTUDIANTES'!B:L,8,0)</f>
        <v>dfleonj@correo.udistrital.edu.co</v>
      </c>
      <c r="I475" s="70" t="str">
        <f>VLOOKUP(A475,'ESTADOS ESTUDIANTES'!B:L,9,0)</f>
        <v>dannyleonj@gmail.com</v>
      </c>
      <c r="J475" s="19" t="str">
        <f>VLOOKUP(A475,'ESTADOS ESTUDIANTES'!B:L,10,0)</f>
        <v>CC</v>
      </c>
      <c r="K475" s="19">
        <f>VLOOKUP(A475,'ESTADOS ESTUDIANTES'!B:L,11,0)</f>
        <v>80770508</v>
      </c>
      <c r="L475" s="23"/>
      <c r="M475" s="20"/>
      <c r="N475" s="22"/>
      <c r="O475" s="15"/>
      <c r="P475" s="15"/>
      <c r="Q475" s="15"/>
      <c r="R475" s="15"/>
      <c r="S475" s="15"/>
      <c r="T475" s="15"/>
      <c r="U475" s="15"/>
    </row>
    <row r="476" spans="1:21" ht="90">
      <c r="A476" s="17">
        <v>20092195015</v>
      </c>
      <c r="B476" s="19" t="str">
        <f>VLOOKUP(A476,'ESTADOS ESTUDIANTES'!B:L,2,0)</f>
        <v>LINARES HENAO CARLOS NADRES</v>
      </c>
      <c r="C476" s="19">
        <f>VLOOKUP(A476,'ESTADOS ESTUDIANTES'!B:L,3,0)</f>
        <v>195</v>
      </c>
      <c r="D476" s="66" t="str">
        <f>VLOOKUP(A476,'ESTADOS ESTUDIANTES'!B:L,4,0)</f>
        <v>MAE. EN CIENCIAS DE LA INF. Y LAS COMUNICACIONES ENFASIS EN TELEINF.</v>
      </c>
      <c r="E476" s="19" t="str">
        <f>VLOOKUP(A476,'ESTADOS ESTUDIANTES'!B:L,5,0)</f>
        <v>X</v>
      </c>
      <c r="F476" s="18" t="str">
        <f>VLOOKUP(E476,Listas!B1:C1004,2,0)</f>
        <v>EXCLUIDO</v>
      </c>
      <c r="G476" s="19" t="str">
        <f>VLOOKUP(A476,'ESTADOS ESTUDIANTES'!B:L,7,0)</f>
        <v>NO REGISTRA</v>
      </c>
      <c r="H476" s="19" t="str">
        <f>VLOOKUP(A476,'ESTADOS ESTUDIANTES'!B:L,8,0)</f>
        <v>cnlinaresh@correo.udistrital.edu.co</v>
      </c>
      <c r="I476" s="70" t="str">
        <f>VLOOKUP(A476,'ESTADOS ESTUDIANTES'!B:L,9,0)</f>
        <v>alinares_h@hotmail.com</v>
      </c>
      <c r="J476" s="19" t="str">
        <f>VLOOKUP(A476,'ESTADOS ESTUDIANTES'!B:L,10,0)</f>
        <v>CC</v>
      </c>
      <c r="K476" s="19">
        <f>VLOOKUP(A476,'ESTADOS ESTUDIANTES'!B:L,11,0)</f>
        <v>80222047</v>
      </c>
      <c r="L476" s="23"/>
      <c r="M476" s="20"/>
      <c r="N476" s="22"/>
      <c r="O476" s="15"/>
      <c r="P476" s="15"/>
      <c r="Q476" s="15"/>
      <c r="R476" s="15"/>
      <c r="S476" s="15"/>
      <c r="T476" s="15"/>
      <c r="U476" s="15"/>
    </row>
    <row r="477" spans="1:21" ht="90">
      <c r="A477" s="17">
        <v>20092195016</v>
      </c>
      <c r="B477" s="19" t="str">
        <f>VLOOKUP(A477,'ESTADOS ESTUDIANTES'!B:L,2,0)</f>
        <v>PUERTA APONTE GABRIEL ALBERTO</v>
      </c>
      <c r="C477" s="19">
        <f>VLOOKUP(A477,'ESTADOS ESTUDIANTES'!B:L,3,0)</f>
        <v>195</v>
      </c>
      <c r="D477" s="66" t="str">
        <f>VLOOKUP(A477,'ESTADOS ESTUDIANTES'!B:L,4,0)</f>
        <v>MAE. EN CIENCIAS DE LA INF. Y LAS COMUNICACIONES ENFASIS EN TELEINF.</v>
      </c>
      <c r="E477" s="19" t="str">
        <f>VLOOKUP(A477,'ESTADOS ESTUDIANTES'!B:L,5,0)</f>
        <v>E</v>
      </c>
      <c r="F477" s="18" t="str">
        <f>VLOOKUP(E477,Listas!B1:C1004,2,0)</f>
        <v>EGRESADO</v>
      </c>
      <c r="G477" s="19">
        <f>VLOOKUP(A477,'ESTADOS ESTUDIANTES'!B:L,7,0)</f>
        <v>1</v>
      </c>
      <c r="H477" s="19" t="str">
        <f>VLOOKUP(A477,'ESTADOS ESTUDIANTES'!B:L,8,0)</f>
        <v>gapuertaa@correo.udistrital.edu.co</v>
      </c>
      <c r="I477" s="70" t="str">
        <f>VLOOKUP(A477,'ESTADOS ESTUDIANTES'!B:L,9,0)</f>
        <v>licgapa@gmail.com</v>
      </c>
      <c r="J477" s="19" t="str">
        <f>VLOOKUP(A477,'ESTADOS ESTUDIANTES'!B:L,10,0)</f>
        <v>CC</v>
      </c>
      <c r="K477" s="19">
        <f>VLOOKUP(A477,'ESTADOS ESTUDIANTES'!B:L,11,0)</f>
        <v>86065223</v>
      </c>
      <c r="L477" s="23"/>
      <c r="M477" s="20"/>
      <c r="N477" s="22"/>
      <c r="O477" s="15"/>
      <c r="P477" s="15"/>
      <c r="Q477" s="15"/>
      <c r="R477" s="15"/>
      <c r="S477" s="15"/>
      <c r="T477" s="15"/>
      <c r="U477" s="15"/>
    </row>
    <row r="478" spans="1:21" ht="90">
      <c r="A478" s="17">
        <v>20092195017</v>
      </c>
      <c r="B478" s="19" t="str">
        <f>VLOOKUP(A478,'ESTADOS ESTUDIANTES'!B:L,2,0)</f>
        <v>ROCHA ARANGO DIEGO FERNANDO</v>
      </c>
      <c r="C478" s="19">
        <f>VLOOKUP(A478,'ESTADOS ESTUDIANTES'!B:L,3,0)</f>
        <v>195</v>
      </c>
      <c r="D478" s="66" t="str">
        <f>VLOOKUP(A478,'ESTADOS ESTUDIANTES'!B:L,4,0)</f>
        <v>MAE. EN CIENCIAS DE LA INF. Y LAS COMUNICACIONES ENFASIS EN TELEINF.</v>
      </c>
      <c r="E478" s="19" t="str">
        <f>VLOOKUP(A478,'ESTADOS ESTUDIANTES'!B:L,5,0)</f>
        <v>E</v>
      </c>
      <c r="F478" s="18" t="str">
        <f>VLOOKUP(E478,Listas!B1:C1004,2,0)</f>
        <v>EGRESADO</v>
      </c>
      <c r="G478" s="19">
        <f>VLOOKUP(A478,'ESTADOS ESTUDIANTES'!B:L,7,0)</f>
        <v>1</v>
      </c>
      <c r="H478" s="19" t="str">
        <f>VLOOKUP(A478,'ESTADOS ESTUDIANTES'!B:L,8,0)</f>
        <v>dfrochaa@udistrital.edu.co</v>
      </c>
      <c r="I478" s="70" t="str">
        <f>VLOOKUP(A478,'ESTADOS ESTUDIANTES'!B:L,9,0)</f>
        <v>diegofernando24@gmail.com</v>
      </c>
      <c r="J478" s="19" t="str">
        <f>VLOOKUP(A478,'ESTADOS ESTUDIANTES'!B:L,10,0)</f>
        <v>CC</v>
      </c>
      <c r="K478" s="19">
        <f>VLOOKUP(A478,'ESTADOS ESTUDIANTES'!B:L,11,0)</f>
        <v>80035198</v>
      </c>
      <c r="L478" s="23"/>
      <c r="M478" s="20"/>
      <c r="N478" s="22"/>
      <c r="O478" s="15"/>
      <c r="P478" s="15"/>
      <c r="Q478" s="15"/>
      <c r="R478" s="15"/>
      <c r="S478" s="15"/>
      <c r="T478" s="15"/>
      <c r="U478" s="15"/>
    </row>
    <row r="479" spans="1:21" ht="90">
      <c r="A479" s="17">
        <v>20092195018</v>
      </c>
      <c r="B479" s="19" t="str">
        <f>VLOOKUP(A479,'ESTADOS ESTUDIANTES'!B:L,2,0)</f>
        <v>GINA KATHERIN SIERRA PAEZ</v>
      </c>
      <c r="C479" s="19">
        <f>VLOOKUP(A479,'ESTADOS ESTUDIANTES'!B:L,3,0)</f>
        <v>195</v>
      </c>
      <c r="D479" s="66" t="str">
        <f>VLOOKUP(A479,'ESTADOS ESTUDIANTES'!B:L,4,0)</f>
        <v>MAE. EN CIENCIAS DE LA INF. Y LAS COMUNICACIONES ENFASIS EN TELEINF.</v>
      </c>
      <c r="E479" s="19" t="str">
        <f>VLOOKUP(A479,'ESTADOS ESTUDIANTES'!B:L,5,0)</f>
        <v>X</v>
      </c>
      <c r="F479" s="18" t="str">
        <f>VLOOKUP(E479,Listas!B1:C1004,2,0)</f>
        <v>EXCLUIDO</v>
      </c>
      <c r="G479" s="19" t="str">
        <f>VLOOKUP(A479,'ESTADOS ESTUDIANTES'!B:L,7,0)</f>
        <v>NO REGISTRA</v>
      </c>
      <c r="H479" s="19">
        <f>VLOOKUP(A479,'ESTADOS ESTUDIANTES'!B:L,8,0)</f>
        <v>0</v>
      </c>
      <c r="I479" s="70" t="str">
        <f>VLOOKUP(A479,'ESTADOS ESTUDIANTES'!B:L,9,0)</f>
        <v>katherinsierra@hotmail.com</v>
      </c>
      <c r="J479" s="19" t="str">
        <f>VLOOKUP(A479,'ESTADOS ESTUDIANTES'!B:L,10,0)</f>
        <v>CC</v>
      </c>
      <c r="K479" s="19">
        <f>VLOOKUP(A479,'ESTADOS ESTUDIANTES'!B:L,11,0)</f>
        <v>1015397282</v>
      </c>
      <c r="L479" s="23"/>
      <c r="M479" s="20"/>
      <c r="N479" s="22"/>
      <c r="O479" s="15"/>
      <c r="P479" s="15"/>
      <c r="Q479" s="15"/>
      <c r="R479" s="15"/>
      <c r="S479" s="15"/>
      <c r="T479" s="15"/>
      <c r="U479" s="15"/>
    </row>
    <row r="480" spans="1:21" ht="90">
      <c r="A480" s="17">
        <v>20092195019</v>
      </c>
      <c r="B480" s="19" t="str">
        <f>VLOOKUP(A480,'ESTADOS ESTUDIANTES'!B:L,2,0)</f>
        <v>TORO BETANCOURT DIANA LORENA</v>
      </c>
      <c r="C480" s="19">
        <f>VLOOKUP(A480,'ESTADOS ESTUDIANTES'!B:L,3,0)</f>
        <v>195</v>
      </c>
      <c r="D480" s="66" t="str">
        <f>VLOOKUP(A480,'ESTADOS ESTUDIANTES'!B:L,4,0)</f>
        <v>MAE. EN CIENCIAS DE LA INF. Y LAS COMUNICACIONES ENFASIS EN TELEINF.</v>
      </c>
      <c r="E480" s="19" t="str">
        <f>VLOOKUP(A480,'ESTADOS ESTUDIANTES'!B:L,5,0)</f>
        <v>X</v>
      </c>
      <c r="F480" s="18" t="str">
        <f>VLOOKUP(E480,Listas!B1:C1004,2,0)</f>
        <v>EXCLUIDO</v>
      </c>
      <c r="G480" s="19" t="str">
        <f>VLOOKUP(A480,'ESTADOS ESTUDIANTES'!B:L,7,0)</f>
        <v>NO REGISTRA</v>
      </c>
      <c r="H480" s="19">
        <f>VLOOKUP(A480,'ESTADOS ESTUDIANTES'!B:L,8,0)</f>
        <v>0</v>
      </c>
      <c r="I480" s="70" t="str">
        <f>VLOOKUP(A480,'ESTADOS ESTUDIANTES'!B:L,9,0)</f>
        <v>dilotobe@gmail.com</v>
      </c>
      <c r="J480" s="19" t="str">
        <f>VLOOKUP(A480,'ESTADOS ESTUDIANTES'!B:L,10,0)</f>
        <v>CC</v>
      </c>
      <c r="K480" s="19">
        <f>VLOOKUP(A480,'ESTADOS ESTUDIANTES'!B:L,11,0)</f>
        <v>24338880</v>
      </c>
      <c r="L480" s="23"/>
      <c r="M480" s="20"/>
      <c r="N480" s="22"/>
      <c r="O480" s="15"/>
      <c r="P480" s="15"/>
      <c r="Q480" s="15"/>
      <c r="R480" s="15"/>
      <c r="S480" s="15"/>
      <c r="T480" s="15"/>
      <c r="U480" s="15"/>
    </row>
    <row r="481" spans="1:21" ht="90">
      <c r="A481" s="17">
        <v>20092195020</v>
      </c>
      <c r="B481" s="19" t="str">
        <f>VLOOKUP(A481,'ESTADOS ESTUDIANTES'!B:L,2,0)</f>
        <v>TORRES ALVAREZ NELSON STIVET</v>
      </c>
      <c r="C481" s="19">
        <f>VLOOKUP(A481,'ESTADOS ESTUDIANTES'!B:L,3,0)</f>
        <v>195</v>
      </c>
      <c r="D481" s="66" t="str">
        <f>VLOOKUP(A481,'ESTADOS ESTUDIANTES'!B:L,4,0)</f>
        <v>MAE. EN CIENCIAS DE LA INF. Y LAS COMUNICACIONES ENFASIS EN TELEINF.</v>
      </c>
      <c r="E481" s="19" t="str">
        <f>VLOOKUP(A481,'ESTADOS ESTUDIANTES'!B:L,5,0)</f>
        <v>X</v>
      </c>
      <c r="F481" s="18" t="str">
        <f>VLOOKUP(E481,Listas!B1:C1004,2,0)</f>
        <v>EXCLUIDO</v>
      </c>
      <c r="G481" s="19">
        <f>VLOOKUP(A481,'ESTADOS ESTUDIANTES'!B:L,7,0)</f>
        <v>1</v>
      </c>
      <c r="H481" s="19" t="str">
        <f>VLOOKUP(A481,'ESTADOS ESTUDIANTES'!B:L,8,0)</f>
        <v>nstorresa@correo.udistrital.edu.co</v>
      </c>
      <c r="I481" s="70" t="str">
        <f>VLOOKUP(A481,'ESTADOS ESTUDIANTES'!B:L,9,0)</f>
        <v>stivet25@hotmail.com</v>
      </c>
      <c r="J481" s="19" t="str">
        <f>VLOOKUP(A481,'ESTADOS ESTUDIANTES'!B:L,10,0)</f>
        <v>CC</v>
      </c>
      <c r="K481" s="19">
        <f>VLOOKUP(A481,'ESTADOS ESTUDIANTES'!B:L,11,0)</f>
        <v>80735236</v>
      </c>
      <c r="L481" s="23"/>
      <c r="M481" s="20"/>
      <c r="N481" s="22"/>
      <c r="O481" s="15"/>
      <c r="P481" s="15"/>
      <c r="Q481" s="15"/>
      <c r="R481" s="15"/>
      <c r="S481" s="15"/>
      <c r="T481" s="15"/>
      <c r="U481" s="15"/>
    </row>
    <row r="482" spans="1:21" ht="90">
      <c r="A482" s="17">
        <v>20092195021</v>
      </c>
      <c r="B482" s="19" t="str">
        <f>VLOOKUP(A482,'ESTADOS ESTUDIANTES'!B:L,2,0)</f>
        <v>JIMENEZ PINTO GONZALO</v>
      </c>
      <c r="C482" s="19">
        <f>VLOOKUP(A482,'ESTADOS ESTUDIANTES'!B:L,3,0)</f>
        <v>195</v>
      </c>
      <c r="D482" s="66" t="str">
        <f>VLOOKUP(A482,'ESTADOS ESTUDIANTES'!B:L,4,0)</f>
        <v>MAE. EN CIENCIAS DE LA INF. Y LAS COMUNICACIONES ENFASIS EN TELEINF.</v>
      </c>
      <c r="E482" s="19" t="str">
        <f>VLOOKUP(A482,'ESTADOS ESTUDIANTES'!B:L,5,0)</f>
        <v>E</v>
      </c>
      <c r="F482" s="18" t="str">
        <f>VLOOKUP(E482,Listas!B1:C1004,2,0)</f>
        <v>EGRESADO</v>
      </c>
      <c r="G482" s="19">
        <f>VLOOKUP(A482,'ESTADOS ESTUDIANTES'!B:L,7,0)</f>
        <v>1</v>
      </c>
      <c r="H482" s="19" t="str">
        <f>VLOOKUP(A482,'ESTADOS ESTUDIANTES'!B:L,8,0)</f>
        <v>gjimenezp@correo.udistrital.edu.co</v>
      </c>
      <c r="I482" s="70" t="str">
        <f>VLOOKUP(A482,'ESTADOS ESTUDIANTES'!B:L,9,0)</f>
        <v>gojimenez1@hotmail.com</v>
      </c>
      <c r="J482" s="19" t="str">
        <f>VLOOKUP(A482,'ESTADOS ESTUDIANTES'!B:L,10,0)</f>
        <v>CC</v>
      </c>
      <c r="K482" s="19">
        <f>VLOOKUP(A482,'ESTADOS ESTUDIANTES'!B:L,11,0)</f>
        <v>80372346</v>
      </c>
      <c r="L482" s="23"/>
      <c r="M482" s="20"/>
      <c r="N482" s="22"/>
      <c r="O482" s="15"/>
      <c r="P482" s="15"/>
      <c r="Q482" s="15"/>
      <c r="R482" s="15"/>
      <c r="S482" s="15"/>
      <c r="T482" s="15"/>
      <c r="U482" s="15"/>
    </row>
    <row r="483" spans="1:21" ht="90">
      <c r="A483" s="17">
        <v>20092195022</v>
      </c>
      <c r="B483" s="19" t="str">
        <f>VLOOKUP(A483,'ESTADOS ESTUDIANTES'!B:L,2,0)</f>
        <v>TAMARA RODRIGUEZ LEYDI JOHANNA</v>
      </c>
      <c r="C483" s="19">
        <f>VLOOKUP(A483,'ESTADOS ESTUDIANTES'!B:L,3,0)</f>
        <v>195</v>
      </c>
      <c r="D483" s="66" t="str">
        <f>VLOOKUP(A483,'ESTADOS ESTUDIANTES'!B:L,4,0)</f>
        <v>MAE. EN CIENCIAS DE LA INF. Y LAS COMUNICACIONES ENFASIS EN TELEINF.</v>
      </c>
      <c r="E483" s="19" t="str">
        <f>VLOOKUP(A483,'ESTADOS ESTUDIANTES'!B:L,5,0)</f>
        <v>E</v>
      </c>
      <c r="F483" s="18" t="str">
        <f>VLOOKUP(E483,Listas!B1:C1004,2,0)</f>
        <v>EGRESADO</v>
      </c>
      <c r="G483" s="19">
        <f>VLOOKUP(A483,'ESTADOS ESTUDIANTES'!B:L,7,0)</f>
        <v>1</v>
      </c>
      <c r="H483" s="19" t="str">
        <f>VLOOKUP(A483,'ESTADOS ESTUDIANTES'!B:L,8,0)</f>
        <v>ljtamarar@udistrital.edu.co</v>
      </c>
      <c r="I483" s="70" t="str">
        <f>VLOOKUP(A483,'ESTADOS ESTUDIANTES'!B:L,9,0)</f>
        <v>tarolejo@gmail.com</v>
      </c>
      <c r="J483" s="19" t="str">
        <f>VLOOKUP(A483,'ESTADOS ESTUDIANTES'!B:L,10,0)</f>
        <v>CC</v>
      </c>
      <c r="K483" s="19">
        <f>VLOOKUP(A483,'ESTADOS ESTUDIANTES'!B:L,11,0)</f>
        <v>37270160</v>
      </c>
      <c r="L483" s="23"/>
      <c r="M483" s="20"/>
      <c r="N483" s="22"/>
      <c r="O483" s="15"/>
      <c r="P483" s="15"/>
      <c r="Q483" s="15"/>
      <c r="R483" s="15"/>
      <c r="S483" s="15"/>
      <c r="T483" s="15"/>
      <c r="U483" s="15"/>
    </row>
    <row r="484" spans="1:21" ht="90">
      <c r="A484" s="17">
        <v>20092295001</v>
      </c>
      <c r="B484" s="19" t="str">
        <f>VLOOKUP(A484,'ESTADOS ESTUDIANTES'!B:L,2,0)</f>
        <v>ARANGO BRICENO MANUEL IGNACIO</v>
      </c>
      <c r="C484" s="19">
        <f>VLOOKUP(A484,'ESTADOS ESTUDIANTES'!B:L,3,0)</f>
        <v>295</v>
      </c>
      <c r="D484" s="66" t="str">
        <f>VLOOKUP(A484,'ESTADOS ESTUDIANTES'!B:L,4,0)</f>
        <v>MAE. EN CIENCIAS DE LA INF. Y LAS COMUNICACIONES ENFASIS EN SIS. INFOR</v>
      </c>
      <c r="E484" s="19" t="str">
        <f>VLOOKUP(A484,'ESTADOS ESTUDIANTES'!B:L,5,0)</f>
        <v>X</v>
      </c>
      <c r="F484" s="18" t="str">
        <f>VLOOKUP(E484,Listas!B1:C1004,2,0)</f>
        <v>EXCLUIDO</v>
      </c>
      <c r="G484" s="19">
        <f>VLOOKUP(A484,'ESTADOS ESTUDIANTES'!B:L,7,0)</f>
        <v>3</v>
      </c>
      <c r="H484" s="19" t="str">
        <f>VLOOKUP(A484,'ESTADOS ESTUDIANTES'!B:L,8,0)</f>
        <v>miarangob@correo.udistrital.edu.co</v>
      </c>
      <c r="I484" s="70" t="str">
        <f>VLOOKUP(A484,'ESTADOS ESTUDIANTES'!B:L,9,0)</f>
        <v>miarangob@gmail.com</v>
      </c>
      <c r="J484" s="19" t="str">
        <f>VLOOKUP(A484,'ESTADOS ESTUDIANTES'!B:L,10,0)</f>
        <v>CC</v>
      </c>
      <c r="K484" s="19">
        <f>VLOOKUP(A484,'ESTADOS ESTUDIANTES'!B:L,11,0)</f>
        <v>80834138</v>
      </c>
      <c r="L484" s="19">
        <v>3187759343</v>
      </c>
      <c r="M484" s="20"/>
      <c r="N484" s="22"/>
      <c r="O484" s="15"/>
      <c r="P484" s="15"/>
      <c r="Q484" s="15"/>
      <c r="R484" s="15"/>
      <c r="S484" s="15"/>
      <c r="T484" s="15"/>
      <c r="U484" s="15"/>
    </row>
    <row r="485" spans="1:21" ht="90">
      <c r="A485" s="17">
        <v>20092295002</v>
      </c>
      <c r="B485" s="19" t="str">
        <f>VLOOKUP(A485,'ESTADOS ESTUDIANTES'!B:L,2,0)</f>
        <v>BOJACA CABRA JHON NEIVER</v>
      </c>
      <c r="C485" s="19">
        <f>VLOOKUP(A485,'ESTADOS ESTUDIANTES'!B:L,3,0)</f>
        <v>295</v>
      </c>
      <c r="D485" s="66" t="str">
        <f>VLOOKUP(A485,'ESTADOS ESTUDIANTES'!B:L,4,0)</f>
        <v>MAE. EN CIENCIAS DE LA INF. Y LAS COMUNICACIONES ENFASIS EN SIS. INFOR</v>
      </c>
      <c r="E485" s="19" t="str">
        <f>VLOOKUP(A485,'ESTADOS ESTUDIANTES'!B:L,5,0)</f>
        <v>I</v>
      </c>
      <c r="F485" s="18" t="str">
        <f>VLOOKUP(E485,Listas!B1:C1004,2,0)</f>
        <v>INACTIVO</v>
      </c>
      <c r="G485" s="19" t="str">
        <f>VLOOKUP(A485,'ESTADOS ESTUDIANTES'!B:L,7,0)</f>
        <v>NO REGISTRA</v>
      </c>
      <c r="H485" s="19" t="str">
        <f>VLOOKUP(A485,'ESTADOS ESTUDIANTES'!B:L,8,0)</f>
        <v>jnbojacac@correo.udistrital.edu.co</v>
      </c>
      <c r="I485" s="70" t="str">
        <f>VLOOKUP(A485,'ESTADOS ESTUDIANTES'!B:L,9,0)</f>
        <v>jhonbojaca@hotmail.com</v>
      </c>
      <c r="J485" s="19" t="str">
        <f>VLOOKUP(A485,'ESTADOS ESTUDIANTES'!B:L,10,0)</f>
        <v>CC</v>
      </c>
      <c r="K485" s="19">
        <f>VLOOKUP(A485,'ESTADOS ESTUDIANTES'!B:L,11,0)</f>
        <v>81720127</v>
      </c>
      <c r="L485" s="21"/>
      <c r="M485" s="20"/>
      <c r="N485" s="22"/>
      <c r="O485" s="15"/>
      <c r="P485" s="15"/>
      <c r="Q485" s="15"/>
      <c r="R485" s="15"/>
      <c r="S485" s="15"/>
      <c r="T485" s="15"/>
      <c r="U485" s="15"/>
    </row>
    <row r="486" spans="1:21" ht="90">
      <c r="A486" s="17">
        <v>20092295003</v>
      </c>
      <c r="B486" s="19" t="str">
        <f>VLOOKUP(A486,'ESTADOS ESTUDIANTES'!B:L,2,0)</f>
        <v>BOJACA VANEGAS DANIEL ARTURO</v>
      </c>
      <c r="C486" s="19">
        <f>VLOOKUP(A486,'ESTADOS ESTUDIANTES'!B:L,3,0)</f>
        <v>295</v>
      </c>
      <c r="D486" s="66" t="str">
        <f>VLOOKUP(A486,'ESTADOS ESTUDIANTES'!B:L,4,0)</f>
        <v>MAE. EN CIENCIAS DE LA INF. Y LAS COMUNICACIONES ENFASIS EN SIS. INFOR</v>
      </c>
      <c r="E486" s="19" t="str">
        <f>VLOOKUP(A486,'ESTADOS ESTUDIANTES'!B:L,5,0)</f>
        <v>X</v>
      </c>
      <c r="F486" s="18" t="str">
        <f>VLOOKUP(E486,Listas!B1:C1004,2,0)</f>
        <v>EXCLUIDO</v>
      </c>
      <c r="G486" s="19" t="str">
        <f>VLOOKUP(A486,'ESTADOS ESTUDIANTES'!B:L,7,0)</f>
        <v>NO REGISTRA</v>
      </c>
      <c r="H486" s="19">
        <f>VLOOKUP(A486,'ESTADOS ESTUDIANTES'!B:L,8,0)</f>
        <v>0</v>
      </c>
      <c r="I486" s="70" t="str">
        <f>VLOOKUP(A486,'ESTADOS ESTUDIANTES'!B:L,9,0)</f>
        <v>danielbojaca@gmail.com</v>
      </c>
      <c r="J486" s="19" t="str">
        <f>VLOOKUP(A486,'ESTADOS ESTUDIANTES'!B:L,10,0)</f>
        <v>CC</v>
      </c>
      <c r="K486" s="19">
        <f>VLOOKUP(A486,'ESTADOS ESTUDIANTES'!B:L,11,0)</f>
        <v>79762066</v>
      </c>
      <c r="L486" s="23"/>
      <c r="M486" s="20"/>
      <c r="N486" s="22"/>
      <c r="O486" s="15"/>
      <c r="P486" s="15"/>
      <c r="Q486" s="15"/>
      <c r="R486" s="15"/>
      <c r="S486" s="15"/>
      <c r="T486" s="15"/>
      <c r="U486" s="15"/>
    </row>
    <row r="487" spans="1:21" ht="90">
      <c r="A487" s="17">
        <v>20092295004</v>
      </c>
      <c r="B487" s="19" t="str">
        <f>VLOOKUP(A487,'ESTADOS ESTUDIANTES'!B:L,2,0)</f>
        <v>BOLAÑO LOPEZ FABRIZIO</v>
      </c>
      <c r="C487" s="19">
        <f>VLOOKUP(A487,'ESTADOS ESTUDIANTES'!B:L,3,0)</f>
        <v>295</v>
      </c>
      <c r="D487" s="66" t="str">
        <f>VLOOKUP(A487,'ESTADOS ESTUDIANTES'!B:L,4,0)</f>
        <v>MAE. EN CIENCIAS DE LA INF. Y LAS COMUNICACIONES ENFASIS EN SIS. INFOR</v>
      </c>
      <c r="E487" s="19" t="str">
        <f>VLOOKUP(A487,'ESTADOS ESTUDIANTES'!B:L,5,0)</f>
        <v>E</v>
      </c>
      <c r="F487" s="18" t="str">
        <f>VLOOKUP(E487,Listas!B1:C1004,2,0)</f>
        <v>EGRESADO</v>
      </c>
      <c r="G487" s="19" t="str">
        <f>VLOOKUP(A487,'ESTADOS ESTUDIANTES'!B:L,7,0)</f>
        <v>NO REGISTRA</v>
      </c>
      <c r="H487" s="19" t="str">
        <f>VLOOKUP(A487,'ESTADOS ESTUDIANTES'!B:L,8,0)</f>
        <v>fbolanol@correo.udistrital.edu.co</v>
      </c>
      <c r="I487" s="70" t="str">
        <f>VLOOKUP(A487,'ESTADOS ESTUDIANTES'!B:L,9,0)</f>
        <v>fabriziobolano@gmail.com</v>
      </c>
      <c r="J487" s="19" t="str">
        <f>VLOOKUP(A487,'ESTADOS ESTUDIANTES'!B:L,10,0)</f>
        <v>CC</v>
      </c>
      <c r="K487" s="19">
        <f>VLOOKUP(A487,'ESTADOS ESTUDIANTES'!B:L,11,0)</f>
        <v>19594358</v>
      </c>
      <c r="L487" s="23"/>
      <c r="M487" s="20"/>
      <c r="N487" s="22"/>
      <c r="O487" s="15"/>
      <c r="P487" s="15"/>
      <c r="Q487" s="15"/>
      <c r="R487" s="15"/>
      <c r="S487" s="15"/>
      <c r="T487" s="15"/>
      <c r="U487" s="15"/>
    </row>
    <row r="488" spans="1:21" ht="90">
      <c r="A488" s="17">
        <v>20092295005</v>
      </c>
      <c r="B488" s="19" t="str">
        <f>VLOOKUP(A488,'ESTADOS ESTUDIANTES'!B:L,2,0)</f>
        <v>CARDENAS JHON CARLOS</v>
      </c>
      <c r="C488" s="19">
        <f>VLOOKUP(A488,'ESTADOS ESTUDIANTES'!B:L,3,0)</f>
        <v>295</v>
      </c>
      <c r="D488" s="66" t="str">
        <f>VLOOKUP(A488,'ESTADOS ESTUDIANTES'!B:L,4,0)</f>
        <v>MAE. EN CIENCIAS DE LA INF. Y LAS COMUNICACIONES ENFASIS EN SIS. INFOR</v>
      </c>
      <c r="E488" s="19" t="str">
        <f>VLOOKUP(A488,'ESTADOS ESTUDIANTES'!B:L,5,0)</f>
        <v>X</v>
      </c>
      <c r="F488" s="18" t="str">
        <f>VLOOKUP(E488,Listas!B1:C1004,2,0)</f>
        <v>EXCLUIDO</v>
      </c>
      <c r="G488" s="19" t="str">
        <f>VLOOKUP(A488,'ESTADOS ESTUDIANTES'!B:L,7,0)</f>
        <v>NO REGISTRA</v>
      </c>
      <c r="H488" s="19" t="str">
        <f>VLOOKUP(A488,'ESTADOS ESTUDIANTES'!B:L,8,0)</f>
        <v>jccardenas@correo.udistrital.edu.co</v>
      </c>
      <c r="I488" s="70" t="str">
        <f>VLOOKUP(A488,'ESTADOS ESTUDIANTES'!B:L,9,0)</f>
        <v>john.carlos.cardenas@gmail.com</v>
      </c>
      <c r="J488" s="19" t="str">
        <f>VLOOKUP(A488,'ESTADOS ESTUDIANTES'!B:L,10,0)</f>
        <v>CC</v>
      </c>
      <c r="K488" s="19">
        <f>VLOOKUP(A488,'ESTADOS ESTUDIANTES'!B:L,11,0)</f>
        <v>79750433</v>
      </c>
      <c r="L488" s="23"/>
      <c r="M488" s="20"/>
      <c r="N488" s="22"/>
      <c r="O488" s="15"/>
      <c r="P488" s="15"/>
      <c r="Q488" s="15"/>
      <c r="R488" s="15"/>
      <c r="S488" s="15"/>
      <c r="T488" s="15"/>
      <c r="U488" s="15"/>
    </row>
    <row r="489" spans="1:21" ht="90">
      <c r="A489" s="17">
        <v>20092295006</v>
      </c>
      <c r="B489" s="19" t="str">
        <f>VLOOKUP(A489,'ESTADOS ESTUDIANTES'!B:L,2,0)</f>
        <v>DANGOND SARMIENTO EDGAR ESTEBAN</v>
      </c>
      <c r="C489" s="19">
        <f>VLOOKUP(A489,'ESTADOS ESTUDIANTES'!B:L,3,0)</f>
        <v>295</v>
      </c>
      <c r="D489" s="66" t="str">
        <f>VLOOKUP(A489,'ESTADOS ESTUDIANTES'!B:L,4,0)</f>
        <v>MAE. EN CIENCIAS DE LA INF. Y LAS COMUNICACIONES ENFASIS EN SIS. INFOR</v>
      </c>
      <c r="E489" s="19" t="str">
        <f>VLOOKUP(A489,'ESTADOS ESTUDIANTES'!B:L,5,0)</f>
        <v>X</v>
      </c>
      <c r="F489" s="18" t="str">
        <f>VLOOKUP(E489,Listas!B1:C1004,2,0)</f>
        <v>EXCLUIDO</v>
      </c>
      <c r="G489" s="19" t="str">
        <f>VLOOKUP(A489,'ESTADOS ESTUDIANTES'!B:L,7,0)</f>
        <v>NO REGISTRA</v>
      </c>
      <c r="H489" s="19" t="str">
        <f>VLOOKUP(A489,'ESTADOS ESTUDIANTES'!B:L,8,0)</f>
        <v>eedangonds@correo.udistrital.edu.co</v>
      </c>
      <c r="I489" s="70" t="str">
        <f>VLOOKUP(A489,'ESTADOS ESTUDIANTES'!B:L,9,0)</f>
        <v>edangons@hotmail.com</v>
      </c>
      <c r="J489" s="19" t="str">
        <f>VLOOKUP(A489,'ESTADOS ESTUDIANTES'!B:L,10,0)</f>
        <v>CC</v>
      </c>
      <c r="K489" s="19">
        <f>VLOOKUP(A489,'ESTADOS ESTUDIANTES'!B:L,11,0)</f>
        <v>77154873</v>
      </c>
      <c r="L489" s="23"/>
      <c r="M489" s="20"/>
      <c r="N489" s="22"/>
      <c r="O489" s="15"/>
      <c r="P489" s="15"/>
      <c r="Q489" s="15"/>
      <c r="R489" s="15"/>
      <c r="S489" s="15"/>
      <c r="T489" s="15"/>
      <c r="U489" s="15"/>
    </row>
    <row r="490" spans="1:21" ht="90">
      <c r="A490" s="17">
        <v>20092295007</v>
      </c>
      <c r="B490" s="19" t="str">
        <f>VLOOKUP(A490,'ESTADOS ESTUDIANTES'!B:L,2,0)</f>
        <v>GARCIA HANSEN DANILO ANDRES</v>
      </c>
      <c r="C490" s="19">
        <f>VLOOKUP(A490,'ESTADOS ESTUDIANTES'!B:L,3,0)</f>
        <v>295</v>
      </c>
      <c r="D490" s="66" t="str">
        <f>VLOOKUP(A490,'ESTADOS ESTUDIANTES'!B:L,4,0)</f>
        <v>MAE. EN CIENCIAS DE LA INF. Y LAS COMUNICACIONES ENFASIS EN SIS. INFOR</v>
      </c>
      <c r="E490" s="19" t="str">
        <f>VLOOKUP(A490,'ESTADOS ESTUDIANTES'!B:L,5,0)</f>
        <v>E</v>
      </c>
      <c r="F490" s="18" t="str">
        <f>VLOOKUP(E490,Listas!B1:C1004,2,0)</f>
        <v>EGRESADO</v>
      </c>
      <c r="G490" s="19">
        <f>VLOOKUP(A490,'ESTADOS ESTUDIANTES'!B:L,7,0)</f>
        <v>3</v>
      </c>
      <c r="H490" s="19" t="str">
        <f>VLOOKUP(A490,'ESTADOS ESTUDIANTES'!B:L,8,0)</f>
        <v>dagarciah@udistrital.edu.co</v>
      </c>
      <c r="I490" s="70" t="str">
        <f>VLOOKUP(A490,'ESTADOS ESTUDIANTES'!B:L,9,0)</f>
        <v>logicafago@gmail.com</v>
      </c>
      <c r="J490" s="19" t="str">
        <f>VLOOKUP(A490,'ESTADOS ESTUDIANTES'!B:L,10,0)</f>
        <v>CC</v>
      </c>
      <c r="K490" s="19">
        <f>VLOOKUP(A490,'ESTADOS ESTUDIANTES'!B:L,11,0)</f>
        <v>79445380</v>
      </c>
      <c r="L490" s="23"/>
      <c r="M490" s="20"/>
      <c r="N490" s="22"/>
      <c r="O490" s="15"/>
      <c r="P490" s="15"/>
      <c r="Q490" s="15"/>
      <c r="R490" s="15"/>
      <c r="S490" s="15"/>
      <c r="T490" s="15"/>
      <c r="U490" s="15"/>
    </row>
    <row r="491" spans="1:21" ht="90">
      <c r="A491" s="17">
        <v>20092295008</v>
      </c>
      <c r="B491" s="19" t="str">
        <f>VLOOKUP(A491,'ESTADOS ESTUDIANTES'!B:L,2,0)</f>
        <v>HERRERA MOSQUERA JESUS DAVID</v>
      </c>
      <c r="C491" s="19">
        <f>VLOOKUP(A491,'ESTADOS ESTUDIANTES'!B:L,3,0)</f>
        <v>295</v>
      </c>
      <c r="D491" s="66" t="str">
        <f>VLOOKUP(A491,'ESTADOS ESTUDIANTES'!B:L,4,0)</f>
        <v>MAE. EN CIENCIAS DE LA INF. Y LAS COMUNICACIONES ENFASIS EN SIS. INFOR</v>
      </c>
      <c r="E491" s="19" t="str">
        <f>VLOOKUP(A491,'ESTADOS ESTUDIANTES'!B:L,5,0)</f>
        <v>X</v>
      </c>
      <c r="F491" s="18" t="str">
        <f>VLOOKUP(E491,Listas!B1:C1004,2,0)</f>
        <v>EXCLUIDO</v>
      </c>
      <c r="G491" s="19" t="str">
        <f>VLOOKUP(A491,'ESTADOS ESTUDIANTES'!B:L,7,0)</f>
        <v>NO REGISTRA</v>
      </c>
      <c r="H491" s="19" t="str">
        <f>VLOOKUP(A491,'ESTADOS ESTUDIANTES'!B:L,8,0)</f>
        <v>jedherreram@correo.udistrital.edu.co</v>
      </c>
      <c r="I491" s="70" t="str">
        <f>VLOOKUP(A491,'ESTADOS ESTUDIANTES'!B:L,9,0)</f>
        <v>jesusdavidherreram@yahoo.com</v>
      </c>
      <c r="J491" s="19" t="str">
        <f>VLOOKUP(A491,'ESTADOS ESTUDIANTES'!B:L,10,0)</f>
        <v>CC</v>
      </c>
      <c r="K491" s="19">
        <f>VLOOKUP(A491,'ESTADOS ESTUDIANTES'!B:L,11,0)</f>
        <v>12139543</v>
      </c>
      <c r="L491" s="23"/>
      <c r="M491" s="20"/>
      <c r="N491" s="22"/>
      <c r="O491" s="15"/>
      <c r="P491" s="15"/>
      <c r="Q491" s="15"/>
      <c r="R491" s="15"/>
      <c r="S491" s="15"/>
      <c r="T491" s="15"/>
      <c r="U491" s="15"/>
    </row>
    <row r="492" spans="1:21" ht="90">
      <c r="A492" s="17">
        <v>20092295009</v>
      </c>
      <c r="B492" s="19" t="str">
        <f>VLOOKUP(A492,'ESTADOS ESTUDIANTES'!B:L,2,0)</f>
        <v>LEON NAJERA FRANCISCO</v>
      </c>
      <c r="C492" s="19">
        <f>VLOOKUP(A492,'ESTADOS ESTUDIANTES'!B:L,3,0)</f>
        <v>295</v>
      </c>
      <c r="D492" s="66" t="str">
        <f>VLOOKUP(A492,'ESTADOS ESTUDIANTES'!B:L,4,0)</f>
        <v>MAE. EN CIENCIAS DE LA INF. Y LAS COMUNICACIONES ENFASIS EN SIS. INFOR</v>
      </c>
      <c r="E492" s="19" t="str">
        <f>VLOOKUP(A492,'ESTADOS ESTUDIANTES'!B:L,5,0)</f>
        <v>X</v>
      </c>
      <c r="F492" s="18" t="str">
        <f>VLOOKUP(E492,Listas!B1:C1004,2,0)</f>
        <v>EXCLUIDO</v>
      </c>
      <c r="G492" s="19" t="str">
        <f>VLOOKUP(A492,'ESTADOS ESTUDIANTES'!B:L,7,0)</f>
        <v>NO REGISTRA</v>
      </c>
      <c r="H492" s="19" t="str">
        <f>VLOOKUP(A492,'ESTADOS ESTUDIANTES'!B:L,8,0)</f>
        <v>fleonn@correo.udistrital.edu.co</v>
      </c>
      <c r="I492" s="70" t="str">
        <f>VLOOKUP(A492,'ESTADOS ESTUDIANTES'!B:L,9,0)</f>
        <v>projectileman@yahoo.com</v>
      </c>
      <c r="J492" s="19" t="str">
        <f>VLOOKUP(A492,'ESTADOS ESTUDIANTES'!B:L,10,0)</f>
        <v>CC</v>
      </c>
      <c r="K492" s="19">
        <f>VLOOKUP(A492,'ESTADOS ESTUDIANTES'!B:L,11,0)</f>
        <v>80087371</v>
      </c>
      <c r="L492" s="23"/>
      <c r="M492" s="20"/>
      <c r="N492" s="22"/>
      <c r="O492" s="15"/>
      <c r="P492" s="15"/>
      <c r="Q492" s="15"/>
      <c r="R492" s="15"/>
      <c r="S492" s="15"/>
      <c r="T492" s="15"/>
      <c r="U492" s="15"/>
    </row>
    <row r="493" spans="1:21" ht="90">
      <c r="A493" s="17">
        <v>20092295010</v>
      </c>
      <c r="B493" s="19" t="str">
        <f>VLOOKUP(A493,'ESTADOS ESTUDIANTES'!B:L,2,0)</f>
        <v>MANCILLA DIAZ YHONNY</v>
      </c>
      <c r="C493" s="19">
        <f>VLOOKUP(A493,'ESTADOS ESTUDIANTES'!B:L,3,0)</f>
        <v>295</v>
      </c>
      <c r="D493" s="66" t="str">
        <f>VLOOKUP(A493,'ESTADOS ESTUDIANTES'!B:L,4,0)</f>
        <v>MAE. EN CIENCIAS DE LA INF. Y LAS COMUNICACIONES ENFASIS EN SIS. INFOR</v>
      </c>
      <c r="E493" s="19" t="str">
        <f>VLOOKUP(A493,'ESTADOS ESTUDIANTES'!B:L,5,0)</f>
        <v>E</v>
      </c>
      <c r="F493" s="18" t="str">
        <f>VLOOKUP(E493,Listas!B1:C1004,2,0)</f>
        <v>EGRESADO</v>
      </c>
      <c r="G493" s="19" t="str">
        <f>VLOOKUP(A493,'ESTADOS ESTUDIANTES'!B:L,7,0)</f>
        <v>NO REGISTRA</v>
      </c>
      <c r="H493" s="19" t="str">
        <f>VLOOKUP(A493,'ESTADOS ESTUDIANTES'!B:L,8,0)</f>
        <v>ymancillad@correo.udistrital.edu.co</v>
      </c>
      <c r="I493" s="70" t="str">
        <f>VLOOKUP(A493,'ESTADOS ESTUDIANTES'!B:L,9,0)</f>
        <v>yhosol@hotmail.com</v>
      </c>
      <c r="J493" s="19" t="str">
        <f>VLOOKUP(A493,'ESTADOS ESTUDIANTES'!B:L,10,0)</f>
        <v>CC</v>
      </c>
      <c r="K493" s="19">
        <f>VLOOKUP(A493,'ESTADOS ESTUDIANTES'!B:L,11,0)</f>
        <v>85163854</v>
      </c>
      <c r="L493" s="23"/>
      <c r="M493" s="20"/>
      <c r="N493" s="22"/>
      <c r="O493" s="15"/>
      <c r="P493" s="15"/>
      <c r="Q493" s="15"/>
      <c r="R493" s="15"/>
      <c r="S493" s="15"/>
      <c r="T493" s="15"/>
      <c r="U493" s="15"/>
    </row>
    <row r="494" spans="1:21" ht="90">
      <c r="A494" s="17">
        <v>20092295011</v>
      </c>
      <c r="B494" s="19" t="str">
        <f>VLOOKUP(A494,'ESTADOS ESTUDIANTES'!B:L,2,0)</f>
        <v>MESA SALCEDO ANDRES MAURICIO</v>
      </c>
      <c r="C494" s="19">
        <f>VLOOKUP(A494,'ESTADOS ESTUDIANTES'!B:L,3,0)</f>
        <v>295</v>
      </c>
      <c r="D494" s="66" t="str">
        <f>VLOOKUP(A494,'ESTADOS ESTUDIANTES'!B:L,4,0)</f>
        <v>MAE. EN CIENCIAS DE LA INF. Y LAS COMUNICACIONES ENFASIS EN SIS. INFOR</v>
      </c>
      <c r="E494" s="19" t="str">
        <f>VLOOKUP(A494,'ESTADOS ESTUDIANTES'!B:L,5,0)</f>
        <v>E</v>
      </c>
      <c r="F494" s="18" t="str">
        <f>VLOOKUP(E494,Listas!B1:C1004,2,0)</f>
        <v>EGRESADO</v>
      </c>
      <c r="G494" s="19" t="str">
        <f>VLOOKUP(A494,'ESTADOS ESTUDIANTES'!B:L,7,0)</f>
        <v>NO REGISTRA</v>
      </c>
      <c r="H494" s="19" t="str">
        <f>VLOOKUP(A494,'ESTADOS ESTUDIANTES'!B:L,8,0)</f>
        <v>ammesas@correo.udistrital.edu.co</v>
      </c>
      <c r="I494" s="70" t="str">
        <f>VLOOKUP(A494,'ESTADOS ESTUDIANTES'!B:L,9,0)</f>
        <v>geodmaud@yahoo.com</v>
      </c>
      <c r="J494" s="19" t="str">
        <f>VLOOKUP(A494,'ESTADOS ESTUDIANTES'!B:L,10,0)</f>
        <v>CC</v>
      </c>
      <c r="K494" s="19">
        <f>VLOOKUP(A494,'ESTADOS ESTUDIANTES'!B:L,11,0)</f>
        <v>80130797</v>
      </c>
      <c r="L494" s="23"/>
      <c r="M494" s="20"/>
      <c r="N494" s="22"/>
      <c r="O494" s="15"/>
      <c r="P494" s="15"/>
      <c r="Q494" s="15"/>
      <c r="R494" s="15"/>
      <c r="S494" s="15"/>
      <c r="T494" s="15"/>
      <c r="U494" s="15"/>
    </row>
    <row r="495" spans="1:21" ht="90">
      <c r="A495" s="17">
        <v>20092295012</v>
      </c>
      <c r="B495" s="19" t="str">
        <f>VLOOKUP(A495,'ESTADOS ESTUDIANTES'!B:L,2,0)</f>
        <v>MURILLO GARCIA DEWIS</v>
      </c>
      <c r="C495" s="19">
        <f>VLOOKUP(A495,'ESTADOS ESTUDIANTES'!B:L,3,0)</f>
        <v>295</v>
      </c>
      <c r="D495" s="66" t="str">
        <f>VLOOKUP(A495,'ESTADOS ESTUDIANTES'!B:L,4,0)</f>
        <v>MAE. EN CIENCIAS DE LA INF. Y LAS COMUNICACIONES ENFASIS EN SIS. INFOR</v>
      </c>
      <c r="E495" s="19" t="str">
        <f>VLOOKUP(A495,'ESTADOS ESTUDIANTES'!B:L,5,0)</f>
        <v>X</v>
      </c>
      <c r="F495" s="18" t="str">
        <f>VLOOKUP(E495,Listas!B1:C1004,2,0)</f>
        <v>EXCLUIDO</v>
      </c>
      <c r="G495" s="19" t="str">
        <f>VLOOKUP(A495,'ESTADOS ESTUDIANTES'!B:L,7,0)</f>
        <v>NO REGISTRA</v>
      </c>
      <c r="H495" s="19">
        <f>VLOOKUP(A495,'ESTADOS ESTUDIANTES'!B:L,8,0)</f>
        <v>0</v>
      </c>
      <c r="I495" s="70" t="str">
        <f>VLOOKUP(A495,'ESTADOS ESTUDIANTES'!B:L,9,0)</f>
        <v>dewinsmg@gmail.com</v>
      </c>
      <c r="J495" s="19" t="str">
        <f>VLOOKUP(A495,'ESTADOS ESTUDIANTES'!B:L,10,0)</f>
        <v>CC</v>
      </c>
      <c r="K495" s="19">
        <f>VLOOKUP(A495,'ESTADOS ESTUDIANTES'!B:L,11,0)</f>
        <v>85468581</v>
      </c>
      <c r="L495" s="23"/>
      <c r="M495" s="20"/>
      <c r="N495" s="22"/>
      <c r="O495" s="15"/>
      <c r="P495" s="15"/>
      <c r="Q495" s="15"/>
      <c r="R495" s="15"/>
      <c r="S495" s="15"/>
      <c r="T495" s="15"/>
      <c r="U495" s="15"/>
    </row>
    <row r="496" spans="1:21" ht="90">
      <c r="A496" s="17">
        <v>20092295013</v>
      </c>
      <c r="B496" s="19" t="str">
        <f>VLOOKUP(A496,'ESTADOS ESTUDIANTES'!B:L,2,0)</f>
        <v>NIETO GOMEZ ANGELA</v>
      </c>
      <c r="C496" s="19">
        <f>VLOOKUP(A496,'ESTADOS ESTUDIANTES'!B:L,3,0)</f>
        <v>295</v>
      </c>
      <c r="D496" s="66" t="str">
        <f>VLOOKUP(A496,'ESTADOS ESTUDIANTES'!B:L,4,0)</f>
        <v>MAE. EN CIENCIAS DE LA INF. Y LAS COMUNICACIONES ENFASIS EN SIS. INFOR</v>
      </c>
      <c r="E496" s="19" t="str">
        <f>VLOOKUP(A496,'ESTADOS ESTUDIANTES'!B:L,5,0)</f>
        <v>X</v>
      </c>
      <c r="F496" s="18" t="str">
        <f>VLOOKUP(E496,Listas!B1:C1004,2,0)</f>
        <v>EXCLUIDO</v>
      </c>
      <c r="G496" s="19" t="str">
        <f>VLOOKUP(A496,'ESTADOS ESTUDIANTES'!B:L,7,0)</f>
        <v>NO REGISTRA</v>
      </c>
      <c r="H496" s="19" t="str">
        <f>VLOOKUP(A496,'ESTADOS ESTUDIANTES'!B:L,8,0)</f>
        <v>anietog@correo.udistrital.edu.co</v>
      </c>
      <c r="I496" s="70" t="str">
        <f>VLOOKUP(A496,'ESTADOS ESTUDIANTES'!B:L,9,0)</f>
        <v>angienietog@gmail.com</v>
      </c>
      <c r="J496" s="19" t="str">
        <f>VLOOKUP(A496,'ESTADOS ESTUDIANTES'!B:L,10,0)</f>
        <v>CC</v>
      </c>
      <c r="K496" s="19">
        <f>VLOOKUP(A496,'ESTADOS ESTUDIANTES'!B:L,11,0)</f>
        <v>52810695</v>
      </c>
      <c r="L496" s="23"/>
      <c r="M496" s="20"/>
      <c r="N496" s="22"/>
      <c r="O496" s="15"/>
      <c r="P496" s="15"/>
      <c r="Q496" s="15"/>
      <c r="R496" s="15"/>
      <c r="S496" s="15"/>
      <c r="T496" s="15"/>
      <c r="U496" s="15"/>
    </row>
    <row r="497" spans="1:21" ht="90">
      <c r="A497" s="17">
        <v>20092295014</v>
      </c>
      <c r="B497" s="19" t="str">
        <f>VLOOKUP(A497,'ESTADOS ESTUDIANTES'!B:L,2,0)</f>
        <v>PALLARES ARRIETA BALMIRO JOSE</v>
      </c>
      <c r="C497" s="19">
        <f>VLOOKUP(A497,'ESTADOS ESTUDIANTES'!B:L,3,0)</f>
        <v>295</v>
      </c>
      <c r="D497" s="66" t="str">
        <f>VLOOKUP(A497,'ESTADOS ESTUDIANTES'!B:L,4,0)</f>
        <v>MAE. EN CIENCIAS DE LA INF. Y LAS COMUNICACIONES ENFASIS EN SIS. INFOR</v>
      </c>
      <c r="E497" s="19" t="str">
        <f>VLOOKUP(A497,'ESTADOS ESTUDIANTES'!B:L,5,0)</f>
        <v>X</v>
      </c>
      <c r="F497" s="18" t="str">
        <f>VLOOKUP(E497,Listas!B1:C1004,2,0)</f>
        <v>EXCLUIDO</v>
      </c>
      <c r="G497" s="19" t="str">
        <f>VLOOKUP(A497,'ESTADOS ESTUDIANTES'!B:L,7,0)</f>
        <v>NO REGISTRA</v>
      </c>
      <c r="H497" s="19" t="str">
        <f>VLOOKUP(A497,'ESTADOS ESTUDIANTES'!B:L,8,0)</f>
        <v>bjpallaresa@correo.udistrital.edu.co</v>
      </c>
      <c r="I497" s="70" t="str">
        <f>VLOOKUP(A497,'ESTADOS ESTUDIANTES'!B:L,9,0)</f>
        <v>balmirop@gmail.com</v>
      </c>
      <c r="J497" s="19" t="str">
        <f>VLOOKUP(A497,'ESTADOS ESTUDIANTES'!B:L,10,0)</f>
        <v>CC</v>
      </c>
      <c r="K497" s="19">
        <f>VLOOKUP(A497,'ESTADOS ESTUDIANTES'!B:L,11,0)</f>
        <v>85470923</v>
      </c>
      <c r="L497" s="23"/>
      <c r="M497" s="20"/>
      <c r="N497" s="22"/>
      <c r="O497" s="15"/>
      <c r="P497" s="15"/>
      <c r="Q497" s="15"/>
      <c r="R497" s="15"/>
      <c r="S497" s="15"/>
      <c r="T497" s="15"/>
      <c r="U497" s="15"/>
    </row>
    <row r="498" spans="1:21" ht="90">
      <c r="A498" s="17">
        <v>20092295015</v>
      </c>
      <c r="B498" s="19" t="str">
        <f>VLOOKUP(A498,'ESTADOS ESTUDIANTES'!B:L,2,0)</f>
        <v>PARAMO FONSECA JORGE</v>
      </c>
      <c r="C498" s="19">
        <f>VLOOKUP(A498,'ESTADOS ESTUDIANTES'!B:L,3,0)</f>
        <v>295</v>
      </c>
      <c r="D498" s="66" t="str">
        <f>VLOOKUP(A498,'ESTADOS ESTUDIANTES'!B:L,4,0)</f>
        <v>MAE. EN CIENCIAS DE LA INF. Y LAS COMUNICACIONES ENFASIS EN SIS. INFOR</v>
      </c>
      <c r="E498" s="19" t="str">
        <f>VLOOKUP(A498,'ESTADOS ESTUDIANTES'!B:L,5,0)</f>
        <v>E</v>
      </c>
      <c r="F498" s="18" t="str">
        <f>VLOOKUP(E498,Listas!B1:C1004,2,0)</f>
        <v>EGRESADO</v>
      </c>
      <c r="G498" s="19" t="str">
        <f>VLOOKUP(A498,'ESTADOS ESTUDIANTES'!B:L,7,0)</f>
        <v>NO REGISTRA</v>
      </c>
      <c r="H498" s="19" t="str">
        <f>VLOOKUP(A498,'ESTADOS ESTUDIANTES'!B:L,8,0)</f>
        <v>jparamof@correo.udistrital.edu.co</v>
      </c>
      <c r="I498" s="70" t="str">
        <f>VLOOKUP(A498,'ESTADOS ESTUDIANTES'!B:L,9,0)</f>
        <v>mapinani@gmail.com</v>
      </c>
      <c r="J498" s="19" t="str">
        <f>VLOOKUP(A498,'ESTADOS ESTUDIANTES'!B:L,10,0)</f>
        <v>CC</v>
      </c>
      <c r="K498" s="19">
        <f>VLOOKUP(A498,'ESTADOS ESTUDIANTES'!B:L,11,0)</f>
        <v>29944479</v>
      </c>
      <c r="L498" s="23"/>
      <c r="M498" s="20"/>
      <c r="N498" s="22"/>
      <c r="O498" s="15"/>
      <c r="P498" s="15"/>
      <c r="Q498" s="15"/>
      <c r="R498" s="15"/>
      <c r="S498" s="15"/>
      <c r="T498" s="15"/>
      <c r="U498" s="15"/>
    </row>
    <row r="499" spans="1:21" ht="90">
      <c r="A499" s="17">
        <v>20092295016</v>
      </c>
      <c r="B499" s="19" t="str">
        <f>VLOOKUP(A499,'ESTADOS ESTUDIANTES'!B:L,2,0)</f>
        <v>PEÑA CESPEDES FERNANDO</v>
      </c>
      <c r="C499" s="19">
        <f>VLOOKUP(A499,'ESTADOS ESTUDIANTES'!B:L,3,0)</f>
        <v>295</v>
      </c>
      <c r="D499" s="66" t="str">
        <f>VLOOKUP(A499,'ESTADOS ESTUDIANTES'!B:L,4,0)</f>
        <v>MAE. EN CIENCIAS DE LA INF. Y LAS COMUNICACIONES ENFASIS EN SIS. INFOR</v>
      </c>
      <c r="E499" s="19" t="str">
        <f>VLOOKUP(A499,'ESTADOS ESTUDIANTES'!B:L,5,0)</f>
        <v>X</v>
      </c>
      <c r="F499" s="18" t="str">
        <f>VLOOKUP(E499,Listas!B1:C1004,2,0)</f>
        <v>EXCLUIDO</v>
      </c>
      <c r="G499" s="19">
        <f>VLOOKUP(A499,'ESTADOS ESTUDIANTES'!B:L,7,0)</f>
        <v>1</v>
      </c>
      <c r="H499" s="19" t="str">
        <f>VLOOKUP(A499,'ESTADOS ESTUDIANTES'!B:L,8,0)</f>
        <v>fpenac@correo.udistrital.edu.co</v>
      </c>
      <c r="I499" s="70" t="str">
        <f>VLOOKUP(A499,'ESTADOS ESTUDIANTES'!B:L,9,0)</f>
        <v>fpenac@yahoo.com</v>
      </c>
      <c r="J499" s="19" t="str">
        <f>VLOOKUP(A499,'ESTADOS ESTUDIANTES'!B:L,10,0)</f>
        <v>CC</v>
      </c>
      <c r="K499" s="19">
        <f>VLOOKUP(A499,'ESTADOS ESTUDIANTES'!B:L,11,0)</f>
        <v>79849589</v>
      </c>
      <c r="L499" s="23"/>
      <c r="M499" s="20"/>
      <c r="N499" s="22"/>
      <c r="O499" s="15"/>
      <c r="P499" s="15"/>
      <c r="Q499" s="15"/>
      <c r="R499" s="15"/>
      <c r="S499" s="15"/>
      <c r="T499" s="15"/>
      <c r="U499" s="15"/>
    </row>
    <row r="500" spans="1:21" ht="90">
      <c r="A500" s="17">
        <v>20092295017</v>
      </c>
      <c r="B500" s="19" t="str">
        <f>VLOOKUP(A500,'ESTADOS ESTUDIANTES'!B:L,2,0)</f>
        <v>RODRIGUEZ GAMBOA NESTOR ANDRES</v>
      </c>
      <c r="C500" s="19">
        <f>VLOOKUP(A500,'ESTADOS ESTUDIANTES'!B:L,3,0)</f>
        <v>295</v>
      </c>
      <c r="D500" s="66" t="str">
        <f>VLOOKUP(A500,'ESTADOS ESTUDIANTES'!B:L,4,0)</f>
        <v>MAE. EN CIENCIAS DE LA INF. Y LAS COMUNICACIONES ENFASIS EN SIS. INFOR</v>
      </c>
      <c r="E500" s="19" t="str">
        <f>VLOOKUP(A500,'ESTADOS ESTUDIANTES'!B:L,5,0)</f>
        <v>E</v>
      </c>
      <c r="F500" s="18" t="str">
        <f>VLOOKUP(E500,Listas!B1:C1004,2,0)</f>
        <v>EGRESADO</v>
      </c>
      <c r="G500" s="19">
        <f>VLOOKUP(A500,'ESTADOS ESTUDIANTES'!B:L,7,0)</f>
        <v>1</v>
      </c>
      <c r="H500" s="19" t="str">
        <f>VLOOKUP(A500,'ESTADOS ESTUDIANTES'!B:L,8,0)</f>
        <v>nearodriguezg@correo.udistrital.edu.co</v>
      </c>
      <c r="I500" s="70" t="str">
        <f>VLOOKUP(A500,'ESTADOS ESTUDIANTES'!B:L,9,0)</f>
        <v>narg_95@hotmail.com</v>
      </c>
      <c r="J500" s="19" t="str">
        <f>VLOOKUP(A500,'ESTADOS ESTUDIANTES'!B:L,10,0)</f>
        <v>CC</v>
      </c>
      <c r="K500" s="19">
        <f>VLOOKUP(A500,'ESTADOS ESTUDIANTES'!B:L,11,0)</f>
        <v>80802558</v>
      </c>
      <c r="L500" s="23"/>
      <c r="M500" s="20"/>
      <c r="N500" s="22"/>
      <c r="O500" s="15"/>
      <c r="P500" s="15"/>
      <c r="Q500" s="15"/>
      <c r="R500" s="15"/>
      <c r="S500" s="15"/>
      <c r="T500" s="15"/>
      <c r="U500" s="15"/>
    </row>
    <row r="501" spans="1:21" ht="90">
      <c r="A501" s="17">
        <v>20092295018</v>
      </c>
      <c r="B501" s="19" t="str">
        <f>VLOOKUP(A501,'ESTADOS ESTUDIANTES'!B:L,2,0)</f>
        <v>SEGURA TORRES DARIO ALEJANDRO</v>
      </c>
      <c r="C501" s="19">
        <f>VLOOKUP(A501,'ESTADOS ESTUDIANTES'!B:L,3,0)</f>
        <v>295</v>
      </c>
      <c r="D501" s="66" t="str">
        <f>VLOOKUP(A501,'ESTADOS ESTUDIANTES'!B:L,4,0)</f>
        <v>MAE. EN CIENCIAS DE LA INF. Y LAS COMUNICACIONES ENFASIS EN SIS. INFOR</v>
      </c>
      <c r="E501" s="19" t="str">
        <f>VLOOKUP(A501,'ESTADOS ESTUDIANTES'!B:L,5,0)</f>
        <v>E</v>
      </c>
      <c r="F501" s="18" t="str">
        <f>VLOOKUP(E501,Listas!B1:C1004,2,0)</f>
        <v>EGRESADO</v>
      </c>
      <c r="G501" s="19" t="str">
        <f>VLOOKUP(A501,'ESTADOS ESTUDIANTES'!B:L,7,0)</f>
        <v>NO REGISTRA</v>
      </c>
      <c r="H501" s="19" t="str">
        <f>VLOOKUP(A501,'ESTADOS ESTUDIANTES'!B:L,8,0)</f>
        <v>dasegurat@correo.udistrital.edu.co</v>
      </c>
      <c r="I501" s="70" t="str">
        <f>VLOOKUP(A501,'ESTADOS ESTUDIANTES'!B:L,9,0)</f>
        <v>togo3@hotmail.com</v>
      </c>
      <c r="J501" s="19" t="str">
        <f>VLOOKUP(A501,'ESTADOS ESTUDIANTES'!B:L,10,0)</f>
        <v>CC</v>
      </c>
      <c r="K501" s="19">
        <f>VLOOKUP(A501,'ESTADOS ESTUDIANTES'!B:L,11,0)</f>
        <v>79950577</v>
      </c>
      <c r="L501" s="23"/>
      <c r="M501" s="20"/>
      <c r="N501" s="22"/>
      <c r="O501" s="15"/>
      <c r="P501" s="15"/>
      <c r="Q501" s="15"/>
      <c r="R501" s="15"/>
      <c r="S501" s="15"/>
      <c r="T501" s="15"/>
      <c r="U501" s="15"/>
    </row>
    <row r="502" spans="1:21" ht="90">
      <c r="A502" s="17">
        <v>20092295019</v>
      </c>
      <c r="B502" s="19" t="str">
        <f>VLOOKUP(A502,'ESTADOS ESTUDIANTES'!B:L,2,0)</f>
        <v>SIERRA MARIN DIEGO ARMANDO</v>
      </c>
      <c r="C502" s="19">
        <f>VLOOKUP(A502,'ESTADOS ESTUDIANTES'!B:L,3,0)</f>
        <v>295</v>
      </c>
      <c r="D502" s="66" t="str">
        <f>VLOOKUP(A502,'ESTADOS ESTUDIANTES'!B:L,4,0)</f>
        <v>MAE. EN CIENCIAS DE LA INF. Y LAS COMUNICACIONES ENFASIS EN SIS. INFOR</v>
      </c>
      <c r="E502" s="19" t="str">
        <f>VLOOKUP(A502,'ESTADOS ESTUDIANTES'!B:L,5,0)</f>
        <v>X</v>
      </c>
      <c r="F502" s="18" t="str">
        <f>VLOOKUP(E502,Listas!B1:C1004,2,0)</f>
        <v>EXCLUIDO</v>
      </c>
      <c r="G502" s="19">
        <f>VLOOKUP(A502,'ESTADOS ESTUDIANTES'!B:L,7,0)</f>
        <v>1</v>
      </c>
      <c r="H502" s="19" t="str">
        <f>VLOOKUP(A502,'ESTADOS ESTUDIANTES'!B:L,8,0)</f>
        <v>diasierram@correo.udistrital.edu.co</v>
      </c>
      <c r="I502" s="70" t="str">
        <f>VLOOKUP(A502,'ESTADOS ESTUDIANTES'!B:L,9,0)</f>
        <v>dasdiego@hotmail.com</v>
      </c>
      <c r="J502" s="19" t="str">
        <f>VLOOKUP(A502,'ESTADOS ESTUDIANTES'!B:L,10,0)</f>
        <v>CC</v>
      </c>
      <c r="K502" s="19">
        <f>VLOOKUP(A502,'ESTADOS ESTUDIANTES'!B:L,11,0)</f>
        <v>80095696</v>
      </c>
      <c r="L502" s="23"/>
      <c r="M502" s="20"/>
      <c r="N502" s="22"/>
      <c r="O502" s="15"/>
      <c r="P502" s="15"/>
      <c r="Q502" s="15"/>
      <c r="R502" s="15"/>
      <c r="S502" s="15"/>
      <c r="T502" s="15"/>
      <c r="U502" s="15"/>
    </row>
    <row r="503" spans="1:21" ht="90">
      <c r="A503" s="17">
        <v>20092295020</v>
      </c>
      <c r="B503" s="19" t="str">
        <f>VLOOKUP(A503,'ESTADOS ESTUDIANTES'!B:L,2,0)</f>
        <v>VALCARDEL QUITIAN JHON FREDY</v>
      </c>
      <c r="C503" s="19">
        <f>VLOOKUP(A503,'ESTADOS ESTUDIANTES'!B:L,3,0)</f>
        <v>295</v>
      </c>
      <c r="D503" s="66" t="str">
        <f>VLOOKUP(A503,'ESTADOS ESTUDIANTES'!B:L,4,0)</f>
        <v>MAE. EN CIENCIAS DE LA INF. Y LAS COMUNICACIONES ENFASIS EN SIS. INFOR</v>
      </c>
      <c r="E503" s="19" t="str">
        <f>VLOOKUP(A503,'ESTADOS ESTUDIANTES'!B:L,5,0)</f>
        <v>X</v>
      </c>
      <c r="F503" s="18" t="str">
        <f>VLOOKUP(E503,Listas!B1:C1004,2,0)</f>
        <v>EXCLUIDO</v>
      </c>
      <c r="G503" s="19" t="str">
        <f>VLOOKUP(A503,'ESTADOS ESTUDIANTES'!B:L,7,0)</f>
        <v>NO REGISTRA</v>
      </c>
      <c r="H503" s="19" t="str">
        <f>VLOOKUP(A503,'ESTADOS ESTUDIANTES'!B:L,8,0)</f>
        <v>jfvalcardelq@correo.udistrital.edu.co</v>
      </c>
      <c r="I503" s="70" t="str">
        <f>VLOOKUP(A503,'ESTADOS ESTUDIANTES'!B:L,9,0)</f>
        <v>samael345@hotmail.com</v>
      </c>
      <c r="J503" s="19" t="str">
        <f>VLOOKUP(A503,'ESTADOS ESTUDIANTES'!B:L,10,0)</f>
        <v>CC</v>
      </c>
      <c r="K503" s="19">
        <f>VLOOKUP(A503,'ESTADOS ESTUDIANTES'!B:L,11,0)</f>
        <v>79962491</v>
      </c>
      <c r="L503" s="23"/>
      <c r="M503" s="20"/>
      <c r="N503" s="22"/>
      <c r="O503" s="15"/>
      <c r="P503" s="15"/>
      <c r="Q503" s="15"/>
      <c r="R503" s="15"/>
      <c r="S503" s="15"/>
      <c r="T503" s="15"/>
      <c r="U503" s="15"/>
    </row>
    <row r="504" spans="1:21" ht="90">
      <c r="A504" s="17">
        <v>20101195001</v>
      </c>
      <c r="B504" s="19" t="str">
        <f>VLOOKUP(A504,'ESTADOS ESTUDIANTES'!B:L,2,0)</f>
        <v>ARIAS AYALA FABIAN LEONARDO</v>
      </c>
      <c r="C504" s="19">
        <f>VLOOKUP(A504,'ESTADOS ESTUDIANTES'!B:L,3,0)</f>
        <v>195</v>
      </c>
      <c r="D504" s="66" t="str">
        <f>VLOOKUP(A504,'ESTADOS ESTUDIANTES'!B:L,4,0)</f>
        <v>MAE. EN CIENCIAS DE LA INF. Y LAS COMUNICACIONES ENFASIS EN TELEINF.</v>
      </c>
      <c r="E504" s="19" t="str">
        <f>VLOOKUP(A504,'ESTADOS ESTUDIANTES'!B:L,5,0)</f>
        <v>X</v>
      </c>
      <c r="F504" s="18" t="str">
        <f>VLOOKUP(E504,Listas!B1:C1004,2,0)</f>
        <v>EXCLUIDO</v>
      </c>
      <c r="G504" s="19" t="str">
        <f>VLOOKUP(A504,'ESTADOS ESTUDIANTES'!B:L,7,0)</f>
        <v>NO REGISTRA</v>
      </c>
      <c r="H504" s="19" t="str">
        <f>VLOOKUP(A504,'ESTADOS ESTUDIANTES'!B:L,8,0)</f>
        <v>flariasa@correo.udistrital.edu.co</v>
      </c>
      <c r="I504" s="70" t="str">
        <f>VLOOKUP(A504,'ESTADOS ESTUDIANTES'!B:L,9,0)</f>
        <v>flariasayala@gmail.com</v>
      </c>
      <c r="J504" s="19" t="str">
        <f>VLOOKUP(A504,'ESTADOS ESTUDIANTES'!B:L,10,0)</f>
        <v>CC</v>
      </c>
      <c r="K504" s="19">
        <f>VLOOKUP(A504,'ESTADOS ESTUDIANTES'!B:L,11,0)</f>
        <v>88273688</v>
      </c>
      <c r="L504" s="23"/>
      <c r="M504" s="20"/>
      <c r="N504" s="22"/>
      <c r="O504" s="15"/>
      <c r="P504" s="15"/>
      <c r="Q504" s="15"/>
      <c r="R504" s="15"/>
      <c r="S504" s="15"/>
      <c r="T504" s="15"/>
      <c r="U504" s="15"/>
    </row>
    <row r="505" spans="1:21" ht="90">
      <c r="A505" s="17">
        <v>20101195002</v>
      </c>
      <c r="B505" s="19" t="str">
        <f>VLOOKUP(A505,'ESTADOS ESTUDIANTES'!B:L,2,0)</f>
        <v>FLOREZ CHARRY JUAN DAVID</v>
      </c>
      <c r="C505" s="19">
        <f>VLOOKUP(A505,'ESTADOS ESTUDIANTES'!B:L,3,0)</f>
        <v>195</v>
      </c>
      <c r="D505" s="66" t="str">
        <f>VLOOKUP(A505,'ESTADOS ESTUDIANTES'!B:L,4,0)</f>
        <v>MAE. EN CIENCIAS DE LA INF. Y LAS COMUNICACIONES ENFASIS EN TELEINF.</v>
      </c>
      <c r="E505" s="19" t="str">
        <f>VLOOKUP(A505,'ESTADOS ESTUDIANTES'!B:L,5,0)</f>
        <v>X</v>
      </c>
      <c r="F505" s="18" t="str">
        <f>VLOOKUP(E505,Listas!B1:C1004,2,0)</f>
        <v>EXCLUIDO</v>
      </c>
      <c r="G505" s="19" t="str">
        <f>VLOOKUP(A505,'ESTADOS ESTUDIANTES'!B:L,7,0)</f>
        <v>NO REGISTRA</v>
      </c>
      <c r="H505" s="19" t="str">
        <f>VLOOKUP(A505,'ESTADOS ESTUDIANTES'!B:L,8,0)</f>
        <v>jdflorezc@correo.udistrital.edu.co</v>
      </c>
      <c r="I505" s="70" t="str">
        <f>VLOOKUP(A505,'ESTADOS ESTUDIANTES'!B:L,9,0)</f>
        <v>juandf1@etb.net.co</v>
      </c>
      <c r="J505" s="19" t="str">
        <f>VLOOKUP(A505,'ESTADOS ESTUDIANTES'!B:L,10,0)</f>
        <v>CC</v>
      </c>
      <c r="K505" s="19">
        <f>VLOOKUP(A505,'ESTADOS ESTUDIANTES'!B:L,11,0)</f>
        <v>8025748</v>
      </c>
      <c r="L505" s="23"/>
      <c r="M505" s="20"/>
      <c r="N505" s="22"/>
      <c r="O505" s="15"/>
      <c r="P505" s="15"/>
      <c r="Q505" s="15"/>
      <c r="R505" s="15"/>
      <c r="S505" s="15"/>
      <c r="T505" s="15"/>
      <c r="U505" s="15"/>
    </row>
    <row r="506" spans="1:21" ht="90">
      <c r="A506" s="17">
        <v>20101195003</v>
      </c>
      <c r="B506" s="19" t="str">
        <f>VLOOKUP(A506,'ESTADOS ESTUDIANTES'!B:L,2,0)</f>
        <v>GALVIS CUELLAR WILLIAM</v>
      </c>
      <c r="C506" s="19">
        <f>VLOOKUP(A506,'ESTADOS ESTUDIANTES'!B:L,3,0)</f>
        <v>195</v>
      </c>
      <c r="D506" s="66" t="str">
        <f>VLOOKUP(A506,'ESTADOS ESTUDIANTES'!B:L,4,0)</f>
        <v>MAE. EN CIENCIAS DE LA INF. Y LAS COMUNICACIONES ENFASIS EN TELEINF.</v>
      </c>
      <c r="E506" s="19" t="str">
        <f>VLOOKUP(A506,'ESTADOS ESTUDIANTES'!B:L,5,0)</f>
        <v>X</v>
      </c>
      <c r="F506" s="18" t="str">
        <f>VLOOKUP(E506,Listas!B1:C1004,2,0)</f>
        <v>EXCLUIDO</v>
      </c>
      <c r="G506" s="19" t="str">
        <f>VLOOKUP(A506,'ESTADOS ESTUDIANTES'!B:L,7,0)</f>
        <v>NO REGISTRA</v>
      </c>
      <c r="H506" s="19" t="str">
        <f>VLOOKUP(A506,'ESTADOS ESTUDIANTES'!B:L,8,0)</f>
        <v>wgalvisc@correo.udistrital.edu.co</v>
      </c>
      <c r="I506" s="70" t="str">
        <f>VLOOKUP(A506,'ESTADOS ESTUDIANTES'!B:L,9,0)</f>
        <v>wgalvis@hotmail.com</v>
      </c>
      <c r="J506" s="19" t="str">
        <f>VLOOKUP(A506,'ESTADOS ESTUDIANTES'!B:L,10,0)</f>
        <v>CC</v>
      </c>
      <c r="K506" s="19">
        <f>VLOOKUP(A506,'ESTADOS ESTUDIANTES'!B:L,11,0)</f>
        <v>11187209</v>
      </c>
      <c r="L506" s="23"/>
      <c r="M506" s="20"/>
      <c r="N506" s="22"/>
      <c r="O506" s="15"/>
      <c r="P506" s="15"/>
      <c r="Q506" s="15"/>
      <c r="R506" s="15"/>
      <c r="S506" s="15"/>
      <c r="T506" s="15"/>
      <c r="U506" s="15"/>
    </row>
    <row r="507" spans="1:21" ht="90">
      <c r="A507" s="17">
        <v>20101195004</v>
      </c>
      <c r="B507" s="19" t="str">
        <f>VLOOKUP(A507,'ESTADOS ESTUDIANTES'!B:L,2,0)</f>
        <v>GARCIA SUAREZ ALDO CAMILO</v>
      </c>
      <c r="C507" s="19">
        <f>VLOOKUP(A507,'ESTADOS ESTUDIANTES'!B:L,3,0)</f>
        <v>195</v>
      </c>
      <c r="D507" s="66" t="str">
        <f>VLOOKUP(A507,'ESTADOS ESTUDIANTES'!B:L,4,0)</f>
        <v>MAE. EN CIENCIAS DE LA INF. Y LAS COMUNICACIONES ENFASIS EN TELEINF.</v>
      </c>
      <c r="E507" s="19" t="str">
        <f>VLOOKUP(A507,'ESTADOS ESTUDIANTES'!B:L,5,0)</f>
        <v>X</v>
      </c>
      <c r="F507" s="18" t="str">
        <f>VLOOKUP(E507,Listas!B1:C1004,2,0)</f>
        <v>EXCLUIDO</v>
      </c>
      <c r="G507" s="19">
        <f>VLOOKUP(A507,'ESTADOS ESTUDIANTES'!B:L,7,0)</f>
        <v>1</v>
      </c>
      <c r="H507" s="19" t="str">
        <f>VLOOKUP(A507,'ESTADOS ESTUDIANTES'!B:L,8,0)</f>
        <v>acgarcias@correo.udistrital.edu.co</v>
      </c>
      <c r="I507" s="70" t="str">
        <f>VLOOKUP(A507,'ESTADOS ESTUDIANTES'!B:L,9,0)</f>
        <v>aldokmilo@yahoo.com</v>
      </c>
      <c r="J507" s="19" t="str">
        <f>VLOOKUP(A507,'ESTADOS ESTUDIANTES'!B:L,10,0)</f>
        <v>CC</v>
      </c>
      <c r="K507" s="19">
        <f>VLOOKUP(A507,'ESTADOS ESTUDIANTES'!B:L,11,0)</f>
        <v>80021455</v>
      </c>
      <c r="L507" s="23"/>
      <c r="M507" s="20"/>
      <c r="N507" s="22"/>
      <c r="O507" s="15"/>
      <c r="P507" s="15"/>
      <c r="Q507" s="15"/>
      <c r="R507" s="15"/>
      <c r="S507" s="15"/>
      <c r="T507" s="15"/>
      <c r="U507" s="15"/>
    </row>
    <row r="508" spans="1:21" ht="90">
      <c r="A508" s="17">
        <v>20101195005</v>
      </c>
      <c r="B508" s="19" t="str">
        <f>VLOOKUP(A508,'ESTADOS ESTUDIANTES'!B:L,2,0)</f>
        <v>GONZALEZ GIL SERGIO</v>
      </c>
      <c r="C508" s="19">
        <f>VLOOKUP(A508,'ESTADOS ESTUDIANTES'!B:L,3,0)</f>
        <v>195</v>
      </c>
      <c r="D508" s="66" t="str">
        <f>VLOOKUP(A508,'ESTADOS ESTUDIANTES'!B:L,4,0)</f>
        <v>MAE. EN CIENCIAS DE LA INF. Y LAS COMUNICACIONES ENFASIS EN TELEINF.</v>
      </c>
      <c r="E508" s="19" t="str">
        <f>VLOOKUP(A508,'ESTADOS ESTUDIANTES'!B:L,5,0)</f>
        <v>X</v>
      </c>
      <c r="F508" s="18" t="str">
        <f>VLOOKUP(E508,Listas!B1:C1004,2,0)</f>
        <v>EXCLUIDO</v>
      </c>
      <c r="G508" s="19">
        <f>VLOOKUP(A508,'ESTADOS ESTUDIANTES'!B:L,7,0)</f>
        <v>1</v>
      </c>
      <c r="H508" s="19" t="str">
        <f>VLOOKUP(A508,'ESTADOS ESTUDIANTES'!B:L,8,0)</f>
        <v>sgonzalezg@udistrital.edu.co</v>
      </c>
      <c r="I508" s="70" t="str">
        <f>VLOOKUP(A508,'ESTADOS ESTUDIANTES'!B:L,9,0)</f>
        <v>sgg975@hotmail.com</v>
      </c>
      <c r="J508" s="19" t="str">
        <f>VLOOKUP(A508,'ESTADOS ESTUDIANTES'!B:L,10,0)</f>
        <v>CC</v>
      </c>
      <c r="K508" s="19">
        <f>VLOOKUP(A508,'ESTADOS ESTUDIANTES'!B:L,11,0)</f>
        <v>93396424</v>
      </c>
      <c r="L508" s="23"/>
      <c r="M508" s="20"/>
      <c r="N508" s="22"/>
      <c r="O508" s="15"/>
      <c r="P508" s="15"/>
      <c r="Q508" s="15"/>
      <c r="R508" s="15"/>
      <c r="S508" s="15"/>
      <c r="T508" s="15"/>
      <c r="U508" s="15"/>
    </row>
    <row r="509" spans="1:21" ht="90">
      <c r="A509" s="17">
        <v>20101195006</v>
      </c>
      <c r="B509" s="19" t="str">
        <f>VLOOKUP(A509,'ESTADOS ESTUDIANTES'!B:L,2,0)</f>
        <v>JUDY CAROLINA GUEVARA AMAYA</v>
      </c>
      <c r="C509" s="19">
        <f>VLOOKUP(A509,'ESTADOS ESTUDIANTES'!B:L,3,0)</f>
        <v>195</v>
      </c>
      <c r="D509" s="66" t="str">
        <f>VLOOKUP(A509,'ESTADOS ESTUDIANTES'!B:L,4,0)</f>
        <v>MAE. EN CIENCIAS DE LA INF. Y LAS COMUNICACIONES ENFASIS EN TELEINF.</v>
      </c>
      <c r="E509" s="19" t="str">
        <f>VLOOKUP(A509,'ESTADOS ESTUDIANTES'!B:L,5,0)</f>
        <v>E</v>
      </c>
      <c r="F509" s="18" t="str">
        <f>VLOOKUP(E509,Listas!B1:C1004,2,0)</f>
        <v>EGRESADO</v>
      </c>
      <c r="G509" s="19">
        <f>VLOOKUP(A509,'ESTADOS ESTUDIANTES'!B:L,7,0)</f>
        <v>1</v>
      </c>
      <c r="H509" s="19" t="str">
        <f>VLOOKUP(A509,'ESTADOS ESTUDIANTES'!B:L,8,0)</f>
        <v>jcguevaraa@correo.udistrital.edu.co</v>
      </c>
      <c r="I509" s="70" t="str">
        <f>VLOOKUP(A509,'ESTADOS ESTUDIANTES'!B:L,9,0)</f>
        <v>judycarolina@gmail.com</v>
      </c>
      <c r="J509" s="19" t="str">
        <f>VLOOKUP(A509,'ESTADOS ESTUDIANTES'!B:L,10,0)</f>
        <v>CC</v>
      </c>
      <c r="K509" s="19">
        <f>VLOOKUP(A509,'ESTADOS ESTUDIANTES'!B:L,11,0)</f>
        <v>53072316</v>
      </c>
      <c r="L509" s="23"/>
      <c r="M509" s="20"/>
      <c r="N509" s="22"/>
      <c r="O509" s="15"/>
      <c r="P509" s="15"/>
      <c r="Q509" s="15"/>
      <c r="R509" s="15"/>
      <c r="S509" s="15"/>
      <c r="T509" s="15"/>
      <c r="U509" s="15"/>
    </row>
    <row r="510" spans="1:21" ht="90">
      <c r="A510" s="17">
        <v>20101195007</v>
      </c>
      <c r="B510" s="19" t="str">
        <f>VLOOKUP(A510,'ESTADOS ESTUDIANTES'!B:L,2,0)</f>
        <v>JIMENEZ REVELO OSCAR JAVIER</v>
      </c>
      <c r="C510" s="19">
        <f>VLOOKUP(A510,'ESTADOS ESTUDIANTES'!B:L,3,0)</f>
        <v>195</v>
      </c>
      <c r="D510" s="66" t="str">
        <f>VLOOKUP(A510,'ESTADOS ESTUDIANTES'!B:L,4,0)</f>
        <v>MAE. EN CIENCIAS DE LA INF. Y LAS COMUNICACIONES ENFASIS EN TELEINF.</v>
      </c>
      <c r="E510" s="19" t="str">
        <f>VLOOKUP(A510,'ESTADOS ESTUDIANTES'!B:L,5,0)</f>
        <v>X</v>
      </c>
      <c r="F510" s="18" t="str">
        <f>VLOOKUP(E510,Listas!B1:C1004,2,0)</f>
        <v>EXCLUIDO</v>
      </c>
      <c r="G510" s="19" t="str">
        <f>VLOOKUP(A510,'ESTADOS ESTUDIANTES'!B:L,7,0)</f>
        <v>NO REGISTRA</v>
      </c>
      <c r="H510" s="19" t="str">
        <f>VLOOKUP(A510,'ESTADOS ESTUDIANTES'!B:L,8,0)</f>
        <v>ojjimenezr@correo.udistrital.edu.co</v>
      </c>
      <c r="I510" s="70" t="str">
        <f>VLOOKUP(A510,'ESTADOS ESTUDIANTES'!B:L,9,0)</f>
        <v>jimenezrevelo@yahoo.com</v>
      </c>
      <c r="J510" s="19" t="str">
        <f>VLOOKUP(A510,'ESTADOS ESTUDIANTES'!B:L,10,0)</f>
        <v>CC</v>
      </c>
      <c r="K510" s="19">
        <f>VLOOKUP(A510,'ESTADOS ESTUDIANTES'!B:L,11,0)</f>
        <v>80918882</v>
      </c>
      <c r="L510" s="23"/>
      <c r="M510" s="20"/>
      <c r="N510" s="22"/>
      <c r="O510" s="15"/>
      <c r="P510" s="15"/>
      <c r="Q510" s="15"/>
      <c r="R510" s="15"/>
      <c r="S510" s="15"/>
      <c r="T510" s="15"/>
      <c r="U510" s="15"/>
    </row>
    <row r="511" spans="1:21" ht="90">
      <c r="A511" s="17">
        <v>20101195008</v>
      </c>
      <c r="B511" s="19" t="str">
        <f>VLOOKUP(A511,'ESTADOS ESTUDIANTES'!B:L,2,0)</f>
        <v>MURILLO NUÑEZ DAVID ALBERTO</v>
      </c>
      <c r="C511" s="19">
        <f>VLOOKUP(A511,'ESTADOS ESTUDIANTES'!B:L,3,0)</f>
        <v>195</v>
      </c>
      <c r="D511" s="66" t="str">
        <f>VLOOKUP(A511,'ESTADOS ESTUDIANTES'!B:L,4,0)</f>
        <v>MAE. EN CIENCIAS DE LA INF. Y LAS COMUNICACIONES ENFASIS EN TELEINF.</v>
      </c>
      <c r="E511" s="19" t="str">
        <f>VLOOKUP(A511,'ESTADOS ESTUDIANTES'!B:L,5,0)</f>
        <v>X</v>
      </c>
      <c r="F511" s="18" t="str">
        <f>VLOOKUP(E511,Listas!B1:C1004,2,0)</f>
        <v>EXCLUIDO</v>
      </c>
      <c r="G511" s="19" t="str">
        <f>VLOOKUP(A511,'ESTADOS ESTUDIANTES'!B:L,7,0)</f>
        <v>NO REGISTRA</v>
      </c>
      <c r="H511" s="19" t="str">
        <f>VLOOKUP(A511,'ESTADOS ESTUDIANTES'!B:L,8,0)</f>
        <v>damurillon@udistrital.edu.co</v>
      </c>
      <c r="I511" s="70" t="str">
        <f>VLOOKUP(A511,'ESTADOS ESTUDIANTES'!B:L,9,0)</f>
        <v>chino26_7@hotmail.com</v>
      </c>
      <c r="J511" s="19" t="str">
        <f>VLOOKUP(A511,'ESTADOS ESTUDIANTES'!B:L,10,0)</f>
        <v>CC</v>
      </c>
      <c r="K511" s="19">
        <f>VLOOKUP(A511,'ESTADOS ESTUDIANTES'!B:L,11,0)</f>
        <v>80874522</v>
      </c>
      <c r="L511" s="23"/>
      <c r="M511" s="20"/>
      <c r="N511" s="22"/>
      <c r="O511" s="15"/>
      <c r="P511" s="15"/>
      <c r="Q511" s="15"/>
      <c r="R511" s="15"/>
      <c r="S511" s="15"/>
      <c r="T511" s="15"/>
      <c r="U511" s="15"/>
    </row>
    <row r="512" spans="1:21" ht="90">
      <c r="A512" s="17">
        <v>20101195009</v>
      </c>
      <c r="B512" s="19" t="str">
        <f>VLOOKUP(A512,'ESTADOS ESTUDIANTES'!B:L,2,0)</f>
        <v>PARRA LEON ANDRES ALEXANDER</v>
      </c>
      <c r="C512" s="19">
        <f>VLOOKUP(A512,'ESTADOS ESTUDIANTES'!B:L,3,0)</f>
        <v>195</v>
      </c>
      <c r="D512" s="66" t="str">
        <f>VLOOKUP(A512,'ESTADOS ESTUDIANTES'!B:L,4,0)</f>
        <v>MAE. EN CIENCIAS DE LA INF. Y LAS COMUNICACIONES ENFASIS EN TELEINF.</v>
      </c>
      <c r="E512" s="19" t="str">
        <f>VLOOKUP(A512,'ESTADOS ESTUDIANTES'!B:L,5,0)</f>
        <v>X</v>
      </c>
      <c r="F512" s="18" t="str">
        <f>VLOOKUP(E512,Listas!B1:C1004,2,0)</f>
        <v>EXCLUIDO</v>
      </c>
      <c r="G512" s="19">
        <f>VLOOKUP(A512,'ESTADOS ESTUDIANTES'!B:L,7,0)</f>
        <v>1</v>
      </c>
      <c r="H512" s="19" t="str">
        <f>VLOOKUP(A512,'ESTADOS ESTUDIANTES'!B:L,8,0)</f>
        <v>aaparral@correo.udistrital.edu.co</v>
      </c>
      <c r="I512" s="70" t="str">
        <f>VLOOKUP(A512,'ESTADOS ESTUDIANTES'!B:L,9,0)</f>
        <v>andresparraleonco@yahoo.es</v>
      </c>
      <c r="J512" s="19" t="str">
        <f>VLOOKUP(A512,'ESTADOS ESTUDIANTES'!B:L,10,0)</f>
        <v>CC</v>
      </c>
      <c r="K512" s="19">
        <f>VLOOKUP(A512,'ESTADOS ESTUDIANTES'!B:L,11,0)</f>
        <v>80219040</v>
      </c>
      <c r="L512" s="23"/>
      <c r="M512" s="20"/>
      <c r="N512" s="22"/>
      <c r="O512" s="15"/>
      <c r="P512" s="15"/>
      <c r="Q512" s="15"/>
      <c r="R512" s="15"/>
      <c r="S512" s="15"/>
      <c r="T512" s="15"/>
      <c r="U512" s="15"/>
    </row>
    <row r="513" spans="1:21" ht="90">
      <c r="A513" s="17">
        <v>20101195010</v>
      </c>
      <c r="B513" s="19" t="str">
        <f>VLOOKUP(A513,'ESTADOS ESTUDIANTES'!B:L,2,0)</f>
        <v>PÉREZ ACUÑA OSCAR ANDRÉS</v>
      </c>
      <c r="C513" s="19">
        <f>VLOOKUP(A513,'ESTADOS ESTUDIANTES'!B:L,3,0)</f>
        <v>195</v>
      </c>
      <c r="D513" s="66" t="str">
        <f>VLOOKUP(A513,'ESTADOS ESTUDIANTES'!B:L,4,0)</f>
        <v>MAE. EN CIENCIAS DE LA INF. Y LAS COMUNICACIONES ENFASIS EN TELEINF.</v>
      </c>
      <c r="E513" s="19" t="str">
        <f>VLOOKUP(A513,'ESTADOS ESTUDIANTES'!B:L,5,0)</f>
        <v>X</v>
      </c>
      <c r="F513" s="18" t="str">
        <f>VLOOKUP(E513,Listas!B1:C1004,2,0)</f>
        <v>EXCLUIDO</v>
      </c>
      <c r="G513" s="19" t="str">
        <f>VLOOKUP(A513,'ESTADOS ESTUDIANTES'!B:L,7,0)</f>
        <v>NO REGISTRA</v>
      </c>
      <c r="H513" s="19" t="str">
        <f>VLOOKUP(A513,'ESTADOS ESTUDIANTES'!B:L,8,0)</f>
        <v>oapereza@correo.udistrital.edu.co</v>
      </c>
      <c r="I513" s="70" t="str">
        <f>VLOOKUP(A513,'ESTADOS ESTUDIANTES'!B:L,9,0)</f>
        <v>anper81@gmail.com</v>
      </c>
      <c r="J513" s="19" t="str">
        <f>VLOOKUP(A513,'ESTADOS ESTUDIANTES'!B:L,10,0)</f>
        <v>CC</v>
      </c>
      <c r="K513" s="19">
        <f>VLOOKUP(A513,'ESTADOS ESTUDIANTES'!B:L,11,0)</f>
        <v>79924187</v>
      </c>
      <c r="L513" s="23"/>
      <c r="M513" s="20"/>
      <c r="N513" s="22"/>
      <c r="O513" s="15"/>
      <c r="P513" s="15"/>
      <c r="Q513" s="15"/>
      <c r="R513" s="15"/>
      <c r="S513" s="15"/>
      <c r="T513" s="15"/>
      <c r="U513" s="15"/>
    </row>
    <row r="514" spans="1:21" ht="90">
      <c r="A514" s="17">
        <v>20101195011</v>
      </c>
      <c r="B514" s="19" t="str">
        <f>VLOOKUP(A514,'ESTADOS ESTUDIANTES'!B:L,2,0)</f>
        <v>PIEDRAHITA VILLARRAGA ELKIN MAURICIO</v>
      </c>
      <c r="C514" s="19">
        <f>VLOOKUP(A514,'ESTADOS ESTUDIANTES'!B:L,3,0)</f>
        <v>195</v>
      </c>
      <c r="D514" s="66" t="str">
        <f>VLOOKUP(A514,'ESTADOS ESTUDIANTES'!B:L,4,0)</f>
        <v>MAE. EN CIENCIAS DE LA INF. Y LAS COMUNICACIONES ENFASIS EN TELEINF.</v>
      </c>
      <c r="E514" s="19" t="str">
        <f>VLOOKUP(A514,'ESTADOS ESTUDIANTES'!B:L,5,0)</f>
        <v>E</v>
      </c>
      <c r="F514" s="18" t="str">
        <f>VLOOKUP(E514,Listas!B1:C1004,2,0)</f>
        <v>EGRESADO</v>
      </c>
      <c r="G514" s="19" t="str">
        <f>VLOOKUP(A514,'ESTADOS ESTUDIANTES'!B:L,7,0)</f>
        <v>NO REGISTRA</v>
      </c>
      <c r="H514" s="19" t="str">
        <f>VLOOKUP(A514,'ESTADOS ESTUDIANTES'!B:L,8,0)</f>
        <v>empiedrahitav@correo.udistrital.edu.co</v>
      </c>
      <c r="I514" s="70" t="str">
        <f>VLOOKUP(A514,'ESTADOS ESTUDIANTES'!B:L,9,0)</f>
        <v>st.mauricio@hotmail.com</v>
      </c>
      <c r="J514" s="19" t="str">
        <f>VLOOKUP(A514,'ESTADOS ESTUDIANTES'!B:L,10,0)</f>
        <v>CC</v>
      </c>
      <c r="K514" s="19">
        <f>VLOOKUP(A514,'ESTADOS ESTUDIANTES'!B:L,11,0)</f>
        <v>1022324147</v>
      </c>
      <c r="L514" s="23"/>
      <c r="M514" s="20"/>
      <c r="N514" s="22"/>
      <c r="O514" s="15"/>
      <c r="P514" s="15"/>
      <c r="Q514" s="15"/>
      <c r="R514" s="15"/>
      <c r="S514" s="15"/>
      <c r="T514" s="15"/>
      <c r="U514" s="15"/>
    </row>
    <row r="515" spans="1:21" ht="90">
      <c r="A515" s="17">
        <v>20101195012</v>
      </c>
      <c r="B515" s="19" t="str">
        <f>VLOOKUP(A515,'ESTADOS ESTUDIANTES'!B:L,2,0)</f>
        <v>REYES MORENO CLAUDIA ISABEL</v>
      </c>
      <c r="C515" s="19">
        <f>VLOOKUP(A515,'ESTADOS ESTUDIANTES'!B:L,3,0)</f>
        <v>195</v>
      </c>
      <c r="D515" s="66" t="str">
        <f>VLOOKUP(A515,'ESTADOS ESTUDIANTES'!B:L,4,0)</f>
        <v>MAE. EN CIENCIAS DE LA INF. Y LAS COMUNICACIONES ENFASIS EN TELEINF.</v>
      </c>
      <c r="E515" s="19" t="str">
        <f>VLOOKUP(A515,'ESTADOS ESTUDIANTES'!B:L,5,0)</f>
        <v>X</v>
      </c>
      <c r="F515" s="18" t="str">
        <f>VLOOKUP(E515,Listas!B1:C1004,2,0)</f>
        <v>EXCLUIDO</v>
      </c>
      <c r="G515" s="19" t="str">
        <f>VLOOKUP(A515,'ESTADOS ESTUDIANTES'!B:L,7,0)</f>
        <v>NO REGISTRA</v>
      </c>
      <c r="H515" s="19" t="str">
        <f>VLOOKUP(A515,'ESTADOS ESTUDIANTES'!B:L,8,0)</f>
        <v>cireyesm@correo.udistrital.edu.co</v>
      </c>
      <c r="I515" s="70" t="str">
        <f>VLOOKUP(A515,'ESTADOS ESTUDIANTES'!B:L,9,0)</f>
        <v>clareismo@gmail.com</v>
      </c>
      <c r="J515" s="19" t="str">
        <f>VLOOKUP(A515,'ESTADOS ESTUDIANTES'!B:L,10,0)</f>
        <v>CC</v>
      </c>
      <c r="K515" s="19">
        <f>VLOOKUP(A515,'ESTADOS ESTUDIANTES'!B:L,11,0)</f>
        <v>52528527</v>
      </c>
      <c r="L515" s="23"/>
      <c r="M515" s="20"/>
      <c r="N515" s="22"/>
      <c r="O515" s="15"/>
      <c r="P515" s="15"/>
      <c r="Q515" s="15"/>
      <c r="R515" s="15"/>
      <c r="S515" s="15"/>
      <c r="T515" s="15"/>
      <c r="U515" s="15"/>
    </row>
    <row r="516" spans="1:21" ht="90">
      <c r="A516" s="17">
        <v>20101195013</v>
      </c>
      <c r="B516" s="19" t="str">
        <f>VLOOKUP(A516,'ESTADOS ESTUDIANTES'!B:L,2,0)</f>
        <v>RUIZ GUZMAN CARLOS HUMBERTO</v>
      </c>
      <c r="C516" s="19">
        <f>VLOOKUP(A516,'ESTADOS ESTUDIANTES'!B:L,3,0)</f>
        <v>195</v>
      </c>
      <c r="D516" s="66" t="str">
        <f>VLOOKUP(A516,'ESTADOS ESTUDIANTES'!B:L,4,0)</f>
        <v>MAE. EN CIENCIAS DE LA INF. Y LAS COMUNICACIONES ENFASIS EN TELEINF.</v>
      </c>
      <c r="E516" s="19" t="str">
        <f>VLOOKUP(A516,'ESTADOS ESTUDIANTES'!B:L,5,0)</f>
        <v>X</v>
      </c>
      <c r="F516" s="18" t="str">
        <f>VLOOKUP(E516,Listas!B1:C1004,2,0)</f>
        <v>EXCLUIDO</v>
      </c>
      <c r="G516" s="19" t="str">
        <f>VLOOKUP(A516,'ESTADOS ESTUDIANTES'!B:L,7,0)</f>
        <v>NO REGISTRA</v>
      </c>
      <c r="H516" s="19" t="str">
        <f>VLOOKUP(A516,'ESTADOS ESTUDIANTES'!B:L,8,0)</f>
        <v>chruizg@correo.udistrital.edu.co</v>
      </c>
      <c r="I516" s="70" t="str">
        <f>VLOOKUP(A516,'ESTADOS ESTUDIANTES'!B:L,9,0)</f>
        <v>carlos.ruiz@crcom.gov.co</v>
      </c>
      <c r="J516" s="19" t="str">
        <f>VLOOKUP(A516,'ESTADOS ESTUDIANTES'!B:L,10,0)</f>
        <v>CC</v>
      </c>
      <c r="K516" s="19">
        <f>VLOOKUP(A516,'ESTADOS ESTUDIANTES'!B:L,11,0)</f>
        <v>16075621</v>
      </c>
      <c r="L516" s="23"/>
      <c r="M516" s="20"/>
      <c r="N516" s="22"/>
      <c r="O516" s="15"/>
      <c r="P516" s="15"/>
      <c r="Q516" s="15"/>
      <c r="R516" s="15"/>
      <c r="S516" s="15"/>
      <c r="T516" s="15"/>
      <c r="U516" s="15"/>
    </row>
    <row r="517" spans="1:21" ht="90">
      <c r="A517" s="17">
        <v>20101195014</v>
      </c>
      <c r="B517" s="19" t="str">
        <f>VLOOKUP(A517,'ESTADOS ESTUDIANTES'!B:L,2,0)</f>
        <v>GINA KATHERINE SIERRA PÁEZ</v>
      </c>
      <c r="C517" s="19">
        <f>VLOOKUP(A517,'ESTADOS ESTUDIANTES'!B:L,3,0)</f>
        <v>195</v>
      </c>
      <c r="D517" s="66" t="str">
        <f>VLOOKUP(A517,'ESTADOS ESTUDIANTES'!B:L,4,0)</f>
        <v>MAE. EN CIENCIAS DE LA INF. Y LAS COMUNICACIONES ENFASIS EN TELEINF.</v>
      </c>
      <c r="E517" s="19" t="str">
        <f>VLOOKUP(A517,'ESTADOS ESTUDIANTES'!B:L,5,0)</f>
        <v>E</v>
      </c>
      <c r="F517" s="18" t="str">
        <f>VLOOKUP(E517,Listas!B1:C1004,2,0)</f>
        <v>EGRESADO</v>
      </c>
      <c r="G517" s="19" t="str">
        <f>VLOOKUP(A517,'ESTADOS ESTUDIANTES'!B:L,7,0)</f>
        <v>NO REGISTRA</v>
      </c>
      <c r="H517" s="19" t="str">
        <f>VLOOKUP(A517,'ESTADOS ESTUDIANTES'!B:L,8,0)</f>
        <v>gksierrap@correo.udistrital.edu.co</v>
      </c>
      <c r="I517" s="70" t="str">
        <f>VLOOKUP(A517,'ESTADOS ESTUDIANTES'!B:L,9,0)</f>
        <v>katherinsierra@hotmail.com</v>
      </c>
      <c r="J517" s="19" t="str">
        <f>VLOOKUP(A517,'ESTADOS ESTUDIANTES'!B:L,10,0)</f>
        <v>CC</v>
      </c>
      <c r="K517" s="19">
        <f>VLOOKUP(A517,'ESTADOS ESTUDIANTES'!B:L,11,0)</f>
        <v>1015397282</v>
      </c>
      <c r="L517" s="23"/>
      <c r="M517" s="20"/>
      <c r="N517" s="22"/>
      <c r="O517" s="15"/>
      <c r="P517" s="15"/>
      <c r="Q517" s="15"/>
      <c r="R517" s="15"/>
      <c r="S517" s="15"/>
      <c r="T517" s="15"/>
      <c r="U517" s="15"/>
    </row>
    <row r="518" spans="1:21" ht="90">
      <c r="A518" s="17">
        <v>20101195015</v>
      </c>
      <c r="B518" s="19" t="str">
        <f>VLOOKUP(A518,'ESTADOS ESTUDIANTES'!B:L,2,0)</f>
        <v>ZAPATA NUÑEZ GABRIEL VICENTE</v>
      </c>
      <c r="C518" s="19">
        <f>VLOOKUP(A518,'ESTADOS ESTUDIANTES'!B:L,3,0)</f>
        <v>195</v>
      </c>
      <c r="D518" s="66" t="str">
        <f>VLOOKUP(A518,'ESTADOS ESTUDIANTES'!B:L,4,0)</f>
        <v>MAE. EN CIENCIAS DE LA INF. Y LAS COMUNICACIONES ENFASIS EN TELEINF.</v>
      </c>
      <c r="E518" s="19" t="str">
        <f>VLOOKUP(A518,'ESTADOS ESTUDIANTES'!B:L,5,0)</f>
        <v>X</v>
      </c>
      <c r="F518" s="18" t="str">
        <f>VLOOKUP(E518,Listas!B1:C1004,2,0)</f>
        <v>EXCLUIDO</v>
      </c>
      <c r="G518" s="19" t="str">
        <f>VLOOKUP(A518,'ESTADOS ESTUDIANTES'!B:L,7,0)</f>
        <v>NO REGISTRA</v>
      </c>
      <c r="H518" s="19" t="str">
        <f>VLOOKUP(A518,'ESTADOS ESTUDIANTES'!B:L,8,0)</f>
        <v>gvzapatan@correo.udistrital.edu.co</v>
      </c>
      <c r="I518" s="70" t="str">
        <f>VLOOKUP(A518,'ESTADOS ESTUDIANTES'!B:L,9,0)</f>
        <v>gzapata@identica-sa.com</v>
      </c>
      <c r="J518" s="19" t="str">
        <f>VLOOKUP(A518,'ESTADOS ESTUDIANTES'!B:L,10,0)</f>
        <v>CC</v>
      </c>
      <c r="K518" s="19">
        <f>VLOOKUP(A518,'ESTADOS ESTUDIANTES'!B:L,11,0)</f>
        <v>80090404</v>
      </c>
      <c r="L518" s="23"/>
      <c r="M518" s="20"/>
      <c r="N518" s="22"/>
      <c r="O518" s="15"/>
      <c r="P518" s="15"/>
      <c r="Q518" s="15"/>
      <c r="R518" s="15"/>
      <c r="S518" s="15"/>
      <c r="T518" s="15"/>
      <c r="U518" s="15"/>
    </row>
    <row r="519" spans="1:21" ht="90">
      <c r="A519" s="17">
        <v>20101295001</v>
      </c>
      <c r="B519" s="19" t="str">
        <f>VLOOKUP(A519,'ESTADOS ESTUDIANTES'!B:L,2,0)</f>
        <v>CAICEDO BOLAÑOS JOHN JAIRO</v>
      </c>
      <c r="C519" s="19">
        <f>VLOOKUP(A519,'ESTADOS ESTUDIANTES'!B:L,3,0)</f>
        <v>295</v>
      </c>
      <c r="D519" s="66" t="str">
        <f>VLOOKUP(A519,'ESTADOS ESTUDIANTES'!B:L,4,0)</f>
        <v>MAE. EN CIENCIAS DE LA INF. Y LAS COMUNICACIONES ENFASIS EN SIS. INFOR</v>
      </c>
      <c r="E519" s="19" t="str">
        <f>VLOOKUP(A519,'ESTADOS ESTUDIANTES'!B:L,5,0)</f>
        <v>X</v>
      </c>
      <c r="F519" s="18" t="str">
        <f>VLOOKUP(E519,Listas!B1:C1004,2,0)</f>
        <v>EXCLUIDO</v>
      </c>
      <c r="G519" s="19" t="str">
        <f>VLOOKUP(A519,'ESTADOS ESTUDIANTES'!B:L,7,0)</f>
        <v>NO REGISTRA</v>
      </c>
      <c r="H519" s="19" t="str">
        <f>VLOOKUP(A519,'ESTADOS ESTUDIANTES'!B:L,8,0)</f>
        <v>jjcaicedob@correo.udistrital.edu.co</v>
      </c>
      <c r="I519" s="70" t="str">
        <f>VLOOKUP(A519,'ESTADOS ESTUDIANTES'!B:L,9,0)</f>
        <v>john.caicedo.osc@gmail.com</v>
      </c>
      <c r="J519" s="19" t="str">
        <f>VLOOKUP(A519,'ESTADOS ESTUDIANTES'!B:L,10,0)</f>
        <v>CC</v>
      </c>
      <c r="K519" s="19">
        <f>VLOOKUP(A519,'ESTADOS ESTUDIANTES'!B:L,11,0)</f>
        <v>73573912</v>
      </c>
      <c r="L519" s="23"/>
      <c r="M519" s="20"/>
      <c r="N519" s="22"/>
      <c r="O519" s="15"/>
      <c r="P519" s="15"/>
      <c r="Q519" s="15"/>
      <c r="R519" s="15"/>
      <c r="S519" s="15"/>
      <c r="T519" s="15"/>
      <c r="U519" s="15"/>
    </row>
    <row r="520" spans="1:21" ht="90">
      <c r="A520" s="17">
        <v>20101295002</v>
      </c>
      <c r="B520" s="19" t="str">
        <f>VLOOKUP(A520,'ESTADOS ESTUDIANTES'!B:L,2,0)</f>
        <v>GALVIS TOBAR EMIR ALEXANDER</v>
      </c>
      <c r="C520" s="19">
        <f>VLOOKUP(A520,'ESTADOS ESTUDIANTES'!B:L,3,0)</f>
        <v>295</v>
      </c>
      <c r="D520" s="66" t="str">
        <f>VLOOKUP(A520,'ESTADOS ESTUDIANTES'!B:L,4,0)</f>
        <v>MAE. EN CIENCIAS DE LA INF. Y LAS COMUNICACIONES ENFASIS EN SIS. INFOR</v>
      </c>
      <c r="E520" s="19" t="str">
        <f>VLOOKUP(A520,'ESTADOS ESTUDIANTES'!B:L,5,0)</f>
        <v>X</v>
      </c>
      <c r="F520" s="18" t="str">
        <f>VLOOKUP(E520,Listas!B1:C1004,2,0)</f>
        <v>EXCLUIDO</v>
      </c>
      <c r="G520" s="19" t="str">
        <f>VLOOKUP(A520,'ESTADOS ESTUDIANTES'!B:L,7,0)</f>
        <v>NO REGISTRA</v>
      </c>
      <c r="H520" s="19">
        <f>VLOOKUP(A520,'ESTADOS ESTUDIANTES'!B:L,8,0)</f>
        <v>0</v>
      </c>
      <c r="I520" s="70" t="str">
        <f>VLOOKUP(A520,'ESTADOS ESTUDIANTES'!B:L,9,0)</f>
        <v>galvis.emir@googlemail.com</v>
      </c>
      <c r="J520" s="19" t="str">
        <f>VLOOKUP(A520,'ESTADOS ESTUDIANTES'!B:L,10,0)</f>
        <v>CC</v>
      </c>
      <c r="K520" s="19">
        <f>VLOOKUP(A520,'ESTADOS ESTUDIANTES'!B:L,11,0)</f>
        <v>94506010</v>
      </c>
      <c r="L520" s="23"/>
      <c r="M520" s="20"/>
      <c r="N520" s="22"/>
      <c r="O520" s="15"/>
      <c r="P520" s="15"/>
      <c r="Q520" s="15"/>
      <c r="R520" s="15"/>
      <c r="S520" s="15"/>
      <c r="T520" s="15"/>
      <c r="U520" s="15"/>
    </row>
    <row r="521" spans="1:21" ht="90">
      <c r="A521" s="17">
        <v>20101295003</v>
      </c>
      <c r="B521" s="19" t="str">
        <f>VLOOKUP(A521,'ESTADOS ESTUDIANTES'!B:L,2,0)</f>
        <v>GARCIA MARTINEZ LUIS FRANCISCO</v>
      </c>
      <c r="C521" s="19">
        <f>VLOOKUP(A521,'ESTADOS ESTUDIANTES'!B:L,3,0)</f>
        <v>295</v>
      </c>
      <c r="D521" s="66" t="str">
        <f>VLOOKUP(A521,'ESTADOS ESTUDIANTES'!B:L,4,0)</f>
        <v>MAE. EN CIENCIAS DE LA INF. Y LAS COMUNICACIONES ENFASIS EN SIS. INFOR</v>
      </c>
      <c r="E521" s="19" t="str">
        <f>VLOOKUP(A521,'ESTADOS ESTUDIANTES'!B:L,5,0)</f>
        <v>X</v>
      </c>
      <c r="F521" s="18" t="str">
        <f>VLOOKUP(E521,Listas!B1:C1004,2,0)</f>
        <v>EXCLUIDO</v>
      </c>
      <c r="G521" s="19">
        <f>VLOOKUP(A521,'ESTADOS ESTUDIANTES'!B:L,7,0)</f>
        <v>1</v>
      </c>
      <c r="H521" s="19" t="str">
        <f>VLOOKUP(A521,'ESTADOS ESTUDIANTES'!B:L,8,0)</f>
        <v>lufgarciam@correo.udistrital.edu.co</v>
      </c>
      <c r="I521" s="70" t="str">
        <f>VLOOKUP(A521,'ESTADOS ESTUDIANTES'!B:L,9,0)</f>
        <v>fgarciam24@yahoo.es</v>
      </c>
      <c r="J521" s="19" t="str">
        <f>VLOOKUP(A521,'ESTADOS ESTUDIANTES'!B:L,10,0)</f>
        <v>CC</v>
      </c>
      <c r="K521" s="19">
        <f>VLOOKUP(A521,'ESTADOS ESTUDIANTES'!B:L,11,0)</f>
        <v>79250331</v>
      </c>
      <c r="L521" s="23"/>
      <c r="M521" s="20"/>
      <c r="N521" s="22"/>
      <c r="O521" s="15"/>
      <c r="P521" s="15"/>
      <c r="Q521" s="15"/>
      <c r="R521" s="15"/>
      <c r="S521" s="15"/>
      <c r="T521" s="15"/>
      <c r="U521" s="15"/>
    </row>
    <row r="522" spans="1:21" ht="90">
      <c r="A522" s="17">
        <v>20101295004</v>
      </c>
      <c r="B522" s="19" t="str">
        <f>VLOOKUP(A522,'ESTADOS ESTUDIANTES'!B:L,2,0)</f>
        <v>MARTINEZ BAQUERO ANA MARIA</v>
      </c>
      <c r="C522" s="19">
        <f>VLOOKUP(A522,'ESTADOS ESTUDIANTES'!B:L,3,0)</f>
        <v>295</v>
      </c>
      <c r="D522" s="66" t="str">
        <f>VLOOKUP(A522,'ESTADOS ESTUDIANTES'!B:L,4,0)</f>
        <v>MAE. EN CIENCIAS DE LA INF. Y LAS COMUNICACIONES ENFASIS EN SIS. INFOR</v>
      </c>
      <c r="E522" s="19" t="str">
        <f>VLOOKUP(A522,'ESTADOS ESTUDIANTES'!B:L,5,0)</f>
        <v>X</v>
      </c>
      <c r="F522" s="18" t="str">
        <f>VLOOKUP(E522,Listas!B1:C1004,2,0)</f>
        <v>EXCLUIDO</v>
      </c>
      <c r="G522" s="19" t="str">
        <f>VLOOKUP(A522,'ESTADOS ESTUDIANTES'!B:L,7,0)</f>
        <v>NO REGISTRA</v>
      </c>
      <c r="H522" s="19" t="str">
        <f>VLOOKUP(A522,'ESTADOS ESTUDIANTES'!B:L,8,0)</f>
        <v>anammartinezb@correo.udistrital.edu.co</v>
      </c>
      <c r="I522" s="70" t="str">
        <f>VLOOKUP(A522,'ESTADOS ESTUDIANTES'!B:L,9,0)</f>
        <v>ammartinezba@hotmail.com</v>
      </c>
      <c r="J522" s="19" t="str">
        <f>VLOOKUP(A522,'ESTADOS ESTUDIANTES'!B:L,10,0)</f>
        <v>CC</v>
      </c>
      <c r="K522" s="19">
        <f>VLOOKUP(A522,'ESTADOS ESTUDIANTES'!B:L,11,0)</f>
        <v>35254880</v>
      </c>
      <c r="L522" s="23"/>
      <c r="M522" s="20"/>
      <c r="N522" s="22"/>
      <c r="O522" s="15"/>
      <c r="P522" s="15"/>
      <c r="Q522" s="15"/>
      <c r="R522" s="15"/>
      <c r="S522" s="15"/>
      <c r="T522" s="15"/>
      <c r="U522" s="15"/>
    </row>
    <row r="523" spans="1:21" ht="90">
      <c r="A523" s="17">
        <v>20101295005</v>
      </c>
      <c r="B523" s="19" t="str">
        <f>VLOOKUP(A523,'ESTADOS ESTUDIANTES'!B:L,2,0)</f>
        <v>MARTINEZ BUENO GIOVANNI ESTEBAN</v>
      </c>
      <c r="C523" s="19">
        <f>VLOOKUP(A523,'ESTADOS ESTUDIANTES'!B:L,3,0)</f>
        <v>295</v>
      </c>
      <c r="D523" s="66" t="str">
        <f>VLOOKUP(A523,'ESTADOS ESTUDIANTES'!B:L,4,0)</f>
        <v>MAE. EN CIENCIAS DE LA INF. Y LAS COMUNICACIONES ENFASIS EN SIS. INFOR</v>
      </c>
      <c r="E523" s="19" t="str">
        <f>VLOOKUP(A523,'ESTADOS ESTUDIANTES'!B:L,5,0)</f>
        <v>X</v>
      </c>
      <c r="F523" s="18" t="str">
        <f>VLOOKUP(E523,Listas!B1:C1004,2,0)</f>
        <v>EXCLUIDO</v>
      </c>
      <c r="G523" s="19">
        <f>VLOOKUP(A523,'ESTADOS ESTUDIANTES'!B:L,7,0)</f>
        <v>3</v>
      </c>
      <c r="H523" s="19" t="str">
        <f>VLOOKUP(A523,'ESTADOS ESTUDIANTES'!B:L,8,0)</f>
        <v>gemartinezb@correo.udistrital.edu.co</v>
      </c>
      <c r="I523" s="70" t="str">
        <f>VLOOKUP(A523,'ESTADOS ESTUDIANTES'!B:L,9,0)</f>
        <v>emartinez.w2s2@gmail.com</v>
      </c>
      <c r="J523" s="19" t="str">
        <f>VLOOKUP(A523,'ESTADOS ESTUDIANTES'!B:L,10,0)</f>
        <v>CC</v>
      </c>
      <c r="K523" s="19">
        <f>VLOOKUP(A523,'ESTADOS ESTUDIANTES'!B:L,11,0)</f>
        <v>79634604</v>
      </c>
      <c r="L523" s="23"/>
      <c r="M523" s="20"/>
      <c r="N523" s="22"/>
      <c r="O523" s="15"/>
      <c r="P523" s="15"/>
      <c r="Q523" s="15"/>
      <c r="R523" s="15"/>
      <c r="S523" s="15"/>
      <c r="T523" s="15"/>
      <c r="U523" s="15"/>
    </row>
    <row r="524" spans="1:21" ht="90">
      <c r="A524" s="17">
        <v>20101295006</v>
      </c>
      <c r="B524" s="19" t="str">
        <f>VLOOKUP(A524,'ESTADOS ESTUDIANTES'!B:L,2,0)</f>
        <v>ORTIZ JIMENEZ EDUIN AUGUSTO</v>
      </c>
      <c r="C524" s="19">
        <f>VLOOKUP(A524,'ESTADOS ESTUDIANTES'!B:L,3,0)</f>
        <v>295</v>
      </c>
      <c r="D524" s="66" t="str">
        <f>VLOOKUP(A524,'ESTADOS ESTUDIANTES'!B:L,4,0)</f>
        <v>MAE. EN CIENCIAS DE LA INF. Y LAS COMUNICACIONES ENFASIS EN SIS. INFOR</v>
      </c>
      <c r="E524" s="19" t="str">
        <f>VLOOKUP(A524,'ESTADOS ESTUDIANTES'!B:L,5,0)</f>
        <v>X</v>
      </c>
      <c r="F524" s="18" t="str">
        <f>VLOOKUP(E524,Listas!B1:C1004,2,0)</f>
        <v>EXCLUIDO</v>
      </c>
      <c r="G524" s="19">
        <f>VLOOKUP(A524,'ESTADOS ESTUDIANTES'!B:L,7,0)</f>
        <v>4</v>
      </c>
      <c r="H524" s="19" t="str">
        <f>VLOOKUP(A524,'ESTADOS ESTUDIANTES'!B:L,8,0)</f>
        <v>eaortizj@correo.udistrital.edu.co</v>
      </c>
      <c r="I524" s="70" t="str">
        <f>VLOOKUP(A524,'ESTADOS ESTUDIANTES'!B:L,9,0)</f>
        <v>eduinortiz@hotmail.com</v>
      </c>
      <c r="J524" s="19" t="str">
        <f>VLOOKUP(A524,'ESTADOS ESTUDIANTES'!B:L,10,0)</f>
        <v>CC</v>
      </c>
      <c r="K524" s="19">
        <f>VLOOKUP(A524,'ESTADOS ESTUDIANTES'!B:L,11,0)</f>
        <v>86010655</v>
      </c>
      <c r="L524" s="23"/>
      <c r="M524" s="20"/>
      <c r="N524" s="22"/>
      <c r="O524" s="15"/>
      <c r="P524" s="15"/>
      <c r="Q524" s="15"/>
      <c r="R524" s="15"/>
      <c r="S524" s="15"/>
      <c r="T524" s="15"/>
      <c r="U524" s="15"/>
    </row>
    <row r="525" spans="1:21" ht="90">
      <c r="A525" s="17">
        <v>20101295007</v>
      </c>
      <c r="B525" s="19" t="str">
        <f>VLOOKUP(A525,'ESTADOS ESTUDIANTES'!B:L,2,0)</f>
        <v>PATIÑO PINZON JULIAN RICARDO</v>
      </c>
      <c r="C525" s="19">
        <f>VLOOKUP(A525,'ESTADOS ESTUDIANTES'!B:L,3,0)</f>
        <v>295</v>
      </c>
      <c r="D525" s="66" t="str">
        <f>VLOOKUP(A525,'ESTADOS ESTUDIANTES'!B:L,4,0)</f>
        <v>MAE. EN CIENCIAS DE LA INF. Y LAS COMUNICACIONES ENFASIS EN SIS. INFOR</v>
      </c>
      <c r="E525" s="19" t="str">
        <f>VLOOKUP(A525,'ESTADOS ESTUDIANTES'!B:L,5,0)</f>
        <v>X</v>
      </c>
      <c r="F525" s="18" t="str">
        <f>VLOOKUP(E525,Listas!B1:C1004,2,0)</f>
        <v>EXCLUIDO</v>
      </c>
      <c r="G525" s="19">
        <f>VLOOKUP(A525,'ESTADOS ESTUDIANTES'!B:L,7,0)</f>
        <v>1</v>
      </c>
      <c r="H525" s="19" t="str">
        <f>VLOOKUP(A525,'ESTADOS ESTUDIANTES'!B:L,8,0)</f>
        <v>jrpatinop@correo.udistrital.edu.co</v>
      </c>
      <c r="I525" s="70" t="str">
        <f>VLOOKUP(A525,'ESTADOS ESTUDIANTES'!B:L,9,0)</f>
        <v>julric@hotmail.com</v>
      </c>
      <c r="J525" s="19" t="str">
        <f>VLOOKUP(A525,'ESTADOS ESTUDIANTES'!B:L,10,0)</f>
        <v>CC</v>
      </c>
      <c r="K525" s="19">
        <f>VLOOKUP(A525,'ESTADOS ESTUDIANTES'!B:L,11,0)</f>
        <v>86056809</v>
      </c>
      <c r="L525" s="23"/>
      <c r="M525" s="20"/>
      <c r="N525" s="22"/>
      <c r="O525" s="15"/>
      <c r="P525" s="15"/>
      <c r="Q525" s="15"/>
      <c r="R525" s="15"/>
      <c r="S525" s="15"/>
      <c r="T525" s="15"/>
      <c r="U525" s="15"/>
    </row>
    <row r="526" spans="1:21" ht="90">
      <c r="A526" s="17">
        <v>20101295008</v>
      </c>
      <c r="B526" s="19" t="str">
        <f>VLOOKUP(A526,'ESTADOS ESTUDIANTES'!B:L,2,0)</f>
        <v>PEREZ PEREZ FRANCISCO DAVID</v>
      </c>
      <c r="C526" s="19">
        <f>VLOOKUP(A526,'ESTADOS ESTUDIANTES'!B:L,3,0)</f>
        <v>295</v>
      </c>
      <c r="D526" s="66" t="str">
        <f>VLOOKUP(A526,'ESTADOS ESTUDIANTES'!B:L,4,0)</f>
        <v>MAE. EN CIENCIAS DE LA INF. Y LAS COMUNICACIONES ENFASIS EN SIS. INFOR</v>
      </c>
      <c r="E526" s="19" t="str">
        <f>VLOOKUP(A526,'ESTADOS ESTUDIANTES'!B:L,5,0)</f>
        <v>X</v>
      </c>
      <c r="F526" s="18" t="str">
        <f>VLOOKUP(E526,Listas!B1:C1004,2,0)</f>
        <v>EXCLUIDO</v>
      </c>
      <c r="G526" s="19" t="str">
        <f>VLOOKUP(A526,'ESTADOS ESTUDIANTES'!B:L,7,0)</f>
        <v>NO REGISTRA</v>
      </c>
      <c r="H526" s="19" t="str">
        <f>VLOOKUP(A526,'ESTADOS ESTUDIANTES'!B:L,8,0)</f>
        <v>fdperezp@correo.udistrital.edu.co</v>
      </c>
      <c r="I526" s="70" t="str">
        <f>VLOOKUP(A526,'ESTADOS ESTUDIANTES'!B:L,9,0)</f>
        <v>fdavidperez@yahoo.es</v>
      </c>
      <c r="J526" s="19" t="str">
        <f>VLOOKUP(A526,'ESTADOS ESTUDIANTES'!B:L,10,0)</f>
        <v>CC</v>
      </c>
      <c r="K526" s="19">
        <f>VLOOKUP(A526,'ESTADOS ESTUDIANTES'!B:L,11,0)</f>
        <v>98669593</v>
      </c>
      <c r="L526" s="23"/>
      <c r="M526" s="20"/>
      <c r="N526" s="22"/>
      <c r="O526" s="15"/>
      <c r="P526" s="15"/>
      <c r="Q526" s="15"/>
      <c r="R526" s="15"/>
      <c r="S526" s="15"/>
      <c r="T526" s="15"/>
      <c r="U526" s="15"/>
    </row>
    <row r="527" spans="1:21" ht="90">
      <c r="A527" s="17">
        <v>20101295009</v>
      </c>
      <c r="B527" s="19" t="str">
        <f>VLOOKUP(A527,'ESTADOS ESTUDIANTES'!B:L,2,0)</f>
        <v>RAIGOSA LONDOÑO EDSON EDUARDO</v>
      </c>
      <c r="C527" s="19">
        <f>VLOOKUP(A527,'ESTADOS ESTUDIANTES'!B:L,3,0)</f>
        <v>295</v>
      </c>
      <c r="D527" s="66" t="str">
        <f>VLOOKUP(A527,'ESTADOS ESTUDIANTES'!B:L,4,0)</f>
        <v>MAE. EN CIENCIAS DE LA INF. Y LAS COMUNICACIONES ENFASIS EN SIS. INFOR</v>
      </c>
      <c r="E527" s="19" t="str">
        <f>VLOOKUP(A527,'ESTADOS ESTUDIANTES'!B:L,5,0)</f>
        <v>X</v>
      </c>
      <c r="F527" s="18" t="str">
        <f>VLOOKUP(E527,Listas!B1:C1004,2,0)</f>
        <v>EXCLUIDO</v>
      </c>
      <c r="G527" s="19" t="str">
        <f>VLOOKUP(A527,'ESTADOS ESTUDIANTES'!B:L,7,0)</f>
        <v>NO REGISTRA</v>
      </c>
      <c r="H527" s="19" t="str">
        <f>VLOOKUP(A527,'ESTADOS ESTUDIANTES'!B:L,8,0)</f>
        <v>eeraigosal@correo.udistrital.edu.co</v>
      </c>
      <c r="I527" s="70" t="str">
        <f>VLOOKUP(A527,'ESTADOS ESTUDIANTES'!B:L,9,0)</f>
        <v>edsoner_01@yahoo.com.mx</v>
      </c>
      <c r="J527" s="19" t="str">
        <f>VLOOKUP(A527,'ESTADOS ESTUDIANTES'!B:L,10,0)</f>
        <v>CC</v>
      </c>
      <c r="K527" s="19">
        <f>VLOOKUP(A527,'ESTADOS ESTUDIANTES'!B:L,11,0)</f>
        <v>16090419</v>
      </c>
      <c r="L527" s="23"/>
      <c r="M527" s="20"/>
      <c r="N527" s="22"/>
      <c r="O527" s="15"/>
      <c r="P527" s="15"/>
      <c r="Q527" s="15"/>
      <c r="R527" s="15"/>
      <c r="S527" s="15"/>
      <c r="T527" s="15"/>
      <c r="U527" s="15"/>
    </row>
    <row r="528" spans="1:21" ht="90">
      <c r="A528" s="17">
        <v>20101295010</v>
      </c>
      <c r="B528" s="19" t="str">
        <f>VLOOKUP(A528,'ESTADOS ESTUDIANTES'!B:L,2,0)</f>
        <v>REY RONDÓN OSCAR EDUARDO</v>
      </c>
      <c r="C528" s="19">
        <f>VLOOKUP(A528,'ESTADOS ESTUDIANTES'!B:L,3,0)</f>
        <v>295</v>
      </c>
      <c r="D528" s="66" t="str">
        <f>VLOOKUP(A528,'ESTADOS ESTUDIANTES'!B:L,4,0)</f>
        <v>MAE. EN CIENCIAS DE LA INF. Y LAS COMUNICACIONES ENFASIS EN SIS. INFOR</v>
      </c>
      <c r="E528" s="19" t="str">
        <f>VLOOKUP(A528,'ESTADOS ESTUDIANTES'!B:L,5,0)</f>
        <v>X</v>
      </c>
      <c r="F528" s="18" t="str">
        <f>VLOOKUP(E528,Listas!B1:C1004,2,0)</f>
        <v>EXCLUIDO</v>
      </c>
      <c r="G528" s="19" t="str">
        <f>VLOOKUP(A528,'ESTADOS ESTUDIANTES'!B:L,7,0)</f>
        <v>NO REGISTRA</v>
      </c>
      <c r="H528" s="19" t="str">
        <f>VLOOKUP(A528,'ESTADOS ESTUDIANTES'!B:L,8,0)</f>
        <v>oereyr@correo.udistrital.edu.co</v>
      </c>
      <c r="I528" s="70" t="str">
        <f>VLOOKUP(A528,'ESTADOS ESTUDIANTES'!B:L,9,0)</f>
        <v>oskr_rey@yahoo.com</v>
      </c>
      <c r="J528" s="19" t="str">
        <f>VLOOKUP(A528,'ESTADOS ESTUDIANTES'!B:L,10,0)</f>
        <v>CC</v>
      </c>
      <c r="K528" s="19">
        <f>VLOOKUP(A528,'ESTADOS ESTUDIANTES'!B:L,11,0)</f>
        <v>91292466</v>
      </c>
      <c r="L528" s="23"/>
      <c r="M528" s="20"/>
      <c r="N528" s="22"/>
      <c r="O528" s="15"/>
      <c r="P528" s="15"/>
      <c r="Q528" s="15"/>
      <c r="R528" s="15"/>
      <c r="S528" s="15"/>
      <c r="T528" s="15"/>
      <c r="U528" s="15"/>
    </row>
    <row r="529" spans="1:21" ht="90">
      <c r="A529" s="17">
        <v>20101295011</v>
      </c>
      <c r="B529" s="19" t="str">
        <f>VLOOKUP(A529,'ESTADOS ESTUDIANTES'!B:L,2,0)</f>
        <v>RICO GARCIA JORGE ALEJANDRO</v>
      </c>
      <c r="C529" s="19">
        <f>VLOOKUP(A529,'ESTADOS ESTUDIANTES'!B:L,3,0)</f>
        <v>295</v>
      </c>
      <c r="D529" s="66" t="str">
        <f>VLOOKUP(A529,'ESTADOS ESTUDIANTES'!B:L,4,0)</f>
        <v>MAE. EN CIENCIAS DE LA INF. Y LAS COMUNICACIONES ENFASIS EN SIS. INFOR</v>
      </c>
      <c r="E529" s="19" t="str">
        <f>VLOOKUP(A529,'ESTADOS ESTUDIANTES'!B:L,5,0)</f>
        <v>E</v>
      </c>
      <c r="F529" s="18" t="str">
        <f>VLOOKUP(E529,Listas!B1:C1004,2,0)</f>
        <v>EGRESADO</v>
      </c>
      <c r="G529" s="19">
        <f>VLOOKUP(A529,'ESTADOS ESTUDIANTES'!B:L,7,0)</f>
        <v>1</v>
      </c>
      <c r="H529" s="19" t="str">
        <f>VLOOKUP(A529,'ESTADOS ESTUDIANTES'!B:L,8,0)</f>
        <v>jaricog@correo.udistrital.edu.co</v>
      </c>
      <c r="I529" s="70" t="str">
        <f>VLOOKUP(A529,'ESTADOS ESTUDIANTES'!B:L,9,0)</f>
        <v>jarg58@msn.com</v>
      </c>
      <c r="J529" s="19" t="str">
        <f>VLOOKUP(A529,'ESTADOS ESTUDIANTES'!B:L,10,0)</f>
        <v>CC</v>
      </c>
      <c r="K529" s="19">
        <f>VLOOKUP(A529,'ESTADOS ESTUDIANTES'!B:L,11,0)</f>
        <v>80798506</v>
      </c>
      <c r="L529" s="23"/>
      <c r="M529" s="20"/>
      <c r="N529" s="22"/>
      <c r="O529" s="15"/>
      <c r="P529" s="15"/>
      <c r="Q529" s="15"/>
      <c r="R529" s="15"/>
      <c r="S529" s="15"/>
      <c r="T529" s="15"/>
      <c r="U529" s="15"/>
    </row>
    <row r="530" spans="1:21" ht="90">
      <c r="A530" s="17">
        <v>20101295012</v>
      </c>
      <c r="B530" s="19" t="str">
        <f>VLOOKUP(A530,'ESTADOS ESTUDIANTES'!B:L,2,0)</f>
        <v>RINCÓN OSPINO PABLO ANDRES</v>
      </c>
      <c r="C530" s="19">
        <f>VLOOKUP(A530,'ESTADOS ESTUDIANTES'!B:L,3,0)</f>
        <v>295</v>
      </c>
      <c r="D530" s="66" t="str">
        <f>VLOOKUP(A530,'ESTADOS ESTUDIANTES'!B:L,4,0)</f>
        <v>MAE. EN CIENCIAS DE LA INF. Y LAS COMUNICACIONES ENFASIS EN SIS. INFOR</v>
      </c>
      <c r="E530" s="19" t="str">
        <f>VLOOKUP(A530,'ESTADOS ESTUDIANTES'!B:L,5,0)</f>
        <v>X</v>
      </c>
      <c r="F530" s="18" t="str">
        <f>VLOOKUP(E530,Listas!B1:C1004,2,0)</f>
        <v>EXCLUIDO</v>
      </c>
      <c r="G530" s="19" t="str">
        <f>VLOOKUP(A530,'ESTADOS ESTUDIANTES'!B:L,7,0)</f>
        <v>NO REGISTRA</v>
      </c>
      <c r="H530" s="19" t="str">
        <f>VLOOKUP(A530,'ESTADOS ESTUDIANTES'!B:L,8,0)</f>
        <v>parincono@correo.udistrital.edu.co</v>
      </c>
      <c r="I530" s="70" t="str">
        <f>VLOOKUP(A530,'ESTADOS ESTUDIANTES'!B:L,9,0)</f>
        <v>rincon.pabloandres@gmail.com</v>
      </c>
      <c r="J530" s="19" t="str">
        <f>VLOOKUP(A530,'ESTADOS ESTUDIANTES'!B:L,10,0)</f>
        <v>CC</v>
      </c>
      <c r="K530" s="19">
        <f>VLOOKUP(A530,'ESTADOS ESTUDIANTES'!B:L,11,0)</f>
        <v>80153034</v>
      </c>
      <c r="L530" s="23"/>
      <c r="M530" s="20"/>
      <c r="N530" s="22"/>
      <c r="O530" s="15"/>
      <c r="P530" s="15"/>
      <c r="Q530" s="15"/>
      <c r="R530" s="15"/>
      <c r="S530" s="15"/>
      <c r="T530" s="15"/>
      <c r="U530" s="15"/>
    </row>
    <row r="531" spans="1:21" ht="105">
      <c r="A531" s="17">
        <v>20101295013</v>
      </c>
      <c r="B531" s="19" t="str">
        <f>VLOOKUP(A531,'ESTADOS ESTUDIANTES'!B:L,2,0)</f>
        <v>RIVERA GUERRERO BIBIANA ROCIO</v>
      </c>
      <c r="C531" s="19">
        <f>VLOOKUP(A531,'ESTADOS ESTUDIANTES'!B:L,3,0)</f>
        <v>395</v>
      </c>
      <c r="D531" s="66" t="str">
        <f>VLOOKUP(A531,'ESTADOS ESTUDIANTES'!B:L,4,0)</f>
        <v>MAE. EN CIENCIAS DE LA INF. Y LAS COMUNICACIONES ENFASIS EN GEOMATICA</v>
      </c>
      <c r="E531" s="19" t="str">
        <f>VLOOKUP(A531,'ESTADOS ESTUDIANTES'!B:L,5,0)</f>
        <v>E</v>
      </c>
      <c r="F531" s="18" t="str">
        <f>VLOOKUP(E531,Listas!B1:C1004,2,0)</f>
        <v>EGRESADO</v>
      </c>
      <c r="G531" s="19" t="str">
        <f>VLOOKUP(A531,'ESTADOS ESTUDIANTES'!B:L,7,0)</f>
        <v>NO REGISTRA</v>
      </c>
      <c r="H531" s="19" t="str">
        <f>VLOOKUP(A531,'ESTADOS ESTUDIANTES'!B:L,8,0)</f>
        <v>brriverag@correo.udistrital.edu.co</v>
      </c>
      <c r="I531" s="70" t="str">
        <f>VLOOKUP(A531,'ESTADOS ESTUDIANTES'!B:L,9,0)</f>
        <v>bibianarocio1984@gmail.com</v>
      </c>
      <c r="J531" s="19" t="str">
        <f>VLOOKUP(A531,'ESTADOS ESTUDIANTES'!B:L,10,0)</f>
        <v>CC</v>
      </c>
      <c r="K531" s="19">
        <f>VLOOKUP(A531,'ESTADOS ESTUDIANTES'!B:L,11,0)</f>
        <v>53120508</v>
      </c>
      <c r="L531" s="23"/>
      <c r="M531" s="20"/>
      <c r="N531" s="22"/>
      <c r="O531" s="15"/>
      <c r="P531" s="15"/>
      <c r="Q531" s="15"/>
      <c r="R531" s="15"/>
      <c r="S531" s="15"/>
      <c r="T531" s="15"/>
      <c r="U531" s="15"/>
    </row>
    <row r="532" spans="1:21" ht="90">
      <c r="A532" s="17">
        <v>20101295014</v>
      </c>
      <c r="B532" s="19" t="str">
        <f>VLOOKUP(A532,'ESTADOS ESTUDIANTES'!B:L,2,0)</f>
        <v>SANCHEZ JOSE ALEJANDRO</v>
      </c>
      <c r="C532" s="19">
        <f>VLOOKUP(A532,'ESTADOS ESTUDIANTES'!B:L,3,0)</f>
        <v>295</v>
      </c>
      <c r="D532" s="66" t="str">
        <f>VLOOKUP(A532,'ESTADOS ESTUDIANTES'!B:L,4,0)</f>
        <v>MAE. EN CIENCIAS DE LA INF. Y LAS COMUNICACIONES ENFASIS EN SIS. INFOR</v>
      </c>
      <c r="E532" s="19" t="str">
        <f>VLOOKUP(A532,'ESTADOS ESTUDIANTES'!B:L,5,0)</f>
        <v>E</v>
      </c>
      <c r="F532" s="18" t="str">
        <f>VLOOKUP(E532,Listas!B1:C1004,2,0)</f>
        <v>EGRESADO</v>
      </c>
      <c r="G532" s="19">
        <f>VLOOKUP(A532,'ESTADOS ESTUDIANTES'!B:L,7,0)</f>
        <v>3</v>
      </c>
      <c r="H532" s="19" t="str">
        <f>VLOOKUP(A532,'ESTADOS ESTUDIANTES'!B:L,8,0)</f>
        <v>jrestivang@udistrital.edu.co</v>
      </c>
      <c r="I532" s="70" t="str">
        <f>VLOOKUP(A532,'ESTADOS ESTUDIANTES'!B:L,9,0)</f>
        <v>ijasanchez@gmail.com</v>
      </c>
      <c r="J532" s="19" t="str">
        <f>VLOOKUP(A532,'ESTADOS ESTUDIANTES'!B:L,10,0)</f>
        <v>CC</v>
      </c>
      <c r="K532" s="19">
        <f>VLOOKUP(A532,'ESTADOS ESTUDIANTES'!B:L,11,0)</f>
        <v>79763774</v>
      </c>
      <c r="L532" s="19">
        <v>3134212206</v>
      </c>
      <c r="M532" s="20"/>
      <c r="N532" s="22"/>
      <c r="O532" s="15"/>
      <c r="P532" s="15"/>
      <c r="Q532" s="15"/>
      <c r="R532" s="15"/>
      <c r="S532" s="15"/>
      <c r="T532" s="15"/>
      <c r="U532" s="15"/>
    </row>
    <row r="533" spans="1:21" ht="90">
      <c r="A533" s="17">
        <v>20101295015</v>
      </c>
      <c r="B533" s="19" t="str">
        <f>VLOOKUP(A533,'ESTADOS ESTUDIANTES'!B:L,2,0)</f>
        <v>SIERRA PALACIOS EDGAR AUGUSTO</v>
      </c>
      <c r="C533" s="19">
        <f>VLOOKUP(A533,'ESTADOS ESTUDIANTES'!B:L,3,0)</f>
        <v>295</v>
      </c>
      <c r="D533" s="66" t="str">
        <f>VLOOKUP(A533,'ESTADOS ESTUDIANTES'!B:L,4,0)</f>
        <v>MAE. EN CIENCIAS DE LA INF. Y LAS COMUNICACIONES ENFASIS EN SIS. INFOR</v>
      </c>
      <c r="E533" s="19" t="str">
        <f>VLOOKUP(A533,'ESTADOS ESTUDIANTES'!B:L,5,0)</f>
        <v>X</v>
      </c>
      <c r="F533" s="18" t="str">
        <f>VLOOKUP(E533,Listas!B1:C1004,2,0)</f>
        <v>EXCLUIDO</v>
      </c>
      <c r="G533" s="19">
        <f>VLOOKUP(A533,'ESTADOS ESTUDIANTES'!B:L,7,0)</f>
        <v>3</v>
      </c>
      <c r="H533" s="19" t="str">
        <f>VLOOKUP(A533,'ESTADOS ESTUDIANTES'!B:L,8,0)</f>
        <v>edasierrap@correo.udistrital.edu.co</v>
      </c>
      <c r="I533" s="70" t="str">
        <f>VLOOKUP(A533,'ESTADOS ESTUDIANTES'!B:L,9,0)</f>
        <v>easierrap@yahoo.es</v>
      </c>
      <c r="J533" s="19" t="str">
        <f>VLOOKUP(A533,'ESTADOS ESTUDIANTES'!B:L,10,0)</f>
        <v>CC</v>
      </c>
      <c r="K533" s="19">
        <f>VLOOKUP(A533,'ESTADOS ESTUDIANTES'!B:L,11,0)</f>
        <v>79880563</v>
      </c>
      <c r="L533" s="23"/>
      <c r="M533" s="20"/>
      <c r="N533" s="22"/>
      <c r="O533" s="15"/>
      <c r="P533" s="15"/>
      <c r="Q533" s="15"/>
      <c r="R533" s="15"/>
      <c r="S533" s="15"/>
      <c r="T533" s="15"/>
      <c r="U533" s="15"/>
    </row>
    <row r="534" spans="1:21" ht="90">
      <c r="A534" s="17">
        <v>20102195001</v>
      </c>
      <c r="B534" s="19" t="str">
        <f>VLOOKUP(A534,'ESTADOS ESTUDIANTES'!B:L,2,0)</f>
        <v>PEREZ PACHON DIDIER GIOVANNI</v>
      </c>
      <c r="C534" s="19">
        <f>VLOOKUP(A534,'ESTADOS ESTUDIANTES'!B:L,3,0)</f>
        <v>195</v>
      </c>
      <c r="D534" s="66" t="str">
        <f>VLOOKUP(A534,'ESTADOS ESTUDIANTES'!B:L,4,0)</f>
        <v>MAE. EN CIENCIAS DE LA INF. Y LAS COMUNICACIONES ENFASIS EN TELEINF.</v>
      </c>
      <c r="E534" s="19" t="str">
        <f>VLOOKUP(A534,'ESTADOS ESTUDIANTES'!B:L,5,0)</f>
        <v>X</v>
      </c>
      <c r="F534" s="18" t="str">
        <f>VLOOKUP(E534,Listas!B1:C1004,2,0)</f>
        <v>EXCLUIDO</v>
      </c>
      <c r="G534" s="19" t="str">
        <f>VLOOKUP(A534,'ESTADOS ESTUDIANTES'!B:L,7,0)</f>
        <v>NO REGISTRA</v>
      </c>
      <c r="H534" s="19">
        <f>VLOOKUP(A534,'ESTADOS ESTUDIANTES'!B:L,8,0)</f>
        <v>0</v>
      </c>
      <c r="I534" s="70" t="str">
        <f>VLOOKUP(A534,'ESTADOS ESTUDIANTES'!B:L,9,0)</f>
        <v>giovanotti@gmail.com</v>
      </c>
      <c r="J534" s="19" t="str">
        <f>VLOOKUP(A534,'ESTADOS ESTUDIANTES'!B:L,10,0)</f>
        <v>CC</v>
      </c>
      <c r="K534" s="19">
        <f>VLOOKUP(A534,'ESTADOS ESTUDIANTES'!B:L,11,0)</f>
        <v>79784081</v>
      </c>
      <c r="L534" s="23"/>
      <c r="M534" s="20"/>
      <c r="N534" s="22"/>
      <c r="O534" s="15"/>
      <c r="P534" s="15"/>
      <c r="Q534" s="15"/>
      <c r="R534" s="15"/>
      <c r="S534" s="15"/>
      <c r="T534" s="15"/>
      <c r="U534" s="15"/>
    </row>
    <row r="535" spans="1:21" ht="90">
      <c r="A535" s="17">
        <v>20102195002</v>
      </c>
      <c r="B535" s="19" t="str">
        <f>VLOOKUP(A535,'ESTADOS ESTUDIANTES'!B:L,2,0)</f>
        <v>SANTOS HOMES JOSE ERMIS</v>
      </c>
      <c r="C535" s="19">
        <f>VLOOKUP(A535,'ESTADOS ESTUDIANTES'!B:L,3,0)</f>
        <v>195</v>
      </c>
      <c r="D535" s="66" t="str">
        <f>VLOOKUP(A535,'ESTADOS ESTUDIANTES'!B:L,4,0)</f>
        <v>MAE. EN CIENCIAS DE LA INF. Y LAS COMUNICACIONES ENFASIS EN TELEINF.</v>
      </c>
      <c r="E535" s="19" t="str">
        <f>VLOOKUP(A535,'ESTADOS ESTUDIANTES'!B:L,5,0)</f>
        <v>X</v>
      </c>
      <c r="F535" s="18" t="str">
        <f>VLOOKUP(E535,Listas!B1:C1004,2,0)</f>
        <v>EXCLUIDO</v>
      </c>
      <c r="G535" s="19" t="str">
        <f>VLOOKUP(A535,'ESTADOS ESTUDIANTES'!B:L,7,0)</f>
        <v>NO REGISTRA</v>
      </c>
      <c r="H535" s="19">
        <f>VLOOKUP(A535,'ESTADOS ESTUDIANTES'!B:L,8,0)</f>
        <v>0</v>
      </c>
      <c r="I535" s="70" t="str">
        <f>VLOOKUP(A535,'ESTADOS ESTUDIANTES'!B:L,9,0)</f>
        <v>ermis.santos@ecopetrol.com.co</v>
      </c>
      <c r="J535" s="19" t="str">
        <f>VLOOKUP(A535,'ESTADOS ESTUDIANTES'!B:L,10,0)</f>
        <v>CC</v>
      </c>
      <c r="K535" s="19">
        <f>VLOOKUP(A535,'ESTADOS ESTUDIANTES'!B:L,11,0)</f>
        <v>79132721</v>
      </c>
      <c r="L535" s="23"/>
      <c r="M535" s="20"/>
      <c r="N535" s="22"/>
      <c r="O535" s="15"/>
      <c r="P535" s="15"/>
      <c r="Q535" s="15"/>
      <c r="R535" s="15"/>
      <c r="S535" s="15"/>
      <c r="T535" s="15"/>
      <c r="U535" s="15"/>
    </row>
    <row r="536" spans="1:21" ht="90">
      <c r="A536" s="17">
        <v>20102195003</v>
      </c>
      <c r="B536" s="19" t="str">
        <f>VLOOKUP(A536,'ESTADOS ESTUDIANTES'!B:L,2,0)</f>
        <v>FORERO RODRIGUEZ FELIPE</v>
      </c>
      <c r="C536" s="19">
        <f>VLOOKUP(A536,'ESTADOS ESTUDIANTES'!B:L,3,0)</f>
        <v>195</v>
      </c>
      <c r="D536" s="66" t="str">
        <f>VLOOKUP(A536,'ESTADOS ESTUDIANTES'!B:L,4,0)</f>
        <v>MAE. EN CIENCIAS DE LA INF. Y LAS COMUNICACIONES ENFASIS EN TELEINF.</v>
      </c>
      <c r="E536" s="19" t="str">
        <f>VLOOKUP(A536,'ESTADOS ESTUDIANTES'!B:L,5,0)</f>
        <v>E</v>
      </c>
      <c r="F536" s="18" t="str">
        <f>VLOOKUP(E536,Listas!B1:C1004,2,0)</f>
        <v>EGRESADO</v>
      </c>
      <c r="G536" s="19">
        <f>VLOOKUP(A536,'ESTADOS ESTUDIANTES'!B:L,7,0)</f>
        <v>1</v>
      </c>
      <c r="H536" s="19" t="str">
        <f>VLOOKUP(A536,'ESTADOS ESTUDIANTES'!B:L,8,0)</f>
        <v>feforeror@correo.udistrital.edu.co</v>
      </c>
      <c r="I536" s="70" t="str">
        <f>VLOOKUP(A536,'ESTADOS ESTUDIANTES'!B:L,9,0)</f>
        <v>pipeforero@hotmail.com</v>
      </c>
      <c r="J536" s="19" t="str">
        <f>VLOOKUP(A536,'ESTADOS ESTUDIANTES'!B:L,10,0)</f>
        <v>CC</v>
      </c>
      <c r="K536" s="19">
        <f>VLOOKUP(A536,'ESTADOS ESTUDIANTES'!B:L,11,0)</f>
        <v>79724520</v>
      </c>
      <c r="L536" s="23"/>
      <c r="M536" s="20"/>
      <c r="N536" s="22"/>
      <c r="O536" s="15"/>
      <c r="P536" s="15"/>
      <c r="Q536" s="15"/>
      <c r="R536" s="15"/>
      <c r="S536" s="15"/>
      <c r="T536" s="15"/>
      <c r="U536" s="15"/>
    </row>
    <row r="537" spans="1:21" ht="90">
      <c r="A537" s="17">
        <v>20102195004</v>
      </c>
      <c r="B537" s="19" t="str">
        <f>VLOOKUP(A537,'ESTADOS ESTUDIANTES'!B:L,2,0)</f>
        <v>MOLINA MONGUI ANDRES MAURICIO</v>
      </c>
      <c r="C537" s="19">
        <f>VLOOKUP(A537,'ESTADOS ESTUDIANTES'!B:L,3,0)</f>
        <v>195</v>
      </c>
      <c r="D537" s="66" t="str">
        <f>VLOOKUP(A537,'ESTADOS ESTUDIANTES'!B:L,4,0)</f>
        <v>MAE. EN CIENCIAS DE LA INF. Y LAS COMUNICACIONES ENFASIS EN TELEINF.</v>
      </c>
      <c r="E537" s="19" t="str">
        <f>VLOOKUP(A537,'ESTADOS ESTUDIANTES'!B:L,5,0)</f>
        <v>X</v>
      </c>
      <c r="F537" s="18" t="str">
        <f>VLOOKUP(E537,Listas!B1:C1004,2,0)</f>
        <v>EXCLUIDO</v>
      </c>
      <c r="G537" s="19">
        <f>VLOOKUP(A537,'ESTADOS ESTUDIANTES'!B:L,7,0)</f>
        <v>3</v>
      </c>
      <c r="H537" s="19" t="str">
        <f>VLOOKUP(A537,'ESTADOS ESTUDIANTES'!B:L,8,0)</f>
        <v>ammolinam@udistrital.edu.co</v>
      </c>
      <c r="I537" s="70" t="str">
        <f>VLOOKUP(A537,'ESTADOS ESTUDIANTES'!B:L,9,0)</f>
        <v>maomolina@hotmail.com</v>
      </c>
      <c r="J537" s="19" t="str">
        <f>VLOOKUP(A537,'ESTADOS ESTUDIANTES'!B:L,10,0)</f>
        <v>CC</v>
      </c>
      <c r="K537" s="19">
        <f>VLOOKUP(A537,'ESTADOS ESTUDIANTES'!B:L,11,0)</f>
        <v>80926416</v>
      </c>
      <c r="L537" s="19">
        <v>3103009560</v>
      </c>
      <c r="M537" s="20">
        <v>31228</v>
      </c>
      <c r="N537" s="22"/>
      <c r="O537" s="15"/>
      <c r="P537" s="15"/>
      <c r="Q537" s="15"/>
      <c r="R537" s="15"/>
      <c r="S537" s="15"/>
      <c r="T537" s="15"/>
      <c r="U537" s="15"/>
    </row>
    <row r="538" spans="1:21" ht="90">
      <c r="A538" s="17">
        <v>20102195005</v>
      </c>
      <c r="B538" s="19" t="str">
        <f>VLOOKUP(A538,'ESTADOS ESTUDIANTES'!B:L,2,0)</f>
        <v>NIÑO PALACIOS LUIS EDUARDO</v>
      </c>
      <c r="C538" s="19">
        <f>VLOOKUP(A538,'ESTADOS ESTUDIANTES'!B:L,3,0)</f>
        <v>195</v>
      </c>
      <c r="D538" s="66" t="str">
        <f>VLOOKUP(A538,'ESTADOS ESTUDIANTES'!B:L,4,0)</f>
        <v>MAE. EN CIENCIAS DE LA INF. Y LAS COMUNICACIONES ENFASIS EN TELEINF.</v>
      </c>
      <c r="E538" s="19" t="str">
        <f>VLOOKUP(A538,'ESTADOS ESTUDIANTES'!B:L,5,0)</f>
        <v>X</v>
      </c>
      <c r="F538" s="18" t="str">
        <f>VLOOKUP(E538,Listas!B1:C1004,2,0)</f>
        <v>EXCLUIDO</v>
      </c>
      <c r="G538" s="19">
        <f>VLOOKUP(A538,'ESTADOS ESTUDIANTES'!B:L,7,0)</f>
        <v>1</v>
      </c>
      <c r="H538" s="19" t="str">
        <f>VLOOKUP(A538,'ESTADOS ESTUDIANTES'!B:L,8,0)</f>
        <v>leninop@correo.udistrital.edu.co</v>
      </c>
      <c r="I538" s="70" t="str">
        <f>VLOOKUP(A538,'ESTADOS ESTUDIANTES'!B:L,9,0)</f>
        <v>eduardnin@yahoo.com</v>
      </c>
      <c r="J538" s="19" t="str">
        <f>VLOOKUP(A538,'ESTADOS ESTUDIANTES'!B:L,10,0)</f>
        <v>CC</v>
      </c>
      <c r="K538" s="19">
        <f>VLOOKUP(A538,'ESTADOS ESTUDIANTES'!B:L,11,0)</f>
        <v>79323429</v>
      </c>
      <c r="L538" s="23"/>
      <c r="M538" s="20"/>
      <c r="N538" s="22"/>
      <c r="O538" s="15"/>
      <c r="P538" s="15"/>
      <c r="Q538" s="15"/>
      <c r="R538" s="15"/>
      <c r="S538" s="15"/>
      <c r="T538" s="15"/>
      <c r="U538" s="15"/>
    </row>
    <row r="539" spans="1:21" ht="90">
      <c r="A539" s="17">
        <v>20102195006</v>
      </c>
      <c r="B539" s="19" t="str">
        <f>VLOOKUP(A539,'ESTADOS ESTUDIANTES'!B:L,2,0)</f>
        <v>HERNANDEZ GUERRERO LUIS ENRIQUE</v>
      </c>
      <c r="C539" s="19">
        <f>VLOOKUP(A539,'ESTADOS ESTUDIANTES'!B:L,3,0)</f>
        <v>195</v>
      </c>
      <c r="D539" s="66" t="str">
        <f>VLOOKUP(A539,'ESTADOS ESTUDIANTES'!B:L,4,0)</f>
        <v>MAE. EN CIENCIAS DE LA INF. Y LAS COMUNICACIONES ENFASIS EN TELEINF.</v>
      </c>
      <c r="E539" s="19" t="str">
        <f>VLOOKUP(A539,'ESTADOS ESTUDIANTES'!B:L,5,0)</f>
        <v>X</v>
      </c>
      <c r="F539" s="18" t="str">
        <f>VLOOKUP(E539,Listas!B1:C1004,2,0)</f>
        <v>EXCLUIDO</v>
      </c>
      <c r="G539" s="19">
        <f>VLOOKUP(A539,'ESTADOS ESTUDIANTES'!B:L,7,0)</f>
        <v>1</v>
      </c>
      <c r="H539" s="19" t="str">
        <f>VLOOKUP(A539,'ESTADOS ESTUDIANTES'!B:L,8,0)</f>
        <v>lehernandezg@correo.udistrital.edu.co</v>
      </c>
      <c r="I539" s="70" t="str">
        <f>VLOOKUP(A539,'ESTADOS ESTUDIANTES'!B:L,9,0)</f>
        <v>negrolehg@gmail.com</v>
      </c>
      <c r="J539" s="19" t="str">
        <f>VLOOKUP(A539,'ESTADOS ESTUDIANTES'!B:L,10,0)</f>
        <v>CC</v>
      </c>
      <c r="K539" s="19">
        <f>VLOOKUP(A539,'ESTADOS ESTUDIANTES'!B:L,11,0)</f>
        <v>80028934</v>
      </c>
      <c r="L539" s="23"/>
      <c r="M539" s="20"/>
      <c r="N539" s="22"/>
      <c r="O539" s="15"/>
      <c r="P539" s="15"/>
      <c r="Q539" s="15"/>
      <c r="R539" s="15"/>
      <c r="S539" s="15"/>
      <c r="T539" s="15"/>
      <c r="U539" s="15"/>
    </row>
    <row r="540" spans="1:21" ht="90">
      <c r="A540" s="17">
        <v>20102195007</v>
      </c>
      <c r="B540" s="19" t="str">
        <f>VLOOKUP(A540,'ESTADOS ESTUDIANTES'!B:L,2,0)</f>
        <v>CASTILLO MEDINA CARLOS ARTURO</v>
      </c>
      <c r="C540" s="19">
        <f>VLOOKUP(A540,'ESTADOS ESTUDIANTES'!B:L,3,0)</f>
        <v>195</v>
      </c>
      <c r="D540" s="66" t="str">
        <f>VLOOKUP(A540,'ESTADOS ESTUDIANTES'!B:L,4,0)</f>
        <v>MAE. EN CIENCIAS DE LA INF. Y LAS COMUNICACIONES ENFASIS EN TELEINF.</v>
      </c>
      <c r="E540" s="19" t="str">
        <f>VLOOKUP(A540,'ESTADOS ESTUDIANTES'!B:L,5,0)</f>
        <v>X</v>
      </c>
      <c r="F540" s="18" t="str">
        <f>VLOOKUP(E540,Listas!B1:C1004,2,0)</f>
        <v>EXCLUIDO</v>
      </c>
      <c r="G540" s="19">
        <f>VLOOKUP(A540,'ESTADOS ESTUDIANTES'!B:L,7,0)</f>
        <v>1</v>
      </c>
      <c r="H540" s="19" t="str">
        <f>VLOOKUP(A540,'ESTADOS ESTUDIANTES'!B:L,8,0)</f>
        <v>cacastillom@correo.udistrital.edu.co</v>
      </c>
      <c r="I540" s="70" t="str">
        <f>VLOOKUP(A540,'ESTADOS ESTUDIANTES'!B:L,9,0)</f>
        <v>cacm.castillo@gmail.com</v>
      </c>
      <c r="J540" s="19" t="str">
        <f>VLOOKUP(A540,'ESTADOS ESTUDIANTES'!B:L,10,0)</f>
        <v>CC</v>
      </c>
      <c r="K540" s="19">
        <f>VLOOKUP(A540,'ESTADOS ESTUDIANTES'!B:L,11,0)</f>
        <v>79409295</v>
      </c>
      <c r="L540" s="23"/>
      <c r="M540" s="20"/>
      <c r="N540" s="22"/>
      <c r="O540" s="15"/>
      <c r="P540" s="15"/>
      <c r="Q540" s="15"/>
      <c r="R540" s="15"/>
      <c r="S540" s="15"/>
      <c r="T540" s="15"/>
      <c r="U540" s="15"/>
    </row>
    <row r="541" spans="1:21" ht="90">
      <c r="A541" s="17">
        <v>20102295001</v>
      </c>
      <c r="B541" s="19" t="str">
        <f>VLOOKUP(A541,'ESTADOS ESTUDIANTES'!B:L,2,0)</f>
        <v>DUARTE PACHECO JUAN GABRIEL</v>
      </c>
      <c r="C541" s="19">
        <f>VLOOKUP(A541,'ESTADOS ESTUDIANTES'!B:L,3,0)</f>
        <v>295</v>
      </c>
      <c r="D541" s="66" t="str">
        <f>VLOOKUP(A541,'ESTADOS ESTUDIANTES'!B:L,4,0)</f>
        <v>MAE. EN CIENCIAS DE LA INF. Y LAS COMUNICACIONES ENFASIS EN SIS. INFOR</v>
      </c>
      <c r="E541" s="19" t="str">
        <f>VLOOKUP(A541,'ESTADOS ESTUDIANTES'!B:L,5,0)</f>
        <v>X</v>
      </c>
      <c r="F541" s="18" t="str">
        <f>VLOOKUP(E541,Listas!B1:C1004,2,0)</f>
        <v>EXCLUIDO</v>
      </c>
      <c r="G541" s="19">
        <f>VLOOKUP(A541,'ESTADOS ESTUDIANTES'!B:L,7,0)</f>
        <v>1</v>
      </c>
      <c r="H541" s="19" t="str">
        <f>VLOOKUP(A541,'ESTADOS ESTUDIANTES'!B:L,8,0)</f>
        <v>jgduartep@correo.udistrital.edu.co</v>
      </c>
      <c r="I541" s="70" t="str">
        <f>VLOOKUP(A541,'ESTADOS ESTUDIANTES'!B:L,9,0)</f>
        <v>jugadupa@gmail.com</v>
      </c>
      <c r="J541" s="19" t="str">
        <f>VLOOKUP(A541,'ESTADOS ESTUDIANTES'!B:L,10,0)</f>
        <v>CC</v>
      </c>
      <c r="K541" s="19">
        <f>VLOOKUP(A541,'ESTADOS ESTUDIANTES'!B:L,11,0)</f>
        <v>80816783</v>
      </c>
      <c r="L541" s="23"/>
      <c r="M541" s="20"/>
      <c r="N541" s="22"/>
      <c r="O541" s="15"/>
      <c r="P541" s="15"/>
      <c r="Q541" s="15"/>
      <c r="R541" s="15"/>
      <c r="S541" s="15"/>
      <c r="T541" s="15"/>
      <c r="U541" s="15"/>
    </row>
    <row r="542" spans="1:21" ht="90">
      <c r="A542" s="17">
        <v>20102295002</v>
      </c>
      <c r="B542" s="19" t="str">
        <f>VLOOKUP(A542,'ESTADOS ESTUDIANTES'!B:L,2,0)</f>
        <v>GUZMAN LOZANO JESUS AUGUSTO</v>
      </c>
      <c r="C542" s="19">
        <f>VLOOKUP(A542,'ESTADOS ESTUDIANTES'!B:L,3,0)</f>
        <v>295</v>
      </c>
      <c r="D542" s="66" t="str">
        <f>VLOOKUP(A542,'ESTADOS ESTUDIANTES'!B:L,4,0)</f>
        <v>MAE. EN CIENCIAS DE LA INF. Y LAS COMUNICACIONES ENFASIS EN SIS. INFOR</v>
      </c>
      <c r="E542" s="19" t="str">
        <f>VLOOKUP(A542,'ESTADOS ESTUDIANTES'!B:L,5,0)</f>
        <v>E</v>
      </c>
      <c r="F542" s="18" t="str">
        <f>VLOOKUP(E542,Listas!B1:C1004,2,0)</f>
        <v>EGRESADO</v>
      </c>
      <c r="G542" s="19" t="str">
        <f>VLOOKUP(A542,'ESTADOS ESTUDIANTES'!B:L,7,0)</f>
        <v>NO REGISTRA</v>
      </c>
      <c r="H542" s="19" t="str">
        <f>VLOOKUP(A542,'ESTADOS ESTUDIANTES'!B:L,8,0)</f>
        <v>jaguzmanl@correo.udistrital.edu.co</v>
      </c>
      <c r="I542" s="70" t="str">
        <f>VLOOKUP(A542,'ESTADOS ESTUDIANTES'!B:L,9,0)</f>
        <v>chuchoguzman@hotmail.com</v>
      </c>
      <c r="J542" s="19" t="str">
        <f>VLOOKUP(A542,'ESTADOS ESTUDIANTES'!B:L,10,0)</f>
        <v>CC</v>
      </c>
      <c r="K542" s="19">
        <f>VLOOKUP(A542,'ESTADOS ESTUDIANTES'!B:L,11,0)</f>
        <v>79642558</v>
      </c>
      <c r="L542" s="23"/>
      <c r="M542" s="20"/>
      <c r="N542" s="22"/>
      <c r="O542" s="15"/>
      <c r="P542" s="15"/>
      <c r="Q542" s="15"/>
      <c r="R542" s="15"/>
      <c r="S542" s="15"/>
      <c r="T542" s="15"/>
      <c r="U542" s="15"/>
    </row>
    <row r="543" spans="1:21" ht="90">
      <c r="A543" s="17">
        <v>20102295003</v>
      </c>
      <c r="B543" s="19" t="str">
        <f>VLOOKUP(A543,'ESTADOS ESTUDIANTES'!B:L,2,0)</f>
        <v>MAHECHA SUAREZ GERMAN ANDRES</v>
      </c>
      <c r="C543" s="19">
        <f>VLOOKUP(A543,'ESTADOS ESTUDIANTES'!B:L,3,0)</f>
        <v>295</v>
      </c>
      <c r="D543" s="66" t="str">
        <f>VLOOKUP(A543,'ESTADOS ESTUDIANTES'!B:L,4,0)</f>
        <v>MAE. EN CIENCIAS DE LA INF. Y LAS COMUNICACIONES ENFASIS EN SIS. INFOR</v>
      </c>
      <c r="E543" s="19" t="str">
        <f>VLOOKUP(A543,'ESTADOS ESTUDIANTES'!B:L,5,0)</f>
        <v>X</v>
      </c>
      <c r="F543" s="18" t="str">
        <f>VLOOKUP(E543,Listas!B1:C1004,2,0)</f>
        <v>EXCLUIDO</v>
      </c>
      <c r="G543" s="19" t="str">
        <f>VLOOKUP(A543,'ESTADOS ESTUDIANTES'!B:L,7,0)</f>
        <v>NO REGISTRA</v>
      </c>
      <c r="H543" s="19" t="str">
        <f>VLOOKUP(A543,'ESTADOS ESTUDIANTES'!B:L,8,0)</f>
        <v>gamahechas@correo.udistrital.edu.co</v>
      </c>
      <c r="I543" s="70" t="str">
        <f>VLOOKUP(A543,'ESTADOS ESTUDIANTES'!B:L,9,0)</f>
        <v>gandresmahecha@gmail.com</v>
      </c>
      <c r="J543" s="19" t="str">
        <f>VLOOKUP(A543,'ESTADOS ESTUDIANTES'!B:L,10,0)</f>
        <v>CC</v>
      </c>
      <c r="K543" s="19">
        <f>VLOOKUP(A543,'ESTADOS ESTUDIANTES'!B:L,11,0)</f>
        <v>80818173</v>
      </c>
      <c r="L543" s="23"/>
      <c r="M543" s="20"/>
      <c r="N543" s="22"/>
      <c r="O543" s="15"/>
      <c r="P543" s="15"/>
      <c r="Q543" s="15"/>
      <c r="R543" s="15"/>
      <c r="S543" s="15"/>
      <c r="T543" s="15"/>
      <c r="U543" s="15"/>
    </row>
    <row r="544" spans="1:21" ht="90">
      <c r="A544" s="17">
        <v>20102295004</v>
      </c>
      <c r="B544" s="19" t="str">
        <f>VLOOKUP(A544,'ESTADOS ESTUDIANTES'!B:L,2,0)</f>
        <v>MORENO BEDOYA IVONNE JANETH</v>
      </c>
      <c r="C544" s="19">
        <f>VLOOKUP(A544,'ESTADOS ESTUDIANTES'!B:L,3,0)</f>
        <v>295</v>
      </c>
      <c r="D544" s="66" t="str">
        <f>VLOOKUP(A544,'ESTADOS ESTUDIANTES'!B:L,4,0)</f>
        <v>MAE. EN CIENCIAS DE LA INF. Y LAS COMUNICACIONES ENFASIS EN SIS. INFOR</v>
      </c>
      <c r="E544" s="19" t="str">
        <f>VLOOKUP(A544,'ESTADOS ESTUDIANTES'!B:L,5,0)</f>
        <v>I</v>
      </c>
      <c r="F544" s="18" t="str">
        <f>VLOOKUP(E544,Listas!B1:C1004,2,0)</f>
        <v>INACTIVO</v>
      </c>
      <c r="G544" s="19">
        <f>VLOOKUP(A544,'ESTADOS ESTUDIANTES'!B:L,7,0)</f>
        <v>1</v>
      </c>
      <c r="H544" s="19" t="str">
        <f>VLOOKUP(A544,'ESTADOS ESTUDIANTES'!B:L,8,0)</f>
        <v>ivjmorenob@correo.udistrital.edu.co</v>
      </c>
      <c r="I544" s="70" t="str">
        <f>VLOOKUP(A544,'ESTADOS ESTUDIANTES'!B:L,9,0)</f>
        <v>ijmorenob@gmail.com</v>
      </c>
      <c r="J544" s="19" t="str">
        <f>VLOOKUP(A544,'ESTADOS ESTUDIANTES'!B:L,10,0)</f>
        <v>CC</v>
      </c>
      <c r="K544" s="19">
        <f>VLOOKUP(A544,'ESTADOS ESTUDIANTES'!B:L,11,0)</f>
        <v>52737963</v>
      </c>
      <c r="L544" s="21"/>
      <c r="M544" s="20"/>
      <c r="N544" s="22"/>
      <c r="O544" s="15"/>
      <c r="P544" s="15"/>
      <c r="Q544" s="15"/>
      <c r="R544" s="15"/>
      <c r="S544" s="15"/>
      <c r="T544" s="15"/>
      <c r="U544" s="15"/>
    </row>
    <row r="545" spans="1:21" ht="90">
      <c r="A545" s="17">
        <v>20102295005</v>
      </c>
      <c r="B545" s="19" t="str">
        <f>VLOOKUP(A545,'ESTADOS ESTUDIANTES'!B:L,2,0)</f>
        <v>OLARTE RAMOS JULIAN YEZID</v>
      </c>
      <c r="C545" s="19">
        <f>VLOOKUP(A545,'ESTADOS ESTUDIANTES'!B:L,3,0)</f>
        <v>295</v>
      </c>
      <c r="D545" s="66" t="str">
        <f>VLOOKUP(A545,'ESTADOS ESTUDIANTES'!B:L,4,0)</f>
        <v>MAE. EN CIENCIAS DE LA INF. Y LAS COMUNICACIONES ENFASIS EN SIS. INFOR</v>
      </c>
      <c r="E545" s="19" t="str">
        <f>VLOOKUP(A545,'ESTADOS ESTUDIANTES'!B:L,5,0)</f>
        <v>X</v>
      </c>
      <c r="F545" s="18" t="str">
        <f>VLOOKUP(E545,Listas!B1:C1004,2,0)</f>
        <v>EXCLUIDO</v>
      </c>
      <c r="G545" s="19" t="str">
        <f>VLOOKUP(A545,'ESTADOS ESTUDIANTES'!B:L,7,0)</f>
        <v>NO REGISTRA</v>
      </c>
      <c r="H545" s="19" t="str">
        <f>VLOOKUP(A545,'ESTADOS ESTUDIANTES'!B:L,8,0)</f>
        <v>jyolarter@correo.udistrital.edu.co</v>
      </c>
      <c r="I545" s="70" t="str">
        <f>VLOOKUP(A545,'ESTADOS ESTUDIANTES'!B:L,9,0)</f>
        <v>julian@naturasoftware.com</v>
      </c>
      <c r="J545" s="19" t="str">
        <f>VLOOKUP(A545,'ESTADOS ESTUDIANTES'!B:L,10,0)</f>
        <v>CC</v>
      </c>
      <c r="K545" s="19">
        <f>VLOOKUP(A545,'ESTADOS ESTUDIANTES'!B:L,11,0)</f>
        <v>80724926</v>
      </c>
      <c r="L545" s="23"/>
      <c r="M545" s="20"/>
      <c r="N545" s="22"/>
      <c r="O545" s="15"/>
      <c r="P545" s="15"/>
      <c r="Q545" s="15"/>
      <c r="R545" s="15"/>
      <c r="S545" s="15"/>
      <c r="T545" s="15"/>
      <c r="U545" s="15"/>
    </row>
    <row r="546" spans="1:21" ht="90">
      <c r="A546" s="17">
        <v>20102295006</v>
      </c>
      <c r="B546" s="19" t="str">
        <f>VLOOKUP(A546,'ESTADOS ESTUDIANTES'!B:L,2,0)</f>
        <v>PEÑA SUAREZ ALFONSO</v>
      </c>
      <c r="C546" s="19">
        <f>VLOOKUP(A546,'ESTADOS ESTUDIANTES'!B:L,3,0)</f>
        <v>295</v>
      </c>
      <c r="D546" s="66" t="str">
        <f>VLOOKUP(A546,'ESTADOS ESTUDIANTES'!B:L,4,0)</f>
        <v>MAE. EN CIENCIAS DE LA INF. Y LAS COMUNICACIONES ENFASIS EN SIS. INFOR</v>
      </c>
      <c r="E546" s="19" t="str">
        <f>VLOOKUP(A546,'ESTADOS ESTUDIANTES'!B:L,5,0)</f>
        <v>E</v>
      </c>
      <c r="F546" s="18" t="str">
        <f>VLOOKUP(E546,Listas!B1:C1004,2,0)</f>
        <v>EGRESADO</v>
      </c>
      <c r="G546" s="19" t="str">
        <f>VLOOKUP(A546,'ESTADOS ESTUDIANTES'!B:L,7,0)</f>
        <v>NO REGISTRA</v>
      </c>
      <c r="H546" s="19">
        <f>VLOOKUP(A546,'ESTADOS ESTUDIANTES'!B:L,8,0)</f>
        <v>0</v>
      </c>
      <c r="I546" s="70" t="str">
        <f>VLOOKUP(A546,'ESTADOS ESTUDIANTES'!B:L,9,0)</f>
        <v>alfonsopena00@gmail.com</v>
      </c>
      <c r="J546" s="19" t="str">
        <f>VLOOKUP(A546,'ESTADOS ESTUDIANTES'!B:L,10,0)</f>
        <v>CC</v>
      </c>
      <c r="K546" s="19">
        <f>VLOOKUP(A546,'ESTADOS ESTUDIANTES'!B:L,11,0)</f>
        <v>19325907</v>
      </c>
      <c r="L546" s="23"/>
      <c r="M546" s="20"/>
      <c r="N546" s="22"/>
      <c r="O546" s="15"/>
      <c r="P546" s="15"/>
      <c r="Q546" s="15"/>
      <c r="R546" s="15"/>
      <c r="S546" s="15"/>
      <c r="T546" s="15"/>
      <c r="U546" s="15"/>
    </row>
    <row r="547" spans="1:21" ht="90">
      <c r="A547" s="17">
        <v>20111195001</v>
      </c>
      <c r="B547" s="19" t="str">
        <f>VLOOKUP(A547,'ESTADOS ESTUDIANTES'!B:L,2,0)</f>
        <v>BACCA QUIROGA DIANA CAROLINA</v>
      </c>
      <c r="C547" s="19">
        <f>VLOOKUP(A547,'ESTADOS ESTUDIANTES'!B:L,3,0)</f>
        <v>195</v>
      </c>
      <c r="D547" s="66" t="str">
        <f>VLOOKUP(A547,'ESTADOS ESTUDIANTES'!B:L,4,0)</f>
        <v>MAE. EN CIENCIAS DE LA INF. Y LAS COMUNICACIONES ENFASIS EN TELEINF.</v>
      </c>
      <c r="E547" s="19" t="str">
        <f>VLOOKUP(A547,'ESTADOS ESTUDIANTES'!B:L,5,0)</f>
        <v>X</v>
      </c>
      <c r="F547" s="18" t="str">
        <f>VLOOKUP(E547,Listas!B1:C1004,2,0)</f>
        <v>EXCLUIDO</v>
      </c>
      <c r="G547" s="19">
        <f>VLOOKUP(A547,'ESTADOS ESTUDIANTES'!B:L,7,0)</f>
        <v>1</v>
      </c>
      <c r="H547" s="19" t="str">
        <f>VLOOKUP(A547,'ESTADOS ESTUDIANTES'!B:L,8,0)</f>
        <v>dcbaccaq@correo.udistrital.edu.co</v>
      </c>
      <c r="I547" s="70" t="str">
        <f>VLOOKUP(A547,'ESTADOS ESTUDIANTES'!B:L,9,0)</f>
        <v>dcarobacca@yahoo.es</v>
      </c>
      <c r="J547" s="19" t="str">
        <f>VLOOKUP(A547,'ESTADOS ESTUDIANTES'!B:L,10,0)</f>
        <v>CC</v>
      </c>
      <c r="K547" s="19">
        <f>VLOOKUP(A547,'ESTADOS ESTUDIANTES'!B:L,11,0)</f>
        <v>1024464245</v>
      </c>
      <c r="L547" s="23"/>
      <c r="M547" s="20"/>
      <c r="N547" s="22"/>
      <c r="O547" s="15"/>
      <c r="P547" s="15"/>
      <c r="Q547" s="15"/>
      <c r="R547" s="15"/>
      <c r="S547" s="15"/>
      <c r="T547" s="15"/>
      <c r="U547" s="15"/>
    </row>
    <row r="548" spans="1:21" ht="90">
      <c r="A548" s="17">
        <v>20111195002</v>
      </c>
      <c r="B548" s="19" t="str">
        <f>VLOOKUP(A548,'ESTADOS ESTUDIANTES'!B:L,2,0)</f>
        <v>GOMEZ FIGUEROA MAURICIO ALEJANDRO</v>
      </c>
      <c r="C548" s="19">
        <f>VLOOKUP(A548,'ESTADOS ESTUDIANTES'!B:L,3,0)</f>
        <v>195</v>
      </c>
      <c r="D548" s="66" t="str">
        <f>VLOOKUP(A548,'ESTADOS ESTUDIANTES'!B:L,4,0)</f>
        <v>MAE. EN CIENCIAS DE LA INF. Y LAS COMUNICACIONES ENFASIS EN TELEINF.</v>
      </c>
      <c r="E548" s="19" t="str">
        <f>VLOOKUP(A548,'ESTADOS ESTUDIANTES'!B:L,5,0)</f>
        <v>X</v>
      </c>
      <c r="F548" s="18" t="str">
        <f>VLOOKUP(E548,Listas!B1:C1004,2,0)</f>
        <v>EXCLUIDO</v>
      </c>
      <c r="G548" s="19">
        <f>VLOOKUP(A548,'ESTADOS ESTUDIANTES'!B:L,7,0)</f>
        <v>3</v>
      </c>
      <c r="H548" s="19" t="str">
        <f>VLOOKUP(A548,'ESTADOS ESTUDIANTES'!B:L,8,0)</f>
        <v>maagomezf@correo.udistrital.edu.co</v>
      </c>
      <c r="I548" s="70" t="str">
        <f>VLOOKUP(A548,'ESTADOS ESTUDIANTES'!B:L,9,0)</f>
        <v>mauricioagf1@hotmail.com</v>
      </c>
      <c r="J548" s="19" t="str">
        <f>VLOOKUP(A548,'ESTADOS ESTUDIANTES'!B:L,10,0)</f>
        <v>CC</v>
      </c>
      <c r="K548" s="19">
        <f>VLOOKUP(A548,'ESTADOS ESTUDIANTES'!B:L,11,0)</f>
        <v>80802407</v>
      </c>
      <c r="L548" s="23"/>
      <c r="M548" s="20"/>
      <c r="N548" s="22"/>
      <c r="O548" s="15"/>
      <c r="P548" s="15"/>
      <c r="Q548" s="15"/>
      <c r="R548" s="15"/>
      <c r="S548" s="15"/>
      <c r="T548" s="15"/>
      <c r="U548" s="15"/>
    </row>
    <row r="549" spans="1:21" ht="90">
      <c r="A549" s="17">
        <v>20111195003</v>
      </c>
      <c r="B549" s="19" t="str">
        <f>VLOOKUP(A549,'ESTADOS ESTUDIANTES'!B:L,2,0)</f>
        <v>HIGUERA CASTRO GUSTAVO ADOLFO</v>
      </c>
      <c r="C549" s="19">
        <f>VLOOKUP(A549,'ESTADOS ESTUDIANTES'!B:L,3,0)</f>
        <v>195</v>
      </c>
      <c r="D549" s="66" t="str">
        <f>VLOOKUP(A549,'ESTADOS ESTUDIANTES'!B:L,4,0)</f>
        <v>MAE. EN CIENCIAS DE LA INF. Y LAS COMUNICACIONES ENFASIS EN TELEINF.</v>
      </c>
      <c r="E549" s="19" t="str">
        <f>VLOOKUP(A549,'ESTADOS ESTUDIANTES'!B:L,5,0)</f>
        <v>E</v>
      </c>
      <c r="F549" s="18" t="str">
        <f>VLOOKUP(E549,Listas!B1:C1004,2,0)</f>
        <v>EGRESADO</v>
      </c>
      <c r="G549" s="19">
        <f>VLOOKUP(A549,'ESTADOS ESTUDIANTES'!B:L,7,0)</f>
        <v>1</v>
      </c>
      <c r="H549" s="19" t="str">
        <f>VLOOKUP(A549,'ESTADOS ESTUDIANTES'!B:L,8,0)</f>
        <v>gahiguerac@correo.udistrital.edu.co</v>
      </c>
      <c r="I549" s="70" t="str">
        <f>VLOOKUP(A549,'ESTADOS ESTUDIANTES'!B:L,9,0)</f>
        <v>gustavohigcas@yahoo.es</v>
      </c>
      <c r="J549" s="19" t="str">
        <f>VLOOKUP(A549,'ESTADOS ESTUDIANTES'!B:L,10,0)</f>
        <v>CC</v>
      </c>
      <c r="K549" s="19">
        <f>VLOOKUP(A549,'ESTADOS ESTUDIANTES'!B:L,11,0)</f>
        <v>1024461077</v>
      </c>
      <c r="L549" s="23"/>
      <c r="M549" s="20"/>
      <c r="N549" s="22"/>
      <c r="O549" s="15"/>
      <c r="P549" s="15"/>
      <c r="Q549" s="15"/>
      <c r="R549" s="15"/>
      <c r="S549" s="15"/>
      <c r="T549" s="15"/>
      <c r="U549" s="15"/>
    </row>
    <row r="550" spans="1:21" ht="90">
      <c r="A550" s="17">
        <v>20111195004</v>
      </c>
      <c r="B550" s="19" t="str">
        <f>VLOOKUP(A550,'ESTADOS ESTUDIANTES'!B:L,2,0)</f>
        <v>LOPEZ SANCHEZ DUSTY JOSE</v>
      </c>
      <c r="C550" s="19">
        <f>VLOOKUP(A550,'ESTADOS ESTUDIANTES'!B:L,3,0)</f>
        <v>195</v>
      </c>
      <c r="D550" s="66" t="str">
        <f>VLOOKUP(A550,'ESTADOS ESTUDIANTES'!B:L,4,0)</f>
        <v>MAE. EN CIENCIAS DE LA INF. Y LAS COMUNICACIONES ENFASIS EN TELEINF.</v>
      </c>
      <c r="E550" s="19" t="str">
        <f>VLOOKUP(A550,'ESTADOS ESTUDIANTES'!B:L,5,0)</f>
        <v>X</v>
      </c>
      <c r="F550" s="18" t="str">
        <f>VLOOKUP(E550,Listas!B1:C1004,2,0)</f>
        <v>EXCLUIDO</v>
      </c>
      <c r="G550" s="19" t="str">
        <f>VLOOKUP(A550,'ESTADOS ESTUDIANTES'!B:L,7,0)</f>
        <v>NO REGISTRA</v>
      </c>
      <c r="H550" s="19" t="str">
        <f>VLOOKUP(A550,'ESTADOS ESTUDIANTES'!B:L,8,0)</f>
        <v>dujlopezs@correo.udistrital.edu.co</v>
      </c>
      <c r="I550" s="70" t="str">
        <f>VLOOKUP(A550,'ESTADOS ESTUDIANTES'!B:L,9,0)</f>
        <v>dujlopezs@correo.udistrital.edu.co</v>
      </c>
      <c r="J550" s="19" t="str">
        <f>VLOOKUP(A550,'ESTADOS ESTUDIANTES'!B:L,10,0)</f>
        <v>CC</v>
      </c>
      <c r="K550" s="19">
        <f>VLOOKUP(A550,'ESTADOS ESTUDIANTES'!B:L,11,0)</f>
        <v>80136877</v>
      </c>
      <c r="L550" s="23"/>
      <c r="M550" s="20"/>
      <c r="N550" s="22"/>
      <c r="O550" s="15"/>
      <c r="P550" s="15"/>
      <c r="Q550" s="15"/>
      <c r="R550" s="15"/>
      <c r="S550" s="15"/>
      <c r="T550" s="15"/>
      <c r="U550" s="15"/>
    </row>
    <row r="551" spans="1:21" ht="90">
      <c r="A551" s="17">
        <v>20111195005</v>
      </c>
      <c r="B551" s="19" t="str">
        <f>VLOOKUP(A551,'ESTADOS ESTUDIANTES'!B:L,2,0)</f>
        <v>MARTINEZ ALAYON CARLOS ANDRES</v>
      </c>
      <c r="C551" s="19">
        <f>VLOOKUP(A551,'ESTADOS ESTUDIANTES'!B:L,3,0)</f>
        <v>195</v>
      </c>
      <c r="D551" s="66" t="str">
        <f>VLOOKUP(A551,'ESTADOS ESTUDIANTES'!B:L,4,0)</f>
        <v>MAE. EN CIENCIAS DE LA INF. Y LAS COMUNICACIONES ENFASIS EN TELEINF.</v>
      </c>
      <c r="E551" s="19" t="str">
        <f>VLOOKUP(A551,'ESTADOS ESTUDIANTES'!B:L,5,0)</f>
        <v>E</v>
      </c>
      <c r="F551" s="18" t="str">
        <f>VLOOKUP(E551,Listas!B1:C1004,2,0)</f>
        <v>EGRESADO</v>
      </c>
      <c r="G551" s="19">
        <f>VLOOKUP(A551,'ESTADOS ESTUDIANTES'!B:L,7,0)</f>
        <v>1</v>
      </c>
      <c r="H551" s="19" t="str">
        <f>VLOOKUP(A551,'ESTADOS ESTUDIANTES'!B:L,8,0)</f>
        <v>camartineza@correo.udistrital.edu.co</v>
      </c>
      <c r="I551" s="70" t="str">
        <f>VLOOKUP(A551,'ESTADOS ESTUDIANTES'!B:L,9,0)</f>
        <v>carlosm563@gmail.com</v>
      </c>
      <c r="J551" s="19" t="str">
        <f>VLOOKUP(A551,'ESTADOS ESTUDIANTES'!B:L,10,0)</f>
        <v>CC</v>
      </c>
      <c r="K551" s="19">
        <f>VLOOKUP(A551,'ESTADOS ESTUDIANTES'!B:L,11,0)</f>
        <v>11223363</v>
      </c>
      <c r="L551" s="23"/>
      <c r="M551" s="20"/>
      <c r="N551" s="22"/>
      <c r="O551" s="15"/>
      <c r="P551" s="15"/>
      <c r="Q551" s="15"/>
      <c r="R551" s="15"/>
      <c r="S551" s="15"/>
      <c r="T551" s="15"/>
      <c r="U551" s="15"/>
    </row>
    <row r="552" spans="1:21" ht="90">
      <c r="A552" s="17">
        <v>20111195006</v>
      </c>
      <c r="B552" s="19" t="str">
        <f>VLOOKUP(A552,'ESTADOS ESTUDIANTES'!B:L,2,0)</f>
        <v>SUAREZ ROLDAN MONICA YULIETH</v>
      </c>
      <c r="C552" s="19">
        <f>VLOOKUP(A552,'ESTADOS ESTUDIANTES'!B:L,3,0)</f>
        <v>195</v>
      </c>
      <c r="D552" s="66" t="str">
        <f>VLOOKUP(A552,'ESTADOS ESTUDIANTES'!B:L,4,0)</f>
        <v>MAE. EN CIENCIAS DE LA INF. Y LAS COMUNICACIONES ENFASIS EN TELEINF.</v>
      </c>
      <c r="E552" s="19" t="str">
        <f>VLOOKUP(A552,'ESTADOS ESTUDIANTES'!B:L,5,0)</f>
        <v>X</v>
      </c>
      <c r="F552" s="18" t="str">
        <f>VLOOKUP(E552,Listas!B1:C1004,2,0)</f>
        <v>EXCLUIDO</v>
      </c>
      <c r="G552" s="19" t="str">
        <f>VLOOKUP(A552,'ESTADOS ESTUDIANTES'!B:L,7,0)</f>
        <v>NO REGISTRA</v>
      </c>
      <c r="H552" s="19" t="str">
        <f>VLOOKUP(A552,'ESTADOS ESTUDIANTES'!B:L,8,0)</f>
        <v>mysuarezr@correo.udistrital.edu.co</v>
      </c>
      <c r="I552" s="70" t="str">
        <f>VLOOKUP(A552,'ESTADOS ESTUDIANTES'!B:L,9,0)</f>
        <v>mysuarezr@correo.udistrital.edu.co</v>
      </c>
      <c r="J552" s="19" t="str">
        <f>VLOOKUP(A552,'ESTADOS ESTUDIANTES'!B:L,10,0)</f>
        <v>CC</v>
      </c>
      <c r="K552" s="19">
        <f>VLOOKUP(A552,'ESTADOS ESTUDIANTES'!B:L,11,0)</f>
        <v>1110446336</v>
      </c>
      <c r="L552" s="23"/>
      <c r="M552" s="20"/>
      <c r="N552" s="22"/>
      <c r="O552" s="15"/>
      <c r="P552" s="15"/>
      <c r="Q552" s="15"/>
      <c r="R552" s="15"/>
      <c r="S552" s="15"/>
      <c r="T552" s="15"/>
      <c r="U552" s="15"/>
    </row>
    <row r="553" spans="1:21" ht="90">
      <c r="A553" s="17">
        <v>20111195007</v>
      </c>
      <c r="B553" s="19" t="str">
        <f>VLOOKUP(A553,'ESTADOS ESTUDIANTES'!B:L,2,0)</f>
        <v>VELASQUEZ ROMERO NIRIYINETH HAXBLEIDY</v>
      </c>
      <c r="C553" s="19">
        <f>VLOOKUP(A553,'ESTADOS ESTUDIANTES'!B:L,3,0)</f>
        <v>195</v>
      </c>
      <c r="D553" s="66" t="str">
        <f>VLOOKUP(A553,'ESTADOS ESTUDIANTES'!B:L,4,0)</f>
        <v>MAE. EN CIENCIAS DE LA INF. Y LAS COMUNICACIONES ENFASIS EN TELEINF.</v>
      </c>
      <c r="E553" s="19" t="str">
        <f>VLOOKUP(A553,'ESTADOS ESTUDIANTES'!B:L,5,0)</f>
        <v>E</v>
      </c>
      <c r="F553" s="18" t="str">
        <f>VLOOKUP(E553,Listas!B1:C1004,2,0)</f>
        <v>EGRESADO</v>
      </c>
      <c r="G553" s="19">
        <f>VLOOKUP(A553,'ESTADOS ESTUDIANTES'!B:L,7,0)</f>
        <v>1</v>
      </c>
      <c r="H553" s="19" t="str">
        <f>VLOOKUP(A553,'ESTADOS ESTUDIANTES'!B:L,8,0)</f>
        <v>nhvelasquezr@correo.udistrital.edu.co</v>
      </c>
      <c r="I553" s="70" t="str">
        <f>VLOOKUP(A553,'ESTADOS ESTUDIANTES'!B:L,9,0)</f>
        <v>niriyineth@live.com.ar</v>
      </c>
      <c r="J553" s="19" t="str">
        <f>VLOOKUP(A553,'ESTADOS ESTUDIANTES'!B:L,10,0)</f>
        <v>CC</v>
      </c>
      <c r="K553" s="19">
        <f>VLOOKUP(A553,'ESTADOS ESTUDIANTES'!B:L,11,0)</f>
        <v>40340112</v>
      </c>
      <c r="L553" s="23"/>
      <c r="M553" s="20"/>
      <c r="N553" s="22"/>
      <c r="O553" s="15"/>
      <c r="P553" s="15"/>
      <c r="Q553" s="15"/>
      <c r="R553" s="15"/>
      <c r="S553" s="15"/>
      <c r="T553" s="15"/>
      <c r="U553" s="15"/>
    </row>
    <row r="554" spans="1:21" ht="90">
      <c r="A554" s="17">
        <v>20111295001</v>
      </c>
      <c r="B554" s="19" t="str">
        <f>VLOOKUP(A554,'ESTADOS ESTUDIANTES'!B:L,2,0)</f>
        <v>BELTRAN VARGAS JUAN CARLOS</v>
      </c>
      <c r="C554" s="19">
        <f>VLOOKUP(A554,'ESTADOS ESTUDIANTES'!B:L,3,0)</f>
        <v>295</v>
      </c>
      <c r="D554" s="66" t="str">
        <f>VLOOKUP(A554,'ESTADOS ESTUDIANTES'!B:L,4,0)</f>
        <v>MAE. EN CIENCIAS DE LA INF. Y LAS COMUNICACIONES ENFASIS EN SIS. INFOR</v>
      </c>
      <c r="E554" s="19" t="str">
        <f>VLOOKUP(A554,'ESTADOS ESTUDIANTES'!B:L,5,0)</f>
        <v>X</v>
      </c>
      <c r="F554" s="18" t="str">
        <f>VLOOKUP(E554,Listas!B1:C1004,2,0)</f>
        <v>EXCLUIDO</v>
      </c>
      <c r="G554" s="19" t="str">
        <f>VLOOKUP(A554,'ESTADOS ESTUDIANTES'!B:L,7,0)</f>
        <v>NO REGISTRA</v>
      </c>
      <c r="H554" s="19" t="str">
        <f>VLOOKUP(A554,'ESTADOS ESTUDIANTES'!B:L,8,0)</f>
        <v>jcbeltranv@correo.udistrital.edu.co</v>
      </c>
      <c r="I554" s="70" t="str">
        <f>VLOOKUP(A554,'ESTADOS ESTUDIANTES'!B:L,9,0)</f>
        <v>beltrancito@gmail.com</v>
      </c>
      <c r="J554" s="19" t="str">
        <f>VLOOKUP(A554,'ESTADOS ESTUDIANTES'!B:L,10,0)</f>
        <v>CC</v>
      </c>
      <c r="K554" s="19">
        <f>VLOOKUP(A554,'ESTADOS ESTUDIANTES'!B:L,11,0)</f>
        <v>1022324022</v>
      </c>
      <c r="L554" s="23"/>
      <c r="M554" s="20"/>
      <c r="N554" s="22"/>
      <c r="O554" s="15"/>
      <c r="P554" s="15"/>
      <c r="Q554" s="15"/>
      <c r="R554" s="15"/>
      <c r="S554" s="15"/>
      <c r="T554" s="15"/>
      <c r="U554" s="15"/>
    </row>
    <row r="555" spans="1:21" ht="90">
      <c r="A555" s="17">
        <v>20111295002</v>
      </c>
      <c r="B555" s="19" t="str">
        <f>VLOOKUP(A555,'ESTADOS ESTUDIANTES'!B:L,2,0)</f>
        <v>CASTAÑEDA SUA JEYMMI JOHANNA</v>
      </c>
      <c r="C555" s="19">
        <f>VLOOKUP(A555,'ESTADOS ESTUDIANTES'!B:L,3,0)</f>
        <v>295</v>
      </c>
      <c r="D555" s="66" t="str">
        <f>VLOOKUP(A555,'ESTADOS ESTUDIANTES'!B:L,4,0)</f>
        <v>MAE. EN CIENCIAS DE LA INF. Y LAS COMUNICACIONES ENFASIS EN SIS. INFOR</v>
      </c>
      <c r="E555" s="19" t="str">
        <f>VLOOKUP(A555,'ESTADOS ESTUDIANTES'!B:L,5,0)</f>
        <v>E</v>
      </c>
      <c r="F555" s="18" t="str">
        <f>VLOOKUP(E555,Listas!B1:C1004,2,0)</f>
        <v>EGRESADO</v>
      </c>
      <c r="G555" s="19" t="str">
        <f>VLOOKUP(A555,'ESTADOS ESTUDIANTES'!B:L,7,0)</f>
        <v>NO REGISTRA</v>
      </c>
      <c r="H555" s="19" t="str">
        <f>VLOOKUP(A555,'ESTADOS ESTUDIANTES'!B:L,8,0)</f>
        <v>jjcastanedas@correo.udistrital.edu.co</v>
      </c>
      <c r="I555" s="70" t="str">
        <f>VLOOKUP(A555,'ESTADOS ESTUDIANTES'!B:L,9,0)</f>
        <v>jejosua@gmail.com</v>
      </c>
      <c r="J555" s="19" t="str">
        <f>VLOOKUP(A555,'ESTADOS ESTUDIANTES'!B:L,10,0)</f>
        <v>CC</v>
      </c>
      <c r="K555" s="19">
        <f>VLOOKUP(A555,'ESTADOS ESTUDIANTES'!B:L,11,0)</f>
        <v>52984966</v>
      </c>
      <c r="L555" s="23"/>
      <c r="M555" s="20"/>
      <c r="N555" s="22"/>
      <c r="O555" s="15"/>
      <c r="P555" s="15"/>
      <c r="Q555" s="15"/>
      <c r="R555" s="15"/>
      <c r="S555" s="15"/>
      <c r="T555" s="15"/>
      <c r="U555" s="15"/>
    </row>
    <row r="556" spans="1:21" ht="90">
      <c r="A556" s="17">
        <v>20111295003</v>
      </c>
      <c r="B556" s="19" t="str">
        <f>VLOOKUP(A556,'ESTADOS ESTUDIANTES'!B:L,2,0)</f>
        <v>MUÑOZ SANCHEZ LAURA TERESA</v>
      </c>
      <c r="C556" s="19">
        <f>VLOOKUP(A556,'ESTADOS ESTUDIANTES'!B:L,3,0)</f>
        <v>295</v>
      </c>
      <c r="D556" s="66" t="str">
        <f>VLOOKUP(A556,'ESTADOS ESTUDIANTES'!B:L,4,0)</f>
        <v>MAE. EN CIENCIAS DE LA INF. Y LAS COMUNICACIONES ENFASIS EN SIS. INFOR</v>
      </c>
      <c r="E556" s="19" t="str">
        <f>VLOOKUP(A556,'ESTADOS ESTUDIANTES'!B:L,5,0)</f>
        <v>X</v>
      </c>
      <c r="F556" s="18" t="str">
        <f>VLOOKUP(E556,Listas!B1:C1004,2,0)</f>
        <v>EXCLUIDO</v>
      </c>
      <c r="G556" s="19">
        <f>VLOOKUP(A556,'ESTADOS ESTUDIANTES'!B:L,7,0)</f>
        <v>1</v>
      </c>
      <c r="H556" s="19" t="str">
        <f>VLOOKUP(A556,'ESTADOS ESTUDIANTES'!B:L,8,0)</f>
        <v>ltmunozs@correo.udistrital.edu.co</v>
      </c>
      <c r="I556" s="70" t="str">
        <f>VLOOKUP(A556,'ESTADOS ESTUDIANTES'!B:L,9,0)</f>
        <v>inglauramunoz@misena.edu.co</v>
      </c>
      <c r="J556" s="19" t="str">
        <f>VLOOKUP(A556,'ESTADOS ESTUDIANTES'!B:L,10,0)</f>
        <v>CC</v>
      </c>
      <c r="K556" s="19">
        <f>VLOOKUP(A556,'ESTADOS ESTUDIANTES'!B:L,11,0)</f>
        <v>1129575338</v>
      </c>
      <c r="L556" s="23"/>
      <c r="M556" s="20"/>
      <c r="N556" s="22"/>
      <c r="O556" s="15"/>
      <c r="P556" s="15"/>
      <c r="Q556" s="15"/>
      <c r="R556" s="15"/>
      <c r="S556" s="15"/>
      <c r="T556" s="15"/>
      <c r="U556" s="15"/>
    </row>
    <row r="557" spans="1:21" ht="90">
      <c r="A557" s="17">
        <v>20111295004</v>
      </c>
      <c r="B557" s="19" t="str">
        <f>VLOOKUP(A557,'ESTADOS ESTUDIANTES'!B:L,2,0)</f>
        <v>PACHON BALLEN JORGE ELIECER</v>
      </c>
      <c r="C557" s="19">
        <f>VLOOKUP(A557,'ESTADOS ESTUDIANTES'!B:L,3,0)</f>
        <v>295</v>
      </c>
      <c r="D557" s="66" t="str">
        <f>VLOOKUP(A557,'ESTADOS ESTUDIANTES'!B:L,4,0)</f>
        <v>MAE. EN CIENCIAS DE LA INF. Y LAS COMUNICACIONES ENFASIS EN SIS. INFOR</v>
      </c>
      <c r="E557" s="19" t="str">
        <f>VLOOKUP(A557,'ESTADOS ESTUDIANTES'!B:L,5,0)</f>
        <v>X</v>
      </c>
      <c r="F557" s="18" t="str">
        <f>VLOOKUP(E557,Listas!B1:C1004,2,0)</f>
        <v>EXCLUIDO</v>
      </c>
      <c r="G557" s="19" t="str">
        <f>VLOOKUP(A557,'ESTADOS ESTUDIANTES'!B:L,7,0)</f>
        <v>NO REGISTRA</v>
      </c>
      <c r="H557" s="19" t="str">
        <f>VLOOKUP(A557,'ESTADOS ESTUDIANTES'!B:L,8,0)</f>
        <v>joepachonb@correo.udistrital.edu.co</v>
      </c>
      <c r="I557" s="70" t="str">
        <f>VLOOKUP(A557,'ESTADOS ESTUDIANTES'!B:L,9,0)</f>
        <v>jorgepachonballen@yahoo.com</v>
      </c>
      <c r="J557" s="19" t="str">
        <f>VLOOKUP(A557,'ESTADOS ESTUDIANTES'!B:L,10,0)</f>
        <v>CC</v>
      </c>
      <c r="K557" s="19">
        <f>VLOOKUP(A557,'ESTADOS ESTUDIANTES'!B:L,11,0)</f>
        <v>3151525</v>
      </c>
      <c r="L557" s="23"/>
      <c r="M557" s="20"/>
      <c r="N557" s="22"/>
      <c r="O557" s="15"/>
      <c r="P557" s="15"/>
      <c r="Q557" s="15"/>
      <c r="R557" s="15"/>
      <c r="S557" s="15"/>
      <c r="T557" s="15"/>
      <c r="U557" s="15"/>
    </row>
    <row r="558" spans="1:21" ht="90">
      <c r="A558" s="17">
        <v>20111295005</v>
      </c>
      <c r="B558" s="19" t="str">
        <f>VLOOKUP(A558,'ESTADOS ESTUDIANTES'!B:L,2,0)</f>
        <v>PEÑUELA OLMOS DUMAR ALI</v>
      </c>
      <c r="C558" s="19">
        <f>VLOOKUP(A558,'ESTADOS ESTUDIANTES'!B:L,3,0)</f>
        <v>295</v>
      </c>
      <c r="D558" s="66" t="str">
        <f>VLOOKUP(A558,'ESTADOS ESTUDIANTES'!B:L,4,0)</f>
        <v>MAE. EN CIENCIAS DE LA INF. Y LAS COMUNICACIONES ENFASIS EN SIS. INFOR</v>
      </c>
      <c r="E558" s="19" t="str">
        <f>VLOOKUP(A558,'ESTADOS ESTUDIANTES'!B:L,5,0)</f>
        <v>X</v>
      </c>
      <c r="F558" s="18" t="str">
        <f>VLOOKUP(E558,Listas!B1:C1004,2,0)</f>
        <v>EXCLUIDO</v>
      </c>
      <c r="G558" s="19" t="str">
        <f>VLOOKUP(A558,'ESTADOS ESTUDIANTES'!B:L,7,0)</f>
        <v>NO REGISTRA</v>
      </c>
      <c r="H558" s="19">
        <f>VLOOKUP(A558,'ESTADOS ESTUDIANTES'!B:L,8,0)</f>
        <v>0</v>
      </c>
      <c r="I558" s="70">
        <f>VLOOKUP(A558,'ESTADOS ESTUDIANTES'!B:L,9,0)</f>
        <v>0</v>
      </c>
      <c r="J558" s="19" t="str">
        <f>VLOOKUP(A558,'ESTADOS ESTUDIANTES'!B:L,10,0)</f>
        <v>CC</v>
      </c>
      <c r="K558" s="19">
        <f>VLOOKUP(A558,'ESTADOS ESTUDIANTES'!B:L,11,0)</f>
        <v>94458664</v>
      </c>
      <c r="L558" s="23"/>
      <c r="M558" s="20"/>
      <c r="N558" s="22"/>
      <c r="O558" s="15"/>
      <c r="P558" s="15"/>
      <c r="Q558" s="15"/>
      <c r="R558" s="15"/>
      <c r="S558" s="15"/>
      <c r="T558" s="15"/>
      <c r="U558" s="15"/>
    </row>
    <row r="559" spans="1:21" ht="90">
      <c r="A559" s="17">
        <v>20111295006</v>
      </c>
      <c r="B559" s="19" t="str">
        <f>VLOOKUP(A559,'ESTADOS ESTUDIANTES'!B:L,2,0)</f>
        <v>PUENTES PUENTES OSCAR JAVIER</v>
      </c>
      <c r="C559" s="19">
        <f>VLOOKUP(A559,'ESTADOS ESTUDIANTES'!B:L,3,0)</f>
        <v>295</v>
      </c>
      <c r="D559" s="66" t="str">
        <f>VLOOKUP(A559,'ESTADOS ESTUDIANTES'!B:L,4,0)</f>
        <v>MAE. EN CIENCIAS DE LA INF. Y LAS COMUNICACIONES ENFASIS EN SIS. INFOR</v>
      </c>
      <c r="E559" s="19" t="str">
        <f>VLOOKUP(A559,'ESTADOS ESTUDIANTES'!B:L,5,0)</f>
        <v>E</v>
      </c>
      <c r="F559" s="18" t="str">
        <f>VLOOKUP(E559,Listas!B1:C1004,2,0)</f>
        <v>EGRESADO</v>
      </c>
      <c r="G559" s="19" t="str">
        <f>VLOOKUP(A559,'ESTADOS ESTUDIANTES'!B:L,7,0)</f>
        <v>NO REGISTRA</v>
      </c>
      <c r="H559" s="19" t="str">
        <f>VLOOKUP(A559,'ESTADOS ESTUDIANTES'!B:L,8,0)</f>
        <v>ojpuentesp@correo.udistrital.edu.co</v>
      </c>
      <c r="I559" s="70" t="str">
        <f>VLOOKUP(A559,'ESTADOS ESTUDIANTES'!B:L,9,0)</f>
        <v>oskarj84@gmail.com</v>
      </c>
      <c r="J559" s="19" t="str">
        <f>VLOOKUP(A559,'ESTADOS ESTUDIANTES'!B:L,10,0)</f>
        <v>CC</v>
      </c>
      <c r="K559" s="19">
        <f>VLOOKUP(A559,'ESTADOS ESTUDIANTES'!B:L,11,0)</f>
        <v>80074145</v>
      </c>
      <c r="L559" s="23"/>
      <c r="M559" s="20"/>
      <c r="N559" s="22"/>
      <c r="O559" s="15"/>
      <c r="P559" s="15"/>
      <c r="Q559" s="15"/>
      <c r="R559" s="15"/>
      <c r="S559" s="15"/>
      <c r="T559" s="15"/>
      <c r="U559" s="15"/>
    </row>
    <row r="560" spans="1:21" ht="90">
      <c r="A560" s="17">
        <v>20111295007</v>
      </c>
      <c r="B560" s="19" t="str">
        <f>VLOOKUP(A560,'ESTADOS ESTUDIANTES'!B:L,2,0)</f>
        <v>RAMIREZ AREVALO HELIO HENRY</v>
      </c>
      <c r="C560" s="19">
        <f>VLOOKUP(A560,'ESTADOS ESTUDIANTES'!B:L,3,0)</f>
        <v>295</v>
      </c>
      <c r="D560" s="66" t="str">
        <f>VLOOKUP(A560,'ESTADOS ESTUDIANTES'!B:L,4,0)</f>
        <v>MAE. EN CIENCIAS DE LA INF. Y LAS COMUNICACIONES ENFASIS EN SIS. INFOR</v>
      </c>
      <c r="E560" s="19" t="str">
        <f>VLOOKUP(A560,'ESTADOS ESTUDIANTES'!B:L,5,0)</f>
        <v>E</v>
      </c>
      <c r="F560" s="18" t="str">
        <f>VLOOKUP(E560,Listas!B1:C1004,2,0)</f>
        <v>EGRESADO</v>
      </c>
      <c r="G560" s="19">
        <f>VLOOKUP(A560,'ESTADOS ESTUDIANTES'!B:L,7,0)</f>
        <v>2</v>
      </c>
      <c r="H560" s="19" t="str">
        <f>VLOOKUP(A560,'ESTADOS ESTUDIANTES'!B:L,8,0)</f>
        <v>hhramireza@udistrital.edu.co</v>
      </c>
      <c r="I560" s="70" t="str">
        <f>VLOOKUP(A560,'ESTADOS ESTUDIANTES'!B:L,9,0)</f>
        <v>helio.ramirez@gmail.com</v>
      </c>
      <c r="J560" s="19" t="str">
        <f>VLOOKUP(A560,'ESTADOS ESTUDIANTES'!B:L,10,0)</f>
        <v>CC</v>
      </c>
      <c r="K560" s="19">
        <f>VLOOKUP(A560,'ESTADOS ESTUDIANTES'!B:L,11,0)</f>
        <v>80238298</v>
      </c>
      <c r="L560" s="19">
        <v>3168232636</v>
      </c>
      <c r="M560" s="20"/>
      <c r="N560" s="22"/>
      <c r="O560" s="15"/>
      <c r="P560" s="15"/>
      <c r="Q560" s="15"/>
      <c r="R560" s="15"/>
      <c r="S560" s="15"/>
      <c r="T560" s="15"/>
      <c r="U560" s="15"/>
    </row>
    <row r="561" spans="1:21" ht="90">
      <c r="A561" s="17">
        <v>20111295008</v>
      </c>
      <c r="B561" s="19" t="str">
        <f>VLOOKUP(A561,'ESTADOS ESTUDIANTES'!B:L,2,0)</f>
        <v>ROMERO ARDILA LUIS FERNANDO</v>
      </c>
      <c r="C561" s="19">
        <f>VLOOKUP(A561,'ESTADOS ESTUDIANTES'!B:L,3,0)</f>
        <v>295</v>
      </c>
      <c r="D561" s="66" t="str">
        <f>VLOOKUP(A561,'ESTADOS ESTUDIANTES'!B:L,4,0)</f>
        <v>MAE. EN CIENCIAS DE LA INF. Y LAS COMUNICACIONES ENFASIS EN SIS. INFOR</v>
      </c>
      <c r="E561" s="19" t="str">
        <f>VLOOKUP(A561,'ESTADOS ESTUDIANTES'!B:L,5,0)</f>
        <v>X</v>
      </c>
      <c r="F561" s="18" t="str">
        <f>VLOOKUP(E561,Listas!B1:C1004,2,0)</f>
        <v>EXCLUIDO</v>
      </c>
      <c r="G561" s="19" t="str">
        <f>VLOOKUP(A561,'ESTADOS ESTUDIANTES'!B:L,7,0)</f>
        <v>NO REGISTRA</v>
      </c>
      <c r="H561" s="19" t="str">
        <f>VLOOKUP(A561,'ESTADOS ESTUDIANTES'!B:L,8,0)</f>
        <v>lfromeroa@correo.udistrital.edu.co</v>
      </c>
      <c r="I561" s="70" t="str">
        <f>VLOOKUP(A561,'ESTADOS ESTUDIANTES'!B:L,9,0)</f>
        <v>lucien.luisromero@gmail.com</v>
      </c>
      <c r="J561" s="19" t="str">
        <f>VLOOKUP(A561,'ESTADOS ESTUDIANTES'!B:L,10,0)</f>
        <v>CC</v>
      </c>
      <c r="K561" s="19">
        <f>VLOOKUP(A561,'ESTADOS ESTUDIANTES'!B:L,11,0)</f>
        <v>80074513</v>
      </c>
      <c r="L561" s="23"/>
      <c r="M561" s="20"/>
      <c r="N561" s="22"/>
      <c r="O561" s="15"/>
      <c r="P561" s="15"/>
      <c r="Q561" s="15"/>
      <c r="R561" s="15"/>
      <c r="S561" s="15"/>
      <c r="T561" s="15"/>
      <c r="U561" s="15"/>
    </row>
    <row r="562" spans="1:21" ht="90">
      <c r="A562" s="17">
        <v>20112195001</v>
      </c>
      <c r="B562" s="19" t="str">
        <f>VLOOKUP(A562,'ESTADOS ESTUDIANTES'!B:L,2,0)</f>
        <v>AYALA PAEZ DANIEL ALEXANDER</v>
      </c>
      <c r="C562" s="19">
        <f>VLOOKUP(A562,'ESTADOS ESTUDIANTES'!B:L,3,0)</f>
        <v>195</v>
      </c>
      <c r="D562" s="66" t="str">
        <f>VLOOKUP(A562,'ESTADOS ESTUDIANTES'!B:L,4,0)</f>
        <v>MAE. EN CIENCIAS DE LA INF. Y LAS COMUNICACIONES ENFASIS EN TELEINF.</v>
      </c>
      <c r="E562" s="19" t="str">
        <f>VLOOKUP(A562,'ESTADOS ESTUDIANTES'!B:L,5,0)</f>
        <v>X</v>
      </c>
      <c r="F562" s="18" t="str">
        <f>VLOOKUP(E562,Listas!B1:C1004,2,0)</f>
        <v>EXCLUIDO</v>
      </c>
      <c r="G562" s="19" t="str">
        <f>VLOOKUP(A562,'ESTADOS ESTUDIANTES'!B:L,7,0)</f>
        <v>NO REGISTRA</v>
      </c>
      <c r="H562" s="19">
        <f>VLOOKUP(A562,'ESTADOS ESTUDIANTES'!B:L,8,0)</f>
        <v>0</v>
      </c>
      <c r="I562" s="70" t="str">
        <f>VLOOKUP(A562,'ESTADOS ESTUDIANTES'!B:L,9,0)</f>
        <v>danielbit2000@yahoo.es</v>
      </c>
      <c r="J562" s="19" t="str">
        <f>VLOOKUP(A562,'ESTADOS ESTUDIANTES'!B:L,10,0)</f>
        <v>CC</v>
      </c>
      <c r="K562" s="19">
        <f>VLOOKUP(A562,'ESTADOS ESTUDIANTES'!B:L,11,0)</f>
        <v>80727294</v>
      </c>
      <c r="L562" s="23"/>
      <c r="M562" s="20"/>
      <c r="N562" s="22"/>
      <c r="O562" s="15"/>
      <c r="P562" s="15"/>
      <c r="Q562" s="15"/>
      <c r="R562" s="15"/>
      <c r="S562" s="15"/>
      <c r="T562" s="15"/>
      <c r="U562" s="15"/>
    </row>
    <row r="563" spans="1:21" ht="90">
      <c r="A563" s="17">
        <v>20112195002</v>
      </c>
      <c r="B563" s="19" t="str">
        <f>VLOOKUP(A563,'ESTADOS ESTUDIANTES'!B:L,2,0)</f>
        <v>BALAGUERA HERNANDEZ RAFAEL ENRIQUE</v>
      </c>
      <c r="C563" s="19">
        <f>VLOOKUP(A563,'ESTADOS ESTUDIANTES'!B:L,3,0)</f>
        <v>195</v>
      </c>
      <c r="D563" s="66" t="str">
        <f>VLOOKUP(A563,'ESTADOS ESTUDIANTES'!B:L,4,0)</f>
        <v>MAE. EN CIENCIAS DE LA INF. Y LAS COMUNICACIONES ENFASIS EN TELEINF.</v>
      </c>
      <c r="E563" s="19" t="str">
        <f>VLOOKUP(A563,'ESTADOS ESTUDIANTES'!B:L,5,0)</f>
        <v>E</v>
      </c>
      <c r="F563" s="18" t="str">
        <f>VLOOKUP(E563,Listas!B1:C1004,2,0)</f>
        <v>EGRESADO</v>
      </c>
      <c r="G563" s="19">
        <f>VLOOKUP(A563,'ESTADOS ESTUDIANTES'!B:L,7,0)</f>
        <v>3</v>
      </c>
      <c r="H563" s="19">
        <f>VLOOKUP(A563,'ESTADOS ESTUDIANTES'!B:L,8,0)</f>
        <v>0</v>
      </c>
      <c r="I563" s="70" t="str">
        <f>VLOOKUP(A563,'ESTADOS ESTUDIANTES'!B:L,9,0)</f>
        <v>rbalaguera@pedagogica.edu.co</v>
      </c>
      <c r="J563" s="19" t="str">
        <f>VLOOKUP(A563,'ESTADOS ESTUDIANTES'!B:L,10,0)</f>
        <v>CC</v>
      </c>
      <c r="K563" s="19">
        <f>VLOOKUP(A563,'ESTADOS ESTUDIANTES'!B:L,11,0)</f>
        <v>79283623</v>
      </c>
      <c r="L563" s="23"/>
      <c r="M563" s="20"/>
      <c r="N563" s="22"/>
      <c r="O563" s="15"/>
      <c r="P563" s="15"/>
      <c r="Q563" s="15"/>
      <c r="R563" s="15"/>
      <c r="S563" s="15"/>
      <c r="T563" s="15"/>
      <c r="U563" s="15"/>
    </row>
    <row r="564" spans="1:21" ht="90">
      <c r="A564" s="17">
        <v>20112195003</v>
      </c>
      <c r="B564" s="19" t="str">
        <f>VLOOKUP(A564,'ESTADOS ESTUDIANTES'!B:L,2,0)</f>
        <v>DOMINGUEZ VARGAS JOHANNA PATRICIA</v>
      </c>
      <c r="C564" s="19">
        <f>VLOOKUP(A564,'ESTADOS ESTUDIANTES'!B:L,3,0)</f>
        <v>195</v>
      </c>
      <c r="D564" s="66" t="str">
        <f>VLOOKUP(A564,'ESTADOS ESTUDIANTES'!B:L,4,0)</f>
        <v>MAE. EN CIENCIAS DE LA INF. Y LAS COMUNICACIONES ENFASIS EN TELEINF.</v>
      </c>
      <c r="E564" s="19" t="str">
        <f>VLOOKUP(A564,'ESTADOS ESTUDIANTES'!B:L,5,0)</f>
        <v>X</v>
      </c>
      <c r="F564" s="18" t="str">
        <f>VLOOKUP(E564,Listas!B1:C1004,2,0)</f>
        <v>EXCLUIDO</v>
      </c>
      <c r="G564" s="19" t="str">
        <f>VLOOKUP(A564,'ESTADOS ESTUDIANTES'!B:L,7,0)</f>
        <v>NO REGISTRA</v>
      </c>
      <c r="H564" s="19">
        <f>VLOOKUP(A564,'ESTADOS ESTUDIANTES'!B:L,8,0)</f>
        <v>0</v>
      </c>
      <c r="I564" s="70" t="str">
        <f>VLOOKUP(A564,'ESTADOS ESTUDIANTES'!B:L,9,0)</f>
        <v>jdominv@yahoo.com</v>
      </c>
      <c r="J564" s="19" t="str">
        <f>VLOOKUP(A564,'ESTADOS ESTUDIANTES'!B:L,10,0)</f>
        <v>CC</v>
      </c>
      <c r="K564" s="19">
        <f>VLOOKUP(A564,'ESTADOS ESTUDIANTES'!B:L,11,0)</f>
        <v>52875092</v>
      </c>
      <c r="L564" s="23"/>
      <c r="M564" s="20"/>
      <c r="N564" s="22"/>
      <c r="O564" s="15"/>
      <c r="P564" s="15"/>
      <c r="Q564" s="15"/>
      <c r="R564" s="15"/>
      <c r="S564" s="15"/>
      <c r="T564" s="15"/>
      <c r="U564" s="15"/>
    </row>
    <row r="565" spans="1:21" ht="90">
      <c r="A565" s="17">
        <v>20112195004</v>
      </c>
      <c r="B565" s="19" t="str">
        <f>VLOOKUP(A565,'ESTADOS ESTUDIANTES'!B:L,2,0)</f>
        <v>FORERO MARTINEZ DAVID EUGENIO</v>
      </c>
      <c r="C565" s="19">
        <f>VLOOKUP(A565,'ESTADOS ESTUDIANTES'!B:L,3,0)</f>
        <v>195</v>
      </c>
      <c r="D565" s="66" t="str">
        <f>VLOOKUP(A565,'ESTADOS ESTUDIANTES'!B:L,4,0)</f>
        <v>MAE. EN CIENCIAS DE LA INF. Y LAS COMUNICACIONES ENFASIS EN TELEINF.</v>
      </c>
      <c r="E565" s="19" t="str">
        <f>VLOOKUP(A565,'ESTADOS ESTUDIANTES'!B:L,5,0)</f>
        <v>E</v>
      </c>
      <c r="F565" s="18" t="str">
        <f>VLOOKUP(E565,Listas!B1:C1004,2,0)</f>
        <v>EGRESADO</v>
      </c>
      <c r="G565" s="19" t="str">
        <f>VLOOKUP(A565,'ESTADOS ESTUDIANTES'!B:L,7,0)</f>
        <v>NO REGISTRA</v>
      </c>
      <c r="H565" s="19">
        <f>VLOOKUP(A565,'ESTADOS ESTUDIANTES'!B:L,8,0)</f>
        <v>0</v>
      </c>
      <c r="I565" s="70" t="str">
        <f>VLOOKUP(A565,'ESTADOS ESTUDIANTES'!B:L,9,0)</f>
        <v>eug_68@hotmail.com</v>
      </c>
      <c r="J565" s="19" t="str">
        <f>VLOOKUP(A565,'ESTADOS ESTUDIANTES'!B:L,10,0)</f>
        <v>CC</v>
      </c>
      <c r="K565" s="19">
        <f>VLOOKUP(A565,'ESTADOS ESTUDIANTES'!B:L,11,0)</f>
        <v>71113015</v>
      </c>
      <c r="L565" s="23"/>
      <c r="M565" s="20"/>
      <c r="N565" s="22"/>
      <c r="O565" s="15"/>
      <c r="P565" s="15"/>
      <c r="Q565" s="15"/>
      <c r="R565" s="15"/>
      <c r="S565" s="15"/>
      <c r="T565" s="15"/>
      <c r="U565" s="15"/>
    </row>
    <row r="566" spans="1:21" ht="90">
      <c r="A566" s="17">
        <v>20112195005</v>
      </c>
      <c r="B566" s="19" t="str">
        <f>VLOOKUP(A566,'ESTADOS ESTUDIANTES'!B:L,2,0)</f>
        <v>MANCERA LAGOS PEDRO ALEJANDRO</v>
      </c>
      <c r="C566" s="19">
        <f>VLOOKUP(A566,'ESTADOS ESTUDIANTES'!B:L,3,0)</f>
        <v>195</v>
      </c>
      <c r="D566" s="66" t="str">
        <f>VLOOKUP(A566,'ESTADOS ESTUDIANTES'!B:L,4,0)</f>
        <v>MAE. EN CIENCIAS DE LA INF. Y LAS COMUNICACIONES ENFASIS EN TELEINF.</v>
      </c>
      <c r="E566" s="19" t="str">
        <f>VLOOKUP(A566,'ESTADOS ESTUDIANTES'!B:L,5,0)</f>
        <v>E</v>
      </c>
      <c r="F566" s="18" t="str">
        <f>VLOOKUP(E566,Listas!B1:C1004,2,0)</f>
        <v>EGRESADO</v>
      </c>
      <c r="G566" s="19" t="str">
        <f>VLOOKUP(A566,'ESTADOS ESTUDIANTES'!B:L,7,0)</f>
        <v>NO REGISTRA</v>
      </c>
      <c r="H566" s="19">
        <f>VLOOKUP(A566,'ESTADOS ESTUDIANTES'!B:L,8,0)</f>
        <v>0</v>
      </c>
      <c r="I566" s="70" t="str">
        <f>VLOOKUP(A566,'ESTADOS ESTUDIANTES'!B:L,9,0)</f>
        <v>pmancera@yahoo.com</v>
      </c>
      <c r="J566" s="19" t="str">
        <f>VLOOKUP(A566,'ESTADOS ESTUDIANTES'!B:L,10,0)</f>
        <v>CC</v>
      </c>
      <c r="K566" s="19">
        <f>VLOOKUP(A566,'ESTADOS ESTUDIANTES'!B:L,11,0)</f>
        <v>88247160</v>
      </c>
      <c r="L566" s="23"/>
      <c r="M566" s="20"/>
      <c r="N566" s="22"/>
      <c r="O566" s="15"/>
      <c r="P566" s="15"/>
      <c r="Q566" s="15"/>
      <c r="R566" s="15"/>
      <c r="S566" s="15"/>
      <c r="T566" s="15"/>
      <c r="U566" s="15"/>
    </row>
    <row r="567" spans="1:21" ht="90">
      <c r="A567" s="17">
        <v>20112195006</v>
      </c>
      <c r="B567" s="19" t="str">
        <f>VLOOKUP(A567,'ESTADOS ESTUDIANTES'!B:L,2,0)</f>
        <v>SANCHEZ GARZON CRISTIAN ROLANDO</v>
      </c>
      <c r="C567" s="19">
        <f>VLOOKUP(A567,'ESTADOS ESTUDIANTES'!B:L,3,0)</f>
        <v>195</v>
      </c>
      <c r="D567" s="66" t="str">
        <f>VLOOKUP(A567,'ESTADOS ESTUDIANTES'!B:L,4,0)</f>
        <v>MAE. EN CIENCIAS DE LA INF. Y LAS COMUNICACIONES ENFASIS EN TELEINF.</v>
      </c>
      <c r="E567" s="19" t="str">
        <f>VLOOKUP(A567,'ESTADOS ESTUDIANTES'!B:L,5,0)</f>
        <v>X</v>
      </c>
      <c r="F567" s="18" t="str">
        <f>VLOOKUP(E567,Listas!B1:C1004,2,0)</f>
        <v>EXCLUIDO</v>
      </c>
      <c r="G567" s="19" t="str">
        <f>VLOOKUP(A567,'ESTADOS ESTUDIANTES'!B:L,7,0)</f>
        <v>NO REGISTRA</v>
      </c>
      <c r="H567" s="19">
        <f>VLOOKUP(A567,'ESTADOS ESTUDIANTES'!B:L,8,0)</f>
        <v>0</v>
      </c>
      <c r="I567" s="70" t="str">
        <f>VLOOKUP(A567,'ESTADOS ESTUDIANTES'!B:L,9,0)</f>
        <v>cristianrolando@gmail.com</v>
      </c>
      <c r="J567" s="19" t="str">
        <f>VLOOKUP(A567,'ESTADOS ESTUDIANTES'!B:L,10,0)</f>
        <v>CC</v>
      </c>
      <c r="K567" s="19">
        <f>VLOOKUP(A567,'ESTADOS ESTUDIANTES'!B:L,11,0)</f>
        <v>1018405205</v>
      </c>
      <c r="L567" s="23"/>
      <c r="M567" s="20"/>
      <c r="N567" s="22"/>
      <c r="O567" s="15"/>
      <c r="P567" s="15"/>
      <c r="Q567" s="15"/>
      <c r="R567" s="15"/>
      <c r="S567" s="15"/>
      <c r="T567" s="15"/>
      <c r="U567" s="15"/>
    </row>
    <row r="568" spans="1:21" ht="90">
      <c r="A568" s="17">
        <v>20112195007</v>
      </c>
      <c r="B568" s="19" t="str">
        <f>VLOOKUP(A568,'ESTADOS ESTUDIANTES'!B:L,2,0)</f>
        <v>VALIENTE CRISTANCHO ADRIANA</v>
      </c>
      <c r="C568" s="19">
        <f>VLOOKUP(A568,'ESTADOS ESTUDIANTES'!B:L,3,0)</f>
        <v>195</v>
      </c>
      <c r="D568" s="66" t="str">
        <f>VLOOKUP(A568,'ESTADOS ESTUDIANTES'!B:L,4,0)</f>
        <v>MAE. EN CIENCIAS DE LA INF. Y LAS COMUNICACIONES ENFASIS EN TELEINF.</v>
      </c>
      <c r="E568" s="19" t="str">
        <f>VLOOKUP(A568,'ESTADOS ESTUDIANTES'!B:L,5,0)</f>
        <v>E</v>
      </c>
      <c r="F568" s="18" t="str">
        <f>VLOOKUP(E568,Listas!B1:C1004,2,0)</f>
        <v>EGRESADO</v>
      </c>
      <c r="G568" s="19" t="str">
        <f>VLOOKUP(A568,'ESTADOS ESTUDIANTES'!B:L,7,0)</f>
        <v>NO REGISTRA</v>
      </c>
      <c r="H568" s="19">
        <f>VLOOKUP(A568,'ESTADOS ESTUDIANTES'!B:L,8,0)</f>
        <v>0</v>
      </c>
      <c r="I568" s="70" t="str">
        <f>VLOOKUP(A568,'ESTADOS ESTUDIANTES'!B:L,9,0)</f>
        <v>avcristancho@gmail.com</v>
      </c>
      <c r="J568" s="19" t="str">
        <f>VLOOKUP(A568,'ESTADOS ESTUDIANTES'!B:L,10,0)</f>
        <v>CC</v>
      </c>
      <c r="K568" s="19">
        <f>VLOOKUP(A568,'ESTADOS ESTUDIANTES'!B:L,11,0)</f>
        <v>52128254</v>
      </c>
      <c r="L568" s="23"/>
      <c r="M568" s="20"/>
      <c r="N568" s="22"/>
      <c r="O568" s="15"/>
      <c r="P568" s="15"/>
      <c r="Q568" s="15"/>
      <c r="R568" s="15"/>
      <c r="S568" s="15"/>
      <c r="T568" s="15"/>
      <c r="U568" s="15"/>
    </row>
    <row r="569" spans="1:21" ht="90">
      <c r="A569" s="17">
        <v>20112195008</v>
      </c>
      <c r="B569" s="19" t="str">
        <f>VLOOKUP(A569,'ESTADOS ESTUDIANTES'!B:L,2,0)</f>
        <v>ZARTA ESCOBAR FELIPE ANDRES</v>
      </c>
      <c r="C569" s="19">
        <f>VLOOKUP(A569,'ESTADOS ESTUDIANTES'!B:L,3,0)</f>
        <v>195</v>
      </c>
      <c r="D569" s="66" t="str">
        <f>VLOOKUP(A569,'ESTADOS ESTUDIANTES'!B:L,4,0)</f>
        <v>MAE. EN CIENCIAS DE LA INF. Y LAS COMUNICACIONES ENFASIS EN TELEINF.</v>
      </c>
      <c r="E569" s="19" t="str">
        <f>VLOOKUP(A569,'ESTADOS ESTUDIANTES'!B:L,5,0)</f>
        <v>X</v>
      </c>
      <c r="F569" s="18" t="str">
        <f>VLOOKUP(E569,Listas!B1:C1004,2,0)</f>
        <v>EXCLUIDO</v>
      </c>
      <c r="G569" s="19">
        <f>VLOOKUP(A569,'ESTADOS ESTUDIANTES'!B:L,7,0)</f>
        <v>1</v>
      </c>
      <c r="H569" s="19">
        <f>VLOOKUP(A569,'ESTADOS ESTUDIANTES'!B:L,8,0)</f>
        <v>0</v>
      </c>
      <c r="I569" s="70" t="str">
        <f>VLOOKUP(A569,'ESTADOS ESTUDIANTES'!B:L,9,0)</f>
        <v>felipe.zarta@gmail.com</v>
      </c>
      <c r="J569" s="19" t="str">
        <f>VLOOKUP(A569,'ESTADOS ESTUDIANTES'!B:L,10,0)</f>
        <v>CC</v>
      </c>
      <c r="K569" s="19">
        <f>VLOOKUP(A569,'ESTADOS ESTUDIANTES'!B:L,11,0)</f>
        <v>1075650800</v>
      </c>
      <c r="L569" s="23"/>
      <c r="M569" s="20"/>
      <c r="N569" s="22"/>
      <c r="O569" s="15"/>
      <c r="P569" s="15"/>
      <c r="Q569" s="15"/>
      <c r="R569" s="15"/>
      <c r="S569" s="15"/>
      <c r="T569" s="15"/>
      <c r="U569" s="15"/>
    </row>
    <row r="570" spans="1:21" ht="90">
      <c r="A570" s="17">
        <v>20112295001</v>
      </c>
      <c r="B570" s="19" t="str">
        <f>VLOOKUP(A570,'ESTADOS ESTUDIANTES'!B:L,2,0)</f>
        <v>ABUCHAR PORRAS ALEXANDRA</v>
      </c>
      <c r="C570" s="19">
        <f>VLOOKUP(A570,'ESTADOS ESTUDIANTES'!B:L,3,0)</f>
        <v>295</v>
      </c>
      <c r="D570" s="66" t="str">
        <f>VLOOKUP(A570,'ESTADOS ESTUDIANTES'!B:L,4,0)</f>
        <v>MAE. EN CIENCIAS DE LA INF. Y LAS COMUNICACIONES ENFASIS EN SIS. INFOR</v>
      </c>
      <c r="E570" s="19" t="str">
        <f>VLOOKUP(A570,'ESTADOS ESTUDIANTES'!B:L,5,0)</f>
        <v>X</v>
      </c>
      <c r="F570" s="18" t="str">
        <f>VLOOKUP(E570,Listas!B1:C1004,2,0)</f>
        <v>EXCLUIDO</v>
      </c>
      <c r="G570" s="19">
        <f>VLOOKUP(A570,'ESTADOS ESTUDIANTES'!B:L,7,0)</f>
        <v>1</v>
      </c>
      <c r="H570" s="19">
        <f>VLOOKUP(A570,'ESTADOS ESTUDIANTES'!B:L,8,0)</f>
        <v>0</v>
      </c>
      <c r="I570" s="70" t="str">
        <f>VLOOKUP(A570,'ESTADOS ESTUDIANTES'!B:L,9,0)</f>
        <v>aabucharp@udistrital.edu.co</v>
      </c>
      <c r="J570" s="19" t="str">
        <f>VLOOKUP(A570,'ESTADOS ESTUDIANTES'!B:L,10,0)</f>
        <v>CC</v>
      </c>
      <c r="K570" s="19">
        <f>VLOOKUP(A570,'ESTADOS ESTUDIANTES'!B:L,11,0)</f>
        <v>45455721</v>
      </c>
      <c r="L570" s="23"/>
      <c r="M570" s="20"/>
      <c r="N570" s="22"/>
      <c r="O570" s="15"/>
      <c r="P570" s="15"/>
      <c r="Q570" s="15"/>
      <c r="R570" s="15"/>
      <c r="S570" s="15"/>
      <c r="T570" s="15"/>
      <c r="U570" s="15"/>
    </row>
    <row r="571" spans="1:21" ht="90">
      <c r="A571" s="17">
        <v>20112295002</v>
      </c>
      <c r="B571" s="19" t="str">
        <f>VLOOKUP(A571,'ESTADOS ESTUDIANTES'!B:L,2,0)</f>
        <v>AMPUDIA ARRIAGA AMIRA DEL SOCORRO</v>
      </c>
      <c r="C571" s="19">
        <f>VLOOKUP(A571,'ESTADOS ESTUDIANTES'!B:L,3,0)</f>
        <v>295</v>
      </c>
      <c r="D571" s="66" t="str">
        <f>VLOOKUP(A571,'ESTADOS ESTUDIANTES'!B:L,4,0)</f>
        <v>MAE. EN CIENCIAS DE LA INF. Y LAS COMUNICACIONES ENFASIS EN SIS. INFOR</v>
      </c>
      <c r="E571" s="19" t="str">
        <f>VLOOKUP(A571,'ESTADOS ESTUDIANTES'!B:L,5,0)</f>
        <v>X</v>
      </c>
      <c r="F571" s="18" t="str">
        <f>VLOOKUP(E571,Listas!B1:C1004,2,0)</f>
        <v>EXCLUIDO</v>
      </c>
      <c r="G571" s="19" t="str">
        <f>VLOOKUP(A571,'ESTADOS ESTUDIANTES'!B:L,7,0)</f>
        <v>NO REGISTRA</v>
      </c>
      <c r="H571" s="19">
        <f>VLOOKUP(A571,'ESTADOS ESTUDIANTES'!B:L,8,0)</f>
        <v>0</v>
      </c>
      <c r="I571" s="70" t="str">
        <f>VLOOKUP(A571,'ESTADOS ESTUDIANTES'!B:L,9,0)</f>
        <v>amiraampudia@hotmail.com</v>
      </c>
      <c r="J571" s="19" t="str">
        <f>VLOOKUP(A571,'ESTADOS ESTUDIANTES'!B:L,10,0)</f>
        <v>CC</v>
      </c>
      <c r="K571" s="19">
        <f>VLOOKUP(A571,'ESTADOS ESTUDIANTES'!B:L,11,0)</f>
        <v>26391742</v>
      </c>
      <c r="L571" s="23"/>
      <c r="M571" s="20"/>
      <c r="N571" s="22"/>
      <c r="O571" s="15"/>
      <c r="P571" s="15"/>
      <c r="Q571" s="15"/>
      <c r="R571" s="15"/>
      <c r="S571" s="15"/>
      <c r="T571" s="15"/>
      <c r="U571" s="15"/>
    </row>
    <row r="572" spans="1:21" ht="90">
      <c r="A572" s="17">
        <v>20112295003</v>
      </c>
      <c r="B572" s="19" t="str">
        <f>VLOOKUP(A572,'ESTADOS ESTUDIANTES'!B:L,2,0)</f>
        <v>ARTEAGA SILVA HERNANDO JAVIER</v>
      </c>
      <c r="C572" s="19">
        <f>VLOOKUP(A572,'ESTADOS ESTUDIANTES'!B:L,3,0)</f>
        <v>295</v>
      </c>
      <c r="D572" s="66" t="str">
        <f>VLOOKUP(A572,'ESTADOS ESTUDIANTES'!B:L,4,0)</f>
        <v>MAE. EN CIENCIAS DE LA INF. Y LAS COMUNICACIONES ENFASIS EN SIS. INFOR</v>
      </c>
      <c r="E572" s="19" t="str">
        <f>VLOOKUP(A572,'ESTADOS ESTUDIANTES'!B:L,5,0)</f>
        <v>X</v>
      </c>
      <c r="F572" s="18" t="str">
        <f>VLOOKUP(E572,Listas!B1:C1004,2,0)</f>
        <v>EXCLUIDO</v>
      </c>
      <c r="G572" s="19" t="str">
        <f>VLOOKUP(A572,'ESTADOS ESTUDIANTES'!B:L,7,0)</f>
        <v>NO REGISTRA</v>
      </c>
      <c r="H572" s="19">
        <f>VLOOKUP(A572,'ESTADOS ESTUDIANTES'!B:L,8,0)</f>
        <v>0</v>
      </c>
      <c r="I572" s="70" t="str">
        <f>VLOOKUP(A572,'ESTADOS ESTUDIANTES'!B:L,9,0)</f>
        <v>javierarteaga@gmail.com</v>
      </c>
      <c r="J572" s="19" t="str">
        <f>VLOOKUP(A572,'ESTADOS ESTUDIANTES'!B:L,10,0)</f>
        <v>CC</v>
      </c>
      <c r="K572" s="19">
        <f>VLOOKUP(A572,'ESTADOS ESTUDIANTES'!B:L,11,0)</f>
        <v>79803093</v>
      </c>
      <c r="L572" s="23"/>
      <c r="M572" s="20"/>
      <c r="N572" s="22"/>
      <c r="O572" s="15"/>
      <c r="P572" s="15"/>
      <c r="Q572" s="15"/>
      <c r="R572" s="15"/>
      <c r="S572" s="15"/>
      <c r="T572" s="15"/>
      <c r="U572" s="15"/>
    </row>
    <row r="573" spans="1:21" ht="90">
      <c r="A573" s="17">
        <v>20112295004</v>
      </c>
      <c r="B573" s="19" t="str">
        <f>VLOOKUP(A573,'ESTADOS ESTUDIANTES'!B:L,2,0)</f>
        <v>BAEZ ALBA ANDRES IGNACIO</v>
      </c>
      <c r="C573" s="19">
        <f>VLOOKUP(A573,'ESTADOS ESTUDIANTES'!B:L,3,0)</f>
        <v>295</v>
      </c>
      <c r="D573" s="66" t="str">
        <f>VLOOKUP(A573,'ESTADOS ESTUDIANTES'!B:L,4,0)</f>
        <v>MAE. EN CIENCIAS DE LA INF. Y LAS COMUNICACIONES ENFASIS EN SIS. INFOR</v>
      </c>
      <c r="E573" s="19" t="str">
        <f>VLOOKUP(A573,'ESTADOS ESTUDIANTES'!B:L,5,0)</f>
        <v>X</v>
      </c>
      <c r="F573" s="18" t="str">
        <f>VLOOKUP(E573,Listas!B1:C1004,2,0)</f>
        <v>EXCLUIDO</v>
      </c>
      <c r="G573" s="19" t="str">
        <f>VLOOKUP(A573,'ESTADOS ESTUDIANTES'!B:L,7,0)</f>
        <v>NO REGISTRA</v>
      </c>
      <c r="H573" s="19">
        <f>VLOOKUP(A573,'ESTADOS ESTUDIANTES'!B:L,8,0)</f>
        <v>0</v>
      </c>
      <c r="I573" s="70" t="str">
        <f>VLOOKUP(A573,'ESTADOS ESTUDIANTES'!B:L,9,0)</f>
        <v>andresignaciob@gmail.com</v>
      </c>
      <c r="J573" s="19" t="str">
        <f>VLOOKUP(A573,'ESTADOS ESTUDIANTES'!B:L,10,0)</f>
        <v>CC</v>
      </c>
      <c r="K573" s="19">
        <f>VLOOKUP(A573,'ESTADOS ESTUDIANTES'!B:L,11,0)</f>
        <v>80849753</v>
      </c>
      <c r="L573" s="19">
        <v>3004500162</v>
      </c>
      <c r="M573" s="20"/>
      <c r="N573" s="22"/>
      <c r="O573" s="15"/>
      <c r="P573" s="15"/>
      <c r="Q573" s="15"/>
      <c r="R573" s="15"/>
      <c r="S573" s="15"/>
      <c r="T573" s="15"/>
      <c r="U573" s="15"/>
    </row>
    <row r="574" spans="1:21" ht="90">
      <c r="A574" s="17">
        <v>20112295005</v>
      </c>
      <c r="B574" s="19" t="str">
        <f>VLOOKUP(A574,'ESTADOS ESTUDIANTES'!B:L,2,0)</f>
        <v>BARAHONA ORJUELA SONIA CONSUELO</v>
      </c>
      <c r="C574" s="19">
        <f>VLOOKUP(A574,'ESTADOS ESTUDIANTES'!B:L,3,0)</f>
        <v>295</v>
      </c>
      <c r="D574" s="66" t="str">
        <f>VLOOKUP(A574,'ESTADOS ESTUDIANTES'!B:L,4,0)</f>
        <v>MAE. EN CIENCIAS DE LA INF. Y LAS COMUNICACIONES ENFASIS EN SIS. INFOR</v>
      </c>
      <c r="E574" s="19" t="str">
        <f>VLOOKUP(A574,'ESTADOS ESTUDIANTES'!B:L,5,0)</f>
        <v>X</v>
      </c>
      <c r="F574" s="18" t="str">
        <f>VLOOKUP(E574,Listas!B1:C1004,2,0)</f>
        <v>EXCLUIDO</v>
      </c>
      <c r="G574" s="19">
        <f>VLOOKUP(A574,'ESTADOS ESTUDIANTES'!B:L,7,0)</f>
        <v>3</v>
      </c>
      <c r="H574" s="19">
        <f>VLOOKUP(A574,'ESTADOS ESTUDIANTES'!B:L,8,0)</f>
        <v>0</v>
      </c>
      <c r="I574" s="70" t="str">
        <f>VLOOKUP(A574,'ESTADOS ESTUDIANTES'!B:L,9,0)</f>
        <v>socobaor@gmail.com</v>
      </c>
      <c r="J574" s="19" t="str">
        <f>VLOOKUP(A574,'ESTADOS ESTUDIANTES'!B:L,10,0)</f>
        <v>CC</v>
      </c>
      <c r="K574" s="19">
        <f>VLOOKUP(A574,'ESTADOS ESTUDIANTES'!B:L,11,0)</f>
        <v>51808342</v>
      </c>
      <c r="L574" s="23"/>
      <c r="M574" s="20"/>
      <c r="N574" s="22"/>
      <c r="O574" s="15"/>
      <c r="P574" s="15"/>
      <c r="Q574" s="15"/>
      <c r="R574" s="15"/>
      <c r="S574" s="15"/>
      <c r="T574" s="15"/>
      <c r="U574" s="15"/>
    </row>
    <row r="575" spans="1:21" ht="90">
      <c r="A575" s="17">
        <v>20112295006</v>
      </c>
      <c r="B575" s="19" t="str">
        <f>VLOOKUP(A575,'ESTADOS ESTUDIANTES'!B:L,2,0)</f>
        <v>BERNAL CONTRERAS LILIANA</v>
      </c>
      <c r="C575" s="19">
        <f>VLOOKUP(A575,'ESTADOS ESTUDIANTES'!B:L,3,0)</f>
        <v>295</v>
      </c>
      <c r="D575" s="66" t="str">
        <f>VLOOKUP(A575,'ESTADOS ESTUDIANTES'!B:L,4,0)</f>
        <v>MAE. EN CIENCIAS DE LA INF. Y LAS COMUNICACIONES ENFASIS EN SIS. INFOR</v>
      </c>
      <c r="E575" s="19" t="str">
        <f>VLOOKUP(A575,'ESTADOS ESTUDIANTES'!B:L,5,0)</f>
        <v>X</v>
      </c>
      <c r="F575" s="18" t="str">
        <f>VLOOKUP(E575,Listas!B1:C1004,2,0)</f>
        <v>EXCLUIDO</v>
      </c>
      <c r="G575" s="19" t="str">
        <f>VLOOKUP(A575,'ESTADOS ESTUDIANTES'!B:L,7,0)</f>
        <v>NO REGISTRA</v>
      </c>
      <c r="H575" s="19">
        <f>VLOOKUP(A575,'ESTADOS ESTUDIANTES'!B:L,8,0)</f>
        <v>0</v>
      </c>
      <c r="I575" s="70" t="str">
        <f>VLOOKUP(A575,'ESTADOS ESTUDIANTES'!B:L,9,0)</f>
        <v>lilianabernalc@gmail.com</v>
      </c>
      <c r="J575" s="19" t="str">
        <f>VLOOKUP(A575,'ESTADOS ESTUDIANTES'!B:L,10,0)</f>
        <v>CC</v>
      </c>
      <c r="K575" s="19">
        <f>VLOOKUP(A575,'ESTADOS ESTUDIANTES'!B:L,11,0)</f>
        <v>35537218</v>
      </c>
      <c r="L575" s="23"/>
      <c r="M575" s="20"/>
      <c r="N575" s="22"/>
      <c r="O575" s="15"/>
      <c r="P575" s="15"/>
      <c r="Q575" s="15"/>
      <c r="R575" s="15"/>
      <c r="S575" s="15"/>
      <c r="T575" s="15"/>
      <c r="U575" s="15"/>
    </row>
    <row r="576" spans="1:21" ht="90">
      <c r="A576" s="17">
        <v>20112295007</v>
      </c>
      <c r="B576" s="19" t="str">
        <f>VLOOKUP(A576,'ESTADOS ESTUDIANTES'!B:L,2,0)</f>
        <v>CAMPO URRIAGA JHON ALCIDES</v>
      </c>
      <c r="C576" s="19">
        <f>VLOOKUP(A576,'ESTADOS ESTUDIANTES'!B:L,3,0)</f>
        <v>295</v>
      </c>
      <c r="D576" s="66" t="str">
        <f>VLOOKUP(A576,'ESTADOS ESTUDIANTES'!B:L,4,0)</f>
        <v>MAE. EN CIENCIAS DE LA INF. Y LAS COMUNICACIONES ENFASIS EN SIS. INFOR</v>
      </c>
      <c r="E576" s="19" t="str">
        <f>VLOOKUP(A576,'ESTADOS ESTUDIANTES'!B:L,5,0)</f>
        <v>X</v>
      </c>
      <c r="F576" s="18" t="str">
        <f>VLOOKUP(E576,Listas!B1:C1004,2,0)</f>
        <v>EXCLUIDO</v>
      </c>
      <c r="G576" s="19">
        <f>VLOOKUP(A576,'ESTADOS ESTUDIANTES'!B:L,7,0)</f>
        <v>1</v>
      </c>
      <c r="H576" s="19">
        <f>VLOOKUP(A576,'ESTADOS ESTUDIANTES'!B:L,8,0)</f>
        <v>0</v>
      </c>
      <c r="I576" s="70" t="str">
        <f>VLOOKUP(A576,'ESTADOS ESTUDIANTES'!B:L,9,0)</f>
        <v>jhon.campo@gmail.com</v>
      </c>
      <c r="J576" s="19" t="str">
        <f>VLOOKUP(A576,'ESTADOS ESTUDIANTES'!B:L,10,0)</f>
        <v>CC</v>
      </c>
      <c r="K576" s="19">
        <f>VLOOKUP(A576,'ESTADOS ESTUDIANTES'!B:L,11,0)</f>
        <v>76356525</v>
      </c>
      <c r="L576" s="23"/>
      <c r="M576" s="20"/>
      <c r="N576" s="22"/>
      <c r="O576" s="15"/>
      <c r="P576" s="15"/>
      <c r="Q576" s="15"/>
      <c r="R576" s="15"/>
      <c r="S576" s="15"/>
      <c r="T576" s="15"/>
      <c r="U576" s="15"/>
    </row>
    <row r="577" spans="1:21" ht="90">
      <c r="A577" s="17">
        <v>20112295008</v>
      </c>
      <c r="B577" s="19" t="str">
        <f>VLOOKUP(A577,'ESTADOS ESTUDIANTES'!B:L,2,0)</f>
        <v>MEDINA BATANERO FELIX</v>
      </c>
      <c r="C577" s="19">
        <f>VLOOKUP(A577,'ESTADOS ESTUDIANTES'!B:L,3,0)</f>
        <v>295</v>
      </c>
      <c r="D577" s="66" t="str">
        <f>VLOOKUP(A577,'ESTADOS ESTUDIANTES'!B:L,4,0)</f>
        <v>MAE. EN CIENCIAS DE LA INF. Y LAS COMUNICACIONES ENFASIS EN SIS. INFOR</v>
      </c>
      <c r="E577" s="19" t="str">
        <f>VLOOKUP(A577,'ESTADOS ESTUDIANTES'!B:L,5,0)</f>
        <v>X</v>
      </c>
      <c r="F577" s="18" t="str">
        <f>VLOOKUP(E577,Listas!B1:C1004,2,0)</f>
        <v>EXCLUIDO</v>
      </c>
      <c r="G577" s="19">
        <f>VLOOKUP(A577,'ESTADOS ESTUDIANTES'!B:L,7,0)</f>
        <v>3</v>
      </c>
      <c r="H577" s="19">
        <f>VLOOKUP(A577,'ESTADOS ESTUDIANTES'!B:L,8,0)</f>
        <v>0</v>
      </c>
      <c r="I577" s="70" t="str">
        <f>VLOOKUP(A577,'ESTADOS ESTUDIANTES'!B:L,9,0)</f>
        <v>femixmb@hotmail.com</v>
      </c>
      <c r="J577" s="19" t="str">
        <f>VLOOKUP(A577,'ESTADOS ESTUDIANTES'!B:L,10,0)</f>
        <v>CC</v>
      </c>
      <c r="K577" s="19">
        <f>VLOOKUP(A577,'ESTADOS ESTUDIANTES'!B:L,11,0)</f>
        <v>79875433</v>
      </c>
      <c r="L577" s="23"/>
      <c r="M577" s="20"/>
      <c r="N577" s="22"/>
      <c r="O577" s="15"/>
      <c r="P577" s="15"/>
      <c r="Q577" s="15"/>
      <c r="R577" s="15"/>
      <c r="S577" s="15"/>
      <c r="T577" s="15"/>
      <c r="U577" s="15"/>
    </row>
    <row r="578" spans="1:21" ht="90">
      <c r="A578" s="17">
        <v>20112295009</v>
      </c>
      <c r="B578" s="19" t="str">
        <f>VLOOKUP(A578,'ESTADOS ESTUDIANTES'!B:L,2,0)</f>
        <v>MENDEZ MATAMOROS JORGE HERNANDO</v>
      </c>
      <c r="C578" s="19">
        <f>VLOOKUP(A578,'ESTADOS ESTUDIANTES'!B:L,3,0)</f>
        <v>295</v>
      </c>
      <c r="D578" s="66" t="str">
        <f>VLOOKUP(A578,'ESTADOS ESTUDIANTES'!B:L,4,0)</f>
        <v>MAE. EN CIENCIAS DE LA INF. Y LAS COMUNICACIONES ENFASIS EN SIS. INFOR</v>
      </c>
      <c r="E578" s="19" t="str">
        <f>VLOOKUP(A578,'ESTADOS ESTUDIANTES'!B:L,5,0)</f>
        <v>E</v>
      </c>
      <c r="F578" s="18" t="str">
        <f>VLOOKUP(E578,Listas!B1:C1004,2,0)</f>
        <v>EGRESADO</v>
      </c>
      <c r="G578" s="19" t="str">
        <f>VLOOKUP(A578,'ESTADOS ESTUDIANTES'!B:L,7,0)</f>
        <v>NO REGISTRA</v>
      </c>
      <c r="H578" s="19">
        <f>VLOOKUP(A578,'ESTADOS ESTUDIANTES'!B:L,8,0)</f>
        <v>0</v>
      </c>
      <c r="I578" s="70" t="str">
        <f>VLOOKUP(A578,'ESTADOS ESTUDIANTES'!B:L,9,0)</f>
        <v>is.jorge@gmail.com</v>
      </c>
      <c r="J578" s="19" t="str">
        <f>VLOOKUP(A578,'ESTADOS ESTUDIANTES'!B:L,10,0)</f>
        <v>CC</v>
      </c>
      <c r="K578" s="19">
        <f>VLOOKUP(A578,'ESTADOS ESTUDIANTES'!B:L,11,0)</f>
        <v>80037717</v>
      </c>
      <c r="L578" s="23"/>
      <c r="M578" s="20"/>
      <c r="N578" s="22"/>
      <c r="O578" s="15"/>
      <c r="P578" s="15"/>
      <c r="Q578" s="15"/>
      <c r="R578" s="15"/>
      <c r="S578" s="15"/>
      <c r="T578" s="15"/>
      <c r="U578" s="15"/>
    </row>
    <row r="579" spans="1:21" ht="90">
      <c r="A579" s="17">
        <v>20112295010</v>
      </c>
      <c r="B579" s="19" t="str">
        <f>VLOOKUP(A579,'ESTADOS ESTUDIANTES'!B:L,2,0)</f>
        <v>SANTOS HOME JOSE ERMIS</v>
      </c>
      <c r="C579" s="19">
        <f>VLOOKUP(A579,'ESTADOS ESTUDIANTES'!B:L,3,0)</f>
        <v>295</v>
      </c>
      <c r="D579" s="66" t="str">
        <f>VLOOKUP(A579,'ESTADOS ESTUDIANTES'!B:L,4,0)</f>
        <v>MAE. EN CIENCIAS DE LA INF. Y LAS COMUNICACIONES ENFASIS EN SIS. INFOR</v>
      </c>
      <c r="E579" s="19" t="str">
        <f>VLOOKUP(A579,'ESTADOS ESTUDIANTES'!B:L,5,0)</f>
        <v>X</v>
      </c>
      <c r="F579" s="18" t="str">
        <f>VLOOKUP(E579,Listas!B1:C1004,2,0)</f>
        <v>EXCLUIDO</v>
      </c>
      <c r="G579" s="19" t="str">
        <f>VLOOKUP(A579,'ESTADOS ESTUDIANTES'!B:L,7,0)</f>
        <v>NO REGISTRA</v>
      </c>
      <c r="H579" s="19">
        <f>VLOOKUP(A579,'ESTADOS ESTUDIANTES'!B:L,8,0)</f>
        <v>0</v>
      </c>
      <c r="I579" s="70" t="str">
        <f>VLOOKUP(A579,'ESTADOS ESTUDIANTES'!B:L,9,0)</f>
        <v>ermis.santos@ecopetrol.com.co</v>
      </c>
      <c r="J579" s="19" t="str">
        <f>VLOOKUP(A579,'ESTADOS ESTUDIANTES'!B:L,10,0)</f>
        <v>CC</v>
      </c>
      <c r="K579" s="19">
        <f>VLOOKUP(A579,'ESTADOS ESTUDIANTES'!B:L,11,0)</f>
        <v>79132721</v>
      </c>
      <c r="L579" s="23"/>
      <c r="M579" s="20"/>
      <c r="N579" s="22"/>
      <c r="O579" s="15"/>
      <c r="P579" s="15"/>
      <c r="Q579" s="15"/>
      <c r="R579" s="15"/>
      <c r="S579" s="15"/>
      <c r="T579" s="15"/>
      <c r="U579" s="15"/>
    </row>
    <row r="580" spans="1:21" ht="90">
      <c r="A580" s="17">
        <v>20121195001</v>
      </c>
      <c r="B580" s="19" t="str">
        <f>VLOOKUP(A580,'ESTADOS ESTUDIANTES'!B:L,2,0)</f>
        <v>ANGULO MORALES VICTOR DANIEL</v>
      </c>
      <c r="C580" s="19">
        <f>VLOOKUP(A580,'ESTADOS ESTUDIANTES'!B:L,3,0)</f>
        <v>195</v>
      </c>
      <c r="D580" s="66" t="str">
        <f>VLOOKUP(A580,'ESTADOS ESTUDIANTES'!B:L,4,0)</f>
        <v>MAE. EN CIENCIAS DE LA INF. Y LAS COMUNICACIONES ENFASIS EN TELEINF.</v>
      </c>
      <c r="E580" s="19" t="str">
        <f>VLOOKUP(A580,'ESTADOS ESTUDIANTES'!B:L,5,0)</f>
        <v>E</v>
      </c>
      <c r="F580" s="18" t="str">
        <f>VLOOKUP(E580,Listas!B1:C1004,2,0)</f>
        <v>EGRESADO</v>
      </c>
      <c r="G580" s="19" t="str">
        <f>VLOOKUP(A580,'ESTADOS ESTUDIANTES'!B:L,7,0)</f>
        <v>NO REGISTRA</v>
      </c>
      <c r="H580" s="19">
        <f>VLOOKUP(A580,'ESTADOS ESTUDIANTES'!B:L,8,0)</f>
        <v>0</v>
      </c>
      <c r="I580" s="70" t="str">
        <f>VLOOKUP(A580,'ESTADOS ESTUDIANTES'!B:L,9,0)</f>
        <v>vdangulom@correo.udistrital.edu.co</v>
      </c>
      <c r="J580" s="19" t="str">
        <f>VLOOKUP(A580,'ESTADOS ESTUDIANTES'!B:L,10,0)</f>
        <v>CC</v>
      </c>
      <c r="K580" s="19">
        <f>VLOOKUP(A580,'ESTADOS ESTUDIANTES'!B:L,11,0)</f>
        <v>1018419891</v>
      </c>
      <c r="L580" s="19">
        <v>3005451312</v>
      </c>
      <c r="M580" s="20"/>
      <c r="N580" s="22"/>
      <c r="O580" s="15"/>
      <c r="P580" s="15"/>
      <c r="Q580" s="15"/>
      <c r="R580" s="15"/>
      <c r="S580" s="15"/>
      <c r="T580" s="15"/>
      <c r="U580" s="15"/>
    </row>
    <row r="581" spans="1:21" ht="90">
      <c r="A581" s="17">
        <v>20121195002</v>
      </c>
      <c r="B581" s="19" t="str">
        <f>VLOOKUP(A581,'ESTADOS ESTUDIANTES'!B:L,2,0)</f>
        <v>AVENDAÑO BARRERA DAVIDSON</v>
      </c>
      <c r="C581" s="19">
        <f>VLOOKUP(A581,'ESTADOS ESTUDIANTES'!B:L,3,0)</f>
        <v>195</v>
      </c>
      <c r="D581" s="66" t="str">
        <f>VLOOKUP(A581,'ESTADOS ESTUDIANTES'!B:L,4,0)</f>
        <v>MAE. EN CIENCIAS DE LA INF. Y LAS COMUNICACIONES ENFASIS EN TELEINF.</v>
      </c>
      <c r="E581" s="19" t="str">
        <f>VLOOKUP(A581,'ESTADOS ESTUDIANTES'!B:L,5,0)</f>
        <v>X</v>
      </c>
      <c r="F581" s="18" t="str">
        <f>VLOOKUP(E581,Listas!B1:C1004,2,0)</f>
        <v>EXCLUIDO</v>
      </c>
      <c r="G581" s="19" t="str">
        <f>VLOOKUP(A581,'ESTADOS ESTUDIANTES'!B:L,7,0)</f>
        <v>NO REGISTRA</v>
      </c>
      <c r="H581" s="19">
        <f>VLOOKUP(A581,'ESTADOS ESTUDIANTES'!B:L,8,0)</f>
        <v>0</v>
      </c>
      <c r="I581" s="70" t="str">
        <f>VLOOKUP(A581,'ESTADOS ESTUDIANTES'!B:L,9,0)</f>
        <v>davidson_aven_ba@hotmail.com</v>
      </c>
      <c r="J581" s="19" t="str">
        <f>VLOOKUP(A581,'ESTADOS ESTUDIANTES'!B:L,10,0)</f>
        <v>CC</v>
      </c>
      <c r="K581" s="19">
        <f>VLOOKUP(A581,'ESTADOS ESTUDIANTES'!B:L,11,0)</f>
        <v>1016007842</v>
      </c>
      <c r="L581" s="23"/>
      <c r="M581" s="20"/>
      <c r="N581" s="22"/>
      <c r="O581" s="15"/>
      <c r="P581" s="15"/>
      <c r="Q581" s="15"/>
      <c r="R581" s="15"/>
      <c r="S581" s="15"/>
      <c r="T581" s="15"/>
      <c r="U581" s="15"/>
    </row>
    <row r="582" spans="1:21" ht="90">
      <c r="A582" s="17">
        <v>20121195003</v>
      </c>
      <c r="B582" s="19" t="str">
        <f>VLOOKUP(A582,'ESTADOS ESTUDIANTES'!B:L,2,0)</f>
        <v>AVILA SANCHEZ JAIME ANTONIO</v>
      </c>
      <c r="C582" s="19">
        <f>VLOOKUP(A582,'ESTADOS ESTUDIANTES'!B:L,3,0)</f>
        <v>195</v>
      </c>
      <c r="D582" s="66" t="str">
        <f>VLOOKUP(A582,'ESTADOS ESTUDIANTES'!B:L,4,0)</f>
        <v>MAE. EN CIENCIAS DE LA INF. Y LAS COMUNICACIONES ENFASIS EN TELEINF.</v>
      </c>
      <c r="E582" s="19" t="str">
        <f>VLOOKUP(A582,'ESTADOS ESTUDIANTES'!B:L,5,0)</f>
        <v>E</v>
      </c>
      <c r="F582" s="18" t="str">
        <f>VLOOKUP(E582,Listas!B1:C1004,2,0)</f>
        <v>EGRESADO</v>
      </c>
      <c r="G582" s="19">
        <f>VLOOKUP(A582,'ESTADOS ESTUDIANTES'!B:L,7,0)</f>
        <v>3</v>
      </c>
      <c r="H582" s="19" t="str">
        <f>VLOOKUP(A582,'ESTADOS ESTUDIANTES'!B:L,8,0)</f>
        <v>jaaavilas@udistrital.edu.co</v>
      </c>
      <c r="I582" s="70" t="str">
        <f>VLOOKUP(A582,'ESTADOS ESTUDIANTES'!B:L,9,0)</f>
        <v>jaimejaas@gmail.com</v>
      </c>
      <c r="J582" s="19" t="str">
        <f>VLOOKUP(A582,'ESTADOS ESTUDIANTES'!B:L,10,0)</f>
        <v>CC</v>
      </c>
      <c r="K582" s="19">
        <f>VLOOKUP(A582,'ESTADOS ESTUDIANTES'!B:L,11,0)</f>
        <v>7174732</v>
      </c>
      <c r="L582" s="19">
        <v>3212407312</v>
      </c>
      <c r="M582" s="20">
        <v>28664</v>
      </c>
      <c r="N582" s="22"/>
      <c r="O582" s="15"/>
      <c r="P582" s="15"/>
      <c r="Q582" s="15"/>
      <c r="R582" s="15"/>
      <c r="S582" s="15"/>
      <c r="T582" s="15"/>
      <c r="U582" s="15"/>
    </row>
    <row r="583" spans="1:21" ht="90">
      <c r="A583" s="17">
        <v>20121195004</v>
      </c>
      <c r="B583" s="19" t="str">
        <f>VLOOKUP(A583,'ESTADOS ESTUDIANTES'!B:L,2,0)</f>
        <v>CARILLO GUIZA AMALIA EMELDA</v>
      </c>
      <c r="C583" s="19">
        <f>VLOOKUP(A583,'ESTADOS ESTUDIANTES'!B:L,3,0)</f>
        <v>195</v>
      </c>
      <c r="D583" s="66" t="str">
        <f>VLOOKUP(A583,'ESTADOS ESTUDIANTES'!B:L,4,0)</f>
        <v>MAE. EN CIENCIAS DE LA INF. Y LAS COMUNICACIONES ENFASIS EN TELEINF.</v>
      </c>
      <c r="E583" s="19" t="str">
        <f>VLOOKUP(A583,'ESTADOS ESTUDIANTES'!B:L,5,0)</f>
        <v>X</v>
      </c>
      <c r="F583" s="18" t="str">
        <f>VLOOKUP(E583,Listas!B1:C1004,2,0)</f>
        <v>EXCLUIDO</v>
      </c>
      <c r="G583" s="19" t="str">
        <f>VLOOKUP(A583,'ESTADOS ESTUDIANTES'!B:L,7,0)</f>
        <v>NO REGISTRA</v>
      </c>
      <c r="H583" s="19">
        <f>VLOOKUP(A583,'ESTADOS ESTUDIANTES'!B:L,8,0)</f>
        <v>0</v>
      </c>
      <c r="I583" s="70" t="str">
        <f>VLOOKUP(A583,'ESTADOS ESTUDIANTES'!B:L,9,0)</f>
        <v>amaliacargui@gmail.com</v>
      </c>
      <c r="J583" s="19" t="str">
        <f>VLOOKUP(A583,'ESTADOS ESTUDIANTES'!B:L,10,0)</f>
        <v>CC</v>
      </c>
      <c r="K583" s="19">
        <f>VLOOKUP(A583,'ESTADOS ESTUDIANTES'!B:L,11,0)</f>
        <v>28192336</v>
      </c>
      <c r="L583" s="19">
        <v>3208004192</v>
      </c>
      <c r="M583" s="20"/>
      <c r="N583" s="22"/>
      <c r="O583" s="15"/>
      <c r="P583" s="15"/>
      <c r="Q583" s="15"/>
      <c r="R583" s="15"/>
      <c r="S583" s="15"/>
      <c r="T583" s="15"/>
      <c r="U583" s="15"/>
    </row>
    <row r="584" spans="1:21" ht="90">
      <c r="A584" s="17">
        <v>20121195005</v>
      </c>
      <c r="B584" s="19" t="str">
        <f>VLOOKUP(A584,'ESTADOS ESTUDIANTES'!B:L,2,0)</f>
        <v>CASTELLANOS MORA EIDA MARCELA</v>
      </c>
      <c r="C584" s="19">
        <f>VLOOKUP(A584,'ESTADOS ESTUDIANTES'!B:L,3,0)</f>
        <v>195</v>
      </c>
      <c r="D584" s="66" t="str">
        <f>VLOOKUP(A584,'ESTADOS ESTUDIANTES'!B:L,4,0)</f>
        <v>MAE. EN CIENCIAS DE LA INF. Y LAS COMUNICACIONES ENFASIS EN TELEINF.</v>
      </c>
      <c r="E584" s="19" t="str">
        <f>VLOOKUP(A584,'ESTADOS ESTUDIANTES'!B:L,5,0)</f>
        <v>X</v>
      </c>
      <c r="F584" s="18" t="str">
        <f>VLOOKUP(E584,Listas!B1:C1004,2,0)</f>
        <v>EXCLUIDO</v>
      </c>
      <c r="G584" s="19" t="str">
        <f>VLOOKUP(A584,'ESTADOS ESTUDIANTES'!B:L,7,0)</f>
        <v>NO REGISTRA</v>
      </c>
      <c r="H584" s="19">
        <f>VLOOKUP(A584,'ESTADOS ESTUDIANTES'!B:L,8,0)</f>
        <v>0</v>
      </c>
      <c r="I584" s="70" t="str">
        <f>VLOOKUP(A584,'ESTADOS ESTUDIANTES'!B:L,9,0)</f>
        <v>emcmis@hotmail.com</v>
      </c>
      <c r="J584" s="19" t="str">
        <f>VLOOKUP(A584,'ESTADOS ESTUDIANTES'!B:L,10,0)</f>
        <v>CC</v>
      </c>
      <c r="K584" s="19">
        <f>VLOOKUP(A584,'ESTADOS ESTUDIANTES'!B:L,11,0)</f>
        <v>20824818</v>
      </c>
      <c r="L584" s="23"/>
      <c r="M584" s="20"/>
      <c r="N584" s="22"/>
      <c r="O584" s="15"/>
      <c r="P584" s="15"/>
      <c r="Q584" s="15"/>
      <c r="R584" s="15"/>
      <c r="S584" s="15"/>
      <c r="T584" s="15"/>
      <c r="U584" s="15"/>
    </row>
    <row r="585" spans="1:21" ht="90">
      <c r="A585" s="17">
        <v>20121195006</v>
      </c>
      <c r="B585" s="19" t="str">
        <f>VLOOKUP(A585,'ESTADOS ESTUDIANTES'!B:L,2,0)</f>
        <v>CISNEROS ROSERO ALVARO HUMBERTO</v>
      </c>
      <c r="C585" s="19">
        <f>VLOOKUP(A585,'ESTADOS ESTUDIANTES'!B:L,3,0)</f>
        <v>195</v>
      </c>
      <c r="D585" s="66" t="str">
        <f>VLOOKUP(A585,'ESTADOS ESTUDIANTES'!B:L,4,0)</f>
        <v>MAE. EN CIENCIAS DE LA INF. Y LAS COMUNICACIONES ENFASIS EN TELEINF.</v>
      </c>
      <c r="E585" s="19" t="str">
        <f>VLOOKUP(A585,'ESTADOS ESTUDIANTES'!B:L,5,0)</f>
        <v>X</v>
      </c>
      <c r="F585" s="18" t="str">
        <f>VLOOKUP(E585,Listas!B1:C1004,2,0)</f>
        <v>EXCLUIDO</v>
      </c>
      <c r="G585" s="19" t="str">
        <f>VLOOKUP(A585,'ESTADOS ESTUDIANTES'!B:L,7,0)</f>
        <v>NO REGISTRA</v>
      </c>
      <c r="H585" s="19">
        <f>VLOOKUP(A585,'ESTADOS ESTUDIANTES'!B:L,8,0)</f>
        <v>0</v>
      </c>
      <c r="I585" s="70" t="str">
        <f>VLOOKUP(A585,'ESTADOS ESTUDIANTES'!B:L,9,0)</f>
        <v>humcis@gmail.com</v>
      </c>
      <c r="J585" s="19" t="str">
        <f>VLOOKUP(A585,'ESTADOS ESTUDIANTES'!B:L,10,0)</f>
        <v>CC</v>
      </c>
      <c r="K585" s="19">
        <f>VLOOKUP(A585,'ESTADOS ESTUDIANTES'!B:L,11,0)</f>
        <v>80735300</v>
      </c>
      <c r="L585" s="19">
        <v>3174021181</v>
      </c>
      <c r="M585" s="20"/>
      <c r="N585" s="22"/>
      <c r="O585" s="15"/>
      <c r="P585" s="15"/>
      <c r="Q585" s="15"/>
      <c r="R585" s="15"/>
      <c r="S585" s="15"/>
      <c r="T585" s="15"/>
      <c r="U585" s="15"/>
    </row>
    <row r="586" spans="1:21" ht="90">
      <c r="A586" s="17">
        <v>20121195007</v>
      </c>
      <c r="B586" s="19" t="str">
        <f>VLOOKUP(A586,'ESTADOS ESTUDIANTES'!B:L,2,0)</f>
        <v>CRUZ GARCIA MANUEL ALEJANDRO</v>
      </c>
      <c r="C586" s="19">
        <f>VLOOKUP(A586,'ESTADOS ESTUDIANTES'!B:L,3,0)</f>
        <v>195</v>
      </c>
      <c r="D586" s="66" t="str">
        <f>VLOOKUP(A586,'ESTADOS ESTUDIANTES'!B:L,4,0)</f>
        <v>MAE. EN CIENCIAS DE LA INF. Y LAS COMUNICACIONES ENFASIS EN TELEINF.</v>
      </c>
      <c r="E586" s="19" t="str">
        <f>VLOOKUP(A586,'ESTADOS ESTUDIANTES'!B:L,5,0)</f>
        <v>X</v>
      </c>
      <c r="F586" s="18" t="str">
        <f>VLOOKUP(E586,Listas!B1:C1004,2,0)</f>
        <v>EXCLUIDO</v>
      </c>
      <c r="G586" s="19" t="str">
        <f>VLOOKUP(A586,'ESTADOS ESTUDIANTES'!B:L,7,0)</f>
        <v>NO REGISTRA</v>
      </c>
      <c r="H586" s="19">
        <f>VLOOKUP(A586,'ESTADOS ESTUDIANTES'!B:L,8,0)</f>
        <v>0</v>
      </c>
      <c r="I586" s="70" t="str">
        <f>VLOOKUP(A586,'ESTADOS ESTUDIANTES'!B:L,9,0)</f>
        <v>macruga@gmail.com</v>
      </c>
      <c r="J586" s="19" t="str">
        <f>VLOOKUP(A586,'ESTADOS ESTUDIANTES'!B:L,10,0)</f>
        <v>CC</v>
      </c>
      <c r="K586" s="19">
        <f>VLOOKUP(A586,'ESTADOS ESTUDIANTES'!B:L,11,0)</f>
        <v>80138072</v>
      </c>
      <c r="L586" s="19">
        <v>3115598705</v>
      </c>
      <c r="M586" s="20"/>
      <c r="N586" s="22"/>
      <c r="O586" s="15"/>
      <c r="P586" s="15"/>
      <c r="Q586" s="15"/>
      <c r="R586" s="15"/>
      <c r="S586" s="15"/>
      <c r="T586" s="15"/>
      <c r="U586" s="15"/>
    </row>
    <row r="587" spans="1:21" ht="90">
      <c r="A587" s="17">
        <v>20121195008</v>
      </c>
      <c r="B587" s="19" t="str">
        <f>VLOOKUP(A587,'ESTADOS ESTUDIANTES'!B:L,2,0)</f>
        <v>GAMBOA QUIROGA FAUSTO ALEXANDER</v>
      </c>
      <c r="C587" s="19">
        <f>VLOOKUP(A587,'ESTADOS ESTUDIANTES'!B:L,3,0)</f>
        <v>195</v>
      </c>
      <c r="D587" s="66" t="str">
        <f>VLOOKUP(A587,'ESTADOS ESTUDIANTES'!B:L,4,0)</f>
        <v>MAE. EN CIENCIAS DE LA INF. Y LAS COMUNICACIONES ENFASIS EN TELEINF.</v>
      </c>
      <c r="E587" s="19" t="str">
        <f>VLOOKUP(A587,'ESTADOS ESTUDIANTES'!B:L,5,0)</f>
        <v>X</v>
      </c>
      <c r="F587" s="18" t="str">
        <f>VLOOKUP(E587,Listas!B1:C1004,2,0)</f>
        <v>EXCLUIDO</v>
      </c>
      <c r="G587" s="19" t="str">
        <f>VLOOKUP(A587,'ESTADOS ESTUDIANTES'!B:L,7,0)</f>
        <v>NO REGISTRA</v>
      </c>
      <c r="H587" s="19">
        <f>VLOOKUP(A587,'ESTADOS ESTUDIANTES'!B:L,8,0)</f>
        <v>0</v>
      </c>
      <c r="I587" s="70" t="str">
        <f>VLOOKUP(A587,'ESTADOS ESTUDIANTES'!B:L,9,0)</f>
        <v>leadhfg@gmail.com</v>
      </c>
      <c r="J587" s="19" t="str">
        <f>VLOOKUP(A587,'ESTADOS ESTUDIANTES'!B:L,10,0)</f>
        <v>CC</v>
      </c>
      <c r="K587" s="19">
        <f>VLOOKUP(A587,'ESTADOS ESTUDIANTES'!B:L,11,0)</f>
        <v>1032419237</v>
      </c>
      <c r="L587" s="19">
        <v>3102367551</v>
      </c>
      <c r="M587" s="18" t="s">
        <v>14</v>
      </c>
      <c r="N587" s="22"/>
      <c r="O587" s="15"/>
      <c r="P587" s="15"/>
      <c r="Q587" s="15"/>
      <c r="R587" s="15"/>
      <c r="S587" s="15"/>
      <c r="T587" s="15"/>
      <c r="U587" s="15"/>
    </row>
    <row r="588" spans="1:21" ht="90">
      <c r="A588" s="17">
        <v>20121195009</v>
      </c>
      <c r="B588" s="19" t="str">
        <f>VLOOKUP(A588,'ESTADOS ESTUDIANTES'!B:L,2,0)</f>
        <v>GUZMAN CUESTA OSCAR EDUARDO</v>
      </c>
      <c r="C588" s="19">
        <f>VLOOKUP(A588,'ESTADOS ESTUDIANTES'!B:L,3,0)</f>
        <v>195</v>
      </c>
      <c r="D588" s="66" t="str">
        <f>VLOOKUP(A588,'ESTADOS ESTUDIANTES'!B:L,4,0)</f>
        <v>MAE. EN CIENCIAS DE LA INF. Y LAS COMUNICACIONES ENFASIS EN TELEINF.</v>
      </c>
      <c r="E588" s="19" t="str">
        <f>VLOOKUP(A588,'ESTADOS ESTUDIANTES'!B:L,5,0)</f>
        <v>X</v>
      </c>
      <c r="F588" s="18" t="str">
        <f>VLOOKUP(E588,Listas!B1:C1004,2,0)</f>
        <v>EXCLUIDO</v>
      </c>
      <c r="G588" s="19" t="str">
        <f>VLOOKUP(A588,'ESTADOS ESTUDIANTES'!B:L,7,0)</f>
        <v>NO REGISTRA</v>
      </c>
      <c r="H588" s="19">
        <f>VLOOKUP(A588,'ESTADOS ESTUDIANTES'!B:L,8,0)</f>
        <v>0</v>
      </c>
      <c r="I588" s="70" t="str">
        <f>VLOOKUP(A588,'ESTADOS ESTUDIANTES'!B:L,9,0)</f>
        <v>oscarguzman@ieee.org</v>
      </c>
      <c r="J588" s="19" t="str">
        <f>VLOOKUP(A588,'ESTADOS ESTUDIANTES'!B:L,10,0)</f>
        <v>CC</v>
      </c>
      <c r="K588" s="19">
        <f>VLOOKUP(A588,'ESTADOS ESTUDIANTES'!B:L,11,0)</f>
        <v>11276234</v>
      </c>
      <c r="L588" s="23"/>
      <c r="M588" s="20"/>
      <c r="N588" s="22"/>
      <c r="O588" s="15"/>
      <c r="P588" s="15"/>
      <c r="Q588" s="15"/>
      <c r="R588" s="15"/>
      <c r="S588" s="15"/>
      <c r="T588" s="15"/>
      <c r="U588" s="15"/>
    </row>
    <row r="589" spans="1:21" ht="90">
      <c r="A589" s="17">
        <v>20121195010</v>
      </c>
      <c r="B589" s="19" t="str">
        <f>VLOOKUP(A589,'ESTADOS ESTUDIANTES'!B:L,2,0)</f>
        <v>MONTAÑA CARPINTERO JAVIER ALBERTO</v>
      </c>
      <c r="C589" s="19">
        <f>VLOOKUP(A589,'ESTADOS ESTUDIANTES'!B:L,3,0)</f>
        <v>195</v>
      </c>
      <c r="D589" s="66" t="str">
        <f>VLOOKUP(A589,'ESTADOS ESTUDIANTES'!B:L,4,0)</f>
        <v>MAE. EN CIENCIAS DE LA INF. Y LAS COMUNICACIONES ENFASIS EN TELEINF.</v>
      </c>
      <c r="E589" s="19" t="str">
        <f>VLOOKUP(A589,'ESTADOS ESTUDIANTES'!B:L,5,0)</f>
        <v>X</v>
      </c>
      <c r="F589" s="18" t="str">
        <f>VLOOKUP(E589,Listas!B1:C1004,2,0)</f>
        <v>EXCLUIDO</v>
      </c>
      <c r="G589" s="19" t="str">
        <f>VLOOKUP(A589,'ESTADOS ESTUDIANTES'!B:L,7,0)</f>
        <v>NO REGISTRA</v>
      </c>
      <c r="H589" s="19">
        <f>VLOOKUP(A589,'ESTADOS ESTUDIANTES'!B:L,8,0)</f>
        <v>0</v>
      </c>
      <c r="I589" s="70" t="str">
        <f>VLOOKUP(A589,'ESTADOS ESTUDIANTES'!B:L,9,0)</f>
        <v>javmon@cable.net.co</v>
      </c>
      <c r="J589" s="19" t="str">
        <f>VLOOKUP(A589,'ESTADOS ESTUDIANTES'!B:L,10,0)</f>
        <v>CC</v>
      </c>
      <c r="K589" s="19">
        <f>VLOOKUP(A589,'ESTADOS ESTUDIANTES'!B:L,11,0)</f>
        <v>79790907</v>
      </c>
      <c r="L589" s="19">
        <v>3003849139</v>
      </c>
      <c r="M589" s="20"/>
      <c r="N589" s="22"/>
      <c r="O589" s="15"/>
      <c r="P589" s="15"/>
      <c r="Q589" s="15"/>
      <c r="R589" s="15"/>
      <c r="S589" s="15"/>
      <c r="T589" s="15"/>
      <c r="U589" s="15"/>
    </row>
    <row r="590" spans="1:21" ht="90">
      <c r="A590" s="17">
        <v>20121195011</v>
      </c>
      <c r="B590" s="19" t="str">
        <f>VLOOKUP(A590,'ESTADOS ESTUDIANTES'!B:L,2,0)</f>
        <v>MORA RODRIGUEZ CARLOS EDUARDO</v>
      </c>
      <c r="C590" s="19">
        <f>VLOOKUP(A590,'ESTADOS ESTUDIANTES'!B:L,3,0)</f>
        <v>195</v>
      </c>
      <c r="D590" s="66" t="str">
        <f>VLOOKUP(A590,'ESTADOS ESTUDIANTES'!B:L,4,0)</f>
        <v>MAE. EN CIENCIAS DE LA INF. Y LAS COMUNICACIONES ENFASIS EN TELEINF.</v>
      </c>
      <c r="E590" s="19" t="str">
        <f>VLOOKUP(A590,'ESTADOS ESTUDIANTES'!B:L,5,0)</f>
        <v>X</v>
      </c>
      <c r="F590" s="18" t="str">
        <f>VLOOKUP(E590,Listas!B1:C1004,2,0)</f>
        <v>EXCLUIDO</v>
      </c>
      <c r="G590" s="19">
        <f>VLOOKUP(A590,'ESTADOS ESTUDIANTES'!B:L,7,0)</f>
        <v>3</v>
      </c>
      <c r="H590" s="19">
        <f>VLOOKUP(A590,'ESTADOS ESTUDIANTES'!B:L,8,0)</f>
        <v>0</v>
      </c>
      <c r="I590" s="70" t="str">
        <f>VLOOKUP(A590,'ESTADOS ESTUDIANTES'!B:L,9,0)</f>
        <v>cemorar@gmail.com</v>
      </c>
      <c r="J590" s="19" t="str">
        <f>VLOOKUP(A590,'ESTADOS ESTUDIANTES'!B:L,10,0)</f>
        <v>CC</v>
      </c>
      <c r="K590" s="19">
        <f>VLOOKUP(A590,'ESTADOS ESTUDIANTES'!B:L,11,0)</f>
        <v>1018409737</v>
      </c>
      <c r="L590" s="19">
        <v>3124765296</v>
      </c>
      <c r="M590" s="20"/>
      <c r="N590" s="22"/>
      <c r="O590" s="15"/>
      <c r="P590" s="15"/>
      <c r="Q590" s="15"/>
      <c r="R590" s="15"/>
      <c r="S590" s="15"/>
      <c r="T590" s="15"/>
      <c r="U590" s="15"/>
    </row>
    <row r="591" spans="1:21" ht="90">
      <c r="A591" s="17">
        <v>20121195012</v>
      </c>
      <c r="B591" s="19" t="str">
        <f>VLOOKUP(A591,'ESTADOS ESTUDIANTES'!B:L,2,0)</f>
        <v>ROJAS HERNANDEZ JOSE ANDRES</v>
      </c>
      <c r="C591" s="19">
        <f>VLOOKUP(A591,'ESTADOS ESTUDIANTES'!B:L,3,0)</f>
        <v>195</v>
      </c>
      <c r="D591" s="66" t="str">
        <f>VLOOKUP(A591,'ESTADOS ESTUDIANTES'!B:L,4,0)</f>
        <v>MAE. EN CIENCIAS DE LA INF. Y LAS COMUNICACIONES ENFASIS EN TELEINF.</v>
      </c>
      <c r="E591" s="19" t="str">
        <f>VLOOKUP(A591,'ESTADOS ESTUDIANTES'!B:L,5,0)</f>
        <v>X</v>
      </c>
      <c r="F591" s="18" t="str">
        <f>VLOOKUP(E591,Listas!B1:C1004,2,0)</f>
        <v>EXCLUIDO</v>
      </c>
      <c r="G591" s="19" t="str">
        <f>VLOOKUP(A591,'ESTADOS ESTUDIANTES'!B:L,7,0)</f>
        <v>NO REGISTRA</v>
      </c>
      <c r="H591" s="19">
        <f>VLOOKUP(A591,'ESTADOS ESTUDIANTES'!B:L,8,0)</f>
        <v>0</v>
      </c>
      <c r="I591" s="70" t="str">
        <f>VLOOKUP(A591,'ESTADOS ESTUDIANTES'!B:L,9,0)</f>
        <v>jar-hernandez@hotmail.com</v>
      </c>
      <c r="J591" s="19" t="str">
        <f>VLOOKUP(A591,'ESTADOS ESTUDIANTES'!B:L,10,0)</f>
        <v>CC</v>
      </c>
      <c r="K591" s="19">
        <f>VLOOKUP(A591,'ESTADOS ESTUDIANTES'!B:L,11,0)</f>
        <v>86069620</v>
      </c>
      <c r="L591" s="19">
        <v>3144448563</v>
      </c>
      <c r="M591" s="20"/>
      <c r="N591" s="22"/>
      <c r="O591" s="15"/>
      <c r="P591" s="15"/>
      <c r="Q591" s="15"/>
      <c r="R591" s="15"/>
      <c r="S591" s="15"/>
      <c r="T591" s="15"/>
      <c r="U591" s="15"/>
    </row>
    <row r="592" spans="1:21" ht="90">
      <c r="A592" s="17">
        <v>20121195013</v>
      </c>
      <c r="B592" s="19" t="str">
        <f>VLOOKUP(A592,'ESTADOS ESTUDIANTES'!B:L,2,0)</f>
        <v>SEPULVEDA NUÑEZ DANIEL ALEJANDRO</v>
      </c>
      <c r="C592" s="19">
        <f>VLOOKUP(A592,'ESTADOS ESTUDIANTES'!B:L,3,0)</f>
        <v>195</v>
      </c>
      <c r="D592" s="66" t="str">
        <f>VLOOKUP(A592,'ESTADOS ESTUDIANTES'!B:L,4,0)</f>
        <v>MAE. EN CIENCIAS DE LA INF. Y LAS COMUNICACIONES ENFASIS EN TELEINF.</v>
      </c>
      <c r="E592" s="19" t="str">
        <f>VLOOKUP(A592,'ESTADOS ESTUDIANTES'!B:L,5,0)</f>
        <v>X</v>
      </c>
      <c r="F592" s="18" t="str">
        <f>VLOOKUP(E592,Listas!B1:C1004,2,0)</f>
        <v>EXCLUIDO</v>
      </c>
      <c r="G592" s="19" t="str">
        <f>VLOOKUP(A592,'ESTADOS ESTUDIANTES'!B:L,7,0)</f>
        <v>NO REGISTRA</v>
      </c>
      <c r="H592" s="19">
        <f>VLOOKUP(A592,'ESTADOS ESTUDIANTES'!B:L,8,0)</f>
        <v>0</v>
      </c>
      <c r="I592" s="70" t="str">
        <f>VLOOKUP(A592,'ESTADOS ESTUDIANTES'!B:L,9,0)</f>
        <v>daniel.sepulvedanunez@gmail.com</v>
      </c>
      <c r="J592" s="19" t="str">
        <f>VLOOKUP(A592,'ESTADOS ESTUDIANTES'!B:L,10,0)</f>
        <v>CC</v>
      </c>
      <c r="K592" s="19">
        <f>VLOOKUP(A592,'ESTADOS ESTUDIANTES'!B:L,11,0)</f>
        <v>7188239</v>
      </c>
      <c r="L592" s="19">
        <v>3115229916</v>
      </c>
      <c r="M592" s="20"/>
      <c r="N592" s="22"/>
      <c r="O592" s="15"/>
      <c r="P592" s="15"/>
      <c r="Q592" s="15"/>
      <c r="R592" s="15"/>
      <c r="S592" s="15"/>
      <c r="T592" s="15"/>
      <c r="U592" s="15"/>
    </row>
    <row r="593" spans="1:21" ht="90">
      <c r="A593" s="17">
        <v>20121195014</v>
      </c>
      <c r="B593" s="19" t="str">
        <f>VLOOKUP(A593,'ESTADOS ESTUDIANTES'!B:L,2,0)</f>
        <v>SOTO CONDE DIEGO FELIPE</v>
      </c>
      <c r="C593" s="19">
        <f>VLOOKUP(A593,'ESTADOS ESTUDIANTES'!B:L,3,0)</f>
        <v>195</v>
      </c>
      <c r="D593" s="66" t="str">
        <f>VLOOKUP(A593,'ESTADOS ESTUDIANTES'!B:L,4,0)</f>
        <v>MAE. EN CIENCIAS DE LA INF. Y LAS COMUNICACIONES ENFASIS EN TELEINF.</v>
      </c>
      <c r="E593" s="19" t="str">
        <f>VLOOKUP(A593,'ESTADOS ESTUDIANTES'!B:L,5,0)</f>
        <v>E</v>
      </c>
      <c r="F593" s="18" t="str">
        <f>VLOOKUP(E593,Listas!B1:C1004,2,0)</f>
        <v>EGRESADO</v>
      </c>
      <c r="G593" s="19" t="str">
        <f>VLOOKUP(A593,'ESTADOS ESTUDIANTES'!B:L,7,0)</f>
        <v>NO REGISTRA</v>
      </c>
      <c r="H593" s="19" t="str">
        <f>VLOOKUP(A593,'ESTADOS ESTUDIANTES'!B:L,8,0)</f>
        <v>scdiegof@correo.udistrital.edu.co</v>
      </c>
      <c r="I593" s="70" t="str">
        <f>VLOOKUP(A593,'ESTADOS ESTUDIANTES'!B:L,9,0)</f>
        <v>difeso@gmail.com</v>
      </c>
      <c r="J593" s="19" t="str">
        <f>VLOOKUP(A593,'ESTADOS ESTUDIANTES'!B:L,10,0)</f>
        <v>CC</v>
      </c>
      <c r="K593" s="19">
        <f>VLOOKUP(A593,'ESTADOS ESTUDIANTES'!B:L,11,0)</f>
        <v>93453664</v>
      </c>
      <c r="L593" s="19">
        <v>3193088875</v>
      </c>
      <c r="M593" s="20"/>
      <c r="N593" s="22"/>
      <c r="O593" s="15"/>
      <c r="P593" s="15"/>
      <c r="Q593" s="15"/>
      <c r="R593" s="15"/>
      <c r="S593" s="15"/>
      <c r="T593" s="15"/>
      <c r="U593" s="15"/>
    </row>
    <row r="594" spans="1:21" ht="90">
      <c r="A594" s="17">
        <v>20121195015</v>
      </c>
      <c r="B594" s="19" t="str">
        <f>VLOOKUP(A594,'ESTADOS ESTUDIANTES'!B:L,2,0)</f>
        <v>VILLANUEVA OCAMPO BAYRON FABIO</v>
      </c>
      <c r="C594" s="19">
        <f>VLOOKUP(A594,'ESTADOS ESTUDIANTES'!B:L,3,0)</f>
        <v>195</v>
      </c>
      <c r="D594" s="66" t="str">
        <f>VLOOKUP(A594,'ESTADOS ESTUDIANTES'!B:L,4,0)</f>
        <v>MAE. EN CIENCIAS DE LA INF. Y LAS COMUNICACIONES ENFASIS EN TELEINF.</v>
      </c>
      <c r="E594" s="19" t="str">
        <f>VLOOKUP(A594,'ESTADOS ESTUDIANTES'!B:L,5,0)</f>
        <v>X</v>
      </c>
      <c r="F594" s="18" t="str">
        <f>VLOOKUP(E594,Listas!B1:C1004,2,0)</f>
        <v>EXCLUIDO</v>
      </c>
      <c r="G594" s="19" t="str">
        <f>VLOOKUP(A594,'ESTADOS ESTUDIANTES'!B:L,7,0)</f>
        <v>NO REGISTRA</v>
      </c>
      <c r="H594" s="19">
        <f>VLOOKUP(A594,'ESTADOS ESTUDIANTES'!B:L,8,0)</f>
        <v>0</v>
      </c>
      <c r="I594" s="70" t="str">
        <f>VLOOKUP(A594,'ESTADOS ESTUDIANTES'!B:L,9,0)</f>
        <v>bfv88@hotmail.com</v>
      </c>
      <c r="J594" s="19" t="str">
        <f>VLOOKUP(A594,'ESTADOS ESTUDIANTES'!B:L,10,0)</f>
        <v>CC</v>
      </c>
      <c r="K594" s="19">
        <f>VLOOKUP(A594,'ESTADOS ESTUDIANTES'!B:L,11,0)</f>
        <v>1110468388</v>
      </c>
      <c r="L594" s="19">
        <v>3164989508</v>
      </c>
      <c r="M594" s="20"/>
      <c r="N594" s="22"/>
      <c r="O594" s="15"/>
      <c r="P594" s="15"/>
      <c r="Q594" s="15"/>
      <c r="R594" s="15"/>
      <c r="S594" s="15"/>
      <c r="T594" s="15"/>
      <c r="U594" s="15"/>
    </row>
    <row r="595" spans="1:21" ht="90">
      <c r="A595" s="17">
        <v>20121195016</v>
      </c>
      <c r="B595" s="19" t="str">
        <f>VLOOKUP(A595,'ESTADOS ESTUDIANTES'!B:L,2,0)</f>
        <v>BECERRA FINO JOSE YASIS</v>
      </c>
      <c r="C595" s="19">
        <f>VLOOKUP(A595,'ESTADOS ESTUDIANTES'!B:L,3,0)</f>
        <v>195</v>
      </c>
      <c r="D595" s="66" t="str">
        <f>VLOOKUP(A595,'ESTADOS ESTUDIANTES'!B:L,4,0)</f>
        <v>MAE. EN CIENCIAS DE LA INF. Y LAS COMUNICACIONES ENFASIS EN TELEINF.</v>
      </c>
      <c r="E595" s="19" t="str">
        <f>VLOOKUP(A595,'ESTADOS ESTUDIANTES'!B:L,5,0)</f>
        <v>X</v>
      </c>
      <c r="F595" s="18" t="str">
        <f>VLOOKUP(E595,Listas!B1:C1004,2,0)</f>
        <v>EXCLUIDO</v>
      </c>
      <c r="G595" s="19" t="str">
        <f>VLOOKUP(A595,'ESTADOS ESTUDIANTES'!B:L,7,0)</f>
        <v>NO REGISTRA</v>
      </c>
      <c r="H595" s="19" t="str">
        <f>VLOOKUP(A595,'ESTADOS ESTUDIANTES'!B:L,8,0)</f>
        <v>jybecerraf@correo.udistrital.edu.co</v>
      </c>
      <c r="I595" s="70" t="str">
        <f>VLOOKUP(A595,'ESTADOS ESTUDIANTES'!B:L,9,0)</f>
        <v>jybecerra@gmail.com</v>
      </c>
      <c r="J595" s="19" t="str">
        <f>VLOOKUP(A595,'ESTADOS ESTUDIANTES'!B:L,10,0)</f>
        <v>CC</v>
      </c>
      <c r="K595" s="19">
        <f>VLOOKUP(A595,'ESTADOS ESTUDIANTES'!B:L,11,0)</f>
        <v>79483121</v>
      </c>
      <c r="L595" s="19">
        <v>3106981701</v>
      </c>
      <c r="M595" s="20"/>
      <c r="N595" s="22"/>
      <c r="O595" s="15"/>
      <c r="P595" s="15"/>
      <c r="Q595" s="15"/>
      <c r="R595" s="15"/>
      <c r="S595" s="15"/>
      <c r="T595" s="15"/>
      <c r="U595" s="15"/>
    </row>
    <row r="596" spans="1:21" ht="90">
      <c r="A596" s="17">
        <v>20121295001</v>
      </c>
      <c r="B596" s="19" t="str">
        <f>VLOOKUP(A596,'ESTADOS ESTUDIANTES'!B:L,2,0)</f>
        <v>ARANGO BUITRAGO CARLOS ALBERTO</v>
      </c>
      <c r="C596" s="19">
        <f>VLOOKUP(A596,'ESTADOS ESTUDIANTES'!B:L,3,0)</f>
        <v>295</v>
      </c>
      <c r="D596" s="66" t="str">
        <f>VLOOKUP(A596,'ESTADOS ESTUDIANTES'!B:L,4,0)</f>
        <v>MAE. EN CIENCIAS DE LA INF. Y LAS COMUNICACIONES ENFASIS EN SIS. INFOR</v>
      </c>
      <c r="E596" s="19" t="str">
        <f>VLOOKUP(A596,'ESTADOS ESTUDIANTES'!B:L,5,0)</f>
        <v>X</v>
      </c>
      <c r="F596" s="18" t="str">
        <f>VLOOKUP(E596,Listas!B1:C1004,2,0)</f>
        <v>EXCLUIDO</v>
      </c>
      <c r="G596" s="19" t="str">
        <f>VLOOKUP(A596,'ESTADOS ESTUDIANTES'!B:L,7,0)</f>
        <v>NO REGISTRA</v>
      </c>
      <c r="H596" s="19">
        <f>VLOOKUP(A596,'ESTADOS ESTUDIANTES'!B:L,8,0)</f>
        <v>0</v>
      </c>
      <c r="I596" s="70" t="str">
        <f>VLOOKUP(A596,'ESTADOS ESTUDIANTES'!B:L,9,0)</f>
        <v>carlosarangob@hotmail.com</v>
      </c>
      <c r="J596" s="19" t="str">
        <f>VLOOKUP(A596,'ESTADOS ESTUDIANTES'!B:L,10,0)</f>
        <v>CC</v>
      </c>
      <c r="K596" s="19">
        <f>VLOOKUP(A596,'ESTADOS ESTUDIANTES'!B:L,11,0)</f>
        <v>16077914</v>
      </c>
      <c r="L596" s="19">
        <v>3017212206</v>
      </c>
      <c r="M596" s="20"/>
      <c r="N596" s="22"/>
      <c r="O596" s="15"/>
      <c r="P596" s="15"/>
      <c r="Q596" s="15"/>
      <c r="R596" s="15"/>
      <c r="S596" s="15"/>
      <c r="T596" s="15"/>
      <c r="U596" s="15"/>
    </row>
    <row r="597" spans="1:21" ht="90">
      <c r="A597" s="17">
        <v>20121295002</v>
      </c>
      <c r="B597" s="19" t="str">
        <f>VLOOKUP(A597,'ESTADOS ESTUDIANTES'!B:L,2,0)</f>
        <v>AYALA LEON ALEXANDER</v>
      </c>
      <c r="C597" s="19">
        <f>VLOOKUP(A597,'ESTADOS ESTUDIANTES'!B:L,3,0)</f>
        <v>295</v>
      </c>
      <c r="D597" s="66" t="str">
        <f>VLOOKUP(A597,'ESTADOS ESTUDIANTES'!B:L,4,0)</f>
        <v>MAE. EN CIENCIAS DE LA INF. Y LAS COMUNICACIONES ENFASIS EN SIS. INFOR</v>
      </c>
      <c r="E597" s="19" t="str">
        <f>VLOOKUP(A597,'ESTADOS ESTUDIANTES'!B:L,5,0)</f>
        <v>I</v>
      </c>
      <c r="F597" s="18" t="str">
        <f>VLOOKUP(E597,Listas!B1:C1004,2,0)</f>
        <v>INACTIVO</v>
      </c>
      <c r="G597" s="19" t="str">
        <f>VLOOKUP(A597,'ESTADOS ESTUDIANTES'!B:L,7,0)</f>
        <v>NO REGISTRA</v>
      </c>
      <c r="H597" s="19">
        <f>VLOOKUP(A597,'ESTADOS ESTUDIANTES'!B:L,8,0)</f>
        <v>0</v>
      </c>
      <c r="I597" s="70" t="str">
        <f>VLOOKUP(A597,'ESTADOS ESTUDIANTES'!B:L,9,0)</f>
        <v>alexander.ayala.leon@gmail.com</v>
      </c>
      <c r="J597" s="19" t="str">
        <f>VLOOKUP(A597,'ESTADOS ESTUDIANTES'!B:L,10,0)</f>
        <v>CC</v>
      </c>
      <c r="K597" s="19">
        <f>VLOOKUP(A597,'ESTADOS ESTUDIANTES'!B:L,11,0)</f>
        <v>79556501</v>
      </c>
      <c r="L597" s="21"/>
      <c r="M597" s="20"/>
      <c r="N597" s="22"/>
      <c r="O597" s="15"/>
      <c r="P597" s="15"/>
      <c r="Q597" s="15"/>
      <c r="R597" s="15"/>
      <c r="S597" s="15"/>
      <c r="T597" s="15"/>
      <c r="U597" s="15"/>
    </row>
    <row r="598" spans="1:21" ht="90">
      <c r="A598" s="17">
        <v>20121295003</v>
      </c>
      <c r="B598" s="19" t="str">
        <f>VLOOKUP(A598,'ESTADOS ESTUDIANTES'!B:L,2,0)</f>
        <v>BAEZ ALBA ANDRES IGNACIO</v>
      </c>
      <c r="C598" s="19">
        <f>VLOOKUP(A598,'ESTADOS ESTUDIANTES'!B:L,3,0)</f>
        <v>295</v>
      </c>
      <c r="D598" s="66" t="str">
        <f>VLOOKUP(A598,'ESTADOS ESTUDIANTES'!B:L,4,0)</f>
        <v>MAE. EN CIENCIAS DE LA INF. Y LAS COMUNICACIONES ENFASIS EN SIS. INFOR</v>
      </c>
      <c r="E598" s="19" t="str">
        <f>VLOOKUP(A598,'ESTADOS ESTUDIANTES'!B:L,5,0)</f>
        <v>X</v>
      </c>
      <c r="F598" s="18" t="str">
        <f>VLOOKUP(E598,Listas!B1:C1004,2,0)</f>
        <v>EXCLUIDO</v>
      </c>
      <c r="G598" s="19" t="str">
        <f>VLOOKUP(A598,'ESTADOS ESTUDIANTES'!B:L,7,0)</f>
        <v>NO REGISTRA</v>
      </c>
      <c r="H598" s="19">
        <f>VLOOKUP(A598,'ESTADOS ESTUDIANTES'!B:L,8,0)</f>
        <v>0</v>
      </c>
      <c r="I598" s="70" t="str">
        <f>VLOOKUP(A598,'ESTADOS ESTUDIANTES'!B:L,9,0)</f>
        <v>andresignaciob@gmail.com</v>
      </c>
      <c r="J598" s="19" t="str">
        <f>VLOOKUP(A598,'ESTADOS ESTUDIANTES'!B:L,10,0)</f>
        <v>CC</v>
      </c>
      <c r="K598" s="19">
        <f>VLOOKUP(A598,'ESTADOS ESTUDIANTES'!B:L,11,0)</f>
        <v>80849753</v>
      </c>
      <c r="L598" s="23"/>
      <c r="M598" s="20"/>
      <c r="N598" s="22"/>
      <c r="O598" s="15"/>
      <c r="P598" s="15"/>
      <c r="Q598" s="15"/>
      <c r="R598" s="15"/>
      <c r="S598" s="15"/>
      <c r="T598" s="15"/>
      <c r="U598" s="15"/>
    </row>
    <row r="599" spans="1:21" ht="90">
      <c r="A599" s="17">
        <v>20121295004</v>
      </c>
      <c r="B599" s="19" t="str">
        <f>VLOOKUP(A599,'ESTADOS ESTUDIANTES'!B:L,2,0)</f>
        <v>BUITRAGO GIRLESA MARIA</v>
      </c>
      <c r="C599" s="19">
        <f>VLOOKUP(A599,'ESTADOS ESTUDIANTES'!B:L,3,0)</f>
        <v>295</v>
      </c>
      <c r="D599" s="66" t="str">
        <f>VLOOKUP(A599,'ESTADOS ESTUDIANTES'!B:L,4,0)</f>
        <v>MAE. EN CIENCIAS DE LA INF. Y LAS COMUNICACIONES ENFASIS EN SIS. INFOR</v>
      </c>
      <c r="E599" s="19" t="str">
        <f>VLOOKUP(A599,'ESTADOS ESTUDIANTES'!B:L,5,0)</f>
        <v>X</v>
      </c>
      <c r="F599" s="18" t="str">
        <f>VLOOKUP(E599,Listas!B1:C1004,2,0)</f>
        <v>EXCLUIDO</v>
      </c>
      <c r="G599" s="19" t="str">
        <f>VLOOKUP(A599,'ESTADOS ESTUDIANTES'!B:L,7,0)</f>
        <v>NO REGISTRA</v>
      </c>
      <c r="H599" s="19">
        <f>VLOOKUP(A599,'ESTADOS ESTUDIANTES'!B:L,8,0)</f>
        <v>0</v>
      </c>
      <c r="I599" s="70" t="str">
        <f>VLOOKUP(A599,'ESTADOS ESTUDIANTES'!B:L,9,0)</f>
        <v>girlesa@gmail.com</v>
      </c>
      <c r="J599" s="19" t="str">
        <f>VLOOKUP(A599,'ESTADOS ESTUDIANTES'!B:L,10,0)</f>
        <v>CC</v>
      </c>
      <c r="K599" s="19">
        <f>VLOOKUP(A599,'ESTADOS ESTUDIANTES'!B:L,11,0)</f>
        <v>51983082</v>
      </c>
      <c r="L599" s="23"/>
      <c r="M599" s="20"/>
      <c r="N599" s="22"/>
      <c r="O599" s="15"/>
      <c r="P599" s="15"/>
      <c r="Q599" s="15"/>
      <c r="R599" s="15"/>
      <c r="S599" s="15"/>
      <c r="T599" s="15"/>
      <c r="U599" s="15"/>
    </row>
    <row r="600" spans="1:21" ht="90">
      <c r="A600" s="17">
        <v>20121295005</v>
      </c>
      <c r="B600" s="19" t="str">
        <f>VLOOKUP(A600,'ESTADOS ESTUDIANTES'!B:L,2,0)</f>
        <v>CAJAMARCA MONTOYA YEISON JAVIER</v>
      </c>
      <c r="C600" s="19">
        <f>VLOOKUP(A600,'ESTADOS ESTUDIANTES'!B:L,3,0)</f>
        <v>295</v>
      </c>
      <c r="D600" s="66" t="str">
        <f>VLOOKUP(A600,'ESTADOS ESTUDIANTES'!B:L,4,0)</f>
        <v>MAE. EN CIENCIAS DE LA INF. Y LAS COMUNICACIONES ENFASIS EN SIS. INFOR</v>
      </c>
      <c r="E600" s="19" t="str">
        <f>VLOOKUP(A600,'ESTADOS ESTUDIANTES'!B:L,5,0)</f>
        <v>E</v>
      </c>
      <c r="F600" s="18" t="str">
        <f>VLOOKUP(E600,Listas!B1:C1004,2,0)</f>
        <v>EGRESADO</v>
      </c>
      <c r="G600" s="19" t="str">
        <f>VLOOKUP(A600,'ESTADOS ESTUDIANTES'!B:L,7,0)</f>
        <v>NO REGISTRA</v>
      </c>
      <c r="H600" s="19">
        <f>VLOOKUP(A600,'ESTADOS ESTUDIANTES'!B:L,8,0)</f>
        <v>0</v>
      </c>
      <c r="I600" s="70" t="str">
        <f>VLOOKUP(A600,'ESTADOS ESTUDIANTES'!B:L,9,0)</f>
        <v>yeison_290@hotmail.com</v>
      </c>
      <c r="J600" s="19" t="str">
        <f>VLOOKUP(A600,'ESTADOS ESTUDIANTES'!B:L,10,0)</f>
        <v>CC</v>
      </c>
      <c r="K600" s="19">
        <f>VLOOKUP(A600,'ESTADOS ESTUDIANTES'!B:L,11,0)</f>
        <v>1032377088</v>
      </c>
      <c r="L600" s="23"/>
      <c r="M600" s="20"/>
      <c r="N600" s="22"/>
      <c r="O600" s="15"/>
      <c r="P600" s="15"/>
      <c r="Q600" s="15"/>
      <c r="R600" s="15"/>
      <c r="S600" s="15"/>
      <c r="T600" s="15"/>
      <c r="U600" s="15"/>
    </row>
    <row r="601" spans="1:21" ht="90">
      <c r="A601" s="17">
        <v>20121295006</v>
      </c>
      <c r="B601" s="19" t="str">
        <f>VLOOKUP(A601,'ESTADOS ESTUDIANTES'!B:L,2,0)</f>
        <v>TRIANA DOMINGUEZ DIEGO HUMBERTO</v>
      </c>
      <c r="C601" s="19">
        <f>VLOOKUP(A601,'ESTADOS ESTUDIANTES'!B:L,3,0)</f>
        <v>295</v>
      </c>
      <c r="D601" s="66" t="str">
        <f>VLOOKUP(A601,'ESTADOS ESTUDIANTES'!B:L,4,0)</f>
        <v>MAE. EN CIENCIAS DE LA INF. Y LAS COMUNICACIONES ENFASIS EN SIS. INFOR</v>
      </c>
      <c r="E601" s="19" t="str">
        <f>VLOOKUP(A601,'ESTADOS ESTUDIANTES'!B:L,5,0)</f>
        <v>X</v>
      </c>
      <c r="F601" s="18" t="str">
        <f>VLOOKUP(E601,Listas!B1:C1004,2,0)</f>
        <v>EXCLUIDO</v>
      </c>
      <c r="G601" s="19" t="str">
        <f>VLOOKUP(A601,'ESTADOS ESTUDIANTES'!B:L,7,0)</f>
        <v>NO REGISTRA</v>
      </c>
      <c r="H601" s="19">
        <f>VLOOKUP(A601,'ESTADOS ESTUDIANTES'!B:L,8,0)</f>
        <v>0</v>
      </c>
      <c r="I601" s="70" t="str">
        <f>VLOOKUP(A601,'ESTADOS ESTUDIANTES'!B:L,9,0)</f>
        <v>diegohtriana@gmail.com</v>
      </c>
      <c r="J601" s="19" t="str">
        <f>VLOOKUP(A601,'ESTADOS ESTUDIANTES'!B:L,10,0)</f>
        <v>CC</v>
      </c>
      <c r="K601" s="19">
        <f>VLOOKUP(A601,'ESTADOS ESTUDIANTES'!B:L,11,0)</f>
        <v>80224179</v>
      </c>
      <c r="L601" s="23"/>
      <c r="M601" s="20"/>
      <c r="N601" s="22"/>
      <c r="O601" s="15"/>
      <c r="P601" s="15"/>
      <c r="Q601" s="15"/>
      <c r="R601" s="15"/>
      <c r="S601" s="15"/>
      <c r="T601" s="15"/>
      <c r="U601" s="15"/>
    </row>
    <row r="602" spans="1:21" ht="90">
      <c r="A602" s="17">
        <v>20121295007</v>
      </c>
      <c r="B602" s="19" t="str">
        <f>VLOOKUP(A602,'ESTADOS ESTUDIANTES'!B:L,2,0)</f>
        <v>VARGAS MERCHAN MILTON SARETH</v>
      </c>
      <c r="C602" s="19">
        <f>VLOOKUP(A602,'ESTADOS ESTUDIANTES'!B:L,3,0)</f>
        <v>295</v>
      </c>
      <c r="D602" s="66" t="str">
        <f>VLOOKUP(A602,'ESTADOS ESTUDIANTES'!B:L,4,0)</f>
        <v>MAE. EN CIENCIAS DE LA INF. Y LAS COMUNICACIONES ENFASIS EN SIS. INFOR</v>
      </c>
      <c r="E602" s="19" t="str">
        <f>VLOOKUP(A602,'ESTADOS ESTUDIANTES'!B:L,5,0)</f>
        <v>X</v>
      </c>
      <c r="F602" s="18" t="str">
        <f>VLOOKUP(E602,Listas!B1:C1004,2,0)</f>
        <v>EXCLUIDO</v>
      </c>
      <c r="G602" s="19" t="str">
        <f>VLOOKUP(A602,'ESTADOS ESTUDIANTES'!B:L,7,0)</f>
        <v>NO REGISTRA</v>
      </c>
      <c r="H602" s="19">
        <f>VLOOKUP(A602,'ESTADOS ESTUDIANTES'!B:L,8,0)</f>
        <v>0</v>
      </c>
      <c r="I602" s="70" t="str">
        <f>VLOOKUP(A602,'ESTADOS ESTUDIANTES'!B:L,9,0)</f>
        <v>sarethsareth@gmail.com</v>
      </c>
      <c r="J602" s="19" t="str">
        <f>VLOOKUP(A602,'ESTADOS ESTUDIANTES'!B:L,10,0)</f>
        <v>CC</v>
      </c>
      <c r="K602" s="19">
        <f>VLOOKUP(A602,'ESTADOS ESTUDIANTES'!B:L,11,0)</f>
        <v>80017826</v>
      </c>
      <c r="L602" s="23"/>
      <c r="M602" s="20"/>
      <c r="N602" s="22"/>
      <c r="O602" s="15"/>
      <c r="P602" s="15"/>
      <c r="Q602" s="15"/>
      <c r="R602" s="15"/>
      <c r="S602" s="15"/>
      <c r="T602" s="15"/>
      <c r="U602" s="15"/>
    </row>
    <row r="603" spans="1:21" ht="105">
      <c r="A603" s="17">
        <v>20121395001</v>
      </c>
      <c r="B603" s="19" t="str">
        <f>VLOOKUP(A603,'ESTADOS ESTUDIANTES'!B:L,2,0)</f>
        <v>AGUDELO VELASQUEZ WILSON GERMAN</v>
      </c>
      <c r="C603" s="19">
        <f>VLOOKUP(A603,'ESTADOS ESTUDIANTES'!B:L,3,0)</f>
        <v>395</v>
      </c>
      <c r="D603" s="66" t="str">
        <f>VLOOKUP(A603,'ESTADOS ESTUDIANTES'!B:L,4,0)</f>
        <v>MAE. EN CIENCIAS DE LA INF. Y LAS COMUNICACIONES ENFASIS EN GEOMATICA</v>
      </c>
      <c r="E603" s="19" t="str">
        <f>VLOOKUP(A603,'ESTADOS ESTUDIANTES'!B:L,5,0)</f>
        <v>X</v>
      </c>
      <c r="F603" s="18" t="str">
        <f>VLOOKUP(E603,Listas!B1:C1004,2,0)</f>
        <v>EXCLUIDO</v>
      </c>
      <c r="G603" s="19" t="str">
        <f>VLOOKUP(A603,'ESTADOS ESTUDIANTES'!B:L,7,0)</f>
        <v>NO REGISTRA</v>
      </c>
      <c r="H603" s="19">
        <f>VLOOKUP(A603,'ESTADOS ESTUDIANTES'!B:L,8,0)</f>
        <v>0</v>
      </c>
      <c r="I603" s="70" t="str">
        <f>VLOOKUP(A603,'ESTADOS ESTUDIANTES'!B:L,9,0)</f>
        <v>germagu@live.com</v>
      </c>
      <c r="J603" s="19" t="str">
        <f>VLOOKUP(A603,'ESTADOS ESTUDIANTES'!B:L,10,0)</f>
        <v>CC</v>
      </c>
      <c r="K603" s="19">
        <f>VLOOKUP(A603,'ESTADOS ESTUDIANTES'!B:L,11,0)</f>
        <v>80244451</v>
      </c>
      <c r="L603" s="23"/>
      <c r="M603" s="20"/>
      <c r="N603" s="22"/>
      <c r="O603" s="15"/>
      <c r="P603" s="15"/>
      <c r="Q603" s="15"/>
      <c r="R603" s="15"/>
      <c r="S603" s="15"/>
      <c r="T603" s="15"/>
      <c r="U603" s="15"/>
    </row>
    <row r="604" spans="1:21" ht="105">
      <c r="A604" s="17">
        <v>20121395002</v>
      </c>
      <c r="B604" s="19" t="str">
        <f>VLOOKUP(A604,'ESTADOS ESTUDIANTES'!B:L,2,0)</f>
        <v>ARIAS VARGAS DIEGO ELEXANDER</v>
      </c>
      <c r="C604" s="19">
        <f>VLOOKUP(A604,'ESTADOS ESTUDIANTES'!B:L,3,0)</f>
        <v>395</v>
      </c>
      <c r="D604" s="66" t="str">
        <f>VLOOKUP(A604,'ESTADOS ESTUDIANTES'!B:L,4,0)</f>
        <v>MAE. EN CIENCIAS DE LA INF. Y LAS COMUNICACIONES ENFASIS EN GEOMATICA</v>
      </c>
      <c r="E604" s="19" t="str">
        <f>VLOOKUP(A604,'ESTADOS ESTUDIANTES'!B:L,5,0)</f>
        <v>X</v>
      </c>
      <c r="F604" s="18" t="str">
        <f>VLOOKUP(E604,Listas!B1:C1004,2,0)</f>
        <v>EXCLUIDO</v>
      </c>
      <c r="G604" s="19" t="str">
        <f>VLOOKUP(A604,'ESTADOS ESTUDIANTES'!B:L,7,0)</f>
        <v>NO REGISTRA</v>
      </c>
      <c r="H604" s="19">
        <f>VLOOKUP(A604,'ESTADOS ESTUDIANTES'!B:L,8,0)</f>
        <v>0</v>
      </c>
      <c r="I604" s="70" t="str">
        <f>VLOOKUP(A604,'ESTADOS ESTUDIANTES'!B:L,9,0)</f>
        <v>diegoariasvargas@gmail.com</v>
      </c>
      <c r="J604" s="19" t="str">
        <f>VLOOKUP(A604,'ESTADOS ESTUDIANTES'!B:L,10,0)</f>
        <v>CC</v>
      </c>
      <c r="K604" s="19">
        <f>VLOOKUP(A604,'ESTADOS ESTUDIANTES'!B:L,11,0)</f>
        <v>80002671</v>
      </c>
      <c r="L604" s="23"/>
      <c r="M604" s="20"/>
      <c r="N604" s="22"/>
      <c r="O604" s="15"/>
      <c r="P604" s="15"/>
      <c r="Q604" s="15"/>
      <c r="R604" s="15"/>
      <c r="S604" s="15"/>
      <c r="T604" s="15"/>
      <c r="U604" s="15"/>
    </row>
    <row r="605" spans="1:21" ht="105">
      <c r="A605" s="17">
        <v>20121395003</v>
      </c>
      <c r="B605" s="19" t="str">
        <f>VLOOKUP(A605,'ESTADOS ESTUDIANTES'!B:L,2,0)</f>
        <v>DONCEL BALLEN DAVID</v>
      </c>
      <c r="C605" s="19">
        <f>VLOOKUP(A605,'ESTADOS ESTUDIANTES'!B:L,3,0)</f>
        <v>395</v>
      </c>
      <c r="D605" s="66" t="str">
        <f>VLOOKUP(A605,'ESTADOS ESTUDIANTES'!B:L,4,0)</f>
        <v>MAE. EN CIENCIAS DE LA INF. Y LAS COMUNICACIONES ENFASIS EN GEOMATICA</v>
      </c>
      <c r="E605" s="19" t="str">
        <f>VLOOKUP(A605,'ESTADOS ESTUDIANTES'!B:L,5,0)</f>
        <v>E</v>
      </c>
      <c r="F605" s="18" t="str">
        <f>VLOOKUP(E605,Listas!B1:C1004,2,0)</f>
        <v>EGRESADO</v>
      </c>
      <c r="G605" s="19" t="str">
        <f>VLOOKUP(A605,'ESTADOS ESTUDIANTES'!B:L,7,0)</f>
        <v>NO REGISTRA</v>
      </c>
      <c r="H605" s="19">
        <f>VLOOKUP(A605,'ESTADOS ESTUDIANTES'!B:L,8,0)</f>
        <v>0</v>
      </c>
      <c r="I605" s="70" t="str">
        <f>VLOOKUP(A605,'ESTADOS ESTUDIANTES'!B:L,9,0)</f>
        <v>ddoncelb@gmail.com</v>
      </c>
      <c r="J605" s="19" t="str">
        <f>VLOOKUP(A605,'ESTADOS ESTUDIANTES'!B:L,10,0)</f>
        <v>CC</v>
      </c>
      <c r="K605" s="19">
        <f>VLOOKUP(A605,'ESTADOS ESTUDIANTES'!B:L,11,0)</f>
        <v>80202521</v>
      </c>
      <c r="L605" s="19">
        <v>3124075608</v>
      </c>
      <c r="M605" s="20"/>
      <c r="N605" s="22"/>
      <c r="O605" s="15"/>
      <c r="P605" s="15"/>
      <c r="Q605" s="15"/>
      <c r="R605" s="15"/>
      <c r="S605" s="15"/>
      <c r="T605" s="15"/>
      <c r="U605" s="15"/>
    </row>
    <row r="606" spans="1:21" ht="105">
      <c r="A606" s="17">
        <v>20121395004</v>
      </c>
      <c r="B606" s="19" t="str">
        <f>VLOOKUP(A606,'ESTADOS ESTUDIANTES'!B:L,2,0)</f>
        <v>FIGUEROA CEFERINO DIANA CAROLINA</v>
      </c>
      <c r="C606" s="19">
        <f>VLOOKUP(A606,'ESTADOS ESTUDIANTES'!B:L,3,0)</f>
        <v>395</v>
      </c>
      <c r="D606" s="66" t="str">
        <f>VLOOKUP(A606,'ESTADOS ESTUDIANTES'!B:L,4,0)</f>
        <v>MAE. EN CIENCIAS DE LA INF. Y LAS COMUNICACIONES ENFASIS EN GEOMATICA</v>
      </c>
      <c r="E606" s="19" t="str">
        <f>VLOOKUP(A606,'ESTADOS ESTUDIANTES'!B:L,5,0)</f>
        <v>E</v>
      </c>
      <c r="F606" s="18" t="str">
        <f>VLOOKUP(E606,Listas!B1:C1004,2,0)</f>
        <v>EGRESADO</v>
      </c>
      <c r="G606" s="19">
        <f>VLOOKUP(A606,'ESTADOS ESTUDIANTES'!B:L,7,0)</f>
        <v>2</v>
      </c>
      <c r="H606" s="19">
        <f>VLOOKUP(A606,'ESTADOS ESTUDIANTES'!B:L,8,0)</f>
        <v>0</v>
      </c>
      <c r="I606" s="70" t="str">
        <f>VLOOKUP(A606,'ESTADOS ESTUDIANTES'!B:L,9,0)</f>
        <v>carofc@gmail.com</v>
      </c>
      <c r="J606" s="19" t="str">
        <f>VLOOKUP(A606,'ESTADOS ESTUDIANTES'!B:L,10,0)</f>
        <v>CC</v>
      </c>
      <c r="K606" s="19">
        <f>VLOOKUP(A606,'ESTADOS ESTUDIANTES'!B:L,11,0)</f>
        <v>52884117</v>
      </c>
      <c r="L606" s="19">
        <v>3002846918</v>
      </c>
      <c r="M606" s="20"/>
      <c r="N606" s="22"/>
      <c r="O606" s="15"/>
      <c r="P606" s="15"/>
      <c r="Q606" s="15"/>
      <c r="R606" s="15"/>
      <c r="S606" s="15"/>
      <c r="T606" s="15"/>
      <c r="U606" s="15"/>
    </row>
    <row r="607" spans="1:21" ht="105">
      <c r="A607" s="17">
        <v>20121395005</v>
      </c>
      <c r="B607" s="19" t="str">
        <f>VLOOKUP(A607,'ESTADOS ESTUDIANTES'!B:L,2,0)</f>
        <v>JARAMILLO GUTIERREZ ANTONIO JOSE</v>
      </c>
      <c r="C607" s="19">
        <f>VLOOKUP(A607,'ESTADOS ESTUDIANTES'!B:L,3,0)</f>
        <v>395</v>
      </c>
      <c r="D607" s="66" t="str">
        <f>VLOOKUP(A607,'ESTADOS ESTUDIANTES'!B:L,4,0)</f>
        <v>MAE. EN CIENCIAS DE LA INF. Y LAS COMUNICACIONES ENFASIS EN GEOMATICA</v>
      </c>
      <c r="E607" s="19" t="str">
        <f>VLOOKUP(A607,'ESTADOS ESTUDIANTES'!B:L,5,0)</f>
        <v>X</v>
      </c>
      <c r="F607" s="18" t="str">
        <f>VLOOKUP(E607,Listas!B1:C1004,2,0)</f>
        <v>EXCLUIDO</v>
      </c>
      <c r="G607" s="19" t="str">
        <f>VLOOKUP(A607,'ESTADOS ESTUDIANTES'!B:L,7,0)</f>
        <v>NO REGISTRA</v>
      </c>
      <c r="H607" s="19">
        <f>VLOOKUP(A607,'ESTADOS ESTUDIANTES'!B:L,8,0)</f>
        <v>0</v>
      </c>
      <c r="I607" s="70" t="str">
        <f>VLOOKUP(A607,'ESTADOS ESTUDIANTES'!B:L,9,0)</f>
        <v>antoniojaramillo2002@gmail.com</v>
      </c>
      <c r="J607" s="19" t="str">
        <f>VLOOKUP(A607,'ESTADOS ESTUDIANTES'!B:L,10,0)</f>
        <v>CC</v>
      </c>
      <c r="K607" s="19">
        <f>VLOOKUP(A607,'ESTADOS ESTUDIANTES'!B:L,11,0)</f>
        <v>89002983</v>
      </c>
      <c r="L607" s="19">
        <v>3102980651</v>
      </c>
      <c r="M607" s="20"/>
      <c r="N607" s="22"/>
      <c r="O607" s="15"/>
      <c r="P607" s="15"/>
      <c r="Q607" s="15"/>
      <c r="R607" s="15"/>
      <c r="S607" s="15"/>
      <c r="T607" s="15"/>
      <c r="U607" s="15"/>
    </row>
    <row r="608" spans="1:21" ht="105">
      <c r="A608" s="17">
        <v>20121395006</v>
      </c>
      <c r="B608" s="19" t="str">
        <f>VLOOKUP(A608,'ESTADOS ESTUDIANTES'!B:L,2,0)</f>
        <v>LARA VALENCIA SONIA JANNETH</v>
      </c>
      <c r="C608" s="19">
        <f>VLOOKUP(A608,'ESTADOS ESTUDIANTES'!B:L,3,0)</f>
        <v>395</v>
      </c>
      <c r="D608" s="66" t="str">
        <f>VLOOKUP(A608,'ESTADOS ESTUDIANTES'!B:L,4,0)</f>
        <v>MAE. EN CIENCIAS DE LA INF. Y LAS COMUNICACIONES ENFASIS EN GEOMATICA</v>
      </c>
      <c r="E608" s="19" t="str">
        <f>VLOOKUP(A608,'ESTADOS ESTUDIANTES'!B:L,5,0)</f>
        <v>X</v>
      </c>
      <c r="F608" s="18" t="str">
        <f>VLOOKUP(E608,Listas!B1:C1004,2,0)</f>
        <v>EXCLUIDO</v>
      </c>
      <c r="G608" s="19" t="str">
        <f>VLOOKUP(A608,'ESTADOS ESTUDIANTES'!B:L,7,0)</f>
        <v>NO REGISTRA</v>
      </c>
      <c r="H608" s="19">
        <f>VLOOKUP(A608,'ESTADOS ESTUDIANTES'!B:L,8,0)</f>
        <v>0</v>
      </c>
      <c r="I608" s="70" t="str">
        <f>VLOOKUP(A608,'ESTADOS ESTUDIANTES'!B:L,9,0)</f>
        <v>ingsonialara@yahoo.es</v>
      </c>
      <c r="J608" s="19" t="str">
        <f>VLOOKUP(A608,'ESTADOS ESTUDIANTES'!B:L,10,0)</f>
        <v>CC</v>
      </c>
      <c r="K608" s="19">
        <f>VLOOKUP(A608,'ESTADOS ESTUDIANTES'!B:L,11,0)</f>
        <v>53154453</v>
      </c>
      <c r="L608" s="23"/>
      <c r="M608" s="20"/>
      <c r="N608" s="22"/>
      <c r="O608" s="15"/>
      <c r="P608" s="15"/>
      <c r="Q608" s="15"/>
      <c r="R608" s="15"/>
      <c r="S608" s="15"/>
      <c r="T608" s="15"/>
      <c r="U608" s="15"/>
    </row>
    <row r="609" spans="1:21" ht="105">
      <c r="A609" s="17">
        <v>20121395007</v>
      </c>
      <c r="B609" s="19" t="str">
        <f>VLOOKUP(A609,'ESTADOS ESTUDIANTES'!B:L,2,0)</f>
        <v>LOPEZ BARBOSA ISRAEL ALEJANDRO</v>
      </c>
      <c r="C609" s="19">
        <f>VLOOKUP(A609,'ESTADOS ESTUDIANTES'!B:L,3,0)</f>
        <v>395</v>
      </c>
      <c r="D609" s="66" t="str">
        <f>VLOOKUP(A609,'ESTADOS ESTUDIANTES'!B:L,4,0)</f>
        <v>MAE. EN CIENCIAS DE LA INF. Y LAS COMUNICACIONES ENFASIS EN GEOMATICA</v>
      </c>
      <c r="E609" s="19" t="str">
        <f>VLOOKUP(A609,'ESTADOS ESTUDIANTES'!B:L,5,0)</f>
        <v>X</v>
      </c>
      <c r="F609" s="18" t="str">
        <f>VLOOKUP(E609,Listas!B1:C1004,2,0)</f>
        <v>EXCLUIDO</v>
      </c>
      <c r="G609" s="19">
        <f>VLOOKUP(A609,'ESTADOS ESTUDIANTES'!B:L,7,0)</f>
        <v>1</v>
      </c>
      <c r="H609" s="19" t="str">
        <f>VLOOKUP(A609,'ESTADOS ESTUDIANTES'!B:L,8,0)</f>
        <v>ialopezb@udistrital.edu.co</v>
      </c>
      <c r="I609" s="70" t="str">
        <f>VLOOKUP(A609,'ESTADOS ESTUDIANTES'!B:L,9,0)</f>
        <v>alejandro3781@gmail.com</v>
      </c>
      <c r="J609" s="19" t="str">
        <f>VLOOKUP(A609,'ESTADOS ESTUDIANTES'!B:L,10,0)</f>
        <v>CC</v>
      </c>
      <c r="K609" s="19">
        <f>VLOOKUP(A609,'ESTADOS ESTUDIANTES'!B:L,11,0)</f>
        <v>1013581826</v>
      </c>
      <c r="L609" s="19">
        <v>3176817805</v>
      </c>
      <c r="M609" s="20"/>
      <c r="N609" s="22"/>
      <c r="O609" s="15"/>
      <c r="P609" s="15"/>
      <c r="Q609" s="15"/>
      <c r="R609" s="15"/>
      <c r="S609" s="15"/>
      <c r="T609" s="15"/>
      <c r="U609" s="15"/>
    </row>
    <row r="610" spans="1:21" ht="105">
      <c r="A610" s="17">
        <v>20121395008</v>
      </c>
      <c r="B610" s="19" t="str">
        <f>VLOOKUP(A610,'ESTADOS ESTUDIANTES'!B:L,2,0)</f>
        <v>MONTENEGRO SANTAFE MARCO AURELIO</v>
      </c>
      <c r="C610" s="19">
        <f>VLOOKUP(A610,'ESTADOS ESTUDIANTES'!B:L,3,0)</f>
        <v>395</v>
      </c>
      <c r="D610" s="66" t="str">
        <f>VLOOKUP(A610,'ESTADOS ESTUDIANTES'!B:L,4,0)</f>
        <v>MAE. EN CIENCIAS DE LA INF. Y LAS COMUNICACIONES ENFASIS EN GEOMATICA</v>
      </c>
      <c r="E610" s="19" t="str">
        <f>VLOOKUP(A610,'ESTADOS ESTUDIANTES'!B:L,5,0)</f>
        <v>X</v>
      </c>
      <c r="F610" s="18" t="str">
        <f>VLOOKUP(E610,Listas!B1:C1004,2,0)</f>
        <v>EXCLUIDO</v>
      </c>
      <c r="G610" s="19" t="str">
        <f>VLOOKUP(A610,'ESTADOS ESTUDIANTES'!B:L,7,0)</f>
        <v>NO REGISTRA</v>
      </c>
      <c r="H610" s="19">
        <f>VLOOKUP(A610,'ESTADOS ESTUDIANTES'!B:L,8,0)</f>
        <v>0</v>
      </c>
      <c r="I610" s="70" t="str">
        <f>VLOOKUP(A610,'ESTADOS ESTUDIANTES'!B:L,9,0)</f>
        <v>montemarau@hotmail.com</v>
      </c>
      <c r="J610" s="19" t="str">
        <f>VLOOKUP(A610,'ESTADOS ESTUDIANTES'!B:L,10,0)</f>
        <v>CC</v>
      </c>
      <c r="K610" s="19">
        <f>VLOOKUP(A610,'ESTADOS ESTUDIANTES'!B:L,11,0)</f>
        <v>80067157</v>
      </c>
      <c r="L610" s="23"/>
      <c r="M610" s="20"/>
      <c r="N610" s="22"/>
      <c r="O610" s="15"/>
      <c r="P610" s="15"/>
      <c r="Q610" s="15"/>
      <c r="R610" s="15"/>
      <c r="S610" s="15"/>
      <c r="T610" s="15"/>
      <c r="U610" s="15"/>
    </row>
    <row r="611" spans="1:21" ht="105">
      <c r="A611" s="17">
        <v>20121395009</v>
      </c>
      <c r="B611" s="19" t="str">
        <f>VLOOKUP(A611,'ESTADOS ESTUDIANTES'!B:L,2,0)</f>
        <v>MORENO SEGURA JHON ERVIN</v>
      </c>
      <c r="C611" s="19">
        <f>VLOOKUP(A611,'ESTADOS ESTUDIANTES'!B:L,3,0)</f>
        <v>395</v>
      </c>
      <c r="D611" s="66" t="str">
        <f>VLOOKUP(A611,'ESTADOS ESTUDIANTES'!B:L,4,0)</f>
        <v>MAE. EN CIENCIAS DE LA INF. Y LAS COMUNICACIONES ENFASIS EN GEOMATICA</v>
      </c>
      <c r="E611" s="19" t="str">
        <f>VLOOKUP(A611,'ESTADOS ESTUDIANTES'!B:L,5,0)</f>
        <v>X</v>
      </c>
      <c r="F611" s="18" t="str">
        <f>VLOOKUP(E611,Listas!B1:C1004,2,0)</f>
        <v>EXCLUIDO</v>
      </c>
      <c r="G611" s="19" t="str">
        <f>VLOOKUP(A611,'ESTADOS ESTUDIANTES'!B:L,7,0)</f>
        <v>NO REGISTRA</v>
      </c>
      <c r="H611" s="19">
        <f>VLOOKUP(A611,'ESTADOS ESTUDIANTES'!B:L,8,0)</f>
        <v>0</v>
      </c>
      <c r="I611" s="70" t="str">
        <f>VLOOKUP(A611,'ESTADOS ESTUDIANTES'!B:L,9,0)</f>
        <v>jmoreno370@yahoo.es</v>
      </c>
      <c r="J611" s="19" t="str">
        <f>VLOOKUP(A611,'ESTADOS ESTUDIANTES'!B:L,10,0)</f>
        <v>CC</v>
      </c>
      <c r="K611" s="19">
        <f>VLOOKUP(A611,'ESTADOS ESTUDIANTES'!B:L,11,0)</f>
        <v>79901357</v>
      </c>
      <c r="L611" s="19">
        <v>3138320033</v>
      </c>
      <c r="M611" s="20"/>
      <c r="N611" s="22"/>
      <c r="O611" s="15"/>
      <c r="P611" s="15"/>
      <c r="Q611" s="15"/>
      <c r="R611" s="15"/>
      <c r="S611" s="15"/>
      <c r="T611" s="15"/>
      <c r="U611" s="15"/>
    </row>
    <row r="612" spans="1:21" ht="105">
      <c r="A612" s="17">
        <v>20121395010</v>
      </c>
      <c r="B612" s="19" t="str">
        <f>VLOOKUP(A612,'ESTADOS ESTUDIANTES'!B:L,2,0)</f>
        <v>MORON RINCONES JOSÉ ENRIQUE</v>
      </c>
      <c r="C612" s="19">
        <f>VLOOKUP(A612,'ESTADOS ESTUDIANTES'!B:L,3,0)</f>
        <v>395</v>
      </c>
      <c r="D612" s="66" t="str">
        <f>VLOOKUP(A612,'ESTADOS ESTUDIANTES'!B:L,4,0)</f>
        <v>MAE. EN CIENCIAS DE LA INF. Y LAS COMUNICACIONES ENFASIS EN GEOMATICA</v>
      </c>
      <c r="E612" s="19" t="str">
        <f>VLOOKUP(A612,'ESTADOS ESTUDIANTES'!B:L,5,0)</f>
        <v>X</v>
      </c>
      <c r="F612" s="18" t="str">
        <f>VLOOKUP(E612,Listas!B1:C1004,2,0)</f>
        <v>EXCLUIDO</v>
      </c>
      <c r="G612" s="19">
        <f>VLOOKUP(A612,'ESTADOS ESTUDIANTES'!B:L,7,0)</f>
        <v>3</v>
      </c>
      <c r="H612" s="19">
        <f>VLOOKUP(A612,'ESTADOS ESTUDIANTES'!B:L,8,0)</f>
        <v>0</v>
      </c>
      <c r="I612" s="70" t="str">
        <f>VLOOKUP(A612,'ESTADOS ESTUDIANTES'!B:L,9,0)</f>
        <v>josemoron_9@hotmail.com</v>
      </c>
      <c r="J612" s="19" t="str">
        <f>VLOOKUP(A612,'ESTADOS ESTUDIANTES'!B:L,10,0)</f>
        <v>CC</v>
      </c>
      <c r="K612" s="19">
        <f>VLOOKUP(A612,'ESTADOS ESTUDIANTES'!B:L,11,0)</f>
        <v>77159265</v>
      </c>
      <c r="L612" s="19">
        <v>3014589720</v>
      </c>
      <c r="M612" s="20"/>
      <c r="N612" s="22"/>
      <c r="O612" s="15"/>
      <c r="P612" s="15"/>
      <c r="Q612" s="15"/>
      <c r="R612" s="15"/>
      <c r="S612" s="15"/>
      <c r="T612" s="15"/>
      <c r="U612" s="15"/>
    </row>
    <row r="613" spans="1:21" ht="105">
      <c r="A613" s="17">
        <v>20121395011</v>
      </c>
      <c r="B613" s="19" t="str">
        <f>VLOOKUP(A613,'ESTADOS ESTUDIANTES'!B:L,2,0)</f>
        <v>OSORIO BAQUERO ISMAEL</v>
      </c>
      <c r="C613" s="19">
        <f>VLOOKUP(A613,'ESTADOS ESTUDIANTES'!B:L,3,0)</f>
        <v>395</v>
      </c>
      <c r="D613" s="66" t="str">
        <f>VLOOKUP(A613,'ESTADOS ESTUDIANTES'!B:L,4,0)</f>
        <v>MAE. EN CIENCIAS DE LA INF. Y LAS COMUNICACIONES ENFASIS EN GEOMATICA</v>
      </c>
      <c r="E613" s="19" t="str">
        <f>VLOOKUP(A613,'ESTADOS ESTUDIANTES'!B:L,5,0)</f>
        <v>E</v>
      </c>
      <c r="F613" s="18" t="str">
        <f>VLOOKUP(E613,Listas!B1:C1004,2,0)</f>
        <v>EGRESADO</v>
      </c>
      <c r="G613" s="19">
        <f>VLOOKUP(A613,'ESTADOS ESTUDIANTES'!B:L,7,0)</f>
        <v>2</v>
      </c>
      <c r="H613" s="19">
        <f>VLOOKUP(A613,'ESTADOS ESTUDIANTES'!B:L,8,0)</f>
        <v>0</v>
      </c>
      <c r="I613" s="70" t="str">
        <f>VLOOKUP(A613,'ESTADOS ESTUDIANTES'!B:L,9,0)</f>
        <v>iosoriob@udistrital.edu.co</v>
      </c>
      <c r="J613" s="19" t="str">
        <f>VLOOKUP(A613,'ESTADOS ESTUDIANTES'!B:L,10,0)</f>
        <v>CC</v>
      </c>
      <c r="K613" s="19">
        <f>VLOOKUP(A613,'ESTADOS ESTUDIANTES'!B:L,11,0)</f>
        <v>14235383</v>
      </c>
      <c r="L613" s="19">
        <v>3137006612</v>
      </c>
      <c r="M613" s="20"/>
      <c r="N613" s="22"/>
      <c r="O613" s="15"/>
      <c r="P613" s="15"/>
      <c r="Q613" s="15"/>
      <c r="R613" s="15"/>
      <c r="S613" s="15"/>
      <c r="T613" s="15"/>
      <c r="U613" s="15"/>
    </row>
    <row r="614" spans="1:21" ht="105">
      <c r="A614" s="17">
        <v>20121395012</v>
      </c>
      <c r="B614" s="19" t="str">
        <f>VLOOKUP(A614,'ESTADOS ESTUDIANTES'!B:L,2,0)</f>
        <v>PACHON CENDALES INDIRA PAOLA</v>
      </c>
      <c r="C614" s="19">
        <f>VLOOKUP(A614,'ESTADOS ESTUDIANTES'!B:L,3,0)</f>
        <v>395</v>
      </c>
      <c r="D614" s="66" t="str">
        <f>VLOOKUP(A614,'ESTADOS ESTUDIANTES'!B:L,4,0)</f>
        <v>MAE. EN CIENCIAS DE LA INF. Y LAS COMUNICACIONES ENFASIS EN GEOMATICA</v>
      </c>
      <c r="E614" s="19" t="str">
        <f>VLOOKUP(A614,'ESTADOS ESTUDIANTES'!B:L,5,0)</f>
        <v>E</v>
      </c>
      <c r="F614" s="18" t="str">
        <f>VLOOKUP(E614,Listas!B1:C1004,2,0)</f>
        <v>EGRESADO</v>
      </c>
      <c r="G614" s="19" t="str">
        <f>VLOOKUP(A614,'ESTADOS ESTUDIANTES'!B:L,7,0)</f>
        <v>NO REGISTRA</v>
      </c>
      <c r="H614" s="19">
        <f>VLOOKUP(A614,'ESTADOS ESTUDIANTES'!B:L,8,0)</f>
        <v>0</v>
      </c>
      <c r="I614" s="70" t="str">
        <f>VLOOKUP(A614,'ESTADOS ESTUDIANTES'!B:L,9,0)</f>
        <v>indira197@gmail.com</v>
      </c>
      <c r="J614" s="19" t="str">
        <f>VLOOKUP(A614,'ESTADOS ESTUDIANTES'!B:L,10,0)</f>
        <v>CC</v>
      </c>
      <c r="K614" s="19">
        <f>VLOOKUP(A614,'ESTADOS ESTUDIANTES'!B:L,11,0)</f>
        <v>53091016</v>
      </c>
      <c r="L614" s="19">
        <v>3103191376</v>
      </c>
      <c r="M614" s="20"/>
      <c r="N614" s="22"/>
      <c r="O614" s="15"/>
      <c r="P614" s="15"/>
      <c r="Q614" s="15"/>
      <c r="R614" s="15"/>
      <c r="S614" s="15"/>
      <c r="T614" s="15"/>
      <c r="U614" s="15"/>
    </row>
    <row r="615" spans="1:21" ht="105">
      <c r="A615" s="17">
        <v>20121395013</v>
      </c>
      <c r="B615" s="19" t="str">
        <f>VLOOKUP(A615,'ESTADOS ESTUDIANTES'!B:L,2,0)</f>
        <v>RAMIREZ FERNANDEZ SALOMON EISTEIN</v>
      </c>
      <c r="C615" s="19">
        <f>VLOOKUP(A615,'ESTADOS ESTUDIANTES'!B:L,3,0)</f>
        <v>395</v>
      </c>
      <c r="D615" s="66" t="str">
        <f>VLOOKUP(A615,'ESTADOS ESTUDIANTES'!B:L,4,0)</f>
        <v>MAE. EN CIENCIAS DE LA INF. Y LAS COMUNICACIONES ENFASIS EN GEOMATICA</v>
      </c>
      <c r="E615" s="19" t="str">
        <f>VLOOKUP(A615,'ESTADOS ESTUDIANTES'!B:L,5,0)</f>
        <v>E</v>
      </c>
      <c r="F615" s="18" t="str">
        <f>VLOOKUP(E615,Listas!B1:C1004,2,0)</f>
        <v>EGRESADO</v>
      </c>
      <c r="G615" s="19" t="str">
        <f>VLOOKUP(A615,'ESTADOS ESTUDIANTES'!B:L,7,0)</f>
        <v>NO REGISTRA</v>
      </c>
      <c r="H615" s="19">
        <f>VLOOKUP(A615,'ESTADOS ESTUDIANTES'!B:L,8,0)</f>
        <v>0</v>
      </c>
      <c r="I615" s="70" t="str">
        <f>VLOOKUP(A615,'ESTADOS ESTUDIANTES'!B:L,9,0)</f>
        <v>salomon.einstein@gmail.com</v>
      </c>
      <c r="J615" s="19" t="str">
        <f>VLOOKUP(A615,'ESTADOS ESTUDIANTES'!B:L,10,0)</f>
        <v>CC</v>
      </c>
      <c r="K615" s="19">
        <f>VLOOKUP(A615,'ESTADOS ESTUDIANTES'!B:L,11,0)</f>
        <v>80052918</v>
      </c>
      <c r="L615" s="19">
        <v>3004943472</v>
      </c>
      <c r="M615" s="20"/>
      <c r="N615" s="22"/>
      <c r="O615" s="15"/>
      <c r="P615" s="15"/>
      <c r="Q615" s="15"/>
      <c r="R615" s="15"/>
      <c r="S615" s="15"/>
      <c r="T615" s="15"/>
      <c r="U615" s="15"/>
    </row>
    <row r="616" spans="1:21" ht="105">
      <c r="A616" s="17">
        <v>20121395014</v>
      </c>
      <c r="B616" s="19" t="str">
        <f>VLOOKUP(A616,'ESTADOS ESTUDIANTES'!B:L,2,0)</f>
        <v>RIVAS DIAZGRANADOS MARIAM</v>
      </c>
      <c r="C616" s="19">
        <f>VLOOKUP(A616,'ESTADOS ESTUDIANTES'!B:L,3,0)</f>
        <v>395</v>
      </c>
      <c r="D616" s="66" t="str">
        <f>VLOOKUP(A616,'ESTADOS ESTUDIANTES'!B:L,4,0)</f>
        <v>MAE. EN CIENCIAS DE LA INF. Y LAS COMUNICACIONES ENFASIS EN GEOMATICA</v>
      </c>
      <c r="E616" s="19" t="str">
        <f>VLOOKUP(A616,'ESTADOS ESTUDIANTES'!B:L,5,0)</f>
        <v>E</v>
      </c>
      <c r="F616" s="18" t="str">
        <f>VLOOKUP(E616,Listas!B1:C1004,2,0)</f>
        <v>EGRESADO</v>
      </c>
      <c r="G616" s="19" t="str">
        <f>VLOOKUP(A616,'ESTADOS ESTUDIANTES'!B:L,7,0)</f>
        <v>NO REGISTRA</v>
      </c>
      <c r="H616" s="19" t="str">
        <f>VLOOKUP(A616,'ESTADOS ESTUDIANTES'!B:L,8,0)</f>
        <v>mrivasd@correo.udistrital.edu.co</v>
      </c>
      <c r="I616" s="70" t="str">
        <f>VLOOKUP(A616,'ESTADOS ESTUDIANTES'!B:L,9,0)</f>
        <v>mariam_rivas@hotmail.com</v>
      </c>
      <c r="J616" s="19" t="str">
        <f>VLOOKUP(A616,'ESTADOS ESTUDIANTES'!B:L,10,0)</f>
        <v>CC</v>
      </c>
      <c r="K616" s="19">
        <f>VLOOKUP(A616,'ESTADOS ESTUDIANTES'!B:L,11,0)</f>
        <v>53107576</v>
      </c>
      <c r="L616" s="19">
        <v>3114417175</v>
      </c>
      <c r="M616" s="20"/>
      <c r="N616" s="22"/>
      <c r="O616" s="15"/>
      <c r="P616" s="15"/>
      <c r="Q616" s="15"/>
      <c r="R616" s="15"/>
      <c r="S616" s="15"/>
      <c r="T616" s="15"/>
      <c r="U616" s="15"/>
    </row>
    <row r="617" spans="1:21" ht="105">
      <c r="A617" s="17">
        <v>20121395015</v>
      </c>
      <c r="B617" s="19" t="str">
        <f>VLOOKUP(A617,'ESTADOS ESTUDIANTES'!B:L,2,0)</f>
        <v>RODRIGUEZ SABOGAL EDWIN MAURICIO</v>
      </c>
      <c r="C617" s="19">
        <f>VLOOKUP(A617,'ESTADOS ESTUDIANTES'!B:L,3,0)</f>
        <v>395</v>
      </c>
      <c r="D617" s="66" t="str">
        <f>VLOOKUP(A617,'ESTADOS ESTUDIANTES'!B:L,4,0)</f>
        <v>MAE. EN CIENCIAS DE LA INF. Y LAS COMUNICACIONES ENFASIS EN GEOMATICA</v>
      </c>
      <c r="E617" s="19" t="str">
        <f>VLOOKUP(A617,'ESTADOS ESTUDIANTES'!B:L,5,0)</f>
        <v>X</v>
      </c>
      <c r="F617" s="18" t="str">
        <f>VLOOKUP(E617,Listas!B1:C1004,2,0)</f>
        <v>EXCLUIDO</v>
      </c>
      <c r="G617" s="19">
        <f>VLOOKUP(A617,'ESTADOS ESTUDIANTES'!B:L,7,0)</f>
        <v>3</v>
      </c>
      <c r="H617" s="19">
        <f>VLOOKUP(A617,'ESTADOS ESTUDIANTES'!B:L,8,0)</f>
        <v>0</v>
      </c>
      <c r="I617" s="70" t="str">
        <f>VLOOKUP(A617,'ESTADOS ESTUDIANTES'!B:L,9,0)</f>
        <v>emauriciors@gmail.com</v>
      </c>
      <c r="J617" s="19" t="str">
        <f>VLOOKUP(A617,'ESTADOS ESTUDIANTES'!B:L,10,0)</f>
        <v>CC</v>
      </c>
      <c r="K617" s="19">
        <f>VLOOKUP(A617,'ESTADOS ESTUDIANTES'!B:L,11,0)</f>
        <v>79764993</v>
      </c>
      <c r="L617" s="23"/>
      <c r="M617" s="20"/>
      <c r="N617" s="22"/>
      <c r="O617" s="15"/>
      <c r="P617" s="15"/>
      <c r="Q617" s="15"/>
      <c r="R617" s="15"/>
      <c r="S617" s="15"/>
      <c r="T617" s="15"/>
      <c r="U617" s="15"/>
    </row>
    <row r="618" spans="1:21" ht="105">
      <c r="A618" s="17">
        <v>20121395016</v>
      </c>
      <c r="B618" s="19" t="str">
        <f>VLOOKUP(A618,'ESTADOS ESTUDIANTES'!B:L,2,0)</f>
        <v>ROMERO MENDEZ YOULIN FARIDY</v>
      </c>
      <c r="C618" s="19">
        <f>VLOOKUP(A618,'ESTADOS ESTUDIANTES'!B:L,3,0)</f>
        <v>395</v>
      </c>
      <c r="D618" s="66" t="str">
        <f>VLOOKUP(A618,'ESTADOS ESTUDIANTES'!B:L,4,0)</f>
        <v>MAE. EN CIENCIAS DE LA INF. Y LAS COMUNICACIONES ENFASIS EN GEOMATICA</v>
      </c>
      <c r="E618" s="19" t="str">
        <f>VLOOKUP(A618,'ESTADOS ESTUDIANTES'!B:L,5,0)</f>
        <v>X</v>
      </c>
      <c r="F618" s="18" t="str">
        <f>VLOOKUP(E618,Listas!B1:C1004,2,0)</f>
        <v>EXCLUIDO</v>
      </c>
      <c r="G618" s="19" t="str">
        <f>VLOOKUP(A618,'ESTADOS ESTUDIANTES'!B:L,7,0)</f>
        <v>NO REGISTRA</v>
      </c>
      <c r="H618" s="19">
        <f>VLOOKUP(A618,'ESTADOS ESTUDIANTES'!B:L,8,0)</f>
        <v>0</v>
      </c>
      <c r="I618" s="70" t="str">
        <f>VLOOKUP(A618,'ESTADOS ESTUDIANTES'!B:L,9,0)</f>
        <v>ingyoulinromero@gmail.com</v>
      </c>
      <c r="J618" s="19" t="str">
        <f>VLOOKUP(A618,'ESTADOS ESTUDIANTES'!B:L,10,0)</f>
        <v>CC</v>
      </c>
      <c r="K618" s="19">
        <f>VLOOKUP(A618,'ESTADOS ESTUDIANTES'!B:L,11,0)</f>
        <v>1014195384</v>
      </c>
      <c r="L618" s="19">
        <v>3112308022</v>
      </c>
      <c r="M618" s="20"/>
      <c r="N618" s="22"/>
      <c r="O618" s="15"/>
      <c r="P618" s="15"/>
      <c r="Q618" s="15"/>
      <c r="R618" s="15"/>
      <c r="S618" s="15"/>
      <c r="T618" s="15"/>
      <c r="U618" s="15"/>
    </row>
    <row r="619" spans="1:21" ht="105">
      <c r="A619" s="17">
        <v>20121395017</v>
      </c>
      <c r="B619" s="19" t="str">
        <f>VLOOKUP(A619,'ESTADOS ESTUDIANTES'!B:L,2,0)</f>
        <v>REYES GOMEZ IVAN ANDRES</v>
      </c>
      <c r="C619" s="19">
        <f>VLOOKUP(A619,'ESTADOS ESTUDIANTES'!B:L,3,0)</f>
        <v>395</v>
      </c>
      <c r="D619" s="66" t="str">
        <f>VLOOKUP(A619,'ESTADOS ESTUDIANTES'!B:L,4,0)</f>
        <v>MAE. EN CIENCIAS DE LA INF. Y LAS COMUNICACIONES ENFASIS EN GEOMATICA</v>
      </c>
      <c r="E619" s="19" t="str">
        <f>VLOOKUP(A619,'ESTADOS ESTUDIANTES'!B:L,5,0)</f>
        <v>E</v>
      </c>
      <c r="F619" s="18" t="str">
        <f>VLOOKUP(E619,Listas!B1:C1004,2,0)</f>
        <v>EGRESADO</v>
      </c>
      <c r="G619" s="19" t="str">
        <f>VLOOKUP(A619,'ESTADOS ESTUDIANTES'!B:L,7,0)</f>
        <v>NO REGISTRA</v>
      </c>
      <c r="H619" s="19">
        <f>VLOOKUP(A619,'ESTADOS ESTUDIANTES'!B:L,8,0)</f>
        <v>0</v>
      </c>
      <c r="I619" s="70" t="str">
        <f>VLOOKUP(A619,'ESTADOS ESTUDIANTES'!B:L,9,0)</f>
        <v>iareyesgomez@gmail.com</v>
      </c>
      <c r="J619" s="19" t="str">
        <f>VLOOKUP(A619,'ESTADOS ESTUDIANTES'!B:L,10,0)</f>
        <v>CC</v>
      </c>
      <c r="K619" s="19">
        <f>VLOOKUP(A619,'ESTADOS ESTUDIANTES'!B:L,11,0)</f>
        <v>80803723</v>
      </c>
      <c r="L619" s="19">
        <v>3134264500</v>
      </c>
      <c r="M619" s="20"/>
      <c r="N619" s="22"/>
      <c r="O619" s="15"/>
      <c r="P619" s="15"/>
      <c r="Q619" s="15"/>
      <c r="R619" s="15"/>
      <c r="S619" s="15"/>
      <c r="T619" s="15"/>
      <c r="U619" s="15"/>
    </row>
    <row r="620" spans="1:21" ht="90">
      <c r="A620" s="17">
        <v>20122195001</v>
      </c>
      <c r="B620" s="19" t="str">
        <f>VLOOKUP(A620,'ESTADOS ESTUDIANTES'!B:L,2,0)</f>
        <v>FERREIRA ANGARITA FABIO ALEXANDER</v>
      </c>
      <c r="C620" s="19">
        <f>VLOOKUP(A620,'ESTADOS ESTUDIANTES'!B:L,3,0)</f>
        <v>195</v>
      </c>
      <c r="D620" s="66" t="str">
        <f>VLOOKUP(A620,'ESTADOS ESTUDIANTES'!B:L,4,0)</f>
        <v>MAE. EN CIENCIAS DE LA INF. Y LAS COMUNICACIONES ENFASIS EN TELEINF.</v>
      </c>
      <c r="E620" s="19" t="str">
        <f>VLOOKUP(A620,'ESTADOS ESTUDIANTES'!B:L,5,0)</f>
        <v>X</v>
      </c>
      <c r="F620" s="18" t="str">
        <f>VLOOKUP(E620,Listas!B1:C1004,2,0)</f>
        <v>EXCLUIDO</v>
      </c>
      <c r="G620" s="19" t="str">
        <f>VLOOKUP(A620,'ESTADOS ESTUDIANTES'!B:L,7,0)</f>
        <v>NO REGISTRA</v>
      </c>
      <c r="H620" s="19">
        <f>VLOOKUP(A620,'ESTADOS ESTUDIANTES'!B:L,8,0)</f>
        <v>0</v>
      </c>
      <c r="I620" s="70" t="str">
        <f>VLOOKUP(A620,'ESTADOS ESTUDIANTES'!B:L,9,0)</f>
        <v>fabiorov@gmail.com</v>
      </c>
      <c r="J620" s="19" t="str">
        <f>VLOOKUP(A620,'ESTADOS ESTUDIANTES'!B:L,10,0)</f>
        <v>CC</v>
      </c>
      <c r="K620" s="19">
        <f>VLOOKUP(A620,'ESTADOS ESTUDIANTES'!B:L,11,0)</f>
        <v>72288901</v>
      </c>
      <c r="L620" s="19">
        <v>3183725073</v>
      </c>
      <c r="M620" s="20"/>
      <c r="N620" s="22"/>
      <c r="O620" s="15"/>
      <c r="P620" s="15"/>
      <c r="Q620" s="15"/>
      <c r="R620" s="15"/>
      <c r="S620" s="15"/>
      <c r="T620" s="15"/>
      <c r="U620" s="15"/>
    </row>
    <row r="621" spans="1:21" ht="90">
      <c r="A621" s="17">
        <v>20122195002</v>
      </c>
      <c r="B621" s="19" t="str">
        <f>VLOOKUP(A621,'ESTADOS ESTUDIANTES'!B:L,2,0)</f>
        <v>FUENMAYOR RIVADENEIRA GERALD BREEK</v>
      </c>
      <c r="C621" s="19">
        <f>VLOOKUP(A621,'ESTADOS ESTUDIANTES'!B:L,3,0)</f>
        <v>195</v>
      </c>
      <c r="D621" s="66" t="str">
        <f>VLOOKUP(A621,'ESTADOS ESTUDIANTES'!B:L,4,0)</f>
        <v>MAE. EN CIENCIAS DE LA INF. Y LAS COMUNICACIONES ENFASIS EN TELEINF.</v>
      </c>
      <c r="E621" s="19" t="str">
        <f>VLOOKUP(A621,'ESTADOS ESTUDIANTES'!B:L,5,0)</f>
        <v>X</v>
      </c>
      <c r="F621" s="18" t="str">
        <f>VLOOKUP(E621,Listas!B1:C1004,2,0)</f>
        <v>EXCLUIDO</v>
      </c>
      <c r="G621" s="19">
        <f>VLOOKUP(A621,'ESTADOS ESTUDIANTES'!B:L,7,0)</f>
        <v>3</v>
      </c>
      <c r="H621" s="19">
        <f>VLOOKUP(A621,'ESTADOS ESTUDIANTES'!B:L,8,0)</f>
        <v>0</v>
      </c>
      <c r="I621" s="70" t="str">
        <f>VLOOKUP(A621,'ESTADOS ESTUDIANTES'!B:L,9,0)</f>
        <v>gbfuenmayorr@udistrital.edu.co</v>
      </c>
      <c r="J621" s="19" t="str">
        <f>VLOOKUP(A621,'ESTADOS ESTUDIANTES'!B:L,10,0)</f>
        <v>CC</v>
      </c>
      <c r="K621" s="19">
        <f>VLOOKUP(A621,'ESTADOS ESTUDIANTES'!B:L,11,0)</f>
        <v>79723380</v>
      </c>
      <c r="L621" s="19">
        <v>3002335526</v>
      </c>
      <c r="M621" s="20">
        <v>28906</v>
      </c>
      <c r="N621" s="22"/>
      <c r="O621" s="15"/>
      <c r="P621" s="15"/>
      <c r="Q621" s="15"/>
      <c r="R621" s="15"/>
      <c r="S621" s="15"/>
      <c r="T621" s="15"/>
      <c r="U621" s="15"/>
    </row>
    <row r="622" spans="1:21" ht="90">
      <c r="A622" s="17">
        <v>20122195003</v>
      </c>
      <c r="B622" s="19" t="str">
        <f>VLOOKUP(A622,'ESTADOS ESTUDIANTES'!B:L,2,0)</f>
        <v>GUEVARA RIVEROS ADRIANA YOLANDA</v>
      </c>
      <c r="C622" s="19">
        <f>VLOOKUP(A622,'ESTADOS ESTUDIANTES'!B:L,3,0)</f>
        <v>195</v>
      </c>
      <c r="D622" s="66" t="str">
        <f>VLOOKUP(A622,'ESTADOS ESTUDIANTES'!B:L,4,0)</f>
        <v>MAE. EN CIENCIAS DE LA INF. Y LAS COMUNICACIONES ENFASIS EN TELEINF.</v>
      </c>
      <c r="E622" s="19" t="str">
        <f>VLOOKUP(A622,'ESTADOS ESTUDIANTES'!B:L,5,0)</f>
        <v>E</v>
      </c>
      <c r="F622" s="18" t="str">
        <f>VLOOKUP(E622,Listas!B1:C1004,2,0)</f>
        <v>EGRESADO</v>
      </c>
      <c r="G622" s="19">
        <f>VLOOKUP(A622,'ESTADOS ESTUDIANTES'!B:L,7,0)</f>
        <v>1</v>
      </c>
      <c r="H622" s="19" t="str">
        <f>VLOOKUP(A622,'ESTADOS ESTUDIANTES'!B:L,8,0)</f>
        <v>ayguevarar@udistrital.edu.co</v>
      </c>
      <c r="I622" s="70" t="str">
        <f>VLOOKUP(A622,'ESTADOS ESTUDIANTES'!B:L,9,0)</f>
        <v>adriveros2006@hotmail.com</v>
      </c>
      <c r="J622" s="19" t="str">
        <f>VLOOKUP(A622,'ESTADOS ESTUDIANTES'!B:L,10,0)</f>
        <v>CC</v>
      </c>
      <c r="K622" s="19">
        <f>VLOOKUP(A622,'ESTADOS ESTUDIANTES'!B:L,11,0)</f>
        <v>52147162</v>
      </c>
      <c r="L622" s="19">
        <v>3015920909</v>
      </c>
      <c r="M622" s="20"/>
      <c r="N622" s="22"/>
      <c r="O622" s="15"/>
      <c r="P622" s="15"/>
      <c r="Q622" s="15"/>
      <c r="R622" s="15"/>
      <c r="S622" s="15"/>
      <c r="T622" s="15"/>
      <c r="U622" s="15"/>
    </row>
    <row r="623" spans="1:21" ht="90">
      <c r="A623" s="17">
        <v>20122195004</v>
      </c>
      <c r="B623" s="19" t="str">
        <f>VLOOKUP(A623,'ESTADOS ESTUDIANTES'!B:L,2,0)</f>
        <v>MONCALEANO OSPINA ARIEL RICARDO</v>
      </c>
      <c r="C623" s="19">
        <f>VLOOKUP(A623,'ESTADOS ESTUDIANTES'!B:L,3,0)</f>
        <v>195</v>
      </c>
      <c r="D623" s="66" t="str">
        <f>VLOOKUP(A623,'ESTADOS ESTUDIANTES'!B:L,4,0)</f>
        <v>MAE. EN CIENCIAS DE LA INF. Y LAS COMUNICACIONES ENFASIS EN TELEINF.</v>
      </c>
      <c r="E623" s="19" t="str">
        <f>VLOOKUP(A623,'ESTADOS ESTUDIANTES'!B:L,5,0)</f>
        <v>X</v>
      </c>
      <c r="F623" s="18" t="str">
        <f>VLOOKUP(E623,Listas!B1:C1004,2,0)</f>
        <v>EXCLUIDO</v>
      </c>
      <c r="G623" s="19" t="str">
        <f>VLOOKUP(A623,'ESTADOS ESTUDIANTES'!B:L,7,0)</f>
        <v>NO REGISTRA</v>
      </c>
      <c r="H623" s="19">
        <f>VLOOKUP(A623,'ESTADOS ESTUDIANTES'!B:L,8,0)</f>
        <v>0</v>
      </c>
      <c r="I623" s="70" t="str">
        <f>VLOOKUP(A623,'ESTADOS ESTUDIANTES'!B:L,9,0)</f>
        <v>richardoe66@hotmail.com</v>
      </c>
      <c r="J623" s="19" t="str">
        <f>VLOOKUP(A623,'ESTADOS ESTUDIANTES'!B:L,10,0)</f>
        <v>CC</v>
      </c>
      <c r="K623" s="19">
        <f>VLOOKUP(A623,'ESTADOS ESTUDIANTES'!B:L,11,0)</f>
        <v>1032387826</v>
      </c>
      <c r="L623" s="19">
        <v>3107665394</v>
      </c>
      <c r="M623" s="20"/>
      <c r="N623" s="22"/>
      <c r="O623" s="15"/>
      <c r="P623" s="15"/>
      <c r="Q623" s="15"/>
      <c r="R623" s="15"/>
      <c r="S623" s="15"/>
      <c r="T623" s="15"/>
      <c r="U623" s="15"/>
    </row>
    <row r="624" spans="1:21" ht="90">
      <c r="A624" s="17">
        <v>20122195005</v>
      </c>
      <c r="B624" s="19" t="str">
        <f>VLOOKUP(A624,'ESTADOS ESTUDIANTES'!B:L,2,0)</f>
        <v>REYES BONILLA LUZ YAMILE</v>
      </c>
      <c r="C624" s="19">
        <f>VLOOKUP(A624,'ESTADOS ESTUDIANTES'!B:L,3,0)</f>
        <v>195</v>
      </c>
      <c r="D624" s="66" t="str">
        <f>VLOOKUP(A624,'ESTADOS ESTUDIANTES'!B:L,4,0)</f>
        <v>MAE. EN CIENCIAS DE LA INF. Y LAS COMUNICACIONES ENFASIS EN TELEINF.</v>
      </c>
      <c r="E624" s="19" t="str">
        <f>VLOOKUP(A624,'ESTADOS ESTUDIANTES'!B:L,5,0)</f>
        <v>E</v>
      </c>
      <c r="F624" s="18" t="str">
        <f>VLOOKUP(E624,Listas!B1:C1004,2,0)</f>
        <v>EGRESADO</v>
      </c>
      <c r="G624" s="19">
        <f>VLOOKUP(A624,'ESTADOS ESTUDIANTES'!B:L,7,0)</f>
        <v>1</v>
      </c>
      <c r="H624" s="19">
        <f>VLOOKUP(A624,'ESTADOS ESTUDIANTES'!B:L,8,0)</f>
        <v>0</v>
      </c>
      <c r="I624" s="70" t="str">
        <f>VLOOKUP(A624,'ESTADOS ESTUDIANTES'!B:L,9,0)</f>
        <v>luzyare@gmail.com</v>
      </c>
      <c r="J624" s="19" t="str">
        <f>VLOOKUP(A624,'ESTADOS ESTUDIANTES'!B:L,10,0)</f>
        <v>CC</v>
      </c>
      <c r="K624" s="19">
        <f>VLOOKUP(A624,'ESTADOS ESTUDIANTES'!B:L,11,0)</f>
        <v>30230686</v>
      </c>
      <c r="L624" s="23"/>
      <c r="M624" s="20"/>
      <c r="N624" s="22"/>
      <c r="O624" s="15"/>
      <c r="P624" s="15"/>
      <c r="Q624" s="15"/>
      <c r="R624" s="15"/>
      <c r="S624" s="15"/>
      <c r="T624" s="15"/>
      <c r="U624" s="15"/>
    </row>
    <row r="625" spans="1:21" ht="90">
      <c r="A625" s="17">
        <v>20122195006</v>
      </c>
      <c r="B625" s="19" t="str">
        <f>VLOOKUP(A625,'ESTADOS ESTUDIANTES'!B:L,2,0)</f>
        <v>ROJAS DUARTE ORLANDO</v>
      </c>
      <c r="C625" s="19">
        <f>VLOOKUP(A625,'ESTADOS ESTUDIANTES'!B:L,3,0)</f>
        <v>195</v>
      </c>
      <c r="D625" s="66" t="str">
        <f>VLOOKUP(A625,'ESTADOS ESTUDIANTES'!B:L,4,0)</f>
        <v>MAE. EN CIENCIAS DE LA INF. Y LAS COMUNICACIONES ENFASIS EN TELEINF.</v>
      </c>
      <c r="E625" s="19" t="str">
        <f>VLOOKUP(A625,'ESTADOS ESTUDIANTES'!B:L,5,0)</f>
        <v>X</v>
      </c>
      <c r="F625" s="18" t="str">
        <f>VLOOKUP(E625,Listas!B1:C1004,2,0)</f>
        <v>EXCLUIDO</v>
      </c>
      <c r="G625" s="19">
        <f>VLOOKUP(A625,'ESTADOS ESTUDIANTES'!B:L,7,0)</f>
        <v>3</v>
      </c>
      <c r="H625" s="19">
        <f>VLOOKUP(A625,'ESTADOS ESTUDIANTES'!B:L,8,0)</f>
        <v>0</v>
      </c>
      <c r="I625" s="70" t="str">
        <f>VLOOKUP(A625,'ESTADOS ESTUDIANTES'!B:L,9,0)</f>
        <v>orlanrojas1@yahoo.es</v>
      </c>
      <c r="J625" s="19" t="str">
        <f>VLOOKUP(A625,'ESTADOS ESTUDIANTES'!B:L,10,0)</f>
        <v>CC</v>
      </c>
      <c r="K625" s="19">
        <f>VLOOKUP(A625,'ESTADOS ESTUDIANTES'!B:L,11,0)</f>
        <v>80124517</v>
      </c>
      <c r="L625" s="19">
        <v>3114553113</v>
      </c>
      <c r="M625" s="20">
        <v>29908</v>
      </c>
      <c r="N625" s="22"/>
      <c r="O625" s="15"/>
      <c r="P625" s="15"/>
      <c r="Q625" s="15"/>
      <c r="R625" s="15"/>
      <c r="S625" s="15"/>
      <c r="T625" s="15"/>
      <c r="U625" s="15"/>
    </row>
    <row r="626" spans="1:21" ht="90">
      <c r="A626" s="17">
        <v>20122195007</v>
      </c>
      <c r="B626" s="19" t="str">
        <f>VLOOKUP(A626,'ESTADOS ESTUDIANTES'!B:L,2,0)</f>
        <v>SALGADO FRANCO LIZET CAMILA</v>
      </c>
      <c r="C626" s="19">
        <f>VLOOKUP(A626,'ESTADOS ESTUDIANTES'!B:L,3,0)</f>
        <v>195</v>
      </c>
      <c r="D626" s="66" t="str">
        <f>VLOOKUP(A626,'ESTADOS ESTUDIANTES'!B:L,4,0)</f>
        <v>MAE. EN CIENCIAS DE LA INF. Y LAS COMUNICACIONES ENFASIS EN TELEINF.</v>
      </c>
      <c r="E626" s="19" t="str">
        <f>VLOOKUP(A626,'ESTADOS ESTUDIANTES'!B:L,5,0)</f>
        <v>E</v>
      </c>
      <c r="F626" s="18" t="str">
        <f>VLOOKUP(E626,Listas!B1:C1004,2,0)</f>
        <v>EGRESADO</v>
      </c>
      <c r="G626" s="19" t="str">
        <f>VLOOKUP(A626,'ESTADOS ESTUDIANTES'!B:L,7,0)</f>
        <v>NO REGISTRA</v>
      </c>
      <c r="H626" s="19">
        <f>VLOOKUP(A626,'ESTADOS ESTUDIANTES'!B:L,8,0)</f>
        <v>0</v>
      </c>
      <c r="I626" s="70" t="str">
        <f>VLOOKUP(A626,'ESTADOS ESTUDIANTES'!B:L,9,0)</f>
        <v>camila.salgadof@gmail.com</v>
      </c>
      <c r="J626" s="19" t="str">
        <f>VLOOKUP(A626,'ESTADOS ESTUDIANTES'!B:L,10,0)</f>
        <v>CC</v>
      </c>
      <c r="K626" s="19">
        <f>VLOOKUP(A626,'ESTADOS ESTUDIANTES'!B:L,11,0)</f>
        <v>1030550149</v>
      </c>
      <c r="L626" s="23"/>
      <c r="M626" s="20"/>
      <c r="N626" s="22"/>
      <c r="O626" s="15"/>
      <c r="P626" s="15"/>
      <c r="Q626" s="15"/>
      <c r="R626" s="15"/>
      <c r="S626" s="15"/>
      <c r="T626" s="15"/>
      <c r="U626" s="15"/>
    </row>
    <row r="627" spans="1:21" ht="90">
      <c r="A627" s="17">
        <v>20122195008</v>
      </c>
      <c r="B627" s="19" t="str">
        <f>VLOOKUP(A627,'ESTADOS ESTUDIANTES'!B:L,2,0)</f>
        <v>VASQUEZ SUAREZ HAROLD ANDREY</v>
      </c>
      <c r="C627" s="19">
        <f>VLOOKUP(A627,'ESTADOS ESTUDIANTES'!B:L,3,0)</f>
        <v>195</v>
      </c>
      <c r="D627" s="66" t="str">
        <f>VLOOKUP(A627,'ESTADOS ESTUDIANTES'!B:L,4,0)</f>
        <v>MAE. EN CIENCIAS DE LA INF. Y LAS COMUNICACIONES ENFASIS EN TELEINF.</v>
      </c>
      <c r="E627" s="19" t="str">
        <f>VLOOKUP(A627,'ESTADOS ESTUDIANTES'!B:L,5,0)</f>
        <v>E</v>
      </c>
      <c r="F627" s="18" t="str">
        <f>VLOOKUP(E627,Listas!B1:C1004,2,0)</f>
        <v>EGRESADO</v>
      </c>
      <c r="G627" s="19" t="str">
        <f>VLOOKUP(A627,'ESTADOS ESTUDIANTES'!B:L,7,0)</f>
        <v>NO REGISTRA</v>
      </c>
      <c r="H627" s="19">
        <f>VLOOKUP(A627,'ESTADOS ESTUDIANTES'!B:L,8,0)</f>
        <v>0</v>
      </c>
      <c r="I627" s="70" t="str">
        <f>VLOOKUP(A627,'ESTADOS ESTUDIANTES'!B:L,9,0)</f>
        <v>harold869@hotmail.com</v>
      </c>
      <c r="J627" s="19" t="str">
        <f>VLOOKUP(A627,'ESTADOS ESTUDIANTES'!B:L,10,0)</f>
        <v>CC</v>
      </c>
      <c r="K627" s="19">
        <f>VLOOKUP(A627,'ESTADOS ESTUDIANTES'!B:L,11,0)</f>
        <v>1026258511</v>
      </c>
      <c r="L627" s="19">
        <v>3114542251</v>
      </c>
      <c r="M627" s="20"/>
      <c r="N627" s="22"/>
      <c r="O627" s="15"/>
      <c r="P627" s="15"/>
      <c r="Q627" s="15"/>
      <c r="R627" s="15"/>
      <c r="S627" s="15"/>
      <c r="T627" s="15"/>
      <c r="U627" s="15"/>
    </row>
    <row r="628" spans="1:21" ht="90">
      <c r="A628" s="17">
        <v>20122295001</v>
      </c>
      <c r="B628" s="19" t="str">
        <f>VLOOKUP(A628,'ESTADOS ESTUDIANTES'!B:L,2,0)</f>
        <v>AYALA PÁEZ DANIEL ALEXANDER</v>
      </c>
      <c r="C628" s="19">
        <f>VLOOKUP(A628,'ESTADOS ESTUDIANTES'!B:L,3,0)</f>
        <v>295</v>
      </c>
      <c r="D628" s="66" t="str">
        <f>VLOOKUP(A628,'ESTADOS ESTUDIANTES'!B:L,4,0)</f>
        <v>MAE. EN CIENCIAS DE LA INF. Y LAS COMUNICACIONES ENFASIS EN SIS. INFOR</v>
      </c>
      <c r="E628" s="19" t="str">
        <f>VLOOKUP(A628,'ESTADOS ESTUDIANTES'!B:L,5,0)</f>
        <v>X</v>
      </c>
      <c r="F628" s="18" t="str">
        <f>VLOOKUP(E628,Listas!B1:C1004,2,0)</f>
        <v>EXCLUIDO</v>
      </c>
      <c r="G628" s="19" t="str">
        <f>VLOOKUP(A628,'ESTADOS ESTUDIANTES'!B:L,7,0)</f>
        <v>NO REGISTRA</v>
      </c>
      <c r="H628" s="19">
        <f>VLOOKUP(A628,'ESTADOS ESTUDIANTES'!B:L,8,0)</f>
        <v>0</v>
      </c>
      <c r="I628" s="70" t="str">
        <f>VLOOKUP(A628,'ESTADOS ESTUDIANTES'!B:L,9,0)</f>
        <v>danielbit2000@yahoo.es</v>
      </c>
      <c r="J628" s="19" t="str">
        <f>VLOOKUP(A628,'ESTADOS ESTUDIANTES'!B:L,10,0)</f>
        <v>CC</v>
      </c>
      <c r="K628" s="19">
        <f>VLOOKUP(A628,'ESTADOS ESTUDIANTES'!B:L,11,0)</f>
        <v>80727294</v>
      </c>
      <c r="L628" s="21"/>
      <c r="M628" s="20"/>
      <c r="N628" s="22"/>
      <c r="O628" s="15"/>
      <c r="P628" s="15"/>
      <c r="Q628" s="15"/>
      <c r="R628" s="15"/>
      <c r="S628" s="15"/>
      <c r="T628" s="15"/>
      <c r="U628" s="15"/>
    </row>
    <row r="629" spans="1:21" ht="90">
      <c r="A629" s="17">
        <v>20122295002</v>
      </c>
      <c r="B629" s="19" t="str">
        <f>VLOOKUP(A629,'ESTADOS ESTUDIANTES'!B:L,2,0)</f>
        <v>BURBANO MORENO JHONNY MAURICIO</v>
      </c>
      <c r="C629" s="19">
        <f>VLOOKUP(A629,'ESTADOS ESTUDIANTES'!B:L,3,0)</f>
        <v>295</v>
      </c>
      <c r="D629" s="66" t="str">
        <f>VLOOKUP(A629,'ESTADOS ESTUDIANTES'!B:L,4,0)</f>
        <v>MAE. EN CIENCIAS DE LA INF. Y LAS COMUNICACIONES ENFASIS EN SIS. INFOR</v>
      </c>
      <c r="E629" s="19" t="str">
        <f>VLOOKUP(A629,'ESTADOS ESTUDIANTES'!B:L,5,0)</f>
        <v>X</v>
      </c>
      <c r="F629" s="18" t="str">
        <f>VLOOKUP(E629,Listas!B1:C1004,2,0)</f>
        <v>EXCLUIDO</v>
      </c>
      <c r="G629" s="19" t="str">
        <f>VLOOKUP(A629,'ESTADOS ESTUDIANTES'!B:L,7,0)</f>
        <v>NO REGISTRA</v>
      </c>
      <c r="H629" s="19">
        <f>VLOOKUP(A629,'ESTADOS ESTUDIANTES'!B:L,8,0)</f>
        <v>0</v>
      </c>
      <c r="I629" s="70" t="str">
        <f>VLOOKUP(A629,'ESTADOS ESTUDIANTES'!B:L,9,0)</f>
        <v>hogoblinj@gmail.com</v>
      </c>
      <c r="J629" s="19" t="str">
        <f>VLOOKUP(A629,'ESTADOS ESTUDIANTES'!B:L,10,0)</f>
        <v>CC</v>
      </c>
      <c r="K629" s="19">
        <f>VLOOKUP(A629,'ESTADOS ESTUDIANTES'!B:L,11,0)</f>
        <v>80034881</v>
      </c>
      <c r="L629" s="23"/>
      <c r="M629" s="20"/>
      <c r="N629" s="22"/>
      <c r="O629" s="15"/>
      <c r="P629" s="15"/>
      <c r="Q629" s="15"/>
      <c r="R629" s="15"/>
      <c r="S629" s="15"/>
      <c r="T629" s="15"/>
      <c r="U629" s="15"/>
    </row>
    <row r="630" spans="1:21" ht="90">
      <c r="A630" s="17">
        <v>20122295003</v>
      </c>
      <c r="B630" s="19" t="str">
        <f>VLOOKUP(A630,'ESTADOS ESTUDIANTES'!B:L,2,0)</f>
        <v>DÍAZ HERNÁNDEZ MARÍA FERNANDA</v>
      </c>
      <c r="C630" s="19">
        <f>VLOOKUP(A630,'ESTADOS ESTUDIANTES'!B:L,3,0)</f>
        <v>295</v>
      </c>
      <c r="D630" s="66" t="str">
        <f>VLOOKUP(A630,'ESTADOS ESTUDIANTES'!B:L,4,0)</f>
        <v>MAE. EN CIENCIAS DE LA INF. Y LAS COMUNICACIONES ENFASIS EN SIS. INFOR</v>
      </c>
      <c r="E630" s="19" t="str">
        <f>VLOOKUP(A630,'ESTADOS ESTUDIANTES'!B:L,5,0)</f>
        <v>E</v>
      </c>
      <c r="F630" s="18" t="str">
        <f>VLOOKUP(E630,Listas!B1:C1004,2,0)</f>
        <v>EGRESADO</v>
      </c>
      <c r="G630" s="19" t="str">
        <f>VLOOKUP(A630,'ESTADOS ESTUDIANTES'!B:L,7,0)</f>
        <v>NO REGISTRA</v>
      </c>
      <c r="H630" s="19" t="str">
        <f>VLOOKUP(A630,'ESTADOS ESTUDIANTES'!B:L,8,0)</f>
        <v>mfdiazh@udistrital.edu.co</v>
      </c>
      <c r="I630" s="70" t="str">
        <f>VLOOKUP(A630,'ESTADOS ESTUDIANTES'!B:L,9,0)</f>
        <v>mafediazh77@gmail.com</v>
      </c>
      <c r="J630" s="19" t="str">
        <f>VLOOKUP(A630,'ESTADOS ESTUDIANTES'!B:L,10,0)</f>
        <v>CC</v>
      </c>
      <c r="K630" s="19">
        <f>VLOOKUP(A630,'ESTADOS ESTUDIANTES'!B:L,11,0)</f>
        <v>51661990</v>
      </c>
      <c r="L630" s="19">
        <v>3004654791</v>
      </c>
      <c r="M630" s="20"/>
      <c r="N630" s="22"/>
      <c r="O630" s="15"/>
      <c r="P630" s="15"/>
      <c r="Q630" s="15"/>
      <c r="R630" s="15"/>
      <c r="S630" s="15"/>
      <c r="T630" s="15"/>
      <c r="U630" s="15"/>
    </row>
    <row r="631" spans="1:21" ht="90">
      <c r="A631" s="17">
        <v>20122295004</v>
      </c>
      <c r="B631" s="19" t="str">
        <f>VLOOKUP(A631,'ESTADOS ESTUDIANTES'!B:L,2,0)</f>
        <v>FERNÁNDEZ DOMÍNGUEZ JULÍAN ANDRÉS</v>
      </c>
      <c r="C631" s="19">
        <f>VLOOKUP(A631,'ESTADOS ESTUDIANTES'!B:L,3,0)</f>
        <v>295</v>
      </c>
      <c r="D631" s="66" t="str">
        <f>VLOOKUP(A631,'ESTADOS ESTUDIANTES'!B:L,4,0)</f>
        <v>MAE. EN CIENCIAS DE LA INF. Y LAS COMUNICACIONES ENFASIS EN SIS. INFOR</v>
      </c>
      <c r="E631" s="19" t="str">
        <f>VLOOKUP(A631,'ESTADOS ESTUDIANTES'!B:L,5,0)</f>
        <v>X</v>
      </c>
      <c r="F631" s="18" t="str">
        <f>VLOOKUP(E631,Listas!B1:C1004,2,0)</f>
        <v>EXCLUIDO</v>
      </c>
      <c r="G631" s="19">
        <f>VLOOKUP(A631,'ESTADOS ESTUDIANTES'!B:L,7,0)</f>
        <v>1</v>
      </c>
      <c r="H631" s="19">
        <f>VLOOKUP(A631,'ESTADOS ESTUDIANTES'!B:L,8,0)</f>
        <v>0</v>
      </c>
      <c r="I631" s="70" t="str">
        <f>VLOOKUP(A631,'ESTADOS ESTUDIANTES'!B:L,9,0)</f>
        <v>juanfedo@gmail.com</v>
      </c>
      <c r="J631" s="19" t="str">
        <f>VLOOKUP(A631,'ESTADOS ESTUDIANTES'!B:L,10,0)</f>
        <v>CC</v>
      </c>
      <c r="K631" s="19">
        <f>VLOOKUP(A631,'ESTADOS ESTUDIANTES'!B:L,11,0)</f>
        <v>16837611</v>
      </c>
      <c r="L631" s="19">
        <v>3182850702</v>
      </c>
      <c r="M631" s="20"/>
      <c r="N631" s="22"/>
      <c r="O631" s="15"/>
      <c r="P631" s="15"/>
      <c r="Q631" s="15"/>
      <c r="R631" s="15"/>
      <c r="S631" s="15"/>
      <c r="T631" s="15"/>
      <c r="U631" s="15"/>
    </row>
    <row r="632" spans="1:21" ht="90">
      <c r="A632" s="17">
        <v>20122295005</v>
      </c>
      <c r="B632" s="19" t="str">
        <f>VLOOKUP(A632,'ESTADOS ESTUDIANTES'!B:L,2,0)</f>
        <v>FERNÁNDEZ NIETO GLORIA MILENA</v>
      </c>
      <c r="C632" s="19">
        <f>VLOOKUP(A632,'ESTADOS ESTUDIANTES'!B:L,3,0)</f>
        <v>295</v>
      </c>
      <c r="D632" s="66" t="str">
        <f>VLOOKUP(A632,'ESTADOS ESTUDIANTES'!B:L,4,0)</f>
        <v>MAE. EN CIENCIAS DE LA INF. Y LAS COMUNICACIONES ENFASIS EN SIS. INFOR</v>
      </c>
      <c r="E632" s="19" t="str">
        <f>VLOOKUP(A632,'ESTADOS ESTUDIANTES'!B:L,5,0)</f>
        <v>X</v>
      </c>
      <c r="F632" s="18" t="str">
        <f>VLOOKUP(E632,Listas!B1:C1004,2,0)</f>
        <v>EXCLUIDO</v>
      </c>
      <c r="G632" s="19" t="str">
        <f>VLOOKUP(A632,'ESTADOS ESTUDIANTES'!B:L,7,0)</f>
        <v>NO REGISTRA</v>
      </c>
      <c r="H632" s="19">
        <f>VLOOKUP(A632,'ESTADOS ESTUDIANTES'!B:L,8,0)</f>
        <v>0</v>
      </c>
      <c r="I632" s="70" t="str">
        <f>VLOOKUP(A632,'ESTADOS ESTUDIANTES'!B:L,9,0)</f>
        <v>gmfernandezn@correo.udistrital.edu.co</v>
      </c>
      <c r="J632" s="19" t="str">
        <f>VLOOKUP(A632,'ESTADOS ESTUDIANTES'!B:L,10,0)</f>
        <v>CC</v>
      </c>
      <c r="K632" s="19">
        <f>VLOOKUP(A632,'ESTADOS ESTUDIANTES'!B:L,11,0)</f>
        <v>1022342164</v>
      </c>
      <c r="L632" s="23"/>
      <c r="M632" s="20"/>
      <c r="N632" s="22"/>
      <c r="O632" s="15"/>
      <c r="P632" s="15"/>
      <c r="Q632" s="15"/>
      <c r="R632" s="15"/>
      <c r="S632" s="15"/>
      <c r="T632" s="15"/>
      <c r="U632" s="15"/>
    </row>
    <row r="633" spans="1:21" ht="90">
      <c r="A633" s="17">
        <v>20122295006</v>
      </c>
      <c r="B633" s="19" t="str">
        <f>VLOOKUP(A633,'ESTADOS ESTUDIANTES'!B:L,2,0)</f>
        <v>MORENO REY YESID ARTURO</v>
      </c>
      <c r="C633" s="19">
        <f>VLOOKUP(A633,'ESTADOS ESTUDIANTES'!B:L,3,0)</f>
        <v>295</v>
      </c>
      <c r="D633" s="66" t="str">
        <f>VLOOKUP(A633,'ESTADOS ESTUDIANTES'!B:L,4,0)</f>
        <v>MAE. EN CIENCIAS DE LA INF. Y LAS COMUNICACIONES ENFASIS EN SIS. INFOR</v>
      </c>
      <c r="E633" s="19" t="str">
        <f>VLOOKUP(A633,'ESTADOS ESTUDIANTES'!B:L,5,0)</f>
        <v>X</v>
      </c>
      <c r="F633" s="18" t="str">
        <f>VLOOKUP(E633,Listas!B1:C1004,2,0)</f>
        <v>EXCLUIDO</v>
      </c>
      <c r="G633" s="19" t="str">
        <f>VLOOKUP(A633,'ESTADOS ESTUDIANTES'!B:L,7,0)</f>
        <v>NO REGISTRA</v>
      </c>
      <c r="H633" s="19">
        <f>VLOOKUP(A633,'ESTADOS ESTUDIANTES'!B:L,8,0)</f>
        <v>0</v>
      </c>
      <c r="I633" s="70" t="str">
        <f>VLOOKUP(A633,'ESTADOS ESTUDIANTES'!B:L,9,0)</f>
        <v>ymorenor@gmail.com</v>
      </c>
      <c r="J633" s="19" t="str">
        <f>VLOOKUP(A633,'ESTADOS ESTUDIANTES'!B:L,10,0)</f>
        <v>CC</v>
      </c>
      <c r="K633" s="19">
        <f>VLOOKUP(A633,'ESTADOS ESTUDIANTES'!B:L,11,0)</f>
        <v>79712706</v>
      </c>
      <c r="L633" s="23"/>
      <c r="M633" s="20"/>
      <c r="N633" s="22"/>
      <c r="O633" s="15"/>
      <c r="P633" s="15"/>
      <c r="Q633" s="15"/>
      <c r="R633" s="15"/>
      <c r="S633" s="15"/>
      <c r="T633" s="15"/>
      <c r="U633" s="15"/>
    </row>
    <row r="634" spans="1:21" ht="105">
      <c r="A634" s="17">
        <v>20122395001</v>
      </c>
      <c r="B634" s="19" t="str">
        <f>VLOOKUP(A634,'ESTADOS ESTUDIANTES'!B:L,2,0)</f>
        <v>AYALA LEÓN ALEXANDER</v>
      </c>
      <c r="C634" s="19">
        <f>VLOOKUP(A634,'ESTADOS ESTUDIANTES'!B:L,3,0)</f>
        <v>395</v>
      </c>
      <c r="D634" s="66" t="str">
        <f>VLOOKUP(A634,'ESTADOS ESTUDIANTES'!B:L,4,0)</f>
        <v>MAE. EN CIENCIAS DE LA INF. Y LAS COMUNICACIONES ENFASIS EN GEOMATICA</v>
      </c>
      <c r="E634" s="19" t="str">
        <f>VLOOKUP(A634,'ESTADOS ESTUDIANTES'!B:L,5,0)</f>
        <v>X</v>
      </c>
      <c r="F634" s="18" t="str">
        <f>VLOOKUP(E634,Listas!B1:C1004,2,0)</f>
        <v>EXCLUIDO</v>
      </c>
      <c r="G634" s="19" t="str">
        <f>VLOOKUP(A634,'ESTADOS ESTUDIANTES'!B:L,7,0)</f>
        <v>NO REGISTRA</v>
      </c>
      <c r="H634" s="19">
        <f>VLOOKUP(A634,'ESTADOS ESTUDIANTES'!B:L,8,0)</f>
        <v>0</v>
      </c>
      <c r="I634" s="70" t="str">
        <f>VLOOKUP(A634,'ESTADOS ESTUDIANTES'!B:L,9,0)</f>
        <v>alexander.ayala.leon@gmail.com</v>
      </c>
      <c r="J634" s="19" t="str">
        <f>VLOOKUP(A634,'ESTADOS ESTUDIANTES'!B:L,10,0)</f>
        <v>CC</v>
      </c>
      <c r="K634" s="19">
        <f>VLOOKUP(A634,'ESTADOS ESTUDIANTES'!B:L,11,0)</f>
        <v>79556501</v>
      </c>
      <c r="L634" s="19">
        <v>3142027992</v>
      </c>
      <c r="M634" s="20"/>
      <c r="N634" s="22"/>
      <c r="O634" s="15"/>
      <c r="P634" s="15"/>
      <c r="Q634" s="15"/>
      <c r="R634" s="15"/>
      <c r="S634" s="15"/>
      <c r="T634" s="15"/>
      <c r="U634" s="15"/>
    </row>
    <row r="635" spans="1:21" ht="105">
      <c r="A635" s="17">
        <v>20122395002</v>
      </c>
      <c r="B635" s="19" t="str">
        <f>VLOOKUP(A635,'ESTADOS ESTUDIANTES'!B:L,2,0)</f>
        <v>BERNAL REYES GERMÁN ORLANDO</v>
      </c>
      <c r="C635" s="19">
        <f>VLOOKUP(A635,'ESTADOS ESTUDIANTES'!B:L,3,0)</f>
        <v>395</v>
      </c>
      <c r="D635" s="66" t="str">
        <f>VLOOKUP(A635,'ESTADOS ESTUDIANTES'!B:L,4,0)</f>
        <v>MAE. EN CIENCIAS DE LA INF. Y LAS COMUNICACIONES ENFASIS EN GEOMATICA</v>
      </c>
      <c r="E635" s="19" t="str">
        <f>VLOOKUP(A635,'ESTADOS ESTUDIANTES'!B:L,5,0)</f>
        <v>X</v>
      </c>
      <c r="F635" s="18" t="str">
        <f>VLOOKUP(E635,Listas!B1:C1004,2,0)</f>
        <v>EXCLUIDO</v>
      </c>
      <c r="G635" s="19" t="str">
        <f>VLOOKUP(A635,'ESTADOS ESTUDIANTES'!B:L,7,0)</f>
        <v>NO REGISTRA</v>
      </c>
      <c r="H635" s="19">
        <f>VLOOKUP(A635,'ESTADOS ESTUDIANTES'!B:L,8,0)</f>
        <v>0</v>
      </c>
      <c r="I635" s="70" t="str">
        <f>VLOOKUP(A635,'ESTADOS ESTUDIANTES'!B:L,9,0)</f>
        <v>gobernal@gmail.com</v>
      </c>
      <c r="J635" s="19" t="str">
        <f>VLOOKUP(A635,'ESTADOS ESTUDIANTES'!B:L,10,0)</f>
        <v>CC</v>
      </c>
      <c r="K635" s="19">
        <f>VLOOKUP(A635,'ESTADOS ESTUDIANTES'!B:L,11,0)</f>
        <v>79382169</v>
      </c>
      <c r="L635" s="19">
        <v>3108741299</v>
      </c>
      <c r="M635" s="20"/>
      <c r="N635" s="22"/>
      <c r="O635" s="15"/>
      <c r="P635" s="15"/>
      <c r="Q635" s="15"/>
      <c r="R635" s="15"/>
      <c r="S635" s="15"/>
      <c r="T635" s="15"/>
      <c r="U635" s="15"/>
    </row>
    <row r="636" spans="1:21" ht="105">
      <c r="A636" s="17">
        <v>20122395003</v>
      </c>
      <c r="B636" s="19" t="str">
        <f>VLOOKUP(A636,'ESTADOS ESTUDIANTES'!B:L,2,0)</f>
        <v>BENAVIDES GONZÁLEZ ÁNGEL MANUEL</v>
      </c>
      <c r="C636" s="19">
        <f>VLOOKUP(A636,'ESTADOS ESTUDIANTES'!B:L,3,0)</f>
        <v>395</v>
      </c>
      <c r="D636" s="66" t="str">
        <f>VLOOKUP(A636,'ESTADOS ESTUDIANTES'!B:L,4,0)</f>
        <v>MAE. EN CIENCIAS DE LA INF. Y LAS COMUNICACIONES ENFASIS EN GEOMATICA</v>
      </c>
      <c r="E636" s="19" t="str">
        <f>VLOOKUP(A636,'ESTADOS ESTUDIANTES'!B:L,5,0)</f>
        <v>X</v>
      </c>
      <c r="F636" s="18" t="str">
        <f>VLOOKUP(E636,Listas!B1:C1004,2,0)</f>
        <v>EXCLUIDO</v>
      </c>
      <c r="G636" s="19">
        <f>VLOOKUP(A636,'ESTADOS ESTUDIANTES'!B:L,7,0)</f>
        <v>1</v>
      </c>
      <c r="H636" s="19">
        <f>VLOOKUP(A636,'ESTADOS ESTUDIANTES'!B:L,8,0)</f>
        <v>0</v>
      </c>
      <c r="I636" s="70" t="str">
        <f>VLOOKUP(A636,'ESTADOS ESTUDIANTES'!B:L,9,0)</f>
        <v>ambenavidesg@gmail.com</v>
      </c>
      <c r="J636" s="19" t="str">
        <f>VLOOKUP(A636,'ESTADOS ESTUDIANTES'!B:L,10,0)</f>
        <v>CC</v>
      </c>
      <c r="K636" s="19">
        <f>VLOOKUP(A636,'ESTADOS ESTUDIANTES'!B:L,11,0)</f>
        <v>80760880</v>
      </c>
      <c r="L636" s="23"/>
      <c r="M636" s="20"/>
      <c r="N636" s="22"/>
      <c r="O636" s="15"/>
      <c r="P636" s="15"/>
      <c r="Q636" s="15"/>
      <c r="R636" s="15"/>
      <c r="S636" s="15"/>
      <c r="T636" s="15"/>
      <c r="U636" s="15"/>
    </row>
    <row r="637" spans="1:21" ht="105">
      <c r="A637" s="17">
        <v>20122395004</v>
      </c>
      <c r="B637" s="19" t="str">
        <f>VLOOKUP(A637,'ESTADOS ESTUDIANTES'!B:L,2,0)</f>
        <v>ESPEJO VALERO OSCAR JAVIER</v>
      </c>
      <c r="C637" s="19">
        <f>VLOOKUP(A637,'ESTADOS ESTUDIANTES'!B:L,3,0)</f>
        <v>395</v>
      </c>
      <c r="D637" s="66" t="str">
        <f>VLOOKUP(A637,'ESTADOS ESTUDIANTES'!B:L,4,0)</f>
        <v>MAE. EN CIENCIAS DE LA INF. Y LAS COMUNICACIONES ENFASIS EN GEOMATICA</v>
      </c>
      <c r="E637" s="19" t="str">
        <f>VLOOKUP(A637,'ESTADOS ESTUDIANTES'!B:L,5,0)</f>
        <v>E</v>
      </c>
      <c r="F637" s="18" t="str">
        <f>VLOOKUP(E637,Listas!B1:C1004,2,0)</f>
        <v>EGRESADO</v>
      </c>
      <c r="G637" s="19">
        <f>VLOOKUP(A637,'ESTADOS ESTUDIANTES'!B:L,7,0)</f>
        <v>3</v>
      </c>
      <c r="H637" s="19">
        <f>VLOOKUP(A637,'ESTADOS ESTUDIANTES'!B:L,8,0)</f>
        <v>0</v>
      </c>
      <c r="I637" s="70" t="str">
        <f>VLOOKUP(A637,'ESTADOS ESTUDIANTES'!B:L,9,0)</f>
        <v>ojespejo@gmail.com</v>
      </c>
      <c r="J637" s="19" t="str">
        <f>VLOOKUP(A637,'ESTADOS ESTUDIANTES'!B:L,10,0)</f>
        <v>CC</v>
      </c>
      <c r="K637" s="19">
        <f>VLOOKUP(A637,'ESTADOS ESTUDIANTES'!B:L,11,0)</f>
        <v>80725497</v>
      </c>
      <c r="L637" s="23"/>
      <c r="M637" s="20"/>
      <c r="N637" s="22"/>
      <c r="O637" s="15"/>
      <c r="P637" s="15"/>
      <c r="Q637" s="15"/>
      <c r="R637" s="15"/>
      <c r="S637" s="15"/>
      <c r="T637" s="15"/>
      <c r="U637" s="15"/>
    </row>
    <row r="638" spans="1:21" ht="105">
      <c r="A638" s="17">
        <v>20122395005</v>
      </c>
      <c r="B638" s="19" t="str">
        <f>VLOOKUP(A638,'ESTADOS ESTUDIANTES'!B:L,2,0)</f>
        <v>ESPINOSA GOMEZ YENNY</v>
      </c>
      <c r="C638" s="19">
        <f>VLOOKUP(A638,'ESTADOS ESTUDIANTES'!B:L,3,0)</f>
        <v>395</v>
      </c>
      <c r="D638" s="66" t="str">
        <f>VLOOKUP(A638,'ESTADOS ESTUDIANTES'!B:L,4,0)</f>
        <v>MAE. EN CIENCIAS DE LA INF. Y LAS COMUNICACIONES ENFASIS EN GEOMATICA</v>
      </c>
      <c r="E638" s="19" t="str">
        <f>VLOOKUP(A638,'ESTADOS ESTUDIANTES'!B:L,5,0)</f>
        <v>E</v>
      </c>
      <c r="F638" s="18" t="str">
        <f>VLOOKUP(E638,Listas!B1:C1004,2,0)</f>
        <v>EGRESADO</v>
      </c>
      <c r="G638" s="19">
        <f>VLOOKUP(A638,'ESTADOS ESTUDIANTES'!B:L,7,0)</f>
        <v>3</v>
      </c>
      <c r="H638" s="19">
        <f>VLOOKUP(A638,'ESTADOS ESTUDIANTES'!B:L,8,0)</f>
        <v>0</v>
      </c>
      <c r="I638" s="70" t="str">
        <f>VLOOKUP(A638,'ESTADOS ESTUDIANTES'!B:L,9,0)</f>
        <v>yespinosa@udistrital.edu.co</v>
      </c>
      <c r="J638" s="19" t="str">
        <f>VLOOKUP(A638,'ESTADOS ESTUDIANTES'!B:L,10,0)</f>
        <v>CC</v>
      </c>
      <c r="K638" s="19">
        <f>VLOOKUP(A638,'ESTADOS ESTUDIANTES'!B:L,11,0)</f>
        <v>52379603</v>
      </c>
      <c r="L638" s="19">
        <v>3005634170</v>
      </c>
      <c r="M638" s="20"/>
      <c r="N638" s="22"/>
      <c r="O638" s="15"/>
      <c r="P638" s="15"/>
      <c r="Q638" s="15"/>
      <c r="R638" s="15"/>
      <c r="S638" s="15"/>
      <c r="T638" s="15"/>
      <c r="U638" s="15"/>
    </row>
    <row r="639" spans="1:21" ht="105">
      <c r="A639" s="17">
        <v>20122395006</v>
      </c>
      <c r="B639" s="19" t="str">
        <f>VLOOKUP(A639,'ESTADOS ESTUDIANTES'!B:L,2,0)</f>
        <v>HERRERA DE LA ROSA LORENA LIZETH</v>
      </c>
      <c r="C639" s="19">
        <f>VLOOKUP(A639,'ESTADOS ESTUDIANTES'!B:L,3,0)</f>
        <v>395</v>
      </c>
      <c r="D639" s="66" t="str">
        <f>VLOOKUP(A639,'ESTADOS ESTUDIANTES'!B:L,4,0)</f>
        <v>MAE. EN CIENCIAS DE LA INF. Y LAS COMUNICACIONES ENFASIS EN GEOMATICA</v>
      </c>
      <c r="E639" s="19" t="str">
        <f>VLOOKUP(A639,'ESTADOS ESTUDIANTES'!B:L,5,0)</f>
        <v>E</v>
      </c>
      <c r="F639" s="18" t="str">
        <f>VLOOKUP(E639,Listas!B1:C1004,2,0)</f>
        <v>EGRESADO</v>
      </c>
      <c r="G639" s="19" t="str">
        <f>VLOOKUP(A639,'ESTADOS ESTUDIANTES'!B:L,7,0)</f>
        <v>NO REGISTRA</v>
      </c>
      <c r="H639" s="19">
        <f>VLOOKUP(A639,'ESTADOS ESTUDIANTES'!B:L,8,0)</f>
        <v>0</v>
      </c>
      <c r="I639" s="70" t="str">
        <f>VLOOKUP(A639,'ESTADOS ESTUDIANTES'!B:L,9,0)</f>
        <v>lorenadelarosa2@hotmail.com</v>
      </c>
      <c r="J639" s="19" t="str">
        <f>VLOOKUP(A639,'ESTADOS ESTUDIANTES'!B:L,10,0)</f>
        <v>CC</v>
      </c>
      <c r="K639" s="19">
        <f>VLOOKUP(A639,'ESTADOS ESTUDIANTES'!B:L,11,0)</f>
        <v>1026274281</v>
      </c>
      <c r="L639" s="19">
        <v>3005278701</v>
      </c>
      <c r="M639" s="20"/>
      <c r="N639" s="22"/>
      <c r="O639" s="15"/>
      <c r="P639" s="15"/>
      <c r="Q639" s="15"/>
      <c r="R639" s="15"/>
      <c r="S639" s="15"/>
      <c r="T639" s="15"/>
      <c r="U639" s="15"/>
    </row>
    <row r="640" spans="1:21" ht="105">
      <c r="A640" s="17">
        <v>20122395007</v>
      </c>
      <c r="B640" s="19" t="str">
        <f>VLOOKUP(A640,'ESTADOS ESTUDIANTES'!B:L,2,0)</f>
        <v>MONCADA SANCHEZ JAVIER FELIPE</v>
      </c>
      <c r="C640" s="19">
        <f>VLOOKUP(A640,'ESTADOS ESTUDIANTES'!B:L,3,0)</f>
        <v>395</v>
      </c>
      <c r="D640" s="66" t="str">
        <f>VLOOKUP(A640,'ESTADOS ESTUDIANTES'!B:L,4,0)</f>
        <v>MAE. EN CIENCIAS DE LA INF. Y LAS COMUNICACIONES ENFASIS EN GEOMATICA</v>
      </c>
      <c r="E640" s="19" t="str">
        <f>VLOOKUP(A640,'ESTADOS ESTUDIANTES'!B:L,5,0)</f>
        <v>E</v>
      </c>
      <c r="F640" s="18" t="str">
        <f>VLOOKUP(E640,Listas!B1:C1004,2,0)</f>
        <v>EGRESADO</v>
      </c>
      <c r="G640" s="19" t="str">
        <f>VLOOKUP(A640,'ESTADOS ESTUDIANTES'!B:L,7,0)</f>
        <v>NO REGISTRA</v>
      </c>
      <c r="H640" s="19">
        <f>VLOOKUP(A640,'ESTADOS ESTUDIANTES'!B:L,8,0)</f>
        <v>0</v>
      </c>
      <c r="I640" s="70" t="str">
        <f>VLOOKUP(A640,'ESTADOS ESTUDIANTES'!B:L,9,0)</f>
        <v>jfmoncadas@gmail.com</v>
      </c>
      <c r="J640" s="19" t="str">
        <f>VLOOKUP(A640,'ESTADOS ESTUDIANTES'!B:L,10,0)</f>
        <v>CC</v>
      </c>
      <c r="K640" s="19">
        <f>VLOOKUP(A640,'ESTADOS ESTUDIANTES'!B:L,11,0)</f>
        <v>79754586</v>
      </c>
      <c r="L640" s="19">
        <v>3005634128</v>
      </c>
      <c r="M640" s="20"/>
      <c r="N640" s="22"/>
      <c r="O640" s="15"/>
      <c r="P640" s="15"/>
      <c r="Q640" s="15"/>
      <c r="R640" s="15"/>
      <c r="S640" s="15"/>
      <c r="T640" s="15"/>
      <c r="U640" s="15"/>
    </row>
    <row r="641" spans="1:21" ht="105">
      <c r="A641" s="17">
        <v>20122395008</v>
      </c>
      <c r="B641" s="19" t="str">
        <f>VLOOKUP(A641,'ESTADOS ESTUDIANTES'!B:L,2,0)</f>
        <v>ROCHA SALAMANCA MAURICIO FERNANDO</v>
      </c>
      <c r="C641" s="19">
        <f>VLOOKUP(A641,'ESTADOS ESTUDIANTES'!B:L,3,0)</f>
        <v>395</v>
      </c>
      <c r="D641" s="66" t="str">
        <f>VLOOKUP(A641,'ESTADOS ESTUDIANTES'!B:L,4,0)</f>
        <v>MAE. EN CIENCIAS DE LA INF. Y LAS COMUNICACIONES ENFASIS EN GEOMATICA</v>
      </c>
      <c r="E641" s="19" t="str">
        <f>VLOOKUP(A641,'ESTADOS ESTUDIANTES'!B:L,5,0)</f>
        <v>E</v>
      </c>
      <c r="F641" s="18" t="str">
        <f>VLOOKUP(E641,Listas!B1:C1004,2,0)</f>
        <v>EGRESADO</v>
      </c>
      <c r="G641" s="19">
        <f>VLOOKUP(A641,'ESTADOS ESTUDIANTES'!B:L,7,0)</f>
        <v>4</v>
      </c>
      <c r="H641" s="19">
        <f>VLOOKUP(A641,'ESTADOS ESTUDIANTES'!B:L,8,0)</f>
        <v>0</v>
      </c>
      <c r="I641" s="70" t="str">
        <f>VLOOKUP(A641,'ESTADOS ESTUDIANTES'!B:L,9,0)</f>
        <v>mrocha73@gmail.com</v>
      </c>
      <c r="J641" s="19" t="str">
        <f>VLOOKUP(A641,'ESTADOS ESTUDIANTES'!B:L,10,0)</f>
        <v>CC</v>
      </c>
      <c r="K641" s="19">
        <f>VLOOKUP(A641,'ESTADOS ESTUDIANTES'!B:L,11,0)</f>
        <v>79625956</v>
      </c>
      <c r="L641" s="19">
        <v>3112088986</v>
      </c>
      <c r="M641" s="20"/>
      <c r="N641" s="22"/>
      <c r="O641" s="15"/>
      <c r="P641" s="15"/>
      <c r="Q641" s="15"/>
      <c r="R641" s="15"/>
      <c r="S641" s="15"/>
      <c r="T641" s="15"/>
      <c r="U641" s="15"/>
    </row>
    <row r="642" spans="1:21" ht="105">
      <c r="A642" s="17">
        <v>20122395009</v>
      </c>
      <c r="B642" s="19" t="str">
        <f>VLOOKUP(A642,'ESTADOS ESTUDIANTES'!B:L,2,0)</f>
        <v>SÁNCHEZ PÉREZ DANIA LORENA</v>
      </c>
      <c r="C642" s="19">
        <f>VLOOKUP(A642,'ESTADOS ESTUDIANTES'!B:L,3,0)</f>
        <v>395</v>
      </c>
      <c r="D642" s="66" t="str">
        <f>VLOOKUP(A642,'ESTADOS ESTUDIANTES'!B:L,4,0)</f>
        <v>MAE. EN CIENCIAS DE LA INF. Y LAS COMUNICACIONES ENFASIS EN GEOMATICA</v>
      </c>
      <c r="E642" s="19" t="str">
        <f>VLOOKUP(A642,'ESTADOS ESTUDIANTES'!B:L,5,0)</f>
        <v>X</v>
      </c>
      <c r="F642" s="18" t="str">
        <f>VLOOKUP(E642,Listas!B1:C1004,2,0)</f>
        <v>EXCLUIDO</v>
      </c>
      <c r="G642" s="19" t="str">
        <f>VLOOKUP(A642,'ESTADOS ESTUDIANTES'!B:L,7,0)</f>
        <v>NO REGISTRA</v>
      </c>
      <c r="H642" s="19">
        <f>VLOOKUP(A642,'ESTADOS ESTUDIANTES'!B:L,8,0)</f>
        <v>0</v>
      </c>
      <c r="I642" s="70" t="str">
        <f>VLOOKUP(A642,'ESTADOS ESTUDIANTES'!B:L,9,0)</f>
        <v>dlorena01@gmail.com</v>
      </c>
      <c r="J642" s="19" t="str">
        <f>VLOOKUP(A642,'ESTADOS ESTUDIANTES'!B:L,10,0)</f>
        <v>CC</v>
      </c>
      <c r="K642" s="19">
        <f>VLOOKUP(A642,'ESTADOS ESTUDIANTES'!B:L,11,0)</f>
        <v>1019026671</v>
      </c>
      <c r="L642" s="23"/>
      <c r="M642" s="20"/>
      <c r="N642" s="22"/>
      <c r="O642" s="15"/>
      <c r="P642" s="15"/>
      <c r="Q642" s="15"/>
      <c r="R642" s="15"/>
      <c r="S642" s="15"/>
      <c r="T642" s="15"/>
      <c r="U642" s="15"/>
    </row>
    <row r="643" spans="1:21" ht="90">
      <c r="A643" s="17">
        <v>20131195001</v>
      </c>
      <c r="B643" s="19" t="str">
        <f>VLOOKUP(A643,'ESTADOS ESTUDIANTES'!B:L,2,0)</f>
        <v>BERMUDEZ QUINTERO SERGIO LUIS</v>
      </c>
      <c r="C643" s="19">
        <f>VLOOKUP(A643,'ESTADOS ESTUDIANTES'!B:L,3,0)</f>
        <v>195</v>
      </c>
      <c r="D643" s="66" t="str">
        <f>VLOOKUP(A643,'ESTADOS ESTUDIANTES'!B:L,4,0)</f>
        <v>MAE. EN CIENCIAS DE LA INF. Y LAS COMUNICACIONES ENFASIS EN TELEINF.</v>
      </c>
      <c r="E643" s="19" t="str">
        <f>VLOOKUP(A643,'ESTADOS ESTUDIANTES'!B:L,5,0)</f>
        <v>X</v>
      </c>
      <c r="F643" s="18" t="str">
        <f>VLOOKUP(E643,Listas!B1:C1004,2,0)</f>
        <v>EXCLUIDO</v>
      </c>
      <c r="G643" s="19" t="str">
        <f>VLOOKUP(A643,'ESTADOS ESTUDIANTES'!B:L,7,0)</f>
        <v>NO REGISTRA</v>
      </c>
      <c r="H643" s="19" t="str">
        <f>VLOOKUP(A643,'ESTADOS ESTUDIANTES'!B:L,8,0)</f>
        <v>slbermudezq@correo.udistrital.edu.co</v>
      </c>
      <c r="I643" s="70" t="str">
        <f>VLOOKUP(A643,'ESTADOS ESTUDIANTES'!B:L,9,0)</f>
        <v>ser1028@hotmail.com</v>
      </c>
      <c r="J643" s="19" t="str">
        <f>VLOOKUP(A643,'ESTADOS ESTUDIANTES'!B:L,10,0)</f>
        <v>CC</v>
      </c>
      <c r="K643" s="19">
        <f>VLOOKUP(A643,'ESTADOS ESTUDIANTES'!B:L,11,0)</f>
        <v>7633964</v>
      </c>
      <c r="L643" s="19">
        <v>3013712942</v>
      </c>
      <c r="M643" s="20"/>
      <c r="N643" s="22"/>
      <c r="O643" s="15"/>
      <c r="P643" s="15"/>
      <c r="Q643" s="15"/>
      <c r="R643" s="15"/>
      <c r="S643" s="15"/>
      <c r="T643" s="15"/>
      <c r="U643" s="15"/>
    </row>
    <row r="644" spans="1:21" ht="90">
      <c r="A644" s="17">
        <v>20131195002</v>
      </c>
      <c r="B644" s="19" t="str">
        <f>VLOOKUP(A644,'ESTADOS ESTUDIANTES'!B:L,2,0)</f>
        <v>CORTES LOZANO OSBALDO</v>
      </c>
      <c r="C644" s="19">
        <f>VLOOKUP(A644,'ESTADOS ESTUDIANTES'!B:L,3,0)</f>
        <v>195</v>
      </c>
      <c r="D644" s="66" t="str">
        <f>VLOOKUP(A644,'ESTADOS ESTUDIANTES'!B:L,4,0)</f>
        <v>MAE. EN CIENCIAS DE LA INF. Y LAS COMUNICACIONES ENFASIS EN TELEINF.</v>
      </c>
      <c r="E644" s="19" t="str">
        <f>VLOOKUP(A644,'ESTADOS ESTUDIANTES'!B:L,5,0)</f>
        <v>X</v>
      </c>
      <c r="F644" s="18" t="str">
        <f>VLOOKUP(E644,Listas!B1:C1004,2,0)</f>
        <v>EXCLUIDO</v>
      </c>
      <c r="G644" s="19" t="str">
        <f>VLOOKUP(A644,'ESTADOS ESTUDIANTES'!B:L,7,0)</f>
        <v>NO REGISTRA</v>
      </c>
      <c r="H644" s="19" t="str">
        <f>VLOOKUP(A644,'ESTADOS ESTUDIANTES'!B:L,8,0)</f>
        <v>ocortesl@correo.udistrital.edu.co</v>
      </c>
      <c r="I644" s="70" t="str">
        <f>VLOOKUP(A644,'ESTADOS ESTUDIANTES'!B:L,9,0)</f>
        <v>oscolo@yahoo.com</v>
      </c>
      <c r="J644" s="19" t="str">
        <f>VLOOKUP(A644,'ESTADOS ESTUDIANTES'!B:L,10,0)</f>
        <v>CC</v>
      </c>
      <c r="K644" s="19">
        <f>VLOOKUP(A644,'ESTADOS ESTUDIANTES'!B:L,11,0)</f>
        <v>79670056</v>
      </c>
      <c r="L644" s="19">
        <v>3164923969</v>
      </c>
      <c r="M644" s="20"/>
      <c r="N644" s="22"/>
      <c r="O644" s="15"/>
      <c r="P644" s="15"/>
      <c r="Q644" s="15"/>
      <c r="R644" s="15"/>
      <c r="S644" s="15"/>
      <c r="T644" s="15"/>
      <c r="U644" s="15"/>
    </row>
    <row r="645" spans="1:21" ht="90">
      <c r="A645" s="17">
        <v>20131195003</v>
      </c>
      <c r="B645" s="19" t="str">
        <f>VLOOKUP(A645,'ESTADOS ESTUDIANTES'!B:L,2,0)</f>
        <v>CHAVEZ SANCHEZ RODOLFO ENRIQUE</v>
      </c>
      <c r="C645" s="19">
        <f>VLOOKUP(A645,'ESTADOS ESTUDIANTES'!B:L,3,0)</f>
        <v>195</v>
      </c>
      <c r="D645" s="66" t="str">
        <f>VLOOKUP(A645,'ESTADOS ESTUDIANTES'!B:L,4,0)</f>
        <v>MAE. EN CIENCIAS DE LA INF. Y LAS COMUNICACIONES ENFASIS EN TELEINF.</v>
      </c>
      <c r="E645" s="19" t="str">
        <f>VLOOKUP(A645,'ESTADOS ESTUDIANTES'!B:L,5,0)</f>
        <v>E</v>
      </c>
      <c r="F645" s="18" t="str">
        <f>VLOOKUP(E645,Listas!B1:C1004,2,0)</f>
        <v>EGRESADO</v>
      </c>
      <c r="G645" s="19" t="str">
        <f>VLOOKUP(A645,'ESTADOS ESTUDIANTES'!B:L,7,0)</f>
        <v>NO REGISTRA</v>
      </c>
      <c r="H645" s="19" t="str">
        <f>VLOOKUP(A645,'ESTADOS ESTUDIANTES'!B:L,8,0)</f>
        <v>rechavezs@udistrital.edu.co</v>
      </c>
      <c r="I645" s="70" t="str">
        <f>VLOOKUP(A645,'ESTADOS ESTUDIANTES'!B:L,9,0)</f>
        <v>rechavezs@correo.udistrital.edu.co</v>
      </c>
      <c r="J645" s="19" t="str">
        <f>VLOOKUP(A645,'ESTADOS ESTUDIANTES'!B:L,10,0)</f>
        <v>CC</v>
      </c>
      <c r="K645" s="19">
        <f>VLOOKUP(A645,'ESTADOS ESTUDIANTES'!B:L,11,0)</f>
        <v>1032374162</v>
      </c>
      <c r="L645" s="23"/>
      <c r="M645" s="20"/>
      <c r="N645" s="22"/>
      <c r="O645" s="15"/>
      <c r="P645" s="15"/>
      <c r="Q645" s="15"/>
      <c r="R645" s="15"/>
      <c r="S645" s="15"/>
      <c r="T645" s="15"/>
      <c r="U645" s="15"/>
    </row>
    <row r="646" spans="1:21" ht="90">
      <c r="A646" s="17">
        <v>20131195004</v>
      </c>
      <c r="B646" s="19" t="str">
        <f>VLOOKUP(A646,'ESTADOS ESTUDIANTES'!B:L,2,0)</f>
        <v>GALEANO ROMERO KATHERINE JOHANNA</v>
      </c>
      <c r="C646" s="19">
        <f>VLOOKUP(A646,'ESTADOS ESTUDIANTES'!B:L,3,0)</f>
        <v>195</v>
      </c>
      <c r="D646" s="66" t="str">
        <f>VLOOKUP(A646,'ESTADOS ESTUDIANTES'!B:L,4,0)</f>
        <v>MAE. EN CIENCIAS DE LA INF. Y LAS COMUNICACIONES ENFASIS EN TELEINF.</v>
      </c>
      <c r="E646" s="19" t="str">
        <f>VLOOKUP(A646,'ESTADOS ESTUDIANTES'!B:L,5,0)</f>
        <v>E</v>
      </c>
      <c r="F646" s="18" t="str">
        <f>VLOOKUP(E646,Listas!B1:C1004,2,0)</f>
        <v>EGRESADO</v>
      </c>
      <c r="G646" s="19" t="str">
        <f>VLOOKUP(A646,'ESTADOS ESTUDIANTES'!B:L,7,0)</f>
        <v>NO REGISTRA</v>
      </c>
      <c r="H646" s="19" t="str">
        <f>VLOOKUP(A646,'ESTADOS ESTUDIANTES'!B:L,8,0)</f>
        <v>kjgaleanor@udistrital.edu.co</v>
      </c>
      <c r="I646" s="70" t="str">
        <f>VLOOKUP(A646,'ESTADOS ESTUDIANTES'!B:L,9,0)</f>
        <v>kjgr89@gmail.com</v>
      </c>
      <c r="J646" s="19" t="str">
        <f>VLOOKUP(A646,'ESTADOS ESTUDIANTES'!B:L,10,0)</f>
        <v>CC</v>
      </c>
      <c r="K646" s="19">
        <f>VLOOKUP(A646,'ESTADOS ESTUDIANTES'!B:L,11,0)</f>
        <v>1032432530</v>
      </c>
      <c r="L646" s="23"/>
      <c r="M646" s="20"/>
      <c r="N646" s="22"/>
      <c r="O646" s="15"/>
      <c r="P646" s="15"/>
      <c r="Q646" s="15"/>
      <c r="R646" s="15"/>
      <c r="S646" s="15"/>
      <c r="T646" s="15"/>
      <c r="U646" s="15"/>
    </row>
    <row r="647" spans="1:21" ht="90">
      <c r="A647" s="17">
        <v>20131195005</v>
      </c>
      <c r="B647" s="19" t="str">
        <f>VLOOKUP(A647,'ESTADOS ESTUDIANTES'!B:L,2,0)</f>
        <v>GUEVARA RIVEROS ANDRES MAURICIO</v>
      </c>
      <c r="C647" s="19">
        <f>VLOOKUP(A647,'ESTADOS ESTUDIANTES'!B:L,3,0)</f>
        <v>195</v>
      </c>
      <c r="D647" s="66" t="str">
        <f>VLOOKUP(A647,'ESTADOS ESTUDIANTES'!B:L,4,0)</f>
        <v>MAE. EN CIENCIAS DE LA INF. Y LAS COMUNICACIONES ENFASIS EN TELEINF.</v>
      </c>
      <c r="E647" s="19" t="str">
        <f>VLOOKUP(A647,'ESTADOS ESTUDIANTES'!B:L,5,0)</f>
        <v>X</v>
      </c>
      <c r="F647" s="18" t="str">
        <f>VLOOKUP(E647,Listas!B1:C1004,2,0)</f>
        <v>EXCLUIDO</v>
      </c>
      <c r="G647" s="19" t="str">
        <f>VLOOKUP(A647,'ESTADOS ESTUDIANTES'!B:L,7,0)</f>
        <v>NO REGISTRA</v>
      </c>
      <c r="H647" s="19" t="str">
        <f>VLOOKUP(A647,'ESTADOS ESTUDIANTES'!B:L,8,0)</f>
        <v>anmguevarar@correo.udistrital.edu.co</v>
      </c>
      <c r="I647" s="70" t="str">
        <f>VLOOKUP(A647,'ESTADOS ESTUDIANTES'!B:L,9,0)</f>
        <v>amauric@hotmail.com</v>
      </c>
      <c r="J647" s="19" t="str">
        <f>VLOOKUP(A647,'ESTADOS ESTUDIANTES'!B:L,10,0)</f>
        <v>CC</v>
      </c>
      <c r="K647" s="19">
        <f>VLOOKUP(A647,'ESTADOS ESTUDIANTES'!B:L,11,0)</f>
        <v>79689221</v>
      </c>
      <c r="L647" s="19">
        <v>3123409412</v>
      </c>
      <c r="M647" s="20"/>
      <c r="N647" s="22"/>
      <c r="O647" s="15"/>
      <c r="P647" s="15"/>
      <c r="Q647" s="15"/>
      <c r="R647" s="15"/>
      <c r="S647" s="15"/>
      <c r="T647" s="15"/>
      <c r="U647" s="15"/>
    </row>
    <row r="648" spans="1:21" ht="90">
      <c r="A648" s="17">
        <v>20131195006</v>
      </c>
      <c r="B648" s="19" t="str">
        <f>VLOOKUP(A648,'ESTADOS ESTUDIANTES'!B:L,2,0)</f>
        <v>RAMIREZ CANO ANGELICA MARIA</v>
      </c>
      <c r="C648" s="19">
        <f>VLOOKUP(A648,'ESTADOS ESTUDIANTES'!B:L,3,0)</f>
        <v>195</v>
      </c>
      <c r="D648" s="66" t="str">
        <f>VLOOKUP(A648,'ESTADOS ESTUDIANTES'!B:L,4,0)</f>
        <v>MAE. EN CIENCIAS DE LA INF. Y LAS COMUNICACIONES ENFASIS EN TELEINF.</v>
      </c>
      <c r="E648" s="19" t="str">
        <f>VLOOKUP(A648,'ESTADOS ESTUDIANTES'!B:L,5,0)</f>
        <v>X</v>
      </c>
      <c r="F648" s="18" t="str">
        <f>VLOOKUP(E648,Listas!B1:C1004,2,0)</f>
        <v>EXCLUIDO</v>
      </c>
      <c r="G648" s="19" t="str">
        <f>VLOOKUP(A648,'ESTADOS ESTUDIANTES'!B:L,7,0)</f>
        <v>NO REGISTRA</v>
      </c>
      <c r="H648" s="19" t="str">
        <f>VLOOKUP(A648,'ESTADOS ESTUDIANTES'!B:L,8,0)</f>
        <v>anmramirezc@correo.udistrital.edu.co</v>
      </c>
      <c r="I648" s="70" t="str">
        <f>VLOOKUP(A648,'ESTADOS ESTUDIANTES'!B:L,9,0)</f>
        <v>angeltbu@gmail.com</v>
      </c>
      <c r="J648" s="19" t="str">
        <f>VLOOKUP(A648,'ESTADOS ESTUDIANTES'!B:L,10,0)</f>
        <v>CC</v>
      </c>
      <c r="K648" s="19">
        <f>VLOOKUP(A648,'ESTADOS ESTUDIANTES'!B:L,11,0)</f>
        <v>35199495</v>
      </c>
      <c r="L648" s="23"/>
      <c r="M648" s="20"/>
      <c r="N648" s="22"/>
      <c r="O648" s="15"/>
      <c r="P648" s="15"/>
      <c r="Q648" s="15"/>
      <c r="R648" s="15"/>
      <c r="S648" s="15"/>
      <c r="T648" s="15"/>
      <c r="U648" s="15"/>
    </row>
    <row r="649" spans="1:21" ht="90">
      <c r="A649" s="17">
        <v>20131195007</v>
      </c>
      <c r="B649" s="19" t="str">
        <f>VLOOKUP(A649,'ESTADOS ESTUDIANTES'!B:L,2,0)</f>
        <v>RESTREPO CRIOLLO CARLOS MARIO</v>
      </c>
      <c r="C649" s="19">
        <f>VLOOKUP(A649,'ESTADOS ESTUDIANTES'!B:L,3,0)</f>
        <v>195</v>
      </c>
      <c r="D649" s="66" t="str">
        <f>VLOOKUP(A649,'ESTADOS ESTUDIANTES'!B:L,4,0)</f>
        <v>MAE. EN CIENCIAS DE LA INF. Y LAS COMUNICACIONES ENFASIS EN TELEINF.</v>
      </c>
      <c r="E649" s="19" t="str">
        <f>VLOOKUP(A649,'ESTADOS ESTUDIANTES'!B:L,5,0)</f>
        <v>N</v>
      </c>
      <c r="F649" s="18" t="str">
        <f>VLOOKUP(E649,Listas!B1:C1004,2,0)</f>
        <v>ERROR DE CODIGO</v>
      </c>
      <c r="G649" s="19" t="str">
        <f>VLOOKUP(A649,'ESTADOS ESTUDIANTES'!B:L,7,0)</f>
        <v>NO REGISTRA</v>
      </c>
      <c r="H649" s="19" t="str">
        <f>VLOOKUP(A649,'ESTADOS ESTUDIANTES'!B:L,8,0)</f>
        <v>cmrestrepoc@correo.udistrital.edu.co</v>
      </c>
      <c r="I649" s="70" t="str">
        <f>VLOOKUP(A649,'ESTADOS ESTUDIANTES'!B:L,9,0)</f>
        <v>aramirez@sic.gov.co</v>
      </c>
      <c r="J649" s="19" t="str">
        <f>VLOOKUP(A649,'ESTADOS ESTUDIANTES'!B:L,10,0)</f>
        <v>CC</v>
      </c>
      <c r="K649" s="19">
        <f>VLOOKUP(A649,'ESTADOS ESTUDIANTES'!B:L,11,0)</f>
        <v>16845913</v>
      </c>
      <c r="L649" s="23"/>
      <c r="M649" s="20"/>
      <c r="N649" s="22"/>
      <c r="O649" s="15"/>
      <c r="P649" s="15"/>
      <c r="Q649" s="15"/>
      <c r="R649" s="15"/>
      <c r="S649" s="15"/>
      <c r="T649" s="15"/>
      <c r="U649" s="15"/>
    </row>
    <row r="650" spans="1:21" ht="90">
      <c r="A650" s="17">
        <v>20131295001</v>
      </c>
      <c r="B650" s="19" t="str">
        <f>VLOOKUP(A650,'ESTADOS ESTUDIANTES'!B:L,2,0)</f>
        <v>AVELLA GUTIERREZ MAURICIO</v>
      </c>
      <c r="C650" s="19">
        <f>VLOOKUP(A650,'ESTADOS ESTUDIANTES'!B:L,3,0)</f>
        <v>295</v>
      </c>
      <c r="D650" s="66" t="str">
        <f>VLOOKUP(A650,'ESTADOS ESTUDIANTES'!B:L,4,0)</f>
        <v>MAE. EN CIENCIAS DE LA INF. Y LAS COMUNICACIONES ENFASIS EN SIS. INFOR</v>
      </c>
      <c r="E650" s="19" t="str">
        <f>VLOOKUP(A650,'ESTADOS ESTUDIANTES'!B:L,5,0)</f>
        <v>X</v>
      </c>
      <c r="F650" s="18" t="str">
        <f>VLOOKUP(E650,Listas!B1:C1004,2,0)</f>
        <v>EXCLUIDO</v>
      </c>
      <c r="G650" s="19" t="str">
        <f>VLOOKUP(A650,'ESTADOS ESTUDIANTES'!B:L,7,0)</f>
        <v>NO REGISTRA</v>
      </c>
      <c r="H650" s="19" t="str">
        <f>VLOOKUP(A650,'ESTADOS ESTUDIANTES'!B:L,8,0)</f>
        <v>mavellag@correo.udistrital.edu.co</v>
      </c>
      <c r="I650" s="70" t="str">
        <f>VLOOKUP(A650,'ESTADOS ESTUDIANTES'!B:L,9,0)</f>
        <v>mauricioavellag@yahoo.com</v>
      </c>
      <c r="J650" s="19" t="str">
        <f>VLOOKUP(A650,'ESTADOS ESTUDIANTES'!B:L,10,0)</f>
        <v>CC</v>
      </c>
      <c r="K650" s="19">
        <f>VLOOKUP(A650,'ESTADOS ESTUDIANTES'!B:L,11,0)</f>
        <v>79047792</v>
      </c>
      <c r="L650" s="19">
        <v>3118468080</v>
      </c>
      <c r="M650" s="20"/>
      <c r="N650" s="22"/>
      <c r="O650" s="15"/>
      <c r="P650" s="15"/>
      <c r="Q650" s="15"/>
      <c r="R650" s="15"/>
      <c r="S650" s="15"/>
      <c r="T650" s="15"/>
      <c r="U650" s="15"/>
    </row>
    <row r="651" spans="1:21" ht="90">
      <c r="A651" s="17">
        <v>20131295002</v>
      </c>
      <c r="B651" s="19" t="str">
        <f>VLOOKUP(A651,'ESTADOS ESTUDIANTES'!B:L,2,0)</f>
        <v>CASTELLANOS ROJAS MARTHA CARMENZA</v>
      </c>
      <c r="C651" s="19">
        <f>VLOOKUP(A651,'ESTADOS ESTUDIANTES'!B:L,3,0)</f>
        <v>295</v>
      </c>
      <c r="D651" s="66" t="str">
        <f>VLOOKUP(A651,'ESTADOS ESTUDIANTES'!B:L,4,0)</f>
        <v>MAE. EN CIENCIAS DE LA INF. Y LAS COMUNICACIONES ENFASIS EN SIS. INFOR</v>
      </c>
      <c r="E651" s="19" t="str">
        <f>VLOOKUP(A651,'ESTADOS ESTUDIANTES'!B:L,5,0)</f>
        <v>E</v>
      </c>
      <c r="F651" s="18" t="str">
        <f>VLOOKUP(E651,Listas!B1:C1004,2,0)</f>
        <v>EGRESADO</v>
      </c>
      <c r="G651" s="19" t="str">
        <f>VLOOKUP(A651,'ESTADOS ESTUDIANTES'!B:L,7,0)</f>
        <v>NO REGISTRA</v>
      </c>
      <c r="H651" s="19" t="str">
        <f>VLOOKUP(A651,'ESTADOS ESTUDIANTES'!B:L,8,0)</f>
        <v>mccastellanosr@udistrital.edu.co</v>
      </c>
      <c r="I651" s="70" t="str">
        <f>VLOOKUP(A651,'ESTADOS ESTUDIANTES'!B:L,9,0)</f>
        <v>martha.castellanos@gmail.com</v>
      </c>
      <c r="J651" s="19" t="str">
        <f>VLOOKUP(A651,'ESTADOS ESTUDIANTES'!B:L,10,0)</f>
        <v>CC</v>
      </c>
      <c r="K651" s="19">
        <f>VLOOKUP(A651,'ESTADOS ESTUDIANTES'!B:L,11,0)</f>
        <v>51839772</v>
      </c>
      <c r="L651" s="19">
        <v>3005653116</v>
      </c>
      <c r="M651" s="20"/>
      <c r="N651" s="22"/>
      <c r="O651" s="15"/>
      <c r="P651" s="15"/>
      <c r="Q651" s="15"/>
      <c r="R651" s="15"/>
      <c r="S651" s="15"/>
      <c r="T651" s="15"/>
      <c r="U651" s="15"/>
    </row>
    <row r="652" spans="1:21" ht="90">
      <c r="A652" s="17">
        <v>20131295003</v>
      </c>
      <c r="B652" s="19" t="str">
        <f>VLOOKUP(A652,'ESTADOS ESTUDIANTES'!B:L,2,0)</f>
        <v>FARFAN PINZON RONALD DANILO</v>
      </c>
      <c r="C652" s="19">
        <f>VLOOKUP(A652,'ESTADOS ESTUDIANTES'!B:L,3,0)</f>
        <v>295</v>
      </c>
      <c r="D652" s="66" t="str">
        <f>VLOOKUP(A652,'ESTADOS ESTUDIANTES'!B:L,4,0)</f>
        <v>MAE. EN CIENCIAS DE LA INF. Y LAS COMUNICACIONES ENFASIS EN SIS. INFOR</v>
      </c>
      <c r="E652" s="19" t="str">
        <f>VLOOKUP(A652,'ESTADOS ESTUDIANTES'!B:L,5,0)</f>
        <v>X</v>
      </c>
      <c r="F652" s="18" t="str">
        <f>VLOOKUP(E652,Listas!B1:C1004,2,0)</f>
        <v>EXCLUIDO</v>
      </c>
      <c r="G652" s="19" t="str">
        <f>VLOOKUP(A652,'ESTADOS ESTUDIANTES'!B:L,7,0)</f>
        <v>NO REGISTRA</v>
      </c>
      <c r="H652" s="19" t="str">
        <f>VLOOKUP(A652,'ESTADOS ESTUDIANTES'!B:L,8,0)</f>
        <v>rdfarfanp@correo.udistrital.edu.co</v>
      </c>
      <c r="I652" s="70" t="str">
        <f>VLOOKUP(A652,'ESTADOS ESTUDIANTES'!B:L,9,0)</f>
        <v>ronalddanilo@hotmail.com</v>
      </c>
      <c r="J652" s="19" t="str">
        <f>VLOOKUP(A652,'ESTADOS ESTUDIANTES'!B:L,10,0)</f>
        <v>CC</v>
      </c>
      <c r="K652" s="19">
        <f>VLOOKUP(A652,'ESTADOS ESTUDIANTES'!B:L,11,0)</f>
        <v>1075651472</v>
      </c>
      <c r="L652" s="19">
        <v>3008841771</v>
      </c>
      <c r="M652" s="20"/>
      <c r="N652" s="22"/>
      <c r="O652" s="15"/>
      <c r="P652" s="15"/>
      <c r="Q652" s="15"/>
      <c r="R652" s="15"/>
      <c r="S652" s="15"/>
      <c r="T652" s="15"/>
      <c r="U652" s="15"/>
    </row>
    <row r="653" spans="1:21" ht="90">
      <c r="A653" s="17">
        <v>20131295004</v>
      </c>
      <c r="B653" s="19" t="str">
        <f>VLOOKUP(A653,'ESTADOS ESTUDIANTES'!B:L,2,0)</f>
        <v>GUERRERO DIAZ MARIO FERNANDO</v>
      </c>
      <c r="C653" s="19">
        <f>VLOOKUP(A653,'ESTADOS ESTUDIANTES'!B:L,3,0)</f>
        <v>295</v>
      </c>
      <c r="D653" s="66" t="str">
        <f>VLOOKUP(A653,'ESTADOS ESTUDIANTES'!B:L,4,0)</f>
        <v>MAE. EN CIENCIAS DE LA INF. Y LAS COMUNICACIONES ENFASIS EN SIS. INFOR</v>
      </c>
      <c r="E653" s="19" t="str">
        <f>VLOOKUP(A653,'ESTADOS ESTUDIANTES'!B:L,5,0)</f>
        <v>X</v>
      </c>
      <c r="F653" s="18" t="str">
        <f>VLOOKUP(E653,Listas!B1:C1004,2,0)</f>
        <v>EXCLUIDO</v>
      </c>
      <c r="G653" s="19" t="str">
        <f>VLOOKUP(A653,'ESTADOS ESTUDIANTES'!B:L,7,0)</f>
        <v>NO REGISTRA</v>
      </c>
      <c r="H653" s="19" t="str">
        <f>VLOOKUP(A653,'ESTADOS ESTUDIANTES'!B:L,8,0)</f>
        <v>mfguerrerod@correo.udistrital.edu.co</v>
      </c>
      <c r="I653" s="70" t="str">
        <f>VLOOKUP(A653,'ESTADOS ESTUDIANTES'!B:L,9,0)</f>
        <v>mfguerrero@hotmail.com</v>
      </c>
      <c r="J653" s="19" t="str">
        <f>VLOOKUP(A653,'ESTADOS ESTUDIANTES'!B:L,10,0)</f>
        <v>CC</v>
      </c>
      <c r="K653" s="19">
        <f>VLOOKUP(A653,'ESTADOS ESTUDIANTES'!B:L,11,0)</f>
        <v>13072389</v>
      </c>
      <c r="L653" s="19">
        <v>3008488465</v>
      </c>
      <c r="M653" s="20"/>
      <c r="N653" s="22"/>
      <c r="O653" s="15"/>
      <c r="P653" s="15"/>
      <c r="Q653" s="15"/>
      <c r="R653" s="15"/>
      <c r="S653" s="15"/>
      <c r="T653" s="15"/>
      <c r="U653" s="15"/>
    </row>
    <row r="654" spans="1:21" ht="90">
      <c r="A654" s="17">
        <v>20131295005</v>
      </c>
      <c r="B654" s="19" t="str">
        <f>VLOOKUP(A654,'ESTADOS ESTUDIANTES'!B:L,2,0)</f>
        <v>MORENO PINILLA ALEJANDRO</v>
      </c>
      <c r="C654" s="19">
        <f>VLOOKUP(A654,'ESTADOS ESTUDIANTES'!B:L,3,0)</f>
        <v>295</v>
      </c>
      <c r="D654" s="66" t="str">
        <f>VLOOKUP(A654,'ESTADOS ESTUDIANTES'!B:L,4,0)</f>
        <v>MAE. EN CIENCIAS DE LA INF. Y LAS COMUNICACIONES ENFASIS EN SIS. INFOR</v>
      </c>
      <c r="E654" s="19" t="str">
        <f>VLOOKUP(A654,'ESTADOS ESTUDIANTES'!B:L,5,0)</f>
        <v>X</v>
      </c>
      <c r="F654" s="18" t="str">
        <f>VLOOKUP(E654,Listas!B1:C1004,2,0)</f>
        <v>EXCLUIDO</v>
      </c>
      <c r="G654" s="19" t="str">
        <f>VLOOKUP(A654,'ESTADOS ESTUDIANTES'!B:L,7,0)</f>
        <v>NO REGISTRA</v>
      </c>
      <c r="H654" s="19" t="str">
        <f>VLOOKUP(A654,'ESTADOS ESTUDIANTES'!B:L,8,0)</f>
        <v>almorenop@correo.udistrital.edu.co</v>
      </c>
      <c r="I654" s="70" t="str">
        <f>VLOOKUP(A654,'ESTADOS ESTUDIANTES'!B:L,9,0)</f>
        <v>amoreno@dataglobal.com.co</v>
      </c>
      <c r="J654" s="19" t="str">
        <f>VLOOKUP(A654,'ESTADOS ESTUDIANTES'!B:L,10,0)</f>
        <v>CC</v>
      </c>
      <c r="K654" s="19">
        <f>VLOOKUP(A654,'ESTADOS ESTUDIANTES'!B:L,11,0)</f>
        <v>80030579</v>
      </c>
      <c r="L654" s="19">
        <v>3176591955</v>
      </c>
      <c r="M654" s="20"/>
      <c r="N654" s="22"/>
      <c r="O654" s="15"/>
      <c r="P654" s="15"/>
      <c r="Q654" s="15"/>
      <c r="R654" s="15"/>
      <c r="S654" s="15"/>
      <c r="T654" s="15"/>
      <c r="U654" s="15"/>
    </row>
    <row r="655" spans="1:21" ht="90">
      <c r="A655" s="17">
        <v>20131295006</v>
      </c>
      <c r="B655" s="19" t="str">
        <f>VLOOKUP(A655,'ESTADOS ESTUDIANTES'!B:L,2,0)</f>
        <v>PINILLA AVILA EDWIN GUSTAVO</v>
      </c>
      <c r="C655" s="19">
        <f>VLOOKUP(A655,'ESTADOS ESTUDIANTES'!B:L,3,0)</f>
        <v>295</v>
      </c>
      <c r="D655" s="66" t="str">
        <f>VLOOKUP(A655,'ESTADOS ESTUDIANTES'!B:L,4,0)</f>
        <v>MAE. EN CIENCIAS DE LA INF. Y LAS COMUNICACIONES ENFASIS EN SIS. INFOR</v>
      </c>
      <c r="E655" s="19" t="str">
        <f>VLOOKUP(A655,'ESTADOS ESTUDIANTES'!B:L,5,0)</f>
        <v>E</v>
      </c>
      <c r="F655" s="18" t="str">
        <f>VLOOKUP(E655,Listas!B1:C1004,2,0)</f>
        <v>EGRESADO</v>
      </c>
      <c r="G655" s="19">
        <f>VLOOKUP(A655,'ESTADOS ESTUDIANTES'!B:L,7,0)</f>
        <v>3</v>
      </c>
      <c r="H655" s="19" t="str">
        <f>VLOOKUP(A655,'ESTADOS ESTUDIANTES'!B:L,8,0)</f>
        <v>egpinillaa@correo.udistrital.edu.co</v>
      </c>
      <c r="I655" s="70" t="str">
        <f>VLOOKUP(A655,'ESTADOS ESTUDIANTES'!B:L,9,0)</f>
        <v>egpinilla@gmail.com</v>
      </c>
      <c r="J655" s="19" t="str">
        <f>VLOOKUP(A655,'ESTADOS ESTUDIANTES'!B:L,10,0)</f>
        <v>CC</v>
      </c>
      <c r="K655" s="19">
        <f>VLOOKUP(A655,'ESTADOS ESTUDIANTES'!B:L,11,0)</f>
        <v>80746790</v>
      </c>
      <c r="L655" s="19">
        <v>3002894683</v>
      </c>
      <c r="M655" s="20"/>
      <c r="N655" s="22"/>
      <c r="O655" s="15"/>
      <c r="P655" s="15"/>
      <c r="Q655" s="15"/>
      <c r="R655" s="15"/>
      <c r="S655" s="15"/>
      <c r="T655" s="15"/>
      <c r="U655" s="15"/>
    </row>
    <row r="656" spans="1:21" ht="90">
      <c r="A656" s="17">
        <v>20131295007</v>
      </c>
      <c r="B656" s="19" t="str">
        <f>VLOOKUP(A656,'ESTADOS ESTUDIANTES'!B:L,2,0)</f>
        <v>PRIETO SANCHEZ FREDY LEONARDO</v>
      </c>
      <c r="C656" s="19">
        <f>VLOOKUP(A656,'ESTADOS ESTUDIANTES'!B:L,3,0)</f>
        <v>295</v>
      </c>
      <c r="D656" s="66" t="str">
        <f>VLOOKUP(A656,'ESTADOS ESTUDIANTES'!B:L,4,0)</f>
        <v>MAE. EN CIENCIAS DE LA INF. Y LAS COMUNICACIONES ENFASIS EN SIS. INFOR</v>
      </c>
      <c r="E656" s="19" t="str">
        <f>VLOOKUP(A656,'ESTADOS ESTUDIANTES'!B:L,5,0)</f>
        <v>I</v>
      </c>
      <c r="F656" s="18" t="str">
        <f>VLOOKUP(E656,Listas!B1:C1004,2,0)</f>
        <v>INACTIVO</v>
      </c>
      <c r="G656" s="19" t="str">
        <f>VLOOKUP(A656,'ESTADOS ESTUDIANTES'!B:L,7,0)</f>
        <v>NO REGISTRA</v>
      </c>
      <c r="H656" s="19" t="str">
        <f>VLOOKUP(A656,'ESTADOS ESTUDIANTES'!B:L,8,0)</f>
        <v>flprietos@correo.udistrital.edu.co</v>
      </c>
      <c r="I656" s="70" t="str">
        <f>VLOOKUP(A656,'ESTADOS ESTUDIANTES'!B:L,9,0)</f>
        <v>flps2182@gmail.com</v>
      </c>
      <c r="J656" s="19" t="str">
        <f>VLOOKUP(A656,'ESTADOS ESTUDIANTES'!B:L,10,0)</f>
        <v>CC</v>
      </c>
      <c r="K656" s="19">
        <f>VLOOKUP(A656,'ESTADOS ESTUDIANTES'!B:L,11,0)</f>
        <v>80035066</v>
      </c>
      <c r="L656" s="21"/>
      <c r="M656" s="20"/>
      <c r="N656" s="22"/>
      <c r="O656" s="15"/>
      <c r="P656" s="15"/>
      <c r="Q656" s="15"/>
      <c r="R656" s="15"/>
      <c r="S656" s="15"/>
      <c r="T656" s="15"/>
      <c r="U656" s="15"/>
    </row>
    <row r="657" spans="1:21" ht="105">
      <c r="A657" s="17">
        <v>20131395001</v>
      </c>
      <c r="B657" s="19" t="str">
        <f>VLOOKUP(A657,'ESTADOS ESTUDIANTES'!B:L,2,0)</f>
        <v>ACERO PATIÑO NATALIA</v>
      </c>
      <c r="C657" s="19">
        <f>VLOOKUP(A657,'ESTADOS ESTUDIANTES'!B:L,3,0)</f>
        <v>395</v>
      </c>
      <c r="D657" s="66" t="str">
        <f>VLOOKUP(A657,'ESTADOS ESTUDIANTES'!B:L,4,0)</f>
        <v>MAE. EN CIENCIAS DE LA INF. Y LAS COMUNICACIONES ENFASIS EN GEOMATICA</v>
      </c>
      <c r="E657" s="19" t="str">
        <f>VLOOKUP(A657,'ESTADOS ESTUDIANTES'!B:L,5,0)</f>
        <v>X</v>
      </c>
      <c r="F657" s="18" t="str">
        <f>VLOOKUP(E657,Listas!B1:C1004,2,0)</f>
        <v>EXCLUIDO</v>
      </c>
      <c r="G657" s="19" t="str">
        <f>VLOOKUP(A657,'ESTADOS ESTUDIANTES'!B:L,7,0)</f>
        <v>NO REGISTRA</v>
      </c>
      <c r="H657" s="19" t="str">
        <f>VLOOKUP(A657,'ESTADOS ESTUDIANTES'!B:L,8,0)</f>
        <v>nacerop@correo.udistrital.edu.co</v>
      </c>
      <c r="I657" s="70" t="str">
        <f>VLOOKUP(A657,'ESTADOS ESTUDIANTES'!B:L,9,0)</f>
        <v>natalitaap@gmail.com</v>
      </c>
      <c r="J657" s="19" t="str">
        <f>VLOOKUP(A657,'ESTADOS ESTUDIANTES'!B:L,10,0)</f>
        <v>CC</v>
      </c>
      <c r="K657" s="19">
        <f>VLOOKUP(A657,'ESTADOS ESTUDIANTES'!B:L,11,0)</f>
        <v>30238482</v>
      </c>
      <c r="L657" s="19">
        <v>3003608385</v>
      </c>
      <c r="M657" s="20"/>
      <c r="N657" s="22"/>
      <c r="O657" s="15"/>
      <c r="P657" s="15"/>
      <c r="Q657" s="15"/>
      <c r="R657" s="15"/>
      <c r="S657" s="15"/>
      <c r="T657" s="15"/>
      <c r="U657" s="15"/>
    </row>
    <row r="658" spans="1:21" ht="105">
      <c r="A658" s="17">
        <v>20131395002</v>
      </c>
      <c r="B658" s="19" t="str">
        <f>VLOOKUP(A658,'ESTADOS ESTUDIANTES'!B:L,2,0)</f>
        <v>CASTRILLON OSORIO OMAR</v>
      </c>
      <c r="C658" s="19">
        <f>VLOOKUP(A658,'ESTADOS ESTUDIANTES'!B:L,3,0)</f>
        <v>395</v>
      </c>
      <c r="D658" s="66" t="str">
        <f>VLOOKUP(A658,'ESTADOS ESTUDIANTES'!B:L,4,0)</f>
        <v>MAE. EN CIENCIAS DE LA INF. Y LAS COMUNICACIONES ENFASIS EN GEOMATICA</v>
      </c>
      <c r="E658" s="19" t="str">
        <f>VLOOKUP(A658,'ESTADOS ESTUDIANTES'!B:L,5,0)</f>
        <v>E</v>
      </c>
      <c r="F658" s="18" t="str">
        <f>VLOOKUP(E658,Listas!B1:C1004,2,0)</f>
        <v>EGRESADO</v>
      </c>
      <c r="G658" s="19" t="str">
        <f>VLOOKUP(A658,'ESTADOS ESTUDIANTES'!B:L,7,0)</f>
        <v>NO REGISTRA</v>
      </c>
      <c r="H658" s="19" t="str">
        <f>VLOOKUP(A658,'ESTADOS ESTUDIANTES'!B:L,8,0)</f>
        <v>ocastrillono@correo.udistrital.edu.co</v>
      </c>
      <c r="I658" s="70" t="str">
        <f>VLOOKUP(A658,'ESTADOS ESTUDIANTES'!B:L,9,0)</f>
        <v>oco1117@gmail.com</v>
      </c>
      <c r="J658" s="19" t="str">
        <f>VLOOKUP(A658,'ESTADOS ESTUDIANTES'!B:L,10,0)</f>
        <v>CC</v>
      </c>
      <c r="K658" s="19">
        <f>VLOOKUP(A658,'ESTADOS ESTUDIANTES'!B:L,11,0)</f>
        <v>75107270</v>
      </c>
      <c r="L658" s="19">
        <v>3004938201</v>
      </c>
      <c r="M658" s="20"/>
      <c r="N658" s="22"/>
      <c r="O658" s="15"/>
      <c r="P658" s="15"/>
      <c r="Q658" s="15"/>
      <c r="R658" s="15"/>
      <c r="S658" s="15"/>
      <c r="T658" s="15"/>
      <c r="U658" s="15"/>
    </row>
    <row r="659" spans="1:21" ht="105">
      <c r="A659" s="17">
        <v>20131395003</v>
      </c>
      <c r="B659" s="19" t="str">
        <f>VLOOKUP(A659,'ESTADOS ESTUDIANTES'!B:L,2,0)</f>
        <v>CORTES CERON EDWIN ALVARO</v>
      </c>
      <c r="C659" s="19">
        <f>VLOOKUP(A659,'ESTADOS ESTUDIANTES'!B:L,3,0)</f>
        <v>395</v>
      </c>
      <c r="D659" s="66" t="str">
        <f>VLOOKUP(A659,'ESTADOS ESTUDIANTES'!B:L,4,0)</f>
        <v>MAE. EN CIENCIAS DE LA INF. Y LAS COMUNICACIONES ENFASIS EN GEOMATICA</v>
      </c>
      <c r="E659" s="19" t="str">
        <f>VLOOKUP(A659,'ESTADOS ESTUDIANTES'!B:L,5,0)</f>
        <v>X</v>
      </c>
      <c r="F659" s="18" t="str">
        <f>VLOOKUP(E659,Listas!B1:C1004,2,0)</f>
        <v>EXCLUIDO</v>
      </c>
      <c r="G659" s="19" t="str">
        <f>VLOOKUP(A659,'ESTADOS ESTUDIANTES'!B:L,7,0)</f>
        <v>NO REGISTRA</v>
      </c>
      <c r="H659" s="19" t="str">
        <f>VLOOKUP(A659,'ESTADOS ESTUDIANTES'!B:L,8,0)</f>
        <v>eacortesc@correo.udistrital.edu.co</v>
      </c>
      <c r="I659" s="70" t="str">
        <f>VLOOKUP(A659,'ESTADOS ESTUDIANTES'!B:L,9,0)</f>
        <v>edwincorts@gmail.com</v>
      </c>
      <c r="J659" s="19" t="str">
        <f>VLOOKUP(A659,'ESTADOS ESTUDIANTES'!B:L,10,0)</f>
        <v>CC</v>
      </c>
      <c r="K659" s="19">
        <f>VLOOKUP(A659,'ESTADOS ESTUDIANTES'!B:L,11,0)</f>
        <v>80213350</v>
      </c>
      <c r="L659" s="19">
        <v>3112823763</v>
      </c>
      <c r="M659" s="20"/>
      <c r="N659" s="22"/>
      <c r="O659" s="15"/>
      <c r="P659" s="15"/>
      <c r="Q659" s="15"/>
      <c r="R659" s="15"/>
      <c r="S659" s="15"/>
      <c r="T659" s="15"/>
      <c r="U659" s="15"/>
    </row>
    <row r="660" spans="1:21" ht="105">
      <c r="A660" s="17">
        <v>20131395004</v>
      </c>
      <c r="B660" s="19" t="str">
        <f>VLOOKUP(A660,'ESTADOS ESTUDIANTES'!B:L,2,0)</f>
        <v>DUITAMA GUIO ASTRID YADIRA</v>
      </c>
      <c r="C660" s="19">
        <f>VLOOKUP(A660,'ESTADOS ESTUDIANTES'!B:L,3,0)</f>
        <v>395</v>
      </c>
      <c r="D660" s="66" t="str">
        <f>VLOOKUP(A660,'ESTADOS ESTUDIANTES'!B:L,4,0)</f>
        <v>MAE. EN CIENCIAS DE LA INF. Y LAS COMUNICACIONES ENFASIS EN GEOMATICA</v>
      </c>
      <c r="E660" s="19" t="str">
        <f>VLOOKUP(A660,'ESTADOS ESTUDIANTES'!B:L,5,0)</f>
        <v>X</v>
      </c>
      <c r="F660" s="18" t="str">
        <f>VLOOKUP(E660,Listas!B1:C1004,2,0)</f>
        <v>EXCLUIDO</v>
      </c>
      <c r="G660" s="19" t="str">
        <f>VLOOKUP(A660,'ESTADOS ESTUDIANTES'!B:L,7,0)</f>
        <v>NO REGISTRA</v>
      </c>
      <c r="H660" s="19" t="str">
        <f>VLOOKUP(A660,'ESTADOS ESTUDIANTES'!B:L,8,0)</f>
        <v>ayduitamag@correo.udistrital.edu.co</v>
      </c>
      <c r="I660" s="70" t="str">
        <f>VLOOKUP(A660,'ESTADOS ESTUDIANTES'!B:L,9,0)</f>
        <v>yadugui@gmail.com</v>
      </c>
      <c r="J660" s="19" t="str">
        <f>VLOOKUP(A660,'ESTADOS ESTUDIANTES'!B:L,10,0)</f>
        <v>CC</v>
      </c>
      <c r="K660" s="19">
        <f>VLOOKUP(A660,'ESTADOS ESTUDIANTES'!B:L,11,0)</f>
        <v>53139795</v>
      </c>
      <c r="L660" s="19">
        <v>3017382328</v>
      </c>
      <c r="M660" s="20"/>
      <c r="N660" s="22"/>
      <c r="O660" s="15"/>
      <c r="P660" s="15"/>
      <c r="Q660" s="15"/>
      <c r="R660" s="15"/>
      <c r="S660" s="15"/>
      <c r="T660" s="15"/>
      <c r="U660" s="15"/>
    </row>
    <row r="661" spans="1:21" ht="105">
      <c r="A661" s="17">
        <v>20131395005</v>
      </c>
      <c r="B661" s="19" t="str">
        <f>VLOOKUP(A661,'ESTADOS ESTUDIANTES'!B:L,2,0)</f>
        <v>GIRALDO RODRIGUEZ PAOLA BORITA</v>
      </c>
      <c r="C661" s="19">
        <f>VLOOKUP(A661,'ESTADOS ESTUDIANTES'!B:L,3,0)</f>
        <v>395</v>
      </c>
      <c r="D661" s="66" t="str">
        <f>VLOOKUP(A661,'ESTADOS ESTUDIANTES'!B:L,4,0)</f>
        <v>MAE. EN CIENCIAS DE LA INF. Y LAS COMUNICACIONES ENFASIS EN GEOMATICA</v>
      </c>
      <c r="E661" s="19" t="str">
        <f>VLOOKUP(A661,'ESTADOS ESTUDIANTES'!B:L,5,0)</f>
        <v>X</v>
      </c>
      <c r="F661" s="18" t="str">
        <f>VLOOKUP(E661,Listas!B1:C1004,2,0)</f>
        <v>EXCLUIDO</v>
      </c>
      <c r="G661" s="19" t="str">
        <f>VLOOKUP(A661,'ESTADOS ESTUDIANTES'!B:L,7,0)</f>
        <v>NO REGISTRA</v>
      </c>
      <c r="H661" s="19" t="str">
        <f>VLOOKUP(A661,'ESTADOS ESTUDIANTES'!B:L,8,0)</f>
        <v>pbgiraldor@correo.udistrital.edu.co</v>
      </c>
      <c r="I661" s="70" t="str">
        <f>VLOOKUP(A661,'ESTADOS ESTUDIANTES'!B:L,9,0)</f>
        <v>polisgiraldo@gmail.com</v>
      </c>
      <c r="J661" s="19" t="str">
        <f>VLOOKUP(A661,'ESTADOS ESTUDIANTES'!B:L,10,0)</f>
        <v>CC</v>
      </c>
      <c r="K661" s="19">
        <f>VLOOKUP(A661,'ESTADOS ESTUDIANTES'!B:L,11,0)</f>
        <v>53098264</v>
      </c>
      <c r="L661" s="19">
        <v>3134248202</v>
      </c>
      <c r="M661" s="20"/>
      <c r="N661" s="22"/>
      <c r="O661" s="15"/>
      <c r="P661" s="15"/>
      <c r="Q661" s="15"/>
      <c r="R661" s="15"/>
      <c r="S661" s="15"/>
      <c r="T661" s="15"/>
      <c r="U661" s="15"/>
    </row>
    <row r="662" spans="1:21" ht="105">
      <c r="A662" s="17">
        <v>20131395006</v>
      </c>
      <c r="B662" s="19" t="str">
        <f>VLOOKUP(A662,'ESTADOS ESTUDIANTES'!B:L,2,0)</f>
        <v>LAZARO MENDEZ DIEGO FERNANDO</v>
      </c>
      <c r="C662" s="19">
        <f>VLOOKUP(A662,'ESTADOS ESTUDIANTES'!B:L,3,0)</f>
        <v>395</v>
      </c>
      <c r="D662" s="66" t="str">
        <f>VLOOKUP(A662,'ESTADOS ESTUDIANTES'!B:L,4,0)</f>
        <v>MAE. EN CIENCIAS DE LA INF. Y LAS COMUNICACIONES ENFASIS EN GEOMATICA</v>
      </c>
      <c r="E662" s="19" t="str">
        <f>VLOOKUP(A662,'ESTADOS ESTUDIANTES'!B:L,5,0)</f>
        <v>X</v>
      </c>
      <c r="F662" s="18" t="str">
        <f>VLOOKUP(E662,Listas!B1:C1004,2,0)</f>
        <v>EXCLUIDO</v>
      </c>
      <c r="G662" s="19">
        <f>VLOOKUP(A662,'ESTADOS ESTUDIANTES'!B:L,7,0)</f>
        <v>4</v>
      </c>
      <c r="H662" s="19" t="str">
        <f>VLOOKUP(A662,'ESTADOS ESTUDIANTES'!B:L,8,0)</f>
        <v>dflazarom@correo.udistrital.edu.co</v>
      </c>
      <c r="I662" s="70" t="str">
        <f>VLOOKUP(A662,'ESTADOS ESTUDIANTES'!B:L,9,0)</f>
        <v>diego23444@hotmail.com</v>
      </c>
      <c r="J662" s="19" t="str">
        <f>VLOOKUP(A662,'ESTADOS ESTUDIANTES'!B:L,10,0)</f>
        <v>CC</v>
      </c>
      <c r="K662" s="19">
        <f>VLOOKUP(A662,'ESTADOS ESTUDIANTES'!B:L,11,0)</f>
        <v>80075712</v>
      </c>
      <c r="L662" s="19">
        <v>3017860342</v>
      </c>
      <c r="M662" s="20"/>
      <c r="N662" s="22"/>
      <c r="O662" s="15"/>
      <c r="P662" s="15"/>
      <c r="Q662" s="15"/>
      <c r="R662" s="15"/>
      <c r="S662" s="15"/>
      <c r="T662" s="15"/>
      <c r="U662" s="15"/>
    </row>
    <row r="663" spans="1:21" ht="105">
      <c r="A663" s="17">
        <v>20131395007</v>
      </c>
      <c r="B663" s="19" t="str">
        <f>VLOOKUP(A663,'ESTADOS ESTUDIANTES'!B:L,2,0)</f>
        <v>LOPEZ LOPEZ JHON FREDY</v>
      </c>
      <c r="C663" s="19">
        <f>VLOOKUP(A663,'ESTADOS ESTUDIANTES'!B:L,3,0)</f>
        <v>395</v>
      </c>
      <c r="D663" s="66" t="str">
        <f>VLOOKUP(A663,'ESTADOS ESTUDIANTES'!B:L,4,0)</f>
        <v>MAE. EN CIENCIAS DE LA INF. Y LAS COMUNICACIONES ENFASIS EN GEOMATICA</v>
      </c>
      <c r="E663" s="19" t="str">
        <f>VLOOKUP(A663,'ESTADOS ESTUDIANTES'!B:L,5,0)</f>
        <v>E</v>
      </c>
      <c r="F663" s="18" t="str">
        <f>VLOOKUP(E663,Listas!B1:C1004,2,0)</f>
        <v>EGRESADO</v>
      </c>
      <c r="G663" s="19">
        <f>VLOOKUP(A663,'ESTADOS ESTUDIANTES'!B:L,7,0)</f>
        <v>1</v>
      </c>
      <c r="H663" s="19" t="str">
        <f>VLOOKUP(A663,'ESTADOS ESTUDIANTES'!B:L,8,0)</f>
        <v>jflopezl@correo.udistrital.edu.co</v>
      </c>
      <c r="I663" s="70" t="str">
        <f>VLOOKUP(A663,'ESTADOS ESTUDIANTES'!B:L,9,0)</f>
        <v>jfredyl@gmail.com</v>
      </c>
      <c r="J663" s="19" t="str">
        <f>VLOOKUP(A663,'ESTADOS ESTUDIANTES'!B:L,10,0)</f>
        <v>CC</v>
      </c>
      <c r="K663" s="19">
        <f>VLOOKUP(A663,'ESTADOS ESTUDIANTES'!B:L,11,0)</f>
        <v>1023863636</v>
      </c>
      <c r="L663" s="23"/>
      <c r="M663" s="20"/>
      <c r="N663" s="22"/>
      <c r="O663" s="15"/>
      <c r="P663" s="15"/>
      <c r="Q663" s="15"/>
      <c r="R663" s="15"/>
      <c r="S663" s="15"/>
      <c r="T663" s="15"/>
      <c r="U663" s="15"/>
    </row>
    <row r="664" spans="1:21" ht="105">
      <c r="A664" s="17">
        <v>20131395008</v>
      </c>
      <c r="B664" s="19" t="str">
        <f>VLOOKUP(A664,'ESTADOS ESTUDIANTES'!B:L,2,0)</f>
        <v>MARTINEZ DIAZ GINA PATRICIA</v>
      </c>
      <c r="C664" s="19">
        <f>VLOOKUP(A664,'ESTADOS ESTUDIANTES'!B:L,3,0)</f>
        <v>395</v>
      </c>
      <c r="D664" s="66" t="str">
        <f>VLOOKUP(A664,'ESTADOS ESTUDIANTES'!B:L,4,0)</f>
        <v>MAE. EN CIENCIAS DE LA INF. Y LAS COMUNICACIONES ENFASIS EN GEOMATICA</v>
      </c>
      <c r="E664" s="19" t="str">
        <f>VLOOKUP(A664,'ESTADOS ESTUDIANTES'!B:L,5,0)</f>
        <v>X</v>
      </c>
      <c r="F664" s="18" t="str">
        <f>VLOOKUP(E664,Listas!B1:C1004,2,0)</f>
        <v>EXCLUIDO</v>
      </c>
      <c r="G664" s="19" t="str">
        <f>VLOOKUP(A664,'ESTADOS ESTUDIANTES'!B:L,7,0)</f>
        <v>NO REGISTRA</v>
      </c>
      <c r="H664" s="19" t="str">
        <f>VLOOKUP(A664,'ESTADOS ESTUDIANTES'!B:L,8,0)</f>
        <v>gpmartinezd@correo.udistrital.edu.co</v>
      </c>
      <c r="I664" s="70" t="str">
        <f>VLOOKUP(A664,'ESTADOS ESTUDIANTES'!B:L,9,0)</f>
        <v>ginamartinezd2@gmail.com</v>
      </c>
      <c r="J664" s="19" t="str">
        <f>VLOOKUP(A664,'ESTADOS ESTUDIANTES'!B:L,10,0)</f>
        <v>CC</v>
      </c>
      <c r="K664" s="19">
        <f>VLOOKUP(A664,'ESTADOS ESTUDIANTES'!B:L,11,0)</f>
        <v>39819208</v>
      </c>
      <c r="L664" s="19">
        <v>3107550076</v>
      </c>
      <c r="M664" s="20"/>
      <c r="N664" s="22"/>
      <c r="O664" s="15"/>
      <c r="P664" s="15"/>
      <c r="Q664" s="15"/>
      <c r="R664" s="15"/>
      <c r="S664" s="15"/>
      <c r="T664" s="15"/>
      <c r="U664" s="15"/>
    </row>
    <row r="665" spans="1:21" ht="105">
      <c r="A665" s="17">
        <v>20131395009</v>
      </c>
      <c r="B665" s="19" t="str">
        <f>VLOOKUP(A665,'ESTADOS ESTUDIANTES'!B:L,2,0)</f>
        <v>RAMIREZ NAVARRO SERGIO ALEXANDER</v>
      </c>
      <c r="C665" s="19">
        <f>VLOOKUP(A665,'ESTADOS ESTUDIANTES'!B:L,3,0)</f>
        <v>395</v>
      </c>
      <c r="D665" s="66" t="str">
        <f>VLOOKUP(A665,'ESTADOS ESTUDIANTES'!B:L,4,0)</f>
        <v>MAE. EN CIENCIAS DE LA INF. Y LAS COMUNICACIONES ENFASIS EN GEOMATICA</v>
      </c>
      <c r="E665" s="19" t="str">
        <f>VLOOKUP(A665,'ESTADOS ESTUDIANTES'!B:L,5,0)</f>
        <v>E</v>
      </c>
      <c r="F665" s="18" t="str">
        <f>VLOOKUP(E665,Listas!B1:C1004,2,0)</f>
        <v>EGRESADO</v>
      </c>
      <c r="G665" s="19">
        <f>VLOOKUP(A665,'ESTADOS ESTUDIANTES'!B:L,7,0)</f>
        <v>4</v>
      </c>
      <c r="H665" s="19" t="str">
        <f>VLOOKUP(A665,'ESTADOS ESTUDIANTES'!B:L,8,0)</f>
        <v>saramirezn@correo.udistrital.edu.co</v>
      </c>
      <c r="I665" s="70" t="str">
        <f>VLOOKUP(A665,'ESTADOS ESTUDIANTES'!B:L,9,0)</f>
        <v>sergio.ramirez@incige.com</v>
      </c>
      <c r="J665" s="19" t="str">
        <f>VLOOKUP(A665,'ESTADOS ESTUDIANTES'!B:L,10,0)</f>
        <v>CC</v>
      </c>
      <c r="K665" s="19">
        <f>VLOOKUP(A665,'ESTADOS ESTUDIANTES'!B:L,11,0)</f>
        <v>1026258258</v>
      </c>
      <c r="L665" s="23"/>
      <c r="M665" s="20"/>
      <c r="N665" s="22"/>
      <c r="O665" s="15"/>
      <c r="P665" s="15"/>
      <c r="Q665" s="15"/>
      <c r="R665" s="15"/>
      <c r="S665" s="15"/>
      <c r="T665" s="15"/>
      <c r="U665" s="15"/>
    </row>
    <row r="666" spans="1:21" ht="105">
      <c r="A666" s="17">
        <v>20131395010</v>
      </c>
      <c r="B666" s="19" t="str">
        <f>VLOOKUP(A666,'ESTADOS ESTUDIANTES'!B:L,2,0)</f>
        <v>ROJAS NAVARRO JORGE ELIECER</v>
      </c>
      <c r="C666" s="19">
        <f>VLOOKUP(A666,'ESTADOS ESTUDIANTES'!B:L,3,0)</f>
        <v>395</v>
      </c>
      <c r="D666" s="66" t="str">
        <f>VLOOKUP(A666,'ESTADOS ESTUDIANTES'!B:L,4,0)</f>
        <v>MAE. EN CIENCIAS DE LA INF. Y LAS COMUNICACIONES ENFASIS EN GEOMATICA</v>
      </c>
      <c r="E666" s="19" t="str">
        <f>VLOOKUP(A666,'ESTADOS ESTUDIANTES'!B:L,5,0)</f>
        <v>X</v>
      </c>
      <c r="F666" s="18" t="str">
        <f>VLOOKUP(E666,Listas!B1:C1004,2,0)</f>
        <v>EXCLUIDO</v>
      </c>
      <c r="G666" s="19" t="str">
        <f>VLOOKUP(A666,'ESTADOS ESTUDIANTES'!B:L,7,0)</f>
        <v>NO REGISTRA</v>
      </c>
      <c r="H666" s="19" t="str">
        <f>VLOOKUP(A666,'ESTADOS ESTUDIANTES'!B:L,8,0)</f>
        <v>jorerojasn@udistrital.edu.co</v>
      </c>
      <c r="I666" s="70" t="str">
        <f>VLOOKUP(A666,'ESTADOS ESTUDIANTES'!B:L,9,0)</f>
        <v>jerojas@gmail.com</v>
      </c>
      <c r="J666" s="19" t="str">
        <f>VLOOKUP(A666,'ESTADOS ESTUDIANTES'!B:L,10,0)</f>
        <v>CC</v>
      </c>
      <c r="K666" s="19">
        <f>VLOOKUP(A666,'ESTADOS ESTUDIANTES'!B:L,11,0)</f>
        <v>80903757</v>
      </c>
      <c r="L666" s="19">
        <v>3118912180</v>
      </c>
      <c r="M666" s="20"/>
      <c r="N666" s="22"/>
      <c r="O666" s="15"/>
      <c r="P666" s="15"/>
      <c r="Q666" s="15"/>
      <c r="R666" s="15"/>
      <c r="S666" s="15"/>
      <c r="T666" s="15"/>
      <c r="U666" s="15"/>
    </row>
    <row r="667" spans="1:21" ht="105">
      <c r="A667" s="17">
        <v>20131395011</v>
      </c>
      <c r="B667" s="19" t="str">
        <f>VLOOKUP(A667,'ESTADOS ESTUDIANTES'!B:L,2,0)</f>
        <v>SANCHEZ PEREZ DANIA LORENA</v>
      </c>
      <c r="C667" s="19">
        <f>VLOOKUP(A667,'ESTADOS ESTUDIANTES'!B:L,3,0)</f>
        <v>395</v>
      </c>
      <c r="D667" s="66" t="str">
        <f>VLOOKUP(A667,'ESTADOS ESTUDIANTES'!B:L,4,0)</f>
        <v>MAE. EN CIENCIAS DE LA INF. Y LAS COMUNICACIONES ENFASIS EN GEOMATICA</v>
      </c>
      <c r="E667" s="19" t="str">
        <f>VLOOKUP(A667,'ESTADOS ESTUDIANTES'!B:L,5,0)</f>
        <v>X</v>
      </c>
      <c r="F667" s="18" t="str">
        <f>VLOOKUP(E667,Listas!B1:C1004,2,0)</f>
        <v>EXCLUIDO</v>
      </c>
      <c r="G667" s="19" t="str">
        <f>VLOOKUP(A667,'ESTADOS ESTUDIANTES'!B:L,7,0)</f>
        <v>NO REGISTRA</v>
      </c>
      <c r="H667" s="19" t="str">
        <f>VLOOKUP(A667,'ESTADOS ESTUDIANTES'!B:L,8,0)</f>
        <v>dlsanchezp@correo.udistrital.edu.co</v>
      </c>
      <c r="I667" s="70" t="str">
        <f>VLOOKUP(A667,'ESTADOS ESTUDIANTES'!B:L,9,0)</f>
        <v>dlorena01@gmail.com</v>
      </c>
      <c r="J667" s="19" t="str">
        <f>VLOOKUP(A667,'ESTADOS ESTUDIANTES'!B:L,10,0)</f>
        <v>CC</v>
      </c>
      <c r="K667" s="19">
        <f>VLOOKUP(A667,'ESTADOS ESTUDIANTES'!B:L,11,0)</f>
        <v>1019026671</v>
      </c>
      <c r="L667" s="19">
        <v>3017878635</v>
      </c>
      <c r="M667" s="20"/>
      <c r="N667" s="22"/>
      <c r="O667" s="15"/>
      <c r="P667" s="15"/>
      <c r="Q667" s="15"/>
      <c r="R667" s="15"/>
      <c r="S667" s="15"/>
      <c r="T667" s="15"/>
      <c r="U667" s="15"/>
    </row>
    <row r="668" spans="1:21" ht="105">
      <c r="A668" s="17">
        <v>20131395012</v>
      </c>
      <c r="B668" s="19" t="str">
        <f>VLOOKUP(A668,'ESTADOS ESTUDIANTES'!B:L,2,0)</f>
        <v>WILCHES ROJAS HERNAN DARIO</v>
      </c>
      <c r="C668" s="19">
        <f>VLOOKUP(A668,'ESTADOS ESTUDIANTES'!B:L,3,0)</f>
        <v>395</v>
      </c>
      <c r="D668" s="66" t="str">
        <f>VLOOKUP(A668,'ESTADOS ESTUDIANTES'!B:L,4,0)</f>
        <v>MAE. EN CIENCIAS DE LA INF. Y LAS COMUNICACIONES ENFASIS EN GEOMATICA</v>
      </c>
      <c r="E668" s="19" t="str">
        <f>VLOOKUP(A668,'ESTADOS ESTUDIANTES'!B:L,5,0)</f>
        <v>X</v>
      </c>
      <c r="F668" s="18" t="str">
        <f>VLOOKUP(E668,Listas!B1:C1004,2,0)</f>
        <v>EXCLUIDO</v>
      </c>
      <c r="G668" s="19" t="str">
        <f>VLOOKUP(A668,'ESTADOS ESTUDIANTES'!B:L,7,0)</f>
        <v>NO REGISTRA</v>
      </c>
      <c r="H668" s="19" t="str">
        <f>VLOOKUP(A668,'ESTADOS ESTUDIANTES'!B:L,8,0)</f>
        <v>hdwilchesr@correo.udistrital.edu.co</v>
      </c>
      <c r="I668" s="70" t="str">
        <f>VLOOKUP(A668,'ESTADOS ESTUDIANTES'!B:L,9,0)</f>
        <v>hernanw500@hotmail.com</v>
      </c>
      <c r="J668" s="19" t="str">
        <f>VLOOKUP(A668,'ESTADOS ESTUDIANTES'!B:L,10,0)</f>
        <v>CC</v>
      </c>
      <c r="K668" s="19">
        <f>VLOOKUP(A668,'ESTADOS ESTUDIANTES'!B:L,11,0)</f>
        <v>1032376431</v>
      </c>
      <c r="L668" s="19">
        <v>3003275279</v>
      </c>
      <c r="M668" s="20"/>
      <c r="N668" s="22"/>
      <c r="O668" s="15"/>
      <c r="P668" s="15"/>
      <c r="Q668" s="15"/>
      <c r="R668" s="15"/>
      <c r="S668" s="15"/>
      <c r="T668" s="15"/>
      <c r="U668" s="15"/>
    </row>
    <row r="669" spans="1:21" ht="90">
      <c r="A669" s="17">
        <v>20132295001</v>
      </c>
      <c r="B669" s="19" t="str">
        <f>VLOOKUP(A669,'ESTADOS ESTUDIANTES'!B:L,2,0)</f>
        <v>ALBADAN ROMERO JAVIER</v>
      </c>
      <c r="C669" s="19">
        <f>VLOOKUP(A669,'ESTADOS ESTUDIANTES'!B:L,3,0)</f>
        <v>295</v>
      </c>
      <c r="D669" s="66" t="str">
        <f>VLOOKUP(A669,'ESTADOS ESTUDIANTES'!B:L,4,0)</f>
        <v>MAE. EN CIENCIAS DE LA INF. Y LAS COMUNICACIONES ENFASIS EN SIS. INFOR</v>
      </c>
      <c r="E669" s="19" t="str">
        <f>VLOOKUP(A669,'ESTADOS ESTUDIANTES'!B:L,5,0)</f>
        <v>E</v>
      </c>
      <c r="F669" s="18" t="str">
        <f>VLOOKUP(E669,Listas!B1:C1004,2,0)</f>
        <v>EGRESADO</v>
      </c>
      <c r="G669" s="19">
        <f>VLOOKUP(A669,'ESTADOS ESTUDIANTES'!B:L,7,0)</f>
        <v>3</v>
      </c>
      <c r="H669" s="19">
        <f>VLOOKUP(A669,'ESTADOS ESTUDIANTES'!B:L,8,0)</f>
        <v>0</v>
      </c>
      <c r="I669" s="70" t="str">
        <f>VLOOKUP(A669,'ESTADOS ESTUDIANTES'!B:L,9,0)</f>
        <v>javier.albadan@gmail.com</v>
      </c>
      <c r="J669" s="19" t="str">
        <f>VLOOKUP(A669,'ESTADOS ESTUDIANTES'!B:L,10,0)</f>
        <v>CC</v>
      </c>
      <c r="K669" s="19">
        <f>VLOOKUP(A669,'ESTADOS ESTUDIANTES'!B:L,11,0)</f>
        <v>1020739994</v>
      </c>
      <c r="L669" s="23"/>
      <c r="M669" s="20"/>
      <c r="N669" s="22"/>
      <c r="O669" s="15"/>
      <c r="P669" s="15"/>
      <c r="Q669" s="15"/>
      <c r="R669" s="15"/>
      <c r="S669" s="15"/>
      <c r="T669" s="15"/>
      <c r="U669" s="15"/>
    </row>
    <row r="670" spans="1:21" ht="90">
      <c r="A670" s="17">
        <v>20132295002</v>
      </c>
      <c r="B670" s="19" t="str">
        <f>VLOOKUP(A670,'ESTADOS ESTUDIANTES'!B:L,2,0)</f>
        <v>ACOSTA AGUDELO EIBIN FABIAN</v>
      </c>
      <c r="C670" s="19">
        <f>VLOOKUP(A670,'ESTADOS ESTUDIANTES'!B:L,3,0)</f>
        <v>295</v>
      </c>
      <c r="D670" s="66" t="str">
        <f>VLOOKUP(A670,'ESTADOS ESTUDIANTES'!B:L,4,0)</f>
        <v>MAE. EN CIENCIAS DE LA INF. Y LAS COMUNICACIONES ENFASIS EN SIS. INFOR</v>
      </c>
      <c r="E670" s="19" t="str">
        <f>VLOOKUP(A670,'ESTADOS ESTUDIANTES'!B:L,5,0)</f>
        <v>X</v>
      </c>
      <c r="F670" s="18" t="str">
        <f>VLOOKUP(E670,Listas!B1:C1004,2,0)</f>
        <v>EXCLUIDO</v>
      </c>
      <c r="G670" s="19" t="str">
        <f>VLOOKUP(A670,'ESTADOS ESTUDIANTES'!B:L,7,0)</f>
        <v>NO REGISTRA</v>
      </c>
      <c r="H670" s="19">
        <f>VLOOKUP(A670,'ESTADOS ESTUDIANTES'!B:L,8,0)</f>
        <v>0</v>
      </c>
      <c r="I670" s="70" t="str">
        <f>VLOOKUP(A670,'ESTADOS ESTUDIANTES'!B:L,9,0)</f>
        <v>eibinfabian@gmail.com</v>
      </c>
      <c r="J670" s="19" t="str">
        <f>VLOOKUP(A670,'ESTADOS ESTUDIANTES'!B:L,10,0)</f>
        <v>CC</v>
      </c>
      <c r="K670" s="19">
        <f>VLOOKUP(A670,'ESTADOS ESTUDIANTES'!B:L,11,0)</f>
        <v>1016008566</v>
      </c>
      <c r="L670" s="19">
        <v>3143343886</v>
      </c>
      <c r="M670" s="20"/>
      <c r="N670" s="22"/>
      <c r="O670" s="15"/>
      <c r="P670" s="15"/>
      <c r="Q670" s="15"/>
      <c r="R670" s="15"/>
      <c r="S670" s="15"/>
      <c r="T670" s="15"/>
      <c r="U670" s="15"/>
    </row>
    <row r="671" spans="1:21" ht="90">
      <c r="A671" s="17">
        <v>20132295003</v>
      </c>
      <c r="B671" s="19" t="str">
        <f>VLOOKUP(A671,'ESTADOS ESTUDIANTES'!B:L,2,0)</f>
        <v>BERNAL COLLAZO MOISES</v>
      </c>
      <c r="C671" s="19">
        <f>VLOOKUP(A671,'ESTADOS ESTUDIANTES'!B:L,3,0)</f>
        <v>295</v>
      </c>
      <c r="D671" s="66" t="str">
        <f>VLOOKUP(A671,'ESTADOS ESTUDIANTES'!B:L,4,0)</f>
        <v>MAE. EN CIENCIAS DE LA INF. Y LAS COMUNICACIONES ENFASIS EN SIS. INFOR</v>
      </c>
      <c r="E671" s="19" t="str">
        <f>VLOOKUP(A671,'ESTADOS ESTUDIANTES'!B:L,5,0)</f>
        <v>X</v>
      </c>
      <c r="F671" s="18" t="str">
        <f>VLOOKUP(E671,Listas!B1:C1004,2,0)</f>
        <v>EXCLUIDO</v>
      </c>
      <c r="G671" s="19" t="str">
        <f>VLOOKUP(A671,'ESTADOS ESTUDIANTES'!B:L,7,0)</f>
        <v>NO REGISTRA</v>
      </c>
      <c r="H671" s="19">
        <f>VLOOKUP(A671,'ESTADOS ESTUDIANTES'!B:L,8,0)</f>
        <v>0</v>
      </c>
      <c r="I671" s="70" t="str">
        <f>VLOOKUP(A671,'ESTADOS ESTUDIANTES'!B:L,9,0)</f>
        <v>thepower777@starmedia.com</v>
      </c>
      <c r="J671" s="19" t="str">
        <f>VLOOKUP(A671,'ESTADOS ESTUDIANTES'!B:L,10,0)</f>
        <v>CC</v>
      </c>
      <c r="K671" s="19">
        <f>VLOOKUP(A671,'ESTADOS ESTUDIANTES'!B:L,11,0)</f>
        <v>79138654</v>
      </c>
      <c r="L671" s="23"/>
      <c r="M671" s="20"/>
      <c r="N671" s="22"/>
      <c r="O671" s="15"/>
      <c r="P671" s="15"/>
      <c r="Q671" s="15"/>
      <c r="R671" s="15"/>
      <c r="S671" s="15"/>
      <c r="T671" s="15"/>
      <c r="U671" s="15"/>
    </row>
    <row r="672" spans="1:21" ht="90">
      <c r="A672" s="17">
        <v>20132295004</v>
      </c>
      <c r="B672" s="19" t="str">
        <f>VLOOKUP(A672,'ESTADOS ESTUDIANTES'!B:L,2,0)</f>
        <v>BLANCO RODRIGUEZ HECTOR IVAN</v>
      </c>
      <c r="C672" s="19">
        <f>VLOOKUP(A672,'ESTADOS ESTUDIANTES'!B:L,3,0)</f>
        <v>295</v>
      </c>
      <c r="D672" s="66" t="str">
        <f>VLOOKUP(A672,'ESTADOS ESTUDIANTES'!B:L,4,0)</f>
        <v>MAE. EN CIENCIAS DE LA INF. Y LAS COMUNICACIONES ENFASIS EN SIS. INFOR</v>
      </c>
      <c r="E672" s="19" t="str">
        <f>VLOOKUP(A672,'ESTADOS ESTUDIANTES'!B:L,5,0)</f>
        <v>X</v>
      </c>
      <c r="F672" s="18" t="str">
        <f>VLOOKUP(E672,Listas!B1:C1004,2,0)</f>
        <v>EXCLUIDO</v>
      </c>
      <c r="G672" s="19" t="str">
        <f>VLOOKUP(A672,'ESTADOS ESTUDIANTES'!B:L,7,0)</f>
        <v>NO REGISTRA</v>
      </c>
      <c r="H672" s="19">
        <f>VLOOKUP(A672,'ESTADOS ESTUDIANTES'!B:L,8,0)</f>
        <v>0</v>
      </c>
      <c r="I672" s="70" t="str">
        <f>VLOOKUP(A672,'ESTADOS ESTUDIANTES'!B:L,9,0)</f>
        <v>blancor.hectori@gmail.com</v>
      </c>
      <c r="J672" s="19" t="str">
        <f>VLOOKUP(A672,'ESTADOS ESTUDIANTES'!B:L,10,0)</f>
        <v>CC</v>
      </c>
      <c r="K672" s="19">
        <f>VLOOKUP(A672,'ESTADOS ESTUDIANTES'!B:L,11,0)</f>
        <v>1014190638</v>
      </c>
      <c r="L672" s="23"/>
      <c r="M672" s="20"/>
      <c r="N672" s="22"/>
      <c r="O672" s="15"/>
      <c r="P672" s="15"/>
      <c r="Q672" s="15"/>
      <c r="R672" s="15"/>
      <c r="S672" s="15"/>
      <c r="T672" s="15"/>
      <c r="U672" s="15"/>
    </row>
    <row r="673" spans="1:21" ht="90">
      <c r="A673" s="17">
        <v>20132295005</v>
      </c>
      <c r="B673" s="19" t="str">
        <f>VLOOKUP(A673,'ESTADOS ESTUDIANTES'!B:L,2,0)</f>
        <v>BUSTOS MOLINA JOSE RICARDO</v>
      </c>
      <c r="C673" s="19">
        <f>VLOOKUP(A673,'ESTADOS ESTUDIANTES'!B:L,3,0)</f>
        <v>295</v>
      </c>
      <c r="D673" s="66" t="str">
        <f>VLOOKUP(A673,'ESTADOS ESTUDIANTES'!B:L,4,0)</f>
        <v>MAE. EN CIENCIAS DE LA INF. Y LAS COMUNICACIONES ENFASIS EN SIS. INFOR</v>
      </c>
      <c r="E673" s="19" t="str">
        <f>VLOOKUP(A673,'ESTADOS ESTUDIANTES'!B:L,5,0)</f>
        <v>X</v>
      </c>
      <c r="F673" s="18" t="str">
        <f>VLOOKUP(E673,Listas!B1:C1004,2,0)</f>
        <v>EXCLUIDO</v>
      </c>
      <c r="G673" s="19" t="str">
        <f>VLOOKUP(A673,'ESTADOS ESTUDIANTES'!B:L,7,0)</f>
        <v>NO REGISTRA</v>
      </c>
      <c r="H673" s="19">
        <f>VLOOKUP(A673,'ESTADOS ESTUDIANTES'!B:L,8,0)</f>
        <v>0</v>
      </c>
      <c r="I673" s="70" t="str">
        <f>VLOOKUP(A673,'ESTADOS ESTUDIANTES'!B:L,9,0)</f>
        <v>jrbustosm@gmail.com</v>
      </c>
      <c r="J673" s="19" t="str">
        <f>VLOOKUP(A673,'ESTADOS ESTUDIANTES'!B:L,10,0)</f>
        <v>CC</v>
      </c>
      <c r="K673" s="19">
        <f>VLOOKUP(A673,'ESTADOS ESTUDIANTES'!B:L,11,0)</f>
        <v>2235404</v>
      </c>
      <c r="L673" s="23"/>
      <c r="M673" s="20"/>
      <c r="N673" s="22"/>
      <c r="O673" s="15"/>
      <c r="P673" s="15"/>
      <c r="Q673" s="15"/>
      <c r="R673" s="15"/>
      <c r="S673" s="15"/>
      <c r="T673" s="15"/>
      <c r="U673" s="15"/>
    </row>
    <row r="674" spans="1:21" ht="90">
      <c r="A674" s="17">
        <v>20132295006</v>
      </c>
      <c r="B674" s="19" t="str">
        <f>VLOOKUP(A674,'ESTADOS ESTUDIANTES'!B:L,2,0)</f>
        <v>DALLOS BUSTOS CRISTIAN DAVID</v>
      </c>
      <c r="C674" s="19">
        <f>VLOOKUP(A674,'ESTADOS ESTUDIANTES'!B:L,3,0)</f>
        <v>295</v>
      </c>
      <c r="D674" s="66" t="str">
        <f>VLOOKUP(A674,'ESTADOS ESTUDIANTES'!B:L,4,0)</f>
        <v>MAE. EN CIENCIAS DE LA INF. Y LAS COMUNICACIONES ENFASIS EN SIS. INFOR</v>
      </c>
      <c r="E674" s="19" t="str">
        <f>VLOOKUP(A674,'ESTADOS ESTUDIANTES'!B:L,5,0)</f>
        <v>E</v>
      </c>
      <c r="F674" s="18" t="str">
        <f>VLOOKUP(E674,Listas!B1:C1004,2,0)</f>
        <v>EGRESADO</v>
      </c>
      <c r="G674" s="19" t="str">
        <f>VLOOKUP(A674,'ESTADOS ESTUDIANTES'!B:L,7,0)</f>
        <v>NO REGISTRA</v>
      </c>
      <c r="H674" s="19">
        <f>VLOOKUP(A674,'ESTADOS ESTUDIANTES'!B:L,8,0)</f>
        <v>0</v>
      </c>
      <c r="I674" s="70" t="str">
        <f>VLOOKUP(A674,'ESTADOS ESTUDIANTES'!B:L,9,0)</f>
        <v>cristiandaviddallosbustos@gmail.com</v>
      </c>
      <c r="J674" s="19" t="str">
        <f>VLOOKUP(A674,'ESTADOS ESTUDIANTES'!B:L,10,0)</f>
        <v>CC</v>
      </c>
      <c r="K674" s="19">
        <f>VLOOKUP(A674,'ESTADOS ESTUDIANTES'!B:L,11,0)</f>
        <v>1032430399</v>
      </c>
      <c r="L674" s="23"/>
      <c r="M674" s="20"/>
      <c r="N674" s="22"/>
      <c r="O674" s="15"/>
      <c r="P674" s="15"/>
      <c r="Q674" s="15"/>
      <c r="R674" s="15"/>
      <c r="S674" s="15"/>
      <c r="T674" s="15"/>
      <c r="U674" s="15"/>
    </row>
    <row r="675" spans="1:21" ht="90">
      <c r="A675" s="17">
        <v>20132295007</v>
      </c>
      <c r="B675" s="19" t="str">
        <f>VLOOKUP(A675,'ESTADOS ESTUDIANTES'!B:L,2,0)</f>
        <v>MARTINEZ PEREZ LUCY PAOLA</v>
      </c>
      <c r="C675" s="19">
        <f>VLOOKUP(A675,'ESTADOS ESTUDIANTES'!B:L,3,0)</f>
        <v>295</v>
      </c>
      <c r="D675" s="66" t="str">
        <f>VLOOKUP(A675,'ESTADOS ESTUDIANTES'!B:L,4,0)</f>
        <v>MAE. EN CIENCIAS DE LA INF. Y LAS COMUNICACIONES ENFASIS EN SIS. INFOR</v>
      </c>
      <c r="E675" s="19" t="str">
        <f>VLOOKUP(A675,'ESTADOS ESTUDIANTES'!B:L,5,0)</f>
        <v>X</v>
      </c>
      <c r="F675" s="18" t="str">
        <f>VLOOKUP(E675,Listas!B1:C1004,2,0)</f>
        <v>EXCLUIDO</v>
      </c>
      <c r="G675" s="19" t="str">
        <f>VLOOKUP(A675,'ESTADOS ESTUDIANTES'!B:L,7,0)</f>
        <v>NO REGISTRA</v>
      </c>
      <c r="H675" s="19">
        <f>VLOOKUP(A675,'ESTADOS ESTUDIANTES'!B:L,8,0)</f>
        <v>0</v>
      </c>
      <c r="I675" s="70" t="str">
        <f>VLOOKUP(A675,'ESTADOS ESTUDIANTES'!B:L,9,0)</f>
        <v>paola928@hotmail.com</v>
      </c>
      <c r="J675" s="19" t="str">
        <f>VLOOKUP(A675,'ESTADOS ESTUDIANTES'!B:L,10,0)</f>
        <v>CC</v>
      </c>
      <c r="K675" s="19">
        <f>VLOOKUP(A675,'ESTADOS ESTUDIANTES'!B:L,11,0)</f>
        <v>1032421209</v>
      </c>
      <c r="L675" s="19">
        <v>3115504823</v>
      </c>
      <c r="M675" s="20"/>
      <c r="N675" s="22"/>
      <c r="O675" s="15"/>
      <c r="P675" s="15"/>
      <c r="Q675" s="15"/>
      <c r="R675" s="15"/>
      <c r="S675" s="15"/>
      <c r="T675" s="15"/>
      <c r="U675" s="15"/>
    </row>
    <row r="676" spans="1:21" ht="90">
      <c r="A676" s="17">
        <v>20132295008</v>
      </c>
      <c r="B676" s="19" t="str">
        <f>VLOOKUP(A676,'ESTADOS ESTUDIANTES'!B:L,2,0)</f>
        <v>MONCADA VEGA DIEGO ANDRES</v>
      </c>
      <c r="C676" s="19">
        <f>VLOOKUP(A676,'ESTADOS ESTUDIANTES'!B:L,3,0)</f>
        <v>295</v>
      </c>
      <c r="D676" s="66" t="str">
        <f>VLOOKUP(A676,'ESTADOS ESTUDIANTES'!B:L,4,0)</f>
        <v>MAE. EN CIENCIAS DE LA INF. Y LAS COMUNICACIONES ENFASIS EN SIS. INFOR</v>
      </c>
      <c r="E676" s="19" t="str">
        <f>VLOOKUP(A676,'ESTADOS ESTUDIANTES'!B:L,5,0)</f>
        <v>X</v>
      </c>
      <c r="F676" s="18" t="str">
        <f>VLOOKUP(E676,Listas!B1:C1004,2,0)</f>
        <v>EXCLUIDO</v>
      </c>
      <c r="G676" s="19" t="str">
        <f>VLOOKUP(A676,'ESTADOS ESTUDIANTES'!B:L,7,0)</f>
        <v>NO REGISTRA</v>
      </c>
      <c r="H676" s="19" t="str">
        <f>VLOOKUP(A676,'ESTADOS ESTUDIANTES'!B:L,8,0)</f>
        <v>damoncadav@udistrital.edu.co</v>
      </c>
      <c r="I676" s="70" t="str">
        <f>VLOOKUP(A676,'ESTADOS ESTUDIANTES'!B:L,9,0)</f>
        <v>dandresmv@yahoo.com</v>
      </c>
      <c r="J676" s="19" t="str">
        <f>VLOOKUP(A676,'ESTADOS ESTUDIANTES'!B:L,10,0)</f>
        <v>CC</v>
      </c>
      <c r="K676" s="19">
        <f>VLOOKUP(A676,'ESTADOS ESTUDIANTES'!B:L,11,0)</f>
        <v>80777868</v>
      </c>
      <c r="L676" s="19">
        <v>3002516404</v>
      </c>
      <c r="M676" s="20"/>
      <c r="N676" s="22"/>
      <c r="O676" s="15"/>
      <c r="P676" s="15"/>
      <c r="Q676" s="15"/>
      <c r="R676" s="15"/>
      <c r="S676" s="15"/>
      <c r="T676" s="15"/>
      <c r="U676" s="15"/>
    </row>
    <row r="677" spans="1:21" ht="90">
      <c r="A677" s="17">
        <v>20132295009</v>
      </c>
      <c r="B677" s="19" t="str">
        <f>VLOOKUP(A677,'ESTADOS ESTUDIANTES'!B:L,2,0)</f>
        <v>NIETO ACEVEDO YURI VANESSA</v>
      </c>
      <c r="C677" s="19">
        <f>VLOOKUP(A677,'ESTADOS ESTUDIANTES'!B:L,3,0)</f>
        <v>295</v>
      </c>
      <c r="D677" s="66" t="str">
        <f>VLOOKUP(A677,'ESTADOS ESTUDIANTES'!B:L,4,0)</f>
        <v>MAE. EN CIENCIAS DE LA INF. Y LAS COMUNICACIONES ENFASIS EN SIS. INFOR</v>
      </c>
      <c r="E677" s="19" t="str">
        <f>VLOOKUP(A677,'ESTADOS ESTUDIANTES'!B:L,5,0)</f>
        <v>E</v>
      </c>
      <c r="F677" s="18" t="str">
        <f>VLOOKUP(E677,Listas!B1:C1004,2,0)</f>
        <v>EGRESADO</v>
      </c>
      <c r="G677" s="19" t="str">
        <f>VLOOKUP(A677,'ESTADOS ESTUDIANTES'!B:L,7,0)</f>
        <v>NO REGISTRA</v>
      </c>
      <c r="H677" s="19">
        <f>VLOOKUP(A677,'ESTADOS ESTUDIANTES'!B:L,8,0)</f>
        <v>0</v>
      </c>
      <c r="I677" s="70" t="str">
        <f>VLOOKUP(A677,'ESTADOS ESTUDIANTES'!B:L,9,0)</f>
        <v>yurivane89@hotmail.com</v>
      </c>
      <c r="J677" s="19" t="str">
        <f>VLOOKUP(A677,'ESTADOS ESTUDIANTES'!B:L,10,0)</f>
        <v>CC</v>
      </c>
      <c r="K677" s="19">
        <f>VLOOKUP(A677,'ESTADOS ESTUDIANTES'!B:L,11,0)</f>
        <v>1026561910</v>
      </c>
      <c r="L677" s="23"/>
      <c r="M677" s="20"/>
      <c r="N677" s="22"/>
      <c r="O677" s="15"/>
      <c r="P677" s="15"/>
      <c r="Q677" s="15"/>
      <c r="R677" s="15"/>
      <c r="S677" s="15"/>
      <c r="T677" s="15"/>
      <c r="U677" s="15"/>
    </row>
    <row r="678" spans="1:21" ht="90">
      <c r="A678" s="17">
        <v>20132295010</v>
      </c>
      <c r="B678" s="19" t="str">
        <f>VLOOKUP(A678,'ESTADOS ESTUDIANTES'!B:L,2,0)</f>
        <v>ROJAS POLANIA FABIAN ANDRES</v>
      </c>
      <c r="C678" s="19">
        <f>VLOOKUP(A678,'ESTADOS ESTUDIANTES'!B:L,3,0)</f>
        <v>295</v>
      </c>
      <c r="D678" s="66" t="str">
        <f>VLOOKUP(A678,'ESTADOS ESTUDIANTES'!B:L,4,0)</f>
        <v>MAE. EN CIENCIAS DE LA INF. Y LAS COMUNICACIONES ENFASIS EN SIS. INFOR</v>
      </c>
      <c r="E678" s="19" t="str">
        <f>VLOOKUP(A678,'ESTADOS ESTUDIANTES'!B:L,5,0)</f>
        <v>X</v>
      </c>
      <c r="F678" s="18" t="str">
        <f>VLOOKUP(E678,Listas!B1:C1004,2,0)</f>
        <v>EXCLUIDO</v>
      </c>
      <c r="G678" s="19" t="str">
        <f>VLOOKUP(A678,'ESTADOS ESTUDIANTES'!B:L,7,0)</f>
        <v>NO REGISTRA</v>
      </c>
      <c r="H678" s="19">
        <f>VLOOKUP(A678,'ESTADOS ESTUDIANTES'!B:L,8,0)</f>
        <v>0</v>
      </c>
      <c r="I678" s="70" t="str">
        <f>VLOOKUP(A678,'ESTADOS ESTUDIANTES'!B:L,9,0)</f>
        <v>faropo@gmail.com</v>
      </c>
      <c r="J678" s="19" t="str">
        <f>VLOOKUP(A678,'ESTADOS ESTUDIANTES'!B:L,10,0)</f>
        <v>CC</v>
      </c>
      <c r="K678" s="19">
        <f>VLOOKUP(A678,'ESTADOS ESTUDIANTES'!B:L,11,0)</f>
        <v>79912427</v>
      </c>
      <c r="L678" s="23"/>
      <c r="M678" s="20"/>
      <c r="N678" s="22"/>
      <c r="O678" s="15"/>
      <c r="P678" s="15"/>
      <c r="Q678" s="15"/>
      <c r="R678" s="15"/>
      <c r="S678" s="15"/>
      <c r="T678" s="15"/>
      <c r="U678" s="15"/>
    </row>
    <row r="679" spans="1:21" ht="90">
      <c r="A679" s="17">
        <v>20132295011</v>
      </c>
      <c r="B679" s="19" t="str">
        <f>VLOOKUP(A679,'ESTADOS ESTUDIANTES'!B:L,2,0)</f>
        <v>RUBIANO ACOSTA MARY LUZ</v>
      </c>
      <c r="C679" s="19">
        <f>VLOOKUP(A679,'ESTADOS ESTUDIANTES'!B:L,3,0)</f>
        <v>295</v>
      </c>
      <c r="D679" s="66" t="str">
        <f>VLOOKUP(A679,'ESTADOS ESTUDIANTES'!B:L,4,0)</f>
        <v>MAE. EN CIENCIAS DE LA INF. Y LAS COMUNICACIONES ENFASIS EN SIS. INFOR</v>
      </c>
      <c r="E679" s="19" t="str">
        <f>VLOOKUP(A679,'ESTADOS ESTUDIANTES'!B:L,5,0)</f>
        <v>X</v>
      </c>
      <c r="F679" s="18" t="str">
        <f>VLOOKUP(E679,Listas!B1:C1004,2,0)</f>
        <v>EXCLUIDO</v>
      </c>
      <c r="G679" s="19" t="str">
        <f>VLOOKUP(A679,'ESTADOS ESTUDIANTES'!B:L,7,0)</f>
        <v>NO REGISTRA</v>
      </c>
      <c r="H679" s="19">
        <f>VLOOKUP(A679,'ESTADOS ESTUDIANTES'!B:L,8,0)</f>
        <v>0</v>
      </c>
      <c r="I679" s="70" t="str">
        <f>VLOOKUP(A679,'ESTADOS ESTUDIANTES'!B:L,9,0)</f>
        <v>ingmaryr@gmail.com</v>
      </c>
      <c r="J679" s="19" t="str">
        <f>VLOOKUP(A679,'ESTADOS ESTUDIANTES'!B:L,10,0)</f>
        <v>CC</v>
      </c>
      <c r="K679" s="19">
        <f>VLOOKUP(A679,'ESTADOS ESTUDIANTES'!B:L,11,0)</f>
        <v>35196512</v>
      </c>
      <c r="L679" s="19">
        <v>3118499349</v>
      </c>
      <c r="M679" s="20"/>
      <c r="N679" s="22"/>
      <c r="O679" s="15"/>
      <c r="P679" s="15"/>
      <c r="Q679" s="15"/>
      <c r="R679" s="15"/>
      <c r="S679" s="15"/>
      <c r="T679" s="15"/>
      <c r="U679" s="15"/>
    </row>
    <row r="680" spans="1:21" ht="90">
      <c r="A680" s="17">
        <v>20141195001</v>
      </c>
      <c r="B680" s="19" t="str">
        <f>VLOOKUP(A680,'ESTADOS ESTUDIANTES'!B:L,2,0)</f>
        <v>GOMEZ SUAREZ RICARDO ALFONSO</v>
      </c>
      <c r="C680" s="19">
        <f>VLOOKUP(A680,'ESTADOS ESTUDIANTES'!B:L,3,0)</f>
        <v>195</v>
      </c>
      <c r="D680" s="66" t="str">
        <f>VLOOKUP(A680,'ESTADOS ESTUDIANTES'!B:L,4,0)</f>
        <v>MAE. EN CIENCIAS DE LA INF. Y LAS COMUNICACIONES ENFASIS EN TELEINF.</v>
      </c>
      <c r="E680" s="19" t="str">
        <f>VLOOKUP(A680,'ESTADOS ESTUDIANTES'!B:L,5,0)</f>
        <v>E</v>
      </c>
      <c r="F680" s="18" t="str">
        <f>VLOOKUP(E680,Listas!B1:C1004,2,0)</f>
        <v>EGRESADO</v>
      </c>
      <c r="G680" s="19" t="str">
        <f>VLOOKUP(A680,'ESTADOS ESTUDIANTES'!B:L,7,0)</f>
        <v>NO REGISTRA</v>
      </c>
      <c r="H680" s="19" t="str">
        <f>VLOOKUP(A680,'ESTADOS ESTUDIANTES'!B:L,8,0)</f>
        <v>ragomezs@correo.udistrital.edu.co</v>
      </c>
      <c r="I680" s="70" t="str">
        <f>VLOOKUP(A680,'ESTADOS ESTUDIANTES'!B:L,9,0)</f>
        <v>ragomezs@udistrital.edu.co</v>
      </c>
      <c r="J680" s="19" t="str">
        <f>VLOOKUP(A680,'ESTADOS ESTUDIANTES'!B:L,10,0)</f>
        <v>CC</v>
      </c>
      <c r="K680" s="19">
        <f>VLOOKUP(A680,'ESTADOS ESTUDIANTES'!B:L,11,0)</f>
        <v>79430383</v>
      </c>
      <c r="L680" s="23"/>
      <c r="M680" s="20"/>
      <c r="N680" s="22"/>
      <c r="O680" s="15"/>
      <c r="P680" s="15"/>
      <c r="Q680" s="15"/>
      <c r="R680" s="15"/>
      <c r="S680" s="15"/>
      <c r="T680" s="15"/>
      <c r="U680" s="15"/>
    </row>
    <row r="681" spans="1:21" ht="90">
      <c r="A681" s="17">
        <v>20141195002</v>
      </c>
      <c r="B681" s="19" t="str">
        <f>VLOOKUP(A681,'ESTADOS ESTUDIANTES'!B:L,2,0)</f>
        <v>HENAO PILPUD RAUL GEOVANI</v>
      </c>
      <c r="C681" s="19">
        <f>VLOOKUP(A681,'ESTADOS ESTUDIANTES'!B:L,3,0)</f>
        <v>195</v>
      </c>
      <c r="D681" s="66" t="str">
        <f>VLOOKUP(A681,'ESTADOS ESTUDIANTES'!B:L,4,0)</f>
        <v>MAE. EN CIENCIAS DE LA INF. Y LAS COMUNICACIONES ENFASIS EN TELEINF.</v>
      </c>
      <c r="E681" s="19" t="str">
        <f>VLOOKUP(A681,'ESTADOS ESTUDIANTES'!B:L,5,0)</f>
        <v>X</v>
      </c>
      <c r="F681" s="18" t="str">
        <f>VLOOKUP(E681,Listas!B1:C1004,2,0)</f>
        <v>EXCLUIDO</v>
      </c>
      <c r="G681" s="19" t="str">
        <f>VLOOKUP(A681,'ESTADOS ESTUDIANTES'!B:L,7,0)</f>
        <v>NO REGISTRA</v>
      </c>
      <c r="H681" s="19">
        <f>VLOOKUP(A681,'ESTADOS ESTUDIANTES'!B:L,8,0)</f>
        <v>0</v>
      </c>
      <c r="I681" s="70" t="str">
        <f>VLOOKUP(A681,'ESTADOS ESTUDIANTES'!B:L,9,0)</f>
        <v>ge_henao@hotmail.com</v>
      </c>
      <c r="J681" s="19" t="str">
        <f>VLOOKUP(A681,'ESTADOS ESTUDIANTES'!B:L,10,0)</f>
        <v>CC</v>
      </c>
      <c r="K681" s="19">
        <f>VLOOKUP(A681,'ESTADOS ESTUDIANTES'!B:L,11,0)</f>
        <v>79483930</v>
      </c>
      <c r="L681" s="19">
        <v>3132183727</v>
      </c>
      <c r="M681" s="20"/>
      <c r="N681" s="22"/>
      <c r="O681" s="15"/>
      <c r="P681" s="15"/>
      <c r="Q681" s="15"/>
      <c r="R681" s="15"/>
      <c r="S681" s="15"/>
      <c r="T681" s="15"/>
      <c r="U681" s="15"/>
    </row>
    <row r="682" spans="1:21" ht="90">
      <c r="A682" s="17">
        <v>20141195003</v>
      </c>
      <c r="B682" s="19" t="str">
        <f>VLOOKUP(A682,'ESTADOS ESTUDIANTES'!B:L,2,0)</f>
        <v>MORALES VEGA TATIANA</v>
      </c>
      <c r="C682" s="19">
        <f>VLOOKUP(A682,'ESTADOS ESTUDIANTES'!B:L,3,0)</f>
        <v>195</v>
      </c>
      <c r="D682" s="66" t="str">
        <f>VLOOKUP(A682,'ESTADOS ESTUDIANTES'!B:L,4,0)</f>
        <v>MAE. EN CIENCIAS DE LA INF. Y LAS COMUNICACIONES ENFASIS EN TELEINF.</v>
      </c>
      <c r="E682" s="19" t="str">
        <f>VLOOKUP(A682,'ESTADOS ESTUDIANTES'!B:L,5,0)</f>
        <v>N</v>
      </c>
      <c r="F682" s="18" t="str">
        <f>VLOOKUP(E682,Listas!B1:C1004,2,0)</f>
        <v>ERROR DE CODIGO</v>
      </c>
      <c r="G682" s="19" t="str">
        <f>VLOOKUP(A682,'ESTADOS ESTUDIANTES'!B:L,7,0)</f>
        <v>NO REGISTRA</v>
      </c>
      <c r="H682" s="19">
        <f>VLOOKUP(A682,'ESTADOS ESTUDIANTES'!B:L,8,0)</f>
        <v>0</v>
      </c>
      <c r="I682" s="70" t="str">
        <f>VLOOKUP(A682,'ESTADOS ESTUDIANTES'!B:L,9,0)</f>
        <v>tatymove@gmail.com</v>
      </c>
      <c r="J682" s="19" t="str">
        <f>VLOOKUP(A682,'ESTADOS ESTUDIANTES'!B:L,10,0)</f>
        <v>CC</v>
      </c>
      <c r="K682" s="19">
        <f>VLOOKUP(A682,'ESTADOS ESTUDIANTES'!B:L,11,0)</f>
        <v>52779302</v>
      </c>
      <c r="L682" s="23"/>
      <c r="M682" s="20"/>
      <c r="N682" s="22"/>
      <c r="O682" s="15"/>
      <c r="P682" s="15"/>
      <c r="Q682" s="15"/>
      <c r="R682" s="15"/>
      <c r="S682" s="15"/>
      <c r="T682" s="15"/>
      <c r="U682" s="15"/>
    </row>
    <row r="683" spans="1:21" ht="90">
      <c r="A683" s="17">
        <v>20141195004</v>
      </c>
      <c r="B683" s="19" t="str">
        <f>VLOOKUP(A683,'ESTADOS ESTUDIANTES'!B:L,2,0)</f>
        <v>PIÑEROS MORA GIOVANNY JAVIER RICARDO</v>
      </c>
      <c r="C683" s="19">
        <f>VLOOKUP(A683,'ESTADOS ESTUDIANTES'!B:L,3,0)</f>
        <v>195</v>
      </c>
      <c r="D683" s="66" t="str">
        <f>VLOOKUP(A683,'ESTADOS ESTUDIANTES'!B:L,4,0)</f>
        <v>MAE. EN CIENCIAS DE LA INF. Y LAS COMUNICACIONES ENFASIS EN TELEINF.</v>
      </c>
      <c r="E683" s="19" t="str">
        <f>VLOOKUP(A683,'ESTADOS ESTUDIANTES'!B:L,5,0)</f>
        <v>X</v>
      </c>
      <c r="F683" s="18" t="str">
        <f>VLOOKUP(E683,Listas!B1:C1004,2,0)</f>
        <v>EXCLUIDO</v>
      </c>
      <c r="G683" s="19" t="str">
        <f>VLOOKUP(A683,'ESTADOS ESTUDIANTES'!B:L,7,0)</f>
        <v>NO REGISTRA</v>
      </c>
      <c r="H683" s="19">
        <f>VLOOKUP(A683,'ESTADOS ESTUDIANTES'!B:L,8,0)</f>
        <v>0</v>
      </c>
      <c r="I683" s="70" t="str">
        <f>VLOOKUP(A683,'ESTADOS ESTUDIANTES'!B:L,9,0)</f>
        <v>gjpinerosm@gmail.com</v>
      </c>
      <c r="J683" s="19" t="str">
        <f>VLOOKUP(A683,'ESTADOS ESTUDIANTES'!B:L,10,0)</f>
        <v>CC</v>
      </c>
      <c r="K683" s="19">
        <f>VLOOKUP(A683,'ESTADOS ESTUDIANTES'!B:L,11,0)</f>
        <v>80773695</v>
      </c>
      <c r="L683" s="19">
        <v>3015182723</v>
      </c>
      <c r="M683" s="20"/>
      <c r="N683" s="22"/>
      <c r="O683" s="15"/>
      <c r="P683" s="15"/>
      <c r="Q683" s="15"/>
      <c r="R683" s="15"/>
      <c r="S683" s="15"/>
      <c r="T683" s="15"/>
      <c r="U683" s="15"/>
    </row>
    <row r="684" spans="1:21" ht="90">
      <c r="A684" s="17">
        <v>20141195005</v>
      </c>
      <c r="B684" s="19" t="str">
        <f>VLOOKUP(A684,'ESTADOS ESTUDIANTES'!B:L,2,0)</f>
        <v>QUIROZ LUIS ALEJANDRO</v>
      </c>
      <c r="C684" s="19">
        <f>VLOOKUP(A684,'ESTADOS ESTUDIANTES'!B:L,3,0)</f>
        <v>195</v>
      </c>
      <c r="D684" s="66" t="str">
        <f>VLOOKUP(A684,'ESTADOS ESTUDIANTES'!B:L,4,0)</f>
        <v>MAE. EN CIENCIAS DE LA INF. Y LAS COMUNICACIONES ENFASIS EN TELEINF.</v>
      </c>
      <c r="E684" s="19" t="str">
        <f>VLOOKUP(A684,'ESTADOS ESTUDIANTES'!B:L,5,0)</f>
        <v>E</v>
      </c>
      <c r="F684" s="18" t="str">
        <f>VLOOKUP(E684,Listas!B1:C1004,2,0)</f>
        <v>EGRESADO</v>
      </c>
      <c r="G684" s="19" t="str">
        <f>VLOOKUP(A684,'ESTADOS ESTUDIANTES'!B:L,7,0)</f>
        <v>NO REGISTRA</v>
      </c>
      <c r="H684" s="19">
        <f>VLOOKUP(A684,'ESTADOS ESTUDIANTES'!B:L,8,0)</f>
        <v>0</v>
      </c>
      <c r="I684" s="70" t="str">
        <f>VLOOKUP(A684,'ESTADOS ESTUDIANTES'!B:L,9,0)</f>
        <v>luis.alejandro.quiroz@gmail.com</v>
      </c>
      <c r="J684" s="19" t="str">
        <f>VLOOKUP(A684,'ESTADOS ESTUDIANTES'!B:L,10,0)</f>
        <v>CC</v>
      </c>
      <c r="K684" s="19">
        <f>VLOOKUP(A684,'ESTADOS ESTUDIANTES'!B:L,11,0)</f>
        <v>79562545</v>
      </c>
      <c r="L684" s="23"/>
      <c r="M684" s="20"/>
      <c r="N684" s="22"/>
      <c r="O684" s="15"/>
      <c r="P684" s="15"/>
      <c r="Q684" s="15"/>
      <c r="R684" s="15"/>
      <c r="S684" s="15"/>
      <c r="T684" s="15"/>
      <c r="U684" s="15"/>
    </row>
    <row r="685" spans="1:21" ht="90">
      <c r="A685" s="17">
        <v>20141195006</v>
      </c>
      <c r="B685" s="19" t="str">
        <f>VLOOKUP(A685,'ESTADOS ESTUDIANTES'!B:L,2,0)</f>
        <v>RODRIGUEZ RINCON MIGUEL YAMPOL</v>
      </c>
      <c r="C685" s="19">
        <f>VLOOKUP(A685,'ESTADOS ESTUDIANTES'!B:L,3,0)</f>
        <v>195</v>
      </c>
      <c r="D685" s="66" t="str">
        <f>VLOOKUP(A685,'ESTADOS ESTUDIANTES'!B:L,4,0)</f>
        <v>MAE. EN CIENCIAS DE LA INF. Y LAS COMUNICACIONES ENFASIS EN TELEINF.</v>
      </c>
      <c r="E685" s="19" t="str">
        <f>VLOOKUP(A685,'ESTADOS ESTUDIANTES'!B:L,5,0)</f>
        <v>X</v>
      </c>
      <c r="F685" s="18" t="str">
        <f>VLOOKUP(E685,Listas!B1:C1004,2,0)</f>
        <v>EXCLUIDO</v>
      </c>
      <c r="G685" s="19" t="str">
        <f>VLOOKUP(A685,'ESTADOS ESTUDIANTES'!B:L,7,0)</f>
        <v>NO REGISTRA</v>
      </c>
      <c r="H685" s="19">
        <f>VLOOKUP(A685,'ESTADOS ESTUDIANTES'!B:L,8,0)</f>
        <v>0</v>
      </c>
      <c r="I685" s="70" t="str">
        <f>VLOOKUP(A685,'ESTADOS ESTUDIANTES'!B:L,9,0)</f>
        <v>myr.rod@gmail.com</v>
      </c>
      <c r="J685" s="19" t="str">
        <f>VLOOKUP(A685,'ESTADOS ESTUDIANTES'!B:L,10,0)</f>
        <v>CC</v>
      </c>
      <c r="K685" s="19">
        <f>VLOOKUP(A685,'ESTADOS ESTUDIANTES'!B:L,11,0)</f>
        <v>80097092</v>
      </c>
      <c r="L685" s="23"/>
      <c r="M685" s="20"/>
      <c r="N685" s="22"/>
      <c r="O685" s="15"/>
      <c r="P685" s="15"/>
      <c r="Q685" s="15"/>
      <c r="R685" s="15"/>
      <c r="S685" s="15"/>
      <c r="T685" s="15"/>
      <c r="U685" s="15"/>
    </row>
    <row r="686" spans="1:21" ht="90">
      <c r="A686" s="17">
        <v>20141295001</v>
      </c>
      <c r="B686" s="19" t="str">
        <f>VLOOKUP(A686,'ESTADOS ESTUDIANTES'!B:L,2,0)</f>
        <v>BALLESTEROS MUÑOZ EDUARDO ISAAC</v>
      </c>
      <c r="C686" s="19">
        <f>VLOOKUP(A686,'ESTADOS ESTUDIANTES'!B:L,3,0)</f>
        <v>495</v>
      </c>
      <c r="D686" s="66" t="str">
        <f>VLOOKUP(A686,'ESTADOS ESTUDIANTES'!B:L,4,0)</f>
        <v>MAE. EN CIENCIAS DE LA INF. Y LAS COMUNICACIONES ENFASIS EN ING. SOFT</v>
      </c>
      <c r="E686" s="19" t="str">
        <f>VLOOKUP(A686,'ESTADOS ESTUDIANTES'!B:L,5,0)</f>
        <v>X</v>
      </c>
      <c r="F686" s="18" t="str">
        <f>VLOOKUP(E686,Listas!B1:C1004,2,0)</f>
        <v>EXCLUIDO</v>
      </c>
      <c r="G686" s="19">
        <f>VLOOKUP(A686,'ESTADOS ESTUDIANTES'!B:L,7,0)</f>
        <v>3</v>
      </c>
      <c r="H686" s="19">
        <f>VLOOKUP(A686,'ESTADOS ESTUDIANTES'!B:L,8,0)</f>
        <v>0</v>
      </c>
      <c r="I686" s="70" t="str">
        <f>VLOOKUP(A686,'ESTADOS ESTUDIANTES'!B:L,9,0)</f>
        <v>eduballesteros@yahoo.com</v>
      </c>
      <c r="J686" s="19" t="str">
        <f>VLOOKUP(A686,'ESTADOS ESTUDIANTES'!B:L,10,0)</f>
        <v>CC</v>
      </c>
      <c r="K686" s="19">
        <f>VLOOKUP(A686,'ESTADOS ESTUDIANTES'!B:L,11,0)</f>
        <v>1026250325</v>
      </c>
      <c r="L686" s="19">
        <v>3057523730</v>
      </c>
      <c r="M686" s="20"/>
      <c r="N686" s="22"/>
      <c r="O686" s="15"/>
      <c r="P686" s="15"/>
      <c r="Q686" s="15"/>
      <c r="R686" s="15"/>
      <c r="S686" s="15"/>
      <c r="T686" s="15"/>
      <c r="U686" s="15"/>
    </row>
    <row r="687" spans="1:21" ht="90">
      <c r="A687" s="17">
        <v>20141295002</v>
      </c>
      <c r="B687" s="19" t="str">
        <f>VLOOKUP(A687,'ESTADOS ESTUDIANTES'!B:L,2,0)</f>
        <v>BECERRA GONZALEZ LAURA CRISTINA</v>
      </c>
      <c r="C687" s="19">
        <f>VLOOKUP(A687,'ESTADOS ESTUDIANTES'!B:L,3,0)</f>
        <v>295</v>
      </c>
      <c r="D687" s="66" t="str">
        <f>VLOOKUP(A687,'ESTADOS ESTUDIANTES'!B:L,4,0)</f>
        <v>MAE. EN CIENCIAS DE LA INF. Y LAS COMUNICACIONES ENFASIS EN SIS. INFOR</v>
      </c>
      <c r="E687" s="19" t="str">
        <f>VLOOKUP(A687,'ESTADOS ESTUDIANTES'!B:L,5,0)</f>
        <v>E</v>
      </c>
      <c r="F687" s="18" t="str">
        <f>VLOOKUP(E687,Listas!B1:C1004,2,0)</f>
        <v>EGRESADO</v>
      </c>
      <c r="G687" s="19" t="str">
        <f>VLOOKUP(A687,'ESTADOS ESTUDIANTES'!B:L,7,0)</f>
        <v>NO REGISTRA</v>
      </c>
      <c r="H687" s="19">
        <f>VLOOKUP(A687,'ESTADOS ESTUDIANTES'!B:L,8,0)</f>
        <v>0</v>
      </c>
      <c r="I687" s="70" t="str">
        <f>VLOOKUP(A687,'ESTADOS ESTUDIANTES'!B:L,9,0)</f>
        <v>lauracriss@misena.edu.co</v>
      </c>
      <c r="J687" s="19" t="str">
        <f>VLOOKUP(A687,'ESTADOS ESTUDIANTES'!B:L,10,0)</f>
        <v>CC</v>
      </c>
      <c r="K687" s="19">
        <f>VLOOKUP(A687,'ESTADOS ESTUDIANTES'!B:L,11,0)</f>
        <v>63560187</v>
      </c>
      <c r="L687" s="19">
        <v>3212682462</v>
      </c>
      <c r="M687" s="20"/>
      <c r="N687" s="22"/>
      <c r="O687" s="15"/>
      <c r="P687" s="15"/>
      <c r="Q687" s="15"/>
      <c r="R687" s="15"/>
      <c r="S687" s="15"/>
      <c r="T687" s="15"/>
      <c r="U687" s="15"/>
    </row>
    <row r="688" spans="1:21" ht="90">
      <c r="A688" s="17">
        <v>20141295003</v>
      </c>
      <c r="B688" s="19" t="str">
        <f>VLOOKUP(A688,'ESTADOS ESTUDIANTES'!B:L,2,0)</f>
        <v>DIAZ ESCUDERO HUMBERTO ANDRES</v>
      </c>
      <c r="C688" s="19">
        <f>VLOOKUP(A688,'ESTADOS ESTUDIANTES'!B:L,3,0)</f>
        <v>295</v>
      </c>
      <c r="D688" s="66" t="str">
        <f>VLOOKUP(A688,'ESTADOS ESTUDIANTES'!B:L,4,0)</f>
        <v>MAE. EN CIENCIAS DE LA INF. Y LAS COMUNICACIONES ENFASIS EN SIS. INFOR</v>
      </c>
      <c r="E688" s="19" t="str">
        <f>VLOOKUP(A688,'ESTADOS ESTUDIANTES'!B:L,5,0)</f>
        <v>X</v>
      </c>
      <c r="F688" s="18" t="str">
        <f>VLOOKUP(E688,Listas!B1:C1004,2,0)</f>
        <v>EXCLUIDO</v>
      </c>
      <c r="G688" s="19">
        <f>VLOOKUP(A688,'ESTADOS ESTUDIANTES'!B:L,7,0)</f>
        <v>3</v>
      </c>
      <c r="H688" s="19" t="str">
        <f>VLOOKUP(A688,'ESTADOS ESTUDIANTES'!B:L,8,0)</f>
        <v>huadiaze@correo.udistrital.edu.co</v>
      </c>
      <c r="I688" s="70" t="str">
        <f>VLOOKUP(A688,'ESTADOS ESTUDIANTES'!B:L,9,0)</f>
        <v>humbertodiaz2@gmail.com</v>
      </c>
      <c r="J688" s="19" t="str">
        <f>VLOOKUP(A688,'ESTADOS ESTUDIANTES'!B:L,10,0)</f>
        <v>TI</v>
      </c>
      <c r="K688" s="19">
        <f>VLOOKUP(A688,'ESTADOS ESTUDIANTES'!B:L,11,0)</f>
        <v>10323622759</v>
      </c>
      <c r="L688" s="19">
        <v>3163070893</v>
      </c>
      <c r="M688" s="20"/>
      <c r="N688" s="22"/>
      <c r="O688" s="15"/>
      <c r="P688" s="15"/>
      <c r="Q688" s="15"/>
      <c r="R688" s="15"/>
      <c r="S688" s="15"/>
      <c r="T688" s="15"/>
      <c r="U688" s="15"/>
    </row>
    <row r="689" spans="1:21" ht="90">
      <c r="A689" s="17">
        <v>20141295004</v>
      </c>
      <c r="B689" s="19" t="str">
        <f>VLOOKUP(A689,'ESTADOS ESTUDIANTES'!B:L,2,0)</f>
        <v>MESA TRUJILLO JENNY ANGELICA</v>
      </c>
      <c r="C689" s="19">
        <f>VLOOKUP(A689,'ESTADOS ESTUDIANTES'!B:L,3,0)</f>
        <v>295</v>
      </c>
      <c r="D689" s="66" t="str">
        <f>VLOOKUP(A689,'ESTADOS ESTUDIANTES'!B:L,4,0)</f>
        <v>MAE. EN CIENCIAS DE LA INF. Y LAS COMUNICACIONES ENFASIS EN SIS. INFOR</v>
      </c>
      <c r="E689" s="19" t="str">
        <f>VLOOKUP(A689,'ESTADOS ESTUDIANTES'!B:L,5,0)</f>
        <v>E</v>
      </c>
      <c r="F689" s="18" t="str">
        <f>VLOOKUP(E689,Listas!B1:C1004,2,0)</f>
        <v>EGRESADO</v>
      </c>
      <c r="G689" s="19" t="str">
        <f>VLOOKUP(A689,'ESTADOS ESTUDIANTES'!B:L,7,0)</f>
        <v>NO REGISTRA</v>
      </c>
      <c r="H689" s="19">
        <f>VLOOKUP(A689,'ESTADOS ESTUDIANTES'!B:L,8,0)</f>
        <v>0</v>
      </c>
      <c r="I689" s="70" t="str">
        <f>VLOOKUP(A689,'ESTADOS ESTUDIANTES'!B:L,9,0)</f>
        <v>jenny.mesat@gmail.com</v>
      </c>
      <c r="J689" s="19" t="str">
        <f>VLOOKUP(A689,'ESTADOS ESTUDIANTES'!B:L,10,0)</f>
        <v>CC</v>
      </c>
      <c r="K689" s="19">
        <f>VLOOKUP(A689,'ESTADOS ESTUDIANTES'!B:L,11,0)</f>
        <v>1030539258</v>
      </c>
      <c r="L689" s="23"/>
      <c r="M689" s="20"/>
      <c r="N689" s="22"/>
      <c r="O689" s="15"/>
      <c r="P689" s="15"/>
      <c r="Q689" s="15"/>
      <c r="R689" s="15"/>
      <c r="S689" s="15"/>
      <c r="T689" s="15"/>
      <c r="U689" s="15"/>
    </row>
    <row r="690" spans="1:21" ht="90">
      <c r="A690" s="17">
        <v>20141295005</v>
      </c>
      <c r="B690" s="19" t="str">
        <f>VLOOKUP(A690,'ESTADOS ESTUDIANTES'!B:L,2,0)</f>
        <v>MOYA JUTINICO CARLOS JULIO</v>
      </c>
      <c r="C690" s="19">
        <f>VLOOKUP(A690,'ESTADOS ESTUDIANTES'!B:L,3,0)</f>
        <v>295</v>
      </c>
      <c r="D690" s="66" t="str">
        <f>VLOOKUP(A690,'ESTADOS ESTUDIANTES'!B:L,4,0)</f>
        <v>MAE. EN CIENCIAS DE LA INF. Y LAS COMUNICACIONES ENFASIS EN SIS. INFOR</v>
      </c>
      <c r="E690" s="19" t="str">
        <f>VLOOKUP(A690,'ESTADOS ESTUDIANTES'!B:L,5,0)</f>
        <v>E</v>
      </c>
      <c r="F690" s="18" t="str">
        <f>VLOOKUP(E690,Listas!B1:C1004,2,0)</f>
        <v>EGRESADO</v>
      </c>
      <c r="G690" s="19" t="str">
        <f>VLOOKUP(A690,'ESTADOS ESTUDIANTES'!B:L,7,0)</f>
        <v>NO REGISTRA</v>
      </c>
      <c r="H690" s="19">
        <f>VLOOKUP(A690,'ESTADOS ESTUDIANTES'!B:L,8,0)</f>
        <v>0</v>
      </c>
      <c r="I690" s="70" t="str">
        <f>VLOOKUP(A690,'ESTADOS ESTUDIANTES'!B:L,9,0)</f>
        <v>ingcarlosmoya@hotmail.com</v>
      </c>
      <c r="J690" s="19" t="str">
        <f>VLOOKUP(A690,'ESTADOS ESTUDIANTES'!B:L,10,0)</f>
        <v>CC</v>
      </c>
      <c r="K690" s="19">
        <f>VLOOKUP(A690,'ESTADOS ESTUDIANTES'!B:L,11,0)</f>
        <v>80881311</v>
      </c>
      <c r="L690" s="19">
        <v>3002445226</v>
      </c>
      <c r="M690" s="20"/>
      <c r="N690" s="22"/>
      <c r="O690" s="15"/>
      <c r="P690" s="15"/>
      <c r="Q690" s="15"/>
      <c r="R690" s="15"/>
      <c r="S690" s="15"/>
      <c r="T690" s="15"/>
      <c r="U690" s="15"/>
    </row>
    <row r="691" spans="1:21" ht="90">
      <c r="A691" s="17">
        <v>20141295006</v>
      </c>
      <c r="B691" s="19" t="str">
        <f>VLOOKUP(A691,'ESTADOS ESTUDIANTES'!B:L,2,0)</f>
        <v>PEREZ AREVALO JAVIER ALEXANDER</v>
      </c>
      <c r="C691" s="19">
        <f>VLOOKUP(A691,'ESTADOS ESTUDIANTES'!B:L,3,0)</f>
        <v>295</v>
      </c>
      <c r="D691" s="66" t="str">
        <f>VLOOKUP(A691,'ESTADOS ESTUDIANTES'!B:L,4,0)</f>
        <v>MAE. EN CIENCIAS DE LA INF. Y LAS COMUNICACIONES ENFASIS EN SIS. INFOR</v>
      </c>
      <c r="E691" s="19" t="str">
        <f>VLOOKUP(A691,'ESTADOS ESTUDIANTES'!B:L,5,0)</f>
        <v>X</v>
      </c>
      <c r="F691" s="18" t="str">
        <f>VLOOKUP(E691,Listas!B1:C1004,2,0)</f>
        <v>EXCLUIDO</v>
      </c>
      <c r="G691" s="19">
        <f>VLOOKUP(A691,'ESTADOS ESTUDIANTES'!B:L,7,0)</f>
        <v>3</v>
      </c>
      <c r="H691" s="19">
        <f>VLOOKUP(A691,'ESTADOS ESTUDIANTES'!B:L,8,0)</f>
        <v>0</v>
      </c>
      <c r="I691" s="70" t="str">
        <f>VLOOKUP(A691,'ESTADOS ESTUDIANTES'!B:L,9,0)</f>
        <v>ing.javier.perez@gmail.com</v>
      </c>
      <c r="J691" s="19" t="str">
        <f>VLOOKUP(A691,'ESTADOS ESTUDIANTES'!B:L,10,0)</f>
        <v>CC</v>
      </c>
      <c r="K691" s="19">
        <f>VLOOKUP(A691,'ESTADOS ESTUDIANTES'!B:L,11,0)</f>
        <v>80248781</v>
      </c>
      <c r="L691" s="23"/>
      <c r="M691" s="20"/>
      <c r="N691" s="22"/>
      <c r="O691" s="15"/>
      <c r="P691" s="15"/>
      <c r="Q691" s="15"/>
      <c r="R691" s="15"/>
      <c r="S691" s="15"/>
      <c r="T691" s="15"/>
      <c r="U691" s="15"/>
    </row>
    <row r="692" spans="1:21" ht="90">
      <c r="A692" s="17">
        <v>20141295007</v>
      </c>
      <c r="B692" s="19" t="str">
        <f>VLOOKUP(A692,'ESTADOS ESTUDIANTES'!B:L,2,0)</f>
        <v>VARGAS BARRIOS PEDRO JULIO</v>
      </c>
      <c r="C692" s="19">
        <f>VLOOKUP(A692,'ESTADOS ESTUDIANTES'!B:L,3,0)</f>
        <v>295</v>
      </c>
      <c r="D692" s="66" t="str">
        <f>VLOOKUP(A692,'ESTADOS ESTUDIANTES'!B:L,4,0)</f>
        <v>MAE. EN CIENCIAS DE LA INF. Y LAS COMUNICACIONES ENFASIS EN SIS. INFOR</v>
      </c>
      <c r="E692" s="19" t="str">
        <f>VLOOKUP(A692,'ESTADOS ESTUDIANTES'!B:L,5,0)</f>
        <v>E</v>
      </c>
      <c r="F692" s="18" t="str">
        <f>VLOOKUP(E692,Listas!B1:C1004,2,0)</f>
        <v>EGRESADO</v>
      </c>
      <c r="G692" s="19" t="str">
        <f>VLOOKUP(A692,'ESTADOS ESTUDIANTES'!B:L,7,0)</f>
        <v>NO REGISTRA</v>
      </c>
      <c r="H692" s="19">
        <f>VLOOKUP(A692,'ESTADOS ESTUDIANTES'!B:L,8,0)</f>
        <v>0</v>
      </c>
      <c r="I692" s="70" t="str">
        <f>VLOOKUP(A692,'ESTADOS ESTUDIANTES'!B:L,9,0)</f>
        <v>pedrojvar@gmail.com</v>
      </c>
      <c r="J692" s="19" t="str">
        <f>VLOOKUP(A692,'ESTADOS ESTUDIANTES'!B:L,10,0)</f>
        <v>CC</v>
      </c>
      <c r="K692" s="19">
        <f>VLOOKUP(A692,'ESTADOS ESTUDIANTES'!B:L,11,0)</f>
        <v>80192128</v>
      </c>
      <c r="L692" s="19">
        <v>3002445226</v>
      </c>
      <c r="M692" s="20"/>
      <c r="N692" s="22"/>
      <c r="O692" s="15"/>
      <c r="P692" s="15"/>
      <c r="Q692" s="15"/>
      <c r="R692" s="15"/>
      <c r="S692" s="15"/>
      <c r="T692" s="15"/>
      <c r="U692" s="15"/>
    </row>
    <row r="693" spans="1:21" ht="90">
      <c r="A693" s="17">
        <v>20141295008</v>
      </c>
      <c r="B693" s="19" t="str">
        <f>VLOOKUP(A693,'ESTADOS ESTUDIANTES'!B:L,2,0)</f>
        <v>MARQUEZ RAMOS HANS RAUL</v>
      </c>
      <c r="C693" s="19">
        <f>VLOOKUP(A693,'ESTADOS ESTUDIANTES'!B:L,3,0)</f>
        <v>295</v>
      </c>
      <c r="D693" s="66" t="str">
        <f>VLOOKUP(A693,'ESTADOS ESTUDIANTES'!B:L,4,0)</f>
        <v>MAE. EN CIENCIAS DE LA INF. Y LAS COMUNICACIONES ENFASIS EN SIS. INFOR</v>
      </c>
      <c r="E693" s="19" t="str">
        <f>VLOOKUP(A693,'ESTADOS ESTUDIANTES'!B:L,5,0)</f>
        <v>E</v>
      </c>
      <c r="F693" s="18" t="str">
        <f>VLOOKUP(E693,Listas!B1:C1004,2,0)</f>
        <v>EGRESADO</v>
      </c>
      <c r="G693" s="19" t="str">
        <f>VLOOKUP(A693,'ESTADOS ESTUDIANTES'!B:L,7,0)</f>
        <v>NO REGISTRA</v>
      </c>
      <c r="H693" s="19">
        <f>VLOOKUP(A693,'ESTADOS ESTUDIANTES'!B:L,8,0)</f>
        <v>0</v>
      </c>
      <c r="I693" s="70" t="str">
        <f>VLOOKUP(A693,'ESTADOS ESTUDIANTES'!B:L,9,0)</f>
        <v>hans.marquez.ramos@gmail.com</v>
      </c>
      <c r="J693" s="19" t="str">
        <f>VLOOKUP(A693,'ESTADOS ESTUDIANTES'!B:L,10,0)</f>
        <v>CC</v>
      </c>
      <c r="K693" s="19">
        <f>VLOOKUP(A693,'ESTADOS ESTUDIANTES'!B:L,11,0)</f>
        <v>1022349988</v>
      </c>
      <c r="L693" s="19">
        <v>3123177983</v>
      </c>
      <c r="M693" s="20"/>
      <c r="N693" s="22"/>
      <c r="O693" s="15"/>
      <c r="P693" s="15"/>
      <c r="Q693" s="15"/>
      <c r="R693" s="15"/>
      <c r="S693" s="15"/>
      <c r="T693" s="15"/>
      <c r="U693" s="15"/>
    </row>
    <row r="694" spans="1:21" ht="105">
      <c r="A694" s="17">
        <v>20141395001</v>
      </c>
      <c r="B694" s="19" t="str">
        <f>VLOOKUP(A694,'ESTADOS ESTUDIANTES'!B:L,2,0)</f>
        <v>BLANCO GONZALEZ LUIS STEVENS</v>
      </c>
      <c r="C694" s="19">
        <f>VLOOKUP(A694,'ESTADOS ESTUDIANTES'!B:L,3,0)</f>
        <v>395</v>
      </c>
      <c r="D694" s="66" t="str">
        <f>VLOOKUP(A694,'ESTADOS ESTUDIANTES'!B:L,4,0)</f>
        <v>MAE. EN CIENCIAS DE LA INF. Y LAS COMUNICACIONES ENFASIS EN GEOMATICA</v>
      </c>
      <c r="E694" s="19" t="str">
        <f>VLOOKUP(A694,'ESTADOS ESTUDIANTES'!B:L,5,0)</f>
        <v>N</v>
      </c>
      <c r="F694" s="18" t="str">
        <f>VLOOKUP(E694,Listas!B1:C1004,2,0)</f>
        <v>ERROR DE CODIGO</v>
      </c>
      <c r="G694" s="19" t="str">
        <f>VLOOKUP(A694,'ESTADOS ESTUDIANTES'!B:L,7,0)</f>
        <v>NO REGISTRA</v>
      </c>
      <c r="H694" s="19">
        <f>VLOOKUP(A694,'ESTADOS ESTUDIANTES'!B:L,8,0)</f>
        <v>0</v>
      </c>
      <c r="I694" s="70" t="str">
        <f>VLOOKUP(A694,'ESTADOS ESTUDIANTES'!B:L,9,0)</f>
        <v>ing.luisblancogonzalez@gmail.com</v>
      </c>
      <c r="J694" s="19" t="str">
        <f>VLOOKUP(A694,'ESTADOS ESTUDIANTES'!B:L,10,0)</f>
        <v>CC</v>
      </c>
      <c r="K694" s="19">
        <f>VLOOKUP(A694,'ESTADOS ESTUDIANTES'!B:L,11,0)</f>
        <v>1013611578</v>
      </c>
      <c r="L694" s="19">
        <v>3143552799</v>
      </c>
      <c r="M694" s="20"/>
      <c r="N694" s="22"/>
      <c r="O694" s="15"/>
      <c r="P694" s="15"/>
      <c r="Q694" s="15"/>
      <c r="R694" s="15"/>
      <c r="S694" s="15"/>
      <c r="T694" s="15"/>
      <c r="U694" s="15"/>
    </row>
    <row r="695" spans="1:21" ht="105">
      <c r="A695" s="17">
        <v>20141395002</v>
      </c>
      <c r="B695" s="19" t="str">
        <f>VLOOKUP(A695,'ESTADOS ESTUDIANTES'!B:L,2,0)</f>
        <v>GONZALEZ RODRIGUEZ ADRIAN ALEJANDRO</v>
      </c>
      <c r="C695" s="19">
        <f>VLOOKUP(A695,'ESTADOS ESTUDIANTES'!B:L,3,0)</f>
        <v>395</v>
      </c>
      <c r="D695" s="66" t="str">
        <f>VLOOKUP(A695,'ESTADOS ESTUDIANTES'!B:L,4,0)</f>
        <v>MAE. EN CIENCIAS DE LA INF. Y LAS COMUNICACIONES ENFASIS EN GEOMATICA</v>
      </c>
      <c r="E695" s="19" t="str">
        <f>VLOOKUP(A695,'ESTADOS ESTUDIANTES'!B:L,5,0)</f>
        <v>X</v>
      </c>
      <c r="F695" s="18" t="str">
        <f>VLOOKUP(E695,Listas!B1:C1004,2,0)</f>
        <v>EXCLUIDO</v>
      </c>
      <c r="G695" s="19">
        <f>VLOOKUP(A695,'ESTADOS ESTUDIANTES'!B:L,7,0)</f>
        <v>4</v>
      </c>
      <c r="H695" s="19" t="str">
        <f>VLOOKUP(A695,'ESTADOS ESTUDIANTES'!B:L,8,0)</f>
        <v>adagonzalezr@correo.udistrital.edu.co</v>
      </c>
      <c r="I695" s="70" t="str">
        <f>VLOOKUP(A695,'ESTADOS ESTUDIANTES'!B:L,9,0)</f>
        <v>gerencia@geomap.com.co</v>
      </c>
      <c r="J695" s="19" t="str">
        <f>VLOOKUP(A695,'ESTADOS ESTUDIANTES'!B:L,10,0)</f>
        <v>CC</v>
      </c>
      <c r="K695" s="19">
        <f>VLOOKUP(A695,'ESTADOS ESTUDIANTES'!B:L,11,0)</f>
        <v>1013607129</v>
      </c>
      <c r="L695" s="19">
        <v>3017130540</v>
      </c>
      <c r="M695" s="20"/>
      <c r="N695" s="22"/>
      <c r="O695" s="15"/>
      <c r="P695" s="15"/>
      <c r="Q695" s="15"/>
      <c r="R695" s="15"/>
      <c r="S695" s="15"/>
      <c r="T695" s="15"/>
      <c r="U695" s="15"/>
    </row>
    <row r="696" spans="1:21" ht="105">
      <c r="A696" s="17">
        <v>20141395003</v>
      </c>
      <c r="B696" s="19" t="str">
        <f>VLOOKUP(A696,'ESTADOS ESTUDIANTES'!B:L,2,0)</f>
        <v>MATIZ LEON JHON CAMILO</v>
      </c>
      <c r="C696" s="19">
        <f>VLOOKUP(A696,'ESTADOS ESTUDIANTES'!B:L,3,0)</f>
        <v>395</v>
      </c>
      <c r="D696" s="66" t="str">
        <f>VLOOKUP(A696,'ESTADOS ESTUDIANTES'!B:L,4,0)</f>
        <v>MAE. EN CIENCIAS DE LA INF. Y LAS COMUNICACIONES ENFASIS EN GEOMATICA</v>
      </c>
      <c r="E696" s="19" t="str">
        <f>VLOOKUP(A696,'ESTADOS ESTUDIANTES'!B:L,5,0)</f>
        <v>E</v>
      </c>
      <c r="F696" s="18" t="str">
        <f>VLOOKUP(E696,Listas!B1:C1004,2,0)</f>
        <v>EGRESADO</v>
      </c>
      <c r="G696" s="19">
        <f>VLOOKUP(A696,'ESTADOS ESTUDIANTES'!B:L,7,0)</f>
        <v>3</v>
      </c>
      <c r="H696" s="19">
        <f>VLOOKUP(A696,'ESTADOS ESTUDIANTES'!B:L,8,0)</f>
        <v>0</v>
      </c>
      <c r="I696" s="70" t="str">
        <f>VLOOKUP(A696,'ESTADOS ESTUDIANTES'!B:L,9,0)</f>
        <v>ing.camilo.matiz@gmail.com</v>
      </c>
      <c r="J696" s="19" t="str">
        <f>VLOOKUP(A696,'ESTADOS ESTUDIANTES'!B:L,10,0)</f>
        <v>CC</v>
      </c>
      <c r="K696" s="19">
        <f>VLOOKUP(A696,'ESTADOS ESTUDIANTES'!B:L,11,0)</f>
        <v>80075955</v>
      </c>
      <c r="L696" s="19">
        <v>3002902743</v>
      </c>
      <c r="M696" s="20"/>
      <c r="N696" s="22"/>
      <c r="O696" s="15"/>
      <c r="P696" s="15"/>
      <c r="Q696" s="15"/>
      <c r="R696" s="15"/>
      <c r="S696" s="15"/>
      <c r="T696" s="15"/>
      <c r="U696" s="15"/>
    </row>
    <row r="697" spans="1:21" ht="105">
      <c r="A697" s="17">
        <v>20141395004</v>
      </c>
      <c r="B697" s="19" t="str">
        <f>VLOOKUP(A697,'ESTADOS ESTUDIANTES'!B:L,2,0)</f>
        <v>MORENO CASTILLO DIEGO ALEXANDER</v>
      </c>
      <c r="C697" s="19">
        <f>VLOOKUP(A697,'ESTADOS ESTUDIANTES'!B:L,3,0)</f>
        <v>395</v>
      </c>
      <c r="D697" s="66" t="str">
        <f>VLOOKUP(A697,'ESTADOS ESTUDIANTES'!B:L,4,0)</f>
        <v>MAE. EN CIENCIAS DE LA INF. Y LAS COMUNICACIONES ENFASIS EN GEOMATICA</v>
      </c>
      <c r="E697" s="19" t="str">
        <f>VLOOKUP(A697,'ESTADOS ESTUDIANTES'!B:L,5,0)</f>
        <v>X</v>
      </c>
      <c r="F697" s="18" t="str">
        <f>VLOOKUP(E697,Listas!B1:C1004,2,0)</f>
        <v>EXCLUIDO</v>
      </c>
      <c r="G697" s="19" t="str">
        <f>VLOOKUP(A697,'ESTADOS ESTUDIANTES'!B:L,7,0)</f>
        <v>NO REGISTRA</v>
      </c>
      <c r="H697" s="19">
        <f>VLOOKUP(A697,'ESTADOS ESTUDIANTES'!B:L,8,0)</f>
        <v>0</v>
      </c>
      <c r="I697" s="70" t="str">
        <f>VLOOKUP(A697,'ESTADOS ESTUDIANTES'!B:L,9,0)</f>
        <v>ingdiegoalex@hotmail.com</v>
      </c>
      <c r="J697" s="19" t="str">
        <f>VLOOKUP(A697,'ESTADOS ESTUDIANTES'!B:L,10,0)</f>
        <v>CC</v>
      </c>
      <c r="K697" s="19">
        <f>VLOOKUP(A697,'ESTADOS ESTUDIANTES'!B:L,11,0)</f>
        <v>80830221</v>
      </c>
      <c r="L697" s="23"/>
      <c r="M697" s="20"/>
      <c r="N697" s="22"/>
      <c r="O697" s="15"/>
      <c r="P697" s="15"/>
      <c r="Q697" s="15"/>
      <c r="R697" s="15"/>
      <c r="S697" s="15"/>
      <c r="T697" s="15"/>
      <c r="U697" s="15"/>
    </row>
    <row r="698" spans="1:21" ht="90">
      <c r="A698" s="17">
        <v>20142195001</v>
      </c>
      <c r="B698" s="19" t="str">
        <f>VLOOKUP(A698,'ESTADOS ESTUDIANTES'!B:L,2,0)</f>
        <v>JUAN CARLOS DELGADILLO BELTRAN</v>
      </c>
      <c r="C698" s="19">
        <f>VLOOKUP(A698,'ESTADOS ESTUDIANTES'!B:L,3,0)</f>
        <v>195</v>
      </c>
      <c r="D698" s="66" t="str">
        <f>VLOOKUP(A698,'ESTADOS ESTUDIANTES'!B:L,4,0)</f>
        <v>MAE. EN CIENCIAS DE LA INF. Y LAS COMUNICACIONES ENFASIS EN TELEINF.</v>
      </c>
      <c r="E698" s="19" t="str">
        <f>VLOOKUP(A698,'ESTADOS ESTUDIANTES'!B:L,5,0)</f>
        <v>E</v>
      </c>
      <c r="F698" s="18" t="str">
        <f>VLOOKUP(E698,Listas!B1:C1004,2,0)</f>
        <v>EGRESADO</v>
      </c>
      <c r="G698" s="19">
        <f>VLOOKUP(A698,'ESTADOS ESTUDIANTES'!B:L,7,0)</f>
        <v>2</v>
      </c>
      <c r="H698" s="19">
        <f>VLOOKUP(A698,'ESTADOS ESTUDIANTES'!B:L,8,0)</f>
        <v>0</v>
      </c>
      <c r="I698" s="70" t="str">
        <f>VLOOKUP(A698,'ESTADOS ESTUDIANTES'!B:L,9,0)</f>
        <v>ingjuandel@gmail.com</v>
      </c>
      <c r="J698" s="19" t="str">
        <f>VLOOKUP(A698,'ESTADOS ESTUDIANTES'!B:L,10,0)</f>
        <v>CC</v>
      </c>
      <c r="K698" s="19">
        <f>VLOOKUP(A698,'ESTADOS ESTUDIANTES'!B:L,11,0)</f>
        <v>79576961</v>
      </c>
      <c r="L698" s="23"/>
      <c r="M698" s="20"/>
      <c r="N698" s="22"/>
      <c r="O698" s="15"/>
      <c r="P698" s="15"/>
      <c r="Q698" s="15"/>
      <c r="R698" s="15"/>
      <c r="S698" s="15"/>
      <c r="T698" s="15"/>
      <c r="U698" s="15"/>
    </row>
    <row r="699" spans="1:21" ht="90">
      <c r="A699" s="17">
        <v>20142195002</v>
      </c>
      <c r="B699" s="19" t="str">
        <f>VLOOKUP(A699,'ESTADOS ESTUDIANTES'!B:L,2,0)</f>
        <v>WILMER ALBERTO FIGUEREDO RODRIGUEZ</v>
      </c>
      <c r="C699" s="19">
        <f>VLOOKUP(A699,'ESTADOS ESTUDIANTES'!B:L,3,0)</f>
        <v>195</v>
      </c>
      <c r="D699" s="66" t="str">
        <f>VLOOKUP(A699,'ESTADOS ESTUDIANTES'!B:L,4,0)</f>
        <v>MAE. EN CIENCIAS DE LA INF. Y LAS COMUNICACIONES ENFASIS EN TELEINF.</v>
      </c>
      <c r="E699" s="19" t="str">
        <f>VLOOKUP(A699,'ESTADOS ESTUDIANTES'!B:L,5,0)</f>
        <v>E</v>
      </c>
      <c r="F699" s="18" t="str">
        <f>VLOOKUP(E699,Listas!B1:C1004,2,0)</f>
        <v>EGRESADO</v>
      </c>
      <c r="G699" s="19">
        <f>VLOOKUP(A699,'ESTADOS ESTUDIANTES'!B:L,7,0)</f>
        <v>2</v>
      </c>
      <c r="H699" s="19" t="str">
        <f>VLOOKUP(A699,'ESTADOS ESTUDIANTES'!B:L,8,0)</f>
        <v>wilmerfr@gmail.com</v>
      </c>
      <c r="I699" s="70" t="str">
        <f>VLOOKUP(A699,'ESTADOS ESTUDIANTES'!B:L,9,0)</f>
        <v>wilmerfr@gmail.com</v>
      </c>
      <c r="J699" s="19" t="str">
        <f>VLOOKUP(A699,'ESTADOS ESTUDIANTES'!B:L,10,0)</f>
        <v>CC</v>
      </c>
      <c r="K699" s="19">
        <f>VLOOKUP(A699,'ESTADOS ESTUDIANTES'!B:L,11,0)</f>
        <v>1010175883</v>
      </c>
      <c r="L699" s="19">
        <v>3185216106</v>
      </c>
      <c r="M699" s="20"/>
      <c r="N699" s="22"/>
      <c r="O699" s="15"/>
      <c r="P699" s="15"/>
      <c r="Q699" s="15"/>
      <c r="R699" s="15"/>
      <c r="S699" s="15"/>
      <c r="T699" s="15"/>
      <c r="U699" s="15"/>
    </row>
    <row r="700" spans="1:21" ht="90">
      <c r="A700" s="17">
        <v>20142195003</v>
      </c>
      <c r="B700" s="19" t="str">
        <f>VLOOKUP(A700,'ESTADOS ESTUDIANTES'!B:L,2,0)</f>
        <v>HECTOR MANUEL HERRERA HERRERA</v>
      </c>
      <c r="C700" s="19">
        <f>VLOOKUP(A700,'ESTADOS ESTUDIANTES'!B:L,3,0)</f>
        <v>195</v>
      </c>
      <c r="D700" s="66" t="str">
        <f>VLOOKUP(A700,'ESTADOS ESTUDIANTES'!B:L,4,0)</f>
        <v>MAE. EN CIENCIAS DE LA INF. Y LAS COMUNICACIONES ENFASIS EN TELEINF.</v>
      </c>
      <c r="E700" s="19" t="str">
        <f>VLOOKUP(A700,'ESTADOS ESTUDIANTES'!B:L,5,0)</f>
        <v>E</v>
      </c>
      <c r="F700" s="18" t="str">
        <f>VLOOKUP(E700,Listas!B1:C1004,2,0)</f>
        <v>EGRESADO</v>
      </c>
      <c r="G700" s="19">
        <f>VLOOKUP(A700,'ESTADOS ESTUDIANTES'!B:L,7,0)</f>
        <v>3</v>
      </c>
      <c r="H700" s="19">
        <f>VLOOKUP(A700,'ESTADOS ESTUDIANTES'!B:L,8,0)</f>
        <v>0</v>
      </c>
      <c r="I700" s="70" t="str">
        <f>VLOOKUP(A700,'ESTADOS ESTUDIANTES'!B:L,9,0)</f>
        <v>hetorherrera@hotmail.com</v>
      </c>
      <c r="J700" s="19" t="str">
        <f>VLOOKUP(A700,'ESTADOS ESTUDIANTES'!B:L,10,0)</f>
        <v>CC</v>
      </c>
      <c r="K700" s="19">
        <f>VLOOKUP(A700,'ESTADOS ESTUDIANTES'!B:L,11,0)</f>
        <v>1033691855</v>
      </c>
      <c r="L700" s="19">
        <v>3208439312</v>
      </c>
      <c r="M700" s="20"/>
      <c r="N700" s="22"/>
      <c r="O700" s="15"/>
      <c r="P700" s="15"/>
      <c r="Q700" s="15"/>
      <c r="R700" s="15"/>
      <c r="S700" s="15"/>
      <c r="T700" s="15"/>
      <c r="U700" s="15"/>
    </row>
    <row r="701" spans="1:21" ht="90">
      <c r="A701" s="17">
        <v>20142195004</v>
      </c>
      <c r="B701" s="19" t="str">
        <f>VLOOKUP(A701,'ESTADOS ESTUDIANTES'!B:L,2,0)</f>
        <v>NESTOR JAVIER RODRIGUEZ GARCIA</v>
      </c>
      <c r="C701" s="19">
        <f>VLOOKUP(A701,'ESTADOS ESTUDIANTES'!B:L,3,0)</f>
        <v>195</v>
      </c>
      <c r="D701" s="66" t="str">
        <f>VLOOKUP(A701,'ESTADOS ESTUDIANTES'!B:L,4,0)</f>
        <v>MAE. EN CIENCIAS DE LA INF. Y LAS COMUNICACIONES ENFASIS EN TELEINF.</v>
      </c>
      <c r="E701" s="19" t="str">
        <f>VLOOKUP(A701,'ESTADOS ESTUDIANTES'!B:L,5,0)</f>
        <v>E</v>
      </c>
      <c r="F701" s="18" t="str">
        <f>VLOOKUP(E701,Listas!B1:C1004,2,0)</f>
        <v>EGRESADO</v>
      </c>
      <c r="G701" s="19">
        <f>VLOOKUP(A701,'ESTADOS ESTUDIANTES'!B:L,7,0)</f>
        <v>3</v>
      </c>
      <c r="H701" s="19" t="str">
        <f>VLOOKUP(A701,'ESTADOS ESTUDIANTES'!B:L,8,0)</f>
        <v>nejrodriguezg@correo.udistrital.edu.co</v>
      </c>
      <c r="I701" s="70" t="str">
        <f>VLOOKUP(A701,'ESTADOS ESTUDIANTES'!B:L,9,0)</f>
        <v>ing.nestor0818@gmail.com</v>
      </c>
      <c r="J701" s="19" t="str">
        <f>VLOOKUP(A701,'ESTADOS ESTUDIANTES'!B:L,10,0)</f>
        <v>CC</v>
      </c>
      <c r="K701" s="19">
        <f>VLOOKUP(A701,'ESTADOS ESTUDIANTES'!B:L,11,0)</f>
        <v>80932160</v>
      </c>
      <c r="L701" s="19">
        <v>3142114025</v>
      </c>
      <c r="M701" s="20"/>
      <c r="N701" s="22"/>
      <c r="O701" s="15"/>
      <c r="P701" s="15"/>
      <c r="Q701" s="15"/>
      <c r="R701" s="15"/>
      <c r="S701" s="15"/>
      <c r="T701" s="15"/>
      <c r="U701" s="15"/>
    </row>
    <row r="702" spans="1:21" ht="90">
      <c r="A702" s="17">
        <v>20142295001</v>
      </c>
      <c r="B702" s="19" t="str">
        <f>VLOOKUP(A702,'ESTADOS ESTUDIANTES'!B:L,2,0)</f>
        <v>DANIEL CAMILO GUARIN MUÑOZ</v>
      </c>
      <c r="C702" s="19">
        <f>VLOOKUP(A702,'ESTADOS ESTUDIANTES'!B:L,3,0)</f>
        <v>295</v>
      </c>
      <c r="D702" s="66" t="str">
        <f>VLOOKUP(A702,'ESTADOS ESTUDIANTES'!B:L,4,0)</f>
        <v>MAE. EN CIENCIAS DE LA INF. Y LAS COMUNICACIONES ENFASIS EN SIS. INFOR</v>
      </c>
      <c r="E702" s="19" t="str">
        <f>VLOOKUP(A702,'ESTADOS ESTUDIANTES'!B:L,5,0)</f>
        <v>N</v>
      </c>
      <c r="F702" s="18" t="str">
        <f>VLOOKUP(E702,Listas!B1:C1004,2,0)</f>
        <v>ERROR DE CODIGO</v>
      </c>
      <c r="G702" s="19" t="str">
        <f>VLOOKUP(A702,'ESTADOS ESTUDIANTES'!B:L,7,0)</f>
        <v>NO REGISTRA</v>
      </c>
      <c r="H702" s="19">
        <f>VLOOKUP(A702,'ESTADOS ESTUDIANTES'!B:L,8,0)</f>
        <v>0</v>
      </c>
      <c r="I702" s="70" t="str">
        <f>VLOOKUP(A702,'ESTADOS ESTUDIANTES'!B:L,9,0)</f>
        <v>dguarin@gmail.com</v>
      </c>
      <c r="J702" s="19" t="str">
        <f>VLOOKUP(A702,'ESTADOS ESTUDIANTES'!B:L,10,0)</f>
        <v>CC</v>
      </c>
      <c r="K702" s="19">
        <f>VLOOKUP(A702,'ESTADOS ESTUDIANTES'!B:L,11,0)</f>
        <v>80777676</v>
      </c>
      <c r="L702" s="23"/>
      <c r="M702" s="20"/>
      <c r="N702" s="22"/>
      <c r="O702" s="15"/>
      <c r="P702" s="15"/>
      <c r="Q702" s="15"/>
      <c r="R702" s="15"/>
      <c r="S702" s="15"/>
      <c r="T702" s="15"/>
      <c r="U702" s="15"/>
    </row>
    <row r="703" spans="1:21" ht="90">
      <c r="A703" s="17">
        <v>20142295002</v>
      </c>
      <c r="B703" s="19" t="str">
        <f>VLOOKUP(A703,'ESTADOS ESTUDIANTES'!B:L,2,0)</f>
        <v>CRISTIAN JHONATAN IZQUIERDO ORTIZ</v>
      </c>
      <c r="C703" s="19">
        <f>VLOOKUP(A703,'ESTADOS ESTUDIANTES'!B:L,3,0)</f>
        <v>295</v>
      </c>
      <c r="D703" s="66" t="str">
        <f>VLOOKUP(A703,'ESTADOS ESTUDIANTES'!B:L,4,0)</f>
        <v>MAE. EN CIENCIAS DE LA INF. Y LAS COMUNICACIONES ENFASIS EN SIS. INFOR</v>
      </c>
      <c r="E703" s="19" t="str">
        <f>VLOOKUP(A703,'ESTADOS ESTUDIANTES'!B:L,5,0)</f>
        <v>E</v>
      </c>
      <c r="F703" s="18" t="str">
        <f>VLOOKUP(E703,Listas!B1:C1004,2,0)</f>
        <v>EGRESADO</v>
      </c>
      <c r="G703" s="19">
        <f>VLOOKUP(A703,'ESTADOS ESTUDIANTES'!B:L,7,0)</f>
        <v>3</v>
      </c>
      <c r="H703" s="19" t="str">
        <f>VLOOKUP(A703,'ESTADOS ESTUDIANTES'!B:L,8,0)</f>
        <v>cjizquierdoo@udistrital.edu.co</v>
      </c>
      <c r="I703" s="70" t="str">
        <f>VLOOKUP(A703,'ESTADOS ESTUDIANTES'!B:L,9,0)</f>
        <v>izquierdo.cristhian@gmail.com</v>
      </c>
      <c r="J703" s="19" t="str">
        <f>VLOOKUP(A703,'ESTADOS ESTUDIANTES'!B:L,10,0)</f>
        <v>CC</v>
      </c>
      <c r="K703" s="19">
        <f>VLOOKUP(A703,'ESTADOS ESTUDIANTES'!B:L,11,0)</f>
        <v>1032379203</v>
      </c>
      <c r="L703" s="19">
        <v>3118034768</v>
      </c>
      <c r="M703" s="20">
        <v>31629</v>
      </c>
      <c r="N703" s="22"/>
      <c r="O703" s="15"/>
      <c r="P703" s="15"/>
      <c r="Q703" s="15"/>
      <c r="R703" s="15"/>
      <c r="S703" s="15"/>
      <c r="T703" s="15"/>
      <c r="U703" s="15"/>
    </row>
    <row r="704" spans="1:21" ht="90">
      <c r="A704" s="17">
        <v>20142295004</v>
      </c>
      <c r="B704" s="19" t="str">
        <f>VLOOKUP(A704,'ESTADOS ESTUDIANTES'!B:L,2,0)</f>
        <v>JULIAN SANTAMARIA ROMERO</v>
      </c>
      <c r="C704" s="19">
        <f>VLOOKUP(A704,'ESTADOS ESTUDIANTES'!B:L,3,0)</f>
        <v>295</v>
      </c>
      <c r="D704" s="66" t="str">
        <f>VLOOKUP(A704,'ESTADOS ESTUDIANTES'!B:L,4,0)</f>
        <v>MAE. EN CIENCIAS DE LA INF. Y LAS COMUNICACIONES ENFASIS EN SIS. INFOR</v>
      </c>
      <c r="E704" s="19" t="str">
        <f>VLOOKUP(A704,'ESTADOS ESTUDIANTES'!B:L,5,0)</f>
        <v>N</v>
      </c>
      <c r="F704" s="18" t="str">
        <f>VLOOKUP(E704,Listas!B1:C1004,2,0)</f>
        <v>ERROR DE CODIGO</v>
      </c>
      <c r="G704" s="19" t="str">
        <f>VLOOKUP(A704,'ESTADOS ESTUDIANTES'!B:L,7,0)</f>
        <v>NO REGISTRA</v>
      </c>
      <c r="H704" s="19">
        <f>VLOOKUP(A704,'ESTADOS ESTUDIANTES'!B:L,8,0)</f>
        <v>0</v>
      </c>
      <c r="I704" s="70" t="str">
        <f>VLOOKUP(A704,'ESTADOS ESTUDIANTES'!B:L,9,0)</f>
        <v>julian.santamaria@oilfilters.com.co</v>
      </c>
      <c r="J704" s="19" t="str">
        <f>VLOOKUP(A704,'ESTADOS ESTUDIANTES'!B:L,10,0)</f>
        <v>CC</v>
      </c>
      <c r="K704" s="19">
        <f>VLOOKUP(A704,'ESTADOS ESTUDIANTES'!B:L,11,0)</f>
        <v>79899794</v>
      </c>
      <c r="L704" s="23"/>
      <c r="M704" s="20"/>
      <c r="N704" s="22"/>
      <c r="O704" s="15"/>
      <c r="P704" s="15"/>
      <c r="Q704" s="15"/>
      <c r="R704" s="15"/>
      <c r="S704" s="15"/>
      <c r="T704" s="15"/>
      <c r="U704" s="15"/>
    </row>
    <row r="705" spans="1:21" ht="90">
      <c r="A705" s="17">
        <v>20142295005</v>
      </c>
      <c r="B705" s="19" t="str">
        <f>VLOOKUP(A705,'ESTADOS ESTUDIANTES'!B:L,2,0)</f>
        <v>DANIEL ANDERSON SOTO FORERO</v>
      </c>
      <c r="C705" s="19">
        <f>VLOOKUP(A705,'ESTADOS ESTUDIANTES'!B:L,3,0)</f>
        <v>295</v>
      </c>
      <c r="D705" s="66" t="str">
        <f>VLOOKUP(A705,'ESTADOS ESTUDIANTES'!B:L,4,0)</f>
        <v>MAE. EN CIENCIAS DE LA INF. Y LAS COMUNICACIONES ENFASIS EN SIS. INFOR</v>
      </c>
      <c r="E705" s="19" t="str">
        <f>VLOOKUP(A705,'ESTADOS ESTUDIANTES'!B:L,5,0)</f>
        <v>N</v>
      </c>
      <c r="F705" s="18" t="str">
        <f>VLOOKUP(E705,Listas!B1:C1004,2,0)</f>
        <v>ERROR DE CODIGO</v>
      </c>
      <c r="G705" s="19" t="str">
        <f>VLOOKUP(A705,'ESTADOS ESTUDIANTES'!B:L,7,0)</f>
        <v>NO REGISTRA</v>
      </c>
      <c r="H705" s="19">
        <f>VLOOKUP(A705,'ESTADOS ESTUDIANTES'!B:L,8,0)</f>
        <v>0</v>
      </c>
      <c r="I705" s="70" t="str">
        <f>VLOOKUP(A705,'ESTADOS ESTUDIANTES'!B:L,9,0)</f>
        <v>dsoto.7@gmail.com</v>
      </c>
      <c r="J705" s="19" t="str">
        <f>VLOOKUP(A705,'ESTADOS ESTUDIANTES'!B:L,10,0)</f>
        <v>CC</v>
      </c>
      <c r="K705" s="19">
        <f>VLOOKUP(A705,'ESTADOS ESTUDIANTES'!B:L,11,0)</f>
        <v>80218882</v>
      </c>
      <c r="L705" s="23"/>
      <c r="M705" s="20"/>
      <c r="N705" s="22"/>
      <c r="O705" s="15"/>
      <c r="P705" s="15"/>
      <c r="Q705" s="15"/>
      <c r="R705" s="15"/>
      <c r="S705" s="15"/>
      <c r="T705" s="15"/>
      <c r="U705" s="15"/>
    </row>
    <row r="706" spans="1:21" ht="90">
      <c r="A706" s="17">
        <v>20142295006</v>
      </c>
      <c r="B706" s="19" t="str">
        <f>VLOOKUP(A706,'ESTADOS ESTUDIANTES'!B:L,2,0)</f>
        <v>JUAN CARLOS DELGADILLO BELTRAN</v>
      </c>
      <c r="C706" s="19">
        <f>VLOOKUP(A706,'ESTADOS ESTUDIANTES'!B:L,3,0)</f>
        <v>295</v>
      </c>
      <c r="D706" s="66" t="str">
        <f>VLOOKUP(A706,'ESTADOS ESTUDIANTES'!B:L,4,0)</f>
        <v>MAE. EN CIENCIAS DE LA INF. Y LAS COMUNICACIONES ENFASIS EN SIS. INFOR</v>
      </c>
      <c r="E706" s="19" t="str">
        <f>VLOOKUP(A706,'ESTADOS ESTUDIANTES'!B:L,5,0)</f>
        <v>I</v>
      </c>
      <c r="F706" s="18" t="str">
        <f>VLOOKUP(E706,Listas!B1:C1004,2,0)</f>
        <v>INACTIVO</v>
      </c>
      <c r="G706" s="19" t="str">
        <f>VLOOKUP(A706,'ESTADOS ESTUDIANTES'!B:L,7,0)</f>
        <v>NO REGISTRA</v>
      </c>
      <c r="H706" s="19">
        <f>VLOOKUP(A706,'ESTADOS ESTUDIANTES'!B:L,8,0)</f>
        <v>0</v>
      </c>
      <c r="I706" s="70" t="str">
        <f>VLOOKUP(A706,'ESTADOS ESTUDIANTES'!B:L,9,0)</f>
        <v>ingjuandel@gmail.com</v>
      </c>
      <c r="J706" s="19" t="str">
        <f>VLOOKUP(A706,'ESTADOS ESTUDIANTES'!B:L,10,0)</f>
        <v>CC</v>
      </c>
      <c r="K706" s="19">
        <f>VLOOKUP(A706,'ESTADOS ESTUDIANTES'!B:L,11,0)</f>
        <v>79576961</v>
      </c>
      <c r="L706" s="21"/>
      <c r="M706" s="20"/>
      <c r="N706" s="22"/>
      <c r="O706" s="15"/>
      <c r="P706" s="15"/>
      <c r="Q706" s="15"/>
      <c r="R706" s="15"/>
      <c r="S706" s="15"/>
      <c r="T706" s="15"/>
      <c r="U706" s="15"/>
    </row>
    <row r="707" spans="1:21" ht="90">
      <c r="A707" s="17">
        <v>20142295007</v>
      </c>
      <c r="B707" s="19" t="str">
        <f>VLOOKUP(A707,'ESTADOS ESTUDIANTES'!B:L,2,0)</f>
        <v>WILMER ALBERTO FIGUEREDO RODRIGUEZ</v>
      </c>
      <c r="C707" s="19">
        <f>VLOOKUP(A707,'ESTADOS ESTUDIANTES'!B:L,3,0)</f>
        <v>295</v>
      </c>
      <c r="D707" s="66" t="str">
        <f>VLOOKUP(A707,'ESTADOS ESTUDIANTES'!B:L,4,0)</f>
        <v>MAE. EN CIENCIAS DE LA INF. Y LAS COMUNICACIONES ENFASIS EN SIS. INFOR</v>
      </c>
      <c r="E707" s="19" t="str">
        <f>VLOOKUP(A707,'ESTADOS ESTUDIANTES'!B:L,5,0)</f>
        <v>I</v>
      </c>
      <c r="F707" s="18" t="str">
        <f>VLOOKUP(E707,Listas!B1:C1004,2,0)</f>
        <v>INACTIVO</v>
      </c>
      <c r="G707" s="19" t="str">
        <f>VLOOKUP(A707,'ESTADOS ESTUDIANTES'!B:L,7,0)</f>
        <v>NO REGISTRA</v>
      </c>
      <c r="H707" s="19">
        <f>VLOOKUP(A707,'ESTADOS ESTUDIANTES'!B:L,8,0)</f>
        <v>0</v>
      </c>
      <c r="I707" s="70" t="str">
        <f>VLOOKUP(A707,'ESTADOS ESTUDIANTES'!B:L,9,0)</f>
        <v>izquierdo.cristhian@gmail.com</v>
      </c>
      <c r="J707" s="19" t="str">
        <f>VLOOKUP(A707,'ESTADOS ESTUDIANTES'!B:L,10,0)</f>
        <v>CC</v>
      </c>
      <c r="K707" s="19">
        <f>VLOOKUP(A707,'ESTADOS ESTUDIANTES'!B:L,11,0)</f>
        <v>1010175883</v>
      </c>
      <c r="L707" s="21"/>
      <c r="M707" s="20"/>
      <c r="N707" s="22"/>
      <c r="O707" s="15"/>
      <c r="P707" s="15"/>
      <c r="Q707" s="15"/>
      <c r="R707" s="15"/>
      <c r="S707" s="15"/>
      <c r="T707" s="15"/>
      <c r="U707" s="15"/>
    </row>
    <row r="708" spans="1:21" ht="105">
      <c r="A708" s="17">
        <v>20142395001</v>
      </c>
      <c r="B708" s="19" t="str">
        <f>VLOOKUP(A708,'ESTADOS ESTUDIANTES'!B:L,2,0)</f>
        <v>AURA CAROLINA ARIAS ZAMORA</v>
      </c>
      <c r="C708" s="19">
        <f>VLOOKUP(A708,'ESTADOS ESTUDIANTES'!B:L,3,0)</f>
        <v>395</v>
      </c>
      <c r="D708" s="66" t="str">
        <f>VLOOKUP(A708,'ESTADOS ESTUDIANTES'!B:L,4,0)</f>
        <v>MAE. EN CIENCIAS DE LA INF. Y LAS COMUNICACIONES ENFASIS EN GEOMATICA</v>
      </c>
      <c r="E708" s="19" t="str">
        <f>VLOOKUP(A708,'ESTADOS ESTUDIANTES'!B:L,5,0)</f>
        <v>X</v>
      </c>
      <c r="F708" s="18" t="str">
        <f>VLOOKUP(E708,Listas!B1:C1004,2,0)</f>
        <v>EXCLUIDO</v>
      </c>
      <c r="G708" s="19">
        <f>VLOOKUP(A708,'ESTADOS ESTUDIANTES'!B:L,7,0)</f>
        <v>3</v>
      </c>
      <c r="H708" s="19">
        <f>VLOOKUP(A708,'ESTADOS ESTUDIANTES'!B:L,8,0)</f>
        <v>0</v>
      </c>
      <c r="I708" s="70" t="str">
        <f>VLOOKUP(A708,'ESTADOS ESTUDIANTES'!B:L,9,0)</f>
        <v>acariasz@hotmail.com</v>
      </c>
      <c r="J708" s="19" t="str">
        <f>VLOOKUP(A708,'ESTADOS ESTUDIANTES'!B:L,10,0)</f>
        <v>CC</v>
      </c>
      <c r="K708" s="19">
        <f>VLOOKUP(A708,'ESTADOS ESTUDIANTES'!B:L,11,0)</f>
        <v>52233650</v>
      </c>
      <c r="L708" s="19">
        <v>3123610085</v>
      </c>
      <c r="M708" s="20"/>
      <c r="N708" s="22"/>
      <c r="O708" s="15"/>
      <c r="P708" s="15"/>
      <c r="Q708" s="15"/>
      <c r="R708" s="15"/>
      <c r="S708" s="15"/>
      <c r="T708" s="15"/>
      <c r="U708" s="15"/>
    </row>
    <row r="709" spans="1:21" ht="105">
      <c r="A709" s="17">
        <v>20142395002</v>
      </c>
      <c r="B709" s="19" t="str">
        <f>VLOOKUP(A709,'ESTADOS ESTUDIANTES'!B:L,2,0)</f>
        <v>JORGE ALFONSO FONSECA QUIROGA</v>
      </c>
      <c r="C709" s="19">
        <f>VLOOKUP(A709,'ESTADOS ESTUDIANTES'!B:L,3,0)</f>
        <v>395</v>
      </c>
      <c r="D709" s="66" t="str">
        <f>VLOOKUP(A709,'ESTADOS ESTUDIANTES'!B:L,4,0)</f>
        <v>MAE. EN CIENCIAS DE LA INF. Y LAS COMUNICACIONES ENFASIS EN GEOMATICA</v>
      </c>
      <c r="E709" s="19" t="str">
        <f>VLOOKUP(A709,'ESTADOS ESTUDIANTES'!B:L,5,0)</f>
        <v>X</v>
      </c>
      <c r="F709" s="18" t="str">
        <f>VLOOKUP(E709,Listas!B1:C1004,2,0)</f>
        <v>EXCLUIDO</v>
      </c>
      <c r="G709" s="19">
        <f>VLOOKUP(A709,'ESTADOS ESTUDIANTES'!B:L,7,0)</f>
        <v>3</v>
      </c>
      <c r="H709" s="19">
        <f>VLOOKUP(A709,'ESTADOS ESTUDIANTES'!B:L,8,0)</f>
        <v>0</v>
      </c>
      <c r="I709" s="70" t="str">
        <f>VLOOKUP(A709,'ESTADOS ESTUDIANTES'!B:L,9,0)</f>
        <v>phonck@gmail.com</v>
      </c>
      <c r="J709" s="19" t="str">
        <f>VLOOKUP(A709,'ESTADOS ESTUDIANTES'!B:L,10,0)</f>
        <v>CC</v>
      </c>
      <c r="K709" s="19">
        <f>VLOOKUP(A709,'ESTADOS ESTUDIANTES'!B:L,11,0)</f>
        <v>79854687</v>
      </c>
      <c r="L709" s="19">
        <v>3112069800</v>
      </c>
      <c r="M709" s="20"/>
      <c r="N709" s="22"/>
      <c r="O709" s="15"/>
      <c r="P709" s="15"/>
      <c r="Q709" s="15"/>
      <c r="R709" s="15"/>
      <c r="S709" s="15"/>
      <c r="T709" s="15"/>
      <c r="U709" s="15"/>
    </row>
    <row r="710" spans="1:21" ht="105">
      <c r="A710" s="17">
        <v>20142395003</v>
      </c>
      <c r="B710" s="19" t="str">
        <f>VLOOKUP(A710,'ESTADOS ESTUDIANTES'!B:L,2,0)</f>
        <v>JULIETH MARCELA GARCIA VARGAS</v>
      </c>
      <c r="C710" s="19">
        <f>VLOOKUP(A710,'ESTADOS ESTUDIANTES'!B:L,3,0)</f>
        <v>395</v>
      </c>
      <c r="D710" s="66" t="str">
        <f>VLOOKUP(A710,'ESTADOS ESTUDIANTES'!B:L,4,0)</f>
        <v>MAE. EN CIENCIAS DE LA INF. Y LAS COMUNICACIONES ENFASIS EN GEOMATICA</v>
      </c>
      <c r="E710" s="19" t="str">
        <f>VLOOKUP(A710,'ESTADOS ESTUDIANTES'!B:L,5,0)</f>
        <v>X</v>
      </c>
      <c r="F710" s="18" t="str">
        <f>VLOOKUP(E710,Listas!B1:C1004,2,0)</f>
        <v>EXCLUIDO</v>
      </c>
      <c r="G710" s="19" t="str">
        <f>VLOOKUP(A710,'ESTADOS ESTUDIANTES'!B:L,7,0)</f>
        <v>NO REGISTRA</v>
      </c>
      <c r="H710" s="19">
        <f>VLOOKUP(A710,'ESTADOS ESTUDIANTES'!B:L,8,0)</f>
        <v>0</v>
      </c>
      <c r="I710" s="70" t="str">
        <f>VLOOKUP(A710,'ESTADOS ESTUDIANTES'!B:L,9,0)</f>
        <v>julietagarcia89@hotmail.com</v>
      </c>
      <c r="J710" s="19" t="str">
        <f>VLOOKUP(A710,'ESTADOS ESTUDIANTES'!B:L,10,0)</f>
        <v>CC</v>
      </c>
      <c r="K710" s="19">
        <f>VLOOKUP(A710,'ESTADOS ESTUDIANTES'!B:L,11,0)</f>
        <v>1030564407</v>
      </c>
      <c r="L710" s="19">
        <v>3178479292</v>
      </c>
      <c r="M710" s="20"/>
      <c r="N710" s="22"/>
      <c r="O710" s="15"/>
      <c r="P710" s="15"/>
      <c r="Q710" s="15"/>
      <c r="R710" s="15"/>
      <c r="S710" s="15"/>
      <c r="T710" s="15"/>
      <c r="U710" s="15"/>
    </row>
    <row r="711" spans="1:21" ht="105">
      <c r="A711" s="17">
        <v>20142395004</v>
      </c>
      <c r="B711" s="19" t="str">
        <f>VLOOKUP(A711,'ESTADOS ESTUDIANTES'!B:L,2,0)</f>
        <v>SERGIO ALEJANDRO ROJAS BARBOSA</v>
      </c>
      <c r="C711" s="19">
        <f>VLOOKUP(A711,'ESTADOS ESTUDIANTES'!B:L,3,0)</f>
        <v>395</v>
      </c>
      <c r="D711" s="66" t="str">
        <f>VLOOKUP(A711,'ESTADOS ESTUDIANTES'!B:L,4,0)</f>
        <v>MAE. EN CIENCIAS DE LA INF. Y LAS COMUNICACIONES ENFASIS EN GEOMATICA</v>
      </c>
      <c r="E711" s="19" t="str">
        <f>VLOOKUP(A711,'ESTADOS ESTUDIANTES'!B:L,5,0)</f>
        <v>E</v>
      </c>
      <c r="F711" s="18" t="str">
        <f>VLOOKUP(E711,Listas!B1:C1004,2,0)</f>
        <v>EGRESADO</v>
      </c>
      <c r="G711" s="19" t="str">
        <f>VLOOKUP(A711,'ESTADOS ESTUDIANTES'!B:L,7,0)</f>
        <v>NO REGISTRA</v>
      </c>
      <c r="H711" s="19" t="str">
        <f>VLOOKUP(A711,'ESTADOS ESTUDIANTES'!B:L,8,0)</f>
        <v>sarojasb@correo.udistrital.edu.co</v>
      </c>
      <c r="I711" s="70" t="str">
        <f>VLOOKUP(A711,'ESTADOS ESTUDIANTES'!B:L,9,0)</f>
        <v>seralejo2004@gmail.com</v>
      </c>
      <c r="J711" s="19" t="str">
        <f>VLOOKUP(A711,'ESTADOS ESTUDIANTES'!B:L,10,0)</f>
        <v>CC</v>
      </c>
      <c r="K711" s="19">
        <f>VLOOKUP(A711,'ESTADOS ESTUDIANTES'!B:L,11,0)</f>
        <v>80896709</v>
      </c>
      <c r="L711" s="19">
        <v>3106660907</v>
      </c>
      <c r="M711" s="20"/>
      <c r="N711" s="22"/>
      <c r="O711" s="15"/>
      <c r="P711" s="15"/>
      <c r="Q711" s="15"/>
      <c r="R711" s="15"/>
      <c r="S711" s="15"/>
      <c r="T711" s="15"/>
      <c r="U711" s="15"/>
    </row>
    <row r="712" spans="1:21" ht="105">
      <c r="A712" s="17">
        <v>20142395005</v>
      </c>
      <c r="B712" s="19" t="str">
        <f>VLOOKUP(A712,'ESTADOS ESTUDIANTES'!B:L,2,0)</f>
        <v>JESSICA ANDREA ZAPATA GRAJALES</v>
      </c>
      <c r="C712" s="19">
        <f>VLOOKUP(A712,'ESTADOS ESTUDIANTES'!B:L,3,0)</f>
        <v>395</v>
      </c>
      <c r="D712" s="66" t="str">
        <f>VLOOKUP(A712,'ESTADOS ESTUDIANTES'!B:L,4,0)</f>
        <v>MAE. EN CIENCIAS DE LA INF. Y LAS COMUNICACIONES ENFASIS EN GEOMATICA</v>
      </c>
      <c r="E712" s="19" t="str">
        <f>VLOOKUP(A712,'ESTADOS ESTUDIANTES'!B:L,5,0)</f>
        <v>E</v>
      </c>
      <c r="F712" s="18" t="str">
        <f>VLOOKUP(E712,Listas!B1:C1004,2,0)</f>
        <v>EGRESADO</v>
      </c>
      <c r="G712" s="19" t="str">
        <f>VLOOKUP(A712,'ESTADOS ESTUDIANTES'!B:L,7,0)</f>
        <v>NO REGISTRA</v>
      </c>
      <c r="H712" s="19" t="str">
        <f>VLOOKUP(A712,'ESTADOS ESTUDIANTES'!B:L,8,0)</f>
        <v>azapatag@correo.udistrital.edu.co</v>
      </c>
      <c r="I712" s="70" t="str">
        <f>VLOOKUP(A712,'ESTADOS ESTUDIANTES'!B:L,9,0)</f>
        <v>jessiandre71@gmail.com</v>
      </c>
      <c r="J712" s="19" t="str">
        <f>VLOOKUP(A712,'ESTADOS ESTUDIANTES'!B:L,10,0)</f>
        <v>CC</v>
      </c>
      <c r="K712" s="19">
        <f>VLOOKUP(A712,'ESTADOS ESTUDIANTES'!B:L,11,0)</f>
        <v>1026269883</v>
      </c>
      <c r="L712" s="19">
        <v>3118853412</v>
      </c>
      <c r="M712" s="20">
        <v>33063</v>
      </c>
      <c r="N712" s="22"/>
      <c r="O712" s="15"/>
      <c r="P712" s="15"/>
      <c r="Q712" s="15"/>
      <c r="R712" s="15"/>
      <c r="S712" s="15"/>
      <c r="T712" s="15"/>
      <c r="U712" s="15"/>
    </row>
    <row r="713" spans="1:21" ht="90">
      <c r="A713" s="17">
        <v>20151195001</v>
      </c>
      <c r="B713" s="19" t="str">
        <f>VLOOKUP(A713,'ESTADOS ESTUDIANTES'!B:L,2,0)</f>
        <v>ALVAREZ RAMIREZ CARLOS ANDRES</v>
      </c>
      <c r="C713" s="19">
        <f>VLOOKUP(A713,'ESTADOS ESTUDIANTES'!B:L,3,0)</f>
        <v>195</v>
      </c>
      <c r="D713" s="66" t="str">
        <f>VLOOKUP(A713,'ESTADOS ESTUDIANTES'!B:L,4,0)</f>
        <v>MAE. EN CIENCIAS DE LA INF. Y LAS COMUNICACIONES ENFASIS EN TELEINF.</v>
      </c>
      <c r="E713" s="19" t="str">
        <f>VLOOKUP(A713,'ESTADOS ESTUDIANTES'!B:L,5,0)</f>
        <v>N</v>
      </c>
      <c r="F713" s="18" t="str">
        <f>VLOOKUP(E713,Listas!B1:C1004,2,0)</f>
        <v>ERROR DE CODIGO</v>
      </c>
      <c r="G713" s="19" t="str">
        <f>VLOOKUP(A713,'ESTADOS ESTUDIANTES'!B:L,7,0)</f>
        <v>NO REGISTRA</v>
      </c>
      <c r="H713" s="19">
        <f>VLOOKUP(A713,'ESTADOS ESTUDIANTES'!B:L,8,0)</f>
        <v>0</v>
      </c>
      <c r="I713" s="70" t="str">
        <f>VLOOKUP(A713,'ESTADOS ESTUDIANTES'!B:L,9,0)</f>
        <v>andressynapsis@gmail.com</v>
      </c>
      <c r="J713" s="19" t="str">
        <f>VLOOKUP(A713,'ESTADOS ESTUDIANTES'!B:L,10,0)</f>
        <v>CC</v>
      </c>
      <c r="K713" s="19">
        <f>VLOOKUP(A713,'ESTADOS ESTUDIANTES'!B:L,11,0)</f>
        <v>80037942</v>
      </c>
      <c r="L713" s="23"/>
      <c r="M713" s="20"/>
      <c r="N713" s="22"/>
      <c r="O713" s="15"/>
      <c r="P713" s="15"/>
      <c r="Q713" s="15"/>
      <c r="R713" s="15"/>
      <c r="S713" s="15"/>
      <c r="T713" s="15"/>
      <c r="U713" s="15"/>
    </row>
    <row r="714" spans="1:21" ht="90">
      <c r="A714" s="17">
        <v>20151195003</v>
      </c>
      <c r="B714" s="19" t="str">
        <f>VLOOKUP(A714,'ESTADOS ESTUDIANTES'!B:L,2,0)</f>
        <v>COY CHACON JORGE ANDRES</v>
      </c>
      <c r="C714" s="19">
        <f>VLOOKUP(A714,'ESTADOS ESTUDIANTES'!B:L,3,0)</f>
        <v>195</v>
      </c>
      <c r="D714" s="66" t="str">
        <f>VLOOKUP(A714,'ESTADOS ESTUDIANTES'!B:L,4,0)</f>
        <v>MAE. EN CIENCIAS DE LA INF. Y LAS COMUNICACIONES ENFASIS EN TELEINF.</v>
      </c>
      <c r="E714" s="19" t="str">
        <f>VLOOKUP(A714,'ESTADOS ESTUDIANTES'!B:L,5,0)</f>
        <v>X</v>
      </c>
      <c r="F714" s="18" t="str">
        <f>VLOOKUP(E714,Listas!B1:C1004,2,0)</f>
        <v>EXCLUIDO</v>
      </c>
      <c r="G714" s="19" t="str">
        <f>VLOOKUP(A714,'ESTADOS ESTUDIANTES'!B:L,7,0)</f>
        <v>NO REGISTRA</v>
      </c>
      <c r="H714" s="19">
        <f>VLOOKUP(A714,'ESTADOS ESTUDIANTES'!B:L,8,0)</f>
        <v>0</v>
      </c>
      <c r="I714" s="70" t="str">
        <f>VLOOKUP(A714,'ESTADOS ESTUDIANTES'!B:L,9,0)</f>
        <v>andres.coy.math@gmail.com</v>
      </c>
      <c r="J714" s="19" t="str">
        <f>VLOOKUP(A714,'ESTADOS ESTUDIANTES'!B:L,10,0)</f>
        <v>CC</v>
      </c>
      <c r="K714" s="19">
        <f>VLOOKUP(A714,'ESTADOS ESTUDIANTES'!B:L,11,0)</f>
        <v>1022947307</v>
      </c>
      <c r="L714" s="19">
        <v>3202493325</v>
      </c>
      <c r="M714" s="20"/>
      <c r="N714" s="22"/>
      <c r="O714" s="15"/>
      <c r="P714" s="15"/>
      <c r="Q714" s="15"/>
      <c r="R714" s="15"/>
      <c r="S714" s="15"/>
      <c r="T714" s="15"/>
      <c r="U714" s="15"/>
    </row>
    <row r="715" spans="1:21" ht="90">
      <c r="A715" s="17">
        <v>20151195004</v>
      </c>
      <c r="B715" s="19" t="str">
        <f>VLOOKUP(A715,'ESTADOS ESTUDIANTES'!B:L,2,0)</f>
        <v>DIAZ RODRIGUEZ WILMAR</v>
      </c>
      <c r="C715" s="19">
        <f>VLOOKUP(A715,'ESTADOS ESTUDIANTES'!B:L,3,0)</f>
        <v>195</v>
      </c>
      <c r="D715" s="66" t="str">
        <f>VLOOKUP(A715,'ESTADOS ESTUDIANTES'!B:L,4,0)</f>
        <v>MAE. EN CIENCIAS DE LA INF. Y LAS COMUNICACIONES ENFASIS EN TELEINF.</v>
      </c>
      <c r="E715" s="19" t="str">
        <f>VLOOKUP(A715,'ESTADOS ESTUDIANTES'!B:L,5,0)</f>
        <v>N</v>
      </c>
      <c r="F715" s="18" t="str">
        <f>VLOOKUP(E715,Listas!B1:C1004,2,0)</f>
        <v>ERROR DE CODIGO</v>
      </c>
      <c r="G715" s="19" t="str">
        <f>VLOOKUP(A715,'ESTADOS ESTUDIANTES'!B:L,7,0)</f>
        <v>NO REGISTRA</v>
      </c>
      <c r="H715" s="19" t="str">
        <f>VLOOKUP(A715,'ESTADOS ESTUDIANTES'!B:L,8,0)</f>
        <v>wdiazr@correo.udistrital.edu.co</v>
      </c>
      <c r="I715" s="70" t="str">
        <f>VLOOKUP(A715,'ESTADOS ESTUDIANTES'!B:L,9,0)</f>
        <v>wilmardiazr@gmail.com</v>
      </c>
      <c r="J715" s="19" t="str">
        <f>VLOOKUP(A715,'ESTADOS ESTUDIANTES'!B:L,10,0)</f>
        <v>CC</v>
      </c>
      <c r="K715" s="19">
        <f>VLOOKUP(A715,'ESTADOS ESTUDIANTES'!B:L,11,0)</f>
        <v>80854925</v>
      </c>
      <c r="L715" s="23"/>
      <c r="M715" s="20"/>
      <c r="N715" s="22"/>
      <c r="O715" s="15"/>
      <c r="P715" s="15"/>
      <c r="Q715" s="15"/>
      <c r="R715" s="15"/>
      <c r="S715" s="15"/>
      <c r="T715" s="15"/>
      <c r="U715" s="15"/>
    </row>
    <row r="716" spans="1:21" ht="90">
      <c r="A716" s="17">
        <v>20151195005</v>
      </c>
      <c r="B716" s="19" t="str">
        <f>VLOOKUP(A716,'ESTADOS ESTUDIANTES'!B:L,2,0)</f>
        <v>PATERNINA DURAN JESUS MANUEL</v>
      </c>
      <c r="C716" s="19">
        <f>VLOOKUP(A716,'ESTADOS ESTUDIANTES'!B:L,3,0)</f>
        <v>195</v>
      </c>
      <c r="D716" s="66" t="str">
        <f>VLOOKUP(A716,'ESTADOS ESTUDIANTES'!B:L,4,0)</f>
        <v>MAE. EN CIENCIAS DE LA INF. Y LAS COMUNICACIONES ENFASIS EN TELEINF.</v>
      </c>
      <c r="E716" s="19" t="str">
        <f>VLOOKUP(A716,'ESTADOS ESTUDIANTES'!B:L,5,0)</f>
        <v>E</v>
      </c>
      <c r="F716" s="18" t="str">
        <f>VLOOKUP(E716,Listas!B1:C1004,2,0)</f>
        <v>EGRESADO</v>
      </c>
      <c r="G716" s="19" t="str">
        <f>VLOOKUP(A716,'ESTADOS ESTUDIANTES'!B:L,7,0)</f>
        <v>NO REGISTRA</v>
      </c>
      <c r="H716" s="19">
        <f>VLOOKUP(A716,'ESTADOS ESTUDIANTES'!B:L,8,0)</f>
        <v>0</v>
      </c>
      <c r="I716" s="70" t="str">
        <f>VLOOKUP(A716,'ESTADOS ESTUDIANTES'!B:L,9,0)</f>
        <v>jesus_p17@yahoo.com.ar</v>
      </c>
      <c r="J716" s="19" t="str">
        <f>VLOOKUP(A716,'ESTADOS ESTUDIANTES'!B:L,10,0)</f>
        <v>CC</v>
      </c>
      <c r="K716" s="19">
        <f>VLOOKUP(A716,'ESTADOS ESTUDIANTES'!B:L,11,0)</f>
        <v>80095218</v>
      </c>
      <c r="L716" s="19">
        <v>3112655969</v>
      </c>
      <c r="M716" s="20"/>
      <c r="N716" s="22"/>
      <c r="O716" s="15"/>
      <c r="P716" s="15"/>
      <c r="Q716" s="15"/>
      <c r="R716" s="15"/>
      <c r="S716" s="15"/>
      <c r="T716" s="15"/>
      <c r="U716" s="15"/>
    </row>
    <row r="717" spans="1:21" ht="90">
      <c r="A717" s="17">
        <v>20151195006</v>
      </c>
      <c r="B717" s="19" t="str">
        <f>VLOOKUP(A717,'ESTADOS ESTUDIANTES'!B:L,2,0)</f>
        <v>RODRIGUEZ FONSECA ANDRES ALEXANDER</v>
      </c>
      <c r="C717" s="19">
        <f>VLOOKUP(A717,'ESTADOS ESTUDIANTES'!B:L,3,0)</f>
        <v>195</v>
      </c>
      <c r="D717" s="66" t="str">
        <f>VLOOKUP(A717,'ESTADOS ESTUDIANTES'!B:L,4,0)</f>
        <v>MAE. EN CIENCIAS DE LA INF. Y LAS COMUNICACIONES ENFASIS EN TELEINF.</v>
      </c>
      <c r="E717" s="19" t="str">
        <f>VLOOKUP(A717,'ESTADOS ESTUDIANTES'!B:L,5,0)</f>
        <v>E</v>
      </c>
      <c r="F717" s="18" t="str">
        <f>VLOOKUP(E717,Listas!B1:C1004,2,0)</f>
        <v>EGRESADO</v>
      </c>
      <c r="G717" s="19" t="str">
        <f>VLOOKUP(A717,'ESTADOS ESTUDIANTES'!B:L,7,0)</f>
        <v>NO REGISTRA</v>
      </c>
      <c r="H717" s="19">
        <f>VLOOKUP(A717,'ESTADOS ESTUDIANTES'!B:L,8,0)</f>
        <v>0</v>
      </c>
      <c r="I717" s="70" t="str">
        <f>VLOOKUP(A717,'ESTADOS ESTUDIANTES'!B:L,9,0)</f>
        <v>aarodriguezf@gmail.com</v>
      </c>
      <c r="J717" s="19" t="str">
        <f>VLOOKUP(A717,'ESTADOS ESTUDIANTES'!B:L,10,0)</f>
        <v>CC</v>
      </c>
      <c r="K717" s="19">
        <f>VLOOKUP(A717,'ESTADOS ESTUDIANTES'!B:L,11,0)</f>
        <v>80185164</v>
      </c>
      <c r="L717" s="19">
        <v>3152525930</v>
      </c>
      <c r="M717" s="20"/>
      <c r="N717" s="22"/>
      <c r="O717" s="15"/>
      <c r="P717" s="15"/>
      <c r="Q717" s="15"/>
      <c r="R717" s="15"/>
      <c r="S717" s="15"/>
      <c r="T717" s="15"/>
      <c r="U717" s="15"/>
    </row>
    <row r="718" spans="1:21" ht="90">
      <c r="A718" s="17">
        <v>20151295001</v>
      </c>
      <c r="B718" s="19" t="str">
        <f>VLOOKUP(A718,'ESTADOS ESTUDIANTES'!B:L,2,0)</f>
        <v>CANO GARCIA FREDY ENRIQUE</v>
      </c>
      <c r="C718" s="19">
        <f>VLOOKUP(A718,'ESTADOS ESTUDIANTES'!B:L,3,0)</f>
        <v>295</v>
      </c>
      <c r="D718" s="66" t="str">
        <f>VLOOKUP(A718,'ESTADOS ESTUDIANTES'!B:L,4,0)</f>
        <v>MAE. EN CIENCIAS DE LA INF. Y LAS COMUNICACIONES ENFASIS EN SIS. INFOR</v>
      </c>
      <c r="E718" s="19" t="str">
        <f>VLOOKUP(A718,'ESTADOS ESTUDIANTES'!B:L,5,0)</f>
        <v>X</v>
      </c>
      <c r="F718" s="18" t="str">
        <f>VLOOKUP(E718,Listas!B1:C1004,2,0)</f>
        <v>EXCLUIDO</v>
      </c>
      <c r="G718" s="19" t="str">
        <f>VLOOKUP(A718,'ESTADOS ESTUDIANTES'!B:L,7,0)</f>
        <v>NO REGISTRA</v>
      </c>
      <c r="H718" s="19">
        <f>VLOOKUP(A718,'ESTADOS ESTUDIANTES'!B:L,8,0)</f>
        <v>0</v>
      </c>
      <c r="I718" s="70" t="str">
        <f>VLOOKUP(A718,'ESTADOS ESTUDIANTES'!B:L,9,0)</f>
        <v>frecano@gmail.com</v>
      </c>
      <c r="J718" s="19" t="str">
        <f>VLOOKUP(A718,'ESTADOS ESTUDIANTES'!B:L,10,0)</f>
        <v>CC</v>
      </c>
      <c r="K718" s="19">
        <f>VLOOKUP(A718,'ESTADOS ESTUDIANTES'!B:L,11,0)</f>
        <v>1014184448</v>
      </c>
      <c r="L718" s="19">
        <v>3002623935</v>
      </c>
      <c r="M718" s="20"/>
      <c r="N718" s="22"/>
      <c r="O718" s="15"/>
      <c r="P718" s="15"/>
      <c r="Q718" s="15"/>
      <c r="R718" s="15"/>
      <c r="S718" s="15"/>
      <c r="T718" s="15"/>
      <c r="U718" s="15"/>
    </row>
    <row r="719" spans="1:21" ht="90">
      <c r="A719" s="17">
        <v>20151295002</v>
      </c>
      <c r="B719" s="19" t="str">
        <f>VLOOKUP(A719,'ESTADOS ESTUDIANTES'!B:L,2,0)</f>
        <v>CASTIBLANCO PALACIOS JULIAN ALBERTO</v>
      </c>
      <c r="C719" s="19">
        <f>VLOOKUP(A719,'ESTADOS ESTUDIANTES'!B:L,3,0)</f>
        <v>295</v>
      </c>
      <c r="D719" s="66" t="str">
        <f>VLOOKUP(A719,'ESTADOS ESTUDIANTES'!B:L,4,0)</f>
        <v>MAE. EN CIENCIAS DE LA INF. Y LAS COMUNICACIONES ENFASIS EN SIS. INFOR</v>
      </c>
      <c r="E719" s="19" t="str">
        <f>VLOOKUP(A719,'ESTADOS ESTUDIANTES'!B:L,5,0)</f>
        <v>N</v>
      </c>
      <c r="F719" s="18" t="str">
        <f>VLOOKUP(E719,Listas!B1:C1004,2,0)</f>
        <v>ERROR DE CODIGO</v>
      </c>
      <c r="G719" s="19" t="str">
        <f>VLOOKUP(A719,'ESTADOS ESTUDIANTES'!B:L,7,0)</f>
        <v>NO REGISTRA</v>
      </c>
      <c r="H719" s="19">
        <f>VLOOKUP(A719,'ESTADOS ESTUDIANTES'!B:L,8,0)</f>
        <v>0</v>
      </c>
      <c r="I719" s="70" t="str">
        <f>VLOOKUP(A719,'ESTADOS ESTUDIANTES'!B:L,9,0)</f>
        <v>julian.castiblanco@ieee.org</v>
      </c>
      <c r="J719" s="19" t="str">
        <f>VLOOKUP(A719,'ESTADOS ESTUDIANTES'!B:L,10,0)</f>
        <v>CC</v>
      </c>
      <c r="K719" s="19">
        <f>VLOOKUP(A719,'ESTADOS ESTUDIANTES'!B:L,11,0)</f>
        <v>80222075</v>
      </c>
      <c r="L719" s="23"/>
      <c r="M719" s="20"/>
      <c r="N719" s="22"/>
      <c r="O719" s="15"/>
      <c r="P719" s="15"/>
      <c r="Q719" s="15"/>
      <c r="R719" s="15"/>
      <c r="S719" s="15"/>
      <c r="T719" s="15"/>
      <c r="U719" s="15"/>
    </row>
    <row r="720" spans="1:21" ht="90">
      <c r="A720" s="17">
        <v>20151295003</v>
      </c>
      <c r="B720" s="19" t="str">
        <f>VLOOKUP(A720,'ESTADOS ESTUDIANTES'!B:L,2,0)</f>
        <v>GAYOTT RAMIREZ UZIEL</v>
      </c>
      <c r="C720" s="19">
        <f>VLOOKUP(A720,'ESTADOS ESTUDIANTES'!B:L,3,0)</f>
        <v>295</v>
      </c>
      <c r="D720" s="66" t="str">
        <f>VLOOKUP(A720,'ESTADOS ESTUDIANTES'!B:L,4,0)</f>
        <v>MAE. EN CIENCIAS DE LA INF. Y LAS COMUNICACIONES ENFASIS EN SIS. INFOR</v>
      </c>
      <c r="E720" s="19" t="str">
        <f>VLOOKUP(A720,'ESTADOS ESTUDIANTES'!B:L,5,0)</f>
        <v>N</v>
      </c>
      <c r="F720" s="18" t="str">
        <f>VLOOKUP(E720,Listas!B1:C1004,2,0)</f>
        <v>ERROR DE CODIGO</v>
      </c>
      <c r="G720" s="19" t="str">
        <f>VLOOKUP(A720,'ESTADOS ESTUDIANTES'!B:L,7,0)</f>
        <v>NO REGISTRA</v>
      </c>
      <c r="H720" s="19">
        <f>VLOOKUP(A720,'ESTADOS ESTUDIANTES'!B:L,8,0)</f>
        <v>0</v>
      </c>
      <c r="I720" s="70" t="str">
        <f>VLOOKUP(A720,'ESTADOS ESTUDIANTES'!B:L,9,0)</f>
        <v>uziel.gayott@live.com</v>
      </c>
      <c r="J720" s="19" t="str">
        <f>VLOOKUP(A720,'ESTADOS ESTUDIANTES'!B:L,10,0)</f>
        <v>CE</v>
      </c>
      <c r="K720" s="19">
        <f>VLOOKUP(A720,'ESTADOS ESTUDIANTES'!B:L,11,0)</f>
        <v>9175536</v>
      </c>
      <c r="L720" s="23"/>
      <c r="M720" s="20"/>
      <c r="N720" s="22"/>
      <c r="O720" s="15"/>
      <c r="P720" s="15"/>
      <c r="Q720" s="15"/>
      <c r="R720" s="15"/>
      <c r="S720" s="15"/>
      <c r="T720" s="15"/>
      <c r="U720" s="15"/>
    </row>
    <row r="721" spans="1:21" ht="90">
      <c r="A721" s="17">
        <v>20151295005</v>
      </c>
      <c r="B721" s="19" t="str">
        <f>VLOOKUP(A721,'ESTADOS ESTUDIANTES'!B:L,2,0)</f>
        <v>SANTOS TIBADUIZA ARTURO</v>
      </c>
      <c r="C721" s="19">
        <f>VLOOKUP(A721,'ESTADOS ESTUDIANTES'!B:L,3,0)</f>
        <v>295</v>
      </c>
      <c r="D721" s="66" t="str">
        <f>VLOOKUP(A721,'ESTADOS ESTUDIANTES'!B:L,4,0)</f>
        <v>MAE. EN CIENCIAS DE LA INF. Y LAS COMUNICACIONES ENFASIS EN SIS. INFOR</v>
      </c>
      <c r="E721" s="19" t="str">
        <f>VLOOKUP(A721,'ESTADOS ESTUDIANTES'!B:L,5,0)</f>
        <v>X</v>
      </c>
      <c r="F721" s="18" t="str">
        <f>VLOOKUP(E721,Listas!B1:C1004,2,0)</f>
        <v>EXCLUIDO</v>
      </c>
      <c r="G721" s="19" t="str">
        <f>VLOOKUP(A721,'ESTADOS ESTUDIANTES'!B:L,7,0)</f>
        <v>NO REGISTRA</v>
      </c>
      <c r="H721" s="19">
        <f>VLOOKUP(A721,'ESTADOS ESTUDIANTES'!B:L,8,0)</f>
        <v>0</v>
      </c>
      <c r="I721" s="70" t="str">
        <f>VLOOKUP(A721,'ESTADOS ESTUDIANTES'!B:L,9,0)</f>
        <v>udsantos2015@gmail.com</v>
      </c>
      <c r="J721" s="19" t="str">
        <f>VLOOKUP(A721,'ESTADOS ESTUDIANTES'!B:L,10,0)</f>
        <v>CC</v>
      </c>
      <c r="K721" s="19">
        <f>VLOOKUP(A721,'ESTADOS ESTUDIANTES'!B:L,11,0)</f>
        <v>1012326669</v>
      </c>
      <c r="L721" s="19">
        <v>3143107791</v>
      </c>
      <c r="M721" s="20"/>
      <c r="N721" s="22"/>
      <c r="O721" s="15"/>
      <c r="P721" s="15"/>
      <c r="Q721" s="15"/>
      <c r="R721" s="15"/>
      <c r="S721" s="15"/>
      <c r="T721" s="15"/>
      <c r="U721" s="15"/>
    </row>
    <row r="722" spans="1:21" ht="90">
      <c r="A722" s="17">
        <v>20151295006</v>
      </c>
      <c r="B722" s="19" t="str">
        <f>VLOOKUP(A722,'ESTADOS ESTUDIANTES'!B:L,2,0)</f>
        <v>PINZON CASAS CHRISTIAN JESUS</v>
      </c>
      <c r="C722" s="19">
        <f>VLOOKUP(A722,'ESTADOS ESTUDIANTES'!B:L,3,0)</f>
        <v>495</v>
      </c>
      <c r="D722" s="66" t="str">
        <f>VLOOKUP(A722,'ESTADOS ESTUDIANTES'!B:L,4,0)</f>
        <v>MAE. EN CIENCIAS DE LA INF. Y LAS COMUNICACIONES ENFASIS EN ING. SOFT</v>
      </c>
      <c r="E722" s="19" t="str">
        <f>VLOOKUP(A722,'ESTADOS ESTUDIANTES'!B:L,5,0)</f>
        <v>E</v>
      </c>
      <c r="F722" s="18" t="str">
        <f>VLOOKUP(E722,Listas!B1:C1004,2,0)</f>
        <v>EGRESADO</v>
      </c>
      <c r="G722" s="19">
        <f>VLOOKUP(A722,'ESTADOS ESTUDIANTES'!B:L,7,0)</f>
        <v>3</v>
      </c>
      <c r="H722" s="19" t="str">
        <f>VLOOKUP(A722,'ESTADOS ESTUDIANTES'!B:L,8,0)</f>
        <v>cjpinzonc@udistrital.edu.co</v>
      </c>
      <c r="I722" s="70" t="str">
        <f>VLOOKUP(A722,'ESTADOS ESTUDIANTES'!B:L,9,0)</f>
        <v>christian.pinzon92@gmail.com</v>
      </c>
      <c r="J722" s="19" t="str">
        <f>VLOOKUP(A722,'ESTADOS ESTUDIANTES'!B:L,10,0)</f>
        <v>CC</v>
      </c>
      <c r="K722" s="19">
        <f>VLOOKUP(A722,'ESTADOS ESTUDIANTES'!B:L,11,0)</f>
        <v>1018449456</v>
      </c>
      <c r="L722" s="19">
        <v>3003243100</v>
      </c>
      <c r="M722" s="20">
        <v>33618</v>
      </c>
      <c r="N722" s="22"/>
      <c r="O722" s="15"/>
      <c r="P722" s="15"/>
      <c r="Q722" s="15"/>
      <c r="R722" s="15"/>
      <c r="S722" s="15"/>
      <c r="T722" s="15"/>
      <c r="U722" s="15"/>
    </row>
    <row r="723" spans="1:21" ht="90">
      <c r="A723" s="17">
        <v>20151295007</v>
      </c>
      <c r="B723" s="19" t="str">
        <f>VLOOKUP(A723,'ESTADOS ESTUDIANTES'!B:L,2,0)</f>
        <v>PINZON ORTIZ JESUS EMILSEN</v>
      </c>
      <c r="C723" s="19">
        <f>VLOOKUP(A723,'ESTADOS ESTUDIANTES'!B:L,3,0)</f>
        <v>295</v>
      </c>
      <c r="D723" s="66" t="str">
        <f>VLOOKUP(A723,'ESTADOS ESTUDIANTES'!B:L,4,0)</f>
        <v>MAE. EN CIENCIAS DE LA INF. Y LAS COMUNICACIONES ENFASIS EN SIS. INFOR</v>
      </c>
      <c r="E723" s="19" t="str">
        <f>VLOOKUP(A723,'ESTADOS ESTUDIANTES'!B:L,5,0)</f>
        <v>E</v>
      </c>
      <c r="F723" s="18" t="str">
        <f>VLOOKUP(E723,Listas!B1:C1004,2,0)</f>
        <v>EGRESADO</v>
      </c>
      <c r="G723" s="19">
        <f>VLOOKUP(A723,'ESTADOS ESTUDIANTES'!B:L,7,0)</f>
        <v>3</v>
      </c>
      <c r="H723" s="19">
        <f>VLOOKUP(A723,'ESTADOS ESTUDIANTES'!B:L,8,0)</f>
        <v>0</v>
      </c>
      <c r="I723" s="70" t="str">
        <f>VLOOKUP(A723,'ESTADOS ESTUDIANTES'!B:L,9,0)</f>
        <v>jesus.pinzon@hotmail.com</v>
      </c>
      <c r="J723" s="19" t="str">
        <f>VLOOKUP(A723,'ESTADOS ESTUDIANTES'!B:L,10,0)</f>
        <v>CC</v>
      </c>
      <c r="K723" s="19">
        <f>VLOOKUP(A723,'ESTADOS ESTUDIANTES'!B:L,11,0)</f>
        <v>17311419</v>
      </c>
      <c r="L723" s="19">
        <v>3006113279</v>
      </c>
      <c r="M723" s="20"/>
      <c r="N723" s="22"/>
      <c r="O723" s="15"/>
      <c r="P723" s="15"/>
      <c r="Q723" s="15"/>
      <c r="R723" s="15"/>
      <c r="S723" s="15"/>
      <c r="T723" s="15"/>
      <c r="U723" s="15"/>
    </row>
    <row r="724" spans="1:21" ht="90">
      <c r="A724" s="17">
        <v>20151295008</v>
      </c>
      <c r="B724" s="19" t="str">
        <f>VLOOKUP(A724,'ESTADOS ESTUDIANTES'!B:L,2,0)</f>
        <v>MORA ESCOBAR LUIS MIGUEL</v>
      </c>
      <c r="C724" s="19">
        <f>VLOOKUP(A724,'ESTADOS ESTUDIANTES'!B:L,3,0)</f>
        <v>295</v>
      </c>
      <c r="D724" s="66" t="str">
        <f>VLOOKUP(A724,'ESTADOS ESTUDIANTES'!B:L,4,0)</f>
        <v>MAE. EN CIENCIAS DE LA INF. Y LAS COMUNICACIONES ENFASIS EN SIS. INFOR</v>
      </c>
      <c r="E724" s="19" t="str">
        <f>VLOOKUP(A724,'ESTADOS ESTUDIANTES'!B:L,5,0)</f>
        <v>X</v>
      </c>
      <c r="F724" s="18" t="str">
        <f>VLOOKUP(E724,Listas!B1:C1004,2,0)</f>
        <v>EXCLUIDO</v>
      </c>
      <c r="G724" s="19" t="str">
        <f>VLOOKUP(A724,'ESTADOS ESTUDIANTES'!B:L,7,0)</f>
        <v>NO REGISTRA</v>
      </c>
      <c r="H724" s="19">
        <f>VLOOKUP(A724,'ESTADOS ESTUDIANTES'!B:L,8,0)</f>
        <v>0</v>
      </c>
      <c r="I724" s="70" t="str">
        <f>VLOOKUP(A724,'ESTADOS ESTUDIANTES'!B:L,9,0)</f>
        <v>ceo@ieiti.co</v>
      </c>
      <c r="J724" s="19" t="str">
        <f>VLOOKUP(A724,'ESTADOS ESTUDIANTES'!B:L,10,0)</f>
        <v>CC</v>
      </c>
      <c r="K724" s="19">
        <f>VLOOKUP(A724,'ESTADOS ESTUDIANTES'!B:L,11,0)</f>
        <v>7186324</v>
      </c>
      <c r="L724" s="23"/>
      <c r="M724" s="20"/>
      <c r="N724" s="22"/>
      <c r="O724" s="15"/>
      <c r="P724" s="15"/>
      <c r="Q724" s="15"/>
      <c r="R724" s="15"/>
      <c r="S724" s="15"/>
      <c r="T724" s="15"/>
      <c r="U724" s="15"/>
    </row>
    <row r="725" spans="1:21" ht="105">
      <c r="A725" s="17">
        <v>20151295009</v>
      </c>
      <c r="B725" s="19" t="str">
        <f>VLOOKUP(A725,'ESTADOS ESTUDIANTES'!B:L,2,0)</f>
        <v>MURILLO CASTAÑEDA RAUL ALEJANDRO</v>
      </c>
      <c r="C725" s="19">
        <f>VLOOKUP(A725,'ESTADOS ESTUDIANTES'!B:L,3,0)</f>
        <v>395</v>
      </c>
      <c r="D725" s="66" t="str">
        <f>VLOOKUP(A725,'ESTADOS ESTUDIANTES'!B:L,4,0)</f>
        <v>MAE. EN CIENCIAS DE LA INF. Y LAS COMUNICACIONES ENFASIS EN GEOMATICA</v>
      </c>
      <c r="E725" s="19" t="str">
        <f>VLOOKUP(A725,'ESTADOS ESTUDIANTES'!B:L,5,0)</f>
        <v>E</v>
      </c>
      <c r="F725" s="18" t="str">
        <f>VLOOKUP(E725,Listas!B1:C1004,2,0)</f>
        <v>EGRESADO</v>
      </c>
      <c r="G725" s="19" t="str">
        <f>VLOOKUP(A725,'ESTADOS ESTUDIANTES'!B:L,7,0)</f>
        <v>NO REGISTRA</v>
      </c>
      <c r="H725" s="19" t="str">
        <f>VLOOKUP(A725,'ESTADOS ESTUDIANTES'!B:L,8,0)</f>
        <v>raamurilloc@correo.udistrital.edu.co</v>
      </c>
      <c r="I725" s="70" t="str">
        <f>VLOOKUP(A725,'ESTADOS ESTUDIANTES'!B:L,9,0)</f>
        <v>alejomurillo7@hotmail.com</v>
      </c>
      <c r="J725" s="19" t="str">
        <f>VLOOKUP(A725,'ESTADOS ESTUDIANTES'!B:L,10,0)</f>
        <v>CC</v>
      </c>
      <c r="K725" s="19">
        <f>VLOOKUP(A725,'ESTADOS ESTUDIANTES'!B:L,11,0)</f>
        <v>1070951512</v>
      </c>
      <c r="L725" s="19">
        <v>3003038677</v>
      </c>
      <c r="M725" s="20"/>
      <c r="N725" s="22"/>
      <c r="O725" s="15"/>
      <c r="P725" s="15"/>
      <c r="Q725" s="15"/>
      <c r="R725" s="15"/>
      <c r="S725" s="15"/>
      <c r="T725" s="15"/>
      <c r="U725" s="15"/>
    </row>
    <row r="726" spans="1:21" ht="90">
      <c r="A726" s="17">
        <v>20151295010</v>
      </c>
      <c r="B726" s="19" t="str">
        <f>VLOOKUP(A726,'ESTADOS ESTUDIANTES'!B:L,2,0)</f>
        <v>CRUZ CARDOZO JOSE LAUREANO</v>
      </c>
      <c r="C726" s="19">
        <f>VLOOKUP(A726,'ESTADOS ESTUDIANTES'!B:L,3,0)</f>
        <v>295</v>
      </c>
      <c r="D726" s="66" t="str">
        <f>VLOOKUP(A726,'ESTADOS ESTUDIANTES'!B:L,4,0)</f>
        <v>MAE. EN CIENCIAS DE LA INF. Y LAS COMUNICACIONES ENFASIS EN SIS. INFOR</v>
      </c>
      <c r="E726" s="19" t="str">
        <f>VLOOKUP(A726,'ESTADOS ESTUDIANTES'!B:L,5,0)</f>
        <v>X</v>
      </c>
      <c r="F726" s="18" t="str">
        <f>VLOOKUP(E726,Listas!B1:C1004,2,0)</f>
        <v>EXCLUIDO</v>
      </c>
      <c r="G726" s="19" t="str">
        <f>VLOOKUP(A726,'ESTADOS ESTUDIANTES'!B:L,7,0)</f>
        <v>NO REGISTRA</v>
      </c>
      <c r="H726" s="19">
        <f>VLOOKUP(A726,'ESTADOS ESTUDIANTES'!B:L,8,0)</f>
        <v>0</v>
      </c>
      <c r="I726" s="70" t="str">
        <f>VLOOKUP(A726,'ESTADOS ESTUDIANTES'!B:L,9,0)</f>
        <v>joseph019@gmail.com</v>
      </c>
      <c r="J726" s="19" t="str">
        <f>VLOOKUP(A726,'ESTADOS ESTUDIANTES'!B:L,10,0)</f>
        <v>CC</v>
      </c>
      <c r="K726" s="19">
        <f>VLOOKUP(A726,'ESTADOS ESTUDIANTES'!B:L,11,0)</f>
        <v>80811240</v>
      </c>
      <c r="L726" s="23"/>
      <c r="M726" s="20"/>
      <c r="N726" s="22"/>
      <c r="O726" s="15"/>
      <c r="P726" s="15"/>
      <c r="Q726" s="15"/>
      <c r="R726" s="15"/>
      <c r="S726" s="15"/>
      <c r="T726" s="15"/>
      <c r="U726" s="15"/>
    </row>
    <row r="727" spans="1:21" ht="90">
      <c r="A727" s="17">
        <v>20152195001</v>
      </c>
      <c r="B727" s="19" t="str">
        <f>VLOOKUP(A727,'ESTADOS ESTUDIANTES'!B:L,2,0)</f>
        <v>AGUDELO CRISTANCHO NELSON GIOVANNI</v>
      </c>
      <c r="C727" s="19">
        <f>VLOOKUP(A727,'ESTADOS ESTUDIANTES'!B:L,3,0)</f>
        <v>195</v>
      </c>
      <c r="D727" s="66" t="str">
        <f>VLOOKUP(A727,'ESTADOS ESTUDIANTES'!B:L,4,0)</f>
        <v>MAE. EN CIENCIAS DE LA INF. Y LAS COMUNICACIONES ENFASIS EN TELEINF.</v>
      </c>
      <c r="E727" s="19" t="str">
        <f>VLOOKUP(A727,'ESTADOS ESTUDIANTES'!B:L,5,0)</f>
        <v>E</v>
      </c>
      <c r="F727" s="18" t="str">
        <f>VLOOKUP(E727,Listas!B1:C1004,2,0)</f>
        <v>EGRESADO</v>
      </c>
      <c r="G727" s="19">
        <f>VLOOKUP(A727,'ESTADOS ESTUDIANTES'!B:L,7,0)</f>
        <v>3</v>
      </c>
      <c r="H727" s="19" t="str">
        <f>VLOOKUP(A727,'ESTADOS ESTUDIANTES'!B:L,8,0)</f>
        <v>ngagudeloc@correo.udistrital.edu.co</v>
      </c>
      <c r="I727" s="70" t="str">
        <f>VLOOKUP(A727,'ESTADOS ESTUDIANTES'!B:L,9,0)</f>
        <v>nelsongiovani@gmail.com</v>
      </c>
      <c r="J727" s="19" t="str">
        <f>VLOOKUP(A727,'ESTADOS ESTUDIANTES'!B:L,10,0)</f>
        <v>CC</v>
      </c>
      <c r="K727" s="19">
        <f>VLOOKUP(A727,'ESTADOS ESTUDIANTES'!B:L,11,0)</f>
        <v>80051486</v>
      </c>
      <c r="L727" s="19">
        <v>3112412282</v>
      </c>
      <c r="M727" s="20"/>
      <c r="N727" s="22"/>
      <c r="O727" s="15"/>
      <c r="P727" s="15"/>
      <c r="Q727" s="15"/>
      <c r="R727" s="15"/>
      <c r="S727" s="15"/>
      <c r="T727" s="15"/>
      <c r="U727" s="15"/>
    </row>
    <row r="728" spans="1:21" ht="90">
      <c r="A728" s="17">
        <v>20152195002</v>
      </c>
      <c r="B728" s="19" t="str">
        <f>VLOOKUP(A728,'ESTADOS ESTUDIANTES'!B:L,2,0)</f>
        <v>AGUIRRE MORENO DIEGO FERNANDO</v>
      </c>
      <c r="C728" s="19">
        <f>VLOOKUP(A728,'ESTADOS ESTUDIANTES'!B:L,3,0)</f>
        <v>195</v>
      </c>
      <c r="D728" s="66" t="str">
        <f>VLOOKUP(A728,'ESTADOS ESTUDIANTES'!B:L,4,0)</f>
        <v>MAE. EN CIENCIAS DE LA INF. Y LAS COMUNICACIONES ENFASIS EN TELEINF.</v>
      </c>
      <c r="E728" s="19" t="str">
        <f>VLOOKUP(A728,'ESTADOS ESTUDIANTES'!B:L,5,0)</f>
        <v>E</v>
      </c>
      <c r="F728" s="18" t="str">
        <f>VLOOKUP(E728,Listas!B1:C1004,2,0)</f>
        <v>EGRESADO</v>
      </c>
      <c r="G728" s="19" t="str">
        <f>VLOOKUP(A728,'ESTADOS ESTUDIANTES'!B:L,7,0)</f>
        <v>NO REGISTRA</v>
      </c>
      <c r="H728" s="19" t="str">
        <f>VLOOKUP(A728,'ESTADOS ESTUDIANTES'!B:L,8,0)</f>
        <v>dfaguirrem@correo.udistrital.edu.co</v>
      </c>
      <c r="I728" s="70" t="str">
        <f>VLOOKUP(A728,'ESTADOS ESTUDIANTES'!B:L,9,0)</f>
        <v>diego2281@gmail.com</v>
      </c>
      <c r="J728" s="19" t="str">
        <f>VLOOKUP(A728,'ESTADOS ESTUDIANTES'!B:L,10,0)</f>
        <v>CC</v>
      </c>
      <c r="K728" s="19">
        <f>VLOOKUP(A728,'ESTADOS ESTUDIANTES'!B:L,11,0)</f>
        <v>3059527</v>
      </c>
      <c r="L728" s="23"/>
      <c r="M728" s="20"/>
      <c r="N728" s="22"/>
      <c r="O728" s="15"/>
      <c r="P728" s="15"/>
      <c r="Q728" s="15"/>
      <c r="R728" s="15"/>
      <c r="S728" s="15"/>
      <c r="T728" s="15"/>
      <c r="U728" s="15"/>
    </row>
    <row r="729" spans="1:21" ht="90">
      <c r="A729" s="17">
        <v>20152195003</v>
      </c>
      <c r="B729" s="19" t="str">
        <f>VLOOKUP(A729,'ESTADOS ESTUDIANTES'!B:L,2,0)</f>
        <v>ALZATE ACUÑA GABRIEL ANDRES</v>
      </c>
      <c r="C729" s="19">
        <f>VLOOKUP(A729,'ESTADOS ESTUDIANTES'!B:L,3,0)</f>
        <v>195</v>
      </c>
      <c r="D729" s="66" t="str">
        <f>VLOOKUP(A729,'ESTADOS ESTUDIANTES'!B:L,4,0)</f>
        <v>MAE. EN CIENCIAS DE LA INF. Y LAS COMUNICACIONES ENFASIS EN TELEINF.</v>
      </c>
      <c r="E729" s="19" t="str">
        <f>VLOOKUP(A729,'ESTADOS ESTUDIANTES'!B:L,5,0)</f>
        <v>E</v>
      </c>
      <c r="F729" s="18" t="str">
        <f>VLOOKUP(E729,Listas!B1:C1004,2,0)</f>
        <v>EGRESADO</v>
      </c>
      <c r="G729" s="19">
        <f>VLOOKUP(A729,'ESTADOS ESTUDIANTES'!B:L,7,0)</f>
        <v>4</v>
      </c>
      <c r="H729" s="19">
        <f>VLOOKUP(A729,'ESTADOS ESTUDIANTES'!B:L,8,0)</f>
        <v>0</v>
      </c>
      <c r="I729" s="70" t="str">
        <f>VLOOKUP(A729,'ESTADOS ESTUDIANTES'!B:L,9,0)</f>
        <v>gabriel.andres.alzate@gmail.com</v>
      </c>
      <c r="J729" s="19" t="str">
        <f>VLOOKUP(A729,'ESTADOS ESTUDIANTES'!B:L,10,0)</f>
        <v>CC</v>
      </c>
      <c r="K729" s="19">
        <f>VLOOKUP(A729,'ESTADOS ESTUDIANTES'!B:L,11,0)</f>
        <v>80259743</v>
      </c>
      <c r="L729" s="19">
        <v>3192024267</v>
      </c>
      <c r="M729" s="20"/>
      <c r="N729" s="22"/>
      <c r="O729" s="15"/>
      <c r="P729" s="15"/>
      <c r="Q729" s="15"/>
      <c r="R729" s="15"/>
      <c r="S729" s="15"/>
      <c r="T729" s="15"/>
      <c r="U729" s="15"/>
    </row>
    <row r="730" spans="1:21" ht="90">
      <c r="A730" s="17">
        <v>20152195004</v>
      </c>
      <c r="B730" s="19" t="str">
        <f>VLOOKUP(A730,'ESTADOS ESTUDIANTES'!B:L,2,0)</f>
        <v>BURGOS ROJAS FABIAN ANDRES</v>
      </c>
      <c r="C730" s="19">
        <f>VLOOKUP(A730,'ESTADOS ESTUDIANTES'!B:L,3,0)</f>
        <v>195</v>
      </c>
      <c r="D730" s="66" t="str">
        <f>VLOOKUP(A730,'ESTADOS ESTUDIANTES'!B:L,4,0)</f>
        <v>MAE. EN CIENCIAS DE LA INF. Y LAS COMUNICACIONES ENFASIS EN TELEINF.</v>
      </c>
      <c r="E730" s="19" t="str">
        <f>VLOOKUP(A730,'ESTADOS ESTUDIANTES'!B:L,5,0)</f>
        <v>X</v>
      </c>
      <c r="F730" s="18" t="str">
        <f>VLOOKUP(E730,Listas!B1:C1004,2,0)</f>
        <v>EXCLUIDO</v>
      </c>
      <c r="G730" s="19" t="str">
        <f>VLOOKUP(A730,'ESTADOS ESTUDIANTES'!B:L,7,0)</f>
        <v>NO REGISTRA</v>
      </c>
      <c r="H730" s="19">
        <f>VLOOKUP(A730,'ESTADOS ESTUDIANTES'!B:L,8,0)</f>
        <v>0</v>
      </c>
      <c r="I730" s="70" t="str">
        <f>VLOOKUP(A730,'ESTADOS ESTUDIANTES'!B:L,9,0)</f>
        <v>fabian.andres.burgos.rojas@gmail.com</v>
      </c>
      <c r="J730" s="19" t="str">
        <f>VLOOKUP(A730,'ESTADOS ESTUDIANTES'!B:L,10,0)</f>
        <v>CC</v>
      </c>
      <c r="K730" s="19">
        <f>VLOOKUP(A730,'ESTADOS ESTUDIANTES'!B:L,11,0)</f>
        <v>1067887695</v>
      </c>
      <c r="L730" s="19">
        <v>3115390238</v>
      </c>
      <c r="M730" s="20"/>
      <c r="N730" s="22"/>
      <c r="O730" s="15"/>
      <c r="P730" s="15"/>
      <c r="Q730" s="15"/>
      <c r="R730" s="15"/>
      <c r="S730" s="15"/>
      <c r="T730" s="15"/>
      <c r="U730" s="15"/>
    </row>
    <row r="731" spans="1:21" ht="90">
      <c r="A731" s="17">
        <v>20152195005</v>
      </c>
      <c r="B731" s="19" t="str">
        <f>VLOOKUP(A731,'ESTADOS ESTUDIANTES'!B:L,2,0)</f>
        <v>CAMARGO LÓPEZ JULIÁN ROLANDO</v>
      </c>
      <c r="C731" s="19">
        <f>VLOOKUP(A731,'ESTADOS ESTUDIANTES'!B:L,3,0)</f>
        <v>195</v>
      </c>
      <c r="D731" s="66" t="str">
        <f>VLOOKUP(A731,'ESTADOS ESTUDIANTES'!B:L,4,0)</f>
        <v>MAE. EN CIENCIAS DE LA INF. Y LAS COMUNICACIONES ENFASIS EN TELEINF.</v>
      </c>
      <c r="E731" s="19" t="str">
        <f>VLOOKUP(A731,'ESTADOS ESTUDIANTES'!B:L,5,0)</f>
        <v>E</v>
      </c>
      <c r="F731" s="18" t="str">
        <f>VLOOKUP(E731,Listas!B1:C1004,2,0)</f>
        <v>EGRESADO</v>
      </c>
      <c r="G731" s="19" t="str">
        <f>VLOOKUP(A731,'ESTADOS ESTUDIANTES'!B:L,7,0)</f>
        <v>NO REGISTRA</v>
      </c>
      <c r="H731" s="19" t="str">
        <f>VLOOKUP(A731,'ESTADOS ESTUDIANTES'!B:L,8,0)</f>
        <v>jcamargo@udistrital.edu.co</v>
      </c>
      <c r="I731" s="70" t="str">
        <f>VLOOKUP(A731,'ESTADOS ESTUDIANTES'!B:L,9,0)</f>
        <v>jcamargo@udistrital.edu.co</v>
      </c>
      <c r="J731" s="19" t="str">
        <f>VLOOKUP(A731,'ESTADOS ESTUDIANTES'!B:L,10,0)</f>
        <v>CC</v>
      </c>
      <c r="K731" s="19">
        <f>VLOOKUP(A731,'ESTADOS ESTUDIANTES'!B:L,11,0)</f>
        <v>79560853</v>
      </c>
      <c r="L731" s="23"/>
      <c r="M731" s="20"/>
      <c r="N731" s="22"/>
      <c r="O731" s="15"/>
      <c r="P731" s="15"/>
      <c r="Q731" s="15"/>
      <c r="R731" s="15"/>
      <c r="S731" s="15"/>
      <c r="T731" s="15"/>
      <c r="U731" s="15"/>
    </row>
    <row r="732" spans="1:21" ht="90">
      <c r="A732" s="17">
        <v>20152195006</v>
      </c>
      <c r="B732" s="19" t="str">
        <f>VLOOKUP(A732,'ESTADOS ESTUDIANTES'!B:L,2,0)</f>
        <v>CRUZ GARCIA MANUEL ALEJANDRO</v>
      </c>
      <c r="C732" s="19">
        <f>VLOOKUP(A732,'ESTADOS ESTUDIANTES'!B:L,3,0)</f>
        <v>195</v>
      </c>
      <c r="D732" s="66" t="str">
        <f>VLOOKUP(A732,'ESTADOS ESTUDIANTES'!B:L,4,0)</f>
        <v>MAE. EN CIENCIAS DE LA INF. Y LAS COMUNICACIONES ENFASIS EN TELEINF.</v>
      </c>
      <c r="E732" s="19" t="str">
        <f>VLOOKUP(A732,'ESTADOS ESTUDIANTES'!B:L,5,0)</f>
        <v>X</v>
      </c>
      <c r="F732" s="18" t="str">
        <f>VLOOKUP(E732,Listas!B1:C1004,2,0)</f>
        <v>EXCLUIDO</v>
      </c>
      <c r="G732" s="19" t="str">
        <f>VLOOKUP(A732,'ESTADOS ESTUDIANTES'!B:L,7,0)</f>
        <v>NO REGISTRA</v>
      </c>
      <c r="H732" s="19">
        <f>VLOOKUP(A732,'ESTADOS ESTUDIANTES'!B:L,8,0)</f>
        <v>0</v>
      </c>
      <c r="I732" s="70" t="str">
        <f>VLOOKUP(A732,'ESTADOS ESTUDIANTES'!B:L,9,0)</f>
        <v>macruga@gmail.com</v>
      </c>
      <c r="J732" s="19" t="str">
        <f>VLOOKUP(A732,'ESTADOS ESTUDIANTES'!B:L,10,0)</f>
        <v>CC</v>
      </c>
      <c r="K732" s="19">
        <f>VLOOKUP(A732,'ESTADOS ESTUDIANTES'!B:L,11,0)</f>
        <v>80138072</v>
      </c>
      <c r="L732" s="19">
        <v>3115598705</v>
      </c>
      <c r="M732" s="20"/>
      <c r="N732" s="22"/>
      <c r="O732" s="15"/>
      <c r="P732" s="15"/>
      <c r="Q732" s="15"/>
      <c r="R732" s="15"/>
      <c r="S732" s="15"/>
      <c r="T732" s="15"/>
      <c r="U732" s="15"/>
    </row>
    <row r="733" spans="1:21" ht="90">
      <c r="A733" s="17">
        <v>20152195008</v>
      </c>
      <c r="B733" s="19" t="str">
        <f>VLOOKUP(A733,'ESTADOS ESTUDIANTES'!B:L,2,0)</f>
        <v>GACHARNA TRIVIÑO JUAN EDISON</v>
      </c>
      <c r="C733" s="19">
        <f>VLOOKUP(A733,'ESTADOS ESTUDIANTES'!B:L,3,0)</f>
        <v>195</v>
      </c>
      <c r="D733" s="66" t="str">
        <f>VLOOKUP(A733,'ESTADOS ESTUDIANTES'!B:L,4,0)</f>
        <v>MAE. EN CIENCIAS DE LA INF. Y LAS COMUNICACIONES ENFASIS EN TELEINF.</v>
      </c>
      <c r="E733" s="19" t="str">
        <f>VLOOKUP(A733,'ESTADOS ESTUDIANTES'!B:L,5,0)</f>
        <v>X</v>
      </c>
      <c r="F733" s="18" t="str">
        <f>VLOOKUP(E733,Listas!B1:C1004,2,0)</f>
        <v>EXCLUIDO</v>
      </c>
      <c r="G733" s="19" t="str">
        <f>VLOOKUP(A733,'ESTADOS ESTUDIANTES'!B:L,7,0)</f>
        <v>NO REGISTRA</v>
      </c>
      <c r="H733" s="19">
        <f>VLOOKUP(A733,'ESTADOS ESTUDIANTES'!B:L,8,0)</f>
        <v>0</v>
      </c>
      <c r="I733" s="70" t="str">
        <f>VLOOKUP(A733,'ESTADOS ESTUDIANTES'!B:L,9,0)</f>
        <v>juedgt86@gmail.com</v>
      </c>
      <c r="J733" s="19" t="str">
        <f>VLOOKUP(A733,'ESTADOS ESTUDIANTES'!B:L,10,0)</f>
        <v>CC</v>
      </c>
      <c r="K733" s="19">
        <f>VLOOKUP(A733,'ESTADOS ESTUDIANTES'!B:L,11,0)</f>
        <v>1019008949</v>
      </c>
      <c r="L733" s="23"/>
      <c r="M733" s="20"/>
      <c r="N733" s="22"/>
      <c r="O733" s="15"/>
      <c r="P733" s="15"/>
      <c r="Q733" s="15"/>
      <c r="R733" s="15"/>
      <c r="S733" s="15"/>
      <c r="T733" s="15"/>
      <c r="U733" s="15"/>
    </row>
    <row r="734" spans="1:21" ht="90">
      <c r="A734" s="17">
        <v>20152195009</v>
      </c>
      <c r="B734" s="19" t="str">
        <f>VLOOKUP(A734,'ESTADOS ESTUDIANTES'!B:L,2,0)</f>
        <v>HERNANDEZ LEON ANDRES FELIPE</v>
      </c>
      <c r="C734" s="19">
        <f>VLOOKUP(A734,'ESTADOS ESTUDIANTES'!B:L,3,0)</f>
        <v>195</v>
      </c>
      <c r="D734" s="66" t="str">
        <f>VLOOKUP(A734,'ESTADOS ESTUDIANTES'!B:L,4,0)</f>
        <v>MAE. EN CIENCIAS DE LA INF. Y LAS COMUNICACIONES ENFASIS EN TELEINF.</v>
      </c>
      <c r="E734" s="19" t="str">
        <f>VLOOKUP(A734,'ESTADOS ESTUDIANTES'!B:L,5,0)</f>
        <v>E</v>
      </c>
      <c r="F734" s="18" t="str">
        <f>VLOOKUP(E734,Listas!B1:C1004,2,0)</f>
        <v>EGRESADO</v>
      </c>
      <c r="G734" s="19" t="str">
        <f>VLOOKUP(A734,'ESTADOS ESTUDIANTES'!B:L,7,0)</f>
        <v>NO REGISTRA</v>
      </c>
      <c r="H734" s="19" t="str">
        <f>VLOOKUP(A734,'ESTADOS ESTUDIANTES'!B:L,8,0)</f>
        <v>afhernandezl@udistrital.edu.co</v>
      </c>
      <c r="I734" s="70" t="str">
        <f>VLOOKUP(A734,'ESTADOS ESTUDIANTES'!B:L,9,0)</f>
        <v>anfeherle@hotmail.com</v>
      </c>
      <c r="J734" s="19" t="str">
        <f>VLOOKUP(A734,'ESTADOS ESTUDIANTES'!B:L,10,0)</f>
        <v>CC</v>
      </c>
      <c r="K734" s="19">
        <f>VLOOKUP(A734,'ESTADOS ESTUDIANTES'!B:L,11,0)</f>
        <v>1018424588</v>
      </c>
      <c r="L734" s="19">
        <v>3174800094</v>
      </c>
      <c r="M734" s="20"/>
      <c r="N734" s="22"/>
      <c r="O734" s="15"/>
      <c r="P734" s="15"/>
      <c r="Q734" s="15"/>
      <c r="R734" s="15"/>
      <c r="S734" s="15"/>
      <c r="T734" s="15"/>
      <c r="U734" s="15"/>
    </row>
    <row r="735" spans="1:21" ht="90">
      <c r="A735" s="17">
        <v>20152195010</v>
      </c>
      <c r="B735" s="19" t="str">
        <f>VLOOKUP(A735,'ESTADOS ESTUDIANTES'!B:L,2,0)</f>
        <v>KING LOBO RICARDO JAVIER</v>
      </c>
      <c r="C735" s="19">
        <f>VLOOKUP(A735,'ESTADOS ESTUDIANTES'!B:L,3,0)</f>
        <v>195</v>
      </c>
      <c r="D735" s="66" t="str">
        <f>VLOOKUP(A735,'ESTADOS ESTUDIANTES'!B:L,4,0)</f>
        <v>MAE. EN CIENCIAS DE LA INF. Y LAS COMUNICACIONES ENFASIS EN TELEINF.</v>
      </c>
      <c r="E735" s="19" t="str">
        <f>VLOOKUP(A735,'ESTADOS ESTUDIANTES'!B:L,5,0)</f>
        <v>I</v>
      </c>
      <c r="F735" s="18" t="str">
        <f>VLOOKUP(E735,Listas!B1:C1004,2,0)</f>
        <v>INACTIVO</v>
      </c>
      <c r="G735" s="19" t="str">
        <f>VLOOKUP(A735,'ESTADOS ESTUDIANTES'!B:L,7,0)</f>
        <v>NO REGISTRA</v>
      </c>
      <c r="H735" s="19">
        <f>VLOOKUP(A735,'ESTADOS ESTUDIANTES'!B:L,8,0)</f>
        <v>0</v>
      </c>
      <c r="I735" s="70" t="str">
        <f>VLOOKUP(A735,'ESTADOS ESTUDIANTES'!B:L,9,0)</f>
        <v>rcdking@yahoo.com</v>
      </c>
      <c r="J735" s="19" t="str">
        <f>VLOOKUP(A735,'ESTADOS ESTUDIANTES'!B:L,10,0)</f>
        <v>CC</v>
      </c>
      <c r="K735" s="19">
        <f>VLOOKUP(A735,'ESTADOS ESTUDIANTES'!B:L,11,0)</f>
        <v>79967910</v>
      </c>
      <c r="L735" s="23"/>
      <c r="M735" s="20"/>
      <c r="N735" s="22"/>
      <c r="O735" s="15"/>
      <c r="P735" s="15"/>
      <c r="Q735" s="15"/>
      <c r="R735" s="15"/>
      <c r="S735" s="15"/>
      <c r="T735" s="15"/>
      <c r="U735" s="15"/>
    </row>
    <row r="736" spans="1:21" ht="90">
      <c r="A736" s="17">
        <v>20152195011</v>
      </c>
      <c r="B736" s="19" t="str">
        <f>VLOOKUP(A736,'ESTADOS ESTUDIANTES'!B:L,2,0)</f>
        <v>LEON CARVAJAL JHON FREDY</v>
      </c>
      <c r="C736" s="19">
        <f>VLOOKUP(A736,'ESTADOS ESTUDIANTES'!B:L,3,0)</f>
        <v>195</v>
      </c>
      <c r="D736" s="66" t="str">
        <f>VLOOKUP(A736,'ESTADOS ESTUDIANTES'!B:L,4,0)</f>
        <v>MAE. EN CIENCIAS DE LA INF. Y LAS COMUNICACIONES ENFASIS EN TELEINF.</v>
      </c>
      <c r="E736" s="19" t="str">
        <f>VLOOKUP(A736,'ESTADOS ESTUDIANTES'!B:L,5,0)</f>
        <v>X</v>
      </c>
      <c r="F736" s="18" t="str">
        <f>VLOOKUP(E736,Listas!B1:C1004,2,0)</f>
        <v>EXCLUIDO</v>
      </c>
      <c r="G736" s="19" t="str">
        <f>VLOOKUP(A736,'ESTADOS ESTUDIANTES'!B:L,7,0)</f>
        <v>NO REGISTRA</v>
      </c>
      <c r="H736" s="19">
        <f>VLOOKUP(A736,'ESTADOS ESTUDIANTES'!B:L,8,0)</f>
        <v>0</v>
      </c>
      <c r="I736" s="70" t="str">
        <f>VLOOKUP(A736,'ESTADOS ESTUDIANTES'!B:L,9,0)</f>
        <v>john_6691@hotmail.com</v>
      </c>
      <c r="J736" s="19" t="str">
        <f>VLOOKUP(A736,'ESTADOS ESTUDIANTES'!B:L,10,0)</f>
        <v>CC</v>
      </c>
      <c r="K736" s="19">
        <f>VLOOKUP(A736,'ESTADOS ESTUDIANTES'!B:L,11,0)</f>
        <v>1020762823</v>
      </c>
      <c r="L736" s="23"/>
      <c r="M736" s="20"/>
      <c r="N736" s="22"/>
      <c r="O736" s="15"/>
      <c r="P736" s="15"/>
      <c r="Q736" s="15"/>
      <c r="R736" s="15"/>
      <c r="S736" s="15"/>
      <c r="T736" s="15"/>
      <c r="U736" s="15"/>
    </row>
    <row r="737" spans="1:21" ht="90">
      <c r="A737" s="17">
        <v>20152195012</v>
      </c>
      <c r="B737" s="19" t="str">
        <f>VLOOKUP(A737,'ESTADOS ESTUDIANTES'!B:L,2,0)</f>
        <v>LOPEZ SALAMANCA EDGAR ANDRES</v>
      </c>
      <c r="C737" s="19">
        <f>VLOOKUP(A737,'ESTADOS ESTUDIANTES'!B:L,3,0)</f>
        <v>195</v>
      </c>
      <c r="D737" s="66" t="str">
        <f>VLOOKUP(A737,'ESTADOS ESTUDIANTES'!B:L,4,0)</f>
        <v>MAE. EN CIENCIAS DE LA INF. Y LAS COMUNICACIONES ENFASIS EN TELEINF.</v>
      </c>
      <c r="E737" s="19" t="str">
        <f>VLOOKUP(A737,'ESTADOS ESTUDIANTES'!B:L,5,0)</f>
        <v>E</v>
      </c>
      <c r="F737" s="18" t="str">
        <f>VLOOKUP(E737,Listas!B1:C1004,2,0)</f>
        <v>EGRESADO</v>
      </c>
      <c r="G737" s="19" t="str">
        <f>VLOOKUP(A737,'ESTADOS ESTUDIANTES'!B:L,7,0)</f>
        <v>NO REGISTRA</v>
      </c>
      <c r="H737" s="19" t="str">
        <f>VLOOKUP(A737,'ESTADOS ESTUDIANTES'!B:L,8,0)</f>
        <v>ealopezs@udistrital.edu.co</v>
      </c>
      <c r="I737" s="70" t="str">
        <f>VLOOKUP(A737,'ESTADOS ESTUDIANTES'!B:L,9,0)</f>
        <v>andres.lopez.salamanca@gmail.com</v>
      </c>
      <c r="J737" s="19" t="str">
        <f>VLOOKUP(A737,'ESTADOS ESTUDIANTES'!B:L,10,0)</f>
        <v>CC</v>
      </c>
      <c r="K737" s="19">
        <f>VLOOKUP(A737,'ESTADOS ESTUDIANTES'!B:L,11,0)</f>
        <v>80843494</v>
      </c>
      <c r="L737" s="19">
        <v>3057121346</v>
      </c>
      <c r="M737" s="20"/>
      <c r="N737" s="22"/>
      <c r="O737" s="15"/>
      <c r="P737" s="15"/>
      <c r="Q737" s="15"/>
      <c r="R737" s="15"/>
      <c r="S737" s="15"/>
      <c r="T737" s="15"/>
      <c r="U737" s="15"/>
    </row>
    <row r="738" spans="1:21" ht="90">
      <c r="A738" s="17">
        <v>20152195013</v>
      </c>
      <c r="B738" s="19" t="str">
        <f>VLOOKUP(A738,'ESTADOS ESTUDIANTES'!B:L,2,0)</f>
        <v>LOPEZ SANCHEZ WILSON RICARDO</v>
      </c>
      <c r="C738" s="19">
        <f>VLOOKUP(A738,'ESTADOS ESTUDIANTES'!B:L,3,0)</f>
        <v>195</v>
      </c>
      <c r="D738" s="66" t="str">
        <f>VLOOKUP(A738,'ESTADOS ESTUDIANTES'!B:L,4,0)</f>
        <v>MAE. EN CIENCIAS DE LA INF. Y LAS COMUNICACIONES ENFASIS EN TELEINF.</v>
      </c>
      <c r="E738" s="19" t="str">
        <f>VLOOKUP(A738,'ESTADOS ESTUDIANTES'!B:L,5,0)</f>
        <v>E</v>
      </c>
      <c r="F738" s="18" t="str">
        <f>VLOOKUP(E738,Listas!B1:C1004,2,0)</f>
        <v>EGRESADO</v>
      </c>
      <c r="G738" s="19" t="str">
        <f>VLOOKUP(A738,'ESTADOS ESTUDIANTES'!B:L,7,0)</f>
        <v>NO REGISTRA</v>
      </c>
      <c r="H738" s="19">
        <f>VLOOKUP(A738,'ESTADOS ESTUDIANTES'!B:L,8,0)</f>
        <v>0</v>
      </c>
      <c r="I738" s="70" t="str">
        <f>VLOOKUP(A738,'ESTADOS ESTUDIANTES'!B:L,9,0)</f>
        <v>wilrilo@gmail.com</v>
      </c>
      <c r="J738" s="19" t="str">
        <f>VLOOKUP(A738,'ESTADOS ESTUDIANTES'!B:L,10,0)</f>
        <v>CC</v>
      </c>
      <c r="K738" s="19">
        <f>VLOOKUP(A738,'ESTADOS ESTUDIANTES'!B:L,11,0)</f>
        <v>1026268779</v>
      </c>
      <c r="L738" s="19">
        <v>3016216619</v>
      </c>
      <c r="M738" s="20"/>
      <c r="N738" s="22"/>
      <c r="O738" s="15"/>
      <c r="P738" s="15"/>
      <c r="Q738" s="15"/>
      <c r="R738" s="15"/>
      <c r="S738" s="15"/>
      <c r="T738" s="15"/>
      <c r="U738" s="15"/>
    </row>
    <row r="739" spans="1:21" ht="90">
      <c r="A739" s="17">
        <v>20152195014</v>
      </c>
      <c r="B739" s="19" t="str">
        <f>VLOOKUP(A739,'ESTADOS ESTUDIANTES'!B:L,2,0)</f>
        <v>MORALES VEGA TATIANA</v>
      </c>
      <c r="C739" s="19">
        <f>VLOOKUP(A739,'ESTADOS ESTUDIANTES'!B:L,3,0)</f>
        <v>195</v>
      </c>
      <c r="D739" s="66" t="str">
        <f>VLOOKUP(A739,'ESTADOS ESTUDIANTES'!B:L,4,0)</f>
        <v>MAE. EN CIENCIAS DE LA INF. Y LAS COMUNICACIONES ENFASIS EN TELEINF.</v>
      </c>
      <c r="E739" s="19" t="str">
        <f>VLOOKUP(A739,'ESTADOS ESTUDIANTES'!B:L,5,0)</f>
        <v>E</v>
      </c>
      <c r="F739" s="18" t="str">
        <f>VLOOKUP(E739,Listas!B1:C1004,2,0)</f>
        <v>EGRESADO</v>
      </c>
      <c r="G739" s="19" t="str">
        <f>VLOOKUP(A739,'ESTADOS ESTUDIANTES'!B:L,7,0)</f>
        <v>NO REGISTRA</v>
      </c>
      <c r="H739" s="19" t="str">
        <f>VLOOKUP(A739,'ESTADOS ESTUDIANTES'!B:L,8,0)</f>
        <v>tmoralesv@correo.udistrital.edu.co</v>
      </c>
      <c r="I739" s="70" t="str">
        <f>VLOOKUP(A739,'ESTADOS ESTUDIANTES'!B:L,9,0)</f>
        <v>tatiana.morales@transmilenio.gov.co</v>
      </c>
      <c r="J739" s="19" t="str">
        <f>VLOOKUP(A739,'ESTADOS ESTUDIANTES'!B:L,10,0)</f>
        <v>CC</v>
      </c>
      <c r="K739" s="19">
        <f>VLOOKUP(A739,'ESTADOS ESTUDIANTES'!B:L,11,0)</f>
        <v>52779302</v>
      </c>
      <c r="L739" s="19">
        <v>3006956995</v>
      </c>
      <c r="M739" s="20"/>
      <c r="N739" s="22"/>
      <c r="O739" s="15"/>
      <c r="P739" s="15"/>
      <c r="Q739" s="15"/>
      <c r="R739" s="15"/>
      <c r="S739" s="15"/>
      <c r="T739" s="15"/>
      <c r="U739" s="15"/>
    </row>
    <row r="740" spans="1:21" ht="90">
      <c r="A740" s="17">
        <v>20152195015</v>
      </c>
      <c r="B740" s="19" t="str">
        <f>VLOOKUP(A740,'ESTADOS ESTUDIANTES'!B:L,2,0)</f>
        <v>MORENO MORENO ANDRES JULIAN</v>
      </c>
      <c r="C740" s="19">
        <f>VLOOKUP(A740,'ESTADOS ESTUDIANTES'!B:L,3,0)</f>
        <v>195</v>
      </c>
      <c r="D740" s="66" t="str">
        <f>VLOOKUP(A740,'ESTADOS ESTUDIANTES'!B:L,4,0)</f>
        <v>MAE. EN CIENCIAS DE LA INF. Y LAS COMUNICACIONES ENFASIS EN TELEINF.</v>
      </c>
      <c r="E740" s="19" t="str">
        <f>VLOOKUP(A740,'ESTADOS ESTUDIANTES'!B:L,5,0)</f>
        <v>E</v>
      </c>
      <c r="F740" s="18" t="str">
        <f>VLOOKUP(E740,Listas!B1:C1004,2,0)</f>
        <v>EGRESADO</v>
      </c>
      <c r="G740" s="19">
        <f>VLOOKUP(A740,'ESTADOS ESTUDIANTES'!B:L,7,0)</f>
        <v>3</v>
      </c>
      <c r="H740" s="19">
        <f>VLOOKUP(A740,'ESTADOS ESTUDIANTES'!B:L,8,0)</f>
        <v>0</v>
      </c>
      <c r="I740" s="70" t="str">
        <f>VLOOKUP(A740,'ESTADOS ESTUDIANTES'!B:L,9,0)</f>
        <v>andresm2.xy@gmail.com</v>
      </c>
      <c r="J740" s="19" t="str">
        <f>VLOOKUP(A740,'ESTADOS ESTUDIANTES'!B:L,10,0)</f>
        <v>CC</v>
      </c>
      <c r="K740" s="19">
        <f>VLOOKUP(A740,'ESTADOS ESTUDIANTES'!B:L,11,0)</f>
        <v>1032431630</v>
      </c>
      <c r="L740" s="19">
        <v>3125857720</v>
      </c>
      <c r="M740" s="20"/>
      <c r="N740" s="22"/>
      <c r="O740" s="15"/>
      <c r="P740" s="15"/>
      <c r="Q740" s="15"/>
      <c r="R740" s="15"/>
      <c r="S740" s="15"/>
      <c r="T740" s="15"/>
      <c r="U740" s="15"/>
    </row>
    <row r="741" spans="1:21" ht="90">
      <c r="A741" s="17">
        <v>20152195016</v>
      </c>
      <c r="B741" s="19" t="str">
        <f>VLOOKUP(A741,'ESTADOS ESTUDIANTES'!B:L,2,0)</f>
        <v>MUÑOZ NUÑEZ YENY KATHERINE</v>
      </c>
      <c r="C741" s="19">
        <f>VLOOKUP(A741,'ESTADOS ESTUDIANTES'!B:L,3,0)</f>
        <v>195</v>
      </c>
      <c r="D741" s="66" t="str">
        <f>VLOOKUP(A741,'ESTADOS ESTUDIANTES'!B:L,4,0)</f>
        <v>MAE. EN CIENCIAS DE LA INF. Y LAS COMUNICACIONES ENFASIS EN TELEINF.</v>
      </c>
      <c r="E741" s="19" t="str">
        <f>VLOOKUP(A741,'ESTADOS ESTUDIANTES'!B:L,5,0)</f>
        <v>E</v>
      </c>
      <c r="F741" s="18" t="str">
        <f>VLOOKUP(E741,Listas!B1:C1004,2,0)</f>
        <v>EGRESADO</v>
      </c>
      <c r="G741" s="19">
        <f>VLOOKUP(A741,'ESTADOS ESTUDIANTES'!B:L,7,0)</f>
        <v>3</v>
      </c>
      <c r="H741" s="19">
        <f>VLOOKUP(A741,'ESTADOS ESTUDIANTES'!B:L,8,0)</f>
        <v>0</v>
      </c>
      <c r="I741" s="70" t="str">
        <f>VLOOKUP(A741,'ESTADOS ESTUDIANTES'!B:L,9,0)</f>
        <v>yekamunu@gmail.com</v>
      </c>
      <c r="J741" s="19" t="str">
        <f>VLOOKUP(A741,'ESTADOS ESTUDIANTES'!B:L,10,0)</f>
        <v>CC</v>
      </c>
      <c r="K741" s="19">
        <f>VLOOKUP(A741,'ESTADOS ESTUDIANTES'!B:L,11,0)</f>
        <v>1032432662</v>
      </c>
      <c r="L741" s="19">
        <v>3123878444</v>
      </c>
      <c r="M741" s="20">
        <v>32782</v>
      </c>
      <c r="N741" s="22"/>
      <c r="O741" s="15"/>
      <c r="P741" s="15"/>
      <c r="Q741" s="15"/>
      <c r="R741" s="15"/>
      <c r="S741" s="15"/>
      <c r="T741" s="15"/>
      <c r="U741" s="15"/>
    </row>
    <row r="742" spans="1:21" ht="90">
      <c r="A742" s="17">
        <v>20152195017</v>
      </c>
      <c r="B742" s="19" t="str">
        <f>VLOOKUP(A742,'ESTADOS ESTUDIANTES'!B:L,2,0)</f>
        <v>OLIVEROS ROBAYO ORLANDO ENRIQUE</v>
      </c>
      <c r="C742" s="19">
        <f>VLOOKUP(A742,'ESTADOS ESTUDIANTES'!B:L,3,0)</f>
        <v>195</v>
      </c>
      <c r="D742" s="66" t="str">
        <f>VLOOKUP(A742,'ESTADOS ESTUDIANTES'!B:L,4,0)</f>
        <v>MAE. EN CIENCIAS DE LA INF. Y LAS COMUNICACIONES ENFASIS EN TELEINF.</v>
      </c>
      <c r="E742" s="19" t="str">
        <f>VLOOKUP(A742,'ESTADOS ESTUDIANTES'!B:L,5,0)</f>
        <v>X</v>
      </c>
      <c r="F742" s="18" t="str">
        <f>VLOOKUP(E742,Listas!B1:C1004,2,0)</f>
        <v>EXCLUIDO</v>
      </c>
      <c r="G742" s="19">
        <f>VLOOKUP(A742,'ESTADOS ESTUDIANTES'!B:L,7,0)</f>
        <v>4</v>
      </c>
      <c r="H742" s="19">
        <f>VLOOKUP(A742,'ESTADOS ESTUDIANTES'!B:L,8,0)</f>
        <v>0</v>
      </c>
      <c r="I742" s="70" t="str">
        <f>VLOOKUP(A742,'ESTADOS ESTUDIANTES'!B:L,9,0)</f>
        <v>orlando__ol@hotmail.com</v>
      </c>
      <c r="J742" s="19" t="str">
        <f>VLOOKUP(A742,'ESTADOS ESTUDIANTES'!B:L,10,0)</f>
        <v>CC</v>
      </c>
      <c r="K742" s="19">
        <f>VLOOKUP(A742,'ESTADOS ESTUDIANTES'!B:L,11,0)</f>
        <v>79795395</v>
      </c>
      <c r="L742" s="19">
        <v>3112594451</v>
      </c>
      <c r="M742" s="20">
        <v>28584</v>
      </c>
      <c r="N742" s="22"/>
      <c r="O742" s="15"/>
      <c r="P742" s="15"/>
      <c r="Q742" s="15"/>
      <c r="R742" s="15"/>
      <c r="S742" s="15"/>
      <c r="T742" s="15"/>
      <c r="U742" s="15"/>
    </row>
    <row r="743" spans="1:21" ht="90">
      <c r="A743" s="17">
        <v>20152195018</v>
      </c>
      <c r="B743" s="19" t="str">
        <f>VLOOKUP(A743,'ESTADOS ESTUDIANTES'!B:L,2,0)</f>
        <v>PACHON PINZON JHON ALEXANDER</v>
      </c>
      <c r="C743" s="19">
        <f>VLOOKUP(A743,'ESTADOS ESTUDIANTES'!B:L,3,0)</f>
        <v>195</v>
      </c>
      <c r="D743" s="66" t="str">
        <f>VLOOKUP(A743,'ESTADOS ESTUDIANTES'!B:L,4,0)</f>
        <v>MAE. EN CIENCIAS DE LA INF. Y LAS COMUNICACIONES ENFASIS EN TELEINF.</v>
      </c>
      <c r="E743" s="19" t="str">
        <f>VLOOKUP(A743,'ESTADOS ESTUDIANTES'!B:L,5,0)</f>
        <v>N</v>
      </c>
      <c r="F743" s="18" t="str">
        <f>VLOOKUP(E743,Listas!B1:C1004,2,0)</f>
        <v>ERROR DE CODIGO</v>
      </c>
      <c r="G743" s="19" t="str">
        <f>VLOOKUP(A743,'ESTADOS ESTUDIANTES'!B:L,7,0)</f>
        <v>NO REGISTRA</v>
      </c>
      <c r="H743" s="19">
        <f>VLOOKUP(A743,'ESTADOS ESTUDIANTES'!B:L,8,0)</f>
        <v>0</v>
      </c>
      <c r="I743" s="70" t="str">
        <f>VLOOKUP(A743,'ESTADOS ESTUDIANTES'!B:L,9,0)</f>
        <v>john.pachon.p@gmail.com</v>
      </c>
      <c r="J743" s="19" t="str">
        <f>VLOOKUP(A743,'ESTADOS ESTUDIANTES'!B:L,10,0)</f>
        <v>CC</v>
      </c>
      <c r="K743" s="19">
        <f>VLOOKUP(A743,'ESTADOS ESTUDIANTES'!B:L,11,0)</f>
        <v>1075664409</v>
      </c>
      <c r="L743" s="23"/>
      <c r="M743" s="20"/>
      <c r="N743" s="22"/>
      <c r="O743" s="15"/>
      <c r="P743" s="15"/>
      <c r="Q743" s="15"/>
      <c r="R743" s="15"/>
      <c r="S743" s="15"/>
      <c r="T743" s="15"/>
      <c r="U743" s="15"/>
    </row>
    <row r="744" spans="1:21" ht="90">
      <c r="A744" s="17">
        <v>20152195019</v>
      </c>
      <c r="B744" s="19" t="str">
        <f>VLOOKUP(A744,'ESTADOS ESTUDIANTES'!B:L,2,0)</f>
        <v>PARDO CADENA DUVAN ARLEY</v>
      </c>
      <c r="C744" s="19">
        <f>VLOOKUP(A744,'ESTADOS ESTUDIANTES'!B:L,3,0)</f>
        <v>195</v>
      </c>
      <c r="D744" s="66" t="str">
        <f>VLOOKUP(A744,'ESTADOS ESTUDIANTES'!B:L,4,0)</f>
        <v>MAE. EN CIENCIAS DE LA INF. Y LAS COMUNICACIONES ENFASIS EN TELEINF.</v>
      </c>
      <c r="E744" s="19" t="str">
        <f>VLOOKUP(A744,'ESTADOS ESTUDIANTES'!B:L,5,0)</f>
        <v>E</v>
      </c>
      <c r="F744" s="18" t="str">
        <f>VLOOKUP(E744,Listas!B1:C1004,2,0)</f>
        <v>EGRESADO</v>
      </c>
      <c r="G744" s="19" t="str">
        <f>VLOOKUP(A744,'ESTADOS ESTUDIANTES'!B:L,7,0)</f>
        <v>NO REGISTRA</v>
      </c>
      <c r="H744" s="19">
        <f>VLOOKUP(A744,'ESTADOS ESTUDIANTES'!B:L,8,0)</f>
        <v>0</v>
      </c>
      <c r="I744" s="70" t="str">
        <f>VLOOKUP(A744,'ESTADOS ESTUDIANTES'!B:L,9,0)</f>
        <v>dapardoc@gmail.com</v>
      </c>
      <c r="J744" s="19" t="str">
        <f>VLOOKUP(A744,'ESTADOS ESTUDIANTES'!B:L,10,0)</f>
        <v>CC</v>
      </c>
      <c r="K744" s="19">
        <f>VLOOKUP(A744,'ESTADOS ESTUDIANTES'!B:L,11,0)</f>
        <v>1018451803</v>
      </c>
      <c r="L744" s="19">
        <v>3006596900</v>
      </c>
      <c r="M744" s="20"/>
      <c r="N744" s="22"/>
      <c r="O744" s="15"/>
      <c r="P744" s="15"/>
      <c r="Q744" s="15"/>
      <c r="R744" s="15"/>
      <c r="S744" s="15"/>
      <c r="T744" s="15"/>
      <c r="U744" s="15"/>
    </row>
    <row r="745" spans="1:21" ht="90">
      <c r="A745" s="17">
        <v>20152195020</v>
      </c>
      <c r="B745" s="19" t="str">
        <f>VLOOKUP(A745,'ESTADOS ESTUDIANTES'!B:L,2,0)</f>
        <v>PEÑA CARO WILSON JAVIER</v>
      </c>
      <c r="C745" s="19">
        <f>VLOOKUP(A745,'ESTADOS ESTUDIANTES'!B:L,3,0)</f>
        <v>195</v>
      </c>
      <c r="D745" s="66" t="str">
        <f>VLOOKUP(A745,'ESTADOS ESTUDIANTES'!B:L,4,0)</f>
        <v>MAE. EN CIENCIAS DE LA INF. Y LAS COMUNICACIONES ENFASIS EN TELEINF.</v>
      </c>
      <c r="E745" s="19" t="str">
        <f>VLOOKUP(A745,'ESTADOS ESTUDIANTES'!B:L,5,0)</f>
        <v>E</v>
      </c>
      <c r="F745" s="18" t="str">
        <f>VLOOKUP(E745,Listas!B1:C1004,2,0)</f>
        <v>EGRESADO</v>
      </c>
      <c r="G745" s="19" t="str">
        <f>VLOOKUP(A745,'ESTADOS ESTUDIANTES'!B:L,7,0)</f>
        <v>NO REGISTRA</v>
      </c>
      <c r="H745" s="19" t="str">
        <f>VLOOKUP(A745,'ESTADOS ESTUDIANTES'!B:L,8,0)</f>
        <v>wjpenac@correo.udistrital.edu.co</v>
      </c>
      <c r="I745" s="70" t="str">
        <f>VLOOKUP(A745,'ESTADOS ESTUDIANTES'!B:L,9,0)</f>
        <v>wiljha@hotmail.com</v>
      </c>
      <c r="J745" s="19" t="str">
        <f>VLOOKUP(A745,'ESTADOS ESTUDIANTES'!B:L,10,0)</f>
        <v>CC</v>
      </c>
      <c r="K745" s="19">
        <f>VLOOKUP(A745,'ESTADOS ESTUDIANTES'!B:L,11,0)</f>
        <v>1010175143</v>
      </c>
      <c r="L745" s="19">
        <v>3152961097</v>
      </c>
      <c r="M745" s="20"/>
      <c r="N745" s="22"/>
      <c r="O745" s="15"/>
      <c r="P745" s="15"/>
      <c r="Q745" s="15"/>
      <c r="R745" s="15"/>
      <c r="S745" s="15"/>
      <c r="T745" s="15"/>
      <c r="U745" s="15"/>
    </row>
    <row r="746" spans="1:21" ht="90">
      <c r="A746" s="17">
        <v>20152195021</v>
      </c>
      <c r="B746" s="19" t="str">
        <f>VLOOKUP(A746,'ESTADOS ESTUDIANTES'!B:L,2,0)</f>
        <v>PEREZ ALMEIDA SERGIO ALEJANDRO</v>
      </c>
      <c r="C746" s="19">
        <f>VLOOKUP(A746,'ESTADOS ESTUDIANTES'!B:L,3,0)</f>
        <v>195</v>
      </c>
      <c r="D746" s="66" t="str">
        <f>VLOOKUP(A746,'ESTADOS ESTUDIANTES'!B:L,4,0)</f>
        <v>MAE. EN CIENCIAS DE LA INF. Y LAS COMUNICACIONES ENFASIS EN TELEINF.</v>
      </c>
      <c r="E746" s="19" t="str">
        <f>VLOOKUP(A746,'ESTADOS ESTUDIANTES'!B:L,5,0)</f>
        <v>E</v>
      </c>
      <c r="F746" s="18" t="str">
        <f>VLOOKUP(E746,Listas!B1:C1004,2,0)</f>
        <v>EGRESADO</v>
      </c>
      <c r="G746" s="19">
        <f>VLOOKUP(A746,'ESTADOS ESTUDIANTES'!B:L,7,0)</f>
        <v>3</v>
      </c>
      <c r="H746" s="19" t="str">
        <f>VLOOKUP(A746,'ESTADOS ESTUDIANTES'!B:L,8,0)</f>
        <v>sapereza@udistrital.edu.co</v>
      </c>
      <c r="I746" s="70" t="str">
        <f>VLOOKUP(A746,'ESTADOS ESTUDIANTES'!B:L,9,0)</f>
        <v>sergio9012@hotmail.com</v>
      </c>
      <c r="J746" s="19" t="str">
        <f>VLOOKUP(A746,'ESTADOS ESTUDIANTES'!B:L,10,0)</f>
        <v>CC</v>
      </c>
      <c r="K746" s="19">
        <f>VLOOKUP(A746,'ESTADOS ESTUDIANTES'!B:L,11,0)</f>
        <v>1030584421</v>
      </c>
      <c r="L746" s="19">
        <v>3173838985</v>
      </c>
      <c r="M746" s="20"/>
      <c r="N746" s="22"/>
      <c r="O746" s="15"/>
      <c r="P746" s="15"/>
      <c r="Q746" s="15"/>
      <c r="R746" s="15"/>
      <c r="S746" s="15"/>
      <c r="T746" s="15"/>
      <c r="U746" s="15"/>
    </row>
    <row r="747" spans="1:21" ht="90">
      <c r="A747" s="17">
        <v>20152195022</v>
      </c>
      <c r="B747" s="19" t="str">
        <f>VLOOKUP(A747,'ESTADOS ESTUDIANTES'!B:L,2,0)</f>
        <v>PICO RODRIGUEZ DIEGO ALEJANDRO</v>
      </c>
      <c r="C747" s="19">
        <f>VLOOKUP(A747,'ESTADOS ESTUDIANTES'!B:L,3,0)</f>
        <v>195</v>
      </c>
      <c r="D747" s="66" t="str">
        <f>VLOOKUP(A747,'ESTADOS ESTUDIANTES'!B:L,4,0)</f>
        <v>MAE. EN CIENCIAS DE LA INF. Y LAS COMUNICACIONES ENFASIS EN TELEINF.</v>
      </c>
      <c r="E747" s="19" t="str">
        <f>VLOOKUP(A747,'ESTADOS ESTUDIANTES'!B:L,5,0)</f>
        <v>X</v>
      </c>
      <c r="F747" s="18" t="str">
        <f>VLOOKUP(E747,Listas!B1:C1004,2,0)</f>
        <v>EXCLUIDO</v>
      </c>
      <c r="G747" s="19" t="str">
        <f>VLOOKUP(A747,'ESTADOS ESTUDIANTES'!B:L,7,0)</f>
        <v>NO REGISTRA</v>
      </c>
      <c r="H747" s="19" t="str">
        <f>VLOOKUP(A747,'ESTADOS ESTUDIANTES'!B:L,8,0)</f>
        <v>dapicor@udistrital.edu.co</v>
      </c>
      <c r="I747" s="70" t="str">
        <f>VLOOKUP(A747,'ESTADOS ESTUDIANTES'!B:L,9,0)</f>
        <v>diegoapico@gmail.com</v>
      </c>
      <c r="J747" s="19" t="str">
        <f>VLOOKUP(A747,'ESTADOS ESTUDIANTES'!B:L,10,0)</f>
        <v>CC</v>
      </c>
      <c r="K747" s="19">
        <f>VLOOKUP(A747,'ESTADOS ESTUDIANTES'!B:L,11,0)</f>
        <v>79947322</v>
      </c>
      <c r="L747" s="19">
        <v>3057030627</v>
      </c>
      <c r="M747" s="20">
        <v>28507</v>
      </c>
      <c r="N747" s="22"/>
      <c r="O747" s="15"/>
      <c r="P747" s="15"/>
      <c r="Q747" s="15"/>
      <c r="R747" s="15"/>
      <c r="S747" s="15"/>
      <c r="T747" s="15"/>
      <c r="U747" s="15"/>
    </row>
    <row r="748" spans="1:21" ht="90">
      <c r="A748" s="17">
        <v>20152195024</v>
      </c>
      <c r="B748" s="19" t="str">
        <f>VLOOKUP(A748,'ESTADOS ESTUDIANTES'!B:L,2,0)</f>
        <v>TRIANA ESPINOSA JHON JAIRO</v>
      </c>
      <c r="C748" s="19">
        <f>VLOOKUP(A748,'ESTADOS ESTUDIANTES'!B:L,3,0)</f>
        <v>195</v>
      </c>
      <c r="D748" s="66" t="str">
        <f>VLOOKUP(A748,'ESTADOS ESTUDIANTES'!B:L,4,0)</f>
        <v>MAE. EN CIENCIAS DE LA INF. Y LAS COMUNICACIONES ENFASIS EN TELEINF.</v>
      </c>
      <c r="E748" s="19" t="str">
        <f>VLOOKUP(A748,'ESTADOS ESTUDIANTES'!B:L,5,0)</f>
        <v>X</v>
      </c>
      <c r="F748" s="18" t="str">
        <f>VLOOKUP(E748,Listas!B1:C1004,2,0)</f>
        <v>EXCLUIDO</v>
      </c>
      <c r="G748" s="19" t="str">
        <f>VLOOKUP(A748,'ESTADOS ESTUDIANTES'!B:L,7,0)</f>
        <v>NO REGISTRA</v>
      </c>
      <c r="H748" s="19" t="str">
        <f>VLOOKUP(A748,'ESTADOS ESTUDIANTES'!B:L,8,0)</f>
        <v>jjtrianae@correo.udistrital.edu.co</v>
      </c>
      <c r="I748" s="70" t="str">
        <f>VLOOKUP(A748,'ESTADOS ESTUDIANTES'!B:L,9,0)</f>
        <v>jjairo.triana@gmail.com</v>
      </c>
      <c r="J748" s="19" t="str">
        <f>VLOOKUP(A748,'ESTADOS ESTUDIANTES'!B:L,10,0)</f>
        <v>CC</v>
      </c>
      <c r="K748" s="19">
        <f>VLOOKUP(A748,'ESTADOS ESTUDIANTES'!B:L,11,0)</f>
        <v>9398443</v>
      </c>
      <c r="L748" s="19">
        <v>3123334569</v>
      </c>
      <c r="M748" s="20"/>
      <c r="N748" s="22"/>
      <c r="O748" s="15"/>
      <c r="P748" s="15"/>
      <c r="Q748" s="15"/>
      <c r="R748" s="15"/>
      <c r="S748" s="15"/>
      <c r="T748" s="15"/>
      <c r="U748" s="15"/>
    </row>
    <row r="749" spans="1:21" ht="90">
      <c r="A749" s="17">
        <v>20152195025</v>
      </c>
      <c r="B749" s="19" t="str">
        <f>VLOOKUP(A749,'ESTADOS ESTUDIANTES'!B:L,2,0)</f>
        <v>VARGAS HERNANDEZ ASTRID JOHANNA</v>
      </c>
      <c r="C749" s="19">
        <f>VLOOKUP(A749,'ESTADOS ESTUDIANTES'!B:L,3,0)</f>
        <v>195</v>
      </c>
      <c r="D749" s="66" t="str">
        <f>VLOOKUP(A749,'ESTADOS ESTUDIANTES'!B:L,4,0)</f>
        <v>MAE. EN CIENCIAS DE LA INF. Y LAS COMUNICACIONES ENFASIS EN TELEINF.</v>
      </c>
      <c r="E749" s="19" t="str">
        <f>VLOOKUP(A749,'ESTADOS ESTUDIANTES'!B:L,5,0)</f>
        <v>X</v>
      </c>
      <c r="F749" s="18" t="str">
        <f>VLOOKUP(E749,Listas!B1:C1004,2,0)</f>
        <v>EXCLUIDO</v>
      </c>
      <c r="G749" s="19" t="str">
        <f>VLOOKUP(A749,'ESTADOS ESTUDIANTES'!B:L,7,0)</f>
        <v>NO REGISTRA</v>
      </c>
      <c r="H749" s="19">
        <f>VLOOKUP(A749,'ESTADOS ESTUDIANTES'!B:L,8,0)</f>
        <v>0</v>
      </c>
      <c r="I749" s="70" t="str">
        <f>VLOOKUP(A749,'ESTADOS ESTUDIANTES'!B:L,9,0)</f>
        <v>johannavha@gmail.com</v>
      </c>
      <c r="J749" s="19" t="str">
        <f>VLOOKUP(A749,'ESTADOS ESTUDIANTES'!B:L,10,0)</f>
        <v>CC</v>
      </c>
      <c r="K749" s="19">
        <f>VLOOKUP(A749,'ESTADOS ESTUDIANTES'!B:L,11,0)</f>
        <v>52827261</v>
      </c>
      <c r="L749" s="19">
        <v>3182658531</v>
      </c>
      <c r="M749" s="20"/>
      <c r="N749" s="22"/>
      <c r="O749" s="15"/>
      <c r="P749" s="15"/>
      <c r="Q749" s="15"/>
      <c r="R749" s="15"/>
      <c r="S749" s="15"/>
      <c r="T749" s="15"/>
      <c r="U749" s="15"/>
    </row>
    <row r="750" spans="1:21" ht="90">
      <c r="A750" s="17">
        <v>20152195026</v>
      </c>
      <c r="B750" s="19" t="str">
        <f>VLOOKUP(A750,'ESTADOS ESTUDIANTES'!B:L,2,0)</f>
        <v>ZARTA ESCOBAR FELIPE ANDRES</v>
      </c>
      <c r="C750" s="19">
        <f>VLOOKUP(A750,'ESTADOS ESTUDIANTES'!B:L,3,0)</f>
        <v>195</v>
      </c>
      <c r="D750" s="66" t="str">
        <f>VLOOKUP(A750,'ESTADOS ESTUDIANTES'!B:L,4,0)</f>
        <v>MAE. EN CIENCIAS DE LA INF. Y LAS COMUNICACIONES ENFASIS EN TELEINF.</v>
      </c>
      <c r="E750" s="19" t="str">
        <f>VLOOKUP(A750,'ESTADOS ESTUDIANTES'!B:L,5,0)</f>
        <v>E</v>
      </c>
      <c r="F750" s="18" t="str">
        <f>VLOOKUP(E750,Listas!B1:C1004,2,0)</f>
        <v>EGRESADO</v>
      </c>
      <c r="G750" s="19" t="str">
        <f>VLOOKUP(A750,'ESTADOS ESTUDIANTES'!B:L,7,0)</f>
        <v>NO REGISTRA</v>
      </c>
      <c r="H750" s="19" t="str">
        <f>VLOOKUP(A750,'ESTADOS ESTUDIANTES'!B:L,8,0)</f>
        <v>fazartae@correo.udistrital.edu.co</v>
      </c>
      <c r="I750" s="70" t="str">
        <f>VLOOKUP(A750,'ESTADOS ESTUDIANTES'!B:L,9,0)</f>
        <v>felipe.zarta@gmail.com</v>
      </c>
      <c r="J750" s="19" t="str">
        <f>VLOOKUP(A750,'ESTADOS ESTUDIANTES'!B:L,10,0)</f>
        <v>CC</v>
      </c>
      <c r="K750" s="19">
        <f>VLOOKUP(A750,'ESTADOS ESTUDIANTES'!B:L,11,0)</f>
        <v>1075650800</v>
      </c>
      <c r="L750" s="19">
        <v>3125900055</v>
      </c>
      <c r="M750" s="20"/>
      <c r="N750" s="22"/>
      <c r="O750" s="15"/>
      <c r="P750" s="15"/>
      <c r="Q750" s="15"/>
      <c r="R750" s="15"/>
      <c r="S750" s="15"/>
      <c r="T750" s="15"/>
      <c r="U750" s="15"/>
    </row>
    <row r="751" spans="1:21" ht="105">
      <c r="A751" s="17">
        <v>20152395001</v>
      </c>
      <c r="B751" s="19" t="str">
        <f>VLOOKUP(A751,'ESTADOS ESTUDIANTES'!B:L,2,0)</f>
        <v>ALVARADO VARGAS DIANA CAROLINA</v>
      </c>
      <c r="C751" s="19">
        <f>VLOOKUP(A751,'ESTADOS ESTUDIANTES'!B:L,3,0)</f>
        <v>395</v>
      </c>
      <c r="D751" s="66" t="str">
        <f>VLOOKUP(A751,'ESTADOS ESTUDIANTES'!B:L,4,0)</f>
        <v>MAE. EN CIENCIAS DE LA INF. Y LAS COMUNICACIONES ENFASIS EN GEOMATICA</v>
      </c>
      <c r="E751" s="19" t="str">
        <f>VLOOKUP(A751,'ESTADOS ESTUDIANTES'!B:L,5,0)</f>
        <v>E</v>
      </c>
      <c r="F751" s="18" t="str">
        <f>VLOOKUP(E751,Listas!B1:C1004,2,0)</f>
        <v>EGRESADO</v>
      </c>
      <c r="G751" s="19">
        <f>VLOOKUP(A751,'ESTADOS ESTUDIANTES'!B:L,7,0)</f>
        <v>2</v>
      </c>
      <c r="H751" s="19" t="str">
        <f>VLOOKUP(A751,'ESTADOS ESTUDIANTES'!B:L,8,0)</f>
        <v>dcalvaradov@correo.udistrital.edu.co</v>
      </c>
      <c r="I751" s="70" t="str">
        <f>VLOOKUP(A751,'ESTADOS ESTUDIANTES'!B:L,9,0)</f>
        <v>diana.caro5212@gmail.com</v>
      </c>
      <c r="J751" s="19" t="str">
        <f>VLOOKUP(A751,'ESTADOS ESTUDIANTES'!B:L,10,0)</f>
        <v>CC</v>
      </c>
      <c r="K751" s="19">
        <f>VLOOKUP(A751,'ESTADOS ESTUDIANTES'!B:L,11,0)</f>
        <v>1014196634</v>
      </c>
      <c r="L751" s="19">
        <v>3123167330</v>
      </c>
      <c r="M751" s="20">
        <v>32475</v>
      </c>
      <c r="N751" s="22"/>
      <c r="O751" s="15"/>
      <c r="P751" s="15"/>
      <c r="Q751" s="15"/>
      <c r="R751" s="15"/>
      <c r="S751" s="15"/>
      <c r="T751" s="15"/>
      <c r="U751" s="15"/>
    </row>
    <row r="752" spans="1:21" ht="105">
      <c r="A752" s="17">
        <v>20152395002</v>
      </c>
      <c r="B752" s="19" t="str">
        <f>VLOOKUP(A752,'ESTADOS ESTUDIANTES'!B:L,2,0)</f>
        <v>BENAVIDES GODOY JEISSON ENRIQUE</v>
      </c>
      <c r="C752" s="19">
        <f>VLOOKUP(A752,'ESTADOS ESTUDIANTES'!B:L,3,0)</f>
        <v>395</v>
      </c>
      <c r="D752" s="66" t="str">
        <f>VLOOKUP(A752,'ESTADOS ESTUDIANTES'!B:L,4,0)</f>
        <v>MAE. EN CIENCIAS DE LA INF. Y LAS COMUNICACIONES ENFASIS EN GEOMATICA</v>
      </c>
      <c r="E752" s="19" t="str">
        <f>VLOOKUP(A752,'ESTADOS ESTUDIANTES'!B:L,5,0)</f>
        <v>E</v>
      </c>
      <c r="F752" s="18" t="str">
        <f>VLOOKUP(E752,Listas!B1:C1004,2,0)</f>
        <v>EGRESADO</v>
      </c>
      <c r="G752" s="19">
        <f>VLOOKUP(A752,'ESTADOS ESTUDIANTES'!B:L,7,0)</f>
        <v>3</v>
      </c>
      <c r="H752" s="19" t="str">
        <f>VLOOKUP(A752,'ESTADOS ESTUDIANTES'!B:L,8,0)</f>
        <v>jebenavidesg@correo.udistrital.edu.co</v>
      </c>
      <c r="I752" s="70" t="str">
        <f>VLOOKUP(A752,'ESTADOS ESTUDIANTES'!B:L,9,0)</f>
        <v>jeissonbenavides@hotmail.com</v>
      </c>
      <c r="J752" s="19" t="str">
        <f>VLOOKUP(A752,'ESTADOS ESTUDIANTES'!B:L,10,0)</f>
        <v>CC</v>
      </c>
      <c r="K752" s="19">
        <f>VLOOKUP(A752,'ESTADOS ESTUDIANTES'!B:L,11,0)</f>
        <v>1016034010</v>
      </c>
      <c r="L752" s="23"/>
      <c r="M752" s="20"/>
      <c r="N752" s="22"/>
      <c r="O752" s="15"/>
      <c r="P752" s="15"/>
      <c r="Q752" s="15"/>
      <c r="R752" s="15"/>
      <c r="S752" s="15"/>
      <c r="T752" s="15"/>
      <c r="U752" s="15"/>
    </row>
    <row r="753" spans="1:21" ht="105">
      <c r="A753" s="17">
        <v>20152395003</v>
      </c>
      <c r="B753" s="19" t="str">
        <f>VLOOKUP(A753,'ESTADOS ESTUDIANTES'!B:L,2,0)</f>
        <v>LADINO ROJAS EDITH JOHANA</v>
      </c>
      <c r="C753" s="19">
        <f>VLOOKUP(A753,'ESTADOS ESTUDIANTES'!B:L,3,0)</f>
        <v>395</v>
      </c>
      <c r="D753" s="66" t="str">
        <f>VLOOKUP(A753,'ESTADOS ESTUDIANTES'!B:L,4,0)</f>
        <v>MAE. EN CIENCIAS DE LA INF. Y LAS COMUNICACIONES ENFASIS EN GEOMATICA</v>
      </c>
      <c r="E753" s="19" t="str">
        <f>VLOOKUP(A753,'ESTADOS ESTUDIANTES'!B:L,5,0)</f>
        <v>X</v>
      </c>
      <c r="F753" s="18" t="str">
        <f>VLOOKUP(E753,Listas!B1:C1004,2,0)</f>
        <v>EXCLUIDO</v>
      </c>
      <c r="G753" s="19" t="str">
        <f>VLOOKUP(A753,'ESTADOS ESTUDIANTES'!B:L,7,0)</f>
        <v>NO REGISTRA</v>
      </c>
      <c r="H753" s="19">
        <f>VLOOKUP(A753,'ESTADOS ESTUDIANTES'!B:L,8,0)</f>
        <v>0</v>
      </c>
      <c r="I753" s="70" t="str">
        <f>VLOOKUP(A753,'ESTADOS ESTUDIANTES'!B:L,9,0)</f>
        <v>edjolaro@gmail.com</v>
      </c>
      <c r="J753" s="19" t="str">
        <f>VLOOKUP(A753,'ESTADOS ESTUDIANTES'!B:L,10,0)</f>
        <v>CC</v>
      </c>
      <c r="K753" s="19">
        <f>VLOOKUP(A753,'ESTADOS ESTUDIANTES'!B:L,11,0)</f>
        <v>1022359431</v>
      </c>
      <c r="L753" s="19">
        <v>3168337642</v>
      </c>
      <c r="M753" s="20"/>
      <c r="N753" s="22"/>
      <c r="O753" s="15"/>
      <c r="P753" s="15"/>
      <c r="Q753" s="15"/>
      <c r="R753" s="15"/>
      <c r="S753" s="15"/>
      <c r="T753" s="15"/>
      <c r="U753" s="15"/>
    </row>
    <row r="754" spans="1:21" ht="105">
      <c r="A754" s="17">
        <v>20152395004</v>
      </c>
      <c r="B754" s="19" t="str">
        <f>VLOOKUP(A754,'ESTADOS ESTUDIANTES'!B:L,2,0)</f>
        <v>SANCHEZ MIRA LEIDI YESENIA</v>
      </c>
      <c r="C754" s="19">
        <f>VLOOKUP(A754,'ESTADOS ESTUDIANTES'!B:L,3,0)</f>
        <v>395</v>
      </c>
      <c r="D754" s="66" t="str">
        <f>VLOOKUP(A754,'ESTADOS ESTUDIANTES'!B:L,4,0)</f>
        <v>MAE. EN CIENCIAS DE LA INF. Y LAS COMUNICACIONES ENFASIS EN GEOMATICA</v>
      </c>
      <c r="E754" s="19" t="str">
        <f>VLOOKUP(A754,'ESTADOS ESTUDIANTES'!B:L,5,0)</f>
        <v>X</v>
      </c>
      <c r="F754" s="18" t="str">
        <f>VLOOKUP(E754,Listas!B1:C1004,2,0)</f>
        <v>EXCLUIDO</v>
      </c>
      <c r="G754" s="19">
        <f>VLOOKUP(A754,'ESTADOS ESTUDIANTES'!B:L,7,0)</f>
        <v>2</v>
      </c>
      <c r="H754" s="19" t="str">
        <f>VLOOKUP(A754,'ESTADOS ESTUDIANTES'!B:L,8,0)</f>
        <v>lysanchezm@correo.udistrital.edu.co</v>
      </c>
      <c r="I754" s="70" t="str">
        <f>VLOOKUP(A754,'ESTADOS ESTUDIANTES'!B:L,9,0)</f>
        <v>mirayesenia@gmail.com</v>
      </c>
      <c r="J754" s="19" t="str">
        <f>VLOOKUP(A754,'ESTADOS ESTUDIANTES'!B:L,10,0)</f>
        <v>CC</v>
      </c>
      <c r="K754" s="19">
        <f>VLOOKUP(A754,'ESTADOS ESTUDIANTES'!B:L,11,0)</f>
        <v>1024499165</v>
      </c>
      <c r="L754" s="19">
        <v>3144013989</v>
      </c>
      <c r="M754" s="20">
        <v>32878</v>
      </c>
      <c r="N754" s="22"/>
      <c r="O754" s="15"/>
      <c r="P754" s="15"/>
      <c r="Q754" s="15"/>
      <c r="R754" s="15"/>
      <c r="S754" s="15"/>
      <c r="T754" s="15"/>
      <c r="U754" s="15"/>
    </row>
    <row r="755" spans="1:21" ht="105">
      <c r="A755" s="17">
        <v>20152395005</v>
      </c>
      <c r="B755" s="19" t="str">
        <f>VLOOKUP(A755,'ESTADOS ESTUDIANTES'!B:L,2,0)</f>
        <v>TORRES ESQUIVEL JORGE ENRIQUE</v>
      </c>
      <c r="C755" s="19">
        <f>VLOOKUP(A755,'ESTADOS ESTUDIANTES'!B:L,3,0)</f>
        <v>395</v>
      </c>
      <c r="D755" s="66" t="str">
        <f>VLOOKUP(A755,'ESTADOS ESTUDIANTES'!B:L,4,0)</f>
        <v>MAE. EN CIENCIAS DE LA INF. Y LAS COMUNICACIONES ENFASIS EN GEOMATICA</v>
      </c>
      <c r="E755" s="19" t="str">
        <f>VLOOKUP(A755,'ESTADOS ESTUDIANTES'!B:L,5,0)</f>
        <v>X</v>
      </c>
      <c r="F755" s="18" t="str">
        <f>VLOOKUP(E755,Listas!B1:C1004,2,0)</f>
        <v>EXCLUIDO</v>
      </c>
      <c r="G755" s="19">
        <f>VLOOKUP(A755,'ESTADOS ESTUDIANTES'!B:L,7,0)</f>
        <v>3</v>
      </c>
      <c r="H755" s="19" t="str">
        <f>VLOOKUP(A755,'ESTADOS ESTUDIANTES'!B:L,8,0)</f>
        <v>jetorrese@correo.udistrital.edu.co</v>
      </c>
      <c r="I755" s="70" t="str">
        <f>VLOOKUP(A755,'ESTADOS ESTUDIANTES'!B:L,9,0)</f>
        <v>ing.jorgetorres87@gmail.com</v>
      </c>
      <c r="J755" s="19" t="str">
        <f>VLOOKUP(A755,'ESTADOS ESTUDIANTES'!B:L,10,0)</f>
        <v>CC</v>
      </c>
      <c r="K755" s="19">
        <f>VLOOKUP(A755,'ESTADOS ESTUDIANTES'!B:L,11,0)</f>
        <v>1049606086</v>
      </c>
      <c r="L755" s="19">
        <v>3159276696</v>
      </c>
      <c r="M755" s="20"/>
      <c r="N755" s="22"/>
      <c r="O755" s="15"/>
      <c r="P755" s="15"/>
      <c r="Q755" s="15"/>
      <c r="R755" s="15"/>
      <c r="S755" s="15"/>
      <c r="T755" s="15"/>
      <c r="U755" s="15"/>
    </row>
    <row r="756" spans="1:21" ht="90">
      <c r="A756" s="17">
        <v>20152495001</v>
      </c>
      <c r="B756" s="19" t="str">
        <f>VLOOKUP(A756,'ESTADOS ESTUDIANTES'!B:L,2,0)</f>
        <v>BERMUDEZ AMAYA MAURICIO ORLANDO</v>
      </c>
      <c r="C756" s="19">
        <f>VLOOKUP(A756,'ESTADOS ESTUDIANTES'!B:L,3,0)</f>
        <v>495</v>
      </c>
      <c r="D756" s="66" t="str">
        <f>VLOOKUP(A756,'ESTADOS ESTUDIANTES'!B:L,4,0)</f>
        <v>MAE. EN CIENCIAS DE LA INF. Y LAS COMUNICACIONES ENFASIS EN ING. SOFT</v>
      </c>
      <c r="E756" s="19" t="str">
        <f>VLOOKUP(A756,'ESTADOS ESTUDIANTES'!B:L,5,0)</f>
        <v>E</v>
      </c>
      <c r="F756" s="18" t="str">
        <f>VLOOKUP(E756,Listas!B1:C1004,2,0)</f>
        <v>EGRESADO</v>
      </c>
      <c r="G756" s="19">
        <f>VLOOKUP(A756,'ESTADOS ESTUDIANTES'!B:L,7,0)</f>
        <v>3</v>
      </c>
      <c r="H756" s="19">
        <f>VLOOKUP(A756,'ESTADOS ESTUDIANTES'!B:L,8,0)</f>
        <v>0</v>
      </c>
      <c r="I756" s="70" t="str">
        <f>VLOOKUP(A756,'ESTADOS ESTUDIANTES'!B:L,9,0)</f>
        <v>mbermudez.amaya@gmail.com</v>
      </c>
      <c r="J756" s="19" t="str">
        <f>VLOOKUP(A756,'ESTADOS ESTUDIANTES'!B:L,10,0)</f>
        <v>CC</v>
      </c>
      <c r="K756" s="19">
        <f>VLOOKUP(A756,'ESTADOS ESTUDIANTES'!B:L,11,0)</f>
        <v>79498689</v>
      </c>
      <c r="L756" s="19">
        <v>3124664729</v>
      </c>
      <c r="M756" s="20">
        <v>25544</v>
      </c>
      <c r="N756" s="22"/>
      <c r="O756" s="15"/>
      <c r="P756" s="15"/>
      <c r="Q756" s="15"/>
      <c r="R756" s="15"/>
      <c r="S756" s="15"/>
      <c r="T756" s="15"/>
      <c r="U756" s="15"/>
    </row>
    <row r="757" spans="1:21" ht="90">
      <c r="A757" s="17">
        <v>20152495002</v>
      </c>
      <c r="B757" s="19" t="str">
        <f>VLOOKUP(A757,'ESTADOS ESTUDIANTES'!B:L,2,0)</f>
        <v>BUITRAGO ALVARADO ELISEO FERNANDO</v>
      </c>
      <c r="C757" s="19">
        <f>VLOOKUP(A757,'ESTADOS ESTUDIANTES'!B:L,3,0)</f>
        <v>495</v>
      </c>
      <c r="D757" s="66" t="str">
        <f>VLOOKUP(A757,'ESTADOS ESTUDIANTES'!B:L,4,0)</f>
        <v>MAE. EN CIENCIAS DE LA INF. Y LAS COMUNICACIONES ENFASIS EN ING. SOFT</v>
      </c>
      <c r="E757" s="19" t="str">
        <f>VLOOKUP(A757,'ESTADOS ESTUDIANTES'!B:L,5,0)</f>
        <v>E</v>
      </c>
      <c r="F757" s="18" t="str">
        <f>VLOOKUP(E757,Listas!B1:C1004,2,0)</f>
        <v>EGRESADO</v>
      </c>
      <c r="G757" s="19">
        <f>VLOOKUP(A757,'ESTADOS ESTUDIANTES'!B:L,7,0)</f>
        <v>2</v>
      </c>
      <c r="H757" s="19" t="str">
        <f>VLOOKUP(A757,'ESTADOS ESTUDIANTES'!B:L,8,0)</f>
        <v>efbuitragoa@correo.udistrital.edu.co</v>
      </c>
      <c r="I757" s="70" t="str">
        <f>VLOOKUP(A757,'ESTADOS ESTUDIANTES'!B:L,9,0)</f>
        <v>ebuitrago@kpmg.com</v>
      </c>
      <c r="J757" s="19" t="str">
        <f>VLOOKUP(A757,'ESTADOS ESTUDIANTES'!B:L,10,0)</f>
        <v>CC</v>
      </c>
      <c r="K757" s="19">
        <f>VLOOKUP(A757,'ESTADOS ESTUDIANTES'!B:L,11,0)</f>
        <v>79703994</v>
      </c>
      <c r="L757" s="19">
        <v>3158520677</v>
      </c>
      <c r="M757" s="20"/>
      <c r="N757" s="22"/>
      <c r="O757" s="15"/>
      <c r="P757" s="15"/>
      <c r="Q757" s="15"/>
      <c r="R757" s="15"/>
      <c r="S757" s="15"/>
      <c r="T757" s="15"/>
      <c r="U757" s="15"/>
    </row>
    <row r="758" spans="1:21" ht="90">
      <c r="A758" s="17">
        <v>20152495003</v>
      </c>
      <c r="B758" s="19" t="str">
        <f>VLOOKUP(A758,'ESTADOS ESTUDIANTES'!B:L,2,0)</f>
        <v>BUITRAGO CASTELLANOS RAUL ALEJANDRO</v>
      </c>
      <c r="C758" s="19">
        <f>VLOOKUP(A758,'ESTADOS ESTUDIANTES'!B:L,3,0)</f>
        <v>495</v>
      </c>
      <c r="D758" s="66" t="str">
        <f>VLOOKUP(A758,'ESTADOS ESTUDIANTES'!B:L,4,0)</f>
        <v>MAE. EN CIENCIAS DE LA INF. Y LAS COMUNICACIONES ENFASIS EN ING. SOFT</v>
      </c>
      <c r="E758" s="19" t="str">
        <f>VLOOKUP(A758,'ESTADOS ESTUDIANTES'!B:L,5,0)</f>
        <v>E</v>
      </c>
      <c r="F758" s="18" t="str">
        <f>VLOOKUP(E758,Listas!B1:C1004,2,0)</f>
        <v>EGRESADO</v>
      </c>
      <c r="G758" s="19">
        <f>VLOOKUP(A758,'ESTADOS ESTUDIANTES'!B:L,7,0)</f>
        <v>3</v>
      </c>
      <c r="H758" s="19" t="str">
        <f>VLOOKUP(A758,'ESTADOS ESTUDIANTES'!B:L,8,0)</f>
        <v>rabuitragoc@correo.udistrital.edu.co</v>
      </c>
      <c r="I758" s="70" t="str">
        <f>VLOOKUP(A758,'ESTADOS ESTUDIANTES'!B:L,9,0)</f>
        <v>raulhabits@gmail.com</v>
      </c>
      <c r="J758" s="19" t="str">
        <f>VLOOKUP(A758,'ESTADOS ESTUDIANTES'!B:L,10,0)</f>
        <v>CC</v>
      </c>
      <c r="K758" s="19">
        <f>VLOOKUP(A758,'ESTADOS ESTUDIANTES'!B:L,11,0)</f>
        <v>1018441667</v>
      </c>
      <c r="L758" s="23"/>
      <c r="M758" s="20"/>
      <c r="N758" s="22"/>
      <c r="O758" s="15"/>
      <c r="P758" s="15"/>
      <c r="Q758" s="15"/>
      <c r="R758" s="15"/>
      <c r="S758" s="15"/>
      <c r="T758" s="15"/>
      <c r="U758" s="15"/>
    </row>
    <row r="759" spans="1:21" ht="90">
      <c r="A759" s="17">
        <v>20152495004</v>
      </c>
      <c r="B759" s="19" t="str">
        <f>VLOOKUP(A759,'ESTADOS ESTUDIANTES'!B:L,2,0)</f>
        <v>CAÑON MOZO EDWIN PARMENIO</v>
      </c>
      <c r="C759" s="19">
        <f>VLOOKUP(A759,'ESTADOS ESTUDIANTES'!B:L,3,0)</f>
        <v>495</v>
      </c>
      <c r="D759" s="66" t="str">
        <f>VLOOKUP(A759,'ESTADOS ESTUDIANTES'!B:L,4,0)</f>
        <v>MAE. EN CIENCIAS DE LA INF. Y LAS COMUNICACIONES ENFASIS EN ING. SOFT</v>
      </c>
      <c r="E759" s="19" t="str">
        <f>VLOOKUP(A759,'ESTADOS ESTUDIANTES'!B:L,5,0)</f>
        <v>N</v>
      </c>
      <c r="F759" s="18" t="str">
        <f>VLOOKUP(E759,Listas!B1:C1004,2,0)</f>
        <v>ERROR DE CODIGO</v>
      </c>
      <c r="G759" s="19" t="str">
        <f>VLOOKUP(A759,'ESTADOS ESTUDIANTES'!B:L,7,0)</f>
        <v>NO REGISTRA</v>
      </c>
      <c r="H759" s="19">
        <f>VLOOKUP(A759,'ESTADOS ESTUDIANTES'!B:L,8,0)</f>
        <v>0</v>
      </c>
      <c r="I759" s="70" t="str">
        <f>VLOOKUP(A759,'ESTADOS ESTUDIANTES'!B:L,9,0)</f>
        <v>edwinpcm@gmail.com</v>
      </c>
      <c r="J759" s="19" t="str">
        <f>VLOOKUP(A759,'ESTADOS ESTUDIANTES'!B:L,10,0)</f>
        <v>CC</v>
      </c>
      <c r="K759" s="19">
        <f>VLOOKUP(A759,'ESTADOS ESTUDIANTES'!B:L,11,0)</f>
        <v>79990854</v>
      </c>
      <c r="L759" s="19">
        <v>3172129093</v>
      </c>
      <c r="M759" s="20"/>
      <c r="N759" s="22"/>
      <c r="O759" s="15"/>
      <c r="P759" s="15"/>
      <c r="Q759" s="15"/>
      <c r="R759" s="15"/>
      <c r="S759" s="15"/>
      <c r="T759" s="15"/>
      <c r="U759" s="15"/>
    </row>
    <row r="760" spans="1:21" ht="90">
      <c r="A760" s="17">
        <v>20152495005</v>
      </c>
      <c r="B760" s="19" t="str">
        <f>VLOOKUP(A760,'ESTADOS ESTUDIANTES'!B:L,2,0)</f>
        <v>DAZA ESPITIA CARLOS ANDRES</v>
      </c>
      <c r="C760" s="19">
        <f>VLOOKUP(A760,'ESTADOS ESTUDIANTES'!B:L,3,0)</f>
        <v>495</v>
      </c>
      <c r="D760" s="66" t="str">
        <f>VLOOKUP(A760,'ESTADOS ESTUDIANTES'!B:L,4,0)</f>
        <v>MAE. EN CIENCIAS DE LA INF. Y LAS COMUNICACIONES ENFASIS EN ING. SOFT</v>
      </c>
      <c r="E760" s="19" t="str">
        <f>VLOOKUP(A760,'ESTADOS ESTUDIANTES'!B:L,5,0)</f>
        <v>X</v>
      </c>
      <c r="F760" s="18" t="str">
        <f>VLOOKUP(E760,Listas!B1:C1004,2,0)</f>
        <v>EXCLUIDO</v>
      </c>
      <c r="G760" s="19">
        <f>VLOOKUP(A760,'ESTADOS ESTUDIANTES'!B:L,7,0)</f>
        <v>1</v>
      </c>
      <c r="H760" s="19" t="str">
        <f>VLOOKUP(A760,'ESTADOS ESTUDIANTES'!B:L,8,0)</f>
        <v>cadazae@udistrital.edu.co</v>
      </c>
      <c r="I760" s="70" t="str">
        <f>VLOOKUP(A760,'ESTADOS ESTUDIANTES'!B:L,9,0)</f>
        <v>cdaza1@outlook.com</v>
      </c>
      <c r="J760" s="19" t="str">
        <f>VLOOKUP(A760,'ESTADOS ESTUDIANTES'!B:L,10,0)</f>
        <v>CC</v>
      </c>
      <c r="K760" s="19">
        <f>VLOOKUP(A760,'ESTADOS ESTUDIANTES'!B:L,11,0)</f>
        <v>1033698113</v>
      </c>
      <c r="L760" s="19">
        <v>3166272894</v>
      </c>
      <c r="M760" s="20">
        <v>32220</v>
      </c>
      <c r="N760" s="22"/>
      <c r="O760" s="15"/>
      <c r="P760" s="15"/>
      <c r="Q760" s="15"/>
      <c r="R760" s="15"/>
      <c r="S760" s="15"/>
      <c r="T760" s="15"/>
      <c r="U760" s="15"/>
    </row>
    <row r="761" spans="1:21" ht="90">
      <c r="A761" s="17">
        <v>20152495006</v>
      </c>
      <c r="B761" s="19" t="str">
        <f>VLOOKUP(A761,'ESTADOS ESTUDIANTES'!B:L,2,0)</f>
        <v>DIAZ RODRIGUEZ WILMAR</v>
      </c>
      <c r="C761" s="19">
        <f>VLOOKUP(A761,'ESTADOS ESTUDIANTES'!B:L,3,0)</f>
        <v>495</v>
      </c>
      <c r="D761" s="66" t="str">
        <f>VLOOKUP(A761,'ESTADOS ESTUDIANTES'!B:L,4,0)</f>
        <v>MAE. EN CIENCIAS DE LA INF. Y LAS COMUNICACIONES ENFASIS EN ING. SOFT</v>
      </c>
      <c r="E761" s="19" t="str">
        <f>VLOOKUP(A761,'ESTADOS ESTUDIANTES'!B:L,5,0)</f>
        <v>X</v>
      </c>
      <c r="F761" s="18" t="str">
        <f>VLOOKUP(E761,Listas!B1:C1004,2,0)</f>
        <v>EXCLUIDO</v>
      </c>
      <c r="G761" s="19">
        <f>VLOOKUP(A761,'ESTADOS ESTUDIANTES'!B:L,7,0)</f>
        <v>1</v>
      </c>
      <c r="H761" s="19" t="str">
        <f>VLOOKUP(A761,'ESTADOS ESTUDIANTES'!B:L,8,0)</f>
        <v>wdiazr@correo.udistrital.edu.co</v>
      </c>
      <c r="I761" s="70" t="str">
        <f>VLOOKUP(A761,'ESTADOS ESTUDIANTES'!B:L,9,0)</f>
        <v>wilmardiazr@gmail.com</v>
      </c>
      <c r="J761" s="19" t="str">
        <f>VLOOKUP(A761,'ESTADOS ESTUDIANTES'!B:L,10,0)</f>
        <v>CC</v>
      </c>
      <c r="K761" s="19">
        <f>VLOOKUP(A761,'ESTADOS ESTUDIANTES'!B:L,11,0)</f>
        <v>80854925</v>
      </c>
      <c r="L761" s="19">
        <v>3133350875</v>
      </c>
      <c r="M761" s="20"/>
      <c r="N761" s="22"/>
      <c r="O761" s="15"/>
      <c r="P761" s="15"/>
      <c r="Q761" s="15"/>
      <c r="R761" s="15"/>
      <c r="S761" s="15"/>
      <c r="T761" s="15"/>
      <c r="U761" s="15"/>
    </row>
    <row r="762" spans="1:21" ht="90">
      <c r="A762" s="17">
        <v>20152495007</v>
      </c>
      <c r="B762" s="19" t="str">
        <f>VLOOKUP(A762,'ESTADOS ESTUDIANTES'!B:L,2,0)</f>
        <v>GARCIA OLAYA DIANA MERCEDES</v>
      </c>
      <c r="C762" s="19">
        <f>VLOOKUP(A762,'ESTADOS ESTUDIANTES'!B:L,3,0)</f>
        <v>495</v>
      </c>
      <c r="D762" s="66" t="str">
        <f>VLOOKUP(A762,'ESTADOS ESTUDIANTES'!B:L,4,0)</f>
        <v>MAE. EN CIENCIAS DE LA INF. Y LAS COMUNICACIONES ENFASIS EN ING. SOFT</v>
      </c>
      <c r="E762" s="19" t="str">
        <f>VLOOKUP(A762,'ESTADOS ESTUDIANTES'!B:L,5,0)</f>
        <v>X</v>
      </c>
      <c r="F762" s="18" t="str">
        <f>VLOOKUP(E762,Listas!B1:C1004,2,0)</f>
        <v>EXCLUIDO</v>
      </c>
      <c r="G762" s="19" t="str">
        <f>VLOOKUP(A762,'ESTADOS ESTUDIANTES'!B:L,7,0)</f>
        <v>NO REGISTRA</v>
      </c>
      <c r="H762" s="19">
        <f>VLOOKUP(A762,'ESTADOS ESTUDIANTES'!B:L,8,0)</f>
        <v>0</v>
      </c>
      <c r="I762" s="70" t="str">
        <f>VLOOKUP(A762,'ESTADOS ESTUDIANTES'!B:L,9,0)</f>
        <v>dimegarcia5@gmail.com</v>
      </c>
      <c r="J762" s="19" t="str">
        <f>VLOOKUP(A762,'ESTADOS ESTUDIANTES'!B:L,10,0)</f>
        <v>CC</v>
      </c>
      <c r="K762" s="19">
        <f>VLOOKUP(A762,'ESTADOS ESTUDIANTES'!B:L,11,0)</f>
        <v>53075321</v>
      </c>
      <c r="L762" s="19">
        <v>3016024595</v>
      </c>
      <c r="M762" s="20"/>
      <c r="N762" s="22"/>
      <c r="O762" s="15"/>
      <c r="P762" s="15"/>
      <c r="Q762" s="15"/>
      <c r="R762" s="15"/>
      <c r="S762" s="15"/>
      <c r="T762" s="15"/>
      <c r="U762" s="15"/>
    </row>
    <row r="763" spans="1:21" ht="90">
      <c r="A763" s="17">
        <v>20152495008</v>
      </c>
      <c r="B763" s="19" t="str">
        <f>VLOOKUP(A763,'ESTADOS ESTUDIANTES'!B:L,2,0)</f>
        <v>RAMIREZ OCHOA JHON JAIME</v>
      </c>
      <c r="C763" s="19">
        <f>VLOOKUP(A763,'ESTADOS ESTUDIANTES'!B:L,3,0)</f>
        <v>495</v>
      </c>
      <c r="D763" s="66" t="str">
        <f>VLOOKUP(A763,'ESTADOS ESTUDIANTES'!B:L,4,0)</f>
        <v>MAE. EN CIENCIAS DE LA INF. Y LAS COMUNICACIONES ENFASIS EN ING. SOFT</v>
      </c>
      <c r="E763" s="19" t="str">
        <f>VLOOKUP(A763,'ESTADOS ESTUDIANTES'!B:L,5,0)</f>
        <v>E</v>
      </c>
      <c r="F763" s="18" t="str">
        <f>VLOOKUP(E763,Listas!B1:C1004,2,0)</f>
        <v>EGRESADO</v>
      </c>
      <c r="G763" s="19">
        <f>VLOOKUP(A763,'ESTADOS ESTUDIANTES'!B:L,7,0)</f>
        <v>4</v>
      </c>
      <c r="H763" s="19" t="str">
        <f>VLOOKUP(A763,'ESTADOS ESTUDIANTES'!B:L,8,0)</f>
        <v>jjramirezo@correo.udistrital.edu.co</v>
      </c>
      <c r="I763" s="70" t="str">
        <f>VLOOKUP(A763,'ESTADOS ESTUDIANTES'!B:L,9,0)</f>
        <v>jjramirezochoa@gmail.com</v>
      </c>
      <c r="J763" s="19" t="str">
        <f>VLOOKUP(A763,'ESTADOS ESTUDIANTES'!B:L,10,0)</f>
        <v>CC</v>
      </c>
      <c r="K763" s="19">
        <f>VLOOKUP(A763,'ESTADOS ESTUDIANTES'!B:L,11,0)</f>
        <v>1032437478</v>
      </c>
      <c r="L763" s="19">
        <v>3046663131</v>
      </c>
      <c r="M763" s="20"/>
      <c r="N763" s="22"/>
      <c r="O763" s="15"/>
      <c r="P763" s="15"/>
      <c r="Q763" s="15"/>
      <c r="R763" s="15"/>
      <c r="S763" s="15"/>
      <c r="T763" s="15"/>
      <c r="U763" s="15"/>
    </row>
    <row r="764" spans="1:21" ht="90">
      <c r="A764" s="17">
        <v>20152495009</v>
      </c>
      <c r="B764" s="19" t="str">
        <f>VLOOKUP(A764,'ESTADOS ESTUDIANTES'!B:L,2,0)</f>
        <v>RODRIGUEZ JHONSON MANUEL ALEJANDRO</v>
      </c>
      <c r="C764" s="19">
        <f>VLOOKUP(A764,'ESTADOS ESTUDIANTES'!B:L,3,0)</f>
        <v>495</v>
      </c>
      <c r="D764" s="66" t="str">
        <f>VLOOKUP(A764,'ESTADOS ESTUDIANTES'!B:L,4,0)</f>
        <v>MAE. EN CIENCIAS DE LA INF. Y LAS COMUNICACIONES ENFASIS EN ING. SOFT</v>
      </c>
      <c r="E764" s="19" t="str">
        <f>VLOOKUP(A764,'ESTADOS ESTUDIANTES'!B:L,5,0)</f>
        <v>N</v>
      </c>
      <c r="F764" s="18" t="str">
        <f>VLOOKUP(E764,Listas!B1:C1004,2,0)</f>
        <v>ERROR DE CODIGO</v>
      </c>
      <c r="G764" s="19" t="str">
        <f>VLOOKUP(A764,'ESTADOS ESTUDIANTES'!B:L,7,0)</f>
        <v>NO REGISTRA</v>
      </c>
      <c r="H764" s="19">
        <f>VLOOKUP(A764,'ESTADOS ESTUDIANTES'!B:L,8,0)</f>
        <v>0</v>
      </c>
      <c r="I764" s="70" t="str">
        <f>VLOOKUP(A764,'ESTADOS ESTUDIANTES'!B:L,9,0)</f>
        <v>ing.marodriguezjo@gmail.com</v>
      </c>
      <c r="J764" s="19" t="str">
        <f>VLOOKUP(A764,'ESTADOS ESTUDIANTES'!B:L,10,0)</f>
        <v>CC</v>
      </c>
      <c r="K764" s="19">
        <f>VLOOKUP(A764,'ESTADOS ESTUDIANTES'!B:L,11,0)</f>
        <v>80075588</v>
      </c>
      <c r="L764" s="23"/>
      <c r="M764" s="20"/>
      <c r="N764" s="22"/>
      <c r="O764" s="15"/>
      <c r="P764" s="15"/>
      <c r="Q764" s="15"/>
      <c r="R764" s="15"/>
      <c r="S764" s="15"/>
      <c r="T764" s="15"/>
      <c r="U764" s="15"/>
    </row>
    <row r="765" spans="1:21" ht="90">
      <c r="A765" s="17">
        <v>20152495010</v>
      </c>
      <c r="B765" s="19" t="str">
        <f>VLOOKUP(A765,'ESTADOS ESTUDIANTES'!B:L,2,0)</f>
        <v>ROMERO ARDILA LUIS FERNANDO</v>
      </c>
      <c r="C765" s="19">
        <f>VLOOKUP(A765,'ESTADOS ESTUDIANTES'!B:L,3,0)</f>
        <v>495</v>
      </c>
      <c r="D765" s="66" t="str">
        <f>VLOOKUP(A765,'ESTADOS ESTUDIANTES'!B:L,4,0)</f>
        <v>MAE. EN CIENCIAS DE LA INF. Y LAS COMUNICACIONES ENFASIS EN ING. SOFT</v>
      </c>
      <c r="E765" s="19" t="str">
        <f>VLOOKUP(A765,'ESTADOS ESTUDIANTES'!B:L,5,0)</f>
        <v>X</v>
      </c>
      <c r="F765" s="18" t="str">
        <f>VLOOKUP(E765,Listas!B1:C1004,2,0)</f>
        <v>EXCLUIDO</v>
      </c>
      <c r="G765" s="19" t="str">
        <f>VLOOKUP(A765,'ESTADOS ESTUDIANTES'!B:L,7,0)</f>
        <v>NO REGISTRA</v>
      </c>
      <c r="H765" s="19">
        <f>VLOOKUP(A765,'ESTADOS ESTUDIANTES'!B:L,8,0)</f>
        <v>0</v>
      </c>
      <c r="I765" s="70" t="str">
        <f>VLOOKUP(A765,'ESTADOS ESTUDIANTES'!B:L,9,0)</f>
        <v>lucien.luisromero@gmail.com</v>
      </c>
      <c r="J765" s="19" t="str">
        <f>VLOOKUP(A765,'ESTADOS ESTUDIANTES'!B:L,10,0)</f>
        <v>CC</v>
      </c>
      <c r="K765" s="19">
        <f>VLOOKUP(A765,'ESTADOS ESTUDIANTES'!B:L,11,0)</f>
        <v>80074513</v>
      </c>
      <c r="L765" s="19">
        <v>3002649187</v>
      </c>
      <c r="M765" s="20"/>
      <c r="N765" s="22"/>
      <c r="O765" s="15"/>
      <c r="P765" s="15"/>
      <c r="Q765" s="15"/>
      <c r="R765" s="15"/>
      <c r="S765" s="15"/>
      <c r="T765" s="15"/>
      <c r="U765" s="15"/>
    </row>
    <row r="766" spans="1:21" ht="90">
      <c r="A766" s="17">
        <v>20152495011</v>
      </c>
      <c r="B766" s="19" t="str">
        <f>VLOOKUP(A766,'ESTADOS ESTUDIANTES'!B:L,2,0)</f>
        <v>EDGAR PALACINO ANTIA</v>
      </c>
      <c r="C766" s="19">
        <f>VLOOKUP(A766,'ESTADOS ESTUDIANTES'!B:L,3,0)</f>
        <v>495</v>
      </c>
      <c r="D766" s="66" t="str">
        <f>VLOOKUP(A766,'ESTADOS ESTUDIANTES'!B:L,4,0)</f>
        <v>MAE. EN CIENCIAS DE LA INF. Y LAS COMUNICACIONES ENFASIS EN ING. SOFT</v>
      </c>
      <c r="E766" s="19" t="str">
        <f>VLOOKUP(A766,'ESTADOS ESTUDIANTES'!B:L,5,0)</f>
        <v>X</v>
      </c>
      <c r="F766" s="18" t="str">
        <f>VLOOKUP(E766,Listas!B1:C1004,2,0)</f>
        <v>EXCLUIDO</v>
      </c>
      <c r="G766" s="19" t="str">
        <f>VLOOKUP(A766,'ESTADOS ESTUDIANTES'!B:L,7,0)</f>
        <v>NO REGISTRA</v>
      </c>
      <c r="H766" s="19">
        <f>VLOOKUP(A766,'ESTADOS ESTUDIANTES'!B:L,8,0)</f>
        <v>0</v>
      </c>
      <c r="I766" s="70" t="str">
        <f>VLOOKUP(A766,'ESTADOS ESTUDIANTES'!B:L,9,0)</f>
        <v>heonpinos@gmail.com</v>
      </c>
      <c r="J766" s="19" t="str">
        <f>VLOOKUP(A766,'ESTADOS ESTUDIANTES'!B:L,10,0)</f>
        <v>CC</v>
      </c>
      <c r="K766" s="19">
        <f>VLOOKUP(A766,'ESTADOS ESTUDIANTES'!B:L,11,0)</f>
        <v>19344689</v>
      </c>
      <c r="L766" s="19">
        <v>3008960102</v>
      </c>
      <c r="M766" s="20"/>
      <c r="N766" s="22"/>
      <c r="O766" s="15"/>
      <c r="P766" s="15"/>
      <c r="Q766" s="15"/>
      <c r="R766" s="15"/>
      <c r="S766" s="15"/>
      <c r="T766" s="15"/>
      <c r="U766" s="15"/>
    </row>
    <row r="767" spans="1:21" ht="90">
      <c r="A767" s="17">
        <v>20161195001</v>
      </c>
      <c r="B767" s="19" t="str">
        <f>VLOOKUP(A767,'ESTADOS ESTUDIANTES'!B:L,2,0)</f>
        <v>BERNAL ARIZA CRISTIAN CAMILO</v>
      </c>
      <c r="C767" s="19">
        <f>VLOOKUP(A767,'ESTADOS ESTUDIANTES'!B:L,3,0)</f>
        <v>195</v>
      </c>
      <c r="D767" s="66" t="str">
        <f>VLOOKUP(A767,'ESTADOS ESTUDIANTES'!B:L,4,0)</f>
        <v>MAE. EN CIENCIAS DE LA INF. Y LAS COMUNICACIONES ENFASIS EN TELEINF.</v>
      </c>
      <c r="E767" s="19" t="str">
        <f>VLOOKUP(A767,'ESTADOS ESTUDIANTES'!B:L,5,0)</f>
        <v>E</v>
      </c>
      <c r="F767" s="18" t="str">
        <f>VLOOKUP(E767,Listas!B1:C1004,2,0)</f>
        <v>EGRESADO</v>
      </c>
      <c r="G767" s="19" t="str">
        <f>VLOOKUP(A767,'ESTADOS ESTUDIANTES'!B:L,7,0)</f>
        <v>NO REGISTRA</v>
      </c>
      <c r="H767" s="19" t="str">
        <f>VLOOKUP(A767,'ESTADOS ESTUDIANTES'!B:L,8,0)</f>
        <v>ccbernala@correo.udistrital.edu.co</v>
      </c>
      <c r="I767" s="70" t="str">
        <f>VLOOKUP(A767,'ESTADOS ESTUDIANTES'!B:L,9,0)</f>
        <v>cristianbariza@gmail.com</v>
      </c>
      <c r="J767" s="19" t="str">
        <f>VLOOKUP(A767,'ESTADOS ESTUDIANTES'!B:L,10,0)</f>
        <v>CC</v>
      </c>
      <c r="K767" s="19">
        <f>VLOOKUP(A767,'ESTADOS ESTUDIANTES'!B:L,11,0)</f>
        <v>1016015011</v>
      </c>
      <c r="L767" s="19">
        <v>3124107927</v>
      </c>
      <c r="M767" s="20"/>
      <c r="N767" s="22"/>
      <c r="O767" s="15"/>
      <c r="P767" s="15"/>
      <c r="Q767" s="15"/>
      <c r="R767" s="15"/>
      <c r="S767" s="15"/>
      <c r="T767" s="15"/>
      <c r="U767" s="15"/>
    </row>
    <row r="768" spans="1:21" ht="90">
      <c r="A768" s="17">
        <v>20161195002</v>
      </c>
      <c r="B768" s="19" t="str">
        <f>VLOOKUP(A768,'ESTADOS ESTUDIANTES'!B:L,2,0)</f>
        <v>CARREÑO PEREZ JUAN CARLOS</v>
      </c>
      <c r="C768" s="19">
        <f>VLOOKUP(A768,'ESTADOS ESTUDIANTES'!B:L,3,0)</f>
        <v>195</v>
      </c>
      <c r="D768" s="66" t="str">
        <f>VLOOKUP(A768,'ESTADOS ESTUDIANTES'!B:L,4,0)</f>
        <v>MAE. EN CIENCIAS DE LA INF. Y LAS COMUNICACIONES ENFASIS EN TELEINF.</v>
      </c>
      <c r="E768" s="19" t="str">
        <f>VLOOKUP(A768,'ESTADOS ESTUDIANTES'!B:L,5,0)</f>
        <v>E</v>
      </c>
      <c r="F768" s="18" t="str">
        <f>VLOOKUP(E768,Listas!B1:C1004,2,0)</f>
        <v>EGRESADO</v>
      </c>
      <c r="G768" s="19">
        <f>VLOOKUP(A768,'ESTADOS ESTUDIANTES'!B:L,7,0)</f>
        <v>3</v>
      </c>
      <c r="H768" s="19" t="str">
        <f>VLOOKUP(A768,'ESTADOS ESTUDIANTES'!B:L,8,0)</f>
        <v>jccarrenop@correo.udistrital.edu.co</v>
      </c>
      <c r="I768" s="70" t="str">
        <f>VLOOKUP(A768,'ESTADOS ESTUDIANTES'!B:L,9,0)</f>
        <v>juan_carlos_carreno@hotmail.com</v>
      </c>
      <c r="J768" s="19" t="str">
        <f>VLOOKUP(A768,'ESTADOS ESTUDIANTES'!B:L,10,0)</f>
        <v>CC</v>
      </c>
      <c r="K768" s="19">
        <f>VLOOKUP(A768,'ESTADOS ESTUDIANTES'!B:L,11,0)</f>
        <v>80215759</v>
      </c>
      <c r="L768" s="19">
        <v>3213123218</v>
      </c>
      <c r="M768" s="20"/>
      <c r="N768" s="22"/>
      <c r="O768" s="15"/>
      <c r="P768" s="15"/>
      <c r="Q768" s="15"/>
      <c r="R768" s="15"/>
      <c r="S768" s="15"/>
      <c r="T768" s="15"/>
      <c r="U768" s="15"/>
    </row>
    <row r="769" spans="1:21" ht="90">
      <c r="A769" s="17">
        <v>20161195003</v>
      </c>
      <c r="B769" s="19" t="str">
        <f>VLOOKUP(A769,'ESTADOS ESTUDIANTES'!B:L,2,0)</f>
        <v>CORREA SANCHEZ LEWYS</v>
      </c>
      <c r="C769" s="19">
        <f>VLOOKUP(A769,'ESTADOS ESTUDIANTES'!B:L,3,0)</f>
        <v>195</v>
      </c>
      <c r="D769" s="66" t="str">
        <f>VLOOKUP(A769,'ESTADOS ESTUDIANTES'!B:L,4,0)</f>
        <v>MAE. EN CIENCIAS DE LA INF. Y LAS COMUNICACIONES ENFASIS EN TELEINF.</v>
      </c>
      <c r="E769" s="19" t="str">
        <f>VLOOKUP(A769,'ESTADOS ESTUDIANTES'!B:L,5,0)</f>
        <v>E</v>
      </c>
      <c r="F769" s="18" t="str">
        <f>VLOOKUP(E769,Listas!B1:C1004,2,0)</f>
        <v>EGRESADO</v>
      </c>
      <c r="G769" s="19">
        <f>VLOOKUP(A769,'ESTADOS ESTUDIANTES'!B:L,7,0)</f>
        <v>2</v>
      </c>
      <c r="H769" s="19" t="str">
        <f>VLOOKUP(A769,'ESTADOS ESTUDIANTES'!B:L,8,0)</f>
        <v>lcorreas@udistrital.edu.co</v>
      </c>
      <c r="I769" s="70" t="str">
        <f>VLOOKUP(A769,'ESTADOS ESTUDIANTES'!B:L,9,0)</f>
        <v>lew.correa@gmail.com</v>
      </c>
      <c r="J769" s="19" t="str">
        <f>VLOOKUP(A769,'ESTADOS ESTUDIANTES'!B:L,10,0)</f>
        <v>CC</v>
      </c>
      <c r="K769" s="19">
        <f>VLOOKUP(A769,'ESTADOS ESTUDIANTES'!B:L,11,0)</f>
        <v>1067906153</v>
      </c>
      <c r="L769" s="19">
        <v>3114130003</v>
      </c>
      <c r="M769" s="20"/>
      <c r="N769" s="22"/>
      <c r="O769" s="15"/>
      <c r="P769" s="15"/>
      <c r="Q769" s="15"/>
      <c r="R769" s="15"/>
      <c r="S769" s="15"/>
      <c r="T769" s="15"/>
      <c r="U769" s="15"/>
    </row>
    <row r="770" spans="1:21" ht="90">
      <c r="A770" s="17">
        <v>20161195004</v>
      </c>
      <c r="B770" s="19" t="str">
        <f>VLOOKUP(A770,'ESTADOS ESTUDIANTES'!B:L,2,0)</f>
        <v>CORTES FONSECA DAVID RICAUTE</v>
      </c>
      <c r="C770" s="19">
        <f>VLOOKUP(A770,'ESTADOS ESTUDIANTES'!B:L,3,0)</f>
        <v>195</v>
      </c>
      <c r="D770" s="66" t="str">
        <f>VLOOKUP(A770,'ESTADOS ESTUDIANTES'!B:L,4,0)</f>
        <v>MAE. EN CIENCIAS DE LA INF. Y LAS COMUNICACIONES ENFASIS EN TELEINF.</v>
      </c>
      <c r="E770" s="19" t="str">
        <f>VLOOKUP(A770,'ESTADOS ESTUDIANTES'!B:L,5,0)</f>
        <v>X</v>
      </c>
      <c r="F770" s="18" t="str">
        <f>VLOOKUP(E770,Listas!B1:C1004,2,0)</f>
        <v>EXCLUIDO</v>
      </c>
      <c r="G770" s="19">
        <f>VLOOKUP(A770,'ESTADOS ESTUDIANTES'!B:L,7,0)</f>
        <v>1</v>
      </c>
      <c r="H770" s="19" t="str">
        <f>VLOOKUP(A770,'ESTADOS ESTUDIANTES'!B:L,8,0)</f>
        <v>drcortesf@udistrital.edu.co</v>
      </c>
      <c r="I770" s="70" t="str">
        <f>VLOOKUP(A770,'ESTADOS ESTUDIANTES'!B:L,9,0)</f>
        <v>davidcortesfonseca@gmail.com</v>
      </c>
      <c r="J770" s="19" t="str">
        <f>VLOOKUP(A770,'ESTADOS ESTUDIANTES'!B:L,10,0)</f>
        <v>CC</v>
      </c>
      <c r="K770" s="19">
        <f>VLOOKUP(A770,'ESTADOS ESTUDIANTES'!B:L,11,0)</f>
        <v>1022953913</v>
      </c>
      <c r="L770" s="19">
        <v>3003459200</v>
      </c>
      <c r="M770" s="20"/>
      <c r="N770" s="22"/>
      <c r="O770" s="15"/>
      <c r="P770" s="15"/>
      <c r="Q770" s="15"/>
      <c r="R770" s="15"/>
      <c r="S770" s="15"/>
      <c r="T770" s="15"/>
      <c r="U770" s="15"/>
    </row>
    <row r="771" spans="1:21" ht="90">
      <c r="A771" s="17">
        <v>20161195005</v>
      </c>
      <c r="B771" s="19" t="str">
        <f>VLOOKUP(A771,'ESTADOS ESTUDIANTES'!B:L,2,0)</f>
        <v>DAVILA ROJAS MIGUEL ANGEL</v>
      </c>
      <c r="C771" s="19">
        <f>VLOOKUP(A771,'ESTADOS ESTUDIANTES'!B:L,3,0)</f>
        <v>195</v>
      </c>
      <c r="D771" s="66" t="str">
        <f>VLOOKUP(A771,'ESTADOS ESTUDIANTES'!B:L,4,0)</f>
        <v>MAE. EN CIENCIAS DE LA INF. Y LAS COMUNICACIONES ENFASIS EN TELEINF.</v>
      </c>
      <c r="E771" s="19" t="str">
        <f>VLOOKUP(A771,'ESTADOS ESTUDIANTES'!B:L,5,0)</f>
        <v>E</v>
      </c>
      <c r="F771" s="18" t="str">
        <f>VLOOKUP(E771,Listas!B1:C1004,2,0)</f>
        <v>EGRESADO</v>
      </c>
      <c r="G771" s="19">
        <f>VLOOKUP(A771,'ESTADOS ESTUDIANTES'!B:L,7,0)</f>
        <v>2</v>
      </c>
      <c r="H771" s="19">
        <f>VLOOKUP(A771,'ESTADOS ESTUDIANTES'!B:L,8,0)</f>
        <v>0</v>
      </c>
      <c r="I771" s="70" t="str">
        <f>VLOOKUP(A771,'ESTADOS ESTUDIANTES'!B:L,9,0)</f>
        <v>miadavilar@correo.udistrital.edu.co</v>
      </c>
      <c r="J771" s="19" t="str">
        <f>VLOOKUP(A771,'ESTADOS ESTUDIANTES'!B:L,10,0)</f>
        <v>CC</v>
      </c>
      <c r="K771" s="19">
        <f>VLOOKUP(A771,'ESTADOS ESTUDIANTES'!B:L,11,0)</f>
        <v>1018436623</v>
      </c>
      <c r="L771" s="19">
        <v>3213453505</v>
      </c>
      <c r="M771" s="20"/>
      <c r="N771" s="22"/>
      <c r="O771" s="15"/>
      <c r="P771" s="15"/>
      <c r="Q771" s="15"/>
      <c r="R771" s="15"/>
      <c r="S771" s="15"/>
      <c r="T771" s="15"/>
      <c r="U771" s="15"/>
    </row>
    <row r="772" spans="1:21" ht="90">
      <c r="A772" s="17">
        <v>20161195006</v>
      </c>
      <c r="B772" s="19" t="str">
        <f>VLOOKUP(A772,'ESTADOS ESTUDIANTES'!B:L,2,0)</f>
        <v>FORERO RAMOS JEISSON ALBERTO</v>
      </c>
      <c r="C772" s="19">
        <f>VLOOKUP(A772,'ESTADOS ESTUDIANTES'!B:L,3,0)</f>
        <v>195</v>
      </c>
      <c r="D772" s="66" t="str">
        <f>VLOOKUP(A772,'ESTADOS ESTUDIANTES'!B:L,4,0)</f>
        <v>MAE. EN CIENCIAS DE LA INF. Y LAS COMUNICACIONES ENFASIS EN TELEINF.</v>
      </c>
      <c r="E772" s="19" t="str">
        <f>VLOOKUP(A772,'ESTADOS ESTUDIANTES'!B:L,5,0)</f>
        <v>X</v>
      </c>
      <c r="F772" s="18" t="str">
        <f>VLOOKUP(E772,Listas!B1:C1004,2,0)</f>
        <v>EXCLUIDO</v>
      </c>
      <c r="G772" s="19">
        <f>VLOOKUP(A772,'ESTADOS ESTUDIANTES'!B:L,7,0)</f>
        <v>3</v>
      </c>
      <c r="H772" s="19">
        <f>VLOOKUP(A772,'ESTADOS ESTUDIANTES'!B:L,8,0)</f>
        <v>0</v>
      </c>
      <c r="I772" s="70" t="str">
        <f>VLOOKUP(A772,'ESTADOS ESTUDIANTES'!B:L,9,0)</f>
        <v>jeaforeror@correo.udistrital.edu.co</v>
      </c>
      <c r="J772" s="19" t="str">
        <f>VLOOKUP(A772,'ESTADOS ESTUDIANTES'!B:L,10,0)</f>
        <v>CC</v>
      </c>
      <c r="K772" s="19">
        <f>VLOOKUP(A772,'ESTADOS ESTUDIANTES'!B:L,11,0)</f>
        <v>1031124825</v>
      </c>
      <c r="L772" s="19">
        <v>3183620187</v>
      </c>
      <c r="M772" s="20">
        <v>31709</v>
      </c>
      <c r="N772" s="22"/>
      <c r="O772" s="15"/>
      <c r="P772" s="15"/>
      <c r="Q772" s="15"/>
      <c r="R772" s="15"/>
      <c r="S772" s="15"/>
      <c r="T772" s="15"/>
      <c r="U772" s="15"/>
    </row>
    <row r="773" spans="1:21" ht="90">
      <c r="A773" s="17">
        <v>20161195008</v>
      </c>
      <c r="B773" s="19" t="str">
        <f>VLOOKUP(A773,'ESTADOS ESTUDIANTES'!B:L,2,0)</f>
        <v>GONZALEZ PRIETO FREDY ALEXANDER</v>
      </c>
      <c r="C773" s="19">
        <f>VLOOKUP(A773,'ESTADOS ESTUDIANTES'!B:L,3,0)</f>
        <v>195</v>
      </c>
      <c r="D773" s="66" t="str">
        <f>VLOOKUP(A773,'ESTADOS ESTUDIANTES'!B:L,4,0)</f>
        <v>MAE. EN CIENCIAS DE LA INF. Y LAS COMUNICACIONES ENFASIS EN TELEINF.</v>
      </c>
      <c r="E773" s="19" t="str">
        <f>VLOOKUP(A773,'ESTADOS ESTUDIANTES'!B:L,5,0)</f>
        <v>E</v>
      </c>
      <c r="F773" s="18" t="str">
        <f>VLOOKUP(E773,Listas!B1:C1004,2,0)</f>
        <v>EGRESADO</v>
      </c>
      <c r="G773" s="19">
        <f>VLOOKUP(A773,'ESTADOS ESTUDIANTES'!B:L,7,0)</f>
        <v>3</v>
      </c>
      <c r="H773" s="19" t="str">
        <f>VLOOKUP(A773,'ESTADOS ESTUDIANTES'!B:L,8,0)</f>
        <v>freagonzalezp@udistrital.edu.co</v>
      </c>
      <c r="I773" s="70" t="str">
        <f>VLOOKUP(A773,'ESTADOS ESTUDIANTES'!B:L,9,0)</f>
        <v>fredyagonzalez@hotmail.com</v>
      </c>
      <c r="J773" s="19" t="str">
        <f>VLOOKUP(A773,'ESTADOS ESTUDIANTES'!B:L,10,0)</f>
        <v>CC</v>
      </c>
      <c r="K773" s="19">
        <f>VLOOKUP(A773,'ESTADOS ESTUDIANTES'!B:L,11,0)</f>
        <v>1049612843</v>
      </c>
      <c r="L773" s="19">
        <v>3194302828</v>
      </c>
      <c r="M773" s="20">
        <v>32364</v>
      </c>
      <c r="N773" s="22"/>
      <c r="O773" s="15"/>
      <c r="P773" s="15"/>
      <c r="Q773" s="15"/>
      <c r="R773" s="15"/>
      <c r="S773" s="15"/>
      <c r="T773" s="15"/>
      <c r="U773" s="15"/>
    </row>
    <row r="774" spans="1:21" ht="90">
      <c r="A774" s="17">
        <v>20161195009</v>
      </c>
      <c r="B774" s="19" t="str">
        <f>VLOOKUP(A774,'ESTADOS ESTUDIANTES'!B:L,2,0)</f>
        <v>GOMEZ ACERO JAIRO CESAR</v>
      </c>
      <c r="C774" s="19">
        <f>VLOOKUP(A774,'ESTADOS ESTUDIANTES'!B:L,3,0)</f>
        <v>195</v>
      </c>
      <c r="D774" s="66" t="str">
        <f>VLOOKUP(A774,'ESTADOS ESTUDIANTES'!B:L,4,0)</f>
        <v>MAE. EN CIENCIAS DE LA INF. Y LAS COMUNICACIONES ENFASIS EN TELEINF.</v>
      </c>
      <c r="E774" s="19" t="str">
        <f>VLOOKUP(A774,'ESTADOS ESTUDIANTES'!B:L,5,0)</f>
        <v>E</v>
      </c>
      <c r="F774" s="18" t="str">
        <f>VLOOKUP(E774,Listas!B1:C1004,2,0)</f>
        <v>EGRESADO</v>
      </c>
      <c r="G774" s="19">
        <f>VLOOKUP(A774,'ESTADOS ESTUDIANTES'!B:L,7,0)</f>
        <v>4</v>
      </c>
      <c r="H774" s="19" t="str">
        <f>VLOOKUP(A774,'ESTADOS ESTUDIANTES'!B:L,8,0)</f>
        <v>jcgomeza@correo.udistrital.edu.co</v>
      </c>
      <c r="I774" s="70" t="str">
        <f>VLOOKUP(A774,'ESTADOS ESTUDIANTES'!B:L,9,0)</f>
        <v>jacegom@gmail.com</v>
      </c>
      <c r="J774" s="19" t="str">
        <f>VLOOKUP(A774,'ESTADOS ESTUDIANTES'!B:L,10,0)</f>
        <v>CC</v>
      </c>
      <c r="K774" s="19">
        <f>VLOOKUP(A774,'ESTADOS ESTUDIANTES'!B:L,11,0)</f>
        <v>79049409</v>
      </c>
      <c r="L774" s="23"/>
      <c r="M774" s="20"/>
      <c r="N774" s="22"/>
      <c r="O774" s="15"/>
      <c r="P774" s="15"/>
      <c r="Q774" s="15"/>
      <c r="R774" s="15"/>
      <c r="S774" s="15"/>
      <c r="T774" s="15"/>
      <c r="U774" s="15"/>
    </row>
    <row r="775" spans="1:21" ht="90">
      <c r="A775" s="17">
        <v>20161195010</v>
      </c>
      <c r="B775" s="19" t="str">
        <f>VLOOKUP(A775,'ESTADOS ESTUDIANTES'!B:L,2,0)</f>
        <v>CRUZ MANRIQUE CAMILO ANDRES</v>
      </c>
      <c r="C775" s="19">
        <f>VLOOKUP(A775,'ESTADOS ESTUDIANTES'!B:L,3,0)</f>
        <v>195</v>
      </c>
      <c r="D775" s="66" t="str">
        <f>VLOOKUP(A775,'ESTADOS ESTUDIANTES'!B:L,4,0)</f>
        <v>MAE. EN CIENCIAS DE LA INF. Y LAS COMUNICACIONES ENFASIS EN TELEINF.</v>
      </c>
      <c r="E775" s="19" t="str">
        <f>VLOOKUP(A775,'ESTADOS ESTUDIANTES'!B:L,5,0)</f>
        <v>N</v>
      </c>
      <c r="F775" s="18" t="str">
        <f>VLOOKUP(E775,Listas!B1:C1004,2,0)</f>
        <v>ERROR DE CODIGO</v>
      </c>
      <c r="G775" s="19" t="str">
        <f>VLOOKUP(A775,'ESTADOS ESTUDIANTES'!B:L,7,0)</f>
        <v>NO REGISTRA</v>
      </c>
      <c r="H775" s="19">
        <f>VLOOKUP(A775,'ESTADOS ESTUDIANTES'!B:L,8,0)</f>
        <v>0</v>
      </c>
      <c r="I775" s="70" t="str">
        <f>VLOOKUP(A775,'ESTADOS ESTUDIANTES'!B:L,9,0)</f>
        <v>ingenierocamilocruz@gmail.com</v>
      </c>
      <c r="J775" s="19" t="str">
        <f>VLOOKUP(A775,'ESTADOS ESTUDIANTES'!B:L,10,0)</f>
        <v>CC</v>
      </c>
      <c r="K775" s="19">
        <f>VLOOKUP(A775,'ESTADOS ESTUDIANTES'!B:L,11,0)</f>
        <v>1030524737</v>
      </c>
      <c r="L775" s="23"/>
      <c r="M775" s="20"/>
      <c r="N775" s="22"/>
      <c r="O775" s="15"/>
      <c r="P775" s="15"/>
      <c r="Q775" s="15"/>
      <c r="R775" s="15"/>
      <c r="S775" s="15"/>
      <c r="T775" s="15"/>
      <c r="U775" s="15"/>
    </row>
    <row r="776" spans="1:21" ht="90">
      <c r="A776" s="17">
        <v>20161195012</v>
      </c>
      <c r="B776" s="19" t="str">
        <f>VLOOKUP(A776,'ESTADOS ESTUDIANTES'!B:L,2,0)</f>
        <v>RAMIREZ CANO ANGELICA MARIA</v>
      </c>
      <c r="C776" s="19">
        <f>VLOOKUP(A776,'ESTADOS ESTUDIANTES'!B:L,3,0)</f>
        <v>195</v>
      </c>
      <c r="D776" s="66" t="str">
        <f>VLOOKUP(A776,'ESTADOS ESTUDIANTES'!B:L,4,0)</f>
        <v>MAE. EN CIENCIAS DE LA INF. Y LAS COMUNICACIONES ENFASIS EN TELEINF.</v>
      </c>
      <c r="E776" s="19" t="str">
        <f>VLOOKUP(A776,'ESTADOS ESTUDIANTES'!B:L,5,0)</f>
        <v>X</v>
      </c>
      <c r="F776" s="18" t="str">
        <f>VLOOKUP(E776,Listas!B1:C1004,2,0)</f>
        <v>EXCLUIDO</v>
      </c>
      <c r="G776" s="19">
        <f>VLOOKUP(A776,'ESTADOS ESTUDIANTES'!B:L,7,0)</f>
        <v>3</v>
      </c>
      <c r="H776" s="19">
        <f>VLOOKUP(A776,'ESTADOS ESTUDIANTES'!B:L,8,0)</f>
        <v>0</v>
      </c>
      <c r="I776" s="70" t="str">
        <f>VLOOKUP(A776,'ESTADOS ESTUDIANTES'!B:L,9,0)</f>
        <v>angeltbu@gmail.com</v>
      </c>
      <c r="J776" s="19" t="str">
        <f>VLOOKUP(A776,'ESTADOS ESTUDIANTES'!B:L,10,0)</f>
        <v>CC</v>
      </c>
      <c r="K776" s="19">
        <f>VLOOKUP(A776,'ESTADOS ESTUDIANTES'!B:L,11,0)</f>
        <v>35199495</v>
      </c>
      <c r="L776" s="19">
        <v>3187827198</v>
      </c>
      <c r="M776" s="20"/>
      <c r="N776" s="22"/>
      <c r="O776" s="15"/>
      <c r="P776" s="15"/>
      <c r="Q776" s="15"/>
      <c r="R776" s="15"/>
      <c r="S776" s="15"/>
      <c r="T776" s="15"/>
      <c r="U776" s="15"/>
    </row>
    <row r="777" spans="1:21" ht="90">
      <c r="A777" s="17">
        <v>20161195013</v>
      </c>
      <c r="B777" s="19" t="str">
        <f>VLOOKUP(A777,'ESTADOS ESTUDIANTES'!B:L,2,0)</f>
        <v>ROJAS PULIDO STIVEN ORLANDO</v>
      </c>
      <c r="C777" s="19">
        <f>VLOOKUP(A777,'ESTADOS ESTUDIANTES'!B:L,3,0)</f>
        <v>195</v>
      </c>
      <c r="D777" s="66" t="str">
        <f>VLOOKUP(A777,'ESTADOS ESTUDIANTES'!B:L,4,0)</f>
        <v>MAE. EN CIENCIAS DE LA INF. Y LAS COMUNICACIONES ENFASIS EN TELEINF.</v>
      </c>
      <c r="E777" s="19" t="str">
        <f>VLOOKUP(A777,'ESTADOS ESTUDIANTES'!B:L,5,0)</f>
        <v>E</v>
      </c>
      <c r="F777" s="18" t="str">
        <f>VLOOKUP(E777,Listas!B1:C1004,2,0)</f>
        <v>EGRESADO</v>
      </c>
      <c r="G777" s="19">
        <f>VLOOKUP(A777,'ESTADOS ESTUDIANTES'!B:L,7,0)</f>
        <v>1</v>
      </c>
      <c r="H777" s="19" t="str">
        <f>VLOOKUP(A777,'ESTADOS ESTUDIANTES'!B:L,8,0)</f>
        <v>sorojasp@udistrital.edu.co</v>
      </c>
      <c r="I777" s="70" t="str">
        <f>VLOOKUP(A777,'ESTADOS ESTUDIANTES'!B:L,9,0)</f>
        <v>sorojasp@udistrital.edu.co</v>
      </c>
      <c r="J777" s="19" t="str">
        <f>VLOOKUP(A777,'ESTADOS ESTUDIANTES'!B:L,10,0)</f>
        <v>CC</v>
      </c>
      <c r="K777" s="19">
        <f>VLOOKUP(A777,'ESTADOS ESTUDIANTES'!B:L,11,0)</f>
        <v>80865137</v>
      </c>
      <c r="L777" s="19">
        <v>3118966745</v>
      </c>
      <c r="M777" s="20"/>
      <c r="N777" s="22"/>
      <c r="O777" s="15"/>
      <c r="P777" s="15"/>
      <c r="Q777" s="15"/>
      <c r="R777" s="15"/>
      <c r="S777" s="15"/>
      <c r="T777" s="15"/>
      <c r="U777" s="15"/>
    </row>
    <row r="778" spans="1:21" ht="90">
      <c r="A778" s="17">
        <v>20161195014</v>
      </c>
      <c r="B778" s="19" t="str">
        <f>VLOOKUP(A778,'ESTADOS ESTUDIANTES'!B:L,2,0)</f>
        <v>RUIZ MELO ALEJANDRO</v>
      </c>
      <c r="C778" s="19">
        <f>VLOOKUP(A778,'ESTADOS ESTUDIANTES'!B:L,3,0)</f>
        <v>195</v>
      </c>
      <c r="D778" s="66" t="str">
        <f>VLOOKUP(A778,'ESTADOS ESTUDIANTES'!B:L,4,0)</f>
        <v>MAE. EN CIENCIAS DE LA INF. Y LAS COMUNICACIONES ENFASIS EN TELEINF.</v>
      </c>
      <c r="E778" s="19" t="str">
        <f>VLOOKUP(A778,'ESTADOS ESTUDIANTES'!B:L,5,0)</f>
        <v>N</v>
      </c>
      <c r="F778" s="18" t="str">
        <f>VLOOKUP(E778,Listas!B1:C1004,2,0)</f>
        <v>ERROR DE CODIGO</v>
      </c>
      <c r="G778" s="19" t="str">
        <f>VLOOKUP(A778,'ESTADOS ESTUDIANTES'!B:L,7,0)</f>
        <v>NO REGISTRA</v>
      </c>
      <c r="H778" s="19">
        <f>VLOOKUP(A778,'ESTADOS ESTUDIANTES'!B:L,8,0)</f>
        <v>0</v>
      </c>
      <c r="I778" s="70" t="str">
        <f>VLOOKUP(A778,'ESTADOS ESTUDIANTES'!B:L,9,0)</f>
        <v>alejandro_ruiz_m@hotmail.com</v>
      </c>
      <c r="J778" s="19" t="str">
        <f>VLOOKUP(A778,'ESTADOS ESTUDIANTES'!B:L,10,0)</f>
        <v>CC</v>
      </c>
      <c r="K778" s="19">
        <f>VLOOKUP(A778,'ESTADOS ESTUDIANTES'!B:L,11,0)</f>
        <v>80258062</v>
      </c>
      <c r="L778" s="23"/>
      <c r="M778" s="20"/>
      <c r="N778" s="22"/>
      <c r="O778" s="15"/>
      <c r="P778" s="15"/>
      <c r="Q778" s="15"/>
      <c r="R778" s="15"/>
      <c r="S778" s="15"/>
      <c r="T778" s="15"/>
      <c r="U778" s="15"/>
    </row>
    <row r="779" spans="1:21" ht="90">
      <c r="A779" s="17">
        <v>20161195015</v>
      </c>
      <c r="B779" s="19" t="str">
        <f>VLOOKUP(A779,'ESTADOS ESTUDIANTES'!B:L,2,0)</f>
        <v>SERRANO MOLINA YOHEL RENE</v>
      </c>
      <c r="C779" s="19">
        <f>VLOOKUP(A779,'ESTADOS ESTUDIANTES'!B:L,3,0)</f>
        <v>195</v>
      </c>
      <c r="D779" s="66" t="str">
        <f>VLOOKUP(A779,'ESTADOS ESTUDIANTES'!B:L,4,0)</f>
        <v>MAE. EN CIENCIAS DE LA INF. Y LAS COMUNICACIONES ENFASIS EN TELEINF.</v>
      </c>
      <c r="E779" s="19" t="str">
        <f>VLOOKUP(A779,'ESTADOS ESTUDIANTES'!B:L,5,0)</f>
        <v>E</v>
      </c>
      <c r="F779" s="18" t="str">
        <f>VLOOKUP(E779,Listas!B1:C1004,2,0)</f>
        <v>EGRESADO</v>
      </c>
      <c r="G779" s="19">
        <f>VLOOKUP(A779,'ESTADOS ESTUDIANTES'!B:L,7,0)</f>
        <v>1</v>
      </c>
      <c r="H779" s="19" t="str">
        <f>VLOOKUP(A779,'ESTADOS ESTUDIANTES'!B:L,8,0)</f>
        <v>yrserranom@correo.udistrital.edu.co</v>
      </c>
      <c r="I779" s="70" t="str">
        <f>VLOOKUP(A779,'ESTADOS ESTUDIANTES'!B:L,9,0)</f>
        <v>yorry_12@hotmail.com</v>
      </c>
      <c r="J779" s="19" t="str">
        <f>VLOOKUP(A779,'ESTADOS ESTUDIANTES'!B:L,10,0)</f>
        <v>CC</v>
      </c>
      <c r="K779" s="19">
        <f>VLOOKUP(A779,'ESTADOS ESTUDIANTES'!B:L,11,0)</f>
        <v>14013612</v>
      </c>
      <c r="L779" s="19">
        <v>3143218397</v>
      </c>
      <c r="M779" s="20"/>
      <c r="N779" s="22"/>
      <c r="O779" s="15"/>
      <c r="P779" s="15"/>
      <c r="Q779" s="15"/>
      <c r="R779" s="15"/>
      <c r="S779" s="15"/>
      <c r="T779" s="15"/>
      <c r="U779" s="15"/>
    </row>
    <row r="780" spans="1:21" ht="90">
      <c r="A780" s="17">
        <v>20161195016</v>
      </c>
      <c r="B780" s="19" t="str">
        <f>VLOOKUP(A780,'ESTADOS ESTUDIANTES'!B:L,2,0)</f>
        <v>MUESES CUCHALA NELLY DEL ROSARIO</v>
      </c>
      <c r="C780" s="19">
        <f>VLOOKUP(A780,'ESTADOS ESTUDIANTES'!B:L,3,0)</f>
        <v>195</v>
      </c>
      <c r="D780" s="66" t="str">
        <f>VLOOKUP(A780,'ESTADOS ESTUDIANTES'!B:L,4,0)</f>
        <v>MAE. EN CIENCIAS DE LA INF. Y LAS COMUNICACIONES ENFASIS EN TELEINF.</v>
      </c>
      <c r="E780" s="19" t="str">
        <f>VLOOKUP(A780,'ESTADOS ESTUDIANTES'!B:L,5,0)</f>
        <v>X</v>
      </c>
      <c r="F780" s="18" t="str">
        <f>VLOOKUP(E780,Listas!B1:C1004,2,0)</f>
        <v>EXCLUIDO</v>
      </c>
      <c r="G780" s="19" t="str">
        <f>VLOOKUP(A780,'ESTADOS ESTUDIANTES'!B:L,7,0)</f>
        <v>NO REGISTRA</v>
      </c>
      <c r="H780" s="19">
        <f>VLOOKUP(A780,'ESTADOS ESTUDIANTES'!B:L,8,0)</f>
        <v>0</v>
      </c>
      <c r="I780" s="70" t="str">
        <f>VLOOKUP(A780,'ESTADOS ESTUDIANTES'!B:L,9,0)</f>
        <v>nellyrmuesesc@gmail.com</v>
      </c>
      <c r="J780" s="19" t="str">
        <f>VLOOKUP(A780,'ESTADOS ESTUDIANTES'!B:L,10,0)</f>
        <v>CC</v>
      </c>
      <c r="K780" s="19">
        <f>VLOOKUP(A780,'ESTADOS ESTUDIANTES'!B:L,11,0)</f>
        <v>27381579</v>
      </c>
      <c r="L780" s="23"/>
      <c r="M780" s="20"/>
      <c r="N780" s="22"/>
      <c r="O780" s="15"/>
      <c r="P780" s="15"/>
      <c r="Q780" s="15"/>
      <c r="R780" s="15"/>
      <c r="S780" s="15"/>
      <c r="T780" s="15"/>
      <c r="U780" s="15"/>
    </row>
    <row r="781" spans="1:21" ht="105">
      <c r="A781" s="17">
        <v>20161395001</v>
      </c>
      <c r="B781" s="19" t="str">
        <f>VLOOKUP(A781,'ESTADOS ESTUDIANTES'!B:L,2,0)</f>
        <v>BUSTACARA SALAZAR NATALIA ESPERANZA</v>
      </c>
      <c r="C781" s="19">
        <f>VLOOKUP(A781,'ESTADOS ESTUDIANTES'!B:L,3,0)</f>
        <v>395</v>
      </c>
      <c r="D781" s="66" t="str">
        <f>VLOOKUP(A781,'ESTADOS ESTUDIANTES'!B:L,4,0)</f>
        <v>MAE. EN CIENCIAS DE LA INF. Y LAS COMUNICACIONES ENFASIS EN GEOMATICA</v>
      </c>
      <c r="E781" s="19" t="str">
        <f>VLOOKUP(A781,'ESTADOS ESTUDIANTES'!B:L,5,0)</f>
        <v>N</v>
      </c>
      <c r="F781" s="18" t="str">
        <f>VLOOKUP(E781,Listas!B1:C1004,2,0)</f>
        <v>ERROR DE CODIGO</v>
      </c>
      <c r="G781" s="19" t="str">
        <f>VLOOKUP(A781,'ESTADOS ESTUDIANTES'!B:L,7,0)</f>
        <v>NO REGISTRA</v>
      </c>
      <c r="H781" s="19">
        <f>VLOOKUP(A781,'ESTADOS ESTUDIANTES'!B:L,8,0)</f>
        <v>0</v>
      </c>
      <c r="I781" s="70" t="str">
        <f>VLOOKUP(A781,'ESTADOS ESTUDIANTES'!B:L,9,0)</f>
        <v>natabustacara@gmail.com</v>
      </c>
      <c r="J781" s="19" t="str">
        <f>VLOOKUP(A781,'ESTADOS ESTUDIANTES'!B:L,10,0)</f>
        <v>CC</v>
      </c>
      <c r="K781" s="19">
        <f>VLOOKUP(A781,'ESTADOS ESTUDIANTES'!B:L,11,0)</f>
        <v>1018449895</v>
      </c>
      <c r="L781" s="23"/>
      <c r="M781" s="20"/>
      <c r="N781" s="22"/>
      <c r="O781" s="15"/>
      <c r="P781" s="15"/>
      <c r="Q781" s="15"/>
      <c r="R781" s="15"/>
      <c r="S781" s="15"/>
      <c r="T781" s="15"/>
      <c r="U781" s="15"/>
    </row>
    <row r="782" spans="1:21" ht="105">
      <c r="A782" s="17">
        <v>20161395002</v>
      </c>
      <c r="B782" s="19" t="str">
        <f>VLOOKUP(A782,'ESTADOS ESTUDIANTES'!B:L,2,0)</f>
        <v>CABIATIVA SANCHEZ OSCAR ABRAHAM</v>
      </c>
      <c r="C782" s="19">
        <f>VLOOKUP(A782,'ESTADOS ESTUDIANTES'!B:L,3,0)</f>
        <v>395</v>
      </c>
      <c r="D782" s="66" t="str">
        <f>VLOOKUP(A782,'ESTADOS ESTUDIANTES'!B:L,4,0)</f>
        <v>MAE. EN CIENCIAS DE LA INF. Y LAS COMUNICACIONES ENFASIS EN GEOMATICA</v>
      </c>
      <c r="E782" s="19" t="str">
        <f>VLOOKUP(A782,'ESTADOS ESTUDIANTES'!B:L,5,0)</f>
        <v>E</v>
      </c>
      <c r="F782" s="18" t="str">
        <f>VLOOKUP(E782,Listas!B1:C1004,2,0)</f>
        <v>EGRESADO</v>
      </c>
      <c r="G782" s="19">
        <f>VLOOKUP(A782,'ESTADOS ESTUDIANTES'!B:L,7,0)</f>
        <v>2</v>
      </c>
      <c r="H782" s="19" t="str">
        <f>VLOOKUP(A782,'ESTADOS ESTUDIANTES'!B:L,8,0)</f>
        <v>oacabiativas@udistrital.edu.co</v>
      </c>
      <c r="I782" s="70" t="str">
        <f>VLOOKUP(A782,'ESTADOS ESTUDIANTES'!B:L,9,0)</f>
        <v>cabiato90@gmail.com</v>
      </c>
      <c r="J782" s="19" t="str">
        <f>VLOOKUP(A782,'ESTADOS ESTUDIANTES'!B:L,10,0)</f>
        <v>CC</v>
      </c>
      <c r="K782" s="19">
        <f>VLOOKUP(A782,'ESTADOS ESTUDIANTES'!B:L,11,0)</f>
        <v>1019040864</v>
      </c>
      <c r="L782" s="19">
        <v>3118406535</v>
      </c>
      <c r="M782" s="20">
        <v>32874</v>
      </c>
      <c r="N782" s="22"/>
      <c r="O782" s="15"/>
      <c r="P782" s="15"/>
      <c r="Q782" s="15"/>
      <c r="R782" s="15"/>
      <c r="S782" s="15"/>
      <c r="T782" s="15"/>
      <c r="U782" s="15"/>
    </row>
    <row r="783" spans="1:21" ht="105">
      <c r="A783" s="17">
        <v>20161395004</v>
      </c>
      <c r="B783" s="19" t="str">
        <f>VLOOKUP(A783,'ESTADOS ESTUDIANTES'!B:L,2,0)</f>
        <v>CORTES BUITRAGO WALTER ANDRES</v>
      </c>
      <c r="C783" s="19">
        <f>VLOOKUP(A783,'ESTADOS ESTUDIANTES'!B:L,3,0)</f>
        <v>395</v>
      </c>
      <c r="D783" s="66" t="str">
        <f>VLOOKUP(A783,'ESTADOS ESTUDIANTES'!B:L,4,0)</f>
        <v>MAE. EN CIENCIAS DE LA INF. Y LAS COMUNICACIONES ENFASIS EN GEOMATICA</v>
      </c>
      <c r="E783" s="19" t="str">
        <f>VLOOKUP(A783,'ESTADOS ESTUDIANTES'!B:L,5,0)</f>
        <v>E</v>
      </c>
      <c r="F783" s="18" t="str">
        <f>VLOOKUP(E783,Listas!B1:C1004,2,0)</f>
        <v>EGRESADO</v>
      </c>
      <c r="G783" s="19">
        <f>VLOOKUP(A783,'ESTADOS ESTUDIANTES'!B:L,7,0)</f>
        <v>3</v>
      </c>
      <c r="H783" s="19" t="str">
        <f>VLOOKUP(A783,'ESTADOS ESTUDIANTES'!B:L,8,0)</f>
        <v>wacortesb@correo.udistrital.edu.co</v>
      </c>
      <c r="I783" s="70" t="str">
        <f>VLOOKUP(A783,'ESTADOS ESTUDIANTES'!B:L,9,0)</f>
        <v>wacortes88@gmail.com</v>
      </c>
      <c r="J783" s="19" t="str">
        <f>VLOOKUP(A783,'ESTADOS ESTUDIANTES'!B:L,10,0)</f>
        <v>CC</v>
      </c>
      <c r="K783" s="19">
        <f>VLOOKUP(A783,'ESTADOS ESTUDIANTES'!B:L,11,0)</f>
        <v>1032408256</v>
      </c>
      <c r="L783" s="19">
        <v>3112456991</v>
      </c>
      <c r="M783" s="20"/>
      <c r="N783" s="22"/>
      <c r="O783" s="15"/>
      <c r="P783" s="15"/>
      <c r="Q783" s="15"/>
      <c r="R783" s="15"/>
      <c r="S783" s="15"/>
      <c r="T783" s="15"/>
      <c r="U783" s="15"/>
    </row>
    <row r="784" spans="1:21" ht="105">
      <c r="A784" s="17">
        <v>20161395005</v>
      </c>
      <c r="B784" s="19" t="str">
        <f>VLOOKUP(A784,'ESTADOS ESTUDIANTES'!B:L,2,0)</f>
        <v>CUELLAR GUTIERREZ JULIO ARMANDO</v>
      </c>
      <c r="C784" s="19">
        <f>VLOOKUP(A784,'ESTADOS ESTUDIANTES'!B:L,3,0)</f>
        <v>395</v>
      </c>
      <c r="D784" s="66" t="str">
        <f>VLOOKUP(A784,'ESTADOS ESTUDIANTES'!B:L,4,0)</f>
        <v>MAE. EN CIENCIAS DE LA INF. Y LAS COMUNICACIONES ENFASIS EN GEOMATICA</v>
      </c>
      <c r="E784" s="19" t="str">
        <f>VLOOKUP(A784,'ESTADOS ESTUDIANTES'!B:L,5,0)</f>
        <v>E</v>
      </c>
      <c r="F784" s="18" t="str">
        <f>VLOOKUP(E784,Listas!B1:C1004,2,0)</f>
        <v>EGRESADO</v>
      </c>
      <c r="G784" s="19">
        <f>VLOOKUP(A784,'ESTADOS ESTUDIANTES'!B:L,7,0)</f>
        <v>3</v>
      </c>
      <c r="H784" s="19" t="str">
        <f>VLOOKUP(A784,'ESTADOS ESTUDIANTES'!B:L,8,0)</f>
        <v>jacuellarg@correo.udistrital.edu.co</v>
      </c>
      <c r="I784" s="70" t="str">
        <f>VLOOKUP(A784,'ESTADOS ESTUDIANTES'!B:L,9,0)</f>
        <v>ingjuliocuellar@gmail.com</v>
      </c>
      <c r="J784" s="19" t="str">
        <f>VLOOKUP(A784,'ESTADOS ESTUDIANTES'!B:L,10,0)</f>
        <v>CC</v>
      </c>
      <c r="K784" s="19">
        <f>VLOOKUP(A784,'ESTADOS ESTUDIANTES'!B:L,11,0)</f>
        <v>1032423220</v>
      </c>
      <c r="L784" s="19">
        <v>3175766131</v>
      </c>
      <c r="M784" s="20"/>
      <c r="N784" s="22"/>
      <c r="O784" s="15"/>
      <c r="P784" s="15"/>
      <c r="Q784" s="15"/>
      <c r="R784" s="15"/>
      <c r="S784" s="15"/>
      <c r="T784" s="15"/>
      <c r="U784" s="15"/>
    </row>
    <row r="785" spans="1:21" ht="105">
      <c r="A785" s="17">
        <v>20161395006</v>
      </c>
      <c r="B785" s="19" t="str">
        <f>VLOOKUP(A785,'ESTADOS ESTUDIANTES'!B:L,2,0)</f>
        <v>FLOREZ GARCIA ANDRES CAMILO</v>
      </c>
      <c r="C785" s="19">
        <f>VLOOKUP(A785,'ESTADOS ESTUDIANTES'!B:L,3,0)</f>
        <v>395</v>
      </c>
      <c r="D785" s="66" t="str">
        <f>VLOOKUP(A785,'ESTADOS ESTUDIANTES'!B:L,4,0)</f>
        <v>MAE. EN CIENCIAS DE LA INF. Y LAS COMUNICACIONES ENFASIS EN GEOMATICA</v>
      </c>
      <c r="E785" s="19" t="str">
        <f>VLOOKUP(A785,'ESTADOS ESTUDIANTES'!B:L,5,0)</f>
        <v>E</v>
      </c>
      <c r="F785" s="18" t="str">
        <f>VLOOKUP(E785,Listas!B1:C1004,2,0)</f>
        <v>EGRESADO</v>
      </c>
      <c r="G785" s="19">
        <f>VLOOKUP(A785,'ESTADOS ESTUDIANTES'!B:L,7,0)</f>
        <v>1</v>
      </c>
      <c r="H785" s="19">
        <f>VLOOKUP(A785,'ESTADOS ESTUDIANTES'!B:L,8,0)</f>
        <v>0</v>
      </c>
      <c r="I785" s="70" t="str">
        <f>VLOOKUP(A785,'ESTADOS ESTUDIANTES'!B:L,9,0)</f>
        <v>andrescfg@gmail.com</v>
      </c>
      <c r="J785" s="19" t="str">
        <f>VLOOKUP(A785,'ESTADOS ESTUDIANTES'!B:L,10,0)</f>
        <v>CC</v>
      </c>
      <c r="K785" s="19">
        <f>VLOOKUP(A785,'ESTADOS ESTUDIANTES'!B:L,11,0)</f>
        <v>1018454644</v>
      </c>
      <c r="L785" s="19">
        <v>3133492976</v>
      </c>
      <c r="M785" s="20"/>
      <c r="N785" s="22"/>
      <c r="O785" s="15"/>
      <c r="P785" s="15"/>
      <c r="Q785" s="15"/>
      <c r="R785" s="15"/>
      <c r="S785" s="15"/>
      <c r="T785" s="15"/>
      <c r="U785" s="15"/>
    </row>
    <row r="786" spans="1:21" ht="105">
      <c r="A786" s="17">
        <v>20161395007</v>
      </c>
      <c r="B786" s="19" t="str">
        <f>VLOOKUP(A786,'ESTADOS ESTUDIANTES'!B:L,2,0)</f>
        <v>LOPEZ ROJAS ANGELA PATRICIA</v>
      </c>
      <c r="C786" s="19">
        <f>VLOOKUP(A786,'ESTADOS ESTUDIANTES'!B:L,3,0)</f>
        <v>395</v>
      </c>
      <c r="D786" s="66" t="str">
        <f>VLOOKUP(A786,'ESTADOS ESTUDIANTES'!B:L,4,0)</f>
        <v>MAE. EN CIENCIAS DE LA INF. Y LAS COMUNICACIONES ENFASIS EN GEOMATICA</v>
      </c>
      <c r="E786" s="19" t="str">
        <f>VLOOKUP(A786,'ESTADOS ESTUDIANTES'!B:L,5,0)</f>
        <v>X</v>
      </c>
      <c r="F786" s="18" t="str">
        <f>VLOOKUP(E786,Listas!B1:C1004,2,0)</f>
        <v>EXCLUIDO</v>
      </c>
      <c r="G786" s="19" t="str">
        <f>VLOOKUP(A786,'ESTADOS ESTUDIANTES'!B:L,7,0)</f>
        <v>NO REGISTRA</v>
      </c>
      <c r="H786" s="19">
        <f>VLOOKUP(A786,'ESTADOS ESTUDIANTES'!B:L,8,0)</f>
        <v>0</v>
      </c>
      <c r="I786" s="70" t="str">
        <f>VLOOKUP(A786,'ESTADOS ESTUDIANTES'!B:L,9,0)</f>
        <v>angelalopez80@hotmail.com</v>
      </c>
      <c r="J786" s="19" t="str">
        <f>VLOOKUP(A786,'ESTADOS ESTUDIANTES'!B:L,10,0)</f>
        <v>CC</v>
      </c>
      <c r="K786" s="19">
        <f>VLOOKUP(A786,'ESTADOS ESTUDIANTES'!B:L,11,0)</f>
        <v>1015417822</v>
      </c>
      <c r="L786" s="23"/>
      <c r="M786" s="20"/>
      <c r="N786" s="22"/>
      <c r="O786" s="15"/>
      <c r="P786" s="15"/>
      <c r="Q786" s="15"/>
      <c r="R786" s="15"/>
      <c r="S786" s="15"/>
      <c r="T786" s="15"/>
      <c r="U786" s="15"/>
    </row>
    <row r="787" spans="1:21" ht="105">
      <c r="A787" s="17">
        <v>20161395008</v>
      </c>
      <c r="B787" s="19" t="str">
        <f>VLOOKUP(A787,'ESTADOS ESTUDIANTES'!B:L,2,0)</f>
        <v>MARTINEZ AGUIRRE NELSON DAVID</v>
      </c>
      <c r="C787" s="19">
        <f>VLOOKUP(A787,'ESTADOS ESTUDIANTES'!B:L,3,0)</f>
        <v>395</v>
      </c>
      <c r="D787" s="66" t="str">
        <f>VLOOKUP(A787,'ESTADOS ESTUDIANTES'!B:L,4,0)</f>
        <v>MAE. EN CIENCIAS DE LA INF. Y LAS COMUNICACIONES ENFASIS EN GEOMATICA</v>
      </c>
      <c r="E787" s="19" t="str">
        <f>VLOOKUP(A787,'ESTADOS ESTUDIANTES'!B:L,5,0)</f>
        <v>E</v>
      </c>
      <c r="F787" s="18" t="str">
        <f>VLOOKUP(E787,Listas!B1:C1004,2,0)</f>
        <v>EGRESADO</v>
      </c>
      <c r="G787" s="19">
        <f>VLOOKUP(A787,'ESTADOS ESTUDIANTES'!B:L,7,0)</f>
        <v>3</v>
      </c>
      <c r="H787" s="19" t="str">
        <f>VLOOKUP(A787,'ESTADOS ESTUDIANTES'!B:L,8,0)</f>
        <v>ndmartineza@udistrital.edu.co</v>
      </c>
      <c r="I787" s="70" t="str">
        <f>VLOOKUP(A787,'ESTADOS ESTUDIANTES'!B:L,9,0)</f>
        <v>davidmartinezaguirre@hotmail.com</v>
      </c>
      <c r="J787" s="19" t="str">
        <f>VLOOKUP(A787,'ESTADOS ESTUDIANTES'!B:L,10,0)</f>
        <v>CC</v>
      </c>
      <c r="K787" s="19">
        <f>VLOOKUP(A787,'ESTADOS ESTUDIANTES'!B:L,11,0)</f>
        <v>1019008786</v>
      </c>
      <c r="L787" s="19">
        <v>3166458226</v>
      </c>
      <c r="M787" s="20">
        <v>31690</v>
      </c>
      <c r="N787" s="22"/>
      <c r="O787" s="15"/>
      <c r="P787" s="15"/>
      <c r="Q787" s="15"/>
      <c r="R787" s="15"/>
      <c r="S787" s="15"/>
      <c r="T787" s="15"/>
      <c r="U787" s="15"/>
    </row>
    <row r="788" spans="1:21" ht="105">
      <c r="A788" s="17">
        <v>20161395009</v>
      </c>
      <c r="B788" s="19" t="str">
        <f>VLOOKUP(A788,'ESTADOS ESTUDIANTES'!B:L,2,0)</f>
        <v>PAEZ LEGUIZAMON EDGAR MAURICIO</v>
      </c>
      <c r="C788" s="19">
        <f>VLOOKUP(A788,'ESTADOS ESTUDIANTES'!B:L,3,0)</f>
        <v>395</v>
      </c>
      <c r="D788" s="66" t="str">
        <f>VLOOKUP(A788,'ESTADOS ESTUDIANTES'!B:L,4,0)</f>
        <v>MAE. EN CIENCIAS DE LA INF. Y LAS COMUNICACIONES ENFASIS EN GEOMATICA</v>
      </c>
      <c r="E788" s="19" t="str">
        <f>VLOOKUP(A788,'ESTADOS ESTUDIANTES'!B:L,5,0)</f>
        <v>X</v>
      </c>
      <c r="F788" s="18" t="str">
        <f>VLOOKUP(E788,Listas!B1:C1004,2,0)</f>
        <v>EXCLUIDO</v>
      </c>
      <c r="G788" s="19" t="str">
        <f>VLOOKUP(A788,'ESTADOS ESTUDIANTES'!B:L,7,0)</f>
        <v>NO REGISTRA</v>
      </c>
      <c r="H788" s="19">
        <f>VLOOKUP(A788,'ESTADOS ESTUDIANTES'!B:L,8,0)</f>
        <v>0</v>
      </c>
      <c r="I788" s="70" t="str">
        <f>VLOOKUP(A788,'ESTADOS ESTUDIANTES'!B:L,9,0)</f>
        <v>maopaez13@gmail.com</v>
      </c>
      <c r="J788" s="19" t="str">
        <f>VLOOKUP(A788,'ESTADOS ESTUDIANTES'!B:L,10,0)</f>
        <v>CC</v>
      </c>
      <c r="K788" s="19">
        <f>VLOOKUP(A788,'ESTADOS ESTUDIANTES'!B:L,11,0)</f>
        <v>1015996221</v>
      </c>
      <c r="L788" s="23"/>
      <c r="M788" s="20"/>
      <c r="N788" s="22"/>
      <c r="O788" s="15"/>
      <c r="P788" s="15"/>
      <c r="Q788" s="15"/>
      <c r="R788" s="15"/>
      <c r="S788" s="15"/>
      <c r="T788" s="15"/>
      <c r="U788" s="15"/>
    </row>
    <row r="789" spans="1:21" ht="105">
      <c r="A789" s="17">
        <v>20161395010</v>
      </c>
      <c r="B789" s="19" t="str">
        <f>VLOOKUP(A789,'ESTADOS ESTUDIANTES'!B:L,2,0)</f>
        <v>ROZO VANEGAS OSCAR ARMANDO</v>
      </c>
      <c r="C789" s="19">
        <f>VLOOKUP(A789,'ESTADOS ESTUDIANTES'!B:L,3,0)</f>
        <v>395</v>
      </c>
      <c r="D789" s="66" t="str">
        <f>VLOOKUP(A789,'ESTADOS ESTUDIANTES'!B:L,4,0)</f>
        <v>MAE. EN CIENCIAS DE LA INF. Y LAS COMUNICACIONES ENFASIS EN GEOMATICA</v>
      </c>
      <c r="E789" s="19" t="str">
        <f>VLOOKUP(A789,'ESTADOS ESTUDIANTES'!B:L,5,0)</f>
        <v>X</v>
      </c>
      <c r="F789" s="18" t="str">
        <f>VLOOKUP(E789,Listas!B1:C1004,2,0)</f>
        <v>EXCLUIDO</v>
      </c>
      <c r="G789" s="19" t="str">
        <f>VLOOKUP(A789,'ESTADOS ESTUDIANTES'!B:L,7,0)</f>
        <v>NO REGISTRA</v>
      </c>
      <c r="H789" s="19">
        <f>VLOOKUP(A789,'ESTADOS ESTUDIANTES'!B:L,8,0)</f>
        <v>0</v>
      </c>
      <c r="I789" s="70" t="str">
        <f>VLOOKUP(A789,'ESTADOS ESTUDIANTES'!B:L,9,0)</f>
        <v>oscarciencia@hotmail.com</v>
      </c>
      <c r="J789" s="19" t="str">
        <f>VLOOKUP(A789,'ESTADOS ESTUDIANTES'!B:L,10,0)</f>
        <v>CC</v>
      </c>
      <c r="K789" s="19">
        <f>VLOOKUP(A789,'ESTADOS ESTUDIANTES'!B:L,11,0)</f>
        <v>79734019</v>
      </c>
      <c r="L789" s="23"/>
      <c r="M789" s="20"/>
      <c r="N789" s="22"/>
      <c r="O789" s="15"/>
      <c r="P789" s="15"/>
      <c r="Q789" s="15"/>
      <c r="R789" s="15"/>
      <c r="S789" s="15"/>
      <c r="T789" s="15"/>
      <c r="U789" s="15"/>
    </row>
    <row r="790" spans="1:21" ht="105">
      <c r="A790" s="17">
        <v>20161395011</v>
      </c>
      <c r="B790" s="19" t="str">
        <f>VLOOKUP(A790,'ESTADOS ESTUDIANTES'!B:L,2,0)</f>
        <v>SANDOVAL LAGOS JONATHAN SAID</v>
      </c>
      <c r="C790" s="19">
        <f>VLOOKUP(A790,'ESTADOS ESTUDIANTES'!B:L,3,0)</f>
        <v>395</v>
      </c>
      <c r="D790" s="66" t="str">
        <f>VLOOKUP(A790,'ESTADOS ESTUDIANTES'!B:L,4,0)</f>
        <v>MAE. EN CIENCIAS DE LA INF. Y LAS COMUNICACIONES ENFASIS EN GEOMATICA</v>
      </c>
      <c r="E790" s="19" t="str">
        <f>VLOOKUP(A790,'ESTADOS ESTUDIANTES'!B:L,5,0)</f>
        <v>E</v>
      </c>
      <c r="F790" s="18" t="str">
        <f>VLOOKUP(E790,Listas!B1:C1004,2,0)</f>
        <v>EGRESADO</v>
      </c>
      <c r="G790" s="19">
        <f>VLOOKUP(A790,'ESTADOS ESTUDIANTES'!B:L,7,0)</f>
        <v>4</v>
      </c>
      <c r="H790" s="19">
        <f>VLOOKUP(A790,'ESTADOS ESTUDIANTES'!B:L,8,0)</f>
        <v>0</v>
      </c>
      <c r="I790" s="70" t="str">
        <f>VLOOKUP(A790,'ESTADOS ESTUDIANTES'!B:L,9,0)</f>
        <v>jssandovall@udistrital.edu.co</v>
      </c>
      <c r="J790" s="19" t="str">
        <f>VLOOKUP(A790,'ESTADOS ESTUDIANTES'!B:L,10,0)</f>
        <v>CC</v>
      </c>
      <c r="K790" s="19">
        <f>VLOOKUP(A790,'ESTADOS ESTUDIANTES'!B:L,11,0)</f>
        <v>1030576910</v>
      </c>
      <c r="L790" s="19">
        <v>3138721779</v>
      </c>
      <c r="M790" s="20">
        <v>33081</v>
      </c>
      <c r="N790" s="22"/>
      <c r="O790" s="15"/>
      <c r="P790" s="15"/>
      <c r="Q790" s="15"/>
      <c r="R790" s="15"/>
      <c r="S790" s="15"/>
      <c r="T790" s="15"/>
      <c r="U790" s="15"/>
    </row>
    <row r="791" spans="1:21" ht="105">
      <c r="A791" s="17">
        <v>20161395012</v>
      </c>
      <c r="B791" s="19" t="str">
        <f>VLOOKUP(A791,'ESTADOS ESTUDIANTES'!B:L,2,0)</f>
        <v>VARGAS MERCHAN MILTON SARETH</v>
      </c>
      <c r="C791" s="19">
        <f>VLOOKUP(A791,'ESTADOS ESTUDIANTES'!B:L,3,0)</f>
        <v>395</v>
      </c>
      <c r="D791" s="66" t="str">
        <f>VLOOKUP(A791,'ESTADOS ESTUDIANTES'!B:L,4,0)</f>
        <v>MAE. EN CIENCIAS DE LA INF. Y LAS COMUNICACIONES ENFASIS EN GEOMATICA</v>
      </c>
      <c r="E791" s="19" t="str">
        <f>VLOOKUP(A791,'ESTADOS ESTUDIANTES'!B:L,5,0)</f>
        <v>X</v>
      </c>
      <c r="F791" s="18" t="str">
        <f>VLOOKUP(E791,Listas!B1:C1004,2,0)</f>
        <v>EXCLUIDO</v>
      </c>
      <c r="G791" s="19" t="str">
        <f>VLOOKUP(A791,'ESTADOS ESTUDIANTES'!B:L,7,0)</f>
        <v>NO REGISTRA</v>
      </c>
      <c r="H791" s="19">
        <f>VLOOKUP(A791,'ESTADOS ESTUDIANTES'!B:L,8,0)</f>
        <v>0</v>
      </c>
      <c r="I791" s="70" t="str">
        <f>VLOOKUP(A791,'ESTADOS ESTUDIANTES'!B:L,9,0)</f>
        <v>sarethsareth@gmail.com</v>
      </c>
      <c r="J791" s="19" t="str">
        <f>VLOOKUP(A791,'ESTADOS ESTUDIANTES'!B:L,10,0)</f>
        <v>CC</v>
      </c>
      <c r="K791" s="19">
        <f>VLOOKUP(A791,'ESTADOS ESTUDIANTES'!B:L,11,0)</f>
        <v>80017826</v>
      </c>
      <c r="L791" s="23"/>
      <c r="M791" s="20"/>
      <c r="N791" s="22"/>
      <c r="O791" s="15"/>
      <c r="P791" s="15"/>
      <c r="Q791" s="15"/>
      <c r="R791" s="15"/>
      <c r="S791" s="15"/>
      <c r="T791" s="15"/>
      <c r="U791" s="15"/>
    </row>
    <row r="792" spans="1:21" ht="90">
      <c r="A792" s="17">
        <v>20161495001</v>
      </c>
      <c r="B792" s="19" t="str">
        <f>VLOOKUP(A792,'ESTADOS ESTUDIANTES'!B:L,2,0)</f>
        <v>ARCOS MUÑOZ NOÉ</v>
      </c>
      <c r="C792" s="19">
        <f>VLOOKUP(A792,'ESTADOS ESTUDIANTES'!B:L,3,0)</f>
        <v>495</v>
      </c>
      <c r="D792" s="66" t="str">
        <f>VLOOKUP(A792,'ESTADOS ESTUDIANTES'!B:L,4,0)</f>
        <v>MAE. EN CIENCIAS DE LA INF. Y LAS COMUNICACIONES ENFASIS EN ING. SOFT</v>
      </c>
      <c r="E792" s="19" t="str">
        <f>VLOOKUP(A792,'ESTADOS ESTUDIANTES'!B:L,5,0)</f>
        <v>E</v>
      </c>
      <c r="F792" s="18" t="str">
        <f>VLOOKUP(E792,Listas!B1:C1004,2,0)</f>
        <v>EGRESADO</v>
      </c>
      <c r="G792" s="19">
        <f>VLOOKUP(A792,'ESTADOS ESTUDIANTES'!B:L,7,0)</f>
        <v>2</v>
      </c>
      <c r="H792" s="19" t="str">
        <f>VLOOKUP(A792,'ESTADOS ESTUDIANTES'!B:L,8,0)</f>
        <v>narcosm@udistrital.edu.co</v>
      </c>
      <c r="I792" s="70" t="str">
        <f>VLOOKUP(A792,'ESTADOS ESTUDIANTES'!B:L,9,0)</f>
        <v>narcosmunoz@gmail.com</v>
      </c>
      <c r="J792" s="19" t="str">
        <f>VLOOKUP(A792,'ESTADOS ESTUDIANTES'!B:L,10,0)</f>
        <v>CC</v>
      </c>
      <c r="K792" s="19">
        <f>VLOOKUP(A792,'ESTADOS ESTUDIANTES'!B:L,11,0)</f>
        <v>80747472</v>
      </c>
      <c r="L792" s="19">
        <v>3123143946</v>
      </c>
      <c r="M792" s="20">
        <v>30875</v>
      </c>
      <c r="N792" s="22"/>
      <c r="O792" s="15"/>
      <c r="P792" s="15"/>
      <c r="Q792" s="15"/>
      <c r="R792" s="15"/>
      <c r="S792" s="15"/>
      <c r="T792" s="15"/>
      <c r="U792" s="15"/>
    </row>
    <row r="793" spans="1:21" ht="90">
      <c r="A793" s="17">
        <v>20161495002</v>
      </c>
      <c r="B793" s="19" t="str">
        <f>VLOOKUP(A793,'ESTADOS ESTUDIANTES'!B:L,2,0)</f>
        <v>BECERRA TORRES DANNY FERNANDO</v>
      </c>
      <c r="C793" s="19">
        <f>VLOOKUP(A793,'ESTADOS ESTUDIANTES'!B:L,3,0)</f>
        <v>495</v>
      </c>
      <c r="D793" s="66" t="str">
        <f>VLOOKUP(A793,'ESTADOS ESTUDIANTES'!B:L,4,0)</f>
        <v>MAE. EN CIENCIAS DE LA INF. Y LAS COMUNICACIONES ENFASIS EN ING. SOFT</v>
      </c>
      <c r="E793" s="19" t="str">
        <f>VLOOKUP(A793,'ESTADOS ESTUDIANTES'!B:L,5,0)</f>
        <v>X</v>
      </c>
      <c r="F793" s="18" t="str">
        <f>VLOOKUP(E793,Listas!B1:C1004,2,0)</f>
        <v>EXCLUIDO</v>
      </c>
      <c r="G793" s="19">
        <f>VLOOKUP(A793,'ESTADOS ESTUDIANTES'!B:L,7,0)</f>
        <v>3</v>
      </c>
      <c r="H793" s="19" t="str">
        <f>VLOOKUP(A793,'ESTADOS ESTUDIANTES'!B:L,8,0)</f>
        <v>dfbecerrat@udistrital.edu.co</v>
      </c>
      <c r="I793" s="70" t="str">
        <f>VLOOKUP(A793,'ESTADOS ESTUDIANTES'!B:L,9,0)</f>
        <v>dfbecerrat@correo.udistrital.edu.co</v>
      </c>
      <c r="J793" s="19" t="str">
        <f>VLOOKUP(A793,'ESTADOS ESTUDIANTES'!B:L,10,0)</f>
        <v>CC</v>
      </c>
      <c r="K793" s="19">
        <f>VLOOKUP(A793,'ESTADOS ESTUDIANTES'!B:L,11,0)</f>
        <v>80027500</v>
      </c>
      <c r="L793" s="19">
        <v>3125293537</v>
      </c>
      <c r="M793" s="20">
        <v>29484</v>
      </c>
      <c r="N793" s="22"/>
      <c r="O793" s="15"/>
      <c r="P793" s="15"/>
      <c r="Q793" s="15"/>
      <c r="R793" s="15"/>
      <c r="S793" s="15"/>
      <c r="T793" s="15"/>
      <c r="U793" s="15"/>
    </row>
    <row r="794" spans="1:21" ht="90">
      <c r="A794" s="17">
        <v>20161495003</v>
      </c>
      <c r="B794" s="19" t="str">
        <f>VLOOKUP(A794,'ESTADOS ESTUDIANTES'!B:L,2,0)</f>
        <v>CALDERÓN COY MILTON VICENTE</v>
      </c>
      <c r="C794" s="19">
        <f>VLOOKUP(A794,'ESTADOS ESTUDIANTES'!B:L,3,0)</f>
        <v>495</v>
      </c>
      <c r="D794" s="66" t="str">
        <f>VLOOKUP(A794,'ESTADOS ESTUDIANTES'!B:L,4,0)</f>
        <v>MAE. EN CIENCIAS DE LA INF. Y LAS COMUNICACIONES ENFASIS EN ING. SOFT</v>
      </c>
      <c r="E794" s="19" t="str">
        <f>VLOOKUP(A794,'ESTADOS ESTUDIANTES'!B:L,5,0)</f>
        <v>E</v>
      </c>
      <c r="F794" s="18" t="str">
        <f>VLOOKUP(E794,Listas!B1:C1004,2,0)</f>
        <v>EGRESADO</v>
      </c>
      <c r="G794" s="19">
        <f>VLOOKUP(A794,'ESTADOS ESTUDIANTES'!B:L,7,0)</f>
        <v>3</v>
      </c>
      <c r="H794" s="19" t="str">
        <f>VLOOKUP(A794,'ESTADOS ESTUDIANTES'!B:L,8,0)</f>
        <v>mvcalderonc@correo.udistrital.edu.co</v>
      </c>
      <c r="I794" s="70" t="str">
        <f>VLOOKUP(A794,'ESTADOS ESTUDIANTES'!B:L,9,0)</f>
        <v>miltonv.calderonc@gmail.com</v>
      </c>
      <c r="J794" s="19" t="str">
        <f>VLOOKUP(A794,'ESTADOS ESTUDIANTES'!B:L,10,0)</f>
        <v>CC</v>
      </c>
      <c r="K794" s="19">
        <f>VLOOKUP(A794,'ESTADOS ESTUDIANTES'!B:L,11,0)</f>
        <v>80730767</v>
      </c>
      <c r="L794" s="19">
        <v>3115691497</v>
      </c>
      <c r="M794" s="20"/>
      <c r="N794" s="22"/>
      <c r="O794" s="15"/>
      <c r="P794" s="15"/>
      <c r="Q794" s="15"/>
      <c r="R794" s="15"/>
      <c r="S794" s="15"/>
      <c r="T794" s="15"/>
      <c r="U794" s="15"/>
    </row>
    <row r="795" spans="1:21" ht="90">
      <c r="A795" s="17">
        <v>20161495004</v>
      </c>
      <c r="B795" s="19" t="str">
        <f>VLOOKUP(A795,'ESTADOS ESTUDIANTES'!B:L,2,0)</f>
        <v>CRISTANCHO SASTOQUE NELSON JAVIER</v>
      </c>
      <c r="C795" s="19">
        <f>VLOOKUP(A795,'ESTADOS ESTUDIANTES'!B:L,3,0)</f>
        <v>495</v>
      </c>
      <c r="D795" s="66" t="str">
        <f>VLOOKUP(A795,'ESTADOS ESTUDIANTES'!B:L,4,0)</f>
        <v>MAE. EN CIENCIAS DE LA INF. Y LAS COMUNICACIONES ENFASIS EN ING. SOFT</v>
      </c>
      <c r="E795" s="19" t="str">
        <f>VLOOKUP(A795,'ESTADOS ESTUDIANTES'!B:L,5,0)</f>
        <v>X</v>
      </c>
      <c r="F795" s="18" t="str">
        <f>VLOOKUP(E795,Listas!B1:C1004,2,0)</f>
        <v>EXCLUIDO</v>
      </c>
      <c r="G795" s="19">
        <f>VLOOKUP(A795,'ESTADOS ESTUDIANTES'!B:L,7,0)</f>
        <v>3</v>
      </c>
      <c r="H795" s="19">
        <f>VLOOKUP(A795,'ESTADOS ESTUDIANTES'!B:L,8,0)</f>
        <v>0</v>
      </c>
      <c r="I795" s="70" t="str">
        <f>VLOOKUP(A795,'ESTADOS ESTUDIANTES'!B:L,9,0)</f>
        <v>nelsonjcristancho@gmail.com</v>
      </c>
      <c r="J795" s="19" t="str">
        <f>VLOOKUP(A795,'ESTADOS ESTUDIANTES'!B:L,10,0)</f>
        <v>CC</v>
      </c>
      <c r="K795" s="19">
        <f>VLOOKUP(A795,'ESTADOS ESTUDIANTES'!B:L,11,0)</f>
        <v>1023912985</v>
      </c>
      <c r="L795" s="19">
        <v>3204529763</v>
      </c>
      <c r="M795" s="20"/>
      <c r="N795" s="22"/>
      <c r="O795" s="15"/>
      <c r="P795" s="15"/>
      <c r="Q795" s="15"/>
      <c r="R795" s="15"/>
      <c r="S795" s="15"/>
      <c r="T795" s="15"/>
      <c r="U795" s="15"/>
    </row>
    <row r="796" spans="1:21" ht="90">
      <c r="A796" s="17">
        <v>20161495005</v>
      </c>
      <c r="B796" s="19" t="str">
        <f>VLOOKUP(A796,'ESTADOS ESTUDIANTES'!B:L,2,0)</f>
        <v>CUSPOCA RUIZ JONATHAN ENRIQUE</v>
      </c>
      <c r="C796" s="19">
        <f>VLOOKUP(A796,'ESTADOS ESTUDIANTES'!B:L,3,0)</f>
        <v>495</v>
      </c>
      <c r="D796" s="66" t="str">
        <f>VLOOKUP(A796,'ESTADOS ESTUDIANTES'!B:L,4,0)</f>
        <v>MAE. EN CIENCIAS DE LA INF. Y LAS COMUNICACIONES ENFASIS EN ING. SOFT</v>
      </c>
      <c r="E796" s="19" t="str">
        <f>VLOOKUP(A796,'ESTADOS ESTUDIANTES'!B:L,5,0)</f>
        <v>X</v>
      </c>
      <c r="F796" s="18" t="str">
        <f>VLOOKUP(E796,Listas!B1:C1004,2,0)</f>
        <v>EXCLUIDO</v>
      </c>
      <c r="G796" s="19">
        <f>VLOOKUP(A796,'ESTADOS ESTUDIANTES'!B:L,7,0)</f>
        <v>2</v>
      </c>
      <c r="H796" s="19">
        <f>VLOOKUP(A796,'ESTADOS ESTUDIANTES'!B:L,8,0)</f>
        <v>0</v>
      </c>
      <c r="I796" s="70" t="str">
        <f>VLOOKUP(A796,'ESTADOS ESTUDIANTES'!B:L,9,0)</f>
        <v>jonath1032@gmail.com</v>
      </c>
      <c r="J796" s="19" t="str">
        <f>VLOOKUP(A796,'ESTADOS ESTUDIANTES'!B:L,10,0)</f>
        <v>CC</v>
      </c>
      <c r="K796" s="19">
        <f>VLOOKUP(A796,'ESTADOS ESTUDIANTES'!B:L,11,0)</f>
        <v>1032455933</v>
      </c>
      <c r="L796" s="19">
        <v>3223338037</v>
      </c>
      <c r="M796" s="20">
        <v>34057</v>
      </c>
      <c r="N796" s="22"/>
      <c r="O796" s="15"/>
      <c r="P796" s="15"/>
      <c r="Q796" s="15"/>
      <c r="R796" s="15"/>
      <c r="S796" s="15"/>
      <c r="T796" s="15"/>
      <c r="U796" s="15"/>
    </row>
    <row r="797" spans="1:21" ht="90">
      <c r="A797" s="17">
        <v>20161495006</v>
      </c>
      <c r="B797" s="19" t="str">
        <f>VLOOKUP(A797,'ESTADOS ESTUDIANTES'!B:L,2,0)</f>
        <v>ESCOBAR NAVARRO JULIAN CAMILO</v>
      </c>
      <c r="C797" s="19">
        <f>VLOOKUP(A797,'ESTADOS ESTUDIANTES'!B:L,3,0)</f>
        <v>495</v>
      </c>
      <c r="D797" s="66" t="str">
        <f>VLOOKUP(A797,'ESTADOS ESTUDIANTES'!B:L,4,0)</f>
        <v>MAE. EN CIENCIAS DE LA INF. Y LAS COMUNICACIONES ENFASIS EN ING. SOFT</v>
      </c>
      <c r="E797" s="19" t="str">
        <f>VLOOKUP(A797,'ESTADOS ESTUDIANTES'!B:L,5,0)</f>
        <v>X</v>
      </c>
      <c r="F797" s="18" t="str">
        <f>VLOOKUP(E797,Listas!B1:C1004,2,0)</f>
        <v>EXCLUIDO</v>
      </c>
      <c r="G797" s="19">
        <f>VLOOKUP(A797,'ESTADOS ESTUDIANTES'!B:L,7,0)</f>
        <v>4</v>
      </c>
      <c r="H797" s="19">
        <f>VLOOKUP(A797,'ESTADOS ESTUDIANTES'!B:L,8,0)</f>
        <v>0</v>
      </c>
      <c r="I797" s="70" t="str">
        <f>VLOOKUP(A797,'ESTADOS ESTUDIANTES'!B:L,9,0)</f>
        <v>juliancaescobar@gmail.com</v>
      </c>
      <c r="J797" s="19" t="str">
        <f>VLOOKUP(A797,'ESTADOS ESTUDIANTES'!B:L,10,0)</f>
        <v>CC</v>
      </c>
      <c r="K797" s="19">
        <f>VLOOKUP(A797,'ESTADOS ESTUDIANTES'!B:L,11,0)</f>
        <v>1032400717</v>
      </c>
      <c r="L797" s="19">
        <v>3168488004</v>
      </c>
      <c r="M797" s="20">
        <v>32116</v>
      </c>
      <c r="N797" s="22"/>
      <c r="O797" s="15"/>
      <c r="P797" s="15"/>
      <c r="Q797" s="15"/>
      <c r="R797" s="15"/>
      <c r="S797" s="15"/>
      <c r="T797" s="15"/>
      <c r="U797" s="15"/>
    </row>
    <row r="798" spans="1:21" ht="90">
      <c r="A798" s="17">
        <v>20161495007</v>
      </c>
      <c r="B798" s="19" t="str">
        <f>VLOOKUP(A798,'ESTADOS ESTUDIANTES'!B:L,2,0)</f>
        <v>FLÓREZ LLANOS CINDY ALEJANDRA</v>
      </c>
      <c r="C798" s="19">
        <f>VLOOKUP(A798,'ESTADOS ESTUDIANTES'!B:L,3,0)</f>
        <v>495</v>
      </c>
      <c r="D798" s="66" t="str">
        <f>VLOOKUP(A798,'ESTADOS ESTUDIANTES'!B:L,4,0)</f>
        <v>MAE. EN CIENCIAS DE LA INF. Y LAS COMUNICACIONES ENFASIS EN ING. SOFT</v>
      </c>
      <c r="E798" s="19" t="str">
        <f>VLOOKUP(A798,'ESTADOS ESTUDIANTES'!B:L,5,0)</f>
        <v>X</v>
      </c>
      <c r="F798" s="18" t="str">
        <f>VLOOKUP(E798,Listas!B1:C1004,2,0)</f>
        <v>EXCLUIDO</v>
      </c>
      <c r="G798" s="19">
        <f>VLOOKUP(A798,'ESTADOS ESTUDIANTES'!B:L,7,0)</f>
        <v>3</v>
      </c>
      <c r="H798" s="19">
        <f>VLOOKUP(A798,'ESTADOS ESTUDIANTES'!B:L,8,0)</f>
        <v>0</v>
      </c>
      <c r="I798" s="70" t="str">
        <f>VLOOKUP(A798,'ESTADOS ESTUDIANTES'!B:L,9,0)</f>
        <v>cindy2133@gmail.com</v>
      </c>
      <c r="J798" s="19" t="str">
        <f>VLOOKUP(A798,'ESTADOS ESTUDIANTES'!B:L,10,0)</f>
        <v>CC</v>
      </c>
      <c r="K798" s="19">
        <f>VLOOKUP(A798,'ESTADOS ESTUDIANTES'!B:L,11,0)</f>
        <v>1026567710</v>
      </c>
      <c r="L798" s="19">
        <v>3114690947</v>
      </c>
      <c r="M798" s="20"/>
      <c r="N798" s="22"/>
      <c r="O798" s="15"/>
      <c r="P798" s="15"/>
      <c r="Q798" s="15"/>
      <c r="R798" s="15"/>
      <c r="S798" s="15"/>
      <c r="T798" s="15"/>
      <c r="U798" s="15"/>
    </row>
    <row r="799" spans="1:21" ht="90">
      <c r="A799" s="17">
        <v>20161495008</v>
      </c>
      <c r="B799" s="19" t="str">
        <f>VLOOKUP(A799,'ESTADOS ESTUDIANTES'!B:L,2,0)</f>
        <v>GONZÁLEZ SEPULVEDA JUAN RICARDO</v>
      </c>
      <c r="C799" s="19">
        <f>VLOOKUP(A799,'ESTADOS ESTUDIANTES'!B:L,3,0)</f>
        <v>495</v>
      </c>
      <c r="D799" s="66" t="str">
        <f>VLOOKUP(A799,'ESTADOS ESTUDIANTES'!B:L,4,0)</f>
        <v>MAE. EN CIENCIAS DE LA INF. Y LAS COMUNICACIONES ENFASIS EN ING. SOFT</v>
      </c>
      <c r="E799" s="19" t="str">
        <f>VLOOKUP(A799,'ESTADOS ESTUDIANTES'!B:L,5,0)</f>
        <v>I</v>
      </c>
      <c r="F799" s="18" t="str">
        <f>VLOOKUP(E799,Listas!B1:C1004,2,0)</f>
        <v>INACTIVO</v>
      </c>
      <c r="G799" s="19" t="str">
        <f>VLOOKUP(A799,'ESTADOS ESTUDIANTES'!B:L,7,0)</f>
        <v>NO REGISTRA</v>
      </c>
      <c r="H799" s="19">
        <f>VLOOKUP(A799,'ESTADOS ESTUDIANTES'!B:L,8,0)</f>
        <v>0</v>
      </c>
      <c r="I799" s="70" t="str">
        <f>VLOOKUP(A799,'ESTADOS ESTUDIANTES'!B:L,9,0)</f>
        <v>jrgonzalezsepulveda@gmail.com</v>
      </c>
      <c r="J799" s="19" t="str">
        <f>VLOOKUP(A799,'ESTADOS ESTUDIANTES'!B:L,10,0)</f>
        <v>CC</v>
      </c>
      <c r="K799" s="19">
        <f>VLOOKUP(A799,'ESTADOS ESTUDIANTES'!B:L,11,0)</f>
        <v>16073312</v>
      </c>
      <c r="L799" s="23"/>
      <c r="M799" s="20"/>
      <c r="N799" s="22"/>
      <c r="O799" s="15"/>
      <c r="P799" s="15"/>
      <c r="Q799" s="15"/>
      <c r="R799" s="15"/>
      <c r="S799" s="15"/>
      <c r="T799" s="15"/>
      <c r="U799" s="15"/>
    </row>
    <row r="800" spans="1:21" ht="90">
      <c r="A800" s="17">
        <v>20161495009</v>
      </c>
      <c r="B800" s="19" t="str">
        <f>VLOOKUP(A800,'ESTADOS ESTUDIANTES'!B:L,2,0)</f>
        <v>GUERRERO CALDERÓN ÁRNOL</v>
      </c>
      <c r="C800" s="19">
        <f>VLOOKUP(A800,'ESTADOS ESTUDIANTES'!B:L,3,0)</f>
        <v>495</v>
      </c>
      <c r="D800" s="66" t="str">
        <f>VLOOKUP(A800,'ESTADOS ESTUDIANTES'!B:L,4,0)</f>
        <v>MAE. EN CIENCIAS DE LA INF. Y LAS COMUNICACIONES ENFASIS EN ING. SOFT</v>
      </c>
      <c r="E800" s="19" t="str">
        <f>VLOOKUP(A800,'ESTADOS ESTUDIANTES'!B:L,5,0)</f>
        <v>E</v>
      </c>
      <c r="F800" s="18" t="str">
        <f>VLOOKUP(E800,Listas!B1:C1004,2,0)</f>
        <v>EGRESADO</v>
      </c>
      <c r="G800" s="19">
        <f>VLOOKUP(A800,'ESTADOS ESTUDIANTES'!B:L,7,0)</f>
        <v>3</v>
      </c>
      <c r="H800" s="19" t="str">
        <f>VLOOKUP(A800,'ESTADOS ESTUDIANTES'!B:L,8,0)</f>
        <v>arguerreroc@udistrital.edu.co</v>
      </c>
      <c r="I800" s="70" t="str">
        <f>VLOOKUP(A800,'ESTADOS ESTUDIANTES'!B:L,9,0)</f>
        <v>arnolgc@gmail.com</v>
      </c>
      <c r="J800" s="19" t="str">
        <f>VLOOKUP(A800,'ESTADOS ESTUDIANTES'!B:L,10,0)</f>
        <v>CC</v>
      </c>
      <c r="K800" s="19">
        <f>VLOOKUP(A800,'ESTADOS ESTUDIANTES'!B:L,11,0)</f>
        <v>3217282</v>
      </c>
      <c r="L800" s="19">
        <v>3168229084</v>
      </c>
      <c r="M800" s="20">
        <v>30475</v>
      </c>
      <c r="N800" s="22"/>
      <c r="O800" s="15"/>
      <c r="P800" s="15"/>
      <c r="Q800" s="15"/>
      <c r="R800" s="15"/>
      <c r="S800" s="15"/>
      <c r="T800" s="15"/>
      <c r="U800" s="15"/>
    </row>
    <row r="801" spans="1:21" ht="90">
      <c r="A801" s="17">
        <v>20161495010</v>
      </c>
      <c r="B801" s="19" t="str">
        <f>VLOOKUP(A801,'ESTADOS ESTUDIANTES'!B:L,2,0)</f>
        <v>HURTADO CRUZ EDWIN HERNÁN</v>
      </c>
      <c r="C801" s="19">
        <f>VLOOKUP(A801,'ESTADOS ESTUDIANTES'!B:L,3,0)</f>
        <v>495</v>
      </c>
      <c r="D801" s="66" t="str">
        <f>VLOOKUP(A801,'ESTADOS ESTUDIANTES'!B:L,4,0)</f>
        <v>MAE. EN CIENCIAS DE LA INF. Y LAS COMUNICACIONES ENFASIS EN ING. SOFT</v>
      </c>
      <c r="E801" s="19" t="str">
        <f>VLOOKUP(A801,'ESTADOS ESTUDIANTES'!B:L,5,0)</f>
        <v>X</v>
      </c>
      <c r="F801" s="18" t="str">
        <f>VLOOKUP(E801,Listas!B1:C1004,2,0)</f>
        <v>EXCLUIDO</v>
      </c>
      <c r="G801" s="19" t="str">
        <f>VLOOKUP(A801,'ESTADOS ESTUDIANTES'!B:L,7,0)</f>
        <v>NO REGISTRA</v>
      </c>
      <c r="H801" s="19">
        <f>VLOOKUP(A801,'ESTADOS ESTUDIANTES'!B:L,8,0)</f>
        <v>0</v>
      </c>
      <c r="I801" s="70" t="str">
        <f>VLOOKUP(A801,'ESTADOS ESTUDIANTES'!B:L,9,0)</f>
        <v>edwin.hernan.hurtado@gmail.com</v>
      </c>
      <c r="J801" s="19" t="str">
        <f>VLOOKUP(A801,'ESTADOS ESTUDIANTES'!B:L,10,0)</f>
        <v>CC</v>
      </c>
      <c r="K801" s="19">
        <f>VLOOKUP(A801,'ESTADOS ESTUDIANTES'!B:L,11,0)</f>
        <v>80251403</v>
      </c>
      <c r="L801" s="19">
        <v>3112515398</v>
      </c>
      <c r="M801" s="20"/>
      <c r="N801" s="22"/>
      <c r="O801" s="15"/>
      <c r="P801" s="15"/>
      <c r="Q801" s="15"/>
      <c r="R801" s="15"/>
      <c r="S801" s="15"/>
      <c r="T801" s="15"/>
      <c r="U801" s="15"/>
    </row>
    <row r="802" spans="1:21" ht="90">
      <c r="A802" s="17">
        <v>20161495011</v>
      </c>
      <c r="B802" s="19" t="str">
        <f>VLOOKUP(A802,'ESTADOS ESTUDIANTES'!B:L,2,0)</f>
        <v>KATZ DELGADO JUAN ESTEBAN</v>
      </c>
      <c r="C802" s="19">
        <f>VLOOKUP(A802,'ESTADOS ESTUDIANTES'!B:L,3,0)</f>
        <v>495</v>
      </c>
      <c r="D802" s="66" t="str">
        <f>VLOOKUP(A802,'ESTADOS ESTUDIANTES'!B:L,4,0)</f>
        <v>MAE. EN CIENCIAS DE LA INF. Y LAS COMUNICACIONES ENFASIS EN ING. SOFT</v>
      </c>
      <c r="E802" s="19" t="str">
        <f>VLOOKUP(A802,'ESTADOS ESTUDIANTES'!B:L,5,0)</f>
        <v>E</v>
      </c>
      <c r="F802" s="18" t="str">
        <f>VLOOKUP(E802,Listas!B1:C1004,2,0)</f>
        <v>EGRESADO</v>
      </c>
      <c r="G802" s="19">
        <f>VLOOKUP(A802,'ESTADOS ESTUDIANTES'!B:L,7,0)</f>
        <v>1</v>
      </c>
      <c r="H802" s="19">
        <f>VLOOKUP(A802,'ESTADOS ESTUDIANTES'!B:L,8,0)</f>
        <v>0</v>
      </c>
      <c r="I802" s="70" t="str">
        <f>VLOOKUP(A802,'ESTADOS ESTUDIANTES'!B:L,9,0)</f>
        <v>jesteban.katz@gmail.com</v>
      </c>
      <c r="J802" s="19" t="str">
        <f>VLOOKUP(A802,'ESTADOS ESTUDIANTES'!B:L,10,0)</f>
        <v>CC</v>
      </c>
      <c r="K802" s="19">
        <f>VLOOKUP(A802,'ESTADOS ESTUDIANTES'!B:L,11,0)</f>
        <v>1018442453</v>
      </c>
      <c r="L802" s="19">
        <v>3185673026</v>
      </c>
      <c r="M802" s="20"/>
      <c r="N802" s="22"/>
      <c r="O802" s="15"/>
      <c r="P802" s="15"/>
      <c r="Q802" s="15"/>
      <c r="R802" s="15"/>
      <c r="S802" s="15"/>
      <c r="T802" s="15"/>
      <c r="U802" s="15"/>
    </row>
    <row r="803" spans="1:21" ht="90">
      <c r="A803" s="17">
        <v>20161495012</v>
      </c>
      <c r="B803" s="19" t="str">
        <f>VLOOKUP(A803,'ESTADOS ESTUDIANTES'!B:L,2,0)</f>
        <v>MARTIN ANGELA CAROLINA</v>
      </c>
      <c r="C803" s="19">
        <f>VLOOKUP(A803,'ESTADOS ESTUDIANTES'!B:L,3,0)</f>
        <v>495</v>
      </c>
      <c r="D803" s="66" t="str">
        <f>VLOOKUP(A803,'ESTADOS ESTUDIANTES'!B:L,4,0)</f>
        <v>MAE. EN CIENCIAS DE LA INF. Y LAS COMUNICACIONES ENFASIS EN ING. SOFT</v>
      </c>
      <c r="E803" s="19" t="str">
        <f>VLOOKUP(A803,'ESTADOS ESTUDIANTES'!B:L,5,0)</f>
        <v>X</v>
      </c>
      <c r="F803" s="18" t="str">
        <f>VLOOKUP(E803,Listas!B1:C1004,2,0)</f>
        <v>EXCLUIDO</v>
      </c>
      <c r="G803" s="19" t="str">
        <f>VLOOKUP(A803,'ESTADOS ESTUDIANTES'!B:L,7,0)</f>
        <v>NO REGISTRA</v>
      </c>
      <c r="H803" s="19" t="str">
        <f>VLOOKUP(A803,'ESTADOS ESTUDIANTES'!B:L,8,0)</f>
        <v>acmartin@correo.udistrital.edu.co</v>
      </c>
      <c r="I803" s="70" t="str">
        <f>VLOOKUP(A803,'ESTADOS ESTUDIANTES'!B:L,9,0)</f>
        <v>ing.angelamartin@gmail.com</v>
      </c>
      <c r="J803" s="19" t="str">
        <f>VLOOKUP(A803,'ESTADOS ESTUDIANTES'!B:L,10,0)</f>
        <v>CC</v>
      </c>
      <c r="K803" s="19">
        <f>VLOOKUP(A803,'ESTADOS ESTUDIANTES'!B:L,11,0)</f>
        <v>1022334127</v>
      </c>
      <c r="L803" s="19">
        <v>3118404423</v>
      </c>
      <c r="M803" s="20"/>
      <c r="N803" s="22"/>
      <c r="O803" s="15"/>
      <c r="P803" s="15"/>
      <c r="Q803" s="15"/>
      <c r="R803" s="15"/>
      <c r="S803" s="15"/>
      <c r="T803" s="15"/>
      <c r="U803" s="15"/>
    </row>
    <row r="804" spans="1:21" ht="90">
      <c r="A804" s="17">
        <v>20161495013</v>
      </c>
      <c r="B804" s="19" t="str">
        <f>VLOOKUP(A804,'ESTADOS ESTUDIANTES'!B:L,2,0)</f>
        <v>MORA JIMÉNEZ JEANET</v>
      </c>
      <c r="C804" s="19">
        <f>VLOOKUP(A804,'ESTADOS ESTUDIANTES'!B:L,3,0)</f>
        <v>495</v>
      </c>
      <c r="D804" s="66" t="str">
        <f>VLOOKUP(A804,'ESTADOS ESTUDIANTES'!B:L,4,0)</f>
        <v>MAE. EN CIENCIAS DE LA INF. Y LAS COMUNICACIONES ENFASIS EN ING. SOFT</v>
      </c>
      <c r="E804" s="19" t="str">
        <f>VLOOKUP(A804,'ESTADOS ESTUDIANTES'!B:L,5,0)</f>
        <v>X</v>
      </c>
      <c r="F804" s="18" t="str">
        <f>VLOOKUP(E804,Listas!B1:C1004,2,0)</f>
        <v>EXCLUIDO</v>
      </c>
      <c r="G804" s="19" t="str">
        <f>VLOOKUP(A804,'ESTADOS ESTUDIANTES'!B:L,7,0)</f>
        <v>NO REGISTRA</v>
      </c>
      <c r="H804" s="19">
        <f>VLOOKUP(A804,'ESTADOS ESTUDIANTES'!B:L,8,0)</f>
        <v>0</v>
      </c>
      <c r="I804" s="70" t="str">
        <f>VLOOKUP(A804,'ESTADOS ESTUDIANTES'!B:L,9,0)</f>
        <v>jeanetmj@gmail.com</v>
      </c>
      <c r="J804" s="19" t="str">
        <f>VLOOKUP(A804,'ESTADOS ESTUDIANTES'!B:L,10,0)</f>
        <v>CC</v>
      </c>
      <c r="K804" s="19">
        <f>VLOOKUP(A804,'ESTADOS ESTUDIANTES'!B:L,11,0)</f>
        <v>51882949</v>
      </c>
      <c r="L804" s="19">
        <v>3124313742</v>
      </c>
      <c r="M804" s="20"/>
      <c r="N804" s="22"/>
      <c r="O804" s="15"/>
      <c r="P804" s="15"/>
      <c r="Q804" s="15"/>
      <c r="R804" s="15"/>
      <c r="S804" s="15"/>
      <c r="T804" s="15"/>
      <c r="U804" s="15"/>
    </row>
    <row r="805" spans="1:21" ht="90">
      <c r="A805" s="17">
        <v>20161495014</v>
      </c>
      <c r="B805" s="19" t="str">
        <f>VLOOKUP(A805,'ESTADOS ESTUDIANTES'!B:L,2,0)</f>
        <v>OREJUELA VILLANUEVA EDISON ALEXANDER</v>
      </c>
      <c r="C805" s="19">
        <f>VLOOKUP(A805,'ESTADOS ESTUDIANTES'!B:L,3,0)</f>
        <v>495</v>
      </c>
      <c r="D805" s="66" t="str">
        <f>VLOOKUP(A805,'ESTADOS ESTUDIANTES'!B:L,4,0)</f>
        <v>MAE. EN CIENCIAS DE LA INF. Y LAS COMUNICACIONES ENFASIS EN ING. SOFT</v>
      </c>
      <c r="E805" s="19" t="str">
        <f>VLOOKUP(A805,'ESTADOS ESTUDIANTES'!B:L,5,0)</f>
        <v>X</v>
      </c>
      <c r="F805" s="18" t="str">
        <f>VLOOKUP(E805,Listas!B1:C1004,2,0)</f>
        <v>EXCLUIDO</v>
      </c>
      <c r="G805" s="19" t="str">
        <f>VLOOKUP(A805,'ESTADOS ESTUDIANTES'!B:L,7,0)</f>
        <v>NO REGISTRA</v>
      </c>
      <c r="H805" s="19">
        <f>VLOOKUP(A805,'ESTADOS ESTUDIANTES'!B:L,8,0)</f>
        <v>0</v>
      </c>
      <c r="I805" s="70" t="str">
        <f>VLOOKUP(A805,'ESTADOS ESTUDIANTES'!B:L,9,0)</f>
        <v>edisonorejuela@gmail.com</v>
      </c>
      <c r="J805" s="19" t="str">
        <f>VLOOKUP(A805,'ESTADOS ESTUDIANTES'!B:L,10,0)</f>
        <v>CC</v>
      </c>
      <c r="K805" s="19">
        <f>VLOOKUP(A805,'ESTADOS ESTUDIANTES'!B:L,11,0)</f>
        <v>1077851478</v>
      </c>
      <c r="L805" s="19">
        <v>3115337347</v>
      </c>
      <c r="M805" s="20"/>
      <c r="N805" s="22"/>
      <c r="O805" s="15"/>
      <c r="P805" s="15"/>
      <c r="Q805" s="15"/>
      <c r="R805" s="15"/>
      <c r="S805" s="15"/>
      <c r="T805" s="15"/>
      <c r="U805" s="15"/>
    </row>
    <row r="806" spans="1:21" ht="90">
      <c r="A806" s="17">
        <v>20161495015</v>
      </c>
      <c r="B806" s="19" t="str">
        <f>VLOOKUP(A806,'ESTADOS ESTUDIANTES'!B:L,2,0)</f>
        <v>ORTIZ GARZÓN LEONARDO JULIÁN</v>
      </c>
      <c r="C806" s="19">
        <f>VLOOKUP(A806,'ESTADOS ESTUDIANTES'!B:L,3,0)</f>
        <v>495</v>
      </c>
      <c r="D806" s="66" t="str">
        <f>VLOOKUP(A806,'ESTADOS ESTUDIANTES'!B:L,4,0)</f>
        <v>MAE. EN CIENCIAS DE LA INF. Y LAS COMUNICACIONES ENFASIS EN ING. SOFT</v>
      </c>
      <c r="E806" s="19" t="str">
        <f>VLOOKUP(A806,'ESTADOS ESTUDIANTES'!B:L,5,0)</f>
        <v>X</v>
      </c>
      <c r="F806" s="18" t="str">
        <f>VLOOKUP(E806,Listas!B1:C1004,2,0)</f>
        <v>EXCLUIDO</v>
      </c>
      <c r="G806" s="19">
        <f>VLOOKUP(A806,'ESTADOS ESTUDIANTES'!B:L,7,0)</f>
        <v>2</v>
      </c>
      <c r="H806" s="19" t="str">
        <f>VLOOKUP(A806,'ESTADOS ESTUDIANTES'!B:L,8,0)</f>
        <v>ljortizg@correo.udistrital.edu.co</v>
      </c>
      <c r="I806" s="70" t="str">
        <f>VLOOKUP(A806,'ESTADOS ESTUDIANTES'!B:L,9,0)</f>
        <v>leonorti@gmail.com</v>
      </c>
      <c r="J806" s="19" t="str">
        <f>VLOOKUP(A806,'ESTADOS ESTUDIANTES'!B:L,10,0)</f>
        <v>CC</v>
      </c>
      <c r="K806" s="19">
        <f>VLOOKUP(A806,'ESTADOS ESTUDIANTES'!B:L,11,0)</f>
        <v>94326504</v>
      </c>
      <c r="L806" s="19">
        <v>3182801384</v>
      </c>
      <c r="M806" s="20"/>
      <c r="N806" s="22"/>
      <c r="O806" s="15"/>
      <c r="P806" s="15"/>
      <c r="Q806" s="15"/>
      <c r="R806" s="15"/>
      <c r="S806" s="15"/>
      <c r="T806" s="15"/>
      <c r="U806" s="15"/>
    </row>
    <row r="807" spans="1:21" ht="90">
      <c r="A807" s="17">
        <v>20161495016</v>
      </c>
      <c r="B807" s="19" t="str">
        <f>VLOOKUP(A807,'ESTADOS ESTUDIANTES'!B:L,2,0)</f>
        <v>PUPIALES ARÉVALO ANDRÉS</v>
      </c>
      <c r="C807" s="19">
        <f>VLOOKUP(A807,'ESTADOS ESTUDIANTES'!B:L,3,0)</f>
        <v>495</v>
      </c>
      <c r="D807" s="66" t="str">
        <f>VLOOKUP(A807,'ESTADOS ESTUDIANTES'!B:L,4,0)</f>
        <v>MAE. EN CIENCIAS DE LA INF. Y LAS COMUNICACIONES ENFASIS EN ING. SOFT</v>
      </c>
      <c r="E807" s="19" t="str">
        <f>VLOOKUP(A807,'ESTADOS ESTUDIANTES'!B:L,5,0)</f>
        <v>E</v>
      </c>
      <c r="F807" s="18" t="str">
        <f>VLOOKUP(E807,Listas!B1:C1004,2,0)</f>
        <v>EGRESADO</v>
      </c>
      <c r="G807" s="19">
        <f>VLOOKUP(A807,'ESTADOS ESTUDIANTES'!B:L,7,0)</f>
        <v>3</v>
      </c>
      <c r="H807" s="19" t="str">
        <f>VLOOKUP(A807,'ESTADOS ESTUDIANTES'!B:L,8,0)</f>
        <v>anpupialesa@udistrital.edu.co</v>
      </c>
      <c r="I807" s="70" t="str">
        <f>VLOOKUP(A807,'ESTADOS ESTUDIANTES'!B:L,9,0)</f>
        <v>apupiales@gmail.com</v>
      </c>
      <c r="J807" s="19" t="str">
        <f>VLOOKUP(A807,'ESTADOS ESTUDIANTES'!B:L,10,0)</f>
        <v>CC</v>
      </c>
      <c r="K807" s="19">
        <f>VLOOKUP(A807,'ESTADOS ESTUDIANTES'!B:L,11,0)</f>
        <v>1018413339</v>
      </c>
      <c r="L807" s="19">
        <v>3044830865</v>
      </c>
      <c r="M807" s="20">
        <v>32059</v>
      </c>
      <c r="N807" s="22"/>
      <c r="O807" s="15"/>
      <c r="P807" s="15"/>
      <c r="Q807" s="15"/>
      <c r="R807" s="15"/>
      <c r="S807" s="15"/>
      <c r="T807" s="15"/>
      <c r="U807" s="15"/>
    </row>
    <row r="808" spans="1:21" ht="90">
      <c r="A808" s="17">
        <v>20161495017</v>
      </c>
      <c r="B808" s="19" t="str">
        <f>VLOOKUP(A808,'ESTADOS ESTUDIANTES'!B:L,2,0)</f>
        <v>ROJAS JIMÉNEZ JUÁN DAVID</v>
      </c>
      <c r="C808" s="19">
        <f>VLOOKUP(A808,'ESTADOS ESTUDIANTES'!B:L,3,0)</f>
        <v>495</v>
      </c>
      <c r="D808" s="66" t="str">
        <f>VLOOKUP(A808,'ESTADOS ESTUDIANTES'!B:L,4,0)</f>
        <v>MAE. EN CIENCIAS DE LA INF. Y LAS COMUNICACIONES ENFASIS EN ING. SOFT</v>
      </c>
      <c r="E808" s="19" t="str">
        <f>VLOOKUP(A808,'ESTADOS ESTUDIANTES'!B:L,5,0)</f>
        <v>N</v>
      </c>
      <c r="F808" s="18" t="str">
        <f>VLOOKUP(E808,Listas!B1:C1004,2,0)</f>
        <v>ERROR DE CODIGO</v>
      </c>
      <c r="G808" s="19" t="str">
        <f>VLOOKUP(A808,'ESTADOS ESTUDIANTES'!B:L,7,0)</f>
        <v>NO REGISTRA</v>
      </c>
      <c r="H808" s="19">
        <f>VLOOKUP(A808,'ESTADOS ESTUDIANTES'!B:L,8,0)</f>
        <v>0</v>
      </c>
      <c r="I808" s="70" t="str">
        <f>VLOOKUP(A808,'ESTADOS ESTUDIANTES'!B:L,9,0)</f>
        <v>juliandrj@gmail.com</v>
      </c>
      <c r="J808" s="19" t="str">
        <f>VLOOKUP(A808,'ESTADOS ESTUDIANTES'!B:L,10,0)</f>
        <v>CC</v>
      </c>
      <c r="K808" s="19">
        <f>VLOOKUP(A808,'ESTADOS ESTUDIANTES'!B:L,11,0)</f>
        <v>80096119</v>
      </c>
      <c r="L808" s="23"/>
      <c r="M808" s="20"/>
      <c r="N808" s="22"/>
      <c r="O808" s="15"/>
      <c r="P808" s="15"/>
      <c r="Q808" s="15"/>
      <c r="R808" s="15"/>
      <c r="S808" s="15"/>
      <c r="T808" s="15"/>
      <c r="U808" s="15"/>
    </row>
    <row r="809" spans="1:21" ht="90">
      <c r="A809" s="17">
        <v>20161495018</v>
      </c>
      <c r="B809" s="19" t="str">
        <f>VLOOKUP(A809,'ESTADOS ESTUDIANTES'!B:L,2,0)</f>
        <v>ROJAS QUINTERO CRISTIAN ALEJANDRO</v>
      </c>
      <c r="C809" s="19">
        <f>VLOOKUP(A809,'ESTADOS ESTUDIANTES'!B:L,3,0)</f>
        <v>495</v>
      </c>
      <c r="D809" s="66" t="str">
        <f>VLOOKUP(A809,'ESTADOS ESTUDIANTES'!B:L,4,0)</f>
        <v>MAE. EN CIENCIAS DE LA INF. Y LAS COMUNICACIONES ENFASIS EN ING. SOFT</v>
      </c>
      <c r="E809" s="19" t="str">
        <f>VLOOKUP(A809,'ESTADOS ESTUDIANTES'!B:L,5,0)</f>
        <v>E</v>
      </c>
      <c r="F809" s="18" t="str">
        <f>VLOOKUP(E809,Listas!B1:C1004,2,0)</f>
        <v>EGRESADO</v>
      </c>
      <c r="G809" s="19">
        <f>VLOOKUP(A809,'ESTADOS ESTUDIANTES'!B:L,7,0)</f>
        <v>3</v>
      </c>
      <c r="H809" s="19">
        <f>VLOOKUP(A809,'ESTADOS ESTUDIANTES'!B:L,8,0)</f>
        <v>0</v>
      </c>
      <c r="I809" s="70" t="str">
        <f>VLOOKUP(A809,'ESTADOS ESTUDIANTES'!B:L,9,0)</f>
        <v>alejandro.0317@gmail.com</v>
      </c>
      <c r="J809" s="19" t="str">
        <f>VLOOKUP(A809,'ESTADOS ESTUDIANTES'!B:L,10,0)</f>
        <v>CC</v>
      </c>
      <c r="K809" s="19">
        <f>VLOOKUP(A809,'ESTADOS ESTUDIANTES'!B:L,11,0)</f>
        <v>1033743011</v>
      </c>
      <c r="L809" s="19">
        <v>3003706491</v>
      </c>
      <c r="M809" s="20"/>
      <c r="N809" s="22"/>
      <c r="O809" s="15"/>
      <c r="P809" s="15"/>
      <c r="Q809" s="15"/>
      <c r="R809" s="15"/>
      <c r="S809" s="15"/>
      <c r="T809" s="15"/>
      <c r="U809" s="15"/>
    </row>
    <row r="810" spans="1:21" ht="90">
      <c r="A810" s="17">
        <v>20161495019</v>
      </c>
      <c r="B810" s="19" t="str">
        <f>VLOOKUP(A810,'ESTADOS ESTUDIANTES'!B:L,2,0)</f>
        <v>ROMERO RAMIREZ JOHAN ALFREDO</v>
      </c>
      <c r="C810" s="19">
        <f>VLOOKUP(A810,'ESTADOS ESTUDIANTES'!B:L,3,0)</f>
        <v>495</v>
      </c>
      <c r="D810" s="66" t="str">
        <f>VLOOKUP(A810,'ESTADOS ESTUDIANTES'!B:L,4,0)</f>
        <v>MAE. EN CIENCIAS DE LA INF. Y LAS COMUNICACIONES ENFASIS EN ING. SOFT</v>
      </c>
      <c r="E810" s="19" t="str">
        <f>VLOOKUP(A810,'ESTADOS ESTUDIANTES'!B:L,5,0)</f>
        <v>E</v>
      </c>
      <c r="F810" s="18" t="str">
        <f>VLOOKUP(E810,Listas!B1:C1004,2,0)</f>
        <v>EGRESADO</v>
      </c>
      <c r="G810" s="19" t="str">
        <f>VLOOKUP(A810,'ESTADOS ESTUDIANTES'!B:L,7,0)</f>
        <v>NO REGISTRA</v>
      </c>
      <c r="H810" s="19" t="str">
        <f>VLOOKUP(A810,'ESTADOS ESTUDIANTES'!B:L,8,0)</f>
        <v>jaromeror@udistrital.edu.co</v>
      </c>
      <c r="I810" s="70" t="str">
        <f>VLOOKUP(A810,'ESTADOS ESTUDIANTES'!B:L,9,0)</f>
        <v>jaromerora@gmail.com</v>
      </c>
      <c r="J810" s="19" t="str">
        <f>VLOOKUP(A810,'ESTADOS ESTUDIANTES'!B:L,10,0)</f>
        <v>CC</v>
      </c>
      <c r="K810" s="19">
        <f>VLOOKUP(A810,'ESTADOS ESTUDIANTES'!B:L,11,0)</f>
        <v>1022325102</v>
      </c>
      <c r="L810" s="19">
        <v>3208287373</v>
      </c>
      <c r="M810" s="20">
        <v>31541</v>
      </c>
      <c r="N810" s="22"/>
      <c r="O810" s="15"/>
      <c r="P810" s="15"/>
      <c r="Q810" s="15"/>
      <c r="R810" s="15"/>
      <c r="S810" s="15"/>
      <c r="T810" s="15"/>
      <c r="U810" s="15"/>
    </row>
    <row r="811" spans="1:21" ht="90">
      <c r="A811" s="17">
        <v>20161495020</v>
      </c>
      <c r="B811" s="19" t="str">
        <f>VLOOKUP(A811,'ESTADOS ESTUDIANTES'!B:L,2,0)</f>
        <v>TARAZONA ROMERO WILLIAM ANDRÉS</v>
      </c>
      <c r="C811" s="19">
        <f>VLOOKUP(A811,'ESTADOS ESTUDIANTES'!B:L,3,0)</f>
        <v>495</v>
      </c>
      <c r="D811" s="66" t="str">
        <f>VLOOKUP(A811,'ESTADOS ESTUDIANTES'!B:L,4,0)</f>
        <v>MAE. EN CIENCIAS DE LA INF. Y LAS COMUNICACIONES ENFASIS EN ING. SOFT</v>
      </c>
      <c r="E811" s="19" t="str">
        <f>VLOOKUP(A811,'ESTADOS ESTUDIANTES'!B:L,5,0)</f>
        <v>X</v>
      </c>
      <c r="F811" s="18" t="str">
        <f>VLOOKUP(E811,Listas!B1:C1004,2,0)</f>
        <v>EXCLUIDO</v>
      </c>
      <c r="G811" s="19" t="str">
        <f>VLOOKUP(A811,'ESTADOS ESTUDIANTES'!B:L,7,0)</f>
        <v>NO REGISTRA</v>
      </c>
      <c r="H811" s="19" t="str">
        <f>VLOOKUP(A811,'ESTADOS ESTUDIANTES'!B:L,8,0)</f>
        <v>watarazonar@correo.udistrital.edu.co</v>
      </c>
      <c r="I811" s="70" t="str">
        <f>VLOOKUP(A811,'ESTADOS ESTUDIANTES'!B:L,9,0)</f>
        <v>willtarazona@gmail.com</v>
      </c>
      <c r="J811" s="19" t="str">
        <f>VLOOKUP(A811,'ESTADOS ESTUDIANTES'!B:L,10,0)</f>
        <v>CC</v>
      </c>
      <c r="K811" s="19">
        <f>VLOOKUP(A811,'ESTADOS ESTUDIANTES'!B:L,11,0)</f>
        <v>80239286</v>
      </c>
      <c r="L811" s="19">
        <v>3174032334</v>
      </c>
      <c r="M811" s="20"/>
      <c r="N811" s="22"/>
      <c r="O811" s="15"/>
      <c r="P811" s="15"/>
      <c r="Q811" s="15"/>
      <c r="R811" s="15"/>
      <c r="S811" s="15"/>
      <c r="T811" s="15"/>
      <c r="U811" s="15"/>
    </row>
    <row r="812" spans="1:21" ht="90">
      <c r="A812" s="17">
        <v>20161495021</v>
      </c>
      <c r="B812" s="19" t="str">
        <f>VLOOKUP(A812,'ESTADOS ESTUDIANTES'!B:L,2,0)</f>
        <v>RUBIANO VÁSQUEZ LUIS ENRIQUE</v>
      </c>
      <c r="C812" s="19">
        <f>VLOOKUP(A812,'ESTADOS ESTUDIANTES'!B:L,3,0)</f>
        <v>495</v>
      </c>
      <c r="D812" s="66" t="str">
        <f>VLOOKUP(A812,'ESTADOS ESTUDIANTES'!B:L,4,0)</f>
        <v>MAE. EN CIENCIAS DE LA INF. Y LAS COMUNICACIONES ENFASIS EN ING. SOFT</v>
      </c>
      <c r="E812" s="19" t="str">
        <f>VLOOKUP(A812,'ESTADOS ESTUDIANTES'!B:L,5,0)</f>
        <v>X</v>
      </c>
      <c r="F812" s="18" t="str">
        <f>VLOOKUP(E812,Listas!B1:C1004,2,0)</f>
        <v>EXCLUIDO</v>
      </c>
      <c r="G812" s="19" t="str">
        <f>VLOOKUP(A812,'ESTADOS ESTUDIANTES'!B:L,7,0)</f>
        <v>NO REGISTRA</v>
      </c>
      <c r="H812" s="19" t="str">
        <f>VLOOKUP(A812,'ESTADOS ESTUDIANTES'!B:L,8,0)</f>
        <v>lerubianov@correo.udistrital.edu.co</v>
      </c>
      <c r="I812" s="70" t="str">
        <f>VLOOKUP(A812,'ESTADOS ESTUDIANTES'!B:L,9,0)</f>
        <v>lrubianov@hotmail.com</v>
      </c>
      <c r="J812" s="19" t="str">
        <f>VLOOKUP(A812,'ESTADOS ESTUDIANTES'!B:L,10,0)</f>
        <v>CC</v>
      </c>
      <c r="K812" s="19">
        <f>VLOOKUP(A812,'ESTADOS ESTUDIANTES'!B:L,11,0)</f>
        <v>79156398</v>
      </c>
      <c r="L812" s="19">
        <v>3124313742</v>
      </c>
      <c r="M812" s="20"/>
      <c r="N812" s="22"/>
      <c r="O812" s="15"/>
      <c r="P812" s="15"/>
      <c r="Q812" s="15"/>
      <c r="R812" s="15"/>
      <c r="S812" s="15"/>
      <c r="T812" s="15"/>
      <c r="U812" s="15"/>
    </row>
    <row r="813" spans="1:21" ht="90">
      <c r="A813" s="17">
        <v>20161495022</v>
      </c>
      <c r="B813" s="19" t="str">
        <f>VLOOKUP(A813,'ESTADOS ESTUDIANTES'!B:L,2,0)</f>
        <v>VERGARA ROMERO MARGARETTE</v>
      </c>
      <c r="C813" s="19">
        <f>VLOOKUP(A813,'ESTADOS ESTUDIANTES'!B:L,3,0)</f>
        <v>495</v>
      </c>
      <c r="D813" s="66" t="str">
        <f>VLOOKUP(A813,'ESTADOS ESTUDIANTES'!B:L,4,0)</f>
        <v>MAE. EN CIENCIAS DE LA INF. Y LAS COMUNICACIONES ENFASIS EN ING. SOFT</v>
      </c>
      <c r="E813" s="19" t="str">
        <f>VLOOKUP(A813,'ESTADOS ESTUDIANTES'!B:L,5,0)</f>
        <v>X</v>
      </c>
      <c r="F813" s="18" t="str">
        <f>VLOOKUP(E813,Listas!B1:C1004,2,0)</f>
        <v>EXCLUIDO</v>
      </c>
      <c r="G813" s="19">
        <f>VLOOKUP(A813,'ESTADOS ESTUDIANTES'!B:L,7,0)</f>
        <v>3</v>
      </c>
      <c r="H813" s="19" t="str">
        <f>VLOOKUP(A813,'ESTADOS ESTUDIANTES'!B:L,8,0)</f>
        <v>mvergarar@correo.udistrital.edu.co</v>
      </c>
      <c r="I813" s="70" t="str">
        <f>VLOOKUP(A813,'ESTADOS ESTUDIANTES'!B:L,9,0)</f>
        <v>akmargie30@hotmail.com</v>
      </c>
      <c r="J813" s="19" t="str">
        <f>VLOOKUP(A813,'ESTADOS ESTUDIANTES'!B:L,10,0)</f>
        <v>CC</v>
      </c>
      <c r="K813" s="19">
        <f>VLOOKUP(A813,'ESTADOS ESTUDIANTES'!B:L,11,0)</f>
        <v>52529192</v>
      </c>
      <c r="L813" s="19">
        <v>3017801407</v>
      </c>
      <c r="M813" s="20"/>
      <c r="N813" s="22"/>
      <c r="O813" s="15"/>
      <c r="P813" s="15"/>
      <c r="Q813" s="15"/>
      <c r="R813" s="15"/>
      <c r="S813" s="15"/>
      <c r="T813" s="15"/>
      <c r="U813" s="15"/>
    </row>
    <row r="814" spans="1:21" ht="90">
      <c r="A814" s="17">
        <v>20161495023</v>
      </c>
      <c r="B814" s="19" t="str">
        <f>VLOOKUP(A814,'ESTADOS ESTUDIANTES'!B:L,2,0)</f>
        <v>WISK CEBALLOS SEBASTIAN</v>
      </c>
      <c r="C814" s="19">
        <f>VLOOKUP(A814,'ESTADOS ESTUDIANTES'!B:L,3,0)</f>
        <v>495</v>
      </c>
      <c r="D814" s="66" t="str">
        <f>VLOOKUP(A814,'ESTADOS ESTUDIANTES'!B:L,4,0)</f>
        <v>MAE. EN CIENCIAS DE LA INF. Y LAS COMUNICACIONES ENFASIS EN ING. SOFT</v>
      </c>
      <c r="E814" s="19" t="str">
        <f>VLOOKUP(A814,'ESTADOS ESTUDIANTES'!B:L,5,0)</f>
        <v>E</v>
      </c>
      <c r="F814" s="18" t="str">
        <f>VLOOKUP(E814,Listas!B1:C1004,2,0)</f>
        <v>EGRESADO</v>
      </c>
      <c r="G814" s="19">
        <f>VLOOKUP(A814,'ESTADOS ESTUDIANTES'!B:L,7,0)</f>
        <v>3</v>
      </c>
      <c r="H814" s="19" t="str">
        <f>VLOOKUP(A814,'ESTADOS ESTUDIANTES'!B:L,8,0)</f>
        <v>swiskc@udistrital.edu.co</v>
      </c>
      <c r="I814" s="70" t="str">
        <f>VLOOKUP(A814,'ESTADOS ESTUDIANTES'!B:L,9,0)</f>
        <v>sebastianwc@hotmail.com</v>
      </c>
      <c r="J814" s="19" t="str">
        <f>VLOOKUP(A814,'ESTADOS ESTUDIANTES'!B:L,10,0)</f>
        <v>CC</v>
      </c>
      <c r="K814" s="19">
        <f>VLOOKUP(A814,'ESTADOS ESTUDIANTES'!B:L,11,0)</f>
        <v>1032373444</v>
      </c>
      <c r="L814" s="19">
        <v>3127336429</v>
      </c>
      <c r="M814" s="20">
        <v>31718</v>
      </c>
      <c r="N814" s="22"/>
      <c r="O814" s="15"/>
      <c r="P814" s="15"/>
      <c r="Q814" s="15"/>
      <c r="R814" s="15"/>
      <c r="S814" s="15"/>
      <c r="T814" s="15"/>
      <c r="U814" s="15"/>
    </row>
    <row r="815" spans="1:21" ht="90">
      <c r="A815" s="17">
        <v>20162195002</v>
      </c>
      <c r="B815" s="19" t="str">
        <f>VLOOKUP(A815,'ESTADOS ESTUDIANTES'!B:L,2,0)</f>
        <v>BEDOYA CASTAÑO CARLOS MAURICIO</v>
      </c>
      <c r="C815" s="19">
        <f>VLOOKUP(A815,'ESTADOS ESTUDIANTES'!B:L,3,0)</f>
        <v>195</v>
      </c>
      <c r="D815" s="66" t="str">
        <f>VLOOKUP(A815,'ESTADOS ESTUDIANTES'!B:L,4,0)</f>
        <v>MAE. EN CIENCIAS DE LA INF. Y LAS COMUNICACIONES ENFASIS EN TELEINF.</v>
      </c>
      <c r="E815" s="19" t="str">
        <f>VLOOKUP(A815,'ESTADOS ESTUDIANTES'!B:L,5,0)</f>
        <v>X</v>
      </c>
      <c r="F815" s="18" t="str">
        <f>VLOOKUP(E815,Listas!B1:C1004,2,0)</f>
        <v>EXCLUIDO</v>
      </c>
      <c r="G815" s="19" t="str">
        <f>VLOOKUP(A815,'ESTADOS ESTUDIANTES'!B:L,7,0)</f>
        <v>NO REGISTRA</v>
      </c>
      <c r="H815" s="19">
        <f>VLOOKUP(A815,'ESTADOS ESTUDIANTES'!B:L,8,0)</f>
        <v>0</v>
      </c>
      <c r="I815" s="70" t="str">
        <f>VLOOKUP(A815,'ESTADOS ESTUDIANTES'!B:L,9,0)</f>
        <v>carlosm.bedoya@gmail.com</v>
      </c>
      <c r="J815" s="19" t="str">
        <f>VLOOKUP(A815,'ESTADOS ESTUDIANTES'!B:L,10,0)</f>
        <v>CC</v>
      </c>
      <c r="K815" s="19">
        <f>VLOOKUP(A815,'ESTADOS ESTUDIANTES'!B:L,11,0)</f>
        <v>80220725</v>
      </c>
      <c r="L815" s="23"/>
      <c r="M815" s="20"/>
      <c r="N815" s="22"/>
      <c r="O815" s="15"/>
      <c r="P815" s="15"/>
      <c r="Q815" s="15"/>
      <c r="R815" s="15"/>
      <c r="S815" s="15"/>
      <c r="T815" s="15"/>
      <c r="U815" s="15"/>
    </row>
    <row r="816" spans="1:21" ht="90">
      <c r="A816" s="17">
        <v>20162195003</v>
      </c>
      <c r="B816" s="19" t="str">
        <f>VLOOKUP(A816,'ESTADOS ESTUDIANTES'!B:L,2,0)</f>
        <v>BELTRÁN GARCIA JORGE ELIECER</v>
      </c>
      <c r="C816" s="19">
        <f>VLOOKUP(A816,'ESTADOS ESTUDIANTES'!B:L,3,0)</f>
        <v>195</v>
      </c>
      <c r="D816" s="66" t="str">
        <f>VLOOKUP(A816,'ESTADOS ESTUDIANTES'!B:L,4,0)</f>
        <v>MAE. EN CIENCIAS DE LA INF. Y LAS COMUNICACIONES ENFASIS EN TELEINF.</v>
      </c>
      <c r="E816" s="19" t="str">
        <f>VLOOKUP(A816,'ESTADOS ESTUDIANTES'!B:L,5,0)</f>
        <v>E</v>
      </c>
      <c r="F816" s="18" t="str">
        <f>VLOOKUP(E816,Listas!B1:C1004,2,0)</f>
        <v>EGRESADO</v>
      </c>
      <c r="G816" s="19">
        <f>VLOOKUP(A816,'ESTADOS ESTUDIANTES'!B:L,7,0)</f>
        <v>1</v>
      </c>
      <c r="H816" s="19" t="str">
        <f>VLOOKUP(A816,'ESTADOS ESTUDIANTES'!B:L,8,0)</f>
        <v>jebeltrang@udistrital.edu.co</v>
      </c>
      <c r="I816" s="70" t="str">
        <f>VLOOKUP(A816,'ESTADOS ESTUDIANTES'!B:L,9,0)</f>
        <v>jotaebeltrangarcia@gmail.com</v>
      </c>
      <c r="J816" s="19" t="str">
        <f>VLOOKUP(A816,'ESTADOS ESTUDIANTES'!B:L,10,0)</f>
        <v>CC</v>
      </c>
      <c r="K816" s="19">
        <f>VLOOKUP(A816,'ESTADOS ESTUDIANTES'!B:L,11,0)</f>
        <v>11255923</v>
      </c>
      <c r="L816" s="19">
        <v>3185613232</v>
      </c>
      <c r="M816" s="20"/>
      <c r="N816" s="22"/>
      <c r="O816" s="15"/>
      <c r="P816" s="15"/>
      <c r="Q816" s="15"/>
      <c r="R816" s="15"/>
      <c r="S816" s="15"/>
      <c r="T816" s="15"/>
      <c r="U816" s="15"/>
    </row>
    <row r="817" spans="1:21" ht="90">
      <c r="A817" s="17">
        <v>20162195004</v>
      </c>
      <c r="B817" s="19" t="str">
        <f>VLOOKUP(A817,'ESTADOS ESTUDIANTES'!B:L,2,0)</f>
        <v>CUBILLOS SÁNCHEZ RAFAEL ORLANDO</v>
      </c>
      <c r="C817" s="19">
        <f>VLOOKUP(A817,'ESTADOS ESTUDIANTES'!B:L,3,0)</f>
        <v>195</v>
      </c>
      <c r="D817" s="66" t="str">
        <f>VLOOKUP(A817,'ESTADOS ESTUDIANTES'!B:L,4,0)</f>
        <v>MAE. EN CIENCIAS DE LA INF. Y LAS COMUNICACIONES ENFASIS EN TELEINF.</v>
      </c>
      <c r="E817" s="19" t="str">
        <f>VLOOKUP(A817,'ESTADOS ESTUDIANTES'!B:L,5,0)</f>
        <v>E</v>
      </c>
      <c r="F817" s="18" t="str">
        <f>VLOOKUP(E817,Listas!B1:C1004,2,0)</f>
        <v>EGRESADO</v>
      </c>
      <c r="G817" s="19">
        <f>VLOOKUP(A817,'ESTADOS ESTUDIANTES'!B:L,7,0)</f>
        <v>3</v>
      </c>
      <c r="H817" s="19" t="str">
        <f>VLOOKUP(A817,'ESTADOS ESTUDIANTES'!B:L,8,0)</f>
        <v>rocubilloss@udistrital.edu.co</v>
      </c>
      <c r="I817" s="70" t="str">
        <f>VLOOKUP(A817,'ESTADOS ESTUDIANTES'!B:L,9,0)</f>
        <v>rafacubillos@gmail.com</v>
      </c>
      <c r="J817" s="19" t="str">
        <f>VLOOKUP(A817,'ESTADOS ESTUDIANTES'!B:L,10,0)</f>
        <v>CC</v>
      </c>
      <c r="K817" s="19">
        <f>VLOOKUP(A817,'ESTADOS ESTUDIANTES'!B:L,11,0)</f>
        <v>79578336</v>
      </c>
      <c r="L817" s="23"/>
      <c r="M817" s="20"/>
      <c r="N817" s="22"/>
      <c r="O817" s="15"/>
      <c r="P817" s="15"/>
      <c r="Q817" s="15"/>
      <c r="R817" s="15"/>
      <c r="S817" s="15"/>
      <c r="T817" s="15"/>
      <c r="U817" s="15"/>
    </row>
    <row r="818" spans="1:21" ht="90">
      <c r="A818" s="17">
        <v>20162195006</v>
      </c>
      <c r="B818" s="19" t="str">
        <f>VLOOKUP(A818,'ESTADOS ESTUDIANTES'!B:L,2,0)</f>
        <v>OTALORA RIVERO GEOVANNY RENE</v>
      </c>
      <c r="C818" s="19">
        <f>VLOOKUP(A818,'ESTADOS ESTUDIANTES'!B:L,3,0)</f>
        <v>195</v>
      </c>
      <c r="D818" s="66" t="str">
        <f>VLOOKUP(A818,'ESTADOS ESTUDIANTES'!B:L,4,0)</f>
        <v>MAE. EN CIENCIAS DE LA INF. Y LAS COMUNICACIONES ENFASIS EN TELEINF.</v>
      </c>
      <c r="E818" s="19" t="str">
        <f>VLOOKUP(A818,'ESTADOS ESTUDIANTES'!B:L,5,0)</f>
        <v>E</v>
      </c>
      <c r="F818" s="18" t="str">
        <f>VLOOKUP(E818,Listas!B1:C1004,2,0)</f>
        <v>EGRESADO</v>
      </c>
      <c r="G818" s="19">
        <f>VLOOKUP(A818,'ESTADOS ESTUDIANTES'!B:L,7,0)</f>
        <v>4</v>
      </c>
      <c r="H818" s="19" t="str">
        <f>VLOOKUP(A818,'ESTADOS ESTUDIANTES'!B:L,8,0)</f>
        <v>grotalorar@correo.udistrital.edu.co</v>
      </c>
      <c r="I818" s="70" t="str">
        <f>VLOOKUP(A818,'ESTADOS ESTUDIANTES'!B:L,9,0)</f>
        <v>gotalora68@gmail.com</v>
      </c>
      <c r="J818" s="19" t="str">
        <f>VLOOKUP(A818,'ESTADOS ESTUDIANTES'!B:L,10,0)</f>
        <v>CC</v>
      </c>
      <c r="K818" s="19">
        <f>VLOOKUP(A818,'ESTADOS ESTUDIANTES'!B:L,11,0)</f>
        <v>79531717</v>
      </c>
      <c r="L818" s="23"/>
      <c r="M818" s="20"/>
      <c r="N818" s="22"/>
      <c r="O818" s="15"/>
      <c r="P818" s="15"/>
      <c r="Q818" s="15"/>
      <c r="R818" s="15"/>
      <c r="S818" s="15"/>
      <c r="T818" s="15"/>
      <c r="U818" s="15"/>
    </row>
    <row r="819" spans="1:21" ht="90">
      <c r="A819" s="17">
        <v>20162195007</v>
      </c>
      <c r="B819" s="19" t="str">
        <f>VLOOKUP(A819,'ESTADOS ESTUDIANTES'!B:L,2,0)</f>
        <v>RODRÍGUEZ CEDIEL ANA CAROLINA</v>
      </c>
      <c r="C819" s="19">
        <f>VLOOKUP(A819,'ESTADOS ESTUDIANTES'!B:L,3,0)</f>
        <v>195</v>
      </c>
      <c r="D819" s="66" t="str">
        <f>VLOOKUP(A819,'ESTADOS ESTUDIANTES'!B:L,4,0)</f>
        <v>MAE. EN CIENCIAS DE LA INF. Y LAS COMUNICACIONES ENFASIS EN TELEINF.</v>
      </c>
      <c r="E819" s="19" t="str">
        <f>VLOOKUP(A819,'ESTADOS ESTUDIANTES'!B:L,5,0)</f>
        <v>E</v>
      </c>
      <c r="F819" s="18" t="str">
        <f>VLOOKUP(E819,Listas!B1:C1004,2,0)</f>
        <v>EGRESADO</v>
      </c>
      <c r="G819" s="19" t="str">
        <f>VLOOKUP(A819,'ESTADOS ESTUDIANTES'!B:L,7,0)</f>
        <v>NO REGISTRA</v>
      </c>
      <c r="H819" s="19" t="str">
        <f>VLOOKUP(A819,'ESTADOS ESTUDIANTES'!B:L,8,0)</f>
        <v>ancrodriguezc@udistrital.edu.co</v>
      </c>
      <c r="I819" s="70" t="str">
        <f>VLOOKUP(A819,'ESTADOS ESTUDIANTES'!B:L,9,0)</f>
        <v>anacarolinarodriguezcediel@gmail.com</v>
      </c>
      <c r="J819" s="19" t="str">
        <f>VLOOKUP(A819,'ESTADOS ESTUDIANTES'!B:L,10,0)</f>
        <v>CC</v>
      </c>
      <c r="K819" s="19">
        <f>VLOOKUP(A819,'ESTADOS ESTUDIANTES'!B:L,11,0)</f>
        <v>1014199332</v>
      </c>
      <c r="L819" s="23"/>
      <c r="M819" s="20"/>
      <c r="N819" s="22"/>
      <c r="O819" s="15"/>
      <c r="P819" s="15"/>
      <c r="Q819" s="15"/>
      <c r="R819" s="15"/>
      <c r="S819" s="15"/>
      <c r="T819" s="15"/>
      <c r="U819" s="15"/>
    </row>
    <row r="820" spans="1:21" ht="90">
      <c r="A820" s="17">
        <v>20162195008</v>
      </c>
      <c r="B820" s="19" t="str">
        <f>VLOOKUP(A820,'ESTADOS ESTUDIANTES'!B:L,2,0)</f>
        <v>RODRIGUEZ RODRÍGUEZ GUSTAVO ALONSO</v>
      </c>
      <c r="C820" s="19">
        <f>VLOOKUP(A820,'ESTADOS ESTUDIANTES'!B:L,3,0)</f>
        <v>195</v>
      </c>
      <c r="D820" s="66" t="str">
        <f>VLOOKUP(A820,'ESTADOS ESTUDIANTES'!B:L,4,0)</f>
        <v>MAE. EN CIENCIAS DE LA INF. Y LAS COMUNICACIONES ENFASIS EN TELEINF.</v>
      </c>
      <c r="E820" s="19" t="str">
        <f>VLOOKUP(A820,'ESTADOS ESTUDIANTES'!B:L,5,0)</f>
        <v>E</v>
      </c>
      <c r="F820" s="18" t="str">
        <f>VLOOKUP(E820,Listas!B1:C1004,2,0)</f>
        <v>EGRESADO</v>
      </c>
      <c r="G820" s="19">
        <f>VLOOKUP(A820,'ESTADOS ESTUDIANTES'!B:L,7,0)</f>
        <v>1</v>
      </c>
      <c r="H820" s="19" t="str">
        <f>VLOOKUP(A820,'ESTADOS ESTUDIANTES'!B:L,8,0)</f>
        <v>garodriguezr@correo.udistrital.edu.co</v>
      </c>
      <c r="I820" s="70" t="str">
        <f>VLOOKUP(A820,'ESTADOS ESTUDIANTES'!B:L,9,0)</f>
        <v>garcaj@hotmail.com</v>
      </c>
      <c r="J820" s="19" t="str">
        <f>VLOOKUP(A820,'ESTADOS ESTUDIANTES'!B:L,10,0)</f>
        <v>CC</v>
      </c>
      <c r="K820" s="19">
        <f>VLOOKUP(A820,'ESTADOS ESTUDIANTES'!B:L,11,0)</f>
        <v>79797927</v>
      </c>
      <c r="L820" s="23"/>
      <c r="M820" s="20"/>
      <c r="N820" s="22"/>
      <c r="O820" s="15"/>
      <c r="P820" s="15"/>
      <c r="Q820" s="15"/>
      <c r="R820" s="15"/>
      <c r="S820" s="15"/>
      <c r="T820" s="15"/>
      <c r="U820" s="15"/>
    </row>
    <row r="821" spans="1:21" ht="90">
      <c r="A821" s="17">
        <v>20162195009</v>
      </c>
      <c r="B821" s="19" t="str">
        <f>VLOOKUP(A821,'ESTADOS ESTUDIANTES'!B:L,2,0)</f>
        <v>ROMERO VILLANUEVA OSCAR FERNANDO</v>
      </c>
      <c r="C821" s="19">
        <f>VLOOKUP(A821,'ESTADOS ESTUDIANTES'!B:L,3,0)</f>
        <v>195</v>
      </c>
      <c r="D821" s="66" t="str">
        <f>VLOOKUP(A821,'ESTADOS ESTUDIANTES'!B:L,4,0)</f>
        <v>MAE. EN CIENCIAS DE LA INF. Y LAS COMUNICACIONES ENFASIS EN TELEINF.</v>
      </c>
      <c r="E821" s="19" t="str">
        <f>VLOOKUP(A821,'ESTADOS ESTUDIANTES'!B:L,5,0)</f>
        <v>X</v>
      </c>
      <c r="F821" s="18" t="str">
        <f>VLOOKUP(E821,Listas!B1:C1004,2,0)</f>
        <v>EXCLUIDO</v>
      </c>
      <c r="G821" s="19" t="str">
        <f>VLOOKUP(A821,'ESTADOS ESTUDIANTES'!B:L,7,0)</f>
        <v>NO REGISTRA</v>
      </c>
      <c r="H821" s="19">
        <f>VLOOKUP(A821,'ESTADOS ESTUDIANTES'!B:L,8,0)</f>
        <v>0</v>
      </c>
      <c r="I821" s="70" t="str">
        <f>VLOOKUP(A821,'ESTADOS ESTUDIANTES'!B:L,9,0)</f>
        <v>oscar.romero.villa@gmail.com</v>
      </c>
      <c r="J821" s="19" t="str">
        <f>VLOOKUP(A821,'ESTADOS ESTUDIANTES'!B:L,10,0)</f>
        <v>CC</v>
      </c>
      <c r="K821" s="19">
        <f>VLOOKUP(A821,'ESTADOS ESTUDIANTES'!B:L,11,0)</f>
        <v>1110454571</v>
      </c>
      <c r="L821" s="23"/>
      <c r="M821" s="20"/>
      <c r="N821" s="22"/>
      <c r="O821" s="15"/>
      <c r="P821" s="15"/>
      <c r="Q821" s="15"/>
      <c r="R821" s="15"/>
      <c r="S821" s="15"/>
      <c r="T821" s="15"/>
      <c r="U821" s="15"/>
    </row>
    <row r="822" spans="1:21" ht="90">
      <c r="A822" s="17">
        <v>20162195010</v>
      </c>
      <c r="B822" s="19" t="str">
        <f>VLOOKUP(A822,'ESTADOS ESTUDIANTES'!B:L,2,0)</f>
        <v>TORRES CASTILLO CAMILO ANDRÉS</v>
      </c>
      <c r="C822" s="19">
        <f>VLOOKUP(A822,'ESTADOS ESTUDIANTES'!B:L,3,0)</f>
        <v>195</v>
      </c>
      <c r="D822" s="66" t="str">
        <f>VLOOKUP(A822,'ESTADOS ESTUDIANTES'!B:L,4,0)</f>
        <v>MAE. EN CIENCIAS DE LA INF. Y LAS COMUNICACIONES ENFASIS EN TELEINF.</v>
      </c>
      <c r="E822" s="19" t="str">
        <f>VLOOKUP(A822,'ESTADOS ESTUDIANTES'!B:L,5,0)</f>
        <v>E</v>
      </c>
      <c r="F822" s="18" t="str">
        <f>VLOOKUP(E822,Listas!B1:C1004,2,0)</f>
        <v>EGRESADO</v>
      </c>
      <c r="G822" s="19">
        <f>VLOOKUP(A822,'ESTADOS ESTUDIANTES'!B:L,7,0)</f>
        <v>2</v>
      </c>
      <c r="H822" s="19">
        <f>VLOOKUP(A822,'ESTADOS ESTUDIANTES'!B:L,8,0)</f>
        <v>0</v>
      </c>
      <c r="I822" s="70" t="str">
        <f>VLOOKUP(A822,'ESTADOS ESTUDIANTES'!B:L,9,0)</f>
        <v>camito113@gmail.com</v>
      </c>
      <c r="J822" s="19" t="str">
        <f>VLOOKUP(A822,'ESTADOS ESTUDIANTES'!B:L,10,0)</f>
        <v>CC</v>
      </c>
      <c r="K822" s="19">
        <f>VLOOKUP(A822,'ESTADOS ESTUDIANTES'!B:L,11,0)</f>
        <v>1072640773</v>
      </c>
      <c r="L822" s="23"/>
      <c r="M822" s="20"/>
      <c r="N822" s="22"/>
      <c r="O822" s="15"/>
      <c r="P822" s="15"/>
      <c r="Q822" s="15"/>
      <c r="R822" s="15"/>
      <c r="S822" s="15"/>
      <c r="T822" s="15"/>
      <c r="U822" s="15"/>
    </row>
    <row r="823" spans="1:21" ht="90">
      <c r="A823" s="17">
        <v>20162195011</v>
      </c>
      <c r="B823" s="19" t="str">
        <f>VLOOKUP(A823,'ESTADOS ESTUDIANTES'!B:L,2,0)</f>
        <v>VELASCO ROMERO LAURA JINETH</v>
      </c>
      <c r="C823" s="19">
        <f>VLOOKUP(A823,'ESTADOS ESTUDIANTES'!B:L,3,0)</f>
        <v>195</v>
      </c>
      <c r="D823" s="66" t="str">
        <f>VLOOKUP(A823,'ESTADOS ESTUDIANTES'!B:L,4,0)</f>
        <v>MAE. EN CIENCIAS DE LA INF. Y LAS COMUNICACIONES ENFASIS EN TELEINF.</v>
      </c>
      <c r="E823" s="19" t="str">
        <f>VLOOKUP(A823,'ESTADOS ESTUDIANTES'!B:L,5,0)</f>
        <v>X</v>
      </c>
      <c r="F823" s="18" t="str">
        <f>VLOOKUP(E823,Listas!B1:C1004,2,0)</f>
        <v>EXCLUIDO</v>
      </c>
      <c r="G823" s="19" t="str">
        <f>VLOOKUP(A823,'ESTADOS ESTUDIANTES'!B:L,7,0)</f>
        <v>NO REGISTRA</v>
      </c>
      <c r="H823" s="19" t="str">
        <f>VLOOKUP(A823,'ESTADOS ESTUDIANTES'!B:L,8,0)</f>
        <v>lvelascor@correo.udistrital.edu.co</v>
      </c>
      <c r="I823" s="70" t="str">
        <f>VLOOKUP(A823,'ESTADOS ESTUDIANTES'!B:L,9,0)</f>
        <v>velasco.laura@outlook.com</v>
      </c>
      <c r="J823" s="19" t="str">
        <f>VLOOKUP(A823,'ESTADOS ESTUDIANTES'!B:L,10,0)</f>
        <v>CC</v>
      </c>
      <c r="K823" s="19">
        <f>VLOOKUP(A823,'ESTADOS ESTUDIANTES'!B:L,11,0)</f>
        <v>52957410</v>
      </c>
      <c r="L823" s="19">
        <v>3204951096</v>
      </c>
      <c r="M823" s="20">
        <v>30614</v>
      </c>
      <c r="N823" s="22"/>
      <c r="O823" s="15"/>
      <c r="P823" s="15"/>
      <c r="Q823" s="15"/>
      <c r="R823" s="15"/>
      <c r="S823" s="15"/>
      <c r="T823" s="15"/>
      <c r="U823" s="15"/>
    </row>
    <row r="824" spans="1:21" ht="105">
      <c r="A824" s="17">
        <v>20162395001</v>
      </c>
      <c r="B824" s="19" t="str">
        <f>VLOOKUP(A824,'ESTADOS ESTUDIANTES'!B:L,2,0)</f>
        <v>CABALLERO MODERA NICOLS ERNESTO</v>
      </c>
      <c r="C824" s="19">
        <f>VLOOKUP(A824,'ESTADOS ESTUDIANTES'!B:L,3,0)</f>
        <v>395</v>
      </c>
      <c r="D824" s="66" t="str">
        <f>VLOOKUP(A824,'ESTADOS ESTUDIANTES'!B:L,4,0)</f>
        <v>MAE. EN CIENCIAS DE LA INF. Y LAS COMUNICACIONES ENFASIS EN GEOMATICA</v>
      </c>
      <c r="E824" s="19" t="str">
        <f>VLOOKUP(A824,'ESTADOS ESTUDIANTES'!B:L,5,0)</f>
        <v>N</v>
      </c>
      <c r="F824" s="18" t="str">
        <f>VLOOKUP(E824,Listas!B1:C1004,2,0)</f>
        <v>ERROR DE CODIGO</v>
      </c>
      <c r="G824" s="19" t="str">
        <f>VLOOKUP(A824,'ESTADOS ESTUDIANTES'!B:L,7,0)</f>
        <v>NO REGISTRA</v>
      </c>
      <c r="H824" s="19">
        <f>VLOOKUP(A824,'ESTADOS ESTUDIANTES'!B:L,8,0)</f>
        <v>0</v>
      </c>
      <c r="I824" s="70" t="str">
        <f>VLOOKUP(A824,'ESTADOS ESTUDIANTES'!B:L,9,0)</f>
        <v>necaballerom@gmail.com</v>
      </c>
      <c r="J824" s="19" t="str">
        <f>VLOOKUP(A824,'ESTADOS ESTUDIANTES'!B:L,10,0)</f>
        <v>CC</v>
      </c>
      <c r="K824" s="19">
        <f>VLOOKUP(A824,'ESTADOS ESTUDIANTES'!B:L,11,0)</f>
        <v>1026285580</v>
      </c>
      <c r="L824" s="19">
        <v>3204869130</v>
      </c>
      <c r="M824" s="20"/>
      <c r="N824" s="22"/>
      <c r="O824" s="15"/>
      <c r="P824" s="15"/>
      <c r="Q824" s="15"/>
      <c r="R824" s="15"/>
      <c r="S824" s="15"/>
      <c r="T824" s="15"/>
      <c r="U824" s="15"/>
    </row>
    <row r="825" spans="1:21" ht="105">
      <c r="A825" s="17">
        <v>20162395002</v>
      </c>
      <c r="B825" s="19" t="str">
        <f>VLOOKUP(A825,'ESTADOS ESTUDIANTES'!B:L,2,0)</f>
        <v>CADENA CONTRERAS LAURA ANGÉLICA</v>
      </c>
      <c r="C825" s="19">
        <f>VLOOKUP(A825,'ESTADOS ESTUDIANTES'!B:L,3,0)</f>
        <v>395</v>
      </c>
      <c r="D825" s="66" t="str">
        <f>VLOOKUP(A825,'ESTADOS ESTUDIANTES'!B:L,4,0)</f>
        <v>MAE. EN CIENCIAS DE LA INF. Y LAS COMUNICACIONES ENFASIS EN GEOMATICA</v>
      </c>
      <c r="E825" s="19" t="str">
        <f>VLOOKUP(A825,'ESTADOS ESTUDIANTES'!B:L,5,0)</f>
        <v>E</v>
      </c>
      <c r="F825" s="18" t="str">
        <f>VLOOKUP(E825,Listas!B1:C1004,2,0)</f>
        <v>EGRESADO</v>
      </c>
      <c r="G825" s="19" t="str">
        <f>VLOOKUP(A825,'ESTADOS ESTUDIANTES'!B:L,7,0)</f>
        <v>NO REGISTRA</v>
      </c>
      <c r="H825" s="19" t="str">
        <f>VLOOKUP(A825,'ESTADOS ESTUDIANTES'!B:L,8,0)</f>
        <v>lacadenac@udistrital.edu.co</v>
      </c>
      <c r="I825" s="70" t="str">
        <f>VLOOKUP(A825,'ESTADOS ESTUDIANTES'!B:L,9,0)</f>
        <v>lacadenacontreras@gmail.com</v>
      </c>
      <c r="J825" s="19" t="str">
        <f>VLOOKUP(A825,'ESTADOS ESTUDIANTES'!B:L,10,0)</f>
        <v>CC</v>
      </c>
      <c r="K825" s="19">
        <f>VLOOKUP(A825,'ESTADOS ESTUDIANTES'!B:L,11,0)</f>
        <v>1013648575</v>
      </c>
      <c r="L825" s="19">
        <v>3193765363</v>
      </c>
      <c r="M825" s="20"/>
      <c r="N825" s="22"/>
      <c r="O825" s="15"/>
      <c r="P825" s="15"/>
      <c r="Q825" s="15"/>
      <c r="R825" s="15"/>
      <c r="S825" s="15"/>
      <c r="T825" s="15"/>
      <c r="U825" s="15"/>
    </row>
    <row r="826" spans="1:21" ht="105">
      <c r="A826" s="17">
        <v>20162395003</v>
      </c>
      <c r="B826" s="19" t="str">
        <f>VLOOKUP(A826,'ESTADOS ESTUDIANTES'!B:L,2,0)</f>
        <v>CASTILLO CASTELLANOS OSCAR JAVIER</v>
      </c>
      <c r="C826" s="19">
        <f>VLOOKUP(A826,'ESTADOS ESTUDIANTES'!B:L,3,0)</f>
        <v>395</v>
      </c>
      <c r="D826" s="66" t="str">
        <f>VLOOKUP(A826,'ESTADOS ESTUDIANTES'!B:L,4,0)</f>
        <v>MAE. EN CIENCIAS DE LA INF. Y LAS COMUNICACIONES ENFASIS EN GEOMATICA</v>
      </c>
      <c r="E826" s="19" t="str">
        <f>VLOOKUP(A826,'ESTADOS ESTUDIANTES'!B:L,5,0)</f>
        <v>E</v>
      </c>
      <c r="F826" s="18" t="str">
        <f>VLOOKUP(E826,Listas!B1:C1004,2,0)</f>
        <v>EGRESADO</v>
      </c>
      <c r="G826" s="19">
        <f>VLOOKUP(A826,'ESTADOS ESTUDIANTES'!B:L,7,0)</f>
        <v>1</v>
      </c>
      <c r="H826" s="19" t="str">
        <f>VLOOKUP(A826,'ESTADOS ESTUDIANTES'!B:L,8,0)</f>
        <v>ojcastilloc@udistrital.edu.co</v>
      </c>
      <c r="I826" s="70" t="str">
        <f>VLOOKUP(A826,'ESTADOS ESTUDIANTES'!B:L,9,0)</f>
        <v>rakzocast@gmail.com</v>
      </c>
      <c r="J826" s="19" t="str">
        <f>VLOOKUP(A826,'ESTADOS ESTUDIANTES'!B:L,10,0)</f>
        <v>CC</v>
      </c>
      <c r="K826" s="19">
        <f>VLOOKUP(A826,'ESTADOS ESTUDIANTES'!B:L,11,0)</f>
        <v>80734025</v>
      </c>
      <c r="L826" s="19">
        <v>3103253126</v>
      </c>
      <c r="M826" s="20">
        <v>30207</v>
      </c>
      <c r="N826" s="22"/>
      <c r="O826" s="15"/>
      <c r="P826" s="15"/>
      <c r="Q826" s="15"/>
      <c r="R826" s="15"/>
      <c r="S826" s="15"/>
      <c r="T826" s="15"/>
      <c r="U826" s="15"/>
    </row>
    <row r="827" spans="1:21" ht="105">
      <c r="A827" s="17">
        <v>20162395005</v>
      </c>
      <c r="B827" s="19" t="str">
        <f>VLOOKUP(A827,'ESTADOS ESTUDIANTES'!B:L,2,0)</f>
        <v>GIRALDO PEREZ RUBINEL</v>
      </c>
      <c r="C827" s="19">
        <f>VLOOKUP(A827,'ESTADOS ESTUDIANTES'!B:L,3,0)</f>
        <v>395</v>
      </c>
      <c r="D827" s="66" t="str">
        <f>VLOOKUP(A827,'ESTADOS ESTUDIANTES'!B:L,4,0)</f>
        <v>MAE. EN CIENCIAS DE LA INF. Y LAS COMUNICACIONES ENFASIS EN GEOMATICA</v>
      </c>
      <c r="E827" s="19" t="str">
        <f>VLOOKUP(A827,'ESTADOS ESTUDIANTES'!B:L,5,0)</f>
        <v>X</v>
      </c>
      <c r="F827" s="18" t="str">
        <f>VLOOKUP(E827,Listas!B1:C1004,2,0)</f>
        <v>EXCLUIDO</v>
      </c>
      <c r="G827" s="19" t="str">
        <f>VLOOKUP(A827,'ESTADOS ESTUDIANTES'!B:L,7,0)</f>
        <v>NO REGISTRA</v>
      </c>
      <c r="H827" s="19" t="str">
        <f>VLOOKUP(A827,'ESTADOS ESTUDIANTES'!B:L,8,0)</f>
        <v>rgiraldop@correo.udistrital.edu.co</v>
      </c>
      <c r="I827" s="70" t="str">
        <f>VLOOKUP(A827,'ESTADOS ESTUDIANTES'!B:L,9,0)</f>
        <v>rubinelgiraldo@itga.com.co</v>
      </c>
      <c r="J827" s="19" t="str">
        <f>VLOOKUP(A827,'ESTADOS ESTUDIANTES'!B:L,10,0)</f>
        <v>CC</v>
      </c>
      <c r="K827" s="19">
        <f>VLOOKUP(A827,'ESTADOS ESTUDIANTES'!B:L,11,0)</f>
        <v>79540779</v>
      </c>
      <c r="L827" s="19">
        <v>3108653848</v>
      </c>
      <c r="M827" s="20"/>
      <c r="N827" s="22"/>
      <c r="O827" s="15"/>
      <c r="P827" s="15"/>
      <c r="Q827" s="15"/>
      <c r="R827" s="15"/>
      <c r="S827" s="15"/>
      <c r="T827" s="15"/>
      <c r="U827" s="15"/>
    </row>
    <row r="828" spans="1:21" ht="105">
      <c r="A828" s="17">
        <v>20162395006</v>
      </c>
      <c r="B828" s="19" t="str">
        <f>VLOOKUP(A828,'ESTADOS ESTUDIANTES'!B:L,2,0)</f>
        <v>GUTIERREZ GUERRERO HELBER LEONARDO</v>
      </c>
      <c r="C828" s="19">
        <f>VLOOKUP(A828,'ESTADOS ESTUDIANTES'!B:L,3,0)</f>
        <v>395</v>
      </c>
      <c r="D828" s="66" t="str">
        <f>VLOOKUP(A828,'ESTADOS ESTUDIANTES'!B:L,4,0)</f>
        <v>MAE. EN CIENCIAS DE LA INF. Y LAS COMUNICACIONES ENFASIS EN GEOMATICA</v>
      </c>
      <c r="E828" s="19" t="str">
        <f>VLOOKUP(A828,'ESTADOS ESTUDIANTES'!B:L,5,0)</f>
        <v>E</v>
      </c>
      <c r="F828" s="18" t="str">
        <f>VLOOKUP(E828,Listas!B1:C1004,2,0)</f>
        <v>EGRESADO</v>
      </c>
      <c r="G828" s="19">
        <f>VLOOKUP(A828,'ESTADOS ESTUDIANTES'!B:L,7,0)</f>
        <v>3</v>
      </c>
      <c r="H828" s="19" t="str">
        <f>VLOOKUP(A828,'ESTADOS ESTUDIANTES'!B:L,8,0)</f>
        <v>hlgutierrezg@udistrital.edu.co</v>
      </c>
      <c r="I828" s="70" t="str">
        <f>VLOOKUP(A828,'ESTADOS ESTUDIANTES'!B:L,9,0)</f>
        <v>leonardoh12@gmail.com</v>
      </c>
      <c r="J828" s="19" t="str">
        <f>VLOOKUP(A828,'ESTADOS ESTUDIANTES'!B:L,10,0)</f>
        <v>CC</v>
      </c>
      <c r="K828" s="19">
        <f>VLOOKUP(A828,'ESTADOS ESTUDIANTES'!B:L,11,0)</f>
        <v>1121838201</v>
      </c>
      <c r="L828" s="19">
        <v>3114508205</v>
      </c>
      <c r="M828" s="20"/>
      <c r="N828" s="22"/>
      <c r="O828" s="15"/>
      <c r="P828" s="15"/>
      <c r="Q828" s="15"/>
      <c r="R828" s="15"/>
      <c r="S828" s="15"/>
      <c r="T828" s="15"/>
      <c r="U828" s="15"/>
    </row>
    <row r="829" spans="1:21" ht="105">
      <c r="A829" s="17">
        <v>20162395007</v>
      </c>
      <c r="B829" s="19" t="str">
        <f>VLOOKUP(A829,'ESTADOS ESTUDIANTES'!B:L,2,0)</f>
        <v>LUNA AREVALO FABIO NICOLAS</v>
      </c>
      <c r="C829" s="19">
        <f>VLOOKUP(A829,'ESTADOS ESTUDIANTES'!B:L,3,0)</f>
        <v>395</v>
      </c>
      <c r="D829" s="66" t="str">
        <f>VLOOKUP(A829,'ESTADOS ESTUDIANTES'!B:L,4,0)</f>
        <v>MAE. EN CIENCIAS DE LA INF. Y LAS COMUNICACIONES ENFASIS EN GEOMATICA</v>
      </c>
      <c r="E829" s="19" t="str">
        <f>VLOOKUP(A829,'ESTADOS ESTUDIANTES'!B:L,5,0)</f>
        <v>E</v>
      </c>
      <c r="F829" s="18" t="str">
        <f>VLOOKUP(E829,Listas!B1:C1004,2,0)</f>
        <v>EGRESADO</v>
      </c>
      <c r="G829" s="19">
        <f>VLOOKUP(A829,'ESTADOS ESTUDIANTES'!B:L,7,0)</f>
        <v>3</v>
      </c>
      <c r="H829" s="19">
        <f>VLOOKUP(A829,'ESTADOS ESTUDIANTES'!B:L,8,0)</f>
        <v>0</v>
      </c>
      <c r="I829" s="70" t="str">
        <f>VLOOKUP(A829,'ESTADOS ESTUDIANTES'!B:L,9,0)</f>
        <v>nicolaslunageo2@gmail.com</v>
      </c>
      <c r="J829" s="19" t="str">
        <f>VLOOKUP(A829,'ESTADOS ESTUDIANTES'!B:L,10,0)</f>
        <v>CC</v>
      </c>
      <c r="K829" s="19">
        <f>VLOOKUP(A829,'ESTADOS ESTUDIANTES'!B:L,11,0)</f>
        <v>1026258763</v>
      </c>
      <c r="L829" s="19">
        <v>3156167887</v>
      </c>
      <c r="M829" s="20"/>
      <c r="N829" s="22"/>
      <c r="O829" s="15"/>
      <c r="P829" s="15"/>
      <c r="Q829" s="15"/>
      <c r="R829" s="15"/>
      <c r="S829" s="15"/>
      <c r="T829" s="15"/>
      <c r="U829" s="15"/>
    </row>
    <row r="830" spans="1:21" ht="105">
      <c r="A830" s="17">
        <v>20162395008</v>
      </c>
      <c r="B830" s="19" t="str">
        <f>VLOOKUP(A830,'ESTADOS ESTUDIANTES'!B:L,2,0)</f>
        <v>MELO ACOSTA FREDY</v>
      </c>
      <c r="C830" s="19">
        <f>VLOOKUP(A830,'ESTADOS ESTUDIANTES'!B:L,3,0)</f>
        <v>395</v>
      </c>
      <c r="D830" s="66" t="str">
        <f>VLOOKUP(A830,'ESTADOS ESTUDIANTES'!B:L,4,0)</f>
        <v>MAE. EN CIENCIAS DE LA INF. Y LAS COMUNICACIONES ENFASIS EN GEOMATICA</v>
      </c>
      <c r="E830" s="19" t="str">
        <f>VLOOKUP(A830,'ESTADOS ESTUDIANTES'!B:L,5,0)</f>
        <v>X</v>
      </c>
      <c r="F830" s="18" t="str">
        <f>VLOOKUP(E830,Listas!B1:C1004,2,0)</f>
        <v>EXCLUIDO</v>
      </c>
      <c r="G830" s="19" t="str">
        <f>VLOOKUP(A830,'ESTADOS ESTUDIANTES'!B:L,7,0)</f>
        <v>NO REGISTRA</v>
      </c>
      <c r="H830" s="19">
        <f>VLOOKUP(A830,'ESTADOS ESTUDIANTES'!B:L,8,0)</f>
        <v>0</v>
      </c>
      <c r="I830" s="70" t="str">
        <f>VLOOKUP(A830,'ESTADOS ESTUDIANTES'!B:L,9,0)</f>
        <v>f_melo_acosta@hotmail.com</v>
      </c>
      <c r="J830" s="19" t="str">
        <f>VLOOKUP(A830,'ESTADOS ESTUDIANTES'!B:L,10,0)</f>
        <v>CC</v>
      </c>
      <c r="K830" s="19">
        <f>VLOOKUP(A830,'ESTADOS ESTUDIANTES'!B:L,11,0)</f>
        <v>72125171</v>
      </c>
      <c r="L830" s="19">
        <v>3031806</v>
      </c>
      <c r="M830" s="20"/>
      <c r="N830" s="22"/>
      <c r="O830" s="15"/>
      <c r="P830" s="15"/>
      <c r="Q830" s="15"/>
      <c r="R830" s="15"/>
      <c r="S830" s="15"/>
      <c r="T830" s="15"/>
      <c r="U830" s="15"/>
    </row>
    <row r="831" spans="1:21" ht="105">
      <c r="A831" s="17">
        <v>20162395009</v>
      </c>
      <c r="B831" s="19" t="str">
        <f>VLOOKUP(A831,'ESTADOS ESTUDIANTES'!B:L,2,0)</f>
        <v>OCHOA TORRES SINDY NATALI</v>
      </c>
      <c r="C831" s="19">
        <f>VLOOKUP(A831,'ESTADOS ESTUDIANTES'!B:L,3,0)</f>
        <v>395</v>
      </c>
      <c r="D831" s="66" t="str">
        <f>VLOOKUP(A831,'ESTADOS ESTUDIANTES'!B:L,4,0)</f>
        <v>MAE. EN CIENCIAS DE LA INF. Y LAS COMUNICACIONES ENFASIS EN GEOMATICA</v>
      </c>
      <c r="E831" s="19" t="str">
        <f>VLOOKUP(A831,'ESTADOS ESTUDIANTES'!B:L,5,0)</f>
        <v>E</v>
      </c>
      <c r="F831" s="18" t="str">
        <f>VLOOKUP(E831,Listas!B1:C1004,2,0)</f>
        <v>EGRESADO</v>
      </c>
      <c r="G831" s="19">
        <f>VLOOKUP(A831,'ESTADOS ESTUDIANTES'!B:L,7,0)</f>
        <v>1</v>
      </c>
      <c r="H831" s="19" t="str">
        <f>VLOOKUP(A831,'ESTADOS ESTUDIANTES'!B:L,8,0)</f>
        <v>snochoat@correo.udistrital.edu.co</v>
      </c>
      <c r="I831" s="70" t="str">
        <f>VLOOKUP(A831,'ESTADOS ESTUDIANTES'!B:L,9,0)</f>
        <v>nathaliochoa@gmail.com</v>
      </c>
      <c r="J831" s="19" t="str">
        <f>VLOOKUP(A831,'ESTADOS ESTUDIANTES'!B:L,10,0)</f>
        <v>CC</v>
      </c>
      <c r="K831" s="19">
        <f>VLOOKUP(A831,'ESTADOS ESTUDIANTES'!B:L,11,0)</f>
        <v>1010191974</v>
      </c>
      <c r="L831" s="23"/>
      <c r="M831" s="20"/>
      <c r="N831" s="22"/>
      <c r="O831" s="15"/>
      <c r="P831" s="15"/>
      <c r="Q831" s="15"/>
      <c r="R831" s="15"/>
      <c r="S831" s="15"/>
      <c r="T831" s="15"/>
      <c r="U831" s="15"/>
    </row>
    <row r="832" spans="1:21" ht="105">
      <c r="A832" s="17">
        <v>20162395010</v>
      </c>
      <c r="B832" s="19" t="str">
        <f>VLOOKUP(A832,'ESTADOS ESTUDIANTES'!B:L,2,0)</f>
        <v>RODRIGUEZ LAMUS DIEGO FERNANDO</v>
      </c>
      <c r="C832" s="19">
        <f>VLOOKUP(A832,'ESTADOS ESTUDIANTES'!B:L,3,0)</f>
        <v>395</v>
      </c>
      <c r="D832" s="66" t="str">
        <f>VLOOKUP(A832,'ESTADOS ESTUDIANTES'!B:L,4,0)</f>
        <v>MAE. EN CIENCIAS DE LA INF. Y LAS COMUNICACIONES ENFASIS EN GEOMATICA</v>
      </c>
      <c r="E832" s="19" t="str">
        <f>VLOOKUP(A832,'ESTADOS ESTUDIANTES'!B:L,5,0)</f>
        <v>N</v>
      </c>
      <c r="F832" s="18" t="str">
        <f>VLOOKUP(E832,Listas!B1:C1004,2,0)</f>
        <v>ERROR DE CODIGO</v>
      </c>
      <c r="G832" s="19" t="str">
        <f>VLOOKUP(A832,'ESTADOS ESTUDIANTES'!B:L,7,0)</f>
        <v>NO REGISTRA</v>
      </c>
      <c r="H832" s="19">
        <f>VLOOKUP(A832,'ESTADOS ESTUDIANTES'!B:L,8,0)</f>
        <v>0</v>
      </c>
      <c r="I832" s="70" t="str">
        <f>VLOOKUP(A832,'ESTADOS ESTUDIANTES'!B:L,9,0)</f>
        <v>dfrofriguezlf94@gmail.com</v>
      </c>
      <c r="J832" s="19" t="str">
        <f>VLOOKUP(A832,'ESTADOS ESTUDIANTES'!B:L,10,0)</f>
        <v>CC</v>
      </c>
      <c r="K832" s="19">
        <f>VLOOKUP(A832,'ESTADOS ESTUDIANTES'!B:L,11,0)</f>
        <v>1018469957</v>
      </c>
      <c r="L832" s="19">
        <v>3144237934</v>
      </c>
      <c r="M832" s="20"/>
      <c r="N832" s="22"/>
      <c r="O832" s="15"/>
      <c r="P832" s="15"/>
      <c r="Q832" s="15"/>
      <c r="R832" s="15"/>
      <c r="S832" s="15"/>
      <c r="T832" s="15"/>
      <c r="U832" s="15"/>
    </row>
    <row r="833" spans="1:21" ht="105">
      <c r="A833" s="17">
        <v>20162395011</v>
      </c>
      <c r="B833" s="19" t="str">
        <f>VLOOKUP(A833,'ESTADOS ESTUDIANTES'!B:L,2,0)</f>
        <v>SÁNCHEZ GAITÁN OSCAR</v>
      </c>
      <c r="C833" s="19">
        <f>VLOOKUP(A833,'ESTADOS ESTUDIANTES'!B:L,3,0)</f>
        <v>395</v>
      </c>
      <c r="D833" s="66" t="str">
        <f>VLOOKUP(A833,'ESTADOS ESTUDIANTES'!B:L,4,0)</f>
        <v>MAE. EN CIENCIAS DE LA INF. Y LAS COMUNICACIONES ENFASIS EN GEOMATICA</v>
      </c>
      <c r="E833" s="19" t="str">
        <f>VLOOKUP(A833,'ESTADOS ESTUDIANTES'!B:L,5,0)</f>
        <v>X</v>
      </c>
      <c r="F833" s="18" t="str">
        <f>VLOOKUP(E833,Listas!B1:C1004,2,0)</f>
        <v>EXCLUIDO</v>
      </c>
      <c r="G833" s="19">
        <f>VLOOKUP(A833,'ESTADOS ESTUDIANTES'!B:L,7,0)</f>
        <v>5</v>
      </c>
      <c r="H833" s="19" t="str">
        <f>VLOOKUP(A833,'ESTADOS ESTUDIANTES'!B:L,8,0)</f>
        <v>osanchezg@correo.udistrital.edu.co</v>
      </c>
      <c r="I833" s="70" t="str">
        <f>VLOOKUP(A833,'ESTADOS ESTUDIANTES'!B:L,9,0)</f>
        <v>osaga40@gmail.com</v>
      </c>
      <c r="J833" s="19" t="str">
        <f>VLOOKUP(A833,'ESTADOS ESTUDIANTES'!B:L,10,0)</f>
        <v>CC</v>
      </c>
      <c r="K833" s="19">
        <f>VLOOKUP(A833,'ESTADOS ESTUDIANTES'!B:L,11,0)</f>
        <v>79394142</v>
      </c>
      <c r="L833" s="19">
        <v>3176437612</v>
      </c>
      <c r="M833" s="20">
        <v>24229</v>
      </c>
      <c r="N833" s="22"/>
      <c r="O833" s="15"/>
      <c r="P833" s="15"/>
      <c r="Q833" s="15"/>
      <c r="R833" s="15"/>
      <c r="S833" s="15"/>
      <c r="T833" s="15"/>
      <c r="U833" s="15"/>
    </row>
    <row r="834" spans="1:21" ht="105">
      <c r="A834" s="17">
        <v>20162395012</v>
      </c>
      <c r="B834" s="19" t="str">
        <f>VLOOKUP(A834,'ESTADOS ESTUDIANTES'!B:L,2,0)</f>
        <v>ZARATE AREVALO HERNAN DARIO</v>
      </c>
      <c r="C834" s="19">
        <f>VLOOKUP(A834,'ESTADOS ESTUDIANTES'!B:L,3,0)</f>
        <v>395</v>
      </c>
      <c r="D834" s="66" t="str">
        <f>VLOOKUP(A834,'ESTADOS ESTUDIANTES'!B:L,4,0)</f>
        <v>MAE. EN CIENCIAS DE LA INF. Y LAS COMUNICACIONES ENFASIS EN GEOMATICA</v>
      </c>
      <c r="E834" s="19" t="str">
        <f>VLOOKUP(A834,'ESTADOS ESTUDIANTES'!B:L,5,0)</f>
        <v>E</v>
      </c>
      <c r="F834" s="18" t="str">
        <f>VLOOKUP(E834,Listas!B1:C1004,2,0)</f>
        <v>EGRESADO</v>
      </c>
      <c r="G834" s="19">
        <f>VLOOKUP(A834,'ESTADOS ESTUDIANTES'!B:L,7,0)</f>
        <v>1</v>
      </c>
      <c r="H834" s="19" t="str">
        <f>VLOOKUP(A834,'ESTADOS ESTUDIANTES'!B:L,8,0)</f>
        <v>hdzaratea@correo.udistrital.edu.co</v>
      </c>
      <c r="I834" s="70" t="str">
        <f>VLOOKUP(A834,'ESTADOS ESTUDIANTES'!B:L,9,0)</f>
        <v>hzaratepot2013@gmail.com</v>
      </c>
      <c r="J834" s="19" t="str">
        <f>VLOOKUP(A834,'ESTADOS ESTUDIANTES'!B:L,10,0)</f>
        <v>CC</v>
      </c>
      <c r="K834" s="19">
        <f>VLOOKUP(A834,'ESTADOS ESTUDIANTES'!B:L,11,0)</f>
        <v>79992153</v>
      </c>
      <c r="L834" s="19">
        <v>3177825051</v>
      </c>
      <c r="M834" s="20">
        <v>29091</v>
      </c>
      <c r="N834" s="22"/>
      <c r="O834" s="15"/>
      <c r="P834" s="15"/>
      <c r="Q834" s="15"/>
      <c r="R834" s="15"/>
      <c r="S834" s="15"/>
      <c r="T834" s="15"/>
      <c r="U834" s="15"/>
    </row>
    <row r="835" spans="1:21" ht="90">
      <c r="A835" s="17">
        <v>20162495001</v>
      </c>
      <c r="B835" s="19" t="str">
        <f>VLOOKUP(A835,'ESTADOS ESTUDIANTES'!B:L,2,0)</f>
        <v>ARÉVALO SANDOVAL JEYSON STITH</v>
      </c>
      <c r="C835" s="19">
        <f>VLOOKUP(A835,'ESTADOS ESTUDIANTES'!B:L,3,0)</f>
        <v>495</v>
      </c>
      <c r="D835" s="66" t="str">
        <f>VLOOKUP(A835,'ESTADOS ESTUDIANTES'!B:L,4,0)</f>
        <v>MAE. EN CIENCIAS DE LA INF. Y LAS COMUNICACIONES ENFASIS EN ING. SOFT</v>
      </c>
      <c r="E835" s="19" t="str">
        <f>VLOOKUP(A835,'ESTADOS ESTUDIANTES'!B:L,5,0)</f>
        <v>E</v>
      </c>
      <c r="F835" s="18" t="str">
        <f>VLOOKUP(E835,Listas!B1:C1004,2,0)</f>
        <v>EGRESADO</v>
      </c>
      <c r="G835" s="19">
        <f>VLOOKUP(A835,'ESTADOS ESTUDIANTES'!B:L,7,0)</f>
        <v>3</v>
      </c>
      <c r="H835" s="19" t="str">
        <f>VLOOKUP(A835,'ESTADOS ESTUDIANTES'!B:L,8,0)</f>
        <v>jsarevalos@udistrital.edu.co</v>
      </c>
      <c r="I835" s="70" t="str">
        <f>VLOOKUP(A835,'ESTADOS ESTUDIANTES'!B:L,9,0)</f>
        <v>jeysonarevalo@hotmail.com</v>
      </c>
      <c r="J835" s="19" t="str">
        <f>VLOOKUP(A835,'ESTADOS ESTUDIANTES'!B:L,10,0)</f>
        <v>CC</v>
      </c>
      <c r="K835" s="19">
        <f>VLOOKUP(A835,'ESTADOS ESTUDIANTES'!B:L,11,0)</f>
        <v>1031131535</v>
      </c>
      <c r="L835" s="19">
        <v>3163016459</v>
      </c>
      <c r="M835" s="20">
        <v>33316</v>
      </c>
      <c r="N835" s="22"/>
      <c r="O835" s="15"/>
      <c r="P835" s="15"/>
      <c r="Q835" s="15"/>
      <c r="R835" s="15"/>
      <c r="S835" s="15"/>
      <c r="T835" s="15"/>
      <c r="U835" s="15"/>
    </row>
    <row r="836" spans="1:21" ht="90">
      <c r="A836" s="17">
        <v>20162495002</v>
      </c>
      <c r="B836" s="19" t="str">
        <f>VLOOKUP(A836,'ESTADOS ESTUDIANTES'!B:L,2,0)</f>
        <v>CALDERON GUERRERO FABER ALEXANDER</v>
      </c>
      <c r="C836" s="19">
        <f>VLOOKUP(A836,'ESTADOS ESTUDIANTES'!B:L,3,0)</f>
        <v>495</v>
      </c>
      <c r="D836" s="66" t="str">
        <f>VLOOKUP(A836,'ESTADOS ESTUDIANTES'!B:L,4,0)</f>
        <v>MAE. EN CIENCIAS DE LA INF. Y LAS COMUNICACIONES ENFASIS EN ING. SOFT</v>
      </c>
      <c r="E836" s="19" t="str">
        <f>VLOOKUP(A836,'ESTADOS ESTUDIANTES'!B:L,5,0)</f>
        <v>X</v>
      </c>
      <c r="F836" s="18" t="str">
        <f>VLOOKUP(E836,Listas!B1:C1004,2,0)</f>
        <v>EXCLUIDO</v>
      </c>
      <c r="G836" s="19" t="str">
        <f>VLOOKUP(A836,'ESTADOS ESTUDIANTES'!B:L,7,0)</f>
        <v>NO REGISTRA</v>
      </c>
      <c r="H836" s="19">
        <f>VLOOKUP(A836,'ESTADOS ESTUDIANTES'!B:L,8,0)</f>
        <v>0</v>
      </c>
      <c r="I836" s="70" t="str">
        <f>VLOOKUP(A836,'ESTADOS ESTUDIANTES'!B:L,9,0)</f>
        <v>facalderong@outlook.com</v>
      </c>
      <c r="J836" s="19" t="str">
        <f>VLOOKUP(A836,'ESTADOS ESTUDIANTES'!B:L,10,0)</f>
        <v>CC</v>
      </c>
      <c r="K836" s="19">
        <f>VLOOKUP(A836,'ESTADOS ESTUDIANTES'!B:L,11,0)</f>
        <v>80137363</v>
      </c>
      <c r="L836" s="23"/>
      <c r="M836" s="20"/>
      <c r="N836" s="22"/>
      <c r="O836" s="15"/>
      <c r="P836" s="15"/>
      <c r="Q836" s="15"/>
      <c r="R836" s="15"/>
      <c r="S836" s="15"/>
      <c r="T836" s="15"/>
      <c r="U836" s="15"/>
    </row>
    <row r="837" spans="1:21" ht="90">
      <c r="A837" s="17">
        <v>20162495003</v>
      </c>
      <c r="B837" s="19" t="str">
        <f>VLOOKUP(A837,'ESTADOS ESTUDIANTES'!B:L,2,0)</f>
        <v>CANASTO QUECANO GIOVANNY ANDRÉS</v>
      </c>
      <c r="C837" s="19">
        <f>VLOOKUP(A837,'ESTADOS ESTUDIANTES'!B:L,3,0)</f>
        <v>495</v>
      </c>
      <c r="D837" s="66" t="str">
        <f>VLOOKUP(A837,'ESTADOS ESTUDIANTES'!B:L,4,0)</f>
        <v>MAE. EN CIENCIAS DE LA INF. Y LAS COMUNICACIONES ENFASIS EN ING. SOFT</v>
      </c>
      <c r="E837" s="19" t="str">
        <f>VLOOKUP(A837,'ESTADOS ESTUDIANTES'!B:L,5,0)</f>
        <v>X</v>
      </c>
      <c r="F837" s="18" t="str">
        <f>VLOOKUP(E837,Listas!B1:C1004,2,0)</f>
        <v>EXCLUIDO</v>
      </c>
      <c r="G837" s="19">
        <f>VLOOKUP(A837,'ESTADOS ESTUDIANTES'!B:L,7,0)</f>
        <v>3</v>
      </c>
      <c r="H837" s="19" t="str">
        <f>VLOOKUP(A837,'ESTADOS ESTUDIANTES'!B:L,8,0)</f>
        <v>gacanastoq@correo.udistrital.edu.co</v>
      </c>
      <c r="I837" s="70" t="str">
        <f>VLOOKUP(A837,'ESTADOS ESTUDIANTES'!B:L,9,0)</f>
        <v>giovanny.canasto@hotmail.com</v>
      </c>
      <c r="J837" s="19" t="str">
        <f>VLOOKUP(A837,'ESTADOS ESTUDIANTES'!B:L,10,0)</f>
        <v>CC</v>
      </c>
      <c r="K837" s="19">
        <f>VLOOKUP(A837,'ESTADOS ESTUDIANTES'!B:L,11,0)</f>
        <v>80544412</v>
      </c>
      <c r="L837" s="23"/>
      <c r="M837" s="20"/>
      <c r="N837" s="22"/>
      <c r="O837" s="15"/>
      <c r="P837" s="15"/>
      <c r="Q837" s="15"/>
      <c r="R837" s="15"/>
      <c r="S837" s="15"/>
      <c r="T837" s="15"/>
      <c r="U837" s="15"/>
    </row>
    <row r="838" spans="1:21" ht="90">
      <c r="A838" s="17">
        <v>20162495004</v>
      </c>
      <c r="B838" s="19" t="str">
        <f>VLOOKUP(A838,'ESTADOS ESTUDIANTES'!B:L,2,0)</f>
        <v>CASTRO MUNAR VERONICA</v>
      </c>
      <c r="C838" s="19">
        <f>VLOOKUP(A838,'ESTADOS ESTUDIANTES'!B:L,3,0)</f>
        <v>495</v>
      </c>
      <c r="D838" s="66" t="str">
        <f>VLOOKUP(A838,'ESTADOS ESTUDIANTES'!B:L,4,0)</f>
        <v>MAE. EN CIENCIAS DE LA INF. Y LAS COMUNICACIONES ENFASIS EN ING. SOFT</v>
      </c>
      <c r="E838" s="19" t="str">
        <f>VLOOKUP(A838,'ESTADOS ESTUDIANTES'!B:L,5,0)</f>
        <v>E</v>
      </c>
      <c r="F838" s="18" t="str">
        <f>VLOOKUP(E838,Listas!B1:C1004,2,0)</f>
        <v>EGRESADO</v>
      </c>
      <c r="G838" s="19">
        <f>VLOOKUP(A838,'ESTADOS ESTUDIANTES'!B:L,7,0)</f>
        <v>3</v>
      </c>
      <c r="H838" s="19" t="str">
        <f>VLOOKUP(A838,'ESTADOS ESTUDIANTES'!B:L,8,0)</f>
        <v>vcastrom@udistrital.edu.co</v>
      </c>
      <c r="I838" s="70" t="str">
        <f>VLOOKUP(A838,'ESTADOS ESTUDIANTES'!B:L,9,0)</f>
        <v>vkasmunar@gmail.com</v>
      </c>
      <c r="J838" s="19" t="str">
        <f>VLOOKUP(A838,'ESTADOS ESTUDIANTES'!B:L,10,0)</f>
        <v>CC</v>
      </c>
      <c r="K838" s="19">
        <f>VLOOKUP(A838,'ESTADOS ESTUDIANTES'!B:L,11,0)</f>
        <v>1012352548</v>
      </c>
      <c r="L838" s="23"/>
      <c r="M838" s="20"/>
      <c r="N838" s="22"/>
      <c r="O838" s="15"/>
      <c r="P838" s="15"/>
      <c r="Q838" s="15"/>
      <c r="R838" s="15"/>
      <c r="S838" s="15"/>
      <c r="T838" s="15"/>
      <c r="U838" s="15"/>
    </row>
    <row r="839" spans="1:21" ht="90">
      <c r="A839" s="17">
        <v>20162495005</v>
      </c>
      <c r="B839" s="19" t="str">
        <f>VLOOKUP(A839,'ESTADOS ESTUDIANTES'!B:L,2,0)</f>
        <v>CÓRDOBA AGUILAR RHOSBEN ADHIER</v>
      </c>
      <c r="C839" s="19">
        <f>VLOOKUP(A839,'ESTADOS ESTUDIANTES'!B:L,3,0)</f>
        <v>495</v>
      </c>
      <c r="D839" s="66" t="str">
        <f>VLOOKUP(A839,'ESTADOS ESTUDIANTES'!B:L,4,0)</f>
        <v>MAE. EN CIENCIAS DE LA INF. Y LAS COMUNICACIONES ENFASIS EN ING. SOFT</v>
      </c>
      <c r="E839" s="19" t="str">
        <f>VLOOKUP(A839,'ESTADOS ESTUDIANTES'!B:L,5,0)</f>
        <v>N</v>
      </c>
      <c r="F839" s="18" t="str">
        <f>VLOOKUP(E839,Listas!B1:C1004,2,0)</f>
        <v>ERROR DE CODIGO</v>
      </c>
      <c r="G839" s="19" t="str">
        <f>VLOOKUP(A839,'ESTADOS ESTUDIANTES'!B:L,7,0)</f>
        <v>NO REGISTRA</v>
      </c>
      <c r="H839" s="19" t="str">
        <f>VLOOKUP(A839,'ESTADOS ESTUDIANTES'!B:L,8,0)</f>
        <v>racordobaa@correo.udistrital.edu.co</v>
      </c>
      <c r="I839" s="70" t="str">
        <f>VLOOKUP(A839,'ESTADOS ESTUDIANTES'!B:L,9,0)</f>
        <v>rosben2@gmail.com</v>
      </c>
      <c r="J839" s="19" t="str">
        <f>VLOOKUP(A839,'ESTADOS ESTUDIANTES'!B:L,10,0)</f>
        <v>CC</v>
      </c>
      <c r="K839" s="19">
        <f>VLOOKUP(A839,'ESTADOS ESTUDIANTES'!B:L,11,0)</f>
        <v>12023405</v>
      </c>
      <c r="L839" s="23"/>
      <c r="M839" s="20"/>
      <c r="N839" s="22"/>
      <c r="O839" s="15"/>
      <c r="P839" s="15"/>
      <c r="Q839" s="15"/>
      <c r="R839" s="15"/>
      <c r="S839" s="15"/>
      <c r="T839" s="15"/>
      <c r="U839" s="15"/>
    </row>
    <row r="840" spans="1:21" ht="90">
      <c r="A840" s="17">
        <v>20162495006</v>
      </c>
      <c r="B840" s="19" t="str">
        <f>VLOOKUP(A840,'ESTADOS ESTUDIANTES'!B:L,2,0)</f>
        <v>GARAY GONZALEZ LADY VIVIANA</v>
      </c>
      <c r="C840" s="19">
        <f>VLOOKUP(A840,'ESTADOS ESTUDIANTES'!B:L,3,0)</f>
        <v>495</v>
      </c>
      <c r="D840" s="66" t="str">
        <f>VLOOKUP(A840,'ESTADOS ESTUDIANTES'!B:L,4,0)</f>
        <v>MAE. EN CIENCIAS DE LA INF. Y LAS COMUNICACIONES ENFASIS EN ING. SOFT</v>
      </c>
      <c r="E840" s="19" t="str">
        <f>VLOOKUP(A840,'ESTADOS ESTUDIANTES'!B:L,5,0)</f>
        <v>E</v>
      </c>
      <c r="F840" s="18" t="str">
        <f>VLOOKUP(E840,Listas!B1:C1004,2,0)</f>
        <v>EGRESADO</v>
      </c>
      <c r="G840" s="19">
        <f>VLOOKUP(A840,'ESTADOS ESTUDIANTES'!B:L,7,0)</f>
        <v>3</v>
      </c>
      <c r="H840" s="19" t="str">
        <f>VLOOKUP(A840,'ESTADOS ESTUDIANTES'!B:L,8,0)</f>
        <v>lvgarayg@udistrital.edu.co</v>
      </c>
      <c r="I840" s="70" t="str">
        <f>VLOOKUP(A840,'ESTADOS ESTUDIANTES'!B:L,9,0)</f>
        <v>ladyviviana.garay@gmail.com</v>
      </c>
      <c r="J840" s="19" t="str">
        <f>VLOOKUP(A840,'ESTADOS ESTUDIANTES'!B:L,10,0)</f>
        <v>CC</v>
      </c>
      <c r="K840" s="19">
        <f>VLOOKUP(A840,'ESTADOS ESTUDIANTES'!B:L,11,0)</f>
        <v>1022964650</v>
      </c>
      <c r="L840" s="19">
        <v>3214239739</v>
      </c>
      <c r="M840" s="20"/>
      <c r="N840" s="22"/>
      <c r="O840" s="15"/>
      <c r="P840" s="15"/>
      <c r="Q840" s="15"/>
      <c r="R840" s="15"/>
      <c r="S840" s="15"/>
      <c r="T840" s="15"/>
      <c r="U840" s="15"/>
    </row>
    <row r="841" spans="1:21" ht="90">
      <c r="A841" s="17">
        <v>20162495007</v>
      </c>
      <c r="B841" s="19" t="str">
        <f>VLOOKUP(A841,'ESTADOS ESTUDIANTES'!B:L,2,0)</f>
        <v>GUTIERRÉZ RAMÍREZ LUIS MIGUEL</v>
      </c>
      <c r="C841" s="19">
        <f>VLOOKUP(A841,'ESTADOS ESTUDIANTES'!B:L,3,0)</f>
        <v>495</v>
      </c>
      <c r="D841" s="66" t="str">
        <f>VLOOKUP(A841,'ESTADOS ESTUDIANTES'!B:L,4,0)</f>
        <v>MAE. EN CIENCIAS DE LA INF. Y LAS COMUNICACIONES ENFASIS EN ING. SOFT</v>
      </c>
      <c r="E841" s="19" t="str">
        <f>VLOOKUP(A841,'ESTADOS ESTUDIANTES'!B:L,5,0)</f>
        <v>X</v>
      </c>
      <c r="F841" s="18" t="str">
        <f>VLOOKUP(E841,Listas!B1:C1004,2,0)</f>
        <v>EXCLUIDO</v>
      </c>
      <c r="G841" s="19" t="str">
        <f>VLOOKUP(A841,'ESTADOS ESTUDIANTES'!B:L,7,0)</f>
        <v>NO REGISTRA</v>
      </c>
      <c r="H841" s="19">
        <f>VLOOKUP(A841,'ESTADOS ESTUDIANTES'!B:L,8,0)</f>
        <v>0</v>
      </c>
      <c r="I841" s="70" t="str">
        <f>VLOOKUP(A841,'ESTADOS ESTUDIANTES'!B:L,9,0)</f>
        <v>nazkter@gmail.com</v>
      </c>
      <c r="J841" s="19" t="str">
        <f>VLOOKUP(A841,'ESTADOS ESTUDIANTES'!B:L,10,0)</f>
        <v>CC</v>
      </c>
      <c r="K841" s="19">
        <f>VLOOKUP(A841,'ESTADOS ESTUDIANTES'!B:L,11,0)</f>
        <v>1026569840</v>
      </c>
      <c r="L841" s="23"/>
      <c r="M841" s="20"/>
      <c r="N841" s="22"/>
      <c r="O841" s="15"/>
      <c r="P841" s="15"/>
      <c r="Q841" s="15"/>
      <c r="R841" s="15"/>
      <c r="S841" s="15"/>
      <c r="T841" s="15"/>
      <c r="U841" s="15"/>
    </row>
    <row r="842" spans="1:21" ht="90">
      <c r="A842" s="17">
        <v>20162495008</v>
      </c>
      <c r="B842" s="19" t="str">
        <f>VLOOKUP(A842,'ESTADOS ESTUDIANTES'!B:L,2,0)</f>
        <v>GUZMÁN CASTILLO NANCI MILENA</v>
      </c>
      <c r="C842" s="19">
        <f>VLOOKUP(A842,'ESTADOS ESTUDIANTES'!B:L,3,0)</f>
        <v>495</v>
      </c>
      <c r="D842" s="66" t="str">
        <f>VLOOKUP(A842,'ESTADOS ESTUDIANTES'!B:L,4,0)</f>
        <v>MAE. EN CIENCIAS DE LA INF. Y LAS COMUNICACIONES ENFASIS EN ING. SOFT</v>
      </c>
      <c r="E842" s="19" t="str">
        <f>VLOOKUP(A842,'ESTADOS ESTUDIANTES'!B:L,5,0)</f>
        <v>E</v>
      </c>
      <c r="F842" s="18" t="str">
        <f>VLOOKUP(E842,Listas!B1:C1004,2,0)</f>
        <v>EGRESADO</v>
      </c>
      <c r="G842" s="19">
        <f>VLOOKUP(A842,'ESTADOS ESTUDIANTES'!B:L,7,0)</f>
        <v>2</v>
      </c>
      <c r="H842" s="19">
        <f>VLOOKUP(A842,'ESTADOS ESTUDIANTES'!B:L,8,0)</f>
        <v>0</v>
      </c>
      <c r="I842" s="70" t="str">
        <f>VLOOKUP(A842,'ESTADOS ESTUDIANTES'!B:L,9,0)</f>
        <v>guzmanmiller02@gmail.com</v>
      </c>
      <c r="J842" s="19" t="str">
        <f>VLOOKUP(A842,'ESTADOS ESTUDIANTES'!B:L,10,0)</f>
        <v>CC</v>
      </c>
      <c r="K842" s="19">
        <f>VLOOKUP(A842,'ESTADOS ESTUDIANTES'!B:L,11,0)</f>
        <v>52859033</v>
      </c>
      <c r="L842" s="23"/>
      <c r="M842" s="20"/>
      <c r="N842" s="22"/>
      <c r="O842" s="15"/>
      <c r="P842" s="15"/>
      <c r="Q842" s="15"/>
      <c r="R842" s="15"/>
      <c r="S842" s="15"/>
      <c r="T842" s="15"/>
      <c r="U842" s="15"/>
    </row>
    <row r="843" spans="1:21" ht="90">
      <c r="A843" s="17">
        <v>20162495011</v>
      </c>
      <c r="B843" s="19" t="str">
        <f>VLOOKUP(A843,'ESTADOS ESTUDIANTES'!B:L,2,0)</f>
        <v>PASTRANA BONILLA JESSICA NATALIA</v>
      </c>
      <c r="C843" s="19">
        <f>VLOOKUP(A843,'ESTADOS ESTUDIANTES'!B:L,3,0)</f>
        <v>495</v>
      </c>
      <c r="D843" s="66" t="str">
        <f>VLOOKUP(A843,'ESTADOS ESTUDIANTES'!B:L,4,0)</f>
        <v>MAE. EN CIENCIAS DE LA INF. Y LAS COMUNICACIONES ENFASIS EN ING. SOFT</v>
      </c>
      <c r="E843" s="19" t="str">
        <f>VLOOKUP(A843,'ESTADOS ESTUDIANTES'!B:L,5,0)</f>
        <v>X</v>
      </c>
      <c r="F843" s="18" t="str">
        <f>VLOOKUP(E843,Listas!B1:C1004,2,0)</f>
        <v>EXCLUIDO</v>
      </c>
      <c r="G843" s="19" t="str">
        <f>VLOOKUP(A843,'ESTADOS ESTUDIANTES'!B:L,7,0)</f>
        <v>NO REGISTRA</v>
      </c>
      <c r="H843" s="19" t="str">
        <f>VLOOKUP(A843,'ESTADOS ESTUDIANTES'!B:L,8,0)</f>
        <v>jnpastranab@correo.udistrital.edu.co</v>
      </c>
      <c r="I843" s="70" t="str">
        <f>VLOOKUP(A843,'ESTADOS ESTUDIANTES'!B:L,9,0)</f>
        <v>nataliapastranab@gmail.com</v>
      </c>
      <c r="J843" s="19" t="str">
        <f>VLOOKUP(A843,'ESTADOS ESTUDIANTES'!B:L,10,0)</f>
        <v>CC</v>
      </c>
      <c r="K843" s="19">
        <f>VLOOKUP(A843,'ESTADOS ESTUDIANTES'!B:L,11,0)</f>
        <v>53124778</v>
      </c>
      <c r="L843" s="19">
        <v>3125021164</v>
      </c>
      <c r="M843" s="20">
        <v>31292</v>
      </c>
      <c r="N843" s="22"/>
      <c r="O843" s="15"/>
      <c r="P843" s="15"/>
      <c r="Q843" s="15"/>
      <c r="R843" s="15"/>
      <c r="S843" s="15"/>
      <c r="T843" s="15"/>
      <c r="U843" s="15"/>
    </row>
    <row r="844" spans="1:21" ht="90">
      <c r="A844" s="17">
        <v>20162495012</v>
      </c>
      <c r="B844" s="19" t="str">
        <f>VLOOKUP(A844,'ESTADOS ESTUDIANTES'!B:L,2,0)</f>
        <v>RAMOS FERNÁNDEZ JOSE LUIS</v>
      </c>
      <c r="C844" s="19">
        <f>VLOOKUP(A844,'ESTADOS ESTUDIANTES'!B:L,3,0)</f>
        <v>495</v>
      </c>
      <c r="D844" s="66" t="str">
        <f>VLOOKUP(A844,'ESTADOS ESTUDIANTES'!B:L,4,0)</f>
        <v>MAE. EN CIENCIAS DE LA INF. Y LAS COMUNICACIONES ENFASIS EN ING. SOFT</v>
      </c>
      <c r="E844" s="19" t="str">
        <f>VLOOKUP(A844,'ESTADOS ESTUDIANTES'!B:L,5,0)</f>
        <v>N</v>
      </c>
      <c r="F844" s="18" t="str">
        <f>VLOOKUP(E844,Listas!B1:C1004,2,0)</f>
        <v>ERROR DE CODIGO</v>
      </c>
      <c r="G844" s="19" t="str">
        <f>VLOOKUP(A844,'ESTADOS ESTUDIANTES'!B:L,7,0)</f>
        <v>NO REGISTRA</v>
      </c>
      <c r="H844" s="19">
        <f>VLOOKUP(A844,'ESTADOS ESTUDIANTES'!B:L,8,0)</f>
        <v>0</v>
      </c>
      <c r="I844" s="70" t="str">
        <f>VLOOKUP(A844,'ESTADOS ESTUDIANTES'!B:L,9,0)</f>
        <v>joselorf@gmail.com</v>
      </c>
      <c r="J844" s="19" t="str">
        <f>VLOOKUP(A844,'ESTADOS ESTUDIANTES'!B:L,10,0)</f>
        <v>CC</v>
      </c>
      <c r="K844" s="19">
        <f>VLOOKUP(A844,'ESTADOS ESTUDIANTES'!B:L,11,0)</f>
        <v>1122648771</v>
      </c>
      <c r="L844" s="19">
        <v>3209373662</v>
      </c>
      <c r="M844" s="20"/>
      <c r="N844" s="22"/>
      <c r="O844" s="15"/>
      <c r="P844" s="15"/>
      <c r="Q844" s="15"/>
      <c r="R844" s="15"/>
      <c r="S844" s="15"/>
      <c r="T844" s="15"/>
      <c r="U844" s="15"/>
    </row>
    <row r="845" spans="1:21" ht="90">
      <c r="A845" s="17">
        <v>20162495014</v>
      </c>
      <c r="B845" s="19" t="str">
        <f>VLOOKUP(A845,'ESTADOS ESTUDIANTES'!B:L,2,0)</f>
        <v>REYES DAZA BRAYAN STEVEN</v>
      </c>
      <c r="C845" s="19">
        <f>VLOOKUP(A845,'ESTADOS ESTUDIANTES'!B:L,3,0)</f>
        <v>495</v>
      </c>
      <c r="D845" s="66" t="str">
        <f>VLOOKUP(A845,'ESTADOS ESTUDIANTES'!B:L,4,0)</f>
        <v>MAE. EN CIENCIAS DE LA INF. Y LAS COMUNICACIONES ENFASIS EN ING. SOFT</v>
      </c>
      <c r="E845" s="19" t="str">
        <f>VLOOKUP(A845,'ESTADOS ESTUDIANTES'!B:L,5,0)</f>
        <v>X</v>
      </c>
      <c r="F845" s="18" t="str">
        <f>VLOOKUP(E845,Listas!B1:C1004,2,0)</f>
        <v>EXCLUIDO</v>
      </c>
      <c r="G845" s="19">
        <f>VLOOKUP(A845,'ESTADOS ESTUDIANTES'!B:L,7,0)</f>
        <v>3</v>
      </c>
      <c r="H845" s="19">
        <f>VLOOKUP(A845,'ESTADOS ESTUDIANTES'!B:L,8,0)</f>
        <v>0</v>
      </c>
      <c r="I845" s="70" t="str">
        <f>VLOOKUP(A845,'ESTADOS ESTUDIANTES'!B:L,9,0)</f>
        <v>ing.brayan.reyes@gmail.com</v>
      </c>
      <c r="J845" s="19" t="str">
        <f>VLOOKUP(A845,'ESTADOS ESTUDIANTES'!B:L,10,0)</f>
        <v>CC</v>
      </c>
      <c r="K845" s="19">
        <f>VLOOKUP(A845,'ESTADOS ESTUDIANTES'!B:L,11,0)</f>
        <v>1018462073</v>
      </c>
      <c r="L845" s="19">
        <v>3118471788</v>
      </c>
      <c r="M845" s="20"/>
      <c r="N845" s="22"/>
      <c r="O845" s="15"/>
      <c r="P845" s="15"/>
      <c r="Q845" s="15"/>
      <c r="R845" s="15"/>
      <c r="S845" s="15"/>
      <c r="T845" s="15"/>
      <c r="U845" s="15"/>
    </row>
    <row r="846" spans="1:21" ht="90">
      <c r="A846" s="17">
        <v>20162495015</v>
      </c>
      <c r="B846" s="19" t="str">
        <f>VLOOKUP(A846,'ESTADOS ESTUDIANTES'!B:L,2,0)</f>
        <v>ROJAS MORENO JUAN FERNANDO</v>
      </c>
      <c r="C846" s="19">
        <f>VLOOKUP(A846,'ESTADOS ESTUDIANTES'!B:L,3,0)</f>
        <v>495</v>
      </c>
      <c r="D846" s="66" t="str">
        <f>VLOOKUP(A846,'ESTADOS ESTUDIANTES'!B:L,4,0)</f>
        <v>MAE. EN CIENCIAS DE LA INF. Y LAS COMUNICACIONES ENFASIS EN ING. SOFT</v>
      </c>
      <c r="E846" s="19" t="str">
        <f>VLOOKUP(A846,'ESTADOS ESTUDIANTES'!B:L,5,0)</f>
        <v>E</v>
      </c>
      <c r="F846" s="18" t="str">
        <f>VLOOKUP(E846,Listas!B1:C1004,2,0)</f>
        <v>EGRESADO</v>
      </c>
      <c r="G846" s="19" t="str">
        <f>VLOOKUP(A846,'ESTADOS ESTUDIANTES'!B:L,7,0)</f>
        <v>NO REGISTRA</v>
      </c>
      <c r="H846" s="19" t="str">
        <f>VLOOKUP(A846,'ESTADOS ESTUDIANTES'!B:L,8,0)</f>
        <v>jufrojasm@correo.udistrital.edu.co</v>
      </c>
      <c r="I846" s="70" t="str">
        <f>VLOOKUP(A846,'ESTADOS ESTUDIANTES'!B:L,9,0)</f>
        <v>egeda9@gmail.com</v>
      </c>
      <c r="J846" s="19" t="str">
        <f>VLOOKUP(A846,'ESTADOS ESTUDIANTES'!B:L,10,0)</f>
        <v>CC</v>
      </c>
      <c r="K846" s="19">
        <f>VLOOKUP(A846,'ESTADOS ESTUDIANTES'!B:L,11,0)</f>
        <v>1014193564</v>
      </c>
      <c r="L846" s="19">
        <v>3102336084</v>
      </c>
      <c r="M846" s="20"/>
      <c r="N846" s="22"/>
      <c r="O846" s="15"/>
      <c r="P846" s="15"/>
      <c r="Q846" s="15"/>
      <c r="R846" s="15"/>
      <c r="S846" s="15"/>
      <c r="T846" s="15"/>
      <c r="U846" s="15"/>
    </row>
    <row r="847" spans="1:21" ht="90">
      <c r="A847" s="17">
        <v>20162495016</v>
      </c>
      <c r="B847" s="19" t="str">
        <f>VLOOKUP(A847,'ESTADOS ESTUDIANTES'!B:L,2,0)</f>
        <v>ROMERO MORENO FREDY YARNEY</v>
      </c>
      <c r="C847" s="19">
        <f>VLOOKUP(A847,'ESTADOS ESTUDIANTES'!B:L,3,0)</f>
        <v>495</v>
      </c>
      <c r="D847" s="66" t="str">
        <f>VLOOKUP(A847,'ESTADOS ESTUDIANTES'!B:L,4,0)</f>
        <v>MAE. EN CIENCIAS DE LA INF. Y LAS COMUNICACIONES ENFASIS EN ING. SOFT</v>
      </c>
      <c r="E847" s="19" t="str">
        <f>VLOOKUP(A847,'ESTADOS ESTUDIANTES'!B:L,5,0)</f>
        <v>E</v>
      </c>
      <c r="F847" s="18" t="str">
        <f>VLOOKUP(E847,Listas!B1:C1004,2,0)</f>
        <v>EGRESADO</v>
      </c>
      <c r="G847" s="19">
        <f>VLOOKUP(A847,'ESTADOS ESTUDIANTES'!B:L,7,0)</f>
        <v>4</v>
      </c>
      <c r="H847" s="19" t="str">
        <f>VLOOKUP(A847,'ESTADOS ESTUDIANTES'!B:L,8,0)</f>
        <v>fyromerom@correo.udistrital.edu.co</v>
      </c>
      <c r="I847" s="70" t="str">
        <f>VLOOKUP(A847,'ESTADOS ESTUDIANTES'!B:L,9,0)</f>
        <v>fredyromero1975@gmail.com</v>
      </c>
      <c r="J847" s="19" t="str">
        <f>VLOOKUP(A847,'ESTADOS ESTUDIANTES'!B:L,10,0)</f>
        <v>CC</v>
      </c>
      <c r="K847" s="19">
        <f>VLOOKUP(A847,'ESTADOS ESTUDIANTES'!B:L,11,0)</f>
        <v>7170018</v>
      </c>
      <c r="L847" s="19">
        <v>3187316053</v>
      </c>
      <c r="M847" s="20"/>
      <c r="N847" s="22"/>
      <c r="O847" s="15"/>
      <c r="P847" s="15"/>
      <c r="Q847" s="15"/>
      <c r="R847" s="15"/>
      <c r="S847" s="15"/>
      <c r="T847" s="15"/>
      <c r="U847" s="15"/>
    </row>
    <row r="848" spans="1:21" ht="30">
      <c r="A848" s="17">
        <v>20162495017</v>
      </c>
      <c r="B848" s="19" t="str">
        <f>VLOOKUP(A848,'ESTADOS ESTUDIANTES'!B:L,2,0)</f>
        <v>SANCHEZ RODRIGUEZ DANIEL ESTEBAN</v>
      </c>
      <c r="C848" s="19">
        <f>VLOOKUP(A848,'ESTADOS ESTUDIANTES'!B:L,3,0)</f>
        <v>495</v>
      </c>
      <c r="D848" s="332" t="s">
        <v>15</v>
      </c>
      <c r="E848" s="19" t="str">
        <f>VLOOKUP(A848,'ESTADOS ESTUDIANTES'!B:L,5,0)</f>
        <v>E</v>
      </c>
      <c r="F848" s="18" t="str">
        <f>VLOOKUP(E848,Listas!B1:C1004,2,0)</f>
        <v>EGRESADO</v>
      </c>
      <c r="G848" s="19">
        <f>VLOOKUP(A848,'ESTADOS ESTUDIANTES'!B:L,7,0)</f>
        <v>2</v>
      </c>
      <c r="H848" s="19">
        <f>VLOOKUP(A848,'ESTADOS ESTUDIANTES'!B:L,8,0)</f>
        <v>0</v>
      </c>
      <c r="I848" s="70" t="str">
        <f>VLOOKUP(A848,'ESTADOS ESTUDIANTES'!B:L,9,0)</f>
        <v>danielssj88@gmail.com</v>
      </c>
      <c r="J848" s="19" t="str">
        <f>VLOOKUP(A848,'ESTADOS ESTUDIANTES'!B:L,10,0)</f>
        <v>CC</v>
      </c>
      <c r="K848" s="19">
        <f>VLOOKUP(A848,'ESTADOS ESTUDIANTES'!B:L,11,0)</f>
        <v>1032417886</v>
      </c>
      <c r="L848" s="19">
        <v>3005607172</v>
      </c>
      <c r="M848" s="20">
        <v>32363</v>
      </c>
      <c r="N848" s="22"/>
      <c r="O848" s="15"/>
      <c r="P848" s="15"/>
      <c r="Q848" s="15"/>
      <c r="R848" s="15"/>
      <c r="S848" s="15"/>
      <c r="T848" s="15"/>
      <c r="U848" s="15"/>
    </row>
    <row r="849" spans="1:21" ht="90">
      <c r="A849" s="17">
        <v>20162495018</v>
      </c>
      <c r="B849" s="19" t="str">
        <f>VLOOKUP(A849,'ESTADOS ESTUDIANTES'!B:L,2,0)</f>
        <v>VALENCIA MARTINEZ CAMILO ALEJANDRO</v>
      </c>
      <c r="C849" s="19">
        <f>VLOOKUP(A849,'ESTADOS ESTUDIANTES'!B:L,3,0)</f>
        <v>495</v>
      </c>
      <c r="D849" s="66" t="str">
        <f>VLOOKUP(A849,'ESTADOS ESTUDIANTES'!B:L,4,0)</f>
        <v>MAE. EN CIENCIAS DE LA INF. Y LAS COMUNICACIONES ENFASIS EN ING. SOFT</v>
      </c>
      <c r="E849" s="19" t="str">
        <f>VLOOKUP(A849,'ESTADOS ESTUDIANTES'!B:L,5,0)</f>
        <v>E</v>
      </c>
      <c r="F849" s="18" t="str">
        <f>VLOOKUP(E849,Listas!B1:C1004,2,0)</f>
        <v>EGRESADO</v>
      </c>
      <c r="G849" s="19">
        <f>VLOOKUP(A849,'ESTADOS ESTUDIANTES'!B:L,7,0)</f>
        <v>1</v>
      </c>
      <c r="H849" s="19" t="str">
        <f>VLOOKUP(A849,'ESTADOS ESTUDIANTES'!B:L,8,0)</f>
        <v>cavalenciam@udistrital.edu.co</v>
      </c>
      <c r="I849" s="70" t="str">
        <f>VLOOKUP(A849,'ESTADOS ESTUDIANTES'!B:L,9,0)</f>
        <v>kmilov@gmail.com</v>
      </c>
      <c r="J849" s="19" t="str">
        <f>VLOOKUP(A849,'ESTADOS ESTUDIANTES'!B:L,10,0)</f>
        <v>CC</v>
      </c>
      <c r="K849" s="19">
        <f>VLOOKUP(A849,'ESTADOS ESTUDIANTES'!B:L,11,0)</f>
        <v>1070950958</v>
      </c>
      <c r="L849" s="19">
        <v>3185853811</v>
      </c>
      <c r="M849" s="20">
        <v>32343</v>
      </c>
      <c r="N849" s="22"/>
      <c r="O849" s="15"/>
      <c r="P849" s="15"/>
      <c r="Q849" s="15"/>
      <c r="R849" s="15"/>
      <c r="S849" s="15"/>
      <c r="T849" s="15"/>
      <c r="U849" s="15"/>
    </row>
    <row r="850" spans="1:21" ht="90">
      <c r="A850" s="17">
        <v>20162495019</v>
      </c>
      <c r="B850" s="19" t="str">
        <f>VLOOKUP(A850,'ESTADOS ESTUDIANTES'!B:L,2,0)</f>
        <v>VARGAS CARRILLO LUZ ANGELA</v>
      </c>
      <c r="C850" s="19">
        <f>VLOOKUP(A850,'ESTADOS ESTUDIANTES'!B:L,3,0)</f>
        <v>495</v>
      </c>
      <c r="D850" s="66" t="str">
        <f>VLOOKUP(A850,'ESTADOS ESTUDIANTES'!B:L,4,0)</f>
        <v>MAE. EN CIENCIAS DE LA INF. Y LAS COMUNICACIONES ENFASIS EN ING. SOFT</v>
      </c>
      <c r="E850" s="19" t="str">
        <f>VLOOKUP(A850,'ESTADOS ESTUDIANTES'!B:L,5,0)</f>
        <v>E</v>
      </c>
      <c r="F850" s="18" t="str">
        <f>VLOOKUP(E850,Listas!B1:C1004,2,0)</f>
        <v>EGRESADO</v>
      </c>
      <c r="G850" s="19">
        <f>VLOOKUP(A850,'ESTADOS ESTUDIANTES'!B:L,7,0)</f>
        <v>4</v>
      </c>
      <c r="H850" s="19" t="str">
        <f>VLOOKUP(A850,'ESTADOS ESTUDIANTES'!B:L,8,0)</f>
        <v>lavargasc@udistrital.edu.co</v>
      </c>
      <c r="I850" s="70" t="str">
        <f>VLOOKUP(A850,'ESTADOS ESTUDIANTES'!B:L,9,0)</f>
        <v>ingangelavargas@gmail.com</v>
      </c>
      <c r="J850" s="19" t="str">
        <f>VLOOKUP(A850,'ESTADOS ESTUDIANTES'!B:L,10,0)</f>
        <v>CC</v>
      </c>
      <c r="K850" s="19">
        <f>VLOOKUP(A850,'ESTADOS ESTUDIANTES'!B:L,11,0)</f>
        <v>53047662</v>
      </c>
      <c r="L850" s="19">
        <v>3142002463</v>
      </c>
      <c r="M850" s="20">
        <v>30990</v>
      </c>
      <c r="N850" s="22"/>
      <c r="O850" s="15"/>
      <c r="P850" s="15"/>
      <c r="Q850" s="15"/>
      <c r="R850" s="15"/>
      <c r="S850" s="15"/>
      <c r="T850" s="15"/>
      <c r="U850" s="15"/>
    </row>
    <row r="851" spans="1:21" ht="90">
      <c r="A851" s="17">
        <v>20171195001</v>
      </c>
      <c r="B851" s="19" t="str">
        <f>VLOOKUP(A851,'ESTADOS ESTUDIANTES'!B:L,2,0)</f>
        <v>JOSE AGUSTIN AREVALO SILVA</v>
      </c>
      <c r="C851" s="19">
        <f>VLOOKUP(A851,'ESTADOS ESTUDIANTES'!B:L,3,0)</f>
        <v>195</v>
      </c>
      <c r="D851" s="66" t="str">
        <f>VLOOKUP(A851,'ESTADOS ESTUDIANTES'!B:L,4,0)</f>
        <v>MAE. EN CIENCIAS DE LA INF. Y LAS COMUNICACIONES ENFASIS EN TELEINF.</v>
      </c>
      <c r="E851" s="19" t="str">
        <f>VLOOKUP(A851,'ESTADOS ESTUDIANTES'!B:L,5,0)</f>
        <v>E</v>
      </c>
      <c r="F851" s="18" t="str">
        <f>VLOOKUP(E851,Listas!B1:C1004,2,0)</f>
        <v>EGRESADO</v>
      </c>
      <c r="G851" s="19">
        <f>VLOOKUP(A851,'ESTADOS ESTUDIANTES'!B:L,7,0)</f>
        <v>4</v>
      </c>
      <c r="H851" s="19" t="str">
        <f>VLOOKUP(A851,'ESTADOS ESTUDIANTES'!B:L,8,0)</f>
        <v>jaarevalos@udistrital.edu.co</v>
      </c>
      <c r="I851" s="70" t="str">
        <f>VLOOKUP(A851,'ESTADOS ESTUDIANTES'!B:L,9,0)</f>
        <v>agustin.arevalo@gmail.com</v>
      </c>
      <c r="J851" s="19" t="str">
        <f>VLOOKUP(A851,'ESTADOS ESTUDIANTES'!B:L,10,0)</f>
        <v>CC</v>
      </c>
      <c r="K851" s="19">
        <f>VLOOKUP(A851,'ESTADOS ESTUDIANTES'!B:L,11,0)</f>
        <v>79956049</v>
      </c>
      <c r="L851" s="19">
        <v>3175147787</v>
      </c>
      <c r="M851" s="20">
        <v>29367</v>
      </c>
      <c r="N851" s="22"/>
      <c r="O851" s="15"/>
      <c r="P851" s="15"/>
      <c r="Q851" s="15"/>
      <c r="R851" s="15"/>
      <c r="S851" s="15"/>
      <c r="T851" s="15"/>
      <c r="U851" s="15"/>
    </row>
    <row r="852" spans="1:21" ht="90">
      <c r="A852" s="17">
        <v>20171195002</v>
      </c>
      <c r="B852" s="19" t="str">
        <f>VLOOKUP(A852,'ESTADOS ESTUDIANTES'!B:L,2,0)</f>
        <v>CASTELLANOS ALVARO ANDRES</v>
      </c>
      <c r="C852" s="19">
        <f>VLOOKUP(A852,'ESTADOS ESTUDIANTES'!B:L,3,0)</f>
        <v>195</v>
      </c>
      <c r="D852" s="66" t="str">
        <f>VLOOKUP(A852,'ESTADOS ESTUDIANTES'!B:L,4,0)</f>
        <v>MAE. EN CIENCIAS DE LA INF. Y LAS COMUNICACIONES ENFASIS EN TELEINF.</v>
      </c>
      <c r="E852" s="19" t="str">
        <f>VLOOKUP(A852,'ESTADOS ESTUDIANTES'!B:L,5,0)</f>
        <v>X</v>
      </c>
      <c r="F852" s="18" t="str">
        <f>VLOOKUP(E852,Listas!B1:C1004,2,0)</f>
        <v>EXCLUIDO</v>
      </c>
      <c r="G852" s="19" t="str">
        <f>VLOOKUP(A852,'ESTADOS ESTUDIANTES'!B:L,7,0)</f>
        <v>NO REGISTRA</v>
      </c>
      <c r="H852" s="19" t="str">
        <f>VLOOKUP(A852,'ESTADOS ESTUDIANTES'!B:L,8,0)</f>
        <v>aacastellanos@correo.udistrital.edu.co</v>
      </c>
      <c r="I852" s="70" t="str">
        <f>VLOOKUP(A852,'ESTADOS ESTUDIANTES'!B:L,9,0)</f>
        <v>monosony_101@hotmail.com</v>
      </c>
      <c r="J852" s="19" t="str">
        <f>VLOOKUP(A852,'ESTADOS ESTUDIANTES'!B:L,10,0)</f>
        <v>CC</v>
      </c>
      <c r="K852" s="19">
        <f>VLOOKUP(A852,'ESTADOS ESTUDIANTES'!B:L,11,0)</f>
        <v>1018412331</v>
      </c>
      <c r="L852" s="19">
        <v>3014543281</v>
      </c>
      <c r="M852" s="20"/>
      <c r="N852" s="22"/>
      <c r="O852" s="15"/>
      <c r="P852" s="15"/>
      <c r="Q852" s="15"/>
      <c r="R852" s="15"/>
      <c r="S852" s="15"/>
      <c r="T852" s="15"/>
      <c r="U852" s="15"/>
    </row>
    <row r="853" spans="1:21" ht="90">
      <c r="A853" s="17">
        <v>20171195004</v>
      </c>
      <c r="B853" s="19" t="str">
        <f>VLOOKUP(A853,'ESTADOS ESTUDIANTES'!B:L,2,0)</f>
        <v>PINEDA TORRES DIEGO EDUARDO</v>
      </c>
      <c r="C853" s="19">
        <f>VLOOKUP(A853,'ESTADOS ESTUDIANTES'!B:L,3,0)</f>
        <v>195</v>
      </c>
      <c r="D853" s="66" t="str">
        <f>VLOOKUP(A853,'ESTADOS ESTUDIANTES'!B:L,4,0)</f>
        <v>MAE. EN CIENCIAS DE LA INF. Y LAS COMUNICACIONES ENFASIS EN TELEINF.</v>
      </c>
      <c r="E853" s="19" t="str">
        <f>VLOOKUP(A853,'ESTADOS ESTUDIANTES'!B:L,5,0)</f>
        <v>E</v>
      </c>
      <c r="F853" s="18" t="str">
        <f>VLOOKUP(E853,Listas!B1:C1004,2,0)</f>
        <v>EGRESADO</v>
      </c>
      <c r="G853" s="19">
        <f>VLOOKUP(A853,'ESTADOS ESTUDIANTES'!B:L,7,0)</f>
        <v>3</v>
      </c>
      <c r="H853" s="19" t="str">
        <f>VLOOKUP(A853,'ESTADOS ESTUDIANTES'!B:L,8,0)</f>
        <v>depinedat@correo.udistrital.edu.co</v>
      </c>
      <c r="I853" s="70" t="str">
        <f>VLOOKUP(A853,'ESTADOS ESTUDIANTES'!B:L,9,0)</f>
        <v>deduardopineda@gmail.com</v>
      </c>
      <c r="J853" s="19" t="str">
        <f>VLOOKUP(A853,'ESTADOS ESTUDIANTES'!B:L,10,0)</f>
        <v>CC</v>
      </c>
      <c r="K853" s="19">
        <f>VLOOKUP(A853,'ESTADOS ESTUDIANTES'!B:L,11,0)</f>
        <v>1033712950</v>
      </c>
      <c r="L853" s="23"/>
      <c r="M853" s="20"/>
      <c r="N853" s="22"/>
      <c r="O853" s="15"/>
      <c r="P853" s="15"/>
      <c r="Q853" s="15"/>
      <c r="R853" s="15"/>
      <c r="S853" s="15"/>
      <c r="T853" s="15"/>
      <c r="U853" s="15"/>
    </row>
    <row r="854" spans="1:21" ht="90">
      <c r="A854" s="17">
        <v>20171195006</v>
      </c>
      <c r="B854" s="19" t="str">
        <f>VLOOKUP(A854,'ESTADOS ESTUDIANTES'!B:L,2,0)</f>
        <v>ROBAYO MENDEZ GUSTAVO ALEJANDRO</v>
      </c>
      <c r="C854" s="19">
        <f>VLOOKUP(A854,'ESTADOS ESTUDIANTES'!B:L,3,0)</f>
        <v>195</v>
      </c>
      <c r="D854" s="66" t="str">
        <f>VLOOKUP(A854,'ESTADOS ESTUDIANTES'!B:L,4,0)</f>
        <v>MAE. EN CIENCIAS DE LA INF. Y LAS COMUNICACIONES ENFASIS EN TELEINF.</v>
      </c>
      <c r="E854" s="19" t="str">
        <f>VLOOKUP(A854,'ESTADOS ESTUDIANTES'!B:L,5,0)</f>
        <v>E</v>
      </c>
      <c r="F854" s="18" t="str">
        <f>VLOOKUP(E854,Listas!B1:C1004,2,0)</f>
        <v>EGRESADO</v>
      </c>
      <c r="G854" s="19">
        <f>VLOOKUP(A854,'ESTADOS ESTUDIANTES'!B:L,7,0)</f>
        <v>3</v>
      </c>
      <c r="H854" s="19" t="str">
        <f>VLOOKUP(A854,'ESTADOS ESTUDIANTES'!B:L,8,0)</f>
        <v>garobayom@udistrital.edu.co</v>
      </c>
      <c r="I854" s="70" t="str">
        <f>VLOOKUP(A854,'ESTADOS ESTUDIANTES'!B:L,9,0)</f>
        <v>tavoalejo@gmail.com</v>
      </c>
      <c r="J854" s="19" t="str">
        <f>VLOOKUP(A854,'ESTADOS ESTUDIANTES'!B:L,10,0)</f>
        <v>CC</v>
      </c>
      <c r="K854" s="19">
        <f>VLOOKUP(A854,'ESTADOS ESTUDIANTES'!B:L,11,0)</f>
        <v>1026251289</v>
      </c>
      <c r="L854" s="19">
        <v>3108500725</v>
      </c>
      <c r="M854" s="20">
        <v>31544</v>
      </c>
      <c r="N854" s="22"/>
      <c r="O854" s="15"/>
      <c r="P854" s="15"/>
      <c r="Q854" s="15"/>
      <c r="R854" s="15"/>
      <c r="S854" s="15"/>
      <c r="T854" s="15"/>
      <c r="U854" s="15"/>
    </row>
    <row r="855" spans="1:21" ht="90">
      <c r="A855" s="17">
        <v>20171195007</v>
      </c>
      <c r="B855" s="19" t="str">
        <f>VLOOKUP(A855,'ESTADOS ESTUDIANTES'!B:L,2,0)</f>
        <v>MUÑOZ RUBIO OSWALDO</v>
      </c>
      <c r="C855" s="19">
        <f>VLOOKUP(A855,'ESTADOS ESTUDIANTES'!B:L,3,0)</f>
        <v>195</v>
      </c>
      <c r="D855" s="66" t="str">
        <f>VLOOKUP(A855,'ESTADOS ESTUDIANTES'!B:L,4,0)</f>
        <v>MAE. EN CIENCIAS DE LA INF. Y LAS COMUNICACIONES ENFASIS EN TELEINF.</v>
      </c>
      <c r="E855" s="19" t="str">
        <f>VLOOKUP(A855,'ESTADOS ESTUDIANTES'!B:L,5,0)</f>
        <v>N</v>
      </c>
      <c r="F855" s="18" t="str">
        <f>VLOOKUP(E855,Listas!B1:C1004,2,0)</f>
        <v>ERROR DE CODIGO</v>
      </c>
      <c r="G855" s="19" t="str">
        <f>VLOOKUP(A855,'ESTADOS ESTUDIANTES'!B:L,7,0)</f>
        <v>NO REGISTRA</v>
      </c>
      <c r="H855" s="19" t="str">
        <f>VLOOKUP(A855,'ESTADOS ESTUDIANTES'!B:L,8,0)</f>
        <v>omunozr@correo.udistrital.edu.co</v>
      </c>
      <c r="I855" s="70" t="str">
        <f>VLOOKUP(A855,'ESTADOS ESTUDIANTES'!B:L,9,0)</f>
        <v>oszo81@hotmail.com</v>
      </c>
      <c r="J855" s="19" t="str">
        <f>VLOOKUP(A855,'ESTADOS ESTUDIANTES'!B:L,10,0)</f>
        <v>CC</v>
      </c>
      <c r="K855" s="19">
        <f>VLOOKUP(A855,'ESTADOS ESTUDIANTES'!B:L,11,0)</f>
        <v>13872637</v>
      </c>
      <c r="L855" s="23"/>
      <c r="M855" s="20"/>
      <c r="N855" s="22"/>
      <c r="O855" s="15"/>
      <c r="P855" s="15"/>
      <c r="Q855" s="15"/>
      <c r="R855" s="15"/>
      <c r="S855" s="15"/>
      <c r="T855" s="15"/>
      <c r="U855" s="15"/>
    </row>
    <row r="856" spans="1:21" ht="105">
      <c r="A856" s="17">
        <v>20171395002</v>
      </c>
      <c r="B856" s="19" t="str">
        <f>VLOOKUP(A856,'ESTADOS ESTUDIANTES'!B:L,2,0)</f>
        <v>CABALLERO MODERA NICOLS ERNESTO</v>
      </c>
      <c r="C856" s="19">
        <f>VLOOKUP(A856,'ESTADOS ESTUDIANTES'!B:L,3,0)</f>
        <v>395</v>
      </c>
      <c r="D856" s="66" t="str">
        <f>VLOOKUP(A856,'ESTADOS ESTUDIANTES'!B:L,4,0)</f>
        <v>MAE. EN CIENCIAS DE LA INF. Y LAS COMUNICACIONES ENFASIS EN GEOMATICA</v>
      </c>
      <c r="E856" s="19" t="str">
        <f>VLOOKUP(A856,'ESTADOS ESTUDIANTES'!B:L,5,0)</f>
        <v>E</v>
      </c>
      <c r="F856" s="18" t="str">
        <f>VLOOKUP(E856,Listas!B1:C1004,2,0)</f>
        <v>EGRESADO</v>
      </c>
      <c r="G856" s="19">
        <f>VLOOKUP(A856,'ESTADOS ESTUDIANTES'!B:L,7,0)</f>
        <v>2</v>
      </c>
      <c r="H856" s="19" t="str">
        <f>VLOOKUP(A856,'ESTADOS ESTUDIANTES'!B:L,8,0)</f>
        <v>necaballerom@udistrital.edu.co</v>
      </c>
      <c r="I856" s="70" t="str">
        <f>VLOOKUP(A856,'ESTADOS ESTUDIANTES'!B:L,9,0)</f>
        <v>necaballerom@gmail.com</v>
      </c>
      <c r="J856" s="19" t="str">
        <f>VLOOKUP(A856,'ESTADOS ESTUDIANTES'!B:L,10,0)</f>
        <v>CC</v>
      </c>
      <c r="K856" s="19">
        <f>VLOOKUP(A856,'ESTADOS ESTUDIANTES'!B:L,11,0)</f>
        <v>1026285580</v>
      </c>
      <c r="L856" s="19">
        <v>3204869130</v>
      </c>
      <c r="M856" s="20">
        <v>34231</v>
      </c>
      <c r="N856" s="22"/>
      <c r="O856" s="15"/>
      <c r="P856" s="15"/>
      <c r="Q856" s="15"/>
      <c r="R856" s="15"/>
      <c r="S856" s="15"/>
      <c r="T856" s="15"/>
      <c r="U856" s="15"/>
    </row>
    <row r="857" spans="1:21" ht="105">
      <c r="A857" s="17">
        <v>20171395003</v>
      </c>
      <c r="B857" s="19" t="str">
        <f>VLOOKUP(A857,'ESTADOS ESTUDIANTES'!B:L,2,0)</f>
        <v>CAICEDO TIVABIJA EDGAR JAVIER</v>
      </c>
      <c r="C857" s="19">
        <f>VLOOKUP(A857,'ESTADOS ESTUDIANTES'!B:L,3,0)</f>
        <v>395</v>
      </c>
      <c r="D857" s="66" t="str">
        <f>VLOOKUP(A857,'ESTADOS ESTUDIANTES'!B:L,4,0)</f>
        <v>MAE. EN CIENCIAS DE LA INF. Y LAS COMUNICACIONES ENFASIS EN GEOMATICA</v>
      </c>
      <c r="E857" s="19" t="str">
        <f>VLOOKUP(A857,'ESTADOS ESTUDIANTES'!B:L,5,0)</f>
        <v>N</v>
      </c>
      <c r="F857" s="18" t="str">
        <f>VLOOKUP(E857,Listas!B1:C1004,2,0)</f>
        <v>ERROR DE CODIGO</v>
      </c>
      <c r="G857" s="19" t="str">
        <f>VLOOKUP(A857,'ESTADOS ESTUDIANTES'!B:L,7,0)</f>
        <v>NO REGISTRA</v>
      </c>
      <c r="H857" s="19" t="str">
        <f>VLOOKUP(A857,'ESTADOS ESTUDIANTES'!B:L,8,0)</f>
        <v>ejcaicedot@correo.udistrital.edu.co</v>
      </c>
      <c r="I857" s="70" t="str">
        <f>VLOOKUP(A857,'ESTADOS ESTUDIANTES'!B:L,9,0)</f>
        <v>javiercaicedo007@gmail.com</v>
      </c>
      <c r="J857" s="19" t="str">
        <f>VLOOKUP(A857,'ESTADOS ESTUDIANTES'!B:L,10,0)</f>
        <v>CC</v>
      </c>
      <c r="K857" s="19">
        <f>VLOOKUP(A857,'ESTADOS ESTUDIANTES'!B:L,11,0)</f>
        <v>79791274</v>
      </c>
      <c r="L857" s="19">
        <v>3192972943</v>
      </c>
      <c r="M857" s="20"/>
      <c r="N857" s="22"/>
      <c r="O857" s="15"/>
      <c r="P857" s="15"/>
      <c r="Q857" s="15"/>
      <c r="R857" s="15"/>
      <c r="S857" s="15"/>
      <c r="T857" s="15"/>
      <c r="U857" s="15"/>
    </row>
    <row r="858" spans="1:21" ht="105">
      <c r="A858" s="17">
        <v>20171395004</v>
      </c>
      <c r="B858" s="19" t="str">
        <f>VLOOKUP(A858,'ESTADOS ESTUDIANTES'!B:L,2,0)</f>
        <v>CARDONA PIEDRAHITA LEONARDO ALEXANDER</v>
      </c>
      <c r="C858" s="19">
        <f>VLOOKUP(A858,'ESTADOS ESTUDIANTES'!B:L,3,0)</f>
        <v>395</v>
      </c>
      <c r="D858" s="66" t="str">
        <f>VLOOKUP(A858,'ESTADOS ESTUDIANTES'!B:L,4,0)</f>
        <v>MAE. EN CIENCIAS DE LA INF. Y LAS COMUNICACIONES ENFASIS EN GEOMATICA</v>
      </c>
      <c r="E858" s="19" t="str">
        <f>VLOOKUP(A858,'ESTADOS ESTUDIANTES'!B:L,5,0)</f>
        <v>E</v>
      </c>
      <c r="F858" s="18" t="str">
        <f>VLOOKUP(E858,Listas!B1:C1004,2,0)</f>
        <v>EGRESADO</v>
      </c>
      <c r="G858" s="19">
        <f>VLOOKUP(A858,'ESTADOS ESTUDIANTES'!B:L,7,0)</f>
        <v>3</v>
      </c>
      <c r="H858" s="19" t="str">
        <f>VLOOKUP(A858,'ESTADOS ESTUDIANTES'!B:L,8,0)</f>
        <v>lacardonap@correo.udistrital.edu.co</v>
      </c>
      <c r="I858" s="70" t="str">
        <f>VLOOKUP(A858,'ESTADOS ESTUDIANTES'!B:L,9,0)</f>
        <v>leocardonapiedrahita@gmail.com</v>
      </c>
      <c r="J858" s="19" t="str">
        <f>VLOOKUP(A858,'ESTADOS ESTUDIANTES'!B:L,10,0)</f>
        <v>CC</v>
      </c>
      <c r="K858" s="19">
        <f>VLOOKUP(A858,'ESTADOS ESTUDIANTES'!B:L,11,0)</f>
        <v>1032433743</v>
      </c>
      <c r="L858" s="23"/>
      <c r="M858" s="20"/>
      <c r="N858" s="22"/>
      <c r="O858" s="15"/>
      <c r="P858" s="15"/>
      <c r="Q858" s="15"/>
      <c r="R858" s="15"/>
      <c r="S858" s="15"/>
      <c r="T858" s="15"/>
      <c r="U858" s="15"/>
    </row>
    <row r="859" spans="1:21" ht="105">
      <c r="A859" s="17">
        <v>20171395005</v>
      </c>
      <c r="B859" s="19" t="str">
        <f>VLOOKUP(A859,'ESTADOS ESTUDIANTES'!B:L,2,0)</f>
        <v>CARRILLO DURAN IVAN DARIO</v>
      </c>
      <c r="C859" s="19">
        <f>VLOOKUP(A859,'ESTADOS ESTUDIANTES'!B:L,3,0)</f>
        <v>395</v>
      </c>
      <c r="D859" s="66" t="str">
        <f>VLOOKUP(A859,'ESTADOS ESTUDIANTES'!B:L,4,0)</f>
        <v>MAE. EN CIENCIAS DE LA INF. Y LAS COMUNICACIONES ENFASIS EN GEOMATICA</v>
      </c>
      <c r="E859" s="19" t="str">
        <f>VLOOKUP(A859,'ESTADOS ESTUDIANTES'!B:L,5,0)</f>
        <v>E</v>
      </c>
      <c r="F859" s="18" t="str">
        <f>VLOOKUP(E859,Listas!B1:C1004,2,0)</f>
        <v>EGRESADO</v>
      </c>
      <c r="G859" s="19">
        <f>VLOOKUP(A859,'ESTADOS ESTUDIANTES'!B:L,7,0)</f>
        <v>1</v>
      </c>
      <c r="H859" s="19" t="str">
        <f>VLOOKUP(A859,'ESTADOS ESTUDIANTES'!B:L,8,0)</f>
        <v>idcarrillod@correo.udistrital.edu.co</v>
      </c>
      <c r="I859" s="70" t="str">
        <f>VLOOKUP(A859,'ESTADOS ESTUDIANTES'!B:L,9,0)</f>
        <v>ivancho4321@hotmail.com</v>
      </c>
      <c r="J859" s="19" t="str">
        <f>VLOOKUP(A859,'ESTADOS ESTUDIANTES'!B:L,10,0)</f>
        <v>CC</v>
      </c>
      <c r="K859" s="19">
        <f>VLOOKUP(A859,'ESTADOS ESTUDIANTES'!B:L,11,0)</f>
        <v>1002021534</v>
      </c>
      <c r="L859" s="23"/>
      <c r="M859" s="20"/>
      <c r="N859" s="22"/>
      <c r="O859" s="15"/>
      <c r="P859" s="15"/>
      <c r="Q859" s="15"/>
      <c r="R859" s="15"/>
      <c r="S859" s="15"/>
      <c r="T859" s="15"/>
      <c r="U859" s="15"/>
    </row>
    <row r="860" spans="1:21" ht="105">
      <c r="A860" s="17">
        <v>20171395006</v>
      </c>
      <c r="B860" s="19" t="str">
        <f>VLOOKUP(A860,'ESTADOS ESTUDIANTES'!B:L,2,0)</f>
        <v>CARO MARTINEZ LAURA CONSUELO</v>
      </c>
      <c r="C860" s="19">
        <f>VLOOKUP(A860,'ESTADOS ESTUDIANTES'!B:L,3,0)</f>
        <v>395</v>
      </c>
      <c r="D860" s="66" t="str">
        <f>VLOOKUP(A860,'ESTADOS ESTUDIANTES'!B:L,4,0)</f>
        <v>MAE. EN CIENCIAS DE LA INF. Y LAS COMUNICACIONES ENFASIS EN GEOMATICA</v>
      </c>
      <c r="E860" s="19" t="str">
        <f>VLOOKUP(A860,'ESTADOS ESTUDIANTES'!B:L,5,0)</f>
        <v>X</v>
      </c>
      <c r="F860" s="18" t="str">
        <f>VLOOKUP(E860,Listas!B1:C1004,2,0)</f>
        <v>EXCLUIDO</v>
      </c>
      <c r="G860" s="19" t="str">
        <f>VLOOKUP(A860,'ESTADOS ESTUDIANTES'!B:L,7,0)</f>
        <v>NO REGISTRA</v>
      </c>
      <c r="H860" s="19" t="str">
        <f>VLOOKUP(A860,'ESTADOS ESTUDIANTES'!B:L,8,0)</f>
        <v>lccarom@correo.udistrital.edu.co</v>
      </c>
      <c r="I860" s="70" t="str">
        <f>VLOOKUP(A860,'ESTADOS ESTUDIANTES'!B:L,9,0)</f>
        <v>conylaura@gmail.com</v>
      </c>
      <c r="J860" s="19" t="str">
        <f>VLOOKUP(A860,'ESTADOS ESTUDIANTES'!B:L,10,0)</f>
        <v>CC</v>
      </c>
      <c r="K860" s="19">
        <f>VLOOKUP(A860,'ESTADOS ESTUDIANTES'!B:L,11,0)</f>
        <v>33377617</v>
      </c>
      <c r="L860" s="23"/>
      <c r="M860" s="20"/>
      <c r="N860" s="22"/>
      <c r="O860" s="15"/>
      <c r="P860" s="15"/>
      <c r="Q860" s="15"/>
      <c r="R860" s="15"/>
      <c r="S860" s="15"/>
      <c r="T860" s="15"/>
      <c r="U860" s="15"/>
    </row>
    <row r="861" spans="1:21" ht="105">
      <c r="A861" s="17">
        <v>20171395007</v>
      </c>
      <c r="B861" s="19" t="str">
        <f>VLOOKUP(A861,'ESTADOS ESTUDIANTES'!B:L,2,0)</f>
        <v>CORTES BUITRAGO OMAR</v>
      </c>
      <c r="C861" s="19">
        <f>VLOOKUP(A861,'ESTADOS ESTUDIANTES'!B:L,3,0)</f>
        <v>395</v>
      </c>
      <c r="D861" s="66" t="str">
        <f>VLOOKUP(A861,'ESTADOS ESTUDIANTES'!B:L,4,0)</f>
        <v>MAE. EN CIENCIAS DE LA INF. Y LAS COMUNICACIONES ENFASIS EN GEOMATICA</v>
      </c>
      <c r="E861" s="19" t="str">
        <f>VLOOKUP(A861,'ESTADOS ESTUDIANTES'!B:L,5,0)</f>
        <v>E</v>
      </c>
      <c r="F861" s="18" t="str">
        <f>VLOOKUP(E861,Listas!B1:C1004,2,0)</f>
        <v>EGRESADO</v>
      </c>
      <c r="G861" s="19" t="str">
        <f>VLOOKUP(A861,'ESTADOS ESTUDIANTES'!B:L,7,0)</f>
        <v>NO REGISTRA</v>
      </c>
      <c r="H861" s="19" t="str">
        <f>VLOOKUP(A861,'ESTADOS ESTUDIANTES'!B:L,8,0)</f>
        <v>ocortesb@udistrital.edu.co</v>
      </c>
      <c r="I861" s="70" t="str">
        <f>VLOOKUP(A861,'ESTADOS ESTUDIANTES'!B:L,9,0)</f>
        <v>omar.cortes@wgsltda.com.co</v>
      </c>
      <c r="J861" s="19" t="str">
        <f>VLOOKUP(A861,'ESTADOS ESTUDIANTES'!B:L,10,0)</f>
        <v>CC</v>
      </c>
      <c r="K861" s="19">
        <f>VLOOKUP(A861,'ESTADOS ESTUDIANTES'!B:L,11,0)</f>
        <v>19486872</v>
      </c>
      <c r="L861" s="23"/>
      <c r="M861" s="20"/>
      <c r="N861" s="22"/>
      <c r="O861" s="15"/>
      <c r="P861" s="15"/>
      <c r="Q861" s="15"/>
      <c r="R861" s="15"/>
      <c r="S861" s="15"/>
      <c r="T861" s="15"/>
      <c r="U861" s="15"/>
    </row>
    <row r="862" spans="1:21" ht="105">
      <c r="A862" s="17">
        <v>20171395008</v>
      </c>
      <c r="B862" s="19" t="str">
        <f>VLOOKUP(A862,'ESTADOS ESTUDIANTES'!B:L,2,0)</f>
        <v>GARZON MARTINEZ SONIA CONSTANZA</v>
      </c>
      <c r="C862" s="19">
        <f>VLOOKUP(A862,'ESTADOS ESTUDIANTES'!B:L,3,0)</f>
        <v>395</v>
      </c>
      <c r="D862" s="66" t="str">
        <f>VLOOKUP(A862,'ESTADOS ESTUDIANTES'!B:L,4,0)</f>
        <v>MAE. EN CIENCIAS DE LA INF. Y LAS COMUNICACIONES ENFASIS EN GEOMATICA</v>
      </c>
      <c r="E862" s="19" t="str">
        <f>VLOOKUP(A862,'ESTADOS ESTUDIANTES'!B:L,5,0)</f>
        <v>E</v>
      </c>
      <c r="F862" s="18" t="str">
        <f>VLOOKUP(E862,Listas!B1:C1004,2,0)</f>
        <v>EGRESADO</v>
      </c>
      <c r="G862" s="19">
        <f>VLOOKUP(A862,'ESTADOS ESTUDIANTES'!B:L,7,0)</f>
        <v>3</v>
      </c>
      <c r="H862" s="19" t="str">
        <f>VLOOKUP(A862,'ESTADOS ESTUDIANTES'!B:L,8,0)</f>
        <v>scgarzonm@correo.udistrital.edu.co</v>
      </c>
      <c r="I862" s="70" t="str">
        <f>VLOOKUP(A862,'ESTADOS ESTUDIANTES'!B:L,9,0)</f>
        <v>garzonsonia@gmail.com</v>
      </c>
      <c r="J862" s="19" t="str">
        <f>VLOOKUP(A862,'ESTADOS ESTUDIANTES'!B:L,10,0)</f>
        <v>CC</v>
      </c>
      <c r="K862" s="19">
        <f>VLOOKUP(A862,'ESTADOS ESTUDIANTES'!B:L,11,0)</f>
        <v>52546320</v>
      </c>
      <c r="L862" s="19">
        <v>3104153520</v>
      </c>
      <c r="M862" s="20"/>
      <c r="N862" s="22"/>
      <c r="O862" s="15"/>
      <c r="P862" s="15"/>
      <c r="Q862" s="15"/>
      <c r="R862" s="15"/>
      <c r="S862" s="15"/>
      <c r="T862" s="15"/>
      <c r="U862" s="15"/>
    </row>
    <row r="863" spans="1:21" ht="105">
      <c r="A863" s="17">
        <v>20171395009</v>
      </c>
      <c r="B863" s="19" t="str">
        <f>VLOOKUP(A863,'ESTADOS ESTUDIANTES'!B:L,2,0)</f>
        <v>GONZALEZ PARRA CAMILO ANDRES</v>
      </c>
      <c r="C863" s="19">
        <f>VLOOKUP(A863,'ESTADOS ESTUDIANTES'!B:L,3,0)</f>
        <v>395</v>
      </c>
      <c r="D863" s="66" t="str">
        <f>VLOOKUP(A863,'ESTADOS ESTUDIANTES'!B:L,4,0)</f>
        <v>MAE. EN CIENCIAS DE LA INF. Y LAS COMUNICACIONES ENFASIS EN GEOMATICA</v>
      </c>
      <c r="E863" s="19" t="str">
        <f>VLOOKUP(A863,'ESTADOS ESTUDIANTES'!B:L,5,0)</f>
        <v>E</v>
      </c>
      <c r="F863" s="18" t="str">
        <f>VLOOKUP(E863,Listas!B1:C1004,2,0)</f>
        <v>EGRESADO</v>
      </c>
      <c r="G863" s="19">
        <f>VLOOKUP(A863,'ESTADOS ESTUDIANTES'!B:L,7,0)</f>
        <v>2</v>
      </c>
      <c r="H863" s="19" t="str">
        <f>VLOOKUP(A863,'ESTADOS ESTUDIANTES'!B:L,8,0)</f>
        <v>cagonzalezp@correo.udistrital.edu.co</v>
      </c>
      <c r="I863" s="70" t="str">
        <f>VLOOKUP(A863,'ESTADOS ESTUDIANTES'!B:L,9,0)</f>
        <v>camiloandresgonzalezp@gmail.com</v>
      </c>
      <c r="J863" s="19" t="str">
        <f>VLOOKUP(A863,'ESTADOS ESTUDIANTES'!B:L,10,0)</f>
        <v>CC</v>
      </c>
      <c r="K863" s="19">
        <f>VLOOKUP(A863,'ESTADOS ESTUDIANTES'!B:L,11,0)</f>
        <v>1023910593</v>
      </c>
      <c r="L863" s="19">
        <v>3197224011</v>
      </c>
      <c r="M863" s="20"/>
      <c r="N863" s="22"/>
      <c r="O863" s="15"/>
      <c r="P863" s="15"/>
      <c r="Q863" s="15"/>
      <c r="R863" s="15"/>
      <c r="S863" s="15"/>
      <c r="T863" s="15"/>
      <c r="U863" s="15"/>
    </row>
    <row r="864" spans="1:21" ht="105">
      <c r="A864" s="17">
        <v>20171395010</v>
      </c>
      <c r="B864" s="19" t="str">
        <f>VLOOKUP(A864,'ESTADOS ESTUDIANTES'!B:L,2,0)</f>
        <v>NUÑEZ EGUIS EMILY DAYANA</v>
      </c>
      <c r="C864" s="19">
        <f>VLOOKUP(A864,'ESTADOS ESTUDIANTES'!B:L,3,0)</f>
        <v>395</v>
      </c>
      <c r="D864" s="66" t="str">
        <f>VLOOKUP(A864,'ESTADOS ESTUDIANTES'!B:L,4,0)</f>
        <v>MAE. EN CIENCIAS DE LA INF. Y LAS COMUNICACIONES ENFASIS EN GEOMATICA</v>
      </c>
      <c r="E864" s="19" t="str">
        <f>VLOOKUP(A864,'ESTADOS ESTUDIANTES'!B:L,5,0)</f>
        <v>E</v>
      </c>
      <c r="F864" s="18" t="str">
        <f>VLOOKUP(E864,Listas!B1:C1004,2,0)</f>
        <v>EGRESADO</v>
      </c>
      <c r="G864" s="19">
        <f>VLOOKUP(A864,'ESTADOS ESTUDIANTES'!B:L,7,0)</f>
        <v>2</v>
      </c>
      <c r="H864" s="19" t="str">
        <f>VLOOKUP(A864,'ESTADOS ESTUDIANTES'!B:L,8,0)</f>
        <v>ednuneze@correo.udistrital.edu.co</v>
      </c>
      <c r="I864" s="70" t="str">
        <f>VLOOKUP(A864,'ESTADOS ESTUDIANTES'!B:L,9,0)</f>
        <v>emilyda9@gmail.com</v>
      </c>
      <c r="J864" s="19" t="str">
        <f>VLOOKUP(A864,'ESTADOS ESTUDIANTES'!B:L,10,0)</f>
        <v>CC</v>
      </c>
      <c r="K864" s="19">
        <f>VLOOKUP(A864,'ESTADOS ESTUDIANTES'!B:L,11,0)</f>
        <v>1026267632</v>
      </c>
      <c r="L864" s="23"/>
      <c r="M864" s="20"/>
      <c r="N864" s="22"/>
      <c r="O864" s="15"/>
      <c r="P864" s="15"/>
      <c r="Q864" s="15"/>
      <c r="R864" s="15"/>
      <c r="S864" s="15"/>
      <c r="T864" s="15"/>
      <c r="U864" s="15"/>
    </row>
    <row r="865" spans="1:21" ht="105">
      <c r="A865" s="17">
        <v>20171395011</v>
      </c>
      <c r="B865" s="19" t="str">
        <f>VLOOKUP(A865,'ESTADOS ESTUDIANTES'!B:L,2,0)</f>
        <v>RODRIGUEZ LAMUS DIEGO FERNANDO</v>
      </c>
      <c r="C865" s="19">
        <f>VLOOKUP(A865,'ESTADOS ESTUDIANTES'!B:L,3,0)</f>
        <v>395</v>
      </c>
      <c r="D865" s="66" t="str">
        <f>VLOOKUP(A865,'ESTADOS ESTUDIANTES'!B:L,4,0)</f>
        <v>MAE. EN CIENCIAS DE LA INF. Y LAS COMUNICACIONES ENFASIS EN GEOMATICA</v>
      </c>
      <c r="E865" s="19" t="str">
        <f>VLOOKUP(A865,'ESTADOS ESTUDIANTES'!B:L,5,0)</f>
        <v>E</v>
      </c>
      <c r="F865" s="18" t="str">
        <f>VLOOKUP(E865,Listas!B1:C1004,2,0)</f>
        <v>EGRESADO</v>
      </c>
      <c r="G865" s="19">
        <f>VLOOKUP(A865,'ESTADOS ESTUDIANTES'!B:L,7,0)</f>
        <v>2</v>
      </c>
      <c r="H865" s="19" t="str">
        <f>VLOOKUP(A865,'ESTADOS ESTUDIANTES'!B:L,8,0)</f>
        <v>dfrodriguezl@correo.udistrital.edu.co</v>
      </c>
      <c r="I865" s="70" t="str">
        <f>VLOOKUP(A865,'ESTADOS ESTUDIANTES'!B:L,9,0)</f>
        <v>dfrodriguezl94@gmail.com</v>
      </c>
      <c r="J865" s="19" t="str">
        <f>VLOOKUP(A865,'ESTADOS ESTUDIANTES'!B:L,10,0)</f>
        <v>CC</v>
      </c>
      <c r="K865" s="19">
        <f>VLOOKUP(A865,'ESTADOS ESTUDIANTES'!B:L,11,0)</f>
        <v>1018469957</v>
      </c>
      <c r="L865" s="19">
        <v>3144237934</v>
      </c>
      <c r="M865" s="20"/>
      <c r="N865" s="22"/>
      <c r="O865" s="15"/>
      <c r="P865" s="15"/>
      <c r="Q865" s="15"/>
      <c r="R865" s="15"/>
      <c r="S865" s="15"/>
      <c r="T865" s="15"/>
      <c r="U865" s="15"/>
    </row>
    <row r="866" spans="1:21" ht="105">
      <c r="A866" s="17">
        <v>20171395012</v>
      </c>
      <c r="B866" s="19" t="str">
        <f>VLOOKUP(A866,'ESTADOS ESTUDIANTES'!B:L,2,0)</f>
        <v>ORDUÑA DIAZ JOHN ALEXANDER</v>
      </c>
      <c r="C866" s="19">
        <f>VLOOKUP(A866,'ESTADOS ESTUDIANTES'!B:L,3,0)</f>
        <v>395</v>
      </c>
      <c r="D866" s="66" t="str">
        <f>VLOOKUP(A866,'ESTADOS ESTUDIANTES'!B:L,4,0)</f>
        <v>MAE. EN CIENCIAS DE LA INF. Y LAS COMUNICACIONES ENFASIS EN GEOMATICA</v>
      </c>
      <c r="E866" s="19" t="str">
        <f>VLOOKUP(A866,'ESTADOS ESTUDIANTES'!B:L,5,0)</f>
        <v>X</v>
      </c>
      <c r="F866" s="18" t="str">
        <f>VLOOKUP(E866,Listas!B1:C1004,2,0)</f>
        <v>EXCLUIDO</v>
      </c>
      <c r="G866" s="19" t="str">
        <f>VLOOKUP(A866,'ESTADOS ESTUDIANTES'!B:L,7,0)</f>
        <v>NO REGISTRA</v>
      </c>
      <c r="H866" s="19" t="str">
        <f>VLOOKUP(A866,'ESTADOS ESTUDIANTES'!B:L,8,0)</f>
        <v>jaordunad@correo.udistrital.edu.co</v>
      </c>
      <c r="I866" s="70" t="str">
        <f>VLOOKUP(A866,'ESTADOS ESTUDIANTES'!B:L,9,0)</f>
        <v>jalexorduna@gmail.com</v>
      </c>
      <c r="J866" s="19" t="str">
        <f>VLOOKUP(A866,'ESTADOS ESTUDIANTES'!B:L,10,0)</f>
        <v>CC</v>
      </c>
      <c r="K866" s="19">
        <f>VLOOKUP(A866,'ESTADOS ESTUDIANTES'!B:L,11,0)</f>
        <v>80778345</v>
      </c>
      <c r="L866" s="19">
        <v>3197224011</v>
      </c>
      <c r="M866" s="20"/>
      <c r="N866" s="22"/>
      <c r="O866" s="15"/>
      <c r="P866" s="15"/>
      <c r="Q866" s="15"/>
      <c r="R866" s="15"/>
      <c r="S866" s="15"/>
      <c r="T866" s="15"/>
      <c r="U866" s="15"/>
    </row>
    <row r="867" spans="1:21" ht="105">
      <c r="A867" s="17">
        <v>20171395013</v>
      </c>
      <c r="B867" s="19" t="str">
        <f>VLOOKUP(A867,'ESTADOS ESTUDIANTES'!B:L,2,0)</f>
        <v>DEAZA CASTILLO DIEGO ALBERTO</v>
      </c>
      <c r="C867" s="19">
        <f>VLOOKUP(A867,'ESTADOS ESTUDIANTES'!B:L,3,0)</f>
        <v>395</v>
      </c>
      <c r="D867" s="66" t="str">
        <f>VLOOKUP(A867,'ESTADOS ESTUDIANTES'!B:L,4,0)</f>
        <v>MAE. EN CIENCIAS DE LA INF. Y LAS COMUNICACIONES ENFASIS EN GEOMATICA</v>
      </c>
      <c r="E867" s="19" t="str">
        <f>VLOOKUP(A867,'ESTADOS ESTUDIANTES'!B:L,5,0)</f>
        <v>X</v>
      </c>
      <c r="F867" s="18" t="str">
        <f>VLOOKUP(E867,Listas!B1:C1004,2,0)</f>
        <v>EXCLUIDO</v>
      </c>
      <c r="G867" s="19" t="str">
        <f>VLOOKUP(A867,'ESTADOS ESTUDIANTES'!B:L,7,0)</f>
        <v>NO REGISTRA</v>
      </c>
      <c r="H867" s="19" t="str">
        <f>VLOOKUP(A867,'ESTADOS ESTUDIANTES'!B:L,8,0)</f>
        <v>dadeazac@correo.udistrital.edu.co</v>
      </c>
      <c r="I867" s="70" t="str">
        <f>VLOOKUP(A867,'ESTADOS ESTUDIANTES'!B:L,9,0)</f>
        <v>dadeaza@gmail.com</v>
      </c>
      <c r="J867" s="19" t="str">
        <f>VLOOKUP(A867,'ESTADOS ESTUDIANTES'!B:L,10,0)</f>
        <v>CC</v>
      </c>
      <c r="K867" s="19">
        <f>VLOOKUP(A867,'ESTADOS ESTUDIANTES'!B:L,11,0)</f>
        <v>79708519</v>
      </c>
      <c r="L867" s="19">
        <v>3155941319</v>
      </c>
      <c r="M867" s="20"/>
      <c r="N867" s="22"/>
      <c r="O867" s="15"/>
      <c r="P867" s="15"/>
      <c r="Q867" s="15"/>
      <c r="R867" s="15"/>
      <c r="S867" s="15"/>
      <c r="T867" s="15"/>
      <c r="U867" s="15"/>
    </row>
    <row r="868" spans="1:21" ht="90">
      <c r="A868" s="17">
        <v>20171495001</v>
      </c>
      <c r="B868" s="19" t="str">
        <f>VLOOKUP(A868,'ESTADOS ESTUDIANTES'!B:L,2,0)</f>
        <v>AMEZQUITA TOVAR JUAN CARLOS</v>
      </c>
      <c r="C868" s="19">
        <f>VLOOKUP(A868,'ESTADOS ESTUDIANTES'!B:L,3,0)</f>
        <v>495</v>
      </c>
      <c r="D868" s="66" t="str">
        <f>VLOOKUP(A868,'ESTADOS ESTUDIANTES'!B:L,4,0)</f>
        <v>MAE. EN CIENCIAS DE LA INF. Y LAS COMUNICACIONES ENFASIS EN ING. SOFT</v>
      </c>
      <c r="E868" s="19" t="str">
        <f>VLOOKUP(A868,'ESTADOS ESTUDIANTES'!B:L,5,0)</f>
        <v>E</v>
      </c>
      <c r="F868" s="18" t="str">
        <f>VLOOKUP(E868,Listas!B1:C1004,2,0)</f>
        <v>EGRESADO</v>
      </c>
      <c r="G868" s="19">
        <f>VLOOKUP(A868,'ESTADOS ESTUDIANTES'!B:L,7,0)</f>
        <v>2</v>
      </c>
      <c r="H868" s="19" t="str">
        <f>VLOOKUP(A868,'ESTADOS ESTUDIANTES'!B:L,8,0)</f>
        <v>jucamezquitat@correo.udistrital.edu.co</v>
      </c>
      <c r="I868" s="70" t="str">
        <f>VLOOKUP(A868,'ESTADOS ESTUDIANTES'!B:L,9,0)</f>
        <v>t.amezquita.juancarlos@gmail.com</v>
      </c>
      <c r="J868" s="19" t="str">
        <f>VLOOKUP(A868,'ESTADOS ESTUDIANTES'!B:L,10,0)</f>
        <v>CC</v>
      </c>
      <c r="K868" s="19">
        <f>VLOOKUP(A868,'ESTADOS ESTUDIANTES'!B:L,11,0)</f>
        <v>80124664</v>
      </c>
      <c r="L868" s="19">
        <v>3132117771</v>
      </c>
      <c r="M868" s="20">
        <v>29874</v>
      </c>
      <c r="N868" s="22"/>
      <c r="O868" s="15"/>
      <c r="P868" s="15"/>
      <c r="Q868" s="15"/>
      <c r="R868" s="15"/>
      <c r="S868" s="15"/>
      <c r="T868" s="15"/>
      <c r="U868" s="15"/>
    </row>
    <row r="869" spans="1:21" ht="90">
      <c r="A869" s="17">
        <v>20171495003</v>
      </c>
      <c r="B869" s="19" t="str">
        <f>VLOOKUP(A869,'ESTADOS ESTUDIANTES'!B:L,2,0)</f>
        <v>ARISMENDI ESPINOSA CARLOS ARTURO</v>
      </c>
      <c r="C869" s="19">
        <f>VLOOKUP(A869,'ESTADOS ESTUDIANTES'!B:L,3,0)</f>
        <v>495</v>
      </c>
      <c r="D869" s="66" t="str">
        <f>VLOOKUP(A869,'ESTADOS ESTUDIANTES'!B:L,4,0)</f>
        <v>MAE. EN CIENCIAS DE LA INF. Y LAS COMUNICACIONES ENFASIS EN ING. SOFT</v>
      </c>
      <c r="E869" s="19" t="str">
        <f>VLOOKUP(A869,'ESTADOS ESTUDIANTES'!B:L,5,0)</f>
        <v>X</v>
      </c>
      <c r="F869" s="18" t="str">
        <f>VLOOKUP(E869,Listas!B1:C1004,2,0)</f>
        <v>EXCLUIDO</v>
      </c>
      <c r="G869" s="19" t="str">
        <f>VLOOKUP(A869,'ESTADOS ESTUDIANTES'!B:L,7,0)</f>
        <v>NO REGISTRA</v>
      </c>
      <c r="H869" s="19" t="str">
        <f>VLOOKUP(A869,'ESTADOS ESTUDIANTES'!B:L,8,0)</f>
        <v>caarismendie@correo.udistrital.edu.co</v>
      </c>
      <c r="I869" s="70" t="str">
        <f>VLOOKUP(A869,'ESTADOS ESTUDIANTES'!B:L,9,0)</f>
        <v>r2d2.arismendi@gmail.com</v>
      </c>
      <c r="J869" s="19" t="str">
        <f>VLOOKUP(A869,'ESTADOS ESTUDIANTES'!B:L,10,0)</f>
        <v>CC</v>
      </c>
      <c r="K869" s="19">
        <f>VLOOKUP(A869,'ESTADOS ESTUDIANTES'!B:L,11,0)</f>
        <v>80198407</v>
      </c>
      <c r="L869" s="23"/>
      <c r="M869" s="20"/>
      <c r="N869" s="22"/>
      <c r="O869" s="15"/>
      <c r="P869" s="15"/>
      <c r="Q869" s="15"/>
      <c r="R869" s="15"/>
      <c r="S869" s="15"/>
      <c r="T869" s="15"/>
      <c r="U869" s="15"/>
    </row>
    <row r="870" spans="1:21" ht="90">
      <c r="A870" s="17">
        <v>20171495004</v>
      </c>
      <c r="B870" s="19" t="str">
        <f>VLOOKUP(A870,'ESTADOS ESTUDIANTES'!B:L,2,0)</f>
        <v>BECERRA RUIZ JEFFER IVAN</v>
      </c>
      <c r="C870" s="19">
        <f>VLOOKUP(A870,'ESTADOS ESTUDIANTES'!B:L,3,0)</f>
        <v>495</v>
      </c>
      <c r="D870" s="66" t="str">
        <f>VLOOKUP(A870,'ESTADOS ESTUDIANTES'!B:L,4,0)</f>
        <v>MAE. EN CIENCIAS DE LA INF. Y LAS COMUNICACIONES ENFASIS EN ING. SOFT</v>
      </c>
      <c r="E870" s="19" t="str">
        <f>VLOOKUP(A870,'ESTADOS ESTUDIANTES'!B:L,5,0)</f>
        <v>N</v>
      </c>
      <c r="F870" s="18" t="str">
        <f>VLOOKUP(E870,Listas!B1:C1004,2,0)</f>
        <v>ERROR DE CODIGO</v>
      </c>
      <c r="G870" s="19" t="str">
        <f>VLOOKUP(A870,'ESTADOS ESTUDIANTES'!B:L,7,0)</f>
        <v>NO REGISTRA</v>
      </c>
      <c r="H870" s="19" t="str">
        <f>VLOOKUP(A870,'ESTADOS ESTUDIANTES'!B:L,8,0)</f>
        <v>jibecerrar@udistrital.edu.co</v>
      </c>
      <c r="I870" s="70" t="str">
        <f>VLOOKUP(A870,'ESTADOS ESTUDIANTES'!B:L,9,0)</f>
        <v>jeffer.becerra@uptc.edu.co</v>
      </c>
      <c r="J870" s="19" t="str">
        <f>VLOOKUP(A870,'ESTADOS ESTUDIANTES'!B:L,10,0)</f>
        <v>CC</v>
      </c>
      <c r="K870" s="19">
        <f>VLOOKUP(A870,'ESTADOS ESTUDIANTES'!B:L,11,0)</f>
        <v>1049627823</v>
      </c>
      <c r="L870" s="19">
        <v>3203320029</v>
      </c>
      <c r="M870" s="18" t="s">
        <v>16</v>
      </c>
      <c r="N870" s="22"/>
      <c r="O870" s="15"/>
      <c r="P870" s="15"/>
      <c r="Q870" s="15"/>
      <c r="R870" s="15"/>
      <c r="S870" s="15"/>
      <c r="T870" s="15"/>
      <c r="U870" s="15"/>
    </row>
    <row r="871" spans="1:21" ht="90">
      <c r="A871" s="17">
        <v>20171495005</v>
      </c>
      <c r="B871" s="19" t="str">
        <f>VLOOKUP(A871,'ESTADOS ESTUDIANTES'!B:L,2,0)</f>
        <v>CAPERA NOMELIN EINER FABIAN</v>
      </c>
      <c r="C871" s="19">
        <f>VLOOKUP(A871,'ESTADOS ESTUDIANTES'!B:L,3,0)</f>
        <v>495</v>
      </c>
      <c r="D871" s="66" t="str">
        <f>VLOOKUP(A871,'ESTADOS ESTUDIANTES'!B:L,4,0)</f>
        <v>MAE. EN CIENCIAS DE LA INF. Y LAS COMUNICACIONES ENFASIS EN ING. SOFT</v>
      </c>
      <c r="E871" s="19" t="str">
        <f>VLOOKUP(A871,'ESTADOS ESTUDIANTES'!B:L,5,0)</f>
        <v>X</v>
      </c>
      <c r="F871" s="18" t="str">
        <f>VLOOKUP(E871,Listas!B1:C1004,2,0)</f>
        <v>EXCLUIDO</v>
      </c>
      <c r="G871" s="19" t="str">
        <f>VLOOKUP(A871,'ESTADOS ESTUDIANTES'!B:L,7,0)</f>
        <v>NO REGISTRA</v>
      </c>
      <c r="H871" s="19" t="str">
        <f>VLOOKUP(A871,'ESTADOS ESTUDIANTES'!B:L,8,0)</f>
        <v>efcaperan@correo.udistrital.edu.co</v>
      </c>
      <c r="I871" s="70" t="str">
        <f>VLOOKUP(A871,'ESTADOS ESTUDIANTES'!B:L,9,0)</f>
        <v>einer58@gmail.com</v>
      </c>
      <c r="J871" s="19" t="str">
        <f>VLOOKUP(A871,'ESTADOS ESTUDIANTES'!B:L,10,0)</f>
        <v>CC</v>
      </c>
      <c r="K871" s="19">
        <f>VLOOKUP(A871,'ESTADOS ESTUDIANTES'!B:L,11,0)</f>
        <v>1030558261</v>
      </c>
      <c r="L871" s="19">
        <v>3013159301</v>
      </c>
      <c r="M871" s="20"/>
      <c r="N871" s="22"/>
      <c r="O871" s="15"/>
      <c r="P871" s="15"/>
      <c r="Q871" s="15"/>
      <c r="R871" s="15"/>
      <c r="S871" s="15"/>
      <c r="T871" s="15"/>
      <c r="U871" s="15"/>
    </row>
    <row r="872" spans="1:21" ht="90">
      <c r="A872" s="17">
        <v>20171495006</v>
      </c>
      <c r="B872" s="19" t="str">
        <f>VLOOKUP(A872,'ESTADOS ESTUDIANTES'!B:L,2,0)</f>
        <v>CARDENAS DIAZ JHON ANDERSON</v>
      </c>
      <c r="C872" s="19">
        <f>VLOOKUP(A872,'ESTADOS ESTUDIANTES'!B:L,3,0)</f>
        <v>495</v>
      </c>
      <c r="D872" s="66" t="str">
        <f>VLOOKUP(A872,'ESTADOS ESTUDIANTES'!B:L,4,0)</f>
        <v>MAE. EN CIENCIAS DE LA INF. Y LAS COMUNICACIONES ENFASIS EN ING. SOFT</v>
      </c>
      <c r="E872" s="19" t="str">
        <f>VLOOKUP(A872,'ESTADOS ESTUDIANTES'!B:L,5,0)</f>
        <v>X</v>
      </c>
      <c r="F872" s="18" t="str">
        <f>VLOOKUP(E872,Listas!B1:C1004,2,0)</f>
        <v>EXCLUIDO</v>
      </c>
      <c r="G872" s="19">
        <f>VLOOKUP(A872,'ESTADOS ESTUDIANTES'!B:L,7,0)</f>
        <v>3</v>
      </c>
      <c r="H872" s="19" t="str">
        <f>VLOOKUP(A872,'ESTADOS ESTUDIANTES'!B:L,8,0)</f>
        <v>jacardenasd@correo.udistrital.edu.co</v>
      </c>
      <c r="I872" s="70" t="str">
        <f>VLOOKUP(A872,'ESTADOS ESTUDIANTES'!B:L,9,0)</f>
        <v>Jhonderson2007@gmail.com</v>
      </c>
      <c r="J872" s="19" t="str">
        <f>VLOOKUP(A872,'ESTADOS ESTUDIANTES'!B:L,10,0)</f>
        <v>CC</v>
      </c>
      <c r="K872" s="19">
        <f>VLOOKUP(A872,'ESTADOS ESTUDIANTES'!B:L,11,0)</f>
        <v>1144050548</v>
      </c>
      <c r="L872" s="19">
        <v>3173788374</v>
      </c>
      <c r="M872" s="20"/>
      <c r="N872" s="22"/>
      <c r="O872" s="15"/>
      <c r="P872" s="15"/>
      <c r="Q872" s="15"/>
      <c r="R872" s="15"/>
      <c r="S872" s="15"/>
      <c r="T872" s="15"/>
      <c r="U872" s="15"/>
    </row>
    <row r="873" spans="1:21" ht="90">
      <c r="A873" s="17">
        <v>20171495008</v>
      </c>
      <c r="B873" s="19" t="str">
        <f>VLOOKUP(A873,'ESTADOS ESTUDIANTES'!B:L,2,0)</f>
        <v>CASALLAS VELOZA ANDRES</v>
      </c>
      <c r="C873" s="19">
        <f>VLOOKUP(A873,'ESTADOS ESTUDIANTES'!B:L,3,0)</f>
        <v>495</v>
      </c>
      <c r="D873" s="66" t="str">
        <f>VLOOKUP(A873,'ESTADOS ESTUDIANTES'!B:L,4,0)</f>
        <v>MAE. EN CIENCIAS DE LA INF. Y LAS COMUNICACIONES ENFASIS EN ING. SOFT</v>
      </c>
      <c r="E873" s="19" t="str">
        <f>VLOOKUP(A873,'ESTADOS ESTUDIANTES'!B:L,5,0)</f>
        <v>N</v>
      </c>
      <c r="F873" s="18" t="str">
        <f>VLOOKUP(E873,Listas!B1:C1004,2,0)</f>
        <v>ERROR DE CODIGO</v>
      </c>
      <c r="G873" s="19" t="str">
        <f>VLOOKUP(A873,'ESTADOS ESTUDIANTES'!B:L,7,0)</f>
        <v>NO REGISTRA</v>
      </c>
      <c r="H873" s="19" t="str">
        <f>VLOOKUP(A873,'ESTADOS ESTUDIANTES'!B:L,8,0)</f>
        <v>acasallasv@correo.udistrital.edu.co</v>
      </c>
      <c r="I873" s="70" t="str">
        <f>VLOOKUP(A873,'ESTADOS ESTUDIANTES'!B:L,9,0)</f>
        <v>andres.cv07@gmail.com</v>
      </c>
      <c r="J873" s="19" t="str">
        <f>VLOOKUP(A873,'ESTADOS ESTUDIANTES'!B:L,10,0)</f>
        <v>CC</v>
      </c>
      <c r="K873" s="19">
        <f>VLOOKUP(A873,'ESTADOS ESTUDIANTES'!B:L,11,0)</f>
        <v>1013619683</v>
      </c>
      <c r="L873" s="19">
        <v>3182218040</v>
      </c>
      <c r="M873" s="20"/>
      <c r="N873" s="22"/>
      <c r="O873" s="15"/>
      <c r="P873" s="15"/>
      <c r="Q873" s="15"/>
      <c r="R873" s="15"/>
      <c r="S873" s="15"/>
      <c r="T873" s="15"/>
      <c r="U873" s="15"/>
    </row>
    <row r="874" spans="1:21" ht="90">
      <c r="A874" s="17">
        <v>20171495009</v>
      </c>
      <c r="B874" s="19" t="str">
        <f>VLOOKUP(A874,'ESTADOS ESTUDIANTES'!B:L,2,0)</f>
        <v>COBOS PRADA ANDRES HAMIR</v>
      </c>
      <c r="C874" s="19">
        <f>VLOOKUP(A874,'ESTADOS ESTUDIANTES'!B:L,3,0)</f>
        <v>495</v>
      </c>
      <c r="D874" s="66" t="str">
        <f>VLOOKUP(A874,'ESTADOS ESTUDIANTES'!B:L,4,0)</f>
        <v>MAE. EN CIENCIAS DE LA INF. Y LAS COMUNICACIONES ENFASIS EN ING. SOFT</v>
      </c>
      <c r="E874" s="19" t="str">
        <f>VLOOKUP(A874,'ESTADOS ESTUDIANTES'!B:L,5,0)</f>
        <v>X</v>
      </c>
      <c r="F874" s="18" t="str">
        <f>VLOOKUP(E874,Listas!B1:C1004,2,0)</f>
        <v>EXCLUIDO</v>
      </c>
      <c r="G874" s="19" t="str">
        <f>VLOOKUP(A874,'ESTADOS ESTUDIANTES'!B:L,7,0)</f>
        <v>NO REGISTRA</v>
      </c>
      <c r="H874" s="19" t="str">
        <f>VLOOKUP(A874,'ESTADOS ESTUDIANTES'!B:L,8,0)</f>
        <v>ahcobosp@correo.udistrital.edu.co</v>
      </c>
      <c r="I874" s="70" t="str">
        <f>VLOOKUP(A874,'ESTADOS ESTUDIANTES'!B:L,9,0)</f>
        <v>Andresc1125@gmail.com</v>
      </c>
      <c r="J874" s="19" t="str">
        <f>VLOOKUP(A874,'ESTADOS ESTUDIANTES'!B:L,10,0)</f>
        <v>CC</v>
      </c>
      <c r="K874" s="19">
        <f>VLOOKUP(A874,'ESTADOS ESTUDIANTES'!B:L,11,0)</f>
        <v>1026276742</v>
      </c>
      <c r="L874" s="19">
        <v>3044601690</v>
      </c>
      <c r="M874" s="20"/>
      <c r="N874" s="22"/>
      <c r="O874" s="15"/>
      <c r="P874" s="15"/>
      <c r="Q874" s="15"/>
      <c r="R874" s="15"/>
      <c r="S874" s="15"/>
      <c r="T874" s="15"/>
      <c r="U874" s="15"/>
    </row>
    <row r="875" spans="1:21" ht="90">
      <c r="A875" s="17">
        <v>20171495010</v>
      </c>
      <c r="B875" s="19" t="str">
        <f>VLOOKUP(A875,'ESTADOS ESTUDIANTES'!B:L,2,0)</f>
        <v>GALINDO VARGAS ANDRES JAVIER</v>
      </c>
      <c r="C875" s="19">
        <f>VLOOKUP(A875,'ESTADOS ESTUDIANTES'!B:L,3,0)</f>
        <v>495</v>
      </c>
      <c r="D875" s="66" t="str">
        <f>VLOOKUP(A875,'ESTADOS ESTUDIANTES'!B:L,4,0)</f>
        <v>MAE. EN CIENCIAS DE LA INF. Y LAS COMUNICACIONES ENFASIS EN ING. SOFT</v>
      </c>
      <c r="E875" s="19" t="str">
        <f>VLOOKUP(A875,'ESTADOS ESTUDIANTES'!B:L,5,0)</f>
        <v>X</v>
      </c>
      <c r="F875" s="18" t="str">
        <f>VLOOKUP(E875,Listas!B1:C1004,2,0)</f>
        <v>EXCLUIDO</v>
      </c>
      <c r="G875" s="19" t="str">
        <f>VLOOKUP(A875,'ESTADOS ESTUDIANTES'!B:L,7,0)</f>
        <v>NO REGISTRA</v>
      </c>
      <c r="H875" s="19" t="str">
        <f>VLOOKUP(A875,'ESTADOS ESTUDIANTES'!B:L,8,0)</f>
        <v>ajgalindov@correo.udistrital.edu.co</v>
      </c>
      <c r="I875" s="70" t="str">
        <f>VLOOKUP(A875,'ESTADOS ESTUDIANTES'!B:L,9,0)</f>
        <v>Agalinvar9@gmail.com</v>
      </c>
      <c r="J875" s="19" t="str">
        <f>VLOOKUP(A875,'ESTADOS ESTUDIANTES'!B:L,10,0)</f>
        <v>CC</v>
      </c>
      <c r="K875" s="19">
        <f>VLOOKUP(A875,'ESTADOS ESTUDIANTES'!B:L,11,0)</f>
        <v>1014184735</v>
      </c>
      <c r="L875" s="19">
        <v>3212941576</v>
      </c>
      <c r="M875" s="20"/>
      <c r="N875" s="22"/>
      <c r="O875" s="15"/>
      <c r="P875" s="15"/>
      <c r="Q875" s="15"/>
      <c r="R875" s="15"/>
      <c r="S875" s="15"/>
      <c r="T875" s="15"/>
      <c r="U875" s="15"/>
    </row>
    <row r="876" spans="1:21" ht="90">
      <c r="A876" s="17">
        <v>20171495011</v>
      </c>
      <c r="B876" s="19" t="str">
        <f>VLOOKUP(A876,'ESTADOS ESTUDIANTES'!B:L,2,0)</f>
        <v>GOMEZ RODRIGUEZ JOSE IGNACIO</v>
      </c>
      <c r="C876" s="19">
        <f>VLOOKUP(A876,'ESTADOS ESTUDIANTES'!B:L,3,0)</f>
        <v>495</v>
      </c>
      <c r="D876" s="66" t="str">
        <f>VLOOKUP(A876,'ESTADOS ESTUDIANTES'!B:L,4,0)</f>
        <v>MAE. EN CIENCIAS DE LA INF. Y LAS COMUNICACIONES ENFASIS EN ING. SOFT</v>
      </c>
      <c r="E876" s="19" t="str">
        <f>VLOOKUP(A876,'ESTADOS ESTUDIANTES'!B:L,5,0)</f>
        <v>E</v>
      </c>
      <c r="F876" s="18" t="str">
        <f>VLOOKUP(E876,Listas!B1:C1004,2,0)</f>
        <v>EGRESADO</v>
      </c>
      <c r="G876" s="19">
        <f>VLOOKUP(A876,'ESTADOS ESTUDIANTES'!B:L,7,0)</f>
        <v>1</v>
      </c>
      <c r="H876" s="19" t="str">
        <f>VLOOKUP(A876,'ESTADOS ESTUDIANTES'!B:L,8,0)</f>
        <v>jigomezr@correo.udistrital.edu.co</v>
      </c>
      <c r="I876" s="70" t="str">
        <f>VLOOKUP(A876,'ESTADOS ESTUDIANTES'!B:L,9,0)</f>
        <v>jignaciogomezr@gmail.com</v>
      </c>
      <c r="J876" s="19" t="str">
        <f>VLOOKUP(A876,'ESTADOS ESTUDIANTES'!B:L,10,0)</f>
        <v>CC</v>
      </c>
      <c r="K876" s="19">
        <f>VLOOKUP(A876,'ESTADOS ESTUDIANTES'!B:L,11,0)</f>
        <v>79221631</v>
      </c>
      <c r="L876" s="19">
        <v>3007075686</v>
      </c>
      <c r="M876" s="20"/>
      <c r="N876" s="22"/>
      <c r="O876" s="15"/>
      <c r="P876" s="15"/>
      <c r="Q876" s="15"/>
      <c r="R876" s="15"/>
      <c r="S876" s="15"/>
      <c r="T876" s="15"/>
      <c r="U876" s="15"/>
    </row>
    <row r="877" spans="1:21" ht="90">
      <c r="A877" s="17">
        <v>20171495012</v>
      </c>
      <c r="B877" s="19" t="str">
        <f>VLOOKUP(A877,'ESTADOS ESTUDIANTES'!B:L,2,0)</f>
        <v>GONZALEZ ESCOBAR LEONARDO</v>
      </c>
      <c r="C877" s="19">
        <f>VLOOKUP(A877,'ESTADOS ESTUDIANTES'!B:L,3,0)</f>
        <v>495</v>
      </c>
      <c r="D877" s="66" t="str">
        <f>VLOOKUP(A877,'ESTADOS ESTUDIANTES'!B:L,4,0)</f>
        <v>MAE. EN CIENCIAS DE LA INF. Y LAS COMUNICACIONES ENFASIS EN ING. SOFT</v>
      </c>
      <c r="E877" s="19" t="str">
        <f>VLOOKUP(A877,'ESTADOS ESTUDIANTES'!B:L,5,0)</f>
        <v>X</v>
      </c>
      <c r="F877" s="18" t="str">
        <f>VLOOKUP(E877,Listas!B1:C1004,2,0)</f>
        <v>EXCLUIDO</v>
      </c>
      <c r="G877" s="19">
        <f>VLOOKUP(A877,'ESTADOS ESTUDIANTES'!B:L,7,0)</f>
        <v>4</v>
      </c>
      <c r="H877" s="19" t="str">
        <f>VLOOKUP(A877,'ESTADOS ESTUDIANTES'!B:L,8,0)</f>
        <v>lgonzaleze@correo.udistrital.edu.co</v>
      </c>
      <c r="I877" s="70" t="str">
        <f>VLOOKUP(A877,'ESTADOS ESTUDIANTES'!B:L,9,0)</f>
        <v>leonardo.gonzalez.escobar@gmail.com</v>
      </c>
      <c r="J877" s="19" t="str">
        <f>VLOOKUP(A877,'ESTADOS ESTUDIANTES'!B:L,10,0)</f>
        <v>CC</v>
      </c>
      <c r="K877" s="19">
        <f>VLOOKUP(A877,'ESTADOS ESTUDIANTES'!B:L,11,0)</f>
        <v>86083193</v>
      </c>
      <c r="L877" s="19">
        <v>3213734646</v>
      </c>
      <c r="M877" s="20"/>
      <c r="N877" s="22"/>
      <c r="O877" s="15"/>
      <c r="P877" s="15"/>
      <c r="Q877" s="15"/>
      <c r="R877" s="15"/>
      <c r="S877" s="15"/>
      <c r="T877" s="15"/>
      <c r="U877" s="15"/>
    </row>
    <row r="878" spans="1:21" ht="90">
      <c r="A878" s="17">
        <v>20171495013</v>
      </c>
      <c r="B878" s="19" t="str">
        <f>VLOOKUP(A878,'ESTADOS ESTUDIANTES'!B:L,2,0)</f>
        <v>MORALES COTES IVAN ALBERTO</v>
      </c>
      <c r="C878" s="19">
        <f>VLOOKUP(A878,'ESTADOS ESTUDIANTES'!B:L,3,0)</f>
        <v>495</v>
      </c>
      <c r="D878" s="66" t="str">
        <f>VLOOKUP(A878,'ESTADOS ESTUDIANTES'!B:L,4,0)</f>
        <v>MAE. EN CIENCIAS DE LA INF. Y LAS COMUNICACIONES ENFASIS EN ING. SOFT</v>
      </c>
      <c r="E878" s="19" t="str">
        <f>VLOOKUP(A878,'ESTADOS ESTUDIANTES'!B:L,5,0)</f>
        <v>X</v>
      </c>
      <c r="F878" s="18" t="str">
        <f>VLOOKUP(E878,Listas!B1:C1004,2,0)</f>
        <v>EXCLUIDO</v>
      </c>
      <c r="G878" s="19">
        <f>VLOOKUP(A878,'ESTADOS ESTUDIANTES'!B:L,7,0)</f>
        <v>4</v>
      </c>
      <c r="H878" s="19" t="str">
        <f>VLOOKUP(A878,'ESTADOS ESTUDIANTES'!B:L,8,0)</f>
        <v>iamoralesc@correo.udistrital.edu.co</v>
      </c>
      <c r="I878" s="70" t="str">
        <f>VLOOKUP(A878,'ESTADOS ESTUDIANTES'!B:L,9,0)</f>
        <v>ivanmoralescotes@gmail.com</v>
      </c>
      <c r="J878" s="19" t="str">
        <f>VLOOKUP(A878,'ESTADOS ESTUDIANTES'!B:L,10,0)</f>
        <v>CC</v>
      </c>
      <c r="K878" s="19">
        <f>VLOOKUP(A878,'ESTADOS ESTUDIANTES'!B:L,11,0)</f>
        <v>72343919</v>
      </c>
      <c r="L878" s="19">
        <v>3006291217</v>
      </c>
      <c r="M878" s="20">
        <v>31058</v>
      </c>
      <c r="N878" s="22"/>
      <c r="O878" s="15"/>
      <c r="P878" s="15"/>
      <c r="Q878" s="15"/>
      <c r="R878" s="15"/>
      <c r="S878" s="15"/>
      <c r="T878" s="15"/>
      <c r="U878" s="15"/>
    </row>
    <row r="879" spans="1:21" ht="90">
      <c r="A879" s="17">
        <v>20171495014</v>
      </c>
      <c r="B879" s="19" t="str">
        <f>VLOOKUP(A879,'ESTADOS ESTUDIANTES'!B:L,2,0)</f>
        <v>NARIÑO NIÑO CRISTIAN</v>
      </c>
      <c r="C879" s="19">
        <f>VLOOKUP(A879,'ESTADOS ESTUDIANTES'!B:L,3,0)</f>
        <v>495</v>
      </c>
      <c r="D879" s="66" t="str">
        <f>VLOOKUP(A879,'ESTADOS ESTUDIANTES'!B:L,4,0)</f>
        <v>MAE. EN CIENCIAS DE LA INF. Y LAS COMUNICACIONES ENFASIS EN ING. SOFT</v>
      </c>
      <c r="E879" s="19" t="str">
        <f>VLOOKUP(A879,'ESTADOS ESTUDIANTES'!B:L,5,0)</f>
        <v>E</v>
      </c>
      <c r="F879" s="18" t="str">
        <f>VLOOKUP(E879,Listas!B1:C1004,2,0)</f>
        <v>EGRESADO</v>
      </c>
      <c r="G879" s="19">
        <f>VLOOKUP(A879,'ESTADOS ESTUDIANTES'!B:L,7,0)</f>
        <v>1</v>
      </c>
      <c r="H879" s="19" t="str">
        <f>VLOOKUP(A879,'ESTADOS ESTUDIANTES'!B:L,8,0)</f>
        <v>cnarinon@udistrital.edu.co</v>
      </c>
      <c r="I879" s="70" t="str">
        <f>VLOOKUP(A879,'ESTADOS ESTUDIANTES'!B:L,9,0)</f>
        <v>cristian.narino@credibanco.com</v>
      </c>
      <c r="J879" s="19" t="str">
        <f>VLOOKUP(A879,'ESTADOS ESTUDIANTES'!B:L,10,0)</f>
        <v>CC</v>
      </c>
      <c r="K879" s="19">
        <f>VLOOKUP(A879,'ESTADOS ESTUDIANTES'!B:L,11,0)</f>
        <v>79909021</v>
      </c>
      <c r="L879" s="23"/>
      <c r="M879" s="20">
        <v>28200</v>
      </c>
      <c r="N879" s="22"/>
      <c r="O879" s="15"/>
      <c r="P879" s="15"/>
      <c r="Q879" s="15"/>
      <c r="R879" s="15"/>
      <c r="S879" s="15"/>
      <c r="T879" s="15"/>
      <c r="U879" s="15"/>
    </row>
    <row r="880" spans="1:21" ht="90">
      <c r="A880" s="17">
        <v>20171495015</v>
      </c>
      <c r="B880" s="19" t="str">
        <f>VLOOKUP(A880,'ESTADOS ESTUDIANTES'!B:L,2,0)</f>
        <v>PEÑA MENESES JOSE DANIEL</v>
      </c>
      <c r="C880" s="19">
        <f>VLOOKUP(A880,'ESTADOS ESTUDIANTES'!B:L,3,0)</f>
        <v>495</v>
      </c>
      <c r="D880" s="66" t="str">
        <f>VLOOKUP(A880,'ESTADOS ESTUDIANTES'!B:L,4,0)</f>
        <v>MAE. EN CIENCIAS DE LA INF. Y LAS COMUNICACIONES ENFASIS EN ING. SOFT</v>
      </c>
      <c r="E880" s="19" t="str">
        <f>VLOOKUP(A880,'ESTADOS ESTUDIANTES'!B:L,5,0)</f>
        <v>E</v>
      </c>
      <c r="F880" s="18" t="str">
        <f>VLOOKUP(E880,Listas!B1:C1004,2,0)</f>
        <v>EGRESADO</v>
      </c>
      <c r="G880" s="19">
        <f>VLOOKUP(A880,'ESTADOS ESTUDIANTES'!B:L,7,0)</f>
        <v>4</v>
      </c>
      <c r="H880" s="19" t="str">
        <f>VLOOKUP(A880,'ESTADOS ESTUDIANTES'!B:L,8,0)</f>
        <v>jdpenam@udistrital.edu.co</v>
      </c>
      <c r="I880" s="70" t="str">
        <f>VLOOKUP(A880,'ESTADOS ESTUDIANTES'!B:L,9,0)</f>
        <v>temp2010@msn.com</v>
      </c>
      <c r="J880" s="19" t="str">
        <f>VLOOKUP(A880,'ESTADOS ESTUDIANTES'!B:L,10,0)</f>
        <v>CC</v>
      </c>
      <c r="K880" s="19">
        <f>VLOOKUP(A880,'ESTADOS ESTUDIANTES'!B:L,11,0)</f>
        <v>80111613</v>
      </c>
      <c r="L880" s="19">
        <v>3163944253</v>
      </c>
      <c r="M880" s="20">
        <v>30565</v>
      </c>
      <c r="N880" s="22"/>
      <c r="O880" s="15"/>
      <c r="P880" s="15"/>
      <c r="Q880" s="15"/>
      <c r="R880" s="15"/>
      <c r="S880" s="15"/>
      <c r="T880" s="15"/>
      <c r="U880" s="15"/>
    </row>
    <row r="881" spans="1:21" ht="90">
      <c r="A881" s="17">
        <v>20171495016</v>
      </c>
      <c r="B881" s="19" t="str">
        <f>VLOOKUP(A881,'ESTADOS ESTUDIANTES'!B:L,2,0)</f>
        <v>PICON ACOSTA LAURA JULIANA</v>
      </c>
      <c r="C881" s="19">
        <f>VLOOKUP(A881,'ESTADOS ESTUDIANTES'!B:L,3,0)</f>
        <v>495</v>
      </c>
      <c r="D881" s="66" t="str">
        <f>VLOOKUP(A881,'ESTADOS ESTUDIANTES'!B:L,4,0)</f>
        <v>MAE. EN CIENCIAS DE LA INF. Y LAS COMUNICACIONES ENFASIS EN ING. SOFT</v>
      </c>
      <c r="E881" s="19" t="str">
        <f>VLOOKUP(A881,'ESTADOS ESTUDIANTES'!B:L,5,0)</f>
        <v>X</v>
      </c>
      <c r="F881" s="18" t="str">
        <f>VLOOKUP(E881,Listas!B1:C1004,2,0)</f>
        <v>EXCLUIDO</v>
      </c>
      <c r="G881" s="19" t="str">
        <f>VLOOKUP(A881,'ESTADOS ESTUDIANTES'!B:L,7,0)</f>
        <v>NO REGISTRA</v>
      </c>
      <c r="H881" s="19" t="str">
        <f>VLOOKUP(A881,'ESTADOS ESTUDIANTES'!B:L,8,0)</f>
        <v>ljpicona@correo.udistrital.edu.co</v>
      </c>
      <c r="I881" s="70" t="str">
        <f>VLOOKUP(A881,'ESTADOS ESTUDIANTES'!B:L,9,0)</f>
        <v>julianapicon@gmail.com</v>
      </c>
      <c r="J881" s="19" t="str">
        <f>VLOOKUP(A881,'ESTADOS ESTUDIANTES'!B:L,10,0)</f>
        <v>CC</v>
      </c>
      <c r="K881" s="19">
        <f>VLOOKUP(A881,'ESTADOS ESTUDIANTES'!B:L,11,0)</f>
        <v>37900122</v>
      </c>
      <c r="L881" s="19">
        <v>3004360112</v>
      </c>
      <c r="M881" s="20"/>
      <c r="N881" s="22"/>
      <c r="O881" s="15"/>
      <c r="P881" s="15"/>
      <c r="Q881" s="15"/>
      <c r="R881" s="15"/>
      <c r="S881" s="15"/>
      <c r="T881" s="15"/>
      <c r="U881" s="15"/>
    </row>
    <row r="882" spans="1:21" ht="90">
      <c r="A882" s="17">
        <v>20171495017</v>
      </c>
      <c r="B882" s="19" t="str">
        <f>VLOOKUP(A882,'ESTADOS ESTUDIANTES'!B:L,2,0)</f>
        <v>REY CASADIEGO CRISTHIAN ANDRES</v>
      </c>
      <c r="C882" s="19">
        <f>VLOOKUP(A882,'ESTADOS ESTUDIANTES'!B:L,3,0)</f>
        <v>495</v>
      </c>
      <c r="D882" s="66" t="str">
        <f>VLOOKUP(A882,'ESTADOS ESTUDIANTES'!B:L,4,0)</f>
        <v>MAE. EN CIENCIAS DE LA INF. Y LAS COMUNICACIONES ENFASIS EN ING. SOFT</v>
      </c>
      <c r="E882" s="19" t="str">
        <f>VLOOKUP(A882,'ESTADOS ESTUDIANTES'!B:L,5,0)</f>
        <v>X</v>
      </c>
      <c r="F882" s="18" t="str">
        <f>VLOOKUP(E882,Listas!B1:C1004,2,0)</f>
        <v>EXCLUIDO</v>
      </c>
      <c r="G882" s="19" t="str">
        <f>VLOOKUP(A882,'ESTADOS ESTUDIANTES'!B:L,7,0)</f>
        <v>NO REGISTRA</v>
      </c>
      <c r="H882" s="19" t="str">
        <f>VLOOKUP(A882,'ESTADOS ESTUDIANTES'!B:L,8,0)</f>
        <v>crareyc@correo.udistrital.edu.co</v>
      </c>
      <c r="I882" s="70" t="str">
        <f>VLOOKUP(A882,'ESTADOS ESTUDIANTES'!B:L,9,0)</f>
        <v>crisandrey35@gmail.com</v>
      </c>
      <c r="J882" s="19" t="str">
        <f>VLOOKUP(A882,'ESTADOS ESTUDIANTES'!B:L,10,0)</f>
        <v>CC</v>
      </c>
      <c r="K882" s="19">
        <f>VLOOKUP(A882,'ESTADOS ESTUDIANTES'!B:L,11,0)</f>
        <v>1032428759</v>
      </c>
      <c r="L882" s="19">
        <v>3212588412</v>
      </c>
      <c r="M882" s="20"/>
      <c r="N882" s="22"/>
      <c r="O882" s="15"/>
      <c r="P882" s="15"/>
      <c r="Q882" s="15"/>
      <c r="R882" s="15"/>
      <c r="S882" s="15"/>
      <c r="T882" s="15"/>
      <c r="U882" s="15"/>
    </row>
    <row r="883" spans="1:21" ht="90">
      <c r="A883" s="17">
        <v>20171495018</v>
      </c>
      <c r="B883" s="19" t="str">
        <f>VLOOKUP(A883,'ESTADOS ESTUDIANTES'!B:L,2,0)</f>
        <v>RUEDA BASTO JOSE FERNANDO</v>
      </c>
      <c r="C883" s="19">
        <f>VLOOKUP(A883,'ESTADOS ESTUDIANTES'!B:L,3,0)</f>
        <v>495</v>
      </c>
      <c r="D883" s="66" t="str">
        <f>VLOOKUP(A883,'ESTADOS ESTUDIANTES'!B:L,4,0)</f>
        <v>MAE. EN CIENCIAS DE LA INF. Y LAS COMUNICACIONES ENFASIS EN ING. SOFT</v>
      </c>
      <c r="E883" s="19" t="str">
        <f>VLOOKUP(A883,'ESTADOS ESTUDIANTES'!B:L,5,0)</f>
        <v>E</v>
      </c>
      <c r="F883" s="18" t="str">
        <f>VLOOKUP(E883,Listas!B1:C1004,2,0)</f>
        <v>EGRESADO</v>
      </c>
      <c r="G883" s="19">
        <f>VLOOKUP(A883,'ESTADOS ESTUDIANTES'!B:L,7,0)</f>
        <v>4</v>
      </c>
      <c r="H883" s="19" t="str">
        <f>VLOOKUP(A883,'ESTADOS ESTUDIANTES'!B:L,8,0)</f>
        <v>jfruedab@udistrital.edu.co</v>
      </c>
      <c r="I883" s="70" t="str">
        <f>VLOOKUP(A883,'ESTADOS ESTUDIANTES'!B:L,9,0)</f>
        <v>jfrueda@opentic.co</v>
      </c>
      <c r="J883" s="19" t="str">
        <f>VLOOKUP(A883,'ESTADOS ESTUDIANTES'!B:L,10,0)</f>
        <v>CC</v>
      </c>
      <c r="K883" s="19">
        <f>VLOOKUP(A883,'ESTADOS ESTUDIANTES'!B:L,11,0)</f>
        <v>11233164</v>
      </c>
      <c r="L883" s="19">
        <v>3182743366</v>
      </c>
      <c r="M883" s="20"/>
      <c r="N883" s="22"/>
      <c r="O883" s="15"/>
      <c r="P883" s="15"/>
      <c r="Q883" s="15"/>
      <c r="R883" s="15"/>
      <c r="S883" s="15"/>
      <c r="T883" s="15"/>
      <c r="U883" s="15"/>
    </row>
    <row r="884" spans="1:21" ht="90">
      <c r="A884" s="17">
        <v>20171495021</v>
      </c>
      <c r="B884" s="19" t="str">
        <f>VLOOKUP(A884,'ESTADOS ESTUDIANTES'!B:L,2,0)</f>
        <v>SOLER LOPEZ JORGE FERNANDO</v>
      </c>
      <c r="C884" s="19">
        <f>VLOOKUP(A884,'ESTADOS ESTUDIANTES'!B:L,3,0)</f>
        <v>495</v>
      </c>
      <c r="D884" s="66" t="str">
        <f>VLOOKUP(A884,'ESTADOS ESTUDIANTES'!B:L,4,0)</f>
        <v>MAE. EN CIENCIAS DE LA INF. Y LAS COMUNICACIONES ENFASIS EN ING. SOFT</v>
      </c>
      <c r="E884" s="19" t="str">
        <f>VLOOKUP(A884,'ESTADOS ESTUDIANTES'!B:L,5,0)</f>
        <v>E</v>
      </c>
      <c r="F884" s="18" t="str">
        <f>VLOOKUP(E884,Listas!B1:C1004,2,0)</f>
        <v>EGRESADO</v>
      </c>
      <c r="G884" s="19">
        <f>VLOOKUP(A884,'ESTADOS ESTUDIANTES'!B:L,7,0)</f>
        <v>1</v>
      </c>
      <c r="H884" s="19" t="str">
        <f>VLOOKUP(A884,'ESTADOS ESTUDIANTES'!B:L,8,0)</f>
        <v>jofsolerl@correo.udistrital.edu.co</v>
      </c>
      <c r="I884" s="70" t="str">
        <f>VLOOKUP(A884,'ESTADOS ESTUDIANTES'!B:L,9,0)</f>
        <v>jorgesoler1@gmail.com</v>
      </c>
      <c r="J884" s="19" t="str">
        <f>VLOOKUP(A884,'ESTADOS ESTUDIANTES'!B:L,10,0)</f>
        <v>CC</v>
      </c>
      <c r="K884" s="19">
        <f>VLOOKUP(A884,'ESTADOS ESTUDIANTES'!B:L,11,0)</f>
        <v>74085494</v>
      </c>
      <c r="L884" s="19">
        <v>3002577463</v>
      </c>
      <c r="M884" s="20"/>
      <c r="N884" s="22"/>
      <c r="O884" s="15"/>
      <c r="P884" s="15"/>
      <c r="Q884" s="15"/>
      <c r="R884" s="15"/>
      <c r="S884" s="15"/>
      <c r="T884" s="15"/>
      <c r="U884" s="15"/>
    </row>
    <row r="885" spans="1:21" ht="90">
      <c r="A885" s="17">
        <v>20171495022</v>
      </c>
      <c r="B885" s="19" t="str">
        <f>VLOOKUP(A885,'ESTADOS ESTUDIANTES'!B:L,2,0)</f>
        <v>VACA VILLAMIL TANIA ALEXANDRA</v>
      </c>
      <c r="C885" s="19">
        <f>VLOOKUP(A885,'ESTADOS ESTUDIANTES'!B:L,3,0)</f>
        <v>495</v>
      </c>
      <c r="D885" s="66" t="str">
        <f>VLOOKUP(A885,'ESTADOS ESTUDIANTES'!B:L,4,0)</f>
        <v>MAE. EN CIENCIAS DE LA INF. Y LAS COMUNICACIONES ENFASIS EN ING. SOFT</v>
      </c>
      <c r="E885" s="19" t="str">
        <f>VLOOKUP(A885,'ESTADOS ESTUDIANTES'!B:L,5,0)</f>
        <v>E</v>
      </c>
      <c r="F885" s="18" t="str">
        <f>VLOOKUP(E885,Listas!B1:C1004,2,0)</f>
        <v>EGRESADO</v>
      </c>
      <c r="G885" s="19">
        <f>VLOOKUP(A885,'ESTADOS ESTUDIANTES'!B:L,7,0)</f>
        <v>3</v>
      </c>
      <c r="H885" s="19" t="str">
        <f>VLOOKUP(A885,'ESTADOS ESTUDIANTES'!B:L,8,0)</f>
        <v>tavacav@udistrital.edu.co</v>
      </c>
      <c r="I885" s="70" t="str">
        <f>VLOOKUP(A885,'ESTADOS ESTUDIANTES'!B:L,9,0)</f>
        <v>alexandra0512sys@gmail.com</v>
      </c>
      <c r="J885" s="19" t="str">
        <f>VLOOKUP(A885,'ESTADOS ESTUDIANTES'!B:L,10,0)</f>
        <v>CC</v>
      </c>
      <c r="K885" s="19">
        <f>VLOOKUP(A885,'ESTADOS ESTUDIANTES'!B:L,11,0)</f>
        <v>1032390922</v>
      </c>
      <c r="L885" s="19">
        <v>3118145134</v>
      </c>
      <c r="M885" s="20">
        <v>31909</v>
      </c>
      <c r="N885" s="22"/>
      <c r="O885" s="15"/>
      <c r="P885" s="15"/>
      <c r="Q885" s="15"/>
      <c r="R885" s="15"/>
      <c r="S885" s="15"/>
      <c r="T885" s="15"/>
      <c r="U885" s="15"/>
    </row>
    <row r="886" spans="1:21" ht="90">
      <c r="A886" s="17">
        <v>20171495023</v>
      </c>
      <c r="B886" s="19" t="str">
        <f>VLOOKUP(A886,'ESTADOS ESTUDIANTES'!B:L,2,0)</f>
        <v>VELASQUEZ ARTUNDUAGA INGRID JULIETH</v>
      </c>
      <c r="C886" s="19">
        <f>VLOOKUP(A886,'ESTADOS ESTUDIANTES'!B:L,3,0)</f>
        <v>495</v>
      </c>
      <c r="D886" s="66" t="str">
        <f>VLOOKUP(A886,'ESTADOS ESTUDIANTES'!B:L,4,0)</f>
        <v>MAE. EN CIENCIAS DE LA INF. Y LAS COMUNICACIONES ENFASIS EN ING. SOFT</v>
      </c>
      <c r="E886" s="19" t="str">
        <f>VLOOKUP(A886,'ESTADOS ESTUDIANTES'!B:L,5,0)</f>
        <v>X</v>
      </c>
      <c r="F886" s="18" t="str">
        <f>VLOOKUP(E886,Listas!B1:C1004,2,0)</f>
        <v>EXCLUIDO</v>
      </c>
      <c r="G886" s="19">
        <f>VLOOKUP(A886,'ESTADOS ESTUDIANTES'!B:L,7,0)</f>
        <v>4</v>
      </c>
      <c r="H886" s="19" t="str">
        <f>VLOOKUP(A886,'ESTADOS ESTUDIANTES'!B:L,8,0)</f>
        <v>ijvelasqueza@correo.udistrital.edu.co</v>
      </c>
      <c r="I886" s="70" t="str">
        <f>VLOOKUP(A886,'ESTADOS ESTUDIANTES'!B:L,9,0)</f>
        <v>Ingridjulieth20@gmail.com</v>
      </c>
      <c r="J886" s="19" t="str">
        <f>VLOOKUP(A886,'ESTADOS ESTUDIANTES'!B:L,10,0)</f>
        <v>CC</v>
      </c>
      <c r="K886" s="19">
        <f>VLOOKUP(A886,'ESTADOS ESTUDIANTES'!B:L,11,0)</f>
        <v>1024501542</v>
      </c>
      <c r="L886" s="19">
        <v>3114934742</v>
      </c>
      <c r="M886" s="20"/>
      <c r="N886" s="22"/>
      <c r="O886" s="15"/>
      <c r="P886" s="15"/>
      <c r="Q886" s="15"/>
      <c r="R886" s="15"/>
      <c r="S886" s="15"/>
      <c r="T886" s="15"/>
      <c r="U886" s="15"/>
    </row>
    <row r="887" spans="1:21" ht="90">
      <c r="A887" s="17">
        <v>20172195001</v>
      </c>
      <c r="B887" s="19" t="str">
        <f>VLOOKUP(A887,'ESTADOS ESTUDIANTES'!B:L,2,0)</f>
        <v>GALINDO CALDERON CATALINA</v>
      </c>
      <c r="C887" s="19">
        <f>VLOOKUP(A887,'ESTADOS ESTUDIANTES'!B:L,3,0)</f>
        <v>195</v>
      </c>
      <c r="D887" s="66" t="str">
        <f>VLOOKUP(A887,'ESTADOS ESTUDIANTES'!B:L,4,0)</f>
        <v>MAE. EN CIENCIAS DE LA INF. Y LAS COMUNICACIONES ENFASIS EN TELEINF.</v>
      </c>
      <c r="E887" s="19" t="str">
        <f>VLOOKUP(A887,'ESTADOS ESTUDIANTES'!B:L,5,0)</f>
        <v>N</v>
      </c>
      <c r="F887" s="18" t="str">
        <f>VLOOKUP(E887,Listas!B1:C1004,2,0)</f>
        <v>ERROR DE CODIGO</v>
      </c>
      <c r="G887" s="19" t="str">
        <f>VLOOKUP(A887,'ESTADOS ESTUDIANTES'!B:L,7,0)</f>
        <v>NO REGISTRA</v>
      </c>
      <c r="H887" s="19" t="str">
        <f>VLOOKUP(A887,'ESTADOS ESTUDIANTES'!B:L,8,0)</f>
        <v>cgalindoc@udistrital.edu.co</v>
      </c>
      <c r="I887" s="70" t="str">
        <f>VLOOKUP(A887,'ESTADOS ESTUDIANTES'!B:L,9,0)</f>
        <v>catalina.galindoc@gmail.com</v>
      </c>
      <c r="J887" s="19" t="str">
        <f>VLOOKUP(A887,'ESTADOS ESTUDIANTES'!B:L,10,0)</f>
        <v>CC</v>
      </c>
      <c r="K887" s="19">
        <f>VLOOKUP(A887,'ESTADOS ESTUDIANTES'!B:L,11,0)</f>
        <v>1015431532</v>
      </c>
      <c r="L887" s="23"/>
      <c r="M887" s="20"/>
      <c r="N887" s="22"/>
      <c r="O887" s="15"/>
      <c r="P887" s="15"/>
      <c r="Q887" s="15"/>
      <c r="R887" s="15"/>
      <c r="S887" s="15"/>
      <c r="T887" s="15"/>
      <c r="U887" s="15"/>
    </row>
    <row r="888" spans="1:21" ht="90">
      <c r="A888" s="17">
        <v>20172195002</v>
      </c>
      <c r="B888" s="19" t="str">
        <f>VLOOKUP(A888,'ESTADOS ESTUDIANTES'!B:L,2,0)</f>
        <v>OSORIO GOMEZ HENRY MAURICIO</v>
      </c>
      <c r="C888" s="19">
        <f>VLOOKUP(A888,'ESTADOS ESTUDIANTES'!B:L,3,0)</f>
        <v>195</v>
      </c>
      <c r="D888" s="66" t="str">
        <f>VLOOKUP(A888,'ESTADOS ESTUDIANTES'!B:L,4,0)</f>
        <v>MAE. EN CIENCIAS DE LA INF. Y LAS COMUNICACIONES ENFASIS EN TELEINF.</v>
      </c>
      <c r="E888" s="19" t="str">
        <f>VLOOKUP(A888,'ESTADOS ESTUDIANTES'!B:L,5,0)</f>
        <v>N</v>
      </c>
      <c r="F888" s="18" t="str">
        <f>VLOOKUP(E888,Listas!B1:C1004,2,0)</f>
        <v>ERROR DE CODIGO</v>
      </c>
      <c r="G888" s="19" t="str">
        <f>VLOOKUP(A888,'ESTADOS ESTUDIANTES'!B:L,7,0)</f>
        <v>NO REGISTRA</v>
      </c>
      <c r="H888" s="19" t="str">
        <f>VLOOKUP(A888,'ESTADOS ESTUDIANTES'!B:L,8,0)</f>
        <v>hmosoriog@correo.udistrital.edu.co</v>
      </c>
      <c r="I888" s="70" t="str">
        <f>VLOOKUP(A888,'ESTADOS ESTUDIANTES'!B:L,9,0)</f>
        <v>ing.mauricio.187@hotmail.com</v>
      </c>
      <c r="J888" s="19" t="str">
        <f>VLOOKUP(A888,'ESTADOS ESTUDIANTES'!B:L,10,0)</f>
        <v>CC</v>
      </c>
      <c r="K888" s="19">
        <f>VLOOKUP(A888,'ESTADOS ESTUDIANTES'!B:L,11,0)</f>
        <v>1121838394</v>
      </c>
      <c r="L888" s="19">
        <v>3144723155</v>
      </c>
      <c r="M888" s="20"/>
      <c r="N888" s="22"/>
      <c r="O888" s="15"/>
      <c r="P888" s="15"/>
      <c r="Q888" s="15"/>
      <c r="R888" s="15"/>
      <c r="S888" s="15"/>
      <c r="T888" s="15"/>
      <c r="U888" s="15"/>
    </row>
    <row r="889" spans="1:21" ht="90">
      <c r="A889" s="17">
        <v>20172195003</v>
      </c>
      <c r="B889" s="19" t="str">
        <f>VLOOKUP(A889,'ESTADOS ESTUDIANTES'!B:L,2,0)</f>
        <v>BARRAGÁN VELASCO JAIME GONZALO</v>
      </c>
      <c r="C889" s="19">
        <f>VLOOKUP(A889,'ESTADOS ESTUDIANTES'!B:L,3,0)</f>
        <v>195</v>
      </c>
      <c r="D889" s="66" t="str">
        <f>VLOOKUP(A889,'ESTADOS ESTUDIANTES'!B:L,4,0)</f>
        <v>MAE. EN CIENCIAS DE LA INF. Y LAS COMUNICACIONES ENFASIS EN TELEINF.</v>
      </c>
      <c r="E889" s="19" t="str">
        <f>VLOOKUP(A889,'ESTADOS ESTUDIANTES'!B:L,5,0)</f>
        <v>X</v>
      </c>
      <c r="F889" s="18" t="str">
        <f>VLOOKUP(E889,Listas!B1:C1004,2,0)</f>
        <v>EXCLUIDO</v>
      </c>
      <c r="G889" s="19">
        <f>VLOOKUP(A889,'ESTADOS ESTUDIANTES'!B:L,7,0)</f>
        <v>5</v>
      </c>
      <c r="H889" s="19" t="str">
        <f>VLOOKUP(A889,'ESTADOS ESTUDIANTES'!B:L,8,0)</f>
        <v>jgbarraganv@correo.udistrital.edu.co</v>
      </c>
      <c r="I889" s="70" t="str">
        <f>VLOOKUP(A889,'ESTADOS ESTUDIANTES'!B:L,9,0)</f>
        <v>jaime.barragan.velasco@gmail.com</v>
      </c>
      <c r="J889" s="19" t="str">
        <f>VLOOKUP(A889,'ESTADOS ESTUDIANTES'!B:L,10,0)</f>
        <v>CC</v>
      </c>
      <c r="K889" s="19">
        <f>VLOOKUP(A889,'ESTADOS ESTUDIANTES'!B:L,11,0)</f>
        <v>79399312</v>
      </c>
      <c r="L889" s="19">
        <v>3213105896</v>
      </c>
      <c r="M889" s="20"/>
      <c r="N889" s="22"/>
      <c r="O889" s="15"/>
      <c r="P889" s="15"/>
      <c r="Q889" s="15"/>
      <c r="R889" s="15"/>
      <c r="S889" s="15"/>
      <c r="T889" s="15"/>
      <c r="U889" s="15"/>
    </row>
    <row r="890" spans="1:21" ht="90">
      <c r="A890" s="17">
        <v>20172195004</v>
      </c>
      <c r="B890" s="19" t="str">
        <f>VLOOKUP(A890,'ESTADOS ESTUDIANTES'!B:L,2,0)</f>
        <v>BECERRA RUIZ JEFFER IVAN</v>
      </c>
      <c r="C890" s="19">
        <f>VLOOKUP(A890,'ESTADOS ESTUDIANTES'!B:L,3,0)</f>
        <v>195</v>
      </c>
      <c r="D890" s="66" t="str">
        <f>VLOOKUP(A890,'ESTADOS ESTUDIANTES'!B:L,4,0)</f>
        <v>MAE. EN CIENCIAS DE LA INF. Y LAS COMUNICACIONES ENFASIS EN TELEINF.</v>
      </c>
      <c r="E890" s="19" t="str">
        <f>VLOOKUP(A890,'ESTADOS ESTUDIANTES'!B:L,5,0)</f>
        <v>X</v>
      </c>
      <c r="F890" s="18" t="str">
        <f>VLOOKUP(E890,Listas!B1:C1004,2,0)</f>
        <v>EXCLUIDO</v>
      </c>
      <c r="G890" s="19">
        <f>VLOOKUP(A890,'ESTADOS ESTUDIANTES'!B:L,7,0)</f>
        <v>1</v>
      </c>
      <c r="H890" s="19" t="str">
        <f>VLOOKUP(A890,'ESTADOS ESTUDIANTES'!B:L,8,0)</f>
        <v>jibecerrar@udistrital.edu.co</v>
      </c>
      <c r="I890" s="70" t="str">
        <f>VLOOKUP(A890,'ESTADOS ESTUDIANTES'!B:L,9,0)</f>
        <v>jeffer.becerra@uptc.edu.co</v>
      </c>
      <c r="J890" s="19" t="str">
        <f>VLOOKUP(A890,'ESTADOS ESTUDIANTES'!B:L,10,0)</f>
        <v>CC</v>
      </c>
      <c r="K890" s="19">
        <f>VLOOKUP(A890,'ESTADOS ESTUDIANTES'!B:L,11,0)</f>
        <v>1049627823</v>
      </c>
      <c r="L890" s="19">
        <v>3203320029</v>
      </c>
      <c r="M890" s="20">
        <v>33577</v>
      </c>
      <c r="N890" s="22"/>
      <c r="O890" s="15"/>
      <c r="P890" s="15"/>
      <c r="Q890" s="15"/>
      <c r="R890" s="15"/>
      <c r="S890" s="15"/>
      <c r="T890" s="15"/>
      <c r="U890" s="15"/>
    </row>
    <row r="891" spans="1:21" ht="90">
      <c r="A891" s="17">
        <v>20172195005</v>
      </c>
      <c r="B891" s="19" t="str">
        <f>VLOOKUP(A891,'ESTADOS ESTUDIANTES'!B:L,2,0)</f>
        <v>CASTAÑEDA MOSCOSO EDWARD LENIN</v>
      </c>
      <c r="C891" s="19">
        <f>VLOOKUP(A891,'ESTADOS ESTUDIANTES'!B:L,3,0)</f>
        <v>195</v>
      </c>
      <c r="D891" s="66" t="str">
        <f>VLOOKUP(A891,'ESTADOS ESTUDIANTES'!B:L,4,0)</f>
        <v>MAE. EN CIENCIAS DE LA INF. Y LAS COMUNICACIONES ENFASIS EN TELEINF.</v>
      </c>
      <c r="E891" s="19" t="str">
        <f>VLOOKUP(A891,'ESTADOS ESTUDIANTES'!B:L,5,0)</f>
        <v>E</v>
      </c>
      <c r="F891" s="18" t="str">
        <f>VLOOKUP(E891,Listas!B1:C1004,2,0)</f>
        <v>EGRESADO</v>
      </c>
      <c r="G891" s="19">
        <f>VLOOKUP(A891,'ESTADOS ESTUDIANTES'!B:L,7,0)</f>
        <v>2</v>
      </c>
      <c r="H891" s="19" t="str">
        <f>VLOOKUP(A891,'ESTADOS ESTUDIANTES'!B:L,8,0)</f>
        <v>elcastanedam@correo.udistrital.edu.co</v>
      </c>
      <c r="I891" s="70" t="str">
        <f>VLOOKUP(A891,'ESTADOS ESTUDIANTES'!B:L,9,0)</f>
        <v>boogiedca@gmail.com</v>
      </c>
      <c r="J891" s="19" t="str">
        <f>VLOOKUP(A891,'ESTADOS ESTUDIANTES'!B:L,10,0)</f>
        <v>CC</v>
      </c>
      <c r="K891" s="19">
        <f>VLOOKUP(A891,'ESTADOS ESTUDIANTES'!B:L,11,0)</f>
        <v>80007028</v>
      </c>
      <c r="L891" s="19">
        <v>3185484473</v>
      </c>
      <c r="M891" s="20">
        <v>29120</v>
      </c>
      <c r="N891" s="22"/>
      <c r="O891" s="15"/>
      <c r="P891" s="15"/>
      <c r="Q891" s="15"/>
      <c r="R891" s="15"/>
      <c r="S891" s="15"/>
      <c r="T891" s="15"/>
      <c r="U891" s="15"/>
    </row>
    <row r="892" spans="1:21" ht="90">
      <c r="A892" s="17">
        <v>20172195006</v>
      </c>
      <c r="B892" s="19" t="str">
        <f>VLOOKUP(A892,'ESTADOS ESTUDIANTES'!B:L,2,0)</f>
        <v>CASTILLO JOHAN SEBASTIAN</v>
      </c>
      <c r="C892" s="19">
        <f>VLOOKUP(A892,'ESTADOS ESTUDIANTES'!B:L,3,0)</f>
        <v>195</v>
      </c>
      <c r="D892" s="66" t="str">
        <f>VLOOKUP(A892,'ESTADOS ESTUDIANTES'!B:L,4,0)</f>
        <v>MAE. EN CIENCIAS DE LA INF. Y LAS COMUNICACIONES ENFASIS EN TELEINF.</v>
      </c>
      <c r="E892" s="19" t="str">
        <f>VLOOKUP(A892,'ESTADOS ESTUDIANTES'!B:L,5,0)</f>
        <v>N</v>
      </c>
      <c r="F892" s="18" t="str">
        <f>VLOOKUP(E892,Listas!B1:C1004,2,0)</f>
        <v>ERROR DE CODIGO</v>
      </c>
      <c r="G892" s="19" t="str">
        <f>VLOOKUP(A892,'ESTADOS ESTUDIANTES'!B:L,7,0)</f>
        <v>NO REGISTRA</v>
      </c>
      <c r="H892" s="19" t="str">
        <f>VLOOKUP(A892,'ESTADOS ESTUDIANTES'!B:L,8,0)</f>
        <v>secastilloj@correo.udistrital.edu.co</v>
      </c>
      <c r="I892" s="70" t="str">
        <f>VLOOKUP(A892,'ESTADOS ESTUDIANTES'!B:L,9,0)</f>
        <v>jhoanc17@gmail.com</v>
      </c>
      <c r="J892" s="19" t="str">
        <f>VLOOKUP(A892,'ESTADOS ESTUDIANTES'!B:L,10,0)</f>
        <v>CC</v>
      </c>
      <c r="K892" s="19">
        <f>VLOOKUP(A892,'ESTADOS ESTUDIANTES'!B:L,11,0)</f>
        <v>1023883737</v>
      </c>
      <c r="L892" s="19">
        <v>3134815821</v>
      </c>
      <c r="M892" s="20"/>
      <c r="N892" s="22"/>
      <c r="O892" s="15"/>
      <c r="P892" s="15"/>
      <c r="Q892" s="15"/>
      <c r="R892" s="15"/>
      <c r="S892" s="15"/>
      <c r="T892" s="15"/>
      <c r="U892" s="15"/>
    </row>
    <row r="893" spans="1:21" ht="90">
      <c r="A893" s="17">
        <v>20172195007</v>
      </c>
      <c r="B893" s="19" t="str">
        <f>VLOOKUP(A893,'ESTADOS ESTUDIANTES'!B:L,2,0)</f>
        <v>DE LEON ARTURO VERBEL</v>
      </c>
      <c r="C893" s="19">
        <f>VLOOKUP(A893,'ESTADOS ESTUDIANTES'!B:L,3,0)</f>
        <v>195</v>
      </c>
      <c r="D893" s="66" t="str">
        <f>VLOOKUP(A893,'ESTADOS ESTUDIANTES'!B:L,4,0)</f>
        <v>MAE. EN CIENCIAS DE LA INF. Y LAS COMUNICACIONES ENFASIS EN TELEINF.</v>
      </c>
      <c r="E893" s="19" t="str">
        <f>VLOOKUP(A893,'ESTADOS ESTUDIANTES'!B:L,5,0)</f>
        <v>E</v>
      </c>
      <c r="F893" s="18" t="str">
        <f>VLOOKUP(E893,Listas!B1:C1004,2,0)</f>
        <v>EGRESADO</v>
      </c>
      <c r="G893" s="19">
        <f>VLOOKUP(A893,'ESTADOS ESTUDIANTES'!B:L,7,0)</f>
        <v>1</v>
      </c>
      <c r="H893" s="19" t="str">
        <f>VLOOKUP(A893,'ESTADOS ESTUDIANTES'!B:L,8,0)</f>
        <v>averbeldl@correo.udistrital.edu.co</v>
      </c>
      <c r="I893" s="70" t="str">
        <f>VLOOKUP(A893,'ESTADOS ESTUDIANTES'!B:L,9,0)</f>
        <v>arturo.verbel@gmail.com</v>
      </c>
      <c r="J893" s="19" t="str">
        <f>VLOOKUP(A893,'ESTADOS ESTUDIANTES'!B:L,10,0)</f>
        <v>CC</v>
      </c>
      <c r="K893" s="19">
        <f>VLOOKUP(A893,'ESTADOS ESTUDIANTES'!B:L,11,0)</f>
        <v>1143355214</v>
      </c>
      <c r="L893" s="19">
        <v>3163386191</v>
      </c>
      <c r="M893" s="20">
        <v>33552</v>
      </c>
      <c r="N893" s="22"/>
      <c r="O893" s="15"/>
      <c r="P893" s="15"/>
      <c r="Q893" s="15"/>
      <c r="R893" s="15"/>
      <c r="S893" s="15"/>
      <c r="T893" s="15"/>
      <c r="U893" s="15"/>
    </row>
    <row r="894" spans="1:21" ht="90">
      <c r="A894" s="17">
        <v>20172195008</v>
      </c>
      <c r="B894" s="19" t="str">
        <f>VLOOKUP(A894,'ESTADOS ESTUDIANTES'!B:L,2,0)</f>
        <v>FRANCO PAMPLONA JOSÉ MAURICIO</v>
      </c>
      <c r="C894" s="19">
        <f>VLOOKUP(A894,'ESTADOS ESTUDIANTES'!B:L,3,0)</f>
        <v>195</v>
      </c>
      <c r="D894" s="66" t="str">
        <f>VLOOKUP(A894,'ESTADOS ESTUDIANTES'!B:L,4,0)</f>
        <v>MAE. EN CIENCIAS DE LA INF. Y LAS COMUNICACIONES ENFASIS EN TELEINF.</v>
      </c>
      <c r="E894" s="19" t="str">
        <f>VLOOKUP(A894,'ESTADOS ESTUDIANTES'!B:L,5,0)</f>
        <v>X</v>
      </c>
      <c r="F894" s="18" t="str">
        <f>VLOOKUP(E894,Listas!B1:C1004,2,0)</f>
        <v>EXCLUIDO</v>
      </c>
      <c r="G894" s="19" t="str">
        <f>VLOOKUP(A894,'ESTADOS ESTUDIANTES'!B:L,7,0)</f>
        <v>NO REGISTRA</v>
      </c>
      <c r="H894" s="19" t="str">
        <f>VLOOKUP(A894,'ESTADOS ESTUDIANTES'!B:L,8,0)</f>
        <v>jmfrancop@correo.udistrital.edu.co</v>
      </c>
      <c r="I894" s="70" t="str">
        <f>VLOOKUP(A894,'ESTADOS ESTUDIANTES'!B:L,9,0)</f>
        <v>maofrancop@hotmail.com</v>
      </c>
      <c r="J894" s="19" t="str">
        <f>VLOOKUP(A894,'ESTADOS ESTUDIANTES'!B:L,10,0)</f>
        <v>CC</v>
      </c>
      <c r="K894" s="19">
        <f>VLOOKUP(A894,'ESTADOS ESTUDIANTES'!B:L,11,0)</f>
        <v>79887636</v>
      </c>
      <c r="L894" s="19">
        <v>3012428028</v>
      </c>
      <c r="M894" s="20"/>
      <c r="N894" s="22"/>
      <c r="O894" s="15"/>
      <c r="P894" s="15"/>
      <c r="Q894" s="15"/>
      <c r="R894" s="15"/>
      <c r="S894" s="15"/>
      <c r="T894" s="15"/>
      <c r="U894" s="15"/>
    </row>
    <row r="895" spans="1:21" ht="90">
      <c r="A895" s="17">
        <v>20172195010</v>
      </c>
      <c r="B895" s="19" t="str">
        <f>VLOOKUP(A895,'ESTADOS ESTUDIANTES'!B:L,2,0)</f>
        <v>GUERRERO CASTRO JUAN DAVID</v>
      </c>
      <c r="C895" s="19">
        <f>VLOOKUP(A895,'ESTADOS ESTUDIANTES'!B:L,3,0)</f>
        <v>195</v>
      </c>
      <c r="D895" s="66" t="str">
        <f>VLOOKUP(A895,'ESTADOS ESTUDIANTES'!B:L,4,0)</f>
        <v>MAE. EN CIENCIAS DE LA INF. Y LAS COMUNICACIONES ENFASIS EN TELEINF.</v>
      </c>
      <c r="E895" s="19" t="str">
        <f>VLOOKUP(A895,'ESTADOS ESTUDIANTES'!B:L,5,0)</f>
        <v>N</v>
      </c>
      <c r="F895" s="18" t="str">
        <f>VLOOKUP(E895,Listas!B1:C1004,2,0)</f>
        <v>ERROR DE CODIGO</v>
      </c>
      <c r="G895" s="19" t="str">
        <f>VLOOKUP(A895,'ESTADOS ESTUDIANTES'!B:L,7,0)</f>
        <v>NO REGISTRA</v>
      </c>
      <c r="H895" s="19" t="str">
        <f>VLOOKUP(A895,'ESTADOS ESTUDIANTES'!B:L,8,0)</f>
        <v>jdguerreroc@correo.udistrital.edu.co</v>
      </c>
      <c r="I895" s="70" t="str">
        <f>VLOOKUP(A895,'ESTADOS ESTUDIANTES'!B:L,9,0)</f>
        <v>jdavidguerrerocas@gmail.com</v>
      </c>
      <c r="J895" s="19" t="str">
        <f>VLOOKUP(A895,'ESTADOS ESTUDIANTES'!B:L,10,0)</f>
        <v>CC</v>
      </c>
      <c r="K895" s="19">
        <f>VLOOKUP(A895,'ESTADOS ESTUDIANTES'!B:L,11,0)</f>
        <v>1090448755</v>
      </c>
      <c r="L895" s="19">
        <v>3012340670</v>
      </c>
      <c r="M895" s="20"/>
      <c r="N895" s="22"/>
      <c r="O895" s="15"/>
      <c r="P895" s="15"/>
      <c r="Q895" s="15"/>
      <c r="R895" s="15"/>
      <c r="S895" s="15"/>
      <c r="T895" s="15"/>
      <c r="U895" s="15"/>
    </row>
    <row r="896" spans="1:21" ht="90">
      <c r="A896" s="17">
        <v>20172195011</v>
      </c>
      <c r="B896" s="19" t="str">
        <f>VLOOKUP(A896,'ESTADOS ESTUDIANTES'!B:L,2,0)</f>
        <v>MONROY MACHADO DAVID</v>
      </c>
      <c r="C896" s="19">
        <f>VLOOKUP(A896,'ESTADOS ESTUDIANTES'!B:L,3,0)</f>
        <v>195</v>
      </c>
      <c r="D896" s="66" t="str">
        <f>VLOOKUP(A896,'ESTADOS ESTUDIANTES'!B:L,4,0)</f>
        <v>MAE. EN CIENCIAS DE LA INF. Y LAS COMUNICACIONES ENFASIS EN TELEINF.</v>
      </c>
      <c r="E896" s="19" t="str">
        <f>VLOOKUP(A896,'ESTADOS ESTUDIANTES'!B:L,5,0)</f>
        <v>N</v>
      </c>
      <c r="F896" s="18" t="str">
        <f>VLOOKUP(E896,Listas!B1:C1004,2,0)</f>
        <v>ERROR DE CODIGO</v>
      </c>
      <c r="G896" s="19" t="str">
        <f>VLOOKUP(A896,'ESTADOS ESTUDIANTES'!B:L,7,0)</f>
        <v>NO REGISTRA</v>
      </c>
      <c r="H896" s="19" t="str">
        <f>VLOOKUP(A896,'ESTADOS ESTUDIANTES'!B:L,8,0)</f>
        <v>dmonroym@udistrital.edu.co</v>
      </c>
      <c r="I896" s="70" t="str">
        <f>VLOOKUP(A896,'ESTADOS ESTUDIANTES'!B:L,9,0)</f>
        <v>david.monroy.machado@gmail.com</v>
      </c>
      <c r="J896" s="19" t="str">
        <f>VLOOKUP(A896,'ESTADOS ESTUDIANTES'!B:L,10,0)</f>
        <v>CC</v>
      </c>
      <c r="K896" s="19">
        <f>VLOOKUP(A896,'ESTADOS ESTUDIANTES'!B:L,11,0)</f>
        <v>79854643</v>
      </c>
      <c r="L896" s="19">
        <v>3014317826</v>
      </c>
      <c r="M896" s="20"/>
      <c r="N896" s="22"/>
      <c r="O896" s="15"/>
      <c r="P896" s="15"/>
      <c r="Q896" s="15"/>
      <c r="R896" s="15"/>
      <c r="S896" s="15"/>
      <c r="T896" s="15"/>
      <c r="U896" s="15"/>
    </row>
    <row r="897" spans="1:21" ht="90">
      <c r="A897" s="17">
        <v>20172195012</v>
      </c>
      <c r="B897" s="19" t="str">
        <f>VLOOKUP(A897,'ESTADOS ESTUDIANTES'!B:L,2,0)</f>
        <v>MONTAÑEZ SÁENZ DIEGO ANTONIO</v>
      </c>
      <c r="C897" s="19">
        <f>VLOOKUP(A897,'ESTADOS ESTUDIANTES'!B:L,3,0)</f>
        <v>195</v>
      </c>
      <c r="D897" s="66" t="str">
        <f>VLOOKUP(A897,'ESTADOS ESTUDIANTES'!B:L,4,0)</f>
        <v>MAE. EN CIENCIAS DE LA INF. Y LAS COMUNICACIONES ENFASIS EN TELEINF.</v>
      </c>
      <c r="E897" s="19" t="str">
        <f>VLOOKUP(A897,'ESTADOS ESTUDIANTES'!B:L,5,0)</f>
        <v>X</v>
      </c>
      <c r="F897" s="18" t="str">
        <f>VLOOKUP(E897,Listas!B1:C1004,2,0)</f>
        <v>EXCLUIDO</v>
      </c>
      <c r="G897" s="19">
        <f>VLOOKUP(A897,'ESTADOS ESTUDIANTES'!B:L,7,0)</f>
        <v>4</v>
      </c>
      <c r="H897" s="19" t="str">
        <f>VLOOKUP(A897,'ESTADOS ESTUDIANTES'!B:L,8,0)</f>
        <v>damontanezs@udistrital.edu.co</v>
      </c>
      <c r="I897" s="70" t="str">
        <f>VLOOKUP(A897,'ESTADOS ESTUDIANTES'!B:L,9,0)</f>
        <v>diego_m_saenz@hotmail.com</v>
      </c>
      <c r="J897" s="19" t="str">
        <f>VLOOKUP(A897,'ESTADOS ESTUDIANTES'!B:L,10,0)</f>
        <v>CC</v>
      </c>
      <c r="K897" s="19">
        <f>VLOOKUP(A897,'ESTADOS ESTUDIANTES'!B:L,11,0)</f>
        <v>1049630401</v>
      </c>
      <c r="L897" s="19">
        <v>3115526788</v>
      </c>
      <c r="M897" s="20">
        <v>33755</v>
      </c>
      <c r="N897" s="22"/>
      <c r="O897" s="15"/>
      <c r="P897" s="15"/>
      <c r="Q897" s="15"/>
      <c r="R897" s="15"/>
      <c r="S897" s="15"/>
      <c r="T897" s="15"/>
      <c r="U897" s="15"/>
    </row>
    <row r="898" spans="1:21" ht="90">
      <c r="A898" s="17">
        <v>20172195013</v>
      </c>
      <c r="B898" s="19" t="str">
        <f>VLOOKUP(A898,'ESTADOS ESTUDIANTES'!B:L,2,0)</f>
        <v>NEUTA PALACIOS LORENA MARITZA</v>
      </c>
      <c r="C898" s="19">
        <f>VLOOKUP(A898,'ESTADOS ESTUDIANTES'!B:L,3,0)</f>
        <v>195</v>
      </c>
      <c r="D898" s="66" t="str">
        <f>VLOOKUP(A898,'ESTADOS ESTUDIANTES'!B:L,4,0)</f>
        <v>MAE. EN CIENCIAS DE LA INF. Y LAS COMUNICACIONES ENFASIS EN TELEINF.</v>
      </c>
      <c r="E898" s="19" t="str">
        <f>VLOOKUP(A898,'ESTADOS ESTUDIANTES'!B:L,5,0)</f>
        <v>X</v>
      </c>
      <c r="F898" s="18" t="str">
        <f>VLOOKUP(E898,Listas!B1:C1004,2,0)</f>
        <v>EXCLUIDO</v>
      </c>
      <c r="G898" s="19" t="str">
        <f>VLOOKUP(A898,'ESTADOS ESTUDIANTES'!B:L,7,0)</f>
        <v>NO REGISTRA</v>
      </c>
      <c r="H898" s="19" t="str">
        <f>VLOOKUP(A898,'ESTADOS ESTUDIANTES'!B:L,8,0)</f>
        <v>lmneutap@correo.udistrital.edu.co</v>
      </c>
      <c r="I898" s="70" t="str">
        <f>VLOOKUP(A898,'ESTADOS ESTUDIANTES'!B:L,9,0)</f>
        <v>loremach@gmail.com</v>
      </c>
      <c r="J898" s="19" t="str">
        <f>VLOOKUP(A898,'ESTADOS ESTUDIANTES'!B:L,10,0)</f>
        <v>CC</v>
      </c>
      <c r="K898" s="19">
        <f>VLOOKUP(A898,'ESTADOS ESTUDIANTES'!B:L,11,0)</f>
        <v>1022353006</v>
      </c>
      <c r="L898" s="19">
        <v>3057824274</v>
      </c>
      <c r="M898" s="20"/>
      <c r="N898" s="22"/>
      <c r="O898" s="15"/>
      <c r="P898" s="15"/>
      <c r="Q898" s="15"/>
      <c r="R898" s="15"/>
      <c r="S898" s="15"/>
      <c r="T898" s="15"/>
      <c r="U898" s="15"/>
    </row>
    <row r="899" spans="1:21" ht="90">
      <c r="A899" s="17">
        <v>20172195014</v>
      </c>
      <c r="B899" s="19" t="str">
        <f>VLOOKUP(A899,'ESTADOS ESTUDIANTES'!B:L,2,0)</f>
        <v>QUEVEDO VERA MARÍA ALEJANDRA</v>
      </c>
      <c r="C899" s="19">
        <f>VLOOKUP(A899,'ESTADOS ESTUDIANTES'!B:L,3,0)</f>
        <v>195</v>
      </c>
      <c r="D899" s="66" t="str">
        <f>VLOOKUP(A899,'ESTADOS ESTUDIANTES'!B:L,4,0)</f>
        <v>MAE. EN CIENCIAS DE LA INF. Y LAS COMUNICACIONES ENFASIS EN TELEINF.</v>
      </c>
      <c r="E899" s="19" t="str">
        <f>VLOOKUP(A899,'ESTADOS ESTUDIANTES'!B:L,5,0)</f>
        <v>E</v>
      </c>
      <c r="F899" s="18" t="str">
        <f>VLOOKUP(E899,Listas!B1:C1004,2,0)</f>
        <v>EGRESADO</v>
      </c>
      <c r="G899" s="19">
        <f>VLOOKUP(A899,'ESTADOS ESTUDIANTES'!B:L,7,0)</f>
        <v>5</v>
      </c>
      <c r="H899" s="19" t="str">
        <f>VLOOKUP(A899,'ESTADOS ESTUDIANTES'!B:L,8,0)</f>
        <v>maquevedov@udistrital.edu.co</v>
      </c>
      <c r="I899" s="70" t="str">
        <f>VLOOKUP(A899,'ESTADOS ESTUDIANTES'!B:L,9,0)</f>
        <v>alejandra.quevedo85@gmail.com</v>
      </c>
      <c r="J899" s="19" t="str">
        <f>VLOOKUP(A899,'ESTADOS ESTUDIANTES'!B:L,10,0)</f>
        <v>CC</v>
      </c>
      <c r="K899" s="19">
        <f>VLOOKUP(A899,'ESTADOS ESTUDIANTES'!B:L,11,0)</f>
        <v>1032358776</v>
      </c>
      <c r="L899" s="19">
        <v>3008751301</v>
      </c>
      <c r="M899" s="20">
        <v>31404</v>
      </c>
      <c r="N899" s="22"/>
      <c r="O899" s="15"/>
      <c r="P899" s="15"/>
      <c r="Q899" s="15"/>
      <c r="R899" s="15"/>
      <c r="S899" s="15"/>
      <c r="T899" s="15"/>
      <c r="U899" s="15"/>
    </row>
    <row r="900" spans="1:21" ht="90">
      <c r="A900" s="17">
        <v>20172195015</v>
      </c>
      <c r="B900" s="19" t="str">
        <f>VLOOKUP(A900,'ESTADOS ESTUDIANTES'!B:L,2,0)</f>
        <v>SUAREZ MURCIA NESTOR LEONARDO</v>
      </c>
      <c r="C900" s="19">
        <f>VLOOKUP(A900,'ESTADOS ESTUDIANTES'!B:L,3,0)</f>
        <v>195</v>
      </c>
      <c r="D900" s="66" t="str">
        <f>VLOOKUP(A900,'ESTADOS ESTUDIANTES'!B:L,4,0)</f>
        <v>MAE. EN CIENCIAS DE LA INF. Y LAS COMUNICACIONES ENFASIS EN TELEINF.</v>
      </c>
      <c r="E900" s="19" t="str">
        <f>VLOOKUP(A900,'ESTADOS ESTUDIANTES'!B:L,5,0)</f>
        <v>N</v>
      </c>
      <c r="F900" s="18" t="str">
        <f>VLOOKUP(E900,Listas!B1:C1004,2,0)</f>
        <v>ERROR DE CODIGO</v>
      </c>
      <c r="G900" s="19" t="str">
        <f>VLOOKUP(A900,'ESTADOS ESTUDIANTES'!B:L,7,0)</f>
        <v>NO REGISTRA</v>
      </c>
      <c r="H900" s="19" t="str">
        <f>VLOOKUP(A900,'ESTADOS ESTUDIANTES'!B:L,8,0)</f>
        <v>nlsuarezm@correo.udistrital.edu.co</v>
      </c>
      <c r="I900" s="70" t="str">
        <f>VLOOKUP(A900,'ESTADOS ESTUDIANTES'!B:L,9,0)</f>
        <v>ing.leonardo.suarez@gmail.com</v>
      </c>
      <c r="J900" s="19" t="str">
        <f>VLOOKUP(A900,'ESTADOS ESTUDIANTES'!B:L,10,0)</f>
        <v>CC</v>
      </c>
      <c r="K900" s="19">
        <f>VLOOKUP(A900,'ESTADOS ESTUDIANTES'!B:L,11,0)</f>
        <v>79744128</v>
      </c>
      <c r="L900" s="19">
        <v>3103367244</v>
      </c>
      <c r="M900" s="20"/>
      <c r="N900" s="22"/>
      <c r="O900" s="15"/>
      <c r="P900" s="15"/>
      <c r="Q900" s="15"/>
      <c r="R900" s="15"/>
      <c r="S900" s="15"/>
      <c r="T900" s="15"/>
      <c r="U900" s="15"/>
    </row>
    <row r="901" spans="1:21" ht="90">
      <c r="A901" s="17">
        <v>20172195016</v>
      </c>
      <c r="B901" s="19" t="str">
        <f>VLOOKUP(A901,'ESTADOS ESTUDIANTES'!B:L,2,0)</f>
        <v>TORRES SÁNCHEZ JHONATAN LEONARDO</v>
      </c>
      <c r="C901" s="19">
        <f>VLOOKUP(A901,'ESTADOS ESTUDIANTES'!B:L,3,0)</f>
        <v>195</v>
      </c>
      <c r="D901" s="66" t="str">
        <f>VLOOKUP(A901,'ESTADOS ESTUDIANTES'!B:L,4,0)</f>
        <v>MAE. EN CIENCIAS DE LA INF. Y LAS COMUNICACIONES ENFASIS EN TELEINF.</v>
      </c>
      <c r="E901" s="19" t="str">
        <f>VLOOKUP(A901,'ESTADOS ESTUDIANTES'!B:L,5,0)</f>
        <v>X</v>
      </c>
      <c r="F901" s="18" t="str">
        <f>VLOOKUP(E901,Listas!B1:C1004,2,0)</f>
        <v>EXCLUIDO</v>
      </c>
      <c r="G901" s="19">
        <f>VLOOKUP(A901,'ESTADOS ESTUDIANTES'!B:L,7,0)</f>
        <v>3</v>
      </c>
      <c r="H901" s="19" t="str">
        <f>VLOOKUP(A901,'ESTADOS ESTUDIANTES'!B:L,8,0)</f>
        <v>jltorress@correo.udistrital.edu.co</v>
      </c>
      <c r="I901" s="70" t="str">
        <f>VLOOKUP(A901,'ESTADOS ESTUDIANTES'!B:L,9,0)</f>
        <v>leonard_2103@hotmail.com</v>
      </c>
      <c r="J901" s="19" t="str">
        <f>VLOOKUP(A901,'ESTADOS ESTUDIANTES'!B:L,10,0)</f>
        <v>CC</v>
      </c>
      <c r="K901" s="19">
        <f>VLOOKUP(A901,'ESTADOS ESTUDIANTES'!B:L,11,0)</f>
        <v>1018465594</v>
      </c>
      <c r="L901" s="19">
        <v>3137837699</v>
      </c>
      <c r="M901" s="20"/>
      <c r="N901" s="22"/>
      <c r="O901" s="15"/>
      <c r="P901" s="15"/>
      <c r="Q901" s="15"/>
      <c r="R901" s="15"/>
      <c r="S901" s="15"/>
      <c r="T901" s="15"/>
      <c r="U901" s="15"/>
    </row>
    <row r="902" spans="1:21" ht="105">
      <c r="A902" s="17">
        <v>20172395002</v>
      </c>
      <c r="B902" s="19" t="str">
        <f>VLOOKUP(A902,'ESTADOS ESTUDIANTES'!B:L,2,0)</f>
        <v>BECERRA GARCÍA LAURA JUANITA</v>
      </c>
      <c r="C902" s="19">
        <f>VLOOKUP(A902,'ESTADOS ESTUDIANTES'!B:L,3,0)</f>
        <v>395</v>
      </c>
      <c r="D902" s="66" t="str">
        <f>VLOOKUP(A902,'ESTADOS ESTUDIANTES'!B:L,4,0)</f>
        <v>MAE. EN CIENCIAS DE LA INF. Y LAS COMUNICACIONES ENFASIS EN GEOMATICA</v>
      </c>
      <c r="E902" s="19" t="str">
        <f>VLOOKUP(A902,'ESTADOS ESTUDIANTES'!B:L,5,0)</f>
        <v>E</v>
      </c>
      <c r="F902" s="18" t="str">
        <f>VLOOKUP(E902,Listas!B1:C1004,2,0)</f>
        <v>EGRESADO</v>
      </c>
      <c r="G902" s="19">
        <f>VLOOKUP(A902,'ESTADOS ESTUDIANTES'!B:L,7,0)</f>
        <v>3</v>
      </c>
      <c r="H902" s="19" t="str">
        <f>VLOOKUP(A902,'ESTADOS ESTUDIANTES'!B:L,8,0)</f>
        <v>ljbecerrag@udistrital.edu.co</v>
      </c>
      <c r="I902" s="70" t="str">
        <f>VLOOKUP(A902,'ESTADOS ESTUDIANTES'!B:L,9,0)</f>
        <v>ljbecerrag@gmail.com</v>
      </c>
      <c r="J902" s="19" t="str">
        <f>VLOOKUP(A902,'ESTADOS ESTUDIANTES'!B:L,10,0)</f>
        <v>CC</v>
      </c>
      <c r="K902" s="19">
        <f>VLOOKUP(A902,'ESTADOS ESTUDIANTES'!B:L,11,0)</f>
        <v>1024554082</v>
      </c>
      <c r="L902" s="19">
        <v>3114956211</v>
      </c>
      <c r="M902" s="20">
        <v>34451</v>
      </c>
      <c r="N902" s="22"/>
      <c r="O902" s="15"/>
      <c r="P902" s="15"/>
      <c r="Q902" s="15"/>
      <c r="R902" s="15"/>
      <c r="S902" s="15"/>
      <c r="T902" s="15"/>
      <c r="U902" s="15"/>
    </row>
    <row r="903" spans="1:21" ht="105">
      <c r="A903" s="17">
        <v>20172395003</v>
      </c>
      <c r="B903" s="19" t="str">
        <f>VLOOKUP(A903,'ESTADOS ESTUDIANTES'!B:L,2,0)</f>
        <v>BECERRA MARTINEZ YURI LORENA</v>
      </c>
      <c r="C903" s="19">
        <f>VLOOKUP(A903,'ESTADOS ESTUDIANTES'!B:L,3,0)</f>
        <v>395</v>
      </c>
      <c r="D903" s="66" t="str">
        <f>VLOOKUP(A903,'ESTADOS ESTUDIANTES'!B:L,4,0)</f>
        <v>MAE. EN CIENCIAS DE LA INF. Y LAS COMUNICACIONES ENFASIS EN GEOMATICA</v>
      </c>
      <c r="E903" s="19" t="str">
        <f>VLOOKUP(A903,'ESTADOS ESTUDIANTES'!B:L,5,0)</f>
        <v>N</v>
      </c>
      <c r="F903" s="18" t="str">
        <f>VLOOKUP(E903,Listas!B1:C1004,2,0)</f>
        <v>ERROR DE CODIGO</v>
      </c>
      <c r="G903" s="19" t="str">
        <f>VLOOKUP(A903,'ESTADOS ESTUDIANTES'!B:L,7,0)</f>
        <v>NO REGISTRA</v>
      </c>
      <c r="H903" s="19" t="str">
        <f>VLOOKUP(A903,'ESTADOS ESTUDIANTES'!B:L,8,0)</f>
        <v>ylbecerram@correo.udistrital.edu.co</v>
      </c>
      <c r="I903" s="70" t="str">
        <f>VLOOKUP(A903,'ESTADOS ESTUDIANTES'!B:L,9,0)</f>
        <v>lorebm05@gmail.com</v>
      </c>
      <c r="J903" s="19" t="str">
        <f>VLOOKUP(A903,'ESTADOS ESTUDIANTES'!B:L,10,0)</f>
        <v>CC</v>
      </c>
      <c r="K903" s="19">
        <f>VLOOKUP(A903,'ESTADOS ESTUDIANTES'!B:L,11,0)</f>
        <v>1023904261</v>
      </c>
      <c r="L903" s="19">
        <v>3208142656</v>
      </c>
      <c r="M903" s="20"/>
      <c r="N903" s="22"/>
      <c r="O903" s="15"/>
      <c r="P903" s="15"/>
      <c r="Q903" s="15"/>
      <c r="R903" s="15"/>
      <c r="S903" s="15"/>
      <c r="T903" s="15"/>
      <c r="U903" s="15"/>
    </row>
    <row r="904" spans="1:21" ht="105">
      <c r="A904" s="17">
        <v>20172395004</v>
      </c>
      <c r="B904" s="19" t="str">
        <f>VLOOKUP(A904,'ESTADOS ESTUDIANTES'!B:L,2,0)</f>
        <v>CASTILLO RAMÍREZ CARLOS ANDRÉS</v>
      </c>
      <c r="C904" s="19">
        <f>VLOOKUP(A904,'ESTADOS ESTUDIANTES'!B:L,3,0)</f>
        <v>395</v>
      </c>
      <c r="D904" s="66" t="str">
        <f>VLOOKUP(A904,'ESTADOS ESTUDIANTES'!B:L,4,0)</f>
        <v>MAE. EN CIENCIAS DE LA INF. Y LAS COMUNICACIONES ENFASIS EN GEOMATICA</v>
      </c>
      <c r="E904" s="19" t="str">
        <f>VLOOKUP(A904,'ESTADOS ESTUDIANTES'!B:L,5,0)</f>
        <v>X</v>
      </c>
      <c r="F904" s="18" t="str">
        <f>VLOOKUP(E904,Listas!B1:C1004,2,0)</f>
        <v>EXCLUIDO</v>
      </c>
      <c r="G904" s="19">
        <f>VLOOKUP(A904,'ESTADOS ESTUDIANTES'!B:L,7,0)</f>
        <v>4</v>
      </c>
      <c r="H904" s="19" t="str">
        <f>VLOOKUP(A904,'ESTADOS ESTUDIANTES'!B:L,8,0)</f>
        <v>caacastillor@udistrital.edu.co</v>
      </c>
      <c r="I904" s="70" t="str">
        <f>VLOOKUP(A904,'ESTADOS ESTUDIANTES'!B:L,9,0)</f>
        <v>karloanca@gmail.com</v>
      </c>
      <c r="J904" s="19" t="str">
        <f>VLOOKUP(A904,'ESTADOS ESTUDIANTES'!B:L,10,0)</f>
        <v>CC</v>
      </c>
      <c r="K904" s="19">
        <f>VLOOKUP(A904,'ESTADOS ESTUDIANTES'!B:L,11,0)</f>
        <v>1013609700</v>
      </c>
      <c r="L904" s="19">
        <v>3202310770</v>
      </c>
      <c r="M904" s="20">
        <v>32875</v>
      </c>
      <c r="N904" s="22"/>
      <c r="O904" s="15"/>
      <c r="P904" s="15"/>
      <c r="Q904" s="15"/>
      <c r="R904" s="15"/>
      <c r="S904" s="15"/>
      <c r="T904" s="15"/>
      <c r="U904" s="15"/>
    </row>
    <row r="905" spans="1:21" ht="105">
      <c r="A905" s="17">
        <v>20172395005</v>
      </c>
      <c r="B905" s="19" t="str">
        <f>VLOOKUP(A905,'ESTADOS ESTUDIANTES'!B:L,2,0)</f>
        <v>CEPEDA QUINTERO RICARDO EDILBERTO</v>
      </c>
      <c r="C905" s="19">
        <f>VLOOKUP(A905,'ESTADOS ESTUDIANTES'!B:L,3,0)</f>
        <v>395</v>
      </c>
      <c r="D905" s="66" t="str">
        <f>VLOOKUP(A905,'ESTADOS ESTUDIANTES'!B:L,4,0)</f>
        <v>MAE. EN CIENCIAS DE LA INF. Y LAS COMUNICACIONES ENFASIS EN GEOMATICA</v>
      </c>
      <c r="E905" s="19" t="str">
        <f>VLOOKUP(A905,'ESTADOS ESTUDIANTES'!B:L,5,0)</f>
        <v>N</v>
      </c>
      <c r="F905" s="18" t="str">
        <f>VLOOKUP(E905,Listas!B1:C1004,2,0)</f>
        <v>ERROR DE CODIGO</v>
      </c>
      <c r="G905" s="19" t="str">
        <f>VLOOKUP(A905,'ESTADOS ESTUDIANTES'!B:L,7,0)</f>
        <v>NO REGISTRA</v>
      </c>
      <c r="H905" s="19" t="str">
        <f>VLOOKUP(A905,'ESTADOS ESTUDIANTES'!B:L,8,0)</f>
        <v>recepedaq@correo.udistrital.edu.co</v>
      </c>
      <c r="I905" s="70" t="str">
        <f>VLOOKUP(A905,'ESTADOS ESTUDIANTES'!B:L,9,0)</f>
        <v>ricardocepeda27@hotmail.com</v>
      </c>
      <c r="J905" s="19" t="str">
        <f>VLOOKUP(A905,'ESTADOS ESTUDIANTES'!B:L,10,0)</f>
        <v>CC</v>
      </c>
      <c r="K905" s="19">
        <f>VLOOKUP(A905,'ESTADOS ESTUDIANTES'!B:L,11,0)</f>
        <v>1015432056</v>
      </c>
      <c r="L905" s="19">
        <v>3103120593</v>
      </c>
      <c r="M905" s="20"/>
      <c r="N905" s="22"/>
      <c r="O905" s="15"/>
      <c r="P905" s="15"/>
      <c r="Q905" s="15"/>
      <c r="R905" s="15"/>
      <c r="S905" s="15"/>
      <c r="T905" s="15"/>
      <c r="U905" s="15"/>
    </row>
    <row r="906" spans="1:21" ht="105">
      <c r="A906" s="17">
        <v>20172395006</v>
      </c>
      <c r="B906" s="19" t="str">
        <f>VLOOKUP(A906,'ESTADOS ESTUDIANTES'!B:L,2,0)</f>
        <v>LEÓN CAROLINA GIRÓN</v>
      </c>
      <c r="C906" s="19">
        <f>VLOOKUP(A906,'ESTADOS ESTUDIANTES'!B:L,3,0)</f>
        <v>395</v>
      </c>
      <c r="D906" s="66" t="str">
        <f>VLOOKUP(A906,'ESTADOS ESTUDIANTES'!B:L,4,0)</f>
        <v>MAE. EN CIENCIAS DE LA INF. Y LAS COMUNICACIONES ENFASIS EN GEOMATICA</v>
      </c>
      <c r="E906" s="19" t="str">
        <f>VLOOKUP(A906,'ESTADOS ESTUDIANTES'!B:L,5,0)</f>
        <v>E</v>
      </c>
      <c r="F906" s="18" t="str">
        <f>VLOOKUP(E906,Listas!B1:C1004,2,0)</f>
        <v>EGRESADO</v>
      </c>
      <c r="G906" s="19">
        <f>VLOOKUP(A906,'ESTADOS ESTUDIANTES'!B:L,7,0)</f>
        <v>3</v>
      </c>
      <c r="H906" s="19" t="str">
        <f>VLOOKUP(A906,'ESTADOS ESTUDIANTES'!B:L,8,0)</f>
        <v>cleong@correo.udistrital.edu.co</v>
      </c>
      <c r="I906" s="70" t="str">
        <f>VLOOKUP(A906,'ESTADOS ESTUDIANTES'!B:L,9,0)</f>
        <v>cleongiron@gmail.com</v>
      </c>
      <c r="J906" s="19" t="str">
        <f>VLOOKUP(A906,'ESTADOS ESTUDIANTES'!B:L,10,0)</f>
        <v>CC</v>
      </c>
      <c r="K906" s="19">
        <f>VLOOKUP(A906,'ESTADOS ESTUDIANTES'!B:L,11,0)</f>
        <v>53014101</v>
      </c>
      <c r="L906" s="19">
        <v>3142670599</v>
      </c>
      <c r="M906" s="20"/>
      <c r="N906" s="22"/>
      <c r="O906" s="15"/>
      <c r="P906" s="15"/>
      <c r="Q906" s="15"/>
      <c r="R906" s="15"/>
      <c r="S906" s="15"/>
      <c r="T906" s="15"/>
      <c r="U906" s="15"/>
    </row>
    <row r="907" spans="1:21" ht="105">
      <c r="A907" s="17">
        <v>20172395008</v>
      </c>
      <c r="B907" s="19" t="str">
        <f>VLOOKUP(A907,'ESTADOS ESTUDIANTES'!B:L,2,0)</f>
        <v>GONZÁLEZ TRIANA LEYDI ANDREA</v>
      </c>
      <c r="C907" s="19">
        <f>VLOOKUP(A907,'ESTADOS ESTUDIANTES'!B:L,3,0)</f>
        <v>395</v>
      </c>
      <c r="D907" s="66" t="str">
        <f>VLOOKUP(A907,'ESTADOS ESTUDIANTES'!B:L,4,0)</f>
        <v>MAE. EN CIENCIAS DE LA INF. Y LAS COMUNICACIONES ENFASIS EN GEOMATICA</v>
      </c>
      <c r="E907" s="19" t="str">
        <f>VLOOKUP(A907,'ESTADOS ESTUDIANTES'!B:L,5,0)</f>
        <v>X</v>
      </c>
      <c r="F907" s="18" t="str">
        <f>VLOOKUP(E907,Listas!B1:C1004,2,0)</f>
        <v>EXCLUIDO</v>
      </c>
      <c r="G907" s="19" t="str">
        <f>VLOOKUP(A907,'ESTADOS ESTUDIANTES'!B:L,7,0)</f>
        <v>NO REGISTRA</v>
      </c>
      <c r="H907" s="19" t="str">
        <f>VLOOKUP(A907,'ESTADOS ESTUDIANTES'!B:L,8,0)</f>
        <v>lagonzalezt@correo.udistrital.edu.co</v>
      </c>
      <c r="I907" s="70" t="str">
        <f>VLOOKUP(A907,'ESTADOS ESTUDIANTES'!B:L,9,0)</f>
        <v>leidygnzalez@gmail.com</v>
      </c>
      <c r="J907" s="19" t="str">
        <f>VLOOKUP(A907,'ESTADOS ESTUDIANTES'!B:L,10,0)</f>
        <v>CC</v>
      </c>
      <c r="K907" s="19">
        <f>VLOOKUP(A907,'ESTADOS ESTUDIANTES'!B:L,11,0)</f>
        <v>1070961137</v>
      </c>
      <c r="L907" s="19">
        <v>3193296945</v>
      </c>
      <c r="M907" s="20"/>
      <c r="N907" s="22"/>
      <c r="O907" s="15"/>
      <c r="P907" s="15"/>
      <c r="Q907" s="15"/>
      <c r="R907" s="15"/>
      <c r="S907" s="15"/>
      <c r="T907" s="15"/>
      <c r="U907" s="15"/>
    </row>
    <row r="908" spans="1:21" ht="105">
      <c r="A908" s="17">
        <v>20172395010</v>
      </c>
      <c r="B908" s="19" t="str">
        <f>VLOOKUP(A908,'ESTADOS ESTUDIANTES'!B:L,2,0)</f>
        <v>MURCIA MORALES JOHAN CAMILO</v>
      </c>
      <c r="C908" s="19">
        <f>VLOOKUP(A908,'ESTADOS ESTUDIANTES'!B:L,3,0)</f>
        <v>395</v>
      </c>
      <c r="D908" s="66" t="str">
        <f>VLOOKUP(A908,'ESTADOS ESTUDIANTES'!B:L,4,0)</f>
        <v>MAE. EN CIENCIAS DE LA INF. Y LAS COMUNICACIONES ENFASIS EN GEOMATICA</v>
      </c>
      <c r="E908" s="19" t="str">
        <f>VLOOKUP(A908,'ESTADOS ESTUDIANTES'!B:L,5,0)</f>
        <v>X</v>
      </c>
      <c r="F908" s="18" t="str">
        <f>VLOOKUP(E908,Listas!B1:C1004,2,0)</f>
        <v>EXCLUIDO</v>
      </c>
      <c r="G908" s="19">
        <f>VLOOKUP(A908,'ESTADOS ESTUDIANTES'!B:L,7,0)</f>
        <v>3</v>
      </c>
      <c r="H908" s="19" t="str">
        <f>VLOOKUP(A908,'ESTADOS ESTUDIANTES'!B:L,8,0)</f>
        <v>jcmurciam@udistrital.edu.co</v>
      </c>
      <c r="I908" s="70" t="str">
        <f>VLOOKUP(A908,'ESTADOS ESTUDIANTES'!B:L,9,0)</f>
        <v>camimur90@gmail.com</v>
      </c>
      <c r="J908" s="19" t="str">
        <f>VLOOKUP(A908,'ESTADOS ESTUDIANTES'!B:L,10,0)</f>
        <v>CC</v>
      </c>
      <c r="K908" s="19">
        <f>VLOOKUP(A908,'ESTADOS ESTUDIANTES'!B:L,11,0)</f>
        <v>1022365018</v>
      </c>
      <c r="L908" s="19">
        <v>3214661582</v>
      </c>
      <c r="M908" s="20">
        <v>33177</v>
      </c>
      <c r="N908" s="22"/>
      <c r="O908" s="15"/>
      <c r="P908" s="15"/>
      <c r="Q908" s="15"/>
      <c r="R908" s="15"/>
      <c r="S908" s="15"/>
      <c r="T908" s="15"/>
      <c r="U908" s="15"/>
    </row>
    <row r="909" spans="1:21" ht="105">
      <c r="A909" s="17">
        <v>20172395011</v>
      </c>
      <c r="B909" s="19" t="str">
        <f>VLOOKUP(A909,'ESTADOS ESTUDIANTES'!B:L,2,0)</f>
        <v>NIETO VERA YENI ANDREA</v>
      </c>
      <c r="C909" s="19">
        <f>VLOOKUP(A909,'ESTADOS ESTUDIANTES'!B:L,3,0)</f>
        <v>395</v>
      </c>
      <c r="D909" s="66" t="str">
        <f>VLOOKUP(A909,'ESTADOS ESTUDIANTES'!B:L,4,0)</f>
        <v>MAE. EN CIENCIAS DE LA INF. Y LAS COMUNICACIONES ENFASIS EN GEOMATICA</v>
      </c>
      <c r="E909" s="19" t="str">
        <f>VLOOKUP(A909,'ESTADOS ESTUDIANTES'!B:L,5,0)</f>
        <v>E</v>
      </c>
      <c r="F909" s="18" t="str">
        <f>VLOOKUP(E909,Listas!B1:C1004,2,0)</f>
        <v>EGRESADO</v>
      </c>
      <c r="G909" s="19">
        <f>VLOOKUP(A909,'ESTADOS ESTUDIANTES'!B:L,7,0)</f>
        <v>2</v>
      </c>
      <c r="H909" s="19" t="str">
        <f>VLOOKUP(A909,'ESTADOS ESTUDIANTES'!B:L,8,0)</f>
        <v>yeanietov@correo.udistrital.edu.co</v>
      </c>
      <c r="I909" s="70" t="str">
        <f>VLOOKUP(A909,'ESTADOS ESTUDIANTES'!B:L,9,0)</f>
        <v>yennynieto01@gmail.com</v>
      </c>
      <c r="J909" s="19" t="str">
        <f>VLOOKUP(A909,'ESTADOS ESTUDIANTES'!B:L,10,0)</f>
        <v>CC</v>
      </c>
      <c r="K909" s="19">
        <f>VLOOKUP(A909,'ESTADOS ESTUDIANTES'!B:L,11,0)</f>
        <v>1014248221</v>
      </c>
      <c r="L909" s="19">
        <v>3214245640</v>
      </c>
      <c r="M909" s="20"/>
      <c r="N909" s="22"/>
      <c r="O909" s="15"/>
      <c r="P909" s="15"/>
      <c r="Q909" s="15"/>
      <c r="R909" s="15"/>
      <c r="S909" s="15"/>
      <c r="T909" s="15"/>
      <c r="U909" s="15"/>
    </row>
    <row r="910" spans="1:21" ht="105">
      <c r="A910" s="17">
        <v>20172395012</v>
      </c>
      <c r="B910" s="19" t="str">
        <f>VLOOKUP(A910,'ESTADOS ESTUDIANTES'!B:L,2,0)</f>
        <v>NOSSA CALDERÓN JAVIER ANDRÉS</v>
      </c>
      <c r="C910" s="19">
        <f>VLOOKUP(A910,'ESTADOS ESTUDIANTES'!B:L,3,0)</f>
        <v>395</v>
      </c>
      <c r="D910" s="66" t="str">
        <f>VLOOKUP(A910,'ESTADOS ESTUDIANTES'!B:L,4,0)</f>
        <v>MAE. EN CIENCIAS DE LA INF. Y LAS COMUNICACIONES ENFASIS EN GEOMATICA</v>
      </c>
      <c r="E910" s="19" t="str">
        <f>VLOOKUP(A910,'ESTADOS ESTUDIANTES'!B:L,5,0)</f>
        <v>X</v>
      </c>
      <c r="F910" s="18" t="str">
        <f>VLOOKUP(E910,Listas!B1:C1004,2,0)</f>
        <v>EXCLUIDO</v>
      </c>
      <c r="G910" s="19">
        <f>VLOOKUP(A910,'ESTADOS ESTUDIANTES'!B:L,7,0)</f>
        <v>3</v>
      </c>
      <c r="H910" s="19" t="str">
        <f>VLOOKUP(A910,'ESTADOS ESTUDIANTES'!B:L,8,0)</f>
        <v>janossac@correo.udistrital.edu.co</v>
      </c>
      <c r="I910" s="70" t="str">
        <f>VLOOKUP(A910,'ESTADOS ESTUDIANTES'!B:L,9,0)</f>
        <v>andresnossac@gmail.com</v>
      </c>
      <c r="J910" s="19" t="str">
        <f>VLOOKUP(A910,'ESTADOS ESTUDIANTES'!B:L,10,0)</f>
        <v>CC</v>
      </c>
      <c r="K910" s="19">
        <f>VLOOKUP(A910,'ESTADOS ESTUDIANTES'!B:L,11,0)</f>
        <v>1020745698</v>
      </c>
      <c r="L910" s="19">
        <v>3008335060</v>
      </c>
      <c r="M910" s="20"/>
      <c r="N910" s="22"/>
      <c r="O910" s="15"/>
      <c r="P910" s="15"/>
      <c r="Q910" s="15"/>
      <c r="R910" s="15"/>
      <c r="S910" s="15"/>
      <c r="T910" s="15"/>
      <c r="U910" s="15"/>
    </row>
    <row r="911" spans="1:21" ht="105">
      <c r="A911" s="17">
        <v>20172395013</v>
      </c>
      <c r="B911" s="19" t="str">
        <f>VLOOKUP(A911,'ESTADOS ESTUDIANTES'!B:L,2,0)</f>
        <v>ORTIZ RUIZ STEVEN OSWALDO</v>
      </c>
      <c r="C911" s="19">
        <f>VLOOKUP(A911,'ESTADOS ESTUDIANTES'!B:L,3,0)</f>
        <v>395</v>
      </c>
      <c r="D911" s="66" t="str">
        <f>VLOOKUP(A911,'ESTADOS ESTUDIANTES'!B:L,4,0)</f>
        <v>MAE. EN CIENCIAS DE LA INF. Y LAS COMUNICACIONES ENFASIS EN GEOMATICA</v>
      </c>
      <c r="E911" s="19" t="str">
        <f>VLOOKUP(A911,'ESTADOS ESTUDIANTES'!B:L,5,0)</f>
        <v>X</v>
      </c>
      <c r="F911" s="18" t="str">
        <f>VLOOKUP(E911,Listas!B1:C1004,2,0)</f>
        <v>EXCLUIDO</v>
      </c>
      <c r="G911" s="19" t="str">
        <f>VLOOKUP(A911,'ESTADOS ESTUDIANTES'!B:L,7,0)</f>
        <v>NO REGISTRA</v>
      </c>
      <c r="H911" s="19" t="str">
        <f>VLOOKUP(A911,'ESTADOS ESTUDIANTES'!B:L,8,0)</f>
        <v>soortizr@correo.udistrital.edu.co</v>
      </c>
      <c r="I911" s="70" t="str">
        <f>VLOOKUP(A911,'ESTADOS ESTUDIANTES'!B:L,9,0)</f>
        <v>ingsortizr90@gmail.com</v>
      </c>
      <c r="J911" s="19" t="str">
        <f>VLOOKUP(A911,'ESTADOS ESTUDIANTES'!B:L,10,0)</f>
        <v>CC</v>
      </c>
      <c r="K911" s="19">
        <f>VLOOKUP(A911,'ESTADOS ESTUDIANTES'!B:L,11,0)</f>
        <v>1014214639</v>
      </c>
      <c r="L911" s="19">
        <v>3124364421</v>
      </c>
      <c r="M911" s="20"/>
      <c r="N911" s="22"/>
      <c r="O911" s="15"/>
      <c r="P911" s="15"/>
      <c r="Q911" s="15"/>
      <c r="R911" s="15"/>
      <c r="S911" s="15"/>
      <c r="T911" s="15"/>
      <c r="U911" s="15"/>
    </row>
    <row r="912" spans="1:21" ht="105">
      <c r="A912" s="17">
        <v>20172395014</v>
      </c>
      <c r="B912" s="19" t="str">
        <f>VLOOKUP(A912,'ESTADOS ESTUDIANTES'!B:L,2,0)</f>
        <v>PATIÑO RIVERA HÉCTOR RICARDO</v>
      </c>
      <c r="C912" s="19">
        <f>VLOOKUP(A912,'ESTADOS ESTUDIANTES'!B:L,3,0)</f>
        <v>395</v>
      </c>
      <c r="D912" s="66" t="str">
        <f>VLOOKUP(A912,'ESTADOS ESTUDIANTES'!B:L,4,0)</f>
        <v>MAE. EN CIENCIAS DE LA INF. Y LAS COMUNICACIONES ENFASIS EN GEOMATICA</v>
      </c>
      <c r="E912" s="19" t="str">
        <f>VLOOKUP(A912,'ESTADOS ESTUDIANTES'!B:L,5,0)</f>
        <v>E</v>
      </c>
      <c r="F912" s="18" t="str">
        <f>VLOOKUP(E912,Listas!B1:C1004,2,0)</f>
        <v>EGRESADO</v>
      </c>
      <c r="G912" s="19">
        <f>VLOOKUP(A912,'ESTADOS ESTUDIANTES'!B:L,7,0)</f>
        <v>4</v>
      </c>
      <c r="H912" s="19" t="str">
        <f>VLOOKUP(A912,'ESTADOS ESTUDIANTES'!B:L,8,0)</f>
        <v>hrpatinor@udistrital.edu.co</v>
      </c>
      <c r="I912" s="70" t="str">
        <f>VLOOKUP(A912,'ESTADOS ESTUDIANTES'!B:L,9,0)</f>
        <v>hectorpatino24@gmail.com</v>
      </c>
      <c r="J912" s="19" t="str">
        <f>VLOOKUP(A912,'ESTADOS ESTUDIANTES'!B:L,10,0)</f>
        <v>CC</v>
      </c>
      <c r="K912" s="19">
        <f>VLOOKUP(A912,'ESTADOS ESTUDIANTES'!B:L,11,0)</f>
        <v>1015411098</v>
      </c>
      <c r="L912" s="19">
        <v>3102373406</v>
      </c>
      <c r="M912" s="20">
        <v>32601</v>
      </c>
      <c r="N912" s="22"/>
      <c r="O912" s="15"/>
      <c r="P912" s="15"/>
      <c r="Q912" s="15"/>
      <c r="R912" s="15"/>
      <c r="S912" s="15"/>
      <c r="T912" s="15"/>
      <c r="U912" s="15"/>
    </row>
    <row r="913" spans="1:21" ht="105">
      <c r="A913" s="17">
        <v>20172395015</v>
      </c>
      <c r="B913" s="19" t="str">
        <f>VLOOKUP(A913,'ESTADOS ESTUDIANTES'!B:L,2,0)</f>
        <v>PORRAS MARTÍN CAMILO ANDRÉS</v>
      </c>
      <c r="C913" s="19">
        <f>VLOOKUP(A913,'ESTADOS ESTUDIANTES'!B:L,3,0)</f>
        <v>395</v>
      </c>
      <c r="D913" s="66" t="str">
        <f>VLOOKUP(A913,'ESTADOS ESTUDIANTES'!B:L,4,0)</f>
        <v>MAE. EN CIENCIAS DE LA INF. Y LAS COMUNICACIONES ENFASIS EN GEOMATICA</v>
      </c>
      <c r="E913" s="19" t="str">
        <f>VLOOKUP(A913,'ESTADOS ESTUDIANTES'!B:L,5,0)</f>
        <v>E</v>
      </c>
      <c r="F913" s="18" t="str">
        <f>VLOOKUP(E913,Listas!B1:C1004,2,0)</f>
        <v>EGRESADO</v>
      </c>
      <c r="G913" s="19">
        <f>VLOOKUP(A913,'ESTADOS ESTUDIANTES'!B:L,7,0)</f>
        <v>3</v>
      </c>
      <c r="H913" s="19" t="str">
        <f>VLOOKUP(A913,'ESTADOS ESTUDIANTES'!B:L,8,0)</f>
        <v>caporrasm@udistrital.edu.co</v>
      </c>
      <c r="I913" s="70" t="str">
        <f>VLOOKUP(A913,'ESTADOS ESTUDIANTES'!B:L,9,0)</f>
        <v>milo1409@gmail.com</v>
      </c>
      <c r="J913" s="19" t="str">
        <f>VLOOKUP(A913,'ESTADOS ESTUDIANTES'!B:L,10,0)</f>
        <v>CC</v>
      </c>
      <c r="K913" s="19">
        <f>VLOOKUP(A913,'ESTADOS ESTUDIANTES'!B:L,11,0)</f>
        <v>1018454307</v>
      </c>
      <c r="L913" s="19">
        <v>3102537814</v>
      </c>
      <c r="M913" s="20">
        <v>33861</v>
      </c>
      <c r="N913" s="22"/>
      <c r="O913" s="15"/>
      <c r="P913" s="15"/>
      <c r="Q913" s="15"/>
      <c r="R913" s="15"/>
      <c r="S913" s="15"/>
      <c r="T913" s="15"/>
      <c r="U913" s="15"/>
    </row>
    <row r="914" spans="1:21" ht="105">
      <c r="A914" s="17">
        <v>20172395016</v>
      </c>
      <c r="B914" s="19" t="str">
        <f>VLOOKUP(A914,'ESTADOS ESTUDIANTES'!B:L,2,0)</f>
        <v>PULIDO ARIAS ROBERT ANDRÉS</v>
      </c>
      <c r="C914" s="19">
        <f>VLOOKUP(A914,'ESTADOS ESTUDIANTES'!B:L,3,0)</f>
        <v>395</v>
      </c>
      <c r="D914" s="66" t="str">
        <f>VLOOKUP(A914,'ESTADOS ESTUDIANTES'!B:L,4,0)</f>
        <v>MAE. EN CIENCIAS DE LA INF. Y LAS COMUNICACIONES ENFASIS EN GEOMATICA</v>
      </c>
      <c r="E914" s="19" t="str">
        <f>VLOOKUP(A914,'ESTADOS ESTUDIANTES'!B:L,5,0)</f>
        <v>E</v>
      </c>
      <c r="F914" s="18" t="str">
        <f>VLOOKUP(E914,Listas!B1:C1004,2,0)</f>
        <v>EGRESADO</v>
      </c>
      <c r="G914" s="19">
        <f>VLOOKUP(A914,'ESTADOS ESTUDIANTES'!B:L,7,0)</f>
        <v>3</v>
      </c>
      <c r="H914" s="19" t="str">
        <f>VLOOKUP(A914,'ESTADOS ESTUDIANTES'!B:L,8,0)</f>
        <v>rapulidoa@udistrital.edu.co</v>
      </c>
      <c r="I914" s="70" t="str">
        <f>VLOOKUP(A914,'ESTADOS ESTUDIANTES'!B:L,9,0)</f>
        <v>ingrobertpulido@gmail.com</v>
      </c>
      <c r="J914" s="19" t="str">
        <f>VLOOKUP(A914,'ESTADOS ESTUDIANTES'!B:L,10,0)</f>
        <v>CC</v>
      </c>
      <c r="K914" s="19">
        <f>VLOOKUP(A914,'ESTADOS ESTUDIANTES'!B:L,11,0)</f>
        <v>1030612608</v>
      </c>
      <c r="L914" s="19">
        <v>3193318913</v>
      </c>
      <c r="M914" s="20">
        <v>33815</v>
      </c>
      <c r="N914" s="22"/>
      <c r="O914" s="15"/>
      <c r="P914" s="15"/>
      <c r="Q914" s="15"/>
      <c r="R914" s="15"/>
      <c r="S914" s="15"/>
      <c r="T914" s="15"/>
      <c r="U914" s="15"/>
    </row>
    <row r="915" spans="1:21" ht="105">
      <c r="A915" s="17">
        <v>20172395017</v>
      </c>
      <c r="B915" s="19" t="str">
        <f>VLOOKUP(A915,'ESTADOS ESTUDIANTES'!B:L,2,0)</f>
        <v>ALFÉREZ RUIZ GUILLERMO</v>
      </c>
      <c r="C915" s="19">
        <f>VLOOKUP(A915,'ESTADOS ESTUDIANTES'!B:L,3,0)</f>
        <v>395</v>
      </c>
      <c r="D915" s="66" t="str">
        <f>VLOOKUP(A915,'ESTADOS ESTUDIANTES'!B:L,4,0)</f>
        <v>MAE. EN CIENCIAS DE LA INF. Y LAS COMUNICACIONES ENFASIS EN GEOMATICA</v>
      </c>
      <c r="E915" s="19" t="str">
        <f>VLOOKUP(A915,'ESTADOS ESTUDIANTES'!B:L,5,0)</f>
        <v>X</v>
      </c>
      <c r="F915" s="18" t="str">
        <f>VLOOKUP(E915,Listas!B1:C1004,2,0)</f>
        <v>EXCLUIDO</v>
      </c>
      <c r="G915" s="19">
        <f>VLOOKUP(A915,'ESTADOS ESTUDIANTES'!B:L,7,0)</f>
        <v>4</v>
      </c>
      <c r="H915" s="19" t="str">
        <f>VLOOKUP(A915,'ESTADOS ESTUDIANTES'!B:L,8,0)</f>
        <v>galferezr@correo.udistrital.edu.co</v>
      </c>
      <c r="I915" s="70" t="str">
        <f>VLOOKUP(A915,'ESTADOS ESTUDIANTES'!B:L,9,0)</f>
        <v>ingalferez@gmail.com</v>
      </c>
      <c r="J915" s="19" t="str">
        <f>VLOOKUP(A915,'ESTADOS ESTUDIANTES'!B:L,10,0)</f>
        <v>CC</v>
      </c>
      <c r="K915" s="19">
        <f>VLOOKUP(A915,'ESTADOS ESTUDIANTES'!B:L,11,0)</f>
        <v>79808306</v>
      </c>
      <c r="L915" s="19">
        <v>3134733985</v>
      </c>
      <c r="M915" s="20"/>
      <c r="N915" s="22"/>
      <c r="O915" s="15"/>
      <c r="P915" s="15"/>
      <c r="Q915" s="15"/>
      <c r="R915" s="15"/>
      <c r="S915" s="15"/>
      <c r="T915" s="15"/>
      <c r="U915" s="15"/>
    </row>
    <row r="916" spans="1:21" ht="105">
      <c r="A916" s="17">
        <v>20172395018</v>
      </c>
      <c r="B916" s="19" t="str">
        <f>VLOOKUP(A916,'ESTADOS ESTUDIANTES'!B:L,2,0)</f>
        <v>CCAMA TICONA ULISES</v>
      </c>
      <c r="C916" s="19">
        <f>VLOOKUP(A916,'ESTADOS ESTUDIANTES'!B:L,3,0)</f>
        <v>395</v>
      </c>
      <c r="D916" s="66" t="str">
        <f>VLOOKUP(A916,'ESTADOS ESTUDIANTES'!B:L,4,0)</f>
        <v>MAE. EN CIENCIAS DE LA INF. Y LAS COMUNICACIONES ENFASIS EN GEOMATICA</v>
      </c>
      <c r="E916" s="19" t="str">
        <f>VLOOKUP(A916,'ESTADOS ESTUDIANTES'!B:L,5,0)</f>
        <v>N</v>
      </c>
      <c r="F916" s="18" t="str">
        <f>VLOOKUP(E916,Listas!B1:C1004,2,0)</f>
        <v>ERROR DE CODIGO</v>
      </c>
      <c r="G916" s="19" t="str">
        <f>VLOOKUP(A916,'ESTADOS ESTUDIANTES'!B:L,7,0)</f>
        <v>NO REGISTRA</v>
      </c>
      <c r="H916" s="19" t="str">
        <f>VLOOKUP(A916,'ESTADOS ESTUDIANTES'!B:L,8,0)</f>
        <v>ulccamat@correo.udistrital.edu.co</v>
      </c>
      <c r="I916" s="70" t="str">
        <f>VLOOKUP(A916,'ESTADOS ESTUDIANTES'!B:L,9,0)</f>
        <v>uccamat@gmail.com</v>
      </c>
      <c r="J916" s="19" t="str">
        <f>VLOOKUP(A916,'ESTADOS ESTUDIANTES'!B:L,10,0)</f>
        <v>PA</v>
      </c>
      <c r="K916" s="19">
        <f>VLOOKUP(A916,'ESTADOS ESTUDIANTES'!B:L,11,0)</f>
        <v>41042251</v>
      </c>
      <c r="L916" s="23"/>
      <c r="M916" s="20"/>
      <c r="N916" s="22"/>
      <c r="O916" s="15"/>
      <c r="P916" s="15"/>
      <c r="Q916" s="15"/>
      <c r="R916" s="15"/>
      <c r="S916" s="15"/>
      <c r="T916" s="15"/>
      <c r="U916" s="15"/>
    </row>
    <row r="917" spans="1:21" ht="105">
      <c r="A917" s="17">
        <v>20172395019</v>
      </c>
      <c r="B917" s="19" t="str">
        <f>VLOOKUP(A917,'ESTADOS ESTUDIANTES'!B:L,2,0)</f>
        <v>TORO GARAY GISELLE HELENA</v>
      </c>
      <c r="C917" s="19">
        <f>VLOOKUP(A917,'ESTADOS ESTUDIANTES'!B:L,3,0)</f>
        <v>395</v>
      </c>
      <c r="D917" s="66" t="str">
        <f>VLOOKUP(A917,'ESTADOS ESTUDIANTES'!B:L,4,0)</f>
        <v>MAE. EN CIENCIAS DE LA INF. Y LAS COMUNICACIONES ENFASIS EN GEOMATICA</v>
      </c>
      <c r="E917" s="19" t="str">
        <f>VLOOKUP(A917,'ESTADOS ESTUDIANTES'!B:L,5,0)</f>
        <v>E</v>
      </c>
      <c r="F917" s="18" t="str">
        <f>VLOOKUP(E917,Listas!B1:C1004,2,0)</f>
        <v>EGRESADO</v>
      </c>
      <c r="G917" s="19">
        <f>VLOOKUP(A917,'ESTADOS ESTUDIANTES'!B:L,7,0)</f>
        <v>3</v>
      </c>
      <c r="H917" s="19" t="str">
        <f>VLOOKUP(A917,'ESTADOS ESTUDIANTES'!B:L,8,0)</f>
        <v>ghtorog@correo.udistrital.edu.co</v>
      </c>
      <c r="I917" s="70" t="str">
        <f>VLOOKUP(A917,'ESTADOS ESTUDIANTES'!B:L,9,0)</f>
        <v>gisetoga@live.com</v>
      </c>
      <c r="J917" s="19" t="str">
        <f>VLOOKUP(A917,'ESTADOS ESTUDIANTES'!B:L,10,0)</f>
        <v>CC</v>
      </c>
      <c r="K917" s="19">
        <f>VLOOKUP(A917,'ESTADOS ESTUDIANTES'!B:L,11,0)</f>
        <v>1030586151</v>
      </c>
      <c r="L917" s="19">
        <v>3023686572</v>
      </c>
      <c r="M917" s="20"/>
      <c r="N917" s="22"/>
      <c r="O917" s="15"/>
      <c r="P917" s="15"/>
      <c r="Q917" s="15"/>
      <c r="R917" s="15"/>
      <c r="S917" s="15"/>
      <c r="T917" s="15"/>
      <c r="U917" s="15"/>
    </row>
    <row r="918" spans="1:21" ht="105">
      <c r="A918" s="17">
        <v>20172395020</v>
      </c>
      <c r="B918" s="19" t="str">
        <f>VLOOKUP(A918,'ESTADOS ESTUDIANTES'!B:L,2,0)</f>
        <v>VALLEJO ARÉVALO WILMER HARVEY</v>
      </c>
      <c r="C918" s="19">
        <f>VLOOKUP(A918,'ESTADOS ESTUDIANTES'!B:L,3,0)</f>
        <v>395</v>
      </c>
      <c r="D918" s="66" t="str">
        <f>VLOOKUP(A918,'ESTADOS ESTUDIANTES'!B:L,4,0)</f>
        <v>MAE. EN CIENCIAS DE LA INF. Y LAS COMUNICACIONES ENFASIS EN GEOMATICA</v>
      </c>
      <c r="E918" s="19" t="str">
        <f>VLOOKUP(A918,'ESTADOS ESTUDIANTES'!B:L,5,0)</f>
        <v>E</v>
      </c>
      <c r="F918" s="18" t="str">
        <f>VLOOKUP(E918,Listas!B1:C1004,2,0)</f>
        <v>EGRESADO</v>
      </c>
      <c r="G918" s="19" t="str">
        <f>VLOOKUP(A918,'ESTADOS ESTUDIANTES'!B:L,7,0)</f>
        <v>NO REGISTRA</v>
      </c>
      <c r="H918" s="19" t="str">
        <f>VLOOKUP(A918,'ESTADOS ESTUDIANTES'!B:L,8,0)</f>
        <v>whvallejoa@correo.udistrital.edu.co</v>
      </c>
      <c r="I918" s="70" t="str">
        <f>VLOOKUP(A918,'ESTADOS ESTUDIANTES'!B:L,9,0)</f>
        <v>whvallejoa@gmail.com</v>
      </c>
      <c r="J918" s="19" t="str">
        <f>VLOOKUP(A918,'ESTADOS ESTUDIANTES'!B:L,10,0)</f>
        <v>CC</v>
      </c>
      <c r="K918" s="19">
        <f>VLOOKUP(A918,'ESTADOS ESTUDIANTES'!B:L,11,0)</f>
        <v>1018442787</v>
      </c>
      <c r="L918" s="19">
        <v>3144067544</v>
      </c>
      <c r="M918" s="20"/>
      <c r="N918" s="22"/>
      <c r="O918" s="15"/>
      <c r="P918" s="15"/>
      <c r="Q918" s="15"/>
      <c r="R918" s="15"/>
      <c r="S918" s="15"/>
      <c r="T918" s="15"/>
      <c r="U918" s="15"/>
    </row>
    <row r="919" spans="1:21" ht="90">
      <c r="A919" s="17">
        <v>20172495001</v>
      </c>
      <c r="B919" s="19" t="str">
        <f>VLOOKUP(A919,'ESTADOS ESTUDIANTES'!B:L,2,0)</f>
        <v>GALINDO CALDERON CATALINA</v>
      </c>
      <c r="C919" s="19">
        <f>VLOOKUP(A919,'ESTADOS ESTUDIANTES'!B:L,3,0)</f>
        <v>495</v>
      </c>
      <c r="D919" s="66" t="str">
        <f>VLOOKUP(A919,'ESTADOS ESTUDIANTES'!B:L,4,0)</f>
        <v>MAE. EN CIENCIAS DE LA INF. Y LAS COMUNICACIONES ENFASIS EN ING. SOFT</v>
      </c>
      <c r="E919" s="19" t="str">
        <f>VLOOKUP(A919,'ESTADOS ESTUDIANTES'!B:L,5,0)</f>
        <v>X</v>
      </c>
      <c r="F919" s="18" t="str">
        <f>VLOOKUP(E919,Listas!B1:C1004,2,0)</f>
        <v>EXCLUIDO</v>
      </c>
      <c r="G919" s="19" t="str">
        <f>VLOOKUP(A919,'ESTADOS ESTUDIANTES'!B:L,7,0)</f>
        <v>NO REGISTRA</v>
      </c>
      <c r="H919" s="19" t="str">
        <f>VLOOKUP(A919,'ESTADOS ESTUDIANTES'!B:L,8,0)</f>
        <v>cagalindoc@correo.udistrital.edu.co</v>
      </c>
      <c r="I919" s="70" t="str">
        <f>VLOOKUP(A919,'ESTADOS ESTUDIANTES'!B:L,9,0)</f>
        <v>catalina.galindoc@gmail.com</v>
      </c>
      <c r="J919" s="19" t="str">
        <f>VLOOKUP(A919,'ESTADOS ESTUDIANTES'!B:L,10,0)</f>
        <v>CC</v>
      </c>
      <c r="K919" s="19">
        <f>VLOOKUP(A919,'ESTADOS ESTUDIANTES'!B:L,11,0)</f>
        <v>1015431562</v>
      </c>
      <c r="L919" s="19">
        <v>3196894850</v>
      </c>
      <c r="M919" s="20"/>
      <c r="N919" s="22"/>
      <c r="O919" s="15"/>
      <c r="P919" s="15"/>
      <c r="Q919" s="15"/>
      <c r="R919" s="15"/>
      <c r="S919" s="15"/>
      <c r="T919" s="15"/>
      <c r="U919" s="15"/>
    </row>
    <row r="920" spans="1:21" ht="90">
      <c r="A920" s="17">
        <v>20172495002</v>
      </c>
      <c r="B920" s="19" t="str">
        <f>VLOOKUP(A920,'ESTADOS ESTUDIANTES'!B:L,2,0)</f>
        <v>CELY GRANADOS OSCAR LEONARDO</v>
      </c>
      <c r="C920" s="19">
        <f>VLOOKUP(A920,'ESTADOS ESTUDIANTES'!B:L,3,0)</f>
        <v>495</v>
      </c>
      <c r="D920" s="66" t="str">
        <f>VLOOKUP(A920,'ESTADOS ESTUDIANTES'!B:L,4,0)</f>
        <v>MAE. EN CIENCIAS DE LA INF. Y LAS COMUNICACIONES ENFASIS EN ING. SOFT</v>
      </c>
      <c r="E920" s="19" t="str">
        <f>VLOOKUP(A920,'ESTADOS ESTUDIANTES'!B:L,5,0)</f>
        <v>E</v>
      </c>
      <c r="F920" s="18" t="str">
        <f>VLOOKUP(E920,Listas!B1:C1004,2,0)</f>
        <v>EGRESADO</v>
      </c>
      <c r="G920" s="19">
        <f>VLOOKUP(A920,'ESTADOS ESTUDIANTES'!B:L,7,0)</f>
        <v>1</v>
      </c>
      <c r="H920" s="19" t="str">
        <f>VLOOKUP(A920,'ESTADOS ESTUDIANTES'!B:L,8,0)</f>
        <v>olcelyg@udistrital.edu.co</v>
      </c>
      <c r="I920" s="70" t="str">
        <f>VLOOKUP(A920,'ESTADOS ESTUDIANTES'!B:L,9,0)</f>
        <v>ing.oscar.dba@gmail.com</v>
      </c>
      <c r="J920" s="19" t="str">
        <f>VLOOKUP(A920,'ESTADOS ESTUDIANTES'!B:L,10,0)</f>
        <v>CC</v>
      </c>
      <c r="K920" s="19">
        <f>VLOOKUP(A920,'ESTADOS ESTUDIANTES'!B:L,11,0)</f>
        <v>81720933</v>
      </c>
      <c r="L920" s="19">
        <v>3102370690</v>
      </c>
      <c r="M920" s="20"/>
      <c r="N920" s="22"/>
      <c r="O920" s="15"/>
      <c r="P920" s="15"/>
      <c r="Q920" s="15"/>
      <c r="R920" s="15"/>
      <c r="S920" s="15"/>
      <c r="T920" s="15"/>
      <c r="U920" s="15"/>
    </row>
    <row r="921" spans="1:21" ht="90">
      <c r="A921" s="17">
        <v>20172495003</v>
      </c>
      <c r="B921" s="19" t="str">
        <f>VLOOKUP(A921,'ESTADOS ESTUDIANTES'!B:L,2,0)</f>
        <v>CELI VALERO DIEGO FERNANDO</v>
      </c>
      <c r="C921" s="19">
        <f>VLOOKUP(A921,'ESTADOS ESTUDIANTES'!B:L,3,0)</f>
        <v>495</v>
      </c>
      <c r="D921" s="66" t="str">
        <f>VLOOKUP(A921,'ESTADOS ESTUDIANTES'!B:L,4,0)</f>
        <v>MAE. EN CIENCIAS DE LA INF. Y LAS COMUNICACIONES ENFASIS EN ING. SOFT</v>
      </c>
      <c r="E921" s="19" t="str">
        <f>VLOOKUP(A921,'ESTADOS ESTUDIANTES'!B:L,5,0)</f>
        <v>X</v>
      </c>
      <c r="F921" s="18" t="str">
        <f>VLOOKUP(E921,Listas!B1:C1004,2,0)</f>
        <v>EXCLUIDO</v>
      </c>
      <c r="G921" s="19">
        <f>VLOOKUP(A921,'ESTADOS ESTUDIANTES'!B:L,7,0)</f>
        <v>1</v>
      </c>
      <c r="H921" s="19" t="str">
        <f>VLOOKUP(A921,'ESTADOS ESTUDIANTES'!B:L,8,0)</f>
        <v>dfceliv@udistrital.edu.co</v>
      </c>
      <c r="I921" s="70" t="str">
        <f>VLOOKUP(A921,'ESTADOS ESTUDIANTES'!B:L,9,0)</f>
        <v>fernando.dfcv@gmail.com</v>
      </c>
      <c r="J921" s="19" t="str">
        <f>VLOOKUP(A921,'ESTADOS ESTUDIANTES'!B:L,10,0)</f>
        <v>CC</v>
      </c>
      <c r="K921" s="19">
        <f>VLOOKUP(A921,'ESTADOS ESTUDIANTES'!B:L,11,0)</f>
        <v>1018458364</v>
      </c>
      <c r="L921" s="19">
        <v>3132770690</v>
      </c>
      <c r="M921" s="20">
        <v>34062</v>
      </c>
      <c r="N921" s="22"/>
      <c r="O921" s="15"/>
      <c r="P921" s="15"/>
      <c r="Q921" s="15"/>
      <c r="R921" s="15"/>
      <c r="S921" s="15"/>
      <c r="T921" s="15"/>
      <c r="U921" s="15"/>
    </row>
    <row r="922" spans="1:21" ht="90">
      <c r="A922" s="17">
        <v>20172495005</v>
      </c>
      <c r="B922" s="19" t="str">
        <f>VLOOKUP(A922,'ESTADOS ESTUDIANTES'!B:L,2,0)</f>
        <v>DUARTE TORRES OSCAR IVÁN</v>
      </c>
      <c r="C922" s="19">
        <f>VLOOKUP(A922,'ESTADOS ESTUDIANTES'!B:L,3,0)</f>
        <v>495</v>
      </c>
      <c r="D922" s="66" t="str">
        <f>VLOOKUP(A922,'ESTADOS ESTUDIANTES'!B:L,4,0)</f>
        <v>MAE. EN CIENCIAS DE LA INF. Y LAS COMUNICACIONES ENFASIS EN ING. SOFT</v>
      </c>
      <c r="E922" s="19" t="str">
        <f>VLOOKUP(A922,'ESTADOS ESTUDIANTES'!B:L,5,0)</f>
        <v>X</v>
      </c>
      <c r="F922" s="18" t="str">
        <f>VLOOKUP(E922,Listas!B1:C1004,2,0)</f>
        <v>EXCLUIDO</v>
      </c>
      <c r="G922" s="19" t="str">
        <f>VLOOKUP(A922,'ESTADOS ESTUDIANTES'!B:L,7,0)</f>
        <v>NO REGISTRA</v>
      </c>
      <c r="H922" s="19" t="str">
        <f>VLOOKUP(A922,'ESTADOS ESTUDIANTES'!B:L,8,0)</f>
        <v>oiduartet@correo.udistrital.edu.co</v>
      </c>
      <c r="I922" s="70" t="str">
        <f>VLOOKUP(A922,'ESTADOS ESTUDIANTES'!B:L,9,0)</f>
        <v>o.duarte7@gmail.com</v>
      </c>
      <c r="J922" s="19" t="str">
        <f>VLOOKUP(A922,'ESTADOS ESTUDIANTES'!B:L,10,0)</f>
        <v>CC</v>
      </c>
      <c r="K922" s="19">
        <f>VLOOKUP(A922,'ESTADOS ESTUDIANTES'!B:L,11,0)</f>
        <v>1015438743</v>
      </c>
      <c r="L922" s="19">
        <v>3178017021</v>
      </c>
      <c r="M922" s="20"/>
      <c r="N922" s="22"/>
      <c r="O922" s="15"/>
      <c r="P922" s="15"/>
      <c r="Q922" s="15"/>
      <c r="R922" s="15"/>
      <c r="S922" s="15"/>
      <c r="T922" s="15"/>
      <c r="U922" s="15"/>
    </row>
    <row r="923" spans="1:21" ht="90">
      <c r="A923" s="17">
        <v>20172495006</v>
      </c>
      <c r="B923" s="19" t="str">
        <f>VLOOKUP(A923,'ESTADOS ESTUDIANTES'!B:L,2,0)</f>
        <v>TRUJILLO GARCIA EDGAR</v>
      </c>
      <c r="C923" s="19">
        <f>VLOOKUP(A923,'ESTADOS ESTUDIANTES'!B:L,3,0)</f>
        <v>495</v>
      </c>
      <c r="D923" s="66" t="str">
        <f>VLOOKUP(A923,'ESTADOS ESTUDIANTES'!B:L,4,0)</f>
        <v>MAE. EN CIENCIAS DE LA INF. Y LAS COMUNICACIONES ENFASIS EN ING. SOFT</v>
      </c>
      <c r="E923" s="19" t="str">
        <f>VLOOKUP(A923,'ESTADOS ESTUDIANTES'!B:L,5,0)</f>
        <v>X</v>
      </c>
      <c r="F923" s="18" t="str">
        <f>VLOOKUP(E923,Listas!B1:C1004,2,0)</f>
        <v>EXCLUIDO</v>
      </c>
      <c r="G923" s="19">
        <f>VLOOKUP(A923,'ESTADOS ESTUDIANTES'!B:L,7,0)</f>
        <v>4</v>
      </c>
      <c r="H923" s="19" t="str">
        <f>VLOOKUP(A923,'ESTADOS ESTUDIANTES'!B:L,8,0)</f>
        <v>etrujillog@udistrital.edu.co</v>
      </c>
      <c r="I923" s="70" t="str">
        <f>VLOOKUP(A923,'ESTADOS ESTUDIANTES'!B:L,9,0)</f>
        <v>etrujillo1@gmail.com</v>
      </c>
      <c r="J923" s="19" t="str">
        <f>VLOOKUP(A923,'ESTADOS ESTUDIANTES'!B:L,10,0)</f>
        <v>CC</v>
      </c>
      <c r="K923" s="19">
        <f>VLOOKUP(A923,'ESTADOS ESTUDIANTES'!B:L,11,0)</f>
        <v>91478822</v>
      </c>
      <c r="L923" s="19">
        <v>3107634304</v>
      </c>
      <c r="M923" s="20">
        <v>26854</v>
      </c>
      <c r="N923" s="22"/>
      <c r="O923" s="15"/>
      <c r="P923" s="15"/>
      <c r="Q923" s="15"/>
      <c r="R923" s="15"/>
      <c r="S923" s="15"/>
      <c r="T923" s="15"/>
      <c r="U923" s="15"/>
    </row>
    <row r="924" spans="1:21" ht="90">
      <c r="A924" s="17">
        <v>20172495009</v>
      </c>
      <c r="B924" s="19" t="str">
        <f>VLOOKUP(A924,'ESTADOS ESTUDIANTES'!B:L,2,0)</f>
        <v>GONZALEZ GONZALEZ DIANA SOFIA</v>
      </c>
      <c r="C924" s="19">
        <f>VLOOKUP(A924,'ESTADOS ESTUDIANTES'!B:L,3,0)</f>
        <v>495</v>
      </c>
      <c r="D924" s="66" t="str">
        <f>VLOOKUP(A924,'ESTADOS ESTUDIANTES'!B:L,4,0)</f>
        <v>MAE. EN CIENCIAS DE LA INF. Y LAS COMUNICACIONES ENFASIS EN ING. SOFT</v>
      </c>
      <c r="E924" s="19" t="str">
        <f>VLOOKUP(A924,'ESTADOS ESTUDIANTES'!B:L,5,0)</f>
        <v>E</v>
      </c>
      <c r="F924" s="18" t="str">
        <f>VLOOKUP(E924,Listas!B1:C1004,2,0)</f>
        <v>EGRESADO</v>
      </c>
      <c r="G924" s="19">
        <f>VLOOKUP(A924,'ESTADOS ESTUDIANTES'!B:L,7,0)</f>
        <v>3</v>
      </c>
      <c r="H924" s="19" t="str">
        <f>VLOOKUP(A924,'ESTADOS ESTUDIANTES'!B:L,8,0)</f>
        <v>dsgonzalezg@udistrital.edu.co</v>
      </c>
      <c r="I924" s="70" t="str">
        <f>VLOOKUP(A924,'ESTADOS ESTUDIANTES'!B:L,9,0)</f>
        <v>dsofiagonzalezg@gmail.com</v>
      </c>
      <c r="J924" s="19" t="str">
        <f>VLOOKUP(A924,'ESTADOS ESTUDIANTES'!B:L,10,0)</f>
        <v>CC</v>
      </c>
      <c r="K924" s="19">
        <f>VLOOKUP(A924,'ESTADOS ESTUDIANTES'!B:L,11,0)</f>
        <v>1015403717</v>
      </c>
      <c r="L924" s="19">
        <v>3013789173</v>
      </c>
      <c r="M924" s="20">
        <v>32191</v>
      </c>
      <c r="N924" s="22"/>
      <c r="O924" s="15"/>
      <c r="P924" s="15"/>
      <c r="Q924" s="15"/>
      <c r="R924" s="15"/>
      <c r="S924" s="15"/>
      <c r="T924" s="15"/>
      <c r="U924" s="15"/>
    </row>
    <row r="925" spans="1:21" ht="90">
      <c r="A925" s="17">
        <v>20172495010</v>
      </c>
      <c r="B925" s="19" t="str">
        <f>VLOOKUP(A925,'ESTADOS ESTUDIANTES'!B:L,2,0)</f>
        <v>MORENO MARIN JOHN EDISON</v>
      </c>
      <c r="C925" s="19">
        <f>VLOOKUP(A925,'ESTADOS ESTUDIANTES'!B:L,3,0)</f>
        <v>495</v>
      </c>
      <c r="D925" s="66" t="str">
        <f>VLOOKUP(A925,'ESTADOS ESTUDIANTES'!B:L,4,0)</f>
        <v>MAE. EN CIENCIAS DE LA INF. Y LAS COMUNICACIONES ENFASIS EN ING. SOFT</v>
      </c>
      <c r="E925" s="19" t="str">
        <f>VLOOKUP(A925,'ESTADOS ESTUDIANTES'!B:L,5,0)</f>
        <v>E</v>
      </c>
      <c r="F925" s="18" t="str">
        <f>VLOOKUP(E925,Listas!B1:C1004,2,0)</f>
        <v>EGRESADO</v>
      </c>
      <c r="G925" s="19">
        <f>VLOOKUP(A925,'ESTADOS ESTUDIANTES'!B:L,7,0)</f>
        <v>3</v>
      </c>
      <c r="H925" s="19" t="str">
        <f>VLOOKUP(A925,'ESTADOS ESTUDIANTES'!B:L,8,0)</f>
        <v>jemorenom@correo.udistrital.edu.co</v>
      </c>
      <c r="I925" s="70" t="str">
        <f>VLOOKUP(A925,'ESTADOS ESTUDIANTES'!B:L,9,0)</f>
        <v>johnmoreno333@gmail.com</v>
      </c>
      <c r="J925" s="19" t="str">
        <f>VLOOKUP(A925,'ESTADOS ESTUDIANTES'!B:L,10,0)</f>
        <v>CC</v>
      </c>
      <c r="K925" s="19">
        <f>VLOOKUP(A925,'ESTADOS ESTUDIANTES'!B:L,11,0)</f>
        <v>1031124274</v>
      </c>
      <c r="L925" s="19">
        <v>3003603432</v>
      </c>
      <c r="M925" s="20"/>
      <c r="N925" s="22"/>
      <c r="O925" s="15"/>
      <c r="P925" s="15"/>
      <c r="Q925" s="15"/>
      <c r="R925" s="15"/>
      <c r="S925" s="15"/>
      <c r="T925" s="15"/>
      <c r="U925" s="15"/>
    </row>
    <row r="926" spans="1:21" ht="90">
      <c r="A926" s="17">
        <v>20172495012</v>
      </c>
      <c r="B926" s="19" t="str">
        <f>VLOOKUP(A926,'ESTADOS ESTUDIANTES'!B:L,2,0)</f>
        <v>OVALLE MARTINEZ CARLOS ANDRES</v>
      </c>
      <c r="C926" s="19">
        <f>VLOOKUP(A926,'ESTADOS ESTUDIANTES'!B:L,3,0)</f>
        <v>495</v>
      </c>
      <c r="D926" s="66" t="str">
        <f>VLOOKUP(A926,'ESTADOS ESTUDIANTES'!B:L,4,0)</f>
        <v>MAE. EN CIENCIAS DE LA INF. Y LAS COMUNICACIONES ENFASIS EN ING. SOFT</v>
      </c>
      <c r="E926" s="19" t="str">
        <f>VLOOKUP(A926,'ESTADOS ESTUDIANTES'!B:L,5,0)</f>
        <v>X</v>
      </c>
      <c r="F926" s="18" t="str">
        <f>VLOOKUP(E926,Listas!B1:C1004,2,0)</f>
        <v>EXCLUIDO</v>
      </c>
      <c r="G926" s="19" t="str">
        <f>VLOOKUP(A926,'ESTADOS ESTUDIANTES'!B:L,7,0)</f>
        <v>NO REGISTRA</v>
      </c>
      <c r="H926" s="19" t="str">
        <f>VLOOKUP(A926,'ESTADOS ESTUDIANTES'!B:L,8,0)</f>
        <v>caovallem@udistrital.edu.co</v>
      </c>
      <c r="I926" s="70" t="str">
        <f>VLOOKUP(A926,'ESTADOS ESTUDIANTES'!B:L,9,0)</f>
        <v>caom838@gmail.com</v>
      </c>
      <c r="J926" s="19" t="str">
        <f>VLOOKUP(A926,'ESTADOS ESTUDIANTES'!B:L,10,0)</f>
        <v>CC</v>
      </c>
      <c r="K926" s="19">
        <f>VLOOKUP(A926,'ESTADOS ESTUDIANTES'!B:L,11,0)</f>
        <v>80739439</v>
      </c>
      <c r="L926" s="19">
        <v>3015118782</v>
      </c>
      <c r="M926" s="20">
        <v>30597</v>
      </c>
      <c r="N926" s="22"/>
      <c r="O926" s="15"/>
      <c r="P926" s="15"/>
      <c r="Q926" s="15"/>
      <c r="R926" s="15"/>
      <c r="S926" s="15"/>
      <c r="T926" s="15"/>
      <c r="U926" s="15"/>
    </row>
    <row r="927" spans="1:21" ht="90">
      <c r="A927" s="17">
        <v>20172495014</v>
      </c>
      <c r="B927" s="19" t="str">
        <f>VLOOKUP(A927,'ESTADOS ESTUDIANTES'!B:L,2,0)</f>
        <v>ROMERO PARRA DANIEL ALEJANDRO</v>
      </c>
      <c r="C927" s="19">
        <f>VLOOKUP(A927,'ESTADOS ESTUDIANTES'!B:L,3,0)</f>
        <v>495</v>
      </c>
      <c r="D927" s="66" t="str">
        <f>VLOOKUP(A927,'ESTADOS ESTUDIANTES'!B:L,4,0)</f>
        <v>MAE. EN CIENCIAS DE LA INF. Y LAS COMUNICACIONES ENFASIS EN ING. SOFT</v>
      </c>
      <c r="E927" s="19" t="str">
        <f>VLOOKUP(A927,'ESTADOS ESTUDIANTES'!B:L,5,0)</f>
        <v>X</v>
      </c>
      <c r="F927" s="18" t="str">
        <f>VLOOKUP(E927,Listas!B1:C1004,2,0)</f>
        <v>EXCLUIDO</v>
      </c>
      <c r="G927" s="19">
        <f>VLOOKUP(A927,'ESTADOS ESTUDIANTES'!B:L,7,0)</f>
        <v>1</v>
      </c>
      <c r="H927" s="19" t="str">
        <f>VLOOKUP(A927,'ESTADOS ESTUDIANTES'!B:L,8,0)</f>
        <v>daromerop@correo.udistrital.edu.co</v>
      </c>
      <c r="I927" s="70" t="str">
        <f>VLOOKUP(A927,'ESTADOS ESTUDIANTES'!B:L,9,0)</f>
        <v>danielrparra77@hotmail.com</v>
      </c>
      <c r="J927" s="19" t="str">
        <f>VLOOKUP(A927,'ESTADOS ESTUDIANTES'!B:L,10,0)</f>
        <v>CC</v>
      </c>
      <c r="K927" s="19">
        <f>VLOOKUP(A927,'ESTADOS ESTUDIANTES'!B:L,11,0)</f>
        <v>1012409108</v>
      </c>
      <c r="L927" s="19">
        <v>3124269437</v>
      </c>
      <c r="M927" s="20"/>
      <c r="N927" s="22"/>
      <c r="O927" s="15"/>
      <c r="P927" s="15"/>
      <c r="Q927" s="15"/>
      <c r="R927" s="15"/>
      <c r="S927" s="15"/>
      <c r="T927" s="15"/>
      <c r="U927" s="15"/>
    </row>
    <row r="928" spans="1:21" ht="90">
      <c r="A928" s="17">
        <v>20172495015</v>
      </c>
      <c r="B928" s="19" t="str">
        <f>VLOOKUP(A928,'ESTADOS ESTUDIANTES'!B:L,2,0)</f>
        <v>SALCEDO SALGADO GEINER ALEXIS</v>
      </c>
      <c r="C928" s="19">
        <f>VLOOKUP(A928,'ESTADOS ESTUDIANTES'!B:L,3,0)</f>
        <v>495</v>
      </c>
      <c r="D928" s="66" t="str">
        <f>VLOOKUP(A928,'ESTADOS ESTUDIANTES'!B:L,4,0)</f>
        <v>MAE. EN CIENCIAS DE LA INF. Y LAS COMUNICACIONES ENFASIS EN ING. SOFT</v>
      </c>
      <c r="E928" s="19" t="str">
        <f>VLOOKUP(A928,'ESTADOS ESTUDIANTES'!B:L,5,0)</f>
        <v>E</v>
      </c>
      <c r="F928" s="18" t="str">
        <f>VLOOKUP(E928,Listas!B1:C1004,2,0)</f>
        <v>EGRESADO</v>
      </c>
      <c r="G928" s="19">
        <f>VLOOKUP(A928,'ESTADOS ESTUDIANTES'!B:L,7,0)</f>
        <v>1</v>
      </c>
      <c r="H928" s="19" t="str">
        <f>VLOOKUP(A928,'ESTADOS ESTUDIANTES'!B:L,8,0)</f>
        <v>gasalcedos@correo.udistrital.edu.co</v>
      </c>
      <c r="I928" s="70" t="str">
        <f>VLOOKUP(A928,'ESTADOS ESTUDIANTES'!B:L,9,0)</f>
        <v>geiner.salcedo.ppc0111@gmail.com</v>
      </c>
      <c r="J928" s="19" t="str">
        <f>VLOOKUP(A928,'ESTADOS ESTUDIANTES'!B:L,10,0)</f>
        <v>CC</v>
      </c>
      <c r="K928" s="19">
        <f>VLOOKUP(A928,'ESTADOS ESTUDIANTES'!B:L,11,0)</f>
        <v>1030603923</v>
      </c>
      <c r="L928" s="19">
        <v>3057095593</v>
      </c>
      <c r="M928" s="20"/>
      <c r="N928" s="22"/>
      <c r="O928" s="15"/>
      <c r="P928" s="15"/>
      <c r="Q928" s="15"/>
      <c r="R928" s="15"/>
      <c r="S928" s="15"/>
      <c r="T928" s="15"/>
      <c r="U928" s="15"/>
    </row>
    <row r="929" spans="1:21" ht="90">
      <c r="A929" s="17">
        <v>20181195001</v>
      </c>
      <c r="B929" s="19" t="str">
        <f>VLOOKUP(A929,'ESTADOS ESTUDIANTES'!B:L,2,0)</f>
        <v>APONTE BERMUDEZ DIANA MILENA</v>
      </c>
      <c r="C929" s="19">
        <f>VLOOKUP(A929,'ESTADOS ESTUDIANTES'!B:L,3,0)</f>
        <v>195</v>
      </c>
      <c r="D929" s="66" t="str">
        <f>VLOOKUP(A929,'ESTADOS ESTUDIANTES'!B:L,4,0)</f>
        <v>MAE. EN CIENCIAS DE LA INF. Y LAS COMUNICACIONES ENFASIS EN TELEINF.</v>
      </c>
      <c r="E929" s="19" t="str">
        <f>VLOOKUP(A929,'ESTADOS ESTUDIANTES'!B:L,5,0)</f>
        <v>N</v>
      </c>
      <c r="F929" s="18" t="str">
        <f>VLOOKUP(E929,Listas!B1:C1004,2,0)</f>
        <v>ERROR DE CODIGO</v>
      </c>
      <c r="G929" s="19" t="str">
        <f>VLOOKUP(A929,'ESTADOS ESTUDIANTES'!B:L,7,0)</f>
        <v>NO REGISTRA</v>
      </c>
      <c r="H929" s="19">
        <f>VLOOKUP(A929,'ESTADOS ESTUDIANTES'!B:L,8,0)</f>
        <v>0</v>
      </c>
      <c r="I929" s="70" t="str">
        <f>VLOOKUP(A929,'ESTADOS ESTUDIANTES'!B:L,9,0)</f>
        <v>anaid1202@hotmail.com</v>
      </c>
      <c r="J929" s="19" t="str">
        <f>VLOOKUP(A929,'ESTADOS ESTUDIANTES'!B:L,10,0)</f>
        <v>CC</v>
      </c>
      <c r="K929" s="19">
        <f>VLOOKUP(A929,'ESTADOS ESTUDIANTES'!B:L,11,0)</f>
        <v>1030558345</v>
      </c>
      <c r="L929" s="19">
        <v>3214785089</v>
      </c>
      <c r="M929" s="20"/>
      <c r="N929" s="22"/>
      <c r="O929" s="15"/>
      <c r="P929" s="15"/>
      <c r="Q929" s="15"/>
      <c r="R929" s="15"/>
      <c r="S929" s="15"/>
      <c r="T929" s="15"/>
      <c r="U929" s="15"/>
    </row>
    <row r="930" spans="1:21" ht="90">
      <c r="A930" s="17">
        <v>20181195002</v>
      </c>
      <c r="B930" s="19" t="str">
        <f>VLOOKUP(A930,'ESTADOS ESTUDIANTES'!B:L,2,0)</f>
        <v>ARIAS FORERO JUAN DAVID</v>
      </c>
      <c r="C930" s="19">
        <f>VLOOKUP(A930,'ESTADOS ESTUDIANTES'!B:L,3,0)</f>
        <v>195</v>
      </c>
      <c r="D930" s="66" t="str">
        <f>VLOOKUP(A930,'ESTADOS ESTUDIANTES'!B:L,4,0)</f>
        <v>MAE. EN CIENCIAS DE LA INF. Y LAS COMUNICACIONES ENFASIS EN TELEINF.</v>
      </c>
      <c r="E930" s="19" t="str">
        <f>VLOOKUP(A930,'ESTADOS ESTUDIANTES'!B:L,5,0)</f>
        <v>E</v>
      </c>
      <c r="F930" s="18" t="str">
        <f>VLOOKUP(E930,Listas!B1:C1004,2,0)</f>
        <v>EGRESADO</v>
      </c>
      <c r="G930" s="19">
        <f>VLOOKUP(A930,'ESTADOS ESTUDIANTES'!B:L,7,0)</f>
        <v>3</v>
      </c>
      <c r="H930" s="19">
        <f>VLOOKUP(A930,'ESTADOS ESTUDIANTES'!B:L,8,0)</f>
        <v>0</v>
      </c>
      <c r="I930" s="70" t="str">
        <f>VLOOKUP(A930,'ESTADOS ESTUDIANTES'!B:L,9,0)</f>
        <v>jdariasforero2008@gmail.com</v>
      </c>
      <c r="J930" s="19" t="str">
        <f>VLOOKUP(A930,'ESTADOS ESTUDIANTES'!B:L,10,0)</f>
        <v>CC</v>
      </c>
      <c r="K930" s="19">
        <f>VLOOKUP(A930,'ESTADOS ESTUDIANTES'!B:L,11,0)</f>
        <v>1022374793</v>
      </c>
      <c r="L930" s="19">
        <v>3008123546</v>
      </c>
      <c r="M930" s="20">
        <v>33719</v>
      </c>
      <c r="N930" s="22"/>
      <c r="O930" s="15"/>
      <c r="P930" s="15"/>
      <c r="Q930" s="15"/>
      <c r="R930" s="15"/>
      <c r="S930" s="15"/>
      <c r="T930" s="15"/>
      <c r="U930" s="15"/>
    </row>
    <row r="931" spans="1:21" ht="90">
      <c r="A931" s="17">
        <v>20181195003</v>
      </c>
      <c r="B931" s="19" t="str">
        <f>VLOOKUP(A931,'ESTADOS ESTUDIANTES'!B:L,2,0)</f>
        <v>CORZO MUÑOZ MIGUEL ANGEL</v>
      </c>
      <c r="C931" s="19">
        <f>VLOOKUP(A931,'ESTADOS ESTUDIANTES'!B:L,3,0)</f>
        <v>195</v>
      </c>
      <c r="D931" s="66" t="str">
        <f>VLOOKUP(A931,'ESTADOS ESTUDIANTES'!B:L,4,0)</f>
        <v>MAE. EN CIENCIAS DE LA INF. Y LAS COMUNICACIONES ENFASIS EN TELEINF.</v>
      </c>
      <c r="E931" s="19" t="str">
        <f>VLOOKUP(A931,'ESTADOS ESTUDIANTES'!B:L,5,0)</f>
        <v>E</v>
      </c>
      <c r="F931" s="18" t="str">
        <f>VLOOKUP(E931,Listas!B1:C1004,2,0)</f>
        <v>EGRESADO</v>
      </c>
      <c r="G931" s="19">
        <f>VLOOKUP(A931,'ESTADOS ESTUDIANTES'!B:L,7,0)</f>
        <v>4</v>
      </c>
      <c r="H931" s="19" t="str">
        <f>VLOOKUP(A931,'ESTADOS ESTUDIANTES'!B:L,8,0)</f>
        <v>macorzom@udistrital.edu.co</v>
      </c>
      <c r="I931" s="70" t="str">
        <f>VLOOKUP(A931,'ESTADOS ESTUDIANTES'!B:L,9,0)</f>
        <v>mcorzom@gmail.com</v>
      </c>
      <c r="J931" s="19" t="str">
        <f>VLOOKUP(A931,'ESTADOS ESTUDIANTES'!B:L,10,0)</f>
        <v>CC</v>
      </c>
      <c r="K931" s="19">
        <f>VLOOKUP(A931,'ESTADOS ESTUDIANTES'!B:L,11,0)</f>
        <v>79907126</v>
      </c>
      <c r="L931" s="19">
        <v>3183383956</v>
      </c>
      <c r="M931" s="20">
        <v>28163</v>
      </c>
      <c r="N931" s="22"/>
      <c r="O931" s="15"/>
      <c r="P931" s="15"/>
      <c r="Q931" s="15"/>
      <c r="R931" s="15"/>
      <c r="S931" s="15"/>
      <c r="T931" s="15"/>
      <c r="U931" s="15"/>
    </row>
    <row r="932" spans="1:21" ht="90">
      <c r="A932" s="17">
        <v>20181195006</v>
      </c>
      <c r="B932" s="19" t="str">
        <f>VLOOKUP(A932,'ESTADOS ESTUDIANTES'!B:L,2,0)</f>
        <v>MUÑOZ CHAVEZ DAVID</v>
      </c>
      <c r="C932" s="19">
        <f>VLOOKUP(A932,'ESTADOS ESTUDIANTES'!B:L,3,0)</f>
        <v>195</v>
      </c>
      <c r="D932" s="66" t="str">
        <f>VLOOKUP(A932,'ESTADOS ESTUDIANTES'!B:L,4,0)</f>
        <v>MAE. EN CIENCIAS DE LA INF. Y LAS COMUNICACIONES ENFASIS EN TELEINF.</v>
      </c>
      <c r="E932" s="19" t="str">
        <f>VLOOKUP(A932,'ESTADOS ESTUDIANTES'!B:L,5,0)</f>
        <v>N</v>
      </c>
      <c r="F932" s="18" t="str">
        <f>VLOOKUP(E932,Listas!B1:C1004,2,0)</f>
        <v>ERROR DE CODIGO</v>
      </c>
      <c r="G932" s="19" t="str">
        <f>VLOOKUP(A932,'ESTADOS ESTUDIANTES'!B:L,7,0)</f>
        <v>NO REGISTRA</v>
      </c>
      <c r="H932" s="19">
        <f>VLOOKUP(A932,'ESTADOS ESTUDIANTES'!B:L,8,0)</f>
        <v>0</v>
      </c>
      <c r="I932" s="70" t="str">
        <f>VLOOKUP(A932,'ESTADOS ESTUDIANTES'!B:L,9,0)</f>
        <v>davidmuoz@gmail.com</v>
      </c>
      <c r="J932" s="19" t="str">
        <f>VLOOKUP(A932,'ESTADOS ESTUDIANTES'!B:L,10,0)</f>
        <v>CC</v>
      </c>
      <c r="K932" s="19">
        <f>VLOOKUP(A932,'ESTADOS ESTUDIANTES'!B:L,11,0)</f>
        <v>97611542</v>
      </c>
      <c r="L932" s="19">
        <v>3123022086</v>
      </c>
      <c r="M932" s="20"/>
      <c r="N932" s="22"/>
      <c r="O932" s="15"/>
      <c r="P932" s="15"/>
      <c r="Q932" s="15"/>
      <c r="R932" s="15"/>
      <c r="S932" s="15"/>
      <c r="T932" s="15"/>
      <c r="U932" s="15"/>
    </row>
    <row r="933" spans="1:21" ht="90">
      <c r="A933" s="17">
        <v>20181195007</v>
      </c>
      <c r="B933" s="19" t="str">
        <f>VLOOKUP(A933,'ESTADOS ESTUDIANTES'!B:L,2,0)</f>
        <v>LUIS ALFREDO NARVAEZ JARAMILLO</v>
      </c>
      <c r="C933" s="19">
        <f>VLOOKUP(A933,'ESTADOS ESTUDIANTES'!B:L,3,0)</f>
        <v>195</v>
      </c>
      <c r="D933" s="66" t="str">
        <f>VLOOKUP(A933,'ESTADOS ESTUDIANTES'!B:L,4,0)</f>
        <v>MAE. EN CIENCIAS DE LA INF. Y LAS COMUNICACIONES ENFASIS EN TELEINF.</v>
      </c>
      <c r="E933" s="19" t="str">
        <f>VLOOKUP(A933,'ESTADOS ESTUDIANTES'!B:L,5,0)</f>
        <v>E</v>
      </c>
      <c r="F933" s="18" t="str">
        <f>VLOOKUP(E933,Listas!B1:C1004,2,0)</f>
        <v>EGRESADO</v>
      </c>
      <c r="G933" s="19">
        <f>VLOOKUP(A933,'ESTADOS ESTUDIANTES'!B:L,7,0)</f>
        <v>3</v>
      </c>
      <c r="H933" s="19">
        <f>VLOOKUP(A933,'ESTADOS ESTUDIANTES'!B:L,8,0)</f>
        <v>0</v>
      </c>
      <c r="I933" s="70" t="str">
        <f>VLOOKUP(A933,'ESTADOS ESTUDIANTES'!B:L,9,0)</f>
        <v>lnarvaezj@hotmail.com</v>
      </c>
      <c r="J933" s="19" t="str">
        <f>VLOOKUP(A933,'ESTADOS ESTUDIANTES'!B:L,10,0)</f>
        <v>CC</v>
      </c>
      <c r="K933" s="19">
        <f>VLOOKUP(A933,'ESTADOS ESTUDIANTES'!B:L,11,0)</f>
        <v>1030597409</v>
      </c>
      <c r="L933" s="19">
        <v>3014566559</v>
      </c>
      <c r="M933" s="20">
        <v>33473</v>
      </c>
      <c r="N933" s="22"/>
      <c r="O933" s="15"/>
      <c r="P933" s="15"/>
      <c r="Q933" s="15"/>
      <c r="R933" s="15"/>
      <c r="S933" s="15"/>
      <c r="T933" s="15"/>
      <c r="U933" s="15"/>
    </row>
    <row r="934" spans="1:21" ht="90">
      <c r="A934" s="17">
        <v>20181195008</v>
      </c>
      <c r="B934" s="19" t="str">
        <f>VLOOKUP(A934,'ESTADOS ESTUDIANTES'!B:L,2,0)</f>
        <v>PEÑA ARISMENDI SANTIAGO ANDRES</v>
      </c>
      <c r="C934" s="19">
        <f>VLOOKUP(A934,'ESTADOS ESTUDIANTES'!B:L,3,0)</f>
        <v>195</v>
      </c>
      <c r="D934" s="66" t="str">
        <f>VLOOKUP(A934,'ESTADOS ESTUDIANTES'!B:L,4,0)</f>
        <v>MAE. EN CIENCIAS DE LA INF. Y LAS COMUNICACIONES ENFASIS EN TELEINF.</v>
      </c>
      <c r="E934" s="19" t="str">
        <f>VLOOKUP(A934,'ESTADOS ESTUDIANTES'!B:L,5,0)</f>
        <v>E</v>
      </c>
      <c r="F934" s="18" t="str">
        <f>VLOOKUP(E934,Listas!B1:C1004,2,0)</f>
        <v>EGRESADO</v>
      </c>
      <c r="G934" s="19">
        <f>VLOOKUP(A934,'ESTADOS ESTUDIANTES'!B:L,7,0)</f>
        <v>3</v>
      </c>
      <c r="H934" s="19" t="str">
        <f>VLOOKUP(A934,'ESTADOS ESTUDIANTES'!B:L,8,0)</f>
        <v>saapenaa@udistrital.edu.co</v>
      </c>
      <c r="I934" s="70" t="str">
        <f>VLOOKUP(A934,'ESTADOS ESTUDIANTES'!B:L,9,0)</f>
        <v>saapenaa@correo.udistrital.edu.co</v>
      </c>
      <c r="J934" s="19" t="str">
        <f>VLOOKUP(A934,'ESTADOS ESTUDIANTES'!B:L,10,0)</f>
        <v>CC</v>
      </c>
      <c r="K934" s="19">
        <f>VLOOKUP(A934,'ESTADOS ESTUDIANTES'!B:L,11,0)</f>
        <v>1026284597</v>
      </c>
      <c r="L934" s="19">
        <v>3012227552</v>
      </c>
      <c r="M934" s="20"/>
      <c r="N934" s="22"/>
      <c r="O934" s="15"/>
      <c r="P934" s="15"/>
      <c r="Q934" s="15"/>
      <c r="R934" s="15"/>
      <c r="S934" s="15"/>
      <c r="T934" s="15"/>
      <c r="U934" s="15"/>
    </row>
    <row r="935" spans="1:21" ht="90">
      <c r="A935" s="17">
        <v>20181195009</v>
      </c>
      <c r="B935" s="19" t="str">
        <f>VLOOKUP(A935,'ESTADOS ESTUDIANTES'!B:L,2,0)</f>
        <v>RAMIREZ PÉREZ NATALIA ANDREA</v>
      </c>
      <c r="C935" s="19">
        <f>VLOOKUP(A935,'ESTADOS ESTUDIANTES'!B:L,3,0)</f>
        <v>195</v>
      </c>
      <c r="D935" s="66" t="str">
        <f>VLOOKUP(A935,'ESTADOS ESTUDIANTES'!B:L,4,0)</f>
        <v>MAE. EN CIENCIAS DE LA INF. Y LAS COMUNICACIONES ENFASIS EN TELEINF.</v>
      </c>
      <c r="E935" s="19" t="str">
        <f>VLOOKUP(A935,'ESTADOS ESTUDIANTES'!B:L,5,0)</f>
        <v>E</v>
      </c>
      <c r="F935" s="18" t="str">
        <f>VLOOKUP(E935,Listas!B1:C1004,2,0)</f>
        <v>EGRESADO</v>
      </c>
      <c r="G935" s="19">
        <f>VLOOKUP(A935,'ESTADOS ESTUDIANTES'!B:L,7,0)</f>
        <v>1</v>
      </c>
      <c r="H935" s="19">
        <f>VLOOKUP(A935,'ESTADOS ESTUDIANTES'!B:L,8,0)</f>
        <v>0</v>
      </c>
      <c r="I935" s="70" t="str">
        <f>VLOOKUP(A935,'ESTADOS ESTUDIANTES'!B:L,9,0)</f>
        <v>nata.r_1212@hotmail.com</v>
      </c>
      <c r="J935" s="19" t="str">
        <f>VLOOKUP(A935,'ESTADOS ESTUDIANTES'!B:L,10,0)</f>
        <v>CC</v>
      </c>
      <c r="K935" s="19">
        <f>VLOOKUP(A935,'ESTADOS ESTUDIANTES'!B:L,11,0)</f>
        <v>1015443760</v>
      </c>
      <c r="L935" s="19">
        <v>3194114222</v>
      </c>
      <c r="M935" s="20"/>
      <c r="N935" s="22"/>
      <c r="O935" s="15"/>
      <c r="P935" s="15"/>
      <c r="Q935" s="15"/>
      <c r="R935" s="15"/>
      <c r="S935" s="15"/>
      <c r="T935" s="15"/>
      <c r="U935" s="15"/>
    </row>
    <row r="936" spans="1:21" ht="90">
      <c r="A936" s="17">
        <v>20181195010</v>
      </c>
      <c r="B936" s="19" t="str">
        <f>VLOOKUP(A936,'ESTADOS ESTUDIANTES'!B:L,2,0)</f>
        <v>ROMERO ORTEGA RAUL</v>
      </c>
      <c r="C936" s="19">
        <f>VLOOKUP(A936,'ESTADOS ESTUDIANTES'!B:L,3,0)</f>
        <v>195</v>
      </c>
      <c r="D936" s="66" t="str">
        <f>VLOOKUP(A936,'ESTADOS ESTUDIANTES'!B:L,4,0)</f>
        <v>MAE. EN CIENCIAS DE LA INF. Y LAS COMUNICACIONES ENFASIS EN TELEINF.</v>
      </c>
      <c r="E936" s="19" t="str">
        <f>VLOOKUP(A936,'ESTADOS ESTUDIANTES'!B:L,5,0)</f>
        <v>E</v>
      </c>
      <c r="F936" s="18" t="str">
        <f>VLOOKUP(E936,Listas!B1:C1004,2,0)</f>
        <v>EGRESADO</v>
      </c>
      <c r="G936" s="19">
        <f>VLOOKUP(A936,'ESTADOS ESTUDIANTES'!B:L,7,0)</f>
        <v>2</v>
      </c>
      <c r="H936" s="19" t="str">
        <f>VLOOKUP(A936,'ESTADOS ESTUDIANTES'!B:L,8,0)</f>
        <v>rromeroo@udistrital.edu.co</v>
      </c>
      <c r="I936" s="70" t="str">
        <f>VLOOKUP(A936,'ESTADOS ESTUDIANTES'!B:L,9,0)</f>
        <v>rromeroo7519@gmail.com</v>
      </c>
      <c r="J936" s="19" t="str">
        <f>VLOOKUP(A936,'ESTADOS ESTUDIANTES'!B:L,10,0)</f>
        <v>CC</v>
      </c>
      <c r="K936" s="19">
        <f>VLOOKUP(A936,'ESTADOS ESTUDIANTES'!B:L,11,0)</f>
        <v>80205440</v>
      </c>
      <c r="L936" s="19">
        <v>3125451551</v>
      </c>
      <c r="M936" s="20">
        <v>30821</v>
      </c>
      <c r="N936" s="22"/>
      <c r="O936" s="15"/>
      <c r="P936" s="15"/>
      <c r="Q936" s="15"/>
      <c r="R936" s="15"/>
      <c r="S936" s="15"/>
      <c r="T936" s="15"/>
      <c r="U936" s="15"/>
    </row>
    <row r="937" spans="1:21" ht="90">
      <c r="A937" s="17">
        <v>20181195012</v>
      </c>
      <c r="B937" s="19" t="str">
        <f>VLOOKUP(A937,'ESTADOS ESTUDIANTES'!B:L,2,0)</f>
        <v>SUAREZ ROLDAN MARCO ALEXANDER</v>
      </c>
      <c r="C937" s="19">
        <f>VLOOKUP(A937,'ESTADOS ESTUDIANTES'!B:L,3,0)</f>
        <v>195</v>
      </c>
      <c r="D937" s="66" t="str">
        <f>VLOOKUP(A937,'ESTADOS ESTUDIANTES'!B:L,4,0)</f>
        <v>MAE. EN CIENCIAS DE LA INF. Y LAS COMUNICACIONES ENFASIS EN TELEINF.</v>
      </c>
      <c r="E937" s="19" t="str">
        <f>VLOOKUP(A937,'ESTADOS ESTUDIANTES'!B:L,5,0)</f>
        <v>E</v>
      </c>
      <c r="F937" s="18" t="str">
        <f>VLOOKUP(E937,Listas!B1:C1004,2,0)</f>
        <v>EGRESADO</v>
      </c>
      <c r="G937" s="19">
        <f>VLOOKUP(A937,'ESTADOS ESTUDIANTES'!B:L,7,0)</f>
        <v>3</v>
      </c>
      <c r="H937" s="19" t="str">
        <f>VLOOKUP(A937,'ESTADOS ESTUDIANTES'!B:L,8,0)</f>
        <v>maasuarezr@correo.udistrital.edu.co</v>
      </c>
      <c r="I937" s="70" t="str">
        <f>VLOOKUP(A937,'ESTADOS ESTUDIANTES'!B:L,9,0)</f>
        <v>masuarez90@misena.edu.co</v>
      </c>
      <c r="J937" s="19" t="str">
        <f>VLOOKUP(A937,'ESTADOS ESTUDIANTES'!B:L,10,0)</f>
        <v>CC</v>
      </c>
      <c r="K937" s="19">
        <f>VLOOKUP(A937,'ESTADOS ESTUDIANTES'!B:L,11,0)</f>
        <v>1110505909</v>
      </c>
      <c r="L937" s="23"/>
      <c r="M937" s="20"/>
      <c r="N937" s="22"/>
      <c r="O937" s="15"/>
      <c r="P937" s="15"/>
      <c r="Q937" s="15"/>
      <c r="R937" s="15"/>
      <c r="S937" s="15"/>
      <c r="T937" s="15"/>
      <c r="U937" s="15"/>
    </row>
    <row r="938" spans="1:21" ht="90">
      <c r="A938" s="17">
        <v>20181195013</v>
      </c>
      <c r="B938" s="19" t="str">
        <f>VLOOKUP(A938,'ESTADOS ESTUDIANTES'!B:L,2,0)</f>
        <v>SUAREZ ROLDAN JUAN SEBASTIAN</v>
      </c>
      <c r="C938" s="19">
        <f>VLOOKUP(A938,'ESTADOS ESTUDIANTES'!B:L,3,0)</f>
        <v>195</v>
      </c>
      <c r="D938" s="66" t="str">
        <f>VLOOKUP(A938,'ESTADOS ESTUDIANTES'!B:L,4,0)</f>
        <v>MAE. EN CIENCIAS DE LA INF. Y LAS COMUNICACIONES ENFASIS EN TELEINF.</v>
      </c>
      <c r="E938" s="19" t="str">
        <f>VLOOKUP(A938,'ESTADOS ESTUDIANTES'!B:L,5,0)</f>
        <v>E</v>
      </c>
      <c r="F938" s="18" t="str">
        <f>VLOOKUP(E938,Listas!B1:C1004,2,0)</f>
        <v>EGRESADO</v>
      </c>
      <c r="G938" s="19">
        <f>VLOOKUP(A938,'ESTADOS ESTUDIANTES'!B:L,7,0)</f>
        <v>3</v>
      </c>
      <c r="H938" s="19" t="str">
        <f>VLOOKUP(A938,'ESTADOS ESTUDIANTES'!B:L,8,0)</f>
        <v>jssuarezr@udistrital.edu.co</v>
      </c>
      <c r="I938" s="70" t="str">
        <f>VLOOKUP(A938,'ESTADOS ESTUDIANTES'!B:L,9,0)</f>
        <v>sebas.suarez.roldan@gmail.com</v>
      </c>
      <c r="J938" s="19" t="str">
        <f>VLOOKUP(A938,'ESTADOS ESTUDIANTES'!B:L,10,0)</f>
        <v>CC</v>
      </c>
      <c r="K938" s="19">
        <f>VLOOKUP(A938,'ESTADOS ESTUDIANTES'!B:L,11,0)</f>
        <v>1110505907</v>
      </c>
      <c r="L938" s="23"/>
      <c r="M938" s="20"/>
      <c r="N938" s="22"/>
      <c r="O938" s="15"/>
      <c r="P938" s="15"/>
      <c r="Q938" s="15"/>
      <c r="R938" s="15"/>
      <c r="S938" s="15"/>
      <c r="T938" s="15"/>
      <c r="U938" s="15"/>
    </row>
    <row r="939" spans="1:21" ht="105">
      <c r="A939" s="17">
        <v>20181395002</v>
      </c>
      <c r="B939" s="19" t="str">
        <f>VLOOKUP(A939,'ESTADOS ESTUDIANTES'!B:L,2,0)</f>
        <v>CAICEDO TIBAVIJA EDGAR JAVIER</v>
      </c>
      <c r="C939" s="19">
        <f>VLOOKUP(A939,'ESTADOS ESTUDIANTES'!B:L,3,0)</f>
        <v>395</v>
      </c>
      <c r="D939" s="66" t="str">
        <f>VLOOKUP(A939,'ESTADOS ESTUDIANTES'!B:L,4,0)</f>
        <v>MAE. EN CIENCIAS DE LA INF. Y LAS COMUNICACIONES ENFASIS EN GEOMATICA</v>
      </c>
      <c r="E939" s="19" t="str">
        <f>VLOOKUP(A939,'ESTADOS ESTUDIANTES'!B:L,5,0)</f>
        <v>X</v>
      </c>
      <c r="F939" s="18" t="str">
        <f>VLOOKUP(E939,Listas!B1:C1004,2,0)</f>
        <v>EXCLUIDO</v>
      </c>
      <c r="G939" s="19">
        <f>VLOOKUP(A939,'ESTADOS ESTUDIANTES'!B:L,7,0)</f>
        <v>1</v>
      </c>
      <c r="H939" s="19" t="str">
        <f>VLOOKUP(A939,'ESTADOS ESTUDIANTES'!B:L,8,0)</f>
        <v>ejcaicedot@correo.udistrital.edu.co</v>
      </c>
      <c r="I939" s="70" t="str">
        <f>VLOOKUP(A939,'ESTADOS ESTUDIANTES'!B:L,9,0)</f>
        <v>javiercaicedo007@gmail.com</v>
      </c>
      <c r="J939" s="19" t="str">
        <f>VLOOKUP(A939,'ESTADOS ESTUDIANTES'!B:L,10,0)</f>
        <v>CC</v>
      </c>
      <c r="K939" s="19">
        <f>VLOOKUP(A939,'ESTADOS ESTUDIANTES'!B:L,11,0)</f>
        <v>79791274</v>
      </c>
      <c r="L939" s="19">
        <v>3192972943</v>
      </c>
      <c r="M939" s="20"/>
      <c r="N939" s="22"/>
      <c r="O939" s="15"/>
      <c r="P939" s="15"/>
      <c r="Q939" s="15"/>
      <c r="R939" s="15"/>
      <c r="S939" s="15"/>
      <c r="T939" s="15"/>
      <c r="U939" s="15"/>
    </row>
    <row r="940" spans="1:21" ht="90">
      <c r="A940" s="17">
        <v>20181395003</v>
      </c>
      <c r="B940" s="19" t="str">
        <f>VLOOKUP(A940,'ESTADOS ESTUDIANTES'!B:L,2,0)</f>
        <v>DIAZ CARRETERO EDUARDO ALFONSO</v>
      </c>
      <c r="C940" s="19">
        <f>VLOOKUP(A940,'ESTADOS ESTUDIANTES'!B:L,3,0)</f>
        <v>195</v>
      </c>
      <c r="D940" s="66" t="str">
        <f>VLOOKUP(A940,'ESTADOS ESTUDIANTES'!B:L,4,0)</f>
        <v>MAE. EN CIENCIAS DE LA INF. Y LAS COMUNICACIONES ENFASIS EN TELEINF.</v>
      </c>
      <c r="E940" s="19" t="str">
        <f>VLOOKUP(A940,'ESTADOS ESTUDIANTES'!B:L,5,0)</f>
        <v>E</v>
      </c>
      <c r="F940" s="18" t="str">
        <f>VLOOKUP(E940,Listas!B1:C1004,2,0)</f>
        <v>EGRESADO</v>
      </c>
      <c r="G940" s="19" t="str">
        <f>VLOOKUP(A940,'ESTADOS ESTUDIANTES'!B:L,7,0)</f>
        <v>NO REGISTRA</v>
      </c>
      <c r="H940" s="19" t="str">
        <f>VLOOKUP(A940,'ESTADOS ESTUDIANTES'!B:L,8,0)</f>
        <v>edadiazc@correo.udistrital.edu.co</v>
      </c>
      <c r="I940" s="70" t="str">
        <f>VLOOKUP(A940,'ESTADOS ESTUDIANTES'!B:L,9,0)</f>
        <v>eadiaz96@gmail.com</v>
      </c>
      <c r="J940" s="19" t="str">
        <f>VLOOKUP(A940,'ESTADOS ESTUDIANTES'!B:L,10,0)</f>
        <v>CC</v>
      </c>
      <c r="K940" s="19">
        <f>VLOOKUP(A940,'ESTADOS ESTUDIANTES'!B:L,11,0)</f>
        <v>1022386838</v>
      </c>
      <c r="L940" s="23"/>
      <c r="M940" s="20"/>
      <c r="N940" s="22"/>
      <c r="O940" s="15"/>
      <c r="P940" s="15"/>
      <c r="Q940" s="15"/>
      <c r="R940" s="15"/>
      <c r="S940" s="15"/>
      <c r="T940" s="15"/>
      <c r="U940" s="15"/>
    </row>
    <row r="941" spans="1:21" ht="105">
      <c r="A941" s="17">
        <v>20181395004</v>
      </c>
      <c r="B941" s="19" t="str">
        <f>VLOOKUP(A941,'ESTADOS ESTUDIANTES'!B:L,2,0)</f>
        <v>GUERRERO BUELVAS LUIS MANUEL</v>
      </c>
      <c r="C941" s="19">
        <f>VLOOKUP(A941,'ESTADOS ESTUDIANTES'!B:L,3,0)</f>
        <v>395</v>
      </c>
      <c r="D941" s="66" t="str">
        <f>VLOOKUP(A941,'ESTADOS ESTUDIANTES'!B:L,4,0)</f>
        <v>MAE. EN CIENCIAS DE LA INF. Y LAS COMUNICACIONES ENFASIS EN GEOMATICA</v>
      </c>
      <c r="E941" s="19" t="str">
        <f>VLOOKUP(A941,'ESTADOS ESTUDIANTES'!B:L,5,0)</f>
        <v>E</v>
      </c>
      <c r="F941" s="18" t="str">
        <f>VLOOKUP(E941,Listas!B1:C1004,2,0)</f>
        <v>EGRESADO</v>
      </c>
      <c r="G941" s="19">
        <f>VLOOKUP(A941,'ESTADOS ESTUDIANTES'!B:L,7,0)</f>
        <v>1</v>
      </c>
      <c r="H941" s="19" t="str">
        <f>VLOOKUP(A941,'ESTADOS ESTUDIANTES'!B:L,8,0)</f>
        <v>lmguerrerob@udistrital.edu.co</v>
      </c>
      <c r="I941" s="70" t="str">
        <f>VLOOKUP(A941,'ESTADOS ESTUDIANTES'!B:L,9,0)</f>
        <v>lmguerrerob@correo.udistrital.edu.co</v>
      </c>
      <c r="J941" s="19" t="str">
        <f>VLOOKUP(A941,'ESTADOS ESTUDIANTES'!B:L,10,0)</f>
        <v>CC</v>
      </c>
      <c r="K941" s="19">
        <f>VLOOKUP(A941,'ESTADOS ESTUDIANTES'!B:L,11,0)</f>
        <v>1018454765</v>
      </c>
      <c r="L941" s="19">
        <v>3017364716</v>
      </c>
      <c r="M941" s="20">
        <v>33885</v>
      </c>
      <c r="N941" s="22"/>
      <c r="O941" s="15"/>
      <c r="P941" s="15"/>
      <c r="Q941" s="15"/>
      <c r="R941" s="15"/>
      <c r="S941" s="15"/>
      <c r="T941" s="15"/>
      <c r="U941" s="15"/>
    </row>
    <row r="942" spans="1:21" ht="105">
      <c r="A942" s="17">
        <v>20181395006</v>
      </c>
      <c r="B942" s="19" t="str">
        <f>VLOOKUP(A942,'ESTADOS ESTUDIANTES'!B:L,2,0)</f>
        <v>ROBLES MONDRAGON DUVAN ALEXANDER</v>
      </c>
      <c r="C942" s="19">
        <f>VLOOKUP(A942,'ESTADOS ESTUDIANTES'!B:L,3,0)</f>
        <v>395</v>
      </c>
      <c r="D942" s="66" t="str">
        <f>VLOOKUP(A942,'ESTADOS ESTUDIANTES'!B:L,4,0)</f>
        <v>MAE. EN CIENCIAS DE LA INF. Y LAS COMUNICACIONES ENFASIS EN GEOMATICA</v>
      </c>
      <c r="E942" s="19" t="str">
        <f>VLOOKUP(A942,'ESTADOS ESTUDIANTES'!B:L,5,0)</f>
        <v>E</v>
      </c>
      <c r="F942" s="18" t="str">
        <f>VLOOKUP(E942,Listas!B1:C1004,2,0)</f>
        <v>EGRESADO</v>
      </c>
      <c r="G942" s="19">
        <f>VLOOKUP(A942,'ESTADOS ESTUDIANTES'!B:L,7,0)</f>
        <v>3</v>
      </c>
      <c r="H942" s="19" t="str">
        <f>VLOOKUP(A942,'ESTADOS ESTUDIANTES'!B:L,8,0)</f>
        <v>daroblesm@correo.udistrital.edu.co</v>
      </c>
      <c r="I942" s="70" t="str">
        <f>VLOOKUP(A942,'ESTADOS ESTUDIANTES'!B:L,9,0)</f>
        <v>dalexrobles@gmail.com</v>
      </c>
      <c r="J942" s="19" t="str">
        <f>VLOOKUP(A942,'ESTADOS ESTUDIANTES'!B:L,10,0)</f>
        <v>CC</v>
      </c>
      <c r="K942" s="19">
        <f>VLOOKUP(A942,'ESTADOS ESTUDIANTES'!B:L,11,0)</f>
        <v>1010191260</v>
      </c>
      <c r="L942" s="19">
        <v>3203156952</v>
      </c>
      <c r="M942" s="20"/>
      <c r="N942" s="22"/>
      <c r="O942" s="15"/>
      <c r="P942" s="15"/>
      <c r="Q942" s="15"/>
      <c r="R942" s="15"/>
      <c r="S942" s="15"/>
      <c r="T942" s="15"/>
      <c r="U942" s="15"/>
    </row>
    <row r="943" spans="1:21" ht="105">
      <c r="A943" s="17">
        <v>20181395007</v>
      </c>
      <c r="B943" s="19" t="str">
        <f>VLOOKUP(A943,'ESTADOS ESTUDIANTES'!B:L,2,0)</f>
        <v>RUEDA RODRIGUEZ DAVID ALONSO</v>
      </c>
      <c r="C943" s="19">
        <f>VLOOKUP(A943,'ESTADOS ESTUDIANTES'!B:L,3,0)</f>
        <v>395</v>
      </c>
      <c r="D943" s="66" t="str">
        <f>VLOOKUP(A943,'ESTADOS ESTUDIANTES'!B:L,4,0)</f>
        <v>MAE. EN CIENCIAS DE LA INF. Y LAS COMUNICACIONES ENFASIS EN GEOMATICA</v>
      </c>
      <c r="E943" s="19" t="str">
        <f>VLOOKUP(A943,'ESTADOS ESTUDIANTES'!B:L,5,0)</f>
        <v>X</v>
      </c>
      <c r="F943" s="18" t="str">
        <f>VLOOKUP(E943,Listas!B1:C1004,2,0)</f>
        <v>EXCLUIDO</v>
      </c>
      <c r="G943" s="19">
        <f>VLOOKUP(A943,'ESTADOS ESTUDIANTES'!B:L,7,0)</f>
        <v>3</v>
      </c>
      <c r="H943" s="19" t="str">
        <f>VLOOKUP(A943,'ESTADOS ESTUDIANTES'!B:L,8,0)</f>
        <v>daruedar@udistrital.edu.co</v>
      </c>
      <c r="I943" s="70" t="str">
        <f>VLOOKUP(A943,'ESTADOS ESTUDIANTES'!B:L,9,0)</f>
        <v>rueda.david@gmail.com</v>
      </c>
      <c r="J943" s="19" t="str">
        <f>VLOOKUP(A943,'ESTADOS ESTUDIANTES'!B:L,10,0)</f>
        <v>CC</v>
      </c>
      <c r="K943" s="19">
        <f>VLOOKUP(A943,'ESTADOS ESTUDIANTES'!B:L,11,0)</f>
        <v>80795672</v>
      </c>
      <c r="L943" s="19">
        <v>3118090612</v>
      </c>
      <c r="M943" s="20">
        <v>30949</v>
      </c>
      <c r="N943" s="22"/>
      <c r="O943" s="15"/>
      <c r="P943" s="15"/>
      <c r="Q943" s="15"/>
      <c r="R943" s="15"/>
      <c r="S943" s="15"/>
      <c r="T943" s="15"/>
      <c r="U943" s="15"/>
    </row>
    <row r="944" spans="1:21" ht="90">
      <c r="A944" s="17">
        <v>20181495001</v>
      </c>
      <c r="B944" s="19" t="str">
        <f>VLOOKUP(A944,'ESTADOS ESTUDIANTES'!B:L,2,0)</f>
        <v>BARON JEREZ LADY MAYERLY</v>
      </c>
      <c r="C944" s="19">
        <f>VLOOKUP(A944,'ESTADOS ESTUDIANTES'!B:L,3,0)</f>
        <v>495</v>
      </c>
      <c r="D944" s="66" t="str">
        <f>VLOOKUP(A944,'ESTADOS ESTUDIANTES'!B:L,4,0)</f>
        <v>MAE. EN CIENCIAS DE LA INF. Y LAS COMUNICACIONES ENFASIS EN ING. SOFT</v>
      </c>
      <c r="E944" s="19" t="str">
        <f>VLOOKUP(A944,'ESTADOS ESTUDIANTES'!B:L,5,0)</f>
        <v>X</v>
      </c>
      <c r="F944" s="18" t="str">
        <f>VLOOKUP(E944,Listas!B1:C1004,2,0)</f>
        <v>EXCLUIDO</v>
      </c>
      <c r="G944" s="19">
        <f>VLOOKUP(A944,'ESTADOS ESTUDIANTES'!B:L,7,0)</f>
        <v>3</v>
      </c>
      <c r="H944" s="19" t="str">
        <f>VLOOKUP(A944,'ESTADOS ESTUDIANTES'!B:L,8,0)</f>
        <v>lmbaronj@udistrital.edu.co</v>
      </c>
      <c r="I944" s="70" t="str">
        <f>VLOOKUP(A944,'ESTADOS ESTUDIANTES'!B:L,9,0)</f>
        <v>ladybaronj@gmail.com</v>
      </c>
      <c r="J944" s="19" t="str">
        <f>VLOOKUP(A944,'ESTADOS ESTUDIANTES'!B:L,10,0)</f>
        <v>CC</v>
      </c>
      <c r="K944" s="19">
        <f>VLOOKUP(A944,'ESTADOS ESTUDIANTES'!B:L,11,0)</f>
        <v>53153876</v>
      </c>
      <c r="L944" s="19">
        <v>3106099677</v>
      </c>
      <c r="M944" s="20">
        <v>31145</v>
      </c>
      <c r="N944" s="22"/>
      <c r="O944" s="15"/>
      <c r="P944" s="15"/>
      <c r="Q944" s="15"/>
      <c r="R944" s="15"/>
      <c r="S944" s="15"/>
      <c r="T944" s="15"/>
      <c r="U944" s="15"/>
    </row>
    <row r="945" spans="1:21" ht="90">
      <c r="A945" s="17">
        <v>20181495003</v>
      </c>
      <c r="B945" s="19" t="str">
        <f>VLOOKUP(A945,'ESTADOS ESTUDIANTES'!B:L,2,0)</f>
        <v>CARDONA TABORDA CARLOS HERNAN</v>
      </c>
      <c r="C945" s="19">
        <f>VLOOKUP(A945,'ESTADOS ESTUDIANTES'!B:L,3,0)</f>
        <v>495</v>
      </c>
      <c r="D945" s="66" t="str">
        <f>VLOOKUP(A945,'ESTADOS ESTUDIANTES'!B:L,4,0)</f>
        <v>MAE. EN CIENCIAS DE LA INF. Y LAS COMUNICACIONES ENFASIS EN ING. SOFT</v>
      </c>
      <c r="E945" s="19" t="str">
        <f>VLOOKUP(A945,'ESTADOS ESTUDIANTES'!B:L,5,0)</f>
        <v>E</v>
      </c>
      <c r="F945" s="18" t="str">
        <f>VLOOKUP(E945,Listas!B1:C1004,2,0)</f>
        <v>EGRESADO</v>
      </c>
      <c r="G945" s="19">
        <f>VLOOKUP(A945,'ESTADOS ESTUDIANTES'!B:L,7,0)</f>
        <v>3</v>
      </c>
      <c r="H945" s="19">
        <f>VLOOKUP(A945,'ESTADOS ESTUDIANTES'!B:L,8,0)</f>
        <v>0</v>
      </c>
      <c r="I945" s="70" t="str">
        <f>VLOOKUP(A945,'ESTADOS ESTUDIANTES'!B:L,9,0)</f>
        <v>chcardonat@gmail.com</v>
      </c>
      <c r="J945" s="19" t="str">
        <f>VLOOKUP(A945,'ESTADOS ESTUDIANTES'!B:L,10,0)</f>
        <v>CC</v>
      </c>
      <c r="K945" s="19">
        <f>VLOOKUP(A945,'ESTADOS ESTUDIANTES'!B:L,11,0)</f>
        <v>1018462268</v>
      </c>
      <c r="L945" s="23"/>
      <c r="M945" s="20"/>
      <c r="N945" s="22"/>
      <c r="O945" s="15"/>
      <c r="P945" s="15"/>
      <c r="Q945" s="15"/>
      <c r="R945" s="15"/>
      <c r="S945" s="15"/>
      <c r="T945" s="15"/>
      <c r="U945" s="15"/>
    </row>
    <row r="946" spans="1:21" ht="90">
      <c r="A946" s="17">
        <v>20181495004</v>
      </c>
      <c r="B946" s="19" t="str">
        <f>VLOOKUP(A946,'ESTADOS ESTUDIANTES'!B:L,2,0)</f>
        <v>CARVAJAL CHAVEZ LUIS FERNANDO</v>
      </c>
      <c r="C946" s="19">
        <f>VLOOKUP(A946,'ESTADOS ESTUDIANTES'!B:L,3,0)</f>
        <v>495</v>
      </c>
      <c r="D946" s="66" t="str">
        <f>VLOOKUP(A946,'ESTADOS ESTUDIANTES'!B:L,4,0)</f>
        <v>MAE. EN CIENCIAS DE LA INF. Y LAS COMUNICACIONES ENFASIS EN ING. SOFT</v>
      </c>
      <c r="E946" s="19" t="str">
        <f>VLOOKUP(A946,'ESTADOS ESTUDIANTES'!B:L,5,0)</f>
        <v>X</v>
      </c>
      <c r="F946" s="18" t="str">
        <f>VLOOKUP(E946,Listas!B1:C1004,2,0)</f>
        <v>EXCLUIDO</v>
      </c>
      <c r="G946" s="19">
        <f>VLOOKUP(A946,'ESTADOS ESTUDIANTES'!B:L,7,0)</f>
        <v>3</v>
      </c>
      <c r="H946" s="19">
        <f>VLOOKUP(A946,'ESTADOS ESTUDIANTES'!B:L,8,0)</f>
        <v>0</v>
      </c>
      <c r="I946" s="70" t="str">
        <f>VLOOKUP(A946,'ESTADOS ESTUDIANTES'!B:L,9,0)</f>
        <v>compucarvajal@gmail.com</v>
      </c>
      <c r="J946" s="19" t="str">
        <f>VLOOKUP(A946,'ESTADOS ESTUDIANTES'!B:L,10,0)</f>
        <v>CC</v>
      </c>
      <c r="K946" s="19">
        <f>VLOOKUP(A946,'ESTADOS ESTUDIANTES'!B:L,11,0)</f>
        <v>1061729487</v>
      </c>
      <c r="L946" s="19">
        <v>3175545607</v>
      </c>
      <c r="M946" s="20"/>
      <c r="N946" s="22"/>
      <c r="O946" s="15"/>
      <c r="P946" s="15"/>
      <c r="Q946" s="15"/>
      <c r="R946" s="15"/>
      <c r="S946" s="15"/>
      <c r="T946" s="15"/>
      <c r="U946" s="15"/>
    </row>
    <row r="947" spans="1:21" ht="90">
      <c r="A947" s="17">
        <v>20181495005</v>
      </c>
      <c r="B947" s="19" t="str">
        <f>VLOOKUP(A947,'ESTADOS ESTUDIANTES'!B:L,2,0)</f>
        <v>CIFUENTES SANCHEZ JOSE WILLIAM</v>
      </c>
      <c r="C947" s="19">
        <f>VLOOKUP(A947,'ESTADOS ESTUDIANTES'!B:L,3,0)</f>
        <v>495</v>
      </c>
      <c r="D947" s="66" t="str">
        <f>VLOOKUP(A947,'ESTADOS ESTUDIANTES'!B:L,4,0)</f>
        <v>MAE. EN CIENCIAS DE LA INF. Y LAS COMUNICACIONES ENFASIS EN ING. SOFT</v>
      </c>
      <c r="E947" s="19" t="str">
        <f>VLOOKUP(A947,'ESTADOS ESTUDIANTES'!B:L,5,0)</f>
        <v>E</v>
      </c>
      <c r="F947" s="18" t="str">
        <f>VLOOKUP(E947,Listas!B1:C1004,2,0)</f>
        <v>EGRESADO</v>
      </c>
      <c r="G947" s="19">
        <f>VLOOKUP(A947,'ESTADOS ESTUDIANTES'!B:L,7,0)</f>
        <v>4</v>
      </c>
      <c r="H947" s="19" t="str">
        <f>VLOOKUP(A947,'ESTADOS ESTUDIANTES'!B:L,8,0)</f>
        <v>jwcifuentess@correo.udistrital.edu.co</v>
      </c>
      <c r="I947" s="70" t="str">
        <f>VLOOKUP(A947,'ESTADOS ESTUDIANTES'!B:L,9,0)</f>
        <v>jwcifuentes@gmail.com</v>
      </c>
      <c r="J947" s="19" t="str">
        <f>VLOOKUP(A947,'ESTADOS ESTUDIANTES'!B:L,10,0)</f>
        <v>CC</v>
      </c>
      <c r="K947" s="19">
        <f>VLOOKUP(A947,'ESTADOS ESTUDIANTES'!B:L,11,0)</f>
        <v>80813753</v>
      </c>
      <c r="L947" s="23"/>
      <c r="M947" s="20"/>
      <c r="N947" s="22"/>
      <c r="O947" s="15"/>
      <c r="P947" s="15"/>
      <c r="Q947" s="15"/>
      <c r="R947" s="15"/>
      <c r="S947" s="15"/>
      <c r="T947" s="15"/>
      <c r="U947" s="15"/>
    </row>
    <row r="948" spans="1:21" ht="90">
      <c r="A948" s="17">
        <v>20181495007</v>
      </c>
      <c r="B948" s="19" t="str">
        <f>VLOOKUP(A948,'ESTADOS ESTUDIANTES'!B:L,2,0)</f>
        <v>CONTRERAS TORRES DANIEL OSWALDO</v>
      </c>
      <c r="C948" s="19">
        <f>VLOOKUP(A948,'ESTADOS ESTUDIANTES'!B:L,3,0)</f>
        <v>495</v>
      </c>
      <c r="D948" s="66" t="str">
        <f>VLOOKUP(A948,'ESTADOS ESTUDIANTES'!B:L,4,0)</f>
        <v>MAE. EN CIENCIAS DE LA INF. Y LAS COMUNICACIONES ENFASIS EN ING. SOFT</v>
      </c>
      <c r="E948" s="19" t="str">
        <f>VLOOKUP(A948,'ESTADOS ESTUDIANTES'!B:L,5,0)</f>
        <v>N</v>
      </c>
      <c r="F948" s="18" t="str">
        <f>VLOOKUP(E948,Listas!B1:C1004,2,0)</f>
        <v>ERROR DE CODIGO</v>
      </c>
      <c r="G948" s="19" t="str">
        <f>VLOOKUP(A948,'ESTADOS ESTUDIANTES'!B:L,7,0)</f>
        <v>NO REGISTRA</v>
      </c>
      <c r="H948" s="19">
        <f>VLOOKUP(A948,'ESTADOS ESTUDIANTES'!B:L,8,0)</f>
        <v>0</v>
      </c>
      <c r="I948" s="70" t="str">
        <f>VLOOKUP(A948,'ESTADOS ESTUDIANTES'!B:L,9,0)</f>
        <v>danieltorres1982@gmail.com</v>
      </c>
      <c r="J948" s="19" t="str">
        <f>VLOOKUP(A948,'ESTADOS ESTUDIANTES'!B:L,10,0)</f>
        <v>CC</v>
      </c>
      <c r="K948" s="19">
        <f>VLOOKUP(A948,'ESTADOS ESTUDIANTES'!B:L,11,0)</f>
        <v>80221408</v>
      </c>
      <c r="L948" s="19">
        <v>3008212436</v>
      </c>
      <c r="M948" s="20"/>
      <c r="N948" s="22"/>
      <c r="O948" s="15"/>
      <c r="P948" s="15"/>
      <c r="Q948" s="15"/>
      <c r="R948" s="15"/>
      <c r="S948" s="15"/>
      <c r="T948" s="15"/>
      <c r="U948" s="15"/>
    </row>
    <row r="949" spans="1:21" ht="90">
      <c r="A949" s="17">
        <v>20181495008</v>
      </c>
      <c r="B949" s="19" t="str">
        <f>VLOOKUP(A949,'ESTADOS ESTUDIANTES'!B:L,2,0)</f>
        <v>CORREA ALBA KAREN MICHELLE</v>
      </c>
      <c r="C949" s="19">
        <f>VLOOKUP(A949,'ESTADOS ESTUDIANTES'!B:L,3,0)</f>
        <v>495</v>
      </c>
      <c r="D949" s="66" t="str">
        <f>VLOOKUP(A949,'ESTADOS ESTUDIANTES'!B:L,4,0)</f>
        <v>MAE. EN CIENCIAS DE LA INF. Y LAS COMUNICACIONES ENFASIS EN ING. SOFT</v>
      </c>
      <c r="E949" s="19" t="str">
        <f>VLOOKUP(A949,'ESTADOS ESTUDIANTES'!B:L,5,0)</f>
        <v>X</v>
      </c>
      <c r="F949" s="18" t="str">
        <f>VLOOKUP(E949,Listas!B1:C1004,2,0)</f>
        <v>EXCLUIDO</v>
      </c>
      <c r="G949" s="19">
        <f>VLOOKUP(A949,'ESTADOS ESTUDIANTES'!B:L,7,0)</f>
        <v>1</v>
      </c>
      <c r="H949" s="19" t="str">
        <f>VLOOKUP(A949,'ESTADOS ESTUDIANTES'!B:L,8,0)</f>
        <v>kmcorreaa@udistrital.edu.co</v>
      </c>
      <c r="I949" s="70" t="str">
        <f>VLOOKUP(A949,'ESTADOS ESTUDIANTES'!B:L,9,0)</f>
        <v>karencorrea93@hotmail.com</v>
      </c>
      <c r="J949" s="19" t="str">
        <f>VLOOKUP(A949,'ESTADOS ESTUDIANTES'!B:L,10,0)</f>
        <v>CC</v>
      </c>
      <c r="K949" s="19">
        <f>VLOOKUP(A949,'ESTADOS ESTUDIANTES'!B:L,11,0)</f>
        <v>1026285169</v>
      </c>
      <c r="L949" s="19">
        <v>3102035724</v>
      </c>
      <c r="M949" s="20">
        <v>34120</v>
      </c>
      <c r="N949" s="22"/>
      <c r="O949" s="15"/>
      <c r="P949" s="15"/>
      <c r="Q949" s="15"/>
      <c r="R949" s="15"/>
      <c r="S949" s="15"/>
      <c r="T949" s="15"/>
      <c r="U949" s="15"/>
    </row>
    <row r="950" spans="1:21" ht="90">
      <c r="A950" s="17">
        <v>20181495010</v>
      </c>
      <c r="B950" s="19" t="str">
        <f>VLOOKUP(A950,'ESTADOS ESTUDIANTES'!B:L,2,0)</f>
        <v>GONZALEZ RODRIGUEZ NASLY ANDREA</v>
      </c>
      <c r="C950" s="19">
        <f>VLOOKUP(A950,'ESTADOS ESTUDIANTES'!B:L,3,0)</f>
        <v>495</v>
      </c>
      <c r="D950" s="66" t="str">
        <f>VLOOKUP(A950,'ESTADOS ESTUDIANTES'!B:L,4,0)</f>
        <v>MAE. EN CIENCIAS DE LA INF. Y LAS COMUNICACIONES ENFASIS EN ING. SOFT</v>
      </c>
      <c r="E950" s="19" t="str">
        <f>VLOOKUP(A950,'ESTADOS ESTUDIANTES'!B:L,5,0)</f>
        <v>X</v>
      </c>
      <c r="F950" s="18" t="str">
        <f>VLOOKUP(E950,Listas!B1:C1004,2,0)</f>
        <v>EXCLUIDO</v>
      </c>
      <c r="G950" s="19">
        <f>VLOOKUP(A950,'ESTADOS ESTUDIANTES'!B:L,7,0)</f>
        <v>3</v>
      </c>
      <c r="H950" s="19" t="str">
        <f>VLOOKUP(A950,'ESTADOS ESTUDIANTES'!B:L,8,0)</f>
        <v>nagonzalezr@correo.udistrital.edu.co</v>
      </c>
      <c r="I950" s="70" t="str">
        <f>VLOOKUP(A950,'ESTADOS ESTUDIANTES'!B:L,9,0)</f>
        <v>nasly.ud@gmail.com</v>
      </c>
      <c r="J950" s="19" t="str">
        <f>VLOOKUP(A950,'ESTADOS ESTUDIANTES'!B:L,10,0)</f>
        <v>CC</v>
      </c>
      <c r="K950" s="19">
        <f>VLOOKUP(A950,'ESTADOS ESTUDIANTES'!B:L,11,0)</f>
        <v>1013616905</v>
      </c>
      <c r="L950" s="19">
        <v>3202894021</v>
      </c>
      <c r="M950" s="20"/>
      <c r="N950" s="22"/>
      <c r="O950" s="15"/>
      <c r="P950" s="15"/>
      <c r="Q950" s="15"/>
      <c r="R950" s="15"/>
      <c r="S950" s="15"/>
      <c r="T950" s="15"/>
      <c r="U950" s="15"/>
    </row>
    <row r="951" spans="1:21" ht="90">
      <c r="A951" s="17">
        <v>20181495012</v>
      </c>
      <c r="B951" s="19" t="str">
        <f>VLOOKUP(A951,'ESTADOS ESTUDIANTES'!B:L,2,0)</f>
        <v>GOMEZ ORTIZ ANDRES LEONARDO</v>
      </c>
      <c r="C951" s="19">
        <f>VLOOKUP(A951,'ESTADOS ESTUDIANTES'!B:L,3,0)</f>
        <v>495</v>
      </c>
      <c r="D951" s="66" t="str">
        <f>VLOOKUP(A951,'ESTADOS ESTUDIANTES'!B:L,4,0)</f>
        <v>MAE. EN CIENCIAS DE LA INF. Y LAS COMUNICACIONES ENFASIS EN ING. SOFT</v>
      </c>
      <c r="E951" s="19" t="str">
        <f>VLOOKUP(A951,'ESTADOS ESTUDIANTES'!B:L,5,0)</f>
        <v>X</v>
      </c>
      <c r="F951" s="18" t="str">
        <f>VLOOKUP(E951,Listas!B1:C1004,2,0)</f>
        <v>EXCLUIDO</v>
      </c>
      <c r="G951" s="19" t="str">
        <f>VLOOKUP(A951,'ESTADOS ESTUDIANTES'!B:L,7,0)</f>
        <v>NO REGISTRA</v>
      </c>
      <c r="H951" s="19">
        <f>VLOOKUP(A951,'ESTADOS ESTUDIANTES'!B:L,8,0)</f>
        <v>0</v>
      </c>
      <c r="I951" s="70" t="str">
        <f>VLOOKUP(A951,'ESTADOS ESTUDIANTES'!B:L,9,0)</f>
        <v>andreslgomezo@gmail.com</v>
      </c>
      <c r="J951" s="19" t="str">
        <f>VLOOKUP(A951,'ESTADOS ESTUDIANTES'!B:L,10,0)</f>
        <v>CC</v>
      </c>
      <c r="K951" s="19">
        <f>VLOOKUP(A951,'ESTADOS ESTUDIANTES'!B:L,11,0)</f>
        <v>1026280933</v>
      </c>
      <c r="L951" s="19">
        <v>3008386182</v>
      </c>
      <c r="M951" s="20"/>
      <c r="N951" s="22"/>
      <c r="O951" s="15"/>
      <c r="P951" s="15"/>
      <c r="Q951" s="15"/>
      <c r="R951" s="15"/>
      <c r="S951" s="15"/>
      <c r="T951" s="15"/>
      <c r="U951" s="15"/>
    </row>
    <row r="952" spans="1:21" ht="90">
      <c r="A952" s="17">
        <v>20181495013</v>
      </c>
      <c r="B952" s="19" t="str">
        <f>VLOOKUP(A952,'ESTADOS ESTUDIANTES'!B:L,2,0)</f>
        <v>PARRA ALEMAN JOSE ALEXANDER</v>
      </c>
      <c r="C952" s="19">
        <f>VLOOKUP(A952,'ESTADOS ESTUDIANTES'!B:L,3,0)</f>
        <v>495</v>
      </c>
      <c r="D952" s="66" t="str">
        <f>VLOOKUP(A952,'ESTADOS ESTUDIANTES'!B:L,4,0)</f>
        <v>MAE. EN CIENCIAS DE LA INF. Y LAS COMUNICACIONES ENFASIS EN ING. SOFT</v>
      </c>
      <c r="E952" s="19" t="str">
        <f>VLOOKUP(A952,'ESTADOS ESTUDIANTES'!B:L,5,0)</f>
        <v>E</v>
      </c>
      <c r="F952" s="18" t="str">
        <f>VLOOKUP(E952,Listas!B1:C1004,2,0)</f>
        <v>EGRESADO</v>
      </c>
      <c r="G952" s="19">
        <f>VLOOKUP(A952,'ESTADOS ESTUDIANTES'!B:L,7,0)</f>
        <v>3</v>
      </c>
      <c r="H952" s="19" t="str">
        <f>VLOOKUP(A952,'ESTADOS ESTUDIANTES'!B:L,8,0)</f>
        <v>japarraa@udistrital.edu.co</v>
      </c>
      <c r="I952" s="70" t="str">
        <f>VLOOKUP(A952,'ESTADOS ESTUDIANTES'!B:L,9,0)</f>
        <v>jottappe@hotmail.com</v>
      </c>
      <c r="J952" s="19" t="str">
        <f>VLOOKUP(A952,'ESTADOS ESTUDIANTES'!B:L,10,0)</f>
        <v>CC</v>
      </c>
      <c r="K952" s="19">
        <f>VLOOKUP(A952,'ESTADOS ESTUDIANTES'!B:L,11,0)</f>
        <v>80810826</v>
      </c>
      <c r="L952" s="19">
        <v>3123120644</v>
      </c>
      <c r="M952" s="20">
        <v>30508</v>
      </c>
      <c r="N952" s="22"/>
      <c r="O952" s="15"/>
      <c r="P952" s="15"/>
      <c r="Q952" s="15"/>
      <c r="R952" s="15"/>
      <c r="S952" s="15"/>
      <c r="T952" s="15"/>
      <c r="U952" s="15"/>
    </row>
    <row r="953" spans="1:21" ht="90">
      <c r="A953" s="17">
        <v>20181495014</v>
      </c>
      <c r="B953" s="19" t="str">
        <f>VLOOKUP(A953,'ESTADOS ESTUDIANTES'!B:L,2,0)</f>
        <v>PEÑA RAMIREZ MIGUEL ROBERTO</v>
      </c>
      <c r="C953" s="19">
        <f>VLOOKUP(A953,'ESTADOS ESTUDIANTES'!B:L,3,0)</f>
        <v>495</v>
      </c>
      <c r="D953" s="66" t="str">
        <f>VLOOKUP(A953,'ESTADOS ESTUDIANTES'!B:L,4,0)</f>
        <v>MAE. EN CIENCIAS DE LA INF. Y LAS COMUNICACIONES ENFASIS EN ING. SOFT</v>
      </c>
      <c r="E953" s="19" t="str">
        <f>VLOOKUP(A953,'ESTADOS ESTUDIANTES'!B:L,5,0)</f>
        <v>N</v>
      </c>
      <c r="F953" s="18" t="str">
        <f>VLOOKUP(E953,Listas!B1:C1004,2,0)</f>
        <v>ERROR DE CODIGO</v>
      </c>
      <c r="G953" s="19" t="str">
        <f>VLOOKUP(A953,'ESTADOS ESTUDIANTES'!B:L,7,0)</f>
        <v>NO REGISTRA</v>
      </c>
      <c r="H953" s="19">
        <f>VLOOKUP(A953,'ESTADOS ESTUDIANTES'!B:L,8,0)</f>
        <v>0</v>
      </c>
      <c r="I953" s="70" t="str">
        <f>VLOOKUP(A953,'ESTADOS ESTUDIANTES'!B:L,9,0)</f>
        <v>miguepe@hotmail.com</v>
      </c>
      <c r="J953" s="19" t="str">
        <f>VLOOKUP(A953,'ESTADOS ESTUDIANTES'!B:L,10,0)</f>
        <v>CC</v>
      </c>
      <c r="K953" s="19">
        <f>VLOOKUP(A953,'ESTADOS ESTUDIANTES'!B:L,11,0)</f>
        <v>80020768</v>
      </c>
      <c r="L953" s="23"/>
      <c r="M953" s="20"/>
      <c r="N953" s="22"/>
      <c r="O953" s="15"/>
      <c r="P953" s="15"/>
      <c r="Q953" s="15"/>
      <c r="R953" s="15"/>
      <c r="S953" s="15"/>
      <c r="T953" s="15"/>
      <c r="U953" s="15"/>
    </row>
    <row r="954" spans="1:21" ht="90">
      <c r="A954" s="17">
        <v>20181495016</v>
      </c>
      <c r="B954" s="19" t="str">
        <f>VLOOKUP(A954,'ESTADOS ESTUDIANTES'!B:L,2,0)</f>
        <v>QUICENO OROZCO JHON ALEXANDER</v>
      </c>
      <c r="C954" s="19">
        <f>VLOOKUP(A954,'ESTADOS ESTUDIANTES'!B:L,3,0)</f>
        <v>495</v>
      </c>
      <c r="D954" s="66" t="str">
        <f>VLOOKUP(A954,'ESTADOS ESTUDIANTES'!B:L,4,0)</f>
        <v>MAE. EN CIENCIAS DE LA INF. Y LAS COMUNICACIONES ENFASIS EN ING. SOFT</v>
      </c>
      <c r="E954" s="19" t="str">
        <f>VLOOKUP(A954,'ESTADOS ESTUDIANTES'!B:L,5,0)</f>
        <v>X</v>
      </c>
      <c r="F954" s="18" t="str">
        <f>VLOOKUP(E954,Listas!B1:C1004,2,0)</f>
        <v>EXCLUIDO</v>
      </c>
      <c r="G954" s="19">
        <f>VLOOKUP(A954,'ESTADOS ESTUDIANTES'!B:L,7,0)</f>
        <v>1</v>
      </c>
      <c r="H954" s="19" t="str">
        <f>VLOOKUP(A954,'ESTADOS ESTUDIANTES'!B:L,8,0)</f>
        <v>jaquicenoo@udistrital.edu.co</v>
      </c>
      <c r="I954" s="70" t="str">
        <f>VLOOKUP(A954,'ESTADOS ESTUDIANTES'!B:L,9,0)</f>
        <v>jonasquiceno@gmail.com</v>
      </c>
      <c r="J954" s="19" t="str">
        <f>VLOOKUP(A954,'ESTADOS ESTUDIANTES'!B:L,10,0)</f>
        <v>CC</v>
      </c>
      <c r="K954" s="19">
        <f>VLOOKUP(A954,'ESTADOS ESTUDIANTES'!B:L,11,0)</f>
        <v>1019095988</v>
      </c>
      <c r="L954" s="19">
        <v>3008717471</v>
      </c>
      <c r="M954" s="20">
        <v>34486</v>
      </c>
      <c r="N954" s="22"/>
      <c r="O954" s="15"/>
      <c r="P954" s="15"/>
      <c r="Q954" s="15"/>
      <c r="R954" s="15"/>
      <c r="S954" s="15"/>
      <c r="T954" s="15"/>
      <c r="U954" s="15"/>
    </row>
    <row r="955" spans="1:21" ht="90">
      <c r="A955" s="17">
        <v>20181495017</v>
      </c>
      <c r="B955" s="19" t="str">
        <f>VLOOKUP(A955,'ESTADOS ESTUDIANTES'!B:L,2,0)</f>
        <v>RODRIGUEZ SIATAMA BRYAN</v>
      </c>
      <c r="C955" s="19">
        <f>VLOOKUP(A955,'ESTADOS ESTUDIANTES'!B:L,3,0)</f>
        <v>495</v>
      </c>
      <c r="D955" s="66" t="str">
        <f>VLOOKUP(A955,'ESTADOS ESTUDIANTES'!B:L,4,0)</f>
        <v>MAE. EN CIENCIAS DE LA INF. Y LAS COMUNICACIONES ENFASIS EN ING. SOFT</v>
      </c>
      <c r="E955" s="19" t="str">
        <f>VLOOKUP(A955,'ESTADOS ESTUDIANTES'!B:L,5,0)</f>
        <v>X</v>
      </c>
      <c r="F955" s="18" t="str">
        <f>VLOOKUP(E955,Listas!B1:C1004,2,0)</f>
        <v>EXCLUIDO</v>
      </c>
      <c r="G955" s="19">
        <f>VLOOKUP(A955,'ESTADOS ESTUDIANTES'!B:L,7,0)</f>
        <v>3</v>
      </c>
      <c r="H955" s="19">
        <f>VLOOKUP(A955,'ESTADOS ESTUDIANTES'!B:L,8,0)</f>
        <v>0</v>
      </c>
      <c r="I955" s="70" t="str">
        <f>VLOOKUP(A955,'ESTADOS ESTUDIANTES'!B:L,9,0)</f>
        <v>rodriguezbryan03@gmail.com</v>
      </c>
      <c r="J955" s="19" t="str">
        <f>VLOOKUP(A955,'ESTADOS ESTUDIANTES'!B:L,10,0)</f>
        <v>CC</v>
      </c>
      <c r="K955" s="19">
        <f>VLOOKUP(A955,'ESTADOS ESTUDIANTES'!B:L,11,0)</f>
        <v>1033732002</v>
      </c>
      <c r="L955" s="19">
        <v>3106889174</v>
      </c>
      <c r="M955" s="20"/>
      <c r="N955" s="22"/>
      <c r="O955" s="15"/>
      <c r="P955" s="15"/>
      <c r="Q955" s="15"/>
      <c r="R955" s="15"/>
      <c r="S955" s="15"/>
      <c r="T955" s="15"/>
      <c r="U955" s="15"/>
    </row>
    <row r="956" spans="1:21" ht="90">
      <c r="A956" s="17">
        <v>20181495018</v>
      </c>
      <c r="B956" s="19" t="str">
        <f>VLOOKUP(A956,'ESTADOS ESTUDIANTES'!B:L,2,0)</f>
        <v>SALAMANCA VASQUEZ ESTEBAN</v>
      </c>
      <c r="C956" s="19">
        <f>VLOOKUP(A956,'ESTADOS ESTUDIANTES'!B:L,3,0)</f>
        <v>495</v>
      </c>
      <c r="D956" s="66" t="str">
        <f>VLOOKUP(A956,'ESTADOS ESTUDIANTES'!B:L,4,0)</f>
        <v>MAE. EN CIENCIAS DE LA INF. Y LAS COMUNICACIONES ENFASIS EN ING. SOFT</v>
      </c>
      <c r="E956" s="19" t="str">
        <f>VLOOKUP(A956,'ESTADOS ESTUDIANTES'!B:L,5,0)</f>
        <v>E</v>
      </c>
      <c r="F956" s="18" t="str">
        <f>VLOOKUP(E956,Listas!B1:C1004,2,0)</f>
        <v>EGRESADO</v>
      </c>
      <c r="G956" s="19">
        <f>VLOOKUP(A956,'ESTADOS ESTUDIANTES'!B:L,7,0)</f>
        <v>3</v>
      </c>
      <c r="H956" s="19" t="str">
        <f>VLOOKUP(A956,'ESTADOS ESTUDIANTES'!B:L,8,0)</f>
        <v>esalamancav@udistrital.edu.co</v>
      </c>
      <c r="I956" s="70" t="str">
        <f>VLOOKUP(A956,'ESTADOS ESTUDIANTES'!B:L,9,0)</f>
        <v>esalamancav@gmail.com</v>
      </c>
      <c r="J956" s="19" t="str">
        <f>VLOOKUP(A956,'ESTADOS ESTUDIANTES'!B:L,10,0)</f>
        <v>CC</v>
      </c>
      <c r="K956" s="19">
        <f>VLOOKUP(A956,'ESTADOS ESTUDIANTES'!B:L,11,0)</f>
        <v>80211143</v>
      </c>
      <c r="L956" s="19">
        <v>3014939976</v>
      </c>
      <c r="M956" s="20">
        <v>30555</v>
      </c>
      <c r="N956" s="22"/>
      <c r="O956" s="15"/>
      <c r="P956" s="15"/>
      <c r="Q956" s="15"/>
      <c r="R956" s="15"/>
      <c r="S956" s="15"/>
      <c r="T956" s="15"/>
      <c r="U956" s="15"/>
    </row>
    <row r="957" spans="1:21" ht="90">
      <c r="A957" s="17">
        <v>20181495019</v>
      </c>
      <c r="B957" s="19" t="str">
        <f>VLOOKUP(A957,'ESTADOS ESTUDIANTES'!B:L,2,0)</f>
        <v>VILLABONA SUAREZ RAUL</v>
      </c>
      <c r="C957" s="19">
        <f>VLOOKUP(A957,'ESTADOS ESTUDIANTES'!B:L,3,0)</f>
        <v>495</v>
      </c>
      <c r="D957" s="66" t="str">
        <f>VLOOKUP(A957,'ESTADOS ESTUDIANTES'!B:L,4,0)</f>
        <v>MAE. EN CIENCIAS DE LA INF. Y LAS COMUNICACIONES ENFASIS EN ING. SOFT</v>
      </c>
      <c r="E957" s="19" t="str">
        <f>VLOOKUP(A957,'ESTADOS ESTUDIANTES'!B:L,5,0)</f>
        <v>X</v>
      </c>
      <c r="F957" s="18" t="str">
        <f>VLOOKUP(E957,Listas!B1:C1004,2,0)</f>
        <v>EXCLUIDO</v>
      </c>
      <c r="G957" s="19">
        <f>VLOOKUP(A957,'ESTADOS ESTUDIANTES'!B:L,7,0)</f>
        <v>3</v>
      </c>
      <c r="H957" s="19" t="str">
        <f>VLOOKUP(A957,'ESTADOS ESTUDIANTES'!B:L,8,0)</f>
        <v>rvillabonas@udistrital.edu.co</v>
      </c>
      <c r="I957" s="70" t="str">
        <f>VLOOKUP(A957,'ESTADOS ESTUDIANTES'!B:L,9,0)</f>
        <v>rvillabonas@gmail.com</v>
      </c>
      <c r="J957" s="19" t="str">
        <f>VLOOKUP(A957,'ESTADOS ESTUDIANTES'!B:L,10,0)</f>
        <v>CC</v>
      </c>
      <c r="K957" s="19">
        <f>VLOOKUP(A957,'ESTADOS ESTUDIANTES'!B:L,11,0)</f>
        <v>80542985</v>
      </c>
      <c r="L957" s="19">
        <v>3102834960</v>
      </c>
      <c r="M957" s="20">
        <v>28715</v>
      </c>
      <c r="N957" s="22"/>
      <c r="O957" s="15"/>
      <c r="P957" s="15"/>
      <c r="Q957" s="15"/>
      <c r="R957" s="15"/>
      <c r="S957" s="15"/>
      <c r="T957" s="15"/>
      <c r="U957" s="15"/>
    </row>
    <row r="958" spans="1:21" ht="90">
      <c r="A958" s="17">
        <v>20182195001</v>
      </c>
      <c r="B958" s="19" t="str">
        <f>VLOOKUP(A958,'ESTADOS ESTUDIANTES'!B:L,2,0)</f>
        <v>AGUILAR VELÁSQUEZ WILSON JAVIER</v>
      </c>
      <c r="C958" s="19">
        <f>VLOOKUP(A958,'ESTADOS ESTUDIANTES'!B:L,3,0)</f>
        <v>195</v>
      </c>
      <c r="D958" s="66" t="str">
        <f>VLOOKUP(A958,'ESTADOS ESTUDIANTES'!B:L,4,0)</f>
        <v>MAE. EN CIENCIAS DE LA INF. Y LAS COMUNICACIONES ENFASIS EN TELEINF.</v>
      </c>
      <c r="E958" s="19" t="str">
        <f>VLOOKUP(A958,'ESTADOS ESTUDIANTES'!B:L,5,0)</f>
        <v>X</v>
      </c>
      <c r="F958" s="18" t="str">
        <f>VLOOKUP(E958,Listas!B1:C1004,2,0)</f>
        <v>EXCLUIDO</v>
      </c>
      <c r="G958" s="19">
        <f>VLOOKUP(A958,'ESTADOS ESTUDIANTES'!B:L,7,0)</f>
        <v>2</v>
      </c>
      <c r="H958" s="19" t="str">
        <f>VLOOKUP(A958,'ESTADOS ESTUDIANTES'!B:L,8,0)</f>
        <v>wjaguilarv@udistrital.edu.co</v>
      </c>
      <c r="I958" s="70" t="str">
        <f>VLOOKUP(A958,'ESTADOS ESTUDIANTES'!B:L,9,0)</f>
        <v>waguilarv@ucundinamarca.edu.co</v>
      </c>
      <c r="J958" s="19" t="str">
        <f>VLOOKUP(A958,'ESTADOS ESTUDIANTES'!B:L,10,0)</f>
        <v>CC</v>
      </c>
      <c r="K958" s="19">
        <f>VLOOKUP(A958,'ESTADOS ESTUDIANTES'!B:L,11,0)</f>
        <v>79169210</v>
      </c>
      <c r="L958" s="19">
        <v>3144770458</v>
      </c>
      <c r="M958" s="20">
        <v>29396</v>
      </c>
      <c r="N958" s="22"/>
      <c r="O958" s="15"/>
      <c r="P958" s="15"/>
      <c r="Q958" s="15"/>
      <c r="R958" s="15"/>
      <c r="S958" s="15"/>
      <c r="T958" s="15"/>
      <c r="U958" s="15"/>
    </row>
    <row r="959" spans="1:21" ht="90">
      <c r="A959" s="17">
        <v>20182195002</v>
      </c>
      <c r="B959" s="19" t="str">
        <f>VLOOKUP(A959,'ESTADOS ESTUDIANTES'!B:L,2,0)</f>
        <v>BARRETO SÁNCHEZ FABIAN DAVID</v>
      </c>
      <c r="C959" s="19">
        <f>VLOOKUP(A959,'ESTADOS ESTUDIANTES'!B:L,3,0)</f>
        <v>195</v>
      </c>
      <c r="D959" s="66" t="str">
        <f>VLOOKUP(A959,'ESTADOS ESTUDIANTES'!B:L,4,0)</f>
        <v>MAE. EN CIENCIAS DE LA INF. Y LAS COMUNICACIONES ENFASIS EN TELEINF.</v>
      </c>
      <c r="E959" s="19" t="str">
        <f>VLOOKUP(A959,'ESTADOS ESTUDIANTES'!B:L,5,0)</f>
        <v>E</v>
      </c>
      <c r="F959" s="18" t="str">
        <f>VLOOKUP(E959,Listas!B1:C1004,2,0)</f>
        <v>EGRESADO</v>
      </c>
      <c r="G959" s="19">
        <f>VLOOKUP(A959,'ESTADOS ESTUDIANTES'!B:L,7,0)</f>
        <v>3</v>
      </c>
      <c r="H959" s="19" t="str">
        <f>VLOOKUP(A959,'ESTADOS ESTUDIANTES'!B:L,8,0)</f>
        <v>fdbarretos@correo.udistrital.edu.co</v>
      </c>
      <c r="I959" s="70" t="str">
        <f>VLOOKUP(A959,'ESTADOS ESTUDIANTES'!B:L,9,0)</f>
        <v>fabibeto11@hotmail.com</v>
      </c>
      <c r="J959" s="19" t="str">
        <f>VLOOKUP(A959,'ESTADOS ESTUDIANTES'!B:L,10,0)</f>
        <v>CC</v>
      </c>
      <c r="K959" s="19">
        <f>VLOOKUP(A959,'ESTADOS ESTUDIANTES'!B:L,11,0)</f>
        <v>1118559031</v>
      </c>
      <c r="L959" s="19">
        <v>3173382506</v>
      </c>
      <c r="M959" s="20">
        <v>34579</v>
      </c>
      <c r="N959" s="22"/>
      <c r="O959" s="15"/>
      <c r="P959" s="15"/>
      <c r="Q959" s="15"/>
      <c r="R959" s="15"/>
      <c r="S959" s="15"/>
      <c r="T959" s="15"/>
      <c r="U959" s="15"/>
    </row>
    <row r="960" spans="1:21" ht="90">
      <c r="A960" s="17">
        <v>20182195003</v>
      </c>
      <c r="B960" s="19" t="str">
        <f>VLOOKUP(A960,'ESTADOS ESTUDIANTES'!B:L,2,0)</f>
        <v>MILLAN ORDUZ DAVID ANTONIO</v>
      </c>
      <c r="C960" s="19">
        <f>VLOOKUP(A960,'ESTADOS ESTUDIANTES'!B:L,3,0)</f>
        <v>195</v>
      </c>
      <c r="D960" s="66" t="str">
        <f>VLOOKUP(A960,'ESTADOS ESTUDIANTES'!B:L,4,0)</f>
        <v>MAE. EN CIENCIAS DE LA INF. Y LAS COMUNICACIONES ENFASIS EN TELEINF.</v>
      </c>
      <c r="E960" s="19" t="str">
        <f>VLOOKUP(A960,'ESTADOS ESTUDIANTES'!B:L,5,0)</f>
        <v>X</v>
      </c>
      <c r="F960" s="18" t="str">
        <f>VLOOKUP(E960,Listas!B1:C1004,2,0)</f>
        <v>EXCLUIDO</v>
      </c>
      <c r="G960" s="19">
        <f>VLOOKUP(A960,'ESTADOS ESTUDIANTES'!B:L,7,0)</f>
        <v>3</v>
      </c>
      <c r="H960" s="19" t="str">
        <f>VLOOKUP(A960,'ESTADOS ESTUDIANTES'!B:L,8,0)</f>
        <v>damillano@udistrital.edu.co</v>
      </c>
      <c r="I960" s="70" t="str">
        <f>VLOOKUP(A960,'ESTADOS ESTUDIANTES'!B:L,9,0)</f>
        <v>damillano93@gmail.com</v>
      </c>
      <c r="J960" s="19" t="str">
        <f>VLOOKUP(A960,'ESTADOS ESTUDIANTES'!B:L,10,0)</f>
        <v>CC</v>
      </c>
      <c r="K960" s="19">
        <f>VLOOKUP(A960,'ESTADOS ESTUDIANTES'!B:L,11,0)</f>
        <v>1032458403</v>
      </c>
      <c r="L960" s="19">
        <v>3144363747</v>
      </c>
      <c r="M960" s="20">
        <v>34200</v>
      </c>
      <c r="N960" s="22"/>
      <c r="O960" s="15"/>
      <c r="P960" s="15"/>
      <c r="Q960" s="15"/>
      <c r="R960" s="15"/>
      <c r="S960" s="15"/>
      <c r="T960" s="15"/>
      <c r="U960" s="15"/>
    </row>
    <row r="961" spans="1:21" ht="90">
      <c r="A961" s="17">
        <v>20182195004</v>
      </c>
      <c r="B961" s="19" t="str">
        <f>VLOOKUP(A961,'ESTADOS ESTUDIANTES'!B:L,2,0)</f>
        <v>RAMÍREZ JEREZ LUIS EDUARDO</v>
      </c>
      <c r="C961" s="19">
        <f>VLOOKUP(A961,'ESTADOS ESTUDIANTES'!B:L,3,0)</f>
        <v>195</v>
      </c>
      <c r="D961" s="66" t="str">
        <f>VLOOKUP(A961,'ESTADOS ESTUDIANTES'!B:L,4,0)</f>
        <v>MAE. EN CIENCIAS DE LA INF. Y LAS COMUNICACIONES ENFASIS EN TELEINF.</v>
      </c>
      <c r="E961" s="19" t="str">
        <f>VLOOKUP(A961,'ESTADOS ESTUDIANTES'!B:L,5,0)</f>
        <v>X</v>
      </c>
      <c r="F961" s="18" t="str">
        <f>VLOOKUP(E961,Listas!B1:C1004,2,0)</f>
        <v>EXCLUIDO</v>
      </c>
      <c r="G961" s="19">
        <f>VLOOKUP(A961,'ESTADOS ESTUDIANTES'!B:L,7,0)</f>
        <v>3</v>
      </c>
      <c r="H961" s="19" t="str">
        <f>VLOOKUP(A961,'ESTADOS ESTUDIANTES'!B:L,8,0)</f>
        <v>leramirezj@udistrital.edu.co</v>
      </c>
      <c r="I961" s="70" t="str">
        <f>VLOOKUP(A961,'ESTADOS ESTUDIANTES'!B:L,9,0)</f>
        <v>leramirezj182@gmail.com</v>
      </c>
      <c r="J961" s="19" t="str">
        <f>VLOOKUP(A961,'ESTADOS ESTUDIANTES'!B:L,10,0)</f>
        <v>CC</v>
      </c>
      <c r="K961" s="19">
        <f>VLOOKUP(A961,'ESTADOS ESTUDIANTES'!B:L,11,0)</f>
        <v>1014184238</v>
      </c>
      <c r="L961" s="19">
        <v>3202256293</v>
      </c>
      <c r="M961" s="20">
        <v>31885</v>
      </c>
      <c r="N961" s="22"/>
      <c r="O961" s="15"/>
      <c r="P961" s="15"/>
      <c r="Q961" s="15"/>
      <c r="R961" s="15"/>
      <c r="S961" s="15"/>
      <c r="T961" s="15"/>
      <c r="U961" s="15"/>
    </row>
    <row r="962" spans="1:21" ht="90">
      <c r="A962" s="17">
        <v>20182195005</v>
      </c>
      <c r="B962" s="19" t="str">
        <f>VLOOKUP(A962,'ESTADOS ESTUDIANTES'!B:L,2,0)</f>
        <v>BERMÚDEZ BUCURÚ BRAYAN ANDRÉS</v>
      </c>
      <c r="C962" s="19">
        <f>VLOOKUP(A962,'ESTADOS ESTUDIANTES'!B:L,3,0)</f>
        <v>195</v>
      </c>
      <c r="D962" s="66" t="str">
        <f>VLOOKUP(A962,'ESTADOS ESTUDIANTES'!B:L,4,0)</f>
        <v>MAE. EN CIENCIAS DE LA INF. Y LAS COMUNICACIONES ENFASIS EN TELEINF.</v>
      </c>
      <c r="E962" s="19" t="str">
        <f>VLOOKUP(A962,'ESTADOS ESTUDIANTES'!B:L,5,0)</f>
        <v>E</v>
      </c>
      <c r="F962" s="18" t="str">
        <f>VLOOKUP(E962,Listas!B1:C1004,2,0)</f>
        <v>EGRESADO</v>
      </c>
      <c r="G962" s="19">
        <f>VLOOKUP(A962,'ESTADOS ESTUDIANTES'!B:L,7,0)</f>
        <v>1</v>
      </c>
      <c r="H962" s="19" t="str">
        <f>VLOOKUP(A962,'ESTADOS ESTUDIANTES'!B:L,8,0)</f>
        <v>babermudezb@udistrital.edu.co</v>
      </c>
      <c r="I962" s="70" t="str">
        <f>VLOOKUP(A962,'ESTADOS ESTUDIANTES'!B:L,9,0)</f>
        <v>babermudezb1@gmail.com</v>
      </c>
      <c r="J962" s="19" t="str">
        <f>VLOOKUP(A962,'ESTADOS ESTUDIANTES'!B:L,10,0)</f>
        <v>CC</v>
      </c>
      <c r="K962" s="19">
        <f>VLOOKUP(A962,'ESTADOS ESTUDIANTES'!B:L,11,0)</f>
        <v>1010221959</v>
      </c>
      <c r="L962" s="19">
        <v>3058799936</v>
      </c>
      <c r="M962" s="20">
        <v>34843</v>
      </c>
      <c r="N962" s="22"/>
      <c r="O962" s="15"/>
      <c r="P962" s="15"/>
      <c r="Q962" s="15"/>
      <c r="R962" s="15"/>
      <c r="S962" s="15"/>
      <c r="T962" s="15"/>
      <c r="U962" s="15"/>
    </row>
    <row r="963" spans="1:21" ht="90">
      <c r="A963" s="17">
        <v>20182195007</v>
      </c>
      <c r="B963" s="19" t="str">
        <f>VLOOKUP(A963,'ESTADOS ESTUDIANTES'!B:L,2,0)</f>
        <v>MERIÑO SUAREZ IVET PATRICIA</v>
      </c>
      <c r="C963" s="19">
        <f>VLOOKUP(A963,'ESTADOS ESTUDIANTES'!B:L,3,0)</f>
        <v>195</v>
      </c>
      <c r="D963" s="66" t="str">
        <f>VLOOKUP(A963,'ESTADOS ESTUDIANTES'!B:L,4,0)</f>
        <v>MAE. EN CIENCIAS DE LA INF. Y LAS COMUNICACIONES ENFASIS EN TELEINF.</v>
      </c>
      <c r="E963" s="19" t="str">
        <f>VLOOKUP(A963,'ESTADOS ESTUDIANTES'!B:L,5,0)</f>
        <v>X</v>
      </c>
      <c r="F963" s="18" t="str">
        <f>VLOOKUP(E963,Listas!B1:C1004,2,0)</f>
        <v>EXCLUIDO</v>
      </c>
      <c r="G963" s="19">
        <f>VLOOKUP(A963,'ESTADOS ESTUDIANTES'!B:L,7,0)</f>
        <v>3</v>
      </c>
      <c r="H963" s="19" t="str">
        <f>VLOOKUP(A963,'ESTADOS ESTUDIANTES'!B:L,8,0)</f>
        <v>ipmerinos@udistrital.edu.co</v>
      </c>
      <c r="I963" s="70" t="str">
        <f>VLOOKUP(A963,'ESTADOS ESTUDIANTES'!B:L,9,0)</f>
        <v>ivetpatricia@hotmail.com</v>
      </c>
      <c r="J963" s="19" t="str">
        <f>VLOOKUP(A963,'ESTADOS ESTUDIANTES'!B:L,10,0)</f>
        <v>CC</v>
      </c>
      <c r="K963" s="19">
        <f>VLOOKUP(A963,'ESTADOS ESTUDIANTES'!B:L,11,0)</f>
        <v>45716000</v>
      </c>
      <c r="L963" s="19">
        <v>3008057395</v>
      </c>
      <c r="M963" s="20">
        <v>30595</v>
      </c>
      <c r="N963" s="22"/>
      <c r="O963" s="15"/>
      <c r="P963" s="15"/>
      <c r="Q963" s="15"/>
      <c r="R963" s="15"/>
      <c r="S963" s="15"/>
      <c r="T963" s="15"/>
      <c r="U963" s="15"/>
    </row>
    <row r="964" spans="1:21" ht="105">
      <c r="A964" s="17">
        <v>20182395001</v>
      </c>
      <c r="B964" s="19" t="str">
        <f>VLOOKUP(A964,'ESTADOS ESTUDIANTES'!B:L,2,0)</f>
        <v>AYALA RICO JAIRO ALEJANDRO</v>
      </c>
      <c r="C964" s="19">
        <f>VLOOKUP(A964,'ESTADOS ESTUDIANTES'!B:L,3,0)</f>
        <v>395</v>
      </c>
      <c r="D964" s="66" t="str">
        <f>VLOOKUP(A964,'ESTADOS ESTUDIANTES'!B:L,4,0)</f>
        <v>MAE. EN CIENCIAS DE LA INF. Y LAS COMUNICACIONES ENFASIS EN GEOMATICA</v>
      </c>
      <c r="E964" s="19" t="str">
        <f>VLOOKUP(A964,'ESTADOS ESTUDIANTES'!B:L,5,0)</f>
        <v>N</v>
      </c>
      <c r="F964" s="18" t="str">
        <f>VLOOKUP(E964,Listas!B1:C1004,2,0)</f>
        <v>ERROR DE CODIGO</v>
      </c>
      <c r="G964" s="19" t="str">
        <f>VLOOKUP(A964,'ESTADOS ESTUDIANTES'!B:L,7,0)</f>
        <v>NO REGISTRA</v>
      </c>
      <c r="H964" s="19" t="str">
        <f>VLOOKUP(A964,'ESTADOS ESTUDIANTES'!B:L,8,0)</f>
        <v>jaayalar@udistrital.edu.co</v>
      </c>
      <c r="I964" s="70" t="str">
        <f>VLOOKUP(A964,'ESTADOS ESTUDIANTES'!B:L,9,0)</f>
        <v>jaayalar@hotmail.com</v>
      </c>
      <c r="J964" s="19" t="str">
        <f>VLOOKUP(A964,'ESTADOS ESTUDIANTES'!B:L,10,0)</f>
        <v>CC</v>
      </c>
      <c r="K964" s="19">
        <f>VLOOKUP(A964,'ESTADOS ESTUDIANTES'!B:L,11,0)</f>
        <v>1020782617</v>
      </c>
      <c r="L964" s="19">
        <v>318919098</v>
      </c>
      <c r="M964" s="20"/>
      <c r="N964" s="22"/>
      <c r="O964" s="15"/>
      <c r="P964" s="15"/>
      <c r="Q964" s="15"/>
      <c r="R964" s="15"/>
      <c r="S964" s="15"/>
      <c r="T964" s="15"/>
      <c r="U964" s="15"/>
    </row>
    <row r="965" spans="1:21" ht="105">
      <c r="A965" s="17">
        <v>20182395002</v>
      </c>
      <c r="B965" s="19" t="str">
        <f>VLOOKUP(A965,'ESTADOS ESTUDIANTES'!B:L,2,0)</f>
        <v>BOCANEGRA PATAQUIVA DIANA ALEJANDRA</v>
      </c>
      <c r="C965" s="19">
        <f>VLOOKUP(A965,'ESTADOS ESTUDIANTES'!B:L,3,0)</f>
        <v>395</v>
      </c>
      <c r="D965" s="66" t="str">
        <f>VLOOKUP(A965,'ESTADOS ESTUDIANTES'!B:L,4,0)</f>
        <v>MAE. EN CIENCIAS DE LA INF. Y LAS COMUNICACIONES ENFASIS EN GEOMATICA</v>
      </c>
      <c r="E965" s="19" t="str">
        <f>VLOOKUP(A965,'ESTADOS ESTUDIANTES'!B:L,5,0)</f>
        <v>N</v>
      </c>
      <c r="F965" s="18" t="str">
        <f>VLOOKUP(E965,Listas!B1:C1004,2,0)</f>
        <v>ERROR DE CODIGO</v>
      </c>
      <c r="G965" s="19" t="str">
        <f>VLOOKUP(A965,'ESTADOS ESTUDIANTES'!B:L,7,0)</f>
        <v>NO REGISTRA</v>
      </c>
      <c r="H965" s="19" t="str">
        <f>VLOOKUP(A965,'ESTADOS ESTUDIANTES'!B:L,8,0)</f>
        <v>dabocanegrap@correo.udistrital.edu.co</v>
      </c>
      <c r="I965" s="70" t="str">
        <f>VLOOKUP(A965,'ESTADOS ESTUDIANTES'!B:L,9,0)</f>
        <v>diana02aleja@hotmail.com</v>
      </c>
      <c r="J965" s="19" t="str">
        <f>VLOOKUP(A965,'ESTADOS ESTUDIANTES'!B:L,10,0)</f>
        <v>CC</v>
      </c>
      <c r="K965" s="19">
        <f>VLOOKUP(A965,'ESTADOS ESTUDIANTES'!B:L,11,0)</f>
        <v>1012411066</v>
      </c>
      <c r="L965" s="19">
        <v>3196677854</v>
      </c>
      <c r="M965" s="20"/>
      <c r="N965" s="22"/>
      <c r="O965" s="15"/>
      <c r="P965" s="15"/>
      <c r="Q965" s="15"/>
      <c r="R965" s="15"/>
      <c r="S965" s="15"/>
      <c r="T965" s="15"/>
      <c r="U965" s="15"/>
    </row>
    <row r="966" spans="1:21" ht="105">
      <c r="A966" s="17">
        <v>20182395004</v>
      </c>
      <c r="B966" s="19" t="str">
        <f>VLOOKUP(A966,'ESTADOS ESTUDIANTES'!B:L,2,0)</f>
        <v>DUQUE GIRALDO ALEJANDRO</v>
      </c>
      <c r="C966" s="19">
        <f>VLOOKUP(A966,'ESTADOS ESTUDIANTES'!B:L,3,0)</f>
        <v>395</v>
      </c>
      <c r="D966" s="66" t="str">
        <f>VLOOKUP(A966,'ESTADOS ESTUDIANTES'!B:L,4,0)</f>
        <v>MAE. EN CIENCIAS DE LA INF. Y LAS COMUNICACIONES ENFASIS EN GEOMATICA</v>
      </c>
      <c r="E966" s="19" t="str">
        <f>VLOOKUP(A966,'ESTADOS ESTUDIANTES'!B:L,5,0)</f>
        <v>X</v>
      </c>
      <c r="F966" s="18" t="str">
        <f>VLOOKUP(E966,Listas!B1:C1004,2,0)</f>
        <v>EXCLUIDO</v>
      </c>
      <c r="G966" s="19" t="str">
        <f>VLOOKUP(A966,'ESTADOS ESTUDIANTES'!B:L,7,0)</f>
        <v>NO REGISTRA</v>
      </c>
      <c r="H966" s="19" t="str">
        <f>VLOOKUP(A966,'ESTADOS ESTUDIANTES'!B:L,8,0)</f>
        <v>aduqueg@correo.udistrital.edu.co</v>
      </c>
      <c r="I966" s="70" t="str">
        <f>VLOOKUP(A966,'ESTADOS ESTUDIANTES'!B:L,9,0)</f>
        <v>duque_694@hotmail.com</v>
      </c>
      <c r="J966" s="19" t="str">
        <f>VLOOKUP(A966,'ESTADOS ESTUDIANTES'!B:L,10,0)</f>
        <v>CC</v>
      </c>
      <c r="K966" s="19">
        <f>VLOOKUP(A966,'ESTADOS ESTUDIANTES'!B:L,11,0)</f>
        <v>1094939426</v>
      </c>
      <c r="L966" s="19">
        <v>3165346243</v>
      </c>
      <c r="M966" s="20"/>
      <c r="N966" s="22"/>
      <c r="O966" s="15"/>
      <c r="P966" s="15"/>
      <c r="Q966" s="15"/>
      <c r="R966" s="15"/>
      <c r="S966" s="15"/>
      <c r="T966" s="15"/>
      <c r="U966" s="15"/>
    </row>
    <row r="967" spans="1:21" ht="105">
      <c r="A967" s="17">
        <v>20182395005</v>
      </c>
      <c r="B967" s="19" t="str">
        <f>VLOOKUP(A967,'ESTADOS ESTUDIANTES'!B:L,2,0)</f>
        <v>GALINDO AMBUILA JHON ALEXANDER</v>
      </c>
      <c r="C967" s="19">
        <f>VLOOKUP(A967,'ESTADOS ESTUDIANTES'!B:L,3,0)</f>
        <v>395</v>
      </c>
      <c r="D967" s="66" t="str">
        <f>VLOOKUP(A967,'ESTADOS ESTUDIANTES'!B:L,4,0)</f>
        <v>MAE. EN CIENCIAS DE LA INF. Y LAS COMUNICACIONES ENFASIS EN GEOMATICA</v>
      </c>
      <c r="E967" s="19" t="str">
        <f>VLOOKUP(A967,'ESTADOS ESTUDIANTES'!B:L,5,0)</f>
        <v>E</v>
      </c>
      <c r="F967" s="18" t="str">
        <f>VLOOKUP(E967,Listas!B1:C1004,2,0)</f>
        <v>EGRESADO</v>
      </c>
      <c r="G967" s="19">
        <f>VLOOKUP(A967,'ESTADOS ESTUDIANTES'!B:L,7,0)</f>
        <v>4</v>
      </c>
      <c r="H967" s="19" t="str">
        <f>VLOOKUP(A967,'ESTADOS ESTUDIANTES'!B:L,8,0)</f>
        <v>jagalindoa@udistrital.edu.co</v>
      </c>
      <c r="I967" s="70" t="str">
        <f>VLOOKUP(A967,'ESTADOS ESTUDIANTES'!B:L,9,0)</f>
        <v>jagalindoa@correo.udistrital.edu.co</v>
      </c>
      <c r="J967" s="19" t="str">
        <f>VLOOKUP(A967,'ESTADOS ESTUDIANTES'!B:L,10,0)</f>
        <v>CC</v>
      </c>
      <c r="K967" s="19">
        <f>VLOOKUP(A967,'ESTADOS ESTUDIANTES'!B:L,11,0)</f>
        <v>1010208668</v>
      </c>
      <c r="L967" s="19">
        <v>3043821052</v>
      </c>
      <c r="M967" s="20">
        <v>34129</v>
      </c>
      <c r="N967" s="22"/>
      <c r="O967" s="15"/>
      <c r="P967" s="15"/>
      <c r="Q967" s="15"/>
      <c r="R967" s="15"/>
      <c r="S967" s="15"/>
      <c r="T967" s="15"/>
      <c r="U967" s="15"/>
    </row>
    <row r="968" spans="1:21" ht="105">
      <c r="A968" s="17">
        <v>20182395006</v>
      </c>
      <c r="B968" s="19" t="str">
        <f>VLOOKUP(A968,'ESTADOS ESTUDIANTES'!B:L,2,0)</f>
        <v>GONZALEZ BUITRAGO GABRIEL HERNAN</v>
      </c>
      <c r="C968" s="19">
        <f>VLOOKUP(A968,'ESTADOS ESTUDIANTES'!B:L,3,0)</f>
        <v>395</v>
      </c>
      <c r="D968" s="66" t="str">
        <f>VLOOKUP(A968,'ESTADOS ESTUDIANTES'!B:L,4,0)</f>
        <v>MAE. EN CIENCIAS DE LA INF. Y LAS COMUNICACIONES ENFASIS EN GEOMATICA</v>
      </c>
      <c r="E968" s="19" t="str">
        <f>VLOOKUP(A968,'ESTADOS ESTUDIANTES'!B:L,5,0)</f>
        <v>E</v>
      </c>
      <c r="F968" s="18" t="str">
        <f>VLOOKUP(E968,Listas!B1:C1004,2,0)</f>
        <v>EGRESADO</v>
      </c>
      <c r="G968" s="19">
        <f>VLOOKUP(A968,'ESTADOS ESTUDIANTES'!B:L,7,0)</f>
        <v>1</v>
      </c>
      <c r="H968" s="19" t="str">
        <f>VLOOKUP(A968,'ESTADOS ESTUDIANTES'!B:L,8,0)</f>
        <v>ghgonzalezb@correo.udistrital.edu.co</v>
      </c>
      <c r="I968" s="70" t="str">
        <f>VLOOKUP(A968,'ESTADOS ESTUDIANTES'!B:L,9,0)</f>
        <v>ghgonzalezb@correo.udistrital.edu.co</v>
      </c>
      <c r="J968" s="19" t="str">
        <f>VLOOKUP(A968,'ESTADOS ESTUDIANTES'!B:L,10,0)</f>
        <v>CC</v>
      </c>
      <c r="K968" s="19">
        <f>VLOOKUP(A968,'ESTADOS ESTUDIANTES'!B:L,11,0)</f>
        <v>1016083013</v>
      </c>
      <c r="L968" s="19">
        <v>3057071556</v>
      </c>
      <c r="M968" s="20">
        <v>35080</v>
      </c>
      <c r="N968" s="22"/>
      <c r="O968" s="15"/>
      <c r="P968" s="15"/>
      <c r="Q968" s="15"/>
      <c r="R968" s="15"/>
      <c r="S968" s="15"/>
      <c r="T968" s="15"/>
      <c r="U968" s="15"/>
    </row>
    <row r="969" spans="1:21" ht="105">
      <c r="A969" s="17">
        <v>20182395007</v>
      </c>
      <c r="B969" s="19" t="str">
        <f>VLOOKUP(A969,'ESTADOS ESTUDIANTES'!B:L,2,0)</f>
        <v>HURTADO VÁSQUEZ CRISTIAN CAMILO</v>
      </c>
      <c r="C969" s="19">
        <f>VLOOKUP(A969,'ESTADOS ESTUDIANTES'!B:L,3,0)</f>
        <v>395</v>
      </c>
      <c r="D969" s="66" t="str">
        <f>VLOOKUP(A969,'ESTADOS ESTUDIANTES'!B:L,4,0)</f>
        <v>MAE. EN CIENCIAS DE LA INF. Y LAS COMUNICACIONES ENFASIS EN GEOMATICA</v>
      </c>
      <c r="E969" s="19" t="str">
        <f>VLOOKUP(A969,'ESTADOS ESTUDIANTES'!B:L,5,0)</f>
        <v>X</v>
      </c>
      <c r="F969" s="18" t="str">
        <f>VLOOKUP(E969,Listas!B1:C1004,2,0)</f>
        <v>EXCLUIDO</v>
      </c>
      <c r="G969" s="19">
        <f>VLOOKUP(A969,'ESTADOS ESTUDIANTES'!B:L,7,0)</f>
        <v>2</v>
      </c>
      <c r="H969" s="19" t="str">
        <f>VLOOKUP(A969,'ESTADOS ESTUDIANTES'!B:L,8,0)</f>
        <v>cchurtadov@udistrital.edu.co</v>
      </c>
      <c r="I969" s="70" t="str">
        <f>VLOOKUP(A969,'ESTADOS ESTUDIANTES'!B:L,9,0)</f>
        <v>cchurtadov@udistrital.edu.co</v>
      </c>
      <c r="J969" s="19" t="str">
        <f>VLOOKUP(A969,'ESTADOS ESTUDIANTES'!B:L,10,0)</f>
        <v>CC</v>
      </c>
      <c r="K969" s="19">
        <f>VLOOKUP(A969,'ESTADOS ESTUDIANTES'!B:L,11,0)</f>
        <v>1026269815</v>
      </c>
      <c r="L969" s="19">
        <v>3118341177</v>
      </c>
      <c r="M969" s="20">
        <v>33039</v>
      </c>
      <c r="N969" s="22"/>
      <c r="O969" s="15"/>
      <c r="P969" s="15"/>
      <c r="Q969" s="15"/>
      <c r="R969" s="15"/>
      <c r="S969" s="15"/>
      <c r="T969" s="15"/>
      <c r="U969" s="15"/>
    </row>
    <row r="970" spans="1:21" ht="105">
      <c r="A970" s="17">
        <v>20182395008</v>
      </c>
      <c r="B970" s="19" t="str">
        <f>VLOOKUP(A970,'ESTADOS ESTUDIANTES'!B:L,2,0)</f>
        <v>LEAL VELEZ ANDERSON</v>
      </c>
      <c r="C970" s="19">
        <f>VLOOKUP(A970,'ESTADOS ESTUDIANTES'!B:L,3,0)</f>
        <v>395</v>
      </c>
      <c r="D970" s="66" t="str">
        <f>VLOOKUP(A970,'ESTADOS ESTUDIANTES'!B:L,4,0)</f>
        <v>MAE. EN CIENCIAS DE LA INF. Y LAS COMUNICACIONES ENFASIS EN GEOMATICA</v>
      </c>
      <c r="E970" s="19" t="str">
        <f>VLOOKUP(A970,'ESTADOS ESTUDIANTES'!B:L,5,0)</f>
        <v>X</v>
      </c>
      <c r="F970" s="18" t="str">
        <f>VLOOKUP(E970,Listas!B1:C1004,2,0)</f>
        <v>EXCLUIDO</v>
      </c>
      <c r="G970" s="19">
        <f>VLOOKUP(A970,'ESTADOS ESTUDIANTES'!B:L,7,0)</f>
        <v>1</v>
      </c>
      <c r="H970" s="19" t="str">
        <f>VLOOKUP(A970,'ESTADOS ESTUDIANTES'!B:L,8,0)</f>
        <v>alealv@udistrital.edu.co</v>
      </c>
      <c r="I970" s="70" t="str">
        <f>VLOOKUP(A970,'ESTADOS ESTUDIANTES'!B:L,9,0)</f>
        <v>andersonlealv@gmail.com</v>
      </c>
      <c r="J970" s="19" t="str">
        <f>VLOOKUP(A970,'ESTADOS ESTUDIANTES'!B:L,10,0)</f>
        <v>CC</v>
      </c>
      <c r="K970" s="19">
        <f>VLOOKUP(A970,'ESTADOS ESTUDIANTES'!B:L,11,0)</f>
        <v>1032466689</v>
      </c>
      <c r="L970" s="19">
        <v>3142076278</v>
      </c>
      <c r="M970" s="20"/>
      <c r="N970" s="22"/>
      <c r="O970" s="15"/>
      <c r="P970" s="15"/>
      <c r="Q970" s="15"/>
      <c r="R970" s="15"/>
      <c r="S970" s="15"/>
      <c r="T970" s="15"/>
      <c r="U970" s="15"/>
    </row>
    <row r="971" spans="1:21" ht="105">
      <c r="A971" s="17">
        <v>20182395009</v>
      </c>
      <c r="B971" s="19" t="str">
        <f>VLOOKUP(A971,'ESTADOS ESTUDIANTES'!B:L,2,0)</f>
        <v>MANRIQUE CHACON LAURA MELISSA</v>
      </c>
      <c r="C971" s="19">
        <f>VLOOKUP(A971,'ESTADOS ESTUDIANTES'!B:L,3,0)</f>
        <v>395</v>
      </c>
      <c r="D971" s="66" t="str">
        <f>VLOOKUP(A971,'ESTADOS ESTUDIANTES'!B:L,4,0)</f>
        <v>MAE. EN CIENCIAS DE LA INF. Y LAS COMUNICACIONES ENFASIS EN GEOMATICA</v>
      </c>
      <c r="E971" s="19" t="str">
        <f>VLOOKUP(A971,'ESTADOS ESTUDIANTES'!B:L,5,0)</f>
        <v>E</v>
      </c>
      <c r="F971" s="18" t="str">
        <f>VLOOKUP(E971,Listas!B1:C1004,2,0)</f>
        <v>EGRESADO</v>
      </c>
      <c r="G971" s="19">
        <f>VLOOKUP(A971,'ESTADOS ESTUDIANTES'!B:L,7,0)</f>
        <v>2</v>
      </c>
      <c r="H971" s="19" t="str">
        <f>VLOOKUP(A971,'ESTADOS ESTUDIANTES'!B:L,8,0)</f>
        <v>lmmanriquec@correo.udistrital.edu.co</v>
      </c>
      <c r="I971" s="70" t="str">
        <f>VLOOKUP(A971,'ESTADOS ESTUDIANTES'!B:L,9,0)</f>
        <v>manriquelaura31@gmail.com</v>
      </c>
      <c r="J971" s="19" t="str">
        <f>VLOOKUP(A971,'ESTADOS ESTUDIANTES'!B:L,10,0)</f>
        <v>CC</v>
      </c>
      <c r="K971" s="19">
        <f>VLOOKUP(A971,'ESTADOS ESTUDIANTES'!B:L,11,0)</f>
        <v>1031159767</v>
      </c>
      <c r="L971" s="19">
        <v>3125653554</v>
      </c>
      <c r="M971" s="20">
        <v>34881</v>
      </c>
      <c r="N971" s="22"/>
      <c r="O971" s="15"/>
      <c r="P971" s="15"/>
      <c r="Q971" s="15"/>
      <c r="R971" s="15"/>
      <c r="S971" s="15"/>
      <c r="T971" s="15"/>
      <c r="U971" s="15"/>
    </row>
    <row r="972" spans="1:21" ht="105">
      <c r="A972" s="17">
        <v>20182395010</v>
      </c>
      <c r="B972" s="19" t="str">
        <f>VLOOKUP(A972,'ESTADOS ESTUDIANTES'!B:L,2,0)</f>
        <v>MESA OSPINA ANDRES DAVID</v>
      </c>
      <c r="C972" s="19">
        <f>VLOOKUP(A972,'ESTADOS ESTUDIANTES'!B:L,3,0)</f>
        <v>395</v>
      </c>
      <c r="D972" s="66" t="str">
        <f>VLOOKUP(A972,'ESTADOS ESTUDIANTES'!B:L,4,0)</f>
        <v>MAE. EN CIENCIAS DE LA INF. Y LAS COMUNICACIONES ENFASIS EN GEOMATICA</v>
      </c>
      <c r="E972" s="19" t="str">
        <f>VLOOKUP(A972,'ESTADOS ESTUDIANTES'!B:L,5,0)</f>
        <v>E</v>
      </c>
      <c r="F972" s="18" t="str">
        <f>VLOOKUP(E972,Listas!B1:C1004,2,0)</f>
        <v>EGRESADO</v>
      </c>
      <c r="G972" s="19">
        <f>VLOOKUP(A972,'ESTADOS ESTUDIANTES'!B:L,7,0)</f>
        <v>3</v>
      </c>
      <c r="H972" s="19" t="str">
        <f>VLOOKUP(A972,'ESTADOS ESTUDIANTES'!B:L,8,0)</f>
        <v>andmesao@udistrital.edu.co</v>
      </c>
      <c r="I972" s="70" t="str">
        <f>VLOOKUP(A972,'ESTADOS ESTUDIANTES'!B:L,9,0)</f>
        <v>admesao96@gmail.com</v>
      </c>
      <c r="J972" s="19" t="str">
        <f>VLOOKUP(A972,'ESTADOS ESTUDIANTES'!B:L,10,0)</f>
        <v>CC</v>
      </c>
      <c r="K972" s="19">
        <f>VLOOKUP(A972,'ESTADOS ESTUDIANTES'!B:L,11,0)</f>
        <v>1032483850</v>
      </c>
      <c r="L972" s="19">
        <v>3202578952</v>
      </c>
      <c r="M972" s="20">
        <v>35273</v>
      </c>
      <c r="N972" s="22"/>
      <c r="O972" s="15"/>
      <c r="P972" s="15"/>
      <c r="Q972" s="15"/>
      <c r="R972" s="15"/>
      <c r="S972" s="15"/>
      <c r="T972" s="15"/>
      <c r="U972" s="15"/>
    </row>
    <row r="973" spans="1:21" ht="105">
      <c r="A973" s="17">
        <v>20182395011</v>
      </c>
      <c r="B973" s="19" t="str">
        <f>VLOOKUP(A973,'ESTADOS ESTUDIANTES'!B:L,2,0)</f>
        <v>MORENO GAMA JUAN MANUEL</v>
      </c>
      <c r="C973" s="19">
        <f>VLOOKUP(A973,'ESTADOS ESTUDIANTES'!B:L,3,0)</f>
        <v>395</v>
      </c>
      <c r="D973" s="66" t="str">
        <f>VLOOKUP(A973,'ESTADOS ESTUDIANTES'!B:L,4,0)</f>
        <v>MAE. EN CIENCIAS DE LA INF. Y LAS COMUNICACIONES ENFASIS EN GEOMATICA</v>
      </c>
      <c r="E973" s="19" t="str">
        <f>VLOOKUP(A973,'ESTADOS ESTUDIANTES'!B:L,5,0)</f>
        <v>E</v>
      </c>
      <c r="F973" s="18" t="str">
        <f>VLOOKUP(E973,Listas!B1:C1004,2,0)</f>
        <v>EGRESADO</v>
      </c>
      <c r="G973" s="19">
        <f>VLOOKUP(A973,'ESTADOS ESTUDIANTES'!B:L,7,0)</f>
        <v>3</v>
      </c>
      <c r="H973" s="19" t="str">
        <f>VLOOKUP(A973,'ESTADOS ESTUDIANTES'!B:L,8,0)</f>
        <v>juammorenog@udistrital.edu.co</v>
      </c>
      <c r="I973" s="70" t="str">
        <f>VLOOKUP(A973,'ESTADOS ESTUDIANTES'!B:L,9,0)</f>
        <v>juammorenog@udistrital.edu.co</v>
      </c>
      <c r="J973" s="19" t="str">
        <f>VLOOKUP(A973,'ESTADOS ESTUDIANTES'!B:L,10,0)</f>
        <v>CC</v>
      </c>
      <c r="K973" s="19">
        <f>VLOOKUP(A973,'ESTADOS ESTUDIANTES'!B:L,11,0)</f>
        <v>1018484572</v>
      </c>
      <c r="L973" s="19">
        <v>3208627688</v>
      </c>
      <c r="M973" s="20">
        <v>35132</v>
      </c>
      <c r="N973" s="22"/>
      <c r="O973" s="15"/>
      <c r="P973" s="15"/>
      <c r="Q973" s="15"/>
      <c r="R973" s="15"/>
      <c r="S973" s="15"/>
      <c r="T973" s="15"/>
      <c r="U973" s="15"/>
    </row>
    <row r="974" spans="1:21" ht="105">
      <c r="A974" s="17">
        <v>20182395012</v>
      </c>
      <c r="B974" s="19" t="str">
        <f>VLOOKUP(A974,'ESTADOS ESTUDIANTES'!B:L,2,0)</f>
        <v>PARRA GARZÓN JUAN CARLOS</v>
      </c>
      <c r="C974" s="19">
        <f>VLOOKUP(A974,'ESTADOS ESTUDIANTES'!B:L,3,0)</f>
        <v>395</v>
      </c>
      <c r="D974" s="66" t="str">
        <f>VLOOKUP(A974,'ESTADOS ESTUDIANTES'!B:L,4,0)</f>
        <v>MAE. EN CIENCIAS DE LA INF. Y LAS COMUNICACIONES ENFASIS EN GEOMATICA</v>
      </c>
      <c r="E974" s="19" t="str">
        <f>VLOOKUP(A974,'ESTADOS ESTUDIANTES'!B:L,5,0)</f>
        <v>E</v>
      </c>
      <c r="F974" s="18" t="str">
        <f>VLOOKUP(E974,Listas!B1:C1004,2,0)</f>
        <v>EGRESADO</v>
      </c>
      <c r="G974" s="19">
        <f>VLOOKUP(A974,'ESTADOS ESTUDIANTES'!B:L,7,0)</f>
        <v>3</v>
      </c>
      <c r="H974" s="19" t="str">
        <f>VLOOKUP(A974,'ESTADOS ESTUDIANTES'!B:L,8,0)</f>
        <v>jcparrag@udistrital.edu.co</v>
      </c>
      <c r="I974" s="70" t="str">
        <f>VLOOKUP(A974,'ESTADOS ESTUDIANTES'!B:L,9,0)</f>
        <v>Jcparrag2000@gmail.com</v>
      </c>
      <c r="J974" s="19" t="str">
        <f>VLOOKUP(A974,'ESTADOS ESTUDIANTES'!B:L,10,0)</f>
        <v>CC</v>
      </c>
      <c r="K974" s="19">
        <f>VLOOKUP(A974,'ESTADOS ESTUDIANTES'!B:L,11,0)</f>
        <v>79499302</v>
      </c>
      <c r="L974" s="19">
        <v>312369694</v>
      </c>
      <c r="M974" s="20">
        <v>25658</v>
      </c>
      <c r="N974" s="22"/>
      <c r="O974" s="15"/>
      <c r="P974" s="15"/>
      <c r="Q974" s="15"/>
      <c r="R974" s="15"/>
      <c r="S974" s="15"/>
      <c r="T974" s="15"/>
      <c r="U974" s="15"/>
    </row>
    <row r="975" spans="1:21" ht="90">
      <c r="A975" s="17">
        <v>20182495001</v>
      </c>
      <c r="B975" s="19" t="str">
        <f>VLOOKUP(A975,'ESTADOS ESTUDIANTES'!B:L,2,0)</f>
        <v>AMAYA GIRALDO ANGÉLICA MARÍA</v>
      </c>
      <c r="C975" s="19">
        <f>VLOOKUP(A975,'ESTADOS ESTUDIANTES'!B:L,3,0)</f>
        <v>495</v>
      </c>
      <c r="D975" s="66" t="str">
        <f>VLOOKUP(A975,'ESTADOS ESTUDIANTES'!B:L,4,0)</f>
        <v>MAE. EN CIENCIAS DE LA INF. Y LAS COMUNICACIONES ENFASIS EN ING. SOFT</v>
      </c>
      <c r="E975" s="19" t="str">
        <f>VLOOKUP(A975,'ESTADOS ESTUDIANTES'!B:L,5,0)</f>
        <v>X</v>
      </c>
      <c r="F975" s="18" t="str">
        <f>VLOOKUP(E975,Listas!B1:C1004,2,0)</f>
        <v>EXCLUIDO</v>
      </c>
      <c r="G975" s="19">
        <f>VLOOKUP(A975,'ESTADOS ESTUDIANTES'!B:L,7,0)</f>
        <v>2</v>
      </c>
      <c r="H975" s="19" t="str">
        <f>VLOOKUP(A975,'ESTADOS ESTUDIANTES'!B:L,8,0)</f>
        <v>amamayag@correo.udistrital.edu.co</v>
      </c>
      <c r="I975" s="70" t="str">
        <f>VLOOKUP(A975,'ESTADOS ESTUDIANTES'!B:L,9,0)</f>
        <v>angelik.mag@gmail.com</v>
      </c>
      <c r="J975" s="19" t="str">
        <f>VLOOKUP(A975,'ESTADOS ESTUDIANTES'!B:L,10,0)</f>
        <v>CC</v>
      </c>
      <c r="K975" s="19">
        <f>VLOOKUP(A975,'ESTADOS ESTUDIANTES'!B:L,11,0)</f>
        <v>37551404</v>
      </c>
      <c r="L975" s="19">
        <v>3187651952</v>
      </c>
      <c r="M975" s="20"/>
      <c r="N975" s="22"/>
      <c r="O975" s="15"/>
      <c r="P975" s="15"/>
      <c r="Q975" s="15"/>
      <c r="R975" s="15"/>
      <c r="S975" s="15"/>
      <c r="T975" s="15"/>
      <c r="U975" s="15"/>
    </row>
    <row r="976" spans="1:21" ht="90">
      <c r="A976" s="17">
        <v>20182495002</v>
      </c>
      <c r="B976" s="19" t="str">
        <f>VLOOKUP(A976,'ESTADOS ESTUDIANTES'!B:L,2,0)</f>
        <v>ANZOLA PAEZ JENNIFFER</v>
      </c>
      <c r="C976" s="19">
        <f>VLOOKUP(A976,'ESTADOS ESTUDIANTES'!B:L,3,0)</f>
        <v>495</v>
      </c>
      <c r="D976" s="66" t="str">
        <f>VLOOKUP(A976,'ESTADOS ESTUDIANTES'!B:L,4,0)</f>
        <v>MAE. EN CIENCIAS DE LA INF. Y LAS COMUNICACIONES ENFASIS EN ING. SOFT</v>
      </c>
      <c r="E976" s="19" t="str">
        <f>VLOOKUP(A976,'ESTADOS ESTUDIANTES'!B:L,5,0)</f>
        <v>X</v>
      </c>
      <c r="F976" s="18" t="str">
        <f>VLOOKUP(E976,Listas!B1:C1004,2,0)</f>
        <v>EXCLUIDO</v>
      </c>
      <c r="G976" s="19">
        <f>VLOOKUP(A976,'ESTADOS ESTUDIANTES'!B:L,7,0)</f>
        <v>2</v>
      </c>
      <c r="H976" s="19" t="str">
        <f>VLOOKUP(A976,'ESTADOS ESTUDIANTES'!B:L,8,0)</f>
        <v>janzolap@correo.udistrital.edu.co</v>
      </c>
      <c r="I976" s="70" t="str">
        <f>VLOOKUP(A976,'ESTADOS ESTUDIANTES'!B:L,9,0)</f>
        <v>japtheb@gmail.com</v>
      </c>
      <c r="J976" s="19" t="str">
        <f>VLOOKUP(A976,'ESTADOS ESTUDIANTES'!B:L,10,0)</f>
        <v>CC</v>
      </c>
      <c r="K976" s="19">
        <f>VLOOKUP(A976,'ESTADOS ESTUDIANTES'!B:L,11,0)</f>
        <v>1010180835</v>
      </c>
      <c r="L976" s="19">
        <v>3015279676</v>
      </c>
      <c r="M976" s="20"/>
      <c r="N976" s="22"/>
      <c r="O976" s="15"/>
      <c r="P976" s="15"/>
      <c r="Q976" s="15"/>
      <c r="R976" s="15"/>
      <c r="S976" s="15"/>
      <c r="T976" s="15"/>
      <c r="U976" s="15"/>
    </row>
    <row r="977" spans="1:21" ht="90">
      <c r="A977" s="17">
        <v>20182495003</v>
      </c>
      <c r="B977" s="19" t="str">
        <f>VLOOKUP(A977,'ESTADOS ESTUDIANTES'!B:L,2,0)</f>
        <v>AVENDAÑO ABRIL JOHON FREDY</v>
      </c>
      <c r="C977" s="19">
        <f>VLOOKUP(A977,'ESTADOS ESTUDIANTES'!B:L,3,0)</f>
        <v>495</v>
      </c>
      <c r="D977" s="66" t="str">
        <f>VLOOKUP(A977,'ESTADOS ESTUDIANTES'!B:L,4,0)</f>
        <v>MAE. EN CIENCIAS DE LA INF. Y LAS COMUNICACIONES ENFASIS EN ING. SOFT</v>
      </c>
      <c r="E977" s="19" t="str">
        <f>VLOOKUP(A977,'ESTADOS ESTUDIANTES'!B:L,5,0)</f>
        <v>X</v>
      </c>
      <c r="F977" s="18" t="str">
        <f>VLOOKUP(E977,Listas!B1:C1004,2,0)</f>
        <v>EXCLUIDO</v>
      </c>
      <c r="G977" s="19">
        <f>VLOOKUP(A977,'ESTADOS ESTUDIANTES'!B:L,7,0)</f>
        <v>1</v>
      </c>
      <c r="H977" s="19" t="str">
        <f>VLOOKUP(A977,'ESTADOS ESTUDIANTES'!B:L,8,0)</f>
        <v>jfavendanoa@udistrital.edu.co</v>
      </c>
      <c r="I977" s="70" t="str">
        <f>VLOOKUP(A977,'ESTADOS ESTUDIANTES'!B:L,9,0)</f>
        <v>jhonavendanoabril@gmail.com</v>
      </c>
      <c r="J977" s="19" t="str">
        <f>VLOOKUP(A977,'ESTADOS ESTUDIANTES'!B:L,10,0)</f>
        <v>CC</v>
      </c>
      <c r="K977" s="19">
        <f>VLOOKUP(A977,'ESTADOS ESTUDIANTES'!B:L,11,0)</f>
        <v>1030567773</v>
      </c>
      <c r="L977" s="19">
        <v>3502152959</v>
      </c>
      <c r="M977" s="20"/>
      <c r="N977" s="22"/>
      <c r="O977" s="15"/>
      <c r="P977" s="15"/>
      <c r="Q977" s="15"/>
      <c r="R977" s="15"/>
      <c r="S977" s="15"/>
      <c r="T977" s="15"/>
      <c r="U977" s="15"/>
    </row>
    <row r="978" spans="1:21" ht="90">
      <c r="A978" s="17">
        <v>20182495004</v>
      </c>
      <c r="B978" s="19" t="str">
        <f>VLOOKUP(A978,'ESTADOS ESTUDIANTES'!B:L,2,0)</f>
        <v>BARRAGAN SARMIENTO ANDRÉS MAURICIO</v>
      </c>
      <c r="C978" s="19">
        <f>VLOOKUP(A978,'ESTADOS ESTUDIANTES'!B:L,3,0)</f>
        <v>495</v>
      </c>
      <c r="D978" s="66" t="str">
        <f>VLOOKUP(A978,'ESTADOS ESTUDIANTES'!B:L,4,0)</f>
        <v>MAE. EN CIENCIAS DE LA INF. Y LAS COMUNICACIONES ENFASIS EN ING. SOFT</v>
      </c>
      <c r="E978" s="19" t="str">
        <f>VLOOKUP(A978,'ESTADOS ESTUDIANTES'!B:L,5,0)</f>
        <v>X</v>
      </c>
      <c r="F978" s="18" t="str">
        <f>VLOOKUP(E978,Listas!B1:C1004,2,0)</f>
        <v>EXCLUIDO</v>
      </c>
      <c r="G978" s="19">
        <f>VLOOKUP(A978,'ESTADOS ESTUDIANTES'!B:L,7,0)</f>
        <v>2</v>
      </c>
      <c r="H978" s="19" t="str">
        <f>VLOOKUP(A978,'ESTADOS ESTUDIANTES'!B:L,8,0)</f>
        <v>ambarragans@udistrital.edu.co</v>
      </c>
      <c r="I978" s="70" t="str">
        <f>VLOOKUP(A978,'ESTADOS ESTUDIANTES'!B:L,9,0)</f>
        <v>barragan_amb@hotmail.com</v>
      </c>
      <c r="J978" s="19" t="str">
        <f>VLOOKUP(A978,'ESTADOS ESTUDIANTES'!B:L,10,0)</f>
        <v>CC</v>
      </c>
      <c r="K978" s="19">
        <f>VLOOKUP(A978,'ESTADOS ESTUDIANTES'!B:L,11,0)</f>
        <v>1110537094</v>
      </c>
      <c r="L978" s="19">
        <v>3138730050</v>
      </c>
      <c r="M978" s="20">
        <v>34166</v>
      </c>
      <c r="N978" s="22"/>
      <c r="O978" s="15"/>
      <c r="P978" s="15"/>
      <c r="Q978" s="15"/>
      <c r="R978" s="15"/>
      <c r="S978" s="15"/>
      <c r="T978" s="15"/>
      <c r="U978" s="15"/>
    </row>
    <row r="979" spans="1:21" ht="90">
      <c r="A979" s="17">
        <v>20182495005</v>
      </c>
      <c r="B979" s="19" t="str">
        <f>VLOOKUP(A979,'ESTADOS ESTUDIANTES'!B:L,2,0)</f>
        <v>CAÑÓN CLAVIJO RUBÉN ENRIQUE</v>
      </c>
      <c r="C979" s="19">
        <f>VLOOKUP(A979,'ESTADOS ESTUDIANTES'!B:L,3,0)</f>
        <v>495</v>
      </c>
      <c r="D979" s="66" t="str">
        <f>VLOOKUP(A979,'ESTADOS ESTUDIANTES'!B:L,4,0)</f>
        <v>MAE. EN CIENCIAS DE LA INF. Y LAS COMUNICACIONES ENFASIS EN ING. SOFT</v>
      </c>
      <c r="E979" s="19" t="str">
        <f>VLOOKUP(A979,'ESTADOS ESTUDIANTES'!B:L,5,0)</f>
        <v>E</v>
      </c>
      <c r="F979" s="18" t="str">
        <f>VLOOKUP(E979,Listas!B1:C1004,2,0)</f>
        <v>EGRESADO</v>
      </c>
      <c r="G979" s="19">
        <f>VLOOKUP(A979,'ESTADOS ESTUDIANTES'!B:L,7,0)</f>
        <v>3</v>
      </c>
      <c r="H979" s="19" t="str">
        <f>VLOOKUP(A979,'ESTADOS ESTUDIANTES'!B:L,8,0)</f>
        <v>recanonc@udistrital.edu.co</v>
      </c>
      <c r="I979" s="70" t="str">
        <f>VLOOKUP(A979,'ESTADOS ESTUDIANTES'!B:L,9,0)</f>
        <v>rubendreamteam@hotmail.com</v>
      </c>
      <c r="J979" s="19" t="str">
        <f>VLOOKUP(A979,'ESTADOS ESTUDIANTES'!B:L,10,0)</f>
        <v>CC</v>
      </c>
      <c r="K979" s="19">
        <f>VLOOKUP(A979,'ESTADOS ESTUDIANTES'!B:L,11,0)</f>
        <v>81754742</v>
      </c>
      <c r="L979" s="19">
        <v>3004825554</v>
      </c>
      <c r="M979" s="20">
        <v>31426</v>
      </c>
      <c r="N979" s="22"/>
      <c r="O979" s="15"/>
      <c r="P979" s="15"/>
      <c r="Q979" s="15"/>
      <c r="R979" s="15"/>
      <c r="S979" s="15"/>
      <c r="T979" s="15"/>
      <c r="U979" s="15"/>
    </row>
    <row r="980" spans="1:21" ht="90">
      <c r="A980" s="17">
        <v>20182495006</v>
      </c>
      <c r="B980" s="19" t="str">
        <f>VLOOKUP(A980,'ESTADOS ESTUDIANTES'!B:L,2,0)</f>
        <v>ÉRIRA TRUJILLO WILLIAM ALBERTO</v>
      </c>
      <c r="C980" s="19">
        <f>VLOOKUP(A980,'ESTADOS ESTUDIANTES'!B:L,3,0)</f>
        <v>495</v>
      </c>
      <c r="D980" s="66" t="str">
        <f>VLOOKUP(A980,'ESTADOS ESTUDIANTES'!B:L,4,0)</f>
        <v>MAE. EN CIENCIAS DE LA INF. Y LAS COMUNICACIONES ENFASIS EN ING. SOFT</v>
      </c>
      <c r="E980" s="19" t="str">
        <f>VLOOKUP(A980,'ESTADOS ESTUDIANTES'!B:L,5,0)</f>
        <v>E</v>
      </c>
      <c r="F980" s="18" t="str">
        <f>VLOOKUP(E980,Listas!B1:C1004,2,0)</f>
        <v>EGRESADO</v>
      </c>
      <c r="G980" s="19">
        <f>VLOOKUP(A980,'ESTADOS ESTUDIANTES'!B:L,7,0)</f>
        <v>3</v>
      </c>
      <c r="H980" s="19" t="str">
        <f>VLOOKUP(A980,'ESTADOS ESTUDIANTES'!B:L,8,0)</f>
        <v>waerirat@udistrital.edu.co</v>
      </c>
      <c r="I980" s="70" t="str">
        <f>VLOOKUP(A980,'ESTADOS ESTUDIANTES'!B:L,9,0)</f>
        <v>werira@hotmail.com</v>
      </c>
      <c r="J980" s="19" t="str">
        <f>VLOOKUP(A980,'ESTADOS ESTUDIANTES'!B:L,10,0)</f>
        <v>CC</v>
      </c>
      <c r="K980" s="19">
        <f>VLOOKUP(A980,'ESTADOS ESTUDIANTES'!B:L,11,0)</f>
        <v>79595381</v>
      </c>
      <c r="L980" s="19">
        <v>3002064489</v>
      </c>
      <c r="M980" s="20">
        <v>26326</v>
      </c>
      <c r="N980" s="22"/>
      <c r="O980" s="15"/>
      <c r="P980" s="15"/>
      <c r="Q980" s="15"/>
      <c r="R980" s="15"/>
      <c r="S980" s="15"/>
      <c r="T980" s="15"/>
      <c r="U980" s="15"/>
    </row>
    <row r="981" spans="1:21" ht="90">
      <c r="A981" s="17">
        <v>20182495007</v>
      </c>
      <c r="B981" s="19" t="str">
        <f>VLOOKUP(A981,'ESTADOS ESTUDIANTES'!B:L,2,0)</f>
        <v>GARNICA PARADA WILLIAM ALBERTO</v>
      </c>
      <c r="C981" s="19">
        <f>VLOOKUP(A981,'ESTADOS ESTUDIANTES'!B:L,3,0)</f>
        <v>495</v>
      </c>
      <c r="D981" s="66" t="str">
        <f>VLOOKUP(A981,'ESTADOS ESTUDIANTES'!B:L,4,0)</f>
        <v>MAE. EN CIENCIAS DE LA INF. Y LAS COMUNICACIONES ENFASIS EN ING. SOFT</v>
      </c>
      <c r="E981" s="19" t="str">
        <f>VLOOKUP(A981,'ESTADOS ESTUDIANTES'!B:L,5,0)</f>
        <v>X</v>
      </c>
      <c r="F981" s="18" t="str">
        <f>VLOOKUP(E981,Listas!B1:C1004,2,0)</f>
        <v>EXCLUIDO</v>
      </c>
      <c r="G981" s="19">
        <f>VLOOKUP(A981,'ESTADOS ESTUDIANTES'!B:L,7,0)</f>
        <v>3</v>
      </c>
      <c r="H981" s="19" t="str">
        <f>VLOOKUP(A981,'ESTADOS ESTUDIANTES'!B:L,8,0)</f>
        <v>wagarnicap@correo.udistrital.edu.co</v>
      </c>
      <c r="I981" s="70" t="str">
        <f>VLOOKUP(A981,'ESTADOS ESTUDIANTES'!B:L,9,0)</f>
        <v>williamgarnica@ingenieros.com</v>
      </c>
      <c r="J981" s="19" t="str">
        <f>VLOOKUP(A981,'ESTADOS ESTUDIANTES'!B:L,10,0)</f>
        <v>CC</v>
      </c>
      <c r="K981" s="19">
        <f>VLOOKUP(A981,'ESTADOS ESTUDIANTES'!B:L,11,0)</f>
        <v>1094161993</v>
      </c>
      <c r="L981" s="19">
        <v>3137529727</v>
      </c>
      <c r="M981" s="20"/>
      <c r="N981" s="22"/>
      <c r="O981" s="15"/>
      <c r="P981" s="15"/>
      <c r="Q981" s="15"/>
      <c r="R981" s="15"/>
      <c r="S981" s="15"/>
      <c r="T981" s="15"/>
      <c r="U981" s="15"/>
    </row>
    <row r="982" spans="1:21" ht="90">
      <c r="A982" s="17">
        <v>20182495008</v>
      </c>
      <c r="B982" s="19" t="str">
        <f>VLOOKUP(A982,'ESTADOS ESTUDIANTES'!B:L,2,0)</f>
        <v>GORDILLO ORJUELA KEVIN STEVEN</v>
      </c>
      <c r="C982" s="19">
        <f>VLOOKUP(A982,'ESTADOS ESTUDIANTES'!B:L,3,0)</f>
        <v>495</v>
      </c>
      <c r="D982" s="66" t="str">
        <f>VLOOKUP(A982,'ESTADOS ESTUDIANTES'!B:L,4,0)</f>
        <v>MAE. EN CIENCIAS DE LA INF. Y LAS COMUNICACIONES ENFASIS EN ING. SOFT</v>
      </c>
      <c r="E982" s="19" t="str">
        <f>VLOOKUP(A982,'ESTADOS ESTUDIANTES'!B:L,5,0)</f>
        <v>E</v>
      </c>
      <c r="F982" s="18" t="str">
        <f>VLOOKUP(E982,Listas!B1:C1004,2,0)</f>
        <v>EGRESADO</v>
      </c>
      <c r="G982" s="19">
        <f>VLOOKUP(A982,'ESTADOS ESTUDIANTES'!B:L,7,0)</f>
        <v>4</v>
      </c>
      <c r="H982" s="19" t="str">
        <f>VLOOKUP(A982,'ESTADOS ESTUDIANTES'!B:L,8,0)</f>
        <v>ksgordilloo@udistrital.edu.co</v>
      </c>
      <c r="I982" s="70" t="str">
        <f>VLOOKUP(A982,'ESTADOS ESTUDIANTES'!B:L,9,0)</f>
        <v>ksgordillo94@gmail.com</v>
      </c>
      <c r="J982" s="19" t="str">
        <f>VLOOKUP(A982,'ESTADOS ESTUDIANTES'!B:L,10,0)</f>
        <v>CC</v>
      </c>
      <c r="K982" s="19">
        <f>VLOOKUP(A982,'ESTADOS ESTUDIANTES'!B:L,11,0)</f>
        <v>1010213044</v>
      </c>
      <c r="L982" s="19">
        <v>3057070361</v>
      </c>
      <c r="M982" s="20">
        <v>34376</v>
      </c>
      <c r="N982" s="22"/>
      <c r="O982" s="15"/>
      <c r="P982" s="15"/>
      <c r="Q982" s="15"/>
      <c r="R982" s="15"/>
      <c r="S982" s="15"/>
      <c r="T982" s="15"/>
      <c r="U982" s="15"/>
    </row>
    <row r="983" spans="1:21" ht="90">
      <c r="A983" s="17">
        <v>20182495009</v>
      </c>
      <c r="B983" s="19" t="str">
        <f>VLOOKUP(A983,'ESTADOS ESTUDIANTES'!B:L,2,0)</f>
        <v>PEÑALOZA MARTINEZ HARVEY RICARDO</v>
      </c>
      <c r="C983" s="19">
        <f>VLOOKUP(A983,'ESTADOS ESTUDIANTES'!B:L,3,0)</f>
        <v>495</v>
      </c>
      <c r="D983" s="66" t="str">
        <f>VLOOKUP(A983,'ESTADOS ESTUDIANTES'!B:L,4,0)</f>
        <v>MAE. EN CIENCIAS DE LA INF. Y LAS COMUNICACIONES ENFASIS EN ING. SOFT</v>
      </c>
      <c r="E983" s="19" t="str">
        <f>VLOOKUP(A983,'ESTADOS ESTUDIANTES'!B:L,5,0)</f>
        <v>X</v>
      </c>
      <c r="F983" s="18" t="str">
        <f>VLOOKUP(E983,Listas!B1:C1004,2,0)</f>
        <v>EXCLUIDO</v>
      </c>
      <c r="G983" s="19">
        <f>VLOOKUP(A983,'ESTADOS ESTUDIANTES'!B:L,7,0)</f>
        <v>3</v>
      </c>
      <c r="H983" s="19" t="str">
        <f>VLOOKUP(A983,'ESTADOS ESTUDIANTES'!B:L,8,0)</f>
        <v>hrpenalozam@correo.udistrital.edu.co</v>
      </c>
      <c r="I983" s="70" t="str">
        <f>VLOOKUP(A983,'ESTADOS ESTUDIANTES'!B:L,9,0)</f>
        <v>hrpenalozam@gmail.com</v>
      </c>
      <c r="J983" s="19" t="str">
        <f>VLOOKUP(A983,'ESTADOS ESTUDIANTES'!B:L,10,0)</f>
        <v>CC</v>
      </c>
      <c r="K983" s="19">
        <f>VLOOKUP(A983,'ESTADOS ESTUDIANTES'!B:L,11,0)</f>
        <v>1012398041</v>
      </c>
      <c r="L983" s="19">
        <v>3165799690</v>
      </c>
      <c r="M983" s="20"/>
      <c r="N983" s="22"/>
      <c r="O983" s="15"/>
      <c r="P983" s="15"/>
      <c r="Q983" s="15"/>
      <c r="R983" s="15"/>
      <c r="S983" s="15"/>
      <c r="T983" s="15"/>
      <c r="U983" s="15"/>
    </row>
    <row r="984" spans="1:21" ht="90">
      <c r="A984" s="17">
        <v>20182495010</v>
      </c>
      <c r="B984" s="19" t="str">
        <f>VLOOKUP(A984,'ESTADOS ESTUDIANTES'!B:L,2,0)</f>
        <v>PINZÓN BERDUGOPABLO ANDRÉS</v>
      </c>
      <c r="C984" s="19">
        <f>VLOOKUP(A984,'ESTADOS ESTUDIANTES'!B:L,3,0)</f>
        <v>495</v>
      </c>
      <c r="D984" s="66" t="str">
        <f>VLOOKUP(A984,'ESTADOS ESTUDIANTES'!B:L,4,0)</f>
        <v>MAE. EN CIENCIAS DE LA INF. Y LAS COMUNICACIONES ENFASIS EN ING. SOFT</v>
      </c>
      <c r="E984" s="19" t="str">
        <f>VLOOKUP(A984,'ESTADOS ESTUDIANTES'!B:L,5,0)</f>
        <v>X</v>
      </c>
      <c r="F984" s="18" t="str">
        <f>VLOOKUP(E984,Listas!B1:C1004,2,0)</f>
        <v>EXCLUIDO</v>
      </c>
      <c r="G984" s="19">
        <f>VLOOKUP(A984,'ESTADOS ESTUDIANTES'!B:L,7,0)</f>
        <v>3</v>
      </c>
      <c r="H984" s="19" t="str">
        <f>VLOOKUP(A984,'ESTADOS ESTUDIANTES'!B:L,8,0)</f>
        <v>paapinzonb@correo.udistrital.edu.co</v>
      </c>
      <c r="I984" s="70" t="str">
        <f>VLOOKUP(A984,'ESTADOS ESTUDIANTES'!B:L,9,0)</f>
        <v>ingpablopinzon@hotmail.com</v>
      </c>
      <c r="J984" s="19" t="str">
        <f>VLOOKUP(A984,'ESTADOS ESTUDIANTES'!B:L,10,0)</f>
        <v>CC</v>
      </c>
      <c r="K984" s="19">
        <f>VLOOKUP(A984,'ESTADOS ESTUDIANTES'!B:L,11,0)</f>
        <v>1033728797</v>
      </c>
      <c r="L984" s="23"/>
      <c r="M984" s="20"/>
      <c r="N984" s="22"/>
      <c r="O984" s="15"/>
      <c r="P984" s="15"/>
      <c r="Q984" s="15"/>
      <c r="R984" s="15"/>
      <c r="S984" s="15"/>
      <c r="T984" s="15"/>
      <c r="U984" s="15"/>
    </row>
    <row r="985" spans="1:21" ht="90">
      <c r="A985" s="17">
        <v>20182495011</v>
      </c>
      <c r="B985" s="19" t="str">
        <f>VLOOKUP(A985,'ESTADOS ESTUDIANTES'!B:L,2,0)</f>
        <v>PIÑEROS RAMIREZ JEISSON RODRIGO</v>
      </c>
      <c r="C985" s="19">
        <f>VLOOKUP(A985,'ESTADOS ESTUDIANTES'!B:L,3,0)</f>
        <v>495</v>
      </c>
      <c r="D985" s="66" t="str">
        <f>VLOOKUP(A985,'ESTADOS ESTUDIANTES'!B:L,4,0)</f>
        <v>MAE. EN CIENCIAS DE LA INF. Y LAS COMUNICACIONES ENFASIS EN ING. SOFT</v>
      </c>
      <c r="E985" s="19" t="str">
        <f>VLOOKUP(A985,'ESTADOS ESTUDIANTES'!B:L,5,0)</f>
        <v>E</v>
      </c>
      <c r="F985" s="18" t="str">
        <f>VLOOKUP(E985,Listas!B1:C1004,2,0)</f>
        <v>EGRESADO</v>
      </c>
      <c r="G985" s="19">
        <f>VLOOKUP(A985,'ESTADOS ESTUDIANTES'!B:L,7,0)</f>
        <v>2</v>
      </c>
      <c r="H985" s="19" t="str">
        <f>VLOOKUP(A985,'ESTADOS ESTUDIANTES'!B:L,8,0)</f>
        <v>jrpinerosr@udistrital.edu.co</v>
      </c>
      <c r="I985" s="70" t="str">
        <f>VLOOKUP(A985,'ESTADOS ESTUDIANTES'!B:L,9,0)</f>
        <v>jeisson005@hotmail.com</v>
      </c>
      <c r="J985" s="19" t="str">
        <f>VLOOKUP(A985,'ESTADOS ESTUDIANTES'!B:L,10,0)</f>
        <v>CC</v>
      </c>
      <c r="K985" s="19">
        <f>VLOOKUP(A985,'ESTADOS ESTUDIANTES'!B:L,11,0)</f>
        <v>1030678110</v>
      </c>
      <c r="L985" s="19">
        <v>3115339687</v>
      </c>
      <c r="M985" s="20">
        <v>35563</v>
      </c>
      <c r="N985" s="22"/>
      <c r="O985" s="15"/>
      <c r="P985" s="15"/>
      <c r="Q985" s="15"/>
      <c r="R985" s="15"/>
      <c r="S985" s="15"/>
      <c r="T985" s="15"/>
      <c r="U985" s="15"/>
    </row>
    <row r="986" spans="1:21" ht="90">
      <c r="A986" s="17">
        <v>20182495012</v>
      </c>
      <c r="B986" s="19" t="str">
        <f>VLOOKUP(A986,'ESTADOS ESTUDIANTES'!B:L,2,0)</f>
        <v>REINA CABREJO CRISTHIAM STICK</v>
      </c>
      <c r="C986" s="19">
        <f>VLOOKUP(A986,'ESTADOS ESTUDIANTES'!B:L,3,0)</f>
        <v>495</v>
      </c>
      <c r="D986" s="66" t="str">
        <f>VLOOKUP(A986,'ESTADOS ESTUDIANTES'!B:L,4,0)</f>
        <v>MAE. EN CIENCIAS DE LA INF. Y LAS COMUNICACIONES ENFASIS EN ING. SOFT</v>
      </c>
      <c r="E986" s="19" t="str">
        <f>VLOOKUP(A986,'ESTADOS ESTUDIANTES'!B:L,5,0)</f>
        <v>X</v>
      </c>
      <c r="F986" s="18" t="str">
        <f>VLOOKUP(E986,Listas!B1:C1004,2,0)</f>
        <v>EXCLUIDO</v>
      </c>
      <c r="G986" s="19" t="str">
        <f>VLOOKUP(A986,'ESTADOS ESTUDIANTES'!B:L,7,0)</f>
        <v>NO REGISTRA</v>
      </c>
      <c r="H986" s="19" t="str">
        <f>VLOOKUP(A986,'ESTADOS ESTUDIANTES'!B:L,8,0)</f>
        <v>csreinac@correo.udistrital.edu.co</v>
      </c>
      <c r="I986" s="70" t="str">
        <f>VLOOKUP(A986,'ESTADOS ESTUDIANTES'!B:L,9,0)</f>
        <v>csreinac@correo.udistrital.edu.co</v>
      </c>
      <c r="J986" s="19" t="str">
        <f>VLOOKUP(A986,'ESTADOS ESTUDIANTES'!B:L,10,0)</f>
        <v>CC</v>
      </c>
      <c r="K986" s="19">
        <f>VLOOKUP(A986,'ESTADOS ESTUDIANTES'!B:L,11,0)</f>
        <v>80876562</v>
      </c>
      <c r="L986" s="19">
        <v>3102392002</v>
      </c>
      <c r="M986" s="20"/>
      <c r="N986" s="22"/>
      <c r="O986" s="15"/>
      <c r="P986" s="15"/>
      <c r="Q986" s="15"/>
      <c r="R986" s="15"/>
      <c r="S986" s="15"/>
      <c r="T986" s="15"/>
      <c r="U986" s="15"/>
    </row>
    <row r="987" spans="1:21" ht="90">
      <c r="A987" s="17">
        <v>20182495013</v>
      </c>
      <c r="B987" s="19" t="str">
        <f>VLOOKUP(A987,'ESTADOS ESTUDIANTES'!B:L,2,0)</f>
        <v>ROJAS SUAREZ LAURA PATRICIA</v>
      </c>
      <c r="C987" s="19">
        <f>VLOOKUP(A987,'ESTADOS ESTUDIANTES'!B:L,3,0)</f>
        <v>495</v>
      </c>
      <c r="D987" s="66" t="str">
        <f>VLOOKUP(A987,'ESTADOS ESTUDIANTES'!B:L,4,0)</f>
        <v>MAE. EN CIENCIAS DE LA INF. Y LAS COMUNICACIONES ENFASIS EN ING. SOFT</v>
      </c>
      <c r="E987" s="19" t="str">
        <f>VLOOKUP(A987,'ESTADOS ESTUDIANTES'!B:L,5,0)</f>
        <v>X</v>
      </c>
      <c r="F987" s="18" t="str">
        <f>VLOOKUP(E987,Listas!B1:C1004,2,0)</f>
        <v>EXCLUIDO</v>
      </c>
      <c r="G987" s="19" t="str">
        <f>VLOOKUP(A987,'ESTADOS ESTUDIANTES'!B:L,7,0)</f>
        <v>NO REGISTRA</v>
      </c>
      <c r="H987" s="19" t="str">
        <f>VLOOKUP(A987,'ESTADOS ESTUDIANTES'!B:L,8,0)</f>
        <v>lprojass@udistrital.edu.co</v>
      </c>
      <c r="I987" s="70" t="str">
        <f>VLOOKUP(A987,'ESTADOS ESTUDIANTES'!B:L,9,0)</f>
        <v>laupatri27@gmail.com</v>
      </c>
      <c r="J987" s="19" t="str">
        <f>VLOOKUP(A987,'ESTADOS ESTUDIANTES'!B:L,10,0)</f>
        <v>CC</v>
      </c>
      <c r="K987" s="19">
        <f>VLOOKUP(A987,'ESTADOS ESTUDIANTES'!B:L,11,0)</f>
        <v>63537101</v>
      </c>
      <c r="L987" s="19">
        <v>3204225358</v>
      </c>
      <c r="M987" s="20">
        <v>30385</v>
      </c>
      <c r="N987" s="22"/>
      <c r="O987" s="15"/>
      <c r="P987" s="15"/>
      <c r="Q987" s="15"/>
      <c r="R987" s="15"/>
      <c r="S987" s="15"/>
      <c r="T987" s="15"/>
      <c r="U987" s="15"/>
    </row>
    <row r="988" spans="1:21" ht="90">
      <c r="A988" s="17">
        <v>20182495014</v>
      </c>
      <c r="B988" s="19" t="str">
        <f>VLOOKUP(A988,'ESTADOS ESTUDIANTES'!B:L,2,0)</f>
        <v>ROMERO PINTO JAWY ANDRÉS</v>
      </c>
      <c r="C988" s="19">
        <f>VLOOKUP(A988,'ESTADOS ESTUDIANTES'!B:L,3,0)</f>
        <v>495</v>
      </c>
      <c r="D988" s="66" t="str">
        <f>VLOOKUP(A988,'ESTADOS ESTUDIANTES'!B:L,4,0)</f>
        <v>MAE. EN CIENCIAS DE LA INF. Y LAS COMUNICACIONES ENFASIS EN ING. SOFT</v>
      </c>
      <c r="E988" s="19" t="str">
        <f>VLOOKUP(A988,'ESTADOS ESTUDIANTES'!B:L,5,0)</f>
        <v>E</v>
      </c>
      <c r="F988" s="18" t="str">
        <f>VLOOKUP(E988,Listas!B1:C1004,2,0)</f>
        <v>EGRESADO</v>
      </c>
      <c r="G988" s="19">
        <f>VLOOKUP(A988,'ESTADOS ESTUDIANTES'!B:L,7,0)</f>
        <v>3</v>
      </c>
      <c r="H988" s="19" t="str">
        <f>VLOOKUP(A988,'ESTADOS ESTUDIANTES'!B:L,8,0)</f>
        <v>jawaromerop@udistrital.edu.co</v>
      </c>
      <c r="I988" s="70" t="str">
        <f>VLOOKUP(A988,'ESTADOS ESTUDIANTES'!B:L,9,0)</f>
        <v>jawy.romero@gmail.com</v>
      </c>
      <c r="J988" s="19" t="str">
        <f>VLOOKUP(A988,'ESTADOS ESTUDIANTES'!B:L,10,0)</f>
        <v>CC</v>
      </c>
      <c r="K988" s="19">
        <f>VLOOKUP(A988,'ESTADOS ESTUDIANTES'!B:L,11,0)</f>
        <v>1022955756</v>
      </c>
      <c r="L988" s="19">
        <v>3208536808</v>
      </c>
      <c r="M988" s="20">
        <v>32843</v>
      </c>
      <c r="N988" s="22"/>
      <c r="O988" s="15"/>
      <c r="P988" s="15"/>
      <c r="Q988" s="15"/>
      <c r="R988" s="15"/>
      <c r="S988" s="15"/>
      <c r="T988" s="15"/>
      <c r="U988" s="15"/>
    </row>
    <row r="989" spans="1:21" ht="90">
      <c r="A989" s="17">
        <v>20182495015</v>
      </c>
      <c r="B989" s="19" t="str">
        <f>VLOOKUP(A989,'ESTADOS ESTUDIANTES'!B:L,2,0)</f>
        <v>TAFUR CANTE YEISON EFRAIN</v>
      </c>
      <c r="C989" s="19">
        <f>VLOOKUP(A989,'ESTADOS ESTUDIANTES'!B:L,3,0)</f>
        <v>495</v>
      </c>
      <c r="D989" s="66" t="str">
        <f>VLOOKUP(A989,'ESTADOS ESTUDIANTES'!B:L,4,0)</f>
        <v>MAE. EN CIENCIAS DE LA INF. Y LAS COMUNICACIONES ENFASIS EN ING. SOFT</v>
      </c>
      <c r="E989" s="19" t="str">
        <f>VLOOKUP(A989,'ESTADOS ESTUDIANTES'!B:L,5,0)</f>
        <v>X</v>
      </c>
      <c r="F989" s="18" t="str">
        <f>VLOOKUP(E989,Listas!B1:C1004,2,0)</f>
        <v>EXCLUIDO</v>
      </c>
      <c r="G989" s="19">
        <f>VLOOKUP(A989,'ESTADOS ESTUDIANTES'!B:L,7,0)</f>
        <v>2</v>
      </c>
      <c r="H989" s="19" t="str">
        <f>VLOOKUP(A989,'ESTADOS ESTUDIANTES'!B:L,8,0)</f>
        <v>yetafurc@correo.udistrital.edu.co</v>
      </c>
      <c r="I989" s="70" t="str">
        <f>VLOOKUP(A989,'ESTADOS ESTUDIANTES'!B:L,9,0)</f>
        <v>yeisontafurc@gmail.com</v>
      </c>
      <c r="J989" s="19" t="str">
        <f>VLOOKUP(A989,'ESTADOS ESTUDIANTES'!B:L,10,0)</f>
        <v>CC</v>
      </c>
      <c r="K989" s="19">
        <f>VLOOKUP(A989,'ESTADOS ESTUDIANTES'!B:L,11,0)</f>
        <v>80248572</v>
      </c>
      <c r="L989" s="19">
        <v>3202879344</v>
      </c>
      <c r="M989" s="20"/>
      <c r="N989" s="22"/>
      <c r="O989" s="15"/>
      <c r="P989" s="15"/>
      <c r="Q989" s="15"/>
      <c r="R989" s="15"/>
      <c r="S989" s="15"/>
      <c r="T989" s="15"/>
      <c r="U989" s="15"/>
    </row>
    <row r="990" spans="1:21" ht="90">
      <c r="A990" s="17">
        <v>20182495016</v>
      </c>
      <c r="B990" s="19" t="str">
        <f>VLOOKUP(A990,'ESTADOS ESTUDIANTES'!B:L,2,0)</f>
        <v>VARGAS PEÑA FRANCISCO ALEJANDRO</v>
      </c>
      <c r="C990" s="19">
        <f>VLOOKUP(A990,'ESTADOS ESTUDIANTES'!B:L,3,0)</f>
        <v>495</v>
      </c>
      <c r="D990" s="66" t="str">
        <f>VLOOKUP(A990,'ESTADOS ESTUDIANTES'!B:L,4,0)</f>
        <v>MAE. EN CIENCIAS DE LA INF. Y LAS COMUNICACIONES ENFASIS EN ING. SOFT</v>
      </c>
      <c r="E990" s="19" t="str">
        <f>VLOOKUP(A990,'ESTADOS ESTUDIANTES'!B:L,5,0)</f>
        <v>X</v>
      </c>
      <c r="F990" s="18" t="str">
        <f>VLOOKUP(E990,Listas!B1:C1004,2,0)</f>
        <v>EXCLUIDO</v>
      </c>
      <c r="G990" s="19">
        <f>VLOOKUP(A990,'ESTADOS ESTUDIANTES'!B:L,7,0)</f>
        <v>3</v>
      </c>
      <c r="H990" s="19" t="str">
        <f>VLOOKUP(A990,'ESTADOS ESTUDIANTES'!B:L,8,0)</f>
        <v>fravargasp@correo.udistrital.edu.co</v>
      </c>
      <c r="I990" s="70" t="str">
        <f>VLOOKUP(A990,'ESTADOS ESTUDIANTES'!B:L,9,0)</f>
        <v>francisco.a.vargas@gmail.com</v>
      </c>
      <c r="J990" s="19" t="str">
        <f>VLOOKUP(A990,'ESTADOS ESTUDIANTES'!B:L,10,0)</f>
        <v>CC</v>
      </c>
      <c r="K990" s="19">
        <f>VLOOKUP(A990,'ESTADOS ESTUDIANTES'!B:L,11,0)</f>
        <v>1018428147</v>
      </c>
      <c r="L990" s="19">
        <v>3017866804</v>
      </c>
      <c r="M990" s="20"/>
      <c r="N990" s="22"/>
      <c r="O990" s="15"/>
      <c r="P990" s="15"/>
      <c r="Q990" s="15"/>
      <c r="R990" s="15"/>
      <c r="S990" s="15"/>
      <c r="T990" s="15"/>
      <c r="U990" s="15"/>
    </row>
    <row r="991" spans="1:21" ht="90">
      <c r="A991" s="17">
        <v>20191195001</v>
      </c>
      <c r="B991" s="19" t="str">
        <f>VLOOKUP(A991,'ESTADOS ESTUDIANTES'!B:L,2,0)</f>
        <v>AGUDELO RAMIREZ SEBASTIAN</v>
      </c>
      <c r="C991" s="19">
        <f>VLOOKUP(A991,'ESTADOS ESTUDIANTES'!B:L,3,0)</f>
        <v>195</v>
      </c>
      <c r="D991" s="66" t="str">
        <f>VLOOKUP(A991,'ESTADOS ESTUDIANTES'!B:L,4,0)</f>
        <v>MAE. EN CIENCIAS DE LA INF. Y LAS COMUNICACIONES ENFASIS EN TELEINF.</v>
      </c>
      <c r="E991" s="19" t="str">
        <f>VLOOKUP(A991,'ESTADOS ESTUDIANTES'!B:L,5,0)</f>
        <v>X</v>
      </c>
      <c r="F991" s="18" t="str">
        <f>VLOOKUP(E991,Listas!B1:C1004,2,0)</f>
        <v>EXCLUIDO</v>
      </c>
      <c r="G991" s="19">
        <f>VLOOKUP(A991,'ESTADOS ESTUDIANTES'!B:L,7,0)</f>
        <v>1</v>
      </c>
      <c r="H991" s="19" t="str">
        <f>VLOOKUP(A991,'ESTADOS ESTUDIANTES'!B:L,8,0)</f>
        <v>seagudelor@correo.udistrital.edu.co</v>
      </c>
      <c r="I991" s="70" t="str">
        <f>VLOOKUP(A991,'ESTADOS ESTUDIANTES'!B:L,9,0)</f>
        <v>sebasracers@hotmail.com</v>
      </c>
      <c r="J991" s="19" t="str">
        <f>VLOOKUP(A991,'ESTADOS ESTUDIANTES'!B:L,10,0)</f>
        <v>CC</v>
      </c>
      <c r="K991" s="19">
        <f>VLOOKUP(A991,'ESTADOS ESTUDIANTES'!B:L,11,0)</f>
        <v>1015422230</v>
      </c>
      <c r="L991" s="19">
        <v>3208238096</v>
      </c>
      <c r="M991" s="20"/>
      <c r="N991" s="22"/>
      <c r="O991" s="15"/>
      <c r="P991" s="15"/>
      <c r="Q991" s="15"/>
      <c r="R991" s="15"/>
      <c r="S991" s="15"/>
      <c r="T991" s="15"/>
      <c r="U991" s="15"/>
    </row>
    <row r="992" spans="1:21" ht="90">
      <c r="A992" s="17">
        <v>20191195002</v>
      </c>
      <c r="B992" s="19" t="str">
        <f>VLOOKUP(A992,'ESTADOS ESTUDIANTES'!B:L,2,0)</f>
        <v>BELLO GONZALEZ IVAN DARIO</v>
      </c>
      <c r="C992" s="19">
        <f>VLOOKUP(A992,'ESTADOS ESTUDIANTES'!B:L,3,0)</f>
        <v>195</v>
      </c>
      <c r="D992" s="66" t="str">
        <f>VLOOKUP(A992,'ESTADOS ESTUDIANTES'!B:L,4,0)</f>
        <v>MAE. EN CIENCIAS DE LA INF. Y LAS COMUNICACIONES ENFASIS EN TELEINF.</v>
      </c>
      <c r="E992" s="19" t="str">
        <f>VLOOKUP(A992,'ESTADOS ESTUDIANTES'!B:L,5,0)</f>
        <v>E</v>
      </c>
      <c r="F992" s="18" t="str">
        <f>VLOOKUP(E992,Listas!B1:C1004,2,0)</f>
        <v>EGRESADO</v>
      </c>
      <c r="G992" s="19">
        <f>VLOOKUP(A992,'ESTADOS ESTUDIANTES'!B:L,7,0)</f>
        <v>3</v>
      </c>
      <c r="H992" s="19" t="str">
        <f>VLOOKUP(A992,'ESTADOS ESTUDIANTES'!B:L,8,0)</f>
        <v>idbellog@udistrital.edu.co</v>
      </c>
      <c r="I992" s="70" t="str">
        <f>VLOOKUP(A992,'ESTADOS ESTUDIANTES'!B:L,9,0)</f>
        <v>idbellog@gmail.com</v>
      </c>
      <c r="J992" s="19" t="str">
        <f>VLOOKUP(A992,'ESTADOS ESTUDIANTES'!B:L,10,0)</f>
        <v>CC</v>
      </c>
      <c r="K992" s="19">
        <f>VLOOKUP(A992,'ESTADOS ESTUDIANTES'!B:L,11,0)</f>
        <v>1031138497</v>
      </c>
      <c r="L992" s="19">
        <v>3177611190</v>
      </c>
      <c r="M992" s="20">
        <v>33680</v>
      </c>
      <c r="N992" s="22"/>
      <c r="O992" s="15"/>
      <c r="P992" s="15"/>
      <c r="Q992" s="15"/>
      <c r="R992" s="15"/>
      <c r="S992" s="15"/>
      <c r="T992" s="15"/>
      <c r="U992" s="15"/>
    </row>
    <row r="993" spans="1:21" ht="90">
      <c r="A993" s="17">
        <v>20191195003</v>
      </c>
      <c r="B993" s="19" t="str">
        <f>VLOOKUP(A993,'ESTADOS ESTUDIANTES'!B:L,2,0)</f>
        <v>ESPINEL GÓMEZ DIEGO FERNANDO</v>
      </c>
      <c r="C993" s="19">
        <f>VLOOKUP(A993,'ESTADOS ESTUDIANTES'!B:L,3,0)</f>
        <v>195</v>
      </c>
      <c r="D993" s="66" t="str">
        <f>VLOOKUP(A993,'ESTADOS ESTUDIANTES'!B:L,4,0)</f>
        <v>MAE. EN CIENCIAS DE LA INF. Y LAS COMUNICACIONES ENFASIS EN TELEINF.</v>
      </c>
      <c r="E993" s="19" t="str">
        <f>VLOOKUP(A993,'ESTADOS ESTUDIANTES'!B:L,5,0)</f>
        <v>N</v>
      </c>
      <c r="F993" s="18" t="str">
        <f>VLOOKUP(E993,Listas!B1:C1004,2,0)</f>
        <v>ERROR DE CODIGO</v>
      </c>
      <c r="G993" s="19" t="str">
        <f>VLOOKUP(A993,'ESTADOS ESTUDIANTES'!B:L,7,0)</f>
        <v>NO REGISTRA</v>
      </c>
      <c r="H993" s="19" t="str">
        <f>VLOOKUP(A993,'ESTADOS ESTUDIANTES'!B:L,8,0)</f>
        <v>dfespinelg@udistrital.edu.co</v>
      </c>
      <c r="I993" s="70" t="str">
        <f>VLOOKUP(A993,'ESTADOS ESTUDIANTES'!B:L,9,0)</f>
        <v>espineldago@gmail.com</v>
      </c>
      <c r="J993" s="19" t="str">
        <f>VLOOKUP(A993,'ESTADOS ESTUDIANTES'!B:L,10,0)</f>
        <v>CC</v>
      </c>
      <c r="K993" s="19">
        <f>VLOOKUP(A993,'ESTADOS ESTUDIANTES'!B:L,11,0)</f>
        <v>1018470424</v>
      </c>
      <c r="L993" s="19">
        <v>3144929188</v>
      </c>
      <c r="M993" s="20"/>
      <c r="N993" s="22"/>
      <c r="O993" s="15"/>
      <c r="P993" s="15"/>
      <c r="Q993" s="15"/>
      <c r="R993" s="15"/>
      <c r="S993" s="15"/>
      <c r="T993" s="15"/>
      <c r="U993" s="15"/>
    </row>
    <row r="994" spans="1:21" ht="90">
      <c r="A994" s="17">
        <v>20191195004</v>
      </c>
      <c r="B994" s="19" t="str">
        <f>VLOOKUP(A994,'ESTADOS ESTUDIANTES'!B:L,2,0)</f>
        <v>INFANTE GARCIA JOSÉ ARGEMIRO</v>
      </c>
      <c r="C994" s="19">
        <f>VLOOKUP(A994,'ESTADOS ESTUDIANTES'!B:L,3,0)</f>
        <v>195</v>
      </c>
      <c r="D994" s="66" t="str">
        <f>VLOOKUP(A994,'ESTADOS ESTUDIANTES'!B:L,4,0)</f>
        <v>MAE. EN CIENCIAS DE LA INF. Y LAS COMUNICACIONES ENFASIS EN TELEINF.</v>
      </c>
      <c r="E994" s="19" t="str">
        <f>VLOOKUP(A994,'ESTADOS ESTUDIANTES'!B:L,5,0)</f>
        <v>X</v>
      </c>
      <c r="F994" s="18" t="str">
        <f>VLOOKUP(E994,Listas!B1:C1004,2,0)</f>
        <v>EXCLUIDO</v>
      </c>
      <c r="G994" s="19">
        <f>VLOOKUP(A994,'ESTADOS ESTUDIANTES'!B:L,7,0)</f>
        <v>3</v>
      </c>
      <c r="H994" s="19" t="str">
        <f>VLOOKUP(A994,'ESTADOS ESTUDIANTES'!B:L,8,0)</f>
        <v>jainfanteg@correo.udistrital.edu.co</v>
      </c>
      <c r="I994" s="70" t="str">
        <f>VLOOKUP(A994,'ESTADOS ESTUDIANTES'!B:L,9,0)</f>
        <v>joseinfanteg@hotmail.com</v>
      </c>
      <c r="J994" s="19" t="str">
        <f>VLOOKUP(A994,'ESTADOS ESTUDIANTES'!B:L,10,0)</f>
        <v>CC</v>
      </c>
      <c r="K994" s="19">
        <f>VLOOKUP(A994,'ESTADOS ESTUDIANTES'!B:L,11,0)</f>
        <v>79327624</v>
      </c>
      <c r="L994" s="23"/>
      <c r="M994" s="20"/>
      <c r="N994" s="22"/>
      <c r="O994" s="15"/>
      <c r="P994" s="15"/>
      <c r="Q994" s="15"/>
      <c r="R994" s="15"/>
      <c r="S994" s="15"/>
      <c r="T994" s="15"/>
      <c r="U994" s="15"/>
    </row>
    <row r="995" spans="1:21" ht="90">
      <c r="A995" s="17">
        <v>20191195005</v>
      </c>
      <c r="B995" s="19" t="str">
        <f>VLOOKUP(A995,'ESTADOS ESTUDIANTES'!B:L,2,0)</f>
        <v>LOPEZ GARCÍA ANDRES CAMILO</v>
      </c>
      <c r="C995" s="19">
        <f>VLOOKUP(A995,'ESTADOS ESTUDIANTES'!B:L,3,0)</f>
        <v>195</v>
      </c>
      <c r="D995" s="66" t="str">
        <f>VLOOKUP(A995,'ESTADOS ESTUDIANTES'!B:L,4,0)</f>
        <v>MAE. EN CIENCIAS DE LA INF. Y LAS COMUNICACIONES ENFASIS EN TELEINF.</v>
      </c>
      <c r="E995" s="19" t="str">
        <f>VLOOKUP(A995,'ESTADOS ESTUDIANTES'!B:L,5,0)</f>
        <v>E</v>
      </c>
      <c r="F995" s="18" t="str">
        <f>VLOOKUP(E995,Listas!B1:C1004,2,0)</f>
        <v>EGRESADO</v>
      </c>
      <c r="G995" s="19">
        <f>VLOOKUP(A995,'ESTADOS ESTUDIANTES'!B:L,7,0)</f>
        <v>4</v>
      </c>
      <c r="H995" s="19" t="str">
        <f>VLOOKUP(A995,'ESTADOS ESTUDIANTES'!B:L,8,0)</f>
        <v>anclopezg@udistrital.edu.co</v>
      </c>
      <c r="I995" s="70" t="str">
        <f>VLOOKUP(A995,'ESTADOS ESTUDIANTES'!B:L,9,0)</f>
        <v>anclopezg@correo.udistrital.edu.co</v>
      </c>
      <c r="J995" s="19" t="str">
        <f>VLOOKUP(A995,'ESTADOS ESTUDIANTES'!B:L,10,0)</f>
        <v>CC</v>
      </c>
      <c r="K995" s="19">
        <f>VLOOKUP(A995,'ESTADOS ESTUDIANTES'!B:L,11,0)</f>
        <v>1022395511</v>
      </c>
      <c r="L995" s="19">
        <v>3057247518</v>
      </c>
      <c r="M995" s="20">
        <v>34554</v>
      </c>
      <c r="N995" s="22"/>
      <c r="O995" s="15"/>
      <c r="P995" s="15"/>
      <c r="Q995" s="15"/>
      <c r="R995" s="15"/>
      <c r="S995" s="15"/>
      <c r="T995" s="15"/>
      <c r="U995" s="15"/>
    </row>
    <row r="996" spans="1:21" ht="90">
      <c r="A996" s="17">
        <v>20191195006</v>
      </c>
      <c r="B996" s="19" t="str">
        <f>VLOOKUP(A996,'ESTADOS ESTUDIANTES'!B:L,2,0)</f>
        <v>PABON LOPEZ ABEL</v>
      </c>
      <c r="C996" s="19">
        <f>VLOOKUP(A996,'ESTADOS ESTUDIANTES'!B:L,3,0)</f>
        <v>195</v>
      </c>
      <c r="D996" s="66" t="str">
        <f>VLOOKUP(A996,'ESTADOS ESTUDIANTES'!B:L,4,0)</f>
        <v>MAE. EN CIENCIAS DE LA INF. Y LAS COMUNICACIONES ENFASIS EN TELEINF.</v>
      </c>
      <c r="E996" s="19" t="str">
        <f>VLOOKUP(A996,'ESTADOS ESTUDIANTES'!B:L,5,0)</f>
        <v>N</v>
      </c>
      <c r="F996" s="18" t="str">
        <f>VLOOKUP(E996,Listas!B1:C1004,2,0)</f>
        <v>ERROR DE CODIGO</v>
      </c>
      <c r="G996" s="19" t="str">
        <f>VLOOKUP(A996,'ESTADOS ESTUDIANTES'!B:L,7,0)</f>
        <v>NO REGISTRA</v>
      </c>
      <c r="H996" s="19" t="str">
        <f>VLOOKUP(A996,'ESTADOS ESTUDIANTES'!B:L,8,0)</f>
        <v>apabonl@correo.udistrital.edu.co</v>
      </c>
      <c r="I996" s="70" t="str">
        <f>VLOOKUP(A996,'ESTADOS ESTUDIANTES'!B:L,9,0)</f>
        <v>ing_pabon@yahoo.es</v>
      </c>
      <c r="J996" s="19" t="str">
        <f>VLOOKUP(A996,'ESTADOS ESTUDIANTES'!B:L,10,0)</f>
        <v>CC</v>
      </c>
      <c r="K996" s="19">
        <f>VLOOKUP(A996,'ESTADOS ESTUDIANTES'!B:L,11,0)</f>
        <v>79798907</v>
      </c>
      <c r="L996" s="23"/>
      <c r="M996" s="20"/>
      <c r="N996" s="22"/>
      <c r="O996" s="15"/>
      <c r="P996" s="15"/>
      <c r="Q996" s="15"/>
      <c r="R996" s="15"/>
      <c r="S996" s="15"/>
      <c r="T996" s="15"/>
      <c r="U996" s="15"/>
    </row>
    <row r="997" spans="1:21" ht="90">
      <c r="A997" s="17">
        <v>20191195007</v>
      </c>
      <c r="B997" s="19" t="str">
        <f>VLOOKUP(A997,'ESTADOS ESTUDIANTES'!B:L,2,0)</f>
        <v>RENGIFO GÜIZA WILMAR NEISER</v>
      </c>
      <c r="C997" s="19">
        <f>VLOOKUP(A997,'ESTADOS ESTUDIANTES'!B:L,3,0)</f>
        <v>195</v>
      </c>
      <c r="D997" s="66" t="str">
        <f>VLOOKUP(A997,'ESTADOS ESTUDIANTES'!B:L,4,0)</f>
        <v>MAE. EN CIENCIAS DE LA INF. Y LAS COMUNICACIONES ENFASIS EN TELEINF.</v>
      </c>
      <c r="E997" s="19" t="str">
        <f>VLOOKUP(A997,'ESTADOS ESTUDIANTES'!B:L,5,0)</f>
        <v>E</v>
      </c>
      <c r="F997" s="18" t="str">
        <f>VLOOKUP(E997,Listas!B1:C1004,2,0)</f>
        <v>EGRESADO</v>
      </c>
      <c r="G997" s="19">
        <f>VLOOKUP(A997,'ESTADOS ESTUDIANTES'!B:L,7,0)</f>
        <v>2</v>
      </c>
      <c r="H997" s="19" t="str">
        <f>VLOOKUP(A997,'ESTADOS ESTUDIANTES'!B:L,8,0)</f>
        <v>wnrengifog@udistrital.edu.co</v>
      </c>
      <c r="I997" s="70" t="str">
        <f>VLOOKUP(A997,'ESTADOS ESTUDIANTES'!B:L,9,0)</f>
        <v>wilrengui@gmail.com</v>
      </c>
      <c r="J997" s="19" t="str">
        <f>VLOOKUP(A997,'ESTADOS ESTUDIANTES'!B:L,10,0)</f>
        <v>CC</v>
      </c>
      <c r="K997" s="19">
        <f>VLOOKUP(A997,'ESTADOS ESTUDIANTES'!B:L,11,0)</f>
        <v>80248462</v>
      </c>
      <c r="L997" s="19">
        <v>3187906508</v>
      </c>
      <c r="M997" s="20">
        <v>30754</v>
      </c>
      <c r="N997" s="22"/>
      <c r="O997" s="15"/>
      <c r="P997" s="15"/>
      <c r="Q997" s="15"/>
      <c r="R997" s="15"/>
      <c r="S997" s="15"/>
      <c r="T997" s="15"/>
      <c r="U997" s="15"/>
    </row>
    <row r="998" spans="1:21" ht="90">
      <c r="A998" s="17">
        <v>20191195008</v>
      </c>
      <c r="B998" s="19" t="str">
        <f>VLOOKUP(A998,'ESTADOS ESTUDIANTES'!B:L,2,0)</f>
        <v>RODRIGUEZ QUEVEDO LUISA PAULINA</v>
      </c>
      <c r="C998" s="19">
        <f>VLOOKUP(A998,'ESTADOS ESTUDIANTES'!B:L,3,0)</f>
        <v>195</v>
      </c>
      <c r="D998" s="66" t="str">
        <f>VLOOKUP(A998,'ESTADOS ESTUDIANTES'!B:L,4,0)</f>
        <v>MAE. EN CIENCIAS DE LA INF. Y LAS COMUNICACIONES ENFASIS EN TELEINF.</v>
      </c>
      <c r="E998" s="19" t="str">
        <f>VLOOKUP(A998,'ESTADOS ESTUDIANTES'!B:L,5,0)</f>
        <v>N</v>
      </c>
      <c r="F998" s="18" t="str">
        <f>VLOOKUP(E998,Listas!B1:C1004,2,0)</f>
        <v>ERROR DE CODIGO</v>
      </c>
      <c r="G998" s="19" t="str">
        <f>VLOOKUP(A998,'ESTADOS ESTUDIANTES'!B:L,7,0)</f>
        <v>NO REGISTRA</v>
      </c>
      <c r="H998" s="19" t="str">
        <f>VLOOKUP(A998,'ESTADOS ESTUDIANTES'!B:L,8,0)</f>
        <v>lprodriguezq@correo.udistrital.edu.co</v>
      </c>
      <c r="I998" s="70" t="str">
        <f>VLOOKUP(A998,'ESTADOS ESTUDIANTES'!B:L,9,0)</f>
        <v>luparoque@gmail.com</v>
      </c>
      <c r="J998" s="19" t="str">
        <f>VLOOKUP(A998,'ESTADOS ESTUDIANTES'!B:L,10,0)</f>
        <v>CC</v>
      </c>
      <c r="K998" s="19">
        <f>VLOOKUP(A998,'ESTADOS ESTUDIANTES'!B:L,11,0)</f>
        <v>1012410876</v>
      </c>
      <c r="L998" s="23"/>
      <c r="M998" s="20"/>
      <c r="N998" s="22"/>
      <c r="O998" s="15"/>
      <c r="P998" s="15"/>
      <c r="Q998" s="15"/>
      <c r="R998" s="15"/>
      <c r="S998" s="15"/>
      <c r="T998" s="15"/>
      <c r="U998" s="15"/>
    </row>
    <row r="999" spans="1:21" ht="90">
      <c r="A999" s="17">
        <v>20191195009</v>
      </c>
      <c r="B999" s="19" t="str">
        <f>VLOOKUP(A999,'ESTADOS ESTUDIANTES'!B:L,2,0)</f>
        <v>SIERRA BUITRAGO STEPHANIE JULIETH</v>
      </c>
      <c r="C999" s="19">
        <f>VLOOKUP(A999,'ESTADOS ESTUDIANTES'!B:L,3,0)</f>
        <v>195</v>
      </c>
      <c r="D999" s="66" t="str">
        <f>VLOOKUP(A999,'ESTADOS ESTUDIANTES'!B:L,4,0)</f>
        <v>MAE. EN CIENCIAS DE LA INF. Y LAS COMUNICACIONES ENFASIS EN TELEINF.</v>
      </c>
      <c r="E999" s="19" t="str">
        <f>VLOOKUP(A999,'ESTADOS ESTUDIANTES'!B:L,5,0)</f>
        <v>N</v>
      </c>
      <c r="F999" s="18" t="str">
        <f>VLOOKUP(E999,Listas!B1:C1004,2,0)</f>
        <v>ERROR DE CODIGO</v>
      </c>
      <c r="G999" s="19" t="str">
        <f>VLOOKUP(A999,'ESTADOS ESTUDIANTES'!B:L,7,0)</f>
        <v>NO REGISTRA</v>
      </c>
      <c r="H999" s="19" t="str">
        <f>VLOOKUP(A999,'ESTADOS ESTUDIANTES'!B:L,8,0)</f>
        <v>sjsierrab@correo.udistrital.edu.co</v>
      </c>
      <c r="I999" s="70" t="str">
        <f>VLOOKUP(A999,'ESTADOS ESTUDIANTES'!B:L,9,0)</f>
        <v>stephanie.sierrab@gmail.com</v>
      </c>
      <c r="J999" s="19" t="str">
        <f>VLOOKUP(A999,'ESTADOS ESTUDIANTES'!B:L,10,0)</f>
        <v>CC</v>
      </c>
      <c r="K999" s="19">
        <f>VLOOKUP(A999,'ESTADOS ESTUDIANTES'!B:L,11,0)</f>
        <v>1023001629</v>
      </c>
      <c r="L999" s="23"/>
      <c r="M999" s="20"/>
      <c r="N999" s="22"/>
      <c r="O999" s="15"/>
      <c r="P999" s="15"/>
      <c r="Q999" s="15"/>
      <c r="R999" s="15"/>
      <c r="S999" s="15"/>
      <c r="T999" s="15"/>
      <c r="U999" s="15"/>
    </row>
    <row r="1000" spans="1:21" ht="105">
      <c r="A1000" s="17">
        <v>20191395001</v>
      </c>
      <c r="B1000" s="19" t="str">
        <f>VLOOKUP(A1000,'ESTADOS ESTUDIANTES'!B:L,2,0)</f>
        <v>FAJARDO REINA LUIS ALEJANDRO</v>
      </c>
      <c r="C1000" s="19">
        <f>VLOOKUP(A1000,'ESTADOS ESTUDIANTES'!B:L,3,0)</f>
        <v>395</v>
      </c>
      <c r="D1000" s="66" t="str">
        <f>VLOOKUP(A1000,'ESTADOS ESTUDIANTES'!B:L,4,0)</f>
        <v>MAE. EN CIENCIAS DE LA INF. Y LAS COMUNICACIONES ENFASIS EN GEOMATICA</v>
      </c>
      <c r="E1000" s="19" t="str">
        <f>VLOOKUP(A1000,'ESTADOS ESTUDIANTES'!B:L,5,0)</f>
        <v>N</v>
      </c>
      <c r="F1000" s="18" t="str">
        <f>VLOOKUP(E1000,Listas!B1:C1004,2,0)</f>
        <v>ERROR DE CODIGO</v>
      </c>
      <c r="G1000" s="19" t="str">
        <f>VLOOKUP(A1000,'ESTADOS ESTUDIANTES'!B:L,7,0)</f>
        <v>NO REGISTRA</v>
      </c>
      <c r="H1000" s="19" t="str">
        <f>VLOOKUP(A1000,'ESTADOS ESTUDIANTES'!B:L,8,0)</f>
        <v>lafajardor@correo.udistrital.edu.co</v>
      </c>
      <c r="I1000" s="70" t="str">
        <f>VLOOKUP(A1000,'ESTADOS ESTUDIANTES'!B:L,9,0)</f>
        <v>fajardoreina@gmail.com</v>
      </c>
      <c r="J1000" s="19" t="str">
        <f>VLOOKUP(A1000,'ESTADOS ESTUDIANTES'!B:L,10,0)</f>
        <v>CC</v>
      </c>
      <c r="K1000" s="19">
        <f>VLOOKUP(A1000,'ESTADOS ESTUDIANTES'!B:L,11,0)</f>
        <v>79797298</v>
      </c>
      <c r="L1000" s="23"/>
      <c r="M1000" s="20"/>
      <c r="N1000" s="22"/>
      <c r="O1000" s="15"/>
      <c r="P1000" s="15"/>
      <c r="Q1000" s="15"/>
      <c r="R1000" s="15"/>
      <c r="S1000" s="15"/>
      <c r="T1000" s="15"/>
      <c r="U1000" s="15"/>
    </row>
    <row r="1001" spans="1:21" ht="105">
      <c r="A1001" s="17">
        <v>20191395002</v>
      </c>
      <c r="B1001" s="19" t="str">
        <f>VLOOKUP(A1001,'ESTADOS ESTUDIANTES'!B:L,2,0)</f>
        <v>FERNÁNDEZ CAMPOS JAVIER ORLANDO</v>
      </c>
      <c r="C1001" s="19">
        <f>VLOOKUP(A1001,'ESTADOS ESTUDIANTES'!B:L,3,0)</f>
        <v>395</v>
      </c>
      <c r="D1001" s="66" t="str">
        <f>VLOOKUP(A1001,'ESTADOS ESTUDIANTES'!B:L,4,0)</f>
        <v>MAE. EN CIENCIAS DE LA INF. Y LAS COMUNICACIONES ENFASIS EN GEOMATICA</v>
      </c>
      <c r="E1001" s="19" t="str">
        <f>VLOOKUP(A1001,'ESTADOS ESTUDIANTES'!B:L,5,0)</f>
        <v>E</v>
      </c>
      <c r="F1001" s="18" t="str">
        <f>VLOOKUP(E1001,Listas!B1:C1004,2,0)</f>
        <v>EGRESADO</v>
      </c>
      <c r="G1001" s="19">
        <f>VLOOKUP(A1001,'ESTADOS ESTUDIANTES'!B:L,7,0)</f>
        <v>2</v>
      </c>
      <c r="H1001" s="19" t="str">
        <f>VLOOKUP(A1001,'ESTADOS ESTUDIANTES'!B:L,8,0)</f>
        <v>jofernandezc@correo.udistrital.edu.co</v>
      </c>
      <c r="I1001" s="70" t="str">
        <f>VLOOKUP(A1001,'ESTADOS ESTUDIANTES'!B:L,9,0)</f>
        <v>fernandezjavier480@gmail.com</v>
      </c>
      <c r="J1001" s="19" t="str">
        <f>VLOOKUP(A1001,'ESTADOS ESTUDIANTES'!B:L,10,0)</f>
        <v>CC</v>
      </c>
      <c r="K1001" s="19">
        <f>VLOOKUP(A1001,'ESTADOS ESTUDIANTES'!B:L,11,0)</f>
        <v>1077147477</v>
      </c>
      <c r="L1001" s="19">
        <v>3503380110</v>
      </c>
      <c r="M1001" s="20">
        <v>34278</v>
      </c>
      <c r="N1001" s="22"/>
      <c r="O1001" s="15"/>
      <c r="P1001" s="15"/>
      <c r="Q1001" s="15"/>
      <c r="R1001" s="15"/>
      <c r="S1001" s="15"/>
      <c r="T1001" s="15"/>
      <c r="U1001" s="15"/>
    </row>
    <row r="1002" spans="1:21" ht="105">
      <c r="A1002" s="17">
        <v>20191395003</v>
      </c>
      <c r="B1002" s="19" t="str">
        <f>VLOOKUP(A1002,'ESTADOS ESTUDIANTES'!B:L,2,0)</f>
        <v>GONZALEZ HERREÑO DAVID EDUARDO</v>
      </c>
      <c r="C1002" s="19">
        <f>VLOOKUP(A1002,'ESTADOS ESTUDIANTES'!B:L,3,0)</f>
        <v>395</v>
      </c>
      <c r="D1002" s="66" t="str">
        <f>VLOOKUP(A1002,'ESTADOS ESTUDIANTES'!B:L,4,0)</f>
        <v>MAE. EN CIENCIAS DE LA INF. Y LAS COMUNICACIONES ENFASIS EN GEOMATICA</v>
      </c>
      <c r="E1002" s="19" t="str">
        <f>VLOOKUP(A1002,'ESTADOS ESTUDIANTES'!B:L,5,0)</f>
        <v>E</v>
      </c>
      <c r="F1002" s="18" t="str">
        <f>VLOOKUP(E1002,Listas!B1:C1004,2,0)</f>
        <v>EGRESADO</v>
      </c>
      <c r="G1002" s="19">
        <f>VLOOKUP(A1002,'ESTADOS ESTUDIANTES'!B:L,7,0)</f>
        <v>2</v>
      </c>
      <c r="H1002" s="19" t="str">
        <f>VLOOKUP(A1002,'ESTADOS ESTUDIANTES'!B:L,8,0)</f>
        <v>degonzalezh@correo.udistrital.edu.co</v>
      </c>
      <c r="I1002" s="70" t="str">
        <f>VLOOKUP(A1002,'ESTADOS ESTUDIANTES'!B:L,9,0)</f>
        <v>davide_245@hotmail.com</v>
      </c>
      <c r="J1002" s="19" t="str">
        <f>VLOOKUP(A1002,'ESTADOS ESTUDIANTES'!B:L,10,0)</f>
        <v>CC</v>
      </c>
      <c r="K1002" s="19">
        <f>VLOOKUP(A1002,'ESTADOS ESTUDIANTES'!B:L,11,0)</f>
        <v>1032469491</v>
      </c>
      <c r="L1002" s="23"/>
      <c r="M1002" s="20"/>
      <c r="N1002" s="22"/>
      <c r="O1002" s="15"/>
      <c r="P1002" s="15"/>
      <c r="Q1002" s="15"/>
      <c r="R1002" s="15"/>
      <c r="S1002" s="15"/>
      <c r="T1002" s="15"/>
      <c r="U1002" s="15"/>
    </row>
    <row r="1003" spans="1:21" ht="105">
      <c r="A1003" s="17">
        <v>20191395004</v>
      </c>
      <c r="B1003" s="19" t="str">
        <f>VLOOKUP(A1003,'ESTADOS ESTUDIANTES'!B:L,2,0)</f>
        <v>LARA ABELLO JENNIFFER</v>
      </c>
      <c r="C1003" s="19">
        <f>VLOOKUP(A1003,'ESTADOS ESTUDIANTES'!B:L,3,0)</f>
        <v>395</v>
      </c>
      <c r="D1003" s="333" t="str">
        <f>VLOOKUP(A1003,'ESTADOS ESTUDIANTES'!B:L,4,0)</f>
        <v>MAE. EN CIENCIAS DE LA INF. Y LAS COMUNICACIONES ENFASIS EN GEOMATICA</v>
      </c>
      <c r="E1003" s="19" t="str">
        <f>VLOOKUP(A1003,'ESTADOS ESTUDIANTES'!B:L,5,0)</f>
        <v>X</v>
      </c>
      <c r="F1003" s="18" t="str">
        <f>VLOOKUP(E1003,Listas!B1:C1004,2,0)</f>
        <v>EXCLUIDO</v>
      </c>
      <c r="G1003" s="19">
        <f>VLOOKUP(A1003,'ESTADOS ESTUDIANTES'!B:L,7,0)</f>
        <v>1</v>
      </c>
      <c r="H1003" s="19" t="str">
        <f>VLOOKUP(A1003,'ESTADOS ESTUDIANTES'!B:L,8,0)</f>
        <v>jlaraa@correo.udistrital.edu.co</v>
      </c>
      <c r="I1003" s="70" t="str">
        <f>VLOOKUP(A1003,'ESTADOS ESTUDIANTES'!B:L,9,0)</f>
        <v>jlaraa@correo.udistrital.edu.co</v>
      </c>
      <c r="J1003" s="19" t="str">
        <f>VLOOKUP(A1003,'ESTADOS ESTUDIANTES'!B:L,10,0)</f>
        <v>CC</v>
      </c>
      <c r="K1003" s="19">
        <f>VLOOKUP(A1003,'ESTADOS ESTUDIANTES'!B:L,11,0)</f>
        <v>1016068098</v>
      </c>
      <c r="L1003" s="19">
        <v>3118024524</v>
      </c>
      <c r="M1003" s="20"/>
      <c r="N1003" s="22"/>
      <c r="O1003" s="15"/>
      <c r="P1003" s="15"/>
      <c r="Q1003" s="15"/>
      <c r="R1003" s="15"/>
      <c r="S1003" s="15"/>
      <c r="T1003" s="15"/>
      <c r="U1003" s="15"/>
    </row>
    <row r="1004" spans="1:21" ht="105">
      <c r="A1004" s="17">
        <v>20191395005</v>
      </c>
      <c r="B1004" s="19" t="str">
        <f>VLOOKUP(A1004,'ESTADOS ESTUDIANTES'!B:L,2,0)</f>
        <v>LÓPEZ CALLE MARÍA ISABEL</v>
      </c>
      <c r="C1004" s="19">
        <f>VLOOKUP(A1004,'ESTADOS ESTUDIANTES'!B:L,3,0)</f>
        <v>395</v>
      </c>
      <c r="D1004" s="66" t="str">
        <f>VLOOKUP(A1004,'ESTADOS ESTUDIANTES'!B:L,4,0)</f>
        <v>MAE. EN CIENCIAS DE LA INF. Y LAS COMUNICACIONES ENFASIS EN GEOMATICA</v>
      </c>
      <c r="E1004" s="19" t="str">
        <f>VLOOKUP(A1004,'ESTADOS ESTUDIANTES'!B:L,5,0)</f>
        <v>E</v>
      </c>
      <c r="F1004" s="18" t="str">
        <f>VLOOKUP(E1004,Listas!B1:C1004,2,0)</f>
        <v>EGRESADO</v>
      </c>
      <c r="G1004" s="19">
        <f>VLOOKUP(A1004,'ESTADOS ESTUDIANTES'!B:L,7,0)</f>
        <v>4</v>
      </c>
      <c r="H1004" s="19" t="str">
        <f>VLOOKUP(A1004,'ESTADOS ESTUDIANTES'!B:L,8,0)</f>
        <v>milopezc@udistrital.edu.co</v>
      </c>
      <c r="I1004" s="70" t="str">
        <f>VLOOKUP(A1004,'ESTADOS ESTUDIANTES'!B:L,9,0)</f>
        <v>isalopez0216@gmail.com</v>
      </c>
      <c r="J1004" s="19" t="str">
        <f>VLOOKUP(A1004,'ESTADOS ESTUDIANTES'!B:L,10,0)</f>
        <v>CC</v>
      </c>
      <c r="K1004" s="19">
        <f>VLOOKUP(A1004,'ESTADOS ESTUDIANTES'!B:L,11,0)</f>
        <v>1018483105</v>
      </c>
      <c r="L1004" s="19">
        <v>3204006059</v>
      </c>
      <c r="M1004" s="20">
        <v>35111</v>
      </c>
      <c r="N1004" s="22"/>
      <c r="O1004" s="15"/>
      <c r="P1004" s="15"/>
      <c r="Q1004" s="15"/>
      <c r="R1004" s="15"/>
      <c r="S1004" s="15"/>
      <c r="T1004" s="15"/>
      <c r="U1004" s="15"/>
    </row>
    <row r="1005" spans="1:21" ht="105">
      <c r="A1005" s="17">
        <v>20191395006</v>
      </c>
      <c r="B1005" s="19" t="str">
        <f>VLOOKUP(A1005,'ESTADOS ESTUDIANTES'!B:L,2,0)</f>
        <v>MONTOYA QUINTERO GERMAN DAVID</v>
      </c>
      <c r="C1005" s="19">
        <f>VLOOKUP(A1005,'ESTADOS ESTUDIANTES'!B:L,3,0)</f>
        <v>395</v>
      </c>
      <c r="D1005" s="66" t="str">
        <f>VLOOKUP(A1005,'ESTADOS ESTUDIANTES'!B:L,4,0)</f>
        <v>MAE. EN CIENCIAS DE LA INF. Y LAS COMUNICACIONES ENFASIS EN GEOMATICA</v>
      </c>
      <c r="E1005" s="19" t="str">
        <f>VLOOKUP(A1005,'ESTADOS ESTUDIANTES'!B:L,5,0)</f>
        <v>E</v>
      </c>
      <c r="F1005" s="18" t="str">
        <f>VLOOKUP(E1005,Listas!B1:C1004,2,0)</f>
        <v>EGRESADO</v>
      </c>
      <c r="G1005" s="19">
        <f>VLOOKUP(A1005,'ESTADOS ESTUDIANTES'!B:L,7,0)</f>
        <v>2</v>
      </c>
      <c r="H1005" s="19" t="str">
        <f>VLOOKUP(A1005,'ESTADOS ESTUDIANTES'!B:L,8,0)</f>
        <v>gdmontoyaq@correo.udistrital.edu.co</v>
      </c>
      <c r="I1005" s="70" t="str">
        <f>VLOOKUP(A1005,'ESTADOS ESTUDIANTES'!B:L,9,0)</f>
        <v>gdmontoyaq@gmail.com</v>
      </c>
      <c r="J1005" s="19" t="str">
        <f>VLOOKUP(A1005,'ESTADOS ESTUDIANTES'!B:L,10,0)</f>
        <v>CC</v>
      </c>
      <c r="K1005" s="19">
        <f>VLOOKUP(A1005,'ESTADOS ESTUDIANTES'!B:L,11,0)</f>
        <v>1069304778</v>
      </c>
      <c r="L1005" s="19">
        <v>3219450224</v>
      </c>
      <c r="M1005" s="20"/>
      <c r="N1005" s="22"/>
      <c r="O1005" s="15"/>
      <c r="P1005" s="15"/>
      <c r="Q1005" s="15"/>
      <c r="R1005" s="15"/>
      <c r="S1005" s="15"/>
      <c r="T1005" s="15"/>
      <c r="U1005" s="15"/>
    </row>
    <row r="1006" spans="1:21" ht="105">
      <c r="A1006" s="17">
        <v>20191395007</v>
      </c>
      <c r="B1006" s="19" t="str">
        <f>VLOOKUP(A1006,'ESTADOS ESTUDIANTES'!B:L,2,0)</f>
        <v>NIÑO APARICIO DAVID FERNANDO</v>
      </c>
      <c r="C1006" s="19">
        <f>VLOOKUP(A1006,'ESTADOS ESTUDIANTES'!B:L,3,0)</f>
        <v>395</v>
      </c>
      <c r="D1006" s="66" t="str">
        <f>VLOOKUP(A1006,'ESTADOS ESTUDIANTES'!B:L,4,0)</f>
        <v>MAE. EN CIENCIAS DE LA INF. Y LAS COMUNICACIONES ENFASIS EN GEOMATICA</v>
      </c>
      <c r="E1006" s="19" t="str">
        <f>VLOOKUP(A1006,'ESTADOS ESTUDIANTES'!B:L,5,0)</f>
        <v>N</v>
      </c>
      <c r="F1006" s="18" t="str">
        <f>VLOOKUP(E1006,Listas!B1:C1004,2,0)</f>
        <v>ERROR DE CODIGO</v>
      </c>
      <c r="G1006" s="19" t="str">
        <f>VLOOKUP(A1006,'ESTADOS ESTUDIANTES'!B:L,7,0)</f>
        <v>NO REGISTRA</v>
      </c>
      <c r="H1006" s="19" t="str">
        <f>VLOOKUP(A1006,'ESTADOS ESTUDIANTES'!B:L,8,0)</f>
        <v>dfninoa@correo.udistrital.edu.co</v>
      </c>
      <c r="I1006" s="70" t="str">
        <f>VLOOKUP(A1006,'ESTADOS ESTUDIANTES'!B:L,9,0)</f>
        <v>davnino2015@gmail.com</v>
      </c>
      <c r="J1006" s="19" t="str">
        <f>VLOOKUP(A1006,'ESTADOS ESTUDIANTES'!B:L,10,0)</f>
        <v>CC</v>
      </c>
      <c r="K1006" s="19">
        <f>VLOOKUP(A1006,'ESTADOS ESTUDIANTES'!B:L,11,0)</f>
        <v>1053607338</v>
      </c>
      <c r="L1006" s="23"/>
      <c r="M1006" s="20"/>
      <c r="N1006" s="22"/>
      <c r="O1006" s="15"/>
      <c r="P1006" s="15"/>
      <c r="Q1006" s="15"/>
      <c r="R1006" s="15"/>
      <c r="S1006" s="15"/>
      <c r="T1006" s="15"/>
      <c r="U1006" s="15"/>
    </row>
    <row r="1007" spans="1:21" ht="105">
      <c r="A1007" s="17">
        <v>20191395008</v>
      </c>
      <c r="B1007" s="19" t="str">
        <f>VLOOKUP(A1007,'ESTADOS ESTUDIANTES'!B:L,2,0)</f>
        <v>NIÑO PEÑA CHRISTIAM ALEJANDRO</v>
      </c>
      <c r="C1007" s="19">
        <f>VLOOKUP(A1007,'ESTADOS ESTUDIANTES'!B:L,3,0)</f>
        <v>395</v>
      </c>
      <c r="D1007" s="66" t="str">
        <f>VLOOKUP(A1007,'ESTADOS ESTUDIANTES'!B:L,4,0)</f>
        <v>MAE. EN CIENCIAS DE LA INF. Y LAS COMUNICACIONES ENFASIS EN GEOMATICA</v>
      </c>
      <c r="E1007" s="19" t="str">
        <f>VLOOKUP(A1007,'ESTADOS ESTUDIANTES'!B:L,5,0)</f>
        <v>N</v>
      </c>
      <c r="F1007" s="18" t="str">
        <f>VLOOKUP(E1007,Listas!B1:C1004,2,0)</f>
        <v>ERROR DE CODIGO</v>
      </c>
      <c r="G1007" s="19" t="str">
        <f>VLOOKUP(A1007,'ESTADOS ESTUDIANTES'!B:L,7,0)</f>
        <v>NO REGISTRA</v>
      </c>
      <c r="H1007" s="19" t="str">
        <f>VLOOKUP(A1007,'ESTADOS ESTUDIANTES'!B:L,8,0)</f>
        <v>caninop@correo.udistrital.edu.co</v>
      </c>
      <c r="I1007" s="70" t="str">
        <f>VLOOKUP(A1007,'ESTADOS ESTUDIANTES'!B:L,9,0)</f>
        <v>ca.nino@outlook.com</v>
      </c>
      <c r="J1007" s="19" t="str">
        <f>VLOOKUP(A1007,'ESTADOS ESTUDIANTES'!B:L,10,0)</f>
        <v>CC</v>
      </c>
      <c r="K1007" s="19">
        <f>VLOOKUP(A1007,'ESTADOS ESTUDIANTES'!B:L,11,0)</f>
        <v>74130897</v>
      </c>
      <c r="L1007" s="23"/>
      <c r="M1007" s="20"/>
      <c r="N1007" s="22"/>
      <c r="O1007" s="15"/>
      <c r="P1007" s="15"/>
      <c r="Q1007" s="15"/>
      <c r="R1007" s="15"/>
      <c r="S1007" s="15"/>
      <c r="T1007" s="15"/>
      <c r="U1007" s="15"/>
    </row>
    <row r="1008" spans="1:21" ht="105">
      <c r="A1008" s="17">
        <v>20191395009</v>
      </c>
      <c r="B1008" s="19" t="str">
        <f>VLOOKUP(A1008,'ESTADOS ESTUDIANTES'!B:L,2,0)</f>
        <v>NIÑO VILLAMIZAR IVAN DARIO</v>
      </c>
      <c r="C1008" s="19">
        <f>VLOOKUP(A1008,'ESTADOS ESTUDIANTES'!B:L,3,0)</f>
        <v>395</v>
      </c>
      <c r="D1008" s="66" t="str">
        <f>VLOOKUP(A1008,'ESTADOS ESTUDIANTES'!B:L,4,0)</f>
        <v>MAE. EN CIENCIAS DE LA INF. Y LAS COMUNICACIONES ENFASIS EN GEOMATICA</v>
      </c>
      <c r="E1008" s="19" t="str">
        <f>VLOOKUP(A1008,'ESTADOS ESTUDIANTES'!B:L,5,0)</f>
        <v>X</v>
      </c>
      <c r="F1008" s="18" t="str">
        <f>VLOOKUP(E1008,Listas!B1:C1004,2,0)</f>
        <v>EXCLUIDO</v>
      </c>
      <c r="G1008" s="19">
        <f>VLOOKUP(A1008,'ESTADOS ESTUDIANTES'!B:L,7,0)</f>
        <v>4</v>
      </c>
      <c r="H1008" s="19" t="str">
        <f>VLOOKUP(A1008,'ESTADOS ESTUDIANTES'!B:L,8,0)</f>
        <v>idninov@correo.udistrital.edu.co</v>
      </c>
      <c r="I1008" s="70" t="str">
        <f>VLOOKUP(A1008,'ESTADOS ESTUDIANTES'!B:L,9,0)</f>
        <v>idninov@correo.udistrital.edu.co</v>
      </c>
      <c r="J1008" s="19" t="str">
        <f>VLOOKUP(A1008,'ESTADOS ESTUDIANTES'!B:L,10,0)</f>
        <v>CC</v>
      </c>
      <c r="K1008" s="19">
        <f>VLOOKUP(A1008,'ESTADOS ESTUDIANTES'!B:L,11,0)</f>
        <v>1020796840</v>
      </c>
      <c r="L1008" s="19">
        <v>3107913324</v>
      </c>
      <c r="M1008" s="20"/>
      <c r="N1008" s="22"/>
      <c r="O1008" s="15"/>
      <c r="P1008" s="15"/>
      <c r="Q1008" s="15"/>
      <c r="R1008" s="15"/>
      <c r="S1008" s="15"/>
      <c r="T1008" s="15"/>
      <c r="U1008" s="15"/>
    </row>
    <row r="1009" spans="1:21" ht="105">
      <c r="A1009" s="17">
        <v>20191395010</v>
      </c>
      <c r="B1009" s="19" t="str">
        <f>VLOOKUP(A1009,'ESTADOS ESTUDIANTES'!B:L,2,0)</f>
        <v>RAYO BERMUDEZ KAREN YULIETH</v>
      </c>
      <c r="C1009" s="19">
        <f>VLOOKUP(A1009,'ESTADOS ESTUDIANTES'!B:L,3,0)</f>
        <v>395</v>
      </c>
      <c r="D1009" s="66" t="str">
        <f>VLOOKUP(A1009,'ESTADOS ESTUDIANTES'!B:L,4,0)</f>
        <v>MAE. EN CIENCIAS DE LA INF. Y LAS COMUNICACIONES ENFASIS EN GEOMATICA</v>
      </c>
      <c r="E1009" s="19" t="str">
        <f>VLOOKUP(A1009,'ESTADOS ESTUDIANTES'!B:L,5,0)</f>
        <v>E</v>
      </c>
      <c r="F1009" s="18" t="str">
        <f>VLOOKUP(E1009,Listas!B1:C1004,2,0)</f>
        <v>EGRESADO</v>
      </c>
      <c r="G1009" s="19">
        <f>VLOOKUP(A1009,'ESTADOS ESTUDIANTES'!B:L,7,0)</f>
        <v>2</v>
      </c>
      <c r="H1009" s="19" t="str">
        <f>VLOOKUP(A1009,'ESTADOS ESTUDIANTES'!B:L,8,0)</f>
        <v>kyrayob@correo.udistrital.edu.co</v>
      </c>
      <c r="I1009" s="70" t="str">
        <f>VLOOKUP(A1009,'ESTADOS ESTUDIANTES'!B:L,9,0)</f>
        <v>karenrayo27@gmail.com</v>
      </c>
      <c r="J1009" s="19" t="str">
        <f>VLOOKUP(A1009,'ESTADOS ESTUDIANTES'!B:L,10,0)</f>
        <v>CC</v>
      </c>
      <c r="K1009" s="19">
        <f>VLOOKUP(A1009,'ESTADOS ESTUDIANTES'!B:L,11,0)</f>
        <v>1023009167</v>
      </c>
      <c r="L1009" s="19">
        <v>3202848161</v>
      </c>
      <c r="M1009" s="20">
        <v>34938</v>
      </c>
      <c r="N1009" s="22"/>
      <c r="O1009" s="15"/>
      <c r="P1009" s="15"/>
      <c r="Q1009" s="15"/>
      <c r="R1009" s="15"/>
      <c r="S1009" s="15"/>
      <c r="T1009" s="15"/>
      <c r="U1009" s="15"/>
    </row>
    <row r="1010" spans="1:21" ht="105">
      <c r="A1010" s="17">
        <v>20191395011</v>
      </c>
      <c r="B1010" s="19" t="str">
        <f>VLOOKUP(A1010,'ESTADOS ESTUDIANTES'!B:L,2,0)</f>
        <v>SUAREZ JAIMES PAOLA ANDREA</v>
      </c>
      <c r="C1010" s="19">
        <f>VLOOKUP(A1010,'ESTADOS ESTUDIANTES'!B:L,3,0)</f>
        <v>395</v>
      </c>
      <c r="D1010" s="66" t="str">
        <f>VLOOKUP(A1010,'ESTADOS ESTUDIANTES'!B:L,4,0)</f>
        <v>MAE. EN CIENCIAS DE LA INF. Y LAS COMUNICACIONES ENFASIS EN GEOMATICA</v>
      </c>
      <c r="E1010" s="19" t="str">
        <f>VLOOKUP(A1010,'ESTADOS ESTUDIANTES'!B:L,5,0)</f>
        <v>E</v>
      </c>
      <c r="F1010" s="18" t="str">
        <f>VLOOKUP(E1010,Listas!B1:C1004,2,0)</f>
        <v>EGRESADO</v>
      </c>
      <c r="G1010" s="19">
        <f>VLOOKUP(A1010,'ESTADOS ESTUDIANTES'!B:L,7,0)</f>
        <v>4</v>
      </c>
      <c r="H1010" s="19" t="str">
        <f>VLOOKUP(A1010,'ESTADOS ESTUDIANTES'!B:L,8,0)</f>
        <v>pasuarezj@udistrital.edu.co</v>
      </c>
      <c r="I1010" s="70" t="str">
        <f>VLOOKUP(A1010,'ESTADOS ESTUDIANTES'!B:L,9,0)</f>
        <v>ingpaolasuarez@gmail.com</v>
      </c>
      <c r="J1010" s="19" t="str">
        <f>VLOOKUP(A1010,'ESTADOS ESTUDIANTES'!B:L,10,0)</f>
        <v>CC</v>
      </c>
      <c r="K1010" s="19">
        <f>VLOOKUP(A1010,'ESTADOS ESTUDIANTES'!B:L,11,0)</f>
        <v>1014267962</v>
      </c>
      <c r="L1010" s="19">
        <v>3157533711</v>
      </c>
      <c r="M1010" s="20">
        <v>34890</v>
      </c>
      <c r="N1010" s="22"/>
      <c r="O1010" s="15"/>
      <c r="P1010" s="15"/>
      <c r="Q1010" s="15"/>
      <c r="R1010" s="15"/>
      <c r="S1010" s="15"/>
      <c r="T1010" s="15"/>
      <c r="U1010" s="15"/>
    </row>
    <row r="1011" spans="1:21" ht="90">
      <c r="A1011" s="17">
        <v>20191495001</v>
      </c>
      <c r="B1011" s="19" t="str">
        <f>VLOOKUP(A1011,'ESTADOS ESTUDIANTES'!B:L,2,0)</f>
        <v>ÁVILA JAIMES DAVID HERNANDO</v>
      </c>
      <c r="C1011" s="19">
        <f>VLOOKUP(A1011,'ESTADOS ESTUDIANTES'!B:L,3,0)</f>
        <v>495</v>
      </c>
      <c r="D1011" s="66" t="str">
        <f>VLOOKUP(A1011,'ESTADOS ESTUDIANTES'!B:L,4,0)</f>
        <v>MAE. EN CIENCIAS DE LA INF. Y LAS COMUNICACIONES ENFASIS EN ING. SOFT</v>
      </c>
      <c r="E1011" s="19" t="str">
        <f>VLOOKUP(A1011,'ESTADOS ESTUDIANTES'!B:L,5,0)</f>
        <v>X</v>
      </c>
      <c r="F1011" s="18" t="str">
        <f>VLOOKUP(E1011,Listas!B1:C1004,2,0)</f>
        <v>EXCLUIDO</v>
      </c>
      <c r="G1011" s="19">
        <f>VLOOKUP(A1011,'ESTADOS ESTUDIANTES'!B:L,7,0)</f>
        <v>4</v>
      </c>
      <c r="H1011" s="19" t="str">
        <f>VLOOKUP(A1011,'ESTADOS ESTUDIANTES'!B:L,8,0)</f>
        <v>dhavilaj@udistrital.edu.co</v>
      </c>
      <c r="I1011" s="70" t="str">
        <f>VLOOKUP(A1011,'ESTADOS ESTUDIANTES'!B:L,9,0)</f>
        <v>dhavilaj@gmail.com</v>
      </c>
      <c r="J1011" s="19" t="str">
        <f>VLOOKUP(A1011,'ESTADOS ESTUDIANTES'!B:L,10,0)</f>
        <v>CC</v>
      </c>
      <c r="K1011" s="19">
        <f>VLOOKUP(A1011,'ESTADOS ESTUDIANTES'!B:L,11,0)</f>
        <v>1010170891</v>
      </c>
      <c r="L1011" s="19">
        <v>3015024293</v>
      </c>
      <c r="M1011" s="20">
        <v>31869</v>
      </c>
      <c r="N1011" s="22"/>
      <c r="O1011" s="15"/>
      <c r="P1011" s="15"/>
      <c r="Q1011" s="15"/>
      <c r="R1011" s="15"/>
      <c r="S1011" s="15"/>
      <c r="T1011" s="15"/>
      <c r="U1011" s="15"/>
    </row>
    <row r="1012" spans="1:21" ht="90">
      <c r="A1012" s="17">
        <v>20191495002</v>
      </c>
      <c r="B1012" s="19" t="str">
        <f>VLOOKUP(A1012,'ESTADOS ESTUDIANTES'!B:L,2,0)</f>
        <v>BELTRAN ALFONSO RICARDO ANDRES</v>
      </c>
      <c r="C1012" s="19">
        <f>VLOOKUP(A1012,'ESTADOS ESTUDIANTES'!B:L,3,0)</f>
        <v>495</v>
      </c>
      <c r="D1012" s="66" t="str">
        <f>VLOOKUP(A1012,'ESTADOS ESTUDIANTES'!B:L,4,0)</f>
        <v>MAE. EN CIENCIAS DE LA INF. Y LAS COMUNICACIONES ENFASIS EN ING. SOFT</v>
      </c>
      <c r="E1012" s="19" t="str">
        <f>VLOOKUP(A1012,'ESTADOS ESTUDIANTES'!B:L,5,0)</f>
        <v>X</v>
      </c>
      <c r="F1012" s="18" t="str">
        <f>VLOOKUP(E1012,Listas!B1:C1004,2,0)</f>
        <v>EXCLUIDO</v>
      </c>
      <c r="G1012" s="19">
        <f>VLOOKUP(A1012,'ESTADOS ESTUDIANTES'!B:L,7,0)</f>
        <v>2</v>
      </c>
      <c r="H1012" s="19" t="str">
        <f>VLOOKUP(A1012,'ESTADOS ESTUDIANTES'!B:L,8,0)</f>
        <v>rabeltrana@correo.udistrital.edu.co</v>
      </c>
      <c r="I1012" s="70" t="str">
        <f>VLOOKUP(A1012,'ESTADOS ESTUDIANTES'!B:L,9,0)</f>
        <v>richardb9207@gmail.com</v>
      </c>
      <c r="J1012" s="19" t="str">
        <f>VLOOKUP(A1012,'ESTADOS ESTUDIANTES'!B:L,10,0)</f>
        <v>CC</v>
      </c>
      <c r="K1012" s="19">
        <f>VLOOKUP(A1012,'ESTADOS ESTUDIANTES'!B:L,11,0)</f>
        <v>1012390507</v>
      </c>
      <c r="L1012" s="19">
        <v>3108070707</v>
      </c>
      <c r="M1012" s="20">
        <v>33815</v>
      </c>
      <c r="N1012" s="22"/>
      <c r="O1012" s="15"/>
      <c r="P1012" s="15"/>
      <c r="Q1012" s="15"/>
      <c r="R1012" s="15"/>
      <c r="S1012" s="15"/>
      <c r="T1012" s="15"/>
      <c r="U1012" s="15"/>
    </row>
    <row r="1013" spans="1:21" ht="90">
      <c r="A1013" s="17">
        <v>20191495003</v>
      </c>
      <c r="B1013" s="19" t="str">
        <f>VLOOKUP(A1013,'ESTADOS ESTUDIANTES'!B:L,2,0)</f>
        <v>CARVAJAL TORRES JOSE AUGUSTO</v>
      </c>
      <c r="C1013" s="19">
        <f>VLOOKUP(A1013,'ESTADOS ESTUDIANTES'!B:L,3,0)</f>
        <v>495</v>
      </c>
      <c r="D1013" s="66" t="str">
        <f>VLOOKUP(A1013,'ESTADOS ESTUDIANTES'!B:L,4,0)</f>
        <v>MAE. EN CIENCIAS DE LA INF. Y LAS COMUNICACIONES ENFASIS EN ING. SOFT</v>
      </c>
      <c r="E1013" s="19" t="str">
        <f>VLOOKUP(A1013,'ESTADOS ESTUDIANTES'!B:L,5,0)</f>
        <v>X</v>
      </c>
      <c r="F1013" s="18" t="str">
        <f>VLOOKUP(E1013,Listas!B1:C1004,2,0)</f>
        <v>EXCLUIDO</v>
      </c>
      <c r="G1013" s="19">
        <f>VLOOKUP(A1013,'ESTADOS ESTUDIANTES'!B:L,7,0)</f>
        <v>4</v>
      </c>
      <c r="H1013" s="19" t="str">
        <f>VLOOKUP(A1013,'ESTADOS ESTUDIANTES'!B:L,8,0)</f>
        <v>jacarvajalt@udistrital.edu.co</v>
      </c>
      <c r="I1013" s="70" t="str">
        <f>VLOOKUP(A1013,'ESTADOS ESTUDIANTES'!B:L,9,0)</f>
        <v>jacarvajalt@correo.udistrital.edu.co</v>
      </c>
      <c r="J1013" s="19" t="str">
        <f>VLOOKUP(A1013,'ESTADOS ESTUDIANTES'!B:L,10,0)</f>
        <v>CC</v>
      </c>
      <c r="K1013" s="19">
        <f>VLOOKUP(A1013,'ESTADOS ESTUDIANTES'!B:L,11,0)</f>
        <v>1026295788</v>
      </c>
      <c r="L1013" s="19">
        <v>3134606915</v>
      </c>
      <c r="M1013" s="20">
        <v>35238</v>
      </c>
      <c r="N1013" s="22"/>
      <c r="O1013" s="15"/>
      <c r="P1013" s="15"/>
      <c r="Q1013" s="15"/>
      <c r="R1013" s="15"/>
      <c r="S1013" s="15"/>
      <c r="T1013" s="15"/>
      <c r="U1013" s="15"/>
    </row>
    <row r="1014" spans="1:21" ht="90">
      <c r="A1014" s="17">
        <v>20191495004</v>
      </c>
      <c r="B1014" s="19" t="str">
        <f>VLOOKUP(A1014,'ESTADOS ESTUDIANTES'!B:L,2,0)</f>
        <v>CATAÑO HOYOS LUIS ADOLFO</v>
      </c>
      <c r="C1014" s="19">
        <f>VLOOKUP(A1014,'ESTADOS ESTUDIANTES'!B:L,3,0)</f>
        <v>495</v>
      </c>
      <c r="D1014" s="66" t="str">
        <f>VLOOKUP(A1014,'ESTADOS ESTUDIANTES'!B:L,4,0)</f>
        <v>MAE. EN CIENCIAS DE LA INF. Y LAS COMUNICACIONES ENFASIS EN ING. SOFT</v>
      </c>
      <c r="E1014" s="19" t="str">
        <f>VLOOKUP(A1014,'ESTADOS ESTUDIANTES'!B:L,5,0)</f>
        <v>X</v>
      </c>
      <c r="F1014" s="18" t="str">
        <f>VLOOKUP(E1014,Listas!B1:C1004,2,0)</f>
        <v>EXCLUIDO</v>
      </c>
      <c r="G1014" s="19">
        <f>VLOOKUP(A1014,'ESTADOS ESTUDIANTES'!B:L,7,0)</f>
        <v>3</v>
      </c>
      <c r="H1014" s="19" t="str">
        <f>VLOOKUP(A1014,'ESTADOS ESTUDIANTES'!B:L,8,0)</f>
        <v>lacatanoh@correo.udistrital.edu.co</v>
      </c>
      <c r="I1014" s="70" t="str">
        <f>VLOOKUP(A1014,'ESTADOS ESTUDIANTES'!B:L,9,0)</f>
        <v>luchoad17@gmail.com</v>
      </c>
      <c r="J1014" s="19" t="str">
        <f>VLOOKUP(A1014,'ESTADOS ESTUDIANTES'!B:L,10,0)</f>
        <v>CC</v>
      </c>
      <c r="K1014" s="19">
        <f>VLOOKUP(A1014,'ESTADOS ESTUDIANTES'!B:L,11,0)</f>
        <v>1067876861</v>
      </c>
      <c r="L1014" s="19">
        <v>3197532559</v>
      </c>
      <c r="M1014" s="20"/>
      <c r="N1014" s="22"/>
      <c r="O1014" s="15"/>
      <c r="P1014" s="15"/>
      <c r="Q1014" s="15"/>
      <c r="R1014" s="15"/>
      <c r="S1014" s="15"/>
      <c r="T1014" s="15"/>
      <c r="U1014" s="15"/>
    </row>
    <row r="1015" spans="1:21" ht="90">
      <c r="A1015" s="17">
        <v>20191495005</v>
      </c>
      <c r="B1015" s="19" t="str">
        <f>VLOOKUP(A1015,'ESTADOS ESTUDIANTES'!B:L,2,0)</f>
        <v>CORREDOR CEBALLOS NIDIA ESTEFANÍA</v>
      </c>
      <c r="C1015" s="19">
        <f>VLOOKUP(A1015,'ESTADOS ESTUDIANTES'!B:L,3,0)</f>
        <v>495</v>
      </c>
      <c r="D1015" s="66" t="str">
        <f>VLOOKUP(A1015,'ESTADOS ESTUDIANTES'!B:L,4,0)</f>
        <v>MAE. EN CIENCIAS DE LA INF. Y LAS COMUNICACIONES ENFASIS EN ING. SOFT</v>
      </c>
      <c r="E1015" s="19" t="str">
        <f>VLOOKUP(A1015,'ESTADOS ESTUDIANTES'!B:L,5,0)</f>
        <v>N</v>
      </c>
      <c r="F1015" s="18" t="str">
        <f>VLOOKUP(E1015,Listas!B1:C1004,2,0)</f>
        <v>ERROR DE CODIGO</v>
      </c>
      <c r="G1015" s="19" t="str">
        <f>VLOOKUP(A1015,'ESTADOS ESTUDIANTES'!B:L,7,0)</f>
        <v>NO REGISTRA</v>
      </c>
      <c r="H1015" s="19" t="str">
        <f>VLOOKUP(A1015,'ESTADOS ESTUDIANTES'!B:L,8,0)</f>
        <v>necorredorc@correo.udistrital.edu.co</v>
      </c>
      <c r="I1015" s="70" t="str">
        <f>VLOOKUP(A1015,'ESTADOS ESTUDIANTES'!B:L,9,0)</f>
        <v>estefania_corredor@outlook.com</v>
      </c>
      <c r="J1015" s="19" t="str">
        <f>VLOOKUP(A1015,'ESTADOS ESTUDIANTES'!B:L,10,0)</f>
        <v>CC</v>
      </c>
      <c r="K1015" s="19">
        <f>VLOOKUP(A1015,'ESTADOS ESTUDIANTES'!B:L,11,0)</f>
        <v>1012365650</v>
      </c>
      <c r="L1015" s="23"/>
      <c r="M1015" s="20"/>
      <c r="N1015" s="22"/>
      <c r="O1015" s="15"/>
      <c r="P1015" s="15"/>
      <c r="Q1015" s="15"/>
      <c r="R1015" s="15"/>
      <c r="S1015" s="15"/>
      <c r="T1015" s="15"/>
      <c r="U1015" s="15"/>
    </row>
    <row r="1016" spans="1:21" ht="90">
      <c r="A1016" s="17">
        <v>20191495006</v>
      </c>
      <c r="B1016" s="19" t="str">
        <f>VLOOKUP(A1016,'ESTADOS ESTUDIANTES'!B:L,2,0)</f>
        <v>COTTA GARCÍA JUAN GUILLERMO</v>
      </c>
      <c r="C1016" s="19">
        <f>VLOOKUP(A1016,'ESTADOS ESTUDIANTES'!B:L,3,0)</f>
        <v>495</v>
      </c>
      <c r="D1016" s="66" t="str">
        <f>VLOOKUP(A1016,'ESTADOS ESTUDIANTES'!B:L,4,0)</f>
        <v>MAE. EN CIENCIAS DE LA INF. Y LAS COMUNICACIONES ENFASIS EN ING. SOFT</v>
      </c>
      <c r="E1016" s="19" t="str">
        <f>VLOOKUP(A1016,'ESTADOS ESTUDIANTES'!B:L,5,0)</f>
        <v>E</v>
      </c>
      <c r="F1016" s="18" t="str">
        <f>VLOOKUP(E1016,Listas!B1:C1004,2,0)</f>
        <v>EGRESADO</v>
      </c>
      <c r="G1016" s="19">
        <f>VLOOKUP(A1016,'ESTADOS ESTUDIANTES'!B:L,7,0)</f>
        <v>1</v>
      </c>
      <c r="H1016" s="19" t="str">
        <f>VLOOKUP(A1016,'ESTADOS ESTUDIANTES'!B:L,8,0)</f>
        <v>jgcottag@udistrital.edu.co</v>
      </c>
      <c r="I1016" s="70" t="str">
        <f>VLOOKUP(A1016,'ESTADOS ESTUDIANTES'!B:L,9,0)</f>
        <v>jgcotta@hotmail.com</v>
      </c>
      <c r="J1016" s="19" t="str">
        <f>VLOOKUP(A1016,'ESTADOS ESTUDIANTES'!B:L,10,0)</f>
        <v>CC</v>
      </c>
      <c r="K1016" s="19">
        <f>VLOOKUP(A1016,'ESTADOS ESTUDIANTES'!B:L,11,0)</f>
        <v>1032470566</v>
      </c>
      <c r="L1016" s="19">
        <v>3057117319</v>
      </c>
      <c r="M1016" s="20">
        <v>34796</v>
      </c>
      <c r="N1016" s="22"/>
      <c r="O1016" s="15"/>
      <c r="P1016" s="15"/>
      <c r="Q1016" s="15"/>
      <c r="R1016" s="15"/>
      <c r="S1016" s="15"/>
      <c r="T1016" s="15"/>
      <c r="U1016" s="15"/>
    </row>
    <row r="1017" spans="1:21" ht="90">
      <c r="A1017" s="17">
        <v>20191495007</v>
      </c>
      <c r="B1017" s="19" t="str">
        <f>VLOOKUP(A1017,'ESTADOS ESTUDIANTES'!B:L,2,0)</f>
        <v>CUELLAR MAYORGA JULIAN ORLANDO</v>
      </c>
      <c r="C1017" s="19">
        <f>VLOOKUP(A1017,'ESTADOS ESTUDIANTES'!B:L,3,0)</f>
        <v>495</v>
      </c>
      <c r="D1017" s="66" t="str">
        <f>VLOOKUP(A1017,'ESTADOS ESTUDIANTES'!B:L,4,0)</f>
        <v>MAE. EN CIENCIAS DE LA INF. Y LAS COMUNICACIONES ENFASIS EN ING. SOFT</v>
      </c>
      <c r="E1017" s="19" t="str">
        <f>VLOOKUP(A1017,'ESTADOS ESTUDIANTES'!B:L,5,0)</f>
        <v>X</v>
      </c>
      <c r="F1017" s="18" t="str">
        <f>VLOOKUP(E1017,Listas!B1:C1004,2,0)</f>
        <v>EXCLUIDO</v>
      </c>
      <c r="G1017" s="19">
        <f>VLOOKUP(A1017,'ESTADOS ESTUDIANTES'!B:L,7,0)</f>
        <v>3</v>
      </c>
      <c r="H1017" s="19" t="str">
        <f>VLOOKUP(A1017,'ESTADOS ESTUDIANTES'!B:L,8,0)</f>
        <v>jocuellarm@udistrital.edu.co</v>
      </c>
      <c r="I1017" s="70" t="str">
        <f>VLOOKUP(A1017,'ESTADOS ESTUDIANTES'!B:L,9,0)</f>
        <v>julianorlando@gmail.com</v>
      </c>
      <c r="J1017" s="19" t="str">
        <f>VLOOKUP(A1017,'ESTADOS ESTUDIANTES'!B:L,10,0)</f>
        <v>CC</v>
      </c>
      <c r="K1017" s="19">
        <f>VLOOKUP(A1017,'ESTADOS ESTUDIANTES'!B:L,11,0)</f>
        <v>80817300</v>
      </c>
      <c r="L1017" s="19">
        <v>3003160164</v>
      </c>
      <c r="M1017" s="20">
        <v>30940</v>
      </c>
      <c r="N1017" s="22"/>
      <c r="O1017" s="15"/>
      <c r="P1017" s="15"/>
      <c r="Q1017" s="15"/>
      <c r="R1017" s="15"/>
      <c r="S1017" s="15"/>
      <c r="T1017" s="15"/>
      <c r="U1017" s="15"/>
    </row>
    <row r="1018" spans="1:21" ht="90">
      <c r="A1018" s="17">
        <v>20191495008</v>
      </c>
      <c r="B1018" s="19" t="str">
        <f>VLOOKUP(A1018,'ESTADOS ESTUDIANTES'!B:L,2,0)</f>
        <v>DALLOS PARRA DAVID LEONARDO</v>
      </c>
      <c r="C1018" s="19">
        <f>VLOOKUP(A1018,'ESTADOS ESTUDIANTES'!B:L,3,0)</f>
        <v>495</v>
      </c>
      <c r="D1018" s="66" t="str">
        <f>VLOOKUP(A1018,'ESTADOS ESTUDIANTES'!B:L,4,0)</f>
        <v>MAE. EN CIENCIAS DE LA INF. Y LAS COMUNICACIONES ENFASIS EN ING. SOFT</v>
      </c>
      <c r="E1018" s="19" t="str">
        <f>VLOOKUP(A1018,'ESTADOS ESTUDIANTES'!B:L,5,0)</f>
        <v>X</v>
      </c>
      <c r="F1018" s="18" t="str">
        <f>VLOOKUP(E1018,Listas!B1:C1004,2,0)</f>
        <v>EXCLUIDO</v>
      </c>
      <c r="G1018" s="19">
        <f>VLOOKUP(A1018,'ESTADOS ESTUDIANTES'!B:L,7,0)</f>
        <v>4</v>
      </c>
      <c r="H1018" s="19" t="str">
        <f>VLOOKUP(A1018,'ESTADOS ESTUDIANTES'!B:L,8,0)</f>
        <v>dldallosp@udistrital.edu.co</v>
      </c>
      <c r="I1018" s="70" t="str">
        <f>VLOOKUP(A1018,'ESTADOS ESTUDIANTES'!B:L,9,0)</f>
        <v>leonardodallos@hotmail.com</v>
      </c>
      <c r="J1018" s="19" t="str">
        <f>VLOOKUP(A1018,'ESTADOS ESTUDIANTES'!B:L,10,0)</f>
        <v>CC</v>
      </c>
      <c r="K1018" s="19">
        <f>VLOOKUP(A1018,'ESTADOS ESTUDIANTES'!B:L,11,0)</f>
        <v>1015460560</v>
      </c>
      <c r="L1018" s="19">
        <v>3175621610</v>
      </c>
      <c r="M1018" s="20">
        <v>35126</v>
      </c>
      <c r="N1018" s="22"/>
      <c r="O1018" s="15"/>
      <c r="P1018" s="15"/>
      <c r="Q1018" s="15"/>
      <c r="R1018" s="15"/>
      <c r="S1018" s="15"/>
      <c r="T1018" s="15"/>
      <c r="U1018" s="15"/>
    </row>
    <row r="1019" spans="1:21" ht="90">
      <c r="A1019" s="17">
        <v>20191495009</v>
      </c>
      <c r="B1019" s="19" t="str">
        <f>VLOOKUP(A1019,'ESTADOS ESTUDIANTES'!B:L,2,0)</f>
        <v>DAZA ROJAS JOHN JAIRO</v>
      </c>
      <c r="C1019" s="19">
        <f>VLOOKUP(A1019,'ESTADOS ESTUDIANTES'!B:L,3,0)</f>
        <v>495</v>
      </c>
      <c r="D1019" s="66" t="str">
        <f>VLOOKUP(A1019,'ESTADOS ESTUDIANTES'!B:L,4,0)</f>
        <v>MAE. EN CIENCIAS DE LA INF. Y LAS COMUNICACIONES ENFASIS EN ING. SOFT</v>
      </c>
      <c r="E1019" s="19" t="str">
        <f>VLOOKUP(A1019,'ESTADOS ESTUDIANTES'!B:L,5,0)</f>
        <v>E</v>
      </c>
      <c r="F1019" s="18" t="str">
        <f>VLOOKUP(E1019,Listas!B1:C1004,2,0)</f>
        <v>EGRESADO</v>
      </c>
      <c r="G1019" s="19">
        <f>VLOOKUP(A1019,'ESTADOS ESTUDIANTES'!B:L,7,0)</f>
        <v>3</v>
      </c>
      <c r="H1019" s="19" t="str">
        <f>VLOOKUP(A1019,'ESTADOS ESTUDIANTES'!B:L,8,0)</f>
        <v>jjdazar@udistrital.edu.co</v>
      </c>
      <c r="I1019" s="70" t="str">
        <f>VLOOKUP(A1019,'ESTADOS ESTUDIANTES'!B:L,9,0)</f>
        <v>jj.dazarojas@gmail.com</v>
      </c>
      <c r="J1019" s="19" t="str">
        <f>VLOOKUP(A1019,'ESTADOS ESTUDIANTES'!B:L,10,0)</f>
        <v>CC</v>
      </c>
      <c r="K1019" s="19">
        <f>VLOOKUP(A1019,'ESTADOS ESTUDIANTES'!B:L,11,0)</f>
        <v>1024496366</v>
      </c>
      <c r="L1019" s="19">
        <v>3012145332</v>
      </c>
      <c r="M1019" s="20"/>
      <c r="N1019" s="22"/>
      <c r="O1019" s="15"/>
      <c r="P1019" s="15"/>
      <c r="Q1019" s="15"/>
      <c r="R1019" s="15"/>
      <c r="S1019" s="15"/>
      <c r="T1019" s="15"/>
      <c r="U1019" s="15"/>
    </row>
    <row r="1020" spans="1:21" ht="90">
      <c r="A1020" s="17">
        <v>20191495010</v>
      </c>
      <c r="B1020" s="19" t="str">
        <f>VLOOKUP(A1020,'ESTADOS ESTUDIANTES'!B:L,2,0)</f>
        <v>DÍAZ MONJE KEVIN CAMILO</v>
      </c>
      <c r="C1020" s="19">
        <f>VLOOKUP(A1020,'ESTADOS ESTUDIANTES'!B:L,3,0)</f>
        <v>495</v>
      </c>
      <c r="D1020" s="66" t="str">
        <f>VLOOKUP(A1020,'ESTADOS ESTUDIANTES'!B:L,4,0)</f>
        <v>MAE. EN CIENCIAS DE LA INF. Y LAS COMUNICACIONES ENFASIS EN ING. SOFT</v>
      </c>
      <c r="E1020" s="19" t="str">
        <f>VLOOKUP(A1020,'ESTADOS ESTUDIANTES'!B:L,5,0)</f>
        <v>E</v>
      </c>
      <c r="F1020" s="18" t="str">
        <f>VLOOKUP(E1020,Listas!B1:C1004,2,0)</f>
        <v>EGRESADO</v>
      </c>
      <c r="G1020" s="19">
        <f>VLOOKUP(A1020,'ESTADOS ESTUDIANTES'!B:L,7,0)</f>
        <v>3</v>
      </c>
      <c r="H1020" s="19" t="str">
        <f>VLOOKUP(A1020,'ESTADOS ESTUDIANTES'!B:L,8,0)</f>
        <v>kcdiazm@udistrital.edu.co</v>
      </c>
      <c r="I1020" s="70" t="str">
        <f>VLOOKUP(A1020,'ESTADOS ESTUDIANTES'!B:L,9,0)</f>
        <v>kcdiazm@correo.udistrital.edu.co</v>
      </c>
      <c r="J1020" s="19" t="str">
        <f>VLOOKUP(A1020,'ESTADOS ESTUDIANTES'!B:L,10,0)</f>
        <v>CC</v>
      </c>
      <c r="K1020" s="19">
        <f>VLOOKUP(A1020,'ESTADOS ESTUDIANTES'!B:L,11,0)</f>
        <v>1022395664</v>
      </c>
      <c r="L1020" s="19">
        <v>3014087185</v>
      </c>
      <c r="M1020" s="20">
        <v>34555</v>
      </c>
      <c r="N1020" s="22"/>
      <c r="O1020" s="15"/>
      <c r="P1020" s="15"/>
      <c r="Q1020" s="15"/>
      <c r="R1020" s="15"/>
      <c r="S1020" s="15"/>
      <c r="T1020" s="15"/>
      <c r="U1020" s="15"/>
    </row>
    <row r="1021" spans="1:21" ht="90">
      <c r="A1021" s="17">
        <v>20191495011</v>
      </c>
      <c r="B1021" s="19" t="str">
        <f>VLOOKUP(A1021,'ESTADOS ESTUDIANTES'!B:L,2,0)</f>
        <v>GARCIA BARAHONA YENY PAOLA</v>
      </c>
      <c r="C1021" s="19">
        <f>VLOOKUP(A1021,'ESTADOS ESTUDIANTES'!B:L,3,0)</f>
        <v>495</v>
      </c>
      <c r="D1021" s="66" t="str">
        <f>VLOOKUP(A1021,'ESTADOS ESTUDIANTES'!B:L,4,0)</f>
        <v>MAE. EN CIENCIAS DE LA INF. Y LAS COMUNICACIONES ENFASIS EN ING. SOFT</v>
      </c>
      <c r="E1021" s="19" t="str">
        <f>VLOOKUP(A1021,'ESTADOS ESTUDIANTES'!B:L,5,0)</f>
        <v>X</v>
      </c>
      <c r="F1021" s="18" t="str">
        <f>VLOOKUP(E1021,Listas!B1:C1004,2,0)</f>
        <v>EXCLUIDO</v>
      </c>
      <c r="G1021" s="19" t="str">
        <f>VLOOKUP(A1021,'ESTADOS ESTUDIANTES'!B:L,7,0)</f>
        <v>NO REGISTRA</v>
      </c>
      <c r="H1021" s="19" t="str">
        <f>VLOOKUP(A1021,'ESTADOS ESTUDIANTES'!B:L,8,0)</f>
        <v>ypgarciab@correo.udistrital.edu.co</v>
      </c>
      <c r="I1021" s="70" t="str">
        <f>VLOOKUP(A1021,'ESTADOS ESTUDIANTES'!B:L,9,0)</f>
        <v>ingpaolagarcia@gmail.com</v>
      </c>
      <c r="J1021" s="19" t="str">
        <f>VLOOKUP(A1021,'ESTADOS ESTUDIANTES'!B:L,10,0)</f>
        <v>CC</v>
      </c>
      <c r="K1021" s="19">
        <f>VLOOKUP(A1021,'ESTADOS ESTUDIANTES'!B:L,11,0)</f>
        <v>1121819760</v>
      </c>
      <c r="L1021" s="19">
        <v>3174717023</v>
      </c>
      <c r="M1021" s="20"/>
      <c r="N1021" s="22"/>
      <c r="O1021" s="15"/>
      <c r="P1021" s="15"/>
      <c r="Q1021" s="15"/>
      <c r="R1021" s="15"/>
      <c r="S1021" s="15"/>
      <c r="T1021" s="15"/>
      <c r="U1021" s="15"/>
    </row>
    <row r="1022" spans="1:21" ht="90">
      <c r="A1022" s="17">
        <v>20191495012</v>
      </c>
      <c r="B1022" s="19" t="str">
        <f>VLOOKUP(A1022,'ESTADOS ESTUDIANTES'!B:L,2,0)</f>
        <v>GUERRERO BERMÚDEZ CRISTIAN ANDRÉS</v>
      </c>
      <c r="C1022" s="19">
        <f>VLOOKUP(A1022,'ESTADOS ESTUDIANTES'!B:L,3,0)</f>
        <v>495</v>
      </c>
      <c r="D1022" s="66" t="str">
        <f>VLOOKUP(A1022,'ESTADOS ESTUDIANTES'!B:L,4,0)</f>
        <v>MAE. EN CIENCIAS DE LA INF. Y LAS COMUNICACIONES ENFASIS EN ING. SOFT</v>
      </c>
      <c r="E1022" s="19" t="str">
        <f>VLOOKUP(A1022,'ESTADOS ESTUDIANTES'!B:L,5,0)</f>
        <v>X</v>
      </c>
      <c r="F1022" s="18" t="str">
        <f>VLOOKUP(E1022,Listas!B1:C1004,2,0)</f>
        <v>EXCLUIDO</v>
      </c>
      <c r="G1022" s="19">
        <f>VLOOKUP(A1022,'ESTADOS ESTUDIANTES'!B:L,7,0)</f>
        <v>3</v>
      </c>
      <c r="H1022" s="19" t="str">
        <f>VLOOKUP(A1022,'ESTADOS ESTUDIANTES'!B:L,8,0)</f>
        <v>caguerrerob@correo.udistrital.edu.co</v>
      </c>
      <c r="I1022" s="70" t="str">
        <f>VLOOKUP(A1022,'ESTADOS ESTUDIANTES'!B:L,9,0)</f>
        <v>cristianandresgb@hotmail.com</v>
      </c>
      <c r="J1022" s="19" t="str">
        <f>VLOOKUP(A1022,'ESTADOS ESTUDIANTES'!B:L,10,0)</f>
        <v>CC</v>
      </c>
      <c r="K1022" s="19">
        <f>VLOOKUP(A1022,'ESTADOS ESTUDIANTES'!B:L,11,0)</f>
        <v>80818510</v>
      </c>
      <c r="L1022" s="19">
        <v>3142698260</v>
      </c>
      <c r="M1022" s="20"/>
      <c r="N1022" s="22"/>
      <c r="O1022" s="15"/>
      <c r="P1022" s="15"/>
      <c r="Q1022" s="15"/>
      <c r="R1022" s="15"/>
      <c r="S1022" s="15"/>
      <c r="T1022" s="15"/>
      <c r="U1022" s="15"/>
    </row>
    <row r="1023" spans="1:21" ht="90">
      <c r="A1023" s="17">
        <v>20191495013</v>
      </c>
      <c r="B1023" s="19" t="str">
        <f>VLOOKUP(A1023,'ESTADOS ESTUDIANTES'!B:L,2,0)</f>
        <v>HERNÁNDEZ MONTEALEGRE DANIEL ALEXANDER</v>
      </c>
      <c r="C1023" s="19">
        <f>VLOOKUP(A1023,'ESTADOS ESTUDIANTES'!B:L,3,0)</f>
        <v>495</v>
      </c>
      <c r="D1023" s="66" t="str">
        <f>VLOOKUP(A1023,'ESTADOS ESTUDIANTES'!B:L,4,0)</f>
        <v>MAE. EN CIENCIAS DE LA INF. Y LAS COMUNICACIONES ENFASIS EN ING. SOFT</v>
      </c>
      <c r="E1023" s="19" t="str">
        <f>VLOOKUP(A1023,'ESTADOS ESTUDIANTES'!B:L,5,0)</f>
        <v>E</v>
      </c>
      <c r="F1023" s="18" t="str">
        <f>VLOOKUP(E1023,Listas!B1:C1004,2,0)</f>
        <v>EGRESADO</v>
      </c>
      <c r="G1023" s="19">
        <f>VLOOKUP(A1023,'ESTADOS ESTUDIANTES'!B:L,7,0)</f>
        <v>3</v>
      </c>
      <c r="H1023" s="19" t="str">
        <f>VLOOKUP(A1023,'ESTADOS ESTUDIANTES'!B:L,8,0)</f>
        <v>danahernandezm@udistrital.edu.co</v>
      </c>
      <c r="I1023" s="70" t="str">
        <f>VLOOKUP(A1023,'ESTADOS ESTUDIANTES'!B:L,9,0)</f>
        <v>dahm35@hotmail.com</v>
      </c>
      <c r="J1023" s="19" t="str">
        <f>VLOOKUP(A1023,'ESTADOS ESTUDIANTES'!B:L,10,0)</f>
        <v>CC</v>
      </c>
      <c r="K1023" s="19">
        <f>VLOOKUP(A1023,'ESTADOS ESTUDIANTES'!B:L,11,0)</f>
        <v>1014277134</v>
      </c>
      <c r="L1023" s="19">
        <v>3508550641</v>
      </c>
      <c r="M1023" s="20">
        <v>35203</v>
      </c>
      <c r="N1023" s="22"/>
      <c r="O1023" s="15"/>
      <c r="P1023" s="15"/>
      <c r="Q1023" s="15"/>
      <c r="R1023" s="15"/>
      <c r="S1023" s="15"/>
      <c r="T1023" s="15"/>
      <c r="U1023" s="15"/>
    </row>
    <row r="1024" spans="1:21" ht="90">
      <c r="A1024" s="17">
        <v>20191495014</v>
      </c>
      <c r="B1024" s="19" t="str">
        <f>VLOOKUP(A1024,'ESTADOS ESTUDIANTES'!B:L,2,0)</f>
        <v>HURTADO ROMERO JAIME ARTURO</v>
      </c>
      <c r="C1024" s="19">
        <f>VLOOKUP(A1024,'ESTADOS ESTUDIANTES'!B:L,3,0)</f>
        <v>495</v>
      </c>
      <c r="D1024" s="66" t="str">
        <f>VLOOKUP(A1024,'ESTADOS ESTUDIANTES'!B:L,4,0)</f>
        <v>MAE. EN CIENCIAS DE LA INF. Y LAS COMUNICACIONES ENFASIS EN ING. SOFT</v>
      </c>
      <c r="E1024" s="19" t="str">
        <f>VLOOKUP(A1024,'ESTADOS ESTUDIANTES'!B:L,5,0)</f>
        <v>X</v>
      </c>
      <c r="F1024" s="18" t="str">
        <f>VLOOKUP(E1024,Listas!B1:C1004,2,0)</f>
        <v>EXCLUIDO</v>
      </c>
      <c r="G1024" s="19">
        <f>VLOOKUP(A1024,'ESTADOS ESTUDIANTES'!B:L,7,0)</f>
        <v>3</v>
      </c>
      <c r="H1024" s="19" t="str">
        <f>VLOOKUP(A1024,'ESTADOS ESTUDIANTES'!B:L,8,0)</f>
        <v>jaahurtador@correo.udistrital.edu.co</v>
      </c>
      <c r="I1024" s="70" t="str">
        <f>VLOOKUP(A1024,'ESTADOS ESTUDIANTES'!B:L,9,0)</f>
        <v>jart1221@gmail.com</v>
      </c>
      <c r="J1024" s="19" t="str">
        <f>VLOOKUP(A1024,'ESTADOS ESTUDIANTES'!B:L,10,0)</f>
        <v>CC</v>
      </c>
      <c r="K1024" s="19">
        <f>VLOOKUP(A1024,'ESTADOS ESTUDIANTES'!B:L,11,0)</f>
        <v>1015439205</v>
      </c>
      <c r="L1024" s="19">
        <v>3017652273</v>
      </c>
      <c r="M1024" s="20"/>
      <c r="N1024" s="22"/>
      <c r="O1024" s="15"/>
      <c r="P1024" s="15"/>
      <c r="Q1024" s="15"/>
      <c r="R1024" s="15"/>
      <c r="S1024" s="15"/>
      <c r="T1024" s="15"/>
      <c r="U1024" s="15"/>
    </row>
    <row r="1025" spans="1:21" ht="90">
      <c r="A1025" s="17">
        <v>20191495015</v>
      </c>
      <c r="B1025" s="19" t="str">
        <f>VLOOKUP(A1025,'ESTADOS ESTUDIANTES'!B:L,2,0)</f>
        <v>MALDONADO PARDO WILLIAMS ALEXANDER</v>
      </c>
      <c r="C1025" s="19">
        <f>VLOOKUP(A1025,'ESTADOS ESTUDIANTES'!B:L,3,0)</f>
        <v>495</v>
      </c>
      <c r="D1025" s="66" t="str">
        <f>VLOOKUP(A1025,'ESTADOS ESTUDIANTES'!B:L,4,0)</f>
        <v>MAE. EN CIENCIAS DE LA INF. Y LAS COMUNICACIONES ENFASIS EN ING. SOFT</v>
      </c>
      <c r="E1025" s="19" t="str">
        <f>VLOOKUP(A1025,'ESTADOS ESTUDIANTES'!B:L,5,0)</f>
        <v>X</v>
      </c>
      <c r="F1025" s="18" t="str">
        <f>VLOOKUP(E1025,Listas!B1:C1004,2,0)</f>
        <v>EXCLUIDO</v>
      </c>
      <c r="G1025" s="19">
        <f>VLOOKUP(A1025,'ESTADOS ESTUDIANTES'!B:L,7,0)</f>
        <v>3</v>
      </c>
      <c r="H1025" s="19" t="str">
        <f>VLOOKUP(A1025,'ESTADOS ESTUDIANTES'!B:L,8,0)</f>
        <v>wamaldonadop@correo.udistrital.edu.co</v>
      </c>
      <c r="I1025" s="70" t="str">
        <f>VLOOKUP(A1025,'ESTADOS ESTUDIANTES'!B:L,9,0)</f>
        <v>wamaldonado30@gmail.com</v>
      </c>
      <c r="J1025" s="19" t="str">
        <f>VLOOKUP(A1025,'ESTADOS ESTUDIANTES'!B:L,10,0)</f>
        <v>CC</v>
      </c>
      <c r="K1025" s="19">
        <f>VLOOKUP(A1025,'ESTADOS ESTUDIANTES'!B:L,11,0)</f>
        <v>1030595188</v>
      </c>
      <c r="L1025" s="19">
        <v>3156863072</v>
      </c>
      <c r="M1025" s="20"/>
      <c r="N1025" s="22"/>
      <c r="O1025" s="15"/>
      <c r="P1025" s="15"/>
      <c r="Q1025" s="15"/>
      <c r="R1025" s="15"/>
      <c r="S1025" s="15"/>
      <c r="T1025" s="15"/>
      <c r="U1025" s="15"/>
    </row>
    <row r="1026" spans="1:21" ht="90">
      <c r="A1026" s="17">
        <v>20191495016</v>
      </c>
      <c r="B1026" s="19" t="str">
        <f>VLOOKUP(A1026,'ESTADOS ESTUDIANTES'!B:L,2,0)</f>
        <v>MARTÍNEZ CERVERA DANIEL ESTEBAN</v>
      </c>
      <c r="C1026" s="19">
        <f>VLOOKUP(A1026,'ESTADOS ESTUDIANTES'!B:L,3,0)</f>
        <v>495</v>
      </c>
      <c r="D1026" s="66" t="str">
        <f>VLOOKUP(A1026,'ESTADOS ESTUDIANTES'!B:L,4,0)</f>
        <v>MAE. EN CIENCIAS DE LA INF. Y LAS COMUNICACIONES ENFASIS EN ING. SOFT</v>
      </c>
      <c r="E1026" s="19" t="str">
        <f>VLOOKUP(A1026,'ESTADOS ESTUDIANTES'!B:L,5,0)</f>
        <v>E</v>
      </c>
      <c r="F1026" s="18" t="str">
        <f>VLOOKUP(E1026,Listas!B1:C1004,2,0)</f>
        <v>EGRESADO</v>
      </c>
      <c r="G1026" s="19">
        <f>VLOOKUP(A1026,'ESTADOS ESTUDIANTES'!B:L,7,0)</f>
        <v>4</v>
      </c>
      <c r="H1026" s="19" t="str">
        <f>VLOOKUP(A1026,'ESTADOS ESTUDIANTES'!B:L,8,0)</f>
        <v>demartinezc@correo.udistrital.edu.co</v>
      </c>
      <c r="I1026" s="70" t="str">
        <f>VLOOKUP(A1026,'ESTADOS ESTUDIANTES'!B:L,9,0)</f>
        <v>demartinezc@correo.udistrital.edu.co</v>
      </c>
      <c r="J1026" s="19" t="str">
        <f>VLOOKUP(A1026,'ESTADOS ESTUDIANTES'!B:L,10,0)</f>
        <v>CC</v>
      </c>
      <c r="K1026" s="19">
        <f>VLOOKUP(A1026,'ESTADOS ESTUDIANTES'!B:L,11,0)</f>
        <v>1019112987</v>
      </c>
      <c r="L1026" s="19">
        <v>3157930408</v>
      </c>
      <c r="M1026" s="20"/>
      <c r="N1026" s="22"/>
      <c r="O1026" s="15"/>
      <c r="P1026" s="15"/>
      <c r="Q1026" s="15"/>
      <c r="R1026" s="15"/>
      <c r="S1026" s="15"/>
      <c r="T1026" s="15"/>
      <c r="U1026" s="15"/>
    </row>
    <row r="1027" spans="1:21" ht="90">
      <c r="A1027" s="17">
        <v>20191495017</v>
      </c>
      <c r="B1027" s="19" t="str">
        <f>VLOOKUP(A1027,'ESTADOS ESTUDIANTES'!B:L,2,0)</f>
        <v>NOVOA PERALTA LEONARDO ANDRÉS</v>
      </c>
      <c r="C1027" s="19">
        <f>VLOOKUP(A1027,'ESTADOS ESTUDIANTES'!B:L,3,0)</f>
        <v>495</v>
      </c>
      <c r="D1027" s="66" t="str">
        <f>VLOOKUP(A1027,'ESTADOS ESTUDIANTES'!B:L,4,0)</f>
        <v>MAE. EN CIENCIAS DE LA INF. Y LAS COMUNICACIONES ENFASIS EN ING. SOFT</v>
      </c>
      <c r="E1027" s="19" t="str">
        <f>VLOOKUP(A1027,'ESTADOS ESTUDIANTES'!B:L,5,0)</f>
        <v>E</v>
      </c>
      <c r="F1027" s="18" t="str">
        <f>VLOOKUP(E1027,Listas!B1:C1004,2,0)</f>
        <v>EGRESADO</v>
      </c>
      <c r="G1027" s="19">
        <f>VLOOKUP(A1027,'ESTADOS ESTUDIANTES'!B:L,7,0)</f>
        <v>3</v>
      </c>
      <c r="H1027" s="19" t="str">
        <f>VLOOKUP(A1027,'ESTADOS ESTUDIANTES'!B:L,8,0)</f>
        <v>lanovoap@udistrital.edu.co</v>
      </c>
      <c r="I1027" s="70" t="str">
        <f>VLOOKUP(A1027,'ESTADOS ESTUDIANTES'!B:L,9,0)</f>
        <v>leonardo.novoa@grupohousemedia.com</v>
      </c>
      <c r="J1027" s="19" t="str">
        <f>VLOOKUP(A1027,'ESTADOS ESTUDIANTES'!B:L,10,0)</f>
        <v>CC</v>
      </c>
      <c r="K1027" s="19">
        <f>VLOOKUP(A1027,'ESTADOS ESTUDIANTES'!B:L,11,0)</f>
        <v>1026254497</v>
      </c>
      <c r="L1027" s="19">
        <v>3188277025</v>
      </c>
      <c r="M1027" s="20">
        <v>31811</v>
      </c>
      <c r="N1027" s="22"/>
      <c r="O1027" s="15"/>
      <c r="P1027" s="15"/>
      <c r="Q1027" s="15"/>
      <c r="R1027" s="15"/>
      <c r="S1027" s="15"/>
      <c r="T1027" s="15"/>
      <c r="U1027" s="15"/>
    </row>
    <row r="1028" spans="1:21" ht="90">
      <c r="A1028" s="17">
        <v>20191495018</v>
      </c>
      <c r="B1028" s="19" t="str">
        <f>VLOOKUP(A1028,'ESTADOS ESTUDIANTES'!B:L,2,0)</f>
        <v>OBREGON BARRERA CARLOS IVAN</v>
      </c>
      <c r="C1028" s="19">
        <f>VLOOKUP(A1028,'ESTADOS ESTUDIANTES'!B:L,3,0)</f>
        <v>495</v>
      </c>
      <c r="D1028" s="66" t="str">
        <f>VLOOKUP(A1028,'ESTADOS ESTUDIANTES'!B:L,4,0)</f>
        <v>MAE. EN CIENCIAS DE LA INF. Y LAS COMUNICACIONES ENFASIS EN ING. SOFT</v>
      </c>
      <c r="E1028" s="19" t="str">
        <f>VLOOKUP(A1028,'ESTADOS ESTUDIANTES'!B:L,5,0)</f>
        <v>X</v>
      </c>
      <c r="F1028" s="18" t="str">
        <f>VLOOKUP(E1028,Listas!B1:C1004,2,0)</f>
        <v>EXCLUIDO</v>
      </c>
      <c r="G1028" s="19">
        <f>VLOOKUP(A1028,'ESTADOS ESTUDIANTES'!B:L,7,0)</f>
        <v>3</v>
      </c>
      <c r="H1028" s="19" t="str">
        <f>VLOOKUP(A1028,'ESTADOS ESTUDIANTES'!B:L,8,0)</f>
        <v>ciobregonb@udistrital.edu.co</v>
      </c>
      <c r="I1028" s="70" t="str">
        <f>VLOOKUP(A1028,'ESTADOS ESTUDIANTES'!B:L,9,0)</f>
        <v>carlos.ivan.obregon@gmail.com</v>
      </c>
      <c r="J1028" s="19" t="str">
        <f>VLOOKUP(A1028,'ESTADOS ESTUDIANTES'!B:L,10,0)</f>
        <v>CC</v>
      </c>
      <c r="K1028" s="19">
        <f>VLOOKUP(A1028,'ESTADOS ESTUDIANTES'!B:L,11,0)</f>
        <v>1098675575</v>
      </c>
      <c r="L1028" s="19">
        <v>3103056785</v>
      </c>
      <c r="M1028" s="20">
        <v>32727</v>
      </c>
      <c r="N1028" s="22"/>
      <c r="O1028" s="15"/>
      <c r="P1028" s="15"/>
      <c r="Q1028" s="15"/>
      <c r="R1028" s="15"/>
      <c r="S1028" s="15"/>
      <c r="T1028" s="15"/>
      <c r="U1028" s="15"/>
    </row>
    <row r="1029" spans="1:21" ht="90">
      <c r="A1029" s="17">
        <v>20191495019</v>
      </c>
      <c r="B1029" s="19" t="str">
        <f>VLOOKUP(A1029,'ESTADOS ESTUDIANTES'!B:L,2,0)</f>
        <v>ORJUELA VELÁSQUEZ SERGIO DAVID</v>
      </c>
      <c r="C1029" s="19">
        <f>VLOOKUP(A1029,'ESTADOS ESTUDIANTES'!B:L,3,0)</f>
        <v>495</v>
      </c>
      <c r="D1029" s="66" t="str">
        <f>VLOOKUP(A1029,'ESTADOS ESTUDIANTES'!B:L,4,0)</f>
        <v>MAE. EN CIENCIAS DE LA INF. Y LAS COMUNICACIONES ENFASIS EN ING. SOFT</v>
      </c>
      <c r="E1029" s="19" t="str">
        <f>VLOOKUP(A1029,'ESTADOS ESTUDIANTES'!B:L,5,0)</f>
        <v>E</v>
      </c>
      <c r="F1029" s="18" t="str">
        <f>VLOOKUP(E1029,Listas!B1:C1004,2,0)</f>
        <v>EGRESADO</v>
      </c>
      <c r="G1029" s="19">
        <f>VLOOKUP(A1029,'ESTADOS ESTUDIANTES'!B:L,7,0)</f>
        <v>2</v>
      </c>
      <c r="H1029" s="19" t="str">
        <f>VLOOKUP(A1029,'ESTADOS ESTUDIANTES'!B:L,8,0)</f>
        <v>sdorjuelav@udistrital.edu.co</v>
      </c>
      <c r="I1029" s="70" t="str">
        <f>VLOOKUP(A1029,'ESTADOS ESTUDIANTES'!B:L,9,0)</f>
        <v>sergiorjuela940@gmail.com</v>
      </c>
      <c r="J1029" s="19" t="str">
        <f>VLOOKUP(A1029,'ESTADOS ESTUDIANTES'!B:L,10,0)</f>
        <v>CC</v>
      </c>
      <c r="K1029" s="19">
        <f>VLOOKUP(A1029,'ESTADOS ESTUDIANTES'!B:L,11,0)</f>
        <v>1071167689</v>
      </c>
      <c r="L1029" s="19">
        <v>3006163190</v>
      </c>
      <c r="M1029" s="20">
        <v>34391</v>
      </c>
      <c r="N1029" s="22"/>
      <c r="O1029" s="15"/>
      <c r="P1029" s="15"/>
      <c r="Q1029" s="15"/>
      <c r="R1029" s="15"/>
      <c r="S1029" s="15"/>
      <c r="T1029" s="15"/>
      <c r="U1029" s="15"/>
    </row>
    <row r="1030" spans="1:21" ht="90">
      <c r="A1030" s="17">
        <v>20191495020</v>
      </c>
      <c r="B1030" s="19" t="str">
        <f>VLOOKUP(A1030,'ESTADOS ESTUDIANTES'!B:L,2,0)</f>
        <v>PAEZ MARTINEZ YERSON ALEXANDER</v>
      </c>
      <c r="C1030" s="19">
        <f>VLOOKUP(A1030,'ESTADOS ESTUDIANTES'!B:L,3,0)</f>
        <v>495</v>
      </c>
      <c r="D1030" s="66" t="str">
        <f>VLOOKUP(A1030,'ESTADOS ESTUDIANTES'!B:L,4,0)</f>
        <v>MAE. EN CIENCIAS DE LA INF. Y LAS COMUNICACIONES ENFASIS EN ING. SOFT</v>
      </c>
      <c r="E1030" s="19" t="str">
        <f>VLOOKUP(A1030,'ESTADOS ESTUDIANTES'!B:L,5,0)</f>
        <v>X</v>
      </c>
      <c r="F1030" s="18" t="str">
        <f>VLOOKUP(E1030,Listas!B1:C1004,2,0)</f>
        <v>EXCLUIDO</v>
      </c>
      <c r="G1030" s="19" t="str">
        <f>VLOOKUP(A1030,'ESTADOS ESTUDIANTES'!B:L,7,0)</f>
        <v>NO REGISTRA</v>
      </c>
      <c r="H1030" s="19" t="str">
        <f>VLOOKUP(A1030,'ESTADOS ESTUDIANTES'!B:L,8,0)</f>
        <v>yeapaezm@correo.udistrital.edu.co</v>
      </c>
      <c r="I1030" s="70" t="str">
        <f>VLOOKUP(A1030,'ESTADOS ESTUDIANTES'!B:L,9,0)</f>
        <v>yeralex19@gmail.com</v>
      </c>
      <c r="J1030" s="19" t="str">
        <f>VLOOKUP(A1030,'ESTADOS ESTUDIANTES'!B:L,10,0)</f>
        <v>CC</v>
      </c>
      <c r="K1030" s="19">
        <f>VLOOKUP(A1030,'ESTADOS ESTUDIANTES'!B:L,11,0)</f>
        <v>1102715888</v>
      </c>
      <c r="L1030" s="19">
        <v>3144558989</v>
      </c>
      <c r="M1030" s="20"/>
      <c r="N1030" s="22"/>
      <c r="O1030" s="15"/>
      <c r="P1030" s="15"/>
      <c r="Q1030" s="15"/>
      <c r="R1030" s="15"/>
      <c r="S1030" s="15"/>
      <c r="T1030" s="15"/>
      <c r="U1030" s="15"/>
    </row>
    <row r="1031" spans="1:21" ht="90">
      <c r="A1031" s="17">
        <v>20191495021</v>
      </c>
      <c r="B1031" s="19" t="str">
        <f>VLOOKUP(A1031,'ESTADOS ESTUDIANTES'!B:L,2,0)</f>
        <v>PEÑA TELLEZ JHON ALEJANDRO</v>
      </c>
      <c r="C1031" s="19">
        <f>VLOOKUP(A1031,'ESTADOS ESTUDIANTES'!B:L,3,0)</f>
        <v>495</v>
      </c>
      <c r="D1031" s="66" t="str">
        <f>VLOOKUP(A1031,'ESTADOS ESTUDIANTES'!B:L,4,0)</f>
        <v>MAE. EN CIENCIAS DE LA INF. Y LAS COMUNICACIONES ENFASIS EN ING. SOFT</v>
      </c>
      <c r="E1031" s="19" t="str">
        <f>VLOOKUP(A1031,'ESTADOS ESTUDIANTES'!B:L,5,0)</f>
        <v>X</v>
      </c>
      <c r="F1031" s="18" t="str">
        <f>VLOOKUP(E1031,Listas!B1:C1004,2,0)</f>
        <v>EXCLUIDO</v>
      </c>
      <c r="G1031" s="19">
        <f>VLOOKUP(A1031,'ESTADOS ESTUDIANTES'!B:L,7,0)</f>
        <v>2</v>
      </c>
      <c r="H1031" s="19" t="str">
        <f>VLOOKUP(A1031,'ESTADOS ESTUDIANTES'!B:L,8,0)</f>
        <v>japenat@correo.udistrital.edu.co</v>
      </c>
      <c r="I1031" s="70" t="str">
        <f>VLOOKUP(A1031,'ESTADOS ESTUDIANTES'!B:L,9,0)</f>
        <v>jhalep2@gmail.com</v>
      </c>
      <c r="J1031" s="19" t="str">
        <f>VLOOKUP(A1031,'ESTADOS ESTUDIANTES'!B:L,10,0)</f>
        <v>CC</v>
      </c>
      <c r="K1031" s="19">
        <f>VLOOKUP(A1031,'ESTADOS ESTUDIANTES'!B:L,11,0)</f>
        <v>1012394674</v>
      </c>
      <c r="L1031" s="19">
        <v>3118073394</v>
      </c>
      <c r="M1031" s="20"/>
      <c r="N1031" s="22"/>
      <c r="O1031" s="15"/>
      <c r="P1031" s="15"/>
      <c r="Q1031" s="15"/>
      <c r="R1031" s="15"/>
      <c r="S1031" s="15"/>
      <c r="T1031" s="15"/>
      <c r="U1031" s="15"/>
    </row>
    <row r="1032" spans="1:21" ht="90">
      <c r="A1032" s="17">
        <v>20191495022</v>
      </c>
      <c r="B1032" s="19" t="str">
        <f>VLOOKUP(A1032,'ESTADOS ESTUDIANTES'!B:L,2,0)</f>
        <v>PEREZ VELOZA CRISTHIAN CAMILO</v>
      </c>
      <c r="C1032" s="19">
        <f>VLOOKUP(A1032,'ESTADOS ESTUDIANTES'!B:L,3,0)</f>
        <v>495</v>
      </c>
      <c r="D1032" s="66" t="str">
        <f>VLOOKUP(A1032,'ESTADOS ESTUDIANTES'!B:L,4,0)</f>
        <v>MAE. EN CIENCIAS DE LA INF. Y LAS COMUNICACIONES ENFASIS EN ING. SOFT</v>
      </c>
      <c r="E1032" s="19" t="str">
        <f>VLOOKUP(A1032,'ESTADOS ESTUDIANTES'!B:L,5,0)</f>
        <v>N</v>
      </c>
      <c r="F1032" s="18" t="str">
        <f>VLOOKUP(E1032,Listas!B1:C1004,2,0)</f>
        <v>ERROR DE CODIGO</v>
      </c>
      <c r="G1032" s="19" t="str">
        <f>VLOOKUP(A1032,'ESTADOS ESTUDIANTES'!B:L,7,0)</f>
        <v>NO REGISTRA</v>
      </c>
      <c r="H1032" s="19" t="str">
        <f>VLOOKUP(A1032,'ESTADOS ESTUDIANTES'!B:L,8,0)</f>
        <v>cricperezv@correo.udistrital.edu.co</v>
      </c>
      <c r="I1032" s="70" t="str">
        <f>VLOOKUP(A1032,'ESTADOS ESTUDIANTES'!B:L,9,0)</f>
        <v>christiancamiloperez@gmail.com</v>
      </c>
      <c r="J1032" s="19" t="str">
        <f>VLOOKUP(A1032,'ESTADOS ESTUDIANTES'!B:L,10,0)</f>
        <v>CC</v>
      </c>
      <c r="K1032" s="19">
        <f>VLOOKUP(A1032,'ESTADOS ESTUDIANTES'!B:L,11,0)</f>
        <v>1052401211</v>
      </c>
      <c r="L1032" s="23"/>
      <c r="M1032" s="20"/>
      <c r="N1032" s="22"/>
      <c r="O1032" s="15"/>
      <c r="P1032" s="15"/>
      <c r="Q1032" s="15"/>
      <c r="R1032" s="15"/>
      <c r="S1032" s="15"/>
      <c r="T1032" s="15"/>
      <c r="U1032" s="15"/>
    </row>
    <row r="1033" spans="1:21" ht="90">
      <c r="A1033" s="17">
        <v>20191495023</v>
      </c>
      <c r="B1033" s="19" t="str">
        <f>VLOOKUP(A1033,'ESTADOS ESTUDIANTES'!B:L,2,0)</f>
        <v>SAENZ BUSTOS DAISY JOHANNA</v>
      </c>
      <c r="C1033" s="19">
        <f>VLOOKUP(A1033,'ESTADOS ESTUDIANTES'!B:L,3,0)</f>
        <v>495</v>
      </c>
      <c r="D1033" s="66" t="str">
        <f>VLOOKUP(A1033,'ESTADOS ESTUDIANTES'!B:L,4,0)</f>
        <v>MAE. EN CIENCIAS DE LA INF. Y LAS COMUNICACIONES ENFASIS EN ING. SOFT</v>
      </c>
      <c r="E1033" s="19" t="str">
        <f>VLOOKUP(A1033,'ESTADOS ESTUDIANTES'!B:L,5,0)</f>
        <v>E</v>
      </c>
      <c r="F1033" s="18" t="str">
        <f>VLOOKUP(E1033,Listas!B1:C1004,2,0)</f>
        <v>EGRESADO</v>
      </c>
      <c r="G1033" s="19">
        <f>VLOOKUP(A1033,'ESTADOS ESTUDIANTES'!B:L,7,0)</f>
        <v>2</v>
      </c>
      <c r="H1033" s="19" t="str">
        <f>VLOOKUP(A1033,'ESTADOS ESTUDIANTES'!B:L,8,0)</f>
        <v>djsaenzb@udistrital.edu.co</v>
      </c>
      <c r="I1033" s="70" t="str">
        <f>VLOOKUP(A1033,'ESTADOS ESTUDIANTES'!B:L,9,0)</f>
        <v>daisysaenz1223@gmail.com</v>
      </c>
      <c r="J1033" s="19" t="str">
        <f>VLOOKUP(A1033,'ESTADOS ESTUDIANTES'!B:L,10,0)</f>
        <v>CC</v>
      </c>
      <c r="K1033" s="19">
        <f>VLOOKUP(A1033,'ESTADOS ESTUDIANTES'!B:L,11,0)</f>
        <v>1015999367</v>
      </c>
      <c r="L1033" s="19">
        <v>3168329917</v>
      </c>
      <c r="M1033" s="20"/>
      <c r="N1033" s="22"/>
      <c r="O1033" s="15"/>
      <c r="P1033" s="15"/>
      <c r="Q1033" s="15"/>
      <c r="R1033" s="15"/>
      <c r="S1033" s="15"/>
      <c r="T1033" s="15"/>
      <c r="U1033" s="15"/>
    </row>
    <row r="1034" spans="1:21" ht="90">
      <c r="A1034" s="17">
        <v>20191495024</v>
      </c>
      <c r="B1034" s="19" t="str">
        <f>VLOOKUP(A1034,'ESTADOS ESTUDIANTES'!B:L,2,0)</f>
        <v>SAENZ RAMIREZ DIEGO AUGUSTO</v>
      </c>
      <c r="C1034" s="19">
        <f>VLOOKUP(A1034,'ESTADOS ESTUDIANTES'!B:L,3,0)</f>
        <v>495</v>
      </c>
      <c r="D1034" s="66" t="str">
        <f>VLOOKUP(A1034,'ESTADOS ESTUDIANTES'!B:L,4,0)</f>
        <v>MAE. EN CIENCIAS DE LA INF. Y LAS COMUNICACIONES ENFASIS EN ING. SOFT</v>
      </c>
      <c r="E1034" s="19" t="str">
        <f>VLOOKUP(A1034,'ESTADOS ESTUDIANTES'!B:L,5,0)</f>
        <v>X</v>
      </c>
      <c r="F1034" s="18" t="str">
        <f>VLOOKUP(E1034,Listas!B1:C1004,2,0)</f>
        <v>EXCLUIDO</v>
      </c>
      <c r="G1034" s="19">
        <f>VLOOKUP(A1034,'ESTADOS ESTUDIANTES'!B:L,7,0)</f>
        <v>2</v>
      </c>
      <c r="H1034" s="19" t="str">
        <f>VLOOKUP(A1034,'ESTADOS ESTUDIANTES'!B:L,8,0)</f>
        <v>dasaenzr@correo.udistrital.edu.co</v>
      </c>
      <c r="I1034" s="70" t="str">
        <f>VLOOKUP(A1034,'ESTADOS ESTUDIANTES'!B:L,9,0)</f>
        <v>autocopiante@gmail.com</v>
      </c>
      <c r="J1034" s="19" t="str">
        <f>VLOOKUP(A1034,'ESTADOS ESTUDIANTES'!B:L,10,0)</f>
        <v>CC</v>
      </c>
      <c r="K1034" s="19">
        <f>VLOOKUP(A1034,'ESTADOS ESTUDIANTES'!B:L,11,0)</f>
        <v>1018416659</v>
      </c>
      <c r="L1034" s="19">
        <v>3112199077</v>
      </c>
      <c r="M1034" s="20">
        <v>32275</v>
      </c>
      <c r="N1034" s="22"/>
      <c r="O1034" s="15"/>
      <c r="P1034" s="15"/>
      <c r="Q1034" s="15"/>
      <c r="R1034" s="15"/>
      <c r="S1034" s="15"/>
      <c r="T1034" s="15"/>
      <c r="U1034" s="15"/>
    </row>
    <row r="1035" spans="1:21" ht="90">
      <c r="A1035" s="17">
        <v>20191495025</v>
      </c>
      <c r="B1035" s="19" t="str">
        <f>VLOOKUP(A1035,'ESTADOS ESTUDIANTES'!B:L,2,0)</f>
        <v>SÁNCHEZ CRUZ ANDRÉS FELIPE</v>
      </c>
      <c r="C1035" s="19">
        <f>VLOOKUP(A1035,'ESTADOS ESTUDIANTES'!B:L,3,0)</f>
        <v>495</v>
      </c>
      <c r="D1035" s="66" t="str">
        <f>VLOOKUP(A1035,'ESTADOS ESTUDIANTES'!B:L,4,0)</f>
        <v>MAE. EN CIENCIAS DE LA INF. Y LAS COMUNICACIONES ENFASIS EN ING. SOFT</v>
      </c>
      <c r="E1035" s="19" t="str">
        <f>VLOOKUP(A1035,'ESTADOS ESTUDIANTES'!B:L,5,0)</f>
        <v>E</v>
      </c>
      <c r="F1035" s="18" t="str">
        <f>VLOOKUP(E1035,Listas!B1:C1004,2,0)</f>
        <v>EGRESADO</v>
      </c>
      <c r="G1035" s="19">
        <f>VLOOKUP(A1035,'ESTADOS ESTUDIANTES'!B:L,7,0)</f>
        <v>2</v>
      </c>
      <c r="H1035" s="19" t="str">
        <f>VLOOKUP(A1035,'ESTADOS ESTUDIANTES'!B:L,8,0)</f>
        <v>andfesanchezc@udistrital.edu.co</v>
      </c>
      <c r="I1035" s="70" t="str">
        <f>VLOOKUP(A1035,'ESTADOS ESTUDIANTES'!B:L,9,0)</f>
        <v>felipe_813@hotmail.com</v>
      </c>
      <c r="J1035" s="19" t="str">
        <f>VLOOKUP(A1035,'ESTADOS ESTUDIANTES'!B:L,10,0)</f>
        <v>CC</v>
      </c>
      <c r="K1035" s="19">
        <f>VLOOKUP(A1035,'ESTADOS ESTUDIANTES'!B:L,11,0)</f>
        <v>1031150486</v>
      </c>
      <c r="L1035" s="19">
        <v>3057630934</v>
      </c>
      <c r="M1035" s="20">
        <v>34316</v>
      </c>
      <c r="N1035" s="22"/>
      <c r="O1035" s="15"/>
      <c r="P1035" s="15"/>
      <c r="Q1035" s="15"/>
      <c r="R1035" s="15"/>
      <c r="S1035" s="15"/>
      <c r="T1035" s="15"/>
      <c r="U1035" s="15"/>
    </row>
    <row r="1036" spans="1:21" ht="90">
      <c r="A1036" s="17">
        <v>20191495026</v>
      </c>
      <c r="B1036" s="19" t="str">
        <f>VLOOKUP(A1036,'ESTADOS ESTUDIANTES'!B:L,2,0)</f>
        <v>SUÁREZ GIRALDO JOSÉ DOMINGO</v>
      </c>
      <c r="C1036" s="19">
        <f>VLOOKUP(A1036,'ESTADOS ESTUDIANTES'!B:L,3,0)</f>
        <v>495</v>
      </c>
      <c r="D1036" s="66" t="str">
        <f>VLOOKUP(A1036,'ESTADOS ESTUDIANTES'!B:L,4,0)</f>
        <v>MAE. EN CIENCIAS DE LA INF. Y LAS COMUNICACIONES ENFASIS EN ING. SOFT</v>
      </c>
      <c r="E1036" s="19" t="str">
        <f>VLOOKUP(A1036,'ESTADOS ESTUDIANTES'!B:L,5,0)</f>
        <v>X</v>
      </c>
      <c r="F1036" s="18" t="str">
        <f>VLOOKUP(E1036,Listas!B1:C1004,2,0)</f>
        <v>EXCLUIDO</v>
      </c>
      <c r="G1036" s="19">
        <f>VLOOKUP(A1036,'ESTADOS ESTUDIANTES'!B:L,7,0)</f>
        <v>3</v>
      </c>
      <c r="H1036" s="19" t="str">
        <f>VLOOKUP(A1036,'ESTADOS ESTUDIANTES'!B:L,8,0)</f>
        <v>jdsuarezg@correo.udistrital.edu.co</v>
      </c>
      <c r="I1036" s="70" t="str">
        <f>VLOOKUP(A1036,'ESTADOS ESTUDIANTES'!B:L,9,0)</f>
        <v>josed_5@hotmail.com</v>
      </c>
      <c r="J1036" s="19" t="str">
        <f>VLOOKUP(A1036,'ESTADOS ESTUDIANTES'!B:L,10,0)</f>
        <v>CC</v>
      </c>
      <c r="K1036" s="19">
        <f>VLOOKUP(A1036,'ESTADOS ESTUDIANTES'!B:L,11,0)</f>
        <v>1018455214</v>
      </c>
      <c r="L1036" s="19">
        <v>3164174470</v>
      </c>
      <c r="M1036" s="20"/>
      <c r="N1036" s="22"/>
      <c r="O1036" s="15"/>
      <c r="P1036" s="15"/>
      <c r="Q1036" s="15"/>
      <c r="R1036" s="15"/>
      <c r="S1036" s="15"/>
      <c r="T1036" s="15"/>
      <c r="U1036" s="15"/>
    </row>
    <row r="1037" spans="1:21" ht="90">
      <c r="A1037" s="17">
        <v>20191495027</v>
      </c>
      <c r="B1037" s="19" t="str">
        <f>VLOOKUP(A1037,'ESTADOS ESTUDIANTES'!B:L,2,0)</f>
        <v>TAMAYO HERNÁNDEZ DONNA JOHANNA</v>
      </c>
      <c r="C1037" s="19">
        <f>VLOOKUP(A1037,'ESTADOS ESTUDIANTES'!B:L,3,0)</f>
        <v>495</v>
      </c>
      <c r="D1037" s="66" t="str">
        <f>VLOOKUP(A1037,'ESTADOS ESTUDIANTES'!B:L,4,0)</f>
        <v>MAE. EN CIENCIAS DE LA INF. Y LAS COMUNICACIONES ENFASIS EN ING. SOFT</v>
      </c>
      <c r="E1037" s="19" t="str">
        <f>VLOOKUP(A1037,'ESTADOS ESTUDIANTES'!B:L,5,0)</f>
        <v>E</v>
      </c>
      <c r="F1037" s="18" t="str">
        <f>VLOOKUP(E1037,Listas!B1:C1004,2,0)</f>
        <v>EGRESADO</v>
      </c>
      <c r="G1037" s="19">
        <f>VLOOKUP(A1037,'ESTADOS ESTUDIANTES'!B:L,7,0)</f>
        <v>3</v>
      </c>
      <c r="H1037" s="19" t="str">
        <f>VLOOKUP(A1037,'ESTADOS ESTUDIANTES'!B:L,8,0)</f>
        <v>djtamayoh@udistrital.edu.co</v>
      </c>
      <c r="I1037" s="70" t="str">
        <f>VLOOKUP(A1037,'ESTADOS ESTUDIANTES'!B:L,9,0)</f>
        <v>dojotama@gmail.com</v>
      </c>
      <c r="J1037" s="19" t="str">
        <f>VLOOKUP(A1037,'ESTADOS ESTUDIANTES'!B:L,10,0)</f>
        <v>CC</v>
      </c>
      <c r="K1037" s="19">
        <f>VLOOKUP(A1037,'ESTADOS ESTUDIANTES'!B:L,11,0)</f>
        <v>24042335</v>
      </c>
      <c r="L1037" s="19">
        <v>3116120668</v>
      </c>
      <c r="M1037" s="20">
        <v>30048</v>
      </c>
      <c r="N1037" s="22"/>
      <c r="O1037" s="15"/>
      <c r="P1037" s="15"/>
      <c r="Q1037" s="15"/>
      <c r="R1037" s="15"/>
      <c r="S1037" s="15"/>
      <c r="T1037" s="15"/>
      <c r="U1037" s="15"/>
    </row>
    <row r="1038" spans="1:21" ht="90">
      <c r="A1038" s="17">
        <v>20191495028</v>
      </c>
      <c r="B1038" s="19" t="str">
        <f>VLOOKUP(A1038,'ESTADOS ESTUDIANTES'!B:L,2,0)</f>
        <v>TELLEZ SANTAMARIA ROBINSON</v>
      </c>
      <c r="C1038" s="19">
        <f>VLOOKUP(A1038,'ESTADOS ESTUDIANTES'!B:L,3,0)</f>
        <v>495</v>
      </c>
      <c r="D1038" s="66" t="str">
        <f>VLOOKUP(A1038,'ESTADOS ESTUDIANTES'!B:L,4,0)</f>
        <v>MAE. EN CIENCIAS DE LA INF. Y LAS COMUNICACIONES ENFASIS EN ING. SOFT</v>
      </c>
      <c r="E1038" s="19" t="str">
        <f>VLOOKUP(A1038,'ESTADOS ESTUDIANTES'!B:L,5,0)</f>
        <v>X</v>
      </c>
      <c r="F1038" s="18" t="str">
        <f>VLOOKUP(E1038,Listas!B1:C1004,2,0)</f>
        <v>EXCLUIDO</v>
      </c>
      <c r="G1038" s="19">
        <f>VLOOKUP(A1038,'ESTADOS ESTUDIANTES'!B:L,7,0)</f>
        <v>3</v>
      </c>
      <c r="H1038" s="19" t="str">
        <f>VLOOKUP(A1038,'ESTADOS ESTUDIANTES'!B:L,8,0)</f>
        <v>rtellezs@udistrital.edu.co</v>
      </c>
      <c r="I1038" s="70" t="str">
        <f>VLOOKUP(A1038,'ESTADOS ESTUDIANTES'!B:L,9,0)</f>
        <v>rtellez@egt.com.co</v>
      </c>
      <c r="J1038" s="19" t="str">
        <f>VLOOKUP(A1038,'ESTADOS ESTUDIANTES'!B:L,10,0)</f>
        <v>CC</v>
      </c>
      <c r="K1038" s="19">
        <f>VLOOKUP(A1038,'ESTADOS ESTUDIANTES'!B:L,11,0)</f>
        <v>79212125</v>
      </c>
      <c r="L1038" s="19">
        <v>3014371037</v>
      </c>
      <c r="M1038" s="20"/>
      <c r="N1038" s="22"/>
      <c r="O1038" s="15"/>
      <c r="P1038" s="15"/>
      <c r="Q1038" s="15"/>
      <c r="R1038" s="15"/>
      <c r="S1038" s="15"/>
      <c r="T1038" s="15"/>
      <c r="U1038" s="15"/>
    </row>
    <row r="1039" spans="1:21" ht="90">
      <c r="A1039" s="17">
        <v>20191495029</v>
      </c>
      <c r="B1039" s="19" t="str">
        <f>VLOOKUP(A1039,'ESTADOS ESTUDIANTES'!B:L,2,0)</f>
        <v>VARGAS ANZOLA MANUEL ANTONIO</v>
      </c>
      <c r="C1039" s="19">
        <f>VLOOKUP(A1039,'ESTADOS ESTUDIANTES'!B:L,3,0)</f>
        <v>495</v>
      </c>
      <c r="D1039" s="66" t="str">
        <f>VLOOKUP(A1039,'ESTADOS ESTUDIANTES'!B:L,4,0)</f>
        <v>MAE. EN CIENCIAS DE LA INF. Y LAS COMUNICACIONES ENFASIS EN ING. SOFT</v>
      </c>
      <c r="E1039" s="19" t="str">
        <f>VLOOKUP(A1039,'ESTADOS ESTUDIANTES'!B:L,5,0)</f>
        <v>E</v>
      </c>
      <c r="F1039" s="18" t="str">
        <f>VLOOKUP(E1039,Listas!B1:C1004,2,0)</f>
        <v>EGRESADO</v>
      </c>
      <c r="G1039" s="19">
        <f>VLOOKUP(A1039,'ESTADOS ESTUDIANTES'!B:L,7,0)</f>
        <v>3</v>
      </c>
      <c r="H1039" s="19" t="str">
        <f>VLOOKUP(A1039,'ESTADOS ESTUDIANTES'!B:L,8,0)</f>
        <v>mavargasa@correo.udistrital.edu.co</v>
      </c>
      <c r="I1039" s="70" t="str">
        <f>VLOOKUP(A1039,'ESTADOS ESTUDIANTES'!B:L,9,0)</f>
        <v>wanuel@gmail.com</v>
      </c>
      <c r="J1039" s="19" t="str">
        <f>VLOOKUP(A1039,'ESTADOS ESTUDIANTES'!B:L,10,0)</f>
        <v>CC</v>
      </c>
      <c r="K1039" s="19">
        <f>VLOOKUP(A1039,'ESTADOS ESTUDIANTES'!B:L,11,0)</f>
        <v>79810570</v>
      </c>
      <c r="L1039" s="19">
        <v>3118112951</v>
      </c>
      <c r="M1039" s="20">
        <v>28452</v>
      </c>
      <c r="N1039" s="22"/>
      <c r="O1039" s="15"/>
      <c r="P1039" s="15"/>
      <c r="Q1039" s="15"/>
      <c r="R1039" s="15"/>
      <c r="S1039" s="15"/>
      <c r="T1039" s="15"/>
      <c r="U1039" s="15"/>
    </row>
    <row r="1040" spans="1:21" ht="90">
      <c r="A1040" s="17">
        <v>20191495030</v>
      </c>
      <c r="B1040" s="19" t="str">
        <f>VLOOKUP(A1040,'ESTADOS ESTUDIANTES'!B:L,2,0)</f>
        <v>QUIROGA RUIZ JAVIER ALBERTO</v>
      </c>
      <c r="C1040" s="19">
        <f>VLOOKUP(A1040,'ESTADOS ESTUDIANTES'!B:L,3,0)</f>
        <v>495</v>
      </c>
      <c r="D1040" s="66" t="str">
        <f>VLOOKUP(A1040,'ESTADOS ESTUDIANTES'!B:L,4,0)</f>
        <v>MAE. EN CIENCIAS DE LA INF. Y LAS COMUNICACIONES ENFASIS EN ING. SOFT</v>
      </c>
      <c r="E1040" s="19" t="str">
        <f>VLOOKUP(A1040,'ESTADOS ESTUDIANTES'!B:L,5,0)</f>
        <v>E</v>
      </c>
      <c r="F1040" s="18" t="str">
        <f>VLOOKUP(E1040,Listas!B1:C1004,2,0)</f>
        <v>EGRESADO</v>
      </c>
      <c r="G1040" s="19">
        <f>VLOOKUP(A1040,'ESTADOS ESTUDIANTES'!B:L,7,0)</f>
        <v>4</v>
      </c>
      <c r="H1040" s="19" t="str">
        <f>VLOOKUP(A1040,'ESTADOS ESTUDIANTES'!B:L,8,0)</f>
        <v>jaaquirogar@udistrital.edu.co</v>
      </c>
      <c r="I1040" s="70" t="str">
        <f>VLOOKUP(A1040,'ESTADOS ESTUDIANTES'!B:L,9,0)</f>
        <v>ja_quiroga@hotmail.com</v>
      </c>
      <c r="J1040" s="19" t="str">
        <f>VLOOKUP(A1040,'ESTADOS ESTUDIANTES'!B:L,10,0)</f>
        <v>CC</v>
      </c>
      <c r="K1040" s="19">
        <f>VLOOKUP(A1040,'ESTADOS ESTUDIANTES'!B:L,11,0)</f>
        <v>79410997</v>
      </c>
      <c r="L1040" s="19">
        <v>3208575262</v>
      </c>
      <c r="M1040" s="20"/>
      <c r="N1040" s="22"/>
      <c r="O1040" s="15"/>
      <c r="P1040" s="15"/>
      <c r="Q1040" s="15"/>
      <c r="R1040" s="15"/>
      <c r="S1040" s="15"/>
      <c r="T1040" s="15"/>
      <c r="U1040" s="15"/>
    </row>
    <row r="1041" spans="1:21" ht="90">
      <c r="A1041" s="17">
        <v>20191495031</v>
      </c>
      <c r="B1041" s="19" t="str">
        <f>VLOOKUP(A1041,'ESTADOS ESTUDIANTES'!B:L,2,0)</f>
        <v>ESPITIA PARDO DANIEL ENRIQUE</v>
      </c>
      <c r="C1041" s="19">
        <f>VLOOKUP(A1041,'ESTADOS ESTUDIANTES'!B:L,3,0)</f>
        <v>495</v>
      </c>
      <c r="D1041" s="66" t="str">
        <f>VLOOKUP(A1041,'ESTADOS ESTUDIANTES'!B:L,4,0)</f>
        <v>MAE. EN CIENCIAS DE LA INF. Y LAS COMUNICACIONES ENFASIS EN ING. SOFT</v>
      </c>
      <c r="E1041" s="19" t="str">
        <f>VLOOKUP(A1041,'ESTADOS ESTUDIANTES'!B:L,5,0)</f>
        <v>V</v>
      </c>
      <c r="F1041" s="18" t="str">
        <f>VLOOKUP(E1041,Listas!B1:C1004,2,0)</f>
        <v>VACACIONES</v>
      </c>
      <c r="G1041" s="19" t="str">
        <f>VLOOKUP(A1041,'ESTADOS ESTUDIANTES'!B:L,7,0)</f>
        <v>NO REGISTRA</v>
      </c>
      <c r="H1041" s="19" t="str">
        <f>VLOOKUP(A1041,'ESTADOS ESTUDIANTES'!B:L,8,0)</f>
        <v>deespitiap@udistrital.edu.co</v>
      </c>
      <c r="I1041" s="70" t="str">
        <f>VLOOKUP(A1041,'ESTADOS ESTUDIANTES'!B:L,9,0)</f>
        <v>danielespitia63@gmail.com</v>
      </c>
      <c r="J1041" s="19" t="str">
        <f>VLOOKUP(A1041,'ESTADOS ESTUDIANTES'!B:L,10,0)</f>
        <v>CC</v>
      </c>
      <c r="K1041" s="19">
        <f>VLOOKUP(A1041,'ESTADOS ESTUDIANTES'!B:L,11,0)</f>
        <v>1024478452</v>
      </c>
      <c r="L1041" s="19">
        <v>3164979161</v>
      </c>
      <c r="M1041" s="20">
        <v>32129</v>
      </c>
      <c r="N1041" s="22"/>
      <c r="O1041" s="15"/>
      <c r="P1041" s="15"/>
      <c r="Q1041" s="15"/>
      <c r="R1041" s="15"/>
      <c r="S1041" s="15"/>
      <c r="T1041" s="15"/>
      <c r="U1041" s="15"/>
    </row>
    <row r="1042" spans="1:21" ht="90">
      <c r="A1042" s="17">
        <v>20192195001</v>
      </c>
      <c r="B1042" s="19" t="str">
        <f>VLOOKUP(A1042,'ESTADOS ESTUDIANTES'!B:L,2,0)</f>
        <v>ARENILLA CEPEDA ANDRES FELIPE</v>
      </c>
      <c r="C1042" s="19">
        <f>VLOOKUP(A1042,'ESTADOS ESTUDIANTES'!B:L,3,0)</f>
        <v>195</v>
      </c>
      <c r="D1042" s="66" t="str">
        <f>VLOOKUP(A1042,'ESTADOS ESTUDIANTES'!B:L,4,0)</f>
        <v>MAE. EN CIENCIAS DE LA INF. Y LAS COMUNICACIONES ENFASIS EN TELEINF.</v>
      </c>
      <c r="E1042" s="19" t="str">
        <f>VLOOKUP(A1042,'ESTADOS ESTUDIANTES'!B:L,5,0)</f>
        <v>X</v>
      </c>
      <c r="F1042" s="18" t="str">
        <f>VLOOKUP(E1042,Listas!B1:C1004,2,0)</f>
        <v>EXCLUIDO</v>
      </c>
      <c r="G1042" s="19">
        <f>VLOOKUP(A1042,'ESTADOS ESTUDIANTES'!B:L,7,0)</f>
        <v>3</v>
      </c>
      <c r="H1042" s="19" t="str">
        <f>VLOOKUP(A1042,'ESTADOS ESTUDIANTES'!B:L,8,0)</f>
        <v>afarenillac@udistrital.edu.co</v>
      </c>
      <c r="I1042" s="70" t="str">
        <f>VLOOKUP(A1042,'ESTADOS ESTUDIANTES'!B:L,9,0)</f>
        <v>andresare7@gmail.com</v>
      </c>
      <c r="J1042" s="19" t="str">
        <f>VLOOKUP(A1042,'ESTADOS ESTUDIANTES'!B:L,10,0)</f>
        <v>CC</v>
      </c>
      <c r="K1042" s="19">
        <f>VLOOKUP(A1042,'ESTADOS ESTUDIANTES'!B:L,11,0)</f>
        <v>1018469864</v>
      </c>
      <c r="L1042" s="19">
        <v>3008025736</v>
      </c>
      <c r="M1042" s="20"/>
      <c r="N1042" s="22"/>
      <c r="O1042" s="15"/>
      <c r="P1042" s="15"/>
      <c r="Q1042" s="15"/>
      <c r="R1042" s="15"/>
      <c r="S1042" s="15"/>
      <c r="T1042" s="15"/>
      <c r="U1042" s="15"/>
    </row>
    <row r="1043" spans="1:21" ht="90">
      <c r="A1043" s="17">
        <v>20192195002</v>
      </c>
      <c r="B1043" s="19" t="str">
        <f>VLOOKUP(A1043,'ESTADOS ESTUDIANTES'!B:L,2,0)</f>
        <v>GÓMEZ PINZÓN DIEGO ALEXANDER</v>
      </c>
      <c r="C1043" s="19">
        <f>VLOOKUP(A1043,'ESTADOS ESTUDIANTES'!B:L,3,0)</f>
        <v>195</v>
      </c>
      <c r="D1043" s="66" t="str">
        <f>VLOOKUP(A1043,'ESTADOS ESTUDIANTES'!B:L,4,0)</f>
        <v>MAE. EN CIENCIAS DE LA INF. Y LAS COMUNICACIONES ENFASIS EN TELEINF.</v>
      </c>
      <c r="E1043" s="19" t="str">
        <f>VLOOKUP(A1043,'ESTADOS ESTUDIANTES'!B:L,5,0)</f>
        <v>X</v>
      </c>
      <c r="F1043" s="18" t="str">
        <f>VLOOKUP(E1043,Listas!B1:C1004,2,0)</f>
        <v>EXCLUIDO</v>
      </c>
      <c r="G1043" s="19">
        <f>VLOOKUP(A1043,'ESTADOS ESTUDIANTES'!B:L,7,0)</f>
        <v>2</v>
      </c>
      <c r="H1043" s="19" t="str">
        <f>VLOOKUP(A1043,'ESTADOS ESTUDIANTES'!B:L,8,0)</f>
        <v>gpdiegoa@correo.udistrital.edu.co</v>
      </c>
      <c r="I1043" s="70" t="str">
        <f>VLOOKUP(A1043,'ESTADOS ESTUDIANTES'!B:L,9,0)</f>
        <v>diegogopin@yandex.com</v>
      </c>
      <c r="J1043" s="19" t="str">
        <f>VLOOKUP(A1043,'ESTADOS ESTUDIANTES'!B:L,10,0)</f>
        <v>CC</v>
      </c>
      <c r="K1043" s="19">
        <f>VLOOKUP(A1043,'ESTADOS ESTUDIANTES'!B:L,11,0)</f>
        <v>1031153109</v>
      </c>
      <c r="L1043" s="19">
        <v>3054674024</v>
      </c>
      <c r="M1043" s="20">
        <v>34451</v>
      </c>
      <c r="N1043" s="22"/>
      <c r="O1043" s="15"/>
      <c r="P1043" s="15"/>
      <c r="Q1043" s="15"/>
      <c r="R1043" s="15"/>
      <c r="S1043" s="15"/>
      <c r="T1043" s="15"/>
      <c r="U1043" s="15"/>
    </row>
    <row r="1044" spans="1:21" ht="90">
      <c r="A1044" s="17">
        <v>20192195003</v>
      </c>
      <c r="B1044" s="19" t="str">
        <f>VLOOKUP(A1044,'ESTADOS ESTUDIANTES'!B:L,2,0)</f>
        <v>ESPINEL GÓMEZ DIEGO FERNANDO</v>
      </c>
      <c r="C1044" s="19">
        <f>VLOOKUP(A1044,'ESTADOS ESTUDIANTES'!B:L,3,0)</f>
        <v>195</v>
      </c>
      <c r="D1044" s="66" t="str">
        <f>VLOOKUP(A1044,'ESTADOS ESTUDIANTES'!B:L,4,0)</f>
        <v>MAE. EN CIENCIAS DE LA INF. Y LAS COMUNICACIONES ENFASIS EN TELEINF.</v>
      </c>
      <c r="E1044" s="19" t="str">
        <f>VLOOKUP(A1044,'ESTADOS ESTUDIANTES'!B:L,5,0)</f>
        <v>E</v>
      </c>
      <c r="F1044" s="18" t="str">
        <f>VLOOKUP(E1044,Listas!B1:C1004,2,0)</f>
        <v>EGRESADO</v>
      </c>
      <c r="G1044" s="19">
        <f>VLOOKUP(A1044,'ESTADOS ESTUDIANTES'!B:L,7,0)</f>
        <v>2</v>
      </c>
      <c r="H1044" s="19" t="str">
        <f>VLOOKUP(A1044,'ESTADOS ESTUDIANTES'!B:L,8,0)</f>
        <v>dfespinelg@udistrital.edu.co</v>
      </c>
      <c r="I1044" s="70" t="str">
        <f>VLOOKUP(A1044,'ESTADOS ESTUDIANTES'!B:L,9,0)</f>
        <v>espineldago@gmail.com</v>
      </c>
      <c r="J1044" s="19" t="str">
        <f>VLOOKUP(A1044,'ESTADOS ESTUDIANTES'!B:L,10,0)</f>
        <v>CC</v>
      </c>
      <c r="K1044" s="19">
        <f>VLOOKUP(A1044,'ESTADOS ESTUDIANTES'!B:L,11,0)</f>
        <v>1018470424</v>
      </c>
      <c r="L1044" s="19">
        <v>3144929188</v>
      </c>
      <c r="M1044" s="20"/>
      <c r="N1044" s="22"/>
      <c r="O1044" s="15"/>
      <c r="P1044" s="15"/>
      <c r="Q1044" s="15"/>
      <c r="R1044" s="15"/>
      <c r="S1044" s="15"/>
      <c r="T1044" s="15"/>
      <c r="U1044" s="15"/>
    </row>
    <row r="1045" spans="1:21" ht="90">
      <c r="A1045" s="17">
        <v>20192195004</v>
      </c>
      <c r="B1045" s="19" t="str">
        <f>VLOOKUP(A1045,'ESTADOS ESTUDIANTES'!B:L,2,0)</f>
        <v>PEREZ CRISTANCHO JERSON FERNANDO</v>
      </c>
      <c r="C1045" s="19">
        <f>VLOOKUP(A1045,'ESTADOS ESTUDIANTES'!B:L,3,0)</f>
        <v>195</v>
      </c>
      <c r="D1045" s="66" t="str">
        <f>VLOOKUP(A1045,'ESTADOS ESTUDIANTES'!B:L,4,0)</f>
        <v>MAE. EN CIENCIAS DE LA INF. Y LAS COMUNICACIONES ENFASIS EN TELEINF.</v>
      </c>
      <c r="E1045" s="19" t="str">
        <f>VLOOKUP(A1045,'ESTADOS ESTUDIANTES'!B:L,5,0)</f>
        <v>X</v>
      </c>
      <c r="F1045" s="18" t="str">
        <f>VLOOKUP(E1045,Listas!B1:C1004,2,0)</f>
        <v>EXCLUIDO</v>
      </c>
      <c r="G1045" s="19">
        <f>VLOOKUP(A1045,'ESTADOS ESTUDIANTES'!B:L,7,0)</f>
        <v>3</v>
      </c>
      <c r="H1045" s="19" t="str">
        <f>VLOOKUP(A1045,'ESTADOS ESTUDIANTES'!B:L,8,0)</f>
        <v>jfperezc@udistrital.edu.co</v>
      </c>
      <c r="I1045" s="70" t="str">
        <f>VLOOKUP(A1045,'ESTADOS ESTUDIANTES'!B:L,9,0)</f>
        <v>injerson@gmail.com</v>
      </c>
      <c r="J1045" s="19" t="str">
        <f>VLOOKUP(A1045,'ESTADOS ESTUDIANTES'!B:L,10,0)</f>
        <v>CC</v>
      </c>
      <c r="K1045" s="19">
        <f>VLOOKUP(A1045,'ESTADOS ESTUDIANTES'!B:L,11,0)</f>
        <v>74327152</v>
      </c>
      <c r="L1045" s="19">
        <v>3204754652</v>
      </c>
      <c r="M1045" s="20">
        <v>28951</v>
      </c>
      <c r="N1045" s="22"/>
      <c r="O1045" s="15"/>
      <c r="P1045" s="15"/>
      <c r="Q1045" s="15"/>
      <c r="R1045" s="15"/>
      <c r="S1045" s="15"/>
      <c r="T1045" s="15"/>
      <c r="U1045" s="15"/>
    </row>
    <row r="1046" spans="1:21" ht="105">
      <c r="A1046" s="17">
        <v>20192395001</v>
      </c>
      <c r="B1046" s="19" t="str">
        <f>VLOOKUP(A1046,'ESTADOS ESTUDIANTES'!B:L,2,0)</f>
        <v>MORALES ESCOBAR ANA ALEXANDRA</v>
      </c>
      <c r="C1046" s="19">
        <f>VLOOKUP(A1046,'ESTADOS ESTUDIANTES'!B:L,3,0)</f>
        <v>395</v>
      </c>
      <c r="D1046" s="66" t="str">
        <f>VLOOKUP(A1046,'ESTADOS ESTUDIANTES'!B:L,4,0)</f>
        <v>MAE. EN CIENCIAS DE LA INF. Y LAS COMUNICACIONES ENFASIS EN GEOMATICA</v>
      </c>
      <c r="E1046" s="19" t="str">
        <f>VLOOKUP(A1046,'ESTADOS ESTUDIANTES'!B:L,5,0)</f>
        <v>E</v>
      </c>
      <c r="F1046" s="18" t="str">
        <f>VLOOKUP(E1046,Listas!B1:C1004,2,0)</f>
        <v>EGRESADO</v>
      </c>
      <c r="G1046" s="19">
        <f>VLOOKUP(A1046,'ESTADOS ESTUDIANTES'!B:L,7,0)</f>
        <v>4</v>
      </c>
      <c r="H1046" s="19" t="str">
        <f>VLOOKUP(A1046,'ESTADOS ESTUDIANTES'!B:L,8,0)</f>
        <v>meanaa@udistrital.edu.co</v>
      </c>
      <c r="I1046" s="70" t="str">
        <f>VLOOKUP(A1046,'ESTADOS ESTUDIANTES'!B:L,9,0)</f>
        <v>analexandra.morales@gmail.com</v>
      </c>
      <c r="J1046" s="19" t="str">
        <f>VLOOKUP(A1046,'ESTADOS ESTUDIANTES'!B:L,10,0)</f>
        <v>CC</v>
      </c>
      <c r="K1046" s="19">
        <f>VLOOKUP(A1046,'ESTADOS ESTUDIANTES'!B:L,11,0)</f>
        <v>52897032</v>
      </c>
      <c r="L1046" s="23"/>
      <c r="M1046" s="20"/>
      <c r="N1046" s="22"/>
      <c r="O1046" s="15"/>
      <c r="P1046" s="15"/>
      <c r="Q1046" s="15"/>
      <c r="R1046" s="15"/>
      <c r="S1046" s="15"/>
      <c r="T1046" s="15"/>
      <c r="U1046" s="15"/>
    </row>
    <row r="1047" spans="1:21" ht="105">
      <c r="A1047" s="17">
        <v>20192395002</v>
      </c>
      <c r="B1047" s="19" t="str">
        <f>VLOOKUP(A1047,'ESTADOS ESTUDIANTES'!B:L,2,0)</f>
        <v>GARCÍA GUZMÁN PEDRO PABLO</v>
      </c>
      <c r="C1047" s="19">
        <f>VLOOKUP(A1047,'ESTADOS ESTUDIANTES'!B:L,3,0)</f>
        <v>395</v>
      </c>
      <c r="D1047" s="66" t="str">
        <f>VLOOKUP(A1047,'ESTADOS ESTUDIANTES'!B:L,4,0)</f>
        <v>MAE. EN CIENCIAS DE LA INF. Y LAS COMUNICACIONES ENFASIS EN GEOMATICA</v>
      </c>
      <c r="E1047" s="19" t="str">
        <f>VLOOKUP(A1047,'ESTADOS ESTUDIANTES'!B:L,5,0)</f>
        <v>E</v>
      </c>
      <c r="F1047" s="18" t="str">
        <f>VLOOKUP(E1047,Listas!B1:C1004,2,0)</f>
        <v>EGRESADO</v>
      </c>
      <c r="G1047" s="19">
        <f>VLOOKUP(A1047,'ESTADOS ESTUDIANTES'!B:L,7,0)</f>
        <v>4</v>
      </c>
      <c r="H1047" s="19" t="str">
        <f>VLOOKUP(A1047,'ESTADOS ESTUDIANTES'!B:L,8,0)</f>
        <v>ggpedrop@udistrital.edu.co</v>
      </c>
      <c r="I1047" s="70" t="str">
        <f>VLOOKUP(A1047,'ESTADOS ESTUDIANTES'!B:L,9,0)</f>
        <v>pedropgarciag@gmail.com</v>
      </c>
      <c r="J1047" s="19" t="str">
        <f>VLOOKUP(A1047,'ESTADOS ESTUDIANTES'!B:L,10,0)</f>
        <v>CC</v>
      </c>
      <c r="K1047" s="19">
        <f>VLOOKUP(A1047,'ESTADOS ESTUDIANTES'!B:L,11,0)</f>
        <v>79365082</v>
      </c>
      <c r="L1047" s="19">
        <v>3134556444</v>
      </c>
      <c r="M1047" s="20">
        <v>24026</v>
      </c>
      <c r="N1047" s="22"/>
      <c r="O1047" s="15"/>
      <c r="P1047" s="15"/>
      <c r="Q1047" s="15"/>
      <c r="R1047" s="15"/>
      <c r="S1047" s="15"/>
      <c r="T1047" s="15"/>
      <c r="U1047" s="15"/>
    </row>
    <row r="1048" spans="1:21" ht="105">
      <c r="A1048" s="17">
        <v>20192395003</v>
      </c>
      <c r="B1048" s="19" t="str">
        <f>VLOOKUP(A1048,'ESTADOS ESTUDIANTES'!B:L,2,0)</f>
        <v>SÁNCHEZ DÍAZ JUAN DAVID</v>
      </c>
      <c r="C1048" s="19">
        <f>VLOOKUP(A1048,'ESTADOS ESTUDIANTES'!B:L,3,0)</f>
        <v>395</v>
      </c>
      <c r="D1048" s="66" t="str">
        <f>VLOOKUP(A1048,'ESTADOS ESTUDIANTES'!B:L,4,0)</f>
        <v>MAE. EN CIENCIAS DE LA INF. Y LAS COMUNICACIONES ENFASIS EN GEOMATICA</v>
      </c>
      <c r="E1048" s="19" t="str">
        <f>VLOOKUP(A1048,'ESTADOS ESTUDIANTES'!B:L,5,0)</f>
        <v>X</v>
      </c>
      <c r="F1048" s="18" t="str">
        <f>VLOOKUP(E1048,Listas!B1:C1004,2,0)</f>
        <v>EXCLUIDO</v>
      </c>
      <c r="G1048" s="19">
        <f>VLOOKUP(A1048,'ESTADOS ESTUDIANTES'!B:L,7,0)</f>
        <v>2</v>
      </c>
      <c r="H1048" s="19" t="str">
        <f>VLOOKUP(A1048,'ESTADOS ESTUDIANTES'!B:L,8,0)</f>
        <v>sdjuand@correo.udistrital.edu.co</v>
      </c>
      <c r="I1048" s="70" t="str">
        <f>VLOOKUP(A1048,'ESTADOS ESTUDIANTES'!B:L,9,0)</f>
        <v>juandads@hotmail.com</v>
      </c>
      <c r="J1048" s="19" t="str">
        <f>VLOOKUP(A1048,'ESTADOS ESTUDIANTES'!B:L,10,0)</f>
        <v>CC</v>
      </c>
      <c r="K1048" s="19">
        <f>VLOOKUP(A1048,'ESTADOS ESTUDIANTES'!B:L,11,0)</f>
        <v>1022360349</v>
      </c>
      <c r="L1048" s="19">
        <v>3196102645</v>
      </c>
      <c r="M1048" s="20"/>
      <c r="N1048" s="22"/>
      <c r="O1048" s="15"/>
      <c r="P1048" s="15"/>
      <c r="Q1048" s="15"/>
      <c r="R1048" s="15"/>
      <c r="S1048" s="15"/>
      <c r="T1048" s="15"/>
      <c r="U1048" s="15"/>
    </row>
    <row r="1049" spans="1:21" ht="105">
      <c r="A1049" s="17">
        <v>20192395004</v>
      </c>
      <c r="B1049" s="19" t="str">
        <f>VLOOKUP(A1049,'ESTADOS ESTUDIANTES'!B:L,2,0)</f>
        <v>ALONSO NIETO WILLIAM</v>
      </c>
      <c r="C1049" s="19">
        <f>VLOOKUP(A1049,'ESTADOS ESTUDIANTES'!B:L,3,0)</f>
        <v>395</v>
      </c>
      <c r="D1049" s="66" t="str">
        <f>VLOOKUP(A1049,'ESTADOS ESTUDIANTES'!B:L,4,0)</f>
        <v>MAE. EN CIENCIAS DE LA INF. Y LAS COMUNICACIONES ENFASIS EN GEOMATICA</v>
      </c>
      <c r="E1049" s="19" t="str">
        <f>VLOOKUP(A1049,'ESTADOS ESTUDIANTES'!B:L,5,0)</f>
        <v>X</v>
      </c>
      <c r="F1049" s="18" t="str">
        <f>VLOOKUP(E1049,Listas!B1:C1004,2,0)</f>
        <v>EXCLUIDO</v>
      </c>
      <c r="G1049" s="19">
        <f>VLOOKUP(A1049,'ESTADOS ESTUDIANTES'!B:L,7,0)</f>
        <v>3</v>
      </c>
      <c r="H1049" s="19" t="str">
        <f>VLOOKUP(A1049,'ESTADOS ESTUDIANTES'!B:L,8,0)</f>
        <v>anietow@correo.udistrital.edu.co</v>
      </c>
      <c r="I1049" s="70" t="str">
        <f>VLOOKUP(A1049,'ESTADOS ESTUDIANTES'!B:L,9,0)</f>
        <v>wi.alonso@gmail.com</v>
      </c>
      <c r="J1049" s="19" t="str">
        <f>VLOOKUP(A1049,'ESTADOS ESTUDIANTES'!B:L,10,0)</f>
        <v>CC</v>
      </c>
      <c r="K1049" s="19">
        <f>VLOOKUP(A1049,'ESTADOS ESTUDIANTES'!B:L,11,0)</f>
        <v>79429610</v>
      </c>
      <c r="L1049" s="19">
        <v>3002652213</v>
      </c>
      <c r="M1049" s="20"/>
      <c r="N1049" s="22"/>
      <c r="O1049" s="15"/>
      <c r="P1049" s="15"/>
      <c r="Q1049" s="15"/>
      <c r="R1049" s="15"/>
      <c r="S1049" s="15"/>
      <c r="T1049" s="15"/>
      <c r="U1049" s="15"/>
    </row>
    <row r="1050" spans="1:21" ht="105">
      <c r="A1050" s="17">
        <v>20192395005</v>
      </c>
      <c r="B1050" s="19" t="str">
        <f>VLOOKUP(A1050,'ESTADOS ESTUDIANTES'!B:L,2,0)</f>
        <v>CAITA SOTAQUIRÁ NATALIA</v>
      </c>
      <c r="C1050" s="19">
        <f>VLOOKUP(A1050,'ESTADOS ESTUDIANTES'!B:L,3,0)</f>
        <v>395</v>
      </c>
      <c r="D1050" s="66" t="str">
        <f>VLOOKUP(A1050,'ESTADOS ESTUDIANTES'!B:L,4,0)</f>
        <v>MAE. EN CIENCIAS DE LA INF. Y LAS COMUNICACIONES ENFASIS EN GEOMATICA</v>
      </c>
      <c r="E1050" s="19" t="str">
        <f>VLOOKUP(A1050,'ESTADOS ESTUDIANTES'!B:L,5,0)</f>
        <v>X</v>
      </c>
      <c r="F1050" s="18" t="str">
        <f>VLOOKUP(E1050,Listas!B1:C1004,2,0)</f>
        <v>EXCLUIDO</v>
      </c>
      <c r="G1050" s="19">
        <f>VLOOKUP(A1050,'ESTADOS ESTUDIANTES'!B:L,7,0)</f>
        <v>3</v>
      </c>
      <c r="H1050" s="19" t="str">
        <f>VLOOKUP(A1050,'ESTADOS ESTUDIANTES'!B:L,8,0)</f>
        <v>ncaitas@udistrital.edu.co</v>
      </c>
      <c r="I1050" s="70" t="str">
        <f>VLOOKUP(A1050,'ESTADOS ESTUDIANTES'!B:L,9,0)</f>
        <v>nati.caita@gmail.com</v>
      </c>
      <c r="J1050" s="19" t="str">
        <f>VLOOKUP(A1050,'ESTADOS ESTUDIANTES'!B:L,10,0)</f>
        <v>CC</v>
      </c>
      <c r="K1050" s="19">
        <f>VLOOKUP(A1050,'ESTADOS ESTUDIANTES'!B:L,11,0)</f>
        <v>1026273952</v>
      </c>
      <c r="L1050" s="19">
        <v>3192310138</v>
      </c>
      <c r="M1050" s="20">
        <v>33380</v>
      </c>
      <c r="N1050" s="22"/>
      <c r="O1050" s="15"/>
      <c r="P1050" s="15"/>
      <c r="Q1050" s="15"/>
      <c r="R1050" s="15"/>
      <c r="S1050" s="15"/>
      <c r="T1050" s="15"/>
      <c r="U1050" s="15"/>
    </row>
    <row r="1051" spans="1:21" ht="105">
      <c r="A1051" s="17">
        <v>20192395006</v>
      </c>
      <c r="B1051" s="19" t="str">
        <f>VLOOKUP(A1051,'ESTADOS ESTUDIANTES'!B:L,2,0)</f>
        <v>CIFUENTES LÓPEZ DAVID LEONARDO</v>
      </c>
      <c r="C1051" s="19">
        <f>VLOOKUP(A1051,'ESTADOS ESTUDIANTES'!B:L,3,0)</f>
        <v>395</v>
      </c>
      <c r="D1051" s="66" t="str">
        <f>VLOOKUP(A1051,'ESTADOS ESTUDIANTES'!B:L,4,0)</f>
        <v>MAE. EN CIENCIAS DE LA INF. Y LAS COMUNICACIONES ENFASIS EN GEOMATICA</v>
      </c>
      <c r="E1051" s="19" t="str">
        <f>VLOOKUP(A1051,'ESTADOS ESTUDIANTES'!B:L,5,0)</f>
        <v>X</v>
      </c>
      <c r="F1051" s="18" t="str">
        <f>VLOOKUP(E1051,Listas!B1:C1004,2,0)</f>
        <v>EXCLUIDO</v>
      </c>
      <c r="G1051" s="19">
        <f>VLOOKUP(A1051,'ESTADOS ESTUDIANTES'!B:L,7,0)</f>
        <v>3</v>
      </c>
      <c r="H1051" s="19" t="str">
        <f>VLOOKUP(A1051,'ESTADOS ESTUDIANTES'!B:L,8,0)</f>
        <v>cldavidl@correo.udistrital.edu.co</v>
      </c>
      <c r="I1051" s="70" t="str">
        <f>VLOOKUP(A1051,'ESTADOS ESTUDIANTES'!B:L,9,0)</f>
        <v>dlcifuentesl@gmail.com</v>
      </c>
      <c r="J1051" s="19" t="str">
        <f>VLOOKUP(A1051,'ESTADOS ESTUDIANTES'!B:L,10,0)</f>
        <v>CC</v>
      </c>
      <c r="K1051" s="19">
        <f>VLOOKUP(A1051,'ESTADOS ESTUDIANTES'!B:L,11,0)</f>
        <v>80068987</v>
      </c>
      <c r="L1051" s="19">
        <v>3174243863</v>
      </c>
      <c r="M1051" s="20"/>
      <c r="N1051" s="22"/>
      <c r="O1051" s="15"/>
      <c r="P1051" s="15"/>
      <c r="Q1051" s="15"/>
      <c r="R1051" s="15"/>
      <c r="S1051" s="15"/>
      <c r="T1051" s="15"/>
      <c r="U1051" s="15"/>
    </row>
    <row r="1052" spans="1:21" ht="105">
      <c r="A1052" s="17">
        <v>20192395007</v>
      </c>
      <c r="B1052" s="19" t="str">
        <f>VLOOKUP(A1052,'ESTADOS ESTUDIANTES'!B:L,2,0)</f>
        <v>MALAGON MARQUEZ DIEGO ALEJANDRO</v>
      </c>
      <c r="C1052" s="19">
        <f>VLOOKUP(A1052,'ESTADOS ESTUDIANTES'!B:L,3,0)</f>
        <v>395</v>
      </c>
      <c r="D1052" s="66" t="str">
        <f>VLOOKUP(A1052,'ESTADOS ESTUDIANTES'!B:L,4,0)</f>
        <v>MAE. EN CIENCIAS DE LA INF. Y LAS COMUNICACIONES ENFASIS EN GEOMATICA</v>
      </c>
      <c r="E1052" s="19" t="str">
        <f>VLOOKUP(A1052,'ESTADOS ESTUDIANTES'!B:L,5,0)</f>
        <v>X</v>
      </c>
      <c r="F1052" s="18" t="str">
        <f>VLOOKUP(E1052,Listas!B1:C1004,2,0)</f>
        <v>EXCLUIDO</v>
      </c>
      <c r="G1052" s="19">
        <f>VLOOKUP(A1052,'ESTADOS ESTUDIANTES'!B:L,7,0)</f>
        <v>3</v>
      </c>
      <c r="H1052" s="19" t="str">
        <f>VLOOKUP(A1052,'ESTADOS ESTUDIANTES'!B:L,8,0)</f>
        <v>mmdiegoa@udistrital.edu.co</v>
      </c>
      <c r="I1052" s="70" t="str">
        <f>VLOOKUP(A1052,'ESTADOS ESTUDIANTES'!B:L,9,0)</f>
        <v>dalejomalagon@gmail.com</v>
      </c>
      <c r="J1052" s="19" t="str">
        <f>VLOOKUP(A1052,'ESTADOS ESTUDIANTES'!B:L,10,0)</f>
        <v>CC</v>
      </c>
      <c r="K1052" s="19">
        <f>VLOOKUP(A1052,'ESTADOS ESTUDIANTES'!B:L,11,0)</f>
        <v>1022395401</v>
      </c>
      <c r="L1052" s="19">
        <v>3133376495</v>
      </c>
      <c r="M1052" s="20">
        <v>34405</v>
      </c>
      <c r="N1052" s="22"/>
      <c r="O1052" s="15"/>
      <c r="P1052" s="15"/>
      <c r="Q1052" s="15"/>
      <c r="R1052" s="15"/>
      <c r="S1052" s="15"/>
      <c r="T1052" s="15"/>
      <c r="U1052" s="15"/>
    </row>
    <row r="1053" spans="1:21" ht="105">
      <c r="A1053" s="17">
        <v>20192395008</v>
      </c>
      <c r="B1053" s="19" t="str">
        <f>VLOOKUP(A1053,'ESTADOS ESTUDIANTES'!B:L,2,0)</f>
        <v>HUERTAS VARGAS KAREN ANDREA</v>
      </c>
      <c r="C1053" s="19">
        <f>VLOOKUP(A1053,'ESTADOS ESTUDIANTES'!B:L,3,0)</f>
        <v>395</v>
      </c>
      <c r="D1053" s="66" t="str">
        <f>VLOOKUP(A1053,'ESTADOS ESTUDIANTES'!B:L,4,0)</f>
        <v>MAE. EN CIENCIAS DE LA INF. Y LAS COMUNICACIONES ENFASIS EN GEOMATICA</v>
      </c>
      <c r="E1053" s="19" t="str">
        <f>VLOOKUP(A1053,'ESTADOS ESTUDIANTES'!B:L,5,0)</f>
        <v>X</v>
      </c>
      <c r="F1053" s="18" t="str">
        <f>VLOOKUP(E1053,Listas!B1:C1004,2,0)</f>
        <v>EXCLUIDO</v>
      </c>
      <c r="G1053" s="19">
        <f>VLOOKUP(A1053,'ESTADOS ESTUDIANTES'!B:L,7,0)</f>
        <v>3</v>
      </c>
      <c r="H1053" s="19" t="str">
        <f>VLOOKUP(A1053,'ESTADOS ESTUDIANTES'!B:L,8,0)</f>
        <v>kahuertasv@udistrital.edu.co</v>
      </c>
      <c r="I1053" s="70" t="str">
        <f>VLOOKUP(A1053,'ESTADOS ESTUDIANTES'!B:L,9,0)</f>
        <v>karenahva@gmail.com</v>
      </c>
      <c r="J1053" s="19" t="str">
        <f>VLOOKUP(A1053,'ESTADOS ESTUDIANTES'!B:L,10,0)</f>
        <v>CC</v>
      </c>
      <c r="K1053" s="19">
        <f>VLOOKUP(A1053,'ESTADOS ESTUDIANTES'!B:L,11,0)</f>
        <v>1023923782</v>
      </c>
      <c r="L1053" s="19">
        <v>3204431938</v>
      </c>
      <c r="M1053" s="20">
        <v>34021</v>
      </c>
      <c r="N1053" s="22"/>
      <c r="O1053" s="15"/>
      <c r="P1053" s="15"/>
      <c r="Q1053" s="15"/>
      <c r="R1053" s="15"/>
      <c r="S1053" s="15"/>
      <c r="T1053" s="15"/>
      <c r="U1053" s="15"/>
    </row>
    <row r="1054" spans="1:21" ht="105">
      <c r="A1054" s="17">
        <v>20192395009</v>
      </c>
      <c r="B1054" s="19" t="str">
        <f>VLOOKUP(A1054,'ESTADOS ESTUDIANTES'!B:L,2,0)</f>
        <v>BAUTISTA MANRIQUE LUIS FERNANDO</v>
      </c>
      <c r="C1054" s="19">
        <f>VLOOKUP(A1054,'ESTADOS ESTUDIANTES'!B:L,3,0)</f>
        <v>395</v>
      </c>
      <c r="D1054" s="66" t="str">
        <f>VLOOKUP(A1054,'ESTADOS ESTUDIANTES'!B:L,4,0)</f>
        <v>MAE. EN CIENCIAS DE LA INF. Y LAS COMUNICACIONES ENFASIS EN GEOMATICA</v>
      </c>
      <c r="E1054" s="19" t="str">
        <f>VLOOKUP(A1054,'ESTADOS ESTUDIANTES'!B:L,5,0)</f>
        <v>X</v>
      </c>
      <c r="F1054" s="18" t="str">
        <f>VLOOKUP(E1054,Listas!B1:C1004,2,0)</f>
        <v>EXCLUIDO</v>
      </c>
      <c r="G1054" s="19">
        <f>VLOOKUP(A1054,'ESTADOS ESTUDIANTES'!B:L,7,0)</f>
        <v>2</v>
      </c>
      <c r="H1054" s="19" t="str">
        <f>VLOOKUP(A1054,'ESTADOS ESTUDIANTES'!B:L,8,0)</f>
        <v>bmluisf@correo.udistrital.edu.co</v>
      </c>
      <c r="I1054" s="70" t="str">
        <f>VLOOKUP(A1054,'ESTADOS ESTUDIANTES'!B:L,9,0)</f>
        <v>luferbaman@gmail.com</v>
      </c>
      <c r="J1054" s="19" t="str">
        <f>VLOOKUP(A1054,'ESTADOS ESTUDIANTES'!B:L,10,0)</f>
        <v>CC</v>
      </c>
      <c r="K1054" s="19">
        <f>VLOOKUP(A1054,'ESTADOS ESTUDIANTES'!B:L,11,0)</f>
        <v>1032440255</v>
      </c>
      <c r="L1054" s="19">
        <v>3203921148</v>
      </c>
      <c r="M1054" s="20"/>
      <c r="N1054" s="22"/>
      <c r="O1054" s="15"/>
      <c r="P1054" s="15"/>
      <c r="Q1054" s="15"/>
      <c r="R1054" s="15"/>
      <c r="S1054" s="15"/>
      <c r="T1054" s="15"/>
      <c r="U1054" s="15"/>
    </row>
    <row r="1055" spans="1:21" ht="105">
      <c r="A1055" s="17">
        <v>20192395010</v>
      </c>
      <c r="B1055" s="19" t="str">
        <f>VLOOKUP(A1055,'ESTADOS ESTUDIANTES'!B:L,2,0)</f>
        <v>ZARAZA AGUILERA MAYCOL ALEJANDRO</v>
      </c>
      <c r="C1055" s="19">
        <f>VLOOKUP(A1055,'ESTADOS ESTUDIANTES'!B:L,3,0)</f>
        <v>395</v>
      </c>
      <c r="D1055" s="66" t="str">
        <f>VLOOKUP(A1055,'ESTADOS ESTUDIANTES'!B:L,4,0)</f>
        <v>MAE. EN CIENCIAS DE LA INF. Y LAS COMUNICACIONES ENFASIS EN GEOMATICA</v>
      </c>
      <c r="E1055" s="19" t="str">
        <f>VLOOKUP(A1055,'ESTADOS ESTUDIANTES'!B:L,5,0)</f>
        <v>E</v>
      </c>
      <c r="F1055" s="18" t="str">
        <f>VLOOKUP(E1055,Listas!B1:C1004,2,0)</f>
        <v>EGRESADO</v>
      </c>
      <c r="G1055" s="19">
        <f>VLOOKUP(A1055,'ESTADOS ESTUDIANTES'!B:L,7,0)</f>
        <v>2</v>
      </c>
      <c r="H1055" s="19" t="str">
        <f>VLOOKUP(A1055,'ESTADOS ESTUDIANTES'!B:L,8,0)</f>
        <v>zamaycola@udistrital.edu.co</v>
      </c>
      <c r="I1055" s="70" t="str">
        <f>VLOOKUP(A1055,'ESTADOS ESTUDIANTES'!B:L,9,0)</f>
        <v>maikolzaraza07@gmail.com</v>
      </c>
      <c r="J1055" s="19" t="str">
        <f>VLOOKUP(A1055,'ESTADOS ESTUDIANTES'!B:L,10,0)</f>
        <v>CC</v>
      </c>
      <c r="K1055" s="19">
        <f>VLOOKUP(A1055,'ESTADOS ESTUDIANTES'!B:L,11,0)</f>
        <v>1013667943</v>
      </c>
      <c r="L1055" s="19">
        <v>3176909941</v>
      </c>
      <c r="M1055" s="20"/>
      <c r="N1055" s="22"/>
      <c r="O1055" s="15"/>
      <c r="P1055" s="15"/>
      <c r="Q1055" s="15"/>
      <c r="R1055" s="15"/>
      <c r="S1055" s="15"/>
      <c r="T1055" s="15"/>
      <c r="U1055" s="15"/>
    </row>
    <row r="1056" spans="1:21" ht="105">
      <c r="A1056" s="17">
        <v>20192395011</v>
      </c>
      <c r="B1056" s="19" t="str">
        <f>VLOOKUP(A1056,'ESTADOS ESTUDIANTES'!B:L,2,0)</f>
        <v>RUIZ MORALES TANIA LORENA</v>
      </c>
      <c r="C1056" s="19">
        <f>VLOOKUP(A1056,'ESTADOS ESTUDIANTES'!B:L,3,0)</f>
        <v>395</v>
      </c>
      <c r="D1056" s="66" t="str">
        <f>VLOOKUP(A1056,'ESTADOS ESTUDIANTES'!B:L,4,0)</f>
        <v>MAE. EN CIENCIAS DE LA INF. Y LAS COMUNICACIONES ENFASIS EN GEOMATICA</v>
      </c>
      <c r="E1056" s="19" t="str">
        <f>VLOOKUP(A1056,'ESTADOS ESTUDIANTES'!B:L,5,0)</f>
        <v>E</v>
      </c>
      <c r="F1056" s="18" t="str">
        <f>VLOOKUP(E1056,Listas!B1:C1004,2,0)</f>
        <v>EGRESADO</v>
      </c>
      <c r="G1056" s="19">
        <f>VLOOKUP(A1056,'ESTADOS ESTUDIANTES'!B:L,7,0)</f>
        <v>2</v>
      </c>
      <c r="H1056" s="19" t="str">
        <f>VLOOKUP(A1056,'ESTADOS ESTUDIANTES'!B:L,8,0)</f>
        <v>tlruizm@udistrital.edu.co</v>
      </c>
      <c r="I1056" s="70" t="str">
        <f>VLOOKUP(A1056,'ESTADOS ESTUDIANTES'!B:L,9,0)</f>
        <v>tlorena.icg@gmail.com</v>
      </c>
      <c r="J1056" s="19" t="str">
        <f>VLOOKUP(A1056,'ESTADOS ESTUDIANTES'!B:L,10,0)</f>
        <v>CC</v>
      </c>
      <c r="K1056" s="19">
        <f>VLOOKUP(A1056,'ESTADOS ESTUDIANTES'!B:L,11,0)</f>
        <v>1018480123</v>
      </c>
      <c r="L1056" s="19">
        <v>3015938056</v>
      </c>
      <c r="M1056" s="20">
        <v>34989</v>
      </c>
      <c r="N1056" s="22"/>
      <c r="O1056" s="15"/>
      <c r="P1056" s="15"/>
      <c r="Q1056" s="15"/>
      <c r="R1056" s="15"/>
      <c r="S1056" s="15"/>
      <c r="T1056" s="15"/>
      <c r="U1056" s="15"/>
    </row>
    <row r="1057" spans="1:21" ht="105">
      <c r="A1057" s="17">
        <v>20192395012</v>
      </c>
      <c r="B1057" s="19" t="str">
        <f>VLOOKUP(A1057,'ESTADOS ESTUDIANTES'!B:L,2,0)</f>
        <v>SUÁREZ RODRÍGUEZ JUAN MANUEL</v>
      </c>
      <c r="C1057" s="19">
        <f>VLOOKUP(A1057,'ESTADOS ESTUDIANTES'!B:L,3,0)</f>
        <v>395</v>
      </c>
      <c r="D1057" s="66" t="str">
        <f>VLOOKUP(A1057,'ESTADOS ESTUDIANTES'!B:L,4,0)</f>
        <v>MAE. EN CIENCIAS DE LA INF. Y LAS COMUNICACIONES ENFASIS EN GEOMATICA</v>
      </c>
      <c r="E1057" s="19" t="str">
        <f>VLOOKUP(A1057,'ESTADOS ESTUDIANTES'!B:L,5,0)</f>
        <v>E</v>
      </c>
      <c r="F1057" s="18" t="str">
        <f>VLOOKUP(E1057,Listas!B1:C1004,2,0)</f>
        <v>EGRESADO</v>
      </c>
      <c r="G1057" s="19">
        <f>VLOOKUP(A1057,'ESTADOS ESTUDIANTES'!B:L,7,0)</f>
        <v>3</v>
      </c>
      <c r="H1057" s="19" t="str">
        <f>VLOOKUP(A1057,'ESTADOS ESTUDIANTES'!B:L,8,0)</f>
        <v>srjuanm@correo.udistrital.edu.co</v>
      </c>
      <c r="I1057" s="70" t="str">
        <f>VLOOKUP(A1057,'ESTADOS ESTUDIANTES'!B:L,9,0)</f>
        <v>ingjuanmasuarez@gmail.com</v>
      </c>
      <c r="J1057" s="19" t="str">
        <f>VLOOKUP(A1057,'ESTADOS ESTUDIANTES'!B:L,10,0)</f>
        <v>CC</v>
      </c>
      <c r="K1057" s="19">
        <f>VLOOKUP(A1057,'ESTADOS ESTUDIANTES'!B:L,11,0)</f>
        <v>1013600362</v>
      </c>
      <c r="L1057" s="19">
        <v>3022909493</v>
      </c>
      <c r="M1057" s="20">
        <v>32441</v>
      </c>
      <c r="N1057" s="22"/>
      <c r="O1057" s="15"/>
      <c r="P1057" s="15"/>
      <c r="Q1057" s="15"/>
      <c r="R1057" s="15"/>
      <c r="S1057" s="15"/>
      <c r="T1057" s="15"/>
      <c r="U1057" s="15"/>
    </row>
    <row r="1058" spans="1:21" ht="105">
      <c r="A1058" s="17">
        <v>20192395013</v>
      </c>
      <c r="B1058" s="19" t="str">
        <f>VLOOKUP(A1058,'ESTADOS ESTUDIANTES'!B:L,2,0)</f>
        <v>MOLINA HERRERA DIVA ESMERALDA</v>
      </c>
      <c r="C1058" s="19">
        <f>VLOOKUP(A1058,'ESTADOS ESTUDIANTES'!B:L,3,0)</f>
        <v>395</v>
      </c>
      <c r="D1058" s="66" t="str">
        <f>VLOOKUP(A1058,'ESTADOS ESTUDIANTES'!B:L,4,0)</f>
        <v>MAE. EN CIENCIAS DE LA INF. Y LAS COMUNICACIONES ENFASIS EN GEOMATICA</v>
      </c>
      <c r="E1058" s="19" t="str">
        <f>VLOOKUP(A1058,'ESTADOS ESTUDIANTES'!B:L,5,0)</f>
        <v>X</v>
      </c>
      <c r="F1058" s="18" t="str">
        <f>VLOOKUP(E1058,Listas!B1:C1004,2,0)</f>
        <v>EXCLUIDO</v>
      </c>
      <c r="G1058" s="19">
        <f>VLOOKUP(A1058,'ESTADOS ESTUDIANTES'!B:L,7,0)</f>
        <v>1</v>
      </c>
      <c r="H1058" s="19" t="str">
        <f>VLOOKUP(A1058,'ESTADOS ESTUDIANTES'!B:L,8,0)</f>
        <v>mhdivae@correo.udistrital.edu.co</v>
      </c>
      <c r="I1058" s="70" t="str">
        <f>VLOOKUP(A1058,'ESTADOS ESTUDIANTES'!B:L,9,0)</f>
        <v>molina.esmeralda@gmail.com</v>
      </c>
      <c r="J1058" s="19" t="str">
        <f>VLOOKUP(A1058,'ESTADOS ESTUDIANTES'!B:L,10,0)</f>
        <v>CC</v>
      </c>
      <c r="K1058" s="19">
        <f>VLOOKUP(A1058,'ESTADOS ESTUDIANTES'!B:L,11,0)</f>
        <v>53120904</v>
      </c>
      <c r="L1058" s="19">
        <v>3016035028</v>
      </c>
      <c r="M1058" s="20"/>
      <c r="N1058" s="22"/>
      <c r="O1058" s="15"/>
      <c r="P1058" s="15"/>
      <c r="Q1058" s="15"/>
      <c r="R1058" s="15"/>
      <c r="S1058" s="15"/>
      <c r="T1058" s="15"/>
      <c r="U1058" s="15"/>
    </row>
    <row r="1059" spans="1:21" ht="105">
      <c r="A1059" s="17">
        <v>20192395014</v>
      </c>
      <c r="B1059" s="19" t="str">
        <f>VLOOKUP(A1059,'ESTADOS ESTUDIANTES'!B:L,2,0)</f>
        <v>PACHON RODRIGUEZ WILLIAN ANTONIO</v>
      </c>
      <c r="C1059" s="19">
        <f>VLOOKUP(A1059,'ESTADOS ESTUDIANTES'!B:L,3,0)</f>
        <v>395</v>
      </c>
      <c r="D1059" s="66" t="str">
        <f>VLOOKUP(A1059,'ESTADOS ESTUDIANTES'!B:L,4,0)</f>
        <v>MAE. EN CIENCIAS DE LA INF. Y LAS COMUNICACIONES ENFASIS EN GEOMATICA</v>
      </c>
      <c r="E1059" s="19" t="str">
        <f>VLOOKUP(A1059,'ESTADOS ESTUDIANTES'!B:L,5,0)</f>
        <v>E</v>
      </c>
      <c r="F1059" s="18" t="str">
        <f>VLOOKUP(E1059,Listas!B1:C1004,2,0)</f>
        <v>EGRESADO</v>
      </c>
      <c r="G1059" s="19">
        <f>VLOOKUP(A1059,'ESTADOS ESTUDIANTES'!B:L,7,0)</f>
        <v>3</v>
      </c>
      <c r="H1059" s="19" t="str">
        <f>VLOOKUP(A1059,'ESTADOS ESTUDIANTES'!B:L,8,0)</f>
        <v>prwilliana@udistrital.edu.co</v>
      </c>
      <c r="I1059" s="70" t="str">
        <f>VLOOKUP(A1059,'ESTADOS ESTUDIANTES'!B:L,9,0)</f>
        <v>willian.pachon@gmail.com</v>
      </c>
      <c r="J1059" s="19" t="str">
        <f>VLOOKUP(A1059,'ESTADOS ESTUDIANTES'!B:L,10,0)</f>
        <v>CC</v>
      </c>
      <c r="K1059" s="19">
        <f>VLOOKUP(A1059,'ESTADOS ESTUDIANTES'!B:L,11,0)</f>
        <v>79753758</v>
      </c>
      <c r="L1059" s="19">
        <v>3005689632</v>
      </c>
      <c r="M1059" s="20">
        <v>27217</v>
      </c>
      <c r="N1059" s="22"/>
      <c r="O1059" s="15"/>
      <c r="P1059" s="15"/>
      <c r="Q1059" s="15"/>
      <c r="R1059" s="15"/>
      <c r="S1059" s="15"/>
      <c r="T1059" s="15"/>
      <c r="U1059" s="15"/>
    </row>
    <row r="1060" spans="1:21" ht="105">
      <c r="A1060" s="17">
        <v>20192395015</v>
      </c>
      <c r="B1060" s="19" t="str">
        <f>VLOOKUP(A1060,'ESTADOS ESTUDIANTES'!B:L,2,0)</f>
        <v>GÓMEZ CAMARGO LAURA NICOLE</v>
      </c>
      <c r="C1060" s="19">
        <f>VLOOKUP(A1060,'ESTADOS ESTUDIANTES'!B:L,3,0)</f>
        <v>395</v>
      </c>
      <c r="D1060" s="66" t="str">
        <f>VLOOKUP(A1060,'ESTADOS ESTUDIANTES'!B:L,4,0)</f>
        <v>MAE. EN CIENCIAS DE LA INF. Y LAS COMUNICACIONES ENFASIS EN GEOMATICA</v>
      </c>
      <c r="E1060" s="19" t="str">
        <f>VLOOKUP(A1060,'ESTADOS ESTUDIANTES'!B:L,5,0)</f>
        <v>N</v>
      </c>
      <c r="F1060" s="18" t="str">
        <f>VLOOKUP(E1060,Listas!B1:C1004,2,0)</f>
        <v>ERROR DE CODIGO</v>
      </c>
      <c r="G1060" s="19" t="str">
        <f>VLOOKUP(A1060,'ESTADOS ESTUDIANTES'!B:L,7,0)</f>
        <v>NO REGISTRA</v>
      </c>
      <c r="H1060" s="19" t="str">
        <f>VLOOKUP(A1060,'ESTADOS ESTUDIANTES'!B:L,8,0)</f>
        <v>gclauran@correo.udistrital.edu.co</v>
      </c>
      <c r="I1060" s="70" t="str">
        <f>VLOOKUP(A1060,'ESTADOS ESTUDIANTES'!B:L,9,0)</f>
        <v>lngomezc@correo.udistrital.edu.co</v>
      </c>
      <c r="J1060" s="19" t="str">
        <f>VLOOKUP(A1060,'ESTADOS ESTUDIANTES'!B:L,10,0)</f>
        <v>CC</v>
      </c>
      <c r="K1060" s="19">
        <f>VLOOKUP(A1060,'ESTADOS ESTUDIANTES'!B:L,11,0)</f>
        <v>1018486062</v>
      </c>
      <c r="L1060" s="19">
        <v>3195918495</v>
      </c>
      <c r="M1060" s="20"/>
      <c r="N1060" s="22"/>
      <c r="O1060" s="15"/>
      <c r="P1060" s="15"/>
      <c r="Q1060" s="15"/>
      <c r="R1060" s="15"/>
      <c r="S1060" s="15"/>
      <c r="T1060" s="15"/>
      <c r="U1060" s="15"/>
    </row>
    <row r="1061" spans="1:21" ht="90">
      <c r="A1061" s="17">
        <v>20192495001</v>
      </c>
      <c r="B1061" s="19" t="str">
        <f>VLOOKUP(A1061,'ESTADOS ESTUDIANTES'!B:L,2,0)</f>
        <v>MUÑOZ PENAGOS NATHALIA CATALINA</v>
      </c>
      <c r="C1061" s="19">
        <f>VLOOKUP(A1061,'ESTADOS ESTUDIANTES'!B:L,3,0)</f>
        <v>495</v>
      </c>
      <c r="D1061" s="66" t="str">
        <f>VLOOKUP(A1061,'ESTADOS ESTUDIANTES'!B:L,4,0)</f>
        <v>MAE. EN CIENCIAS DE LA INF. Y LAS COMUNICACIONES ENFASIS EN ING. SOFT</v>
      </c>
      <c r="E1061" s="19" t="str">
        <f>VLOOKUP(A1061,'ESTADOS ESTUDIANTES'!B:L,5,0)</f>
        <v>X</v>
      </c>
      <c r="F1061" s="18" t="str">
        <f>VLOOKUP(E1061,Listas!B1:C1004,2,0)</f>
        <v>EXCLUIDO</v>
      </c>
      <c r="G1061" s="19">
        <f>VLOOKUP(A1061,'ESTADOS ESTUDIANTES'!B:L,7,0)</f>
        <v>4</v>
      </c>
      <c r="H1061" s="19" t="str">
        <f>VLOOKUP(A1061,'ESTADOS ESTUDIANTES'!B:L,8,0)</f>
        <v>mpnathaliac@udistrital.edu.co</v>
      </c>
      <c r="I1061" s="70" t="str">
        <f>VLOOKUP(A1061,'ESTADOS ESTUDIANTES'!B:L,9,0)</f>
        <v>nathmunoz19@gmail.com</v>
      </c>
      <c r="J1061" s="19" t="str">
        <f>VLOOKUP(A1061,'ESTADOS ESTUDIANTES'!B:L,10,0)</f>
        <v>CC</v>
      </c>
      <c r="K1061" s="19">
        <f>VLOOKUP(A1061,'ESTADOS ESTUDIANTES'!B:L,11,0)</f>
        <v>1032449961</v>
      </c>
      <c r="L1061" s="19">
        <v>3185215312</v>
      </c>
      <c r="M1061" s="20"/>
      <c r="N1061" s="22"/>
      <c r="O1061" s="15"/>
      <c r="P1061" s="15"/>
      <c r="Q1061" s="15"/>
      <c r="R1061" s="15"/>
      <c r="S1061" s="15"/>
      <c r="T1061" s="15"/>
      <c r="U1061" s="15"/>
    </row>
    <row r="1062" spans="1:21" ht="90">
      <c r="A1062" s="17">
        <v>20192495002</v>
      </c>
      <c r="B1062" s="19" t="str">
        <f>VLOOKUP(A1062,'ESTADOS ESTUDIANTES'!B:L,2,0)</f>
        <v>CÁRDENAS LANCHEROS ESTEBAN ALEJANDRO</v>
      </c>
      <c r="C1062" s="19">
        <f>VLOOKUP(A1062,'ESTADOS ESTUDIANTES'!B:L,3,0)</f>
        <v>495</v>
      </c>
      <c r="D1062" s="66" t="str">
        <f>VLOOKUP(A1062,'ESTADOS ESTUDIANTES'!B:L,4,0)</f>
        <v>MAE. EN CIENCIAS DE LA INF. Y LAS COMUNICACIONES ENFASIS EN ING. SOFT</v>
      </c>
      <c r="E1062" s="19" t="str">
        <f>VLOOKUP(A1062,'ESTADOS ESTUDIANTES'!B:L,5,0)</f>
        <v>E</v>
      </c>
      <c r="F1062" s="18" t="str">
        <f>VLOOKUP(E1062,Listas!B1:C1004,2,0)</f>
        <v>EGRESADO</v>
      </c>
      <c r="G1062" s="19">
        <f>VLOOKUP(A1062,'ESTADOS ESTUDIANTES'!B:L,7,0)</f>
        <v>3</v>
      </c>
      <c r="H1062" s="19" t="str">
        <f>VLOOKUP(A1062,'ESTADOS ESTUDIANTES'!B:L,8,0)</f>
        <v>clestebana@udistrital.edu.co</v>
      </c>
      <c r="I1062" s="70" t="str">
        <f>VLOOKUP(A1062,'ESTADOS ESTUDIANTES'!B:L,9,0)</f>
        <v>esteban.cardenas.lancheros@gmail.com</v>
      </c>
      <c r="J1062" s="19" t="str">
        <f>VLOOKUP(A1062,'ESTADOS ESTUDIANTES'!B:L,10,0)</f>
        <v>CC</v>
      </c>
      <c r="K1062" s="19">
        <f>VLOOKUP(A1062,'ESTADOS ESTUDIANTES'!B:L,11,0)</f>
        <v>1013610921</v>
      </c>
      <c r="L1062" s="19">
        <v>3102791586</v>
      </c>
      <c r="M1062" s="20"/>
      <c r="N1062" s="22"/>
      <c r="O1062" s="15"/>
      <c r="P1062" s="15"/>
      <c r="Q1062" s="15"/>
      <c r="R1062" s="15"/>
      <c r="S1062" s="15"/>
      <c r="T1062" s="15"/>
      <c r="U1062" s="15"/>
    </row>
    <row r="1063" spans="1:21" ht="90">
      <c r="A1063" s="17">
        <v>20192495003</v>
      </c>
      <c r="B1063" s="19" t="str">
        <f>VLOOKUP(A1063,'ESTADOS ESTUDIANTES'!B:L,2,0)</f>
        <v>MONTENEGRO ALVARADO ANDRÉS DAVID</v>
      </c>
      <c r="C1063" s="19">
        <f>VLOOKUP(A1063,'ESTADOS ESTUDIANTES'!B:L,3,0)</f>
        <v>495</v>
      </c>
      <c r="D1063" s="66" t="str">
        <f>VLOOKUP(A1063,'ESTADOS ESTUDIANTES'!B:L,4,0)</f>
        <v>MAE. EN CIENCIAS DE LA INF. Y LAS COMUNICACIONES ENFASIS EN ING. SOFT</v>
      </c>
      <c r="E1063" s="19" t="str">
        <f>VLOOKUP(A1063,'ESTADOS ESTUDIANTES'!B:L,5,0)</f>
        <v>A</v>
      </c>
      <c r="F1063" s="18" t="str">
        <f>VLOOKUP(E1063,Listas!B1:C1004,2,0)</f>
        <v>ACTIVO</v>
      </c>
      <c r="G1063" s="19">
        <f>VLOOKUP(A1063,'ESTADOS ESTUDIANTES'!B:L,7,0)</f>
        <v>2</v>
      </c>
      <c r="H1063" s="19" t="str">
        <f>VLOOKUP(A1063,'ESTADOS ESTUDIANTES'!B:L,8,0)</f>
        <v>admontenegroa@udistrital.edu.co</v>
      </c>
      <c r="I1063" s="70" t="str">
        <f>VLOOKUP(A1063,'ESTADOS ESTUDIANTES'!B:L,9,0)</f>
        <v>admontenegroa@gmail.com</v>
      </c>
      <c r="J1063" s="19" t="str">
        <f>VLOOKUP(A1063,'ESTADOS ESTUDIANTES'!B:L,10,0)</f>
        <v>CC</v>
      </c>
      <c r="K1063" s="19">
        <f>VLOOKUP(A1063,'ESTADOS ESTUDIANTES'!B:L,11,0)</f>
        <v>1023924156</v>
      </c>
      <c r="L1063" s="19">
        <v>3505212562</v>
      </c>
      <c r="M1063" s="20">
        <v>34030</v>
      </c>
      <c r="N1063" s="22"/>
      <c r="O1063" s="15"/>
      <c r="P1063" s="15"/>
      <c r="Q1063" s="15"/>
      <c r="R1063" s="15"/>
      <c r="S1063" s="15"/>
      <c r="T1063" s="15"/>
      <c r="U1063" s="15"/>
    </row>
    <row r="1064" spans="1:21" ht="90">
      <c r="A1064" s="17">
        <v>20192495004</v>
      </c>
      <c r="B1064" s="19" t="str">
        <f>VLOOKUP(A1064,'ESTADOS ESTUDIANTES'!B:L,2,0)</f>
        <v>CASTRO CASTRO OMAR JOSE</v>
      </c>
      <c r="C1064" s="19">
        <f>VLOOKUP(A1064,'ESTADOS ESTUDIANTES'!B:L,3,0)</f>
        <v>495</v>
      </c>
      <c r="D1064" s="66" t="str">
        <f>VLOOKUP(A1064,'ESTADOS ESTUDIANTES'!B:L,4,0)</f>
        <v>MAE. EN CIENCIAS DE LA INF. Y LAS COMUNICACIONES ENFASIS EN ING. SOFT</v>
      </c>
      <c r="E1064" s="19" t="str">
        <f>VLOOKUP(A1064,'ESTADOS ESTUDIANTES'!B:L,5,0)</f>
        <v>X</v>
      </c>
      <c r="F1064" s="18" t="str">
        <f>VLOOKUP(E1064,Listas!B1:C1004,2,0)</f>
        <v>EXCLUIDO</v>
      </c>
      <c r="G1064" s="19">
        <f>VLOOKUP(A1064,'ESTADOS ESTUDIANTES'!B:L,7,0)</f>
        <v>3</v>
      </c>
      <c r="H1064" s="19" t="str">
        <f>VLOOKUP(A1064,'ESTADOS ESTUDIANTES'!B:L,8,0)</f>
        <v>ccomarj@udistrital.edu.co</v>
      </c>
      <c r="I1064" s="70" t="str">
        <f>VLOOKUP(A1064,'ESTADOS ESTUDIANTES'!B:L,9,0)</f>
        <v>kstroomar@yahoo.es</v>
      </c>
      <c r="J1064" s="19" t="str">
        <f>VLOOKUP(A1064,'ESTADOS ESTUDIANTES'!B:L,10,0)</f>
        <v>CC</v>
      </c>
      <c r="K1064" s="19">
        <f>VLOOKUP(A1064,'ESTADOS ESTUDIANTES'!B:L,11,0)</f>
        <v>1010204406</v>
      </c>
      <c r="L1064" s="19">
        <v>3008818918</v>
      </c>
      <c r="M1064" s="20">
        <v>33875</v>
      </c>
      <c r="N1064" s="22"/>
      <c r="O1064" s="15"/>
      <c r="P1064" s="15"/>
      <c r="Q1064" s="15"/>
      <c r="R1064" s="15"/>
      <c r="S1064" s="15"/>
      <c r="T1064" s="15"/>
      <c r="U1064" s="15"/>
    </row>
    <row r="1065" spans="1:21" ht="90">
      <c r="A1065" s="17">
        <v>20192495005</v>
      </c>
      <c r="B1065" s="19" t="str">
        <f>VLOOKUP(A1065,'ESTADOS ESTUDIANTES'!B:L,2,0)</f>
        <v>DAZA NARVÁEZ ERIKA JUNNIETH</v>
      </c>
      <c r="C1065" s="19">
        <f>VLOOKUP(A1065,'ESTADOS ESTUDIANTES'!B:L,3,0)</f>
        <v>495</v>
      </c>
      <c r="D1065" s="66" t="str">
        <f>VLOOKUP(A1065,'ESTADOS ESTUDIANTES'!B:L,4,0)</f>
        <v>MAE. EN CIENCIAS DE LA INF. Y LAS COMUNICACIONES ENFASIS EN ING. SOFT</v>
      </c>
      <c r="E1065" s="19" t="str">
        <f>VLOOKUP(A1065,'ESTADOS ESTUDIANTES'!B:L,5,0)</f>
        <v>X</v>
      </c>
      <c r="F1065" s="18" t="str">
        <f>VLOOKUP(E1065,Listas!B1:C1004,2,0)</f>
        <v>EXCLUIDO</v>
      </c>
      <c r="G1065" s="19">
        <f>VLOOKUP(A1065,'ESTADOS ESTUDIANTES'!B:L,7,0)</f>
        <v>3</v>
      </c>
      <c r="H1065" s="19" t="str">
        <f>VLOOKUP(A1065,'ESTADOS ESTUDIANTES'!B:L,8,0)</f>
        <v>dnerikaj@udistrital.edu.co</v>
      </c>
      <c r="I1065" s="70" t="str">
        <f>VLOOKUP(A1065,'ESTADOS ESTUDIANTES'!B:L,9,0)</f>
        <v>ekdaza1709@gmail.com</v>
      </c>
      <c r="J1065" s="19" t="str">
        <f>VLOOKUP(A1065,'ESTADOS ESTUDIANTES'!B:L,10,0)</f>
        <v>CC</v>
      </c>
      <c r="K1065" s="19">
        <f>VLOOKUP(A1065,'ESTADOS ESTUDIANTES'!B:L,11,0)</f>
        <v>1018460864</v>
      </c>
      <c r="L1065" s="19">
        <v>3207553745</v>
      </c>
      <c r="M1065" s="20"/>
      <c r="N1065" s="22"/>
      <c r="O1065" s="15"/>
      <c r="P1065" s="15"/>
      <c r="Q1065" s="15"/>
      <c r="R1065" s="15"/>
      <c r="S1065" s="15"/>
      <c r="T1065" s="15"/>
      <c r="U1065" s="15"/>
    </row>
    <row r="1066" spans="1:21" ht="90">
      <c r="A1066" s="17">
        <v>20192495006</v>
      </c>
      <c r="B1066" s="19" t="str">
        <f>VLOOKUP(A1066,'ESTADOS ESTUDIANTES'!B:L,2,0)</f>
        <v>RESTREPO RODRÍGUEZ ANDRÉS OVIDIO</v>
      </c>
      <c r="C1066" s="19">
        <f>VLOOKUP(A1066,'ESTADOS ESTUDIANTES'!B:L,3,0)</f>
        <v>495</v>
      </c>
      <c r="D1066" s="66" t="str">
        <f>VLOOKUP(A1066,'ESTADOS ESTUDIANTES'!B:L,4,0)</f>
        <v>MAE. EN CIENCIAS DE LA INF. Y LAS COMUNICACIONES ENFASIS EN ING. SOFT</v>
      </c>
      <c r="E1066" s="19" t="str">
        <f>VLOOKUP(A1066,'ESTADOS ESTUDIANTES'!B:L,5,0)</f>
        <v>E</v>
      </c>
      <c r="F1066" s="18" t="str">
        <f>VLOOKUP(E1066,Listas!B1:C1004,2,0)</f>
        <v>EGRESADO</v>
      </c>
      <c r="G1066" s="19">
        <f>VLOOKUP(A1066,'ESTADOS ESTUDIANTES'!B:L,7,0)</f>
        <v>2</v>
      </c>
      <c r="H1066" s="19" t="str">
        <f>VLOOKUP(A1066,'ESTADOS ESTUDIANTES'!B:L,8,0)</f>
        <v>rrandreso@udistrital.edu.co</v>
      </c>
      <c r="I1066" s="70" t="str">
        <f>VLOOKUP(A1066,'ESTADOS ESTUDIANTES'!B:L,9,0)</f>
        <v>aorestrepor@correo.udistrital.edu.co</v>
      </c>
      <c r="J1066" s="19" t="str">
        <f>VLOOKUP(A1066,'ESTADOS ESTUDIANTES'!B:L,10,0)</f>
        <v>CC</v>
      </c>
      <c r="K1066" s="19">
        <f>VLOOKUP(A1066,'ESTADOS ESTUDIANTES'!B:L,11,0)</f>
        <v>1032479265</v>
      </c>
      <c r="L1066" s="19">
        <v>3125523179</v>
      </c>
      <c r="M1066" s="20">
        <v>35124</v>
      </c>
      <c r="N1066" s="22"/>
      <c r="O1066" s="15"/>
      <c r="P1066" s="15"/>
      <c r="Q1066" s="15"/>
      <c r="R1066" s="15"/>
      <c r="S1066" s="15"/>
      <c r="T1066" s="15"/>
      <c r="U1066" s="15"/>
    </row>
    <row r="1067" spans="1:21" ht="90">
      <c r="A1067" s="17">
        <v>20192495007</v>
      </c>
      <c r="B1067" s="19" t="str">
        <f>VLOOKUP(A1067,'ESTADOS ESTUDIANTES'!B:L,2,0)</f>
        <v>HERNANDEZ RODRIGUEZ JORGE EDUARDO</v>
      </c>
      <c r="C1067" s="19">
        <f>VLOOKUP(A1067,'ESTADOS ESTUDIANTES'!B:L,3,0)</f>
        <v>495</v>
      </c>
      <c r="D1067" s="66" t="str">
        <f>VLOOKUP(A1067,'ESTADOS ESTUDIANTES'!B:L,4,0)</f>
        <v>MAE. EN CIENCIAS DE LA INF. Y LAS COMUNICACIONES ENFASIS EN ING. SOFT</v>
      </c>
      <c r="E1067" s="19" t="str">
        <f>VLOOKUP(A1067,'ESTADOS ESTUDIANTES'!B:L,5,0)</f>
        <v>E</v>
      </c>
      <c r="F1067" s="18" t="str">
        <f>VLOOKUP(E1067,Listas!B1:C1004,2,0)</f>
        <v>EGRESADO</v>
      </c>
      <c r="G1067" s="19">
        <f>VLOOKUP(A1067,'ESTADOS ESTUDIANTES'!B:L,7,0)</f>
        <v>1</v>
      </c>
      <c r="H1067" s="19" t="str">
        <f>VLOOKUP(A1067,'ESTADOS ESTUDIANTES'!B:L,8,0)</f>
        <v>hrjorgee@udistrital.edu.co</v>
      </c>
      <c r="I1067" s="70" t="str">
        <f>VLOOKUP(A1067,'ESTADOS ESTUDIANTES'!B:L,9,0)</f>
        <v>jehernandezrodriguez@gmail.com</v>
      </c>
      <c r="J1067" s="19" t="str">
        <f>VLOOKUP(A1067,'ESTADOS ESTUDIANTES'!B:L,10,0)</f>
        <v>CC</v>
      </c>
      <c r="K1067" s="19">
        <f>VLOOKUP(A1067,'ESTADOS ESTUDIANTES'!B:L,11,0)</f>
        <v>1013673538</v>
      </c>
      <c r="L1067" s="19">
        <v>3059015657</v>
      </c>
      <c r="M1067" s="20">
        <v>35567</v>
      </c>
      <c r="N1067" s="22"/>
      <c r="O1067" s="15"/>
      <c r="P1067" s="15"/>
      <c r="Q1067" s="15"/>
      <c r="R1067" s="15"/>
      <c r="S1067" s="15"/>
      <c r="T1067" s="15"/>
      <c r="U1067" s="15"/>
    </row>
    <row r="1068" spans="1:21" ht="90">
      <c r="A1068" s="17">
        <v>20192495008</v>
      </c>
      <c r="B1068" s="19" t="str">
        <f>VLOOKUP(A1068,'ESTADOS ESTUDIANTES'!B:L,2,0)</f>
        <v>CRUZ CONTRERAS LUIS ARMANDO</v>
      </c>
      <c r="C1068" s="19">
        <f>VLOOKUP(A1068,'ESTADOS ESTUDIANTES'!B:L,3,0)</f>
        <v>495</v>
      </c>
      <c r="D1068" s="66" t="str">
        <f>VLOOKUP(A1068,'ESTADOS ESTUDIANTES'!B:L,4,0)</f>
        <v>MAE. EN CIENCIAS DE LA INF. Y LAS COMUNICACIONES ENFASIS EN ING. SOFT</v>
      </c>
      <c r="E1068" s="19" t="str">
        <f>VLOOKUP(A1068,'ESTADOS ESTUDIANTES'!B:L,5,0)</f>
        <v>X</v>
      </c>
      <c r="F1068" s="18" t="str">
        <f>VLOOKUP(E1068,Listas!B1:C1004,2,0)</f>
        <v>EXCLUIDO</v>
      </c>
      <c r="G1068" s="19">
        <f>VLOOKUP(A1068,'ESTADOS ESTUDIANTES'!B:L,7,0)</f>
        <v>4</v>
      </c>
      <c r="H1068" s="19" t="str">
        <f>VLOOKUP(A1068,'ESTADOS ESTUDIANTES'!B:L,8,0)</f>
        <v>ccluisa@correo.udistrital.edu.co</v>
      </c>
      <c r="I1068" s="70" t="str">
        <f>VLOOKUP(A1068,'ESTADOS ESTUDIANTES'!B:L,9,0)</f>
        <v>cruzco2009@hotmail.com</v>
      </c>
      <c r="J1068" s="19" t="str">
        <f>VLOOKUP(A1068,'ESTADOS ESTUDIANTES'!B:L,10,0)</f>
        <v>CC</v>
      </c>
      <c r="K1068" s="19">
        <f>VLOOKUP(A1068,'ESTADOS ESTUDIANTES'!B:L,11,0)</f>
        <v>1032449331</v>
      </c>
      <c r="L1068" s="19">
        <v>3213574239</v>
      </c>
      <c r="M1068" s="20"/>
      <c r="N1068" s="22"/>
      <c r="O1068" s="15"/>
      <c r="P1068" s="15"/>
      <c r="Q1068" s="15"/>
      <c r="R1068" s="15"/>
      <c r="S1068" s="15"/>
      <c r="T1068" s="15"/>
      <c r="U1068" s="15"/>
    </row>
    <row r="1069" spans="1:21" ht="90">
      <c r="A1069" s="17">
        <v>20192495009</v>
      </c>
      <c r="B1069" s="19" t="str">
        <f>VLOOKUP(A1069,'ESTADOS ESTUDIANTES'!B:L,2,0)</f>
        <v>ARAGÓN MORALES OSCAR MAURICIO</v>
      </c>
      <c r="C1069" s="19">
        <f>VLOOKUP(A1069,'ESTADOS ESTUDIANTES'!B:L,3,0)</f>
        <v>495</v>
      </c>
      <c r="D1069" s="66" t="str">
        <f>VLOOKUP(A1069,'ESTADOS ESTUDIANTES'!B:L,4,0)</f>
        <v>MAE. EN CIENCIAS DE LA INF. Y LAS COMUNICACIONES ENFASIS EN ING. SOFT</v>
      </c>
      <c r="E1069" s="19" t="str">
        <f>VLOOKUP(A1069,'ESTADOS ESTUDIANTES'!B:L,5,0)</f>
        <v>X</v>
      </c>
      <c r="F1069" s="18" t="str">
        <f>VLOOKUP(E1069,Listas!B1:C1004,2,0)</f>
        <v>EXCLUIDO</v>
      </c>
      <c r="G1069" s="19">
        <f>VLOOKUP(A1069,'ESTADOS ESTUDIANTES'!B:L,7,0)</f>
        <v>2</v>
      </c>
      <c r="H1069" s="19" t="str">
        <f>VLOOKUP(A1069,'ESTADOS ESTUDIANTES'!B:L,8,0)</f>
        <v>amoscarm@udistrital.edu.co</v>
      </c>
      <c r="I1069" s="70" t="str">
        <f>VLOOKUP(A1069,'ESTADOS ESTUDIANTES'!B:L,9,0)</f>
        <v>osaragonm@gmail.com</v>
      </c>
      <c r="J1069" s="19" t="str">
        <f>VLOOKUP(A1069,'ESTADOS ESTUDIANTES'!B:L,10,0)</f>
        <v>CC</v>
      </c>
      <c r="K1069" s="19">
        <f>VLOOKUP(A1069,'ESTADOS ESTUDIANTES'!B:L,11,0)</f>
        <v>1031148268</v>
      </c>
      <c r="L1069" s="19">
        <v>3046771396</v>
      </c>
      <c r="M1069" s="20">
        <v>34202</v>
      </c>
      <c r="N1069" s="22"/>
      <c r="O1069" s="15"/>
      <c r="P1069" s="15"/>
      <c r="Q1069" s="15"/>
      <c r="R1069" s="15"/>
      <c r="S1069" s="15"/>
      <c r="T1069" s="15"/>
      <c r="U1069" s="15"/>
    </row>
    <row r="1070" spans="1:21" ht="90">
      <c r="A1070" s="17">
        <v>20192495010</v>
      </c>
      <c r="B1070" s="19" t="str">
        <f>VLOOKUP(A1070,'ESTADOS ESTUDIANTES'!B:L,2,0)</f>
        <v>SIERRA FORERO STEVEN</v>
      </c>
      <c r="C1070" s="19">
        <f>VLOOKUP(A1070,'ESTADOS ESTUDIANTES'!B:L,3,0)</f>
        <v>495</v>
      </c>
      <c r="D1070" s="66" t="str">
        <f>VLOOKUP(A1070,'ESTADOS ESTUDIANTES'!B:L,4,0)</f>
        <v>MAE. EN CIENCIAS DE LA INF. Y LAS COMUNICACIONES ENFASIS EN ING. SOFT</v>
      </c>
      <c r="E1070" s="19" t="str">
        <f>VLOOKUP(A1070,'ESTADOS ESTUDIANTES'!B:L,5,0)</f>
        <v>X</v>
      </c>
      <c r="F1070" s="18" t="str">
        <f>VLOOKUP(E1070,Listas!B1:C1004,2,0)</f>
        <v>EXCLUIDO</v>
      </c>
      <c r="G1070" s="19">
        <f>VLOOKUP(A1070,'ESTADOS ESTUDIANTES'!B:L,7,0)</f>
        <v>3</v>
      </c>
      <c r="H1070" s="19" t="str">
        <f>VLOOKUP(A1070,'ESTADOS ESTUDIANTES'!B:L,8,0)</f>
        <v>sforeros@correo.udistrital.edu.co</v>
      </c>
      <c r="I1070" s="70" t="str">
        <f>VLOOKUP(A1070,'ESTADOS ESTUDIANTES'!B:L,9,0)</f>
        <v>ingenieria.sierra@gmail.com</v>
      </c>
      <c r="J1070" s="19" t="str">
        <f>VLOOKUP(A1070,'ESTADOS ESTUDIANTES'!B:L,10,0)</f>
        <v>CC</v>
      </c>
      <c r="K1070" s="19">
        <f>VLOOKUP(A1070,'ESTADOS ESTUDIANTES'!B:L,11,0)</f>
        <v>1016011460</v>
      </c>
      <c r="L1070" s="19">
        <v>3017901356</v>
      </c>
      <c r="M1070" s="20"/>
      <c r="N1070" s="22"/>
      <c r="O1070" s="15"/>
      <c r="P1070" s="15"/>
      <c r="Q1070" s="15"/>
      <c r="R1070" s="15"/>
      <c r="S1070" s="15"/>
      <c r="T1070" s="15"/>
      <c r="U1070" s="15"/>
    </row>
    <row r="1071" spans="1:21" ht="90">
      <c r="A1071" s="17">
        <v>20192495011</v>
      </c>
      <c r="B1071" s="19" t="str">
        <f>VLOOKUP(A1071,'ESTADOS ESTUDIANTES'!B:L,2,0)</f>
        <v>MARTIN VEGA DANIELA</v>
      </c>
      <c r="C1071" s="19">
        <f>VLOOKUP(A1071,'ESTADOS ESTUDIANTES'!B:L,3,0)</f>
        <v>495</v>
      </c>
      <c r="D1071" s="66" t="str">
        <f>VLOOKUP(A1071,'ESTADOS ESTUDIANTES'!B:L,4,0)</f>
        <v>MAE. EN CIENCIAS DE LA INF. Y LAS COMUNICACIONES ENFASIS EN ING. SOFT</v>
      </c>
      <c r="E1071" s="19" t="str">
        <f>VLOOKUP(A1071,'ESTADOS ESTUDIANTES'!B:L,5,0)</f>
        <v>E</v>
      </c>
      <c r="F1071" s="18" t="str">
        <f>VLOOKUP(E1071,Listas!B1:C1004,2,0)</f>
        <v>EGRESADO</v>
      </c>
      <c r="G1071" s="19">
        <f>VLOOKUP(A1071,'ESTADOS ESTUDIANTES'!B:L,7,0)</f>
        <v>3</v>
      </c>
      <c r="H1071" s="19" t="str">
        <f>VLOOKUP(A1071,'ESTADOS ESTUDIANTES'!B:L,8,0)</f>
        <v>dmartinv@udistrital.edu.co</v>
      </c>
      <c r="I1071" s="70" t="str">
        <f>VLOOKUP(A1071,'ESTADOS ESTUDIANTES'!B:L,9,0)</f>
        <v>dmartinvega@gmail.com</v>
      </c>
      <c r="J1071" s="19" t="str">
        <f>VLOOKUP(A1071,'ESTADOS ESTUDIANTES'!B:L,10,0)</f>
        <v>CC</v>
      </c>
      <c r="K1071" s="19">
        <f>VLOOKUP(A1071,'ESTADOS ESTUDIANTES'!B:L,11,0)</f>
        <v>1018465807</v>
      </c>
      <c r="L1071" s="19">
        <v>3059399347</v>
      </c>
      <c r="M1071" s="20">
        <v>34434</v>
      </c>
      <c r="N1071" s="22"/>
      <c r="O1071" s="15"/>
      <c r="P1071" s="15"/>
      <c r="Q1071" s="15"/>
      <c r="R1071" s="15"/>
      <c r="S1071" s="15"/>
      <c r="T1071" s="15"/>
      <c r="U1071" s="15"/>
    </row>
    <row r="1072" spans="1:21" ht="90">
      <c r="A1072" s="17">
        <v>20192495012</v>
      </c>
      <c r="B1072" s="19" t="str">
        <f>VLOOKUP(A1072,'ESTADOS ESTUDIANTES'!B:L,2,0)</f>
        <v>FONSECA TRUJILLO JUAN SEBASTIAN</v>
      </c>
      <c r="C1072" s="19">
        <f>VLOOKUP(A1072,'ESTADOS ESTUDIANTES'!B:L,3,0)</f>
        <v>495</v>
      </c>
      <c r="D1072" s="66" t="str">
        <f>VLOOKUP(A1072,'ESTADOS ESTUDIANTES'!B:L,4,0)</f>
        <v>MAE. EN CIENCIAS DE LA INF. Y LAS COMUNICACIONES ENFASIS EN ING. SOFT</v>
      </c>
      <c r="E1072" s="19" t="str">
        <f>VLOOKUP(A1072,'ESTADOS ESTUDIANTES'!B:L,5,0)</f>
        <v>N</v>
      </c>
      <c r="F1072" s="18" t="str">
        <f>VLOOKUP(E1072,Listas!B1:C1004,2,0)</f>
        <v>ERROR DE CODIGO</v>
      </c>
      <c r="G1072" s="19" t="str">
        <f>VLOOKUP(A1072,'ESTADOS ESTUDIANTES'!B:L,7,0)</f>
        <v>NO REGISTRA</v>
      </c>
      <c r="H1072" s="19" t="str">
        <f>VLOOKUP(A1072,'ESTADOS ESTUDIANTES'!B:L,8,0)</f>
        <v>ftjuans@correo.udistrital.edu.co</v>
      </c>
      <c r="I1072" s="70" t="str">
        <f>VLOOKUP(A1072,'ESTADOS ESTUDIANTES'!B:L,9,0)</f>
        <v>jsfonsecat@correo.udistrital.edu.co</v>
      </c>
      <c r="J1072" s="19" t="str">
        <f>VLOOKUP(A1072,'ESTADOS ESTUDIANTES'!B:L,10,0)</f>
        <v>CC</v>
      </c>
      <c r="K1072" s="19">
        <f>VLOOKUP(A1072,'ESTADOS ESTUDIANTES'!B:L,11,0)</f>
        <v>1032455152</v>
      </c>
      <c r="L1072" s="23"/>
      <c r="M1072" s="20"/>
      <c r="N1072" s="22"/>
      <c r="O1072" s="15"/>
      <c r="P1072" s="15"/>
      <c r="Q1072" s="15"/>
      <c r="R1072" s="15"/>
      <c r="S1072" s="15"/>
      <c r="T1072" s="15"/>
      <c r="U1072" s="15"/>
    </row>
    <row r="1073" spans="1:21" ht="90">
      <c r="A1073" s="17">
        <v>20192495013</v>
      </c>
      <c r="B1073" s="19" t="str">
        <f>VLOOKUP(A1073,'ESTADOS ESTUDIANTES'!B:L,2,0)</f>
        <v>IDROBO LOPEZ OSCAR JAVIER</v>
      </c>
      <c r="C1073" s="19">
        <f>VLOOKUP(A1073,'ESTADOS ESTUDIANTES'!B:L,3,0)</f>
        <v>495</v>
      </c>
      <c r="D1073" s="66" t="str">
        <f>VLOOKUP(A1073,'ESTADOS ESTUDIANTES'!B:L,4,0)</f>
        <v>MAE. EN CIENCIAS DE LA INF. Y LAS COMUNICACIONES ENFASIS EN ING. SOFT</v>
      </c>
      <c r="E1073" s="19" t="str">
        <f>VLOOKUP(A1073,'ESTADOS ESTUDIANTES'!B:L,5,0)</f>
        <v>E</v>
      </c>
      <c r="F1073" s="18" t="str">
        <f>VLOOKUP(E1073,Listas!B1:C1004,2,0)</f>
        <v>EGRESADO</v>
      </c>
      <c r="G1073" s="19">
        <f>VLOOKUP(A1073,'ESTADOS ESTUDIANTES'!B:L,7,0)</f>
        <v>3</v>
      </c>
      <c r="H1073" s="19" t="str">
        <f>VLOOKUP(A1073,'ESTADOS ESTUDIANTES'!B:L,8,0)</f>
        <v>ojidrobol@udistrital.edu.co</v>
      </c>
      <c r="I1073" s="70" t="str">
        <f>VLOOKUP(A1073,'ESTADOS ESTUDIANTES'!B:L,9,0)</f>
        <v>oscaridrobolopez@hotmail.com</v>
      </c>
      <c r="J1073" s="19" t="str">
        <f>VLOOKUP(A1073,'ESTADOS ESTUDIANTES'!B:L,10,0)</f>
        <v>CC</v>
      </c>
      <c r="K1073" s="19">
        <f>VLOOKUP(A1073,'ESTADOS ESTUDIANTES'!B:L,11,0)</f>
        <v>1022386417</v>
      </c>
      <c r="L1073" s="19">
        <v>3118649680</v>
      </c>
      <c r="M1073" s="20"/>
      <c r="N1073" s="22"/>
      <c r="O1073" s="15"/>
      <c r="P1073" s="15"/>
      <c r="Q1073" s="15"/>
      <c r="R1073" s="15"/>
      <c r="S1073" s="15"/>
      <c r="T1073" s="15"/>
      <c r="U1073" s="15"/>
    </row>
    <row r="1074" spans="1:21" ht="90">
      <c r="A1074" s="17">
        <v>20192495014</v>
      </c>
      <c r="B1074" s="19" t="str">
        <f>VLOOKUP(A1074,'ESTADOS ESTUDIANTES'!B:L,2,0)</f>
        <v>ARIZA RIAÑO MADDYZETH</v>
      </c>
      <c r="C1074" s="19">
        <f>VLOOKUP(A1074,'ESTADOS ESTUDIANTES'!B:L,3,0)</f>
        <v>495</v>
      </c>
      <c r="D1074" s="66" t="str">
        <f>VLOOKUP(A1074,'ESTADOS ESTUDIANTES'!B:L,4,0)</f>
        <v>MAE. EN CIENCIAS DE LA INF. Y LAS COMUNICACIONES ENFASIS EN ING. SOFT</v>
      </c>
      <c r="E1074" s="19" t="str">
        <f>VLOOKUP(A1074,'ESTADOS ESTUDIANTES'!B:L,5,0)</f>
        <v>E</v>
      </c>
      <c r="F1074" s="18" t="str">
        <f>VLOOKUP(E1074,Listas!B1:C1004,2,0)</f>
        <v>EGRESADO</v>
      </c>
      <c r="G1074" s="19">
        <f>VLOOKUP(A1074,'ESTADOS ESTUDIANTES'!B:L,7,0)</f>
        <v>4</v>
      </c>
      <c r="H1074" s="19" t="str">
        <f>VLOOKUP(A1074,'ESTADOS ESTUDIANTES'!B:L,8,0)</f>
        <v>arianom@udistrital.edu.co</v>
      </c>
      <c r="I1074" s="70" t="str">
        <f>VLOOKUP(A1074,'ESTADOS ESTUDIANTES'!B:L,9,0)</f>
        <v>maddyz182@gmail.com</v>
      </c>
      <c r="J1074" s="19" t="str">
        <f>VLOOKUP(A1074,'ESTADOS ESTUDIANTES'!B:L,10,0)</f>
        <v>CC</v>
      </c>
      <c r="K1074" s="19">
        <f>VLOOKUP(A1074,'ESTADOS ESTUDIANTES'!B:L,11,0)</f>
        <v>1023948001</v>
      </c>
      <c r="L1074" s="23"/>
      <c r="M1074" s="20"/>
      <c r="N1074" s="22"/>
      <c r="O1074" s="15"/>
      <c r="P1074" s="15"/>
      <c r="Q1074" s="15"/>
      <c r="R1074" s="15"/>
      <c r="S1074" s="15"/>
      <c r="T1074" s="15"/>
      <c r="U1074" s="15"/>
    </row>
    <row r="1075" spans="1:21" ht="90">
      <c r="A1075" s="17">
        <v>20201195001</v>
      </c>
      <c r="B1075" s="19" t="str">
        <f>VLOOKUP(A1075,'ESTADOS ESTUDIANTES'!B:L,2,0)</f>
        <v>CASANOVA VARGAS ÁLVARO ANDRÉS</v>
      </c>
      <c r="C1075" s="19">
        <f>VLOOKUP(A1075,'ESTADOS ESTUDIANTES'!B:L,3,0)</f>
        <v>195</v>
      </c>
      <c r="D1075" s="66" t="str">
        <f>VLOOKUP(A1075,'ESTADOS ESTUDIANTES'!B:L,4,0)</f>
        <v>MAE. EN CIENCIAS DE LA INF. Y LAS COMUNICACIONES ENFASIS EN TELEINF.</v>
      </c>
      <c r="E1075" s="19" t="str">
        <f>VLOOKUP(A1075,'ESTADOS ESTUDIANTES'!B:L,5,0)</f>
        <v>X</v>
      </c>
      <c r="F1075" s="18" t="str">
        <f>VLOOKUP(E1075,Listas!B1:C1004,2,0)</f>
        <v>EXCLUIDO</v>
      </c>
      <c r="G1075" s="19">
        <f>VLOOKUP(A1075,'ESTADOS ESTUDIANTES'!B:L,7,0)</f>
        <v>3</v>
      </c>
      <c r="H1075" s="19" t="str">
        <f>VLOOKUP(A1075,'ESTADOS ESTUDIANTES'!B:L,8,0)</f>
        <v>aacasanovav@correo.udistrital.edu.co</v>
      </c>
      <c r="I1075" s="70" t="str">
        <f>VLOOKUP(A1075,'ESTADOS ESTUDIANTES'!B:L,9,0)</f>
        <v>andresscasanova@hotmail.com</v>
      </c>
      <c r="J1075" s="19" t="str">
        <f>VLOOKUP(A1075,'ESTADOS ESTUDIANTES'!B:L,10,0)</f>
        <v>CC</v>
      </c>
      <c r="K1075" s="19">
        <f>VLOOKUP(A1075,'ESTADOS ESTUDIANTES'!B:L,11,0)</f>
        <v>1010210647</v>
      </c>
      <c r="L1075" s="19">
        <v>3155567997</v>
      </c>
      <c r="M1075" s="20"/>
      <c r="N1075" s="22"/>
      <c r="O1075" s="15"/>
      <c r="P1075" s="15"/>
      <c r="Q1075" s="15"/>
      <c r="R1075" s="15"/>
      <c r="S1075" s="15"/>
      <c r="T1075" s="15"/>
      <c r="U1075" s="15"/>
    </row>
    <row r="1076" spans="1:21" ht="90">
      <c r="A1076" s="17">
        <v>20201195002</v>
      </c>
      <c r="B1076" s="19" t="str">
        <f>VLOOKUP(A1076,'ESTADOS ESTUDIANTES'!B:L,2,0)</f>
        <v>GARZÓN BAUTISTA HARVEY ALEXANDER</v>
      </c>
      <c r="C1076" s="19">
        <f>VLOOKUP(A1076,'ESTADOS ESTUDIANTES'!B:L,3,0)</f>
        <v>195</v>
      </c>
      <c r="D1076" s="66" t="str">
        <f>VLOOKUP(A1076,'ESTADOS ESTUDIANTES'!B:L,4,0)</f>
        <v>MAE. EN CIENCIAS DE LA INF. Y LAS COMUNICACIONES ENFASIS EN TELEINF.</v>
      </c>
      <c r="E1076" s="19" t="str">
        <f>VLOOKUP(A1076,'ESTADOS ESTUDIANTES'!B:L,5,0)</f>
        <v>A</v>
      </c>
      <c r="F1076" s="18" t="str">
        <f>VLOOKUP(E1076,Listas!B1:C1004,2,0)</f>
        <v>ACTIVO</v>
      </c>
      <c r="G1076" s="19">
        <f>VLOOKUP(A1076,'ESTADOS ESTUDIANTES'!B:L,7,0)</f>
        <v>4</v>
      </c>
      <c r="H1076" s="19" t="str">
        <f>VLOOKUP(A1076,'ESTADOS ESTUDIANTES'!B:L,8,0)</f>
        <v>haagarzonb@udistrital.edu.co</v>
      </c>
      <c r="I1076" s="70" t="str">
        <f>VLOOKUP(A1076,'ESTADOS ESTUDIANTES'!B:L,9,0)</f>
        <v>bautista56@hotmail.com</v>
      </c>
      <c r="J1076" s="19" t="str">
        <f>VLOOKUP(A1076,'ESTADOS ESTUDIANTES'!B:L,10,0)</f>
        <v>CC</v>
      </c>
      <c r="K1076" s="19">
        <f>VLOOKUP(A1076,'ESTADOS ESTUDIANTES'!B:L,11,0)</f>
        <v>80829526</v>
      </c>
      <c r="L1076" s="19">
        <v>3002899943</v>
      </c>
      <c r="M1076" s="20">
        <v>30895</v>
      </c>
      <c r="N1076" s="22"/>
      <c r="O1076" s="15"/>
      <c r="P1076" s="15"/>
      <c r="Q1076" s="15"/>
      <c r="R1076" s="15"/>
      <c r="S1076" s="15"/>
      <c r="T1076" s="15"/>
      <c r="U1076" s="15"/>
    </row>
    <row r="1077" spans="1:21" ht="90">
      <c r="A1077" s="17">
        <v>20201195003</v>
      </c>
      <c r="B1077" s="19" t="str">
        <f>VLOOKUP(A1077,'ESTADOS ESTUDIANTES'!B:L,2,0)</f>
        <v>GUAQUETA RESTREPO JORGE MARIO</v>
      </c>
      <c r="C1077" s="19">
        <f>VLOOKUP(A1077,'ESTADOS ESTUDIANTES'!B:L,3,0)</f>
        <v>195</v>
      </c>
      <c r="D1077" s="66" t="str">
        <f>VLOOKUP(A1077,'ESTADOS ESTUDIANTES'!B:L,4,0)</f>
        <v>MAE. EN CIENCIAS DE LA INF. Y LAS COMUNICACIONES ENFASIS EN TELEINF.</v>
      </c>
      <c r="E1077" s="19" t="str">
        <f>VLOOKUP(A1077,'ESTADOS ESTUDIANTES'!B:L,5,0)</f>
        <v>X</v>
      </c>
      <c r="F1077" s="18" t="str">
        <f>VLOOKUP(E1077,Listas!B1:C1004,2,0)</f>
        <v>EXCLUIDO</v>
      </c>
      <c r="G1077" s="19">
        <f>VLOOKUP(A1077,'ESTADOS ESTUDIANTES'!B:L,7,0)</f>
        <v>3</v>
      </c>
      <c r="H1077" s="19">
        <f>VLOOKUP(A1077,'ESTADOS ESTUDIANTES'!B:L,8,0)</f>
        <v>0</v>
      </c>
      <c r="I1077" s="70" t="str">
        <f>VLOOKUP(A1077,'ESTADOS ESTUDIANTES'!B:L,9,0)</f>
        <v>m_a15@hotmail.es</v>
      </c>
      <c r="J1077" s="19" t="str">
        <f>VLOOKUP(A1077,'ESTADOS ESTUDIANTES'!B:L,10,0)</f>
        <v>CC</v>
      </c>
      <c r="K1077" s="19">
        <f>VLOOKUP(A1077,'ESTADOS ESTUDIANTES'!B:L,11,0)</f>
        <v>1032459576</v>
      </c>
      <c r="L1077" s="19">
        <v>3114913693</v>
      </c>
      <c r="M1077" s="20"/>
      <c r="N1077" s="22"/>
      <c r="O1077" s="15"/>
      <c r="P1077" s="15"/>
      <c r="Q1077" s="15"/>
      <c r="R1077" s="15"/>
      <c r="S1077" s="15"/>
      <c r="T1077" s="15"/>
      <c r="U1077" s="15"/>
    </row>
    <row r="1078" spans="1:21" ht="90">
      <c r="A1078" s="17">
        <v>20201195004</v>
      </c>
      <c r="B1078" s="19" t="str">
        <f>VLOOKUP(A1078,'ESTADOS ESTUDIANTES'!B:L,2,0)</f>
        <v>HERRERA ARDILA VIVIAN BRIGITTE</v>
      </c>
      <c r="C1078" s="19">
        <f>VLOOKUP(A1078,'ESTADOS ESTUDIANTES'!B:L,3,0)</f>
        <v>195</v>
      </c>
      <c r="D1078" s="66" t="str">
        <f>VLOOKUP(A1078,'ESTADOS ESTUDIANTES'!B:L,4,0)</f>
        <v>MAE. EN CIENCIAS DE LA INF. Y LAS COMUNICACIONES ENFASIS EN TELEINF.</v>
      </c>
      <c r="E1078" s="19" t="str">
        <f>VLOOKUP(A1078,'ESTADOS ESTUDIANTES'!B:L,5,0)</f>
        <v>X</v>
      </c>
      <c r="F1078" s="18" t="str">
        <f>VLOOKUP(E1078,Listas!B1:C1004,2,0)</f>
        <v>EXCLUIDO</v>
      </c>
      <c r="G1078" s="19">
        <f>VLOOKUP(A1078,'ESTADOS ESTUDIANTES'!B:L,7,0)</f>
        <v>3</v>
      </c>
      <c r="H1078" s="19" t="str">
        <f>VLOOKUP(A1078,'ESTADOS ESTUDIANTES'!B:L,8,0)</f>
        <v>vherreraa@udistrital.edu.co</v>
      </c>
      <c r="I1078" s="70" t="str">
        <f>VLOOKUP(A1078,'ESTADOS ESTUDIANTES'!B:L,9,0)</f>
        <v>vherreraa@correo.udistrital.edu.co</v>
      </c>
      <c r="J1078" s="19" t="str">
        <f>VLOOKUP(A1078,'ESTADOS ESTUDIANTES'!B:L,10,0)</f>
        <v>CC</v>
      </c>
      <c r="K1078" s="19">
        <f>VLOOKUP(A1078,'ESTADOS ESTUDIANTES'!B:L,11,0)</f>
        <v>1014204528</v>
      </c>
      <c r="L1078" s="19">
        <v>0</v>
      </c>
      <c r="M1078" s="20"/>
      <c r="N1078" s="22"/>
      <c r="O1078" s="15"/>
      <c r="P1078" s="15"/>
      <c r="Q1078" s="15"/>
      <c r="R1078" s="15"/>
      <c r="S1078" s="15"/>
      <c r="T1078" s="15"/>
      <c r="U1078" s="15"/>
    </row>
    <row r="1079" spans="1:21" ht="90">
      <c r="A1079" s="17">
        <v>20201195005</v>
      </c>
      <c r="B1079" s="19" t="str">
        <f>VLOOKUP(A1079,'ESTADOS ESTUDIANTES'!B:L,2,0)</f>
        <v>MORENO REINA JOSE MIGUEL</v>
      </c>
      <c r="C1079" s="19">
        <f>VLOOKUP(A1079,'ESTADOS ESTUDIANTES'!B:L,3,0)</f>
        <v>195</v>
      </c>
      <c r="D1079" s="66" t="str">
        <f>VLOOKUP(A1079,'ESTADOS ESTUDIANTES'!B:L,4,0)</f>
        <v>MAE. EN CIENCIAS DE LA INF. Y LAS COMUNICACIONES ENFASIS EN TELEINF.</v>
      </c>
      <c r="E1079" s="19" t="str">
        <f>VLOOKUP(A1079,'ESTADOS ESTUDIANTES'!B:L,5,0)</f>
        <v>V</v>
      </c>
      <c r="F1079" s="18" t="str">
        <f>VLOOKUP(E1079,Listas!B1:C1004,2,0)</f>
        <v>VACACIONES</v>
      </c>
      <c r="G1079" s="19">
        <f>VLOOKUP(A1079,'ESTADOS ESTUDIANTES'!B:L,7,0)</f>
        <v>3</v>
      </c>
      <c r="H1079" s="19" t="str">
        <f>VLOOKUP(A1079,'ESTADOS ESTUDIANTES'!B:L,8,0)</f>
        <v>jmmorenor@udistrital.edu.co</v>
      </c>
      <c r="I1079" s="70" t="str">
        <f>VLOOKUP(A1079,'ESTADOS ESTUDIANTES'!B:L,9,0)</f>
        <v>jose.moreno.ing@gmail.com</v>
      </c>
      <c r="J1079" s="19" t="str">
        <f>VLOOKUP(A1079,'ESTADOS ESTUDIANTES'!B:L,10,0)</f>
        <v>CC</v>
      </c>
      <c r="K1079" s="19">
        <f>VLOOKUP(A1079,'ESTADOS ESTUDIANTES'!B:L,11,0)</f>
        <v>1018438615</v>
      </c>
      <c r="L1079" s="19">
        <v>3016039525</v>
      </c>
      <c r="M1079" s="20">
        <v>33168</v>
      </c>
      <c r="N1079" s="22"/>
      <c r="O1079" s="15"/>
      <c r="P1079" s="15"/>
      <c r="Q1079" s="15"/>
      <c r="R1079" s="15"/>
      <c r="S1079" s="15"/>
      <c r="T1079" s="15"/>
      <c r="U1079" s="15"/>
    </row>
    <row r="1080" spans="1:21" ht="90">
      <c r="A1080" s="17">
        <v>20201195006</v>
      </c>
      <c r="B1080" s="19" t="str">
        <f>VLOOKUP(A1080,'ESTADOS ESTUDIANTES'!B:L,2,0)</f>
        <v>PATIÑO LOPEZ LUIS FELIPE</v>
      </c>
      <c r="C1080" s="19">
        <f>VLOOKUP(A1080,'ESTADOS ESTUDIANTES'!B:L,3,0)</f>
        <v>195</v>
      </c>
      <c r="D1080" s="66" t="str">
        <f>VLOOKUP(A1080,'ESTADOS ESTUDIANTES'!B:L,4,0)</f>
        <v>MAE. EN CIENCIAS DE LA INF. Y LAS COMUNICACIONES ENFASIS EN TELEINF.</v>
      </c>
      <c r="E1080" s="19" t="str">
        <f>VLOOKUP(A1080,'ESTADOS ESTUDIANTES'!B:L,5,0)</f>
        <v>A</v>
      </c>
      <c r="F1080" s="18" t="str">
        <f>VLOOKUP(E1080,Listas!B1:C1004,2,0)</f>
        <v>ACTIVO</v>
      </c>
      <c r="G1080" s="19">
        <f>VLOOKUP(A1080,'ESTADOS ESTUDIANTES'!B:L,7,0)</f>
        <v>3</v>
      </c>
      <c r="H1080" s="19" t="str">
        <f>VLOOKUP(A1080,'ESTADOS ESTUDIANTES'!B:L,8,0)</f>
        <v>lfpatinol@udistrital.edu.co</v>
      </c>
      <c r="I1080" s="70" t="str">
        <f>VLOOKUP(A1080,'ESTADOS ESTUDIANTES'!B:L,9,0)</f>
        <v>felipephat@hotmail.com</v>
      </c>
      <c r="J1080" s="19" t="str">
        <f>VLOOKUP(A1080,'ESTADOS ESTUDIANTES'!B:L,10,0)</f>
        <v>CC</v>
      </c>
      <c r="K1080" s="19">
        <f>VLOOKUP(A1080,'ESTADOS ESTUDIANTES'!B:L,11,0)</f>
        <v>1013625770</v>
      </c>
      <c r="L1080" s="19">
        <v>3138839868</v>
      </c>
      <c r="M1080" s="20"/>
      <c r="N1080" s="22"/>
      <c r="O1080" s="15"/>
      <c r="P1080" s="15"/>
      <c r="Q1080" s="15"/>
      <c r="R1080" s="15"/>
      <c r="S1080" s="15"/>
      <c r="T1080" s="15"/>
      <c r="U1080" s="15"/>
    </row>
    <row r="1081" spans="1:21" ht="90">
      <c r="A1081" s="17">
        <v>20201195007</v>
      </c>
      <c r="B1081" s="19" t="str">
        <f>VLOOKUP(A1081,'ESTADOS ESTUDIANTES'!B:L,2,0)</f>
        <v>RODRÍGUEZ HERNÁNDEZ ANGIE PATRICIA</v>
      </c>
      <c r="C1081" s="19">
        <f>VLOOKUP(A1081,'ESTADOS ESTUDIANTES'!B:L,3,0)</f>
        <v>195</v>
      </c>
      <c r="D1081" s="66" t="str">
        <f>VLOOKUP(A1081,'ESTADOS ESTUDIANTES'!B:L,4,0)</f>
        <v>MAE. EN CIENCIAS DE LA INF. Y LAS COMUNICACIONES ENFASIS EN TELEINF.</v>
      </c>
      <c r="E1081" s="19" t="str">
        <f>VLOOKUP(A1081,'ESTADOS ESTUDIANTES'!B:L,5,0)</f>
        <v>E</v>
      </c>
      <c r="F1081" s="18" t="str">
        <f>VLOOKUP(E1081,Listas!B1:C1004,2,0)</f>
        <v>EGRESADO</v>
      </c>
      <c r="G1081" s="19">
        <f>VLOOKUP(A1081,'ESTADOS ESTUDIANTES'!B:L,7,0)</f>
        <v>4</v>
      </c>
      <c r="H1081" s="19" t="str">
        <f>VLOOKUP(A1081,'ESTADOS ESTUDIANTES'!B:L,8,0)</f>
        <v>anprodriguezh@udistrital.edu.co</v>
      </c>
      <c r="I1081" s="70" t="str">
        <f>VLOOKUP(A1081,'ESTADOS ESTUDIANTES'!B:L,9,0)</f>
        <v>anprodriguezh@udistrital.edu.co</v>
      </c>
      <c r="J1081" s="19" t="str">
        <f>VLOOKUP(A1081,'ESTADOS ESTUDIANTES'!B:L,10,0)</f>
        <v>CC</v>
      </c>
      <c r="K1081" s="19">
        <f>VLOOKUP(A1081,'ESTADOS ESTUDIANTES'!B:L,11,0)</f>
        <v>1032484102</v>
      </c>
      <c r="L1081" s="19">
        <v>3133871339</v>
      </c>
      <c r="M1081" s="20">
        <v>35273</v>
      </c>
      <c r="N1081" s="22"/>
      <c r="O1081" s="15"/>
      <c r="P1081" s="15"/>
      <c r="Q1081" s="15"/>
      <c r="R1081" s="15"/>
      <c r="S1081" s="15"/>
      <c r="T1081" s="15"/>
      <c r="U1081" s="15"/>
    </row>
    <row r="1082" spans="1:21" ht="90">
      <c r="A1082" s="17">
        <v>20201195008</v>
      </c>
      <c r="B1082" s="19" t="str">
        <f>VLOOKUP(A1082,'ESTADOS ESTUDIANTES'!B:L,2,0)</f>
        <v>ROMERO DUQUE OSCAR ALEJANDRO</v>
      </c>
      <c r="C1082" s="19">
        <f>VLOOKUP(A1082,'ESTADOS ESTUDIANTES'!B:L,3,0)</f>
        <v>195</v>
      </c>
      <c r="D1082" s="66" t="str">
        <f>VLOOKUP(A1082,'ESTADOS ESTUDIANTES'!B:L,4,0)</f>
        <v>MAE. EN CIENCIAS DE LA INF. Y LAS COMUNICACIONES ENFASIS EN TELEINF.</v>
      </c>
      <c r="E1082" s="19" t="str">
        <f>VLOOKUP(A1082,'ESTADOS ESTUDIANTES'!B:L,5,0)</f>
        <v>X</v>
      </c>
      <c r="F1082" s="18" t="str">
        <f>VLOOKUP(E1082,Listas!B1:C1004,2,0)</f>
        <v>EXCLUIDO</v>
      </c>
      <c r="G1082" s="19" t="str">
        <f>VLOOKUP(A1082,'ESTADOS ESTUDIANTES'!B:L,7,0)</f>
        <v>NO REGISTRA</v>
      </c>
      <c r="H1082" s="19" t="str">
        <f>VLOOKUP(A1082,'ESTADOS ESTUDIANTES'!B:L,8,0)</f>
        <v>oaromerod@correo.udistrital.edu.co</v>
      </c>
      <c r="I1082" s="70" t="str">
        <f>VLOOKUP(A1082,'ESTADOS ESTUDIANTES'!B:L,9,0)</f>
        <v>osar800@gmail.com</v>
      </c>
      <c r="J1082" s="19" t="str">
        <f>VLOOKUP(A1082,'ESTADOS ESTUDIANTES'!B:L,10,0)</f>
        <v>CC</v>
      </c>
      <c r="K1082" s="19">
        <f>VLOOKUP(A1082,'ESTADOS ESTUDIANTES'!B:L,11,0)</f>
        <v>11229334</v>
      </c>
      <c r="L1082" s="19">
        <v>3163249301</v>
      </c>
      <c r="M1082" s="20"/>
      <c r="N1082" s="22"/>
      <c r="O1082" s="15"/>
      <c r="P1082" s="15"/>
      <c r="Q1082" s="15"/>
      <c r="R1082" s="15"/>
      <c r="S1082" s="15"/>
      <c r="T1082" s="15"/>
      <c r="U1082" s="15"/>
    </row>
    <row r="1083" spans="1:21" ht="90">
      <c r="A1083" s="17">
        <v>20201195009</v>
      </c>
      <c r="B1083" s="19" t="str">
        <f>VLOOKUP(A1083,'ESTADOS ESTUDIANTES'!B:L,2,0)</f>
        <v>ROMERO PEÑA MANUEL</v>
      </c>
      <c r="C1083" s="19">
        <f>VLOOKUP(A1083,'ESTADOS ESTUDIANTES'!B:L,3,0)</f>
        <v>195</v>
      </c>
      <c r="D1083" s="66" t="str">
        <f>VLOOKUP(A1083,'ESTADOS ESTUDIANTES'!B:L,4,0)</f>
        <v>MAE. EN CIENCIAS DE LA INF. Y LAS COMUNICACIONES ENFASIS EN TELEINF.</v>
      </c>
      <c r="E1083" s="19" t="str">
        <f>VLOOKUP(A1083,'ESTADOS ESTUDIANTES'!B:L,5,0)</f>
        <v>E</v>
      </c>
      <c r="F1083" s="18" t="str">
        <f>VLOOKUP(E1083,Listas!B1:C1004,2,0)</f>
        <v>EGRESADO</v>
      </c>
      <c r="G1083" s="19">
        <f>VLOOKUP(A1083,'ESTADOS ESTUDIANTES'!B:L,7,0)</f>
        <v>3</v>
      </c>
      <c r="H1083" s="19" t="str">
        <f>VLOOKUP(A1083,'ESTADOS ESTUDIANTES'!B:L,8,0)</f>
        <v>mromerop@udistrital.edu.co</v>
      </c>
      <c r="I1083" s="70" t="str">
        <f>VLOOKUP(A1083,'ESTADOS ESTUDIANTES'!B:L,9,0)</f>
        <v>mromerop@correo.udistrital.edu.co</v>
      </c>
      <c r="J1083" s="19" t="str">
        <f>VLOOKUP(A1083,'ESTADOS ESTUDIANTES'!B:L,10,0)</f>
        <v>CC</v>
      </c>
      <c r="K1083" s="19">
        <f>VLOOKUP(A1083,'ESTADOS ESTUDIANTES'!B:L,11,0)</f>
        <v>1019112068</v>
      </c>
      <c r="L1083" s="19">
        <v>3112302571</v>
      </c>
      <c r="M1083" s="20">
        <v>34968</v>
      </c>
      <c r="N1083" s="22"/>
      <c r="O1083" s="15"/>
      <c r="P1083" s="15"/>
      <c r="Q1083" s="15"/>
      <c r="R1083" s="15"/>
      <c r="S1083" s="15"/>
      <c r="T1083" s="15"/>
      <c r="U1083" s="15"/>
    </row>
    <row r="1084" spans="1:21" ht="90">
      <c r="A1084" s="17">
        <v>20201195010</v>
      </c>
      <c r="B1084" s="19" t="str">
        <f>VLOOKUP(A1084,'ESTADOS ESTUDIANTES'!B:L,2,0)</f>
        <v>TORRES RODRIGUEZ JENIFER ANDREA</v>
      </c>
      <c r="C1084" s="19">
        <f>VLOOKUP(A1084,'ESTADOS ESTUDIANTES'!B:L,3,0)</f>
        <v>195</v>
      </c>
      <c r="D1084" s="66" t="str">
        <f>VLOOKUP(A1084,'ESTADOS ESTUDIANTES'!B:L,4,0)</f>
        <v>MAE. EN CIENCIAS DE LA INF. Y LAS COMUNICACIONES ENFASIS EN TELEINF.</v>
      </c>
      <c r="E1084" s="19" t="str">
        <f>VLOOKUP(A1084,'ESTADOS ESTUDIANTES'!B:L,5,0)</f>
        <v>V</v>
      </c>
      <c r="F1084" s="18" t="str">
        <f>VLOOKUP(E1084,Listas!B1:C1004,2,0)</f>
        <v>VACACIONES</v>
      </c>
      <c r="G1084" s="19">
        <f>VLOOKUP(A1084,'ESTADOS ESTUDIANTES'!B:L,7,0)</f>
        <v>4</v>
      </c>
      <c r="H1084" s="19" t="str">
        <f>VLOOKUP(A1084,'ESTADOS ESTUDIANTES'!B:L,8,0)</f>
        <v>jeatorresr@udistrital.edu.co</v>
      </c>
      <c r="I1084" s="70" t="str">
        <f>VLOOKUP(A1084,'ESTADOS ESTUDIANTES'!B:L,9,0)</f>
        <v>jeatorresr@correo.udistrital.edu.co</v>
      </c>
      <c r="J1084" s="19" t="str">
        <f>VLOOKUP(A1084,'ESTADOS ESTUDIANTES'!B:L,10,0)</f>
        <v>CC</v>
      </c>
      <c r="K1084" s="19">
        <f>VLOOKUP(A1084,'ESTADOS ESTUDIANTES'!B:L,11,0)</f>
        <v>1018463406</v>
      </c>
      <c r="L1084" s="19">
        <v>3203965036</v>
      </c>
      <c r="M1084" s="20"/>
      <c r="N1084" s="22"/>
      <c r="O1084" s="15"/>
      <c r="P1084" s="15"/>
      <c r="Q1084" s="15"/>
      <c r="R1084" s="15"/>
      <c r="S1084" s="15"/>
      <c r="T1084" s="15"/>
      <c r="U1084" s="15"/>
    </row>
    <row r="1085" spans="1:21" ht="90">
      <c r="A1085" s="17">
        <v>20201195011</v>
      </c>
      <c r="B1085" s="19" t="str">
        <f>VLOOKUP(A1085,'ESTADOS ESTUDIANTES'!B:L,2,0)</f>
        <v>OVIEDO PERDOMO JUAN PABLO</v>
      </c>
      <c r="C1085" s="19">
        <f>VLOOKUP(A1085,'ESTADOS ESTUDIANTES'!B:L,3,0)</f>
        <v>195</v>
      </c>
      <c r="D1085" s="66" t="str">
        <f>VLOOKUP(A1085,'ESTADOS ESTUDIANTES'!B:L,4,0)</f>
        <v>MAE. EN CIENCIAS DE LA INF. Y LAS COMUNICACIONES ENFASIS EN TELEINF.</v>
      </c>
      <c r="E1085" s="19" t="str">
        <f>VLOOKUP(A1085,'ESTADOS ESTUDIANTES'!B:L,5,0)</f>
        <v>V</v>
      </c>
      <c r="F1085" s="18" t="str">
        <f>VLOOKUP(E1085,Listas!B1:C1004,2,0)</f>
        <v>VACACIONES</v>
      </c>
      <c r="G1085" s="19">
        <f>VLOOKUP(A1085,'ESTADOS ESTUDIANTES'!B:L,7,0)</f>
        <v>3</v>
      </c>
      <c r="H1085" s="19" t="str">
        <f>VLOOKUP(A1085,'ESTADOS ESTUDIANTES'!B:L,8,0)</f>
        <v>jpoviedop@udistrital.edu.co</v>
      </c>
      <c r="I1085" s="70" t="str">
        <f>VLOOKUP(A1085,'ESTADOS ESTUDIANTES'!B:L,9,0)</f>
        <v>jpoviedop@udistrital.edu.co</v>
      </c>
      <c r="J1085" s="19" t="str">
        <f>VLOOKUP(A1085,'ESTADOS ESTUDIANTES'!B:L,10,0)</f>
        <v>CC</v>
      </c>
      <c r="K1085" s="19">
        <f>VLOOKUP(A1085,'ESTADOS ESTUDIANTES'!B:L,11,0)</f>
        <v>1022409452</v>
      </c>
      <c r="L1085" s="19">
        <v>3203286930</v>
      </c>
      <c r="M1085" s="20">
        <v>35005</v>
      </c>
      <c r="N1085" s="22"/>
      <c r="O1085" s="15"/>
      <c r="P1085" s="15"/>
      <c r="Q1085" s="15"/>
      <c r="R1085" s="15"/>
      <c r="S1085" s="15"/>
      <c r="T1085" s="15"/>
      <c r="U1085" s="15"/>
    </row>
    <row r="1086" spans="1:21" ht="105">
      <c r="A1086" s="17">
        <v>20201395001</v>
      </c>
      <c r="B1086" s="19" t="str">
        <f>VLOOKUP(A1086,'ESTADOS ESTUDIANTES'!B:L,2,0)</f>
        <v>BARRERO CUBILLOS CAMILO ANDRÉS</v>
      </c>
      <c r="C1086" s="19">
        <f>VLOOKUP(A1086,'ESTADOS ESTUDIANTES'!B:L,3,0)</f>
        <v>395</v>
      </c>
      <c r="D1086" s="66" t="str">
        <f>VLOOKUP(A1086,'ESTADOS ESTUDIANTES'!B:L,4,0)</f>
        <v>MAE. EN CIENCIAS DE LA INF. Y LAS COMUNICACIONES ENFASIS EN GEOMATICA</v>
      </c>
      <c r="E1086" s="19" t="str">
        <f>VLOOKUP(A1086,'ESTADOS ESTUDIANTES'!B:L,5,0)</f>
        <v>X</v>
      </c>
      <c r="F1086" s="18" t="str">
        <f>VLOOKUP(E1086,Listas!B1:C1004,2,0)</f>
        <v>EXCLUIDO</v>
      </c>
      <c r="G1086" s="19">
        <f>VLOOKUP(A1086,'ESTADOS ESTUDIANTES'!B:L,7,0)</f>
        <v>4</v>
      </c>
      <c r="H1086" s="19" t="str">
        <f>VLOOKUP(A1086,'ESTADOS ESTUDIANTES'!B:L,8,0)</f>
        <v>cabarreroc@udistrital.edu.co</v>
      </c>
      <c r="I1086" s="70" t="str">
        <f>VLOOKUP(A1086,'ESTADOS ESTUDIANTES'!B:L,9,0)</f>
        <v>camilobarreroc@gmail.com</v>
      </c>
      <c r="J1086" s="19" t="str">
        <f>VLOOKUP(A1086,'ESTADOS ESTUDIANTES'!B:L,10,0)</f>
        <v>CC</v>
      </c>
      <c r="K1086" s="19">
        <f>VLOOKUP(A1086,'ESTADOS ESTUDIANTES'!B:L,11,0)</f>
        <v>1018453825</v>
      </c>
      <c r="L1086" s="19">
        <v>3192274589</v>
      </c>
      <c r="M1086" s="20">
        <v>33838</v>
      </c>
      <c r="N1086" s="22"/>
      <c r="O1086" s="15"/>
      <c r="P1086" s="15"/>
      <c r="Q1086" s="15"/>
      <c r="R1086" s="15"/>
      <c r="S1086" s="15"/>
      <c r="T1086" s="15"/>
      <c r="U1086" s="15"/>
    </row>
    <row r="1087" spans="1:21" ht="105">
      <c r="A1087" s="17">
        <v>20201395002</v>
      </c>
      <c r="B1087" s="19" t="str">
        <f>VLOOKUP(A1087,'ESTADOS ESTUDIANTES'!B:L,2,0)</f>
        <v>GÓMEZ CAMARGO LAURA NICOLE</v>
      </c>
      <c r="C1087" s="19">
        <f>VLOOKUP(A1087,'ESTADOS ESTUDIANTES'!B:L,3,0)</f>
        <v>395</v>
      </c>
      <c r="D1087" s="66" t="str">
        <f>VLOOKUP(A1087,'ESTADOS ESTUDIANTES'!B:L,4,0)</f>
        <v>MAE. EN CIENCIAS DE LA INF. Y LAS COMUNICACIONES ENFASIS EN GEOMATICA</v>
      </c>
      <c r="E1087" s="19" t="str">
        <f>VLOOKUP(A1087,'ESTADOS ESTUDIANTES'!B:L,5,0)</f>
        <v>E</v>
      </c>
      <c r="F1087" s="18" t="str">
        <f>VLOOKUP(E1087,Listas!B1:C1004,2,0)</f>
        <v>EGRESADO</v>
      </c>
      <c r="G1087" s="19">
        <f>VLOOKUP(A1087,'ESTADOS ESTUDIANTES'!B:L,7,0)</f>
        <v>4</v>
      </c>
      <c r="H1087" s="19" t="str">
        <f>VLOOKUP(A1087,'ESTADOS ESTUDIANTES'!B:L,8,0)</f>
        <v>lngomezc@udistrital.edu.co</v>
      </c>
      <c r="I1087" s="70" t="str">
        <f>VLOOKUP(A1087,'ESTADOS ESTUDIANTES'!B:L,9,0)</f>
        <v>laura.nicole.gomez@gmail.com</v>
      </c>
      <c r="J1087" s="19" t="str">
        <f>VLOOKUP(A1087,'ESTADOS ESTUDIANTES'!B:L,10,0)</f>
        <v>CC</v>
      </c>
      <c r="K1087" s="19">
        <f>VLOOKUP(A1087,'ESTADOS ESTUDIANTES'!B:L,11,0)</f>
        <v>1018486062</v>
      </c>
      <c r="L1087" s="19">
        <v>3195918495</v>
      </c>
      <c r="M1087" s="20">
        <v>35220</v>
      </c>
      <c r="N1087" s="22"/>
      <c r="O1087" s="15"/>
      <c r="P1087" s="15"/>
      <c r="Q1087" s="15"/>
      <c r="R1087" s="15"/>
      <c r="S1087" s="15"/>
      <c r="T1087" s="15"/>
      <c r="U1087" s="15"/>
    </row>
    <row r="1088" spans="1:21" ht="105">
      <c r="A1088" s="17">
        <v>20201395003</v>
      </c>
      <c r="B1088" s="19" t="str">
        <f>VLOOKUP(A1088,'ESTADOS ESTUDIANTES'!B:L,2,0)</f>
        <v>MONTES LÓPEZ DIEGO FERNANDO</v>
      </c>
      <c r="C1088" s="19">
        <f>VLOOKUP(A1088,'ESTADOS ESTUDIANTES'!B:L,3,0)</f>
        <v>395</v>
      </c>
      <c r="D1088" s="66" t="str">
        <f>VLOOKUP(A1088,'ESTADOS ESTUDIANTES'!B:L,4,0)</f>
        <v>MAE. EN CIENCIAS DE LA INF. Y LAS COMUNICACIONES ENFASIS EN GEOMATICA</v>
      </c>
      <c r="E1088" s="19" t="str">
        <f>VLOOKUP(A1088,'ESTADOS ESTUDIANTES'!B:L,5,0)</f>
        <v>E</v>
      </c>
      <c r="F1088" s="18" t="str">
        <f>VLOOKUP(E1088,Listas!B1:C1004,2,0)</f>
        <v>EGRESADO</v>
      </c>
      <c r="G1088" s="19">
        <f>VLOOKUP(A1088,'ESTADOS ESTUDIANTES'!B:L,7,0)</f>
        <v>3</v>
      </c>
      <c r="H1088" s="19" t="str">
        <f>VLOOKUP(A1088,'ESTADOS ESTUDIANTES'!B:L,8,0)</f>
        <v>dfmontesl@correo.udistrital.edu.co</v>
      </c>
      <c r="I1088" s="70" t="str">
        <f>VLOOKUP(A1088,'ESTADOS ESTUDIANTES'!B:L,9,0)</f>
        <v>adiegomontes@gmail.com</v>
      </c>
      <c r="J1088" s="19" t="str">
        <f>VLOOKUP(A1088,'ESTADOS ESTUDIANTES'!B:L,10,0)</f>
        <v>CC</v>
      </c>
      <c r="K1088" s="19">
        <f>VLOOKUP(A1088,'ESTADOS ESTUDIANTES'!B:L,11,0)</f>
        <v>80779247</v>
      </c>
      <c r="L1088" s="19">
        <v>3165301138</v>
      </c>
      <c r="M1088" s="20">
        <v>30418</v>
      </c>
      <c r="N1088" s="22"/>
      <c r="O1088" s="15"/>
      <c r="P1088" s="15"/>
      <c r="Q1088" s="15"/>
      <c r="R1088" s="15"/>
      <c r="S1088" s="15"/>
      <c r="T1088" s="15"/>
      <c r="U1088" s="15"/>
    </row>
    <row r="1089" spans="1:21" ht="105">
      <c r="A1089" s="17">
        <v>20201395004</v>
      </c>
      <c r="B1089" s="19" t="str">
        <f>VLOOKUP(A1089,'ESTADOS ESTUDIANTES'!B:L,2,0)</f>
        <v>PERALTA HERNÁNDEZ ANGIE ESTEFANÍA</v>
      </c>
      <c r="C1089" s="19">
        <f>VLOOKUP(A1089,'ESTADOS ESTUDIANTES'!B:L,3,0)</f>
        <v>395</v>
      </c>
      <c r="D1089" s="66" t="str">
        <f>VLOOKUP(A1089,'ESTADOS ESTUDIANTES'!B:L,4,0)</f>
        <v>MAE. EN CIENCIAS DE LA INF. Y LAS COMUNICACIONES ENFASIS EN GEOMATICA</v>
      </c>
      <c r="E1089" s="19" t="str">
        <f>VLOOKUP(A1089,'ESTADOS ESTUDIANTES'!B:L,5,0)</f>
        <v>E</v>
      </c>
      <c r="F1089" s="18" t="str">
        <f>VLOOKUP(E1089,Listas!B1:C1004,2,0)</f>
        <v>EGRESADO</v>
      </c>
      <c r="G1089" s="19">
        <f>VLOOKUP(A1089,'ESTADOS ESTUDIANTES'!B:L,7,0)</f>
        <v>3</v>
      </c>
      <c r="H1089" s="19" t="str">
        <f>VLOOKUP(A1089,'ESTADOS ESTUDIANTES'!B:L,8,0)</f>
        <v>aeperaltah@udistrital.edu.co</v>
      </c>
      <c r="I1089" s="70" t="str">
        <f>VLOOKUP(A1089,'ESTADOS ESTUDIANTES'!B:L,9,0)</f>
        <v>aeperaltah@correo.udistrital.edu.co</v>
      </c>
      <c r="J1089" s="19" t="str">
        <f>VLOOKUP(A1089,'ESTADOS ESTUDIANTES'!B:L,10,0)</f>
        <v>CC</v>
      </c>
      <c r="K1089" s="19">
        <f>VLOOKUP(A1089,'ESTADOS ESTUDIANTES'!B:L,11,0)</f>
        <v>1022394052</v>
      </c>
      <c r="L1089" s="19">
        <v>3115507399</v>
      </c>
      <c r="M1089" s="20">
        <v>34511</v>
      </c>
      <c r="N1089" s="22"/>
      <c r="O1089" s="15"/>
      <c r="P1089" s="15"/>
      <c r="Q1089" s="15"/>
      <c r="R1089" s="15"/>
      <c r="S1089" s="15"/>
      <c r="T1089" s="15"/>
      <c r="U1089" s="15"/>
    </row>
    <row r="1090" spans="1:21" ht="105">
      <c r="A1090" s="17">
        <v>20201395005</v>
      </c>
      <c r="B1090" s="19" t="str">
        <f>VLOOKUP(A1090,'ESTADOS ESTUDIANTES'!B:L,2,0)</f>
        <v>RODRÍGUEZ LÓPEZ JORGE LEONARDO</v>
      </c>
      <c r="C1090" s="19">
        <f>VLOOKUP(A1090,'ESTADOS ESTUDIANTES'!B:L,3,0)</f>
        <v>395</v>
      </c>
      <c r="D1090" s="66" t="str">
        <f>VLOOKUP(A1090,'ESTADOS ESTUDIANTES'!B:L,4,0)</f>
        <v>MAE. EN CIENCIAS DE LA INF. Y LAS COMUNICACIONES ENFASIS EN GEOMATICA</v>
      </c>
      <c r="E1090" s="19" t="str">
        <f>VLOOKUP(A1090,'ESTADOS ESTUDIANTES'!B:L,5,0)</f>
        <v>E</v>
      </c>
      <c r="F1090" s="18" t="str">
        <f>VLOOKUP(E1090,Listas!B1:C1004,2,0)</f>
        <v>EGRESADO</v>
      </c>
      <c r="G1090" s="19">
        <f>VLOOKUP(A1090,'ESTADOS ESTUDIANTES'!B:L,7,0)</f>
        <v>3</v>
      </c>
      <c r="H1090" s="19" t="str">
        <f>VLOOKUP(A1090,'ESTADOS ESTUDIANTES'!B:L,8,0)</f>
        <v>jolerodriguezl@udistrital.edu.co</v>
      </c>
      <c r="I1090" s="70" t="str">
        <f>VLOOKUP(A1090,'ESTADOS ESTUDIANTES'!B:L,9,0)</f>
        <v>leo-rodriguez.08@hotmail.com</v>
      </c>
      <c r="J1090" s="19" t="str">
        <f>VLOOKUP(A1090,'ESTADOS ESTUDIANTES'!B:L,10,0)</f>
        <v>CC</v>
      </c>
      <c r="K1090" s="19">
        <f>VLOOKUP(A1090,'ESTADOS ESTUDIANTES'!B:L,11,0)</f>
        <v>1032471870</v>
      </c>
      <c r="L1090" s="19">
        <v>3138190395</v>
      </c>
      <c r="M1090" s="20">
        <v>34845</v>
      </c>
      <c r="N1090" s="22"/>
      <c r="O1090" s="15"/>
      <c r="P1090" s="15"/>
      <c r="Q1090" s="15"/>
      <c r="R1090" s="15"/>
      <c r="S1090" s="15"/>
      <c r="T1090" s="15"/>
      <c r="U1090" s="15"/>
    </row>
    <row r="1091" spans="1:21" ht="105">
      <c r="A1091" s="17">
        <v>20201395006</v>
      </c>
      <c r="B1091" s="19" t="str">
        <f>VLOOKUP(A1091,'ESTADOS ESTUDIANTES'!B:L,2,0)</f>
        <v>RODRÍGUEZ RODRÍGUEZ WILLIAM STEVEN</v>
      </c>
      <c r="C1091" s="19">
        <f>VLOOKUP(A1091,'ESTADOS ESTUDIANTES'!B:L,3,0)</f>
        <v>395</v>
      </c>
      <c r="D1091" s="66" t="str">
        <f>VLOOKUP(A1091,'ESTADOS ESTUDIANTES'!B:L,4,0)</f>
        <v>MAE. EN CIENCIAS DE LA INF. Y LAS COMUNICACIONES ENFASIS EN GEOMATICA</v>
      </c>
      <c r="E1091" s="19" t="str">
        <f>VLOOKUP(A1091,'ESTADOS ESTUDIANTES'!B:L,5,0)</f>
        <v>E</v>
      </c>
      <c r="F1091" s="18" t="str">
        <f>VLOOKUP(E1091,Listas!B1:C1004,2,0)</f>
        <v>EGRESADO</v>
      </c>
      <c r="G1091" s="19">
        <f>VLOOKUP(A1091,'ESTADOS ESTUDIANTES'!B:L,7,0)</f>
        <v>2</v>
      </c>
      <c r="H1091" s="19" t="str">
        <f>VLOOKUP(A1091,'ESTADOS ESTUDIANTES'!B:L,8,0)</f>
        <v>wsrodriguezr@udistrital.edu.co</v>
      </c>
      <c r="I1091" s="70" t="str">
        <f>VLOOKUP(A1091,'ESTADOS ESTUDIANTES'!B:L,9,0)</f>
        <v>stevengears@gmail.com</v>
      </c>
      <c r="J1091" s="19" t="str">
        <f>VLOOKUP(A1091,'ESTADOS ESTUDIANTES'!B:L,10,0)</f>
        <v>CC</v>
      </c>
      <c r="K1091" s="19">
        <f>VLOOKUP(A1091,'ESTADOS ESTUDIANTES'!B:L,11,0)</f>
        <v>1015459449</v>
      </c>
      <c r="L1091" s="19">
        <v>3143415978</v>
      </c>
      <c r="M1091" s="20">
        <v>35080</v>
      </c>
      <c r="N1091" s="22"/>
      <c r="O1091" s="15"/>
      <c r="P1091" s="15"/>
      <c r="Q1091" s="15"/>
      <c r="R1091" s="15"/>
      <c r="S1091" s="15"/>
      <c r="T1091" s="15"/>
      <c r="U1091" s="15"/>
    </row>
    <row r="1092" spans="1:21" ht="105">
      <c r="A1092" s="17">
        <v>20201395007</v>
      </c>
      <c r="B1092" s="19" t="str">
        <f>VLOOKUP(A1092,'ESTADOS ESTUDIANTES'!B:L,2,0)</f>
        <v>ROMERO BELTRÁN JEISSON ANDRÉS</v>
      </c>
      <c r="C1092" s="19">
        <f>VLOOKUP(A1092,'ESTADOS ESTUDIANTES'!B:L,3,0)</f>
        <v>395</v>
      </c>
      <c r="D1092" s="66" t="str">
        <f>VLOOKUP(A1092,'ESTADOS ESTUDIANTES'!B:L,4,0)</f>
        <v>MAE. EN CIENCIAS DE LA INF. Y LAS COMUNICACIONES ENFASIS EN GEOMATICA</v>
      </c>
      <c r="E1092" s="19" t="str">
        <f>VLOOKUP(A1092,'ESTADOS ESTUDIANTES'!B:L,5,0)</f>
        <v>I</v>
      </c>
      <c r="F1092" s="18" t="str">
        <f>VLOOKUP(E1092,Listas!B1:C1004,2,0)</f>
        <v>INACTIVO</v>
      </c>
      <c r="G1092" s="19" t="str">
        <f>VLOOKUP(A1092,'ESTADOS ESTUDIANTES'!B:L,7,0)</f>
        <v>NO REGISTRA</v>
      </c>
      <c r="H1092" s="19">
        <f>VLOOKUP(A1092,'ESTADOS ESTUDIANTES'!B:L,8,0)</f>
        <v>0</v>
      </c>
      <c r="I1092" s="70" t="str">
        <f>VLOOKUP(A1092,'ESTADOS ESTUDIANTES'!B:L,9,0)</f>
        <v>andresromerobeltran@gmail.com</v>
      </c>
      <c r="J1092" s="19" t="str">
        <f>VLOOKUP(A1092,'ESTADOS ESTUDIANTES'!B:L,10,0)</f>
        <v>CC</v>
      </c>
      <c r="K1092" s="19">
        <f>VLOOKUP(A1092,'ESTADOS ESTUDIANTES'!B:L,11,0)</f>
        <v>1032433435</v>
      </c>
      <c r="L1092" s="21"/>
      <c r="M1092" s="20"/>
      <c r="N1092" s="22"/>
      <c r="O1092" s="15"/>
      <c r="P1092" s="15"/>
      <c r="Q1092" s="15"/>
      <c r="R1092" s="15"/>
      <c r="S1092" s="15"/>
      <c r="T1092" s="15"/>
      <c r="U1092" s="15"/>
    </row>
    <row r="1093" spans="1:21" ht="105">
      <c r="A1093" s="17">
        <v>20201395008</v>
      </c>
      <c r="B1093" s="19" t="str">
        <f>VLOOKUP(A1093,'ESTADOS ESTUDIANTES'!B:L,2,0)</f>
        <v>SILVA ÁVILA DANIEL FERNANDO</v>
      </c>
      <c r="C1093" s="19">
        <f>VLOOKUP(A1093,'ESTADOS ESTUDIANTES'!B:L,3,0)</f>
        <v>395</v>
      </c>
      <c r="D1093" s="66" t="str">
        <f>VLOOKUP(A1093,'ESTADOS ESTUDIANTES'!B:L,4,0)</f>
        <v>MAE. EN CIENCIAS DE LA INF. Y LAS COMUNICACIONES ENFASIS EN GEOMATICA</v>
      </c>
      <c r="E1093" s="19" t="str">
        <f>VLOOKUP(A1093,'ESTADOS ESTUDIANTES'!B:L,5,0)</f>
        <v>E</v>
      </c>
      <c r="F1093" s="18" t="str">
        <f>VLOOKUP(E1093,Listas!B1:C1004,2,0)</f>
        <v>EGRESADO</v>
      </c>
      <c r="G1093" s="19">
        <f>VLOOKUP(A1093,'ESTADOS ESTUDIANTES'!B:L,7,0)</f>
        <v>3</v>
      </c>
      <c r="H1093" s="19" t="str">
        <f>VLOOKUP(A1093,'ESTADOS ESTUDIANTES'!B:L,8,0)</f>
        <v>dfsilvaa@udistrital.edu.co</v>
      </c>
      <c r="I1093" s="70" t="str">
        <f>VLOOKUP(A1093,'ESTADOS ESTUDIANTES'!B:L,9,0)</f>
        <v>daniel1uno@gmail.com</v>
      </c>
      <c r="J1093" s="19" t="str">
        <f>VLOOKUP(A1093,'ESTADOS ESTUDIANTES'!B:L,10,0)</f>
        <v>CC</v>
      </c>
      <c r="K1093" s="19">
        <f>VLOOKUP(A1093,'ESTADOS ESTUDIANTES'!B:L,11,0)</f>
        <v>1016086049</v>
      </c>
      <c r="L1093" s="19">
        <v>3194870393</v>
      </c>
      <c r="M1093" s="20">
        <v>35197</v>
      </c>
      <c r="N1093" s="22"/>
      <c r="O1093" s="15"/>
      <c r="P1093" s="15"/>
      <c r="Q1093" s="15"/>
      <c r="R1093" s="15"/>
      <c r="S1093" s="15"/>
      <c r="T1093" s="15"/>
      <c r="U1093" s="15"/>
    </row>
    <row r="1094" spans="1:21" ht="105">
      <c r="A1094" s="17">
        <v>20201395009</v>
      </c>
      <c r="B1094" s="19" t="str">
        <f>VLOOKUP(A1094,'ESTADOS ESTUDIANTES'!B:L,2,0)</f>
        <v>ZAPATA CASTRO SINDY ALEJANDRA</v>
      </c>
      <c r="C1094" s="19">
        <f>VLOOKUP(A1094,'ESTADOS ESTUDIANTES'!B:L,3,0)</f>
        <v>395</v>
      </c>
      <c r="D1094" s="66" t="str">
        <f>VLOOKUP(A1094,'ESTADOS ESTUDIANTES'!B:L,4,0)</f>
        <v>MAE. EN CIENCIAS DE LA INF. Y LAS COMUNICACIONES ENFASIS EN GEOMATICA</v>
      </c>
      <c r="E1094" s="19" t="str">
        <f>VLOOKUP(A1094,'ESTADOS ESTUDIANTES'!B:L,5,0)</f>
        <v>I</v>
      </c>
      <c r="F1094" s="18" t="str">
        <f>VLOOKUP(E1094,Listas!B1:C1004,2,0)</f>
        <v>INACTIVO</v>
      </c>
      <c r="G1094" s="19" t="str">
        <f>VLOOKUP(A1094,'ESTADOS ESTUDIANTES'!B:L,7,0)</f>
        <v>NO REGISTRA</v>
      </c>
      <c r="H1094" s="19">
        <f>VLOOKUP(A1094,'ESTADOS ESTUDIANTES'!B:L,8,0)</f>
        <v>0</v>
      </c>
      <c r="I1094" s="70" t="str">
        <f>VLOOKUP(A1094,'ESTADOS ESTUDIANTES'!B:L,9,0)</f>
        <v>ingeniera.alejandrazapata@gmail.com</v>
      </c>
      <c r="J1094" s="19" t="str">
        <f>VLOOKUP(A1094,'ESTADOS ESTUDIANTES'!B:L,10,0)</f>
        <v>CC</v>
      </c>
      <c r="K1094" s="19">
        <f>VLOOKUP(A1094,'ESTADOS ESTUDIANTES'!B:L,11,0)</f>
        <v>1032431801</v>
      </c>
      <c r="L1094" s="21"/>
      <c r="M1094" s="20"/>
      <c r="N1094" s="22"/>
      <c r="O1094" s="15"/>
      <c r="P1094" s="15"/>
      <c r="Q1094" s="15"/>
      <c r="R1094" s="15"/>
      <c r="S1094" s="15"/>
      <c r="T1094" s="15"/>
      <c r="U1094" s="15"/>
    </row>
    <row r="1095" spans="1:21" ht="90">
      <c r="A1095" s="17">
        <v>20201495001</v>
      </c>
      <c r="B1095" s="19" t="str">
        <f>VLOOKUP(A1095,'ESTADOS ESTUDIANTES'!B:L,2,0)</f>
        <v>CAICEDO NAVARRO JOAQUÍN EDUARDO</v>
      </c>
      <c r="C1095" s="19">
        <f>VLOOKUP(A1095,'ESTADOS ESTUDIANTES'!B:L,3,0)</f>
        <v>495</v>
      </c>
      <c r="D1095" s="66" t="str">
        <f>VLOOKUP(A1095,'ESTADOS ESTUDIANTES'!B:L,4,0)</f>
        <v>MAE. EN CIENCIAS DE LA INF. Y LAS COMUNICACIONES ENFASIS EN ING. SOFT</v>
      </c>
      <c r="E1095" s="19" t="str">
        <f>VLOOKUP(A1095,'ESTADOS ESTUDIANTES'!B:L,5,0)</f>
        <v>E</v>
      </c>
      <c r="F1095" s="18" t="str">
        <f>VLOOKUP(E1095,Listas!B1:C1004,2,0)</f>
        <v>EGRESADO</v>
      </c>
      <c r="G1095" s="19">
        <f>VLOOKUP(A1095,'ESTADOS ESTUDIANTES'!B:L,7,0)</f>
        <v>3</v>
      </c>
      <c r="H1095" s="19" t="str">
        <f>VLOOKUP(A1095,'ESTADOS ESTUDIANTES'!B:L,8,0)</f>
        <v>jecaicedon@udistrital.edu.co</v>
      </c>
      <c r="I1095" s="70" t="str">
        <f>VLOOKUP(A1095,'ESTADOS ESTUDIANTES'!B:L,9,0)</f>
        <v>joacocn@gmail.com</v>
      </c>
      <c r="J1095" s="19" t="str">
        <f>VLOOKUP(A1095,'ESTADOS ESTUDIANTES'!B:L,10,0)</f>
        <v>CC</v>
      </c>
      <c r="K1095" s="19">
        <f>VLOOKUP(A1095,'ESTADOS ESTUDIANTES'!B:L,11,0)</f>
        <v>1024481940</v>
      </c>
      <c r="L1095" s="19">
        <v>3232898653</v>
      </c>
      <c r="M1095" s="20">
        <v>32273</v>
      </c>
      <c r="N1095" s="22"/>
      <c r="O1095" s="15"/>
      <c r="P1095" s="15"/>
      <c r="Q1095" s="15"/>
      <c r="R1095" s="15"/>
      <c r="S1095" s="15"/>
      <c r="T1095" s="15"/>
      <c r="U1095" s="15"/>
    </row>
    <row r="1096" spans="1:21" ht="90">
      <c r="A1096" s="17">
        <v>20201495002</v>
      </c>
      <c r="B1096" s="19" t="str">
        <f>VLOOKUP(A1096,'ESTADOS ESTUDIANTES'!B:L,2,0)</f>
        <v>AGUIRRE CARPETA WILLIAM YESID</v>
      </c>
      <c r="C1096" s="19">
        <f>VLOOKUP(A1096,'ESTADOS ESTUDIANTES'!B:L,3,0)</f>
        <v>495</v>
      </c>
      <c r="D1096" s="66" t="str">
        <f>VLOOKUP(A1096,'ESTADOS ESTUDIANTES'!B:L,4,0)</f>
        <v>MAE. EN CIENCIAS DE LA INF. Y LAS COMUNICACIONES ENFASIS EN ING. SOFT</v>
      </c>
      <c r="E1096" s="19" t="str">
        <f>VLOOKUP(A1096,'ESTADOS ESTUDIANTES'!B:L,5,0)</f>
        <v>A</v>
      </c>
      <c r="F1096" s="18" t="str">
        <f>VLOOKUP(E1096,Listas!B1:C1004,2,0)</f>
        <v>ACTIVO</v>
      </c>
      <c r="G1096" s="19">
        <f>VLOOKUP(A1096,'ESTADOS ESTUDIANTES'!B:L,7,0)</f>
        <v>1</v>
      </c>
      <c r="H1096" s="19" t="str">
        <f>VLOOKUP(A1096,'ESTADOS ESTUDIANTES'!B:L,8,0)</f>
        <v>wyaguirrec@udistrital.edu.co</v>
      </c>
      <c r="I1096" s="70" t="str">
        <f>VLOOKUP(A1096,'ESTADOS ESTUDIANTES'!B:L,9,0)</f>
        <v>williamaguirrecarpeta@gmail.com</v>
      </c>
      <c r="J1096" s="19" t="str">
        <f>VLOOKUP(A1096,'ESTADOS ESTUDIANTES'!B:L,10,0)</f>
        <v>CC</v>
      </c>
      <c r="K1096" s="19">
        <f>VLOOKUP(A1096,'ESTADOS ESTUDIANTES'!B:L,11,0)</f>
        <v>1022944647</v>
      </c>
      <c r="L1096" s="19">
        <v>3017555305</v>
      </c>
      <c r="M1096" s="20">
        <v>32360</v>
      </c>
      <c r="N1096" s="22"/>
      <c r="O1096" s="15"/>
      <c r="P1096" s="15"/>
      <c r="Q1096" s="15"/>
      <c r="R1096" s="15"/>
      <c r="S1096" s="15"/>
      <c r="T1096" s="15"/>
      <c r="U1096" s="15"/>
    </row>
    <row r="1097" spans="1:21" ht="90">
      <c r="A1097" s="17">
        <v>20201495003</v>
      </c>
      <c r="B1097" s="19" t="str">
        <f>VLOOKUP(A1097,'ESTADOS ESTUDIANTES'!B:L,2,0)</f>
        <v>BRAVO MORA CRISTIAN ALEJANDRO</v>
      </c>
      <c r="C1097" s="19">
        <f>VLOOKUP(A1097,'ESTADOS ESTUDIANTES'!B:L,3,0)</f>
        <v>495</v>
      </c>
      <c r="D1097" s="66" t="str">
        <f>VLOOKUP(A1097,'ESTADOS ESTUDIANTES'!B:L,4,0)</f>
        <v>MAE. EN CIENCIAS DE LA INF. Y LAS COMUNICACIONES ENFASIS EN ING. SOFT</v>
      </c>
      <c r="E1097" s="19" t="str">
        <f>VLOOKUP(A1097,'ESTADOS ESTUDIANTES'!B:L,5,0)</f>
        <v>I</v>
      </c>
      <c r="F1097" s="18" t="str">
        <f>VLOOKUP(E1097,Listas!B1:C1004,2,0)</f>
        <v>INACTIVO</v>
      </c>
      <c r="G1097" s="19" t="str">
        <f>VLOOKUP(A1097,'ESTADOS ESTUDIANTES'!B:L,7,0)</f>
        <v>NO REGISTRA</v>
      </c>
      <c r="H1097" s="19">
        <f>VLOOKUP(A1097,'ESTADOS ESTUDIANTES'!B:L,8,0)</f>
        <v>0</v>
      </c>
      <c r="I1097" s="70" t="str">
        <f>VLOOKUP(A1097,'ESTADOS ESTUDIANTES'!B:L,9,0)</f>
        <v>alejandro049530@gmail.com</v>
      </c>
      <c r="J1097" s="19" t="str">
        <f>VLOOKUP(A1097,'ESTADOS ESTUDIANTES'!B:L,10,0)</f>
        <v>CC</v>
      </c>
      <c r="K1097" s="19">
        <f>VLOOKUP(A1097,'ESTADOS ESTUDIANTES'!B:L,11,0)</f>
        <v>1018475779</v>
      </c>
      <c r="L1097" s="21"/>
      <c r="M1097" s="20"/>
      <c r="N1097" s="22"/>
      <c r="O1097" s="15"/>
      <c r="P1097" s="15"/>
      <c r="Q1097" s="15"/>
      <c r="R1097" s="15"/>
      <c r="S1097" s="15"/>
      <c r="T1097" s="15"/>
      <c r="U1097" s="15"/>
    </row>
    <row r="1098" spans="1:21" ht="90">
      <c r="A1098" s="17">
        <v>20201495004</v>
      </c>
      <c r="B1098" s="19" t="str">
        <f>VLOOKUP(A1098,'ESTADOS ESTUDIANTES'!B:L,2,0)</f>
        <v>EDISON RENÉ CABALLERO BARRIGA</v>
      </c>
      <c r="C1098" s="19">
        <f>VLOOKUP(A1098,'ESTADOS ESTUDIANTES'!B:L,3,0)</f>
        <v>495</v>
      </c>
      <c r="D1098" s="66" t="str">
        <f>VLOOKUP(A1098,'ESTADOS ESTUDIANTES'!B:L,4,0)</f>
        <v>MAE. EN CIENCIAS DE LA INF. Y LAS COMUNICACIONES ENFASIS EN ING. SOFT</v>
      </c>
      <c r="E1098" s="19" t="str">
        <f>VLOOKUP(A1098,'ESTADOS ESTUDIANTES'!B:L,5,0)</f>
        <v>X</v>
      </c>
      <c r="F1098" s="18" t="str">
        <f>VLOOKUP(E1098,Listas!B1:C1004,2,0)</f>
        <v>EXCLUIDO</v>
      </c>
      <c r="G1098" s="19">
        <f>VLOOKUP(A1098,'ESTADOS ESTUDIANTES'!B:L,7,0)</f>
        <v>5</v>
      </c>
      <c r="H1098" s="19" t="str">
        <f>VLOOKUP(A1098,'ESTADOS ESTUDIANTES'!B:L,8,0)</f>
        <v>ercaballerob@udistrital.edu.co</v>
      </c>
      <c r="I1098" s="70" t="str">
        <f>VLOOKUP(A1098,'ESTADOS ESTUDIANTES'!B:L,9,0)</f>
        <v>caballerorene@gmail.com</v>
      </c>
      <c r="J1098" s="19" t="str">
        <f>VLOOKUP(A1098,'ESTADOS ESTUDIANTES'!B:L,10,0)</f>
        <v>CC</v>
      </c>
      <c r="K1098" s="19">
        <f>VLOOKUP(A1098,'ESTADOS ESTUDIANTES'!B:L,11,0)</f>
        <v>2965707</v>
      </c>
      <c r="L1098" s="19">
        <v>3002821101</v>
      </c>
      <c r="M1098" s="20"/>
      <c r="N1098" s="22"/>
      <c r="O1098" s="15"/>
      <c r="P1098" s="15"/>
      <c r="Q1098" s="15"/>
      <c r="R1098" s="15"/>
      <c r="S1098" s="15"/>
      <c r="T1098" s="15"/>
      <c r="U1098" s="15"/>
    </row>
    <row r="1099" spans="1:21" ht="90">
      <c r="A1099" s="17">
        <v>20201495005</v>
      </c>
      <c r="B1099" s="19" t="str">
        <f>VLOOKUP(A1099,'ESTADOS ESTUDIANTES'!B:L,2,0)</f>
        <v>GALVIS ESPITIA DAVID GUILLERMO</v>
      </c>
      <c r="C1099" s="19">
        <f>VLOOKUP(A1099,'ESTADOS ESTUDIANTES'!B:L,3,0)</f>
        <v>495</v>
      </c>
      <c r="D1099" s="66" t="str">
        <f>VLOOKUP(A1099,'ESTADOS ESTUDIANTES'!B:L,4,0)</f>
        <v>MAE. EN CIENCIAS DE LA INF. Y LAS COMUNICACIONES ENFASIS EN ING. SOFT</v>
      </c>
      <c r="E1099" s="19" t="str">
        <f>VLOOKUP(A1099,'ESTADOS ESTUDIANTES'!B:L,5,0)</f>
        <v>X</v>
      </c>
      <c r="F1099" s="18" t="str">
        <f>VLOOKUP(E1099,Listas!B1:C1004,2,0)</f>
        <v>EXCLUIDO</v>
      </c>
      <c r="G1099" s="19">
        <f>VLOOKUP(A1099,'ESTADOS ESTUDIANTES'!B:L,7,0)</f>
        <v>1</v>
      </c>
      <c r="H1099" s="19" t="str">
        <f>VLOOKUP(A1099,'ESTADOS ESTUDIANTES'!B:L,8,0)</f>
        <v>dggalvise@correo.udistrital.edu.co</v>
      </c>
      <c r="I1099" s="70" t="str">
        <f>VLOOKUP(A1099,'ESTADOS ESTUDIANTES'!B:L,9,0)</f>
        <v>davidggalvis@gmail.com</v>
      </c>
      <c r="J1099" s="19" t="str">
        <f>VLOOKUP(A1099,'ESTADOS ESTUDIANTES'!B:L,10,0)</f>
        <v>CC</v>
      </c>
      <c r="K1099" s="19">
        <f>VLOOKUP(A1099,'ESTADOS ESTUDIANTES'!B:L,11,0)</f>
        <v>1010216119</v>
      </c>
      <c r="L1099" s="19">
        <v>3013148295</v>
      </c>
      <c r="M1099" s="20">
        <v>34537</v>
      </c>
      <c r="N1099" s="22"/>
      <c r="O1099" s="15"/>
      <c r="P1099" s="15"/>
      <c r="Q1099" s="15"/>
      <c r="R1099" s="15"/>
      <c r="S1099" s="15"/>
      <c r="T1099" s="15"/>
      <c r="U1099" s="15"/>
    </row>
    <row r="1100" spans="1:21" ht="90">
      <c r="A1100" s="17">
        <v>20201495006</v>
      </c>
      <c r="B1100" s="19" t="str">
        <f>VLOOKUP(A1100,'ESTADOS ESTUDIANTES'!B:L,2,0)</f>
        <v>ORTIZ MONTERO CHRISTOPHER GIOVANNY</v>
      </c>
      <c r="C1100" s="19">
        <f>VLOOKUP(A1100,'ESTADOS ESTUDIANTES'!B:L,3,0)</f>
        <v>495</v>
      </c>
      <c r="D1100" s="66" t="str">
        <f>VLOOKUP(A1100,'ESTADOS ESTUDIANTES'!B:L,4,0)</f>
        <v>MAE. EN CIENCIAS DE LA INF. Y LAS COMUNICACIONES ENFASIS EN ING. SOFT</v>
      </c>
      <c r="E1100" s="19" t="str">
        <f>VLOOKUP(A1100,'ESTADOS ESTUDIANTES'!B:L,5,0)</f>
        <v>X</v>
      </c>
      <c r="F1100" s="18" t="str">
        <f>VLOOKUP(E1100,Listas!B1:C1004,2,0)</f>
        <v>EXCLUIDO</v>
      </c>
      <c r="G1100" s="19">
        <f>VLOOKUP(A1100,'ESTADOS ESTUDIANTES'!B:L,7,0)</f>
        <v>3</v>
      </c>
      <c r="H1100" s="19" t="str">
        <f>VLOOKUP(A1100,'ESTADOS ESTUDIANTES'!B:L,8,0)</f>
        <v>cgortizm@udistrital.edu.co</v>
      </c>
      <c r="I1100" s="70" t="str">
        <f>VLOOKUP(A1100,'ESTADOS ESTUDIANTES'!B:L,9,0)</f>
        <v>cgortizm@udistrital.edu.co</v>
      </c>
      <c r="J1100" s="19" t="str">
        <f>VLOOKUP(A1100,'ESTADOS ESTUDIANTES'!B:L,10,0)</f>
        <v>CC</v>
      </c>
      <c r="K1100" s="19">
        <f>VLOOKUP(A1100,'ESTADOS ESTUDIANTES'!B:L,11,0)</f>
        <v>1136888127</v>
      </c>
      <c r="L1100" s="19">
        <v>3188660683</v>
      </c>
      <c r="M1100" s="20">
        <v>35359</v>
      </c>
      <c r="N1100" s="22"/>
      <c r="O1100" s="15"/>
      <c r="P1100" s="15"/>
      <c r="Q1100" s="15"/>
      <c r="R1100" s="15"/>
      <c r="S1100" s="15"/>
      <c r="T1100" s="15"/>
      <c r="U1100" s="15"/>
    </row>
    <row r="1101" spans="1:21" ht="90">
      <c r="A1101" s="17">
        <v>20201495007</v>
      </c>
      <c r="B1101" s="19" t="str">
        <f>VLOOKUP(A1101,'ESTADOS ESTUDIANTES'!B:L,2,0)</f>
        <v>RODRÍGUEZ PIÑEROS EDWAR ARTURO</v>
      </c>
      <c r="C1101" s="19">
        <f>VLOOKUP(A1101,'ESTADOS ESTUDIANTES'!B:L,3,0)</f>
        <v>495</v>
      </c>
      <c r="D1101" s="66" t="str">
        <f>VLOOKUP(A1101,'ESTADOS ESTUDIANTES'!B:L,4,0)</f>
        <v>MAE. EN CIENCIAS DE LA INF. Y LAS COMUNICACIONES ENFASIS EN ING. SOFT</v>
      </c>
      <c r="E1101" s="19" t="str">
        <f>VLOOKUP(A1101,'ESTADOS ESTUDIANTES'!B:L,5,0)</f>
        <v>X</v>
      </c>
      <c r="F1101" s="18" t="str">
        <f>VLOOKUP(E1101,Listas!B1:C1004,2,0)</f>
        <v>EXCLUIDO</v>
      </c>
      <c r="G1101" s="19">
        <f>VLOOKUP(A1101,'ESTADOS ESTUDIANTES'!B:L,7,0)</f>
        <v>3</v>
      </c>
      <c r="H1101" s="19" t="str">
        <f>VLOOKUP(A1101,'ESTADOS ESTUDIANTES'!B:L,8,0)</f>
        <v>earodriguezp@udistrital.edu.co</v>
      </c>
      <c r="I1101" s="70" t="str">
        <f>VLOOKUP(A1101,'ESTADOS ESTUDIANTES'!B:L,9,0)</f>
        <v>edwarod-107@hotmail.com</v>
      </c>
      <c r="J1101" s="19" t="str">
        <f>VLOOKUP(A1101,'ESTADOS ESTUDIANTES'!B:L,10,0)</f>
        <v>CC</v>
      </c>
      <c r="K1101" s="19">
        <f>VLOOKUP(A1101,'ESTADOS ESTUDIANTES'!B:L,11,0)</f>
        <v>1016058200</v>
      </c>
      <c r="L1101" s="19">
        <v>3192949241</v>
      </c>
      <c r="M1101" s="20">
        <v>34182</v>
      </c>
      <c r="N1101" s="22"/>
      <c r="O1101" s="15"/>
      <c r="P1101" s="15"/>
      <c r="Q1101" s="15"/>
      <c r="R1101" s="15"/>
      <c r="S1101" s="15"/>
      <c r="T1101" s="15"/>
      <c r="U1101" s="15"/>
    </row>
    <row r="1102" spans="1:21" ht="90">
      <c r="A1102" s="17">
        <v>20201495008</v>
      </c>
      <c r="B1102" s="19" t="str">
        <f>VLOOKUP(A1102,'ESTADOS ESTUDIANTES'!B:L,2,0)</f>
        <v>SANABRIA ARTEAGA JHANS</v>
      </c>
      <c r="C1102" s="19">
        <f>VLOOKUP(A1102,'ESTADOS ESTUDIANTES'!B:L,3,0)</f>
        <v>495</v>
      </c>
      <c r="D1102" s="66" t="str">
        <f>VLOOKUP(A1102,'ESTADOS ESTUDIANTES'!B:L,4,0)</f>
        <v>MAE. EN CIENCIAS DE LA INF. Y LAS COMUNICACIONES ENFASIS EN ING. SOFT</v>
      </c>
      <c r="E1102" s="19" t="str">
        <f>VLOOKUP(A1102,'ESTADOS ESTUDIANTES'!B:L,5,0)</f>
        <v>N</v>
      </c>
      <c r="F1102" s="18" t="str">
        <f>VLOOKUP(E1102,Listas!B1:C1004,2,0)</f>
        <v>ERROR DE CODIGO</v>
      </c>
      <c r="G1102" s="19" t="str">
        <f>VLOOKUP(A1102,'ESTADOS ESTUDIANTES'!B:L,7,0)</f>
        <v>NO REGISTRA</v>
      </c>
      <c r="H1102" s="19">
        <f>VLOOKUP(A1102,'ESTADOS ESTUDIANTES'!B:L,8,0)</f>
        <v>0</v>
      </c>
      <c r="I1102" s="70" t="str">
        <f>VLOOKUP(A1102,'ESTADOS ESTUDIANTES'!B:L,9,0)</f>
        <v>hans_sanabria@hotmail.com</v>
      </c>
      <c r="J1102" s="19" t="str">
        <f>VLOOKUP(A1102,'ESTADOS ESTUDIANTES'!B:L,10,0)</f>
        <v>CC</v>
      </c>
      <c r="K1102" s="19">
        <f>VLOOKUP(A1102,'ESTADOS ESTUDIANTES'!B:L,11,0)</f>
        <v>79132821</v>
      </c>
      <c r="L1102" s="23"/>
      <c r="M1102" s="20"/>
      <c r="N1102" s="22"/>
      <c r="O1102" s="15"/>
      <c r="P1102" s="15"/>
      <c r="Q1102" s="15"/>
      <c r="R1102" s="15"/>
      <c r="S1102" s="15"/>
      <c r="T1102" s="15"/>
      <c r="U1102" s="15"/>
    </row>
    <row r="1103" spans="1:21" ht="90">
      <c r="A1103" s="17">
        <v>20201495009</v>
      </c>
      <c r="B1103" s="19" t="str">
        <f>VLOOKUP(A1103,'ESTADOS ESTUDIANTES'!B:L,2,0)</f>
        <v>VELÁSQUEZ MÉNDEZ WALTER IVÁN</v>
      </c>
      <c r="C1103" s="19">
        <f>VLOOKUP(A1103,'ESTADOS ESTUDIANTES'!B:L,3,0)</f>
        <v>495</v>
      </c>
      <c r="D1103" s="66" t="str">
        <f>VLOOKUP(A1103,'ESTADOS ESTUDIANTES'!B:L,4,0)</f>
        <v>MAE. EN CIENCIAS DE LA INF. Y LAS COMUNICACIONES ENFASIS EN ING. SOFT</v>
      </c>
      <c r="E1103" s="19" t="str">
        <f>VLOOKUP(A1103,'ESTADOS ESTUDIANTES'!B:L,5,0)</f>
        <v>X</v>
      </c>
      <c r="F1103" s="18" t="str">
        <f>VLOOKUP(E1103,Listas!B1:C1004,2,0)</f>
        <v>EXCLUIDO</v>
      </c>
      <c r="G1103" s="19">
        <f>VLOOKUP(A1103,'ESTADOS ESTUDIANTES'!B:L,7,0)</f>
        <v>4</v>
      </c>
      <c r="H1103" s="19">
        <f>VLOOKUP(A1103,'ESTADOS ESTUDIANTES'!B:L,8,0)</f>
        <v>0</v>
      </c>
      <c r="I1103" s="70" t="str">
        <f>VLOOKUP(A1103,'ESTADOS ESTUDIANTES'!B:L,9,0)</f>
        <v>wivan.vel@gmail.com</v>
      </c>
      <c r="J1103" s="19" t="str">
        <f>VLOOKUP(A1103,'ESTADOS ESTUDIANTES'!B:L,10,0)</f>
        <v>CC</v>
      </c>
      <c r="K1103" s="19">
        <f>VLOOKUP(A1103,'ESTADOS ESTUDIANTES'!B:L,11,0)</f>
        <v>1032417757</v>
      </c>
      <c r="L1103" s="19">
        <v>3176559728</v>
      </c>
      <c r="M1103" s="20"/>
      <c r="N1103" s="22"/>
      <c r="O1103" s="15"/>
      <c r="P1103" s="15"/>
      <c r="Q1103" s="15"/>
      <c r="R1103" s="15"/>
      <c r="S1103" s="15"/>
      <c r="T1103" s="15"/>
      <c r="U1103" s="15"/>
    </row>
    <row r="1104" spans="1:21" ht="90">
      <c r="A1104" s="17">
        <v>20202195001</v>
      </c>
      <c r="B1104" s="19" t="str">
        <f>VLOOKUP(A1104,'ESTADOS ESTUDIANTES'!B:L,2,0)</f>
        <v>BRICENO MOLINA STHEVEN ARLEY</v>
      </c>
      <c r="C1104" s="19">
        <f>VLOOKUP(A1104,'ESTADOS ESTUDIANTES'!B:L,3,0)</f>
        <v>195</v>
      </c>
      <c r="D1104" s="66" t="str">
        <f>VLOOKUP(A1104,'ESTADOS ESTUDIANTES'!B:L,4,0)</f>
        <v>MAE. EN CIENCIAS DE LA INF. Y LAS COMUNICACIONES ENFASIS EN TELEINF.</v>
      </c>
      <c r="E1104" s="19" t="str">
        <f>VLOOKUP(A1104,'ESTADOS ESTUDIANTES'!B:L,5,0)</f>
        <v>A</v>
      </c>
      <c r="F1104" s="18" t="str">
        <f>VLOOKUP(E1104,Listas!B1:C1004,2,0)</f>
        <v>ACTIVO</v>
      </c>
      <c r="G1104" s="19">
        <f>VLOOKUP(A1104,'ESTADOS ESTUDIANTES'!B:L,7,0)</f>
        <v>2</v>
      </c>
      <c r="H1104" s="19" t="str">
        <f>VLOOKUP(A1104,'ESTADOS ESTUDIANTES'!B:L,8,0)</f>
        <v>sabricenom@udistrital.edu.co</v>
      </c>
      <c r="I1104" s="70" t="str">
        <f>VLOOKUP(A1104,'ESTADOS ESTUDIANTES'!B:L,9,0)</f>
        <v>sabm20@gmail.com</v>
      </c>
      <c r="J1104" s="19" t="str">
        <f>VLOOKUP(A1104,'ESTADOS ESTUDIANTES'!B:L,10,0)</f>
        <v>CC</v>
      </c>
      <c r="K1104" s="19">
        <f>VLOOKUP(A1104,'ESTADOS ESTUDIANTES'!B:L,11,0)</f>
        <v>80757660</v>
      </c>
      <c r="L1104" s="19">
        <v>3187073673</v>
      </c>
      <c r="M1104" s="20">
        <v>30510</v>
      </c>
      <c r="N1104" s="22"/>
      <c r="O1104" s="15"/>
      <c r="P1104" s="15"/>
      <c r="Q1104" s="15"/>
      <c r="R1104" s="15"/>
      <c r="S1104" s="15"/>
      <c r="T1104" s="15"/>
      <c r="U1104" s="15"/>
    </row>
    <row r="1105" spans="1:21" ht="90">
      <c r="A1105" s="17">
        <v>20202195002</v>
      </c>
      <c r="B1105" s="19" t="str">
        <f>VLOOKUP(A1105,'ESTADOS ESTUDIANTES'!B:L,2,0)</f>
        <v>CASTILLO CRUZ JUAN DIEGO</v>
      </c>
      <c r="C1105" s="19">
        <f>VLOOKUP(A1105,'ESTADOS ESTUDIANTES'!B:L,3,0)</f>
        <v>195</v>
      </c>
      <c r="D1105" s="66" t="str">
        <f>VLOOKUP(A1105,'ESTADOS ESTUDIANTES'!B:L,4,0)</f>
        <v>MAE. EN CIENCIAS DE LA INF. Y LAS COMUNICACIONES ENFASIS EN TELEINF.</v>
      </c>
      <c r="E1105" s="19" t="str">
        <f>VLOOKUP(A1105,'ESTADOS ESTUDIANTES'!B:L,5,0)</f>
        <v>E</v>
      </c>
      <c r="F1105" s="18" t="str">
        <f>VLOOKUP(E1105,Listas!B1:C1004,2,0)</f>
        <v>EGRESADO</v>
      </c>
      <c r="G1105" s="19">
        <f>VLOOKUP(A1105,'ESTADOS ESTUDIANTES'!B:L,7,0)</f>
        <v>1</v>
      </c>
      <c r="H1105" s="19">
        <f>VLOOKUP(A1105,'ESTADOS ESTUDIANTES'!B:L,8,0)</f>
        <v>0</v>
      </c>
      <c r="I1105" s="70" t="str">
        <f>VLOOKUP(A1105,'ESTADOS ESTUDIANTES'!B:L,9,0)</f>
        <v>judcastilloc@correo.udistrital.edu.co</v>
      </c>
      <c r="J1105" s="19" t="str">
        <f>VLOOKUP(A1105,'ESTADOS ESTUDIANTES'!B:L,10,0)</f>
        <v>CC</v>
      </c>
      <c r="K1105" s="19">
        <f>VLOOKUP(A1105,'ESTADOS ESTUDIANTES'!B:L,11,0)</f>
        <v>1101759682</v>
      </c>
      <c r="L1105" s="19">
        <v>3202051144</v>
      </c>
      <c r="M1105" s="20">
        <v>35489</v>
      </c>
      <c r="N1105" s="22"/>
      <c r="O1105" s="15"/>
      <c r="P1105" s="15"/>
      <c r="Q1105" s="15"/>
      <c r="R1105" s="15"/>
      <c r="S1105" s="15"/>
      <c r="T1105" s="15"/>
      <c r="U1105" s="15"/>
    </row>
    <row r="1106" spans="1:21" ht="90">
      <c r="A1106" s="17">
        <v>20202195003</v>
      </c>
      <c r="B1106" s="19" t="str">
        <f>VLOOKUP(A1106,'ESTADOS ESTUDIANTES'!B:L,2,0)</f>
        <v>LUNA CASTRO IVAN RODRIGO</v>
      </c>
      <c r="C1106" s="19">
        <f>VLOOKUP(A1106,'ESTADOS ESTUDIANTES'!B:L,3,0)</f>
        <v>195</v>
      </c>
      <c r="D1106" s="66" t="str">
        <f>VLOOKUP(A1106,'ESTADOS ESTUDIANTES'!B:L,4,0)</f>
        <v>MAE. EN CIENCIAS DE LA INF. Y LAS COMUNICACIONES ENFASIS EN TELEINF.</v>
      </c>
      <c r="E1106" s="19" t="str">
        <f>VLOOKUP(A1106,'ESTADOS ESTUDIANTES'!B:L,5,0)</f>
        <v>X</v>
      </c>
      <c r="F1106" s="18" t="str">
        <f>VLOOKUP(E1106,Listas!B1:C1004,2,0)</f>
        <v>EXCLUIDO</v>
      </c>
      <c r="G1106" s="19">
        <f>VLOOKUP(A1106,'ESTADOS ESTUDIANTES'!B:L,7,0)</f>
        <v>4</v>
      </c>
      <c r="H1106" s="19">
        <f>VLOOKUP(A1106,'ESTADOS ESTUDIANTES'!B:L,8,0)</f>
        <v>0</v>
      </c>
      <c r="I1106" s="70" t="str">
        <f>VLOOKUP(A1106,'ESTADOS ESTUDIANTES'!B:L,9,0)</f>
        <v>ivanluna@gmail.com</v>
      </c>
      <c r="J1106" s="19" t="str">
        <f>VLOOKUP(A1106,'ESTADOS ESTUDIANTES'!B:L,10,0)</f>
        <v>CC</v>
      </c>
      <c r="K1106" s="19">
        <f>VLOOKUP(A1106,'ESTADOS ESTUDIANTES'!B:L,11,0)</f>
        <v>79943294</v>
      </c>
      <c r="L1106" s="19">
        <v>3017906729</v>
      </c>
      <c r="M1106" s="20">
        <v>28305</v>
      </c>
      <c r="N1106" s="22"/>
      <c r="O1106" s="15"/>
      <c r="P1106" s="15"/>
      <c r="Q1106" s="15"/>
      <c r="R1106" s="15"/>
      <c r="S1106" s="15"/>
      <c r="T1106" s="15"/>
      <c r="U1106" s="15"/>
    </row>
    <row r="1107" spans="1:21" ht="90">
      <c r="A1107" s="17">
        <v>20202195004</v>
      </c>
      <c r="B1107" s="19" t="str">
        <f>VLOOKUP(A1107,'ESTADOS ESTUDIANTES'!B:L,2,0)</f>
        <v>MARTINEZ MORALES BRENDA MELISSA</v>
      </c>
      <c r="C1107" s="19">
        <f>VLOOKUP(A1107,'ESTADOS ESTUDIANTES'!B:L,3,0)</f>
        <v>195</v>
      </c>
      <c r="D1107" s="66" t="str">
        <f>VLOOKUP(A1107,'ESTADOS ESTUDIANTES'!B:L,4,0)</f>
        <v>MAE. EN CIENCIAS DE LA INF. Y LAS COMUNICACIONES ENFASIS EN TELEINF.</v>
      </c>
      <c r="E1107" s="19" t="str">
        <f>VLOOKUP(A1107,'ESTADOS ESTUDIANTES'!B:L,5,0)</f>
        <v>V</v>
      </c>
      <c r="F1107" s="18" t="str">
        <f>VLOOKUP(E1107,Listas!B1:C1004,2,0)</f>
        <v>VACACIONES</v>
      </c>
      <c r="G1107" s="19">
        <f>VLOOKUP(A1107,'ESTADOS ESTUDIANTES'!B:L,7,0)</f>
        <v>1</v>
      </c>
      <c r="H1107" s="19" t="str">
        <f>VLOOKUP(A1107,'ESTADOS ESTUDIANTES'!B:L,8,0)</f>
        <v>bmmartinezm@udistrital.edu.co</v>
      </c>
      <c r="I1107" s="70" t="str">
        <f>VLOOKUP(A1107,'ESTADOS ESTUDIANTES'!B:L,9,0)</f>
        <v>ing.brendam3@outlook.com</v>
      </c>
      <c r="J1107" s="19" t="str">
        <f>VLOOKUP(A1107,'ESTADOS ESTUDIANTES'!B:L,10,0)</f>
        <v>CC</v>
      </c>
      <c r="K1107" s="19">
        <f>VLOOKUP(A1107,'ESTADOS ESTUDIANTES'!B:L,11,0)</f>
        <v>1106397288</v>
      </c>
      <c r="L1107" s="19">
        <v>3102014321</v>
      </c>
      <c r="M1107" s="20">
        <v>34333</v>
      </c>
      <c r="N1107" s="22"/>
      <c r="O1107" s="15"/>
      <c r="P1107" s="15"/>
      <c r="Q1107" s="15"/>
      <c r="R1107" s="15"/>
      <c r="S1107" s="15"/>
      <c r="T1107" s="15"/>
      <c r="U1107" s="15"/>
    </row>
    <row r="1108" spans="1:21" ht="105">
      <c r="A1108" s="508">
        <v>20202195005</v>
      </c>
      <c r="B1108" s="19" t="str">
        <f>VLOOKUP(A1108,'ESTADOS ESTUDIANTES'!B:L,2,0)</f>
        <v>QUINTERO VILLAMIZAR SEDITSIRA ANDREA</v>
      </c>
      <c r="C1108" s="19">
        <f>VLOOKUP(A1108,'ESTADOS ESTUDIANTES'!B:L,3,0)</f>
        <v>695</v>
      </c>
      <c r="D1108" s="66" t="str">
        <f>VLOOKUP(A1108,'ESTADOS ESTUDIANTES'!B:L,4,0)</f>
        <v>MAESTRÍA EN CIENCIAS DE LA INFORMACIÓN Y LAS COMUNICACIONES</v>
      </c>
      <c r="E1108" s="19" t="str">
        <f>VLOOKUP(A1108,'ESTADOS ESTUDIANTES'!B:L,5,0)</f>
        <v>V</v>
      </c>
      <c r="F1108" s="18" t="str">
        <f>VLOOKUP(E1108,Listas!B1:C1004,2,0)</f>
        <v>VACACIONES</v>
      </c>
      <c r="G1108" s="19">
        <f>VLOOKUP(A1108,'ESTADOS ESTUDIANTES'!B:L,7,0)</f>
        <v>4</v>
      </c>
      <c r="H1108" s="19" t="str">
        <f>VLOOKUP(A1108,'ESTADOS ESTUDIANTES'!B:L,8,0)</f>
        <v>saquinterov@udistrital.edu.co</v>
      </c>
      <c r="I1108" s="70" t="str">
        <f>VLOOKUP(A1108,'ESTADOS ESTUDIANTES'!B:L,9,0)</f>
        <v>saquinterov@unal.edu.co</v>
      </c>
      <c r="J1108" s="19" t="str">
        <f>VLOOKUP(A1108,'ESTADOS ESTUDIANTES'!B:L,10,0)</f>
        <v>CC</v>
      </c>
      <c r="K1108" s="19">
        <f>VLOOKUP(A1108,'ESTADOS ESTUDIANTES'!B:L,11,0)</f>
        <v>1033736878</v>
      </c>
      <c r="L1108" s="19">
        <v>3204267092</v>
      </c>
      <c r="M1108" s="20">
        <v>33487</v>
      </c>
      <c r="N1108" s="22"/>
      <c r="O1108" s="15"/>
      <c r="P1108" s="15"/>
      <c r="Q1108" s="15"/>
      <c r="R1108" s="15"/>
      <c r="S1108" s="15"/>
      <c r="T1108" s="15"/>
      <c r="U1108" s="15"/>
    </row>
    <row r="1109" spans="1:21" ht="90">
      <c r="A1109" s="17">
        <v>20202195006</v>
      </c>
      <c r="B1109" s="19" t="str">
        <f>VLOOKUP(A1109,'ESTADOS ESTUDIANTES'!B:L,2,0)</f>
        <v>RODRIGUEZ RODRIGUEZ CLAUDIA FERNANDA</v>
      </c>
      <c r="C1109" s="19">
        <f>VLOOKUP(A1109,'ESTADOS ESTUDIANTES'!B:L,3,0)</f>
        <v>195</v>
      </c>
      <c r="D1109" s="66" t="str">
        <f>VLOOKUP(A1109,'ESTADOS ESTUDIANTES'!B:L,4,0)</f>
        <v>MAE. EN CIENCIAS DE LA INF. Y LAS COMUNICACIONES ENFASIS EN TELEINF.</v>
      </c>
      <c r="E1109" s="19" t="str">
        <f>VLOOKUP(A1109,'ESTADOS ESTUDIANTES'!B:L,5,0)</f>
        <v>V</v>
      </c>
      <c r="F1109" s="18" t="str">
        <f>VLOOKUP(E1109,Listas!B1:C1004,2,0)</f>
        <v>VACACIONES</v>
      </c>
      <c r="G1109" s="19">
        <f>VLOOKUP(A1109,'ESTADOS ESTUDIANTES'!B:L,7,0)</f>
        <v>3</v>
      </c>
      <c r="H1109" s="19" t="str">
        <f>VLOOKUP(A1109,'ESTADOS ESTUDIANTES'!B:L,8,0)</f>
        <v>cfrodriguezr@udistrital.edu.co</v>
      </c>
      <c r="I1109" s="70" t="str">
        <f>VLOOKUP(A1109,'ESTADOS ESTUDIANTES'!B:L,9,0)</f>
        <v>claudifer1745@gmail.com</v>
      </c>
      <c r="J1109" s="19" t="str">
        <f>VLOOKUP(A1109,'ESTADOS ESTUDIANTES'!B:L,10,0)</f>
        <v>CC</v>
      </c>
      <c r="K1109" s="19">
        <f>VLOOKUP(A1109,'ESTADOS ESTUDIANTES'!B:L,11,0)</f>
        <v>1013596422</v>
      </c>
      <c r="L1109" s="19">
        <v>3125532417</v>
      </c>
      <c r="M1109" s="20">
        <v>32247</v>
      </c>
      <c r="N1109" s="22"/>
      <c r="O1109" s="15"/>
      <c r="P1109" s="15"/>
      <c r="Q1109" s="15"/>
      <c r="R1109" s="15"/>
      <c r="S1109" s="15"/>
      <c r="T1109" s="15"/>
      <c r="U1109" s="15"/>
    </row>
    <row r="1110" spans="1:21" ht="90">
      <c r="A1110" s="17">
        <v>20202195007</v>
      </c>
      <c r="B1110" s="19" t="str">
        <f>VLOOKUP(A1110,'ESTADOS ESTUDIANTES'!B:L,2,0)</f>
        <v>RUIZ CRUZ JESUS ALBERTO</v>
      </c>
      <c r="C1110" s="19">
        <f>VLOOKUP(A1110,'ESTADOS ESTUDIANTES'!B:L,3,0)</f>
        <v>195</v>
      </c>
      <c r="D1110" s="66" t="str">
        <f>VLOOKUP(A1110,'ESTADOS ESTUDIANTES'!B:L,4,0)</f>
        <v>MAE. EN CIENCIAS DE LA INF. Y LAS COMUNICACIONES ENFASIS EN TELEINF.</v>
      </c>
      <c r="E1110" s="19" t="str">
        <f>VLOOKUP(A1110,'ESTADOS ESTUDIANTES'!B:L,5,0)</f>
        <v>N</v>
      </c>
      <c r="F1110" s="18" t="str">
        <f>VLOOKUP(E1110,Listas!B1:C1004,2,0)</f>
        <v>ERROR DE CODIGO</v>
      </c>
      <c r="G1110" s="19" t="str">
        <f>VLOOKUP(A1110,'ESTADOS ESTUDIANTES'!B:L,7,0)</f>
        <v>NO REGISTRA</v>
      </c>
      <c r="H1110" s="19">
        <f>VLOOKUP(A1110,'ESTADOS ESTUDIANTES'!B:L,8,0)</f>
        <v>0</v>
      </c>
      <c r="I1110" s="70" t="str">
        <f>VLOOKUP(A1110,'ESTADOS ESTUDIANTES'!B:L,9,0)</f>
        <v>ruizcruzalberto@gmail.com</v>
      </c>
      <c r="J1110" s="19" t="str">
        <f>VLOOKUP(A1110,'ESTADOS ESTUDIANTES'!B:L,10,0)</f>
        <v>CC</v>
      </c>
      <c r="K1110" s="19">
        <f>VLOOKUP(A1110,'ESTADOS ESTUDIANTES'!B:L,11,0)</f>
        <v>1030573693</v>
      </c>
      <c r="L1110" s="19">
        <v>3003501304</v>
      </c>
      <c r="M1110" s="20"/>
      <c r="N1110" s="22"/>
      <c r="O1110" s="15"/>
      <c r="P1110" s="15"/>
      <c r="Q1110" s="15"/>
      <c r="R1110" s="15"/>
      <c r="S1110" s="15"/>
      <c r="T1110" s="15"/>
      <c r="U1110" s="15"/>
    </row>
    <row r="1111" spans="1:21" ht="90">
      <c r="A1111" s="17">
        <v>20202195008</v>
      </c>
      <c r="B1111" s="19" t="str">
        <f>VLOOKUP(A1111,'ESTADOS ESTUDIANTES'!B:L,2,0)</f>
        <v>CAMILO RAMIREZ ARDILA</v>
      </c>
      <c r="C1111" s="19">
        <f>VLOOKUP(A1111,'ESTADOS ESTUDIANTES'!B:L,3,0)</f>
        <v>195</v>
      </c>
      <c r="D1111" s="66" t="str">
        <f>VLOOKUP(A1111,'ESTADOS ESTUDIANTES'!B:L,4,0)</f>
        <v>MAE. EN CIENCIAS DE LA INF. Y LAS COMUNICACIONES ENFASIS EN TELEINF.</v>
      </c>
      <c r="E1111" s="19" t="str">
        <f>VLOOKUP(A1111,'ESTADOS ESTUDIANTES'!B:L,5,0)</f>
        <v>N</v>
      </c>
      <c r="F1111" s="18" t="str">
        <f>VLOOKUP(E1111,Listas!B1:C1004,2,0)</f>
        <v>ERROR DE CODIGO</v>
      </c>
      <c r="G1111" s="19" t="str">
        <f>VLOOKUP(A1111,'ESTADOS ESTUDIANTES'!B:L,7,0)</f>
        <v>NO REGISTRA</v>
      </c>
      <c r="H1111" s="19">
        <f>VLOOKUP(A1111,'ESTADOS ESTUDIANTES'!B:L,8,0)</f>
        <v>0</v>
      </c>
      <c r="I1111" s="70" t="str">
        <f>VLOOKUP(A1111,'ESTADOS ESTUDIANTES'!B:L,9,0)</f>
        <v>camramirez2@hotmail.com</v>
      </c>
      <c r="J1111" s="19" t="str">
        <f>VLOOKUP(A1111,'ESTADOS ESTUDIANTES'!B:L,10,0)</f>
        <v>CC</v>
      </c>
      <c r="K1111" s="19">
        <f>VLOOKUP(A1111,'ESTADOS ESTUDIANTES'!B:L,11,0)</f>
        <v>80200751</v>
      </c>
      <c r="L1111" s="19">
        <v>3182659175</v>
      </c>
      <c r="M1111" s="20"/>
      <c r="N1111" s="22"/>
      <c r="O1111" s="15"/>
      <c r="P1111" s="15"/>
      <c r="Q1111" s="15"/>
      <c r="R1111" s="15"/>
      <c r="S1111" s="15"/>
      <c r="T1111" s="15"/>
      <c r="U1111" s="15"/>
    </row>
    <row r="1112" spans="1:21" ht="105">
      <c r="A1112" s="17">
        <v>20202395001</v>
      </c>
      <c r="B1112" s="19" t="str">
        <f>VLOOKUP(A1112,'ESTADOS ESTUDIANTES'!B:L,2,0)</f>
        <v>AGUILAR RUIZ JOSE MANUEL</v>
      </c>
      <c r="C1112" s="19">
        <f>VLOOKUP(A1112,'ESTADOS ESTUDIANTES'!B:L,3,0)</f>
        <v>395</v>
      </c>
      <c r="D1112" s="66" t="str">
        <f>VLOOKUP(A1112,'ESTADOS ESTUDIANTES'!B:L,4,0)</f>
        <v>MAE. EN CIENCIAS DE LA INF. Y LAS COMUNICACIONES ENFASIS EN GEOMATICA</v>
      </c>
      <c r="E1112" s="19" t="str">
        <f>VLOOKUP(A1112,'ESTADOS ESTUDIANTES'!B:L,5,0)</f>
        <v>V</v>
      </c>
      <c r="F1112" s="18" t="str">
        <f>VLOOKUP(E1112,Listas!B1:C1004,2,0)</f>
        <v>VACACIONES</v>
      </c>
      <c r="G1112" s="19">
        <f>VLOOKUP(A1112,'ESTADOS ESTUDIANTES'!B:L,7,0)</f>
        <v>2</v>
      </c>
      <c r="H1112" s="19" t="str">
        <f>VLOOKUP(A1112,'ESTADOS ESTUDIANTES'!B:L,8,0)</f>
        <v>jmaguilarr@udistrital.edu.co</v>
      </c>
      <c r="I1112" s="70" t="str">
        <f>VLOOKUP(A1112,'ESTADOS ESTUDIANTES'!B:L,9,0)</f>
        <v>josemanuel.aguilarruiz@gmail.com</v>
      </c>
      <c r="J1112" s="19" t="str">
        <f>VLOOKUP(A1112,'ESTADOS ESTUDIANTES'!B:L,10,0)</f>
        <v>CC</v>
      </c>
      <c r="K1112" s="19">
        <f>VLOOKUP(A1112,'ESTADOS ESTUDIANTES'!B:L,11,0)</f>
        <v>80175138</v>
      </c>
      <c r="L1112" s="19">
        <v>3114469261</v>
      </c>
      <c r="M1112" s="20">
        <v>30561</v>
      </c>
      <c r="N1112" s="22"/>
      <c r="O1112" s="15"/>
      <c r="P1112" s="15"/>
      <c r="Q1112" s="15"/>
      <c r="R1112" s="15"/>
      <c r="S1112" s="15"/>
      <c r="T1112" s="15"/>
      <c r="U1112" s="15"/>
    </row>
    <row r="1113" spans="1:21" ht="105">
      <c r="A1113" s="17">
        <v>20202395002</v>
      </c>
      <c r="B1113" s="19" t="str">
        <f>VLOOKUP(A1113,'ESTADOS ESTUDIANTES'!B:L,2,0)</f>
        <v>BURGOS GALINDO ANYI LORENA</v>
      </c>
      <c r="C1113" s="19">
        <f>VLOOKUP(A1113,'ESTADOS ESTUDIANTES'!B:L,3,0)</f>
        <v>395</v>
      </c>
      <c r="D1113" s="66" t="str">
        <f>VLOOKUP(A1113,'ESTADOS ESTUDIANTES'!B:L,4,0)</f>
        <v>MAE. EN CIENCIAS DE LA INF. Y LAS COMUNICACIONES ENFASIS EN GEOMATICA</v>
      </c>
      <c r="E1113" s="19" t="str">
        <f>VLOOKUP(A1113,'ESTADOS ESTUDIANTES'!B:L,5,0)</f>
        <v>X</v>
      </c>
      <c r="F1113" s="18" t="str">
        <f>VLOOKUP(E1113,Listas!B1:C1004,2,0)</f>
        <v>EXCLUIDO</v>
      </c>
      <c r="G1113" s="19">
        <f>VLOOKUP(A1113,'ESTADOS ESTUDIANTES'!B:L,7,0)</f>
        <v>3</v>
      </c>
      <c r="H1113" s="19">
        <f>VLOOKUP(A1113,'ESTADOS ESTUDIANTES'!B:L,8,0)</f>
        <v>0</v>
      </c>
      <c r="I1113" s="70" t="str">
        <f>VLOOKUP(A1113,'ESTADOS ESTUDIANTES'!B:L,9,0)</f>
        <v>alburgosg@correo.udistrital.edu.co</v>
      </c>
      <c r="J1113" s="19" t="str">
        <f>VLOOKUP(A1113,'ESTADOS ESTUDIANTES'!B:L,10,0)</f>
        <v>CC</v>
      </c>
      <c r="K1113" s="19">
        <f>VLOOKUP(A1113,'ESTADOS ESTUDIANTES'!B:L,11,0)</f>
        <v>1012345953</v>
      </c>
      <c r="L1113" s="19">
        <v>3134521305</v>
      </c>
      <c r="M1113" s="20">
        <v>32414</v>
      </c>
      <c r="N1113" s="22"/>
      <c r="O1113" s="15"/>
      <c r="P1113" s="15"/>
      <c r="Q1113" s="15"/>
      <c r="R1113" s="15"/>
      <c r="S1113" s="15"/>
      <c r="T1113" s="15"/>
      <c r="U1113" s="15"/>
    </row>
    <row r="1114" spans="1:21" ht="105">
      <c r="A1114" s="17">
        <v>20202395003</v>
      </c>
      <c r="B1114" s="19" t="str">
        <f>VLOOKUP(A1114,'ESTADOS ESTUDIANTES'!B:L,2,0)</f>
        <v>COLONIA DAVID RICARDO</v>
      </c>
      <c r="C1114" s="19">
        <f>VLOOKUP(A1114,'ESTADOS ESTUDIANTES'!B:L,3,0)</f>
        <v>395</v>
      </c>
      <c r="D1114" s="66" t="str">
        <f>VLOOKUP(A1114,'ESTADOS ESTUDIANTES'!B:L,4,0)</f>
        <v>MAE. EN CIENCIAS DE LA INF. Y LAS COMUNICACIONES ENFASIS EN GEOMATICA</v>
      </c>
      <c r="E1114" s="19" t="str">
        <f>VLOOKUP(A1114,'ESTADOS ESTUDIANTES'!B:L,5,0)</f>
        <v>X</v>
      </c>
      <c r="F1114" s="18" t="str">
        <f>VLOOKUP(E1114,Listas!B1:C1004,2,0)</f>
        <v>EXCLUIDO</v>
      </c>
      <c r="G1114" s="19">
        <f>VLOOKUP(A1114,'ESTADOS ESTUDIANTES'!B:L,7,0)</f>
        <v>3</v>
      </c>
      <c r="H1114" s="19">
        <f>VLOOKUP(A1114,'ESTADOS ESTUDIANTES'!B:L,8,0)</f>
        <v>0</v>
      </c>
      <c r="I1114" s="70" t="str">
        <f>VLOOKUP(A1114,'ESTADOS ESTUDIANTES'!B:L,9,0)</f>
        <v>angel.vid@gmail.com</v>
      </c>
      <c r="J1114" s="19" t="str">
        <f>VLOOKUP(A1114,'ESTADOS ESTUDIANTES'!B:L,10,0)</f>
        <v>CC</v>
      </c>
      <c r="K1114" s="19">
        <f>VLOOKUP(A1114,'ESTADOS ESTUDIANTES'!B:L,11,0)</f>
        <v>80097576</v>
      </c>
      <c r="L1114" s="19">
        <v>3178205456</v>
      </c>
      <c r="M1114" s="20">
        <v>30365</v>
      </c>
      <c r="N1114" s="22"/>
      <c r="O1114" s="15"/>
      <c r="P1114" s="15"/>
      <c r="Q1114" s="15"/>
      <c r="R1114" s="15"/>
      <c r="S1114" s="15"/>
      <c r="T1114" s="15"/>
      <c r="U1114" s="15"/>
    </row>
    <row r="1115" spans="1:21" ht="105">
      <c r="A1115" s="508">
        <v>20202395004</v>
      </c>
      <c r="B1115" s="19" t="str">
        <f>VLOOKUP(A1115,'ESTADOS ESTUDIANTES'!B:L,2,0)</f>
        <v>CRUZ HINCAPIE ARIANA CAROLINA</v>
      </c>
      <c r="C1115" s="19">
        <f>VLOOKUP(A1115,'ESTADOS ESTUDIANTES'!B:L,3,0)</f>
        <v>395</v>
      </c>
      <c r="D1115" s="66" t="str">
        <f>VLOOKUP(A1115,'ESTADOS ESTUDIANTES'!B:L,4,0)</f>
        <v>MAE. EN CIENCIAS DE LA INF. Y LAS COMUNICACIONES ENFASIS EN GEOMATICA</v>
      </c>
      <c r="E1115" s="19" t="str">
        <f>VLOOKUP(A1115,'ESTADOS ESTUDIANTES'!B:L,5,0)</f>
        <v>E</v>
      </c>
      <c r="F1115" s="18" t="str">
        <f>VLOOKUP(E1115,Listas!B1:C1004,2,0)</f>
        <v>EGRESADO</v>
      </c>
      <c r="G1115" s="19">
        <f>VLOOKUP(A1115,'ESTADOS ESTUDIANTES'!B:L,7,0)</f>
        <v>3</v>
      </c>
      <c r="H1115" s="19" t="str">
        <f>VLOOKUP(A1115,'ESTADOS ESTUDIANTES'!B:L,8,0)</f>
        <v>accruzh@udistrital.edu.co</v>
      </c>
      <c r="I1115" s="70" t="str">
        <f>VLOOKUP(A1115,'ESTADOS ESTUDIANTES'!B:L,9,0)</f>
        <v>accruzh@gmail.com</v>
      </c>
      <c r="J1115" s="19" t="str">
        <f>VLOOKUP(A1115,'ESTADOS ESTUDIANTES'!B:L,10,0)</f>
        <v>CC</v>
      </c>
      <c r="K1115" s="19">
        <f>VLOOKUP(A1115,'ESTADOS ESTUDIANTES'!B:L,11,0)</f>
        <v>1018462472</v>
      </c>
      <c r="L1115" s="19">
        <v>3504303887</v>
      </c>
      <c r="M1115" s="20">
        <v>34229</v>
      </c>
      <c r="N1115" s="22"/>
      <c r="O1115" s="15"/>
      <c r="P1115" s="15"/>
      <c r="Q1115" s="15"/>
      <c r="R1115" s="15"/>
      <c r="S1115" s="15"/>
      <c r="T1115" s="15"/>
      <c r="U1115" s="15"/>
    </row>
    <row r="1116" spans="1:21" ht="105">
      <c r="A1116" s="17">
        <v>20202395005</v>
      </c>
      <c r="B1116" s="19" t="str">
        <f>VLOOKUP(A1116,'ESTADOS ESTUDIANTES'!B:L,2,0)</f>
        <v>GUTIERREZ URUENA CARLOS EDUARDO</v>
      </c>
      <c r="C1116" s="19">
        <f>VLOOKUP(A1116,'ESTADOS ESTUDIANTES'!B:L,3,0)</f>
        <v>395</v>
      </c>
      <c r="D1116" s="66" t="str">
        <f>VLOOKUP(A1116,'ESTADOS ESTUDIANTES'!B:L,4,0)</f>
        <v>MAE. EN CIENCIAS DE LA INF. Y LAS COMUNICACIONES ENFASIS EN GEOMATICA</v>
      </c>
      <c r="E1116" s="19" t="str">
        <f>VLOOKUP(A1116,'ESTADOS ESTUDIANTES'!B:L,5,0)</f>
        <v>A</v>
      </c>
      <c r="F1116" s="18" t="str">
        <f>VLOOKUP(E1116,Listas!B1:C1004,2,0)</f>
        <v>ACTIVO</v>
      </c>
      <c r="G1116" s="19">
        <f>VLOOKUP(A1116,'ESTADOS ESTUDIANTES'!B:L,7,0)</f>
        <v>2</v>
      </c>
      <c r="H1116" s="19" t="str">
        <f>VLOOKUP(A1116,'ESTADOS ESTUDIANTES'!B:L,8,0)</f>
        <v>cegutierrezu@udistrital.edu.co</v>
      </c>
      <c r="I1116" s="70" t="str">
        <f>VLOOKUP(A1116,'ESTADOS ESTUDIANTES'!B:L,9,0)</f>
        <v>cgutierrezu@unal.edu.co</v>
      </c>
      <c r="J1116" s="19" t="str">
        <f>VLOOKUP(A1116,'ESTADOS ESTUDIANTES'!B:L,10,0)</f>
        <v>CC</v>
      </c>
      <c r="K1116" s="19">
        <f>VLOOKUP(A1116,'ESTADOS ESTUDIANTES'!B:L,11,0)</f>
        <v>1018458470</v>
      </c>
      <c r="L1116" s="19">
        <v>3144717136</v>
      </c>
      <c r="M1116" s="20">
        <v>34044</v>
      </c>
      <c r="N1116" s="22"/>
      <c r="O1116" s="15"/>
      <c r="P1116" s="15"/>
      <c r="Q1116" s="15"/>
      <c r="R1116" s="15"/>
      <c r="S1116" s="15"/>
      <c r="T1116" s="15"/>
      <c r="U1116" s="15"/>
    </row>
    <row r="1117" spans="1:21" ht="105">
      <c r="A1117" s="508">
        <v>20202395006</v>
      </c>
      <c r="B1117" s="19" t="str">
        <f>VLOOKUP(A1117,'ESTADOS ESTUDIANTES'!B:L,2,0)</f>
        <v>LOPEZ PINZON SERGIO DANIEL</v>
      </c>
      <c r="C1117" s="19">
        <f>VLOOKUP(A1117,'ESTADOS ESTUDIANTES'!B:L,3,0)</f>
        <v>395</v>
      </c>
      <c r="D1117" s="66" t="str">
        <f>VLOOKUP(A1117,'ESTADOS ESTUDIANTES'!B:L,4,0)</f>
        <v>MAE. EN CIENCIAS DE LA INF. Y LAS COMUNICACIONES ENFASIS EN GEOMATICA</v>
      </c>
      <c r="E1117" s="19" t="str">
        <f>VLOOKUP(A1117,'ESTADOS ESTUDIANTES'!B:L,5,0)</f>
        <v>E</v>
      </c>
      <c r="F1117" s="18" t="str">
        <f>VLOOKUP(E1117,Listas!B1:C1004,2,0)</f>
        <v>EGRESADO</v>
      </c>
      <c r="G1117" s="19">
        <f>VLOOKUP(A1117,'ESTADOS ESTUDIANTES'!B:L,7,0)</f>
        <v>3</v>
      </c>
      <c r="H1117" s="19" t="str">
        <f>VLOOKUP(A1117,'ESTADOS ESTUDIANTES'!B:L,8,0)</f>
        <v>sdlopezp@udistrital.edu.co</v>
      </c>
      <c r="I1117" s="70" t="str">
        <f>VLOOKUP(A1117,'ESTADOS ESTUDIANTES'!B:L,9,0)</f>
        <v>sdlopezp@hotmail.es</v>
      </c>
      <c r="J1117" s="19" t="str">
        <f>VLOOKUP(A1117,'ESTADOS ESTUDIANTES'!B:L,10,0)</f>
        <v>CC</v>
      </c>
      <c r="K1117" s="19">
        <f>VLOOKUP(A1117,'ESTADOS ESTUDIANTES'!B:L,11,0)</f>
        <v>1015440936</v>
      </c>
      <c r="L1117" s="19">
        <v>3183055090</v>
      </c>
      <c r="M1117" s="20">
        <v>34217</v>
      </c>
      <c r="N1117" s="22"/>
      <c r="O1117" s="15"/>
      <c r="P1117" s="15"/>
      <c r="Q1117" s="15"/>
      <c r="R1117" s="15"/>
      <c r="S1117" s="15"/>
      <c r="T1117" s="15"/>
      <c r="U1117" s="15"/>
    </row>
    <row r="1118" spans="1:21" ht="105">
      <c r="A1118" s="17">
        <v>20202395007</v>
      </c>
      <c r="B1118" s="19" t="str">
        <f>VLOOKUP(A1118,'ESTADOS ESTUDIANTES'!B:L,2,0)</f>
        <v>MARQUEZ GAMARRA SERGIO ALEXANDER</v>
      </c>
      <c r="C1118" s="19">
        <f>VLOOKUP(A1118,'ESTADOS ESTUDIANTES'!B:L,3,0)</f>
        <v>395</v>
      </c>
      <c r="D1118" s="66" t="str">
        <f>VLOOKUP(A1118,'ESTADOS ESTUDIANTES'!B:L,4,0)</f>
        <v>MAE. EN CIENCIAS DE LA INF. Y LAS COMUNICACIONES ENFASIS EN GEOMATICA</v>
      </c>
      <c r="E1118" s="19" t="str">
        <f>VLOOKUP(A1118,'ESTADOS ESTUDIANTES'!B:L,5,0)</f>
        <v>X</v>
      </c>
      <c r="F1118" s="18" t="str">
        <f>VLOOKUP(E1118,Listas!B1:C1004,2,0)</f>
        <v>EXCLUIDO</v>
      </c>
      <c r="G1118" s="19">
        <f>VLOOKUP(A1118,'ESTADOS ESTUDIANTES'!B:L,7,0)</f>
        <v>1</v>
      </c>
      <c r="H1118" s="19" t="str">
        <f>VLOOKUP(A1118,'ESTADOS ESTUDIANTES'!B:L,8,0)</f>
        <v>seamarquezg@udistrital.edu.co</v>
      </c>
      <c r="I1118" s="70" t="str">
        <f>VLOOKUP(A1118,'ESTADOS ESTUDIANTES'!B:L,9,0)</f>
        <v>patricioestupido@gmail.com</v>
      </c>
      <c r="J1118" s="19" t="str">
        <f>VLOOKUP(A1118,'ESTADOS ESTUDIANTES'!B:L,10,0)</f>
        <v>CC</v>
      </c>
      <c r="K1118" s="19">
        <f>VLOOKUP(A1118,'ESTADOS ESTUDIANTES'!B:L,11,0)</f>
        <v>1010214754</v>
      </c>
      <c r="L1118" s="19">
        <v>3144903679</v>
      </c>
      <c r="M1118" s="20">
        <v>34463</v>
      </c>
      <c r="N1118" s="22"/>
      <c r="O1118" s="15"/>
      <c r="P1118" s="15"/>
      <c r="Q1118" s="15"/>
      <c r="R1118" s="15"/>
      <c r="S1118" s="15"/>
      <c r="T1118" s="15"/>
      <c r="U1118" s="15"/>
    </row>
    <row r="1119" spans="1:21" ht="105">
      <c r="A1119" s="17">
        <v>20202395008</v>
      </c>
      <c r="B1119" s="19" t="str">
        <f>VLOOKUP(A1119,'ESTADOS ESTUDIANTES'!B:L,2,0)</f>
        <v>PACHON GARZON SERGIO DAVID</v>
      </c>
      <c r="C1119" s="19">
        <f>VLOOKUP(A1119,'ESTADOS ESTUDIANTES'!B:L,3,0)</f>
        <v>395</v>
      </c>
      <c r="D1119" s="66" t="str">
        <f>VLOOKUP(A1119,'ESTADOS ESTUDIANTES'!B:L,4,0)</f>
        <v>MAE. EN CIENCIAS DE LA INF. Y LAS COMUNICACIONES ENFASIS EN GEOMATICA</v>
      </c>
      <c r="E1119" s="19" t="str">
        <f>VLOOKUP(A1119,'ESTADOS ESTUDIANTES'!B:L,5,0)</f>
        <v>X</v>
      </c>
      <c r="F1119" s="18" t="str">
        <f>VLOOKUP(E1119,Listas!B1:C1004,2,0)</f>
        <v>EXCLUIDO</v>
      </c>
      <c r="G1119" s="19">
        <f>VLOOKUP(A1119,'ESTADOS ESTUDIANTES'!B:L,7,0)</f>
        <v>3</v>
      </c>
      <c r="H1119" s="19">
        <f>VLOOKUP(A1119,'ESTADOS ESTUDIANTES'!B:L,8,0)</f>
        <v>0</v>
      </c>
      <c r="I1119" s="70" t="str">
        <f>VLOOKUP(A1119,'ESTADOS ESTUDIANTES'!B:L,9,0)</f>
        <v>sdpachong@gmail.com</v>
      </c>
      <c r="J1119" s="19" t="str">
        <f>VLOOKUP(A1119,'ESTADOS ESTUDIANTES'!B:L,10,0)</f>
        <v>CC</v>
      </c>
      <c r="K1119" s="19">
        <f>VLOOKUP(A1119,'ESTADOS ESTUDIANTES'!B:L,11,0)</f>
        <v>1136886605</v>
      </c>
      <c r="L1119" s="19">
        <v>3182796117</v>
      </c>
      <c r="M1119" s="20">
        <v>34585</v>
      </c>
      <c r="N1119" s="22"/>
      <c r="O1119" s="15"/>
      <c r="P1119" s="15"/>
      <c r="Q1119" s="15"/>
      <c r="R1119" s="15"/>
      <c r="S1119" s="15"/>
      <c r="T1119" s="15"/>
      <c r="U1119" s="15"/>
    </row>
    <row r="1120" spans="1:21" ht="105">
      <c r="A1120" s="17">
        <v>20202395010</v>
      </c>
      <c r="B1120" s="19" t="str">
        <f>VLOOKUP(A1120,'ESTADOS ESTUDIANTES'!B:L,2,0)</f>
        <v>RODRIGUEZ MARTIN ANGELA MARIA</v>
      </c>
      <c r="C1120" s="19">
        <f>VLOOKUP(A1120,'ESTADOS ESTUDIANTES'!B:L,3,0)</f>
        <v>395</v>
      </c>
      <c r="D1120" s="66" t="str">
        <f>VLOOKUP(A1120,'ESTADOS ESTUDIANTES'!B:L,4,0)</f>
        <v>MAE. EN CIENCIAS DE LA INF. Y LAS COMUNICACIONES ENFASIS EN GEOMATICA</v>
      </c>
      <c r="E1120" s="19" t="str">
        <f>VLOOKUP(A1120,'ESTADOS ESTUDIANTES'!B:L,5,0)</f>
        <v>X</v>
      </c>
      <c r="F1120" s="18" t="str">
        <f>VLOOKUP(E1120,Listas!B1:C1004,2,0)</f>
        <v>EXCLUIDO</v>
      </c>
      <c r="G1120" s="19">
        <f>VLOOKUP(A1120,'ESTADOS ESTUDIANTES'!B:L,7,0)</f>
        <v>3</v>
      </c>
      <c r="H1120" s="19">
        <f>VLOOKUP(A1120,'ESTADOS ESTUDIANTES'!B:L,8,0)</f>
        <v>0</v>
      </c>
      <c r="I1120" s="70" t="str">
        <f>VLOOKUP(A1120,'ESTADOS ESTUDIANTES'!B:L,9,0)</f>
        <v>anmrodriguezm@correo.udistrital.edu.co</v>
      </c>
      <c r="J1120" s="19" t="str">
        <f>VLOOKUP(A1120,'ESTADOS ESTUDIANTES'!B:L,10,0)</f>
        <v>CC</v>
      </c>
      <c r="K1120" s="19">
        <f>VLOOKUP(A1120,'ESTADOS ESTUDIANTES'!B:L,11,0)</f>
        <v>1010173313</v>
      </c>
      <c r="L1120" s="19">
        <v>3194242408</v>
      </c>
      <c r="M1120" s="20"/>
      <c r="N1120" s="22"/>
      <c r="O1120" s="15"/>
      <c r="P1120" s="15"/>
      <c r="Q1120" s="15"/>
      <c r="R1120" s="15"/>
      <c r="S1120" s="15"/>
      <c r="T1120" s="15"/>
      <c r="U1120" s="15"/>
    </row>
    <row r="1121" spans="1:21" ht="105">
      <c r="A1121" s="17">
        <v>20202395011</v>
      </c>
      <c r="B1121" s="19" t="str">
        <f>VLOOKUP(A1121,'ESTADOS ESTUDIANTES'!B:L,2,0)</f>
        <v>RODRIGUEZ ORTIZ LUIS DANIEL</v>
      </c>
      <c r="C1121" s="19">
        <f>VLOOKUP(A1121,'ESTADOS ESTUDIANTES'!B:L,3,0)</f>
        <v>395</v>
      </c>
      <c r="D1121" s="66" t="str">
        <f>VLOOKUP(A1121,'ESTADOS ESTUDIANTES'!B:L,4,0)</f>
        <v>MAE. EN CIENCIAS DE LA INF. Y LAS COMUNICACIONES ENFASIS EN GEOMATICA</v>
      </c>
      <c r="E1121" s="19" t="str">
        <f>VLOOKUP(A1121,'ESTADOS ESTUDIANTES'!B:L,5,0)</f>
        <v>X</v>
      </c>
      <c r="F1121" s="18" t="str">
        <f>VLOOKUP(E1121,Listas!B1:C1004,2,0)</f>
        <v>EXCLUIDO</v>
      </c>
      <c r="G1121" s="19">
        <f>VLOOKUP(A1121,'ESTADOS ESTUDIANTES'!B:L,7,0)</f>
        <v>3</v>
      </c>
      <c r="H1121" s="19">
        <f>VLOOKUP(A1121,'ESTADOS ESTUDIANTES'!B:L,8,0)</f>
        <v>0</v>
      </c>
      <c r="I1121" s="70" t="str">
        <f>VLOOKUP(A1121,'ESTADOS ESTUDIANTES'!B:L,9,0)</f>
        <v>danielrodriguezo@gmail.com</v>
      </c>
      <c r="J1121" s="19" t="str">
        <f>VLOOKUP(A1121,'ESTADOS ESTUDIANTES'!B:L,10,0)</f>
        <v>CC</v>
      </c>
      <c r="K1121" s="19">
        <f>VLOOKUP(A1121,'ESTADOS ESTUDIANTES'!B:L,11,0)</f>
        <v>80740250</v>
      </c>
      <c r="L1121" s="19">
        <v>3144376283</v>
      </c>
      <c r="M1121" s="20">
        <v>30645</v>
      </c>
      <c r="N1121" s="22"/>
      <c r="O1121" s="15"/>
      <c r="P1121" s="15"/>
      <c r="Q1121" s="15"/>
      <c r="R1121" s="15"/>
      <c r="S1121" s="15"/>
      <c r="T1121" s="15"/>
      <c r="U1121" s="15"/>
    </row>
    <row r="1122" spans="1:21" ht="105">
      <c r="A1122" s="17">
        <v>20202395012</v>
      </c>
      <c r="B1122" s="19" t="str">
        <f>VLOOKUP(A1122,'ESTADOS ESTUDIANTES'!B:L,2,0)</f>
        <v>RUIZ FERNANDEZ MARLON RICARDO</v>
      </c>
      <c r="C1122" s="19">
        <f>VLOOKUP(A1122,'ESTADOS ESTUDIANTES'!B:L,3,0)</f>
        <v>395</v>
      </c>
      <c r="D1122" s="66" t="str">
        <f>VLOOKUP(A1122,'ESTADOS ESTUDIANTES'!B:L,4,0)</f>
        <v>MAE. EN CIENCIAS DE LA INF. Y LAS COMUNICACIONES ENFASIS EN GEOMATICA</v>
      </c>
      <c r="E1122" s="19" t="str">
        <f>VLOOKUP(A1122,'ESTADOS ESTUDIANTES'!B:L,5,0)</f>
        <v>N</v>
      </c>
      <c r="F1122" s="18" t="str">
        <f>VLOOKUP(E1122,Listas!B1:C1004,2,0)</f>
        <v>ERROR DE CODIGO</v>
      </c>
      <c r="G1122" s="19">
        <f>VLOOKUP(A1122,'ESTADOS ESTUDIANTES'!B:L,7,0)</f>
        <v>3</v>
      </c>
      <c r="H1122" s="19">
        <f>VLOOKUP(A1122,'ESTADOS ESTUDIANTES'!B:L,8,0)</f>
        <v>0</v>
      </c>
      <c r="I1122" s="70" t="str">
        <f>VLOOKUP(A1122,'ESTADOS ESTUDIANTES'!B:L,9,0)</f>
        <v>ricardh.95@gmail.com</v>
      </c>
      <c r="J1122" s="19" t="str">
        <f>VLOOKUP(A1122,'ESTADOS ESTUDIANTES'!B:L,10,0)</f>
        <v>CC</v>
      </c>
      <c r="K1122" s="19">
        <f>VLOOKUP(A1122,'ESTADOS ESTUDIANTES'!B:L,11,0)</f>
        <v>1018481617</v>
      </c>
      <c r="L1122" s="19">
        <v>3125622209</v>
      </c>
      <c r="M1122" s="20"/>
      <c r="N1122" s="22"/>
      <c r="O1122" s="15"/>
      <c r="P1122" s="15"/>
      <c r="Q1122" s="15"/>
      <c r="R1122" s="15"/>
      <c r="S1122" s="15"/>
      <c r="T1122" s="15"/>
      <c r="U1122" s="15"/>
    </row>
    <row r="1123" spans="1:21" ht="105">
      <c r="A1123" s="17">
        <v>20202395013</v>
      </c>
      <c r="B1123" s="19" t="str">
        <f>VLOOKUP(A1123,'ESTADOS ESTUDIANTES'!B:L,2,0)</f>
        <v>SALINAS CORREDOR DIANA MARCELA</v>
      </c>
      <c r="C1123" s="19">
        <f>VLOOKUP(A1123,'ESTADOS ESTUDIANTES'!B:L,3,0)</f>
        <v>395</v>
      </c>
      <c r="D1123" s="66" t="str">
        <f>VLOOKUP(A1123,'ESTADOS ESTUDIANTES'!B:L,4,0)</f>
        <v>MAE. EN CIENCIAS DE LA INF. Y LAS COMUNICACIONES ENFASIS EN GEOMATICA</v>
      </c>
      <c r="E1123" s="19" t="str">
        <f>VLOOKUP(A1123,'ESTADOS ESTUDIANTES'!B:L,5,0)</f>
        <v>X</v>
      </c>
      <c r="F1123" s="18" t="str">
        <f>VLOOKUP(E1123,Listas!B1:C1004,2,0)</f>
        <v>EXCLUIDO</v>
      </c>
      <c r="G1123" s="19">
        <f>VLOOKUP(A1123,'ESTADOS ESTUDIANTES'!B:L,7,0)</f>
        <v>3</v>
      </c>
      <c r="H1123" s="19">
        <f>VLOOKUP(A1123,'ESTADOS ESTUDIANTES'!B:L,8,0)</f>
        <v>0</v>
      </c>
      <c r="I1123" s="70" t="str">
        <f>VLOOKUP(A1123,'ESTADOS ESTUDIANTES'!B:L,9,0)</f>
        <v>dianasalinas820@gmail.com</v>
      </c>
      <c r="J1123" s="19" t="str">
        <f>VLOOKUP(A1123,'ESTADOS ESTUDIANTES'!B:L,10,0)</f>
        <v>CC</v>
      </c>
      <c r="K1123" s="19">
        <f>VLOOKUP(A1123,'ESTADOS ESTUDIANTES'!B:L,11,0)</f>
        <v>1013601603</v>
      </c>
      <c r="L1123" s="19">
        <v>3184000959</v>
      </c>
      <c r="M1123" s="20">
        <v>32375</v>
      </c>
      <c r="N1123" s="22"/>
      <c r="O1123" s="15"/>
      <c r="P1123" s="15"/>
      <c r="Q1123" s="15"/>
      <c r="R1123" s="15"/>
      <c r="S1123" s="15"/>
      <c r="T1123" s="15"/>
      <c r="U1123" s="15"/>
    </row>
    <row r="1124" spans="1:21" ht="105">
      <c r="A1124" s="17">
        <v>20202395014</v>
      </c>
      <c r="B1124" s="19" t="str">
        <f>VLOOKUP(A1124,'ESTADOS ESTUDIANTES'!B:L,2,0)</f>
        <v>SUAREZ ALBARRACIN NADIA LUZ</v>
      </c>
      <c r="C1124" s="19">
        <f>VLOOKUP(A1124,'ESTADOS ESTUDIANTES'!B:L,3,0)</f>
        <v>395</v>
      </c>
      <c r="D1124" s="66" t="str">
        <f>VLOOKUP(A1124,'ESTADOS ESTUDIANTES'!B:L,4,0)</f>
        <v>MAE. EN CIENCIAS DE LA INF. Y LAS COMUNICACIONES ENFASIS EN GEOMATICA</v>
      </c>
      <c r="E1124" s="19" t="str">
        <f>VLOOKUP(A1124,'ESTADOS ESTUDIANTES'!B:L,5,0)</f>
        <v>E</v>
      </c>
      <c r="F1124" s="18" t="str">
        <f>VLOOKUP(E1124,Listas!B1:C1004,2,0)</f>
        <v>EGRESADO</v>
      </c>
      <c r="G1124" s="19">
        <f>VLOOKUP(A1124,'ESTADOS ESTUDIANTES'!B:L,7,0)</f>
        <v>2</v>
      </c>
      <c r="H1124" s="19" t="str">
        <f>VLOOKUP(A1124,'ESTADOS ESTUDIANTES'!B:L,8,0)</f>
        <v>mpvalbuenag@udistrital.edu.co</v>
      </c>
      <c r="I1124" s="70" t="str">
        <f>VLOOKUP(A1124,'ESTADOS ESTUDIANTES'!B:L,9,0)</f>
        <v>nadsual8@gmail.com</v>
      </c>
      <c r="J1124" s="19" t="str">
        <f>VLOOKUP(A1124,'ESTADOS ESTUDIANTES'!B:L,10,0)</f>
        <v>CC</v>
      </c>
      <c r="K1124" s="19">
        <f>VLOOKUP(A1124,'ESTADOS ESTUDIANTES'!B:L,11,0)</f>
        <v>52268802</v>
      </c>
      <c r="L1124" s="19">
        <v>3208656874</v>
      </c>
      <c r="M1124" s="20">
        <v>28256</v>
      </c>
      <c r="N1124" s="22"/>
      <c r="O1124" s="15"/>
      <c r="P1124" s="15"/>
      <c r="Q1124" s="15"/>
      <c r="R1124" s="15"/>
      <c r="S1124" s="15"/>
      <c r="T1124" s="15"/>
      <c r="U1124" s="15"/>
    </row>
    <row r="1125" spans="1:21" ht="105">
      <c r="A1125" s="17">
        <v>20202395015</v>
      </c>
      <c r="B1125" s="19" t="str">
        <f>VLOOKUP(A1125,'ESTADOS ESTUDIANTES'!B:L,2,0)</f>
        <v>VILLAMIL RIVERA CINDY DAYANI</v>
      </c>
      <c r="C1125" s="19">
        <f>VLOOKUP(A1125,'ESTADOS ESTUDIANTES'!B:L,3,0)</f>
        <v>395</v>
      </c>
      <c r="D1125" s="66" t="str">
        <f>VLOOKUP(A1125,'ESTADOS ESTUDIANTES'!B:L,4,0)</f>
        <v>MAE. EN CIENCIAS DE LA INF. Y LAS COMUNICACIONES ENFASIS EN GEOMATICA</v>
      </c>
      <c r="E1125" s="19" t="str">
        <f>VLOOKUP(A1125,'ESTADOS ESTUDIANTES'!B:L,5,0)</f>
        <v>X</v>
      </c>
      <c r="F1125" s="18" t="str">
        <f>VLOOKUP(E1125,Listas!B1:C1004,2,0)</f>
        <v>EXCLUIDO</v>
      </c>
      <c r="G1125" s="19">
        <f>VLOOKUP(A1125,'ESTADOS ESTUDIANTES'!B:L,7,0)</f>
        <v>2</v>
      </c>
      <c r="H1125" s="19">
        <f>VLOOKUP(A1125,'ESTADOS ESTUDIANTES'!B:L,8,0)</f>
        <v>0</v>
      </c>
      <c r="I1125" s="70" t="str">
        <f>VLOOKUP(A1125,'ESTADOS ESTUDIANTES'!B:L,9,0)</f>
        <v>cdvillamilr@correo.udistrital.edu.co</v>
      </c>
      <c r="J1125" s="19" t="str">
        <f>VLOOKUP(A1125,'ESTADOS ESTUDIANTES'!B:L,10,0)</f>
        <v>CC</v>
      </c>
      <c r="K1125" s="19">
        <f>VLOOKUP(A1125,'ESTADOS ESTUDIANTES'!B:L,11,0)</f>
        <v>1073234308</v>
      </c>
      <c r="L1125" s="19">
        <v>3204237319</v>
      </c>
      <c r="M1125" s="20">
        <v>32595</v>
      </c>
      <c r="N1125" s="22"/>
      <c r="O1125" s="15"/>
      <c r="P1125" s="15"/>
      <c r="Q1125" s="15"/>
      <c r="R1125" s="15"/>
      <c r="S1125" s="15"/>
      <c r="T1125" s="15"/>
      <c r="U1125" s="15"/>
    </row>
    <row r="1126" spans="1:21" ht="105">
      <c r="A1126" s="17">
        <v>20202395016</v>
      </c>
      <c r="B1126" s="19" t="str">
        <f>VLOOKUP(A1126,'ESTADOS ESTUDIANTES'!B:L,2,0)</f>
        <v>ZAPATA CASTRO SINDY ALEJANDRA</v>
      </c>
      <c r="C1126" s="19">
        <f>VLOOKUP(A1126,'ESTADOS ESTUDIANTES'!B:L,3,0)</f>
        <v>395</v>
      </c>
      <c r="D1126" s="66" t="str">
        <f>VLOOKUP(A1126,'ESTADOS ESTUDIANTES'!B:L,4,0)</f>
        <v>MAE. EN CIENCIAS DE LA INF. Y LAS COMUNICACIONES ENFASIS EN GEOMATICA</v>
      </c>
      <c r="E1126" s="19" t="str">
        <f>VLOOKUP(A1126,'ESTADOS ESTUDIANTES'!B:L,5,0)</f>
        <v>X</v>
      </c>
      <c r="F1126" s="18" t="str">
        <f>VLOOKUP(E1126,Listas!B1:C1004,2,0)</f>
        <v>EXCLUIDO</v>
      </c>
      <c r="G1126" s="19">
        <f>VLOOKUP(A1126,'ESTADOS ESTUDIANTES'!B:L,7,0)</f>
        <v>2</v>
      </c>
      <c r="H1126" s="19" t="str">
        <f>VLOOKUP(A1126,'ESTADOS ESTUDIANTES'!B:L,8,0)</f>
        <v>sazapatac@udistrital.edu.co</v>
      </c>
      <c r="I1126" s="70" t="str">
        <f>VLOOKUP(A1126,'ESTADOS ESTUDIANTES'!B:L,9,0)</f>
        <v>ingeniera.alejandrazapata@gmail.com</v>
      </c>
      <c r="J1126" s="19" t="str">
        <f>VLOOKUP(A1126,'ESTADOS ESTUDIANTES'!B:L,10,0)</f>
        <v>CC</v>
      </c>
      <c r="K1126" s="19">
        <f>VLOOKUP(A1126,'ESTADOS ESTUDIANTES'!B:L,11,0)</f>
        <v>1032431801</v>
      </c>
      <c r="L1126" s="19">
        <v>3134722505</v>
      </c>
      <c r="M1126" s="20">
        <v>32719</v>
      </c>
      <c r="N1126" s="22"/>
      <c r="O1126" s="15"/>
      <c r="P1126" s="15"/>
      <c r="Q1126" s="15"/>
      <c r="R1126" s="15"/>
      <c r="S1126" s="15"/>
      <c r="T1126" s="15"/>
      <c r="U1126" s="15"/>
    </row>
    <row r="1127" spans="1:21" ht="105">
      <c r="A1127" s="17">
        <v>20202395017</v>
      </c>
      <c r="B1127" s="19" t="str">
        <f>VLOOKUP(A1127,'ESTADOS ESTUDIANTES'!B:L,2,0)</f>
        <v>BAUTISTA MONTANA DANY JAVIER</v>
      </c>
      <c r="C1127" s="19">
        <f>VLOOKUP(A1127,'ESTADOS ESTUDIANTES'!B:L,3,0)</f>
        <v>395</v>
      </c>
      <c r="D1127" s="66" t="str">
        <f>VLOOKUP(A1127,'ESTADOS ESTUDIANTES'!B:L,4,0)</f>
        <v>MAE. EN CIENCIAS DE LA INF. Y LAS COMUNICACIONES ENFASIS EN GEOMATICA</v>
      </c>
      <c r="E1127" s="19" t="str">
        <f>VLOOKUP(A1127,'ESTADOS ESTUDIANTES'!B:L,5,0)</f>
        <v>N</v>
      </c>
      <c r="F1127" s="18" t="str">
        <f>VLOOKUP(E1127,Listas!B1:C1004,2,0)</f>
        <v>ERROR DE CODIGO</v>
      </c>
      <c r="G1127" s="19" t="str">
        <f>VLOOKUP(A1127,'ESTADOS ESTUDIANTES'!B:L,7,0)</f>
        <v>NO REGISTRA</v>
      </c>
      <c r="H1127" s="19">
        <f>VLOOKUP(A1127,'ESTADOS ESTUDIANTES'!B:L,8,0)</f>
        <v>0</v>
      </c>
      <c r="I1127" s="70" t="str">
        <f>VLOOKUP(A1127,'ESTADOS ESTUDIANTES'!B:L,9,0)</f>
        <v>danyjavierb@gmail.com</v>
      </c>
      <c r="J1127" s="19" t="str">
        <f>VLOOKUP(A1127,'ESTADOS ESTUDIANTES'!B:L,10,0)</f>
        <v>CC</v>
      </c>
      <c r="K1127" s="19">
        <f>VLOOKUP(A1127,'ESTADOS ESTUDIANTES'!B:L,11,0)</f>
        <v>0</v>
      </c>
      <c r="L1127" s="23"/>
      <c r="M1127" s="20"/>
      <c r="N1127" s="22"/>
      <c r="O1127" s="15"/>
      <c r="P1127" s="15"/>
      <c r="Q1127" s="15"/>
      <c r="R1127" s="15"/>
      <c r="S1127" s="15"/>
      <c r="T1127" s="15"/>
      <c r="U1127" s="15"/>
    </row>
    <row r="1128" spans="1:21" ht="90">
      <c r="A1128" s="17">
        <v>20202495001</v>
      </c>
      <c r="B1128" s="19" t="str">
        <f>VLOOKUP(A1128,'ESTADOS ESTUDIANTES'!B:L,2,0)</f>
        <v>BAUTISTA MONTANA DANY JAVIER</v>
      </c>
      <c r="C1128" s="19">
        <f>VLOOKUP(A1128,'ESTADOS ESTUDIANTES'!B:L,3,0)</f>
        <v>495</v>
      </c>
      <c r="D1128" s="66" t="str">
        <f>VLOOKUP(A1128,'ESTADOS ESTUDIANTES'!B:L,4,0)</f>
        <v>MAE. EN CIENCIAS DE LA INF. Y LAS COMUNICACIONES ENFASIS EN ING. SOFT</v>
      </c>
      <c r="E1128" s="19" t="str">
        <f>VLOOKUP(A1128,'ESTADOS ESTUDIANTES'!B:L,5,0)</f>
        <v>X</v>
      </c>
      <c r="F1128" s="18" t="str">
        <f>VLOOKUP(E1128,Listas!B1:C1004,2,0)</f>
        <v>EXCLUIDO</v>
      </c>
      <c r="G1128" s="19">
        <f>VLOOKUP(A1128,'ESTADOS ESTUDIANTES'!B:L,7,0)</f>
        <v>4</v>
      </c>
      <c r="H1128" s="19">
        <f>VLOOKUP(A1128,'ESTADOS ESTUDIANTES'!B:L,8,0)</f>
        <v>0</v>
      </c>
      <c r="I1128" s="70" t="str">
        <f>VLOOKUP(A1128,'ESTADOS ESTUDIANTES'!B:L,9,0)</f>
        <v>danyjavierb@gmail.com</v>
      </c>
      <c r="J1128" s="19" t="str">
        <f>VLOOKUP(A1128,'ESTADOS ESTUDIANTES'!B:L,10,0)</f>
        <v>CC</v>
      </c>
      <c r="K1128" s="19">
        <f>VLOOKUP(A1128,'ESTADOS ESTUDIANTES'!B:L,11,0)</f>
        <v>1030555964</v>
      </c>
      <c r="L1128" s="19">
        <v>3134097921</v>
      </c>
      <c r="M1128" s="20">
        <v>32596</v>
      </c>
      <c r="N1128" s="22"/>
      <c r="O1128" s="15"/>
      <c r="P1128" s="15"/>
      <c r="Q1128" s="15"/>
      <c r="R1128" s="15"/>
      <c r="S1128" s="15"/>
      <c r="T1128" s="15"/>
      <c r="U1128" s="15"/>
    </row>
    <row r="1129" spans="1:21" ht="90">
      <c r="A1129" s="17">
        <v>20202495002</v>
      </c>
      <c r="B1129" s="19" t="str">
        <f>VLOOKUP(A1129,'ESTADOS ESTUDIANTES'!B:L,2,0)</f>
        <v>BAUTISTA POLANIA CARLOS ANDRES</v>
      </c>
      <c r="C1129" s="19">
        <f>VLOOKUP(A1129,'ESTADOS ESTUDIANTES'!B:L,3,0)</f>
        <v>495</v>
      </c>
      <c r="D1129" s="66" t="str">
        <f>VLOOKUP(A1129,'ESTADOS ESTUDIANTES'!B:L,4,0)</f>
        <v>MAE. EN CIENCIAS DE LA INF. Y LAS COMUNICACIONES ENFASIS EN ING. SOFT</v>
      </c>
      <c r="E1129" s="19" t="str">
        <f>VLOOKUP(A1129,'ESTADOS ESTUDIANTES'!B:L,5,0)</f>
        <v>X</v>
      </c>
      <c r="F1129" s="18" t="str">
        <f>VLOOKUP(E1129,Listas!B1:C1004,2,0)</f>
        <v>EXCLUIDO</v>
      </c>
      <c r="G1129" s="19">
        <f>VLOOKUP(A1129,'ESTADOS ESTUDIANTES'!B:L,7,0)</f>
        <v>2</v>
      </c>
      <c r="H1129" s="19" t="str">
        <f>VLOOKUP(A1129,'ESTADOS ESTUDIANTES'!B:L,8,0)</f>
        <v>cabautistap@udistrital.edu.co</v>
      </c>
      <c r="I1129" s="70" t="str">
        <f>VLOOKUP(A1129,'ESTADOS ESTUDIANTES'!B:L,9,0)</f>
        <v>carlosand_01@hotmail.com</v>
      </c>
      <c r="J1129" s="19" t="str">
        <f>VLOOKUP(A1129,'ESTADOS ESTUDIANTES'!B:L,10,0)</f>
        <v>CC</v>
      </c>
      <c r="K1129" s="19">
        <f>VLOOKUP(A1129,'ESTADOS ESTUDIANTES'!B:L,11,0)</f>
        <v>1075253426</v>
      </c>
      <c r="L1129" s="19">
        <v>3153302387</v>
      </c>
      <c r="M1129" s="20">
        <v>33388</v>
      </c>
      <c r="N1129" s="22"/>
      <c r="O1129" s="15"/>
      <c r="P1129" s="15"/>
      <c r="Q1129" s="15"/>
      <c r="R1129" s="15"/>
      <c r="S1129" s="15"/>
      <c r="T1129" s="15"/>
      <c r="U1129" s="15"/>
    </row>
    <row r="1130" spans="1:21" ht="90">
      <c r="A1130" s="17">
        <v>20202495003</v>
      </c>
      <c r="B1130" s="19" t="str">
        <f>VLOOKUP(A1130,'ESTADOS ESTUDIANTES'!B:L,2,0)</f>
        <v>BOMBIELA RAMIREZ FABIO ANDRES</v>
      </c>
      <c r="C1130" s="19">
        <f>VLOOKUP(A1130,'ESTADOS ESTUDIANTES'!B:L,3,0)</f>
        <v>495</v>
      </c>
      <c r="D1130" s="66" t="str">
        <f>VLOOKUP(A1130,'ESTADOS ESTUDIANTES'!B:L,4,0)</f>
        <v>MAE. EN CIENCIAS DE LA INF. Y LAS COMUNICACIONES ENFASIS EN ING. SOFT</v>
      </c>
      <c r="E1130" s="19" t="str">
        <f>VLOOKUP(A1130,'ESTADOS ESTUDIANTES'!B:L,5,0)</f>
        <v>X</v>
      </c>
      <c r="F1130" s="18" t="str">
        <f>VLOOKUP(E1130,Listas!B1:C1004,2,0)</f>
        <v>EXCLUIDO</v>
      </c>
      <c r="G1130" s="19">
        <f>VLOOKUP(A1130,'ESTADOS ESTUDIANTES'!B:L,7,0)</f>
        <v>3</v>
      </c>
      <c r="H1130" s="19" t="str">
        <f>VLOOKUP(A1130,'ESTADOS ESTUDIANTES'!B:L,8,0)</f>
        <v>fabombielar@udistrital.edu.co</v>
      </c>
      <c r="I1130" s="70" t="str">
        <f>VLOOKUP(A1130,'ESTADOS ESTUDIANTES'!B:L,9,0)</f>
        <v>fabombielar@udistrital.edu.co</v>
      </c>
      <c r="J1130" s="19" t="str">
        <f>VLOOKUP(A1130,'ESTADOS ESTUDIANTES'!B:L,10,0)</f>
        <v>CC</v>
      </c>
      <c r="K1130" s="19">
        <f>VLOOKUP(A1130,'ESTADOS ESTUDIANTES'!B:L,11,0)</f>
        <v>1013671289</v>
      </c>
      <c r="L1130" s="19">
        <v>3058767673</v>
      </c>
      <c r="M1130" s="20">
        <v>35412</v>
      </c>
      <c r="N1130" s="22"/>
      <c r="O1130" s="15"/>
      <c r="P1130" s="15"/>
      <c r="Q1130" s="15"/>
      <c r="R1130" s="15"/>
      <c r="S1130" s="15"/>
      <c r="T1130" s="15"/>
      <c r="U1130" s="15"/>
    </row>
    <row r="1131" spans="1:21" ht="90">
      <c r="A1131" s="17">
        <v>20202495004</v>
      </c>
      <c r="B1131" s="19" t="str">
        <f>VLOOKUP(A1131,'ESTADOS ESTUDIANTES'!B:L,2,0)</f>
        <v>CANON MORENO JOSE SEBASTIAN</v>
      </c>
      <c r="C1131" s="19">
        <f>VLOOKUP(A1131,'ESTADOS ESTUDIANTES'!B:L,3,0)</f>
        <v>495</v>
      </c>
      <c r="D1131" s="66" t="str">
        <f>VLOOKUP(A1131,'ESTADOS ESTUDIANTES'!B:L,4,0)</f>
        <v>MAE. EN CIENCIAS DE LA INF. Y LAS COMUNICACIONES ENFASIS EN ING. SOFT</v>
      </c>
      <c r="E1131" s="19" t="str">
        <f>VLOOKUP(A1131,'ESTADOS ESTUDIANTES'!B:L,5,0)</f>
        <v>X</v>
      </c>
      <c r="F1131" s="18" t="str">
        <f>VLOOKUP(E1131,Listas!B1:C1004,2,0)</f>
        <v>EXCLUIDO</v>
      </c>
      <c r="G1131" s="19">
        <f>VLOOKUP(A1131,'ESTADOS ESTUDIANTES'!B:L,7,0)</f>
        <v>3</v>
      </c>
      <c r="H1131" s="19" t="str">
        <f>VLOOKUP(A1131,'ESTADOS ESTUDIANTES'!B:L,8,0)</f>
        <v>jscanonm@udistrital.edu.co</v>
      </c>
      <c r="I1131" s="70" t="str">
        <f>VLOOKUP(A1131,'ESTADOS ESTUDIANTES'!B:L,9,0)</f>
        <v>sebas951995@hotmail.com</v>
      </c>
      <c r="J1131" s="19" t="str">
        <f>VLOOKUP(A1131,'ESTADOS ESTUDIANTES'!B:L,10,0)</f>
        <v>CC</v>
      </c>
      <c r="K1131" s="19">
        <f>VLOOKUP(A1131,'ESTADOS ESTUDIANTES'!B:L,11,0)</f>
        <v>1012423093</v>
      </c>
      <c r="L1131" s="19">
        <v>3015659444</v>
      </c>
      <c r="M1131" s="20">
        <v>34889</v>
      </c>
      <c r="N1131" s="22"/>
      <c r="O1131" s="15"/>
      <c r="P1131" s="15"/>
      <c r="Q1131" s="15"/>
      <c r="R1131" s="15"/>
      <c r="S1131" s="15"/>
      <c r="T1131" s="15"/>
      <c r="U1131" s="15"/>
    </row>
    <row r="1132" spans="1:21" ht="90">
      <c r="A1132" s="17">
        <v>20202495005</v>
      </c>
      <c r="B1132" s="19" t="str">
        <f>VLOOKUP(A1132,'ESTADOS ESTUDIANTES'!B:L,2,0)</f>
        <v>CAPERA QUINTANA JONATHAN STEVEN</v>
      </c>
      <c r="C1132" s="19">
        <f>VLOOKUP(A1132,'ESTADOS ESTUDIANTES'!B:L,3,0)</f>
        <v>495</v>
      </c>
      <c r="D1132" s="66" t="str">
        <f>VLOOKUP(A1132,'ESTADOS ESTUDIANTES'!B:L,4,0)</f>
        <v>MAE. EN CIENCIAS DE LA INF. Y LAS COMUNICACIONES ENFASIS EN ING. SOFT</v>
      </c>
      <c r="E1132" s="19" t="str">
        <f>VLOOKUP(A1132,'ESTADOS ESTUDIANTES'!B:L,5,0)</f>
        <v>A</v>
      </c>
      <c r="F1132" s="18" t="str">
        <f>VLOOKUP(E1132,Listas!B1:C1004,2,0)</f>
        <v>ACTIVO</v>
      </c>
      <c r="G1132" s="19">
        <f>VLOOKUP(A1132,'ESTADOS ESTUDIANTES'!B:L,7,0)</f>
        <v>2</v>
      </c>
      <c r="H1132" s="19" t="str">
        <f>VLOOKUP(A1132,'ESTADOS ESTUDIANTES'!B:L,8,0)</f>
        <v>jscaperaq@udistrital.edu.co</v>
      </c>
      <c r="I1132" s="70" t="str">
        <f>VLOOKUP(A1132,'ESTADOS ESTUDIANTES'!B:L,9,0)</f>
        <v>jscaperaq@gmail.com</v>
      </c>
      <c r="J1132" s="19" t="str">
        <f>VLOOKUP(A1132,'ESTADOS ESTUDIANTES'!B:L,10,0)</f>
        <v>CC</v>
      </c>
      <c r="K1132" s="19">
        <f>VLOOKUP(A1132,'ESTADOS ESTUDIANTES'!B:L,11,0)</f>
        <v>1022427432</v>
      </c>
      <c r="L1132" s="19">
        <v>3133578380</v>
      </c>
      <c r="M1132" s="20">
        <v>35612</v>
      </c>
      <c r="N1132" s="22"/>
      <c r="O1132" s="15"/>
      <c r="P1132" s="15"/>
      <c r="Q1132" s="15"/>
      <c r="R1132" s="15"/>
      <c r="S1132" s="15"/>
      <c r="T1132" s="15"/>
      <c r="U1132" s="15"/>
    </row>
    <row r="1133" spans="1:21" ht="90">
      <c r="A1133" s="17">
        <v>20202495006</v>
      </c>
      <c r="B1133" s="19" t="str">
        <f>VLOOKUP(A1133,'ESTADOS ESTUDIANTES'!B:L,2,0)</f>
        <v>CHAVES BELTRAN GONZALO ANDRES</v>
      </c>
      <c r="C1133" s="19">
        <f>VLOOKUP(A1133,'ESTADOS ESTUDIANTES'!B:L,3,0)</f>
        <v>495</v>
      </c>
      <c r="D1133" s="66" t="str">
        <f>VLOOKUP(A1133,'ESTADOS ESTUDIANTES'!B:L,4,0)</f>
        <v>MAE. EN CIENCIAS DE LA INF. Y LAS COMUNICACIONES ENFASIS EN ING. SOFT</v>
      </c>
      <c r="E1133" s="19" t="str">
        <f>VLOOKUP(A1133,'ESTADOS ESTUDIANTES'!B:L,5,0)</f>
        <v>X</v>
      </c>
      <c r="F1133" s="18" t="str">
        <f>VLOOKUP(E1133,Listas!B1:C1004,2,0)</f>
        <v>EXCLUIDO</v>
      </c>
      <c r="G1133" s="19">
        <f>VLOOKUP(A1133,'ESTADOS ESTUDIANTES'!B:L,7,0)</f>
        <v>2</v>
      </c>
      <c r="H1133" s="19">
        <f>VLOOKUP(A1133,'ESTADOS ESTUDIANTES'!B:L,8,0)</f>
        <v>0</v>
      </c>
      <c r="I1133" s="70" t="str">
        <f>VLOOKUP(A1133,'ESTADOS ESTUDIANTES'!B:L,9,0)</f>
        <v>gachavesb@correo.udistrital.edu.co</v>
      </c>
      <c r="J1133" s="19" t="str">
        <f>VLOOKUP(A1133,'ESTADOS ESTUDIANTES'!B:L,10,0)</f>
        <v>CC</v>
      </c>
      <c r="K1133" s="19">
        <f>VLOOKUP(A1133,'ESTADOS ESTUDIANTES'!B:L,11,0)</f>
        <v>1014218308</v>
      </c>
      <c r="L1133" s="19">
        <v>3057788946</v>
      </c>
      <c r="M1133" s="20">
        <v>33253</v>
      </c>
      <c r="N1133" s="22"/>
      <c r="O1133" s="15"/>
      <c r="P1133" s="15"/>
      <c r="Q1133" s="15"/>
      <c r="R1133" s="15"/>
      <c r="S1133" s="15"/>
      <c r="T1133" s="15"/>
      <c r="U1133" s="15"/>
    </row>
    <row r="1134" spans="1:21" ht="90">
      <c r="A1134" s="17">
        <v>20202495007</v>
      </c>
      <c r="B1134" s="19" t="str">
        <f>VLOOKUP(A1134,'ESTADOS ESTUDIANTES'!B:L,2,0)</f>
        <v>CORTES BUSTOS JOHN ALEX</v>
      </c>
      <c r="C1134" s="19">
        <f>VLOOKUP(A1134,'ESTADOS ESTUDIANTES'!B:L,3,0)</f>
        <v>495</v>
      </c>
      <c r="D1134" s="66" t="str">
        <f>VLOOKUP(A1134,'ESTADOS ESTUDIANTES'!B:L,4,0)</f>
        <v>MAE. EN CIENCIAS DE LA INF. Y LAS COMUNICACIONES ENFASIS EN ING. SOFT</v>
      </c>
      <c r="E1134" s="19" t="str">
        <f>VLOOKUP(A1134,'ESTADOS ESTUDIANTES'!B:L,5,0)</f>
        <v>X</v>
      </c>
      <c r="F1134" s="18" t="str">
        <f>VLOOKUP(E1134,Listas!B1:C1004,2,0)</f>
        <v>EXCLUIDO</v>
      </c>
      <c r="G1134" s="19">
        <f>VLOOKUP(A1134,'ESTADOS ESTUDIANTES'!B:L,7,0)</f>
        <v>3</v>
      </c>
      <c r="H1134" s="19" t="str">
        <f>VLOOKUP(A1134,'ESTADOS ESTUDIANTES'!B:L,8,0)</f>
        <v>joacortesb@udistrital.edu.co</v>
      </c>
      <c r="I1134" s="70" t="str">
        <f>VLOOKUP(A1134,'ESTADOS ESTUDIANTES'!B:L,9,0)</f>
        <v>johnalex8411@hotmail.com</v>
      </c>
      <c r="J1134" s="19" t="str">
        <f>VLOOKUP(A1134,'ESTADOS ESTUDIANTES'!B:L,10,0)</f>
        <v>CC</v>
      </c>
      <c r="K1134" s="19">
        <f>VLOOKUP(A1134,'ESTADOS ESTUDIANTES'!B:L,11,0)</f>
        <v>80177612</v>
      </c>
      <c r="L1134" s="19">
        <v>3212918314</v>
      </c>
      <c r="M1134" s="20">
        <v>31011</v>
      </c>
      <c r="N1134" s="22"/>
      <c r="O1134" s="15"/>
      <c r="P1134" s="15"/>
      <c r="Q1134" s="15"/>
      <c r="R1134" s="15"/>
      <c r="S1134" s="15"/>
      <c r="T1134" s="15"/>
      <c r="U1134" s="15"/>
    </row>
    <row r="1135" spans="1:21" ht="90">
      <c r="A1135" s="17">
        <v>20202495008</v>
      </c>
      <c r="B1135" s="19" t="str">
        <f>VLOOKUP(A1135,'ESTADOS ESTUDIANTES'!B:L,2,0)</f>
        <v>DIAZ GUZMAN ANDRES FERNANDO</v>
      </c>
      <c r="C1135" s="19">
        <f>VLOOKUP(A1135,'ESTADOS ESTUDIANTES'!B:L,3,0)</f>
        <v>495</v>
      </c>
      <c r="D1135" s="66" t="str">
        <f>VLOOKUP(A1135,'ESTADOS ESTUDIANTES'!B:L,4,0)</f>
        <v>MAE. EN CIENCIAS DE LA INF. Y LAS COMUNICACIONES ENFASIS EN ING. SOFT</v>
      </c>
      <c r="E1135" s="19" t="str">
        <f>VLOOKUP(A1135,'ESTADOS ESTUDIANTES'!B:L,5,0)</f>
        <v>X</v>
      </c>
      <c r="F1135" s="18" t="str">
        <f>VLOOKUP(E1135,Listas!B1:C1004,2,0)</f>
        <v>EXCLUIDO</v>
      </c>
      <c r="G1135" s="19">
        <f>VLOOKUP(A1135,'ESTADOS ESTUDIANTES'!B:L,7,0)</f>
        <v>3</v>
      </c>
      <c r="H1135" s="19" t="str">
        <f>VLOOKUP(A1135,'ESTADOS ESTUDIANTES'!B:L,8,0)</f>
        <v>afdiazg@correo.udistrital.edu.co</v>
      </c>
      <c r="I1135" s="70" t="str">
        <f>VLOOKUP(A1135,'ESTADOS ESTUDIANTES'!B:L,9,0)</f>
        <v>afdiazg@correo.udistrital.edu.co</v>
      </c>
      <c r="J1135" s="19" t="str">
        <f>VLOOKUP(A1135,'ESTADOS ESTUDIANTES'!B:L,10,0)</f>
        <v>CC</v>
      </c>
      <c r="K1135" s="19">
        <f>VLOOKUP(A1135,'ESTADOS ESTUDIANTES'!B:L,11,0)</f>
        <v>80055783</v>
      </c>
      <c r="L1135" s="19">
        <v>3012353561</v>
      </c>
      <c r="M1135" s="20">
        <v>29142</v>
      </c>
      <c r="N1135" s="22"/>
      <c r="O1135" s="15"/>
      <c r="P1135" s="15"/>
      <c r="Q1135" s="15"/>
      <c r="R1135" s="15"/>
      <c r="S1135" s="15"/>
      <c r="T1135" s="15"/>
      <c r="U1135" s="15"/>
    </row>
    <row r="1136" spans="1:21" ht="90">
      <c r="A1136" s="508">
        <v>20202495009</v>
      </c>
      <c r="B1136" s="19" t="str">
        <f>VLOOKUP(A1136,'ESTADOS ESTUDIANTES'!B:L,2,0)</f>
        <v>GONZALEZ ANGARITA BREITNER ENRIQUE</v>
      </c>
      <c r="C1136" s="19">
        <f>VLOOKUP(A1136,'ESTADOS ESTUDIANTES'!B:L,3,0)</f>
        <v>495</v>
      </c>
      <c r="D1136" s="66" t="str">
        <f>VLOOKUP(A1136,'ESTADOS ESTUDIANTES'!B:L,4,0)</f>
        <v>MAE. EN CIENCIAS DE LA INF. Y LAS COMUNICACIONES ENFASIS EN ING. SOFT</v>
      </c>
      <c r="E1136" s="19" t="str">
        <f>VLOOKUP(A1136,'ESTADOS ESTUDIANTES'!B:L,5,0)</f>
        <v>E</v>
      </c>
      <c r="F1136" s="18" t="str">
        <f>VLOOKUP(E1136,Listas!B1:C1004,2,0)</f>
        <v>EGRESADO</v>
      </c>
      <c r="G1136" s="19">
        <f>VLOOKUP(A1136,'ESTADOS ESTUDIANTES'!B:L,7,0)</f>
        <v>4</v>
      </c>
      <c r="H1136" s="19" t="str">
        <f>VLOOKUP(A1136,'ESTADOS ESTUDIANTES'!B:L,8,0)</f>
        <v>begonzaleza@udistrital.edu.co</v>
      </c>
      <c r="I1136" s="70" t="str">
        <f>VLOOKUP(A1136,'ESTADOS ESTUDIANTES'!B:L,9,0)</f>
        <v>breinergonza@hotmail.com</v>
      </c>
      <c r="J1136" s="19" t="str">
        <f>VLOOKUP(A1136,'ESTADOS ESTUDIANTES'!B:L,10,0)</f>
        <v>CC</v>
      </c>
      <c r="K1136" s="19">
        <f>VLOOKUP(A1136,'ESTADOS ESTUDIANTES'!B:L,11,0)</f>
        <v>1065581118</v>
      </c>
      <c r="L1136" s="19">
        <v>3116520574</v>
      </c>
      <c r="M1136" s="20">
        <v>31760</v>
      </c>
      <c r="N1136" s="22"/>
      <c r="O1136" s="15"/>
      <c r="P1136" s="15"/>
      <c r="Q1136" s="15"/>
      <c r="R1136" s="15"/>
      <c r="S1136" s="15"/>
      <c r="T1136" s="15"/>
      <c r="U1136" s="15"/>
    </row>
    <row r="1137" spans="1:21" ht="90">
      <c r="A1137" s="17">
        <v>20202495010</v>
      </c>
      <c r="B1137" s="19" t="str">
        <f>VLOOKUP(A1137,'ESTADOS ESTUDIANTES'!B:L,2,0)</f>
        <v>GONZALEZ BUITRAGO MAURICIO</v>
      </c>
      <c r="C1137" s="19">
        <f>VLOOKUP(A1137,'ESTADOS ESTUDIANTES'!B:L,3,0)</f>
        <v>495</v>
      </c>
      <c r="D1137" s="66" t="str">
        <f>VLOOKUP(A1137,'ESTADOS ESTUDIANTES'!B:L,4,0)</f>
        <v>MAE. EN CIENCIAS DE LA INF. Y LAS COMUNICACIONES ENFASIS EN ING. SOFT</v>
      </c>
      <c r="E1137" s="19" t="str">
        <f>VLOOKUP(A1137,'ESTADOS ESTUDIANTES'!B:L,5,0)</f>
        <v>X</v>
      </c>
      <c r="F1137" s="18" t="str">
        <f>VLOOKUP(E1137,Listas!B1:C1004,2,0)</f>
        <v>EXCLUIDO</v>
      </c>
      <c r="G1137" s="19">
        <f>VLOOKUP(A1137,'ESTADOS ESTUDIANTES'!B:L,7,0)</f>
        <v>1</v>
      </c>
      <c r="H1137" s="19" t="str">
        <f>VLOOKUP(A1137,'ESTADOS ESTUDIANTES'!B:L,8,0)</f>
        <v>mgonzalezb@udistrital.edu.co</v>
      </c>
      <c r="I1137" s="70" t="str">
        <f>VLOOKUP(A1137,'ESTADOS ESTUDIANTES'!B:L,9,0)</f>
        <v>magobu@outlook.com</v>
      </c>
      <c r="J1137" s="19" t="str">
        <f>VLOOKUP(A1137,'ESTADOS ESTUDIANTES'!B:L,10,0)</f>
        <v>CC</v>
      </c>
      <c r="K1137" s="19">
        <f>VLOOKUP(A1137,'ESTADOS ESTUDIANTES'!B:L,11,0)</f>
        <v>79859667</v>
      </c>
      <c r="L1137" s="19">
        <v>3143059033</v>
      </c>
      <c r="M1137" s="20">
        <v>27639</v>
      </c>
      <c r="N1137" s="22"/>
      <c r="O1137" s="15"/>
      <c r="P1137" s="15"/>
      <c r="Q1137" s="15"/>
      <c r="R1137" s="15"/>
      <c r="S1137" s="15"/>
      <c r="T1137" s="15"/>
      <c r="U1137" s="15"/>
    </row>
    <row r="1138" spans="1:21" ht="90">
      <c r="A1138" s="17">
        <v>20202495011</v>
      </c>
      <c r="B1138" s="19" t="str">
        <f>VLOOKUP(A1138,'ESTADOS ESTUDIANTES'!B:L,2,0)</f>
        <v>GUEVARA MORALES SANDRA GUEVARA</v>
      </c>
      <c r="C1138" s="19">
        <f>VLOOKUP(A1138,'ESTADOS ESTUDIANTES'!B:L,3,0)</f>
        <v>495</v>
      </c>
      <c r="D1138" s="66" t="str">
        <f>VLOOKUP(A1138,'ESTADOS ESTUDIANTES'!B:L,4,0)</f>
        <v>MAE. EN CIENCIAS DE LA INF. Y LAS COMUNICACIONES ENFASIS EN ING. SOFT</v>
      </c>
      <c r="E1138" s="19" t="str">
        <f>VLOOKUP(A1138,'ESTADOS ESTUDIANTES'!B:L,5,0)</f>
        <v>X</v>
      </c>
      <c r="F1138" s="18" t="str">
        <f>VLOOKUP(E1138,Listas!B1:C1004,2,0)</f>
        <v>EXCLUIDO</v>
      </c>
      <c r="G1138" s="19">
        <f>VLOOKUP(A1138,'ESTADOS ESTUDIANTES'!B:L,7,0)</f>
        <v>3</v>
      </c>
      <c r="H1138" s="19">
        <f>VLOOKUP(A1138,'ESTADOS ESTUDIANTES'!B:L,8,0)</f>
        <v>0</v>
      </c>
      <c r="I1138" s="70" t="str">
        <f>VLOOKUP(A1138,'ESTADOS ESTUDIANTES'!B:L,9,0)</f>
        <v>smilenaguevara@gmail.com</v>
      </c>
      <c r="J1138" s="19" t="str">
        <f>VLOOKUP(A1138,'ESTADOS ESTUDIANTES'!B:L,10,0)</f>
        <v>CC</v>
      </c>
      <c r="K1138" s="19">
        <f>VLOOKUP(A1138,'ESTADOS ESTUDIANTES'!B:L,11,0)</f>
        <v>1018431248</v>
      </c>
      <c r="L1138" s="19">
        <v>3112119737</v>
      </c>
      <c r="M1138" s="20">
        <v>32800</v>
      </c>
      <c r="N1138" s="22"/>
      <c r="O1138" s="15"/>
      <c r="P1138" s="15"/>
      <c r="Q1138" s="15"/>
      <c r="R1138" s="15"/>
      <c r="S1138" s="15"/>
      <c r="T1138" s="15"/>
      <c r="U1138" s="15"/>
    </row>
    <row r="1139" spans="1:21" ht="90">
      <c r="A1139" s="17">
        <v>20202495012</v>
      </c>
      <c r="B1139" s="19" t="str">
        <f>VLOOKUP(A1139,'ESTADOS ESTUDIANTES'!B:L,2,0)</f>
        <v>LEAL LARA DANIEL DAVID</v>
      </c>
      <c r="C1139" s="19">
        <f>VLOOKUP(A1139,'ESTADOS ESTUDIANTES'!B:L,3,0)</f>
        <v>495</v>
      </c>
      <c r="D1139" s="66" t="str">
        <f>VLOOKUP(A1139,'ESTADOS ESTUDIANTES'!B:L,4,0)</f>
        <v>MAE. EN CIENCIAS DE LA INF. Y LAS COMUNICACIONES ENFASIS EN ING. SOFT</v>
      </c>
      <c r="E1139" s="19" t="str">
        <f>VLOOKUP(A1139,'ESTADOS ESTUDIANTES'!B:L,5,0)</f>
        <v>E</v>
      </c>
      <c r="F1139" s="18" t="str">
        <f>VLOOKUP(E1139,Listas!B1:C1004,2,0)</f>
        <v>EGRESADO</v>
      </c>
      <c r="G1139" s="19">
        <f>VLOOKUP(A1139,'ESTADOS ESTUDIANTES'!B:L,7,0)</f>
        <v>4</v>
      </c>
      <c r="H1139" s="19" t="str">
        <f>VLOOKUP(A1139,'ESTADOS ESTUDIANTES'!B:L,8,0)</f>
        <v>ddleall@udistrital.edu.co</v>
      </c>
      <c r="I1139" s="70" t="str">
        <f>VLOOKUP(A1139,'ESTADOS ESTUDIANTES'!B:L,9,0)</f>
        <v>ddleall@udistrital.edu.co</v>
      </c>
      <c r="J1139" s="19" t="str">
        <f>VLOOKUP(A1139,'ESTADOS ESTUDIANTES'!B:L,10,0)</f>
        <v>CC</v>
      </c>
      <c r="K1139" s="19">
        <f>VLOOKUP(A1139,'ESTADOS ESTUDIANTES'!B:L,11,0)</f>
        <v>1016103685</v>
      </c>
      <c r="L1139" s="19">
        <v>3057192154</v>
      </c>
      <c r="M1139" s="20">
        <v>35994</v>
      </c>
      <c r="N1139" s="22"/>
      <c r="O1139" s="15"/>
      <c r="P1139" s="15"/>
      <c r="Q1139" s="15"/>
      <c r="R1139" s="15"/>
      <c r="S1139" s="15"/>
      <c r="T1139" s="15"/>
      <c r="U1139" s="15"/>
    </row>
    <row r="1140" spans="1:21" ht="36.75" customHeight="1">
      <c r="A1140" s="508">
        <v>20202495013</v>
      </c>
      <c r="B1140" s="19" t="str">
        <f>VLOOKUP(A1140,'ESTADOS ESTUDIANTES'!B:L,2,0)</f>
        <v>LOPEZ MORA SAMUEL ALEJANDRO</v>
      </c>
      <c r="C1140" s="19">
        <f>VLOOKUP(A1140,'ESTADOS ESTUDIANTES'!B:L,3,0)</f>
        <v>695</v>
      </c>
      <c r="D1140" s="66" t="str">
        <f>VLOOKUP(A1140,'ESTADOS ESTUDIANTES'!B:L,4,0)</f>
        <v>MAESTRÍA EN CIENCIAS DE LA INFORMACIÓN Y LAS COMUNICACIONES</v>
      </c>
      <c r="E1140" s="19" t="str">
        <f>VLOOKUP(A1140,'ESTADOS ESTUDIANTES'!B:L,5,0)</f>
        <v>V</v>
      </c>
      <c r="F1140" s="18" t="str">
        <f>VLOOKUP(E1140,Listas!B1:C1004,2,0)</f>
        <v>VACACIONES</v>
      </c>
      <c r="G1140" s="19">
        <f>VLOOKUP(A1140,'ESTADOS ESTUDIANTES'!B:L,7,0)</f>
        <v>3</v>
      </c>
      <c r="H1140" s="19" t="str">
        <f>VLOOKUP(A1140,'ESTADOS ESTUDIANTES'!B:L,8,0)</f>
        <v>salopezm@udistrital.edu.co</v>
      </c>
      <c r="I1140" s="70" t="str">
        <f>VLOOKUP(A1140,'ESTADOS ESTUDIANTES'!B:L,9,0)</f>
        <v>alopez@grupo-cubo.com</v>
      </c>
      <c r="J1140" s="19" t="str">
        <f>VLOOKUP(A1140,'ESTADOS ESTUDIANTES'!B:L,10,0)</f>
        <v>CC</v>
      </c>
      <c r="K1140" s="19">
        <f>VLOOKUP(A1140,'ESTADOS ESTUDIANTES'!B:L,11,0)</f>
        <v>80726660</v>
      </c>
      <c r="L1140" s="19">
        <v>3138939229</v>
      </c>
      <c r="M1140" s="20">
        <v>29944</v>
      </c>
      <c r="N1140" s="22"/>
      <c r="O1140" s="15"/>
      <c r="P1140" s="15"/>
      <c r="Q1140" s="15"/>
      <c r="R1140" s="15"/>
      <c r="S1140" s="15"/>
      <c r="T1140" s="15"/>
      <c r="U1140" s="15"/>
    </row>
    <row r="1141" spans="1:21" ht="105">
      <c r="A1141" s="508">
        <v>20202495014</v>
      </c>
      <c r="B1141" s="19" t="str">
        <f>VLOOKUP(A1141,'ESTADOS ESTUDIANTES'!B:L,2,0)</f>
        <v>LOPEZ PEREZ CRISTHIAN CAMILO</v>
      </c>
      <c r="C1141" s="19">
        <f>VLOOKUP(A1141,'ESTADOS ESTUDIANTES'!B:L,3,0)</f>
        <v>695</v>
      </c>
      <c r="D1141" s="66" t="str">
        <f>VLOOKUP(A1141,'ESTADOS ESTUDIANTES'!B:L,4,0)</f>
        <v>MAESTRÍA EN CIENCIAS DE LA INFORMACIÓN Y LAS COMUNICACIONES</v>
      </c>
      <c r="E1141" s="19" t="str">
        <f>VLOOKUP(A1141,'ESTADOS ESTUDIANTES'!B:L,5,0)</f>
        <v>V</v>
      </c>
      <c r="F1141" s="18" t="str">
        <f>VLOOKUP(E1141,Listas!B1:C1004,2,0)</f>
        <v>VACACIONES</v>
      </c>
      <c r="G1141" s="19">
        <f>VLOOKUP(A1141,'ESTADOS ESTUDIANTES'!B:L,7,0)</f>
        <v>3</v>
      </c>
      <c r="H1141" s="19" t="str">
        <f>VLOOKUP(A1141,'ESTADOS ESTUDIANTES'!B:L,8,0)</f>
        <v>cclopezp@udistrital.edu.co</v>
      </c>
      <c r="I1141" s="70" t="str">
        <f>VLOOKUP(A1141,'ESTADOS ESTUDIANTES'!B:L,9,0)</f>
        <v>mathe.milopeez@gmail.com</v>
      </c>
      <c r="J1141" s="19" t="str">
        <f>VLOOKUP(A1141,'ESTADOS ESTUDIANTES'!B:L,10,0)</f>
        <v>CC</v>
      </c>
      <c r="K1141" s="19">
        <f>VLOOKUP(A1141,'ESTADOS ESTUDIANTES'!B:L,11,0)</f>
        <v>1032449379</v>
      </c>
      <c r="L1141" s="19">
        <v>3102515736</v>
      </c>
      <c r="M1141" s="20">
        <v>33709</v>
      </c>
      <c r="N1141" s="22"/>
      <c r="O1141" s="15"/>
      <c r="P1141" s="15"/>
      <c r="Q1141" s="15"/>
      <c r="R1141" s="15"/>
      <c r="S1141" s="15"/>
      <c r="T1141" s="15"/>
      <c r="U1141" s="15"/>
    </row>
    <row r="1142" spans="1:21" ht="90">
      <c r="A1142" s="17">
        <v>20202495015</v>
      </c>
      <c r="B1142" s="19" t="str">
        <f>VLOOKUP(A1142,'ESTADOS ESTUDIANTES'!B:L,2,0)</f>
        <v>OROZCO SERRANO GERARDO ALBERTO</v>
      </c>
      <c r="C1142" s="19">
        <f>VLOOKUP(A1142,'ESTADOS ESTUDIANTES'!B:L,3,0)</f>
        <v>495</v>
      </c>
      <c r="D1142" s="66" t="str">
        <f>VLOOKUP(A1142,'ESTADOS ESTUDIANTES'!B:L,4,0)</f>
        <v>MAE. EN CIENCIAS DE LA INF. Y LAS COMUNICACIONES ENFASIS EN ING. SOFT</v>
      </c>
      <c r="E1142" s="19" t="str">
        <f>VLOOKUP(A1142,'ESTADOS ESTUDIANTES'!B:L,5,0)</f>
        <v>X</v>
      </c>
      <c r="F1142" s="18" t="str">
        <f>VLOOKUP(E1142,Listas!B1:C1004,2,0)</f>
        <v>EXCLUIDO</v>
      </c>
      <c r="G1142" s="19">
        <f>VLOOKUP(A1142,'ESTADOS ESTUDIANTES'!B:L,7,0)</f>
        <v>1</v>
      </c>
      <c r="H1142" s="19" t="str">
        <f>VLOOKUP(A1142,'ESTADOS ESTUDIANTES'!B:L,8,0)</f>
        <v>gaorozcos@udistrital.edu.co</v>
      </c>
      <c r="I1142" s="70" t="str">
        <f>VLOOKUP(A1142,'ESTADOS ESTUDIANTES'!B:L,9,0)</f>
        <v>gerardorozco@hotmail.com</v>
      </c>
      <c r="J1142" s="19" t="str">
        <f>VLOOKUP(A1142,'ESTADOS ESTUDIANTES'!B:L,10,0)</f>
        <v>CC</v>
      </c>
      <c r="K1142" s="19">
        <f>VLOOKUP(A1142,'ESTADOS ESTUDIANTES'!B:L,11,0)</f>
        <v>84456696</v>
      </c>
      <c r="L1142" s="19">
        <v>3008373895</v>
      </c>
      <c r="M1142" s="20">
        <v>30627</v>
      </c>
      <c r="N1142" s="22"/>
      <c r="O1142" s="15"/>
      <c r="P1142" s="15"/>
      <c r="Q1142" s="15"/>
      <c r="R1142" s="15"/>
      <c r="S1142" s="15"/>
      <c r="T1142" s="15"/>
      <c r="U1142" s="15"/>
    </row>
    <row r="1143" spans="1:21" ht="90">
      <c r="A1143" s="17">
        <v>20202495016</v>
      </c>
      <c r="B1143" s="19" t="str">
        <f>VLOOKUP(A1143,'ESTADOS ESTUDIANTES'!B:L,2,0)</f>
        <v>REY HERRERA JESUS STEVEN</v>
      </c>
      <c r="C1143" s="19">
        <f>VLOOKUP(A1143,'ESTADOS ESTUDIANTES'!B:L,3,0)</f>
        <v>495</v>
      </c>
      <c r="D1143" s="66" t="str">
        <f>VLOOKUP(A1143,'ESTADOS ESTUDIANTES'!B:L,4,0)</f>
        <v>MAE. EN CIENCIAS DE LA INF. Y LAS COMUNICACIONES ENFASIS EN ING. SOFT</v>
      </c>
      <c r="E1143" s="19" t="str">
        <f>VLOOKUP(A1143,'ESTADOS ESTUDIANTES'!B:L,5,0)</f>
        <v>X</v>
      </c>
      <c r="F1143" s="18" t="str">
        <f>VLOOKUP(E1143,Listas!B1:C1004,2,0)</f>
        <v>EXCLUIDO</v>
      </c>
      <c r="G1143" s="19">
        <f>VLOOKUP(A1143,'ESTADOS ESTUDIANTES'!B:L,7,0)</f>
        <v>3</v>
      </c>
      <c r="H1143" s="19">
        <f>VLOOKUP(A1143,'ESTADOS ESTUDIANTES'!B:L,8,0)</f>
        <v>0</v>
      </c>
      <c r="I1143" s="70" t="str">
        <f>VLOOKUP(A1143,'ESTADOS ESTUDIANTES'!B:L,9,0)</f>
        <v>reysteen@gmail.com</v>
      </c>
      <c r="J1143" s="19" t="str">
        <f>VLOOKUP(A1143,'ESTADOS ESTUDIANTES'!B:L,10,0)</f>
        <v>CC</v>
      </c>
      <c r="K1143" s="19">
        <f>VLOOKUP(A1143,'ESTADOS ESTUDIANTES'!B:L,11,0)</f>
        <v>1023936689</v>
      </c>
      <c r="L1143" s="19">
        <v>3223907764</v>
      </c>
      <c r="M1143" s="20">
        <v>34593</v>
      </c>
      <c r="N1143" s="22"/>
      <c r="O1143" s="15"/>
      <c r="P1143" s="15"/>
      <c r="Q1143" s="15"/>
      <c r="R1143" s="15"/>
      <c r="S1143" s="15"/>
      <c r="T1143" s="15"/>
      <c r="U1143" s="15"/>
    </row>
    <row r="1144" spans="1:21" ht="90">
      <c r="A1144" s="17">
        <v>20202495017</v>
      </c>
      <c r="B1144" s="19" t="str">
        <f>VLOOKUP(A1144,'ESTADOS ESTUDIANTES'!B:L,2,0)</f>
        <v>SORA OSPINA JUAN PABLO</v>
      </c>
      <c r="C1144" s="19">
        <f>VLOOKUP(A1144,'ESTADOS ESTUDIANTES'!B:L,3,0)</f>
        <v>495</v>
      </c>
      <c r="D1144" s="66" t="str">
        <f>VLOOKUP(A1144,'ESTADOS ESTUDIANTES'!B:L,4,0)</f>
        <v>MAE. EN CIENCIAS DE LA INF. Y LAS COMUNICACIONES ENFASIS EN ING. SOFT</v>
      </c>
      <c r="E1144" s="19" t="str">
        <f>VLOOKUP(A1144,'ESTADOS ESTUDIANTES'!B:L,5,0)</f>
        <v>N</v>
      </c>
      <c r="F1144" s="18" t="str">
        <f>VLOOKUP(E1144,Listas!B1:C1004,2,0)</f>
        <v>ERROR DE CODIGO</v>
      </c>
      <c r="G1144" s="19">
        <f>VLOOKUP(A1144,'ESTADOS ESTUDIANTES'!B:L,7,0)</f>
        <v>2</v>
      </c>
      <c r="H1144" s="19">
        <f>VLOOKUP(A1144,'ESTADOS ESTUDIANTES'!B:L,8,0)</f>
        <v>0</v>
      </c>
      <c r="I1144" s="70" t="str">
        <f>VLOOKUP(A1144,'ESTADOS ESTUDIANTES'!B:L,9,0)</f>
        <v>jsora@outlook.com</v>
      </c>
      <c r="J1144" s="19" t="str">
        <f>VLOOKUP(A1144,'ESTADOS ESTUDIANTES'!B:L,10,0)</f>
        <v>CC</v>
      </c>
      <c r="K1144" s="19">
        <f>VLOOKUP(A1144,'ESTADOS ESTUDIANTES'!B:L,11,0)</f>
        <v>11204462</v>
      </c>
      <c r="L1144" s="19">
        <v>3176635984</v>
      </c>
      <c r="M1144" s="20"/>
      <c r="N1144" s="22"/>
      <c r="O1144" s="15"/>
      <c r="P1144" s="15"/>
      <c r="Q1144" s="15"/>
      <c r="R1144" s="15"/>
      <c r="S1144" s="15"/>
      <c r="T1144" s="15"/>
      <c r="U1144" s="15"/>
    </row>
    <row r="1145" spans="1:21" ht="90">
      <c r="A1145" s="17">
        <v>20202495018</v>
      </c>
      <c r="B1145" s="19" t="str">
        <f>VLOOKUP(A1145,'ESTADOS ESTUDIANTES'!B:L,2,0)</f>
        <v>SUAREZ ARRIETA SABRINA</v>
      </c>
      <c r="C1145" s="19">
        <f>VLOOKUP(A1145,'ESTADOS ESTUDIANTES'!B:L,3,0)</f>
        <v>495</v>
      </c>
      <c r="D1145" s="66" t="str">
        <f>VLOOKUP(A1145,'ESTADOS ESTUDIANTES'!B:L,4,0)</f>
        <v>MAE. EN CIENCIAS DE LA INF. Y LAS COMUNICACIONES ENFASIS EN ING. SOFT</v>
      </c>
      <c r="E1145" s="19" t="str">
        <f>VLOOKUP(A1145,'ESTADOS ESTUDIANTES'!B:L,5,0)</f>
        <v>X</v>
      </c>
      <c r="F1145" s="18" t="str">
        <f>VLOOKUP(E1145,Listas!B1:C1004,2,0)</f>
        <v>EXCLUIDO</v>
      </c>
      <c r="G1145" s="19">
        <f>VLOOKUP(A1145,'ESTADOS ESTUDIANTES'!B:L,7,0)</f>
        <v>4</v>
      </c>
      <c r="H1145" s="19">
        <f>VLOOKUP(A1145,'ESTADOS ESTUDIANTES'!B:L,8,0)</f>
        <v>0</v>
      </c>
      <c r="I1145" s="70" t="str">
        <f>VLOOKUP(A1145,'ESTADOS ESTUDIANTES'!B:L,9,0)</f>
        <v>sabrinasuarezarrieta@gmail.com</v>
      </c>
      <c r="J1145" s="19" t="str">
        <f>VLOOKUP(A1145,'ESTADOS ESTUDIANTES'!B:L,10,0)</f>
        <v>CC</v>
      </c>
      <c r="K1145" s="19">
        <f>VLOOKUP(A1145,'ESTADOS ESTUDIANTES'!B:L,11,0)</f>
        <v>1020795740</v>
      </c>
      <c r="L1145" s="19">
        <v>3194358371</v>
      </c>
      <c r="M1145" s="20">
        <v>34560</v>
      </c>
      <c r="N1145" s="22"/>
      <c r="O1145" s="15"/>
      <c r="P1145" s="15"/>
      <c r="Q1145" s="15"/>
      <c r="R1145" s="15"/>
      <c r="S1145" s="15"/>
      <c r="T1145" s="15"/>
      <c r="U1145" s="15"/>
    </row>
    <row r="1146" spans="1:21" ht="90">
      <c r="A1146" s="17">
        <v>20202495019</v>
      </c>
      <c r="B1146" s="19" t="str">
        <f>VLOOKUP(A1146,'ESTADOS ESTUDIANTES'!B:L,2,0)</f>
        <v>VANEGAS AYALA SEBASTIAN CAMILO</v>
      </c>
      <c r="C1146" s="19">
        <f>VLOOKUP(A1146,'ESTADOS ESTUDIANTES'!B:L,3,0)</f>
        <v>495</v>
      </c>
      <c r="D1146" s="66" t="str">
        <f>VLOOKUP(A1146,'ESTADOS ESTUDIANTES'!B:L,4,0)</f>
        <v>MAE. EN CIENCIAS DE LA INF. Y LAS COMUNICACIONES ENFASIS EN ING. SOFT</v>
      </c>
      <c r="E1146" s="19" t="str">
        <f>VLOOKUP(A1146,'ESTADOS ESTUDIANTES'!B:L,5,0)</f>
        <v>E</v>
      </c>
      <c r="F1146" s="18" t="str">
        <f>VLOOKUP(E1146,Listas!B1:C1004,2,0)</f>
        <v>EGRESADO</v>
      </c>
      <c r="G1146" s="19">
        <f>VLOOKUP(A1146,'ESTADOS ESTUDIANTES'!B:L,7,0)</f>
        <v>4</v>
      </c>
      <c r="H1146" s="19">
        <f>VLOOKUP(A1146,'ESTADOS ESTUDIANTES'!B:L,8,0)</f>
        <v>0</v>
      </c>
      <c r="I1146" s="70" t="str">
        <f>VLOOKUP(A1146,'ESTADOS ESTUDIANTES'!B:L,9,0)</f>
        <v>scva9708@gmail.com</v>
      </c>
      <c r="J1146" s="19" t="str">
        <f>VLOOKUP(A1146,'ESTADOS ESTUDIANTES'!B:L,10,0)</f>
        <v>CC</v>
      </c>
      <c r="K1146" s="19">
        <f>VLOOKUP(A1146,'ESTADOS ESTUDIANTES'!B:L,11,0)</f>
        <v>1026591661</v>
      </c>
      <c r="L1146" s="19">
        <v>3174849419</v>
      </c>
      <c r="M1146" s="20">
        <v>35656</v>
      </c>
      <c r="N1146" s="22"/>
      <c r="O1146" s="15"/>
      <c r="P1146" s="15"/>
      <c r="Q1146" s="15"/>
      <c r="R1146" s="15"/>
      <c r="S1146" s="15"/>
      <c r="T1146" s="15"/>
      <c r="U1146" s="15"/>
    </row>
    <row r="1147" spans="1:21" ht="90">
      <c r="A1147" s="17">
        <v>20202495020</v>
      </c>
      <c r="B1147" s="19" t="str">
        <f>VLOOKUP(A1147,'ESTADOS ESTUDIANTES'!B:L,2,0)</f>
        <v>VARON CAPERA ALVARO</v>
      </c>
      <c r="C1147" s="19">
        <f>VLOOKUP(A1147,'ESTADOS ESTUDIANTES'!B:L,3,0)</f>
        <v>495</v>
      </c>
      <c r="D1147" s="66" t="str">
        <f>VLOOKUP(A1147,'ESTADOS ESTUDIANTES'!B:L,4,0)</f>
        <v>MAE. EN CIENCIAS DE LA INF. Y LAS COMUNICACIONES ENFASIS EN ING. SOFT</v>
      </c>
      <c r="E1147" s="19" t="str">
        <f>VLOOKUP(A1147,'ESTADOS ESTUDIANTES'!B:L,5,0)</f>
        <v>E</v>
      </c>
      <c r="F1147" s="18" t="str">
        <f>VLOOKUP(E1147,Listas!B1:C1004,2,0)</f>
        <v>EGRESADO</v>
      </c>
      <c r="G1147" s="19">
        <f>VLOOKUP(A1147,'ESTADOS ESTUDIANTES'!B:L,7,0)</f>
        <v>3</v>
      </c>
      <c r="H1147" s="19" t="str">
        <f>VLOOKUP(A1147,'ESTADOS ESTUDIANTES'!B:L,8,0)</f>
        <v>avaronc@udistrital.edu.co</v>
      </c>
      <c r="I1147" s="70" t="str">
        <f>VLOOKUP(A1147,'ESTADOS ESTUDIANTES'!B:L,9,0)</f>
        <v>varoncalvaro@gmail.com</v>
      </c>
      <c r="J1147" s="19" t="str">
        <f>VLOOKUP(A1147,'ESTADOS ESTUDIANTES'!B:L,10,0)</f>
        <v>CC</v>
      </c>
      <c r="K1147" s="19">
        <f>VLOOKUP(A1147,'ESTADOS ESTUDIANTES'!B:L,11,0)</f>
        <v>1016024623</v>
      </c>
      <c r="L1147" s="19">
        <v>3006261377</v>
      </c>
      <c r="M1147" s="20">
        <v>32926</v>
      </c>
      <c r="N1147" s="22"/>
      <c r="O1147" s="15"/>
      <c r="P1147" s="15"/>
      <c r="Q1147" s="15"/>
      <c r="R1147" s="15"/>
      <c r="S1147" s="15"/>
      <c r="T1147" s="15"/>
      <c r="U1147" s="15"/>
    </row>
    <row r="1148" spans="1:21" ht="90">
      <c r="A1148" s="17">
        <v>20202495021</v>
      </c>
      <c r="B1148" s="19" t="str">
        <f>VLOOKUP(A1148,'ESTADOS ESTUDIANTES'!B:L,2,0)</f>
        <v>VILLA VARGAS HECTOR HERNANDO</v>
      </c>
      <c r="C1148" s="19">
        <f>VLOOKUP(A1148,'ESTADOS ESTUDIANTES'!B:L,3,0)</f>
        <v>495</v>
      </c>
      <c r="D1148" s="66" t="str">
        <f>VLOOKUP(A1148,'ESTADOS ESTUDIANTES'!B:L,4,0)</f>
        <v>MAE. EN CIENCIAS DE LA INF. Y LAS COMUNICACIONES ENFASIS EN ING. SOFT</v>
      </c>
      <c r="E1148" s="19" t="str">
        <f>VLOOKUP(A1148,'ESTADOS ESTUDIANTES'!B:L,5,0)</f>
        <v>X</v>
      </c>
      <c r="F1148" s="18" t="str">
        <f>VLOOKUP(E1148,Listas!B1:C1004,2,0)</f>
        <v>EXCLUIDO</v>
      </c>
      <c r="G1148" s="19">
        <f>VLOOKUP(A1148,'ESTADOS ESTUDIANTES'!B:L,7,0)</f>
        <v>3</v>
      </c>
      <c r="H1148" s="19" t="str">
        <f>VLOOKUP(A1148,'ESTADOS ESTUDIANTES'!B:L,8,0)</f>
        <v>hhvillav@udistrital.edu.co</v>
      </c>
      <c r="I1148" s="70" t="str">
        <f>VLOOKUP(A1148,'ESTADOS ESTUDIANTES'!B:L,9,0)</f>
        <v>hhvilla@gmail.com</v>
      </c>
      <c r="J1148" s="19" t="str">
        <f>VLOOKUP(A1148,'ESTADOS ESTUDIANTES'!B:L,10,0)</f>
        <v>CC</v>
      </c>
      <c r="K1148" s="19">
        <f>VLOOKUP(A1148,'ESTADOS ESTUDIANTES'!B:L,11,0)</f>
        <v>79754976</v>
      </c>
      <c r="L1148" s="19">
        <v>3003002717</v>
      </c>
      <c r="M1148" s="20">
        <v>27428</v>
      </c>
      <c r="N1148" s="22"/>
      <c r="O1148" s="15"/>
      <c r="P1148" s="15"/>
      <c r="Q1148" s="15"/>
      <c r="R1148" s="15"/>
      <c r="S1148" s="15"/>
      <c r="T1148" s="15"/>
      <c r="U1148" s="15"/>
    </row>
    <row r="1149" spans="1:21" ht="90">
      <c r="A1149" s="17">
        <v>20202495022</v>
      </c>
      <c r="B1149" s="19" t="str">
        <f>VLOOKUP(A1149,'ESTADOS ESTUDIANTES'!B:L,2,0)</f>
        <v>VILLAGRAN MARTINEZ SERGIO ANDRES</v>
      </c>
      <c r="C1149" s="19">
        <f>VLOOKUP(A1149,'ESTADOS ESTUDIANTES'!B:L,3,0)</f>
        <v>495</v>
      </c>
      <c r="D1149" s="66" t="str">
        <f>VLOOKUP(A1149,'ESTADOS ESTUDIANTES'!B:L,4,0)</f>
        <v>MAE. EN CIENCIAS DE LA INF. Y LAS COMUNICACIONES ENFASIS EN ING. SOFT</v>
      </c>
      <c r="E1149" s="19" t="str">
        <f>VLOOKUP(A1149,'ESTADOS ESTUDIANTES'!B:L,5,0)</f>
        <v>X</v>
      </c>
      <c r="F1149" s="18" t="str">
        <f>VLOOKUP(E1149,Listas!B1:C1004,2,0)</f>
        <v>EXCLUIDO</v>
      </c>
      <c r="G1149" s="19">
        <f>VLOOKUP(A1149,'ESTADOS ESTUDIANTES'!B:L,7,0)</f>
        <v>4</v>
      </c>
      <c r="H1149" s="19">
        <f>VLOOKUP(A1149,'ESTADOS ESTUDIANTES'!B:L,8,0)</f>
        <v>0</v>
      </c>
      <c r="I1149" s="70" t="str">
        <f>VLOOKUP(A1149,'ESTADOS ESTUDIANTES'!B:L,9,0)</f>
        <v>sergiovillagran92@gmail.com</v>
      </c>
      <c r="J1149" s="19" t="str">
        <f>VLOOKUP(A1149,'ESTADOS ESTUDIANTES'!B:L,10,0)</f>
        <v>CC</v>
      </c>
      <c r="K1149" s="19">
        <f>VLOOKUP(A1149,'ESTADOS ESTUDIANTES'!B:L,11,0)</f>
        <v>1020776836</v>
      </c>
      <c r="L1149" s="19">
        <v>3505982423</v>
      </c>
      <c r="M1149" s="20">
        <v>33946</v>
      </c>
      <c r="N1149" s="22"/>
      <c r="O1149" s="15"/>
      <c r="P1149" s="15"/>
      <c r="Q1149" s="15"/>
      <c r="R1149" s="15"/>
      <c r="S1149" s="15"/>
      <c r="T1149" s="15"/>
      <c r="U1149" s="15"/>
    </row>
    <row r="1150" spans="1:21" ht="90">
      <c r="A1150" s="17">
        <v>20211195001</v>
      </c>
      <c r="B1150" s="19" t="str">
        <f>VLOOKUP(A1150,'ESTADOS ESTUDIANTES'!B:L,2,0)</f>
        <v>BOJACA CABRA JOHN NEIVER</v>
      </c>
      <c r="C1150" s="19">
        <f>VLOOKUP(A1150,'ESTADOS ESTUDIANTES'!B:L,3,0)</f>
        <v>195</v>
      </c>
      <c r="D1150" s="66" t="str">
        <f>VLOOKUP(A1150,'ESTADOS ESTUDIANTES'!B:L,4,0)</f>
        <v>MAE. EN CIENCIAS DE LA INF. Y LAS COMUNICACIONES ENFASIS EN TELEINF.</v>
      </c>
      <c r="E1150" s="19" t="str">
        <f>VLOOKUP(A1150,'ESTADOS ESTUDIANTES'!B:L,5,0)</f>
        <v>E</v>
      </c>
      <c r="F1150" s="18" t="str">
        <f>VLOOKUP(E1150,Listas!B1:C1004,2,0)</f>
        <v>EGRESADO</v>
      </c>
      <c r="G1150" s="19">
        <f>VLOOKUP(A1150,'ESTADOS ESTUDIANTES'!B:L,7,0)</f>
        <v>3</v>
      </c>
      <c r="H1150" s="19" t="str">
        <f>VLOOKUP(A1150,'ESTADOS ESTUDIANTES'!B:L,8,0)</f>
        <v>jnbojacac@udistrital.edu.co</v>
      </c>
      <c r="I1150" s="70" t="str">
        <f>VLOOKUP(A1150,'ESTADOS ESTUDIANTES'!B:L,9,0)</f>
        <v>john.bojaca@gmail.com</v>
      </c>
      <c r="J1150" s="19" t="str">
        <f>VLOOKUP(A1150,'ESTADOS ESTUDIANTES'!B:L,10,0)</f>
        <v>CC</v>
      </c>
      <c r="K1150" s="19">
        <f>VLOOKUP(A1150,'ESTADOS ESTUDIANTES'!B:L,11,0)</f>
        <v>81720127</v>
      </c>
      <c r="L1150" s="19">
        <v>3002105776</v>
      </c>
      <c r="M1150" s="20">
        <v>30751</v>
      </c>
      <c r="N1150" s="22"/>
      <c r="O1150" s="15"/>
      <c r="P1150" s="15"/>
      <c r="Q1150" s="15"/>
      <c r="R1150" s="15"/>
      <c r="S1150" s="15"/>
      <c r="T1150" s="15"/>
      <c r="U1150" s="15"/>
    </row>
    <row r="1151" spans="1:21" ht="90">
      <c r="A1151" s="17">
        <v>20211195002</v>
      </c>
      <c r="B1151" s="19" t="str">
        <f>VLOOKUP(A1151,'ESTADOS ESTUDIANTES'!B:L,2,0)</f>
        <v>GARCIA RINCON WILLIAM ROBERTO</v>
      </c>
      <c r="C1151" s="19">
        <f>VLOOKUP(A1151,'ESTADOS ESTUDIANTES'!B:L,3,0)</f>
        <v>195</v>
      </c>
      <c r="D1151" s="66" t="str">
        <f>VLOOKUP(A1151,'ESTADOS ESTUDIANTES'!B:L,4,0)</f>
        <v>MAE. EN CIENCIAS DE LA INF. Y LAS COMUNICACIONES ENFASIS EN TELEINF.</v>
      </c>
      <c r="E1151" s="19" t="str">
        <f>VLOOKUP(A1151,'ESTADOS ESTUDIANTES'!B:L,5,0)</f>
        <v>X</v>
      </c>
      <c r="F1151" s="18" t="str">
        <f>VLOOKUP(E1151,Listas!B1:C1004,2,0)</f>
        <v>EXCLUIDO</v>
      </c>
      <c r="G1151" s="19">
        <f>VLOOKUP(A1151,'ESTADOS ESTUDIANTES'!B:L,7,0)</f>
        <v>3</v>
      </c>
      <c r="H1151" s="19" t="str">
        <f>VLOOKUP(A1151,'ESTADOS ESTUDIANTES'!B:L,8,0)</f>
        <v>wrgarciar@udistrital.edu.co</v>
      </c>
      <c r="I1151" s="70" t="str">
        <f>VLOOKUP(A1151,'ESTADOS ESTUDIANTES'!B:L,9,0)</f>
        <v>willygaa@gmail.com</v>
      </c>
      <c r="J1151" s="19" t="str">
        <f>VLOOKUP(A1151,'ESTADOS ESTUDIANTES'!B:L,10,0)</f>
        <v>CC</v>
      </c>
      <c r="K1151" s="19">
        <f>VLOOKUP(A1151,'ESTADOS ESTUDIANTES'!B:L,11,0)</f>
        <v>80151075</v>
      </c>
      <c r="L1151" s="19">
        <v>3167471387</v>
      </c>
      <c r="M1151" s="20">
        <v>29419</v>
      </c>
      <c r="N1151" s="22"/>
      <c r="O1151" s="15"/>
      <c r="P1151" s="15"/>
      <c r="Q1151" s="15"/>
      <c r="R1151" s="15"/>
      <c r="S1151" s="15"/>
      <c r="T1151" s="15"/>
      <c r="U1151" s="15"/>
    </row>
    <row r="1152" spans="1:21" ht="90">
      <c r="A1152" s="17">
        <v>20211195003</v>
      </c>
      <c r="B1152" s="19" t="str">
        <f>VLOOKUP(A1152,'ESTADOS ESTUDIANTES'!B:L,2,0)</f>
        <v>DIAZ HERRERA JAVIER GEOVANNI</v>
      </c>
      <c r="C1152" s="19">
        <f>VLOOKUP(A1152,'ESTADOS ESTUDIANTES'!B:L,3,0)</f>
        <v>195</v>
      </c>
      <c r="D1152" s="66" t="str">
        <f>VLOOKUP(A1152,'ESTADOS ESTUDIANTES'!B:L,4,0)</f>
        <v>MAE. EN CIENCIAS DE LA INF. Y LAS COMUNICACIONES ENFASIS EN TELEINF.</v>
      </c>
      <c r="E1152" s="19" t="str">
        <f>VLOOKUP(A1152,'ESTADOS ESTUDIANTES'!B:L,5,0)</f>
        <v>X</v>
      </c>
      <c r="F1152" s="18" t="str">
        <f>VLOOKUP(E1152,Listas!B1:C1004,2,0)</f>
        <v>EXCLUIDO</v>
      </c>
      <c r="G1152" s="19">
        <f>VLOOKUP(A1152,'ESTADOS ESTUDIANTES'!B:L,7,0)</f>
        <v>3</v>
      </c>
      <c r="H1152" s="19" t="str">
        <f>VLOOKUP(A1152,'ESTADOS ESTUDIANTES'!B:L,8,0)</f>
        <v>jgdiazh@correo.udistrital.edu.co</v>
      </c>
      <c r="I1152" s="70" t="str">
        <f>VLOOKUP(A1152,'ESTADOS ESTUDIANTES'!B:L,9,0)</f>
        <v>geovann.diaz@correo.policia.gov.co</v>
      </c>
      <c r="J1152" s="19" t="str">
        <f>VLOOKUP(A1152,'ESTADOS ESTUDIANTES'!B:L,10,0)</f>
        <v>CC</v>
      </c>
      <c r="K1152" s="19">
        <f>VLOOKUP(A1152,'ESTADOS ESTUDIANTES'!B:L,11,0)</f>
        <v>79875938</v>
      </c>
      <c r="L1152" s="19">
        <v>3224739759</v>
      </c>
      <c r="M1152" s="20">
        <v>28377</v>
      </c>
      <c r="N1152" s="22"/>
      <c r="O1152" s="15"/>
      <c r="P1152" s="15"/>
      <c r="Q1152" s="15"/>
      <c r="R1152" s="15"/>
      <c r="S1152" s="15"/>
      <c r="T1152" s="15"/>
      <c r="U1152" s="15"/>
    </row>
    <row r="1153" spans="1:21" ht="90">
      <c r="A1153" s="17">
        <v>20211195004</v>
      </c>
      <c r="B1153" s="19" t="str">
        <f>VLOOKUP(A1153,'ESTADOS ESTUDIANTES'!B:L,2,0)</f>
        <v>MUNOZ CANON NORBEY DANILO</v>
      </c>
      <c r="C1153" s="19">
        <f>VLOOKUP(A1153,'ESTADOS ESTUDIANTES'!B:L,3,0)</f>
        <v>195</v>
      </c>
      <c r="D1153" s="66" t="str">
        <f>VLOOKUP(A1153,'ESTADOS ESTUDIANTES'!B:L,4,0)</f>
        <v>MAE. EN CIENCIAS DE LA INF. Y LAS COMUNICACIONES ENFASIS EN TELEINF.</v>
      </c>
      <c r="E1153" s="19" t="str">
        <f>VLOOKUP(A1153,'ESTADOS ESTUDIANTES'!B:L,5,0)</f>
        <v>I</v>
      </c>
      <c r="F1153" s="18" t="str">
        <f>VLOOKUP(E1153,Listas!B1:C1004,2,0)</f>
        <v>INACTIVO</v>
      </c>
      <c r="G1153" s="19" t="str">
        <f>VLOOKUP(A1153,'ESTADOS ESTUDIANTES'!B:L,7,0)</f>
        <v>NO REGISTRA</v>
      </c>
      <c r="H1153" s="19">
        <f>VLOOKUP(A1153,'ESTADOS ESTUDIANTES'!B:L,8,0)</f>
        <v>0</v>
      </c>
      <c r="I1153" s="70" t="str">
        <f>VLOOKUP(A1153,'ESTADOS ESTUDIANTES'!B:L,9,0)</f>
        <v>ndmunozc@correo.udistrital.edu.co</v>
      </c>
      <c r="J1153" s="19" t="str">
        <f>VLOOKUP(A1153,'ESTADOS ESTUDIANTES'!B:L,10,0)</f>
        <v>CC</v>
      </c>
      <c r="K1153" s="19">
        <f>VLOOKUP(A1153,'ESTADOS ESTUDIANTES'!B:L,11,0)</f>
        <v>1033806084</v>
      </c>
      <c r="L1153" s="21"/>
      <c r="M1153" s="20"/>
      <c r="N1153" s="22"/>
      <c r="O1153" s="15"/>
      <c r="P1153" s="15"/>
      <c r="Q1153" s="15"/>
      <c r="R1153" s="15"/>
      <c r="S1153" s="15"/>
      <c r="T1153" s="15"/>
      <c r="U1153" s="15"/>
    </row>
    <row r="1154" spans="1:21" ht="90">
      <c r="A1154" s="17">
        <v>20211195005</v>
      </c>
      <c r="B1154" s="19" t="str">
        <f>VLOOKUP(A1154,'ESTADOS ESTUDIANTES'!B:L,2,0)</f>
        <v>SIERRA FORERO BRAYAN LEONARDO</v>
      </c>
      <c r="C1154" s="19">
        <f>VLOOKUP(A1154,'ESTADOS ESTUDIANTES'!B:L,3,0)</f>
        <v>195</v>
      </c>
      <c r="D1154" s="66" t="str">
        <f>VLOOKUP(A1154,'ESTADOS ESTUDIANTES'!B:L,4,0)</f>
        <v>MAE. EN CIENCIAS DE LA INF. Y LAS COMUNICACIONES ENFASIS EN TELEINF.</v>
      </c>
      <c r="E1154" s="19" t="str">
        <f>VLOOKUP(A1154,'ESTADOS ESTUDIANTES'!B:L,5,0)</f>
        <v>I</v>
      </c>
      <c r="F1154" s="18" t="str">
        <f>VLOOKUP(E1154,Listas!B1:C1004,2,0)</f>
        <v>INACTIVO</v>
      </c>
      <c r="G1154" s="19" t="str">
        <f>VLOOKUP(A1154,'ESTADOS ESTUDIANTES'!B:L,7,0)</f>
        <v>NO REGISTRA</v>
      </c>
      <c r="H1154" s="19">
        <f>VLOOKUP(A1154,'ESTADOS ESTUDIANTES'!B:L,8,0)</f>
        <v>0</v>
      </c>
      <c r="I1154" s="70" t="str">
        <f>VLOOKUP(A1154,'ESTADOS ESTUDIANTES'!B:L,9,0)</f>
        <v>brayansierraf97@gmail.com</v>
      </c>
      <c r="J1154" s="19" t="str">
        <f>VLOOKUP(A1154,'ESTADOS ESTUDIANTES'!B:L,10,0)</f>
        <v>CC</v>
      </c>
      <c r="K1154" s="19">
        <f>VLOOKUP(A1154,'ESTADOS ESTUDIANTES'!B:L,11,0)</f>
        <v>1022429666</v>
      </c>
      <c r="L1154" s="21"/>
      <c r="M1154" s="20"/>
      <c r="N1154" s="22"/>
      <c r="O1154" s="15"/>
      <c r="P1154" s="15"/>
      <c r="Q1154" s="15"/>
      <c r="R1154" s="15"/>
      <c r="S1154" s="15"/>
      <c r="T1154" s="15"/>
      <c r="U1154" s="15"/>
    </row>
    <row r="1155" spans="1:21" ht="90">
      <c r="A1155" s="17">
        <v>20211195006</v>
      </c>
      <c r="B1155" s="19" t="str">
        <f>VLOOKUP(A1155,'ESTADOS ESTUDIANTES'!B:L,2,0)</f>
        <v>QUINTERO GARZON CESAR IVAN</v>
      </c>
      <c r="C1155" s="19">
        <f>VLOOKUP(A1155,'ESTADOS ESTUDIANTES'!B:L,3,0)</f>
        <v>195</v>
      </c>
      <c r="D1155" s="66" t="str">
        <f>VLOOKUP(A1155,'ESTADOS ESTUDIANTES'!B:L,4,0)</f>
        <v>MAE. EN CIENCIAS DE LA INF. Y LAS COMUNICACIONES ENFASIS EN TELEINF.</v>
      </c>
      <c r="E1155" s="19" t="str">
        <f>VLOOKUP(A1155,'ESTADOS ESTUDIANTES'!B:L,5,0)</f>
        <v>A</v>
      </c>
      <c r="F1155" s="18" t="str">
        <f>VLOOKUP(E1155,Listas!B1:C1004,2,0)</f>
        <v>ACTIVO</v>
      </c>
      <c r="G1155" s="19">
        <f>VLOOKUP(A1155,'ESTADOS ESTUDIANTES'!B:L,7,0)</f>
        <v>3</v>
      </c>
      <c r="H1155" s="19" t="str">
        <f>VLOOKUP(A1155,'ESTADOS ESTUDIANTES'!B:L,8,0)</f>
        <v>ciquinterog@udistrital.edu.co</v>
      </c>
      <c r="I1155" s="70" t="str">
        <f>VLOOKUP(A1155,'ESTADOS ESTUDIANTES'!B:L,9,0)</f>
        <v>cquinterog@protonmail.com</v>
      </c>
      <c r="J1155" s="19" t="str">
        <f>VLOOKUP(A1155,'ESTADOS ESTUDIANTES'!B:L,10,0)</f>
        <v>CC</v>
      </c>
      <c r="K1155" s="19">
        <f>VLOOKUP(A1155,'ESTADOS ESTUDIANTES'!B:L,11,0)</f>
        <v>1075212647</v>
      </c>
      <c r="L1155" s="19">
        <v>3186413351</v>
      </c>
      <c r="M1155" s="20">
        <v>31602</v>
      </c>
      <c r="N1155" s="22"/>
      <c r="O1155" s="15"/>
      <c r="P1155" s="15"/>
      <c r="Q1155" s="15"/>
      <c r="R1155" s="15"/>
      <c r="S1155" s="15"/>
      <c r="T1155" s="15"/>
      <c r="U1155" s="15"/>
    </row>
    <row r="1156" spans="1:21" ht="90">
      <c r="A1156" s="17">
        <v>20211195007</v>
      </c>
      <c r="B1156" s="19" t="str">
        <f>VLOOKUP(A1156,'ESTADOS ESTUDIANTES'!B:L,2,0)</f>
        <v>MARTINEZ GARZON MARIA FERNANDA</v>
      </c>
      <c r="C1156" s="19">
        <f>VLOOKUP(A1156,'ESTADOS ESTUDIANTES'!B:L,3,0)</f>
        <v>195</v>
      </c>
      <c r="D1156" s="66" t="str">
        <f>VLOOKUP(A1156,'ESTADOS ESTUDIANTES'!B:L,4,0)</f>
        <v>MAE. EN CIENCIAS DE LA INF. Y LAS COMUNICACIONES ENFASIS EN TELEINF.</v>
      </c>
      <c r="E1156" s="19" t="str">
        <f>VLOOKUP(A1156,'ESTADOS ESTUDIANTES'!B:L,5,0)</f>
        <v>X</v>
      </c>
      <c r="F1156" s="18" t="str">
        <f>VLOOKUP(E1156,Listas!B1:C1004,2,0)</f>
        <v>EXCLUIDO</v>
      </c>
      <c r="G1156" s="19">
        <f>VLOOKUP(A1156,'ESTADOS ESTUDIANTES'!B:L,7,0)</f>
        <v>3</v>
      </c>
      <c r="H1156" s="19" t="str">
        <f>VLOOKUP(A1156,'ESTADOS ESTUDIANTES'!B:L,8,0)</f>
        <v>mfmartinezg@udistrital.edu.co</v>
      </c>
      <c r="I1156" s="70" t="str">
        <f>VLOOKUP(A1156,'ESTADOS ESTUDIANTES'!B:L,9,0)</f>
        <v>mariafernanda1227@gmail.com</v>
      </c>
      <c r="J1156" s="19" t="str">
        <f>VLOOKUP(A1156,'ESTADOS ESTUDIANTES'!B:L,10,0)</f>
        <v>CC</v>
      </c>
      <c r="K1156" s="19">
        <f>VLOOKUP(A1156,'ESTADOS ESTUDIANTES'!B:L,11,0)</f>
        <v>1015471512</v>
      </c>
      <c r="L1156" s="19">
        <v>3167823432</v>
      </c>
      <c r="M1156" s="20">
        <v>35623</v>
      </c>
      <c r="N1156" s="22"/>
      <c r="O1156" s="15"/>
      <c r="P1156" s="15"/>
      <c r="Q1156" s="15"/>
      <c r="R1156" s="15"/>
      <c r="S1156" s="15"/>
      <c r="T1156" s="15"/>
      <c r="U1156" s="15"/>
    </row>
    <row r="1157" spans="1:21" ht="90">
      <c r="A1157" s="17">
        <v>20211195008</v>
      </c>
      <c r="B1157" s="19" t="str">
        <f>VLOOKUP(A1157,'ESTADOS ESTUDIANTES'!B:L,2,0)</f>
        <v>BORDA CASAS OSCAR FERNANDO</v>
      </c>
      <c r="C1157" s="19">
        <f>VLOOKUP(A1157,'ESTADOS ESTUDIANTES'!B:L,3,0)</f>
        <v>195</v>
      </c>
      <c r="D1157" s="66" t="str">
        <f>VLOOKUP(A1157,'ESTADOS ESTUDIANTES'!B:L,4,0)</f>
        <v>MAE. EN CIENCIAS DE LA INF. Y LAS COMUNICACIONES ENFASIS EN TELEINF.</v>
      </c>
      <c r="E1157" s="19" t="str">
        <f>VLOOKUP(A1157,'ESTADOS ESTUDIANTES'!B:L,5,0)</f>
        <v>I</v>
      </c>
      <c r="F1157" s="18" t="str">
        <f>VLOOKUP(E1157,Listas!B1:C1004,2,0)</f>
        <v>INACTIVO</v>
      </c>
      <c r="G1157" s="19" t="str">
        <f>VLOOKUP(A1157,'ESTADOS ESTUDIANTES'!B:L,7,0)</f>
        <v>NO REGISTRA</v>
      </c>
      <c r="H1157" s="19">
        <f>VLOOKUP(A1157,'ESTADOS ESTUDIANTES'!B:L,8,0)</f>
        <v>0</v>
      </c>
      <c r="I1157" s="70" t="str">
        <f>VLOOKUP(A1157,'ESTADOS ESTUDIANTES'!B:L,9,0)</f>
        <v>oscarfbordac@gmail.com</v>
      </c>
      <c r="J1157" s="19" t="str">
        <f>VLOOKUP(A1157,'ESTADOS ESTUDIANTES'!B:L,10,0)</f>
        <v>CC</v>
      </c>
      <c r="K1157" s="19">
        <f>VLOOKUP(A1157,'ESTADOS ESTUDIANTES'!B:L,11,0)</f>
        <v>1018483537</v>
      </c>
      <c r="L1157" s="21"/>
      <c r="M1157" s="20"/>
      <c r="N1157" s="22"/>
      <c r="O1157" s="15"/>
      <c r="P1157" s="15"/>
      <c r="Q1157" s="15"/>
      <c r="R1157" s="15"/>
      <c r="S1157" s="15"/>
      <c r="T1157" s="15"/>
      <c r="U1157" s="15"/>
    </row>
    <row r="1158" spans="1:21" ht="105">
      <c r="A1158" s="17">
        <v>20211395001</v>
      </c>
      <c r="B1158" s="19" t="str">
        <f>VLOOKUP(A1158,'ESTADOS ESTUDIANTES'!B:L,2,0)</f>
        <v>BORDA CASAS OSCAR FERNANDO</v>
      </c>
      <c r="C1158" s="19">
        <f>VLOOKUP(A1158,'ESTADOS ESTUDIANTES'!B:L,3,0)</f>
        <v>395</v>
      </c>
      <c r="D1158" s="66" t="str">
        <f>VLOOKUP(A1158,'ESTADOS ESTUDIANTES'!B:L,4,0)</f>
        <v>MAE. EN CIENCIAS DE LA INF. Y LAS COMUNICACIONES ENFASIS EN GEOMATICA</v>
      </c>
      <c r="E1158" s="19" t="str">
        <f>VLOOKUP(A1158,'ESTADOS ESTUDIANTES'!B:L,5,0)</f>
        <v>E</v>
      </c>
      <c r="F1158" s="18" t="str">
        <f>VLOOKUP(E1158,Listas!B1:C1004,2,0)</f>
        <v>EGRESADO</v>
      </c>
      <c r="G1158" s="19">
        <f>VLOOKUP(A1158,'ESTADOS ESTUDIANTES'!B:L,7,0)</f>
        <v>2</v>
      </c>
      <c r="H1158" s="19" t="str">
        <f>VLOOKUP(A1158,'ESTADOS ESTUDIANTES'!B:L,8,0)</f>
        <v>ofbordac@udistrital.edu.co</v>
      </c>
      <c r="I1158" s="70" t="str">
        <f>VLOOKUP(A1158,'ESTADOS ESTUDIANTES'!B:L,9,0)</f>
        <v>oscarfbordac@gmail.com</v>
      </c>
      <c r="J1158" s="19" t="str">
        <f>VLOOKUP(A1158,'ESTADOS ESTUDIANTES'!B:L,10,0)</f>
        <v>CC</v>
      </c>
      <c r="K1158" s="19">
        <f>VLOOKUP(A1158,'ESTADOS ESTUDIANTES'!B:L,11,0)</f>
        <v>1018483537</v>
      </c>
      <c r="L1158" s="19">
        <v>3122874421</v>
      </c>
      <c r="M1158" s="20">
        <v>35116</v>
      </c>
      <c r="N1158" s="22"/>
      <c r="O1158" s="15"/>
      <c r="P1158" s="15"/>
      <c r="Q1158" s="15"/>
      <c r="R1158" s="15"/>
      <c r="S1158" s="15"/>
      <c r="T1158" s="15"/>
      <c r="U1158" s="15"/>
    </row>
    <row r="1159" spans="1:21" ht="105">
      <c r="A1159" s="17">
        <v>20211395002</v>
      </c>
      <c r="B1159" s="19" t="str">
        <f>VLOOKUP(A1159,'ESTADOS ESTUDIANTES'!B:L,2,0)</f>
        <v>CORCHUELO CUERVO YULI ANDREA</v>
      </c>
      <c r="C1159" s="19">
        <f>VLOOKUP(A1159,'ESTADOS ESTUDIANTES'!B:L,3,0)</f>
        <v>395</v>
      </c>
      <c r="D1159" s="66" t="str">
        <f>VLOOKUP(A1159,'ESTADOS ESTUDIANTES'!B:L,4,0)</f>
        <v>MAE. EN CIENCIAS DE LA INF. Y LAS COMUNICACIONES ENFASIS EN GEOMATICA</v>
      </c>
      <c r="E1159" s="19" t="str">
        <f>VLOOKUP(A1159,'ESTADOS ESTUDIANTES'!B:L,5,0)</f>
        <v>I</v>
      </c>
      <c r="F1159" s="18" t="str">
        <f>VLOOKUP(E1159,Listas!B1:C1004,2,0)</f>
        <v>INACTIVO</v>
      </c>
      <c r="G1159" s="19" t="str">
        <f>VLOOKUP(A1159,'ESTADOS ESTUDIANTES'!B:L,7,0)</f>
        <v>NO REGISTRA</v>
      </c>
      <c r="H1159" s="19">
        <f>VLOOKUP(A1159,'ESTADOS ESTUDIANTES'!B:L,8,0)</f>
        <v>0</v>
      </c>
      <c r="I1159" s="70" t="str">
        <f>VLOOKUP(A1159,'ESTADOS ESTUDIANTES'!B:L,9,0)</f>
        <v>lacorchuelo@gmail.com</v>
      </c>
      <c r="J1159" s="19" t="str">
        <f>VLOOKUP(A1159,'ESTADOS ESTUDIANTES'!B:L,10,0)</f>
        <v>CC</v>
      </c>
      <c r="K1159" s="19">
        <f>VLOOKUP(A1159,'ESTADOS ESTUDIANTES'!B:L,11,0)</f>
        <v>1014194801</v>
      </c>
      <c r="L1159" s="21"/>
      <c r="M1159" s="20"/>
      <c r="N1159" s="22"/>
      <c r="O1159" s="15"/>
      <c r="P1159" s="15"/>
      <c r="Q1159" s="15"/>
      <c r="R1159" s="15"/>
      <c r="S1159" s="15"/>
      <c r="T1159" s="15"/>
      <c r="U1159" s="15"/>
    </row>
    <row r="1160" spans="1:21" ht="105">
      <c r="A1160" s="17">
        <v>20211395003</v>
      </c>
      <c r="B1160" s="19" t="str">
        <f>VLOOKUP(A1160,'ESTADOS ESTUDIANTES'!B:L,2,0)</f>
        <v>MEJIA CONTENTO CESAR ANDRES</v>
      </c>
      <c r="C1160" s="19">
        <f>VLOOKUP(A1160,'ESTADOS ESTUDIANTES'!B:L,3,0)</f>
        <v>395</v>
      </c>
      <c r="D1160" s="66" t="str">
        <f>VLOOKUP(A1160,'ESTADOS ESTUDIANTES'!B:L,4,0)</f>
        <v>MAE. EN CIENCIAS DE LA INF. Y LAS COMUNICACIONES ENFASIS EN GEOMATICA</v>
      </c>
      <c r="E1160" s="19" t="str">
        <f>VLOOKUP(A1160,'ESTADOS ESTUDIANTES'!B:L,5,0)</f>
        <v>X</v>
      </c>
      <c r="F1160" s="18" t="str">
        <f>VLOOKUP(E1160,Listas!B1:C1004,2,0)</f>
        <v>EXCLUIDO</v>
      </c>
      <c r="G1160" s="19">
        <f>VLOOKUP(A1160,'ESTADOS ESTUDIANTES'!B:L,7,0)</f>
        <v>3</v>
      </c>
      <c r="H1160" s="19" t="str">
        <f>VLOOKUP(A1160,'ESTADOS ESTUDIANTES'!B:L,8,0)</f>
        <v>ceamejiac@correo.udistrital.edu.co</v>
      </c>
      <c r="I1160" s="70" t="str">
        <f>VLOOKUP(A1160,'ESTADOS ESTUDIANTES'!B:L,9,0)</f>
        <v>ccma_93@hotmail.com</v>
      </c>
      <c r="J1160" s="19" t="str">
        <f>VLOOKUP(A1160,'ESTADOS ESTUDIANTES'!B:L,10,0)</f>
        <v>CC</v>
      </c>
      <c r="K1160" s="19">
        <f>VLOOKUP(A1160,'ESTADOS ESTUDIANTES'!B:L,11,0)</f>
        <v>1031147235</v>
      </c>
      <c r="L1160" s="19">
        <v>3112900559</v>
      </c>
      <c r="M1160" s="20">
        <v>34158</v>
      </c>
      <c r="N1160" s="22"/>
      <c r="O1160" s="15"/>
      <c r="P1160" s="15"/>
      <c r="Q1160" s="15"/>
      <c r="R1160" s="15"/>
      <c r="S1160" s="15"/>
      <c r="T1160" s="15"/>
      <c r="U1160" s="15"/>
    </row>
    <row r="1161" spans="1:21" ht="105">
      <c r="A1161" s="508">
        <v>20211395004</v>
      </c>
      <c r="B1161" s="19" t="str">
        <f>VLOOKUP(A1161,'ESTADOS ESTUDIANTES'!B:L,2,0)</f>
        <v>MONTANO MORENO ANDRES OROSMAN</v>
      </c>
      <c r="C1161" s="19">
        <f>VLOOKUP(A1161,'ESTADOS ESTUDIANTES'!B:L,3,0)</f>
        <v>395</v>
      </c>
      <c r="D1161" s="66" t="str">
        <f>VLOOKUP(A1161,'ESTADOS ESTUDIANTES'!B:L,4,0)</f>
        <v>MAE. EN CIENCIAS DE LA INF. Y LAS COMUNICACIONES ENFASIS EN GEOMATICA</v>
      </c>
      <c r="E1161" s="19" t="str">
        <f>VLOOKUP(A1161,'ESTADOS ESTUDIANTES'!B:L,5,0)</f>
        <v>E</v>
      </c>
      <c r="F1161" s="18" t="str">
        <f>VLOOKUP(E1161,Listas!B1:C1004,2,0)</f>
        <v>EGRESADO</v>
      </c>
      <c r="G1161" s="19">
        <f>VLOOKUP(A1161,'ESTADOS ESTUDIANTES'!B:L,7,0)</f>
        <v>2</v>
      </c>
      <c r="H1161" s="19" t="str">
        <f>VLOOKUP(A1161,'ESTADOS ESTUDIANTES'!B:L,8,0)</f>
        <v>aomontanom@udistrital.edu.co</v>
      </c>
      <c r="I1161" s="70" t="str">
        <f>VLOOKUP(A1161,'ESTADOS ESTUDIANTES'!B:L,9,0)</f>
        <v>andresorosman.65@gmail.com</v>
      </c>
      <c r="J1161" s="19" t="str">
        <f>VLOOKUP(A1161,'ESTADOS ESTUDIANTES'!B:L,10,0)</f>
        <v>CC</v>
      </c>
      <c r="K1161" s="19">
        <f>VLOOKUP(A1161,'ESTADOS ESTUDIANTES'!B:L,11,0)</f>
        <v>1018466189</v>
      </c>
      <c r="L1161" s="19">
        <v>3209774080</v>
      </c>
      <c r="M1161" s="20">
        <v>34417</v>
      </c>
      <c r="N1161" s="22"/>
      <c r="O1161" s="15"/>
      <c r="P1161" s="15"/>
      <c r="Q1161" s="15"/>
      <c r="R1161" s="15"/>
      <c r="S1161" s="15"/>
      <c r="T1161" s="15"/>
      <c r="U1161" s="15"/>
    </row>
    <row r="1162" spans="1:21" ht="105">
      <c r="A1162" s="17">
        <v>20211395005</v>
      </c>
      <c r="B1162" s="19" t="str">
        <f>VLOOKUP(A1162,'ESTADOS ESTUDIANTES'!B:L,2,0)</f>
        <v>RIVERA SANCHEZ HAYLERMAN FERNANDO</v>
      </c>
      <c r="C1162" s="19">
        <f>VLOOKUP(A1162,'ESTADOS ESTUDIANTES'!B:L,3,0)</f>
        <v>395</v>
      </c>
      <c r="D1162" s="66" t="str">
        <f>VLOOKUP(A1162,'ESTADOS ESTUDIANTES'!B:L,4,0)</f>
        <v>MAE. EN CIENCIAS DE LA INF. Y LAS COMUNICACIONES ENFASIS EN GEOMATICA</v>
      </c>
      <c r="E1162" s="19" t="str">
        <f>VLOOKUP(A1162,'ESTADOS ESTUDIANTES'!B:L,5,0)</f>
        <v>I</v>
      </c>
      <c r="F1162" s="18" t="str">
        <f>VLOOKUP(E1162,Listas!B1:C1004,2,0)</f>
        <v>INACTIVO</v>
      </c>
      <c r="G1162" s="19" t="str">
        <f>VLOOKUP(A1162,'ESTADOS ESTUDIANTES'!B:L,7,0)</f>
        <v>NO REGISTRA</v>
      </c>
      <c r="H1162" s="19" t="str">
        <f>VLOOKUP(A1162,'ESTADOS ESTUDIANTES'!B:L,8,0)</f>
        <v>hfriveras@udistrital.edu.co</v>
      </c>
      <c r="I1162" s="70" t="str">
        <f>VLOOKUP(A1162,'ESTADOS ESTUDIANTES'!B:L,9,0)</f>
        <v>hfriveraz@gmail.com</v>
      </c>
      <c r="J1162" s="19" t="str">
        <f>VLOOKUP(A1162,'ESTADOS ESTUDIANTES'!B:L,10,0)</f>
        <v>CC</v>
      </c>
      <c r="K1162" s="19">
        <f>VLOOKUP(A1162,'ESTADOS ESTUDIANTES'!B:L,11,0)</f>
        <v>1024530028</v>
      </c>
      <c r="L1162" s="19">
        <v>3168642574</v>
      </c>
      <c r="M1162" s="20">
        <v>33764</v>
      </c>
      <c r="N1162" s="22"/>
      <c r="O1162" s="15"/>
      <c r="P1162" s="15"/>
      <c r="Q1162" s="15"/>
      <c r="R1162" s="15"/>
      <c r="S1162" s="15"/>
      <c r="T1162" s="15"/>
      <c r="U1162" s="15"/>
    </row>
    <row r="1163" spans="1:21" ht="105">
      <c r="A1163" s="17">
        <v>20211395006</v>
      </c>
      <c r="B1163" s="19" t="str">
        <f>VLOOKUP(A1163,'ESTADOS ESTUDIANTES'!B:L,2,0)</f>
        <v>ROMERO BELTRAN JEISSON ANDRES</v>
      </c>
      <c r="C1163" s="19">
        <f>VLOOKUP(A1163,'ESTADOS ESTUDIANTES'!B:L,3,0)</f>
        <v>395</v>
      </c>
      <c r="D1163" s="66" t="str">
        <f>VLOOKUP(A1163,'ESTADOS ESTUDIANTES'!B:L,4,0)</f>
        <v>MAE. EN CIENCIAS DE LA INF. Y LAS COMUNICACIONES ENFASIS EN GEOMATICA</v>
      </c>
      <c r="E1163" s="19" t="str">
        <f>VLOOKUP(A1163,'ESTADOS ESTUDIANTES'!B:L,5,0)</f>
        <v>E</v>
      </c>
      <c r="F1163" s="18" t="str">
        <f>VLOOKUP(E1163,Listas!B1:C1004,2,0)</f>
        <v>EGRESADO</v>
      </c>
      <c r="G1163" s="19">
        <f>VLOOKUP(A1163,'ESTADOS ESTUDIANTES'!B:L,7,0)</f>
        <v>3</v>
      </c>
      <c r="H1163" s="19" t="str">
        <f>VLOOKUP(A1163,'ESTADOS ESTUDIANTES'!B:L,8,0)</f>
        <v>jearomerob@udistrital.edu.co</v>
      </c>
      <c r="I1163" s="70" t="str">
        <f>VLOOKUP(A1163,'ESTADOS ESTUDIANTES'!B:L,9,0)</f>
        <v>andresromerobeltran@gmail.com</v>
      </c>
      <c r="J1163" s="19" t="str">
        <f>VLOOKUP(A1163,'ESTADOS ESTUDIANTES'!B:L,10,0)</f>
        <v>CC</v>
      </c>
      <c r="K1163" s="19">
        <f>VLOOKUP(A1163,'ESTADOS ESTUDIANTES'!B:L,11,0)</f>
        <v>1032433435</v>
      </c>
      <c r="L1163" s="19">
        <v>3006218013</v>
      </c>
      <c r="M1163" s="20">
        <v>32826</v>
      </c>
      <c r="N1163" s="22"/>
      <c r="O1163" s="15"/>
      <c r="P1163" s="15"/>
      <c r="Q1163" s="15"/>
      <c r="R1163" s="15"/>
      <c r="S1163" s="15"/>
      <c r="T1163" s="15"/>
      <c r="U1163" s="15"/>
    </row>
    <row r="1164" spans="1:21" ht="90">
      <c r="A1164" s="17">
        <v>20211395007</v>
      </c>
      <c r="B1164" s="19" t="str">
        <f>VLOOKUP(A1164,'ESTADOS ESTUDIANTES'!B:L,2,0)</f>
        <v>SERNA GALEANO IVAN ANDRES</v>
      </c>
      <c r="C1164" s="19">
        <f>VLOOKUP(A1164,'ESTADOS ESTUDIANTES'!B:L,3,0)</f>
        <v>495</v>
      </c>
      <c r="D1164" s="66" t="str">
        <f>VLOOKUP(A1164,'ESTADOS ESTUDIANTES'!B:L,4,0)</f>
        <v>MAE. EN CIENCIAS DE LA INF. Y LAS COMUNICACIONES ENFASIS EN ING. SOFT</v>
      </c>
      <c r="E1164" s="19" t="str">
        <f>VLOOKUP(A1164,'ESTADOS ESTUDIANTES'!B:L,5,0)</f>
        <v>E</v>
      </c>
      <c r="F1164" s="18" t="str">
        <f>VLOOKUP(E1164,Listas!B1:C1004,2,0)</f>
        <v>EGRESADO</v>
      </c>
      <c r="G1164" s="19">
        <f>VLOOKUP(A1164,'ESTADOS ESTUDIANTES'!B:L,7,0)</f>
        <v>1</v>
      </c>
      <c r="H1164" s="19" t="str">
        <f>VLOOKUP(A1164,'ESTADOS ESTUDIANTES'!B:L,8,0)</f>
        <v>iasernag@udistrital.edu.co</v>
      </c>
      <c r="I1164" s="70" t="str">
        <f>VLOOKUP(A1164,'ESTADOS ESTUDIANTES'!B:L,9,0)</f>
        <v>iasernag@correo.udistrital.edu.co</v>
      </c>
      <c r="J1164" s="19" t="str">
        <f>VLOOKUP(A1164,'ESTADOS ESTUDIANTES'!B:L,10,0)</f>
        <v>CC</v>
      </c>
      <c r="K1164" s="19">
        <f>VLOOKUP(A1164,'ESTADOS ESTUDIANTES'!B:L,11,0)</f>
        <v>1019046050</v>
      </c>
      <c r="L1164" s="19">
        <v>3166141413</v>
      </c>
      <c r="M1164" s="20">
        <v>32930</v>
      </c>
      <c r="N1164" s="22"/>
      <c r="O1164" s="15"/>
      <c r="P1164" s="15"/>
      <c r="Q1164" s="15"/>
      <c r="R1164" s="15"/>
      <c r="S1164" s="15"/>
      <c r="T1164" s="15"/>
      <c r="U1164" s="15"/>
    </row>
    <row r="1165" spans="1:21" ht="105">
      <c r="A1165" s="17">
        <v>20211395008</v>
      </c>
      <c r="B1165" s="19" t="str">
        <f>VLOOKUP(A1165,'ESTADOS ESTUDIANTES'!B:L,2,0)</f>
        <v>VALBUENA GAONA MARTHA PATRICIA</v>
      </c>
      <c r="C1165" s="19">
        <f>VLOOKUP(A1165,'ESTADOS ESTUDIANTES'!B:L,3,0)</f>
        <v>395</v>
      </c>
      <c r="D1165" s="66" t="str">
        <f>VLOOKUP(A1165,'ESTADOS ESTUDIANTES'!B:L,4,0)</f>
        <v>MAE. EN CIENCIAS DE LA INF. Y LAS COMUNICACIONES ENFASIS EN GEOMATICA</v>
      </c>
      <c r="E1165" s="19" t="str">
        <f>VLOOKUP(A1165,'ESTADOS ESTUDIANTES'!B:L,5,0)</f>
        <v>E</v>
      </c>
      <c r="F1165" s="18" t="str">
        <f>VLOOKUP(E1165,Listas!B1:C1004,2,0)</f>
        <v>EGRESADO</v>
      </c>
      <c r="G1165" s="19">
        <f>VLOOKUP(A1165,'ESTADOS ESTUDIANTES'!B:L,7,0)</f>
        <v>3</v>
      </c>
      <c r="H1165" s="19" t="str">
        <f>VLOOKUP(A1165,'ESTADOS ESTUDIANTES'!B:L,8,0)</f>
        <v>mpvalbuenag@udistrital.edu.co</v>
      </c>
      <c r="I1165" s="70" t="str">
        <f>VLOOKUP(A1165,'ESTADOS ESTUDIANTES'!B:L,9,0)</f>
        <v>mpvalbuenag@gmail.com</v>
      </c>
      <c r="J1165" s="19" t="str">
        <f>VLOOKUP(A1165,'ESTADOS ESTUDIANTES'!B:L,10,0)</f>
        <v>CC</v>
      </c>
      <c r="K1165" s="19">
        <f>VLOOKUP(A1165,'ESTADOS ESTUDIANTES'!B:L,11,0)</f>
        <v>1013679772</v>
      </c>
      <c r="L1165" s="19">
        <v>3123538553</v>
      </c>
      <c r="M1165" s="20">
        <v>35845</v>
      </c>
      <c r="N1165" s="22"/>
      <c r="O1165" s="15"/>
      <c r="P1165" s="15"/>
      <c r="Q1165" s="15"/>
      <c r="R1165" s="15"/>
      <c r="S1165" s="15"/>
      <c r="T1165" s="15"/>
      <c r="U1165" s="15"/>
    </row>
    <row r="1166" spans="1:21" ht="90">
      <c r="A1166" s="17">
        <v>20211495001</v>
      </c>
      <c r="B1166" s="19" t="str">
        <f>VLOOKUP(A1166,'ESTADOS ESTUDIANTES'!B:L,2,0)</f>
        <v>CASTANEDA ALVARADO JUAN CAMILO</v>
      </c>
      <c r="C1166" s="19">
        <f>VLOOKUP(A1166,'ESTADOS ESTUDIANTES'!B:L,3,0)</f>
        <v>495</v>
      </c>
      <c r="D1166" s="66" t="str">
        <f>VLOOKUP(A1166,'ESTADOS ESTUDIANTES'!B:L,4,0)</f>
        <v>MAE. EN CIENCIAS DE LA INF. Y LAS COMUNICACIONES ENFASIS EN ING. SOFT</v>
      </c>
      <c r="E1166" s="19" t="str">
        <f>VLOOKUP(A1166,'ESTADOS ESTUDIANTES'!B:L,5,0)</f>
        <v>A</v>
      </c>
      <c r="F1166" s="18" t="str">
        <f>VLOOKUP(E1166,Listas!B1:C1004,2,0)</f>
        <v>ACTIVO</v>
      </c>
      <c r="G1166" s="19">
        <f>VLOOKUP(A1166,'ESTADOS ESTUDIANTES'!B:L,7,0)</f>
        <v>4</v>
      </c>
      <c r="H1166" s="19" t="str">
        <f>VLOOKUP(A1166,'ESTADOS ESTUDIANTES'!B:L,8,0)</f>
        <v>juccastanedaa@udistrital.edu.co</v>
      </c>
      <c r="I1166" s="70" t="str">
        <f>VLOOKUP(A1166,'ESTADOS ESTUDIANTES'!B:L,9,0)</f>
        <v>JUANCAMILO.CASTANEDAA@GMAIL.COM</v>
      </c>
      <c r="J1166" s="19" t="str">
        <f>VLOOKUP(A1166,'ESTADOS ESTUDIANTES'!B:L,10,0)</f>
        <v>CC</v>
      </c>
      <c r="K1166" s="19">
        <f>VLOOKUP(A1166,'ESTADOS ESTUDIANTES'!B:L,11,0)</f>
        <v>1015407762</v>
      </c>
      <c r="L1166" s="19">
        <v>3115763996</v>
      </c>
      <c r="M1166" s="20">
        <v>32394</v>
      </c>
      <c r="N1166" s="22"/>
      <c r="O1166" s="15"/>
      <c r="P1166" s="15"/>
      <c r="Q1166" s="15"/>
      <c r="R1166" s="15"/>
      <c r="S1166" s="15"/>
      <c r="T1166" s="15"/>
      <c r="U1166" s="15"/>
    </row>
    <row r="1167" spans="1:21" ht="90">
      <c r="A1167" s="17">
        <v>20211495002</v>
      </c>
      <c r="B1167" s="19" t="str">
        <f>VLOOKUP(A1167,'ESTADOS ESTUDIANTES'!B:L,2,0)</f>
        <v>CONTRERAS LEGUIZAMON WILMER JAIR</v>
      </c>
      <c r="C1167" s="19">
        <f>VLOOKUP(A1167,'ESTADOS ESTUDIANTES'!B:L,3,0)</f>
        <v>495</v>
      </c>
      <c r="D1167" s="66" t="str">
        <f>VLOOKUP(A1167,'ESTADOS ESTUDIANTES'!B:L,4,0)</f>
        <v>MAE. EN CIENCIAS DE LA INF. Y LAS COMUNICACIONES ENFASIS EN ING. SOFT</v>
      </c>
      <c r="E1167" s="19" t="str">
        <f>VLOOKUP(A1167,'ESTADOS ESTUDIANTES'!B:L,5,0)</f>
        <v>X</v>
      </c>
      <c r="F1167" s="18" t="str">
        <f>VLOOKUP(E1167,Listas!B1:C1004,2,0)</f>
        <v>EXCLUIDO</v>
      </c>
      <c r="G1167" s="19">
        <f>VLOOKUP(A1167,'ESTADOS ESTUDIANTES'!B:L,7,0)</f>
        <v>3</v>
      </c>
      <c r="H1167" s="19" t="str">
        <f>VLOOKUP(A1167,'ESTADOS ESTUDIANTES'!B:L,8,0)</f>
        <v>wjcontrerasl@udistrital.edu.co</v>
      </c>
      <c r="I1167" s="70" t="str">
        <f>VLOOKUP(A1167,'ESTADOS ESTUDIANTES'!B:L,9,0)</f>
        <v>WJCONTRERASL@YAHOO.ES</v>
      </c>
      <c r="J1167" s="19" t="str">
        <f>VLOOKUP(A1167,'ESTADOS ESTUDIANTES'!B:L,10,0)</f>
        <v>CC</v>
      </c>
      <c r="K1167" s="19">
        <f>VLOOKUP(A1167,'ESTADOS ESTUDIANTES'!B:L,11,0)</f>
        <v>1030558690</v>
      </c>
      <c r="L1167" s="19">
        <v>3132209467</v>
      </c>
      <c r="M1167" s="20">
        <v>32679</v>
      </c>
      <c r="N1167" s="22"/>
      <c r="O1167" s="15"/>
      <c r="P1167" s="15"/>
      <c r="Q1167" s="15"/>
      <c r="R1167" s="15"/>
      <c r="S1167" s="15"/>
      <c r="T1167" s="15"/>
      <c r="U1167" s="15"/>
    </row>
    <row r="1168" spans="1:21" ht="90">
      <c r="A1168" s="17">
        <v>20211495004</v>
      </c>
      <c r="B1168" s="19" t="str">
        <f>VLOOKUP(A1168,'ESTADOS ESTUDIANTES'!B:L,2,0)</f>
        <v>MILLAN GOMEZ JORGE ARMANDO</v>
      </c>
      <c r="C1168" s="19">
        <f>VLOOKUP(A1168,'ESTADOS ESTUDIANTES'!B:L,3,0)</f>
        <v>495</v>
      </c>
      <c r="D1168" s="66" t="str">
        <f>VLOOKUP(A1168,'ESTADOS ESTUDIANTES'!B:L,4,0)</f>
        <v>MAE. EN CIENCIAS DE LA INF. Y LAS COMUNICACIONES ENFASIS EN ING. SOFT</v>
      </c>
      <c r="E1168" s="19" t="str">
        <f>VLOOKUP(A1168,'ESTADOS ESTUDIANTES'!B:L,5,0)</f>
        <v>E</v>
      </c>
      <c r="F1168" s="18" t="str">
        <f>VLOOKUP(E1168,Listas!B1:C1004,2,0)</f>
        <v>EGRESADO</v>
      </c>
      <c r="G1168" s="19">
        <f>VLOOKUP(A1168,'ESTADOS ESTUDIANTES'!B:L,7,0)</f>
        <v>2</v>
      </c>
      <c r="H1168" s="19" t="str">
        <f>VLOOKUP(A1168,'ESTADOS ESTUDIANTES'!B:L,8,0)</f>
        <v>jamillang@udistrital.edu.co</v>
      </c>
      <c r="I1168" s="70" t="str">
        <f>VLOOKUP(A1168,'ESTADOS ESTUDIANTES'!B:L,9,0)</f>
        <v>jamillan94@gmail.com</v>
      </c>
      <c r="J1168" s="19" t="str">
        <f>VLOOKUP(A1168,'ESTADOS ESTUDIANTES'!B:L,10,0)</f>
        <v>CC</v>
      </c>
      <c r="K1168" s="19">
        <f>VLOOKUP(A1168,'ESTADOS ESTUDIANTES'!B:L,11,0)</f>
        <v>1030649042</v>
      </c>
      <c r="L1168" s="19">
        <v>3195228439</v>
      </c>
      <c r="M1168" s="20">
        <v>34672</v>
      </c>
      <c r="N1168" s="22"/>
      <c r="O1168" s="15"/>
      <c r="P1168" s="15"/>
      <c r="Q1168" s="15"/>
      <c r="R1168" s="15"/>
      <c r="S1168" s="15"/>
      <c r="T1168" s="15"/>
      <c r="U1168" s="15"/>
    </row>
    <row r="1169" spans="1:21" ht="90">
      <c r="A1169" s="17">
        <v>20211495005</v>
      </c>
      <c r="B1169" s="19" t="str">
        <f>VLOOKUP(A1169,'ESTADOS ESTUDIANTES'!B:L,2,0)</f>
        <v>MONTOYA ALVAREZ LUIS ORLANDO</v>
      </c>
      <c r="C1169" s="19">
        <f>VLOOKUP(A1169,'ESTADOS ESTUDIANTES'!B:L,3,0)</f>
        <v>495</v>
      </c>
      <c r="D1169" s="66" t="str">
        <f>VLOOKUP(A1169,'ESTADOS ESTUDIANTES'!B:L,4,0)</f>
        <v>MAE. EN CIENCIAS DE LA INF. Y LAS COMUNICACIONES ENFASIS EN ING. SOFT</v>
      </c>
      <c r="E1169" s="19" t="str">
        <f>VLOOKUP(A1169,'ESTADOS ESTUDIANTES'!B:L,5,0)</f>
        <v>X</v>
      </c>
      <c r="F1169" s="18" t="str">
        <f>VLOOKUP(E1169,Listas!B1:C1004,2,0)</f>
        <v>EXCLUIDO</v>
      </c>
      <c r="G1169" s="19">
        <f>VLOOKUP(A1169,'ESTADOS ESTUDIANTES'!B:L,7,0)</f>
        <v>4</v>
      </c>
      <c r="H1169" s="19" t="str">
        <f>VLOOKUP(A1169,'ESTADOS ESTUDIANTES'!B:L,8,0)</f>
        <v>lomontoyaa@udistrital.edu.co</v>
      </c>
      <c r="I1169" s="70" t="str">
        <f>VLOOKUP(A1169,'ESTADOS ESTUDIANTES'!B:L,9,0)</f>
        <v>luismontoya16@gmail.com</v>
      </c>
      <c r="J1169" s="19" t="str">
        <f>VLOOKUP(A1169,'ESTADOS ESTUDIANTES'!B:L,10,0)</f>
        <v>CC</v>
      </c>
      <c r="K1169" s="19">
        <f>VLOOKUP(A1169,'ESTADOS ESTUDIANTES'!B:L,11,0)</f>
        <v>1081796843</v>
      </c>
      <c r="L1169" s="19">
        <v>3183771369</v>
      </c>
      <c r="M1169" s="20">
        <v>32445</v>
      </c>
      <c r="N1169" s="22"/>
      <c r="O1169" s="15"/>
      <c r="P1169" s="15"/>
      <c r="Q1169" s="15"/>
      <c r="R1169" s="15"/>
      <c r="S1169" s="15"/>
      <c r="T1169" s="15"/>
      <c r="U1169" s="15"/>
    </row>
    <row r="1170" spans="1:21" ht="90">
      <c r="A1170" s="17">
        <v>20211495006</v>
      </c>
      <c r="B1170" s="19" t="str">
        <f>VLOOKUP(A1170,'ESTADOS ESTUDIANTES'!B:L,2,0)</f>
        <v>MORENO SANDOVAL DANIEL STEVEN</v>
      </c>
      <c r="C1170" s="19">
        <f>VLOOKUP(A1170,'ESTADOS ESTUDIANTES'!B:L,3,0)</f>
        <v>495</v>
      </c>
      <c r="D1170" s="66" t="str">
        <f>VLOOKUP(A1170,'ESTADOS ESTUDIANTES'!B:L,4,0)</f>
        <v>MAE. EN CIENCIAS DE LA INF. Y LAS COMUNICACIONES ENFASIS EN ING. SOFT</v>
      </c>
      <c r="E1170" s="19" t="str">
        <f>VLOOKUP(A1170,'ESTADOS ESTUDIANTES'!B:L,5,0)</f>
        <v>X</v>
      </c>
      <c r="F1170" s="18" t="str">
        <f>VLOOKUP(E1170,Listas!B1:C1004,2,0)</f>
        <v>EXCLUIDO</v>
      </c>
      <c r="G1170" s="19">
        <f>VLOOKUP(A1170,'ESTADOS ESTUDIANTES'!B:L,7,0)</f>
        <v>3</v>
      </c>
      <c r="H1170" s="19" t="str">
        <f>VLOOKUP(A1170,'ESTADOS ESTUDIANTES'!B:L,8,0)</f>
        <v>dsmorenos@correo.udistrital.edu.co</v>
      </c>
      <c r="I1170" s="70" t="str">
        <f>VLOOKUP(A1170,'ESTADOS ESTUDIANTES'!B:L,9,0)</f>
        <v>06danielsms@gmail.com</v>
      </c>
      <c r="J1170" s="19" t="str">
        <f>VLOOKUP(A1170,'ESTADOS ESTUDIANTES'!B:L,10,0)</f>
        <v>CC</v>
      </c>
      <c r="K1170" s="19">
        <f>VLOOKUP(A1170,'ESTADOS ESTUDIANTES'!B:L,11,0)</f>
        <v>1069099872</v>
      </c>
      <c r="L1170" s="19">
        <v>3176717708</v>
      </c>
      <c r="M1170" s="20">
        <v>34104</v>
      </c>
      <c r="N1170" s="22"/>
      <c r="O1170" s="15"/>
      <c r="P1170" s="15"/>
      <c r="Q1170" s="15"/>
      <c r="R1170" s="15"/>
      <c r="S1170" s="15"/>
      <c r="T1170" s="15"/>
      <c r="U1170" s="15"/>
    </row>
    <row r="1171" spans="1:21" ht="90">
      <c r="A1171" s="17">
        <v>20211495007</v>
      </c>
      <c r="B1171" s="19" t="str">
        <f>VLOOKUP(A1171,'ESTADOS ESTUDIANTES'!B:L,2,0)</f>
        <v>PEDRAZA ROMERO OMAR</v>
      </c>
      <c r="C1171" s="19">
        <f>VLOOKUP(A1171,'ESTADOS ESTUDIANTES'!B:L,3,0)</f>
        <v>495</v>
      </c>
      <c r="D1171" s="67" t="str">
        <f>VLOOKUP(A1171,'ESTADOS ESTUDIANTES'!B:L,4,0)</f>
        <v>MAE. EN CIENCIAS DE LA INF. Y LAS COMUNICACIONES ENFASIS EN ING. SOFT</v>
      </c>
      <c r="E1171" s="19" t="str">
        <f>VLOOKUP(A1171,'ESTADOS ESTUDIANTES'!B:L,5,0)</f>
        <v>X</v>
      </c>
      <c r="F1171" s="18" t="str">
        <f>VLOOKUP(E1171,Listas!B1:C1004,2,0)</f>
        <v>EXCLUIDO</v>
      </c>
      <c r="G1171" s="19">
        <f>VLOOKUP(A1171,'ESTADOS ESTUDIANTES'!B:L,7,0)</f>
        <v>2</v>
      </c>
      <c r="H1171" s="19" t="str">
        <f>VLOOKUP(A1171,'ESTADOS ESTUDIANTES'!B:L,8,0)</f>
        <v>opedrazar@udistrital.edu.co</v>
      </c>
      <c r="I1171" s="70" t="str">
        <f>VLOOKUP(A1171,'ESTADOS ESTUDIANTES'!B:L,9,0)</f>
        <v>pedrazaomar@gmail.com</v>
      </c>
      <c r="J1171" s="19" t="str">
        <f>VLOOKUP(A1171,'ESTADOS ESTUDIANTES'!B:L,10,0)</f>
        <v>CC</v>
      </c>
      <c r="K1171" s="19">
        <f>VLOOKUP(A1171,'ESTADOS ESTUDIANTES'!B:L,11,0)</f>
        <v>80066827</v>
      </c>
      <c r="L1171" s="19">
        <v>3187127932</v>
      </c>
      <c r="M1171" s="20">
        <v>29020</v>
      </c>
      <c r="N1171" s="22"/>
      <c r="O1171" s="15"/>
      <c r="P1171" s="15"/>
      <c r="Q1171" s="15"/>
      <c r="R1171" s="15"/>
      <c r="S1171" s="15"/>
      <c r="T1171" s="15"/>
      <c r="U1171" s="15"/>
    </row>
    <row r="1172" spans="1:21" ht="90">
      <c r="A1172" s="17">
        <v>20211495008</v>
      </c>
      <c r="B1172" s="19" t="str">
        <f>VLOOKUP(A1172,'ESTADOS ESTUDIANTES'!B:L,2,0)</f>
        <v>PINZON GOMEZ GUILLERMO</v>
      </c>
      <c r="C1172" s="19">
        <f>VLOOKUP(A1172,'ESTADOS ESTUDIANTES'!B:L,3,0)</f>
        <v>495</v>
      </c>
      <c r="D1172" s="66" t="str">
        <f>VLOOKUP(A1172,'ESTADOS ESTUDIANTES'!B:L,4,0)</f>
        <v>MAE. EN CIENCIAS DE LA INF. Y LAS COMUNICACIONES ENFASIS EN ING. SOFT</v>
      </c>
      <c r="E1172" s="19" t="str">
        <f>VLOOKUP(A1172,'ESTADOS ESTUDIANTES'!B:L,5,0)</f>
        <v>A</v>
      </c>
      <c r="F1172" s="18" t="str">
        <f>VLOOKUP(E1172,Listas!B1:C1004,2,0)</f>
        <v>ACTIVO</v>
      </c>
      <c r="G1172" s="19">
        <f>VLOOKUP(A1172,'ESTADOS ESTUDIANTES'!B:L,7,0)</f>
        <v>3</v>
      </c>
      <c r="H1172" s="19" t="str">
        <f>VLOOKUP(A1172,'ESTADOS ESTUDIANTES'!B:L,8,0)</f>
        <v>gpinzong@udistrital.edu.co</v>
      </c>
      <c r="I1172" s="70" t="str">
        <f>VLOOKUP(A1172,'ESTADOS ESTUDIANTES'!B:L,9,0)</f>
        <v>guillepin@gmail.com</v>
      </c>
      <c r="J1172" s="19" t="str">
        <f>VLOOKUP(A1172,'ESTADOS ESTUDIANTES'!B:L,10,0)</f>
        <v>CC</v>
      </c>
      <c r="K1172" s="19">
        <f>VLOOKUP(A1172,'ESTADOS ESTUDIANTES'!B:L,11,0)</f>
        <v>80230051</v>
      </c>
      <c r="L1172" s="19">
        <v>3123590010</v>
      </c>
      <c r="M1172" s="20">
        <v>29390</v>
      </c>
      <c r="N1172" s="22"/>
      <c r="O1172" s="15"/>
      <c r="P1172" s="15"/>
      <c r="Q1172" s="15"/>
      <c r="R1172" s="15"/>
      <c r="S1172" s="15"/>
      <c r="T1172" s="15"/>
      <c r="U1172" s="15"/>
    </row>
    <row r="1173" spans="1:21" ht="90">
      <c r="A1173" s="17">
        <v>20211495009</v>
      </c>
      <c r="B1173" s="19" t="str">
        <f>VLOOKUP(A1173,'ESTADOS ESTUDIANTES'!B:L,2,0)</f>
        <v>RINCON ALBARRACIN JOSE GREGORIO</v>
      </c>
      <c r="C1173" s="19">
        <f>VLOOKUP(A1173,'ESTADOS ESTUDIANTES'!B:L,3,0)</f>
        <v>495</v>
      </c>
      <c r="D1173" s="66" t="str">
        <f>VLOOKUP(A1173,'ESTADOS ESTUDIANTES'!B:L,4,0)</f>
        <v>MAE. EN CIENCIAS DE LA INF. Y LAS COMUNICACIONES ENFASIS EN ING. SOFT</v>
      </c>
      <c r="E1173" s="19" t="str">
        <f>VLOOKUP(A1173,'ESTADOS ESTUDIANTES'!B:L,5,0)</f>
        <v>X</v>
      </c>
      <c r="F1173" s="18" t="str">
        <f>VLOOKUP(E1173,Listas!B1:C1004,2,0)</f>
        <v>EXCLUIDO</v>
      </c>
      <c r="G1173" s="19" t="str">
        <f>VLOOKUP(A1173,'ESTADOS ESTUDIANTES'!B:L,7,0)</f>
        <v>NO REGISTRA</v>
      </c>
      <c r="H1173" s="19" t="str">
        <f>VLOOKUP(A1173,'ESTADOS ESTUDIANTES'!B:L,8,0)</f>
        <v>jgrincona@correo.udistrital.edu.co</v>
      </c>
      <c r="I1173" s="70" t="str">
        <f>VLOOKUP(A1173,'ESTADOS ESTUDIANTES'!B:L,9,0)</f>
        <v>jgregoriorincon@gmail.com</v>
      </c>
      <c r="J1173" s="19" t="str">
        <f>VLOOKUP(A1173,'ESTADOS ESTUDIANTES'!B:L,10,0)</f>
        <v>CC</v>
      </c>
      <c r="K1173" s="19">
        <f>VLOOKUP(A1173,'ESTADOS ESTUDIANTES'!B:L,11,0)</f>
        <v>88217405</v>
      </c>
      <c r="L1173" s="19">
        <v>3192405609</v>
      </c>
      <c r="M1173" s="20">
        <v>27770</v>
      </c>
      <c r="N1173" s="22"/>
      <c r="O1173" s="15"/>
      <c r="P1173" s="15"/>
      <c r="Q1173" s="15"/>
      <c r="R1173" s="15"/>
      <c r="S1173" s="15"/>
      <c r="T1173" s="15"/>
      <c r="U1173" s="15"/>
    </row>
    <row r="1174" spans="1:21" ht="90">
      <c r="A1174" s="17">
        <v>20211495010</v>
      </c>
      <c r="B1174" s="19" t="str">
        <f>VLOOKUP(A1174,'ESTADOS ESTUDIANTES'!B:L,2,0)</f>
        <v>ROCHA CALDERON CAMILO ENRIQUE</v>
      </c>
      <c r="C1174" s="19">
        <f>VLOOKUP(A1174,'ESTADOS ESTUDIANTES'!B:L,3,0)</f>
        <v>495</v>
      </c>
      <c r="D1174" s="66" t="str">
        <f>VLOOKUP(A1174,'ESTADOS ESTUDIANTES'!B:L,4,0)</f>
        <v>MAE. EN CIENCIAS DE LA INF. Y LAS COMUNICACIONES ENFASIS EN ING. SOFT</v>
      </c>
      <c r="E1174" s="19" t="str">
        <f>VLOOKUP(A1174,'ESTADOS ESTUDIANTES'!B:L,5,0)</f>
        <v>E</v>
      </c>
      <c r="F1174" s="18" t="str">
        <f>VLOOKUP(E1174,Listas!B1:C1004,2,0)</f>
        <v>EGRESADO</v>
      </c>
      <c r="G1174" s="19">
        <f>VLOOKUP(A1174,'ESTADOS ESTUDIANTES'!B:L,7,0)</f>
        <v>3</v>
      </c>
      <c r="H1174" s="19" t="str">
        <f>VLOOKUP(A1174,'ESTADOS ESTUDIANTES'!B:L,8,0)</f>
        <v>cerochac@udistrital.edu.co</v>
      </c>
      <c r="I1174" s="70" t="str">
        <f>VLOOKUP(A1174,'ESTADOS ESTUDIANTES'!B:L,9,0)</f>
        <v>cerochac@udistrital.edu.co</v>
      </c>
      <c r="J1174" s="19" t="str">
        <f>VLOOKUP(A1174,'ESTADOS ESTUDIANTES'!B:L,10,0)</f>
        <v>CC</v>
      </c>
      <c r="K1174" s="19">
        <f>VLOOKUP(A1174,'ESTADOS ESTUDIANTES'!B:L,11,0)</f>
        <v>1022435418</v>
      </c>
      <c r="L1174" s="19">
        <v>3057359505</v>
      </c>
      <c r="M1174" s="20">
        <v>35940</v>
      </c>
      <c r="N1174" s="22"/>
      <c r="O1174" s="15"/>
      <c r="P1174" s="15"/>
      <c r="Q1174" s="15"/>
      <c r="R1174" s="15"/>
      <c r="S1174" s="15"/>
      <c r="T1174" s="15"/>
      <c r="U1174" s="15"/>
    </row>
    <row r="1175" spans="1:21" ht="90">
      <c r="A1175" s="19">
        <v>20211495011</v>
      </c>
      <c r="B1175" s="19" t="str">
        <f>VLOOKUP(A1175,'ESTADOS ESTUDIANTES'!B:L,2,0)</f>
        <v>RODRIGUEZ BUITRAGO LEIDY JOHANNA</v>
      </c>
      <c r="C1175" s="19">
        <f>VLOOKUP(A1175,'ESTADOS ESTUDIANTES'!B:L,3,0)</f>
        <v>495</v>
      </c>
      <c r="D1175" s="66" t="str">
        <f>VLOOKUP(A1175,'ESTADOS ESTUDIANTES'!B:L,4,0)</f>
        <v>MAE. EN CIENCIAS DE LA INF. Y LAS COMUNICACIONES ENFASIS EN ING. SOFT</v>
      </c>
      <c r="E1175" s="19" t="str">
        <f>VLOOKUP(A1175,'ESTADOS ESTUDIANTES'!B:L,5,0)</f>
        <v>X</v>
      </c>
      <c r="F1175" s="18" t="str">
        <f>VLOOKUP(E1175,Listas!B1:C1004,2,0)</f>
        <v>EXCLUIDO</v>
      </c>
      <c r="G1175" s="19">
        <f>VLOOKUP(A1175,'ESTADOS ESTUDIANTES'!B:L,7,0)</f>
        <v>2</v>
      </c>
      <c r="H1175" s="19" t="str">
        <f>VLOOKUP(A1175,'ESTADOS ESTUDIANTES'!B:L,8,0)</f>
        <v>leijrodriguezb@udistrital.edu.co</v>
      </c>
      <c r="I1175" s="70" t="str">
        <f>VLOOKUP(A1175,'ESTADOS ESTUDIANTES'!B:L,9,0)</f>
        <v>maoritharodriguez@gmail.com</v>
      </c>
      <c r="J1175" s="19" t="str">
        <f>VLOOKUP(A1175,'ESTADOS ESTUDIANTES'!B:L,10,0)</f>
        <v>CC</v>
      </c>
      <c r="K1175" s="19">
        <f>VLOOKUP(A1175,'ESTADOS ESTUDIANTES'!B:L,11,0)</f>
        <v>1010227156</v>
      </c>
      <c r="L1175" s="19">
        <v>3508933949</v>
      </c>
      <c r="M1175" s="20">
        <v>35154</v>
      </c>
      <c r="N1175" s="22"/>
      <c r="O1175" s="15"/>
      <c r="P1175" s="15"/>
      <c r="Q1175" s="15"/>
      <c r="R1175" s="15"/>
      <c r="S1175" s="15"/>
      <c r="T1175" s="15"/>
      <c r="U1175" s="15"/>
    </row>
    <row r="1176" spans="1:21" ht="90">
      <c r="A1176" s="17">
        <v>20211495013</v>
      </c>
      <c r="B1176" s="19" t="str">
        <f>VLOOKUP(A1176,'ESTADOS ESTUDIANTES'!B:L,2,0)</f>
        <v>SANCHEZ MANCILLA JUAN SEBASTIAN</v>
      </c>
      <c r="C1176" s="19">
        <f>VLOOKUP(A1176,'ESTADOS ESTUDIANTES'!B:L,3,0)</f>
        <v>495</v>
      </c>
      <c r="D1176" s="66" t="str">
        <f>VLOOKUP(A1176,'ESTADOS ESTUDIANTES'!B:L,4,0)</f>
        <v>MAE. EN CIENCIAS DE LA INF. Y LAS COMUNICACIONES ENFASIS EN ING. SOFT</v>
      </c>
      <c r="E1176" s="19" t="str">
        <f>VLOOKUP(A1176,'ESTADOS ESTUDIANTES'!B:L,5,0)</f>
        <v>E</v>
      </c>
      <c r="F1176" s="18" t="str">
        <f>VLOOKUP(E1176,Listas!B1:C1004,2,0)</f>
        <v>EGRESADO</v>
      </c>
      <c r="G1176" s="19">
        <f>VLOOKUP(A1176,'ESTADOS ESTUDIANTES'!B:L,7,0)</f>
        <v>3</v>
      </c>
      <c r="H1176" s="19" t="str">
        <f>VLOOKUP(A1176,'ESTADOS ESTUDIANTES'!B:L,8,0)</f>
        <v>jussanchezm@udistrital.edu.co</v>
      </c>
      <c r="I1176" s="70" t="str">
        <f>VLOOKUP(A1176,'ESTADOS ESTUDIANTES'!B:L,9,0)</f>
        <v>juansanchez011@gmail.com</v>
      </c>
      <c r="J1176" s="19" t="str">
        <f>VLOOKUP(A1176,'ESTADOS ESTUDIANTES'!B:L,10,0)</f>
        <v>CC</v>
      </c>
      <c r="K1176" s="19">
        <f>VLOOKUP(A1176,'ESTADOS ESTUDIANTES'!B:L,11,0)</f>
        <v>1016098293</v>
      </c>
      <c r="L1176" s="19">
        <v>3108066701</v>
      </c>
      <c r="M1176" s="20">
        <v>35749</v>
      </c>
      <c r="N1176" s="22"/>
      <c r="O1176" s="15"/>
      <c r="P1176" s="15"/>
      <c r="Q1176" s="15"/>
      <c r="R1176" s="15"/>
      <c r="S1176" s="15"/>
      <c r="T1176" s="15"/>
      <c r="U1176" s="15"/>
    </row>
    <row r="1177" spans="1:21" ht="90">
      <c r="A1177" s="17">
        <v>20211495014</v>
      </c>
      <c r="B1177" s="19" t="str">
        <f>VLOOKUP(A1177,'ESTADOS ESTUDIANTES'!B:L,2,0)</f>
        <v>TORRES MONTOYA JULIAN ALBERTO</v>
      </c>
      <c r="C1177" s="19">
        <f>VLOOKUP(A1177,'ESTADOS ESTUDIANTES'!B:L,3,0)</f>
        <v>495</v>
      </c>
      <c r="D1177" s="66" t="str">
        <f>VLOOKUP(A1177,'ESTADOS ESTUDIANTES'!B:L,4,0)</f>
        <v>MAE. EN CIENCIAS DE LA INF. Y LAS COMUNICACIONES ENFASIS EN ING. SOFT</v>
      </c>
      <c r="E1177" s="19" t="str">
        <f>VLOOKUP(A1177,'ESTADOS ESTUDIANTES'!B:L,5,0)</f>
        <v>X</v>
      </c>
      <c r="F1177" s="18" t="str">
        <f>VLOOKUP(E1177,Listas!B1:C1004,2,0)</f>
        <v>EXCLUIDO</v>
      </c>
      <c r="G1177" s="19">
        <f>VLOOKUP(A1177,'ESTADOS ESTUDIANTES'!B:L,7,0)</f>
        <v>3</v>
      </c>
      <c r="H1177" s="19" t="str">
        <f>VLOOKUP(A1177,'ESTADOS ESTUDIANTES'!B:L,8,0)</f>
        <v>jatorresm@correo.udistrital.edu.co</v>
      </c>
      <c r="I1177" s="70" t="str">
        <f>VLOOKUP(A1177,'ESTADOS ESTUDIANTES'!B:L,9,0)</f>
        <v>eng.julian.torres@gmail.com</v>
      </c>
      <c r="J1177" s="19" t="str">
        <f>VLOOKUP(A1177,'ESTADOS ESTUDIANTES'!B:L,10,0)</f>
        <v>CC</v>
      </c>
      <c r="K1177" s="19">
        <f>VLOOKUP(A1177,'ESTADOS ESTUDIANTES'!B:L,11,0)</f>
        <v>1026259673</v>
      </c>
      <c r="L1177" s="19">
        <v>3213741296</v>
      </c>
      <c r="M1177" s="20">
        <v>32253</v>
      </c>
      <c r="N1177" s="22"/>
      <c r="O1177" s="15"/>
      <c r="P1177" s="15"/>
      <c r="Q1177" s="15"/>
      <c r="R1177" s="15"/>
      <c r="S1177" s="15"/>
      <c r="T1177" s="15"/>
      <c r="U1177" s="15"/>
    </row>
    <row r="1178" spans="1:21" ht="90">
      <c r="A1178" s="17">
        <v>20211495015</v>
      </c>
      <c r="B1178" s="19" t="str">
        <f>VLOOKUP(A1178,'ESTADOS ESTUDIANTES'!B:L,2,0)</f>
        <v>URIZA FONTECHA CARLOS ANDRES</v>
      </c>
      <c r="C1178" s="19">
        <f>VLOOKUP(A1178,'ESTADOS ESTUDIANTES'!B:L,3,0)</f>
        <v>495</v>
      </c>
      <c r="D1178" s="66" t="str">
        <f>VLOOKUP(A1178,'ESTADOS ESTUDIANTES'!B:L,4,0)</f>
        <v>MAE. EN CIENCIAS DE LA INF. Y LAS COMUNICACIONES ENFASIS EN ING. SOFT</v>
      </c>
      <c r="E1178" s="19" t="str">
        <f>VLOOKUP(A1178,'ESTADOS ESTUDIANTES'!B:L,5,0)</f>
        <v>X</v>
      </c>
      <c r="F1178" s="18" t="str">
        <f>VLOOKUP(E1178,Listas!B1:C1004,2,0)</f>
        <v>EXCLUIDO</v>
      </c>
      <c r="G1178" s="19">
        <f>VLOOKUP(A1178,'ESTADOS ESTUDIANTES'!B:L,7,0)</f>
        <v>2</v>
      </c>
      <c r="H1178" s="19" t="str">
        <f>VLOOKUP(A1178,'ESTADOS ESTUDIANTES'!B:L,8,0)</f>
        <v>caurizaf@udistrital.edu.co</v>
      </c>
      <c r="I1178" s="70" t="str">
        <f>VLOOKUP(A1178,'ESTADOS ESTUDIANTES'!B:L,9,0)</f>
        <v>uriza_andres@hotmail.com</v>
      </c>
      <c r="J1178" s="19" t="str">
        <f>VLOOKUP(A1178,'ESTADOS ESTUDIANTES'!B:L,10,0)</f>
        <v>CC</v>
      </c>
      <c r="K1178" s="19">
        <f>VLOOKUP(A1178,'ESTADOS ESTUDIANTES'!B:L,11,0)</f>
        <v>80188625</v>
      </c>
      <c r="L1178" s="19">
        <v>3023158780</v>
      </c>
      <c r="M1178" s="20">
        <v>30698</v>
      </c>
      <c r="N1178" s="22"/>
      <c r="O1178" s="15"/>
      <c r="P1178" s="15"/>
      <c r="Q1178" s="15"/>
      <c r="R1178" s="15"/>
      <c r="S1178" s="15"/>
      <c r="T1178" s="15"/>
      <c r="U1178" s="15"/>
    </row>
    <row r="1179" spans="1:21" ht="90">
      <c r="A1179" s="17">
        <v>20211495016</v>
      </c>
      <c r="B1179" s="19" t="str">
        <f>VLOOKUP(A1179,'ESTADOS ESTUDIANTES'!B:L,2,0)</f>
        <v>MUNOZ CANON NORBEY DANILO</v>
      </c>
      <c r="C1179" s="19">
        <f>VLOOKUP(A1179,'ESTADOS ESTUDIANTES'!B:L,3,0)</f>
        <v>495</v>
      </c>
      <c r="D1179" s="66" t="str">
        <f>VLOOKUP(A1179,'ESTADOS ESTUDIANTES'!B:L,4,0)</f>
        <v>MAE. EN CIENCIAS DE LA INF. Y LAS COMUNICACIONES ENFASIS EN ING. SOFT</v>
      </c>
      <c r="E1179" s="19" t="str">
        <f>VLOOKUP(A1179,'ESTADOS ESTUDIANTES'!B:L,5,0)</f>
        <v>E</v>
      </c>
      <c r="F1179" s="18" t="str">
        <f>VLOOKUP(E1179,Listas!B1:C1004,2,0)</f>
        <v>EGRESADO</v>
      </c>
      <c r="G1179" s="19">
        <f>VLOOKUP(A1179,'ESTADOS ESTUDIANTES'!B:L,7,0)</f>
        <v>2</v>
      </c>
      <c r="H1179" s="19" t="str">
        <f>VLOOKUP(A1179,'ESTADOS ESTUDIANTES'!B:L,8,0)</f>
        <v>ndmunozc@udistrital.edu.co</v>
      </c>
      <c r="I1179" s="70" t="str">
        <f>VLOOKUP(A1179,'ESTADOS ESTUDIANTES'!B:L,9,0)</f>
        <v>ndmunozc@gmail.com</v>
      </c>
      <c r="J1179" s="19" t="str">
        <f>VLOOKUP(A1179,'ESTADOS ESTUDIANTES'!B:L,10,0)</f>
        <v>CC</v>
      </c>
      <c r="K1179" s="19">
        <f>VLOOKUP(A1179,'ESTADOS ESTUDIANTES'!B:L,11,0)</f>
        <v>1033806084</v>
      </c>
      <c r="L1179" s="19">
        <v>3204842853</v>
      </c>
      <c r="M1179" s="20">
        <v>35912</v>
      </c>
      <c r="N1179" s="22"/>
      <c r="O1179" s="15"/>
      <c r="P1179" s="15"/>
      <c r="Q1179" s="15"/>
      <c r="R1179" s="15"/>
      <c r="S1179" s="15"/>
      <c r="T1179" s="15"/>
      <c r="U1179" s="15"/>
    </row>
    <row r="1180" spans="1:21" ht="90">
      <c r="A1180" s="17">
        <v>20211495017</v>
      </c>
      <c r="B1180" s="19" t="str">
        <f>VLOOKUP(A1180,'ESTADOS ESTUDIANTES'!B:L,2,0)</f>
        <v>SIERRA FORERO BRAYAN LEONARDO</v>
      </c>
      <c r="C1180" s="19">
        <f>VLOOKUP(A1180,'ESTADOS ESTUDIANTES'!B:L,3,0)</f>
        <v>495</v>
      </c>
      <c r="D1180" s="66" t="str">
        <f>VLOOKUP(A1180,'ESTADOS ESTUDIANTES'!B:L,4,0)</f>
        <v>MAE. EN CIENCIAS DE LA INF. Y LAS COMUNICACIONES ENFASIS EN ING. SOFT</v>
      </c>
      <c r="E1180" s="19" t="str">
        <f>VLOOKUP(A1180,'ESTADOS ESTUDIANTES'!B:L,5,0)</f>
        <v>E</v>
      </c>
      <c r="F1180" s="18" t="str">
        <f>VLOOKUP(E1180,Listas!B1:C1004,2,0)</f>
        <v>EGRESADO</v>
      </c>
      <c r="G1180" s="19">
        <f>VLOOKUP(A1180,'ESTADOS ESTUDIANTES'!B:L,7,0)</f>
        <v>3</v>
      </c>
      <c r="H1180" s="19" t="str">
        <f>VLOOKUP(A1180,'ESTADOS ESTUDIANTES'!B:L,8,0)</f>
        <v>blsierraf@udistrital.edu.co</v>
      </c>
      <c r="I1180" s="70" t="str">
        <f>VLOOKUP(A1180,'ESTADOS ESTUDIANTES'!B:L,9,0)</f>
        <v>brayansierraf97@gmail.com</v>
      </c>
      <c r="J1180" s="19" t="str">
        <f>VLOOKUP(A1180,'ESTADOS ESTUDIANTES'!B:L,10,0)</f>
        <v>CC</v>
      </c>
      <c r="K1180" s="19">
        <f>VLOOKUP(A1180,'ESTADOS ESTUDIANTES'!B:L,11,0)</f>
        <v>1022429666</v>
      </c>
      <c r="L1180" s="19">
        <v>3103230533</v>
      </c>
      <c r="M1180" s="20">
        <v>35682</v>
      </c>
      <c r="N1180" s="22"/>
      <c r="O1180" s="15"/>
      <c r="P1180" s="15"/>
      <c r="Q1180" s="15"/>
      <c r="R1180" s="15"/>
      <c r="S1180" s="15"/>
      <c r="T1180" s="15"/>
      <c r="U1180" s="15"/>
    </row>
    <row r="1181" spans="1:21" ht="90">
      <c r="A1181" s="17">
        <v>20212195001</v>
      </c>
      <c r="B1181" s="19" t="str">
        <f>VLOOKUP(A1181,'ESTADOS ESTUDIANTES'!B:L,2,0)</f>
        <v>AGUDELO SANTANA SERGIO IVAN</v>
      </c>
      <c r="C1181" s="19">
        <f>VLOOKUP(A1181,'ESTADOS ESTUDIANTES'!B:L,3,0)</f>
        <v>195</v>
      </c>
      <c r="D1181" s="66" t="str">
        <f>VLOOKUP(A1181,'ESTADOS ESTUDIANTES'!B:L,4,0)</f>
        <v>MAE. EN CIENCIAS DE LA INF. Y LAS COMUNICACIONES ENFASIS EN TELEINF.</v>
      </c>
      <c r="E1181" s="19" t="str">
        <f>VLOOKUP(A1181,'ESTADOS ESTUDIANTES'!B:L,5,0)</f>
        <v>X</v>
      </c>
      <c r="F1181" s="18" t="str">
        <f>VLOOKUP(E1181,Listas!B1:C1004,2,0)</f>
        <v>EXCLUIDO</v>
      </c>
      <c r="G1181" s="19">
        <f>VLOOKUP(A1181,'ESTADOS ESTUDIANTES'!B:L,7,0)</f>
        <v>2</v>
      </c>
      <c r="H1181" s="19" t="str">
        <f>VLOOKUP(A1181,'ESTADOS ESTUDIANTES'!B:L,8,0)</f>
        <v>siagudelos@udistrital.edu.co</v>
      </c>
      <c r="I1181" s="70" t="str">
        <f>VLOOKUP(A1181,'ESTADOS ESTUDIANTES'!B:L,9,0)</f>
        <v>siagudelos@gmail.com</v>
      </c>
      <c r="J1181" s="19" t="str">
        <f>VLOOKUP(A1181,'ESTADOS ESTUDIANTES'!B:L,10,0)</f>
        <v>CC</v>
      </c>
      <c r="K1181" s="19">
        <f>VLOOKUP(A1181,'ESTADOS ESTUDIANTES'!B:L,11,0)</f>
        <v>1075677231</v>
      </c>
      <c r="L1181" s="19">
        <v>3043266645</v>
      </c>
      <c r="M1181" s="20">
        <v>34950</v>
      </c>
      <c r="N1181" s="22"/>
      <c r="O1181" s="15"/>
      <c r="P1181" s="15"/>
      <c r="Q1181" s="15"/>
      <c r="R1181" s="15"/>
      <c r="S1181" s="15"/>
      <c r="T1181" s="15"/>
      <c r="U1181" s="15"/>
    </row>
    <row r="1182" spans="1:21" ht="90">
      <c r="A1182" s="17">
        <v>20212195002</v>
      </c>
      <c r="B1182" s="19" t="str">
        <f>VLOOKUP(A1182,'ESTADOS ESTUDIANTES'!B:L,2,0)</f>
        <v>BERNAL GOMEZ SEBASTIAN CAMILO</v>
      </c>
      <c r="C1182" s="19">
        <f>VLOOKUP(A1182,'ESTADOS ESTUDIANTES'!B:L,3,0)</f>
        <v>195</v>
      </c>
      <c r="D1182" s="66" t="str">
        <f>VLOOKUP(A1182,'ESTADOS ESTUDIANTES'!B:L,4,0)</f>
        <v>MAE. EN CIENCIAS DE LA INF. Y LAS COMUNICACIONES ENFASIS EN TELEINF.</v>
      </c>
      <c r="E1182" s="19" t="str">
        <f>VLOOKUP(A1182,'ESTADOS ESTUDIANTES'!B:L,5,0)</f>
        <v>X</v>
      </c>
      <c r="F1182" s="18" t="str">
        <f>VLOOKUP(E1182,Listas!B1:C1004,2,0)</f>
        <v>EXCLUIDO</v>
      </c>
      <c r="G1182" s="19">
        <f>VLOOKUP(A1182,'ESTADOS ESTUDIANTES'!B:L,7,0)</f>
        <v>3</v>
      </c>
      <c r="H1182" s="19" t="str">
        <f>VLOOKUP(A1182,'ESTADOS ESTUDIANTES'!B:L,8,0)</f>
        <v>scbernalg@correo.udistrital.edu.co</v>
      </c>
      <c r="I1182" s="70" t="str">
        <f>VLOOKUP(A1182,'ESTADOS ESTUDIANTES'!B:L,9,0)</f>
        <v>scbernalg@correo.udistrital.edu.co</v>
      </c>
      <c r="J1182" s="19" t="str">
        <f>VLOOKUP(A1182,'ESTADOS ESTUDIANTES'!B:L,10,0)</f>
        <v>CC</v>
      </c>
      <c r="K1182" s="19">
        <f>VLOOKUP(A1182,'ESTADOS ESTUDIANTES'!B:L,11,0)</f>
        <v>1014268906</v>
      </c>
      <c r="L1182" s="19">
        <v>3015116685</v>
      </c>
      <c r="M1182" s="20">
        <v>34897</v>
      </c>
      <c r="N1182" s="22"/>
      <c r="O1182" s="15"/>
      <c r="P1182" s="15"/>
      <c r="Q1182" s="15"/>
      <c r="R1182" s="15"/>
      <c r="S1182" s="15"/>
      <c r="T1182" s="15"/>
      <c r="U1182" s="15"/>
    </row>
    <row r="1183" spans="1:21" ht="105" customHeight="1">
      <c r="A1183" s="17">
        <v>20212195003</v>
      </c>
      <c r="B1183" s="19" t="str">
        <f>VLOOKUP(A1183,'ESTADOS ESTUDIANTES'!B:L,2,0)</f>
        <v>BONILLA OCAMPO DIEGO ALEXANDER</v>
      </c>
      <c r="C1183" s="19">
        <f>VLOOKUP(A1183,'ESTADOS ESTUDIANTES'!B:L,3,0)</f>
        <v>195</v>
      </c>
      <c r="D1183" s="66" t="str">
        <f>VLOOKUP(A1183,'ESTADOS ESTUDIANTES'!B:L,4,0)</f>
        <v>MAE. EN CIENCIAS DE LA INF. Y LAS COMUNICACIONES ENFASIS EN TELEINF.</v>
      </c>
      <c r="E1183" s="19" t="str">
        <f>VLOOKUP(A1183,'ESTADOS ESTUDIANTES'!B:L,5,0)</f>
        <v>V</v>
      </c>
      <c r="F1183" s="18" t="str">
        <f>VLOOKUP(E1183,Listas!B1:C1004,2,0)</f>
        <v>VACACIONES</v>
      </c>
      <c r="G1183" s="19">
        <f>VLOOKUP(A1183,'ESTADOS ESTUDIANTES'!B:L,7,0)</f>
        <v>4</v>
      </c>
      <c r="H1183" s="19" t="str">
        <f>VLOOKUP(A1183,'ESTADOS ESTUDIANTES'!B:L,8,0)</f>
        <v>dabonillao@udistrital.edu.co</v>
      </c>
      <c r="I1183" s="70" t="str">
        <f>VLOOKUP(A1183,'ESTADOS ESTUDIANTES'!B:L,9,0)</f>
        <v>dabiochemistry@gmail.com</v>
      </c>
      <c r="J1183" s="19" t="str">
        <f>VLOOKUP(A1183,'ESTADOS ESTUDIANTES'!B:L,10,0)</f>
        <v>CC</v>
      </c>
      <c r="K1183" s="19">
        <f>VLOOKUP(A1183,'ESTADOS ESTUDIANTES'!B:L,11,0)</f>
        <v>1030558211</v>
      </c>
      <c r="L1183" s="19">
        <v>3203352050</v>
      </c>
      <c r="M1183" s="20">
        <v>32676</v>
      </c>
      <c r="N1183" s="22"/>
      <c r="O1183" s="15"/>
      <c r="P1183" s="15"/>
      <c r="Q1183" s="15"/>
      <c r="R1183" s="15"/>
      <c r="S1183" s="15"/>
      <c r="T1183" s="15"/>
      <c r="U1183" s="15"/>
    </row>
    <row r="1184" spans="1:21" ht="90">
      <c r="A1184" s="17">
        <v>20212195004</v>
      </c>
      <c r="B1184" s="19" t="str">
        <f>VLOOKUP(A1184,'ESTADOS ESTUDIANTES'!B:L,2,0)</f>
        <v>ORJUELAROJAS MICHAEL ANDRES</v>
      </c>
      <c r="C1184" s="19">
        <f>VLOOKUP(A1184,'ESTADOS ESTUDIANTES'!B:L,3,0)</f>
        <v>195</v>
      </c>
      <c r="D1184" s="66" t="str">
        <f>VLOOKUP(A1184,'ESTADOS ESTUDIANTES'!B:L,4,0)</f>
        <v>MAE. EN CIENCIAS DE LA INF. Y LAS COMUNICACIONES ENFASIS EN TELEINF.</v>
      </c>
      <c r="E1184" s="19" t="str">
        <f>VLOOKUP(A1184,'ESTADOS ESTUDIANTES'!B:L,5,0)</f>
        <v>X</v>
      </c>
      <c r="F1184" s="18" t="str">
        <f>VLOOKUP(E1184,Listas!B1:C1004,2,0)</f>
        <v>EXCLUIDO</v>
      </c>
      <c r="G1184" s="19">
        <f>VLOOKUP(A1184,'ESTADOS ESTUDIANTES'!B:L,7,0)</f>
        <v>2</v>
      </c>
      <c r="H1184" s="19" t="str">
        <f>VLOOKUP(A1184,'ESTADOS ESTUDIANTES'!B:L,8,0)</f>
        <v>maorjuelar@correo.udistrital.edu.co</v>
      </c>
      <c r="I1184" s="70" t="str">
        <f>VLOOKUP(A1184,'ESTADOS ESTUDIANTES'!B:L,9,0)</f>
        <v>michael_orjuela@hotmail.com</v>
      </c>
      <c r="J1184" s="19" t="str">
        <f>VLOOKUP(A1184,'ESTADOS ESTUDIANTES'!B:L,10,0)</f>
        <v>CC</v>
      </c>
      <c r="K1184" s="19">
        <f>VLOOKUP(A1184,'ESTADOS ESTUDIANTES'!B:L,11,0)</f>
        <v>1073688511</v>
      </c>
      <c r="L1184" s="19">
        <v>3232266761</v>
      </c>
      <c r="M1184" s="20">
        <v>33266</v>
      </c>
      <c r="N1184" s="22"/>
      <c r="O1184" s="15"/>
      <c r="P1184" s="15"/>
      <c r="Q1184" s="15"/>
      <c r="R1184" s="15"/>
      <c r="S1184" s="15"/>
      <c r="T1184" s="15"/>
      <c r="U1184" s="15"/>
    </row>
    <row r="1185" spans="1:21" ht="90">
      <c r="A1185" s="17">
        <v>20212195005</v>
      </c>
      <c r="B1185" s="19" t="str">
        <f>VLOOKUP(A1185,'ESTADOS ESTUDIANTES'!B:L,2,0)</f>
        <v>RINCON BUITRAGO EDWIN FERNANDO</v>
      </c>
      <c r="C1185" s="19">
        <f>VLOOKUP(A1185,'ESTADOS ESTUDIANTES'!B:L,3,0)</f>
        <v>195</v>
      </c>
      <c r="D1185" s="66" t="str">
        <f>VLOOKUP(A1185,'ESTADOS ESTUDIANTES'!B:L,4,0)</f>
        <v>MAE. EN CIENCIAS DE LA INF. Y LAS COMUNICACIONES ENFASIS EN TELEINF.</v>
      </c>
      <c r="E1185" s="19" t="str">
        <f>VLOOKUP(A1185,'ESTADOS ESTUDIANTES'!B:L,5,0)</f>
        <v>A</v>
      </c>
      <c r="F1185" s="18" t="str">
        <f>VLOOKUP(E1185,Listas!B1:C1004,2,0)</f>
        <v>ACTIVO</v>
      </c>
      <c r="G1185" s="19">
        <f>VLOOKUP(A1185,'ESTADOS ESTUDIANTES'!B:L,7,0)</f>
        <v>3</v>
      </c>
      <c r="H1185" s="19" t="str">
        <f>VLOOKUP(A1185,'ESTADOS ESTUDIANTES'!B:L,8,0)</f>
        <v>edfrinconb@udistrital.edu.co</v>
      </c>
      <c r="I1185" s="70" t="str">
        <f>VLOOKUP(A1185,'ESTADOS ESTUDIANTES'!B:L,9,0)</f>
        <v>edwinrincon098@gmail.com</v>
      </c>
      <c r="J1185" s="19" t="str">
        <f>VLOOKUP(A1185,'ESTADOS ESTUDIANTES'!B:L,10,0)</f>
        <v>CC</v>
      </c>
      <c r="K1185" s="19">
        <f>VLOOKUP(A1185,'ESTADOS ESTUDIANTES'!B:L,11,0)</f>
        <v>1030603000</v>
      </c>
      <c r="L1185" s="19">
        <v>3107785613</v>
      </c>
      <c r="M1185" s="20">
        <v>33583</v>
      </c>
      <c r="N1185" s="22"/>
      <c r="O1185" s="15"/>
      <c r="P1185" s="15"/>
      <c r="Q1185" s="15"/>
      <c r="R1185" s="15"/>
      <c r="S1185" s="15"/>
      <c r="T1185" s="15"/>
      <c r="U1185" s="15"/>
    </row>
    <row r="1186" spans="1:21" ht="105">
      <c r="A1186" s="17">
        <v>20212395001</v>
      </c>
      <c r="B1186" s="19" t="str">
        <f>VLOOKUP(A1186,'ESTADOS ESTUDIANTES'!B:L,2,0)</f>
        <v>AVENDANO GOMEZ ANGIE LORENA</v>
      </c>
      <c r="C1186" s="19">
        <f>VLOOKUP(A1186,'ESTADOS ESTUDIANTES'!B:L,3,0)</f>
        <v>395</v>
      </c>
      <c r="D1186" s="66" t="str">
        <f>VLOOKUP(A1186,'ESTADOS ESTUDIANTES'!B:L,4,0)</f>
        <v>MAE. EN CIENCIAS DE LA INF. Y LAS COMUNICACIONES ENFASIS EN GEOMATICA</v>
      </c>
      <c r="E1186" s="19" t="str">
        <f>VLOOKUP(A1186,'ESTADOS ESTUDIANTES'!B:L,5,0)</f>
        <v>N</v>
      </c>
      <c r="F1186" s="18" t="str">
        <f>VLOOKUP(E1186,Listas!B1:C1004,2,0)</f>
        <v>ERROR DE CODIGO</v>
      </c>
      <c r="G1186" s="19" t="str">
        <f>VLOOKUP(A1186,'ESTADOS ESTUDIANTES'!B:L,7,0)</f>
        <v>NO REGISTRA</v>
      </c>
      <c r="H1186" s="19">
        <f>VLOOKUP(A1186,'ESTADOS ESTUDIANTES'!B:L,8,0)</f>
        <v>0</v>
      </c>
      <c r="I1186" s="70" t="str">
        <f>VLOOKUP(A1186,'ESTADOS ESTUDIANTES'!B:L,9,0)</f>
        <v>angielrn@hotmail.es</v>
      </c>
      <c r="J1186" s="19" t="str">
        <f>VLOOKUP(A1186,'ESTADOS ESTUDIANTES'!B:L,10,0)</f>
        <v>CC</v>
      </c>
      <c r="K1186" s="19">
        <f>VLOOKUP(A1186,'ESTADOS ESTUDIANTES'!B:L,11,0)</f>
        <v>1027885785</v>
      </c>
      <c r="L1186" s="23"/>
      <c r="M1186" s="20"/>
      <c r="N1186" s="22"/>
      <c r="O1186" s="15"/>
      <c r="P1186" s="15"/>
      <c r="Q1186" s="15"/>
      <c r="R1186" s="15"/>
      <c r="S1186" s="15"/>
      <c r="T1186" s="15"/>
      <c r="U1186" s="15"/>
    </row>
    <row r="1187" spans="1:21" ht="105">
      <c r="A1187" s="17">
        <v>20212395002</v>
      </c>
      <c r="B1187" s="19" t="str">
        <f>VLOOKUP(A1187,'ESTADOS ESTUDIANTES'!B:L,2,0)</f>
        <v>CRISTANCHO CARO CAMILO SEBASTIAN</v>
      </c>
      <c r="C1187" s="19">
        <f>VLOOKUP(A1187,'ESTADOS ESTUDIANTES'!B:L,3,0)</f>
        <v>395</v>
      </c>
      <c r="D1187" s="66" t="str">
        <f>VLOOKUP(A1187,'ESTADOS ESTUDIANTES'!B:L,4,0)</f>
        <v>MAE. EN CIENCIAS DE LA INF. Y LAS COMUNICACIONES ENFASIS EN GEOMATICA</v>
      </c>
      <c r="E1187" s="19" t="str">
        <f>VLOOKUP(A1187,'ESTADOS ESTUDIANTES'!B:L,5,0)</f>
        <v>X</v>
      </c>
      <c r="F1187" s="18" t="str">
        <f>VLOOKUP(E1187,Listas!B1:C1004,2,0)</f>
        <v>EXCLUIDO</v>
      </c>
      <c r="G1187" s="19">
        <f>VLOOKUP(A1187,'ESTADOS ESTUDIANTES'!B:L,7,0)</f>
        <v>3</v>
      </c>
      <c r="H1187" s="19" t="str">
        <f>VLOOKUP(A1187,'ESTADOS ESTUDIANTES'!B:L,8,0)</f>
        <v>cscristanchoc@correo.udistrital.edu.co</v>
      </c>
      <c r="I1187" s="70" t="str">
        <f>VLOOKUP(A1187,'ESTADOS ESTUDIANTES'!B:L,9,0)</f>
        <v>cscristanchoc@gmail.com</v>
      </c>
      <c r="J1187" s="19" t="str">
        <f>VLOOKUP(A1187,'ESTADOS ESTUDIANTES'!B:L,10,0)</f>
        <v>CC</v>
      </c>
      <c r="K1187" s="19">
        <f>VLOOKUP(A1187,'ESTADOS ESTUDIANTES'!B:L,11,0)</f>
        <v>1010227327</v>
      </c>
      <c r="L1187" s="19">
        <v>3213558389</v>
      </c>
      <c r="M1187" s="20">
        <v>35164</v>
      </c>
      <c r="N1187" s="22"/>
      <c r="O1187" s="15"/>
      <c r="P1187" s="15"/>
      <c r="Q1187" s="15"/>
      <c r="R1187" s="15"/>
      <c r="S1187" s="15"/>
      <c r="T1187" s="15"/>
      <c r="U1187" s="15"/>
    </row>
    <row r="1188" spans="1:21" ht="90">
      <c r="A1188" s="17">
        <v>20212395003</v>
      </c>
      <c r="B1188" s="19" t="str">
        <f>VLOOKUP(A1188,'ESTADOS ESTUDIANTES'!B:L,2,0)</f>
        <v>GONZALEZ PARDO SONIA LUZ</v>
      </c>
      <c r="C1188" s="19">
        <f>VLOOKUP(A1188,'ESTADOS ESTUDIANTES'!B:L,3,0)</f>
        <v>495</v>
      </c>
      <c r="D1188" s="66" t="str">
        <f>VLOOKUP(A1188,'ESTADOS ESTUDIANTES'!B:L,4,0)</f>
        <v>MAE. EN CIENCIAS DE LA INF. Y LAS COMUNICACIONES ENFASIS EN ING. SOFT</v>
      </c>
      <c r="E1188" s="19" t="str">
        <f>VLOOKUP(A1188,'ESTADOS ESTUDIANTES'!B:L,5,0)</f>
        <v>E</v>
      </c>
      <c r="F1188" s="18" t="str">
        <f>VLOOKUP(E1188,Listas!B1:C1004,2,0)</f>
        <v>EGRESADO</v>
      </c>
      <c r="G1188" s="19">
        <f>VLOOKUP(A1188,'ESTADOS ESTUDIANTES'!B:L,7,0)</f>
        <v>2</v>
      </c>
      <c r="H1188" s="19" t="str">
        <f>VLOOKUP(A1188,'ESTADOS ESTUDIANTES'!B:L,8,0)</f>
        <v>slgonzalezp@udistrital.edu.co</v>
      </c>
      <c r="I1188" s="70" t="str">
        <f>VLOOKUP(A1188,'ESTADOS ESTUDIANTES'!B:L,9,0)</f>
        <v>sonigonzalezpardo@gmail.com</v>
      </c>
      <c r="J1188" s="19" t="str">
        <f>VLOOKUP(A1188,'ESTADOS ESTUDIANTES'!B:L,10,0)</f>
        <v>CC</v>
      </c>
      <c r="K1188" s="19">
        <f>VLOOKUP(A1188,'ESTADOS ESTUDIANTES'!B:L,11,0)</f>
        <v>1035420008</v>
      </c>
      <c r="L1188" s="19">
        <v>3174636368</v>
      </c>
      <c r="M1188" s="20">
        <v>32465</v>
      </c>
      <c r="N1188" s="22"/>
      <c r="O1188" s="15"/>
      <c r="P1188" s="15"/>
      <c r="Q1188" s="15"/>
      <c r="R1188" s="15"/>
      <c r="S1188" s="15"/>
      <c r="T1188" s="15"/>
      <c r="U1188" s="15"/>
    </row>
    <row r="1189" spans="1:21" ht="105">
      <c r="A1189" s="17">
        <v>20212395004</v>
      </c>
      <c r="B1189" s="19" t="str">
        <f>VLOOKUP(A1189,'ESTADOS ESTUDIANTES'!B:L,2,0)</f>
        <v>MATTA MONROY NANCY JOHANA</v>
      </c>
      <c r="C1189" s="19">
        <f>VLOOKUP(A1189,'ESTADOS ESTUDIANTES'!B:L,3,0)</f>
        <v>395</v>
      </c>
      <c r="D1189" s="66" t="str">
        <f>VLOOKUP(A1189,'ESTADOS ESTUDIANTES'!B:L,4,0)</f>
        <v>MAE. EN CIENCIAS DE LA INF. Y LAS COMUNICACIONES ENFASIS EN GEOMATICA</v>
      </c>
      <c r="E1189" s="19" t="str">
        <f>VLOOKUP(A1189,'ESTADOS ESTUDIANTES'!B:L,5,0)</f>
        <v>E</v>
      </c>
      <c r="F1189" s="18" t="str">
        <f>VLOOKUP(E1189,Listas!B1:C1004,2,0)</f>
        <v>EGRESADO</v>
      </c>
      <c r="G1189" s="19">
        <f>VLOOKUP(A1189,'ESTADOS ESTUDIANTES'!B:L,7,0)</f>
        <v>4</v>
      </c>
      <c r="H1189" s="19" t="str">
        <f>VLOOKUP(A1189,'ESTADOS ESTUDIANTES'!B:L,8,0)</f>
        <v>njmattam@udistrital.edu.co</v>
      </c>
      <c r="I1189" s="70" t="str">
        <f>VLOOKUP(A1189,'ESTADOS ESTUDIANTES'!B:L,9,0)</f>
        <v>njmattam@udistrital.edu.co</v>
      </c>
      <c r="J1189" s="19" t="str">
        <f>VLOOKUP(A1189,'ESTADOS ESTUDIANTES'!B:L,10,0)</f>
        <v>CC</v>
      </c>
      <c r="K1189" s="19">
        <f>VLOOKUP(A1189,'ESTADOS ESTUDIANTES'!B:L,11,0)</f>
        <v>1018475010</v>
      </c>
      <c r="L1189" s="19">
        <v>3058172300</v>
      </c>
      <c r="M1189" s="20">
        <v>34765</v>
      </c>
      <c r="N1189" s="22"/>
      <c r="O1189" s="15"/>
      <c r="P1189" s="15"/>
      <c r="Q1189" s="15"/>
      <c r="R1189" s="15"/>
      <c r="S1189" s="15"/>
      <c r="T1189" s="15"/>
      <c r="U1189" s="15"/>
    </row>
    <row r="1190" spans="1:21" ht="105">
      <c r="A1190" s="17">
        <v>20212395005</v>
      </c>
      <c r="B1190" s="19" t="str">
        <f>VLOOKUP(A1190,'ESTADOS ESTUDIANTES'!B:L,2,0)</f>
        <v>MOGOLLON DIAZ ALEXANDER</v>
      </c>
      <c r="C1190" s="19">
        <f>VLOOKUP(A1190,'ESTADOS ESTUDIANTES'!B:L,3,0)</f>
        <v>395</v>
      </c>
      <c r="D1190" s="66" t="str">
        <f>VLOOKUP(A1190,'ESTADOS ESTUDIANTES'!B:L,4,0)</f>
        <v>MAE. EN CIENCIAS DE LA INF. Y LAS COMUNICACIONES ENFASIS EN GEOMATICA</v>
      </c>
      <c r="E1190" s="19" t="str">
        <f>VLOOKUP(A1190,'ESTADOS ESTUDIANTES'!B:L,5,0)</f>
        <v>X</v>
      </c>
      <c r="F1190" s="18" t="str">
        <f>VLOOKUP(E1190,Listas!B1:C1004,2,0)</f>
        <v>EXCLUIDO</v>
      </c>
      <c r="G1190" s="19">
        <f>VLOOKUP(A1190,'ESTADOS ESTUDIANTES'!B:L,7,0)</f>
        <v>3</v>
      </c>
      <c r="H1190" s="19" t="str">
        <f>VLOOKUP(A1190,'ESTADOS ESTUDIANTES'!B:L,8,0)</f>
        <v>amogollond@udistrital.edu.co</v>
      </c>
      <c r="I1190" s="70" t="str">
        <f>VLOOKUP(A1190,'ESTADOS ESTUDIANTES'!B:L,9,0)</f>
        <v>jlexdiaz@gmail.com</v>
      </c>
      <c r="J1190" s="19" t="str">
        <f>VLOOKUP(A1190,'ESTADOS ESTUDIANTES'!B:L,10,0)</f>
        <v>CC</v>
      </c>
      <c r="K1190" s="19">
        <f>VLOOKUP(A1190,'ESTADOS ESTUDIANTES'!B:L,11,0)</f>
        <v>79987510</v>
      </c>
      <c r="L1190" s="19">
        <v>3206480309</v>
      </c>
      <c r="M1190" s="20">
        <v>28913</v>
      </c>
      <c r="N1190" s="22"/>
      <c r="O1190" s="15"/>
      <c r="P1190" s="15"/>
      <c r="Q1190" s="15"/>
      <c r="R1190" s="15"/>
      <c r="S1190" s="15"/>
      <c r="T1190" s="15"/>
      <c r="U1190" s="15"/>
    </row>
    <row r="1191" spans="1:21" ht="90">
      <c r="A1191" s="17">
        <v>20212495001</v>
      </c>
      <c r="B1191" s="19" t="str">
        <f>VLOOKUP(A1191,'ESTADOS ESTUDIANTES'!B:L,2,0)</f>
        <v>ARIAS OMANA JUSTO REINALDO</v>
      </c>
      <c r="C1191" s="19">
        <f>VLOOKUP(A1191,'ESTADOS ESTUDIANTES'!B:L,3,0)</f>
        <v>495</v>
      </c>
      <c r="D1191" s="66" t="str">
        <f>VLOOKUP(A1191,'ESTADOS ESTUDIANTES'!B:L,4,0)</f>
        <v>MAE. EN CIENCIAS DE LA INF. Y LAS COMUNICACIONES ENFASIS EN ING. SOFT</v>
      </c>
      <c r="E1191" s="19" t="str">
        <f>VLOOKUP(A1191,'ESTADOS ESTUDIANTES'!B:L,5,0)</f>
        <v>E</v>
      </c>
      <c r="F1191" s="18" t="str">
        <f>VLOOKUP(E1191,Listas!B1:C1004,2,0)</f>
        <v>EGRESADO</v>
      </c>
      <c r="G1191" s="19" t="str">
        <f>VLOOKUP(A1191,'ESTADOS ESTUDIANTES'!B:L,7,0)</f>
        <v>NO REGISTRA</v>
      </c>
      <c r="H1191" s="19" t="str">
        <f>VLOOKUP(A1191,'ESTADOS ESTUDIANTES'!B:L,8,0)</f>
        <v>jrariaso@udistrital.edu.co</v>
      </c>
      <c r="I1191" s="70" t="str">
        <f>VLOOKUP(A1191,'ESTADOS ESTUDIANTES'!B:L,9,0)</f>
        <v>reinaldoarias2002@yahoo.com</v>
      </c>
      <c r="J1191" s="19" t="str">
        <f>VLOOKUP(A1191,'ESTADOS ESTUDIANTES'!B:L,10,0)</f>
        <v>CC</v>
      </c>
      <c r="K1191" s="19">
        <f>VLOOKUP(A1191,'ESTADOS ESTUDIANTES'!B:L,11,0)</f>
        <v>88197450</v>
      </c>
      <c r="L1191" s="19">
        <v>3133680989</v>
      </c>
      <c r="M1191" s="20">
        <v>25861</v>
      </c>
      <c r="N1191" s="22"/>
      <c r="O1191" s="15"/>
      <c r="P1191" s="15"/>
      <c r="Q1191" s="15"/>
      <c r="R1191" s="15"/>
      <c r="S1191" s="15"/>
      <c r="T1191" s="15"/>
      <c r="U1191" s="15"/>
    </row>
    <row r="1192" spans="1:21" ht="90">
      <c r="A1192" s="17">
        <v>20212495002</v>
      </c>
      <c r="B1192" s="19" t="str">
        <f>VLOOKUP(A1192,'ESTADOS ESTUDIANTES'!B:L,2,0)</f>
        <v>CABREJO RUBIANO NICOLAS</v>
      </c>
      <c r="C1192" s="19">
        <f>VLOOKUP(A1192,'ESTADOS ESTUDIANTES'!B:L,3,0)</f>
        <v>495</v>
      </c>
      <c r="D1192" s="66" t="str">
        <f>VLOOKUP(A1192,'ESTADOS ESTUDIANTES'!B:L,4,0)</f>
        <v>MAE. EN CIENCIAS DE LA INF. Y LAS COMUNICACIONES ENFASIS EN ING. SOFT</v>
      </c>
      <c r="E1192" s="19" t="str">
        <f>VLOOKUP(A1192,'ESTADOS ESTUDIANTES'!B:L,5,0)</f>
        <v>V</v>
      </c>
      <c r="F1192" s="18" t="str">
        <f>VLOOKUP(E1192,Listas!B1:C1004,2,0)</f>
        <v>VACACIONES</v>
      </c>
      <c r="G1192" s="19">
        <f>VLOOKUP(A1192,'ESTADOS ESTUDIANTES'!B:L,7,0)</f>
        <v>3</v>
      </c>
      <c r="H1192" s="19" t="str">
        <f>VLOOKUP(A1192,'ESTADOS ESTUDIANTES'!B:L,8,0)</f>
        <v>ncabrejor@udistrital.edu.co</v>
      </c>
      <c r="I1192" s="70" t="str">
        <f>VLOOKUP(A1192,'ESTADOS ESTUDIANTES'!B:L,9,0)</f>
        <v>ncabrejor@udistrital.edu.co</v>
      </c>
      <c r="J1192" s="19" t="str">
        <f>VLOOKUP(A1192,'ESTADOS ESTUDIANTES'!B:L,10,0)</f>
        <v>CC</v>
      </c>
      <c r="K1192" s="19">
        <f>VLOOKUP(A1192,'ESTADOS ESTUDIANTES'!B:L,11,0)</f>
        <v>1026587105</v>
      </c>
      <c r="L1192" s="19">
        <v>3143269813</v>
      </c>
      <c r="M1192" s="20">
        <v>35221</v>
      </c>
      <c r="N1192" s="22"/>
      <c r="O1192" s="15"/>
      <c r="P1192" s="15"/>
      <c r="Q1192" s="15"/>
      <c r="R1192" s="15"/>
      <c r="S1192" s="15"/>
      <c r="T1192" s="15"/>
      <c r="U1192" s="15"/>
    </row>
    <row r="1193" spans="1:21" ht="90">
      <c r="A1193" s="17">
        <v>20212495003</v>
      </c>
      <c r="B1193" s="19" t="str">
        <f>VLOOKUP(A1193,'ESTADOS ESTUDIANTES'!B:L,2,0)</f>
        <v>CASTILLO ESTUPINAN LUIS ARIEL</v>
      </c>
      <c r="C1193" s="19">
        <f>VLOOKUP(A1193,'ESTADOS ESTUDIANTES'!B:L,3,0)</f>
        <v>495</v>
      </c>
      <c r="D1193" s="66" t="str">
        <f>VLOOKUP(A1193,'ESTADOS ESTUDIANTES'!B:L,4,0)</f>
        <v>MAE. EN CIENCIAS DE LA INF. Y LAS COMUNICACIONES ENFASIS EN ING. SOFT</v>
      </c>
      <c r="E1193" s="19" t="str">
        <f>VLOOKUP(A1193,'ESTADOS ESTUDIANTES'!B:L,5,0)</f>
        <v>X</v>
      </c>
      <c r="F1193" s="18" t="str">
        <f>VLOOKUP(E1193,Listas!B1:C1004,2,0)</f>
        <v>EXCLUIDO</v>
      </c>
      <c r="G1193" s="19">
        <f>VLOOKUP(A1193,'ESTADOS ESTUDIANTES'!B:L,7,0)</f>
        <v>3</v>
      </c>
      <c r="H1193" s="19" t="str">
        <f>VLOOKUP(A1193,'ESTADOS ESTUDIANTES'!B:L,8,0)</f>
        <v>lacastilloe@udistrital.edu.co</v>
      </c>
      <c r="I1193" s="70" t="str">
        <f>VLOOKUP(A1193,'ESTADOS ESTUDIANTES'!B:L,9,0)</f>
        <v>arielcastillo.es@gmail.com</v>
      </c>
      <c r="J1193" s="19" t="str">
        <f>VLOOKUP(A1193,'ESTADOS ESTUDIANTES'!B:L,10,0)</f>
        <v>CC</v>
      </c>
      <c r="K1193" s="19">
        <f>VLOOKUP(A1193,'ESTADOS ESTUDIANTES'!B:L,11,0)</f>
        <v>4208901</v>
      </c>
      <c r="L1193" s="19">
        <v>3218236372</v>
      </c>
      <c r="M1193" s="20">
        <v>30412</v>
      </c>
      <c r="N1193" s="22"/>
      <c r="O1193" s="15"/>
      <c r="P1193" s="15"/>
      <c r="Q1193" s="15"/>
      <c r="R1193" s="15"/>
      <c r="S1193" s="15"/>
      <c r="T1193" s="15"/>
      <c r="U1193" s="15"/>
    </row>
    <row r="1194" spans="1:21" ht="90">
      <c r="A1194" s="17">
        <v>20212495004</v>
      </c>
      <c r="B1194" s="19" t="str">
        <f>VLOOKUP(A1194,'ESTADOS ESTUDIANTES'!B:L,2,0)</f>
        <v>MANCIPE CASTANEDA YURI MARCELA</v>
      </c>
      <c r="C1194" s="19">
        <f>VLOOKUP(A1194,'ESTADOS ESTUDIANTES'!B:L,3,0)</f>
        <v>495</v>
      </c>
      <c r="D1194" s="66" t="str">
        <f>VLOOKUP(A1194,'ESTADOS ESTUDIANTES'!B:L,4,0)</f>
        <v>MAE. EN CIENCIAS DE LA INF. Y LAS COMUNICACIONES ENFASIS EN ING. SOFT</v>
      </c>
      <c r="E1194" s="19" t="str">
        <f>VLOOKUP(A1194,'ESTADOS ESTUDIANTES'!B:L,5,0)</f>
        <v>X</v>
      </c>
      <c r="F1194" s="18" t="str">
        <f>VLOOKUP(E1194,Listas!B1:C1004,2,0)</f>
        <v>EXCLUIDO</v>
      </c>
      <c r="G1194" s="19">
        <f>VLOOKUP(A1194,'ESTADOS ESTUDIANTES'!B:L,7,0)</f>
        <v>3</v>
      </c>
      <c r="H1194" s="19" t="str">
        <f>VLOOKUP(A1194,'ESTADOS ESTUDIANTES'!B:L,8,0)</f>
        <v>ymmancipec@correo.udistrital.edu.co</v>
      </c>
      <c r="I1194" s="70" t="str">
        <f>VLOOKUP(A1194,'ESTADOS ESTUDIANTES'!B:L,9,0)</f>
        <v>marcelamancipe@gmail.com</v>
      </c>
      <c r="J1194" s="19" t="str">
        <f>VLOOKUP(A1194,'ESTADOS ESTUDIANTES'!B:L,10,0)</f>
        <v>CC</v>
      </c>
      <c r="K1194" s="19">
        <f>VLOOKUP(A1194,'ESTADOS ESTUDIANTES'!B:L,11,0)</f>
        <v>53114905</v>
      </c>
      <c r="L1194" s="19">
        <v>3118273022</v>
      </c>
      <c r="M1194" s="20">
        <v>31038</v>
      </c>
      <c r="N1194" s="22"/>
      <c r="O1194" s="15"/>
      <c r="P1194" s="15"/>
      <c r="Q1194" s="15"/>
      <c r="R1194" s="15"/>
      <c r="S1194" s="15"/>
      <c r="T1194" s="15"/>
      <c r="U1194" s="15"/>
    </row>
    <row r="1195" spans="1:21" ht="90">
      <c r="A1195" s="17">
        <v>20212495005</v>
      </c>
      <c r="B1195" s="19" t="str">
        <f>VLOOKUP(A1195,'ESTADOS ESTUDIANTES'!B:L,2,0)</f>
        <v>PANA IGUARAN JOSE MARIA</v>
      </c>
      <c r="C1195" s="19">
        <f>VLOOKUP(A1195,'ESTADOS ESTUDIANTES'!B:L,3,0)</f>
        <v>495</v>
      </c>
      <c r="D1195" s="66" t="str">
        <f>VLOOKUP(A1195,'ESTADOS ESTUDIANTES'!B:L,4,0)</f>
        <v>MAE. EN CIENCIAS DE LA INF. Y LAS COMUNICACIONES ENFASIS EN ING. SOFT</v>
      </c>
      <c r="E1195" s="19" t="str">
        <f>VLOOKUP(A1195,'ESTADOS ESTUDIANTES'!B:L,5,0)</f>
        <v>X</v>
      </c>
      <c r="F1195" s="18" t="str">
        <f>VLOOKUP(E1195,Listas!B1:C1004,2,0)</f>
        <v>EXCLUIDO</v>
      </c>
      <c r="G1195" s="19">
        <f>VLOOKUP(A1195,'ESTADOS ESTUDIANTES'!B:L,7,0)</f>
        <v>3</v>
      </c>
      <c r="H1195" s="19" t="str">
        <f>VLOOKUP(A1195,'ESTADOS ESTUDIANTES'!B:L,8,0)</f>
        <v>jmpanai@correo.udistrital.edu.co</v>
      </c>
      <c r="I1195" s="70" t="str">
        <f>VLOOKUP(A1195,'ESTADOS ESTUDIANTES'!B:L,9,0)</f>
        <v>josepana@ingenieros.com</v>
      </c>
      <c r="J1195" s="19" t="str">
        <f>VLOOKUP(A1195,'ESTADOS ESTUDIANTES'!B:L,10,0)</f>
        <v>CC</v>
      </c>
      <c r="K1195" s="19">
        <f>VLOOKUP(A1195,'ESTADOS ESTUDIANTES'!B:L,11,0)</f>
        <v>84088422</v>
      </c>
      <c r="L1195" s="19">
        <v>3013511789</v>
      </c>
      <c r="M1195" s="20">
        <v>29375</v>
      </c>
      <c r="N1195" s="22"/>
      <c r="O1195" s="15"/>
      <c r="P1195" s="15"/>
      <c r="Q1195" s="15"/>
      <c r="R1195" s="15"/>
      <c r="S1195" s="15"/>
      <c r="T1195" s="15"/>
      <c r="U1195" s="15"/>
    </row>
    <row r="1196" spans="1:21" ht="90">
      <c r="A1196" s="17">
        <v>20212495006</v>
      </c>
      <c r="B1196" s="19" t="str">
        <f>VLOOKUP(A1196,'ESTADOS ESTUDIANTES'!B:L,2,0)</f>
        <v>RENGIFO ESPITIA MARIA CAMILA</v>
      </c>
      <c r="C1196" s="19">
        <f>VLOOKUP(A1196,'ESTADOS ESTUDIANTES'!B:L,3,0)</f>
        <v>495</v>
      </c>
      <c r="D1196" s="66" t="str">
        <f>VLOOKUP(A1196,'ESTADOS ESTUDIANTES'!B:L,4,0)</f>
        <v>MAE. EN CIENCIAS DE LA INF. Y LAS COMUNICACIONES ENFASIS EN ING. SOFT</v>
      </c>
      <c r="E1196" s="19" t="str">
        <f>VLOOKUP(A1196,'ESTADOS ESTUDIANTES'!B:L,5,0)</f>
        <v>X</v>
      </c>
      <c r="F1196" s="18" t="str">
        <f>VLOOKUP(E1196,Listas!B1:C1004,2,0)</f>
        <v>EXCLUIDO</v>
      </c>
      <c r="G1196" s="19">
        <f>VLOOKUP(A1196,'ESTADOS ESTUDIANTES'!B:L,7,0)</f>
        <v>3</v>
      </c>
      <c r="H1196" s="19" t="str">
        <f>VLOOKUP(A1196,'ESTADOS ESTUDIANTES'!B:L,8,0)</f>
        <v>mcrengifoe@correo.udistrital.edu.co</v>
      </c>
      <c r="I1196" s="70" t="str">
        <f>VLOOKUP(A1196,'ESTADOS ESTUDIANTES'!B:L,9,0)</f>
        <v>kamirenes@gmail.com</v>
      </c>
      <c r="J1196" s="19" t="str">
        <f>VLOOKUP(A1196,'ESTADOS ESTUDIANTES'!B:L,10,0)</f>
        <v>CC</v>
      </c>
      <c r="K1196" s="19">
        <f>VLOOKUP(A1196,'ESTADOS ESTUDIANTES'!B:L,11,0)</f>
        <v>1018465748</v>
      </c>
      <c r="L1196" s="19">
        <v>3013874232</v>
      </c>
      <c r="M1196" s="20"/>
      <c r="N1196" s="22"/>
      <c r="O1196" s="15"/>
      <c r="P1196" s="15"/>
      <c r="Q1196" s="15"/>
      <c r="R1196" s="15"/>
      <c r="S1196" s="15"/>
      <c r="T1196" s="15"/>
      <c r="U1196" s="15"/>
    </row>
    <row r="1197" spans="1:21" ht="90">
      <c r="A1197" s="17">
        <v>20212495007</v>
      </c>
      <c r="B1197" s="19" t="str">
        <f>VLOOKUP(A1197,'ESTADOS ESTUDIANTES'!B:L,2,0)</f>
        <v>SANDOVAL MESA NIDIA HELENA</v>
      </c>
      <c r="C1197" s="19">
        <f>VLOOKUP(A1197,'ESTADOS ESTUDIANTES'!B:L,3,0)</f>
        <v>495</v>
      </c>
      <c r="D1197" s="66" t="str">
        <f>VLOOKUP(A1197,'ESTADOS ESTUDIANTES'!B:L,4,0)</f>
        <v>MAE. EN CIENCIAS DE LA INF. Y LAS COMUNICACIONES ENFASIS EN ING. SOFT</v>
      </c>
      <c r="E1197" s="19" t="str">
        <f>VLOOKUP(A1197,'ESTADOS ESTUDIANTES'!B:L,5,0)</f>
        <v>X</v>
      </c>
      <c r="F1197" s="18" t="str">
        <f>VLOOKUP(E1197,Listas!B1:C1004,2,0)</f>
        <v>EXCLUIDO</v>
      </c>
      <c r="G1197" s="19">
        <f>VLOOKUP(A1197,'ESTADOS ESTUDIANTES'!B:L,7,0)</f>
        <v>3</v>
      </c>
      <c r="H1197" s="19" t="str">
        <f>VLOOKUP(A1197,'ESTADOS ESTUDIANTES'!B:L,8,0)</f>
        <v>nhsandovalm@udistrital.edu.co</v>
      </c>
      <c r="I1197" s="70" t="str">
        <f>VLOOKUP(A1197,'ESTADOS ESTUDIANTES'!B:L,9,0)</f>
        <v>hellenasandoval@gmail.com</v>
      </c>
      <c r="J1197" s="19" t="str">
        <f>VLOOKUP(A1197,'ESTADOS ESTUDIANTES'!B:L,10,0)</f>
        <v>CC</v>
      </c>
      <c r="K1197" s="19">
        <f>VLOOKUP(A1197,'ESTADOS ESTUDIANTES'!B:L,11,0)</f>
        <v>52970605</v>
      </c>
      <c r="L1197" s="19">
        <v>3017296000</v>
      </c>
      <c r="M1197" s="20">
        <v>30164</v>
      </c>
      <c r="N1197" s="22"/>
      <c r="O1197" s="15"/>
      <c r="P1197" s="15"/>
      <c r="Q1197" s="15"/>
      <c r="R1197" s="15"/>
      <c r="S1197" s="15"/>
      <c r="T1197" s="15"/>
      <c r="U1197" s="15"/>
    </row>
    <row r="1198" spans="1:21" ht="90">
      <c r="A1198" s="17">
        <v>20212495008</v>
      </c>
      <c r="B1198" s="19" t="str">
        <f>VLOOKUP(A1198,'ESTADOS ESTUDIANTES'!B:L,2,0)</f>
        <v>SUAREZ BASTIDAS WILLIAM FERNANDO</v>
      </c>
      <c r="C1198" s="19">
        <f>VLOOKUP(A1198,'ESTADOS ESTUDIANTES'!B:L,3,0)</f>
        <v>495</v>
      </c>
      <c r="D1198" s="66" t="str">
        <f>VLOOKUP(A1198,'ESTADOS ESTUDIANTES'!B:L,4,0)</f>
        <v>MAE. EN CIENCIAS DE LA INF. Y LAS COMUNICACIONES ENFASIS EN ING. SOFT</v>
      </c>
      <c r="E1198" s="19" t="str">
        <f>VLOOKUP(A1198,'ESTADOS ESTUDIANTES'!B:L,5,0)</f>
        <v>X</v>
      </c>
      <c r="F1198" s="18" t="str">
        <f>VLOOKUP(E1198,Listas!B1:C1004,2,0)</f>
        <v>EXCLUIDO</v>
      </c>
      <c r="G1198" s="19">
        <f>VLOOKUP(A1198,'ESTADOS ESTUDIANTES'!B:L,7,0)</f>
        <v>3</v>
      </c>
      <c r="H1198" s="19" t="str">
        <f>VLOOKUP(A1198,'ESTADOS ESTUDIANTES'!B:L,8,0)</f>
        <v>wfsuarezb@udistrital.edu.co</v>
      </c>
      <c r="I1198" s="70" t="str">
        <f>VLOOKUP(A1198,'ESTADOS ESTUDIANTES'!B:L,9,0)</f>
        <v>willfs144@gmail.com</v>
      </c>
      <c r="J1198" s="19" t="str">
        <f>VLOOKUP(A1198,'ESTADOS ESTUDIANTES'!B:L,10,0)</f>
        <v>CC</v>
      </c>
      <c r="K1198" s="19">
        <f>VLOOKUP(A1198,'ESTADOS ESTUDIANTES'!B:L,11,0)</f>
        <v>1033701333</v>
      </c>
      <c r="L1198" s="19">
        <v>3195053853</v>
      </c>
      <c r="M1198" s="20">
        <v>32410</v>
      </c>
      <c r="N1198" s="22"/>
      <c r="O1198" s="15"/>
      <c r="P1198" s="15"/>
      <c r="Q1198" s="15"/>
      <c r="R1198" s="15"/>
      <c r="S1198" s="15"/>
      <c r="T1198" s="15"/>
      <c r="U1198" s="15"/>
    </row>
    <row r="1199" spans="1:21" ht="90">
      <c r="A1199" s="17">
        <v>20212495009</v>
      </c>
      <c r="B1199" s="19" t="str">
        <f>VLOOKUP(A1199,'ESTADOS ESTUDIANTES'!B:L,2,0)</f>
        <v>VILLEGAS ISASA IVAN DANIEL</v>
      </c>
      <c r="C1199" s="19">
        <f>VLOOKUP(A1199,'ESTADOS ESTUDIANTES'!B:L,3,0)</f>
        <v>495</v>
      </c>
      <c r="D1199" s="66" t="str">
        <f>VLOOKUP(A1199,'ESTADOS ESTUDIANTES'!B:L,4,0)</f>
        <v>MAE. EN CIENCIAS DE LA INF. Y LAS COMUNICACIONES ENFASIS EN ING. SOFT</v>
      </c>
      <c r="E1199" s="19" t="str">
        <f>VLOOKUP(A1199,'ESTADOS ESTUDIANTES'!B:L,5,0)</f>
        <v>E</v>
      </c>
      <c r="F1199" s="18" t="str">
        <f>VLOOKUP(E1199,Listas!B1:C1004,2,0)</f>
        <v>EGRESADO</v>
      </c>
      <c r="G1199" s="19">
        <f>VLOOKUP(A1199,'ESTADOS ESTUDIANTES'!B:L,7,0)</f>
        <v>3</v>
      </c>
      <c r="H1199" s="19" t="str">
        <f>VLOOKUP(A1199,'ESTADOS ESTUDIANTES'!B:L,8,0)</f>
        <v>idvillegasi@udistrital.edu.co</v>
      </c>
      <c r="I1199" s="70" t="str">
        <f>VLOOKUP(A1199,'ESTADOS ESTUDIANTES'!B:L,9,0)</f>
        <v>ivandanielvillegasisasa@gmail.com</v>
      </c>
      <c r="J1199" s="19" t="str">
        <f>VLOOKUP(A1199,'ESTADOS ESTUDIANTES'!B:L,10,0)</f>
        <v>CC</v>
      </c>
      <c r="K1199" s="19">
        <f>VLOOKUP(A1199,'ESTADOS ESTUDIANTES'!B:L,11,0)</f>
        <v>1072712551</v>
      </c>
      <c r="L1199" s="19">
        <v>3102832000</v>
      </c>
      <c r="M1199" s="20">
        <v>35427</v>
      </c>
      <c r="N1199" s="22"/>
      <c r="O1199" s="15"/>
      <c r="P1199" s="15"/>
      <c r="Q1199" s="15"/>
      <c r="R1199" s="15"/>
      <c r="S1199" s="15"/>
      <c r="T1199" s="15"/>
      <c r="U1199" s="15"/>
    </row>
    <row r="1200" spans="1:21" ht="90">
      <c r="A1200" s="17">
        <v>20221195001</v>
      </c>
      <c r="B1200" s="19" t="str">
        <f>VLOOKUP(A1200,'ESTADOS ESTUDIANTES'!B:L,2,0)</f>
        <v>MARTINEZ MORENO KAREN GERALDINE</v>
      </c>
      <c r="C1200" s="19">
        <f>VLOOKUP(A1200,'ESTADOS ESTUDIANTES'!B:L,3,0)</f>
        <v>195</v>
      </c>
      <c r="D1200" s="66" t="str">
        <f>VLOOKUP(A1200,'ESTADOS ESTUDIANTES'!B:L,4,0)</f>
        <v>MAE. EN CIENCIAS DE LA INF. Y LAS COMUNICACIONES ENFASIS EN TELEINF.</v>
      </c>
      <c r="E1200" s="19" t="str">
        <f>VLOOKUP(A1200,'ESTADOS ESTUDIANTES'!B:L,5,0)</f>
        <v>A</v>
      </c>
      <c r="F1200" s="18" t="str">
        <f>VLOOKUP(E1200,Listas!B1:C1004,2,0)</f>
        <v>ACTIVO</v>
      </c>
      <c r="G1200" s="19">
        <f>VLOOKUP(A1200,'ESTADOS ESTUDIANTES'!B:L,7,0)</f>
        <v>2</v>
      </c>
      <c r="H1200" s="19" t="str">
        <f>VLOOKUP(A1200,'ESTADOS ESTUDIANTES'!B:L,8,0)</f>
        <v>kgmartinezm@udistrital.edu.co</v>
      </c>
      <c r="I1200" s="70" t="str">
        <f>VLOOKUP(A1200,'ESTADOS ESTUDIANTES'!B:L,9,0)</f>
        <v>kgmartinezm@gmail.com</v>
      </c>
      <c r="J1200" s="19" t="str">
        <f>VLOOKUP(A1200,'ESTADOS ESTUDIANTES'!B:L,10,0)</f>
        <v>CC</v>
      </c>
      <c r="K1200" s="19">
        <f>VLOOKUP(A1200,'ESTADOS ESTUDIANTES'!B:L,11,0)</f>
        <v>1023935057</v>
      </c>
      <c r="L1200" s="19">
        <v>3125865869</v>
      </c>
      <c r="M1200" s="20"/>
      <c r="N1200" s="22"/>
      <c r="O1200" s="15"/>
      <c r="P1200" s="15"/>
      <c r="Q1200" s="15"/>
      <c r="R1200" s="15"/>
      <c r="S1200" s="15"/>
      <c r="T1200" s="15"/>
      <c r="U1200" s="15"/>
    </row>
    <row r="1201" spans="1:21" ht="90">
      <c r="A1201" s="17">
        <v>20221195002</v>
      </c>
      <c r="B1201" s="19" t="str">
        <f>VLOOKUP(A1201,'ESTADOS ESTUDIANTES'!B:L,2,0)</f>
        <v>NIÑO RIVERA JUAN JOSE</v>
      </c>
      <c r="C1201" s="19">
        <f>VLOOKUP(A1201,'ESTADOS ESTUDIANTES'!B:L,3,0)</f>
        <v>195</v>
      </c>
      <c r="D1201" s="66" t="str">
        <f>VLOOKUP(A1201,'ESTADOS ESTUDIANTES'!B:L,4,0)</f>
        <v>MAE. EN CIENCIAS DE LA INF. Y LAS COMUNICACIONES ENFASIS EN TELEINF.</v>
      </c>
      <c r="E1201" s="19" t="str">
        <f>VLOOKUP(A1201,'ESTADOS ESTUDIANTES'!B:L,5,0)</f>
        <v>N</v>
      </c>
      <c r="F1201" s="18" t="str">
        <f>VLOOKUP(E1201,Listas!B1:C1004,2,0)</f>
        <v>ERROR DE CODIGO</v>
      </c>
      <c r="G1201" s="19">
        <f>VLOOKUP(A1201,'ESTADOS ESTUDIANTES'!B:L,7,0)</f>
        <v>1</v>
      </c>
      <c r="H1201" s="19">
        <f>VLOOKUP(A1201,'ESTADOS ESTUDIANTES'!B:L,8,0)</f>
        <v>0</v>
      </c>
      <c r="I1201" s="70" t="str">
        <f>VLOOKUP(A1201,'ESTADOS ESTUDIANTES'!B:L,9,0)</f>
        <v>jnino82@hotmail.com</v>
      </c>
      <c r="J1201" s="19" t="str">
        <f>VLOOKUP(A1201,'ESTADOS ESTUDIANTES'!B:L,10,0)</f>
        <v>CC</v>
      </c>
      <c r="K1201" s="19">
        <f>VLOOKUP(A1201,'ESTADOS ESTUDIANTES'!B:L,11,0)</f>
        <v>79628479</v>
      </c>
      <c r="L1201" s="23"/>
      <c r="M1201" s="20"/>
      <c r="N1201" s="22"/>
      <c r="O1201" s="15"/>
      <c r="P1201" s="15"/>
      <c r="Q1201" s="15"/>
      <c r="R1201" s="15"/>
      <c r="S1201" s="15"/>
      <c r="T1201" s="15"/>
      <c r="U1201" s="15"/>
    </row>
    <row r="1202" spans="1:21" ht="90">
      <c r="A1202" s="17">
        <v>20221195003</v>
      </c>
      <c r="B1202" s="19" t="str">
        <f>VLOOKUP(A1202,'ESTADOS ESTUDIANTES'!B:L,2,0)</f>
        <v>TRIANA USECHE JORDAN CAMILO</v>
      </c>
      <c r="C1202" s="19">
        <f>VLOOKUP(A1202,'ESTADOS ESTUDIANTES'!B:L,3,0)</f>
        <v>195</v>
      </c>
      <c r="D1202" s="66" t="str">
        <f>VLOOKUP(A1202,'ESTADOS ESTUDIANTES'!B:L,4,0)</f>
        <v>MAE. EN CIENCIAS DE LA INF. Y LAS COMUNICACIONES ENFASIS EN TELEINF.</v>
      </c>
      <c r="E1202" s="19" t="str">
        <f>VLOOKUP(A1202,'ESTADOS ESTUDIANTES'!B:L,5,0)</f>
        <v>E</v>
      </c>
      <c r="F1202" s="18" t="str">
        <f>VLOOKUP(E1202,Listas!B1:C1004,2,0)</f>
        <v>EGRESADO</v>
      </c>
      <c r="G1202" s="19">
        <f>VLOOKUP(A1202,'ESTADOS ESTUDIANTES'!B:L,7,0)</f>
        <v>3</v>
      </c>
      <c r="H1202" s="19" t="str">
        <f>VLOOKUP(A1202,'ESTADOS ESTUDIANTES'!B:L,8,0)</f>
        <v>jctrianau@udistrital.edu.co</v>
      </c>
      <c r="I1202" s="70" t="str">
        <f>VLOOKUP(A1202,'ESTADOS ESTUDIANTES'!B:L,9,0)</f>
        <v>jordan49@hotmail.com</v>
      </c>
      <c r="J1202" s="19" t="str">
        <f>VLOOKUP(A1202,'ESTADOS ESTUDIANTES'!B:L,10,0)</f>
        <v>CC</v>
      </c>
      <c r="K1202" s="19">
        <f>VLOOKUP(A1202,'ESTADOS ESTUDIANTES'!B:L,11,0)</f>
        <v>1024541006</v>
      </c>
      <c r="L1202" s="19">
        <v>3194670349</v>
      </c>
      <c r="M1202" s="20"/>
      <c r="N1202" s="22"/>
      <c r="O1202" s="15"/>
      <c r="P1202" s="15"/>
      <c r="Q1202" s="15"/>
      <c r="R1202" s="15"/>
      <c r="S1202" s="15"/>
      <c r="T1202" s="15"/>
      <c r="U1202" s="15"/>
    </row>
    <row r="1203" spans="1:21" ht="105">
      <c r="A1203" s="17">
        <v>20221395001</v>
      </c>
      <c r="B1203" s="19" t="str">
        <f>VLOOKUP(A1203,'ESTADOS ESTUDIANTES'!B:L,2,0)</f>
        <v>ANGEL VILLAREAL SERGIO LEONARDO</v>
      </c>
      <c r="C1203" s="19">
        <f>VLOOKUP(A1203,'ESTADOS ESTUDIANTES'!B:L,3,0)</f>
        <v>395</v>
      </c>
      <c r="D1203" s="66" t="str">
        <f>VLOOKUP(A1203,'ESTADOS ESTUDIANTES'!B:L,4,0)</f>
        <v>MAE. EN CIENCIAS DE LA INF. Y LAS COMUNICACIONES ENFASIS EN GEOMATICA</v>
      </c>
      <c r="E1203" s="19" t="str">
        <f>VLOOKUP(A1203,'ESTADOS ESTUDIANTES'!B:L,5,0)</f>
        <v>X</v>
      </c>
      <c r="F1203" s="18" t="str">
        <f>VLOOKUP(E1203,Listas!B1:C1004,2,0)</f>
        <v>EXCLUIDO</v>
      </c>
      <c r="G1203" s="19">
        <f>VLOOKUP(A1203,'ESTADOS ESTUDIANTES'!B:L,7,0)</f>
        <v>3</v>
      </c>
      <c r="H1203" s="19" t="str">
        <f>VLOOKUP(A1203,'ESTADOS ESTUDIANTES'!B:L,8,0)</f>
        <v>slangelv@udistrital.edu.co</v>
      </c>
      <c r="I1203" s="70" t="str">
        <f>VLOOKUP(A1203,'ESTADOS ESTUDIANTES'!B:L,9,0)</f>
        <v>angelvsergio@gmail.com</v>
      </c>
      <c r="J1203" s="19" t="str">
        <f>VLOOKUP(A1203,'ESTADOS ESTUDIANTES'!B:L,10,0)</f>
        <v>CC</v>
      </c>
      <c r="K1203" s="19">
        <f>VLOOKUP(A1203,'ESTADOS ESTUDIANTES'!B:L,11,0)</f>
        <v>1030631243</v>
      </c>
      <c r="L1203" s="19">
        <v>3204542891</v>
      </c>
      <c r="M1203" s="20"/>
      <c r="N1203" s="22"/>
      <c r="O1203" s="15"/>
      <c r="P1203" s="15"/>
      <c r="Q1203" s="15"/>
      <c r="R1203" s="15"/>
      <c r="S1203" s="15"/>
      <c r="T1203" s="15"/>
      <c r="U1203" s="15"/>
    </row>
    <row r="1204" spans="1:21" ht="105">
      <c r="A1204" s="508">
        <v>20221395002</v>
      </c>
      <c r="B1204" s="19" t="str">
        <f>VLOOKUP(A1204,'ESTADOS ESTUDIANTES'!B:L,2,0)</f>
        <v>CABEZAS MARTIN GONZALO</v>
      </c>
      <c r="C1204" s="19">
        <f>VLOOKUP(A1204,'ESTADOS ESTUDIANTES'!B:L,3,0)</f>
        <v>395</v>
      </c>
      <c r="D1204" s="66" t="str">
        <f>VLOOKUP(A1204,'ESTADOS ESTUDIANTES'!B:L,4,0)</f>
        <v>MAE. EN CIENCIAS DE LA INF. Y LAS COMUNICACIONES ENFASIS EN GEOMATICA</v>
      </c>
      <c r="E1204" s="19" t="str">
        <f>VLOOKUP(A1204,'ESTADOS ESTUDIANTES'!B:L,5,0)</f>
        <v>E</v>
      </c>
      <c r="F1204" s="18" t="str">
        <f>VLOOKUP(E1204,Listas!B1:C1004,2,0)</f>
        <v>EGRESADO</v>
      </c>
      <c r="G1204" s="19" t="str">
        <f>VLOOKUP(A1204,'ESTADOS ESTUDIANTES'!B:L,7,0)</f>
        <v>NO REGISTRA</v>
      </c>
      <c r="H1204" s="19" t="str">
        <f>VLOOKUP(A1204,'ESTADOS ESTUDIANTES'!B:L,8,0)</f>
        <v>gcabezasm@udistrital.edu.co</v>
      </c>
      <c r="I1204" s="70" t="str">
        <f>VLOOKUP(A1204,'ESTADOS ESTUDIANTES'!B:L,9,0)</f>
        <v>gonzalocabezas06@gmail.com</v>
      </c>
      <c r="J1204" s="19" t="str">
        <f>VLOOKUP(A1204,'ESTADOS ESTUDIANTES'!B:L,10,0)</f>
        <v>CC</v>
      </c>
      <c r="K1204" s="19">
        <f>VLOOKUP(A1204,'ESTADOS ESTUDIANTES'!B:L,11,0)</f>
        <v>1018477001</v>
      </c>
      <c r="L1204" s="19">
        <v>3219534044</v>
      </c>
      <c r="M1204" s="20"/>
      <c r="N1204" s="22"/>
      <c r="O1204" s="15"/>
      <c r="P1204" s="15"/>
      <c r="Q1204" s="15"/>
      <c r="R1204" s="15"/>
      <c r="S1204" s="15"/>
      <c r="T1204" s="15"/>
      <c r="U1204" s="15"/>
    </row>
    <row r="1205" spans="1:21" ht="105">
      <c r="A1205" s="17">
        <v>20221395003</v>
      </c>
      <c r="B1205" s="19" t="str">
        <f>VLOOKUP(A1205,'ESTADOS ESTUDIANTES'!B:L,2,0)</f>
        <v>CUMBE LOAIZA LAURA CAMILA</v>
      </c>
      <c r="C1205" s="19">
        <f>VLOOKUP(A1205,'ESTADOS ESTUDIANTES'!B:L,3,0)</f>
        <v>395</v>
      </c>
      <c r="D1205" s="66" t="str">
        <f>VLOOKUP(A1205,'ESTADOS ESTUDIANTES'!B:L,4,0)</f>
        <v>MAE. EN CIENCIAS DE LA INF. Y LAS COMUNICACIONES ENFASIS EN GEOMATICA</v>
      </c>
      <c r="E1205" s="19" t="str">
        <f>VLOOKUP(A1205,'ESTADOS ESTUDIANTES'!B:L,5,0)</f>
        <v>E</v>
      </c>
      <c r="F1205" s="18" t="str">
        <f>VLOOKUP(E1205,Listas!B1:C1004,2,0)</f>
        <v>EGRESADO</v>
      </c>
      <c r="G1205" s="19">
        <f>VLOOKUP(A1205,'ESTADOS ESTUDIANTES'!B:L,7,0)</f>
        <v>2</v>
      </c>
      <c r="H1205" s="19" t="str">
        <f>VLOOKUP(A1205,'ESTADOS ESTUDIANTES'!B:L,8,0)</f>
        <v>lccumbel@udistrital.edu.co</v>
      </c>
      <c r="I1205" s="70" t="str">
        <f>VLOOKUP(A1205,'ESTADOS ESTUDIANTES'!B:L,9,0)</f>
        <v>cumbelc@gmail.com</v>
      </c>
      <c r="J1205" s="19" t="str">
        <f>VLOOKUP(A1205,'ESTADOS ESTUDIANTES'!B:L,10,0)</f>
        <v>CC</v>
      </c>
      <c r="K1205" s="19">
        <f>VLOOKUP(A1205,'ESTADOS ESTUDIANTES'!B:L,11,0)</f>
        <v>1012391241</v>
      </c>
      <c r="L1205" s="19">
        <v>3162523202</v>
      </c>
      <c r="M1205" s="20"/>
      <c r="N1205" s="22"/>
      <c r="O1205" s="15"/>
      <c r="P1205" s="15"/>
      <c r="Q1205" s="15"/>
      <c r="R1205" s="15"/>
      <c r="S1205" s="15"/>
      <c r="T1205" s="15"/>
      <c r="U1205" s="15"/>
    </row>
    <row r="1206" spans="1:21" ht="105">
      <c r="A1206" s="17">
        <v>20221395004</v>
      </c>
      <c r="B1206" s="19" t="str">
        <f>VLOOKUP(A1206,'ESTADOS ESTUDIANTES'!B:L,2,0)</f>
        <v>GUERRERO VARONA LUIS MIGUEL</v>
      </c>
      <c r="C1206" s="19">
        <f>VLOOKUP(A1206,'ESTADOS ESTUDIANTES'!B:L,3,0)</f>
        <v>395</v>
      </c>
      <c r="D1206" s="66" t="str">
        <f>VLOOKUP(A1206,'ESTADOS ESTUDIANTES'!B:L,4,0)</f>
        <v>MAE. EN CIENCIAS DE LA INF. Y LAS COMUNICACIONES ENFASIS EN GEOMATICA</v>
      </c>
      <c r="E1206" s="19" t="str">
        <f>VLOOKUP(A1206,'ESTADOS ESTUDIANTES'!B:L,5,0)</f>
        <v>E</v>
      </c>
      <c r="F1206" s="18" t="str">
        <f>VLOOKUP(E1206,Listas!B1:C1004,2,0)</f>
        <v>EGRESADO</v>
      </c>
      <c r="G1206" s="19">
        <f>VLOOKUP(A1206,'ESTADOS ESTUDIANTES'!B:L,7,0)</f>
        <v>3</v>
      </c>
      <c r="H1206" s="19" t="str">
        <f>VLOOKUP(A1206,'ESTADOS ESTUDIANTES'!B:L,8,0)</f>
        <v>lmguerrerov@udistrital.edu.co</v>
      </c>
      <c r="I1206" s="70" t="str">
        <f>VLOOKUP(A1206,'ESTADOS ESTUDIANTES'!B:L,9,0)</f>
        <v>lmguerrerov@udistrital.edu.co</v>
      </c>
      <c r="J1206" s="19" t="str">
        <f>VLOOKUP(A1206,'ESTADOS ESTUDIANTES'!B:L,10,0)</f>
        <v>CC</v>
      </c>
      <c r="K1206" s="19">
        <f>VLOOKUP(A1206,'ESTADOS ESTUDIANTES'!B:L,11,0)</f>
        <v>1030534583</v>
      </c>
      <c r="L1206" s="19">
        <v>3246804677</v>
      </c>
      <c r="M1206" s="20"/>
      <c r="N1206" s="22"/>
      <c r="O1206" s="15"/>
      <c r="P1206" s="15"/>
      <c r="Q1206" s="15"/>
      <c r="R1206" s="15"/>
      <c r="S1206" s="15"/>
      <c r="T1206" s="15"/>
      <c r="U1206" s="15"/>
    </row>
    <row r="1207" spans="1:21" ht="105">
      <c r="A1207" s="17">
        <v>20221395005</v>
      </c>
      <c r="B1207" s="19" t="str">
        <f>VLOOKUP(A1207,'ESTADOS ESTUDIANTES'!B:L,2,0)</f>
        <v>MENDOZA RINCON JORGE ALIRIO</v>
      </c>
      <c r="C1207" s="19">
        <f>VLOOKUP(A1207,'ESTADOS ESTUDIANTES'!B:L,3,0)</f>
        <v>395</v>
      </c>
      <c r="D1207" s="66" t="str">
        <f>VLOOKUP(A1207,'ESTADOS ESTUDIANTES'!B:L,4,0)</f>
        <v>MAE. EN CIENCIAS DE LA INF. Y LAS COMUNICACIONES ENFASIS EN GEOMATICA</v>
      </c>
      <c r="E1207" s="19" t="str">
        <f>VLOOKUP(A1207,'ESTADOS ESTUDIANTES'!B:L,5,0)</f>
        <v>X</v>
      </c>
      <c r="F1207" s="18" t="str">
        <f>VLOOKUP(E1207,Listas!B1:C1004,2,0)</f>
        <v>EXCLUIDO</v>
      </c>
      <c r="G1207" s="19">
        <f>VLOOKUP(A1207,'ESTADOS ESTUDIANTES'!B:L,7,0)</f>
        <v>3</v>
      </c>
      <c r="H1207" s="19">
        <f>VLOOKUP(A1207,'ESTADOS ESTUDIANTES'!B:L,8,0)</f>
        <v>0</v>
      </c>
      <c r="I1207" s="70" t="str">
        <f>VLOOKUP(A1207,'ESTADOS ESTUDIANTES'!B:L,9,0)</f>
        <v>aliriomri@gmail.com</v>
      </c>
      <c r="J1207" s="19" t="str">
        <f>VLOOKUP(A1207,'ESTADOS ESTUDIANTES'!B:L,10,0)</f>
        <v>CC</v>
      </c>
      <c r="K1207" s="19">
        <f>VLOOKUP(A1207,'ESTADOS ESTUDIANTES'!B:L,11,0)</f>
        <v>4211815</v>
      </c>
      <c r="L1207" s="23"/>
      <c r="M1207" s="20"/>
      <c r="N1207" s="22"/>
      <c r="O1207" s="15"/>
      <c r="P1207" s="15"/>
      <c r="Q1207" s="15"/>
      <c r="R1207" s="15"/>
      <c r="S1207" s="15"/>
      <c r="T1207" s="15"/>
      <c r="U1207" s="15"/>
    </row>
    <row r="1208" spans="1:21" ht="105">
      <c r="A1208" s="17">
        <v>20221395006</v>
      </c>
      <c r="B1208" s="19" t="str">
        <f>VLOOKUP(A1208,'ESTADOS ESTUDIANTES'!B:L,2,0)</f>
        <v>PULIDO CASTILLO DIEGO MAURICIO</v>
      </c>
      <c r="C1208" s="19">
        <f>VLOOKUP(A1208,'ESTADOS ESTUDIANTES'!B:L,3,0)</f>
        <v>395</v>
      </c>
      <c r="D1208" s="66" t="str">
        <f>VLOOKUP(A1208,'ESTADOS ESTUDIANTES'!B:L,4,0)</f>
        <v>MAE. EN CIENCIAS DE LA INF. Y LAS COMUNICACIONES ENFASIS EN GEOMATICA</v>
      </c>
      <c r="E1208" s="19" t="str">
        <f>VLOOKUP(A1208,'ESTADOS ESTUDIANTES'!B:L,5,0)</f>
        <v>N</v>
      </c>
      <c r="F1208" s="18" t="str">
        <f>VLOOKUP(E1208,Listas!B1:C1004,2,0)</f>
        <v>ERROR DE CODIGO</v>
      </c>
      <c r="G1208" s="19" t="str">
        <f>VLOOKUP(A1208,'ESTADOS ESTUDIANTES'!B:L,7,0)</f>
        <v>NO REGISTRA</v>
      </c>
      <c r="H1208" s="19">
        <f>VLOOKUP(A1208,'ESTADOS ESTUDIANTES'!B:L,8,0)</f>
        <v>0</v>
      </c>
      <c r="I1208" s="70">
        <f>VLOOKUP(A1208,'ESTADOS ESTUDIANTES'!B:L,9,0)</f>
        <v>0</v>
      </c>
      <c r="J1208" s="19" t="str">
        <f>VLOOKUP(A1208,'ESTADOS ESTUDIANTES'!B:L,10,0)</f>
        <v>CC</v>
      </c>
      <c r="K1208" s="19">
        <f>VLOOKUP(A1208,'ESTADOS ESTUDIANTES'!B:L,11,0)</f>
        <v>1136882132</v>
      </c>
      <c r="L1208" s="23"/>
      <c r="M1208" s="20"/>
      <c r="N1208" s="22"/>
      <c r="O1208" s="15"/>
      <c r="P1208" s="15"/>
      <c r="Q1208" s="15"/>
      <c r="R1208" s="15"/>
      <c r="S1208" s="15"/>
      <c r="T1208" s="15"/>
      <c r="U1208" s="15"/>
    </row>
    <row r="1209" spans="1:21" ht="105">
      <c r="A1209" s="17">
        <v>20221395007</v>
      </c>
      <c r="B1209" s="19" t="str">
        <f>VLOOKUP(A1209,'ESTADOS ESTUDIANTES'!B:L,2,0)</f>
        <v>PULIDO CASTILLO DIEGO MAURICIO</v>
      </c>
      <c r="C1209" s="19">
        <f>VLOOKUP(A1209,'ESTADOS ESTUDIANTES'!B:L,3,0)</f>
        <v>395</v>
      </c>
      <c r="D1209" s="66" t="str">
        <f>VLOOKUP(A1209,'ESTADOS ESTUDIANTES'!B:L,4,0)</f>
        <v>MAE. EN CIENCIAS DE LA INF. Y LAS COMUNICACIONES ENFASIS EN GEOMATICA</v>
      </c>
      <c r="E1209" s="19" t="str">
        <f>VLOOKUP(A1209,'ESTADOS ESTUDIANTES'!B:L,5,0)</f>
        <v>N</v>
      </c>
      <c r="F1209" s="18" t="str">
        <f>VLOOKUP(E1209,Listas!B1:C1004,2,0)</f>
        <v>ERROR DE CODIGO</v>
      </c>
      <c r="G1209" s="19" t="str">
        <f>VLOOKUP(A1209,'ESTADOS ESTUDIANTES'!B:L,7,0)</f>
        <v>NO REGISTRA</v>
      </c>
      <c r="H1209" s="19">
        <f>VLOOKUP(A1209,'ESTADOS ESTUDIANTES'!B:L,8,0)</f>
        <v>0</v>
      </c>
      <c r="I1209" s="70" t="str">
        <f>VLOOKUP(A1209,'ESTADOS ESTUDIANTES'!B:L,9,0)</f>
        <v>dmpulidoc@correo.udistrital.edu.co</v>
      </c>
      <c r="J1209" s="19" t="str">
        <f>VLOOKUP(A1209,'ESTADOS ESTUDIANTES'!B:L,10,0)</f>
        <v>CC</v>
      </c>
      <c r="K1209" s="19">
        <f>VLOOKUP(A1209,'ESTADOS ESTUDIANTES'!B:L,11,0)</f>
        <v>1136882132</v>
      </c>
      <c r="L1209" s="21"/>
      <c r="M1209" s="20"/>
      <c r="N1209" s="22"/>
      <c r="O1209" s="15"/>
      <c r="P1209" s="15"/>
      <c r="Q1209" s="15"/>
      <c r="R1209" s="15"/>
      <c r="S1209" s="15"/>
      <c r="T1209" s="15"/>
      <c r="U1209" s="15"/>
    </row>
    <row r="1210" spans="1:21" ht="105">
      <c r="A1210" s="17">
        <v>20221395008</v>
      </c>
      <c r="B1210" s="19" t="str">
        <f>VLOOKUP(A1210,'ESTADOS ESTUDIANTES'!B:L,2,0)</f>
        <v>RODRIGUEZ LAYTON DANIEL MIGUEL</v>
      </c>
      <c r="C1210" s="19">
        <f>VLOOKUP(A1210,'ESTADOS ESTUDIANTES'!B:L,3,0)</f>
        <v>395</v>
      </c>
      <c r="D1210" s="66" t="str">
        <f>VLOOKUP(A1210,'ESTADOS ESTUDIANTES'!B:L,4,0)</f>
        <v>MAE. EN CIENCIAS DE LA INF. Y LAS COMUNICACIONES ENFASIS EN GEOMATICA</v>
      </c>
      <c r="E1210" s="19" t="str">
        <f>VLOOKUP(A1210,'ESTADOS ESTUDIANTES'!B:L,5,0)</f>
        <v>N</v>
      </c>
      <c r="F1210" s="18" t="str">
        <f>VLOOKUP(E1210,Listas!B1:C1004,2,0)</f>
        <v>ERROR DE CODIGO</v>
      </c>
      <c r="G1210" s="19">
        <f>VLOOKUP(A1210,'ESTADOS ESTUDIANTES'!B:L,7,0)</f>
        <v>3</v>
      </c>
      <c r="H1210" s="19">
        <f>VLOOKUP(A1210,'ESTADOS ESTUDIANTES'!B:L,8,0)</f>
        <v>0</v>
      </c>
      <c r="I1210" s="70" t="str">
        <f>VLOOKUP(A1210,'ESTADOS ESTUDIANTES'!B:L,9,0)</f>
        <v>dmrodriguezl@correo.udistrital.edu.co</v>
      </c>
      <c r="J1210" s="19" t="str">
        <f>VLOOKUP(A1210,'ESTADOS ESTUDIANTES'!B:L,10,0)</f>
        <v>CC</v>
      </c>
      <c r="K1210" s="19">
        <f>VLOOKUP(A1210,'ESTADOS ESTUDIANTES'!B:L,11,0)</f>
        <v>1016031602</v>
      </c>
      <c r="L1210" s="23"/>
      <c r="M1210" s="20"/>
      <c r="N1210" s="22"/>
      <c r="O1210" s="15"/>
      <c r="P1210" s="15"/>
      <c r="Q1210" s="15"/>
      <c r="R1210" s="15"/>
      <c r="S1210" s="15"/>
      <c r="T1210" s="15"/>
      <c r="U1210" s="15"/>
    </row>
    <row r="1211" spans="1:21" ht="105">
      <c r="A1211" s="17">
        <v>20221395009</v>
      </c>
      <c r="B1211" s="19" t="str">
        <f>VLOOKUP(A1211,'ESTADOS ESTUDIANTES'!B:L,2,0)</f>
        <v>JASON MAURICIO ROMERO RIOS</v>
      </c>
      <c r="C1211" s="19">
        <f>VLOOKUP(A1211,'ESTADOS ESTUDIANTES'!B:L,3,0)</f>
        <v>395</v>
      </c>
      <c r="D1211" s="66" t="str">
        <f>VLOOKUP(A1211,'ESTADOS ESTUDIANTES'!B:L,4,0)</f>
        <v>MAE. EN CIENCIAS DE LA INF. Y LAS COMUNICACIONES ENFASIS EN GEOMATICA</v>
      </c>
      <c r="E1211" s="19" t="str">
        <f>VLOOKUP(A1211,'ESTADOS ESTUDIANTES'!B:L,5,0)</f>
        <v>A</v>
      </c>
      <c r="F1211" s="18" t="str">
        <f>VLOOKUP(E1211,Listas!B1:C1004,2,0)</f>
        <v>ACTIVO</v>
      </c>
      <c r="G1211" s="19">
        <f>VLOOKUP(A1211,'ESTADOS ESTUDIANTES'!B:L,7,0)</f>
        <v>2</v>
      </c>
      <c r="H1211" s="19" t="str">
        <f>VLOOKUP(A1211,'ESTADOS ESTUDIANTES'!B:L,8,0)</f>
        <v>jamromeror@udistrital.edu.co</v>
      </c>
      <c r="I1211" s="70" t="str">
        <f>VLOOKUP(A1211,'ESTADOS ESTUDIANTES'!B:L,9,0)</f>
        <v>jamromeror@udistrital.edu.co</v>
      </c>
      <c r="J1211" s="19" t="str">
        <f>VLOOKUP(A1211,'ESTADOS ESTUDIANTES'!B:L,10,0)</f>
        <v>CC</v>
      </c>
      <c r="K1211" s="19">
        <f>VLOOKUP(A1211,'ESTADOS ESTUDIANTES'!B:L,11,0)</f>
        <v>1032501251</v>
      </c>
      <c r="L1211" s="19">
        <v>3203122493</v>
      </c>
      <c r="M1211" s="20"/>
      <c r="N1211" s="22"/>
      <c r="O1211" s="15"/>
      <c r="P1211" s="15"/>
      <c r="Q1211" s="15"/>
      <c r="R1211" s="15"/>
      <c r="S1211" s="15"/>
      <c r="T1211" s="15"/>
      <c r="U1211" s="15"/>
    </row>
    <row r="1212" spans="1:21" ht="105">
      <c r="A1212" s="17">
        <v>20221395010</v>
      </c>
      <c r="B1212" s="19" t="str">
        <f>VLOOKUP(A1212,'ESTADOS ESTUDIANTES'!B:L,2,0)</f>
        <v>ROJAS NARANJO JORGE ELIECER</v>
      </c>
      <c r="C1212" s="19">
        <f>VLOOKUP(A1212,'ESTADOS ESTUDIANTES'!B:L,3,0)</f>
        <v>395</v>
      </c>
      <c r="D1212" s="66" t="str">
        <f>VLOOKUP(A1212,'ESTADOS ESTUDIANTES'!B:L,4,0)</f>
        <v>MAE. EN CIENCIAS DE LA INF. Y LAS COMUNICACIONES ENFASIS EN GEOMATICA</v>
      </c>
      <c r="E1212" s="19" t="str">
        <f>VLOOKUP(A1212,'ESTADOS ESTUDIANTES'!B:L,5,0)</f>
        <v>V</v>
      </c>
      <c r="F1212" s="18" t="str">
        <f>VLOOKUP(E1212,Listas!B1:C1004,2,0)</f>
        <v>VACACIONES</v>
      </c>
      <c r="G1212" s="19">
        <f>VLOOKUP(A1212,'ESTADOS ESTUDIANTES'!B:L,7,0)</f>
        <v>3</v>
      </c>
      <c r="H1212" s="19" t="str">
        <f>VLOOKUP(A1212,'ESTADOS ESTUDIANTES'!B:L,8,0)</f>
        <v>jorerojasn@udistrital.edu.co</v>
      </c>
      <c r="I1212" s="70" t="str">
        <f>VLOOKUP(A1212,'ESTADOS ESTUDIANTES'!B:L,9,0)</f>
        <v>jerojasn@gmail.com</v>
      </c>
      <c r="J1212" s="19" t="str">
        <f>VLOOKUP(A1212,'ESTADOS ESTUDIANTES'!B:L,10,0)</f>
        <v>CC</v>
      </c>
      <c r="K1212" s="19">
        <f>VLOOKUP(A1212,'ESTADOS ESTUDIANTES'!B:L,11,0)</f>
        <v>80903757</v>
      </c>
      <c r="L1212" s="19">
        <v>3006399338</v>
      </c>
      <c r="M1212" s="20"/>
      <c r="N1212" s="22"/>
      <c r="O1212" s="15"/>
      <c r="P1212" s="15"/>
      <c r="Q1212" s="15"/>
      <c r="R1212" s="15"/>
      <c r="S1212" s="15"/>
      <c r="T1212" s="15"/>
      <c r="U1212" s="15"/>
    </row>
    <row r="1213" spans="1:21" ht="90">
      <c r="A1213" s="17">
        <v>20221495001</v>
      </c>
      <c r="B1213" s="19" t="str">
        <f>VLOOKUP(A1213,'ESTADOS ESTUDIANTES'!B:L,2,0)</f>
        <v>AREVALO SAAVEDRA DANELLY DESIREE</v>
      </c>
      <c r="C1213" s="19">
        <f>VLOOKUP(A1213,'ESTADOS ESTUDIANTES'!B:L,3,0)</f>
        <v>495</v>
      </c>
      <c r="D1213" s="66" t="str">
        <f>VLOOKUP(A1213,'ESTADOS ESTUDIANTES'!B:L,4,0)</f>
        <v>MAE. EN CIENCIAS DE LA INF. Y LAS COMUNICACIONES ENFASIS EN ING. SOFT</v>
      </c>
      <c r="E1213" s="19" t="str">
        <f>VLOOKUP(A1213,'ESTADOS ESTUDIANTES'!B:L,5,0)</f>
        <v>I</v>
      </c>
      <c r="F1213" s="18" t="str">
        <f>VLOOKUP(E1213,Listas!B1:C1004,2,0)</f>
        <v>INACTIVO</v>
      </c>
      <c r="G1213" s="19" t="str">
        <f>VLOOKUP(A1213,'ESTADOS ESTUDIANTES'!B:L,7,0)</f>
        <v>NO REGISTRA</v>
      </c>
      <c r="H1213" s="19">
        <f>VLOOKUP(A1213,'ESTADOS ESTUDIANTES'!B:L,8,0)</f>
        <v>0</v>
      </c>
      <c r="I1213" s="70" t="str">
        <f>VLOOKUP(A1213,'ESTADOS ESTUDIANTES'!B:L,9,0)</f>
        <v>darevalo@gmail.com</v>
      </c>
      <c r="J1213" s="19" t="str">
        <f>VLOOKUP(A1213,'ESTADOS ESTUDIANTES'!B:L,10,0)</f>
        <v>CC</v>
      </c>
      <c r="K1213" s="19">
        <f>VLOOKUP(A1213,'ESTADOS ESTUDIANTES'!B:L,11,0)</f>
        <v>40215192</v>
      </c>
      <c r="L1213" s="21"/>
      <c r="M1213" s="20"/>
      <c r="N1213" s="22"/>
      <c r="O1213" s="15"/>
      <c r="P1213" s="15"/>
      <c r="Q1213" s="15"/>
      <c r="R1213" s="15"/>
      <c r="S1213" s="15"/>
      <c r="T1213" s="15"/>
      <c r="U1213" s="15"/>
    </row>
    <row r="1214" spans="1:21" ht="90">
      <c r="A1214" s="17">
        <v>20221495002</v>
      </c>
      <c r="B1214" s="19" t="str">
        <f>VLOOKUP(A1214,'ESTADOS ESTUDIANTES'!B:L,2,0)</f>
        <v>BEJARANO MEDELLIN SEBASTIAN LEONARDO</v>
      </c>
      <c r="C1214" s="19">
        <f>VLOOKUP(A1214,'ESTADOS ESTUDIANTES'!B:L,3,0)</f>
        <v>495</v>
      </c>
      <c r="D1214" s="66" t="str">
        <f>VLOOKUP(A1214,'ESTADOS ESTUDIANTES'!B:L,4,0)</f>
        <v>MAE. EN CIENCIAS DE LA INF. Y LAS COMUNICACIONES ENFASIS EN ING. SOFT</v>
      </c>
      <c r="E1214" s="19" t="str">
        <f>VLOOKUP(A1214,'ESTADOS ESTUDIANTES'!B:L,5,0)</f>
        <v>V</v>
      </c>
      <c r="F1214" s="18" t="str">
        <f>VLOOKUP(E1214,Listas!B1:C1004,2,0)</f>
        <v>VACACIONES</v>
      </c>
      <c r="G1214" s="19">
        <f>VLOOKUP(A1214,'ESTADOS ESTUDIANTES'!B:L,7,0)</f>
        <v>3</v>
      </c>
      <c r="H1214" s="19" t="str">
        <f>VLOOKUP(A1214,'ESTADOS ESTUDIANTES'!B:L,8,0)</f>
        <v>slbejaranom@udistrital.edu.co</v>
      </c>
      <c r="I1214" s="70" t="str">
        <f>VLOOKUP(A1214,'ESTADOS ESTUDIANTES'!B:L,9,0)</f>
        <v>slbejaranom@gmail.com</v>
      </c>
      <c r="J1214" s="19" t="str">
        <f>VLOOKUP(A1214,'ESTADOS ESTUDIANTES'!B:L,10,0)</f>
        <v>CC</v>
      </c>
      <c r="K1214" s="19">
        <f>VLOOKUP(A1214,'ESTADOS ESTUDIANTES'!B:L,11,0)</f>
        <v>1030671497</v>
      </c>
      <c r="L1214" s="19">
        <v>3224093121</v>
      </c>
      <c r="M1214" s="20"/>
      <c r="N1214" s="22"/>
      <c r="O1214" s="15"/>
      <c r="P1214" s="15"/>
      <c r="Q1214" s="15"/>
      <c r="R1214" s="15"/>
      <c r="S1214" s="15"/>
      <c r="T1214" s="15"/>
      <c r="U1214" s="15"/>
    </row>
    <row r="1215" spans="1:21" ht="90">
      <c r="A1215" s="17">
        <v>20221495003</v>
      </c>
      <c r="B1215" s="19" t="str">
        <f>VLOOKUP(A1215,'ESTADOS ESTUDIANTES'!B:L,2,0)</f>
        <v>CAÑON ESQUIVEL JOSE DARIO</v>
      </c>
      <c r="C1215" s="19">
        <f>VLOOKUP(A1215,'ESTADOS ESTUDIANTES'!B:L,3,0)</f>
        <v>495</v>
      </c>
      <c r="D1215" s="66" t="str">
        <f>VLOOKUP(A1215,'ESTADOS ESTUDIANTES'!B:L,4,0)</f>
        <v>MAE. EN CIENCIAS DE LA INF. Y LAS COMUNICACIONES ENFASIS EN ING. SOFT</v>
      </c>
      <c r="E1215" s="19" t="str">
        <f>VLOOKUP(A1215,'ESTADOS ESTUDIANTES'!B:L,5,0)</f>
        <v>A</v>
      </c>
      <c r="F1215" s="18" t="str">
        <f>VLOOKUP(E1215,Listas!B1:C1004,2,0)</f>
        <v>ACTIVO</v>
      </c>
      <c r="G1215" s="19">
        <f>VLOOKUP(A1215,'ESTADOS ESTUDIANTES'!B:L,7,0)</f>
        <v>3</v>
      </c>
      <c r="H1215" s="19" t="str">
        <f>VLOOKUP(A1215,'ESTADOS ESTUDIANTES'!B:L,8,0)</f>
        <v>jdcanone@udistrital.edu.co</v>
      </c>
      <c r="I1215" s="70" t="str">
        <f>VLOOKUP(A1215,'ESTADOS ESTUDIANTES'!B:L,9,0)</f>
        <v>canonesquivel@hotmail.com</v>
      </c>
      <c r="J1215" s="19" t="str">
        <f>VLOOKUP(A1215,'ESTADOS ESTUDIANTES'!B:L,10,0)</f>
        <v>CC</v>
      </c>
      <c r="K1215" s="19">
        <f>VLOOKUP(A1215,'ESTADOS ESTUDIANTES'!B:L,11,0)</f>
        <v>1024502937</v>
      </c>
      <c r="L1215" s="19">
        <v>3156162336</v>
      </c>
      <c r="M1215" s="20"/>
      <c r="N1215" s="22"/>
      <c r="O1215" s="15"/>
      <c r="P1215" s="15"/>
      <c r="Q1215" s="15"/>
      <c r="R1215" s="15"/>
      <c r="S1215" s="15"/>
      <c r="T1215" s="15"/>
      <c r="U1215" s="15"/>
    </row>
    <row r="1216" spans="1:21" ht="90">
      <c r="A1216" s="17">
        <v>20221495004</v>
      </c>
      <c r="B1216" s="19" t="str">
        <f>VLOOKUP(A1216,'ESTADOS ESTUDIANTES'!B:L,2,0)</f>
        <v>CORTES SANCHEZ ISIDRO FRANCISCO</v>
      </c>
      <c r="C1216" s="19">
        <f>VLOOKUP(A1216,'ESTADOS ESTUDIANTES'!B:L,3,0)</f>
        <v>495</v>
      </c>
      <c r="D1216" s="66" t="str">
        <f>VLOOKUP(A1216,'ESTADOS ESTUDIANTES'!B:L,4,0)</f>
        <v>MAE. EN CIENCIAS DE LA INF. Y LAS COMUNICACIONES ENFASIS EN ING. SOFT</v>
      </c>
      <c r="E1216" s="19" t="str">
        <f>VLOOKUP(A1216,'ESTADOS ESTUDIANTES'!B:L,5,0)</f>
        <v>I</v>
      </c>
      <c r="F1216" s="18" t="str">
        <f>VLOOKUP(E1216,Listas!B1:C1004,2,0)</f>
        <v>INACTIVO</v>
      </c>
      <c r="G1216" s="19" t="str">
        <f>VLOOKUP(A1216,'ESTADOS ESTUDIANTES'!B:L,7,0)</f>
        <v>NO REGISTRA</v>
      </c>
      <c r="H1216" s="19">
        <f>VLOOKUP(A1216,'ESTADOS ESTUDIANTES'!B:L,8,0)</f>
        <v>0</v>
      </c>
      <c r="I1216" s="70" t="str">
        <f>VLOOKUP(A1216,'ESTADOS ESTUDIANTES'!B:L,9,0)</f>
        <v>cortes.franck@gmail.com</v>
      </c>
      <c r="J1216" s="19" t="str">
        <f>VLOOKUP(A1216,'ESTADOS ESTUDIANTES'!B:L,10,0)</f>
        <v>CC</v>
      </c>
      <c r="K1216" s="19">
        <f>VLOOKUP(A1216,'ESTADOS ESTUDIANTES'!B:L,11,0)</f>
        <v>80085326</v>
      </c>
      <c r="L1216" s="21"/>
      <c r="M1216" s="20"/>
      <c r="N1216" s="22"/>
      <c r="O1216" s="15"/>
      <c r="P1216" s="15"/>
      <c r="Q1216" s="15"/>
      <c r="R1216" s="15"/>
      <c r="S1216" s="15"/>
      <c r="T1216" s="15"/>
      <c r="U1216" s="15"/>
    </row>
    <row r="1217" spans="1:21" ht="90">
      <c r="A1217" s="508">
        <v>20221495005</v>
      </c>
      <c r="B1217" s="19" t="str">
        <f>VLOOKUP(A1217,'ESTADOS ESTUDIANTES'!B:L,2,0)</f>
        <v>FORERO CASTRO DIEGO DANIEL</v>
      </c>
      <c r="C1217" s="19">
        <f>VLOOKUP(A1217,'ESTADOS ESTUDIANTES'!B:L,3,0)</f>
        <v>495</v>
      </c>
      <c r="D1217" s="66" t="str">
        <f>VLOOKUP(A1217,'ESTADOS ESTUDIANTES'!B:L,4,0)</f>
        <v>MAE. EN CIENCIAS DE LA INF. Y LAS COMUNICACIONES ENFASIS EN ING. SOFT</v>
      </c>
      <c r="E1217" s="19" t="str">
        <f>VLOOKUP(A1217,'ESTADOS ESTUDIANTES'!B:L,5,0)</f>
        <v>E</v>
      </c>
      <c r="F1217" s="18" t="str">
        <f>VLOOKUP(E1217,Listas!B1:C1004,2,0)</f>
        <v>EGRESADO</v>
      </c>
      <c r="G1217" s="19">
        <f>VLOOKUP(A1217,'ESTADOS ESTUDIANTES'!B:L,7,0)</f>
        <v>2</v>
      </c>
      <c r="H1217" s="19" t="str">
        <f>VLOOKUP(A1217,'ESTADOS ESTUDIANTES'!B:L,8,0)</f>
        <v>ddforeroc@udistrital.edu.co</v>
      </c>
      <c r="I1217" s="70" t="str">
        <f>VLOOKUP(A1217,'ESTADOS ESTUDIANTES'!B:L,9,0)</f>
        <v>ddforeroc@gmail.com</v>
      </c>
      <c r="J1217" s="19" t="str">
        <f>VLOOKUP(A1217,'ESTADOS ESTUDIANTES'!B:L,10,0)</f>
        <v>CC</v>
      </c>
      <c r="K1217" s="19">
        <f>VLOOKUP(A1217,'ESTADOS ESTUDIANTES'!B:L,11,0)</f>
        <v>1010219920</v>
      </c>
      <c r="L1217" s="19">
        <v>3124029463</v>
      </c>
      <c r="M1217" s="20"/>
      <c r="N1217" s="22"/>
      <c r="O1217" s="15"/>
      <c r="P1217" s="15"/>
      <c r="Q1217" s="15"/>
      <c r="R1217" s="15"/>
      <c r="S1217" s="15"/>
      <c r="T1217" s="15"/>
      <c r="U1217" s="15"/>
    </row>
    <row r="1218" spans="1:21" ht="90">
      <c r="A1218" s="17">
        <v>20221495006</v>
      </c>
      <c r="B1218" s="19" t="str">
        <f>VLOOKUP(A1218,'ESTADOS ESTUDIANTES'!B:L,2,0)</f>
        <v>JIMENEZ HASTAMORIR LINA MARIA</v>
      </c>
      <c r="C1218" s="19">
        <f>VLOOKUP(A1218,'ESTADOS ESTUDIANTES'!B:L,3,0)</f>
        <v>495</v>
      </c>
      <c r="D1218" s="66" t="str">
        <f>VLOOKUP(A1218,'ESTADOS ESTUDIANTES'!B:L,4,0)</f>
        <v>MAE. EN CIENCIAS DE LA INF. Y LAS COMUNICACIONES ENFASIS EN ING. SOFT</v>
      </c>
      <c r="E1218" s="19" t="str">
        <f>VLOOKUP(A1218,'ESTADOS ESTUDIANTES'!B:L,5,0)</f>
        <v>X</v>
      </c>
      <c r="F1218" s="18" t="str">
        <f>VLOOKUP(E1218,Listas!B1:C1004,2,0)</f>
        <v>EXCLUIDO</v>
      </c>
      <c r="G1218" s="19">
        <f>VLOOKUP(A1218,'ESTADOS ESTUDIANTES'!B:L,7,0)</f>
        <v>4</v>
      </c>
      <c r="H1218" s="19" t="str">
        <f>VLOOKUP(A1218,'ESTADOS ESTUDIANTES'!B:L,8,0)</f>
        <v>lmjimenezh@udistrital.edu.co</v>
      </c>
      <c r="I1218" s="70" t="str">
        <f>VLOOKUP(A1218,'ESTADOS ESTUDIANTES'!B:L,9,0)</f>
        <v>lnmrjmnz@gmail.com</v>
      </c>
      <c r="J1218" s="19" t="str">
        <f>VLOOKUP(A1218,'ESTADOS ESTUDIANTES'!B:L,10,0)</f>
        <v>CC</v>
      </c>
      <c r="K1218" s="19">
        <f>VLOOKUP(A1218,'ESTADOS ESTUDIANTES'!B:L,11,0)</f>
        <v>1018460076</v>
      </c>
      <c r="L1218" s="19">
        <v>3203356903</v>
      </c>
      <c r="M1218" s="20"/>
      <c r="N1218" s="22"/>
      <c r="O1218" s="15"/>
      <c r="P1218" s="15"/>
      <c r="Q1218" s="15"/>
      <c r="R1218" s="15"/>
      <c r="S1218" s="15"/>
      <c r="T1218" s="15"/>
      <c r="U1218" s="15"/>
    </row>
    <row r="1219" spans="1:21" ht="90">
      <c r="A1219" s="17">
        <v>20221495007</v>
      </c>
      <c r="B1219" s="19" t="str">
        <f>VLOOKUP(A1219,'ESTADOS ESTUDIANTES'!B:L,2,0)</f>
        <v>OVIES PULIDO DOUGLAS ROLANDO</v>
      </c>
      <c r="C1219" s="19">
        <f>VLOOKUP(A1219,'ESTADOS ESTUDIANTES'!B:L,3,0)</f>
        <v>495</v>
      </c>
      <c r="D1219" s="66" t="str">
        <f>VLOOKUP(A1219,'ESTADOS ESTUDIANTES'!B:L,4,0)</f>
        <v>MAE. EN CIENCIAS DE LA INF. Y LAS COMUNICACIONES ENFASIS EN ING. SOFT</v>
      </c>
      <c r="E1219" s="19" t="str">
        <f>VLOOKUP(A1219,'ESTADOS ESTUDIANTES'!B:L,5,0)</f>
        <v>I</v>
      </c>
      <c r="F1219" s="18" t="str">
        <f>VLOOKUP(E1219,Listas!B1:C1004,2,0)</f>
        <v>INACTIVO</v>
      </c>
      <c r="G1219" s="19">
        <f>VLOOKUP(A1219,'ESTADOS ESTUDIANTES'!B:L,7,0)</f>
        <v>3</v>
      </c>
      <c r="H1219" s="19">
        <f>VLOOKUP(A1219,'ESTADOS ESTUDIANTES'!B:L,8,0)</f>
        <v>0</v>
      </c>
      <c r="I1219" s="70" t="str">
        <f>VLOOKUP(A1219,'ESTADOS ESTUDIANTES'!B:L,9,0)</f>
        <v>dovies@hotmail.com</v>
      </c>
      <c r="J1219" s="19" t="str">
        <f>VLOOKUP(A1219,'ESTADOS ESTUDIANTES'!B:L,10,0)</f>
        <v>CC</v>
      </c>
      <c r="K1219" s="19">
        <f>VLOOKUP(A1219,'ESTADOS ESTUDIANTES'!B:L,11,0)</f>
        <v>79707916</v>
      </c>
      <c r="L1219" s="23"/>
      <c r="M1219" s="20"/>
      <c r="N1219" s="22"/>
      <c r="O1219" s="15"/>
      <c r="P1219" s="15"/>
      <c r="Q1219" s="15"/>
      <c r="R1219" s="15"/>
      <c r="S1219" s="15"/>
      <c r="T1219" s="15"/>
      <c r="U1219" s="15"/>
    </row>
    <row r="1220" spans="1:21" ht="90">
      <c r="A1220" s="17">
        <v>20221495008</v>
      </c>
      <c r="B1220" s="19" t="str">
        <f>VLOOKUP(A1220,'ESTADOS ESTUDIANTES'!B:L,2,0)</f>
        <v>PERDOMO ORJUELA LUIS EDUARDO</v>
      </c>
      <c r="C1220" s="19">
        <f>VLOOKUP(A1220,'ESTADOS ESTUDIANTES'!B:L,3,0)</f>
        <v>495</v>
      </c>
      <c r="D1220" s="66" t="str">
        <f>VLOOKUP(A1220,'ESTADOS ESTUDIANTES'!B:L,4,0)</f>
        <v>MAE. EN CIENCIAS DE LA INF. Y LAS COMUNICACIONES ENFASIS EN ING. SOFT</v>
      </c>
      <c r="E1220" s="19" t="str">
        <f>VLOOKUP(A1220,'ESTADOS ESTUDIANTES'!B:L,5,0)</f>
        <v>X</v>
      </c>
      <c r="F1220" s="18" t="str">
        <f>VLOOKUP(E1220,Listas!B1:C1004,2,0)</f>
        <v>EXCLUIDO</v>
      </c>
      <c r="G1220" s="19">
        <f>VLOOKUP(A1220,'ESTADOS ESTUDIANTES'!B:L,7,0)</f>
        <v>3</v>
      </c>
      <c r="H1220" s="19" t="str">
        <f>VLOOKUP(A1220,'ESTADOS ESTUDIANTES'!B:L,8,0)</f>
        <v>leperdomoo@udistrital.edu.co</v>
      </c>
      <c r="I1220" s="70" t="str">
        <f>VLOOKUP(A1220,'ESTADOS ESTUDIANTES'!B:L,9,0)</f>
        <v>luis1988perdomo@gmail.com</v>
      </c>
      <c r="J1220" s="19" t="str">
        <f>VLOOKUP(A1220,'ESTADOS ESTUDIANTES'!B:L,10,0)</f>
        <v>CC</v>
      </c>
      <c r="K1220" s="19">
        <f>VLOOKUP(A1220,'ESTADOS ESTUDIANTES'!B:L,11,0)</f>
        <v>1020734582</v>
      </c>
      <c r="L1220" s="23"/>
      <c r="M1220" s="20"/>
      <c r="N1220" s="22"/>
      <c r="O1220" s="15"/>
      <c r="P1220" s="15"/>
      <c r="Q1220" s="15"/>
      <c r="R1220" s="15"/>
      <c r="S1220" s="15"/>
      <c r="T1220" s="15"/>
      <c r="U1220" s="15"/>
    </row>
    <row r="1221" spans="1:21" ht="90">
      <c r="A1221" s="17">
        <v>20221495009</v>
      </c>
      <c r="B1221" s="19" t="str">
        <f>VLOOKUP(A1221,'ESTADOS ESTUDIANTES'!B:L,2,0)</f>
        <v>PULIDO SIERRA PEDRO MANUEL</v>
      </c>
      <c r="C1221" s="19">
        <f>VLOOKUP(A1221,'ESTADOS ESTUDIANTES'!B:L,3,0)</f>
        <v>495</v>
      </c>
      <c r="D1221" s="66" t="str">
        <f>VLOOKUP(A1221,'ESTADOS ESTUDIANTES'!B:L,4,0)</f>
        <v>MAE. EN CIENCIAS DE LA INF. Y LAS COMUNICACIONES ENFASIS EN ING. SOFT</v>
      </c>
      <c r="E1221" s="19" t="str">
        <f>VLOOKUP(A1221,'ESTADOS ESTUDIANTES'!B:L,5,0)</f>
        <v>I</v>
      </c>
      <c r="F1221" s="18" t="str">
        <f>VLOOKUP(E1221,Listas!B1:C1004,2,0)</f>
        <v>INACTIVO</v>
      </c>
      <c r="G1221" s="19">
        <f>VLOOKUP(A1221,'ESTADOS ESTUDIANTES'!B:L,7,0)</f>
        <v>2</v>
      </c>
      <c r="H1221" s="19">
        <f>VLOOKUP(A1221,'ESTADOS ESTUDIANTES'!B:L,8,0)</f>
        <v>0</v>
      </c>
      <c r="I1221" s="70" t="str">
        <f>VLOOKUP(A1221,'ESTADOS ESTUDIANTES'!B:L,9,0)</f>
        <v>ing.pedropulido@gmail.com</v>
      </c>
      <c r="J1221" s="19" t="str">
        <f>VLOOKUP(A1221,'ESTADOS ESTUDIANTES'!B:L,10,0)</f>
        <v>CC</v>
      </c>
      <c r="K1221" s="19">
        <f>VLOOKUP(A1221,'ESTADOS ESTUDIANTES'!B:L,11,0)</f>
        <v>1010175170</v>
      </c>
      <c r="L1221" s="23"/>
      <c r="M1221" s="20"/>
      <c r="N1221" s="22"/>
      <c r="O1221" s="15"/>
      <c r="P1221" s="15"/>
      <c r="Q1221" s="15"/>
      <c r="R1221" s="15"/>
      <c r="S1221" s="15"/>
      <c r="T1221" s="15"/>
      <c r="U1221" s="15"/>
    </row>
    <row r="1222" spans="1:21" ht="122.25" customHeight="1">
      <c r="A1222" s="17">
        <v>20221495010</v>
      </c>
      <c r="B1222" s="19" t="str">
        <f>VLOOKUP(A1222,'ESTADOS ESTUDIANTES'!B:L,2,0)</f>
        <v>RODRIGUEZ DAZA NICOLAS</v>
      </c>
      <c r="C1222" s="19">
        <f>VLOOKUP(A1222,'ESTADOS ESTUDIANTES'!B:L,3,0)</f>
        <v>495</v>
      </c>
      <c r="D1222" s="66" t="str">
        <f>VLOOKUP(A1222,'ESTADOS ESTUDIANTES'!B:L,4,0)</f>
        <v>MAE. EN CIENCIAS DE LA INF. Y LAS COMUNICACIONES ENFASIS EN ING. SOFT</v>
      </c>
      <c r="E1222" s="19" t="str">
        <f>VLOOKUP(A1222,'ESTADOS ESTUDIANTES'!B:L,5,0)</f>
        <v>A</v>
      </c>
      <c r="F1222" s="18" t="str">
        <f>VLOOKUP(E1222,Listas!B1:C1004,2,0)</f>
        <v>ACTIVO</v>
      </c>
      <c r="G1222" s="19">
        <f>VLOOKUP(A1222,'ESTADOS ESTUDIANTES'!B:L,7,0)</f>
        <v>3</v>
      </c>
      <c r="H1222" s="19" t="str">
        <f>VLOOKUP(A1222,'ESTADOS ESTUDIANTES'!B:L,8,0)</f>
        <v>nrodriguezd@udistrital.edu.co</v>
      </c>
      <c r="I1222" s="70" t="str">
        <f>VLOOKUP(A1222,'ESTADOS ESTUDIANTES'!B:L,9,0)</f>
        <v>nicolasrd1808@gmail.com</v>
      </c>
      <c r="J1222" s="19" t="str">
        <f>VLOOKUP(A1222,'ESTADOS ESTUDIANTES'!B:L,10,0)</f>
        <v>CC</v>
      </c>
      <c r="K1222" s="19">
        <f>VLOOKUP(A1222,'ESTADOS ESTUDIANTES'!B:L,11,0)</f>
        <v>1032492665</v>
      </c>
      <c r="L1222" s="19">
        <v>3004183473</v>
      </c>
      <c r="M1222" s="20"/>
      <c r="N1222" s="22"/>
      <c r="O1222" s="15"/>
      <c r="P1222" s="15"/>
      <c r="Q1222" s="15"/>
      <c r="R1222" s="15"/>
      <c r="S1222" s="15"/>
      <c r="T1222" s="15"/>
      <c r="U1222" s="15"/>
    </row>
    <row r="1223" spans="1:21" ht="90">
      <c r="A1223" s="17">
        <v>20221495011</v>
      </c>
      <c r="B1223" s="19" t="str">
        <f>VLOOKUP(A1223,'ESTADOS ESTUDIANTES'!B:L,2,0)</f>
        <v>SALAMANCA BELTRAN CARLOS LEONARDO</v>
      </c>
      <c r="C1223" s="19">
        <f>VLOOKUP(A1223,'ESTADOS ESTUDIANTES'!B:L,3,0)</f>
        <v>495</v>
      </c>
      <c r="D1223" s="66" t="str">
        <f>VLOOKUP(A1223,'ESTADOS ESTUDIANTES'!B:L,4,0)</f>
        <v>MAE. EN CIENCIAS DE LA INF. Y LAS COMUNICACIONES ENFASIS EN ING. SOFT</v>
      </c>
      <c r="E1223" s="19" t="str">
        <f>VLOOKUP(A1223,'ESTADOS ESTUDIANTES'!B:L,5,0)</f>
        <v>N</v>
      </c>
      <c r="F1223" s="18" t="str">
        <f>VLOOKUP(E1223,Listas!B1:C1004,2,0)</f>
        <v>ERROR DE CODIGO</v>
      </c>
      <c r="G1223" s="19">
        <f>VLOOKUP(A1223,'ESTADOS ESTUDIANTES'!B:L,7,0)</f>
        <v>1</v>
      </c>
      <c r="H1223" s="19">
        <f>VLOOKUP(A1223,'ESTADOS ESTUDIANTES'!B:L,8,0)</f>
        <v>0</v>
      </c>
      <c r="I1223" s="70" t="str">
        <f>VLOOKUP(A1223,'ESTADOS ESTUDIANTES'!B:L,9,0)</f>
        <v>carlos2294@hotmail.com</v>
      </c>
      <c r="J1223" s="19" t="str">
        <f>VLOOKUP(A1223,'ESTADOS ESTUDIANTES'!B:L,10,0)</f>
        <v>CC</v>
      </c>
      <c r="K1223" s="19">
        <f>VLOOKUP(A1223,'ESTADOS ESTUDIANTES'!B:L,11,0)</f>
        <v>1012409872</v>
      </c>
      <c r="L1223" s="23"/>
      <c r="M1223" s="20"/>
      <c r="N1223" s="22"/>
      <c r="O1223" s="15"/>
      <c r="P1223" s="15"/>
      <c r="Q1223" s="15"/>
      <c r="R1223" s="15"/>
      <c r="S1223" s="15"/>
      <c r="T1223" s="15"/>
      <c r="U1223" s="15"/>
    </row>
    <row r="1224" spans="1:21" ht="90">
      <c r="A1224" s="508">
        <v>20221495012</v>
      </c>
      <c r="B1224" s="19" t="str">
        <f>VLOOKUP(A1224,'ESTADOS ESTUDIANTES'!B:L,2,0)</f>
        <v>SALAZAR ORTIZ JAIVER ESTIVEN</v>
      </c>
      <c r="C1224" s="19">
        <f>VLOOKUP(A1224,'ESTADOS ESTUDIANTES'!B:L,3,0)</f>
        <v>495</v>
      </c>
      <c r="D1224" s="66" t="str">
        <f>VLOOKUP(A1224,'ESTADOS ESTUDIANTES'!B:L,4,0)</f>
        <v>MAE. EN CIENCIAS DE LA INF. Y LAS COMUNICACIONES ENFASIS EN ING. SOFT</v>
      </c>
      <c r="E1224" s="19" t="str">
        <f>VLOOKUP(A1224,'ESTADOS ESTUDIANTES'!B:L,5,0)</f>
        <v>E</v>
      </c>
      <c r="F1224" s="18" t="str">
        <f>VLOOKUP(E1224,Listas!B1:C1004,2,0)</f>
        <v>EGRESADO</v>
      </c>
      <c r="G1224" s="19">
        <f>VLOOKUP(A1224,'ESTADOS ESTUDIANTES'!B:L,7,0)</f>
        <v>1</v>
      </c>
      <c r="H1224" s="19" t="str">
        <f>VLOOKUP(A1224,'ESTADOS ESTUDIANTES'!B:L,8,0)</f>
        <v>jesalazaro@udistrital.edu.co</v>
      </c>
      <c r="I1224" s="70" t="str">
        <f>VLOOKUP(A1224,'ESTADOS ESTUDIANTES'!B:L,9,0)</f>
        <v>salazar_64@live.com</v>
      </c>
      <c r="J1224" s="19" t="str">
        <f>VLOOKUP(A1224,'ESTADOS ESTUDIANTES'!B:L,10,0)</f>
        <v>CC</v>
      </c>
      <c r="K1224" s="19">
        <f>VLOOKUP(A1224,'ESTADOS ESTUDIANTES'!B:L,11,0)</f>
        <v>1010226431</v>
      </c>
      <c r="L1224" s="19">
        <v>3124029089</v>
      </c>
      <c r="M1224" s="20"/>
      <c r="N1224" s="22"/>
      <c r="O1224" s="15"/>
      <c r="P1224" s="15"/>
      <c r="Q1224" s="15"/>
      <c r="R1224" s="15"/>
      <c r="S1224" s="15"/>
      <c r="T1224" s="15"/>
      <c r="U1224" s="15"/>
    </row>
    <row r="1225" spans="1:21" ht="90">
      <c r="A1225" s="17">
        <v>20221495013</v>
      </c>
      <c r="B1225" s="19" t="str">
        <f>VLOOKUP(A1225,'ESTADOS ESTUDIANTES'!B:L,2,0)</f>
        <v>SANCHEZ BOLAÑOS CRISTIAN DAVID</v>
      </c>
      <c r="C1225" s="19">
        <f>VLOOKUP(A1225,'ESTADOS ESTUDIANTES'!B:L,3,0)</f>
        <v>495</v>
      </c>
      <c r="D1225" s="66" t="str">
        <f>VLOOKUP(A1225,'ESTADOS ESTUDIANTES'!B:L,4,0)</f>
        <v>MAE. EN CIENCIAS DE LA INF. Y LAS COMUNICACIONES ENFASIS EN ING. SOFT</v>
      </c>
      <c r="E1225" s="19" t="str">
        <f>VLOOKUP(A1225,'ESTADOS ESTUDIANTES'!B:L,5,0)</f>
        <v>A</v>
      </c>
      <c r="F1225" s="18" t="str">
        <f>VLOOKUP(E1225,Listas!B1:C1004,2,0)</f>
        <v>ACTIVO</v>
      </c>
      <c r="G1225" s="19">
        <f>VLOOKUP(A1225,'ESTADOS ESTUDIANTES'!B:L,7,0)</f>
        <v>3</v>
      </c>
      <c r="H1225" s="19" t="str">
        <f>VLOOKUP(A1225,'ESTADOS ESTUDIANTES'!B:L,8,0)</f>
        <v>cdsanchezbo@udistrital.edu.co</v>
      </c>
      <c r="I1225" s="70" t="str">
        <f>VLOOKUP(A1225,'ESTADOS ESTUDIANTES'!B:L,9,0)</f>
        <v>crdsanchezb@correo.udistrital.edu.co</v>
      </c>
      <c r="J1225" s="19" t="str">
        <f>VLOOKUP(A1225,'ESTADOS ESTUDIANTES'!B:L,10,0)</f>
        <v>CC</v>
      </c>
      <c r="K1225" s="19">
        <f>VLOOKUP(A1225,'ESTADOS ESTUDIANTES'!B:L,11,0)</f>
        <v>1013677336</v>
      </c>
      <c r="L1225" s="19">
        <v>3102196856</v>
      </c>
      <c r="M1225" s="20"/>
      <c r="N1225" s="22"/>
      <c r="O1225" s="15"/>
      <c r="P1225" s="15"/>
      <c r="Q1225" s="15"/>
      <c r="R1225" s="15"/>
      <c r="S1225" s="15"/>
      <c r="T1225" s="15"/>
      <c r="U1225" s="15"/>
    </row>
    <row r="1226" spans="1:21" ht="90">
      <c r="A1226" s="17">
        <v>20221495014</v>
      </c>
      <c r="B1226" s="19" t="str">
        <f>VLOOKUP(A1226,'ESTADOS ESTUDIANTES'!B:L,2,0)</f>
        <v>SUAREZ LOPEZ LEON CAMILO</v>
      </c>
      <c r="C1226" s="19">
        <f>VLOOKUP(A1226,'ESTADOS ESTUDIANTES'!B:L,3,0)</f>
        <v>495</v>
      </c>
      <c r="D1226" s="66" t="str">
        <f>VLOOKUP(A1226,'ESTADOS ESTUDIANTES'!B:L,4,0)</f>
        <v>MAE. EN CIENCIAS DE LA INF. Y LAS COMUNICACIONES ENFASIS EN ING. SOFT</v>
      </c>
      <c r="E1226" s="19" t="str">
        <f>VLOOKUP(A1226,'ESTADOS ESTUDIANTES'!B:L,5,0)</f>
        <v>I</v>
      </c>
      <c r="F1226" s="18" t="str">
        <f>VLOOKUP(E1226,Listas!B1:C1004,2,0)</f>
        <v>INACTIVO</v>
      </c>
      <c r="G1226" s="19" t="str">
        <f>VLOOKUP(A1226,'ESTADOS ESTUDIANTES'!B:L,7,0)</f>
        <v>NO REGISTRA</v>
      </c>
      <c r="H1226" s="19">
        <f>VLOOKUP(A1226,'ESTADOS ESTUDIANTES'!B:L,8,0)</f>
        <v>0</v>
      </c>
      <c r="I1226" s="70" t="str">
        <f>VLOOKUP(A1226,'ESTADOS ESTUDIANTES'!B:L,9,0)</f>
        <v>leon.suarez@gmail.com</v>
      </c>
      <c r="J1226" s="19" t="str">
        <f>VLOOKUP(A1226,'ESTADOS ESTUDIANTES'!B:L,10,0)</f>
        <v>CC</v>
      </c>
      <c r="K1226" s="19">
        <f>VLOOKUP(A1226,'ESTADOS ESTUDIANTES'!B:L,11,0)</f>
        <v>80795249</v>
      </c>
      <c r="L1226" s="23"/>
      <c r="M1226" s="20"/>
      <c r="N1226" s="22"/>
      <c r="O1226" s="15"/>
      <c r="P1226" s="15"/>
      <c r="Q1226" s="15"/>
      <c r="R1226" s="15"/>
      <c r="S1226" s="15"/>
      <c r="T1226" s="15"/>
      <c r="U1226" s="15"/>
    </row>
    <row r="1227" spans="1:21" ht="90">
      <c r="A1227" s="17">
        <v>20221495015</v>
      </c>
      <c r="B1227" s="19" t="str">
        <f>VLOOKUP(A1227,'ESTADOS ESTUDIANTES'!B:L,2,0)</f>
        <v>TAPIERO TAPIERO ROBIN ESTID</v>
      </c>
      <c r="C1227" s="19">
        <f>VLOOKUP(A1227,'ESTADOS ESTUDIANTES'!B:L,3,0)</f>
        <v>495</v>
      </c>
      <c r="D1227" s="66" t="str">
        <f>VLOOKUP(A1227,'ESTADOS ESTUDIANTES'!B:L,4,0)</f>
        <v>MAE. EN CIENCIAS DE LA INF. Y LAS COMUNICACIONES ENFASIS EN ING. SOFT</v>
      </c>
      <c r="E1227" s="19" t="str">
        <f>VLOOKUP(A1227,'ESTADOS ESTUDIANTES'!B:L,5,0)</f>
        <v>I</v>
      </c>
      <c r="F1227" s="18" t="str">
        <f>VLOOKUP(E1227,Listas!B1:C1004,2,0)</f>
        <v>INACTIVO</v>
      </c>
      <c r="G1227" s="19" t="str">
        <f>VLOOKUP(A1227,'ESTADOS ESTUDIANTES'!B:L,7,0)</f>
        <v>NO REGISTRA</v>
      </c>
      <c r="H1227" s="19">
        <f>VLOOKUP(A1227,'ESTADOS ESTUDIANTES'!B:L,8,0)</f>
        <v>0</v>
      </c>
      <c r="I1227" s="70" t="str">
        <f>VLOOKUP(A1227,'ESTADOS ESTUDIANTES'!B:L,9,0)</f>
        <v>retapierot@correo.udistrital.edu.co</v>
      </c>
      <c r="J1227" s="19" t="str">
        <f>VLOOKUP(A1227,'ESTADOS ESTUDIANTES'!B:L,10,0)</f>
        <v>CC</v>
      </c>
      <c r="K1227" s="19">
        <f>VLOOKUP(A1227,'ESTADOS ESTUDIANTES'!B:L,11,0)</f>
        <v>1031139705</v>
      </c>
      <c r="L1227" s="23"/>
      <c r="M1227" s="20"/>
      <c r="N1227" s="22"/>
      <c r="O1227" s="15"/>
      <c r="P1227" s="15"/>
      <c r="Q1227" s="15"/>
      <c r="R1227" s="15"/>
      <c r="S1227" s="15"/>
      <c r="T1227" s="15"/>
      <c r="U1227" s="15"/>
    </row>
    <row r="1228" spans="1:21" ht="90">
      <c r="A1228" s="17">
        <v>20221495016</v>
      </c>
      <c r="B1228" s="19" t="str">
        <f>VLOOKUP(A1228,'ESTADOS ESTUDIANTES'!B:L,2,0)</f>
        <v>UNIGARRO DIAZ CHRISTIAN JOSE</v>
      </c>
      <c r="C1228" s="19">
        <f>VLOOKUP(A1228,'ESTADOS ESTUDIANTES'!B:L,3,0)</f>
        <v>495</v>
      </c>
      <c r="D1228" s="66" t="str">
        <f>VLOOKUP(A1228,'ESTADOS ESTUDIANTES'!B:L,4,0)</f>
        <v>MAE. EN CIENCIAS DE LA INF. Y LAS COMUNICACIONES ENFASIS EN ING. SOFT</v>
      </c>
      <c r="E1228" s="19" t="str">
        <f>VLOOKUP(A1228,'ESTADOS ESTUDIANTES'!B:L,5,0)</f>
        <v>E</v>
      </c>
      <c r="F1228" s="18" t="str">
        <f>VLOOKUP(E1228,Listas!B1:C1004,2,0)</f>
        <v>EGRESADO</v>
      </c>
      <c r="G1228" s="19">
        <f>VLOOKUP(A1228,'ESTADOS ESTUDIANTES'!B:L,7,0)</f>
        <v>4</v>
      </c>
      <c r="H1228" s="19" t="str">
        <f>VLOOKUP(A1228,'ESTADOS ESTUDIANTES'!B:L,8,0)</f>
        <v>cjunigarrod@udistrital.edu.co</v>
      </c>
      <c r="I1228" s="70" t="str">
        <f>VLOOKUP(A1228,'ESTADOS ESTUDIANTES'!B:L,9,0)</f>
        <v>cunigarrod@gmail.com</v>
      </c>
      <c r="J1228" s="19" t="str">
        <f>VLOOKUP(A1228,'ESTADOS ESTUDIANTES'!B:L,10,0)</f>
        <v>CC</v>
      </c>
      <c r="K1228" s="19">
        <f>VLOOKUP(A1228,'ESTADOS ESTUDIANTES'!B:L,11,0)</f>
        <v>1113514597</v>
      </c>
      <c r="L1228" s="19">
        <v>3209040095</v>
      </c>
      <c r="M1228" s="20"/>
      <c r="N1228" s="22"/>
      <c r="O1228" s="15"/>
      <c r="P1228" s="15"/>
      <c r="Q1228" s="15"/>
      <c r="R1228" s="15"/>
      <c r="S1228" s="15"/>
      <c r="T1228" s="15"/>
      <c r="U1228" s="15"/>
    </row>
    <row r="1229" spans="1:21" ht="90">
      <c r="A1229" s="17">
        <v>20221495017</v>
      </c>
      <c r="B1229" s="19" t="str">
        <f>VLOOKUP(A1229,'ESTADOS ESTUDIANTES'!B:L,2,0)</f>
        <v>VELANDIA GUACANEME CRISTIAN ESTEVED</v>
      </c>
      <c r="C1229" s="19">
        <f>VLOOKUP(A1229,'ESTADOS ESTUDIANTES'!B:L,3,0)</f>
        <v>495</v>
      </c>
      <c r="D1229" s="66" t="str">
        <f>VLOOKUP(A1229,'ESTADOS ESTUDIANTES'!B:L,4,0)</f>
        <v>MAE. EN CIENCIAS DE LA INF. Y LAS COMUNICACIONES ENFASIS EN ING. SOFT</v>
      </c>
      <c r="E1229" s="19" t="str">
        <f>VLOOKUP(A1229,'ESTADOS ESTUDIANTES'!B:L,5,0)</f>
        <v>X</v>
      </c>
      <c r="F1229" s="18" t="str">
        <f>VLOOKUP(E1229,Listas!B1:C1004,2,0)</f>
        <v>EXCLUIDO</v>
      </c>
      <c r="G1229" s="19">
        <f>VLOOKUP(A1229,'ESTADOS ESTUDIANTES'!B:L,7,0)</f>
        <v>5</v>
      </c>
      <c r="H1229" s="19" t="str">
        <f>VLOOKUP(A1229,'ESTADOS ESTUDIANTES'!B:L,8,0)</f>
        <v>cevelandiag@udistrital.edu.co</v>
      </c>
      <c r="I1229" s="70" t="str">
        <f>VLOOKUP(A1229,'ESTADOS ESTUDIANTES'!B:L,9,0)</f>
        <v>crevelandiagu@unal.edu.co</v>
      </c>
      <c r="J1229" s="19" t="str">
        <f>VLOOKUP(A1229,'ESTADOS ESTUDIANTES'!B:L,10,0)</f>
        <v>CC</v>
      </c>
      <c r="K1229" s="19">
        <f>VLOOKUP(A1229,'ESTADOS ESTUDIANTES'!B:L,11,0)</f>
        <v>1026284396</v>
      </c>
      <c r="L1229" s="19">
        <v>3045643585</v>
      </c>
      <c r="M1229" s="20"/>
      <c r="N1229" s="22"/>
      <c r="O1229" s="15"/>
      <c r="P1229" s="15"/>
      <c r="Q1229" s="15"/>
      <c r="R1229" s="15"/>
      <c r="S1229" s="15"/>
      <c r="T1229" s="15"/>
      <c r="U1229" s="15"/>
    </row>
    <row r="1230" spans="1:21">
      <c r="A1230" s="28"/>
      <c r="B1230" s="65"/>
      <c r="C1230" s="65"/>
      <c r="D1230" s="68"/>
      <c r="E1230" s="65"/>
      <c r="F1230" s="29"/>
      <c r="G1230" s="65"/>
      <c r="H1230" s="65"/>
      <c r="I1230" s="71"/>
      <c r="J1230" s="65"/>
      <c r="K1230" s="65"/>
      <c r="L1230" s="29"/>
      <c r="M1230" s="30"/>
      <c r="N1230" s="31"/>
      <c r="O1230" s="8"/>
      <c r="P1230" s="8"/>
      <c r="Q1230" s="8"/>
      <c r="R1230" s="8"/>
      <c r="S1230" s="8"/>
      <c r="T1230" s="8"/>
      <c r="U1230" s="8"/>
    </row>
    <row r="1231" spans="1:21">
      <c r="A1231" s="13"/>
      <c r="B1231" s="10"/>
      <c r="C1231" s="10"/>
      <c r="D1231" s="69"/>
      <c r="E1231" s="10"/>
      <c r="F1231" s="12"/>
      <c r="G1231" s="10"/>
      <c r="H1231" s="10"/>
      <c r="I1231" s="72"/>
      <c r="J1231" s="10"/>
      <c r="K1231" s="10"/>
      <c r="L1231" s="12"/>
      <c r="M1231" s="11"/>
      <c r="N1231" s="16"/>
      <c r="O1231" s="8"/>
      <c r="P1231" s="8"/>
      <c r="Q1231" s="8"/>
      <c r="R1231" s="8"/>
      <c r="S1231" s="8"/>
      <c r="T1231" s="8"/>
      <c r="U1231" s="8"/>
    </row>
    <row r="1232" spans="1:21">
      <c r="A1232" s="13"/>
      <c r="B1232" s="10"/>
      <c r="C1232" s="10"/>
      <c r="D1232" s="69"/>
      <c r="E1232" s="10"/>
      <c r="F1232" s="12"/>
      <c r="G1232" s="10"/>
      <c r="H1232" s="10"/>
      <c r="I1232" s="72"/>
      <c r="J1232" s="10"/>
      <c r="K1232" s="10"/>
      <c r="L1232" s="12"/>
      <c r="M1232" s="11"/>
      <c r="N1232" s="16"/>
      <c r="O1232" s="8"/>
      <c r="P1232" s="8"/>
      <c r="Q1232" s="8"/>
      <c r="R1232" s="8"/>
      <c r="S1232" s="8"/>
      <c r="T1232" s="8"/>
      <c r="U1232" s="8"/>
    </row>
    <row r="1233" spans="1:21">
      <c r="A1233" s="13"/>
      <c r="B1233" s="10"/>
      <c r="C1233" s="10"/>
      <c r="D1233" s="69"/>
      <c r="E1233" s="10"/>
      <c r="F1233" s="12"/>
      <c r="G1233" s="10"/>
      <c r="H1233" s="10"/>
      <c r="I1233" s="72"/>
      <c r="J1233" s="10"/>
      <c r="K1233" s="10"/>
      <c r="L1233" s="12"/>
      <c r="M1233" s="11"/>
      <c r="N1233" s="16"/>
      <c r="O1233" s="8"/>
      <c r="P1233" s="8"/>
      <c r="Q1233" s="8"/>
      <c r="R1233" s="8"/>
      <c r="S1233" s="8"/>
      <c r="T1233" s="8"/>
      <c r="U1233" s="8"/>
    </row>
    <row r="1234" spans="1:21">
      <c r="A1234" s="13"/>
      <c r="B1234" s="10"/>
      <c r="C1234" s="10"/>
      <c r="D1234" s="69"/>
      <c r="E1234" s="10"/>
      <c r="F1234" s="12"/>
      <c r="G1234" s="10"/>
      <c r="H1234" s="10"/>
      <c r="I1234" s="72"/>
      <c r="J1234" s="10"/>
      <c r="K1234" s="10"/>
      <c r="L1234" s="12"/>
      <c r="M1234" s="11"/>
      <c r="N1234" s="16"/>
      <c r="O1234" s="8"/>
      <c r="P1234" s="8"/>
      <c r="Q1234" s="8"/>
      <c r="R1234" s="8"/>
      <c r="S1234" s="8"/>
      <c r="T1234" s="8"/>
      <c r="U1234" s="8"/>
    </row>
    <row r="1235" spans="1:21">
      <c r="A1235" s="13"/>
      <c r="B1235" s="10"/>
      <c r="C1235" s="10"/>
      <c r="D1235" s="69"/>
      <c r="E1235" s="10"/>
      <c r="F1235" s="12"/>
      <c r="G1235" s="10"/>
      <c r="H1235" s="10"/>
      <c r="I1235" s="72"/>
      <c r="J1235" s="10"/>
      <c r="K1235" s="10"/>
      <c r="L1235" s="12"/>
      <c r="M1235" s="11"/>
      <c r="N1235" s="16"/>
      <c r="O1235" s="8"/>
      <c r="P1235" s="8"/>
      <c r="Q1235" s="8"/>
      <c r="R1235" s="8"/>
      <c r="S1235" s="8"/>
      <c r="T1235" s="8"/>
      <c r="U1235" s="8"/>
    </row>
    <row r="1236" spans="1:21" ht="15.75" customHeight="1">
      <c r="A1236" s="13"/>
      <c r="B1236" s="10"/>
      <c r="C1236" s="10"/>
      <c r="D1236" s="69"/>
      <c r="E1236" s="10"/>
      <c r="F1236" s="12"/>
      <c r="G1236" s="10"/>
      <c r="H1236" s="10"/>
      <c r="I1236" s="72"/>
      <c r="J1236" s="10"/>
      <c r="K1236" s="10"/>
      <c r="L1236" s="12"/>
      <c r="M1236" s="11"/>
      <c r="N1236" s="16"/>
      <c r="O1236" s="8"/>
      <c r="P1236" s="8"/>
      <c r="Q1236" s="8"/>
      <c r="R1236" s="8"/>
      <c r="S1236" s="8"/>
      <c r="T1236" s="8"/>
      <c r="U1236" s="8"/>
    </row>
  </sheetData>
  <pageMargins left="0.7" right="0.7" top="0.75" bottom="0.75" header="0" footer="0"/>
  <pageSetup orientation="portrait"/>
  <headerFooter>
    <oddFooter>&amp;C&amp;"Helvetica Neue,Regular"&amp;12&amp;K000000&amp;P</oddFooter>
  </headerFooter>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AD47"/>
  </sheetPr>
  <dimension ref="A1:AJ1005"/>
  <sheetViews>
    <sheetView showGridLines="0" workbookViewId="0">
      <selection activeCell="B2" sqref="B2"/>
    </sheetView>
  </sheetViews>
  <sheetFormatPr baseColWidth="10" defaultColWidth="11.296875" defaultRowHeight="15"/>
  <cols>
    <col min="1" max="1" width="19.19921875" style="6" customWidth="1"/>
    <col min="2" max="2" width="11.3984375" style="6" customWidth="1"/>
    <col min="3" max="3" width="41.59765625" style="6" customWidth="1"/>
    <col min="4" max="4" width="11.59765625" style="6" customWidth="1"/>
    <col min="5" max="5" width="14.8984375" style="6" customWidth="1"/>
    <col min="6" max="6" width="13.8984375" style="6" customWidth="1"/>
    <col min="7" max="7" width="10.3984375" style="6" customWidth="1"/>
    <col min="8" max="8" width="18.296875" style="6" customWidth="1"/>
    <col min="9" max="9" width="17.296875" style="6" customWidth="1"/>
    <col min="10" max="10" width="10.3984375" style="6" customWidth="1"/>
    <col min="11" max="11" width="12.796875" style="6" bestFit="1" customWidth="1"/>
    <col min="12" max="14" width="8.296875" style="6" customWidth="1"/>
    <col min="15" max="15" width="11.59765625" style="6" customWidth="1"/>
    <col min="16" max="18" width="8.296875" style="6" customWidth="1"/>
    <col min="19" max="19" width="69.59765625" style="6" bestFit="1" customWidth="1"/>
    <col min="20" max="27" width="8.296875" style="6" customWidth="1"/>
    <col min="28" max="28" width="11.296875" style="6" customWidth="1"/>
    <col min="29" max="16384" width="11.296875" style="6"/>
  </cols>
  <sheetData>
    <row r="1" spans="1:36" ht="28.5">
      <c r="A1" s="41" t="s">
        <v>17</v>
      </c>
      <c r="B1" s="36" t="s">
        <v>18</v>
      </c>
      <c r="C1" s="41" t="s">
        <v>19</v>
      </c>
      <c r="D1" s="44" t="s">
        <v>20</v>
      </c>
      <c r="E1" s="44" t="s">
        <v>21</v>
      </c>
      <c r="F1" s="49" t="s">
        <v>22</v>
      </c>
      <c r="G1" s="38" t="s">
        <v>23</v>
      </c>
      <c r="H1" s="44" t="s">
        <v>24</v>
      </c>
      <c r="I1" s="44" t="s">
        <v>25</v>
      </c>
      <c r="J1" s="44" t="s">
        <v>26</v>
      </c>
      <c r="K1" s="38" t="s">
        <v>27</v>
      </c>
      <c r="L1" s="44" t="s">
        <v>28</v>
      </c>
      <c r="M1" s="44" t="s">
        <v>29</v>
      </c>
      <c r="N1" s="38" t="s">
        <v>30</v>
      </c>
      <c r="O1" s="38" t="s">
        <v>31</v>
      </c>
      <c r="P1" s="38" t="s">
        <v>32</v>
      </c>
      <c r="Q1" s="648" t="s">
        <v>33</v>
      </c>
      <c r="R1" s="648" t="s">
        <v>34</v>
      </c>
      <c r="S1" s="648" t="s">
        <v>35</v>
      </c>
      <c r="T1" s="8"/>
      <c r="U1" s="8"/>
      <c r="V1" s="8"/>
      <c r="W1" s="8"/>
      <c r="X1" s="8"/>
      <c r="Y1" s="8"/>
      <c r="Z1" s="8"/>
      <c r="AA1" s="8"/>
      <c r="AB1" s="9"/>
      <c r="AC1" s="9"/>
      <c r="AD1" s="9"/>
      <c r="AE1" s="9"/>
      <c r="AF1" s="9"/>
      <c r="AG1" s="9"/>
      <c r="AH1" s="9"/>
      <c r="AI1" s="9"/>
      <c r="AJ1" s="9"/>
    </row>
    <row r="2" spans="1:36">
      <c r="A2" s="74" t="s">
        <v>36</v>
      </c>
      <c r="B2" s="40" t="s">
        <v>37</v>
      </c>
      <c r="C2" s="39" t="s">
        <v>38</v>
      </c>
      <c r="D2" s="51">
        <v>95</v>
      </c>
      <c r="E2" s="40" t="s">
        <v>39</v>
      </c>
      <c r="F2" s="50">
        <v>300</v>
      </c>
      <c r="G2" s="40" t="s">
        <v>40</v>
      </c>
      <c r="H2" s="40" t="s">
        <v>41</v>
      </c>
      <c r="I2" s="40" t="s">
        <v>42</v>
      </c>
      <c r="J2" s="40" t="s">
        <v>43</v>
      </c>
      <c r="K2" s="46" t="s">
        <v>44</v>
      </c>
      <c r="L2" s="45">
        <v>0.8</v>
      </c>
      <c r="M2" s="273">
        <f>50*L2</f>
        <v>40</v>
      </c>
      <c r="N2" s="40" t="s">
        <v>45</v>
      </c>
      <c r="O2" s="40" t="s">
        <v>46</v>
      </c>
      <c r="P2" s="39" t="s">
        <v>47</v>
      </c>
      <c r="Q2" s="8" t="s">
        <v>48</v>
      </c>
      <c r="R2" s="649">
        <v>95</v>
      </c>
      <c r="S2" s="649" t="s">
        <v>49</v>
      </c>
      <c r="T2" s="8"/>
      <c r="U2" s="8"/>
      <c r="V2" s="8"/>
      <c r="W2" s="8"/>
      <c r="X2" s="8"/>
      <c r="Y2" s="8"/>
      <c r="Z2" s="8"/>
      <c r="AA2" s="8"/>
      <c r="AB2" s="9"/>
      <c r="AC2" s="9"/>
      <c r="AD2" s="9"/>
      <c r="AE2" s="9"/>
      <c r="AF2" s="9"/>
      <c r="AG2" s="9"/>
      <c r="AH2" s="9"/>
      <c r="AI2" s="9"/>
      <c r="AJ2" s="9"/>
    </row>
    <row r="3" spans="1:36">
      <c r="A3" s="74" t="s">
        <v>50</v>
      </c>
      <c r="B3" s="40" t="s">
        <v>51</v>
      </c>
      <c r="C3" s="39" t="s">
        <v>52</v>
      </c>
      <c r="D3" s="52">
        <v>195</v>
      </c>
      <c r="E3" s="40" t="s">
        <v>53</v>
      </c>
      <c r="F3" s="50">
        <v>250</v>
      </c>
      <c r="G3" s="40" t="s">
        <v>54</v>
      </c>
      <c r="H3" s="40" t="s">
        <v>55</v>
      </c>
      <c r="I3" s="40" t="s">
        <v>56</v>
      </c>
      <c r="J3" s="40" t="s">
        <v>57</v>
      </c>
      <c r="K3" s="46" t="s">
        <v>58</v>
      </c>
      <c r="L3" s="45">
        <v>0.8</v>
      </c>
      <c r="M3" s="273">
        <f t="shared" ref="M3:M8" si="0">50*L3</f>
        <v>40</v>
      </c>
      <c r="N3" s="40" t="s">
        <v>59</v>
      </c>
      <c r="O3" s="40" t="s">
        <v>60</v>
      </c>
      <c r="P3" s="39" t="s">
        <v>61</v>
      </c>
      <c r="Q3" s="8" t="s">
        <v>62</v>
      </c>
      <c r="R3" s="649">
        <v>195</v>
      </c>
      <c r="S3" s="650" t="s">
        <v>63</v>
      </c>
      <c r="T3" s="8"/>
      <c r="U3" s="8"/>
      <c r="V3" s="8"/>
      <c r="W3" s="8"/>
      <c r="X3" s="8"/>
      <c r="Y3" s="8"/>
      <c r="Z3" s="8"/>
      <c r="AA3" s="8"/>
      <c r="AB3" s="9"/>
      <c r="AC3" s="9"/>
      <c r="AD3" s="9"/>
      <c r="AE3" s="9"/>
      <c r="AF3" s="9"/>
      <c r="AG3" s="9"/>
      <c r="AH3" s="9"/>
      <c r="AI3" s="9"/>
      <c r="AJ3" s="9"/>
    </row>
    <row r="4" spans="1:36" ht="30">
      <c r="A4" s="74" t="s">
        <v>64</v>
      </c>
      <c r="B4" s="40" t="s">
        <v>65</v>
      </c>
      <c r="C4" s="39" t="s">
        <v>66</v>
      </c>
      <c r="D4" s="52">
        <v>295</v>
      </c>
      <c r="E4" s="40" t="s">
        <v>67</v>
      </c>
      <c r="F4" s="50">
        <v>200</v>
      </c>
      <c r="G4" s="40" t="s">
        <v>68</v>
      </c>
      <c r="H4" s="40" t="s">
        <v>69</v>
      </c>
      <c r="I4" s="40" t="s">
        <v>70</v>
      </c>
      <c r="J4" s="40" t="s">
        <v>56</v>
      </c>
      <c r="K4" s="47" t="s">
        <v>71</v>
      </c>
      <c r="L4" s="45">
        <v>0.8</v>
      </c>
      <c r="M4" s="273">
        <f t="shared" si="0"/>
        <v>40</v>
      </c>
      <c r="N4" s="40" t="s">
        <v>72</v>
      </c>
      <c r="O4" s="7"/>
      <c r="P4" s="37" t="s">
        <v>73</v>
      </c>
      <c r="Q4" s="8"/>
      <c r="R4" s="649">
        <v>295</v>
      </c>
      <c r="S4" s="650" t="s">
        <v>74</v>
      </c>
      <c r="T4" s="8"/>
      <c r="U4" s="8"/>
      <c r="V4" s="8"/>
      <c r="W4" s="8"/>
      <c r="X4" s="8"/>
      <c r="Y4" s="8"/>
      <c r="Z4" s="8"/>
      <c r="AA4" s="8"/>
      <c r="AB4" s="9"/>
      <c r="AC4" s="9"/>
      <c r="AD4" s="9"/>
      <c r="AE4" s="9"/>
      <c r="AF4" s="9"/>
      <c r="AG4" s="9"/>
      <c r="AH4" s="9"/>
      <c r="AI4" s="9"/>
      <c r="AJ4" s="9"/>
    </row>
    <row r="5" spans="1:36">
      <c r="A5" s="74" t="s">
        <v>75</v>
      </c>
      <c r="B5" s="40" t="s">
        <v>76</v>
      </c>
      <c r="C5" s="39" t="s">
        <v>77</v>
      </c>
      <c r="D5" s="52">
        <v>395</v>
      </c>
      <c r="E5" s="40" t="s">
        <v>78</v>
      </c>
      <c r="F5" s="50">
        <v>150</v>
      </c>
      <c r="G5" s="40" t="s">
        <v>79</v>
      </c>
      <c r="H5" s="5"/>
      <c r="I5" s="5"/>
      <c r="J5" s="5"/>
      <c r="K5" s="42" t="s">
        <v>80</v>
      </c>
      <c r="L5" s="45">
        <v>0.6</v>
      </c>
      <c r="M5" s="273">
        <f t="shared" si="0"/>
        <v>30</v>
      </c>
      <c r="N5" s="40" t="s">
        <v>81</v>
      </c>
      <c r="O5" s="7"/>
      <c r="P5" s="4"/>
      <c r="Q5" s="8"/>
      <c r="R5" s="649">
        <v>395</v>
      </c>
      <c r="S5" s="650" t="s">
        <v>82</v>
      </c>
      <c r="T5" s="8"/>
      <c r="U5" s="8"/>
      <c r="V5" s="8"/>
      <c r="W5" s="8"/>
      <c r="X5" s="8"/>
      <c r="Y5" s="8"/>
      <c r="Z5" s="8"/>
      <c r="AA5" s="8"/>
      <c r="AB5" s="9"/>
      <c r="AC5" s="9"/>
      <c r="AD5" s="9"/>
      <c r="AE5" s="9"/>
      <c r="AF5" s="9"/>
      <c r="AG5" s="9"/>
      <c r="AH5" s="9"/>
      <c r="AI5" s="9"/>
      <c r="AJ5" s="9"/>
    </row>
    <row r="6" spans="1:36">
      <c r="A6" s="74" t="s">
        <v>83</v>
      </c>
      <c r="B6" s="40" t="s">
        <v>84</v>
      </c>
      <c r="C6" s="39" t="s">
        <v>85</v>
      </c>
      <c r="D6" s="52">
        <v>495</v>
      </c>
      <c r="E6" s="40" t="s">
        <v>86</v>
      </c>
      <c r="F6" s="50">
        <v>70</v>
      </c>
      <c r="G6" s="40" t="s">
        <v>87</v>
      </c>
      <c r="H6" s="5"/>
      <c r="I6" s="5"/>
      <c r="J6" s="5"/>
      <c r="K6" s="42" t="s">
        <v>88</v>
      </c>
      <c r="L6" s="45">
        <v>0.6</v>
      </c>
      <c r="M6" s="273">
        <f t="shared" si="0"/>
        <v>30</v>
      </c>
      <c r="N6" s="7"/>
      <c r="O6" s="7"/>
      <c r="P6" s="4"/>
      <c r="Q6" s="8"/>
      <c r="R6" s="649">
        <v>495</v>
      </c>
      <c r="S6" s="650" t="s">
        <v>89</v>
      </c>
      <c r="T6" s="8"/>
      <c r="U6" s="8"/>
      <c r="V6" s="8"/>
      <c r="W6" s="8"/>
      <c r="X6" s="8"/>
      <c r="Y6" s="8"/>
      <c r="Z6" s="8"/>
      <c r="AA6" s="8"/>
      <c r="AB6" s="9"/>
      <c r="AC6" s="9"/>
      <c r="AD6" s="9"/>
      <c r="AE6" s="9"/>
      <c r="AF6" s="9"/>
      <c r="AG6" s="9"/>
      <c r="AH6" s="9"/>
      <c r="AI6" s="9"/>
      <c r="AJ6" s="9"/>
    </row>
    <row r="7" spans="1:36">
      <c r="A7" s="74" t="s">
        <v>90</v>
      </c>
      <c r="B7" s="40" t="s">
        <v>91</v>
      </c>
      <c r="C7" s="39" t="s">
        <v>92</v>
      </c>
      <c r="D7" s="5"/>
      <c r="E7" s="5"/>
      <c r="F7" s="48">
        <v>45</v>
      </c>
      <c r="G7" s="40" t="s">
        <v>93</v>
      </c>
      <c r="H7" s="5"/>
      <c r="I7" s="5"/>
      <c r="J7" s="5"/>
      <c r="K7" s="42" t="s">
        <v>94</v>
      </c>
      <c r="L7" s="45">
        <v>0.4</v>
      </c>
      <c r="M7" s="273">
        <f t="shared" si="0"/>
        <v>20</v>
      </c>
      <c r="N7" s="7"/>
      <c r="O7" s="7"/>
      <c r="P7" s="4"/>
      <c r="Q7" s="8"/>
      <c r="R7" s="649">
        <v>595</v>
      </c>
      <c r="S7" s="650" t="s">
        <v>95</v>
      </c>
      <c r="T7" s="8"/>
      <c r="U7" s="8"/>
      <c r="V7" s="8"/>
      <c r="W7" s="8"/>
      <c r="X7" s="8"/>
      <c r="Y7" s="8"/>
      <c r="Z7" s="8"/>
      <c r="AA7" s="8"/>
      <c r="AB7" s="9"/>
      <c r="AC7" s="9"/>
      <c r="AD7" s="9"/>
      <c r="AE7" s="9"/>
      <c r="AF7" s="9"/>
      <c r="AG7" s="9"/>
      <c r="AH7" s="9"/>
      <c r="AI7" s="9"/>
      <c r="AJ7" s="9"/>
    </row>
    <row r="8" spans="1:36">
      <c r="A8" s="74" t="s">
        <v>96</v>
      </c>
      <c r="B8" s="40" t="s">
        <v>97</v>
      </c>
      <c r="C8" s="39" t="s">
        <v>98</v>
      </c>
      <c r="D8" s="5"/>
      <c r="E8" s="5"/>
      <c r="F8" s="5"/>
      <c r="G8" s="5"/>
      <c r="H8" s="5"/>
      <c r="I8" s="5"/>
      <c r="J8" s="5"/>
      <c r="K8" s="43" t="s">
        <v>99</v>
      </c>
      <c r="L8" s="45">
        <v>0.2</v>
      </c>
      <c r="M8" s="273">
        <f t="shared" si="0"/>
        <v>10</v>
      </c>
      <c r="N8" s="7"/>
      <c r="O8" s="7"/>
      <c r="P8" s="4"/>
      <c r="Q8" s="8"/>
      <c r="R8" s="649">
        <v>695</v>
      </c>
      <c r="S8" s="650" t="s">
        <v>100</v>
      </c>
      <c r="T8" s="8"/>
      <c r="U8" s="8"/>
      <c r="V8" s="8"/>
      <c r="W8" s="8"/>
      <c r="X8" s="8"/>
      <c r="Y8" s="8"/>
      <c r="Z8" s="8"/>
      <c r="AA8" s="8"/>
      <c r="AB8" s="9"/>
      <c r="AC8" s="9"/>
      <c r="AD8" s="9"/>
      <c r="AE8" s="9"/>
      <c r="AF8" s="9"/>
      <c r="AG8" s="9"/>
      <c r="AH8" s="9"/>
      <c r="AI8" s="9"/>
      <c r="AJ8" s="9"/>
    </row>
    <row r="9" spans="1:36">
      <c r="A9" s="74" t="s">
        <v>101</v>
      </c>
      <c r="B9" s="40" t="s">
        <v>102</v>
      </c>
      <c r="C9" s="39" t="s">
        <v>103</v>
      </c>
      <c r="D9" s="5"/>
      <c r="E9" s="5"/>
      <c r="F9" s="5"/>
      <c r="G9" s="5"/>
      <c r="H9" s="5"/>
      <c r="I9" s="5"/>
      <c r="J9" s="5"/>
      <c r="K9" s="43" t="s">
        <v>104</v>
      </c>
      <c r="L9" s="46" t="s">
        <v>104</v>
      </c>
      <c r="M9" s="46" t="s">
        <v>105</v>
      </c>
      <c r="N9" s="5"/>
      <c r="O9" s="5"/>
      <c r="P9" s="4"/>
      <c r="Q9" s="8"/>
      <c r="R9" s="8"/>
      <c r="S9" s="8"/>
      <c r="T9" s="8"/>
      <c r="U9" s="8"/>
      <c r="V9" s="8"/>
      <c r="W9" s="8"/>
      <c r="X9" s="8"/>
      <c r="Y9" s="8"/>
      <c r="Z9" s="8"/>
      <c r="AA9" s="8"/>
      <c r="AB9" s="9"/>
      <c r="AC9" s="9"/>
      <c r="AD9" s="9"/>
      <c r="AE9" s="9"/>
      <c r="AF9" s="9"/>
      <c r="AG9" s="9"/>
      <c r="AH9" s="9"/>
      <c r="AI9" s="9"/>
      <c r="AJ9" s="9"/>
    </row>
    <row r="10" spans="1:36">
      <c r="A10" s="74" t="s">
        <v>106</v>
      </c>
      <c r="B10" s="40" t="s">
        <v>107</v>
      </c>
      <c r="C10" s="39" t="s">
        <v>108</v>
      </c>
      <c r="D10" s="5"/>
      <c r="E10" s="5"/>
      <c r="F10" s="5"/>
      <c r="G10" s="5"/>
      <c r="H10" s="5"/>
      <c r="I10" s="5"/>
      <c r="J10" s="5"/>
      <c r="K10" s="5"/>
      <c r="L10" s="3"/>
      <c r="M10" s="3"/>
      <c r="N10" s="5"/>
      <c r="O10" s="5"/>
      <c r="P10" s="4"/>
      <c r="Q10" s="8"/>
      <c r="R10" s="8"/>
      <c r="S10" s="8"/>
      <c r="T10" s="8"/>
      <c r="U10" s="8"/>
      <c r="V10" s="8"/>
      <c r="W10" s="8"/>
      <c r="X10" s="8"/>
      <c r="Y10" s="8"/>
      <c r="Z10" s="8"/>
      <c r="AA10" s="8"/>
      <c r="AB10" s="9"/>
      <c r="AC10" s="9"/>
      <c r="AD10" s="9"/>
      <c r="AE10" s="9"/>
      <c r="AF10" s="9"/>
      <c r="AG10" s="9"/>
      <c r="AH10" s="9"/>
      <c r="AI10" s="9"/>
      <c r="AJ10" s="9"/>
    </row>
    <row r="11" spans="1:36">
      <c r="A11" s="74" t="s">
        <v>109</v>
      </c>
      <c r="B11" s="40" t="s">
        <v>110</v>
      </c>
      <c r="C11" s="39" t="s">
        <v>111</v>
      </c>
      <c r="D11" s="5"/>
      <c r="E11" s="5"/>
      <c r="F11" s="5"/>
      <c r="G11" s="5"/>
      <c r="H11" s="5"/>
      <c r="I11" s="5"/>
      <c r="J11" s="5"/>
      <c r="K11" s="5"/>
      <c r="L11" s="5"/>
      <c r="M11" s="5"/>
      <c r="N11" s="5"/>
      <c r="O11" s="5"/>
      <c r="P11" s="4"/>
      <c r="Q11" s="8"/>
      <c r="R11" s="8"/>
      <c r="S11" s="8"/>
      <c r="T11" s="8"/>
      <c r="U11" s="8"/>
      <c r="V11" s="8"/>
      <c r="W11" s="8"/>
      <c r="X11" s="8"/>
      <c r="Y11" s="8"/>
      <c r="Z11" s="8"/>
      <c r="AA11" s="8"/>
      <c r="AB11" s="9"/>
      <c r="AC11" s="9"/>
      <c r="AD11" s="9"/>
      <c r="AE11" s="9"/>
      <c r="AF11" s="9"/>
      <c r="AG11" s="9"/>
      <c r="AH11" s="9"/>
      <c r="AI11" s="9"/>
      <c r="AJ11" s="9"/>
    </row>
    <row r="12" spans="1:36">
      <c r="A12" s="74" t="s">
        <v>112</v>
      </c>
      <c r="B12" s="40" t="s">
        <v>113</v>
      </c>
      <c r="C12" s="39" t="s">
        <v>114</v>
      </c>
      <c r="D12" s="5"/>
      <c r="E12" s="5"/>
      <c r="F12" s="5"/>
      <c r="G12" s="5"/>
      <c r="H12" s="5"/>
      <c r="I12" s="5"/>
      <c r="J12" s="5"/>
      <c r="K12" s="5"/>
      <c r="L12" s="5"/>
      <c r="M12" s="5"/>
      <c r="N12" s="5"/>
      <c r="O12" s="5"/>
      <c r="P12" s="4"/>
      <c r="Q12" s="8"/>
      <c r="R12" s="8"/>
      <c r="S12" s="8"/>
      <c r="T12" s="8"/>
      <c r="U12" s="8"/>
      <c r="V12" s="8"/>
      <c r="W12" s="8"/>
      <c r="X12" s="8"/>
      <c r="Y12" s="8"/>
      <c r="Z12" s="8"/>
      <c r="AA12" s="8"/>
      <c r="AB12" s="9"/>
      <c r="AC12" s="9"/>
      <c r="AD12" s="9"/>
      <c r="AE12" s="9"/>
      <c r="AF12" s="9"/>
      <c r="AG12" s="9"/>
      <c r="AH12" s="9"/>
      <c r="AI12" s="9"/>
      <c r="AJ12" s="9"/>
    </row>
    <row r="13" spans="1:36">
      <c r="A13" s="74" t="s">
        <v>115</v>
      </c>
      <c r="B13" s="40" t="s">
        <v>116</v>
      </c>
      <c r="C13" s="39" t="s">
        <v>117</v>
      </c>
      <c r="D13" s="5"/>
      <c r="E13" s="5"/>
      <c r="F13" s="5"/>
      <c r="G13" s="5"/>
      <c r="H13" s="5"/>
      <c r="I13" s="5"/>
      <c r="J13" s="5"/>
      <c r="K13" s="5"/>
      <c r="L13" s="5"/>
      <c r="M13" s="5"/>
      <c r="N13" s="5"/>
      <c r="O13" s="5"/>
      <c r="P13" s="4"/>
      <c r="Q13" s="8"/>
      <c r="R13" s="8"/>
      <c r="S13" s="8"/>
      <c r="T13" s="8"/>
      <c r="U13" s="8"/>
      <c r="V13" s="8"/>
      <c r="W13" s="8"/>
      <c r="X13" s="8"/>
      <c r="Y13" s="8"/>
      <c r="Z13" s="8"/>
      <c r="AA13" s="8"/>
      <c r="AB13" s="9"/>
      <c r="AC13" s="9"/>
      <c r="AD13" s="9"/>
      <c r="AE13" s="9"/>
      <c r="AF13" s="9"/>
      <c r="AG13" s="9"/>
      <c r="AH13" s="9"/>
      <c r="AI13" s="9"/>
      <c r="AJ13" s="9"/>
    </row>
    <row r="14" spans="1:36">
      <c r="A14" s="74" t="s">
        <v>118</v>
      </c>
      <c r="B14" s="40" t="s">
        <v>119</v>
      </c>
      <c r="C14" s="39" t="s">
        <v>120</v>
      </c>
      <c r="D14" s="5"/>
      <c r="E14" s="5"/>
      <c r="F14" s="5"/>
      <c r="G14" s="5"/>
      <c r="H14" s="5"/>
      <c r="I14" s="5"/>
      <c r="J14" s="5"/>
      <c r="K14" s="5"/>
      <c r="L14" s="5"/>
      <c r="M14" s="5"/>
      <c r="N14" s="5"/>
      <c r="O14" s="5"/>
      <c r="P14" s="4"/>
      <c r="Q14" s="8"/>
      <c r="R14" s="8"/>
      <c r="S14" s="8"/>
      <c r="T14" s="8"/>
      <c r="U14" s="8"/>
      <c r="V14" s="8"/>
      <c r="W14" s="8"/>
      <c r="X14" s="8"/>
      <c r="Y14" s="8"/>
      <c r="Z14" s="8"/>
      <c r="AA14" s="8"/>
      <c r="AB14" s="9"/>
      <c r="AC14" s="9"/>
      <c r="AD14" s="9"/>
      <c r="AE14" s="9"/>
      <c r="AF14" s="9"/>
      <c r="AG14" s="9"/>
      <c r="AH14" s="9"/>
      <c r="AI14" s="9"/>
      <c r="AJ14" s="9"/>
    </row>
    <row r="15" spans="1:36">
      <c r="A15" s="74" t="s">
        <v>121</v>
      </c>
      <c r="B15" s="40" t="s">
        <v>122</v>
      </c>
      <c r="C15" s="39" t="s">
        <v>123</v>
      </c>
      <c r="D15" s="5"/>
      <c r="E15" s="5"/>
      <c r="F15" s="5"/>
      <c r="G15" s="5"/>
      <c r="H15" s="5"/>
      <c r="I15" s="5"/>
      <c r="J15" s="5"/>
      <c r="K15" s="5"/>
      <c r="L15" s="5"/>
      <c r="M15" s="5"/>
      <c r="N15" s="5"/>
      <c r="O15" s="5"/>
      <c r="P15" s="4"/>
      <c r="Q15" s="8"/>
      <c r="R15" s="8"/>
      <c r="S15" s="8"/>
      <c r="T15" s="8"/>
      <c r="U15" s="8"/>
      <c r="V15" s="8"/>
      <c r="W15" s="8"/>
      <c r="X15" s="8"/>
      <c r="Y15" s="8"/>
      <c r="Z15" s="8"/>
      <c r="AA15" s="8"/>
      <c r="AB15" s="9"/>
      <c r="AC15" s="9"/>
      <c r="AD15" s="9"/>
      <c r="AE15" s="9"/>
      <c r="AF15" s="9"/>
      <c r="AG15" s="9"/>
      <c r="AH15" s="9"/>
      <c r="AI15" s="9"/>
      <c r="AJ15" s="9"/>
    </row>
    <row r="16" spans="1:36">
      <c r="A16" s="74" t="s">
        <v>124</v>
      </c>
      <c r="B16" s="40"/>
      <c r="C16" s="39"/>
      <c r="D16" s="5"/>
      <c r="E16" s="5"/>
      <c r="F16" s="5"/>
      <c r="G16" s="5"/>
      <c r="H16" s="5"/>
      <c r="I16" s="5"/>
      <c r="J16" s="5"/>
      <c r="K16" s="5"/>
      <c r="L16" s="5"/>
      <c r="M16" s="5"/>
      <c r="N16" s="5"/>
      <c r="O16" s="5"/>
      <c r="P16" s="4"/>
      <c r="Q16" s="8"/>
      <c r="R16" s="8"/>
      <c r="S16" s="8"/>
      <c r="T16" s="8"/>
      <c r="U16" s="8"/>
      <c r="V16" s="8"/>
      <c r="W16" s="8"/>
      <c r="X16" s="8"/>
      <c r="Y16" s="8"/>
      <c r="Z16" s="8"/>
      <c r="AA16" s="8"/>
      <c r="AB16" s="9"/>
      <c r="AC16" s="9"/>
      <c r="AD16" s="9"/>
      <c r="AE16" s="9"/>
      <c r="AF16" s="9"/>
      <c r="AG16" s="9"/>
      <c r="AH16" s="9"/>
      <c r="AI16" s="9"/>
      <c r="AJ16" s="9"/>
    </row>
    <row r="17" spans="1:36">
      <c r="A17" s="74" t="s">
        <v>125</v>
      </c>
      <c r="B17" s="40" t="s">
        <v>126</v>
      </c>
      <c r="C17" s="39" t="s">
        <v>127</v>
      </c>
      <c r="D17" s="5"/>
      <c r="E17" s="5"/>
      <c r="F17" s="5"/>
      <c r="G17" s="5"/>
      <c r="H17" s="5"/>
      <c r="I17" s="5"/>
      <c r="J17" s="5"/>
      <c r="K17" s="5"/>
      <c r="L17" s="5"/>
      <c r="M17" s="5"/>
      <c r="N17" s="5"/>
      <c r="O17" s="5"/>
      <c r="P17" s="4"/>
      <c r="Q17" s="8"/>
      <c r="R17" s="8"/>
      <c r="S17" s="8"/>
      <c r="T17" s="8"/>
      <c r="U17" s="8"/>
      <c r="V17" s="8"/>
      <c r="W17" s="8"/>
      <c r="X17" s="8"/>
      <c r="Y17" s="8"/>
      <c r="Z17" s="8"/>
      <c r="AA17" s="8"/>
      <c r="AB17" s="9"/>
      <c r="AC17" s="9"/>
      <c r="AD17" s="9"/>
      <c r="AE17" s="9"/>
      <c r="AF17" s="9"/>
      <c r="AG17" s="9"/>
      <c r="AH17" s="9"/>
      <c r="AI17" s="9"/>
      <c r="AJ17" s="9"/>
    </row>
    <row r="18" spans="1:36">
      <c r="A18" s="74" t="s">
        <v>128</v>
      </c>
      <c r="B18" s="40" t="s">
        <v>129</v>
      </c>
      <c r="C18" s="39" t="s">
        <v>130</v>
      </c>
      <c r="D18" s="5"/>
      <c r="E18" s="5"/>
      <c r="F18" s="5"/>
      <c r="G18" s="5"/>
      <c r="H18" s="5"/>
      <c r="I18" s="5"/>
      <c r="J18" s="5"/>
      <c r="K18" s="5"/>
      <c r="L18" s="5"/>
      <c r="M18" s="5"/>
      <c r="N18" s="5"/>
      <c r="O18" s="5"/>
      <c r="P18" s="4"/>
      <c r="Q18" s="8"/>
      <c r="R18" s="8"/>
      <c r="S18" s="8"/>
      <c r="T18" s="8"/>
      <c r="U18" s="8"/>
      <c r="V18" s="8"/>
      <c r="W18" s="8"/>
      <c r="X18" s="8"/>
      <c r="Y18" s="8"/>
      <c r="Z18" s="8"/>
      <c r="AA18" s="8"/>
      <c r="AB18" s="9"/>
      <c r="AC18" s="9"/>
      <c r="AD18" s="9"/>
      <c r="AE18" s="9"/>
      <c r="AF18" s="9"/>
      <c r="AG18" s="9"/>
      <c r="AH18" s="9"/>
      <c r="AI18" s="9"/>
      <c r="AJ18" s="9"/>
    </row>
    <row r="19" spans="1:36">
      <c r="A19" s="74" t="s">
        <v>131</v>
      </c>
      <c r="B19" s="40" t="s">
        <v>132</v>
      </c>
      <c r="C19" s="39" t="s">
        <v>133</v>
      </c>
      <c r="D19" s="5"/>
      <c r="E19" s="5"/>
      <c r="F19" s="5"/>
      <c r="G19" s="5"/>
      <c r="H19" s="5"/>
      <c r="I19" s="5"/>
      <c r="J19" s="5"/>
      <c r="K19" s="5"/>
      <c r="L19" s="5"/>
      <c r="M19" s="5"/>
      <c r="N19" s="5"/>
      <c r="O19" s="5"/>
      <c r="P19" s="4"/>
      <c r="Q19" s="8"/>
      <c r="R19" s="8"/>
      <c r="S19" s="8"/>
      <c r="T19" s="8"/>
      <c r="U19" s="8"/>
      <c r="V19" s="8"/>
      <c r="W19" s="8"/>
      <c r="X19" s="8"/>
      <c r="Y19" s="8"/>
      <c r="Z19" s="8"/>
      <c r="AA19" s="8"/>
      <c r="AB19" s="9"/>
      <c r="AC19" s="9"/>
      <c r="AD19" s="9"/>
      <c r="AE19" s="9"/>
      <c r="AF19" s="9"/>
      <c r="AG19" s="9"/>
      <c r="AH19" s="9"/>
      <c r="AI19" s="9"/>
      <c r="AJ19" s="9"/>
    </row>
    <row r="20" spans="1:36">
      <c r="A20" s="74" t="s">
        <v>134</v>
      </c>
      <c r="B20" s="40" t="s">
        <v>135</v>
      </c>
      <c r="C20" s="39" t="s">
        <v>136</v>
      </c>
      <c r="D20" s="5"/>
      <c r="E20" s="5"/>
      <c r="F20" s="5"/>
      <c r="G20" s="5"/>
      <c r="H20" s="5"/>
      <c r="I20" s="5"/>
      <c r="J20" s="5"/>
      <c r="K20" s="5"/>
      <c r="L20" s="5"/>
      <c r="M20" s="5"/>
      <c r="N20" s="5"/>
      <c r="O20" s="5"/>
      <c r="P20" s="4"/>
      <c r="Q20" s="8"/>
      <c r="R20" s="8"/>
      <c r="S20" s="8"/>
      <c r="T20" s="8"/>
      <c r="U20" s="8"/>
      <c r="V20" s="8"/>
      <c r="W20" s="8"/>
      <c r="X20" s="8"/>
      <c r="Y20" s="8"/>
      <c r="Z20" s="8"/>
      <c r="AA20" s="8"/>
      <c r="AB20" s="9"/>
      <c r="AC20" s="9"/>
      <c r="AD20" s="9"/>
      <c r="AE20" s="9"/>
      <c r="AF20" s="9"/>
      <c r="AG20" s="9"/>
      <c r="AH20" s="9"/>
      <c r="AI20" s="9"/>
      <c r="AJ20" s="9"/>
    </row>
    <row r="21" spans="1:36">
      <c r="A21" s="74" t="s">
        <v>137</v>
      </c>
      <c r="B21" s="40" t="s">
        <v>138</v>
      </c>
      <c r="C21" s="39" t="s">
        <v>139</v>
      </c>
      <c r="D21" s="5"/>
      <c r="E21" s="5"/>
      <c r="F21" s="5"/>
      <c r="G21" s="5"/>
      <c r="H21" s="5"/>
      <c r="I21" s="5"/>
      <c r="J21" s="5"/>
      <c r="K21" s="5"/>
      <c r="L21" s="5"/>
      <c r="M21" s="5"/>
      <c r="N21" s="5"/>
      <c r="O21" s="5"/>
      <c r="P21" s="4"/>
      <c r="Q21" s="8"/>
      <c r="R21" s="8"/>
      <c r="S21" s="8"/>
      <c r="T21" s="8"/>
      <c r="U21" s="8"/>
      <c r="V21" s="8"/>
      <c r="W21" s="8"/>
      <c r="X21" s="8"/>
      <c r="Y21" s="8"/>
      <c r="Z21" s="8"/>
      <c r="AA21" s="8"/>
      <c r="AB21" s="9"/>
      <c r="AC21" s="9"/>
      <c r="AD21" s="9"/>
      <c r="AE21" s="9"/>
      <c r="AF21" s="9"/>
      <c r="AG21" s="9"/>
      <c r="AH21" s="9"/>
      <c r="AI21" s="9"/>
      <c r="AJ21" s="9"/>
    </row>
    <row r="22" spans="1:36">
      <c r="A22" s="74" t="s">
        <v>140</v>
      </c>
      <c r="B22" s="40" t="s">
        <v>141</v>
      </c>
      <c r="C22" s="39" t="s">
        <v>142</v>
      </c>
      <c r="D22" s="5"/>
      <c r="E22" s="5"/>
      <c r="F22" s="5"/>
      <c r="G22" s="5"/>
      <c r="H22" s="5"/>
      <c r="I22" s="5"/>
      <c r="J22" s="5"/>
      <c r="K22" s="5"/>
      <c r="L22" s="5"/>
      <c r="M22" s="5"/>
      <c r="N22" s="5"/>
      <c r="O22" s="5"/>
      <c r="P22" s="4"/>
      <c r="Q22" s="8"/>
      <c r="R22" s="8"/>
      <c r="S22" s="8"/>
      <c r="T22" s="8"/>
      <c r="U22" s="8"/>
      <c r="V22" s="8"/>
      <c r="W22" s="8"/>
      <c r="X22" s="8"/>
      <c r="Y22" s="8"/>
      <c r="Z22" s="8"/>
      <c r="AA22" s="8"/>
      <c r="AB22" s="9"/>
      <c r="AC22" s="9"/>
      <c r="AD22" s="9"/>
      <c r="AE22" s="9"/>
      <c r="AF22" s="9"/>
      <c r="AG22" s="9"/>
      <c r="AH22" s="9"/>
      <c r="AI22" s="9"/>
      <c r="AJ22" s="9"/>
    </row>
    <row r="23" spans="1:36">
      <c r="A23" s="74" t="s">
        <v>143</v>
      </c>
      <c r="B23" s="40" t="s">
        <v>144</v>
      </c>
      <c r="C23" s="39" t="s">
        <v>145</v>
      </c>
      <c r="D23" s="5"/>
      <c r="E23" s="5"/>
      <c r="F23" s="5"/>
      <c r="G23" s="5"/>
      <c r="H23" s="5"/>
      <c r="I23" s="5"/>
      <c r="J23" s="5"/>
      <c r="K23" s="5"/>
      <c r="L23" s="5"/>
      <c r="M23" s="5"/>
      <c r="N23" s="5"/>
      <c r="O23" s="5"/>
      <c r="P23" s="4"/>
      <c r="Q23" s="8"/>
      <c r="R23" s="8"/>
      <c r="S23" s="8"/>
      <c r="T23" s="8"/>
      <c r="U23" s="8"/>
      <c r="V23" s="8"/>
      <c r="W23" s="8"/>
      <c r="X23" s="8"/>
      <c r="Y23" s="8"/>
      <c r="Z23" s="8"/>
      <c r="AA23" s="8"/>
      <c r="AB23" s="9"/>
      <c r="AC23" s="9"/>
      <c r="AD23" s="9"/>
      <c r="AE23" s="9"/>
      <c r="AF23" s="9"/>
      <c r="AG23" s="9"/>
      <c r="AH23" s="9"/>
      <c r="AI23" s="9"/>
      <c r="AJ23" s="9"/>
    </row>
    <row r="24" spans="1:36">
      <c r="A24" s="74" t="s">
        <v>146</v>
      </c>
      <c r="B24" s="40" t="s">
        <v>147</v>
      </c>
      <c r="C24" s="39" t="s">
        <v>148</v>
      </c>
      <c r="D24" s="5"/>
      <c r="E24" s="5"/>
      <c r="F24" s="5"/>
      <c r="G24" s="5"/>
      <c r="H24" s="5"/>
      <c r="I24" s="5"/>
      <c r="J24" s="5"/>
      <c r="K24" s="5"/>
      <c r="L24" s="5"/>
      <c r="M24" s="5"/>
      <c r="N24" s="5"/>
      <c r="O24" s="5"/>
      <c r="P24" s="4"/>
      <c r="Q24" s="8"/>
      <c r="R24" s="8"/>
      <c r="S24" s="8"/>
      <c r="T24" s="8"/>
      <c r="U24" s="8"/>
      <c r="V24" s="8"/>
      <c r="W24" s="8"/>
      <c r="X24" s="8"/>
      <c r="Y24" s="8"/>
      <c r="Z24" s="8"/>
      <c r="AA24" s="8"/>
      <c r="AB24" s="9"/>
      <c r="AC24" s="9"/>
      <c r="AD24" s="9"/>
      <c r="AE24" s="9"/>
      <c r="AF24" s="9"/>
      <c r="AG24" s="9"/>
      <c r="AH24" s="9"/>
      <c r="AI24" s="9"/>
      <c r="AJ24" s="9"/>
    </row>
    <row r="25" spans="1:36">
      <c r="A25" s="74" t="s">
        <v>149</v>
      </c>
      <c r="B25" s="40" t="s">
        <v>150</v>
      </c>
      <c r="C25" s="39" t="s">
        <v>151</v>
      </c>
      <c r="D25" s="5"/>
      <c r="E25" s="5"/>
      <c r="F25" s="5"/>
      <c r="G25" s="5"/>
      <c r="H25" s="5"/>
      <c r="I25" s="5"/>
      <c r="J25" s="5"/>
      <c r="K25" s="5"/>
      <c r="L25" s="5"/>
      <c r="M25" s="5"/>
      <c r="N25" s="5"/>
      <c r="O25" s="5"/>
      <c r="P25" s="4"/>
      <c r="Q25" s="8"/>
      <c r="R25" s="8"/>
      <c r="S25" s="8"/>
      <c r="T25" s="8"/>
      <c r="U25" s="8"/>
      <c r="V25" s="8"/>
      <c r="W25" s="8"/>
      <c r="X25" s="8"/>
      <c r="Y25" s="8"/>
      <c r="Z25" s="8"/>
      <c r="AA25" s="8"/>
      <c r="AB25" s="9"/>
      <c r="AC25" s="9"/>
      <c r="AD25" s="9"/>
      <c r="AE25" s="9"/>
      <c r="AF25" s="9"/>
      <c r="AG25" s="9"/>
      <c r="AH25" s="9"/>
      <c r="AI25" s="9"/>
      <c r="AJ25" s="9"/>
    </row>
    <row r="26" spans="1:36">
      <c r="A26" s="5" t="s">
        <v>152</v>
      </c>
      <c r="B26" s="40"/>
      <c r="C26" s="39"/>
      <c r="D26" s="5"/>
      <c r="E26" s="5"/>
      <c r="F26" s="5"/>
      <c r="G26" s="5"/>
      <c r="H26" s="5"/>
      <c r="I26" s="5"/>
      <c r="J26" s="5"/>
      <c r="K26" s="5"/>
      <c r="L26" s="5"/>
      <c r="M26" s="5"/>
      <c r="N26" s="5"/>
      <c r="O26" s="5"/>
      <c r="P26" s="4"/>
      <c r="Q26" s="8"/>
      <c r="R26" s="8"/>
      <c r="S26" s="8"/>
      <c r="T26" s="8"/>
      <c r="U26" s="8"/>
      <c r="V26" s="8"/>
      <c r="W26" s="8"/>
      <c r="X26" s="8"/>
      <c r="Y26" s="8"/>
      <c r="Z26" s="8"/>
      <c r="AA26" s="8"/>
      <c r="AB26" s="9"/>
      <c r="AC26" s="9"/>
      <c r="AD26" s="9"/>
      <c r="AE26" s="9"/>
      <c r="AF26" s="9"/>
      <c r="AG26" s="9"/>
      <c r="AH26" s="9"/>
      <c r="AI26" s="9"/>
      <c r="AJ26" s="9"/>
    </row>
    <row r="27" spans="1:36">
      <c r="A27" s="74" t="s">
        <v>153</v>
      </c>
      <c r="B27" s="40" t="s">
        <v>154</v>
      </c>
      <c r="C27" s="39" t="s">
        <v>155</v>
      </c>
      <c r="D27" s="5"/>
      <c r="E27" s="5"/>
      <c r="F27" s="5"/>
      <c r="G27" s="5"/>
      <c r="H27" s="5"/>
      <c r="I27" s="5"/>
      <c r="J27" s="5"/>
      <c r="K27" s="5"/>
      <c r="L27" s="5"/>
      <c r="M27" s="5"/>
      <c r="N27" s="5"/>
      <c r="O27" s="5"/>
      <c r="P27" s="4"/>
      <c r="Q27" s="8"/>
      <c r="R27" s="8"/>
      <c r="S27" s="8"/>
      <c r="T27" s="8"/>
      <c r="U27" s="8"/>
      <c r="V27" s="8"/>
      <c r="W27" s="8"/>
      <c r="X27" s="8"/>
      <c r="Y27" s="8"/>
      <c r="Z27" s="8"/>
      <c r="AA27" s="8"/>
      <c r="AB27" s="9"/>
      <c r="AC27" s="9"/>
      <c r="AD27" s="9"/>
      <c r="AE27" s="9"/>
      <c r="AF27" s="9"/>
      <c r="AG27" s="9"/>
      <c r="AH27" s="9"/>
      <c r="AI27" s="9"/>
      <c r="AJ27" s="9"/>
    </row>
    <row r="28" spans="1:36">
      <c r="A28" s="74" t="s">
        <v>156</v>
      </c>
      <c r="B28" s="76"/>
      <c r="C28" s="39" t="s">
        <v>157</v>
      </c>
      <c r="D28" s="5"/>
      <c r="E28" s="5"/>
      <c r="F28" s="5"/>
      <c r="G28" s="5"/>
      <c r="H28" s="5"/>
      <c r="I28" s="5"/>
      <c r="J28" s="5"/>
      <c r="K28" s="5"/>
      <c r="L28" s="5"/>
      <c r="M28" s="5"/>
      <c r="N28" s="5"/>
      <c r="O28" s="5"/>
      <c r="P28" s="4"/>
      <c r="Q28" s="8"/>
      <c r="R28" s="8"/>
      <c r="S28" s="8"/>
      <c r="T28" s="8"/>
      <c r="U28" s="8"/>
      <c r="V28" s="8"/>
      <c r="W28" s="8"/>
      <c r="X28" s="8"/>
      <c r="Y28" s="8"/>
      <c r="Z28" s="8"/>
      <c r="AA28" s="8"/>
      <c r="AB28" s="9"/>
      <c r="AC28" s="9"/>
      <c r="AD28" s="9"/>
      <c r="AE28" s="9"/>
      <c r="AF28" s="9"/>
      <c r="AG28" s="9"/>
      <c r="AH28" s="9"/>
      <c r="AI28" s="9"/>
      <c r="AJ28" s="9"/>
    </row>
    <row r="29" spans="1:36">
      <c r="A29" s="74" t="s">
        <v>143</v>
      </c>
      <c r="B29" s="76"/>
      <c r="C29" s="75"/>
      <c r="D29" s="5"/>
      <c r="E29" s="5"/>
      <c r="F29" s="5"/>
      <c r="G29" s="5"/>
      <c r="H29" s="5"/>
      <c r="I29" s="5"/>
      <c r="J29" s="5"/>
      <c r="K29" s="5"/>
      <c r="L29" s="5"/>
      <c r="M29" s="5"/>
      <c r="N29" s="5"/>
      <c r="O29" s="5"/>
      <c r="P29" s="4"/>
      <c r="Q29" s="8"/>
      <c r="R29" s="8"/>
      <c r="S29" s="8"/>
      <c r="T29" s="8"/>
      <c r="U29" s="8"/>
      <c r="V29" s="8"/>
      <c r="W29" s="8"/>
      <c r="X29" s="8"/>
      <c r="Y29" s="8"/>
      <c r="Z29" s="8"/>
      <c r="AA29" s="8"/>
      <c r="AB29" s="9"/>
      <c r="AC29" s="9"/>
      <c r="AD29" s="9"/>
      <c r="AE29" s="9"/>
      <c r="AF29" s="9"/>
      <c r="AG29" s="9"/>
      <c r="AH29" s="9"/>
      <c r="AI29" s="9"/>
      <c r="AJ29" s="9"/>
    </row>
    <row r="30" spans="1:36">
      <c r="A30" s="74" t="s">
        <v>146</v>
      </c>
      <c r="B30" s="40" t="s">
        <v>158</v>
      </c>
      <c r="C30" s="39" t="s">
        <v>159</v>
      </c>
      <c r="D30" s="5"/>
      <c r="E30" s="5"/>
      <c r="F30" s="5"/>
      <c r="G30" s="5"/>
      <c r="H30" s="5"/>
      <c r="I30" s="5"/>
      <c r="J30" s="5"/>
      <c r="K30" s="5"/>
      <c r="L30" s="5"/>
      <c r="M30" s="5"/>
      <c r="N30" s="5"/>
      <c r="O30" s="5"/>
      <c r="P30" s="4"/>
      <c r="Q30" s="8"/>
      <c r="R30" s="8"/>
      <c r="S30" s="8"/>
      <c r="T30" s="8"/>
      <c r="U30" s="8"/>
      <c r="V30" s="8"/>
      <c r="W30" s="8"/>
      <c r="X30" s="8"/>
      <c r="Y30" s="8"/>
      <c r="Z30" s="8"/>
      <c r="AA30" s="8"/>
      <c r="AB30" s="9"/>
      <c r="AC30" s="9"/>
      <c r="AD30" s="9"/>
      <c r="AE30" s="9"/>
      <c r="AF30" s="9"/>
      <c r="AG30" s="9"/>
      <c r="AH30" s="9"/>
      <c r="AI30" s="9"/>
      <c r="AJ30" s="9"/>
    </row>
    <row r="31" spans="1:36">
      <c r="A31" s="74" t="s">
        <v>160</v>
      </c>
      <c r="B31" s="643"/>
      <c r="C31" s="644"/>
      <c r="D31" s="5"/>
      <c r="E31" s="5"/>
      <c r="F31" s="5"/>
      <c r="G31" s="5"/>
      <c r="H31" s="5"/>
      <c r="I31" s="5"/>
      <c r="J31" s="5"/>
      <c r="K31" s="5"/>
      <c r="L31" s="5"/>
      <c r="M31" s="5"/>
      <c r="N31" s="5"/>
      <c r="O31" s="5"/>
      <c r="P31" s="4"/>
      <c r="Q31" s="8"/>
      <c r="R31" s="8"/>
      <c r="S31" s="8"/>
      <c r="T31" s="8"/>
      <c r="U31" s="8"/>
      <c r="V31" s="8"/>
      <c r="W31" s="8"/>
      <c r="X31" s="8"/>
      <c r="Y31" s="8"/>
      <c r="Z31" s="8"/>
      <c r="AA31" s="8"/>
      <c r="AB31" s="9"/>
      <c r="AC31" s="9"/>
      <c r="AD31" s="9"/>
      <c r="AE31" s="9"/>
      <c r="AF31" s="9"/>
      <c r="AG31" s="9"/>
      <c r="AH31" s="9"/>
      <c r="AI31" s="9"/>
      <c r="AJ31" s="9"/>
    </row>
    <row r="32" spans="1:36">
      <c r="A32" s="74" t="s">
        <v>161</v>
      </c>
      <c r="B32" s="5"/>
      <c r="C32" s="4"/>
      <c r="D32" s="5"/>
      <c r="E32" s="5"/>
      <c r="F32" s="5"/>
      <c r="G32" s="5"/>
      <c r="H32" s="5"/>
      <c r="I32" s="5"/>
      <c r="J32" s="5"/>
      <c r="K32" s="5"/>
      <c r="L32" s="5"/>
      <c r="M32" s="5"/>
      <c r="N32" s="5"/>
      <c r="O32" s="5"/>
      <c r="P32" s="4"/>
      <c r="Q32" s="8"/>
      <c r="R32" s="8"/>
      <c r="S32" s="8"/>
      <c r="T32" s="8"/>
      <c r="U32" s="8"/>
      <c r="V32" s="8"/>
      <c r="W32" s="8"/>
      <c r="X32" s="8"/>
      <c r="Y32" s="8"/>
      <c r="Z32" s="8"/>
      <c r="AA32" s="8"/>
      <c r="AB32" s="9"/>
      <c r="AC32" s="9"/>
      <c r="AD32" s="9"/>
      <c r="AE32" s="9"/>
      <c r="AF32" s="9"/>
      <c r="AG32" s="9"/>
      <c r="AH32" s="9"/>
      <c r="AI32" s="9"/>
      <c r="AJ32" s="9"/>
    </row>
    <row r="33" spans="1:36">
      <c r="A33" s="74" t="s">
        <v>162</v>
      </c>
      <c r="B33" s="5"/>
      <c r="C33" s="4"/>
      <c r="D33" s="5"/>
      <c r="E33" s="5"/>
      <c r="F33" s="5"/>
      <c r="G33" s="5"/>
      <c r="H33" s="5"/>
      <c r="I33" s="5"/>
      <c r="J33" s="5"/>
      <c r="K33" s="5"/>
      <c r="L33" s="5"/>
      <c r="M33" s="5"/>
      <c r="N33" s="5"/>
      <c r="O33" s="5"/>
      <c r="P33" s="4"/>
      <c r="Q33" s="8"/>
      <c r="R33" s="8"/>
      <c r="S33" s="8"/>
      <c r="T33" s="8"/>
      <c r="U33" s="8"/>
      <c r="V33" s="8"/>
      <c r="W33" s="8"/>
      <c r="X33" s="8"/>
      <c r="Y33" s="8"/>
      <c r="Z33" s="8"/>
      <c r="AA33" s="8"/>
      <c r="AB33" s="9"/>
      <c r="AC33" s="9"/>
      <c r="AD33" s="9"/>
      <c r="AE33" s="9"/>
      <c r="AF33" s="9"/>
      <c r="AG33" s="9"/>
      <c r="AH33" s="9"/>
      <c r="AI33" s="9"/>
      <c r="AJ33" s="9"/>
    </row>
    <row r="34" spans="1:36">
      <c r="A34" s="74" t="s">
        <v>163</v>
      </c>
      <c r="B34" s="5"/>
      <c r="C34" s="4"/>
      <c r="D34" s="5"/>
      <c r="E34" s="5"/>
      <c r="F34" s="5"/>
      <c r="G34" s="5"/>
      <c r="H34" s="5"/>
      <c r="I34" s="5"/>
      <c r="J34" s="5"/>
      <c r="K34" s="5"/>
      <c r="L34" s="5"/>
      <c r="M34" s="5"/>
      <c r="N34" s="5"/>
      <c r="O34" s="5"/>
      <c r="P34" s="4"/>
      <c r="Q34" s="8"/>
      <c r="R34" s="8"/>
      <c r="S34" s="8"/>
      <c r="T34" s="8"/>
      <c r="U34" s="8"/>
      <c r="V34" s="8"/>
      <c r="W34" s="8"/>
      <c r="X34" s="8"/>
      <c r="Y34" s="8"/>
      <c r="Z34" s="8"/>
      <c r="AA34" s="8"/>
      <c r="AB34" s="9"/>
      <c r="AC34" s="9"/>
      <c r="AD34" s="9"/>
      <c r="AE34" s="9"/>
      <c r="AF34" s="9"/>
      <c r="AG34" s="9"/>
      <c r="AH34" s="9"/>
      <c r="AI34" s="9"/>
      <c r="AJ34" s="9"/>
    </row>
    <row r="35" spans="1:36">
      <c r="A35" s="74" t="s">
        <v>164</v>
      </c>
      <c r="B35" s="5"/>
      <c r="C35" s="4"/>
      <c r="D35" s="5"/>
      <c r="E35" s="5"/>
      <c r="F35" s="5"/>
      <c r="G35" s="5"/>
      <c r="H35" s="5"/>
      <c r="I35" s="5"/>
      <c r="J35" s="5"/>
      <c r="K35" s="5"/>
      <c r="L35" s="5"/>
      <c r="M35" s="5"/>
      <c r="N35" s="5"/>
      <c r="O35" s="5"/>
      <c r="P35" s="4"/>
      <c r="Q35" s="8"/>
      <c r="R35" s="8"/>
      <c r="S35" s="8"/>
      <c r="T35" s="8"/>
      <c r="U35" s="8"/>
      <c r="V35" s="8"/>
      <c r="W35" s="8"/>
      <c r="X35" s="8"/>
      <c r="Y35" s="8"/>
      <c r="Z35" s="8"/>
      <c r="AA35" s="8"/>
      <c r="AB35" s="9"/>
      <c r="AC35" s="9"/>
      <c r="AD35" s="9"/>
      <c r="AE35" s="9"/>
      <c r="AF35" s="9"/>
      <c r="AG35" s="9"/>
      <c r="AH35" s="9"/>
      <c r="AI35" s="9"/>
      <c r="AJ35" s="9"/>
    </row>
    <row r="36" spans="1:36">
      <c r="A36" s="74" t="s">
        <v>165</v>
      </c>
      <c r="B36" s="5"/>
      <c r="C36" s="4"/>
      <c r="D36" s="5"/>
      <c r="E36" s="5"/>
      <c r="F36" s="5"/>
      <c r="G36" s="5"/>
      <c r="H36" s="5"/>
      <c r="I36" s="5"/>
      <c r="J36" s="5"/>
      <c r="K36" s="5"/>
      <c r="L36" s="5"/>
      <c r="M36" s="5"/>
      <c r="N36" s="5"/>
      <c r="O36" s="5"/>
      <c r="P36" s="4"/>
      <c r="Q36" s="8"/>
      <c r="R36" s="8"/>
      <c r="S36" s="8"/>
      <c r="T36" s="8"/>
      <c r="U36" s="8"/>
      <c r="V36" s="8"/>
      <c r="W36" s="8"/>
      <c r="X36" s="8"/>
      <c r="Y36" s="8"/>
      <c r="Z36" s="8"/>
      <c r="AA36" s="8"/>
      <c r="AB36" s="9"/>
      <c r="AC36" s="9"/>
      <c r="AD36" s="9"/>
      <c r="AE36" s="9"/>
      <c r="AF36" s="9"/>
      <c r="AG36" s="9"/>
      <c r="AH36" s="9"/>
      <c r="AI36" s="9"/>
      <c r="AJ36" s="9"/>
    </row>
    <row r="37" spans="1:36">
      <c r="A37" s="5"/>
      <c r="B37" s="5"/>
      <c r="C37" s="4"/>
      <c r="D37" s="5"/>
      <c r="E37" s="5"/>
      <c r="F37" s="5"/>
      <c r="G37" s="5"/>
      <c r="H37" s="5"/>
      <c r="I37" s="5"/>
      <c r="J37" s="5"/>
      <c r="K37" s="5"/>
      <c r="L37" s="5"/>
      <c r="M37" s="5"/>
      <c r="N37" s="5"/>
      <c r="O37" s="5"/>
      <c r="P37" s="4"/>
      <c r="Q37" s="8"/>
      <c r="R37" s="8"/>
      <c r="S37" s="8"/>
      <c r="T37" s="8"/>
      <c r="U37" s="8"/>
      <c r="V37" s="8"/>
      <c r="W37" s="8"/>
      <c r="X37" s="8"/>
      <c r="Y37" s="8"/>
      <c r="Z37" s="8"/>
      <c r="AA37" s="8"/>
      <c r="AB37" s="9"/>
      <c r="AC37" s="9"/>
      <c r="AD37" s="9"/>
      <c r="AE37" s="9"/>
      <c r="AF37" s="9"/>
      <c r="AG37" s="9"/>
      <c r="AH37" s="9"/>
      <c r="AI37" s="9"/>
      <c r="AJ37" s="9"/>
    </row>
    <row r="38" spans="1:36">
      <c r="A38" s="5"/>
      <c r="B38" s="5"/>
      <c r="C38" s="4"/>
      <c r="D38" s="5"/>
      <c r="E38" s="5"/>
      <c r="F38" s="5"/>
      <c r="G38" s="5"/>
      <c r="H38" s="5"/>
      <c r="I38" s="5"/>
      <c r="J38" s="5"/>
      <c r="K38" s="5"/>
      <c r="L38" s="5"/>
      <c r="M38" s="5"/>
      <c r="N38" s="5"/>
      <c r="O38" s="5"/>
      <c r="P38" s="4"/>
      <c r="Q38" s="8"/>
      <c r="R38" s="8"/>
      <c r="S38" s="8"/>
      <c r="T38" s="8"/>
      <c r="U38" s="8"/>
      <c r="V38" s="8"/>
      <c r="W38" s="8"/>
      <c r="X38" s="8"/>
      <c r="Y38" s="8"/>
      <c r="Z38" s="8"/>
      <c r="AA38" s="8"/>
      <c r="AB38" s="9"/>
      <c r="AC38" s="9"/>
      <c r="AD38" s="9"/>
      <c r="AE38" s="9"/>
      <c r="AF38" s="9"/>
      <c r="AG38" s="9"/>
      <c r="AH38" s="9"/>
      <c r="AI38" s="9"/>
      <c r="AJ38" s="9"/>
    </row>
    <row r="39" spans="1:36">
      <c r="A39" s="5"/>
      <c r="B39" s="5"/>
      <c r="C39" s="4"/>
      <c r="D39" s="5"/>
      <c r="E39" s="5"/>
      <c r="F39" s="5"/>
      <c r="G39" s="5"/>
      <c r="H39" s="5"/>
      <c r="I39" s="5"/>
      <c r="J39" s="5"/>
      <c r="K39" s="5"/>
      <c r="L39" s="5"/>
      <c r="M39" s="5"/>
      <c r="N39" s="5"/>
      <c r="O39" s="5"/>
      <c r="P39" s="4"/>
      <c r="Q39" s="8"/>
      <c r="R39" s="8"/>
      <c r="S39" s="8"/>
      <c r="T39" s="8"/>
      <c r="U39" s="8"/>
      <c r="V39" s="8"/>
      <c r="W39" s="8"/>
      <c r="X39" s="8"/>
      <c r="Y39" s="8"/>
      <c r="Z39" s="8"/>
      <c r="AA39" s="8"/>
      <c r="AB39" s="9"/>
      <c r="AC39" s="9"/>
      <c r="AD39" s="9"/>
      <c r="AE39" s="9"/>
      <c r="AF39" s="9"/>
      <c r="AG39" s="9"/>
      <c r="AH39" s="9"/>
      <c r="AI39" s="9"/>
      <c r="AJ39" s="9"/>
    </row>
    <row r="40" spans="1:36">
      <c r="A40" s="5"/>
      <c r="B40" s="5"/>
      <c r="C40" s="4"/>
      <c r="D40" s="5"/>
      <c r="E40" s="5"/>
      <c r="F40" s="5"/>
      <c r="G40" s="5"/>
      <c r="H40" s="5"/>
      <c r="I40" s="5"/>
      <c r="J40" s="5"/>
      <c r="K40" s="5"/>
      <c r="L40" s="5"/>
      <c r="M40" s="5"/>
      <c r="N40" s="5"/>
      <c r="O40" s="5"/>
      <c r="P40" s="4"/>
      <c r="Q40" s="8"/>
      <c r="R40" s="8"/>
      <c r="S40" s="8"/>
      <c r="T40" s="8"/>
      <c r="U40" s="8"/>
      <c r="V40" s="8"/>
      <c r="W40" s="8"/>
      <c r="X40" s="8"/>
      <c r="Y40" s="8"/>
      <c r="Z40" s="8"/>
      <c r="AA40" s="8"/>
      <c r="AB40" s="9"/>
      <c r="AC40" s="9"/>
      <c r="AD40" s="9"/>
      <c r="AE40" s="9"/>
      <c r="AF40" s="9"/>
      <c r="AG40" s="9"/>
      <c r="AH40" s="9"/>
      <c r="AI40" s="9"/>
      <c r="AJ40" s="9"/>
    </row>
    <row r="41" spans="1:36">
      <c r="A41" s="5"/>
      <c r="B41" s="5"/>
      <c r="C41" s="4"/>
      <c r="D41" s="5"/>
      <c r="E41" s="5"/>
      <c r="F41" s="5"/>
      <c r="G41" s="5"/>
      <c r="H41" s="5"/>
      <c r="I41" s="5"/>
      <c r="J41" s="5"/>
      <c r="K41" s="5"/>
      <c r="L41" s="5"/>
      <c r="M41" s="5"/>
      <c r="N41" s="5"/>
      <c r="O41" s="5"/>
      <c r="P41" s="4"/>
      <c r="Q41" s="8"/>
      <c r="R41" s="8"/>
      <c r="S41" s="8"/>
      <c r="T41" s="8"/>
      <c r="U41" s="8"/>
      <c r="V41" s="8"/>
      <c r="W41" s="8"/>
      <c r="X41" s="8"/>
      <c r="Y41" s="8"/>
      <c r="Z41" s="8"/>
      <c r="AA41" s="8"/>
      <c r="AB41" s="9"/>
      <c r="AC41" s="9"/>
      <c r="AD41" s="9"/>
      <c r="AE41" s="9"/>
      <c r="AF41" s="9"/>
      <c r="AG41" s="9"/>
      <c r="AH41" s="9"/>
      <c r="AI41" s="9"/>
      <c r="AJ41" s="9"/>
    </row>
    <row r="42" spans="1:36">
      <c r="A42" s="5"/>
      <c r="B42" s="5"/>
      <c r="C42" s="4"/>
      <c r="D42" s="5"/>
      <c r="E42" s="5"/>
      <c r="F42" s="5"/>
      <c r="G42" s="5"/>
      <c r="H42" s="5"/>
      <c r="I42" s="5"/>
      <c r="J42" s="5"/>
      <c r="K42" s="5"/>
      <c r="L42" s="5"/>
      <c r="M42" s="5"/>
      <c r="N42" s="5"/>
      <c r="O42" s="5"/>
      <c r="P42" s="4"/>
      <c r="Q42" s="8"/>
      <c r="R42" s="8"/>
      <c r="S42" s="8"/>
      <c r="T42" s="8"/>
      <c r="U42" s="8"/>
      <c r="V42" s="8"/>
      <c r="W42" s="8"/>
      <c r="X42" s="8"/>
      <c r="Y42" s="8"/>
      <c r="Z42" s="8"/>
      <c r="AA42" s="8"/>
      <c r="AB42" s="9"/>
      <c r="AC42" s="9"/>
      <c r="AD42" s="9"/>
      <c r="AE42" s="9"/>
      <c r="AF42" s="9"/>
      <c r="AG42" s="9"/>
      <c r="AH42" s="9"/>
      <c r="AI42" s="9"/>
      <c r="AJ42" s="9"/>
    </row>
    <row r="43" spans="1:36">
      <c r="A43" s="5"/>
      <c r="B43" s="5"/>
      <c r="C43" s="4"/>
      <c r="D43" s="5"/>
      <c r="E43" s="5"/>
      <c r="F43" s="5"/>
      <c r="G43" s="5"/>
      <c r="H43" s="5"/>
      <c r="I43" s="5"/>
      <c r="J43" s="5"/>
      <c r="K43" s="5"/>
      <c r="L43" s="5"/>
      <c r="M43" s="5"/>
      <c r="N43" s="5"/>
      <c r="O43" s="5"/>
      <c r="P43" s="4"/>
      <c r="Q43" s="8"/>
      <c r="R43" s="8"/>
      <c r="S43" s="8"/>
      <c r="T43" s="8"/>
      <c r="U43" s="8"/>
      <c r="V43" s="8"/>
      <c r="W43" s="8"/>
      <c r="X43" s="8"/>
      <c r="Y43" s="8"/>
      <c r="Z43" s="8"/>
      <c r="AA43" s="8"/>
      <c r="AB43" s="9"/>
      <c r="AC43" s="9"/>
      <c r="AD43" s="9"/>
      <c r="AE43" s="9"/>
      <c r="AF43" s="9"/>
      <c r="AG43" s="9"/>
      <c r="AH43" s="9"/>
      <c r="AI43" s="9"/>
      <c r="AJ43" s="9"/>
    </row>
    <row r="44" spans="1:36">
      <c r="A44" s="5"/>
      <c r="B44" s="5"/>
      <c r="C44" s="4"/>
      <c r="D44" s="5"/>
      <c r="E44" s="5"/>
      <c r="F44" s="5"/>
      <c r="G44" s="5"/>
      <c r="H44" s="5"/>
      <c r="I44" s="5"/>
      <c r="J44" s="5"/>
      <c r="K44" s="5"/>
      <c r="L44" s="5"/>
      <c r="M44" s="5"/>
      <c r="N44" s="5"/>
      <c r="O44" s="5"/>
      <c r="P44" s="4"/>
      <c r="Q44" s="8"/>
      <c r="R44" s="8"/>
      <c r="S44" s="8"/>
      <c r="T44" s="8"/>
      <c r="U44" s="8"/>
      <c r="V44" s="8"/>
      <c r="W44" s="8"/>
      <c r="X44" s="8"/>
      <c r="Y44" s="8"/>
      <c r="Z44" s="8"/>
      <c r="AA44" s="8"/>
      <c r="AB44" s="9"/>
      <c r="AC44" s="9"/>
      <c r="AD44" s="9"/>
      <c r="AE44" s="9"/>
      <c r="AF44" s="9"/>
      <c r="AG44" s="9"/>
      <c r="AH44" s="9"/>
      <c r="AI44" s="9"/>
      <c r="AJ44" s="9"/>
    </row>
    <row r="45" spans="1:36">
      <c r="A45" s="5"/>
      <c r="B45" s="5"/>
      <c r="C45" s="4"/>
      <c r="D45" s="5"/>
      <c r="E45" s="5"/>
      <c r="F45" s="5"/>
      <c r="G45" s="5"/>
      <c r="H45" s="5"/>
      <c r="I45" s="5"/>
      <c r="J45" s="5"/>
      <c r="K45" s="5"/>
      <c r="L45" s="5"/>
      <c r="M45" s="5"/>
      <c r="N45" s="5"/>
      <c r="O45" s="5"/>
      <c r="P45" s="4"/>
      <c r="Q45" s="8"/>
      <c r="R45" s="8"/>
      <c r="S45" s="8"/>
      <c r="T45" s="8"/>
      <c r="U45" s="8"/>
      <c r="V45" s="8"/>
      <c r="W45" s="8"/>
      <c r="X45" s="8"/>
      <c r="Y45" s="8"/>
      <c r="Z45" s="8"/>
      <c r="AA45" s="8"/>
      <c r="AB45" s="9"/>
      <c r="AC45" s="9"/>
      <c r="AD45" s="9"/>
      <c r="AE45" s="9"/>
      <c r="AF45" s="9"/>
      <c r="AG45" s="9"/>
      <c r="AH45" s="9"/>
      <c r="AI45" s="9"/>
      <c r="AJ45" s="9"/>
    </row>
    <row r="46" spans="1:36">
      <c r="A46" s="5"/>
      <c r="B46" s="5"/>
      <c r="C46" s="4"/>
      <c r="D46" s="5"/>
      <c r="E46" s="5"/>
      <c r="F46" s="5"/>
      <c r="G46" s="5"/>
      <c r="H46" s="5"/>
      <c r="I46" s="5"/>
      <c r="J46" s="5"/>
      <c r="K46" s="5"/>
      <c r="L46" s="5"/>
      <c r="M46" s="5"/>
      <c r="N46" s="5"/>
      <c r="O46" s="5"/>
      <c r="P46" s="4"/>
      <c r="Q46" s="8"/>
      <c r="R46" s="8"/>
      <c r="S46" s="8"/>
      <c r="T46" s="8"/>
      <c r="U46" s="8"/>
      <c r="V46" s="8"/>
      <c r="W46" s="8"/>
      <c r="X46" s="8"/>
      <c r="Y46" s="8"/>
      <c r="Z46" s="8"/>
      <c r="AA46" s="8"/>
      <c r="AB46" s="9"/>
      <c r="AC46" s="9"/>
      <c r="AD46" s="9"/>
      <c r="AE46" s="9"/>
      <c r="AF46" s="9"/>
      <c r="AG46" s="9"/>
      <c r="AH46" s="9"/>
      <c r="AI46" s="9"/>
      <c r="AJ46" s="9"/>
    </row>
    <row r="47" spans="1:36">
      <c r="A47" s="5"/>
      <c r="B47" s="5"/>
      <c r="C47" s="4"/>
      <c r="D47" s="5"/>
      <c r="E47" s="5"/>
      <c r="F47" s="5"/>
      <c r="G47" s="5"/>
      <c r="H47" s="5"/>
      <c r="I47" s="5"/>
      <c r="J47" s="5"/>
      <c r="K47" s="5"/>
      <c r="L47" s="5"/>
      <c r="M47" s="5"/>
      <c r="N47" s="5"/>
      <c r="O47" s="5"/>
      <c r="P47" s="4"/>
      <c r="Q47" s="8"/>
      <c r="R47" s="8"/>
      <c r="S47" s="8"/>
      <c r="T47" s="8"/>
      <c r="U47" s="8"/>
      <c r="V47" s="8"/>
      <c r="W47" s="8"/>
      <c r="X47" s="8"/>
      <c r="Y47" s="8"/>
      <c r="Z47" s="8"/>
      <c r="AA47" s="8"/>
      <c r="AB47" s="9"/>
      <c r="AC47" s="9"/>
      <c r="AD47" s="9"/>
      <c r="AE47" s="9"/>
      <c r="AF47" s="9"/>
      <c r="AG47" s="9"/>
      <c r="AH47" s="9"/>
      <c r="AI47" s="9"/>
      <c r="AJ47" s="9"/>
    </row>
    <row r="48" spans="1:36">
      <c r="A48" s="5"/>
      <c r="B48" s="5"/>
      <c r="C48" s="4"/>
      <c r="D48" s="5"/>
      <c r="E48" s="5"/>
      <c r="F48" s="5"/>
      <c r="G48" s="5"/>
      <c r="H48" s="5"/>
      <c r="I48" s="5"/>
      <c r="J48" s="5"/>
      <c r="K48" s="5"/>
      <c r="L48" s="5"/>
      <c r="M48" s="5"/>
      <c r="N48" s="5"/>
      <c r="O48" s="5"/>
      <c r="P48" s="4"/>
      <c r="Q48" s="8"/>
      <c r="R48" s="8"/>
      <c r="S48" s="8"/>
      <c r="T48" s="8"/>
      <c r="U48" s="8"/>
      <c r="V48" s="8"/>
      <c r="W48" s="8"/>
      <c r="X48" s="8"/>
      <c r="Y48" s="8"/>
      <c r="Z48" s="8"/>
      <c r="AA48" s="8"/>
      <c r="AB48" s="9"/>
      <c r="AC48" s="9"/>
      <c r="AD48" s="9"/>
      <c r="AE48" s="9"/>
      <c r="AF48" s="9"/>
      <c r="AG48" s="9"/>
      <c r="AH48" s="9"/>
      <c r="AI48" s="9"/>
      <c r="AJ48" s="9"/>
    </row>
    <row r="49" spans="1:36">
      <c r="A49" s="5"/>
      <c r="B49" s="5"/>
      <c r="C49" s="4"/>
      <c r="D49" s="5"/>
      <c r="E49" s="5"/>
      <c r="F49" s="5"/>
      <c r="G49" s="5"/>
      <c r="H49" s="5"/>
      <c r="I49" s="5"/>
      <c r="J49" s="5"/>
      <c r="K49" s="5"/>
      <c r="L49" s="5"/>
      <c r="M49" s="5"/>
      <c r="N49" s="5"/>
      <c r="O49" s="5"/>
      <c r="P49" s="4"/>
      <c r="Q49" s="8"/>
      <c r="R49" s="8"/>
      <c r="S49" s="8"/>
      <c r="T49" s="8"/>
      <c r="U49" s="8"/>
      <c r="V49" s="8"/>
      <c r="W49" s="8"/>
      <c r="X49" s="8"/>
      <c r="Y49" s="8"/>
      <c r="Z49" s="8"/>
      <c r="AA49" s="8"/>
      <c r="AB49" s="9"/>
      <c r="AC49" s="9"/>
      <c r="AD49" s="9"/>
      <c r="AE49" s="9"/>
      <c r="AF49" s="9"/>
      <c r="AG49" s="9"/>
      <c r="AH49" s="9"/>
      <c r="AI49" s="9"/>
      <c r="AJ49" s="9"/>
    </row>
    <row r="50" spans="1:36">
      <c r="A50" s="5"/>
      <c r="B50" s="5"/>
      <c r="C50" s="4"/>
      <c r="D50" s="5"/>
      <c r="E50" s="5"/>
      <c r="F50" s="5"/>
      <c r="G50" s="5"/>
      <c r="H50" s="5"/>
      <c r="I50" s="5"/>
      <c r="J50" s="5"/>
      <c r="K50" s="5"/>
      <c r="L50" s="5"/>
      <c r="M50" s="5"/>
      <c r="N50" s="5"/>
      <c r="O50" s="5"/>
      <c r="P50" s="4"/>
      <c r="Q50" s="4"/>
      <c r="R50" s="4"/>
      <c r="S50" s="4"/>
      <c r="T50" s="4"/>
      <c r="U50" s="4"/>
      <c r="V50" s="4"/>
      <c r="W50" s="4"/>
      <c r="X50" s="4"/>
      <c r="Y50" s="4"/>
      <c r="Z50" s="4"/>
      <c r="AA50" s="4"/>
    </row>
    <row r="51" spans="1:36">
      <c r="A51" s="5"/>
      <c r="B51" s="5"/>
      <c r="C51" s="4"/>
      <c r="D51" s="5"/>
      <c r="E51" s="5"/>
      <c r="F51" s="5"/>
      <c r="G51" s="5"/>
      <c r="H51" s="5"/>
      <c r="I51" s="5"/>
      <c r="J51" s="5"/>
      <c r="K51" s="5"/>
      <c r="L51" s="5"/>
      <c r="M51" s="5"/>
      <c r="N51" s="5"/>
      <c r="O51" s="5"/>
      <c r="P51" s="4"/>
      <c r="Q51" s="4"/>
      <c r="R51" s="4"/>
      <c r="S51" s="4"/>
      <c r="T51" s="4"/>
      <c r="U51" s="4"/>
      <c r="V51" s="4"/>
      <c r="W51" s="4"/>
      <c r="X51" s="4"/>
      <c r="Y51" s="4"/>
      <c r="Z51" s="4"/>
      <c r="AA51" s="4"/>
    </row>
    <row r="52" spans="1:36">
      <c r="A52" s="5"/>
      <c r="B52" s="5"/>
      <c r="C52" s="4"/>
      <c r="D52" s="5"/>
      <c r="E52" s="5"/>
      <c r="F52" s="5"/>
      <c r="G52" s="5"/>
      <c r="H52" s="5"/>
      <c r="I52" s="5"/>
      <c r="J52" s="5"/>
      <c r="K52" s="5"/>
      <c r="L52" s="5"/>
      <c r="M52" s="5"/>
      <c r="N52" s="5"/>
      <c r="O52" s="5"/>
      <c r="P52" s="4"/>
      <c r="Q52" s="4"/>
      <c r="R52" s="4"/>
      <c r="S52" s="4"/>
      <c r="T52" s="4"/>
      <c r="U52" s="4"/>
      <c r="V52" s="4"/>
      <c r="W52" s="4"/>
      <c r="X52" s="4"/>
      <c r="Y52" s="4"/>
      <c r="Z52" s="4"/>
      <c r="AA52" s="4"/>
    </row>
    <row r="53" spans="1:36">
      <c r="A53" s="5"/>
      <c r="B53" s="5"/>
      <c r="C53" s="4"/>
      <c r="D53" s="5"/>
      <c r="E53" s="5"/>
      <c r="F53" s="5"/>
      <c r="G53" s="5"/>
      <c r="H53" s="5"/>
      <c r="I53" s="5"/>
      <c r="J53" s="5"/>
      <c r="K53" s="5"/>
      <c r="L53" s="5"/>
      <c r="M53" s="5"/>
      <c r="N53" s="5"/>
      <c r="O53" s="5"/>
      <c r="P53" s="4"/>
      <c r="Q53" s="4"/>
      <c r="R53" s="4"/>
      <c r="S53" s="4"/>
      <c r="T53" s="4"/>
      <c r="U53" s="4"/>
      <c r="V53" s="4"/>
      <c r="W53" s="4"/>
      <c r="X53" s="4"/>
      <c r="Y53" s="4"/>
      <c r="Z53" s="4"/>
      <c r="AA53" s="4"/>
    </row>
    <row r="54" spans="1:36">
      <c r="A54" s="5"/>
      <c r="B54" s="5"/>
      <c r="C54" s="4"/>
      <c r="D54" s="5"/>
      <c r="E54" s="5"/>
      <c r="F54" s="5"/>
      <c r="G54" s="5"/>
      <c r="H54" s="5"/>
      <c r="I54" s="5"/>
      <c r="J54" s="5"/>
      <c r="K54" s="5"/>
      <c r="L54" s="5"/>
      <c r="M54" s="5"/>
      <c r="N54" s="5"/>
      <c r="O54" s="5"/>
      <c r="P54" s="4"/>
      <c r="Q54" s="4"/>
      <c r="R54" s="4"/>
      <c r="S54" s="4"/>
      <c r="T54" s="4"/>
      <c r="U54" s="4"/>
      <c r="V54" s="4"/>
      <c r="W54" s="4"/>
      <c r="X54" s="4"/>
      <c r="Y54" s="4"/>
      <c r="Z54" s="4"/>
      <c r="AA54" s="4"/>
    </row>
    <row r="55" spans="1:36">
      <c r="A55" s="5"/>
      <c r="B55" s="5"/>
      <c r="C55" s="4"/>
      <c r="D55" s="5"/>
      <c r="E55" s="5"/>
      <c r="F55" s="5"/>
      <c r="G55" s="5"/>
      <c r="H55" s="5"/>
      <c r="I55" s="5"/>
      <c r="J55" s="5"/>
      <c r="K55" s="5"/>
      <c r="L55" s="5"/>
      <c r="M55" s="5"/>
      <c r="N55" s="5"/>
      <c r="O55" s="5"/>
      <c r="P55" s="4"/>
      <c r="Q55" s="4"/>
      <c r="R55" s="4"/>
      <c r="S55" s="4"/>
      <c r="T55" s="4"/>
      <c r="U55" s="4"/>
      <c r="V55" s="4"/>
      <c r="W55" s="4"/>
      <c r="X55" s="4"/>
      <c r="Y55" s="4"/>
      <c r="Z55" s="4"/>
      <c r="AA55" s="4"/>
    </row>
    <row r="56" spans="1:36">
      <c r="A56" s="5"/>
      <c r="B56" s="5"/>
      <c r="C56" s="4"/>
      <c r="D56" s="5"/>
      <c r="E56" s="5"/>
      <c r="F56" s="5"/>
      <c r="G56" s="5"/>
      <c r="H56" s="5"/>
      <c r="I56" s="5"/>
      <c r="J56" s="5"/>
      <c r="K56" s="5"/>
      <c r="L56" s="5"/>
      <c r="M56" s="5"/>
      <c r="N56" s="5"/>
      <c r="O56" s="5"/>
      <c r="P56" s="4"/>
      <c r="Q56" s="4"/>
      <c r="R56" s="4"/>
      <c r="S56" s="4"/>
      <c r="T56" s="4"/>
      <c r="U56" s="4"/>
      <c r="V56" s="4"/>
      <c r="W56" s="4"/>
      <c r="X56" s="4"/>
      <c r="Y56" s="4"/>
      <c r="Z56" s="4"/>
      <c r="AA56" s="4"/>
    </row>
    <row r="57" spans="1:36">
      <c r="A57" s="5"/>
      <c r="B57" s="5"/>
      <c r="C57" s="4"/>
      <c r="D57" s="5"/>
      <c r="E57" s="5"/>
      <c r="F57" s="5"/>
      <c r="G57" s="5"/>
      <c r="H57" s="5"/>
      <c r="I57" s="5"/>
      <c r="J57" s="5"/>
      <c r="K57" s="5"/>
      <c r="L57" s="5"/>
      <c r="M57" s="5"/>
      <c r="N57" s="5"/>
      <c r="O57" s="5"/>
      <c r="P57" s="4"/>
      <c r="Q57" s="4"/>
      <c r="R57" s="4"/>
      <c r="S57" s="4"/>
      <c r="T57" s="4"/>
      <c r="U57" s="4"/>
      <c r="V57" s="4"/>
      <c r="W57" s="4"/>
      <c r="X57" s="4"/>
      <c r="Y57" s="4"/>
      <c r="Z57" s="4"/>
      <c r="AA57" s="4"/>
    </row>
    <row r="58" spans="1:36">
      <c r="A58" s="5"/>
      <c r="B58" s="5"/>
      <c r="C58" s="4"/>
      <c r="D58" s="5"/>
      <c r="E58" s="5"/>
      <c r="F58" s="5"/>
      <c r="G58" s="5"/>
      <c r="H58" s="5"/>
      <c r="I58" s="5"/>
      <c r="J58" s="5"/>
      <c r="K58" s="5"/>
      <c r="L58" s="5"/>
      <c r="M58" s="5"/>
      <c r="N58" s="5"/>
      <c r="O58" s="5"/>
      <c r="P58" s="4"/>
      <c r="Q58" s="4"/>
      <c r="R58" s="4"/>
      <c r="S58" s="4"/>
      <c r="T58" s="4"/>
      <c r="U58" s="4"/>
      <c r="V58" s="4"/>
      <c r="W58" s="4"/>
      <c r="X58" s="4"/>
      <c r="Y58" s="4"/>
      <c r="Z58" s="4"/>
      <c r="AA58" s="4"/>
    </row>
    <row r="59" spans="1:36">
      <c r="A59" s="5"/>
      <c r="B59" s="5"/>
      <c r="C59" s="4"/>
      <c r="D59" s="5"/>
      <c r="E59" s="5"/>
      <c r="F59" s="5"/>
      <c r="G59" s="5"/>
      <c r="H59" s="5"/>
      <c r="I59" s="5"/>
      <c r="J59" s="5"/>
      <c r="K59" s="5"/>
      <c r="L59" s="5"/>
      <c r="M59" s="5"/>
      <c r="N59" s="5"/>
      <c r="O59" s="5"/>
      <c r="P59" s="4"/>
      <c r="Q59" s="4"/>
      <c r="R59" s="4"/>
      <c r="S59" s="4"/>
      <c r="T59" s="4"/>
      <c r="U59" s="4"/>
      <c r="V59" s="4"/>
      <c r="W59" s="4"/>
      <c r="X59" s="4"/>
      <c r="Y59" s="4"/>
      <c r="Z59" s="4"/>
      <c r="AA59" s="4"/>
    </row>
    <row r="60" spans="1:36">
      <c r="A60" s="5"/>
      <c r="B60" s="5"/>
      <c r="C60" s="4"/>
      <c r="D60" s="5"/>
      <c r="E60" s="5"/>
      <c r="F60" s="5"/>
      <c r="G60" s="5"/>
      <c r="H60" s="5"/>
      <c r="I60" s="5"/>
      <c r="J60" s="5"/>
      <c r="K60" s="5"/>
      <c r="L60" s="5"/>
      <c r="M60" s="5"/>
      <c r="N60" s="5"/>
      <c r="O60" s="5"/>
      <c r="P60" s="4"/>
      <c r="Q60" s="4"/>
      <c r="R60" s="4"/>
      <c r="S60" s="4"/>
      <c r="T60" s="4"/>
      <c r="U60" s="4"/>
      <c r="V60" s="4"/>
      <c r="W60" s="4"/>
      <c r="X60" s="4"/>
      <c r="Y60" s="4"/>
      <c r="Z60" s="4"/>
      <c r="AA60" s="4"/>
    </row>
    <row r="61" spans="1:36">
      <c r="A61" s="5"/>
      <c r="B61" s="5"/>
      <c r="C61" s="4"/>
      <c r="D61" s="5"/>
      <c r="E61" s="5"/>
      <c r="F61" s="5"/>
      <c r="G61" s="5"/>
      <c r="H61" s="5"/>
      <c r="I61" s="5"/>
      <c r="J61" s="5"/>
      <c r="K61" s="5"/>
      <c r="L61" s="5"/>
      <c r="M61" s="5"/>
      <c r="N61" s="5"/>
      <c r="O61" s="5"/>
      <c r="P61" s="4"/>
      <c r="Q61" s="4"/>
      <c r="R61" s="4"/>
      <c r="S61" s="4"/>
      <c r="T61" s="4"/>
      <c r="U61" s="4"/>
      <c r="V61" s="4"/>
      <c r="W61" s="4"/>
      <c r="X61" s="4"/>
      <c r="Y61" s="4"/>
      <c r="Z61" s="4"/>
      <c r="AA61" s="4"/>
    </row>
    <row r="62" spans="1:36">
      <c r="A62" s="5"/>
      <c r="B62" s="5"/>
      <c r="C62" s="4"/>
      <c r="D62" s="5"/>
      <c r="E62" s="5"/>
      <c r="F62" s="5"/>
      <c r="G62" s="5"/>
      <c r="H62" s="5"/>
      <c r="I62" s="5"/>
      <c r="J62" s="5"/>
      <c r="K62" s="5"/>
      <c r="L62" s="5"/>
      <c r="M62" s="5"/>
      <c r="N62" s="5"/>
      <c r="O62" s="5"/>
      <c r="P62" s="4"/>
      <c r="Q62" s="4"/>
      <c r="R62" s="4"/>
      <c r="S62" s="4"/>
      <c r="T62" s="4"/>
      <c r="U62" s="4"/>
      <c r="V62" s="4"/>
      <c r="W62" s="4"/>
      <c r="X62" s="4"/>
      <c r="Y62" s="4"/>
      <c r="Z62" s="4"/>
      <c r="AA62" s="4"/>
    </row>
    <row r="63" spans="1:36">
      <c r="A63" s="5"/>
      <c r="B63" s="5"/>
      <c r="C63" s="4"/>
      <c r="D63" s="5"/>
      <c r="E63" s="5"/>
      <c r="F63" s="5"/>
      <c r="G63" s="5"/>
      <c r="H63" s="5"/>
      <c r="I63" s="5"/>
      <c r="J63" s="5"/>
      <c r="K63" s="5"/>
      <c r="L63" s="5"/>
      <c r="M63" s="5"/>
      <c r="N63" s="5"/>
      <c r="O63" s="5"/>
      <c r="P63" s="4"/>
      <c r="Q63" s="4"/>
      <c r="R63" s="4"/>
      <c r="S63" s="4"/>
      <c r="T63" s="4"/>
      <c r="U63" s="4"/>
      <c r="V63" s="4"/>
      <c r="W63" s="4"/>
      <c r="X63" s="4"/>
      <c r="Y63" s="4"/>
      <c r="Z63" s="4"/>
      <c r="AA63" s="4"/>
    </row>
    <row r="64" spans="1:36">
      <c r="A64" s="5"/>
      <c r="B64" s="5"/>
      <c r="C64" s="4"/>
      <c r="D64" s="5"/>
      <c r="E64" s="5"/>
      <c r="F64" s="5"/>
      <c r="G64" s="5"/>
      <c r="H64" s="5"/>
      <c r="I64" s="5"/>
      <c r="J64" s="5"/>
      <c r="K64" s="5"/>
      <c r="L64" s="5"/>
      <c r="M64" s="5"/>
      <c r="N64" s="5"/>
      <c r="O64" s="5"/>
      <c r="P64" s="4"/>
      <c r="Q64" s="4"/>
      <c r="R64" s="4"/>
      <c r="S64" s="4"/>
      <c r="T64" s="4"/>
      <c r="U64" s="4"/>
      <c r="V64" s="4"/>
      <c r="W64" s="4"/>
      <c r="X64" s="4"/>
      <c r="Y64" s="4"/>
      <c r="Z64" s="4"/>
      <c r="AA64" s="4"/>
    </row>
    <row r="65" spans="1:27">
      <c r="A65" s="5"/>
      <c r="B65" s="5"/>
      <c r="C65" s="4"/>
      <c r="D65" s="5"/>
      <c r="E65" s="5"/>
      <c r="F65" s="5"/>
      <c r="G65" s="5"/>
      <c r="H65" s="5"/>
      <c r="I65" s="5"/>
      <c r="J65" s="5"/>
      <c r="K65" s="5"/>
      <c r="L65" s="5"/>
      <c r="M65" s="5"/>
      <c r="N65" s="5"/>
      <c r="O65" s="5"/>
      <c r="P65" s="4"/>
      <c r="Q65" s="4"/>
      <c r="R65" s="4"/>
      <c r="S65" s="4"/>
      <c r="T65" s="4"/>
      <c r="U65" s="4"/>
      <c r="V65" s="4"/>
      <c r="W65" s="4"/>
      <c r="X65" s="4"/>
      <c r="Y65" s="4"/>
      <c r="Z65" s="4"/>
      <c r="AA65" s="4"/>
    </row>
    <row r="66" spans="1:27">
      <c r="A66" s="5"/>
      <c r="B66" s="5"/>
      <c r="C66" s="4"/>
      <c r="D66" s="5"/>
      <c r="E66" s="5"/>
      <c r="F66" s="5"/>
      <c r="G66" s="5"/>
      <c r="H66" s="5"/>
      <c r="I66" s="5"/>
      <c r="J66" s="5"/>
      <c r="K66" s="5"/>
      <c r="L66" s="5"/>
      <c r="M66" s="5"/>
      <c r="N66" s="5"/>
      <c r="O66" s="5"/>
      <c r="P66" s="4"/>
      <c r="Q66" s="4"/>
      <c r="R66" s="4"/>
      <c r="S66" s="4"/>
      <c r="T66" s="4"/>
      <c r="U66" s="4"/>
      <c r="V66" s="4"/>
      <c r="W66" s="4"/>
      <c r="X66" s="4"/>
      <c r="Y66" s="4"/>
      <c r="Z66" s="4"/>
      <c r="AA66" s="4"/>
    </row>
    <row r="67" spans="1:27">
      <c r="A67" s="5"/>
      <c r="B67" s="5"/>
      <c r="C67" s="4"/>
      <c r="D67" s="5"/>
      <c r="E67" s="5"/>
      <c r="F67" s="5"/>
      <c r="G67" s="5"/>
      <c r="H67" s="5"/>
      <c r="I67" s="5"/>
      <c r="J67" s="5"/>
      <c r="K67" s="5"/>
      <c r="L67" s="5"/>
      <c r="M67" s="5"/>
      <c r="N67" s="5"/>
      <c r="O67" s="5"/>
      <c r="P67" s="4"/>
      <c r="Q67" s="4"/>
      <c r="R67" s="4"/>
      <c r="S67" s="4"/>
      <c r="T67" s="4"/>
      <c r="U67" s="4"/>
      <c r="V67" s="4"/>
      <c r="W67" s="4"/>
      <c r="X67" s="4"/>
      <c r="Y67" s="4"/>
      <c r="Z67" s="4"/>
      <c r="AA67" s="4"/>
    </row>
    <row r="68" spans="1:27">
      <c r="A68" s="5"/>
      <c r="B68" s="5"/>
      <c r="C68" s="4"/>
      <c r="D68" s="5"/>
      <c r="E68" s="5"/>
      <c r="F68" s="5"/>
      <c r="G68" s="5"/>
      <c r="H68" s="5"/>
      <c r="I68" s="5"/>
      <c r="J68" s="5"/>
      <c r="K68" s="5"/>
      <c r="L68" s="5"/>
      <c r="M68" s="5"/>
      <c r="N68" s="5"/>
      <c r="O68" s="5"/>
      <c r="P68" s="4"/>
      <c r="Q68" s="4"/>
      <c r="R68" s="4"/>
      <c r="S68" s="4"/>
      <c r="T68" s="4"/>
      <c r="U68" s="4"/>
      <c r="V68" s="4"/>
      <c r="W68" s="4"/>
      <c r="X68" s="4"/>
      <c r="Y68" s="4"/>
      <c r="Z68" s="4"/>
      <c r="AA68" s="4"/>
    </row>
    <row r="69" spans="1:27">
      <c r="A69" s="5"/>
      <c r="B69" s="5"/>
      <c r="C69" s="4"/>
      <c r="D69" s="5"/>
      <c r="E69" s="5"/>
      <c r="F69" s="5"/>
      <c r="G69" s="5"/>
      <c r="H69" s="5"/>
      <c r="I69" s="5"/>
      <c r="J69" s="5"/>
      <c r="K69" s="5"/>
      <c r="L69" s="5"/>
      <c r="M69" s="5"/>
      <c r="N69" s="5"/>
      <c r="O69" s="5"/>
      <c r="P69" s="4"/>
      <c r="Q69" s="4"/>
      <c r="R69" s="4"/>
      <c r="S69" s="4"/>
      <c r="T69" s="4"/>
      <c r="U69" s="4"/>
      <c r="V69" s="4"/>
      <c r="W69" s="4"/>
      <c r="X69" s="4"/>
      <c r="Y69" s="4"/>
      <c r="Z69" s="4"/>
      <c r="AA69" s="4"/>
    </row>
    <row r="70" spans="1:27">
      <c r="A70" s="5"/>
      <c r="B70" s="5"/>
      <c r="C70" s="4"/>
      <c r="D70" s="5"/>
      <c r="E70" s="5"/>
      <c r="F70" s="5"/>
      <c r="G70" s="5"/>
      <c r="H70" s="5"/>
      <c r="I70" s="5"/>
      <c r="J70" s="5"/>
      <c r="K70" s="5"/>
      <c r="L70" s="5"/>
      <c r="M70" s="5"/>
      <c r="N70" s="5"/>
      <c r="O70" s="5"/>
      <c r="P70" s="4"/>
      <c r="Q70" s="4"/>
      <c r="R70" s="4"/>
      <c r="S70" s="4"/>
      <c r="T70" s="4"/>
      <c r="U70" s="4"/>
      <c r="V70" s="4"/>
      <c r="W70" s="4"/>
      <c r="X70" s="4"/>
      <c r="Y70" s="4"/>
      <c r="Z70" s="4"/>
      <c r="AA70" s="4"/>
    </row>
    <row r="71" spans="1:27">
      <c r="A71" s="5"/>
      <c r="B71" s="5"/>
      <c r="C71" s="4"/>
      <c r="D71" s="5"/>
      <c r="E71" s="5"/>
      <c r="F71" s="5"/>
      <c r="G71" s="5"/>
      <c r="H71" s="5"/>
      <c r="I71" s="5"/>
      <c r="J71" s="5"/>
      <c r="K71" s="5"/>
      <c r="L71" s="5"/>
      <c r="M71" s="5"/>
      <c r="N71" s="5"/>
      <c r="O71" s="5"/>
      <c r="P71" s="4"/>
      <c r="Q71" s="4"/>
      <c r="R71" s="4"/>
      <c r="S71" s="4"/>
      <c r="T71" s="4"/>
      <c r="U71" s="4"/>
      <c r="V71" s="4"/>
      <c r="W71" s="4"/>
      <c r="X71" s="4"/>
      <c r="Y71" s="4"/>
      <c r="Z71" s="4"/>
      <c r="AA71" s="4"/>
    </row>
    <row r="72" spans="1:27">
      <c r="A72" s="5"/>
      <c r="B72" s="5"/>
      <c r="C72" s="4"/>
      <c r="D72" s="5"/>
      <c r="E72" s="5"/>
      <c r="F72" s="5"/>
      <c r="G72" s="5"/>
      <c r="H72" s="5"/>
      <c r="I72" s="5"/>
      <c r="J72" s="5"/>
      <c r="K72" s="5"/>
      <c r="L72" s="5"/>
      <c r="M72" s="5"/>
      <c r="N72" s="5"/>
      <c r="O72" s="5"/>
      <c r="P72" s="4"/>
      <c r="Q72" s="4"/>
      <c r="R72" s="4"/>
      <c r="S72" s="4"/>
      <c r="T72" s="4"/>
      <c r="U72" s="4"/>
      <c r="V72" s="4"/>
      <c r="W72" s="4"/>
      <c r="X72" s="4"/>
      <c r="Y72" s="4"/>
      <c r="Z72" s="4"/>
      <c r="AA72" s="4"/>
    </row>
    <row r="73" spans="1:27">
      <c r="A73" s="5"/>
      <c r="B73" s="5"/>
      <c r="C73" s="4"/>
      <c r="D73" s="5"/>
      <c r="E73" s="5"/>
      <c r="F73" s="5"/>
      <c r="G73" s="5"/>
      <c r="H73" s="5"/>
      <c r="I73" s="5"/>
      <c r="J73" s="5"/>
      <c r="K73" s="5"/>
      <c r="L73" s="5"/>
      <c r="M73" s="5"/>
      <c r="N73" s="5"/>
      <c r="O73" s="5"/>
      <c r="P73" s="4"/>
      <c r="Q73" s="4"/>
      <c r="R73" s="4"/>
      <c r="S73" s="4"/>
      <c r="T73" s="4"/>
      <c r="U73" s="4"/>
      <c r="V73" s="4"/>
      <c r="W73" s="4"/>
      <c r="X73" s="4"/>
      <c r="Y73" s="4"/>
      <c r="Z73" s="4"/>
      <c r="AA73" s="4"/>
    </row>
    <row r="74" spans="1:27">
      <c r="A74" s="5"/>
      <c r="B74" s="5"/>
      <c r="C74" s="4"/>
      <c r="D74" s="5"/>
      <c r="E74" s="5"/>
      <c r="F74" s="5"/>
      <c r="G74" s="5"/>
      <c r="H74" s="5"/>
      <c r="I74" s="5"/>
      <c r="J74" s="5"/>
      <c r="K74" s="5"/>
      <c r="L74" s="5"/>
      <c r="M74" s="5"/>
      <c r="N74" s="5"/>
      <c r="O74" s="5"/>
      <c r="P74" s="4"/>
      <c r="Q74" s="4"/>
      <c r="R74" s="4"/>
      <c r="S74" s="4"/>
      <c r="T74" s="4"/>
      <c r="U74" s="4"/>
      <c r="V74" s="4"/>
      <c r="W74" s="4"/>
      <c r="X74" s="4"/>
      <c r="Y74" s="4"/>
      <c r="Z74" s="4"/>
      <c r="AA74" s="4"/>
    </row>
    <row r="75" spans="1:27">
      <c r="A75" s="5"/>
      <c r="B75" s="5"/>
      <c r="C75" s="4"/>
      <c r="D75" s="5"/>
      <c r="E75" s="5"/>
      <c r="F75" s="5"/>
      <c r="G75" s="5"/>
      <c r="H75" s="5"/>
      <c r="I75" s="5"/>
      <c r="J75" s="5"/>
      <c r="K75" s="5"/>
      <c r="L75" s="5"/>
      <c r="M75" s="5"/>
      <c r="N75" s="5"/>
      <c r="O75" s="5"/>
      <c r="P75" s="4"/>
      <c r="Q75" s="4"/>
      <c r="R75" s="4"/>
      <c r="S75" s="4"/>
      <c r="T75" s="4"/>
      <c r="U75" s="4"/>
      <c r="V75" s="4"/>
      <c r="W75" s="4"/>
      <c r="X75" s="4"/>
      <c r="Y75" s="4"/>
      <c r="Z75" s="4"/>
      <c r="AA75" s="4"/>
    </row>
    <row r="76" spans="1:27">
      <c r="A76" s="5"/>
      <c r="B76" s="5"/>
      <c r="C76" s="4"/>
      <c r="D76" s="5"/>
      <c r="E76" s="5"/>
      <c r="F76" s="5"/>
      <c r="G76" s="5"/>
      <c r="H76" s="5"/>
      <c r="I76" s="5"/>
      <c r="J76" s="5"/>
      <c r="K76" s="5"/>
      <c r="L76" s="5"/>
      <c r="M76" s="5"/>
      <c r="N76" s="5"/>
      <c r="O76" s="5"/>
      <c r="P76" s="4"/>
      <c r="Q76" s="4"/>
      <c r="R76" s="4"/>
      <c r="S76" s="4"/>
      <c r="T76" s="4"/>
      <c r="U76" s="4"/>
      <c r="V76" s="4"/>
      <c r="W76" s="4"/>
      <c r="X76" s="4"/>
      <c r="Y76" s="4"/>
      <c r="Z76" s="4"/>
      <c r="AA76" s="4"/>
    </row>
    <row r="77" spans="1:27">
      <c r="A77" s="5"/>
      <c r="B77" s="5"/>
      <c r="C77" s="4"/>
      <c r="D77" s="5"/>
      <c r="E77" s="5"/>
      <c r="F77" s="5"/>
      <c r="G77" s="5"/>
      <c r="H77" s="5"/>
      <c r="I77" s="5"/>
      <c r="J77" s="5"/>
      <c r="K77" s="5"/>
      <c r="L77" s="5"/>
      <c r="M77" s="5"/>
      <c r="N77" s="5"/>
      <c r="O77" s="5"/>
      <c r="P77" s="4"/>
      <c r="Q77" s="4"/>
      <c r="R77" s="4"/>
      <c r="S77" s="4"/>
      <c r="T77" s="4"/>
      <c r="U77" s="4"/>
      <c r="V77" s="4"/>
      <c r="W77" s="4"/>
      <c r="X77" s="4"/>
      <c r="Y77" s="4"/>
      <c r="Z77" s="4"/>
      <c r="AA77" s="4"/>
    </row>
    <row r="78" spans="1:27">
      <c r="A78" s="5"/>
      <c r="B78" s="5"/>
      <c r="C78" s="4"/>
      <c r="D78" s="5"/>
      <c r="E78" s="5"/>
      <c r="F78" s="5"/>
      <c r="G78" s="5"/>
      <c r="H78" s="5"/>
      <c r="I78" s="5"/>
      <c r="J78" s="5"/>
      <c r="K78" s="5"/>
      <c r="L78" s="5"/>
      <c r="M78" s="5"/>
      <c r="N78" s="5"/>
      <c r="O78" s="5"/>
      <c r="P78" s="4"/>
      <c r="Q78" s="4"/>
      <c r="R78" s="4"/>
      <c r="S78" s="4"/>
      <c r="T78" s="4"/>
      <c r="U78" s="4"/>
      <c r="V78" s="4"/>
      <c r="W78" s="4"/>
      <c r="X78" s="4"/>
      <c r="Y78" s="4"/>
      <c r="Z78" s="4"/>
      <c r="AA78" s="4"/>
    </row>
    <row r="79" spans="1:27">
      <c r="A79" s="5"/>
      <c r="B79" s="5"/>
      <c r="C79" s="4"/>
      <c r="D79" s="5"/>
      <c r="E79" s="5"/>
      <c r="F79" s="5"/>
      <c r="G79" s="5"/>
      <c r="H79" s="5"/>
      <c r="I79" s="5"/>
      <c r="J79" s="5"/>
      <c r="K79" s="5"/>
      <c r="L79" s="5"/>
      <c r="M79" s="5"/>
      <c r="N79" s="5"/>
      <c r="O79" s="5"/>
      <c r="P79" s="4"/>
      <c r="Q79" s="4"/>
      <c r="R79" s="4"/>
      <c r="S79" s="4"/>
      <c r="T79" s="4"/>
      <c r="U79" s="4"/>
      <c r="V79" s="4"/>
      <c r="W79" s="4"/>
      <c r="X79" s="4"/>
      <c r="Y79" s="4"/>
      <c r="Z79" s="4"/>
      <c r="AA79" s="4"/>
    </row>
    <row r="80" spans="1:27">
      <c r="A80" s="5"/>
      <c r="B80" s="5"/>
      <c r="C80" s="4"/>
      <c r="D80" s="5"/>
      <c r="E80" s="5"/>
      <c r="F80" s="5"/>
      <c r="G80" s="5"/>
      <c r="H80" s="5"/>
      <c r="I80" s="5"/>
      <c r="J80" s="5"/>
      <c r="K80" s="5"/>
      <c r="L80" s="5"/>
      <c r="M80" s="5"/>
      <c r="N80" s="5"/>
      <c r="O80" s="5"/>
      <c r="P80" s="4"/>
      <c r="Q80" s="4"/>
      <c r="R80" s="4"/>
      <c r="S80" s="4"/>
      <c r="T80" s="4"/>
      <c r="U80" s="4"/>
      <c r="V80" s="4"/>
      <c r="W80" s="4"/>
      <c r="X80" s="4"/>
      <c r="Y80" s="4"/>
      <c r="Z80" s="4"/>
      <c r="AA80" s="4"/>
    </row>
    <row r="81" spans="1:27">
      <c r="A81" s="5"/>
      <c r="B81" s="5"/>
      <c r="C81" s="4"/>
      <c r="D81" s="5"/>
      <c r="E81" s="5"/>
      <c r="F81" s="5"/>
      <c r="G81" s="5"/>
      <c r="H81" s="5"/>
      <c r="I81" s="5"/>
      <c r="J81" s="5"/>
      <c r="K81" s="5"/>
      <c r="L81" s="5"/>
      <c r="M81" s="5"/>
      <c r="N81" s="5"/>
      <c r="O81" s="5"/>
      <c r="P81" s="4"/>
      <c r="Q81" s="4"/>
      <c r="R81" s="4"/>
      <c r="S81" s="4"/>
      <c r="T81" s="4"/>
      <c r="U81" s="4"/>
      <c r="V81" s="4"/>
      <c r="W81" s="4"/>
      <c r="X81" s="4"/>
      <c r="Y81" s="4"/>
      <c r="Z81" s="4"/>
      <c r="AA81" s="4"/>
    </row>
    <row r="82" spans="1:27">
      <c r="A82" s="5"/>
      <c r="B82" s="5"/>
      <c r="C82" s="4"/>
      <c r="D82" s="5"/>
      <c r="E82" s="5"/>
      <c r="F82" s="5"/>
      <c r="G82" s="5"/>
      <c r="H82" s="5"/>
      <c r="I82" s="5"/>
      <c r="J82" s="5"/>
      <c r="K82" s="5"/>
      <c r="L82" s="5"/>
      <c r="M82" s="5"/>
      <c r="N82" s="5"/>
      <c r="O82" s="5"/>
      <c r="P82" s="4"/>
      <c r="Q82" s="4"/>
      <c r="R82" s="4"/>
      <c r="S82" s="4"/>
      <c r="T82" s="4"/>
      <c r="U82" s="4"/>
      <c r="V82" s="4"/>
      <c r="W82" s="4"/>
      <c r="X82" s="4"/>
      <c r="Y82" s="4"/>
      <c r="Z82" s="4"/>
      <c r="AA82" s="4"/>
    </row>
    <row r="83" spans="1:27">
      <c r="A83" s="5"/>
      <c r="B83" s="5"/>
      <c r="C83" s="4"/>
      <c r="D83" s="5"/>
      <c r="E83" s="5"/>
      <c r="F83" s="5"/>
      <c r="G83" s="5"/>
      <c r="H83" s="5"/>
      <c r="I83" s="5"/>
      <c r="J83" s="5"/>
      <c r="K83" s="5"/>
      <c r="L83" s="5"/>
      <c r="M83" s="5"/>
      <c r="N83" s="5"/>
      <c r="O83" s="5"/>
      <c r="P83" s="4"/>
      <c r="Q83" s="4"/>
      <c r="R83" s="4"/>
      <c r="S83" s="4"/>
      <c r="T83" s="4"/>
      <c r="U83" s="4"/>
      <c r="V83" s="4"/>
      <c r="W83" s="4"/>
      <c r="X83" s="4"/>
      <c r="Y83" s="4"/>
      <c r="Z83" s="4"/>
      <c r="AA83" s="4"/>
    </row>
    <row r="84" spans="1:27">
      <c r="A84" s="5"/>
      <c r="B84" s="5"/>
      <c r="C84" s="4"/>
      <c r="D84" s="5"/>
      <c r="E84" s="5"/>
      <c r="F84" s="5"/>
      <c r="G84" s="5"/>
      <c r="H84" s="5"/>
      <c r="I84" s="5"/>
      <c r="J84" s="5"/>
      <c r="K84" s="5"/>
      <c r="L84" s="5"/>
      <c r="M84" s="5"/>
      <c r="N84" s="5"/>
      <c r="O84" s="5"/>
      <c r="P84" s="4"/>
      <c r="Q84" s="4"/>
      <c r="R84" s="4"/>
      <c r="S84" s="4"/>
      <c r="T84" s="4"/>
      <c r="U84" s="4"/>
      <c r="V84" s="4"/>
      <c r="W84" s="4"/>
      <c r="X84" s="4"/>
      <c r="Y84" s="4"/>
      <c r="Z84" s="4"/>
      <c r="AA84" s="4"/>
    </row>
    <row r="85" spans="1:27">
      <c r="A85" s="5"/>
      <c r="B85" s="5"/>
      <c r="C85" s="4"/>
      <c r="D85" s="5"/>
      <c r="E85" s="5"/>
      <c r="F85" s="5"/>
      <c r="G85" s="5"/>
      <c r="H85" s="5"/>
      <c r="I85" s="5"/>
      <c r="J85" s="5"/>
      <c r="K85" s="5"/>
      <c r="L85" s="5"/>
      <c r="M85" s="5"/>
      <c r="N85" s="5"/>
      <c r="O85" s="5"/>
      <c r="P85" s="4"/>
      <c r="Q85" s="4"/>
      <c r="R85" s="4"/>
      <c r="S85" s="4"/>
      <c r="T85" s="4"/>
      <c r="U85" s="4"/>
      <c r="V85" s="4"/>
      <c r="W85" s="4"/>
      <c r="X85" s="4"/>
      <c r="Y85" s="4"/>
      <c r="Z85" s="4"/>
      <c r="AA85" s="4"/>
    </row>
    <row r="86" spans="1:27">
      <c r="A86" s="5"/>
      <c r="B86" s="5"/>
      <c r="C86" s="4"/>
      <c r="D86" s="5"/>
      <c r="E86" s="5"/>
      <c r="F86" s="5"/>
      <c r="G86" s="5"/>
      <c r="H86" s="5"/>
      <c r="I86" s="5"/>
      <c r="J86" s="5"/>
      <c r="K86" s="5"/>
      <c r="L86" s="5"/>
      <c r="M86" s="5"/>
      <c r="N86" s="5"/>
      <c r="O86" s="5"/>
      <c r="P86" s="4"/>
      <c r="Q86" s="4"/>
      <c r="R86" s="4"/>
      <c r="S86" s="4"/>
      <c r="T86" s="4"/>
      <c r="U86" s="4"/>
      <c r="V86" s="4"/>
      <c r="W86" s="4"/>
      <c r="X86" s="4"/>
      <c r="Y86" s="4"/>
      <c r="Z86" s="4"/>
      <c r="AA86" s="4"/>
    </row>
    <row r="87" spans="1:27">
      <c r="A87" s="5"/>
      <c r="B87" s="5"/>
      <c r="C87" s="4"/>
      <c r="D87" s="5"/>
      <c r="E87" s="5"/>
      <c r="F87" s="5"/>
      <c r="G87" s="5"/>
      <c r="H87" s="5"/>
      <c r="I87" s="5"/>
      <c r="J87" s="5"/>
      <c r="K87" s="5"/>
      <c r="L87" s="5"/>
      <c r="M87" s="5"/>
      <c r="N87" s="5"/>
      <c r="O87" s="5"/>
      <c r="P87" s="4"/>
      <c r="Q87" s="4"/>
      <c r="R87" s="4"/>
      <c r="S87" s="4"/>
      <c r="T87" s="4"/>
      <c r="U87" s="4"/>
      <c r="V87" s="4"/>
      <c r="W87" s="4"/>
      <c r="X87" s="4"/>
      <c r="Y87" s="4"/>
      <c r="Z87" s="4"/>
      <c r="AA87" s="4"/>
    </row>
    <row r="88" spans="1:27">
      <c r="A88" s="5"/>
      <c r="B88" s="5"/>
      <c r="C88" s="4"/>
      <c r="D88" s="5"/>
      <c r="E88" s="5"/>
      <c r="F88" s="5"/>
      <c r="G88" s="5"/>
      <c r="H88" s="5"/>
      <c r="I88" s="5"/>
      <c r="J88" s="5"/>
      <c r="K88" s="5"/>
      <c r="L88" s="5"/>
      <c r="M88" s="5"/>
      <c r="N88" s="5"/>
      <c r="O88" s="5"/>
      <c r="P88" s="4"/>
      <c r="Q88" s="4"/>
      <c r="R88" s="4"/>
      <c r="S88" s="4"/>
      <c r="T88" s="4"/>
      <c r="U88" s="4"/>
      <c r="V88" s="4"/>
      <c r="W88" s="4"/>
      <c r="X88" s="4"/>
      <c r="Y88" s="4"/>
      <c r="Z88" s="4"/>
      <c r="AA88" s="4"/>
    </row>
    <row r="89" spans="1:27">
      <c r="A89" s="5"/>
      <c r="B89" s="5"/>
      <c r="C89" s="4"/>
      <c r="D89" s="5"/>
      <c r="E89" s="5"/>
      <c r="F89" s="5"/>
      <c r="G89" s="5"/>
      <c r="H89" s="5"/>
      <c r="I89" s="5"/>
      <c r="J89" s="5"/>
      <c r="K89" s="5"/>
      <c r="L89" s="5"/>
      <c r="M89" s="5"/>
      <c r="N89" s="5"/>
      <c r="O89" s="5"/>
      <c r="P89" s="4"/>
      <c r="Q89" s="4"/>
      <c r="R89" s="4"/>
      <c r="S89" s="4"/>
      <c r="T89" s="4"/>
      <c r="U89" s="4"/>
      <c r="V89" s="4"/>
      <c r="W89" s="4"/>
      <c r="X89" s="4"/>
      <c r="Y89" s="4"/>
      <c r="Z89" s="4"/>
      <c r="AA89" s="4"/>
    </row>
    <row r="90" spans="1:27">
      <c r="A90" s="5"/>
      <c r="B90" s="5"/>
      <c r="C90" s="4"/>
      <c r="D90" s="5"/>
      <c r="E90" s="5"/>
      <c r="F90" s="5"/>
      <c r="G90" s="5"/>
      <c r="H90" s="5"/>
      <c r="I90" s="5"/>
      <c r="J90" s="5"/>
      <c r="K90" s="5"/>
      <c r="L90" s="5"/>
      <c r="M90" s="5"/>
      <c r="N90" s="5"/>
      <c r="O90" s="5"/>
      <c r="P90" s="4"/>
      <c r="Q90" s="4"/>
      <c r="R90" s="4"/>
      <c r="S90" s="4"/>
      <c r="T90" s="4"/>
      <c r="U90" s="4"/>
      <c r="V90" s="4"/>
      <c r="W90" s="4"/>
      <c r="X90" s="4"/>
      <c r="Y90" s="4"/>
      <c r="Z90" s="4"/>
      <c r="AA90" s="4"/>
    </row>
    <row r="91" spans="1:27">
      <c r="A91" s="5"/>
      <c r="B91" s="5"/>
      <c r="C91" s="4"/>
      <c r="D91" s="5"/>
      <c r="E91" s="5"/>
      <c r="F91" s="5"/>
      <c r="G91" s="5"/>
      <c r="H91" s="5"/>
      <c r="I91" s="5"/>
      <c r="J91" s="5"/>
      <c r="K91" s="5"/>
      <c r="L91" s="5"/>
      <c r="M91" s="5"/>
      <c r="N91" s="5"/>
      <c r="O91" s="5"/>
      <c r="P91" s="4"/>
      <c r="Q91" s="4"/>
      <c r="R91" s="4"/>
      <c r="S91" s="4"/>
      <c r="T91" s="4"/>
      <c r="U91" s="4"/>
      <c r="V91" s="4"/>
      <c r="W91" s="4"/>
      <c r="X91" s="4"/>
      <c r="Y91" s="4"/>
      <c r="Z91" s="4"/>
      <c r="AA91" s="4"/>
    </row>
    <row r="92" spans="1:27">
      <c r="A92" s="5"/>
      <c r="B92" s="5"/>
      <c r="C92" s="4"/>
      <c r="D92" s="5"/>
      <c r="E92" s="5"/>
      <c r="F92" s="5"/>
      <c r="G92" s="5"/>
      <c r="H92" s="5"/>
      <c r="I92" s="5"/>
      <c r="J92" s="5"/>
      <c r="K92" s="5"/>
      <c r="L92" s="5"/>
      <c r="M92" s="5"/>
      <c r="N92" s="5"/>
      <c r="O92" s="5"/>
      <c r="P92" s="4"/>
      <c r="Q92" s="4"/>
      <c r="R92" s="4"/>
      <c r="S92" s="4"/>
      <c r="T92" s="4"/>
      <c r="U92" s="4"/>
      <c r="V92" s="4"/>
      <c r="W92" s="4"/>
      <c r="X92" s="4"/>
      <c r="Y92" s="4"/>
      <c r="Z92" s="4"/>
      <c r="AA92" s="4"/>
    </row>
    <row r="93" spans="1:27">
      <c r="A93" s="5"/>
      <c r="B93" s="5"/>
      <c r="C93" s="4"/>
      <c r="D93" s="5"/>
      <c r="E93" s="5"/>
      <c r="F93" s="5"/>
      <c r="G93" s="5"/>
      <c r="H93" s="5"/>
      <c r="I93" s="5"/>
      <c r="J93" s="5"/>
      <c r="K93" s="5"/>
      <c r="L93" s="5"/>
      <c r="M93" s="5"/>
      <c r="N93" s="5"/>
      <c r="O93" s="5"/>
      <c r="P93" s="4"/>
      <c r="Q93" s="4"/>
      <c r="R93" s="4"/>
      <c r="S93" s="4"/>
      <c r="T93" s="4"/>
      <c r="U93" s="4"/>
      <c r="V93" s="4"/>
      <c r="W93" s="4"/>
      <c r="X93" s="4"/>
      <c r="Y93" s="4"/>
      <c r="Z93" s="4"/>
      <c r="AA93" s="4"/>
    </row>
    <row r="94" spans="1:27">
      <c r="A94" s="5"/>
      <c r="B94" s="5"/>
      <c r="C94" s="4"/>
      <c r="D94" s="5"/>
      <c r="E94" s="5"/>
      <c r="F94" s="5"/>
      <c r="G94" s="5"/>
      <c r="H94" s="5"/>
      <c r="I94" s="5"/>
      <c r="J94" s="5"/>
      <c r="K94" s="5"/>
      <c r="L94" s="5"/>
      <c r="M94" s="5"/>
      <c r="N94" s="5"/>
      <c r="O94" s="5"/>
      <c r="P94" s="4"/>
      <c r="Q94" s="4"/>
      <c r="R94" s="4"/>
      <c r="S94" s="4"/>
      <c r="T94" s="4"/>
      <c r="U94" s="4"/>
      <c r="V94" s="4"/>
      <c r="W94" s="4"/>
      <c r="X94" s="4"/>
      <c r="Y94" s="4"/>
      <c r="Z94" s="4"/>
      <c r="AA94" s="4"/>
    </row>
    <row r="95" spans="1:27">
      <c r="A95" s="5"/>
      <c r="B95" s="5"/>
      <c r="C95" s="4"/>
      <c r="D95" s="5"/>
      <c r="E95" s="5"/>
      <c r="F95" s="5"/>
      <c r="G95" s="5"/>
      <c r="H95" s="5"/>
      <c r="I95" s="5"/>
      <c r="J95" s="5"/>
      <c r="K95" s="5"/>
      <c r="L95" s="5"/>
      <c r="M95" s="5"/>
      <c r="N95" s="5"/>
      <c r="O95" s="5"/>
      <c r="P95" s="4"/>
      <c r="Q95" s="4"/>
      <c r="R95" s="4"/>
      <c r="S95" s="4"/>
      <c r="T95" s="4"/>
      <c r="U95" s="4"/>
      <c r="V95" s="4"/>
      <c r="W95" s="4"/>
      <c r="X95" s="4"/>
      <c r="Y95" s="4"/>
      <c r="Z95" s="4"/>
      <c r="AA95" s="4"/>
    </row>
    <row r="96" spans="1:27">
      <c r="A96" s="5"/>
      <c r="B96" s="5"/>
      <c r="C96" s="4"/>
      <c r="D96" s="5"/>
      <c r="E96" s="5"/>
      <c r="F96" s="5"/>
      <c r="G96" s="5"/>
      <c r="H96" s="5"/>
      <c r="I96" s="5"/>
      <c r="J96" s="5"/>
      <c r="K96" s="5"/>
      <c r="L96" s="5"/>
      <c r="M96" s="5"/>
      <c r="N96" s="5"/>
      <c r="O96" s="5"/>
      <c r="P96" s="4"/>
      <c r="Q96" s="4"/>
      <c r="R96" s="4"/>
      <c r="S96" s="4"/>
      <c r="T96" s="4"/>
      <c r="U96" s="4"/>
      <c r="V96" s="4"/>
      <c r="W96" s="4"/>
      <c r="X96" s="4"/>
      <c r="Y96" s="4"/>
      <c r="Z96" s="4"/>
      <c r="AA96" s="4"/>
    </row>
    <row r="97" spans="1:27">
      <c r="A97" s="5"/>
      <c r="B97" s="5"/>
      <c r="C97" s="4"/>
      <c r="D97" s="5"/>
      <c r="E97" s="5"/>
      <c r="F97" s="5"/>
      <c r="G97" s="5"/>
      <c r="H97" s="5"/>
      <c r="I97" s="5"/>
      <c r="J97" s="5"/>
      <c r="K97" s="5"/>
      <c r="L97" s="5"/>
      <c r="M97" s="5"/>
      <c r="N97" s="5"/>
      <c r="O97" s="5"/>
      <c r="P97" s="4"/>
      <c r="Q97" s="4"/>
      <c r="R97" s="4"/>
      <c r="S97" s="4"/>
      <c r="T97" s="4"/>
      <c r="U97" s="4"/>
      <c r="V97" s="4"/>
      <c r="W97" s="4"/>
      <c r="X97" s="4"/>
      <c r="Y97" s="4"/>
      <c r="Z97" s="4"/>
      <c r="AA97" s="4"/>
    </row>
    <row r="98" spans="1:27">
      <c r="A98" s="5"/>
      <c r="B98" s="5"/>
      <c r="C98" s="4"/>
      <c r="D98" s="5"/>
      <c r="E98" s="5"/>
      <c r="F98" s="5"/>
      <c r="G98" s="5"/>
      <c r="H98" s="5"/>
      <c r="I98" s="5"/>
      <c r="J98" s="5"/>
      <c r="K98" s="5"/>
      <c r="L98" s="5"/>
      <c r="M98" s="5"/>
      <c r="N98" s="5"/>
      <c r="O98" s="5"/>
      <c r="P98" s="4"/>
      <c r="Q98" s="4"/>
      <c r="R98" s="4"/>
      <c r="S98" s="4"/>
      <c r="T98" s="4"/>
      <c r="U98" s="4"/>
      <c r="V98" s="4"/>
      <c r="W98" s="4"/>
      <c r="X98" s="4"/>
      <c r="Y98" s="4"/>
      <c r="Z98" s="4"/>
      <c r="AA98" s="4"/>
    </row>
    <row r="99" spans="1:27">
      <c r="A99" s="5"/>
      <c r="B99" s="5"/>
      <c r="C99" s="4"/>
      <c r="D99" s="5"/>
      <c r="E99" s="5"/>
      <c r="F99" s="5"/>
      <c r="G99" s="5"/>
      <c r="H99" s="5"/>
      <c r="I99" s="5"/>
      <c r="J99" s="5"/>
      <c r="K99" s="5"/>
      <c r="L99" s="5"/>
      <c r="M99" s="5"/>
      <c r="N99" s="5"/>
      <c r="O99" s="5"/>
      <c r="P99" s="4"/>
      <c r="Q99" s="4"/>
      <c r="R99" s="4"/>
      <c r="S99" s="4"/>
      <c r="T99" s="4"/>
      <c r="U99" s="4"/>
      <c r="V99" s="4"/>
      <c r="W99" s="4"/>
      <c r="X99" s="4"/>
      <c r="Y99" s="4"/>
      <c r="Z99" s="4"/>
      <c r="AA99" s="4"/>
    </row>
    <row r="100" spans="1:27">
      <c r="A100" s="5"/>
      <c r="B100" s="5"/>
      <c r="C100" s="4"/>
      <c r="D100" s="5"/>
      <c r="E100" s="5"/>
      <c r="F100" s="5"/>
      <c r="G100" s="5"/>
      <c r="H100" s="5"/>
      <c r="I100" s="5"/>
      <c r="J100" s="5"/>
      <c r="K100" s="5"/>
      <c r="L100" s="5"/>
      <c r="M100" s="5"/>
      <c r="N100" s="5"/>
      <c r="O100" s="5"/>
      <c r="P100" s="4"/>
      <c r="Q100" s="4"/>
      <c r="R100" s="4"/>
      <c r="S100" s="4"/>
      <c r="T100" s="4"/>
      <c r="U100" s="4"/>
      <c r="V100" s="4"/>
      <c r="W100" s="4"/>
      <c r="X100" s="4"/>
      <c r="Y100" s="4"/>
      <c r="Z100" s="4"/>
      <c r="AA100" s="4"/>
    </row>
    <row r="101" spans="1:27">
      <c r="A101" s="5"/>
      <c r="B101" s="5"/>
      <c r="C101" s="4"/>
      <c r="D101" s="5"/>
      <c r="E101" s="5"/>
      <c r="F101" s="5"/>
      <c r="G101" s="5"/>
      <c r="H101" s="5"/>
      <c r="I101" s="5"/>
      <c r="J101" s="5"/>
      <c r="K101" s="5"/>
      <c r="L101" s="5"/>
      <c r="M101" s="5"/>
      <c r="N101" s="5"/>
      <c r="O101" s="5"/>
      <c r="P101" s="4"/>
      <c r="Q101" s="4"/>
      <c r="R101" s="4"/>
      <c r="S101" s="4"/>
      <c r="T101" s="4"/>
      <c r="U101" s="4"/>
      <c r="V101" s="4"/>
      <c r="W101" s="4"/>
      <c r="X101" s="4"/>
      <c r="Y101" s="4"/>
      <c r="Z101" s="4"/>
      <c r="AA101" s="4"/>
    </row>
    <row r="102" spans="1:27">
      <c r="A102" s="5"/>
      <c r="B102" s="5"/>
      <c r="C102" s="4"/>
      <c r="D102" s="5"/>
      <c r="E102" s="5"/>
      <c r="F102" s="5"/>
      <c r="G102" s="5"/>
      <c r="H102" s="5"/>
      <c r="I102" s="5"/>
      <c r="J102" s="5"/>
      <c r="K102" s="5"/>
      <c r="L102" s="5"/>
      <c r="M102" s="5"/>
      <c r="N102" s="5"/>
      <c r="O102" s="5"/>
      <c r="P102" s="4"/>
      <c r="Q102" s="4"/>
      <c r="R102" s="4"/>
      <c r="S102" s="4"/>
      <c r="T102" s="4"/>
      <c r="U102" s="4"/>
      <c r="V102" s="4"/>
      <c r="W102" s="4"/>
      <c r="X102" s="4"/>
      <c r="Y102" s="4"/>
      <c r="Z102" s="4"/>
      <c r="AA102" s="4"/>
    </row>
    <row r="103" spans="1:27">
      <c r="A103" s="5"/>
      <c r="B103" s="5"/>
      <c r="C103" s="4"/>
      <c r="D103" s="5"/>
      <c r="E103" s="5"/>
      <c r="F103" s="5"/>
      <c r="G103" s="5"/>
      <c r="H103" s="5"/>
      <c r="I103" s="5"/>
      <c r="J103" s="5"/>
      <c r="K103" s="5"/>
      <c r="L103" s="5"/>
      <c r="M103" s="5"/>
      <c r="N103" s="5"/>
      <c r="O103" s="5"/>
      <c r="P103" s="4"/>
      <c r="Q103" s="4"/>
      <c r="R103" s="4"/>
      <c r="S103" s="4"/>
      <c r="T103" s="4"/>
      <c r="U103" s="4"/>
      <c r="V103" s="4"/>
      <c r="W103" s="4"/>
      <c r="X103" s="4"/>
      <c r="Y103" s="4"/>
      <c r="Z103" s="4"/>
      <c r="AA103" s="4"/>
    </row>
    <row r="104" spans="1:27">
      <c r="A104" s="5"/>
      <c r="B104" s="5"/>
      <c r="C104" s="4"/>
      <c r="D104" s="5"/>
      <c r="E104" s="5"/>
      <c r="F104" s="5"/>
      <c r="G104" s="5"/>
      <c r="H104" s="5"/>
      <c r="I104" s="5"/>
      <c r="J104" s="5"/>
      <c r="K104" s="5"/>
      <c r="L104" s="5"/>
      <c r="M104" s="5"/>
      <c r="N104" s="5"/>
      <c r="O104" s="5"/>
      <c r="P104" s="4"/>
      <c r="Q104" s="4"/>
      <c r="R104" s="4"/>
      <c r="S104" s="4"/>
      <c r="T104" s="4"/>
      <c r="U104" s="4"/>
      <c r="V104" s="4"/>
      <c r="W104" s="4"/>
      <c r="X104" s="4"/>
      <c r="Y104" s="4"/>
      <c r="Z104" s="4"/>
      <c r="AA104" s="4"/>
    </row>
    <row r="105" spans="1:27">
      <c r="A105" s="5"/>
      <c r="B105" s="5"/>
      <c r="C105" s="4"/>
      <c r="D105" s="5"/>
      <c r="E105" s="5"/>
      <c r="F105" s="5"/>
      <c r="G105" s="5"/>
      <c r="H105" s="5"/>
      <c r="I105" s="5"/>
      <c r="J105" s="5"/>
      <c r="K105" s="5"/>
      <c r="L105" s="5"/>
      <c r="M105" s="5"/>
      <c r="N105" s="5"/>
      <c r="O105" s="5"/>
      <c r="P105" s="4"/>
      <c r="Q105" s="4"/>
      <c r="R105" s="4"/>
      <c r="S105" s="4"/>
      <c r="T105" s="4"/>
      <c r="U105" s="4"/>
      <c r="V105" s="4"/>
      <c r="W105" s="4"/>
      <c r="X105" s="4"/>
      <c r="Y105" s="4"/>
      <c r="Z105" s="4"/>
      <c r="AA105" s="4"/>
    </row>
    <row r="106" spans="1:27">
      <c r="A106" s="5"/>
      <c r="B106" s="5"/>
      <c r="C106" s="4"/>
      <c r="D106" s="5"/>
      <c r="E106" s="5"/>
      <c r="F106" s="5"/>
      <c r="G106" s="5"/>
      <c r="H106" s="5"/>
      <c r="I106" s="5"/>
      <c r="J106" s="5"/>
      <c r="K106" s="5"/>
      <c r="L106" s="5"/>
      <c r="M106" s="5"/>
      <c r="N106" s="5"/>
      <c r="O106" s="5"/>
      <c r="P106" s="4"/>
      <c r="Q106" s="4"/>
      <c r="R106" s="4"/>
      <c r="S106" s="4"/>
      <c r="T106" s="4"/>
      <c r="U106" s="4"/>
      <c r="V106" s="4"/>
      <c r="W106" s="4"/>
      <c r="X106" s="4"/>
      <c r="Y106" s="4"/>
      <c r="Z106" s="4"/>
      <c r="AA106" s="4"/>
    </row>
    <row r="107" spans="1:27">
      <c r="A107" s="5"/>
      <c r="B107" s="5"/>
      <c r="C107" s="4"/>
      <c r="D107" s="5"/>
      <c r="E107" s="5"/>
      <c r="F107" s="5"/>
      <c r="G107" s="5"/>
      <c r="H107" s="5"/>
      <c r="I107" s="5"/>
      <c r="J107" s="5"/>
      <c r="K107" s="5"/>
      <c r="L107" s="5"/>
      <c r="M107" s="5"/>
      <c r="N107" s="5"/>
      <c r="O107" s="5"/>
      <c r="P107" s="4"/>
      <c r="Q107" s="4"/>
      <c r="R107" s="4"/>
      <c r="S107" s="4"/>
      <c r="T107" s="4"/>
      <c r="U107" s="4"/>
      <c r="V107" s="4"/>
      <c r="W107" s="4"/>
      <c r="X107" s="4"/>
      <c r="Y107" s="4"/>
      <c r="Z107" s="4"/>
      <c r="AA107" s="4"/>
    </row>
    <row r="108" spans="1:27">
      <c r="A108" s="5"/>
      <c r="B108" s="5"/>
      <c r="C108" s="4"/>
      <c r="D108" s="5"/>
      <c r="E108" s="5"/>
      <c r="F108" s="5"/>
      <c r="G108" s="5"/>
      <c r="H108" s="5"/>
      <c r="I108" s="5"/>
      <c r="J108" s="5"/>
      <c r="K108" s="5"/>
      <c r="L108" s="5"/>
      <c r="M108" s="5"/>
      <c r="N108" s="5"/>
      <c r="O108" s="5"/>
      <c r="P108" s="4"/>
      <c r="Q108" s="4"/>
      <c r="R108" s="4"/>
      <c r="S108" s="4"/>
      <c r="T108" s="4"/>
      <c r="U108" s="4"/>
      <c r="V108" s="4"/>
      <c r="W108" s="4"/>
      <c r="X108" s="4"/>
      <c r="Y108" s="4"/>
      <c r="Z108" s="4"/>
      <c r="AA108" s="4"/>
    </row>
    <row r="109" spans="1:27">
      <c r="A109" s="5"/>
      <c r="B109" s="5"/>
      <c r="C109" s="4"/>
      <c r="D109" s="5"/>
      <c r="E109" s="5"/>
      <c r="F109" s="5"/>
      <c r="G109" s="5"/>
      <c r="H109" s="5"/>
      <c r="I109" s="5"/>
      <c r="J109" s="5"/>
      <c r="K109" s="5"/>
      <c r="L109" s="5"/>
      <c r="M109" s="5"/>
      <c r="N109" s="5"/>
      <c r="O109" s="5"/>
      <c r="P109" s="4"/>
      <c r="Q109" s="4"/>
      <c r="R109" s="4"/>
      <c r="S109" s="4"/>
      <c r="T109" s="4"/>
      <c r="U109" s="4"/>
      <c r="V109" s="4"/>
      <c r="W109" s="4"/>
      <c r="X109" s="4"/>
      <c r="Y109" s="4"/>
      <c r="Z109" s="4"/>
      <c r="AA109" s="4"/>
    </row>
    <row r="110" spans="1:27">
      <c r="A110" s="5"/>
      <c r="B110" s="5"/>
      <c r="C110" s="4"/>
      <c r="D110" s="5"/>
      <c r="E110" s="5"/>
      <c r="F110" s="5"/>
      <c r="G110" s="5"/>
      <c r="H110" s="5"/>
      <c r="I110" s="5"/>
      <c r="J110" s="5"/>
      <c r="K110" s="5"/>
      <c r="L110" s="5"/>
      <c r="M110" s="5"/>
      <c r="N110" s="5"/>
      <c r="O110" s="5"/>
      <c r="P110" s="4"/>
      <c r="Q110" s="4"/>
      <c r="R110" s="4"/>
      <c r="S110" s="4"/>
      <c r="T110" s="4"/>
      <c r="U110" s="4"/>
      <c r="V110" s="4"/>
      <c r="W110" s="4"/>
      <c r="X110" s="4"/>
      <c r="Y110" s="4"/>
      <c r="Z110" s="4"/>
      <c r="AA110" s="4"/>
    </row>
    <row r="111" spans="1:27">
      <c r="A111" s="5"/>
      <c r="B111" s="5"/>
      <c r="C111" s="4"/>
      <c r="D111" s="5"/>
      <c r="E111" s="5"/>
      <c r="F111" s="5"/>
      <c r="G111" s="5"/>
      <c r="H111" s="5"/>
      <c r="I111" s="5"/>
      <c r="J111" s="5"/>
      <c r="K111" s="5"/>
      <c r="L111" s="5"/>
      <c r="M111" s="5"/>
      <c r="N111" s="5"/>
      <c r="O111" s="5"/>
      <c r="P111" s="4"/>
      <c r="Q111" s="4"/>
      <c r="R111" s="4"/>
      <c r="S111" s="4"/>
      <c r="T111" s="4"/>
      <c r="U111" s="4"/>
      <c r="V111" s="4"/>
      <c r="W111" s="4"/>
      <c r="X111" s="4"/>
      <c r="Y111" s="4"/>
      <c r="Z111" s="4"/>
      <c r="AA111" s="4"/>
    </row>
    <row r="112" spans="1:27">
      <c r="A112" s="5"/>
      <c r="B112" s="5"/>
      <c r="C112" s="4"/>
      <c r="D112" s="5"/>
      <c r="E112" s="5"/>
      <c r="F112" s="5"/>
      <c r="G112" s="5"/>
      <c r="H112" s="5"/>
      <c r="I112" s="5"/>
      <c r="J112" s="5"/>
      <c r="K112" s="5"/>
      <c r="L112" s="5"/>
      <c r="M112" s="5"/>
      <c r="N112" s="5"/>
      <c r="O112" s="5"/>
      <c r="P112" s="4"/>
      <c r="Q112" s="4"/>
      <c r="R112" s="4"/>
      <c r="S112" s="4"/>
      <c r="T112" s="4"/>
      <c r="U112" s="4"/>
      <c r="V112" s="4"/>
      <c r="W112" s="4"/>
      <c r="X112" s="4"/>
      <c r="Y112" s="4"/>
      <c r="Z112" s="4"/>
      <c r="AA112" s="4"/>
    </row>
    <row r="113" spans="1:27">
      <c r="A113" s="5"/>
      <c r="B113" s="5"/>
      <c r="C113" s="4"/>
      <c r="D113" s="5"/>
      <c r="E113" s="5"/>
      <c r="F113" s="5"/>
      <c r="G113" s="5"/>
      <c r="H113" s="5"/>
      <c r="I113" s="5"/>
      <c r="J113" s="5"/>
      <c r="K113" s="5"/>
      <c r="L113" s="5"/>
      <c r="M113" s="5"/>
      <c r="N113" s="5"/>
      <c r="O113" s="5"/>
      <c r="P113" s="4"/>
      <c r="Q113" s="4"/>
      <c r="R113" s="4"/>
      <c r="S113" s="4"/>
      <c r="T113" s="4"/>
      <c r="U113" s="4"/>
      <c r="V113" s="4"/>
      <c r="W113" s="4"/>
      <c r="X113" s="4"/>
      <c r="Y113" s="4"/>
      <c r="Z113" s="4"/>
      <c r="AA113" s="4"/>
    </row>
    <row r="114" spans="1:27">
      <c r="A114" s="5"/>
      <c r="B114" s="5"/>
      <c r="C114" s="4"/>
      <c r="D114" s="5"/>
      <c r="E114" s="5"/>
      <c r="F114" s="5"/>
      <c r="G114" s="5"/>
      <c r="H114" s="5"/>
      <c r="I114" s="5"/>
      <c r="J114" s="5"/>
      <c r="K114" s="5"/>
      <c r="L114" s="5"/>
      <c r="M114" s="5"/>
      <c r="N114" s="5"/>
      <c r="O114" s="5"/>
      <c r="P114" s="4"/>
      <c r="Q114" s="4"/>
      <c r="R114" s="4"/>
      <c r="S114" s="4"/>
      <c r="T114" s="4"/>
      <c r="U114" s="4"/>
      <c r="V114" s="4"/>
      <c r="W114" s="4"/>
      <c r="X114" s="4"/>
      <c r="Y114" s="4"/>
      <c r="Z114" s="4"/>
      <c r="AA114" s="4"/>
    </row>
    <row r="115" spans="1:27">
      <c r="A115" s="5"/>
      <c r="B115" s="5"/>
      <c r="C115" s="4"/>
      <c r="D115" s="5"/>
      <c r="E115" s="5"/>
      <c r="F115" s="5"/>
      <c r="G115" s="5"/>
      <c r="H115" s="5"/>
      <c r="I115" s="5"/>
      <c r="J115" s="5"/>
      <c r="K115" s="5"/>
      <c r="L115" s="5"/>
      <c r="M115" s="5"/>
      <c r="N115" s="5"/>
      <c r="O115" s="5"/>
      <c r="P115" s="4"/>
      <c r="Q115" s="4"/>
      <c r="R115" s="4"/>
      <c r="S115" s="4"/>
      <c r="T115" s="4"/>
      <c r="U115" s="4"/>
      <c r="V115" s="4"/>
      <c r="W115" s="4"/>
      <c r="X115" s="4"/>
      <c r="Y115" s="4"/>
      <c r="Z115" s="4"/>
      <c r="AA115" s="4"/>
    </row>
    <row r="116" spans="1:27">
      <c r="A116" s="5"/>
      <c r="B116" s="5"/>
      <c r="C116" s="4"/>
      <c r="D116" s="5"/>
      <c r="E116" s="5"/>
      <c r="F116" s="5"/>
      <c r="G116" s="5"/>
      <c r="H116" s="5"/>
      <c r="I116" s="5"/>
      <c r="J116" s="5"/>
      <c r="K116" s="5"/>
      <c r="L116" s="5"/>
      <c r="M116" s="5"/>
      <c r="N116" s="5"/>
      <c r="O116" s="5"/>
      <c r="P116" s="4"/>
      <c r="Q116" s="4"/>
      <c r="R116" s="4"/>
      <c r="S116" s="4"/>
      <c r="T116" s="4"/>
      <c r="U116" s="4"/>
      <c r="V116" s="4"/>
      <c r="W116" s="4"/>
      <c r="X116" s="4"/>
      <c r="Y116" s="4"/>
      <c r="Z116" s="4"/>
      <c r="AA116" s="4"/>
    </row>
    <row r="117" spans="1:27">
      <c r="A117" s="5"/>
      <c r="B117" s="5"/>
      <c r="C117" s="4"/>
      <c r="D117" s="5"/>
      <c r="E117" s="5"/>
      <c r="F117" s="5"/>
      <c r="G117" s="5"/>
      <c r="H117" s="5"/>
      <c r="I117" s="5"/>
      <c r="J117" s="5"/>
      <c r="K117" s="5"/>
      <c r="L117" s="5"/>
      <c r="M117" s="5"/>
      <c r="N117" s="5"/>
      <c r="O117" s="5"/>
      <c r="P117" s="4"/>
      <c r="Q117" s="4"/>
      <c r="R117" s="4"/>
      <c r="S117" s="4"/>
      <c r="T117" s="4"/>
      <c r="U117" s="4"/>
      <c r="V117" s="4"/>
      <c r="W117" s="4"/>
      <c r="X117" s="4"/>
      <c r="Y117" s="4"/>
      <c r="Z117" s="4"/>
      <c r="AA117" s="4"/>
    </row>
    <row r="118" spans="1:27">
      <c r="A118" s="5"/>
      <c r="B118" s="5"/>
      <c r="C118" s="4"/>
      <c r="D118" s="5"/>
      <c r="E118" s="5"/>
      <c r="F118" s="5"/>
      <c r="G118" s="5"/>
      <c r="H118" s="5"/>
      <c r="I118" s="5"/>
      <c r="J118" s="5"/>
      <c r="K118" s="5"/>
      <c r="L118" s="5"/>
      <c r="M118" s="5"/>
      <c r="N118" s="5"/>
      <c r="O118" s="5"/>
      <c r="P118" s="4"/>
      <c r="Q118" s="4"/>
      <c r="R118" s="4"/>
      <c r="S118" s="4"/>
      <c r="T118" s="4"/>
      <c r="U118" s="4"/>
      <c r="V118" s="4"/>
      <c r="W118" s="4"/>
      <c r="X118" s="4"/>
      <c r="Y118" s="4"/>
      <c r="Z118" s="4"/>
      <c r="AA118" s="4"/>
    </row>
    <row r="119" spans="1:27">
      <c r="A119" s="5"/>
      <c r="B119" s="5"/>
      <c r="C119" s="4"/>
      <c r="D119" s="5"/>
      <c r="E119" s="5"/>
      <c r="F119" s="5"/>
      <c r="G119" s="5"/>
      <c r="H119" s="5"/>
      <c r="I119" s="5"/>
      <c r="J119" s="5"/>
      <c r="K119" s="5"/>
      <c r="L119" s="5"/>
      <c r="M119" s="5"/>
      <c r="N119" s="5"/>
      <c r="O119" s="5"/>
      <c r="P119" s="4"/>
      <c r="Q119" s="4"/>
      <c r="R119" s="4"/>
      <c r="S119" s="4"/>
      <c r="T119" s="4"/>
      <c r="U119" s="4"/>
      <c r="V119" s="4"/>
      <c r="W119" s="4"/>
      <c r="X119" s="4"/>
      <c r="Y119" s="4"/>
      <c r="Z119" s="4"/>
      <c r="AA119" s="4"/>
    </row>
    <row r="120" spans="1:27">
      <c r="A120" s="5"/>
      <c r="B120" s="5"/>
      <c r="C120" s="4"/>
      <c r="D120" s="5"/>
      <c r="E120" s="5"/>
      <c r="F120" s="5"/>
      <c r="G120" s="5"/>
      <c r="H120" s="5"/>
      <c r="I120" s="5"/>
      <c r="J120" s="5"/>
      <c r="K120" s="5"/>
      <c r="L120" s="5"/>
      <c r="M120" s="5"/>
      <c r="N120" s="5"/>
      <c r="O120" s="5"/>
      <c r="P120" s="4"/>
      <c r="Q120" s="4"/>
      <c r="R120" s="4"/>
      <c r="S120" s="4"/>
      <c r="T120" s="4"/>
      <c r="U120" s="4"/>
      <c r="V120" s="4"/>
      <c r="W120" s="4"/>
      <c r="X120" s="4"/>
      <c r="Y120" s="4"/>
      <c r="Z120" s="4"/>
      <c r="AA120" s="4"/>
    </row>
    <row r="121" spans="1:27">
      <c r="A121" s="5"/>
      <c r="B121" s="5"/>
      <c r="C121" s="4"/>
      <c r="D121" s="5"/>
      <c r="E121" s="5"/>
      <c r="F121" s="5"/>
      <c r="G121" s="5"/>
      <c r="H121" s="5"/>
      <c r="I121" s="5"/>
      <c r="J121" s="5"/>
      <c r="K121" s="5"/>
      <c r="L121" s="5"/>
      <c r="M121" s="5"/>
      <c r="N121" s="5"/>
      <c r="O121" s="5"/>
      <c r="P121" s="4"/>
      <c r="Q121" s="4"/>
      <c r="R121" s="4"/>
      <c r="S121" s="4"/>
      <c r="T121" s="4"/>
      <c r="U121" s="4"/>
      <c r="V121" s="4"/>
      <c r="W121" s="4"/>
      <c r="X121" s="4"/>
      <c r="Y121" s="4"/>
      <c r="Z121" s="4"/>
      <c r="AA121" s="4"/>
    </row>
    <row r="122" spans="1:27">
      <c r="A122" s="5"/>
      <c r="B122" s="5"/>
      <c r="C122" s="4"/>
      <c r="D122" s="5"/>
      <c r="E122" s="5"/>
      <c r="F122" s="5"/>
      <c r="G122" s="5"/>
      <c r="H122" s="5"/>
      <c r="I122" s="5"/>
      <c r="J122" s="5"/>
      <c r="K122" s="5"/>
      <c r="L122" s="5"/>
      <c r="M122" s="5"/>
      <c r="N122" s="5"/>
      <c r="O122" s="5"/>
      <c r="P122" s="4"/>
      <c r="Q122" s="4"/>
      <c r="R122" s="4"/>
      <c r="S122" s="4"/>
      <c r="T122" s="4"/>
      <c r="U122" s="4"/>
      <c r="V122" s="4"/>
      <c r="W122" s="4"/>
      <c r="X122" s="4"/>
      <c r="Y122" s="4"/>
      <c r="Z122" s="4"/>
      <c r="AA122" s="4"/>
    </row>
    <row r="123" spans="1:27">
      <c r="A123" s="5"/>
      <c r="B123" s="5"/>
      <c r="C123" s="4"/>
      <c r="D123" s="5"/>
      <c r="E123" s="5"/>
      <c r="F123" s="5"/>
      <c r="G123" s="5"/>
      <c r="H123" s="5"/>
      <c r="I123" s="5"/>
      <c r="J123" s="5"/>
      <c r="K123" s="5"/>
      <c r="L123" s="5"/>
      <c r="M123" s="5"/>
      <c r="N123" s="5"/>
      <c r="O123" s="5"/>
      <c r="P123" s="4"/>
      <c r="Q123" s="4"/>
      <c r="R123" s="4"/>
      <c r="S123" s="4"/>
      <c r="T123" s="4"/>
      <c r="U123" s="4"/>
      <c r="V123" s="4"/>
      <c r="W123" s="4"/>
      <c r="X123" s="4"/>
      <c r="Y123" s="4"/>
      <c r="Z123" s="4"/>
      <c r="AA123" s="4"/>
    </row>
    <row r="124" spans="1:27">
      <c r="A124" s="5"/>
      <c r="B124" s="5"/>
      <c r="C124" s="4"/>
      <c r="D124" s="5"/>
      <c r="E124" s="5"/>
      <c r="F124" s="5"/>
      <c r="G124" s="5"/>
      <c r="H124" s="5"/>
      <c r="I124" s="5"/>
      <c r="J124" s="5"/>
      <c r="K124" s="5"/>
      <c r="L124" s="5"/>
      <c r="M124" s="5"/>
      <c r="N124" s="5"/>
      <c r="O124" s="5"/>
      <c r="P124" s="4"/>
      <c r="Q124" s="4"/>
      <c r="R124" s="4"/>
      <c r="S124" s="4"/>
      <c r="T124" s="4"/>
      <c r="U124" s="4"/>
      <c r="V124" s="4"/>
      <c r="W124" s="4"/>
      <c r="X124" s="4"/>
      <c r="Y124" s="4"/>
      <c r="Z124" s="4"/>
      <c r="AA124" s="4"/>
    </row>
    <row r="125" spans="1:27">
      <c r="A125" s="5"/>
      <c r="B125" s="5"/>
      <c r="C125" s="4"/>
      <c r="D125" s="5"/>
      <c r="E125" s="5"/>
      <c r="F125" s="5"/>
      <c r="G125" s="5"/>
      <c r="H125" s="5"/>
      <c r="I125" s="5"/>
      <c r="J125" s="5"/>
      <c r="K125" s="5"/>
      <c r="L125" s="5"/>
      <c r="M125" s="5"/>
      <c r="N125" s="5"/>
      <c r="O125" s="5"/>
      <c r="P125" s="4"/>
      <c r="Q125" s="4"/>
      <c r="R125" s="4"/>
      <c r="S125" s="4"/>
      <c r="T125" s="4"/>
      <c r="U125" s="4"/>
      <c r="V125" s="4"/>
      <c r="W125" s="4"/>
      <c r="X125" s="4"/>
      <c r="Y125" s="4"/>
      <c r="Z125" s="4"/>
      <c r="AA125" s="4"/>
    </row>
    <row r="126" spans="1:27">
      <c r="A126" s="5"/>
      <c r="B126" s="5"/>
      <c r="C126" s="4"/>
      <c r="D126" s="5"/>
      <c r="E126" s="5"/>
      <c r="F126" s="5"/>
      <c r="G126" s="5"/>
      <c r="H126" s="5"/>
      <c r="I126" s="5"/>
      <c r="J126" s="5"/>
      <c r="K126" s="5"/>
      <c r="L126" s="5"/>
      <c r="M126" s="5"/>
      <c r="N126" s="5"/>
      <c r="O126" s="5"/>
      <c r="P126" s="4"/>
      <c r="Q126" s="4"/>
      <c r="R126" s="4"/>
      <c r="S126" s="4"/>
      <c r="T126" s="4"/>
      <c r="U126" s="4"/>
      <c r="V126" s="4"/>
      <c r="W126" s="4"/>
      <c r="X126" s="4"/>
      <c r="Y126" s="4"/>
      <c r="Z126" s="4"/>
      <c r="AA126" s="4"/>
    </row>
    <row r="127" spans="1:27">
      <c r="A127" s="5"/>
      <c r="B127" s="5"/>
      <c r="C127" s="4"/>
      <c r="D127" s="5"/>
      <c r="E127" s="5"/>
      <c r="F127" s="5"/>
      <c r="G127" s="5"/>
      <c r="H127" s="5"/>
      <c r="I127" s="5"/>
      <c r="J127" s="5"/>
      <c r="K127" s="5"/>
      <c r="L127" s="5"/>
      <c r="M127" s="5"/>
      <c r="N127" s="5"/>
      <c r="O127" s="5"/>
      <c r="P127" s="4"/>
      <c r="Q127" s="4"/>
      <c r="R127" s="4"/>
      <c r="S127" s="4"/>
      <c r="T127" s="4"/>
      <c r="U127" s="4"/>
      <c r="V127" s="4"/>
      <c r="W127" s="4"/>
      <c r="X127" s="4"/>
      <c r="Y127" s="4"/>
      <c r="Z127" s="4"/>
      <c r="AA127" s="4"/>
    </row>
    <row r="128" spans="1:27">
      <c r="A128" s="5"/>
      <c r="B128" s="5"/>
      <c r="C128" s="4"/>
      <c r="D128" s="5"/>
      <c r="E128" s="5"/>
      <c r="F128" s="5"/>
      <c r="G128" s="5"/>
      <c r="H128" s="5"/>
      <c r="I128" s="5"/>
      <c r="J128" s="5"/>
      <c r="K128" s="5"/>
      <c r="L128" s="5"/>
      <c r="M128" s="5"/>
      <c r="N128" s="5"/>
      <c r="O128" s="5"/>
      <c r="P128" s="4"/>
      <c r="Q128" s="4"/>
      <c r="R128" s="4"/>
      <c r="S128" s="4"/>
      <c r="T128" s="4"/>
      <c r="U128" s="4"/>
      <c r="V128" s="4"/>
      <c r="W128" s="4"/>
      <c r="X128" s="4"/>
      <c r="Y128" s="4"/>
      <c r="Z128" s="4"/>
      <c r="AA128" s="4"/>
    </row>
    <row r="129" spans="1:27">
      <c r="A129" s="5"/>
      <c r="B129" s="5"/>
      <c r="C129" s="4"/>
      <c r="D129" s="5"/>
      <c r="E129" s="5"/>
      <c r="F129" s="5"/>
      <c r="G129" s="5"/>
      <c r="H129" s="5"/>
      <c r="I129" s="5"/>
      <c r="J129" s="5"/>
      <c r="K129" s="5"/>
      <c r="L129" s="5"/>
      <c r="M129" s="5"/>
      <c r="N129" s="5"/>
      <c r="O129" s="5"/>
      <c r="P129" s="4"/>
      <c r="Q129" s="4"/>
      <c r="R129" s="4"/>
      <c r="S129" s="4"/>
      <c r="T129" s="4"/>
      <c r="U129" s="4"/>
      <c r="V129" s="4"/>
      <c r="W129" s="4"/>
      <c r="X129" s="4"/>
      <c r="Y129" s="4"/>
      <c r="Z129" s="4"/>
      <c r="AA129" s="4"/>
    </row>
    <row r="130" spans="1:27">
      <c r="A130" s="5"/>
      <c r="B130" s="5"/>
      <c r="C130" s="4"/>
      <c r="D130" s="5"/>
      <c r="E130" s="5"/>
      <c r="F130" s="5"/>
      <c r="G130" s="5"/>
      <c r="H130" s="5"/>
      <c r="I130" s="5"/>
      <c r="J130" s="5"/>
      <c r="K130" s="5"/>
      <c r="L130" s="5"/>
      <c r="M130" s="5"/>
      <c r="N130" s="5"/>
      <c r="O130" s="5"/>
      <c r="P130" s="4"/>
      <c r="Q130" s="4"/>
      <c r="R130" s="4"/>
      <c r="S130" s="4"/>
      <c r="T130" s="4"/>
      <c r="U130" s="4"/>
      <c r="V130" s="4"/>
      <c r="W130" s="4"/>
      <c r="X130" s="4"/>
      <c r="Y130" s="4"/>
      <c r="Z130" s="4"/>
      <c r="AA130" s="4"/>
    </row>
    <row r="131" spans="1:27">
      <c r="A131" s="5"/>
      <c r="B131" s="5"/>
      <c r="C131" s="4"/>
      <c r="D131" s="5"/>
      <c r="E131" s="5"/>
      <c r="F131" s="5"/>
      <c r="G131" s="5"/>
      <c r="H131" s="5"/>
      <c r="I131" s="5"/>
      <c r="J131" s="5"/>
      <c r="K131" s="5"/>
      <c r="L131" s="5"/>
      <c r="M131" s="5"/>
      <c r="N131" s="5"/>
      <c r="O131" s="5"/>
      <c r="P131" s="4"/>
      <c r="Q131" s="4"/>
      <c r="R131" s="4"/>
      <c r="S131" s="4"/>
      <c r="T131" s="4"/>
      <c r="U131" s="4"/>
      <c r="V131" s="4"/>
      <c r="W131" s="4"/>
      <c r="X131" s="4"/>
      <c r="Y131" s="4"/>
      <c r="Z131" s="4"/>
      <c r="AA131" s="4"/>
    </row>
    <row r="132" spans="1:27">
      <c r="A132" s="5"/>
      <c r="B132" s="5"/>
      <c r="C132" s="4"/>
      <c r="D132" s="5"/>
      <c r="E132" s="5"/>
      <c r="F132" s="5"/>
      <c r="G132" s="5"/>
      <c r="H132" s="5"/>
      <c r="I132" s="5"/>
      <c r="J132" s="5"/>
      <c r="K132" s="5"/>
      <c r="L132" s="5"/>
      <c r="M132" s="5"/>
      <c r="N132" s="5"/>
      <c r="O132" s="5"/>
      <c r="P132" s="4"/>
      <c r="Q132" s="4"/>
      <c r="R132" s="4"/>
      <c r="S132" s="4"/>
      <c r="T132" s="4"/>
      <c r="U132" s="4"/>
      <c r="V132" s="4"/>
      <c r="W132" s="4"/>
      <c r="X132" s="4"/>
      <c r="Y132" s="4"/>
      <c r="Z132" s="4"/>
      <c r="AA132" s="4"/>
    </row>
    <row r="133" spans="1:27">
      <c r="A133" s="5"/>
      <c r="B133" s="5"/>
      <c r="C133" s="4"/>
      <c r="D133" s="5"/>
      <c r="E133" s="5"/>
      <c r="F133" s="5"/>
      <c r="G133" s="5"/>
      <c r="H133" s="5"/>
      <c r="I133" s="5"/>
      <c r="J133" s="5"/>
      <c r="K133" s="5"/>
      <c r="L133" s="5"/>
      <c r="M133" s="5"/>
      <c r="N133" s="5"/>
      <c r="O133" s="5"/>
      <c r="P133" s="4"/>
      <c r="Q133" s="4"/>
      <c r="R133" s="4"/>
      <c r="S133" s="4"/>
      <c r="T133" s="4"/>
      <c r="U133" s="4"/>
      <c r="V133" s="4"/>
      <c r="W133" s="4"/>
      <c r="X133" s="4"/>
      <c r="Y133" s="4"/>
      <c r="Z133" s="4"/>
      <c r="AA133" s="4"/>
    </row>
    <row r="134" spans="1:27">
      <c r="A134" s="5"/>
      <c r="B134" s="5"/>
      <c r="C134" s="4"/>
      <c r="D134" s="5"/>
      <c r="E134" s="5"/>
      <c r="F134" s="5"/>
      <c r="G134" s="5"/>
      <c r="H134" s="5"/>
      <c r="I134" s="5"/>
      <c r="J134" s="5"/>
      <c r="K134" s="5"/>
      <c r="L134" s="5"/>
      <c r="M134" s="5"/>
      <c r="N134" s="5"/>
      <c r="O134" s="5"/>
      <c r="P134" s="4"/>
      <c r="Q134" s="4"/>
      <c r="R134" s="4"/>
      <c r="S134" s="4"/>
      <c r="T134" s="4"/>
      <c r="U134" s="4"/>
      <c r="V134" s="4"/>
      <c r="W134" s="4"/>
      <c r="X134" s="4"/>
      <c r="Y134" s="4"/>
      <c r="Z134" s="4"/>
      <c r="AA134" s="4"/>
    </row>
    <row r="135" spans="1:27">
      <c r="A135" s="5"/>
      <c r="B135" s="5"/>
      <c r="C135" s="4"/>
      <c r="D135" s="5"/>
      <c r="E135" s="5"/>
      <c r="F135" s="5"/>
      <c r="G135" s="5"/>
      <c r="H135" s="5"/>
      <c r="I135" s="5"/>
      <c r="J135" s="5"/>
      <c r="K135" s="5"/>
      <c r="L135" s="5"/>
      <c r="M135" s="5"/>
      <c r="N135" s="5"/>
      <c r="O135" s="5"/>
      <c r="P135" s="4"/>
      <c r="Q135" s="4"/>
      <c r="R135" s="4"/>
      <c r="S135" s="4"/>
      <c r="T135" s="4"/>
      <c r="U135" s="4"/>
      <c r="V135" s="4"/>
      <c r="W135" s="4"/>
      <c r="X135" s="4"/>
      <c r="Y135" s="4"/>
      <c r="Z135" s="4"/>
      <c r="AA135" s="4"/>
    </row>
    <row r="136" spans="1:27">
      <c r="A136" s="5"/>
      <c r="B136" s="5"/>
      <c r="C136" s="4"/>
      <c r="D136" s="5"/>
      <c r="E136" s="5"/>
      <c r="F136" s="5"/>
      <c r="G136" s="5"/>
      <c r="H136" s="5"/>
      <c r="I136" s="5"/>
      <c r="J136" s="5"/>
      <c r="K136" s="5"/>
      <c r="L136" s="5"/>
      <c r="M136" s="5"/>
      <c r="N136" s="5"/>
      <c r="O136" s="5"/>
      <c r="P136" s="4"/>
      <c r="Q136" s="4"/>
      <c r="R136" s="4"/>
      <c r="S136" s="4"/>
      <c r="T136" s="4"/>
      <c r="U136" s="4"/>
      <c r="V136" s="4"/>
      <c r="W136" s="4"/>
      <c r="X136" s="4"/>
      <c r="Y136" s="4"/>
      <c r="Z136" s="4"/>
      <c r="AA136" s="4"/>
    </row>
    <row r="137" spans="1:27">
      <c r="A137" s="5"/>
      <c r="B137" s="5"/>
      <c r="C137" s="4"/>
      <c r="D137" s="5"/>
      <c r="E137" s="5"/>
      <c r="F137" s="5"/>
      <c r="G137" s="5"/>
      <c r="H137" s="5"/>
      <c r="I137" s="5"/>
      <c r="J137" s="5"/>
      <c r="K137" s="5"/>
      <c r="L137" s="5"/>
      <c r="M137" s="5"/>
      <c r="N137" s="5"/>
      <c r="O137" s="5"/>
      <c r="P137" s="4"/>
      <c r="Q137" s="4"/>
      <c r="R137" s="4"/>
      <c r="S137" s="4"/>
      <c r="T137" s="4"/>
      <c r="U137" s="4"/>
      <c r="V137" s="4"/>
      <c r="W137" s="4"/>
      <c r="X137" s="4"/>
      <c r="Y137" s="4"/>
      <c r="Z137" s="4"/>
      <c r="AA137" s="4"/>
    </row>
    <row r="138" spans="1:27">
      <c r="A138" s="5"/>
      <c r="B138" s="5"/>
      <c r="C138" s="4"/>
      <c r="D138" s="5"/>
      <c r="E138" s="5"/>
      <c r="F138" s="5"/>
      <c r="G138" s="5"/>
      <c r="H138" s="5"/>
      <c r="I138" s="5"/>
      <c r="J138" s="5"/>
      <c r="K138" s="5"/>
      <c r="L138" s="5"/>
      <c r="M138" s="5"/>
      <c r="N138" s="5"/>
      <c r="O138" s="5"/>
      <c r="P138" s="4"/>
      <c r="Q138" s="4"/>
      <c r="R138" s="4"/>
      <c r="S138" s="4"/>
      <c r="T138" s="4"/>
      <c r="U138" s="4"/>
      <c r="V138" s="4"/>
      <c r="W138" s="4"/>
      <c r="X138" s="4"/>
      <c r="Y138" s="4"/>
      <c r="Z138" s="4"/>
      <c r="AA138" s="4"/>
    </row>
    <row r="139" spans="1:27">
      <c r="A139" s="5"/>
      <c r="B139" s="5"/>
      <c r="C139" s="4"/>
      <c r="D139" s="5"/>
      <c r="E139" s="5"/>
      <c r="F139" s="5"/>
      <c r="G139" s="5"/>
      <c r="H139" s="5"/>
      <c r="I139" s="5"/>
      <c r="J139" s="5"/>
      <c r="K139" s="5"/>
      <c r="L139" s="5"/>
      <c r="M139" s="5"/>
      <c r="N139" s="5"/>
      <c r="O139" s="5"/>
      <c r="P139" s="4"/>
      <c r="Q139" s="4"/>
      <c r="R139" s="4"/>
      <c r="S139" s="4"/>
      <c r="T139" s="4"/>
      <c r="U139" s="4"/>
      <c r="V139" s="4"/>
      <c r="W139" s="4"/>
      <c r="X139" s="4"/>
      <c r="Y139" s="4"/>
      <c r="Z139" s="4"/>
      <c r="AA139" s="4"/>
    </row>
    <row r="140" spans="1:27">
      <c r="A140" s="5"/>
      <c r="B140" s="5"/>
      <c r="C140" s="4"/>
      <c r="D140" s="5"/>
      <c r="E140" s="5"/>
      <c r="F140" s="5"/>
      <c r="G140" s="5"/>
      <c r="H140" s="5"/>
      <c r="I140" s="5"/>
      <c r="J140" s="5"/>
      <c r="K140" s="5"/>
      <c r="L140" s="5"/>
      <c r="M140" s="5"/>
      <c r="N140" s="5"/>
      <c r="O140" s="5"/>
      <c r="P140" s="4"/>
      <c r="Q140" s="4"/>
      <c r="R140" s="4"/>
      <c r="S140" s="4"/>
      <c r="T140" s="4"/>
      <c r="U140" s="4"/>
      <c r="V140" s="4"/>
      <c r="W140" s="4"/>
      <c r="X140" s="4"/>
      <c r="Y140" s="4"/>
      <c r="Z140" s="4"/>
      <c r="AA140" s="4"/>
    </row>
    <row r="141" spans="1:27">
      <c r="A141" s="5"/>
      <c r="B141" s="5"/>
      <c r="C141" s="4"/>
      <c r="D141" s="5"/>
      <c r="E141" s="5"/>
      <c r="F141" s="5"/>
      <c r="G141" s="5"/>
      <c r="H141" s="5"/>
      <c r="I141" s="5"/>
      <c r="J141" s="5"/>
      <c r="K141" s="5"/>
      <c r="L141" s="5"/>
      <c r="M141" s="5"/>
      <c r="N141" s="5"/>
      <c r="O141" s="5"/>
      <c r="P141" s="4"/>
      <c r="Q141" s="4"/>
      <c r="R141" s="4"/>
      <c r="S141" s="4"/>
      <c r="T141" s="4"/>
      <c r="U141" s="4"/>
      <c r="V141" s="4"/>
      <c r="W141" s="4"/>
      <c r="X141" s="4"/>
      <c r="Y141" s="4"/>
      <c r="Z141" s="4"/>
      <c r="AA141" s="4"/>
    </row>
    <row r="142" spans="1:27">
      <c r="A142" s="5"/>
      <c r="B142" s="5"/>
      <c r="C142" s="4"/>
      <c r="D142" s="5"/>
      <c r="E142" s="5"/>
      <c r="F142" s="5"/>
      <c r="G142" s="5"/>
      <c r="H142" s="5"/>
      <c r="I142" s="5"/>
      <c r="J142" s="5"/>
      <c r="K142" s="5"/>
      <c r="L142" s="5"/>
      <c r="M142" s="5"/>
      <c r="N142" s="5"/>
      <c r="O142" s="5"/>
      <c r="P142" s="4"/>
      <c r="Q142" s="4"/>
      <c r="R142" s="4"/>
      <c r="S142" s="4"/>
      <c r="T142" s="4"/>
      <c r="U142" s="4"/>
      <c r="V142" s="4"/>
      <c r="W142" s="4"/>
      <c r="X142" s="4"/>
      <c r="Y142" s="4"/>
      <c r="Z142" s="4"/>
      <c r="AA142" s="4"/>
    </row>
    <row r="143" spans="1:27">
      <c r="A143" s="5"/>
      <c r="B143" s="5"/>
      <c r="C143" s="4"/>
      <c r="D143" s="5"/>
      <c r="E143" s="5"/>
      <c r="F143" s="5"/>
      <c r="G143" s="5"/>
      <c r="H143" s="5"/>
      <c r="I143" s="5"/>
      <c r="J143" s="5"/>
      <c r="K143" s="5"/>
      <c r="L143" s="5"/>
      <c r="M143" s="5"/>
      <c r="N143" s="5"/>
      <c r="O143" s="5"/>
      <c r="P143" s="4"/>
      <c r="Q143" s="4"/>
      <c r="R143" s="4"/>
      <c r="S143" s="4"/>
      <c r="T143" s="4"/>
      <c r="U143" s="4"/>
      <c r="V143" s="4"/>
      <c r="W143" s="4"/>
      <c r="X143" s="4"/>
      <c r="Y143" s="4"/>
      <c r="Z143" s="4"/>
      <c r="AA143" s="4"/>
    </row>
    <row r="144" spans="1:27">
      <c r="A144" s="5"/>
      <c r="B144" s="5"/>
      <c r="C144" s="4"/>
      <c r="D144" s="5"/>
      <c r="E144" s="5"/>
      <c r="F144" s="5"/>
      <c r="G144" s="5"/>
      <c r="H144" s="5"/>
      <c r="I144" s="5"/>
      <c r="J144" s="5"/>
      <c r="K144" s="5"/>
      <c r="L144" s="5"/>
      <c r="M144" s="5"/>
      <c r="N144" s="5"/>
      <c r="O144" s="5"/>
      <c r="P144" s="4"/>
      <c r="Q144" s="4"/>
      <c r="R144" s="4"/>
      <c r="S144" s="4"/>
      <c r="T144" s="4"/>
      <c r="U144" s="4"/>
      <c r="V144" s="4"/>
      <c r="W144" s="4"/>
      <c r="X144" s="4"/>
      <c r="Y144" s="4"/>
      <c r="Z144" s="4"/>
      <c r="AA144" s="4"/>
    </row>
    <row r="145" spans="1:27">
      <c r="A145" s="5"/>
      <c r="B145" s="5"/>
      <c r="C145" s="4"/>
      <c r="D145" s="5"/>
      <c r="E145" s="5"/>
      <c r="F145" s="5"/>
      <c r="G145" s="5"/>
      <c r="H145" s="5"/>
      <c r="I145" s="5"/>
      <c r="J145" s="5"/>
      <c r="K145" s="5"/>
      <c r="L145" s="5"/>
      <c r="M145" s="5"/>
      <c r="N145" s="5"/>
      <c r="O145" s="5"/>
      <c r="P145" s="4"/>
      <c r="Q145" s="4"/>
      <c r="R145" s="4"/>
      <c r="S145" s="4"/>
      <c r="T145" s="4"/>
      <c r="U145" s="4"/>
      <c r="V145" s="4"/>
      <c r="W145" s="4"/>
      <c r="X145" s="4"/>
      <c r="Y145" s="4"/>
      <c r="Z145" s="4"/>
      <c r="AA145" s="4"/>
    </row>
    <row r="146" spans="1:27">
      <c r="A146" s="5"/>
      <c r="B146" s="5"/>
      <c r="C146" s="4"/>
      <c r="D146" s="5"/>
      <c r="E146" s="5"/>
      <c r="F146" s="5"/>
      <c r="G146" s="5"/>
      <c r="H146" s="5"/>
      <c r="I146" s="5"/>
      <c r="J146" s="5"/>
      <c r="K146" s="5"/>
      <c r="L146" s="5"/>
      <c r="M146" s="5"/>
      <c r="N146" s="5"/>
      <c r="O146" s="5"/>
      <c r="P146" s="4"/>
      <c r="Q146" s="4"/>
      <c r="R146" s="4"/>
      <c r="S146" s="4"/>
      <c r="T146" s="4"/>
      <c r="U146" s="4"/>
      <c r="V146" s="4"/>
      <c r="W146" s="4"/>
      <c r="X146" s="4"/>
      <c r="Y146" s="4"/>
      <c r="Z146" s="4"/>
      <c r="AA146" s="4"/>
    </row>
    <row r="147" spans="1:27">
      <c r="A147" s="5"/>
      <c r="B147" s="5"/>
      <c r="C147" s="4"/>
      <c r="D147" s="5"/>
      <c r="E147" s="5"/>
      <c r="F147" s="5"/>
      <c r="G147" s="5"/>
      <c r="H147" s="5"/>
      <c r="I147" s="5"/>
      <c r="J147" s="5"/>
      <c r="K147" s="5"/>
      <c r="L147" s="5"/>
      <c r="M147" s="5"/>
      <c r="N147" s="5"/>
      <c r="O147" s="5"/>
      <c r="P147" s="4"/>
      <c r="Q147" s="4"/>
      <c r="R147" s="4"/>
      <c r="S147" s="4"/>
      <c r="T147" s="4"/>
      <c r="U147" s="4"/>
      <c r="V147" s="4"/>
      <c r="W147" s="4"/>
      <c r="X147" s="4"/>
      <c r="Y147" s="4"/>
      <c r="Z147" s="4"/>
      <c r="AA147" s="4"/>
    </row>
    <row r="148" spans="1:27">
      <c r="A148" s="5"/>
      <c r="B148" s="5"/>
      <c r="C148" s="4"/>
      <c r="D148" s="5"/>
      <c r="E148" s="5"/>
      <c r="F148" s="5"/>
      <c r="G148" s="5"/>
      <c r="H148" s="5"/>
      <c r="I148" s="5"/>
      <c r="J148" s="5"/>
      <c r="K148" s="5"/>
      <c r="L148" s="5"/>
      <c r="M148" s="5"/>
      <c r="N148" s="5"/>
      <c r="O148" s="5"/>
      <c r="P148" s="4"/>
      <c r="Q148" s="4"/>
      <c r="R148" s="4"/>
      <c r="S148" s="4"/>
      <c r="T148" s="4"/>
      <c r="U148" s="4"/>
      <c r="V148" s="4"/>
      <c r="W148" s="4"/>
      <c r="X148" s="4"/>
      <c r="Y148" s="4"/>
      <c r="Z148" s="4"/>
      <c r="AA148" s="4"/>
    </row>
    <row r="149" spans="1:27">
      <c r="A149" s="5"/>
      <c r="B149" s="5"/>
      <c r="C149" s="4"/>
      <c r="D149" s="5"/>
      <c r="E149" s="5"/>
      <c r="F149" s="5"/>
      <c r="G149" s="5"/>
      <c r="H149" s="5"/>
      <c r="I149" s="5"/>
      <c r="J149" s="5"/>
      <c r="K149" s="5"/>
      <c r="L149" s="5"/>
      <c r="M149" s="5"/>
      <c r="N149" s="5"/>
      <c r="O149" s="5"/>
      <c r="P149" s="4"/>
      <c r="Q149" s="4"/>
      <c r="R149" s="4"/>
      <c r="S149" s="4"/>
      <c r="T149" s="4"/>
      <c r="U149" s="4"/>
      <c r="V149" s="4"/>
      <c r="W149" s="4"/>
      <c r="X149" s="4"/>
      <c r="Y149" s="4"/>
      <c r="Z149" s="4"/>
      <c r="AA149" s="4"/>
    </row>
    <row r="150" spans="1:27">
      <c r="A150" s="5"/>
      <c r="B150" s="5"/>
      <c r="C150" s="4"/>
      <c r="D150" s="5"/>
      <c r="E150" s="5"/>
      <c r="F150" s="5"/>
      <c r="G150" s="5"/>
      <c r="H150" s="5"/>
      <c r="I150" s="5"/>
      <c r="J150" s="5"/>
      <c r="K150" s="5"/>
      <c r="L150" s="5"/>
      <c r="M150" s="5"/>
      <c r="N150" s="5"/>
      <c r="O150" s="5"/>
      <c r="P150" s="4"/>
      <c r="Q150" s="4"/>
      <c r="R150" s="4"/>
      <c r="S150" s="4"/>
      <c r="T150" s="4"/>
      <c r="U150" s="4"/>
      <c r="V150" s="4"/>
      <c r="W150" s="4"/>
      <c r="X150" s="4"/>
      <c r="Y150" s="4"/>
      <c r="Z150" s="4"/>
      <c r="AA150" s="4"/>
    </row>
    <row r="151" spans="1:27">
      <c r="A151" s="5"/>
      <c r="B151" s="5"/>
      <c r="C151" s="4"/>
      <c r="D151" s="5"/>
      <c r="E151" s="5"/>
      <c r="F151" s="5"/>
      <c r="G151" s="5"/>
      <c r="H151" s="5"/>
      <c r="I151" s="5"/>
      <c r="J151" s="5"/>
      <c r="K151" s="5"/>
      <c r="L151" s="5"/>
      <c r="M151" s="5"/>
      <c r="N151" s="5"/>
      <c r="O151" s="5"/>
      <c r="P151" s="4"/>
      <c r="Q151" s="4"/>
      <c r="R151" s="4"/>
      <c r="S151" s="4"/>
      <c r="T151" s="4"/>
      <c r="U151" s="4"/>
      <c r="V151" s="4"/>
      <c r="W151" s="4"/>
      <c r="X151" s="4"/>
      <c r="Y151" s="4"/>
      <c r="Z151" s="4"/>
      <c r="AA151" s="4"/>
    </row>
    <row r="152" spans="1:27">
      <c r="A152" s="5"/>
      <c r="B152" s="5"/>
      <c r="C152" s="4"/>
      <c r="D152" s="5"/>
      <c r="E152" s="5"/>
      <c r="F152" s="5"/>
      <c r="G152" s="5"/>
      <c r="H152" s="5"/>
      <c r="I152" s="5"/>
      <c r="J152" s="5"/>
      <c r="K152" s="5"/>
      <c r="L152" s="5"/>
      <c r="M152" s="5"/>
      <c r="N152" s="5"/>
      <c r="O152" s="5"/>
      <c r="P152" s="4"/>
      <c r="Q152" s="4"/>
      <c r="R152" s="4"/>
      <c r="S152" s="4"/>
      <c r="T152" s="4"/>
      <c r="U152" s="4"/>
      <c r="V152" s="4"/>
      <c r="W152" s="4"/>
      <c r="X152" s="4"/>
      <c r="Y152" s="4"/>
      <c r="Z152" s="4"/>
      <c r="AA152" s="4"/>
    </row>
    <row r="153" spans="1:27">
      <c r="A153" s="5"/>
      <c r="B153" s="5"/>
      <c r="C153" s="4"/>
      <c r="D153" s="5"/>
      <c r="E153" s="5"/>
      <c r="F153" s="5"/>
      <c r="G153" s="5"/>
      <c r="H153" s="5"/>
      <c r="I153" s="5"/>
      <c r="J153" s="5"/>
      <c r="K153" s="5"/>
      <c r="L153" s="5"/>
      <c r="M153" s="5"/>
      <c r="N153" s="5"/>
      <c r="O153" s="5"/>
      <c r="P153" s="4"/>
      <c r="Q153" s="4"/>
      <c r="R153" s="4"/>
      <c r="S153" s="4"/>
      <c r="T153" s="4"/>
      <c r="U153" s="4"/>
      <c r="V153" s="4"/>
      <c r="W153" s="4"/>
      <c r="X153" s="4"/>
      <c r="Y153" s="4"/>
      <c r="Z153" s="4"/>
      <c r="AA153" s="4"/>
    </row>
    <row r="154" spans="1:27">
      <c r="A154" s="5"/>
      <c r="B154" s="5"/>
      <c r="C154" s="4"/>
      <c r="D154" s="5"/>
      <c r="E154" s="5"/>
      <c r="F154" s="5"/>
      <c r="G154" s="5"/>
      <c r="H154" s="5"/>
      <c r="I154" s="5"/>
      <c r="J154" s="5"/>
      <c r="K154" s="5"/>
      <c r="L154" s="5"/>
      <c r="M154" s="5"/>
      <c r="N154" s="5"/>
      <c r="O154" s="5"/>
      <c r="P154" s="4"/>
      <c r="Q154" s="4"/>
      <c r="R154" s="4"/>
      <c r="S154" s="4"/>
      <c r="T154" s="4"/>
      <c r="U154" s="4"/>
      <c r="V154" s="4"/>
      <c r="W154" s="4"/>
      <c r="X154" s="4"/>
      <c r="Y154" s="4"/>
      <c r="Z154" s="4"/>
      <c r="AA154" s="4"/>
    </row>
    <row r="155" spans="1:27">
      <c r="A155" s="5"/>
      <c r="B155" s="5"/>
      <c r="C155" s="4"/>
      <c r="D155" s="5"/>
      <c r="E155" s="5"/>
      <c r="F155" s="5"/>
      <c r="G155" s="5"/>
      <c r="H155" s="5"/>
      <c r="I155" s="5"/>
      <c r="J155" s="5"/>
      <c r="K155" s="5"/>
      <c r="L155" s="5"/>
      <c r="M155" s="5"/>
      <c r="N155" s="5"/>
      <c r="O155" s="5"/>
      <c r="P155" s="4"/>
      <c r="Q155" s="4"/>
      <c r="R155" s="4"/>
      <c r="S155" s="4"/>
      <c r="T155" s="4"/>
      <c r="U155" s="4"/>
      <c r="V155" s="4"/>
      <c r="W155" s="4"/>
      <c r="X155" s="4"/>
      <c r="Y155" s="4"/>
      <c r="Z155" s="4"/>
      <c r="AA155" s="4"/>
    </row>
    <row r="156" spans="1:27">
      <c r="A156" s="5"/>
      <c r="B156" s="5"/>
      <c r="C156" s="4"/>
      <c r="D156" s="5"/>
      <c r="E156" s="5"/>
      <c r="F156" s="5"/>
      <c r="G156" s="5"/>
      <c r="H156" s="5"/>
      <c r="I156" s="5"/>
      <c r="J156" s="5"/>
      <c r="K156" s="5"/>
      <c r="L156" s="5"/>
      <c r="M156" s="5"/>
      <c r="N156" s="5"/>
      <c r="O156" s="5"/>
      <c r="P156" s="4"/>
      <c r="Q156" s="4"/>
      <c r="R156" s="4"/>
      <c r="S156" s="4"/>
      <c r="T156" s="4"/>
      <c r="U156" s="4"/>
      <c r="V156" s="4"/>
      <c r="W156" s="4"/>
      <c r="X156" s="4"/>
      <c r="Y156" s="4"/>
      <c r="Z156" s="4"/>
      <c r="AA156" s="4"/>
    </row>
    <row r="157" spans="1:27">
      <c r="A157" s="5"/>
      <c r="B157" s="5"/>
      <c r="C157" s="4"/>
      <c r="D157" s="5"/>
      <c r="E157" s="5"/>
      <c r="F157" s="5"/>
      <c r="G157" s="5"/>
      <c r="H157" s="5"/>
      <c r="I157" s="5"/>
      <c r="J157" s="5"/>
      <c r="K157" s="5"/>
      <c r="L157" s="5"/>
      <c r="M157" s="5"/>
      <c r="N157" s="5"/>
      <c r="O157" s="5"/>
      <c r="P157" s="4"/>
      <c r="Q157" s="4"/>
      <c r="R157" s="4"/>
      <c r="S157" s="4"/>
      <c r="T157" s="4"/>
      <c r="U157" s="4"/>
      <c r="V157" s="4"/>
      <c r="W157" s="4"/>
      <c r="X157" s="4"/>
      <c r="Y157" s="4"/>
      <c r="Z157" s="4"/>
      <c r="AA157" s="4"/>
    </row>
    <row r="158" spans="1:27">
      <c r="A158" s="5"/>
      <c r="B158" s="5"/>
      <c r="C158" s="4"/>
      <c r="D158" s="5"/>
      <c r="E158" s="5"/>
      <c r="F158" s="5"/>
      <c r="G158" s="5"/>
      <c r="H158" s="5"/>
      <c r="I158" s="5"/>
      <c r="J158" s="5"/>
      <c r="K158" s="5"/>
      <c r="L158" s="5"/>
      <c r="M158" s="5"/>
      <c r="N158" s="5"/>
      <c r="O158" s="5"/>
      <c r="P158" s="4"/>
      <c r="Q158" s="4"/>
      <c r="R158" s="4"/>
      <c r="S158" s="4"/>
      <c r="T158" s="4"/>
      <c r="U158" s="4"/>
      <c r="V158" s="4"/>
      <c r="W158" s="4"/>
      <c r="X158" s="4"/>
      <c r="Y158" s="4"/>
      <c r="Z158" s="4"/>
      <c r="AA158" s="4"/>
    </row>
    <row r="159" spans="1:27">
      <c r="A159" s="5"/>
      <c r="B159" s="5"/>
      <c r="C159" s="4"/>
      <c r="D159" s="5"/>
      <c r="E159" s="5"/>
      <c r="F159" s="5"/>
      <c r="G159" s="5"/>
      <c r="H159" s="5"/>
      <c r="I159" s="5"/>
      <c r="J159" s="5"/>
      <c r="K159" s="5"/>
      <c r="L159" s="5"/>
      <c r="M159" s="5"/>
      <c r="N159" s="5"/>
      <c r="O159" s="5"/>
      <c r="P159" s="4"/>
      <c r="Q159" s="4"/>
      <c r="R159" s="4"/>
      <c r="S159" s="4"/>
      <c r="T159" s="4"/>
      <c r="U159" s="4"/>
      <c r="V159" s="4"/>
      <c r="W159" s="4"/>
      <c r="X159" s="4"/>
      <c r="Y159" s="4"/>
      <c r="Z159" s="4"/>
      <c r="AA159" s="4"/>
    </row>
    <row r="160" spans="1:27">
      <c r="A160" s="5"/>
      <c r="B160" s="5"/>
      <c r="C160" s="4"/>
      <c r="D160" s="5"/>
      <c r="E160" s="5"/>
      <c r="F160" s="5"/>
      <c r="G160" s="5"/>
      <c r="H160" s="5"/>
      <c r="I160" s="5"/>
      <c r="J160" s="5"/>
      <c r="K160" s="5"/>
      <c r="L160" s="5"/>
      <c r="M160" s="5"/>
      <c r="N160" s="5"/>
      <c r="O160" s="5"/>
      <c r="P160" s="4"/>
      <c r="Q160" s="4"/>
      <c r="R160" s="4"/>
      <c r="S160" s="4"/>
      <c r="T160" s="4"/>
      <c r="U160" s="4"/>
      <c r="V160" s="4"/>
      <c r="W160" s="4"/>
      <c r="X160" s="4"/>
      <c r="Y160" s="4"/>
      <c r="Z160" s="4"/>
      <c r="AA160" s="4"/>
    </row>
    <row r="161" spans="1:27">
      <c r="A161" s="5"/>
      <c r="B161" s="5"/>
      <c r="C161" s="4"/>
      <c r="D161" s="5"/>
      <c r="E161" s="5"/>
      <c r="F161" s="5"/>
      <c r="G161" s="5"/>
      <c r="H161" s="5"/>
      <c r="I161" s="5"/>
      <c r="J161" s="5"/>
      <c r="K161" s="5"/>
      <c r="L161" s="5"/>
      <c r="M161" s="5"/>
      <c r="N161" s="5"/>
      <c r="O161" s="5"/>
      <c r="P161" s="4"/>
      <c r="Q161" s="4"/>
      <c r="R161" s="4"/>
      <c r="S161" s="4"/>
      <c r="T161" s="4"/>
      <c r="U161" s="4"/>
      <c r="V161" s="4"/>
      <c r="W161" s="4"/>
      <c r="X161" s="4"/>
      <c r="Y161" s="4"/>
      <c r="Z161" s="4"/>
      <c r="AA161" s="4"/>
    </row>
    <row r="162" spans="1:27">
      <c r="A162" s="5"/>
      <c r="B162" s="5"/>
      <c r="C162" s="4"/>
      <c r="D162" s="5"/>
      <c r="E162" s="5"/>
      <c r="F162" s="5"/>
      <c r="G162" s="5"/>
      <c r="H162" s="5"/>
      <c r="I162" s="5"/>
      <c r="J162" s="5"/>
      <c r="K162" s="5"/>
      <c r="L162" s="5"/>
      <c r="M162" s="5"/>
      <c r="N162" s="5"/>
      <c r="O162" s="5"/>
      <c r="P162" s="4"/>
      <c r="Q162" s="4"/>
      <c r="R162" s="4"/>
      <c r="S162" s="4"/>
      <c r="T162" s="4"/>
      <c r="U162" s="4"/>
      <c r="V162" s="4"/>
      <c r="W162" s="4"/>
      <c r="X162" s="4"/>
      <c r="Y162" s="4"/>
      <c r="Z162" s="4"/>
      <c r="AA162" s="4"/>
    </row>
    <row r="163" spans="1:27">
      <c r="A163" s="5"/>
      <c r="B163" s="5"/>
      <c r="C163" s="4"/>
      <c r="D163" s="5"/>
      <c r="E163" s="5"/>
      <c r="F163" s="5"/>
      <c r="G163" s="5"/>
      <c r="H163" s="5"/>
      <c r="I163" s="5"/>
      <c r="J163" s="5"/>
      <c r="K163" s="5"/>
      <c r="L163" s="5"/>
      <c r="M163" s="5"/>
      <c r="N163" s="5"/>
      <c r="O163" s="5"/>
      <c r="P163" s="4"/>
      <c r="Q163" s="4"/>
      <c r="R163" s="4"/>
      <c r="S163" s="4"/>
      <c r="T163" s="4"/>
      <c r="U163" s="4"/>
      <c r="V163" s="4"/>
      <c r="W163" s="4"/>
      <c r="X163" s="4"/>
      <c r="Y163" s="4"/>
      <c r="Z163" s="4"/>
      <c r="AA163" s="4"/>
    </row>
    <row r="164" spans="1:27">
      <c r="A164" s="5"/>
      <c r="B164" s="5"/>
      <c r="C164" s="4"/>
      <c r="D164" s="5"/>
      <c r="E164" s="5"/>
      <c r="F164" s="5"/>
      <c r="G164" s="5"/>
      <c r="H164" s="5"/>
      <c r="I164" s="5"/>
      <c r="J164" s="5"/>
      <c r="K164" s="5"/>
      <c r="L164" s="5"/>
      <c r="M164" s="5"/>
      <c r="N164" s="5"/>
      <c r="O164" s="5"/>
      <c r="P164" s="4"/>
      <c r="Q164" s="4"/>
      <c r="R164" s="4"/>
      <c r="S164" s="4"/>
      <c r="T164" s="4"/>
      <c r="U164" s="4"/>
      <c r="V164" s="4"/>
      <c r="W164" s="4"/>
      <c r="X164" s="4"/>
      <c r="Y164" s="4"/>
      <c r="Z164" s="4"/>
      <c r="AA164" s="4"/>
    </row>
    <row r="165" spans="1:27">
      <c r="A165" s="5"/>
      <c r="B165" s="5"/>
      <c r="C165" s="4"/>
      <c r="D165" s="5"/>
      <c r="E165" s="5"/>
      <c r="F165" s="5"/>
      <c r="G165" s="5"/>
      <c r="H165" s="5"/>
      <c r="I165" s="5"/>
      <c r="J165" s="5"/>
      <c r="K165" s="5"/>
      <c r="L165" s="5"/>
      <c r="M165" s="5"/>
      <c r="N165" s="5"/>
      <c r="O165" s="5"/>
      <c r="P165" s="4"/>
      <c r="Q165" s="4"/>
      <c r="R165" s="4"/>
      <c r="S165" s="4"/>
      <c r="T165" s="4"/>
      <c r="U165" s="4"/>
      <c r="V165" s="4"/>
      <c r="W165" s="4"/>
      <c r="X165" s="4"/>
      <c r="Y165" s="4"/>
      <c r="Z165" s="4"/>
      <c r="AA165" s="4"/>
    </row>
    <row r="166" spans="1:27">
      <c r="A166" s="5"/>
      <c r="B166" s="5"/>
      <c r="C166" s="4"/>
      <c r="D166" s="5"/>
      <c r="E166" s="5"/>
      <c r="F166" s="5"/>
      <c r="G166" s="5"/>
      <c r="H166" s="5"/>
      <c r="I166" s="5"/>
      <c r="J166" s="5"/>
      <c r="K166" s="5"/>
      <c r="L166" s="5"/>
      <c r="M166" s="5"/>
      <c r="N166" s="5"/>
      <c r="O166" s="5"/>
      <c r="P166" s="4"/>
      <c r="Q166" s="4"/>
      <c r="R166" s="4"/>
      <c r="S166" s="4"/>
      <c r="T166" s="4"/>
      <c r="U166" s="4"/>
      <c r="V166" s="4"/>
      <c r="W166" s="4"/>
      <c r="X166" s="4"/>
      <c r="Y166" s="4"/>
      <c r="Z166" s="4"/>
      <c r="AA166" s="4"/>
    </row>
    <row r="167" spans="1:27">
      <c r="A167" s="5"/>
      <c r="B167" s="5"/>
      <c r="C167" s="4"/>
      <c r="D167" s="5"/>
      <c r="E167" s="5"/>
      <c r="F167" s="5"/>
      <c r="G167" s="5"/>
      <c r="H167" s="5"/>
      <c r="I167" s="5"/>
      <c r="J167" s="5"/>
      <c r="K167" s="5"/>
      <c r="L167" s="5"/>
      <c r="M167" s="5"/>
      <c r="N167" s="5"/>
      <c r="O167" s="5"/>
      <c r="P167" s="4"/>
      <c r="Q167" s="4"/>
      <c r="R167" s="4"/>
      <c r="S167" s="4"/>
      <c r="T167" s="4"/>
      <c r="U167" s="4"/>
      <c r="V167" s="4"/>
      <c r="W167" s="4"/>
      <c r="X167" s="4"/>
      <c r="Y167" s="4"/>
      <c r="Z167" s="4"/>
      <c r="AA167" s="4"/>
    </row>
    <row r="168" spans="1:27">
      <c r="A168" s="5"/>
      <c r="B168" s="5"/>
      <c r="C168" s="4"/>
      <c r="D168" s="5"/>
      <c r="E168" s="5"/>
      <c r="F168" s="5"/>
      <c r="G168" s="5"/>
      <c r="H168" s="5"/>
      <c r="I168" s="5"/>
      <c r="J168" s="5"/>
      <c r="K168" s="5"/>
      <c r="L168" s="5"/>
      <c r="M168" s="5"/>
      <c r="N168" s="5"/>
      <c r="O168" s="5"/>
      <c r="P168" s="4"/>
      <c r="Q168" s="4"/>
      <c r="R168" s="4"/>
      <c r="S168" s="4"/>
      <c r="T168" s="4"/>
      <c r="U168" s="4"/>
      <c r="V168" s="4"/>
      <c r="W168" s="4"/>
      <c r="X168" s="4"/>
      <c r="Y168" s="4"/>
      <c r="Z168" s="4"/>
      <c r="AA168" s="4"/>
    </row>
    <row r="169" spans="1:27">
      <c r="A169" s="5"/>
      <c r="B169" s="5"/>
      <c r="C169" s="4"/>
      <c r="D169" s="5"/>
      <c r="E169" s="5"/>
      <c r="F169" s="5"/>
      <c r="G169" s="5"/>
      <c r="H169" s="5"/>
      <c r="I169" s="5"/>
      <c r="J169" s="5"/>
      <c r="K169" s="5"/>
      <c r="L169" s="5"/>
      <c r="M169" s="5"/>
      <c r="N169" s="5"/>
      <c r="O169" s="5"/>
      <c r="P169" s="4"/>
      <c r="Q169" s="4"/>
      <c r="R169" s="4"/>
      <c r="S169" s="4"/>
      <c r="T169" s="4"/>
      <c r="U169" s="4"/>
      <c r="V169" s="4"/>
      <c r="W169" s="4"/>
      <c r="X169" s="4"/>
      <c r="Y169" s="4"/>
      <c r="Z169" s="4"/>
      <c r="AA169" s="4"/>
    </row>
    <row r="170" spans="1:27">
      <c r="A170" s="5"/>
      <c r="B170" s="5"/>
      <c r="C170" s="4"/>
      <c r="D170" s="5"/>
      <c r="E170" s="5"/>
      <c r="F170" s="5"/>
      <c r="G170" s="5"/>
      <c r="H170" s="5"/>
      <c r="I170" s="5"/>
      <c r="J170" s="5"/>
      <c r="K170" s="5"/>
      <c r="L170" s="5"/>
      <c r="M170" s="5"/>
      <c r="N170" s="5"/>
      <c r="O170" s="5"/>
      <c r="P170" s="4"/>
      <c r="Q170" s="4"/>
      <c r="R170" s="4"/>
      <c r="S170" s="4"/>
      <c r="T170" s="4"/>
      <c r="U170" s="4"/>
      <c r="V170" s="4"/>
      <c r="W170" s="4"/>
      <c r="X170" s="4"/>
      <c r="Y170" s="4"/>
      <c r="Z170" s="4"/>
      <c r="AA170" s="4"/>
    </row>
    <row r="171" spans="1:27">
      <c r="A171" s="5"/>
      <c r="B171" s="5"/>
      <c r="C171" s="4"/>
      <c r="D171" s="5"/>
      <c r="E171" s="5"/>
      <c r="F171" s="5"/>
      <c r="G171" s="5"/>
      <c r="H171" s="5"/>
      <c r="I171" s="5"/>
      <c r="J171" s="5"/>
      <c r="K171" s="5"/>
      <c r="L171" s="5"/>
      <c r="M171" s="5"/>
      <c r="N171" s="5"/>
      <c r="O171" s="5"/>
      <c r="P171" s="4"/>
      <c r="Q171" s="4"/>
      <c r="R171" s="4"/>
      <c r="S171" s="4"/>
      <c r="T171" s="4"/>
      <c r="U171" s="4"/>
      <c r="V171" s="4"/>
      <c r="W171" s="4"/>
      <c r="X171" s="4"/>
      <c r="Y171" s="4"/>
      <c r="Z171" s="4"/>
      <c r="AA171" s="4"/>
    </row>
    <row r="172" spans="1:27">
      <c r="A172" s="5"/>
      <c r="B172" s="5"/>
      <c r="C172" s="4"/>
      <c r="D172" s="5"/>
      <c r="E172" s="5"/>
      <c r="F172" s="5"/>
      <c r="G172" s="5"/>
      <c r="H172" s="5"/>
      <c r="I172" s="5"/>
      <c r="J172" s="5"/>
      <c r="K172" s="5"/>
      <c r="L172" s="5"/>
      <c r="M172" s="5"/>
      <c r="N172" s="5"/>
      <c r="O172" s="5"/>
      <c r="P172" s="4"/>
      <c r="Q172" s="4"/>
      <c r="R172" s="4"/>
      <c r="S172" s="4"/>
      <c r="T172" s="4"/>
      <c r="U172" s="4"/>
      <c r="V172" s="4"/>
      <c r="W172" s="4"/>
      <c r="X172" s="4"/>
      <c r="Y172" s="4"/>
      <c r="Z172" s="4"/>
      <c r="AA172" s="4"/>
    </row>
    <row r="173" spans="1:27">
      <c r="A173" s="5"/>
      <c r="B173" s="5"/>
      <c r="C173" s="4"/>
      <c r="D173" s="5"/>
      <c r="E173" s="5"/>
      <c r="F173" s="5"/>
      <c r="G173" s="5"/>
      <c r="H173" s="5"/>
      <c r="I173" s="5"/>
      <c r="J173" s="5"/>
      <c r="K173" s="5"/>
      <c r="L173" s="5"/>
      <c r="M173" s="5"/>
      <c r="N173" s="5"/>
      <c r="O173" s="5"/>
      <c r="P173" s="4"/>
      <c r="Q173" s="4"/>
      <c r="R173" s="4"/>
      <c r="S173" s="4"/>
      <c r="T173" s="4"/>
      <c r="U173" s="4"/>
      <c r="V173" s="4"/>
      <c r="W173" s="4"/>
      <c r="X173" s="4"/>
      <c r="Y173" s="4"/>
      <c r="Z173" s="4"/>
      <c r="AA173" s="4"/>
    </row>
    <row r="174" spans="1:27">
      <c r="A174" s="5"/>
      <c r="B174" s="5"/>
      <c r="C174" s="4"/>
      <c r="D174" s="5"/>
      <c r="E174" s="5"/>
      <c r="F174" s="5"/>
      <c r="G174" s="5"/>
      <c r="H174" s="5"/>
      <c r="I174" s="5"/>
      <c r="J174" s="5"/>
      <c r="K174" s="5"/>
      <c r="L174" s="5"/>
      <c r="M174" s="5"/>
      <c r="N174" s="5"/>
      <c r="O174" s="5"/>
      <c r="P174" s="4"/>
      <c r="Q174" s="4"/>
      <c r="R174" s="4"/>
      <c r="S174" s="4"/>
      <c r="T174" s="4"/>
      <c r="U174" s="4"/>
      <c r="V174" s="4"/>
      <c r="W174" s="4"/>
      <c r="X174" s="4"/>
      <c r="Y174" s="4"/>
      <c r="Z174" s="4"/>
      <c r="AA174" s="4"/>
    </row>
    <row r="175" spans="1:27">
      <c r="A175" s="5"/>
      <c r="B175" s="5"/>
      <c r="C175" s="4"/>
      <c r="D175" s="5"/>
      <c r="E175" s="5"/>
      <c r="F175" s="5"/>
      <c r="G175" s="5"/>
      <c r="H175" s="5"/>
      <c r="I175" s="5"/>
      <c r="J175" s="5"/>
      <c r="K175" s="5"/>
      <c r="L175" s="5"/>
      <c r="M175" s="5"/>
      <c r="N175" s="5"/>
      <c r="O175" s="5"/>
      <c r="P175" s="4"/>
      <c r="Q175" s="4"/>
      <c r="R175" s="4"/>
      <c r="S175" s="4"/>
      <c r="T175" s="4"/>
      <c r="U175" s="4"/>
      <c r="V175" s="4"/>
      <c r="W175" s="4"/>
      <c r="X175" s="4"/>
      <c r="Y175" s="4"/>
      <c r="Z175" s="4"/>
      <c r="AA175" s="4"/>
    </row>
    <row r="176" spans="1:27">
      <c r="A176" s="5"/>
      <c r="B176" s="5"/>
      <c r="C176" s="4"/>
      <c r="D176" s="5"/>
      <c r="E176" s="5"/>
      <c r="F176" s="5"/>
      <c r="G176" s="5"/>
      <c r="H176" s="5"/>
      <c r="I176" s="5"/>
      <c r="J176" s="5"/>
      <c r="K176" s="5"/>
      <c r="L176" s="5"/>
      <c r="M176" s="5"/>
      <c r="N176" s="5"/>
      <c r="O176" s="5"/>
      <c r="P176" s="4"/>
      <c r="Q176" s="4"/>
      <c r="R176" s="4"/>
      <c r="S176" s="4"/>
      <c r="T176" s="4"/>
      <c r="U176" s="4"/>
      <c r="V176" s="4"/>
      <c r="W176" s="4"/>
      <c r="X176" s="4"/>
      <c r="Y176" s="4"/>
      <c r="Z176" s="4"/>
      <c r="AA176" s="4"/>
    </row>
    <row r="177" spans="1:27">
      <c r="A177" s="5"/>
      <c r="B177" s="5"/>
      <c r="C177" s="4"/>
      <c r="D177" s="5"/>
      <c r="E177" s="5"/>
      <c r="F177" s="5"/>
      <c r="G177" s="5"/>
      <c r="H177" s="5"/>
      <c r="I177" s="5"/>
      <c r="J177" s="5"/>
      <c r="K177" s="5"/>
      <c r="L177" s="5"/>
      <c r="M177" s="5"/>
      <c r="N177" s="5"/>
      <c r="O177" s="5"/>
      <c r="P177" s="4"/>
      <c r="Q177" s="4"/>
      <c r="R177" s="4"/>
      <c r="S177" s="4"/>
      <c r="T177" s="4"/>
      <c r="U177" s="4"/>
      <c r="V177" s="4"/>
      <c r="W177" s="4"/>
      <c r="X177" s="4"/>
      <c r="Y177" s="4"/>
      <c r="Z177" s="4"/>
      <c r="AA177" s="4"/>
    </row>
    <row r="178" spans="1:27">
      <c r="A178" s="5"/>
      <c r="B178" s="5"/>
      <c r="C178" s="4"/>
      <c r="D178" s="5"/>
      <c r="E178" s="5"/>
      <c r="F178" s="5"/>
      <c r="G178" s="5"/>
      <c r="H178" s="5"/>
      <c r="I178" s="5"/>
      <c r="J178" s="5"/>
      <c r="K178" s="5"/>
      <c r="L178" s="5"/>
      <c r="M178" s="5"/>
      <c r="N178" s="5"/>
      <c r="O178" s="5"/>
      <c r="P178" s="4"/>
      <c r="Q178" s="4"/>
      <c r="R178" s="4"/>
      <c r="S178" s="4"/>
      <c r="T178" s="4"/>
      <c r="U178" s="4"/>
      <c r="V178" s="4"/>
      <c r="W178" s="4"/>
      <c r="X178" s="4"/>
      <c r="Y178" s="4"/>
      <c r="Z178" s="4"/>
      <c r="AA178" s="4"/>
    </row>
    <row r="179" spans="1:27">
      <c r="A179" s="5"/>
      <c r="B179" s="5"/>
      <c r="C179" s="4"/>
      <c r="D179" s="5"/>
      <c r="E179" s="5"/>
      <c r="F179" s="5"/>
      <c r="G179" s="5"/>
      <c r="H179" s="5"/>
      <c r="I179" s="5"/>
      <c r="J179" s="5"/>
      <c r="K179" s="5"/>
      <c r="L179" s="5"/>
      <c r="M179" s="5"/>
      <c r="N179" s="5"/>
      <c r="O179" s="5"/>
      <c r="P179" s="4"/>
      <c r="Q179" s="4"/>
      <c r="R179" s="4"/>
      <c r="S179" s="4"/>
      <c r="T179" s="4"/>
      <c r="U179" s="4"/>
      <c r="V179" s="4"/>
      <c r="W179" s="4"/>
      <c r="X179" s="4"/>
      <c r="Y179" s="4"/>
      <c r="Z179" s="4"/>
      <c r="AA179" s="4"/>
    </row>
    <row r="180" spans="1:27">
      <c r="A180" s="5"/>
      <c r="B180" s="5"/>
      <c r="C180" s="4"/>
      <c r="D180" s="5"/>
      <c r="E180" s="5"/>
      <c r="F180" s="5"/>
      <c r="G180" s="5"/>
      <c r="H180" s="5"/>
      <c r="I180" s="5"/>
      <c r="J180" s="5"/>
      <c r="K180" s="5"/>
      <c r="L180" s="5"/>
      <c r="M180" s="5"/>
      <c r="N180" s="5"/>
      <c r="O180" s="5"/>
      <c r="P180" s="4"/>
      <c r="Q180" s="4"/>
      <c r="R180" s="4"/>
      <c r="S180" s="4"/>
      <c r="T180" s="4"/>
      <c r="U180" s="4"/>
      <c r="V180" s="4"/>
      <c r="W180" s="4"/>
      <c r="X180" s="4"/>
      <c r="Y180" s="4"/>
      <c r="Z180" s="4"/>
      <c r="AA180" s="4"/>
    </row>
    <row r="181" spans="1:27">
      <c r="A181" s="5"/>
      <c r="B181" s="5"/>
      <c r="C181" s="4"/>
      <c r="D181" s="5"/>
      <c r="E181" s="5"/>
      <c r="F181" s="5"/>
      <c r="G181" s="5"/>
      <c r="H181" s="5"/>
      <c r="I181" s="5"/>
      <c r="J181" s="5"/>
      <c r="K181" s="5"/>
      <c r="L181" s="5"/>
      <c r="M181" s="5"/>
      <c r="N181" s="5"/>
      <c r="O181" s="5"/>
      <c r="P181" s="4"/>
      <c r="Q181" s="4"/>
      <c r="R181" s="4"/>
      <c r="S181" s="4"/>
      <c r="T181" s="4"/>
      <c r="U181" s="4"/>
      <c r="V181" s="4"/>
      <c r="W181" s="4"/>
      <c r="X181" s="4"/>
      <c r="Y181" s="4"/>
      <c r="Z181" s="4"/>
      <c r="AA181" s="4"/>
    </row>
    <row r="182" spans="1:27">
      <c r="A182" s="5"/>
      <c r="B182" s="5"/>
      <c r="C182" s="4"/>
      <c r="D182" s="5"/>
      <c r="E182" s="5"/>
      <c r="F182" s="5"/>
      <c r="G182" s="5"/>
      <c r="H182" s="5"/>
      <c r="I182" s="5"/>
      <c r="J182" s="5"/>
      <c r="K182" s="5"/>
      <c r="L182" s="5"/>
      <c r="M182" s="5"/>
      <c r="N182" s="5"/>
      <c r="O182" s="5"/>
      <c r="P182" s="4"/>
      <c r="Q182" s="4"/>
      <c r="R182" s="4"/>
      <c r="S182" s="4"/>
      <c r="T182" s="4"/>
      <c r="U182" s="4"/>
      <c r="V182" s="4"/>
      <c r="W182" s="4"/>
      <c r="X182" s="4"/>
      <c r="Y182" s="4"/>
      <c r="Z182" s="4"/>
      <c r="AA182" s="4"/>
    </row>
    <row r="183" spans="1:27">
      <c r="A183" s="5"/>
      <c r="B183" s="5"/>
      <c r="C183" s="4"/>
      <c r="D183" s="5"/>
      <c r="E183" s="5"/>
      <c r="F183" s="5"/>
      <c r="G183" s="5"/>
      <c r="H183" s="5"/>
      <c r="I183" s="5"/>
      <c r="J183" s="5"/>
      <c r="K183" s="5"/>
      <c r="L183" s="5"/>
      <c r="M183" s="5"/>
      <c r="N183" s="5"/>
      <c r="O183" s="5"/>
      <c r="P183" s="4"/>
      <c r="Q183" s="4"/>
      <c r="R183" s="4"/>
      <c r="S183" s="4"/>
      <c r="T183" s="4"/>
      <c r="U183" s="4"/>
      <c r="V183" s="4"/>
      <c r="W183" s="4"/>
      <c r="X183" s="4"/>
      <c r="Y183" s="4"/>
      <c r="Z183" s="4"/>
      <c r="AA183" s="4"/>
    </row>
    <row r="184" spans="1:27">
      <c r="A184" s="5"/>
      <c r="B184" s="5"/>
      <c r="C184" s="4"/>
      <c r="D184" s="5"/>
      <c r="E184" s="5"/>
      <c r="F184" s="5"/>
      <c r="G184" s="5"/>
      <c r="H184" s="5"/>
      <c r="I184" s="5"/>
      <c r="J184" s="5"/>
      <c r="K184" s="5"/>
      <c r="L184" s="5"/>
      <c r="M184" s="5"/>
      <c r="N184" s="5"/>
      <c r="O184" s="5"/>
      <c r="P184" s="4"/>
      <c r="Q184" s="4"/>
      <c r="R184" s="4"/>
      <c r="S184" s="4"/>
      <c r="T184" s="4"/>
      <c r="U184" s="4"/>
      <c r="V184" s="4"/>
      <c r="W184" s="4"/>
      <c r="X184" s="4"/>
      <c r="Y184" s="4"/>
      <c r="Z184" s="4"/>
      <c r="AA184" s="4"/>
    </row>
    <row r="185" spans="1:27">
      <c r="A185" s="5"/>
      <c r="B185" s="5"/>
      <c r="C185" s="4"/>
      <c r="D185" s="5"/>
      <c r="E185" s="5"/>
      <c r="F185" s="5"/>
      <c r="G185" s="5"/>
      <c r="H185" s="5"/>
      <c r="I185" s="5"/>
      <c r="J185" s="5"/>
      <c r="K185" s="5"/>
      <c r="L185" s="5"/>
      <c r="M185" s="5"/>
      <c r="N185" s="5"/>
      <c r="O185" s="5"/>
      <c r="P185" s="4"/>
      <c r="Q185" s="4"/>
      <c r="R185" s="4"/>
      <c r="S185" s="4"/>
      <c r="T185" s="4"/>
      <c r="U185" s="4"/>
      <c r="V185" s="4"/>
      <c r="W185" s="4"/>
      <c r="X185" s="4"/>
      <c r="Y185" s="4"/>
      <c r="Z185" s="4"/>
      <c r="AA185" s="4"/>
    </row>
    <row r="186" spans="1:27">
      <c r="A186" s="5"/>
      <c r="B186" s="5"/>
      <c r="C186" s="4"/>
      <c r="D186" s="5"/>
      <c r="E186" s="5"/>
      <c r="F186" s="5"/>
      <c r="G186" s="5"/>
      <c r="H186" s="5"/>
      <c r="I186" s="5"/>
      <c r="J186" s="5"/>
      <c r="K186" s="5"/>
      <c r="L186" s="5"/>
      <c r="M186" s="5"/>
      <c r="N186" s="5"/>
      <c r="O186" s="5"/>
      <c r="P186" s="4"/>
      <c r="Q186" s="4"/>
      <c r="R186" s="4"/>
      <c r="S186" s="4"/>
      <c r="T186" s="4"/>
      <c r="U186" s="4"/>
      <c r="V186" s="4"/>
      <c r="W186" s="4"/>
      <c r="X186" s="4"/>
      <c r="Y186" s="4"/>
      <c r="Z186" s="4"/>
      <c r="AA186" s="4"/>
    </row>
    <row r="187" spans="1:27">
      <c r="A187" s="5"/>
      <c r="B187" s="5"/>
      <c r="C187" s="4"/>
      <c r="D187" s="5"/>
      <c r="E187" s="5"/>
      <c r="F187" s="5"/>
      <c r="G187" s="5"/>
      <c r="H187" s="5"/>
      <c r="I187" s="5"/>
      <c r="J187" s="5"/>
      <c r="K187" s="5"/>
      <c r="L187" s="5"/>
      <c r="M187" s="5"/>
      <c r="N187" s="5"/>
      <c r="O187" s="5"/>
      <c r="P187" s="4"/>
      <c r="Q187" s="4"/>
      <c r="R187" s="4"/>
      <c r="S187" s="4"/>
      <c r="T187" s="4"/>
      <c r="U187" s="4"/>
      <c r="V187" s="4"/>
      <c r="W187" s="4"/>
      <c r="X187" s="4"/>
      <c r="Y187" s="4"/>
      <c r="Z187" s="4"/>
      <c r="AA187" s="4"/>
    </row>
    <row r="188" spans="1:27">
      <c r="A188" s="5"/>
      <c r="B188" s="5"/>
      <c r="C188" s="4"/>
      <c r="D188" s="5"/>
      <c r="E188" s="5"/>
      <c r="F188" s="5"/>
      <c r="G188" s="5"/>
      <c r="H188" s="5"/>
      <c r="I188" s="5"/>
      <c r="J188" s="5"/>
      <c r="K188" s="5"/>
      <c r="L188" s="5"/>
      <c r="M188" s="5"/>
      <c r="N188" s="5"/>
      <c r="O188" s="5"/>
      <c r="P188" s="4"/>
      <c r="Q188" s="4"/>
      <c r="R188" s="4"/>
      <c r="S188" s="4"/>
      <c r="T188" s="4"/>
      <c r="U188" s="4"/>
      <c r="V188" s="4"/>
      <c r="W188" s="4"/>
      <c r="X188" s="4"/>
      <c r="Y188" s="4"/>
      <c r="Z188" s="4"/>
      <c r="AA188" s="4"/>
    </row>
    <row r="189" spans="1:27">
      <c r="A189" s="5"/>
      <c r="B189" s="5"/>
      <c r="C189" s="4"/>
      <c r="D189" s="5"/>
      <c r="E189" s="5"/>
      <c r="F189" s="5"/>
      <c r="G189" s="5"/>
      <c r="H189" s="5"/>
      <c r="I189" s="5"/>
      <c r="J189" s="5"/>
      <c r="K189" s="5"/>
      <c r="L189" s="5"/>
      <c r="M189" s="5"/>
      <c r="N189" s="5"/>
      <c r="O189" s="5"/>
      <c r="P189" s="4"/>
      <c r="Q189" s="4"/>
      <c r="R189" s="4"/>
      <c r="S189" s="4"/>
      <c r="T189" s="4"/>
      <c r="U189" s="4"/>
      <c r="V189" s="4"/>
      <c r="W189" s="4"/>
      <c r="X189" s="4"/>
      <c r="Y189" s="4"/>
      <c r="Z189" s="4"/>
      <c r="AA189" s="4"/>
    </row>
    <row r="190" spans="1:27">
      <c r="A190" s="5"/>
      <c r="B190" s="5"/>
      <c r="C190" s="4"/>
      <c r="D190" s="5"/>
      <c r="E190" s="5"/>
      <c r="F190" s="5"/>
      <c r="G190" s="5"/>
      <c r="H190" s="5"/>
      <c r="I190" s="5"/>
      <c r="J190" s="5"/>
      <c r="K190" s="5"/>
      <c r="L190" s="5"/>
      <c r="M190" s="5"/>
      <c r="N190" s="5"/>
      <c r="O190" s="5"/>
      <c r="P190" s="4"/>
      <c r="Q190" s="4"/>
      <c r="R190" s="4"/>
      <c r="S190" s="4"/>
      <c r="T190" s="4"/>
      <c r="U190" s="4"/>
      <c r="V190" s="4"/>
      <c r="W190" s="4"/>
      <c r="X190" s="4"/>
      <c r="Y190" s="4"/>
      <c r="Z190" s="4"/>
      <c r="AA190" s="4"/>
    </row>
    <row r="191" spans="1:27">
      <c r="A191" s="5"/>
      <c r="B191" s="5"/>
      <c r="C191" s="4"/>
      <c r="D191" s="5"/>
      <c r="E191" s="5"/>
      <c r="F191" s="5"/>
      <c r="G191" s="5"/>
      <c r="H191" s="5"/>
      <c r="I191" s="5"/>
      <c r="J191" s="5"/>
      <c r="K191" s="5"/>
      <c r="L191" s="5"/>
      <c r="M191" s="5"/>
      <c r="N191" s="5"/>
      <c r="O191" s="5"/>
      <c r="P191" s="4"/>
      <c r="Q191" s="4"/>
      <c r="R191" s="4"/>
      <c r="S191" s="4"/>
      <c r="T191" s="4"/>
      <c r="U191" s="4"/>
      <c r="V191" s="4"/>
      <c r="W191" s="4"/>
      <c r="X191" s="4"/>
      <c r="Y191" s="4"/>
      <c r="Z191" s="4"/>
      <c r="AA191" s="4"/>
    </row>
    <row r="192" spans="1:27">
      <c r="A192" s="5"/>
      <c r="B192" s="5"/>
      <c r="C192" s="4"/>
      <c r="D192" s="5"/>
      <c r="E192" s="5"/>
      <c r="F192" s="5"/>
      <c r="G192" s="5"/>
      <c r="H192" s="5"/>
      <c r="I192" s="5"/>
      <c r="J192" s="5"/>
      <c r="K192" s="5"/>
      <c r="L192" s="5"/>
      <c r="M192" s="5"/>
      <c r="N192" s="5"/>
      <c r="O192" s="5"/>
      <c r="P192" s="4"/>
      <c r="Q192" s="4"/>
      <c r="R192" s="4"/>
      <c r="S192" s="4"/>
      <c r="T192" s="4"/>
      <c r="U192" s="4"/>
      <c r="V192" s="4"/>
      <c r="W192" s="4"/>
      <c r="X192" s="4"/>
      <c r="Y192" s="4"/>
      <c r="Z192" s="4"/>
      <c r="AA192" s="4"/>
    </row>
    <row r="193" spans="1:27">
      <c r="A193" s="5"/>
      <c r="B193" s="5"/>
      <c r="C193" s="4"/>
      <c r="D193" s="5"/>
      <c r="E193" s="5"/>
      <c r="F193" s="5"/>
      <c r="G193" s="5"/>
      <c r="H193" s="5"/>
      <c r="I193" s="5"/>
      <c r="J193" s="5"/>
      <c r="K193" s="5"/>
      <c r="L193" s="5"/>
      <c r="M193" s="5"/>
      <c r="N193" s="5"/>
      <c r="O193" s="5"/>
      <c r="P193" s="4"/>
      <c r="Q193" s="4"/>
      <c r="R193" s="4"/>
      <c r="S193" s="4"/>
      <c r="T193" s="4"/>
      <c r="U193" s="4"/>
      <c r="V193" s="4"/>
      <c r="W193" s="4"/>
      <c r="X193" s="4"/>
      <c r="Y193" s="4"/>
      <c r="Z193" s="4"/>
      <c r="AA193" s="4"/>
    </row>
    <row r="194" spans="1:27">
      <c r="A194" s="5"/>
      <c r="B194" s="5"/>
      <c r="C194" s="4"/>
      <c r="D194" s="5"/>
      <c r="E194" s="5"/>
      <c r="F194" s="5"/>
      <c r="G194" s="5"/>
      <c r="H194" s="5"/>
      <c r="I194" s="5"/>
      <c r="J194" s="5"/>
      <c r="K194" s="5"/>
      <c r="L194" s="5"/>
      <c r="M194" s="5"/>
      <c r="N194" s="5"/>
      <c r="O194" s="5"/>
      <c r="P194" s="4"/>
      <c r="Q194" s="4"/>
      <c r="R194" s="4"/>
      <c r="S194" s="4"/>
      <c r="T194" s="4"/>
      <c r="U194" s="4"/>
      <c r="V194" s="4"/>
      <c r="W194" s="4"/>
      <c r="X194" s="4"/>
      <c r="Y194" s="4"/>
      <c r="Z194" s="4"/>
      <c r="AA194" s="4"/>
    </row>
    <row r="195" spans="1:27">
      <c r="A195" s="5"/>
      <c r="B195" s="5"/>
      <c r="C195" s="4"/>
      <c r="D195" s="5"/>
      <c r="E195" s="5"/>
      <c r="F195" s="5"/>
      <c r="G195" s="5"/>
      <c r="H195" s="5"/>
      <c r="I195" s="5"/>
      <c r="J195" s="5"/>
      <c r="K195" s="5"/>
      <c r="L195" s="5"/>
      <c r="M195" s="5"/>
      <c r="N195" s="5"/>
      <c r="O195" s="5"/>
      <c r="P195" s="4"/>
      <c r="Q195" s="4"/>
      <c r="R195" s="4"/>
      <c r="S195" s="4"/>
      <c r="T195" s="4"/>
      <c r="U195" s="4"/>
      <c r="V195" s="4"/>
      <c r="W195" s="4"/>
      <c r="X195" s="4"/>
      <c r="Y195" s="4"/>
      <c r="Z195" s="4"/>
      <c r="AA195" s="4"/>
    </row>
    <row r="196" spans="1:27">
      <c r="A196" s="5"/>
      <c r="B196" s="5"/>
      <c r="C196" s="4"/>
      <c r="D196" s="5"/>
      <c r="E196" s="5"/>
      <c r="F196" s="5"/>
      <c r="G196" s="5"/>
      <c r="H196" s="5"/>
      <c r="I196" s="5"/>
      <c r="J196" s="5"/>
      <c r="K196" s="5"/>
      <c r="L196" s="5"/>
      <c r="M196" s="5"/>
      <c r="N196" s="5"/>
      <c r="O196" s="5"/>
      <c r="P196" s="4"/>
      <c r="Q196" s="4"/>
      <c r="R196" s="4"/>
      <c r="S196" s="4"/>
      <c r="T196" s="4"/>
      <c r="U196" s="4"/>
      <c r="V196" s="4"/>
      <c r="W196" s="4"/>
      <c r="X196" s="4"/>
      <c r="Y196" s="4"/>
      <c r="Z196" s="4"/>
      <c r="AA196" s="4"/>
    </row>
    <row r="197" spans="1:27">
      <c r="A197" s="5"/>
      <c r="B197" s="5"/>
      <c r="C197" s="4"/>
      <c r="D197" s="5"/>
      <c r="E197" s="5"/>
      <c r="F197" s="5"/>
      <c r="G197" s="5"/>
      <c r="H197" s="5"/>
      <c r="I197" s="5"/>
      <c r="J197" s="5"/>
      <c r="K197" s="5"/>
      <c r="L197" s="5"/>
      <c r="M197" s="5"/>
      <c r="N197" s="5"/>
      <c r="O197" s="5"/>
      <c r="P197" s="4"/>
      <c r="Q197" s="4"/>
      <c r="R197" s="4"/>
      <c r="S197" s="4"/>
      <c r="T197" s="4"/>
      <c r="U197" s="4"/>
      <c r="V197" s="4"/>
      <c r="W197" s="4"/>
      <c r="X197" s="4"/>
      <c r="Y197" s="4"/>
      <c r="Z197" s="4"/>
      <c r="AA197" s="4"/>
    </row>
    <row r="198" spans="1:27">
      <c r="A198" s="5"/>
      <c r="B198" s="5"/>
      <c r="C198" s="4"/>
      <c r="D198" s="5"/>
      <c r="E198" s="5"/>
      <c r="F198" s="5"/>
      <c r="G198" s="5"/>
      <c r="H198" s="5"/>
      <c r="I198" s="5"/>
      <c r="J198" s="5"/>
      <c r="K198" s="5"/>
      <c r="L198" s="5"/>
      <c r="M198" s="5"/>
      <c r="N198" s="5"/>
      <c r="O198" s="5"/>
      <c r="P198" s="4"/>
      <c r="Q198" s="4"/>
      <c r="R198" s="4"/>
      <c r="S198" s="4"/>
      <c r="T198" s="4"/>
      <c r="U198" s="4"/>
      <c r="V198" s="4"/>
      <c r="W198" s="4"/>
      <c r="X198" s="4"/>
      <c r="Y198" s="4"/>
      <c r="Z198" s="4"/>
      <c r="AA198" s="4"/>
    </row>
    <row r="199" spans="1:27">
      <c r="A199" s="5"/>
      <c r="B199" s="5"/>
      <c r="C199" s="4"/>
      <c r="D199" s="5"/>
      <c r="E199" s="5"/>
      <c r="F199" s="5"/>
      <c r="G199" s="5"/>
      <c r="H199" s="5"/>
      <c r="I199" s="5"/>
      <c r="J199" s="5"/>
      <c r="K199" s="5"/>
      <c r="L199" s="5"/>
      <c r="M199" s="5"/>
      <c r="N199" s="5"/>
      <c r="O199" s="5"/>
      <c r="P199" s="4"/>
      <c r="Q199" s="4"/>
      <c r="R199" s="4"/>
      <c r="S199" s="4"/>
      <c r="T199" s="4"/>
      <c r="U199" s="4"/>
      <c r="V199" s="4"/>
      <c r="W199" s="4"/>
      <c r="X199" s="4"/>
      <c r="Y199" s="4"/>
      <c r="Z199" s="4"/>
      <c r="AA199" s="4"/>
    </row>
    <row r="200" spans="1:27">
      <c r="A200" s="5"/>
      <c r="B200" s="5"/>
      <c r="C200" s="4"/>
      <c r="D200" s="5"/>
      <c r="E200" s="5"/>
      <c r="F200" s="5"/>
      <c r="G200" s="5"/>
      <c r="H200" s="5"/>
      <c r="I200" s="5"/>
      <c r="J200" s="5"/>
      <c r="K200" s="5"/>
      <c r="L200" s="5"/>
      <c r="M200" s="5"/>
      <c r="N200" s="5"/>
      <c r="O200" s="5"/>
      <c r="P200" s="4"/>
      <c r="Q200" s="4"/>
      <c r="R200" s="4"/>
      <c r="S200" s="4"/>
      <c r="T200" s="4"/>
      <c r="U200" s="4"/>
      <c r="V200" s="4"/>
      <c r="W200" s="4"/>
      <c r="X200" s="4"/>
      <c r="Y200" s="4"/>
      <c r="Z200" s="4"/>
      <c r="AA200" s="4"/>
    </row>
    <row r="201" spans="1:27">
      <c r="A201" s="5"/>
      <c r="B201" s="5"/>
      <c r="C201" s="4"/>
      <c r="D201" s="5"/>
      <c r="E201" s="5"/>
      <c r="F201" s="5"/>
      <c r="G201" s="5"/>
      <c r="H201" s="5"/>
      <c r="I201" s="5"/>
      <c r="J201" s="5"/>
      <c r="K201" s="5"/>
      <c r="L201" s="5"/>
      <c r="M201" s="5"/>
      <c r="N201" s="5"/>
      <c r="O201" s="5"/>
      <c r="P201" s="4"/>
      <c r="Q201" s="4"/>
      <c r="R201" s="4"/>
      <c r="S201" s="4"/>
      <c r="T201" s="4"/>
      <c r="U201" s="4"/>
      <c r="V201" s="4"/>
      <c r="W201" s="4"/>
      <c r="X201" s="4"/>
      <c r="Y201" s="4"/>
      <c r="Z201" s="4"/>
      <c r="AA201" s="4"/>
    </row>
    <row r="202" spans="1:27">
      <c r="A202" s="5"/>
      <c r="B202" s="5"/>
      <c r="C202" s="4"/>
      <c r="D202" s="5"/>
      <c r="E202" s="5"/>
      <c r="F202" s="5"/>
      <c r="G202" s="5"/>
      <c r="H202" s="5"/>
      <c r="I202" s="5"/>
      <c r="J202" s="5"/>
      <c r="K202" s="5"/>
      <c r="L202" s="5"/>
      <c r="M202" s="5"/>
      <c r="N202" s="5"/>
      <c r="O202" s="5"/>
      <c r="P202" s="4"/>
      <c r="Q202" s="4"/>
      <c r="R202" s="4"/>
      <c r="S202" s="4"/>
      <c r="T202" s="4"/>
      <c r="U202" s="4"/>
      <c r="V202" s="4"/>
      <c r="W202" s="4"/>
      <c r="X202" s="4"/>
      <c r="Y202" s="4"/>
      <c r="Z202" s="4"/>
      <c r="AA202" s="4"/>
    </row>
    <row r="203" spans="1:27">
      <c r="A203" s="5"/>
      <c r="B203" s="5"/>
      <c r="C203" s="4"/>
      <c r="D203" s="5"/>
      <c r="E203" s="5"/>
      <c r="F203" s="5"/>
      <c r="G203" s="5"/>
      <c r="H203" s="5"/>
      <c r="I203" s="5"/>
      <c r="J203" s="5"/>
      <c r="K203" s="5"/>
      <c r="L203" s="5"/>
      <c r="M203" s="5"/>
      <c r="N203" s="5"/>
      <c r="O203" s="5"/>
      <c r="P203" s="4"/>
      <c r="Q203" s="4"/>
      <c r="R203" s="4"/>
      <c r="S203" s="4"/>
      <c r="T203" s="4"/>
      <c r="U203" s="4"/>
      <c r="V203" s="4"/>
      <c r="W203" s="4"/>
      <c r="X203" s="4"/>
      <c r="Y203" s="4"/>
      <c r="Z203" s="4"/>
      <c r="AA203" s="4"/>
    </row>
    <row r="204" spans="1:27">
      <c r="A204" s="5"/>
      <c r="B204" s="5"/>
      <c r="C204" s="4"/>
      <c r="D204" s="5"/>
      <c r="E204" s="5"/>
      <c r="F204" s="5"/>
      <c r="G204" s="5"/>
      <c r="H204" s="5"/>
      <c r="I204" s="5"/>
      <c r="J204" s="5"/>
      <c r="K204" s="5"/>
      <c r="L204" s="5"/>
      <c r="M204" s="5"/>
      <c r="N204" s="5"/>
      <c r="O204" s="5"/>
      <c r="P204" s="4"/>
      <c r="Q204" s="4"/>
      <c r="R204" s="4"/>
      <c r="S204" s="4"/>
      <c r="T204" s="4"/>
      <c r="U204" s="4"/>
      <c r="V204" s="4"/>
      <c r="W204" s="4"/>
      <c r="X204" s="4"/>
      <c r="Y204" s="4"/>
      <c r="Z204" s="4"/>
      <c r="AA204" s="4"/>
    </row>
    <row r="205" spans="1:27">
      <c r="A205" s="5"/>
      <c r="B205" s="5"/>
      <c r="C205" s="4"/>
      <c r="D205" s="5"/>
      <c r="E205" s="5"/>
      <c r="F205" s="5"/>
      <c r="G205" s="5"/>
      <c r="H205" s="5"/>
      <c r="I205" s="5"/>
      <c r="J205" s="5"/>
      <c r="K205" s="5"/>
      <c r="L205" s="5"/>
      <c r="M205" s="5"/>
      <c r="N205" s="5"/>
      <c r="O205" s="5"/>
      <c r="P205" s="4"/>
      <c r="Q205" s="4"/>
      <c r="R205" s="4"/>
      <c r="S205" s="4"/>
      <c r="T205" s="4"/>
      <c r="U205" s="4"/>
      <c r="V205" s="4"/>
      <c r="W205" s="4"/>
      <c r="X205" s="4"/>
      <c r="Y205" s="4"/>
      <c r="Z205" s="4"/>
      <c r="AA205" s="4"/>
    </row>
    <row r="206" spans="1:27">
      <c r="A206" s="5"/>
      <c r="B206" s="5"/>
      <c r="C206" s="4"/>
      <c r="D206" s="5"/>
      <c r="E206" s="5"/>
      <c r="F206" s="5"/>
      <c r="G206" s="5"/>
      <c r="H206" s="5"/>
      <c r="I206" s="5"/>
      <c r="J206" s="5"/>
      <c r="K206" s="5"/>
      <c r="L206" s="5"/>
      <c r="M206" s="5"/>
      <c r="N206" s="5"/>
      <c r="O206" s="5"/>
      <c r="P206" s="4"/>
      <c r="Q206" s="4"/>
      <c r="R206" s="4"/>
      <c r="S206" s="4"/>
      <c r="T206" s="4"/>
      <c r="U206" s="4"/>
      <c r="V206" s="4"/>
      <c r="W206" s="4"/>
      <c r="X206" s="4"/>
      <c r="Y206" s="4"/>
      <c r="Z206" s="4"/>
      <c r="AA206" s="4"/>
    </row>
    <row r="207" spans="1:27">
      <c r="A207" s="5"/>
      <c r="B207" s="5"/>
      <c r="C207" s="4"/>
      <c r="D207" s="5"/>
      <c r="E207" s="5"/>
      <c r="F207" s="5"/>
      <c r="G207" s="5"/>
      <c r="H207" s="5"/>
      <c r="I207" s="5"/>
      <c r="J207" s="5"/>
      <c r="K207" s="5"/>
      <c r="L207" s="5"/>
      <c r="M207" s="5"/>
      <c r="N207" s="5"/>
      <c r="O207" s="5"/>
      <c r="P207" s="4"/>
      <c r="Q207" s="4"/>
      <c r="R207" s="4"/>
      <c r="S207" s="4"/>
      <c r="T207" s="4"/>
      <c r="U207" s="4"/>
      <c r="V207" s="4"/>
      <c r="W207" s="4"/>
      <c r="X207" s="4"/>
      <c r="Y207" s="4"/>
      <c r="Z207" s="4"/>
      <c r="AA207" s="4"/>
    </row>
    <row r="208" spans="1:27">
      <c r="A208" s="5"/>
      <c r="B208" s="5"/>
      <c r="C208" s="4"/>
      <c r="D208" s="5"/>
      <c r="E208" s="5"/>
      <c r="F208" s="5"/>
      <c r="G208" s="5"/>
      <c r="H208" s="5"/>
      <c r="I208" s="5"/>
      <c r="J208" s="5"/>
      <c r="K208" s="5"/>
      <c r="L208" s="5"/>
      <c r="M208" s="5"/>
      <c r="N208" s="5"/>
      <c r="O208" s="5"/>
      <c r="P208" s="4"/>
      <c r="Q208" s="4"/>
      <c r="R208" s="4"/>
      <c r="S208" s="4"/>
      <c r="T208" s="4"/>
      <c r="U208" s="4"/>
      <c r="V208" s="4"/>
      <c r="W208" s="4"/>
      <c r="X208" s="4"/>
      <c r="Y208" s="4"/>
      <c r="Z208" s="4"/>
      <c r="AA208" s="4"/>
    </row>
    <row r="209" spans="1:27">
      <c r="A209" s="5"/>
      <c r="B209" s="5"/>
      <c r="C209" s="4"/>
      <c r="D209" s="5"/>
      <c r="E209" s="5"/>
      <c r="F209" s="5"/>
      <c r="G209" s="5"/>
      <c r="H209" s="5"/>
      <c r="I209" s="5"/>
      <c r="J209" s="5"/>
      <c r="K209" s="5"/>
      <c r="L209" s="5"/>
      <c r="M209" s="5"/>
      <c r="N209" s="5"/>
      <c r="O209" s="5"/>
      <c r="P209" s="4"/>
      <c r="Q209" s="4"/>
      <c r="R209" s="4"/>
      <c r="S209" s="4"/>
      <c r="T209" s="4"/>
      <c r="U209" s="4"/>
      <c r="V209" s="4"/>
      <c r="W209" s="4"/>
      <c r="X209" s="4"/>
      <c r="Y209" s="4"/>
      <c r="Z209" s="4"/>
      <c r="AA209" s="4"/>
    </row>
    <row r="210" spans="1:27">
      <c r="A210" s="5"/>
      <c r="B210" s="5"/>
      <c r="C210" s="4"/>
      <c r="D210" s="5"/>
      <c r="E210" s="5"/>
      <c r="F210" s="5"/>
      <c r="G210" s="5"/>
      <c r="H210" s="5"/>
      <c r="I210" s="5"/>
      <c r="J210" s="5"/>
      <c r="K210" s="5"/>
      <c r="L210" s="5"/>
      <c r="M210" s="5"/>
      <c r="N210" s="5"/>
      <c r="O210" s="5"/>
      <c r="P210" s="4"/>
      <c r="Q210" s="4"/>
      <c r="R210" s="4"/>
      <c r="S210" s="4"/>
      <c r="T210" s="4"/>
      <c r="U210" s="4"/>
      <c r="V210" s="4"/>
      <c r="W210" s="4"/>
      <c r="X210" s="4"/>
      <c r="Y210" s="4"/>
      <c r="Z210" s="4"/>
      <c r="AA210" s="4"/>
    </row>
    <row r="211" spans="1:27">
      <c r="A211" s="5"/>
      <c r="B211" s="5"/>
      <c r="C211" s="4"/>
      <c r="D211" s="5"/>
      <c r="E211" s="5"/>
      <c r="F211" s="5"/>
      <c r="G211" s="5"/>
      <c r="H211" s="5"/>
      <c r="I211" s="5"/>
      <c r="J211" s="5"/>
      <c r="K211" s="5"/>
      <c r="L211" s="5"/>
      <c r="M211" s="5"/>
      <c r="N211" s="5"/>
      <c r="O211" s="5"/>
      <c r="P211" s="4"/>
      <c r="Q211" s="4"/>
      <c r="R211" s="4"/>
      <c r="S211" s="4"/>
      <c r="T211" s="4"/>
      <c r="U211" s="4"/>
      <c r="V211" s="4"/>
      <c r="W211" s="4"/>
      <c r="X211" s="4"/>
      <c r="Y211" s="4"/>
      <c r="Z211" s="4"/>
      <c r="AA211" s="4"/>
    </row>
    <row r="212" spans="1:27">
      <c r="A212" s="5"/>
      <c r="B212" s="5"/>
      <c r="C212" s="4"/>
      <c r="D212" s="5"/>
      <c r="E212" s="5"/>
      <c r="F212" s="5"/>
      <c r="G212" s="5"/>
      <c r="H212" s="5"/>
      <c r="I212" s="5"/>
      <c r="J212" s="5"/>
      <c r="K212" s="5"/>
      <c r="L212" s="5"/>
      <c r="M212" s="5"/>
      <c r="N212" s="5"/>
      <c r="O212" s="5"/>
      <c r="P212" s="4"/>
      <c r="Q212" s="4"/>
      <c r="R212" s="4"/>
      <c r="S212" s="4"/>
      <c r="T212" s="4"/>
      <c r="U212" s="4"/>
      <c r="V212" s="4"/>
      <c r="W212" s="4"/>
      <c r="X212" s="4"/>
      <c r="Y212" s="4"/>
      <c r="Z212" s="4"/>
      <c r="AA212" s="4"/>
    </row>
    <row r="213" spans="1:27">
      <c r="A213" s="5"/>
      <c r="B213" s="5"/>
      <c r="C213" s="4"/>
      <c r="D213" s="5"/>
      <c r="E213" s="5"/>
      <c r="F213" s="5"/>
      <c r="G213" s="5"/>
      <c r="H213" s="5"/>
      <c r="I213" s="5"/>
      <c r="J213" s="5"/>
      <c r="K213" s="5"/>
      <c r="L213" s="5"/>
      <c r="M213" s="5"/>
      <c r="N213" s="5"/>
      <c r="O213" s="5"/>
      <c r="P213" s="4"/>
      <c r="Q213" s="4"/>
      <c r="R213" s="4"/>
      <c r="S213" s="4"/>
      <c r="T213" s="4"/>
      <c r="U213" s="4"/>
      <c r="V213" s="4"/>
      <c r="W213" s="4"/>
      <c r="X213" s="4"/>
      <c r="Y213" s="4"/>
      <c r="Z213" s="4"/>
      <c r="AA213" s="4"/>
    </row>
    <row r="214" spans="1:27">
      <c r="A214" s="5"/>
      <c r="B214" s="5"/>
      <c r="C214" s="4"/>
      <c r="D214" s="5"/>
      <c r="E214" s="5"/>
      <c r="F214" s="5"/>
      <c r="G214" s="5"/>
      <c r="H214" s="5"/>
      <c r="I214" s="5"/>
      <c r="J214" s="5"/>
      <c r="K214" s="5"/>
      <c r="L214" s="5"/>
      <c r="M214" s="5"/>
      <c r="N214" s="5"/>
      <c r="O214" s="5"/>
      <c r="P214" s="4"/>
      <c r="Q214" s="4"/>
      <c r="R214" s="4"/>
      <c r="S214" s="4"/>
      <c r="T214" s="4"/>
      <c r="U214" s="4"/>
      <c r="V214" s="4"/>
      <c r="W214" s="4"/>
      <c r="X214" s="4"/>
      <c r="Y214" s="4"/>
      <c r="Z214" s="4"/>
      <c r="AA214" s="4"/>
    </row>
    <row r="215" spans="1:27">
      <c r="A215" s="5"/>
      <c r="B215" s="5"/>
      <c r="C215" s="4"/>
      <c r="D215" s="5"/>
      <c r="E215" s="5"/>
      <c r="F215" s="5"/>
      <c r="G215" s="5"/>
      <c r="H215" s="5"/>
      <c r="I215" s="5"/>
      <c r="J215" s="5"/>
      <c r="K215" s="5"/>
      <c r="L215" s="5"/>
      <c r="M215" s="5"/>
      <c r="N215" s="5"/>
      <c r="O215" s="5"/>
      <c r="P215" s="4"/>
      <c r="Q215" s="4"/>
      <c r="R215" s="4"/>
      <c r="S215" s="4"/>
      <c r="T215" s="4"/>
      <c r="U215" s="4"/>
      <c r="V215" s="4"/>
      <c r="W215" s="4"/>
      <c r="X215" s="4"/>
      <c r="Y215" s="4"/>
      <c r="Z215" s="4"/>
      <c r="AA215" s="4"/>
    </row>
    <row r="216" spans="1:27">
      <c r="A216" s="5"/>
      <c r="B216" s="5"/>
      <c r="C216" s="4"/>
      <c r="D216" s="5"/>
      <c r="E216" s="5"/>
      <c r="F216" s="5"/>
      <c r="G216" s="5"/>
      <c r="H216" s="5"/>
      <c r="I216" s="5"/>
      <c r="J216" s="5"/>
      <c r="K216" s="5"/>
      <c r="L216" s="5"/>
      <c r="M216" s="5"/>
      <c r="N216" s="5"/>
      <c r="O216" s="5"/>
      <c r="P216" s="4"/>
      <c r="Q216" s="4"/>
      <c r="R216" s="4"/>
      <c r="S216" s="4"/>
      <c r="T216" s="4"/>
      <c r="U216" s="4"/>
      <c r="V216" s="4"/>
      <c r="W216" s="4"/>
      <c r="X216" s="4"/>
      <c r="Y216" s="4"/>
      <c r="Z216" s="4"/>
      <c r="AA216" s="4"/>
    </row>
    <row r="217" spans="1:27">
      <c r="A217" s="5"/>
      <c r="B217" s="5"/>
      <c r="C217" s="4"/>
      <c r="D217" s="5"/>
      <c r="E217" s="5"/>
      <c r="F217" s="5"/>
      <c r="G217" s="5"/>
      <c r="H217" s="5"/>
      <c r="I217" s="5"/>
      <c r="J217" s="5"/>
      <c r="K217" s="5"/>
      <c r="L217" s="5"/>
      <c r="M217" s="5"/>
      <c r="N217" s="5"/>
      <c r="O217" s="5"/>
      <c r="P217" s="4"/>
      <c r="Q217" s="4"/>
      <c r="R217" s="4"/>
      <c r="S217" s="4"/>
      <c r="T217" s="4"/>
      <c r="U217" s="4"/>
      <c r="V217" s="4"/>
      <c r="W217" s="4"/>
      <c r="X217" s="4"/>
      <c r="Y217" s="4"/>
      <c r="Z217" s="4"/>
      <c r="AA217" s="4"/>
    </row>
    <row r="218" spans="1:27">
      <c r="A218" s="5"/>
      <c r="B218" s="5"/>
      <c r="C218" s="4"/>
      <c r="D218" s="5"/>
      <c r="E218" s="5"/>
      <c r="F218" s="5"/>
      <c r="G218" s="5"/>
      <c r="H218" s="5"/>
      <c r="I218" s="5"/>
      <c r="J218" s="5"/>
      <c r="K218" s="5"/>
      <c r="L218" s="5"/>
      <c r="M218" s="5"/>
      <c r="N218" s="5"/>
      <c r="O218" s="5"/>
      <c r="P218" s="4"/>
      <c r="Q218" s="4"/>
      <c r="R218" s="4"/>
      <c r="S218" s="4"/>
      <c r="T218" s="4"/>
      <c r="U218" s="4"/>
      <c r="V218" s="4"/>
      <c r="W218" s="4"/>
      <c r="X218" s="4"/>
      <c r="Y218" s="4"/>
      <c r="Z218" s="4"/>
      <c r="AA218" s="4"/>
    </row>
    <row r="219" spans="1:27">
      <c r="A219" s="5"/>
      <c r="B219" s="5"/>
      <c r="C219" s="4"/>
      <c r="D219" s="5"/>
      <c r="E219" s="5"/>
      <c r="F219" s="5"/>
      <c r="G219" s="5"/>
      <c r="H219" s="5"/>
      <c r="I219" s="5"/>
      <c r="J219" s="5"/>
      <c r="K219" s="5"/>
      <c r="L219" s="5"/>
      <c r="M219" s="5"/>
      <c r="N219" s="5"/>
      <c r="O219" s="5"/>
      <c r="P219" s="4"/>
      <c r="Q219" s="4"/>
      <c r="R219" s="4"/>
      <c r="S219" s="4"/>
      <c r="T219" s="4"/>
      <c r="U219" s="4"/>
      <c r="V219" s="4"/>
      <c r="W219" s="4"/>
      <c r="X219" s="4"/>
      <c r="Y219" s="4"/>
      <c r="Z219" s="4"/>
      <c r="AA219" s="4"/>
    </row>
    <row r="220" spans="1:27">
      <c r="A220" s="5"/>
      <c r="B220" s="5"/>
      <c r="C220" s="4"/>
      <c r="D220" s="5"/>
      <c r="E220" s="5"/>
      <c r="F220" s="5"/>
      <c r="G220" s="5"/>
      <c r="H220" s="5"/>
      <c r="I220" s="5"/>
      <c r="J220" s="5"/>
      <c r="K220" s="5"/>
      <c r="L220" s="5"/>
      <c r="M220" s="5"/>
      <c r="N220" s="5"/>
      <c r="O220" s="5"/>
      <c r="P220" s="4"/>
      <c r="Q220" s="4"/>
      <c r="R220" s="4"/>
      <c r="S220" s="4"/>
      <c r="T220" s="4"/>
      <c r="U220" s="4"/>
      <c r="V220" s="4"/>
      <c r="W220" s="4"/>
      <c r="X220" s="4"/>
      <c r="Y220" s="4"/>
      <c r="Z220" s="4"/>
      <c r="AA220" s="4"/>
    </row>
    <row r="221" spans="1:27">
      <c r="A221" s="5"/>
      <c r="B221" s="5"/>
      <c r="C221" s="4"/>
      <c r="D221" s="5"/>
      <c r="E221" s="5"/>
      <c r="F221" s="5"/>
      <c r="G221" s="5"/>
      <c r="H221" s="5"/>
      <c r="I221" s="5"/>
      <c r="J221" s="5"/>
      <c r="K221" s="5"/>
      <c r="L221" s="5"/>
      <c r="M221" s="5"/>
      <c r="N221" s="5"/>
      <c r="O221" s="5"/>
      <c r="P221" s="4"/>
      <c r="Q221" s="4"/>
      <c r="R221" s="4"/>
      <c r="S221" s="4"/>
      <c r="T221" s="4"/>
      <c r="U221" s="4"/>
      <c r="V221" s="4"/>
      <c r="W221" s="4"/>
      <c r="X221" s="4"/>
      <c r="Y221" s="4"/>
      <c r="Z221" s="4"/>
      <c r="AA221" s="4"/>
    </row>
    <row r="222" spans="1:27">
      <c r="A222" s="5"/>
      <c r="B222" s="5"/>
      <c r="C222" s="4"/>
      <c r="D222" s="5"/>
      <c r="E222" s="5"/>
      <c r="F222" s="5"/>
      <c r="G222" s="5"/>
      <c r="H222" s="5"/>
      <c r="I222" s="5"/>
      <c r="J222" s="5"/>
      <c r="K222" s="5"/>
      <c r="L222" s="5"/>
      <c r="M222" s="5"/>
      <c r="N222" s="5"/>
      <c r="O222" s="5"/>
      <c r="P222" s="4"/>
      <c r="Q222" s="4"/>
      <c r="R222" s="4"/>
      <c r="S222" s="4"/>
      <c r="T222" s="4"/>
      <c r="U222" s="4"/>
      <c r="V222" s="4"/>
      <c r="W222" s="4"/>
      <c r="X222" s="4"/>
      <c r="Y222" s="4"/>
      <c r="Z222" s="4"/>
      <c r="AA222" s="4"/>
    </row>
    <row r="223" spans="1:27">
      <c r="A223" s="5"/>
      <c r="B223" s="5"/>
      <c r="C223" s="4"/>
      <c r="D223" s="5"/>
      <c r="E223" s="5"/>
      <c r="F223" s="5"/>
      <c r="G223" s="5"/>
      <c r="H223" s="5"/>
      <c r="I223" s="5"/>
      <c r="J223" s="5"/>
      <c r="K223" s="5"/>
      <c r="L223" s="5"/>
      <c r="M223" s="5"/>
      <c r="N223" s="5"/>
      <c r="O223" s="5"/>
      <c r="P223" s="4"/>
      <c r="Q223" s="4"/>
      <c r="R223" s="4"/>
      <c r="S223" s="4"/>
      <c r="T223" s="4"/>
      <c r="U223" s="4"/>
      <c r="V223" s="4"/>
      <c r="W223" s="4"/>
      <c r="X223" s="4"/>
      <c r="Y223" s="4"/>
      <c r="Z223" s="4"/>
      <c r="AA223" s="4"/>
    </row>
    <row r="224" spans="1:27">
      <c r="A224" s="5"/>
      <c r="B224" s="5"/>
      <c r="C224" s="4"/>
      <c r="D224" s="5"/>
      <c r="E224" s="5"/>
      <c r="F224" s="5"/>
      <c r="G224" s="5"/>
      <c r="H224" s="5"/>
      <c r="I224" s="5"/>
      <c r="J224" s="5"/>
      <c r="K224" s="5"/>
      <c r="L224" s="5"/>
      <c r="M224" s="5"/>
      <c r="N224" s="5"/>
      <c r="O224" s="5"/>
      <c r="P224" s="4"/>
      <c r="Q224" s="4"/>
      <c r="R224" s="4"/>
      <c r="S224" s="4"/>
      <c r="T224" s="4"/>
      <c r="U224" s="4"/>
      <c r="V224" s="4"/>
      <c r="W224" s="4"/>
      <c r="X224" s="4"/>
      <c r="Y224" s="4"/>
      <c r="Z224" s="4"/>
      <c r="AA224" s="4"/>
    </row>
    <row r="225" spans="1:27">
      <c r="A225" s="5"/>
      <c r="B225" s="5"/>
      <c r="C225" s="4"/>
      <c r="D225" s="5"/>
      <c r="E225" s="5"/>
      <c r="F225" s="5"/>
      <c r="G225" s="5"/>
      <c r="H225" s="5"/>
      <c r="I225" s="5"/>
      <c r="J225" s="5"/>
      <c r="K225" s="5"/>
      <c r="L225" s="5"/>
      <c r="M225" s="5"/>
      <c r="N225" s="5"/>
      <c r="O225" s="5"/>
      <c r="P225" s="4"/>
      <c r="Q225" s="4"/>
      <c r="R225" s="4"/>
      <c r="S225" s="4"/>
      <c r="T225" s="4"/>
      <c r="U225" s="4"/>
      <c r="V225" s="4"/>
      <c r="W225" s="4"/>
      <c r="X225" s="4"/>
      <c r="Y225" s="4"/>
      <c r="Z225" s="4"/>
      <c r="AA225" s="4"/>
    </row>
    <row r="226" spans="1:27">
      <c r="A226" s="5"/>
      <c r="B226" s="5"/>
      <c r="C226" s="4"/>
      <c r="D226" s="5"/>
      <c r="E226" s="5"/>
      <c r="F226" s="5"/>
      <c r="G226" s="5"/>
      <c r="H226" s="5"/>
      <c r="I226" s="5"/>
      <c r="J226" s="5"/>
      <c r="K226" s="5"/>
      <c r="L226" s="5"/>
      <c r="M226" s="5"/>
      <c r="N226" s="5"/>
      <c r="O226" s="5"/>
      <c r="P226" s="4"/>
      <c r="Q226" s="4"/>
      <c r="R226" s="4"/>
      <c r="S226" s="4"/>
      <c r="T226" s="4"/>
      <c r="U226" s="4"/>
      <c r="V226" s="4"/>
      <c r="W226" s="4"/>
      <c r="X226" s="4"/>
      <c r="Y226" s="4"/>
      <c r="Z226" s="4"/>
      <c r="AA226" s="4"/>
    </row>
    <row r="227" spans="1:27">
      <c r="A227" s="5"/>
      <c r="B227" s="5"/>
      <c r="C227" s="4"/>
      <c r="D227" s="5"/>
      <c r="E227" s="5"/>
      <c r="F227" s="5"/>
      <c r="G227" s="5"/>
      <c r="H227" s="5"/>
      <c r="I227" s="5"/>
      <c r="J227" s="5"/>
      <c r="K227" s="5"/>
      <c r="L227" s="5"/>
      <c r="M227" s="5"/>
      <c r="N227" s="5"/>
      <c r="O227" s="5"/>
      <c r="P227" s="4"/>
      <c r="Q227" s="4"/>
      <c r="R227" s="4"/>
      <c r="S227" s="4"/>
      <c r="T227" s="4"/>
      <c r="U227" s="4"/>
      <c r="V227" s="4"/>
      <c r="W227" s="4"/>
      <c r="X227" s="4"/>
      <c r="Y227" s="4"/>
      <c r="Z227" s="4"/>
      <c r="AA227" s="4"/>
    </row>
    <row r="228" spans="1:27">
      <c r="A228" s="5"/>
      <c r="B228" s="5"/>
      <c r="C228" s="4"/>
      <c r="D228" s="5"/>
      <c r="E228" s="5"/>
      <c r="F228" s="5"/>
      <c r="G228" s="5"/>
      <c r="H228" s="5"/>
      <c r="I228" s="5"/>
      <c r="J228" s="5"/>
      <c r="K228" s="5"/>
      <c r="L228" s="5"/>
      <c r="M228" s="5"/>
      <c r="N228" s="5"/>
      <c r="O228" s="5"/>
      <c r="P228" s="4"/>
      <c r="Q228" s="4"/>
      <c r="R228" s="4"/>
      <c r="S228" s="4"/>
      <c r="T228" s="4"/>
      <c r="U228" s="4"/>
      <c r="V228" s="4"/>
      <c r="W228" s="4"/>
      <c r="X228" s="4"/>
      <c r="Y228" s="4"/>
      <c r="Z228" s="4"/>
      <c r="AA228" s="4"/>
    </row>
    <row r="229" spans="1:27">
      <c r="A229" s="5"/>
      <c r="B229" s="5"/>
      <c r="C229" s="4"/>
      <c r="D229" s="5"/>
      <c r="E229" s="5"/>
      <c r="F229" s="5"/>
      <c r="G229" s="5"/>
      <c r="H229" s="5"/>
      <c r="I229" s="5"/>
      <c r="J229" s="5"/>
      <c r="K229" s="5"/>
      <c r="L229" s="5"/>
      <c r="M229" s="5"/>
      <c r="N229" s="5"/>
      <c r="O229" s="5"/>
      <c r="P229" s="4"/>
      <c r="Q229" s="4"/>
      <c r="R229" s="4"/>
      <c r="S229" s="4"/>
      <c r="T229" s="4"/>
      <c r="U229" s="4"/>
      <c r="V229" s="4"/>
      <c r="W229" s="4"/>
      <c r="X229" s="4"/>
      <c r="Y229" s="4"/>
      <c r="Z229" s="4"/>
      <c r="AA229" s="4"/>
    </row>
    <row r="230" spans="1:27">
      <c r="A230" s="5"/>
      <c r="B230" s="5"/>
      <c r="C230" s="4"/>
      <c r="D230" s="5"/>
      <c r="E230" s="5"/>
      <c r="F230" s="5"/>
      <c r="G230" s="5"/>
      <c r="H230" s="5"/>
      <c r="I230" s="5"/>
      <c r="J230" s="5"/>
      <c r="K230" s="5"/>
      <c r="L230" s="5"/>
      <c r="M230" s="5"/>
      <c r="N230" s="5"/>
      <c r="O230" s="5"/>
      <c r="P230" s="4"/>
      <c r="Q230" s="4"/>
      <c r="R230" s="4"/>
      <c r="S230" s="4"/>
      <c r="T230" s="4"/>
      <c r="U230" s="4"/>
      <c r="V230" s="4"/>
      <c r="W230" s="4"/>
      <c r="X230" s="4"/>
      <c r="Y230" s="4"/>
      <c r="Z230" s="4"/>
      <c r="AA230" s="4"/>
    </row>
    <row r="231" spans="1:27">
      <c r="A231" s="5"/>
      <c r="B231" s="5"/>
      <c r="C231" s="4"/>
      <c r="D231" s="5"/>
      <c r="E231" s="5"/>
      <c r="F231" s="5"/>
      <c r="G231" s="5"/>
      <c r="H231" s="5"/>
      <c r="I231" s="5"/>
      <c r="J231" s="5"/>
      <c r="K231" s="5"/>
      <c r="L231" s="5"/>
      <c r="M231" s="5"/>
      <c r="N231" s="5"/>
      <c r="O231" s="5"/>
      <c r="P231" s="4"/>
      <c r="Q231" s="4"/>
      <c r="R231" s="4"/>
      <c r="S231" s="4"/>
      <c r="T231" s="4"/>
      <c r="U231" s="4"/>
      <c r="V231" s="4"/>
      <c r="W231" s="4"/>
      <c r="X231" s="4"/>
      <c r="Y231" s="4"/>
      <c r="Z231" s="4"/>
      <c r="AA231" s="4"/>
    </row>
    <row r="232" spans="1:27">
      <c r="A232" s="5"/>
      <c r="B232" s="5"/>
      <c r="C232" s="4"/>
      <c r="D232" s="5"/>
      <c r="E232" s="5"/>
      <c r="F232" s="5"/>
      <c r="G232" s="5"/>
      <c r="H232" s="5"/>
      <c r="I232" s="5"/>
      <c r="J232" s="5"/>
      <c r="K232" s="5"/>
      <c r="L232" s="5"/>
      <c r="M232" s="5"/>
      <c r="N232" s="5"/>
      <c r="O232" s="5"/>
      <c r="P232" s="4"/>
      <c r="Q232" s="4"/>
      <c r="R232" s="4"/>
      <c r="S232" s="4"/>
      <c r="T232" s="4"/>
      <c r="U232" s="4"/>
      <c r="V232" s="4"/>
      <c r="W232" s="4"/>
      <c r="X232" s="4"/>
      <c r="Y232" s="4"/>
      <c r="Z232" s="4"/>
      <c r="AA232" s="4"/>
    </row>
    <row r="233" spans="1:27">
      <c r="A233" s="5"/>
      <c r="B233" s="5"/>
      <c r="C233" s="4"/>
      <c r="D233" s="5"/>
      <c r="E233" s="5"/>
      <c r="F233" s="5"/>
      <c r="G233" s="5"/>
      <c r="H233" s="5"/>
      <c r="I233" s="5"/>
      <c r="J233" s="5"/>
      <c r="K233" s="5"/>
      <c r="L233" s="5"/>
      <c r="M233" s="5"/>
      <c r="N233" s="5"/>
      <c r="O233" s="5"/>
      <c r="P233" s="4"/>
      <c r="Q233" s="4"/>
      <c r="R233" s="4"/>
      <c r="S233" s="4"/>
      <c r="T233" s="4"/>
      <c r="U233" s="4"/>
      <c r="V233" s="4"/>
      <c r="W233" s="4"/>
      <c r="X233" s="4"/>
      <c r="Y233" s="4"/>
      <c r="Z233" s="4"/>
      <c r="AA233" s="4"/>
    </row>
    <row r="234" spans="1:27">
      <c r="A234" s="5"/>
      <c r="B234" s="5"/>
      <c r="C234" s="4"/>
      <c r="D234" s="5"/>
      <c r="E234" s="5"/>
      <c r="F234" s="5"/>
      <c r="G234" s="5"/>
      <c r="H234" s="5"/>
      <c r="I234" s="5"/>
      <c r="J234" s="5"/>
      <c r="K234" s="5"/>
      <c r="L234" s="5"/>
      <c r="M234" s="5"/>
      <c r="N234" s="5"/>
      <c r="O234" s="5"/>
      <c r="P234" s="4"/>
      <c r="Q234" s="4"/>
      <c r="R234" s="4"/>
      <c r="S234" s="4"/>
      <c r="T234" s="4"/>
      <c r="U234" s="4"/>
      <c r="V234" s="4"/>
      <c r="W234" s="4"/>
      <c r="X234" s="4"/>
      <c r="Y234" s="4"/>
      <c r="Z234" s="4"/>
      <c r="AA234" s="4"/>
    </row>
    <row r="235" spans="1:27">
      <c r="A235" s="5"/>
      <c r="B235" s="5"/>
      <c r="C235" s="4"/>
      <c r="D235" s="5"/>
      <c r="E235" s="5"/>
      <c r="F235" s="5"/>
      <c r="G235" s="5"/>
      <c r="H235" s="5"/>
      <c r="I235" s="5"/>
      <c r="J235" s="5"/>
      <c r="K235" s="5"/>
      <c r="L235" s="5"/>
      <c r="M235" s="5"/>
      <c r="N235" s="5"/>
      <c r="O235" s="5"/>
      <c r="P235" s="4"/>
      <c r="Q235" s="4"/>
      <c r="R235" s="4"/>
      <c r="S235" s="4"/>
      <c r="T235" s="4"/>
      <c r="U235" s="4"/>
      <c r="V235" s="4"/>
      <c r="W235" s="4"/>
      <c r="X235" s="4"/>
      <c r="Y235" s="4"/>
      <c r="Z235" s="4"/>
      <c r="AA235" s="4"/>
    </row>
    <row r="236" spans="1:27">
      <c r="A236" s="5"/>
      <c r="B236" s="5"/>
      <c r="C236" s="4"/>
      <c r="D236" s="5"/>
      <c r="E236" s="5"/>
      <c r="F236" s="5"/>
      <c r="G236" s="5"/>
      <c r="H236" s="5"/>
      <c r="I236" s="5"/>
      <c r="J236" s="5"/>
      <c r="K236" s="5"/>
      <c r="L236" s="5"/>
      <c r="M236" s="5"/>
      <c r="N236" s="5"/>
      <c r="O236" s="5"/>
      <c r="P236" s="4"/>
      <c r="Q236" s="4"/>
      <c r="R236" s="4"/>
      <c r="S236" s="4"/>
      <c r="T236" s="4"/>
      <c r="U236" s="4"/>
      <c r="V236" s="4"/>
      <c r="W236" s="4"/>
      <c r="X236" s="4"/>
      <c r="Y236" s="4"/>
      <c r="Z236" s="4"/>
      <c r="AA236" s="4"/>
    </row>
    <row r="237" spans="1:27">
      <c r="A237" s="5"/>
      <c r="B237" s="5"/>
      <c r="C237" s="4"/>
      <c r="D237" s="5"/>
      <c r="E237" s="5"/>
      <c r="F237" s="5"/>
      <c r="G237" s="5"/>
      <c r="H237" s="5"/>
      <c r="I237" s="5"/>
      <c r="J237" s="5"/>
      <c r="K237" s="5"/>
      <c r="L237" s="5"/>
      <c r="M237" s="5"/>
      <c r="N237" s="5"/>
      <c r="O237" s="5"/>
      <c r="P237" s="4"/>
      <c r="Q237" s="4"/>
      <c r="R237" s="4"/>
      <c r="S237" s="4"/>
      <c r="T237" s="4"/>
      <c r="U237" s="4"/>
      <c r="V237" s="4"/>
      <c r="W237" s="4"/>
      <c r="X237" s="4"/>
      <c r="Y237" s="4"/>
      <c r="Z237" s="4"/>
      <c r="AA237" s="4"/>
    </row>
    <row r="238" spans="1:27">
      <c r="A238" s="5"/>
      <c r="B238" s="5"/>
      <c r="C238" s="4"/>
      <c r="D238" s="5"/>
      <c r="E238" s="5"/>
      <c r="F238" s="5"/>
      <c r="G238" s="5"/>
      <c r="H238" s="5"/>
      <c r="I238" s="5"/>
      <c r="J238" s="5"/>
      <c r="K238" s="5"/>
      <c r="L238" s="5"/>
      <c r="M238" s="5"/>
      <c r="N238" s="5"/>
      <c r="O238" s="5"/>
      <c r="P238" s="4"/>
      <c r="Q238" s="4"/>
      <c r="R238" s="4"/>
      <c r="S238" s="4"/>
      <c r="T238" s="4"/>
      <c r="U238" s="4"/>
      <c r="V238" s="4"/>
      <c r="W238" s="4"/>
      <c r="X238" s="4"/>
      <c r="Y238" s="4"/>
      <c r="Z238" s="4"/>
      <c r="AA238" s="4"/>
    </row>
    <row r="239" spans="1:27">
      <c r="A239" s="5"/>
      <c r="B239" s="5"/>
      <c r="C239" s="4"/>
      <c r="D239" s="5"/>
      <c r="E239" s="5"/>
      <c r="F239" s="5"/>
      <c r="G239" s="5"/>
      <c r="H239" s="5"/>
      <c r="I239" s="5"/>
      <c r="J239" s="5"/>
      <c r="K239" s="5"/>
      <c r="L239" s="5"/>
      <c r="M239" s="5"/>
      <c r="N239" s="5"/>
      <c r="O239" s="5"/>
      <c r="P239" s="4"/>
      <c r="Q239" s="4"/>
      <c r="R239" s="4"/>
      <c r="S239" s="4"/>
      <c r="T239" s="4"/>
      <c r="U239" s="4"/>
      <c r="V239" s="4"/>
      <c r="W239" s="4"/>
      <c r="X239" s="4"/>
      <c r="Y239" s="4"/>
      <c r="Z239" s="4"/>
      <c r="AA239" s="4"/>
    </row>
    <row r="240" spans="1:27">
      <c r="A240" s="5"/>
      <c r="B240" s="5"/>
      <c r="C240" s="4"/>
      <c r="D240" s="5"/>
      <c r="E240" s="5"/>
      <c r="F240" s="5"/>
      <c r="G240" s="5"/>
      <c r="H240" s="5"/>
      <c r="I240" s="5"/>
      <c r="J240" s="5"/>
      <c r="K240" s="5"/>
      <c r="L240" s="5"/>
      <c r="M240" s="5"/>
      <c r="N240" s="5"/>
      <c r="O240" s="5"/>
      <c r="P240" s="4"/>
      <c r="Q240" s="4"/>
      <c r="R240" s="4"/>
      <c r="S240" s="4"/>
      <c r="T240" s="4"/>
      <c r="U240" s="4"/>
      <c r="V240" s="4"/>
      <c r="W240" s="4"/>
      <c r="X240" s="4"/>
      <c r="Y240" s="4"/>
      <c r="Z240" s="4"/>
      <c r="AA240" s="4"/>
    </row>
    <row r="241" spans="1:27">
      <c r="A241" s="5"/>
      <c r="B241" s="5"/>
      <c r="C241" s="4"/>
      <c r="D241" s="5"/>
      <c r="E241" s="5"/>
      <c r="F241" s="5"/>
      <c r="G241" s="5"/>
      <c r="H241" s="5"/>
      <c r="I241" s="5"/>
      <c r="J241" s="5"/>
      <c r="K241" s="5"/>
      <c r="L241" s="5"/>
      <c r="M241" s="5"/>
      <c r="N241" s="5"/>
      <c r="O241" s="5"/>
      <c r="P241" s="4"/>
      <c r="Q241" s="4"/>
      <c r="R241" s="4"/>
      <c r="S241" s="4"/>
      <c r="T241" s="4"/>
      <c r="U241" s="4"/>
      <c r="V241" s="4"/>
      <c r="W241" s="4"/>
      <c r="X241" s="4"/>
      <c r="Y241" s="4"/>
      <c r="Z241" s="4"/>
      <c r="AA241" s="4"/>
    </row>
    <row r="242" spans="1:27">
      <c r="A242" s="5"/>
      <c r="B242" s="5"/>
      <c r="C242" s="4"/>
      <c r="D242" s="5"/>
      <c r="E242" s="5"/>
      <c r="F242" s="5"/>
      <c r="G242" s="5"/>
      <c r="H242" s="5"/>
      <c r="I242" s="5"/>
      <c r="J242" s="5"/>
      <c r="K242" s="5"/>
      <c r="L242" s="5"/>
      <c r="M242" s="5"/>
      <c r="N242" s="5"/>
      <c r="O242" s="5"/>
      <c r="P242" s="4"/>
      <c r="Q242" s="4"/>
      <c r="R242" s="4"/>
      <c r="S242" s="4"/>
      <c r="T242" s="4"/>
      <c r="U242" s="4"/>
      <c r="V242" s="4"/>
      <c r="W242" s="4"/>
      <c r="X242" s="4"/>
      <c r="Y242" s="4"/>
      <c r="Z242" s="4"/>
      <c r="AA242" s="4"/>
    </row>
    <row r="243" spans="1:27">
      <c r="A243" s="5"/>
      <c r="B243" s="5"/>
      <c r="C243" s="4"/>
      <c r="D243" s="5"/>
      <c r="E243" s="5"/>
      <c r="F243" s="5"/>
      <c r="G243" s="5"/>
      <c r="H243" s="5"/>
      <c r="I243" s="5"/>
      <c r="J243" s="5"/>
      <c r="K243" s="5"/>
      <c r="L243" s="5"/>
      <c r="M243" s="5"/>
      <c r="N243" s="5"/>
      <c r="O243" s="5"/>
      <c r="P243" s="4"/>
      <c r="Q243" s="4"/>
      <c r="R243" s="4"/>
      <c r="S243" s="4"/>
      <c r="T243" s="4"/>
      <c r="U243" s="4"/>
      <c r="V243" s="4"/>
      <c r="W243" s="4"/>
      <c r="X243" s="4"/>
      <c r="Y243" s="4"/>
      <c r="Z243" s="4"/>
      <c r="AA243" s="4"/>
    </row>
    <row r="244" spans="1:27">
      <c r="A244" s="5"/>
      <c r="B244" s="5"/>
      <c r="C244" s="4"/>
      <c r="D244" s="5"/>
      <c r="E244" s="5"/>
      <c r="F244" s="5"/>
      <c r="G244" s="5"/>
      <c r="H244" s="5"/>
      <c r="I244" s="5"/>
      <c r="J244" s="5"/>
      <c r="K244" s="5"/>
      <c r="L244" s="5"/>
      <c r="M244" s="5"/>
      <c r="N244" s="5"/>
      <c r="O244" s="5"/>
      <c r="P244" s="4"/>
      <c r="Q244" s="4"/>
      <c r="R244" s="4"/>
      <c r="S244" s="4"/>
      <c r="T244" s="4"/>
      <c r="U244" s="4"/>
      <c r="V244" s="4"/>
      <c r="W244" s="4"/>
      <c r="X244" s="4"/>
      <c r="Y244" s="4"/>
      <c r="Z244" s="4"/>
      <c r="AA244" s="4"/>
    </row>
    <row r="245" spans="1:27">
      <c r="A245" s="5"/>
      <c r="B245" s="5"/>
      <c r="C245" s="4"/>
      <c r="D245" s="5"/>
      <c r="E245" s="5"/>
      <c r="F245" s="5"/>
      <c r="G245" s="5"/>
      <c r="H245" s="5"/>
      <c r="I245" s="5"/>
      <c r="J245" s="5"/>
      <c r="K245" s="5"/>
      <c r="L245" s="5"/>
      <c r="M245" s="5"/>
      <c r="N245" s="5"/>
      <c r="O245" s="5"/>
      <c r="P245" s="4"/>
      <c r="Q245" s="4"/>
      <c r="R245" s="4"/>
      <c r="S245" s="4"/>
      <c r="T245" s="4"/>
      <c r="U245" s="4"/>
      <c r="V245" s="4"/>
      <c r="W245" s="4"/>
      <c r="X245" s="4"/>
      <c r="Y245" s="4"/>
      <c r="Z245" s="4"/>
      <c r="AA245" s="4"/>
    </row>
    <row r="246" spans="1:27">
      <c r="A246" s="5"/>
      <c r="B246" s="5"/>
      <c r="C246" s="4"/>
      <c r="D246" s="5"/>
      <c r="E246" s="5"/>
      <c r="F246" s="5"/>
      <c r="G246" s="5"/>
      <c r="H246" s="5"/>
      <c r="I246" s="5"/>
      <c r="J246" s="5"/>
      <c r="K246" s="5"/>
      <c r="L246" s="5"/>
      <c r="M246" s="5"/>
      <c r="N246" s="5"/>
      <c r="O246" s="5"/>
      <c r="P246" s="4"/>
      <c r="Q246" s="4"/>
      <c r="R246" s="4"/>
      <c r="S246" s="4"/>
      <c r="T246" s="4"/>
      <c r="U246" s="4"/>
      <c r="V246" s="4"/>
      <c r="W246" s="4"/>
      <c r="X246" s="4"/>
      <c r="Y246" s="4"/>
      <c r="Z246" s="4"/>
      <c r="AA246" s="4"/>
    </row>
    <row r="247" spans="1:27">
      <c r="A247" s="5"/>
      <c r="B247" s="5"/>
      <c r="C247" s="4"/>
      <c r="D247" s="5"/>
      <c r="E247" s="5"/>
      <c r="F247" s="5"/>
      <c r="G247" s="5"/>
      <c r="H247" s="5"/>
      <c r="I247" s="5"/>
      <c r="J247" s="5"/>
      <c r="K247" s="5"/>
      <c r="L247" s="5"/>
      <c r="M247" s="5"/>
      <c r="N247" s="5"/>
      <c r="O247" s="5"/>
      <c r="P247" s="4"/>
      <c r="Q247" s="4"/>
      <c r="R247" s="4"/>
      <c r="S247" s="4"/>
      <c r="T247" s="4"/>
      <c r="U247" s="4"/>
      <c r="V247" s="4"/>
      <c r="W247" s="4"/>
      <c r="X247" s="4"/>
      <c r="Y247" s="4"/>
      <c r="Z247" s="4"/>
      <c r="AA247" s="4"/>
    </row>
    <row r="248" spans="1:27">
      <c r="A248" s="5"/>
      <c r="B248" s="5"/>
      <c r="C248" s="4"/>
      <c r="D248" s="5"/>
      <c r="E248" s="5"/>
      <c r="F248" s="5"/>
      <c r="G248" s="5"/>
      <c r="H248" s="5"/>
      <c r="I248" s="5"/>
      <c r="J248" s="5"/>
      <c r="K248" s="5"/>
      <c r="L248" s="5"/>
      <c r="M248" s="5"/>
      <c r="N248" s="5"/>
      <c r="O248" s="5"/>
      <c r="P248" s="4"/>
      <c r="Q248" s="4"/>
      <c r="R248" s="4"/>
      <c r="S248" s="4"/>
      <c r="T248" s="4"/>
      <c r="U248" s="4"/>
      <c r="V248" s="4"/>
      <c r="W248" s="4"/>
      <c r="X248" s="4"/>
      <c r="Y248" s="4"/>
      <c r="Z248" s="4"/>
      <c r="AA248" s="4"/>
    </row>
    <row r="249" spans="1:27">
      <c r="A249" s="5"/>
      <c r="B249" s="5"/>
      <c r="C249" s="4"/>
      <c r="D249" s="5"/>
      <c r="E249" s="5"/>
      <c r="F249" s="5"/>
      <c r="G249" s="5"/>
      <c r="H249" s="5"/>
      <c r="I249" s="5"/>
      <c r="J249" s="5"/>
      <c r="K249" s="5"/>
      <c r="L249" s="5"/>
      <c r="M249" s="5"/>
      <c r="N249" s="5"/>
      <c r="O249" s="5"/>
      <c r="P249" s="4"/>
      <c r="Q249" s="4"/>
      <c r="R249" s="4"/>
      <c r="S249" s="4"/>
      <c r="T249" s="4"/>
      <c r="U249" s="4"/>
      <c r="V249" s="4"/>
      <c r="W249" s="4"/>
      <c r="X249" s="4"/>
      <c r="Y249" s="4"/>
      <c r="Z249" s="4"/>
      <c r="AA249" s="4"/>
    </row>
    <row r="250" spans="1:27">
      <c r="A250" s="5"/>
      <c r="B250" s="5"/>
      <c r="C250" s="4"/>
      <c r="D250" s="5"/>
      <c r="E250" s="5"/>
      <c r="F250" s="5"/>
      <c r="G250" s="5"/>
      <c r="H250" s="5"/>
      <c r="I250" s="5"/>
      <c r="J250" s="5"/>
      <c r="K250" s="5"/>
      <c r="L250" s="5"/>
      <c r="M250" s="5"/>
      <c r="N250" s="5"/>
      <c r="O250" s="5"/>
      <c r="P250" s="4"/>
      <c r="Q250" s="4"/>
      <c r="R250" s="4"/>
      <c r="S250" s="4"/>
      <c r="T250" s="4"/>
      <c r="U250" s="4"/>
      <c r="V250" s="4"/>
      <c r="W250" s="4"/>
      <c r="X250" s="4"/>
      <c r="Y250" s="4"/>
      <c r="Z250" s="4"/>
      <c r="AA250" s="4"/>
    </row>
    <row r="251" spans="1:27">
      <c r="A251" s="5"/>
      <c r="B251" s="5"/>
      <c r="C251" s="4"/>
      <c r="D251" s="5"/>
      <c r="E251" s="5"/>
      <c r="F251" s="5"/>
      <c r="G251" s="5"/>
      <c r="H251" s="5"/>
      <c r="I251" s="5"/>
      <c r="J251" s="5"/>
      <c r="K251" s="5"/>
      <c r="L251" s="5"/>
      <c r="M251" s="5"/>
      <c r="N251" s="5"/>
      <c r="O251" s="5"/>
      <c r="P251" s="4"/>
      <c r="Q251" s="4"/>
      <c r="R251" s="4"/>
      <c r="S251" s="4"/>
      <c r="T251" s="4"/>
      <c r="U251" s="4"/>
      <c r="V251" s="4"/>
      <c r="W251" s="4"/>
      <c r="X251" s="4"/>
      <c r="Y251" s="4"/>
      <c r="Z251" s="4"/>
      <c r="AA251" s="4"/>
    </row>
    <row r="252" spans="1:27">
      <c r="A252" s="5"/>
      <c r="B252" s="5"/>
      <c r="C252" s="4"/>
      <c r="D252" s="5"/>
      <c r="E252" s="5"/>
      <c r="F252" s="5"/>
      <c r="G252" s="5"/>
      <c r="H252" s="5"/>
      <c r="I252" s="5"/>
      <c r="J252" s="5"/>
      <c r="K252" s="5"/>
      <c r="L252" s="5"/>
      <c r="M252" s="5"/>
      <c r="N252" s="5"/>
      <c r="O252" s="5"/>
      <c r="P252" s="4"/>
      <c r="Q252" s="4"/>
      <c r="R252" s="4"/>
      <c r="S252" s="4"/>
      <c r="T252" s="4"/>
      <c r="U252" s="4"/>
      <c r="V252" s="4"/>
      <c r="W252" s="4"/>
      <c r="X252" s="4"/>
      <c r="Y252" s="4"/>
      <c r="Z252" s="4"/>
      <c r="AA252" s="4"/>
    </row>
    <row r="253" spans="1:27">
      <c r="A253" s="5"/>
      <c r="B253" s="5"/>
      <c r="C253" s="4"/>
      <c r="D253" s="5"/>
      <c r="E253" s="5"/>
      <c r="F253" s="5"/>
      <c r="G253" s="5"/>
      <c r="H253" s="5"/>
      <c r="I253" s="5"/>
      <c r="J253" s="5"/>
      <c r="K253" s="5"/>
      <c r="L253" s="5"/>
      <c r="M253" s="5"/>
      <c r="N253" s="5"/>
      <c r="O253" s="5"/>
      <c r="P253" s="4"/>
      <c r="Q253" s="4"/>
      <c r="R253" s="4"/>
      <c r="S253" s="4"/>
      <c r="T253" s="4"/>
      <c r="U253" s="4"/>
      <c r="V253" s="4"/>
      <c r="W253" s="4"/>
      <c r="X253" s="4"/>
      <c r="Y253" s="4"/>
      <c r="Z253" s="4"/>
      <c r="AA253" s="4"/>
    </row>
    <row r="254" spans="1:27">
      <c r="A254" s="5"/>
      <c r="B254" s="5"/>
      <c r="C254" s="4"/>
      <c r="D254" s="5"/>
      <c r="E254" s="5"/>
      <c r="F254" s="5"/>
      <c r="G254" s="5"/>
      <c r="H254" s="5"/>
      <c r="I254" s="5"/>
      <c r="J254" s="5"/>
      <c r="K254" s="5"/>
      <c r="L254" s="5"/>
      <c r="M254" s="5"/>
      <c r="N254" s="5"/>
      <c r="O254" s="5"/>
      <c r="P254" s="4"/>
      <c r="Q254" s="4"/>
      <c r="R254" s="4"/>
      <c r="S254" s="4"/>
      <c r="T254" s="4"/>
      <c r="U254" s="4"/>
      <c r="V254" s="4"/>
      <c r="W254" s="4"/>
      <c r="X254" s="4"/>
      <c r="Y254" s="4"/>
      <c r="Z254" s="4"/>
      <c r="AA254" s="4"/>
    </row>
    <row r="255" spans="1:27">
      <c r="A255" s="5"/>
      <c r="B255" s="5"/>
      <c r="C255" s="4"/>
      <c r="D255" s="5"/>
      <c r="E255" s="5"/>
      <c r="F255" s="5"/>
      <c r="G255" s="5"/>
      <c r="H255" s="5"/>
      <c r="I255" s="5"/>
      <c r="J255" s="5"/>
      <c r="K255" s="5"/>
      <c r="L255" s="5"/>
      <c r="M255" s="5"/>
      <c r="N255" s="5"/>
      <c r="O255" s="5"/>
      <c r="P255" s="4"/>
      <c r="Q255" s="4"/>
      <c r="R255" s="4"/>
      <c r="S255" s="4"/>
      <c r="T255" s="4"/>
      <c r="U255" s="4"/>
      <c r="V255" s="4"/>
      <c r="W255" s="4"/>
      <c r="X255" s="4"/>
      <c r="Y255" s="4"/>
      <c r="Z255" s="4"/>
      <c r="AA255" s="4"/>
    </row>
    <row r="256" spans="1:27">
      <c r="A256" s="5"/>
      <c r="B256" s="5"/>
      <c r="C256" s="4"/>
      <c r="D256" s="5"/>
      <c r="E256" s="5"/>
      <c r="F256" s="5"/>
      <c r="G256" s="5"/>
      <c r="H256" s="5"/>
      <c r="I256" s="5"/>
      <c r="J256" s="5"/>
      <c r="K256" s="5"/>
      <c r="L256" s="5"/>
      <c r="M256" s="5"/>
      <c r="N256" s="5"/>
      <c r="O256" s="5"/>
      <c r="P256" s="4"/>
      <c r="Q256" s="4"/>
      <c r="R256" s="4"/>
      <c r="S256" s="4"/>
      <c r="T256" s="4"/>
      <c r="U256" s="4"/>
      <c r="V256" s="4"/>
      <c r="W256" s="4"/>
      <c r="X256" s="4"/>
      <c r="Y256" s="4"/>
      <c r="Z256" s="4"/>
      <c r="AA256" s="4"/>
    </row>
    <row r="257" spans="1:27">
      <c r="A257" s="5"/>
      <c r="B257" s="5"/>
      <c r="C257" s="4"/>
      <c r="D257" s="5"/>
      <c r="E257" s="5"/>
      <c r="F257" s="5"/>
      <c r="G257" s="5"/>
      <c r="H257" s="5"/>
      <c r="I257" s="5"/>
      <c r="J257" s="5"/>
      <c r="K257" s="5"/>
      <c r="L257" s="5"/>
      <c r="M257" s="5"/>
      <c r="N257" s="5"/>
      <c r="O257" s="5"/>
      <c r="P257" s="4"/>
      <c r="Q257" s="4"/>
      <c r="R257" s="4"/>
      <c r="S257" s="4"/>
      <c r="T257" s="4"/>
      <c r="U257" s="4"/>
      <c r="V257" s="4"/>
      <c r="W257" s="4"/>
      <c r="X257" s="4"/>
      <c r="Y257" s="4"/>
      <c r="Z257" s="4"/>
      <c r="AA257" s="4"/>
    </row>
    <row r="258" spans="1:27">
      <c r="A258" s="5"/>
      <c r="B258" s="5"/>
      <c r="C258" s="4"/>
      <c r="D258" s="5"/>
      <c r="E258" s="5"/>
      <c r="F258" s="5"/>
      <c r="G258" s="5"/>
      <c r="H258" s="5"/>
      <c r="I258" s="5"/>
      <c r="J258" s="5"/>
      <c r="K258" s="5"/>
      <c r="L258" s="5"/>
      <c r="M258" s="5"/>
      <c r="N258" s="5"/>
      <c r="O258" s="5"/>
      <c r="P258" s="4"/>
      <c r="Q258" s="4"/>
      <c r="R258" s="4"/>
      <c r="S258" s="4"/>
      <c r="T258" s="4"/>
      <c r="U258" s="4"/>
      <c r="V258" s="4"/>
      <c r="W258" s="4"/>
      <c r="X258" s="4"/>
      <c r="Y258" s="4"/>
      <c r="Z258" s="4"/>
      <c r="AA258" s="4"/>
    </row>
    <row r="259" spans="1:27">
      <c r="A259" s="5"/>
      <c r="B259" s="5"/>
      <c r="C259" s="4"/>
      <c r="D259" s="5"/>
      <c r="E259" s="5"/>
      <c r="F259" s="5"/>
      <c r="G259" s="5"/>
      <c r="H259" s="5"/>
      <c r="I259" s="5"/>
      <c r="J259" s="5"/>
      <c r="K259" s="5"/>
      <c r="L259" s="5"/>
      <c r="M259" s="5"/>
      <c r="N259" s="5"/>
      <c r="O259" s="5"/>
      <c r="P259" s="4"/>
      <c r="Q259" s="4"/>
      <c r="R259" s="4"/>
      <c r="S259" s="4"/>
      <c r="T259" s="4"/>
      <c r="U259" s="4"/>
      <c r="V259" s="4"/>
      <c r="W259" s="4"/>
      <c r="X259" s="4"/>
      <c r="Y259" s="4"/>
      <c r="Z259" s="4"/>
      <c r="AA259" s="4"/>
    </row>
    <row r="260" spans="1:27">
      <c r="A260" s="5"/>
      <c r="B260" s="5"/>
      <c r="C260" s="4"/>
      <c r="D260" s="5"/>
      <c r="E260" s="5"/>
      <c r="F260" s="5"/>
      <c r="G260" s="5"/>
      <c r="H260" s="5"/>
      <c r="I260" s="5"/>
      <c r="J260" s="5"/>
      <c r="K260" s="5"/>
      <c r="L260" s="5"/>
      <c r="M260" s="5"/>
      <c r="N260" s="5"/>
      <c r="O260" s="5"/>
      <c r="P260" s="4"/>
      <c r="Q260" s="4"/>
      <c r="R260" s="4"/>
      <c r="S260" s="4"/>
      <c r="T260" s="4"/>
      <c r="U260" s="4"/>
      <c r="V260" s="4"/>
      <c r="W260" s="4"/>
      <c r="X260" s="4"/>
      <c r="Y260" s="4"/>
      <c r="Z260" s="4"/>
      <c r="AA260" s="4"/>
    </row>
    <row r="261" spans="1:27">
      <c r="A261" s="5"/>
      <c r="B261" s="5"/>
      <c r="C261" s="4"/>
      <c r="D261" s="5"/>
      <c r="E261" s="5"/>
      <c r="F261" s="5"/>
      <c r="G261" s="5"/>
      <c r="H261" s="5"/>
      <c r="I261" s="5"/>
      <c r="J261" s="5"/>
      <c r="K261" s="5"/>
      <c r="L261" s="5"/>
      <c r="M261" s="5"/>
      <c r="N261" s="5"/>
      <c r="O261" s="5"/>
      <c r="P261" s="4"/>
      <c r="Q261" s="4"/>
      <c r="R261" s="4"/>
      <c r="S261" s="4"/>
      <c r="T261" s="4"/>
      <c r="U261" s="4"/>
      <c r="V261" s="4"/>
      <c r="W261" s="4"/>
      <c r="X261" s="4"/>
      <c r="Y261" s="4"/>
      <c r="Z261" s="4"/>
      <c r="AA261" s="4"/>
    </row>
    <row r="262" spans="1:27">
      <c r="A262" s="5"/>
      <c r="B262" s="5"/>
      <c r="C262" s="4"/>
      <c r="D262" s="5"/>
      <c r="E262" s="5"/>
      <c r="F262" s="5"/>
      <c r="G262" s="5"/>
      <c r="H262" s="5"/>
      <c r="I262" s="5"/>
      <c r="J262" s="5"/>
      <c r="K262" s="5"/>
      <c r="L262" s="5"/>
      <c r="M262" s="5"/>
      <c r="N262" s="5"/>
      <c r="O262" s="5"/>
      <c r="P262" s="4"/>
      <c r="Q262" s="4"/>
      <c r="R262" s="4"/>
      <c r="S262" s="4"/>
      <c r="T262" s="4"/>
      <c r="U262" s="4"/>
      <c r="V262" s="4"/>
      <c r="W262" s="4"/>
      <c r="X262" s="4"/>
      <c r="Y262" s="4"/>
      <c r="Z262" s="4"/>
      <c r="AA262" s="4"/>
    </row>
    <row r="263" spans="1:27">
      <c r="A263" s="5"/>
      <c r="B263" s="5"/>
      <c r="C263" s="4"/>
      <c r="D263" s="5"/>
      <c r="E263" s="5"/>
      <c r="F263" s="5"/>
      <c r="G263" s="5"/>
      <c r="H263" s="5"/>
      <c r="I263" s="5"/>
      <c r="J263" s="5"/>
      <c r="K263" s="5"/>
      <c r="L263" s="5"/>
      <c r="M263" s="5"/>
      <c r="N263" s="5"/>
      <c r="O263" s="5"/>
      <c r="P263" s="4"/>
      <c r="Q263" s="4"/>
      <c r="R263" s="4"/>
      <c r="S263" s="4"/>
      <c r="T263" s="4"/>
      <c r="U263" s="4"/>
      <c r="V263" s="4"/>
      <c r="W263" s="4"/>
      <c r="X263" s="4"/>
      <c r="Y263" s="4"/>
      <c r="Z263" s="4"/>
      <c r="AA263" s="4"/>
    </row>
    <row r="264" spans="1:27">
      <c r="A264" s="5"/>
      <c r="B264" s="5"/>
      <c r="C264" s="4"/>
      <c r="D264" s="5"/>
      <c r="E264" s="5"/>
      <c r="F264" s="5"/>
      <c r="G264" s="5"/>
      <c r="H264" s="5"/>
      <c r="I264" s="5"/>
      <c r="J264" s="5"/>
      <c r="K264" s="5"/>
      <c r="L264" s="5"/>
      <c r="M264" s="5"/>
      <c r="N264" s="5"/>
      <c r="O264" s="5"/>
      <c r="P264" s="4"/>
      <c r="Q264" s="4"/>
      <c r="R264" s="4"/>
      <c r="S264" s="4"/>
      <c r="T264" s="4"/>
      <c r="U264" s="4"/>
      <c r="V264" s="4"/>
      <c r="W264" s="4"/>
      <c r="X264" s="4"/>
      <c r="Y264" s="4"/>
      <c r="Z264" s="4"/>
      <c r="AA264" s="4"/>
    </row>
    <row r="265" spans="1:27">
      <c r="A265" s="5"/>
      <c r="B265" s="5"/>
      <c r="C265" s="4"/>
      <c r="D265" s="5"/>
      <c r="E265" s="5"/>
      <c r="F265" s="5"/>
      <c r="G265" s="5"/>
      <c r="H265" s="5"/>
      <c r="I265" s="5"/>
      <c r="J265" s="5"/>
      <c r="K265" s="5"/>
      <c r="L265" s="5"/>
      <c r="M265" s="5"/>
      <c r="N265" s="5"/>
      <c r="O265" s="5"/>
      <c r="P265" s="4"/>
      <c r="Q265" s="4"/>
      <c r="R265" s="4"/>
      <c r="S265" s="4"/>
      <c r="T265" s="4"/>
      <c r="U265" s="4"/>
      <c r="V265" s="4"/>
      <c r="W265" s="4"/>
      <c r="X265" s="4"/>
      <c r="Y265" s="4"/>
      <c r="Z265" s="4"/>
      <c r="AA265" s="4"/>
    </row>
    <row r="266" spans="1:27">
      <c r="A266" s="5"/>
      <c r="B266" s="5"/>
      <c r="C266" s="4"/>
      <c r="D266" s="5"/>
      <c r="E266" s="5"/>
      <c r="F266" s="5"/>
      <c r="G266" s="5"/>
      <c r="H266" s="5"/>
      <c r="I266" s="5"/>
      <c r="J266" s="5"/>
      <c r="K266" s="5"/>
      <c r="L266" s="5"/>
      <c r="M266" s="5"/>
      <c r="N266" s="5"/>
      <c r="O266" s="5"/>
      <c r="P266" s="4"/>
      <c r="Q266" s="4"/>
      <c r="R266" s="4"/>
      <c r="S266" s="4"/>
      <c r="T266" s="4"/>
      <c r="U266" s="4"/>
      <c r="V266" s="4"/>
      <c r="W266" s="4"/>
      <c r="X266" s="4"/>
      <c r="Y266" s="4"/>
      <c r="Z266" s="4"/>
      <c r="AA266" s="4"/>
    </row>
    <row r="267" spans="1:27">
      <c r="A267" s="5"/>
      <c r="B267" s="5"/>
      <c r="C267" s="4"/>
      <c r="D267" s="5"/>
      <c r="E267" s="5"/>
      <c r="F267" s="5"/>
      <c r="G267" s="5"/>
      <c r="H267" s="5"/>
      <c r="I267" s="5"/>
      <c r="J267" s="5"/>
      <c r="K267" s="5"/>
      <c r="L267" s="5"/>
      <c r="M267" s="5"/>
      <c r="N267" s="5"/>
      <c r="O267" s="5"/>
      <c r="P267" s="4"/>
      <c r="Q267" s="4"/>
      <c r="R267" s="4"/>
      <c r="S267" s="4"/>
      <c r="T267" s="4"/>
      <c r="U267" s="4"/>
      <c r="V267" s="4"/>
      <c r="W267" s="4"/>
      <c r="X267" s="4"/>
      <c r="Y267" s="4"/>
      <c r="Z267" s="4"/>
      <c r="AA267" s="4"/>
    </row>
    <row r="268" spans="1:27">
      <c r="A268" s="5"/>
      <c r="B268" s="5"/>
      <c r="C268" s="4"/>
      <c r="D268" s="5"/>
      <c r="E268" s="5"/>
      <c r="F268" s="5"/>
      <c r="G268" s="5"/>
      <c r="H268" s="5"/>
      <c r="I268" s="5"/>
      <c r="J268" s="5"/>
      <c r="K268" s="5"/>
      <c r="L268" s="5"/>
      <c r="M268" s="5"/>
      <c r="N268" s="5"/>
      <c r="O268" s="5"/>
      <c r="P268" s="4"/>
      <c r="Q268" s="4"/>
      <c r="R268" s="4"/>
      <c r="S268" s="4"/>
      <c r="T268" s="4"/>
      <c r="U268" s="4"/>
      <c r="V268" s="4"/>
      <c r="W268" s="4"/>
      <c r="X268" s="4"/>
      <c r="Y268" s="4"/>
      <c r="Z268" s="4"/>
      <c r="AA268" s="4"/>
    </row>
    <row r="269" spans="1:27">
      <c r="A269" s="5"/>
      <c r="B269" s="5"/>
      <c r="C269" s="4"/>
      <c r="D269" s="5"/>
      <c r="E269" s="5"/>
      <c r="F269" s="5"/>
      <c r="G269" s="5"/>
      <c r="H269" s="5"/>
      <c r="I269" s="5"/>
      <c r="J269" s="5"/>
      <c r="K269" s="5"/>
      <c r="L269" s="5"/>
      <c r="M269" s="5"/>
      <c r="N269" s="5"/>
      <c r="O269" s="5"/>
      <c r="P269" s="4"/>
      <c r="Q269" s="4"/>
      <c r="R269" s="4"/>
      <c r="S269" s="4"/>
      <c r="T269" s="4"/>
      <c r="U269" s="4"/>
      <c r="V269" s="4"/>
      <c r="W269" s="4"/>
      <c r="X269" s="4"/>
      <c r="Y269" s="4"/>
      <c r="Z269" s="4"/>
      <c r="AA269" s="4"/>
    </row>
    <row r="270" spans="1:27">
      <c r="A270" s="5"/>
      <c r="B270" s="5"/>
      <c r="C270" s="4"/>
      <c r="D270" s="5"/>
      <c r="E270" s="5"/>
      <c r="F270" s="5"/>
      <c r="G270" s="5"/>
      <c r="H270" s="5"/>
      <c r="I270" s="5"/>
      <c r="J270" s="5"/>
      <c r="K270" s="5"/>
      <c r="L270" s="5"/>
      <c r="M270" s="5"/>
      <c r="N270" s="5"/>
      <c r="O270" s="5"/>
      <c r="P270" s="4"/>
      <c r="Q270" s="4"/>
      <c r="R270" s="4"/>
      <c r="S270" s="4"/>
      <c r="T270" s="4"/>
      <c r="U270" s="4"/>
      <c r="V270" s="4"/>
      <c r="W270" s="4"/>
      <c r="X270" s="4"/>
      <c r="Y270" s="4"/>
      <c r="Z270" s="4"/>
      <c r="AA270" s="4"/>
    </row>
    <row r="271" spans="1:27">
      <c r="A271" s="5"/>
      <c r="B271" s="5"/>
      <c r="C271" s="4"/>
      <c r="D271" s="5"/>
      <c r="E271" s="5"/>
      <c r="F271" s="5"/>
      <c r="G271" s="5"/>
      <c r="H271" s="5"/>
      <c r="I271" s="5"/>
      <c r="J271" s="5"/>
      <c r="K271" s="5"/>
      <c r="L271" s="5"/>
      <c r="M271" s="5"/>
      <c r="N271" s="5"/>
      <c r="O271" s="5"/>
      <c r="P271" s="4"/>
      <c r="Q271" s="4"/>
      <c r="R271" s="4"/>
      <c r="S271" s="4"/>
      <c r="T271" s="4"/>
      <c r="U271" s="4"/>
      <c r="V271" s="4"/>
      <c r="W271" s="4"/>
      <c r="X271" s="4"/>
      <c r="Y271" s="4"/>
      <c r="Z271" s="4"/>
      <c r="AA271" s="4"/>
    </row>
    <row r="272" spans="1:27">
      <c r="A272" s="5"/>
      <c r="B272" s="5"/>
      <c r="C272" s="4"/>
      <c r="D272" s="5"/>
      <c r="E272" s="5"/>
      <c r="F272" s="5"/>
      <c r="G272" s="5"/>
      <c r="H272" s="5"/>
      <c r="I272" s="5"/>
      <c r="J272" s="5"/>
      <c r="K272" s="5"/>
      <c r="L272" s="5"/>
      <c r="M272" s="5"/>
      <c r="N272" s="5"/>
      <c r="O272" s="5"/>
      <c r="P272" s="4"/>
      <c r="Q272" s="4"/>
      <c r="R272" s="4"/>
      <c r="S272" s="4"/>
      <c r="T272" s="4"/>
      <c r="U272" s="4"/>
      <c r="V272" s="4"/>
      <c r="W272" s="4"/>
      <c r="X272" s="4"/>
      <c r="Y272" s="4"/>
      <c r="Z272" s="4"/>
      <c r="AA272" s="4"/>
    </row>
    <row r="273" spans="1:27">
      <c r="A273" s="5"/>
      <c r="B273" s="5"/>
      <c r="C273" s="4"/>
      <c r="D273" s="5"/>
      <c r="E273" s="5"/>
      <c r="F273" s="5"/>
      <c r="G273" s="5"/>
      <c r="H273" s="5"/>
      <c r="I273" s="5"/>
      <c r="J273" s="5"/>
      <c r="K273" s="5"/>
      <c r="L273" s="5"/>
      <c r="M273" s="5"/>
      <c r="N273" s="5"/>
      <c r="O273" s="5"/>
      <c r="P273" s="4"/>
      <c r="Q273" s="4"/>
      <c r="R273" s="4"/>
      <c r="S273" s="4"/>
      <c r="T273" s="4"/>
      <c r="U273" s="4"/>
      <c r="V273" s="4"/>
      <c r="W273" s="4"/>
      <c r="X273" s="4"/>
      <c r="Y273" s="4"/>
      <c r="Z273" s="4"/>
      <c r="AA273" s="4"/>
    </row>
    <row r="274" spans="1:27">
      <c r="A274" s="5"/>
      <c r="B274" s="5"/>
      <c r="C274" s="4"/>
      <c r="D274" s="5"/>
      <c r="E274" s="5"/>
      <c r="F274" s="5"/>
      <c r="G274" s="5"/>
      <c r="H274" s="5"/>
      <c r="I274" s="5"/>
      <c r="J274" s="5"/>
      <c r="K274" s="5"/>
      <c r="L274" s="5"/>
      <c r="M274" s="5"/>
      <c r="N274" s="5"/>
      <c r="O274" s="5"/>
      <c r="P274" s="4"/>
      <c r="Q274" s="4"/>
      <c r="R274" s="4"/>
      <c r="S274" s="4"/>
      <c r="T274" s="4"/>
      <c r="U274" s="4"/>
      <c r="V274" s="4"/>
      <c r="W274" s="4"/>
      <c r="X274" s="4"/>
      <c r="Y274" s="4"/>
      <c r="Z274" s="4"/>
      <c r="AA274" s="4"/>
    </row>
    <row r="275" spans="1:27">
      <c r="A275" s="5"/>
      <c r="B275" s="5"/>
      <c r="C275" s="4"/>
      <c r="D275" s="5"/>
      <c r="E275" s="5"/>
      <c r="F275" s="5"/>
      <c r="G275" s="5"/>
      <c r="H275" s="5"/>
      <c r="I275" s="5"/>
      <c r="J275" s="5"/>
      <c r="K275" s="5"/>
      <c r="L275" s="5"/>
      <c r="M275" s="5"/>
      <c r="N275" s="5"/>
      <c r="O275" s="5"/>
      <c r="P275" s="4"/>
      <c r="Q275" s="4"/>
      <c r="R275" s="4"/>
      <c r="S275" s="4"/>
      <c r="T275" s="4"/>
      <c r="U275" s="4"/>
      <c r="V275" s="4"/>
      <c r="W275" s="4"/>
      <c r="X275" s="4"/>
      <c r="Y275" s="4"/>
      <c r="Z275" s="4"/>
      <c r="AA275" s="4"/>
    </row>
    <row r="276" spans="1:27">
      <c r="A276" s="5"/>
      <c r="B276" s="5"/>
      <c r="C276" s="4"/>
      <c r="D276" s="5"/>
      <c r="E276" s="5"/>
      <c r="F276" s="5"/>
      <c r="G276" s="5"/>
      <c r="H276" s="5"/>
      <c r="I276" s="5"/>
      <c r="J276" s="5"/>
      <c r="K276" s="5"/>
      <c r="L276" s="5"/>
      <c r="M276" s="5"/>
      <c r="N276" s="5"/>
      <c r="O276" s="5"/>
      <c r="P276" s="4"/>
      <c r="Q276" s="4"/>
      <c r="R276" s="4"/>
      <c r="S276" s="4"/>
      <c r="T276" s="4"/>
      <c r="U276" s="4"/>
      <c r="V276" s="4"/>
      <c r="W276" s="4"/>
      <c r="X276" s="4"/>
      <c r="Y276" s="4"/>
      <c r="Z276" s="4"/>
      <c r="AA276" s="4"/>
    </row>
    <row r="277" spans="1:27">
      <c r="A277" s="5"/>
      <c r="B277" s="5"/>
      <c r="C277" s="4"/>
      <c r="D277" s="5"/>
      <c r="E277" s="5"/>
      <c r="F277" s="5"/>
      <c r="G277" s="5"/>
      <c r="H277" s="5"/>
      <c r="I277" s="5"/>
      <c r="J277" s="5"/>
      <c r="K277" s="5"/>
      <c r="L277" s="5"/>
      <c r="M277" s="5"/>
      <c r="N277" s="5"/>
      <c r="O277" s="5"/>
      <c r="P277" s="4"/>
      <c r="Q277" s="4"/>
      <c r="R277" s="4"/>
      <c r="S277" s="4"/>
      <c r="T277" s="4"/>
      <c r="U277" s="4"/>
      <c r="V277" s="4"/>
      <c r="W277" s="4"/>
      <c r="X277" s="4"/>
      <c r="Y277" s="4"/>
      <c r="Z277" s="4"/>
      <c r="AA277" s="4"/>
    </row>
    <row r="278" spans="1:27">
      <c r="A278" s="5"/>
      <c r="B278" s="5"/>
      <c r="C278" s="4"/>
      <c r="D278" s="5"/>
      <c r="E278" s="5"/>
      <c r="F278" s="5"/>
      <c r="G278" s="5"/>
      <c r="H278" s="5"/>
      <c r="I278" s="5"/>
      <c r="J278" s="5"/>
      <c r="K278" s="5"/>
      <c r="L278" s="5"/>
      <c r="M278" s="5"/>
      <c r="N278" s="5"/>
      <c r="O278" s="5"/>
      <c r="P278" s="4"/>
      <c r="Q278" s="4"/>
      <c r="R278" s="4"/>
      <c r="S278" s="4"/>
      <c r="T278" s="4"/>
      <c r="U278" s="4"/>
      <c r="V278" s="4"/>
      <c r="W278" s="4"/>
      <c r="X278" s="4"/>
      <c r="Y278" s="4"/>
      <c r="Z278" s="4"/>
      <c r="AA278" s="4"/>
    </row>
    <row r="279" spans="1:27">
      <c r="A279" s="5"/>
      <c r="B279" s="5"/>
      <c r="C279" s="4"/>
      <c r="D279" s="5"/>
      <c r="E279" s="5"/>
      <c r="F279" s="5"/>
      <c r="G279" s="5"/>
      <c r="H279" s="5"/>
      <c r="I279" s="5"/>
      <c r="J279" s="5"/>
      <c r="K279" s="5"/>
      <c r="L279" s="5"/>
      <c r="M279" s="5"/>
      <c r="N279" s="5"/>
      <c r="O279" s="5"/>
      <c r="P279" s="4"/>
      <c r="Q279" s="4"/>
      <c r="R279" s="4"/>
      <c r="S279" s="4"/>
      <c r="T279" s="4"/>
      <c r="U279" s="4"/>
      <c r="V279" s="4"/>
      <c r="W279" s="4"/>
      <c r="X279" s="4"/>
      <c r="Y279" s="4"/>
      <c r="Z279" s="4"/>
      <c r="AA279" s="4"/>
    </row>
    <row r="280" spans="1:27">
      <c r="A280" s="5"/>
      <c r="B280" s="5"/>
      <c r="C280" s="4"/>
      <c r="D280" s="5"/>
      <c r="E280" s="5"/>
      <c r="F280" s="5"/>
      <c r="G280" s="5"/>
      <c r="H280" s="5"/>
      <c r="I280" s="5"/>
      <c r="J280" s="5"/>
      <c r="K280" s="5"/>
      <c r="L280" s="5"/>
      <c r="M280" s="5"/>
      <c r="N280" s="5"/>
      <c r="O280" s="5"/>
      <c r="P280" s="4"/>
      <c r="Q280" s="4"/>
      <c r="R280" s="4"/>
      <c r="S280" s="4"/>
      <c r="T280" s="4"/>
      <c r="U280" s="4"/>
      <c r="V280" s="4"/>
      <c r="W280" s="4"/>
      <c r="X280" s="4"/>
      <c r="Y280" s="4"/>
      <c r="Z280" s="4"/>
      <c r="AA280" s="4"/>
    </row>
    <row r="281" spans="1:27">
      <c r="A281" s="5"/>
      <c r="B281" s="5"/>
      <c r="C281" s="4"/>
      <c r="D281" s="5"/>
      <c r="E281" s="5"/>
      <c r="F281" s="5"/>
      <c r="G281" s="5"/>
      <c r="H281" s="5"/>
      <c r="I281" s="5"/>
      <c r="J281" s="5"/>
      <c r="K281" s="5"/>
      <c r="L281" s="5"/>
      <c r="M281" s="5"/>
      <c r="N281" s="5"/>
      <c r="O281" s="5"/>
      <c r="P281" s="4"/>
      <c r="Q281" s="4"/>
      <c r="R281" s="4"/>
      <c r="S281" s="4"/>
      <c r="T281" s="4"/>
      <c r="U281" s="4"/>
      <c r="V281" s="4"/>
      <c r="W281" s="4"/>
      <c r="X281" s="4"/>
      <c r="Y281" s="4"/>
      <c r="Z281" s="4"/>
      <c r="AA281" s="4"/>
    </row>
    <row r="282" spans="1:27">
      <c r="A282" s="5"/>
      <c r="B282" s="5"/>
      <c r="C282" s="4"/>
      <c r="D282" s="5"/>
      <c r="E282" s="5"/>
      <c r="F282" s="5"/>
      <c r="G282" s="5"/>
      <c r="H282" s="5"/>
      <c r="I282" s="5"/>
      <c r="J282" s="5"/>
      <c r="K282" s="5"/>
      <c r="L282" s="5"/>
      <c r="M282" s="5"/>
      <c r="N282" s="5"/>
      <c r="O282" s="5"/>
      <c r="P282" s="4"/>
      <c r="Q282" s="4"/>
      <c r="R282" s="4"/>
      <c r="S282" s="4"/>
      <c r="T282" s="4"/>
      <c r="U282" s="4"/>
      <c r="V282" s="4"/>
      <c r="W282" s="4"/>
      <c r="X282" s="4"/>
      <c r="Y282" s="4"/>
      <c r="Z282" s="4"/>
      <c r="AA282" s="4"/>
    </row>
    <row r="283" spans="1:27">
      <c r="A283" s="5"/>
      <c r="B283" s="5"/>
      <c r="C283" s="4"/>
      <c r="D283" s="5"/>
      <c r="E283" s="5"/>
      <c r="F283" s="5"/>
      <c r="G283" s="5"/>
      <c r="H283" s="5"/>
      <c r="I283" s="5"/>
      <c r="J283" s="5"/>
      <c r="K283" s="5"/>
      <c r="L283" s="5"/>
      <c r="M283" s="5"/>
      <c r="N283" s="5"/>
      <c r="O283" s="5"/>
      <c r="P283" s="4"/>
      <c r="Q283" s="4"/>
      <c r="R283" s="4"/>
      <c r="S283" s="4"/>
      <c r="T283" s="4"/>
      <c r="U283" s="4"/>
      <c r="V283" s="4"/>
      <c r="W283" s="4"/>
      <c r="X283" s="4"/>
      <c r="Y283" s="4"/>
      <c r="Z283" s="4"/>
      <c r="AA283" s="4"/>
    </row>
    <row r="284" spans="1:27">
      <c r="A284" s="5"/>
      <c r="B284" s="5"/>
      <c r="C284" s="4"/>
      <c r="D284" s="5"/>
      <c r="E284" s="5"/>
      <c r="F284" s="5"/>
      <c r="G284" s="5"/>
      <c r="H284" s="5"/>
      <c r="I284" s="5"/>
      <c r="J284" s="5"/>
      <c r="K284" s="5"/>
      <c r="L284" s="5"/>
      <c r="M284" s="5"/>
      <c r="N284" s="5"/>
      <c r="O284" s="5"/>
      <c r="P284" s="4"/>
      <c r="Q284" s="4"/>
      <c r="R284" s="4"/>
      <c r="S284" s="4"/>
      <c r="T284" s="4"/>
      <c r="U284" s="4"/>
      <c r="V284" s="4"/>
      <c r="W284" s="4"/>
      <c r="X284" s="4"/>
      <c r="Y284" s="4"/>
      <c r="Z284" s="4"/>
      <c r="AA284" s="4"/>
    </row>
    <row r="285" spans="1:27">
      <c r="A285" s="5"/>
      <c r="B285" s="5"/>
      <c r="C285" s="4"/>
      <c r="D285" s="5"/>
      <c r="E285" s="5"/>
      <c r="F285" s="5"/>
      <c r="G285" s="5"/>
      <c r="H285" s="5"/>
      <c r="I285" s="5"/>
      <c r="J285" s="5"/>
      <c r="K285" s="5"/>
      <c r="L285" s="5"/>
      <c r="M285" s="5"/>
      <c r="N285" s="5"/>
      <c r="O285" s="5"/>
      <c r="P285" s="4"/>
      <c r="Q285" s="4"/>
      <c r="R285" s="4"/>
      <c r="S285" s="4"/>
      <c r="T285" s="4"/>
      <c r="U285" s="4"/>
      <c r="V285" s="4"/>
      <c r="W285" s="4"/>
      <c r="X285" s="4"/>
      <c r="Y285" s="4"/>
      <c r="Z285" s="4"/>
      <c r="AA285" s="4"/>
    </row>
    <row r="286" spans="1:27">
      <c r="A286" s="5"/>
      <c r="B286" s="5"/>
      <c r="C286" s="4"/>
      <c r="D286" s="5"/>
      <c r="E286" s="5"/>
      <c r="F286" s="5"/>
      <c r="G286" s="5"/>
      <c r="H286" s="5"/>
      <c r="I286" s="5"/>
      <c r="J286" s="5"/>
      <c r="K286" s="5"/>
      <c r="L286" s="5"/>
      <c r="M286" s="5"/>
      <c r="N286" s="5"/>
      <c r="O286" s="5"/>
      <c r="P286" s="4"/>
      <c r="Q286" s="4"/>
      <c r="R286" s="4"/>
      <c r="S286" s="4"/>
      <c r="T286" s="4"/>
      <c r="U286" s="4"/>
      <c r="V286" s="4"/>
      <c r="W286" s="4"/>
      <c r="X286" s="4"/>
      <c r="Y286" s="4"/>
      <c r="Z286" s="4"/>
      <c r="AA286" s="4"/>
    </row>
    <row r="287" spans="1:27">
      <c r="A287" s="5"/>
      <c r="B287" s="5"/>
      <c r="C287" s="4"/>
      <c r="D287" s="5"/>
      <c r="E287" s="5"/>
      <c r="F287" s="5"/>
      <c r="G287" s="5"/>
      <c r="H287" s="5"/>
      <c r="I287" s="5"/>
      <c r="J287" s="5"/>
      <c r="K287" s="5"/>
      <c r="L287" s="5"/>
      <c r="M287" s="5"/>
      <c r="N287" s="5"/>
      <c r="O287" s="5"/>
      <c r="P287" s="4"/>
      <c r="Q287" s="4"/>
      <c r="R287" s="4"/>
      <c r="S287" s="4"/>
      <c r="T287" s="4"/>
      <c r="U287" s="4"/>
      <c r="V287" s="4"/>
      <c r="W287" s="4"/>
      <c r="X287" s="4"/>
      <c r="Y287" s="4"/>
      <c r="Z287" s="4"/>
      <c r="AA287" s="4"/>
    </row>
    <row r="288" spans="1:27">
      <c r="A288" s="5"/>
      <c r="B288" s="5"/>
      <c r="C288" s="4"/>
      <c r="D288" s="5"/>
      <c r="E288" s="5"/>
      <c r="F288" s="5"/>
      <c r="G288" s="5"/>
      <c r="H288" s="5"/>
      <c r="I288" s="5"/>
      <c r="J288" s="5"/>
      <c r="K288" s="5"/>
      <c r="L288" s="5"/>
      <c r="M288" s="5"/>
      <c r="N288" s="5"/>
      <c r="O288" s="5"/>
      <c r="P288" s="4"/>
      <c r="Q288" s="4"/>
      <c r="R288" s="4"/>
      <c r="S288" s="4"/>
      <c r="T288" s="4"/>
      <c r="U288" s="4"/>
      <c r="V288" s="4"/>
      <c r="W288" s="4"/>
      <c r="X288" s="4"/>
      <c r="Y288" s="4"/>
      <c r="Z288" s="4"/>
      <c r="AA288" s="4"/>
    </row>
    <row r="289" spans="1:27">
      <c r="A289" s="5"/>
      <c r="B289" s="5"/>
      <c r="C289" s="4"/>
      <c r="D289" s="5"/>
      <c r="E289" s="5"/>
      <c r="F289" s="5"/>
      <c r="G289" s="5"/>
      <c r="H289" s="5"/>
      <c r="I289" s="5"/>
      <c r="J289" s="5"/>
      <c r="K289" s="5"/>
      <c r="L289" s="5"/>
      <c r="M289" s="5"/>
      <c r="N289" s="5"/>
      <c r="O289" s="5"/>
      <c r="P289" s="4"/>
      <c r="Q289" s="4"/>
      <c r="R289" s="4"/>
      <c r="S289" s="4"/>
      <c r="T289" s="4"/>
      <c r="U289" s="4"/>
      <c r="V289" s="4"/>
      <c r="W289" s="4"/>
      <c r="X289" s="4"/>
      <c r="Y289" s="4"/>
      <c r="Z289" s="4"/>
      <c r="AA289" s="4"/>
    </row>
    <row r="290" spans="1:27">
      <c r="A290" s="5"/>
      <c r="B290" s="5"/>
      <c r="C290" s="4"/>
      <c r="D290" s="5"/>
      <c r="E290" s="5"/>
      <c r="F290" s="5"/>
      <c r="G290" s="5"/>
      <c r="H290" s="5"/>
      <c r="I290" s="5"/>
      <c r="J290" s="5"/>
      <c r="K290" s="5"/>
      <c r="L290" s="5"/>
      <c r="M290" s="5"/>
      <c r="N290" s="5"/>
      <c r="O290" s="5"/>
      <c r="P290" s="4"/>
      <c r="Q290" s="4"/>
      <c r="R290" s="4"/>
      <c r="S290" s="4"/>
      <c r="T290" s="4"/>
      <c r="U290" s="4"/>
      <c r="V290" s="4"/>
      <c r="W290" s="4"/>
      <c r="X290" s="4"/>
      <c r="Y290" s="4"/>
      <c r="Z290" s="4"/>
      <c r="AA290" s="4"/>
    </row>
    <row r="291" spans="1:27">
      <c r="A291" s="5"/>
      <c r="B291" s="5"/>
      <c r="C291" s="4"/>
      <c r="D291" s="5"/>
      <c r="E291" s="5"/>
      <c r="F291" s="5"/>
      <c r="G291" s="5"/>
      <c r="H291" s="5"/>
      <c r="I291" s="5"/>
      <c r="J291" s="5"/>
      <c r="K291" s="5"/>
      <c r="L291" s="5"/>
      <c r="M291" s="5"/>
      <c r="N291" s="5"/>
      <c r="O291" s="5"/>
      <c r="P291" s="4"/>
      <c r="Q291" s="4"/>
      <c r="R291" s="4"/>
      <c r="S291" s="4"/>
      <c r="T291" s="4"/>
      <c r="U291" s="4"/>
      <c r="V291" s="4"/>
      <c r="W291" s="4"/>
      <c r="X291" s="4"/>
      <c r="Y291" s="4"/>
      <c r="Z291" s="4"/>
      <c r="AA291" s="4"/>
    </row>
    <row r="292" spans="1:27">
      <c r="A292" s="5"/>
      <c r="B292" s="5"/>
      <c r="C292" s="4"/>
      <c r="D292" s="5"/>
      <c r="E292" s="5"/>
      <c r="F292" s="5"/>
      <c r="G292" s="5"/>
      <c r="H292" s="5"/>
      <c r="I292" s="5"/>
      <c r="J292" s="5"/>
      <c r="K292" s="5"/>
      <c r="L292" s="5"/>
      <c r="M292" s="5"/>
      <c r="N292" s="5"/>
      <c r="O292" s="5"/>
      <c r="P292" s="4"/>
      <c r="Q292" s="4"/>
      <c r="R292" s="4"/>
      <c r="S292" s="4"/>
      <c r="T292" s="4"/>
      <c r="U292" s="4"/>
      <c r="V292" s="4"/>
      <c r="W292" s="4"/>
      <c r="X292" s="4"/>
      <c r="Y292" s="4"/>
      <c r="Z292" s="4"/>
      <c r="AA292" s="4"/>
    </row>
    <row r="293" spans="1:27">
      <c r="A293" s="5"/>
      <c r="B293" s="5"/>
      <c r="C293" s="4"/>
      <c r="D293" s="5"/>
      <c r="E293" s="5"/>
      <c r="F293" s="5"/>
      <c r="G293" s="5"/>
      <c r="H293" s="5"/>
      <c r="I293" s="5"/>
      <c r="J293" s="5"/>
      <c r="K293" s="5"/>
      <c r="L293" s="5"/>
      <c r="M293" s="5"/>
      <c r="N293" s="5"/>
      <c r="O293" s="5"/>
      <c r="P293" s="4"/>
      <c r="Q293" s="4"/>
      <c r="R293" s="4"/>
      <c r="S293" s="4"/>
      <c r="T293" s="4"/>
      <c r="U293" s="4"/>
      <c r="V293" s="4"/>
      <c r="W293" s="4"/>
      <c r="X293" s="4"/>
      <c r="Y293" s="4"/>
      <c r="Z293" s="4"/>
      <c r="AA293" s="4"/>
    </row>
    <row r="294" spans="1:27">
      <c r="A294" s="5"/>
      <c r="B294" s="5"/>
      <c r="C294" s="4"/>
      <c r="D294" s="5"/>
      <c r="E294" s="5"/>
      <c r="F294" s="5"/>
      <c r="G294" s="5"/>
      <c r="H294" s="5"/>
      <c r="I294" s="5"/>
      <c r="J294" s="5"/>
      <c r="K294" s="5"/>
      <c r="L294" s="5"/>
      <c r="M294" s="5"/>
      <c r="N294" s="5"/>
      <c r="O294" s="5"/>
      <c r="P294" s="4"/>
      <c r="Q294" s="4"/>
      <c r="R294" s="4"/>
      <c r="S294" s="4"/>
      <c r="T294" s="4"/>
      <c r="U294" s="4"/>
      <c r="V294" s="4"/>
      <c r="W294" s="4"/>
      <c r="X294" s="4"/>
      <c r="Y294" s="4"/>
      <c r="Z294" s="4"/>
      <c r="AA294" s="4"/>
    </row>
    <row r="295" spans="1:27">
      <c r="A295" s="5"/>
      <c r="B295" s="5"/>
      <c r="C295" s="4"/>
      <c r="D295" s="5"/>
      <c r="E295" s="5"/>
      <c r="F295" s="5"/>
      <c r="G295" s="5"/>
      <c r="H295" s="5"/>
      <c r="I295" s="5"/>
      <c r="J295" s="5"/>
      <c r="K295" s="5"/>
      <c r="L295" s="5"/>
      <c r="M295" s="5"/>
      <c r="N295" s="5"/>
      <c r="O295" s="5"/>
      <c r="P295" s="4"/>
      <c r="Q295" s="4"/>
      <c r="R295" s="4"/>
      <c r="S295" s="4"/>
      <c r="T295" s="4"/>
      <c r="U295" s="4"/>
      <c r="V295" s="4"/>
      <c r="W295" s="4"/>
      <c r="X295" s="4"/>
      <c r="Y295" s="4"/>
      <c r="Z295" s="4"/>
      <c r="AA295" s="4"/>
    </row>
    <row r="296" spans="1:27">
      <c r="A296" s="5"/>
      <c r="B296" s="5"/>
      <c r="C296" s="4"/>
      <c r="D296" s="5"/>
      <c r="E296" s="5"/>
      <c r="F296" s="5"/>
      <c r="G296" s="5"/>
      <c r="H296" s="5"/>
      <c r="I296" s="5"/>
      <c r="J296" s="5"/>
      <c r="K296" s="5"/>
      <c r="L296" s="5"/>
      <c r="M296" s="5"/>
      <c r="N296" s="5"/>
      <c r="O296" s="5"/>
      <c r="P296" s="4"/>
      <c r="Q296" s="4"/>
      <c r="R296" s="4"/>
      <c r="S296" s="4"/>
      <c r="T296" s="4"/>
      <c r="U296" s="4"/>
      <c r="V296" s="4"/>
      <c r="W296" s="4"/>
      <c r="X296" s="4"/>
      <c r="Y296" s="4"/>
      <c r="Z296" s="4"/>
      <c r="AA296" s="4"/>
    </row>
    <row r="297" spans="1:27">
      <c r="A297" s="5"/>
      <c r="B297" s="5"/>
      <c r="C297" s="4"/>
      <c r="D297" s="5"/>
      <c r="E297" s="5"/>
      <c r="F297" s="5"/>
      <c r="G297" s="5"/>
      <c r="H297" s="5"/>
      <c r="I297" s="5"/>
      <c r="J297" s="5"/>
      <c r="K297" s="5"/>
      <c r="L297" s="5"/>
      <c r="M297" s="5"/>
      <c r="N297" s="5"/>
      <c r="O297" s="5"/>
      <c r="P297" s="4"/>
      <c r="Q297" s="4"/>
      <c r="R297" s="4"/>
      <c r="S297" s="4"/>
      <c r="T297" s="4"/>
      <c r="U297" s="4"/>
      <c r="V297" s="4"/>
      <c r="W297" s="4"/>
      <c r="X297" s="4"/>
      <c r="Y297" s="4"/>
      <c r="Z297" s="4"/>
      <c r="AA297" s="4"/>
    </row>
    <row r="298" spans="1:27">
      <c r="A298" s="5"/>
      <c r="B298" s="5"/>
      <c r="C298" s="4"/>
      <c r="D298" s="5"/>
      <c r="E298" s="5"/>
      <c r="F298" s="5"/>
      <c r="G298" s="5"/>
      <c r="H298" s="5"/>
      <c r="I298" s="5"/>
      <c r="J298" s="5"/>
      <c r="K298" s="5"/>
      <c r="L298" s="5"/>
      <c r="M298" s="5"/>
      <c r="N298" s="5"/>
      <c r="O298" s="5"/>
      <c r="P298" s="4"/>
      <c r="Q298" s="4"/>
      <c r="R298" s="4"/>
      <c r="S298" s="4"/>
      <c r="T298" s="4"/>
      <c r="U298" s="4"/>
      <c r="V298" s="4"/>
      <c r="W298" s="4"/>
      <c r="X298" s="4"/>
      <c r="Y298" s="4"/>
      <c r="Z298" s="4"/>
      <c r="AA298" s="4"/>
    </row>
    <row r="299" spans="1:27">
      <c r="A299" s="5"/>
      <c r="B299" s="5"/>
      <c r="C299" s="4"/>
      <c r="D299" s="5"/>
      <c r="E299" s="5"/>
      <c r="F299" s="5"/>
      <c r="G299" s="5"/>
      <c r="H299" s="5"/>
      <c r="I299" s="5"/>
      <c r="J299" s="5"/>
      <c r="K299" s="5"/>
      <c r="L299" s="5"/>
      <c r="M299" s="5"/>
      <c r="N299" s="5"/>
      <c r="O299" s="5"/>
      <c r="P299" s="4"/>
      <c r="Q299" s="4"/>
      <c r="R299" s="4"/>
      <c r="S299" s="4"/>
      <c r="T299" s="4"/>
      <c r="U299" s="4"/>
      <c r="V299" s="4"/>
      <c r="W299" s="4"/>
      <c r="X299" s="4"/>
      <c r="Y299" s="4"/>
      <c r="Z299" s="4"/>
      <c r="AA299" s="4"/>
    </row>
    <row r="300" spans="1:27">
      <c r="A300" s="5"/>
      <c r="B300" s="5"/>
      <c r="C300" s="4"/>
      <c r="D300" s="5"/>
      <c r="E300" s="5"/>
      <c r="F300" s="5"/>
      <c r="G300" s="5"/>
      <c r="H300" s="5"/>
      <c r="I300" s="5"/>
      <c r="J300" s="5"/>
      <c r="K300" s="5"/>
      <c r="L300" s="5"/>
      <c r="M300" s="5"/>
      <c r="N300" s="5"/>
      <c r="O300" s="5"/>
      <c r="P300" s="4"/>
      <c r="Q300" s="4"/>
      <c r="R300" s="4"/>
      <c r="S300" s="4"/>
      <c r="T300" s="4"/>
      <c r="U300" s="4"/>
      <c r="V300" s="4"/>
      <c r="W300" s="4"/>
      <c r="X300" s="4"/>
      <c r="Y300" s="4"/>
      <c r="Z300" s="4"/>
      <c r="AA300" s="4"/>
    </row>
    <row r="301" spans="1:27">
      <c r="A301" s="5"/>
      <c r="B301" s="5"/>
      <c r="C301" s="4"/>
      <c r="D301" s="5"/>
      <c r="E301" s="5"/>
      <c r="F301" s="5"/>
      <c r="G301" s="5"/>
      <c r="H301" s="5"/>
      <c r="I301" s="5"/>
      <c r="J301" s="5"/>
      <c r="K301" s="5"/>
      <c r="L301" s="5"/>
      <c r="M301" s="5"/>
      <c r="N301" s="5"/>
      <c r="O301" s="5"/>
      <c r="P301" s="4"/>
      <c r="Q301" s="4"/>
      <c r="R301" s="4"/>
      <c r="S301" s="4"/>
      <c r="T301" s="4"/>
      <c r="U301" s="4"/>
      <c r="V301" s="4"/>
      <c r="W301" s="4"/>
      <c r="X301" s="4"/>
      <c r="Y301" s="4"/>
      <c r="Z301" s="4"/>
      <c r="AA301" s="4"/>
    </row>
    <row r="302" spans="1:27">
      <c r="A302" s="5"/>
      <c r="B302" s="5"/>
      <c r="C302" s="4"/>
      <c r="D302" s="5"/>
      <c r="E302" s="5"/>
      <c r="F302" s="5"/>
      <c r="G302" s="5"/>
      <c r="H302" s="5"/>
      <c r="I302" s="5"/>
      <c r="J302" s="5"/>
      <c r="K302" s="5"/>
      <c r="L302" s="5"/>
      <c r="M302" s="5"/>
      <c r="N302" s="5"/>
      <c r="O302" s="5"/>
      <c r="P302" s="4"/>
      <c r="Q302" s="4"/>
      <c r="R302" s="4"/>
      <c r="S302" s="4"/>
      <c r="T302" s="4"/>
      <c r="U302" s="4"/>
      <c r="V302" s="4"/>
      <c r="W302" s="4"/>
      <c r="X302" s="4"/>
      <c r="Y302" s="4"/>
      <c r="Z302" s="4"/>
      <c r="AA302" s="4"/>
    </row>
    <row r="303" spans="1:27">
      <c r="A303" s="5"/>
      <c r="B303" s="5"/>
      <c r="C303" s="4"/>
      <c r="D303" s="5"/>
      <c r="E303" s="5"/>
      <c r="F303" s="5"/>
      <c r="G303" s="5"/>
      <c r="H303" s="5"/>
      <c r="I303" s="5"/>
      <c r="J303" s="5"/>
      <c r="K303" s="5"/>
      <c r="L303" s="5"/>
      <c r="M303" s="5"/>
      <c r="N303" s="5"/>
      <c r="O303" s="5"/>
      <c r="P303" s="4"/>
      <c r="Q303" s="4"/>
      <c r="R303" s="4"/>
      <c r="S303" s="4"/>
      <c r="T303" s="4"/>
      <c r="U303" s="4"/>
      <c r="V303" s="4"/>
      <c r="W303" s="4"/>
      <c r="X303" s="4"/>
      <c r="Y303" s="4"/>
      <c r="Z303" s="4"/>
      <c r="AA303" s="4"/>
    </row>
    <row r="304" spans="1:27">
      <c r="A304" s="5"/>
      <c r="B304" s="5"/>
      <c r="C304" s="4"/>
      <c r="D304" s="5"/>
      <c r="E304" s="5"/>
      <c r="F304" s="5"/>
      <c r="G304" s="5"/>
      <c r="H304" s="5"/>
      <c r="I304" s="5"/>
      <c r="J304" s="5"/>
      <c r="K304" s="5"/>
      <c r="L304" s="5"/>
      <c r="M304" s="5"/>
      <c r="N304" s="5"/>
      <c r="O304" s="5"/>
      <c r="P304" s="4"/>
      <c r="Q304" s="4"/>
      <c r="R304" s="4"/>
      <c r="S304" s="4"/>
      <c r="T304" s="4"/>
      <c r="U304" s="4"/>
      <c r="V304" s="4"/>
      <c r="W304" s="4"/>
      <c r="X304" s="4"/>
      <c r="Y304" s="4"/>
      <c r="Z304" s="4"/>
      <c r="AA304" s="4"/>
    </row>
    <row r="305" spans="1:27">
      <c r="A305" s="5"/>
      <c r="B305" s="5"/>
      <c r="C305" s="4"/>
      <c r="D305" s="5"/>
      <c r="E305" s="5"/>
      <c r="F305" s="5"/>
      <c r="G305" s="5"/>
      <c r="H305" s="5"/>
      <c r="I305" s="5"/>
      <c r="J305" s="5"/>
      <c r="K305" s="5"/>
      <c r="L305" s="5"/>
      <c r="M305" s="5"/>
      <c r="N305" s="5"/>
      <c r="O305" s="5"/>
      <c r="P305" s="4"/>
      <c r="Q305" s="4"/>
      <c r="R305" s="4"/>
      <c r="S305" s="4"/>
      <c r="T305" s="4"/>
      <c r="U305" s="4"/>
      <c r="V305" s="4"/>
      <c r="W305" s="4"/>
      <c r="X305" s="4"/>
      <c r="Y305" s="4"/>
      <c r="Z305" s="4"/>
      <c r="AA305" s="4"/>
    </row>
    <row r="306" spans="1:27">
      <c r="A306" s="5"/>
      <c r="B306" s="5"/>
      <c r="C306" s="4"/>
      <c r="D306" s="5"/>
      <c r="E306" s="5"/>
      <c r="F306" s="5"/>
      <c r="G306" s="5"/>
      <c r="H306" s="5"/>
      <c r="I306" s="5"/>
      <c r="J306" s="5"/>
      <c r="K306" s="5"/>
      <c r="L306" s="5"/>
      <c r="M306" s="5"/>
      <c r="N306" s="5"/>
      <c r="O306" s="5"/>
      <c r="P306" s="4"/>
      <c r="Q306" s="4"/>
      <c r="R306" s="4"/>
      <c r="S306" s="4"/>
      <c r="T306" s="4"/>
      <c r="U306" s="4"/>
      <c r="V306" s="4"/>
      <c r="W306" s="4"/>
      <c r="X306" s="4"/>
      <c r="Y306" s="4"/>
      <c r="Z306" s="4"/>
      <c r="AA306" s="4"/>
    </row>
    <row r="307" spans="1:27">
      <c r="A307" s="5"/>
      <c r="B307" s="5"/>
      <c r="C307" s="4"/>
      <c r="D307" s="5"/>
      <c r="E307" s="5"/>
      <c r="F307" s="5"/>
      <c r="G307" s="5"/>
      <c r="H307" s="5"/>
      <c r="I307" s="5"/>
      <c r="J307" s="5"/>
      <c r="K307" s="5"/>
      <c r="L307" s="5"/>
      <c r="M307" s="5"/>
      <c r="N307" s="5"/>
      <c r="O307" s="5"/>
      <c r="P307" s="4"/>
      <c r="Q307" s="4"/>
      <c r="R307" s="4"/>
      <c r="S307" s="4"/>
      <c r="T307" s="4"/>
      <c r="U307" s="4"/>
      <c r="V307" s="4"/>
      <c r="W307" s="4"/>
      <c r="X307" s="4"/>
      <c r="Y307" s="4"/>
      <c r="Z307" s="4"/>
      <c r="AA307" s="4"/>
    </row>
    <row r="308" spans="1:27">
      <c r="A308" s="5"/>
      <c r="B308" s="5"/>
      <c r="C308" s="4"/>
      <c r="D308" s="5"/>
      <c r="E308" s="5"/>
      <c r="F308" s="5"/>
      <c r="G308" s="5"/>
      <c r="H308" s="5"/>
      <c r="I308" s="5"/>
      <c r="J308" s="5"/>
      <c r="K308" s="5"/>
      <c r="L308" s="5"/>
      <c r="M308" s="5"/>
      <c r="N308" s="5"/>
      <c r="O308" s="5"/>
      <c r="P308" s="4"/>
      <c r="Q308" s="4"/>
      <c r="R308" s="4"/>
      <c r="S308" s="4"/>
      <c r="T308" s="4"/>
      <c r="U308" s="4"/>
      <c r="V308" s="4"/>
      <c r="W308" s="4"/>
      <c r="X308" s="4"/>
      <c r="Y308" s="4"/>
      <c r="Z308" s="4"/>
      <c r="AA308" s="4"/>
    </row>
    <row r="309" spans="1:27">
      <c r="A309" s="5"/>
      <c r="B309" s="5"/>
      <c r="C309" s="4"/>
      <c r="D309" s="5"/>
      <c r="E309" s="5"/>
      <c r="F309" s="5"/>
      <c r="G309" s="5"/>
      <c r="H309" s="5"/>
      <c r="I309" s="5"/>
      <c r="J309" s="5"/>
      <c r="K309" s="5"/>
      <c r="L309" s="5"/>
      <c r="M309" s="5"/>
      <c r="N309" s="5"/>
      <c r="O309" s="5"/>
      <c r="P309" s="4"/>
      <c r="Q309" s="4"/>
      <c r="R309" s="4"/>
      <c r="S309" s="4"/>
      <c r="T309" s="4"/>
      <c r="U309" s="4"/>
      <c r="V309" s="4"/>
      <c r="W309" s="4"/>
      <c r="X309" s="4"/>
      <c r="Y309" s="4"/>
      <c r="Z309" s="4"/>
      <c r="AA309" s="4"/>
    </row>
    <row r="310" spans="1:27">
      <c r="A310" s="5"/>
      <c r="B310" s="5"/>
      <c r="C310" s="4"/>
      <c r="D310" s="5"/>
      <c r="E310" s="5"/>
      <c r="F310" s="5"/>
      <c r="G310" s="5"/>
      <c r="H310" s="5"/>
      <c r="I310" s="5"/>
      <c r="J310" s="5"/>
      <c r="K310" s="5"/>
      <c r="L310" s="5"/>
      <c r="M310" s="5"/>
      <c r="N310" s="5"/>
      <c r="O310" s="5"/>
      <c r="P310" s="4"/>
      <c r="Q310" s="4"/>
      <c r="R310" s="4"/>
      <c r="S310" s="4"/>
      <c r="T310" s="4"/>
      <c r="U310" s="4"/>
      <c r="V310" s="4"/>
      <c r="W310" s="4"/>
      <c r="X310" s="4"/>
      <c r="Y310" s="4"/>
      <c r="Z310" s="4"/>
      <c r="AA310" s="4"/>
    </row>
    <row r="311" spans="1:27">
      <c r="A311" s="5"/>
      <c r="B311" s="5"/>
      <c r="C311" s="4"/>
      <c r="D311" s="5"/>
      <c r="E311" s="5"/>
      <c r="F311" s="5"/>
      <c r="G311" s="5"/>
      <c r="H311" s="5"/>
      <c r="I311" s="5"/>
      <c r="J311" s="5"/>
      <c r="K311" s="5"/>
      <c r="L311" s="5"/>
      <c r="M311" s="5"/>
      <c r="N311" s="5"/>
      <c r="O311" s="5"/>
      <c r="P311" s="4"/>
      <c r="Q311" s="4"/>
      <c r="R311" s="4"/>
      <c r="S311" s="4"/>
      <c r="T311" s="4"/>
      <c r="U311" s="4"/>
      <c r="V311" s="4"/>
      <c r="W311" s="4"/>
      <c r="X311" s="4"/>
      <c r="Y311" s="4"/>
      <c r="Z311" s="4"/>
      <c r="AA311" s="4"/>
    </row>
    <row r="312" spans="1:27">
      <c r="A312" s="5"/>
      <c r="B312" s="5"/>
      <c r="C312" s="4"/>
      <c r="D312" s="5"/>
      <c r="E312" s="5"/>
      <c r="F312" s="5"/>
      <c r="G312" s="5"/>
      <c r="H312" s="5"/>
      <c r="I312" s="5"/>
      <c r="J312" s="5"/>
      <c r="K312" s="5"/>
      <c r="L312" s="5"/>
      <c r="M312" s="5"/>
      <c r="N312" s="5"/>
      <c r="O312" s="5"/>
      <c r="P312" s="4"/>
      <c r="Q312" s="4"/>
      <c r="R312" s="4"/>
      <c r="S312" s="4"/>
      <c r="T312" s="4"/>
      <c r="U312" s="4"/>
      <c r="V312" s="4"/>
      <c r="W312" s="4"/>
      <c r="X312" s="4"/>
      <c r="Y312" s="4"/>
      <c r="Z312" s="4"/>
      <c r="AA312" s="4"/>
    </row>
    <row r="313" spans="1:27">
      <c r="A313" s="5"/>
      <c r="B313" s="5"/>
      <c r="C313" s="4"/>
      <c r="D313" s="5"/>
      <c r="E313" s="5"/>
      <c r="F313" s="5"/>
      <c r="G313" s="5"/>
      <c r="H313" s="5"/>
      <c r="I313" s="5"/>
      <c r="J313" s="5"/>
      <c r="K313" s="5"/>
      <c r="L313" s="5"/>
      <c r="M313" s="5"/>
      <c r="N313" s="5"/>
      <c r="O313" s="5"/>
      <c r="P313" s="4"/>
      <c r="Q313" s="4"/>
      <c r="R313" s="4"/>
      <c r="S313" s="4"/>
      <c r="T313" s="4"/>
      <c r="U313" s="4"/>
      <c r="V313" s="4"/>
      <c r="W313" s="4"/>
      <c r="X313" s="4"/>
      <c r="Y313" s="4"/>
      <c r="Z313" s="4"/>
      <c r="AA313" s="4"/>
    </row>
    <row r="314" spans="1:27">
      <c r="A314" s="5"/>
      <c r="B314" s="5"/>
      <c r="C314" s="4"/>
      <c r="D314" s="5"/>
      <c r="E314" s="5"/>
      <c r="F314" s="5"/>
      <c r="G314" s="5"/>
      <c r="H314" s="5"/>
      <c r="I314" s="5"/>
      <c r="J314" s="5"/>
      <c r="K314" s="5"/>
      <c r="L314" s="5"/>
      <c r="M314" s="5"/>
      <c r="N314" s="5"/>
      <c r="O314" s="5"/>
      <c r="P314" s="4"/>
      <c r="Q314" s="4"/>
      <c r="R314" s="4"/>
      <c r="S314" s="4"/>
      <c r="T314" s="4"/>
      <c r="U314" s="4"/>
      <c r="V314" s="4"/>
      <c r="W314" s="4"/>
      <c r="X314" s="4"/>
      <c r="Y314" s="4"/>
      <c r="Z314" s="4"/>
      <c r="AA314" s="4"/>
    </row>
    <row r="315" spans="1:27">
      <c r="A315" s="5"/>
      <c r="B315" s="5"/>
      <c r="C315" s="4"/>
      <c r="D315" s="5"/>
      <c r="E315" s="5"/>
      <c r="F315" s="5"/>
      <c r="G315" s="5"/>
      <c r="H315" s="5"/>
      <c r="I315" s="5"/>
      <c r="J315" s="5"/>
      <c r="K315" s="5"/>
      <c r="L315" s="5"/>
      <c r="M315" s="5"/>
      <c r="N315" s="5"/>
      <c r="O315" s="5"/>
      <c r="P315" s="4"/>
      <c r="Q315" s="4"/>
      <c r="R315" s="4"/>
      <c r="S315" s="4"/>
      <c r="T315" s="4"/>
      <c r="U315" s="4"/>
      <c r="V315" s="4"/>
      <c r="W315" s="4"/>
      <c r="X315" s="4"/>
      <c r="Y315" s="4"/>
      <c r="Z315" s="4"/>
      <c r="AA315" s="4"/>
    </row>
    <row r="316" spans="1:27">
      <c r="A316" s="5"/>
      <c r="B316" s="5"/>
      <c r="C316" s="4"/>
      <c r="D316" s="5"/>
      <c r="E316" s="5"/>
      <c r="F316" s="5"/>
      <c r="G316" s="5"/>
      <c r="H316" s="5"/>
      <c r="I316" s="5"/>
      <c r="J316" s="5"/>
      <c r="K316" s="5"/>
      <c r="L316" s="5"/>
      <c r="M316" s="5"/>
      <c r="N316" s="5"/>
      <c r="O316" s="5"/>
      <c r="P316" s="4"/>
      <c r="Q316" s="4"/>
      <c r="R316" s="4"/>
      <c r="S316" s="4"/>
      <c r="T316" s="4"/>
      <c r="U316" s="4"/>
      <c r="V316" s="4"/>
      <c r="W316" s="4"/>
      <c r="X316" s="4"/>
      <c r="Y316" s="4"/>
      <c r="Z316" s="4"/>
      <c r="AA316" s="4"/>
    </row>
    <row r="317" spans="1:27">
      <c r="A317" s="5"/>
      <c r="B317" s="5"/>
      <c r="C317" s="4"/>
      <c r="D317" s="5"/>
      <c r="E317" s="5"/>
      <c r="F317" s="5"/>
      <c r="G317" s="5"/>
      <c r="H317" s="5"/>
      <c r="I317" s="5"/>
      <c r="J317" s="5"/>
      <c r="K317" s="5"/>
      <c r="L317" s="5"/>
      <c r="M317" s="5"/>
      <c r="N317" s="5"/>
      <c r="O317" s="5"/>
      <c r="P317" s="4"/>
      <c r="Q317" s="4"/>
      <c r="R317" s="4"/>
      <c r="S317" s="4"/>
      <c r="T317" s="4"/>
      <c r="U317" s="4"/>
      <c r="V317" s="4"/>
      <c r="W317" s="4"/>
      <c r="X317" s="4"/>
      <c r="Y317" s="4"/>
      <c r="Z317" s="4"/>
      <c r="AA317" s="4"/>
    </row>
    <row r="318" spans="1:27">
      <c r="A318" s="5"/>
      <c r="B318" s="5"/>
      <c r="C318" s="4"/>
      <c r="D318" s="5"/>
      <c r="E318" s="5"/>
      <c r="F318" s="5"/>
      <c r="G318" s="5"/>
      <c r="H318" s="5"/>
      <c r="I318" s="5"/>
      <c r="J318" s="5"/>
      <c r="K318" s="5"/>
      <c r="L318" s="5"/>
      <c r="M318" s="5"/>
      <c r="N318" s="5"/>
      <c r="O318" s="5"/>
      <c r="P318" s="4"/>
      <c r="Q318" s="4"/>
      <c r="R318" s="4"/>
      <c r="S318" s="4"/>
      <c r="T318" s="4"/>
      <c r="U318" s="4"/>
      <c r="V318" s="4"/>
      <c r="W318" s="4"/>
      <c r="X318" s="4"/>
      <c r="Y318" s="4"/>
      <c r="Z318" s="4"/>
      <c r="AA318" s="4"/>
    </row>
    <row r="319" spans="1:27">
      <c r="A319" s="5"/>
      <c r="B319" s="5"/>
      <c r="C319" s="4"/>
      <c r="D319" s="5"/>
      <c r="E319" s="5"/>
      <c r="F319" s="5"/>
      <c r="G319" s="5"/>
      <c r="H319" s="5"/>
      <c r="I319" s="5"/>
      <c r="J319" s="5"/>
      <c r="K319" s="5"/>
      <c r="L319" s="5"/>
      <c r="M319" s="5"/>
      <c r="N319" s="5"/>
      <c r="O319" s="5"/>
      <c r="P319" s="4"/>
      <c r="Q319" s="4"/>
      <c r="R319" s="4"/>
      <c r="S319" s="4"/>
      <c r="T319" s="4"/>
      <c r="U319" s="4"/>
      <c r="V319" s="4"/>
      <c r="W319" s="4"/>
      <c r="X319" s="4"/>
      <c r="Y319" s="4"/>
      <c r="Z319" s="4"/>
      <c r="AA319" s="4"/>
    </row>
    <row r="320" spans="1:27">
      <c r="A320" s="5"/>
      <c r="B320" s="5"/>
      <c r="C320" s="4"/>
      <c r="D320" s="5"/>
      <c r="E320" s="5"/>
      <c r="F320" s="5"/>
      <c r="G320" s="5"/>
      <c r="H320" s="5"/>
      <c r="I320" s="5"/>
      <c r="J320" s="5"/>
      <c r="K320" s="5"/>
      <c r="L320" s="5"/>
      <c r="M320" s="5"/>
      <c r="N320" s="5"/>
      <c r="O320" s="5"/>
      <c r="P320" s="4"/>
      <c r="Q320" s="4"/>
      <c r="R320" s="4"/>
      <c r="S320" s="4"/>
      <c r="T320" s="4"/>
      <c r="U320" s="4"/>
      <c r="V320" s="4"/>
      <c r="W320" s="4"/>
      <c r="X320" s="4"/>
      <c r="Y320" s="4"/>
      <c r="Z320" s="4"/>
      <c r="AA320" s="4"/>
    </row>
    <row r="321" spans="1:27">
      <c r="A321" s="5"/>
      <c r="B321" s="5"/>
      <c r="C321" s="4"/>
      <c r="D321" s="5"/>
      <c r="E321" s="5"/>
      <c r="F321" s="5"/>
      <c r="G321" s="5"/>
      <c r="H321" s="5"/>
      <c r="I321" s="5"/>
      <c r="J321" s="5"/>
      <c r="K321" s="5"/>
      <c r="L321" s="5"/>
      <c r="M321" s="5"/>
      <c r="N321" s="5"/>
      <c r="O321" s="5"/>
      <c r="P321" s="4"/>
      <c r="Q321" s="4"/>
      <c r="R321" s="4"/>
      <c r="S321" s="4"/>
      <c r="T321" s="4"/>
      <c r="U321" s="4"/>
      <c r="V321" s="4"/>
      <c r="W321" s="4"/>
      <c r="X321" s="4"/>
      <c r="Y321" s="4"/>
      <c r="Z321" s="4"/>
      <c r="AA321" s="4"/>
    </row>
    <row r="322" spans="1:27">
      <c r="A322" s="5"/>
      <c r="B322" s="5"/>
      <c r="C322" s="4"/>
      <c r="D322" s="5"/>
      <c r="E322" s="5"/>
      <c r="F322" s="5"/>
      <c r="G322" s="5"/>
      <c r="H322" s="5"/>
      <c r="I322" s="5"/>
      <c r="J322" s="5"/>
      <c r="K322" s="5"/>
      <c r="L322" s="5"/>
      <c r="M322" s="5"/>
      <c r="N322" s="5"/>
      <c r="O322" s="5"/>
      <c r="P322" s="4"/>
      <c r="Q322" s="4"/>
      <c r="R322" s="4"/>
      <c r="S322" s="4"/>
      <c r="T322" s="4"/>
      <c r="U322" s="4"/>
      <c r="V322" s="4"/>
      <c r="W322" s="4"/>
      <c r="X322" s="4"/>
      <c r="Y322" s="4"/>
      <c r="Z322" s="4"/>
      <c r="AA322" s="4"/>
    </row>
    <row r="323" spans="1:27">
      <c r="A323" s="5"/>
      <c r="B323" s="5"/>
      <c r="C323" s="4"/>
      <c r="D323" s="5"/>
      <c r="E323" s="5"/>
      <c r="F323" s="5"/>
      <c r="G323" s="5"/>
      <c r="H323" s="5"/>
      <c r="I323" s="5"/>
      <c r="J323" s="5"/>
      <c r="K323" s="5"/>
      <c r="L323" s="5"/>
      <c r="M323" s="5"/>
      <c r="N323" s="5"/>
      <c r="O323" s="5"/>
      <c r="P323" s="4"/>
      <c r="Q323" s="4"/>
      <c r="R323" s="4"/>
      <c r="S323" s="4"/>
      <c r="T323" s="4"/>
      <c r="U323" s="4"/>
      <c r="V323" s="4"/>
      <c r="W323" s="4"/>
      <c r="X323" s="4"/>
      <c r="Y323" s="4"/>
      <c r="Z323" s="4"/>
      <c r="AA323" s="4"/>
    </row>
    <row r="324" spans="1:27">
      <c r="A324" s="5"/>
      <c r="B324" s="5"/>
      <c r="C324" s="4"/>
      <c r="D324" s="5"/>
      <c r="E324" s="5"/>
      <c r="F324" s="5"/>
      <c r="G324" s="5"/>
      <c r="H324" s="5"/>
      <c r="I324" s="5"/>
      <c r="J324" s="5"/>
      <c r="K324" s="5"/>
      <c r="L324" s="5"/>
      <c r="M324" s="5"/>
      <c r="N324" s="5"/>
      <c r="O324" s="5"/>
      <c r="P324" s="4"/>
      <c r="Q324" s="4"/>
      <c r="R324" s="4"/>
      <c r="S324" s="4"/>
      <c r="T324" s="4"/>
      <c r="U324" s="4"/>
      <c r="V324" s="4"/>
      <c r="W324" s="4"/>
      <c r="X324" s="4"/>
      <c r="Y324" s="4"/>
      <c r="Z324" s="4"/>
      <c r="AA324" s="4"/>
    </row>
    <row r="325" spans="1:27">
      <c r="A325" s="5"/>
      <c r="B325" s="5"/>
      <c r="C325" s="4"/>
      <c r="D325" s="5"/>
      <c r="E325" s="5"/>
      <c r="F325" s="5"/>
      <c r="G325" s="5"/>
      <c r="H325" s="5"/>
      <c r="I325" s="5"/>
      <c r="J325" s="5"/>
      <c r="K325" s="5"/>
      <c r="L325" s="5"/>
      <c r="M325" s="5"/>
      <c r="N325" s="5"/>
      <c r="O325" s="5"/>
      <c r="P325" s="4"/>
      <c r="Q325" s="4"/>
      <c r="R325" s="4"/>
      <c r="S325" s="4"/>
      <c r="T325" s="4"/>
      <c r="U325" s="4"/>
      <c r="V325" s="4"/>
      <c r="W325" s="4"/>
      <c r="X325" s="4"/>
      <c r="Y325" s="4"/>
      <c r="Z325" s="4"/>
      <c r="AA325" s="4"/>
    </row>
    <row r="326" spans="1:27">
      <c r="A326" s="5"/>
      <c r="B326" s="5"/>
      <c r="C326" s="4"/>
      <c r="D326" s="5"/>
      <c r="E326" s="5"/>
      <c r="F326" s="5"/>
      <c r="G326" s="5"/>
      <c r="H326" s="5"/>
      <c r="I326" s="5"/>
      <c r="J326" s="5"/>
      <c r="K326" s="5"/>
      <c r="L326" s="5"/>
      <c r="M326" s="5"/>
      <c r="N326" s="5"/>
      <c r="O326" s="5"/>
      <c r="P326" s="4"/>
      <c r="Q326" s="4"/>
      <c r="R326" s="4"/>
      <c r="S326" s="4"/>
      <c r="T326" s="4"/>
      <c r="U326" s="4"/>
      <c r="V326" s="4"/>
      <c r="W326" s="4"/>
      <c r="X326" s="4"/>
      <c r="Y326" s="4"/>
      <c r="Z326" s="4"/>
      <c r="AA326" s="4"/>
    </row>
    <row r="327" spans="1:27">
      <c r="A327" s="5"/>
      <c r="B327" s="5"/>
      <c r="C327" s="4"/>
      <c r="D327" s="5"/>
      <c r="E327" s="5"/>
      <c r="F327" s="5"/>
      <c r="G327" s="5"/>
      <c r="H327" s="5"/>
      <c r="I327" s="5"/>
      <c r="J327" s="5"/>
      <c r="K327" s="5"/>
      <c r="L327" s="5"/>
      <c r="M327" s="5"/>
      <c r="N327" s="5"/>
      <c r="O327" s="5"/>
      <c r="P327" s="4"/>
      <c r="Q327" s="4"/>
      <c r="R327" s="4"/>
      <c r="S327" s="4"/>
      <c r="T327" s="4"/>
      <c r="U327" s="4"/>
      <c r="V327" s="4"/>
      <c r="W327" s="4"/>
      <c r="X327" s="4"/>
      <c r="Y327" s="4"/>
      <c r="Z327" s="4"/>
      <c r="AA327" s="4"/>
    </row>
    <row r="328" spans="1:27">
      <c r="A328" s="5"/>
      <c r="B328" s="5"/>
      <c r="C328" s="4"/>
      <c r="D328" s="5"/>
      <c r="E328" s="5"/>
      <c r="F328" s="5"/>
      <c r="G328" s="5"/>
      <c r="H328" s="5"/>
      <c r="I328" s="5"/>
      <c r="J328" s="5"/>
      <c r="K328" s="5"/>
      <c r="L328" s="5"/>
      <c r="M328" s="5"/>
      <c r="N328" s="5"/>
      <c r="O328" s="5"/>
      <c r="P328" s="4"/>
      <c r="Q328" s="4"/>
      <c r="R328" s="4"/>
      <c r="S328" s="4"/>
      <c r="T328" s="4"/>
      <c r="U328" s="4"/>
      <c r="V328" s="4"/>
      <c r="W328" s="4"/>
      <c r="X328" s="4"/>
      <c r="Y328" s="4"/>
      <c r="Z328" s="4"/>
      <c r="AA328" s="4"/>
    </row>
    <row r="329" spans="1:27">
      <c r="A329" s="5"/>
      <c r="B329" s="5"/>
      <c r="C329" s="4"/>
      <c r="D329" s="5"/>
      <c r="E329" s="5"/>
      <c r="F329" s="5"/>
      <c r="G329" s="5"/>
      <c r="H329" s="5"/>
      <c r="I329" s="5"/>
      <c r="J329" s="5"/>
      <c r="K329" s="5"/>
      <c r="L329" s="5"/>
      <c r="M329" s="5"/>
      <c r="N329" s="5"/>
      <c r="O329" s="5"/>
      <c r="P329" s="4"/>
      <c r="Q329" s="4"/>
      <c r="R329" s="4"/>
      <c r="S329" s="4"/>
      <c r="T329" s="4"/>
      <c r="U329" s="4"/>
      <c r="V329" s="4"/>
      <c r="W329" s="4"/>
      <c r="X329" s="4"/>
      <c r="Y329" s="4"/>
      <c r="Z329" s="4"/>
      <c r="AA329" s="4"/>
    </row>
    <row r="330" spans="1:27">
      <c r="A330" s="5"/>
      <c r="B330" s="5"/>
      <c r="C330" s="4"/>
      <c r="D330" s="5"/>
      <c r="E330" s="5"/>
      <c r="F330" s="5"/>
      <c r="G330" s="5"/>
      <c r="H330" s="5"/>
      <c r="I330" s="5"/>
      <c r="J330" s="5"/>
      <c r="K330" s="5"/>
      <c r="L330" s="5"/>
      <c r="M330" s="5"/>
      <c r="N330" s="5"/>
      <c r="O330" s="5"/>
      <c r="P330" s="4"/>
      <c r="Q330" s="4"/>
      <c r="R330" s="4"/>
      <c r="S330" s="4"/>
      <c r="T330" s="4"/>
      <c r="U330" s="4"/>
      <c r="V330" s="4"/>
      <c r="W330" s="4"/>
      <c r="X330" s="4"/>
      <c r="Y330" s="4"/>
      <c r="Z330" s="4"/>
      <c r="AA330" s="4"/>
    </row>
    <row r="331" spans="1:27">
      <c r="A331" s="5"/>
      <c r="B331" s="5"/>
      <c r="C331" s="4"/>
      <c r="D331" s="5"/>
      <c r="E331" s="5"/>
      <c r="F331" s="5"/>
      <c r="G331" s="5"/>
      <c r="H331" s="5"/>
      <c r="I331" s="5"/>
      <c r="J331" s="5"/>
      <c r="K331" s="5"/>
      <c r="L331" s="5"/>
      <c r="M331" s="5"/>
      <c r="N331" s="5"/>
      <c r="O331" s="5"/>
      <c r="P331" s="4"/>
      <c r="Q331" s="4"/>
      <c r="R331" s="4"/>
      <c r="S331" s="4"/>
      <c r="T331" s="4"/>
      <c r="U331" s="4"/>
      <c r="V331" s="4"/>
      <c r="W331" s="4"/>
      <c r="X331" s="4"/>
      <c r="Y331" s="4"/>
      <c r="Z331" s="4"/>
      <c r="AA331" s="4"/>
    </row>
    <row r="332" spans="1:27">
      <c r="A332" s="5"/>
      <c r="B332" s="5"/>
      <c r="C332" s="4"/>
      <c r="D332" s="5"/>
      <c r="E332" s="5"/>
      <c r="F332" s="5"/>
      <c r="G332" s="5"/>
      <c r="H332" s="5"/>
      <c r="I332" s="5"/>
      <c r="J332" s="5"/>
      <c r="K332" s="5"/>
      <c r="L332" s="5"/>
      <c r="M332" s="5"/>
      <c r="N332" s="5"/>
      <c r="O332" s="5"/>
      <c r="P332" s="4"/>
      <c r="Q332" s="4"/>
      <c r="R332" s="4"/>
      <c r="S332" s="4"/>
      <c r="T332" s="4"/>
      <c r="U332" s="4"/>
      <c r="V332" s="4"/>
      <c r="W332" s="4"/>
      <c r="X332" s="4"/>
      <c r="Y332" s="4"/>
      <c r="Z332" s="4"/>
      <c r="AA332" s="4"/>
    </row>
    <row r="333" spans="1:27">
      <c r="A333" s="5"/>
      <c r="B333" s="5"/>
      <c r="C333" s="4"/>
      <c r="D333" s="5"/>
      <c r="E333" s="5"/>
      <c r="F333" s="5"/>
      <c r="G333" s="5"/>
      <c r="H333" s="5"/>
      <c r="I333" s="5"/>
      <c r="J333" s="5"/>
      <c r="K333" s="5"/>
      <c r="L333" s="5"/>
      <c r="M333" s="5"/>
      <c r="N333" s="5"/>
      <c r="O333" s="5"/>
      <c r="P333" s="4"/>
      <c r="Q333" s="4"/>
      <c r="R333" s="4"/>
      <c r="S333" s="4"/>
      <c r="T333" s="4"/>
      <c r="U333" s="4"/>
      <c r="V333" s="4"/>
      <c r="W333" s="4"/>
      <c r="X333" s="4"/>
      <c r="Y333" s="4"/>
      <c r="Z333" s="4"/>
      <c r="AA333" s="4"/>
    </row>
    <row r="334" spans="1:27">
      <c r="A334" s="5"/>
      <c r="B334" s="5"/>
      <c r="C334" s="4"/>
      <c r="D334" s="5"/>
      <c r="E334" s="5"/>
      <c r="F334" s="5"/>
      <c r="G334" s="5"/>
      <c r="H334" s="5"/>
      <c r="I334" s="5"/>
      <c r="J334" s="5"/>
      <c r="K334" s="5"/>
      <c r="L334" s="5"/>
      <c r="M334" s="5"/>
      <c r="N334" s="5"/>
      <c r="O334" s="5"/>
      <c r="P334" s="4"/>
      <c r="Q334" s="4"/>
      <c r="R334" s="4"/>
      <c r="S334" s="4"/>
      <c r="T334" s="4"/>
      <c r="U334" s="4"/>
      <c r="V334" s="4"/>
      <c r="W334" s="4"/>
      <c r="X334" s="4"/>
      <c r="Y334" s="4"/>
      <c r="Z334" s="4"/>
      <c r="AA334" s="4"/>
    </row>
    <row r="335" spans="1:27">
      <c r="A335" s="5"/>
      <c r="B335" s="5"/>
      <c r="C335" s="4"/>
      <c r="D335" s="5"/>
      <c r="E335" s="5"/>
      <c r="F335" s="5"/>
      <c r="G335" s="5"/>
      <c r="H335" s="5"/>
      <c r="I335" s="5"/>
      <c r="J335" s="5"/>
      <c r="K335" s="5"/>
      <c r="L335" s="5"/>
      <c r="M335" s="5"/>
      <c r="N335" s="5"/>
      <c r="O335" s="5"/>
      <c r="P335" s="4"/>
      <c r="Q335" s="4"/>
      <c r="R335" s="4"/>
      <c r="S335" s="4"/>
      <c r="T335" s="4"/>
      <c r="U335" s="4"/>
      <c r="V335" s="4"/>
      <c r="W335" s="4"/>
      <c r="X335" s="4"/>
      <c r="Y335" s="4"/>
      <c r="Z335" s="4"/>
      <c r="AA335" s="4"/>
    </row>
    <row r="336" spans="1:27">
      <c r="A336" s="5"/>
      <c r="B336" s="5"/>
      <c r="C336" s="4"/>
      <c r="D336" s="5"/>
      <c r="E336" s="5"/>
      <c r="F336" s="5"/>
      <c r="G336" s="5"/>
      <c r="H336" s="5"/>
      <c r="I336" s="5"/>
      <c r="J336" s="5"/>
      <c r="K336" s="5"/>
      <c r="L336" s="5"/>
      <c r="M336" s="5"/>
      <c r="N336" s="5"/>
      <c r="O336" s="5"/>
      <c r="P336" s="4"/>
      <c r="Q336" s="4"/>
      <c r="R336" s="4"/>
      <c r="S336" s="4"/>
      <c r="T336" s="4"/>
      <c r="U336" s="4"/>
      <c r="V336" s="4"/>
      <c r="W336" s="4"/>
      <c r="X336" s="4"/>
      <c r="Y336" s="4"/>
      <c r="Z336" s="4"/>
      <c r="AA336" s="4"/>
    </row>
    <row r="337" spans="1:27">
      <c r="A337" s="5"/>
      <c r="B337" s="5"/>
      <c r="C337" s="4"/>
      <c r="D337" s="5"/>
      <c r="E337" s="5"/>
      <c r="F337" s="5"/>
      <c r="G337" s="5"/>
      <c r="H337" s="5"/>
      <c r="I337" s="5"/>
      <c r="J337" s="5"/>
      <c r="K337" s="5"/>
      <c r="L337" s="5"/>
      <c r="M337" s="5"/>
      <c r="N337" s="5"/>
      <c r="O337" s="5"/>
      <c r="P337" s="4"/>
      <c r="Q337" s="4"/>
      <c r="R337" s="4"/>
      <c r="S337" s="4"/>
      <c r="T337" s="4"/>
      <c r="U337" s="4"/>
      <c r="V337" s="4"/>
      <c r="W337" s="4"/>
      <c r="X337" s="4"/>
      <c r="Y337" s="4"/>
      <c r="Z337" s="4"/>
      <c r="AA337" s="4"/>
    </row>
    <row r="338" spans="1:27">
      <c r="A338" s="5"/>
      <c r="B338" s="5"/>
      <c r="C338" s="4"/>
      <c r="D338" s="5"/>
      <c r="E338" s="5"/>
      <c r="F338" s="5"/>
      <c r="G338" s="5"/>
      <c r="H338" s="5"/>
      <c r="I338" s="5"/>
      <c r="J338" s="5"/>
      <c r="K338" s="5"/>
      <c r="L338" s="5"/>
      <c r="M338" s="5"/>
      <c r="N338" s="5"/>
      <c r="O338" s="5"/>
      <c r="P338" s="4"/>
      <c r="Q338" s="4"/>
      <c r="R338" s="4"/>
      <c r="S338" s="4"/>
      <c r="T338" s="4"/>
      <c r="U338" s="4"/>
      <c r="V338" s="4"/>
      <c r="W338" s="4"/>
      <c r="X338" s="4"/>
      <c r="Y338" s="4"/>
      <c r="Z338" s="4"/>
      <c r="AA338" s="4"/>
    </row>
    <row r="339" spans="1:27">
      <c r="A339" s="5"/>
      <c r="B339" s="5"/>
      <c r="C339" s="4"/>
      <c r="D339" s="5"/>
      <c r="E339" s="5"/>
      <c r="F339" s="5"/>
      <c r="G339" s="5"/>
      <c r="H339" s="5"/>
      <c r="I339" s="5"/>
      <c r="J339" s="5"/>
      <c r="K339" s="5"/>
      <c r="L339" s="5"/>
      <c r="M339" s="5"/>
      <c r="N339" s="5"/>
      <c r="O339" s="5"/>
      <c r="P339" s="4"/>
      <c r="Q339" s="4"/>
      <c r="R339" s="4"/>
      <c r="S339" s="4"/>
      <c r="T339" s="4"/>
      <c r="U339" s="4"/>
      <c r="V339" s="4"/>
      <c r="W339" s="4"/>
      <c r="X339" s="4"/>
      <c r="Y339" s="4"/>
      <c r="Z339" s="4"/>
      <c r="AA339" s="4"/>
    </row>
    <row r="340" spans="1:27">
      <c r="A340" s="5"/>
      <c r="B340" s="5"/>
      <c r="C340" s="4"/>
      <c r="D340" s="5"/>
      <c r="E340" s="5"/>
      <c r="F340" s="5"/>
      <c r="G340" s="5"/>
      <c r="H340" s="5"/>
      <c r="I340" s="5"/>
      <c r="J340" s="5"/>
      <c r="K340" s="5"/>
      <c r="L340" s="5"/>
      <c r="M340" s="5"/>
      <c r="N340" s="5"/>
      <c r="O340" s="5"/>
      <c r="P340" s="4"/>
      <c r="Q340" s="4"/>
      <c r="R340" s="4"/>
      <c r="S340" s="4"/>
      <c r="T340" s="4"/>
      <c r="U340" s="4"/>
      <c r="V340" s="4"/>
      <c r="W340" s="4"/>
      <c r="X340" s="4"/>
      <c r="Y340" s="4"/>
      <c r="Z340" s="4"/>
      <c r="AA340" s="4"/>
    </row>
    <row r="341" spans="1:27">
      <c r="A341" s="5"/>
      <c r="B341" s="5"/>
      <c r="C341" s="4"/>
      <c r="D341" s="5"/>
      <c r="E341" s="5"/>
      <c r="F341" s="5"/>
      <c r="G341" s="5"/>
      <c r="H341" s="5"/>
      <c r="I341" s="5"/>
      <c r="J341" s="5"/>
      <c r="K341" s="5"/>
      <c r="L341" s="5"/>
      <c r="M341" s="5"/>
      <c r="N341" s="5"/>
      <c r="O341" s="5"/>
      <c r="P341" s="4"/>
      <c r="Q341" s="4"/>
      <c r="R341" s="4"/>
      <c r="S341" s="4"/>
      <c r="T341" s="4"/>
      <c r="U341" s="4"/>
      <c r="V341" s="4"/>
      <c r="W341" s="4"/>
      <c r="X341" s="4"/>
      <c r="Y341" s="4"/>
      <c r="Z341" s="4"/>
      <c r="AA341" s="4"/>
    </row>
    <row r="342" spans="1:27">
      <c r="A342" s="5"/>
      <c r="B342" s="5"/>
      <c r="C342" s="4"/>
      <c r="D342" s="5"/>
      <c r="E342" s="5"/>
      <c r="F342" s="5"/>
      <c r="G342" s="5"/>
      <c r="H342" s="5"/>
      <c r="I342" s="5"/>
      <c r="J342" s="5"/>
      <c r="K342" s="5"/>
      <c r="L342" s="5"/>
      <c r="M342" s="5"/>
      <c r="N342" s="5"/>
      <c r="O342" s="5"/>
      <c r="P342" s="4"/>
      <c r="Q342" s="4"/>
      <c r="R342" s="4"/>
      <c r="S342" s="4"/>
      <c r="T342" s="4"/>
      <c r="U342" s="4"/>
      <c r="V342" s="4"/>
      <c r="W342" s="4"/>
      <c r="X342" s="4"/>
      <c r="Y342" s="4"/>
      <c r="Z342" s="4"/>
      <c r="AA342" s="4"/>
    </row>
    <row r="343" spans="1:27">
      <c r="A343" s="5"/>
      <c r="B343" s="5"/>
      <c r="C343" s="4"/>
      <c r="D343" s="5"/>
      <c r="E343" s="5"/>
      <c r="F343" s="5"/>
      <c r="G343" s="5"/>
      <c r="H343" s="5"/>
      <c r="I343" s="5"/>
      <c r="J343" s="5"/>
      <c r="K343" s="5"/>
      <c r="L343" s="5"/>
      <c r="M343" s="5"/>
      <c r="N343" s="5"/>
      <c r="O343" s="5"/>
      <c r="P343" s="4"/>
      <c r="Q343" s="4"/>
      <c r="R343" s="4"/>
      <c r="S343" s="4"/>
      <c r="T343" s="4"/>
      <c r="U343" s="4"/>
      <c r="V343" s="4"/>
      <c r="W343" s="4"/>
      <c r="X343" s="4"/>
      <c r="Y343" s="4"/>
      <c r="Z343" s="4"/>
      <c r="AA343" s="4"/>
    </row>
    <row r="344" spans="1:27">
      <c r="A344" s="5"/>
      <c r="B344" s="5"/>
      <c r="C344" s="4"/>
      <c r="D344" s="5"/>
      <c r="E344" s="5"/>
      <c r="F344" s="5"/>
      <c r="G344" s="5"/>
      <c r="H344" s="5"/>
      <c r="I344" s="5"/>
      <c r="J344" s="5"/>
      <c r="K344" s="5"/>
      <c r="L344" s="5"/>
      <c r="M344" s="5"/>
      <c r="N344" s="5"/>
      <c r="O344" s="5"/>
      <c r="P344" s="4"/>
      <c r="Q344" s="4"/>
      <c r="R344" s="4"/>
      <c r="S344" s="4"/>
      <c r="T344" s="4"/>
      <c r="U344" s="4"/>
      <c r="V344" s="4"/>
      <c r="W344" s="4"/>
      <c r="X344" s="4"/>
      <c r="Y344" s="4"/>
      <c r="Z344" s="4"/>
      <c r="AA344" s="4"/>
    </row>
    <row r="345" spans="1:27">
      <c r="A345" s="5"/>
      <c r="B345" s="5"/>
      <c r="C345" s="4"/>
      <c r="D345" s="5"/>
      <c r="E345" s="5"/>
      <c r="F345" s="5"/>
      <c r="G345" s="5"/>
      <c r="H345" s="5"/>
      <c r="I345" s="5"/>
      <c r="J345" s="5"/>
      <c r="K345" s="5"/>
      <c r="L345" s="5"/>
      <c r="M345" s="5"/>
      <c r="N345" s="5"/>
      <c r="O345" s="5"/>
      <c r="P345" s="4"/>
      <c r="Q345" s="4"/>
      <c r="R345" s="4"/>
      <c r="S345" s="4"/>
      <c r="T345" s="4"/>
      <c r="U345" s="4"/>
      <c r="V345" s="4"/>
      <c r="W345" s="4"/>
      <c r="X345" s="4"/>
      <c r="Y345" s="4"/>
      <c r="Z345" s="4"/>
      <c r="AA345" s="4"/>
    </row>
    <row r="346" spans="1:27">
      <c r="A346" s="5"/>
      <c r="B346" s="5"/>
      <c r="C346" s="4"/>
      <c r="D346" s="5"/>
      <c r="E346" s="5"/>
      <c r="F346" s="5"/>
      <c r="G346" s="5"/>
      <c r="H346" s="5"/>
      <c r="I346" s="5"/>
      <c r="J346" s="5"/>
      <c r="K346" s="5"/>
      <c r="L346" s="5"/>
      <c r="M346" s="5"/>
      <c r="N346" s="5"/>
      <c r="O346" s="5"/>
      <c r="P346" s="4"/>
      <c r="Q346" s="4"/>
      <c r="R346" s="4"/>
      <c r="S346" s="4"/>
      <c r="T346" s="4"/>
      <c r="U346" s="4"/>
      <c r="V346" s="4"/>
      <c r="W346" s="4"/>
      <c r="X346" s="4"/>
      <c r="Y346" s="4"/>
      <c r="Z346" s="4"/>
      <c r="AA346" s="4"/>
    </row>
    <row r="347" spans="1:27">
      <c r="A347" s="5"/>
      <c r="B347" s="5"/>
      <c r="C347" s="4"/>
      <c r="D347" s="5"/>
      <c r="E347" s="5"/>
      <c r="F347" s="5"/>
      <c r="G347" s="5"/>
      <c r="H347" s="5"/>
      <c r="I347" s="5"/>
      <c r="J347" s="5"/>
      <c r="K347" s="5"/>
      <c r="L347" s="5"/>
      <c r="M347" s="5"/>
      <c r="N347" s="5"/>
      <c r="O347" s="5"/>
      <c r="P347" s="4"/>
      <c r="Q347" s="4"/>
      <c r="R347" s="4"/>
      <c r="S347" s="4"/>
      <c r="T347" s="4"/>
      <c r="U347" s="4"/>
      <c r="V347" s="4"/>
      <c r="W347" s="4"/>
      <c r="X347" s="4"/>
      <c r="Y347" s="4"/>
      <c r="Z347" s="4"/>
      <c r="AA347" s="4"/>
    </row>
    <row r="348" spans="1:27">
      <c r="A348" s="5"/>
      <c r="B348" s="5"/>
      <c r="C348" s="4"/>
      <c r="D348" s="5"/>
      <c r="E348" s="5"/>
      <c r="F348" s="5"/>
      <c r="G348" s="5"/>
      <c r="H348" s="5"/>
      <c r="I348" s="5"/>
      <c r="J348" s="5"/>
      <c r="K348" s="5"/>
      <c r="L348" s="5"/>
      <c r="M348" s="5"/>
      <c r="N348" s="5"/>
      <c r="O348" s="5"/>
      <c r="P348" s="4"/>
      <c r="Q348" s="4"/>
      <c r="R348" s="4"/>
      <c r="S348" s="4"/>
      <c r="T348" s="4"/>
      <c r="U348" s="4"/>
      <c r="V348" s="4"/>
      <c r="W348" s="4"/>
      <c r="X348" s="4"/>
      <c r="Y348" s="4"/>
      <c r="Z348" s="4"/>
      <c r="AA348" s="4"/>
    </row>
    <row r="349" spans="1:27">
      <c r="A349" s="5"/>
      <c r="B349" s="5"/>
      <c r="C349" s="4"/>
      <c r="D349" s="5"/>
      <c r="E349" s="5"/>
      <c r="F349" s="5"/>
      <c r="G349" s="5"/>
      <c r="H349" s="5"/>
      <c r="I349" s="5"/>
      <c r="J349" s="5"/>
      <c r="K349" s="5"/>
      <c r="L349" s="5"/>
      <c r="M349" s="5"/>
      <c r="N349" s="5"/>
      <c r="O349" s="5"/>
      <c r="P349" s="4"/>
      <c r="Q349" s="4"/>
      <c r="R349" s="4"/>
      <c r="S349" s="4"/>
      <c r="T349" s="4"/>
      <c r="U349" s="4"/>
      <c r="V349" s="4"/>
      <c r="W349" s="4"/>
      <c r="X349" s="4"/>
      <c r="Y349" s="4"/>
      <c r="Z349" s="4"/>
      <c r="AA349" s="4"/>
    </row>
    <row r="350" spans="1:27">
      <c r="A350" s="5"/>
      <c r="B350" s="5"/>
      <c r="C350" s="4"/>
      <c r="D350" s="5"/>
      <c r="E350" s="5"/>
      <c r="F350" s="5"/>
      <c r="G350" s="5"/>
      <c r="H350" s="5"/>
      <c r="I350" s="5"/>
      <c r="J350" s="5"/>
      <c r="K350" s="5"/>
      <c r="L350" s="5"/>
      <c r="M350" s="5"/>
      <c r="N350" s="5"/>
      <c r="O350" s="5"/>
      <c r="P350" s="4"/>
      <c r="Q350" s="4"/>
      <c r="R350" s="4"/>
      <c r="S350" s="4"/>
      <c r="T350" s="4"/>
      <c r="U350" s="4"/>
      <c r="V350" s="4"/>
      <c r="W350" s="4"/>
      <c r="X350" s="4"/>
      <c r="Y350" s="4"/>
      <c r="Z350" s="4"/>
      <c r="AA350" s="4"/>
    </row>
    <row r="351" spans="1:27">
      <c r="A351" s="5"/>
      <c r="B351" s="5"/>
      <c r="C351" s="4"/>
      <c r="D351" s="5"/>
      <c r="E351" s="5"/>
      <c r="F351" s="5"/>
      <c r="G351" s="5"/>
      <c r="H351" s="5"/>
      <c r="I351" s="5"/>
      <c r="J351" s="5"/>
      <c r="K351" s="5"/>
      <c r="L351" s="5"/>
      <c r="M351" s="5"/>
      <c r="N351" s="5"/>
      <c r="O351" s="5"/>
      <c r="P351" s="4"/>
      <c r="Q351" s="4"/>
      <c r="R351" s="4"/>
      <c r="S351" s="4"/>
      <c r="T351" s="4"/>
      <c r="U351" s="4"/>
      <c r="V351" s="4"/>
      <c r="W351" s="4"/>
      <c r="X351" s="4"/>
      <c r="Y351" s="4"/>
      <c r="Z351" s="4"/>
      <c r="AA351" s="4"/>
    </row>
    <row r="352" spans="1:27">
      <c r="A352" s="5"/>
      <c r="B352" s="5"/>
      <c r="C352" s="4"/>
      <c r="D352" s="5"/>
      <c r="E352" s="5"/>
      <c r="F352" s="5"/>
      <c r="G352" s="5"/>
      <c r="H352" s="5"/>
      <c r="I352" s="5"/>
      <c r="J352" s="5"/>
      <c r="K352" s="5"/>
      <c r="L352" s="5"/>
      <c r="M352" s="5"/>
      <c r="N352" s="5"/>
      <c r="O352" s="5"/>
      <c r="P352" s="4"/>
      <c r="Q352" s="4"/>
      <c r="R352" s="4"/>
      <c r="S352" s="4"/>
      <c r="T352" s="4"/>
      <c r="U352" s="4"/>
      <c r="V352" s="4"/>
      <c r="W352" s="4"/>
      <c r="X352" s="4"/>
      <c r="Y352" s="4"/>
      <c r="Z352" s="4"/>
      <c r="AA352" s="4"/>
    </row>
    <row r="353" spans="1:27">
      <c r="A353" s="5"/>
      <c r="B353" s="5"/>
      <c r="C353" s="4"/>
      <c r="D353" s="5"/>
      <c r="E353" s="5"/>
      <c r="F353" s="5"/>
      <c r="G353" s="5"/>
      <c r="H353" s="5"/>
      <c r="I353" s="5"/>
      <c r="J353" s="5"/>
      <c r="K353" s="5"/>
      <c r="L353" s="5"/>
      <c r="M353" s="5"/>
      <c r="N353" s="5"/>
      <c r="O353" s="5"/>
      <c r="P353" s="4"/>
      <c r="Q353" s="4"/>
      <c r="R353" s="4"/>
      <c r="S353" s="4"/>
      <c r="T353" s="4"/>
      <c r="U353" s="4"/>
      <c r="V353" s="4"/>
      <c r="W353" s="4"/>
      <c r="X353" s="4"/>
      <c r="Y353" s="4"/>
      <c r="Z353" s="4"/>
      <c r="AA353" s="4"/>
    </row>
    <row r="354" spans="1:27">
      <c r="A354" s="5"/>
      <c r="B354" s="5"/>
      <c r="C354" s="4"/>
      <c r="D354" s="5"/>
      <c r="E354" s="5"/>
      <c r="F354" s="5"/>
      <c r="G354" s="5"/>
      <c r="H354" s="5"/>
      <c r="I354" s="5"/>
      <c r="J354" s="5"/>
      <c r="K354" s="5"/>
      <c r="L354" s="5"/>
      <c r="M354" s="5"/>
      <c r="N354" s="5"/>
      <c r="O354" s="5"/>
      <c r="P354" s="4"/>
      <c r="Q354" s="4"/>
      <c r="R354" s="4"/>
      <c r="S354" s="4"/>
      <c r="T354" s="4"/>
      <c r="U354" s="4"/>
      <c r="V354" s="4"/>
      <c r="W354" s="4"/>
      <c r="X354" s="4"/>
      <c r="Y354" s="4"/>
      <c r="Z354" s="4"/>
      <c r="AA354" s="4"/>
    </row>
    <row r="355" spans="1:27">
      <c r="A355" s="5"/>
      <c r="B355" s="5"/>
      <c r="C355" s="4"/>
      <c r="D355" s="5"/>
      <c r="E355" s="5"/>
      <c r="F355" s="5"/>
      <c r="G355" s="5"/>
      <c r="H355" s="5"/>
      <c r="I355" s="5"/>
      <c r="J355" s="5"/>
      <c r="K355" s="5"/>
      <c r="L355" s="5"/>
      <c r="M355" s="5"/>
      <c r="N355" s="5"/>
      <c r="O355" s="5"/>
      <c r="P355" s="4"/>
      <c r="Q355" s="4"/>
      <c r="R355" s="4"/>
      <c r="S355" s="4"/>
      <c r="T355" s="4"/>
      <c r="U355" s="4"/>
      <c r="V355" s="4"/>
      <c r="W355" s="4"/>
      <c r="X355" s="4"/>
      <c r="Y355" s="4"/>
      <c r="Z355" s="4"/>
      <c r="AA355" s="4"/>
    </row>
    <row r="356" spans="1:27">
      <c r="A356" s="5"/>
      <c r="B356" s="5"/>
      <c r="C356" s="4"/>
      <c r="D356" s="5"/>
      <c r="E356" s="5"/>
      <c r="F356" s="5"/>
      <c r="G356" s="5"/>
      <c r="H356" s="5"/>
      <c r="I356" s="5"/>
      <c r="J356" s="5"/>
      <c r="K356" s="5"/>
      <c r="L356" s="5"/>
      <c r="M356" s="5"/>
      <c r="N356" s="5"/>
      <c r="O356" s="5"/>
      <c r="P356" s="4"/>
      <c r="Q356" s="4"/>
      <c r="R356" s="4"/>
      <c r="S356" s="4"/>
      <c r="T356" s="4"/>
      <c r="U356" s="4"/>
      <c r="V356" s="4"/>
      <c r="W356" s="4"/>
      <c r="X356" s="4"/>
      <c r="Y356" s="4"/>
      <c r="Z356" s="4"/>
      <c r="AA356" s="4"/>
    </row>
    <row r="357" spans="1:27">
      <c r="A357" s="5"/>
      <c r="B357" s="5"/>
      <c r="C357" s="4"/>
      <c r="D357" s="5"/>
      <c r="E357" s="5"/>
      <c r="F357" s="5"/>
      <c r="G357" s="5"/>
      <c r="H357" s="5"/>
      <c r="I357" s="5"/>
      <c r="J357" s="5"/>
      <c r="K357" s="5"/>
      <c r="L357" s="5"/>
      <c r="M357" s="5"/>
      <c r="N357" s="5"/>
      <c r="O357" s="5"/>
      <c r="P357" s="4"/>
      <c r="Q357" s="4"/>
      <c r="R357" s="4"/>
      <c r="S357" s="4"/>
      <c r="T357" s="4"/>
      <c r="U357" s="4"/>
      <c r="V357" s="4"/>
      <c r="W357" s="4"/>
      <c r="X357" s="4"/>
      <c r="Y357" s="4"/>
      <c r="Z357" s="4"/>
      <c r="AA357" s="4"/>
    </row>
    <row r="358" spans="1:27">
      <c r="A358" s="5"/>
      <c r="B358" s="5"/>
      <c r="C358" s="4"/>
      <c r="D358" s="5"/>
      <c r="E358" s="5"/>
      <c r="F358" s="5"/>
      <c r="G358" s="5"/>
      <c r="H358" s="5"/>
      <c r="I358" s="5"/>
      <c r="J358" s="5"/>
      <c r="K358" s="5"/>
      <c r="L358" s="5"/>
      <c r="M358" s="5"/>
      <c r="N358" s="5"/>
      <c r="O358" s="5"/>
      <c r="P358" s="4"/>
      <c r="Q358" s="4"/>
      <c r="R358" s="4"/>
      <c r="S358" s="4"/>
      <c r="T358" s="4"/>
      <c r="U358" s="4"/>
      <c r="V358" s="4"/>
      <c r="W358" s="4"/>
      <c r="X358" s="4"/>
      <c r="Y358" s="4"/>
      <c r="Z358" s="4"/>
      <c r="AA358" s="4"/>
    </row>
    <row r="359" spans="1:27">
      <c r="A359" s="5"/>
      <c r="B359" s="5"/>
      <c r="C359" s="4"/>
      <c r="D359" s="5"/>
      <c r="E359" s="5"/>
      <c r="F359" s="5"/>
      <c r="G359" s="5"/>
      <c r="H359" s="5"/>
      <c r="I359" s="5"/>
      <c r="J359" s="5"/>
      <c r="K359" s="5"/>
      <c r="L359" s="5"/>
      <c r="M359" s="5"/>
      <c r="N359" s="5"/>
      <c r="O359" s="5"/>
      <c r="P359" s="4"/>
      <c r="Q359" s="4"/>
      <c r="R359" s="4"/>
      <c r="S359" s="4"/>
      <c r="T359" s="4"/>
      <c r="U359" s="4"/>
      <c r="V359" s="4"/>
      <c r="W359" s="4"/>
      <c r="X359" s="4"/>
      <c r="Y359" s="4"/>
      <c r="Z359" s="4"/>
      <c r="AA359" s="4"/>
    </row>
    <row r="360" spans="1:27">
      <c r="A360" s="5"/>
      <c r="B360" s="5"/>
      <c r="C360" s="4"/>
      <c r="D360" s="5"/>
      <c r="E360" s="5"/>
      <c r="F360" s="5"/>
      <c r="G360" s="5"/>
      <c r="H360" s="5"/>
      <c r="I360" s="5"/>
      <c r="J360" s="5"/>
      <c r="K360" s="5"/>
      <c r="L360" s="5"/>
      <c r="M360" s="5"/>
      <c r="N360" s="5"/>
      <c r="O360" s="5"/>
      <c r="P360" s="4"/>
      <c r="Q360" s="4"/>
      <c r="R360" s="4"/>
      <c r="S360" s="4"/>
      <c r="T360" s="4"/>
      <c r="U360" s="4"/>
      <c r="V360" s="4"/>
      <c r="W360" s="4"/>
      <c r="X360" s="4"/>
      <c r="Y360" s="4"/>
      <c r="Z360" s="4"/>
      <c r="AA360" s="4"/>
    </row>
    <row r="361" spans="1:27">
      <c r="A361" s="5"/>
      <c r="B361" s="5"/>
      <c r="C361" s="4"/>
      <c r="D361" s="5"/>
      <c r="E361" s="5"/>
      <c r="F361" s="5"/>
      <c r="G361" s="5"/>
      <c r="H361" s="5"/>
      <c r="I361" s="5"/>
      <c r="J361" s="5"/>
      <c r="K361" s="5"/>
      <c r="L361" s="5"/>
      <c r="M361" s="5"/>
      <c r="N361" s="5"/>
      <c r="O361" s="5"/>
      <c r="P361" s="4"/>
      <c r="Q361" s="4"/>
      <c r="R361" s="4"/>
      <c r="S361" s="4"/>
      <c r="T361" s="4"/>
      <c r="U361" s="4"/>
      <c r="V361" s="4"/>
      <c r="W361" s="4"/>
      <c r="X361" s="4"/>
      <c r="Y361" s="4"/>
      <c r="Z361" s="4"/>
      <c r="AA361" s="4"/>
    </row>
    <row r="362" spans="1:27">
      <c r="A362" s="5"/>
      <c r="B362" s="5"/>
      <c r="C362" s="4"/>
      <c r="D362" s="5"/>
      <c r="E362" s="5"/>
      <c r="F362" s="5"/>
      <c r="G362" s="5"/>
      <c r="H362" s="5"/>
      <c r="I362" s="5"/>
      <c r="J362" s="5"/>
      <c r="K362" s="5"/>
      <c r="L362" s="5"/>
      <c r="M362" s="5"/>
      <c r="N362" s="5"/>
      <c r="O362" s="5"/>
      <c r="P362" s="4"/>
      <c r="Q362" s="4"/>
      <c r="R362" s="4"/>
      <c r="S362" s="4"/>
      <c r="T362" s="4"/>
      <c r="U362" s="4"/>
      <c r="V362" s="4"/>
      <c r="W362" s="4"/>
      <c r="X362" s="4"/>
      <c r="Y362" s="4"/>
      <c r="Z362" s="4"/>
      <c r="AA362" s="4"/>
    </row>
    <row r="363" spans="1:27">
      <c r="A363" s="5"/>
      <c r="B363" s="5"/>
      <c r="C363" s="4"/>
      <c r="D363" s="5"/>
      <c r="E363" s="5"/>
      <c r="F363" s="5"/>
      <c r="G363" s="5"/>
      <c r="H363" s="5"/>
      <c r="I363" s="5"/>
      <c r="J363" s="5"/>
      <c r="K363" s="5"/>
      <c r="L363" s="5"/>
      <c r="M363" s="5"/>
      <c r="N363" s="5"/>
      <c r="O363" s="5"/>
      <c r="P363" s="4"/>
      <c r="Q363" s="4"/>
      <c r="R363" s="4"/>
      <c r="S363" s="4"/>
      <c r="T363" s="4"/>
      <c r="U363" s="4"/>
      <c r="V363" s="4"/>
      <c r="W363" s="4"/>
      <c r="X363" s="4"/>
      <c r="Y363" s="4"/>
      <c r="Z363" s="4"/>
      <c r="AA363" s="4"/>
    </row>
    <row r="364" spans="1:27">
      <c r="A364" s="5"/>
      <c r="B364" s="5"/>
      <c r="C364" s="4"/>
      <c r="D364" s="5"/>
      <c r="E364" s="5"/>
      <c r="F364" s="5"/>
      <c r="G364" s="5"/>
      <c r="H364" s="5"/>
      <c r="I364" s="5"/>
      <c r="J364" s="5"/>
      <c r="K364" s="5"/>
      <c r="L364" s="5"/>
      <c r="M364" s="5"/>
      <c r="N364" s="5"/>
      <c r="O364" s="5"/>
      <c r="P364" s="4"/>
      <c r="Q364" s="4"/>
      <c r="R364" s="4"/>
      <c r="S364" s="4"/>
      <c r="T364" s="4"/>
      <c r="U364" s="4"/>
      <c r="V364" s="4"/>
      <c r="W364" s="4"/>
      <c r="X364" s="4"/>
      <c r="Y364" s="4"/>
      <c r="Z364" s="4"/>
      <c r="AA364" s="4"/>
    </row>
    <row r="365" spans="1:27">
      <c r="A365" s="5"/>
      <c r="B365" s="5"/>
      <c r="C365" s="4"/>
      <c r="D365" s="5"/>
      <c r="E365" s="5"/>
      <c r="F365" s="5"/>
      <c r="G365" s="5"/>
      <c r="H365" s="5"/>
      <c r="I365" s="5"/>
      <c r="J365" s="5"/>
      <c r="K365" s="5"/>
      <c r="L365" s="5"/>
      <c r="M365" s="5"/>
      <c r="N365" s="5"/>
      <c r="O365" s="5"/>
      <c r="P365" s="4"/>
      <c r="Q365" s="4"/>
      <c r="R365" s="4"/>
      <c r="S365" s="4"/>
      <c r="T365" s="4"/>
      <c r="U365" s="4"/>
      <c r="V365" s="4"/>
      <c r="W365" s="4"/>
      <c r="X365" s="4"/>
      <c r="Y365" s="4"/>
      <c r="Z365" s="4"/>
      <c r="AA365" s="4"/>
    </row>
    <row r="366" spans="1:27">
      <c r="A366" s="5"/>
      <c r="B366" s="5"/>
      <c r="C366" s="4"/>
      <c r="D366" s="5"/>
      <c r="E366" s="5"/>
      <c r="F366" s="5"/>
      <c r="G366" s="5"/>
      <c r="H366" s="5"/>
      <c r="I366" s="5"/>
      <c r="J366" s="5"/>
      <c r="K366" s="5"/>
      <c r="L366" s="5"/>
      <c r="M366" s="5"/>
      <c r="N366" s="5"/>
      <c r="O366" s="5"/>
      <c r="P366" s="4"/>
      <c r="Q366" s="4"/>
      <c r="R366" s="4"/>
      <c r="S366" s="4"/>
      <c r="T366" s="4"/>
      <c r="U366" s="4"/>
      <c r="V366" s="4"/>
      <c r="W366" s="4"/>
      <c r="X366" s="4"/>
      <c r="Y366" s="4"/>
      <c r="Z366" s="4"/>
      <c r="AA366" s="4"/>
    </row>
    <row r="367" spans="1:27">
      <c r="A367" s="5"/>
      <c r="B367" s="5"/>
      <c r="C367" s="4"/>
      <c r="D367" s="5"/>
      <c r="E367" s="5"/>
      <c r="F367" s="5"/>
      <c r="G367" s="5"/>
      <c r="H367" s="5"/>
      <c r="I367" s="5"/>
      <c r="J367" s="5"/>
      <c r="K367" s="5"/>
      <c r="L367" s="5"/>
      <c r="M367" s="5"/>
      <c r="N367" s="5"/>
      <c r="O367" s="5"/>
      <c r="P367" s="4"/>
      <c r="Q367" s="4"/>
      <c r="R367" s="4"/>
      <c r="S367" s="4"/>
      <c r="T367" s="4"/>
      <c r="U367" s="4"/>
      <c r="V367" s="4"/>
      <c r="W367" s="4"/>
      <c r="X367" s="4"/>
      <c r="Y367" s="4"/>
      <c r="Z367" s="4"/>
      <c r="AA367" s="4"/>
    </row>
    <row r="368" spans="1:27">
      <c r="A368" s="5"/>
      <c r="B368" s="5"/>
      <c r="C368" s="4"/>
      <c r="D368" s="5"/>
      <c r="E368" s="5"/>
      <c r="F368" s="5"/>
      <c r="G368" s="5"/>
      <c r="H368" s="5"/>
      <c r="I368" s="5"/>
      <c r="J368" s="5"/>
      <c r="K368" s="5"/>
      <c r="L368" s="5"/>
      <c r="M368" s="5"/>
      <c r="N368" s="5"/>
      <c r="O368" s="5"/>
      <c r="P368" s="4"/>
      <c r="Q368" s="4"/>
      <c r="R368" s="4"/>
      <c r="S368" s="4"/>
      <c r="T368" s="4"/>
      <c r="U368" s="4"/>
      <c r="V368" s="4"/>
      <c r="W368" s="4"/>
      <c r="X368" s="4"/>
      <c r="Y368" s="4"/>
      <c r="Z368" s="4"/>
      <c r="AA368" s="4"/>
    </row>
    <row r="369" spans="1:27">
      <c r="A369" s="5"/>
      <c r="B369" s="5"/>
      <c r="C369" s="4"/>
      <c r="D369" s="5"/>
      <c r="E369" s="5"/>
      <c r="F369" s="5"/>
      <c r="G369" s="5"/>
      <c r="H369" s="5"/>
      <c r="I369" s="5"/>
      <c r="J369" s="5"/>
      <c r="K369" s="5"/>
      <c r="L369" s="5"/>
      <c r="M369" s="5"/>
      <c r="N369" s="5"/>
      <c r="O369" s="5"/>
      <c r="P369" s="4"/>
      <c r="Q369" s="4"/>
      <c r="R369" s="4"/>
      <c r="S369" s="4"/>
      <c r="T369" s="4"/>
      <c r="U369" s="4"/>
      <c r="V369" s="4"/>
      <c r="W369" s="4"/>
      <c r="X369" s="4"/>
      <c r="Y369" s="4"/>
      <c r="Z369" s="4"/>
      <c r="AA369" s="4"/>
    </row>
    <row r="370" spans="1:27">
      <c r="A370" s="5"/>
      <c r="B370" s="5"/>
      <c r="C370" s="4"/>
      <c r="D370" s="5"/>
      <c r="E370" s="5"/>
      <c r="F370" s="5"/>
      <c r="G370" s="5"/>
      <c r="H370" s="5"/>
      <c r="I370" s="5"/>
      <c r="J370" s="5"/>
      <c r="K370" s="5"/>
      <c r="L370" s="5"/>
      <c r="M370" s="5"/>
      <c r="N370" s="5"/>
      <c r="O370" s="5"/>
      <c r="P370" s="4"/>
      <c r="Q370" s="4"/>
      <c r="R370" s="4"/>
      <c r="S370" s="4"/>
      <c r="T370" s="4"/>
      <c r="U370" s="4"/>
      <c r="V370" s="4"/>
      <c r="W370" s="4"/>
      <c r="X370" s="4"/>
      <c r="Y370" s="4"/>
      <c r="Z370" s="4"/>
      <c r="AA370" s="4"/>
    </row>
    <row r="371" spans="1:27">
      <c r="A371" s="5"/>
      <c r="B371" s="5"/>
      <c r="C371" s="4"/>
      <c r="D371" s="5"/>
      <c r="E371" s="5"/>
      <c r="F371" s="5"/>
      <c r="G371" s="5"/>
      <c r="H371" s="5"/>
      <c r="I371" s="5"/>
      <c r="J371" s="5"/>
      <c r="K371" s="5"/>
      <c r="L371" s="5"/>
      <c r="M371" s="5"/>
      <c r="N371" s="5"/>
      <c r="O371" s="5"/>
      <c r="P371" s="4"/>
      <c r="Q371" s="4"/>
      <c r="R371" s="4"/>
      <c r="S371" s="4"/>
      <c r="T371" s="4"/>
      <c r="U371" s="4"/>
      <c r="V371" s="4"/>
      <c r="W371" s="4"/>
      <c r="X371" s="4"/>
      <c r="Y371" s="4"/>
      <c r="Z371" s="4"/>
      <c r="AA371" s="4"/>
    </row>
    <row r="372" spans="1:27">
      <c r="A372" s="5"/>
      <c r="B372" s="5"/>
      <c r="C372" s="4"/>
      <c r="D372" s="5"/>
      <c r="E372" s="5"/>
      <c r="F372" s="5"/>
      <c r="G372" s="5"/>
      <c r="H372" s="5"/>
      <c r="I372" s="5"/>
      <c r="J372" s="5"/>
      <c r="K372" s="5"/>
      <c r="L372" s="5"/>
      <c r="M372" s="5"/>
      <c r="N372" s="5"/>
      <c r="O372" s="5"/>
      <c r="P372" s="4"/>
      <c r="Q372" s="4"/>
      <c r="R372" s="4"/>
      <c r="S372" s="4"/>
      <c r="T372" s="4"/>
      <c r="U372" s="4"/>
      <c r="V372" s="4"/>
      <c r="W372" s="4"/>
      <c r="X372" s="4"/>
      <c r="Y372" s="4"/>
      <c r="Z372" s="4"/>
      <c r="AA372" s="4"/>
    </row>
    <row r="373" spans="1:27">
      <c r="A373" s="5"/>
      <c r="B373" s="5"/>
      <c r="C373" s="4"/>
      <c r="D373" s="5"/>
      <c r="E373" s="5"/>
      <c r="F373" s="5"/>
      <c r="G373" s="5"/>
      <c r="H373" s="5"/>
      <c r="I373" s="5"/>
      <c r="J373" s="5"/>
      <c r="K373" s="5"/>
      <c r="L373" s="5"/>
      <c r="M373" s="5"/>
      <c r="N373" s="5"/>
      <c r="O373" s="5"/>
      <c r="P373" s="4"/>
      <c r="Q373" s="4"/>
      <c r="R373" s="4"/>
      <c r="S373" s="4"/>
      <c r="T373" s="4"/>
      <c r="U373" s="4"/>
      <c r="V373" s="4"/>
      <c r="W373" s="4"/>
      <c r="X373" s="4"/>
      <c r="Y373" s="4"/>
      <c r="Z373" s="4"/>
      <c r="AA373" s="4"/>
    </row>
    <row r="374" spans="1:27">
      <c r="A374" s="5"/>
      <c r="B374" s="5"/>
      <c r="C374" s="4"/>
      <c r="D374" s="5"/>
      <c r="E374" s="5"/>
      <c r="F374" s="5"/>
      <c r="G374" s="5"/>
      <c r="H374" s="5"/>
      <c r="I374" s="5"/>
      <c r="J374" s="5"/>
      <c r="K374" s="5"/>
      <c r="L374" s="5"/>
      <c r="M374" s="5"/>
      <c r="N374" s="5"/>
      <c r="O374" s="5"/>
      <c r="P374" s="4"/>
      <c r="Q374" s="4"/>
      <c r="R374" s="4"/>
      <c r="S374" s="4"/>
      <c r="T374" s="4"/>
      <c r="U374" s="4"/>
      <c r="V374" s="4"/>
      <c r="W374" s="4"/>
      <c r="X374" s="4"/>
      <c r="Y374" s="4"/>
      <c r="Z374" s="4"/>
      <c r="AA374" s="4"/>
    </row>
    <row r="375" spans="1:27">
      <c r="A375" s="5"/>
      <c r="B375" s="5"/>
      <c r="C375" s="4"/>
      <c r="D375" s="5"/>
      <c r="E375" s="5"/>
      <c r="F375" s="5"/>
      <c r="G375" s="5"/>
      <c r="H375" s="5"/>
      <c r="I375" s="5"/>
      <c r="J375" s="5"/>
      <c r="K375" s="5"/>
      <c r="L375" s="5"/>
      <c r="M375" s="5"/>
      <c r="N375" s="5"/>
      <c r="O375" s="5"/>
      <c r="P375" s="4"/>
      <c r="Q375" s="4"/>
      <c r="R375" s="4"/>
      <c r="S375" s="4"/>
      <c r="T375" s="4"/>
      <c r="U375" s="4"/>
      <c r="V375" s="4"/>
      <c r="W375" s="4"/>
      <c r="X375" s="4"/>
      <c r="Y375" s="4"/>
      <c r="Z375" s="4"/>
      <c r="AA375" s="4"/>
    </row>
    <row r="376" spans="1:27">
      <c r="A376" s="5"/>
      <c r="B376" s="5"/>
      <c r="C376" s="4"/>
      <c r="D376" s="5"/>
      <c r="E376" s="5"/>
      <c r="F376" s="5"/>
      <c r="G376" s="5"/>
      <c r="H376" s="5"/>
      <c r="I376" s="5"/>
      <c r="J376" s="5"/>
      <c r="K376" s="5"/>
      <c r="L376" s="5"/>
      <c r="M376" s="5"/>
      <c r="N376" s="5"/>
      <c r="O376" s="5"/>
      <c r="P376" s="4"/>
      <c r="Q376" s="4"/>
      <c r="R376" s="4"/>
      <c r="S376" s="4"/>
      <c r="T376" s="4"/>
      <c r="U376" s="4"/>
      <c r="V376" s="4"/>
      <c r="W376" s="4"/>
      <c r="X376" s="4"/>
      <c r="Y376" s="4"/>
      <c r="Z376" s="4"/>
      <c r="AA376" s="4"/>
    </row>
    <row r="377" spans="1:27">
      <c r="A377" s="5"/>
      <c r="B377" s="5"/>
      <c r="C377" s="4"/>
      <c r="D377" s="5"/>
      <c r="E377" s="5"/>
      <c r="F377" s="5"/>
      <c r="G377" s="5"/>
      <c r="H377" s="5"/>
      <c r="I377" s="5"/>
      <c r="J377" s="5"/>
      <c r="K377" s="5"/>
      <c r="L377" s="5"/>
      <c r="M377" s="5"/>
      <c r="N377" s="5"/>
      <c r="O377" s="5"/>
      <c r="P377" s="4"/>
      <c r="Q377" s="4"/>
      <c r="R377" s="4"/>
      <c r="S377" s="4"/>
      <c r="T377" s="4"/>
      <c r="U377" s="4"/>
      <c r="V377" s="4"/>
      <c r="W377" s="4"/>
      <c r="X377" s="4"/>
      <c r="Y377" s="4"/>
      <c r="Z377" s="4"/>
      <c r="AA377" s="4"/>
    </row>
    <row r="378" spans="1:27">
      <c r="A378" s="5"/>
      <c r="B378" s="5"/>
      <c r="C378" s="4"/>
      <c r="D378" s="5"/>
      <c r="E378" s="5"/>
      <c r="F378" s="5"/>
      <c r="G378" s="5"/>
      <c r="H378" s="5"/>
      <c r="I378" s="5"/>
      <c r="J378" s="5"/>
      <c r="K378" s="5"/>
      <c r="L378" s="5"/>
      <c r="M378" s="5"/>
      <c r="N378" s="5"/>
      <c r="O378" s="5"/>
      <c r="P378" s="4"/>
      <c r="Q378" s="4"/>
      <c r="R378" s="4"/>
      <c r="S378" s="4"/>
      <c r="T378" s="4"/>
      <c r="U378" s="4"/>
      <c r="V378" s="4"/>
      <c r="W378" s="4"/>
      <c r="X378" s="4"/>
      <c r="Y378" s="4"/>
      <c r="Z378" s="4"/>
      <c r="AA378" s="4"/>
    </row>
    <row r="379" spans="1:27">
      <c r="A379" s="5"/>
      <c r="B379" s="5"/>
      <c r="C379" s="4"/>
      <c r="D379" s="5"/>
      <c r="E379" s="5"/>
      <c r="F379" s="5"/>
      <c r="G379" s="5"/>
      <c r="H379" s="5"/>
      <c r="I379" s="5"/>
      <c r="J379" s="5"/>
      <c r="K379" s="5"/>
      <c r="L379" s="5"/>
      <c r="M379" s="5"/>
      <c r="N379" s="5"/>
      <c r="O379" s="5"/>
      <c r="P379" s="4"/>
      <c r="Q379" s="4"/>
      <c r="R379" s="4"/>
      <c r="S379" s="4"/>
      <c r="T379" s="4"/>
      <c r="U379" s="4"/>
      <c r="V379" s="4"/>
      <c r="W379" s="4"/>
      <c r="X379" s="4"/>
      <c r="Y379" s="4"/>
      <c r="Z379" s="4"/>
      <c r="AA379" s="4"/>
    </row>
    <row r="380" spans="1:27">
      <c r="A380" s="5"/>
      <c r="B380" s="5"/>
      <c r="C380" s="4"/>
      <c r="D380" s="5"/>
      <c r="E380" s="5"/>
      <c r="F380" s="5"/>
      <c r="G380" s="5"/>
      <c r="H380" s="5"/>
      <c r="I380" s="5"/>
      <c r="J380" s="5"/>
      <c r="K380" s="5"/>
      <c r="L380" s="5"/>
      <c r="M380" s="5"/>
      <c r="N380" s="5"/>
      <c r="O380" s="5"/>
      <c r="P380" s="4"/>
      <c r="Q380" s="4"/>
      <c r="R380" s="4"/>
      <c r="S380" s="4"/>
      <c r="T380" s="4"/>
      <c r="U380" s="4"/>
      <c r="V380" s="4"/>
      <c r="W380" s="4"/>
      <c r="X380" s="4"/>
      <c r="Y380" s="4"/>
      <c r="Z380" s="4"/>
      <c r="AA380" s="4"/>
    </row>
    <row r="381" spans="1:27">
      <c r="A381" s="5"/>
      <c r="B381" s="5"/>
      <c r="C381" s="4"/>
      <c r="D381" s="5"/>
      <c r="E381" s="5"/>
      <c r="F381" s="5"/>
      <c r="G381" s="5"/>
      <c r="H381" s="5"/>
      <c r="I381" s="5"/>
      <c r="J381" s="5"/>
      <c r="K381" s="5"/>
      <c r="L381" s="5"/>
      <c r="M381" s="5"/>
      <c r="N381" s="5"/>
      <c r="O381" s="5"/>
      <c r="P381" s="4"/>
      <c r="Q381" s="4"/>
      <c r="R381" s="4"/>
      <c r="S381" s="4"/>
      <c r="T381" s="4"/>
      <c r="U381" s="4"/>
      <c r="V381" s="4"/>
      <c r="W381" s="4"/>
      <c r="X381" s="4"/>
      <c r="Y381" s="4"/>
      <c r="Z381" s="4"/>
      <c r="AA381" s="4"/>
    </row>
    <row r="382" spans="1:27">
      <c r="A382" s="5"/>
      <c r="B382" s="5"/>
      <c r="C382" s="4"/>
      <c r="D382" s="5"/>
      <c r="E382" s="5"/>
      <c r="F382" s="5"/>
      <c r="G382" s="5"/>
      <c r="H382" s="5"/>
      <c r="I382" s="5"/>
      <c r="J382" s="5"/>
      <c r="K382" s="5"/>
      <c r="L382" s="5"/>
      <c r="M382" s="5"/>
      <c r="N382" s="5"/>
      <c r="O382" s="5"/>
      <c r="P382" s="4"/>
      <c r="Q382" s="4"/>
      <c r="R382" s="4"/>
      <c r="S382" s="4"/>
      <c r="T382" s="4"/>
      <c r="U382" s="4"/>
      <c r="V382" s="4"/>
      <c r="W382" s="4"/>
      <c r="X382" s="4"/>
      <c r="Y382" s="4"/>
      <c r="Z382" s="4"/>
      <c r="AA382" s="4"/>
    </row>
    <row r="383" spans="1:27">
      <c r="A383" s="5"/>
      <c r="B383" s="5"/>
      <c r="C383" s="4"/>
      <c r="D383" s="5"/>
      <c r="E383" s="5"/>
      <c r="F383" s="5"/>
      <c r="G383" s="5"/>
      <c r="H383" s="5"/>
      <c r="I383" s="5"/>
      <c r="J383" s="5"/>
      <c r="K383" s="5"/>
      <c r="L383" s="5"/>
      <c r="M383" s="5"/>
      <c r="N383" s="5"/>
      <c r="O383" s="5"/>
      <c r="P383" s="4"/>
      <c r="Q383" s="4"/>
      <c r="R383" s="4"/>
      <c r="S383" s="4"/>
      <c r="T383" s="4"/>
      <c r="U383" s="4"/>
      <c r="V383" s="4"/>
      <c r="W383" s="4"/>
      <c r="X383" s="4"/>
      <c r="Y383" s="4"/>
      <c r="Z383" s="4"/>
      <c r="AA383" s="4"/>
    </row>
    <row r="384" spans="1:27">
      <c r="A384" s="5"/>
      <c r="B384" s="5"/>
      <c r="C384" s="4"/>
      <c r="D384" s="5"/>
      <c r="E384" s="5"/>
      <c r="F384" s="5"/>
      <c r="G384" s="5"/>
      <c r="H384" s="5"/>
      <c r="I384" s="5"/>
      <c r="J384" s="5"/>
      <c r="K384" s="5"/>
      <c r="L384" s="5"/>
      <c r="M384" s="5"/>
      <c r="N384" s="5"/>
      <c r="O384" s="5"/>
      <c r="P384" s="4"/>
      <c r="Q384" s="4"/>
      <c r="R384" s="4"/>
      <c r="S384" s="4"/>
      <c r="T384" s="4"/>
      <c r="U384" s="4"/>
      <c r="V384" s="4"/>
      <c r="W384" s="4"/>
      <c r="X384" s="4"/>
      <c r="Y384" s="4"/>
      <c r="Z384" s="4"/>
      <c r="AA384" s="4"/>
    </row>
    <row r="385" spans="1:27">
      <c r="A385" s="5"/>
      <c r="B385" s="5"/>
      <c r="C385" s="4"/>
      <c r="D385" s="5"/>
      <c r="E385" s="5"/>
      <c r="F385" s="5"/>
      <c r="G385" s="5"/>
      <c r="H385" s="5"/>
      <c r="I385" s="5"/>
      <c r="J385" s="5"/>
      <c r="K385" s="5"/>
      <c r="L385" s="5"/>
      <c r="M385" s="5"/>
      <c r="N385" s="5"/>
      <c r="O385" s="5"/>
      <c r="P385" s="4"/>
      <c r="Q385" s="4"/>
      <c r="R385" s="4"/>
      <c r="S385" s="4"/>
      <c r="T385" s="4"/>
      <c r="U385" s="4"/>
      <c r="V385" s="4"/>
      <c r="W385" s="4"/>
      <c r="X385" s="4"/>
      <c r="Y385" s="4"/>
      <c r="Z385" s="4"/>
      <c r="AA385" s="4"/>
    </row>
    <row r="386" spans="1:27">
      <c r="A386" s="5"/>
      <c r="B386" s="5"/>
      <c r="C386" s="4"/>
      <c r="D386" s="5"/>
      <c r="E386" s="5"/>
      <c r="F386" s="5"/>
      <c r="G386" s="5"/>
      <c r="H386" s="5"/>
      <c r="I386" s="5"/>
      <c r="J386" s="5"/>
      <c r="K386" s="5"/>
      <c r="L386" s="5"/>
      <c r="M386" s="5"/>
      <c r="N386" s="5"/>
      <c r="O386" s="5"/>
      <c r="P386" s="4"/>
      <c r="Q386" s="4"/>
      <c r="R386" s="4"/>
      <c r="S386" s="4"/>
      <c r="T386" s="4"/>
      <c r="U386" s="4"/>
      <c r="V386" s="4"/>
      <c r="W386" s="4"/>
      <c r="X386" s="4"/>
      <c r="Y386" s="4"/>
      <c r="Z386" s="4"/>
      <c r="AA386" s="4"/>
    </row>
    <row r="387" spans="1:27">
      <c r="A387" s="5"/>
      <c r="B387" s="5"/>
      <c r="C387" s="4"/>
      <c r="D387" s="5"/>
      <c r="E387" s="5"/>
      <c r="F387" s="5"/>
      <c r="G387" s="5"/>
      <c r="H387" s="5"/>
      <c r="I387" s="5"/>
      <c r="J387" s="5"/>
      <c r="K387" s="5"/>
      <c r="L387" s="5"/>
      <c r="M387" s="5"/>
      <c r="N387" s="5"/>
      <c r="O387" s="5"/>
      <c r="P387" s="4"/>
      <c r="Q387" s="4"/>
      <c r="R387" s="4"/>
      <c r="S387" s="4"/>
      <c r="T387" s="4"/>
      <c r="U387" s="4"/>
      <c r="V387" s="4"/>
      <c r="W387" s="4"/>
      <c r="X387" s="4"/>
      <c r="Y387" s="4"/>
      <c r="Z387" s="4"/>
      <c r="AA387" s="4"/>
    </row>
    <row r="388" spans="1:27">
      <c r="A388" s="5"/>
      <c r="B388" s="5"/>
      <c r="C388" s="4"/>
      <c r="D388" s="5"/>
      <c r="E388" s="5"/>
      <c r="F388" s="5"/>
      <c r="G388" s="5"/>
      <c r="H388" s="5"/>
      <c r="I388" s="5"/>
      <c r="J388" s="5"/>
      <c r="K388" s="5"/>
      <c r="L388" s="5"/>
      <c r="M388" s="5"/>
      <c r="N388" s="5"/>
      <c r="O388" s="5"/>
      <c r="P388" s="4"/>
      <c r="Q388" s="4"/>
      <c r="R388" s="4"/>
      <c r="S388" s="4"/>
      <c r="T388" s="4"/>
      <c r="U388" s="4"/>
      <c r="V388" s="4"/>
      <c r="W388" s="4"/>
      <c r="X388" s="4"/>
      <c r="Y388" s="4"/>
      <c r="Z388" s="4"/>
      <c r="AA388" s="4"/>
    </row>
    <row r="389" spans="1:27">
      <c r="A389" s="5"/>
      <c r="B389" s="5"/>
      <c r="C389" s="4"/>
      <c r="D389" s="5"/>
      <c r="E389" s="5"/>
      <c r="F389" s="5"/>
      <c r="G389" s="5"/>
      <c r="H389" s="5"/>
      <c r="I389" s="5"/>
      <c r="J389" s="5"/>
      <c r="K389" s="5"/>
      <c r="L389" s="5"/>
      <c r="M389" s="5"/>
      <c r="N389" s="5"/>
      <c r="O389" s="5"/>
      <c r="P389" s="4"/>
      <c r="Q389" s="4"/>
      <c r="R389" s="4"/>
      <c r="S389" s="4"/>
      <c r="T389" s="4"/>
      <c r="U389" s="4"/>
      <c r="V389" s="4"/>
      <c r="W389" s="4"/>
      <c r="X389" s="4"/>
      <c r="Y389" s="4"/>
      <c r="Z389" s="4"/>
      <c r="AA389" s="4"/>
    </row>
    <row r="390" spans="1:27">
      <c r="A390" s="5"/>
      <c r="B390" s="5"/>
      <c r="C390" s="4"/>
      <c r="D390" s="5"/>
      <c r="E390" s="5"/>
      <c r="F390" s="5"/>
      <c r="G390" s="5"/>
      <c r="H390" s="5"/>
      <c r="I390" s="5"/>
      <c r="J390" s="5"/>
      <c r="K390" s="5"/>
      <c r="L390" s="5"/>
      <c r="M390" s="5"/>
      <c r="N390" s="5"/>
      <c r="O390" s="5"/>
      <c r="P390" s="4"/>
      <c r="Q390" s="4"/>
      <c r="R390" s="4"/>
      <c r="S390" s="4"/>
      <c r="T390" s="4"/>
      <c r="U390" s="4"/>
      <c r="V390" s="4"/>
      <c r="W390" s="4"/>
      <c r="X390" s="4"/>
      <c r="Y390" s="4"/>
      <c r="Z390" s="4"/>
      <c r="AA390" s="4"/>
    </row>
    <row r="391" spans="1:27">
      <c r="A391" s="5"/>
      <c r="B391" s="5"/>
      <c r="C391" s="4"/>
      <c r="D391" s="5"/>
      <c r="E391" s="5"/>
      <c r="F391" s="5"/>
      <c r="G391" s="5"/>
      <c r="H391" s="5"/>
      <c r="I391" s="5"/>
      <c r="J391" s="5"/>
      <c r="K391" s="5"/>
      <c r="L391" s="5"/>
      <c r="M391" s="5"/>
      <c r="N391" s="5"/>
      <c r="O391" s="5"/>
      <c r="P391" s="4"/>
      <c r="Q391" s="4"/>
      <c r="R391" s="4"/>
      <c r="S391" s="4"/>
      <c r="T391" s="4"/>
      <c r="U391" s="4"/>
      <c r="V391" s="4"/>
      <c r="W391" s="4"/>
      <c r="X391" s="4"/>
      <c r="Y391" s="4"/>
      <c r="Z391" s="4"/>
      <c r="AA391" s="4"/>
    </row>
    <row r="392" spans="1:27">
      <c r="A392" s="5"/>
      <c r="B392" s="5"/>
      <c r="C392" s="4"/>
      <c r="D392" s="5"/>
      <c r="E392" s="5"/>
      <c r="F392" s="5"/>
      <c r="G392" s="5"/>
      <c r="H392" s="5"/>
      <c r="I392" s="5"/>
      <c r="J392" s="5"/>
      <c r="K392" s="5"/>
      <c r="L392" s="5"/>
      <c r="M392" s="5"/>
      <c r="N392" s="5"/>
      <c r="O392" s="5"/>
      <c r="P392" s="4"/>
      <c r="Q392" s="4"/>
      <c r="R392" s="4"/>
      <c r="S392" s="4"/>
      <c r="T392" s="4"/>
      <c r="U392" s="4"/>
      <c r="V392" s="4"/>
      <c r="W392" s="4"/>
      <c r="X392" s="4"/>
      <c r="Y392" s="4"/>
      <c r="Z392" s="4"/>
      <c r="AA392" s="4"/>
    </row>
    <row r="393" spans="1:27">
      <c r="A393" s="5"/>
      <c r="B393" s="5"/>
      <c r="C393" s="4"/>
      <c r="D393" s="5"/>
      <c r="E393" s="5"/>
      <c r="F393" s="5"/>
      <c r="G393" s="5"/>
      <c r="H393" s="5"/>
      <c r="I393" s="5"/>
      <c r="J393" s="5"/>
      <c r="K393" s="5"/>
      <c r="L393" s="5"/>
      <c r="M393" s="5"/>
      <c r="N393" s="5"/>
      <c r="O393" s="5"/>
      <c r="P393" s="4"/>
      <c r="Q393" s="4"/>
      <c r="R393" s="4"/>
      <c r="S393" s="4"/>
      <c r="T393" s="4"/>
      <c r="U393" s="4"/>
      <c r="V393" s="4"/>
      <c r="W393" s="4"/>
      <c r="X393" s="4"/>
      <c r="Y393" s="4"/>
      <c r="Z393" s="4"/>
      <c r="AA393" s="4"/>
    </row>
    <row r="394" spans="1:27">
      <c r="A394" s="5"/>
      <c r="B394" s="5"/>
      <c r="C394" s="4"/>
      <c r="D394" s="5"/>
      <c r="E394" s="5"/>
      <c r="F394" s="5"/>
      <c r="G394" s="5"/>
      <c r="H394" s="5"/>
      <c r="I394" s="5"/>
      <c r="J394" s="5"/>
      <c r="K394" s="5"/>
      <c r="L394" s="5"/>
      <c r="M394" s="5"/>
      <c r="N394" s="5"/>
      <c r="O394" s="5"/>
      <c r="P394" s="4"/>
      <c r="Q394" s="4"/>
      <c r="R394" s="4"/>
      <c r="S394" s="4"/>
      <c r="T394" s="4"/>
      <c r="U394" s="4"/>
      <c r="V394" s="4"/>
      <c r="W394" s="4"/>
      <c r="X394" s="4"/>
      <c r="Y394" s="4"/>
      <c r="Z394" s="4"/>
      <c r="AA394" s="4"/>
    </row>
    <row r="395" spans="1:27">
      <c r="A395" s="5"/>
      <c r="B395" s="5"/>
      <c r="C395" s="4"/>
      <c r="D395" s="5"/>
      <c r="E395" s="5"/>
      <c r="F395" s="5"/>
      <c r="G395" s="5"/>
      <c r="H395" s="5"/>
      <c r="I395" s="5"/>
      <c r="J395" s="5"/>
      <c r="K395" s="5"/>
      <c r="L395" s="5"/>
      <c r="M395" s="5"/>
      <c r="N395" s="5"/>
      <c r="O395" s="5"/>
      <c r="P395" s="4"/>
      <c r="Q395" s="4"/>
      <c r="R395" s="4"/>
      <c r="S395" s="4"/>
      <c r="T395" s="4"/>
      <c r="U395" s="4"/>
      <c r="V395" s="4"/>
      <c r="W395" s="4"/>
      <c r="X395" s="4"/>
      <c r="Y395" s="4"/>
      <c r="Z395" s="4"/>
      <c r="AA395" s="4"/>
    </row>
    <row r="396" spans="1:27">
      <c r="A396" s="5"/>
      <c r="B396" s="5"/>
      <c r="C396" s="4"/>
      <c r="D396" s="5"/>
      <c r="E396" s="5"/>
      <c r="F396" s="5"/>
      <c r="G396" s="5"/>
      <c r="H396" s="5"/>
      <c r="I396" s="5"/>
      <c r="J396" s="5"/>
      <c r="K396" s="5"/>
      <c r="L396" s="5"/>
      <c r="M396" s="5"/>
      <c r="N396" s="5"/>
      <c r="O396" s="5"/>
      <c r="P396" s="4"/>
      <c r="Q396" s="4"/>
      <c r="R396" s="4"/>
      <c r="S396" s="4"/>
      <c r="T396" s="4"/>
      <c r="U396" s="4"/>
      <c r="V396" s="4"/>
      <c r="W396" s="4"/>
      <c r="X396" s="4"/>
      <c r="Y396" s="4"/>
      <c r="Z396" s="4"/>
      <c r="AA396" s="4"/>
    </row>
    <row r="397" spans="1:27">
      <c r="A397" s="5"/>
      <c r="B397" s="5"/>
      <c r="C397" s="4"/>
      <c r="D397" s="5"/>
      <c r="E397" s="5"/>
      <c r="F397" s="5"/>
      <c r="G397" s="5"/>
      <c r="H397" s="5"/>
      <c r="I397" s="5"/>
      <c r="J397" s="5"/>
      <c r="K397" s="5"/>
      <c r="L397" s="5"/>
      <c r="M397" s="5"/>
      <c r="N397" s="5"/>
      <c r="O397" s="5"/>
      <c r="P397" s="4"/>
      <c r="Q397" s="4"/>
      <c r="R397" s="4"/>
      <c r="S397" s="4"/>
      <c r="T397" s="4"/>
      <c r="U397" s="4"/>
      <c r="V397" s="4"/>
      <c r="W397" s="4"/>
      <c r="X397" s="4"/>
      <c r="Y397" s="4"/>
      <c r="Z397" s="4"/>
      <c r="AA397" s="4"/>
    </row>
    <row r="398" spans="1:27">
      <c r="A398" s="5"/>
      <c r="B398" s="5"/>
      <c r="C398" s="4"/>
      <c r="D398" s="5"/>
      <c r="E398" s="5"/>
      <c r="F398" s="5"/>
      <c r="G398" s="5"/>
      <c r="H398" s="5"/>
      <c r="I398" s="5"/>
      <c r="J398" s="5"/>
      <c r="K398" s="5"/>
      <c r="L398" s="5"/>
      <c r="M398" s="5"/>
      <c r="N398" s="5"/>
      <c r="O398" s="5"/>
      <c r="P398" s="4"/>
      <c r="Q398" s="4"/>
      <c r="R398" s="4"/>
      <c r="S398" s="4"/>
      <c r="T398" s="4"/>
      <c r="U398" s="4"/>
      <c r="V398" s="4"/>
      <c r="W398" s="4"/>
      <c r="X398" s="4"/>
      <c r="Y398" s="4"/>
      <c r="Z398" s="4"/>
      <c r="AA398" s="4"/>
    </row>
    <row r="399" spans="1:27">
      <c r="A399" s="5"/>
      <c r="B399" s="5"/>
      <c r="C399" s="4"/>
      <c r="D399" s="5"/>
      <c r="E399" s="5"/>
      <c r="F399" s="5"/>
      <c r="G399" s="5"/>
      <c r="H399" s="5"/>
      <c r="I399" s="5"/>
      <c r="J399" s="5"/>
      <c r="K399" s="5"/>
      <c r="L399" s="5"/>
      <c r="M399" s="5"/>
      <c r="N399" s="5"/>
      <c r="O399" s="5"/>
      <c r="P399" s="4"/>
      <c r="Q399" s="4"/>
      <c r="R399" s="4"/>
      <c r="S399" s="4"/>
      <c r="T399" s="4"/>
      <c r="U399" s="4"/>
      <c r="V399" s="4"/>
      <c r="W399" s="4"/>
      <c r="X399" s="4"/>
      <c r="Y399" s="4"/>
      <c r="Z399" s="4"/>
      <c r="AA399" s="4"/>
    </row>
    <row r="400" spans="1:27">
      <c r="A400" s="5"/>
      <c r="B400" s="5"/>
      <c r="C400" s="4"/>
      <c r="D400" s="5"/>
      <c r="E400" s="5"/>
      <c r="F400" s="5"/>
      <c r="G400" s="5"/>
      <c r="H400" s="5"/>
      <c r="I400" s="5"/>
      <c r="J400" s="5"/>
      <c r="K400" s="5"/>
      <c r="L400" s="5"/>
      <c r="M400" s="5"/>
      <c r="N400" s="5"/>
      <c r="O400" s="5"/>
      <c r="P400" s="4"/>
      <c r="Q400" s="4"/>
      <c r="R400" s="4"/>
      <c r="S400" s="4"/>
      <c r="T400" s="4"/>
      <c r="U400" s="4"/>
      <c r="V400" s="4"/>
      <c r="W400" s="4"/>
      <c r="X400" s="4"/>
      <c r="Y400" s="4"/>
      <c r="Z400" s="4"/>
      <c r="AA400" s="4"/>
    </row>
    <row r="401" spans="1:27">
      <c r="A401" s="5"/>
      <c r="B401" s="5"/>
      <c r="C401" s="4"/>
      <c r="D401" s="5"/>
      <c r="E401" s="5"/>
      <c r="F401" s="5"/>
      <c r="G401" s="5"/>
      <c r="H401" s="5"/>
      <c r="I401" s="5"/>
      <c r="J401" s="5"/>
      <c r="K401" s="5"/>
      <c r="L401" s="5"/>
      <c r="M401" s="5"/>
      <c r="N401" s="5"/>
      <c r="O401" s="5"/>
      <c r="P401" s="4"/>
      <c r="Q401" s="4"/>
      <c r="R401" s="4"/>
      <c r="S401" s="4"/>
      <c r="T401" s="4"/>
      <c r="U401" s="4"/>
      <c r="V401" s="4"/>
      <c r="W401" s="4"/>
      <c r="X401" s="4"/>
      <c r="Y401" s="4"/>
      <c r="Z401" s="4"/>
      <c r="AA401" s="4"/>
    </row>
    <row r="402" spans="1:27">
      <c r="A402" s="5"/>
      <c r="B402" s="5"/>
      <c r="C402" s="4"/>
      <c r="D402" s="5"/>
      <c r="E402" s="5"/>
      <c r="F402" s="5"/>
      <c r="G402" s="5"/>
      <c r="H402" s="5"/>
      <c r="I402" s="5"/>
      <c r="J402" s="5"/>
      <c r="K402" s="5"/>
      <c r="L402" s="5"/>
      <c r="M402" s="5"/>
      <c r="N402" s="5"/>
      <c r="O402" s="5"/>
      <c r="P402" s="4"/>
      <c r="Q402" s="4"/>
      <c r="R402" s="4"/>
      <c r="S402" s="4"/>
      <c r="T402" s="4"/>
      <c r="U402" s="4"/>
      <c r="V402" s="4"/>
      <c r="W402" s="4"/>
      <c r="X402" s="4"/>
      <c r="Y402" s="4"/>
      <c r="Z402" s="4"/>
      <c r="AA402" s="4"/>
    </row>
    <row r="403" spans="1:27">
      <c r="A403" s="5"/>
      <c r="B403" s="5"/>
      <c r="C403" s="4"/>
      <c r="D403" s="5"/>
      <c r="E403" s="5"/>
      <c r="F403" s="5"/>
      <c r="G403" s="5"/>
      <c r="H403" s="5"/>
      <c r="I403" s="5"/>
      <c r="J403" s="5"/>
      <c r="K403" s="5"/>
      <c r="L403" s="5"/>
      <c r="M403" s="5"/>
      <c r="N403" s="5"/>
      <c r="O403" s="5"/>
      <c r="P403" s="4"/>
      <c r="Q403" s="4"/>
      <c r="R403" s="4"/>
      <c r="S403" s="4"/>
      <c r="T403" s="4"/>
      <c r="U403" s="4"/>
      <c r="V403" s="4"/>
      <c r="W403" s="4"/>
      <c r="X403" s="4"/>
      <c r="Y403" s="4"/>
      <c r="Z403" s="4"/>
      <c r="AA403" s="4"/>
    </row>
    <row r="404" spans="1:27">
      <c r="A404" s="5"/>
      <c r="B404" s="5"/>
      <c r="C404" s="4"/>
      <c r="D404" s="5"/>
      <c r="E404" s="5"/>
      <c r="F404" s="5"/>
      <c r="G404" s="5"/>
      <c r="H404" s="5"/>
      <c r="I404" s="5"/>
      <c r="J404" s="5"/>
      <c r="K404" s="5"/>
      <c r="L404" s="5"/>
      <c r="M404" s="5"/>
      <c r="N404" s="5"/>
      <c r="O404" s="5"/>
      <c r="P404" s="4"/>
      <c r="Q404" s="4"/>
      <c r="R404" s="4"/>
      <c r="S404" s="4"/>
      <c r="T404" s="4"/>
      <c r="U404" s="4"/>
      <c r="V404" s="4"/>
      <c r="W404" s="4"/>
      <c r="X404" s="4"/>
      <c r="Y404" s="4"/>
      <c r="Z404" s="4"/>
      <c r="AA404" s="4"/>
    </row>
    <row r="405" spans="1:27">
      <c r="A405" s="5"/>
      <c r="B405" s="5"/>
      <c r="C405" s="4"/>
      <c r="D405" s="5"/>
      <c r="E405" s="5"/>
      <c r="F405" s="5"/>
      <c r="G405" s="5"/>
      <c r="H405" s="5"/>
      <c r="I405" s="5"/>
      <c r="J405" s="5"/>
      <c r="K405" s="5"/>
      <c r="L405" s="5"/>
      <c r="M405" s="5"/>
      <c r="N405" s="5"/>
      <c r="O405" s="5"/>
      <c r="P405" s="4"/>
      <c r="Q405" s="4"/>
      <c r="R405" s="4"/>
      <c r="S405" s="4"/>
      <c r="T405" s="4"/>
      <c r="U405" s="4"/>
      <c r="V405" s="4"/>
      <c r="W405" s="4"/>
      <c r="X405" s="4"/>
      <c r="Y405" s="4"/>
      <c r="Z405" s="4"/>
      <c r="AA405" s="4"/>
    </row>
    <row r="406" spans="1:27">
      <c r="A406" s="5"/>
      <c r="B406" s="5"/>
      <c r="C406" s="4"/>
      <c r="D406" s="5"/>
      <c r="E406" s="5"/>
      <c r="F406" s="5"/>
      <c r="G406" s="5"/>
      <c r="H406" s="5"/>
      <c r="I406" s="5"/>
      <c r="J406" s="5"/>
      <c r="K406" s="5"/>
      <c r="L406" s="5"/>
      <c r="M406" s="5"/>
      <c r="N406" s="5"/>
      <c r="O406" s="5"/>
      <c r="P406" s="4"/>
      <c r="Q406" s="4"/>
      <c r="R406" s="4"/>
      <c r="S406" s="4"/>
      <c r="T406" s="4"/>
      <c r="U406" s="4"/>
      <c r="V406" s="4"/>
      <c r="W406" s="4"/>
      <c r="X406" s="4"/>
      <c r="Y406" s="4"/>
      <c r="Z406" s="4"/>
      <c r="AA406" s="4"/>
    </row>
    <row r="407" spans="1:27">
      <c r="A407" s="5"/>
      <c r="B407" s="5"/>
      <c r="C407" s="4"/>
      <c r="D407" s="5"/>
      <c r="E407" s="5"/>
      <c r="F407" s="5"/>
      <c r="G407" s="5"/>
      <c r="H407" s="5"/>
      <c r="I407" s="5"/>
      <c r="J407" s="5"/>
      <c r="K407" s="5"/>
      <c r="L407" s="5"/>
      <c r="M407" s="5"/>
      <c r="N407" s="5"/>
      <c r="O407" s="5"/>
      <c r="P407" s="4"/>
      <c r="Q407" s="4"/>
      <c r="R407" s="4"/>
      <c r="S407" s="4"/>
      <c r="T407" s="4"/>
      <c r="U407" s="4"/>
      <c r="V407" s="4"/>
      <c r="W407" s="4"/>
      <c r="X407" s="4"/>
      <c r="Y407" s="4"/>
      <c r="Z407" s="4"/>
      <c r="AA407" s="4"/>
    </row>
    <row r="408" spans="1:27">
      <c r="A408" s="5"/>
      <c r="B408" s="5"/>
      <c r="C408" s="4"/>
      <c r="D408" s="5"/>
      <c r="E408" s="5"/>
      <c r="F408" s="5"/>
      <c r="G408" s="5"/>
      <c r="H408" s="5"/>
      <c r="I408" s="5"/>
      <c r="J408" s="5"/>
      <c r="K408" s="5"/>
      <c r="L408" s="5"/>
      <c r="M408" s="5"/>
      <c r="N408" s="5"/>
      <c r="O408" s="5"/>
      <c r="P408" s="4"/>
      <c r="Q408" s="4"/>
      <c r="R408" s="4"/>
      <c r="S408" s="4"/>
      <c r="T408" s="4"/>
      <c r="U408" s="4"/>
      <c r="V408" s="4"/>
      <c r="W408" s="4"/>
      <c r="X408" s="4"/>
      <c r="Y408" s="4"/>
      <c r="Z408" s="4"/>
      <c r="AA408" s="4"/>
    </row>
    <row r="409" spans="1:27">
      <c r="A409" s="5"/>
      <c r="B409" s="5"/>
      <c r="C409" s="4"/>
      <c r="D409" s="5"/>
      <c r="E409" s="5"/>
      <c r="F409" s="5"/>
      <c r="G409" s="5"/>
      <c r="H409" s="5"/>
      <c r="I409" s="5"/>
      <c r="J409" s="5"/>
      <c r="K409" s="5"/>
      <c r="L409" s="5"/>
      <c r="M409" s="5"/>
      <c r="N409" s="5"/>
      <c r="O409" s="5"/>
      <c r="P409" s="4"/>
      <c r="Q409" s="4"/>
      <c r="R409" s="4"/>
      <c r="S409" s="4"/>
      <c r="T409" s="4"/>
      <c r="U409" s="4"/>
      <c r="V409" s="4"/>
      <c r="W409" s="4"/>
      <c r="X409" s="4"/>
      <c r="Y409" s="4"/>
      <c r="Z409" s="4"/>
      <c r="AA409" s="4"/>
    </row>
    <row r="410" spans="1:27">
      <c r="A410" s="5"/>
      <c r="B410" s="5"/>
      <c r="C410" s="4"/>
      <c r="D410" s="5"/>
      <c r="E410" s="5"/>
      <c r="F410" s="5"/>
      <c r="G410" s="5"/>
      <c r="H410" s="5"/>
      <c r="I410" s="5"/>
      <c r="J410" s="5"/>
      <c r="K410" s="5"/>
      <c r="L410" s="5"/>
      <c r="M410" s="5"/>
      <c r="N410" s="5"/>
      <c r="O410" s="5"/>
      <c r="P410" s="4"/>
      <c r="Q410" s="4"/>
      <c r="R410" s="4"/>
      <c r="S410" s="4"/>
      <c r="T410" s="4"/>
      <c r="U410" s="4"/>
      <c r="V410" s="4"/>
      <c r="W410" s="4"/>
      <c r="X410" s="4"/>
      <c r="Y410" s="4"/>
      <c r="Z410" s="4"/>
      <c r="AA410" s="4"/>
    </row>
    <row r="411" spans="1:27">
      <c r="A411" s="5"/>
      <c r="B411" s="5"/>
      <c r="C411" s="4"/>
      <c r="D411" s="5"/>
      <c r="E411" s="5"/>
      <c r="F411" s="5"/>
      <c r="G411" s="5"/>
      <c r="H411" s="5"/>
      <c r="I411" s="5"/>
      <c r="J411" s="5"/>
      <c r="K411" s="5"/>
      <c r="L411" s="5"/>
      <c r="M411" s="5"/>
      <c r="N411" s="5"/>
      <c r="O411" s="5"/>
      <c r="P411" s="4"/>
      <c r="Q411" s="4"/>
      <c r="R411" s="4"/>
      <c r="S411" s="4"/>
      <c r="T411" s="4"/>
      <c r="U411" s="4"/>
      <c r="V411" s="4"/>
      <c r="W411" s="4"/>
      <c r="X411" s="4"/>
      <c r="Y411" s="4"/>
      <c r="Z411" s="4"/>
      <c r="AA411" s="4"/>
    </row>
    <row r="412" spans="1:27">
      <c r="A412" s="5"/>
      <c r="B412" s="5"/>
      <c r="C412" s="4"/>
      <c r="D412" s="5"/>
      <c r="E412" s="5"/>
      <c r="F412" s="5"/>
      <c r="G412" s="5"/>
      <c r="H412" s="5"/>
      <c r="I412" s="5"/>
      <c r="J412" s="5"/>
      <c r="K412" s="5"/>
      <c r="L412" s="5"/>
      <c r="M412" s="5"/>
      <c r="N412" s="5"/>
      <c r="O412" s="5"/>
      <c r="P412" s="4"/>
      <c r="Q412" s="4"/>
      <c r="R412" s="4"/>
      <c r="S412" s="4"/>
      <c r="T412" s="4"/>
      <c r="U412" s="4"/>
      <c r="V412" s="4"/>
      <c r="W412" s="4"/>
      <c r="X412" s="4"/>
      <c r="Y412" s="4"/>
      <c r="Z412" s="4"/>
      <c r="AA412" s="4"/>
    </row>
    <row r="413" spans="1:27">
      <c r="A413" s="5"/>
      <c r="B413" s="5"/>
      <c r="C413" s="4"/>
      <c r="D413" s="5"/>
      <c r="E413" s="5"/>
      <c r="F413" s="5"/>
      <c r="G413" s="5"/>
      <c r="H413" s="5"/>
      <c r="I413" s="5"/>
      <c r="J413" s="5"/>
      <c r="K413" s="5"/>
      <c r="L413" s="5"/>
      <c r="M413" s="5"/>
      <c r="N413" s="5"/>
      <c r="O413" s="5"/>
      <c r="P413" s="4"/>
      <c r="Q413" s="4"/>
      <c r="R413" s="4"/>
      <c r="S413" s="4"/>
      <c r="T413" s="4"/>
      <c r="U413" s="4"/>
      <c r="V413" s="4"/>
      <c r="W413" s="4"/>
      <c r="X413" s="4"/>
      <c r="Y413" s="4"/>
      <c r="Z413" s="4"/>
      <c r="AA413" s="4"/>
    </row>
    <row r="414" spans="1:27">
      <c r="A414" s="5"/>
      <c r="B414" s="5"/>
      <c r="C414" s="4"/>
      <c r="D414" s="5"/>
      <c r="E414" s="5"/>
      <c r="F414" s="5"/>
      <c r="G414" s="5"/>
      <c r="H414" s="5"/>
      <c r="I414" s="5"/>
      <c r="J414" s="5"/>
      <c r="K414" s="5"/>
      <c r="L414" s="5"/>
      <c r="M414" s="5"/>
      <c r="N414" s="5"/>
      <c r="O414" s="5"/>
      <c r="P414" s="4"/>
      <c r="Q414" s="4"/>
      <c r="R414" s="4"/>
      <c r="S414" s="4"/>
      <c r="T414" s="4"/>
      <c r="U414" s="4"/>
      <c r="V414" s="4"/>
      <c r="W414" s="4"/>
      <c r="X414" s="4"/>
      <c r="Y414" s="4"/>
      <c r="Z414" s="4"/>
      <c r="AA414" s="4"/>
    </row>
    <row r="415" spans="1:27">
      <c r="A415" s="5"/>
      <c r="B415" s="5"/>
      <c r="C415" s="4"/>
      <c r="D415" s="5"/>
      <c r="E415" s="5"/>
      <c r="F415" s="5"/>
      <c r="G415" s="5"/>
      <c r="H415" s="5"/>
      <c r="I415" s="5"/>
      <c r="J415" s="5"/>
      <c r="K415" s="5"/>
      <c r="L415" s="5"/>
      <c r="M415" s="5"/>
      <c r="N415" s="5"/>
      <c r="O415" s="5"/>
      <c r="P415" s="4"/>
      <c r="Q415" s="4"/>
      <c r="R415" s="4"/>
      <c r="S415" s="4"/>
      <c r="T415" s="4"/>
      <c r="U415" s="4"/>
      <c r="V415" s="4"/>
      <c r="W415" s="4"/>
      <c r="X415" s="4"/>
      <c r="Y415" s="4"/>
      <c r="Z415" s="4"/>
      <c r="AA415" s="4"/>
    </row>
    <row r="416" spans="1:27">
      <c r="A416" s="5"/>
      <c r="B416" s="5"/>
      <c r="C416" s="4"/>
      <c r="D416" s="5"/>
      <c r="E416" s="5"/>
      <c r="F416" s="5"/>
      <c r="G416" s="5"/>
      <c r="H416" s="5"/>
      <c r="I416" s="5"/>
      <c r="J416" s="5"/>
      <c r="K416" s="5"/>
      <c r="L416" s="5"/>
      <c r="M416" s="5"/>
      <c r="N416" s="5"/>
      <c r="O416" s="5"/>
      <c r="P416" s="4"/>
      <c r="Q416" s="4"/>
      <c r="R416" s="4"/>
      <c r="S416" s="4"/>
      <c r="T416" s="4"/>
      <c r="U416" s="4"/>
      <c r="V416" s="4"/>
      <c r="W416" s="4"/>
      <c r="X416" s="4"/>
      <c r="Y416" s="4"/>
      <c r="Z416" s="4"/>
      <c r="AA416" s="4"/>
    </row>
    <row r="417" spans="1:27">
      <c r="A417" s="5"/>
      <c r="B417" s="5"/>
      <c r="C417" s="4"/>
      <c r="D417" s="5"/>
      <c r="E417" s="5"/>
      <c r="F417" s="5"/>
      <c r="G417" s="5"/>
      <c r="H417" s="5"/>
      <c r="I417" s="5"/>
      <c r="J417" s="5"/>
      <c r="K417" s="5"/>
      <c r="L417" s="5"/>
      <c r="M417" s="5"/>
      <c r="N417" s="5"/>
      <c r="O417" s="5"/>
      <c r="P417" s="4"/>
      <c r="Q417" s="4"/>
      <c r="R417" s="4"/>
      <c r="S417" s="4"/>
      <c r="T417" s="4"/>
      <c r="U417" s="4"/>
      <c r="V417" s="4"/>
      <c r="W417" s="4"/>
      <c r="X417" s="4"/>
      <c r="Y417" s="4"/>
      <c r="Z417" s="4"/>
      <c r="AA417" s="4"/>
    </row>
    <row r="418" spans="1:27">
      <c r="A418" s="5"/>
      <c r="B418" s="5"/>
      <c r="C418" s="4"/>
      <c r="D418" s="5"/>
      <c r="E418" s="5"/>
      <c r="F418" s="5"/>
      <c r="G418" s="5"/>
      <c r="H418" s="5"/>
      <c r="I418" s="5"/>
      <c r="J418" s="5"/>
      <c r="K418" s="5"/>
      <c r="L418" s="5"/>
      <c r="M418" s="5"/>
      <c r="N418" s="5"/>
      <c r="O418" s="5"/>
      <c r="P418" s="4"/>
      <c r="Q418" s="4"/>
      <c r="R418" s="4"/>
      <c r="S418" s="4"/>
      <c r="T418" s="4"/>
      <c r="U418" s="4"/>
      <c r="V418" s="4"/>
      <c r="W418" s="4"/>
      <c r="X418" s="4"/>
      <c r="Y418" s="4"/>
      <c r="Z418" s="4"/>
      <c r="AA418" s="4"/>
    </row>
    <row r="419" spans="1:27">
      <c r="A419" s="5"/>
      <c r="B419" s="5"/>
      <c r="C419" s="4"/>
      <c r="D419" s="5"/>
      <c r="E419" s="5"/>
      <c r="F419" s="5"/>
      <c r="G419" s="5"/>
      <c r="H419" s="5"/>
      <c r="I419" s="5"/>
      <c r="J419" s="5"/>
      <c r="K419" s="5"/>
      <c r="L419" s="5"/>
      <c r="M419" s="5"/>
      <c r="N419" s="5"/>
      <c r="O419" s="5"/>
      <c r="P419" s="4"/>
      <c r="Q419" s="4"/>
      <c r="R419" s="4"/>
      <c r="S419" s="4"/>
      <c r="T419" s="4"/>
      <c r="U419" s="4"/>
      <c r="V419" s="4"/>
      <c r="W419" s="4"/>
      <c r="X419" s="4"/>
      <c r="Y419" s="4"/>
      <c r="Z419" s="4"/>
      <c r="AA419" s="4"/>
    </row>
    <row r="420" spans="1:27">
      <c r="A420" s="5"/>
      <c r="B420" s="5"/>
      <c r="C420" s="4"/>
      <c r="D420" s="5"/>
      <c r="E420" s="5"/>
      <c r="F420" s="5"/>
      <c r="G420" s="5"/>
      <c r="H420" s="5"/>
      <c r="I420" s="5"/>
      <c r="J420" s="5"/>
      <c r="K420" s="5"/>
      <c r="L420" s="5"/>
      <c r="M420" s="5"/>
      <c r="N420" s="5"/>
      <c r="O420" s="5"/>
      <c r="P420" s="4"/>
      <c r="Q420" s="4"/>
      <c r="R420" s="4"/>
      <c r="S420" s="4"/>
      <c r="T420" s="4"/>
      <c r="U420" s="4"/>
      <c r="V420" s="4"/>
      <c r="W420" s="4"/>
      <c r="X420" s="4"/>
      <c r="Y420" s="4"/>
      <c r="Z420" s="4"/>
      <c r="AA420" s="4"/>
    </row>
    <row r="421" spans="1:27">
      <c r="A421" s="5"/>
      <c r="B421" s="5"/>
      <c r="C421" s="4"/>
      <c r="D421" s="5"/>
      <c r="E421" s="5"/>
      <c r="F421" s="5"/>
      <c r="G421" s="5"/>
      <c r="H421" s="5"/>
      <c r="I421" s="5"/>
      <c r="J421" s="5"/>
      <c r="K421" s="5"/>
      <c r="L421" s="5"/>
      <c r="M421" s="5"/>
      <c r="N421" s="5"/>
      <c r="O421" s="5"/>
      <c r="P421" s="4"/>
      <c r="Q421" s="4"/>
      <c r="R421" s="4"/>
      <c r="S421" s="4"/>
      <c r="T421" s="4"/>
      <c r="U421" s="4"/>
      <c r="V421" s="4"/>
      <c r="W421" s="4"/>
      <c r="X421" s="4"/>
      <c r="Y421" s="4"/>
      <c r="Z421" s="4"/>
      <c r="AA421" s="4"/>
    </row>
    <row r="422" spans="1:27">
      <c r="A422" s="5"/>
      <c r="B422" s="5"/>
      <c r="C422" s="4"/>
      <c r="D422" s="5"/>
      <c r="E422" s="5"/>
      <c r="F422" s="5"/>
      <c r="G422" s="5"/>
      <c r="H422" s="5"/>
      <c r="I422" s="5"/>
      <c r="J422" s="5"/>
      <c r="K422" s="5"/>
      <c r="L422" s="5"/>
      <c r="M422" s="5"/>
      <c r="N422" s="5"/>
      <c r="O422" s="5"/>
      <c r="P422" s="4"/>
      <c r="Q422" s="4"/>
      <c r="R422" s="4"/>
      <c r="S422" s="4"/>
      <c r="T422" s="4"/>
      <c r="U422" s="4"/>
      <c r="V422" s="4"/>
      <c r="W422" s="4"/>
      <c r="X422" s="4"/>
      <c r="Y422" s="4"/>
      <c r="Z422" s="4"/>
      <c r="AA422" s="4"/>
    </row>
    <row r="423" spans="1:27">
      <c r="A423" s="5"/>
      <c r="B423" s="5"/>
      <c r="C423" s="4"/>
      <c r="D423" s="5"/>
      <c r="E423" s="5"/>
      <c r="F423" s="5"/>
      <c r="G423" s="5"/>
      <c r="H423" s="5"/>
      <c r="I423" s="5"/>
      <c r="J423" s="5"/>
      <c r="K423" s="5"/>
      <c r="L423" s="5"/>
      <c r="M423" s="5"/>
      <c r="N423" s="5"/>
      <c r="O423" s="5"/>
      <c r="P423" s="4"/>
      <c r="Q423" s="4"/>
      <c r="R423" s="4"/>
      <c r="S423" s="4"/>
      <c r="T423" s="4"/>
      <c r="U423" s="4"/>
      <c r="V423" s="4"/>
      <c r="W423" s="4"/>
      <c r="X423" s="4"/>
      <c r="Y423" s="4"/>
      <c r="Z423" s="4"/>
      <c r="AA423" s="4"/>
    </row>
    <row r="424" spans="1:27">
      <c r="A424" s="5"/>
      <c r="B424" s="5"/>
      <c r="C424" s="4"/>
      <c r="D424" s="5"/>
      <c r="E424" s="5"/>
      <c r="F424" s="5"/>
      <c r="G424" s="5"/>
      <c r="H424" s="5"/>
      <c r="I424" s="5"/>
      <c r="J424" s="5"/>
      <c r="K424" s="5"/>
      <c r="L424" s="5"/>
      <c r="M424" s="5"/>
      <c r="N424" s="5"/>
      <c r="O424" s="5"/>
      <c r="P424" s="4"/>
      <c r="Q424" s="4"/>
      <c r="R424" s="4"/>
      <c r="S424" s="4"/>
      <c r="T424" s="4"/>
      <c r="U424" s="4"/>
      <c r="V424" s="4"/>
      <c r="W424" s="4"/>
      <c r="X424" s="4"/>
      <c r="Y424" s="4"/>
      <c r="Z424" s="4"/>
      <c r="AA424" s="4"/>
    </row>
    <row r="425" spans="1:27">
      <c r="A425" s="5"/>
      <c r="B425" s="5"/>
      <c r="C425" s="4"/>
      <c r="D425" s="5"/>
      <c r="E425" s="5"/>
      <c r="F425" s="5"/>
      <c r="G425" s="5"/>
      <c r="H425" s="5"/>
      <c r="I425" s="5"/>
      <c r="J425" s="5"/>
      <c r="K425" s="5"/>
      <c r="L425" s="5"/>
      <c r="M425" s="5"/>
      <c r="N425" s="5"/>
      <c r="O425" s="5"/>
      <c r="P425" s="4"/>
      <c r="Q425" s="4"/>
      <c r="R425" s="4"/>
      <c r="S425" s="4"/>
      <c r="T425" s="4"/>
      <c r="U425" s="4"/>
      <c r="V425" s="4"/>
      <c r="W425" s="4"/>
      <c r="X425" s="4"/>
      <c r="Y425" s="4"/>
      <c r="Z425" s="4"/>
      <c r="AA425" s="4"/>
    </row>
    <row r="426" spans="1:27">
      <c r="A426" s="5"/>
      <c r="B426" s="5"/>
      <c r="C426" s="4"/>
      <c r="D426" s="5"/>
      <c r="E426" s="5"/>
      <c r="F426" s="5"/>
      <c r="G426" s="5"/>
      <c r="H426" s="5"/>
      <c r="I426" s="5"/>
      <c r="J426" s="5"/>
      <c r="K426" s="5"/>
      <c r="L426" s="5"/>
      <c r="M426" s="5"/>
      <c r="N426" s="5"/>
      <c r="O426" s="5"/>
      <c r="P426" s="4"/>
      <c r="Q426" s="4"/>
      <c r="R426" s="4"/>
      <c r="S426" s="4"/>
      <c r="T426" s="4"/>
      <c r="U426" s="4"/>
      <c r="V426" s="4"/>
      <c r="W426" s="4"/>
      <c r="X426" s="4"/>
      <c r="Y426" s="4"/>
      <c r="Z426" s="4"/>
      <c r="AA426" s="4"/>
    </row>
    <row r="427" spans="1:27">
      <c r="A427" s="5"/>
      <c r="B427" s="5"/>
      <c r="C427" s="4"/>
      <c r="D427" s="5"/>
      <c r="E427" s="5"/>
      <c r="F427" s="5"/>
      <c r="G427" s="5"/>
      <c r="H427" s="5"/>
      <c r="I427" s="5"/>
      <c r="J427" s="5"/>
      <c r="K427" s="5"/>
      <c r="L427" s="5"/>
      <c r="M427" s="5"/>
      <c r="N427" s="5"/>
      <c r="O427" s="5"/>
      <c r="P427" s="4"/>
      <c r="Q427" s="4"/>
      <c r="R427" s="4"/>
      <c r="S427" s="4"/>
      <c r="T427" s="4"/>
      <c r="U427" s="4"/>
      <c r="V427" s="4"/>
      <c r="W427" s="4"/>
      <c r="X427" s="4"/>
      <c r="Y427" s="4"/>
      <c r="Z427" s="4"/>
      <c r="AA427" s="4"/>
    </row>
    <row r="428" spans="1:27">
      <c r="A428" s="5"/>
      <c r="B428" s="5"/>
      <c r="C428" s="4"/>
      <c r="D428" s="5"/>
      <c r="E428" s="5"/>
      <c r="F428" s="5"/>
      <c r="G428" s="5"/>
      <c r="H428" s="5"/>
      <c r="I428" s="5"/>
      <c r="J428" s="5"/>
      <c r="K428" s="5"/>
      <c r="L428" s="5"/>
      <c r="M428" s="5"/>
      <c r="N428" s="5"/>
      <c r="O428" s="5"/>
      <c r="P428" s="4"/>
      <c r="Q428" s="4"/>
      <c r="R428" s="4"/>
      <c r="S428" s="4"/>
      <c r="T428" s="4"/>
      <c r="U428" s="4"/>
      <c r="V428" s="4"/>
      <c r="W428" s="4"/>
      <c r="X428" s="4"/>
      <c r="Y428" s="4"/>
      <c r="Z428" s="4"/>
      <c r="AA428" s="4"/>
    </row>
    <row r="429" spans="1:27">
      <c r="A429" s="5"/>
      <c r="B429" s="5"/>
      <c r="C429" s="4"/>
      <c r="D429" s="5"/>
      <c r="E429" s="5"/>
      <c r="F429" s="5"/>
      <c r="G429" s="5"/>
      <c r="H429" s="5"/>
      <c r="I429" s="5"/>
      <c r="J429" s="5"/>
      <c r="K429" s="5"/>
      <c r="L429" s="5"/>
      <c r="M429" s="5"/>
      <c r="N429" s="5"/>
      <c r="O429" s="5"/>
      <c r="P429" s="4"/>
      <c r="Q429" s="4"/>
      <c r="R429" s="4"/>
      <c r="S429" s="4"/>
      <c r="T429" s="4"/>
      <c r="U429" s="4"/>
      <c r="V429" s="4"/>
      <c r="W429" s="4"/>
      <c r="X429" s="4"/>
      <c r="Y429" s="4"/>
      <c r="Z429" s="4"/>
      <c r="AA429" s="4"/>
    </row>
    <row r="430" spans="1:27">
      <c r="A430" s="5"/>
      <c r="B430" s="5"/>
      <c r="C430" s="4"/>
      <c r="D430" s="5"/>
      <c r="E430" s="5"/>
      <c r="F430" s="5"/>
      <c r="G430" s="5"/>
      <c r="H430" s="5"/>
      <c r="I430" s="5"/>
      <c r="J430" s="5"/>
      <c r="K430" s="5"/>
      <c r="L430" s="5"/>
      <c r="M430" s="5"/>
      <c r="N430" s="5"/>
      <c r="O430" s="5"/>
      <c r="P430" s="4"/>
      <c r="Q430" s="4"/>
      <c r="R430" s="4"/>
      <c r="S430" s="4"/>
      <c r="T430" s="4"/>
      <c r="U430" s="4"/>
      <c r="V430" s="4"/>
      <c r="W430" s="4"/>
      <c r="X430" s="4"/>
      <c r="Y430" s="4"/>
      <c r="Z430" s="4"/>
      <c r="AA430" s="4"/>
    </row>
    <row r="431" spans="1:27">
      <c r="A431" s="5"/>
      <c r="B431" s="5"/>
      <c r="C431" s="4"/>
      <c r="D431" s="5"/>
      <c r="E431" s="5"/>
      <c r="F431" s="5"/>
      <c r="G431" s="5"/>
      <c r="H431" s="5"/>
      <c r="I431" s="5"/>
      <c r="J431" s="5"/>
      <c r="K431" s="5"/>
      <c r="L431" s="5"/>
      <c r="M431" s="5"/>
      <c r="N431" s="5"/>
      <c r="O431" s="5"/>
      <c r="P431" s="4"/>
      <c r="Q431" s="4"/>
      <c r="R431" s="4"/>
      <c r="S431" s="4"/>
      <c r="T431" s="4"/>
      <c r="U431" s="4"/>
      <c r="V431" s="4"/>
      <c r="W431" s="4"/>
      <c r="X431" s="4"/>
      <c r="Y431" s="4"/>
      <c r="Z431" s="4"/>
      <c r="AA431" s="4"/>
    </row>
    <row r="432" spans="1:27">
      <c r="A432" s="5"/>
      <c r="B432" s="5"/>
      <c r="C432" s="4"/>
      <c r="D432" s="5"/>
      <c r="E432" s="5"/>
      <c r="F432" s="5"/>
      <c r="G432" s="5"/>
      <c r="H432" s="5"/>
      <c r="I432" s="5"/>
      <c r="J432" s="5"/>
      <c r="K432" s="5"/>
      <c r="L432" s="5"/>
      <c r="M432" s="5"/>
      <c r="N432" s="5"/>
      <c r="O432" s="5"/>
      <c r="P432" s="4"/>
      <c r="Q432" s="4"/>
      <c r="R432" s="4"/>
      <c r="S432" s="4"/>
      <c r="T432" s="4"/>
      <c r="U432" s="4"/>
      <c r="V432" s="4"/>
      <c r="W432" s="4"/>
      <c r="X432" s="4"/>
      <c r="Y432" s="4"/>
      <c r="Z432" s="4"/>
      <c r="AA432" s="4"/>
    </row>
    <row r="433" spans="1:27">
      <c r="A433" s="5"/>
      <c r="B433" s="5"/>
      <c r="C433" s="4"/>
      <c r="D433" s="5"/>
      <c r="E433" s="5"/>
      <c r="F433" s="5"/>
      <c r="G433" s="5"/>
      <c r="H433" s="5"/>
      <c r="I433" s="5"/>
      <c r="J433" s="5"/>
      <c r="K433" s="5"/>
      <c r="L433" s="5"/>
      <c r="M433" s="5"/>
      <c r="N433" s="5"/>
      <c r="O433" s="5"/>
      <c r="P433" s="4"/>
      <c r="Q433" s="4"/>
      <c r="R433" s="4"/>
      <c r="S433" s="4"/>
      <c r="T433" s="4"/>
      <c r="U433" s="4"/>
      <c r="V433" s="4"/>
      <c r="W433" s="4"/>
      <c r="X433" s="4"/>
      <c r="Y433" s="4"/>
      <c r="Z433" s="4"/>
      <c r="AA433" s="4"/>
    </row>
    <row r="434" spans="1:27">
      <c r="A434" s="5"/>
      <c r="B434" s="5"/>
      <c r="C434" s="4"/>
      <c r="D434" s="5"/>
      <c r="E434" s="5"/>
      <c r="F434" s="5"/>
      <c r="G434" s="5"/>
      <c r="H434" s="5"/>
      <c r="I434" s="5"/>
      <c r="J434" s="5"/>
      <c r="K434" s="5"/>
      <c r="L434" s="5"/>
      <c r="M434" s="5"/>
      <c r="N434" s="5"/>
      <c r="O434" s="5"/>
      <c r="P434" s="4"/>
      <c r="Q434" s="4"/>
      <c r="R434" s="4"/>
      <c r="S434" s="4"/>
      <c r="T434" s="4"/>
      <c r="U434" s="4"/>
      <c r="V434" s="4"/>
      <c r="W434" s="4"/>
      <c r="X434" s="4"/>
      <c r="Y434" s="4"/>
      <c r="Z434" s="4"/>
      <c r="AA434" s="4"/>
    </row>
    <row r="435" spans="1:27">
      <c r="A435" s="5"/>
      <c r="B435" s="5"/>
      <c r="C435" s="4"/>
      <c r="D435" s="5"/>
      <c r="E435" s="5"/>
      <c r="F435" s="5"/>
      <c r="G435" s="5"/>
      <c r="H435" s="5"/>
      <c r="I435" s="5"/>
      <c r="J435" s="5"/>
      <c r="K435" s="5"/>
      <c r="L435" s="5"/>
      <c r="M435" s="5"/>
      <c r="N435" s="5"/>
      <c r="O435" s="5"/>
      <c r="P435" s="4"/>
      <c r="Q435" s="4"/>
      <c r="R435" s="4"/>
      <c r="S435" s="4"/>
      <c r="T435" s="4"/>
      <c r="U435" s="4"/>
      <c r="V435" s="4"/>
      <c r="W435" s="4"/>
      <c r="X435" s="4"/>
      <c r="Y435" s="4"/>
      <c r="Z435" s="4"/>
      <c r="AA435" s="4"/>
    </row>
    <row r="436" spans="1:27">
      <c r="A436" s="5"/>
      <c r="B436" s="5"/>
      <c r="C436" s="4"/>
      <c r="D436" s="5"/>
      <c r="E436" s="5"/>
      <c r="F436" s="5"/>
      <c r="G436" s="5"/>
      <c r="H436" s="5"/>
      <c r="I436" s="5"/>
      <c r="J436" s="5"/>
      <c r="K436" s="5"/>
      <c r="L436" s="5"/>
      <c r="M436" s="5"/>
      <c r="N436" s="5"/>
      <c r="O436" s="5"/>
      <c r="P436" s="4"/>
      <c r="Q436" s="4"/>
      <c r="R436" s="4"/>
      <c r="S436" s="4"/>
      <c r="T436" s="4"/>
      <c r="U436" s="4"/>
      <c r="V436" s="4"/>
      <c r="W436" s="4"/>
      <c r="X436" s="4"/>
      <c r="Y436" s="4"/>
      <c r="Z436" s="4"/>
      <c r="AA436" s="4"/>
    </row>
    <row r="437" spans="1:27">
      <c r="A437" s="5"/>
      <c r="B437" s="5"/>
      <c r="C437" s="4"/>
      <c r="D437" s="5"/>
      <c r="E437" s="5"/>
      <c r="F437" s="5"/>
      <c r="G437" s="5"/>
      <c r="H437" s="5"/>
      <c r="I437" s="5"/>
      <c r="J437" s="5"/>
      <c r="K437" s="5"/>
      <c r="L437" s="5"/>
      <c r="M437" s="5"/>
      <c r="N437" s="5"/>
      <c r="O437" s="5"/>
      <c r="P437" s="4"/>
      <c r="Q437" s="4"/>
      <c r="R437" s="4"/>
      <c r="S437" s="4"/>
      <c r="T437" s="4"/>
      <c r="U437" s="4"/>
      <c r="V437" s="4"/>
      <c r="W437" s="4"/>
      <c r="X437" s="4"/>
      <c r="Y437" s="4"/>
      <c r="Z437" s="4"/>
      <c r="AA437" s="4"/>
    </row>
    <row r="438" spans="1:27">
      <c r="A438" s="5"/>
      <c r="B438" s="5"/>
      <c r="C438" s="4"/>
      <c r="D438" s="5"/>
      <c r="E438" s="5"/>
      <c r="F438" s="5"/>
      <c r="G438" s="5"/>
      <c r="H438" s="5"/>
      <c r="I438" s="5"/>
      <c r="J438" s="5"/>
      <c r="K438" s="5"/>
      <c r="L438" s="5"/>
      <c r="M438" s="5"/>
      <c r="N438" s="5"/>
      <c r="O438" s="5"/>
      <c r="P438" s="4"/>
      <c r="Q438" s="4"/>
      <c r="R438" s="4"/>
      <c r="S438" s="4"/>
      <c r="T438" s="4"/>
      <c r="U438" s="4"/>
      <c r="V438" s="4"/>
      <c r="W438" s="4"/>
      <c r="X438" s="4"/>
      <c r="Y438" s="4"/>
      <c r="Z438" s="4"/>
      <c r="AA438" s="4"/>
    </row>
    <row r="439" spans="1:27">
      <c r="A439" s="5"/>
      <c r="B439" s="5"/>
      <c r="C439" s="4"/>
      <c r="D439" s="5"/>
      <c r="E439" s="5"/>
      <c r="F439" s="5"/>
      <c r="G439" s="5"/>
      <c r="H439" s="5"/>
      <c r="I439" s="5"/>
      <c r="J439" s="5"/>
      <c r="K439" s="5"/>
      <c r="L439" s="5"/>
      <c r="M439" s="5"/>
      <c r="N439" s="5"/>
      <c r="O439" s="5"/>
      <c r="P439" s="4"/>
      <c r="Q439" s="4"/>
      <c r="R439" s="4"/>
      <c r="S439" s="4"/>
      <c r="T439" s="4"/>
      <c r="U439" s="4"/>
      <c r="V439" s="4"/>
      <c r="W439" s="4"/>
      <c r="X439" s="4"/>
      <c r="Y439" s="4"/>
      <c r="Z439" s="4"/>
      <c r="AA439" s="4"/>
    </row>
    <row r="440" spans="1:27">
      <c r="A440" s="5"/>
      <c r="B440" s="5"/>
      <c r="C440" s="4"/>
      <c r="D440" s="5"/>
      <c r="E440" s="5"/>
      <c r="F440" s="5"/>
      <c r="G440" s="5"/>
      <c r="H440" s="5"/>
      <c r="I440" s="5"/>
      <c r="J440" s="5"/>
      <c r="K440" s="5"/>
      <c r="L440" s="5"/>
      <c r="M440" s="5"/>
      <c r="N440" s="5"/>
      <c r="O440" s="5"/>
      <c r="P440" s="4"/>
      <c r="Q440" s="4"/>
      <c r="R440" s="4"/>
      <c r="S440" s="4"/>
      <c r="T440" s="4"/>
      <c r="U440" s="4"/>
      <c r="V440" s="4"/>
      <c r="W440" s="4"/>
      <c r="X440" s="4"/>
      <c r="Y440" s="4"/>
      <c r="Z440" s="4"/>
      <c r="AA440" s="4"/>
    </row>
    <row r="441" spans="1:27">
      <c r="A441" s="5"/>
      <c r="B441" s="5"/>
      <c r="C441" s="4"/>
      <c r="D441" s="5"/>
      <c r="E441" s="5"/>
      <c r="F441" s="5"/>
      <c r="G441" s="5"/>
      <c r="H441" s="5"/>
      <c r="I441" s="5"/>
      <c r="J441" s="5"/>
      <c r="K441" s="5"/>
      <c r="L441" s="5"/>
      <c r="M441" s="5"/>
      <c r="N441" s="5"/>
      <c r="O441" s="5"/>
      <c r="P441" s="4"/>
      <c r="Q441" s="4"/>
      <c r="R441" s="4"/>
      <c r="S441" s="4"/>
      <c r="T441" s="4"/>
      <c r="U441" s="4"/>
      <c r="V441" s="4"/>
      <c r="W441" s="4"/>
      <c r="X441" s="4"/>
      <c r="Y441" s="4"/>
      <c r="Z441" s="4"/>
      <c r="AA441" s="4"/>
    </row>
    <row r="442" spans="1:27">
      <c r="A442" s="5"/>
      <c r="B442" s="5"/>
      <c r="C442" s="4"/>
      <c r="D442" s="5"/>
      <c r="E442" s="5"/>
      <c r="F442" s="5"/>
      <c r="G442" s="5"/>
      <c r="H442" s="5"/>
      <c r="I442" s="5"/>
      <c r="J442" s="5"/>
      <c r="K442" s="5"/>
      <c r="L442" s="5"/>
      <c r="M442" s="5"/>
      <c r="N442" s="5"/>
      <c r="O442" s="5"/>
      <c r="P442" s="4"/>
      <c r="Q442" s="4"/>
      <c r="R442" s="4"/>
      <c r="S442" s="4"/>
      <c r="T442" s="4"/>
      <c r="U442" s="4"/>
      <c r="V442" s="4"/>
      <c r="W442" s="4"/>
      <c r="X442" s="4"/>
      <c r="Y442" s="4"/>
      <c r="Z442" s="4"/>
      <c r="AA442" s="4"/>
    </row>
    <row r="443" spans="1:27">
      <c r="A443" s="5"/>
      <c r="B443" s="5"/>
      <c r="C443" s="4"/>
      <c r="D443" s="5"/>
      <c r="E443" s="5"/>
      <c r="F443" s="5"/>
      <c r="G443" s="5"/>
      <c r="H443" s="5"/>
      <c r="I443" s="5"/>
      <c r="J443" s="5"/>
      <c r="K443" s="5"/>
      <c r="L443" s="5"/>
      <c r="M443" s="5"/>
      <c r="N443" s="5"/>
      <c r="O443" s="5"/>
      <c r="P443" s="4"/>
      <c r="Q443" s="4"/>
      <c r="R443" s="4"/>
      <c r="S443" s="4"/>
      <c r="T443" s="4"/>
      <c r="U443" s="4"/>
      <c r="V443" s="4"/>
      <c r="W443" s="4"/>
      <c r="X443" s="4"/>
      <c r="Y443" s="4"/>
      <c r="Z443" s="4"/>
      <c r="AA443" s="4"/>
    </row>
    <row r="444" spans="1:27">
      <c r="A444" s="5"/>
      <c r="B444" s="5"/>
      <c r="C444" s="4"/>
      <c r="D444" s="5"/>
      <c r="E444" s="5"/>
      <c r="F444" s="5"/>
      <c r="G444" s="5"/>
      <c r="H444" s="5"/>
      <c r="I444" s="5"/>
      <c r="J444" s="5"/>
      <c r="K444" s="5"/>
      <c r="L444" s="5"/>
      <c r="M444" s="5"/>
      <c r="N444" s="5"/>
      <c r="O444" s="5"/>
      <c r="P444" s="4"/>
      <c r="Q444" s="4"/>
      <c r="R444" s="4"/>
      <c r="S444" s="4"/>
      <c r="T444" s="4"/>
      <c r="U444" s="4"/>
      <c r="V444" s="4"/>
      <c r="W444" s="4"/>
      <c r="X444" s="4"/>
      <c r="Y444" s="4"/>
      <c r="Z444" s="4"/>
      <c r="AA444" s="4"/>
    </row>
    <row r="445" spans="1:27">
      <c r="A445" s="5"/>
      <c r="B445" s="5"/>
      <c r="C445" s="4"/>
      <c r="D445" s="5"/>
      <c r="E445" s="5"/>
      <c r="F445" s="5"/>
      <c r="G445" s="5"/>
      <c r="H445" s="5"/>
      <c r="I445" s="5"/>
      <c r="J445" s="5"/>
      <c r="K445" s="5"/>
      <c r="L445" s="5"/>
      <c r="M445" s="5"/>
      <c r="N445" s="5"/>
      <c r="O445" s="5"/>
      <c r="P445" s="4"/>
      <c r="Q445" s="4"/>
      <c r="R445" s="4"/>
      <c r="S445" s="4"/>
      <c r="T445" s="4"/>
      <c r="U445" s="4"/>
      <c r="V445" s="4"/>
      <c r="W445" s="4"/>
      <c r="X445" s="4"/>
      <c r="Y445" s="4"/>
      <c r="Z445" s="4"/>
      <c r="AA445" s="4"/>
    </row>
    <row r="446" spans="1:27">
      <c r="A446" s="5"/>
      <c r="B446" s="5"/>
      <c r="C446" s="4"/>
      <c r="D446" s="5"/>
      <c r="E446" s="5"/>
      <c r="F446" s="5"/>
      <c r="G446" s="5"/>
      <c r="H446" s="5"/>
      <c r="I446" s="5"/>
      <c r="J446" s="5"/>
      <c r="K446" s="5"/>
      <c r="L446" s="5"/>
      <c r="M446" s="5"/>
      <c r="N446" s="5"/>
      <c r="O446" s="5"/>
      <c r="P446" s="4"/>
      <c r="Q446" s="4"/>
      <c r="R446" s="4"/>
      <c r="S446" s="4"/>
      <c r="T446" s="4"/>
      <c r="U446" s="4"/>
      <c r="V446" s="4"/>
      <c r="W446" s="4"/>
      <c r="X446" s="4"/>
      <c r="Y446" s="4"/>
      <c r="Z446" s="4"/>
      <c r="AA446" s="4"/>
    </row>
    <row r="447" spans="1:27">
      <c r="A447" s="5"/>
      <c r="B447" s="5"/>
      <c r="C447" s="4"/>
      <c r="D447" s="5"/>
      <c r="E447" s="5"/>
      <c r="F447" s="5"/>
      <c r="G447" s="5"/>
      <c r="H447" s="5"/>
      <c r="I447" s="5"/>
      <c r="J447" s="5"/>
      <c r="K447" s="5"/>
      <c r="L447" s="5"/>
      <c r="M447" s="5"/>
      <c r="N447" s="5"/>
      <c r="O447" s="5"/>
      <c r="P447" s="4"/>
      <c r="Q447" s="4"/>
      <c r="R447" s="4"/>
      <c r="S447" s="4"/>
      <c r="T447" s="4"/>
      <c r="U447" s="4"/>
      <c r="V447" s="4"/>
      <c r="W447" s="4"/>
      <c r="X447" s="4"/>
      <c r="Y447" s="4"/>
      <c r="Z447" s="4"/>
      <c r="AA447" s="4"/>
    </row>
    <row r="448" spans="1:27">
      <c r="A448" s="5"/>
      <c r="B448" s="5"/>
      <c r="C448" s="4"/>
      <c r="D448" s="5"/>
      <c r="E448" s="5"/>
      <c r="F448" s="5"/>
      <c r="G448" s="5"/>
      <c r="H448" s="5"/>
      <c r="I448" s="5"/>
      <c r="J448" s="5"/>
      <c r="K448" s="5"/>
      <c r="L448" s="5"/>
      <c r="M448" s="5"/>
      <c r="N448" s="5"/>
      <c r="O448" s="5"/>
      <c r="P448" s="4"/>
      <c r="Q448" s="4"/>
      <c r="R448" s="4"/>
      <c r="S448" s="4"/>
      <c r="T448" s="4"/>
      <c r="U448" s="4"/>
      <c r="V448" s="4"/>
      <c r="W448" s="4"/>
      <c r="X448" s="4"/>
      <c r="Y448" s="4"/>
      <c r="Z448" s="4"/>
      <c r="AA448" s="4"/>
    </row>
    <row r="449" spans="1:27">
      <c r="A449" s="5"/>
      <c r="B449" s="5"/>
      <c r="C449" s="4"/>
      <c r="D449" s="5"/>
      <c r="E449" s="5"/>
      <c r="F449" s="5"/>
      <c r="G449" s="5"/>
      <c r="H449" s="5"/>
      <c r="I449" s="5"/>
      <c r="J449" s="5"/>
      <c r="K449" s="5"/>
      <c r="L449" s="5"/>
      <c r="M449" s="5"/>
      <c r="N449" s="5"/>
      <c r="O449" s="5"/>
      <c r="P449" s="4"/>
      <c r="Q449" s="4"/>
      <c r="R449" s="4"/>
      <c r="S449" s="4"/>
      <c r="T449" s="4"/>
      <c r="U449" s="4"/>
      <c r="V449" s="4"/>
      <c r="W449" s="4"/>
      <c r="X449" s="4"/>
      <c r="Y449" s="4"/>
      <c r="Z449" s="4"/>
      <c r="AA449" s="4"/>
    </row>
    <row r="450" spans="1:27">
      <c r="A450" s="5"/>
      <c r="B450" s="5"/>
      <c r="C450" s="4"/>
      <c r="D450" s="5"/>
      <c r="E450" s="5"/>
      <c r="F450" s="5"/>
      <c r="G450" s="5"/>
      <c r="H450" s="5"/>
      <c r="I450" s="5"/>
      <c r="J450" s="5"/>
      <c r="K450" s="5"/>
      <c r="L450" s="5"/>
      <c r="M450" s="5"/>
      <c r="N450" s="5"/>
      <c r="O450" s="5"/>
      <c r="P450" s="4"/>
      <c r="Q450" s="4"/>
      <c r="R450" s="4"/>
      <c r="S450" s="4"/>
      <c r="T450" s="4"/>
      <c r="U450" s="4"/>
      <c r="V450" s="4"/>
      <c r="W450" s="4"/>
      <c r="X450" s="4"/>
      <c r="Y450" s="4"/>
      <c r="Z450" s="4"/>
      <c r="AA450" s="4"/>
    </row>
    <row r="451" spans="1:27">
      <c r="A451" s="5"/>
      <c r="B451" s="5"/>
      <c r="C451" s="4"/>
      <c r="D451" s="5"/>
      <c r="E451" s="5"/>
      <c r="F451" s="5"/>
      <c r="G451" s="5"/>
      <c r="H451" s="5"/>
      <c r="I451" s="5"/>
      <c r="J451" s="5"/>
      <c r="K451" s="5"/>
      <c r="L451" s="5"/>
      <c r="M451" s="5"/>
      <c r="N451" s="5"/>
      <c r="O451" s="5"/>
      <c r="P451" s="4"/>
      <c r="Q451" s="4"/>
      <c r="R451" s="4"/>
      <c r="S451" s="4"/>
      <c r="T451" s="4"/>
      <c r="U451" s="4"/>
      <c r="V451" s="4"/>
      <c r="W451" s="4"/>
      <c r="X451" s="4"/>
      <c r="Y451" s="4"/>
      <c r="Z451" s="4"/>
      <c r="AA451" s="4"/>
    </row>
    <row r="452" spans="1:27">
      <c r="A452" s="5"/>
      <c r="B452" s="5"/>
      <c r="C452" s="4"/>
      <c r="D452" s="5"/>
      <c r="E452" s="5"/>
      <c r="F452" s="5"/>
      <c r="G452" s="5"/>
      <c r="H452" s="5"/>
      <c r="I452" s="5"/>
      <c r="J452" s="5"/>
      <c r="K452" s="5"/>
      <c r="L452" s="5"/>
      <c r="M452" s="5"/>
      <c r="N452" s="5"/>
      <c r="O452" s="5"/>
      <c r="P452" s="4"/>
      <c r="Q452" s="4"/>
      <c r="R452" s="4"/>
      <c r="S452" s="4"/>
      <c r="T452" s="4"/>
      <c r="U452" s="4"/>
      <c r="V452" s="4"/>
      <c r="W452" s="4"/>
      <c r="X452" s="4"/>
      <c r="Y452" s="4"/>
      <c r="Z452" s="4"/>
      <c r="AA452" s="4"/>
    </row>
    <row r="453" spans="1:27">
      <c r="A453" s="5"/>
      <c r="B453" s="5"/>
      <c r="C453" s="4"/>
      <c r="D453" s="5"/>
      <c r="E453" s="5"/>
      <c r="F453" s="5"/>
      <c r="G453" s="5"/>
      <c r="H453" s="5"/>
      <c r="I453" s="5"/>
      <c r="J453" s="5"/>
      <c r="K453" s="5"/>
      <c r="L453" s="5"/>
      <c r="M453" s="5"/>
      <c r="N453" s="5"/>
      <c r="O453" s="5"/>
      <c r="P453" s="4"/>
      <c r="Q453" s="4"/>
      <c r="R453" s="4"/>
      <c r="S453" s="4"/>
      <c r="T453" s="4"/>
      <c r="U453" s="4"/>
      <c r="V453" s="4"/>
      <c r="W453" s="4"/>
      <c r="X453" s="4"/>
      <c r="Y453" s="4"/>
      <c r="Z453" s="4"/>
      <c r="AA453" s="4"/>
    </row>
    <row r="454" spans="1:27">
      <c r="A454" s="5"/>
      <c r="B454" s="5"/>
      <c r="C454" s="4"/>
      <c r="D454" s="5"/>
      <c r="E454" s="5"/>
      <c r="F454" s="5"/>
      <c r="G454" s="5"/>
      <c r="H454" s="5"/>
      <c r="I454" s="5"/>
      <c r="J454" s="5"/>
      <c r="K454" s="5"/>
      <c r="L454" s="5"/>
      <c r="M454" s="5"/>
      <c r="N454" s="5"/>
      <c r="O454" s="5"/>
      <c r="P454" s="4"/>
      <c r="Q454" s="4"/>
      <c r="R454" s="4"/>
      <c r="S454" s="4"/>
      <c r="T454" s="4"/>
      <c r="U454" s="4"/>
      <c r="V454" s="4"/>
      <c r="W454" s="4"/>
      <c r="X454" s="4"/>
      <c r="Y454" s="4"/>
      <c r="Z454" s="4"/>
      <c r="AA454" s="4"/>
    </row>
    <row r="455" spans="1:27">
      <c r="A455" s="5"/>
      <c r="B455" s="5"/>
      <c r="C455" s="4"/>
      <c r="D455" s="5"/>
      <c r="E455" s="5"/>
      <c r="F455" s="5"/>
      <c r="G455" s="5"/>
      <c r="H455" s="5"/>
      <c r="I455" s="5"/>
      <c r="J455" s="5"/>
      <c r="K455" s="5"/>
      <c r="L455" s="5"/>
      <c r="M455" s="5"/>
      <c r="N455" s="5"/>
      <c r="O455" s="5"/>
      <c r="P455" s="4"/>
      <c r="Q455" s="4"/>
      <c r="R455" s="4"/>
      <c r="S455" s="4"/>
      <c r="T455" s="4"/>
      <c r="U455" s="4"/>
      <c r="V455" s="4"/>
      <c r="W455" s="4"/>
      <c r="X455" s="4"/>
      <c r="Y455" s="4"/>
      <c r="Z455" s="4"/>
      <c r="AA455" s="4"/>
    </row>
    <row r="456" spans="1:27">
      <c r="A456" s="5"/>
      <c r="B456" s="5"/>
      <c r="C456" s="4"/>
      <c r="D456" s="5"/>
      <c r="E456" s="5"/>
      <c r="F456" s="5"/>
      <c r="G456" s="5"/>
      <c r="H456" s="5"/>
      <c r="I456" s="5"/>
      <c r="J456" s="5"/>
      <c r="K456" s="5"/>
      <c r="L456" s="5"/>
      <c r="M456" s="5"/>
      <c r="N456" s="5"/>
      <c r="O456" s="5"/>
      <c r="P456" s="4"/>
      <c r="Q456" s="4"/>
      <c r="R456" s="4"/>
      <c r="S456" s="4"/>
      <c r="T456" s="4"/>
      <c r="U456" s="4"/>
      <c r="V456" s="4"/>
      <c r="W456" s="4"/>
      <c r="X456" s="4"/>
      <c r="Y456" s="4"/>
      <c r="Z456" s="4"/>
      <c r="AA456" s="4"/>
    </row>
    <row r="457" spans="1:27">
      <c r="A457" s="5"/>
      <c r="B457" s="5"/>
      <c r="C457" s="4"/>
      <c r="D457" s="5"/>
      <c r="E457" s="5"/>
      <c r="F457" s="5"/>
      <c r="G457" s="5"/>
      <c r="H457" s="5"/>
      <c r="I457" s="5"/>
      <c r="J457" s="5"/>
      <c r="K457" s="5"/>
      <c r="L457" s="5"/>
      <c r="M457" s="5"/>
      <c r="N457" s="5"/>
      <c r="O457" s="5"/>
      <c r="P457" s="4"/>
      <c r="Q457" s="4"/>
      <c r="R457" s="4"/>
      <c r="S457" s="4"/>
      <c r="T457" s="4"/>
      <c r="U457" s="4"/>
      <c r="V457" s="4"/>
      <c r="W457" s="4"/>
      <c r="X457" s="4"/>
      <c r="Y457" s="4"/>
      <c r="Z457" s="4"/>
      <c r="AA457" s="4"/>
    </row>
    <row r="458" spans="1:27">
      <c r="A458" s="5"/>
      <c r="B458" s="5"/>
      <c r="C458" s="4"/>
      <c r="D458" s="5"/>
      <c r="E458" s="5"/>
      <c r="F458" s="5"/>
      <c r="G458" s="5"/>
      <c r="H458" s="5"/>
      <c r="I458" s="5"/>
      <c r="J458" s="5"/>
      <c r="K458" s="5"/>
      <c r="L458" s="5"/>
      <c r="M458" s="5"/>
      <c r="N458" s="5"/>
      <c r="O458" s="5"/>
      <c r="P458" s="4"/>
      <c r="Q458" s="4"/>
      <c r="R458" s="4"/>
      <c r="S458" s="4"/>
      <c r="T458" s="4"/>
      <c r="U458" s="4"/>
      <c r="V458" s="4"/>
      <c r="W458" s="4"/>
      <c r="X458" s="4"/>
      <c r="Y458" s="4"/>
      <c r="Z458" s="4"/>
      <c r="AA458" s="4"/>
    </row>
    <row r="459" spans="1:27">
      <c r="A459" s="5"/>
      <c r="B459" s="5"/>
      <c r="C459" s="4"/>
      <c r="D459" s="5"/>
      <c r="E459" s="5"/>
      <c r="F459" s="5"/>
      <c r="G459" s="5"/>
      <c r="H459" s="5"/>
      <c r="I459" s="5"/>
      <c r="J459" s="5"/>
      <c r="K459" s="5"/>
      <c r="L459" s="5"/>
      <c r="M459" s="5"/>
      <c r="N459" s="5"/>
      <c r="O459" s="5"/>
      <c r="P459" s="4"/>
      <c r="Q459" s="4"/>
      <c r="R459" s="4"/>
      <c r="S459" s="4"/>
      <c r="T459" s="4"/>
      <c r="U459" s="4"/>
      <c r="V459" s="4"/>
      <c r="W459" s="4"/>
      <c r="X459" s="4"/>
      <c r="Y459" s="4"/>
      <c r="Z459" s="4"/>
      <c r="AA459" s="4"/>
    </row>
    <row r="460" spans="1:27">
      <c r="A460" s="5"/>
      <c r="B460" s="5"/>
      <c r="C460" s="4"/>
      <c r="D460" s="5"/>
      <c r="E460" s="5"/>
      <c r="F460" s="5"/>
      <c r="G460" s="5"/>
      <c r="H460" s="5"/>
      <c r="I460" s="5"/>
      <c r="J460" s="5"/>
      <c r="K460" s="5"/>
      <c r="L460" s="5"/>
      <c r="M460" s="5"/>
      <c r="N460" s="5"/>
      <c r="O460" s="5"/>
      <c r="P460" s="4"/>
      <c r="Q460" s="4"/>
      <c r="R460" s="4"/>
      <c r="S460" s="4"/>
      <c r="T460" s="4"/>
      <c r="U460" s="4"/>
      <c r="V460" s="4"/>
      <c r="W460" s="4"/>
      <c r="X460" s="4"/>
      <c r="Y460" s="4"/>
      <c r="Z460" s="4"/>
      <c r="AA460" s="4"/>
    </row>
    <row r="461" spans="1:27">
      <c r="A461" s="5"/>
      <c r="B461" s="5"/>
      <c r="C461" s="4"/>
      <c r="D461" s="5"/>
      <c r="E461" s="5"/>
      <c r="F461" s="5"/>
      <c r="G461" s="5"/>
      <c r="H461" s="5"/>
      <c r="I461" s="5"/>
      <c r="J461" s="5"/>
      <c r="K461" s="5"/>
      <c r="L461" s="5"/>
      <c r="M461" s="5"/>
      <c r="N461" s="5"/>
      <c r="O461" s="5"/>
      <c r="P461" s="4"/>
      <c r="Q461" s="4"/>
      <c r="R461" s="4"/>
      <c r="S461" s="4"/>
      <c r="T461" s="4"/>
      <c r="U461" s="4"/>
      <c r="V461" s="4"/>
      <c r="W461" s="4"/>
      <c r="X461" s="4"/>
      <c r="Y461" s="4"/>
      <c r="Z461" s="4"/>
      <c r="AA461" s="4"/>
    </row>
    <row r="462" spans="1:27">
      <c r="A462" s="5"/>
      <c r="B462" s="5"/>
      <c r="C462" s="4"/>
      <c r="D462" s="5"/>
      <c r="E462" s="5"/>
      <c r="F462" s="5"/>
      <c r="G462" s="5"/>
      <c r="H462" s="5"/>
      <c r="I462" s="5"/>
      <c r="J462" s="5"/>
      <c r="K462" s="5"/>
      <c r="L462" s="5"/>
      <c r="M462" s="5"/>
      <c r="N462" s="5"/>
      <c r="O462" s="5"/>
      <c r="P462" s="4"/>
      <c r="Q462" s="4"/>
      <c r="R462" s="4"/>
      <c r="S462" s="4"/>
      <c r="T462" s="4"/>
      <c r="U462" s="4"/>
      <c r="V462" s="4"/>
      <c r="W462" s="4"/>
      <c r="X462" s="4"/>
      <c r="Y462" s="4"/>
      <c r="Z462" s="4"/>
      <c r="AA462" s="4"/>
    </row>
    <row r="463" spans="1:27">
      <c r="A463" s="5"/>
      <c r="B463" s="5"/>
      <c r="C463" s="4"/>
      <c r="D463" s="5"/>
      <c r="E463" s="5"/>
      <c r="F463" s="5"/>
      <c r="G463" s="5"/>
      <c r="H463" s="5"/>
      <c r="I463" s="5"/>
      <c r="J463" s="5"/>
      <c r="K463" s="5"/>
      <c r="L463" s="5"/>
      <c r="M463" s="5"/>
      <c r="N463" s="5"/>
      <c r="O463" s="5"/>
      <c r="P463" s="4"/>
      <c r="Q463" s="4"/>
      <c r="R463" s="4"/>
      <c r="S463" s="4"/>
      <c r="T463" s="4"/>
      <c r="U463" s="4"/>
      <c r="V463" s="4"/>
      <c r="W463" s="4"/>
      <c r="X463" s="4"/>
      <c r="Y463" s="4"/>
      <c r="Z463" s="4"/>
      <c r="AA463" s="4"/>
    </row>
    <row r="464" spans="1:27">
      <c r="A464" s="5"/>
      <c r="B464" s="5"/>
      <c r="C464" s="4"/>
      <c r="D464" s="5"/>
      <c r="E464" s="5"/>
      <c r="F464" s="5"/>
      <c r="G464" s="5"/>
      <c r="H464" s="5"/>
      <c r="I464" s="5"/>
      <c r="J464" s="5"/>
      <c r="K464" s="5"/>
      <c r="L464" s="5"/>
      <c r="M464" s="5"/>
      <c r="N464" s="5"/>
      <c r="O464" s="5"/>
      <c r="P464" s="4"/>
      <c r="Q464" s="4"/>
      <c r="R464" s="4"/>
      <c r="S464" s="4"/>
      <c r="T464" s="4"/>
      <c r="U464" s="4"/>
      <c r="V464" s="4"/>
      <c r="W464" s="4"/>
      <c r="X464" s="4"/>
      <c r="Y464" s="4"/>
      <c r="Z464" s="4"/>
      <c r="AA464" s="4"/>
    </row>
    <row r="465" spans="1:27">
      <c r="A465" s="5"/>
      <c r="B465" s="5"/>
      <c r="C465" s="4"/>
      <c r="D465" s="5"/>
      <c r="E465" s="5"/>
      <c r="F465" s="5"/>
      <c r="G465" s="5"/>
      <c r="H465" s="5"/>
      <c r="I465" s="5"/>
      <c r="J465" s="5"/>
      <c r="K465" s="5"/>
      <c r="L465" s="5"/>
      <c r="M465" s="5"/>
      <c r="N465" s="5"/>
      <c r="O465" s="5"/>
      <c r="P465" s="4"/>
      <c r="Q465" s="4"/>
      <c r="R465" s="4"/>
      <c r="S465" s="4"/>
      <c r="T465" s="4"/>
      <c r="U465" s="4"/>
      <c r="V465" s="4"/>
      <c r="W465" s="4"/>
      <c r="X465" s="4"/>
      <c r="Y465" s="4"/>
      <c r="Z465" s="4"/>
      <c r="AA465" s="4"/>
    </row>
    <row r="466" spans="1:27">
      <c r="A466" s="5"/>
      <c r="B466" s="5"/>
      <c r="C466" s="4"/>
      <c r="D466" s="5"/>
      <c r="E466" s="5"/>
      <c r="F466" s="5"/>
      <c r="G466" s="5"/>
      <c r="H466" s="5"/>
      <c r="I466" s="5"/>
      <c r="J466" s="5"/>
      <c r="K466" s="5"/>
      <c r="L466" s="5"/>
      <c r="M466" s="5"/>
      <c r="N466" s="5"/>
      <c r="O466" s="5"/>
      <c r="P466" s="4"/>
      <c r="Q466" s="4"/>
      <c r="R466" s="4"/>
      <c r="S466" s="4"/>
      <c r="T466" s="4"/>
      <c r="U466" s="4"/>
      <c r="V466" s="4"/>
      <c r="W466" s="4"/>
      <c r="X466" s="4"/>
      <c r="Y466" s="4"/>
      <c r="Z466" s="4"/>
      <c r="AA466" s="4"/>
    </row>
    <row r="467" spans="1:27">
      <c r="A467" s="5"/>
      <c r="B467" s="5"/>
      <c r="C467" s="4"/>
      <c r="D467" s="5"/>
      <c r="E467" s="5"/>
      <c r="F467" s="5"/>
      <c r="G467" s="5"/>
      <c r="H467" s="5"/>
      <c r="I467" s="5"/>
      <c r="J467" s="5"/>
      <c r="K467" s="5"/>
      <c r="L467" s="5"/>
      <c r="M467" s="5"/>
      <c r="N467" s="5"/>
      <c r="O467" s="5"/>
      <c r="P467" s="4"/>
      <c r="Q467" s="4"/>
      <c r="R467" s="4"/>
      <c r="S467" s="4"/>
      <c r="T467" s="4"/>
      <c r="U467" s="4"/>
      <c r="V467" s="4"/>
      <c r="W467" s="4"/>
      <c r="X467" s="4"/>
      <c r="Y467" s="4"/>
      <c r="Z467" s="4"/>
      <c r="AA467" s="4"/>
    </row>
    <row r="468" spans="1:27">
      <c r="A468" s="5"/>
      <c r="B468" s="5"/>
      <c r="C468" s="4"/>
      <c r="D468" s="5"/>
      <c r="E468" s="5"/>
      <c r="F468" s="5"/>
      <c r="G468" s="5"/>
      <c r="H468" s="5"/>
      <c r="I468" s="5"/>
      <c r="J468" s="5"/>
      <c r="K468" s="5"/>
      <c r="L468" s="5"/>
      <c r="M468" s="5"/>
      <c r="N468" s="5"/>
      <c r="O468" s="5"/>
      <c r="P468" s="4"/>
      <c r="Q468" s="4"/>
      <c r="R468" s="4"/>
      <c r="S468" s="4"/>
      <c r="T468" s="4"/>
      <c r="U468" s="4"/>
      <c r="V468" s="4"/>
      <c r="W468" s="4"/>
      <c r="X468" s="4"/>
      <c r="Y468" s="4"/>
      <c r="Z468" s="4"/>
      <c r="AA468" s="4"/>
    </row>
    <row r="469" spans="1:27">
      <c r="A469" s="5"/>
      <c r="B469" s="5"/>
      <c r="C469" s="4"/>
      <c r="D469" s="5"/>
      <c r="E469" s="5"/>
      <c r="F469" s="5"/>
      <c r="G469" s="5"/>
      <c r="H469" s="5"/>
      <c r="I469" s="5"/>
      <c r="J469" s="5"/>
      <c r="K469" s="5"/>
      <c r="L469" s="5"/>
      <c r="M469" s="5"/>
      <c r="N469" s="5"/>
      <c r="O469" s="5"/>
      <c r="P469" s="4"/>
      <c r="Q469" s="4"/>
      <c r="R469" s="4"/>
      <c r="S469" s="4"/>
      <c r="T469" s="4"/>
      <c r="U469" s="4"/>
      <c r="V469" s="4"/>
      <c r="W469" s="4"/>
      <c r="X469" s="4"/>
      <c r="Y469" s="4"/>
      <c r="Z469" s="4"/>
      <c r="AA469" s="4"/>
    </row>
    <row r="470" spans="1:27">
      <c r="A470" s="5"/>
      <c r="B470" s="5"/>
      <c r="C470" s="4"/>
      <c r="D470" s="5"/>
      <c r="E470" s="5"/>
      <c r="F470" s="5"/>
      <c r="G470" s="5"/>
      <c r="H470" s="5"/>
      <c r="I470" s="5"/>
      <c r="J470" s="5"/>
      <c r="K470" s="5"/>
      <c r="L470" s="5"/>
      <c r="M470" s="5"/>
      <c r="N470" s="5"/>
      <c r="O470" s="5"/>
      <c r="P470" s="4"/>
      <c r="Q470" s="4"/>
      <c r="R470" s="4"/>
      <c r="S470" s="4"/>
      <c r="T470" s="4"/>
      <c r="U470" s="4"/>
      <c r="V470" s="4"/>
      <c r="W470" s="4"/>
      <c r="X470" s="4"/>
      <c r="Y470" s="4"/>
      <c r="Z470" s="4"/>
      <c r="AA470" s="4"/>
    </row>
    <row r="471" spans="1:27">
      <c r="A471" s="5"/>
      <c r="B471" s="5"/>
      <c r="C471" s="4"/>
      <c r="D471" s="5"/>
      <c r="E471" s="5"/>
      <c r="F471" s="5"/>
      <c r="G471" s="5"/>
      <c r="H471" s="5"/>
      <c r="I471" s="5"/>
      <c r="J471" s="5"/>
      <c r="K471" s="5"/>
      <c r="L471" s="5"/>
      <c r="M471" s="5"/>
      <c r="N471" s="5"/>
      <c r="O471" s="5"/>
      <c r="P471" s="4"/>
      <c r="Q471" s="4"/>
      <c r="R471" s="4"/>
      <c r="S471" s="4"/>
      <c r="T471" s="4"/>
      <c r="U471" s="4"/>
      <c r="V471" s="4"/>
      <c r="W471" s="4"/>
      <c r="X471" s="4"/>
      <c r="Y471" s="4"/>
      <c r="Z471" s="4"/>
      <c r="AA471" s="4"/>
    </row>
    <row r="472" spans="1:27">
      <c r="A472" s="5"/>
      <c r="B472" s="5"/>
      <c r="C472" s="4"/>
      <c r="D472" s="5"/>
      <c r="E472" s="5"/>
      <c r="F472" s="5"/>
      <c r="G472" s="5"/>
      <c r="H472" s="5"/>
      <c r="I472" s="5"/>
      <c r="J472" s="5"/>
      <c r="K472" s="5"/>
      <c r="L472" s="5"/>
      <c r="M472" s="5"/>
      <c r="N472" s="5"/>
      <c r="O472" s="5"/>
      <c r="P472" s="4"/>
      <c r="Q472" s="4"/>
      <c r="R472" s="4"/>
      <c r="S472" s="4"/>
      <c r="T472" s="4"/>
      <c r="U472" s="4"/>
      <c r="V472" s="4"/>
      <c r="W472" s="4"/>
      <c r="X472" s="4"/>
      <c r="Y472" s="4"/>
      <c r="Z472" s="4"/>
      <c r="AA472" s="4"/>
    </row>
    <row r="473" spans="1:27">
      <c r="A473" s="5"/>
      <c r="B473" s="5"/>
      <c r="C473" s="4"/>
      <c r="D473" s="5"/>
      <c r="E473" s="5"/>
      <c r="F473" s="5"/>
      <c r="G473" s="5"/>
      <c r="H473" s="5"/>
      <c r="I473" s="5"/>
      <c r="J473" s="5"/>
      <c r="K473" s="5"/>
      <c r="L473" s="5"/>
      <c r="M473" s="5"/>
      <c r="N473" s="5"/>
      <c r="O473" s="5"/>
      <c r="P473" s="4"/>
      <c r="Q473" s="4"/>
      <c r="R473" s="4"/>
      <c r="S473" s="4"/>
      <c r="T473" s="4"/>
      <c r="U473" s="4"/>
      <c r="V473" s="4"/>
      <c r="W473" s="4"/>
      <c r="X473" s="4"/>
      <c r="Y473" s="4"/>
      <c r="Z473" s="4"/>
      <c r="AA473" s="4"/>
    </row>
    <row r="474" spans="1:27">
      <c r="A474" s="5"/>
      <c r="B474" s="5"/>
      <c r="C474" s="4"/>
      <c r="D474" s="5"/>
      <c r="E474" s="5"/>
      <c r="F474" s="5"/>
      <c r="G474" s="5"/>
      <c r="H474" s="5"/>
      <c r="I474" s="5"/>
      <c r="J474" s="5"/>
      <c r="K474" s="5"/>
      <c r="L474" s="5"/>
      <c r="M474" s="5"/>
      <c r="N474" s="5"/>
      <c r="O474" s="5"/>
      <c r="P474" s="4"/>
      <c r="Q474" s="4"/>
      <c r="R474" s="4"/>
      <c r="S474" s="4"/>
      <c r="T474" s="4"/>
      <c r="U474" s="4"/>
      <c r="V474" s="4"/>
      <c r="W474" s="4"/>
      <c r="X474" s="4"/>
      <c r="Y474" s="4"/>
      <c r="Z474" s="4"/>
      <c r="AA474" s="4"/>
    </row>
    <row r="475" spans="1:27">
      <c r="A475" s="5"/>
      <c r="B475" s="5"/>
      <c r="C475" s="4"/>
      <c r="D475" s="5"/>
      <c r="E475" s="5"/>
      <c r="F475" s="5"/>
      <c r="G475" s="5"/>
      <c r="H475" s="5"/>
      <c r="I475" s="5"/>
      <c r="J475" s="5"/>
      <c r="K475" s="5"/>
      <c r="L475" s="5"/>
      <c r="M475" s="5"/>
      <c r="N475" s="5"/>
      <c r="O475" s="5"/>
      <c r="P475" s="4"/>
      <c r="Q475" s="4"/>
      <c r="R475" s="4"/>
      <c r="S475" s="4"/>
      <c r="T475" s="4"/>
      <c r="U475" s="4"/>
      <c r="V475" s="4"/>
      <c r="W475" s="4"/>
      <c r="X475" s="4"/>
      <c r="Y475" s="4"/>
      <c r="Z475" s="4"/>
      <c r="AA475" s="4"/>
    </row>
    <row r="476" spans="1:27">
      <c r="A476" s="5"/>
      <c r="B476" s="5"/>
      <c r="C476" s="4"/>
      <c r="D476" s="5"/>
      <c r="E476" s="5"/>
      <c r="F476" s="5"/>
      <c r="G476" s="5"/>
      <c r="H476" s="5"/>
      <c r="I476" s="5"/>
      <c r="J476" s="5"/>
      <c r="K476" s="5"/>
      <c r="L476" s="5"/>
      <c r="M476" s="5"/>
      <c r="N476" s="5"/>
      <c r="O476" s="5"/>
      <c r="P476" s="4"/>
      <c r="Q476" s="4"/>
      <c r="R476" s="4"/>
      <c r="S476" s="4"/>
      <c r="T476" s="4"/>
      <c r="U476" s="4"/>
      <c r="V476" s="4"/>
      <c r="W476" s="4"/>
      <c r="X476" s="4"/>
      <c r="Y476" s="4"/>
      <c r="Z476" s="4"/>
      <c r="AA476" s="4"/>
    </row>
    <row r="477" spans="1:27">
      <c r="A477" s="5"/>
      <c r="B477" s="5"/>
      <c r="C477" s="4"/>
      <c r="D477" s="5"/>
      <c r="E477" s="5"/>
      <c r="F477" s="5"/>
      <c r="G477" s="5"/>
      <c r="H477" s="5"/>
      <c r="I477" s="5"/>
      <c r="J477" s="5"/>
      <c r="K477" s="5"/>
      <c r="L477" s="5"/>
      <c r="M477" s="5"/>
      <c r="N477" s="5"/>
      <c r="O477" s="5"/>
      <c r="P477" s="4"/>
      <c r="Q477" s="4"/>
      <c r="R477" s="4"/>
      <c r="S477" s="4"/>
      <c r="T477" s="4"/>
      <c r="U477" s="4"/>
      <c r="V477" s="4"/>
      <c r="W477" s="4"/>
      <c r="X477" s="4"/>
      <c r="Y477" s="4"/>
      <c r="Z477" s="4"/>
      <c r="AA477" s="4"/>
    </row>
    <row r="478" spans="1:27">
      <c r="A478" s="5"/>
      <c r="B478" s="5"/>
      <c r="C478" s="4"/>
      <c r="D478" s="5"/>
      <c r="E478" s="5"/>
      <c r="F478" s="5"/>
      <c r="G478" s="5"/>
      <c r="H478" s="5"/>
      <c r="I478" s="5"/>
      <c r="J478" s="5"/>
      <c r="K478" s="5"/>
      <c r="L478" s="5"/>
      <c r="M478" s="5"/>
      <c r="N478" s="5"/>
      <c r="O478" s="5"/>
      <c r="P478" s="4"/>
      <c r="Q478" s="4"/>
      <c r="R478" s="4"/>
      <c r="S478" s="4"/>
      <c r="T478" s="4"/>
      <c r="U478" s="4"/>
      <c r="V478" s="4"/>
      <c r="W478" s="4"/>
      <c r="X478" s="4"/>
      <c r="Y478" s="4"/>
      <c r="Z478" s="4"/>
      <c r="AA478" s="4"/>
    </row>
    <row r="479" spans="1:27">
      <c r="A479" s="5"/>
      <c r="B479" s="5"/>
      <c r="C479" s="4"/>
      <c r="D479" s="5"/>
      <c r="E479" s="5"/>
      <c r="F479" s="5"/>
      <c r="G479" s="5"/>
      <c r="H479" s="5"/>
      <c r="I479" s="5"/>
      <c r="J479" s="5"/>
      <c r="K479" s="5"/>
      <c r="L479" s="5"/>
      <c r="M479" s="5"/>
      <c r="N479" s="5"/>
      <c r="O479" s="5"/>
      <c r="P479" s="4"/>
      <c r="Q479" s="4"/>
      <c r="R479" s="4"/>
      <c r="S479" s="4"/>
      <c r="T479" s="4"/>
      <c r="U479" s="4"/>
      <c r="V479" s="4"/>
      <c r="W479" s="4"/>
      <c r="X479" s="4"/>
      <c r="Y479" s="4"/>
      <c r="Z479" s="4"/>
      <c r="AA479" s="4"/>
    </row>
    <row r="480" spans="1:27">
      <c r="A480" s="5"/>
      <c r="B480" s="5"/>
      <c r="C480" s="4"/>
      <c r="D480" s="5"/>
      <c r="E480" s="5"/>
      <c r="F480" s="5"/>
      <c r="G480" s="5"/>
      <c r="H480" s="5"/>
      <c r="I480" s="5"/>
      <c r="J480" s="5"/>
      <c r="K480" s="5"/>
      <c r="L480" s="5"/>
      <c r="M480" s="5"/>
      <c r="N480" s="5"/>
      <c r="O480" s="5"/>
      <c r="P480" s="4"/>
      <c r="Q480" s="4"/>
      <c r="R480" s="4"/>
      <c r="S480" s="4"/>
      <c r="T480" s="4"/>
      <c r="U480" s="4"/>
      <c r="V480" s="4"/>
      <c r="W480" s="4"/>
      <c r="X480" s="4"/>
      <c r="Y480" s="4"/>
      <c r="Z480" s="4"/>
      <c r="AA480" s="4"/>
    </row>
    <row r="481" spans="1:27">
      <c r="A481" s="5"/>
      <c r="B481" s="5"/>
      <c r="C481" s="4"/>
      <c r="D481" s="5"/>
      <c r="E481" s="5"/>
      <c r="F481" s="5"/>
      <c r="G481" s="5"/>
      <c r="H481" s="5"/>
      <c r="I481" s="5"/>
      <c r="J481" s="5"/>
      <c r="K481" s="5"/>
      <c r="L481" s="5"/>
      <c r="M481" s="5"/>
      <c r="N481" s="5"/>
      <c r="O481" s="5"/>
      <c r="P481" s="4"/>
      <c r="Q481" s="4"/>
      <c r="R481" s="4"/>
      <c r="S481" s="4"/>
      <c r="T481" s="4"/>
      <c r="U481" s="4"/>
      <c r="V481" s="4"/>
      <c r="W481" s="4"/>
      <c r="X481" s="4"/>
      <c r="Y481" s="4"/>
      <c r="Z481" s="4"/>
      <c r="AA481" s="4"/>
    </row>
    <row r="482" spans="1:27">
      <c r="A482" s="5"/>
      <c r="B482" s="5"/>
      <c r="C482" s="4"/>
      <c r="D482" s="5"/>
      <c r="E482" s="5"/>
      <c r="F482" s="5"/>
      <c r="G482" s="5"/>
      <c r="H482" s="5"/>
      <c r="I482" s="5"/>
      <c r="J482" s="5"/>
      <c r="K482" s="5"/>
      <c r="L482" s="5"/>
      <c r="M482" s="5"/>
      <c r="N482" s="5"/>
      <c r="O482" s="5"/>
      <c r="P482" s="4"/>
      <c r="Q482" s="4"/>
      <c r="R482" s="4"/>
      <c r="S482" s="4"/>
      <c r="T482" s="4"/>
      <c r="U482" s="4"/>
      <c r="V482" s="4"/>
      <c r="W482" s="4"/>
      <c r="X482" s="4"/>
      <c r="Y482" s="4"/>
      <c r="Z482" s="4"/>
      <c r="AA482" s="4"/>
    </row>
    <row r="483" spans="1:27">
      <c r="A483" s="5"/>
      <c r="B483" s="5"/>
      <c r="C483" s="4"/>
      <c r="D483" s="5"/>
      <c r="E483" s="5"/>
      <c r="F483" s="5"/>
      <c r="G483" s="5"/>
      <c r="H483" s="5"/>
      <c r="I483" s="5"/>
      <c r="J483" s="5"/>
      <c r="K483" s="5"/>
      <c r="L483" s="5"/>
      <c r="M483" s="5"/>
      <c r="N483" s="5"/>
      <c r="O483" s="5"/>
      <c r="P483" s="4"/>
      <c r="Q483" s="4"/>
      <c r="R483" s="4"/>
      <c r="S483" s="4"/>
      <c r="T483" s="4"/>
      <c r="U483" s="4"/>
      <c r="V483" s="4"/>
      <c r="W483" s="4"/>
      <c r="X483" s="4"/>
      <c r="Y483" s="4"/>
      <c r="Z483" s="4"/>
      <c r="AA483" s="4"/>
    </row>
    <row r="484" spans="1:27">
      <c r="A484" s="5"/>
      <c r="B484" s="5"/>
      <c r="C484" s="4"/>
      <c r="D484" s="5"/>
      <c r="E484" s="5"/>
      <c r="F484" s="5"/>
      <c r="G484" s="5"/>
      <c r="H484" s="5"/>
      <c r="I484" s="5"/>
      <c r="J484" s="5"/>
      <c r="K484" s="5"/>
      <c r="L484" s="5"/>
      <c r="M484" s="5"/>
      <c r="N484" s="5"/>
      <c r="O484" s="5"/>
      <c r="P484" s="4"/>
      <c r="Q484" s="4"/>
      <c r="R484" s="4"/>
      <c r="S484" s="4"/>
      <c r="T484" s="4"/>
      <c r="U484" s="4"/>
      <c r="V484" s="4"/>
      <c r="W484" s="4"/>
      <c r="X484" s="4"/>
      <c r="Y484" s="4"/>
      <c r="Z484" s="4"/>
      <c r="AA484" s="4"/>
    </row>
    <row r="485" spans="1:27">
      <c r="A485" s="5"/>
      <c r="B485" s="5"/>
      <c r="C485" s="4"/>
      <c r="D485" s="5"/>
      <c r="E485" s="5"/>
      <c r="F485" s="5"/>
      <c r="G485" s="5"/>
      <c r="H485" s="5"/>
      <c r="I485" s="5"/>
      <c r="J485" s="5"/>
      <c r="K485" s="5"/>
      <c r="L485" s="5"/>
      <c r="M485" s="5"/>
      <c r="N485" s="5"/>
      <c r="O485" s="5"/>
      <c r="P485" s="4"/>
      <c r="Q485" s="4"/>
      <c r="R485" s="4"/>
      <c r="S485" s="4"/>
      <c r="T485" s="4"/>
      <c r="U485" s="4"/>
      <c r="V485" s="4"/>
      <c r="W485" s="4"/>
      <c r="X485" s="4"/>
      <c r="Y485" s="4"/>
      <c r="Z485" s="4"/>
      <c r="AA485" s="4"/>
    </row>
    <row r="486" spans="1:27">
      <c r="A486" s="5"/>
      <c r="B486" s="5"/>
      <c r="C486" s="4"/>
      <c r="D486" s="5"/>
      <c r="E486" s="5"/>
      <c r="F486" s="5"/>
      <c r="G486" s="5"/>
      <c r="H486" s="5"/>
      <c r="I486" s="5"/>
      <c r="J486" s="5"/>
      <c r="K486" s="5"/>
      <c r="L486" s="5"/>
      <c r="M486" s="5"/>
      <c r="N486" s="5"/>
      <c r="O486" s="5"/>
      <c r="P486" s="4"/>
      <c r="Q486" s="4"/>
      <c r="R486" s="4"/>
      <c r="S486" s="4"/>
      <c r="T486" s="4"/>
      <c r="U486" s="4"/>
      <c r="V486" s="4"/>
      <c r="W486" s="4"/>
      <c r="X486" s="4"/>
      <c r="Y486" s="4"/>
      <c r="Z486" s="4"/>
      <c r="AA486" s="4"/>
    </row>
    <row r="487" spans="1:27">
      <c r="A487" s="5"/>
      <c r="B487" s="5"/>
      <c r="C487" s="4"/>
      <c r="D487" s="5"/>
      <c r="E487" s="5"/>
      <c r="F487" s="5"/>
      <c r="G487" s="5"/>
      <c r="H487" s="5"/>
      <c r="I487" s="5"/>
      <c r="J487" s="5"/>
      <c r="K487" s="5"/>
      <c r="L487" s="5"/>
      <c r="M487" s="5"/>
      <c r="N487" s="5"/>
      <c r="O487" s="5"/>
      <c r="P487" s="4"/>
      <c r="Q487" s="4"/>
      <c r="R487" s="4"/>
      <c r="S487" s="4"/>
      <c r="T487" s="4"/>
      <c r="U487" s="4"/>
      <c r="V487" s="4"/>
      <c r="W487" s="4"/>
      <c r="X487" s="4"/>
      <c r="Y487" s="4"/>
      <c r="Z487" s="4"/>
      <c r="AA487" s="4"/>
    </row>
    <row r="488" spans="1:27">
      <c r="A488" s="5"/>
      <c r="B488" s="5"/>
      <c r="C488" s="4"/>
      <c r="D488" s="5"/>
      <c r="E488" s="5"/>
      <c r="F488" s="5"/>
      <c r="G488" s="5"/>
      <c r="H488" s="5"/>
      <c r="I488" s="5"/>
      <c r="J488" s="5"/>
      <c r="K488" s="5"/>
      <c r="L488" s="5"/>
      <c r="M488" s="5"/>
      <c r="N488" s="5"/>
      <c r="O488" s="5"/>
      <c r="P488" s="4"/>
      <c r="Q488" s="4"/>
      <c r="R488" s="4"/>
      <c r="S488" s="4"/>
      <c r="T488" s="4"/>
      <c r="U488" s="4"/>
      <c r="V488" s="4"/>
      <c r="W488" s="4"/>
      <c r="X488" s="4"/>
      <c r="Y488" s="4"/>
      <c r="Z488" s="4"/>
      <c r="AA488" s="4"/>
    </row>
    <row r="489" spans="1:27">
      <c r="A489" s="5"/>
      <c r="B489" s="5"/>
      <c r="C489" s="4"/>
      <c r="D489" s="5"/>
      <c r="E489" s="5"/>
      <c r="F489" s="5"/>
      <c r="G489" s="5"/>
      <c r="H489" s="5"/>
      <c r="I489" s="5"/>
      <c r="J489" s="5"/>
      <c r="K489" s="5"/>
      <c r="L489" s="5"/>
      <c r="M489" s="5"/>
      <c r="N489" s="5"/>
      <c r="O489" s="5"/>
      <c r="P489" s="4"/>
      <c r="Q489" s="4"/>
      <c r="R489" s="4"/>
      <c r="S489" s="4"/>
      <c r="T489" s="4"/>
      <c r="U489" s="4"/>
      <c r="V489" s="4"/>
      <c r="W489" s="4"/>
      <c r="X489" s="4"/>
      <c r="Y489" s="4"/>
      <c r="Z489" s="4"/>
      <c r="AA489" s="4"/>
    </row>
    <row r="490" spans="1:27">
      <c r="A490" s="5"/>
      <c r="B490" s="5"/>
      <c r="C490" s="4"/>
      <c r="D490" s="5"/>
      <c r="E490" s="5"/>
      <c r="F490" s="5"/>
      <c r="G490" s="5"/>
      <c r="H490" s="5"/>
      <c r="I490" s="5"/>
      <c r="J490" s="5"/>
      <c r="K490" s="5"/>
      <c r="L490" s="5"/>
      <c r="M490" s="5"/>
      <c r="N490" s="5"/>
      <c r="O490" s="5"/>
      <c r="P490" s="4"/>
      <c r="Q490" s="4"/>
      <c r="R490" s="4"/>
      <c r="S490" s="4"/>
      <c r="T490" s="4"/>
      <c r="U490" s="4"/>
      <c r="V490" s="4"/>
      <c r="W490" s="4"/>
      <c r="X490" s="4"/>
      <c r="Y490" s="4"/>
      <c r="Z490" s="4"/>
      <c r="AA490" s="4"/>
    </row>
    <row r="491" spans="1:27">
      <c r="A491" s="5"/>
      <c r="B491" s="5"/>
      <c r="C491" s="4"/>
      <c r="D491" s="5"/>
      <c r="E491" s="5"/>
      <c r="F491" s="5"/>
      <c r="G491" s="5"/>
      <c r="H491" s="5"/>
      <c r="I491" s="5"/>
      <c r="J491" s="5"/>
      <c r="K491" s="5"/>
      <c r="L491" s="5"/>
      <c r="M491" s="5"/>
      <c r="N491" s="5"/>
      <c r="O491" s="5"/>
      <c r="P491" s="4"/>
      <c r="Q491" s="4"/>
      <c r="R491" s="4"/>
      <c r="S491" s="4"/>
      <c r="T491" s="4"/>
      <c r="U491" s="4"/>
      <c r="V491" s="4"/>
      <c r="W491" s="4"/>
      <c r="X491" s="4"/>
      <c r="Y491" s="4"/>
      <c r="Z491" s="4"/>
      <c r="AA491" s="4"/>
    </row>
    <row r="492" spans="1:27">
      <c r="A492" s="5"/>
      <c r="B492" s="5"/>
      <c r="C492" s="4"/>
      <c r="D492" s="5"/>
      <c r="E492" s="5"/>
      <c r="F492" s="5"/>
      <c r="G492" s="5"/>
      <c r="H492" s="5"/>
      <c r="I492" s="5"/>
      <c r="J492" s="5"/>
      <c r="K492" s="5"/>
      <c r="L492" s="5"/>
      <c r="M492" s="5"/>
      <c r="N492" s="5"/>
      <c r="O492" s="5"/>
      <c r="P492" s="4"/>
      <c r="Q492" s="4"/>
      <c r="R492" s="4"/>
      <c r="S492" s="4"/>
      <c r="T492" s="4"/>
      <c r="U492" s="4"/>
      <c r="V492" s="4"/>
      <c r="W492" s="4"/>
      <c r="X492" s="4"/>
      <c r="Y492" s="4"/>
      <c r="Z492" s="4"/>
      <c r="AA492" s="4"/>
    </row>
    <row r="493" spans="1:27">
      <c r="A493" s="5"/>
      <c r="B493" s="5"/>
      <c r="C493" s="4"/>
      <c r="D493" s="5"/>
      <c r="E493" s="5"/>
      <c r="F493" s="5"/>
      <c r="G493" s="5"/>
      <c r="H493" s="5"/>
      <c r="I493" s="5"/>
      <c r="J493" s="5"/>
      <c r="K493" s="5"/>
      <c r="L493" s="5"/>
      <c r="M493" s="5"/>
      <c r="N493" s="5"/>
      <c r="O493" s="5"/>
      <c r="P493" s="4"/>
      <c r="Q493" s="4"/>
      <c r="R493" s="4"/>
      <c r="S493" s="4"/>
      <c r="T493" s="4"/>
      <c r="U493" s="4"/>
      <c r="V493" s="4"/>
      <c r="W493" s="4"/>
      <c r="X493" s="4"/>
      <c r="Y493" s="4"/>
      <c r="Z493" s="4"/>
      <c r="AA493" s="4"/>
    </row>
    <row r="494" spans="1:27">
      <c r="A494" s="5"/>
      <c r="B494" s="5"/>
      <c r="C494" s="4"/>
      <c r="D494" s="5"/>
      <c r="E494" s="5"/>
      <c r="F494" s="5"/>
      <c r="G494" s="5"/>
      <c r="H494" s="5"/>
      <c r="I494" s="5"/>
      <c r="J494" s="5"/>
      <c r="K494" s="5"/>
      <c r="L494" s="5"/>
      <c r="M494" s="5"/>
      <c r="N494" s="5"/>
      <c r="O494" s="5"/>
      <c r="P494" s="4"/>
      <c r="Q494" s="4"/>
      <c r="R494" s="4"/>
      <c r="S494" s="4"/>
      <c r="T494" s="4"/>
      <c r="U494" s="4"/>
      <c r="V494" s="4"/>
      <c r="W494" s="4"/>
      <c r="X494" s="4"/>
      <c r="Y494" s="4"/>
      <c r="Z494" s="4"/>
      <c r="AA494" s="4"/>
    </row>
    <row r="495" spans="1:27">
      <c r="A495" s="5"/>
      <c r="B495" s="5"/>
      <c r="C495" s="4"/>
      <c r="D495" s="5"/>
      <c r="E495" s="5"/>
      <c r="F495" s="5"/>
      <c r="G495" s="5"/>
      <c r="H495" s="5"/>
      <c r="I495" s="5"/>
      <c r="J495" s="5"/>
      <c r="K495" s="5"/>
      <c r="L495" s="5"/>
      <c r="M495" s="5"/>
      <c r="N495" s="5"/>
      <c r="O495" s="5"/>
      <c r="P495" s="4"/>
      <c r="Q495" s="4"/>
      <c r="R495" s="4"/>
      <c r="S495" s="4"/>
      <c r="T495" s="4"/>
      <c r="U495" s="4"/>
      <c r="V495" s="4"/>
      <c r="W495" s="4"/>
      <c r="X495" s="4"/>
      <c r="Y495" s="4"/>
      <c r="Z495" s="4"/>
      <c r="AA495" s="4"/>
    </row>
    <row r="496" spans="1:27">
      <c r="A496" s="5"/>
      <c r="B496" s="5"/>
      <c r="C496" s="4"/>
      <c r="D496" s="5"/>
      <c r="E496" s="5"/>
      <c r="F496" s="5"/>
      <c r="G496" s="5"/>
      <c r="H496" s="5"/>
      <c r="I496" s="5"/>
      <c r="J496" s="5"/>
      <c r="K496" s="5"/>
      <c r="L496" s="5"/>
      <c r="M496" s="5"/>
      <c r="N496" s="5"/>
      <c r="O496" s="5"/>
      <c r="P496" s="4"/>
      <c r="Q496" s="4"/>
      <c r="R496" s="4"/>
      <c r="S496" s="4"/>
      <c r="T496" s="4"/>
      <c r="U496" s="4"/>
      <c r="V496" s="4"/>
      <c r="W496" s="4"/>
      <c r="X496" s="4"/>
      <c r="Y496" s="4"/>
      <c r="Z496" s="4"/>
      <c r="AA496" s="4"/>
    </row>
    <row r="497" spans="1:27">
      <c r="A497" s="5"/>
      <c r="B497" s="5"/>
      <c r="C497" s="4"/>
      <c r="D497" s="5"/>
      <c r="E497" s="5"/>
      <c r="F497" s="5"/>
      <c r="G497" s="5"/>
      <c r="H497" s="5"/>
      <c r="I497" s="5"/>
      <c r="J497" s="5"/>
      <c r="K497" s="5"/>
      <c r="L497" s="5"/>
      <c r="M497" s="5"/>
      <c r="N497" s="5"/>
      <c r="O497" s="5"/>
      <c r="P497" s="4"/>
      <c r="Q497" s="4"/>
      <c r="R497" s="4"/>
      <c r="S497" s="4"/>
      <c r="T497" s="4"/>
      <c r="U497" s="4"/>
      <c r="V497" s="4"/>
      <c r="W497" s="4"/>
      <c r="X497" s="4"/>
      <c r="Y497" s="4"/>
      <c r="Z497" s="4"/>
      <c r="AA497" s="4"/>
    </row>
    <row r="498" spans="1:27">
      <c r="A498" s="5"/>
      <c r="B498" s="5"/>
      <c r="C498" s="4"/>
      <c r="D498" s="5"/>
      <c r="E498" s="5"/>
      <c r="F498" s="5"/>
      <c r="G498" s="5"/>
      <c r="H498" s="5"/>
      <c r="I498" s="5"/>
      <c r="J498" s="5"/>
      <c r="K498" s="5"/>
      <c r="L498" s="5"/>
      <c r="M498" s="5"/>
      <c r="N498" s="5"/>
      <c r="O498" s="5"/>
      <c r="P498" s="4"/>
      <c r="Q498" s="4"/>
      <c r="R498" s="4"/>
      <c r="S498" s="4"/>
      <c r="T498" s="4"/>
      <c r="U498" s="4"/>
      <c r="V498" s="4"/>
      <c r="W498" s="4"/>
      <c r="X498" s="4"/>
      <c r="Y498" s="4"/>
      <c r="Z498" s="4"/>
      <c r="AA498" s="4"/>
    </row>
    <row r="499" spans="1:27">
      <c r="A499" s="5"/>
      <c r="B499" s="5"/>
      <c r="C499" s="4"/>
      <c r="D499" s="5"/>
      <c r="E499" s="5"/>
      <c r="F499" s="5"/>
      <c r="G499" s="5"/>
      <c r="H499" s="5"/>
      <c r="I499" s="5"/>
      <c r="J499" s="5"/>
      <c r="K499" s="5"/>
      <c r="L499" s="5"/>
      <c r="M499" s="5"/>
      <c r="N499" s="5"/>
      <c r="O499" s="5"/>
      <c r="P499" s="4"/>
      <c r="Q499" s="4"/>
      <c r="R499" s="4"/>
      <c r="S499" s="4"/>
      <c r="T499" s="4"/>
      <c r="U499" s="4"/>
      <c r="V499" s="4"/>
      <c r="W499" s="4"/>
      <c r="X499" s="4"/>
      <c r="Y499" s="4"/>
      <c r="Z499" s="4"/>
      <c r="AA499" s="4"/>
    </row>
    <row r="500" spans="1:27">
      <c r="A500" s="5"/>
      <c r="B500" s="5"/>
      <c r="C500" s="4"/>
      <c r="D500" s="5"/>
      <c r="E500" s="5"/>
      <c r="F500" s="5"/>
      <c r="G500" s="5"/>
      <c r="H500" s="5"/>
      <c r="I500" s="5"/>
      <c r="J500" s="5"/>
      <c r="K500" s="5"/>
      <c r="L500" s="5"/>
      <c r="M500" s="5"/>
      <c r="N500" s="5"/>
      <c r="O500" s="5"/>
      <c r="P500" s="4"/>
      <c r="Q500" s="4"/>
      <c r="R500" s="4"/>
      <c r="S500" s="4"/>
      <c r="T500" s="4"/>
      <c r="U500" s="4"/>
      <c r="V500" s="4"/>
      <c r="W500" s="4"/>
      <c r="X500" s="4"/>
      <c r="Y500" s="4"/>
      <c r="Z500" s="4"/>
      <c r="AA500" s="4"/>
    </row>
    <row r="501" spans="1:27">
      <c r="A501" s="5"/>
      <c r="B501" s="5"/>
      <c r="C501" s="4"/>
      <c r="D501" s="5"/>
      <c r="E501" s="5"/>
      <c r="F501" s="5"/>
      <c r="G501" s="5"/>
      <c r="H501" s="5"/>
      <c r="I501" s="5"/>
      <c r="J501" s="5"/>
      <c r="K501" s="5"/>
      <c r="L501" s="5"/>
      <c r="M501" s="5"/>
      <c r="N501" s="5"/>
      <c r="O501" s="5"/>
      <c r="P501" s="4"/>
      <c r="Q501" s="4"/>
      <c r="R501" s="4"/>
      <c r="S501" s="4"/>
      <c r="T501" s="4"/>
      <c r="U501" s="4"/>
      <c r="V501" s="4"/>
      <c r="W501" s="4"/>
      <c r="X501" s="4"/>
      <c r="Y501" s="4"/>
      <c r="Z501" s="4"/>
      <c r="AA501" s="4"/>
    </row>
    <row r="502" spans="1:27">
      <c r="A502" s="5"/>
      <c r="B502" s="5"/>
      <c r="C502" s="4"/>
      <c r="D502" s="5"/>
      <c r="E502" s="5"/>
      <c r="F502" s="5"/>
      <c r="G502" s="5"/>
      <c r="H502" s="5"/>
      <c r="I502" s="5"/>
      <c r="J502" s="5"/>
      <c r="K502" s="5"/>
      <c r="L502" s="5"/>
      <c r="M502" s="5"/>
      <c r="N502" s="5"/>
      <c r="O502" s="5"/>
      <c r="P502" s="4"/>
      <c r="Q502" s="4"/>
      <c r="R502" s="4"/>
      <c r="S502" s="4"/>
      <c r="T502" s="4"/>
      <c r="U502" s="4"/>
      <c r="V502" s="4"/>
      <c r="W502" s="4"/>
      <c r="X502" s="4"/>
      <c r="Y502" s="4"/>
      <c r="Z502" s="4"/>
      <c r="AA502" s="4"/>
    </row>
    <row r="503" spans="1:27">
      <c r="A503" s="5"/>
      <c r="B503" s="5"/>
      <c r="C503" s="4"/>
      <c r="D503" s="5"/>
      <c r="E503" s="5"/>
      <c r="F503" s="5"/>
      <c r="G503" s="5"/>
      <c r="H503" s="5"/>
      <c r="I503" s="5"/>
      <c r="J503" s="5"/>
      <c r="K503" s="5"/>
      <c r="L503" s="5"/>
      <c r="M503" s="5"/>
      <c r="N503" s="5"/>
      <c r="O503" s="5"/>
      <c r="P503" s="4"/>
      <c r="Q503" s="4"/>
      <c r="R503" s="4"/>
      <c r="S503" s="4"/>
      <c r="T503" s="4"/>
      <c r="U503" s="4"/>
      <c r="V503" s="4"/>
      <c r="W503" s="4"/>
      <c r="X503" s="4"/>
      <c r="Y503" s="4"/>
      <c r="Z503" s="4"/>
      <c r="AA503" s="4"/>
    </row>
    <row r="504" spans="1:27">
      <c r="A504" s="5"/>
      <c r="B504" s="5"/>
      <c r="C504" s="4"/>
      <c r="D504" s="5"/>
      <c r="E504" s="5"/>
      <c r="F504" s="5"/>
      <c r="G504" s="5"/>
      <c r="H504" s="5"/>
      <c r="I504" s="5"/>
      <c r="J504" s="5"/>
      <c r="K504" s="5"/>
      <c r="L504" s="5"/>
      <c r="M504" s="5"/>
      <c r="N504" s="5"/>
      <c r="O504" s="5"/>
      <c r="P504" s="4"/>
      <c r="Q504" s="4"/>
      <c r="R504" s="4"/>
      <c r="S504" s="4"/>
      <c r="T504" s="4"/>
      <c r="U504" s="4"/>
      <c r="V504" s="4"/>
      <c r="W504" s="4"/>
      <c r="X504" s="4"/>
      <c r="Y504" s="4"/>
      <c r="Z504" s="4"/>
      <c r="AA504" s="4"/>
    </row>
    <row r="505" spans="1:27">
      <c r="A505" s="5"/>
      <c r="B505" s="5"/>
      <c r="C505" s="4"/>
      <c r="D505" s="5"/>
      <c r="E505" s="5"/>
      <c r="F505" s="5"/>
      <c r="G505" s="5"/>
      <c r="H505" s="5"/>
      <c r="I505" s="5"/>
      <c r="J505" s="5"/>
      <c r="K505" s="5"/>
      <c r="L505" s="5"/>
      <c r="M505" s="5"/>
      <c r="N505" s="5"/>
      <c r="O505" s="5"/>
      <c r="P505" s="4"/>
      <c r="Q505" s="4"/>
      <c r="R505" s="4"/>
      <c r="S505" s="4"/>
      <c r="T505" s="4"/>
      <c r="U505" s="4"/>
      <c r="V505" s="4"/>
      <c r="W505" s="4"/>
      <c r="X505" s="4"/>
      <c r="Y505" s="4"/>
      <c r="Z505" s="4"/>
      <c r="AA505" s="4"/>
    </row>
    <row r="506" spans="1:27">
      <c r="A506" s="5"/>
      <c r="B506" s="5"/>
      <c r="C506" s="4"/>
      <c r="D506" s="5"/>
      <c r="E506" s="5"/>
      <c r="F506" s="5"/>
      <c r="G506" s="5"/>
      <c r="H506" s="5"/>
      <c r="I506" s="5"/>
      <c r="J506" s="5"/>
      <c r="K506" s="5"/>
      <c r="L506" s="5"/>
      <c r="M506" s="5"/>
      <c r="N506" s="5"/>
      <c r="O506" s="5"/>
      <c r="P506" s="4"/>
      <c r="Q506" s="4"/>
      <c r="R506" s="4"/>
      <c r="S506" s="4"/>
      <c r="T506" s="4"/>
      <c r="U506" s="4"/>
      <c r="V506" s="4"/>
      <c r="W506" s="4"/>
      <c r="X506" s="4"/>
      <c r="Y506" s="4"/>
      <c r="Z506" s="4"/>
      <c r="AA506" s="4"/>
    </row>
    <row r="507" spans="1:27">
      <c r="A507" s="5"/>
      <c r="B507" s="5"/>
      <c r="C507" s="4"/>
      <c r="D507" s="5"/>
      <c r="E507" s="5"/>
      <c r="F507" s="5"/>
      <c r="G507" s="5"/>
      <c r="H507" s="5"/>
      <c r="I507" s="5"/>
      <c r="J507" s="5"/>
      <c r="K507" s="5"/>
      <c r="L507" s="5"/>
      <c r="M507" s="5"/>
      <c r="N507" s="5"/>
      <c r="O507" s="5"/>
      <c r="P507" s="4"/>
      <c r="Q507" s="4"/>
      <c r="R507" s="4"/>
      <c r="S507" s="4"/>
      <c r="T507" s="4"/>
      <c r="U507" s="4"/>
      <c r="V507" s="4"/>
      <c r="W507" s="4"/>
      <c r="X507" s="4"/>
      <c r="Y507" s="4"/>
      <c r="Z507" s="4"/>
      <c r="AA507" s="4"/>
    </row>
    <row r="508" spans="1:27">
      <c r="A508" s="5"/>
      <c r="B508" s="5"/>
      <c r="C508" s="4"/>
      <c r="D508" s="5"/>
      <c r="E508" s="5"/>
      <c r="F508" s="5"/>
      <c r="G508" s="5"/>
      <c r="H508" s="5"/>
      <c r="I508" s="5"/>
      <c r="J508" s="5"/>
      <c r="K508" s="5"/>
      <c r="L508" s="5"/>
      <c r="M508" s="5"/>
      <c r="N508" s="5"/>
      <c r="O508" s="5"/>
      <c r="P508" s="4"/>
      <c r="Q508" s="4"/>
      <c r="R508" s="4"/>
      <c r="S508" s="4"/>
      <c r="T508" s="4"/>
      <c r="U508" s="4"/>
      <c r="V508" s="4"/>
      <c r="W508" s="4"/>
      <c r="X508" s="4"/>
      <c r="Y508" s="4"/>
      <c r="Z508" s="4"/>
      <c r="AA508" s="4"/>
    </row>
    <row r="509" spans="1:27">
      <c r="A509" s="5"/>
      <c r="B509" s="5"/>
      <c r="C509" s="4"/>
      <c r="D509" s="5"/>
      <c r="E509" s="5"/>
      <c r="F509" s="5"/>
      <c r="G509" s="5"/>
      <c r="H509" s="5"/>
      <c r="I509" s="5"/>
      <c r="J509" s="5"/>
      <c r="K509" s="5"/>
      <c r="L509" s="5"/>
      <c r="M509" s="5"/>
      <c r="N509" s="5"/>
      <c r="O509" s="5"/>
      <c r="P509" s="4"/>
      <c r="Q509" s="4"/>
      <c r="R509" s="4"/>
      <c r="S509" s="4"/>
      <c r="T509" s="4"/>
      <c r="U509" s="4"/>
      <c r="V509" s="4"/>
      <c r="W509" s="4"/>
      <c r="X509" s="4"/>
      <c r="Y509" s="4"/>
      <c r="Z509" s="4"/>
      <c r="AA509" s="4"/>
    </row>
    <row r="510" spans="1:27">
      <c r="A510" s="5"/>
      <c r="B510" s="5"/>
      <c r="C510" s="4"/>
      <c r="D510" s="5"/>
      <c r="E510" s="5"/>
      <c r="F510" s="5"/>
      <c r="G510" s="5"/>
      <c r="H510" s="5"/>
      <c r="I510" s="5"/>
      <c r="J510" s="5"/>
      <c r="K510" s="5"/>
      <c r="L510" s="5"/>
      <c r="M510" s="5"/>
      <c r="N510" s="5"/>
      <c r="O510" s="5"/>
      <c r="P510" s="4"/>
      <c r="Q510" s="4"/>
      <c r="R510" s="4"/>
      <c r="S510" s="4"/>
      <c r="T510" s="4"/>
      <c r="U510" s="4"/>
      <c r="V510" s="4"/>
      <c r="W510" s="4"/>
      <c r="X510" s="4"/>
      <c r="Y510" s="4"/>
      <c r="Z510" s="4"/>
      <c r="AA510" s="4"/>
    </row>
    <row r="511" spans="1:27">
      <c r="A511" s="5"/>
      <c r="B511" s="5"/>
      <c r="C511" s="4"/>
      <c r="D511" s="5"/>
      <c r="E511" s="5"/>
      <c r="F511" s="5"/>
      <c r="G511" s="5"/>
      <c r="H511" s="5"/>
      <c r="I511" s="5"/>
      <c r="J511" s="5"/>
      <c r="K511" s="5"/>
      <c r="L511" s="5"/>
      <c r="M511" s="5"/>
      <c r="N511" s="5"/>
      <c r="O511" s="5"/>
      <c r="P511" s="4"/>
      <c r="Q511" s="4"/>
      <c r="R511" s="4"/>
      <c r="S511" s="4"/>
      <c r="T511" s="4"/>
      <c r="U511" s="4"/>
      <c r="V511" s="4"/>
      <c r="W511" s="4"/>
      <c r="X511" s="4"/>
      <c r="Y511" s="4"/>
      <c r="Z511" s="4"/>
      <c r="AA511" s="4"/>
    </row>
    <row r="512" spans="1:27">
      <c r="A512" s="5"/>
      <c r="B512" s="5"/>
      <c r="C512" s="4"/>
      <c r="D512" s="5"/>
      <c r="E512" s="5"/>
      <c r="F512" s="5"/>
      <c r="G512" s="5"/>
      <c r="H512" s="5"/>
      <c r="I512" s="5"/>
      <c r="J512" s="5"/>
      <c r="K512" s="5"/>
      <c r="L512" s="5"/>
      <c r="M512" s="5"/>
      <c r="N512" s="5"/>
      <c r="O512" s="5"/>
      <c r="P512" s="4"/>
      <c r="Q512" s="4"/>
      <c r="R512" s="4"/>
      <c r="S512" s="4"/>
      <c r="T512" s="4"/>
      <c r="U512" s="4"/>
      <c r="V512" s="4"/>
      <c r="W512" s="4"/>
      <c r="X512" s="4"/>
      <c r="Y512" s="4"/>
      <c r="Z512" s="4"/>
      <c r="AA512" s="4"/>
    </row>
    <row r="513" spans="1:27">
      <c r="A513" s="5"/>
      <c r="B513" s="5"/>
      <c r="C513" s="4"/>
      <c r="D513" s="5"/>
      <c r="E513" s="5"/>
      <c r="F513" s="5"/>
      <c r="G513" s="5"/>
      <c r="H513" s="5"/>
      <c r="I513" s="5"/>
      <c r="J513" s="5"/>
      <c r="K513" s="5"/>
      <c r="L513" s="5"/>
      <c r="M513" s="5"/>
      <c r="N513" s="5"/>
      <c r="O513" s="5"/>
      <c r="P513" s="4"/>
      <c r="Q513" s="4"/>
      <c r="R513" s="4"/>
      <c r="S513" s="4"/>
      <c r="T513" s="4"/>
      <c r="U513" s="4"/>
      <c r="V513" s="4"/>
      <c r="W513" s="4"/>
      <c r="X513" s="4"/>
      <c r="Y513" s="4"/>
      <c r="Z513" s="4"/>
      <c r="AA513" s="4"/>
    </row>
    <row r="514" spans="1:27">
      <c r="A514" s="5"/>
      <c r="B514" s="5"/>
      <c r="C514" s="4"/>
      <c r="D514" s="5"/>
      <c r="E514" s="5"/>
      <c r="F514" s="5"/>
      <c r="G514" s="5"/>
      <c r="H514" s="5"/>
      <c r="I514" s="5"/>
      <c r="J514" s="5"/>
      <c r="K514" s="5"/>
      <c r="L514" s="5"/>
      <c r="M514" s="5"/>
      <c r="N514" s="5"/>
      <c r="O514" s="5"/>
      <c r="P514" s="4"/>
      <c r="Q514" s="4"/>
      <c r="R514" s="4"/>
      <c r="S514" s="4"/>
      <c r="T514" s="4"/>
      <c r="U514" s="4"/>
      <c r="V514" s="4"/>
      <c r="W514" s="4"/>
      <c r="X514" s="4"/>
      <c r="Y514" s="4"/>
      <c r="Z514" s="4"/>
      <c r="AA514" s="4"/>
    </row>
    <row r="515" spans="1:27">
      <c r="A515" s="5"/>
      <c r="B515" s="5"/>
      <c r="C515" s="4"/>
      <c r="D515" s="5"/>
      <c r="E515" s="5"/>
      <c r="F515" s="5"/>
      <c r="G515" s="5"/>
      <c r="H515" s="5"/>
      <c r="I515" s="5"/>
      <c r="J515" s="5"/>
      <c r="K515" s="5"/>
      <c r="L515" s="5"/>
      <c r="M515" s="5"/>
      <c r="N515" s="5"/>
      <c r="O515" s="5"/>
      <c r="P515" s="4"/>
      <c r="Q515" s="4"/>
      <c r="R515" s="4"/>
      <c r="S515" s="4"/>
      <c r="T515" s="4"/>
      <c r="U515" s="4"/>
      <c r="V515" s="4"/>
      <c r="W515" s="4"/>
      <c r="X515" s="4"/>
      <c r="Y515" s="4"/>
      <c r="Z515" s="4"/>
      <c r="AA515" s="4"/>
    </row>
    <row r="516" spans="1:27">
      <c r="A516" s="5"/>
      <c r="B516" s="5"/>
      <c r="C516" s="4"/>
      <c r="D516" s="5"/>
      <c r="E516" s="5"/>
      <c r="F516" s="5"/>
      <c r="G516" s="5"/>
      <c r="H516" s="5"/>
      <c r="I516" s="5"/>
      <c r="J516" s="5"/>
      <c r="K516" s="5"/>
      <c r="L516" s="5"/>
      <c r="M516" s="5"/>
      <c r="N516" s="5"/>
      <c r="O516" s="5"/>
      <c r="P516" s="4"/>
      <c r="Q516" s="4"/>
      <c r="R516" s="4"/>
      <c r="S516" s="4"/>
      <c r="T516" s="4"/>
      <c r="U516" s="4"/>
      <c r="V516" s="4"/>
      <c r="W516" s="4"/>
      <c r="X516" s="4"/>
      <c r="Y516" s="4"/>
      <c r="Z516" s="4"/>
      <c r="AA516" s="4"/>
    </row>
    <row r="517" spans="1:27">
      <c r="A517" s="5"/>
      <c r="B517" s="5"/>
      <c r="C517" s="4"/>
      <c r="D517" s="5"/>
      <c r="E517" s="5"/>
      <c r="F517" s="5"/>
      <c r="G517" s="5"/>
      <c r="H517" s="5"/>
      <c r="I517" s="5"/>
      <c r="J517" s="5"/>
      <c r="K517" s="5"/>
      <c r="L517" s="5"/>
      <c r="M517" s="5"/>
      <c r="N517" s="5"/>
      <c r="O517" s="5"/>
      <c r="P517" s="4"/>
      <c r="Q517" s="4"/>
      <c r="R517" s="4"/>
      <c r="S517" s="4"/>
      <c r="T517" s="4"/>
      <c r="U517" s="4"/>
      <c r="V517" s="4"/>
      <c r="W517" s="4"/>
      <c r="X517" s="4"/>
      <c r="Y517" s="4"/>
      <c r="Z517" s="4"/>
      <c r="AA517" s="4"/>
    </row>
    <row r="518" spans="1:27">
      <c r="A518" s="5"/>
      <c r="B518" s="5"/>
      <c r="C518" s="4"/>
      <c r="D518" s="5"/>
      <c r="E518" s="5"/>
      <c r="F518" s="5"/>
      <c r="G518" s="5"/>
      <c r="H518" s="5"/>
      <c r="I518" s="5"/>
      <c r="J518" s="5"/>
      <c r="K518" s="5"/>
      <c r="L518" s="5"/>
      <c r="M518" s="5"/>
      <c r="N518" s="5"/>
      <c r="O518" s="5"/>
      <c r="P518" s="4"/>
      <c r="Q518" s="4"/>
      <c r="R518" s="4"/>
      <c r="S518" s="4"/>
      <c r="T518" s="4"/>
      <c r="U518" s="4"/>
      <c r="V518" s="4"/>
      <c r="W518" s="4"/>
      <c r="X518" s="4"/>
      <c r="Y518" s="4"/>
      <c r="Z518" s="4"/>
      <c r="AA518" s="4"/>
    </row>
    <row r="519" spans="1:27">
      <c r="A519" s="5"/>
      <c r="B519" s="5"/>
      <c r="C519" s="4"/>
      <c r="D519" s="5"/>
      <c r="E519" s="5"/>
      <c r="F519" s="5"/>
      <c r="G519" s="5"/>
      <c r="H519" s="5"/>
      <c r="I519" s="5"/>
      <c r="J519" s="5"/>
      <c r="K519" s="5"/>
      <c r="L519" s="5"/>
      <c r="M519" s="5"/>
      <c r="N519" s="5"/>
      <c r="O519" s="5"/>
      <c r="P519" s="4"/>
      <c r="Q519" s="4"/>
      <c r="R519" s="4"/>
      <c r="S519" s="4"/>
      <c r="T519" s="4"/>
      <c r="U519" s="4"/>
      <c r="V519" s="4"/>
      <c r="W519" s="4"/>
      <c r="X519" s="4"/>
      <c r="Y519" s="4"/>
      <c r="Z519" s="4"/>
      <c r="AA519" s="4"/>
    </row>
    <row r="520" spans="1:27">
      <c r="A520" s="5"/>
      <c r="B520" s="5"/>
      <c r="C520" s="4"/>
      <c r="D520" s="5"/>
      <c r="E520" s="5"/>
      <c r="F520" s="5"/>
      <c r="G520" s="5"/>
      <c r="H520" s="5"/>
      <c r="I520" s="5"/>
      <c r="J520" s="5"/>
      <c r="K520" s="5"/>
      <c r="L520" s="5"/>
      <c r="M520" s="5"/>
      <c r="N520" s="5"/>
      <c r="O520" s="5"/>
      <c r="P520" s="4"/>
      <c r="Q520" s="4"/>
      <c r="R520" s="4"/>
      <c r="S520" s="4"/>
      <c r="T520" s="4"/>
      <c r="U520" s="4"/>
      <c r="V520" s="4"/>
      <c r="W520" s="4"/>
      <c r="X520" s="4"/>
      <c r="Y520" s="4"/>
      <c r="Z520" s="4"/>
      <c r="AA520" s="4"/>
    </row>
    <row r="521" spans="1:27">
      <c r="A521" s="5"/>
      <c r="B521" s="5"/>
      <c r="C521" s="4"/>
      <c r="D521" s="5"/>
      <c r="E521" s="5"/>
      <c r="F521" s="5"/>
      <c r="G521" s="5"/>
      <c r="H521" s="5"/>
      <c r="I521" s="5"/>
      <c r="J521" s="5"/>
      <c r="K521" s="5"/>
      <c r="L521" s="5"/>
      <c r="M521" s="5"/>
      <c r="N521" s="5"/>
      <c r="O521" s="5"/>
      <c r="P521" s="4"/>
      <c r="Q521" s="4"/>
      <c r="R521" s="4"/>
      <c r="S521" s="4"/>
      <c r="T521" s="4"/>
      <c r="U521" s="4"/>
      <c r="V521" s="4"/>
      <c r="W521" s="4"/>
      <c r="X521" s="4"/>
      <c r="Y521" s="4"/>
      <c r="Z521" s="4"/>
      <c r="AA521" s="4"/>
    </row>
    <row r="522" spans="1:27">
      <c r="A522" s="5"/>
      <c r="B522" s="5"/>
      <c r="C522" s="4"/>
      <c r="D522" s="5"/>
      <c r="E522" s="5"/>
      <c r="F522" s="5"/>
      <c r="G522" s="5"/>
      <c r="H522" s="5"/>
      <c r="I522" s="5"/>
      <c r="J522" s="5"/>
      <c r="K522" s="5"/>
      <c r="L522" s="5"/>
      <c r="M522" s="5"/>
      <c r="N522" s="5"/>
      <c r="O522" s="5"/>
      <c r="P522" s="4"/>
      <c r="Q522" s="4"/>
      <c r="R522" s="4"/>
      <c r="S522" s="4"/>
      <c r="T522" s="4"/>
      <c r="U522" s="4"/>
      <c r="V522" s="4"/>
      <c r="W522" s="4"/>
      <c r="X522" s="4"/>
      <c r="Y522" s="4"/>
      <c r="Z522" s="4"/>
      <c r="AA522" s="4"/>
    </row>
    <row r="523" spans="1:27">
      <c r="A523" s="5"/>
      <c r="B523" s="5"/>
      <c r="C523" s="4"/>
      <c r="D523" s="5"/>
      <c r="E523" s="5"/>
      <c r="F523" s="5"/>
      <c r="G523" s="5"/>
      <c r="H523" s="5"/>
      <c r="I523" s="5"/>
      <c r="J523" s="5"/>
      <c r="K523" s="5"/>
      <c r="L523" s="5"/>
      <c r="M523" s="5"/>
      <c r="N523" s="5"/>
      <c r="O523" s="5"/>
      <c r="P523" s="4"/>
      <c r="Q523" s="4"/>
      <c r="R523" s="4"/>
      <c r="S523" s="4"/>
      <c r="T523" s="4"/>
      <c r="U523" s="4"/>
      <c r="V523" s="4"/>
      <c r="W523" s="4"/>
      <c r="X523" s="4"/>
      <c r="Y523" s="4"/>
      <c r="Z523" s="4"/>
      <c r="AA523" s="4"/>
    </row>
    <row r="524" spans="1:27">
      <c r="A524" s="5"/>
      <c r="B524" s="5"/>
      <c r="C524" s="4"/>
      <c r="D524" s="5"/>
      <c r="E524" s="5"/>
      <c r="F524" s="5"/>
      <c r="G524" s="5"/>
      <c r="H524" s="5"/>
      <c r="I524" s="5"/>
      <c r="J524" s="5"/>
      <c r="K524" s="5"/>
      <c r="L524" s="5"/>
      <c r="M524" s="5"/>
      <c r="N524" s="5"/>
      <c r="O524" s="5"/>
      <c r="P524" s="4"/>
      <c r="Q524" s="4"/>
      <c r="R524" s="4"/>
      <c r="S524" s="4"/>
      <c r="T524" s="4"/>
      <c r="U524" s="4"/>
      <c r="V524" s="4"/>
      <c r="W524" s="4"/>
      <c r="X524" s="4"/>
      <c r="Y524" s="4"/>
      <c r="Z524" s="4"/>
      <c r="AA524" s="4"/>
    </row>
    <row r="525" spans="1:27">
      <c r="A525" s="5"/>
      <c r="B525" s="5"/>
      <c r="C525" s="4"/>
      <c r="D525" s="5"/>
      <c r="E525" s="5"/>
      <c r="F525" s="5"/>
      <c r="G525" s="5"/>
      <c r="H525" s="5"/>
      <c r="I525" s="5"/>
      <c r="J525" s="5"/>
      <c r="K525" s="5"/>
      <c r="L525" s="5"/>
      <c r="M525" s="5"/>
      <c r="N525" s="5"/>
      <c r="O525" s="5"/>
      <c r="P525" s="4"/>
      <c r="Q525" s="4"/>
      <c r="R525" s="4"/>
      <c r="S525" s="4"/>
      <c r="T525" s="4"/>
      <c r="U525" s="4"/>
      <c r="V525" s="4"/>
      <c r="W525" s="4"/>
      <c r="X525" s="4"/>
      <c r="Y525" s="4"/>
      <c r="Z525" s="4"/>
      <c r="AA525" s="4"/>
    </row>
    <row r="526" spans="1:27">
      <c r="A526" s="5"/>
      <c r="B526" s="5"/>
      <c r="C526" s="4"/>
      <c r="D526" s="5"/>
      <c r="E526" s="5"/>
      <c r="F526" s="5"/>
      <c r="G526" s="5"/>
      <c r="H526" s="5"/>
      <c r="I526" s="5"/>
      <c r="J526" s="5"/>
      <c r="K526" s="5"/>
      <c r="L526" s="5"/>
      <c r="M526" s="5"/>
      <c r="N526" s="5"/>
      <c r="O526" s="5"/>
      <c r="P526" s="4"/>
      <c r="Q526" s="4"/>
      <c r="R526" s="4"/>
      <c r="S526" s="4"/>
      <c r="T526" s="4"/>
      <c r="U526" s="4"/>
      <c r="V526" s="4"/>
      <c r="W526" s="4"/>
      <c r="X526" s="4"/>
      <c r="Y526" s="4"/>
      <c r="Z526" s="4"/>
      <c r="AA526" s="4"/>
    </row>
    <row r="527" spans="1:27">
      <c r="A527" s="5"/>
      <c r="B527" s="5"/>
      <c r="C527" s="4"/>
      <c r="D527" s="5"/>
      <c r="E527" s="5"/>
      <c r="F527" s="5"/>
      <c r="G527" s="5"/>
      <c r="H527" s="5"/>
      <c r="I527" s="5"/>
      <c r="J527" s="5"/>
      <c r="K527" s="5"/>
      <c r="L527" s="5"/>
      <c r="M527" s="5"/>
      <c r="N527" s="5"/>
      <c r="O527" s="5"/>
      <c r="P527" s="4"/>
      <c r="Q527" s="4"/>
      <c r="R527" s="4"/>
      <c r="S527" s="4"/>
      <c r="T527" s="4"/>
      <c r="U527" s="4"/>
      <c r="V527" s="4"/>
      <c r="W527" s="4"/>
      <c r="X527" s="4"/>
      <c r="Y527" s="4"/>
      <c r="Z527" s="4"/>
      <c r="AA527" s="4"/>
    </row>
    <row r="528" spans="1:27">
      <c r="A528" s="5"/>
      <c r="B528" s="5"/>
      <c r="C528" s="4"/>
      <c r="D528" s="5"/>
      <c r="E528" s="5"/>
      <c r="F528" s="5"/>
      <c r="G528" s="5"/>
      <c r="H528" s="5"/>
      <c r="I528" s="5"/>
      <c r="J528" s="5"/>
      <c r="K528" s="5"/>
      <c r="L528" s="5"/>
      <c r="M528" s="5"/>
      <c r="N528" s="5"/>
      <c r="O528" s="5"/>
      <c r="P528" s="4"/>
      <c r="Q528" s="4"/>
      <c r="R528" s="4"/>
      <c r="S528" s="4"/>
      <c r="T528" s="4"/>
      <c r="U528" s="4"/>
      <c r="V528" s="4"/>
      <c r="W528" s="4"/>
      <c r="X528" s="4"/>
      <c r="Y528" s="4"/>
      <c r="Z528" s="4"/>
      <c r="AA528" s="4"/>
    </row>
    <row r="529" spans="1:27">
      <c r="A529" s="5"/>
      <c r="B529" s="5"/>
      <c r="C529" s="4"/>
      <c r="D529" s="5"/>
      <c r="E529" s="5"/>
      <c r="F529" s="5"/>
      <c r="G529" s="5"/>
      <c r="H529" s="5"/>
      <c r="I529" s="5"/>
      <c r="J529" s="5"/>
      <c r="K529" s="5"/>
      <c r="L529" s="5"/>
      <c r="M529" s="5"/>
      <c r="N529" s="5"/>
      <c r="O529" s="5"/>
      <c r="P529" s="4"/>
      <c r="Q529" s="4"/>
      <c r="R529" s="4"/>
      <c r="S529" s="4"/>
      <c r="T529" s="4"/>
      <c r="U529" s="4"/>
      <c r="V529" s="4"/>
      <c r="W529" s="4"/>
      <c r="X529" s="4"/>
      <c r="Y529" s="4"/>
      <c r="Z529" s="4"/>
      <c r="AA529" s="4"/>
    </row>
    <row r="530" spans="1:27">
      <c r="A530" s="5"/>
      <c r="B530" s="5"/>
      <c r="C530" s="4"/>
      <c r="D530" s="5"/>
      <c r="E530" s="5"/>
      <c r="F530" s="5"/>
      <c r="G530" s="5"/>
      <c r="H530" s="5"/>
      <c r="I530" s="5"/>
      <c r="J530" s="5"/>
      <c r="K530" s="5"/>
      <c r="L530" s="5"/>
      <c r="M530" s="5"/>
      <c r="N530" s="5"/>
      <c r="O530" s="5"/>
      <c r="P530" s="4"/>
      <c r="Q530" s="4"/>
      <c r="R530" s="4"/>
      <c r="S530" s="4"/>
      <c r="T530" s="4"/>
      <c r="U530" s="4"/>
      <c r="V530" s="4"/>
      <c r="W530" s="4"/>
      <c r="X530" s="4"/>
      <c r="Y530" s="4"/>
      <c r="Z530" s="4"/>
      <c r="AA530" s="4"/>
    </row>
    <row r="531" spans="1:27">
      <c r="A531" s="5"/>
      <c r="B531" s="5"/>
      <c r="C531" s="4"/>
      <c r="D531" s="5"/>
      <c r="E531" s="5"/>
      <c r="F531" s="5"/>
      <c r="G531" s="5"/>
      <c r="H531" s="5"/>
      <c r="I531" s="5"/>
      <c r="J531" s="5"/>
      <c r="K531" s="5"/>
      <c r="L531" s="5"/>
      <c r="M531" s="5"/>
      <c r="N531" s="5"/>
      <c r="O531" s="5"/>
      <c r="P531" s="4"/>
      <c r="Q531" s="4"/>
      <c r="R531" s="4"/>
      <c r="S531" s="4"/>
      <c r="T531" s="4"/>
      <c r="U531" s="4"/>
      <c r="V531" s="4"/>
      <c r="W531" s="4"/>
      <c r="X531" s="4"/>
      <c r="Y531" s="4"/>
      <c r="Z531" s="4"/>
      <c r="AA531" s="4"/>
    </row>
    <row r="532" spans="1:27">
      <c r="A532" s="5"/>
      <c r="B532" s="5"/>
      <c r="C532" s="4"/>
      <c r="D532" s="5"/>
      <c r="E532" s="5"/>
      <c r="F532" s="5"/>
      <c r="G532" s="5"/>
      <c r="H532" s="5"/>
      <c r="I532" s="5"/>
      <c r="J532" s="5"/>
      <c r="K532" s="5"/>
      <c r="L532" s="5"/>
      <c r="M532" s="5"/>
      <c r="N532" s="5"/>
      <c r="O532" s="5"/>
      <c r="P532" s="4"/>
      <c r="Q532" s="4"/>
      <c r="R532" s="4"/>
      <c r="S532" s="4"/>
      <c r="T532" s="4"/>
      <c r="U532" s="4"/>
      <c r="V532" s="4"/>
      <c r="W532" s="4"/>
      <c r="X532" s="4"/>
      <c r="Y532" s="4"/>
      <c r="Z532" s="4"/>
      <c r="AA532" s="4"/>
    </row>
    <row r="533" spans="1:27">
      <c r="A533" s="5"/>
      <c r="B533" s="5"/>
      <c r="C533" s="4"/>
      <c r="D533" s="5"/>
      <c r="E533" s="5"/>
      <c r="F533" s="5"/>
      <c r="G533" s="5"/>
      <c r="H533" s="5"/>
      <c r="I533" s="5"/>
      <c r="J533" s="5"/>
      <c r="K533" s="5"/>
      <c r="L533" s="5"/>
      <c r="M533" s="5"/>
      <c r="N533" s="5"/>
      <c r="O533" s="5"/>
      <c r="P533" s="4"/>
      <c r="Q533" s="4"/>
      <c r="R533" s="4"/>
      <c r="S533" s="4"/>
      <c r="T533" s="4"/>
      <c r="U533" s="4"/>
      <c r="V533" s="4"/>
      <c r="W533" s="4"/>
      <c r="X533" s="4"/>
      <c r="Y533" s="4"/>
      <c r="Z533" s="4"/>
      <c r="AA533" s="4"/>
    </row>
    <row r="534" spans="1:27">
      <c r="A534" s="5"/>
      <c r="B534" s="5"/>
      <c r="C534" s="4"/>
      <c r="D534" s="5"/>
      <c r="E534" s="5"/>
      <c r="F534" s="5"/>
      <c r="G534" s="5"/>
      <c r="H534" s="5"/>
      <c r="I534" s="5"/>
      <c r="J534" s="5"/>
      <c r="K534" s="5"/>
      <c r="L534" s="5"/>
      <c r="M534" s="5"/>
      <c r="N534" s="5"/>
      <c r="O534" s="5"/>
      <c r="P534" s="4"/>
      <c r="Q534" s="4"/>
      <c r="R534" s="4"/>
      <c r="S534" s="4"/>
      <c r="T534" s="4"/>
      <c r="U534" s="4"/>
      <c r="V534" s="4"/>
      <c r="W534" s="4"/>
      <c r="X534" s="4"/>
      <c r="Y534" s="4"/>
      <c r="Z534" s="4"/>
      <c r="AA534" s="4"/>
    </row>
    <row r="535" spans="1:27">
      <c r="A535" s="5"/>
      <c r="B535" s="5"/>
      <c r="C535" s="4"/>
      <c r="D535" s="5"/>
      <c r="E535" s="5"/>
      <c r="F535" s="5"/>
      <c r="G535" s="5"/>
      <c r="H535" s="5"/>
      <c r="I535" s="5"/>
      <c r="J535" s="5"/>
      <c r="K535" s="5"/>
      <c r="L535" s="5"/>
      <c r="M535" s="5"/>
      <c r="N535" s="5"/>
      <c r="O535" s="5"/>
      <c r="P535" s="4"/>
      <c r="Q535" s="4"/>
      <c r="R535" s="4"/>
      <c r="S535" s="4"/>
      <c r="T535" s="4"/>
      <c r="U535" s="4"/>
      <c r="V535" s="4"/>
      <c r="W535" s="4"/>
      <c r="X535" s="4"/>
      <c r="Y535" s="4"/>
      <c r="Z535" s="4"/>
      <c r="AA535" s="4"/>
    </row>
    <row r="536" spans="1:27">
      <c r="A536" s="5"/>
      <c r="B536" s="5"/>
      <c r="C536" s="4"/>
      <c r="D536" s="5"/>
      <c r="E536" s="5"/>
      <c r="F536" s="5"/>
      <c r="G536" s="5"/>
      <c r="H536" s="5"/>
      <c r="I536" s="5"/>
      <c r="J536" s="5"/>
      <c r="K536" s="5"/>
      <c r="L536" s="5"/>
      <c r="M536" s="5"/>
      <c r="N536" s="5"/>
      <c r="O536" s="5"/>
      <c r="P536" s="4"/>
      <c r="Q536" s="4"/>
      <c r="R536" s="4"/>
      <c r="S536" s="4"/>
      <c r="T536" s="4"/>
      <c r="U536" s="4"/>
      <c r="V536" s="4"/>
      <c r="W536" s="4"/>
      <c r="X536" s="4"/>
      <c r="Y536" s="4"/>
      <c r="Z536" s="4"/>
      <c r="AA536" s="4"/>
    </row>
    <row r="537" spans="1:27">
      <c r="A537" s="5"/>
      <c r="B537" s="5"/>
      <c r="C537" s="4"/>
      <c r="D537" s="5"/>
      <c r="E537" s="5"/>
      <c r="F537" s="5"/>
      <c r="G537" s="5"/>
      <c r="H537" s="5"/>
      <c r="I537" s="5"/>
      <c r="J537" s="5"/>
      <c r="K537" s="5"/>
      <c r="L537" s="5"/>
      <c r="M537" s="5"/>
      <c r="N537" s="5"/>
      <c r="O537" s="5"/>
      <c r="P537" s="4"/>
      <c r="Q537" s="4"/>
      <c r="R537" s="4"/>
      <c r="S537" s="4"/>
      <c r="T537" s="4"/>
      <c r="U537" s="4"/>
      <c r="V537" s="4"/>
      <c r="W537" s="4"/>
      <c r="X537" s="4"/>
      <c r="Y537" s="4"/>
      <c r="Z537" s="4"/>
      <c r="AA537" s="4"/>
    </row>
    <row r="538" spans="1:27">
      <c r="A538" s="5"/>
      <c r="B538" s="5"/>
      <c r="C538" s="4"/>
      <c r="D538" s="5"/>
      <c r="E538" s="5"/>
      <c r="F538" s="5"/>
      <c r="G538" s="5"/>
      <c r="H538" s="5"/>
      <c r="I538" s="5"/>
      <c r="J538" s="5"/>
      <c r="K538" s="5"/>
      <c r="L538" s="5"/>
      <c r="M538" s="5"/>
      <c r="N538" s="5"/>
      <c r="O538" s="5"/>
      <c r="P538" s="4"/>
      <c r="Q538" s="4"/>
      <c r="R538" s="4"/>
      <c r="S538" s="4"/>
      <c r="T538" s="4"/>
      <c r="U538" s="4"/>
      <c r="V538" s="4"/>
      <c r="W538" s="4"/>
      <c r="X538" s="4"/>
      <c r="Y538" s="4"/>
      <c r="Z538" s="4"/>
      <c r="AA538" s="4"/>
    </row>
    <row r="539" spans="1:27">
      <c r="A539" s="5"/>
      <c r="B539" s="5"/>
      <c r="C539" s="4"/>
      <c r="D539" s="5"/>
      <c r="E539" s="5"/>
      <c r="F539" s="5"/>
      <c r="G539" s="5"/>
      <c r="H539" s="5"/>
      <c r="I539" s="5"/>
      <c r="J539" s="5"/>
      <c r="K539" s="5"/>
      <c r="L539" s="5"/>
      <c r="M539" s="5"/>
      <c r="N539" s="5"/>
      <c r="O539" s="5"/>
      <c r="P539" s="4"/>
      <c r="Q539" s="4"/>
      <c r="R539" s="4"/>
      <c r="S539" s="4"/>
      <c r="T539" s="4"/>
      <c r="U539" s="4"/>
      <c r="V539" s="4"/>
      <c r="W539" s="4"/>
      <c r="X539" s="4"/>
      <c r="Y539" s="4"/>
      <c r="Z539" s="4"/>
      <c r="AA539" s="4"/>
    </row>
    <row r="540" spans="1:27">
      <c r="A540" s="5"/>
      <c r="B540" s="5"/>
      <c r="C540" s="4"/>
      <c r="D540" s="5"/>
      <c r="E540" s="5"/>
      <c r="F540" s="5"/>
      <c r="G540" s="5"/>
      <c r="H540" s="5"/>
      <c r="I540" s="5"/>
      <c r="J540" s="5"/>
      <c r="K540" s="5"/>
      <c r="L540" s="5"/>
      <c r="M540" s="5"/>
      <c r="N540" s="5"/>
      <c r="O540" s="5"/>
      <c r="P540" s="4"/>
      <c r="Q540" s="4"/>
      <c r="R540" s="4"/>
      <c r="S540" s="4"/>
      <c r="T540" s="4"/>
      <c r="U540" s="4"/>
      <c r="V540" s="4"/>
      <c r="W540" s="4"/>
      <c r="X540" s="4"/>
      <c r="Y540" s="4"/>
      <c r="Z540" s="4"/>
      <c r="AA540" s="4"/>
    </row>
    <row r="541" spans="1:27">
      <c r="A541" s="5"/>
      <c r="B541" s="5"/>
      <c r="C541" s="4"/>
      <c r="D541" s="5"/>
      <c r="E541" s="5"/>
      <c r="F541" s="5"/>
      <c r="G541" s="5"/>
      <c r="H541" s="5"/>
      <c r="I541" s="5"/>
      <c r="J541" s="5"/>
      <c r="K541" s="5"/>
      <c r="L541" s="5"/>
      <c r="M541" s="5"/>
      <c r="N541" s="5"/>
      <c r="O541" s="5"/>
      <c r="P541" s="4"/>
      <c r="Q541" s="4"/>
      <c r="R541" s="4"/>
      <c r="S541" s="4"/>
      <c r="T541" s="4"/>
      <c r="U541" s="4"/>
      <c r="V541" s="4"/>
      <c r="W541" s="4"/>
      <c r="X541" s="4"/>
      <c r="Y541" s="4"/>
      <c r="Z541" s="4"/>
      <c r="AA541" s="4"/>
    </row>
    <row r="542" spans="1:27">
      <c r="A542" s="5"/>
      <c r="B542" s="5"/>
      <c r="C542" s="4"/>
      <c r="D542" s="5"/>
      <c r="E542" s="5"/>
      <c r="F542" s="5"/>
      <c r="G542" s="5"/>
      <c r="H542" s="5"/>
      <c r="I542" s="5"/>
      <c r="J542" s="5"/>
      <c r="K542" s="5"/>
      <c r="L542" s="5"/>
      <c r="M542" s="5"/>
      <c r="N542" s="5"/>
      <c r="O542" s="5"/>
      <c r="P542" s="4"/>
      <c r="Q542" s="4"/>
      <c r="R542" s="4"/>
      <c r="S542" s="4"/>
      <c r="T542" s="4"/>
      <c r="U542" s="4"/>
      <c r="V542" s="4"/>
      <c r="W542" s="4"/>
      <c r="X542" s="4"/>
      <c r="Y542" s="4"/>
      <c r="Z542" s="4"/>
      <c r="AA542" s="4"/>
    </row>
    <row r="543" spans="1:27">
      <c r="A543" s="5"/>
      <c r="B543" s="5"/>
      <c r="C543" s="4"/>
      <c r="D543" s="5"/>
      <c r="E543" s="5"/>
      <c r="F543" s="5"/>
      <c r="G543" s="5"/>
      <c r="H543" s="5"/>
      <c r="I543" s="5"/>
      <c r="J543" s="5"/>
      <c r="K543" s="5"/>
      <c r="L543" s="5"/>
      <c r="M543" s="5"/>
      <c r="N543" s="5"/>
      <c r="O543" s="5"/>
      <c r="P543" s="4"/>
      <c r="Q543" s="4"/>
      <c r="R543" s="4"/>
      <c r="S543" s="4"/>
      <c r="T543" s="4"/>
      <c r="U543" s="4"/>
      <c r="V543" s="4"/>
      <c r="W543" s="4"/>
      <c r="X543" s="4"/>
      <c r="Y543" s="4"/>
      <c r="Z543" s="4"/>
      <c r="AA543" s="4"/>
    </row>
    <row r="544" spans="1:27">
      <c r="A544" s="5"/>
      <c r="B544" s="5"/>
      <c r="C544" s="4"/>
      <c r="D544" s="5"/>
      <c r="E544" s="5"/>
      <c r="F544" s="5"/>
      <c r="G544" s="5"/>
      <c r="H544" s="5"/>
      <c r="I544" s="5"/>
      <c r="J544" s="5"/>
      <c r="K544" s="5"/>
      <c r="L544" s="5"/>
      <c r="M544" s="5"/>
      <c r="N544" s="5"/>
      <c r="O544" s="5"/>
      <c r="P544" s="4"/>
      <c r="Q544" s="4"/>
      <c r="R544" s="4"/>
      <c r="S544" s="4"/>
      <c r="T544" s="4"/>
      <c r="U544" s="4"/>
      <c r="V544" s="4"/>
      <c r="W544" s="4"/>
      <c r="X544" s="4"/>
      <c r="Y544" s="4"/>
      <c r="Z544" s="4"/>
      <c r="AA544" s="4"/>
    </row>
    <row r="545" spans="1:27">
      <c r="A545" s="5"/>
      <c r="B545" s="5"/>
      <c r="C545" s="4"/>
      <c r="D545" s="5"/>
      <c r="E545" s="5"/>
      <c r="F545" s="5"/>
      <c r="G545" s="5"/>
      <c r="H545" s="5"/>
      <c r="I545" s="5"/>
      <c r="J545" s="5"/>
      <c r="K545" s="5"/>
      <c r="L545" s="5"/>
      <c r="M545" s="5"/>
      <c r="N545" s="5"/>
      <c r="O545" s="5"/>
      <c r="P545" s="4"/>
      <c r="Q545" s="4"/>
      <c r="R545" s="4"/>
      <c r="S545" s="4"/>
      <c r="T545" s="4"/>
      <c r="U545" s="4"/>
      <c r="V545" s="4"/>
      <c r="W545" s="4"/>
      <c r="X545" s="4"/>
      <c r="Y545" s="4"/>
      <c r="Z545" s="4"/>
      <c r="AA545" s="4"/>
    </row>
    <row r="546" spans="1:27">
      <c r="A546" s="5"/>
      <c r="B546" s="5"/>
      <c r="C546" s="4"/>
      <c r="D546" s="5"/>
      <c r="E546" s="5"/>
      <c r="F546" s="5"/>
      <c r="G546" s="5"/>
      <c r="H546" s="5"/>
      <c r="I546" s="5"/>
      <c r="J546" s="5"/>
      <c r="K546" s="5"/>
      <c r="L546" s="5"/>
      <c r="M546" s="5"/>
      <c r="N546" s="5"/>
      <c r="O546" s="5"/>
      <c r="P546" s="4"/>
      <c r="Q546" s="4"/>
      <c r="R546" s="4"/>
      <c r="S546" s="4"/>
      <c r="T546" s="4"/>
      <c r="U546" s="4"/>
      <c r="V546" s="4"/>
      <c r="W546" s="4"/>
      <c r="X546" s="4"/>
      <c r="Y546" s="4"/>
      <c r="Z546" s="4"/>
      <c r="AA546" s="4"/>
    </row>
    <row r="547" spans="1:27">
      <c r="A547" s="5"/>
      <c r="B547" s="5"/>
      <c r="C547" s="4"/>
      <c r="D547" s="5"/>
      <c r="E547" s="5"/>
      <c r="F547" s="5"/>
      <c r="G547" s="5"/>
      <c r="H547" s="5"/>
      <c r="I547" s="5"/>
      <c r="J547" s="5"/>
      <c r="K547" s="5"/>
      <c r="L547" s="5"/>
      <c r="M547" s="5"/>
      <c r="N547" s="5"/>
      <c r="O547" s="5"/>
      <c r="P547" s="4"/>
      <c r="Q547" s="4"/>
      <c r="R547" s="4"/>
      <c r="S547" s="4"/>
      <c r="T547" s="4"/>
      <c r="U547" s="4"/>
      <c r="V547" s="4"/>
      <c r="W547" s="4"/>
      <c r="X547" s="4"/>
      <c r="Y547" s="4"/>
      <c r="Z547" s="4"/>
      <c r="AA547" s="4"/>
    </row>
    <row r="548" spans="1:27">
      <c r="A548" s="5"/>
      <c r="B548" s="5"/>
      <c r="C548" s="4"/>
      <c r="D548" s="5"/>
      <c r="E548" s="5"/>
      <c r="F548" s="5"/>
      <c r="G548" s="5"/>
      <c r="H548" s="5"/>
      <c r="I548" s="5"/>
      <c r="J548" s="5"/>
      <c r="K548" s="5"/>
      <c r="L548" s="5"/>
      <c r="M548" s="5"/>
      <c r="N548" s="5"/>
      <c r="O548" s="5"/>
      <c r="P548" s="4"/>
      <c r="Q548" s="4"/>
      <c r="R548" s="4"/>
      <c r="S548" s="4"/>
      <c r="T548" s="4"/>
      <c r="U548" s="4"/>
      <c r="V548" s="4"/>
      <c r="W548" s="4"/>
      <c r="X548" s="4"/>
      <c r="Y548" s="4"/>
      <c r="Z548" s="4"/>
      <c r="AA548" s="4"/>
    </row>
    <row r="549" spans="1:27">
      <c r="A549" s="5"/>
      <c r="B549" s="5"/>
      <c r="C549" s="4"/>
      <c r="D549" s="5"/>
      <c r="E549" s="5"/>
      <c r="F549" s="5"/>
      <c r="G549" s="5"/>
      <c r="H549" s="5"/>
      <c r="I549" s="5"/>
      <c r="J549" s="5"/>
      <c r="K549" s="5"/>
      <c r="L549" s="5"/>
      <c r="M549" s="5"/>
      <c r="N549" s="5"/>
      <c r="O549" s="5"/>
      <c r="P549" s="4"/>
      <c r="Q549" s="4"/>
      <c r="R549" s="4"/>
      <c r="S549" s="4"/>
      <c r="T549" s="4"/>
      <c r="U549" s="4"/>
      <c r="V549" s="4"/>
      <c r="W549" s="4"/>
      <c r="X549" s="4"/>
      <c r="Y549" s="4"/>
      <c r="Z549" s="4"/>
      <c r="AA549" s="4"/>
    </row>
    <row r="550" spans="1:27">
      <c r="A550" s="5"/>
      <c r="B550" s="5"/>
      <c r="C550" s="4"/>
      <c r="D550" s="5"/>
      <c r="E550" s="5"/>
      <c r="F550" s="5"/>
      <c r="G550" s="5"/>
      <c r="H550" s="5"/>
      <c r="I550" s="5"/>
      <c r="J550" s="5"/>
      <c r="K550" s="5"/>
      <c r="L550" s="5"/>
      <c r="M550" s="5"/>
      <c r="N550" s="5"/>
      <c r="O550" s="5"/>
      <c r="P550" s="4"/>
      <c r="Q550" s="4"/>
      <c r="R550" s="4"/>
      <c r="S550" s="4"/>
      <c r="T550" s="4"/>
      <c r="U550" s="4"/>
      <c r="V550" s="4"/>
      <c r="W550" s="4"/>
      <c r="X550" s="4"/>
      <c r="Y550" s="4"/>
      <c r="Z550" s="4"/>
      <c r="AA550" s="4"/>
    </row>
    <row r="551" spans="1:27">
      <c r="A551" s="5"/>
      <c r="B551" s="5"/>
      <c r="C551" s="4"/>
      <c r="D551" s="5"/>
      <c r="E551" s="5"/>
      <c r="F551" s="5"/>
      <c r="G551" s="5"/>
      <c r="H551" s="5"/>
      <c r="I551" s="5"/>
      <c r="J551" s="5"/>
      <c r="K551" s="5"/>
      <c r="L551" s="5"/>
      <c r="M551" s="5"/>
      <c r="N551" s="5"/>
      <c r="O551" s="5"/>
      <c r="P551" s="4"/>
      <c r="Q551" s="4"/>
      <c r="R551" s="4"/>
      <c r="S551" s="4"/>
      <c r="T551" s="4"/>
      <c r="U551" s="4"/>
      <c r="V551" s="4"/>
      <c r="W551" s="4"/>
      <c r="X551" s="4"/>
      <c r="Y551" s="4"/>
      <c r="Z551" s="4"/>
      <c r="AA551" s="4"/>
    </row>
    <row r="552" spans="1:27">
      <c r="A552" s="5"/>
      <c r="B552" s="5"/>
      <c r="C552" s="4"/>
      <c r="D552" s="5"/>
      <c r="E552" s="5"/>
      <c r="F552" s="5"/>
      <c r="G552" s="5"/>
      <c r="H552" s="5"/>
      <c r="I552" s="5"/>
      <c r="J552" s="5"/>
      <c r="K552" s="5"/>
      <c r="L552" s="5"/>
      <c r="M552" s="5"/>
      <c r="N552" s="5"/>
      <c r="O552" s="5"/>
      <c r="P552" s="4"/>
      <c r="Q552" s="4"/>
      <c r="R552" s="4"/>
      <c r="S552" s="4"/>
      <c r="T552" s="4"/>
      <c r="U552" s="4"/>
      <c r="V552" s="4"/>
      <c r="W552" s="4"/>
      <c r="X552" s="4"/>
      <c r="Y552" s="4"/>
      <c r="Z552" s="4"/>
      <c r="AA552" s="4"/>
    </row>
    <row r="553" spans="1:27">
      <c r="A553" s="5"/>
      <c r="B553" s="5"/>
      <c r="C553" s="4"/>
      <c r="D553" s="5"/>
      <c r="E553" s="5"/>
      <c r="F553" s="5"/>
      <c r="G553" s="5"/>
      <c r="H553" s="5"/>
      <c r="I553" s="5"/>
      <c r="J553" s="5"/>
      <c r="K553" s="5"/>
      <c r="L553" s="5"/>
      <c r="M553" s="5"/>
      <c r="N553" s="5"/>
      <c r="O553" s="5"/>
      <c r="P553" s="4"/>
      <c r="Q553" s="4"/>
      <c r="R553" s="4"/>
      <c r="S553" s="4"/>
      <c r="T553" s="4"/>
      <c r="U553" s="4"/>
      <c r="V553" s="4"/>
      <c r="W553" s="4"/>
      <c r="X553" s="4"/>
      <c r="Y553" s="4"/>
      <c r="Z553" s="4"/>
      <c r="AA553" s="4"/>
    </row>
    <row r="554" spans="1:27">
      <c r="A554" s="5"/>
      <c r="B554" s="5"/>
      <c r="C554" s="4"/>
      <c r="D554" s="5"/>
      <c r="E554" s="5"/>
      <c r="F554" s="5"/>
      <c r="G554" s="5"/>
      <c r="H554" s="5"/>
      <c r="I554" s="5"/>
      <c r="J554" s="5"/>
      <c r="K554" s="5"/>
      <c r="L554" s="5"/>
      <c r="M554" s="5"/>
      <c r="N554" s="5"/>
      <c r="O554" s="5"/>
      <c r="P554" s="4"/>
      <c r="Q554" s="4"/>
      <c r="R554" s="4"/>
      <c r="S554" s="4"/>
      <c r="T554" s="4"/>
      <c r="U554" s="4"/>
      <c r="V554" s="4"/>
      <c r="W554" s="4"/>
      <c r="X554" s="4"/>
      <c r="Y554" s="4"/>
      <c r="Z554" s="4"/>
      <c r="AA554" s="4"/>
    </row>
    <row r="555" spans="1:27">
      <c r="A555" s="5"/>
      <c r="B555" s="5"/>
      <c r="C555" s="4"/>
      <c r="D555" s="5"/>
      <c r="E555" s="5"/>
      <c r="F555" s="5"/>
      <c r="G555" s="5"/>
      <c r="H555" s="5"/>
      <c r="I555" s="5"/>
      <c r="J555" s="5"/>
      <c r="K555" s="5"/>
      <c r="L555" s="5"/>
      <c r="M555" s="5"/>
      <c r="N555" s="5"/>
      <c r="O555" s="5"/>
      <c r="P555" s="4"/>
      <c r="Q555" s="4"/>
      <c r="R555" s="4"/>
      <c r="S555" s="4"/>
      <c r="T555" s="4"/>
      <c r="U555" s="4"/>
      <c r="V555" s="4"/>
      <c r="W555" s="4"/>
      <c r="X555" s="4"/>
      <c r="Y555" s="4"/>
      <c r="Z555" s="4"/>
      <c r="AA555" s="4"/>
    </row>
    <row r="556" spans="1:27">
      <c r="A556" s="5"/>
      <c r="B556" s="5"/>
      <c r="C556" s="4"/>
      <c r="D556" s="5"/>
      <c r="E556" s="5"/>
      <c r="F556" s="5"/>
      <c r="G556" s="5"/>
      <c r="H556" s="5"/>
      <c r="I556" s="5"/>
      <c r="J556" s="5"/>
      <c r="K556" s="5"/>
      <c r="L556" s="5"/>
      <c r="M556" s="5"/>
      <c r="N556" s="5"/>
      <c r="O556" s="5"/>
      <c r="P556" s="4"/>
      <c r="Q556" s="4"/>
      <c r="R556" s="4"/>
      <c r="S556" s="4"/>
      <c r="T556" s="4"/>
      <c r="U556" s="4"/>
      <c r="V556" s="4"/>
      <c r="W556" s="4"/>
      <c r="X556" s="4"/>
      <c r="Y556" s="4"/>
      <c r="Z556" s="4"/>
      <c r="AA556" s="4"/>
    </row>
    <row r="557" spans="1:27">
      <c r="A557" s="5"/>
      <c r="B557" s="5"/>
      <c r="C557" s="4"/>
      <c r="D557" s="5"/>
      <c r="E557" s="5"/>
      <c r="F557" s="5"/>
      <c r="G557" s="5"/>
      <c r="H557" s="5"/>
      <c r="I557" s="5"/>
      <c r="J557" s="5"/>
      <c r="K557" s="5"/>
      <c r="L557" s="5"/>
      <c r="M557" s="5"/>
      <c r="N557" s="5"/>
      <c r="O557" s="5"/>
      <c r="P557" s="4"/>
      <c r="Q557" s="4"/>
      <c r="R557" s="4"/>
      <c r="S557" s="4"/>
      <c r="T557" s="4"/>
      <c r="U557" s="4"/>
      <c r="V557" s="4"/>
      <c r="W557" s="4"/>
      <c r="X557" s="4"/>
      <c r="Y557" s="4"/>
      <c r="Z557" s="4"/>
      <c r="AA557" s="4"/>
    </row>
    <row r="558" spans="1:27">
      <c r="A558" s="5"/>
      <c r="B558" s="5"/>
      <c r="C558" s="4"/>
      <c r="D558" s="5"/>
      <c r="E558" s="5"/>
      <c r="F558" s="5"/>
      <c r="G558" s="5"/>
      <c r="H558" s="5"/>
      <c r="I558" s="5"/>
      <c r="J558" s="5"/>
      <c r="K558" s="5"/>
      <c r="L558" s="5"/>
      <c r="M558" s="5"/>
      <c r="N558" s="5"/>
      <c r="O558" s="5"/>
      <c r="P558" s="4"/>
      <c r="Q558" s="4"/>
      <c r="R558" s="4"/>
      <c r="S558" s="4"/>
      <c r="T558" s="4"/>
      <c r="U558" s="4"/>
      <c r="V558" s="4"/>
      <c r="W558" s="4"/>
      <c r="X558" s="4"/>
      <c r="Y558" s="4"/>
      <c r="Z558" s="4"/>
      <c r="AA558" s="4"/>
    </row>
    <row r="559" spans="1:27">
      <c r="A559" s="5"/>
      <c r="B559" s="5"/>
      <c r="C559" s="4"/>
      <c r="D559" s="5"/>
      <c r="E559" s="5"/>
      <c r="F559" s="5"/>
      <c r="G559" s="5"/>
      <c r="H559" s="5"/>
      <c r="I559" s="5"/>
      <c r="J559" s="5"/>
      <c r="K559" s="5"/>
      <c r="L559" s="5"/>
      <c r="M559" s="5"/>
      <c r="N559" s="5"/>
      <c r="O559" s="5"/>
      <c r="P559" s="4"/>
      <c r="Q559" s="4"/>
      <c r="R559" s="4"/>
      <c r="S559" s="4"/>
      <c r="T559" s="4"/>
      <c r="U559" s="4"/>
      <c r="V559" s="4"/>
      <c r="W559" s="4"/>
      <c r="X559" s="4"/>
      <c r="Y559" s="4"/>
      <c r="Z559" s="4"/>
      <c r="AA559" s="4"/>
    </row>
    <row r="560" spans="1:27">
      <c r="A560" s="5"/>
      <c r="B560" s="5"/>
      <c r="C560" s="4"/>
      <c r="D560" s="5"/>
      <c r="E560" s="5"/>
      <c r="F560" s="5"/>
      <c r="G560" s="5"/>
      <c r="H560" s="5"/>
      <c r="I560" s="5"/>
      <c r="J560" s="5"/>
      <c r="K560" s="5"/>
      <c r="L560" s="5"/>
      <c r="M560" s="5"/>
      <c r="N560" s="5"/>
      <c r="O560" s="5"/>
      <c r="P560" s="4"/>
      <c r="Q560" s="4"/>
      <c r="R560" s="4"/>
      <c r="S560" s="4"/>
      <c r="T560" s="4"/>
      <c r="U560" s="4"/>
      <c r="V560" s="4"/>
      <c r="W560" s="4"/>
      <c r="X560" s="4"/>
      <c r="Y560" s="4"/>
      <c r="Z560" s="4"/>
      <c r="AA560" s="4"/>
    </row>
    <row r="561" spans="1:27">
      <c r="A561" s="5"/>
      <c r="B561" s="5"/>
      <c r="C561" s="4"/>
      <c r="D561" s="5"/>
      <c r="E561" s="5"/>
      <c r="F561" s="5"/>
      <c r="G561" s="5"/>
      <c r="H561" s="5"/>
      <c r="I561" s="5"/>
      <c r="J561" s="5"/>
      <c r="K561" s="5"/>
      <c r="L561" s="5"/>
      <c r="M561" s="5"/>
      <c r="N561" s="5"/>
      <c r="O561" s="5"/>
      <c r="P561" s="4"/>
      <c r="Q561" s="4"/>
      <c r="R561" s="4"/>
      <c r="S561" s="4"/>
      <c r="T561" s="4"/>
      <c r="U561" s="4"/>
      <c r="V561" s="4"/>
      <c r="W561" s="4"/>
      <c r="X561" s="4"/>
      <c r="Y561" s="4"/>
      <c r="Z561" s="4"/>
      <c r="AA561" s="4"/>
    </row>
    <row r="562" spans="1:27">
      <c r="A562" s="5"/>
      <c r="B562" s="5"/>
      <c r="C562" s="4"/>
      <c r="D562" s="5"/>
      <c r="E562" s="5"/>
      <c r="F562" s="5"/>
      <c r="G562" s="5"/>
      <c r="H562" s="5"/>
      <c r="I562" s="5"/>
      <c r="J562" s="5"/>
      <c r="K562" s="5"/>
      <c r="L562" s="5"/>
      <c r="M562" s="5"/>
      <c r="N562" s="5"/>
      <c r="O562" s="5"/>
      <c r="P562" s="4"/>
      <c r="Q562" s="4"/>
      <c r="R562" s="4"/>
      <c r="S562" s="4"/>
      <c r="T562" s="4"/>
      <c r="U562" s="4"/>
      <c r="V562" s="4"/>
      <c r="W562" s="4"/>
      <c r="X562" s="4"/>
      <c r="Y562" s="4"/>
      <c r="Z562" s="4"/>
      <c r="AA562" s="4"/>
    </row>
    <row r="563" spans="1:27">
      <c r="A563" s="5"/>
      <c r="B563" s="5"/>
      <c r="C563" s="4"/>
      <c r="D563" s="5"/>
      <c r="E563" s="5"/>
      <c r="F563" s="5"/>
      <c r="G563" s="5"/>
      <c r="H563" s="5"/>
      <c r="I563" s="5"/>
      <c r="J563" s="5"/>
      <c r="K563" s="5"/>
      <c r="L563" s="5"/>
      <c r="M563" s="5"/>
      <c r="N563" s="5"/>
      <c r="O563" s="5"/>
      <c r="P563" s="4"/>
      <c r="Q563" s="4"/>
      <c r="R563" s="4"/>
      <c r="S563" s="4"/>
      <c r="T563" s="4"/>
      <c r="U563" s="4"/>
      <c r="V563" s="4"/>
      <c r="W563" s="4"/>
      <c r="X563" s="4"/>
      <c r="Y563" s="4"/>
      <c r="Z563" s="4"/>
      <c r="AA563" s="4"/>
    </row>
    <row r="564" spans="1:27">
      <c r="A564" s="5"/>
      <c r="B564" s="5"/>
      <c r="C564" s="4"/>
      <c r="D564" s="5"/>
      <c r="E564" s="5"/>
      <c r="F564" s="5"/>
      <c r="G564" s="5"/>
      <c r="H564" s="5"/>
      <c r="I564" s="5"/>
      <c r="J564" s="5"/>
      <c r="K564" s="5"/>
      <c r="L564" s="5"/>
      <c r="M564" s="5"/>
      <c r="N564" s="5"/>
      <c r="O564" s="5"/>
      <c r="P564" s="4"/>
      <c r="Q564" s="4"/>
      <c r="R564" s="4"/>
      <c r="S564" s="4"/>
      <c r="T564" s="4"/>
      <c r="U564" s="4"/>
      <c r="V564" s="4"/>
      <c r="W564" s="4"/>
      <c r="X564" s="4"/>
      <c r="Y564" s="4"/>
      <c r="Z564" s="4"/>
      <c r="AA564" s="4"/>
    </row>
    <row r="565" spans="1:27">
      <c r="A565" s="5"/>
      <c r="B565" s="5"/>
      <c r="C565" s="4"/>
      <c r="D565" s="5"/>
      <c r="E565" s="5"/>
      <c r="F565" s="5"/>
      <c r="G565" s="5"/>
      <c r="H565" s="5"/>
      <c r="I565" s="5"/>
      <c r="J565" s="5"/>
      <c r="K565" s="5"/>
      <c r="L565" s="5"/>
      <c r="M565" s="5"/>
      <c r="N565" s="5"/>
      <c r="O565" s="5"/>
      <c r="P565" s="4"/>
      <c r="Q565" s="4"/>
      <c r="R565" s="4"/>
      <c r="S565" s="4"/>
      <c r="T565" s="4"/>
      <c r="U565" s="4"/>
      <c r="V565" s="4"/>
      <c r="W565" s="4"/>
      <c r="X565" s="4"/>
      <c r="Y565" s="4"/>
      <c r="Z565" s="4"/>
      <c r="AA565" s="4"/>
    </row>
    <row r="566" spans="1:27">
      <c r="A566" s="5"/>
      <c r="B566" s="5"/>
      <c r="C566" s="4"/>
      <c r="D566" s="5"/>
      <c r="E566" s="5"/>
      <c r="F566" s="5"/>
      <c r="G566" s="5"/>
      <c r="H566" s="5"/>
      <c r="I566" s="5"/>
      <c r="J566" s="5"/>
      <c r="K566" s="5"/>
      <c r="L566" s="5"/>
      <c r="M566" s="5"/>
      <c r="N566" s="5"/>
      <c r="O566" s="5"/>
      <c r="P566" s="4"/>
      <c r="Q566" s="4"/>
      <c r="R566" s="4"/>
      <c r="S566" s="4"/>
      <c r="T566" s="4"/>
      <c r="U566" s="4"/>
      <c r="V566" s="4"/>
      <c r="W566" s="4"/>
      <c r="X566" s="4"/>
      <c r="Y566" s="4"/>
      <c r="Z566" s="4"/>
      <c r="AA566" s="4"/>
    </row>
    <row r="567" spans="1:27">
      <c r="A567" s="5"/>
      <c r="B567" s="5"/>
      <c r="C567" s="4"/>
      <c r="D567" s="5"/>
      <c r="E567" s="5"/>
      <c r="F567" s="5"/>
      <c r="G567" s="5"/>
      <c r="H567" s="5"/>
      <c r="I567" s="5"/>
      <c r="J567" s="5"/>
      <c r="K567" s="5"/>
      <c r="L567" s="5"/>
      <c r="M567" s="5"/>
      <c r="N567" s="5"/>
      <c r="O567" s="5"/>
      <c r="P567" s="4"/>
      <c r="Q567" s="4"/>
      <c r="R567" s="4"/>
      <c r="S567" s="4"/>
      <c r="T567" s="4"/>
      <c r="U567" s="4"/>
      <c r="V567" s="4"/>
      <c r="W567" s="4"/>
      <c r="X567" s="4"/>
      <c r="Y567" s="4"/>
      <c r="Z567" s="4"/>
      <c r="AA567" s="4"/>
    </row>
    <row r="568" spans="1:27">
      <c r="A568" s="5"/>
      <c r="B568" s="5"/>
      <c r="C568" s="4"/>
      <c r="D568" s="5"/>
      <c r="E568" s="5"/>
      <c r="F568" s="5"/>
      <c r="G568" s="5"/>
      <c r="H568" s="5"/>
      <c r="I568" s="5"/>
      <c r="J568" s="5"/>
      <c r="K568" s="5"/>
      <c r="L568" s="5"/>
      <c r="M568" s="5"/>
      <c r="N568" s="5"/>
      <c r="O568" s="5"/>
      <c r="P568" s="4"/>
      <c r="Q568" s="4"/>
      <c r="R568" s="4"/>
      <c r="S568" s="4"/>
      <c r="T568" s="4"/>
      <c r="U568" s="4"/>
      <c r="V568" s="4"/>
      <c r="W568" s="4"/>
      <c r="X568" s="4"/>
      <c r="Y568" s="4"/>
      <c r="Z568" s="4"/>
      <c r="AA568" s="4"/>
    </row>
    <row r="569" spans="1:27">
      <c r="A569" s="5"/>
      <c r="B569" s="5"/>
      <c r="C569" s="4"/>
      <c r="D569" s="5"/>
      <c r="E569" s="5"/>
      <c r="F569" s="5"/>
      <c r="G569" s="5"/>
      <c r="H569" s="5"/>
      <c r="I569" s="5"/>
      <c r="J569" s="5"/>
      <c r="K569" s="5"/>
      <c r="L569" s="5"/>
      <c r="M569" s="5"/>
      <c r="N569" s="5"/>
      <c r="O569" s="5"/>
      <c r="P569" s="4"/>
      <c r="Q569" s="4"/>
      <c r="R569" s="4"/>
      <c r="S569" s="4"/>
      <c r="T569" s="4"/>
      <c r="U569" s="4"/>
      <c r="V569" s="4"/>
      <c r="W569" s="4"/>
      <c r="X569" s="4"/>
      <c r="Y569" s="4"/>
      <c r="Z569" s="4"/>
      <c r="AA569" s="4"/>
    </row>
    <row r="570" spans="1:27">
      <c r="A570" s="5"/>
      <c r="B570" s="5"/>
      <c r="C570" s="4"/>
      <c r="D570" s="5"/>
      <c r="E570" s="5"/>
      <c r="F570" s="5"/>
      <c r="G570" s="5"/>
      <c r="H570" s="5"/>
      <c r="I570" s="5"/>
      <c r="J570" s="5"/>
      <c r="K570" s="5"/>
      <c r="L570" s="5"/>
      <c r="M570" s="5"/>
      <c r="N570" s="5"/>
      <c r="O570" s="5"/>
      <c r="P570" s="4"/>
      <c r="Q570" s="4"/>
      <c r="R570" s="4"/>
      <c r="S570" s="4"/>
      <c r="T570" s="4"/>
      <c r="U570" s="4"/>
      <c r="V570" s="4"/>
      <c r="W570" s="4"/>
      <c r="X570" s="4"/>
      <c r="Y570" s="4"/>
      <c r="Z570" s="4"/>
      <c r="AA570" s="4"/>
    </row>
    <row r="571" spans="1:27">
      <c r="A571" s="5"/>
      <c r="B571" s="5"/>
      <c r="C571" s="4"/>
      <c r="D571" s="5"/>
      <c r="E571" s="5"/>
      <c r="F571" s="5"/>
      <c r="G571" s="5"/>
      <c r="H571" s="5"/>
      <c r="I571" s="5"/>
      <c r="J571" s="5"/>
      <c r="K571" s="5"/>
      <c r="L571" s="5"/>
      <c r="M571" s="5"/>
      <c r="N571" s="5"/>
      <c r="O571" s="5"/>
      <c r="P571" s="4"/>
      <c r="Q571" s="4"/>
      <c r="R571" s="4"/>
      <c r="S571" s="4"/>
      <c r="T571" s="4"/>
      <c r="U571" s="4"/>
      <c r="V571" s="4"/>
      <c r="W571" s="4"/>
      <c r="X571" s="4"/>
      <c r="Y571" s="4"/>
      <c r="Z571" s="4"/>
      <c r="AA571" s="4"/>
    </row>
    <row r="572" spans="1:27">
      <c r="A572" s="5"/>
      <c r="B572" s="5"/>
      <c r="C572" s="4"/>
      <c r="D572" s="5"/>
      <c r="E572" s="5"/>
      <c r="F572" s="5"/>
      <c r="G572" s="5"/>
      <c r="H572" s="5"/>
      <c r="I572" s="5"/>
      <c r="J572" s="5"/>
      <c r="K572" s="5"/>
      <c r="L572" s="5"/>
      <c r="M572" s="5"/>
      <c r="N572" s="5"/>
      <c r="O572" s="5"/>
      <c r="P572" s="4"/>
      <c r="Q572" s="4"/>
      <c r="R572" s="4"/>
      <c r="S572" s="4"/>
      <c r="T572" s="4"/>
      <c r="U572" s="4"/>
      <c r="V572" s="4"/>
      <c r="W572" s="4"/>
      <c r="X572" s="4"/>
      <c r="Y572" s="4"/>
      <c r="Z572" s="4"/>
      <c r="AA572" s="4"/>
    </row>
    <row r="573" spans="1:27">
      <c r="A573" s="5"/>
      <c r="B573" s="5"/>
      <c r="C573" s="4"/>
      <c r="D573" s="5"/>
      <c r="E573" s="5"/>
      <c r="F573" s="5"/>
      <c r="G573" s="5"/>
      <c r="H573" s="5"/>
      <c r="I573" s="5"/>
      <c r="J573" s="5"/>
      <c r="K573" s="5"/>
      <c r="L573" s="5"/>
      <c r="M573" s="5"/>
      <c r="N573" s="5"/>
      <c r="O573" s="5"/>
      <c r="P573" s="4"/>
      <c r="Q573" s="4"/>
      <c r="R573" s="4"/>
      <c r="S573" s="4"/>
      <c r="T573" s="4"/>
      <c r="U573" s="4"/>
      <c r="V573" s="4"/>
      <c r="W573" s="4"/>
      <c r="X573" s="4"/>
      <c r="Y573" s="4"/>
      <c r="Z573" s="4"/>
      <c r="AA573" s="4"/>
    </row>
    <row r="574" spans="1:27">
      <c r="A574" s="5"/>
      <c r="B574" s="5"/>
      <c r="C574" s="4"/>
      <c r="D574" s="5"/>
      <c r="E574" s="5"/>
      <c r="F574" s="5"/>
      <c r="G574" s="5"/>
      <c r="H574" s="5"/>
      <c r="I574" s="5"/>
      <c r="J574" s="5"/>
      <c r="K574" s="5"/>
      <c r="L574" s="5"/>
      <c r="M574" s="5"/>
      <c r="N574" s="5"/>
      <c r="O574" s="5"/>
      <c r="P574" s="4"/>
      <c r="Q574" s="4"/>
      <c r="R574" s="4"/>
      <c r="S574" s="4"/>
      <c r="T574" s="4"/>
      <c r="U574" s="4"/>
      <c r="V574" s="4"/>
      <c r="W574" s="4"/>
      <c r="X574" s="4"/>
      <c r="Y574" s="4"/>
      <c r="Z574" s="4"/>
      <c r="AA574" s="4"/>
    </row>
    <row r="575" spans="1:27">
      <c r="A575" s="5"/>
      <c r="B575" s="5"/>
      <c r="C575" s="4"/>
      <c r="D575" s="5"/>
      <c r="E575" s="5"/>
      <c r="F575" s="5"/>
      <c r="G575" s="5"/>
      <c r="H575" s="5"/>
      <c r="I575" s="5"/>
      <c r="J575" s="5"/>
      <c r="K575" s="5"/>
      <c r="L575" s="5"/>
      <c r="M575" s="5"/>
      <c r="N575" s="5"/>
      <c r="O575" s="5"/>
      <c r="P575" s="4"/>
      <c r="Q575" s="4"/>
      <c r="R575" s="4"/>
      <c r="S575" s="4"/>
      <c r="T575" s="4"/>
      <c r="U575" s="4"/>
      <c r="V575" s="4"/>
      <c r="W575" s="4"/>
      <c r="X575" s="4"/>
      <c r="Y575" s="4"/>
      <c r="Z575" s="4"/>
      <c r="AA575" s="4"/>
    </row>
    <row r="576" spans="1:27">
      <c r="A576" s="5"/>
      <c r="B576" s="5"/>
      <c r="C576" s="4"/>
      <c r="D576" s="5"/>
      <c r="E576" s="5"/>
      <c r="F576" s="5"/>
      <c r="G576" s="5"/>
      <c r="H576" s="5"/>
      <c r="I576" s="5"/>
      <c r="J576" s="5"/>
      <c r="K576" s="5"/>
      <c r="L576" s="5"/>
      <c r="M576" s="5"/>
      <c r="N576" s="5"/>
      <c r="O576" s="5"/>
      <c r="P576" s="4"/>
      <c r="Q576" s="4"/>
      <c r="R576" s="4"/>
      <c r="S576" s="4"/>
      <c r="T576" s="4"/>
      <c r="U576" s="4"/>
      <c r="V576" s="4"/>
      <c r="W576" s="4"/>
      <c r="X576" s="4"/>
      <c r="Y576" s="4"/>
      <c r="Z576" s="4"/>
      <c r="AA576" s="4"/>
    </row>
    <row r="577" spans="1:27">
      <c r="A577" s="5"/>
      <c r="B577" s="5"/>
      <c r="C577" s="4"/>
      <c r="D577" s="5"/>
      <c r="E577" s="5"/>
      <c r="F577" s="5"/>
      <c r="G577" s="5"/>
      <c r="H577" s="5"/>
      <c r="I577" s="5"/>
      <c r="J577" s="5"/>
      <c r="K577" s="5"/>
      <c r="L577" s="5"/>
      <c r="M577" s="5"/>
      <c r="N577" s="5"/>
      <c r="O577" s="5"/>
      <c r="P577" s="4"/>
      <c r="Q577" s="4"/>
      <c r="R577" s="4"/>
      <c r="S577" s="4"/>
      <c r="T577" s="4"/>
      <c r="U577" s="4"/>
      <c r="V577" s="4"/>
      <c r="W577" s="4"/>
      <c r="X577" s="4"/>
      <c r="Y577" s="4"/>
      <c r="Z577" s="4"/>
      <c r="AA577" s="4"/>
    </row>
    <row r="578" spans="1:27">
      <c r="A578" s="5"/>
      <c r="B578" s="5"/>
      <c r="C578" s="4"/>
      <c r="D578" s="5"/>
      <c r="E578" s="5"/>
      <c r="F578" s="5"/>
      <c r="G578" s="5"/>
      <c r="H578" s="5"/>
      <c r="I578" s="5"/>
      <c r="J578" s="5"/>
      <c r="K578" s="5"/>
      <c r="L578" s="5"/>
      <c r="M578" s="5"/>
      <c r="N578" s="5"/>
      <c r="O578" s="5"/>
      <c r="P578" s="4"/>
      <c r="Q578" s="4"/>
      <c r="R578" s="4"/>
      <c r="S578" s="4"/>
      <c r="T578" s="4"/>
      <c r="U578" s="4"/>
      <c r="V578" s="4"/>
      <c r="W578" s="4"/>
      <c r="X578" s="4"/>
      <c r="Y578" s="4"/>
      <c r="Z578" s="4"/>
      <c r="AA578" s="4"/>
    </row>
    <row r="579" spans="1:27">
      <c r="A579" s="5"/>
      <c r="B579" s="5"/>
      <c r="C579" s="4"/>
      <c r="D579" s="5"/>
      <c r="E579" s="5"/>
      <c r="F579" s="5"/>
      <c r="G579" s="5"/>
      <c r="H579" s="5"/>
      <c r="I579" s="5"/>
      <c r="J579" s="5"/>
      <c r="K579" s="5"/>
      <c r="L579" s="5"/>
      <c r="M579" s="5"/>
      <c r="N579" s="5"/>
      <c r="O579" s="5"/>
      <c r="P579" s="4"/>
      <c r="Q579" s="4"/>
      <c r="R579" s="4"/>
      <c r="S579" s="4"/>
      <c r="T579" s="4"/>
      <c r="U579" s="4"/>
      <c r="V579" s="4"/>
      <c r="W579" s="4"/>
      <c r="X579" s="4"/>
      <c r="Y579" s="4"/>
      <c r="Z579" s="4"/>
      <c r="AA579" s="4"/>
    </row>
    <row r="580" spans="1:27">
      <c r="A580" s="5"/>
      <c r="B580" s="5"/>
      <c r="C580" s="4"/>
      <c r="D580" s="5"/>
      <c r="E580" s="5"/>
      <c r="F580" s="5"/>
      <c r="G580" s="5"/>
      <c r="H580" s="5"/>
      <c r="I580" s="5"/>
      <c r="J580" s="5"/>
      <c r="K580" s="5"/>
      <c r="L580" s="5"/>
      <c r="M580" s="5"/>
      <c r="N580" s="5"/>
      <c r="O580" s="5"/>
      <c r="P580" s="4"/>
      <c r="Q580" s="4"/>
      <c r="R580" s="4"/>
      <c r="S580" s="4"/>
      <c r="T580" s="4"/>
      <c r="U580" s="4"/>
      <c r="V580" s="4"/>
      <c r="W580" s="4"/>
      <c r="X580" s="4"/>
      <c r="Y580" s="4"/>
      <c r="Z580" s="4"/>
      <c r="AA580" s="4"/>
    </row>
    <row r="581" spans="1:27">
      <c r="A581" s="5"/>
      <c r="B581" s="5"/>
      <c r="C581" s="4"/>
      <c r="D581" s="5"/>
      <c r="E581" s="5"/>
      <c r="F581" s="5"/>
      <c r="G581" s="5"/>
      <c r="H581" s="5"/>
      <c r="I581" s="5"/>
      <c r="J581" s="5"/>
      <c r="K581" s="5"/>
      <c r="L581" s="5"/>
      <c r="M581" s="5"/>
      <c r="N581" s="5"/>
      <c r="O581" s="5"/>
      <c r="P581" s="4"/>
      <c r="Q581" s="4"/>
      <c r="R581" s="4"/>
      <c r="S581" s="4"/>
      <c r="T581" s="4"/>
      <c r="U581" s="4"/>
      <c r="V581" s="4"/>
      <c r="W581" s="4"/>
      <c r="X581" s="4"/>
      <c r="Y581" s="4"/>
      <c r="Z581" s="4"/>
      <c r="AA581" s="4"/>
    </row>
    <row r="582" spans="1:27">
      <c r="A582" s="5"/>
      <c r="B582" s="5"/>
      <c r="C582" s="4"/>
      <c r="D582" s="5"/>
      <c r="E582" s="5"/>
      <c r="F582" s="5"/>
      <c r="G582" s="5"/>
      <c r="H582" s="5"/>
      <c r="I582" s="5"/>
      <c r="J582" s="5"/>
      <c r="K582" s="5"/>
      <c r="L582" s="5"/>
      <c r="M582" s="5"/>
      <c r="N582" s="5"/>
      <c r="O582" s="5"/>
      <c r="P582" s="4"/>
      <c r="Q582" s="4"/>
      <c r="R582" s="4"/>
      <c r="S582" s="4"/>
      <c r="T582" s="4"/>
      <c r="U582" s="4"/>
      <c r="V582" s="4"/>
      <c r="W582" s="4"/>
      <c r="X582" s="4"/>
      <c r="Y582" s="4"/>
      <c r="Z582" s="4"/>
      <c r="AA582" s="4"/>
    </row>
    <row r="583" spans="1:27">
      <c r="A583" s="5"/>
      <c r="B583" s="5"/>
      <c r="C583" s="4"/>
      <c r="D583" s="5"/>
      <c r="E583" s="5"/>
      <c r="F583" s="5"/>
      <c r="G583" s="5"/>
      <c r="H583" s="5"/>
      <c r="I583" s="5"/>
      <c r="J583" s="5"/>
      <c r="K583" s="5"/>
      <c r="L583" s="5"/>
      <c r="M583" s="5"/>
      <c r="N583" s="5"/>
      <c r="O583" s="5"/>
      <c r="P583" s="4"/>
      <c r="Q583" s="4"/>
      <c r="R583" s="4"/>
      <c r="S583" s="4"/>
      <c r="T583" s="4"/>
      <c r="U583" s="4"/>
      <c r="V583" s="4"/>
      <c r="W583" s="4"/>
      <c r="X583" s="4"/>
      <c r="Y583" s="4"/>
      <c r="Z583" s="4"/>
      <c r="AA583" s="4"/>
    </row>
    <row r="584" spans="1:27">
      <c r="A584" s="5"/>
      <c r="B584" s="5"/>
      <c r="C584" s="4"/>
      <c r="D584" s="5"/>
      <c r="E584" s="5"/>
      <c r="F584" s="5"/>
      <c r="G584" s="5"/>
      <c r="H584" s="5"/>
      <c r="I584" s="5"/>
      <c r="J584" s="5"/>
      <c r="K584" s="5"/>
      <c r="L584" s="5"/>
      <c r="M584" s="5"/>
      <c r="N584" s="5"/>
      <c r="O584" s="5"/>
      <c r="P584" s="4"/>
      <c r="Q584" s="4"/>
      <c r="R584" s="4"/>
      <c r="S584" s="4"/>
      <c r="T584" s="4"/>
      <c r="U584" s="4"/>
      <c r="V584" s="4"/>
      <c r="W584" s="4"/>
      <c r="X584" s="4"/>
      <c r="Y584" s="4"/>
      <c r="Z584" s="4"/>
      <c r="AA584" s="4"/>
    </row>
    <row r="585" spans="1:27">
      <c r="A585" s="5"/>
      <c r="B585" s="5"/>
      <c r="C585" s="4"/>
      <c r="D585" s="5"/>
      <c r="E585" s="5"/>
      <c r="F585" s="5"/>
      <c r="G585" s="5"/>
      <c r="H585" s="5"/>
      <c r="I585" s="5"/>
      <c r="J585" s="5"/>
      <c r="K585" s="5"/>
      <c r="L585" s="5"/>
      <c r="M585" s="5"/>
      <c r="N585" s="5"/>
      <c r="O585" s="5"/>
      <c r="P585" s="4"/>
      <c r="Q585" s="4"/>
      <c r="R585" s="4"/>
      <c r="S585" s="4"/>
      <c r="T585" s="4"/>
      <c r="U585" s="4"/>
      <c r="V585" s="4"/>
      <c r="W585" s="4"/>
      <c r="X585" s="4"/>
      <c r="Y585" s="4"/>
      <c r="Z585" s="4"/>
      <c r="AA585" s="4"/>
    </row>
    <row r="586" spans="1:27">
      <c r="A586" s="5"/>
      <c r="B586" s="5"/>
      <c r="C586" s="4"/>
      <c r="D586" s="5"/>
      <c r="E586" s="5"/>
      <c r="F586" s="5"/>
      <c r="G586" s="5"/>
      <c r="H586" s="5"/>
      <c r="I586" s="5"/>
      <c r="J586" s="5"/>
      <c r="K586" s="5"/>
      <c r="L586" s="5"/>
      <c r="M586" s="5"/>
      <c r="N586" s="5"/>
      <c r="O586" s="5"/>
      <c r="P586" s="4"/>
      <c r="Q586" s="4"/>
      <c r="R586" s="4"/>
      <c r="S586" s="4"/>
      <c r="T586" s="4"/>
      <c r="U586" s="4"/>
      <c r="V586" s="4"/>
      <c r="W586" s="4"/>
      <c r="X586" s="4"/>
      <c r="Y586" s="4"/>
      <c r="Z586" s="4"/>
      <c r="AA586" s="4"/>
    </row>
    <row r="587" spans="1:27">
      <c r="A587" s="5"/>
      <c r="B587" s="5"/>
      <c r="C587" s="4"/>
      <c r="D587" s="5"/>
      <c r="E587" s="5"/>
      <c r="F587" s="5"/>
      <c r="G587" s="5"/>
      <c r="H587" s="5"/>
      <c r="I587" s="5"/>
      <c r="J587" s="5"/>
      <c r="K587" s="5"/>
      <c r="L587" s="5"/>
      <c r="M587" s="5"/>
      <c r="N587" s="5"/>
      <c r="O587" s="5"/>
      <c r="P587" s="4"/>
      <c r="Q587" s="4"/>
      <c r="R587" s="4"/>
      <c r="S587" s="4"/>
      <c r="T587" s="4"/>
      <c r="U587" s="4"/>
      <c r="V587" s="4"/>
      <c r="W587" s="4"/>
      <c r="X587" s="4"/>
      <c r="Y587" s="4"/>
      <c r="Z587" s="4"/>
      <c r="AA587" s="4"/>
    </row>
    <row r="588" spans="1:27">
      <c r="A588" s="5"/>
      <c r="B588" s="5"/>
      <c r="C588" s="4"/>
      <c r="D588" s="5"/>
      <c r="E588" s="5"/>
      <c r="F588" s="5"/>
      <c r="G588" s="5"/>
      <c r="H588" s="5"/>
      <c r="I588" s="5"/>
      <c r="J588" s="5"/>
      <c r="K588" s="5"/>
      <c r="L588" s="5"/>
      <c r="M588" s="5"/>
      <c r="N588" s="5"/>
      <c r="O588" s="5"/>
      <c r="P588" s="4"/>
      <c r="Q588" s="4"/>
      <c r="R588" s="4"/>
      <c r="S588" s="4"/>
      <c r="T588" s="4"/>
      <c r="U588" s="4"/>
      <c r="V588" s="4"/>
      <c r="W588" s="4"/>
      <c r="X588" s="4"/>
      <c r="Y588" s="4"/>
      <c r="Z588" s="4"/>
      <c r="AA588" s="4"/>
    </row>
    <row r="589" spans="1:27">
      <c r="A589" s="5"/>
      <c r="B589" s="5"/>
      <c r="C589" s="4"/>
      <c r="D589" s="5"/>
      <c r="E589" s="5"/>
      <c r="F589" s="5"/>
      <c r="G589" s="5"/>
      <c r="H589" s="5"/>
      <c r="I589" s="5"/>
      <c r="J589" s="5"/>
      <c r="K589" s="5"/>
      <c r="L589" s="5"/>
      <c r="M589" s="5"/>
      <c r="N589" s="5"/>
      <c r="O589" s="5"/>
      <c r="P589" s="4"/>
      <c r="Q589" s="4"/>
      <c r="R589" s="4"/>
      <c r="S589" s="4"/>
      <c r="T589" s="4"/>
      <c r="U589" s="4"/>
      <c r="V589" s="4"/>
      <c r="W589" s="4"/>
      <c r="X589" s="4"/>
      <c r="Y589" s="4"/>
      <c r="Z589" s="4"/>
      <c r="AA589" s="4"/>
    </row>
    <row r="590" spans="1:27">
      <c r="A590" s="5"/>
      <c r="B590" s="5"/>
      <c r="C590" s="4"/>
      <c r="D590" s="5"/>
      <c r="E590" s="5"/>
      <c r="F590" s="5"/>
      <c r="G590" s="5"/>
      <c r="H590" s="5"/>
      <c r="I590" s="5"/>
      <c r="J590" s="5"/>
      <c r="K590" s="5"/>
      <c r="L590" s="5"/>
      <c r="M590" s="5"/>
      <c r="N590" s="5"/>
      <c r="O590" s="5"/>
      <c r="P590" s="4"/>
      <c r="Q590" s="4"/>
      <c r="R590" s="4"/>
      <c r="S590" s="4"/>
      <c r="T590" s="4"/>
      <c r="U590" s="4"/>
      <c r="V590" s="4"/>
      <c r="W590" s="4"/>
      <c r="X590" s="4"/>
      <c r="Y590" s="4"/>
      <c r="Z590" s="4"/>
      <c r="AA590" s="4"/>
    </row>
    <row r="591" spans="1:27">
      <c r="A591" s="5"/>
      <c r="B591" s="5"/>
      <c r="C591" s="4"/>
      <c r="D591" s="5"/>
      <c r="E591" s="5"/>
      <c r="F591" s="5"/>
      <c r="G591" s="5"/>
      <c r="H591" s="5"/>
      <c r="I591" s="5"/>
      <c r="J591" s="5"/>
      <c r="K591" s="5"/>
      <c r="L591" s="5"/>
      <c r="M591" s="5"/>
      <c r="N591" s="5"/>
      <c r="O591" s="5"/>
      <c r="P591" s="4"/>
      <c r="Q591" s="4"/>
      <c r="R591" s="4"/>
      <c r="S591" s="4"/>
      <c r="T591" s="4"/>
      <c r="U591" s="4"/>
      <c r="V591" s="4"/>
      <c r="W591" s="4"/>
      <c r="X591" s="4"/>
      <c r="Y591" s="4"/>
      <c r="Z591" s="4"/>
      <c r="AA591" s="4"/>
    </row>
    <row r="592" spans="1:27">
      <c r="A592" s="5"/>
      <c r="B592" s="5"/>
      <c r="C592" s="4"/>
      <c r="D592" s="5"/>
      <c r="E592" s="5"/>
      <c r="F592" s="5"/>
      <c r="G592" s="5"/>
      <c r="H592" s="5"/>
      <c r="I592" s="5"/>
      <c r="J592" s="5"/>
      <c r="K592" s="5"/>
      <c r="L592" s="5"/>
      <c r="M592" s="5"/>
      <c r="N592" s="5"/>
      <c r="O592" s="5"/>
      <c r="P592" s="4"/>
      <c r="Q592" s="4"/>
      <c r="R592" s="4"/>
      <c r="S592" s="4"/>
      <c r="T592" s="4"/>
      <c r="U592" s="4"/>
      <c r="V592" s="4"/>
      <c r="W592" s="4"/>
      <c r="X592" s="4"/>
      <c r="Y592" s="4"/>
      <c r="Z592" s="4"/>
      <c r="AA592" s="4"/>
    </row>
    <row r="593" spans="1:27">
      <c r="A593" s="5"/>
      <c r="B593" s="5"/>
      <c r="C593" s="4"/>
      <c r="D593" s="5"/>
      <c r="E593" s="5"/>
      <c r="F593" s="5"/>
      <c r="G593" s="5"/>
      <c r="H593" s="5"/>
      <c r="I593" s="5"/>
      <c r="J593" s="5"/>
      <c r="K593" s="5"/>
      <c r="L593" s="5"/>
      <c r="M593" s="5"/>
      <c r="N593" s="5"/>
      <c r="O593" s="5"/>
      <c r="P593" s="4"/>
      <c r="Q593" s="4"/>
      <c r="R593" s="4"/>
      <c r="S593" s="4"/>
      <c r="T593" s="4"/>
      <c r="U593" s="4"/>
      <c r="V593" s="4"/>
      <c r="W593" s="4"/>
      <c r="X593" s="4"/>
      <c r="Y593" s="4"/>
      <c r="Z593" s="4"/>
      <c r="AA593" s="4"/>
    </row>
    <row r="594" spans="1:27">
      <c r="A594" s="5"/>
      <c r="B594" s="5"/>
      <c r="C594" s="4"/>
      <c r="D594" s="5"/>
      <c r="E594" s="5"/>
      <c r="F594" s="5"/>
      <c r="G594" s="5"/>
      <c r="H594" s="5"/>
      <c r="I594" s="5"/>
      <c r="J594" s="5"/>
      <c r="K594" s="5"/>
      <c r="L594" s="5"/>
      <c r="M594" s="5"/>
      <c r="N594" s="5"/>
      <c r="O594" s="5"/>
      <c r="P594" s="4"/>
      <c r="Q594" s="4"/>
      <c r="R594" s="4"/>
      <c r="S594" s="4"/>
      <c r="T594" s="4"/>
      <c r="U594" s="4"/>
      <c r="V594" s="4"/>
      <c r="W594" s="4"/>
      <c r="X594" s="4"/>
      <c r="Y594" s="4"/>
      <c r="Z594" s="4"/>
      <c r="AA594" s="4"/>
    </row>
    <row r="595" spans="1:27">
      <c r="A595" s="5"/>
      <c r="B595" s="5"/>
      <c r="C595" s="4"/>
      <c r="D595" s="5"/>
      <c r="E595" s="5"/>
      <c r="F595" s="5"/>
      <c r="G595" s="5"/>
      <c r="H595" s="5"/>
      <c r="I595" s="5"/>
      <c r="J595" s="5"/>
      <c r="K595" s="5"/>
      <c r="L595" s="5"/>
      <c r="M595" s="5"/>
      <c r="N595" s="5"/>
      <c r="O595" s="5"/>
      <c r="P595" s="4"/>
      <c r="Q595" s="4"/>
      <c r="R595" s="4"/>
      <c r="S595" s="4"/>
      <c r="T595" s="4"/>
      <c r="U595" s="4"/>
      <c r="V595" s="4"/>
      <c r="W595" s="4"/>
      <c r="X595" s="4"/>
      <c r="Y595" s="4"/>
      <c r="Z595" s="4"/>
      <c r="AA595" s="4"/>
    </row>
    <row r="596" spans="1:27">
      <c r="A596" s="5"/>
      <c r="B596" s="5"/>
      <c r="C596" s="4"/>
      <c r="D596" s="5"/>
      <c r="E596" s="5"/>
      <c r="F596" s="5"/>
      <c r="G596" s="5"/>
      <c r="H596" s="5"/>
      <c r="I596" s="5"/>
      <c r="J596" s="5"/>
      <c r="K596" s="5"/>
      <c r="L596" s="5"/>
      <c r="M596" s="5"/>
      <c r="N596" s="5"/>
      <c r="O596" s="5"/>
      <c r="P596" s="4"/>
      <c r="Q596" s="4"/>
      <c r="R596" s="4"/>
      <c r="S596" s="4"/>
      <c r="T596" s="4"/>
      <c r="U596" s="4"/>
      <c r="V596" s="4"/>
      <c r="W596" s="4"/>
      <c r="X596" s="4"/>
      <c r="Y596" s="4"/>
      <c r="Z596" s="4"/>
      <c r="AA596" s="4"/>
    </row>
    <row r="597" spans="1:27">
      <c r="A597" s="5"/>
      <c r="B597" s="5"/>
      <c r="C597" s="4"/>
      <c r="D597" s="5"/>
      <c r="E597" s="5"/>
      <c r="F597" s="5"/>
      <c r="G597" s="5"/>
      <c r="H597" s="5"/>
      <c r="I597" s="5"/>
      <c r="J597" s="5"/>
      <c r="K597" s="5"/>
      <c r="L597" s="5"/>
      <c r="M597" s="5"/>
      <c r="N597" s="5"/>
      <c r="O597" s="5"/>
      <c r="P597" s="4"/>
      <c r="Q597" s="4"/>
      <c r="R597" s="4"/>
      <c r="S597" s="4"/>
      <c r="T597" s="4"/>
      <c r="U597" s="4"/>
      <c r="V597" s="4"/>
      <c r="W597" s="4"/>
      <c r="X597" s="4"/>
      <c r="Y597" s="4"/>
      <c r="Z597" s="4"/>
      <c r="AA597" s="4"/>
    </row>
    <row r="598" spans="1:27">
      <c r="A598" s="5"/>
      <c r="B598" s="5"/>
      <c r="C598" s="4"/>
      <c r="D598" s="5"/>
      <c r="E598" s="5"/>
      <c r="F598" s="5"/>
      <c r="G598" s="5"/>
      <c r="H598" s="5"/>
      <c r="I598" s="5"/>
      <c r="J598" s="5"/>
      <c r="K598" s="5"/>
      <c r="L598" s="5"/>
      <c r="M598" s="5"/>
      <c r="N598" s="5"/>
      <c r="O598" s="5"/>
      <c r="P598" s="4"/>
      <c r="Q598" s="4"/>
      <c r="R598" s="4"/>
      <c r="S598" s="4"/>
      <c r="T598" s="4"/>
      <c r="U598" s="4"/>
      <c r="V598" s="4"/>
      <c r="W598" s="4"/>
      <c r="X598" s="4"/>
      <c r="Y598" s="4"/>
      <c r="Z598" s="4"/>
      <c r="AA598" s="4"/>
    </row>
    <row r="599" spans="1:27">
      <c r="A599" s="5"/>
      <c r="B599" s="5"/>
      <c r="C599" s="4"/>
      <c r="D599" s="5"/>
      <c r="E599" s="5"/>
      <c r="F599" s="5"/>
      <c r="G599" s="5"/>
      <c r="H599" s="5"/>
      <c r="I599" s="5"/>
      <c r="J599" s="5"/>
      <c r="K599" s="5"/>
      <c r="L599" s="5"/>
      <c r="M599" s="5"/>
      <c r="N599" s="5"/>
      <c r="O599" s="5"/>
      <c r="P599" s="4"/>
      <c r="Q599" s="4"/>
      <c r="R599" s="4"/>
      <c r="S599" s="4"/>
      <c r="T599" s="4"/>
      <c r="U599" s="4"/>
      <c r="V599" s="4"/>
      <c r="W599" s="4"/>
      <c r="X599" s="4"/>
      <c r="Y599" s="4"/>
      <c r="Z599" s="4"/>
      <c r="AA599" s="4"/>
    </row>
    <row r="600" spans="1:27">
      <c r="A600" s="5"/>
      <c r="B600" s="5"/>
      <c r="C600" s="4"/>
      <c r="D600" s="5"/>
      <c r="E600" s="5"/>
      <c r="F600" s="5"/>
      <c r="G600" s="5"/>
      <c r="H600" s="5"/>
      <c r="I600" s="5"/>
      <c r="J600" s="5"/>
      <c r="K600" s="5"/>
      <c r="L600" s="5"/>
      <c r="M600" s="5"/>
      <c r="N600" s="5"/>
      <c r="O600" s="5"/>
      <c r="P600" s="4"/>
      <c r="Q600" s="4"/>
      <c r="R600" s="4"/>
      <c r="S600" s="4"/>
      <c r="T600" s="4"/>
      <c r="U600" s="4"/>
      <c r="V600" s="4"/>
      <c r="W600" s="4"/>
      <c r="X600" s="4"/>
      <c r="Y600" s="4"/>
      <c r="Z600" s="4"/>
      <c r="AA600" s="4"/>
    </row>
    <row r="601" spans="1:27">
      <c r="A601" s="5"/>
      <c r="B601" s="5"/>
      <c r="C601" s="4"/>
      <c r="D601" s="5"/>
      <c r="E601" s="5"/>
      <c r="F601" s="5"/>
      <c r="G601" s="5"/>
      <c r="H601" s="5"/>
      <c r="I601" s="5"/>
      <c r="J601" s="5"/>
      <c r="K601" s="5"/>
      <c r="L601" s="5"/>
      <c r="M601" s="5"/>
      <c r="N601" s="5"/>
      <c r="O601" s="5"/>
      <c r="P601" s="4"/>
      <c r="Q601" s="4"/>
      <c r="R601" s="4"/>
      <c r="S601" s="4"/>
      <c r="T601" s="4"/>
      <c r="U601" s="4"/>
      <c r="V601" s="4"/>
      <c r="W601" s="4"/>
      <c r="X601" s="4"/>
      <c r="Y601" s="4"/>
      <c r="Z601" s="4"/>
      <c r="AA601" s="4"/>
    </row>
    <row r="602" spans="1:27">
      <c r="A602" s="5"/>
      <c r="B602" s="5"/>
      <c r="C602" s="4"/>
      <c r="D602" s="5"/>
      <c r="E602" s="5"/>
      <c r="F602" s="5"/>
      <c r="G602" s="5"/>
      <c r="H602" s="5"/>
      <c r="I602" s="5"/>
      <c r="J602" s="5"/>
      <c r="K602" s="5"/>
      <c r="L602" s="5"/>
      <c r="M602" s="5"/>
      <c r="N602" s="5"/>
      <c r="O602" s="5"/>
      <c r="P602" s="4"/>
      <c r="Q602" s="4"/>
      <c r="R602" s="4"/>
      <c r="S602" s="4"/>
      <c r="T602" s="4"/>
      <c r="U602" s="4"/>
      <c r="V602" s="4"/>
      <c r="W602" s="4"/>
      <c r="X602" s="4"/>
      <c r="Y602" s="4"/>
      <c r="Z602" s="4"/>
      <c r="AA602" s="4"/>
    </row>
    <row r="603" spans="1:27">
      <c r="A603" s="5"/>
      <c r="B603" s="5"/>
      <c r="C603" s="4"/>
      <c r="D603" s="5"/>
      <c r="E603" s="5"/>
      <c r="F603" s="5"/>
      <c r="G603" s="5"/>
      <c r="H603" s="5"/>
      <c r="I603" s="5"/>
      <c r="J603" s="5"/>
      <c r="K603" s="5"/>
      <c r="L603" s="5"/>
      <c r="M603" s="5"/>
      <c r="N603" s="5"/>
      <c r="O603" s="5"/>
      <c r="P603" s="4"/>
      <c r="Q603" s="4"/>
      <c r="R603" s="4"/>
      <c r="S603" s="4"/>
      <c r="T603" s="4"/>
      <c r="U603" s="4"/>
      <c r="V603" s="4"/>
      <c r="W603" s="4"/>
      <c r="X603" s="4"/>
      <c r="Y603" s="4"/>
      <c r="Z603" s="4"/>
      <c r="AA603" s="4"/>
    </row>
    <row r="604" spans="1:27">
      <c r="A604" s="5"/>
      <c r="B604" s="5"/>
      <c r="C604" s="4"/>
      <c r="D604" s="5"/>
      <c r="E604" s="5"/>
      <c r="F604" s="5"/>
      <c r="G604" s="5"/>
      <c r="H604" s="5"/>
      <c r="I604" s="5"/>
      <c r="J604" s="5"/>
      <c r="K604" s="5"/>
      <c r="L604" s="5"/>
      <c r="M604" s="5"/>
      <c r="N604" s="5"/>
      <c r="O604" s="5"/>
      <c r="P604" s="4"/>
      <c r="Q604" s="4"/>
      <c r="R604" s="4"/>
      <c r="S604" s="4"/>
      <c r="T604" s="4"/>
      <c r="U604" s="4"/>
      <c r="V604" s="4"/>
      <c r="W604" s="4"/>
      <c r="X604" s="4"/>
      <c r="Y604" s="4"/>
      <c r="Z604" s="4"/>
      <c r="AA604" s="4"/>
    </row>
    <row r="605" spans="1:27">
      <c r="A605" s="5"/>
      <c r="B605" s="5"/>
      <c r="C605" s="4"/>
      <c r="D605" s="5"/>
      <c r="E605" s="5"/>
      <c r="F605" s="5"/>
      <c r="G605" s="5"/>
      <c r="H605" s="5"/>
      <c r="I605" s="5"/>
      <c r="J605" s="5"/>
      <c r="K605" s="5"/>
      <c r="L605" s="5"/>
      <c r="M605" s="5"/>
      <c r="N605" s="5"/>
      <c r="O605" s="5"/>
      <c r="P605" s="4"/>
      <c r="Q605" s="4"/>
      <c r="R605" s="4"/>
      <c r="S605" s="4"/>
      <c r="T605" s="4"/>
      <c r="U605" s="4"/>
      <c r="V605" s="4"/>
      <c r="W605" s="4"/>
      <c r="X605" s="4"/>
      <c r="Y605" s="4"/>
      <c r="Z605" s="4"/>
      <c r="AA605" s="4"/>
    </row>
    <row r="606" spans="1:27">
      <c r="A606" s="5"/>
      <c r="B606" s="5"/>
      <c r="C606" s="4"/>
      <c r="D606" s="5"/>
      <c r="E606" s="5"/>
      <c r="F606" s="5"/>
      <c r="G606" s="5"/>
      <c r="H606" s="5"/>
      <c r="I606" s="5"/>
      <c r="J606" s="5"/>
      <c r="K606" s="5"/>
      <c r="L606" s="5"/>
      <c r="M606" s="5"/>
      <c r="N606" s="5"/>
      <c r="O606" s="5"/>
      <c r="P606" s="4"/>
      <c r="Q606" s="4"/>
      <c r="R606" s="4"/>
      <c r="S606" s="4"/>
      <c r="T606" s="4"/>
      <c r="U606" s="4"/>
      <c r="V606" s="4"/>
      <c r="W606" s="4"/>
      <c r="X606" s="4"/>
      <c r="Y606" s="4"/>
      <c r="Z606" s="4"/>
      <c r="AA606" s="4"/>
    </row>
    <row r="607" spans="1:27">
      <c r="A607" s="5"/>
      <c r="B607" s="5"/>
      <c r="C607" s="4"/>
      <c r="D607" s="5"/>
      <c r="E607" s="5"/>
      <c r="F607" s="5"/>
      <c r="G607" s="5"/>
      <c r="H607" s="5"/>
      <c r="I607" s="5"/>
      <c r="J607" s="5"/>
      <c r="K607" s="5"/>
      <c r="L607" s="5"/>
      <c r="M607" s="5"/>
      <c r="N607" s="5"/>
      <c r="O607" s="5"/>
      <c r="P607" s="4"/>
      <c r="Q607" s="4"/>
      <c r="R607" s="4"/>
      <c r="S607" s="4"/>
      <c r="T607" s="4"/>
      <c r="U607" s="4"/>
      <c r="V607" s="4"/>
      <c r="W607" s="4"/>
      <c r="X607" s="4"/>
      <c r="Y607" s="4"/>
      <c r="Z607" s="4"/>
      <c r="AA607" s="4"/>
    </row>
    <row r="608" spans="1:27">
      <c r="A608" s="5"/>
      <c r="B608" s="5"/>
      <c r="C608" s="4"/>
      <c r="D608" s="5"/>
      <c r="E608" s="5"/>
      <c r="F608" s="5"/>
      <c r="G608" s="5"/>
      <c r="H608" s="5"/>
      <c r="I608" s="5"/>
      <c r="J608" s="5"/>
      <c r="K608" s="5"/>
      <c r="L608" s="5"/>
      <c r="M608" s="5"/>
      <c r="N608" s="5"/>
      <c r="O608" s="5"/>
      <c r="P608" s="4"/>
      <c r="Q608" s="4"/>
      <c r="R608" s="4"/>
      <c r="S608" s="4"/>
      <c r="T608" s="4"/>
      <c r="U608" s="4"/>
      <c r="V608" s="4"/>
      <c r="W608" s="4"/>
      <c r="X608" s="4"/>
      <c r="Y608" s="4"/>
      <c r="Z608" s="4"/>
      <c r="AA608" s="4"/>
    </row>
    <row r="609" spans="1:27">
      <c r="A609" s="5"/>
      <c r="B609" s="5"/>
      <c r="C609" s="4"/>
      <c r="D609" s="5"/>
      <c r="E609" s="5"/>
      <c r="F609" s="5"/>
      <c r="G609" s="5"/>
      <c r="H609" s="5"/>
      <c r="I609" s="5"/>
      <c r="J609" s="5"/>
      <c r="K609" s="5"/>
      <c r="L609" s="5"/>
      <c r="M609" s="5"/>
      <c r="N609" s="5"/>
      <c r="O609" s="5"/>
      <c r="P609" s="4"/>
      <c r="Q609" s="4"/>
      <c r="R609" s="4"/>
      <c r="S609" s="4"/>
      <c r="T609" s="4"/>
      <c r="U609" s="4"/>
      <c r="V609" s="4"/>
      <c r="W609" s="4"/>
      <c r="X609" s="4"/>
      <c r="Y609" s="4"/>
      <c r="Z609" s="4"/>
      <c r="AA609" s="4"/>
    </row>
    <row r="610" spans="1:27">
      <c r="A610" s="5"/>
      <c r="B610" s="5"/>
      <c r="C610" s="4"/>
      <c r="D610" s="5"/>
      <c r="E610" s="5"/>
      <c r="F610" s="5"/>
      <c r="G610" s="5"/>
      <c r="H610" s="5"/>
      <c r="I610" s="5"/>
      <c r="J610" s="5"/>
      <c r="K610" s="5"/>
      <c r="L610" s="5"/>
      <c r="M610" s="5"/>
      <c r="N610" s="5"/>
      <c r="O610" s="5"/>
      <c r="P610" s="4"/>
      <c r="Q610" s="4"/>
      <c r="R610" s="4"/>
      <c r="S610" s="4"/>
      <c r="T610" s="4"/>
      <c r="U610" s="4"/>
      <c r="V610" s="4"/>
      <c r="W610" s="4"/>
      <c r="X610" s="4"/>
      <c r="Y610" s="4"/>
      <c r="Z610" s="4"/>
      <c r="AA610" s="4"/>
    </row>
    <row r="611" spans="1:27">
      <c r="A611" s="5"/>
      <c r="B611" s="5"/>
      <c r="C611" s="4"/>
      <c r="D611" s="5"/>
      <c r="E611" s="5"/>
      <c r="F611" s="5"/>
      <c r="G611" s="5"/>
      <c r="H611" s="5"/>
      <c r="I611" s="5"/>
      <c r="J611" s="5"/>
      <c r="K611" s="5"/>
      <c r="L611" s="5"/>
      <c r="M611" s="5"/>
      <c r="N611" s="5"/>
      <c r="O611" s="5"/>
      <c r="P611" s="4"/>
      <c r="Q611" s="4"/>
      <c r="R611" s="4"/>
      <c r="S611" s="4"/>
      <c r="T611" s="4"/>
      <c r="U611" s="4"/>
      <c r="V611" s="4"/>
      <c r="W611" s="4"/>
      <c r="X611" s="4"/>
      <c r="Y611" s="4"/>
      <c r="Z611" s="4"/>
      <c r="AA611" s="4"/>
    </row>
    <row r="612" spans="1:27">
      <c r="A612" s="5"/>
      <c r="B612" s="5"/>
      <c r="C612" s="4"/>
      <c r="D612" s="5"/>
      <c r="E612" s="5"/>
      <c r="F612" s="5"/>
      <c r="G612" s="5"/>
      <c r="H612" s="5"/>
      <c r="I612" s="5"/>
      <c r="J612" s="5"/>
      <c r="K612" s="5"/>
      <c r="L612" s="5"/>
      <c r="M612" s="5"/>
      <c r="N612" s="5"/>
      <c r="O612" s="5"/>
      <c r="P612" s="4"/>
      <c r="Q612" s="4"/>
      <c r="R612" s="4"/>
      <c r="S612" s="4"/>
      <c r="T612" s="4"/>
      <c r="U612" s="4"/>
      <c r="V612" s="4"/>
      <c r="W612" s="4"/>
      <c r="X612" s="4"/>
      <c r="Y612" s="4"/>
      <c r="Z612" s="4"/>
      <c r="AA612" s="4"/>
    </row>
    <row r="613" spans="1:27">
      <c r="A613" s="5"/>
      <c r="B613" s="5"/>
      <c r="C613" s="4"/>
      <c r="D613" s="5"/>
      <c r="E613" s="5"/>
      <c r="F613" s="5"/>
      <c r="G613" s="5"/>
      <c r="H613" s="5"/>
      <c r="I613" s="5"/>
      <c r="J613" s="5"/>
      <c r="K613" s="5"/>
      <c r="L613" s="5"/>
      <c r="M613" s="5"/>
      <c r="N613" s="5"/>
      <c r="O613" s="5"/>
      <c r="P613" s="4"/>
      <c r="Q613" s="4"/>
      <c r="R613" s="4"/>
      <c r="S613" s="4"/>
      <c r="T613" s="4"/>
      <c r="U613" s="4"/>
      <c r="V613" s="4"/>
      <c r="W613" s="4"/>
      <c r="X613" s="4"/>
      <c r="Y613" s="4"/>
      <c r="Z613" s="4"/>
      <c r="AA613" s="4"/>
    </row>
    <row r="614" spans="1:27">
      <c r="A614" s="5"/>
      <c r="B614" s="5"/>
      <c r="C614" s="4"/>
      <c r="D614" s="5"/>
      <c r="E614" s="5"/>
      <c r="F614" s="5"/>
      <c r="G614" s="5"/>
      <c r="H614" s="5"/>
      <c r="I614" s="5"/>
      <c r="J614" s="5"/>
      <c r="K614" s="5"/>
      <c r="L614" s="5"/>
      <c r="M614" s="5"/>
      <c r="N614" s="5"/>
      <c r="O614" s="5"/>
      <c r="P614" s="4"/>
      <c r="Q614" s="4"/>
      <c r="R614" s="4"/>
      <c r="S614" s="4"/>
      <c r="T614" s="4"/>
      <c r="U614" s="4"/>
      <c r="V614" s="4"/>
      <c r="W614" s="4"/>
      <c r="X614" s="4"/>
      <c r="Y614" s="4"/>
      <c r="Z614" s="4"/>
      <c r="AA614" s="4"/>
    </row>
    <row r="615" spans="1:27">
      <c r="A615" s="5"/>
      <c r="B615" s="5"/>
      <c r="C615" s="4"/>
      <c r="D615" s="5"/>
      <c r="E615" s="5"/>
      <c r="F615" s="5"/>
      <c r="G615" s="5"/>
      <c r="H615" s="5"/>
      <c r="I615" s="5"/>
      <c r="J615" s="5"/>
      <c r="K615" s="5"/>
      <c r="L615" s="5"/>
      <c r="M615" s="5"/>
      <c r="N615" s="5"/>
      <c r="O615" s="5"/>
      <c r="P615" s="4"/>
      <c r="Q615" s="4"/>
      <c r="R615" s="4"/>
      <c r="S615" s="4"/>
      <c r="T615" s="4"/>
      <c r="U615" s="4"/>
      <c r="V615" s="4"/>
      <c r="W615" s="4"/>
      <c r="X615" s="4"/>
      <c r="Y615" s="4"/>
      <c r="Z615" s="4"/>
      <c r="AA615" s="4"/>
    </row>
    <row r="616" spans="1:27">
      <c r="A616" s="5"/>
      <c r="B616" s="5"/>
      <c r="C616" s="4"/>
      <c r="D616" s="5"/>
      <c r="E616" s="5"/>
      <c r="F616" s="5"/>
      <c r="G616" s="5"/>
      <c r="H616" s="5"/>
      <c r="I616" s="5"/>
      <c r="J616" s="5"/>
      <c r="K616" s="5"/>
      <c r="L616" s="5"/>
      <c r="M616" s="5"/>
      <c r="N616" s="5"/>
      <c r="O616" s="5"/>
      <c r="P616" s="4"/>
      <c r="Q616" s="4"/>
      <c r="R616" s="4"/>
      <c r="S616" s="4"/>
      <c r="T616" s="4"/>
      <c r="U616" s="4"/>
      <c r="V616" s="4"/>
      <c r="W616" s="4"/>
      <c r="X616" s="4"/>
      <c r="Y616" s="4"/>
      <c r="Z616" s="4"/>
      <c r="AA616" s="4"/>
    </row>
    <row r="617" spans="1:27">
      <c r="A617" s="5"/>
      <c r="B617" s="5"/>
      <c r="C617" s="4"/>
      <c r="D617" s="5"/>
      <c r="E617" s="5"/>
      <c r="F617" s="5"/>
      <c r="G617" s="5"/>
      <c r="H617" s="5"/>
      <c r="I617" s="5"/>
      <c r="J617" s="5"/>
      <c r="K617" s="5"/>
      <c r="L617" s="5"/>
      <c r="M617" s="5"/>
      <c r="N617" s="5"/>
      <c r="O617" s="5"/>
      <c r="P617" s="4"/>
      <c r="Q617" s="4"/>
      <c r="R617" s="4"/>
      <c r="S617" s="4"/>
      <c r="T617" s="4"/>
      <c r="U617" s="4"/>
      <c r="V617" s="4"/>
      <c r="W617" s="4"/>
      <c r="X617" s="4"/>
      <c r="Y617" s="4"/>
      <c r="Z617" s="4"/>
      <c r="AA617" s="4"/>
    </row>
    <row r="618" spans="1:27">
      <c r="A618" s="5"/>
      <c r="B618" s="5"/>
      <c r="C618" s="4"/>
      <c r="D618" s="5"/>
      <c r="E618" s="5"/>
      <c r="F618" s="5"/>
      <c r="G618" s="5"/>
      <c r="H618" s="5"/>
      <c r="I618" s="5"/>
      <c r="J618" s="5"/>
      <c r="K618" s="5"/>
      <c r="L618" s="5"/>
      <c r="M618" s="5"/>
      <c r="N618" s="5"/>
      <c r="O618" s="5"/>
      <c r="P618" s="4"/>
      <c r="Q618" s="4"/>
      <c r="R618" s="4"/>
      <c r="S618" s="4"/>
      <c r="T618" s="4"/>
      <c r="U618" s="4"/>
      <c r="V618" s="4"/>
      <c r="W618" s="4"/>
      <c r="X618" s="4"/>
      <c r="Y618" s="4"/>
      <c r="Z618" s="4"/>
      <c r="AA618" s="4"/>
    </row>
    <row r="619" spans="1:27">
      <c r="A619" s="5"/>
      <c r="B619" s="5"/>
      <c r="C619" s="4"/>
      <c r="D619" s="5"/>
      <c r="E619" s="5"/>
      <c r="F619" s="5"/>
      <c r="G619" s="5"/>
      <c r="H619" s="5"/>
      <c r="I619" s="5"/>
      <c r="J619" s="5"/>
      <c r="K619" s="5"/>
      <c r="L619" s="5"/>
      <c r="M619" s="5"/>
      <c r="N619" s="5"/>
      <c r="O619" s="5"/>
      <c r="P619" s="4"/>
      <c r="Q619" s="4"/>
      <c r="R619" s="4"/>
      <c r="S619" s="4"/>
      <c r="T619" s="4"/>
      <c r="U619" s="4"/>
      <c r="V619" s="4"/>
      <c r="W619" s="4"/>
      <c r="X619" s="4"/>
      <c r="Y619" s="4"/>
      <c r="Z619" s="4"/>
      <c r="AA619" s="4"/>
    </row>
    <row r="620" spans="1:27">
      <c r="A620" s="5"/>
      <c r="B620" s="5"/>
      <c r="C620" s="4"/>
      <c r="D620" s="5"/>
      <c r="E620" s="5"/>
      <c r="F620" s="5"/>
      <c r="G620" s="5"/>
      <c r="H620" s="5"/>
      <c r="I620" s="5"/>
      <c r="J620" s="5"/>
      <c r="K620" s="5"/>
      <c r="L620" s="5"/>
      <c r="M620" s="5"/>
      <c r="N620" s="5"/>
      <c r="O620" s="5"/>
      <c r="P620" s="4"/>
      <c r="Q620" s="4"/>
      <c r="R620" s="4"/>
      <c r="S620" s="4"/>
      <c r="T620" s="4"/>
      <c r="U620" s="4"/>
      <c r="V620" s="4"/>
      <c r="W620" s="4"/>
      <c r="X620" s="4"/>
      <c r="Y620" s="4"/>
      <c r="Z620" s="4"/>
      <c r="AA620" s="4"/>
    </row>
    <row r="621" spans="1:27">
      <c r="A621" s="5"/>
      <c r="B621" s="5"/>
      <c r="C621" s="4"/>
      <c r="D621" s="5"/>
      <c r="E621" s="5"/>
      <c r="F621" s="5"/>
      <c r="G621" s="5"/>
      <c r="H621" s="5"/>
      <c r="I621" s="5"/>
      <c r="J621" s="5"/>
      <c r="K621" s="5"/>
      <c r="L621" s="5"/>
      <c r="M621" s="5"/>
      <c r="N621" s="5"/>
      <c r="O621" s="5"/>
      <c r="P621" s="4"/>
      <c r="Q621" s="4"/>
      <c r="R621" s="4"/>
      <c r="S621" s="4"/>
      <c r="T621" s="4"/>
      <c r="U621" s="4"/>
      <c r="V621" s="4"/>
      <c r="W621" s="4"/>
      <c r="X621" s="4"/>
      <c r="Y621" s="4"/>
      <c r="Z621" s="4"/>
      <c r="AA621" s="4"/>
    </row>
    <row r="622" spans="1:27">
      <c r="A622" s="5"/>
      <c r="B622" s="5"/>
      <c r="C622" s="4"/>
      <c r="D622" s="5"/>
      <c r="E622" s="5"/>
      <c r="F622" s="5"/>
      <c r="G622" s="5"/>
      <c r="H622" s="5"/>
      <c r="I622" s="5"/>
      <c r="J622" s="5"/>
      <c r="K622" s="5"/>
      <c r="L622" s="5"/>
      <c r="M622" s="5"/>
      <c r="N622" s="5"/>
      <c r="O622" s="5"/>
      <c r="P622" s="4"/>
      <c r="Q622" s="4"/>
      <c r="R622" s="4"/>
      <c r="S622" s="4"/>
      <c r="T622" s="4"/>
      <c r="U622" s="4"/>
      <c r="V622" s="4"/>
      <c r="W622" s="4"/>
      <c r="X622" s="4"/>
      <c r="Y622" s="4"/>
      <c r="Z622" s="4"/>
      <c r="AA622" s="4"/>
    </row>
    <row r="623" spans="1:27">
      <c r="A623" s="5"/>
      <c r="B623" s="5"/>
      <c r="C623" s="4"/>
      <c r="D623" s="5"/>
      <c r="E623" s="5"/>
      <c r="F623" s="5"/>
      <c r="G623" s="5"/>
      <c r="H623" s="5"/>
      <c r="I623" s="5"/>
      <c r="J623" s="5"/>
      <c r="K623" s="5"/>
      <c r="L623" s="5"/>
      <c r="M623" s="5"/>
      <c r="N623" s="5"/>
      <c r="O623" s="5"/>
      <c r="P623" s="4"/>
      <c r="Q623" s="4"/>
      <c r="R623" s="4"/>
      <c r="S623" s="4"/>
      <c r="T623" s="4"/>
      <c r="U623" s="4"/>
      <c r="V623" s="4"/>
      <c r="W623" s="4"/>
      <c r="X623" s="4"/>
      <c r="Y623" s="4"/>
      <c r="Z623" s="4"/>
      <c r="AA623" s="4"/>
    </row>
    <row r="624" spans="1:27">
      <c r="A624" s="5"/>
      <c r="B624" s="5"/>
      <c r="C624" s="4"/>
      <c r="D624" s="5"/>
      <c r="E624" s="5"/>
      <c r="F624" s="5"/>
      <c r="G624" s="5"/>
      <c r="H624" s="5"/>
      <c r="I624" s="5"/>
      <c r="J624" s="5"/>
      <c r="K624" s="5"/>
      <c r="L624" s="5"/>
      <c r="M624" s="5"/>
      <c r="N624" s="5"/>
      <c r="O624" s="5"/>
      <c r="P624" s="4"/>
      <c r="Q624" s="4"/>
      <c r="R624" s="4"/>
      <c r="S624" s="4"/>
      <c r="T624" s="4"/>
      <c r="U624" s="4"/>
      <c r="V624" s="4"/>
      <c r="W624" s="4"/>
      <c r="X624" s="4"/>
      <c r="Y624" s="4"/>
      <c r="Z624" s="4"/>
      <c r="AA624" s="4"/>
    </row>
    <row r="625" spans="1:27">
      <c r="A625" s="5"/>
      <c r="B625" s="5"/>
      <c r="C625" s="4"/>
      <c r="D625" s="5"/>
      <c r="E625" s="5"/>
      <c r="F625" s="5"/>
      <c r="G625" s="5"/>
      <c r="H625" s="5"/>
      <c r="I625" s="5"/>
      <c r="J625" s="5"/>
      <c r="K625" s="5"/>
      <c r="L625" s="5"/>
      <c r="M625" s="5"/>
      <c r="N625" s="5"/>
      <c r="O625" s="5"/>
      <c r="P625" s="4"/>
      <c r="Q625" s="4"/>
      <c r="R625" s="4"/>
      <c r="S625" s="4"/>
      <c r="T625" s="4"/>
      <c r="U625" s="4"/>
      <c r="V625" s="4"/>
      <c r="W625" s="4"/>
      <c r="X625" s="4"/>
      <c r="Y625" s="4"/>
      <c r="Z625" s="4"/>
      <c r="AA625" s="4"/>
    </row>
    <row r="626" spans="1:27">
      <c r="A626" s="5"/>
      <c r="B626" s="5"/>
      <c r="C626" s="4"/>
      <c r="D626" s="5"/>
      <c r="E626" s="5"/>
      <c r="F626" s="5"/>
      <c r="G626" s="5"/>
      <c r="H626" s="5"/>
      <c r="I626" s="5"/>
      <c r="J626" s="5"/>
      <c r="K626" s="5"/>
      <c r="L626" s="5"/>
      <c r="M626" s="5"/>
      <c r="N626" s="5"/>
      <c r="O626" s="5"/>
      <c r="P626" s="4"/>
      <c r="Q626" s="4"/>
      <c r="R626" s="4"/>
      <c r="S626" s="4"/>
      <c r="T626" s="4"/>
      <c r="U626" s="4"/>
      <c r="V626" s="4"/>
      <c r="W626" s="4"/>
      <c r="X626" s="4"/>
      <c r="Y626" s="4"/>
      <c r="Z626" s="4"/>
      <c r="AA626" s="4"/>
    </row>
    <row r="627" spans="1:27">
      <c r="A627" s="5"/>
      <c r="B627" s="5"/>
      <c r="C627" s="4"/>
      <c r="D627" s="5"/>
      <c r="E627" s="5"/>
      <c r="F627" s="5"/>
      <c r="G627" s="5"/>
      <c r="H627" s="5"/>
      <c r="I627" s="5"/>
      <c r="J627" s="5"/>
      <c r="K627" s="5"/>
      <c r="L627" s="5"/>
      <c r="M627" s="5"/>
      <c r="N627" s="5"/>
      <c r="O627" s="5"/>
      <c r="P627" s="4"/>
      <c r="Q627" s="4"/>
      <c r="R627" s="4"/>
      <c r="S627" s="4"/>
      <c r="T627" s="4"/>
      <c r="U627" s="4"/>
      <c r="V627" s="4"/>
      <c r="W627" s="4"/>
      <c r="X627" s="4"/>
      <c r="Y627" s="4"/>
      <c r="Z627" s="4"/>
      <c r="AA627" s="4"/>
    </row>
    <row r="628" spans="1:27">
      <c r="A628" s="5"/>
      <c r="B628" s="5"/>
      <c r="C628" s="4"/>
      <c r="D628" s="5"/>
      <c r="E628" s="5"/>
      <c r="F628" s="5"/>
      <c r="G628" s="5"/>
      <c r="H628" s="5"/>
      <c r="I628" s="5"/>
      <c r="J628" s="5"/>
      <c r="K628" s="5"/>
      <c r="L628" s="5"/>
      <c r="M628" s="5"/>
      <c r="N628" s="5"/>
      <c r="O628" s="5"/>
      <c r="P628" s="4"/>
      <c r="Q628" s="4"/>
      <c r="R628" s="4"/>
      <c r="S628" s="4"/>
      <c r="T628" s="4"/>
      <c r="U628" s="4"/>
      <c r="V628" s="4"/>
      <c r="W628" s="4"/>
      <c r="X628" s="4"/>
      <c r="Y628" s="4"/>
      <c r="Z628" s="4"/>
      <c r="AA628" s="4"/>
    </row>
    <row r="629" spans="1:27">
      <c r="A629" s="5"/>
      <c r="B629" s="5"/>
      <c r="C629" s="4"/>
      <c r="D629" s="5"/>
      <c r="E629" s="5"/>
      <c r="F629" s="5"/>
      <c r="G629" s="5"/>
      <c r="H629" s="5"/>
      <c r="I629" s="5"/>
      <c r="J629" s="5"/>
      <c r="K629" s="5"/>
      <c r="L629" s="5"/>
      <c r="M629" s="5"/>
      <c r="N629" s="5"/>
      <c r="O629" s="5"/>
      <c r="P629" s="4"/>
      <c r="Q629" s="4"/>
      <c r="R629" s="4"/>
      <c r="S629" s="4"/>
      <c r="T629" s="4"/>
      <c r="U629" s="4"/>
      <c r="V629" s="4"/>
      <c r="W629" s="4"/>
      <c r="X629" s="4"/>
      <c r="Y629" s="4"/>
      <c r="Z629" s="4"/>
      <c r="AA629" s="4"/>
    </row>
    <row r="630" spans="1:27">
      <c r="A630" s="5"/>
      <c r="B630" s="5"/>
      <c r="C630" s="4"/>
      <c r="D630" s="5"/>
      <c r="E630" s="5"/>
      <c r="F630" s="5"/>
      <c r="G630" s="5"/>
      <c r="H630" s="5"/>
      <c r="I630" s="5"/>
      <c r="J630" s="5"/>
      <c r="K630" s="5"/>
      <c r="L630" s="5"/>
      <c r="M630" s="5"/>
      <c r="N630" s="5"/>
      <c r="O630" s="5"/>
      <c r="P630" s="4"/>
      <c r="Q630" s="4"/>
      <c r="R630" s="4"/>
      <c r="S630" s="4"/>
      <c r="T630" s="4"/>
      <c r="U630" s="4"/>
      <c r="V630" s="4"/>
      <c r="W630" s="4"/>
      <c r="X630" s="4"/>
      <c r="Y630" s="4"/>
      <c r="Z630" s="4"/>
      <c r="AA630" s="4"/>
    </row>
    <row r="631" spans="1:27">
      <c r="A631" s="5"/>
      <c r="B631" s="5"/>
      <c r="C631" s="4"/>
      <c r="D631" s="5"/>
      <c r="E631" s="5"/>
      <c r="F631" s="5"/>
      <c r="G631" s="5"/>
      <c r="H631" s="5"/>
      <c r="I631" s="5"/>
      <c r="J631" s="5"/>
      <c r="K631" s="5"/>
      <c r="L631" s="5"/>
      <c r="M631" s="5"/>
      <c r="N631" s="5"/>
      <c r="O631" s="5"/>
      <c r="P631" s="4"/>
      <c r="Q631" s="4"/>
      <c r="R631" s="4"/>
      <c r="S631" s="4"/>
      <c r="T631" s="4"/>
      <c r="U631" s="4"/>
      <c r="V631" s="4"/>
      <c r="W631" s="4"/>
      <c r="X631" s="4"/>
      <c r="Y631" s="4"/>
      <c r="Z631" s="4"/>
      <c r="AA631" s="4"/>
    </row>
    <row r="632" spans="1:27">
      <c r="A632" s="5"/>
      <c r="B632" s="5"/>
      <c r="C632" s="4"/>
      <c r="D632" s="5"/>
      <c r="E632" s="5"/>
      <c r="F632" s="5"/>
      <c r="G632" s="5"/>
      <c r="H632" s="5"/>
      <c r="I632" s="5"/>
      <c r="J632" s="5"/>
      <c r="K632" s="5"/>
      <c r="L632" s="5"/>
      <c r="M632" s="5"/>
      <c r="N632" s="5"/>
      <c r="O632" s="5"/>
      <c r="P632" s="4"/>
      <c r="Q632" s="4"/>
      <c r="R632" s="4"/>
      <c r="S632" s="4"/>
      <c r="T632" s="4"/>
      <c r="U632" s="4"/>
      <c r="V632" s="4"/>
      <c r="W632" s="4"/>
      <c r="X632" s="4"/>
      <c r="Y632" s="4"/>
      <c r="Z632" s="4"/>
      <c r="AA632" s="4"/>
    </row>
    <row r="633" spans="1:27">
      <c r="A633" s="5"/>
      <c r="B633" s="5"/>
      <c r="C633" s="4"/>
      <c r="D633" s="5"/>
      <c r="E633" s="5"/>
      <c r="F633" s="5"/>
      <c r="G633" s="5"/>
      <c r="H633" s="5"/>
      <c r="I633" s="5"/>
      <c r="J633" s="5"/>
      <c r="K633" s="5"/>
      <c r="L633" s="5"/>
      <c r="M633" s="5"/>
      <c r="N633" s="5"/>
      <c r="O633" s="5"/>
      <c r="P633" s="4"/>
      <c r="Q633" s="4"/>
      <c r="R633" s="4"/>
      <c r="S633" s="4"/>
      <c r="T633" s="4"/>
      <c r="U633" s="4"/>
      <c r="V633" s="4"/>
      <c r="W633" s="4"/>
      <c r="X633" s="4"/>
      <c r="Y633" s="4"/>
      <c r="Z633" s="4"/>
      <c r="AA633" s="4"/>
    </row>
    <row r="634" spans="1:27">
      <c r="A634" s="5"/>
      <c r="B634" s="5"/>
      <c r="C634" s="4"/>
      <c r="D634" s="5"/>
      <c r="E634" s="5"/>
      <c r="F634" s="5"/>
      <c r="G634" s="5"/>
      <c r="H634" s="5"/>
      <c r="I634" s="5"/>
      <c r="J634" s="5"/>
      <c r="K634" s="5"/>
      <c r="L634" s="5"/>
      <c r="M634" s="5"/>
      <c r="N634" s="5"/>
      <c r="O634" s="5"/>
      <c r="P634" s="4"/>
      <c r="Q634" s="4"/>
      <c r="R634" s="4"/>
      <c r="S634" s="4"/>
      <c r="T634" s="4"/>
      <c r="U634" s="4"/>
      <c r="V634" s="4"/>
      <c r="W634" s="4"/>
      <c r="X634" s="4"/>
      <c r="Y634" s="4"/>
      <c r="Z634" s="4"/>
      <c r="AA634" s="4"/>
    </row>
    <row r="635" spans="1:27">
      <c r="A635" s="5"/>
      <c r="B635" s="5"/>
      <c r="C635" s="4"/>
      <c r="D635" s="5"/>
      <c r="E635" s="5"/>
      <c r="F635" s="5"/>
      <c r="G635" s="5"/>
      <c r="H635" s="5"/>
      <c r="I635" s="5"/>
      <c r="J635" s="5"/>
      <c r="K635" s="5"/>
      <c r="L635" s="5"/>
      <c r="M635" s="5"/>
      <c r="N635" s="5"/>
      <c r="O635" s="5"/>
      <c r="P635" s="4"/>
      <c r="Q635" s="4"/>
      <c r="R635" s="4"/>
      <c r="S635" s="4"/>
      <c r="T635" s="4"/>
      <c r="U635" s="4"/>
      <c r="V635" s="4"/>
      <c r="W635" s="4"/>
      <c r="X635" s="4"/>
      <c r="Y635" s="4"/>
      <c r="Z635" s="4"/>
      <c r="AA635" s="4"/>
    </row>
    <row r="636" spans="1:27">
      <c r="A636" s="5"/>
      <c r="B636" s="5"/>
      <c r="C636" s="4"/>
      <c r="D636" s="5"/>
      <c r="E636" s="5"/>
      <c r="F636" s="5"/>
      <c r="G636" s="5"/>
      <c r="H636" s="5"/>
      <c r="I636" s="5"/>
      <c r="J636" s="5"/>
      <c r="K636" s="5"/>
      <c r="L636" s="5"/>
      <c r="M636" s="5"/>
      <c r="N636" s="5"/>
      <c r="O636" s="5"/>
      <c r="P636" s="4"/>
      <c r="Q636" s="4"/>
      <c r="R636" s="4"/>
      <c r="S636" s="4"/>
      <c r="T636" s="4"/>
      <c r="U636" s="4"/>
      <c r="V636" s="4"/>
      <c r="W636" s="4"/>
      <c r="X636" s="4"/>
      <c r="Y636" s="4"/>
      <c r="Z636" s="4"/>
      <c r="AA636" s="4"/>
    </row>
    <row r="637" spans="1:27">
      <c r="A637" s="5"/>
      <c r="B637" s="5"/>
      <c r="C637" s="4"/>
      <c r="D637" s="5"/>
      <c r="E637" s="5"/>
      <c r="F637" s="5"/>
      <c r="G637" s="5"/>
      <c r="H637" s="5"/>
      <c r="I637" s="5"/>
      <c r="J637" s="5"/>
      <c r="K637" s="5"/>
      <c r="L637" s="5"/>
      <c r="M637" s="5"/>
      <c r="N637" s="5"/>
      <c r="O637" s="5"/>
      <c r="P637" s="4"/>
      <c r="Q637" s="4"/>
      <c r="R637" s="4"/>
      <c r="S637" s="4"/>
      <c r="T637" s="4"/>
      <c r="U637" s="4"/>
      <c r="V637" s="4"/>
      <c r="W637" s="4"/>
      <c r="X637" s="4"/>
      <c r="Y637" s="4"/>
      <c r="Z637" s="4"/>
      <c r="AA637" s="4"/>
    </row>
    <row r="638" spans="1:27">
      <c r="A638" s="5"/>
      <c r="B638" s="5"/>
      <c r="C638" s="4"/>
      <c r="D638" s="5"/>
      <c r="E638" s="5"/>
      <c r="F638" s="5"/>
      <c r="G638" s="5"/>
      <c r="H638" s="5"/>
      <c r="I638" s="5"/>
      <c r="J638" s="5"/>
      <c r="K638" s="5"/>
      <c r="L638" s="5"/>
      <c r="M638" s="5"/>
      <c r="N638" s="5"/>
      <c r="O638" s="5"/>
      <c r="P638" s="4"/>
      <c r="Q638" s="4"/>
      <c r="R638" s="4"/>
      <c r="S638" s="4"/>
      <c r="T638" s="4"/>
      <c r="U638" s="4"/>
      <c r="V638" s="4"/>
      <c r="W638" s="4"/>
      <c r="X638" s="4"/>
      <c r="Y638" s="4"/>
      <c r="Z638" s="4"/>
      <c r="AA638" s="4"/>
    </row>
    <row r="639" spans="1:27">
      <c r="A639" s="5"/>
      <c r="B639" s="5"/>
      <c r="C639" s="4"/>
      <c r="D639" s="5"/>
      <c r="E639" s="5"/>
      <c r="F639" s="5"/>
      <c r="G639" s="5"/>
      <c r="H639" s="5"/>
      <c r="I639" s="5"/>
      <c r="J639" s="5"/>
      <c r="K639" s="5"/>
      <c r="L639" s="5"/>
      <c r="M639" s="5"/>
      <c r="N639" s="5"/>
      <c r="O639" s="5"/>
      <c r="P639" s="4"/>
      <c r="Q639" s="4"/>
      <c r="R639" s="4"/>
      <c r="S639" s="4"/>
      <c r="T639" s="4"/>
      <c r="U639" s="4"/>
      <c r="V639" s="4"/>
      <c r="W639" s="4"/>
      <c r="X639" s="4"/>
      <c r="Y639" s="4"/>
      <c r="Z639" s="4"/>
      <c r="AA639" s="4"/>
    </row>
    <row r="640" spans="1:27">
      <c r="A640" s="5"/>
      <c r="B640" s="5"/>
      <c r="C640" s="4"/>
      <c r="D640" s="5"/>
      <c r="E640" s="5"/>
      <c r="F640" s="5"/>
      <c r="G640" s="5"/>
      <c r="H640" s="5"/>
      <c r="I640" s="5"/>
      <c r="J640" s="5"/>
      <c r="K640" s="5"/>
      <c r="L640" s="5"/>
      <c r="M640" s="5"/>
      <c r="N640" s="5"/>
      <c r="O640" s="5"/>
      <c r="P640" s="4"/>
      <c r="Q640" s="4"/>
      <c r="R640" s="4"/>
      <c r="S640" s="4"/>
      <c r="T640" s="4"/>
      <c r="U640" s="4"/>
      <c r="V640" s="4"/>
      <c r="W640" s="4"/>
      <c r="X640" s="4"/>
      <c r="Y640" s="4"/>
      <c r="Z640" s="4"/>
      <c r="AA640" s="4"/>
    </row>
    <row r="641" spans="1:27">
      <c r="A641" s="5"/>
      <c r="B641" s="5"/>
      <c r="C641" s="4"/>
      <c r="D641" s="5"/>
      <c r="E641" s="5"/>
      <c r="F641" s="5"/>
      <c r="G641" s="5"/>
      <c r="H641" s="5"/>
      <c r="I641" s="5"/>
      <c r="J641" s="5"/>
      <c r="K641" s="5"/>
      <c r="L641" s="5"/>
      <c r="M641" s="5"/>
      <c r="N641" s="5"/>
      <c r="O641" s="5"/>
      <c r="P641" s="4"/>
      <c r="Q641" s="4"/>
      <c r="R641" s="4"/>
      <c r="S641" s="4"/>
      <c r="T641" s="4"/>
      <c r="U641" s="4"/>
      <c r="V641" s="4"/>
      <c r="W641" s="4"/>
      <c r="X641" s="4"/>
      <c r="Y641" s="4"/>
      <c r="Z641" s="4"/>
      <c r="AA641" s="4"/>
    </row>
    <row r="642" spans="1:27">
      <c r="A642" s="5"/>
      <c r="B642" s="5"/>
      <c r="C642" s="4"/>
      <c r="D642" s="5"/>
      <c r="E642" s="5"/>
      <c r="F642" s="5"/>
      <c r="G642" s="5"/>
      <c r="H642" s="5"/>
      <c r="I642" s="5"/>
      <c r="J642" s="5"/>
      <c r="K642" s="5"/>
      <c r="L642" s="5"/>
      <c r="M642" s="5"/>
      <c r="N642" s="5"/>
      <c r="O642" s="5"/>
      <c r="P642" s="4"/>
      <c r="Q642" s="4"/>
      <c r="R642" s="4"/>
      <c r="S642" s="4"/>
      <c r="T642" s="4"/>
      <c r="U642" s="4"/>
      <c r="V642" s="4"/>
      <c r="W642" s="4"/>
      <c r="X642" s="4"/>
      <c r="Y642" s="4"/>
      <c r="Z642" s="4"/>
      <c r="AA642" s="4"/>
    </row>
    <row r="643" spans="1:27">
      <c r="A643" s="5"/>
      <c r="B643" s="5"/>
      <c r="C643" s="4"/>
      <c r="D643" s="5"/>
      <c r="E643" s="5"/>
      <c r="F643" s="5"/>
      <c r="G643" s="5"/>
      <c r="H643" s="5"/>
      <c r="I643" s="5"/>
      <c r="J643" s="5"/>
      <c r="K643" s="5"/>
      <c r="L643" s="5"/>
      <c r="M643" s="5"/>
      <c r="N643" s="5"/>
      <c r="O643" s="5"/>
      <c r="P643" s="4"/>
      <c r="Q643" s="4"/>
      <c r="R643" s="4"/>
      <c r="S643" s="4"/>
      <c r="T643" s="4"/>
      <c r="U643" s="4"/>
      <c r="V643" s="4"/>
      <c r="W643" s="4"/>
      <c r="X643" s="4"/>
      <c r="Y643" s="4"/>
      <c r="Z643" s="4"/>
      <c r="AA643" s="4"/>
    </row>
    <row r="644" spans="1:27">
      <c r="A644" s="5"/>
      <c r="B644" s="5"/>
      <c r="C644" s="4"/>
      <c r="D644" s="5"/>
      <c r="E644" s="5"/>
      <c r="F644" s="5"/>
      <c r="G644" s="5"/>
      <c r="H644" s="5"/>
      <c r="I644" s="5"/>
      <c r="J644" s="5"/>
      <c r="K644" s="5"/>
      <c r="L644" s="5"/>
      <c r="M644" s="5"/>
      <c r="N644" s="5"/>
      <c r="O644" s="5"/>
      <c r="P644" s="4"/>
      <c r="Q644" s="4"/>
      <c r="R644" s="4"/>
      <c r="S644" s="4"/>
      <c r="T644" s="4"/>
      <c r="U644" s="4"/>
      <c r="V644" s="4"/>
      <c r="W644" s="4"/>
      <c r="X644" s="4"/>
      <c r="Y644" s="4"/>
      <c r="Z644" s="4"/>
      <c r="AA644" s="4"/>
    </row>
    <row r="645" spans="1:27">
      <c r="A645" s="5"/>
      <c r="B645" s="5"/>
      <c r="C645" s="4"/>
      <c r="D645" s="5"/>
      <c r="E645" s="5"/>
      <c r="F645" s="5"/>
      <c r="G645" s="5"/>
      <c r="H645" s="5"/>
      <c r="I645" s="5"/>
      <c r="J645" s="5"/>
      <c r="K645" s="5"/>
      <c r="L645" s="5"/>
      <c r="M645" s="5"/>
      <c r="N645" s="5"/>
      <c r="O645" s="5"/>
      <c r="P645" s="4"/>
      <c r="Q645" s="4"/>
      <c r="R645" s="4"/>
      <c r="S645" s="4"/>
      <c r="T645" s="4"/>
      <c r="U645" s="4"/>
      <c r="V645" s="4"/>
      <c r="W645" s="4"/>
      <c r="X645" s="4"/>
      <c r="Y645" s="4"/>
      <c r="Z645" s="4"/>
      <c r="AA645" s="4"/>
    </row>
    <row r="646" spans="1:27">
      <c r="A646" s="5"/>
      <c r="B646" s="5"/>
      <c r="C646" s="4"/>
      <c r="D646" s="5"/>
      <c r="E646" s="5"/>
      <c r="F646" s="5"/>
      <c r="G646" s="5"/>
      <c r="H646" s="5"/>
      <c r="I646" s="5"/>
      <c r="J646" s="5"/>
      <c r="K646" s="5"/>
      <c r="L646" s="5"/>
      <c r="M646" s="5"/>
      <c r="N646" s="5"/>
      <c r="O646" s="5"/>
      <c r="P646" s="4"/>
      <c r="Q646" s="4"/>
      <c r="R646" s="4"/>
      <c r="S646" s="4"/>
      <c r="T646" s="4"/>
      <c r="U646" s="4"/>
      <c r="V646" s="4"/>
      <c r="W646" s="4"/>
      <c r="X646" s="4"/>
      <c r="Y646" s="4"/>
      <c r="Z646" s="4"/>
      <c r="AA646" s="4"/>
    </row>
    <row r="647" spans="1:27">
      <c r="A647" s="5"/>
      <c r="B647" s="5"/>
      <c r="C647" s="4"/>
      <c r="D647" s="5"/>
      <c r="E647" s="5"/>
      <c r="F647" s="5"/>
      <c r="G647" s="5"/>
      <c r="H647" s="5"/>
      <c r="I647" s="5"/>
      <c r="J647" s="5"/>
      <c r="K647" s="5"/>
      <c r="L647" s="5"/>
      <c r="M647" s="5"/>
      <c r="N647" s="5"/>
      <c r="O647" s="5"/>
      <c r="P647" s="4"/>
      <c r="Q647" s="4"/>
      <c r="R647" s="4"/>
      <c r="S647" s="4"/>
      <c r="T647" s="4"/>
      <c r="U647" s="4"/>
      <c r="V647" s="4"/>
      <c r="W647" s="4"/>
      <c r="X647" s="4"/>
      <c r="Y647" s="4"/>
      <c r="Z647" s="4"/>
      <c r="AA647" s="4"/>
    </row>
    <row r="648" spans="1:27">
      <c r="A648" s="5"/>
      <c r="B648" s="5"/>
      <c r="C648" s="4"/>
      <c r="D648" s="5"/>
      <c r="E648" s="5"/>
      <c r="F648" s="5"/>
      <c r="G648" s="5"/>
      <c r="H648" s="5"/>
      <c r="I648" s="5"/>
      <c r="J648" s="5"/>
      <c r="K648" s="5"/>
      <c r="L648" s="5"/>
      <c r="M648" s="5"/>
      <c r="N648" s="5"/>
      <c r="O648" s="5"/>
      <c r="P648" s="4"/>
      <c r="Q648" s="4"/>
      <c r="R648" s="4"/>
      <c r="S648" s="4"/>
      <c r="T648" s="4"/>
      <c r="U648" s="4"/>
      <c r="V648" s="4"/>
      <c r="W648" s="4"/>
      <c r="X648" s="4"/>
      <c r="Y648" s="4"/>
      <c r="Z648" s="4"/>
      <c r="AA648" s="4"/>
    </row>
    <row r="649" spans="1:27">
      <c r="A649" s="5"/>
      <c r="B649" s="5"/>
      <c r="C649" s="4"/>
      <c r="D649" s="5"/>
      <c r="E649" s="5"/>
      <c r="F649" s="5"/>
      <c r="G649" s="5"/>
      <c r="H649" s="5"/>
      <c r="I649" s="5"/>
      <c r="J649" s="5"/>
      <c r="K649" s="5"/>
      <c r="L649" s="5"/>
      <c r="M649" s="5"/>
      <c r="N649" s="5"/>
      <c r="O649" s="5"/>
      <c r="P649" s="4"/>
      <c r="Q649" s="4"/>
      <c r="R649" s="4"/>
      <c r="S649" s="4"/>
      <c r="T649" s="4"/>
      <c r="U649" s="4"/>
      <c r="V649" s="4"/>
      <c r="W649" s="4"/>
      <c r="X649" s="4"/>
      <c r="Y649" s="4"/>
      <c r="Z649" s="4"/>
      <c r="AA649" s="4"/>
    </row>
    <row r="650" spans="1:27">
      <c r="A650" s="5"/>
      <c r="B650" s="5"/>
      <c r="C650" s="4"/>
      <c r="D650" s="5"/>
      <c r="E650" s="5"/>
      <c r="F650" s="5"/>
      <c r="G650" s="5"/>
      <c r="H650" s="5"/>
      <c r="I650" s="5"/>
      <c r="J650" s="5"/>
      <c r="K650" s="5"/>
      <c r="L650" s="5"/>
      <c r="M650" s="5"/>
      <c r="N650" s="5"/>
      <c r="O650" s="5"/>
      <c r="P650" s="4"/>
      <c r="Q650" s="4"/>
      <c r="R650" s="4"/>
      <c r="S650" s="4"/>
      <c r="T650" s="4"/>
      <c r="U650" s="4"/>
      <c r="V650" s="4"/>
      <c r="W650" s="4"/>
      <c r="X650" s="4"/>
      <c r="Y650" s="4"/>
      <c r="Z650" s="4"/>
      <c r="AA650" s="4"/>
    </row>
    <row r="651" spans="1:27">
      <c r="A651" s="5"/>
      <c r="B651" s="5"/>
      <c r="C651" s="4"/>
      <c r="D651" s="5"/>
      <c r="E651" s="5"/>
      <c r="F651" s="5"/>
      <c r="G651" s="5"/>
      <c r="H651" s="5"/>
      <c r="I651" s="5"/>
      <c r="J651" s="5"/>
      <c r="K651" s="5"/>
      <c r="L651" s="5"/>
      <c r="M651" s="5"/>
      <c r="N651" s="5"/>
      <c r="O651" s="5"/>
      <c r="P651" s="4"/>
      <c r="Q651" s="4"/>
      <c r="R651" s="4"/>
      <c r="S651" s="4"/>
      <c r="T651" s="4"/>
      <c r="U651" s="4"/>
      <c r="V651" s="4"/>
      <c r="W651" s="4"/>
      <c r="X651" s="4"/>
      <c r="Y651" s="4"/>
      <c r="Z651" s="4"/>
      <c r="AA651" s="4"/>
    </row>
    <row r="652" spans="1:27">
      <c r="A652" s="5"/>
      <c r="B652" s="5"/>
      <c r="C652" s="4"/>
      <c r="D652" s="5"/>
      <c r="E652" s="5"/>
      <c r="F652" s="5"/>
      <c r="G652" s="5"/>
      <c r="H652" s="5"/>
      <c r="I652" s="5"/>
      <c r="J652" s="5"/>
      <c r="K652" s="5"/>
      <c r="L652" s="5"/>
      <c r="M652" s="5"/>
      <c r="N652" s="5"/>
      <c r="O652" s="5"/>
      <c r="P652" s="4"/>
      <c r="Q652" s="4"/>
      <c r="R652" s="4"/>
      <c r="S652" s="4"/>
      <c r="T652" s="4"/>
      <c r="U652" s="4"/>
      <c r="V652" s="4"/>
      <c r="W652" s="4"/>
      <c r="X652" s="4"/>
      <c r="Y652" s="4"/>
      <c r="Z652" s="4"/>
      <c r="AA652" s="4"/>
    </row>
    <row r="653" spans="1:27">
      <c r="A653" s="5"/>
      <c r="B653" s="5"/>
      <c r="C653" s="4"/>
      <c r="D653" s="5"/>
      <c r="E653" s="5"/>
      <c r="F653" s="5"/>
      <c r="G653" s="5"/>
      <c r="H653" s="5"/>
      <c r="I653" s="5"/>
      <c r="J653" s="5"/>
      <c r="K653" s="5"/>
      <c r="L653" s="5"/>
      <c r="M653" s="5"/>
      <c r="N653" s="5"/>
      <c r="O653" s="5"/>
      <c r="P653" s="4"/>
      <c r="Q653" s="4"/>
      <c r="R653" s="4"/>
      <c r="S653" s="4"/>
      <c r="T653" s="4"/>
      <c r="U653" s="4"/>
      <c r="V653" s="4"/>
      <c r="W653" s="4"/>
      <c r="X653" s="4"/>
      <c r="Y653" s="4"/>
      <c r="Z653" s="4"/>
      <c r="AA653" s="4"/>
    </row>
    <row r="654" spans="1:27">
      <c r="A654" s="5"/>
      <c r="B654" s="5"/>
      <c r="C654" s="4"/>
      <c r="D654" s="5"/>
      <c r="E654" s="5"/>
      <c r="F654" s="5"/>
      <c r="G654" s="5"/>
      <c r="H654" s="5"/>
      <c r="I654" s="5"/>
      <c r="J654" s="5"/>
      <c r="K654" s="5"/>
      <c r="L654" s="5"/>
      <c r="M654" s="5"/>
      <c r="N654" s="5"/>
      <c r="O654" s="5"/>
      <c r="P654" s="4"/>
      <c r="Q654" s="4"/>
      <c r="R654" s="4"/>
      <c r="S654" s="4"/>
      <c r="T654" s="4"/>
      <c r="U654" s="4"/>
      <c r="V654" s="4"/>
      <c r="W654" s="4"/>
      <c r="X654" s="4"/>
      <c r="Y654" s="4"/>
      <c r="Z654" s="4"/>
      <c r="AA654" s="4"/>
    </row>
    <row r="655" spans="1:27">
      <c r="A655" s="5"/>
      <c r="B655" s="5"/>
      <c r="C655" s="4"/>
      <c r="D655" s="5"/>
      <c r="E655" s="5"/>
      <c r="F655" s="5"/>
      <c r="G655" s="5"/>
      <c r="H655" s="5"/>
      <c r="I655" s="5"/>
      <c r="J655" s="5"/>
      <c r="K655" s="5"/>
      <c r="L655" s="5"/>
      <c r="M655" s="5"/>
      <c r="N655" s="5"/>
      <c r="O655" s="5"/>
      <c r="P655" s="4"/>
      <c r="Q655" s="4"/>
      <c r="R655" s="4"/>
      <c r="S655" s="4"/>
      <c r="T655" s="4"/>
      <c r="U655" s="4"/>
      <c r="V655" s="4"/>
      <c r="W655" s="4"/>
      <c r="X655" s="4"/>
      <c r="Y655" s="4"/>
      <c r="Z655" s="4"/>
      <c r="AA655" s="4"/>
    </row>
    <row r="656" spans="1:27">
      <c r="A656" s="5"/>
      <c r="B656" s="5"/>
      <c r="C656" s="4"/>
      <c r="D656" s="5"/>
      <c r="E656" s="5"/>
      <c r="F656" s="5"/>
      <c r="G656" s="5"/>
      <c r="H656" s="5"/>
      <c r="I656" s="5"/>
      <c r="J656" s="5"/>
      <c r="K656" s="5"/>
      <c r="L656" s="5"/>
      <c r="M656" s="5"/>
      <c r="N656" s="5"/>
      <c r="O656" s="5"/>
      <c r="P656" s="4"/>
      <c r="Q656" s="4"/>
      <c r="R656" s="4"/>
      <c r="S656" s="4"/>
      <c r="T656" s="4"/>
      <c r="U656" s="4"/>
      <c r="V656" s="4"/>
      <c r="W656" s="4"/>
      <c r="X656" s="4"/>
      <c r="Y656" s="4"/>
      <c r="Z656" s="4"/>
      <c r="AA656" s="4"/>
    </row>
    <row r="657" spans="1:27">
      <c r="A657" s="5"/>
      <c r="B657" s="5"/>
      <c r="C657" s="4"/>
      <c r="D657" s="5"/>
      <c r="E657" s="5"/>
      <c r="F657" s="5"/>
      <c r="G657" s="5"/>
      <c r="H657" s="5"/>
      <c r="I657" s="5"/>
      <c r="J657" s="5"/>
      <c r="K657" s="5"/>
      <c r="L657" s="5"/>
      <c r="M657" s="5"/>
      <c r="N657" s="5"/>
      <c r="O657" s="5"/>
      <c r="P657" s="4"/>
      <c r="Q657" s="4"/>
      <c r="R657" s="4"/>
      <c r="S657" s="4"/>
      <c r="T657" s="4"/>
      <c r="U657" s="4"/>
      <c r="V657" s="4"/>
      <c r="W657" s="4"/>
      <c r="X657" s="4"/>
      <c r="Y657" s="4"/>
      <c r="Z657" s="4"/>
      <c r="AA657" s="4"/>
    </row>
    <row r="658" spans="1:27">
      <c r="A658" s="5"/>
      <c r="B658" s="5"/>
      <c r="C658" s="4"/>
      <c r="D658" s="5"/>
      <c r="E658" s="5"/>
      <c r="F658" s="5"/>
      <c r="G658" s="5"/>
      <c r="H658" s="5"/>
      <c r="I658" s="5"/>
      <c r="J658" s="5"/>
      <c r="K658" s="5"/>
      <c r="L658" s="5"/>
      <c r="M658" s="5"/>
      <c r="N658" s="5"/>
      <c r="O658" s="5"/>
      <c r="P658" s="4"/>
      <c r="Q658" s="4"/>
      <c r="R658" s="4"/>
      <c r="S658" s="4"/>
      <c r="T658" s="4"/>
      <c r="U658" s="4"/>
      <c r="V658" s="4"/>
      <c r="W658" s="4"/>
      <c r="X658" s="4"/>
      <c r="Y658" s="4"/>
      <c r="Z658" s="4"/>
      <c r="AA658" s="4"/>
    </row>
    <row r="659" spans="1:27">
      <c r="A659" s="5"/>
      <c r="B659" s="5"/>
      <c r="C659" s="4"/>
      <c r="D659" s="5"/>
      <c r="E659" s="5"/>
      <c r="F659" s="5"/>
      <c r="G659" s="5"/>
      <c r="H659" s="5"/>
      <c r="I659" s="5"/>
      <c r="J659" s="5"/>
      <c r="K659" s="5"/>
      <c r="L659" s="5"/>
      <c r="M659" s="5"/>
      <c r="N659" s="5"/>
      <c r="O659" s="5"/>
      <c r="P659" s="4"/>
      <c r="Q659" s="4"/>
      <c r="R659" s="4"/>
      <c r="S659" s="4"/>
      <c r="T659" s="4"/>
      <c r="U659" s="4"/>
      <c r="V659" s="4"/>
      <c r="W659" s="4"/>
      <c r="X659" s="4"/>
      <c r="Y659" s="4"/>
      <c r="Z659" s="4"/>
      <c r="AA659" s="4"/>
    </row>
    <row r="660" spans="1:27">
      <c r="A660" s="5"/>
      <c r="B660" s="5"/>
      <c r="C660" s="4"/>
      <c r="D660" s="5"/>
      <c r="E660" s="5"/>
      <c r="F660" s="5"/>
      <c r="G660" s="5"/>
      <c r="H660" s="5"/>
      <c r="I660" s="5"/>
      <c r="J660" s="5"/>
      <c r="K660" s="5"/>
      <c r="L660" s="5"/>
      <c r="M660" s="5"/>
      <c r="N660" s="5"/>
      <c r="O660" s="5"/>
      <c r="P660" s="4"/>
      <c r="Q660" s="4"/>
      <c r="R660" s="4"/>
      <c r="S660" s="4"/>
      <c r="T660" s="4"/>
      <c r="U660" s="4"/>
      <c r="V660" s="4"/>
      <c r="W660" s="4"/>
      <c r="X660" s="4"/>
      <c r="Y660" s="4"/>
      <c r="Z660" s="4"/>
      <c r="AA660" s="4"/>
    </row>
    <row r="661" spans="1:27">
      <c r="A661" s="5"/>
      <c r="B661" s="5"/>
      <c r="C661" s="4"/>
      <c r="D661" s="5"/>
      <c r="E661" s="5"/>
      <c r="F661" s="5"/>
      <c r="G661" s="5"/>
      <c r="H661" s="5"/>
      <c r="I661" s="5"/>
      <c r="J661" s="5"/>
      <c r="K661" s="5"/>
      <c r="L661" s="5"/>
      <c r="M661" s="5"/>
      <c r="N661" s="5"/>
      <c r="O661" s="5"/>
      <c r="P661" s="4"/>
      <c r="Q661" s="4"/>
      <c r="R661" s="4"/>
      <c r="S661" s="4"/>
      <c r="T661" s="4"/>
      <c r="U661" s="4"/>
      <c r="V661" s="4"/>
      <c r="W661" s="4"/>
      <c r="X661" s="4"/>
      <c r="Y661" s="4"/>
      <c r="Z661" s="4"/>
      <c r="AA661" s="4"/>
    </row>
    <row r="662" spans="1:27">
      <c r="A662" s="5"/>
      <c r="B662" s="5"/>
      <c r="C662" s="4"/>
      <c r="D662" s="5"/>
      <c r="E662" s="5"/>
      <c r="F662" s="5"/>
      <c r="G662" s="5"/>
      <c r="H662" s="5"/>
      <c r="I662" s="5"/>
      <c r="J662" s="5"/>
      <c r="K662" s="5"/>
      <c r="L662" s="5"/>
      <c r="M662" s="5"/>
      <c r="N662" s="5"/>
      <c r="O662" s="5"/>
      <c r="P662" s="4"/>
      <c r="Q662" s="4"/>
      <c r="R662" s="4"/>
      <c r="S662" s="4"/>
      <c r="T662" s="4"/>
      <c r="U662" s="4"/>
      <c r="V662" s="4"/>
      <c r="W662" s="4"/>
      <c r="X662" s="4"/>
      <c r="Y662" s="4"/>
      <c r="Z662" s="4"/>
      <c r="AA662" s="4"/>
    </row>
    <row r="663" spans="1:27">
      <c r="A663" s="5"/>
      <c r="B663" s="5"/>
      <c r="C663" s="4"/>
      <c r="D663" s="5"/>
      <c r="E663" s="5"/>
      <c r="F663" s="5"/>
      <c r="G663" s="5"/>
      <c r="H663" s="5"/>
      <c r="I663" s="5"/>
      <c r="J663" s="5"/>
      <c r="K663" s="5"/>
      <c r="L663" s="5"/>
      <c r="M663" s="5"/>
      <c r="N663" s="5"/>
      <c r="O663" s="5"/>
      <c r="P663" s="4"/>
      <c r="Q663" s="4"/>
      <c r="R663" s="4"/>
      <c r="S663" s="4"/>
      <c r="T663" s="4"/>
      <c r="U663" s="4"/>
      <c r="V663" s="4"/>
      <c r="W663" s="4"/>
      <c r="X663" s="4"/>
      <c r="Y663" s="4"/>
      <c r="Z663" s="4"/>
      <c r="AA663" s="4"/>
    </row>
    <row r="664" spans="1:27">
      <c r="A664" s="5"/>
      <c r="B664" s="5"/>
      <c r="C664" s="4"/>
      <c r="D664" s="5"/>
      <c r="E664" s="5"/>
      <c r="F664" s="5"/>
      <c r="G664" s="5"/>
      <c r="H664" s="5"/>
      <c r="I664" s="5"/>
      <c r="J664" s="5"/>
      <c r="K664" s="5"/>
      <c r="L664" s="5"/>
      <c r="M664" s="5"/>
      <c r="N664" s="5"/>
      <c r="O664" s="5"/>
      <c r="P664" s="4"/>
      <c r="Q664" s="4"/>
      <c r="R664" s="4"/>
      <c r="S664" s="4"/>
      <c r="T664" s="4"/>
      <c r="U664" s="4"/>
      <c r="V664" s="4"/>
      <c r="W664" s="4"/>
      <c r="X664" s="4"/>
      <c r="Y664" s="4"/>
      <c r="Z664" s="4"/>
      <c r="AA664" s="4"/>
    </row>
    <row r="665" spans="1:27">
      <c r="A665" s="5"/>
      <c r="B665" s="5"/>
      <c r="C665" s="4"/>
      <c r="D665" s="5"/>
      <c r="E665" s="5"/>
      <c r="F665" s="5"/>
      <c r="G665" s="5"/>
      <c r="H665" s="5"/>
      <c r="I665" s="5"/>
      <c r="J665" s="5"/>
      <c r="K665" s="5"/>
      <c r="L665" s="5"/>
      <c r="M665" s="5"/>
      <c r="N665" s="5"/>
      <c r="O665" s="5"/>
      <c r="P665" s="4"/>
      <c r="Q665" s="4"/>
      <c r="R665" s="4"/>
      <c r="S665" s="4"/>
      <c r="T665" s="4"/>
      <c r="U665" s="4"/>
      <c r="V665" s="4"/>
      <c r="W665" s="4"/>
      <c r="X665" s="4"/>
      <c r="Y665" s="4"/>
      <c r="Z665" s="4"/>
      <c r="AA665" s="4"/>
    </row>
    <row r="666" spans="1:27">
      <c r="A666" s="5"/>
      <c r="B666" s="5"/>
      <c r="C666" s="4"/>
      <c r="D666" s="5"/>
      <c r="E666" s="5"/>
      <c r="F666" s="5"/>
      <c r="G666" s="5"/>
      <c r="H666" s="5"/>
      <c r="I666" s="5"/>
      <c r="J666" s="5"/>
      <c r="K666" s="5"/>
      <c r="L666" s="5"/>
      <c r="M666" s="5"/>
      <c r="N666" s="5"/>
      <c r="O666" s="5"/>
      <c r="P666" s="4"/>
      <c r="Q666" s="4"/>
      <c r="R666" s="4"/>
      <c r="S666" s="4"/>
      <c r="T666" s="4"/>
      <c r="U666" s="4"/>
      <c r="V666" s="4"/>
      <c r="W666" s="4"/>
      <c r="X666" s="4"/>
      <c r="Y666" s="4"/>
      <c r="Z666" s="4"/>
      <c r="AA666" s="4"/>
    </row>
    <row r="667" spans="1:27">
      <c r="A667" s="5"/>
      <c r="B667" s="5"/>
      <c r="C667" s="4"/>
      <c r="D667" s="5"/>
      <c r="E667" s="5"/>
      <c r="F667" s="5"/>
      <c r="G667" s="5"/>
      <c r="H667" s="5"/>
      <c r="I667" s="5"/>
      <c r="J667" s="5"/>
      <c r="K667" s="5"/>
      <c r="L667" s="5"/>
      <c r="M667" s="5"/>
      <c r="N667" s="5"/>
      <c r="O667" s="5"/>
      <c r="P667" s="4"/>
      <c r="Q667" s="4"/>
      <c r="R667" s="4"/>
      <c r="S667" s="4"/>
      <c r="T667" s="4"/>
      <c r="U667" s="4"/>
      <c r="V667" s="4"/>
      <c r="W667" s="4"/>
      <c r="X667" s="4"/>
      <c r="Y667" s="4"/>
      <c r="Z667" s="4"/>
      <c r="AA667" s="4"/>
    </row>
    <row r="668" spans="1:27">
      <c r="A668" s="5"/>
      <c r="B668" s="5"/>
      <c r="C668" s="4"/>
      <c r="D668" s="5"/>
      <c r="E668" s="5"/>
      <c r="F668" s="5"/>
      <c r="G668" s="5"/>
      <c r="H668" s="5"/>
      <c r="I668" s="5"/>
      <c r="J668" s="5"/>
      <c r="K668" s="5"/>
      <c r="L668" s="5"/>
      <c r="M668" s="5"/>
      <c r="N668" s="5"/>
      <c r="O668" s="5"/>
      <c r="P668" s="4"/>
      <c r="Q668" s="4"/>
      <c r="R668" s="4"/>
      <c r="S668" s="4"/>
      <c r="T668" s="4"/>
      <c r="U668" s="4"/>
      <c r="V668" s="4"/>
      <c r="W668" s="4"/>
      <c r="X668" s="4"/>
      <c r="Y668" s="4"/>
      <c r="Z668" s="4"/>
      <c r="AA668" s="4"/>
    </row>
    <row r="669" spans="1:27">
      <c r="A669" s="5"/>
      <c r="B669" s="5"/>
      <c r="C669" s="4"/>
      <c r="D669" s="5"/>
      <c r="E669" s="5"/>
      <c r="F669" s="5"/>
      <c r="G669" s="5"/>
      <c r="H669" s="5"/>
      <c r="I669" s="5"/>
      <c r="J669" s="5"/>
      <c r="K669" s="5"/>
      <c r="L669" s="5"/>
      <c r="M669" s="5"/>
      <c r="N669" s="5"/>
      <c r="O669" s="5"/>
      <c r="P669" s="4"/>
      <c r="Q669" s="4"/>
      <c r="R669" s="4"/>
      <c r="S669" s="4"/>
      <c r="T669" s="4"/>
      <c r="U669" s="4"/>
      <c r="V669" s="4"/>
      <c r="W669" s="4"/>
      <c r="X669" s="4"/>
      <c r="Y669" s="4"/>
      <c r="Z669" s="4"/>
      <c r="AA669" s="4"/>
    </row>
    <row r="670" spans="1:27">
      <c r="A670" s="5"/>
      <c r="B670" s="5"/>
      <c r="C670" s="4"/>
      <c r="D670" s="5"/>
      <c r="E670" s="5"/>
      <c r="F670" s="5"/>
      <c r="G670" s="5"/>
      <c r="H670" s="5"/>
      <c r="I670" s="5"/>
      <c r="J670" s="5"/>
      <c r="K670" s="5"/>
      <c r="L670" s="5"/>
      <c r="M670" s="5"/>
      <c r="N670" s="5"/>
      <c r="O670" s="5"/>
      <c r="P670" s="4"/>
      <c r="Q670" s="4"/>
      <c r="R670" s="4"/>
      <c r="S670" s="4"/>
      <c r="T670" s="4"/>
      <c r="U670" s="4"/>
      <c r="V670" s="4"/>
      <c r="W670" s="4"/>
      <c r="X670" s="4"/>
      <c r="Y670" s="4"/>
      <c r="Z670" s="4"/>
      <c r="AA670" s="4"/>
    </row>
    <row r="671" spans="1:27">
      <c r="A671" s="5"/>
      <c r="B671" s="5"/>
      <c r="C671" s="4"/>
      <c r="D671" s="5"/>
      <c r="E671" s="5"/>
      <c r="F671" s="5"/>
      <c r="G671" s="5"/>
      <c r="H671" s="5"/>
      <c r="I671" s="5"/>
      <c r="J671" s="5"/>
      <c r="K671" s="5"/>
      <c r="L671" s="5"/>
      <c r="M671" s="5"/>
      <c r="N671" s="5"/>
      <c r="O671" s="5"/>
      <c r="P671" s="4"/>
      <c r="Q671" s="4"/>
      <c r="R671" s="4"/>
      <c r="S671" s="4"/>
      <c r="T671" s="4"/>
      <c r="U671" s="4"/>
      <c r="V671" s="4"/>
      <c r="W671" s="4"/>
      <c r="X671" s="4"/>
      <c r="Y671" s="4"/>
      <c r="Z671" s="4"/>
      <c r="AA671" s="4"/>
    </row>
    <row r="672" spans="1:27">
      <c r="A672" s="5"/>
      <c r="B672" s="5"/>
      <c r="C672" s="4"/>
      <c r="D672" s="5"/>
      <c r="E672" s="5"/>
      <c r="F672" s="5"/>
      <c r="G672" s="5"/>
      <c r="H672" s="5"/>
      <c r="I672" s="5"/>
      <c r="J672" s="5"/>
      <c r="K672" s="5"/>
      <c r="L672" s="5"/>
      <c r="M672" s="5"/>
      <c r="N672" s="5"/>
      <c r="O672" s="5"/>
      <c r="P672" s="4"/>
      <c r="Q672" s="4"/>
      <c r="R672" s="4"/>
      <c r="S672" s="4"/>
      <c r="T672" s="4"/>
      <c r="U672" s="4"/>
      <c r="V672" s="4"/>
      <c r="W672" s="4"/>
      <c r="X672" s="4"/>
      <c r="Y672" s="4"/>
      <c r="Z672" s="4"/>
      <c r="AA672" s="4"/>
    </row>
    <row r="673" spans="1:27">
      <c r="A673" s="5"/>
      <c r="B673" s="5"/>
      <c r="C673" s="4"/>
      <c r="D673" s="5"/>
      <c r="E673" s="5"/>
      <c r="F673" s="5"/>
      <c r="G673" s="5"/>
      <c r="H673" s="5"/>
      <c r="I673" s="5"/>
      <c r="J673" s="5"/>
      <c r="K673" s="5"/>
      <c r="L673" s="5"/>
      <c r="M673" s="5"/>
      <c r="N673" s="5"/>
      <c r="O673" s="5"/>
      <c r="P673" s="4"/>
      <c r="Q673" s="4"/>
      <c r="R673" s="4"/>
      <c r="S673" s="4"/>
      <c r="T673" s="4"/>
      <c r="U673" s="4"/>
      <c r="V673" s="4"/>
      <c r="W673" s="4"/>
      <c r="X673" s="4"/>
      <c r="Y673" s="4"/>
      <c r="Z673" s="4"/>
      <c r="AA673" s="4"/>
    </row>
    <row r="674" spans="1:27">
      <c r="A674" s="5"/>
      <c r="B674" s="5"/>
      <c r="C674" s="4"/>
      <c r="D674" s="5"/>
      <c r="E674" s="5"/>
      <c r="F674" s="5"/>
      <c r="G674" s="5"/>
      <c r="H674" s="5"/>
      <c r="I674" s="5"/>
      <c r="J674" s="5"/>
      <c r="K674" s="5"/>
      <c r="L674" s="5"/>
      <c r="M674" s="5"/>
      <c r="N674" s="5"/>
      <c r="O674" s="5"/>
      <c r="P674" s="4"/>
      <c r="Q674" s="4"/>
      <c r="R674" s="4"/>
      <c r="S674" s="4"/>
      <c r="T674" s="4"/>
      <c r="U674" s="4"/>
      <c r="V674" s="4"/>
      <c r="W674" s="4"/>
      <c r="X674" s="4"/>
      <c r="Y674" s="4"/>
      <c r="Z674" s="4"/>
      <c r="AA674" s="4"/>
    </row>
    <row r="675" spans="1:27">
      <c r="A675" s="5"/>
      <c r="B675" s="5"/>
      <c r="C675" s="4"/>
      <c r="D675" s="5"/>
      <c r="E675" s="5"/>
      <c r="F675" s="5"/>
      <c r="G675" s="5"/>
      <c r="H675" s="5"/>
      <c r="I675" s="5"/>
      <c r="J675" s="5"/>
      <c r="K675" s="5"/>
      <c r="L675" s="5"/>
      <c r="M675" s="5"/>
      <c r="N675" s="5"/>
      <c r="O675" s="5"/>
      <c r="P675" s="4"/>
      <c r="Q675" s="4"/>
      <c r="R675" s="4"/>
      <c r="S675" s="4"/>
      <c r="T675" s="4"/>
      <c r="U675" s="4"/>
      <c r="V675" s="4"/>
      <c r="W675" s="4"/>
      <c r="X675" s="4"/>
      <c r="Y675" s="4"/>
      <c r="Z675" s="4"/>
      <c r="AA675" s="4"/>
    </row>
    <row r="676" spans="1:27">
      <c r="A676" s="5"/>
      <c r="B676" s="5"/>
      <c r="C676" s="4"/>
      <c r="D676" s="5"/>
      <c r="E676" s="5"/>
      <c r="F676" s="5"/>
      <c r="G676" s="5"/>
      <c r="H676" s="5"/>
      <c r="I676" s="5"/>
      <c r="J676" s="5"/>
      <c r="K676" s="5"/>
      <c r="L676" s="5"/>
      <c r="M676" s="5"/>
      <c r="N676" s="5"/>
      <c r="O676" s="5"/>
      <c r="P676" s="4"/>
      <c r="Q676" s="4"/>
      <c r="R676" s="4"/>
      <c r="S676" s="4"/>
      <c r="T676" s="4"/>
      <c r="U676" s="4"/>
      <c r="V676" s="4"/>
      <c r="W676" s="4"/>
      <c r="X676" s="4"/>
      <c r="Y676" s="4"/>
      <c r="Z676" s="4"/>
      <c r="AA676" s="4"/>
    </row>
    <row r="677" spans="1:27">
      <c r="A677" s="5"/>
      <c r="B677" s="5"/>
      <c r="C677" s="4"/>
      <c r="D677" s="5"/>
      <c r="E677" s="5"/>
      <c r="F677" s="5"/>
      <c r="G677" s="5"/>
      <c r="H677" s="5"/>
      <c r="I677" s="5"/>
      <c r="J677" s="5"/>
      <c r="K677" s="5"/>
      <c r="L677" s="5"/>
      <c r="M677" s="5"/>
      <c r="N677" s="5"/>
      <c r="O677" s="5"/>
      <c r="P677" s="4"/>
      <c r="Q677" s="4"/>
      <c r="R677" s="4"/>
      <c r="S677" s="4"/>
      <c r="T677" s="4"/>
      <c r="U677" s="4"/>
      <c r="V677" s="4"/>
      <c r="W677" s="4"/>
      <c r="X677" s="4"/>
      <c r="Y677" s="4"/>
      <c r="Z677" s="4"/>
      <c r="AA677" s="4"/>
    </row>
    <row r="678" spans="1:27">
      <c r="A678" s="5"/>
      <c r="B678" s="5"/>
      <c r="C678" s="4"/>
      <c r="D678" s="5"/>
      <c r="E678" s="5"/>
      <c r="F678" s="5"/>
      <c r="G678" s="5"/>
      <c r="H678" s="5"/>
      <c r="I678" s="5"/>
      <c r="J678" s="5"/>
      <c r="K678" s="5"/>
      <c r="L678" s="5"/>
      <c r="M678" s="5"/>
      <c r="N678" s="5"/>
      <c r="O678" s="5"/>
      <c r="P678" s="4"/>
      <c r="Q678" s="4"/>
      <c r="R678" s="4"/>
      <c r="S678" s="4"/>
      <c r="T678" s="4"/>
      <c r="U678" s="4"/>
      <c r="V678" s="4"/>
      <c r="W678" s="4"/>
      <c r="X678" s="4"/>
      <c r="Y678" s="4"/>
      <c r="Z678" s="4"/>
      <c r="AA678" s="4"/>
    </row>
    <row r="679" spans="1:27">
      <c r="A679" s="5"/>
      <c r="B679" s="5"/>
      <c r="C679" s="4"/>
      <c r="D679" s="5"/>
      <c r="E679" s="5"/>
      <c r="F679" s="5"/>
      <c r="G679" s="5"/>
      <c r="H679" s="5"/>
      <c r="I679" s="5"/>
      <c r="J679" s="5"/>
      <c r="K679" s="5"/>
      <c r="L679" s="5"/>
      <c r="M679" s="5"/>
      <c r="N679" s="5"/>
      <c r="O679" s="5"/>
      <c r="P679" s="4"/>
      <c r="Q679" s="4"/>
      <c r="R679" s="4"/>
      <c r="S679" s="4"/>
      <c r="T679" s="4"/>
      <c r="U679" s="4"/>
      <c r="V679" s="4"/>
      <c r="W679" s="4"/>
      <c r="X679" s="4"/>
      <c r="Y679" s="4"/>
      <c r="Z679" s="4"/>
      <c r="AA679" s="4"/>
    </row>
    <row r="680" spans="1:27">
      <c r="A680" s="5"/>
      <c r="B680" s="5"/>
      <c r="C680" s="4"/>
      <c r="D680" s="5"/>
      <c r="E680" s="5"/>
      <c r="F680" s="5"/>
      <c r="G680" s="5"/>
      <c r="H680" s="5"/>
      <c r="I680" s="5"/>
      <c r="J680" s="5"/>
      <c r="K680" s="5"/>
      <c r="L680" s="5"/>
      <c r="M680" s="5"/>
      <c r="N680" s="5"/>
      <c r="O680" s="5"/>
      <c r="P680" s="4"/>
      <c r="Q680" s="4"/>
      <c r="R680" s="4"/>
      <c r="S680" s="4"/>
      <c r="T680" s="4"/>
      <c r="U680" s="4"/>
      <c r="V680" s="4"/>
      <c r="W680" s="4"/>
      <c r="X680" s="4"/>
      <c r="Y680" s="4"/>
      <c r="Z680" s="4"/>
      <c r="AA680" s="4"/>
    </row>
    <row r="681" spans="1:27">
      <c r="A681" s="5"/>
      <c r="B681" s="5"/>
      <c r="C681" s="4"/>
      <c r="D681" s="5"/>
      <c r="E681" s="5"/>
      <c r="F681" s="5"/>
      <c r="G681" s="5"/>
      <c r="H681" s="5"/>
      <c r="I681" s="5"/>
      <c r="J681" s="5"/>
      <c r="K681" s="5"/>
      <c r="L681" s="5"/>
      <c r="M681" s="5"/>
      <c r="N681" s="5"/>
      <c r="O681" s="5"/>
      <c r="P681" s="4"/>
      <c r="Q681" s="4"/>
      <c r="R681" s="4"/>
      <c r="S681" s="4"/>
      <c r="T681" s="4"/>
      <c r="U681" s="4"/>
      <c r="V681" s="4"/>
      <c r="W681" s="4"/>
      <c r="X681" s="4"/>
      <c r="Y681" s="4"/>
      <c r="Z681" s="4"/>
      <c r="AA681" s="4"/>
    </row>
    <row r="682" spans="1:27">
      <c r="A682" s="5"/>
      <c r="B682" s="5"/>
      <c r="C682" s="4"/>
      <c r="D682" s="5"/>
      <c r="E682" s="5"/>
      <c r="F682" s="5"/>
      <c r="G682" s="5"/>
      <c r="H682" s="5"/>
      <c r="I682" s="5"/>
      <c r="J682" s="5"/>
      <c r="K682" s="5"/>
      <c r="L682" s="5"/>
      <c r="M682" s="5"/>
      <c r="N682" s="5"/>
      <c r="O682" s="5"/>
      <c r="P682" s="4"/>
      <c r="Q682" s="4"/>
      <c r="R682" s="4"/>
      <c r="S682" s="4"/>
      <c r="T682" s="4"/>
      <c r="U682" s="4"/>
      <c r="V682" s="4"/>
      <c r="W682" s="4"/>
      <c r="X682" s="4"/>
      <c r="Y682" s="4"/>
      <c r="Z682" s="4"/>
      <c r="AA682" s="4"/>
    </row>
    <row r="683" spans="1:27">
      <c r="A683" s="5"/>
      <c r="B683" s="5"/>
      <c r="C683" s="4"/>
      <c r="D683" s="5"/>
      <c r="E683" s="5"/>
      <c r="F683" s="5"/>
      <c r="G683" s="5"/>
      <c r="H683" s="5"/>
      <c r="I683" s="5"/>
      <c r="J683" s="5"/>
      <c r="K683" s="5"/>
      <c r="L683" s="5"/>
      <c r="M683" s="5"/>
      <c r="N683" s="5"/>
      <c r="O683" s="5"/>
      <c r="P683" s="4"/>
      <c r="Q683" s="4"/>
      <c r="R683" s="4"/>
      <c r="S683" s="4"/>
      <c r="T683" s="4"/>
      <c r="U683" s="4"/>
      <c r="V683" s="4"/>
      <c r="W683" s="4"/>
      <c r="X683" s="4"/>
      <c r="Y683" s="4"/>
      <c r="Z683" s="4"/>
      <c r="AA683" s="4"/>
    </row>
    <row r="684" spans="1:27">
      <c r="A684" s="5"/>
      <c r="B684" s="5"/>
      <c r="C684" s="4"/>
      <c r="D684" s="5"/>
      <c r="E684" s="5"/>
      <c r="F684" s="5"/>
      <c r="G684" s="5"/>
      <c r="H684" s="5"/>
      <c r="I684" s="5"/>
      <c r="J684" s="5"/>
      <c r="K684" s="5"/>
      <c r="L684" s="5"/>
      <c r="M684" s="5"/>
      <c r="N684" s="5"/>
      <c r="O684" s="5"/>
      <c r="P684" s="4"/>
      <c r="Q684" s="4"/>
      <c r="R684" s="4"/>
      <c r="S684" s="4"/>
      <c r="T684" s="4"/>
      <c r="U684" s="4"/>
      <c r="V684" s="4"/>
      <c r="W684" s="4"/>
      <c r="X684" s="4"/>
      <c r="Y684" s="4"/>
      <c r="Z684" s="4"/>
      <c r="AA684" s="4"/>
    </row>
    <row r="685" spans="1:27">
      <c r="A685" s="5"/>
      <c r="B685" s="5"/>
      <c r="C685" s="4"/>
      <c r="D685" s="5"/>
      <c r="E685" s="5"/>
      <c r="F685" s="5"/>
      <c r="G685" s="5"/>
      <c r="H685" s="5"/>
      <c r="I685" s="5"/>
      <c r="J685" s="5"/>
      <c r="K685" s="5"/>
      <c r="L685" s="5"/>
      <c r="M685" s="5"/>
      <c r="N685" s="5"/>
      <c r="O685" s="5"/>
      <c r="P685" s="4"/>
      <c r="Q685" s="4"/>
      <c r="R685" s="4"/>
      <c r="S685" s="4"/>
      <c r="T685" s="4"/>
      <c r="U685" s="4"/>
      <c r="V685" s="4"/>
      <c r="W685" s="4"/>
      <c r="X685" s="4"/>
      <c r="Y685" s="4"/>
      <c r="Z685" s="4"/>
      <c r="AA685" s="4"/>
    </row>
    <row r="686" spans="1:27">
      <c r="A686" s="5"/>
      <c r="B686" s="5"/>
      <c r="C686" s="4"/>
      <c r="D686" s="5"/>
      <c r="E686" s="5"/>
      <c r="F686" s="5"/>
      <c r="G686" s="5"/>
      <c r="H686" s="5"/>
      <c r="I686" s="5"/>
      <c r="J686" s="5"/>
      <c r="K686" s="5"/>
      <c r="L686" s="5"/>
      <c r="M686" s="5"/>
      <c r="N686" s="5"/>
      <c r="O686" s="5"/>
      <c r="P686" s="4"/>
      <c r="Q686" s="4"/>
      <c r="R686" s="4"/>
      <c r="S686" s="4"/>
      <c r="T686" s="4"/>
      <c r="U686" s="4"/>
      <c r="V686" s="4"/>
      <c r="W686" s="4"/>
      <c r="X686" s="4"/>
      <c r="Y686" s="4"/>
      <c r="Z686" s="4"/>
      <c r="AA686" s="4"/>
    </row>
    <row r="687" spans="1:27">
      <c r="A687" s="5"/>
      <c r="B687" s="5"/>
      <c r="C687" s="4"/>
      <c r="D687" s="5"/>
      <c r="E687" s="5"/>
      <c r="F687" s="5"/>
      <c r="G687" s="5"/>
      <c r="H687" s="5"/>
      <c r="I687" s="5"/>
      <c r="J687" s="5"/>
      <c r="K687" s="5"/>
      <c r="L687" s="5"/>
      <c r="M687" s="5"/>
      <c r="N687" s="5"/>
      <c r="O687" s="5"/>
      <c r="P687" s="4"/>
      <c r="Q687" s="4"/>
      <c r="R687" s="4"/>
      <c r="S687" s="4"/>
      <c r="T687" s="4"/>
      <c r="U687" s="4"/>
      <c r="V687" s="4"/>
      <c r="W687" s="4"/>
      <c r="X687" s="4"/>
      <c r="Y687" s="4"/>
      <c r="Z687" s="4"/>
      <c r="AA687" s="4"/>
    </row>
    <row r="688" spans="1:27">
      <c r="A688" s="5"/>
      <c r="B688" s="5"/>
      <c r="C688" s="4"/>
      <c r="D688" s="5"/>
      <c r="E688" s="5"/>
      <c r="F688" s="5"/>
      <c r="G688" s="5"/>
      <c r="H688" s="5"/>
      <c r="I688" s="5"/>
      <c r="J688" s="5"/>
      <c r="K688" s="5"/>
      <c r="L688" s="5"/>
      <c r="M688" s="5"/>
      <c r="N688" s="5"/>
      <c r="O688" s="5"/>
      <c r="P688" s="4"/>
      <c r="Q688" s="4"/>
      <c r="R688" s="4"/>
      <c r="S688" s="4"/>
      <c r="T688" s="4"/>
      <c r="U688" s="4"/>
      <c r="V688" s="4"/>
      <c r="W688" s="4"/>
      <c r="X688" s="4"/>
      <c r="Y688" s="4"/>
      <c r="Z688" s="4"/>
      <c r="AA688" s="4"/>
    </row>
    <row r="689" spans="1:27">
      <c r="A689" s="5"/>
      <c r="B689" s="5"/>
      <c r="C689" s="4"/>
      <c r="D689" s="5"/>
      <c r="E689" s="5"/>
      <c r="F689" s="5"/>
      <c r="G689" s="5"/>
      <c r="H689" s="5"/>
      <c r="I689" s="5"/>
      <c r="J689" s="5"/>
      <c r="K689" s="5"/>
      <c r="L689" s="5"/>
      <c r="M689" s="5"/>
      <c r="N689" s="5"/>
      <c r="O689" s="5"/>
      <c r="P689" s="4"/>
      <c r="Q689" s="4"/>
      <c r="R689" s="4"/>
      <c r="S689" s="4"/>
      <c r="T689" s="4"/>
      <c r="U689" s="4"/>
      <c r="V689" s="4"/>
      <c r="W689" s="4"/>
      <c r="X689" s="4"/>
      <c r="Y689" s="4"/>
      <c r="Z689" s="4"/>
      <c r="AA689" s="4"/>
    </row>
    <row r="690" spans="1:27">
      <c r="A690" s="5"/>
      <c r="B690" s="5"/>
      <c r="C690" s="4"/>
      <c r="D690" s="5"/>
      <c r="E690" s="5"/>
      <c r="F690" s="5"/>
      <c r="G690" s="5"/>
      <c r="H690" s="5"/>
      <c r="I690" s="5"/>
      <c r="J690" s="5"/>
      <c r="K690" s="5"/>
      <c r="L690" s="5"/>
      <c r="M690" s="5"/>
      <c r="N690" s="5"/>
      <c r="O690" s="5"/>
      <c r="P690" s="4"/>
      <c r="Q690" s="4"/>
      <c r="R690" s="4"/>
      <c r="S690" s="4"/>
      <c r="T690" s="4"/>
      <c r="U690" s="4"/>
      <c r="V690" s="4"/>
      <c r="W690" s="4"/>
      <c r="X690" s="4"/>
      <c r="Y690" s="4"/>
      <c r="Z690" s="4"/>
      <c r="AA690" s="4"/>
    </row>
    <row r="691" spans="1:27">
      <c r="A691" s="5"/>
      <c r="B691" s="5"/>
      <c r="C691" s="4"/>
      <c r="D691" s="5"/>
      <c r="E691" s="5"/>
      <c r="F691" s="5"/>
      <c r="G691" s="5"/>
      <c r="H691" s="5"/>
      <c r="I691" s="5"/>
      <c r="J691" s="5"/>
      <c r="K691" s="5"/>
      <c r="L691" s="5"/>
      <c r="M691" s="5"/>
      <c r="N691" s="5"/>
      <c r="O691" s="5"/>
      <c r="P691" s="4"/>
      <c r="Q691" s="4"/>
      <c r="R691" s="4"/>
      <c r="S691" s="4"/>
      <c r="T691" s="4"/>
      <c r="U691" s="4"/>
      <c r="V691" s="4"/>
      <c r="W691" s="4"/>
      <c r="X691" s="4"/>
      <c r="Y691" s="4"/>
      <c r="Z691" s="4"/>
      <c r="AA691" s="4"/>
    </row>
    <row r="692" spans="1:27">
      <c r="A692" s="5"/>
      <c r="B692" s="5"/>
      <c r="C692" s="4"/>
      <c r="D692" s="5"/>
      <c r="E692" s="5"/>
      <c r="F692" s="5"/>
      <c r="G692" s="5"/>
      <c r="H692" s="5"/>
      <c r="I692" s="5"/>
      <c r="J692" s="5"/>
      <c r="K692" s="5"/>
      <c r="L692" s="5"/>
      <c r="M692" s="5"/>
      <c r="N692" s="5"/>
      <c r="O692" s="5"/>
      <c r="P692" s="4"/>
      <c r="Q692" s="4"/>
      <c r="R692" s="4"/>
      <c r="S692" s="4"/>
      <c r="T692" s="4"/>
      <c r="U692" s="4"/>
      <c r="V692" s="4"/>
      <c r="W692" s="4"/>
      <c r="X692" s="4"/>
      <c r="Y692" s="4"/>
      <c r="Z692" s="4"/>
      <c r="AA692" s="4"/>
    </row>
    <row r="693" spans="1:27">
      <c r="A693" s="5"/>
      <c r="B693" s="5"/>
      <c r="C693" s="4"/>
      <c r="D693" s="5"/>
      <c r="E693" s="5"/>
      <c r="F693" s="5"/>
      <c r="G693" s="5"/>
      <c r="H693" s="5"/>
      <c r="I693" s="5"/>
      <c r="J693" s="5"/>
      <c r="K693" s="5"/>
      <c r="L693" s="5"/>
      <c r="M693" s="5"/>
      <c r="N693" s="5"/>
      <c r="O693" s="5"/>
      <c r="P693" s="4"/>
      <c r="Q693" s="4"/>
      <c r="R693" s="4"/>
      <c r="S693" s="4"/>
      <c r="T693" s="4"/>
      <c r="U693" s="4"/>
      <c r="V693" s="4"/>
      <c r="W693" s="4"/>
      <c r="X693" s="4"/>
      <c r="Y693" s="4"/>
      <c r="Z693" s="4"/>
      <c r="AA693" s="4"/>
    </row>
    <row r="694" spans="1:27">
      <c r="A694" s="5"/>
      <c r="B694" s="5"/>
      <c r="C694" s="4"/>
      <c r="D694" s="5"/>
      <c r="E694" s="5"/>
      <c r="F694" s="5"/>
      <c r="G694" s="5"/>
      <c r="H694" s="5"/>
      <c r="I694" s="5"/>
      <c r="J694" s="5"/>
      <c r="K694" s="5"/>
      <c r="L694" s="5"/>
      <c r="M694" s="5"/>
      <c r="N694" s="5"/>
      <c r="O694" s="5"/>
      <c r="P694" s="4"/>
      <c r="Q694" s="4"/>
      <c r="R694" s="4"/>
      <c r="S694" s="4"/>
      <c r="T694" s="4"/>
      <c r="U694" s="4"/>
      <c r="V694" s="4"/>
      <c r="W694" s="4"/>
      <c r="X694" s="4"/>
      <c r="Y694" s="4"/>
      <c r="Z694" s="4"/>
      <c r="AA694" s="4"/>
    </row>
    <row r="695" spans="1:27">
      <c r="A695" s="5"/>
      <c r="B695" s="5"/>
      <c r="C695" s="4"/>
      <c r="D695" s="5"/>
      <c r="E695" s="5"/>
      <c r="F695" s="5"/>
      <c r="G695" s="5"/>
      <c r="H695" s="5"/>
      <c r="I695" s="5"/>
      <c r="J695" s="5"/>
      <c r="K695" s="5"/>
      <c r="L695" s="5"/>
      <c r="M695" s="5"/>
      <c r="N695" s="5"/>
      <c r="O695" s="5"/>
      <c r="P695" s="4"/>
      <c r="Q695" s="4"/>
      <c r="R695" s="4"/>
      <c r="S695" s="4"/>
      <c r="T695" s="4"/>
      <c r="U695" s="4"/>
      <c r="V695" s="4"/>
      <c r="W695" s="4"/>
      <c r="X695" s="4"/>
      <c r="Y695" s="4"/>
      <c r="Z695" s="4"/>
      <c r="AA695" s="4"/>
    </row>
    <row r="696" spans="1:27">
      <c r="A696" s="5"/>
      <c r="B696" s="5"/>
      <c r="C696" s="4"/>
      <c r="D696" s="5"/>
      <c r="E696" s="5"/>
      <c r="F696" s="5"/>
      <c r="G696" s="5"/>
      <c r="H696" s="5"/>
      <c r="I696" s="5"/>
      <c r="J696" s="5"/>
      <c r="K696" s="5"/>
      <c r="L696" s="5"/>
      <c r="M696" s="5"/>
      <c r="N696" s="5"/>
      <c r="O696" s="5"/>
      <c r="P696" s="4"/>
      <c r="Q696" s="4"/>
      <c r="R696" s="4"/>
      <c r="S696" s="4"/>
      <c r="T696" s="4"/>
      <c r="U696" s="4"/>
      <c r="V696" s="4"/>
      <c r="W696" s="4"/>
      <c r="X696" s="4"/>
      <c r="Y696" s="4"/>
      <c r="Z696" s="4"/>
      <c r="AA696" s="4"/>
    </row>
    <row r="697" spans="1:27">
      <c r="A697" s="5"/>
      <c r="B697" s="5"/>
      <c r="C697" s="4"/>
      <c r="D697" s="5"/>
      <c r="E697" s="5"/>
      <c r="F697" s="5"/>
      <c r="G697" s="5"/>
      <c r="H697" s="5"/>
      <c r="I697" s="5"/>
      <c r="J697" s="5"/>
      <c r="K697" s="5"/>
      <c r="L697" s="5"/>
      <c r="M697" s="5"/>
      <c r="N697" s="5"/>
      <c r="O697" s="5"/>
      <c r="P697" s="4"/>
      <c r="Q697" s="4"/>
      <c r="R697" s="4"/>
      <c r="S697" s="4"/>
      <c r="T697" s="4"/>
      <c r="U697" s="4"/>
      <c r="V697" s="4"/>
      <c r="W697" s="4"/>
      <c r="X697" s="4"/>
      <c r="Y697" s="4"/>
      <c r="Z697" s="4"/>
      <c r="AA697" s="4"/>
    </row>
    <row r="698" spans="1:27">
      <c r="A698" s="5"/>
      <c r="B698" s="5"/>
      <c r="C698" s="4"/>
      <c r="D698" s="5"/>
      <c r="E698" s="5"/>
      <c r="F698" s="5"/>
      <c r="G698" s="5"/>
      <c r="H698" s="5"/>
      <c r="I698" s="5"/>
      <c r="J698" s="5"/>
      <c r="K698" s="5"/>
      <c r="L698" s="5"/>
      <c r="M698" s="5"/>
      <c r="N698" s="5"/>
      <c r="O698" s="5"/>
      <c r="P698" s="4"/>
      <c r="Q698" s="4"/>
      <c r="R698" s="4"/>
      <c r="S698" s="4"/>
      <c r="T698" s="4"/>
      <c r="U698" s="4"/>
      <c r="V698" s="4"/>
      <c r="W698" s="4"/>
      <c r="X698" s="4"/>
      <c r="Y698" s="4"/>
      <c r="Z698" s="4"/>
      <c r="AA698" s="4"/>
    </row>
    <row r="699" spans="1:27">
      <c r="A699" s="5"/>
      <c r="B699" s="5"/>
      <c r="C699" s="4"/>
      <c r="D699" s="5"/>
      <c r="E699" s="5"/>
      <c r="F699" s="5"/>
      <c r="G699" s="5"/>
      <c r="H699" s="5"/>
      <c r="I699" s="5"/>
      <c r="J699" s="5"/>
      <c r="K699" s="5"/>
      <c r="L699" s="5"/>
      <c r="M699" s="5"/>
      <c r="N699" s="5"/>
      <c r="O699" s="5"/>
      <c r="P699" s="4"/>
      <c r="Q699" s="4"/>
      <c r="R699" s="4"/>
      <c r="S699" s="4"/>
      <c r="T699" s="4"/>
      <c r="U699" s="4"/>
      <c r="V699" s="4"/>
      <c r="W699" s="4"/>
      <c r="X699" s="4"/>
      <c r="Y699" s="4"/>
      <c r="Z699" s="4"/>
      <c r="AA699" s="4"/>
    </row>
    <row r="700" spans="1:27">
      <c r="A700" s="5"/>
      <c r="B700" s="5"/>
      <c r="C700" s="4"/>
      <c r="D700" s="5"/>
      <c r="E700" s="5"/>
      <c r="F700" s="5"/>
      <c r="G700" s="5"/>
      <c r="H700" s="5"/>
      <c r="I700" s="5"/>
      <c r="J700" s="5"/>
      <c r="K700" s="5"/>
      <c r="L700" s="5"/>
      <c r="M700" s="5"/>
      <c r="N700" s="5"/>
      <c r="O700" s="5"/>
      <c r="P700" s="4"/>
      <c r="Q700" s="4"/>
      <c r="R700" s="4"/>
      <c r="S700" s="4"/>
      <c r="T700" s="4"/>
      <c r="U700" s="4"/>
      <c r="V700" s="4"/>
      <c r="W700" s="4"/>
      <c r="X700" s="4"/>
      <c r="Y700" s="4"/>
      <c r="Z700" s="4"/>
      <c r="AA700" s="4"/>
    </row>
    <row r="701" spans="1:27">
      <c r="A701" s="5"/>
      <c r="B701" s="5"/>
      <c r="C701" s="4"/>
      <c r="D701" s="5"/>
      <c r="E701" s="5"/>
      <c r="F701" s="5"/>
      <c r="G701" s="5"/>
      <c r="H701" s="5"/>
      <c r="I701" s="5"/>
      <c r="J701" s="5"/>
      <c r="K701" s="5"/>
      <c r="L701" s="5"/>
      <c r="M701" s="5"/>
      <c r="N701" s="5"/>
      <c r="O701" s="5"/>
      <c r="P701" s="4"/>
      <c r="Q701" s="4"/>
      <c r="R701" s="4"/>
      <c r="S701" s="4"/>
      <c r="T701" s="4"/>
      <c r="U701" s="4"/>
      <c r="V701" s="4"/>
      <c r="W701" s="4"/>
      <c r="X701" s="4"/>
      <c r="Y701" s="4"/>
      <c r="Z701" s="4"/>
      <c r="AA701" s="4"/>
    </row>
    <row r="702" spans="1:27">
      <c r="A702" s="5"/>
      <c r="B702" s="5"/>
      <c r="C702" s="4"/>
      <c r="D702" s="5"/>
      <c r="E702" s="5"/>
      <c r="F702" s="5"/>
      <c r="G702" s="5"/>
      <c r="H702" s="5"/>
      <c r="I702" s="5"/>
      <c r="J702" s="5"/>
      <c r="K702" s="5"/>
      <c r="L702" s="5"/>
      <c r="M702" s="5"/>
      <c r="N702" s="5"/>
      <c r="O702" s="5"/>
      <c r="P702" s="4"/>
      <c r="Q702" s="4"/>
      <c r="R702" s="4"/>
      <c r="S702" s="4"/>
      <c r="T702" s="4"/>
      <c r="U702" s="4"/>
      <c r="V702" s="4"/>
      <c r="W702" s="4"/>
      <c r="X702" s="4"/>
      <c r="Y702" s="4"/>
      <c r="Z702" s="4"/>
      <c r="AA702" s="4"/>
    </row>
    <row r="703" spans="1:27">
      <c r="A703" s="5"/>
      <c r="B703" s="5"/>
      <c r="C703" s="4"/>
      <c r="D703" s="5"/>
      <c r="E703" s="5"/>
      <c r="F703" s="5"/>
      <c r="G703" s="5"/>
      <c r="H703" s="5"/>
      <c r="I703" s="5"/>
      <c r="J703" s="5"/>
      <c r="K703" s="5"/>
      <c r="L703" s="5"/>
      <c r="M703" s="5"/>
      <c r="N703" s="5"/>
      <c r="O703" s="5"/>
      <c r="P703" s="4"/>
      <c r="Q703" s="4"/>
      <c r="R703" s="4"/>
      <c r="S703" s="4"/>
      <c r="T703" s="4"/>
      <c r="U703" s="4"/>
      <c r="V703" s="4"/>
      <c r="W703" s="4"/>
      <c r="X703" s="4"/>
      <c r="Y703" s="4"/>
      <c r="Z703" s="4"/>
      <c r="AA703" s="4"/>
    </row>
    <row r="704" spans="1:27">
      <c r="A704" s="5"/>
      <c r="B704" s="5"/>
      <c r="C704" s="4"/>
      <c r="D704" s="5"/>
      <c r="E704" s="5"/>
      <c r="F704" s="5"/>
      <c r="G704" s="5"/>
      <c r="H704" s="5"/>
      <c r="I704" s="5"/>
      <c r="J704" s="5"/>
      <c r="K704" s="5"/>
      <c r="L704" s="5"/>
      <c r="M704" s="5"/>
      <c r="N704" s="5"/>
      <c r="O704" s="5"/>
      <c r="P704" s="4"/>
      <c r="Q704" s="4"/>
      <c r="R704" s="4"/>
      <c r="S704" s="4"/>
      <c r="T704" s="4"/>
      <c r="U704" s="4"/>
      <c r="V704" s="4"/>
      <c r="W704" s="4"/>
      <c r="X704" s="4"/>
      <c r="Y704" s="4"/>
      <c r="Z704" s="4"/>
      <c r="AA704" s="4"/>
    </row>
    <row r="705" spans="1:27">
      <c r="A705" s="5"/>
      <c r="B705" s="5"/>
      <c r="C705" s="4"/>
      <c r="D705" s="5"/>
      <c r="E705" s="5"/>
      <c r="F705" s="5"/>
      <c r="G705" s="5"/>
      <c r="H705" s="5"/>
      <c r="I705" s="5"/>
      <c r="J705" s="5"/>
      <c r="K705" s="5"/>
      <c r="L705" s="5"/>
      <c r="M705" s="5"/>
      <c r="N705" s="5"/>
      <c r="O705" s="5"/>
      <c r="P705" s="4"/>
      <c r="Q705" s="4"/>
      <c r="R705" s="4"/>
      <c r="S705" s="4"/>
      <c r="T705" s="4"/>
      <c r="U705" s="4"/>
      <c r="V705" s="4"/>
      <c r="W705" s="4"/>
      <c r="X705" s="4"/>
      <c r="Y705" s="4"/>
      <c r="Z705" s="4"/>
      <c r="AA705" s="4"/>
    </row>
    <row r="706" spans="1:27">
      <c r="A706" s="5"/>
      <c r="B706" s="5"/>
      <c r="C706" s="4"/>
      <c r="D706" s="5"/>
      <c r="E706" s="5"/>
      <c r="F706" s="5"/>
      <c r="G706" s="5"/>
      <c r="H706" s="5"/>
      <c r="I706" s="5"/>
      <c r="J706" s="5"/>
      <c r="K706" s="5"/>
      <c r="L706" s="5"/>
      <c r="M706" s="5"/>
      <c r="N706" s="5"/>
      <c r="O706" s="5"/>
      <c r="P706" s="4"/>
      <c r="Q706" s="4"/>
      <c r="R706" s="4"/>
      <c r="S706" s="4"/>
      <c r="T706" s="4"/>
      <c r="U706" s="4"/>
      <c r="V706" s="4"/>
      <c r="W706" s="4"/>
      <c r="X706" s="4"/>
      <c r="Y706" s="4"/>
      <c r="Z706" s="4"/>
      <c r="AA706" s="4"/>
    </row>
    <row r="707" spans="1:27">
      <c r="A707" s="5"/>
      <c r="B707" s="5"/>
      <c r="C707" s="4"/>
      <c r="D707" s="5"/>
      <c r="E707" s="5"/>
      <c r="F707" s="5"/>
      <c r="G707" s="5"/>
      <c r="H707" s="5"/>
      <c r="I707" s="5"/>
      <c r="J707" s="5"/>
      <c r="K707" s="5"/>
      <c r="L707" s="5"/>
      <c r="M707" s="5"/>
      <c r="N707" s="5"/>
      <c r="O707" s="5"/>
      <c r="P707" s="4"/>
      <c r="Q707" s="4"/>
      <c r="R707" s="4"/>
      <c r="S707" s="4"/>
      <c r="T707" s="4"/>
      <c r="U707" s="4"/>
      <c r="V707" s="4"/>
      <c r="W707" s="4"/>
      <c r="X707" s="4"/>
      <c r="Y707" s="4"/>
      <c r="Z707" s="4"/>
      <c r="AA707" s="4"/>
    </row>
    <row r="708" spans="1:27">
      <c r="A708" s="5"/>
      <c r="B708" s="5"/>
      <c r="C708" s="4"/>
      <c r="D708" s="5"/>
      <c r="E708" s="5"/>
      <c r="F708" s="5"/>
      <c r="G708" s="5"/>
      <c r="H708" s="5"/>
      <c r="I708" s="5"/>
      <c r="J708" s="5"/>
      <c r="K708" s="5"/>
      <c r="L708" s="5"/>
      <c r="M708" s="5"/>
      <c r="N708" s="5"/>
      <c r="O708" s="5"/>
      <c r="P708" s="4"/>
      <c r="Q708" s="4"/>
      <c r="R708" s="4"/>
      <c r="S708" s="4"/>
      <c r="T708" s="4"/>
      <c r="U708" s="4"/>
      <c r="V708" s="4"/>
      <c r="W708" s="4"/>
      <c r="X708" s="4"/>
      <c r="Y708" s="4"/>
      <c r="Z708" s="4"/>
      <c r="AA708" s="4"/>
    </row>
    <row r="709" spans="1:27">
      <c r="A709" s="5"/>
      <c r="B709" s="5"/>
      <c r="C709" s="4"/>
      <c r="D709" s="5"/>
      <c r="E709" s="5"/>
      <c r="F709" s="5"/>
      <c r="G709" s="5"/>
      <c r="H709" s="5"/>
      <c r="I709" s="5"/>
      <c r="J709" s="5"/>
      <c r="K709" s="5"/>
      <c r="L709" s="5"/>
      <c r="M709" s="5"/>
      <c r="N709" s="5"/>
      <c r="O709" s="5"/>
      <c r="P709" s="4"/>
      <c r="Q709" s="4"/>
      <c r="R709" s="4"/>
      <c r="S709" s="4"/>
      <c r="T709" s="4"/>
      <c r="U709" s="4"/>
      <c r="V709" s="4"/>
      <c r="W709" s="4"/>
      <c r="X709" s="4"/>
      <c r="Y709" s="4"/>
      <c r="Z709" s="4"/>
      <c r="AA709" s="4"/>
    </row>
    <row r="710" spans="1:27">
      <c r="A710" s="5"/>
      <c r="B710" s="5"/>
      <c r="C710" s="4"/>
      <c r="D710" s="5"/>
      <c r="E710" s="5"/>
      <c r="F710" s="5"/>
      <c r="G710" s="5"/>
      <c r="H710" s="5"/>
      <c r="I710" s="5"/>
      <c r="J710" s="5"/>
      <c r="K710" s="5"/>
      <c r="L710" s="5"/>
      <c r="M710" s="5"/>
      <c r="N710" s="5"/>
      <c r="O710" s="5"/>
      <c r="P710" s="4"/>
      <c r="Q710" s="4"/>
      <c r="R710" s="4"/>
      <c r="S710" s="4"/>
      <c r="T710" s="4"/>
      <c r="U710" s="4"/>
      <c r="V710" s="4"/>
      <c r="W710" s="4"/>
      <c r="X710" s="4"/>
      <c r="Y710" s="4"/>
      <c r="Z710" s="4"/>
      <c r="AA710" s="4"/>
    </row>
    <row r="711" spans="1:27">
      <c r="A711" s="5"/>
      <c r="B711" s="5"/>
      <c r="C711" s="4"/>
      <c r="D711" s="5"/>
      <c r="E711" s="5"/>
      <c r="F711" s="5"/>
      <c r="G711" s="5"/>
      <c r="H711" s="5"/>
      <c r="I711" s="5"/>
      <c r="J711" s="5"/>
      <c r="K711" s="5"/>
      <c r="L711" s="5"/>
      <c r="M711" s="5"/>
      <c r="N711" s="5"/>
      <c r="O711" s="5"/>
      <c r="P711" s="4"/>
      <c r="Q711" s="4"/>
      <c r="R711" s="4"/>
      <c r="S711" s="4"/>
      <c r="T711" s="4"/>
      <c r="U711" s="4"/>
      <c r="V711" s="4"/>
      <c r="W711" s="4"/>
      <c r="X711" s="4"/>
      <c r="Y711" s="4"/>
      <c r="Z711" s="4"/>
      <c r="AA711" s="4"/>
    </row>
    <row r="712" spans="1:27">
      <c r="A712" s="5"/>
      <c r="B712" s="5"/>
      <c r="C712" s="4"/>
      <c r="D712" s="5"/>
      <c r="E712" s="5"/>
      <c r="F712" s="5"/>
      <c r="G712" s="5"/>
      <c r="H712" s="5"/>
      <c r="I712" s="5"/>
      <c r="J712" s="5"/>
      <c r="K712" s="5"/>
      <c r="L712" s="5"/>
      <c r="M712" s="5"/>
      <c r="N712" s="5"/>
      <c r="O712" s="5"/>
      <c r="P712" s="4"/>
      <c r="Q712" s="4"/>
      <c r="R712" s="4"/>
      <c r="S712" s="4"/>
      <c r="T712" s="4"/>
      <c r="U712" s="4"/>
      <c r="V712" s="4"/>
      <c r="W712" s="4"/>
      <c r="X712" s="4"/>
      <c r="Y712" s="4"/>
      <c r="Z712" s="4"/>
      <c r="AA712" s="4"/>
    </row>
    <row r="713" spans="1:27">
      <c r="A713" s="5"/>
      <c r="B713" s="5"/>
      <c r="C713" s="4"/>
      <c r="D713" s="5"/>
      <c r="E713" s="5"/>
      <c r="F713" s="5"/>
      <c r="G713" s="5"/>
      <c r="H713" s="5"/>
      <c r="I713" s="5"/>
      <c r="J713" s="5"/>
      <c r="K713" s="5"/>
      <c r="L713" s="5"/>
      <c r="M713" s="5"/>
      <c r="N713" s="5"/>
      <c r="O713" s="5"/>
      <c r="P713" s="4"/>
      <c r="Q713" s="4"/>
      <c r="R713" s="4"/>
      <c r="S713" s="4"/>
      <c r="T713" s="4"/>
      <c r="U713" s="4"/>
      <c r="V713" s="4"/>
      <c r="W713" s="4"/>
      <c r="X713" s="4"/>
      <c r="Y713" s="4"/>
      <c r="Z713" s="4"/>
      <c r="AA713" s="4"/>
    </row>
    <row r="714" spans="1:27">
      <c r="A714" s="5"/>
      <c r="B714" s="5"/>
      <c r="C714" s="4"/>
      <c r="D714" s="5"/>
      <c r="E714" s="5"/>
      <c r="F714" s="5"/>
      <c r="G714" s="5"/>
      <c r="H714" s="5"/>
      <c r="I714" s="5"/>
      <c r="J714" s="5"/>
      <c r="K714" s="5"/>
      <c r="L714" s="5"/>
      <c r="M714" s="5"/>
      <c r="N714" s="5"/>
      <c r="O714" s="5"/>
      <c r="P714" s="4"/>
      <c r="Q714" s="4"/>
      <c r="R714" s="4"/>
      <c r="S714" s="4"/>
      <c r="T714" s="4"/>
      <c r="U714" s="4"/>
      <c r="V714" s="4"/>
      <c r="W714" s="4"/>
      <c r="X714" s="4"/>
      <c r="Y714" s="4"/>
      <c r="Z714" s="4"/>
      <c r="AA714" s="4"/>
    </row>
    <row r="715" spans="1:27">
      <c r="A715" s="5"/>
      <c r="B715" s="5"/>
      <c r="C715" s="4"/>
      <c r="D715" s="5"/>
      <c r="E715" s="5"/>
      <c r="F715" s="5"/>
      <c r="G715" s="5"/>
      <c r="H715" s="5"/>
      <c r="I715" s="5"/>
      <c r="J715" s="5"/>
      <c r="K715" s="5"/>
      <c r="L715" s="5"/>
      <c r="M715" s="5"/>
      <c r="N715" s="5"/>
      <c r="O715" s="5"/>
      <c r="P715" s="4"/>
      <c r="Q715" s="4"/>
      <c r="R715" s="4"/>
      <c r="S715" s="4"/>
      <c r="T715" s="4"/>
      <c r="U715" s="4"/>
      <c r="V715" s="4"/>
      <c r="W715" s="4"/>
      <c r="X715" s="4"/>
      <c r="Y715" s="4"/>
      <c r="Z715" s="4"/>
      <c r="AA715" s="4"/>
    </row>
    <row r="716" spans="1:27">
      <c r="A716" s="5"/>
      <c r="B716" s="5"/>
      <c r="C716" s="4"/>
      <c r="D716" s="5"/>
      <c r="E716" s="5"/>
      <c r="F716" s="5"/>
      <c r="G716" s="5"/>
      <c r="H716" s="5"/>
      <c r="I716" s="5"/>
      <c r="J716" s="5"/>
      <c r="K716" s="5"/>
      <c r="L716" s="5"/>
      <c r="M716" s="5"/>
      <c r="N716" s="5"/>
      <c r="O716" s="5"/>
      <c r="P716" s="4"/>
      <c r="Q716" s="4"/>
      <c r="R716" s="4"/>
      <c r="S716" s="4"/>
      <c r="T716" s="4"/>
      <c r="U716" s="4"/>
      <c r="V716" s="4"/>
      <c r="W716" s="4"/>
      <c r="X716" s="4"/>
      <c r="Y716" s="4"/>
      <c r="Z716" s="4"/>
      <c r="AA716" s="4"/>
    </row>
    <row r="717" spans="1:27">
      <c r="A717" s="5"/>
      <c r="B717" s="5"/>
      <c r="C717" s="4"/>
      <c r="D717" s="5"/>
      <c r="E717" s="5"/>
      <c r="F717" s="5"/>
      <c r="G717" s="5"/>
      <c r="H717" s="5"/>
      <c r="I717" s="5"/>
      <c r="J717" s="5"/>
      <c r="K717" s="5"/>
      <c r="L717" s="5"/>
      <c r="M717" s="5"/>
      <c r="N717" s="5"/>
      <c r="O717" s="5"/>
      <c r="P717" s="4"/>
      <c r="Q717" s="4"/>
      <c r="R717" s="4"/>
      <c r="S717" s="4"/>
      <c r="T717" s="4"/>
      <c r="U717" s="4"/>
      <c r="V717" s="4"/>
      <c r="W717" s="4"/>
      <c r="X717" s="4"/>
      <c r="Y717" s="4"/>
      <c r="Z717" s="4"/>
      <c r="AA717" s="4"/>
    </row>
    <row r="718" spans="1:27">
      <c r="A718" s="5"/>
      <c r="B718" s="5"/>
      <c r="C718" s="4"/>
      <c r="D718" s="5"/>
      <c r="E718" s="5"/>
      <c r="F718" s="5"/>
      <c r="G718" s="5"/>
      <c r="H718" s="5"/>
      <c r="I718" s="5"/>
      <c r="J718" s="5"/>
      <c r="K718" s="5"/>
      <c r="L718" s="5"/>
      <c r="M718" s="5"/>
      <c r="N718" s="5"/>
      <c r="O718" s="5"/>
      <c r="P718" s="4"/>
      <c r="Q718" s="4"/>
      <c r="R718" s="4"/>
      <c r="S718" s="4"/>
      <c r="T718" s="4"/>
      <c r="U718" s="4"/>
      <c r="V718" s="4"/>
      <c r="W718" s="4"/>
      <c r="X718" s="4"/>
      <c r="Y718" s="4"/>
      <c r="Z718" s="4"/>
      <c r="AA718" s="4"/>
    </row>
    <row r="719" spans="1:27">
      <c r="A719" s="5"/>
      <c r="B719" s="5"/>
      <c r="C719" s="4"/>
      <c r="D719" s="5"/>
      <c r="E719" s="5"/>
      <c r="F719" s="5"/>
      <c r="G719" s="5"/>
      <c r="H719" s="5"/>
      <c r="I719" s="5"/>
      <c r="J719" s="5"/>
      <c r="K719" s="5"/>
      <c r="L719" s="5"/>
      <c r="M719" s="5"/>
      <c r="N719" s="5"/>
      <c r="O719" s="5"/>
      <c r="P719" s="4"/>
      <c r="Q719" s="4"/>
      <c r="R719" s="4"/>
      <c r="S719" s="4"/>
      <c r="T719" s="4"/>
      <c r="U719" s="4"/>
      <c r="V719" s="4"/>
      <c r="W719" s="4"/>
      <c r="X719" s="4"/>
      <c r="Y719" s="4"/>
      <c r="Z719" s="4"/>
      <c r="AA719" s="4"/>
    </row>
    <row r="720" spans="1:27">
      <c r="A720" s="5"/>
      <c r="B720" s="5"/>
      <c r="C720" s="4"/>
      <c r="D720" s="5"/>
      <c r="E720" s="5"/>
      <c r="F720" s="5"/>
      <c r="G720" s="5"/>
      <c r="H720" s="5"/>
      <c r="I720" s="5"/>
      <c r="J720" s="5"/>
      <c r="K720" s="5"/>
      <c r="L720" s="5"/>
      <c r="M720" s="5"/>
      <c r="N720" s="5"/>
      <c r="O720" s="5"/>
      <c r="P720" s="4"/>
      <c r="Q720" s="4"/>
      <c r="R720" s="4"/>
      <c r="S720" s="4"/>
      <c r="T720" s="4"/>
      <c r="U720" s="4"/>
      <c r="V720" s="4"/>
      <c r="W720" s="4"/>
      <c r="X720" s="4"/>
      <c r="Y720" s="4"/>
      <c r="Z720" s="4"/>
      <c r="AA720" s="4"/>
    </row>
    <row r="721" spans="1:27">
      <c r="A721" s="5"/>
      <c r="B721" s="5"/>
      <c r="C721" s="4"/>
      <c r="D721" s="5"/>
      <c r="E721" s="5"/>
      <c r="F721" s="5"/>
      <c r="G721" s="5"/>
      <c r="H721" s="5"/>
      <c r="I721" s="5"/>
      <c r="J721" s="5"/>
      <c r="K721" s="5"/>
      <c r="L721" s="5"/>
      <c r="M721" s="5"/>
      <c r="N721" s="5"/>
      <c r="O721" s="5"/>
      <c r="P721" s="4"/>
      <c r="Q721" s="4"/>
      <c r="R721" s="4"/>
      <c r="S721" s="4"/>
      <c r="T721" s="4"/>
      <c r="U721" s="4"/>
      <c r="V721" s="4"/>
      <c r="W721" s="4"/>
      <c r="X721" s="4"/>
      <c r="Y721" s="4"/>
      <c r="Z721" s="4"/>
      <c r="AA721" s="4"/>
    </row>
    <row r="722" spans="1:27">
      <c r="A722" s="5"/>
      <c r="B722" s="5"/>
      <c r="C722" s="4"/>
      <c r="D722" s="5"/>
      <c r="E722" s="5"/>
      <c r="F722" s="5"/>
      <c r="G722" s="5"/>
      <c r="H722" s="5"/>
      <c r="I722" s="5"/>
      <c r="J722" s="5"/>
      <c r="K722" s="5"/>
      <c r="L722" s="5"/>
      <c r="M722" s="5"/>
      <c r="N722" s="5"/>
      <c r="O722" s="5"/>
      <c r="P722" s="4"/>
      <c r="Q722" s="4"/>
      <c r="R722" s="4"/>
      <c r="S722" s="4"/>
      <c r="T722" s="4"/>
      <c r="U722" s="4"/>
      <c r="V722" s="4"/>
      <c r="W722" s="4"/>
      <c r="X722" s="4"/>
      <c r="Y722" s="4"/>
      <c r="Z722" s="4"/>
      <c r="AA722" s="4"/>
    </row>
    <row r="723" spans="1:27">
      <c r="A723" s="5"/>
      <c r="B723" s="5"/>
      <c r="C723" s="4"/>
      <c r="D723" s="5"/>
      <c r="E723" s="5"/>
      <c r="F723" s="5"/>
      <c r="G723" s="5"/>
      <c r="H723" s="5"/>
      <c r="I723" s="5"/>
      <c r="J723" s="5"/>
      <c r="K723" s="5"/>
      <c r="L723" s="5"/>
      <c r="M723" s="5"/>
      <c r="N723" s="5"/>
      <c r="O723" s="5"/>
      <c r="P723" s="4"/>
      <c r="Q723" s="4"/>
      <c r="R723" s="4"/>
      <c r="S723" s="4"/>
      <c r="T723" s="4"/>
      <c r="U723" s="4"/>
      <c r="V723" s="4"/>
      <c r="W723" s="4"/>
      <c r="X723" s="4"/>
      <c r="Y723" s="4"/>
      <c r="Z723" s="4"/>
      <c r="AA723" s="4"/>
    </row>
    <row r="724" spans="1:27">
      <c r="A724" s="5"/>
      <c r="B724" s="5"/>
      <c r="C724" s="4"/>
      <c r="D724" s="5"/>
      <c r="E724" s="5"/>
      <c r="F724" s="5"/>
      <c r="G724" s="5"/>
      <c r="H724" s="5"/>
      <c r="I724" s="5"/>
      <c r="J724" s="5"/>
      <c r="K724" s="5"/>
      <c r="L724" s="5"/>
      <c r="M724" s="5"/>
      <c r="N724" s="5"/>
      <c r="O724" s="5"/>
      <c r="P724" s="4"/>
      <c r="Q724" s="4"/>
      <c r="R724" s="4"/>
      <c r="S724" s="4"/>
      <c r="T724" s="4"/>
      <c r="U724" s="4"/>
      <c r="V724" s="4"/>
      <c r="W724" s="4"/>
      <c r="X724" s="4"/>
      <c r="Y724" s="4"/>
      <c r="Z724" s="4"/>
      <c r="AA724" s="4"/>
    </row>
    <row r="725" spans="1:27">
      <c r="A725" s="5"/>
      <c r="B725" s="5"/>
      <c r="C725" s="4"/>
      <c r="D725" s="5"/>
      <c r="E725" s="5"/>
      <c r="F725" s="5"/>
      <c r="G725" s="5"/>
      <c r="H725" s="5"/>
      <c r="I725" s="5"/>
      <c r="J725" s="5"/>
      <c r="K725" s="5"/>
      <c r="L725" s="5"/>
      <c r="M725" s="5"/>
      <c r="N725" s="5"/>
      <c r="O725" s="5"/>
      <c r="P725" s="4"/>
      <c r="Q725" s="4"/>
      <c r="R725" s="4"/>
      <c r="S725" s="4"/>
      <c r="T725" s="4"/>
      <c r="U725" s="4"/>
      <c r="V725" s="4"/>
      <c r="W725" s="4"/>
      <c r="X725" s="4"/>
      <c r="Y725" s="4"/>
      <c r="Z725" s="4"/>
      <c r="AA725" s="4"/>
    </row>
    <row r="726" spans="1:27">
      <c r="A726" s="5"/>
      <c r="B726" s="5"/>
      <c r="C726" s="4"/>
      <c r="D726" s="5"/>
      <c r="E726" s="5"/>
      <c r="F726" s="5"/>
      <c r="G726" s="5"/>
      <c r="H726" s="5"/>
      <c r="I726" s="5"/>
      <c r="J726" s="5"/>
      <c r="K726" s="5"/>
      <c r="L726" s="5"/>
      <c r="M726" s="5"/>
      <c r="N726" s="5"/>
      <c r="O726" s="5"/>
      <c r="P726" s="4"/>
      <c r="Q726" s="4"/>
      <c r="R726" s="4"/>
      <c r="S726" s="4"/>
      <c r="T726" s="4"/>
      <c r="U726" s="4"/>
      <c r="V726" s="4"/>
      <c r="W726" s="4"/>
      <c r="X726" s="4"/>
      <c r="Y726" s="4"/>
      <c r="Z726" s="4"/>
      <c r="AA726" s="4"/>
    </row>
    <row r="727" spans="1:27">
      <c r="A727" s="5"/>
      <c r="B727" s="5"/>
      <c r="C727" s="4"/>
      <c r="D727" s="5"/>
      <c r="E727" s="5"/>
      <c r="F727" s="5"/>
      <c r="G727" s="5"/>
      <c r="H727" s="5"/>
      <c r="I727" s="5"/>
      <c r="J727" s="5"/>
      <c r="K727" s="5"/>
      <c r="L727" s="5"/>
      <c r="M727" s="5"/>
      <c r="N727" s="5"/>
      <c r="O727" s="5"/>
      <c r="P727" s="4"/>
      <c r="Q727" s="4"/>
      <c r="R727" s="4"/>
      <c r="S727" s="4"/>
      <c r="T727" s="4"/>
      <c r="U727" s="4"/>
      <c r="V727" s="4"/>
      <c r="W727" s="4"/>
      <c r="X727" s="4"/>
      <c r="Y727" s="4"/>
      <c r="Z727" s="4"/>
      <c r="AA727" s="4"/>
    </row>
    <row r="728" spans="1:27">
      <c r="A728" s="5"/>
      <c r="B728" s="5"/>
      <c r="C728" s="4"/>
      <c r="D728" s="5"/>
      <c r="E728" s="5"/>
      <c r="F728" s="5"/>
      <c r="G728" s="5"/>
      <c r="H728" s="5"/>
      <c r="I728" s="5"/>
      <c r="J728" s="5"/>
      <c r="K728" s="5"/>
      <c r="L728" s="5"/>
      <c r="M728" s="5"/>
      <c r="N728" s="5"/>
      <c r="O728" s="5"/>
      <c r="P728" s="4"/>
      <c r="Q728" s="4"/>
      <c r="R728" s="4"/>
      <c r="S728" s="4"/>
      <c r="T728" s="4"/>
      <c r="U728" s="4"/>
      <c r="V728" s="4"/>
      <c r="W728" s="4"/>
      <c r="X728" s="4"/>
      <c r="Y728" s="4"/>
      <c r="Z728" s="4"/>
      <c r="AA728" s="4"/>
    </row>
    <row r="729" spans="1:27">
      <c r="A729" s="5"/>
      <c r="B729" s="5"/>
      <c r="C729" s="4"/>
      <c r="D729" s="5"/>
      <c r="E729" s="5"/>
      <c r="F729" s="5"/>
      <c r="G729" s="5"/>
      <c r="H729" s="5"/>
      <c r="I729" s="5"/>
      <c r="J729" s="5"/>
      <c r="K729" s="5"/>
      <c r="L729" s="5"/>
      <c r="M729" s="5"/>
      <c r="N729" s="5"/>
      <c r="O729" s="5"/>
      <c r="P729" s="4"/>
      <c r="Q729" s="4"/>
      <c r="R729" s="4"/>
      <c r="S729" s="4"/>
      <c r="T729" s="4"/>
      <c r="U729" s="4"/>
      <c r="V729" s="4"/>
      <c r="W729" s="4"/>
      <c r="X729" s="4"/>
      <c r="Y729" s="4"/>
      <c r="Z729" s="4"/>
      <c r="AA729" s="4"/>
    </row>
    <row r="730" spans="1:27">
      <c r="A730" s="5"/>
      <c r="B730" s="5"/>
      <c r="C730" s="4"/>
      <c r="D730" s="5"/>
      <c r="E730" s="5"/>
      <c r="F730" s="5"/>
      <c r="G730" s="5"/>
      <c r="H730" s="5"/>
      <c r="I730" s="5"/>
      <c r="J730" s="5"/>
      <c r="K730" s="5"/>
      <c r="L730" s="5"/>
      <c r="M730" s="5"/>
      <c r="N730" s="5"/>
      <c r="O730" s="5"/>
      <c r="P730" s="4"/>
      <c r="Q730" s="4"/>
      <c r="R730" s="4"/>
      <c r="S730" s="4"/>
      <c r="T730" s="4"/>
      <c r="U730" s="4"/>
      <c r="V730" s="4"/>
      <c r="W730" s="4"/>
      <c r="X730" s="4"/>
      <c r="Y730" s="4"/>
      <c r="Z730" s="4"/>
      <c r="AA730" s="4"/>
    </row>
    <row r="731" spans="1:27">
      <c r="A731" s="5"/>
      <c r="B731" s="5"/>
      <c r="C731" s="4"/>
      <c r="D731" s="5"/>
      <c r="E731" s="5"/>
      <c r="F731" s="5"/>
      <c r="G731" s="5"/>
      <c r="H731" s="5"/>
      <c r="I731" s="5"/>
      <c r="J731" s="5"/>
      <c r="K731" s="5"/>
      <c r="L731" s="5"/>
      <c r="M731" s="5"/>
      <c r="N731" s="5"/>
      <c r="O731" s="5"/>
      <c r="P731" s="4"/>
      <c r="Q731" s="4"/>
      <c r="R731" s="4"/>
      <c r="S731" s="4"/>
      <c r="T731" s="4"/>
      <c r="U731" s="4"/>
      <c r="V731" s="4"/>
      <c r="W731" s="4"/>
      <c r="X731" s="4"/>
      <c r="Y731" s="4"/>
      <c r="Z731" s="4"/>
      <c r="AA731" s="4"/>
    </row>
    <row r="732" spans="1:27">
      <c r="A732" s="5"/>
      <c r="B732" s="5"/>
      <c r="C732" s="4"/>
      <c r="D732" s="5"/>
      <c r="E732" s="5"/>
      <c r="F732" s="5"/>
      <c r="G732" s="5"/>
      <c r="H732" s="5"/>
      <c r="I732" s="5"/>
      <c r="J732" s="5"/>
      <c r="K732" s="5"/>
      <c r="L732" s="5"/>
      <c r="M732" s="5"/>
      <c r="N732" s="5"/>
      <c r="O732" s="5"/>
      <c r="P732" s="4"/>
      <c r="Q732" s="4"/>
      <c r="R732" s="4"/>
      <c r="S732" s="4"/>
      <c r="T732" s="4"/>
      <c r="U732" s="4"/>
      <c r="V732" s="4"/>
      <c r="W732" s="4"/>
      <c r="X732" s="4"/>
      <c r="Y732" s="4"/>
      <c r="Z732" s="4"/>
      <c r="AA732" s="4"/>
    </row>
    <row r="733" spans="1:27">
      <c r="A733" s="5"/>
      <c r="B733" s="5"/>
      <c r="C733" s="4"/>
      <c r="D733" s="5"/>
      <c r="E733" s="5"/>
      <c r="F733" s="5"/>
      <c r="G733" s="5"/>
      <c r="H733" s="5"/>
      <c r="I733" s="5"/>
      <c r="J733" s="5"/>
      <c r="K733" s="5"/>
      <c r="L733" s="5"/>
      <c r="M733" s="5"/>
      <c r="N733" s="5"/>
      <c r="O733" s="5"/>
      <c r="P733" s="4"/>
      <c r="Q733" s="4"/>
      <c r="R733" s="4"/>
      <c r="S733" s="4"/>
      <c r="T733" s="4"/>
      <c r="U733" s="4"/>
      <c r="V733" s="4"/>
      <c r="W733" s="4"/>
      <c r="X733" s="4"/>
      <c r="Y733" s="4"/>
      <c r="Z733" s="4"/>
      <c r="AA733" s="4"/>
    </row>
    <row r="734" spans="1:27">
      <c r="A734" s="5"/>
      <c r="B734" s="5"/>
      <c r="C734" s="4"/>
      <c r="D734" s="5"/>
      <c r="E734" s="5"/>
      <c r="F734" s="5"/>
      <c r="G734" s="5"/>
      <c r="H734" s="5"/>
      <c r="I734" s="5"/>
      <c r="J734" s="5"/>
      <c r="K734" s="5"/>
      <c r="L734" s="5"/>
      <c r="M734" s="5"/>
      <c r="N734" s="5"/>
      <c r="O734" s="5"/>
      <c r="P734" s="4"/>
      <c r="Q734" s="4"/>
      <c r="R734" s="4"/>
      <c r="S734" s="4"/>
      <c r="T734" s="4"/>
      <c r="U734" s="4"/>
      <c r="V734" s="4"/>
      <c r="W734" s="4"/>
      <c r="X734" s="4"/>
      <c r="Y734" s="4"/>
      <c r="Z734" s="4"/>
      <c r="AA734" s="4"/>
    </row>
    <row r="735" spans="1:27">
      <c r="A735" s="5"/>
      <c r="B735" s="5"/>
      <c r="C735" s="4"/>
      <c r="D735" s="5"/>
      <c r="E735" s="5"/>
      <c r="F735" s="5"/>
      <c r="G735" s="5"/>
      <c r="H735" s="5"/>
      <c r="I735" s="5"/>
      <c r="J735" s="5"/>
      <c r="K735" s="5"/>
      <c r="L735" s="5"/>
      <c r="M735" s="5"/>
      <c r="N735" s="5"/>
      <c r="O735" s="5"/>
      <c r="P735" s="4"/>
      <c r="Q735" s="4"/>
      <c r="R735" s="4"/>
      <c r="S735" s="4"/>
      <c r="T735" s="4"/>
      <c r="U735" s="4"/>
      <c r="V735" s="4"/>
      <c r="W735" s="4"/>
      <c r="X735" s="4"/>
      <c r="Y735" s="4"/>
      <c r="Z735" s="4"/>
      <c r="AA735" s="4"/>
    </row>
    <row r="736" spans="1:27">
      <c r="A736" s="5"/>
      <c r="B736" s="5"/>
      <c r="C736" s="4"/>
      <c r="D736" s="5"/>
      <c r="E736" s="5"/>
      <c r="F736" s="5"/>
      <c r="G736" s="5"/>
      <c r="H736" s="5"/>
      <c r="I736" s="5"/>
      <c r="J736" s="5"/>
      <c r="K736" s="5"/>
      <c r="L736" s="5"/>
      <c r="M736" s="5"/>
      <c r="N736" s="5"/>
      <c r="O736" s="5"/>
      <c r="P736" s="4"/>
      <c r="Q736" s="4"/>
      <c r="R736" s="4"/>
      <c r="S736" s="4"/>
      <c r="T736" s="4"/>
      <c r="U736" s="4"/>
      <c r="V736" s="4"/>
      <c r="W736" s="4"/>
      <c r="X736" s="4"/>
      <c r="Y736" s="4"/>
      <c r="Z736" s="4"/>
      <c r="AA736" s="4"/>
    </row>
    <row r="737" spans="1:27">
      <c r="A737" s="5"/>
      <c r="B737" s="5"/>
      <c r="C737" s="4"/>
      <c r="D737" s="5"/>
      <c r="E737" s="5"/>
      <c r="F737" s="5"/>
      <c r="G737" s="5"/>
      <c r="H737" s="5"/>
      <c r="I737" s="5"/>
      <c r="J737" s="5"/>
      <c r="K737" s="5"/>
      <c r="L737" s="5"/>
      <c r="M737" s="5"/>
      <c r="N737" s="5"/>
      <c r="O737" s="5"/>
      <c r="P737" s="4"/>
      <c r="Q737" s="4"/>
      <c r="R737" s="4"/>
      <c r="S737" s="4"/>
      <c r="T737" s="4"/>
      <c r="U737" s="4"/>
      <c r="V737" s="4"/>
      <c r="W737" s="4"/>
      <c r="X737" s="4"/>
      <c r="Y737" s="4"/>
      <c r="Z737" s="4"/>
      <c r="AA737" s="4"/>
    </row>
    <row r="738" spans="1:27">
      <c r="A738" s="5"/>
      <c r="B738" s="5"/>
      <c r="C738" s="4"/>
      <c r="D738" s="5"/>
      <c r="E738" s="5"/>
      <c r="F738" s="5"/>
      <c r="G738" s="5"/>
      <c r="H738" s="5"/>
      <c r="I738" s="5"/>
      <c r="J738" s="5"/>
      <c r="K738" s="5"/>
      <c r="L738" s="5"/>
      <c r="M738" s="5"/>
      <c r="N738" s="5"/>
      <c r="O738" s="5"/>
      <c r="P738" s="4"/>
      <c r="Q738" s="4"/>
      <c r="R738" s="4"/>
      <c r="S738" s="4"/>
      <c r="T738" s="4"/>
      <c r="U738" s="4"/>
      <c r="V738" s="4"/>
      <c r="W738" s="4"/>
      <c r="X738" s="4"/>
      <c r="Y738" s="4"/>
      <c r="Z738" s="4"/>
      <c r="AA738" s="4"/>
    </row>
    <row r="739" spans="1:27">
      <c r="A739" s="5"/>
      <c r="B739" s="5"/>
      <c r="C739" s="4"/>
      <c r="D739" s="5"/>
      <c r="E739" s="5"/>
      <c r="F739" s="5"/>
      <c r="G739" s="5"/>
      <c r="H739" s="5"/>
      <c r="I739" s="5"/>
      <c r="J739" s="5"/>
      <c r="K739" s="5"/>
      <c r="L739" s="5"/>
      <c r="M739" s="5"/>
      <c r="N739" s="5"/>
      <c r="O739" s="5"/>
      <c r="P739" s="4"/>
      <c r="Q739" s="4"/>
      <c r="R739" s="4"/>
      <c r="S739" s="4"/>
      <c r="T739" s="4"/>
      <c r="U739" s="4"/>
      <c r="V739" s="4"/>
      <c r="W739" s="4"/>
      <c r="X739" s="4"/>
      <c r="Y739" s="4"/>
      <c r="Z739" s="4"/>
      <c r="AA739" s="4"/>
    </row>
    <row r="740" spans="1:27">
      <c r="A740" s="5"/>
      <c r="B740" s="5"/>
      <c r="C740" s="4"/>
      <c r="D740" s="5"/>
      <c r="E740" s="5"/>
      <c r="F740" s="5"/>
      <c r="G740" s="5"/>
      <c r="H740" s="5"/>
      <c r="I740" s="5"/>
      <c r="J740" s="5"/>
      <c r="K740" s="5"/>
      <c r="L740" s="5"/>
      <c r="M740" s="5"/>
      <c r="N740" s="5"/>
      <c r="O740" s="5"/>
      <c r="P740" s="4"/>
      <c r="Q740" s="4"/>
      <c r="R740" s="4"/>
      <c r="S740" s="4"/>
      <c r="T740" s="4"/>
      <c r="U740" s="4"/>
      <c r="V740" s="4"/>
      <c r="W740" s="4"/>
      <c r="X740" s="4"/>
      <c r="Y740" s="4"/>
      <c r="Z740" s="4"/>
      <c r="AA740" s="4"/>
    </row>
    <row r="741" spans="1:27">
      <c r="A741" s="5"/>
      <c r="B741" s="5"/>
      <c r="C741" s="4"/>
      <c r="D741" s="5"/>
      <c r="E741" s="5"/>
      <c r="F741" s="5"/>
      <c r="G741" s="5"/>
      <c r="H741" s="5"/>
      <c r="I741" s="5"/>
      <c r="J741" s="5"/>
      <c r="K741" s="5"/>
      <c r="L741" s="5"/>
      <c r="M741" s="5"/>
      <c r="N741" s="5"/>
      <c r="O741" s="5"/>
      <c r="P741" s="4"/>
      <c r="Q741" s="4"/>
      <c r="R741" s="4"/>
      <c r="S741" s="4"/>
      <c r="T741" s="4"/>
      <c r="U741" s="4"/>
      <c r="V741" s="4"/>
      <c r="W741" s="4"/>
      <c r="X741" s="4"/>
      <c r="Y741" s="4"/>
      <c r="Z741" s="4"/>
      <c r="AA741" s="4"/>
    </row>
    <row r="742" spans="1:27">
      <c r="A742" s="5"/>
      <c r="B742" s="5"/>
      <c r="C742" s="4"/>
      <c r="D742" s="5"/>
      <c r="E742" s="5"/>
      <c r="F742" s="5"/>
      <c r="G742" s="5"/>
      <c r="H742" s="5"/>
      <c r="I742" s="5"/>
      <c r="J742" s="5"/>
      <c r="K742" s="5"/>
      <c r="L742" s="5"/>
      <c r="M742" s="5"/>
      <c r="N742" s="5"/>
      <c r="O742" s="5"/>
      <c r="P742" s="4"/>
      <c r="Q742" s="4"/>
      <c r="R742" s="4"/>
      <c r="S742" s="4"/>
      <c r="T742" s="4"/>
      <c r="U742" s="4"/>
      <c r="V742" s="4"/>
      <c r="W742" s="4"/>
      <c r="X742" s="4"/>
      <c r="Y742" s="4"/>
      <c r="Z742" s="4"/>
      <c r="AA742" s="4"/>
    </row>
    <row r="743" spans="1:27">
      <c r="A743" s="5"/>
      <c r="B743" s="5"/>
      <c r="C743" s="4"/>
      <c r="D743" s="5"/>
      <c r="E743" s="5"/>
      <c r="F743" s="5"/>
      <c r="G743" s="5"/>
      <c r="H743" s="5"/>
      <c r="I743" s="5"/>
      <c r="J743" s="5"/>
      <c r="K743" s="5"/>
      <c r="L743" s="5"/>
      <c r="M743" s="5"/>
      <c r="N743" s="5"/>
      <c r="O743" s="5"/>
      <c r="P743" s="4"/>
      <c r="Q743" s="4"/>
      <c r="R743" s="4"/>
      <c r="S743" s="4"/>
      <c r="T743" s="4"/>
      <c r="U743" s="4"/>
      <c r="V743" s="4"/>
      <c r="W743" s="4"/>
      <c r="X743" s="4"/>
      <c r="Y743" s="4"/>
      <c r="Z743" s="4"/>
      <c r="AA743" s="4"/>
    </row>
    <row r="744" spans="1:27">
      <c r="A744" s="5"/>
      <c r="B744" s="5"/>
      <c r="C744" s="4"/>
      <c r="D744" s="5"/>
      <c r="E744" s="5"/>
      <c r="F744" s="5"/>
      <c r="G744" s="5"/>
      <c r="H744" s="5"/>
      <c r="I744" s="5"/>
      <c r="J744" s="5"/>
      <c r="K744" s="5"/>
      <c r="L744" s="5"/>
      <c r="M744" s="5"/>
      <c r="N744" s="5"/>
      <c r="O744" s="5"/>
      <c r="P744" s="4"/>
      <c r="Q744" s="4"/>
      <c r="R744" s="4"/>
      <c r="S744" s="4"/>
      <c r="T744" s="4"/>
      <c r="U744" s="4"/>
      <c r="V744" s="4"/>
      <c r="W744" s="4"/>
      <c r="X744" s="4"/>
      <c r="Y744" s="4"/>
      <c r="Z744" s="4"/>
      <c r="AA744" s="4"/>
    </row>
    <row r="745" spans="1:27">
      <c r="A745" s="5"/>
      <c r="B745" s="5"/>
      <c r="C745" s="4"/>
      <c r="D745" s="5"/>
      <c r="E745" s="5"/>
      <c r="F745" s="5"/>
      <c r="G745" s="5"/>
      <c r="H745" s="5"/>
      <c r="I745" s="5"/>
      <c r="J745" s="5"/>
      <c r="K745" s="5"/>
      <c r="L745" s="5"/>
      <c r="M745" s="5"/>
      <c r="N745" s="5"/>
      <c r="O745" s="5"/>
      <c r="P745" s="4"/>
      <c r="Q745" s="4"/>
      <c r="R745" s="4"/>
      <c r="S745" s="4"/>
      <c r="T745" s="4"/>
      <c r="U745" s="4"/>
      <c r="V745" s="4"/>
      <c r="W745" s="4"/>
      <c r="X745" s="4"/>
      <c r="Y745" s="4"/>
      <c r="Z745" s="4"/>
      <c r="AA745" s="4"/>
    </row>
    <row r="746" spans="1:27">
      <c r="A746" s="5"/>
      <c r="B746" s="5"/>
      <c r="C746" s="4"/>
      <c r="D746" s="5"/>
      <c r="E746" s="5"/>
      <c r="F746" s="5"/>
      <c r="G746" s="5"/>
      <c r="H746" s="5"/>
      <c r="I746" s="5"/>
      <c r="J746" s="5"/>
      <c r="K746" s="5"/>
      <c r="L746" s="5"/>
      <c r="M746" s="5"/>
      <c r="N746" s="5"/>
      <c r="O746" s="5"/>
      <c r="P746" s="4"/>
      <c r="Q746" s="4"/>
      <c r="R746" s="4"/>
      <c r="S746" s="4"/>
      <c r="T746" s="4"/>
      <c r="U746" s="4"/>
      <c r="V746" s="4"/>
      <c r="W746" s="4"/>
      <c r="X746" s="4"/>
      <c r="Y746" s="4"/>
      <c r="Z746" s="4"/>
      <c r="AA746" s="4"/>
    </row>
    <row r="747" spans="1:27">
      <c r="A747" s="5"/>
      <c r="B747" s="5"/>
      <c r="C747" s="4"/>
      <c r="D747" s="5"/>
      <c r="E747" s="5"/>
      <c r="F747" s="5"/>
      <c r="G747" s="5"/>
      <c r="H747" s="5"/>
      <c r="I747" s="5"/>
      <c r="J747" s="5"/>
      <c r="K747" s="5"/>
      <c r="L747" s="5"/>
      <c r="M747" s="5"/>
      <c r="N747" s="5"/>
      <c r="O747" s="5"/>
      <c r="P747" s="4"/>
      <c r="Q747" s="4"/>
      <c r="R747" s="4"/>
      <c r="S747" s="4"/>
      <c r="T747" s="4"/>
      <c r="U747" s="4"/>
      <c r="V747" s="4"/>
      <c r="W747" s="4"/>
      <c r="X747" s="4"/>
      <c r="Y747" s="4"/>
      <c r="Z747" s="4"/>
      <c r="AA747" s="4"/>
    </row>
    <row r="748" spans="1:27">
      <c r="A748" s="5"/>
      <c r="B748" s="5"/>
      <c r="C748" s="4"/>
      <c r="D748" s="5"/>
      <c r="E748" s="5"/>
      <c r="F748" s="5"/>
      <c r="G748" s="5"/>
      <c r="H748" s="5"/>
      <c r="I748" s="5"/>
      <c r="J748" s="5"/>
      <c r="K748" s="5"/>
      <c r="L748" s="5"/>
      <c r="M748" s="5"/>
      <c r="N748" s="5"/>
      <c r="O748" s="5"/>
      <c r="P748" s="4"/>
      <c r="Q748" s="4"/>
      <c r="R748" s="4"/>
      <c r="S748" s="4"/>
      <c r="T748" s="4"/>
      <c r="U748" s="4"/>
      <c r="V748" s="4"/>
      <c r="W748" s="4"/>
      <c r="X748" s="4"/>
      <c r="Y748" s="4"/>
      <c r="Z748" s="4"/>
      <c r="AA748" s="4"/>
    </row>
    <row r="749" spans="1:27">
      <c r="A749" s="5"/>
      <c r="B749" s="5"/>
      <c r="C749" s="4"/>
      <c r="D749" s="5"/>
      <c r="E749" s="5"/>
      <c r="F749" s="5"/>
      <c r="G749" s="5"/>
      <c r="H749" s="5"/>
      <c r="I749" s="5"/>
      <c r="J749" s="5"/>
      <c r="K749" s="5"/>
      <c r="L749" s="5"/>
      <c r="M749" s="5"/>
      <c r="N749" s="5"/>
      <c r="O749" s="5"/>
      <c r="P749" s="4"/>
      <c r="Q749" s="4"/>
      <c r="R749" s="4"/>
      <c r="S749" s="4"/>
      <c r="T749" s="4"/>
      <c r="U749" s="4"/>
      <c r="V749" s="4"/>
      <c r="W749" s="4"/>
      <c r="X749" s="4"/>
      <c r="Y749" s="4"/>
      <c r="Z749" s="4"/>
      <c r="AA749" s="4"/>
    </row>
    <row r="750" spans="1:27">
      <c r="A750" s="5"/>
      <c r="B750" s="5"/>
      <c r="C750" s="4"/>
      <c r="D750" s="5"/>
      <c r="E750" s="5"/>
      <c r="F750" s="5"/>
      <c r="G750" s="5"/>
      <c r="H750" s="5"/>
      <c r="I750" s="5"/>
      <c r="J750" s="5"/>
      <c r="K750" s="5"/>
      <c r="L750" s="5"/>
      <c r="M750" s="5"/>
      <c r="N750" s="5"/>
      <c r="O750" s="5"/>
      <c r="P750" s="4"/>
      <c r="Q750" s="4"/>
      <c r="R750" s="4"/>
      <c r="S750" s="4"/>
      <c r="T750" s="4"/>
      <c r="U750" s="4"/>
      <c r="V750" s="4"/>
      <c r="W750" s="4"/>
      <c r="X750" s="4"/>
      <c r="Y750" s="4"/>
      <c r="Z750" s="4"/>
      <c r="AA750" s="4"/>
    </row>
    <row r="751" spans="1:27">
      <c r="A751" s="5"/>
      <c r="B751" s="5"/>
      <c r="C751" s="4"/>
      <c r="D751" s="5"/>
      <c r="E751" s="5"/>
      <c r="F751" s="5"/>
      <c r="G751" s="5"/>
      <c r="H751" s="5"/>
      <c r="I751" s="5"/>
      <c r="J751" s="5"/>
      <c r="K751" s="5"/>
      <c r="L751" s="5"/>
      <c r="M751" s="5"/>
      <c r="N751" s="5"/>
      <c r="O751" s="5"/>
      <c r="P751" s="4"/>
      <c r="Q751" s="4"/>
      <c r="R751" s="4"/>
      <c r="S751" s="4"/>
      <c r="T751" s="4"/>
      <c r="U751" s="4"/>
      <c r="V751" s="4"/>
      <c r="W751" s="4"/>
      <c r="X751" s="4"/>
      <c r="Y751" s="4"/>
      <c r="Z751" s="4"/>
      <c r="AA751" s="4"/>
    </row>
    <row r="752" spans="1:27">
      <c r="A752" s="5"/>
      <c r="B752" s="5"/>
      <c r="C752" s="4"/>
      <c r="D752" s="5"/>
      <c r="E752" s="5"/>
      <c r="F752" s="5"/>
      <c r="G752" s="5"/>
      <c r="H752" s="5"/>
      <c r="I752" s="5"/>
      <c r="J752" s="5"/>
      <c r="K752" s="5"/>
      <c r="L752" s="5"/>
      <c r="M752" s="5"/>
      <c r="N752" s="5"/>
      <c r="O752" s="5"/>
      <c r="P752" s="4"/>
      <c r="Q752" s="4"/>
      <c r="R752" s="4"/>
      <c r="S752" s="4"/>
      <c r="T752" s="4"/>
      <c r="U752" s="4"/>
      <c r="V752" s="4"/>
      <c r="W752" s="4"/>
      <c r="X752" s="4"/>
      <c r="Y752" s="4"/>
      <c r="Z752" s="4"/>
      <c r="AA752" s="4"/>
    </row>
    <row r="753" spans="1:27">
      <c r="A753" s="5"/>
      <c r="B753" s="5"/>
      <c r="C753" s="4"/>
      <c r="D753" s="5"/>
      <c r="E753" s="5"/>
      <c r="F753" s="5"/>
      <c r="G753" s="5"/>
      <c r="H753" s="5"/>
      <c r="I753" s="5"/>
      <c r="J753" s="5"/>
      <c r="K753" s="5"/>
      <c r="L753" s="5"/>
      <c r="M753" s="5"/>
      <c r="N753" s="5"/>
      <c r="O753" s="5"/>
      <c r="P753" s="4"/>
      <c r="Q753" s="4"/>
      <c r="R753" s="4"/>
      <c r="S753" s="4"/>
      <c r="T753" s="4"/>
      <c r="U753" s="4"/>
      <c r="V753" s="4"/>
      <c r="W753" s="4"/>
      <c r="X753" s="4"/>
      <c r="Y753" s="4"/>
      <c r="Z753" s="4"/>
      <c r="AA753" s="4"/>
    </row>
    <row r="754" spans="1:27">
      <c r="A754" s="5"/>
      <c r="B754" s="5"/>
      <c r="C754" s="4"/>
      <c r="D754" s="5"/>
      <c r="E754" s="5"/>
      <c r="F754" s="5"/>
      <c r="G754" s="5"/>
      <c r="H754" s="5"/>
      <c r="I754" s="5"/>
      <c r="J754" s="5"/>
      <c r="K754" s="5"/>
      <c r="L754" s="5"/>
      <c r="M754" s="5"/>
      <c r="N754" s="5"/>
      <c r="O754" s="5"/>
      <c r="P754" s="4"/>
      <c r="Q754" s="4"/>
      <c r="R754" s="4"/>
      <c r="S754" s="4"/>
      <c r="T754" s="4"/>
      <c r="U754" s="4"/>
      <c r="V754" s="4"/>
      <c r="W754" s="4"/>
      <c r="X754" s="4"/>
      <c r="Y754" s="4"/>
      <c r="Z754" s="4"/>
      <c r="AA754" s="4"/>
    </row>
    <row r="755" spans="1:27">
      <c r="A755" s="5"/>
      <c r="B755" s="5"/>
      <c r="C755" s="4"/>
      <c r="D755" s="5"/>
      <c r="E755" s="5"/>
      <c r="F755" s="5"/>
      <c r="G755" s="5"/>
      <c r="H755" s="5"/>
      <c r="I755" s="5"/>
      <c r="J755" s="5"/>
      <c r="K755" s="5"/>
      <c r="L755" s="5"/>
      <c r="M755" s="5"/>
      <c r="N755" s="5"/>
      <c r="O755" s="5"/>
      <c r="P755" s="4"/>
      <c r="Q755" s="4"/>
      <c r="R755" s="4"/>
      <c r="S755" s="4"/>
      <c r="T755" s="4"/>
      <c r="U755" s="4"/>
      <c r="V755" s="4"/>
      <c r="W755" s="4"/>
      <c r="X755" s="4"/>
      <c r="Y755" s="4"/>
      <c r="Z755" s="4"/>
      <c r="AA755" s="4"/>
    </row>
    <row r="756" spans="1:27">
      <c r="A756" s="5"/>
      <c r="B756" s="5"/>
      <c r="C756" s="4"/>
      <c r="D756" s="5"/>
      <c r="E756" s="5"/>
      <c r="F756" s="5"/>
      <c r="G756" s="5"/>
      <c r="H756" s="5"/>
      <c r="I756" s="5"/>
      <c r="J756" s="5"/>
      <c r="K756" s="5"/>
      <c r="L756" s="5"/>
      <c r="M756" s="5"/>
      <c r="N756" s="5"/>
      <c r="O756" s="5"/>
      <c r="P756" s="4"/>
      <c r="Q756" s="4"/>
      <c r="R756" s="4"/>
      <c r="S756" s="4"/>
      <c r="T756" s="4"/>
      <c r="U756" s="4"/>
      <c r="V756" s="4"/>
      <c r="W756" s="4"/>
      <c r="X756" s="4"/>
      <c r="Y756" s="4"/>
      <c r="Z756" s="4"/>
      <c r="AA756" s="4"/>
    </row>
    <row r="757" spans="1:27">
      <c r="A757" s="5"/>
      <c r="B757" s="5"/>
      <c r="C757" s="4"/>
      <c r="D757" s="5"/>
      <c r="E757" s="5"/>
      <c r="F757" s="5"/>
      <c r="G757" s="5"/>
      <c r="H757" s="5"/>
      <c r="I757" s="5"/>
      <c r="J757" s="5"/>
      <c r="K757" s="5"/>
      <c r="L757" s="5"/>
      <c r="M757" s="5"/>
      <c r="N757" s="5"/>
      <c r="O757" s="5"/>
      <c r="P757" s="4"/>
      <c r="Q757" s="4"/>
      <c r="R757" s="4"/>
      <c r="S757" s="4"/>
      <c r="T757" s="4"/>
      <c r="U757" s="4"/>
      <c r="V757" s="4"/>
      <c r="W757" s="4"/>
      <c r="X757" s="4"/>
      <c r="Y757" s="4"/>
      <c r="Z757" s="4"/>
      <c r="AA757" s="4"/>
    </row>
    <row r="758" spans="1:27">
      <c r="A758" s="5"/>
      <c r="B758" s="5"/>
      <c r="C758" s="4"/>
      <c r="D758" s="5"/>
      <c r="E758" s="5"/>
      <c r="F758" s="5"/>
      <c r="G758" s="5"/>
      <c r="H758" s="5"/>
      <c r="I758" s="5"/>
      <c r="J758" s="5"/>
      <c r="K758" s="5"/>
      <c r="L758" s="5"/>
      <c r="M758" s="5"/>
      <c r="N758" s="5"/>
      <c r="O758" s="5"/>
      <c r="P758" s="4"/>
      <c r="Q758" s="4"/>
      <c r="R758" s="4"/>
      <c r="S758" s="4"/>
      <c r="T758" s="4"/>
      <c r="U758" s="4"/>
      <c r="V758" s="4"/>
      <c r="W758" s="4"/>
      <c r="X758" s="4"/>
      <c r="Y758" s="4"/>
      <c r="Z758" s="4"/>
      <c r="AA758" s="4"/>
    </row>
    <row r="759" spans="1:27">
      <c r="A759" s="5"/>
      <c r="B759" s="5"/>
      <c r="C759" s="4"/>
      <c r="D759" s="5"/>
      <c r="E759" s="5"/>
      <c r="F759" s="5"/>
      <c r="G759" s="5"/>
      <c r="H759" s="5"/>
      <c r="I759" s="5"/>
      <c r="J759" s="5"/>
      <c r="K759" s="5"/>
      <c r="L759" s="5"/>
      <c r="M759" s="5"/>
      <c r="N759" s="5"/>
      <c r="O759" s="5"/>
      <c r="P759" s="4"/>
      <c r="Q759" s="4"/>
      <c r="R759" s="4"/>
      <c r="S759" s="4"/>
      <c r="T759" s="4"/>
      <c r="U759" s="4"/>
      <c r="V759" s="4"/>
      <c r="W759" s="4"/>
      <c r="X759" s="4"/>
      <c r="Y759" s="4"/>
      <c r="Z759" s="4"/>
      <c r="AA759" s="4"/>
    </row>
    <row r="760" spans="1:27">
      <c r="A760" s="5"/>
      <c r="B760" s="5"/>
      <c r="C760" s="4"/>
      <c r="D760" s="5"/>
      <c r="E760" s="5"/>
      <c r="F760" s="5"/>
      <c r="G760" s="5"/>
      <c r="H760" s="5"/>
      <c r="I760" s="5"/>
      <c r="J760" s="5"/>
      <c r="K760" s="5"/>
      <c r="L760" s="5"/>
      <c r="M760" s="5"/>
      <c r="N760" s="5"/>
      <c r="O760" s="5"/>
      <c r="P760" s="4"/>
      <c r="Q760" s="4"/>
      <c r="R760" s="4"/>
      <c r="S760" s="4"/>
      <c r="T760" s="4"/>
      <c r="U760" s="4"/>
      <c r="V760" s="4"/>
      <c r="W760" s="4"/>
      <c r="X760" s="4"/>
      <c r="Y760" s="4"/>
      <c r="Z760" s="4"/>
      <c r="AA760" s="4"/>
    </row>
    <row r="761" spans="1:27">
      <c r="A761" s="5"/>
      <c r="B761" s="5"/>
      <c r="C761" s="4"/>
      <c r="D761" s="5"/>
      <c r="E761" s="5"/>
      <c r="F761" s="5"/>
      <c r="G761" s="5"/>
      <c r="H761" s="5"/>
      <c r="I761" s="5"/>
      <c r="J761" s="5"/>
      <c r="K761" s="5"/>
      <c r="L761" s="5"/>
      <c r="M761" s="5"/>
      <c r="N761" s="5"/>
      <c r="O761" s="5"/>
      <c r="P761" s="4"/>
      <c r="Q761" s="4"/>
      <c r="R761" s="4"/>
      <c r="S761" s="4"/>
      <c r="T761" s="4"/>
      <c r="U761" s="4"/>
      <c r="V761" s="4"/>
      <c r="W761" s="4"/>
      <c r="X761" s="4"/>
      <c r="Y761" s="4"/>
      <c r="Z761" s="4"/>
      <c r="AA761" s="4"/>
    </row>
    <row r="762" spans="1:27">
      <c r="A762" s="5"/>
      <c r="B762" s="5"/>
      <c r="C762" s="4"/>
      <c r="D762" s="5"/>
      <c r="E762" s="5"/>
      <c r="F762" s="5"/>
      <c r="G762" s="5"/>
      <c r="H762" s="5"/>
      <c r="I762" s="5"/>
      <c r="J762" s="5"/>
      <c r="K762" s="5"/>
      <c r="L762" s="5"/>
      <c r="M762" s="5"/>
      <c r="N762" s="5"/>
      <c r="O762" s="5"/>
      <c r="P762" s="4"/>
      <c r="Q762" s="4"/>
      <c r="R762" s="4"/>
      <c r="S762" s="4"/>
      <c r="T762" s="4"/>
      <c r="U762" s="4"/>
      <c r="V762" s="4"/>
      <c r="W762" s="4"/>
      <c r="X762" s="4"/>
      <c r="Y762" s="4"/>
      <c r="Z762" s="4"/>
      <c r="AA762" s="4"/>
    </row>
    <row r="763" spans="1:27">
      <c r="A763" s="5"/>
      <c r="B763" s="5"/>
      <c r="C763" s="4"/>
      <c r="D763" s="5"/>
      <c r="E763" s="5"/>
      <c r="F763" s="5"/>
      <c r="G763" s="5"/>
      <c r="H763" s="5"/>
      <c r="I763" s="5"/>
      <c r="J763" s="5"/>
      <c r="K763" s="5"/>
      <c r="L763" s="5"/>
      <c r="M763" s="5"/>
      <c r="N763" s="5"/>
      <c r="O763" s="5"/>
      <c r="P763" s="4"/>
      <c r="Q763" s="4"/>
      <c r="R763" s="4"/>
      <c r="S763" s="4"/>
      <c r="T763" s="4"/>
      <c r="U763" s="4"/>
      <c r="V763" s="4"/>
      <c r="W763" s="4"/>
      <c r="X763" s="4"/>
      <c r="Y763" s="4"/>
      <c r="Z763" s="4"/>
      <c r="AA763" s="4"/>
    </row>
    <row r="764" spans="1:27">
      <c r="A764" s="5"/>
      <c r="B764" s="5"/>
      <c r="C764" s="4"/>
      <c r="D764" s="5"/>
      <c r="E764" s="5"/>
      <c r="F764" s="5"/>
      <c r="G764" s="5"/>
      <c r="H764" s="5"/>
      <c r="I764" s="5"/>
      <c r="J764" s="5"/>
      <c r="K764" s="5"/>
      <c r="L764" s="5"/>
      <c r="M764" s="5"/>
      <c r="N764" s="5"/>
      <c r="O764" s="5"/>
      <c r="P764" s="4"/>
      <c r="Q764" s="4"/>
      <c r="R764" s="4"/>
      <c r="S764" s="4"/>
      <c r="T764" s="4"/>
      <c r="U764" s="4"/>
      <c r="V764" s="4"/>
      <c r="W764" s="4"/>
      <c r="X764" s="4"/>
      <c r="Y764" s="4"/>
      <c r="Z764" s="4"/>
      <c r="AA764" s="4"/>
    </row>
    <row r="765" spans="1:27">
      <c r="A765" s="5"/>
      <c r="B765" s="5"/>
      <c r="C765" s="4"/>
      <c r="D765" s="5"/>
      <c r="E765" s="5"/>
      <c r="F765" s="5"/>
      <c r="G765" s="5"/>
      <c r="H765" s="5"/>
      <c r="I765" s="5"/>
      <c r="J765" s="5"/>
      <c r="K765" s="5"/>
      <c r="L765" s="5"/>
      <c r="M765" s="5"/>
      <c r="N765" s="5"/>
      <c r="O765" s="5"/>
      <c r="P765" s="4"/>
      <c r="Q765" s="4"/>
      <c r="R765" s="4"/>
      <c r="S765" s="4"/>
      <c r="T765" s="4"/>
      <c r="U765" s="4"/>
      <c r="V765" s="4"/>
      <c r="W765" s="4"/>
      <c r="X765" s="4"/>
      <c r="Y765" s="4"/>
      <c r="Z765" s="4"/>
      <c r="AA765" s="4"/>
    </row>
    <row r="766" spans="1:27">
      <c r="A766" s="5"/>
      <c r="B766" s="5"/>
      <c r="C766" s="4"/>
      <c r="D766" s="5"/>
      <c r="E766" s="5"/>
      <c r="F766" s="5"/>
      <c r="G766" s="5"/>
      <c r="H766" s="5"/>
      <c r="I766" s="5"/>
      <c r="J766" s="5"/>
      <c r="K766" s="5"/>
      <c r="L766" s="5"/>
      <c r="M766" s="5"/>
      <c r="N766" s="5"/>
      <c r="O766" s="5"/>
      <c r="P766" s="4"/>
      <c r="Q766" s="4"/>
      <c r="R766" s="4"/>
      <c r="S766" s="4"/>
      <c r="T766" s="4"/>
      <c r="U766" s="4"/>
      <c r="V766" s="4"/>
      <c r="W766" s="4"/>
      <c r="X766" s="4"/>
      <c r="Y766" s="4"/>
      <c r="Z766" s="4"/>
      <c r="AA766" s="4"/>
    </row>
    <row r="767" spans="1:27">
      <c r="A767" s="5"/>
      <c r="B767" s="5"/>
      <c r="C767" s="4"/>
      <c r="D767" s="5"/>
      <c r="E767" s="5"/>
      <c r="F767" s="5"/>
      <c r="G767" s="5"/>
      <c r="H767" s="5"/>
      <c r="I767" s="5"/>
      <c r="J767" s="5"/>
      <c r="K767" s="5"/>
      <c r="L767" s="5"/>
      <c r="M767" s="5"/>
      <c r="N767" s="5"/>
      <c r="O767" s="5"/>
      <c r="P767" s="4"/>
      <c r="Q767" s="4"/>
      <c r="R767" s="4"/>
      <c r="S767" s="4"/>
      <c r="T767" s="4"/>
      <c r="U767" s="4"/>
      <c r="V767" s="4"/>
      <c r="W767" s="4"/>
      <c r="X767" s="4"/>
      <c r="Y767" s="4"/>
      <c r="Z767" s="4"/>
      <c r="AA767" s="4"/>
    </row>
    <row r="768" spans="1:27">
      <c r="A768" s="5"/>
      <c r="B768" s="5"/>
      <c r="C768" s="4"/>
      <c r="D768" s="5"/>
      <c r="E768" s="5"/>
      <c r="F768" s="5"/>
      <c r="G768" s="5"/>
      <c r="H768" s="5"/>
      <c r="I768" s="5"/>
      <c r="J768" s="5"/>
      <c r="K768" s="5"/>
      <c r="L768" s="5"/>
      <c r="M768" s="5"/>
      <c r="N768" s="5"/>
      <c r="O768" s="5"/>
      <c r="P768" s="4"/>
      <c r="Q768" s="4"/>
      <c r="R768" s="4"/>
      <c r="S768" s="4"/>
      <c r="T768" s="4"/>
      <c r="U768" s="4"/>
      <c r="V768" s="4"/>
      <c r="W768" s="4"/>
      <c r="X768" s="4"/>
      <c r="Y768" s="4"/>
      <c r="Z768" s="4"/>
      <c r="AA768" s="4"/>
    </row>
    <row r="769" spans="1:27">
      <c r="A769" s="5"/>
      <c r="B769" s="5"/>
      <c r="C769" s="4"/>
      <c r="D769" s="5"/>
      <c r="E769" s="5"/>
      <c r="F769" s="5"/>
      <c r="G769" s="5"/>
      <c r="H769" s="5"/>
      <c r="I769" s="5"/>
      <c r="J769" s="5"/>
      <c r="K769" s="5"/>
      <c r="L769" s="5"/>
      <c r="M769" s="5"/>
      <c r="N769" s="5"/>
      <c r="O769" s="5"/>
      <c r="P769" s="4"/>
      <c r="Q769" s="4"/>
      <c r="R769" s="4"/>
      <c r="S769" s="4"/>
      <c r="T769" s="4"/>
      <c r="U769" s="4"/>
      <c r="V769" s="4"/>
      <c r="W769" s="4"/>
      <c r="X769" s="4"/>
      <c r="Y769" s="4"/>
      <c r="Z769" s="4"/>
      <c r="AA769" s="4"/>
    </row>
    <row r="770" spans="1:27">
      <c r="A770" s="5"/>
      <c r="B770" s="5"/>
      <c r="C770" s="4"/>
      <c r="D770" s="5"/>
      <c r="E770" s="5"/>
      <c r="F770" s="5"/>
      <c r="G770" s="5"/>
      <c r="H770" s="5"/>
      <c r="I770" s="5"/>
      <c r="J770" s="5"/>
      <c r="K770" s="5"/>
      <c r="L770" s="5"/>
      <c r="M770" s="5"/>
      <c r="N770" s="5"/>
      <c r="O770" s="5"/>
      <c r="P770" s="4"/>
      <c r="Q770" s="4"/>
      <c r="R770" s="4"/>
      <c r="S770" s="4"/>
      <c r="T770" s="4"/>
      <c r="U770" s="4"/>
      <c r="V770" s="4"/>
      <c r="W770" s="4"/>
      <c r="X770" s="4"/>
      <c r="Y770" s="4"/>
      <c r="Z770" s="4"/>
      <c r="AA770" s="4"/>
    </row>
    <row r="771" spans="1:27">
      <c r="A771" s="5"/>
      <c r="B771" s="5"/>
      <c r="C771" s="4"/>
      <c r="D771" s="5"/>
      <c r="E771" s="5"/>
      <c r="F771" s="5"/>
      <c r="G771" s="5"/>
      <c r="H771" s="5"/>
      <c r="I771" s="5"/>
      <c r="J771" s="5"/>
      <c r="K771" s="5"/>
      <c r="L771" s="5"/>
      <c r="M771" s="5"/>
      <c r="N771" s="5"/>
      <c r="O771" s="5"/>
      <c r="P771" s="4"/>
      <c r="Q771" s="4"/>
      <c r="R771" s="4"/>
      <c r="S771" s="4"/>
      <c r="T771" s="4"/>
      <c r="U771" s="4"/>
      <c r="V771" s="4"/>
      <c r="W771" s="4"/>
      <c r="X771" s="4"/>
      <c r="Y771" s="4"/>
      <c r="Z771" s="4"/>
      <c r="AA771" s="4"/>
    </row>
    <row r="772" spans="1:27">
      <c r="A772" s="5"/>
      <c r="B772" s="5"/>
      <c r="C772" s="4"/>
      <c r="D772" s="5"/>
      <c r="E772" s="5"/>
      <c r="F772" s="5"/>
      <c r="G772" s="5"/>
      <c r="H772" s="5"/>
      <c r="I772" s="5"/>
      <c r="J772" s="5"/>
      <c r="K772" s="5"/>
      <c r="L772" s="5"/>
      <c r="M772" s="5"/>
      <c r="N772" s="5"/>
      <c r="O772" s="5"/>
      <c r="P772" s="4"/>
      <c r="Q772" s="4"/>
      <c r="R772" s="4"/>
      <c r="S772" s="4"/>
      <c r="T772" s="4"/>
      <c r="U772" s="4"/>
      <c r="V772" s="4"/>
      <c r="W772" s="4"/>
      <c r="X772" s="4"/>
      <c r="Y772" s="4"/>
      <c r="Z772" s="4"/>
      <c r="AA772" s="4"/>
    </row>
    <row r="773" spans="1:27">
      <c r="A773" s="5"/>
      <c r="B773" s="5"/>
      <c r="C773" s="4"/>
      <c r="D773" s="5"/>
      <c r="E773" s="5"/>
      <c r="F773" s="5"/>
      <c r="G773" s="5"/>
      <c r="H773" s="5"/>
      <c r="I773" s="5"/>
      <c r="J773" s="5"/>
      <c r="K773" s="5"/>
      <c r="L773" s="5"/>
      <c r="M773" s="5"/>
      <c r="N773" s="5"/>
      <c r="O773" s="5"/>
      <c r="P773" s="4"/>
      <c r="Q773" s="4"/>
      <c r="R773" s="4"/>
      <c r="S773" s="4"/>
      <c r="T773" s="4"/>
      <c r="U773" s="4"/>
      <c r="V773" s="4"/>
      <c r="W773" s="4"/>
      <c r="X773" s="4"/>
      <c r="Y773" s="4"/>
      <c r="Z773" s="4"/>
      <c r="AA773" s="4"/>
    </row>
    <row r="774" spans="1:27">
      <c r="A774" s="5"/>
      <c r="B774" s="5"/>
      <c r="C774" s="4"/>
      <c r="D774" s="5"/>
      <c r="E774" s="5"/>
      <c r="F774" s="5"/>
      <c r="G774" s="5"/>
      <c r="H774" s="5"/>
      <c r="I774" s="5"/>
      <c r="J774" s="5"/>
      <c r="K774" s="5"/>
      <c r="L774" s="5"/>
      <c r="M774" s="5"/>
      <c r="N774" s="5"/>
      <c r="O774" s="5"/>
      <c r="P774" s="4"/>
      <c r="Q774" s="4"/>
      <c r="R774" s="4"/>
      <c r="S774" s="4"/>
      <c r="T774" s="4"/>
      <c r="U774" s="4"/>
      <c r="V774" s="4"/>
      <c r="W774" s="4"/>
      <c r="X774" s="4"/>
      <c r="Y774" s="4"/>
      <c r="Z774" s="4"/>
      <c r="AA774" s="4"/>
    </row>
    <row r="775" spans="1:27">
      <c r="A775" s="5"/>
      <c r="B775" s="5"/>
      <c r="C775" s="4"/>
      <c r="D775" s="5"/>
      <c r="E775" s="5"/>
      <c r="F775" s="5"/>
      <c r="G775" s="5"/>
      <c r="H775" s="5"/>
      <c r="I775" s="5"/>
      <c r="J775" s="5"/>
      <c r="K775" s="5"/>
      <c r="L775" s="5"/>
      <c r="M775" s="5"/>
      <c r="N775" s="5"/>
      <c r="O775" s="5"/>
      <c r="P775" s="4"/>
      <c r="Q775" s="4"/>
      <c r="R775" s="4"/>
      <c r="S775" s="4"/>
      <c r="T775" s="4"/>
      <c r="U775" s="4"/>
      <c r="V775" s="4"/>
      <c r="W775" s="4"/>
      <c r="X775" s="4"/>
      <c r="Y775" s="4"/>
      <c r="Z775" s="4"/>
      <c r="AA775" s="4"/>
    </row>
    <row r="776" spans="1:27">
      <c r="A776" s="5"/>
      <c r="B776" s="5"/>
      <c r="C776" s="4"/>
      <c r="D776" s="5"/>
      <c r="E776" s="5"/>
      <c r="F776" s="5"/>
      <c r="G776" s="5"/>
      <c r="H776" s="5"/>
      <c r="I776" s="5"/>
      <c r="J776" s="5"/>
      <c r="K776" s="5"/>
      <c r="L776" s="5"/>
      <c r="M776" s="5"/>
      <c r="N776" s="5"/>
      <c r="O776" s="5"/>
      <c r="P776" s="4"/>
      <c r="Q776" s="4"/>
      <c r="R776" s="4"/>
      <c r="S776" s="4"/>
      <c r="T776" s="4"/>
      <c r="U776" s="4"/>
      <c r="V776" s="4"/>
      <c r="W776" s="4"/>
      <c r="X776" s="4"/>
      <c r="Y776" s="4"/>
      <c r="Z776" s="4"/>
      <c r="AA776" s="4"/>
    </row>
    <row r="777" spans="1:27">
      <c r="A777" s="5"/>
      <c r="B777" s="5"/>
      <c r="C777" s="4"/>
      <c r="D777" s="5"/>
      <c r="E777" s="5"/>
      <c r="F777" s="5"/>
      <c r="G777" s="5"/>
      <c r="H777" s="5"/>
      <c r="I777" s="5"/>
      <c r="J777" s="5"/>
      <c r="K777" s="5"/>
      <c r="L777" s="5"/>
      <c r="M777" s="5"/>
      <c r="N777" s="5"/>
      <c r="O777" s="5"/>
      <c r="P777" s="4"/>
      <c r="Q777" s="4"/>
      <c r="R777" s="4"/>
      <c r="S777" s="4"/>
      <c r="T777" s="4"/>
      <c r="U777" s="4"/>
      <c r="V777" s="4"/>
      <c r="W777" s="4"/>
      <c r="X777" s="4"/>
      <c r="Y777" s="4"/>
      <c r="Z777" s="4"/>
      <c r="AA777" s="4"/>
    </row>
    <row r="778" spans="1:27">
      <c r="A778" s="5"/>
      <c r="B778" s="5"/>
      <c r="C778" s="4"/>
      <c r="D778" s="5"/>
      <c r="E778" s="5"/>
      <c r="F778" s="5"/>
      <c r="G778" s="5"/>
      <c r="H778" s="5"/>
      <c r="I778" s="5"/>
      <c r="J778" s="5"/>
      <c r="K778" s="5"/>
      <c r="L778" s="5"/>
      <c r="M778" s="5"/>
      <c r="N778" s="5"/>
      <c r="O778" s="5"/>
      <c r="P778" s="4"/>
      <c r="Q778" s="4"/>
      <c r="R778" s="4"/>
      <c r="S778" s="4"/>
      <c r="T778" s="4"/>
      <c r="U778" s="4"/>
      <c r="V778" s="4"/>
      <c r="W778" s="4"/>
      <c r="X778" s="4"/>
      <c r="Y778" s="4"/>
      <c r="Z778" s="4"/>
      <c r="AA778" s="4"/>
    </row>
    <row r="779" spans="1:27">
      <c r="A779" s="5"/>
      <c r="B779" s="5"/>
      <c r="C779" s="4"/>
      <c r="D779" s="5"/>
      <c r="E779" s="5"/>
      <c r="F779" s="5"/>
      <c r="G779" s="5"/>
      <c r="H779" s="5"/>
      <c r="I779" s="5"/>
      <c r="J779" s="5"/>
      <c r="K779" s="5"/>
      <c r="L779" s="5"/>
      <c r="M779" s="5"/>
      <c r="N779" s="5"/>
      <c r="O779" s="5"/>
      <c r="P779" s="4"/>
      <c r="Q779" s="4"/>
      <c r="R779" s="4"/>
      <c r="S779" s="4"/>
      <c r="T779" s="4"/>
      <c r="U779" s="4"/>
      <c r="V779" s="4"/>
      <c r="W779" s="4"/>
      <c r="X779" s="4"/>
      <c r="Y779" s="4"/>
      <c r="Z779" s="4"/>
      <c r="AA779" s="4"/>
    </row>
    <row r="780" spans="1:27">
      <c r="A780" s="5"/>
      <c r="B780" s="5"/>
      <c r="C780" s="4"/>
      <c r="D780" s="5"/>
      <c r="E780" s="5"/>
      <c r="F780" s="5"/>
      <c r="G780" s="5"/>
      <c r="H780" s="5"/>
      <c r="I780" s="5"/>
      <c r="J780" s="5"/>
      <c r="K780" s="5"/>
      <c r="L780" s="5"/>
      <c r="M780" s="5"/>
      <c r="N780" s="5"/>
      <c r="O780" s="5"/>
      <c r="P780" s="4"/>
      <c r="Q780" s="4"/>
      <c r="R780" s="4"/>
      <c r="S780" s="4"/>
      <c r="T780" s="4"/>
      <c r="U780" s="4"/>
      <c r="V780" s="4"/>
      <c r="W780" s="4"/>
      <c r="X780" s="4"/>
      <c r="Y780" s="4"/>
      <c r="Z780" s="4"/>
      <c r="AA780" s="4"/>
    </row>
    <row r="781" spans="1:27">
      <c r="A781" s="5"/>
      <c r="B781" s="5"/>
      <c r="C781" s="4"/>
      <c r="D781" s="5"/>
      <c r="E781" s="5"/>
      <c r="F781" s="5"/>
      <c r="G781" s="5"/>
      <c r="H781" s="5"/>
      <c r="I781" s="5"/>
      <c r="J781" s="5"/>
      <c r="K781" s="5"/>
      <c r="L781" s="5"/>
      <c r="M781" s="5"/>
      <c r="N781" s="5"/>
      <c r="O781" s="5"/>
      <c r="P781" s="4"/>
      <c r="Q781" s="4"/>
      <c r="R781" s="4"/>
      <c r="S781" s="4"/>
      <c r="T781" s="4"/>
      <c r="U781" s="4"/>
      <c r="V781" s="4"/>
      <c r="W781" s="4"/>
      <c r="X781" s="4"/>
      <c r="Y781" s="4"/>
      <c r="Z781" s="4"/>
      <c r="AA781" s="4"/>
    </row>
    <row r="782" spans="1:27">
      <c r="A782" s="5"/>
      <c r="B782" s="5"/>
      <c r="C782" s="4"/>
      <c r="D782" s="5"/>
      <c r="E782" s="5"/>
      <c r="F782" s="5"/>
      <c r="G782" s="5"/>
      <c r="H782" s="5"/>
      <c r="I782" s="5"/>
      <c r="J782" s="5"/>
      <c r="K782" s="5"/>
      <c r="L782" s="5"/>
      <c r="M782" s="5"/>
      <c r="N782" s="5"/>
      <c r="O782" s="5"/>
      <c r="P782" s="4"/>
      <c r="Q782" s="4"/>
      <c r="R782" s="4"/>
      <c r="S782" s="4"/>
      <c r="T782" s="4"/>
      <c r="U782" s="4"/>
      <c r="V782" s="4"/>
      <c r="W782" s="4"/>
      <c r="X782" s="4"/>
      <c r="Y782" s="4"/>
      <c r="Z782" s="4"/>
      <c r="AA782" s="4"/>
    </row>
    <row r="783" spans="1:27">
      <c r="A783" s="5"/>
      <c r="B783" s="5"/>
      <c r="C783" s="4"/>
      <c r="D783" s="5"/>
      <c r="E783" s="5"/>
      <c r="F783" s="5"/>
      <c r="G783" s="5"/>
      <c r="H783" s="5"/>
      <c r="I783" s="5"/>
      <c r="J783" s="5"/>
      <c r="K783" s="5"/>
      <c r="L783" s="5"/>
      <c r="M783" s="5"/>
      <c r="N783" s="5"/>
      <c r="O783" s="5"/>
      <c r="P783" s="4"/>
      <c r="Q783" s="4"/>
      <c r="R783" s="4"/>
      <c r="S783" s="4"/>
      <c r="T783" s="4"/>
      <c r="U783" s="4"/>
      <c r="V783" s="4"/>
      <c r="W783" s="4"/>
      <c r="X783" s="4"/>
      <c r="Y783" s="4"/>
      <c r="Z783" s="4"/>
      <c r="AA783" s="4"/>
    </row>
    <row r="784" spans="1:27">
      <c r="A784" s="5"/>
      <c r="B784" s="5"/>
      <c r="C784" s="4"/>
      <c r="D784" s="5"/>
      <c r="E784" s="5"/>
      <c r="F784" s="5"/>
      <c r="G784" s="5"/>
      <c r="H784" s="5"/>
      <c r="I784" s="5"/>
      <c r="J784" s="5"/>
      <c r="K784" s="5"/>
      <c r="L784" s="5"/>
      <c r="M784" s="5"/>
      <c r="N784" s="5"/>
      <c r="O784" s="5"/>
      <c r="P784" s="4"/>
      <c r="Q784" s="4"/>
      <c r="R784" s="4"/>
      <c r="S784" s="4"/>
      <c r="T784" s="4"/>
      <c r="U784" s="4"/>
      <c r="V784" s="4"/>
      <c r="W784" s="4"/>
      <c r="X784" s="4"/>
      <c r="Y784" s="4"/>
      <c r="Z784" s="4"/>
      <c r="AA784" s="4"/>
    </row>
    <row r="785" spans="1:27">
      <c r="A785" s="5"/>
      <c r="B785" s="5"/>
      <c r="C785" s="4"/>
      <c r="D785" s="5"/>
      <c r="E785" s="5"/>
      <c r="F785" s="5"/>
      <c r="G785" s="5"/>
      <c r="H785" s="5"/>
      <c r="I785" s="5"/>
      <c r="J785" s="5"/>
      <c r="K785" s="5"/>
      <c r="L785" s="5"/>
      <c r="M785" s="5"/>
      <c r="N785" s="5"/>
      <c r="O785" s="5"/>
      <c r="P785" s="4"/>
      <c r="Q785" s="4"/>
      <c r="R785" s="4"/>
      <c r="S785" s="4"/>
      <c r="T785" s="4"/>
      <c r="U785" s="4"/>
      <c r="V785" s="4"/>
      <c r="W785" s="4"/>
      <c r="X785" s="4"/>
      <c r="Y785" s="4"/>
      <c r="Z785" s="4"/>
      <c r="AA785" s="4"/>
    </row>
    <row r="786" spans="1:27">
      <c r="A786" s="5"/>
      <c r="B786" s="5"/>
      <c r="C786" s="4"/>
      <c r="D786" s="5"/>
      <c r="E786" s="5"/>
      <c r="F786" s="5"/>
      <c r="G786" s="5"/>
      <c r="H786" s="5"/>
      <c r="I786" s="5"/>
      <c r="J786" s="5"/>
      <c r="K786" s="5"/>
      <c r="L786" s="5"/>
      <c r="M786" s="5"/>
      <c r="N786" s="5"/>
      <c r="O786" s="5"/>
      <c r="P786" s="4"/>
      <c r="Q786" s="4"/>
      <c r="R786" s="4"/>
      <c r="S786" s="4"/>
      <c r="T786" s="4"/>
      <c r="U786" s="4"/>
      <c r="V786" s="4"/>
      <c r="W786" s="4"/>
      <c r="X786" s="4"/>
      <c r="Y786" s="4"/>
      <c r="Z786" s="4"/>
      <c r="AA786" s="4"/>
    </row>
    <row r="787" spans="1:27">
      <c r="A787" s="5"/>
      <c r="B787" s="5"/>
      <c r="C787" s="4"/>
      <c r="D787" s="5"/>
      <c r="E787" s="5"/>
      <c r="F787" s="5"/>
      <c r="G787" s="5"/>
      <c r="H787" s="5"/>
      <c r="I787" s="5"/>
      <c r="J787" s="5"/>
      <c r="K787" s="5"/>
      <c r="L787" s="5"/>
      <c r="M787" s="5"/>
      <c r="N787" s="5"/>
      <c r="O787" s="5"/>
      <c r="P787" s="4"/>
      <c r="Q787" s="4"/>
      <c r="R787" s="4"/>
      <c r="S787" s="4"/>
      <c r="T787" s="4"/>
      <c r="U787" s="4"/>
      <c r="V787" s="4"/>
      <c r="W787" s="4"/>
      <c r="X787" s="4"/>
      <c r="Y787" s="4"/>
      <c r="Z787" s="4"/>
      <c r="AA787" s="4"/>
    </row>
    <row r="788" spans="1:27">
      <c r="A788" s="5"/>
      <c r="B788" s="5"/>
      <c r="C788" s="4"/>
      <c r="D788" s="5"/>
      <c r="E788" s="5"/>
      <c r="F788" s="5"/>
      <c r="G788" s="5"/>
      <c r="H788" s="5"/>
      <c r="I788" s="5"/>
      <c r="J788" s="5"/>
      <c r="K788" s="5"/>
      <c r="L788" s="5"/>
      <c r="M788" s="5"/>
      <c r="N788" s="5"/>
      <c r="O788" s="5"/>
      <c r="P788" s="4"/>
      <c r="Q788" s="4"/>
      <c r="R788" s="4"/>
      <c r="S788" s="4"/>
      <c r="T788" s="4"/>
      <c r="U788" s="4"/>
      <c r="V788" s="4"/>
      <c r="W788" s="4"/>
      <c r="X788" s="4"/>
      <c r="Y788" s="4"/>
      <c r="Z788" s="4"/>
      <c r="AA788" s="4"/>
    </row>
    <row r="789" spans="1:27">
      <c r="A789" s="5"/>
      <c r="B789" s="5"/>
      <c r="C789" s="4"/>
      <c r="D789" s="5"/>
      <c r="E789" s="5"/>
      <c r="F789" s="5"/>
      <c r="G789" s="5"/>
      <c r="H789" s="5"/>
      <c r="I789" s="5"/>
      <c r="J789" s="5"/>
      <c r="K789" s="5"/>
      <c r="L789" s="5"/>
      <c r="M789" s="5"/>
      <c r="N789" s="5"/>
      <c r="O789" s="5"/>
      <c r="P789" s="4"/>
      <c r="Q789" s="4"/>
      <c r="R789" s="4"/>
      <c r="S789" s="4"/>
      <c r="T789" s="4"/>
      <c r="U789" s="4"/>
      <c r="V789" s="4"/>
      <c r="W789" s="4"/>
      <c r="X789" s="4"/>
      <c r="Y789" s="4"/>
      <c r="Z789" s="4"/>
      <c r="AA789" s="4"/>
    </row>
    <row r="790" spans="1:27">
      <c r="A790" s="5"/>
      <c r="B790" s="5"/>
      <c r="C790" s="4"/>
      <c r="D790" s="5"/>
      <c r="E790" s="5"/>
      <c r="F790" s="5"/>
      <c r="G790" s="5"/>
      <c r="H790" s="5"/>
      <c r="I790" s="5"/>
      <c r="J790" s="5"/>
      <c r="K790" s="5"/>
      <c r="L790" s="5"/>
      <c r="M790" s="5"/>
      <c r="N790" s="5"/>
      <c r="O790" s="5"/>
      <c r="P790" s="4"/>
      <c r="Q790" s="4"/>
      <c r="R790" s="4"/>
      <c r="S790" s="4"/>
      <c r="T790" s="4"/>
      <c r="U790" s="4"/>
      <c r="V790" s="4"/>
      <c r="W790" s="4"/>
      <c r="X790" s="4"/>
      <c r="Y790" s="4"/>
      <c r="Z790" s="4"/>
      <c r="AA790" s="4"/>
    </row>
    <row r="791" spans="1:27">
      <c r="A791" s="5"/>
      <c r="B791" s="5"/>
      <c r="C791" s="4"/>
      <c r="D791" s="5"/>
      <c r="E791" s="5"/>
      <c r="F791" s="5"/>
      <c r="G791" s="5"/>
      <c r="H791" s="5"/>
      <c r="I791" s="5"/>
      <c r="J791" s="5"/>
      <c r="K791" s="5"/>
      <c r="L791" s="5"/>
      <c r="M791" s="5"/>
      <c r="N791" s="5"/>
      <c r="O791" s="5"/>
      <c r="P791" s="4"/>
      <c r="Q791" s="4"/>
      <c r="R791" s="4"/>
      <c r="S791" s="4"/>
      <c r="T791" s="4"/>
      <c r="U791" s="4"/>
      <c r="V791" s="4"/>
      <c r="W791" s="4"/>
      <c r="X791" s="4"/>
      <c r="Y791" s="4"/>
      <c r="Z791" s="4"/>
      <c r="AA791" s="4"/>
    </row>
    <row r="792" spans="1:27">
      <c r="A792" s="5"/>
      <c r="B792" s="5"/>
      <c r="C792" s="4"/>
      <c r="D792" s="5"/>
      <c r="E792" s="5"/>
      <c r="F792" s="5"/>
      <c r="G792" s="5"/>
      <c r="H792" s="5"/>
      <c r="I792" s="5"/>
      <c r="J792" s="5"/>
      <c r="K792" s="5"/>
      <c r="L792" s="5"/>
      <c r="M792" s="5"/>
      <c r="N792" s="5"/>
      <c r="O792" s="5"/>
      <c r="P792" s="4"/>
      <c r="Q792" s="4"/>
      <c r="R792" s="4"/>
      <c r="S792" s="4"/>
      <c r="T792" s="4"/>
      <c r="U792" s="4"/>
      <c r="V792" s="4"/>
      <c r="W792" s="4"/>
      <c r="X792" s="4"/>
      <c r="Y792" s="4"/>
      <c r="Z792" s="4"/>
      <c r="AA792" s="4"/>
    </row>
    <row r="793" spans="1:27">
      <c r="A793" s="5"/>
      <c r="B793" s="5"/>
      <c r="C793" s="4"/>
      <c r="D793" s="5"/>
      <c r="E793" s="5"/>
      <c r="F793" s="5"/>
      <c r="G793" s="5"/>
      <c r="H793" s="5"/>
      <c r="I793" s="5"/>
      <c r="J793" s="5"/>
      <c r="K793" s="5"/>
      <c r="L793" s="5"/>
      <c r="M793" s="5"/>
      <c r="N793" s="5"/>
      <c r="O793" s="5"/>
      <c r="P793" s="4"/>
      <c r="Q793" s="4"/>
      <c r="R793" s="4"/>
      <c r="S793" s="4"/>
      <c r="T793" s="4"/>
      <c r="U793" s="4"/>
      <c r="V793" s="4"/>
      <c r="W793" s="4"/>
      <c r="X793" s="4"/>
      <c r="Y793" s="4"/>
      <c r="Z793" s="4"/>
      <c r="AA793" s="4"/>
    </row>
    <row r="794" spans="1:27">
      <c r="A794" s="5"/>
      <c r="B794" s="5"/>
      <c r="C794" s="4"/>
      <c r="D794" s="5"/>
      <c r="E794" s="5"/>
      <c r="F794" s="5"/>
      <c r="G794" s="5"/>
      <c r="H794" s="5"/>
      <c r="I794" s="5"/>
      <c r="J794" s="5"/>
      <c r="K794" s="5"/>
      <c r="L794" s="5"/>
      <c r="M794" s="5"/>
      <c r="N794" s="5"/>
      <c r="O794" s="5"/>
      <c r="P794" s="4"/>
      <c r="Q794" s="4"/>
      <c r="R794" s="4"/>
      <c r="S794" s="4"/>
      <c r="T794" s="4"/>
      <c r="U794" s="4"/>
      <c r="V794" s="4"/>
      <c r="W794" s="4"/>
      <c r="X794" s="4"/>
      <c r="Y794" s="4"/>
      <c r="Z794" s="4"/>
      <c r="AA794" s="4"/>
    </row>
    <row r="795" spans="1:27">
      <c r="A795" s="5"/>
      <c r="B795" s="5"/>
      <c r="C795" s="4"/>
      <c r="D795" s="5"/>
      <c r="E795" s="5"/>
      <c r="F795" s="5"/>
      <c r="G795" s="5"/>
      <c r="H795" s="5"/>
      <c r="I795" s="5"/>
      <c r="J795" s="5"/>
      <c r="K795" s="5"/>
      <c r="L795" s="5"/>
      <c r="M795" s="5"/>
      <c r="N795" s="5"/>
      <c r="O795" s="5"/>
      <c r="P795" s="4"/>
      <c r="Q795" s="4"/>
      <c r="R795" s="4"/>
      <c r="S795" s="4"/>
      <c r="T795" s="4"/>
      <c r="U795" s="4"/>
      <c r="V795" s="4"/>
      <c r="W795" s="4"/>
      <c r="X795" s="4"/>
      <c r="Y795" s="4"/>
      <c r="Z795" s="4"/>
      <c r="AA795" s="4"/>
    </row>
    <row r="796" spans="1:27">
      <c r="A796" s="5"/>
      <c r="B796" s="5"/>
      <c r="C796" s="4"/>
      <c r="D796" s="5"/>
      <c r="E796" s="5"/>
      <c r="F796" s="5"/>
      <c r="G796" s="5"/>
      <c r="H796" s="5"/>
      <c r="I796" s="5"/>
      <c r="J796" s="5"/>
      <c r="K796" s="5"/>
      <c r="L796" s="5"/>
      <c r="M796" s="5"/>
      <c r="N796" s="5"/>
      <c r="O796" s="5"/>
      <c r="P796" s="4"/>
      <c r="Q796" s="4"/>
      <c r="R796" s="4"/>
      <c r="S796" s="4"/>
      <c r="T796" s="4"/>
      <c r="U796" s="4"/>
      <c r="V796" s="4"/>
      <c r="W796" s="4"/>
      <c r="X796" s="4"/>
      <c r="Y796" s="4"/>
      <c r="Z796" s="4"/>
      <c r="AA796" s="4"/>
    </row>
    <row r="797" spans="1:27">
      <c r="A797" s="5"/>
      <c r="B797" s="5"/>
      <c r="C797" s="4"/>
      <c r="D797" s="5"/>
      <c r="E797" s="5"/>
      <c r="F797" s="5"/>
      <c r="G797" s="5"/>
      <c r="H797" s="5"/>
      <c r="I797" s="5"/>
      <c r="J797" s="5"/>
      <c r="K797" s="5"/>
      <c r="L797" s="5"/>
      <c r="M797" s="5"/>
      <c r="N797" s="5"/>
      <c r="O797" s="5"/>
      <c r="P797" s="4"/>
      <c r="Q797" s="4"/>
      <c r="R797" s="4"/>
      <c r="S797" s="4"/>
      <c r="T797" s="4"/>
      <c r="U797" s="4"/>
      <c r="V797" s="4"/>
      <c r="W797" s="4"/>
      <c r="X797" s="4"/>
      <c r="Y797" s="4"/>
      <c r="Z797" s="4"/>
      <c r="AA797" s="4"/>
    </row>
    <row r="798" spans="1:27">
      <c r="A798" s="5"/>
      <c r="B798" s="5"/>
      <c r="C798" s="4"/>
      <c r="D798" s="5"/>
      <c r="E798" s="5"/>
      <c r="F798" s="5"/>
      <c r="G798" s="5"/>
      <c r="H798" s="5"/>
      <c r="I798" s="5"/>
      <c r="J798" s="5"/>
      <c r="K798" s="5"/>
      <c r="L798" s="5"/>
      <c r="M798" s="5"/>
      <c r="N798" s="5"/>
      <c r="O798" s="5"/>
      <c r="P798" s="4"/>
      <c r="Q798" s="4"/>
      <c r="R798" s="4"/>
      <c r="S798" s="4"/>
      <c r="T798" s="4"/>
      <c r="U798" s="4"/>
      <c r="V798" s="4"/>
      <c r="W798" s="4"/>
      <c r="X798" s="4"/>
      <c r="Y798" s="4"/>
      <c r="Z798" s="4"/>
      <c r="AA798" s="4"/>
    </row>
    <row r="799" spans="1:27">
      <c r="A799" s="5"/>
      <c r="B799" s="5"/>
      <c r="C799" s="4"/>
      <c r="D799" s="5"/>
      <c r="E799" s="5"/>
      <c r="F799" s="5"/>
      <c r="G799" s="5"/>
      <c r="H799" s="5"/>
      <c r="I799" s="5"/>
      <c r="J799" s="5"/>
      <c r="K799" s="5"/>
      <c r="L799" s="5"/>
      <c r="M799" s="5"/>
      <c r="N799" s="5"/>
      <c r="O799" s="5"/>
      <c r="P799" s="4"/>
      <c r="Q799" s="4"/>
      <c r="R799" s="4"/>
      <c r="S799" s="4"/>
      <c r="T799" s="4"/>
      <c r="U799" s="4"/>
      <c r="V799" s="4"/>
      <c r="W799" s="4"/>
      <c r="X799" s="4"/>
      <c r="Y799" s="4"/>
      <c r="Z799" s="4"/>
      <c r="AA799" s="4"/>
    </row>
    <row r="800" spans="1:27">
      <c r="A800" s="5"/>
      <c r="B800" s="5"/>
      <c r="C800" s="4"/>
      <c r="D800" s="5"/>
      <c r="E800" s="5"/>
      <c r="F800" s="5"/>
      <c r="G800" s="5"/>
      <c r="H800" s="5"/>
      <c r="I800" s="5"/>
      <c r="J800" s="5"/>
      <c r="K800" s="5"/>
      <c r="L800" s="5"/>
      <c r="M800" s="5"/>
      <c r="N800" s="5"/>
      <c r="O800" s="5"/>
      <c r="P800" s="4"/>
      <c r="Q800" s="4"/>
      <c r="R800" s="4"/>
      <c r="S800" s="4"/>
      <c r="T800" s="4"/>
      <c r="U800" s="4"/>
      <c r="V800" s="4"/>
      <c r="W800" s="4"/>
      <c r="X800" s="4"/>
      <c r="Y800" s="4"/>
      <c r="Z800" s="4"/>
      <c r="AA800" s="4"/>
    </row>
    <row r="801" spans="1:27">
      <c r="A801" s="5"/>
      <c r="B801" s="5"/>
      <c r="C801" s="4"/>
      <c r="D801" s="5"/>
      <c r="E801" s="5"/>
      <c r="F801" s="5"/>
      <c r="G801" s="5"/>
      <c r="H801" s="5"/>
      <c r="I801" s="5"/>
      <c r="J801" s="5"/>
      <c r="K801" s="5"/>
      <c r="L801" s="5"/>
      <c r="M801" s="5"/>
      <c r="N801" s="5"/>
      <c r="O801" s="5"/>
      <c r="P801" s="4"/>
      <c r="Q801" s="4"/>
      <c r="R801" s="4"/>
      <c r="S801" s="4"/>
      <c r="T801" s="4"/>
      <c r="U801" s="4"/>
      <c r="V801" s="4"/>
      <c r="W801" s="4"/>
      <c r="X801" s="4"/>
      <c r="Y801" s="4"/>
      <c r="Z801" s="4"/>
      <c r="AA801" s="4"/>
    </row>
    <row r="802" spans="1:27">
      <c r="A802" s="5"/>
      <c r="B802" s="5"/>
      <c r="C802" s="4"/>
      <c r="D802" s="5"/>
      <c r="E802" s="5"/>
      <c r="F802" s="5"/>
      <c r="G802" s="5"/>
      <c r="H802" s="5"/>
      <c r="I802" s="5"/>
      <c r="J802" s="5"/>
      <c r="K802" s="5"/>
      <c r="L802" s="5"/>
      <c r="M802" s="5"/>
      <c r="N802" s="5"/>
      <c r="O802" s="5"/>
      <c r="P802" s="4"/>
      <c r="Q802" s="4"/>
      <c r="R802" s="4"/>
      <c r="S802" s="4"/>
      <c r="T802" s="4"/>
      <c r="U802" s="4"/>
      <c r="V802" s="4"/>
      <c r="W802" s="4"/>
      <c r="X802" s="4"/>
      <c r="Y802" s="4"/>
      <c r="Z802" s="4"/>
      <c r="AA802" s="4"/>
    </row>
    <row r="803" spans="1:27">
      <c r="A803" s="5"/>
      <c r="B803" s="5"/>
      <c r="C803" s="4"/>
      <c r="D803" s="5"/>
      <c r="E803" s="5"/>
      <c r="F803" s="5"/>
      <c r="G803" s="5"/>
      <c r="H803" s="5"/>
      <c r="I803" s="5"/>
      <c r="J803" s="5"/>
      <c r="K803" s="5"/>
      <c r="L803" s="5"/>
      <c r="M803" s="5"/>
      <c r="N803" s="5"/>
      <c r="O803" s="5"/>
      <c r="P803" s="4"/>
      <c r="Q803" s="4"/>
      <c r="R803" s="4"/>
      <c r="S803" s="4"/>
      <c r="T803" s="4"/>
      <c r="U803" s="4"/>
      <c r="V803" s="4"/>
      <c r="W803" s="4"/>
      <c r="X803" s="4"/>
      <c r="Y803" s="4"/>
      <c r="Z803" s="4"/>
      <c r="AA803" s="4"/>
    </row>
    <row r="804" spans="1:27">
      <c r="A804" s="5"/>
      <c r="B804" s="5"/>
      <c r="C804" s="4"/>
      <c r="D804" s="5"/>
      <c r="E804" s="5"/>
      <c r="F804" s="5"/>
      <c r="G804" s="5"/>
      <c r="H804" s="5"/>
      <c r="I804" s="5"/>
      <c r="J804" s="5"/>
      <c r="K804" s="5"/>
      <c r="L804" s="5"/>
      <c r="M804" s="5"/>
      <c r="N804" s="5"/>
      <c r="O804" s="5"/>
      <c r="P804" s="4"/>
      <c r="Q804" s="4"/>
      <c r="R804" s="4"/>
      <c r="S804" s="4"/>
      <c r="T804" s="4"/>
      <c r="U804" s="4"/>
      <c r="V804" s="4"/>
      <c r="W804" s="4"/>
      <c r="X804" s="4"/>
      <c r="Y804" s="4"/>
      <c r="Z804" s="4"/>
      <c r="AA804" s="4"/>
    </row>
    <row r="805" spans="1:27">
      <c r="A805" s="5"/>
      <c r="B805" s="5"/>
      <c r="C805" s="4"/>
      <c r="D805" s="5"/>
      <c r="E805" s="5"/>
      <c r="F805" s="5"/>
      <c r="G805" s="5"/>
      <c r="H805" s="5"/>
      <c r="I805" s="5"/>
      <c r="J805" s="5"/>
      <c r="K805" s="5"/>
      <c r="L805" s="5"/>
      <c r="M805" s="5"/>
      <c r="N805" s="5"/>
      <c r="O805" s="5"/>
      <c r="P805" s="4"/>
      <c r="Q805" s="4"/>
      <c r="R805" s="4"/>
      <c r="S805" s="4"/>
      <c r="T805" s="4"/>
      <c r="U805" s="4"/>
      <c r="V805" s="4"/>
      <c r="W805" s="4"/>
      <c r="X805" s="4"/>
      <c r="Y805" s="4"/>
      <c r="Z805" s="4"/>
      <c r="AA805" s="4"/>
    </row>
    <row r="806" spans="1:27">
      <c r="A806" s="5"/>
      <c r="B806" s="5"/>
      <c r="C806" s="4"/>
      <c r="D806" s="5"/>
      <c r="E806" s="5"/>
      <c r="F806" s="5"/>
      <c r="G806" s="5"/>
      <c r="H806" s="5"/>
      <c r="I806" s="5"/>
      <c r="J806" s="5"/>
      <c r="K806" s="5"/>
      <c r="L806" s="5"/>
      <c r="M806" s="5"/>
      <c r="N806" s="5"/>
      <c r="O806" s="5"/>
      <c r="P806" s="4"/>
      <c r="Q806" s="4"/>
      <c r="R806" s="4"/>
      <c r="S806" s="4"/>
      <c r="T806" s="4"/>
      <c r="U806" s="4"/>
      <c r="V806" s="4"/>
      <c r="W806" s="4"/>
      <c r="X806" s="4"/>
      <c r="Y806" s="4"/>
      <c r="Z806" s="4"/>
      <c r="AA806" s="4"/>
    </row>
    <row r="807" spans="1:27">
      <c r="A807" s="5"/>
      <c r="B807" s="5"/>
      <c r="C807" s="4"/>
      <c r="D807" s="5"/>
      <c r="E807" s="5"/>
      <c r="F807" s="5"/>
      <c r="G807" s="5"/>
      <c r="H807" s="5"/>
      <c r="I807" s="5"/>
      <c r="J807" s="5"/>
      <c r="K807" s="5"/>
      <c r="L807" s="5"/>
      <c r="M807" s="5"/>
      <c r="N807" s="5"/>
      <c r="O807" s="5"/>
      <c r="P807" s="4"/>
      <c r="Q807" s="4"/>
      <c r="R807" s="4"/>
      <c r="S807" s="4"/>
      <c r="T807" s="4"/>
      <c r="U807" s="4"/>
      <c r="V807" s="4"/>
      <c r="W807" s="4"/>
      <c r="X807" s="4"/>
      <c r="Y807" s="4"/>
      <c r="Z807" s="4"/>
      <c r="AA807" s="4"/>
    </row>
    <row r="808" spans="1:27">
      <c r="A808" s="5"/>
      <c r="B808" s="5"/>
      <c r="C808" s="4"/>
      <c r="D808" s="5"/>
      <c r="E808" s="5"/>
      <c r="F808" s="5"/>
      <c r="G808" s="5"/>
      <c r="H808" s="5"/>
      <c r="I808" s="5"/>
      <c r="J808" s="5"/>
      <c r="K808" s="5"/>
      <c r="L808" s="5"/>
      <c r="M808" s="5"/>
      <c r="N808" s="5"/>
      <c r="O808" s="5"/>
      <c r="P808" s="4"/>
      <c r="Q808" s="4"/>
      <c r="R808" s="4"/>
      <c r="S808" s="4"/>
      <c r="T808" s="4"/>
      <c r="U808" s="4"/>
      <c r="V808" s="4"/>
      <c r="W808" s="4"/>
      <c r="X808" s="4"/>
      <c r="Y808" s="4"/>
      <c r="Z808" s="4"/>
      <c r="AA808" s="4"/>
    </row>
    <row r="809" spans="1:27">
      <c r="A809" s="5"/>
      <c r="B809" s="5"/>
      <c r="C809" s="4"/>
      <c r="D809" s="5"/>
      <c r="E809" s="5"/>
      <c r="F809" s="5"/>
      <c r="G809" s="5"/>
      <c r="H809" s="5"/>
      <c r="I809" s="5"/>
      <c r="J809" s="5"/>
      <c r="K809" s="5"/>
      <c r="L809" s="5"/>
      <c r="M809" s="5"/>
      <c r="N809" s="5"/>
      <c r="O809" s="5"/>
      <c r="P809" s="4"/>
      <c r="Q809" s="4"/>
      <c r="R809" s="4"/>
      <c r="S809" s="4"/>
      <c r="T809" s="4"/>
      <c r="U809" s="4"/>
      <c r="V809" s="4"/>
      <c r="W809" s="4"/>
      <c r="X809" s="4"/>
      <c r="Y809" s="4"/>
      <c r="Z809" s="4"/>
      <c r="AA809" s="4"/>
    </row>
    <row r="810" spans="1:27">
      <c r="A810" s="5"/>
      <c r="B810" s="5"/>
      <c r="C810" s="4"/>
      <c r="D810" s="5"/>
      <c r="E810" s="5"/>
      <c r="F810" s="5"/>
      <c r="G810" s="5"/>
      <c r="H810" s="5"/>
      <c r="I810" s="5"/>
      <c r="J810" s="5"/>
      <c r="K810" s="5"/>
      <c r="L810" s="5"/>
      <c r="M810" s="5"/>
      <c r="N810" s="5"/>
      <c r="O810" s="5"/>
      <c r="P810" s="4"/>
      <c r="Q810" s="4"/>
      <c r="R810" s="4"/>
      <c r="S810" s="4"/>
      <c r="T810" s="4"/>
      <c r="U810" s="4"/>
      <c r="V810" s="4"/>
      <c r="W810" s="4"/>
      <c r="X810" s="4"/>
      <c r="Y810" s="4"/>
      <c r="Z810" s="4"/>
      <c r="AA810" s="4"/>
    </row>
    <row r="811" spans="1:27">
      <c r="A811" s="5"/>
      <c r="B811" s="5"/>
      <c r="C811" s="4"/>
      <c r="D811" s="5"/>
      <c r="E811" s="5"/>
      <c r="F811" s="5"/>
      <c r="G811" s="5"/>
      <c r="H811" s="5"/>
      <c r="I811" s="5"/>
      <c r="J811" s="5"/>
      <c r="K811" s="5"/>
      <c r="L811" s="5"/>
      <c r="M811" s="5"/>
      <c r="N811" s="5"/>
      <c r="O811" s="5"/>
      <c r="P811" s="4"/>
      <c r="Q811" s="4"/>
      <c r="R811" s="4"/>
      <c r="S811" s="4"/>
      <c r="T811" s="4"/>
      <c r="U811" s="4"/>
      <c r="V811" s="4"/>
      <c r="W811" s="4"/>
      <c r="X811" s="4"/>
      <c r="Y811" s="4"/>
      <c r="Z811" s="4"/>
      <c r="AA811" s="4"/>
    </row>
    <row r="812" spans="1:27">
      <c r="A812" s="5"/>
      <c r="B812" s="5"/>
      <c r="C812" s="4"/>
      <c r="D812" s="5"/>
      <c r="E812" s="5"/>
      <c r="F812" s="5"/>
      <c r="G812" s="5"/>
      <c r="H812" s="5"/>
      <c r="I812" s="5"/>
      <c r="J812" s="5"/>
      <c r="K812" s="5"/>
      <c r="L812" s="5"/>
      <c r="M812" s="5"/>
      <c r="N812" s="5"/>
      <c r="O812" s="5"/>
      <c r="P812" s="4"/>
      <c r="Q812" s="4"/>
      <c r="R812" s="4"/>
      <c r="S812" s="4"/>
      <c r="T812" s="4"/>
      <c r="U812" s="4"/>
      <c r="V812" s="4"/>
      <c r="W812" s="4"/>
      <c r="X812" s="4"/>
      <c r="Y812" s="4"/>
      <c r="Z812" s="4"/>
      <c r="AA812" s="4"/>
    </row>
    <row r="813" spans="1:27">
      <c r="A813" s="5"/>
      <c r="B813" s="5"/>
      <c r="C813" s="4"/>
      <c r="D813" s="5"/>
      <c r="E813" s="5"/>
      <c r="F813" s="5"/>
      <c r="G813" s="5"/>
      <c r="H813" s="5"/>
      <c r="I813" s="5"/>
      <c r="J813" s="5"/>
      <c r="K813" s="5"/>
      <c r="L813" s="5"/>
      <c r="M813" s="5"/>
      <c r="N813" s="5"/>
      <c r="O813" s="5"/>
      <c r="P813" s="4"/>
      <c r="Q813" s="4"/>
      <c r="R813" s="4"/>
      <c r="S813" s="4"/>
      <c r="T813" s="4"/>
      <c r="U813" s="4"/>
      <c r="V813" s="4"/>
      <c r="W813" s="4"/>
      <c r="X813" s="4"/>
      <c r="Y813" s="4"/>
      <c r="Z813" s="4"/>
      <c r="AA813" s="4"/>
    </row>
    <row r="814" spans="1:27">
      <c r="A814" s="5"/>
      <c r="B814" s="5"/>
      <c r="C814" s="4"/>
      <c r="D814" s="5"/>
      <c r="E814" s="5"/>
      <c r="F814" s="5"/>
      <c r="G814" s="5"/>
      <c r="H814" s="5"/>
      <c r="I814" s="5"/>
      <c r="J814" s="5"/>
      <c r="K814" s="5"/>
      <c r="L814" s="5"/>
      <c r="M814" s="5"/>
      <c r="N814" s="5"/>
      <c r="O814" s="5"/>
      <c r="P814" s="4"/>
      <c r="Q814" s="4"/>
      <c r="R814" s="4"/>
      <c r="S814" s="4"/>
      <c r="T814" s="4"/>
      <c r="U814" s="4"/>
      <c r="V814" s="4"/>
      <c r="W814" s="4"/>
      <c r="X814" s="4"/>
      <c r="Y814" s="4"/>
      <c r="Z814" s="4"/>
      <c r="AA814" s="4"/>
    </row>
    <row r="815" spans="1:27">
      <c r="A815" s="5"/>
      <c r="B815" s="5"/>
      <c r="C815" s="4"/>
      <c r="D815" s="5"/>
      <c r="E815" s="5"/>
      <c r="F815" s="5"/>
      <c r="G815" s="5"/>
      <c r="H815" s="5"/>
      <c r="I815" s="5"/>
      <c r="J815" s="5"/>
      <c r="K815" s="5"/>
      <c r="L815" s="5"/>
      <c r="M815" s="5"/>
      <c r="N815" s="5"/>
      <c r="O815" s="5"/>
      <c r="P815" s="4"/>
      <c r="Q815" s="4"/>
      <c r="R815" s="4"/>
      <c r="S815" s="4"/>
      <c r="T815" s="4"/>
      <c r="U815" s="4"/>
      <c r="V815" s="4"/>
      <c r="W815" s="4"/>
      <c r="X815" s="4"/>
      <c r="Y815" s="4"/>
      <c r="Z815" s="4"/>
      <c r="AA815" s="4"/>
    </row>
    <row r="816" spans="1:27">
      <c r="A816" s="5"/>
      <c r="B816" s="5"/>
      <c r="C816" s="4"/>
      <c r="D816" s="5"/>
      <c r="E816" s="5"/>
      <c r="F816" s="5"/>
      <c r="G816" s="5"/>
      <c r="H816" s="5"/>
      <c r="I816" s="5"/>
      <c r="J816" s="5"/>
      <c r="K816" s="5"/>
      <c r="L816" s="5"/>
      <c r="M816" s="5"/>
      <c r="N816" s="5"/>
      <c r="O816" s="5"/>
      <c r="P816" s="4"/>
      <c r="Q816" s="4"/>
      <c r="R816" s="4"/>
      <c r="S816" s="4"/>
      <c r="T816" s="4"/>
      <c r="U816" s="4"/>
      <c r="V816" s="4"/>
      <c r="W816" s="4"/>
      <c r="X816" s="4"/>
      <c r="Y816" s="4"/>
      <c r="Z816" s="4"/>
      <c r="AA816" s="4"/>
    </row>
    <row r="817" spans="1:27">
      <c r="A817" s="5"/>
      <c r="B817" s="5"/>
      <c r="C817" s="4"/>
      <c r="D817" s="5"/>
      <c r="E817" s="5"/>
      <c r="F817" s="5"/>
      <c r="G817" s="5"/>
      <c r="H817" s="5"/>
      <c r="I817" s="5"/>
      <c r="J817" s="5"/>
      <c r="K817" s="5"/>
      <c r="L817" s="5"/>
      <c r="M817" s="5"/>
      <c r="N817" s="5"/>
      <c r="O817" s="5"/>
      <c r="P817" s="4"/>
      <c r="Q817" s="4"/>
      <c r="R817" s="4"/>
      <c r="S817" s="4"/>
      <c r="T817" s="4"/>
      <c r="U817" s="4"/>
      <c r="V817" s="4"/>
      <c r="W817" s="4"/>
      <c r="X817" s="4"/>
      <c r="Y817" s="4"/>
      <c r="Z817" s="4"/>
      <c r="AA817" s="4"/>
    </row>
    <row r="818" spans="1:27">
      <c r="A818" s="5"/>
      <c r="B818" s="5"/>
      <c r="C818" s="4"/>
      <c r="D818" s="5"/>
      <c r="E818" s="5"/>
      <c r="F818" s="5"/>
      <c r="G818" s="5"/>
      <c r="H818" s="5"/>
      <c r="I818" s="5"/>
      <c r="J818" s="5"/>
      <c r="K818" s="5"/>
      <c r="L818" s="5"/>
      <c r="M818" s="5"/>
      <c r="N818" s="5"/>
      <c r="O818" s="5"/>
      <c r="P818" s="4"/>
      <c r="Q818" s="4"/>
      <c r="R818" s="4"/>
      <c r="S818" s="4"/>
      <c r="T818" s="4"/>
      <c r="U818" s="4"/>
      <c r="V818" s="4"/>
      <c r="W818" s="4"/>
      <c r="X818" s="4"/>
      <c r="Y818" s="4"/>
      <c r="Z818" s="4"/>
      <c r="AA818" s="4"/>
    </row>
    <row r="819" spans="1:27">
      <c r="A819" s="5"/>
      <c r="B819" s="5"/>
      <c r="C819" s="4"/>
      <c r="D819" s="5"/>
      <c r="E819" s="5"/>
      <c r="F819" s="5"/>
      <c r="G819" s="5"/>
      <c r="H819" s="5"/>
      <c r="I819" s="5"/>
      <c r="J819" s="5"/>
      <c r="K819" s="5"/>
      <c r="L819" s="5"/>
      <c r="M819" s="5"/>
      <c r="N819" s="5"/>
      <c r="O819" s="5"/>
      <c r="P819" s="4"/>
      <c r="Q819" s="4"/>
      <c r="R819" s="4"/>
      <c r="S819" s="4"/>
      <c r="T819" s="4"/>
      <c r="U819" s="4"/>
      <c r="V819" s="4"/>
      <c r="W819" s="4"/>
      <c r="X819" s="4"/>
      <c r="Y819" s="4"/>
      <c r="Z819" s="4"/>
      <c r="AA819" s="4"/>
    </row>
    <row r="820" spans="1:27">
      <c r="A820" s="5"/>
      <c r="B820" s="5"/>
      <c r="C820" s="4"/>
      <c r="D820" s="5"/>
      <c r="E820" s="5"/>
      <c r="F820" s="5"/>
      <c r="G820" s="5"/>
      <c r="H820" s="5"/>
      <c r="I820" s="5"/>
      <c r="J820" s="5"/>
      <c r="K820" s="5"/>
      <c r="L820" s="5"/>
      <c r="M820" s="5"/>
      <c r="N820" s="5"/>
      <c r="O820" s="5"/>
      <c r="P820" s="4"/>
      <c r="Q820" s="4"/>
      <c r="R820" s="4"/>
      <c r="S820" s="4"/>
      <c r="T820" s="4"/>
      <c r="U820" s="4"/>
      <c r="V820" s="4"/>
      <c r="W820" s="4"/>
      <c r="X820" s="4"/>
      <c r="Y820" s="4"/>
      <c r="Z820" s="4"/>
      <c r="AA820" s="4"/>
    </row>
    <row r="821" spans="1:27">
      <c r="A821" s="5"/>
      <c r="B821" s="5"/>
      <c r="C821" s="4"/>
      <c r="D821" s="5"/>
      <c r="E821" s="5"/>
      <c r="F821" s="5"/>
      <c r="G821" s="5"/>
      <c r="H821" s="5"/>
      <c r="I821" s="5"/>
      <c r="J821" s="5"/>
      <c r="K821" s="5"/>
      <c r="L821" s="5"/>
      <c r="M821" s="5"/>
      <c r="N821" s="5"/>
      <c r="O821" s="5"/>
      <c r="P821" s="4"/>
      <c r="Q821" s="4"/>
      <c r="R821" s="4"/>
      <c r="S821" s="4"/>
      <c r="T821" s="4"/>
      <c r="U821" s="4"/>
      <c r="V821" s="4"/>
      <c r="W821" s="4"/>
      <c r="X821" s="4"/>
      <c r="Y821" s="4"/>
      <c r="Z821" s="4"/>
      <c r="AA821" s="4"/>
    </row>
    <row r="822" spans="1:27">
      <c r="A822" s="5"/>
      <c r="B822" s="5"/>
      <c r="C822" s="4"/>
      <c r="D822" s="5"/>
      <c r="E822" s="5"/>
      <c r="F822" s="5"/>
      <c r="G822" s="5"/>
      <c r="H822" s="5"/>
      <c r="I822" s="5"/>
      <c r="J822" s="5"/>
      <c r="K822" s="5"/>
      <c r="L822" s="5"/>
      <c r="M822" s="5"/>
      <c r="N822" s="5"/>
      <c r="O822" s="5"/>
      <c r="P822" s="4"/>
      <c r="Q822" s="4"/>
      <c r="R822" s="4"/>
      <c r="S822" s="4"/>
      <c r="T822" s="4"/>
      <c r="U822" s="4"/>
      <c r="V822" s="4"/>
      <c r="W822" s="4"/>
      <c r="X822" s="4"/>
      <c r="Y822" s="4"/>
      <c r="Z822" s="4"/>
      <c r="AA822" s="4"/>
    </row>
    <row r="823" spans="1:27">
      <c r="A823" s="5"/>
      <c r="B823" s="5"/>
      <c r="C823" s="4"/>
      <c r="D823" s="5"/>
      <c r="E823" s="5"/>
      <c r="F823" s="5"/>
      <c r="G823" s="5"/>
      <c r="H823" s="5"/>
      <c r="I823" s="5"/>
      <c r="J823" s="5"/>
      <c r="K823" s="5"/>
      <c r="L823" s="5"/>
      <c r="M823" s="5"/>
      <c r="N823" s="5"/>
      <c r="O823" s="5"/>
      <c r="P823" s="4"/>
      <c r="Q823" s="4"/>
      <c r="R823" s="4"/>
      <c r="S823" s="4"/>
      <c r="T823" s="4"/>
      <c r="U823" s="4"/>
      <c r="V823" s="4"/>
      <c r="W823" s="4"/>
      <c r="X823" s="4"/>
      <c r="Y823" s="4"/>
      <c r="Z823" s="4"/>
      <c r="AA823" s="4"/>
    </row>
    <row r="824" spans="1:27">
      <c r="A824" s="5"/>
      <c r="B824" s="5"/>
      <c r="C824" s="4"/>
      <c r="D824" s="5"/>
      <c r="E824" s="5"/>
      <c r="F824" s="5"/>
      <c r="G824" s="5"/>
      <c r="H824" s="5"/>
      <c r="I824" s="5"/>
      <c r="J824" s="5"/>
      <c r="K824" s="5"/>
      <c r="L824" s="5"/>
      <c r="M824" s="5"/>
      <c r="N824" s="5"/>
      <c r="O824" s="5"/>
      <c r="P824" s="4"/>
      <c r="Q824" s="4"/>
      <c r="R824" s="4"/>
      <c r="S824" s="4"/>
      <c r="T824" s="4"/>
      <c r="U824" s="4"/>
      <c r="V824" s="4"/>
      <c r="W824" s="4"/>
      <c r="X824" s="4"/>
      <c r="Y824" s="4"/>
      <c r="Z824" s="4"/>
      <c r="AA824" s="4"/>
    </row>
    <row r="825" spans="1:27">
      <c r="A825" s="5"/>
      <c r="B825" s="5"/>
      <c r="C825" s="4"/>
      <c r="D825" s="5"/>
      <c r="E825" s="5"/>
      <c r="F825" s="5"/>
      <c r="G825" s="5"/>
      <c r="H825" s="5"/>
      <c r="I825" s="5"/>
      <c r="J825" s="5"/>
      <c r="K825" s="5"/>
      <c r="L825" s="5"/>
      <c r="M825" s="5"/>
      <c r="N825" s="5"/>
      <c r="O825" s="5"/>
      <c r="P825" s="4"/>
      <c r="Q825" s="4"/>
      <c r="R825" s="4"/>
      <c r="S825" s="4"/>
      <c r="T825" s="4"/>
      <c r="U825" s="4"/>
      <c r="V825" s="4"/>
      <c r="W825" s="4"/>
      <c r="X825" s="4"/>
      <c r="Y825" s="4"/>
      <c r="Z825" s="4"/>
      <c r="AA825" s="4"/>
    </row>
    <row r="826" spans="1:27">
      <c r="A826" s="5"/>
      <c r="B826" s="5"/>
      <c r="C826" s="4"/>
      <c r="D826" s="5"/>
      <c r="E826" s="5"/>
      <c r="F826" s="5"/>
      <c r="G826" s="5"/>
      <c r="H826" s="5"/>
      <c r="I826" s="5"/>
      <c r="J826" s="5"/>
      <c r="K826" s="5"/>
      <c r="L826" s="5"/>
      <c r="M826" s="5"/>
      <c r="N826" s="5"/>
      <c r="O826" s="5"/>
      <c r="P826" s="4"/>
      <c r="Q826" s="4"/>
      <c r="R826" s="4"/>
      <c r="S826" s="4"/>
      <c r="T826" s="4"/>
      <c r="U826" s="4"/>
      <c r="V826" s="4"/>
      <c r="W826" s="4"/>
      <c r="X826" s="4"/>
      <c r="Y826" s="4"/>
      <c r="Z826" s="4"/>
      <c r="AA826" s="4"/>
    </row>
    <row r="827" spans="1:27">
      <c r="A827" s="5"/>
      <c r="B827" s="5"/>
      <c r="C827" s="4"/>
      <c r="D827" s="5"/>
      <c r="E827" s="5"/>
      <c r="F827" s="5"/>
      <c r="G827" s="5"/>
      <c r="H827" s="5"/>
      <c r="I827" s="5"/>
      <c r="J827" s="5"/>
      <c r="K827" s="5"/>
      <c r="L827" s="5"/>
      <c r="M827" s="5"/>
      <c r="N827" s="5"/>
      <c r="O827" s="5"/>
      <c r="P827" s="4"/>
      <c r="Q827" s="4"/>
      <c r="R827" s="4"/>
      <c r="S827" s="4"/>
      <c r="T827" s="4"/>
      <c r="U827" s="4"/>
      <c r="V827" s="4"/>
      <c r="W827" s="4"/>
      <c r="X827" s="4"/>
      <c r="Y827" s="4"/>
      <c r="Z827" s="4"/>
      <c r="AA827" s="4"/>
    </row>
    <row r="828" spans="1:27">
      <c r="A828" s="5"/>
      <c r="B828" s="5"/>
      <c r="C828" s="4"/>
      <c r="D828" s="5"/>
      <c r="E828" s="5"/>
      <c r="F828" s="5"/>
      <c r="G828" s="5"/>
      <c r="H828" s="5"/>
      <c r="I828" s="5"/>
      <c r="J828" s="5"/>
      <c r="K828" s="5"/>
      <c r="L828" s="5"/>
      <c r="M828" s="5"/>
      <c r="N828" s="5"/>
      <c r="O828" s="5"/>
      <c r="P828" s="4"/>
      <c r="Q828" s="4"/>
      <c r="R828" s="4"/>
      <c r="S828" s="4"/>
      <c r="T828" s="4"/>
      <c r="U828" s="4"/>
      <c r="V828" s="4"/>
      <c r="W828" s="4"/>
      <c r="X828" s="4"/>
      <c r="Y828" s="4"/>
      <c r="Z828" s="4"/>
      <c r="AA828" s="4"/>
    </row>
    <row r="829" spans="1:27">
      <c r="A829" s="5"/>
      <c r="B829" s="5"/>
      <c r="C829" s="4"/>
      <c r="D829" s="5"/>
      <c r="E829" s="5"/>
      <c r="F829" s="5"/>
      <c r="G829" s="5"/>
      <c r="H829" s="5"/>
      <c r="I829" s="5"/>
      <c r="J829" s="5"/>
      <c r="K829" s="5"/>
      <c r="L829" s="5"/>
      <c r="M829" s="5"/>
      <c r="N829" s="5"/>
      <c r="O829" s="5"/>
      <c r="P829" s="4"/>
      <c r="Q829" s="4"/>
      <c r="R829" s="4"/>
      <c r="S829" s="4"/>
      <c r="T829" s="4"/>
      <c r="U829" s="4"/>
      <c r="V829" s="4"/>
      <c r="W829" s="4"/>
      <c r="X829" s="4"/>
      <c r="Y829" s="4"/>
      <c r="Z829" s="4"/>
      <c r="AA829" s="4"/>
    </row>
    <row r="830" spans="1:27">
      <c r="A830" s="5"/>
      <c r="B830" s="5"/>
      <c r="C830" s="4"/>
      <c r="D830" s="5"/>
      <c r="E830" s="5"/>
      <c r="F830" s="5"/>
      <c r="G830" s="5"/>
      <c r="H830" s="5"/>
      <c r="I830" s="5"/>
      <c r="J830" s="5"/>
      <c r="K830" s="5"/>
      <c r="L830" s="5"/>
      <c r="M830" s="5"/>
      <c r="N830" s="5"/>
      <c r="O830" s="5"/>
      <c r="P830" s="4"/>
      <c r="Q830" s="4"/>
      <c r="R830" s="4"/>
      <c r="S830" s="4"/>
      <c r="T830" s="4"/>
      <c r="U830" s="4"/>
      <c r="V830" s="4"/>
      <c r="W830" s="4"/>
      <c r="X830" s="4"/>
      <c r="Y830" s="4"/>
      <c r="Z830" s="4"/>
      <c r="AA830" s="4"/>
    </row>
    <row r="831" spans="1:27">
      <c r="A831" s="5"/>
      <c r="B831" s="5"/>
      <c r="C831" s="4"/>
      <c r="D831" s="5"/>
      <c r="E831" s="5"/>
      <c r="F831" s="5"/>
      <c r="G831" s="5"/>
      <c r="H831" s="5"/>
      <c r="I831" s="5"/>
      <c r="J831" s="5"/>
      <c r="K831" s="5"/>
      <c r="L831" s="5"/>
      <c r="M831" s="5"/>
      <c r="N831" s="5"/>
      <c r="O831" s="5"/>
      <c r="P831" s="4"/>
      <c r="Q831" s="4"/>
      <c r="R831" s="4"/>
      <c r="S831" s="4"/>
      <c r="T831" s="4"/>
      <c r="U831" s="4"/>
      <c r="V831" s="4"/>
      <c r="W831" s="4"/>
      <c r="X831" s="4"/>
      <c r="Y831" s="4"/>
      <c r="Z831" s="4"/>
      <c r="AA831" s="4"/>
    </row>
    <row r="832" spans="1:27">
      <c r="A832" s="5"/>
      <c r="B832" s="5"/>
      <c r="C832" s="4"/>
      <c r="D832" s="5"/>
      <c r="E832" s="5"/>
      <c r="F832" s="5"/>
      <c r="G832" s="5"/>
      <c r="H832" s="5"/>
      <c r="I832" s="5"/>
      <c r="J832" s="5"/>
      <c r="K832" s="5"/>
      <c r="L832" s="5"/>
      <c r="M832" s="5"/>
      <c r="N832" s="5"/>
      <c r="O832" s="5"/>
      <c r="P832" s="4"/>
      <c r="Q832" s="4"/>
      <c r="R832" s="4"/>
      <c r="S832" s="4"/>
      <c r="T832" s="4"/>
      <c r="U832" s="4"/>
      <c r="V832" s="4"/>
      <c r="W832" s="4"/>
      <c r="X832" s="4"/>
      <c r="Y832" s="4"/>
      <c r="Z832" s="4"/>
      <c r="AA832" s="4"/>
    </row>
    <row r="833" spans="1:27">
      <c r="A833" s="5"/>
      <c r="B833" s="5"/>
      <c r="C833" s="4"/>
      <c r="D833" s="5"/>
      <c r="E833" s="5"/>
      <c r="F833" s="5"/>
      <c r="G833" s="5"/>
      <c r="H833" s="5"/>
      <c r="I833" s="5"/>
      <c r="J833" s="5"/>
      <c r="K833" s="5"/>
      <c r="L833" s="5"/>
      <c r="M833" s="5"/>
      <c r="N833" s="5"/>
      <c r="O833" s="5"/>
      <c r="P833" s="4"/>
      <c r="Q833" s="4"/>
      <c r="R833" s="4"/>
      <c r="S833" s="4"/>
      <c r="T833" s="4"/>
      <c r="U833" s="4"/>
      <c r="V833" s="4"/>
      <c r="W833" s="4"/>
      <c r="X833" s="4"/>
      <c r="Y833" s="4"/>
      <c r="Z833" s="4"/>
      <c r="AA833" s="4"/>
    </row>
    <row r="834" spans="1:27">
      <c r="A834" s="5"/>
      <c r="B834" s="5"/>
      <c r="C834" s="4"/>
      <c r="D834" s="5"/>
      <c r="E834" s="5"/>
      <c r="F834" s="5"/>
      <c r="G834" s="5"/>
      <c r="H834" s="5"/>
      <c r="I834" s="5"/>
      <c r="J834" s="5"/>
      <c r="K834" s="5"/>
      <c r="L834" s="5"/>
      <c r="M834" s="5"/>
      <c r="N834" s="5"/>
      <c r="O834" s="5"/>
      <c r="P834" s="4"/>
      <c r="Q834" s="4"/>
      <c r="R834" s="4"/>
      <c r="S834" s="4"/>
      <c r="T834" s="4"/>
      <c r="U834" s="4"/>
      <c r="V834" s="4"/>
      <c r="W834" s="4"/>
      <c r="X834" s="4"/>
      <c r="Y834" s="4"/>
      <c r="Z834" s="4"/>
      <c r="AA834" s="4"/>
    </row>
    <row r="835" spans="1:27">
      <c r="A835" s="5"/>
      <c r="B835" s="5"/>
      <c r="C835" s="4"/>
      <c r="D835" s="5"/>
      <c r="E835" s="5"/>
      <c r="F835" s="5"/>
      <c r="G835" s="5"/>
      <c r="H835" s="5"/>
      <c r="I835" s="5"/>
      <c r="J835" s="5"/>
      <c r="K835" s="5"/>
      <c r="L835" s="5"/>
      <c r="M835" s="5"/>
      <c r="N835" s="5"/>
      <c r="O835" s="5"/>
      <c r="P835" s="4"/>
      <c r="Q835" s="4"/>
      <c r="R835" s="4"/>
      <c r="S835" s="4"/>
      <c r="T835" s="4"/>
      <c r="U835" s="4"/>
      <c r="V835" s="4"/>
      <c r="W835" s="4"/>
      <c r="X835" s="4"/>
      <c r="Y835" s="4"/>
      <c r="Z835" s="4"/>
      <c r="AA835" s="4"/>
    </row>
    <row r="836" spans="1:27">
      <c r="A836" s="5"/>
      <c r="B836" s="5"/>
      <c r="C836" s="4"/>
      <c r="D836" s="5"/>
      <c r="E836" s="5"/>
      <c r="F836" s="5"/>
      <c r="G836" s="5"/>
      <c r="H836" s="5"/>
      <c r="I836" s="5"/>
      <c r="J836" s="5"/>
      <c r="K836" s="5"/>
      <c r="L836" s="5"/>
      <c r="M836" s="5"/>
      <c r="N836" s="5"/>
      <c r="O836" s="5"/>
      <c r="P836" s="4"/>
      <c r="Q836" s="4"/>
      <c r="R836" s="4"/>
      <c r="S836" s="4"/>
      <c r="T836" s="4"/>
      <c r="U836" s="4"/>
      <c r="V836" s="4"/>
      <c r="W836" s="4"/>
      <c r="X836" s="4"/>
      <c r="Y836" s="4"/>
      <c r="Z836" s="4"/>
      <c r="AA836" s="4"/>
    </row>
    <row r="837" spans="1:27">
      <c r="A837" s="5"/>
      <c r="B837" s="5"/>
      <c r="C837" s="4"/>
      <c r="D837" s="5"/>
      <c r="E837" s="5"/>
      <c r="F837" s="5"/>
      <c r="G837" s="5"/>
      <c r="H837" s="5"/>
      <c r="I837" s="5"/>
      <c r="J837" s="5"/>
      <c r="K837" s="5"/>
      <c r="L837" s="5"/>
      <c r="M837" s="5"/>
      <c r="N837" s="5"/>
      <c r="O837" s="5"/>
      <c r="P837" s="4"/>
      <c r="Q837" s="4"/>
      <c r="R837" s="4"/>
      <c r="S837" s="4"/>
      <c r="T837" s="4"/>
      <c r="U837" s="4"/>
      <c r="V837" s="4"/>
      <c r="W837" s="4"/>
      <c r="X837" s="4"/>
      <c r="Y837" s="4"/>
      <c r="Z837" s="4"/>
      <c r="AA837" s="4"/>
    </row>
    <row r="838" spans="1:27">
      <c r="A838" s="5"/>
      <c r="B838" s="5"/>
      <c r="C838" s="4"/>
      <c r="D838" s="5"/>
      <c r="E838" s="5"/>
      <c r="F838" s="5"/>
      <c r="G838" s="5"/>
      <c r="H838" s="5"/>
      <c r="I838" s="5"/>
      <c r="J838" s="5"/>
      <c r="K838" s="5"/>
      <c r="L838" s="5"/>
      <c r="M838" s="5"/>
      <c r="N838" s="5"/>
      <c r="O838" s="5"/>
      <c r="P838" s="4"/>
      <c r="Q838" s="4"/>
      <c r="R838" s="4"/>
      <c r="S838" s="4"/>
      <c r="T838" s="4"/>
      <c r="U838" s="4"/>
      <c r="V838" s="4"/>
      <c r="W838" s="4"/>
      <c r="X838" s="4"/>
      <c r="Y838" s="4"/>
      <c r="Z838" s="4"/>
      <c r="AA838" s="4"/>
    </row>
    <row r="839" spans="1:27">
      <c r="A839" s="5"/>
      <c r="B839" s="5"/>
      <c r="C839" s="4"/>
      <c r="D839" s="5"/>
      <c r="E839" s="5"/>
      <c r="F839" s="5"/>
      <c r="G839" s="5"/>
      <c r="H839" s="5"/>
      <c r="I839" s="5"/>
      <c r="J839" s="5"/>
      <c r="K839" s="5"/>
      <c r="L839" s="5"/>
      <c r="M839" s="5"/>
      <c r="N839" s="5"/>
      <c r="O839" s="5"/>
      <c r="P839" s="4"/>
      <c r="Q839" s="4"/>
      <c r="R839" s="4"/>
      <c r="S839" s="4"/>
      <c r="T839" s="4"/>
      <c r="U839" s="4"/>
      <c r="V839" s="4"/>
      <c r="W839" s="4"/>
      <c r="X839" s="4"/>
      <c r="Y839" s="4"/>
      <c r="Z839" s="4"/>
      <c r="AA839" s="4"/>
    </row>
    <row r="840" spans="1:27">
      <c r="A840" s="5"/>
      <c r="B840" s="5"/>
      <c r="C840" s="4"/>
      <c r="D840" s="5"/>
      <c r="E840" s="5"/>
      <c r="F840" s="5"/>
      <c r="G840" s="5"/>
      <c r="H840" s="5"/>
      <c r="I840" s="5"/>
      <c r="J840" s="5"/>
      <c r="K840" s="5"/>
      <c r="L840" s="5"/>
      <c r="M840" s="5"/>
      <c r="N840" s="5"/>
      <c r="O840" s="5"/>
      <c r="P840" s="4"/>
      <c r="Q840" s="4"/>
      <c r="R840" s="4"/>
      <c r="S840" s="4"/>
      <c r="T840" s="4"/>
      <c r="U840" s="4"/>
      <c r="V840" s="4"/>
      <c r="W840" s="4"/>
      <c r="X840" s="4"/>
      <c r="Y840" s="4"/>
      <c r="Z840" s="4"/>
      <c r="AA840" s="4"/>
    </row>
    <row r="841" spans="1:27">
      <c r="A841" s="5"/>
      <c r="B841" s="5"/>
      <c r="C841" s="4"/>
      <c r="D841" s="5"/>
      <c r="E841" s="5"/>
      <c r="F841" s="5"/>
      <c r="G841" s="5"/>
      <c r="H841" s="5"/>
      <c r="I841" s="5"/>
      <c r="J841" s="5"/>
      <c r="K841" s="5"/>
      <c r="L841" s="5"/>
      <c r="M841" s="5"/>
      <c r="N841" s="5"/>
      <c r="O841" s="5"/>
      <c r="P841" s="4"/>
      <c r="Q841" s="4"/>
      <c r="R841" s="4"/>
      <c r="S841" s="4"/>
      <c r="T841" s="4"/>
      <c r="U841" s="4"/>
      <c r="V841" s="4"/>
      <c r="W841" s="4"/>
      <c r="X841" s="4"/>
      <c r="Y841" s="4"/>
      <c r="Z841" s="4"/>
      <c r="AA841" s="4"/>
    </row>
    <row r="842" spans="1:27">
      <c r="A842" s="5"/>
      <c r="B842" s="5"/>
      <c r="C842" s="4"/>
      <c r="D842" s="5"/>
      <c r="E842" s="5"/>
      <c r="F842" s="5"/>
      <c r="G842" s="5"/>
      <c r="H842" s="5"/>
      <c r="I842" s="5"/>
      <c r="J842" s="5"/>
      <c r="K842" s="5"/>
      <c r="L842" s="5"/>
      <c r="M842" s="5"/>
      <c r="N842" s="5"/>
      <c r="O842" s="5"/>
      <c r="P842" s="4"/>
      <c r="Q842" s="4"/>
      <c r="R842" s="4"/>
      <c r="S842" s="4"/>
      <c r="T842" s="4"/>
      <c r="U842" s="4"/>
      <c r="V842" s="4"/>
      <c r="W842" s="4"/>
      <c r="X842" s="4"/>
      <c r="Y842" s="4"/>
      <c r="Z842" s="4"/>
      <c r="AA842" s="4"/>
    </row>
    <row r="843" spans="1:27">
      <c r="A843" s="5"/>
      <c r="B843" s="5"/>
      <c r="C843" s="4"/>
      <c r="D843" s="5"/>
      <c r="E843" s="5"/>
      <c r="F843" s="5"/>
      <c r="G843" s="5"/>
      <c r="H843" s="5"/>
      <c r="I843" s="5"/>
      <c r="J843" s="5"/>
      <c r="K843" s="5"/>
      <c r="L843" s="5"/>
      <c r="M843" s="5"/>
      <c r="N843" s="5"/>
      <c r="O843" s="5"/>
      <c r="P843" s="4"/>
      <c r="Q843" s="4"/>
      <c r="R843" s="4"/>
      <c r="S843" s="4"/>
      <c r="T843" s="4"/>
      <c r="U843" s="4"/>
      <c r="V843" s="4"/>
      <c r="W843" s="4"/>
      <c r="X843" s="4"/>
      <c r="Y843" s="4"/>
      <c r="Z843" s="4"/>
      <c r="AA843" s="4"/>
    </row>
    <row r="844" spans="1:27">
      <c r="A844" s="5"/>
      <c r="B844" s="5"/>
      <c r="C844" s="4"/>
      <c r="D844" s="5"/>
      <c r="E844" s="5"/>
      <c r="F844" s="5"/>
      <c r="G844" s="5"/>
      <c r="H844" s="5"/>
      <c r="I844" s="5"/>
      <c r="J844" s="5"/>
      <c r="K844" s="5"/>
      <c r="L844" s="5"/>
      <c r="M844" s="5"/>
      <c r="N844" s="5"/>
      <c r="O844" s="5"/>
      <c r="P844" s="4"/>
      <c r="Q844" s="4"/>
      <c r="R844" s="4"/>
      <c r="S844" s="4"/>
      <c r="T844" s="4"/>
      <c r="U844" s="4"/>
      <c r="V844" s="4"/>
      <c r="W844" s="4"/>
      <c r="X844" s="4"/>
      <c r="Y844" s="4"/>
      <c r="Z844" s="4"/>
      <c r="AA844" s="4"/>
    </row>
    <row r="845" spans="1:27">
      <c r="A845" s="5"/>
      <c r="B845" s="5"/>
      <c r="C845" s="4"/>
      <c r="D845" s="5"/>
      <c r="E845" s="5"/>
      <c r="F845" s="5"/>
      <c r="G845" s="5"/>
      <c r="H845" s="5"/>
      <c r="I845" s="5"/>
      <c r="J845" s="5"/>
      <c r="K845" s="5"/>
      <c r="L845" s="5"/>
      <c r="M845" s="5"/>
      <c r="N845" s="5"/>
      <c r="O845" s="5"/>
      <c r="P845" s="4"/>
      <c r="Q845" s="4"/>
      <c r="R845" s="4"/>
      <c r="S845" s="4"/>
      <c r="T845" s="4"/>
      <c r="U845" s="4"/>
      <c r="V845" s="4"/>
      <c r="W845" s="4"/>
      <c r="X845" s="4"/>
      <c r="Y845" s="4"/>
      <c r="Z845" s="4"/>
      <c r="AA845" s="4"/>
    </row>
    <row r="846" spans="1:27">
      <c r="A846" s="5"/>
      <c r="B846" s="5"/>
      <c r="C846" s="4"/>
      <c r="D846" s="5"/>
      <c r="E846" s="5"/>
      <c r="F846" s="5"/>
      <c r="G846" s="5"/>
      <c r="H846" s="5"/>
      <c r="I846" s="5"/>
      <c r="J846" s="5"/>
      <c r="K846" s="5"/>
      <c r="L846" s="5"/>
      <c r="M846" s="5"/>
      <c r="N846" s="5"/>
      <c r="O846" s="5"/>
      <c r="P846" s="4"/>
      <c r="Q846" s="4"/>
      <c r="R846" s="4"/>
      <c r="S846" s="4"/>
      <c r="T846" s="4"/>
      <c r="U846" s="4"/>
      <c r="V846" s="4"/>
      <c r="W846" s="4"/>
      <c r="X846" s="4"/>
      <c r="Y846" s="4"/>
      <c r="Z846" s="4"/>
      <c r="AA846" s="4"/>
    </row>
    <row r="847" spans="1:27">
      <c r="A847" s="5"/>
      <c r="B847" s="5"/>
      <c r="C847" s="4"/>
      <c r="D847" s="5"/>
      <c r="E847" s="5"/>
      <c r="F847" s="5"/>
      <c r="G847" s="5"/>
      <c r="H847" s="5"/>
      <c r="I847" s="5"/>
      <c r="J847" s="5"/>
      <c r="K847" s="5"/>
      <c r="L847" s="5"/>
      <c r="M847" s="5"/>
      <c r="N847" s="5"/>
      <c r="O847" s="5"/>
      <c r="P847" s="4"/>
      <c r="Q847" s="4"/>
      <c r="R847" s="4"/>
      <c r="S847" s="4"/>
      <c r="T847" s="4"/>
      <c r="U847" s="4"/>
      <c r="V847" s="4"/>
      <c r="W847" s="4"/>
      <c r="X847" s="4"/>
      <c r="Y847" s="4"/>
      <c r="Z847" s="4"/>
      <c r="AA847" s="4"/>
    </row>
    <row r="848" spans="1:27">
      <c r="A848" s="5"/>
      <c r="B848" s="5"/>
      <c r="C848" s="4"/>
      <c r="D848" s="5"/>
      <c r="E848" s="5"/>
      <c r="F848" s="5"/>
      <c r="G848" s="5"/>
      <c r="H848" s="5"/>
      <c r="I848" s="5"/>
      <c r="J848" s="5"/>
      <c r="K848" s="5"/>
      <c r="L848" s="5"/>
      <c r="M848" s="5"/>
      <c r="N848" s="5"/>
      <c r="O848" s="5"/>
      <c r="P848" s="4"/>
      <c r="Q848" s="4"/>
      <c r="R848" s="4"/>
      <c r="S848" s="4"/>
      <c r="T848" s="4"/>
      <c r="U848" s="4"/>
      <c r="V848" s="4"/>
      <c r="W848" s="4"/>
      <c r="X848" s="4"/>
      <c r="Y848" s="4"/>
      <c r="Z848" s="4"/>
      <c r="AA848" s="4"/>
    </row>
    <row r="849" spans="1:27">
      <c r="A849" s="5"/>
      <c r="B849" s="5"/>
      <c r="C849" s="4"/>
      <c r="D849" s="5"/>
      <c r="E849" s="5"/>
      <c r="F849" s="5"/>
      <c r="G849" s="5"/>
      <c r="H849" s="5"/>
      <c r="I849" s="5"/>
      <c r="J849" s="5"/>
      <c r="K849" s="5"/>
      <c r="L849" s="5"/>
      <c r="M849" s="5"/>
      <c r="N849" s="5"/>
      <c r="O849" s="5"/>
      <c r="P849" s="4"/>
      <c r="Q849" s="4"/>
      <c r="R849" s="4"/>
      <c r="S849" s="4"/>
      <c r="T849" s="4"/>
      <c r="U849" s="4"/>
      <c r="V849" s="4"/>
      <c r="W849" s="4"/>
      <c r="X849" s="4"/>
      <c r="Y849" s="4"/>
      <c r="Z849" s="4"/>
      <c r="AA849" s="4"/>
    </row>
    <row r="850" spans="1:27">
      <c r="A850" s="5"/>
      <c r="B850" s="5"/>
      <c r="C850" s="4"/>
      <c r="D850" s="5"/>
      <c r="E850" s="5"/>
      <c r="F850" s="5"/>
      <c r="G850" s="5"/>
      <c r="H850" s="5"/>
      <c r="I850" s="5"/>
      <c r="J850" s="5"/>
      <c r="K850" s="5"/>
      <c r="L850" s="5"/>
      <c r="M850" s="5"/>
      <c r="N850" s="5"/>
      <c r="O850" s="5"/>
      <c r="P850" s="4"/>
      <c r="Q850" s="4"/>
      <c r="R850" s="4"/>
      <c r="S850" s="4"/>
      <c r="T850" s="4"/>
      <c r="U850" s="4"/>
      <c r="V850" s="4"/>
      <c r="W850" s="4"/>
      <c r="X850" s="4"/>
      <c r="Y850" s="4"/>
      <c r="Z850" s="4"/>
      <c r="AA850" s="4"/>
    </row>
    <row r="851" spans="1:27">
      <c r="A851" s="5"/>
      <c r="B851" s="5"/>
      <c r="C851" s="4"/>
      <c r="D851" s="5"/>
      <c r="E851" s="5"/>
      <c r="F851" s="5"/>
      <c r="G851" s="5"/>
      <c r="H851" s="5"/>
      <c r="I851" s="5"/>
      <c r="J851" s="5"/>
      <c r="K851" s="5"/>
      <c r="L851" s="5"/>
      <c r="M851" s="5"/>
      <c r="N851" s="5"/>
      <c r="O851" s="5"/>
      <c r="P851" s="4"/>
      <c r="Q851" s="4"/>
      <c r="R851" s="4"/>
      <c r="S851" s="4"/>
      <c r="T851" s="4"/>
      <c r="U851" s="4"/>
      <c r="V851" s="4"/>
      <c r="W851" s="4"/>
      <c r="X851" s="4"/>
      <c r="Y851" s="4"/>
      <c r="Z851" s="4"/>
      <c r="AA851" s="4"/>
    </row>
    <row r="852" spans="1:27">
      <c r="A852" s="5"/>
      <c r="B852" s="5"/>
      <c r="C852" s="4"/>
      <c r="D852" s="5"/>
      <c r="E852" s="5"/>
      <c r="F852" s="5"/>
      <c r="G852" s="5"/>
      <c r="H852" s="5"/>
      <c r="I852" s="5"/>
      <c r="J852" s="5"/>
      <c r="K852" s="5"/>
      <c r="L852" s="5"/>
      <c r="M852" s="5"/>
      <c r="N852" s="5"/>
      <c r="O852" s="5"/>
      <c r="P852" s="4"/>
      <c r="Q852" s="4"/>
      <c r="R852" s="4"/>
      <c r="S852" s="4"/>
      <c r="T852" s="4"/>
      <c r="U852" s="4"/>
      <c r="V852" s="4"/>
      <c r="W852" s="4"/>
      <c r="X852" s="4"/>
      <c r="Y852" s="4"/>
      <c r="Z852" s="4"/>
      <c r="AA852" s="4"/>
    </row>
    <row r="853" spans="1:27">
      <c r="A853" s="5"/>
      <c r="B853" s="5"/>
      <c r="C853" s="4"/>
      <c r="D853" s="5"/>
      <c r="E853" s="5"/>
      <c r="F853" s="5"/>
      <c r="G853" s="5"/>
      <c r="H853" s="5"/>
      <c r="I853" s="5"/>
      <c r="J853" s="5"/>
      <c r="K853" s="5"/>
      <c r="L853" s="5"/>
      <c r="M853" s="5"/>
      <c r="N853" s="5"/>
      <c r="O853" s="5"/>
      <c r="P853" s="4"/>
      <c r="Q853" s="4"/>
      <c r="R853" s="4"/>
      <c r="S853" s="4"/>
      <c r="T853" s="4"/>
      <c r="U853" s="4"/>
      <c r="V853" s="4"/>
      <c r="W853" s="4"/>
      <c r="X853" s="4"/>
      <c r="Y853" s="4"/>
      <c r="Z853" s="4"/>
      <c r="AA853" s="4"/>
    </row>
    <row r="854" spans="1:27">
      <c r="A854" s="5"/>
      <c r="B854" s="5"/>
      <c r="C854" s="4"/>
      <c r="D854" s="5"/>
      <c r="E854" s="5"/>
      <c r="F854" s="5"/>
      <c r="G854" s="5"/>
      <c r="H854" s="5"/>
      <c r="I854" s="5"/>
      <c r="J854" s="5"/>
      <c r="K854" s="5"/>
      <c r="L854" s="5"/>
      <c r="M854" s="5"/>
      <c r="N854" s="5"/>
      <c r="O854" s="5"/>
      <c r="P854" s="4"/>
      <c r="Q854" s="4"/>
      <c r="R854" s="4"/>
      <c r="S854" s="4"/>
      <c r="T854" s="4"/>
      <c r="U854" s="4"/>
      <c r="V854" s="4"/>
      <c r="W854" s="4"/>
      <c r="X854" s="4"/>
      <c r="Y854" s="4"/>
      <c r="Z854" s="4"/>
      <c r="AA854" s="4"/>
    </row>
    <row r="855" spans="1:27">
      <c r="A855" s="5"/>
      <c r="B855" s="5"/>
      <c r="C855" s="4"/>
      <c r="D855" s="5"/>
      <c r="E855" s="5"/>
      <c r="F855" s="5"/>
      <c r="G855" s="5"/>
      <c r="H855" s="5"/>
      <c r="I855" s="5"/>
      <c r="J855" s="5"/>
      <c r="K855" s="5"/>
      <c r="L855" s="5"/>
      <c r="M855" s="5"/>
      <c r="N855" s="5"/>
      <c r="O855" s="5"/>
      <c r="P855" s="4"/>
      <c r="Q855" s="4"/>
      <c r="R855" s="4"/>
      <c r="S855" s="4"/>
      <c r="T855" s="4"/>
      <c r="U855" s="4"/>
      <c r="V855" s="4"/>
      <c r="W855" s="4"/>
      <c r="X855" s="4"/>
      <c r="Y855" s="4"/>
      <c r="Z855" s="4"/>
      <c r="AA855" s="4"/>
    </row>
    <row r="856" spans="1:27">
      <c r="A856" s="5"/>
      <c r="B856" s="5"/>
      <c r="C856" s="4"/>
      <c r="D856" s="5"/>
      <c r="E856" s="5"/>
      <c r="F856" s="5"/>
      <c r="G856" s="5"/>
      <c r="H856" s="5"/>
      <c r="I856" s="5"/>
      <c r="J856" s="5"/>
      <c r="K856" s="5"/>
      <c r="L856" s="5"/>
      <c r="M856" s="5"/>
      <c r="N856" s="5"/>
      <c r="O856" s="5"/>
      <c r="P856" s="4"/>
      <c r="Q856" s="4"/>
      <c r="R856" s="4"/>
      <c r="S856" s="4"/>
      <c r="T856" s="4"/>
      <c r="U856" s="4"/>
      <c r="V856" s="4"/>
      <c r="W856" s="4"/>
      <c r="X856" s="4"/>
      <c r="Y856" s="4"/>
      <c r="Z856" s="4"/>
      <c r="AA856" s="4"/>
    </row>
    <row r="857" spans="1:27">
      <c r="A857" s="5"/>
      <c r="B857" s="5"/>
      <c r="C857" s="4"/>
      <c r="D857" s="5"/>
      <c r="E857" s="5"/>
      <c r="F857" s="5"/>
      <c r="G857" s="5"/>
      <c r="H857" s="5"/>
      <c r="I857" s="5"/>
      <c r="J857" s="5"/>
      <c r="K857" s="5"/>
      <c r="L857" s="5"/>
      <c r="M857" s="5"/>
      <c r="N857" s="5"/>
      <c r="O857" s="5"/>
      <c r="P857" s="4"/>
      <c r="Q857" s="4"/>
      <c r="R857" s="4"/>
      <c r="S857" s="4"/>
      <c r="T857" s="4"/>
      <c r="U857" s="4"/>
      <c r="V857" s="4"/>
      <c r="W857" s="4"/>
      <c r="X857" s="4"/>
      <c r="Y857" s="4"/>
      <c r="Z857" s="4"/>
      <c r="AA857" s="4"/>
    </row>
    <row r="858" spans="1:27">
      <c r="A858" s="5"/>
      <c r="B858" s="5"/>
      <c r="C858" s="4"/>
      <c r="D858" s="5"/>
      <c r="E858" s="5"/>
      <c r="F858" s="5"/>
      <c r="G858" s="5"/>
      <c r="H858" s="5"/>
      <c r="I858" s="5"/>
      <c r="J858" s="5"/>
      <c r="K858" s="5"/>
      <c r="L858" s="5"/>
      <c r="M858" s="5"/>
      <c r="N858" s="5"/>
      <c r="O858" s="5"/>
      <c r="P858" s="4"/>
      <c r="Q858" s="4"/>
      <c r="R858" s="4"/>
      <c r="S858" s="4"/>
      <c r="T858" s="4"/>
      <c r="U858" s="4"/>
      <c r="V858" s="4"/>
      <c r="W858" s="4"/>
      <c r="X858" s="4"/>
      <c r="Y858" s="4"/>
      <c r="Z858" s="4"/>
      <c r="AA858" s="4"/>
    </row>
    <row r="859" spans="1:27">
      <c r="A859" s="5"/>
      <c r="B859" s="5"/>
      <c r="C859" s="4"/>
      <c r="D859" s="5"/>
      <c r="E859" s="5"/>
      <c r="F859" s="5"/>
      <c r="G859" s="5"/>
      <c r="H859" s="5"/>
      <c r="I859" s="5"/>
      <c r="J859" s="5"/>
      <c r="K859" s="5"/>
      <c r="L859" s="5"/>
      <c r="M859" s="5"/>
      <c r="N859" s="5"/>
      <c r="O859" s="5"/>
      <c r="P859" s="4"/>
      <c r="Q859" s="4"/>
      <c r="R859" s="4"/>
      <c r="S859" s="4"/>
      <c r="T859" s="4"/>
      <c r="U859" s="4"/>
      <c r="V859" s="4"/>
      <c r="W859" s="4"/>
      <c r="X859" s="4"/>
      <c r="Y859" s="4"/>
      <c r="Z859" s="4"/>
      <c r="AA859" s="4"/>
    </row>
    <row r="860" spans="1:27">
      <c r="A860" s="5"/>
      <c r="B860" s="5"/>
      <c r="C860" s="4"/>
      <c r="D860" s="5"/>
      <c r="E860" s="5"/>
      <c r="F860" s="5"/>
      <c r="G860" s="5"/>
      <c r="H860" s="5"/>
      <c r="I860" s="5"/>
      <c r="J860" s="5"/>
      <c r="K860" s="5"/>
      <c r="L860" s="5"/>
      <c r="M860" s="5"/>
      <c r="N860" s="5"/>
      <c r="O860" s="5"/>
      <c r="P860" s="4"/>
      <c r="Q860" s="4"/>
      <c r="R860" s="4"/>
      <c r="S860" s="4"/>
      <c r="T860" s="4"/>
      <c r="U860" s="4"/>
      <c r="V860" s="4"/>
      <c r="W860" s="4"/>
      <c r="X860" s="4"/>
      <c r="Y860" s="4"/>
      <c r="Z860" s="4"/>
      <c r="AA860" s="4"/>
    </row>
    <row r="861" spans="1:27">
      <c r="A861" s="5"/>
      <c r="B861" s="5"/>
      <c r="C861" s="4"/>
      <c r="D861" s="5"/>
      <c r="E861" s="5"/>
      <c r="F861" s="5"/>
      <c r="G861" s="5"/>
      <c r="H861" s="5"/>
      <c r="I861" s="5"/>
      <c r="J861" s="5"/>
      <c r="K861" s="5"/>
      <c r="L861" s="5"/>
      <c r="M861" s="5"/>
      <c r="N861" s="5"/>
      <c r="O861" s="5"/>
      <c r="P861" s="4"/>
      <c r="Q861" s="4"/>
      <c r="R861" s="4"/>
      <c r="S861" s="4"/>
      <c r="T861" s="4"/>
      <c r="U861" s="4"/>
      <c r="V861" s="4"/>
      <c r="W861" s="4"/>
      <c r="X861" s="4"/>
      <c r="Y861" s="4"/>
      <c r="Z861" s="4"/>
      <c r="AA861" s="4"/>
    </row>
    <row r="862" spans="1:27">
      <c r="A862" s="5"/>
      <c r="B862" s="5"/>
      <c r="C862" s="4"/>
      <c r="D862" s="5"/>
      <c r="E862" s="5"/>
      <c r="F862" s="5"/>
      <c r="G862" s="5"/>
      <c r="H862" s="5"/>
      <c r="I862" s="5"/>
      <c r="J862" s="5"/>
      <c r="K862" s="5"/>
      <c r="L862" s="5"/>
      <c r="M862" s="5"/>
      <c r="N862" s="5"/>
      <c r="O862" s="5"/>
      <c r="P862" s="4"/>
      <c r="Q862" s="4"/>
      <c r="R862" s="4"/>
      <c r="S862" s="4"/>
      <c r="T862" s="4"/>
      <c r="U862" s="4"/>
      <c r="V862" s="4"/>
      <c r="W862" s="4"/>
      <c r="X862" s="4"/>
      <c r="Y862" s="4"/>
      <c r="Z862" s="4"/>
      <c r="AA862" s="4"/>
    </row>
    <row r="863" spans="1:27">
      <c r="A863" s="5"/>
      <c r="B863" s="5"/>
      <c r="C863" s="4"/>
      <c r="D863" s="5"/>
      <c r="E863" s="5"/>
      <c r="F863" s="5"/>
      <c r="G863" s="5"/>
      <c r="H863" s="5"/>
      <c r="I863" s="5"/>
      <c r="J863" s="5"/>
      <c r="K863" s="5"/>
      <c r="L863" s="5"/>
      <c r="M863" s="5"/>
      <c r="N863" s="5"/>
      <c r="O863" s="5"/>
      <c r="P863" s="4"/>
      <c r="Q863" s="4"/>
      <c r="R863" s="4"/>
      <c r="S863" s="4"/>
      <c r="T863" s="4"/>
      <c r="U863" s="4"/>
      <c r="V863" s="4"/>
      <c r="W863" s="4"/>
      <c r="X863" s="4"/>
      <c r="Y863" s="4"/>
      <c r="Z863" s="4"/>
      <c r="AA863" s="4"/>
    </row>
    <row r="864" spans="1:27">
      <c r="A864" s="5"/>
      <c r="B864" s="5"/>
      <c r="C864" s="4"/>
      <c r="D864" s="5"/>
      <c r="E864" s="5"/>
      <c r="F864" s="5"/>
      <c r="G864" s="5"/>
      <c r="H864" s="5"/>
      <c r="I864" s="5"/>
      <c r="J864" s="5"/>
      <c r="K864" s="5"/>
      <c r="L864" s="5"/>
      <c r="M864" s="5"/>
      <c r="N864" s="5"/>
      <c r="O864" s="5"/>
      <c r="P864" s="4"/>
      <c r="Q864" s="4"/>
      <c r="R864" s="4"/>
      <c r="S864" s="4"/>
      <c r="T864" s="4"/>
      <c r="U864" s="4"/>
      <c r="V864" s="4"/>
      <c r="W864" s="4"/>
      <c r="X864" s="4"/>
      <c r="Y864" s="4"/>
      <c r="Z864" s="4"/>
      <c r="AA864" s="4"/>
    </row>
    <row r="865" spans="1:27">
      <c r="A865" s="5"/>
      <c r="B865" s="5"/>
      <c r="C865" s="4"/>
      <c r="D865" s="5"/>
      <c r="E865" s="5"/>
      <c r="F865" s="5"/>
      <c r="G865" s="5"/>
      <c r="H865" s="5"/>
      <c r="I865" s="5"/>
      <c r="J865" s="5"/>
      <c r="K865" s="5"/>
      <c r="L865" s="5"/>
      <c r="M865" s="5"/>
      <c r="N865" s="5"/>
      <c r="O865" s="5"/>
      <c r="P865" s="4"/>
      <c r="Q865" s="4"/>
      <c r="R865" s="4"/>
      <c r="S865" s="4"/>
      <c r="T865" s="4"/>
      <c r="U865" s="4"/>
      <c r="V865" s="4"/>
      <c r="W865" s="4"/>
      <c r="X865" s="4"/>
      <c r="Y865" s="4"/>
      <c r="Z865" s="4"/>
      <c r="AA865" s="4"/>
    </row>
    <row r="866" spans="1:27">
      <c r="A866" s="5"/>
      <c r="B866" s="5"/>
      <c r="C866" s="4"/>
      <c r="D866" s="5"/>
      <c r="E866" s="5"/>
      <c r="F866" s="5"/>
      <c r="G866" s="5"/>
      <c r="H866" s="5"/>
      <c r="I866" s="5"/>
      <c r="J866" s="5"/>
      <c r="K866" s="5"/>
      <c r="L866" s="5"/>
      <c r="M866" s="5"/>
      <c r="N866" s="5"/>
      <c r="O866" s="5"/>
      <c r="P866" s="4"/>
      <c r="Q866" s="4"/>
      <c r="R866" s="4"/>
      <c r="S866" s="4"/>
      <c r="T866" s="4"/>
      <c r="U866" s="4"/>
      <c r="V866" s="4"/>
      <c r="W866" s="4"/>
      <c r="X866" s="4"/>
      <c r="Y866" s="4"/>
      <c r="Z866" s="4"/>
      <c r="AA866" s="4"/>
    </row>
    <row r="867" spans="1:27">
      <c r="A867" s="5"/>
      <c r="B867" s="5"/>
      <c r="C867" s="4"/>
      <c r="D867" s="5"/>
      <c r="E867" s="5"/>
      <c r="F867" s="5"/>
      <c r="G867" s="5"/>
      <c r="H867" s="5"/>
      <c r="I867" s="5"/>
      <c r="J867" s="5"/>
      <c r="K867" s="5"/>
      <c r="L867" s="5"/>
      <c r="M867" s="5"/>
      <c r="N867" s="5"/>
      <c r="O867" s="5"/>
      <c r="P867" s="4"/>
      <c r="Q867" s="4"/>
      <c r="R867" s="4"/>
      <c r="S867" s="4"/>
      <c r="T867" s="4"/>
      <c r="U867" s="4"/>
      <c r="V867" s="4"/>
      <c r="W867" s="4"/>
      <c r="X867" s="4"/>
      <c r="Y867" s="4"/>
      <c r="Z867" s="4"/>
      <c r="AA867" s="4"/>
    </row>
    <row r="868" spans="1:27">
      <c r="A868" s="5"/>
      <c r="B868" s="5"/>
      <c r="C868" s="4"/>
      <c r="D868" s="5"/>
      <c r="E868" s="5"/>
      <c r="F868" s="5"/>
      <c r="G868" s="5"/>
      <c r="H868" s="5"/>
      <c r="I868" s="5"/>
      <c r="J868" s="5"/>
      <c r="K868" s="5"/>
      <c r="L868" s="5"/>
      <c r="M868" s="5"/>
      <c r="N868" s="5"/>
      <c r="O868" s="5"/>
      <c r="P868" s="4"/>
      <c r="Q868" s="4"/>
      <c r="R868" s="4"/>
      <c r="S868" s="4"/>
      <c r="T868" s="4"/>
      <c r="U868" s="4"/>
      <c r="V868" s="4"/>
      <c r="W868" s="4"/>
      <c r="X868" s="4"/>
      <c r="Y868" s="4"/>
      <c r="Z868" s="4"/>
      <c r="AA868" s="4"/>
    </row>
    <row r="869" spans="1:27">
      <c r="A869" s="5"/>
      <c r="B869" s="5"/>
      <c r="C869" s="4"/>
      <c r="D869" s="5"/>
      <c r="E869" s="5"/>
      <c r="F869" s="5"/>
      <c r="G869" s="5"/>
      <c r="H869" s="5"/>
      <c r="I869" s="5"/>
      <c r="J869" s="5"/>
      <c r="K869" s="5"/>
      <c r="L869" s="5"/>
      <c r="M869" s="5"/>
      <c r="N869" s="5"/>
      <c r="O869" s="5"/>
      <c r="P869" s="4"/>
      <c r="Q869" s="4"/>
      <c r="R869" s="4"/>
      <c r="S869" s="4"/>
      <c r="T869" s="4"/>
      <c r="U869" s="4"/>
      <c r="V869" s="4"/>
      <c r="W869" s="4"/>
      <c r="X869" s="4"/>
      <c r="Y869" s="4"/>
      <c r="Z869" s="4"/>
      <c r="AA869" s="4"/>
    </row>
    <row r="870" spans="1:27">
      <c r="A870" s="5"/>
      <c r="B870" s="5"/>
      <c r="C870" s="4"/>
      <c r="D870" s="5"/>
      <c r="E870" s="5"/>
      <c r="F870" s="5"/>
      <c r="G870" s="5"/>
      <c r="H870" s="5"/>
      <c r="I870" s="5"/>
      <c r="J870" s="5"/>
      <c r="K870" s="5"/>
      <c r="L870" s="5"/>
      <c r="M870" s="5"/>
      <c r="N870" s="5"/>
      <c r="O870" s="5"/>
      <c r="P870" s="4"/>
      <c r="Q870" s="4"/>
      <c r="R870" s="4"/>
      <c r="S870" s="4"/>
      <c r="T870" s="4"/>
      <c r="U870" s="4"/>
      <c r="V870" s="4"/>
      <c r="W870" s="4"/>
      <c r="X870" s="4"/>
      <c r="Y870" s="4"/>
      <c r="Z870" s="4"/>
      <c r="AA870" s="4"/>
    </row>
    <row r="871" spans="1:27">
      <c r="A871" s="5"/>
      <c r="B871" s="5"/>
      <c r="C871" s="4"/>
      <c r="D871" s="5"/>
      <c r="E871" s="5"/>
      <c r="F871" s="5"/>
      <c r="G871" s="5"/>
      <c r="H871" s="5"/>
      <c r="I871" s="5"/>
      <c r="J871" s="5"/>
      <c r="K871" s="5"/>
      <c r="L871" s="5"/>
      <c r="M871" s="5"/>
      <c r="N871" s="5"/>
      <c r="O871" s="5"/>
      <c r="P871" s="4"/>
      <c r="Q871" s="4"/>
      <c r="R871" s="4"/>
      <c r="S871" s="4"/>
      <c r="T871" s="4"/>
      <c r="U871" s="4"/>
      <c r="V871" s="4"/>
      <c r="W871" s="4"/>
      <c r="X871" s="4"/>
      <c r="Y871" s="4"/>
      <c r="Z871" s="4"/>
      <c r="AA871" s="4"/>
    </row>
    <row r="872" spans="1:27">
      <c r="A872" s="5"/>
      <c r="B872" s="5"/>
      <c r="C872" s="4"/>
      <c r="D872" s="5"/>
      <c r="E872" s="5"/>
      <c r="F872" s="5"/>
      <c r="G872" s="5"/>
      <c r="H872" s="5"/>
      <c r="I872" s="5"/>
      <c r="J872" s="5"/>
      <c r="K872" s="5"/>
      <c r="L872" s="5"/>
      <c r="M872" s="5"/>
      <c r="N872" s="5"/>
      <c r="O872" s="5"/>
      <c r="P872" s="4"/>
      <c r="Q872" s="4"/>
      <c r="R872" s="4"/>
      <c r="S872" s="4"/>
      <c r="T872" s="4"/>
      <c r="U872" s="4"/>
      <c r="V872" s="4"/>
      <c r="W872" s="4"/>
      <c r="X872" s="4"/>
      <c r="Y872" s="4"/>
      <c r="Z872" s="4"/>
      <c r="AA872" s="4"/>
    </row>
    <row r="873" spans="1:27">
      <c r="A873" s="5"/>
      <c r="B873" s="5"/>
      <c r="C873" s="4"/>
      <c r="D873" s="5"/>
      <c r="E873" s="5"/>
      <c r="F873" s="5"/>
      <c r="G873" s="5"/>
      <c r="H873" s="5"/>
      <c r="I873" s="5"/>
      <c r="J873" s="5"/>
      <c r="K873" s="5"/>
      <c r="L873" s="5"/>
      <c r="M873" s="5"/>
      <c r="N873" s="5"/>
      <c r="O873" s="5"/>
      <c r="P873" s="4"/>
      <c r="Q873" s="4"/>
      <c r="R873" s="4"/>
      <c r="S873" s="4"/>
      <c r="T873" s="4"/>
      <c r="U873" s="4"/>
      <c r="V873" s="4"/>
      <c r="W873" s="4"/>
      <c r="X873" s="4"/>
      <c r="Y873" s="4"/>
      <c r="Z873" s="4"/>
      <c r="AA873" s="4"/>
    </row>
    <row r="874" spans="1:27">
      <c r="A874" s="5"/>
      <c r="B874" s="5"/>
      <c r="C874" s="4"/>
      <c r="D874" s="5"/>
      <c r="E874" s="5"/>
      <c r="F874" s="5"/>
      <c r="G874" s="5"/>
      <c r="H874" s="5"/>
      <c r="I874" s="5"/>
      <c r="J874" s="5"/>
      <c r="K874" s="5"/>
      <c r="L874" s="5"/>
      <c r="M874" s="5"/>
      <c r="N874" s="5"/>
      <c r="O874" s="5"/>
      <c r="P874" s="4"/>
      <c r="Q874" s="4"/>
      <c r="R874" s="4"/>
      <c r="S874" s="4"/>
      <c r="T874" s="4"/>
      <c r="U874" s="4"/>
      <c r="V874" s="4"/>
      <c r="W874" s="4"/>
      <c r="X874" s="4"/>
      <c r="Y874" s="4"/>
      <c r="Z874" s="4"/>
      <c r="AA874" s="4"/>
    </row>
    <row r="875" spans="1:27">
      <c r="A875" s="5"/>
      <c r="B875" s="5"/>
      <c r="C875" s="4"/>
      <c r="D875" s="5"/>
      <c r="E875" s="5"/>
      <c r="F875" s="5"/>
      <c r="G875" s="5"/>
      <c r="H875" s="5"/>
      <c r="I875" s="5"/>
      <c r="J875" s="5"/>
      <c r="K875" s="5"/>
      <c r="L875" s="5"/>
      <c r="M875" s="5"/>
      <c r="N875" s="5"/>
      <c r="O875" s="5"/>
      <c r="P875" s="4"/>
      <c r="Q875" s="4"/>
      <c r="R875" s="4"/>
      <c r="S875" s="4"/>
      <c r="T875" s="4"/>
      <c r="U875" s="4"/>
      <c r="V875" s="4"/>
      <c r="W875" s="4"/>
      <c r="X875" s="4"/>
      <c r="Y875" s="4"/>
      <c r="Z875" s="4"/>
      <c r="AA875" s="4"/>
    </row>
    <row r="876" spans="1:27">
      <c r="A876" s="5"/>
      <c r="B876" s="5"/>
      <c r="C876" s="4"/>
      <c r="D876" s="5"/>
      <c r="E876" s="5"/>
      <c r="F876" s="5"/>
      <c r="G876" s="5"/>
      <c r="H876" s="5"/>
      <c r="I876" s="5"/>
      <c r="J876" s="5"/>
      <c r="K876" s="5"/>
      <c r="L876" s="5"/>
      <c r="M876" s="5"/>
      <c r="N876" s="5"/>
      <c r="O876" s="5"/>
      <c r="P876" s="4"/>
      <c r="Q876" s="4"/>
      <c r="R876" s="4"/>
      <c r="S876" s="4"/>
      <c r="T876" s="4"/>
      <c r="U876" s="4"/>
      <c r="V876" s="4"/>
      <c r="W876" s="4"/>
      <c r="X876" s="4"/>
      <c r="Y876" s="4"/>
      <c r="Z876" s="4"/>
      <c r="AA876" s="4"/>
    </row>
    <row r="877" spans="1:27">
      <c r="A877" s="5"/>
      <c r="B877" s="5"/>
      <c r="C877" s="4"/>
      <c r="D877" s="5"/>
      <c r="E877" s="5"/>
      <c r="F877" s="5"/>
      <c r="G877" s="5"/>
      <c r="H877" s="5"/>
      <c r="I877" s="5"/>
      <c r="J877" s="5"/>
      <c r="K877" s="5"/>
      <c r="L877" s="5"/>
      <c r="M877" s="5"/>
      <c r="N877" s="5"/>
      <c r="O877" s="5"/>
      <c r="P877" s="4"/>
      <c r="Q877" s="4"/>
      <c r="R877" s="4"/>
      <c r="S877" s="4"/>
      <c r="T877" s="4"/>
      <c r="U877" s="4"/>
      <c r="V877" s="4"/>
      <c r="W877" s="4"/>
      <c r="X877" s="4"/>
      <c r="Y877" s="4"/>
      <c r="Z877" s="4"/>
      <c r="AA877" s="4"/>
    </row>
    <row r="878" spans="1:27">
      <c r="A878" s="5"/>
      <c r="B878" s="5"/>
      <c r="C878" s="4"/>
      <c r="D878" s="5"/>
      <c r="E878" s="5"/>
      <c r="F878" s="5"/>
      <c r="G878" s="5"/>
      <c r="H878" s="5"/>
      <c r="I878" s="5"/>
      <c r="J878" s="5"/>
      <c r="K878" s="5"/>
      <c r="L878" s="5"/>
      <c r="M878" s="5"/>
      <c r="N878" s="5"/>
      <c r="O878" s="5"/>
      <c r="P878" s="4"/>
      <c r="Q878" s="4"/>
      <c r="R878" s="4"/>
      <c r="S878" s="4"/>
      <c r="T878" s="4"/>
      <c r="U878" s="4"/>
      <c r="V878" s="4"/>
      <c r="W878" s="4"/>
      <c r="X878" s="4"/>
      <c r="Y878" s="4"/>
      <c r="Z878" s="4"/>
      <c r="AA878" s="4"/>
    </row>
    <row r="879" spans="1:27">
      <c r="A879" s="5"/>
      <c r="B879" s="5"/>
      <c r="C879" s="4"/>
      <c r="D879" s="5"/>
      <c r="E879" s="5"/>
      <c r="F879" s="5"/>
      <c r="G879" s="5"/>
      <c r="H879" s="5"/>
      <c r="I879" s="5"/>
      <c r="J879" s="5"/>
      <c r="K879" s="5"/>
      <c r="L879" s="5"/>
      <c r="M879" s="5"/>
      <c r="N879" s="5"/>
      <c r="O879" s="5"/>
      <c r="P879" s="4"/>
      <c r="Q879" s="4"/>
      <c r="R879" s="4"/>
      <c r="S879" s="4"/>
      <c r="T879" s="4"/>
      <c r="U879" s="4"/>
      <c r="V879" s="4"/>
      <c r="W879" s="4"/>
      <c r="X879" s="4"/>
      <c r="Y879" s="4"/>
      <c r="Z879" s="4"/>
      <c r="AA879" s="4"/>
    </row>
    <row r="880" spans="1:27">
      <c r="A880" s="5"/>
      <c r="B880" s="5"/>
      <c r="C880" s="4"/>
      <c r="D880" s="5"/>
      <c r="E880" s="5"/>
      <c r="F880" s="5"/>
      <c r="G880" s="5"/>
      <c r="H880" s="5"/>
      <c r="I880" s="5"/>
      <c r="J880" s="5"/>
      <c r="K880" s="5"/>
      <c r="L880" s="5"/>
      <c r="M880" s="5"/>
      <c r="N880" s="5"/>
      <c r="O880" s="5"/>
      <c r="P880" s="4"/>
      <c r="Q880" s="4"/>
      <c r="R880" s="4"/>
      <c r="S880" s="4"/>
      <c r="T880" s="4"/>
      <c r="U880" s="4"/>
      <c r="V880" s="4"/>
      <c r="W880" s="4"/>
      <c r="X880" s="4"/>
      <c r="Y880" s="4"/>
      <c r="Z880" s="4"/>
      <c r="AA880" s="4"/>
    </row>
    <row r="881" spans="1:27">
      <c r="A881" s="5"/>
      <c r="B881" s="5"/>
      <c r="C881" s="4"/>
      <c r="D881" s="5"/>
      <c r="E881" s="5"/>
      <c r="F881" s="5"/>
      <c r="G881" s="5"/>
      <c r="H881" s="5"/>
      <c r="I881" s="5"/>
      <c r="J881" s="5"/>
      <c r="K881" s="5"/>
      <c r="L881" s="5"/>
      <c r="M881" s="5"/>
      <c r="N881" s="5"/>
      <c r="O881" s="5"/>
      <c r="P881" s="4"/>
      <c r="Q881" s="4"/>
      <c r="R881" s="4"/>
      <c r="S881" s="4"/>
      <c r="T881" s="4"/>
      <c r="U881" s="4"/>
      <c r="V881" s="4"/>
      <c r="W881" s="4"/>
      <c r="X881" s="4"/>
      <c r="Y881" s="4"/>
      <c r="Z881" s="4"/>
      <c r="AA881" s="4"/>
    </row>
    <row r="882" spans="1:27">
      <c r="A882" s="5"/>
      <c r="B882" s="5"/>
      <c r="C882" s="4"/>
      <c r="D882" s="5"/>
      <c r="E882" s="5"/>
      <c r="F882" s="5"/>
      <c r="G882" s="5"/>
      <c r="H882" s="5"/>
      <c r="I882" s="5"/>
      <c r="J882" s="5"/>
      <c r="K882" s="5"/>
      <c r="L882" s="5"/>
      <c r="M882" s="5"/>
      <c r="N882" s="5"/>
      <c r="O882" s="5"/>
      <c r="P882" s="4"/>
      <c r="Q882" s="4"/>
      <c r="R882" s="4"/>
      <c r="S882" s="4"/>
      <c r="T882" s="4"/>
      <c r="U882" s="4"/>
      <c r="V882" s="4"/>
      <c r="W882" s="4"/>
      <c r="X882" s="4"/>
      <c r="Y882" s="4"/>
      <c r="Z882" s="4"/>
      <c r="AA882" s="4"/>
    </row>
    <row r="883" spans="1:27">
      <c r="A883" s="5"/>
      <c r="B883" s="5"/>
      <c r="C883" s="4"/>
      <c r="D883" s="5"/>
      <c r="E883" s="5"/>
      <c r="F883" s="5"/>
      <c r="G883" s="5"/>
      <c r="H883" s="5"/>
      <c r="I883" s="5"/>
      <c r="J883" s="5"/>
      <c r="K883" s="5"/>
      <c r="L883" s="5"/>
      <c r="M883" s="5"/>
      <c r="N883" s="5"/>
      <c r="O883" s="5"/>
      <c r="P883" s="4"/>
      <c r="Q883" s="4"/>
      <c r="R883" s="4"/>
      <c r="S883" s="4"/>
      <c r="T883" s="4"/>
      <c r="U883" s="4"/>
      <c r="V883" s="4"/>
      <c r="W883" s="4"/>
      <c r="X883" s="4"/>
      <c r="Y883" s="4"/>
      <c r="Z883" s="4"/>
      <c r="AA883" s="4"/>
    </row>
    <row r="884" spans="1:27">
      <c r="A884" s="5"/>
      <c r="B884" s="5"/>
      <c r="C884" s="4"/>
      <c r="D884" s="5"/>
      <c r="E884" s="5"/>
      <c r="F884" s="5"/>
      <c r="G884" s="5"/>
      <c r="H884" s="5"/>
      <c r="I884" s="5"/>
      <c r="J884" s="5"/>
      <c r="K884" s="5"/>
      <c r="L884" s="5"/>
      <c r="M884" s="5"/>
      <c r="N884" s="5"/>
      <c r="O884" s="5"/>
      <c r="P884" s="4"/>
      <c r="Q884" s="4"/>
      <c r="R884" s="4"/>
      <c r="S884" s="4"/>
      <c r="T884" s="4"/>
      <c r="U884" s="4"/>
      <c r="V884" s="4"/>
      <c r="W884" s="4"/>
      <c r="X884" s="4"/>
      <c r="Y884" s="4"/>
      <c r="Z884" s="4"/>
      <c r="AA884" s="4"/>
    </row>
    <row r="885" spans="1:27">
      <c r="A885" s="5"/>
      <c r="B885" s="5"/>
      <c r="C885" s="4"/>
      <c r="D885" s="5"/>
      <c r="E885" s="5"/>
      <c r="F885" s="5"/>
      <c r="G885" s="5"/>
      <c r="H885" s="5"/>
      <c r="I885" s="5"/>
      <c r="J885" s="5"/>
      <c r="K885" s="5"/>
      <c r="L885" s="5"/>
      <c r="M885" s="5"/>
      <c r="N885" s="5"/>
      <c r="O885" s="5"/>
      <c r="P885" s="4"/>
      <c r="Q885" s="4"/>
      <c r="R885" s="4"/>
      <c r="S885" s="4"/>
      <c r="T885" s="4"/>
      <c r="U885" s="4"/>
      <c r="V885" s="4"/>
      <c r="W885" s="4"/>
      <c r="X885" s="4"/>
      <c r="Y885" s="4"/>
      <c r="Z885" s="4"/>
      <c r="AA885" s="4"/>
    </row>
    <row r="886" spans="1:27">
      <c r="A886" s="5"/>
      <c r="B886" s="5"/>
      <c r="C886" s="4"/>
      <c r="D886" s="5"/>
      <c r="E886" s="5"/>
      <c r="F886" s="5"/>
      <c r="G886" s="5"/>
      <c r="H886" s="5"/>
      <c r="I886" s="5"/>
      <c r="J886" s="5"/>
      <c r="K886" s="5"/>
      <c r="L886" s="5"/>
      <c r="M886" s="5"/>
      <c r="N886" s="5"/>
      <c r="O886" s="5"/>
      <c r="P886" s="4"/>
      <c r="Q886" s="4"/>
      <c r="R886" s="4"/>
      <c r="S886" s="4"/>
      <c r="T886" s="4"/>
      <c r="U886" s="4"/>
      <c r="V886" s="4"/>
      <c r="W886" s="4"/>
      <c r="X886" s="4"/>
      <c r="Y886" s="4"/>
      <c r="Z886" s="4"/>
      <c r="AA886" s="4"/>
    </row>
    <row r="887" spans="1:27">
      <c r="A887" s="5"/>
      <c r="B887" s="5"/>
      <c r="C887" s="4"/>
      <c r="D887" s="5"/>
      <c r="E887" s="5"/>
      <c r="F887" s="5"/>
      <c r="G887" s="5"/>
      <c r="H887" s="5"/>
      <c r="I887" s="5"/>
      <c r="J887" s="5"/>
      <c r="K887" s="5"/>
      <c r="L887" s="5"/>
      <c r="M887" s="5"/>
      <c r="N887" s="5"/>
      <c r="O887" s="5"/>
      <c r="P887" s="4"/>
      <c r="Q887" s="4"/>
      <c r="R887" s="4"/>
      <c r="S887" s="4"/>
      <c r="T887" s="4"/>
      <c r="U887" s="4"/>
      <c r="V887" s="4"/>
      <c r="W887" s="4"/>
      <c r="X887" s="4"/>
      <c r="Y887" s="4"/>
      <c r="Z887" s="4"/>
      <c r="AA887" s="4"/>
    </row>
    <row r="888" spans="1:27">
      <c r="A888" s="5"/>
      <c r="B888" s="5"/>
      <c r="C888" s="4"/>
      <c r="D888" s="5"/>
      <c r="E888" s="5"/>
      <c r="F888" s="5"/>
      <c r="G888" s="5"/>
      <c r="H888" s="5"/>
      <c r="I888" s="5"/>
      <c r="J888" s="5"/>
      <c r="K888" s="5"/>
      <c r="L888" s="5"/>
      <c r="M888" s="5"/>
      <c r="N888" s="5"/>
      <c r="O888" s="5"/>
      <c r="P888" s="4"/>
      <c r="Q888" s="4"/>
      <c r="R888" s="4"/>
      <c r="S888" s="4"/>
      <c r="T888" s="4"/>
      <c r="U888" s="4"/>
      <c r="V888" s="4"/>
      <c r="W888" s="4"/>
      <c r="X888" s="4"/>
      <c r="Y888" s="4"/>
      <c r="Z888" s="4"/>
      <c r="AA888" s="4"/>
    </row>
    <row r="889" spans="1:27">
      <c r="A889" s="5"/>
      <c r="B889" s="5"/>
      <c r="C889" s="4"/>
      <c r="D889" s="5"/>
      <c r="E889" s="5"/>
      <c r="F889" s="5"/>
      <c r="G889" s="5"/>
      <c r="H889" s="5"/>
      <c r="I889" s="5"/>
      <c r="J889" s="5"/>
      <c r="K889" s="5"/>
      <c r="L889" s="5"/>
      <c r="M889" s="5"/>
      <c r="N889" s="5"/>
      <c r="O889" s="5"/>
      <c r="P889" s="4"/>
      <c r="Q889" s="4"/>
      <c r="R889" s="4"/>
      <c r="S889" s="4"/>
      <c r="T889" s="4"/>
      <c r="U889" s="4"/>
      <c r="V889" s="4"/>
      <c r="W889" s="4"/>
      <c r="X889" s="4"/>
      <c r="Y889" s="4"/>
      <c r="Z889" s="4"/>
      <c r="AA889" s="4"/>
    </row>
    <row r="890" spans="1:27">
      <c r="A890" s="5"/>
      <c r="B890" s="5"/>
      <c r="C890" s="4"/>
      <c r="D890" s="5"/>
      <c r="E890" s="5"/>
      <c r="F890" s="5"/>
      <c r="G890" s="5"/>
      <c r="H890" s="5"/>
      <c r="I890" s="5"/>
      <c r="J890" s="5"/>
      <c r="K890" s="5"/>
      <c r="L890" s="5"/>
      <c r="M890" s="5"/>
      <c r="N890" s="5"/>
      <c r="O890" s="5"/>
      <c r="P890" s="4"/>
      <c r="Q890" s="4"/>
      <c r="R890" s="4"/>
      <c r="S890" s="4"/>
      <c r="T890" s="4"/>
      <c r="U890" s="4"/>
      <c r="V890" s="4"/>
      <c r="W890" s="4"/>
      <c r="X890" s="4"/>
      <c r="Y890" s="4"/>
      <c r="Z890" s="4"/>
      <c r="AA890" s="4"/>
    </row>
    <row r="891" spans="1:27">
      <c r="A891" s="5"/>
      <c r="B891" s="5"/>
      <c r="C891" s="4"/>
      <c r="D891" s="5"/>
      <c r="E891" s="5"/>
      <c r="F891" s="5"/>
      <c r="G891" s="5"/>
      <c r="H891" s="5"/>
      <c r="I891" s="5"/>
      <c r="J891" s="5"/>
      <c r="K891" s="5"/>
      <c r="L891" s="5"/>
      <c r="M891" s="5"/>
      <c r="N891" s="5"/>
      <c r="O891" s="5"/>
      <c r="P891" s="4"/>
      <c r="Q891" s="4"/>
      <c r="R891" s="4"/>
      <c r="S891" s="4"/>
      <c r="T891" s="4"/>
      <c r="U891" s="4"/>
      <c r="V891" s="4"/>
      <c r="W891" s="4"/>
      <c r="X891" s="4"/>
      <c r="Y891" s="4"/>
      <c r="Z891" s="4"/>
      <c r="AA891" s="4"/>
    </row>
    <row r="892" spans="1:27">
      <c r="A892" s="5"/>
      <c r="B892" s="5"/>
      <c r="C892" s="4"/>
      <c r="D892" s="5"/>
      <c r="E892" s="5"/>
      <c r="F892" s="5"/>
      <c r="G892" s="5"/>
      <c r="H892" s="5"/>
      <c r="I892" s="5"/>
      <c r="J892" s="5"/>
      <c r="K892" s="5"/>
      <c r="L892" s="5"/>
      <c r="M892" s="5"/>
      <c r="N892" s="5"/>
      <c r="O892" s="5"/>
      <c r="P892" s="4"/>
      <c r="Q892" s="4"/>
      <c r="R892" s="4"/>
      <c r="S892" s="4"/>
      <c r="T892" s="4"/>
      <c r="U892" s="4"/>
      <c r="V892" s="4"/>
      <c r="W892" s="4"/>
      <c r="X892" s="4"/>
      <c r="Y892" s="4"/>
      <c r="Z892" s="4"/>
      <c r="AA892" s="4"/>
    </row>
    <row r="893" spans="1:27">
      <c r="A893" s="5"/>
      <c r="B893" s="5"/>
      <c r="C893" s="4"/>
      <c r="D893" s="5"/>
      <c r="E893" s="5"/>
      <c r="F893" s="5"/>
      <c r="G893" s="5"/>
      <c r="H893" s="5"/>
      <c r="I893" s="5"/>
      <c r="J893" s="5"/>
      <c r="K893" s="5"/>
      <c r="L893" s="5"/>
      <c r="M893" s="5"/>
      <c r="N893" s="5"/>
      <c r="O893" s="5"/>
      <c r="P893" s="4"/>
      <c r="Q893" s="4"/>
      <c r="R893" s="4"/>
      <c r="S893" s="4"/>
      <c r="T893" s="4"/>
      <c r="U893" s="4"/>
      <c r="V893" s="4"/>
      <c r="W893" s="4"/>
      <c r="X893" s="4"/>
      <c r="Y893" s="4"/>
      <c r="Z893" s="4"/>
      <c r="AA893" s="4"/>
    </row>
    <row r="894" spans="1:27">
      <c r="A894" s="5"/>
      <c r="B894" s="5"/>
      <c r="C894" s="4"/>
      <c r="D894" s="5"/>
      <c r="E894" s="5"/>
      <c r="F894" s="5"/>
      <c r="G894" s="5"/>
      <c r="H894" s="5"/>
      <c r="I894" s="5"/>
      <c r="J894" s="5"/>
      <c r="K894" s="5"/>
      <c r="L894" s="5"/>
      <c r="M894" s="5"/>
      <c r="N894" s="5"/>
      <c r="O894" s="5"/>
      <c r="P894" s="4"/>
      <c r="Q894" s="4"/>
      <c r="R894" s="4"/>
      <c r="S894" s="4"/>
      <c r="T894" s="4"/>
      <c r="U894" s="4"/>
      <c r="V894" s="4"/>
      <c r="W894" s="4"/>
      <c r="X894" s="4"/>
      <c r="Y894" s="4"/>
      <c r="Z894" s="4"/>
      <c r="AA894" s="4"/>
    </row>
    <row r="895" spans="1:27">
      <c r="A895" s="5"/>
      <c r="B895" s="5"/>
      <c r="C895" s="4"/>
      <c r="D895" s="5"/>
      <c r="E895" s="5"/>
      <c r="F895" s="5"/>
      <c r="G895" s="5"/>
      <c r="H895" s="5"/>
      <c r="I895" s="5"/>
      <c r="J895" s="5"/>
      <c r="K895" s="5"/>
      <c r="L895" s="5"/>
      <c r="M895" s="5"/>
      <c r="N895" s="5"/>
      <c r="O895" s="5"/>
      <c r="P895" s="4"/>
      <c r="Q895" s="4"/>
      <c r="R895" s="4"/>
      <c r="S895" s="4"/>
      <c r="T895" s="4"/>
      <c r="U895" s="4"/>
      <c r="V895" s="4"/>
      <c r="W895" s="4"/>
      <c r="X895" s="4"/>
      <c r="Y895" s="4"/>
      <c r="Z895" s="4"/>
      <c r="AA895" s="4"/>
    </row>
    <row r="896" spans="1:27">
      <c r="A896" s="5"/>
      <c r="B896" s="5"/>
      <c r="C896" s="4"/>
      <c r="D896" s="5"/>
      <c r="E896" s="5"/>
      <c r="F896" s="5"/>
      <c r="G896" s="5"/>
      <c r="H896" s="5"/>
      <c r="I896" s="5"/>
      <c r="J896" s="5"/>
      <c r="K896" s="5"/>
      <c r="L896" s="5"/>
      <c r="M896" s="5"/>
      <c r="N896" s="5"/>
      <c r="O896" s="5"/>
      <c r="P896" s="4"/>
      <c r="Q896" s="4"/>
      <c r="R896" s="4"/>
      <c r="S896" s="4"/>
      <c r="T896" s="4"/>
      <c r="U896" s="4"/>
      <c r="V896" s="4"/>
      <c r="W896" s="4"/>
      <c r="X896" s="4"/>
      <c r="Y896" s="4"/>
      <c r="Z896" s="4"/>
      <c r="AA896" s="4"/>
    </row>
    <row r="897" spans="1:27">
      <c r="A897" s="5"/>
      <c r="B897" s="5"/>
      <c r="C897" s="4"/>
      <c r="D897" s="5"/>
      <c r="E897" s="5"/>
      <c r="F897" s="5"/>
      <c r="G897" s="5"/>
      <c r="H897" s="5"/>
      <c r="I897" s="5"/>
      <c r="J897" s="5"/>
      <c r="K897" s="5"/>
      <c r="L897" s="5"/>
      <c r="M897" s="5"/>
      <c r="N897" s="5"/>
      <c r="O897" s="5"/>
      <c r="P897" s="4"/>
      <c r="Q897" s="4"/>
      <c r="R897" s="4"/>
      <c r="S897" s="4"/>
      <c r="T897" s="4"/>
      <c r="U897" s="4"/>
      <c r="V897" s="4"/>
      <c r="W897" s="4"/>
      <c r="X897" s="4"/>
      <c r="Y897" s="4"/>
      <c r="Z897" s="4"/>
      <c r="AA897" s="4"/>
    </row>
    <row r="898" spans="1:27">
      <c r="A898" s="5"/>
      <c r="B898" s="5"/>
      <c r="C898" s="4"/>
      <c r="D898" s="5"/>
      <c r="E898" s="5"/>
      <c r="F898" s="5"/>
      <c r="G898" s="5"/>
      <c r="H898" s="5"/>
      <c r="I898" s="5"/>
      <c r="J898" s="5"/>
      <c r="K898" s="5"/>
      <c r="L898" s="5"/>
      <c r="M898" s="5"/>
      <c r="N898" s="5"/>
      <c r="O898" s="5"/>
      <c r="P898" s="4"/>
      <c r="Q898" s="4"/>
      <c r="R898" s="4"/>
      <c r="S898" s="4"/>
      <c r="T898" s="4"/>
      <c r="U898" s="4"/>
      <c r="V898" s="4"/>
      <c r="W898" s="4"/>
      <c r="X898" s="4"/>
      <c r="Y898" s="4"/>
      <c r="Z898" s="4"/>
      <c r="AA898" s="4"/>
    </row>
    <row r="899" spans="1:27">
      <c r="A899" s="5"/>
      <c r="B899" s="5"/>
      <c r="C899" s="4"/>
      <c r="D899" s="5"/>
      <c r="E899" s="5"/>
      <c r="F899" s="5"/>
      <c r="G899" s="5"/>
      <c r="H899" s="5"/>
      <c r="I899" s="5"/>
      <c r="J899" s="5"/>
      <c r="K899" s="5"/>
      <c r="L899" s="5"/>
      <c r="M899" s="5"/>
      <c r="N899" s="5"/>
      <c r="O899" s="5"/>
      <c r="P899" s="4"/>
      <c r="Q899" s="4"/>
      <c r="R899" s="4"/>
      <c r="S899" s="4"/>
      <c r="T899" s="4"/>
      <c r="U899" s="4"/>
      <c r="V899" s="4"/>
      <c r="W899" s="4"/>
      <c r="X899" s="4"/>
      <c r="Y899" s="4"/>
      <c r="Z899" s="4"/>
      <c r="AA899" s="4"/>
    </row>
    <row r="900" spans="1:27">
      <c r="A900" s="5"/>
      <c r="B900" s="5"/>
      <c r="C900" s="4"/>
      <c r="D900" s="5"/>
      <c r="E900" s="5"/>
      <c r="F900" s="5"/>
      <c r="G900" s="5"/>
      <c r="H900" s="5"/>
      <c r="I900" s="5"/>
      <c r="J900" s="5"/>
      <c r="K900" s="5"/>
      <c r="L900" s="5"/>
      <c r="M900" s="5"/>
      <c r="N900" s="5"/>
      <c r="O900" s="5"/>
      <c r="P900" s="4"/>
      <c r="Q900" s="4"/>
      <c r="R900" s="4"/>
      <c r="S900" s="4"/>
      <c r="T900" s="4"/>
      <c r="U900" s="4"/>
      <c r="V900" s="4"/>
      <c r="W900" s="4"/>
      <c r="X900" s="4"/>
      <c r="Y900" s="4"/>
      <c r="Z900" s="4"/>
      <c r="AA900" s="4"/>
    </row>
    <row r="901" spans="1:27">
      <c r="A901" s="5"/>
      <c r="B901" s="5"/>
      <c r="C901" s="4"/>
      <c r="D901" s="5"/>
      <c r="E901" s="5"/>
      <c r="F901" s="5"/>
      <c r="G901" s="5"/>
      <c r="H901" s="5"/>
      <c r="I901" s="5"/>
      <c r="J901" s="5"/>
      <c r="K901" s="5"/>
      <c r="L901" s="5"/>
      <c r="M901" s="5"/>
      <c r="N901" s="5"/>
      <c r="O901" s="5"/>
      <c r="P901" s="4"/>
      <c r="Q901" s="4"/>
      <c r="R901" s="4"/>
      <c r="S901" s="4"/>
      <c r="T901" s="4"/>
      <c r="U901" s="4"/>
      <c r="V901" s="4"/>
      <c r="W901" s="4"/>
      <c r="X901" s="4"/>
      <c r="Y901" s="4"/>
      <c r="Z901" s="4"/>
      <c r="AA901" s="4"/>
    </row>
    <row r="902" spans="1:27">
      <c r="A902" s="5"/>
      <c r="B902" s="5"/>
      <c r="C902" s="4"/>
      <c r="D902" s="5"/>
      <c r="E902" s="5"/>
      <c r="F902" s="5"/>
      <c r="G902" s="5"/>
      <c r="H902" s="5"/>
      <c r="I902" s="5"/>
      <c r="J902" s="5"/>
      <c r="K902" s="5"/>
      <c r="L902" s="5"/>
      <c r="M902" s="5"/>
      <c r="N902" s="5"/>
      <c r="O902" s="5"/>
      <c r="P902" s="4"/>
      <c r="Q902" s="4"/>
      <c r="R902" s="4"/>
      <c r="S902" s="4"/>
      <c r="T902" s="4"/>
      <c r="U902" s="4"/>
      <c r="V902" s="4"/>
      <c r="W902" s="4"/>
      <c r="X902" s="4"/>
      <c r="Y902" s="4"/>
      <c r="Z902" s="4"/>
      <c r="AA902" s="4"/>
    </row>
    <row r="903" spans="1:27">
      <c r="A903" s="5"/>
      <c r="B903" s="5"/>
      <c r="C903" s="4"/>
      <c r="D903" s="5"/>
      <c r="E903" s="5"/>
      <c r="F903" s="5"/>
      <c r="G903" s="5"/>
      <c r="H903" s="5"/>
      <c r="I903" s="5"/>
      <c r="J903" s="5"/>
      <c r="K903" s="5"/>
      <c r="L903" s="5"/>
      <c r="M903" s="5"/>
      <c r="N903" s="5"/>
      <c r="O903" s="5"/>
      <c r="P903" s="4"/>
      <c r="Q903" s="4"/>
      <c r="R903" s="4"/>
      <c r="S903" s="4"/>
      <c r="T903" s="4"/>
      <c r="U903" s="4"/>
      <c r="V903" s="4"/>
      <c r="W903" s="4"/>
      <c r="X903" s="4"/>
      <c r="Y903" s="4"/>
      <c r="Z903" s="4"/>
      <c r="AA903" s="4"/>
    </row>
    <row r="904" spans="1:27">
      <c r="A904" s="5"/>
      <c r="B904" s="5"/>
      <c r="C904" s="4"/>
      <c r="D904" s="5"/>
      <c r="E904" s="5"/>
      <c r="F904" s="5"/>
      <c r="G904" s="5"/>
      <c r="H904" s="5"/>
      <c r="I904" s="5"/>
      <c r="J904" s="5"/>
      <c r="K904" s="5"/>
      <c r="L904" s="5"/>
      <c r="M904" s="5"/>
      <c r="N904" s="5"/>
      <c r="O904" s="5"/>
      <c r="P904" s="4"/>
      <c r="Q904" s="4"/>
      <c r="R904" s="4"/>
      <c r="S904" s="4"/>
      <c r="T904" s="4"/>
      <c r="U904" s="4"/>
      <c r="V904" s="4"/>
      <c r="W904" s="4"/>
      <c r="X904" s="4"/>
      <c r="Y904" s="4"/>
      <c r="Z904" s="4"/>
      <c r="AA904" s="4"/>
    </row>
    <row r="905" spans="1:27">
      <c r="A905" s="5"/>
      <c r="B905" s="5"/>
      <c r="C905" s="4"/>
      <c r="D905" s="5"/>
      <c r="E905" s="5"/>
      <c r="F905" s="5"/>
      <c r="G905" s="5"/>
      <c r="H905" s="5"/>
      <c r="I905" s="5"/>
      <c r="J905" s="5"/>
      <c r="K905" s="5"/>
      <c r="L905" s="5"/>
      <c r="M905" s="5"/>
      <c r="N905" s="5"/>
      <c r="O905" s="5"/>
      <c r="P905" s="4"/>
      <c r="Q905" s="4"/>
      <c r="R905" s="4"/>
      <c r="S905" s="4"/>
      <c r="T905" s="4"/>
      <c r="U905" s="4"/>
      <c r="V905" s="4"/>
      <c r="W905" s="4"/>
      <c r="X905" s="4"/>
      <c r="Y905" s="4"/>
      <c r="Z905" s="4"/>
      <c r="AA905" s="4"/>
    </row>
    <row r="906" spans="1:27">
      <c r="A906" s="5"/>
      <c r="B906" s="5"/>
      <c r="C906" s="4"/>
      <c r="D906" s="5"/>
      <c r="E906" s="5"/>
      <c r="F906" s="5"/>
      <c r="G906" s="5"/>
      <c r="H906" s="5"/>
      <c r="I906" s="5"/>
      <c r="J906" s="5"/>
      <c r="K906" s="5"/>
      <c r="L906" s="5"/>
      <c r="M906" s="5"/>
      <c r="N906" s="5"/>
      <c r="O906" s="5"/>
      <c r="P906" s="4"/>
      <c r="Q906" s="4"/>
      <c r="R906" s="4"/>
      <c r="S906" s="4"/>
      <c r="T906" s="4"/>
      <c r="U906" s="4"/>
      <c r="V906" s="4"/>
      <c r="W906" s="4"/>
      <c r="X906" s="4"/>
      <c r="Y906" s="4"/>
      <c r="Z906" s="4"/>
      <c r="AA906" s="4"/>
    </row>
    <row r="907" spans="1:27">
      <c r="A907" s="5"/>
      <c r="B907" s="5"/>
      <c r="C907" s="4"/>
      <c r="D907" s="5"/>
      <c r="E907" s="5"/>
      <c r="F907" s="5"/>
      <c r="G907" s="5"/>
      <c r="H907" s="5"/>
      <c r="I907" s="5"/>
      <c r="J907" s="5"/>
      <c r="K907" s="5"/>
      <c r="L907" s="5"/>
      <c r="M907" s="5"/>
      <c r="N907" s="5"/>
      <c r="O907" s="5"/>
      <c r="P907" s="4"/>
      <c r="Q907" s="4"/>
      <c r="R907" s="4"/>
      <c r="S907" s="4"/>
      <c r="T907" s="4"/>
      <c r="U907" s="4"/>
      <c r="V907" s="4"/>
      <c r="W907" s="4"/>
      <c r="X907" s="4"/>
      <c r="Y907" s="4"/>
      <c r="Z907" s="4"/>
      <c r="AA907" s="4"/>
    </row>
    <row r="908" spans="1:27">
      <c r="A908" s="5"/>
      <c r="B908" s="5"/>
      <c r="C908" s="4"/>
      <c r="D908" s="5"/>
      <c r="E908" s="5"/>
      <c r="F908" s="5"/>
      <c r="G908" s="5"/>
      <c r="H908" s="5"/>
      <c r="I908" s="5"/>
      <c r="J908" s="5"/>
      <c r="K908" s="5"/>
      <c r="L908" s="5"/>
      <c r="M908" s="5"/>
      <c r="N908" s="5"/>
      <c r="O908" s="5"/>
      <c r="P908" s="4"/>
      <c r="Q908" s="4"/>
      <c r="R908" s="4"/>
      <c r="S908" s="4"/>
      <c r="T908" s="4"/>
      <c r="U908" s="4"/>
      <c r="V908" s="4"/>
      <c r="W908" s="4"/>
      <c r="X908" s="4"/>
      <c r="Y908" s="4"/>
      <c r="Z908" s="4"/>
      <c r="AA908" s="4"/>
    </row>
    <row r="909" spans="1:27">
      <c r="A909" s="5"/>
      <c r="B909" s="5"/>
      <c r="C909" s="4"/>
      <c r="D909" s="5"/>
      <c r="E909" s="5"/>
      <c r="F909" s="5"/>
      <c r="G909" s="5"/>
      <c r="H909" s="5"/>
      <c r="I909" s="5"/>
      <c r="J909" s="5"/>
      <c r="K909" s="5"/>
      <c r="L909" s="5"/>
      <c r="M909" s="5"/>
      <c r="N909" s="5"/>
      <c r="O909" s="5"/>
      <c r="P909" s="4"/>
      <c r="Q909" s="4"/>
      <c r="R909" s="4"/>
      <c r="S909" s="4"/>
      <c r="T909" s="4"/>
      <c r="U909" s="4"/>
      <c r="V909" s="4"/>
      <c r="W909" s="4"/>
      <c r="X909" s="4"/>
      <c r="Y909" s="4"/>
      <c r="Z909" s="4"/>
      <c r="AA909" s="4"/>
    </row>
    <row r="910" spans="1:27">
      <c r="A910" s="5"/>
      <c r="B910" s="5"/>
      <c r="C910" s="4"/>
      <c r="D910" s="5"/>
      <c r="E910" s="5"/>
      <c r="F910" s="5"/>
      <c r="G910" s="5"/>
      <c r="H910" s="5"/>
      <c r="I910" s="5"/>
      <c r="J910" s="5"/>
      <c r="K910" s="5"/>
      <c r="L910" s="5"/>
      <c r="M910" s="5"/>
      <c r="N910" s="5"/>
      <c r="O910" s="5"/>
      <c r="P910" s="4"/>
      <c r="Q910" s="4"/>
      <c r="R910" s="4"/>
      <c r="S910" s="4"/>
      <c r="T910" s="4"/>
      <c r="U910" s="4"/>
      <c r="V910" s="4"/>
      <c r="W910" s="4"/>
      <c r="X910" s="4"/>
      <c r="Y910" s="4"/>
      <c r="Z910" s="4"/>
      <c r="AA910" s="4"/>
    </row>
    <row r="911" spans="1:27">
      <c r="A911" s="5"/>
      <c r="B911" s="5"/>
      <c r="C911" s="4"/>
      <c r="D911" s="5"/>
      <c r="E911" s="5"/>
      <c r="F911" s="5"/>
      <c r="G911" s="5"/>
      <c r="H911" s="5"/>
      <c r="I911" s="5"/>
      <c r="J911" s="5"/>
      <c r="K911" s="5"/>
      <c r="L911" s="5"/>
      <c r="M911" s="5"/>
      <c r="N911" s="5"/>
      <c r="O911" s="5"/>
      <c r="P911" s="4"/>
      <c r="Q911" s="4"/>
      <c r="R911" s="4"/>
      <c r="S911" s="4"/>
      <c r="T911" s="4"/>
      <c r="U911" s="4"/>
      <c r="V911" s="4"/>
      <c r="W911" s="4"/>
      <c r="X911" s="4"/>
      <c r="Y911" s="4"/>
      <c r="Z911" s="4"/>
      <c r="AA911" s="4"/>
    </row>
    <row r="912" spans="1:27">
      <c r="A912" s="5"/>
      <c r="B912" s="5"/>
      <c r="C912" s="4"/>
      <c r="D912" s="5"/>
      <c r="E912" s="5"/>
      <c r="F912" s="5"/>
      <c r="G912" s="5"/>
      <c r="H912" s="5"/>
      <c r="I912" s="5"/>
      <c r="J912" s="5"/>
      <c r="K912" s="5"/>
      <c r="L912" s="5"/>
      <c r="M912" s="5"/>
      <c r="N912" s="5"/>
      <c r="O912" s="5"/>
      <c r="P912" s="4"/>
      <c r="Q912" s="4"/>
      <c r="R912" s="4"/>
      <c r="S912" s="4"/>
      <c r="T912" s="4"/>
      <c r="U912" s="4"/>
      <c r="V912" s="4"/>
      <c r="W912" s="4"/>
      <c r="X912" s="4"/>
      <c r="Y912" s="4"/>
      <c r="Z912" s="4"/>
      <c r="AA912" s="4"/>
    </row>
    <row r="913" spans="1:27">
      <c r="A913" s="5"/>
      <c r="B913" s="5"/>
      <c r="C913" s="4"/>
      <c r="D913" s="5"/>
      <c r="E913" s="5"/>
      <c r="F913" s="5"/>
      <c r="G913" s="5"/>
      <c r="H913" s="5"/>
      <c r="I913" s="5"/>
      <c r="J913" s="5"/>
      <c r="K913" s="5"/>
      <c r="L913" s="5"/>
      <c r="M913" s="5"/>
      <c r="N913" s="5"/>
      <c r="O913" s="5"/>
      <c r="P913" s="4"/>
      <c r="Q913" s="4"/>
      <c r="R913" s="4"/>
      <c r="S913" s="4"/>
      <c r="T913" s="4"/>
      <c r="U913" s="4"/>
      <c r="V913" s="4"/>
      <c r="W913" s="4"/>
      <c r="X913" s="4"/>
      <c r="Y913" s="4"/>
      <c r="Z913" s="4"/>
      <c r="AA913" s="4"/>
    </row>
    <row r="914" spans="1:27">
      <c r="A914" s="5"/>
      <c r="B914" s="5"/>
      <c r="C914" s="4"/>
      <c r="D914" s="5"/>
      <c r="E914" s="5"/>
      <c r="F914" s="5"/>
      <c r="G914" s="5"/>
      <c r="H914" s="5"/>
      <c r="I914" s="5"/>
      <c r="J914" s="5"/>
      <c r="K914" s="5"/>
      <c r="L914" s="5"/>
      <c r="M914" s="5"/>
      <c r="N914" s="5"/>
      <c r="O914" s="5"/>
      <c r="P914" s="4"/>
      <c r="Q914" s="4"/>
      <c r="R914" s="4"/>
      <c r="S914" s="4"/>
      <c r="T914" s="4"/>
      <c r="U914" s="4"/>
      <c r="V914" s="4"/>
      <c r="W914" s="4"/>
      <c r="X914" s="4"/>
      <c r="Y914" s="4"/>
      <c r="Z914" s="4"/>
      <c r="AA914" s="4"/>
    </row>
    <row r="915" spans="1:27">
      <c r="A915" s="5"/>
      <c r="B915" s="5"/>
      <c r="C915" s="4"/>
      <c r="D915" s="5"/>
      <c r="E915" s="5"/>
      <c r="F915" s="5"/>
      <c r="G915" s="5"/>
      <c r="H915" s="5"/>
      <c r="I915" s="5"/>
      <c r="J915" s="5"/>
      <c r="K915" s="5"/>
      <c r="L915" s="5"/>
      <c r="M915" s="5"/>
      <c r="N915" s="5"/>
      <c r="O915" s="5"/>
      <c r="P915" s="4"/>
      <c r="Q915" s="4"/>
      <c r="R915" s="4"/>
      <c r="S915" s="4"/>
      <c r="T915" s="4"/>
      <c r="U915" s="4"/>
      <c r="V915" s="4"/>
      <c r="W915" s="4"/>
      <c r="X915" s="4"/>
      <c r="Y915" s="4"/>
      <c r="Z915" s="4"/>
      <c r="AA915" s="4"/>
    </row>
    <row r="916" spans="1:27">
      <c r="A916" s="5"/>
      <c r="B916" s="5"/>
      <c r="C916" s="4"/>
      <c r="D916" s="5"/>
      <c r="E916" s="5"/>
      <c r="F916" s="5"/>
      <c r="G916" s="5"/>
      <c r="H916" s="5"/>
      <c r="I916" s="5"/>
      <c r="J916" s="5"/>
      <c r="K916" s="5"/>
      <c r="L916" s="5"/>
      <c r="M916" s="5"/>
      <c r="N916" s="5"/>
      <c r="O916" s="5"/>
      <c r="P916" s="4"/>
      <c r="Q916" s="4"/>
      <c r="R916" s="4"/>
      <c r="S916" s="4"/>
      <c r="T916" s="4"/>
      <c r="U916" s="4"/>
      <c r="V916" s="4"/>
      <c r="W916" s="4"/>
      <c r="X916" s="4"/>
      <c r="Y916" s="4"/>
      <c r="Z916" s="4"/>
      <c r="AA916" s="4"/>
    </row>
    <row r="917" spans="1:27">
      <c r="A917" s="5"/>
      <c r="B917" s="5"/>
      <c r="C917" s="4"/>
      <c r="D917" s="5"/>
      <c r="E917" s="5"/>
      <c r="F917" s="5"/>
      <c r="G917" s="5"/>
      <c r="H917" s="5"/>
      <c r="I917" s="5"/>
      <c r="J917" s="5"/>
      <c r="K917" s="5"/>
      <c r="L917" s="5"/>
      <c r="M917" s="5"/>
      <c r="N917" s="5"/>
      <c r="O917" s="5"/>
      <c r="P917" s="4"/>
      <c r="Q917" s="4"/>
      <c r="R917" s="4"/>
      <c r="S917" s="4"/>
      <c r="T917" s="4"/>
      <c r="U917" s="4"/>
      <c r="V917" s="4"/>
      <c r="W917" s="4"/>
      <c r="X917" s="4"/>
      <c r="Y917" s="4"/>
      <c r="Z917" s="4"/>
      <c r="AA917" s="4"/>
    </row>
    <row r="918" spans="1:27">
      <c r="A918" s="5"/>
      <c r="B918" s="5"/>
      <c r="C918" s="4"/>
      <c r="D918" s="5"/>
      <c r="E918" s="5"/>
      <c r="F918" s="5"/>
      <c r="G918" s="5"/>
      <c r="H918" s="5"/>
      <c r="I918" s="5"/>
      <c r="J918" s="5"/>
      <c r="K918" s="5"/>
      <c r="L918" s="5"/>
      <c r="M918" s="5"/>
      <c r="N918" s="5"/>
      <c r="O918" s="5"/>
      <c r="P918" s="4"/>
      <c r="Q918" s="4"/>
      <c r="R918" s="4"/>
      <c r="S918" s="4"/>
      <c r="T918" s="4"/>
      <c r="U918" s="4"/>
      <c r="V918" s="4"/>
      <c r="W918" s="4"/>
      <c r="X918" s="4"/>
      <c r="Y918" s="4"/>
      <c r="Z918" s="4"/>
      <c r="AA918" s="4"/>
    </row>
    <row r="919" spans="1:27">
      <c r="A919" s="5"/>
      <c r="B919" s="5"/>
      <c r="C919" s="4"/>
      <c r="D919" s="5"/>
      <c r="E919" s="5"/>
      <c r="F919" s="5"/>
      <c r="G919" s="5"/>
      <c r="H919" s="5"/>
      <c r="I919" s="5"/>
      <c r="J919" s="5"/>
      <c r="K919" s="5"/>
      <c r="L919" s="5"/>
      <c r="M919" s="5"/>
      <c r="N919" s="5"/>
      <c r="O919" s="5"/>
      <c r="P919" s="4"/>
      <c r="Q919" s="4"/>
      <c r="R919" s="4"/>
      <c r="S919" s="4"/>
      <c r="T919" s="4"/>
      <c r="U919" s="4"/>
      <c r="V919" s="4"/>
      <c r="W919" s="4"/>
      <c r="X919" s="4"/>
      <c r="Y919" s="4"/>
      <c r="Z919" s="4"/>
      <c r="AA919" s="4"/>
    </row>
    <row r="920" spans="1:27">
      <c r="A920" s="5"/>
      <c r="B920" s="5"/>
      <c r="C920" s="4"/>
      <c r="D920" s="5"/>
      <c r="E920" s="5"/>
      <c r="F920" s="5"/>
      <c r="G920" s="5"/>
      <c r="H920" s="5"/>
      <c r="I920" s="5"/>
      <c r="J920" s="5"/>
      <c r="K920" s="5"/>
      <c r="L920" s="5"/>
      <c r="M920" s="5"/>
      <c r="N920" s="5"/>
      <c r="O920" s="5"/>
      <c r="P920" s="4"/>
      <c r="Q920" s="4"/>
      <c r="R920" s="4"/>
      <c r="S920" s="4"/>
      <c r="T920" s="4"/>
      <c r="U920" s="4"/>
      <c r="V920" s="4"/>
      <c r="W920" s="4"/>
      <c r="X920" s="4"/>
      <c r="Y920" s="4"/>
      <c r="Z920" s="4"/>
      <c r="AA920" s="4"/>
    </row>
    <row r="921" spans="1:27">
      <c r="A921" s="5"/>
      <c r="B921" s="5"/>
      <c r="C921" s="4"/>
      <c r="D921" s="5"/>
      <c r="E921" s="5"/>
      <c r="F921" s="5"/>
      <c r="G921" s="5"/>
      <c r="H921" s="5"/>
      <c r="I921" s="5"/>
      <c r="J921" s="5"/>
      <c r="K921" s="5"/>
      <c r="L921" s="5"/>
      <c r="M921" s="5"/>
      <c r="N921" s="5"/>
      <c r="O921" s="5"/>
      <c r="P921" s="4"/>
      <c r="Q921" s="4"/>
      <c r="R921" s="4"/>
      <c r="S921" s="4"/>
      <c r="T921" s="4"/>
      <c r="U921" s="4"/>
      <c r="V921" s="4"/>
      <c r="W921" s="4"/>
      <c r="X921" s="4"/>
      <c r="Y921" s="4"/>
      <c r="Z921" s="4"/>
      <c r="AA921" s="4"/>
    </row>
    <row r="922" spans="1:27">
      <c r="A922" s="5"/>
      <c r="B922" s="5"/>
      <c r="C922" s="4"/>
      <c r="D922" s="5"/>
      <c r="E922" s="5"/>
      <c r="F922" s="5"/>
      <c r="G922" s="5"/>
      <c r="H922" s="5"/>
      <c r="I922" s="5"/>
      <c r="J922" s="5"/>
      <c r="K922" s="5"/>
      <c r="L922" s="5"/>
      <c r="M922" s="5"/>
      <c r="N922" s="5"/>
      <c r="O922" s="5"/>
      <c r="P922" s="4"/>
      <c r="Q922" s="4"/>
      <c r="R922" s="4"/>
      <c r="S922" s="4"/>
      <c r="T922" s="4"/>
      <c r="U922" s="4"/>
      <c r="V922" s="4"/>
      <c r="W922" s="4"/>
      <c r="X922" s="4"/>
      <c r="Y922" s="4"/>
      <c r="Z922" s="4"/>
      <c r="AA922" s="4"/>
    </row>
    <row r="923" spans="1:27">
      <c r="A923" s="5"/>
      <c r="B923" s="5"/>
      <c r="C923" s="4"/>
      <c r="D923" s="5"/>
      <c r="E923" s="5"/>
      <c r="F923" s="5"/>
      <c r="G923" s="5"/>
      <c r="H923" s="5"/>
      <c r="I923" s="5"/>
      <c r="J923" s="5"/>
      <c r="K923" s="5"/>
      <c r="L923" s="5"/>
      <c r="M923" s="5"/>
      <c r="N923" s="5"/>
      <c r="O923" s="5"/>
      <c r="P923" s="4"/>
      <c r="Q923" s="4"/>
      <c r="R923" s="4"/>
      <c r="S923" s="4"/>
      <c r="T923" s="4"/>
      <c r="U923" s="4"/>
      <c r="V923" s="4"/>
      <c r="W923" s="4"/>
      <c r="X923" s="4"/>
      <c r="Y923" s="4"/>
      <c r="Z923" s="4"/>
      <c r="AA923" s="4"/>
    </row>
    <row r="924" spans="1:27">
      <c r="A924" s="5"/>
      <c r="B924" s="5"/>
      <c r="C924" s="4"/>
      <c r="D924" s="5"/>
      <c r="E924" s="5"/>
      <c r="F924" s="5"/>
      <c r="G924" s="5"/>
      <c r="H924" s="5"/>
      <c r="I924" s="5"/>
      <c r="J924" s="5"/>
      <c r="K924" s="5"/>
      <c r="L924" s="5"/>
      <c r="M924" s="5"/>
      <c r="N924" s="5"/>
      <c r="O924" s="5"/>
      <c r="P924" s="4"/>
      <c r="Q924" s="4"/>
      <c r="R924" s="4"/>
      <c r="S924" s="4"/>
      <c r="T924" s="4"/>
      <c r="U924" s="4"/>
      <c r="V924" s="4"/>
      <c r="W924" s="4"/>
      <c r="X924" s="4"/>
      <c r="Y924" s="4"/>
      <c r="Z924" s="4"/>
      <c r="AA924" s="4"/>
    </row>
    <row r="925" spans="1:27">
      <c r="A925" s="5"/>
      <c r="B925" s="5"/>
      <c r="C925" s="4"/>
      <c r="D925" s="5"/>
      <c r="E925" s="5"/>
      <c r="F925" s="5"/>
      <c r="G925" s="5"/>
      <c r="H925" s="5"/>
      <c r="I925" s="5"/>
      <c r="J925" s="5"/>
      <c r="K925" s="5"/>
      <c r="L925" s="5"/>
      <c r="M925" s="5"/>
      <c r="N925" s="5"/>
      <c r="O925" s="5"/>
      <c r="P925" s="4"/>
      <c r="Q925" s="4"/>
      <c r="R925" s="4"/>
      <c r="S925" s="4"/>
      <c r="T925" s="4"/>
      <c r="U925" s="4"/>
      <c r="V925" s="4"/>
      <c r="W925" s="4"/>
      <c r="X925" s="4"/>
      <c r="Y925" s="4"/>
      <c r="Z925" s="4"/>
      <c r="AA925" s="4"/>
    </row>
    <row r="926" spans="1:27">
      <c r="A926" s="5"/>
      <c r="B926" s="5"/>
      <c r="C926" s="4"/>
      <c r="D926" s="5"/>
      <c r="E926" s="5"/>
      <c r="F926" s="5"/>
      <c r="G926" s="5"/>
      <c r="H926" s="5"/>
      <c r="I926" s="5"/>
      <c r="J926" s="5"/>
      <c r="K926" s="5"/>
      <c r="L926" s="5"/>
      <c r="M926" s="5"/>
      <c r="N926" s="5"/>
      <c r="O926" s="5"/>
      <c r="P926" s="4"/>
      <c r="Q926" s="4"/>
      <c r="R926" s="4"/>
      <c r="S926" s="4"/>
      <c r="T926" s="4"/>
      <c r="U926" s="4"/>
      <c r="V926" s="4"/>
      <c r="W926" s="4"/>
      <c r="X926" s="4"/>
      <c r="Y926" s="4"/>
      <c r="Z926" s="4"/>
      <c r="AA926" s="4"/>
    </row>
    <row r="927" spans="1:27">
      <c r="A927" s="5"/>
      <c r="B927" s="5"/>
      <c r="C927" s="4"/>
      <c r="D927" s="5"/>
      <c r="E927" s="5"/>
      <c r="F927" s="5"/>
      <c r="G927" s="5"/>
      <c r="H927" s="5"/>
      <c r="I927" s="5"/>
      <c r="J927" s="5"/>
      <c r="K927" s="5"/>
      <c r="L927" s="5"/>
      <c r="M927" s="5"/>
      <c r="N927" s="5"/>
      <c r="O927" s="5"/>
      <c r="P927" s="4"/>
      <c r="Q927" s="4"/>
      <c r="R927" s="4"/>
      <c r="S927" s="4"/>
      <c r="T927" s="4"/>
      <c r="U927" s="4"/>
      <c r="V927" s="4"/>
      <c r="W927" s="4"/>
      <c r="X927" s="4"/>
      <c r="Y927" s="4"/>
      <c r="Z927" s="4"/>
      <c r="AA927" s="4"/>
    </row>
    <row r="928" spans="1:27">
      <c r="A928" s="5"/>
      <c r="B928" s="5"/>
      <c r="C928" s="4"/>
      <c r="D928" s="5"/>
      <c r="E928" s="5"/>
      <c r="F928" s="5"/>
      <c r="G928" s="5"/>
      <c r="H928" s="5"/>
      <c r="I928" s="5"/>
      <c r="J928" s="5"/>
      <c r="K928" s="5"/>
      <c r="L928" s="5"/>
      <c r="M928" s="5"/>
      <c r="N928" s="5"/>
      <c r="O928" s="5"/>
      <c r="P928" s="4"/>
      <c r="Q928" s="4"/>
      <c r="R928" s="4"/>
      <c r="S928" s="4"/>
      <c r="T928" s="4"/>
      <c r="U928" s="4"/>
      <c r="V928" s="4"/>
      <c r="W928" s="4"/>
      <c r="X928" s="4"/>
      <c r="Y928" s="4"/>
      <c r="Z928" s="4"/>
      <c r="AA928" s="4"/>
    </row>
    <row r="929" spans="1:27">
      <c r="A929" s="5"/>
      <c r="B929" s="5"/>
      <c r="C929" s="4"/>
      <c r="D929" s="5"/>
      <c r="E929" s="5"/>
      <c r="F929" s="5"/>
      <c r="G929" s="5"/>
      <c r="H929" s="5"/>
      <c r="I929" s="5"/>
      <c r="J929" s="5"/>
      <c r="K929" s="5"/>
      <c r="L929" s="5"/>
      <c r="M929" s="5"/>
      <c r="N929" s="5"/>
      <c r="O929" s="5"/>
      <c r="P929" s="4"/>
      <c r="Q929" s="4"/>
      <c r="R929" s="4"/>
      <c r="S929" s="4"/>
      <c r="T929" s="4"/>
      <c r="U929" s="4"/>
      <c r="V929" s="4"/>
      <c r="W929" s="4"/>
      <c r="X929" s="4"/>
      <c r="Y929" s="4"/>
      <c r="Z929" s="4"/>
      <c r="AA929" s="4"/>
    </row>
    <row r="930" spans="1:27">
      <c r="A930" s="5"/>
      <c r="B930" s="5"/>
      <c r="C930" s="4"/>
      <c r="D930" s="5"/>
      <c r="E930" s="5"/>
      <c r="F930" s="5"/>
      <c r="G930" s="5"/>
      <c r="H930" s="5"/>
      <c r="I930" s="5"/>
      <c r="J930" s="5"/>
      <c r="K930" s="5"/>
      <c r="L930" s="5"/>
      <c r="M930" s="5"/>
      <c r="N930" s="5"/>
      <c r="O930" s="5"/>
      <c r="P930" s="4"/>
      <c r="Q930" s="4"/>
      <c r="R930" s="4"/>
      <c r="S930" s="4"/>
      <c r="T930" s="4"/>
      <c r="U930" s="4"/>
      <c r="V930" s="4"/>
      <c r="W930" s="4"/>
      <c r="X930" s="4"/>
      <c r="Y930" s="4"/>
      <c r="Z930" s="4"/>
      <c r="AA930" s="4"/>
    </row>
    <row r="931" spans="1:27">
      <c r="A931" s="5"/>
      <c r="B931" s="5"/>
      <c r="C931" s="4"/>
      <c r="D931" s="5"/>
      <c r="E931" s="5"/>
      <c r="F931" s="5"/>
      <c r="G931" s="5"/>
      <c r="H931" s="5"/>
      <c r="I931" s="5"/>
      <c r="J931" s="5"/>
      <c r="K931" s="5"/>
      <c r="L931" s="5"/>
      <c r="M931" s="5"/>
      <c r="N931" s="5"/>
      <c r="O931" s="5"/>
      <c r="P931" s="4"/>
      <c r="Q931" s="4"/>
      <c r="R931" s="4"/>
      <c r="S931" s="4"/>
      <c r="T931" s="4"/>
      <c r="U931" s="4"/>
      <c r="V931" s="4"/>
      <c r="W931" s="4"/>
      <c r="X931" s="4"/>
      <c r="Y931" s="4"/>
      <c r="Z931" s="4"/>
      <c r="AA931" s="4"/>
    </row>
    <row r="932" spans="1:27">
      <c r="A932" s="5"/>
      <c r="B932" s="5"/>
      <c r="C932" s="4"/>
      <c r="D932" s="5"/>
      <c r="E932" s="5"/>
      <c r="F932" s="5"/>
      <c r="G932" s="5"/>
      <c r="H932" s="5"/>
      <c r="I932" s="5"/>
      <c r="J932" s="5"/>
      <c r="K932" s="5"/>
      <c r="L932" s="5"/>
      <c r="M932" s="5"/>
      <c r="N932" s="5"/>
      <c r="O932" s="5"/>
      <c r="P932" s="4"/>
      <c r="Q932" s="4"/>
      <c r="R932" s="4"/>
      <c r="S932" s="4"/>
      <c r="T932" s="4"/>
      <c r="U932" s="4"/>
      <c r="V932" s="4"/>
      <c r="W932" s="4"/>
      <c r="X932" s="4"/>
      <c r="Y932" s="4"/>
      <c r="Z932" s="4"/>
      <c r="AA932" s="4"/>
    </row>
    <row r="933" spans="1:27">
      <c r="A933" s="5"/>
      <c r="B933" s="5"/>
      <c r="C933" s="4"/>
      <c r="D933" s="5"/>
      <c r="E933" s="5"/>
      <c r="F933" s="5"/>
      <c r="G933" s="5"/>
      <c r="H933" s="5"/>
      <c r="I933" s="5"/>
      <c r="J933" s="5"/>
      <c r="K933" s="5"/>
      <c r="L933" s="5"/>
      <c r="M933" s="5"/>
      <c r="N933" s="5"/>
      <c r="O933" s="5"/>
      <c r="P933" s="4"/>
      <c r="Q933" s="4"/>
      <c r="R933" s="4"/>
      <c r="S933" s="4"/>
      <c r="T933" s="4"/>
      <c r="U933" s="4"/>
      <c r="V933" s="4"/>
      <c r="W933" s="4"/>
      <c r="X933" s="4"/>
      <c r="Y933" s="4"/>
      <c r="Z933" s="4"/>
      <c r="AA933" s="4"/>
    </row>
    <row r="934" spans="1:27">
      <c r="A934" s="5"/>
      <c r="B934" s="5"/>
      <c r="C934" s="4"/>
      <c r="D934" s="5"/>
      <c r="E934" s="5"/>
      <c r="F934" s="5"/>
      <c r="G934" s="5"/>
      <c r="H934" s="5"/>
      <c r="I934" s="5"/>
      <c r="J934" s="5"/>
      <c r="K934" s="5"/>
      <c r="L934" s="5"/>
      <c r="M934" s="5"/>
      <c r="N934" s="5"/>
      <c r="O934" s="5"/>
      <c r="P934" s="4"/>
      <c r="Q934" s="4"/>
      <c r="R934" s="4"/>
      <c r="S934" s="4"/>
      <c r="T934" s="4"/>
      <c r="U934" s="4"/>
      <c r="V934" s="4"/>
      <c r="W934" s="4"/>
      <c r="X934" s="4"/>
      <c r="Y934" s="4"/>
      <c r="Z934" s="4"/>
      <c r="AA934" s="4"/>
    </row>
    <row r="935" spans="1:27">
      <c r="A935" s="5"/>
      <c r="B935" s="5"/>
      <c r="C935" s="4"/>
      <c r="D935" s="5"/>
      <c r="E935" s="5"/>
      <c r="F935" s="5"/>
      <c r="G935" s="5"/>
      <c r="H935" s="5"/>
      <c r="I935" s="5"/>
      <c r="J935" s="5"/>
      <c r="K935" s="5"/>
      <c r="L935" s="5"/>
      <c r="M935" s="5"/>
      <c r="N935" s="5"/>
      <c r="O935" s="5"/>
      <c r="P935" s="4"/>
      <c r="Q935" s="4"/>
      <c r="R935" s="4"/>
      <c r="S935" s="4"/>
      <c r="T935" s="4"/>
      <c r="U935" s="4"/>
      <c r="V935" s="4"/>
      <c r="W935" s="4"/>
      <c r="X935" s="4"/>
      <c r="Y935" s="4"/>
      <c r="Z935" s="4"/>
      <c r="AA935" s="4"/>
    </row>
    <row r="936" spans="1:27">
      <c r="A936" s="5"/>
      <c r="B936" s="5"/>
      <c r="C936" s="4"/>
      <c r="D936" s="5"/>
      <c r="E936" s="5"/>
      <c r="F936" s="5"/>
      <c r="G936" s="5"/>
      <c r="H936" s="5"/>
      <c r="I936" s="5"/>
      <c r="J936" s="5"/>
      <c r="K936" s="5"/>
      <c r="L936" s="5"/>
      <c r="M936" s="5"/>
      <c r="N936" s="5"/>
      <c r="O936" s="5"/>
      <c r="P936" s="4"/>
      <c r="Q936" s="4"/>
      <c r="R936" s="4"/>
      <c r="S936" s="4"/>
      <c r="T936" s="4"/>
      <c r="U936" s="4"/>
      <c r="V936" s="4"/>
      <c r="W936" s="4"/>
      <c r="X936" s="4"/>
      <c r="Y936" s="4"/>
      <c r="Z936" s="4"/>
      <c r="AA936" s="4"/>
    </row>
    <row r="937" spans="1:27">
      <c r="A937" s="5"/>
      <c r="B937" s="5"/>
      <c r="C937" s="4"/>
      <c r="D937" s="5"/>
      <c r="E937" s="5"/>
      <c r="F937" s="5"/>
      <c r="G937" s="5"/>
      <c r="H937" s="5"/>
      <c r="I937" s="5"/>
      <c r="J937" s="5"/>
      <c r="K937" s="5"/>
      <c r="L937" s="5"/>
      <c r="M937" s="5"/>
      <c r="N937" s="5"/>
      <c r="O937" s="5"/>
      <c r="P937" s="4"/>
      <c r="Q937" s="4"/>
      <c r="R937" s="4"/>
      <c r="S937" s="4"/>
      <c r="T937" s="4"/>
      <c r="U937" s="4"/>
      <c r="V937" s="4"/>
      <c r="W937" s="4"/>
      <c r="X937" s="4"/>
      <c r="Y937" s="4"/>
      <c r="Z937" s="4"/>
      <c r="AA937" s="4"/>
    </row>
    <row r="938" spans="1:27">
      <c r="A938" s="5"/>
      <c r="B938" s="5"/>
      <c r="C938" s="4"/>
      <c r="D938" s="5"/>
      <c r="E938" s="5"/>
      <c r="F938" s="5"/>
      <c r="G938" s="5"/>
      <c r="H938" s="5"/>
      <c r="I938" s="5"/>
      <c r="J938" s="5"/>
      <c r="K938" s="5"/>
      <c r="L938" s="5"/>
      <c r="M938" s="5"/>
      <c r="N938" s="5"/>
      <c r="O938" s="5"/>
      <c r="P938" s="4"/>
      <c r="Q938" s="4"/>
      <c r="R938" s="4"/>
      <c r="S938" s="4"/>
      <c r="T938" s="4"/>
      <c r="U938" s="4"/>
      <c r="V938" s="4"/>
      <c r="W938" s="4"/>
      <c r="X938" s="4"/>
      <c r="Y938" s="4"/>
      <c r="Z938" s="4"/>
      <c r="AA938" s="4"/>
    </row>
    <row r="939" spans="1:27">
      <c r="A939" s="5"/>
      <c r="B939" s="5"/>
      <c r="C939" s="4"/>
      <c r="D939" s="5"/>
      <c r="E939" s="5"/>
      <c r="F939" s="5"/>
      <c r="G939" s="5"/>
      <c r="H939" s="5"/>
      <c r="I939" s="5"/>
      <c r="J939" s="5"/>
      <c r="K939" s="5"/>
      <c r="L939" s="5"/>
      <c r="M939" s="5"/>
      <c r="N939" s="5"/>
      <c r="O939" s="5"/>
      <c r="P939" s="4"/>
      <c r="Q939" s="4"/>
      <c r="R939" s="4"/>
      <c r="S939" s="4"/>
      <c r="T939" s="4"/>
      <c r="U939" s="4"/>
      <c r="V939" s="4"/>
      <c r="W939" s="4"/>
      <c r="X939" s="4"/>
      <c r="Y939" s="4"/>
      <c r="Z939" s="4"/>
      <c r="AA939" s="4"/>
    </row>
    <row r="940" spans="1:27">
      <c r="A940" s="5"/>
      <c r="B940" s="5"/>
      <c r="C940" s="4"/>
      <c r="D940" s="5"/>
      <c r="E940" s="5"/>
      <c r="F940" s="5"/>
      <c r="G940" s="5"/>
      <c r="H940" s="5"/>
      <c r="I940" s="5"/>
      <c r="J940" s="5"/>
      <c r="K940" s="5"/>
      <c r="L940" s="5"/>
      <c r="M940" s="5"/>
      <c r="N940" s="5"/>
      <c r="O940" s="5"/>
      <c r="P940" s="4"/>
      <c r="Q940" s="4"/>
      <c r="R940" s="4"/>
      <c r="S940" s="4"/>
      <c r="T940" s="4"/>
      <c r="U940" s="4"/>
      <c r="V940" s="4"/>
      <c r="W940" s="4"/>
      <c r="X940" s="4"/>
      <c r="Y940" s="4"/>
      <c r="Z940" s="4"/>
      <c r="AA940" s="4"/>
    </row>
    <row r="941" spans="1:27">
      <c r="A941" s="5"/>
      <c r="B941" s="5"/>
      <c r="C941" s="4"/>
      <c r="D941" s="5"/>
      <c r="E941" s="5"/>
      <c r="F941" s="5"/>
      <c r="G941" s="5"/>
      <c r="H941" s="5"/>
      <c r="I941" s="5"/>
      <c r="J941" s="5"/>
      <c r="K941" s="5"/>
      <c r="L941" s="5"/>
      <c r="M941" s="5"/>
      <c r="N941" s="5"/>
      <c r="O941" s="5"/>
      <c r="P941" s="4"/>
      <c r="Q941" s="4"/>
      <c r="R941" s="4"/>
      <c r="S941" s="4"/>
      <c r="T941" s="4"/>
      <c r="U941" s="4"/>
      <c r="V941" s="4"/>
      <c r="W941" s="4"/>
      <c r="X941" s="4"/>
      <c r="Y941" s="4"/>
      <c r="Z941" s="4"/>
      <c r="AA941" s="4"/>
    </row>
    <row r="942" spans="1:27">
      <c r="A942" s="5"/>
      <c r="B942" s="5"/>
      <c r="C942" s="4"/>
      <c r="D942" s="5"/>
      <c r="E942" s="5"/>
      <c r="F942" s="5"/>
      <c r="G942" s="5"/>
      <c r="H942" s="5"/>
      <c r="I942" s="5"/>
      <c r="J942" s="5"/>
      <c r="K942" s="5"/>
      <c r="L942" s="5"/>
      <c r="M942" s="5"/>
      <c r="N942" s="5"/>
      <c r="O942" s="5"/>
      <c r="P942" s="4"/>
      <c r="Q942" s="4"/>
      <c r="R942" s="4"/>
      <c r="S942" s="4"/>
      <c r="T942" s="4"/>
      <c r="U942" s="4"/>
      <c r="V942" s="4"/>
      <c r="W942" s="4"/>
      <c r="X942" s="4"/>
      <c r="Y942" s="4"/>
      <c r="Z942" s="4"/>
      <c r="AA942" s="4"/>
    </row>
    <row r="943" spans="1:27">
      <c r="A943" s="5"/>
      <c r="B943" s="5"/>
      <c r="C943" s="4"/>
      <c r="D943" s="5"/>
      <c r="E943" s="5"/>
      <c r="F943" s="5"/>
      <c r="G943" s="5"/>
      <c r="H943" s="5"/>
      <c r="I943" s="5"/>
      <c r="J943" s="5"/>
      <c r="K943" s="5"/>
      <c r="L943" s="5"/>
      <c r="M943" s="5"/>
      <c r="N943" s="5"/>
      <c r="O943" s="5"/>
      <c r="P943" s="4"/>
      <c r="Q943" s="4"/>
      <c r="R943" s="4"/>
      <c r="S943" s="4"/>
      <c r="T943" s="4"/>
      <c r="U943" s="4"/>
      <c r="V943" s="4"/>
      <c r="W943" s="4"/>
      <c r="X943" s="4"/>
      <c r="Y943" s="4"/>
      <c r="Z943" s="4"/>
      <c r="AA943" s="4"/>
    </row>
    <row r="944" spans="1:27">
      <c r="A944" s="5"/>
      <c r="B944" s="5"/>
      <c r="C944" s="4"/>
      <c r="D944" s="5"/>
      <c r="E944" s="5"/>
      <c r="F944" s="5"/>
      <c r="G944" s="5"/>
      <c r="H944" s="5"/>
      <c r="I944" s="5"/>
      <c r="J944" s="5"/>
      <c r="K944" s="5"/>
      <c r="L944" s="5"/>
      <c r="M944" s="5"/>
      <c r="N944" s="5"/>
      <c r="O944" s="5"/>
      <c r="P944" s="4"/>
      <c r="Q944" s="4"/>
      <c r="R944" s="4"/>
      <c r="S944" s="4"/>
      <c r="T944" s="4"/>
      <c r="U944" s="4"/>
      <c r="V944" s="4"/>
      <c r="W944" s="4"/>
      <c r="X944" s="4"/>
      <c r="Y944" s="4"/>
      <c r="Z944" s="4"/>
      <c r="AA944" s="4"/>
    </row>
    <row r="945" spans="1:27">
      <c r="A945" s="5"/>
      <c r="B945" s="5"/>
      <c r="C945" s="4"/>
      <c r="D945" s="5"/>
      <c r="E945" s="5"/>
      <c r="F945" s="5"/>
      <c r="G945" s="5"/>
      <c r="H945" s="5"/>
      <c r="I945" s="5"/>
      <c r="J945" s="5"/>
      <c r="K945" s="5"/>
      <c r="L945" s="5"/>
      <c r="M945" s="5"/>
      <c r="N945" s="5"/>
      <c r="O945" s="5"/>
      <c r="P945" s="4"/>
      <c r="Q945" s="4"/>
      <c r="R945" s="4"/>
      <c r="S945" s="4"/>
      <c r="T945" s="4"/>
      <c r="U945" s="4"/>
      <c r="V945" s="4"/>
      <c r="W945" s="4"/>
      <c r="X945" s="4"/>
      <c r="Y945" s="4"/>
      <c r="Z945" s="4"/>
      <c r="AA945" s="4"/>
    </row>
    <row r="946" spans="1:27">
      <c r="A946" s="5"/>
      <c r="B946" s="5"/>
      <c r="C946" s="4"/>
      <c r="D946" s="5"/>
      <c r="E946" s="5"/>
      <c r="F946" s="5"/>
      <c r="G946" s="5"/>
      <c r="H946" s="5"/>
      <c r="I946" s="5"/>
      <c r="J946" s="5"/>
      <c r="K946" s="5"/>
      <c r="L946" s="5"/>
      <c r="M946" s="5"/>
      <c r="N946" s="5"/>
      <c r="O946" s="5"/>
      <c r="P946" s="4"/>
      <c r="Q946" s="4"/>
      <c r="R946" s="4"/>
      <c r="S946" s="4"/>
      <c r="T946" s="4"/>
      <c r="U946" s="4"/>
      <c r="V946" s="4"/>
      <c r="W946" s="4"/>
      <c r="X946" s="4"/>
      <c r="Y946" s="4"/>
      <c r="Z946" s="4"/>
      <c r="AA946" s="4"/>
    </row>
    <row r="947" spans="1:27">
      <c r="A947" s="5"/>
      <c r="B947" s="5"/>
      <c r="C947" s="4"/>
      <c r="D947" s="5"/>
      <c r="E947" s="5"/>
      <c r="F947" s="5"/>
      <c r="G947" s="5"/>
      <c r="H947" s="5"/>
      <c r="I947" s="5"/>
      <c r="J947" s="5"/>
      <c r="K947" s="5"/>
      <c r="L947" s="5"/>
      <c r="M947" s="5"/>
      <c r="N947" s="5"/>
      <c r="O947" s="5"/>
      <c r="P947" s="4"/>
      <c r="Q947" s="4"/>
      <c r="R947" s="4"/>
      <c r="S947" s="4"/>
      <c r="T947" s="4"/>
      <c r="U947" s="4"/>
      <c r="V947" s="4"/>
      <c r="W947" s="4"/>
      <c r="X947" s="4"/>
      <c r="Y947" s="4"/>
      <c r="Z947" s="4"/>
      <c r="AA947" s="4"/>
    </row>
    <row r="948" spans="1:27">
      <c r="A948" s="5"/>
      <c r="B948" s="5"/>
      <c r="C948" s="4"/>
      <c r="D948" s="5"/>
      <c r="E948" s="5"/>
      <c r="F948" s="5"/>
      <c r="G948" s="5"/>
      <c r="H948" s="5"/>
      <c r="I948" s="5"/>
      <c r="J948" s="5"/>
      <c r="K948" s="5"/>
      <c r="L948" s="5"/>
      <c r="M948" s="5"/>
      <c r="N948" s="5"/>
      <c r="O948" s="5"/>
      <c r="P948" s="4"/>
      <c r="Q948" s="4"/>
      <c r="R948" s="4"/>
      <c r="S948" s="4"/>
      <c r="T948" s="4"/>
      <c r="U948" s="4"/>
      <c r="V948" s="4"/>
      <c r="W948" s="4"/>
      <c r="X948" s="4"/>
      <c r="Y948" s="4"/>
      <c r="Z948" s="4"/>
      <c r="AA948" s="4"/>
    </row>
    <row r="949" spans="1:27">
      <c r="A949" s="5"/>
      <c r="B949" s="5"/>
      <c r="C949" s="4"/>
      <c r="D949" s="5"/>
      <c r="E949" s="5"/>
      <c r="F949" s="5"/>
      <c r="G949" s="5"/>
      <c r="H949" s="5"/>
      <c r="I949" s="5"/>
      <c r="J949" s="5"/>
      <c r="K949" s="5"/>
      <c r="L949" s="5"/>
      <c r="M949" s="5"/>
      <c r="N949" s="5"/>
      <c r="O949" s="5"/>
      <c r="P949" s="4"/>
      <c r="Q949" s="4"/>
      <c r="R949" s="4"/>
      <c r="S949" s="4"/>
      <c r="T949" s="4"/>
      <c r="U949" s="4"/>
      <c r="V949" s="4"/>
      <c r="W949" s="4"/>
      <c r="X949" s="4"/>
      <c r="Y949" s="4"/>
      <c r="Z949" s="4"/>
      <c r="AA949" s="4"/>
    </row>
    <row r="950" spans="1:27">
      <c r="A950" s="5"/>
      <c r="B950" s="5"/>
      <c r="C950" s="4"/>
      <c r="D950" s="5"/>
      <c r="E950" s="5"/>
      <c r="F950" s="5"/>
      <c r="G950" s="5"/>
      <c r="H950" s="5"/>
      <c r="I950" s="5"/>
      <c r="J950" s="5"/>
      <c r="K950" s="5"/>
      <c r="L950" s="5"/>
      <c r="M950" s="5"/>
      <c r="N950" s="5"/>
      <c r="O950" s="5"/>
      <c r="P950" s="4"/>
      <c r="Q950" s="4"/>
      <c r="R950" s="4"/>
      <c r="S950" s="4"/>
      <c r="T950" s="4"/>
      <c r="U950" s="4"/>
      <c r="V950" s="4"/>
      <c r="W950" s="4"/>
      <c r="X950" s="4"/>
      <c r="Y950" s="4"/>
      <c r="Z950" s="4"/>
      <c r="AA950" s="4"/>
    </row>
    <row r="951" spans="1:27">
      <c r="A951" s="5"/>
      <c r="B951" s="5"/>
      <c r="C951" s="4"/>
      <c r="D951" s="5"/>
      <c r="E951" s="5"/>
      <c r="F951" s="5"/>
      <c r="G951" s="5"/>
      <c r="H951" s="5"/>
      <c r="I951" s="5"/>
      <c r="J951" s="5"/>
      <c r="K951" s="5"/>
      <c r="L951" s="5"/>
      <c r="M951" s="5"/>
      <c r="N951" s="5"/>
      <c r="O951" s="5"/>
      <c r="P951" s="4"/>
      <c r="Q951" s="4"/>
      <c r="R951" s="4"/>
      <c r="S951" s="4"/>
      <c r="T951" s="4"/>
      <c r="U951" s="4"/>
      <c r="V951" s="4"/>
      <c r="W951" s="4"/>
      <c r="X951" s="4"/>
      <c r="Y951" s="4"/>
      <c r="Z951" s="4"/>
      <c r="AA951" s="4"/>
    </row>
    <row r="952" spans="1:27">
      <c r="A952" s="5"/>
      <c r="B952" s="5"/>
      <c r="C952" s="4"/>
      <c r="D952" s="5"/>
      <c r="E952" s="5"/>
      <c r="F952" s="5"/>
      <c r="G952" s="5"/>
      <c r="H952" s="5"/>
      <c r="I952" s="5"/>
      <c r="J952" s="5"/>
      <c r="K952" s="5"/>
      <c r="L952" s="5"/>
      <c r="M952" s="5"/>
      <c r="N952" s="5"/>
      <c r="O952" s="5"/>
      <c r="P952" s="4"/>
      <c r="Q952" s="4"/>
      <c r="R952" s="4"/>
      <c r="S952" s="4"/>
      <c r="T952" s="4"/>
      <c r="U952" s="4"/>
      <c r="V952" s="4"/>
      <c r="W952" s="4"/>
      <c r="X952" s="4"/>
      <c r="Y952" s="4"/>
      <c r="Z952" s="4"/>
      <c r="AA952" s="4"/>
    </row>
    <row r="953" spans="1:27">
      <c r="A953" s="5"/>
      <c r="B953" s="5"/>
      <c r="C953" s="4"/>
      <c r="D953" s="5"/>
      <c r="E953" s="5"/>
      <c r="F953" s="5"/>
      <c r="G953" s="5"/>
      <c r="H953" s="5"/>
      <c r="I953" s="5"/>
      <c r="J953" s="5"/>
      <c r="K953" s="5"/>
      <c r="L953" s="5"/>
      <c r="M953" s="5"/>
      <c r="N953" s="5"/>
      <c r="O953" s="5"/>
      <c r="P953" s="4"/>
      <c r="Q953" s="4"/>
      <c r="R953" s="4"/>
      <c r="S953" s="4"/>
      <c r="T953" s="4"/>
      <c r="U953" s="4"/>
      <c r="V953" s="4"/>
      <c r="W953" s="4"/>
      <c r="X953" s="4"/>
      <c r="Y953" s="4"/>
      <c r="Z953" s="4"/>
      <c r="AA953" s="4"/>
    </row>
    <row r="954" spans="1:27">
      <c r="A954" s="5"/>
      <c r="B954" s="5"/>
      <c r="C954" s="4"/>
      <c r="D954" s="5"/>
      <c r="E954" s="5"/>
      <c r="F954" s="5"/>
      <c r="G954" s="5"/>
      <c r="H954" s="5"/>
      <c r="I954" s="5"/>
      <c r="J954" s="5"/>
      <c r="K954" s="5"/>
      <c r="L954" s="5"/>
      <c r="M954" s="5"/>
      <c r="N954" s="5"/>
      <c r="O954" s="5"/>
      <c r="P954" s="4"/>
      <c r="Q954" s="4"/>
      <c r="R954" s="4"/>
      <c r="S954" s="4"/>
      <c r="T954" s="4"/>
      <c r="U954" s="4"/>
      <c r="V954" s="4"/>
      <c r="W954" s="4"/>
      <c r="X954" s="4"/>
      <c r="Y954" s="4"/>
      <c r="Z954" s="4"/>
      <c r="AA954" s="4"/>
    </row>
    <row r="955" spans="1:27">
      <c r="A955" s="5"/>
      <c r="B955" s="5"/>
      <c r="C955" s="4"/>
      <c r="D955" s="5"/>
      <c r="E955" s="5"/>
      <c r="F955" s="5"/>
      <c r="G955" s="5"/>
      <c r="H955" s="5"/>
      <c r="I955" s="5"/>
      <c r="J955" s="5"/>
      <c r="K955" s="5"/>
      <c r="L955" s="5"/>
      <c r="M955" s="5"/>
      <c r="N955" s="5"/>
      <c r="O955" s="5"/>
      <c r="P955" s="4"/>
      <c r="Q955" s="4"/>
      <c r="R955" s="4"/>
      <c r="S955" s="4"/>
      <c r="T955" s="4"/>
      <c r="U955" s="4"/>
      <c r="V955" s="4"/>
      <c r="W955" s="4"/>
      <c r="X955" s="4"/>
      <c r="Y955" s="4"/>
      <c r="Z955" s="4"/>
      <c r="AA955" s="4"/>
    </row>
    <row r="956" spans="1:27">
      <c r="A956" s="5"/>
      <c r="B956" s="5"/>
      <c r="C956" s="4"/>
      <c r="D956" s="5"/>
      <c r="E956" s="5"/>
      <c r="F956" s="5"/>
      <c r="G956" s="5"/>
      <c r="H956" s="5"/>
      <c r="I956" s="5"/>
      <c r="J956" s="5"/>
      <c r="K956" s="5"/>
      <c r="L956" s="5"/>
      <c r="M956" s="5"/>
      <c r="N956" s="5"/>
      <c r="O956" s="5"/>
      <c r="P956" s="4"/>
      <c r="Q956" s="4"/>
      <c r="R956" s="4"/>
      <c r="S956" s="4"/>
      <c r="T956" s="4"/>
      <c r="U956" s="4"/>
      <c r="V956" s="4"/>
      <c r="W956" s="4"/>
      <c r="X956" s="4"/>
      <c r="Y956" s="4"/>
      <c r="Z956" s="4"/>
      <c r="AA956" s="4"/>
    </row>
    <row r="957" spans="1:27">
      <c r="A957" s="5"/>
      <c r="B957" s="5"/>
      <c r="C957" s="4"/>
      <c r="D957" s="5"/>
      <c r="E957" s="5"/>
      <c r="F957" s="5"/>
      <c r="G957" s="5"/>
      <c r="H957" s="5"/>
      <c r="I957" s="5"/>
      <c r="J957" s="5"/>
      <c r="K957" s="5"/>
      <c r="L957" s="5"/>
      <c r="M957" s="5"/>
      <c r="N957" s="5"/>
      <c r="O957" s="5"/>
      <c r="P957" s="4"/>
      <c r="Q957" s="4"/>
      <c r="R957" s="4"/>
      <c r="S957" s="4"/>
      <c r="T957" s="4"/>
      <c r="U957" s="4"/>
      <c r="V957" s="4"/>
      <c r="W957" s="4"/>
      <c r="X957" s="4"/>
      <c r="Y957" s="4"/>
      <c r="Z957" s="4"/>
      <c r="AA957" s="4"/>
    </row>
    <row r="958" spans="1:27">
      <c r="A958" s="5"/>
      <c r="B958" s="5"/>
      <c r="C958" s="4"/>
      <c r="D958" s="5"/>
      <c r="E958" s="5"/>
      <c r="F958" s="5"/>
      <c r="G958" s="5"/>
      <c r="H958" s="5"/>
      <c r="I958" s="5"/>
      <c r="J958" s="5"/>
      <c r="K958" s="5"/>
      <c r="L958" s="5"/>
      <c r="M958" s="5"/>
      <c r="N958" s="5"/>
      <c r="O958" s="5"/>
      <c r="P958" s="4"/>
      <c r="Q958" s="4"/>
      <c r="R958" s="4"/>
      <c r="S958" s="4"/>
      <c r="T958" s="4"/>
      <c r="U958" s="4"/>
      <c r="V958" s="4"/>
      <c r="W958" s="4"/>
      <c r="X958" s="4"/>
      <c r="Y958" s="4"/>
      <c r="Z958" s="4"/>
      <c r="AA958" s="4"/>
    </row>
    <row r="959" spans="1:27">
      <c r="A959" s="5"/>
      <c r="B959" s="5"/>
      <c r="C959" s="4"/>
      <c r="D959" s="5"/>
      <c r="E959" s="5"/>
      <c r="F959" s="5"/>
      <c r="G959" s="5"/>
      <c r="H959" s="5"/>
      <c r="I959" s="5"/>
      <c r="J959" s="5"/>
      <c r="K959" s="5"/>
      <c r="L959" s="5"/>
      <c r="M959" s="5"/>
      <c r="N959" s="5"/>
      <c r="O959" s="5"/>
      <c r="P959" s="4"/>
      <c r="Q959" s="4"/>
      <c r="R959" s="4"/>
      <c r="S959" s="4"/>
      <c r="T959" s="4"/>
      <c r="U959" s="4"/>
      <c r="V959" s="4"/>
      <c r="W959" s="4"/>
      <c r="X959" s="4"/>
      <c r="Y959" s="4"/>
      <c r="Z959" s="4"/>
      <c r="AA959" s="4"/>
    </row>
    <row r="960" spans="1:27">
      <c r="A960" s="5"/>
      <c r="B960" s="5"/>
      <c r="C960" s="4"/>
      <c r="D960" s="5"/>
      <c r="E960" s="5"/>
      <c r="F960" s="5"/>
      <c r="G960" s="5"/>
      <c r="H960" s="5"/>
      <c r="I960" s="5"/>
      <c r="J960" s="5"/>
      <c r="K960" s="5"/>
      <c r="L960" s="5"/>
      <c r="M960" s="5"/>
      <c r="N960" s="5"/>
      <c r="O960" s="5"/>
      <c r="P960" s="4"/>
      <c r="Q960" s="4"/>
      <c r="R960" s="4"/>
      <c r="S960" s="4"/>
      <c r="T960" s="4"/>
      <c r="U960" s="4"/>
      <c r="V960" s="4"/>
      <c r="W960" s="4"/>
      <c r="X960" s="4"/>
      <c r="Y960" s="4"/>
      <c r="Z960" s="4"/>
      <c r="AA960" s="4"/>
    </row>
    <row r="961" spans="1:27">
      <c r="A961" s="5"/>
      <c r="B961" s="5"/>
      <c r="C961" s="4"/>
      <c r="D961" s="5"/>
      <c r="E961" s="5"/>
      <c r="F961" s="5"/>
      <c r="G961" s="5"/>
      <c r="H961" s="5"/>
      <c r="I961" s="5"/>
      <c r="J961" s="5"/>
      <c r="K961" s="5"/>
      <c r="L961" s="5"/>
      <c r="M961" s="5"/>
      <c r="N961" s="5"/>
      <c r="O961" s="5"/>
      <c r="P961" s="4"/>
      <c r="Q961" s="4"/>
      <c r="R961" s="4"/>
      <c r="S961" s="4"/>
      <c r="T961" s="4"/>
      <c r="U961" s="4"/>
      <c r="V961" s="4"/>
      <c r="W961" s="4"/>
      <c r="X961" s="4"/>
      <c r="Y961" s="4"/>
      <c r="Z961" s="4"/>
      <c r="AA961" s="4"/>
    </row>
    <row r="962" spans="1:27">
      <c r="A962" s="5"/>
      <c r="B962" s="5"/>
      <c r="C962" s="4"/>
      <c r="D962" s="5"/>
      <c r="E962" s="5"/>
      <c r="F962" s="5"/>
      <c r="G962" s="5"/>
      <c r="H962" s="5"/>
      <c r="I962" s="5"/>
      <c r="J962" s="5"/>
      <c r="K962" s="5"/>
      <c r="L962" s="5"/>
      <c r="M962" s="5"/>
      <c r="N962" s="5"/>
      <c r="O962" s="5"/>
      <c r="P962" s="4"/>
      <c r="Q962" s="4"/>
      <c r="R962" s="4"/>
      <c r="S962" s="4"/>
      <c r="T962" s="4"/>
      <c r="U962" s="4"/>
      <c r="V962" s="4"/>
      <c r="W962" s="4"/>
      <c r="X962" s="4"/>
      <c r="Y962" s="4"/>
      <c r="Z962" s="4"/>
      <c r="AA962" s="4"/>
    </row>
    <row r="963" spans="1:27">
      <c r="A963" s="5"/>
      <c r="B963" s="5"/>
      <c r="C963" s="4"/>
      <c r="D963" s="5"/>
      <c r="E963" s="5"/>
      <c r="F963" s="5"/>
      <c r="G963" s="5"/>
      <c r="H963" s="5"/>
      <c r="I963" s="5"/>
      <c r="J963" s="5"/>
      <c r="K963" s="5"/>
      <c r="L963" s="5"/>
      <c r="M963" s="5"/>
      <c r="N963" s="5"/>
      <c r="O963" s="5"/>
      <c r="P963" s="4"/>
      <c r="Q963" s="4"/>
      <c r="R963" s="4"/>
      <c r="S963" s="4"/>
      <c r="T963" s="4"/>
      <c r="U963" s="4"/>
      <c r="V963" s="4"/>
      <c r="W963" s="4"/>
      <c r="X963" s="4"/>
      <c r="Y963" s="4"/>
      <c r="Z963" s="4"/>
      <c r="AA963" s="4"/>
    </row>
    <row r="964" spans="1:27">
      <c r="A964" s="5"/>
      <c r="B964" s="5"/>
      <c r="C964" s="4"/>
      <c r="D964" s="5"/>
      <c r="E964" s="5"/>
      <c r="F964" s="5"/>
      <c r="G964" s="5"/>
      <c r="H964" s="5"/>
      <c r="I964" s="5"/>
      <c r="J964" s="5"/>
      <c r="K964" s="5"/>
      <c r="L964" s="5"/>
      <c r="M964" s="5"/>
      <c r="N964" s="5"/>
      <c r="O964" s="5"/>
      <c r="P964" s="4"/>
      <c r="Q964" s="4"/>
      <c r="R964" s="4"/>
      <c r="S964" s="4"/>
      <c r="T964" s="4"/>
      <c r="U964" s="4"/>
      <c r="V964" s="4"/>
      <c r="W964" s="4"/>
      <c r="X964" s="4"/>
      <c r="Y964" s="4"/>
      <c r="Z964" s="4"/>
      <c r="AA964" s="4"/>
    </row>
    <row r="965" spans="1:27">
      <c r="A965" s="5"/>
      <c r="B965" s="5"/>
      <c r="C965" s="4"/>
      <c r="D965" s="5"/>
      <c r="E965" s="5"/>
      <c r="F965" s="5"/>
      <c r="G965" s="5"/>
      <c r="H965" s="5"/>
      <c r="I965" s="5"/>
      <c r="J965" s="5"/>
      <c r="K965" s="5"/>
      <c r="L965" s="5"/>
      <c r="M965" s="5"/>
      <c r="N965" s="5"/>
      <c r="O965" s="5"/>
      <c r="P965" s="4"/>
      <c r="Q965" s="4"/>
      <c r="R965" s="4"/>
      <c r="S965" s="4"/>
      <c r="T965" s="4"/>
      <c r="U965" s="4"/>
      <c r="V965" s="4"/>
      <c r="W965" s="4"/>
      <c r="X965" s="4"/>
      <c r="Y965" s="4"/>
      <c r="Z965" s="4"/>
      <c r="AA965" s="4"/>
    </row>
    <row r="966" spans="1:27">
      <c r="A966" s="5"/>
      <c r="B966" s="5"/>
      <c r="C966" s="4"/>
      <c r="D966" s="5"/>
      <c r="E966" s="5"/>
      <c r="F966" s="5"/>
      <c r="G966" s="5"/>
      <c r="H966" s="5"/>
      <c r="I966" s="5"/>
      <c r="J966" s="5"/>
      <c r="K966" s="5"/>
      <c r="L966" s="5"/>
      <c r="M966" s="5"/>
      <c r="N966" s="5"/>
      <c r="O966" s="5"/>
      <c r="P966" s="4"/>
      <c r="Q966" s="4"/>
      <c r="R966" s="4"/>
      <c r="S966" s="4"/>
      <c r="T966" s="4"/>
      <c r="U966" s="4"/>
      <c r="V966" s="4"/>
      <c r="W966" s="4"/>
      <c r="X966" s="4"/>
      <c r="Y966" s="4"/>
      <c r="Z966" s="4"/>
      <c r="AA966" s="4"/>
    </row>
    <row r="967" spans="1:27">
      <c r="A967" s="5"/>
      <c r="B967" s="5"/>
      <c r="C967" s="4"/>
      <c r="D967" s="5"/>
      <c r="E967" s="5"/>
      <c r="F967" s="5"/>
      <c r="G967" s="5"/>
      <c r="H967" s="5"/>
      <c r="I967" s="5"/>
      <c r="J967" s="5"/>
      <c r="K967" s="5"/>
      <c r="L967" s="5"/>
      <c r="M967" s="5"/>
      <c r="N967" s="5"/>
      <c r="O967" s="5"/>
      <c r="P967" s="4"/>
      <c r="Q967" s="4"/>
      <c r="R967" s="4"/>
      <c r="S967" s="4"/>
      <c r="T967" s="4"/>
      <c r="U967" s="4"/>
      <c r="V967" s="4"/>
      <c r="W967" s="4"/>
      <c r="X967" s="4"/>
      <c r="Y967" s="4"/>
      <c r="Z967" s="4"/>
      <c r="AA967" s="4"/>
    </row>
    <row r="968" spans="1:27">
      <c r="A968" s="5"/>
      <c r="B968" s="5"/>
      <c r="C968" s="4"/>
      <c r="D968" s="5"/>
      <c r="E968" s="5"/>
      <c r="F968" s="5"/>
      <c r="G968" s="5"/>
      <c r="H968" s="5"/>
      <c r="I968" s="5"/>
      <c r="J968" s="5"/>
      <c r="K968" s="5"/>
      <c r="L968" s="5"/>
      <c r="M968" s="5"/>
      <c r="N968" s="5"/>
      <c r="O968" s="5"/>
      <c r="P968" s="4"/>
      <c r="Q968" s="4"/>
      <c r="R968" s="4"/>
      <c r="S968" s="4"/>
      <c r="T968" s="4"/>
      <c r="U968" s="4"/>
      <c r="V968" s="4"/>
      <c r="W968" s="4"/>
      <c r="X968" s="4"/>
      <c r="Y968" s="4"/>
      <c r="Z968" s="4"/>
      <c r="AA968" s="4"/>
    </row>
    <row r="969" spans="1:27">
      <c r="A969" s="5"/>
      <c r="B969" s="5"/>
      <c r="C969" s="4"/>
      <c r="D969" s="5"/>
      <c r="E969" s="5"/>
      <c r="F969" s="5"/>
      <c r="G969" s="5"/>
      <c r="H969" s="5"/>
      <c r="I969" s="5"/>
      <c r="J969" s="5"/>
      <c r="K969" s="5"/>
      <c r="L969" s="5"/>
      <c r="M969" s="5"/>
      <c r="N969" s="5"/>
      <c r="O969" s="5"/>
      <c r="P969" s="4"/>
      <c r="Q969" s="4"/>
      <c r="R969" s="4"/>
      <c r="S969" s="4"/>
      <c r="T969" s="4"/>
      <c r="U969" s="4"/>
      <c r="V969" s="4"/>
      <c r="W969" s="4"/>
      <c r="X969" s="4"/>
      <c r="Y969" s="4"/>
      <c r="Z969" s="4"/>
      <c r="AA969" s="4"/>
    </row>
    <row r="970" spans="1:27">
      <c r="A970" s="5"/>
      <c r="B970" s="5"/>
      <c r="C970" s="4"/>
      <c r="D970" s="5"/>
      <c r="E970" s="5"/>
      <c r="F970" s="5"/>
      <c r="G970" s="5"/>
      <c r="H970" s="5"/>
      <c r="I970" s="5"/>
      <c r="J970" s="5"/>
      <c r="K970" s="5"/>
      <c r="L970" s="5"/>
      <c r="M970" s="5"/>
      <c r="N970" s="5"/>
      <c r="O970" s="5"/>
      <c r="P970" s="4"/>
      <c r="Q970" s="4"/>
      <c r="R970" s="4"/>
      <c r="S970" s="4"/>
      <c r="T970" s="4"/>
      <c r="U970" s="4"/>
      <c r="V970" s="4"/>
      <c r="W970" s="4"/>
      <c r="X970" s="4"/>
      <c r="Y970" s="4"/>
      <c r="Z970" s="4"/>
      <c r="AA970" s="4"/>
    </row>
    <row r="971" spans="1:27">
      <c r="A971" s="5"/>
      <c r="B971" s="5"/>
      <c r="C971" s="4"/>
      <c r="D971" s="5"/>
      <c r="E971" s="5"/>
      <c r="F971" s="5"/>
      <c r="G971" s="5"/>
      <c r="H971" s="5"/>
      <c r="I971" s="5"/>
      <c r="J971" s="5"/>
      <c r="K971" s="5"/>
      <c r="L971" s="5"/>
      <c r="M971" s="5"/>
      <c r="N971" s="5"/>
      <c r="O971" s="5"/>
      <c r="P971" s="4"/>
      <c r="Q971" s="4"/>
      <c r="R971" s="4"/>
      <c r="S971" s="4"/>
      <c r="T971" s="4"/>
      <c r="U971" s="4"/>
      <c r="V971" s="4"/>
      <c r="W971" s="4"/>
      <c r="X971" s="4"/>
      <c r="Y971" s="4"/>
      <c r="Z971" s="4"/>
      <c r="AA971" s="4"/>
    </row>
    <row r="972" spans="1:27">
      <c r="A972" s="5"/>
      <c r="B972" s="5"/>
      <c r="C972" s="4"/>
      <c r="D972" s="5"/>
      <c r="E972" s="5"/>
      <c r="F972" s="5"/>
      <c r="G972" s="5"/>
      <c r="H972" s="5"/>
      <c r="I972" s="5"/>
      <c r="J972" s="5"/>
      <c r="K972" s="5"/>
      <c r="L972" s="5"/>
      <c r="M972" s="5"/>
      <c r="N972" s="5"/>
      <c r="O972" s="5"/>
      <c r="P972" s="4"/>
      <c r="Q972" s="4"/>
      <c r="R972" s="4"/>
      <c r="S972" s="4"/>
      <c r="T972" s="4"/>
      <c r="U972" s="4"/>
      <c r="V972" s="4"/>
      <c r="W972" s="4"/>
      <c r="X972" s="4"/>
      <c r="Y972" s="4"/>
      <c r="Z972" s="4"/>
      <c r="AA972" s="4"/>
    </row>
    <row r="973" spans="1:27">
      <c r="A973" s="5"/>
      <c r="B973" s="5"/>
      <c r="C973" s="4"/>
      <c r="D973" s="5"/>
      <c r="E973" s="5"/>
      <c r="F973" s="5"/>
      <c r="G973" s="5"/>
      <c r="H973" s="5"/>
      <c r="I973" s="5"/>
      <c r="J973" s="5"/>
      <c r="K973" s="5"/>
      <c r="L973" s="5"/>
      <c r="M973" s="5"/>
      <c r="N973" s="5"/>
      <c r="O973" s="5"/>
      <c r="P973" s="4"/>
      <c r="Q973" s="4"/>
      <c r="R973" s="4"/>
      <c r="S973" s="4"/>
      <c r="T973" s="4"/>
      <c r="U973" s="4"/>
      <c r="V973" s="4"/>
      <c r="W973" s="4"/>
      <c r="X973" s="4"/>
      <c r="Y973" s="4"/>
      <c r="Z973" s="4"/>
      <c r="AA973" s="4"/>
    </row>
    <row r="974" spans="1:27">
      <c r="A974" s="5"/>
      <c r="B974" s="5"/>
      <c r="C974" s="4"/>
      <c r="D974" s="5"/>
      <c r="E974" s="5"/>
      <c r="F974" s="5"/>
      <c r="G974" s="5"/>
      <c r="H974" s="5"/>
      <c r="I974" s="5"/>
      <c r="J974" s="5"/>
      <c r="K974" s="5"/>
      <c r="L974" s="5"/>
      <c r="M974" s="5"/>
      <c r="N974" s="5"/>
      <c r="O974" s="5"/>
      <c r="P974" s="4"/>
      <c r="Q974" s="4"/>
      <c r="R974" s="4"/>
      <c r="S974" s="4"/>
      <c r="T974" s="4"/>
      <c r="U974" s="4"/>
      <c r="V974" s="4"/>
      <c r="W974" s="4"/>
      <c r="X974" s="4"/>
      <c r="Y974" s="4"/>
      <c r="Z974" s="4"/>
      <c r="AA974" s="4"/>
    </row>
    <row r="975" spans="1:27">
      <c r="A975" s="5"/>
      <c r="B975" s="5"/>
      <c r="C975" s="4"/>
      <c r="D975" s="5"/>
      <c r="E975" s="5"/>
      <c r="F975" s="5"/>
      <c r="G975" s="5"/>
      <c r="H975" s="5"/>
      <c r="I975" s="5"/>
      <c r="J975" s="5"/>
      <c r="K975" s="5"/>
      <c r="L975" s="5"/>
      <c r="M975" s="5"/>
      <c r="N975" s="5"/>
      <c r="O975" s="5"/>
      <c r="P975" s="4"/>
      <c r="Q975" s="4"/>
      <c r="R975" s="4"/>
      <c r="S975" s="4"/>
      <c r="T975" s="4"/>
      <c r="U975" s="4"/>
      <c r="V975" s="4"/>
      <c r="W975" s="4"/>
      <c r="X975" s="4"/>
      <c r="Y975" s="4"/>
      <c r="Z975" s="4"/>
      <c r="AA975" s="4"/>
    </row>
    <row r="976" spans="1:27">
      <c r="A976" s="5"/>
      <c r="B976" s="5"/>
      <c r="C976" s="4"/>
      <c r="D976" s="5"/>
      <c r="E976" s="5"/>
      <c r="F976" s="5"/>
      <c r="G976" s="5"/>
      <c r="H976" s="5"/>
      <c r="I976" s="5"/>
      <c r="J976" s="5"/>
      <c r="K976" s="5"/>
      <c r="L976" s="5"/>
      <c r="M976" s="5"/>
      <c r="N976" s="5"/>
      <c r="O976" s="5"/>
      <c r="P976" s="4"/>
      <c r="Q976" s="4"/>
      <c r="R976" s="4"/>
      <c r="S976" s="4"/>
      <c r="T976" s="4"/>
      <c r="U976" s="4"/>
      <c r="V976" s="4"/>
      <c r="W976" s="4"/>
      <c r="X976" s="4"/>
      <c r="Y976" s="4"/>
      <c r="Z976" s="4"/>
      <c r="AA976" s="4"/>
    </row>
    <row r="977" spans="1:27">
      <c r="A977" s="5"/>
      <c r="B977" s="5"/>
      <c r="C977" s="4"/>
      <c r="D977" s="5"/>
      <c r="E977" s="5"/>
      <c r="F977" s="5"/>
      <c r="G977" s="5"/>
      <c r="H977" s="5"/>
      <c r="I977" s="5"/>
      <c r="J977" s="5"/>
      <c r="K977" s="5"/>
      <c r="L977" s="5"/>
      <c r="M977" s="5"/>
      <c r="N977" s="5"/>
      <c r="O977" s="5"/>
      <c r="P977" s="4"/>
      <c r="Q977" s="4"/>
      <c r="R977" s="4"/>
      <c r="S977" s="4"/>
      <c r="T977" s="4"/>
      <c r="U977" s="4"/>
      <c r="V977" s="4"/>
      <c r="W977" s="4"/>
      <c r="X977" s="4"/>
      <c r="Y977" s="4"/>
      <c r="Z977" s="4"/>
      <c r="AA977" s="4"/>
    </row>
    <row r="978" spans="1:27">
      <c r="A978" s="5"/>
      <c r="B978" s="5"/>
      <c r="C978" s="4"/>
      <c r="D978" s="5"/>
      <c r="E978" s="5"/>
      <c r="F978" s="5"/>
      <c r="G978" s="5"/>
      <c r="H978" s="5"/>
      <c r="I978" s="5"/>
      <c r="J978" s="5"/>
      <c r="K978" s="5"/>
      <c r="L978" s="5"/>
      <c r="M978" s="5"/>
      <c r="N978" s="5"/>
      <c r="O978" s="5"/>
      <c r="P978" s="4"/>
      <c r="Q978" s="4"/>
      <c r="R978" s="4"/>
      <c r="S978" s="4"/>
      <c r="T978" s="4"/>
      <c r="U978" s="4"/>
      <c r="V978" s="4"/>
      <c r="W978" s="4"/>
      <c r="X978" s="4"/>
      <c r="Y978" s="4"/>
      <c r="Z978" s="4"/>
      <c r="AA978" s="4"/>
    </row>
    <row r="979" spans="1:27">
      <c r="A979" s="5"/>
      <c r="B979" s="5"/>
      <c r="C979" s="4"/>
      <c r="D979" s="5"/>
      <c r="E979" s="5"/>
      <c r="F979" s="5"/>
      <c r="G979" s="5"/>
      <c r="H979" s="5"/>
      <c r="I979" s="5"/>
      <c r="J979" s="5"/>
      <c r="K979" s="5"/>
      <c r="L979" s="5"/>
      <c r="M979" s="5"/>
      <c r="N979" s="5"/>
      <c r="O979" s="5"/>
      <c r="P979" s="4"/>
      <c r="Q979" s="4"/>
      <c r="R979" s="4"/>
      <c r="S979" s="4"/>
      <c r="T979" s="4"/>
      <c r="U979" s="4"/>
      <c r="V979" s="4"/>
      <c r="W979" s="4"/>
      <c r="X979" s="4"/>
      <c r="Y979" s="4"/>
      <c r="Z979" s="4"/>
      <c r="AA979" s="4"/>
    </row>
    <row r="980" spans="1:27">
      <c r="A980" s="5"/>
      <c r="B980" s="5"/>
      <c r="C980" s="4"/>
      <c r="D980" s="5"/>
      <c r="E980" s="5"/>
      <c r="F980" s="5"/>
      <c r="G980" s="5"/>
      <c r="H980" s="5"/>
      <c r="I980" s="5"/>
      <c r="J980" s="5"/>
      <c r="K980" s="5"/>
      <c r="L980" s="5"/>
      <c r="M980" s="5"/>
      <c r="N980" s="5"/>
      <c r="O980" s="5"/>
      <c r="P980" s="4"/>
      <c r="Q980" s="4"/>
      <c r="R980" s="4"/>
      <c r="S980" s="4"/>
      <c r="T980" s="4"/>
      <c r="U980" s="4"/>
      <c r="V980" s="4"/>
      <c r="W980" s="4"/>
      <c r="X980" s="4"/>
      <c r="Y980" s="4"/>
      <c r="Z980" s="4"/>
      <c r="AA980" s="4"/>
    </row>
    <row r="981" spans="1:27">
      <c r="A981" s="5"/>
      <c r="B981" s="5"/>
      <c r="C981" s="4"/>
      <c r="D981" s="5"/>
      <c r="E981" s="5"/>
      <c r="F981" s="5"/>
      <c r="G981" s="5"/>
      <c r="H981" s="5"/>
      <c r="I981" s="5"/>
      <c r="J981" s="5"/>
      <c r="K981" s="5"/>
      <c r="L981" s="5"/>
      <c r="M981" s="5"/>
      <c r="N981" s="5"/>
      <c r="O981" s="5"/>
      <c r="P981" s="4"/>
      <c r="Q981" s="4"/>
      <c r="R981" s="4"/>
      <c r="S981" s="4"/>
      <c r="T981" s="4"/>
      <c r="U981" s="4"/>
      <c r="V981" s="4"/>
      <c r="W981" s="4"/>
      <c r="X981" s="4"/>
      <c r="Y981" s="4"/>
      <c r="Z981" s="4"/>
      <c r="AA981" s="4"/>
    </row>
    <row r="982" spans="1:27">
      <c r="A982" s="5"/>
      <c r="B982" s="5"/>
      <c r="C982" s="4"/>
      <c r="D982" s="5"/>
      <c r="E982" s="5"/>
      <c r="F982" s="5"/>
      <c r="G982" s="5"/>
      <c r="H982" s="5"/>
      <c r="I982" s="5"/>
      <c r="J982" s="5"/>
      <c r="K982" s="5"/>
      <c r="L982" s="5"/>
      <c r="M982" s="5"/>
      <c r="N982" s="5"/>
      <c r="O982" s="5"/>
      <c r="P982" s="4"/>
      <c r="Q982" s="4"/>
      <c r="R982" s="4"/>
      <c r="S982" s="4"/>
      <c r="T982" s="4"/>
      <c r="U982" s="4"/>
      <c r="V982" s="4"/>
      <c r="W982" s="4"/>
      <c r="X982" s="4"/>
      <c r="Y982" s="4"/>
      <c r="Z982" s="4"/>
      <c r="AA982" s="4"/>
    </row>
    <row r="983" spans="1:27">
      <c r="A983" s="5"/>
      <c r="B983" s="5"/>
      <c r="C983" s="4"/>
      <c r="D983" s="5"/>
      <c r="E983" s="5"/>
      <c r="F983" s="5"/>
      <c r="G983" s="5"/>
      <c r="H983" s="5"/>
      <c r="I983" s="5"/>
      <c r="J983" s="5"/>
      <c r="K983" s="5"/>
      <c r="L983" s="5"/>
      <c r="M983" s="5"/>
      <c r="N983" s="5"/>
      <c r="O983" s="5"/>
      <c r="P983" s="4"/>
      <c r="Q983" s="4"/>
      <c r="R983" s="4"/>
      <c r="S983" s="4"/>
      <c r="T983" s="4"/>
      <c r="U983" s="4"/>
      <c r="V983" s="4"/>
      <c r="W983" s="4"/>
      <c r="X983" s="4"/>
      <c r="Y983" s="4"/>
      <c r="Z983" s="4"/>
      <c r="AA983" s="4"/>
    </row>
    <row r="984" spans="1:27">
      <c r="A984" s="5"/>
      <c r="B984" s="5"/>
      <c r="C984" s="4"/>
      <c r="D984" s="5"/>
      <c r="E984" s="5"/>
      <c r="F984" s="5"/>
      <c r="G984" s="5"/>
      <c r="H984" s="5"/>
      <c r="I984" s="5"/>
      <c r="J984" s="5"/>
      <c r="K984" s="5"/>
      <c r="L984" s="5"/>
      <c r="M984" s="5"/>
      <c r="N984" s="5"/>
      <c r="O984" s="5"/>
      <c r="P984" s="4"/>
      <c r="Q984" s="4"/>
      <c r="R984" s="4"/>
      <c r="S984" s="4"/>
      <c r="T984" s="4"/>
      <c r="U984" s="4"/>
      <c r="V984" s="4"/>
      <c r="W984" s="4"/>
      <c r="X984" s="4"/>
      <c r="Y984" s="4"/>
      <c r="Z984" s="4"/>
      <c r="AA984" s="4"/>
    </row>
    <row r="985" spans="1:27">
      <c r="A985" s="5"/>
      <c r="B985" s="5"/>
      <c r="C985" s="4"/>
      <c r="D985" s="5"/>
      <c r="E985" s="5"/>
      <c r="F985" s="5"/>
      <c r="G985" s="5"/>
      <c r="H985" s="5"/>
      <c r="I985" s="5"/>
      <c r="J985" s="5"/>
      <c r="K985" s="5"/>
      <c r="L985" s="5"/>
      <c r="M985" s="5"/>
      <c r="N985" s="5"/>
      <c r="O985" s="5"/>
      <c r="P985" s="4"/>
      <c r="Q985" s="4"/>
      <c r="R985" s="4"/>
      <c r="S985" s="4"/>
      <c r="T985" s="4"/>
      <c r="U985" s="4"/>
      <c r="V985" s="4"/>
      <c r="W985" s="4"/>
      <c r="X985" s="4"/>
      <c r="Y985" s="4"/>
      <c r="Z985" s="4"/>
      <c r="AA985" s="4"/>
    </row>
    <row r="986" spans="1:27">
      <c r="A986" s="5"/>
      <c r="B986" s="5"/>
      <c r="C986" s="4"/>
      <c r="D986" s="5"/>
      <c r="E986" s="5"/>
      <c r="F986" s="5"/>
      <c r="G986" s="5"/>
      <c r="H986" s="5"/>
      <c r="I986" s="5"/>
      <c r="J986" s="5"/>
      <c r="K986" s="5"/>
      <c r="L986" s="5"/>
      <c r="M986" s="5"/>
      <c r="N986" s="5"/>
      <c r="O986" s="5"/>
      <c r="P986" s="4"/>
      <c r="Q986" s="4"/>
      <c r="R986" s="4"/>
      <c r="S986" s="4"/>
      <c r="T986" s="4"/>
      <c r="U986" s="4"/>
      <c r="V986" s="4"/>
      <c r="W986" s="4"/>
      <c r="X986" s="4"/>
      <c r="Y986" s="4"/>
      <c r="Z986" s="4"/>
      <c r="AA986" s="4"/>
    </row>
    <row r="987" spans="1:27">
      <c r="A987" s="5"/>
      <c r="B987" s="5"/>
      <c r="C987" s="4"/>
      <c r="D987" s="5"/>
      <c r="E987" s="5"/>
      <c r="F987" s="5"/>
      <c r="G987" s="5"/>
      <c r="H987" s="5"/>
      <c r="I987" s="5"/>
      <c r="J987" s="5"/>
      <c r="K987" s="5"/>
      <c r="L987" s="5"/>
      <c r="M987" s="5"/>
      <c r="N987" s="5"/>
      <c r="O987" s="5"/>
      <c r="P987" s="4"/>
      <c r="Q987" s="4"/>
      <c r="R987" s="4"/>
      <c r="S987" s="4"/>
      <c r="T987" s="4"/>
      <c r="U987" s="4"/>
      <c r="V987" s="4"/>
      <c r="W987" s="4"/>
      <c r="X987" s="4"/>
      <c r="Y987" s="4"/>
      <c r="Z987" s="4"/>
      <c r="AA987" s="4"/>
    </row>
    <row r="988" spans="1:27">
      <c r="A988" s="5"/>
      <c r="B988" s="5"/>
      <c r="C988" s="4"/>
      <c r="D988" s="5"/>
      <c r="E988" s="5"/>
      <c r="F988" s="5"/>
      <c r="G988" s="5"/>
      <c r="H988" s="5"/>
      <c r="I988" s="5"/>
      <c r="J988" s="5"/>
      <c r="K988" s="5"/>
      <c r="L988" s="5"/>
      <c r="M988" s="5"/>
      <c r="N988" s="5"/>
      <c r="O988" s="5"/>
      <c r="P988" s="4"/>
      <c r="Q988" s="4"/>
      <c r="R988" s="4"/>
      <c r="S988" s="4"/>
      <c r="T988" s="4"/>
      <c r="U988" s="4"/>
      <c r="V988" s="4"/>
      <c r="W988" s="4"/>
      <c r="X988" s="4"/>
      <c r="Y988" s="4"/>
      <c r="Z988" s="4"/>
      <c r="AA988" s="4"/>
    </row>
    <row r="989" spans="1:27">
      <c r="A989" s="5"/>
      <c r="B989" s="5"/>
      <c r="C989" s="4"/>
      <c r="D989" s="5"/>
      <c r="E989" s="5"/>
      <c r="F989" s="5"/>
      <c r="G989" s="5"/>
      <c r="H989" s="5"/>
      <c r="I989" s="5"/>
      <c r="J989" s="5"/>
      <c r="K989" s="5"/>
      <c r="L989" s="5"/>
      <c r="M989" s="5"/>
      <c r="N989" s="5"/>
      <c r="O989" s="5"/>
      <c r="P989" s="4"/>
      <c r="Q989" s="4"/>
      <c r="R989" s="4"/>
      <c r="S989" s="4"/>
      <c r="T989" s="4"/>
      <c r="U989" s="4"/>
      <c r="V989" s="4"/>
      <c r="W989" s="4"/>
      <c r="X989" s="4"/>
      <c r="Y989" s="4"/>
      <c r="Z989" s="4"/>
      <c r="AA989" s="4"/>
    </row>
    <row r="990" spans="1:27">
      <c r="A990" s="5"/>
      <c r="B990" s="5"/>
      <c r="C990" s="4"/>
      <c r="D990" s="5"/>
      <c r="E990" s="5"/>
      <c r="F990" s="5"/>
      <c r="G990" s="5"/>
      <c r="H990" s="5"/>
      <c r="I990" s="5"/>
      <c r="J990" s="5"/>
      <c r="K990" s="5"/>
      <c r="L990" s="5"/>
      <c r="M990" s="5"/>
      <c r="N990" s="5"/>
      <c r="O990" s="5"/>
      <c r="P990" s="4"/>
      <c r="Q990" s="4"/>
      <c r="R990" s="4"/>
      <c r="S990" s="4"/>
      <c r="T990" s="4"/>
      <c r="U990" s="4"/>
      <c r="V990" s="4"/>
      <c r="W990" s="4"/>
      <c r="X990" s="4"/>
      <c r="Y990" s="4"/>
      <c r="Z990" s="4"/>
      <c r="AA990" s="4"/>
    </row>
    <row r="991" spans="1:27">
      <c r="A991" s="5"/>
      <c r="B991" s="5"/>
      <c r="C991" s="4"/>
      <c r="D991" s="5"/>
      <c r="E991" s="5"/>
      <c r="F991" s="5"/>
      <c r="G991" s="5"/>
      <c r="H991" s="5"/>
      <c r="I991" s="5"/>
      <c r="J991" s="5"/>
      <c r="K991" s="5"/>
      <c r="L991" s="5"/>
      <c r="M991" s="5"/>
      <c r="N991" s="5"/>
      <c r="O991" s="5"/>
      <c r="P991" s="4"/>
      <c r="Q991" s="4"/>
      <c r="R991" s="4"/>
      <c r="S991" s="4"/>
      <c r="T991" s="4"/>
      <c r="U991" s="4"/>
      <c r="V991" s="4"/>
      <c r="W991" s="4"/>
      <c r="X991" s="4"/>
      <c r="Y991" s="4"/>
      <c r="Z991" s="4"/>
      <c r="AA991" s="4"/>
    </row>
    <row r="992" spans="1:27">
      <c r="A992" s="5"/>
      <c r="B992" s="5"/>
      <c r="C992" s="4"/>
      <c r="D992" s="5"/>
      <c r="E992" s="5"/>
      <c r="F992" s="5"/>
      <c r="G992" s="5"/>
      <c r="H992" s="5"/>
      <c r="I992" s="5"/>
      <c r="J992" s="5"/>
      <c r="K992" s="5"/>
      <c r="L992" s="5"/>
      <c r="M992" s="5"/>
      <c r="N992" s="5"/>
      <c r="O992" s="5"/>
      <c r="P992" s="4"/>
      <c r="Q992" s="4"/>
      <c r="R992" s="4"/>
      <c r="S992" s="4"/>
      <c r="T992" s="4"/>
      <c r="U992" s="4"/>
      <c r="V992" s="4"/>
      <c r="W992" s="4"/>
      <c r="X992" s="4"/>
      <c r="Y992" s="4"/>
      <c r="Z992" s="4"/>
      <c r="AA992" s="4"/>
    </row>
    <row r="993" spans="1:27">
      <c r="A993" s="5"/>
      <c r="B993" s="5"/>
      <c r="C993" s="4"/>
      <c r="D993" s="5"/>
      <c r="E993" s="5"/>
      <c r="F993" s="5"/>
      <c r="G993" s="5"/>
      <c r="H993" s="5"/>
      <c r="I993" s="5"/>
      <c r="J993" s="5"/>
      <c r="K993" s="5"/>
      <c r="L993" s="5"/>
      <c r="M993" s="5"/>
      <c r="N993" s="5"/>
      <c r="O993" s="5"/>
      <c r="P993" s="4"/>
      <c r="Q993" s="4"/>
      <c r="R993" s="4"/>
      <c r="S993" s="4"/>
      <c r="T993" s="4"/>
      <c r="U993" s="4"/>
      <c r="V993" s="4"/>
      <c r="W993" s="4"/>
      <c r="X993" s="4"/>
      <c r="Y993" s="4"/>
      <c r="Z993" s="4"/>
      <c r="AA993" s="4"/>
    </row>
    <row r="994" spans="1:27">
      <c r="A994" s="5"/>
      <c r="B994" s="5"/>
      <c r="C994" s="4"/>
      <c r="D994" s="5"/>
      <c r="E994" s="5"/>
      <c r="F994" s="5"/>
      <c r="G994" s="5"/>
      <c r="H994" s="5"/>
      <c r="I994" s="5"/>
      <c r="J994" s="5"/>
      <c r="K994" s="5"/>
      <c r="L994" s="5"/>
      <c r="M994" s="5"/>
      <c r="N994" s="5"/>
      <c r="O994" s="5"/>
      <c r="P994" s="4"/>
      <c r="Q994" s="4"/>
      <c r="R994" s="4"/>
      <c r="S994" s="4"/>
      <c r="T994" s="4"/>
      <c r="U994" s="4"/>
      <c r="V994" s="4"/>
      <c r="W994" s="4"/>
      <c r="X994" s="4"/>
      <c r="Y994" s="4"/>
      <c r="Z994" s="4"/>
      <c r="AA994" s="4"/>
    </row>
    <row r="995" spans="1:27">
      <c r="A995" s="5"/>
      <c r="B995" s="5"/>
      <c r="C995" s="4"/>
      <c r="D995" s="5"/>
      <c r="E995" s="5"/>
      <c r="F995" s="5"/>
      <c r="G995" s="5"/>
      <c r="H995" s="5"/>
      <c r="I995" s="5"/>
      <c r="J995" s="5"/>
      <c r="K995" s="5"/>
      <c r="L995" s="5"/>
      <c r="M995" s="5"/>
      <c r="N995" s="5"/>
      <c r="O995" s="5"/>
      <c r="P995" s="4"/>
      <c r="Q995" s="4"/>
      <c r="R995" s="4"/>
      <c r="S995" s="4"/>
      <c r="T995" s="4"/>
      <c r="U995" s="4"/>
      <c r="V995" s="4"/>
      <c r="W995" s="4"/>
      <c r="X995" s="4"/>
      <c r="Y995" s="4"/>
      <c r="Z995" s="4"/>
      <c r="AA995" s="4"/>
    </row>
    <row r="996" spans="1:27">
      <c r="A996" s="5"/>
      <c r="B996" s="5"/>
      <c r="C996" s="4"/>
      <c r="D996" s="5"/>
      <c r="E996" s="5"/>
      <c r="F996" s="5"/>
      <c r="G996" s="5"/>
      <c r="H996" s="5"/>
      <c r="I996" s="5"/>
      <c r="J996" s="5"/>
      <c r="K996" s="5"/>
      <c r="L996" s="5"/>
      <c r="M996" s="5"/>
      <c r="N996" s="5"/>
      <c r="O996" s="5"/>
      <c r="P996" s="4"/>
      <c r="Q996" s="4"/>
      <c r="R996" s="4"/>
      <c r="S996" s="4"/>
      <c r="T996" s="4"/>
      <c r="U996" s="4"/>
      <c r="V996" s="4"/>
      <c r="W996" s="4"/>
      <c r="X996" s="4"/>
      <c r="Y996" s="4"/>
      <c r="Z996" s="4"/>
      <c r="AA996" s="4"/>
    </row>
    <row r="997" spans="1:27">
      <c r="A997" s="5"/>
      <c r="B997" s="5"/>
      <c r="C997" s="4"/>
      <c r="D997" s="5"/>
      <c r="E997" s="5"/>
      <c r="F997" s="5"/>
      <c r="G997" s="5"/>
      <c r="H997" s="5"/>
      <c r="I997" s="5"/>
      <c r="J997" s="5"/>
      <c r="K997" s="5"/>
      <c r="L997" s="5"/>
      <c r="M997" s="5"/>
      <c r="N997" s="5"/>
      <c r="O997" s="5"/>
      <c r="P997" s="4"/>
      <c r="Q997" s="4"/>
      <c r="R997" s="4"/>
      <c r="S997" s="4"/>
      <c r="T997" s="4"/>
      <c r="U997" s="4"/>
      <c r="V997" s="4"/>
      <c r="W997" s="4"/>
      <c r="X997" s="4"/>
      <c r="Y997" s="4"/>
      <c r="Z997" s="4"/>
      <c r="AA997" s="4"/>
    </row>
    <row r="998" spans="1:27">
      <c r="A998" s="5"/>
      <c r="B998" s="5"/>
      <c r="C998" s="4"/>
      <c r="D998" s="5"/>
      <c r="E998" s="5"/>
      <c r="F998" s="5"/>
      <c r="G998" s="5"/>
      <c r="H998" s="5"/>
      <c r="I998" s="5"/>
      <c r="J998" s="5"/>
      <c r="K998" s="5"/>
      <c r="L998" s="5"/>
      <c r="M998" s="5"/>
      <c r="N998" s="5"/>
      <c r="O998" s="5"/>
      <c r="P998" s="4"/>
      <c r="Q998" s="4"/>
      <c r="R998" s="4"/>
      <c r="S998" s="4"/>
      <c r="T998" s="4"/>
      <c r="U998" s="4"/>
      <c r="V998" s="4"/>
      <c r="W998" s="4"/>
      <c r="X998" s="4"/>
      <c r="Y998" s="4"/>
      <c r="Z998" s="4"/>
      <c r="AA998" s="4"/>
    </row>
    <row r="999" spans="1:27">
      <c r="A999" s="5"/>
      <c r="B999" s="5"/>
      <c r="C999" s="4"/>
      <c r="D999" s="5"/>
      <c r="E999" s="5"/>
      <c r="F999" s="5"/>
      <c r="G999" s="5"/>
      <c r="H999" s="5"/>
      <c r="I999" s="5"/>
      <c r="J999" s="5"/>
      <c r="K999" s="5"/>
      <c r="L999" s="5"/>
      <c r="M999" s="5"/>
      <c r="N999" s="5"/>
      <c r="O999" s="5"/>
      <c r="P999" s="4"/>
      <c r="Q999" s="4"/>
      <c r="R999" s="4"/>
      <c r="S999" s="4"/>
      <c r="T999" s="4"/>
      <c r="U999" s="4"/>
      <c r="V999" s="4"/>
      <c r="W999" s="4"/>
      <c r="X999" s="4"/>
      <c r="Y999" s="4"/>
      <c r="Z999" s="4"/>
      <c r="AA999" s="4"/>
    </row>
    <row r="1000" spans="1:27">
      <c r="A1000" s="5"/>
      <c r="B1000" s="5"/>
      <c r="C1000" s="4"/>
      <c r="D1000" s="5"/>
      <c r="E1000" s="5"/>
      <c r="F1000" s="5"/>
      <c r="G1000" s="5"/>
      <c r="H1000" s="5"/>
      <c r="I1000" s="5"/>
      <c r="J1000" s="5"/>
      <c r="K1000" s="5"/>
      <c r="L1000" s="5"/>
      <c r="M1000" s="5"/>
      <c r="N1000" s="5"/>
      <c r="O1000" s="5"/>
      <c r="P1000" s="4"/>
      <c r="Q1000" s="4"/>
      <c r="R1000" s="4"/>
      <c r="S1000" s="4"/>
      <c r="T1000" s="4"/>
      <c r="U1000" s="4"/>
      <c r="V1000" s="4"/>
      <c r="W1000" s="4"/>
      <c r="X1000" s="4"/>
      <c r="Y1000" s="4"/>
      <c r="Z1000" s="4"/>
      <c r="AA1000" s="4"/>
    </row>
    <row r="1001" spans="1:27">
      <c r="A1001" s="5"/>
      <c r="B1001" s="5"/>
      <c r="C1001" s="4"/>
      <c r="D1001" s="5"/>
      <c r="E1001" s="5"/>
      <c r="F1001" s="5"/>
      <c r="G1001" s="5"/>
      <c r="H1001" s="5"/>
      <c r="I1001" s="5"/>
      <c r="J1001" s="5"/>
      <c r="K1001" s="5"/>
      <c r="L1001" s="5"/>
      <c r="M1001" s="5"/>
      <c r="N1001" s="5"/>
      <c r="O1001" s="5"/>
      <c r="P1001" s="4"/>
      <c r="Q1001" s="4"/>
      <c r="R1001" s="4"/>
      <c r="S1001" s="4"/>
      <c r="T1001" s="4"/>
      <c r="U1001" s="4"/>
      <c r="V1001" s="4"/>
      <c r="W1001" s="4"/>
      <c r="X1001" s="4"/>
      <c r="Y1001" s="4"/>
      <c r="Z1001" s="4"/>
      <c r="AA1001" s="4"/>
    </row>
    <row r="1002" spans="1:27">
      <c r="A1002" s="5"/>
      <c r="B1002" s="5"/>
      <c r="C1002" s="4"/>
      <c r="D1002" s="5"/>
      <c r="E1002" s="5"/>
      <c r="F1002" s="5"/>
      <c r="G1002" s="5"/>
      <c r="H1002" s="5"/>
      <c r="I1002" s="5"/>
      <c r="J1002" s="5"/>
      <c r="K1002" s="5"/>
      <c r="L1002" s="5"/>
      <c r="M1002" s="5"/>
      <c r="N1002" s="5"/>
      <c r="O1002" s="5"/>
      <c r="P1002" s="4"/>
      <c r="Q1002" s="4"/>
      <c r="R1002" s="4"/>
      <c r="S1002" s="4"/>
      <c r="T1002" s="4"/>
      <c r="U1002" s="4"/>
      <c r="V1002" s="4"/>
      <c r="W1002" s="4"/>
      <c r="X1002" s="4"/>
      <c r="Y1002" s="4"/>
      <c r="Z1002" s="4"/>
      <c r="AA1002" s="4"/>
    </row>
    <row r="1003" spans="1:27">
      <c r="A1003" s="5"/>
      <c r="B1003" s="5"/>
      <c r="C1003" s="4"/>
      <c r="D1003" s="5"/>
      <c r="E1003" s="5"/>
      <c r="F1003" s="5"/>
      <c r="G1003" s="5"/>
      <c r="H1003" s="5"/>
      <c r="I1003" s="5"/>
      <c r="J1003" s="5"/>
      <c r="K1003" s="5"/>
      <c r="L1003" s="5"/>
      <c r="M1003" s="5"/>
      <c r="N1003" s="5"/>
      <c r="O1003" s="5"/>
      <c r="P1003" s="4"/>
      <c r="Q1003" s="4"/>
      <c r="R1003" s="4"/>
      <c r="S1003" s="4"/>
      <c r="T1003" s="4"/>
      <c r="U1003" s="4"/>
      <c r="V1003" s="4"/>
      <c r="W1003" s="4"/>
      <c r="X1003" s="4"/>
      <c r="Y1003" s="4"/>
      <c r="Z1003" s="4"/>
      <c r="AA1003" s="4"/>
    </row>
    <row r="1004" spans="1:27">
      <c r="A1004" s="5"/>
      <c r="B1004" s="5"/>
      <c r="C1004" s="4"/>
      <c r="D1004" s="5"/>
      <c r="E1004" s="5"/>
      <c r="F1004" s="5"/>
      <c r="G1004" s="5"/>
      <c r="H1004" s="5"/>
      <c r="I1004" s="5"/>
      <c r="J1004" s="5"/>
      <c r="K1004" s="5"/>
      <c r="L1004" s="5"/>
      <c r="M1004" s="5"/>
      <c r="N1004" s="5"/>
      <c r="O1004" s="5"/>
      <c r="P1004" s="4"/>
      <c r="Q1004" s="4"/>
      <c r="R1004" s="4"/>
      <c r="S1004" s="4"/>
      <c r="T1004" s="4"/>
      <c r="U1004" s="4"/>
      <c r="V1004" s="4"/>
      <c r="W1004" s="4"/>
      <c r="X1004" s="4"/>
      <c r="Y1004" s="4"/>
      <c r="Z1004" s="4"/>
      <c r="AA1004" s="4"/>
    </row>
    <row r="1005" spans="1:27">
      <c r="A1005" s="5"/>
    </row>
  </sheetData>
  <pageMargins left="0.7" right="0.7" top="0.75" bottom="0.75" header="0" footer="0"/>
  <pageSetup scale="50" orientation="landscape"/>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E9C11-6A5A-44F7-BFA4-B96EDFADD431}">
  <sheetPr>
    <tabColor rgb="FFFFFF00"/>
  </sheetPr>
  <dimension ref="A1:BH231"/>
  <sheetViews>
    <sheetView workbookViewId="0">
      <pane xSplit="1" topLeftCell="B1" activePane="topRight" state="frozen"/>
      <selection pane="topRight" activeCell="H1" sqref="H1"/>
    </sheetView>
  </sheetViews>
  <sheetFormatPr baseColWidth="10" defaultColWidth="54" defaultRowHeight="14.25" customHeight="1"/>
  <cols>
    <col min="1" max="1" width="9.69921875" style="262" bestFit="1" customWidth="1"/>
    <col min="2" max="2" width="31.5" style="181" bestFit="1" customWidth="1"/>
    <col min="3" max="3" width="9.296875" style="181" customWidth="1"/>
    <col min="4" max="4" width="8" style="181" customWidth="1"/>
    <col min="5" max="5" width="17" style="181" customWidth="1"/>
    <col min="6" max="6" width="23.3984375" style="261" customWidth="1"/>
    <col min="7" max="7" width="23.296875" style="261" customWidth="1"/>
    <col min="8" max="9" width="7.8984375" style="261" customWidth="1"/>
    <col min="10" max="10" width="11.09765625" style="261" customWidth="1"/>
    <col min="11" max="11" width="39.19921875" style="261" customWidth="1"/>
    <col min="12" max="13" width="14.796875" style="261" customWidth="1"/>
    <col min="14" max="14" width="14.09765625" style="261" customWidth="1"/>
    <col min="15" max="15" width="5.59765625" style="370" customWidth="1"/>
    <col min="16" max="16" width="13.5" style="370" customWidth="1"/>
    <col min="17" max="17" width="12.5" style="261" customWidth="1"/>
    <col min="18" max="20" width="10" style="261" customWidth="1"/>
    <col min="21" max="21" width="10.59765625" style="356" customWidth="1"/>
    <col min="22" max="24" width="10.59765625" style="261" customWidth="1"/>
    <col min="25" max="25" width="15.59765625" style="261" bestFit="1" customWidth="1"/>
    <col min="26" max="26" width="13.19921875" style="261" bestFit="1" customWidth="1"/>
    <col min="27" max="27" width="13.69921875" style="261" bestFit="1" customWidth="1"/>
    <col min="28" max="28" width="14.296875" style="263" bestFit="1" customWidth="1"/>
    <col min="29" max="31" width="21.5" style="261" customWidth="1"/>
    <col min="32" max="32" width="21.5" style="262" customWidth="1"/>
    <col min="33" max="33" width="17.796875" style="262" customWidth="1"/>
    <col min="34" max="34" width="12.3984375" style="262" bestFit="1" customWidth="1"/>
    <col min="35" max="35" width="15.3984375" style="270" bestFit="1" customWidth="1"/>
    <col min="36" max="36" width="18.19921875" style="271" bestFit="1" customWidth="1"/>
    <col min="37" max="37" width="18.5" style="261" bestFit="1" customWidth="1"/>
    <col min="38" max="38" width="22.3984375" style="261" bestFit="1" customWidth="1"/>
    <col min="39" max="39" width="23.296875" style="261" bestFit="1" customWidth="1"/>
    <col min="40" max="40" width="22.5" style="261" bestFit="1" customWidth="1"/>
    <col min="41" max="41" width="16.09765625" style="261" bestFit="1" customWidth="1"/>
    <col min="42" max="42" width="16" style="261" bestFit="1" customWidth="1"/>
    <col min="43" max="43" width="14.5" style="261" bestFit="1" customWidth="1"/>
    <col min="44" max="44" width="18.69921875" style="261" bestFit="1" customWidth="1"/>
    <col min="45" max="45" width="17.5" style="261" bestFit="1" customWidth="1"/>
    <col min="46" max="46" width="22.5" style="261" bestFit="1" customWidth="1"/>
    <col min="47" max="47" width="16.8984375" style="261" bestFit="1" customWidth="1"/>
    <col min="48" max="48" width="16.796875" style="261" bestFit="1" customWidth="1"/>
    <col min="49" max="49" width="15.3984375" style="261" bestFit="1" customWidth="1"/>
    <col min="50" max="50" width="19.5" style="261" bestFit="1" customWidth="1"/>
    <col min="51" max="51" width="17.5" style="261" bestFit="1" customWidth="1"/>
    <col min="52" max="52" width="18.09765625" style="261" bestFit="1" customWidth="1"/>
    <col min="53" max="53" width="17.59765625" style="261" bestFit="1" customWidth="1"/>
    <col min="54" max="54" width="12.8984375" style="261" customWidth="1"/>
    <col min="55" max="55" width="9.09765625" style="261" bestFit="1" customWidth="1"/>
    <col min="56" max="56" width="19.796875" style="261" bestFit="1" customWidth="1"/>
    <col min="57" max="57" width="20.3984375" style="261" bestFit="1" customWidth="1"/>
    <col min="58" max="58" width="22.796875" style="269" bestFit="1" customWidth="1"/>
    <col min="59" max="59" width="54" style="351"/>
    <col min="60" max="16384" width="54" style="340"/>
  </cols>
  <sheetData>
    <row r="1" spans="1:59" s="349" customFormat="1" ht="57">
      <c r="A1" s="93" t="s">
        <v>0</v>
      </c>
      <c r="B1" s="93" t="s">
        <v>166</v>
      </c>
      <c r="C1" s="93" t="s">
        <v>167</v>
      </c>
      <c r="D1" s="93" t="s">
        <v>168</v>
      </c>
      <c r="E1" s="645" t="s">
        <v>35</v>
      </c>
      <c r="F1" s="90" t="s">
        <v>7</v>
      </c>
      <c r="G1" s="90" t="s">
        <v>8</v>
      </c>
      <c r="H1" s="90" t="s">
        <v>4</v>
      </c>
      <c r="I1" s="90" t="s">
        <v>169</v>
      </c>
      <c r="J1" s="90" t="s">
        <v>170</v>
      </c>
      <c r="K1" s="90" t="s">
        <v>171</v>
      </c>
      <c r="L1" s="90" t="s">
        <v>172</v>
      </c>
      <c r="M1" s="90" t="s">
        <v>173</v>
      </c>
      <c r="N1" s="90" t="s">
        <v>174</v>
      </c>
      <c r="O1" s="90" t="s">
        <v>175</v>
      </c>
      <c r="P1" s="90" t="s">
        <v>176</v>
      </c>
      <c r="Q1" s="90" t="s">
        <v>177</v>
      </c>
      <c r="R1" s="90" t="s">
        <v>178</v>
      </c>
      <c r="S1" s="645" t="s">
        <v>179</v>
      </c>
      <c r="T1" s="645" t="s">
        <v>180</v>
      </c>
      <c r="U1" s="90" t="s">
        <v>33</v>
      </c>
      <c r="V1" s="702" t="s">
        <v>181</v>
      </c>
      <c r="W1" s="701" t="s">
        <v>182</v>
      </c>
      <c r="X1" s="645" t="s">
        <v>183</v>
      </c>
      <c r="Y1" s="90" t="s">
        <v>184</v>
      </c>
      <c r="Z1" s="90" t="s">
        <v>185</v>
      </c>
      <c r="AA1" s="90" t="s">
        <v>186</v>
      </c>
      <c r="AB1" s="90" t="s">
        <v>187</v>
      </c>
      <c r="AC1" s="90" t="s">
        <v>188</v>
      </c>
      <c r="AD1" s="90" t="s">
        <v>189</v>
      </c>
      <c r="AE1" s="90" t="s">
        <v>190</v>
      </c>
      <c r="AF1" s="90" t="s">
        <v>191</v>
      </c>
      <c r="AG1" s="90" t="s">
        <v>192</v>
      </c>
      <c r="AH1" s="90" t="s">
        <v>193</v>
      </c>
      <c r="AI1" s="90" t="s">
        <v>194</v>
      </c>
      <c r="AJ1" s="176" t="s">
        <v>195</v>
      </c>
      <c r="AK1" s="186" t="s">
        <v>196</v>
      </c>
      <c r="AL1" s="90" t="s">
        <v>197</v>
      </c>
      <c r="AM1" s="90" t="s">
        <v>198</v>
      </c>
      <c r="AN1" s="90" t="s">
        <v>199</v>
      </c>
      <c r="AO1" s="90" t="s">
        <v>200</v>
      </c>
      <c r="AP1" s="90" t="s">
        <v>201</v>
      </c>
      <c r="AQ1" s="90" t="s">
        <v>202</v>
      </c>
      <c r="AR1" s="90" t="s">
        <v>203</v>
      </c>
      <c r="AS1" s="90" t="s">
        <v>204</v>
      </c>
      <c r="AT1" s="90" t="s">
        <v>205</v>
      </c>
      <c r="AU1" s="90" t="s">
        <v>206</v>
      </c>
      <c r="AV1" s="90" t="s">
        <v>207</v>
      </c>
      <c r="AW1" s="90" t="s">
        <v>208</v>
      </c>
      <c r="AX1" s="90" t="s">
        <v>209</v>
      </c>
      <c r="AY1" s="90" t="s">
        <v>210</v>
      </c>
      <c r="AZ1" s="90" t="s">
        <v>211</v>
      </c>
      <c r="BA1" s="90" t="s">
        <v>212</v>
      </c>
      <c r="BB1" s="90" t="s">
        <v>213</v>
      </c>
      <c r="BC1" s="90" t="s">
        <v>214</v>
      </c>
      <c r="BD1" s="90" t="s">
        <v>215</v>
      </c>
      <c r="BE1" s="90" t="s">
        <v>216</v>
      </c>
      <c r="BF1" s="90" t="s">
        <v>217</v>
      </c>
      <c r="BG1" s="90" t="s">
        <v>218</v>
      </c>
    </row>
    <row r="2" spans="1:59" ht="15" hidden="1">
      <c r="A2" s="21">
        <v>9929531</v>
      </c>
      <c r="B2" s="19" t="str">
        <f>VLOOKUP(A2,'Datos Personales'!A:M,2,FALSE)</f>
        <v>PAEZ PISCO SAMUEL</v>
      </c>
      <c r="C2" s="19">
        <f>VLOOKUP(A2,'ESTADOS ESTUDIANTES'!B:L,11,0)</f>
        <v>79472385</v>
      </c>
      <c r="D2" s="19">
        <f>VLOOKUP(A2,'Datos Personales'!$A:$M,3,FALSE)</f>
        <v>195</v>
      </c>
      <c r="E2" s="19" t="str">
        <f>VLOOKUP(Tabla4[[#This Row],[ENFASIS]],Listas!$R$2:$S$8,2,0)</f>
        <v>EN TELEINF.</v>
      </c>
      <c r="F2" s="19" t="str">
        <f>VLOOKUP(A2,'Datos Personales'!A:M,8,0)</f>
        <v>spaezp@correo.udistrital.edu.co</v>
      </c>
      <c r="G2" s="19" t="str">
        <f>VLOOKUP(A2,'Datos Personales'!A:M,9,0)</f>
        <v>samuel.paez@fiscalia.gov.co</v>
      </c>
      <c r="H2" s="19" t="str">
        <f>VLOOKUP(A2,'Datos Personales'!A:M,5,FALSE)</f>
        <v>X</v>
      </c>
      <c r="I2" s="19" t="str">
        <f>VLOOKUP(Tabla4[[#This Row],[CODIGO]],'ESTADOS ESTUDIANTES'!B:M,12,0)</f>
        <v>2022-1</v>
      </c>
      <c r="J2" s="23"/>
      <c r="K2" s="23"/>
      <c r="L2" s="23"/>
      <c r="M2" s="23"/>
      <c r="N2" s="96"/>
      <c r="O2" s="23"/>
      <c r="P2" s="23"/>
      <c r="Q2" s="23"/>
      <c r="R2" s="124"/>
      <c r="S2" s="124" t="str">
        <f>IF(Tabla4[[#This Row],[FECHA DE ACEPTACION DEL GRUP. INV.]]="","",DATE(YEAR(Tabla4[[#This Row],[FECHA DE ACEPTACION DEL GRUP. INV.]])+2,MONTH(Tabla4[[#This Row],[FECHA DE ACEPTACION DEL GRUP. INV.]]),DAY(Tabla4[[#This Row],[FECHA DE ACEPTACION DEL GRUP. INV.]])))</f>
        <v/>
      </c>
      <c r="T2" s="124" t="str">
        <f ca="1">IF(Tabla4[[#This Row],[FECHA DE ACEPTACION DEL GRUP. INV.]]="","",IF(Tabla4[[#This Row],[FECHA DE VENCIMIENTO ANTE PROYECTO]]&lt;TODAY(),"SÍ","NO"))</f>
        <v/>
      </c>
      <c r="U2" s="124"/>
      <c r="V2" s="124"/>
      <c r="W2" s="18"/>
      <c r="X2" s="18"/>
      <c r="Y2" s="96"/>
      <c r="Z2" s="97"/>
      <c r="AA2" s="96">
        <v>44510</v>
      </c>
      <c r="AB2" s="97">
        <v>101</v>
      </c>
      <c r="AC2" s="98" t="s">
        <v>79</v>
      </c>
      <c r="AD2" s="18"/>
      <c r="AE2" s="124"/>
      <c r="AF2" s="124"/>
      <c r="AG2" s="171"/>
      <c r="AH2" s="171"/>
      <c r="AI2" s="171"/>
      <c r="AJ2" s="170" t="str">
        <f>IFERROR(VLOOKUP(AI2,Listas!K:L,2,0),"")</f>
        <v/>
      </c>
      <c r="AK2" s="21" t="str">
        <f>IFERROR(VLOOKUP(AJ2,Listas!L:M,2,0),"")</f>
        <v/>
      </c>
      <c r="AL2" s="96"/>
      <c r="AM2" s="23"/>
      <c r="AN2" s="96"/>
      <c r="AO2" s="23"/>
      <c r="AP2" s="96"/>
      <c r="AQ2" s="96"/>
      <c r="AR2" s="21"/>
      <c r="AS2" s="21"/>
      <c r="AT2" s="23"/>
      <c r="AU2" s="23"/>
      <c r="AV2" s="96"/>
      <c r="AW2" s="96"/>
      <c r="AX2" s="21"/>
      <c r="AY2" s="21"/>
      <c r="AZ2" s="23"/>
      <c r="BA2" s="96"/>
      <c r="BB2" s="18" t="str">
        <f>IFERROR(ROUND(AVERAGE(AY2,AX2,AS2,AR2),0),"")</f>
        <v/>
      </c>
      <c r="BC2" s="232" t="e">
        <f t="shared" ref="BC2:BC42" si="0">BB2*(100%-AJ2)</f>
        <v>#VALUE!</v>
      </c>
      <c r="BD2" s="185" t="e">
        <f t="shared" ref="BD2:BD32" si="1">SUM(BC2,AK2)</f>
        <v>#VALUE!</v>
      </c>
      <c r="BE2" s="124"/>
      <c r="BF2" s="23"/>
      <c r="BG2" s="255" t="str">
        <f t="shared" ref="BG2:BG15" si="2">IF(OR(H2="A",$H2="D",$H2="P",$H2="V"),L2,"")</f>
        <v/>
      </c>
    </row>
    <row r="3" spans="1:59" ht="15" hidden="1">
      <c r="A3" s="21">
        <v>9929539</v>
      </c>
      <c r="B3" s="19" t="str">
        <f>VLOOKUP(A3,'Datos Personales'!A:M,2,FALSE)</f>
        <v>RODRIGUEZ RENGIFO JORGE</v>
      </c>
      <c r="C3" s="19">
        <f>VLOOKUP(A3,'ESTADOS ESTUDIANTES'!B:L,11,0)</f>
        <v>7545588</v>
      </c>
      <c r="D3" s="19">
        <f>VLOOKUP(A3,'Datos Personales'!$A:$M,3,FALSE)</f>
        <v>195</v>
      </c>
      <c r="E3" s="19" t="str">
        <f>VLOOKUP(Tabla4[[#This Row],[ENFASIS]],Listas!$R$2:$S$8,2,0)</f>
        <v>EN TELEINF.</v>
      </c>
      <c r="F3" s="19" t="str">
        <f>VLOOKUP(A3,'Datos Personales'!A:M,8,0)</f>
        <v>jrodriguezr@udistrital.edu.co</v>
      </c>
      <c r="G3" s="19" t="str">
        <f>VLOOKUP(A3,'Datos Personales'!A:M,9,0)</f>
        <v>jorge.rodriguez@engineer.com</v>
      </c>
      <c r="H3" s="19" t="str">
        <f>VLOOKUP(A3,'Datos Personales'!A:M,5,FALSE)</f>
        <v>X</v>
      </c>
      <c r="I3" s="19" t="str">
        <f>VLOOKUP(Tabla4[[#This Row],[CODIGO]],'ESTADOS ESTUDIANTES'!B:M,12,0)</f>
        <v>2022-1</v>
      </c>
      <c r="J3" s="23"/>
      <c r="K3" s="23"/>
      <c r="L3" s="23"/>
      <c r="M3" s="23"/>
      <c r="N3" s="96"/>
      <c r="O3" s="23"/>
      <c r="P3" s="23"/>
      <c r="Q3" s="23"/>
      <c r="R3" s="124"/>
      <c r="S3" s="124" t="str">
        <f>IF(Tabla4[[#This Row],[FECHA DE ACEPTACION DEL GRUP. INV.]]="","",DATE(YEAR(Tabla4[[#This Row],[FECHA DE ACEPTACION DEL GRUP. INV.]])+2,MONTH(Tabla4[[#This Row],[FECHA DE ACEPTACION DEL GRUP. INV.]]),DAY(Tabla4[[#This Row],[FECHA DE ACEPTACION DEL GRUP. INV.]])))</f>
        <v/>
      </c>
      <c r="T3" s="124" t="str">
        <f ca="1">IF(Tabla4[[#This Row],[FECHA DE ACEPTACION DEL GRUP. INV.]]="","",IF(Tabla4[[#This Row],[FECHA DE VENCIMIENTO ANTE PROYECTO]]&lt;TODAY(),"SÍ","NO"))</f>
        <v/>
      </c>
      <c r="U3" s="124"/>
      <c r="V3" s="124"/>
      <c r="W3" s="18"/>
      <c r="X3" s="18"/>
      <c r="Y3" s="96"/>
      <c r="Z3" s="97"/>
      <c r="AA3" s="96"/>
      <c r="AB3" s="97"/>
      <c r="AC3" s="110"/>
      <c r="AD3" s="18"/>
      <c r="AE3" s="124"/>
      <c r="AF3" s="124"/>
      <c r="AG3" s="169"/>
      <c r="AH3" s="169"/>
      <c r="AI3" s="169"/>
      <c r="AJ3" s="170" t="str">
        <f>IFERROR(VLOOKUP(AI3,Listas!K:L,2,0),"")</f>
        <v/>
      </c>
      <c r="AK3" s="21" t="str">
        <f>IFERROR(VLOOKUP(AJ3,Listas!L:M,2,0),"")</f>
        <v/>
      </c>
      <c r="AL3" s="96"/>
      <c r="AM3" s="23"/>
      <c r="AN3" s="96"/>
      <c r="AO3" s="23"/>
      <c r="AP3" s="96"/>
      <c r="AQ3" s="96"/>
      <c r="AR3" s="21"/>
      <c r="AS3" s="21"/>
      <c r="AT3" s="23"/>
      <c r="AU3" s="23"/>
      <c r="AV3" s="96"/>
      <c r="AW3" s="96"/>
      <c r="AX3" s="21"/>
      <c r="AY3" s="21"/>
      <c r="AZ3" s="23"/>
      <c r="BA3" s="96"/>
      <c r="BB3" s="18" t="str">
        <f>IFERROR(ROUND(AVERAGE(AY3,AX3,AS3,AR3),0),"")</f>
        <v/>
      </c>
      <c r="BC3" s="232" t="e">
        <f t="shared" si="0"/>
        <v>#VALUE!</v>
      </c>
      <c r="BD3" s="185" t="e">
        <f t="shared" si="1"/>
        <v>#VALUE!</v>
      </c>
      <c r="BE3" s="23"/>
      <c r="BF3" s="23"/>
      <c r="BG3" s="293" t="str">
        <f t="shared" si="2"/>
        <v/>
      </c>
    </row>
    <row r="4" spans="1:59" ht="30" hidden="1">
      <c r="A4" s="21">
        <v>20012095004</v>
      </c>
      <c r="B4" s="19" t="str">
        <f>VLOOKUP(A4,'Datos Personales'!A:M,2,FALSE)</f>
        <v>BECERRA FINO JOSE YASIS</v>
      </c>
      <c r="C4" s="19">
        <f>VLOOKUP(A4,'ESTADOS ESTUDIANTES'!B:L,11,0)</f>
        <v>79483121</v>
      </c>
      <c r="D4" s="19">
        <f>VLOOKUP(A4,'Datos Personales'!$A:$M,3,FALSE)</f>
        <v>195</v>
      </c>
      <c r="E4" s="19" t="str">
        <f>VLOOKUP(Tabla4[[#This Row],[ENFASIS]],Listas!$R$2:$S$8,2,0)</f>
        <v>EN TELEINF.</v>
      </c>
      <c r="F4" s="19" t="str">
        <f>VLOOKUP(A4,'Datos Personales'!A:M,8,0)</f>
        <v>jybecerraf@correo.udistrital.edu.co</v>
      </c>
      <c r="G4" s="19" t="str">
        <f>VLOOKUP(A4,'Datos Personales'!A:M,9,0)</f>
        <v>jybecerra@gmail.com</v>
      </c>
      <c r="H4" s="19" t="str">
        <f>VLOOKUP(A4,'Datos Personales'!A:M,5,FALSE)</f>
        <v>X</v>
      </c>
      <c r="I4" s="19" t="str">
        <f>VLOOKUP(Tabla4[[#This Row],[CODIGO]],'ESTADOS ESTUDIANTES'!B:M,12,0)</f>
        <v>2022-3</v>
      </c>
      <c r="J4" s="18" t="s">
        <v>60</v>
      </c>
      <c r="K4" s="18" t="s">
        <v>219</v>
      </c>
      <c r="L4" s="18" t="s">
        <v>220</v>
      </c>
      <c r="M4" s="18" t="s">
        <v>221</v>
      </c>
      <c r="N4" s="96">
        <v>44367</v>
      </c>
      <c r="O4" s="19">
        <v>2021</v>
      </c>
      <c r="P4" s="18" t="s">
        <v>112</v>
      </c>
      <c r="Q4" s="18" t="s">
        <v>222</v>
      </c>
      <c r="R4" s="124">
        <v>44374</v>
      </c>
      <c r="S4" s="124">
        <f>IF(Tabla4[[#This Row],[FECHA DE ACEPTACION DEL GRUP. INV.]]="","",DATE(YEAR(Tabla4[[#This Row],[FECHA DE ACEPTACION DEL GRUP. INV.]])+2,MONTH(Tabla4[[#This Row],[FECHA DE ACEPTACION DEL GRUP. INV.]]),DAY(Tabla4[[#This Row],[FECHA DE ACEPTACION DEL GRUP. INV.]])))</f>
        <v>45104</v>
      </c>
      <c r="T4" s="124" t="str">
        <f ca="1">IF(Tabla4[[#This Row],[FECHA DE ACEPTACION DEL GRUP. INV.]]="","",IF(Tabla4[[#This Row],[FECHA DE VENCIMIENTO ANTE PROYECTO]]&lt;TODAY(),"SÍ","NO"))</f>
        <v>SÍ</v>
      </c>
      <c r="U4" s="124"/>
      <c r="V4" s="124"/>
      <c r="W4" s="18" t="s">
        <v>223</v>
      </c>
      <c r="X4" s="18"/>
      <c r="Y4" s="96"/>
      <c r="Z4" s="97"/>
      <c r="AA4" s="96">
        <v>43964</v>
      </c>
      <c r="AB4" s="97">
        <v>92.17</v>
      </c>
      <c r="AC4" s="98" t="s">
        <v>79</v>
      </c>
      <c r="AD4" s="18"/>
      <c r="AE4" s="124"/>
      <c r="AF4" s="124"/>
      <c r="AG4" s="171"/>
      <c r="AH4" s="171"/>
      <c r="AI4" s="171"/>
      <c r="AJ4" s="170" t="str">
        <f>IFERROR(VLOOKUP(AI4,Listas!K:L,2,0),"")</f>
        <v/>
      </c>
      <c r="AK4" s="21" t="str">
        <f>IFERROR(VLOOKUP(AJ4,Listas!L:M,2,0),"")</f>
        <v/>
      </c>
      <c r="AL4" s="96"/>
      <c r="AM4" s="23"/>
      <c r="AN4" s="96"/>
      <c r="AO4" s="23"/>
      <c r="AP4" s="96"/>
      <c r="AQ4" s="96"/>
      <c r="AR4" s="21"/>
      <c r="AS4" s="21"/>
      <c r="AT4" s="23"/>
      <c r="AU4" s="23"/>
      <c r="AV4" s="96"/>
      <c r="AW4" s="96"/>
      <c r="AX4" s="21"/>
      <c r="AY4" s="21"/>
      <c r="AZ4" s="23"/>
      <c r="BA4" s="96"/>
      <c r="BB4" s="18" t="str">
        <f>IFERROR(ROUND(AVERAGE(AY4,AX4,AS4,AR4),0),"")</f>
        <v/>
      </c>
      <c r="BC4" s="232" t="e">
        <f t="shared" si="0"/>
        <v>#VALUE!</v>
      </c>
      <c r="BD4" s="185" t="e">
        <f t="shared" si="1"/>
        <v>#VALUE!</v>
      </c>
      <c r="BE4" s="124"/>
      <c r="BF4" s="23"/>
      <c r="BG4" s="255" t="str">
        <f t="shared" si="2"/>
        <v/>
      </c>
    </row>
    <row r="5" spans="1:59" ht="45" hidden="1">
      <c r="A5" s="21">
        <v>20101295014</v>
      </c>
      <c r="B5" s="19" t="str">
        <f>VLOOKUP(A5,'Datos Personales'!A:M,2,FALSE)</f>
        <v>SANCHEZ JOSE ALEJANDRO</v>
      </c>
      <c r="C5" s="19">
        <f>VLOOKUP(A5,'ESTADOS ESTUDIANTES'!B:L,11,0)</f>
        <v>79763774</v>
      </c>
      <c r="D5" s="19">
        <f>VLOOKUP(A5,'Datos Personales'!$A:$M,3,FALSE)</f>
        <v>295</v>
      </c>
      <c r="E5" s="19" t="str">
        <f>VLOOKUP(Tabla4[[#This Row],[ENFASIS]],Listas!$R$2:$S$8,2,0)</f>
        <v>ENFASIS EN SIS. INFOR</v>
      </c>
      <c r="F5" s="19" t="str">
        <f>VLOOKUP(A5,'Datos Personales'!A:M,8,0)</f>
        <v>jrestivang@udistrital.edu.co</v>
      </c>
      <c r="G5" s="19" t="str">
        <f>VLOOKUP(A5,'Datos Personales'!A:M,9,0)</f>
        <v>ijasanchez@gmail.com</v>
      </c>
      <c r="H5" s="19" t="str">
        <f>VLOOKUP(A5,'Datos Personales'!A:M,5,FALSE)</f>
        <v>E</v>
      </c>
      <c r="I5" s="19" t="str">
        <f>VLOOKUP(Tabla4[[#This Row],[CODIGO]],'ESTADOS ESTUDIANTES'!B:M,12,0)</f>
        <v>2022-1</v>
      </c>
      <c r="J5" s="18" t="s">
        <v>60</v>
      </c>
      <c r="K5" s="18" t="s">
        <v>224</v>
      </c>
      <c r="L5" s="18" t="s">
        <v>225</v>
      </c>
      <c r="M5" s="23"/>
      <c r="N5" s="96"/>
      <c r="O5" s="23"/>
      <c r="P5" s="23"/>
      <c r="Q5" s="18" t="s">
        <v>226</v>
      </c>
      <c r="R5" s="124">
        <v>43891</v>
      </c>
      <c r="S5" s="124">
        <f>IF(Tabla4[[#This Row],[FECHA DE ACEPTACION DEL GRUP. INV.]]="","",DATE(YEAR(Tabla4[[#This Row],[FECHA DE ACEPTACION DEL GRUP. INV.]])+2,MONTH(Tabla4[[#This Row],[FECHA DE ACEPTACION DEL GRUP. INV.]]),DAY(Tabla4[[#This Row],[FECHA DE ACEPTACION DEL GRUP. INV.]])))</f>
        <v>44621</v>
      </c>
      <c r="T5" s="124" t="str">
        <f ca="1">IF(Tabla4[[#This Row],[FECHA DE ACEPTACION DEL GRUP. INV.]]="","",IF(Tabla4[[#This Row],[FECHA DE VENCIMIENTO ANTE PROYECTO]]&lt;TODAY(),"SÍ","NO"))</f>
        <v>SÍ</v>
      </c>
      <c r="U5" s="124"/>
      <c r="V5" s="124"/>
      <c r="W5" s="18"/>
      <c r="X5" s="18"/>
      <c r="Y5" s="96"/>
      <c r="Z5" s="97"/>
      <c r="AA5" s="96">
        <v>43888</v>
      </c>
      <c r="AB5" s="97">
        <v>73.040000000000006</v>
      </c>
      <c r="AC5" s="98" t="s">
        <v>79</v>
      </c>
      <c r="AD5" s="18" t="s">
        <v>227</v>
      </c>
      <c r="AE5" s="124">
        <v>44692</v>
      </c>
      <c r="AF5" s="124"/>
      <c r="AG5" s="171"/>
      <c r="AH5" s="171"/>
      <c r="AI5" s="171"/>
      <c r="AJ5" s="170" t="str">
        <f>IFERROR(VLOOKUP(AI5,Listas!K:L,2,0),"")</f>
        <v/>
      </c>
      <c r="AK5" s="21" t="str">
        <f>IFERROR(VLOOKUP(AJ5,Listas!L:M,2,0),"")</f>
        <v/>
      </c>
      <c r="AL5" s="96">
        <v>44011</v>
      </c>
      <c r="AM5" s="23"/>
      <c r="AN5" s="96">
        <v>44011</v>
      </c>
      <c r="AO5" s="18" t="s">
        <v>228</v>
      </c>
      <c r="AP5" s="96">
        <v>44011</v>
      </c>
      <c r="AQ5" s="96">
        <v>44014</v>
      </c>
      <c r="AR5" s="21">
        <v>47</v>
      </c>
      <c r="AS5" s="21">
        <v>47</v>
      </c>
      <c r="AT5" s="18" t="s">
        <v>41</v>
      </c>
      <c r="AU5" s="18" t="s">
        <v>229</v>
      </c>
      <c r="AV5" s="96">
        <v>44011</v>
      </c>
      <c r="AW5" s="96">
        <v>44025</v>
      </c>
      <c r="AX5" s="21">
        <v>47</v>
      </c>
      <c r="AY5" s="21">
        <v>47</v>
      </c>
      <c r="AZ5" s="18" t="s">
        <v>41</v>
      </c>
      <c r="BA5" s="96">
        <v>44120</v>
      </c>
      <c r="BB5" s="21">
        <f>IFERROR(ROUND(AVERAGE(AY5,AX5,AS5,AR5),0),"")</f>
        <v>47</v>
      </c>
      <c r="BC5" s="232" t="e">
        <f t="shared" si="0"/>
        <v>#VALUE!</v>
      </c>
      <c r="BD5" s="185" t="e">
        <f t="shared" si="1"/>
        <v>#VALUE!</v>
      </c>
      <c r="BE5" s="23"/>
      <c r="BF5" s="23"/>
      <c r="BG5" s="255" t="str">
        <f t="shared" si="2"/>
        <v/>
      </c>
    </row>
    <row r="6" spans="1:59" ht="15" hidden="1">
      <c r="A6" s="21">
        <v>20102195004</v>
      </c>
      <c r="B6" s="19" t="str">
        <f>VLOOKUP(A6,'Datos Personales'!A:M,2,FALSE)</f>
        <v>MOLINA MONGUI ANDRES MAURICIO</v>
      </c>
      <c r="C6" s="19">
        <f>VLOOKUP(A6,'ESTADOS ESTUDIANTES'!B:L,11,0)</f>
        <v>80926416</v>
      </c>
      <c r="D6" s="19">
        <f>VLOOKUP(A6,'Datos Personales'!$A:$M,3,FALSE)</f>
        <v>195</v>
      </c>
      <c r="E6" s="19" t="str">
        <f>VLOOKUP(Tabla4[[#This Row],[ENFASIS]],Listas!$R$2:$S$8,2,0)</f>
        <v>EN TELEINF.</v>
      </c>
      <c r="F6" s="19" t="str">
        <f>VLOOKUP(A6,'Datos Personales'!A:M,8,0)</f>
        <v>ammolinam@udistrital.edu.co</v>
      </c>
      <c r="G6" s="19" t="str">
        <f>VLOOKUP(A6,'Datos Personales'!A:M,9,0)</f>
        <v>maomolina@hotmail.com</v>
      </c>
      <c r="H6" s="19" t="str">
        <f>VLOOKUP(A6,'Datos Personales'!A:M,5,FALSE)</f>
        <v>X</v>
      </c>
      <c r="I6" s="19" t="str">
        <f>VLOOKUP(Tabla4[[#This Row],[CODIGO]],'ESTADOS ESTUDIANTES'!B:M,12,0)</f>
        <v>2022-3</v>
      </c>
      <c r="J6" s="23"/>
      <c r="K6" s="23"/>
      <c r="L6" s="23"/>
      <c r="M6" s="23"/>
      <c r="N6" s="96"/>
      <c r="O6" s="23"/>
      <c r="P6" s="23"/>
      <c r="Q6" s="23"/>
      <c r="R6" s="124"/>
      <c r="S6" s="124" t="str">
        <f>IF(Tabla4[[#This Row],[FECHA DE ACEPTACION DEL GRUP. INV.]]="","",DATE(YEAR(Tabla4[[#This Row],[FECHA DE ACEPTACION DEL GRUP. INV.]])+2,MONTH(Tabla4[[#This Row],[FECHA DE ACEPTACION DEL GRUP. INV.]]),DAY(Tabla4[[#This Row],[FECHA DE ACEPTACION DEL GRUP. INV.]])))</f>
        <v/>
      </c>
      <c r="T6" s="124" t="str">
        <f ca="1">IF(Tabla4[[#This Row],[FECHA DE ACEPTACION DEL GRUP. INV.]]="","",IF(Tabla4[[#This Row],[FECHA DE VENCIMIENTO ANTE PROYECTO]]&lt;TODAY(),"SÍ","NO"))</f>
        <v/>
      </c>
      <c r="U6" s="124"/>
      <c r="V6" s="124"/>
      <c r="W6" s="18"/>
      <c r="X6" s="18"/>
      <c r="Y6" s="96"/>
      <c r="Z6" s="97"/>
      <c r="AA6" s="96">
        <v>44153</v>
      </c>
      <c r="AB6" s="97">
        <v>84.11</v>
      </c>
      <c r="AC6" s="98" t="s">
        <v>79</v>
      </c>
      <c r="AD6" s="18"/>
      <c r="AE6" s="124"/>
      <c r="AF6" s="124"/>
      <c r="AG6" s="171"/>
      <c r="AH6" s="171"/>
      <c r="AI6" s="171"/>
      <c r="AJ6" s="170" t="str">
        <f>IFERROR(VLOOKUP(AI6,Listas!K:L,2,0),"")</f>
        <v/>
      </c>
      <c r="AK6" s="21" t="str">
        <f>IFERROR(VLOOKUP(AJ6,Listas!L:M,2,0),"")</f>
        <v/>
      </c>
      <c r="AL6" s="96"/>
      <c r="AM6" s="23"/>
      <c r="AN6" s="96"/>
      <c r="AO6" s="23"/>
      <c r="AP6" s="96"/>
      <c r="AQ6" s="96"/>
      <c r="AR6" s="21"/>
      <c r="AS6" s="21"/>
      <c r="AT6" s="23"/>
      <c r="AU6" s="23"/>
      <c r="AV6" s="96"/>
      <c r="AW6" s="96"/>
      <c r="AX6" s="21"/>
      <c r="AY6" s="21"/>
      <c r="AZ6" s="23"/>
      <c r="BA6" s="96"/>
      <c r="BB6" s="18" t="str">
        <f>IFERROR(ROUND(AVERAGE(AY6,AX6,AS6,AR6),0),"")</f>
        <v/>
      </c>
      <c r="BC6" s="232" t="e">
        <f t="shared" si="0"/>
        <v>#VALUE!</v>
      </c>
      <c r="BD6" s="185" t="e">
        <f t="shared" si="1"/>
        <v>#VALUE!</v>
      </c>
      <c r="BE6" s="124"/>
      <c r="BF6" s="23"/>
      <c r="BG6" s="293" t="str">
        <f t="shared" si="2"/>
        <v/>
      </c>
    </row>
    <row r="7" spans="1:59" ht="90" hidden="1">
      <c r="A7" s="21">
        <v>20121195003</v>
      </c>
      <c r="B7" s="19" t="str">
        <f>VLOOKUP(A7,'Datos Personales'!A:M,2,FALSE)</f>
        <v>AVILA SANCHEZ JAIME ANTONIO</v>
      </c>
      <c r="C7" s="19">
        <f>VLOOKUP(A7,'ESTADOS ESTUDIANTES'!B:L,11,0)</f>
        <v>7174732</v>
      </c>
      <c r="D7" s="19">
        <f>VLOOKUP(A7,'Datos Personales'!$A:$M,3,FALSE)</f>
        <v>195</v>
      </c>
      <c r="E7" s="19" t="str">
        <f>VLOOKUP(Tabla4[[#This Row],[ENFASIS]],Listas!$R$2:$S$8,2,0)</f>
        <v>EN TELEINF.</v>
      </c>
      <c r="F7" s="19" t="str">
        <f>VLOOKUP(A7,'Datos Personales'!A:M,8,0)</f>
        <v>jaaavilas@udistrital.edu.co</v>
      </c>
      <c r="G7" s="19" t="str">
        <f>VLOOKUP(A7,'Datos Personales'!A:M,9,0)</f>
        <v>jaimejaas@gmail.com</v>
      </c>
      <c r="H7" s="19" t="str">
        <f>VLOOKUP(A7,'Datos Personales'!A:M,5,FALSE)</f>
        <v>E</v>
      </c>
      <c r="I7" s="19" t="str">
        <f>VLOOKUP(Tabla4[[#This Row],[CODIGO]],'ESTADOS ESTUDIANTES'!B:M,12,0)</f>
        <v>2023-1</v>
      </c>
      <c r="J7" s="23"/>
      <c r="K7" s="18" t="s">
        <v>230</v>
      </c>
      <c r="L7" s="18" t="s">
        <v>220</v>
      </c>
      <c r="M7" s="18" t="s">
        <v>231</v>
      </c>
      <c r="N7" s="96"/>
      <c r="O7" s="19">
        <v>2020</v>
      </c>
      <c r="P7" s="18" t="s">
        <v>143</v>
      </c>
      <c r="Q7" s="18" t="s">
        <v>232</v>
      </c>
      <c r="R7" s="124">
        <v>44021</v>
      </c>
      <c r="S7" s="124">
        <f>IF(Tabla4[[#This Row],[FECHA DE ACEPTACION DEL GRUP. INV.]]="","",DATE(YEAR(Tabla4[[#This Row],[FECHA DE ACEPTACION DEL GRUP. INV.]])+2,MONTH(Tabla4[[#This Row],[FECHA DE ACEPTACION DEL GRUP. INV.]]),DAY(Tabla4[[#This Row],[FECHA DE ACEPTACION DEL GRUP. INV.]])))</f>
        <v>44751</v>
      </c>
      <c r="T7" s="124" t="str">
        <f ca="1">IF(Tabla4[[#This Row],[FECHA DE ACEPTACION DEL GRUP. INV.]]="","",IF(Tabla4[[#This Row],[FECHA DE VENCIMIENTO ANTE PROYECTO]]&lt;TODAY(),"SÍ","NO"))</f>
        <v>SÍ</v>
      </c>
      <c r="U7" s="124"/>
      <c r="V7" s="124"/>
      <c r="W7" s="18" t="s">
        <v>233</v>
      </c>
      <c r="X7" s="18"/>
      <c r="Y7" s="96"/>
      <c r="Z7" s="97"/>
      <c r="AA7" s="96">
        <v>44873</v>
      </c>
      <c r="AB7" s="97">
        <v>88</v>
      </c>
      <c r="AC7" s="110" t="s">
        <v>79</v>
      </c>
      <c r="AD7" s="18" t="s">
        <v>234</v>
      </c>
      <c r="AE7" s="124">
        <v>44993</v>
      </c>
      <c r="AF7" s="169" t="s">
        <v>235</v>
      </c>
      <c r="AG7" s="169" t="s">
        <v>236</v>
      </c>
      <c r="AH7" s="169">
        <v>2022</v>
      </c>
      <c r="AI7" s="169" t="s">
        <v>99</v>
      </c>
      <c r="AJ7" s="170">
        <f>IFERROR(VLOOKUP(AI7,Listas!K:L,2,0),"")</f>
        <v>0.2</v>
      </c>
      <c r="AK7" s="21">
        <f>IFERROR(VLOOKUP(AJ7,Listas!L:M,2,0),"")</f>
        <v>10</v>
      </c>
      <c r="AL7" s="96">
        <v>44867</v>
      </c>
      <c r="AM7" s="18" t="s">
        <v>237</v>
      </c>
      <c r="AN7" s="96">
        <v>44867</v>
      </c>
      <c r="AO7" s="18" t="s">
        <v>238</v>
      </c>
      <c r="AP7" s="96">
        <v>44869</v>
      </c>
      <c r="AQ7" s="96">
        <v>44909</v>
      </c>
      <c r="AR7" s="182">
        <v>41</v>
      </c>
      <c r="AS7" s="182">
        <v>44</v>
      </c>
      <c r="AT7" s="23" t="s">
        <v>41</v>
      </c>
      <c r="AU7" s="18" t="s">
        <v>239</v>
      </c>
      <c r="AV7" s="96">
        <v>44869</v>
      </c>
      <c r="AW7" s="96">
        <v>44909</v>
      </c>
      <c r="AX7" s="182">
        <v>40</v>
      </c>
      <c r="AY7" s="182">
        <v>40</v>
      </c>
      <c r="AZ7" s="23" t="s">
        <v>41</v>
      </c>
      <c r="BA7" s="96">
        <v>44907</v>
      </c>
      <c r="BB7" s="185">
        <f>IFERROR(AVERAGE(AR7,AS7,AX7,AY7),"")</f>
        <v>41.25</v>
      </c>
      <c r="BC7" s="232">
        <f t="shared" si="0"/>
        <v>33</v>
      </c>
      <c r="BD7" s="185">
        <f t="shared" si="1"/>
        <v>43</v>
      </c>
      <c r="BE7" s="124" t="s">
        <v>240</v>
      </c>
      <c r="BF7" s="23" t="s">
        <v>240</v>
      </c>
      <c r="BG7" s="255" t="str">
        <f t="shared" si="2"/>
        <v/>
      </c>
    </row>
    <row r="8" spans="1:59" ht="15" hidden="1">
      <c r="A8" s="21">
        <v>20121195016</v>
      </c>
      <c r="B8" s="19" t="str">
        <f>VLOOKUP(A8,'Datos Personales'!A:M,2,FALSE)</f>
        <v>BECERRA FINO JOSE YASIS</v>
      </c>
      <c r="C8" s="19">
        <f>VLOOKUP(A8,'ESTADOS ESTUDIANTES'!B:L,11,0)</f>
        <v>79483121</v>
      </c>
      <c r="D8" s="19">
        <f>VLOOKUP(A8,'Datos Personales'!$A:$M,3,FALSE)</f>
        <v>195</v>
      </c>
      <c r="E8" s="19" t="str">
        <f>VLOOKUP(Tabla4[[#This Row],[ENFASIS]],Listas!$R$2:$S$8,2,0)</f>
        <v>EN TELEINF.</v>
      </c>
      <c r="F8" s="19" t="str">
        <f>VLOOKUP(A8,'Datos Personales'!A:M,8,0)</f>
        <v>jybecerraf@correo.udistrital.edu.co</v>
      </c>
      <c r="G8" s="19" t="str">
        <f>VLOOKUP(A8,'Datos Personales'!A:M,9,0)</f>
        <v>jybecerra@gmail.com</v>
      </c>
      <c r="H8" s="19" t="str">
        <f>VLOOKUP(A8,'Datos Personales'!A:M,5,FALSE)</f>
        <v>X</v>
      </c>
      <c r="I8" s="19" t="str">
        <f>VLOOKUP(Tabla4[[#This Row],[CODIGO]],'ESTADOS ESTUDIANTES'!B:M,12,0)</f>
        <v>2013-3</v>
      </c>
      <c r="J8" s="23"/>
      <c r="K8" s="23"/>
      <c r="L8" s="23"/>
      <c r="M8" s="23"/>
      <c r="N8" s="96"/>
      <c r="O8" s="23"/>
      <c r="P8" s="23"/>
      <c r="Q8" s="23"/>
      <c r="R8" s="124"/>
      <c r="S8" s="124" t="str">
        <f>IF(Tabla4[[#This Row],[FECHA DE ACEPTACION DEL GRUP. INV.]]="","",DATE(YEAR(Tabla4[[#This Row],[FECHA DE ACEPTACION DEL GRUP. INV.]])+2,MONTH(Tabla4[[#This Row],[FECHA DE ACEPTACION DEL GRUP. INV.]]),DAY(Tabla4[[#This Row],[FECHA DE ACEPTACION DEL GRUP. INV.]])))</f>
        <v/>
      </c>
      <c r="T8" s="124" t="str">
        <f ca="1">IF(Tabla4[[#This Row],[FECHA DE ACEPTACION DEL GRUP. INV.]]="","",IF(Tabla4[[#This Row],[FECHA DE VENCIMIENTO ANTE PROYECTO]]&lt;TODAY(),"SÍ","NO"))</f>
        <v/>
      </c>
      <c r="U8" s="124"/>
      <c r="V8" s="124"/>
      <c r="W8" s="124"/>
      <c r="X8" s="124"/>
      <c r="Y8" s="96"/>
      <c r="Z8" s="97"/>
      <c r="AA8" s="96">
        <v>43964</v>
      </c>
      <c r="AB8" s="97">
        <v>92.17</v>
      </c>
      <c r="AC8" s="98" t="s">
        <v>79</v>
      </c>
      <c r="AD8" s="18"/>
      <c r="AE8" s="124"/>
      <c r="AF8" s="124"/>
      <c r="AG8" s="171"/>
      <c r="AH8" s="171"/>
      <c r="AI8" s="171"/>
      <c r="AJ8" s="170" t="str">
        <f>IFERROR(VLOOKUP(AI8,Listas!K:L,2,0),"")</f>
        <v/>
      </c>
      <c r="AK8" s="21" t="str">
        <f>IFERROR(VLOOKUP(AJ8,Listas!L:M,2,0),"")</f>
        <v/>
      </c>
      <c r="AL8" s="96"/>
      <c r="AM8" s="23"/>
      <c r="AN8" s="96"/>
      <c r="AO8" s="23"/>
      <c r="AP8" s="96"/>
      <c r="AQ8" s="96"/>
      <c r="AR8" s="21"/>
      <c r="AS8" s="21"/>
      <c r="AT8" s="23"/>
      <c r="AU8" s="23"/>
      <c r="AV8" s="96"/>
      <c r="AW8" s="96"/>
      <c r="AX8" s="21"/>
      <c r="AY8" s="21"/>
      <c r="AZ8" s="23"/>
      <c r="BA8" s="96"/>
      <c r="BB8" s="18" t="str">
        <f>IFERROR(ROUND(AVERAGE(AY8,AX8,AS8,AR8),0),"")</f>
        <v/>
      </c>
      <c r="BC8" s="232" t="e">
        <f t="shared" si="0"/>
        <v>#VALUE!</v>
      </c>
      <c r="BD8" s="185" t="e">
        <f t="shared" si="1"/>
        <v>#VALUE!</v>
      </c>
      <c r="BE8" s="23"/>
      <c r="BF8" s="23"/>
      <c r="BG8" s="293" t="str">
        <f t="shared" si="2"/>
        <v/>
      </c>
    </row>
    <row r="9" spans="1:59" ht="15" hidden="1">
      <c r="A9" s="21">
        <v>20121395015</v>
      </c>
      <c r="B9" s="19" t="str">
        <f>VLOOKUP(A9,'Datos Personales'!A:M,2,FALSE)</f>
        <v>RODRIGUEZ SABOGAL EDWIN MAURICIO</v>
      </c>
      <c r="C9" s="19">
        <f>VLOOKUP(A9,'ESTADOS ESTUDIANTES'!B:L,11,0)</f>
        <v>79764993</v>
      </c>
      <c r="D9" s="19">
        <f>VLOOKUP(A9,'Datos Personales'!$A:$M,3,FALSE)</f>
        <v>395</v>
      </c>
      <c r="E9" s="19" t="str">
        <f>VLOOKUP(Tabla4[[#This Row],[ENFASIS]],Listas!$R$2:$S$8,2,0)</f>
        <v>ENFASIS EN GEOMATICA</v>
      </c>
      <c r="F9" s="19">
        <f>VLOOKUP(A9,'Datos Personales'!A:M,8,0)</f>
        <v>0</v>
      </c>
      <c r="G9" s="19" t="str">
        <f>VLOOKUP(A9,'Datos Personales'!A:M,9,0)</f>
        <v>emauriciors@gmail.com</v>
      </c>
      <c r="H9" s="19" t="str">
        <f>VLOOKUP(A9,'Datos Personales'!A:M,5,FALSE)</f>
        <v>X</v>
      </c>
      <c r="I9" s="19" t="str">
        <f>VLOOKUP(Tabla4[[#This Row],[CODIGO]],'ESTADOS ESTUDIANTES'!B:M,12,0)</f>
        <v>2021-1</v>
      </c>
      <c r="J9" s="23"/>
      <c r="K9" s="23"/>
      <c r="L9" s="23"/>
      <c r="M9" s="23"/>
      <c r="N9" s="96"/>
      <c r="O9" s="23"/>
      <c r="P9" s="23"/>
      <c r="Q9" s="23"/>
      <c r="R9" s="124"/>
      <c r="S9" s="124" t="str">
        <f>IF(Tabla4[[#This Row],[FECHA DE ACEPTACION DEL GRUP. INV.]]="","",DATE(YEAR(Tabla4[[#This Row],[FECHA DE ACEPTACION DEL GRUP. INV.]])+2,MONTH(Tabla4[[#This Row],[FECHA DE ACEPTACION DEL GRUP. INV.]]),DAY(Tabla4[[#This Row],[FECHA DE ACEPTACION DEL GRUP. INV.]])))</f>
        <v/>
      </c>
      <c r="T9" s="124" t="str">
        <f ca="1">IF(Tabla4[[#This Row],[FECHA DE ACEPTACION DEL GRUP. INV.]]="","",IF(Tabla4[[#This Row],[FECHA DE VENCIMIENTO ANTE PROYECTO]]&lt;TODAY(),"SÍ","NO"))</f>
        <v/>
      </c>
      <c r="U9" s="124"/>
      <c r="V9" s="124"/>
      <c r="W9" s="18"/>
      <c r="X9" s="18"/>
      <c r="Y9" s="96"/>
      <c r="Z9" s="97"/>
      <c r="AA9" s="96">
        <v>44097</v>
      </c>
      <c r="AB9" s="97">
        <v>92.52</v>
      </c>
      <c r="AC9" s="98" t="s">
        <v>79</v>
      </c>
      <c r="AD9" s="18"/>
      <c r="AE9" s="124"/>
      <c r="AF9" s="124"/>
      <c r="AG9" s="171"/>
      <c r="AH9" s="171"/>
      <c r="AI9" s="171"/>
      <c r="AJ9" s="170" t="str">
        <f>IFERROR(VLOOKUP(AI9,Listas!K:L,2,0),"")</f>
        <v/>
      </c>
      <c r="AK9" s="21" t="str">
        <f>IFERROR(VLOOKUP(AJ9,Listas!L:M,2,0),"")</f>
        <v/>
      </c>
      <c r="AL9" s="96"/>
      <c r="AM9" s="23"/>
      <c r="AN9" s="96"/>
      <c r="AO9" s="23"/>
      <c r="AP9" s="96"/>
      <c r="AQ9" s="96"/>
      <c r="AR9" s="21"/>
      <c r="AS9" s="21"/>
      <c r="AT9" s="23"/>
      <c r="AU9" s="23"/>
      <c r="AV9" s="96"/>
      <c r="AW9" s="96"/>
      <c r="AX9" s="21"/>
      <c r="AY9" s="21"/>
      <c r="AZ9" s="23"/>
      <c r="BA9" s="96"/>
      <c r="BB9" s="18" t="str">
        <f>IFERROR(ROUND(AVERAGE(AY9,AX9,AS9,AR9),0),"")</f>
        <v/>
      </c>
      <c r="BC9" s="232" t="e">
        <f t="shared" si="0"/>
        <v>#VALUE!</v>
      </c>
      <c r="BD9" s="185" t="e">
        <f t="shared" si="1"/>
        <v>#VALUE!</v>
      </c>
      <c r="BE9" s="23"/>
      <c r="BF9" s="23"/>
      <c r="BG9" s="255" t="str">
        <f t="shared" si="2"/>
        <v/>
      </c>
    </row>
    <row r="10" spans="1:59" ht="15" hidden="1">
      <c r="A10" s="21">
        <v>20141295003</v>
      </c>
      <c r="B10" s="19" t="str">
        <f>VLOOKUP(A10,'Datos Personales'!A:M,2,FALSE)</f>
        <v>DIAZ ESCUDERO HUMBERTO ANDRES</v>
      </c>
      <c r="C10" s="19">
        <f>VLOOKUP(A10,'ESTADOS ESTUDIANTES'!B:L,11,0)</f>
        <v>10323622759</v>
      </c>
      <c r="D10" s="19">
        <f>VLOOKUP(A10,'Datos Personales'!$A:$M,3,FALSE)</f>
        <v>295</v>
      </c>
      <c r="E10" s="19" t="str">
        <f>VLOOKUP(Tabla4[[#This Row],[ENFASIS]],Listas!$R$2:$S$8,2,0)</f>
        <v>ENFASIS EN SIS. INFOR</v>
      </c>
      <c r="F10" s="19" t="str">
        <f>VLOOKUP(A10,'Datos Personales'!A:M,8,0)</f>
        <v>huadiaze@correo.udistrital.edu.co</v>
      </c>
      <c r="G10" s="19" t="str">
        <f>VLOOKUP(A10,'Datos Personales'!A:M,9,0)</f>
        <v>humbertodiaz2@gmail.com</v>
      </c>
      <c r="H10" s="19" t="str">
        <f>VLOOKUP(A10,'Datos Personales'!A:M,5,FALSE)</f>
        <v>X</v>
      </c>
      <c r="I10" s="19" t="str">
        <f>VLOOKUP(Tabla4[[#This Row],[CODIGO]],'ESTADOS ESTUDIANTES'!B:M,12,0)</f>
        <v>2021-1</v>
      </c>
      <c r="J10" s="23"/>
      <c r="K10" s="23"/>
      <c r="L10" s="23"/>
      <c r="M10" s="23"/>
      <c r="N10" s="96"/>
      <c r="O10" s="23"/>
      <c r="P10" s="23"/>
      <c r="Q10" s="23"/>
      <c r="R10" s="124"/>
      <c r="S10" s="124" t="str">
        <f>IF(Tabla4[[#This Row],[FECHA DE ACEPTACION DEL GRUP. INV.]]="","",DATE(YEAR(Tabla4[[#This Row],[FECHA DE ACEPTACION DEL GRUP. INV.]])+2,MONTH(Tabla4[[#This Row],[FECHA DE ACEPTACION DEL GRUP. INV.]]),DAY(Tabla4[[#This Row],[FECHA DE ACEPTACION DEL GRUP. INV.]])))</f>
        <v/>
      </c>
      <c r="T10" s="124" t="str">
        <f ca="1">IF(Tabla4[[#This Row],[FECHA DE ACEPTACION DEL GRUP. INV.]]="","",IF(Tabla4[[#This Row],[FECHA DE VENCIMIENTO ANTE PROYECTO]]&lt;TODAY(),"SÍ","NO"))</f>
        <v/>
      </c>
      <c r="U10" s="124"/>
      <c r="V10" s="124"/>
      <c r="W10" s="18"/>
      <c r="X10" s="18"/>
      <c r="Y10" s="96"/>
      <c r="Z10" s="97"/>
      <c r="AA10" s="96"/>
      <c r="AB10" s="97"/>
      <c r="AC10" s="110"/>
      <c r="AD10" s="18"/>
      <c r="AE10" s="124"/>
      <c r="AF10" s="124"/>
      <c r="AG10" s="169"/>
      <c r="AH10" s="169"/>
      <c r="AI10" s="169"/>
      <c r="AJ10" s="170" t="str">
        <f>IFERROR(VLOOKUP(AI10,Listas!K:L,2,0),"")</f>
        <v/>
      </c>
      <c r="AK10" s="21" t="str">
        <f>IFERROR(VLOOKUP(AJ10,Listas!L:M,2,0),"")</f>
        <v/>
      </c>
      <c r="AL10" s="96"/>
      <c r="AM10" s="23"/>
      <c r="AN10" s="96"/>
      <c r="AO10" s="23"/>
      <c r="AP10" s="96"/>
      <c r="AQ10" s="96"/>
      <c r="AR10" s="21"/>
      <c r="AS10" s="21"/>
      <c r="AT10" s="23"/>
      <c r="AU10" s="23"/>
      <c r="AV10" s="96"/>
      <c r="AW10" s="96"/>
      <c r="AX10" s="21"/>
      <c r="AY10" s="21"/>
      <c r="AZ10" s="23"/>
      <c r="BA10" s="96"/>
      <c r="BB10" s="18" t="str">
        <f>IFERROR(ROUND(AVERAGE(AY10,AX10,AS10,AR10),0),"")</f>
        <v/>
      </c>
      <c r="BC10" s="232" t="e">
        <f t="shared" si="0"/>
        <v>#VALUE!</v>
      </c>
      <c r="BD10" s="185" t="e">
        <f t="shared" si="1"/>
        <v>#VALUE!</v>
      </c>
      <c r="BE10" s="23"/>
      <c r="BF10" s="23"/>
      <c r="BG10" s="293" t="str">
        <f t="shared" si="2"/>
        <v/>
      </c>
    </row>
    <row r="11" spans="1:59" s="339" customFormat="1" ht="30" hidden="1">
      <c r="A11" s="21">
        <v>20141395002</v>
      </c>
      <c r="B11" s="19" t="str">
        <f>VLOOKUP(A11,'Datos Personales'!A:M,2,FALSE)</f>
        <v>GONZALEZ RODRIGUEZ ADRIAN ALEJANDRO</v>
      </c>
      <c r="C11" s="19">
        <f>VLOOKUP(A11,'ESTADOS ESTUDIANTES'!B:L,11,0)</f>
        <v>1013607129</v>
      </c>
      <c r="D11" s="19">
        <f>VLOOKUP(A11,'Datos Personales'!$A:$M,3,FALSE)</f>
        <v>395</v>
      </c>
      <c r="E11" s="19" t="str">
        <f>VLOOKUP(Tabla4[[#This Row],[ENFASIS]],Listas!$R$2:$S$8,2,0)</f>
        <v>ENFASIS EN GEOMATICA</v>
      </c>
      <c r="F11" s="19" t="str">
        <f>VLOOKUP(A11,'Datos Personales'!A:M,8,0)</f>
        <v>adagonzalezr@correo.udistrital.edu.co</v>
      </c>
      <c r="G11" s="19" t="str">
        <f>VLOOKUP(A11,'Datos Personales'!A:M,9,0)</f>
        <v>gerencia@geomap.com.co</v>
      </c>
      <c r="H11" s="19" t="str">
        <f>VLOOKUP(A11,'Datos Personales'!A:M,5,FALSE)</f>
        <v>X</v>
      </c>
      <c r="I11" s="19" t="str">
        <f>VLOOKUP(Tabla4[[#This Row],[CODIGO]],'ESTADOS ESTUDIANTES'!B:M,12,0)</f>
        <v>2021-3</v>
      </c>
      <c r="J11" s="23"/>
      <c r="K11" s="23"/>
      <c r="L11" s="23"/>
      <c r="M11" s="23"/>
      <c r="N11" s="96"/>
      <c r="O11" s="23"/>
      <c r="P11" s="23"/>
      <c r="Q11" s="23"/>
      <c r="R11" s="124"/>
      <c r="S11" s="124" t="str">
        <f>IF(Tabla4[[#This Row],[FECHA DE ACEPTACION DEL GRUP. INV.]]="","",DATE(YEAR(Tabla4[[#This Row],[FECHA DE ACEPTACION DEL GRUP. INV.]])+2,MONTH(Tabla4[[#This Row],[FECHA DE ACEPTACION DEL GRUP. INV.]]),DAY(Tabla4[[#This Row],[FECHA DE ACEPTACION DEL GRUP. INV.]])))</f>
        <v/>
      </c>
      <c r="T11" s="124" t="str">
        <f ca="1">IF(Tabla4[[#This Row],[FECHA DE ACEPTACION DEL GRUP. INV.]]="","",IF(Tabla4[[#This Row],[FECHA DE VENCIMIENTO ANTE PROYECTO]]&lt;TODAY(),"SÍ","NO"))</f>
        <v/>
      </c>
      <c r="U11" s="124"/>
      <c r="V11" s="124"/>
      <c r="W11" s="18"/>
      <c r="X11" s="18"/>
      <c r="Y11" s="96"/>
      <c r="Z11" s="97"/>
      <c r="AA11" s="96"/>
      <c r="AB11" s="97"/>
      <c r="AC11" s="110"/>
      <c r="AD11" s="18"/>
      <c r="AE11" s="124"/>
      <c r="AF11" s="124"/>
      <c r="AG11" s="169"/>
      <c r="AH11" s="169"/>
      <c r="AI11" s="169"/>
      <c r="AJ11" s="170" t="str">
        <f>IFERROR(VLOOKUP(AI11,Listas!K:L,2,0),"")</f>
        <v/>
      </c>
      <c r="AK11" s="21" t="str">
        <f>IFERROR(VLOOKUP(AJ11,Listas!L:M,2,0),"")</f>
        <v/>
      </c>
      <c r="AL11" s="96"/>
      <c r="AM11" s="23"/>
      <c r="AN11" s="96"/>
      <c r="AO11" s="23"/>
      <c r="AP11" s="96"/>
      <c r="AQ11" s="96"/>
      <c r="AR11" s="21"/>
      <c r="AS11" s="21"/>
      <c r="AT11" s="23"/>
      <c r="AU11" s="23"/>
      <c r="AV11" s="96"/>
      <c r="AW11" s="96"/>
      <c r="AX11" s="21"/>
      <c r="AY11" s="21"/>
      <c r="AZ11" s="23"/>
      <c r="BA11" s="96"/>
      <c r="BB11" s="18" t="str">
        <f>IFERROR(ROUND(AVERAGE(AY11,AX11,AS11,AR11),0),"")</f>
        <v/>
      </c>
      <c r="BC11" s="232" t="e">
        <f t="shared" si="0"/>
        <v>#VALUE!</v>
      </c>
      <c r="BD11" s="185" t="e">
        <f t="shared" si="1"/>
        <v>#VALUE!</v>
      </c>
      <c r="BE11" s="23"/>
      <c r="BF11" s="23"/>
      <c r="BG11" s="255" t="str">
        <f t="shared" si="2"/>
        <v/>
      </c>
    </row>
    <row r="12" spans="1:59" ht="60" hidden="1">
      <c r="A12" s="187">
        <v>20142295002</v>
      </c>
      <c r="B12" s="188" t="str">
        <f>VLOOKUP(A12,'Datos Personales'!A:M,2,FALSE)</f>
        <v>CRISTIAN JHONATAN IZQUIERDO ORTIZ</v>
      </c>
      <c r="C12" s="188">
        <f>VLOOKUP(A12,'ESTADOS ESTUDIANTES'!B:L,11,0)</f>
        <v>1032379203</v>
      </c>
      <c r="D12" s="188">
        <f>VLOOKUP(A12,'Datos Personales'!$A:$M,3,FALSE)</f>
        <v>295</v>
      </c>
      <c r="E12" s="188" t="str">
        <f>VLOOKUP(Tabla4[[#This Row],[ENFASIS]],Listas!$R$2:$S$8,2,0)</f>
        <v>ENFASIS EN SIS. INFOR</v>
      </c>
      <c r="F12" s="188" t="str">
        <f>VLOOKUP(A12,'Datos Personales'!A:M,8,0)</f>
        <v>cjizquierdoo@udistrital.edu.co</v>
      </c>
      <c r="G12" s="188" t="str">
        <f>VLOOKUP(A12,'Datos Personales'!A:M,9,0)</f>
        <v>izquierdo.cristhian@gmail.com</v>
      </c>
      <c r="H12" s="188" t="str">
        <f>VLOOKUP(A12,'Datos Personales'!A:M,5,FALSE)</f>
        <v>E</v>
      </c>
      <c r="I12" s="188" t="str">
        <f>VLOOKUP(Tabla4[[#This Row],[CODIGO]],'ESTADOS ESTUDIANTES'!B:M,12,0)</f>
        <v>2024-1</v>
      </c>
      <c r="J12" s="169" t="s">
        <v>60</v>
      </c>
      <c r="K12" s="171" t="s">
        <v>241</v>
      </c>
      <c r="L12" s="171" t="s">
        <v>242</v>
      </c>
      <c r="M12" s="169"/>
      <c r="N12" s="189">
        <v>44824</v>
      </c>
      <c r="O12" s="169">
        <v>2022</v>
      </c>
      <c r="P12" s="169" t="s">
        <v>162</v>
      </c>
      <c r="Q12" s="171" t="s">
        <v>242</v>
      </c>
      <c r="R12" s="190" t="s">
        <v>243</v>
      </c>
      <c r="S12" s="190" t="e">
        <f>IF(Tabla4[[#This Row],[FECHA DE ACEPTACION DEL GRUP. INV.]]="","",DATE(YEAR(Tabla4[[#This Row],[FECHA DE ACEPTACION DEL GRUP. INV.]])+2,MONTH(Tabla4[[#This Row],[FECHA DE ACEPTACION DEL GRUP. INV.]]),DAY(Tabla4[[#This Row],[FECHA DE ACEPTACION DEL GRUP. INV.]])))</f>
        <v>#VALUE!</v>
      </c>
      <c r="T12" s="190" t="e">
        <f ca="1">IF(Tabla4[[#This Row],[FECHA DE ACEPTACION DEL GRUP. INV.]]="","",IF(Tabla4[[#This Row],[FECHA DE VENCIMIENTO ANTE PROYECTO]]&lt;TODAY(),"SÍ","NO"))</f>
        <v>#VALUE!</v>
      </c>
      <c r="U12" s="190"/>
      <c r="V12" s="190"/>
      <c r="W12" s="171"/>
      <c r="X12" s="171"/>
      <c r="Y12" s="189"/>
      <c r="Z12" s="191"/>
      <c r="AA12" s="189">
        <v>44887</v>
      </c>
      <c r="AB12" s="191">
        <v>167</v>
      </c>
      <c r="AC12" s="110" t="s">
        <v>68</v>
      </c>
      <c r="AD12" s="171" t="s">
        <v>244</v>
      </c>
      <c r="AE12" s="190">
        <v>45191</v>
      </c>
      <c r="AF12" s="190" t="s">
        <v>245</v>
      </c>
      <c r="AG12" s="169" t="s">
        <v>246</v>
      </c>
      <c r="AH12" s="169">
        <v>2023</v>
      </c>
      <c r="AI12" s="169" t="s">
        <v>99</v>
      </c>
      <c r="AJ12" s="170">
        <f>IFERROR(VLOOKUP(AI12,Listas!K:L,2,0),"")</f>
        <v>0.2</v>
      </c>
      <c r="AK12" s="21">
        <f>IFERROR(VLOOKUP(AJ12,Listas!L:M,2,0),"")</f>
        <v>10</v>
      </c>
      <c r="AL12" s="189"/>
      <c r="AM12" s="169"/>
      <c r="AN12" s="189"/>
      <c r="AO12" s="169" t="s">
        <v>247</v>
      </c>
      <c r="AP12" s="189"/>
      <c r="AQ12" s="189">
        <v>45252</v>
      </c>
      <c r="AR12" s="187">
        <v>42</v>
      </c>
      <c r="AS12" s="187">
        <v>41</v>
      </c>
      <c r="AT12" s="169" t="s">
        <v>41</v>
      </c>
      <c r="AU12" s="169" t="s">
        <v>248</v>
      </c>
      <c r="AV12" s="189"/>
      <c r="AW12" s="189">
        <v>45253</v>
      </c>
      <c r="AX12" s="187">
        <v>41</v>
      </c>
      <c r="AY12" s="187">
        <v>42</v>
      </c>
      <c r="AZ12" s="169" t="s">
        <v>41</v>
      </c>
      <c r="BA12" s="189">
        <v>45233</v>
      </c>
      <c r="BB12" s="232">
        <f>IFERROR(AVERAGE(AR12,AS12,AX12,AY12),"")</f>
        <v>41.5</v>
      </c>
      <c r="BC12" s="232">
        <f t="shared" si="0"/>
        <v>33.200000000000003</v>
      </c>
      <c r="BD12" s="232">
        <f t="shared" si="1"/>
        <v>43.2</v>
      </c>
      <c r="BE12" s="169"/>
      <c r="BF12" s="169"/>
      <c r="BG12" s="234" t="str">
        <f t="shared" si="2"/>
        <v/>
      </c>
    </row>
    <row r="13" spans="1:59" ht="105" hidden="1">
      <c r="A13" s="142">
        <v>20142395005</v>
      </c>
      <c r="B13" s="19" t="str">
        <f>VLOOKUP(A13,'Datos Personales'!A:M,2,FALSE)</f>
        <v>JESSICA ANDREA ZAPATA GRAJALES</v>
      </c>
      <c r="C13" s="19">
        <f>VLOOKUP(A13,'ESTADOS ESTUDIANTES'!B:L,11,0)</f>
        <v>1026269883</v>
      </c>
      <c r="D13" s="19">
        <f>VLOOKUP(A13,'Datos Personales'!$A:$M,3,FALSE)</f>
        <v>395</v>
      </c>
      <c r="E13" s="19" t="str">
        <f>VLOOKUP(Tabla4[[#This Row],[ENFASIS]],Listas!$R$2:$S$8,2,0)</f>
        <v>ENFASIS EN GEOMATICA</v>
      </c>
      <c r="F13" s="19" t="str">
        <f>VLOOKUP(A13,'Datos Personales'!A:M,8,0)</f>
        <v>azapatag@correo.udistrital.edu.co</v>
      </c>
      <c r="G13" s="19" t="str">
        <f>VLOOKUP(A13,'Datos Personales'!A:M,9,0)</f>
        <v>jessiandre71@gmail.com</v>
      </c>
      <c r="H13" s="19" t="str">
        <f>VLOOKUP(A13,'Datos Personales'!A:M,5,FALSE)</f>
        <v>E</v>
      </c>
      <c r="I13" s="19" t="str">
        <f>VLOOKUP(Tabla4[[#This Row],[CODIGO]],'ESTADOS ESTUDIANTES'!B:M,12,0)</f>
        <v>2022-3</v>
      </c>
      <c r="J13" s="144" t="s">
        <v>60</v>
      </c>
      <c r="K13" s="144" t="s">
        <v>249</v>
      </c>
      <c r="L13" s="144" t="s">
        <v>250</v>
      </c>
      <c r="M13" s="147"/>
      <c r="N13" s="145">
        <v>43054</v>
      </c>
      <c r="O13" s="147"/>
      <c r="P13" s="147"/>
      <c r="Q13" s="144" t="s">
        <v>251</v>
      </c>
      <c r="R13" s="150">
        <v>43182</v>
      </c>
      <c r="S13" s="150">
        <f>IF(Tabla4[[#This Row],[FECHA DE ACEPTACION DEL GRUP. INV.]]="","",DATE(YEAR(Tabla4[[#This Row],[FECHA DE ACEPTACION DEL GRUP. INV.]])+2,MONTH(Tabla4[[#This Row],[FECHA DE ACEPTACION DEL GRUP. INV.]]),DAY(Tabla4[[#This Row],[FECHA DE ACEPTACION DEL GRUP. INV.]])))</f>
        <v>43913</v>
      </c>
      <c r="T13" s="150" t="str">
        <f ca="1">IF(Tabla4[[#This Row],[FECHA DE ACEPTACION DEL GRUP. INV.]]="","",IF(Tabla4[[#This Row],[FECHA DE VENCIMIENTO ANTE PROYECTO]]&lt;TODAY(),"SÍ","NO"))</f>
        <v>SÍ</v>
      </c>
      <c r="U13" s="150"/>
      <c r="V13" s="150"/>
      <c r="W13" s="144"/>
      <c r="X13" s="144"/>
      <c r="Y13" s="145">
        <v>43964</v>
      </c>
      <c r="Z13" s="146">
        <v>51.3</v>
      </c>
      <c r="AA13" s="145">
        <v>44097</v>
      </c>
      <c r="AB13" s="146">
        <v>89.72</v>
      </c>
      <c r="AC13" s="98" t="s">
        <v>79</v>
      </c>
      <c r="AD13" s="144" t="s">
        <v>227</v>
      </c>
      <c r="AE13" s="150">
        <v>44692</v>
      </c>
      <c r="AF13" s="150"/>
      <c r="AG13" s="171"/>
      <c r="AH13" s="171"/>
      <c r="AI13" s="171"/>
      <c r="AJ13" s="170" t="str">
        <f>IFERROR(VLOOKUP(AI13,Listas!K:L,2,0),"")</f>
        <v/>
      </c>
      <c r="AK13" s="21" t="str">
        <f>IFERROR(VLOOKUP(AJ13,Listas!L:M,2,0),"")</f>
        <v/>
      </c>
      <c r="AL13" s="145">
        <v>43983</v>
      </c>
      <c r="AM13" s="147"/>
      <c r="AN13" s="145"/>
      <c r="AO13" s="144" t="s">
        <v>252</v>
      </c>
      <c r="AP13" s="145">
        <v>44140</v>
      </c>
      <c r="AQ13" s="145">
        <v>44166</v>
      </c>
      <c r="AR13" s="142">
        <v>50</v>
      </c>
      <c r="AS13" s="142">
        <v>50</v>
      </c>
      <c r="AT13" s="144" t="s">
        <v>55</v>
      </c>
      <c r="AU13" s="144" t="s">
        <v>253</v>
      </c>
      <c r="AV13" s="145">
        <v>43991</v>
      </c>
      <c r="AW13" s="145">
        <v>44033</v>
      </c>
      <c r="AX13" s="142">
        <v>50</v>
      </c>
      <c r="AY13" s="142">
        <v>50</v>
      </c>
      <c r="AZ13" s="144" t="s">
        <v>55</v>
      </c>
      <c r="BA13" s="145">
        <v>44180</v>
      </c>
      <c r="BB13" s="142">
        <f>IFERROR(ROUND(AVERAGE(AY13,AX13,AS13,AR13),0),"")</f>
        <v>50</v>
      </c>
      <c r="BC13" s="232" t="e">
        <f t="shared" si="0"/>
        <v>#VALUE!</v>
      </c>
      <c r="BD13" s="185" t="e">
        <f t="shared" si="1"/>
        <v>#VALUE!</v>
      </c>
      <c r="BE13" s="144" t="s">
        <v>48</v>
      </c>
      <c r="BF13" s="147"/>
      <c r="BG13" s="293" t="str">
        <f t="shared" si="2"/>
        <v/>
      </c>
    </row>
    <row r="14" spans="1:59" ht="90" hidden="1">
      <c r="A14" s="187">
        <v>20152495005</v>
      </c>
      <c r="B14" s="19" t="str">
        <f>VLOOKUP(A14,'Datos Personales'!A:M,2,FALSE)</f>
        <v>DAZA ESPITIA CARLOS ANDRES</v>
      </c>
      <c r="C14" s="19">
        <f>VLOOKUP(A14,'ESTADOS ESTUDIANTES'!B:L,11,0)</f>
        <v>1033698113</v>
      </c>
      <c r="D14" s="19">
        <f>VLOOKUP(A14,'Datos Personales'!$A:$M,3,FALSE)</f>
        <v>495</v>
      </c>
      <c r="E14" s="19" t="str">
        <f>VLOOKUP(Tabla4[[#This Row],[ENFASIS]],Listas!$R$2:$S$8,2,0)</f>
        <v>ENFASIS EN ING. SOFT</v>
      </c>
      <c r="F14" s="19" t="str">
        <f>VLOOKUP(A14,'Datos Personales'!A:M,8,0)</f>
        <v>cadazae@udistrital.edu.co</v>
      </c>
      <c r="G14" s="19" t="str">
        <f>VLOOKUP(A14,'Datos Personales'!A:M,9,0)</f>
        <v>cdaza1@outlook.com</v>
      </c>
      <c r="H14" s="19" t="str">
        <f>VLOOKUP(A14,'Datos Personales'!A:M,5,FALSE)</f>
        <v>X</v>
      </c>
      <c r="I14" s="19" t="str">
        <f>VLOOKUP(Tabla4[[#This Row],[CODIGO]],'ESTADOS ESTUDIANTES'!B:M,12,0)</f>
        <v>2023-1</v>
      </c>
      <c r="J14" s="18" t="s">
        <v>60</v>
      </c>
      <c r="K14" s="18" t="s">
        <v>254</v>
      </c>
      <c r="L14" s="18" t="s">
        <v>255</v>
      </c>
      <c r="M14" s="23"/>
      <c r="N14" s="96">
        <v>43809</v>
      </c>
      <c r="O14" s="19">
        <v>2019</v>
      </c>
      <c r="P14" s="18" t="s">
        <v>256</v>
      </c>
      <c r="Q14" s="18" t="s">
        <v>257</v>
      </c>
      <c r="R14" s="124">
        <v>44312</v>
      </c>
      <c r="S14" s="124">
        <f>IF(Tabla4[[#This Row],[FECHA DE ACEPTACION DEL GRUP. INV.]]="","",DATE(YEAR(Tabla4[[#This Row],[FECHA DE ACEPTACION DEL GRUP. INV.]])+2,MONTH(Tabla4[[#This Row],[FECHA DE ACEPTACION DEL GRUP. INV.]]),DAY(Tabla4[[#This Row],[FECHA DE ACEPTACION DEL GRUP. INV.]])))</f>
        <v>45042</v>
      </c>
      <c r="T14" s="124" t="str">
        <f ca="1">IF(Tabla4[[#This Row],[FECHA DE ACEPTACION DEL GRUP. INV.]]="","",IF(Tabla4[[#This Row],[FECHA DE VENCIMIENTO ANTE PROYECTO]]&lt;TODAY(),"SÍ","NO"))</f>
        <v>SÍ</v>
      </c>
      <c r="U14" s="124"/>
      <c r="V14" s="124"/>
      <c r="W14" s="18" t="s">
        <v>258</v>
      </c>
      <c r="X14" s="18"/>
      <c r="Y14" s="96"/>
      <c r="Z14" s="97"/>
      <c r="AA14" s="96">
        <v>44802</v>
      </c>
      <c r="AB14" s="97">
        <v>137</v>
      </c>
      <c r="AC14" s="98" t="s">
        <v>79</v>
      </c>
      <c r="AD14" s="18"/>
      <c r="AE14" s="124"/>
      <c r="AF14" s="124"/>
      <c r="AG14" s="171"/>
      <c r="AH14" s="171"/>
      <c r="AI14" s="171"/>
      <c r="AJ14" s="170" t="str">
        <f>IFERROR(VLOOKUP(AI14,Listas!K:L,2,0),"")</f>
        <v/>
      </c>
      <c r="AK14" s="21" t="str">
        <f>IFERROR(VLOOKUP(AJ14,Listas!L:M,2,0),"")</f>
        <v/>
      </c>
      <c r="AL14" s="96"/>
      <c r="AM14" s="177"/>
      <c r="AN14" s="96"/>
      <c r="AO14" s="183"/>
      <c r="AP14" s="96"/>
      <c r="AQ14" s="96"/>
      <c r="AR14" s="21"/>
      <c r="AS14" s="21"/>
      <c r="AT14" s="23"/>
      <c r="AV14" s="96"/>
      <c r="AW14" s="96"/>
      <c r="AX14" s="21"/>
      <c r="AY14" s="21"/>
      <c r="AZ14" s="23"/>
      <c r="BA14" s="96"/>
      <c r="BB14" s="185" t="str">
        <f>IFERROR(AVERAGE(AR14,AS14,AX14,AY14),"")</f>
        <v/>
      </c>
      <c r="BC14" s="232" t="e">
        <f t="shared" si="0"/>
        <v>#VALUE!</v>
      </c>
      <c r="BD14" s="185" t="e">
        <f t="shared" si="1"/>
        <v>#VALUE!</v>
      </c>
      <c r="BE14" s="23"/>
      <c r="BF14" s="23"/>
      <c r="BG14" s="293" t="str">
        <f t="shared" si="2"/>
        <v/>
      </c>
    </row>
    <row r="15" spans="1:59" s="339" customFormat="1" ht="30" hidden="1">
      <c r="A15" s="21">
        <v>20161195004</v>
      </c>
      <c r="B15" s="19" t="str">
        <f>VLOOKUP(A15,'Datos Personales'!A:M,2,FALSE)</f>
        <v>CORTES FONSECA DAVID RICAUTE</v>
      </c>
      <c r="C15" s="19">
        <f>VLOOKUP(A15,'ESTADOS ESTUDIANTES'!B:L,11,0)</f>
        <v>1022953913</v>
      </c>
      <c r="D15" s="19">
        <f>VLOOKUP(A15,'Datos Personales'!$A:$M,3,FALSE)</f>
        <v>195</v>
      </c>
      <c r="E15" s="19" t="str">
        <f>VLOOKUP(Tabla4[[#This Row],[ENFASIS]],Listas!$R$2:$S$8,2,0)</f>
        <v>EN TELEINF.</v>
      </c>
      <c r="F15" s="19" t="str">
        <f>VLOOKUP(A15,'Datos Personales'!A:M,8,0)</f>
        <v>drcortesf@udistrital.edu.co</v>
      </c>
      <c r="G15" s="19" t="str">
        <f>VLOOKUP(A15,'Datos Personales'!A:M,9,0)</f>
        <v>davidcortesfonseca@gmail.com</v>
      </c>
      <c r="H15" s="19" t="str">
        <f>VLOOKUP(A15,'Datos Personales'!A:M,5,FALSE)</f>
        <v>X</v>
      </c>
      <c r="I15" s="19" t="str">
        <f>VLOOKUP(Tabla4[[#This Row],[CODIGO]],'ESTADOS ESTUDIANTES'!B:M,12,0)</f>
        <v>2022-1</v>
      </c>
      <c r="J15" s="18" t="s">
        <v>60</v>
      </c>
      <c r="K15" s="18" t="s">
        <v>259</v>
      </c>
      <c r="L15" s="18" t="s">
        <v>260</v>
      </c>
      <c r="M15" s="18" t="s">
        <v>261</v>
      </c>
      <c r="N15" s="96">
        <v>43717</v>
      </c>
      <c r="O15" s="19">
        <v>2019</v>
      </c>
      <c r="P15" s="18" t="s">
        <v>262</v>
      </c>
      <c r="Q15" s="18" t="s">
        <v>260</v>
      </c>
      <c r="R15" s="124">
        <v>43717</v>
      </c>
      <c r="S15" s="124">
        <f>IF(Tabla4[[#This Row],[FECHA DE ACEPTACION DEL GRUP. INV.]]="","",DATE(YEAR(Tabla4[[#This Row],[FECHA DE ACEPTACION DEL GRUP. INV.]])+2,MONTH(Tabla4[[#This Row],[FECHA DE ACEPTACION DEL GRUP. INV.]]),DAY(Tabla4[[#This Row],[FECHA DE ACEPTACION DEL GRUP. INV.]])))</f>
        <v>44448</v>
      </c>
      <c r="T15" s="124" t="str">
        <f ca="1">IF(Tabla4[[#This Row],[FECHA DE ACEPTACION DEL GRUP. INV.]]="","",IF(Tabla4[[#This Row],[FECHA DE VENCIMIENTO ANTE PROYECTO]]&lt;TODAY(),"SÍ","NO"))</f>
        <v>SÍ</v>
      </c>
      <c r="U15" s="124"/>
      <c r="V15" s="124"/>
      <c r="W15" s="18" t="s">
        <v>263</v>
      </c>
      <c r="X15" s="18"/>
      <c r="Y15" s="96"/>
      <c r="Z15" s="97"/>
      <c r="AA15" s="96">
        <v>44097</v>
      </c>
      <c r="AB15" s="97">
        <v>92.52</v>
      </c>
      <c r="AC15" s="98" t="s">
        <v>79</v>
      </c>
      <c r="AD15" s="18"/>
      <c r="AE15" s="124"/>
      <c r="AF15" s="124"/>
      <c r="AG15" s="171"/>
      <c r="AH15" s="171"/>
      <c r="AI15" s="171"/>
      <c r="AJ15" s="170" t="str">
        <f>IFERROR(VLOOKUP(AI15,Listas!K:L,2,0),"")</f>
        <v/>
      </c>
      <c r="AK15" s="21" t="str">
        <f>IFERROR(VLOOKUP(AJ15,Listas!L:M,2,0),"")</f>
        <v/>
      </c>
      <c r="AL15" s="96"/>
      <c r="AM15" s="23"/>
      <c r="AN15" s="96"/>
      <c r="AO15" s="23"/>
      <c r="AP15" s="96"/>
      <c r="AQ15" s="96"/>
      <c r="AR15" s="21"/>
      <c r="AS15" s="21"/>
      <c r="AT15" s="23"/>
      <c r="AU15" s="23"/>
      <c r="AV15" s="96"/>
      <c r="AW15" s="96"/>
      <c r="AX15" s="21"/>
      <c r="AY15" s="21"/>
      <c r="AZ15" s="23"/>
      <c r="BA15" s="96"/>
      <c r="BB15" s="18" t="str">
        <f>IFERROR(ROUND(AVERAGE(AY15,AX15,AS15,AR15),0),"")</f>
        <v/>
      </c>
      <c r="BC15" s="232" t="e">
        <f t="shared" si="0"/>
        <v>#VALUE!</v>
      </c>
      <c r="BD15" s="185" t="e">
        <f t="shared" si="1"/>
        <v>#VALUE!</v>
      </c>
      <c r="BE15" s="23"/>
      <c r="BF15" s="23"/>
      <c r="BG15" s="255" t="str">
        <f t="shared" si="2"/>
        <v/>
      </c>
    </row>
    <row r="16" spans="1:59" ht="45" hidden="1">
      <c r="A16" s="158">
        <v>20161395002</v>
      </c>
      <c r="B16" s="19" t="str">
        <f>VLOOKUP(A16,'Datos Personales'!A:M,2,FALSE)</f>
        <v>CABIATIVA SANCHEZ OSCAR ABRAHAM</v>
      </c>
      <c r="C16" s="19">
        <f>VLOOKUP(A16,'ESTADOS ESTUDIANTES'!B:L,11,0)</f>
        <v>1019040864</v>
      </c>
      <c r="D16" s="19">
        <f>VLOOKUP(A16,'Datos Personales'!$A:$M,3,FALSE)</f>
        <v>395</v>
      </c>
      <c r="E16" s="19" t="str">
        <f>VLOOKUP(Tabla4[[#This Row],[ENFASIS]],Listas!$R$2:$S$8,2,0)</f>
        <v>ENFASIS EN GEOMATICA</v>
      </c>
      <c r="F16" s="19" t="str">
        <f>VLOOKUP(A16,'Datos Personales'!A:M,8,0)</f>
        <v>oacabiativas@udistrital.edu.co</v>
      </c>
      <c r="G16" s="19" t="str">
        <f>VLOOKUP(A16,'Datos Personales'!A:M,9,0)</f>
        <v>cabiato90@gmail.com</v>
      </c>
      <c r="H16" s="19" t="str">
        <f>VLOOKUP(A16,'Datos Personales'!A:M,5,FALSE)</f>
        <v>E</v>
      </c>
      <c r="I16" s="19" t="str">
        <f>VLOOKUP(Tabla4[[#This Row],[CODIGO]],'ESTADOS ESTUDIANTES'!B:M,12,0)</f>
        <v>2023-1</v>
      </c>
      <c r="J16" s="18" t="s">
        <v>60</v>
      </c>
      <c r="K16" s="18" t="s">
        <v>264</v>
      </c>
      <c r="L16" s="18" t="s">
        <v>265</v>
      </c>
      <c r="M16" s="172"/>
      <c r="N16" s="86"/>
      <c r="O16" s="261"/>
      <c r="P16" s="261"/>
      <c r="Q16" s="87"/>
      <c r="R16" s="174"/>
      <c r="S16" s="174" t="str">
        <f>IF(Tabla4[[#This Row],[FECHA DE ACEPTACION DEL GRUP. INV.]]="","",DATE(YEAR(Tabla4[[#This Row],[FECHA DE ACEPTACION DEL GRUP. INV.]])+2,MONTH(Tabla4[[#This Row],[FECHA DE ACEPTACION DEL GRUP. INV.]]),DAY(Tabla4[[#This Row],[FECHA DE ACEPTACION DEL GRUP. INV.]])))</f>
        <v/>
      </c>
      <c r="T16" s="174" t="str">
        <f ca="1">IF(Tabla4[[#This Row],[FECHA DE ACEPTACION DEL GRUP. INV.]]="","",IF(Tabla4[[#This Row],[FECHA DE VENCIMIENTO ANTE PROYECTO]]&lt;TODAY(),"SÍ","NO"))</f>
        <v/>
      </c>
      <c r="U16" s="174"/>
      <c r="V16" s="174"/>
      <c r="W16" s="175"/>
      <c r="X16" s="175"/>
      <c r="Y16" s="86"/>
      <c r="Z16" s="160"/>
      <c r="AA16" s="86"/>
      <c r="AB16" s="160"/>
      <c r="AC16" s="263"/>
      <c r="AD16" s="87" t="s">
        <v>266</v>
      </c>
      <c r="AE16" s="173">
        <v>44979</v>
      </c>
      <c r="AF16" s="173" t="s">
        <v>267</v>
      </c>
      <c r="AI16" s="262"/>
      <c r="AJ16" s="170" t="str">
        <f>IFERROR(VLOOKUP(AI16,Listas!K:L,2,0),"")</f>
        <v/>
      </c>
      <c r="AK16" s="21" t="str">
        <f>IFERROR(VLOOKUP(AJ16,Listas!L:M,2,0),"")</f>
        <v/>
      </c>
      <c r="AL16" s="86"/>
      <c r="AM16" s="172"/>
      <c r="AN16" s="86"/>
      <c r="AO16" s="18"/>
      <c r="AP16" s="86"/>
      <c r="AQ16" s="86"/>
      <c r="AR16" s="158"/>
      <c r="AS16" s="158"/>
      <c r="AU16" s="18"/>
      <c r="AV16" s="86"/>
      <c r="AW16" s="86"/>
      <c r="AX16" s="158"/>
      <c r="AY16" s="158"/>
      <c r="BA16" s="86"/>
      <c r="BB16" s="185" t="str">
        <f>IFERROR(AVERAGE(AR16,AS16,AX16,AY16),"")</f>
        <v/>
      </c>
      <c r="BC16" s="232" t="e">
        <f t="shared" si="0"/>
        <v>#VALUE!</v>
      </c>
      <c r="BD16" s="185" t="e">
        <f t="shared" si="1"/>
        <v>#VALUE!</v>
      </c>
      <c r="BE16" s="172"/>
      <c r="BF16" s="172"/>
      <c r="BG16" s="269" t="s">
        <v>268</v>
      </c>
    </row>
    <row r="17" spans="1:59" s="339" customFormat="1" ht="75" hidden="1">
      <c r="A17" s="21">
        <v>20161395005</v>
      </c>
      <c r="B17" s="19" t="str">
        <f>VLOOKUP(A17,'Datos Personales'!A:M,2,FALSE)</f>
        <v>CUELLAR GUTIERREZ JULIO ARMANDO</v>
      </c>
      <c r="C17" s="19">
        <f>VLOOKUP(A17,'ESTADOS ESTUDIANTES'!B:L,11,0)</f>
        <v>1032423220</v>
      </c>
      <c r="D17" s="19">
        <f>VLOOKUP(A17,'Datos Personales'!$A:$M,3,FALSE)</f>
        <v>395</v>
      </c>
      <c r="E17" s="19" t="str">
        <f>VLOOKUP(Tabla4[[#This Row],[ENFASIS]],Listas!$R$2:$S$8,2,0)</f>
        <v>ENFASIS EN GEOMATICA</v>
      </c>
      <c r="F17" s="19" t="str">
        <f>VLOOKUP(A17,'Datos Personales'!A:M,8,0)</f>
        <v>jacuellarg@correo.udistrital.edu.co</v>
      </c>
      <c r="G17" s="19" t="str">
        <f>VLOOKUP(A17,'Datos Personales'!A:M,9,0)</f>
        <v>ingjuliocuellar@gmail.com</v>
      </c>
      <c r="H17" s="19" t="str">
        <f>VLOOKUP(A17,'Datos Personales'!A:M,5,FALSE)</f>
        <v>E</v>
      </c>
      <c r="I17" s="19" t="str">
        <f>VLOOKUP(Tabla4[[#This Row],[CODIGO]],'ESTADOS ESTUDIANTES'!B:M,12,0)</f>
        <v>2021-1</v>
      </c>
      <c r="J17" s="18" t="s">
        <v>60</v>
      </c>
      <c r="K17" s="18" t="s">
        <v>269</v>
      </c>
      <c r="L17" s="18" t="s">
        <v>270</v>
      </c>
      <c r="M17" s="23"/>
      <c r="N17" s="96">
        <v>44012</v>
      </c>
      <c r="O17" s="19">
        <v>2020</v>
      </c>
      <c r="P17" s="18" t="s">
        <v>83</v>
      </c>
      <c r="Q17" s="18" t="s">
        <v>270</v>
      </c>
      <c r="R17" s="124">
        <v>44012</v>
      </c>
      <c r="S17" s="124">
        <f>IF(Tabla4[[#This Row],[FECHA DE ACEPTACION DEL GRUP. INV.]]="","",DATE(YEAR(Tabla4[[#This Row],[FECHA DE ACEPTACION DEL GRUP. INV.]])+2,MONTH(Tabla4[[#This Row],[FECHA DE ACEPTACION DEL GRUP. INV.]]),DAY(Tabla4[[#This Row],[FECHA DE ACEPTACION DEL GRUP. INV.]])))</f>
        <v>44742</v>
      </c>
      <c r="T17" s="124" t="str">
        <f ca="1">IF(Tabla4[[#This Row],[FECHA DE ACEPTACION DEL GRUP. INV.]]="","",IF(Tabla4[[#This Row],[FECHA DE VENCIMIENTO ANTE PROYECTO]]&lt;TODAY(),"SÍ","NO"))</f>
        <v>SÍ</v>
      </c>
      <c r="U17" s="124"/>
      <c r="V17" s="124"/>
      <c r="W17" s="18" t="s">
        <v>233</v>
      </c>
      <c r="X17" s="18"/>
      <c r="Y17" s="96"/>
      <c r="Z17" s="97"/>
      <c r="AA17" s="96">
        <v>43888</v>
      </c>
      <c r="AB17" s="97">
        <v>73.040000000000006</v>
      </c>
      <c r="AC17" s="98" t="s">
        <v>79</v>
      </c>
      <c r="AD17" s="18"/>
      <c r="AE17" s="124"/>
      <c r="AF17" s="124"/>
      <c r="AG17" s="171"/>
      <c r="AH17" s="171"/>
      <c r="AI17" s="171"/>
      <c r="AJ17" s="170" t="str">
        <f>IFERROR(VLOOKUP(AI17,Listas!K:L,2,0),"")</f>
        <v/>
      </c>
      <c r="AK17" s="21" t="str">
        <f>IFERROR(VLOOKUP(AJ17,Listas!L:M,2,0),"")</f>
        <v/>
      </c>
      <c r="AL17" s="96">
        <v>44347</v>
      </c>
      <c r="AM17" s="178">
        <v>44348</v>
      </c>
      <c r="AN17" s="96">
        <v>44348</v>
      </c>
      <c r="AO17" s="18" t="s">
        <v>271</v>
      </c>
      <c r="AP17" s="96">
        <v>44348</v>
      </c>
      <c r="AQ17" s="96">
        <v>44371</v>
      </c>
      <c r="AR17" s="21">
        <v>50</v>
      </c>
      <c r="AS17" s="21">
        <v>50</v>
      </c>
      <c r="AT17" s="18" t="s">
        <v>41</v>
      </c>
      <c r="AU17" s="18" t="s">
        <v>272</v>
      </c>
      <c r="AV17" s="96">
        <v>44348</v>
      </c>
      <c r="AW17" s="96">
        <v>44371</v>
      </c>
      <c r="AX17" s="21">
        <v>50</v>
      </c>
      <c r="AY17" s="21">
        <v>50</v>
      </c>
      <c r="AZ17" s="18" t="s">
        <v>41</v>
      </c>
      <c r="BA17" s="96">
        <v>44371</v>
      </c>
      <c r="BB17" s="21">
        <v>50</v>
      </c>
      <c r="BC17" s="232" t="e">
        <f t="shared" si="0"/>
        <v>#VALUE!</v>
      </c>
      <c r="BD17" s="185" t="e">
        <f t="shared" si="1"/>
        <v>#VALUE!</v>
      </c>
      <c r="BE17" s="124"/>
      <c r="BF17" s="18" t="s">
        <v>240</v>
      </c>
      <c r="BG17" s="293" t="str">
        <f t="shared" ref="BG17:BG33" si="3">IF(OR(H17="A",$H17="D",$H17="P",$H17="V"),L17,"")</f>
        <v/>
      </c>
    </row>
    <row r="18" spans="1:59" ht="60" hidden="1">
      <c r="A18" s="187">
        <v>20161495001</v>
      </c>
      <c r="B18" s="188" t="str">
        <f>VLOOKUP(A18,'Datos Personales'!A:M,2,FALSE)</f>
        <v>ARCOS MUÑOZ NOÉ</v>
      </c>
      <c r="C18" s="188">
        <f>VLOOKUP(A18,'ESTADOS ESTUDIANTES'!B:L,11,0)</f>
        <v>80747472</v>
      </c>
      <c r="D18" s="188">
        <f>VLOOKUP(A18,'Datos Personales'!$A:$M,3,FALSE)</f>
        <v>495</v>
      </c>
      <c r="E18" s="188" t="str">
        <f>VLOOKUP(Tabla4[[#This Row],[ENFASIS]],Listas!$R$2:$S$8,2,0)</f>
        <v>ENFASIS EN ING. SOFT</v>
      </c>
      <c r="F18" s="188" t="str">
        <f>VLOOKUP(A18,'Datos Personales'!A:M,8,0)</f>
        <v>narcosm@udistrital.edu.co</v>
      </c>
      <c r="G18" s="188" t="str">
        <f>VLOOKUP(A18,'Datos Personales'!A:M,9,0)</f>
        <v>narcosmunoz@gmail.com</v>
      </c>
      <c r="H18" s="188" t="str">
        <f>VLOOKUP(A18,'Datos Personales'!A:M,5,FALSE)</f>
        <v>E</v>
      </c>
      <c r="I18" s="188" t="str">
        <f>VLOOKUP(Tabla4[[#This Row],[CODIGO]],'ESTADOS ESTUDIANTES'!B:M,12,0)</f>
        <v>2023-1</v>
      </c>
      <c r="J18" s="171" t="s">
        <v>60</v>
      </c>
      <c r="K18" s="171" t="s">
        <v>273</v>
      </c>
      <c r="L18" s="171" t="s">
        <v>265</v>
      </c>
      <c r="M18" s="171" t="s">
        <v>274</v>
      </c>
      <c r="N18" s="189">
        <v>44021</v>
      </c>
      <c r="O18" s="188">
        <v>2020</v>
      </c>
      <c r="P18" s="171" t="s">
        <v>275</v>
      </c>
      <c r="Q18" s="171" t="s">
        <v>276</v>
      </c>
      <c r="R18" s="190">
        <v>44078</v>
      </c>
      <c r="S18" s="190">
        <f>IF(Tabla4[[#This Row],[FECHA DE ACEPTACION DEL GRUP. INV.]]="","",DATE(YEAR(Tabla4[[#This Row],[FECHA DE ACEPTACION DEL GRUP. INV.]])+2,MONTH(Tabla4[[#This Row],[FECHA DE ACEPTACION DEL GRUP. INV.]]),DAY(Tabla4[[#This Row],[FECHA DE ACEPTACION DEL GRUP. INV.]])))</f>
        <v>44808</v>
      </c>
      <c r="T18" s="190" t="str">
        <f ca="1">IF(Tabla4[[#This Row],[FECHA DE ACEPTACION DEL GRUP. INV.]]="","",IF(Tabla4[[#This Row],[FECHA DE VENCIMIENTO ANTE PROYECTO]]&lt;TODAY(),"SÍ","NO"))</f>
        <v>SÍ</v>
      </c>
      <c r="U18" s="190"/>
      <c r="V18" s="190"/>
      <c r="W18" s="171" t="s">
        <v>277</v>
      </c>
      <c r="X18" s="171"/>
      <c r="Y18" s="189"/>
      <c r="Z18" s="191"/>
      <c r="AA18" s="189">
        <v>45059</v>
      </c>
      <c r="AB18" s="191">
        <v>95</v>
      </c>
      <c r="AC18" s="98" t="s">
        <v>79</v>
      </c>
      <c r="AD18" s="171" t="s">
        <v>278</v>
      </c>
      <c r="AE18" s="190">
        <v>44979</v>
      </c>
      <c r="AF18" s="192" t="s">
        <v>267</v>
      </c>
      <c r="AG18" s="171" t="s">
        <v>279</v>
      </c>
      <c r="AH18" s="171" t="s">
        <v>280</v>
      </c>
      <c r="AI18" s="169" t="s">
        <v>99</v>
      </c>
      <c r="AJ18" s="170">
        <f>IFERROR(VLOOKUP(AI18,Listas!K:L,2,0),"")</f>
        <v>0.2</v>
      </c>
      <c r="AK18" s="21">
        <f>IFERROR(VLOOKUP(AJ18,Listas!L:M,2,0),"")</f>
        <v>10</v>
      </c>
      <c r="AL18" s="189">
        <v>44897</v>
      </c>
      <c r="AM18" s="171" t="s">
        <v>278</v>
      </c>
      <c r="AN18" s="189">
        <v>44979</v>
      </c>
      <c r="AO18" s="169" t="s">
        <v>276</v>
      </c>
      <c r="AP18" s="189">
        <v>44980</v>
      </c>
      <c r="AQ18" s="189">
        <v>45012</v>
      </c>
      <c r="AR18" s="187">
        <v>45</v>
      </c>
      <c r="AS18" s="187">
        <v>45</v>
      </c>
      <c r="AT18" s="169" t="s">
        <v>41</v>
      </c>
      <c r="AU18" s="169" t="s">
        <v>281</v>
      </c>
      <c r="AV18" s="189">
        <v>44980</v>
      </c>
      <c r="AW18" s="189">
        <v>45001</v>
      </c>
      <c r="AX18" s="187">
        <v>36</v>
      </c>
      <c r="AY18" s="187">
        <v>45</v>
      </c>
      <c r="AZ18" s="169" t="s">
        <v>41</v>
      </c>
      <c r="BA18" s="189">
        <v>45001</v>
      </c>
      <c r="BB18" s="187">
        <f>IFERROR(AVERAGE(AR18,AS18,AX18,AY18),"")</f>
        <v>42.75</v>
      </c>
      <c r="BC18" s="232">
        <f t="shared" si="0"/>
        <v>34.200000000000003</v>
      </c>
      <c r="BD18" s="21">
        <f t="shared" si="1"/>
        <v>44.2</v>
      </c>
      <c r="BE18" s="190"/>
      <c r="BF18" s="169"/>
      <c r="BG18" s="234" t="str">
        <f t="shared" si="3"/>
        <v/>
      </c>
    </row>
    <row r="19" spans="1:59" ht="75" hidden="1">
      <c r="A19" s="21">
        <v>20161495003</v>
      </c>
      <c r="B19" s="19" t="str">
        <f>VLOOKUP(A19,'Datos Personales'!A:M,2,FALSE)</f>
        <v>CALDERÓN COY MILTON VICENTE</v>
      </c>
      <c r="C19" s="19">
        <f>VLOOKUP(A19,'ESTADOS ESTUDIANTES'!B:L,11,0)</f>
        <v>80730767</v>
      </c>
      <c r="D19" s="19">
        <f>VLOOKUP(A19,'Datos Personales'!$A:$M,3,FALSE)</f>
        <v>495</v>
      </c>
      <c r="E19" s="19" t="str">
        <f>VLOOKUP(Tabla4[[#This Row],[ENFASIS]],Listas!$R$2:$S$8,2,0)</f>
        <v>ENFASIS EN ING. SOFT</v>
      </c>
      <c r="F19" s="19" t="str">
        <f>VLOOKUP(A19,'Datos Personales'!A:M,8,0)</f>
        <v>mvcalderonc@correo.udistrital.edu.co</v>
      </c>
      <c r="G19" s="19" t="str">
        <f>VLOOKUP(A19,'Datos Personales'!A:M,9,0)</f>
        <v>miltonv.calderonc@gmail.com</v>
      </c>
      <c r="H19" s="19" t="str">
        <f>VLOOKUP(A19,'Datos Personales'!A:M,5,FALSE)</f>
        <v>E</v>
      </c>
      <c r="I19" s="19" t="str">
        <f>VLOOKUP(Tabla4[[#This Row],[CODIGO]],'ESTADOS ESTUDIANTES'!B:M,12,0)</f>
        <v>2021-3</v>
      </c>
      <c r="J19" s="18" t="s">
        <v>60</v>
      </c>
      <c r="K19" s="18" t="s">
        <v>282</v>
      </c>
      <c r="L19" s="18" t="s">
        <v>283</v>
      </c>
      <c r="M19" s="23"/>
      <c r="N19" s="96">
        <v>43936</v>
      </c>
      <c r="O19" s="19">
        <v>2020</v>
      </c>
      <c r="P19" s="18" t="s">
        <v>284</v>
      </c>
      <c r="Q19" s="18" t="s">
        <v>285</v>
      </c>
      <c r="R19" s="124">
        <v>43936</v>
      </c>
      <c r="S19" s="124">
        <f>IF(Tabla4[[#This Row],[FECHA DE ACEPTACION DEL GRUP. INV.]]="","",DATE(YEAR(Tabla4[[#This Row],[FECHA DE ACEPTACION DEL GRUP. INV.]])+2,MONTH(Tabla4[[#This Row],[FECHA DE ACEPTACION DEL GRUP. INV.]]),DAY(Tabla4[[#This Row],[FECHA DE ACEPTACION DEL GRUP. INV.]])))</f>
        <v>44666</v>
      </c>
      <c r="T19" s="124" t="str">
        <f ca="1">IF(Tabla4[[#This Row],[FECHA DE ACEPTACION DEL GRUP. INV.]]="","",IF(Tabla4[[#This Row],[FECHA DE VENCIMIENTO ANTE PROYECTO]]&lt;TODAY(),"SÍ","NO"))</f>
        <v>SÍ</v>
      </c>
      <c r="U19" s="124"/>
      <c r="V19" s="124"/>
      <c r="W19" s="18" t="s">
        <v>286</v>
      </c>
      <c r="X19" s="18"/>
      <c r="Y19" s="96"/>
      <c r="Z19" s="97"/>
      <c r="AA19" s="96">
        <v>43964</v>
      </c>
      <c r="AB19" s="97">
        <v>80.87</v>
      </c>
      <c r="AC19" s="98" t="s">
        <v>79</v>
      </c>
      <c r="AD19" s="18" t="s">
        <v>287</v>
      </c>
      <c r="AE19" s="124">
        <v>44425</v>
      </c>
      <c r="AF19" s="124"/>
      <c r="AG19" s="171"/>
      <c r="AH19" s="171"/>
      <c r="AI19" s="171" t="s">
        <v>58</v>
      </c>
      <c r="AJ19" s="170">
        <f>IFERROR(VLOOKUP(AI19,Listas!K:L,2,0),"")</f>
        <v>0.8</v>
      </c>
      <c r="AK19" s="21">
        <f>IFERROR(VLOOKUP(AJ19,Listas!L:M,2,0),"")</f>
        <v>40</v>
      </c>
      <c r="AL19" s="96">
        <v>44425</v>
      </c>
      <c r="AM19" s="18" t="s">
        <v>288</v>
      </c>
      <c r="AN19" s="96">
        <v>44426</v>
      </c>
      <c r="AO19" s="18" t="s">
        <v>289</v>
      </c>
      <c r="AP19" s="96">
        <v>44426</v>
      </c>
      <c r="AQ19" s="96">
        <v>44489</v>
      </c>
      <c r="AR19" s="21">
        <v>42</v>
      </c>
      <c r="AS19" s="21">
        <v>46</v>
      </c>
      <c r="AT19" s="18" t="s">
        <v>41</v>
      </c>
      <c r="AU19" s="18" t="s">
        <v>290</v>
      </c>
      <c r="AV19" s="96">
        <v>44426</v>
      </c>
      <c r="AW19" s="96">
        <v>44505</v>
      </c>
      <c r="AX19" s="21">
        <v>45</v>
      </c>
      <c r="AY19" s="21">
        <v>45</v>
      </c>
      <c r="AZ19" s="18" t="s">
        <v>41</v>
      </c>
      <c r="BA19" s="96">
        <v>44489</v>
      </c>
      <c r="BB19" s="21">
        <f>IFERROR(ROUND(AVERAGE(AY19,AX19,AS19,AR19),0),"")</f>
        <v>45</v>
      </c>
      <c r="BC19" s="232">
        <f t="shared" si="0"/>
        <v>8.9999999999999982</v>
      </c>
      <c r="BD19" s="185">
        <f t="shared" si="1"/>
        <v>49</v>
      </c>
      <c r="BE19" s="124"/>
      <c r="BF19" s="18" t="s">
        <v>240</v>
      </c>
      <c r="BG19" s="293" t="str">
        <f t="shared" si="3"/>
        <v/>
      </c>
    </row>
    <row r="20" spans="1:59" s="339" customFormat="1" ht="75" hidden="1">
      <c r="A20" s="187">
        <v>20161495009</v>
      </c>
      <c r="B20" s="188" t="str">
        <f>VLOOKUP(A20,'Datos Personales'!A:M,2,FALSE)</f>
        <v>GUERRERO CALDERÓN ÁRNOL</v>
      </c>
      <c r="C20" s="188">
        <f>VLOOKUP(A20,'ESTADOS ESTUDIANTES'!B:L,11,0)</f>
        <v>3217282</v>
      </c>
      <c r="D20" s="188">
        <f>VLOOKUP(A20,'Datos Personales'!$A:$M,3,FALSE)</f>
        <v>495</v>
      </c>
      <c r="E20" s="188" t="str">
        <f>VLOOKUP(Tabla4[[#This Row],[ENFASIS]],Listas!$R$2:$S$8,2,0)</f>
        <v>ENFASIS EN ING. SOFT</v>
      </c>
      <c r="F20" s="188" t="str">
        <f>VLOOKUP(A20,'Datos Personales'!A:M,8,0)</f>
        <v>arguerreroc@udistrital.edu.co</v>
      </c>
      <c r="G20" s="188" t="str">
        <f>VLOOKUP(A20,'Datos Personales'!A:M,9,0)</f>
        <v>arnolgc@gmail.com</v>
      </c>
      <c r="H20" s="188" t="str">
        <f>VLOOKUP(A20,'Datos Personales'!A:M,5,FALSE)</f>
        <v>E</v>
      </c>
      <c r="I20" s="188" t="str">
        <f>VLOOKUP(Tabla4[[#This Row],[CODIGO]],'ESTADOS ESTUDIANTES'!B:M,12,0)</f>
        <v>2024-1</v>
      </c>
      <c r="J20" s="171" t="s">
        <v>60</v>
      </c>
      <c r="K20" s="171" t="s">
        <v>291</v>
      </c>
      <c r="L20" s="171" t="s">
        <v>292</v>
      </c>
      <c r="M20" s="169"/>
      <c r="N20" s="189">
        <v>44092</v>
      </c>
      <c r="O20" s="188">
        <v>2020</v>
      </c>
      <c r="P20" s="171" t="s">
        <v>115</v>
      </c>
      <c r="Q20" s="171" t="s">
        <v>292</v>
      </c>
      <c r="R20" s="190">
        <v>44092</v>
      </c>
      <c r="S20" s="190">
        <f>IF(Tabla4[[#This Row],[FECHA DE ACEPTACION DEL GRUP. INV.]]="","",DATE(YEAR(Tabla4[[#This Row],[FECHA DE ACEPTACION DEL GRUP. INV.]])+2,MONTH(Tabla4[[#This Row],[FECHA DE ACEPTACION DEL GRUP. INV.]]),DAY(Tabla4[[#This Row],[FECHA DE ACEPTACION DEL GRUP. INV.]])))</f>
        <v>44822</v>
      </c>
      <c r="T20" s="190" t="str">
        <f ca="1">IF(Tabla4[[#This Row],[FECHA DE ACEPTACION DEL GRUP. INV.]]="","",IF(Tabla4[[#This Row],[FECHA DE VENCIMIENTO ANTE PROYECTO]]&lt;TODAY(),"SÍ","NO"))</f>
        <v>SÍ</v>
      </c>
      <c r="U20" s="190"/>
      <c r="V20" s="190"/>
      <c r="W20" s="171" t="s">
        <v>277</v>
      </c>
      <c r="X20" s="171"/>
      <c r="Y20" s="189"/>
      <c r="Z20" s="191"/>
      <c r="AA20" s="189">
        <v>44299</v>
      </c>
      <c r="AB20" s="191">
        <v>76.52</v>
      </c>
      <c r="AC20" s="98" t="s">
        <v>79</v>
      </c>
      <c r="AD20" s="171" t="s">
        <v>293</v>
      </c>
      <c r="AE20" s="190">
        <v>45161</v>
      </c>
      <c r="AF20" s="190" t="s">
        <v>294</v>
      </c>
      <c r="AG20" s="171" t="s">
        <v>295</v>
      </c>
      <c r="AH20" s="171" t="s">
        <v>296</v>
      </c>
      <c r="AI20" s="171" t="s">
        <v>99</v>
      </c>
      <c r="AJ20" s="170">
        <f>IFERROR(VLOOKUP(AI20,Listas!K:L,2,0),"")</f>
        <v>0.2</v>
      </c>
      <c r="AK20" s="21">
        <f>IFERROR(VLOOKUP(AJ20,Listas!L:M,2,0),"")</f>
        <v>10</v>
      </c>
      <c r="AL20" s="190">
        <v>45161</v>
      </c>
      <c r="AM20" s="171" t="s">
        <v>293</v>
      </c>
      <c r="AN20" s="189">
        <v>45161</v>
      </c>
      <c r="AO20" s="169" t="s">
        <v>297</v>
      </c>
      <c r="AP20" s="189">
        <v>45161</v>
      </c>
      <c r="AQ20" s="189">
        <v>45216</v>
      </c>
      <c r="AR20" s="187">
        <v>42</v>
      </c>
      <c r="AS20" s="187">
        <v>43</v>
      </c>
      <c r="AT20" s="169" t="s">
        <v>41</v>
      </c>
      <c r="AU20" s="169" t="s">
        <v>298</v>
      </c>
      <c r="AV20" s="189">
        <v>45161</v>
      </c>
      <c r="AW20" s="189">
        <v>45209</v>
      </c>
      <c r="AX20" s="187">
        <v>45</v>
      </c>
      <c r="AY20" s="187">
        <v>46</v>
      </c>
      <c r="AZ20" s="169" t="s">
        <v>41</v>
      </c>
      <c r="BA20" s="189">
        <v>45183</v>
      </c>
      <c r="BB20" s="232">
        <f>IFERROR(AVERAGE(AR20,AS20,AX20,AY20),"")</f>
        <v>44</v>
      </c>
      <c r="BC20" s="232">
        <f t="shared" si="0"/>
        <v>35.200000000000003</v>
      </c>
      <c r="BD20" s="232">
        <f t="shared" si="1"/>
        <v>45.2</v>
      </c>
      <c r="BE20" s="169"/>
      <c r="BF20" s="169"/>
      <c r="BG20" s="234" t="str">
        <f t="shared" si="3"/>
        <v/>
      </c>
    </row>
    <row r="21" spans="1:59" s="339" customFormat="1" ht="15" hidden="1">
      <c r="A21" s="21">
        <v>20161495013</v>
      </c>
      <c r="B21" s="19" t="str">
        <f>VLOOKUP(A21,'Datos Personales'!A:M,2,FALSE)</f>
        <v>MORA JIMÉNEZ JEANET</v>
      </c>
      <c r="C21" s="19">
        <f>VLOOKUP(A21,'ESTADOS ESTUDIANTES'!B:L,11,0)</f>
        <v>51882949</v>
      </c>
      <c r="D21" s="19">
        <f>VLOOKUP(A21,'Datos Personales'!$A:$M,3,FALSE)</f>
        <v>495</v>
      </c>
      <c r="E21" s="19" t="str">
        <f>VLOOKUP(Tabla4[[#This Row],[ENFASIS]],Listas!$R$2:$S$8,2,0)</f>
        <v>ENFASIS EN ING. SOFT</v>
      </c>
      <c r="F21" s="19">
        <f>VLOOKUP(A21,'Datos Personales'!A:M,8,0)</f>
        <v>0</v>
      </c>
      <c r="G21" s="19" t="str">
        <f>VLOOKUP(A21,'Datos Personales'!A:M,9,0)</f>
        <v>jeanetmj@gmail.com</v>
      </c>
      <c r="H21" s="19" t="str">
        <f>VLOOKUP(A21,'Datos Personales'!A:M,5,FALSE)</f>
        <v>X</v>
      </c>
      <c r="I21" s="19" t="str">
        <f>VLOOKUP(Tabla4[[#This Row],[CODIGO]],'ESTADOS ESTUDIANTES'!B:M,12,0)</f>
        <v>2021-1</v>
      </c>
      <c r="J21" s="18" t="s">
        <v>60</v>
      </c>
      <c r="K21" s="23"/>
      <c r="L21" s="23"/>
      <c r="M21" s="23"/>
      <c r="N21" s="96"/>
      <c r="O21" s="23"/>
      <c r="P21" s="23"/>
      <c r="Q21" s="23"/>
      <c r="R21" s="124"/>
      <c r="S21" s="124" t="str">
        <f>IF(Tabla4[[#This Row],[FECHA DE ACEPTACION DEL GRUP. INV.]]="","",DATE(YEAR(Tabla4[[#This Row],[FECHA DE ACEPTACION DEL GRUP. INV.]])+2,MONTH(Tabla4[[#This Row],[FECHA DE ACEPTACION DEL GRUP. INV.]]),DAY(Tabla4[[#This Row],[FECHA DE ACEPTACION DEL GRUP. INV.]])))</f>
        <v/>
      </c>
      <c r="T21" s="124" t="str">
        <f ca="1">IF(Tabla4[[#This Row],[FECHA DE ACEPTACION DEL GRUP. INV.]]="","",IF(Tabla4[[#This Row],[FECHA DE VENCIMIENTO ANTE PROYECTO]]&lt;TODAY(),"SÍ","NO"))</f>
        <v/>
      </c>
      <c r="U21" s="124"/>
      <c r="V21" s="124"/>
      <c r="W21" s="18"/>
      <c r="X21" s="18"/>
      <c r="Y21" s="96"/>
      <c r="Z21" s="97"/>
      <c r="AA21" s="96"/>
      <c r="AB21" s="97"/>
      <c r="AC21" s="110"/>
      <c r="AD21" s="18"/>
      <c r="AE21" s="124"/>
      <c r="AF21" s="124"/>
      <c r="AG21" s="169"/>
      <c r="AH21" s="169"/>
      <c r="AI21" s="169"/>
      <c r="AJ21" s="170" t="str">
        <f>IFERROR(VLOOKUP(AI21,Listas!K:L,2,0),"")</f>
        <v/>
      </c>
      <c r="AK21" s="21" t="str">
        <f>IFERROR(VLOOKUP(AJ21,Listas!L:M,2,0),"")</f>
        <v/>
      </c>
      <c r="AL21" s="96"/>
      <c r="AM21" s="23"/>
      <c r="AN21" s="96"/>
      <c r="AO21" s="23"/>
      <c r="AP21" s="96"/>
      <c r="AQ21" s="96"/>
      <c r="AR21" s="21"/>
      <c r="AS21" s="21"/>
      <c r="AT21" s="23"/>
      <c r="AU21" s="23"/>
      <c r="AV21" s="96"/>
      <c r="AW21" s="96"/>
      <c r="AX21" s="21"/>
      <c r="AY21" s="21"/>
      <c r="AZ21" s="23"/>
      <c r="BA21" s="96"/>
      <c r="BB21" s="18" t="str">
        <f>IFERROR(ROUND(AVERAGE(AY21,AX21,AS21,AR21),0),"")</f>
        <v/>
      </c>
      <c r="BC21" s="232" t="e">
        <f t="shared" si="0"/>
        <v>#VALUE!</v>
      </c>
      <c r="BD21" s="185" t="e">
        <f t="shared" si="1"/>
        <v>#VALUE!</v>
      </c>
      <c r="BE21" s="23"/>
      <c r="BF21" s="23"/>
      <c r="BG21" s="293" t="str">
        <f t="shared" si="3"/>
        <v/>
      </c>
    </row>
    <row r="22" spans="1:59" s="341" customFormat="1" ht="120" hidden="1">
      <c r="A22" s="158">
        <v>20161495016</v>
      </c>
      <c r="B22" s="19" t="str">
        <f>VLOOKUP(A22,'Datos Personales'!A:M,2,FALSE)</f>
        <v>PUPIALES ARÉVALO ANDRÉS</v>
      </c>
      <c r="C22" s="19">
        <f>VLOOKUP(A22,'ESTADOS ESTUDIANTES'!B:L,11,0)</f>
        <v>1018413339</v>
      </c>
      <c r="D22" s="19">
        <f>VLOOKUP(A22,'Datos Personales'!$A:$M,3,FALSE)</f>
        <v>495</v>
      </c>
      <c r="E22" s="19" t="str">
        <f>VLOOKUP(Tabla4[[#This Row],[ENFASIS]],Listas!$R$2:$S$8,2,0)</f>
        <v>ENFASIS EN ING. SOFT</v>
      </c>
      <c r="F22" s="19" t="str">
        <f>VLOOKUP(A22,'Datos Personales'!A:M,8,0)</f>
        <v>anpupialesa@udistrital.edu.co</v>
      </c>
      <c r="G22" s="19" t="str">
        <f>VLOOKUP(A22,'Datos Personales'!A:M,9,0)</f>
        <v>apupiales@gmail.com</v>
      </c>
      <c r="H22" s="19" t="str">
        <f>VLOOKUP(A22,'Datos Personales'!A:M,5,FALSE)</f>
        <v>E</v>
      </c>
      <c r="I22" s="19" t="str">
        <f>VLOOKUP(Tabla4[[#This Row],[CODIGO]],'ESTADOS ESTUDIANTES'!B:M,12,0)</f>
        <v>2023-1</v>
      </c>
      <c r="J22" s="18" t="s">
        <v>60</v>
      </c>
      <c r="K22" s="18"/>
      <c r="L22" s="18" t="s">
        <v>299</v>
      </c>
      <c r="M22" s="172"/>
      <c r="N22" s="86"/>
      <c r="O22" s="261"/>
      <c r="P22" s="261"/>
      <c r="Q22" s="87"/>
      <c r="R22" s="173"/>
      <c r="S22" s="173" t="str">
        <f>IF(Tabla4[[#This Row],[FECHA DE ACEPTACION DEL GRUP. INV.]]="","",DATE(YEAR(Tabla4[[#This Row],[FECHA DE ACEPTACION DEL GRUP. INV.]])+2,MONTH(Tabla4[[#This Row],[FECHA DE ACEPTACION DEL GRUP. INV.]]),DAY(Tabla4[[#This Row],[FECHA DE ACEPTACION DEL GRUP. INV.]])))</f>
        <v/>
      </c>
      <c r="T22" s="173" t="str">
        <f ca="1">IF(Tabla4[[#This Row],[FECHA DE ACEPTACION DEL GRUP. INV.]]="","",IF(Tabla4[[#This Row],[FECHA DE VENCIMIENTO ANTE PROYECTO]]&lt;TODAY(),"SÍ","NO"))</f>
        <v/>
      </c>
      <c r="U22" s="173"/>
      <c r="V22" s="173"/>
      <c r="W22" s="87"/>
      <c r="X22" s="87"/>
      <c r="Y22" s="86"/>
      <c r="Z22" s="160"/>
      <c r="AA22" s="86"/>
      <c r="AB22" s="160"/>
      <c r="AC22" s="263"/>
      <c r="AD22" s="87" t="s">
        <v>300</v>
      </c>
      <c r="AE22" s="173">
        <v>44867</v>
      </c>
      <c r="AF22" s="173" t="s">
        <v>301</v>
      </c>
      <c r="AG22" s="262"/>
      <c r="AH22" s="262"/>
      <c r="AI22" s="262"/>
      <c r="AJ22" s="170" t="str">
        <f>IFERROR(VLOOKUP(AI22,Listas!K:L,2,0),"")</f>
        <v/>
      </c>
      <c r="AK22" s="21" t="str">
        <f>IFERROR(VLOOKUP(AJ22,Listas!L:M,2,0),"")</f>
        <v/>
      </c>
      <c r="AL22" s="86"/>
      <c r="AM22" s="172"/>
      <c r="AN22" s="86"/>
      <c r="AO22" s="18" t="s">
        <v>302</v>
      </c>
      <c r="AP22" s="86"/>
      <c r="AQ22" s="86"/>
      <c r="AR22" s="158"/>
      <c r="AS22" s="158"/>
      <c r="AT22" s="261"/>
      <c r="AU22" s="18" t="s">
        <v>303</v>
      </c>
      <c r="AV22" s="86"/>
      <c r="AW22" s="86"/>
      <c r="AX22" s="158"/>
      <c r="AY22" s="158"/>
      <c r="AZ22" s="261"/>
      <c r="BA22" s="86"/>
      <c r="BB22" s="185" t="str">
        <f>IFERROR(AVERAGE(AR22,AS22,AX22,AY22),"")</f>
        <v/>
      </c>
      <c r="BC22" s="232" t="e">
        <f t="shared" si="0"/>
        <v>#VALUE!</v>
      </c>
      <c r="BD22" s="185" t="e">
        <f t="shared" si="1"/>
        <v>#VALUE!</v>
      </c>
      <c r="BE22" s="172" t="s">
        <v>240</v>
      </c>
      <c r="BF22" s="172"/>
      <c r="BG22" s="269" t="str">
        <f t="shared" si="3"/>
        <v/>
      </c>
    </row>
    <row r="23" spans="1:59" s="341" customFormat="1" ht="30" hidden="1">
      <c r="A23" s="21">
        <v>20161495021</v>
      </c>
      <c r="B23" s="19" t="str">
        <f>VLOOKUP(A23,'Datos Personales'!A:M,2,FALSE)</f>
        <v>RUBIANO VÁSQUEZ LUIS ENRIQUE</v>
      </c>
      <c r="C23" s="19">
        <f>VLOOKUP(A23,'ESTADOS ESTUDIANTES'!B:L,11,0)</f>
        <v>79156398</v>
      </c>
      <c r="D23" s="19">
        <f>VLOOKUP(A23,'Datos Personales'!$A:$M,3,FALSE)</f>
        <v>495</v>
      </c>
      <c r="E23" s="19" t="str">
        <f>VLOOKUP(Tabla4[[#This Row],[ENFASIS]],Listas!$R$2:$S$8,2,0)</f>
        <v>ENFASIS EN ING. SOFT</v>
      </c>
      <c r="F23" s="19" t="str">
        <f>VLOOKUP(A23,'Datos Personales'!A:M,8,0)</f>
        <v>lerubianov@correo.udistrital.edu.co</v>
      </c>
      <c r="G23" s="19" t="str">
        <f>VLOOKUP(A23,'Datos Personales'!A:M,9,0)</f>
        <v>lrubianov@hotmail.com</v>
      </c>
      <c r="H23" s="19" t="str">
        <f>VLOOKUP(A23,'Datos Personales'!A:M,5,FALSE)</f>
        <v>X</v>
      </c>
      <c r="I23" s="19" t="str">
        <f>VLOOKUP(Tabla4[[#This Row],[CODIGO]],'ESTADOS ESTUDIANTES'!B:M,12,0)</f>
        <v>2021-1</v>
      </c>
      <c r="J23" s="18" t="s">
        <v>60</v>
      </c>
      <c r="K23" s="23"/>
      <c r="L23" s="23"/>
      <c r="M23" s="23"/>
      <c r="N23" s="96"/>
      <c r="O23" s="23"/>
      <c r="P23" s="23"/>
      <c r="Q23" s="23"/>
      <c r="R23" s="124"/>
      <c r="S23" s="124" t="str">
        <f>IF(Tabla4[[#This Row],[FECHA DE ACEPTACION DEL GRUP. INV.]]="","",DATE(YEAR(Tabla4[[#This Row],[FECHA DE ACEPTACION DEL GRUP. INV.]])+2,MONTH(Tabla4[[#This Row],[FECHA DE ACEPTACION DEL GRUP. INV.]]),DAY(Tabla4[[#This Row],[FECHA DE ACEPTACION DEL GRUP. INV.]])))</f>
        <v/>
      </c>
      <c r="T23" s="124" t="str">
        <f ca="1">IF(Tabla4[[#This Row],[FECHA DE ACEPTACION DEL GRUP. INV.]]="","",IF(Tabla4[[#This Row],[FECHA DE VENCIMIENTO ANTE PROYECTO]]&lt;TODAY(),"SÍ","NO"))</f>
        <v/>
      </c>
      <c r="U23" s="124"/>
      <c r="V23" s="124"/>
      <c r="W23" s="18"/>
      <c r="X23" s="18"/>
      <c r="Y23" s="96"/>
      <c r="Z23" s="97"/>
      <c r="AA23" s="96"/>
      <c r="AB23" s="97"/>
      <c r="AC23" s="110"/>
      <c r="AD23" s="18"/>
      <c r="AE23" s="124"/>
      <c r="AF23" s="124"/>
      <c r="AG23" s="169"/>
      <c r="AH23" s="169"/>
      <c r="AI23" s="169"/>
      <c r="AJ23" s="170" t="str">
        <f>IFERROR(VLOOKUP(AI23,Listas!K:L,2,0),"")</f>
        <v/>
      </c>
      <c r="AK23" s="21" t="str">
        <f>IFERROR(VLOOKUP(AJ23,Listas!L:M,2,0),"")</f>
        <v/>
      </c>
      <c r="AL23" s="96"/>
      <c r="AM23" s="23"/>
      <c r="AN23" s="96"/>
      <c r="AO23" s="23"/>
      <c r="AP23" s="96"/>
      <c r="AQ23" s="96"/>
      <c r="AR23" s="21"/>
      <c r="AS23" s="21"/>
      <c r="AT23" s="23"/>
      <c r="AU23" s="23"/>
      <c r="AV23" s="96"/>
      <c r="AW23" s="96"/>
      <c r="AX23" s="21"/>
      <c r="AY23" s="21"/>
      <c r="AZ23" s="23"/>
      <c r="BA23" s="96"/>
      <c r="BB23" s="18" t="str">
        <f>IFERROR(ROUND(AVERAGE(AY23,AX23,AS23,AR23),0),"")</f>
        <v/>
      </c>
      <c r="BC23" s="232" t="e">
        <f t="shared" si="0"/>
        <v>#VALUE!</v>
      </c>
      <c r="BD23" s="185" t="e">
        <f t="shared" si="1"/>
        <v>#VALUE!</v>
      </c>
      <c r="BE23" s="23"/>
      <c r="BF23" s="23"/>
      <c r="BG23" s="255" t="str">
        <f t="shared" si="3"/>
        <v/>
      </c>
    </row>
    <row r="24" spans="1:59" s="339" customFormat="1" ht="90" hidden="1">
      <c r="A24" s="187">
        <v>20162195003</v>
      </c>
      <c r="B24" s="188" t="str">
        <f>VLOOKUP(A24,'Datos Personales'!A:M,2,FALSE)</f>
        <v>BELTRÁN GARCIA JORGE ELIECER</v>
      </c>
      <c r="C24" s="188">
        <f>VLOOKUP(A24,'ESTADOS ESTUDIANTES'!B:L,11,0)</f>
        <v>11255923</v>
      </c>
      <c r="D24" s="188">
        <f>VLOOKUP(A24,'Datos Personales'!$A:$M,3,FALSE)</f>
        <v>195</v>
      </c>
      <c r="E24" s="188" t="str">
        <f>VLOOKUP(Tabla4[[#This Row],[ENFASIS]],Listas!$R$2:$S$8,2,0)</f>
        <v>EN TELEINF.</v>
      </c>
      <c r="F24" s="188" t="str">
        <f>VLOOKUP(A24,'Datos Personales'!A:M,8,0)</f>
        <v>jebeltrang@udistrital.edu.co</v>
      </c>
      <c r="G24" s="188" t="str">
        <f>VLOOKUP(A24,'Datos Personales'!A:M,9,0)</f>
        <v>jotaebeltrangarcia@gmail.com</v>
      </c>
      <c r="H24" s="188" t="str">
        <f>VLOOKUP(A24,'Datos Personales'!A:M,5,FALSE)</f>
        <v>E</v>
      </c>
      <c r="I24" s="188" t="str">
        <f>VLOOKUP(Tabla4[[#This Row],[CODIGO]],'ESTADOS ESTUDIANTES'!B:M,12,0)</f>
        <v>2023-3</v>
      </c>
      <c r="J24" s="171" t="s">
        <v>60</v>
      </c>
      <c r="K24" s="171" t="s">
        <v>304</v>
      </c>
      <c r="L24" s="171" t="s">
        <v>305</v>
      </c>
      <c r="M24" s="169"/>
      <c r="N24" s="189">
        <v>44881</v>
      </c>
      <c r="O24" s="188">
        <v>2022</v>
      </c>
      <c r="P24" s="171" t="s">
        <v>156</v>
      </c>
      <c r="Q24" s="171" t="s">
        <v>305</v>
      </c>
      <c r="R24" s="230"/>
      <c r="S24" s="230" t="str">
        <f>IF(Tabla4[[#This Row],[FECHA DE ACEPTACION DEL GRUP. INV.]]="","",DATE(YEAR(Tabla4[[#This Row],[FECHA DE ACEPTACION DEL GRUP. INV.]])+2,MONTH(Tabla4[[#This Row],[FECHA DE ACEPTACION DEL GRUP. INV.]]),DAY(Tabla4[[#This Row],[FECHA DE ACEPTACION DEL GRUP. INV.]])))</f>
        <v/>
      </c>
      <c r="T24" s="230" t="str">
        <f ca="1">IF(Tabla4[[#This Row],[FECHA DE ACEPTACION DEL GRUP. INV.]]="","",IF(Tabla4[[#This Row],[FECHA DE VENCIMIENTO ANTE PROYECTO]]&lt;TODAY(),"SÍ","NO"))</f>
        <v/>
      </c>
      <c r="U24" s="230"/>
      <c r="V24" s="230"/>
      <c r="W24" s="231"/>
      <c r="X24" s="231"/>
      <c r="Y24" s="189"/>
      <c r="Z24" s="191"/>
      <c r="AA24" s="189">
        <v>44981</v>
      </c>
      <c r="AB24" s="191">
        <v>73</v>
      </c>
      <c r="AC24" s="110" t="s">
        <v>79</v>
      </c>
      <c r="AD24" s="171" t="s">
        <v>306</v>
      </c>
      <c r="AE24" s="190">
        <v>45104</v>
      </c>
      <c r="AF24" s="190" t="s">
        <v>307</v>
      </c>
      <c r="AG24" s="169" t="s">
        <v>308</v>
      </c>
      <c r="AH24" s="169">
        <v>2023</v>
      </c>
      <c r="AI24" s="169" t="s">
        <v>99</v>
      </c>
      <c r="AJ24" s="170">
        <f>IFERROR(VLOOKUP(AI24,Listas!K:L,2,0),"")</f>
        <v>0.2</v>
      </c>
      <c r="AK24" s="21">
        <f>IFERROR(VLOOKUP(AJ24,Listas!L:M,2,0),"")</f>
        <v>10</v>
      </c>
      <c r="AL24" s="189">
        <v>45104</v>
      </c>
      <c r="AM24" s="169" t="s">
        <v>306</v>
      </c>
      <c r="AN24" s="189"/>
      <c r="AO24" s="169" t="s">
        <v>309</v>
      </c>
      <c r="AP24" s="189"/>
      <c r="AQ24" s="189"/>
      <c r="AR24" s="187">
        <v>47</v>
      </c>
      <c r="AS24" s="187">
        <v>48</v>
      </c>
      <c r="AT24" s="169" t="s">
        <v>41</v>
      </c>
      <c r="AU24" s="169" t="s">
        <v>310</v>
      </c>
      <c r="AV24" s="189"/>
      <c r="AW24" s="189"/>
      <c r="AX24" s="187">
        <v>40</v>
      </c>
      <c r="AY24" s="187">
        <v>48</v>
      </c>
      <c r="AZ24" s="169" t="s">
        <v>41</v>
      </c>
      <c r="BA24" s="189">
        <v>45166</v>
      </c>
      <c r="BB24" s="232">
        <f>IFERROR(AVERAGE(AR24,AS24,AX24,AY24),"")</f>
        <v>45.75</v>
      </c>
      <c r="BC24" s="232">
        <f t="shared" si="0"/>
        <v>36.6</v>
      </c>
      <c r="BD24" s="232">
        <f t="shared" si="1"/>
        <v>46.6</v>
      </c>
      <c r="BE24" s="169"/>
      <c r="BF24" s="169"/>
      <c r="BG24" s="234" t="str">
        <f t="shared" si="3"/>
        <v/>
      </c>
    </row>
    <row r="25" spans="1:59" ht="90" hidden="1">
      <c r="A25" s="187">
        <v>20162495001</v>
      </c>
      <c r="B25" s="188" t="str">
        <f>VLOOKUP(A25,'Datos Personales'!A:M,2,FALSE)</f>
        <v>ARÉVALO SANDOVAL JEYSON STITH</v>
      </c>
      <c r="C25" s="188">
        <f>VLOOKUP(A25,'ESTADOS ESTUDIANTES'!B:L,11,0)</f>
        <v>1031131535</v>
      </c>
      <c r="D25" s="188">
        <f>VLOOKUP(A25,'Datos Personales'!$A:$M,3,FALSE)</f>
        <v>495</v>
      </c>
      <c r="E25" s="188" t="str">
        <f>VLOOKUP(Tabla4[[#This Row],[ENFASIS]],Listas!$R$2:$S$8,2,0)</f>
        <v>ENFASIS EN ING. SOFT</v>
      </c>
      <c r="F25" s="188" t="str">
        <f>VLOOKUP(A25,'Datos Personales'!A:M,8,0)</f>
        <v>jsarevalos@udistrital.edu.co</v>
      </c>
      <c r="G25" s="188" t="str">
        <f>VLOOKUP(A25,'Datos Personales'!A:M,9,0)</f>
        <v>jeysonarevalo@hotmail.com</v>
      </c>
      <c r="H25" s="188" t="str">
        <f>VLOOKUP(A25,'Datos Personales'!A:M,5,FALSE)</f>
        <v>E</v>
      </c>
      <c r="I25" s="188" t="str">
        <f>VLOOKUP(Tabla4[[#This Row],[CODIGO]],'ESTADOS ESTUDIANTES'!B:M,12,0)</f>
        <v>2023-3</v>
      </c>
      <c r="J25" s="171" t="s">
        <v>60</v>
      </c>
      <c r="K25" s="171" t="s">
        <v>311</v>
      </c>
      <c r="L25" s="171" t="s">
        <v>312</v>
      </c>
      <c r="M25" s="169"/>
      <c r="N25" s="189">
        <v>44741</v>
      </c>
      <c r="O25" s="188">
        <v>2022</v>
      </c>
      <c r="P25" s="171" t="s">
        <v>128</v>
      </c>
      <c r="Q25" s="171" t="s">
        <v>312</v>
      </c>
      <c r="R25" s="190">
        <v>44796</v>
      </c>
      <c r="S25" s="190">
        <f>IF(Tabla4[[#This Row],[FECHA DE ACEPTACION DEL GRUP. INV.]]="","",DATE(YEAR(Tabla4[[#This Row],[FECHA DE ACEPTACION DEL GRUP. INV.]])+2,MONTH(Tabla4[[#This Row],[FECHA DE ACEPTACION DEL GRUP. INV.]]),DAY(Tabla4[[#This Row],[FECHA DE ACEPTACION DEL GRUP. INV.]])))</f>
        <v>45527</v>
      </c>
      <c r="T25" s="190" t="str">
        <f ca="1">IF(Tabla4[[#This Row],[FECHA DE ACEPTACION DEL GRUP. INV.]]="","",IF(Tabla4[[#This Row],[FECHA DE VENCIMIENTO ANTE PROYECTO]]&lt;TODAY(),"SÍ","NO"))</f>
        <v>SÍ</v>
      </c>
      <c r="U25" s="190"/>
      <c r="V25" s="190"/>
      <c r="W25" s="171"/>
      <c r="X25" s="171"/>
      <c r="Y25" s="189"/>
      <c r="Z25" s="191"/>
      <c r="AA25" s="189">
        <v>44802</v>
      </c>
      <c r="AB25" s="191">
        <v>86</v>
      </c>
      <c r="AC25" s="98" t="s">
        <v>79</v>
      </c>
      <c r="AD25" s="171" t="s">
        <v>313</v>
      </c>
      <c r="AE25" s="190">
        <v>44867</v>
      </c>
      <c r="AF25" s="190" t="s">
        <v>314</v>
      </c>
      <c r="AG25" s="171" t="s">
        <v>315</v>
      </c>
      <c r="AH25" s="171" t="s">
        <v>280</v>
      </c>
      <c r="AI25" s="171" t="s">
        <v>99</v>
      </c>
      <c r="AJ25" s="170">
        <f>IFERROR(VLOOKUP(AI25,Listas!K:L,2,0),"")</f>
        <v>0.2</v>
      </c>
      <c r="AK25" s="21">
        <f>IFERROR(VLOOKUP(AJ25,Listas!L:M,2,0),"")</f>
        <v>10</v>
      </c>
      <c r="AL25" s="189"/>
      <c r="AM25" s="169"/>
      <c r="AN25" s="189"/>
      <c r="AO25" s="169" t="s">
        <v>316</v>
      </c>
      <c r="AP25" s="189"/>
      <c r="AQ25" s="189">
        <v>45253</v>
      </c>
      <c r="AR25" s="187">
        <v>30</v>
      </c>
      <c r="AS25" s="187">
        <v>30</v>
      </c>
      <c r="AT25" s="169"/>
      <c r="AU25" s="169" t="s">
        <v>274</v>
      </c>
      <c r="AV25" s="189"/>
      <c r="AW25" s="189"/>
      <c r="AX25" s="187">
        <v>44</v>
      </c>
      <c r="AY25" s="187">
        <v>44</v>
      </c>
      <c r="AZ25" s="169" t="s">
        <v>41</v>
      </c>
      <c r="BA25" s="189"/>
      <c r="BB25" s="232">
        <f>IFERROR(AVERAGE(AR25,AS25,AX25,AY25),"")</f>
        <v>37</v>
      </c>
      <c r="BC25" s="232">
        <f t="shared" si="0"/>
        <v>29.6</v>
      </c>
      <c r="BD25" s="187">
        <f t="shared" si="1"/>
        <v>39.6</v>
      </c>
      <c r="BE25" s="169"/>
      <c r="BF25" s="169"/>
      <c r="BG25" s="234" t="str">
        <f t="shared" si="3"/>
        <v/>
      </c>
    </row>
    <row r="26" spans="1:59" ht="75" hidden="1">
      <c r="A26" s="208">
        <v>20162495006</v>
      </c>
      <c r="B26" s="209" t="str">
        <f>VLOOKUP(A26,'Datos Personales'!A:M,2,FALSE)</f>
        <v>GARAY GONZALEZ LADY VIVIANA</v>
      </c>
      <c r="C26" s="209">
        <f>VLOOKUP(A26,'ESTADOS ESTUDIANTES'!B:L,11,0)</f>
        <v>1022964650</v>
      </c>
      <c r="D26" s="209">
        <f>VLOOKUP(A26,'Datos Personales'!$A:$M,3,FALSE)</f>
        <v>495</v>
      </c>
      <c r="E26" s="209" t="str">
        <f>VLOOKUP(Tabla4[[#This Row],[ENFASIS]],Listas!$R$2:$S$8,2,0)</f>
        <v>ENFASIS EN ING. SOFT</v>
      </c>
      <c r="F26" s="209" t="str">
        <f>VLOOKUP(A26,'Datos Personales'!A:M,8,0)</f>
        <v>lvgarayg@udistrital.edu.co</v>
      </c>
      <c r="G26" s="209" t="str">
        <f>VLOOKUP(A26,'Datos Personales'!A:M,9,0)</f>
        <v>ladyviviana.garay@gmail.com</v>
      </c>
      <c r="H26" s="209" t="str">
        <f>VLOOKUP(A26,'Datos Personales'!A:M,5,FALSE)</f>
        <v>E</v>
      </c>
      <c r="I26" s="209" t="str">
        <f>VLOOKUP(Tabla4[[#This Row],[CODIGO]],'ESTADOS ESTUDIANTES'!B:M,12,0)</f>
        <v>2023-3</v>
      </c>
      <c r="J26" s="211" t="s">
        <v>60</v>
      </c>
      <c r="K26" s="210" t="s">
        <v>317</v>
      </c>
      <c r="L26" s="210" t="s">
        <v>312</v>
      </c>
      <c r="M26" s="211"/>
      <c r="N26" s="212">
        <v>44741</v>
      </c>
      <c r="O26" s="209">
        <v>2022</v>
      </c>
      <c r="P26" s="210" t="s">
        <v>128</v>
      </c>
      <c r="Q26" s="210" t="s">
        <v>312</v>
      </c>
      <c r="R26" s="213">
        <v>44796</v>
      </c>
      <c r="S26" s="213">
        <f>IF(Tabla4[[#This Row],[FECHA DE ACEPTACION DEL GRUP. INV.]]="","",DATE(YEAR(Tabla4[[#This Row],[FECHA DE ACEPTACION DEL GRUP. INV.]])+2,MONTH(Tabla4[[#This Row],[FECHA DE ACEPTACION DEL GRUP. INV.]]),DAY(Tabla4[[#This Row],[FECHA DE ACEPTACION DEL GRUP. INV.]])))</f>
        <v>45527</v>
      </c>
      <c r="T26" s="213" t="str">
        <f ca="1">IF(Tabla4[[#This Row],[FECHA DE ACEPTACION DEL GRUP. INV.]]="","",IF(Tabla4[[#This Row],[FECHA DE VENCIMIENTO ANTE PROYECTO]]&lt;TODAY(),"SÍ","NO"))</f>
        <v>SÍ</v>
      </c>
      <c r="U26" s="213"/>
      <c r="V26" s="213"/>
      <c r="W26" s="210"/>
      <c r="X26" s="210"/>
      <c r="Y26" s="212"/>
      <c r="Z26" s="214"/>
      <c r="AA26" s="212">
        <v>44802</v>
      </c>
      <c r="AB26" s="214">
        <v>104</v>
      </c>
      <c r="AC26" s="98" t="s">
        <v>79</v>
      </c>
      <c r="AD26" s="210" t="s">
        <v>318</v>
      </c>
      <c r="AE26" s="213">
        <v>44881</v>
      </c>
      <c r="AF26" s="213" t="s">
        <v>319</v>
      </c>
      <c r="AG26" s="210" t="s">
        <v>315</v>
      </c>
      <c r="AH26" s="210" t="s">
        <v>280</v>
      </c>
      <c r="AI26" s="210" t="s">
        <v>99</v>
      </c>
      <c r="AJ26" s="170">
        <f>IFERROR(VLOOKUP(AI26,Listas!K:L,2,0),"")</f>
        <v>0.2</v>
      </c>
      <c r="AK26" s="21">
        <f>IFERROR(VLOOKUP(AJ26,Listas!L:M,2,0),"")</f>
        <v>10</v>
      </c>
      <c r="AL26" s="212">
        <v>45056</v>
      </c>
      <c r="AM26" s="211" t="s">
        <v>320</v>
      </c>
      <c r="AN26" s="212">
        <v>45056</v>
      </c>
      <c r="AO26" s="211" t="s">
        <v>281</v>
      </c>
      <c r="AP26" s="212">
        <v>45061</v>
      </c>
      <c r="AQ26" s="212">
        <v>45121</v>
      </c>
      <c r="AR26" s="208">
        <v>25</v>
      </c>
      <c r="AS26" s="208">
        <v>22</v>
      </c>
      <c r="AT26" s="211" t="s">
        <v>41</v>
      </c>
      <c r="AU26" s="211" t="s">
        <v>274</v>
      </c>
      <c r="AV26" s="212">
        <v>45061</v>
      </c>
      <c r="AW26" s="212">
        <v>45086</v>
      </c>
      <c r="AX26" s="208">
        <v>47</v>
      </c>
      <c r="AY26" s="208">
        <v>40</v>
      </c>
      <c r="AZ26" s="211" t="s">
        <v>41</v>
      </c>
      <c r="BA26" s="212">
        <v>45053</v>
      </c>
      <c r="BB26" s="215">
        <f>IFERROR(AVERAGE(AR26,AS26,AX26,AY26),"")</f>
        <v>33.5</v>
      </c>
      <c r="BC26" s="232">
        <f t="shared" si="0"/>
        <v>26.8</v>
      </c>
      <c r="BD26" s="215">
        <f t="shared" si="1"/>
        <v>36.799999999999997</v>
      </c>
      <c r="BE26" s="211"/>
      <c r="BF26" s="211" t="s">
        <v>48</v>
      </c>
      <c r="BG26" s="343" t="str">
        <f t="shared" si="3"/>
        <v/>
      </c>
    </row>
    <row r="27" spans="1:59" ht="30" hidden="1">
      <c r="A27" s="158">
        <v>20162495017</v>
      </c>
      <c r="B27" s="19" t="str">
        <f>VLOOKUP(A27,'Datos Personales'!A:M,2,FALSE)</f>
        <v>SANCHEZ RODRIGUEZ DANIEL ESTEBAN</v>
      </c>
      <c r="C27" s="19">
        <f>VLOOKUP(A27,'ESTADOS ESTUDIANTES'!B:L,11,0)</f>
        <v>1032417886</v>
      </c>
      <c r="D27" s="19">
        <f>VLOOKUP(A27,'Datos Personales'!$A:$M,3,FALSE)</f>
        <v>495</v>
      </c>
      <c r="E27" s="19" t="str">
        <f>VLOOKUP(Tabla4[[#This Row],[ENFASIS]],Listas!$R$2:$S$8,2,0)</f>
        <v>ENFASIS EN ING. SOFT</v>
      </c>
      <c r="F27" s="19">
        <f>VLOOKUP(A27,'Datos Personales'!A:M,8,0)</f>
        <v>0</v>
      </c>
      <c r="G27" s="19" t="str">
        <f>VLOOKUP(A27,'Datos Personales'!A:M,9,0)</f>
        <v>danielssj88@gmail.com</v>
      </c>
      <c r="H27" s="19" t="str">
        <f>VLOOKUP(A27,'Datos Personales'!A:M,5,FALSE)</f>
        <v>E</v>
      </c>
      <c r="I27" s="19" t="str">
        <f>VLOOKUP(Tabla4[[#This Row],[CODIGO]],'ESTADOS ESTUDIANTES'!B:M,12,0)</f>
        <v>2022-3</v>
      </c>
      <c r="J27" s="18" t="s">
        <v>60</v>
      </c>
      <c r="K27" s="18" t="s">
        <v>321</v>
      </c>
      <c r="L27" s="18" t="s">
        <v>312</v>
      </c>
      <c r="M27" s="172"/>
      <c r="N27" s="86">
        <v>44825</v>
      </c>
      <c r="O27" s="261"/>
      <c r="P27" s="261"/>
      <c r="Q27" s="87"/>
      <c r="R27" s="173"/>
      <c r="S27" s="173" t="str">
        <f>IF(Tabla4[[#This Row],[FECHA DE ACEPTACION DEL GRUP. INV.]]="","",DATE(YEAR(Tabla4[[#This Row],[FECHA DE ACEPTACION DEL GRUP. INV.]])+2,MONTH(Tabla4[[#This Row],[FECHA DE ACEPTACION DEL GRUP. INV.]]),DAY(Tabla4[[#This Row],[FECHA DE ACEPTACION DEL GRUP. INV.]])))</f>
        <v/>
      </c>
      <c r="T27" s="173" t="str">
        <f ca="1">IF(Tabla4[[#This Row],[FECHA DE ACEPTACION DEL GRUP. INV.]]="","",IF(Tabla4[[#This Row],[FECHA DE VENCIMIENTO ANTE PROYECTO]]&lt;TODAY(),"SÍ","NO"))</f>
        <v/>
      </c>
      <c r="U27" s="173"/>
      <c r="V27" s="173"/>
      <c r="W27" s="87"/>
      <c r="X27" s="87"/>
      <c r="Y27" s="86"/>
      <c r="Z27" s="160"/>
      <c r="AA27" s="86"/>
      <c r="AB27" s="160"/>
      <c r="AC27" s="263"/>
      <c r="AD27" s="87"/>
      <c r="AE27" s="173"/>
      <c r="AF27" s="173"/>
      <c r="AI27" s="262"/>
      <c r="AJ27" s="170" t="str">
        <f>IFERROR(VLOOKUP(AI27,Listas!K:L,2,0),"")</f>
        <v/>
      </c>
      <c r="AK27" s="21" t="str">
        <f>IFERROR(VLOOKUP(AJ27,Listas!L:M,2,0),"")</f>
        <v/>
      </c>
      <c r="AL27" s="86"/>
      <c r="AM27" s="172"/>
      <c r="AN27" s="86"/>
      <c r="AO27" s="18"/>
      <c r="AP27" s="86"/>
      <c r="AQ27" s="86"/>
      <c r="AR27" s="158"/>
      <c r="AS27" s="158"/>
      <c r="AU27" s="18"/>
      <c r="AV27" s="86"/>
      <c r="AW27" s="86"/>
      <c r="AX27" s="158"/>
      <c r="AY27" s="158"/>
      <c r="BA27" s="86"/>
      <c r="BB27" s="158"/>
      <c r="BC27" s="232" t="e">
        <f t="shared" si="0"/>
        <v>#VALUE!</v>
      </c>
      <c r="BD27" s="185" t="e">
        <f t="shared" si="1"/>
        <v>#VALUE!</v>
      </c>
      <c r="BE27" s="172"/>
      <c r="BF27" s="172"/>
      <c r="BG27" s="269" t="str">
        <f t="shared" si="3"/>
        <v/>
      </c>
    </row>
    <row r="28" spans="1:59" ht="60" hidden="1">
      <c r="A28" s="208">
        <v>20162495018</v>
      </c>
      <c r="B28" s="209" t="str">
        <f>VLOOKUP(A28,'Datos Personales'!A:M,2,FALSE)</f>
        <v>VALENCIA MARTINEZ CAMILO ALEJANDRO</v>
      </c>
      <c r="C28" s="209">
        <f>VLOOKUP(A28,'ESTADOS ESTUDIANTES'!B:L,11,0)</f>
        <v>1070950958</v>
      </c>
      <c r="D28" s="209">
        <f>VLOOKUP(A28,'Datos Personales'!$A:$M,3,FALSE)</f>
        <v>495</v>
      </c>
      <c r="E28" s="209" t="str">
        <f>VLOOKUP(Tabla4[[#This Row],[ENFASIS]],Listas!$R$2:$S$8,2,0)</f>
        <v>ENFASIS EN ING. SOFT</v>
      </c>
      <c r="F28" s="209" t="str">
        <f>VLOOKUP(A28,'Datos Personales'!A:M,8,0)</f>
        <v>cavalenciam@udistrital.edu.co</v>
      </c>
      <c r="G28" s="209" t="str">
        <f>VLOOKUP(A28,'Datos Personales'!A:M,9,0)</f>
        <v>kmilov@gmail.com</v>
      </c>
      <c r="H28" s="209" t="str">
        <f>VLOOKUP(A28,'Datos Personales'!A:M,5,FALSE)</f>
        <v>E</v>
      </c>
      <c r="I28" s="209" t="str">
        <f>VLOOKUP(Tabla4[[#This Row],[CODIGO]],'ESTADOS ESTUDIANTES'!B:M,12,0)</f>
        <v>2023-3</v>
      </c>
      <c r="J28" s="211" t="s">
        <v>60</v>
      </c>
      <c r="K28" s="210" t="s">
        <v>322</v>
      </c>
      <c r="L28" s="210" t="s">
        <v>323</v>
      </c>
      <c r="M28" s="211"/>
      <c r="N28" s="212">
        <v>44979</v>
      </c>
      <c r="O28" s="209">
        <v>2023</v>
      </c>
      <c r="P28" s="210" t="s">
        <v>112</v>
      </c>
      <c r="Q28" s="210" t="s">
        <v>323</v>
      </c>
      <c r="R28" s="213"/>
      <c r="S28" s="213" t="str">
        <f>IF(Tabla4[[#This Row],[FECHA DE ACEPTACION DEL GRUP. INV.]]="","",DATE(YEAR(Tabla4[[#This Row],[FECHA DE ACEPTACION DEL GRUP. INV.]])+2,MONTH(Tabla4[[#This Row],[FECHA DE ACEPTACION DEL GRUP. INV.]]),DAY(Tabla4[[#This Row],[FECHA DE ACEPTACION DEL GRUP. INV.]])))</f>
        <v/>
      </c>
      <c r="T28" s="213" t="str">
        <f ca="1">IF(Tabla4[[#This Row],[FECHA DE ACEPTACION DEL GRUP. INV.]]="","",IF(Tabla4[[#This Row],[FECHA DE VENCIMIENTO ANTE PROYECTO]]&lt;TODAY(),"SÍ","NO"))</f>
        <v/>
      </c>
      <c r="U28" s="213"/>
      <c r="V28" s="213"/>
      <c r="W28" s="210"/>
      <c r="X28" s="210"/>
      <c r="Y28" s="212"/>
      <c r="Z28" s="214"/>
      <c r="AA28" s="212">
        <v>45057</v>
      </c>
      <c r="AB28" s="214">
        <v>152</v>
      </c>
      <c r="AC28" s="98" t="s">
        <v>68</v>
      </c>
      <c r="AD28" s="210" t="s">
        <v>324</v>
      </c>
      <c r="AE28" s="213">
        <v>45056</v>
      </c>
      <c r="AF28" s="213" t="s">
        <v>325</v>
      </c>
      <c r="AG28" s="210" t="s">
        <v>326</v>
      </c>
      <c r="AH28" s="210" t="s">
        <v>327</v>
      </c>
      <c r="AI28" s="210" t="s">
        <v>94</v>
      </c>
      <c r="AJ28" s="170">
        <f>IFERROR(VLOOKUP(AI28,Listas!K:L,2,0),"")</f>
        <v>0.4</v>
      </c>
      <c r="AK28" s="21">
        <f>IFERROR(VLOOKUP(AJ28,Listas!L:M,2,0),"")</f>
        <v>20</v>
      </c>
      <c r="AL28" s="212">
        <v>45056</v>
      </c>
      <c r="AM28" s="210" t="s">
        <v>324</v>
      </c>
      <c r="AN28" s="212">
        <v>45056</v>
      </c>
      <c r="AO28" s="211" t="s">
        <v>290</v>
      </c>
      <c r="AP28" s="212">
        <v>45061</v>
      </c>
      <c r="AQ28" s="212">
        <v>45083</v>
      </c>
      <c r="AR28" s="208">
        <v>50</v>
      </c>
      <c r="AS28" s="208">
        <v>50</v>
      </c>
      <c r="AT28" s="211" t="s">
        <v>41</v>
      </c>
      <c r="AU28" s="211" t="s">
        <v>222</v>
      </c>
      <c r="AV28" s="212">
        <v>45061</v>
      </c>
      <c r="AW28" s="212">
        <v>45083</v>
      </c>
      <c r="AX28" s="208">
        <v>50</v>
      </c>
      <c r="AY28" s="208">
        <v>50</v>
      </c>
      <c r="AZ28" s="211" t="s">
        <v>41</v>
      </c>
      <c r="BA28" s="212">
        <v>45083</v>
      </c>
      <c r="BB28" s="215">
        <f>IFERROR(AVERAGE(AR28,AS28,AX28,AY28),"")</f>
        <v>50</v>
      </c>
      <c r="BC28" s="232">
        <f t="shared" si="0"/>
        <v>30</v>
      </c>
      <c r="BD28" s="215">
        <f t="shared" si="1"/>
        <v>50</v>
      </c>
      <c r="BE28" s="211"/>
      <c r="BF28" s="211" t="s">
        <v>48</v>
      </c>
      <c r="BG28" s="343" t="str">
        <f t="shared" si="3"/>
        <v/>
      </c>
    </row>
    <row r="29" spans="1:59" s="339" customFormat="1" ht="75" hidden="1">
      <c r="A29" s="235">
        <v>20171195001</v>
      </c>
      <c r="B29" s="188" t="str">
        <f>VLOOKUP(A29,'Datos Personales'!A:M,2,FALSE)</f>
        <v>JOSE AGUSTIN AREVALO SILVA</v>
      </c>
      <c r="C29" s="188">
        <f>VLOOKUP(A29,'ESTADOS ESTUDIANTES'!B:L,11,0)</f>
        <v>79956049</v>
      </c>
      <c r="D29" s="188">
        <f>VLOOKUP(A29,'Datos Personales'!$A:$M,3,FALSE)</f>
        <v>195</v>
      </c>
      <c r="E29" s="188" t="str">
        <f>VLOOKUP(Tabla4[[#This Row],[ENFASIS]],Listas!$R$2:$S$8,2,0)</f>
        <v>EN TELEINF.</v>
      </c>
      <c r="F29" s="171" t="str">
        <f>VLOOKUP(A29,'Datos Personales'!A:M,8,0)</f>
        <v>jaarevalos@udistrital.edu.co</v>
      </c>
      <c r="G29" s="171" t="str">
        <f>VLOOKUP(A29,'Datos Personales'!A:M,9,0)</f>
        <v>agustin.arevalo@gmail.com</v>
      </c>
      <c r="H29" s="171" t="str">
        <f>VLOOKUP(A29,'Datos Personales'!A:M,5,FALSE)</f>
        <v>E</v>
      </c>
      <c r="I29" s="188" t="str">
        <f>VLOOKUP(Tabla4[[#This Row],[CODIGO]],'ESTADOS ESTUDIANTES'!B:M,12,0)</f>
        <v>2024-1</v>
      </c>
      <c r="J29" s="171" t="s">
        <v>60</v>
      </c>
      <c r="K29" s="171" t="s">
        <v>328</v>
      </c>
      <c r="L29" s="171" t="s">
        <v>222</v>
      </c>
      <c r="M29" s="169" t="s">
        <v>329</v>
      </c>
      <c r="N29" s="189">
        <v>45218</v>
      </c>
      <c r="O29" s="188">
        <v>2023</v>
      </c>
      <c r="P29" s="171" t="s">
        <v>112</v>
      </c>
      <c r="Q29" s="171" t="s">
        <v>222</v>
      </c>
      <c r="R29" s="190">
        <v>45219</v>
      </c>
      <c r="S29" s="190">
        <f>IF(Tabla4[[#This Row],[FECHA DE ACEPTACION DEL GRUP. INV.]]="","",DATE(YEAR(Tabla4[[#This Row],[FECHA DE ACEPTACION DEL GRUP. INV.]])+2,MONTH(Tabla4[[#This Row],[FECHA DE ACEPTACION DEL GRUP. INV.]]),DAY(Tabla4[[#This Row],[FECHA DE ACEPTACION DEL GRUP. INV.]])))</f>
        <v>45950</v>
      </c>
      <c r="T29" s="190" t="str">
        <f ca="1">IF(Tabla4[[#This Row],[FECHA DE ACEPTACION DEL GRUP. INV.]]="","",IF(Tabla4[[#This Row],[FECHA DE VENCIMIENTO ANTE PROYECTO]]&lt;TODAY(),"SÍ","NO"))</f>
        <v>SÍ</v>
      </c>
      <c r="U29" s="190"/>
      <c r="V29" s="190"/>
      <c r="W29" s="171" t="s">
        <v>330</v>
      </c>
      <c r="X29" s="171"/>
      <c r="Y29" s="189"/>
      <c r="Z29" s="191"/>
      <c r="AA29" s="189">
        <v>45167</v>
      </c>
      <c r="AB29" s="191">
        <v>104</v>
      </c>
      <c r="AC29" s="98" t="s">
        <v>79</v>
      </c>
      <c r="AD29" s="171" t="s">
        <v>331</v>
      </c>
      <c r="AE29" s="190">
        <v>45343</v>
      </c>
      <c r="AF29" s="190" t="s">
        <v>332</v>
      </c>
      <c r="AG29" s="171" t="s">
        <v>333</v>
      </c>
      <c r="AH29" s="171"/>
      <c r="AI29" s="171" t="s">
        <v>99</v>
      </c>
      <c r="AJ29" s="170">
        <f>IFERROR(VLOOKUP(AI29,Listas!K:L,2,0),"")</f>
        <v>0.2</v>
      </c>
      <c r="AK29" s="21">
        <f>IFERROR(VLOOKUP(AJ29,Listas!L:M,2,0),"")</f>
        <v>10</v>
      </c>
      <c r="AL29" s="189">
        <v>45260</v>
      </c>
      <c r="AM29" s="171" t="s">
        <v>334</v>
      </c>
      <c r="AN29" s="189">
        <v>45343</v>
      </c>
      <c r="AO29" s="169" t="s">
        <v>335</v>
      </c>
      <c r="AP29" s="189"/>
      <c r="AQ29" s="189"/>
      <c r="AR29" s="187">
        <v>50</v>
      </c>
      <c r="AS29" s="187">
        <v>50</v>
      </c>
      <c r="AT29" s="169" t="s">
        <v>41</v>
      </c>
      <c r="AU29" s="169" t="s">
        <v>323</v>
      </c>
      <c r="AV29" s="189"/>
      <c r="AW29" s="189"/>
      <c r="AX29" s="187">
        <v>50</v>
      </c>
      <c r="AY29" s="187">
        <v>50</v>
      </c>
      <c r="AZ29" s="169" t="s">
        <v>41</v>
      </c>
      <c r="BA29" s="189">
        <v>45364</v>
      </c>
      <c r="BB29" s="187">
        <v>50</v>
      </c>
      <c r="BC29" s="232">
        <f t="shared" si="0"/>
        <v>40</v>
      </c>
      <c r="BD29" s="215">
        <f t="shared" si="1"/>
        <v>50</v>
      </c>
      <c r="BE29" s="169"/>
      <c r="BF29" s="169"/>
      <c r="BG29" s="234" t="str">
        <f t="shared" si="3"/>
        <v/>
      </c>
    </row>
    <row r="30" spans="1:59" s="339" customFormat="1" ht="30" hidden="1">
      <c r="A30" s="21">
        <v>20171495012</v>
      </c>
      <c r="B30" s="19" t="str">
        <f>VLOOKUP(A30,'Datos Personales'!A:M,2,FALSE)</f>
        <v>GONZALEZ ESCOBAR LEONARDO</v>
      </c>
      <c r="C30" s="19">
        <f>VLOOKUP(A30,'ESTADOS ESTUDIANTES'!B:L,11,0)</f>
        <v>86083193</v>
      </c>
      <c r="D30" s="19">
        <f>VLOOKUP(A30,'Datos Personales'!$A:$M,3,FALSE)</f>
        <v>495</v>
      </c>
      <c r="E30" s="19" t="str">
        <f>VLOOKUP(Tabla4[[#This Row],[ENFASIS]],Listas!$R$2:$S$8,2,0)</f>
        <v>ENFASIS EN ING. SOFT</v>
      </c>
      <c r="F30" s="19" t="str">
        <f>VLOOKUP(A30,'Datos Personales'!A:M,8,0)</f>
        <v>lgonzaleze@correo.udistrital.edu.co</v>
      </c>
      <c r="G30" s="19" t="str">
        <f>VLOOKUP(A30,'Datos Personales'!A:M,9,0)</f>
        <v>leonardo.gonzalez.escobar@gmail.com</v>
      </c>
      <c r="H30" s="19" t="str">
        <f>VLOOKUP(A30,'Datos Personales'!A:M,5,FALSE)</f>
        <v>X</v>
      </c>
      <c r="I30" s="19" t="str">
        <f>VLOOKUP(Tabla4[[#This Row],[CODIGO]],'ESTADOS ESTUDIANTES'!B:M,12,0)</f>
        <v>2020-3</v>
      </c>
      <c r="J30" s="23" t="s">
        <v>60</v>
      </c>
      <c r="K30" s="23"/>
      <c r="L30" s="23"/>
      <c r="M30" s="23"/>
      <c r="N30" s="96"/>
      <c r="O30" s="23"/>
      <c r="P30" s="23"/>
      <c r="Q30" s="23"/>
      <c r="R30" s="124"/>
      <c r="S30" s="124" t="str">
        <f>IF(Tabla4[[#This Row],[FECHA DE ACEPTACION DEL GRUP. INV.]]="","",DATE(YEAR(Tabla4[[#This Row],[FECHA DE ACEPTACION DEL GRUP. INV.]])+2,MONTH(Tabla4[[#This Row],[FECHA DE ACEPTACION DEL GRUP. INV.]]),DAY(Tabla4[[#This Row],[FECHA DE ACEPTACION DEL GRUP. INV.]])))</f>
        <v/>
      </c>
      <c r="T30" s="124" t="str">
        <f ca="1">IF(Tabla4[[#This Row],[FECHA DE ACEPTACION DEL GRUP. INV.]]="","",IF(Tabla4[[#This Row],[FECHA DE VENCIMIENTO ANTE PROYECTO]]&lt;TODAY(),"SÍ","NO"))</f>
        <v/>
      </c>
      <c r="U30" s="124"/>
      <c r="V30" s="124"/>
      <c r="W30" s="18"/>
      <c r="X30" s="18"/>
      <c r="Y30" s="96"/>
      <c r="Z30" s="97"/>
      <c r="AA30" s="96"/>
      <c r="AB30" s="97"/>
      <c r="AC30" s="110"/>
      <c r="AD30" s="18"/>
      <c r="AE30" s="124"/>
      <c r="AF30" s="124"/>
      <c r="AG30" s="169"/>
      <c r="AH30" s="169"/>
      <c r="AI30" s="169"/>
      <c r="AJ30" s="170" t="str">
        <f>IFERROR(VLOOKUP(AI30,Listas!K:L,2,0),"")</f>
        <v/>
      </c>
      <c r="AK30" s="21" t="str">
        <f>IFERROR(VLOOKUP(AJ30,Listas!L:M,2,0),"")</f>
        <v/>
      </c>
      <c r="AL30" s="96"/>
      <c r="AM30" s="23"/>
      <c r="AN30" s="96"/>
      <c r="AO30" s="23"/>
      <c r="AP30" s="96"/>
      <c r="AQ30" s="96"/>
      <c r="AR30" s="21"/>
      <c r="AS30" s="21"/>
      <c r="AT30" s="23"/>
      <c r="AU30" s="23"/>
      <c r="AV30" s="96"/>
      <c r="AW30" s="96"/>
      <c r="AX30" s="21"/>
      <c r="AY30" s="21"/>
      <c r="AZ30" s="23"/>
      <c r="BA30" s="96"/>
      <c r="BB30" s="18" t="str">
        <f>IFERROR(ROUND(AVERAGE(AY30,AX30,AS30,AR30),0),"")</f>
        <v/>
      </c>
      <c r="BC30" s="232" t="e">
        <f t="shared" si="0"/>
        <v>#VALUE!</v>
      </c>
      <c r="BD30" s="185" t="e">
        <f t="shared" si="1"/>
        <v>#VALUE!</v>
      </c>
      <c r="BE30" s="23"/>
      <c r="BF30" s="23"/>
      <c r="BG30" s="255" t="str">
        <f t="shared" si="3"/>
        <v/>
      </c>
    </row>
    <row r="31" spans="1:59" ht="30" hidden="1">
      <c r="A31" s="21">
        <v>20171495023</v>
      </c>
      <c r="B31" s="19" t="str">
        <f>VLOOKUP(A31,'Datos Personales'!A:M,2,FALSE)</f>
        <v>VELASQUEZ ARTUNDUAGA INGRID JULIETH</v>
      </c>
      <c r="C31" s="19">
        <f>VLOOKUP(A31,'ESTADOS ESTUDIANTES'!B:L,11,0)</f>
        <v>1024501542</v>
      </c>
      <c r="D31" s="19">
        <f>VLOOKUP(A31,'Datos Personales'!$A:$M,3,FALSE)</f>
        <v>495</v>
      </c>
      <c r="E31" s="19" t="str">
        <f>VLOOKUP(Tabla4[[#This Row],[ENFASIS]],Listas!$R$2:$S$8,2,0)</f>
        <v>ENFASIS EN ING. SOFT</v>
      </c>
      <c r="F31" s="19" t="str">
        <f>VLOOKUP(A31,'Datos Personales'!A:M,8,0)</f>
        <v>ijvelasqueza@correo.udistrital.edu.co</v>
      </c>
      <c r="G31" s="19" t="str">
        <f>VLOOKUP(A31,'Datos Personales'!A:M,9,0)</f>
        <v>Ingridjulieth20@gmail.com</v>
      </c>
      <c r="H31" s="19" t="str">
        <f>VLOOKUP(A31,'Datos Personales'!A:M,5,FALSE)</f>
        <v>X</v>
      </c>
      <c r="I31" s="19" t="str">
        <f>VLOOKUP(Tabla4[[#This Row],[CODIGO]],'ESTADOS ESTUDIANTES'!B:M,12,0)</f>
        <v>2021-3</v>
      </c>
      <c r="J31" s="23" t="s">
        <v>60</v>
      </c>
      <c r="K31" s="23"/>
      <c r="L31" s="23"/>
      <c r="M31" s="23"/>
      <c r="N31" s="96"/>
      <c r="O31" s="23"/>
      <c r="P31" s="23"/>
      <c r="Q31" s="23"/>
      <c r="R31" s="124"/>
      <c r="S31" s="124" t="str">
        <f>IF(Tabla4[[#This Row],[FECHA DE ACEPTACION DEL GRUP. INV.]]="","",DATE(YEAR(Tabla4[[#This Row],[FECHA DE ACEPTACION DEL GRUP. INV.]])+2,MONTH(Tabla4[[#This Row],[FECHA DE ACEPTACION DEL GRUP. INV.]]),DAY(Tabla4[[#This Row],[FECHA DE ACEPTACION DEL GRUP. INV.]])))</f>
        <v/>
      </c>
      <c r="T31" s="124" t="str">
        <f ca="1">IF(Tabla4[[#This Row],[FECHA DE ACEPTACION DEL GRUP. INV.]]="","",IF(Tabla4[[#This Row],[FECHA DE VENCIMIENTO ANTE PROYECTO]]&lt;TODAY(),"SÍ","NO"))</f>
        <v/>
      </c>
      <c r="U31" s="124"/>
      <c r="V31" s="124"/>
      <c r="W31" s="18"/>
      <c r="X31" s="18"/>
      <c r="Y31" s="96"/>
      <c r="Z31" s="97"/>
      <c r="AA31" s="96">
        <v>44468</v>
      </c>
      <c r="AB31" s="97">
        <v>131.75</v>
      </c>
      <c r="AC31" s="98" t="s">
        <v>79</v>
      </c>
      <c r="AD31" s="18"/>
      <c r="AE31" s="124"/>
      <c r="AF31" s="124"/>
      <c r="AG31" s="171"/>
      <c r="AH31" s="171"/>
      <c r="AI31" s="171"/>
      <c r="AJ31" s="170" t="str">
        <f>IFERROR(VLOOKUP(AI31,Listas!K:L,2,0),"")</f>
        <v/>
      </c>
      <c r="AK31" s="21" t="str">
        <f>IFERROR(VLOOKUP(AJ31,Listas!L:M,2,0),"")</f>
        <v/>
      </c>
      <c r="AL31" s="96"/>
      <c r="AM31" s="23"/>
      <c r="AN31" s="96"/>
      <c r="AO31" s="23"/>
      <c r="AP31" s="96"/>
      <c r="AQ31" s="96"/>
      <c r="AR31" s="21"/>
      <c r="AS31" s="21"/>
      <c r="AT31" s="23"/>
      <c r="AU31" s="23"/>
      <c r="AV31" s="96"/>
      <c r="AW31" s="96"/>
      <c r="AX31" s="21"/>
      <c r="AY31" s="21"/>
      <c r="AZ31" s="23"/>
      <c r="BA31" s="96"/>
      <c r="BB31" s="18" t="str">
        <f>IFERROR(ROUND(AVERAGE(AY31,AX31,AS31,AR31),0),"")</f>
        <v/>
      </c>
      <c r="BC31" s="232" t="e">
        <f t="shared" si="0"/>
        <v>#VALUE!</v>
      </c>
      <c r="BD31" s="185" t="e">
        <f t="shared" si="1"/>
        <v>#VALUE!</v>
      </c>
      <c r="BE31" s="23"/>
      <c r="BF31" s="23"/>
      <c r="BG31" s="293" t="str">
        <f t="shared" si="3"/>
        <v/>
      </c>
    </row>
    <row r="32" spans="1:59" s="339" customFormat="1" ht="30" hidden="1">
      <c r="A32" s="21">
        <v>20172195007</v>
      </c>
      <c r="B32" s="19" t="str">
        <f>VLOOKUP(A32,'Datos Personales'!A:M,2,FALSE)</f>
        <v>DE LEON ARTURO VERBEL</v>
      </c>
      <c r="C32" s="19">
        <f>VLOOKUP(A32,'ESTADOS ESTUDIANTES'!B:L,11,0)</f>
        <v>1143355214</v>
      </c>
      <c r="D32" s="19">
        <f>VLOOKUP(A32,'Datos Personales'!$A:$M,3,FALSE)</f>
        <v>195</v>
      </c>
      <c r="E32" s="19" t="str">
        <f>VLOOKUP(Tabla4[[#This Row],[ENFASIS]],Listas!$R$2:$S$8,2,0)</f>
        <v>EN TELEINF.</v>
      </c>
      <c r="F32" s="19" t="str">
        <f>VLOOKUP(A32,'Datos Personales'!A:M,8,0)</f>
        <v>averbeldl@correo.udistrital.edu.co</v>
      </c>
      <c r="G32" s="19" t="str">
        <f>VLOOKUP(A32,'Datos Personales'!A:M,9,0)</f>
        <v>arturo.verbel@gmail.com</v>
      </c>
      <c r="H32" s="19" t="str">
        <f>VLOOKUP(A32,'Datos Personales'!A:M,5,FALSE)</f>
        <v>E</v>
      </c>
      <c r="I32" s="19" t="str">
        <f>VLOOKUP(Tabla4[[#This Row],[CODIGO]],'ESTADOS ESTUDIANTES'!B:M,12,0)</f>
        <v>2022-1</v>
      </c>
      <c r="J32" s="18" t="s">
        <v>60</v>
      </c>
      <c r="K32" s="18" t="s">
        <v>336</v>
      </c>
      <c r="L32" s="18" t="s">
        <v>337</v>
      </c>
      <c r="M32" s="23"/>
      <c r="N32" s="96"/>
      <c r="O32" s="23"/>
      <c r="P32" s="23"/>
      <c r="Q32" s="18" t="s">
        <v>338</v>
      </c>
      <c r="R32" s="124">
        <v>43579</v>
      </c>
      <c r="S32" s="124">
        <f>IF(Tabla4[[#This Row],[FECHA DE ACEPTACION DEL GRUP. INV.]]="","",DATE(YEAR(Tabla4[[#This Row],[FECHA DE ACEPTACION DEL GRUP. INV.]])+2,MONTH(Tabla4[[#This Row],[FECHA DE ACEPTACION DEL GRUP. INV.]]),DAY(Tabla4[[#This Row],[FECHA DE ACEPTACION DEL GRUP. INV.]])))</f>
        <v>44310</v>
      </c>
      <c r="T32" s="124" t="str">
        <f ca="1">IF(Tabla4[[#This Row],[FECHA DE ACEPTACION DEL GRUP. INV.]]="","",IF(Tabla4[[#This Row],[FECHA DE VENCIMIENTO ANTE PROYECTO]]&lt;TODAY(),"SÍ","NO"))</f>
        <v>SÍ</v>
      </c>
      <c r="U32" s="124"/>
      <c r="V32" s="124"/>
      <c r="W32" s="18"/>
      <c r="X32" s="18"/>
      <c r="Y32" s="96"/>
      <c r="Z32" s="97"/>
      <c r="AA32" s="96">
        <v>44103</v>
      </c>
      <c r="AB32" s="97">
        <v>91.3</v>
      </c>
      <c r="AC32" s="98" t="s">
        <v>79</v>
      </c>
      <c r="AD32" s="18" t="s">
        <v>339</v>
      </c>
      <c r="AE32" s="124">
        <v>44706</v>
      </c>
      <c r="AF32" s="124"/>
      <c r="AG32" s="171"/>
      <c r="AH32" s="171"/>
      <c r="AI32" s="171"/>
      <c r="AJ32" s="170" t="str">
        <f>IFERROR(VLOOKUP(AI32,Listas!K:L,2,0),"")</f>
        <v/>
      </c>
      <c r="AK32" s="21" t="str">
        <f>IFERROR(VLOOKUP(AJ32,Listas!L:M,2,0),"")</f>
        <v/>
      </c>
      <c r="AL32" s="96">
        <v>44483</v>
      </c>
      <c r="AM32" s="18" t="s">
        <v>340</v>
      </c>
      <c r="AN32" s="96">
        <v>44497</v>
      </c>
      <c r="AO32" s="18" t="s">
        <v>341</v>
      </c>
      <c r="AP32" s="96">
        <v>44497</v>
      </c>
      <c r="AQ32" s="96">
        <v>44539</v>
      </c>
      <c r="AR32" s="21">
        <v>50</v>
      </c>
      <c r="AS32" s="21">
        <v>50</v>
      </c>
      <c r="AT32" s="18" t="s">
        <v>55</v>
      </c>
      <c r="AU32" s="18" t="s">
        <v>342</v>
      </c>
      <c r="AV32" s="96">
        <v>44497</v>
      </c>
      <c r="AW32" s="96">
        <v>44532</v>
      </c>
      <c r="AX32" s="21">
        <v>50</v>
      </c>
      <c r="AY32" s="21">
        <v>50</v>
      </c>
      <c r="AZ32" s="18" t="s">
        <v>55</v>
      </c>
      <c r="BA32" s="96">
        <v>44610</v>
      </c>
      <c r="BB32" s="21">
        <f>IFERROR(ROUND(AVERAGE(AY32,AX32,AS32,AR32),0),"")</f>
        <v>50</v>
      </c>
      <c r="BC32" s="232" t="e">
        <f t="shared" si="0"/>
        <v>#VALUE!</v>
      </c>
      <c r="BD32" s="185" t="e">
        <f t="shared" si="1"/>
        <v>#VALUE!</v>
      </c>
      <c r="BE32" s="23"/>
      <c r="BF32" s="23"/>
      <c r="BG32" s="255" t="str">
        <f t="shared" si="3"/>
        <v/>
      </c>
    </row>
    <row r="33" spans="1:59" ht="60" hidden="1">
      <c r="A33" s="187">
        <v>20172395014</v>
      </c>
      <c r="B33" s="275" t="str">
        <f>VLOOKUP(A33,'Datos Personales'!A:M,2,FALSE)</f>
        <v>PATIÑO RIVERA HÉCTOR RICARDO</v>
      </c>
      <c r="C33" s="188">
        <f>VLOOKUP(A33,'ESTADOS ESTUDIANTES'!B:L,11,0)</f>
        <v>1015411098</v>
      </c>
      <c r="D33" s="188">
        <f>VLOOKUP(A33,'Datos Personales'!$A:$M,3,FALSE)</f>
        <v>395</v>
      </c>
      <c r="E33" s="188" t="str">
        <f>VLOOKUP(Tabla4[[#This Row],[ENFASIS]],Listas!$R$2:$S$8,2,0)</f>
        <v>ENFASIS EN GEOMATICA</v>
      </c>
      <c r="F33" s="171" t="str">
        <f>VLOOKUP(A33,'Datos Personales'!A:M,8,0)</f>
        <v>hrpatinor@udistrital.edu.co</v>
      </c>
      <c r="G33" s="171" t="str">
        <f>VLOOKUP(A33,'Datos Personales'!A:M,9,0)</f>
        <v>hectorpatino24@gmail.com</v>
      </c>
      <c r="H33" s="171" t="str">
        <f>VLOOKUP(A33,'Datos Personales'!A:M,5,FALSE)</f>
        <v>E</v>
      </c>
      <c r="I33" s="188" t="str">
        <f>VLOOKUP(Tabla4[[#This Row],[CODIGO]],'ESTADOS ESTUDIANTES'!B:M,12,0)</f>
        <v>2024-1</v>
      </c>
      <c r="J33" s="171" t="s">
        <v>60</v>
      </c>
      <c r="K33" s="171" t="s">
        <v>343</v>
      </c>
      <c r="L33" s="171" t="s">
        <v>344</v>
      </c>
      <c r="M33" s="169"/>
      <c r="N33" s="189">
        <v>45170</v>
      </c>
      <c r="O33" s="188">
        <v>2023</v>
      </c>
      <c r="P33" s="171" t="s">
        <v>146</v>
      </c>
      <c r="Q33" s="171" t="s">
        <v>344</v>
      </c>
      <c r="R33" s="190">
        <v>45170</v>
      </c>
      <c r="S33" s="190">
        <f>IF(Tabla4[[#This Row],[FECHA DE ACEPTACION DEL GRUP. INV.]]="","",DATE(YEAR(Tabla4[[#This Row],[FECHA DE ACEPTACION DEL GRUP. INV.]])+2,MONTH(Tabla4[[#This Row],[FECHA DE ACEPTACION DEL GRUP. INV.]]),DAY(Tabla4[[#This Row],[FECHA DE ACEPTACION DEL GRUP. INV.]])))</f>
        <v>45901</v>
      </c>
      <c r="T33" s="190" t="str">
        <f ca="1">IF(Tabla4[[#This Row],[FECHA DE ACEPTACION DEL GRUP. INV.]]="","",IF(Tabla4[[#This Row],[FECHA DE VENCIMIENTO ANTE PROYECTO]]&lt;TODAY(),"SÍ","NO"))</f>
        <v>SÍ</v>
      </c>
      <c r="U33" s="190"/>
      <c r="V33" s="190"/>
      <c r="W33" s="171" t="s">
        <v>345</v>
      </c>
      <c r="X33" s="171"/>
      <c r="Y33" s="189">
        <v>43964</v>
      </c>
      <c r="Z33" s="191">
        <v>86.96</v>
      </c>
      <c r="AA33" s="189">
        <v>45323</v>
      </c>
      <c r="AB33" s="191">
        <v>141</v>
      </c>
      <c r="AC33" s="98" t="s">
        <v>68</v>
      </c>
      <c r="AD33" s="171"/>
      <c r="AE33" s="190"/>
      <c r="AF33" s="276" t="s">
        <v>346</v>
      </c>
      <c r="AG33" s="171"/>
      <c r="AH33" s="171" t="s">
        <v>347</v>
      </c>
      <c r="AI33" s="171" t="s">
        <v>99</v>
      </c>
      <c r="AJ33" s="170">
        <f>IFERROR(VLOOKUP(AI33,Listas!K:L,2,0),"")</f>
        <v>0.2</v>
      </c>
      <c r="AK33" s="21">
        <f>IFERROR(VLOOKUP(AJ33,Listas!L:M,2,0),"")</f>
        <v>10</v>
      </c>
      <c r="AL33" s="189">
        <v>45322</v>
      </c>
      <c r="AM33" s="171" t="s">
        <v>331</v>
      </c>
      <c r="AN33" s="189">
        <v>45343</v>
      </c>
      <c r="AO33" s="169" t="s">
        <v>270</v>
      </c>
      <c r="AP33" s="189">
        <v>45337</v>
      </c>
      <c r="AQ33" s="189">
        <v>45363</v>
      </c>
      <c r="AR33" s="187">
        <v>41</v>
      </c>
      <c r="AS33" s="187">
        <v>41</v>
      </c>
      <c r="AT33" s="169" t="s">
        <v>41</v>
      </c>
      <c r="AU33" s="169" t="s">
        <v>348</v>
      </c>
      <c r="AV33" s="189">
        <v>45337</v>
      </c>
      <c r="AW33" s="189">
        <v>45365</v>
      </c>
      <c r="AX33" s="187">
        <v>50</v>
      </c>
      <c r="AY33" s="187">
        <v>50</v>
      </c>
      <c r="AZ33" s="169" t="s">
        <v>41</v>
      </c>
      <c r="BA33" s="189">
        <v>45350</v>
      </c>
      <c r="BB33" s="232">
        <f>IFERROR(AVERAGE(AR33,AS33,AX33,AY33),"")</f>
        <v>45.5</v>
      </c>
      <c r="BC33" s="232">
        <f t="shared" si="0"/>
        <v>36.4</v>
      </c>
      <c r="BD33" s="274">
        <f>SUM(BC33,AK29)</f>
        <v>46.4</v>
      </c>
      <c r="BE33" s="169"/>
      <c r="BF33" s="169"/>
      <c r="BG33" s="234" t="str">
        <f t="shared" si="3"/>
        <v/>
      </c>
    </row>
    <row r="34" spans="1:59" ht="78.75" hidden="1">
      <c r="A34" s="187">
        <v>20172495009</v>
      </c>
      <c r="B34" s="239" t="str">
        <f>VLOOKUP(A34,'ESTADOS ESTUDIANTES'!B:L,2,0)</f>
        <v>GONZALEZ GONZALEZ DIANA SOFIA</v>
      </c>
      <c r="C34" s="239">
        <f>VLOOKUP(A34,'ESTADOS ESTUDIANTES'!B:L,11,0)</f>
        <v>1015403717</v>
      </c>
      <c r="D34" s="239">
        <f>VLOOKUP(A34,'ESTADOS ESTUDIANTES'!B:L,3,0)</f>
        <v>495</v>
      </c>
      <c r="E34" s="239" t="str">
        <f>VLOOKUP(Tabla4[[#This Row],[ENFASIS]],Listas!$R$2:$S$8,2,0)</f>
        <v>ENFASIS EN ING. SOFT</v>
      </c>
      <c r="F34" s="239" t="str">
        <f>VLOOKUP(A34,'ESTADOS ESTUDIANTES'!B:L,8,0)</f>
        <v>dsgonzalezg@udistrital.edu.co</v>
      </c>
      <c r="G34" s="239" t="str">
        <f>VLOOKUP(A34,'ESTADOS ESTUDIANTES'!B:L,9,0)</f>
        <v>dsofiagonzalezg@gmail.com</v>
      </c>
      <c r="H34" s="239" t="str">
        <f>VLOOKUP(A34,'ESTADOS ESTUDIANTES'!B:L,5,0)</f>
        <v>E</v>
      </c>
      <c r="I34" s="239" t="str">
        <f>VLOOKUP(Tabla4[[#This Row],[CODIGO]],'ESTADOS ESTUDIANTES'!B:M,12,0)</f>
        <v>2024-1</v>
      </c>
      <c r="J34" s="240" t="s">
        <v>60</v>
      </c>
      <c r="K34" s="171" t="s">
        <v>349</v>
      </c>
      <c r="L34" s="240" t="s">
        <v>350</v>
      </c>
      <c r="M34" s="238"/>
      <c r="N34" s="241">
        <v>43074</v>
      </c>
      <c r="O34" s="239">
        <v>2017</v>
      </c>
      <c r="P34" s="240" t="s">
        <v>106</v>
      </c>
      <c r="Q34" s="171" t="s">
        <v>351</v>
      </c>
      <c r="R34" s="242">
        <v>45238</v>
      </c>
      <c r="S34" s="242">
        <f>IF(Tabla4[[#This Row],[FECHA DE ACEPTACION DEL GRUP. INV.]]="","",DATE(YEAR(Tabla4[[#This Row],[FECHA DE ACEPTACION DEL GRUP. INV.]])+2,MONTH(Tabla4[[#This Row],[FECHA DE ACEPTACION DEL GRUP. INV.]]),DAY(Tabla4[[#This Row],[FECHA DE ACEPTACION DEL GRUP. INV.]])))</f>
        <v>45969</v>
      </c>
      <c r="T34" s="242" t="str">
        <f ca="1">IF(Tabla4[[#This Row],[FECHA DE ACEPTACION DEL GRUP. INV.]]="","",IF(Tabla4[[#This Row],[FECHA DE VENCIMIENTO ANTE PROYECTO]]&lt;TODAY(),"SÍ","NO"))</f>
        <v>SÍ</v>
      </c>
      <c r="U34" s="242"/>
      <c r="V34" s="242"/>
      <c r="W34" s="240" t="s">
        <v>352</v>
      </c>
      <c r="X34" s="240"/>
      <c r="Y34" s="256">
        <v>44680</v>
      </c>
      <c r="Z34" s="257">
        <v>141</v>
      </c>
      <c r="AA34" s="86">
        <v>45323</v>
      </c>
      <c r="AB34" s="160">
        <v>141</v>
      </c>
      <c r="AC34" s="98" t="s">
        <v>68</v>
      </c>
      <c r="AD34" s="241" t="s">
        <v>352</v>
      </c>
      <c r="AE34" s="258">
        <v>45245</v>
      </c>
      <c r="AF34" s="241" t="s">
        <v>353</v>
      </c>
      <c r="AG34" s="238" t="s">
        <v>354</v>
      </c>
      <c r="AH34" s="335">
        <v>2020</v>
      </c>
      <c r="AI34" s="241" t="s">
        <v>80</v>
      </c>
      <c r="AJ34" s="170">
        <f>IFERROR(VLOOKUP(AI34,Listas!K:L,2,0),"")</f>
        <v>0.6</v>
      </c>
      <c r="AK34" s="21">
        <f>IFERROR(VLOOKUP(AJ34,Listas!L:M,2,0),"")</f>
        <v>30</v>
      </c>
      <c r="AL34" s="96">
        <v>45240</v>
      </c>
      <c r="AM34" s="238" t="s">
        <v>355</v>
      </c>
      <c r="AN34" s="258">
        <v>45245</v>
      </c>
      <c r="AO34" s="241" t="s">
        <v>351</v>
      </c>
      <c r="AP34" s="241">
        <v>45337</v>
      </c>
      <c r="AQ34" s="189">
        <v>45348</v>
      </c>
      <c r="AR34" s="244">
        <v>44</v>
      </c>
      <c r="AS34" s="244">
        <v>39</v>
      </c>
      <c r="AT34" s="238" t="s">
        <v>41</v>
      </c>
      <c r="AU34" s="241" t="s">
        <v>356</v>
      </c>
      <c r="AV34" s="189">
        <v>45337</v>
      </c>
      <c r="AW34" s="189">
        <v>45348</v>
      </c>
      <c r="AX34" s="240" t="s">
        <v>357</v>
      </c>
      <c r="AY34" s="238">
        <v>41</v>
      </c>
      <c r="AZ34" s="238" t="s">
        <v>41</v>
      </c>
      <c r="BA34" s="240" t="s">
        <v>358</v>
      </c>
      <c r="BB34" s="232">
        <f>IFERROR(AVERAGE(AR34,AS34,AX34,AY34),"")</f>
        <v>41.333333333333336</v>
      </c>
      <c r="BC34" s="232">
        <f t="shared" si="0"/>
        <v>16.533333333333335</v>
      </c>
      <c r="BD34" s="274">
        <f t="shared" ref="BD34:BD63" si="4">SUM(BC34,AK34)</f>
        <v>46.533333333333331</v>
      </c>
      <c r="BE34" s="245"/>
      <c r="BF34" s="264"/>
      <c r="BG34" s="344"/>
    </row>
    <row r="35" spans="1:59" s="339" customFormat="1" ht="60" hidden="1">
      <c r="A35" s="187">
        <v>20181195008</v>
      </c>
      <c r="B35" s="19" t="str">
        <f>VLOOKUP(A35,'Datos Personales'!A:M,2,FALSE)</f>
        <v>PEÑA ARISMENDI SANTIAGO ANDRES</v>
      </c>
      <c r="C35" s="159">
        <f>VLOOKUP(A35,'ESTADOS ESTUDIANTES'!B:L,11,0)</f>
        <v>1026284597</v>
      </c>
      <c r="D35" s="159">
        <f>VLOOKUP(A35,'Datos Personales'!$A:$M,3,FALSE)</f>
        <v>195</v>
      </c>
      <c r="E35" s="159" t="str">
        <f>VLOOKUP(Tabla4[[#This Row],[ENFASIS]],Listas!$R$2:$S$8,2,0)</f>
        <v>EN TELEINF.</v>
      </c>
      <c r="F35" s="87" t="str">
        <f>VLOOKUP(A35,'Datos Personales'!A:M,8,0)</f>
        <v>saapenaa@udistrital.edu.co</v>
      </c>
      <c r="G35" s="87" t="str">
        <f>VLOOKUP(A35,'Datos Personales'!A:M,9,0)</f>
        <v>saapenaa@correo.udistrital.edu.co</v>
      </c>
      <c r="H35" s="87" t="str">
        <f>VLOOKUP(A35,'Datos Personales'!A:M,5,FALSE)</f>
        <v>E</v>
      </c>
      <c r="I35" s="159" t="str">
        <f>VLOOKUP(Tabla4[[#This Row],[CODIGO]],'ESTADOS ESTUDIANTES'!B:M,12,0)</f>
        <v>2024-3</v>
      </c>
      <c r="J35" s="87" t="s">
        <v>60</v>
      </c>
      <c r="K35" s="87" t="s">
        <v>359</v>
      </c>
      <c r="L35" s="87" t="s">
        <v>309</v>
      </c>
      <c r="M35" s="172" t="s">
        <v>360</v>
      </c>
      <c r="N35" s="86">
        <v>45364</v>
      </c>
      <c r="O35" s="23">
        <v>2024</v>
      </c>
      <c r="P35" s="23" t="s">
        <v>131</v>
      </c>
      <c r="Q35" s="87" t="s">
        <v>309</v>
      </c>
      <c r="R35" s="173">
        <v>45365</v>
      </c>
      <c r="S35" s="173">
        <f>IF(Tabla4[[#This Row],[FECHA DE ACEPTACION DEL GRUP. INV.]]="","",DATE(YEAR(Tabla4[[#This Row],[FECHA DE ACEPTACION DEL GRUP. INV.]])+2,MONTH(Tabla4[[#This Row],[FECHA DE ACEPTACION DEL GRUP. INV.]]),DAY(Tabla4[[#This Row],[FECHA DE ACEPTACION DEL GRUP. INV.]])))</f>
        <v>46095</v>
      </c>
      <c r="T35" s="173" t="str">
        <f ca="1">IF(Tabla4[[#This Row],[FECHA DE ACEPTACION DEL GRUP. INV.]]="","",IF(Tabla4[[#This Row],[FECHA DE VENCIMIENTO ANTE PROYECTO]]&lt;TODAY(),"SÍ","NO"))</f>
        <v>SÍ</v>
      </c>
      <c r="U35" s="319" t="s">
        <v>62</v>
      </c>
      <c r="V35" s="319"/>
      <c r="W35" s="87" t="s">
        <v>361</v>
      </c>
      <c r="X35" s="87"/>
      <c r="Y35" s="189">
        <v>43964</v>
      </c>
      <c r="Z35" s="191">
        <v>88.7</v>
      </c>
      <c r="AA35" s="189">
        <v>45323</v>
      </c>
      <c r="AB35" s="191">
        <v>133</v>
      </c>
      <c r="AC35" s="171" t="s">
        <v>79</v>
      </c>
      <c r="AD35" s="87" t="s">
        <v>362</v>
      </c>
      <c r="AE35" s="173">
        <v>45434</v>
      </c>
      <c r="AF35" s="173" t="s">
        <v>363</v>
      </c>
      <c r="AG35" s="171" t="s">
        <v>364</v>
      </c>
      <c r="AH35" s="171" t="s">
        <v>365</v>
      </c>
      <c r="AI35" s="171" t="s">
        <v>99</v>
      </c>
      <c r="AJ35" s="170">
        <f>IFERROR(VLOOKUP(AI35,Listas!K:L,2,0),"")</f>
        <v>0.2</v>
      </c>
      <c r="AK35" s="21">
        <f>IFERROR(VLOOKUP(AJ35,Listas!L:M,2,0),"")</f>
        <v>10</v>
      </c>
      <c r="AL35" s="173">
        <v>45432</v>
      </c>
      <c r="AM35" s="171" t="s">
        <v>366</v>
      </c>
      <c r="AN35" s="173">
        <v>45434</v>
      </c>
      <c r="AO35" s="23" t="s">
        <v>292</v>
      </c>
      <c r="AP35" s="86"/>
      <c r="AQ35" s="86"/>
      <c r="AR35" s="158"/>
      <c r="AS35" s="158"/>
      <c r="AT35" s="23"/>
      <c r="AU35" s="23" t="s">
        <v>247</v>
      </c>
      <c r="AV35" s="86"/>
      <c r="AW35" s="86"/>
      <c r="AX35" s="158"/>
      <c r="AY35" s="158"/>
      <c r="AZ35" s="23"/>
      <c r="BA35" s="86"/>
      <c r="BB35" s="232" t="str">
        <f>IFERROR(AVERAGE(AR35,AS35,AX35,AY35),"")</f>
        <v/>
      </c>
      <c r="BC35" s="232" t="e">
        <f t="shared" si="0"/>
        <v>#VALUE!</v>
      </c>
      <c r="BD35" s="274" t="e">
        <f t="shared" si="4"/>
        <v>#VALUE!</v>
      </c>
      <c r="BE35" s="172"/>
      <c r="BF35" s="172"/>
      <c r="BG35" s="293" t="s">
        <v>367</v>
      </c>
    </row>
    <row r="36" spans="1:59" s="339" customFormat="1" ht="60" hidden="1">
      <c r="A36" s="187">
        <v>20181195010</v>
      </c>
      <c r="B36" s="239" t="str">
        <f>VLOOKUP(A36,'ESTADOS ESTUDIANTES'!B:L,2,0)</f>
        <v>ROMERO ORTEGA RAUL</v>
      </c>
      <c r="C36" s="159">
        <f>VLOOKUP(A36,'ESTADOS ESTUDIANTES'!B:L,11,0)</f>
        <v>80205440</v>
      </c>
      <c r="D36" s="159">
        <f>VLOOKUP(A36,'Datos Personales'!$A:$M,3,FALSE)</f>
        <v>195</v>
      </c>
      <c r="E36" s="159" t="str">
        <f>VLOOKUP(Tabla4[[#This Row],[ENFASIS]],Listas!$R$2:$S$8,2,0)</f>
        <v>EN TELEINF.</v>
      </c>
      <c r="F36" s="87" t="str">
        <f>VLOOKUP(A36,'Datos Personales'!A:M,8,0)</f>
        <v>rromeroo@udistrital.edu.co</v>
      </c>
      <c r="G36" s="87" t="str">
        <f>VLOOKUP(A36,'Datos Personales'!A:M,9,0)</f>
        <v>rromeroo7519@gmail.com</v>
      </c>
      <c r="H36" s="87" t="str">
        <f>VLOOKUP(A36,'Datos Personales'!A:M,5,FALSE)</f>
        <v>E</v>
      </c>
      <c r="I36" s="159" t="str">
        <f>VLOOKUP(Tabla4[[#This Row],[CODIGO]],'ESTADOS ESTUDIANTES'!B:M,12,0)</f>
        <v>2024-3</v>
      </c>
      <c r="J36" s="171" t="s">
        <v>60</v>
      </c>
      <c r="K36" s="334" t="s">
        <v>368</v>
      </c>
      <c r="L36" s="87" t="s">
        <v>303</v>
      </c>
      <c r="M36" s="172"/>
      <c r="N36" s="86">
        <v>45434</v>
      </c>
      <c r="O36" s="23">
        <v>2024</v>
      </c>
      <c r="P36" s="23" t="s">
        <v>137</v>
      </c>
      <c r="Q36" s="87" t="s">
        <v>369</v>
      </c>
      <c r="R36" s="86">
        <v>45434</v>
      </c>
      <c r="S36" s="86">
        <f>IF(Tabla4[[#This Row],[FECHA DE ACEPTACION DEL GRUP. INV.]]="","",DATE(YEAR(Tabla4[[#This Row],[FECHA DE ACEPTACION DEL GRUP. INV.]])+2,MONTH(Tabla4[[#This Row],[FECHA DE ACEPTACION DEL GRUP. INV.]]),DAY(Tabla4[[#This Row],[FECHA DE ACEPTACION DEL GRUP. INV.]])))</f>
        <v>46164</v>
      </c>
      <c r="T36" s="86" t="str">
        <f ca="1">IF(Tabla4[[#This Row],[FECHA DE ACEPTACION DEL GRUP. INV.]]="","",IF(Tabla4[[#This Row],[FECHA DE VENCIMIENTO ANTE PROYECTO]]&lt;TODAY(),"SÍ","NO"))</f>
        <v>SÍ</v>
      </c>
      <c r="U36" s="355" t="s">
        <v>62</v>
      </c>
      <c r="V36" s="355"/>
      <c r="W36" s="87" t="s">
        <v>370</v>
      </c>
      <c r="X36" s="87"/>
      <c r="Y36" s="189">
        <v>43809</v>
      </c>
      <c r="Z36" s="191">
        <v>85.22</v>
      </c>
      <c r="AA36" s="86">
        <v>45531</v>
      </c>
      <c r="AB36" s="160">
        <v>92</v>
      </c>
      <c r="AC36" s="98" t="s">
        <v>79</v>
      </c>
      <c r="AD36" s="87" t="s">
        <v>371</v>
      </c>
      <c r="AE36" s="173">
        <v>45448</v>
      </c>
      <c r="AF36" s="173" t="s">
        <v>372</v>
      </c>
      <c r="AG36" s="171" t="s">
        <v>373</v>
      </c>
      <c r="AH36" s="171" t="s">
        <v>374</v>
      </c>
      <c r="AI36" s="171" t="s">
        <v>80</v>
      </c>
      <c r="AJ36" s="170">
        <f>IFERROR(VLOOKUP(AI36,Listas!K:L,2,0),"")</f>
        <v>0.6</v>
      </c>
      <c r="AK36" s="21">
        <f>IFERROR(VLOOKUP(AJ36,Listas!L:M,2,0),"")</f>
        <v>30</v>
      </c>
      <c r="AL36" s="86">
        <v>45427</v>
      </c>
      <c r="AM36" s="171" t="s">
        <v>366</v>
      </c>
      <c r="AN36" s="173">
        <v>45448</v>
      </c>
      <c r="AO36" s="23" t="s">
        <v>369</v>
      </c>
      <c r="AP36" s="86">
        <v>45499</v>
      </c>
      <c r="AQ36" s="86">
        <v>45524</v>
      </c>
      <c r="AR36" s="158">
        <v>44</v>
      </c>
      <c r="AS36" s="158">
        <v>40</v>
      </c>
      <c r="AT36" s="23" t="s">
        <v>41</v>
      </c>
      <c r="AU36" s="23" t="s">
        <v>375</v>
      </c>
      <c r="AV36" s="86">
        <v>45499</v>
      </c>
      <c r="AW36" s="86">
        <v>45524</v>
      </c>
      <c r="AX36" s="158">
        <v>50</v>
      </c>
      <c r="AY36" s="158">
        <v>50</v>
      </c>
      <c r="AZ36" s="23" t="s">
        <v>41</v>
      </c>
      <c r="BA36" s="86">
        <v>45524</v>
      </c>
      <c r="BB36" s="232">
        <f>IFERROR(AVERAGE(AR36,AS36,AX36,AY36),"")</f>
        <v>46</v>
      </c>
      <c r="BC36" s="232">
        <f t="shared" si="0"/>
        <v>18.400000000000002</v>
      </c>
      <c r="BD36" s="274">
        <f t="shared" si="4"/>
        <v>48.400000000000006</v>
      </c>
      <c r="BE36" s="172"/>
      <c r="BF36" s="172"/>
      <c r="BG36" s="293" t="s">
        <v>376</v>
      </c>
    </row>
    <row r="37" spans="1:59" s="339" customFormat="1" ht="30" hidden="1">
      <c r="A37" s="142">
        <v>20181395006</v>
      </c>
      <c r="B37" s="19" t="str">
        <f>VLOOKUP(A37,'Datos Personales'!A:M,2,FALSE)</f>
        <v>ROBLES MONDRAGON DUVAN ALEXANDER</v>
      </c>
      <c r="C37" s="19">
        <f>VLOOKUP(A37,'ESTADOS ESTUDIANTES'!B:L,11,0)</f>
        <v>1010191260</v>
      </c>
      <c r="D37" s="19">
        <f>VLOOKUP(A37,'Datos Personales'!$A:$M,3,FALSE)</f>
        <v>395</v>
      </c>
      <c r="E37" s="19" t="str">
        <f>VLOOKUP(Tabla4[[#This Row],[ENFASIS]],Listas!$R$2:$S$8,2,0)</f>
        <v>ENFASIS EN GEOMATICA</v>
      </c>
      <c r="F37" s="19" t="str">
        <f>VLOOKUP(A37,'Datos Personales'!A:M,8,0)</f>
        <v>daroblesm@correo.udistrital.edu.co</v>
      </c>
      <c r="G37" s="19" t="str">
        <f>VLOOKUP(A37,'Datos Personales'!A:M,9,0)</f>
        <v>dalexrobles@gmail.com</v>
      </c>
      <c r="H37" s="19" t="str">
        <f>VLOOKUP(A37,'Datos Personales'!A:M,5,FALSE)</f>
        <v>E</v>
      </c>
      <c r="I37" s="19" t="str">
        <f>VLOOKUP(Tabla4[[#This Row],[CODIGO]],'ESTADOS ESTUDIANTES'!B:M,12,0)</f>
        <v>2022-3</v>
      </c>
      <c r="J37" s="144" t="s">
        <v>60</v>
      </c>
      <c r="K37" s="144" t="s">
        <v>377</v>
      </c>
      <c r="L37" s="144" t="s">
        <v>303</v>
      </c>
      <c r="M37" s="147"/>
      <c r="N37" s="145">
        <v>43672</v>
      </c>
      <c r="O37" s="143">
        <v>2019</v>
      </c>
      <c r="P37" s="144" t="s">
        <v>378</v>
      </c>
      <c r="Q37" s="144" t="s">
        <v>369</v>
      </c>
      <c r="R37" s="150">
        <v>43672</v>
      </c>
      <c r="S37" s="150">
        <f>IF(Tabla4[[#This Row],[FECHA DE ACEPTACION DEL GRUP. INV.]]="","",DATE(YEAR(Tabla4[[#This Row],[FECHA DE ACEPTACION DEL GRUP. INV.]])+2,MONTH(Tabla4[[#This Row],[FECHA DE ACEPTACION DEL GRUP. INV.]]),DAY(Tabla4[[#This Row],[FECHA DE ACEPTACION DEL GRUP. INV.]])))</f>
        <v>44403</v>
      </c>
      <c r="T37" s="150" t="str">
        <f ca="1">IF(Tabla4[[#This Row],[FECHA DE ACEPTACION DEL GRUP. INV.]]="","",IF(Tabla4[[#This Row],[FECHA DE VENCIMIENTO ANTE PROYECTO]]&lt;TODAY(),"SÍ","NO"))</f>
        <v>SÍ</v>
      </c>
      <c r="U37" s="150"/>
      <c r="V37" s="150"/>
      <c r="W37" s="144" t="s">
        <v>379</v>
      </c>
      <c r="X37" s="144"/>
      <c r="Y37" s="145"/>
      <c r="Z37" s="146"/>
      <c r="AA37" s="145">
        <v>44468</v>
      </c>
      <c r="AB37" s="146">
        <v>88.75</v>
      </c>
      <c r="AC37" s="98" t="s">
        <v>79</v>
      </c>
      <c r="AD37" s="144" t="s">
        <v>380</v>
      </c>
      <c r="AE37" s="150">
        <v>44573</v>
      </c>
      <c r="AF37" s="150"/>
      <c r="AG37" s="171"/>
      <c r="AH37" s="171"/>
      <c r="AI37" s="171" t="s">
        <v>80</v>
      </c>
      <c r="AJ37" s="170">
        <f>IFERROR(VLOOKUP(AI37,Listas!K:L,2,0),"")</f>
        <v>0.6</v>
      </c>
      <c r="AK37" s="21">
        <f>IFERROR(VLOOKUP(AJ37,Listas!L:M,2,0),"")</f>
        <v>30</v>
      </c>
      <c r="AL37" s="145">
        <v>44512</v>
      </c>
      <c r="AM37" s="144" t="s">
        <v>381</v>
      </c>
      <c r="AN37" s="145">
        <v>44512</v>
      </c>
      <c r="AO37" s="144" t="s">
        <v>382</v>
      </c>
      <c r="AP37" s="145">
        <v>44512</v>
      </c>
      <c r="AQ37" s="145">
        <v>44545</v>
      </c>
      <c r="AR37" s="143">
        <v>44</v>
      </c>
      <c r="AS37" s="142">
        <v>42</v>
      </c>
      <c r="AT37" s="144" t="s">
        <v>41</v>
      </c>
      <c r="AU37" s="144" t="s">
        <v>338</v>
      </c>
      <c r="AV37" s="145">
        <v>44512</v>
      </c>
      <c r="AW37" s="145">
        <v>44573</v>
      </c>
      <c r="AX37" s="142">
        <v>47</v>
      </c>
      <c r="AY37" s="142">
        <v>48</v>
      </c>
      <c r="AZ37" s="144" t="s">
        <v>383</v>
      </c>
      <c r="BA37" s="145">
        <v>44573</v>
      </c>
      <c r="BB37" s="142">
        <f>IFERROR(ROUND(AVERAGE(AY37,AX37,AS37,AR37),0),"")</f>
        <v>45</v>
      </c>
      <c r="BC37" s="232">
        <f t="shared" si="0"/>
        <v>18</v>
      </c>
      <c r="BD37" s="185">
        <f t="shared" si="4"/>
        <v>48</v>
      </c>
      <c r="BE37" s="144" t="s">
        <v>48</v>
      </c>
      <c r="BF37" s="147"/>
      <c r="BG37" s="293" t="str">
        <f t="shared" ref="BG37:BG46" si="5">IF(OR(H37="A",$H37="D",$H37="P",$H37="V"),L37,"")</f>
        <v/>
      </c>
    </row>
    <row r="38" spans="1:59" s="339" customFormat="1" ht="15" hidden="1">
      <c r="A38" s="187">
        <v>20181495001</v>
      </c>
      <c r="B38" s="188" t="str">
        <f>VLOOKUP(A38,'Datos Personales'!A:M,2,FALSE)</f>
        <v>BARON JEREZ LADY MAYERLY</v>
      </c>
      <c r="C38" s="188">
        <f>VLOOKUP(A38,'ESTADOS ESTUDIANTES'!B:L,11,0)</f>
        <v>53153876</v>
      </c>
      <c r="D38" s="188">
        <f>VLOOKUP(A38,'Datos Personales'!$A:$M,3,FALSE)</f>
        <v>495</v>
      </c>
      <c r="E38" s="188" t="str">
        <f>VLOOKUP(Tabla4[[#This Row],[ENFASIS]],Listas!$R$2:$S$8,2,0)</f>
        <v>ENFASIS EN ING. SOFT</v>
      </c>
      <c r="F38" s="188" t="str">
        <f>VLOOKUP(A38,'Datos Personales'!A:M,8,0)</f>
        <v>lmbaronj@udistrital.edu.co</v>
      </c>
      <c r="G38" s="188" t="str">
        <f>VLOOKUP(A38,'Datos Personales'!A:M,9,0)</f>
        <v>ladybaronj@gmail.com</v>
      </c>
      <c r="H38" s="188" t="str">
        <f>VLOOKUP(A38,'Datos Personales'!A:M,5,FALSE)</f>
        <v>X</v>
      </c>
      <c r="I38" s="188" t="str">
        <f>VLOOKUP(Tabla4[[#This Row],[CODIGO]],'ESTADOS ESTUDIANTES'!B:M,12,0)</f>
        <v>2024-1</v>
      </c>
      <c r="J38" s="171" t="s">
        <v>60</v>
      </c>
      <c r="K38" s="171"/>
      <c r="L38" s="171"/>
      <c r="M38" s="169"/>
      <c r="N38" s="189"/>
      <c r="O38" s="188"/>
      <c r="P38" s="171"/>
      <c r="Q38" s="171"/>
      <c r="R38" s="190"/>
      <c r="S38" s="190" t="str">
        <f>IF(Tabla4[[#This Row],[FECHA DE ACEPTACION DEL GRUP. INV.]]="","",DATE(YEAR(Tabla4[[#This Row],[FECHA DE ACEPTACION DEL GRUP. INV.]])+2,MONTH(Tabla4[[#This Row],[FECHA DE ACEPTACION DEL GRUP. INV.]]),DAY(Tabla4[[#This Row],[FECHA DE ACEPTACION DEL GRUP. INV.]])))</f>
        <v/>
      </c>
      <c r="T38" s="190" t="str">
        <f ca="1">IF(Tabla4[[#This Row],[FECHA DE ACEPTACION DEL GRUP. INV.]]="","",IF(Tabla4[[#This Row],[FECHA DE VENCIMIENTO ANTE PROYECTO]]&lt;TODAY(),"SÍ","NO"))</f>
        <v/>
      </c>
      <c r="U38" s="190"/>
      <c r="V38" s="190"/>
      <c r="W38" s="171"/>
      <c r="X38" s="171"/>
      <c r="Y38" s="189"/>
      <c r="Z38" s="191"/>
      <c r="AA38" s="189">
        <v>44510</v>
      </c>
      <c r="AB38" s="191">
        <v>68.22</v>
      </c>
      <c r="AC38" s="98" t="s">
        <v>87</v>
      </c>
      <c r="AD38" s="171"/>
      <c r="AE38" s="190"/>
      <c r="AF38" s="190"/>
      <c r="AG38" s="171"/>
      <c r="AH38" s="171"/>
      <c r="AI38" s="171"/>
      <c r="AJ38" s="170" t="str">
        <f>IFERROR(VLOOKUP(AI38,Listas!K:L,2,0),"")</f>
        <v/>
      </c>
      <c r="AK38" s="21" t="str">
        <f>IFERROR(VLOOKUP(AJ38,Listas!L:M,2,0),"")</f>
        <v/>
      </c>
      <c r="AL38" s="189"/>
      <c r="AM38" s="169"/>
      <c r="AN38" s="189"/>
      <c r="AO38" s="169"/>
      <c r="AP38" s="189"/>
      <c r="AQ38" s="189"/>
      <c r="AR38" s="187"/>
      <c r="AS38" s="187"/>
      <c r="AT38" s="169"/>
      <c r="AU38" s="169"/>
      <c r="AV38" s="189"/>
      <c r="AW38" s="189"/>
      <c r="AX38" s="187"/>
      <c r="AY38" s="187"/>
      <c r="AZ38" s="169"/>
      <c r="BA38" s="189"/>
      <c r="BB38" s="232" t="str">
        <f>IFERROR(AVERAGE(AR38,AS38,AX38,AY38),"")</f>
        <v/>
      </c>
      <c r="BC38" s="232" t="e">
        <f t="shared" si="0"/>
        <v>#VALUE!</v>
      </c>
      <c r="BD38" s="232" t="e">
        <f t="shared" si="4"/>
        <v>#VALUE!</v>
      </c>
      <c r="BE38" s="169"/>
      <c r="BF38" s="169"/>
      <c r="BG38" s="234" t="str">
        <f t="shared" si="5"/>
        <v/>
      </c>
    </row>
    <row r="39" spans="1:59" ht="15" hidden="1">
      <c r="A39" s="21">
        <v>20181495008</v>
      </c>
      <c r="B39" s="19" t="str">
        <f>VLOOKUP(A39,'Datos Personales'!A:M,2,FALSE)</f>
        <v>CORREA ALBA KAREN MICHELLE</v>
      </c>
      <c r="C39" s="19">
        <f>VLOOKUP(A39,'ESTADOS ESTUDIANTES'!B:L,11,0)</f>
        <v>1026285169</v>
      </c>
      <c r="D39" s="19">
        <f>VLOOKUP(A39,'Datos Personales'!$A:$M,3,FALSE)</f>
        <v>495</v>
      </c>
      <c r="E39" s="19" t="str">
        <f>VLOOKUP(Tabla4[[#This Row],[ENFASIS]],Listas!$R$2:$S$8,2,0)</f>
        <v>ENFASIS EN ING. SOFT</v>
      </c>
      <c r="F39" s="19" t="str">
        <f>VLOOKUP(A39,'Datos Personales'!A:M,8,0)</f>
        <v>kmcorreaa@udistrital.edu.co</v>
      </c>
      <c r="G39" s="19" t="str">
        <f>VLOOKUP(A39,'Datos Personales'!A:M,9,0)</f>
        <v>karencorrea93@hotmail.com</v>
      </c>
      <c r="H39" s="19" t="str">
        <f>VLOOKUP(A39,'Datos Personales'!A:M,5,FALSE)</f>
        <v>X</v>
      </c>
      <c r="I39" s="19" t="str">
        <f>VLOOKUP(Tabla4[[#This Row],[CODIGO]],'ESTADOS ESTUDIANTES'!B:M,12,0)</f>
        <v>2020-3</v>
      </c>
      <c r="J39" s="23"/>
      <c r="K39" s="23"/>
      <c r="L39" s="23"/>
      <c r="M39" s="23"/>
      <c r="N39" s="96"/>
      <c r="O39" s="19"/>
      <c r="P39" s="23"/>
      <c r="Q39" s="23"/>
      <c r="R39" s="124"/>
      <c r="S39" s="124" t="str">
        <f>IF(Tabla4[[#This Row],[FECHA DE ACEPTACION DEL GRUP. INV.]]="","",DATE(YEAR(Tabla4[[#This Row],[FECHA DE ACEPTACION DEL GRUP. INV.]])+2,MONTH(Tabla4[[#This Row],[FECHA DE ACEPTACION DEL GRUP. INV.]]),DAY(Tabla4[[#This Row],[FECHA DE ACEPTACION DEL GRUP. INV.]])))</f>
        <v/>
      </c>
      <c r="T39" s="124" t="str">
        <f ca="1">IF(Tabla4[[#This Row],[FECHA DE ACEPTACION DEL GRUP. INV.]]="","",IF(Tabla4[[#This Row],[FECHA DE VENCIMIENTO ANTE PROYECTO]]&lt;TODAY(),"SÍ","NO"))</f>
        <v/>
      </c>
      <c r="U39" s="124"/>
      <c r="V39" s="124"/>
      <c r="W39" s="18"/>
      <c r="X39" s="18"/>
      <c r="Y39" s="96"/>
      <c r="Z39" s="97"/>
      <c r="AA39" s="96"/>
      <c r="AB39" s="97"/>
      <c r="AC39" s="110"/>
      <c r="AD39" s="18"/>
      <c r="AE39" s="124"/>
      <c r="AF39" s="124"/>
      <c r="AG39" s="169"/>
      <c r="AH39" s="169"/>
      <c r="AI39" s="169"/>
      <c r="AJ39" s="170" t="str">
        <f>IFERROR(VLOOKUP(AI39,Listas!K:L,2,0),"")</f>
        <v/>
      </c>
      <c r="AK39" s="21" t="str">
        <f>IFERROR(VLOOKUP(AJ39,Listas!L:M,2,0),"")</f>
        <v/>
      </c>
      <c r="AL39" s="96"/>
      <c r="AM39" s="23"/>
      <c r="AN39" s="96"/>
      <c r="AO39" s="23"/>
      <c r="AP39" s="96"/>
      <c r="AQ39" s="96"/>
      <c r="AR39" s="21"/>
      <c r="AS39" s="21"/>
      <c r="AT39" s="23"/>
      <c r="AU39" s="23"/>
      <c r="AV39" s="96"/>
      <c r="AW39" s="96"/>
      <c r="AX39" s="21"/>
      <c r="AY39" s="21"/>
      <c r="AZ39" s="23"/>
      <c r="BA39" s="96"/>
      <c r="BB39" s="18" t="str">
        <f>IFERROR(ROUND(AVERAGE(AY39,AX39,AS39,AR39),0),"")</f>
        <v/>
      </c>
      <c r="BC39" s="232" t="e">
        <f t="shared" si="0"/>
        <v>#VALUE!</v>
      </c>
      <c r="BD39" s="185" t="e">
        <f t="shared" si="4"/>
        <v>#VALUE!</v>
      </c>
      <c r="BE39" s="19"/>
      <c r="BF39" s="23"/>
      <c r="BG39" s="293" t="str">
        <f t="shared" si="5"/>
        <v/>
      </c>
    </row>
    <row r="40" spans="1:59" ht="60" hidden="1">
      <c r="A40" s="187">
        <v>20182195004</v>
      </c>
      <c r="B40" s="188" t="str">
        <f>VLOOKUP(A40,'Datos Personales'!A:M,2,FALSE)</f>
        <v>RAMÍREZ JEREZ LUIS EDUARDO</v>
      </c>
      <c r="C40" s="188">
        <f>VLOOKUP(A40,'ESTADOS ESTUDIANTES'!B:L,11,0)</f>
        <v>1014184238</v>
      </c>
      <c r="D40" s="188">
        <f>VLOOKUP(A40,'Datos Personales'!$A:$M,3,FALSE)</f>
        <v>195</v>
      </c>
      <c r="E40" s="188" t="str">
        <f>VLOOKUP(Tabla4[[#This Row],[ENFASIS]],Listas!$R$2:$S$8,2,0)</f>
        <v>EN TELEINF.</v>
      </c>
      <c r="F40" s="188" t="str">
        <f>VLOOKUP(A40,'Datos Personales'!A:M,8,0)</f>
        <v>leramirezj@udistrital.edu.co</v>
      </c>
      <c r="G40" s="188" t="str">
        <f>VLOOKUP(A40,'Datos Personales'!A:M,9,0)</f>
        <v>leramirezj182@gmail.com</v>
      </c>
      <c r="H40" s="188" t="str">
        <f>VLOOKUP(A40,'Datos Personales'!A:M,5,FALSE)</f>
        <v>X</v>
      </c>
      <c r="I40" s="188" t="str">
        <f>VLOOKUP(Tabla4[[#This Row],[CODIGO]],'ESTADOS ESTUDIANTES'!B:M,12,0)</f>
        <v>2024-1</v>
      </c>
      <c r="J40" s="171" t="s">
        <v>60</v>
      </c>
      <c r="K40" s="171" t="s">
        <v>384</v>
      </c>
      <c r="L40" s="171" t="s">
        <v>385</v>
      </c>
      <c r="M40" s="169"/>
      <c r="N40" s="189"/>
      <c r="O40" s="188">
        <v>2019</v>
      </c>
      <c r="P40" s="171" t="s">
        <v>140</v>
      </c>
      <c r="Q40" s="171" t="s">
        <v>385</v>
      </c>
      <c r="R40" s="190">
        <v>43635</v>
      </c>
      <c r="S40" s="190">
        <f>IF(Tabla4[[#This Row],[FECHA DE ACEPTACION DEL GRUP. INV.]]="","",DATE(YEAR(Tabla4[[#This Row],[FECHA DE ACEPTACION DEL GRUP. INV.]])+2,MONTH(Tabla4[[#This Row],[FECHA DE ACEPTACION DEL GRUP. INV.]]),DAY(Tabla4[[#This Row],[FECHA DE ACEPTACION DEL GRUP. INV.]])))</f>
        <v>44366</v>
      </c>
      <c r="T40" s="190" t="str">
        <f ca="1">IF(Tabla4[[#This Row],[FECHA DE ACEPTACION DEL GRUP. INV.]]="","",IF(Tabla4[[#This Row],[FECHA DE VENCIMIENTO ANTE PROYECTO]]&lt;TODAY(),"SÍ","NO"))</f>
        <v>SÍ</v>
      </c>
      <c r="U40" s="237" t="s">
        <v>62</v>
      </c>
      <c r="V40" s="237"/>
      <c r="W40" s="171" t="s">
        <v>386</v>
      </c>
      <c r="X40" s="171"/>
      <c r="Y40" s="189"/>
      <c r="Z40" s="191"/>
      <c r="AA40" s="189">
        <v>44097</v>
      </c>
      <c r="AB40" s="191">
        <v>81.31</v>
      </c>
      <c r="AC40" s="98" t="s">
        <v>79</v>
      </c>
      <c r="AD40" s="171"/>
      <c r="AE40" s="190"/>
      <c r="AF40" s="190"/>
      <c r="AG40" s="171"/>
      <c r="AH40" s="171"/>
      <c r="AI40" s="171"/>
      <c r="AJ40" s="170" t="str">
        <f>IFERROR(VLOOKUP(AI40,Listas!K:L,2,0),"")</f>
        <v/>
      </c>
      <c r="AK40" s="21" t="str">
        <f>IFERROR(VLOOKUP(AJ40,Listas!L:M,2,0),"")</f>
        <v/>
      </c>
      <c r="AL40" s="189"/>
      <c r="AM40" s="169"/>
      <c r="AN40" s="189"/>
      <c r="AO40" s="169"/>
      <c r="AP40" s="189"/>
      <c r="AQ40" s="189"/>
      <c r="AR40" s="187"/>
      <c r="AS40" s="187"/>
      <c r="AT40" s="169"/>
      <c r="AU40" s="169"/>
      <c r="AV40" s="189"/>
      <c r="AW40" s="189"/>
      <c r="AX40" s="187"/>
      <c r="AY40" s="187"/>
      <c r="AZ40" s="169"/>
      <c r="BA40" s="189"/>
      <c r="BB40" s="187" t="str">
        <f t="shared" ref="BB40:BB47" si="6">IFERROR(AVERAGE(AR40,AS40,AX40,AY40),"")</f>
        <v/>
      </c>
      <c r="BC40" s="187" t="e">
        <f t="shared" si="0"/>
        <v>#VALUE!</v>
      </c>
      <c r="BD40" s="187" t="e">
        <f t="shared" si="4"/>
        <v>#VALUE!</v>
      </c>
      <c r="BE40" s="236"/>
      <c r="BF40" s="169"/>
      <c r="BG40" s="234" t="str">
        <f t="shared" si="5"/>
        <v/>
      </c>
    </row>
    <row r="41" spans="1:59" s="339" customFormat="1" ht="60" hidden="1">
      <c r="A41" s="187">
        <v>20182195007</v>
      </c>
      <c r="B41" s="188" t="str">
        <f>VLOOKUP(A41,'Datos Personales'!A:M,2,FALSE)</f>
        <v>MERIÑO SUAREZ IVET PATRICIA</v>
      </c>
      <c r="C41" s="188">
        <f>VLOOKUP(A41,'ESTADOS ESTUDIANTES'!B:L,11,0)</f>
        <v>45716000</v>
      </c>
      <c r="D41" s="188">
        <f>VLOOKUP(A41,'Datos Personales'!$A:$M,3,FALSE)</f>
        <v>195</v>
      </c>
      <c r="E41" s="188" t="str">
        <f>VLOOKUP(Tabla4[[#This Row],[ENFASIS]],Listas!$R$2:$S$8,2,0)</f>
        <v>EN TELEINF.</v>
      </c>
      <c r="F41" s="188" t="str">
        <f>VLOOKUP(A41,'Datos Personales'!A:M,8,0)</f>
        <v>ipmerinos@udistrital.edu.co</v>
      </c>
      <c r="G41" s="188" t="str">
        <f>VLOOKUP(A41,'Datos Personales'!A:M,9,0)</f>
        <v>ivetpatricia@hotmail.com</v>
      </c>
      <c r="H41" s="188" t="str">
        <f>VLOOKUP(A41,'Datos Personales'!A:M,5,FALSE)</f>
        <v>X</v>
      </c>
      <c r="I41" s="188" t="str">
        <f>VLOOKUP(Tabla4[[#This Row],[CODIGO]],'ESTADOS ESTUDIANTES'!B:M,12,0)</f>
        <v>2024-3</v>
      </c>
      <c r="J41" s="171" t="s">
        <v>60</v>
      </c>
      <c r="K41" s="171" t="s">
        <v>387</v>
      </c>
      <c r="L41" s="171" t="s">
        <v>385</v>
      </c>
      <c r="M41" s="169"/>
      <c r="N41" s="189">
        <v>43628</v>
      </c>
      <c r="O41" s="188">
        <v>2019</v>
      </c>
      <c r="P41" s="171" t="s">
        <v>140</v>
      </c>
      <c r="Q41" s="171" t="s">
        <v>385</v>
      </c>
      <c r="R41" s="190">
        <v>43628</v>
      </c>
      <c r="S41" s="190">
        <f>IF(Tabla4[[#This Row],[FECHA DE ACEPTACION DEL GRUP. INV.]]="","",DATE(YEAR(Tabla4[[#This Row],[FECHA DE ACEPTACION DEL GRUP. INV.]])+2,MONTH(Tabla4[[#This Row],[FECHA DE ACEPTACION DEL GRUP. INV.]]),DAY(Tabla4[[#This Row],[FECHA DE ACEPTACION DEL GRUP. INV.]])))</f>
        <v>44359</v>
      </c>
      <c r="T41" s="190" t="str">
        <f ca="1">IF(Tabla4[[#This Row],[FECHA DE ACEPTACION DEL GRUP. INV.]]="","",IF(Tabla4[[#This Row],[FECHA DE VENCIMIENTO ANTE PROYECTO]]&lt;TODAY(),"SÍ","NO"))</f>
        <v>SÍ</v>
      </c>
      <c r="U41" s="237" t="s">
        <v>62</v>
      </c>
      <c r="V41" s="237"/>
      <c r="W41" s="171" t="s">
        <v>388</v>
      </c>
      <c r="X41" s="171"/>
      <c r="Y41" s="189"/>
      <c r="Z41" s="191"/>
      <c r="AA41" s="189">
        <v>44097</v>
      </c>
      <c r="AB41" s="191">
        <v>90.65</v>
      </c>
      <c r="AC41" s="98" t="s">
        <v>79</v>
      </c>
      <c r="AD41" s="171"/>
      <c r="AE41" s="190"/>
      <c r="AF41" s="190"/>
      <c r="AG41" s="171"/>
      <c r="AH41" s="171"/>
      <c r="AI41" s="171"/>
      <c r="AJ41" s="170" t="str">
        <f>IFERROR(VLOOKUP(AI41,Listas!K:L,2,0),"")</f>
        <v/>
      </c>
      <c r="AK41" s="21" t="str">
        <f>IFERROR(VLOOKUP(AJ41,Listas!L:M,2,0),"")</f>
        <v/>
      </c>
      <c r="AL41" s="189"/>
      <c r="AM41" s="169"/>
      <c r="AN41" s="189"/>
      <c r="AO41" s="169"/>
      <c r="AP41" s="189"/>
      <c r="AQ41" s="189"/>
      <c r="AR41" s="187"/>
      <c r="AS41" s="187"/>
      <c r="AT41" s="169"/>
      <c r="AU41" s="169"/>
      <c r="AV41" s="189"/>
      <c r="AW41" s="189"/>
      <c r="AX41" s="187"/>
      <c r="AY41" s="187"/>
      <c r="AZ41" s="169"/>
      <c r="BA41" s="189"/>
      <c r="BB41" s="187" t="str">
        <f t="shared" si="6"/>
        <v/>
      </c>
      <c r="BC41" s="187" t="e">
        <f t="shared" si="0"/>
        <v>#VALUE!</v>
      </c>
      <c r="BD41" s="187" t="e">
        <f t="shared" si="4"/>
        <v>#VALUE!</v>
      </c>
      <c r="BE41" s="236"/>
      <c r="BF41" s="169"/>
      <c r="BG41" s="234" t="str">
        <f t="shared" si="5"/>
        <v/>
      </c>
    </row>
    <row r="42" spans="1:59" s="339" customFormat="1" ht="120" hidden="1">
      <c r="A42" s="374">
        <v>20182395005</v>
      </c>
      <c r="B42" s="188" t="str">
        <f>VLOOKUP(A42,'Datos Personales'!A:M,2,FALSE)</f>
        <v>GALINDO AMBUILA JHON ALEXANDER</v>
      </c>
      <c r="C42" s="159">
        <f>VLOOKUP(A42,'ESTADOS ESTUDIANTES'!B:L,11,0)</f>
        <v>1010208668</v>
      </c>
      <c r="D42" s="159">
        <f>VLOOKUP(A42,'Datos Personales'!$A:$M,3,FALSE)</f>
        <v>395</v>
      </c>
      <c r="E42" s="159" t="str">
        <f>VLOOKUP(Tabla4[[#This Row],[ENFASIS]],Listas!$R$2:$S$8,2,0)</f>
        <v>ENFASIS EN GEOMATICA</v>
      </c>
      <c r="F42" s="87" t="str">
        <f>VLOOKUP(A42,'Datos Personales'!A:M,8,0)</f>
        <v>jagalindoa@udistrital.edu.co</v>
      </c>
      <c r="G42" s="87" t="str">
        <f>VLOOKUP(A42,'Datos Personales'!A:M,9,0)</f>
        <v>jagalindoa@correo.udistrital.edu.co</v>
      </c>
      <c r="H42" s="87" t="str">
        <f>VLOOKUP(A42,'Datos Personales'!A:M,5,FALSE)</f>
        <v>E</v>
      </c>
      <c r="I42" s="159" t="str">
        <f>VLOOKUP(Tabla4[[#This Row],[CODIGO]],'ESTADOS ESTUDIANTES'!B:M,12,0)</f>
        <v>2024-3</v>
      </c>
      <c r="J42" s="87" t="s">
        <v>60</v>
      </c>
      <c r="K42" s="171" t="s">
        <v>389</v>
      </c>
      <c r="L42" s="87" t="s">
        <v>344</v>
      </c>
      <c r="M42" s="172"/>
      <c r="N42" s="86">
        <v>45456</v>
      </c>
      <c r="O42" s="188">
        <v>2024</v>
      </c>
      <c r="P42" s="171" t="s">
        <v>146</v>
      </c>
      <c r="Q42" s="87" t="s">
        <v>344</v>
      </c>
      <c r="R42" s="173"/>
      <c r="S42" s="173" t="str">
        <f>IF(Tabla4[[#This Row],[FECHA DE ACEPTACION DEL GRUP. INV.]]="","",DATE(YEAR(Tabla4[[#This Row],[FECHA DE ACEPTACION DEL GRUP. INV.]])+2,MONTH(Tabla4[[#This Row],[FECHA DE ACEPTACION DEL GRUP. INV.]]),DAY(Tabla4[[#This Row],[FECHA DE ACEPTACION DEL GRUP. INV.]])))</f>
        <v/>
      </c>
      <c r="T42" s="173" t="str">
        <f ca="1">IF(Tabla4[[#This Row],[FECHA DE ACEPTACION DEL GRUP. INV.]]="","",IF(Tabla4[[#This Row],[FECHA DE VENCIMIENTO ANTE PROYECTO]]&lt;TODAY(),"SÍ","NO"))</f>
        <v/>
      </c>
      <c r="U42" s="319" t="s">
        <v>62</v>
      </c>
      <c r="V42" s="319"/>
      <c r="W42" s="87"/>
      <c r="X42" s="87"/>
      <c r="Y42" s="86"/>
      <c r="Z42" s="160"/>
      <c r="AA42" s="86">
        <v>45586</v>
      </c>
      <c r="AB42" s="160" t="s">
        <v>390</v>
      </c>
      <c r="AC42" s="98" t="s">
        <v>79</v>
      </c>
      <c r="AD42" s="87" t="s">
        <v>391</v>
      </c>
      <c r="AE42" s="173">
        <v>45595</v>
      </c>
      <c r="AF42" s="173" t="s">
        <v>392</v>
      </c>
      <c r="AG42" s="171" t="s">
        <v>393</v>
      </c>
      <c r="AH42" s="171" t="s">
        <v>394</v>
      </c>
      <c r="AI42" s="171" t="s">
        <v>88</v>
      </c>
      <c r="AJ42" s="170">
        <f>IFERROR(VLOOKUP(AI42,Listas!K:L,2,0),"")</f>
        <v>0.6</v>
      </c>
      <c r="AK42" s="21">
        <f>IFERROR(VLOOKUP(AJ42,Listas!L:M,2,0),"")</f>
        <v>30</v>
      </c>
      <c r="AL42" s="86">
        <v>45595</v>
      </c>
      <c r="AM42" s="172" t="s">
        <v>391</v>
      </c>
      <c r="AN42" s="86">
        <v>45595</v>
      </c>
      <c r="AO42" s="169" t="s">
        <v>395</v>
      </c>
      <c r="AP42" s="86"/>
      <c r="AQ42" s="86"/>
      <c r="AR42" s="158"/>
      <c r="AS42" s="158"/>
      <c r="AT42" s="169"/>
      <c r="AU42" s="169" t="s">
        <v>396</v>
      </c>
      <c r="AV42" s="86"/>
      <c r="AW42" s="86"/>
      <c r="AX42" s="158"/>
      <c r="AY42" s="158"/>
      <c r="AZ42" s="169"/>
      <c r="BA42" s="86"/>
      <c r="BB42" s="187" t="str">
        <f t="shared" si="6"/>
        <v/>
      </c>
      <c r="BC42" s="187" t="e">
        <f t="shared" si="0"/>
        <v>#VALUE!</v>
      </c>
      <c r="BD42" s="158" t="e">
        <f t="shared" si="4"/>
        <v>#VALUE!</v>
      </c>
      <c r="BE42" s="300"/>
      <c r="BF42" s="172"/>
      <c r="BG42" s="234" t="str">
        <f t="shared" si="5"/>
        <v/>
      </c>
    </row>
    <row r="43" spans="1:59" s="339" customFormat="1" ht="60" hidden="1">
      <c r="A43" s="662">
        <v>20182395007</v>
      </c>
      <c r="B43" s="659" t="str">
        <f>VLOOKUP(A43,'Datos Personales'!A:M,2,FALSE)</f>
        <v>HURTADO VÁSQUEZ CRISTIAN CAMILO</v>
      </c>
      <c r="C43" s="659">
        <f>VLOOKUP(A43,'ESTADOS ESTUDIANTES'!B:L,11,0)</f>
        <v>1026269815</v>
      </c>
      <c r="D43" s="659">
        <f>VLOOKUP(A43,'Datos Personales'!$A:$M,3,FALSE)</f>
        <v>395</v>
      </c>
      <c r="E43" s="659" t="str">
        <f>VLOOKUP(Tabla4[[#This Row],[ENFASIS]],Listas!$R$2:$S$8,2,0)</f>
        <v>ENFASIS EN GEOMATICA</v>
      </c>
      <c r="F43" s="659" t="str">
        <f>VLOOKUP(A43,'Datos Personales'!A:M,8,0)</f>
        <v>cchurtadov@udistrital.edu.co</v>
      </c>
      <c r="G43" s="651" t="str">
        <f>VLOOKUP(A43,'Datos Personales'!A:M,9,0)</f>
        <v>cchurtadov@udistrital.edu.co</v>
      </c>
      <c r="H43" s="651" t="str">
        <f>VLOOKUP(A43,'Datos Personales'!A:M,5,FALSE)</f>
        <v>X</v>
      </c>
      <c r="I43" s="659" t="str">
        <f>VLOOKUP(Tabla4[[#This Row],[CODIGO]],'ESTADOS ESTUDIANTES'!B:M,12,0)</f>
        <v>2026-1</v>
      </c>
      <c r="J43" s="651" t="s">
        <v>60</v>
      </c>
      <c r="K43" s="651" t="s">
        <v>397</v>
      </c>
      <c r="L43" s="651" t="s">
        <v>398</v>
      </c>
      <c r="M43" s="652"/>
      <c r="N43" s="655">
        <v>45581</v>
      </c>
      <c r="O43" s="659">
        <v>2024</v>
      </c>
      <c r="P43" s="651" t="s">
        <v>152</v>
      </c>
      <c r="Q43" s="653" t="s">
        <v>399</v>
      </c>
      <c r="R43" s="654">
        <v>45580</v>
      </c>
      <c r="S43" s="654">
        <f>IF(Tabla4[[#This Row],[FECHA DE ACEPTACION DEL GRUP. INV.]]="","",DATE(YEAR(Tabla4[[#This Row],[FECHA DE ACEPTACION DEL GRUP. INV.]])+2,MONTH(Tabla4[[#This Row],[FECHA DE ACEPTACION DEL GRUP. INV.]]),DAY(Tabla4[[#This Row],[FECHA DE ACEPTACION DEL GRUP. INV.]])))</f>
        <v>46310</v>
      </c>
      <c r="T43" s="654" t="str">
        <f ca="1">IF(Tabla4[[#This Row],[FECHA DE ACEPTACION DEL GRUP. INV.]]="","",IF(Tabla4[[#This Row],[FECHA DE VENCIMIENTO ANTE PROYECTO]]&lt;TODAY(),"SÍ","NO"))</f>
        <v>NO</v>
      </c>
      <c r="U43" s="654" t="s">
        <v>62</v>
      </c>
      <c r="V43" s="465"/>
      <c r="W43" s="464"/>
      <c r="X43" s="653" t="s">
        <v>400</v>
      </c>
      <c r="Y43" s="364">
        <v>43977</v>
      </c>
      <c r="Z43" s="250">
        <v>66.09</v>
      </c>
      <c r="AA43" s="189">
        <v>44299</v>
      </c>
      <c r="AB43" s="250">
        <v>66</v>
      </c>
      <c r="AC43" s="171" t="s">
        <v>87</v>
      </c>
      <c r="AD43" s="464"/>
      <c r="AE43" s="465"/>
      <c r="AF43" s="465"/>
      <c r="AG43" s="366"/>
      <c r="AH43" s="366"/>
      <c r="AI43" s="366"/>
      <c r="AJ43" s="193"/>
      <c r="AK43" s="193"/>
      <c r="AL43" s="364"/>
      <c r="AM43" s="249"/>
      <c r="AN43" s="364"/>
      <c r="AO43" s="366"/>
      <c r="AP43" s="364"/>
      <c r="AQ43" s="364"/>
      <c r="AR43" s="466"/>
      <c r="AS43" s="466"/>
      <c r="AT43" s="366"/>
      <c r="AU43" s="366"/>
      <c r="AV43" s="364"/>
      <c r="AW43" s="364"/>
      <c r="AX43" s="466"/>
      <c r="AY43" s="466"/>
      <c r="AZ43" s="366"/>
      <c r="BA43" s="364"/>
      <c r="BB43" s="187" t="str">
        <f t="shared" si="6"/>
        <v/>
      </c>
      <c r="BC43" s="187" t="e">
        <f>(BB43*0.8)/10</f>
        <v>#VALUE!</v>
      </c>
      <c r="BD43" s="187" t="e">
        <f t="shared" si="4"/>
        <v>#VALUE!</v>
      </c>
      <c r="BE43" s="249"/>
      <c r="BF43" s="249"/>
      <c r="BG43" s="467" t="str">
        <f t="shared" si="5"/>
        <v/>
      </c>
    </row>
    <row r="44" spans="1:59" s="339" customFormat="1" ht="60" hidden="1">
      <c r="A44" s="373">
        <v>20182395011</v>
      </c>
      <c r="B44" s="188" t="str">
        <f>VLOOKUP(A44,'Datos Personales'!A:M,2,FALSE)</f>
        <v>MORENO GAMA JUAN MANUEL</v>
      </c>
      <c r="C44" s="159">
        <f>VLOOKUP(A44,'ESTADOS ESTUDIANTES'!B:L,11,0)</f>
        <v>1018484572</v>
      </c>
      <c r="D44" s="159">
        <f>VLOOKUP(A44,'Datos Personales'!$A:$M,3,FALSE)</f>
        <v>395</v>
      </c>
      <c r="E44" s="159" t="str">
        <f>VLOOKUP(Tabla4[[#This Row],[ENFASIS]],Listas!$R$2:$S$8,2,0)</f>
        <v>ENFASIS EN GEOMATICA</v>
      </c>
      <c r="F44" s="87" t="str">
        <f>VLOOKUP(A44,'Datos Personales'!A:M,8,0)</f>
        <v>juammorenog@udistrital.edu.co</v>
      </c>
      <c r="G44" s="87" t="str">
        <f>VLOOKUP(A44,'Datos Personales'!A:M,9,0)</f>
        <v>juammorenog@udistrital.edu.co</v>
      </c>
      <c r="H44" s="87" t="str">
        <f>VLOOKUP(A44,'Datos Personales'!A:M,5,FALSE)</f>
        <v>E</v>
      </c>
      <c r="I44" s="159" t="str">
        <f>VLOOKUP(Tabla4[[#This Row],[CODIGO]],'ESTADOS ESTUDIANTES'!B:M,12,0)</f>
        <v>2024-3</v>
      </c>
      <c r="J44" s="171" t="s">
        <v>60</v>
      </c>
      <c r="K44" s="87" t="s">
        <v>401</v>
      </c>
      <c r="L44" s="87" t="s">
        <v>402</v>
      </c>
      <c r="M44" s="172"/>
      <c r="N44" s="86">
        <v>45230</v>
      </c>
      <c r="O44" s="188">
        <v>2023</v>
      </c>
      <c r="P44" s="171" t="s">
        <v>403</v>
      </c>
      <c r="Q44" s="87" t="s">
        <v>402</v>
      </c>
      <c r="R44" s="173">
        <v>45240</v>
      </c>
      <c r="S44" s="173">
        <f>IF(Tabla4[[#This Row],[FECHA DE ACEPTACION DEL GRUP. INV.]]="","",DATE(YEAR(Tabla4[[#This Row],[FECHA DE ACEPTACION DEL GRUP. INV.]])+2,MONTH(Tabla4[[#This Row],[FECHA DE ACEPTACION DEL GRUP. INV.]]),DAY(Tabla4[[#This Row],[FECHA DE ACEPTACION DEL GRUP. INV.]])))</f>
        <v>45971</v>
      </c>
      <c r="T44" s="173" t="str">
        <f ca="1">IF(Tabla4[[#This Row],[FECHA DE ACEPTACION DEL GRUP. INV.]]="","",IF(Tabla4[[#This Row],[FECHA DE VENCIMIENTO ANTE PROYECTO]]&lt;TODAY(),"SÍ","NO"))</f>
        <v>SÍ</v>
      </c>
      <c r="U44" s="319" t="s">
        <v>62</v>
      </c>
      <c r="V44" s="319"/>
      <c r="W44" s="87" t="s">
        <v>404</v>
      </c>
      <c r="X44" s="87"/>
      <c r="Y44" s="86"/>
      <c r="Z44" s="160"/>
      <c r="AA44" s="189">
        <v>45323</v>
      </c>
      <c r="AB44" s="191">
        <v>126</v>
      </c>
      <c r="AC44" s="98" t="s">
        <v>79</v>
      </c>
      <c r="AD44" s="87" t="s">
        <v>405</v>
      </c>
      <c r="AE44" s="173">
        <v>45581</v>
      </c>
      <c r="AF44" s="173" t="s">
        <v>406</v>
      </c>
      <c r="AG44" s="171" t="s">
        <v>407</v>
      </c>
      <c r="AH44" s="171" t="s">
        <v>394</v>
      </c>
      <c r="AI44" s="171" t="s">
        <v>99</v>
      </c>
      <c r="AJ44" s="170">
        <f>IFERROR(VLOOKUP(AI44,Listas!K:L,2,0),"")</f>
        <v>0.2</v>
      </c>
      <c r="AK44" s="21">
        <f>IFERROR(VLOOKUP(AJ44,Listas!L:M,2,0),"")</f>
        <v>10</v>
      </c>
      <c r="AL44" s="86">
        <v>45581</v>
      </c>
      <c r="AM44" s="172" t="s">
        <v>408</v>
      </c>
      <c r="AN44" s="86">
        <v>45581</v>
      </c>
      <c r="AO44" s="169" t="s">
        <v>272</v>
      </c>
      <c r="AP44" s="86">
        <v>45582</v>
      </c>
      <c r="AQ44" s="86">
        <v>45609</v>
      </c>
      <c r="AR44" s="158">
        <v>43</v>
      </c>
      <c r="AS44" s="158">
        <v>44</v>
      </c>
      <c r="AT44" s="169" t="s">
        <v>41</v>
      </c>
      <c r="AU44" s="169" t="s">
        <v>409</v>
      </c>
      <c r="AV44" s="86">
        <v>45582</v>
      </c>
      <c r="AW44" s="86">
        <v>45609</v>
      </c>
      <c r="AX44" s="158">
        <v>40</v>
      </c>
      <c r="AY44" s="158">
        <v>44</v>
      </c>
      <c r="AZ44" s="169" t="s">
        <v>41</v>
      </c>
      <c r="BA44" s="86">
        <v>45609</v>
      </c>
      <c r="BB44" s="187">
        <f t="shared" si="6"/>
        <v>42.75</v>
      </c>
      <c r="BC44" s="187">
        <f>BB44*(100%-AJ44)</f>
        <v>34.200000000000003</v>
      </c>
      <c r="BD44" s="158">
        <f t="shared" si="4"/>
        <v>44.2</v>
      </c>
      <c r="BE44" s="300"/>
      <c r="BF44" s="172"/>
      <c r="BG44" s="234" t="str">
        <f t="shared" si="5"/>
        <v/>
      </c>
    </row>
    <row r="45" spans="1:59" s="339" customFormat="1" ht="30" hidden="1">
      <c r="A45" s="235">
        <v>20182495004</v>
      </c>
      <c r="B45" s="188" t="str">
        <f>VLOOKUP(A45,'Datos Personales'!A:M,2,FALSE)</f>
        <v>BARRAGAN SARMIENTO ANDRÉS MAURICIO</v>
      </c>
      <c r="C45" s="188">
        <f>VLOOKUP(A45,'ESTADOS ESTUDIANTES'!B:L,11,0)</f>
        <v>1110537094</v>
      </c>
      <c r="D45" s="188">
        <f>VLOOKUP(A45,'Datos Personales'!$A:$M,3,FALSE)</f>
        <v>495</v>
      </c>
      <c r="E45" s="188" t="str">
        <f>VLOOKUP(Tabla4[[#This Row],[ENFASIS]],Listas!$R$2:$S$8,2,0)</f>
        <v>ENFASIS EN ING. SOFT</v>
      </c>
      <c r="F45" s="171" t="str">
        <f>VLOOKUP(A45,'Datos Personales'!A:M,8,0)</f>
        <v>ambarragans@udistrital.edu.co</v>
      </c>
      <c r="G45" s="171" t="str">
        <f>VLOOKUP(A45,'Datos Personales'!A:M,9,0)</f>
        <v>barragan_amb@hotmail.com</v>
      </c>
      <c r="H45" s="171" t="str">
        <f>VLOOKUP(A45,'Datos Personales'!A:M,5,FALSE)</f>
        <v>X</v>
      </c>
      <c r="I45" s="188" t="str">
        <f>VLOOKUP(Tabla4[[#This Row],[CODIGO]],'ESTADOS ESTUDIANTES'!B:M,12,0)</f>
        <v>2025-1</v>
      </c>
      <c r="J45" s="171" t="s">
        <v>60</v>
      </c>
      <c r="K45" s="171" t="s">
        <v>410</v>
      </c>
      <c r="L45" s="171" t="s">
        <v>411</v>
      </c>
      <c r="M45" s="169"/>
      <c r="N45" s="189">
        <v>45211</v>
      </c>
      <c r="O45" s="188">
        <v>2023</v>
      </c>
      <c r="P45" s="171" t="s">
        <v>96</v>
      </c>
      <c r="Q45" s="171" t="s">
        <v>411</v>
      </c>
      <c r="R45" s="190">
        <v>45229</v>
      </c>
      <c r="S45" s="190">
        <f>IF(Tabla4[[#This Row],[FECHA DE ACEPTACION DEL GRUP. INV.]]="","",DATE(YEAR(Tabla4[[#This Row],[FECHA DE ACEPTACION DEL GRUP. INV.]])+2,MONTH(Tabla4[[#This Row],[FECHA DE ACEPTACION DEL GRUP. INV.]]),DAY(Tabla4[[#This Row],[FECHA DE ACEPTACION DEL GRUP. INV.]])))</f>
        <v>45960</v>
      </c>
      <c r="T45" s="190" t="str">
        <f ca="1">IF(Tabla4[[#This Row],[FECHA DE ACEPTACION DEL GRUP. INV.]]="","",IF(Tabla4[[#This Row],[FECHA DE VENCIMIENTO ANTE PROYECTO]]&lt;TODAY(),"SÍ","NO"))</f>
        <v>SÍ</v>
      </c>
      <c r="U45" s="190" t="s">
        <v>62</v>
      </c>
      <c r="V45" s="190"/>
      <c r="W45" s="171" t="s">
        <v>412</v>
      </c>
      <c r="X45" s="171"/>
      <c r="Y45" s="189"/>
      <c r="Z45" s="191"/>
      <c r="AA45" s="189">
        <v>45531</v>
      </c>
      <c r="AB45" s="191">
        <v>128</v>
      </c>
      <c r="AC45" s="171" t="s">
        <v>79</v>
      </c>
      <c r="AD45" s="171"/>
      <c r="AE45" s="190"/>
      <c r="AF45" s="190"/>
      <c r="AG45" s="171"/>
      <c r="AH45" s="171"/>
      <c r="AI45" s="171"/>
      <c r="AJ45" s="193"/>
      <c r="AK45" s="193"/>
      <c r="AL45" s="189"/>
      <c r="AM45" s="169"/>
      <c r="AN45" s="189"/>
      <c r="AO45" s="169"/>
      <c r="AP45" s="189"/>
      <c r="AQ45" s="189"/>
      <c r="AR45" s="187"/>
      <c r="AS45" s="187"/>
      <c r="AT45" s="169"/>
      <c r="AU45" s="169"/>
      <c r="AV45" s="189"/>
      <c r="AW45" s="189"/>
      <c r="AX45" s="187"/>
      <c r="AY45" s="187"/>
      <c r="AZ45" s="169"/>
      <c r="BA45" s="189"/>
      <c r="BB45" s="187" t="str">
        <f t="shared" si="6"/>
        <v/>
      </c>
      <c r="BC45" s="187" t="e">
        <f>(BB45*0.8)/10</f>
        <v>#VALUE!</v>
      </c>
      <c r="BD45" s="187" t="e">
        <f t="shared" si="4"/>
        <v>#VALUE!</v>
      </c>
      <c r="BE45" s="236"/>
      <c r="BF45" s="169"/>
      <c r="BG45" s="234" t="str">
        <f t="shared" si="5"/>
        <v/>
      </c>
    </row>
    <row r="46" spans="1:59" s="339" customFormat="1" ht="60" hidden="1">
      <c r="A46" s="235">
        <v>20182495011</v>
      </c>
      <c r="B46" s="188" t="str">
        <f>VLOOKUP(A46,'Datos Personales'!A:M,2,FALSE)</f>
        <v>PIÑEROS RAMIREZ JEISSON RODRIGO</v>
      </c>
      <c r="C46" s="188">
        <f>VLOOKUP(A46,'ESTADOS ESTUDIANTES'!B:L,11,0)</f>
        <v>1030678110</v>
      </c>
      <c r="D46" s="188">
        <f>VLOOKUP(A46,'Datos Personales'!$A:$M,3,FALSE)</f>
        <v>495</v>
      </c>
      <c r="E46" s="188" t="str">
        <f>VLOOKUP(Tabla4[[#This Row],[ENFASIS]],Listas!$R$2:$S$8,2,0)</f>
        <v>ENFASIS EN ING. SOFT</v>
      </c>
      <c r="F46" s="188" t="str">
        <f>VLOOKUP(A46,'Datos Personales'!A:M,8,0)</f>
        <v>jrpinerosr@udistrital.edu.co</v>
      </c>
      <c r="G46" s="188" t="str">
        <f>VLOOKUP(A46,'Datos Personales'!A:M,9,0)</f>
        <v>jeisson005@hotmail.com</v>
      </c>
      <c r="H46" s="188" t="str">
        <f>VLOOKUP(A46,'Datos Personales'!A:M,5,FALSE)</f>
        <v>E</v>
      </c>
      <c r="I46" s="188" t="str">
        <f>VLOOKUP(Tabla4[[#This Row],[CODIGO]],'ESTADOS ESTUDIANTES'!B:M,12,0)</f>
        <v>2025-1</v>
      </c>
      <c r="J46" s="171" t="s">
        <v>60</v>
      </c>
      <c r="K46" s="171" t="s">
        <v>413</v>
      </c>
      <c r="L46" s="171" t="s">
        <v>281</v>
      </c>
      <c r="M46" s="169"/>
      <c r="N46" s="189">
        <v>45308</v>
      </c>
      <c r="O46" s="369">
        <v>2024</v>
      </c>
      <c r="P46" s="369" t="s">
        <v>125</v>
      </c>
      <c r="Q46" s="171" t="s">
        <v>281</v>
      </c>
      <c r="R46" s="190">
        <v>45403</v>
      </c>
      <c r="S46" s="190">
        <f>IF(Tabla4[[#This Row],[FECHA DE ACEPTACION DEL GRUP. INV.]]="","",DATE(YEAR(Tabla4[[#This Row],[FECHA DE ACEPTACION DEL GRUP. INV.]])+2,MONTH(Tabla4[[#This Row],[FECHA DE ACEPTACION DEL GRUP. INV.]]),DAY(Tabla4[[#This Row],[FECHA DE ACEPTACION DEL GRUP. INV.]])))</f>
        <v>46133</v>
      </c>
      <c r="T46" s="190" t="str">
        <f ca="1">IF(Tabla4[[#This Row],[FECHA DE ACEPTACION DEL GRUP. INV.]]="","",IF(Tabla4[[#This Row],[FECHA DE VENCIMIENTO ANTE PROYECTO]]&lt;TODAY(),"SÍ","NO"))</f>
        <v>SÍ</v>
      </c>
      <c r="U46" s="237" t="s">
        <v>62</v>
      </c>
      <c r="V46" s="237"/>
      <c r="W46" s="171" t="s">
        <v>414</v>
      </c>
      <c r="X46" s="171"/>
      <c r="Y46" s="189"/>
      <c r="Z46" s="191"/>
      <c r="AA46" s="189">
        <v>45139</v>
      </c>
      <c r="AB46" s="191">
        <v>122</v>
      </c>
      <c r="AC46" s="171" t="s">
        <v>79</v>
      </c>
      <c r="AD46" s="171" t="s">
        <v>415</v>
      </c>
      <c r="AE46" s="190">
        <v>45608</v>
      </c>
      <c r="AF46" s="190" t="s">
        <v>416</v>
      </c>
      <c r="AG46" s="171" t="s">
        <v>417</v>
      </c>
      <c r="AH46" s="171">
        <v>2024</v>
      </c>
      <c r="AI46" s="169" t="s">
        <v>99</v>
      </c>
      <c r="AJ46" s="193">
        <f>IFERROR(VLOOKUP(AI46,Listas!K:L,2,0),"")</f>
        <v>0.2</v>
      </c>
      <c r="AK46" s="187">
        <f>IFERROR(VLOOKUP(AJ46,Listas!L:M,2,0),"")</f>
        <v>10</v>
      </c>
      <c r="AL46" s="189">
        <v>45608</v>
      </c>
      <c r="AM46" s="169" t="s">
        <v>415</v>
      </c>
      <c r="AN46" s="189">
        <v>45609</v>
      </c>
      <c r="AO46" s="171" t="s">
        <v>418</v>
      </c>
      <c r="AP46" s="189">
        <v>45688</v>
      </c>
      <c r="AQ46" s="189">
        <v>45714</v>
      </c>
      <c r="AR46" s="187">
        <v>50</v>
      </c>
      <c r="AS46" s="187">
        <v>50</v>
      </c>
      <c r="AT46" s="262" t="s">
        <v>41</v>
      </c>
      <c r="AU46" s="171" t="s">
        <v>226</v>
      </c>
      <c r="AV46" s="189">
        <v>45688</v>
      </c>
      <c r="AW46" s="189">
        <v>45714</v>
      </c>
      <c r="AX46" s="187">
        <v>50</v>
      </c>
      <c r="AY46" s="187">
        <v>50</v>
      </c>
      <c r="AZ46" s="262" t="s">
        <v>41</v>
      </c>
      <c r="BA46" s="189">
        <v>45714</v>
      </c>
      <c r="BB46" s="187">
        <f t="shared" si="6"/>
        <v>50</v>
      </c>
      <c r="BC46" s="187">
        <f>BB46*(100%-AJ46)</f>
        <v>40</v>
      </c>
      <c r="BD46" s="187">
        <f t="shared" si="4"/>
        <v>50</v>
      </c>
      <c r="BE46" s="169" t="s">
        <v>48</v>
      </c>
      <c r="BF46" s="169" t="s">
        <v>48</v>
      </c>
      <c r="BG46" s="345" t="str">
        <f t="shared" si="5"/>
        <v/>
      </c>
    </row>
    <row r="47" spans="1:59" s="339" customFormat="1" ht="75" hidden="1">
      <c r="A47" s="373">
        <v>20182495014</v>
      </c>
      <c r="B47" s="188" t="str">
        <f>VLOOKUP(A47,'Datos Personales'!A:M,2,FALSE)</f>
        <v>ROMERO PINTO JAWY ANDRÉS</v>
      </c>
      <c r="C47" s="188">
        <f>VLOOKUP(A47,'ESTADOS ESTUDIANTES'!B:L,11,0)</f>
        <v>1022955756</v>
      </c>
      <c r="D47" s="188">
        <f>VLOOKUP(A47,'Datos Personales'!$A:$M,3,FALSE)</f>
        <v>495</v>
      </c>
      <c r="E47" s="188" t="str">
        <f>VLOOKUP(Tabla4[[#This Row],[ENFASIS]],Listas!$R$2:$S$8,2,0)</f>
        <v>ENFASIS EN ING. SOFT</v>
      </c>
      <c r="F47" s="188" t="str">
        <f>VLOOKUP(A47,'Datos Personales'!A:M,8,0)</f>
        <v>jawaromerop@udistrital.edu.co</v>
      </c>
      <c r="G47" s="188" t="str">
        <f>VLOOKUP(A47,'Datos Personales'!A:M,9,0)</f>
        <v>jawy.romero@gmail.com</v>
      </c>
      <c r="H47" s="188" t="s">
        <v>84</v>
      </c>
      <c r="I47" s="188" t="str">
        <f>VLOOKUP(Tabla4[[#This Row],[CODIGO]],'ESTADOS ESTUDIANTES'!B:M,12,0)</f>
        <v>2025-1</v>
      </c>
      <c r="J47" s="171" t="s">
        <v>60</v>
      </c>
      <c r="K47" s="476" t="s">
        <v>419</v>
      </c>
      <c r="L47" s="171" t="s">
        <v>220</v>
      </c>
      <c r="M47" s="171"/>
      <c r="N47" s="478">
        <v>44609</v>
      </c>
      <c r="O47" s="479">
        <v>2022</v>
      </c>
      <c r="P47" s="476" t="s">
        <v>112</v>
      </c>
      <c r="Q47" s="476" t="s">
        <v>222</v>
      </c>
      <c r="R47" s="480">
        <v>44609</v>
      </c>
      <c r="S47" s="480">
        <f>IF(Tabla4[[#This Row],[FECHA DE ACEPTACION DEL GRUP. INV.]]="","",DATE(YEAR(Tabla4[[#This Row],[FECHA DE ACEPTACION DEL GRUP. INV.]])+2,MONTH(Tabla4[[#This Row],[FECHA DE ACEPTACION DEL GRUP. INV.]]),DAY(Tabla4[[#This Row],[FECHA DE ACEPTACION DEL GRUP. INV.]])))</f>
        <v>45339</v>
      </c>
      <c r="T47" s="480" t="str">
        <f ca="1">IF(Tabla4[[#This Row],[FECHA DE ACEPTACION DEL GRUP. INV.]]="","",IF(Tabla4[[#This Row],[FECHA DE VENCIMIENTO ANTE PROYECTO]]&lt;TODAY(),"SÍ","NO"))</f>
        <v>SÍ</v>
      </c>
      <c r="U47" s="481" t="s">
        <v>62</v>
      </c>
      <c r="V47" s="481"/>
      <c r="W47" s="476" t="s">
        <v>280</v>
      </c>
      <c r="X47" s="476"/>
      <c r="Y47" s="478"/>
      <c r="Z47" s="482"/>
      <c r="AA47" s="478">
        <v>44981</v>
      </c>
      <c r="AB47" s="482">
        <v>82</v>
      </c>
      <c r="AC47" s="484" t="s">
        <v>79</v>
      </c>
      <c r="AD47" s="476" t="s">
        <v>391</v>
      </c>
      <c r="AE47" s="480">
        <v>45595</v>
      </c>
      <c r="AF47" s="171" t="s">
        <v>420</v>
      </c>
      <c r="AG47" s="171" t="s">
        <v>421</v>
      </c>
      <c r="AH47" s="171" t="s">
        <v>280</v>
      </c>
      <c r="AI47" s="171" t="s">
        <v>99</v>
      </c>
      <c r="AJ47" s="170">
        <f>IFERROR(VLOOKUP(AI47,Listas!K:L,2,0),"")</f>
        <v>0.2</v>
      </c>
      <c r="AK47" s="21">
        <f>IFERROR(VLOOKUP(AJ47,Listas!L:M,2,0),"")</f>
        <v>10</v>
      </c>
      <c r="AL47" s="189">
        <v>45595</v>
      </c>
      <c r="AM47" s="490" t="s">
        <v>391</v>
      </c>
      <c r="AN47" s="478">
        <v>45595</v>
      </c>
      <c r="AO47" s="169" t="s">
        <v>222</v>
      </c>
      <c r="AP47" s="189">
        <v>45595</v>
      </c>
      <c r="AQ47" s="189">
        <v>45635</v>
      </c>
      <c r="AR47" s="187">
        <v>40</v>
      </c>
      <c r="AS47" s="187">
        <v>40</v>
      </c>
      <c r="AT47" s="169" t="s">
        <v>41</v>
      </c>
      <c r="AU47" s="169" t="s">
        <v>422</v>
      </c>
      <c r="AV47" s="189">
        <v>45595</v>
      </c>
      <c r="AW47" s="189">
        <v>45635</v>
      </c>
      <c r="AX47" s="187">
        <v>40</v>
      </c>
      <c r="AY47" s="187">
        <v>40</v>
      </c>
      <c r="AZ47" s="169" t="s">
        <v>41</v>
      </c>
      <c r="BA47" s="189">
        <v>45635</v>
      </c>
      <c r="BB47" s="187">
        <f t="shared" si="6"/>
        <v>40</v>
      </c>
      <c r="BC47" s="187">
        <f>BB47*(100%-AJ47)</f>
        <v>32</v>
      </c>
      <c r="BD47" s="158">
        <f t="shared" si="4"/>
        <v>42</v>
      </c>
      <c r="BE47" s="169"/>
      <c r="BF47" s="169"/>
      <c r="BG47" s="234"/>
    </row>
    <row r="48" spans="1:59" ht="94.5" hidden="1">
      <c r="A48" s="187">
        <v>20191195002</v>
      </c>
      <c r="B48" s="188" t="str">
        <f>VLOOKUP(A48,'Datos Personales'!A:M,2,FALSE)</f>
        <v>BELLO GONZALEZ IVAN DARIO</v>
      </c>
      <c r="C48" s="188">
        <f>VLOOKUP(A48,'ESTADOS ESTUDIANTES'!B:L,11,0)</f>
        <v>1031138497</v>
      </c>
      <c r="D48" s="188">
        <f>VLOOKUP(A48,'Datos Personales'!$A:$M,3,FALSE)</f>
        <v>195</v>
      </c>
      <c r="E48" s="188" t="str">
        <f>VLOOKUP(Tabla4[[#This Row],[ENFASIS]],Listas!$R$2:$S$8,2,0)</f>
        <v>EN TELEINF.</v>
      </c>
      <c r="F48" s="171" t="str">
        <f>VLOOKUP(A48,'Datos Personales'!A:M,8,0)</f>
        <v>idbellog@udistrital.edu.co</v>
      </c>
      <c r="G48" s="171" t="str">
        <f>VLOOKUP(A48,'Datos Personales'!A:M,9,0)</f>
        <v>idbellog@gmail.com</v>
      </c>
      <c r="H48" s="171" t="str">
        <f>VLOOKUP(A48,'Datos Personales'!A:M,5,FALSE)</f>
        <v>E</v>
      </c>
      <c r="I48" s="188" t="str">
        <f>VLOOKUP(Tabla4[[#This Row],[CODIGO]],'ESTADOS ESTUDIANTES'!B:M,12,0)</f>
        <v>2024-3</v>
      </c>
      <c r="J48" s="171" t="s">
        <v>60</v>
      </c>
      <c r="K48" s="238" t="s">
        <v>423</v>
      </c>
      <c r="L48" s="171" t="s">
        <v>220</v>
      </c>
      <c r="M48" s="169" t="s">
        <v>323</v>
      </c>
      <c r="N48" s="241">
        <v>45439</v>
      </c>
      <c r="O48" s="238">
        <v>2024</v>
      </c>
      <c r="P48" s="238" t="s">
        <v>112</v>
      </c>
      <c r="Q48" s="238" t="s">
        <v>222</v>
      </c>
      <c r="R48" s="242">
        <v>45454</v>
      </c>
      <c r="S48" s="242">
        <f>IF(Tabla4[[#This Row],[FECHA DE ACEPTACION DEL GRUP. INV.]]="","",DATE(YEAR(Tabla4[[#This Row],[FECHA DE ACEPTACION DEL GRUP. INV.]])+2,MONTH(Tabla4[[#This Row],[FECHA DE ACEPTACION DEL GRUP. INV.]]),DAY(Tabla4[[#This Row],[FECHA DE ACEPTACION DEL GRUP. INV.]])))</f>
        <v>46184</v>
      </c>
      <c r="T48" s="242" t="str">
        <f ca="1">IF(Tabla4[[#This Row],[FECHA DE ACEPTACION DEL GRUP. INV.]]="","",IF(Tabla4[[#This Row],[FECHA DE VENCIMIENTO ANTE PROYECTO]]&lt;TODAY(),"SÍ","NO"))</f>
        <v>SÍ</v>
      </c>
      <c r="U48" s="242" t="s">
        <v>424</v>
      </c>
      <c r="V48" s="242"/>
      <c r="W48" s="240" t="s">
        <v>425</v>
      </c>
      <c r="X48" s="240"/>
      <c r="Y48" s="241"/>
      <c r="Z48" s="243"/>
      <c r="AA48" s="241">
        <v>45531</v>
      </c>
      <c r="AB48" s="243">
        <v>127</v>
      </c>
      <c r="AC48" s="238" t="s">
        <v>79</v>
      </c>
      <c r="AD48" s="238" t="s">
        <v>391</v>
      </c>
      <c r="AE48" s="241">
        <v>45595</v>
      </c>
      <c r="AF48" s="190" t="s">
        <v>426</v>
      </c>
      <c r="AG48" s="171" t="s">
        <v>427</v>
      </c>
      <c r="AH48" s="171" t="s">
        <v>394</v>
      </c>
      <c r="AI48" s="169" t="s">
        <v>99</v>
      </c>
      <c r="AJ48" s="193">
        <v>0.2</v>
      </c>
      <c r="AK48" s="187">
        <f>IFERROR(VLOOKUP(AJ48,Listas!L:M,2,0),"")</f>
        <v>10</v>
      </c>
      <c r="AL48" s="189">
        <v>45594</v>
      </c>
      <c r="AM48" s="238" t="s">
        <v>391</v>
      </c>
      <c r="AN48" s="241">
        <v>45595</v>
      </c>
      <c r="AO48" s="171" t="s">
        <v>222</v>
      </c>
      <c r="AP48" s="189"/>
      <c r="AQ48" s="189"/>
      <c r="AR48" s="187"/>
      <c r="AS48" s="187"/>
      <c r="AT48" s="262"/>
      <c r="AU48" s="171"/>
      <c r="AV48" s="189"/>
      <c r="AW48" s="189"/>
      <c r="AX48" s="187"/>
      <c r="AY48" s="187"/>
      <c r="AZ48" s="262"/>
      <c r="BA48" s="189"/>
      <c r="BB48" s="187"/>
      <c r="BC48" s="232">
        <f>(BB48*0.8)/10</f>
        <v>0</v>
      </c>
      <c r="BD48" s="232">
        <f t="shared" si="4"/>
        <v>10</v>
      </c>
      <c r="BE48" s="169"/>
      <c r="BF48" s="169"/>
      <c r="BG48" s="345" t="str">
        <f t="shared" ref="BG48:BG90" si="7">IF(OR(H48="A",$H48="D",$H48="P",$H48="V"),L48,"")</f>
        <v/>
      </c>
    </row>
    <row r="49" spans="1:59" s="339" customFormat="1" ht="75" hidden="1">
      <c r="A49" s="21">
        <v>20191195005</v>
      </c>
      <c r="B49" s="188" t="str">
        <f>VLOOKUP(A49,'Datos Personales'!A:M,2,FALSE)</f>
        <v>LOPEZ GARCÍA ANDRES CAMILO</v>
      </c>
      <c r="C49" s="19">
        <f>VLOOKUP(A49,'ESTADOS ESTUDIANTES'!B:L,11,0)</f>
        <v>1022395511</v>
      </c>
      <c r="D49" s="19">
        <f>VLOOKUP(A49,'Datos Personales'!$A:$M,3,FALSE)</f>
        <v>195</v>
      </c>
      <c r="E49" s="19" t="str">
        <f>VLOOKUP(Tabla4[[#This Row],[ENFASIS]],Listas!$R$2:$S$8,2,0)</f>
        <v>EN TELEINF.</v>
      </c>
      <c r="F49" s="19" t="str">
        <f>VLOOKUP(A49,'Datos Personales'!A:M,8,0)</f>
        <v>anclopezg@udistrital.edu.co</v>
      </c>
      <c r="G49" s="19" t="str">
        <f>VLOOKUP(A49,'Datos Personales'!A:M,9,0)</f>
        <v>anclopezg@correo.udistrital.edu.co</v>
      </c>
      <c r="H49" s="19" t="str">
        <f>VLOOKUP(A49,'Datos Personales'!A:M,5,FALSE)</f>
        <v>E</v>
      </c>
      <c r="I49" s="19" t="str">
        <f>VLOOKUP(Tabla4[[#This Row],[CODIGO]],'ESTADOS ESTUDIANTES'!B:M,12,0)</f>
        <v>2023-1</v>
      </c>
      <c r="J49" s="18" t="s">
        <v>60</v>
      </c>
      <c r="K49" s="18" t="s">
        <v>428</v>
      </c>
      <c r="L49" s="18" t="s">
        <v>220</v>
      </c>
      <c r="M49" s="18" t="s">
        <v>429</v>
      </c>
      <c r="N49" s="96">
        <v>43635</v>
      </c>
      <c r="O49" s="19">
        <v>2019</v>
      </c>
      <c r="P49" s="18" t="s">
        <v>118</v>
      </c>
      <c r="Q49" s="18" t="s">
        <v>385</v>
      </c>
      <c r="R49" s="124">
        <v>44807</v>
      </c>
      <c r="S49" s="124">
        <f>IF(Tabla4[[#This Row],[FECHA DE ACEPTACION DEL GRUP. INV.]]="","",DATE(YEAR(Tabla4[[#This Row],[FECHA DE ACEPTACION DEL GRUP. INV.]])+2,MONTH(Tabla4[[#This Row],[FECHA DE ACEPTACION DEL GRUP. INV.]]),DAY(Tabla4[[#This Row],[FECHA DE ACEPTACION DEL GRUP. INV.]])))</f>
        <v>45538</v>
      </c>
      <c r="T49" s="124" t="str">
        <f ca="1">IF(Tabla4[[#This Row],[FECHA DE ACEPTACION DEL GRUP. INV.]]="","",IF(Tabla4[[#This Row],[FECHA DE VENCIMIENTO ANTE PROYECTO]]&lt;TODAY(),"SÍ","NO"))</f>
        <v>SÍ</v>
      </c>
      <c r="U49" s="124"/>
      <c r="V49" s="124"/>
      <c r="W49" s="18" t="s">
        <v>430</v>
      </c>
      <c r="X49" s="18"/>
      <c r="Y49" s="96">
        <v>43809</v>
      </c>
      <c r="Z49" s="97">
        <v>86.9</v>
      </c>
      <c r="AA49" s="96">
        <v>44981</v>
      </c>
      <c r="AB49" s="97">
        <v>156</v>
      </c>
      <c r="AC49" s="98" t="s">
        <v>68</v>
      </c>
      <c r="AD49" s="18" t="s">
        <v>431</v>
      </c>
      <c r="AE49" s="124">
        <v>44927</v>
      </c>
      <c r="AF49" s="124" t="s">
        <v>432</v>
      </c>
      <c r="AG49" s="171"/>
      <c r="AH49" s="171"/>
      <c r="AI49" s="169" t="s">
        <v>99</v>
      </c>
      <c r="AJ49" s="170">
        <f>IFERROR(VLOOKUP(AI49,Listas!K:L,2,0),"")</f>
        <v>0.2</v>
      </c>
      <c r="AK49" s="21">
        <f>IFERROR(VLOOKUP(AJ49,Listas!L:M,2,0),"")</f>
        <v>10</v>
      </c>
      <c r="AL49" s="96">
        <v>44924</v>
      </c>
      <c r="AM49" s="18"/>
      <c r="AN49" s="96">
        <v>44958</v>
      </c>
      <c r="AO49" s="18" t="s">
        <v>433</v>
      </c>
      <c r="AP49" s="96">
        <v>44958</v>
      </c>
      <c r="AQ49" s="96">
        <v>44981</v>
      </c>
      <c r="AR49" s="21">
        <v>50</v>
      </c>
      <c r="AS49" s="21">
        <v>50</v>
      </c>
      <c r="AT49" s="18" t="s">
        <v>55</v>
      </c>
      <c r="AU49" s="18" t="s">
        <v>434</v>
      </c>
      <c r="AV49" s="96">
        <v>44958</v>
      </c>
      <c r="AW49" s="96">
        <v>44981</v>
      </c>
      <c r="AX49" s="21">
        <v>50</v>
      </c>
      <c r="AY49" s="21">
        <v>50</v>
      </c>
      <c r="AZ49" s="18" t="s">
        <v>55</v>
      </c>
      <c r="BA49" s="96">
        <v>44981</v>
      </c>
      <c r="BB49" s="185">
        <f>IFERROR(AVERAGE(AR49,AS49,AX49,AY49),"")</f>
        <v>50</v>
      </c>
      <c r="BC49" s="232">
        <f t="shared" ref="BC49:BC63" si="8">BB49*(100%-AJ49)</f>
        <v>40</v>
      </c>
      <c r="BD49" s="292">
        <f t="shared" si="4"/>
        <v>50</v>
      </c>
      <c r="BE49" s="23"/>
      <c r="BF49" s="23"/>
      <c r="BG49" s="255" t="str">
        <f t="shared" si="7"/>
        <v/>
      </c>
    </row>
    <row r="50" spans="1:59" s="339" customFormat="1" ht="60" hidden="1">
      <c r="A50" s="187">
        <v>20191195007</v>
      </c>
      <c r="B50" s="188" t="str">
        <f>VLOOKUP(A50,'Datos Personales'!A:M,2,FALSE)</f>
        <v>RENGIFO GÜIZA WILMAR NEISER</v>
      </c>
      <c r="C50" s="188">
        <f>VLOOKUP(A50,'ESTADOS ESTUDIANTES'!B:L,11,0)</f>
        <v>80248462</v>
      </c>
      <c r="D50" s="188">
        <f>VLOOKUP(A50,'Datos Personales'!$A:$M,3,FALSE)</f>
        <v>195</v>
      </c>
      <c r="E50" s="188" t="str">
        <f>VLOOKUP(Tabla4[[#This Row],[ENFASIS]],Listas!$R$2:$S$8,2,0)</f>
        <v>EN TELEINF.</v>
      </c>
      <c r="F50" s="188" t="str">
        <f>VLOOKUP(A50,'Datos Personales'!A:M,8,0)</f>
        <v>wnrengifog@udistrital.edu.co</v>
      </c>
      <c r="G50" s="188" t="str">
        <f>VLOOKUP(A50,'Datos Personales'!A:M,9,0)</f>
        <v>wilrengui@gmail.com</v>
      </c>
      <c r="H50" s="188" t="s">
        <v>84</v>
      </c>
      <c r="I50" s="188" t="str">
        <f>VLOOKUP(Tabla4[[#This Row],[CODIGO]],'ESTADOS ESTUDIANTES'!B:M,12,0)</f>
        <v>2025-1</v>
      </c>
      <c r="J50" s="171" t="s">
        <v>60</v>
      </c>
      <c r="K50" s="171" t="s">
        <v>435</v>
      </c>
      <c r="L50" s="171" t="s">
        <v>220</v>
      </c>
      <c r="M50" s="169"/>
      <c r="N50" s="173">
        <v>45594</v>
      </c>
      <c r="O50" s="370">
        <v>2024</v>
      </c>
      <c r="P50" s="171" t="s">
        <v>118</v>
      </c>
      <c r="Q50" s="171" t="s">
        <v>220</v>
      </c>
      <c r="R50" s="173">
        <v>45594</v>
      </c>
      <c r="S50" s="173">
        <f>IF(Tabla4[[#This Row],[FECHA DE ACEPTACION DEL GRUP. INV.]]="","",DATE(YEAR(Tabla4[[#This Row],[FECHA DE ACEPTACION DEL GRUP. INV.]])+2,MONTH(Tabla4[[#This Row],[FECHA DE ACEPTACION DEL GRUP. INV.]]),DAY(Tabla4[[#This Row],[FECHA DE ACEPTACION DEL GRUP. INV.]])))</f>
        <v>46324</v>
      </c>
      <c r="T50" s="173" t="str">
        <f ca="1">IF(Tabla4[[#This Row],[FECHA DE ACEPTACION DEL GRUP. INV.]]="","",IF(Tabla4[[#This Row],[FECHA DE VENCIMIENTO ANTE PROYECTO]]&lt;TODAY(),"SÍ","NO"))</f>
        <v>NO</v>
      </c>
      <c r="U50" s="237" t="s">
        <v>62</v>
      </c>
      <c r="V50" s="237"/>
      <c r="W50" s="171" t="s">
        <v>391</v>
      </c>
      <c r="X50" s="171"/>
      <c r="Y50" s="189">
        <v>44097</v>
      </c>
      <c r="Z50" s="191">
        <v>91.59</v>
      </c>
      <c r="AA50" s="86">
        <v>45531</v>
      </c>
      <c r="AB50" s="160">
        <v>140</v>
      </c>
      <c r="AC50" s="98" t="s">
        <v>79</v>
      </c>
      <c r="AD50" s="171" t="s">
        <v>436</v>
      </c>
      <c r="AE50" s="190">
        <v>45622</v>
      </c>
      <c r="AF50" s="190" t="s">
        <v>437</v>
      </c>
      <c r="AG50" s="171" t="s">
        <v>438</v>
      </c>
      <c r="AH50" s="171" t="s">
        <v>394</v>
      </c>
      <c r="AI50" s="171" t="s">
        <v>99</v>
      </c>
      <c r="AJ50" s="170">
        <f>IFERROR(VLOOKUP(AI50,Listas!K:L,2,0),"")</f>
        <v>0.2</v>
      </c>
      <c r="AK50" s="21">
        <f>IFERROR(VLOOKUP(AJ50,Listas!L:M,2,0),"")</f>
        <v>10</v>
      </c>
      <c r="AL50" s="189">
        <v>45622</v>
      </c>
      <c r="AM50" s="169" t="s">
        <v>436</v>
      </c>
      <c r="AN50" s="189">
        <v>45622</v>
      </c>
      <c r="AO50" s="169" t="s">
        <v>303</v>
      </c>
      <c r="AP50" s="189">
        <v>45624</v>
      </c>
      <c r="AQ50" s="189">
        <v>45635</v>
      </c>
      <c r="AR50" s="187">
        <v>50</v>
      </c>
      <c r="AS50" s="187">
        <v>50</v>
      </c>
      <c r="AT50" s="169" t="s">
        <v>41</v>
      </c>
      <c r="AU50" s="169" t="s">
        <v>323</v>
      </c>
      <c r="AV50" s="189">
        <v>45624</v>
      </c>
      <c r="AW50" s="189">
        <v>45635</v>
      </c>
      <c r="AX50" s="187">
        <v>50</v>
      </c>
      <c r="AY50" s="187">
        <v>50</v>
      </c>
      <c r="AZ50" s="169" t="s">
        <v>41</v>
      </c>
      <c r="BA50" s="189">
        <v>45635</v>
      </c>
      <c r="BB50" s="187">
        <f>IFERROR(AVERAGE(AR50,AS50,AX50,AY50),"")</f>
        <v>50</v>
      </c>
      <c r="BC50" s="187">
        <f t="shared" si="8"/>
        <v>40</v>
      </c>
      <c r="BD50" s="158">
        <f t="shared" si="4"/>
        <v>50</v>
      </c>
      <c r="BE50" s="169"/>
      <c r="BF50" s="169"/>
      <c r="BG50" s="234" t="str">
        <f t="shared" si="7"/>
        <v/>
      </c>
    </row>
    <row r="51" spans="1:59" ht="60" hidden="1">
      <c r="A51" s="21">
        <v>20191395002</v>
      </c>
      <c r="B51" s="19" t="str">
        <f>VLOOKUP(A51,'Datos Personales'!A:M,2,FALSE)</f>
        <v>FERNÁNDEZ CAMPOS JAVIER ORLANDO</v>
      </c>
      <c r="C51" s="19">
        <f>VLOOKUP(A51,'ESTADOS ESTUDIANTES'!B:L,11,0)</f>
        <v>1077147477</v>
      </c>
      <c r="D51" s="19">
        <f>VLOOKUP(A51,'Datos Personales'!$A:$M,3,FALSE)</f>
        <v>395</v>
      </c>
      <c r="E51" s="19" t="str">
        <f>VLOOKUP(Tabla4[[#This Row],[ENFASIS]],Listas!$R$2:$S$8,2,0)</f>
        <v>ENFASIS EN GEOMATICA</v>
      </c>
      <c r="F51" s="19" t="str">
        <f>VLOOKUP(A51,'Datos Personales'!A:M,8,0)</f>
        <v>jofernandezc@correo.udistrital.edu.co</v>
      </c>
      <c r="G51" s="19" t="str">
        <f>VLOOKUP(A51,'Datos Personales'!A:M,9,0)</f>
        <v>fernandezjavier480@gmail.com</v>
      </c>
      <c r="H51" s="19" t="str">
        <f>VLOOKUP(A51,'Datos Personales'!A:M,5,FALSE)</f>
        <v>E</v>
      </c>
      <c r="I51" s="19" t="str">
        <f>VLOOKUP(Tabla4[[#This Row],[CODIGO]],'ESTADOS ESTUDIANTES'!B:M,12,0)</f>
        <v>2022-1</v>
      </c>
      <c r="J51" s="18" t="s">
        <v>60</v>
      </c>
      <c r="K51" s="18" t="s">
        <v>439</v>
      </c>
      <c r="L51" s="18" t="s">
        <v>440</v>
      </c>
      <c r="M51" s="18" t="s">
        <v>441</v>
      </c>
      <c r="N51" s="96">
        <v>43623</v>
      </c>
      <c r="O51" s="19">
        <v>2019</v>
      </c>
      <c r="P51" s="18" t="s">
        <v>146</v>
      </c>
      <c r="Q51" s="18" t="s">
        <v>229</v>
      </c>
      <c r="R51" s="124">
        <v>43817</v>
      </c>
      <c r="S51" s="124">
        <f>IF(Tabla4[[#This Row],[FECHA DE ACEPTACION DEL GRUP. INV.]]="","",DATE(YEAR(Tabla4[[#This Row],[FECHA DE ACEPTACION DEL GRUP. INV.]])+2,MONTH(Tabla4[[#This Row],[FECHA DE ACEPTACION DEL GRUP. INV.]]),DAY(Tabla4[[#This Row],[FECHA DE ACEPTACION DEL GRUP. INV.]])))</f>
        <v>44548</v>
      </c>
      <c r="T51" s="124" t="str">
        <f ca="1">IF(Tabla4[[#This Row],[FECHA DE ACEPTACION DEL GRUP. INV.]]="","",IF(Tabla4[[#This Row],[FECHA DE VENCIMIENTO ANTE PROYECTO]]&lt;TODAY(),"SÍ","NO"))</f>
        <v>SÍ</v>
      </c>
      <c r="U51" s="124"/>
      <c r="V51" s="124"/>
      <c r="W51" s="18" t="s">
        <v>430</v>
      </c>
      <c r="X51" s="18"/>
      <c r="Y51" s="96"/>
      <c r="Z51" s="97">
        <v>66.09</v>
      </c>
      <c r="AA51" s="96">
        <v>43964</v>
      </c>
      <c r="AB51" s="97">
        <v>82.61</v>
      </c>
      <c r="AC51" s="98" t="s">
        <v>79</v>
      </c>
      <c r="AD51" s="18" t="s">
        <v>442</v>
      </c>
      <c r="AE51" s="124">
        <v>44629</v>
      </c>
      <c r="AF51" s="375" t="s">
        <v>443</v>
      </c>
      <c r="AG51" s="171"/>
      <c r="AH51" s="171"/>
      <c r="AI51" s="171" t="s">
        <v>80</v>
      </c>
      <c r="AJ51" s="170">
        <f>IFERROR(VLOOKUP(AI51,Listas!K:L,2,0),"")</f>
        <v>0.6</v>
      </c>
      <c r="AK51" s="21">
        <f>IFERROR(VLOOKUP(AJ51,Listas!L:M,2,0),"")</f>
        <v>30</v>
      </c>
      <c r="AL51" s="96">
        <v>44629</v>
      </c>
      <c r="AM51" s="153">
        <v>44743</v>
      </c>
      <c r="AN51" s="96">
        <v>44629</v>
      </c>
      <c r="AO51" s="18" t="s">
        <v>444</v>
      </c>
      <c r="AP51" s="96">
        <v>44630</v>
      </c>
      <c r="AQ51" s="96">
        <v>44673</v>
      </c>
      <c r="AR51" s="21">
        <v>47</v>
      </c>
      <c r="AS51" s="21">
        <v>48</v>
      </c>
      <c r="AT51" s="18" t="s">
        <v>445</v>
      </c>
      <c r="AU51" s="18" t="s">
        <v>446</v>
      </c>
      <c r="AV51" s="96">
        <v>44630</v>
      </c>
      <c r="AW51" s="96">
        <v>44673</v>
      </c>
      <c r="AX51" s="21">
        <v>50</v>
      </c>
      <c r="AY51" s="21">
        <v>50</v>
      </c>
      <c r="AZ51" s="18" t="s">
        <v>445</v>
      </c>
      <c r="BA51" s="96">
        <v>44673</v>
      </c>
      <c r="BB51" s="21">
        <f>IFERROR(ROUND(AVERAGE(AY51,AX51,AZ51,AR51),0),"")</f>
        <v>49</v>
      </c>
      <c r="BC51" s="232">
        <f t="shared" si="8"/>
        <v>19.600000000000001</v>
      </c>
      <c r="BD51" s="292">
        <f t="shared" si="4"/>
        <v>49.6</v>
      </c>
      <c r="BE51" s="23"/>
      <c r="BF51" s="23"/>
      <c r="BG51" s="255" t="str">
        <f t="shared" si="7"/>
        <v/>
      </c>
    </row>
    <row r="52" spans="1:59" s="339" customFormat="1" ht="15" hidden="1">
      <c r="A52" s="21">
        <v>20191395004</v>
      </c>
      <c r="B52" s="19" t="str">
        <f>VLOOKUP(A52,'Datos Personales'!A:M,2,FALSE)</f>
        <v>LARA ABELLO JENNIFFER</v>
      </c>
      <c r="C52" s="19">
        <f>VLOOKUP(A52,'ESTADOS ESTUDIANTES'!B:L,11,0)</f>
        <v>1016068098</v>
      </c>
      <c r="D52" s="19">
        <f>VLOOKUP(A52,'Datos Personales'!$A:$M,3,FALSE)</f>
        <v>395</v>
      </c>
      <c r="E52" s="19" t="str">
        <f>VLOOKUP(Tabla4[[#This Row],[ENFASIS]],Listas!$R$2:$S$8,2,0)</f>
        <v>ENFASIS EN GEOMATICA</v>
      </c>
      <c r="F52" s="19" t="str">
        <f>VLOOKUP(A52,'Datos Personales'!A:M,8,0)</f>
        <v>jlaraa@correo.udistrital.edu.co</v>
      </c>
      <c r="G52" s="19" t="str">
        <f>VLOOKUP(A52,'Datos Personales'!A:M,9,0)</f>
        <v>jlaraa@correo.udistrital.edu.co</v>
      </c>
      <c r="H52" s="19" t="str">
        <f>VLOOKUP(A52,'Datos Personales'!A:M,5,FALSE)</f>
        <v>X</v>
      </c>
      <c r="I52" s="19" t="str">
        <f>VLOOKUP(Tabla4[[#This Row],[CODIGO]],'ESTADOS ESTUDIANTES'!B:M,12,0)</f>
        <v>2019-1</v>
      </c>
      <c r="J52" s="23"/>
      <c r="K52" s="23"/>
      <c r="L52" s="23"/>
      <c r="M52" s="23"/>
      <c r="N52" s="96"/>
      <c r="O52" s="23"/>
      <c r="P52" s="23"/>
      <c r="Q52" s="23"/>
      <c r="R52" s="124"/>
      <c r="S52" s="124" t="str">
        <f>IF(Tabla4[[#This Row],[FECHA DE ACEPTACION DEL GRUP. INV.]]="","",DATE(YEAR(Tabla4[[#This Row],[FECHA DE ACEPTACION DEL GRUP. INV.]])+2,MONTH(Tabla4[[#This Row],[FECHA DE ACEPTACION DEL GRUP. INV.]]),DAY(Tabla4[[#This Row],[FECHA DE ACEPTACION DEL GRUP. INV.]])))</f>
        <v/>
      </c>
      <c r="T52" s="124" t="str">
        <f ca="1">IF(Tabla4[[#This Row],[FECHA DE ACEPTACION DEL GRUP. INV.]]="","",IF(Tabla4[[#This Row],[FECHA DE VENCIMIENTO ANTE PROYECTO]]&lt;TODAY(),"SÍ","NO"))</f>
        <v/>
      </c>
      <c r="U52" s="124"/>
      <c r="V52" s="124"/>
      <c r="W52" s="124"/>
      <c r="X52" s="124"/>
      <c r="Y52" s="96"/>
      <c r="Z52" s="97"/>
      <c r="AA52" s="96"/>
      <c r="AB52" s="97"/>
      <c r="AC52" s="110"/>
      <c r="AD52" s="18"/>
      <c r="AE52" s="124"/>
      <c r="AF52" s="375"/>
      <c r="AG52" s="169"/>
      <c r="AH52" s="169"/>
      <c r="AI52" s="169"/>
      <c r="AJ52" s="170" t="str">
        <f>IFERROR(VLOOKUP(AI52,Listas!K:L,2,0),"")</f>
        <v/>
      </c>
      <c r="AK52" s="21" t="str">
        <f>IFERROR(VLOOKUP(AJ52,Listas!L:M,2,0),"")</f>
        <v/>
      </c>
      <c r="AL52" s="96"/>
      <c r="AM52" s="23"/>
      <c r="AN52" s="96"/>
      <c r="AO52" s="23"/>
      <c r="AP52" s="96"/>
      <c r="AQ52" s="96"/>
      <c r="AR52" s="21"/>
      <c r="AS52" s="21"/>
      <c r="AT52" s="23"/>
      <c r="AU52" s="23"/>
      <c r="AV52" s="96"/>
      <c r="AW52" s="96"/>
      <c r="AX52" s="21"/>
      <c r="AY52" s="21"/>
      <c r="AZ52" s="23"/>
      <c r="BA52" s="96"/>
      <c r="BB52" s="18" t="str">
        <f>IFERROR(ROUND(AVERAGE(AY52,AX52,AS52,AR52),0),"")</f>
        <v/>
      </c>
      <c r="BC52" s="232" t="e">
        <f t="shared" si="8"/>
        <v>#VALUE!</v>
      </c>
      <c r="BD52" s="292" t="e">
        <f t="shared" si="4"/>
        <v>#VALUE!</v>
      </c>
      <c r="BE52" s="23"/>
      <c r="BF52" s="23"/>
      <c r="BG52" s="293" t="str">
        <f t="shared" si="7"/>
        <v/>
      </c>
    </row>
    <row r="53" spans="1:59" ht="60" hidden="1">
      <c r="A53" s="21">
        <v>20191395010</v>
      </c>
      <c r="B53" s="19" t="str">
        <f>VLOOKUP(A53,'Datos Personales'!A:M,2,FALSE)</f>
        <v>RAYO BERMUDEZ KAREN YULIETH</v>
      </c>
      <c r="C53" s="19">
        <f>VLOOKUP(A53,'ESTADOS ESTUDIANTES'!B:L,11,0)</f>
        <v>1023009167</v>
      </c>
      <c r="D53" s="19">
        <f>VLOOKUP(A53,'Datos Personales'!$A:$M,3,FALSE)</f>
        <v>395</v>
      </c>
      <c r="E53" s="19" t="str">
        <f>VLOOKUP(Tabla4[[#This Row],[ENFASIS]],Listas!$R$2:$S$8,2,0)</f>
        <v>ENFASIS EN GEOMATICA</v>
      </c>
      <c r="F53" s="19" t="str">
        <f>VLOOKUP(A53,'Datos Personales'!A:M,8,0)</f>
        <v>kyrayob@correo.udistrital.edu.co</v>
      </c>
      <c r="G53" s="19" t="str">
        <f>VLOOKUP(A53,'Datos Personales'!A:M,9,0)</f>
        <v>karenrayo27@gmail.com</v>
      </c>
      <c r="H53" s="19" t="str">
        <f>VLOOKUP(A53,'Datos Personales'!A:M,5,FALSE)</f>
        <v>E</v>
      </c>
      <c r="I53" s="19" t="str">
        <f>VLOOKUP(Tabla4[[#This Row],[CODIGO]],'ESTADOS ESTUDIANTES'!B:M,12,0)</f>
        <v>2022-3</v>
      </c>
      <c r="J53" s="18" t="s">
        <v>60</v>
      </c>
      <c r="K53" s="18" t="s">
        <v>447</v>
      </c>
      <c r="L53" s="18" t="s">
        <v>448</v>
      </c>
      <c r="M53" s="23"/>
      <c r="N53" s="96">
        <v>43615</v>
      </c>
      <c r="O53" s="19">
        <v>2019</v>
      </c>
      <c r="P53" s="18" t="s">
        <v>146</v>
      </c>
      <c r="Q53" s="18" t="s">
        <v>229</v>
      </c>
      <c r="R53" s="124">
        <v>43817</v>
      </c>
      <c r="S53" s="124">
        <f>IF(Tabla4[[#This Row],[FECHA DE ACEPTACION DEL GRUP. INV.]]="","",DATE(YEAR(Tabla4[[#This Row],[FECHA DE ACEPTACION DEL GRUP. INV.]])+2,MONTH(Tabla4[[#This Row],[FECHA DE ACEPTACION DEL GRUP. INV.]]),DAY(Tabla4[[#This Row],[FECHA DE ACEPTACION DEL GRUP. INV.]])))</f>
        <v>44548</v>
      </c>
      <c r="T53" s="124" t="str">
        <f ca="1">IF(Tabla4[[#This Row],[FECHA DE ACEPTACION DEL GRUP. INV.]]="","",IF(Tabla4[[#This Row],[FECHA DE VENCIMIENTO ANTE PROYECTO]]&lt;TODAY(),"SÍ","NO"))</f>
        <v>SÍ</v>
      </c>
      <c r="U53" s="124"/>
      <c r="V53" s="124"/>
      <c r="W53" s="18" t="s">
        <v>430</v>
      </c>
      <c r="X53" s="18"/>
      <c r="Y53" s="96">
        <v>43964</v>
      </c>
      <c r="Z53" s="97">
        <v>70.430000000000007</v>
      </c>
      <c r="AA53" s="96">
        <v>44802</v>
      </c>
      <c r="AB53" s="97">
        <v>114</v>
      </c>
      <c r="AC53" s="98" t="s">
        <v>79</v>
      </c>
      <c r="AD53" s="18" t="s">
        <v>449</v>
      </c>
      <c r="AE53" s="124">
        <v>44242</v>
      </c>
      <c r="AF53" s="375"/>
      <c r="AG53" s="171"/>
      <c r="AH53" s="171"/>
      <c r="AI53" s="171" t="s">
        <v>80</v>
      </c>
      <c r="AJ53" s="170">
        <f>IFERROR(VLOOKUP(AI53,Listas!K:L,2,0),"")</f>
        <v>0.6</v>
      </c>
      <c r="AK53" s="21">
        <f>IFERROR(VLOOKUP(AJ53,Listas!L:M,2,0),"")</f>
        <v>30</v>
      </c>
      <c r="AL53" s="96">
        <v>44734</v>
      </c>
      <c r="AM53" s="18" t="s">
        <v>450</v>
      </c>
      <c r="AN53" s="96">
        <v>44734</v>
      </c>
      <c r="AO53" s="18" t="s">
        <v>395</v>
      </c>
      <c r="AP53" s="96">
        <v>44741</v>
      </c>
      <c r="AQ53" s="96">
        <v>44804</v>
      </c>
      <c r="AR53" s="21">
        <v>42</v>
      </c>
      <c r="AS53" s="21">
        <v>38</v>
      </c>
      <c r="AT53" s="18" t="s">
        <v>41</v>
      </c>
      <c r="AU53" s="18" t="s">
        <v>310</v>
      </c>
      <c r="AV53" s="96">
        <v>44741</v>
      </c>
      <c r="AW53" s="96">
        <v>44804</v>
      </c>
      <c r="AX53" s="21">
        <v>46</v>
      </c>
      <c r="AY53" s="21">
        <v>46</v>
      </c>
      <c r="AZ53" s="18" t="s">
        <v>41</v>
      </c>
      <c r="BA53" s="96">
        <v>44804</v>
      </c>
      <c r="BB53" s="21">
        <f>IFERROR(ROUND(AVERAGE(AY53,AX53,AS53,AR53),0),"")</f>
        <v>43</v>
      </c>
      <c r="BC53" s="232">
        <f t="shared" si="8"/>
        <v>17.2</v>
      </c>
      <c r="BD53" s="292">
        <f t="shared" si="4"/>
        <v>47.2</v>
      </c>
      <c r="BE53" s="23"/>
      <c r="BF53" s="23"/>
      <c r="BG53" s="255" t="str">
        <f t="shared" si="7"/>
        <v/>
      </c>
    </row>
    <row r="54" spans="1:59" s="339" customFormat="1" ht="75" hidden="1">
      <c r="A54" s="187">
        <v>20191395011</v>
      </c>
      <c r="B54" s="188" t="str">
        <f>VLOOKUP(A54,'Datos Personales'!A:M,2,FALSE)</f>
        <v>SUAREZ JAIMES PAOLA ANDREA</v>
      </c>
      <c r="C54" s="188">
        <f>VLOOKUP(A54,'ESTADOS ESTUDIANTES'!B:L,11,0)</f>
        <v>1014267962</v>
      </c>
      <c r="D54" s="188">
        <f>VLOOKUP(A54,'Datos Personales'!$A:$M,3,FALSE)</f>
        <v>395</v>
      </c>
      <c r="E54" s="188" t="str">
        <f>VLOOKUP(Tabla4[[#This Row],[ENFASIS]],Listas!$R$2:$S$8,2,0)</f>
        <v>ENFASIS EN GEOMATICA</v>
      </c>
      <c r="F54" s="188" t="str">
        <f>VLOOKUP(A54,'Datos Personales'!A:M,8,0)</f>
        <v>pasuarezj@udistrital.edu.co</v>
      </c>
      <c r="G54" s="188" t="str">
        <f>VLOOKUP(A54,'Datos Personales'!A:M,9,0)</f>
        <v>ingpaolasuarez@gmail.com</v>
      </c>
      <c r="H54" s="188" t="str">
        <f>VLOOKUP(A54,'Datos Personales'!A:M,5,FALSE)</f>
        <v>E</v>
      </c>
      <c r="I54" s="188" t="str">
        <f>VLOOKUP(Tabla4[[#This Row],[CODIGO]],'ESTADOS ESTUDIANTES'!B:M,12,0)</f>
        <v>2025-3</v>
      </c>
      <c r="J54" s="171" t="s">
        <v>60</v>
      </c>
      <c r="K54" s="171" t="s">
        <v>451</v>
      </c>
      <c r="L54" s="171" t="s">
        <v>452</v>
      </c>
      <c r="M54" s="169"/>
      <c r="N54" s="189">
        <v>45442</v>
      </c>
      <c r="O54" s="188">
        <v>2024</v>
      </c>
      <c r="P54" s="171" t="s">
        <v>146</v>
      </c>
      <c r="Q54" s="171" t="s">
        <v>229</v>
      </c>
      <c r="R54" s="190">
        <v>45540</v>
      </c>
      <c r="S54" s="190">
        <f>IF(Tabla4[[#This Row],[FECHA DE ACEPTACION DEL GRUP. INV.]]="","",DATE(YEAR(Tabla4[[#This Row],[FECHA DE ACEPTACION DEL GRUP. INV.]])+2,MONTH(Tabla4[[#This Row],[FECHA DE ACEPTACION DEL GRUP. INV.]]),DAY(Tabla4[[#This Row],[FECHA DE ACEPTACION DEL GRUP. INV.]])))</f>
        <v>46270</v>
      </c>
      <c r="T54" s="190" t="str">
        <f ca="1">IF(Tabla4[[#This Row],[FECHA DE ACEPTACION DEL GRUP. INV.]]="","",IF(Tabla4[[#This Row],[FECHA DE VENCIMIENTO ANTE PROYECTO]]&lt;TODAY(),"SÍ","NO"))</f>
        <v>SÍ</v>
      </c>
      <c r="U54" s="237" t="s">
        <v>62</v>
      </c>
      <c r="V54" s="237"/>
      <c r="W54" s="171" t="s">
        <v>453</v>
      </c>
      <c r="X54" s="171"/>
      <c r="Y54" s="189">
        <v>45768</v>
      </c>
      <c r="Z54" s="191">
        <v>63</v>
      </c>
      <c r="AA54" s="86">
        <v>45870</v>
      </c>
      <c r="AB54" s="160">
        <v>97</v>
      </c>
      <c r="AC54" s="171" t="s">
        <v>79</v>
      </c>
      <c r="AD54" s="171" t="s">
        <v>454</v>
      </c>
      <c r="AE54" s="190">
        <v>45819</v>
      </c>
      <c r="AF54" s="190" t="s">
        <v>455</v>
      </c>
      <c r="AG54" s="171" t="s">
        <v>456</v>
      </c>
      <c r="AH54" s="171" t="s">
        <v>457</v>
      </c>
      <c r="AI54" s="171" t="s">
        <v>99</v>
      </c>
      <c r="AJ54" s="170">
        <f>IFERROR(VLOOKUP(AI54,Listas!K:L,2,0),"")</f>
        <v>0.2</v>
      </c>
      <c r="AK54" s="21">
        <f>IFERROR(VLOOKUP(AJ54,Listas!L:M,2,0),"")</f>
        <v>10</v>
      </c>
      <c r="AL54" s="189">
        <v>45819</v>
      </c>
      <c r="AM54" s="169" t="s">
        <v>454</v>
      </c>
      <c r="AN54" s="189">
        <v>45819</v>
      </c>
      <c r="AO54" s="169" t="s">
        <v>458</v>
      </c>
      <c r="AP54" s="189"/>
      <c r="AQ54" s="189"/>
      <c r="AR54" s="187"/>
      <c r="AS54" s="187"/>
      <c r="AT54" s="169"/>
      <c r="AU54" s="169" t="s">
        <v>348</v>
      </c>
      <c r="AV54" s="189"/>
      <c r="AW54" s="189"/>
      <c r="AX54" s="187"/>
      <c r="AY54" s="187"/>
      <c r="AZ54" s="169"/>
      <c r="BA54" s="189"/>
      <c r="BB54" s="187" t="str">
        <f>IFERROR(AVERAGE(AR54,AS54,AX54,AY54),"")</f>
        <v/>
      </c>
      <c r="BC54" s="187" t="e">
        <f t="shared" si="8"/>
        <v>#VALUE!</v>
      </c>
      <c r="BD54" s="187" t="e">
        <f t="shared" si="4"/>
        <v>#VALUE!</v>
      </c>
      <c r="BE54" s="169"/>
      <c r="BF54" s="169"/>
      <c r="BG54" s="234" t="str">
        <f t="shared" si="7"/>
        <v/>
      </c>
    </row>
    <row r="55" spans="1:59" ht="30" hidden="1">
      <c r="A55" s="21">
        <v>20191495002</v>
      </c>
      <c r="B55" s="19" t="str">
        <f>VLOOKUP(A55,'Datos Personales'!A:M,2,FALSE)</f>
        <v>BELTRAN ALFONSO RICARDO ANDRES</v>
      </c>
      <c r="C55" s="19">
        <f>VLOOKUP(A55,'ESTADOS ESTUDIANTES'!B:L,11,0)</f>
        <v>1012390507</v>
      </c>
      <c r="D55" s="19">
        <f>VLOOKUP(A55,'Datos Personales'!$A:$M,3,FALSE)</f>
        <v>495</v>
      </c>
      <c r="E55" s="19" t="str">
        <f>VLOOKUP(Tabla4[[#This Row],[ENFASIS]],Listas!$R$2:$S$8,2,0)</f>
        <v>ENFASIS EN ING. SOFT</v>
      </c>
      <c r="F55" s="19" t="str">
        <f>VLOOKUP(A55,'Datos Personales'!A:M,8,0)</f>
        <v>rabeltrana@correo.udistrital.edu.co</v>
      </c>
      <c r="G55" s="19" t="str">
        <f>VLOOKUP(A55,'Datos Personales'!A:M,9,0)</f>
        <v>richardb9207@gmail.com</v>
      </c>
      <c r="H55" s="19" t="str">
        <f>VLOOKUP(A55,'Datos Personales'!A:M,5,FALSE)</f>
        <v>X</v>
      </c>
      <c r="I55" s="19" t="str">
        <f>VLOOKUP(Tabla4[[#This Row],[CODIGO]],'ESTADOS ESTUDIANTES'!B:M,12,0)</f>
        <v>2019-3</v>
      </c>
      <c r="J55" s="18" t="s">
        <v>60</v>
      </c>
      <c r="K55" s="18" t="s">
        <v>459</v>
      </c>
      <c r="L55" s="18" t="s">
        <v>323</v>
      </c>
      <c r="M55" s="23"/>
      <c r="N55" s="96">
        <v>43636</v>
      </c>
      <c r="O55" s="19">
        <v>2019</v>
      </c>
      <c r="P55" s="18" t="s">
        <v>460</v>
      </c>
      <c r="Q55" s="18" t="s">
        <v>323</v>
      </c>
      <c r="R55" s="124"/>
      <c r="S55" s="124" t="str">
        <f>IF(Tabla4[[#This Row],[FECHA DE ACEPTACION DEL GRUP. INV.]]="","",DATE(YEAR(Tabla4[[#This Row],[FECHA DE ACEPTACION DEL GRUP. INV.]])+2,MONTH(Tabla4[[#This Row],[FECHA DE ACEPTACION DEL GRUP. INV.]]),DAY(Tabla4[[#This Row],[FECHA DE ACEPTACION DEL GRUP. INV.]])))</f>
        <v/>
      </c>
      <c r="T55" s="124" t="str">
        <f ca="1">IF(Tabla4[[#This Row],[FECHA DE ACEPTACION DEL GRUP. INV.]]="","",IF(Tabla4[[#This Row],[FECHA DE VENCIMIENTO ANTE PROYECTO]]&lt;TODAY(),"SÍ","NO"))</f>
        <v/>
      </c>
      <c r="U55" s="124"/>
      <c r="V55" s="124"/>
      <c r="W55" s="18"/>
      <c r="X55" s="18"/>
      <c r="Y55" s="96"/>
      <c r="Z55" s="97"/>
      <c r="AA55" s="96"/>
      <c r="AB55" s="97"/>
      <c r="AC55" s="110"/>
      <c r="AD55" s="18"/>
      <c r="AE55" s="124"/>
      <c r="AF55" s="124"/>
      <c r="AG55" s="169"/>
      <c r="AH55" s="169"/>
      <c r="AI55" s="169"/>
      <c r="AJ55" s="170" t="str">
        <f>IFERROR(VLOOKUP(AI55,Listas!K:L,2,0),"")</f>
        <v/>
      </c>
      <c r="AK55" s="21" t="str">
        <f>IFERROR(VLOOKUP(AJ55,Listas!L:M,2,0),"")</f>
        <v/>
      </c>
      <c r="AL55" s="96"/>
      <c r="AM55" s="23"/>
      <c r="AN55" s="96"/>
      <c r="AO55" s="23"/>
      <c r="AP55" s="96"/>
      <c r="AQ55" s="96"/>
      <c r="AR55" s="21"/>
      <c r="AS55" s="21"/>
      <c r="AT55" s="23"/>
      <c r="AU55" s="23"/>
      <c r="AV55" s="96"/>
      <c r="AW55" s="96"/>
      <c r="AX55" s="21"/>
      <c r="AY55" s="21"/>
      <c r="AZ55" s="23"/>
      <c r="BA55" s="96"/>
      <c r="BB55" s="18" t="str">
        <f>IFERROR(ROUND(AVERAGE(AY55,AX55,AS55,AR55),0),"")</f>
        <v/>
      </c>
      <c r="BC55" s="232" t="e">
        <f t="shared" si="8"/>
        <v>#VALUE!</v>
      </c>
      <c r="BD55" s="292" t="e">
        <f t="shared" si="4"/>
        <v>#VALUE!</v>
      </c>
      <c r="BE55" s="23"/>
      <c r="BF55" s="23"/>
      <c r="BG55" s="255" t="str">
        <f t="shared" si="7"/>
        <v/>
      </c>
    </row>
    <row r="56" spans="1:59" s="339" customFormat="1" ht="45" hidden="1">
      <c r="A56" s="187">
        <v>20191495003</v>
      </c>
      <c r="B56" s="188" t="str">
        <f>VLOOKUP(A56,'Datos Personales'!A:M,2,FALSE)</f>
        <v>CARVAJAL TORRES JOSE AUGUSTO</v>
      </c>
      <c r="C56" s="188">
        <f>VLOOKUP(A56,'ESTADOS ESTUDIANTES'!B:L,11,0)</f>
        <v>1026295788</v>
      </c>
      <c r="D56" s="188">
        <f>VLOOKUP(A56,'Datos Personales'!$A:$M,3,FALSE)</f>
        <v>495</v>
      </c>
      <c r="E56" s="188" t="str">
        <f>VLOOKUP(Tabla4[[#This Row],[ENFASIS]],Listas!$R$2:$S$8,2,0)</f>
        <v>ENFASIS EN ING. SOFT</v>
      </c>
      <c r="F56" s="188" t="str">
        <f>VLOOKUP(A56,'Datos Personales'!A:M,8,0)</f>
        <v>jacarvajalt@udistrital.edu.co</v>
      </c>
      <c r="G56" s="188" t="str">
        <f>VLOOKUP(A56,'Datos Personales'!A:M,9,0)</f>
        <v>jacarvajalt@correo.udistrital.edu.co</v>
      </c>
      <c r="H56" s="188" t="str">
        <f>VLOOKUP(A56,'Datos Personales'!A:M,5,FALSE)</f>
        <v>X</v>
      </c>
      <c r="I56" s="188" t="str">
        <f>VLOOKUP(Tabla4[[#This Row],[CODIGO]],'ESTADOS ESTUDIANTES'!B:M,12,0)</f>
        <v>2025-1</v>
      </c>
      <c r="J56" s="171" t="s">
        <v>60</v>
      </c>
      <c r="K56" s="171" t="s">
        <v>461</v>
      </c>
      <c r="L56" s="171" t="s">
        <v>329</v>
      </c>
      <c r="M56" s="169"/>
      <c r="N56" s="189">
        <v>43633</v>
      </c>
      <c r="O56" s="188">
        <v>2019</v>
      </c>
      <c r="P56" s="171" t="s">
        <v>112</v>
      </c>
      <c r="Q56" s="171" t="s">
        <v>222</v>
      </c>
      <c r="R56" s="190">
        <v>43817</v>
      </c>
      <c r="S56" s="190">
        <f>IF(Tabla4[[#This Row],[FECHA DE ACEPTACION DEL GRUP. INV.]]="","",DATE(YEAR(Tabla4[[#This Row],[FECHA DE ACEPTACION DEL GRUP. INV.]])+2,MONTH(Tabla4[[#This Row],[FECHA DE ACEPTACION DEL GRUP. INV.]]),DAY(Tabla4[[#This Row],[FECHA DE ACEPTACION DEL GRUP. INV.]])))</f>
        <v>44548</v>
      </c>
      <c r="T56" s="190" t="str">
        <f ca="1">IF(Tabla4[[#This Row],[FECHA DE ACEPTACION DEL GRUP. INV.]]="","",IF(Tabla4[[#This Row],[FECHA DE VENCIMIENTO ANTE PROYECTO]]&lt;TODAY(),"SÍ","NO"))</f>
        <v>SÍ</v>
      </c>
      <c r="U56" s="237" t="s">
        <v>62</v>
      </c>
      <c r="V56" s="237"/>
      <c r="W56" s="171" t="s">
        <v>430</v>
      </c>
      <c r="X56" s="171"/>
      <c r="Y56" s="189"/>
      <c r="Z56" s="191"/>
      <c r="AA56" s="189">
        <v>45335</v>
      </c>
      <c r="AB56" s="468">
        <v>120</v>
      </c>
      <c r="AC56" s="169" t="s">
        <v>79</v>
      </c>
      <c r="AD56" s="171"/>
      <c r="AE56" s="190"/>
      <c r="AF56" s="190"/>
      <c r="AG56" s="169"/>
      <c r="AH56" s="169"/>
      <c r="AI56" s="169"/>
      <c r="AJ56" s="170" t="str">
        <f>IFERROR(VLOOKUP(AI56,Listas!K:L,2,0),"")</f>
        <v/>
      </c>
      <c r="AK56" s="187" t="str">
        <f>IFERROR(VLOOKUP(AJ56,Listas!L:M,2,0),"")</f>
        <v/>
      </c>
      <c r="AL56" s="189"/>
      <c r="AM56" s="169"/>
      <c r="AN56" s="189"/>
      <c r="AO56" s="169"/>
      <c r="AP56" s="189"/>
      <c r="AQ56" s="189"/>
      <c r="AR56" s="187"/>
      <c r="AS56" s="187"/>
      <c r="AT56" s="169"/>
      <c r="AU56" s="169"/>
      <c r="AV56" s="189"/>
      <c r="AW56" s="189"/>
      <c r="AX56" s="187"/>
      <c r="AY56" s="187"/>
      <c r="AZ56" s="169"/>
      <c r="BA56" s="189"/>
      <c r="BB56" s="187" t="str">
        <f>IFERROR(AVERAGE(AR56,AS56,AX56,AY56),"")</f>
        <v/>
      </c>
      <c r="BC56" s="187" t="e">
        <f t="shared" si="8"/>
        <v>#VALUE!</v>
      </c>
      <c r="BD56" s="187" t="e">
        <f t="shared" si="4"/>
        <v>#VALUE!</v>
      </c>
      <c r="BE56" s="169"/>
      <c r="BF56" s="169"/>
      <c r="BG56" s="234" t="str">
        <f t="shared" si="7"/>
        <v/>
      </c>
    </row>
    <row r="57" spans="1:59" s="339" customFormat="1" ht="15" hidden="1">
      <c r="A57" s="21">
        <v>20191495004</v>
      </c>
      <c r="B57" s="19" t="str">
        <f>VLOOKUP(A57,'Datos Personales'!A:M,2,FALSE)</f>
        <v>CATAÑO HOYOS LUIS ADOLFO</v>
      </c>
      <c r="C57" s="19">
        <f>VLOOKUP(A57,'ESTADOS ESTUDIANTES'!B:L,11,0)</f>
        <v>1067876861</v>
      </c>
      <c r="D57" s="19">
        <f>VLOOKUP(A57,'Datos Personales'!$A:$M,3,FALSE)</f>
        <v>495</v>
      </c>
      <c r="E57" s="19" t="str">
        <f>VLOOKUP(Tabla4[[#This Row],[ENFASIS]],Listas!$R$2:$S$8,2,0)</f>
        <v>ENFASIS EN ING. SOFT</v>
      </c>
      <c r="F57" s="19" t="str">
        <f>VLOOKUP(A57,'Datos Personales'!A:M,8,0)</f>
        <v>lacatanoh@correo.udistrital.edu.co</v>
      </c>
      <c r="G57" s="19" t="str">
        <f>VLOOKUP(A57,'Datos Personales'!A:M,9,0)</f>
        <v>luchoad17@gmail.com</v>
      </c>
      <c r="H57" s="19" t="str">
        <f>VLOOKUP(A57,'Datos Personales'!A:M,5,FALSE)</f>
        <v>X</v>
      </c>
      <c r="I57" s="19" t="str">
        <f>VLOOKUP(Tabla4[[#This Row],[CODIGO]],'ESTADOS ESTUDIANTES'!B:M,12,0)</f>
        <v>2019-1</v>
      </c>
      <c r="J57" s="23"/>
      <c r="K57" s="23"/>
      <c r="L57" s="23"/>
      <c r="M57" s="23"/>
      <c r="N57" s="96"/>
      <c r="O57" s="23"/>
      <c r="P57" s="23"/>
      <c r="Q57" s="23"/>
      <c r="R57" s="124"/>
      <c r="S57" s="124" t="str">
        <f>IF(Tabla4[[#This Row],[FECHA DE ACEPTACION DEL GRUP. INV.]]="","",DATE(YEAR(Tabla4[[#This Row],[FECHA DE ACEPTACION DEL GRUP. INV.]])+2,MONTH(Tabla4[[#This Row],[FECHA DE ACEPTACION DEL GRUP. INV.]]),DAY(Tabla4[[#This Row],[FECHA DE ACEPTACION DEL GRUP. INV.]])))</f>
        <v/>
      </c>
      <c r="T57" s="124" t="str">
        <f ca="1">IF(Tabla4[[#This Row],[FECHA DE ACEPTACION DEL GRUP. INV.]]="","",IF(Tabla4[[#This Row],[FECHA DE VENCIMIENTO ANTE PROYECTO]]&lt;TODAY(),"SÍ","NO"))</f>
        <v/>
      </c>
      <c r="U57" s="124"/>
      <c r="V57" s="124"/>
      <c r="W57" s="124"/>
      <c r="X57" s="124"/>
      <c r="Y57" s="96"/>
      <c r="Z57" s="97"/>
      <c r="AA57" s="96"/>
      <c r="AB57" s="97"/>
      <c r="AC57" s="110"/>
      <c r="AD57" s="18"/>
      <c r="AE57" s="124"/>
      <c r="AF57" s="124"/>
      <c r="AG57" s="169"/>
      <c r="AH57" s="169"/>
      <c r="AI57" s="169"/>
      <c r="AJ57" s="170" t="str">
        <f>IFERROR(VLOOKUP(AI57,Listas!K:L,2,0),"")</f>
        <v/>
      </c>
      <c r="AK57" s="21" t="str">
        <f>IFERROR(VLOOKUP(AJ57,Listas!L:M,2,0),"")</f>
        <v/>
      </c>
      <c r="AL57" s="96"/>
      <c r="AM57" s="23"/>
      <c r="AN57" s="96"/>
      <c r="AO57" s="23"/>
      <c r="AP57" s="96"/>
      <c r="AQ57" s="96"/>
      <c r="AR57" s="21"/>
      <c r="AS57" s="21"/>
      <c r="AT57" s="23"/>
      <c r="AU57" s="23"/>
      <c r="AV57" s="96"/>
      <c r="AW57" s="96"/>
      <c r="AX57" s="21"/>
      <c r="AY57" s="21"/>
      <c r="AZ57" s="23"/>
      <c r="BA57" s="96"/>
      <c r="BB57" s="18" t="str">
        <f>IFERROR(ROUND(AVERAGE(AY57,AX57,AS57,AR57),0),"")</f>
        <v/>
      </c>
      <c r="BC57" s="232" t="e">
        <f t="shared" si="8"/>
        <v>#VALUE!</v>
      </c>
      <c r="BD57" s="292" t="e">
        <f t="shared" si="4"/>
        <v>#VALUE!</v>
      </c>
      <c r="BE57" s="23"/>
      <c r="BF57" s="23"/>
      <c r="BG57" s="255" t="str">
        <f t="shared" si="7"/>
        <v/>
      </c>
    </row>
    <row r="58" spans="1:59" s="339" customFormat="1" ht="105" hidden="1">
      <c r="A58" s="187">
        <v>20191495006</v>
      </c>
      <c r="B58" s="188" t="str">
        <f>VLOOKUP(A58,'Datos Personales'!A:M,2,FALSE)</f>
        <v>COTTA GARCÍA JUAN GUILLERMO</v>
      </c>
      <c r="C58" s="188">
        <f>VLOOKUP(A58,'ESTADOS ESTUDIANTES'!B:L,11,0)</f>
        <v>1032470566</v>
      </c>
      <c r="D58" s="188">
        <f>VLOOKUP(A58,'Datos Personales'!$A:$M,3,FALSE)</f>
        <v>495</v>
      </c>
      <c r="E58" s="188" t="str">
        <f>VLOOKUP(Tabla4[[#This Row],[ENFASIS]],Listas!$R$2:$S$8,2,0)</f>
        <v>ENFASIS EN ING. SOFT</v>
      </c>
      <c r="F58" s="188" t="str">
        <f>VLOOKUP(A58,'Datos Personales'!A:M,8,0)</f>
        <v>jgcottag@udistrital.edu.co</v>
      </c>
      <c r="G58" s="188" t="str">
        <f>VLOOKUP(A58,'Datos Personales'!A:M,9,0)</f>
        <v>jgcotta@hotmail.com</v>
      </c>
      <c r="H58" s="188" t="str">
        <f>VLOOKUP(A58,'Datos Personales'!A:M,5,FALSE)</f>
        <v>E</v>
      </c>
      <c r="I58" s="188" t="str">
        <f>VLOOKUP(Tabla4[[#This Row],[CODIGO]],'ESTADOS ESTUDIANTES'!B:M,12,0)</f>
        <v>2025-3</v>
      </c>
      <c r="J58" s="171" t="s">
        <v>60</v>
      </c>
      <c r="K58" s="171" t="s">
        <v>462</v>
      </c>
      <c r="L58" s="171" t="s">
        <v>463</v>
      </c>
      <c r="M58" s="169" t="s">
        <v>323</v>
      </c>
      <c r="N58" s="189">
        <v>45784</v>
      </c>
      <c r="O58" s="188">
        <v>2019</v>
      </c>
      <c r="P58" s="171" t="s">
        <v>112</v>
      </c>
      <c r="Q58" s="171" t="s">
        <v>222</v>
      </c>
      <c r="R58" s="237">
        <v>45784</v>
      </c>
      <c r="S58" s="237">
        <f>IF(Tabla4[[#This Row],[FECHA DE ACEPTACION DEL GRUP. INV.]]="","",DATE(YEAR(Tabla4[[#This Row],[FECHA DE ACEPTACION DEL GRUP. INV.]])+2,MONTH(Tabla4[[#This Row],[FECHA DE ACEPTACION DEL GRUP. INV.]]),DAY(Tabla4[[#This Row],[FECHA DE ACEPTACION DEL GRUP. INV.]])))</f>
        <v>46514</v>
      </c>
      <c r="T58" s="237" t="str">
        <f ca="1">IF(Tabla4[[#This Row],[FECHA DE ACEPTACION DEL GRUP. INV.]]="","",IF(Tabla4[[#This Row],[FECHA DE VENCIMIENTO ANTE PROYECTO]]&lt;TODAY(),"SÍ","NO"))</f>
        <v>NO</v>
      </c>
      <c r="U58" s="237" t="s">
        <v>62</v>
      </c>
      <c r="V58" s="237"/>
      <c r="W58" s="277" t="s">
        <v>464</v>
      </c>
      <c r="X58" s="277"/>
      <c r="Y58" s="189"/>
      <c r="Z58" s="191"/>
      <c r="AA58" s="189">
        <v>45531</v>
      </c>
      <c r="AB58" s="191">
        <v>140</v>
      </c>
      <c r="AC58" s="171" t="s">
        <v>79</v>
      </c>
      <c r="AD58" s="171" t="s">
        <v>454</v>
      </c>
      <c r="AE58" s="190">
        <v>45819</v>
      </c>
      <c r="AF58" s="190" t="s">
        <v>465</v>
      </c>
      <c r="AG58" s="171" t="s">
        <v>466</v>
      </c>
      <c r="AH58" s="171" t="s">
        <v>457</v>
      </c>
      <c r="AI58" s="171" t="s">
        <v>99</v>
      </c>
      <c r="AJ58" s="170">
        <f>IFERROR(VLOOKUP(AI58,Listas!K:L,2,0),"")</f>
        <v>0.2</v>
      </c>
      <c r="AK58" s="187">
        <f>IFERROR(VLOOKUP(AJ58,Listas!L:M,2,0),"")</f>
        <v>10</v>
      </c>
      <c r="AL58" s="189">
        <v>45806</v>
      </c>
      <c r="AM58" s="169" t="s">
        <v>454</v>
      </c>
      <c r="AN58" s="189">
        <v>45819</v>
      </c>
      <c r="AO58" s="169" t="s">
        <v>302</v>
      </c>
      <c r="AP58" s="189">
        <v>45874</v>
      </c>
      <c r="AQ58" s="189">
        <v>45891</v>
      </c>
      <c r="AR58" s="187">
        <v>46</v>
      </c>
      <c r="AS58" s="187">
        <v>46</v>
      </c>
      <c r="AT58" s="169" t="s">
        <v>41</v>
      </c>
      <c r="AU58" s="169" t="s">
        <v>467</v>
      </c>
      <c r="AV58" s="189">
        <v>45874</v>
      </c>
      <c r="AW58" s="189">
        <v>45891</v>
      </c>
      <c r="AX58" s="187">
        <v>46</v>
      </c>
      <c r="AY58" s="187">
        <v>46</v>
      </c>
      <c r="AZ58" s="169" t="s">
        <v>41</v>
      </c>
      <c r="BA58" s="189">
        <v>45891</v>
      </c>
      <c r="BB58" s="187">
        <f>IFERROR(AVERAGE(AR58,AS58,AX58,AY58),"")</f>
        <v>46</v>
      </c>
      <c r="BC58" s="187">
        <f t="shared" si="8"/>
        <v>36.800000000000004</v>
      </c>
      <c r="BD58" s="187">
        <f t="shared" si="4"/>
        <v>46.800000000000004</v>
      </c>
      <c r="BE58" s="169"/>
      <c r="BF58" s="169"/>
      <c r="BG58" s="234" t="str">
        <f t="shared" si="7"/>
        <v/>
      </c>
    </row>
    <row r="59" spans="1:59" s="339" customFormat="1" ht="45" hidden="1">
      <c r="A59" s="187">
        <v>20191495007</v>
      </c>
      <c r="B59" s="188" t="str">
        <f>VLOOKUP(A59,'Datos Personales'!A:M,2,FALSE)</f>
        <v>CUELLAR MAYORGA JULIAN ORLANDO</v>
      </c>
      <c r="C59" s="188">
        <f>VLOOKUP(A59,'ESTADOS ESTUDIANTES'!B:L,11,0)</f>
        <v>80817300</v>
      </c>
      <c r="D59" s="188">
        <f>VLOOKUP(A59,'Datos Personales'!$A:$M,3,FALSE)</f>
        <v>495</v>
      </c>
      <c r="E59" s="188" t="str">
        <f>VLOOKUP(Tabla4[[#This Row],[ENFASIS]],Listas!$R$2:$S$8,2,0)</f>
        <v>ENFASIS EN ING. SOFT</v>
      </c>
      <c r="F59" s="188" t="str">
        <f>VLOOKUP(A59,'Datos Personales'!A:M,8,0)</f>
        <v>jocuellarm@udistrital.edu.co</v>
      </c>
      <c r="G59" s="188" t="str">
        <f>VLOOKUP(A59,'Datos Personales'!A:M,9,0)</f>
        <v>julianorlando@gmail.com</v>
      </c>
      <c r="H59" s="188" t="str">
        <f>VLOOKUP(A59,'Datos Personales'!A:M,5,FALSE)</f>
        <v>X</v>
      </c>
      <c r="I59" s="188" t="str">
        <f>VLOOKUP(Tabla4[[#This Row],[CODIGO]],'ESTADOS ESTUDIANTES'!B:M,12,0)</f>
        <v>2025-1</v>
      </c>
      <c r="J59" s="171" t="s">
        <v>60</v>
      </c>
      <c r="K59" s="171" t="s">
        <v>468</v>
      </c>
      <c r="L59" s="171" t="s">
        <v>309</v>
      </c>
      <c r="M59" s="169"/>
      <c r="N59" s="189">
        <v>43626</v>
      </c>
      <c r="O59" s="188">
        <v>2019</v>
      </c>
      <c r="P59" s="171" t="s">
        <v>131</v>
      </c>
      <c r="Q59" s="171" t="s">
        <v>309</v>
      </c>
      <c r="R59" s="190">
        <v>43819</v>
      </c>
      <c r="S59" s="190">
        <f>IF(Tabla4[[#This Row],[FECHA DE ACEPTACION DEL GRUP. INV.]]="","",DATE(YEAR(Tabla4[[#This Row],[FECHA DE ACEPTACION DEL GRUP. INV.]])+2,MONTH(Tabla4[[#This Row],[FECHA DE ACEPTACION DEL GRUP. INV.]]),DAY(Tabla4[[#This Row],[FECHA DE ACEPTACION DEL GRUP. INV.]])))</f>
        <v>44550</v>
      </c>
      <c r="T59" s="190" t="str">
        <f ca="1">IF(Tabla4[[#This Row],[FECHA DE ACEPTACION DEL GRUP. INV.]]="","",IF(Tabla4[[#This Row],[FECHA DE VENCIMIENTO ANTE PROYECTO]]&lt;TODAY(),"SÍ","NO"))</f>
        <v>SÍ</v>
      </c>
      <c r="U59" s="237" t="s">
        <v>62</v>
      </c>
      <c r="V59" s="237"/>
      <c r="W59" s="171" t="s">
        <v>430</v>
      </c>
      <c r="X59" s="171"/>
      <c r="Y59" s="189"/>
      <c r="Z59" s="191"/>
      <c r="AA59" s="189">
        <v>43964</v>
      </c>
      <c r="AB59" s="191">
        <v>84.35</v>
      </c>
      <c r="AC59" s="171" t="s">
        <v>79</v>
      </c>
      <c r="AD59" s="171"/>
      <c r="AE59" s="190"/>
      <c r="AF59" s="190"/>
      <c r="AG59" s="171"/>
      <c r="AH59" s="171"/>
      <c r="AI59" s="171"/>
      <c r="AJ59" s="170" t="str">
        <f>IFERROR(VLOOKUP(AI59,Listas!K:L,2,0),"")</f>
        <v/>
      </c>
      <c r="AK59" s="187" t="str">
        <f>IFERROR(VLOOKUP(AJ59,Listas!L:M,2,0),"")</f>
        <v/>
      </c>
      <c r="AL59" s="189"/>
      <c r="AM59" s="169"/>
      <c r="AN59" s="189"/>
      <c r="AO59" s="169"/>
      <c r="AP59" s="189"/>
      <c r="AQ59" s="189"/>
      <c r="AR59" s="187"/>
      <c r="AS59" s="187"/>
      <c r="AT59" s="169"/>
      <c r="AU59" s="169"/>
      <c r="AV59" s="189"/>
      <c r="AW59" s="189"/>
      <c r="AX59" s="187"/>
      <c r="AY59" s="187"/>
      <c r="AZ59" s="169"/>
      <c r="BA59" s="189"/>
      <c r="BB59" s="187" t="str">
        <f>IFERROR(AVERAGE(AR59,AS59,AX59,AY59),"")</f>
        <v/>
      </c>
      <c r="BC59" s="187" t="e">
        <f t="shared" si="8"/>
        <v>#VALUE!</v>
      </c>
      <c r="BD59" s="187" t="e">
        <f t="shared" si="4"/>
        <v>#VALUE!</v>
      </c>
      <c r="BE59" s="169"/>
      <c r="BF59" s="169"/>
      <c r="BG59" s="234" t="str">
        <f t="shared" si="7"/>
        <v/>
      </c>
    </row>
    <row r="60" spans="1:59" ht="45" hidden="1">
      <c r="A60" s="21">
        <v>20191495008</v>
      </c>
      <c r="B60" s="19" t="str">
        <f>VLOOKUP(A60,'Datos Personales'!A:M,2,FALSE)</f>
        <v>DALLOS PARRA DAVID LEONARDO</v>
      </c>
      <c r="C60" s="19">
        <f>VLOOKUP(A60,'ESTADOS ESTUDIANTES'!B:L,11,0)</f>
        <v>1015460560</v>
      </c>
      <c r="D60" s="19">
        <f>VLOOKUP(A60,'Datos Personales'!$A:$M,3,FALSE)</f>
        <v>495</v>
      </c>
      <c r="E60" s="19" t="str">
        <f>VLOOKUP(Tabla4[[#This Row],[ENFASIS]],Listas!$R$2:$S$8,2,0)</f>
        <v>ENFASIS EN ING. SOFT</v>
      </c>
      <c r="F60" s="19" t="str">
        <f>VLOOKUP(A60,'Datos Personales'!A:M,8,0)</f>
        <v>dldallosp@udistrital.edu.co</v>
      </c>
      <c r="G60" s="19" t="str">
        <f>VLOOKUP(A60,'Datos Personales'!A:M,9,0)</f>
        <v>leonardodallos@hotmail.com</v>
      </c>
      <c r="H60" s="19" t="str">
        <f>VLOOKUP(A60,'Datos Personales'!A:M,5,FALSE)</f>
        <v>X</v>
      </c>
      <c r="I60" s="19" t="str">
        <f>VLOOKUP(Tabla4[[#This Row],[CODIGO]],'ESTADOS ESTUDIANTES'!B:M,12,0)</f>
        <v>2022-1</v>
      </c>
      <c r="J60" s="18" t="s">
        <v>60</v>
      </c>
      <c r="K60" s="18" t="s">
        <v>469</v>
      </c>
      <c r="L60" s="18" t="s">
        <v>297</v>
      </c>
      <c r="M60" s="23"/>
      <c r="N60" s="96">
        <v>43636</v>
      </c>
      <c r="O60" s="19">
        <v>2019</v>
      </c>
      <c r="P60" s="18" t="s">
        <v>134</v>
      </c>
      <c r="Q60" s="18" t="s">
        <v>248</v>
      </c>
      <c r="R60" s="124">
        <v>44012</v>
      </c>
      <c r="S60" s="124">
        <f>IF(Tabla4[[#This Row],[FECHA DE ACEPTACION DEL GRUP. INV.]]="","",DATE(YEAR(Tabla4[[#This Row],[FECHA DE ACEPTACION DEL GRUP. INV.]])+2,MONTH(Tabla4[[#This Row],[FECHA DE ACEPTACION DEL GRUP. INV.]]),DAY(Tabla4[[#This Row],[FECHA DE ACEPTACION DEL GRUP. INV.]])))</f>
        <v>44742</v>
      </c>
      <c r="T60" s="124" t="str">
        <f ca="1">IF(Tabla4[[#This Row],[FECHA DE ACEPTACION DEL GRUP. INV.]]="","",IF(Tabla4[[#This Row],[FECHA DE VENCIMIENTO ANTE PROYECTO]]&lt;TODAY(),"SÍ","NO"))</f>
        <v>SÍ</v>
      </c>
      <c r="U60" s="124"/>
      <c r="V60" s="124"/>
      <c r="W60" s="18" t="s">
        <v>233</v>
      </c>
      <c r="X60" s="18"/>
      <c r="Y60" s="96"/>
      <c r="Z60" s="97"/>
      <c r="AA60" s="96"/>
      <c r="AB60" s="97"/>
      <c r="AC60" s="110"/>
      <c r="AD60" s="18"/>
      <c r="AE60" s="124"/>
      <c r="AF60" s="124"/>
      <c r="AG60" s="169"/>
      <c r="AH60" s="169"/>
      <c r="AI60" s="169"/>
      <c r="AJ60" s="170" t="str">
        <f>IFERROR(VLOOKUP(AI60,Listas!K:L,2,0),"")</f>
        <v/>
      </c>
      <c r="AK60" s="21" t="str">
        <f>IFERROR(VLOOKUP(AJ60,Listas!L:M,2,0),"")</f>
        <v/>
      </c>
      <c r="AL60" s="96"/>
      <c r="AM60" s="23"/>
      <c r="AN60" s="96"/>
      <c r="AO60" s="23"/>
      <c r="AP60" s="96"/>
      <c r="AQ60" s="96"/>
      <c r="AR60" s="21"/>
      <c r="AS60" s="21"/>
      <c r="AT60" s="23"/>
      <c r="AU60" s="23"/>
      <c r="AV60" s="96"/>
      <c r="AW60" s="96"/>
      <c r="AX60" s="21"/>
      <c r="AY60" s="21"/>
      <c r="AZ60" s="23"/>
      <c r="BA60" s="96"/>
      <c r="BB60" s="18" t="str">
        <f>IFERROR(ROUND(AVERAGE(AY60,AX60,AS60,AR60),0),"")</f>
        <v/>
      </c>
      <c r="BC60" s="232" t="e">
        <f t="shared" si="8"/>
        <v>#VALUE!</v>
      </c>
      <c r="BD60" s="292" t="e">
        <f t="shared" si="4"/>
        <v>#VALUE!</v>
      </c>
      <c r="BE60" s="23"/>
      <c r="BF60" s="23"/>
      <c r="BG60" s="293" t="str">
        <f t="shared" si="7"/>
        <v/>
      </c>
    </row>
    <row r="61" spans="1:59" s="339" customFormat="1" ht="45" hidden="1">
      <c r="A61" s="187">
        <v>20191495010</v>
      </c>
      <c r="B61" s="188" t="str">
        <f>VLOOKUP(A61,'Datos Personales'!A:M,2,FALSE)</f>
        <v>DÍAZ MONJE KEVIN CAMILO</v>
      </c>
      <c r="C61" s="188">
        <f>VLOOKUP(A61,'ESTADOS ESTUDIANTES'!B:L,11,0)</f>
        <v>1022395664</v>
      </c>
      <c r="D61" s="188">
        <f>VLOOKUP(A61,'Datos Personales'!$A:$M,3,FALSE)</f>
        <v>495</v>
      </c>
      <c r="E61" s="188" t="str">
        <f>VLOOKUP(Tabla4[[#This Row],[ENFASIS]],Listas!$R$2:$S$8,2,0)</f>
        <v>ENFASIS EN ING. SOFT</v>
      </c>
      <c r="F61" s="188" t="str">
        <f>VLOOKUP(A61,'Datos Personales'!A:M,8,0)</f>
        <v>kcdiazm@udistrital.edu.co</v>
      </c>
      <c r="G61" s="188" t="str">
        <f>VLOOKUP(A61,'Datos Personales'!A:M,9,0)</f>
        <v>kcdiazm@correo.udistrital.edu.co</v>
      </c>
      <c r="H61" s="188" t="str">
        <f>VLOOKUP(A61,'Datos Personales'!A:M,5,FALSE)</f>
        <v>E</v>
      </c>
      <c r="I61" s="188" t="str">
        <f>VLOOKUP(Tabla4[[#This Row],[CODIGO]],'ESTADOS ESTUDIANTES'!B:M,12,0)</f>
        <v>2025-3</v>
      </c>
      <c r="J61" s="171" t="s">
        <v>60</v>
      </c>
      <c r="K61" s="171" t="s">
        <v>470</v>
      </c>
      <c r="L61" s="171" t="s">
        <v>329</v>
      </c>
      <c r="M61" s="169"/>
      <c r="N61" s="189">
        <v>45722</v>
      </c>
      <c r="O61" s="188">
        <v>2019</v>
      </c>
      <c r="P61" s="171" t="s">
        <v>112</v>
      </c>
      <c r="Q61" s="171" t="s">
        <v>222</v>
      </c>
      <c r="R61" s="190">
        <v>45727</v>
      </c>
      <c r="S61" s="190">
        <f>IF(Tabla4[[#This Row],[FECHA DE ACEPTACION DEL GRUP. INV.]]="","",DATE(YEAR(Tabla4[[#This Row],[FECHA DE ACEPTACION DEL GRUP. INV.]])+2,MONTH(Tabla4[[#This Row],[FECHA DE ACEPTACION DEL GRUP. INV.]]),DAY(Tabla4[[#This Row],[FECHA DE ACEPTACION DEL GRUP. INV.]])))</f>
        <v>46457</v>
      </c>
      <c r="T61" s="190" t="str">
        <f ca="1">IF(Tabla4[[#This Row],[FECHA DE ACEPTACION DEL GRUP. INV.]]="","",IF(Tabla4[[#This Row],[FECHA DE VENCIMIENTO ANTE PROYECTO]]&lt;TODAY(),"SÍ","NO"))</f>
        <v>NO</v>
      </c>
      <c r="U61" s="237" t="s">
        <v>62</v>
      </c>
      <c r="V61" s="237"/>
      <c r="W61" s="171" t="s">
        <v>471</v>
      </c>
      <c r="X61" s="171"/>
      <c r="Y61" s="189">
        <v>43964</v>
      </c>
      <c r="Z61" s="191">
        <v>93.91</v>
      </c>
      <c r="AA61" s="189">
        <v>45323</v>
      </c>
      <c r="AB61" s="191">
        <v>110</v>
      </c>
      <c r="AC61" s="171" t="s">
        <v>79</v>
      </c>
      <c r="AD61" s="171" t="s">
        <v>454</v>
      </c>
      <c r="AE61" s="190">
        <v>45819</v>
      </c>
      <c r="AF61" s="190" t="s">
        <v>472</v>
      </c>
      <c r="AG61" s="171" t="s">
        <v>473</v>
      </c>
      <c r="AH61" s="171" t="s">
        <v>457</v>
      </c>
      <c r="AI61" s="171" t="s">
        <v>99</v>
      </c>
      <c r="AJ61" s="170">
        <f>IFERROR(VLOOKUP(AI61,Listas!K:L,2,0),"")</f>
        <v>0.2</v>
      </c>
      <c r="AK61" s="187">
        <f>IFERROR(VLOOKUP(AJ61,Listas!L:M,2,0),"")</f>
        <v>10</v>
      </c>
      <c r="AL61" s="189"/>
      <c r="AM61" s="169" t="s">
        <v>454</v>
      </c>
      <c r="AN61" s="189">
        <v>45819</v>
      </c>
      <c r="AO61" s="169" t="s">
        <v>323</v>
      </c>
      <c r="AP61" s="189"/>
      <c r="AQ61" s="189"/>
      <c r="AR61" s="187"/>
      <c r="AS61" s="187"/>
      <c r="AT61" s="169"/>
      <c r="AU61" s="169" t="s">
        <v>474</v>
      </c>
      <c r="AV61" s="189"/>
      <c r="AW61" s="189"/>
      <c r="AX61" s="187"/>
      <c r="AY61" s="187"/>
      <c r="AZ61" s="169"/>
      <c r="BA61" s="189"/>
      <c r="BB61" s="187" t="str">
        <f>IFERROR(AVERAGE(AR61,AS61,AX61,AY61),"")</f>
        <v/>
      </c>
      <c r="BC61" s="187" t="e">
        <f t="shared" si="8"/>
        <v>#VALUE!</v>
      </c>
      <c r="BD61" s="187" t="e">
        <f t="shared" si="4"/>
        <v>#VALUE!</v>
      </c>
      <c r="BE61" s="169"/>
      <c r="BF61" s="169"/>
      <c r="BG61" s="234" t="str">
        <f t="shared" si="7"/>
        <v/>
      </c>
    </row>
    <row r="62" spans="1:59" s="339" customFormat="1" ht="60" hidden="1">
      <c r="A62" s="21">
        <v>20191495011</v>
      </c>
      <c r="B62" s="19" t="str">
        <f>VLOOKUP(A62,'Datos Personales'!A:M,2,FALSE)</f>
        <v>GARCIA BARAHONA YENY PAOLA</v>
      </c>
      <c r="C62" s="19">
        <f>VLOOKUP(A62,'ESTADOS ESTUDIANTES'!B:L,11,0)</f>
        <v>1121819760</v>
      </c>
      <c r="D62" s="19">
        <f>VLOOKUP(A62,'Datos Personales'!$A:$M,3,FALSE)</f>
        <v>495</v>
      </c>
      <c r="E62" s="19" t="str">
        <f>VLOOKUP(Tabla4[[#This Row],[ENFASIS]],Listas!$R$2:$S$8,2,0)</f>
        <v>ENFASIS EN ING. SOFT</v>
      </c>
      <c r="F62" s="19" t="str">
        <f>VLOOKUP(A62,'Datos Personales'!A:M,8,0)</f>
        <v>ypgarciab@correo.udistrital.edu.co</v>
      </c>
      <c r="G62" s="19" t="str">
        <f>VLOOKUP(A62,'Datos Personales'!A:M,9,0)</f>
        <v>ingpaolagarcia@gmail.com</v>
      </c>
      <c r="H62" s="19" t="str">
        <f>VLOOKUP(A62,'Datos Personales'!A:M,5,FALSE)</f>
        <v>X</v>
      </c>
      <c r="I62" s="19" t="str">
        <f>VLOOKUP(Tabla4[[#This Row],[CODIGO]],'ESTADOS ESTUDIANTES'!B:M,12,0)</f>
        <v>2019-1</v>
      </c>
      <c r="J62" s="18" t="s">
        <v>60</v>
      </c>
      <c r="K62" s="18" t="s">
        <v>475</v>
      </c>
      <c r="L62" s="18" t="s">
        <v>476</v>
      </c>
      <c r="M62" s="23"/>
      <c r="N62" s="96">
        <v>43630</v>
      </c>
      <c r="O62" s="19">
        <v>2019</v>
      </c>
      <c r="P62" s="18" t="s">
        <v>115</v>
      </c>
      <c r="Q62" s="18" t="s">
        <v>292</v>
      </c>
      <c r="R62" s="124"/>
      <c r="S62" s="124" t="str">
        <f>IF(Tabla4[[#This Row],[FECHA DE ACEPTACION DEL GRUP. INV.]]="","",DATE(YEAR(Tabla4[[#This Row],[FECHA DE ACEPTACION DEL GRUP. INV.]])+2,MONTH(Tabla4[[#This Row],[FECHA DE ACEPTACION DEL GRUP. INV.]]),DAY(Tabla4[[#This Row],[FECHA DE ACEPTACION DEL GRUP. INV.]])))</f>
        <v/>
      </c>
      <c r="T62" s="124" t="str">
        <f ca="1">IF(Tabla4[[#This Row],[FECHA DE ACEPTACION DEL GRUP. INV.]]="","",IF(Tabla4[[#This Row],[FECHA DE VENCIMIENTO ANTE PROYECTO]]&lt;TODAY(),"SÍ","NO"))</f>
        <v/>
      </c>
      <c r="U62" s="124"/>
      <c r="V62" s="124"/>
      <c r="W62" s="124"/>
      <c r="X62" s="124"/>
      <c r="Y62" s="96"/>
      <c r="Z62" s="97"/>
      <c r="AA62" s="96"/>
      <c r="AB62" s="97"/>
      <c r="AC62" s="110"/>
      <c r="AD62" s="18"/>
      <c r="AE62" s="124"/>
      <c r="AF62" s="124"/>
      <c r="AG62" s="169"/>
      <c r="AH62" s="169"/>
      <c r="AI62" s="169"/>
      <c r="AJ62" s="170" t="str">
        <f>IFERROR(VLOOKUP(AI62,Listas!K:L,2,0),"")</f>
        <v/>
      </c>
      <c r="AK62" s="21" t="str">
        <f>IFERROR(VLOOKUP(AJ62,Listas!L:M,2,0),"")</f>
        <v/>
      </c>
      <c r="AL62" s="96"/>
      <c r="AM62" s="23"/>
      <c r="AN62" s="96"/>
      <c r="AO62" s="23"/>
      <c r="AP62" s="96"/>
      <c r="AQ62" s="96"/>
      <c r="AR62" s="21"/>
      <c r="AS62" s="21"/>
      <c r="AT62" s="23"/>
      <c r="AU62" s="23"/>
      <c r="AV62" s="96"/>
      <c r="AW62" s="96"/>
      <c r="AX62" s="21"/>
      <c r="AY62" s="21"/>
      <c r="AZ62" s="23"/>
      <c r="BA62" s="96"/>
      <c r="BB62" s="18" t="str">
        <f>IFERROR(ROUND(AVERAGE(AY62,AX62,AS62,AR62),0),"")</f>
        <v/>
      </c>
      <c r="BC62" s="232" t="e">
        <f t="shared" si="8"/>
        <v>#VALUE!</v>
      </c>
      <c r="BD62" s="292" t="e">
        <f t="shared" si="4"/>
        <v>#VALUE!</v>
      </c>
      <c r="BE62" s="23"/>
      <c r="BF62" s="23"/>
      <c r="BG62" s="293" t="str">
        <f t="shared" si="7"/>
        <v/>
      </c>
    </row>
    <row r="63" spans="1:59" s="339" customFormat="1" ht="30" hidden="1">
      <c r="A63" s="21">
        <v>20191495012</v>
      </c>
      <c r="B63" s="19" t="str">
        <f>VLOOKUP(A63,'Datos Personales'!A:M,2,FALSE)</f>
        <v>GUERRERO BERMÚDEZ CRISTIAN ANDRÉS</v>
      </c>
      <c r="C63" s="19">
        <f>VLOOKUP(A63,'ESTADOS ESTUDIANTES'!B:L,11,0)</f>
        <v>80818510</v>
      </c>
      <c r="D63" s="19">
        <f>VLOOKUP(A63,'Datos Personales'!$A:$M,3,FALSE)</f>
        <v>495</v>
      </c>
      <c r="E63" s="19" t="str">
        <f>VLOOKUP(Tabla4[[#This Row],[ENFASIS]],Listas!$R$2:$S$8,2,0)</f>
        <v>ENFASIS EN ING. SOFT</v>
      </c>
      <c r="F63" s="19" t="str">
        <f>VLOOKUP(A63,'Datos Personales'!A:M,8,0)</f>
        <v>caguerrerob@correo.udistrital.edu.co</v>
      </c>
      <c r="G63" s="19" t="str">
        <f>VLOOKUP(A63,'Datos Personales'!A:M,9,0)</f>
        <v>cristianandresgb@hotmail.com</v>
      </c>
      <c r="H63" s="19" t="str">
        <f>VLOOKUP(A63,'Datos Personales'!A:M,5,FALSE)</f>
        <v>X</v>
      </c>
      <c r="I63" s="19" t="str">
        <f>VLOOKUP(Tabla4[[#This Row],[CODIGO]],'ESTADOS ESTUDIANTES'!B:M,12,0)</f>
        <v>2019-1</v>
      </c>
      <c r="J63" s="23"/>
      <c r="K63" s="23"/>
      <c r="L63" s="23"/>
      <c r="M63" s="23"/>
      <c r="N63" s="96"/>
      <c r="O63" s="23"/>
      <c r="P63" s="23"/>
      <c r="Q63" s="23"/>
      <c r="R63" s="124"/>
      <c r="S63" s="124" t="str">
        <f>IF(Tabla4[[#This Row],[FECHA DE ACEPTACION DEL GRUP. INV.]]="","",DATE(YEAR(Tabla4[[#This Row],[FECHA DE ACEPTACION DEL GRUP. INV.]])+2,MONTH(Tabla4[[#This Row],[FECHA DE ACEPTACION DEL GRUP. INV.]]),DAY(Tabla4[[#This Row],[FECHA DE ACEPTACION DEL GRUP. INV.]])))</f>
        <v/>
      </c>
      <c r="T63" s="124" t="str">
        <f ca="1">IF(Tabla4[[#This Row],[FECHA DE ACEPTACION DEL GRUP. INV.]]="","",IF(Tabla4[[#This Row],[FECHA DE VENCIMIENTO ANTE PROYECTO]]&lt;TODAY(),"SÍ","NO"))</f>
        <v/>
      </c>
      <c r="U63" s="124"/>
      <c r="V63" s="124"/>
      <c r="W63" s="124"/>
      <c r="X63" s="124"/>
      <c r="Y63" s="96"/>
      <c r="Z63" s="97"/>
      <c r="AA63" s="96"/>
      <c r="AB63" s="97"/>
      <c r="AC63" s="110"/>
      <c r="AD63" s="18"/>
      <c r="AE63" s="124"/>
      <c r="AF63" s="124"/>
      <c r="AG63" s="169"/>
      <c r="AH63" s="169"/>
      <c r="AI63" s="169"/>
      <c r="AJ63" s="170" t="str">
        <f>IFERROR(VLOOKUP(AI63,Listas!K:L,2,0),"")</f>
        <v/>
      </c>
      <c r="AK63" s="21" t="str">
        <f>IFERROR(VLOOKUP(AJ63,Listas!L:M,2,0),"")</f>
        <v/>
      </c>
      <c r="AL63" s="96"/>
      <c r="AM63" s="23"/>
      <c r="AN63" s="96"/>
      <c r="AO63" s="23"/>
      <c r="AP63" s="96"/>
      <c r="AQ63" s="96"/>
      <c r="AR63" s="21"/>
      <c r="AS63" s="21"/>
      <c r="AT63" s="23"/>
      <c r="AU63" s="23"/>
      <c r="AV63" s="96"/>
      <c r="AW63" s="96"/>
      <c r="AX63" s="21"/>
      <c r="AY63" s="21"/>
      <c r="AZ63" s="23"/>
      <c r="BA63" s="96"/>
      <c r="BB63" s="18" t="str">
        <f>IFERROR(ROUND(AVERAGE(AY63,AX63,AS63,AR63),0),"")</f>
        <v/>
      </c>
      <c r="BC63" s="232" t="e">
        <f t="shared" si="8"/>
        <v>#VALUE!</v>
      </c>
      <c r="BD63" s="292" t="e">
        <f t="shared" si="4"/>
        <v>#VALUE!</v>
      </c>
      <c r="BE63" s="23"/>
      <c r="BF63" s="23"/>
      <c r="BG63" s="255" t="str">
        <f t="shared" si="7"/>
        <v/>
      </c>
    </row>
    <row r="64" spans="1:59" ht="45" hidden="1">
      <c r="A64" s="187">
        <v>20191495013</v>
      </c>
      <c r="B64" s="188" t="str">
        <f>VLOOKUP(A64,'Datos Personales'!A:M,2,FALSE)</f>
        <v>HERNÁNDEZ MONTEALEGRE DANIEL ALEXANDER</v>
      </c>
      <c r="C64" s="188">
        <f>VLOOKUP(A64,'ESTADOS ESTUDIANTES'!B:L,11,0)</f>
        <v>1014277134</v>
      </c>
      <c r="D64" s="188">
        <f>VLOOKUP(A64,'Datos Personales'!$A:$M,3,FALSE)</f>
        <v>495</v>
      </c>
      <c r="E64" s="188" t="str">
        <f>VLOOKUP(Tabla4[[#This Row],[ENFASIS]],Listas!$R$2:$S$8,2,0)</f>
        <v>ENFASIS EN ING. SOFT</v>
      </c>
      <c r="F64" s="188" t="str">
        <f>VLOOKUP(A64,'Datos Personales'!A:M,8,0)</f>
        <v>danahernandezm@udistrital.edu.co</v>
      </c>
      <c r="G64" s="188" t="str">
        <f>VLOOKUP(A64,'Datos Personales'!A:M,9,0)</f>
        <v>dahm35@hotmail.com</v>
      </c>
      <c r="H64" s="188" t="str">
        <f>VLOOKUP(A64,'Datos Personales'!A:M,5,FALSE)</f>
        <v>E</v>
      </c>
      <c r="I64" s="188" t="str">
        <f>VLOOKUP(Tabla4[[#This Row],[CODIGO]],'ESTADOS ESTUDIANTES'!B:M,12,0)</f>
        <v>2025-3</v>
      </c>
      <c r="J64" s="171" t="s">
        <v>60</v>
      </c>
      <c r="K64" s="171" t="s">
        <v>477</v>
      </c>
      <c r="L64" s="171" t="s">
        <v>281</v>
      </c>
      <c r="M64" s="169" t="s">
        <v>478</v>
      </c>
      <c r="N64" s="189">
        <v>45796</v>
      </c>
      <c r="O64" s="188">
        <v>2019</v>
      </c>
      <c r="P64" s="171" t="s">
        <v>125</v>
      </c>
      <c r="Q64" s="171" t="s">
        <v>281</v>
      </c>
      <c r="R64" s="190">
        <v>45800</v>
      </c>
      <c r="S64" s="190">
        <f>IF(Tabla4[[#This Row],[FECHA DE ACEPTACION DEL GRUP. INV.]]="","",DATE(YEAR(Tabla4[[#This Row],[FECHA DE ACEPTACION DEL GRUP. INV.]])+2,MONTH(Tabla4[[#This Row],[FECHA DE ACEPTACION DEL GRUP. INV.]]),DAY(Tabla4[[#This Row],[FECHA DE ACEPTACION DEL GRUP. INV.]])))</f>
        <v>46530</v>
      </c>
      <c r="T64" s="190" t="str">
        <f ca="1">IF(Tabla4[[#This Row],[FECHA DE ACEPTACION DEL GRUP. INV.]]="","",IF(Tabla4[[#This Row],[FECHA DE VENCIMIENTO ANTE PROYECTO]]&lt;TODAY(),"SÍ","NO"))</f>
        <v>NO</v>
      </c>
      <c r="U64" s="237" t="s">
        <v>62</v>
      </c>
      <c r="V64" s="237"/>
      <c r="W64" s="171" t="s">
        <v>471</v>
      </c>
      <c r="X64" s="171"/>
      <c r="Y64" s="189"/>
      <c r="Z64" s="191"/>
      <c r="AA64" s="189">
        <v>45323</v>
      </c>
      <c r="AB64" s="191">
        <v>151</v>
      </c>
      <c r="AC64" s="169" t="s">
        <v>68</v>
      </c>
      <c r="AD64" s="171" t="s">
        <v>479</v>
      </c>
      <c r="AE64" s="190">
        <v>45945</v>
      </c>
      <c r="AF64" s="190" t="s">
        <v>480</v>
      </c>
      <c r="AG64" s="169" t="s">
        <v>481</v>
      </c>
      <c r="AH64" s="169">
        <v>2025</v>
      </c>
      <c r="AI64" s="169" t="s">
        <v>99</v>
      </c>
      <c r="AJ64" s="193">
        <f>IFERROR(VLOOKUP(AI64,Listas!K:L,2,0),"")</f>
        <v>0.2</v>
      </c>
      <c r="AK64" s="187">
        <f>IFERROR(VLOOKUP(AJ64,Listas!L:M,2,0),"")</f>
        <v>10</v>
      </c>
      <c r="AL64" s="189">
        <v>45929</v>
      </c>
      <c r="AM64" s="169" t="s">
        <v>479</v>
      </c>
      <c r="AN64" s="189">
        <v>45945</v>
      </c>
      <c r="AO64" s="169" t="s">
        <v>418</v>
      </c>
      <c r="AP64" s="189"/>
      <c r="AQ64" s="189"/>
      <c r="AR64" s="187"/>
      <c r="AS64" s="187"/>
      <c r="AT64" s="169"/>
      <c r="AU64" s="169" t="s">
        <v>302</v>
      </c>
      <c r="AV64" s="189"/>
      <c r="AW64" s="189"/>
      <c r="AX64" s="187"/>
      <c r="AY64" s="187"/>
      <c r="AZ64" s="169"/>
      <c r="BA64" s="189"/>
      <c r="BB64" s="187" t="str">
        <f>IFERROR(AVERAGE(AR64,AS64,AX64,AY64),"")</f>
        <v/>
      </c>
      <c r="BC64" s="187" t="e">
        <f>BB64*(100%-AJ64)</f>
        <v>#VALUE!</v>
      </c>
      <c r="BD64" s="187" t="e">
        <f t="shared" ref="BD64:BD95" si="9">SUM(BC64,AK64)</f>
        <v>#VALUE!</v>
      </c>
      <c r="BE64" s="169"/>
      <c r="BF64" s="169"/>
      <c r="BG64" s="234" t="str">
        <f t="shared" si="7"/>
        <v/>
      </c>
    </row>
    <row r="65" spans="1:59" s="339" customFormat="1" ht="30" hidden="1">
      <c r="A65" s="21">
        <v>20191495014</v>
      </c>
      <c r="B65" s="19" t="str">
        <f>VLOOKUP(A65,'Datos Personales'!A:M,2,FALSE)</f>
        <v>HURTADO ROMERO JAIME ARTURO</v>
      </c>
      <c r="C65" s="19">
        <f>VLOOKUP(A65,'ESTADOS ESTUDIANTES'!B:L,11,0)</f>
        <v>1015439205</v>
      </c>
      <c r="D65" s="19">
        <f>VLOOKUP(A65,'Datos Personales'!$A:$M,3,FALSE)</f>
        <v>495</v>
      </c>
      <c r="E65" s="19" t="str">
        <f>VLOOKUP(Tabla4[[#This Row],[ENFASIS]],Listas!$R$2:$S$8,2,0)</f>
        <v>ENFASIS EN ING. SOFT</v>
      </c>
      <c r="F65" s="19" t="str">
        <f>VLOOKUP(A65,'Datos Personales'!A:M,8,0)</f>
        <v>jaahurtador@correo.udistrital.edu.co</v>
      </c>
      <c r="G65" s="19" t="str">
        <f>VLOOKUP(A65,'Datos Personales'!A:M,9,0)</f>
        <v>jart1221@gmail.com</v>
      </c>
      <c r="H65" s="19" t="str">
        <f>VLOOKUP(A65,'Datos Personales'!A:M,5,FALSE)</f>
        <v>X</v>
      </c>
      <c r="I65" s="19" t="str">
        <f>VLOOKUP(Tabla4[[#This Row],[CODIGO]],'ESTADOS ESTUDIANTES'!B:M,12,0)</f>
        <v>2019-1</v>
      </c>
      <c r="J65" s="23"/>
      <c r="K65" s="23"/>
      <c r="L65" s="23"/>
      <c r="M65" s="23"/>
      <c r="N65" s="96"/>
      <c r="O65" s="23"/>
      <c r="P65" s="23"/>
      <c r="Q65" s="23"/>
      <c r="R65" s="124"/>
      <c r="S65" s="124" t="str">
        <f>IF(Tabla4[[#This Row],[FECHA DE ACEPTACION DEL GRUP. INV.]]="","",DATE(YEAR(Tabla4[[#This Row],[FECHA DE ACEPTACION DEL GRUP. INV.]])+2,MONTH(Tabla4[[#This Row],[FECHA DE ACEPTACION DEL GRUP. INV.]]),DAY(Tabla4[[#This Row],[FECHA DE ACEPTACION DEL GRUP. INV.]])))</f>
        <v/>
      </c>
      <c r="T65" s="124" t="str">
        <f ca="1">IF(Tabla4[[#This Row],[FECHA DE ACEPTACION DEL GRUP. INV.]]="","",IF(Tabla4[[#This Row],[FECHA DE VENCIMIENTO ANTE PROYECTO]]&lt;TODAY(),"SÍ","NO"))</f>
        <v/>
      </c>
      <c r="U65" s="124"/>
      <c r="V65" s="124"/>
      <c r="W65" s="124"/>
      <c r="X65" s="124"/>
      <c r="Y65" s="96"/>
      <c r="Z65" s="97"/>
      <c r="AA65" s="96"/>
      <c r="AB65" s="97"/>
      <c r="AC65" s="110"/>
      <c r="AD65" s="18"/>
      <c r="AE65" s="124"/>
      <c r="AF65" s="124"/>
      <c r="AG65" s="169"/>
      <c r="AH65" s="169"/>
      <c r="AI65" s="169"/>
      <c r="AJ65" s="170" t="str">
        <f>IFERROR(VLOOKUP(AI65,Listas!K:L,2,0),"")</f>
        <v/>
      </c>
      <c r="AK65" s="21" t="str">
        <f>IFERROR(VLOOKUP(AJ65,Listas!L:M,2,0),"")</f>
        <v/>
      </c>
      <c r="AL65" s="96"/>
      <c r="AM65" s="23"/>
      <c r="AN65" s="96"/>
      <c r="AO65" s="23"/>
      <c r="AP65" s="96"/>
      <c r="AQ65" s="96"/>
      <c r="AR65" s="21"/>
      <c r="AS65" s="21"/>
      <c r="AT65" s="23"/>
      <c r="AU65" s="23"/>
      <c r="AV65" s="96"/>
      <c r="AW65" s="96"/>
      <c r="AX65" s="21"/>
      <c r="AY65" s="21"/>
      <c r="AZ65" s="23"/>
      <c r="BA65" s="96"/>
      <c r="BB65" s="18" t="str">
        <f>IFERROR(ROUND(AVERAGE(AY65,AX65,AS65,AR65),0),"")</f>
        <v/>
      </c>
      <c r="BC65" s="232" t="e">
        <f>BB65*(100%-AJ65)</f>
        <v>#VALUE!</v>
      </c>
      <c r="BD65" s="292" t="e">
        <f t="shared" si="9"/>
        <v>#VALUE!</v>
      </c>
      <c r="BE65" s="23"/>
      <c r="BF65" s="23"/>
      <c r="BG65" s="255" t="str">
        <f t="shared" si="7"/>
        <v/>
      </c>
    </row>
    <row r="66" spans="1:59" s="339" customFormat="1" ht="120" hidden="1">
      <c r="A66" s="21">
        <v>20191495016</v>
      </c>
      <c r="B66" s="19" t="str">
        <f>VLOOKUP(A66,'Datos Personales'!A:M,2,FALSE)</f>
        <v>MARTÍNEZ CERVERA DANIEL ESTEBAN</v>
      </c>
      <c r="C66" s="19">
        <f>VLOOKUP(A66,'ESTADOS ESTUDIANTES'!B:L,11,0)</f>
        <v>1019112987</v>
      </c>
      <c r="D66" s="19">
        <f>VLOOKUP(A66,'Datos Personales'!$A:$M,3,FALSE)</f>
        <v>495</v>
      </c>
      <c r="E66" s="19" t="str">
        <f>VLOOKUP(Tabla4[[#This Row],[ENFASIS]],Listas!$R$2:$S$8,2,0)</f>
        <v>ENFASIS EN ING. SOFT</v>
      </c>
      <c r="F66" s="19" t="str">
        <f>VLOOKUP(A66,'Datos Personales'!A:M,8,0)</f>
        <v>demartinezc@correo.udistrital.edu.co</v>
      </c>
      <c r="G66" s="19" t="str">
        <f>VLOOKUP(A66,'Datos Personales'!A:M,9,0)</f>
        <v>demartinezc@correo.udistrital.edu.co</v>
      </c>
      <c r="H66" s="19" t="str">
        <f>VLOOKUP(A66,'Datos Personales'!A:M,5,FALSE)</f>
        <v>E</v>
      </c>
      <c r="I66" s="19" t="str">
        <f>VLOOKUP(Tabla4[[#This Row],[CODIGO]],'ESTADOS ESTUDIANTES'!B:M,12,0)</f>
        <v>2021-1</v>
      </c>
      <c r="J66" s="18" t="s">
        <v>60</v>
      </c>
      <c r="K66" s="18" t="s">
        <v>482</v>
      </c>
      <c r="L66" s="18" t="s">
        <v>483</v>
      </c>
      <c r="M66" s="18" t="s">
        <v>484</v>
      </c>
      <c r="N66" s="96">
        <v>43616</v>
      </c>
      <c r="O66" s="19">
        <v>2019</v>
      </c>
      <c r="P66" s="18" t="s">
        <v>131</v>
      </c>
      <c r="Q66" s="18" t="s">
        <v>309</v>
      </c>
      <c r="R66" s="124">
        <v>43800</v>
      </c>
      <c r="S66" s="124">
        <f>IF(Tabla4[[#This Row],[FECHA DE ACEPTACION DEL GRUP. INV.]]="","",DATE(YEAR(Tabla4[[#This Row],[FECHA DE ACEPTACION DEL GRUP. INV.]])+2,MONTH(Tabla4[[#This Row],[FECHA DE ACEPTACION DEL GRUP. INV.]]),DAY(Tabla4[[#This Row],[FECHA DE ACEPTACION DEL GRUP. INV.]])))</f>
        <v>44531</v>
      </c>
      <c r="T66" s="124" t="str">
        <f ca="1">IF(Tabla4[[#This Row],[FECHA DE ACEPTACION DEL GRUP. INV.]]="","",IF(Tabla4[[#This Row],[FECHA DE VENCIMIENTO ANTE PROYECTO]]&lt;TODAY(),"SÍ","NO"))</f>
        <v>SÍ</v>
      </c>
      <c r="U66" s="124"/>
      <c r="V66" s="124"/>
      <c r="W66" s="18" t="s">
        <v>430</v>
      </c>
      <c r="X66" s="18"/>
      <c r="Y66" s="96"/>
      <c r="Z66" s="97"/>
      <c r="AA66" s="96">
        <v>43964</v>
      </c>
      <c r="AB66" s="97">
        <v>72.17</v>
      </c>
      <c r="AC66" s="98" t="s">
        <v>79</v>
      </c>
      <c r="AD66" s="18"/>
      <c r="AE66" s="124"/>
      <c r="AF66" s="124" t="s">
        <v>301</v>
      </c>
      <c r="AG66" s="171"/>
      <c r="AH66" s="171"/>
      <c r="AI66" s="171"/>
      <c r="AJ66" s="170" t="str">
        <f>IFERROR(VLOOKUP(AI66,Listas!K:L,2,0),"")</f>
        <v/>
      </c>
      <c r="AK66" s="21" t="str">
        <f>IFERROR(VLOOKUP(AJ66,Listas!L:M,2,0),"")</f>
        <v/>
      </c>
      <c r="AL66" s="96">
        <v>44172</v>
      </c>
      <c r="AM66" s="18" t="s">
        <v>485</v>
      </c>
      <c r="AN66" s="96"/>
      <c r="AO66" s="18" t="s">
        <v>486</v>
      </c>
      <c r="AP66" s="96">
        <v>44174</v>
      </c>
      <c r="AQ66" s="96">
        <v>44256</v>
      </c>
      <c r="AR66" s="21">
        <v>40</v>
      </c>
      <c r="AS66" s="21">
        <v>42</v>
      </c>
      <c r="AT66" s="18" t="s">
        <v>41</v>
      </c>
      <c r="AU66" s="18" t="s">
        <v>271</v>
      </c>
      <c r="AV66" s="96">
        <v>44174</v>
      </c>
      <c r="AW66" s="96">
        <v>44256</v>
      </c>
      <c r="AX66" s="21">
        <v>41</v>
      </c>
      <c r="AY66" s="21">
        <v>41</v>
      </c>
      <c r="AZ66" s="18" t="s">
        <v>41</v>
      </c>
      <c r="BA66" s="96">
        <v>44256</v>
      </c>
      <c r="BB66" s="21">
        <v>41</v>
      </c>
      <c r="BC66" s="232" t="e">
        <f>BB66*(100%-AJ66)</f>
        <v>#VALUE!</v>
      </c>
      <c r="BD66" s="292" t="e">
        <f t="shared" si="9"/>
        <v>#VALUE!</v>
      </c>
      <c r="BE66" s="23"/>
      <c r="BF66" s="18" t="s">
        <v>240</v>
      </c>
      <c r="BG66" s="293" t="str">
        <f t="shared" si="7"/>
        <v/>
      </c>
    </row>
    <row r="67" spans="1:59" ht="57" hidden="1">
      <c r="A67" s="187">
        <v>20191495017</v>
      </c>
      <c r="B67" s="188" t="str">
        <f>VLOOKUP(A67,'Datos Personales'!A:M,2,FALSE)</f>
        <v>NOVOA PERALTA LEONARDO ANDRÉS</v>
      </c>
      <c r="C67" s="188">
        <f>VLOOKUP(A67,'ESTADOS ESTUDIANTES'!B:L,11,0)</f>
        <v>1026254497</v>
      </c>
      <c r="D67" s="188">
        <f>VLOOKUP(A67,'Datos Personales'!$A:$M,3,FALSE)</f>
        <v>495</v>
      </c>
      <c r="E67" s="188" t="str">
        <f>VLOOKUP(Tabla4[[#This Row],[ENFASIS]],Listas!$R$2:$S$8,2,0)</f>
        <v>ENFASIS EN ING. SOFT</v>
      </c>
      <c r="F67" s="188" t="str">
        <f>VLOOKUP(A67,'Datos Personales'!A:M,8,0)</f>
        <v>lanovoap@udistrital.edu.co</v>
      </c>
      <c r="G67" s="188" t="str">
        <f>VLOOKUP(A67,'Datos Personales'!A:M,9,0)</f>
        <v>leonardo.novoa@grupohousemedia.com</v>
      </c>
      <c r="H67" s="188" t="str">
        <f>VLOOKUP(A67,'Datos Personales'!A:M,5,FALSE)</f>
        <v>E</v>
      </c>
      <c r="I67" s="188" t="str">
        <f>VLOOKUP(Tabla4[[#This Row],[CODIGO]],'ESTADOS ESTUDIANTES'!B:M,12,0)</f>
        <v>2025-3</v>
      </c>
      <c r="J67" s="171" t="s">
        <v>60</v>
      </c>
      <c r="K67" s="171" t="s">
        <v>487</v>
      </c>
      <c r="L67" s="171" t="s">
        <v>351</v>
      </c>
      <c r="M67" s="169"/>
      <c r="N67" s="189">
        <v>45580</v>
      </c>
      <c r="O67" s="188">
        <v>2024</v>
      </c>
      <c r="P67" s="171" t="s">
        <v>106</v>
      </c>
      <c r="Q67" s="171" t="s">
        <v>351</v>
      </c>
      <c r="R67" s="190">
        <v>45743</v>
      </c>
      <c r="S67" s="190">
        <f>IF(Tabla4[[#This Row],[FECHA DE ACEPTACION DEL GRUP. INV.]]="","",DATE(YEAR(Tabla4[[#This Row],[FECHA DE ACEPTACION DEL GRUP. INV.]])+2,MONTH(Tabla4[[#This Row],[FECHA DE ACEPTACION DEL GRUP. INV.]]),DAY(Tabla4[[#This Row],[FECHA DE ACEPTACION DEL GRUP. INV.]])))</f>
        <v>46473</v>
      </c>
      <c r="T67" s="190" t="str">
        <f ca="1">IF(Tabla4[[#This Row],[FECHA DE ACEPTACION DEL GRUP. INV.]]="","",IF(Tabla4[[#This Row],[FECHA DE VENCIMIENTO ANTE PROYECTO]]&lt;TODAY(),"SÍ","NO"))</f>
        <v>NO</v>
      </c>
      <c r="U67" s="237" t="s">
        <v>62</v>
      </c>
      <c r="V67" s="237"/>
      <c r="W67" s="171" t="s">
        <v>488</v>
      </c>
      <c r="X67" s="171"/>
      <c r="Y67" s="189"/>
      <c r="Z67" s="191"/>
      <c r="AA67" s="189">
        <v>43888</v>
      </c>
      <c r="AB67" s="191">
        <v>70.430000000000007</v>
      </c>
      <c r="AC67" s="171" t="s">
        <v>79</v>
      </c>
      <c r="AD67" s="171" t="s">
        <v>489</v>
      </c>
      <c r="AE67" s="190">
        <v>45791</v>
      </c>
      <c r="AF67" s="485" t="s">
        <v>490</v>
      </c>
      <c r="AG67" s="487" t="s">
        <v>491</v>
      </c>
      <c r="AH67" s="171" t="s">
        <v>457</v>
      </c>
      <c r="AI67" s="171" t="s">
        <v>80</v>
      </c>
      <c r="AJ67" s="193">
        <f>IFERROR(VLOOKUP(AI67,Listas!K:L,2,0),"")</f>
        <v>0.6</v>
      </c>
      <c r="AK67" s="187">
        <f>IFERROR(VLOOKUP(AJ67,Listas!L:M,2,0),"")</f>
        <v>30</v>
      </c>
      <c r="AL67" s="189"/>
      <c r="AM67" s="169" t="s">
        <v>489</v>
      </c>
      <c r="AN67" s="189">
        <v>45791</v>
      </c>
      <c r="AO67" s="169" t="s">
        <v>226</v>
      </c>
      <c r="AP67" s="189"/>
      <c r="AQ67" s="189">
        <v>45824</v>
      </c>
      <c r="AR67" s="187">
        <v>50</v>
      </c>
      <c r="AS67" s="187">
        <v>50</v>
      </c>
      <c r="AT67" s="169" t="s">
        <v>41</v>
      </c>
      <c r="AU67" s="169" t="s">
        <v>302</v>
      </c>
      <c r="AV67" s="189"/>
      <c r="AW67" s="189">
        <v>45824</v>
      </c>
      <c r="AX67" s="187">
        <v>50</v>
      </c>
      <c r="AY67" s="187">
        <v>50</v>
      </c>
      <c r="AZ67" s="169" t="s">
        <v>41</v>
      </c>
      <c r="BA67" s="189">
        <v>45824</v>
      </c>
      <c r="BB67" s="187">
        <f>IFERROR(AVERAGE(AR67,AS67,AX67,AY67),"")</f>
        <v>50</v>
      </c>
      <c r="BC67" s="187">
        <f>BB67*(100%-AJ67)</f>
        <v>20</v>
      </c>
      <c r="BD67" s="187">
        <f t="shared" si="9"/>
        <v>50</v>
      </c>
      <c r="BE67" s="169"/>
      <c r="BF67" s="169"/>
      <c r="BG67" s="234" t="str">
        <f t="shared" si="7"/>
        <v/>
      </c>
    </row>
    <row r="68" spans="1:59" ht="45" hidden="1">
      <c r="A68" s="187">
        <v>20191495018</v>
      </c>
      <c r="B68" s="188" t="str">
        <f>VLOOKUP(A68,'Datos Personales'!A:M,2,FALSE)</f>
        <v>OBREGON BARRERA CARLOS IVAN</v>
      </c>
      <c r="C68" s="188">
        <f>VLOOKUP(A68,'ESTADOS ESTUDIANTES'!B:L,11,0)</f>
        <v>1098675575</v>
      </c>
      <c r="D68" s="188">
        <f>VLOOKUP(A68,'Datos Personales'!$A:$M,3,FALSE)</f>
        <v>495</v>
      </c>
      <c r="E68" s="188" t="str">
        <f>VLOOKUP(Tabla4[[#This Row],[ENFASIS]],Listas!$R$2:$S$8,2,0)</f>
        <v>ENFASIS EN ING. SOFT</v>
      </c>
      <c r="F68" s="188" t="str">
        <f>VLOOKUP(A68,'Datos Personales'!A:M,8,0)</f>
        <v>ciobregonb@udistrital.edu.co</v>
      </c>
      <c r="G68" s="188" t="str">
        <f>VLOOKUP(A68,'Datos Personales'!A:M,9,0)</f>
        <v>carlos.ivan.obregon@gmail.com</v>
      </c>
      <c r="H68" s="188" t="str">
        <f>VLOOKUP(A68,'Datos Personales'!A:M,5,FALSE)</f>
        <v>X</v>
      </c>
      <c r="I68" s="188" t="str">
        <f>VLOOKUP(Tabla4[[#This Row],[CODIGO]],'ESTADOS ESTUDIANTES'!B:M,12,0)</f>
        <v>2022-3</v>
      </c>
      <c r="J68" s="171" t="s">
        <v>60</v>
      </c>
      <c r="K68" s="171" t="s">
        <v>492</v>
      </c>
      <c r="L68" s="171" t="s">
        <v>271</v>
      </c>
      <c r="M68" s="169"/>
      <c r="N68" s="189">
        <v>43810</v>
      </c>
      <c r="O68" s="188">
        <v>2019</v>
      </c>
      <c r="P68" s="171" t="s">
        <v>106</v>
      </c>
      <c r="Q68" s="171" t="s">
        <v>225</v>
      </c>
      <c r="R68" s="190">
        <v>43871</v>
      </c>
      <c r="S68" s="190">
        <f>IF(Tabla4[[#This Row],[FECHA DE ACEPTACION DEL GRUP. INV.]]="","",DATE(YEAR(Tabla4[[#This Row],[FECHA DE ACEPTACION DEL GRUP. INV.]])+2,MONTH(Tabla4[[#This Row],[FECHA DE ACEPTACION DEL GRUP. INV.]]),DAY(Tabla4[[#This Row],[FECHA DE ACEPTACION DEL GRUP. INV.]])))</f>
        <v>44602</v>
      </c>
      <c r="T68" s="190" t="str">
        <f ca="1">IF(Tabla4[[#This Row],[FECHA DE ACEPTACION DEL GRUP. INV.]]="","",IF(Tabla4[[#This Row],[FECHA DE VENCIMIENTO ANTE PROYECTO]]&lt;TODAY(),"SÍ","NO"))</f>
        <v>SÍ</v>
      </c>
      <c r="U68" s="190"/>
      <c r="V68" s="190"/>
      <c r="W68" s="171" t="s">
        <v>430</v>
      </c>
      <c r="X68" s="171"/>
      <c r="Y68" s="189"/>
      <c r="Z68" s="191"/>
      <c r="AA68" s="189">
        <v>44510</v>
      </c>
      <c r="AB68" s="191">
        <v>79</v>
      </c>
      <c r="AC68" s="98" t="s">
        <v>79</v>
      </c>
      <c r="AD68" s="171"/>
      <c r="AE68" s="190"/>
      <c r="AF68" s="190"/>
      <c r="AG68" s="171"/>
      <c r="AH68" s="171"/>
      <c r="AI68" s="171"/>
      <c r="AJ68" s="170" t="str">
        <f>IFERROR(VLOOKUP(AI68,Listas!K:L,2,0),"")</f>
        <v/>
      </c>
      <c r="AK68" s="21" t="str">
        <f>IFERROR(VLOOKUP(AJ68,Listas!L:M,2,0),"")</f>
        <v/>
      </c>
      <c r="AL68" s="189"/>
      <c r="AM68" s="169"/>
      <c r="AN68" s="189"/>
      <c r="AO68" s="169"/>
      <c r="AP68" s="189"/>
      <c r="AQ68" s="189"/>
      <c r="AR68" s="187"/>
      <c r="AS68" s="187"/>
      <c r="AT68" s="169"/>
      <c r="AU68" s="169"/>
      <c r="AV68" s="189"/>
      <c r="AW68" s="189"/>
      <c r="AX68" s="187"/>
      <c r="AY68" s="187"/>
      <c r="AZ68" s="169"/>
      <c r="BA68" s="189"/>
      <c r="BB68" s="232" t="str">
        <f>IFERROR(AVERAGE(AR68,AS68,AX68,AY68),"")</f>
        <v/>
      </c>
      <c r="BC68" s="232" t="e">
        <f>BB68*(100%-AJ68)</f>
        <v>#VALUE!</v>
      </c>
      <c r="BD68" s="292" t="e">
        <f t="shared" si="9"/>
        <v>#VALUE!</v>
      </c>
      <c r="BE68" s="169"/>
      <c r="BF68" s="169"/>
      <c r="BG68" s="234" t="str">
        <f t="shared" si="7"/>
        <v/>
      </c>
    </row>
    <row r="69" spans="1:59" s="339" customFormat="1" ht="15" hidden="1">
      <c r="A69" s="21">
        <v>20191495020</v>
      </c>
      <c r="B69" s="19" t="str">
        <f>VLOOKUP(A69,'Datos Personales'!A:M,2,FALSE)</f>
        <v>PAEZ MARTINEZ YERSON ALEXANDER</v>
      </c>
      <c r="C69" s="19">
        <f>VLOOKUP(A69,'ESTADOS ESTUDIANTES'!B:L,11,0)</f>
        <v>1102715888</v>
      </c>
      <c r="D69" s="19">
        <f>VLOOKUP(A69,'Datos Personales'!$A:$M,3,FALSE)</f>
        <v>495</v>
      </c>
      <c r="E69" s="19" t="str">
        <f>VLOOKUP(Tabla4[[#This Row],[ENFASIS]],Listas!$R$2:$S$8,2,0)</f>
        <v>ENFASIS EN ING. SOFT</v>
      </c>
      <c r="F69" s="19" t="str">
        <f>VLOOKUP(A69,'Datos Personales'!A:M,8,0)</f>
        <v>yeapaezm@correo.udistrital.edu.co</v>
      </c>
      <c r="G69" s="19" t="str">
        <f>VLOOKUP(A69,'Datos Personales'!A:M,9,0)</f>
        <v>yeralex19@gmail.com</v>
      </c>
      <c r="H69" s="19" t="str">
        <f>VLOOKUP(A69,'Datos Personales'!A:M,5,FALSE)</f>
        <v>X</v>
      </c>
      <c r="I69" s="19" t="str">
        <f>VLOOKUP(Tabla4[[#This Row],[CODIGO]],'ESTADOS ESTUDIANTES'!B:M,12,0)</f>
        <v>2019-1</v>
      </c>
      <c r="J69" s="23"/>
      <c r="K69" s="23"/>
      <c r="L69" s="23"/>
      <c r="M69" s="23"/>
      <c r="N69" s="96"/>
      <c r="O69" s="23"/>
      <c r="P69" s="23"/>
      <c r="Q69" s="23"/>
      <c r="R69" s="124"/>
      <c r="S69" s="124" t="str">
        <f>IF(Tabla4[[#This Row],[FECHA DE ACEPTACION DEL GRUP. INV.]]="","",DATE(YEAR(Tabla4[[#This Row],[FECHA DE ACEPTACION DEL GRUP. INV.]])+2,MONTH(Tabla4[[#This Row],[FECHA DE ACEPTACION DEL GRUP. INV.]]),DAY(Tabla4[[#This Row],[FECHA DE ACEPTACION DEL GRUP. INV.]])))</f>
        <v/>
      </c>
      <c r="T69" s="124" t="str">
        <f ca="1">IF(Tabla4[[#This Row],[FECHA DE ACEPTACION DEL GRUP. INV.]]="","",IF(Tabla4[[#This Row],[FECHA DE VENCIMIENTO ANTE PROYECTO]]&lt;TODAY(),"SÍ","NO"))</f>
        <v/>
      </c>
      <c r="U69" s="124"/>
      <c r="V69" s="124"/>
      <c r="W69" s="124"/>
      <c r="X69" s="124"/>
      <c r="Y69" s="96"/>
      <c r="Z69" s="97"/>
      <c r="AA69" s="96"/>
      <c r="AB69" s="97"/>
      <c r="AC69" s="110"/>
      <c r="AD69" s="18"/>
      <c r="AE69" s="124"/>
      <c r="AF69" s="124"/>
      <c r="AG69" s="169"/>
      <c r="AH69" s="169"/>
      <c r="AI69" s="169"/>
      <c r="AJ69" s="170" t="str">
        <f>IFERROR(VLOOKUP(AI69,Listas!K:L,2,0),"")</f>
        <v/>
      </c>
      <c r="AK69" s="21" t="str">
        <f>IFERROR(VLOOKUP(AJ69,Listas!L:M,2,0),"")</f>
        <v/>
      </c>
      <c r="AL69" s="96"/>
      <c r="AM69" s="23"/>
      <c r="AN69" s="96"/>
      <c r="AO69" s="23"/>
      <c r="AP69" s="96"/>
      <c r="AQ69" s="96"/>
      <c r="AR69" s="21"/>
      <c r="AS69" s="21"/>
      <c r="AT69" s="23"/>
      <c r="AU69" s="23"/>
      <c r="AV69" s="96"/>
      <c r="AW69" s="96"/>
      <c r="AX69" s="21"/>
      <c r="AY69" s="21"/>
      <c r="AZ69" s="23"/>
      <c r="BA69" s="96"/>
      <c r="BB69" s="18" t="str">
        <f>IFERROR(ROUND(AVERAGE(AY69,AX69,AS69,AR69),0),"")</f>
        <v/>
      </c>
      <c r="BC69" s="18" t="e">
        <f>(BB69*0.8)/10</f>
        <v>#VALUE!</v>
      </c>
      <c r="BD69" s="185" t="e">
        <f t="shared" si="9"/>
        <v>#VALUE!</v>
      </c>
      <c r="BE69" s="23"/>
      <c r="BF69" s="23"/>
      <c r="BG69" s="255" t="str">
        <f t="shared" si="7"/>
        <v/>
      </c>
    </row>
    <row r="70" spans="1:59" s="339" customFormat="1" ht="60" hidden="1">
      <c r="A70" s="21">
        <v>20191495024</v>
      </c>
      <c r="B70" s="19" t="str">
        <f>VLOOKUP(A70,'Datos Personales'!A:M,2,FALSE)</f>
        <v>SAENZ RAMIREZ DIEGO AUGUSTO</v>
      </c>
      <c r="C70" s="19">
        <f>VLOOKUP(A70,'ESTADOS ESTUDIANTES'!B:L,11,0)</f>
        <v>1018416659</v>
      </c>
      <c r="D70" s="19">
        <f>VLOOKUP(A70,'Datos Personales'!$A:$M,3,FALSE)</f>
        <v>495</v>
      </c>
      <c r="E70" s="19" t="str">
        <f>VLOOKUP(Tabla4[[#This Row],[ENFASIS]],Listas!$R$2:$S$8,2,0)</f>
        <v>ENFASIS EN ING. SOFT</v>
      </c>
      <c r="F70" s="19" t="str">
        <f>VLOOKUP(A70,'Datos Personales'!A:M,8,0)</f>
        <v>dasaenzr@correo.udistrital.edu.co</v>
      </c>
      <c r="G70" s="19" t="str">
        <f>VLOOKUP(A70,'Datos Personales'!A:M,9,0)</f>
        <v>autocopiante@gmail.com</v>
      </c>
      <c r="H70" s="19" t="str">
        <f>VLOOKUP(A70,'Datos Personales'!A:M,5,FALSE)</f>
        <v>X</v>
      </c>
      <c r="I70" s="19" t="str">
        <f>VLOOKUP(Tabla4[[#This Row],[CODIGO]],'ESTADOS ESTUDIANTES'!B:M,12,0)</f>
        <v>2019-1</v>
      </c>
      <c r="J70" s="18" t="s">
        <v>60</v>
      </c>
      <c r="K70" s="18" t="s">
        <v>493</v>
      </c>
      <c r="L70" s="18" t="s">
        <v>323</v>
      </c>
      <c r="M70" s="23"/>
      <c r="N70" s="96">
        <v>43636</v>
      </c>
      <c r="O70" s="19">
        <v>2019</v>
      </c>
      <c r="P70" s="18" t="s">
        <v>460</v>
      </c>
      <c r="Q70" s="18" t="s">
        <v>323</v>
      </c>
      <c r="R70" s="124"/>
      <c r="S70" s="124" t="str">
        <f>IF(Tabla4[[#This Row],[FECHA DE ACEPTACION DEL GRUP. INV.]]="","",DATE(YEAR(Tabla4[[#This Row],[FECHA DE ACEPTACION DEL GRUP. INV.]])+2,MONTH(Tabla4[[#This Row],[FECHA DE ACEPTACION DEL GRUP. INV.]]),DAY(Tabla4[[#This Row],[FECHA DE ACEPTACION DEL GRUP. INV.]])))</f>
        <v/>
      </c>
      <c r="T70" s="124" t="str">
        <f ca="1">IF(Tabla4[[#This Row],[FECHA DE ACEPTACION DEL GRUP. INV.]]="","",IF(Tabla4[[#This Row],[FECHA DE VENCIMIENTO ANTE PROYECTO]]&lt;TODAY(),"SÍ","NO"))</f>
        <v/>
      </c>
      <c r="U70" s="124"/>
      <c r="V70" s="124"/>
      <c r="W70" s="18"/>
      <c r="X70" s="18"/>
      <c r="Y70" s="96"/>
      <c r="Z70" s="97"/>
      <c r="AA70" s="96"/>
      <c r="AB70" s="97"/>
      <c r="AC70" s="110"/>
      <c r="AD70" s="18"/>
      <c r="AE70" s="124"/>
      <c r="AF70" s="124"/>
      <c r="AG70" s="169"/>
      <c r="AH70" s="169"/>
      <c r="AI70" s="169"/>
      <c r="AJ70" s="170" t="str">
        <f>IFERROR(VLOOKUP(AI70,Listas!K:L,2,0),"")</f>
        <v/>
      </c>
      <c r="AK70" s="21" t="str">
        <f>IFERROR(VLOOKUP(AJ70,Listas!L:M,2,0),"")</f>
        <v/>
      </c>
      <c r="AL70" s="96"/>
      <c r="AM70" s="23"/>
      <c r="AN70" s="96"/>
      <c r="AO70" s="23"/>
      <c r="AP70" s="96"/>
      <c r="AQ70" s="96"/>
      <c r="AR70" s="21"/>
      <c r="AS70" s="21"/>
      <c r="AT70" s="23"/>
      <c r="AU70" s="23"/>
      <c r="AV70" s="96"/>
      <c r="AW70" s="96"/>
      <c r="AX70" s="21"/>
      <c r="AY70" s="21"/>
      <c r="AZ70" s="23"/>
      <c r="BA70" s="96"/>
      <c r="BB70" s="18" t="str">
        <f>IFERROR(ROUND(AVERAGE(AY70,AX70,AS70,AR70),0),"")</f>
        <v/>
      </c>
      <c r="BC70" s="18" t="e">
        <f>(BB70*0.8)/10</f>
        <v>#VALUE!</v>
      </c>
      <c r="BD70" s="185" t="e">
        <f t="shared" si="9"/>
        <v>#VALUE!</v>
      </c>
      <c r="BE70" s="23"/>
      <c r="BF70" s="23"/>
      <c r="BG70" s="293" t="str">
        <f t="shared" si="7"/>
        <v/>
      </c>
    </row>
    <row r="71" spans="1:59" s="339" customFormat="1" ht="90" hidden="1">
      <c r="A71" s="187">
        <v>20191495025</v>
      </c>
      <c r="B71" s="188" t="str">
        <f>VLOOKUP(A71,'Datos Personales'!A:M,2,FALSE)</f>
        <v>SÁNCHEZ CRUZ ANDRÉS FELIPE</v>
      </c>
      <c r="C71" s="188">
        <f>VLOOKUP(A71,'ESTADOS ESTUDIANTES'!B:L,11,0)</f>
        <v>1031150486</v>
      </c>
      <c r="D71" s="188">
        <f>VLOOKUP(A71,'Datos Personales'!$A:$M,3,FALSE)</f>
        <v>495</v>
      </c>
      <c r="E71" s="188" t="str">
        <f>VLOOKUP(Tabla4[[#This Row],[ENFASIS]],Listas!$R$2:$S$8,2,0)</f>
        <v>ENFASIS EN ING. SOFT</v>
      </c>
      <c r="F71" s="188" t="str">
        <f>VLOOKUP(A71,'Datos Personales'!A:M,8,0)</f>
        <v>andfesanchezc@udistrital.edu.co</v>
      </c>
      <c r="G71" s="188" t="str">
        <f>VLOOKUP(A71,'Datos Personales'!A:M,9,0)</f>
        <v>felipe_813@hotmail.com</v>
      </c>
      <c r="H71" s="188" t="str">
        <f>VLOOKUP(A71,'Datos Personales'!A:M,5,FALSE)</f>
        <v>E</v>
      </c>
      <c r="I71" s="188" t="str">
        <f>VLOOKUP(Tabla4[[#This Row],[CODIGO]],'ESTADOS ESTUDIANTES'!B:M,12,0)</f>
        <v>2025-1</v>
      </c>
      <c r="J71" s="171" t="s">
        <v>60</v>
      </c>
      <c r="K71" s="171" t="s">
        <v>494</v>
      </c>
      <c r="L71" s="171" t="s">
        <v>329</v>
      </c>
      <c r="M71" s="169"/>
      <c r="N71" s="189">
        <v>45631</v>
      </c>
      <c r="O71" s="188">
        <v>2024</v>
      </c>
      <c r="P71" s="171" t="s">
        <v>112</v>
      </c>
      <c r="Q71" s="171" t="s">
        <v>222</v>
      </c>
      <c r="R71" s="190">
        <v>45631</v>
      </c>
      <c r="S71" s="190">
        <f>IF(Tabla4[[#This Row],[FECHA DE ACEPTACION DEL GRUP. INV.]]="","",DATE(YEAR(Tabla4[[#This Row],[FECHA DE ACEPTACION DEL GRUP. INV.]])+2,MONTH(Tabla4[[#This Row],[FECHA DE ACEPTACION DEL GRUP. INV.]]),DAY(Tabla4[[#This Row],[FECHA DE ACEPTACION DEL GRUP. INV.]])))</f>
        <v>46361</v>
      </c>
      <c r="T71" s="190" t="str">
        <f ca="1">IF(Tabla4[[#This Row],[FECHA DE ACEPTACION DEL GRUP. INV.]]="","",IF(Tabla4[[#This Row],[FECHA DE VENCIMIENTO ANTE PROYECTO]]&lt;TODAY(),"SÍ","NO"))</f>
        <v>NO</v>
      </c>
      <c r="U71" s="237" t="s">
        <v>62</v>
      </c>
      <c r="V71" s="237"/>
      <c r="W71" s="171"/>
      <c r="X71" s="171"/>
      <c r="Y71" s="189">
        <v>43964</v>
      </c>
      <c r="Z71" s="191">
        <v>78.260000000000005</v>
      </c>
      <c r="AA71" s="189">
        <v>45531</v>
      </c>
      <c r="AB71" s="191">
        <v>110</v>
      </c>
      <c r="AC71" s="171" t="s">
        <v>79</v>
      </c>
      <c r="AD71" s="171" t="s">
        <v>495</v>
      </c>
      <c r="AE71" s="190">
        <v>45728</v>
      </c>
      <c r="AF71" s="190" t="s">
        <v>496</v>
      </c>
      <c r="AG71" s="171" t="s">
        <v>497</v>
      </c>
      <c r="AH71" s="171" t="s">
        <v>394</v>
      </c>
      <c r="AI71" s="171" t="s">
        <v>99</v>
      </c>
      <c r="AJ71" s="193">
        <f>IFERROR(VLOOKUP(AI71,Listas!K:L,2,0),"")</f>
        <v>0.2</v>
      </c>
      <c r="AK71" s="187">
        <f>IFERROR(VLOOKUP(AJ71,Listas!L:M,2,0),"")</f>
        <v>10</v>
      </c>
      <c r="AL71" s="189">
        <v>45711</v>
      </c>
      <c r="AM71" s="171" t="s">
        <v>495</v>
      </c>
      <c r="AN71" s="190">
        <v>45728</v>
      </c>
      <c r="AO71" s="169" t="s">
        <v>323</v>
      </c>
      <c r="AP71" s="189">
        <v>45741</v>
      </c>
      <c r="AQ71" s="189">
        <v>45770</v>
      </c>
      <c r="AR71" s="187">
        <v>45</v>
      </c>
      <c r="AS71" s="187">
        <v>50</v>
      </c>
      <c r="AT71" s="169" t="s">
        <v>41</v>
      </c>
      <c r="AU71" s="169" t="s">
        <v>498</v>
      </c>
      <c r="AV71" s="189">
        <v>45741</v>
      </c>
      <c r="AW71" s="189">
        <v>45770</v>
      </c>
      <c r="AX71" s="187">
        <v>44</v>
      </c>
      <c r="AY71" s="187">
        <v>50</v>
      </c>
      <c r="AZ71" s="169" t="s">
        <v>41</v>
      </c>
      <c r="BA71" s="189">
        <v>45770</v>
      </c>
      <c r="BB71" s="187">
        <f>IFERROR(AVERAGE(AR71,AS71,AX71,AY71),"")</f>
        <v>47.25</v>
      </c>
      <c r="BC71" s="187">
        <f>BB71*(100%-AJ71)</f>
        <v>37.800000000000004</v>
      </c>
      <c r="BD71" s="187">
        <f t="shared" si="9"/>
        <v>47.800000000000004</v>
      </c>
      <c r="BE71" s="169" t="s">
        <v>62</v>
      </c>
      <c r="BF71" s="169" t="s">
        <v>62</v>
      </c>
      <c r="BG71" s="234" t="str">
        <f t="shared" si="7"/>
        <v/>
      </c>
    </row>
    <row r="72" spans="1:59" ht="15" hidden="1">
      <c r="A72" s="21">
        <v>20191495026</v>
      </c>
      <c r="B72" s="19" t="str">
        <f>VLOOKUP(A72,'Datos Personales'!A:M,2,FALSE)</f>
        <v>SUÁREZ GIRALDO JOSÉ DOMINGO</v>
      </c>
      <c r="C72" s="19">
        <f>VLOOKUP(A72,'ESTADOS ESTUDIANTES'!B:L,11,0)</f>
        <v>1018455214</v>
      </c>
      <c r="D72" s="19">
        <f>VLOOKUP(A72,'Datos Personales'!$A:$M,3,FALSE)</f>
        <v>495</v>
      </c>
      <c r="E72" s="19" t="str">
        <f>VLOOKUP(Tabla4[[#This Row],[ENFASIS]],Listas!$R$2:$S$8,2,0)</f>
        <v>ENFASIS EN ING. SOFT</v>
      </c>
      <c r="F72" s="19" t="str">
        <f>VLOOKUP(A72,'Datos Personales'!A:M,8,0)</f>
        <v>jdsuarezg@correo.udistrital.edu.co</v>
      </c>
      <c r="G72" s="19" t="str">
        <f>VLOOKUP(A72,'Datos Personales'!A:M,9,0)</f>
        <v>josed_5@hotmail.com</v>
      </c>
      <c r="H72" s="19" t="str">
        <f>VLOOKUP(A72,'Datos Personales'!A:M,5,FALSE)</f>
        <v>X</v>
      </c>
      <c r="I72" s="19" t="str">
        <f>VLOOKUP(Tabla4[[#This Row],[CODIGO]],'ESTADOS ESTUDIANTES'!B:M,12,0)</f>
        <v>2019-1</v>
      </c>
      <c r="J72" s="23"/>
      <c r="K72" s="23"/>
      <c r="L72" s="23"/>
      <c r="M72" s="23"/>
      <c r="N72" s="96"/>
      <c r="O72" s="23"/>
      <c r="P72" s="23"/>
      <c r="Q72" s="23"/>
      <c r="R72" s="124"/>
      <c r="S72" s="124" t="str">
        <f>IF(Tabla4[[#This Row],[FECHA DE ACEPTACION DEL GRUP. INV.]]="","",DATE(YEAR(Tabla4[[#This Row],[FECHA DE ACEPTACION DEL GRUP. INV.]])+2,MONTH(Tabla4[[#This Row],[FECHA DE ACEPTACION DEL GRUP. INV.]]),DAY(Tabla4[[#This Row],[FECHA DE ACEPTACION DEL GRUP. INV.]])))</f>
        <v/>
      </c>
      <c r="T72" s="124" t="str">
        <f ca="1">IF(Tabla4[[#This Row],[FECHA DE ACEPTACION DEL GRUP. INV.]]="","",IF(Tabla4[[#This Row],[FECHA DE VENCIMIENTO ANTE PROYECTO]]&lt;TODAY(),"SÍ","NO"))</f>
        <v/>
      </c>
      <c r="U72" s="124"/>
      <c r="V72" s="124"/>
      <c r="W72" s="124"/>
      <c r="X72" s="124"/>
      <c r="Y72" s="96"/>
      <c r="Z72" s="97"/>
      <c r="AA72" s="96"/>
      <c r="AB72" s="97"/>
      <c r="AC72" s="110"/>
      <c r="AD72" s="18"/>
      <c r="AE72" s="124"/>
      <c r="AF72" s="124"/>
      <c r="AG72" s="169"/>
      <c r="AH72" s="169"/>
      <c r="AI72" s="169"/>
      <c r="AJ72" s="170" t="str">
        <f>IFERROR(VLOOKUP(AI72,Listas!K:L,2,0),"")</f>
        <v/>
      </c>
      <c r="AK72" s="21" t="str">
        <f>IFERROR(VLOOKUP(AJ72,Listas!L:M,2,0),"")</f>
        <v/>
      </c>
      <c r="AL72" s="96"/>
      <c r="AM72" s="23"/>
      <c r="AN72" s="96"/>
      <c r="AO72" s="23"/>
      <c r="AP72" s="96"/>
      <c r="AQ72" s="96"/>
      <c r="AR72" s="21"/>
      <c r="AS72" s="21"/>
      <c r="AT72" s="23"/>
      <c r="AU72" s="23"/>
      <c r="AV72" s="96"/>
      <c r="AW72" s="96"/>
      <c r="AX72" s="21"/>
      <c r="AY72" s="21"/>
      <c r="AZ72" s="23"/>
      <c r="BA72" s="96"/>
      <c r="BB72" s="18" t="str">
        <f>IFERROR(ROUND(AVERAGE(AY72,AX72,AS72,AR72),0),"")</f>
        <v/>
      </c>
      <c r="BC72" s="18" t="e">
        <f>(BB72*0.8)/10</f>
        <v>#VALUE!</v>
      </c>
      <c r="BD72" s="185" t="e">
        <f t="shared" si="9"/>
        <v>#VALUE!</v>
      </c>
      <c r="BE72" s="23"/>
      <c r="BF72" s="23"/>
      <c r="BG72" s="293" t="str">
        <f t="shared" si="7"/>
        <v/>
      </c>
    </row>
    <row r="73" spans="1:59" s="339" customFormat="1" ht="30" hidden="1">
      <c r="A73" s="187">
        <v>20191495028</v>
      </c>
      <c r="B73" s="188" t="str">
        <f>VLOOKUP(A73,'Datos Personales'!A:M,2,FALSE)</f>
        <v>TELLEZ SANTAMARIA ROBINSON</v>
      </c>
      <c r="C73" s="188">
        <f>VLOOKUP(A73,'ESTADOS ESTUDIANTES'!B:L,11,0)</f>
        <v>79212125</v>
      </c>
      <c r="D73" s="188">
        <f>VLOOKUP(A73,'Datos Personales'!$A:$M,3,FALSE)</f>
        <v>495</v>
      </c>
      <c r="E73" s="188" t="str">
        <f>VLOOKUP(Tabla4[[#This Row],[ENFASIS]],Listas!$R$2:$S$8,2,0)</f>
        <v>ENFASIS EN ING. SOFT</v>
      </c>
      <c r="F73" s="188" t="str">
        <f>VLOOKUP(A73,'Datos Personales'!A:M,8,0)</f>
        <v>rtellezs@udistrital.edu.co</v>
      </c>
      <c r="G73" s="188" t="str">
        <f>VLOOKUP(A73,'Datos Personales'!A:M,9,0)</f>
        <v>rtellez@egt.com.co</v>
      </c>
      <c r="H73" s="188" t="str">
        <f>VLOOKUP(A73,'Datos Personales'!A:M,5,FALSE)</f>
        <v>X</v>
      </c>
      <c r="I73" s="188" t="str">
        <f>VLOOKUP(Tabla4[[#This Row],[CODIGO]],'ESTADOS ESTUDIANTES'!B:M,12,0)</f>
        <v>2022-3</v>
      </c>
      <c r="J73" s="171" t="s">
        <v>60</v>
      </c>
      <c r="K73" s="171" t="s">
        <v>499</v>
      </c>
      <c r="L73" s="171" t="s">
        <v>500</v>
      </c>
      <c r="M73" s="169"/>
      <c r="N73" s="189">
        <v>43629</v>
      </c>
      <c r="O73" s="188">
        <v>2019</v>
      </c>
      <c r="P73" s="171" t="s">
        <v>140</v>
      </c>
      <c r="Q73" s="171" t="s">
        <v>385</v>
      </c>
      <c r="R73" s="190">
        <v>43629</v>
      </c>
      <c r="S73" s="190">
        <f>IF(Tabla4[[#This Row],[FECHA DE ACEPTACION DEL GRUP. INV.]]="","",DATE(YEAR(Tabla4[[#This Row],[FECHA DE ACEPTACION DEL GRUP. INV.]])+2,MONTH(Tabla4[[#This Row],[FECHA DE ACEPTACION DEL GRUP. INV.]]),DAY(Tabla4[[#This Row],[FECHA DE ACEPTACION DEL GRUP. INV.]])))</f>
        <v>44360</v>
      </c>
      <c r="T73" s="190" t="str">
        <f ca="1">IF(Tabla4[[#This Row],[FECHA DE ACEPTACION DEL GRUP. INV.]]="","",IF(Tabla4[[#This Row],[FECHA DE VENCIMIENTO ANTE PROYECTO]]&lt;TODAY(),"SÍ","NO"))</f>
        <v>SÍ</v>
      </c>
      <c r="U73" s="190"/>
      <c r="V73" s="190"/>
      <c r="W73" s="171" t="s">
        <v>388</v>
      </c>
      <c r="X73" s="171"/>
      <c r="Y73" s="189"/>
      <c r="Z73" s="191"/>
      <c r="AA73" s="189">
        <v>43888</v>
      </c>
      <c r="AB73" s="191">
        <v>70.430000000000007</v>
      </c>
      <c r="AC73" s="98" t="s">
        <v>79</v>
      </c>
      <c r="AD73" s="171"/>
      <c r="AE73" s="190"/>
      <c r="AF73" s="493"/>
      <c r="AG73" s="372"/>
      <c r="AH73" s="171"/>
      <c r="AI73" s="171"/>
      <c r="AJ73" s="170" t="str">
        <f>IFERROR(VLOOKUP(AI73,Listas!K:L,2,0),"")</f>
        <v/>
      </c>
      <c r="AK73" s="21" t="str">
        <f>IFERROR(VLOOKUP(AJ73,Listas!L:M,2,0),"")</f>
        <v/>
      </c>
      <c r="AL73" s="189"/>
      <c r="AM73" s="169"/>
      <c r="AN73" s="189"/>
      <c r="AO73" s="169"/>
      <c r="AP73" s="189"/>
      <c r="AQ73" s="189"/>
      <c r="AR73" s="187"/>
      <c r="AS73" s="187"/>
      <c r="AT73" s="169"/>
      <c r="AU73" s="169"/>
      <c r="AV73" s="189"/>
      <c r="AW73" s="189"/>
      <c r="AX73" s="187"/>
      <c r="AY73" s="187"/>
      <c r="AZ73" s="169"/>
      <c r="BA73" s="189"/>
      <c r="BB73" s="232" t="str">
        <f>IFERROR(AVERAGE(AR73,AS73,AX73,AY73),"")</f>
        <v/>
      </c>
      <c r="BC73" s="232" t="e">
        <f>(BB73*0.8)/10</f>
        <v>#VALUE!</v>
      </c>
      <c r="BD73" s="232" t="e">
        <f t="shared" si="9"/>
        <v>#VALUE!</v>
      </c>
      <c r="BE73" s="169"/>
      <c r="BF73" s="169"/>
      <c r="BG73" s="234" t="str">
        <f t="shared" si="7"/>
        <v/>
      </c>
    </row>
    <row r="74" spans="1:59" s="339" customFormat="1" ht="30" hidden="1">
      <c r="A74" s="21">
        <v>20192195002</v>
      </c>
      <c r="B74" s="19" t="str">
        <f>VLOOKUP(A74,'Datos Personales'!A:M,2,FALSE)</f>
        <v>GÓMEZ PINZÓN DIEGO ALEXANDER</v>
      </c>
      <c r="C74" s="19">
        <f>VLOOKUP(A74,'ESTADOS ESTUDIANTES'!B:L,11,0)</f>
        <v>1031153109</v>
      </c>
      <c r="D74" s="19">
        <f>VLOOKUP(A74,'Datos Personales'!$A:$M,3,FALSE)</f>
        <v>195</v>
      </c>
      <c r="E74" s="19" t="str">
        <f>VLOOKUP(Tabla4[[#This Row],[ENFASIS]],Listas!$R$2:$S$8,2,0)</f>
        <v>EN TELEINF.</v>
      </c>
      <c r="F74" s="19" t="str">
        <f>VLOOKUP(A74,'Datos Personales'!A:M,8,0)</f>
        <v>gpdiegoa@correo.udistrital.edu.co</v>
      </c>
      <c r="G74" s="19" t="str">
        <f>VLOOKUP(A74,'Datos Personales'!A:M,9,0)</f>
        <v>diegogopin@yandex.com</v>
      </c>
      <c r="H74" s="19" t="str">
        <f>VLOOKUP(A74,'Datos Personales'!A:M,5,FALSE)</f>
        <v>X</v>
      </c>
      <c r="I74" s="19" t="str">
        <f>VLOOKUP(Tabla4[[#This Row],[CODIGO]],'ESTADOS ESTUDIANTES'!B:M,12,0)</f>
        <v>2020-3</v>
      </c>
      <c r="J74" s="18" t="s">
        <v>60</v>
      </c>
      <c r="K74" s="18" t="s">
        <v>501</v>
      </c>
      <c r="L74" s="18" t="s">
        <v>309</v>
      </c>
      <c r="M74" s="23"/>
      <c r="N74" s="96">
        <v>43810</v>
      </c>
      <c r="O74" s="19">
        <v>2019</v>
      </c>
      <c r="P74" s="18" t="s">
        <v>131</v>
      </c>
      <c r="Q74" s="18" t="s">
        <v>309</v>
      </c>
      <c r="R74" s="124"/>
      <c r="S74" s="124" t="str">
        <f>IF(Tabla4[[#This Row],[FECHA DE ACEPTACION DEL GRUP. INV.]]="","",DATE(YEAR(Tabla4[[#This Row],[FECHA DE ACEPTACION DEL GRUP. INV.]])+2,MONTH(Tabla4[[#This Row],[FECHA DE ACEPTACION DEL GRUP. INV.]]),DAY(Tabla4[[#This Row],[FECHA DE ACEPTACION DEL GRUP. INV.]])))</f>
        <v/>
      </c>
      <c r="T74" s="124" t="str">
        <f ca="1">IF(Tabla4[[#This Row],[FECHA DE ACEPTACION DEL GRUP. INV.]]="","",IF(Tabla4[[#This Row],[FECHA DE VENCIMIENTO ANTE PROYECTO]]&lt;TODAY(),"SÍ","NO"))</f>
        <v/>
      </c>
      <c r="U74" s="124"/>
      <c r="V74" s="124"/>
      <c r="W74" s="18"/>
      <c r="X74" s="18"/>
      <c r="Y74" s="96"/>
      <c r="Z74" s="97"/>
      <c r="AA74" s="96"/>
      <c r="AB74" s="97"/>
      <c r="AC74" s="110"/>
      <c r="AD74" s="18"/>
      <c r="AE74" s="124"/>
      <c r="AF74" s="124"/>
      <c r="AG74" s="169"/>
      <c r="AH74" s="169"/>
      <c r="AI74" s="169"/>
      <c r="AJ74" s="170" t="str">
        <f>IFERROR(VLOOKUP(AI74,Listas!K:L,2,0),"")</f>
        <v/>
      </c>
      <c r="AK74" s="21" t="str">
        <f>IFERROR(VLOOKUP(AJ74,Listas!L:M,2,0),"")</f>
        <v/>
      </c>
      <c r="AL74" s="96"/>
      <c r="AM74" s="23"/>
      <c r="AN74" s="96"/>
      <c r="AO74" s="23"/>
      <c r="AP74" s="96"/>
      <c r="AQ74" s="96"/>
      <c r="AR74" s="21"/>
      <c r="AS74" s="21"/>
      <c r="AT74" s="23"/>
      <c r="AU74" s="23"/>
      <c r="AV74" s="96"/>
      <c r="AW74" s="96"/>
      <c r="AX74" s="21"/>
      <c r="AY74" s="21"/>
      <c r="AZ74" s="23"/>
      <c r="BA74" s="96"/>
      <c r="BB74" s="18" t="str">
        <f>IFERROR(ROUND(AVERAGE(AY74,AX74,AS74,AR74),0),"")</f>
        <v/>
      </c>
      <c r="BC74" s="18" t="e">
        <f>(BB74*0.8)/10</f>
        <v>#VALUE!</v>
      </c>
      <c r="BD74" s="185" t="e">
        <f t="shared" si="9"/>
        <v>#VALUE!</v>
      </c>
      <c r="BE74" s="23"/>
      <c r="BF74" s="23"/>
      <c r="BG74" s="293" t="str">
        <f t="shared" si="7"/>
        <v/>
      </c>
    </row>
    <row r="75" spans="1:59" ht="30" hidden="1">
      <c r="A75" s="662">
        <v>20192195003</v>
      </c>
      <c r="B75" s="659" t="str">
        <f>VLOOKUP(A75,'Datos Personales'!A:M,2,FALSE)</f>
        <v>ESPINEL GÓMEZ DIEGO FERNANDO</v>
      </c>
      <c r="C75" s="659">
        <f>VLOOKUP(A75,'ESTADOS ESTUDIANTES'!B:L,11,0)</f>
        <v>1018470424</v>
      </c>
      <c r="D75" s="659">
        <f>VLOOKUP(A75,'Datos Personales'!$A:$M,3,FALSE)</f>
        <v>195</v>
      </c>
      <c r="E75" s="659" t="str">
        <f>VLOOKUP(Tabla4[[#This Row],[ENFASIS]],Listas!$R$2:$S$8,2,0)</f>
        <v>EN TELEINF.</v>
      </c>
      <c r="F75" s="659" t="str">
        <f>VLOOKUP(A75,'Datos Personales'!A:M,8,0)</f>
        <v>dfespinelg@udistrital.edu.co</v>
      </c>
      <c r="G75" s="659" t="str">
        <f>VLOOKUP(A75,'Datos Personales'!A:M,9,0)</f>
        <v>espineldago@gmail.com</v>
      </c>
      <c r="H75" s="659" t="str">
        <f>VLOOKUP(A75,'Datos Personales'!A:M,5,FALSE)</f>
        <v>E</v>
      </c>
      <c r="I75" s="659" t="str">
        <f>VLOOKUP(Tabla4[[#This Row],[CODIGO]],'ESTADOS ESTUDIANTES'!B:M,12,0)</f>
        <v>2026-1</v>
      </c>
      <c r="J75" s="651" t="s">
        <v>60</v>
      </c>
      <c r="K75" s="651" t="s">
        <v>502</v>
      </c>
      <c r="L75" s="651" t="s">
        <v>503</v>
      </c>
      <c r="M75" s="651" t="s">
        <v>504</v>
      </c>
      <c r="N75" s="661">
        <v>45169</v>
      </c>
      <c r="O75" s="651" t="s">
        <v>296</v>
      </c>
      <c r="P75" s="651" t="s">
        <v>64</v>
      </c>
      <c r="Q75" s="651" t="s">
        <v>503</v>
      </c>
      <c r="R75" s="656">
        <v>45169</v>
      </c>
      <c r="S75" s="656">
        <f>IF(Tabla4[[#This Row],[FECHA DE ACEPTACION DEL GRUP. INV.]]="","",DATE(YEAR(Tabla4[[#This Row],[FECHA DE ACEPTACION DEL GRUP. INV.]])+2,MONTH(Tabla4[[#This Row],[FECHA DE ACEPTACION DEL GRUP. INV.]]),DAY(Tabla4[[#This Row],[FECHA DE ACEPTACION DEL GRUP. INV.]])))</f>
        <v>45900</v>
      </c>
      <c r="T75" s="276" t="str">
        <f ca="1">IF(Tabla4[[#This Row],[FECHA DE ACEPTACION DEL GRUP. INV.]]="","",IF(Tabla4[[#This Row],[FECHA DE VENCIMIENTO ANTE PROYECTO]]&lt;TODAY(),"SÍ","NO"))</f>
        <v>SÍ</v>
      </c>
      <c r="U75" s="657" t="s">
        <v>48</v>
      </c>
      <c r="V75" s="237"/>
      <c r="W75" s="171" t="s">
        <v>505</v>
      </c>
      <c r="X75" s="651" t="s">
        <v>506</v>
      </c>
      <c r="Y75" s="189"/>
      <c r="Z75" s="191"/>
      <c r="AA75" s="189">
        <v>45531</v>
      </c>
      <c r="AB75" s="191">
        <v>130</v>
      </c>
      <c r="AC75" s="169" t="s">
        <v>79</v>
      </c>
      <c r="AD75" s="171"/>
      <c r="AE75" s="190"/>
      <c r="AF75" s="190"/>
      <c r="AG75" s="169"/>
      <c r="AH75" s="169"/>
      <c r="AI75" s="169"/>
      <c r="AJ75" s="193" t="str">
        <f>IFERROR(VLOOKUP(AI75,Listas!K:L,2,0),"")</f>
        <v/>
      </c>
      <c r="AK75" s="187" t="str">
        <f>IFERROR(VLOOKUP(AJ75,Listas!L:M,2,0),"")</f>
        <v/>
      </c>
      <c r="AL75" s="189"/>
      <c r="AM75" s="169"/>
      <c r="AN75" s="189"/>
      <c r="AO75" s="169"/>
      <c r="AP75" s="189"/>
      <c r="AQ75" s="189"/>
      <c r="AR75" s="187"/>
      <c r="AS75" s="187"/>
      <c r="AT75" s="169"/>
      <c r="AU75" s="169"/>
      <c r="AV75" s="189"/>
      <c r="AW75" s="189"/>
      <c r="AX75" s="187"/>
      <c r="AY75" s="187"/>
      <c r="AZ75" s="169"/>
      <c r="BA75" s="189"/>
      <c r="BB75" s="187" t="str">
        <f>IFERROR(AVERAGE(AR75,AS75,AX75,AY75),"")</f>
        <v/>
      </c>
      <c r="BC75" s="187" t="e">
        <f>BB75*(100%-AJ75)</f>
        <v>#VALUE!</v>
      </c>
      <c r="BD75" s="187" t="e">
        <f t="shared" si="9"/>
        <v>#VALUE!</v>
      </c>
      <c r="BE75" s="169"/>
      <c r="BF75" s="169"/>
      <c r="BG75" s="234" t="str">
        <f t="shared" si="7"/>
        <v/>
      </c>
    </row>
    <row r="76" spans="1:59" ht="45" hidden="1">
      <c r="A76" s="187">
        <v>20192195004</v>
      </c>
      <c r="B76" s="188" t="str">
        <f>VLOOKUP(A76,'Datos Personales'!A:M,2,FALSE)</f>
        <v>PEREZ CRISTANCHO JERSON FERNANDO</v>
      </c>
      <c r="C76" s="188">
        <f>VLOOKUP(A76,'ESTADOS ESTUDIANTES'!B:L,11,0)</f>
        <v>74327152</v>
      </c>
      <c r="D76" s="188">
        <f>VLOOKUP(A76,'Datos Personales'!$A:$M,3,FALSE)</f>
        <v>195</v>
      </c>
      <c r="E76" s="188" t="str">
        <f>VLOOKUP(Tabla4[[#This Row],[ENFASIS]],Listas!$R$2:$S$8,2,0)</f>
        <v>EN TELEINF.</v>
      </c>
      <c r="F76" s="188" t="str">
        <f>VLOOKUP(A76,'Datos Personales'!A:M,8,0)</f>
        <v>jfperezc@udistrital.edu.co</v>
      </c>
      <c r="G76" s="188" t="str">
        <f>VLOOKUP(A76,'Datos Personales'!A:M,9,0)</f>
        <v>injerson@gmail.com</v>
      </c>
      <c r="H76" s="188" t="str">
        <f>VLOOKUP(A76,'Datos Personales'!A:M,5,FALSE)</f>
        <v>X</v>
      </c>
      <c r="I76" s="188" t="str">
        <f>VLOOKUP(Tabla4[[#This Row],[CODIGO]],'ESTADOS ESTUDIANTES'!B:M,12,0)</f>
        <v>2025-3</v>
      </c>
      <c r="J76" s="171" t="s">
        <v>60</v>
      </c>
      <c r="K76" s="171" t="s">
        <v>507</v>
      </c>
      <c r="L76" s="171" t="s">
        <v>385</v>
      </c>
      <c r="M76" s="169"/>
      <c r="N76" s="189">
        <v>43889</v>
      </c>
      <c r="O76" s="188">
        <v>2020</v>
      </c>
      <c r="P76" s="171" t="s">
        <v>140</v>
      </c>
      <c r="Q76" s="171" t="s">
        <v>385</v>
      </c>
      <c r="R76" s="190">
        <v>45751</v>
      </c>
      <c r="S76" s="190">
        <f>IF(Tabla4[[#This Row],[FECHA DE ACEPTACION DEL GRUP. INV.]]="","",DATE(YEAR(Tabla4[[#This Row],[FECHA DE ACEPTACION DEL GRUP. INV.]])+2,MONTH(Tabla4[[#This Row],[FECHA DE ACEPTACION DEL GRUP. INV.]]),DAY(Tabla4[[#This Row],[FECHA DE ACEPTACION DEL GRUP. INV.]])))</f>
        <v>46481</v>
      </c>
      <c r="T76" s="190" t="str">
        <f ca="1">IF(Tabla4[[#This Row],[FECHA DE ACEPTACION DEL GRUP. INV.]]="","",IF(Tabla4[[#This Row],[FECHA DE VENCIMIENTO ANTE PROYECTO]]&lt;TODAY(),"SÍ","NO"))</f>
        <v>NO</v>
      </c>
      <c r="U76" s="237" t="s">
        <v>62</v>
      </c>
      <c r="V76" s="237"/>
      <c r="W76" s="277" t="s">
        <v>508</v>
      </c>
      <c r="X76" s="277"/>
      <c r="Y76" s="189"/>
      <c r="Z76" s="191"/>
      <c r="AA76" s="189">
        <v>45768</v>
      </c>
      <c r="AB76" s="191">
        <v>98</v>
      </c>
      <c r="AC76" s="169" t="s">
        <v>79</v>
      </c>
      <c r="AD76" s="171"/>
      <c r="AE76" s="190"/>
      <c r="AF76" s="190"/>
      <c r="AG76" s="169"/>
      <c r="AH76" s="169"/>
      <c r="AI76" s="169"/>
      <c r="AJ76" s="193" t="str">
        <f>IFERROR(VLOOKUP(AI76,Listas!K:L,2,0),"")</f>
        <v/>
      </c>
      <c r="AK76" s="187" t="str">
        <f>IFERROR(VLOOKUP(AJ76,Listas!L:M,2,0),"")</f>
        <v/>
      </c>
      <c r="AL76" s="189"/>
      <c r="AM76" s="169"/>
      <c r="AN76" s="189"/>
      <c r="AO76" s="169"/>
      <c r="AP76" s="189"/>
      <c r="AQ76" s="189"/>
      <c r="AR76" s="187"/>
      <c r="AS76" s="187"/>
      <c r="AT76" s="169"/>
      <c r="AU76" s="169"/>
      <c r="AV76" s="189"/>
      <c r="AW76" s="189"/>
      <c r="AX76" s="187"/>
      <c r="AY76" s="187"/>
      <c r="AZ76" s="169"/>
      <c r="BA76" s="189"/>
      <c r="BB76" s="232" t="str">
        <f>IFERROR(AVERAGE(AR76,AS76,AX76,AY76),"")</f>
        <v/>
      </c>
      <c r="BC76" s="232" t="e">
        <f>BB76*(100%-AJ76)</f>
        <v>#VALUE!</v>
      </c>
      <c r="BD76" s="232" t="e">
        <f t="shared" si="9"/>
        <v>#VALUE!</v>
      </c>
      <c r="BE76" s="169"/>
      <c r="BF76" s="169"/>
      <c r="BG76" s="234" t="str">
        <f t="shared" si="7"/>
        <v/>
      </c>
    </row>
    <row r="77" spans="1:59" s="339" customFormat="1" ht="15" hidden="1">
      <c r="A77" s="21">
        <v>20192395003</v>
      </c>
      <c r="B77" s="19" t="str">
        <f>VLOOKUP(A77,'Datos Personales'!A:M,2,FALSE)</f>
        <v>SÁNCHEZ DÍAZ JUAN DAVID</v>
      </c>
      <c r="C77" s="19">
        <f>VLOOKUP(A77,'ESTADOS ESTUDIANTES'!B:L,11,0)</f>
        <v>1022360349</v>
      </c>
      <c r="D77" s="19">
        <f>VLOOKUP(A77,'Datos Personales'!$A:$M,3,FALSE)</f>
        <v>395</v>
      </c>
      <c r="E77" s="19" t="str">
        <f>VLOOKUP(Tabla4[[#This Row],[ENFASIS]],Listas!$R$2:$S$8,2,0)</f>
        <v>ENFASIS EN GEOMATICA</v>
      </c>
      <c r="F77" s="19" t="str">
        <f>VLOOKUP(A77,'Datos Personales'!A:M,8,0)</f>
        <v>sdjuand@correo.udistrital.edu.co</v>
      </c>
      <c r="G77" s="19" t="str">
        <f>VLOOKUP(A77,'Datos Personales'!A:M,9,0)</f>
        <v>juandads@hotmail.com</v>
      </c>
      <c r="H77" s="19" t="str">
        <f>VLOOKUP(A77,'Datos Personales'!A:M,5,FALSE)</f>
        <v>X</v>
      </c>
      <c r="I77" s="19" t="str">
        <f>VLOOKUP(Tabla4[[#This Row],[CODIGO]],'ESTADOS ESTUDIANTES'!B:M,12,0)</f>
        <v>2019-3</v>
      </c>
      <c r="J77" s="23"/>
      <c r="K77" s="22"/>
      <c r="L77" s="22"/>
      <c r="M77" s="22"/>
      <c r="N77" s="265"/>
      <c r="O77" s="22"/>
      <c r="P77" s="22"/>
      <c r="Q77" s="22"/>
      <c r="R77" s="266"/>
      <c r="S77" s="266" t="str">
        <f>IF(Tabla4[[#This Row],[FECHA DE ACEPTACION DEL GRUP. INV.]]="","",DATE(YEAR(Tabla4[[#This Row],[FECHA DE ACEPTACION DEL GRUP. INV.]])+2,MONTH(Tabla4[[#This Row],[FECHA DE ACEPTACION DEL GRUP. INV.]]),DAY(Tabla4[[#This Row],[FECHA DE ACEPTACION DEL GRUP. INV.]])))</f>
        <v/>
      </c>
      <c r="T77" s="266" t="str">
        <f ca="1">IF(Tabla4[[#This Row],[FECHA DE ACEPTACION DEL GRUP. INV.]]="","",IF(Tabla4[[#This Row],[FECHA DE VENCIMIENTO ANTE PROYECTO]]&lt;TODAY(),"SÍ","NO"))</f>
        <v/>
      </c>
      <c r="U77" s="266"/>
      <c r="V77" s="266"/>
      <c r="W77" s="266"/>
      <c r="X77" s="266"/>
      <c r="Y77" s="96"/>
      <c r="Z77" s="97"/>
      <c r="AA77" s="96"/>
      <c r="AB77" s="97"/>
      <c r="AC77" s="110"/>
      <c r="AD77" s="267"/>
      <c r="AE77" s="266"/>
      <c r="AF77" s="266"/>
      <c r="AG77" s="169"/>
      <c r="AH77" s="169"/>
      <c r="AI77" s="169"/>
      <c r="AJ77" s="170" t="str">
        <f>IFERROR(VLOOKUP(AI77,Listas!K:L,2,0),"")</f>
        <v/>
      </c>
      <c r="AK77" s="21" t="str">
        <f>IFERROR(VLOOKUP(AJ77,Listas!L:M,2,0),"")</f>
        <v/>
      </c>
      <c r="AL77" s="265"/>
      <c r="AM77" s="22"/>
      <c r="AN77" s="265"/>
      <c r="AO77" s="22"/>
      <c r="AP77" s="265"/>
      <c r="AQ77" s="265"/>
      <c r="AR77" s="21"/>
      <c r="AS77" s="21"/>
      <c r="AT77" s="22"/>
      <c r="AU77" s="22"/>
      <c r="AV77" s="265"/>
      <c r="AW77" s="265"/>
      <c r="AX77" s="21"/>
      <c r="AY77" s="21"/>
      <c r="AZ77" s="22"/>
      <c r="BA77" s="265"/>
      <c r="BB77" s="18" t="str">
        <f>IFERROR(ROUND(AVERAGE(AY77,AX77,AS77,AR77),0),"")</f>
        <v/>
      </c>
      <c r="BC77" s="18" t="e">
        <f>(BB77*0.8)/10</f>
        <v>#VALUE!</v>
      </c>
      <c r="BD77" s="185" t="e">
        <f t="shared" si="9"/>
        <v>#VALUE!</v>
      </c>
      <c r="BE77" s="22"/>
      <c r="BF77" s="22"/>
      <c r="BG77" s="255" t="str">
        <f t="shared" si="7"/>
        <v/>
      </c>
    </row>
    <row r="78" spans="1:59" s="339" customFormat="1" ht="15" hidden="1">
      <c r="A78" s="21">
        <v>20192395004</v>
      </c>
      <c r="B78" s="19" t="str">
        <f>VLOOKUP(A78,'Datos Personales'!A:M,2,FALSE)</f>
        <v>ALONSO NIETO WILLIAM</v>
      </c>
      <c r="C78" s="19">
        <f>VLOOKUP(A78,'ESTADOS ESTUDIANTES'!B:L,11,0)</f>
        <v>79429610</v>
      </c>
      <c r="D78" s="19">
        <f>VLOOKUP(A78,'Datos Personales'!$A:$M,3,FALSE)</f>
        <v>395</v>
      </c>
      <c r="E78" s="19" t="str">
        <f>VLOOKUP(Tabla4[[#This Row],[ENFASIS]],Listas!$R$2:$S$8,2,0)</f>
        <v>ENFASIS EN GEOMATICA</v>
      </c>
      <c r="F78" s="19" t="str">
        <f>VLOOKUP(A78,'Datos Personales'!A:M,8,0)</f>
        <v>anietow@correo.udistrital.edu.co</v>
      </c>
      <c r="G78" s="19" t="str">
        <f>VLOOKUP(A78,'Datos Personales'!A:M,9,0)</f>
        <v>wi.alonso@gmail.com</v>
      </c>
      <c r="H78" s="19" t="str">
        <f>VLOOKUP(A78,'Datos Personales'!A:M,5,FALSE)</f>
        <v>X</v>
      </c>
      <c r="I78" s="19" t="str">
        <f>VLOOKUP(Tabla4[[#This Row],[CODIGO]],'ESTADOS ESTUDIANTES'!B:M,12,0)</f>
        <v>2019-3</v>
      </c>
      <c r="J78" s="23"/>
      <c r="K78" s="22"/>
      <c r="L78" s="22"/>
      <c r="M78" s="22"/>
      <c r="N78" s="265"/>
      <c r="O78" s="22"/>
      <c r="P78" s="22"/>
      <c r="Q78" s="22"/>
      <c r="R78" s="266"/>
      <c r="S78" s="266" t="str">
        <f>IF(Tabla4[[#This Row],[FECHA DE ACEPTACION DEL GRUP. INV.]]="","",DATE(YEAR(Tabla4[[#This Row],[FECHA DE ACEPTACION DEL GRUP. INV.]])+2,MONTH(Tabla4[[#This Row],[FECHA DE ACEPTACION DEL GRUP. INV.]]),DAY(Tabla4[[#This Row],[FECHA DE ACEPTACION DEL GRUP. INV.]])))</f>
        <v/>
      </c>
      <c r="T78" s="266" t="str">
        <f ca="1">IF(Tabla4[[#This Row],[FECHA DE ACEPTACION DEL GRUP. INV.]]="","",IF(Tabla4[[#This Row],[FECHA DE VENCIMIENTO ANTE PROYECTO]]&lt;TODAY(),"SÍ","NO"))</f>
        <v/>
      </c>
      <c r="U78" s="266"/>
      <c r="V78" s="266"/>
      <c r="W78" s="266"/>
      <c r="X78" s="266"/>
      <c r="Y78" s="96"/>
      <c r="Z78" s="97"/>
      <c r="AA78" s="96"/>
      <c r="AB78" s="97"/>
      <c r="AC78" s="110"/>
      <c r="AD78" s="267"/>
      <c r="AE78" s="266"/>
      <c r="AF78" s="266"/>
      <c r="AG78" s="169"/>
      <c r="AH78" s="169"/>
      <c r="AI78" s="169"/>
      <c r="AJ78" s="170" t="str">
        <f>IFERROR(VLOOKUP(AI78,Listas!K:L,2,0),"")</f>
        <v/>
      </c>
      <c r="AK78" s="21" t="str">
        <f>IFERROR(VLOOKUP(AJ78,Listas!L:M,2,0),"")</f>
        <v/>
      </c>
      <c r="AL78" s="265"/>
      <c r="AM78" s="22"/>
      <c r="AN78" s="265"/>
      <c r="AO78" s="22"/>
      <c r="AP78" s="265"/>
      <c r="AQ78" s="265"/>
      <c r="AR78" s="21"/>
      <c r="AS78" s="21"/>
      <c r="AT78" s="22"/>
      <c r="AU78" s="22"/>
      <c r="AV78" s="265"/>
      <c r="AW78" s="265"/>
      <c r="AX78" s="21"/>
      <c r="AY78" s="21"/>
      <c r="AZ78" s="22"/>
      <c r="BA78" s="265"/>
      <c r="BB78" s="18" t="str">
        <f>IFERROR(ROUND(AVERAGE(AY78,AX78,AS78,AR78),0),"")</f>
        <v/>
      </c>
      <c r="BC78" s="18" t="e">
        <f>(BB78*0.8)/10</f>
        <v>#VALUE!</v>
      </c>
      <c r="BD78" s="185" t="e">
        <f t="shared" si="9"/>
        <v>#VALUE!</v>
      </c>
      <c r="BE78" s="22"/>
      <c r="BF78" s="22"/>
      <c r="BG78" s="293" t="str">
        <f t="shared" si="7"/>
        <v/>
      </c>
    </row>
    <row r="79" spans="1:59" s="339" customFormat="1" ht="15" hidden="1">
      <c r="A79" s="21">
        <v>20192395006</v>
      </c>
      <c r="B79" s="19" t="str">
        <f>VLOOKUP(A79,'Datos Personales'!A:M,2,FALSE)</f>
        <v>CIFUENTES LÓPEZ DAVID LEONARDO</v>
      </c>
      <c r="C79" s="19">
        <f>VLOOKUP(A79,'ESTADOS ESTUDIANTES'!B:L,11,0)</f>
        <v>80068987</v>
      </c>
      <c r="D79" s="19">
        <f>VLOOKUP(A79,'Datos Personales'!$A:$M,3,FALSE)</f>
        <v>395</v>
      </c>
      <c r="E79" s="19" t="str">
        <f>VLOOKUP(Tabla4[[#This Row],[ENFASIS]],Listas!$R$2:$S$8,2,0)</f>
        <v>ENFASIS EN GEOMATICA</v>
      </c>
      <c r="F79" s="19" t="str">
        <f>VLOOKUP(A79,'Datos Personales'!A:M,8,0)</f>
        <v>cldavidl@correo.udistrital.edu.co</v>
      </c>
      <c r="G79" s="19" t="str">
        <f>VLOOKUP(A79,'Datos Personales'!A:M,9,0)</f>
        <v>dlcifuentesl@gmail.com</v>
      </c>
      <c r="H79" s="19" t="str">
        <f>VLOOKUP(A79,'Datos Personales'!A:M,5,FALSE)</f>
        <v>X</v>
      </c>
      <c r="I79" s="19" t="str">
        <f>VLOOKUP(Tabla4[[#This Row],[CODIGO]],'ESTADOS ESTUDIANTES'!B:M,12,0)</f>
        <v>2019-3</v>
      </c>
      <c r="J79" s="23"/>
      <c r="K79" s="23"/>
      <c r="L79" s="23"/>
      <c r="M79" s="23"/>
      <c r="N79" s="96"/>
      <c r="O79" s="23"/>
      <c r="P79" s="23"/>
      <c r="Q79" s="23"/>
      <c r="R79" s="124"/>
      <c r="S79" s="124" t="str">
        <f>IF(Tabla4[[#This Row],[FECHA DE ACEPTACION DEL GRUP. INV.]]="","",DATE(YEAR(Tabla4[[#This Row],[FECHA DE ACEPTACION DEL GRUP. INV.]])+2,MONTH(Tabla4[[#This Row],[FECHA DE ACEPTACION DEL GRUP. INV.]]),DAY(Tabla4[[#This Row],[FECHA DE ACEPTACION DEL GRUP. INV.]])))</f>
        <v/>
      </c>
      <c r="T79" s="124" t="str">
        <f ca="1">IF(Tabla4[[#This Row],[FECHA DE ACEPTACION DEL GRUP. INV.]]="","",IF(Tabla4[[#This Row],[FECHA DE VENCIMIENTO ANTE PROYECTO]]&lt;TODAY(),"SÍ","NO"))</f>
        <v/>
      </c>
      <c r="U79" s="124"/>
      <c r="V79" s="124"/>
      <c r="W79" s="18"/>
      <c r="X79" s="18"/>
      <c r="Y79" s="96"/>
      <c r="Z79" s="97"/>
      <c r="AA79" s="96"/>
      <c r="AB79" s="97"/>
      <c r="AC79" s="110"/>
      <c r="AD79" s="18"/>
      <c r="AE79" s="124"/>
      <c r="AF79" s="124"/>
      <c r="AG79" s="169"/>
      <c r="AH79" s="169"/>
      <c r="AI79" s="169"/>
      <c r="AJ79" s="170" t="str">
        <f>IFERROR(VLOOKUP(AI79,Listas!K:L,2,0),"")</f>
        <v/>
      </c>
      <c r="AK79" s="21" t="str">
        <f>IFERROR(VLOOKUP(AJ79,Listas!L:M,2,0),"")</f>
        <v/>
      </c>
      <c r="AL79" s="96"/>
      <c r="AM79" s="23"/>
      <c r="AN79" s="96"/>
      <c r="AO79" s="23"/>
      <c r="AP79" s="96"/>
      <c r="AQ79" s="96"/>
      <c r="AR79" s="21"/>
      <c r="AS79" s="21"/>
      <c r="AT79" s="23"/>
      <c r="AU79" s="23"/>
      <c r="AV79" s="96"/>
      <c r="AW79" s="96"/>
      <c r="AX79" s="21"/>
      <c r="AY79" s="21"/>
      <c r="AZ79" s="23"/>
      <c r="BA79" s="96"/>
      <c r="BB79" s="18" t="str">
        <f>IFERROR(ROUND(AVERAGE(AY79,AX79,AS79,AR79),0),"")</f>
        <v/>
      </c>
      <c r="BC79" s="18" t="e">
        <f>(BB79*0.8)/10</f>
        <v>#VALUE!</v>
      </c>
      <c r="BD79" s="185" t="e">
        <f t="shared" si="9"/>
        <v>#VALUE!</v>
      </c>
      <c r="BE79" s="23"/>
      <c r="BF79" s="23"/>
      <c r="BG79" s="293" t="str">
        <f t="shared" si="7"/>
        <v/>
      </c>
    </row>
    <row r="80" spans="1:59" s="339" customFormat="1" ht="45" hidden="1">
      <c r="A80" s="187">
        <v>20192395007</v>
      </c>
      <c r="B80" s="188" t="str">
        <f>VLOOKUP(A80,'Datos Personales'!A:M,2,FALSE)</f>
        <v>MALAGON MARQUEZ DIEGO ALEJANDRO</v>
      </c>
      <c r="C80" s="188">
        <f>VLOOKUP(A80,'ESTADOS ESTUDIANTES'!B:L,11,0)</f>
        <v>1022395401</v>
      </c>
      <c r="D80" s="188">
        <f>VLOOKUP(A80,'Datos Personales'!$A:$M,3,FALSE)</f>
        <v>395</v>
      </c>
      <c r="E80" s="188" t="str">
        <f>VLOOKUP(Tabla4[[#This Row],[ENFASIS]],Listas!$R$2:$S$8,2,0)</f>
        <v>ENFASIS EN GEOMATICA</v>
      </c>
      <c r="F80" s="188" t="str">
        <f>VLOOKUP(A80,'Datos Personales'!A:M,8,0)</f>
        <v>mmdiegoa@udistrital.edu.co</v>
      </c>
      <c r="G80" s="188" t="str">
        <f>VLOOKUP(A80,'Datos Personales'!A:M,9,0)</f>
        <v>dalejomalagon@gmail.com</v>
      </c>
      <c r="H80" s="188" t="str">
        <f>VLOOKUP(A80,'Datos Personales'!A:M,5,FALSE)</f>
        <v>X</v>
      </c>
      <c r="I80" s="188" t="str">
        <f>VLOOKUP(Tabla4[[#This Row],[CODIGO]],'ESTADOS ESTUDIANTES'!B:M,12,0)</f>
        <v>2025-3</v>
      </c>
      <c r="J80" s="171" t="s">
        <v>60</v>
      </c>
      <c r="K80" s="171" t="s">
        <v>509</v>
      </c>
      <c r="L80" s="171" t="s">
        <v>448</v>
      </c>
      <c r="M80" s="169"/>
      <c r="N80" s="189">
        <v>43809</v>
      </c>
      <c r="O80" s="188">
        <v>2019</v>
      </c>
      <c r="P80" s="171" t="s">
        <v>146</v>
      </c>
      <c r="Q80" s="171" t="s">
        <v>229</v>
      </c>
      <c r="R80" s="190">
        <v>44012</v>
      </c>
      <c r="S80" s="190">
        <f>IF(Tabla4[[#This Row],[FECHA DE ACEPTACION DEL GRUP. INV.]]="","",DATE(YEAR(Tabla4[[#This Row],[FECHA DE ACEPTACION DEL GRUP. INV.]])+2,MONTH(Tabla4[[#This Row],[FECHA DE ACEPTACION DEL GRUP. INV.]]),DAY(Tabla4[[#This Row],[FECHA DE ACEPTACION DEL GRUP. INV.]])))</f>
        <v>44742</v>
      </c>
      <c r="T80" s="190" t="str">
        <f ca="1">IF(Tabla4[[#This Row],[FECHA DE ACEPTACION DEL GRUP. INV.]]="","",IF(Tabla4[[#This Row],[FECHA DE VENCIMIENTO ANTE PROYECTO]]&lt;TODAY(),"SÍ","NO"))</f>
        <v>SÍ</v>
      </c>
      <c r="U80" s="237" t="s">
        <v>62</v>
      </c>
      <c r="V80" s="237"/>
      <c r="W80" s="171" t="s">
        <v>233</v>
      </c>
      <c r="X80" s="171"/>
      <c r="Y80" s="189"/>
      <c r="Z80" s="191"/>
      <c r="AA80" s="189">
        <v>44153</v>
      </c>
      <c r="AB80" s="191">
        <v>87.85</v>
      </c>
      <c r="AC80" s="171" t="s">
        <v>79</v>
      </c>
      <c r="AD80" s="171"/>
      <c r="AE80" s="190"/>
      <c r="AF80" s="190"/>
      <c r="AG80" s="171"/>
      <c r="AH80" s="171"/>
      <c r="AI80" s="171"/>
      <c r="AJ80" s="193" t="str">
        <f>IFERROR(VLOOKUP(AI80,Listas!K:L,2,0),"")</f>
        <v/>
      </c>
      <c r="AK80" s="187" t="str">
        <f>IFERROR(VLOOKUP(AJ80,Listas!L:M,2,0),"")</f>
        <v/>
      </c>
      <c r="AL80" s="189"/>
      <c r="AM80" s="169"/>
      <c r="AN80" s="189"/>
      <c r="AO80" s="169"/>
      <c r="AP80" s="189"/>
      <c r="AQ80" s="189"/>
      <c r="AR80" s="187"/>
      <c r="AS80" s="187"/>
      <c r="AT80" s="169"/>
      <c r="AU80" s="169"/>
      <c r="AV80" s="189"/>
      <c r="AW80" s="189"/>
      <c r="AX80" s="187"/>
      <c r="AY80" s="187"/>
      <c r="AZ80" s="169"/>
      <c r="BA80" s="189"/>
      <c r="BB80" s="187" t="str">
        <f>IFERROR(AVERAGE(AR80,AS80,AX80,AY80),"")</f>
        <v/>
      </c>
      <c r="BC80" s="187" t="e">
        <f t="shared" ref="BC80:BC112" si="10">BB80*(100%-AJ80)</f>
        <v>#VALUE!</v>
      </c>
      <c r="BD80" s="187" t="e">
        <f t="shared" si="9"/>
        <v>#VALUE!</v>
      </c>
      <c r="BE80" s="169"/>
      <c r="BF80" s="169"/>
      <c r="BG80" s="234" t="str">
        <f t="shared" si="7"/>
        <v/>
      </c>
    </row>
    <row r="81" spans="1:59" ht="90" hidden="1">
      <c r="A81" s="187">
        <v>20192395008</v>
      </c>
      <c r="B81" s="188" t="str">
        <f>VLOOKUP(A81,'Datos Personales'!A:M,2,FALSE)</f>
        <v>HUERTAS VARGAS KAREN ANDREA</v>
      </c>
      <c r="C81" s="188">
        <f>VLOOKUP(A81,'ESTADOS ESTUDIANTES'!B:L,11,0)</f>
        <v>1023923782</v>
      </c>
      <c r="D81" s="188">
        <f>VLOOKUP(A81,'Datos Personales'!$A:$M,3,FALSE)</f>
        <v>395</v>
      </c>
      <c r="E81" s="188" t="str">
        <f>VLOOKUP(Tabla4[[#This Row],[ENFASIS]],Listas!$R$2:$S$8,2,0)</f>
        <v>ENFASIS EN GEOMATICA</v>
      </c>
      <c r="F81" s="188" t="s">
        <v>510</v>
      </c>
      <c r="G81" s="188" t="str">
        <f>VLOOKUP(A81,'Datos Personales'!A:M,9,0)</f>
        <v>karenahva@gmail.com</v>
      </c>
      <c r="H81" s="188" t="str">
        <f>VLOOKUP(A81,'Datos Personales'!A:M,5,FALSE)</f>
        <v>X</v>
      </c>
      <c r="I81" s="188" t="str">
        <f>VLOOKUP(Tabla4[[#This Row],[CODIGO]],'ESTADOS ESTUDIANTES'!B:M,12,0)</f>
        <v>2025-3</v>
      </c>
      <c r="J81" s="171" t="s">
        <v>60</v>
      </c>
      <c r="K81" s="171" t="s">
        <v>511</v>
      </c>
      <c r="L81" s="171" t="s">
        <v>402</v>
      </c>
      <c r="M81" s="171" t="s">
        <v>270</v>
      </c>
      <c r="N81" s="189">
        <v>44012</v>
      </c>
      <c r="O81" s="188">
        <v>2020</v>
      </c>
      <c r="P81" s="171" t="s">
        <v>83</v>
      </c>
      <c r="Q81" s="171" t="s">
        <v>512</v>
      </c>
      <c r="R81" s="190">
        <v>44012</v>
      </c>
      <c r="S81" s="190">
        <f>IF(Tabla4[[#This Row],[FECHA DE ACEPTACION DEL GRUP. INV.]]="","",DATE(YEAR(Tabla4[[#This Row],[FECHA DE ACEPTACION DEL GRUP. INV.]])+2,MONTH(Tabla4[[#This Row],[FECHA DE ACEPTACION DEL GRUP. INV.]]),DAY(Tabla4[[#This Row],[FECHA DE ACEPTACION DEL GRUP. INV.]])))</f>
        <v>44742</v>
      </c>
      <c r="T81" s="190" t="str">
        <f ca="1">IF(Tabla4[[#This Row],[FECHA DE ACEPTACION DEL GRUP. INV.]]="","",IF(Tabla4[[#This Row],[FECHA DE VENCIMIENTO ANTE PROYECTO]]&lt;TODAY(),"SÍ","NO"))</f>
        <v>SÍ</v>
      </c>
      <c r="U81" s="237" t="s">
        <v>62</v>
      </c>
      <c r="V81" s="237"/>
      <c r="W81" s="171" t="s">
        <v>233</v>
      </c>
      <c r="X81" s="171"/>
      <c r="Y81" s="189">
        <v>44998</v>
      </c>
      <c r="Z81" s="191">
        <v>137</v>
      </c>
      <c r="AA81" s="86">
        <v>45870</v>
      </c>
      <c r="AB81" s="160">
        <v>121</v>
      </c>
      <c r="AC81" s="171" t="s">
        <v>79</v>
      </c>
      <c r="AD81" s="171"/>
      <c r="AE81" s="190"/>
      <c r="AF81" s="190"/>
      <c r="AG81" s="171"/>
      <c r="AH81" s="171"/>
      <c r="AI81" s="171"/>
      <c r="AJ81" s="193" t="str">
        <f>IFERROR(VLOOKUP(AI81,Listas!K:L,2,0),"")</f>
        <v/>
      </c>
      <c r="AK81" s="187" t="str">
        <f>IFERROR(VLOOKUP(AJ81,Listas!L:M,2,0),"")</f>
        <v/>
      </c>
      <c r="AL81" s="189"/>
      <c r="AM81" s="169"/>
      <c r="AN81" s="189"/>
      <c r="AO81" s="169"/>
      <c r="AP81" s="189"/>
      <c r="AQ81" s="189"/>
      <c r="AR81" s="187"/>
      <c r="AS81" s="187"/>
      <c r="AT81" s="169"/>
      <c r="AU81" s="169"/>
      <c r="AV81" s="189"/>
      <c r="AW81" s="189"/>
      <c r="AX81" s="187"/>
      <c r="AY81" s="187"/>
      <c r="AZ81" s="169"/>
      <c r="BA81" s="189"/>
      <c r="BB81" s="187" t="str">
        <f>IFERROR(AVERAGE(AR81,AS81,AX81,AY81),"")</f>
        <v/>
      </c>
      <c r="BC81" s="187" t="e">
        <f t="shared" si="10"/>
        <v>#VALUE!</v>
      </c>
      <c r="BD81" s="187" t="e">
        <f t="shared" si="9"/>
        <v>#VALUE!</v>
      </c>
      <c r="BE81" s="169"/>
      <c r="BF81" s="169"/>
      <c r="BG81" s="234" t="str">
        <f t="shared" si="7"/>
        <v/>
      </c>
    </row>
    <row r="82" spans="1:59" s="339" customFormat="1" ht="15" hidden="1">
      <c r="A82" s="21">
        <v>20192395009</v>
      </c>
      <c r="B82" s="19" t="str">
        <f>VLOOKUP(A82,'Datos Personales'!A:M,2,FALSE)</f>
        <v>BAUTISTA MANRIQUE LUIS FERNANDO</v>
      </c>
      <c r="C82" s="19">
        <f>VLOOKUP(A82,'ESTADOS ESTUDIANTES'!B:L,11,0)</f>
        <v>1032440255</v>
      </c>
      <c r="D82" s="19">
        <f>VLOOKUP(A82,'Datos Personales'!$A:$M,3,FALSE)</f>
        <v>395</v>
      </c>
      <c r="E82" s="19" t="str">
        <f>VLOOKUP(Tabla4[[#This Row],[ENFASIS]],Listas!$R$2:$S$8,2,0)</f>
        <v>ENFASIS EN GEOMATICA</v>
      </c>
      <c r="F82" s="19" t="str">
        <f>VLOOKUP(A82,'Datos Personales'!A:M,8,0)</f>
        <v>bmluisf@correo.udistrital.edu.co</v>
      </c>
      <c r="G82" s="19" t="str">
        <f>VLOOKUP(A82,'Datos Personales'!A:M,9,0)</f>
        <v>luferbaman@gmail.com</v>
      </c>
      <c r="H82" s="19" t="str">
        <f>VLOOKUP(A82,'Datos Personales'!A:M,5,FALSE)</f>
        <v>X</v>
      </c>
      <c r="I82" s="19" t="str">
        <f>VLOOKUP(Tabla4[[#This Row],[CODIGO]],'ESTADOS ESTUDIANTES'!B:M,12,0)</f>
        <v>2019-3</v>
      </c>
      <c r="J82" s="23"/>
      <c r="K82" s="22"/>
      <c r="L82" s="22"/>
      <c r="M82" s="22"/>
      <c r="N82" s="265"/>
      <c r="O82" s="22"/>
      <c r="P82" s="22"/>
      <c r="Q82" s="22"/>
      <c r="R82" s="266"/>
      <c r="S82" s="266" t="str">
        <f>IF(Tabla4[[#This Row],[FECHA DE ACEPTACION DEL GRUP. INV.]]="","",DATE(YEAR(Tabla4[[#This Row],[FECHA DE ACEPTACION DEL GRUP. INV.]])+2,MONTH(Tabla4[[#This Row],[FECHA DE ACEPTACION DEL GRUP. INV.]]),DAY(Tabla4[[#This Row],[FECHA DE ACEPTACION DEL GRUP. INV.]])))</f>
        <v/>
      </c>
      <c r="T82" s="266" t="str">
        <f ca="1">IF(Tabla4[[#This Row],[FECHA DE ACEPTACION DEL GRUP. INV.]]="","",IF(Tabla4[[#This Row],[FECHA DE VENCIMIENTO ANTE PROYECTO]]&lt;TODAY(),"SÍ","NO"))</f>
        <v/>
      </c>
      <c r="U82" s="266"/>
      <c r="V82" s="266"/>
      <c r="W82" s="266"/>
      <c r="X82" s="266"/>
      <c r="Y82" s="96"/>
      <c r="Z82" s="97"/>
      <c r="AA82" s="96"/>
      <c r="AB82" s="97"/>
      <c r="AC82" s="110"/>
      <c r="AD82" s="267"/>
      <c r="AE82" s="266"/>
      <c r="AF82" s="266"/>
      <c r="AG82" s="169"/>
      <c r="AH82" s="169"/>
      <c r="AI82" s="169"/>
      <c r="AJ82" s="170" t="str">
        <f>IFERROR(VLOOKUP(AI82,Listas!K:L,2,0),"")</f>
        <v/>
      </c>
      <c r="AK82" s="21" t="str">
        <f>IFERROR(VLOOKUP(AJ82,Listas!L:M,2,0),"")</f>
        <v/>
      </c>
      <c r="AL82" s="265"/>
      <c r="AM82" s="22"/>
      <c r="AN82" s="265"/>
      <c r="AO82" s="22"/>
      <c r="AP82" s="265"/>
      <c r="AQ82" s="265"/>
      <c r="AR82" s="21"/>
      <c r="AS82" s="21"/>
      <c r="AT82" s="22"/>
      <c r="AU82" s="22"/>
      <c r="AV82" s="265"/>
      <c r="AW82" s="265"/>
      <c r="AX82" s="21"/>
      <c r="AY82" s="21"/>
      <c r="AZ82" s="22"/>
      <c r="BA82" s="265"/>
      <c r="BB82" s="18" t="str">
        <f>IFERROR(ROUND(AVERAGE(AY82,AX82,AS82,AR82),0),"")</f>
        <v/>
      </c>
      <c r="BC82" s="232" t="e">
        <f t="shared" si="10"/>
        <v>#VALUE!</v>
      </c>
      <c r="BD82" s="185" t="e">
        <f t="shared" si="9"/>
        <v>#VALUE!</v>
      </c>
      <c r="BE82" s="22"/>
      <c r="BF82" s="22"/>
      <c r="BG82" s="255" t="str">
        <f t="shared" si="7"/>
        <v/>
      </c>
    </row>
    <row r="83" spans="1:59" ht="60" hidden="1">
      <c r="A83" s="21">
        <v>20192395010</v>
      </c>
      <c r="B83" s="19" t="str">
        <f>VLOOKUP(A83,'Datos Personales'!A:M,2,FALSE)</f>
        <v>ZARAZA AGUILERA MAYCOL ALEJANDRO</v>
      </c>
      <c r="C83" s="19">
        <f>VLOOKUP(A83,'ESTADOS ESTUDIANTES'!B:L,11,0)</f>
        <v>1013667943</v>
      </c>
      <c r="D83" s="19">
        <f>VLOOKUP(A83,'Datos Personales'!$A:$M,3,FALSE)</f>
        <v>395</v>
      </c>
      <c r="E83" s="19" t="str">
        <f>VLOOKUP(Tabla4[[#This Row],[ENFASIS]],Listas!$R$2:$S$8,2,0)</f>
        <v>ENFASIS EN GEOMATICA</v>
      </c>
      <c r="F83" s="19" t="str">
        <f>VLOOKUP(A83,'Datos Personales'!A:M,8,0)</f>
        <v>zamaycola@udistrital.edu.co</v>
      </c>
      <c r="G83" s="19" t="str">
        <f>VLOOKUP(A83,'Datos Personales'!A:M,9,0)</f>
        <v>maikolzaraza07@gmail.com</v>
      </c>
      <c r="H83" s="19" t="str">
        <f>VLOOKUP(A83,'Datos Personales'!A:M,5,FALSE)</f>
        <v>E</v>
      </c>
      <c r="I83" s="19" t="str">
        <f>VLOOKUP(Tabla4[[#This Row],[CODIGO]],'ESTADOS ESTUDIANTES'!B:M,12,0)</f>
        <v>2023-1</v>
      </c>
      <c r="J83" s="18" t="s">
        <v>60</v>
      </c>
      <c r="K83" s="18" t="s">
        <v>513</v>
      </c>
      <c r="L83" s="18" t="s">
        <v>272</v>
      </c>
      <c r="M83" s="23"/>
      <c r="N83" s="96">
        <v>43810</v>
      </c>
      <c r="O83" s="19">
        <v>2019</v>
      </c>
      <c r="P83" s="18" t="s">
        <v>403</v>
      </c>
      <c r="Q83" s="18" t="s">
        <v>402</v>
      </c>
      <c r="R83" s="124">
        <v>44012</v>
      </c>
      <c r="S83" s="124">
        <f>IF(Tabla4[[#This Row],[FECHA DE ACEPTACION DEL GRUP. INV.]]="","",DATE(YEAR(Tabla4[[#This Row],[FECHA DE ACEPTACION DEL GRUP. INV.]])+2,MONTH(Tabla4[[#This Row],[FECHA DE ACEPTACION DEL GRUP. INV.]]),DAY(Tabla4[[#This Row],[FECHA DE ACEPTACION DEL GRUP. INV.]])))</f>
        <v>44742</v>
      </c>
      <c r="T83" s="124" t="str">
        <f ca="1">IF(Tabla4[[#This Row],[FECHA DE ACEPTACION DEL GRUP. INV.]]="","",IF(Tabla4[[#This Row],[FECHA DE VENCIMIENTO ANTE PROYECTO]]&lt;TODAY(),"SÍ","NO"))</f>
        <v>SÍ</v>
      </c>
      <c r="U83" s="124"/>
      <c r="V83" s="124"/>
      <c r="W83" s="18" t="s">
        <v>233</v>
      </c>
      <c r="X83" s="18"/>
      <c r="Y83" s="96">
        <v>44097</v>
      </c>
      <c r="Z83" s="97">
        <v>83.18</v>
      </c>
      <c r="AA83" s="96">
        <v>44981</v>
      </c>
      <c r="AB83" s="97">
        <v>137</v>
      </c>
      <c r="AC83" s="98" t="s">
        <v>79</v>
      </c>
      <c r="AD83" s="18" t="s">
        <v>514</v>
      </c>
      <c r="AE83" s="124">
        <v>44806</v>
      </c>
      <c r="AF83" s="124"/>
      <c r="AG83" s="171"/>
      <c r="AH83" s="171"/>
      <c r="AI83" s="171" t="s">
        <v>80</v>
      </c>
      <c r="AJ83" s="170">
        <f>IFERROR(VLOOKUP(AI83,Listas!K:L,2,0),"")</f>
        <v>0.6</v>
      </c>
      <c r="AK83" s="21">
        <f>IFERROR(VLOOKUP(AJ83,Listas!L:M,2,0),"")</f>
        <v>30</v>
      </c>
      <c r="AL83" s="96">
        <v>44617</v>
      </c>
      <c r="AM83" s="153">
        <v>44743</v>
      </c>
      <c r="AN83" s="96">
        <v>44629</v>
      </c>
      <c r="AO83" s="18" t="s">
        <v>402</v>
      </c>
      <c r="AP83" s="96">
        <v>44488</v>
      </c>
      <c r="AQ83" s="96">
        <v>44488</v>
      </c>
      <c r="AR83" s="21">
        <v>50</v>
      </c>
      <c r="AS83" s="21">
        <v>50</v>
      </c>
      <c r="AT83" s="18" t="s">
        <v>55</v>
      </c>
      <c r="AU83" s="18" t="s">
        <v>309</v>
      </c>
      <c r="AV83" s="96">
        <v>44488</v>
      </c>
      <c r="AW83" s="96">
        <v>44855</v>
      </c>
      <c r="AX83" s="21">
        <v>50</v>
      </c>
      <c r="AY83" s="21">
        <v>50</v>
      </c>
      <c r="AZ83" s="18" t="s">
        <v>41</v>
      </c>
      <c r="BA83" s="96">
        <v>44657</v>
      </c>
      <c r="BB83" s="185">
        <f>IFERROR(AVERAGE(AR83,AS83,AX83,AY83),"")</f>
        <v>50</v>
      </c>
      <c r="BC83" s="232">
        <f t="shared" si="10"/>
        <v>20</v>
      </c>
      <c r="BD83" s="185">
        <f t="shared" si="9"/>
        <v>50</v>
      </c>
      <c r="BE83" s="23"/>
      <c r="BF83" s="23"/>
      <c r="BG83" s="293" t="str">
        <f t="shared" si="7"/>
        <v/>
      </c>
    </row>
    <row r="84" spans="1:59" s="339" customFormat="1" ht="45" hidden="1">
      <c r="A84" s="187">
        <v>20192395011</v>
      </c>
      <c r="B84" s="188" t="str">
        <f>VLOOKUP(A84,'Datos Personales'!A:M,2,FALSE)</f>
        <v>RUIZ MORALES TANIA LORENA</v>
      </c>
      <c r="C84" s="188">
        <f>VLOOKUP(A84,'ESTADOS ESTUDIANTES'!B:L,11,0)</f>
        <v>1018480123</v>
      </c>
      <c r="D84" s="188">
        <f>VLOOKUP(A84,'Datos Personales'!$A:$M,3,FALSE)</f>
        <v>395</v>
      </c>
      <c r="E84" s="188" t="str">
        <f>VLOOKUP(Tabla4[[#This Row],[ENFASIS]],Listas!$R$2:$S$8,2,0)</f>
        <v>ENFASIS EN GEOMATICA</v>
      </c>
      <c r="F84" s="188" t="str">
        <f>VLOOKUP(A84,'Datos Personales'!A:M,8,0)</f>
        <v>tlruizm@udistrital.edu.co</v>
      </c>
      <c r="G84" s="188" t="str">
        <f>VLOOKUP(A84,'Datos Personales'!A:M,9,0)</f>
        <v>tlorena.icg@gmail.com</v>
      </c>
      <c r="H84" s="188" t="str">
        <f>VLOOKUP(A84,'Datos Personales'!A:M,5,FALSE)</f>
        <v>E</v>
      </c>
      <c r="I84" s="188" t="str">
        <f>VLOOKUP(Tabla4[[#This Row],[CODIGO]],'ESTADOS ESTUDIANTES'!B:M,12,0)</f>
        <v>2025-3</v>
      </c>
      <c r="J84" s="171" t="s">
        <v>60</v>
      </c>
      <c r="K84" s="171" t="s">
        <v>515</v>
      </c>
      <c r="L84" s="171" t="s">
        <v>448</v>
      </c>
      <c r="M84" s="169"/>
      <c r="N84" s="189">
        <v>45467</v>
      </c>
      <c r="O84" s="188">
        <v>2024</v>
      </c>
      <c r="P84" s="171" t="s">
        <v>146</v>
      </c>
      <c r="Q84" s="171" t="s">
        <v>229</v>
      </c>
      <c r="R84" s="190">
        <v>45569</v>
      </c>
      <c r="S84" s="190">
        <f>IF(Tabla4[[#This Row],[FECHA DE ACEPTACION DEL GRUP. INV.]]="","",DATE(YEAR(Tabla4[[#This Row],[FECHA DE ACEPTACION DEL GRUP. INV.]])+2,MONTH(Tabla4[[#This Row],[FECHA DE ACEPTACION DEL GRUP. INV.]]),DAY(Tabla4[[#This Row],[FECHA DE ACEPTACION DEL GRUP. INV.]])))</f>
        <v>46299</v>
      </c>
      <c r="T84" s="190" t="str">
        <f ca="1">IF(Tabla4[[#This Row],[FECHA DE ACEPTACION DEL GRUP. INV.]]="","",IF(Tabla4[[#This Row],[FECHA DE VENCIMIENTO ANTE PROYECTO]]&lt;TODAY(),"SÍ","NO"))</f>
        <v>NO</v>
      </c>
      <c r="U84" s="237" t="s">
        <v>62</v>
      </c>
      <c r="V84" s="237"/>
      <c r="W84" s="171"/>
      <c r="X84" s="171"/>
      <c r="Y84" s="189">
        <v>44299</v>
      </c>
      <c r="Z84" s="191">
        <v>74</v>
      </c>
      <c r="AA84" s="189">
        <v>45768</v>
      </c>
      <c r="AB84" s="191">
        <v>105</v>
      </c>
      <c r="AC84" s="171" t="s">
        <v>79</v>
      </c>
      <c r="AD84" s="171" t="s">
        <v>479</v>
      </c>
      <c r="AE84" s="190">
        <v>45945</v>
      </c>
      <c r="AF84" s="190" t="s">
        <v>516</v>
      </c>
      <c r="AG84" s="171" t="s">
        <v>481</v>
      </c>
      <c r="AH84" s="171" t="s">
        <v>457</v>
      </c>
      <c r="AI84" s="171" t="s">
        <v>99</v>
      </c>
      <c r="AJ84" s="193">
        <f>IFERROR(VLOOKUP(AI84,Listas!K:L,2,0),"")</f>
        <v>0.2</v>
      </c>
      <c r="AK84" s="187">
        <f>IFERROR(VLOOKUP(AJ84,Listas!L:M,2,0),"")</f>
        <v>10</v>
      </c>
      <c r="AL84" s="189">
        <v>45937</v>
      </c>
      <c r="AM84" s="169" t="s">
        <v>479</v>
      </c>
      <c r="AN84" s="189">
        <v>45945</v>
      </c>
      <c r="AO84" s="169" t="s">
        <v>395</v>
      </c>
      <c r="AP84" s="189"/>
      <c r="AQ84" s="189"/>
      <c r="AR84" s="187"/>
      <c r="AS84" s="187"/>
      <c r="AT84" s="169"/>
      <c r="AU84" s="169" t="s">
        <v>517</v>
      </c>
      <c r="AV84" s="189"/>
      <c r="AW84" s="189"/>
      <c r="AX84" s="187"/>
      <c r="AY84" s="187"/>
      <c r="AZ84" s="169"/>
      <c r="BA84" s="189"/>
      <c r="BB84" s="187" t="str">
        <f>IFERROR(AVERAGE(AR84,AS84,AX84,AY84),"")</f>
        <v/>
      </c>
      <c r="BC84" s="187" t="e">
        <f t="shared" si="10"/>
        <v>#VALUE!</v>
      </c>
      <c r="BD84" s="187" t="e">
        <f t="shared" si="9"/>
        <v>#VALUE!</v>
      </c>
      <c r="BE84" s="169"/>
      <c r="BF84" s="169"/>
      <c r="BG84" s="234" t="str">
        <f t="shared" si="7"/>
        <v/>
      </c>
    </row>
    <row r="85" spans="1:59" ht="30" hidden="1">
      <c r="A85" s="142">
        <v>20192395012</v>
      </c>
      <c r="B85" s="19" t="str">
        <f>VLOOKUP(A85,'Datos Personales'!A:M,2,FALSE)</f>
        <v>SUÁREZ RODRÍGUEZ JUAN MANUEL</v>
      </c>
      <c r="C85" s="19">
        <f>VLOOKUP(A85,'ESTADOS ESTUDIANTES'!B:L,11,0)</f>
        <v>1013600362</v>
      </c>
      <c r="D85" s="19">
        <f>VLOOKUP(A85,'Datos Personales'!$A:$M,3,FALSE)</f>
        <v>395</v>
      </c>
      <c r="E85" s="19" t="str">
        <f>VLOOKUP(Tabla4[[#This Row],[ENFASIS]],Listas!$R$2:$S$8,2,0)</f>
        <v>ENFASIS EN GEOMATICA</v>
      </c>
      <c r="F85" s="19" t="str">
        <f>VLOOKUP(A85,'Datos Personales'!A:M,8,0)</f>
        <v>srjuanm@correo.udistrital.edu.co</v>
      </c>
      <c r="G85" s="19" t="str">
        <f>VLOOKUP(A85,'Datos Personales'!A:M,9,0)</f>
        <v>ingjuanmasuarez@gmail.com</v>
      </c>
      <c r="H85" s="19" t="str">
        <f>VLOOKUP(A85,'Datos Personales'!A:M,5,FALSE)</f>
        <v>E</v>
      </c>
      <c r="I85" s="19" t="str">
        <f>VLOOKUP(Tabla4[[#This Row],[CODIGO]],'ESTADOS ESTUDIANTES'!B:M,12,0)</f>
        <v>2022-3</v>
      </c>
      <c r="J85" s="144" t="s">
        <v>60</v>
      </c>
      <c r="K85" s="144" t="s">
        <v>518</v>
      </c>
      <c r="L85" s="144" t="s">
        <v>519</v>
      </c>
      <c r="M85" s="144" t="s">
        <v>520</v>
      </c>
      <c r="N85" s="145">
        <v>43797</v>
      </c>
      <c r="O85" s="143">
        <v>2019</v>
      </c>
      <c r="P85" s="144" t="s">
        <v>101</v>
      </c>
      <c r="Q85" s="144" t="s">
        <v>521</v>
      </c>
      <c r="R85" s="150">
        <v>44012</v>
      </c>
      <c r="S85" s="150">
        <f>IF(Tabla4[[#This Row],[FECHA DE ACEPTACION DEL GRUP. INV.]]="","",DATE(YEAR(Tabla4[[#This Row],[FECHA DE ACEPTACION DEL GRUP. INV.]])+2,MONTH(Tabla4[[#This Row],[FECHA DE ACEPTACION DEL GRUP. INV.]]),DAY(Tabla4[[#This Row],[FECHA DE ACEPTACION DEL GRUP. INV.]])))</f>
        <v>44742</v>
      </c>
      <c r="T85" s="150" t="str">
        <f ca="1">IF(Tabla4[[#This Row],[FECHA DE ACEPTACION DEL GRUP. INV.]]="","",IF(Tabla4[[#This Row],[FECHA DE VENCIMIENTO ANTE PROYECTO]]&lt;TODAY(),"SÍ","NO"))</f>
        <v>SÍ</v>
      </c>
      <c r="U85" s="150"/>
      <c r="V85" s="150"/>
      <c r="W85" s="144" t="s">
        <v>233</v>
      </c>
      <c r="X85" s="144"/>
      <c r="Y85" s="145">
        <v>43964</v>
      </c>
      <c r="Z85" s="146">
        <v>89.57</v>
      </c>
      <c r="AA85" s="145">
        <v>44802</v>
      </c>
      <c r="AB85" s="146">
        <v>147</v>
      </c>
      <c r="AC85" s="98" t="s">
        <v>79</v>
      </c>
      <c r="AD85" s="144" t="s">
        <v>522</v>
      </c>
      <c r="AE85" s="150">
        <v>44545</v>
      </c>
      <c r="AF85" s="150"/>
      <c r="AG85" s="171"/>
      <c r="AH85" s="171"/>
      <c r="AI85" s="171" t="s">
        <v>80</v>
      </c>
      <c r="AJ85" s="170">
        <f>IFERROR(VLOOKUP(AI85,Listas!K:L,2,0),"")</f>
        <v>0.6</v>
      </c>
      <c r="AK85" s="21">
        <f>IFERROR(VLOOKUP(AJ85,Listas!L:M,2,0),"")</f>
        <v>30</v>
      </c>
      <c r="AL85" s="145">
        <v>44629</v>
      </c>
      <c r="AM85" s="179">
        <v>44743</v>
      </c>
      <c r="AN85" s="145">
        <v>44721</v>
      </c>
      <c r="AO85" s="144" t="s">
        <v>382</v>
      </c>
      <c r="AP85" s="145">
        <v>44630</v>
      </c>
      <c r="AQ85" s="145">
        <v>44694</v>
      </c>
      <c r="AR85" s="142">
        <v>43</v>
      </c>
      <c r="AS85" s="142">
        <v>40</v>
      </c>
      <c r="AT85" s="144" t="s">
        <v>41</v>
      </c>
      <c r="AU85" s="144" t="s">
        <v>281</v>
      </c>
      <c r="AV85" s="145">
        <v>44630</v>
      </c>
      <c r="AW85" s="145">
        <v>44694</v>
      </c>
      <c r="AX85" s="142">
        <v>45</v>
      </c>
      <c r="AY85" s="142">
        <v>45</v>
      </c>
      <c r="AZ85" s="144" t="s">
        <v>41</v>
      </c>
      <c r="BA85" s="145">
        <v>44677</v>
      </c>
      <c r="BB85" s="142">
        <f>IFERROR(ROUND(AVERAGE(AY85,AX85,AS85,AR85),0),"")</f>
        <v>43</v>
      </c>
      <c r="BC85" s="232">
        <f t="shared" si="10"/>
        <v>17.2</v>
      </c>
      <c r="BD85" s="185">
        <f t="shared" si="9"/>
        <v>47.2</v>
      </c>
      <c r="BE85" s="144" t="s">
        <v>48</v>
      </c>
      <c r="BF85" s="147"/>
      <c r="BG85" s="293" t="str">
        <f t="shared" si="7"/>
        <v/>
      </c>
    </row>
    <row r="86" spans="1:59" s="339" customFormat="1" ht="15" hidden="1">
      <c r="A86" s="21">
        <v>20192395013</v>
      </c>
      <c r="B86" s="19" t="str">
        <f>VLOOKUP(A86,'Datos Personales'!A:M,2,FALSE)</f>
        <v>MOLINA HERRERA DIVA ESMERALDA</v>
      </c>
      <c r="C86" s="19">
        <f>VLOOKUP(A86,'ESTADOS ESTUDIANTES'!B:L,11,0)</f>
        <v>53120904</v>
      </c>
      <c r="D86" s="19">
        <f>VLOOKUP(A86,'Datos Personales'!$A:$M,3,FALSE)</f>
        <v>395</v>
      </c>
      <c r="E86" s="19" t="str">
        <f>VLOOKUP(Tabla4[[#This Row],[ENFASIS]],Listas!$R$2:$S$8,2,0)</f>
        <v>ENFASIS EN GEOMATICA</v>
      </c>
      <c r="F86" s="19" t="str">
        <f>VLOOKUP(A86,'Datos Personales'!A:M,8,0)</f>
        <v>mhdivae@correo.udistrital.edu.co</v>
      </c>
      <c r="G86" s="19" t="str">
        <f>VLOOKUP(A86,'Datos Personales'!A:M,9,0)</f>
        <v>molina.esmeralda@gmail.com</v>
      </c>
      <c r="H86" s="19" t="str">
        <f>VLOOKUP(A86,'Datos Personales'!A:M,5,FALSE)</f>
        <v>X</v>
      </c>
      <c r="I86" s="19" t="str">
        <f>VLOOKUP(Tabla4[[#This Row],[CODIGO]],'ESTADOS ESTUDIANTES'!B:M,12,0)</f>
        <v>2019-3</v>
      </c>
      <c r="J86" s="23"/>
      <c r="K86" s="23"/>
      <c r="L86" s="23"/>
      <c r="M86" s="23"/>
      <c r="N86" s="96"/>
      <c r="O86" s="23"/>
      <c r="P86" s="23"/>
      <c r="Q86" s="23"/>
      <c r="R86" s="124"/>
      <c r="S86" s="124" t="str">
        <f>IF(Tabla4[[#This Row],[FECHA DE ACEPTACION DEL GRUP. INV.]]="","",DATE(YEAR(Tabla4[[#This Row],[FECHA DE ACEPTACION DEL GRUP. INV.]])+2,MONTH(Tabla4[[#This Row],[FECHA DE ACEPTACION DEL GRUP. INV.]]),DAY(Tabla4[[#This Row],[FECHA DE ACEPTACION DEL GRUP. INV.]])))</f>
        <v/>
      </c>
      <c r="T86" s="124" t="str">
        <f ca="1">IF(Tabla4[[#This Row],[FECHA DE ACEPTACION DEL GRUP. INV.]]="","",IF(Tabla4[[#This Row],[FECHA DE VENCIMIENTO ANTE PROYECTO]]&lt;TODAY(),"SÍ","NO"))</f>
        <v/>
      </c>
      <c r="U86" s="124"/>
      <c r="V86" s="124"/>
      <c r="W86" s="18"/>
      <c r="X86" s="18"/>
      <c r="Y86" s="96"/>
      <c r="Z86" s="97"/>
      <c r="AA86" s="96"/>
      <c r="AB86" s="97"/>
      <c r="AC86" s="110"/>
      <c r="AD86" s="18"/>
      <c r="AE86" s="124"/>
      <c r="AF86" s="124"/>
      <c r="AG86" s="169"/>
      <c r="AH86" s="169"/>
      <c r="AI86" s="169"/>
      <c r="AJ86" s="170" t="str">
        <f>IFERROR(VLOOKUP(AI86,Listas!K:L,2,0),"")</f>
        <v/>
      </c>
      <c r="AK86" s="21" t="str">
        <f>IFERROR(VLOOKUP(AJ86,Listas!L:M,2,0),"")</f>
        <v/>
      </c>
      <c r="AL86" s="96"/>
      <c r="AM86" s="23"/>
      <c r="AN86" s="96"/>
      <c r="AO86" s="23"/>
      <c r="AP86" s="96"/>
      <c r="AQ86" s="96"/>
      <c r="AR86" s="21"/>
      <c r="AS86" s="21"/>
      <c r="AT86" s="23"/>
      <c r="AU86" s="23"/>
      <c r="AV86" s="96"/>
      <c r="AW86" s="96"/>
      <c r="AX86" s="21"/>
      <c r="AY86" s="21"/>
      <c r="AZ86" s="23"/>
      <c r="BA86" s="96"/>
      <c r="BB86" s="18" t="str">
        <f>IFERROR(ROUND(AVERAGE(AY86,AX86,AS86,AR86),0),"")</f>
        <v/>
      </c>
      <c r="BC86" s="232" t="e">
        <f t="shared" si="10"/>
        <v>#VALUE!</v>
      </c>
      <c r="BD86" s="185" t="e">
        <f t="shared" si="9"/>
        <v>#VALUE!</v>
      </c>
      <c r="BE86" s="23"/>
      <c r="BF86" s="23"/>
      <c r="BG86" s="255" t="str">
        <f t="shared" si="7"/>
        <v/>
      </c>
    </row>
    <row r="87" spans="1:59" s="339" customFormat="1" ht="60" hidden="1">
      <c r="A87" s="187">
        <v>20192395014</v>
      </c>
      <c r="B87" s="188" t="str">
        <f>VLOOKUP(A87,'Datos Personales'!A:M,2,FALSE)</f>
        <v>PACHON RODRIGUEZ WILLIAN ANTONIO</v>
      </c>
      <c r="C87" s="188">
        <f>VLOOKUP(A87,'ESTADOS ESTUDIANTES'!B:L,11,0)</f>
        <v>79753758</v>
      </c>
      <c r="D87" s="188">
        <f>VLOOKUP(A87,'Datos Personales'!$A:$M,3,FALSE)</f>
        <v>395</v>
      </c>
      <c r="E87" s="188" t="str">
        <f>VLOOKUP(Tabla4[[#This Row],[ENFASIS]],Listas!$R$2:$S$8,2,0)</f>
        <v>ENFASIS EN GEOMATICA</v>
      </c>
      <c r="F87" s="188" t="str">
        <f>VLOOKUP(A87,'Datos Personales'!A:M,8,0)</f>
        <v>prwilliana@udistrital.edu.co</v>
      </c>
      <c r="G87" s="188" t="str">
        <f>VLOOKUP(A87,'Datos Personales'!A:M,9,0)</f>
        <v>willian.pachon@gmail.com</v>
      </c>
      <c r="H87" s="188" t="str">
        <f>VLOOKUP(A87,'Datos Personales'!A:M,5,FALSE)</f>
        <v>E</v>
      </c>
      <c r="I87" s="188" t="str">
        <f>VLOOKUP(Tabla4[[#This Row],[CODIGO]],'ESTADOS ESTUDIANTES'!B:M,12,0)</f>
        <v>2024-1</v>
      </c>
      <c r="J87" s="171" t="s">
        <v>60</v>
      </c>
      <c r="K87" s="171" t="s">
        <v>523</v>
      </c>
      <c r="L87" s="171" t="s">
        <v>524</v>
      </c>
      <c r="M87" s="169"/>
      <c r="N87" s="189">
        <v>43789</v>
      </c>
      <c r="O87" s="188">
        <v>2019</v>
      </c>
      <c r="P87" s="171" t="s">
        <v>146</v>
      </c>
      <c r="Q87" s="171" t="s">
        <v>229</v>
      </c>
      <c r="R87" s="190">
        <v>44012</v>
      </c>
      <c r="S87" s="190">
        <f>IF(Tabla4[[#This Row],[FECHA DE ACEPTACION DEL GRUP. INV.]]="","",DATE(YEAR(Tabla4[[#This Row],[FECHA DE ACEPTACION DEL GRUP. INV.]])+2,MONTH(Tabla4[[#This Row],[FECHA DE ACEPTACION DEL GRUP. INV.]]),DAY(Tabla4[[#This Row],[FECHA DE ACEPTACION DEL GRUP. INV.]])))</f>
        <v>44742</v>
      </c>
      <c r="T87" s="190" t="str">
        <f ca="1">IF(Tabla4[[#This Row],[FECHA DE ACEPTACION DEL GRUP. INV.]]="","",IF(Tabla4[[#This Row],[FECHA DE VENCIMIENTO ANTE PROYECTO]]&lt;TODAY(),"SÍ","NO"))</f>
        <v>SÍ</v>
      </c>
      <c r="U87" s="190"/>
      <c r="V87" s="190"/>
      <c r="W87" s="171" t="s">
        <v>233</v>
      </c>
      <c r="X87" s="171"/>
      <c r="Y87" s="189">
        <v>44153</v>
      </c>
      <c r="Z87" s="191">
        <v>78.5</v>
      </c>
      <c r="AA87" s="458">
        <v>45167</v>
      </c>
      <c r="AB87" s="298">
        <v>109</v>
      </c>
      <c r="AC87" s="98" t="s">
        <v>79</v>
      </c>
      <c r="AD87" s="171" t="s">
        <v>412</v>
      </c>
      <c r="AE87" s="190">
        <v>45231</v>
      </c>
      <c r="AF87" s="190" t="s">
        <v>525</v>
      </c>
      <c r="AG87" s="171" t="s">
        <v>526</v>
      </c>
      <c r="AH87" s="171" t="s">
        <v>296</v>
      </c>
      <c r="AI87" s="171" t="s">
        <v>80</v>
      </c>
      <c r="AJ87" s="170">
        <f>IFERROR(VLOOKUP(AI87,Listas!K:L,2,0),"")</f>
        <v>0.6</v>
      </c>
      <c r="AK87" s="21">
        <f>IFERROR(VLOOKUP(AJ87,Listas!L:M,2,0),"")</f>
        <v>30</v>
      </c>
      <c r="AL87" s="189">
        <v>45187</v>
      </c>
      <c r="AM87" s="169" t="s">
        <v>527</v>
      </c>
      <c r="AN87" s="189">
        <v>45231</v>
      </c>
      <c r="AO87" s="169" t="s">
        <v>395</v>
      </c>
      <c r="AP87" s="189"/>
      <c r="AQ87" s="189"/>
      <c r="AR87" s="187"/>
      <c r="AS87" s="187"/>
      <c r="AT87" s="169"/>
      <c r="AU87" s="169" t="s">
        <v>302</v>
      </c>
      <c r="AV87" s="189"/>
      <c r="AW87" s="189"/>
      <c r="AX87" s="187"/>
      <c r="AY87" s="187"/>
      <c r="AZ87" s="169"/>
      <c r="BA87" s="189"/>
      <c r="BB87" s="232"/>
      <c r="BC87" s="232">
        <f t="shared" si="10"/>
        <v>0</v>
      </c>
      <c r="BD87" s="232">
        <f t="shared" si="9"/>
        <v>30</v>
      </c>
      <c r="BE87" s="169"/>
      <c r="BF87" s="169"/>
      <c r="BG87" s="234" t="str">
        <f t="shared" si="7"/>
        <v/>
      </c>
    </row>
    <row r="88" spans="1:59" s="339" customFormat="1" ht="45" hidden="1">
      <c r="A88" s="187">
        <v>20192495001</v>
      </c>
      <c r="B88" s="188" t="str">
        <f>VLOOKUP(A88,'Datos Personales'!A:M,2,FALSE)</f>
        <v>MUÑOZ PENAGOS NATHALIA CATALINA</v>
      </c>
      <c r="C88" s="188">
        <f>VLOOKUP(A88,'ESTADOS ESTUDIANTES'!B:L,11,0)</f>
        <v>1032449961</v>
      </c>
      <c r="D88" s="188">
        <f>VLOOKUP(A88,'Datos Personales'!$A:$M,3,FALSE)</f>
        <v>495</v>
      </c>
      <c r="E88" s="188" t="str">
        <f>VLOOKUP(Tabla4[[#This Row],[ENFASIS]],Listas!$R$2:$S$8,2,0)</f>
        <v>ENFASIS EN ING. SOFT</v>
      </c>
      <c r="F88" s="188" t="str">
        <f>VLOOKUP(A88,'Datos Personales'!A:M,8,0)</f>
        <v>mpnathaliac@udistrital.edu.co</v>
      </c>
      <c r="G88" s="188" t="str">
        <f>VLOOKUP(A88,'Datos Personales'!A:M,9,0)</f>
        <v>nathmunoz19@gmail.com</v>
      </c>
      <c r="H88" s="188" t="str">
        <f>VLOOKUP(A88,'Datos Personales'!A:M,5,FALSE)</f>
        <v>X</v>
      </c>
      <c r="I88" s="188" t="str">
        <f>VLOOKUP(Tabla4[[#This Row],[CODIGO]],'ESTADOS ESTUDIANTES'!B:M,12,0)</f>
        <v>2025-3</v>
      </c>
      <c r="J88" s="171" t="s">
        <v>60</v>
      </c>
      <c r="K88" s="171" t="s">
        <v>528</v>
      </c>
      <c r="L88" s="171" t="s">
        <v>271</v>
      </c>
      <c r="M88" s="169"/>
      <c r="N88" s="189">
        <v>43810</v>
      </c>
      <c r="O88" s="188">
        <v>2019</v>
      </c>
      <c r="P88" s="171" t="s">
        <v>106</v>
      </c>
      <c r="Q88" s="171" t="s">
        <v>351</v>
      </c>
      <c r="R88" s="190">
        <v>43871</v>
      </c>
      <c r="S88" s="190">
        <f>IF(Tabla4[[#This Row],[FECHA DE ACEPTACION DEL GRUP. INV.]]="","",DATE(YEAR(Tabla4[[#This Row],[FECHA DE ACEPTACION DEL GRUP. INV.]])+2,MONTH(Tabla4[[#This Row],[FECHA DE ACEPTACION DEL GRUP. INV.]]),DAY(Tabla4[[#This Row],[FECHA DE ACEPTACION DEL GRUP. INV.]])))</f>
        <v>44602</v>
      </c>
      <c r="T88" s="190" t="str">
        <f ca="1">IF(Tabla4[[#This Row],[FECHA DE ACEPTACION DEL GRUP. INV.]]="","",IF(Tabla4[[#This Row],[FECHA DE VENCIMIENTO ANTE PROYECTO]]&lt;TODAY(),"SÍ","NO"))</f>
        <v>SÍ</v>
      </c>
      <c r="U88" s="237" t="s">
        <v>62</v>
      </c>
      <c r="V88" s="237"/>
      <c r="W88" s="171" t="s">
        <v>529</v>
      </c>
      <c r="X88" s="171"/>
      <c r="Y88" s="189"/>
      <c r="Z88" s="191"/>
      <c r="AA88" s="189">
        <v>44097</v>
      </c>
      <c r="AB88" s="191">
        <v>94.39</v>
      </c>
      <c r="AC88" s="171" t="s">
        <v>79</v>
      </c>
      <c r="AD88" s="171"/>
      <c r="AE88" s="190"/>
      <c r="AF88" s="190"/>
      <c r="AG88" s="171"/>
      <c r="AH88" s="171"/>
      <c r="AI88" s="171"/>
      <c r="AJ88" s="193" t="str">
        <f>IFERROR(VLOOKUP(AI88,Listas!K:L,2,0),"")</f>
        <v/>
      </c>
      <c r="AK88" s="187" t="str">
        <f>IFERROR(VLOOKUP(AJ88,Listas!L:M,2,0),"")</f>
        <v/>
      </c>
      <c r="AL88" s="189"/>
      <c r="AM88" s="169"/>
      <c r="AN88" s="189"/>
      <c r="AO88" s="169"/>
      <c r="AP88" s="189"/>
      <c r="AQ88" s="189"/>
      <c r="AR88" s="187"/>
      <c r="AS88" s="187"/>
      <c r="AT88" s="169"/>
      <c r="AU88" s="169"/>
      <c r="AV88" s="189"/>
      <c r="AW88" s="189"/>
      <c r="AX88" s="187"/>
      <c r="AY88" s="187"/>
      <c r="AZ88" s="169"/>
      <c r="BA88" s="189"/>
      <c r="BB88" s="187" t="str">
        <f>IFERROR(AVERAGE(AR88,AS88,AX88,AY88),"")</f>
        <v/>
      </c>
      <c r="BC88" s="187" t="e">
        <f t="shared" si="10"/>
        <v>#VALUE!</v>
      </c>
      <c r="BD88" s="187" t="e">
        <f t="shared" si="9"/>
        <v>#VALUE!</v>
      </c>
      <c r="BE88" s="169"/>
      <c r="BF88" s="169"/>
      <c r="BG88" s="234" t="str">
        <f t="shared" si="7"/>
        <v/>
      </c>
    </row>
    <row r="89" spans="1:59" s="339" customFormat="1" ht="30" hidden="1">
      <c r="A89" s="21">
        <v>20192495002</v>
      </c>
      <c r="B89" s="19" t="str">
        <f>VLOOKUP(A89,'Datos Personales'!A:M,2,FALSE)</f>
        <v>CÁRDENAS LANCHEROS ESTEBAN ALEJANDRO</v>
      </c>
      <c r="C89" s="19">
        <f>VLOOKUP(A89,'ESTADOS ESTUDIANTES'!B:L,11,0)</f>
        <v>1013610921</v>
      </c>
      <c r="D89" s="19">
        <f>VLOOKUP(A89,'Datos Personales'!$A:$M,3,FALSE)</f>
        <v>495</v>
      </c>
      <c r="E89" s="19" t="str">
        <f>VLOOKUP(Tabla4[[#This Row],[ENFASIS]],Listas!$R$2:$S$8,2,0)</f>
        <v>ENFASIS EN ING. SOFT</v>
      </c>
      <c r="F89" s="19" t="str">
        <f>VLOOKUP(A89,'Datos Personales'!A:M,8,0)</f>
        <v>clestebana@udistrital.edu.co</v>
      </c>
      <c r="G89" s="19" t="str">
        <f>VLOOKUP(A89,'Datos Personales'!A:M,9,0)</f>
        <v>esteban.cardenas.lancheros@gmail.com</v>
      </c>
      <c r="H89" s="19" t="str">
        <f>VLOOKUP(A89,'Datos Personales'!A:M,5,FALSE)</f>
        <v>E</v>
      </c>
      <c r="I89" s="19" t="str">
        <f>VLOOKUP(Tabla4[[#This Row],[CODIGO]],'ESTADOS ESTUDIANTES'!B:M,12,0)</f>
        <v>2021-3</v>
      </c>
      <c r="J89" s="18" t="s">
        <v>60</v>
      </c>
      <c r="K89" s="18" t="s">
        <v>530</v>
      </c>
      <c r="L89" s="18" t="s">
        <v>271</v>
      </c>
      <c r="M89" s="23"/>
      <c r="N89" s="96">
        <v>43810</v>
      </c>
      <c r="O89" s="19">
        <v>2019</v>
      </c>
      <c r="P89" s="18" t="s">
        <v>106</v>
      </c>
      <c r="Q89" s="18" t="s">
        <v>225</v>
      </c>
      <c r="R89" s="124">
        <v>44092</v>
      </c>
      <c r="S89" s="124">
        <f>IF(Tabla4[[#This Row],[FECHA DE ACEPTACION DEL GRUP. INV.]]="","",DATE(YEAR(Tabla4[[#This Row],[FECHA DE ACEPTACION DEL GRUP. INV.]])+2,MONTH(Tabla4[[#This Row],[FECHA DE ACEPTACION DEL GRUP. INV.]]),DAY(Tabla4[[#This Row],[FECHA DE ACEPTACION DEL GRUP. INV.]])))</f>
        <v>44822</v>
      </c>
      <c r="T89" s="124" t="str">
        <f ca="1">IF(Tabla4[[#This Row],[FECHA DE ACEPTACION DEL GRUP. INV.]]="","",IF(Tabla4[[#This Row],[FECHA DE VENCIMIENTO ANTE PROYECTO]]&lt;TODAY(),"SÍ","NO"))</f>
        <v>SÍ</v>
      </c>
      <c r="U89" s="124"/>
      <c r="V89" s="124"/>
      <c r="W89" s="18" t="s">
        <v>277</v>
      </c>
      <c r="X89" s="18"/>
      <c r="Y89" s="96"/>
      <c r="Z89" s="97"/>
      <c r="AA89" s="96">
        <v>44299</v>
      </c>
      <c r="AB89" s="97">
        <v>87.83</v>
      </c>
      <c r="AC89" s="98" t="s">
        <v>79</v>
      </c>
      <c r="AD89" s="18"/>
      <c r="AE89" s="124"/>
      <c r="AF89" s="124"/>
      <c r="AG89" s="171"/>
      <c r="AH89" s="171"/>
      <c r="AI89" s="171"/>
      <c r="AJ89" s="170" t="str">
        <f>IFERROR(VLOOKUP(AI89,Listas!K:L,2,0),"")</f>
        <v/>
      </c>
      <c r="AK89" s="21" t="str">
        <f>IFERROR(VLOOKUP(AJ89,Listas!L:M,2,0),"")</f>
        <v/>
      </c>
      <c r="AL89" s="96">
        <v>44386</v>
      </c>
      <c r="AM89" s="127">
        <v>44409</v>
      </c>
      <c r="AN89" s="96"/>
      <c r="AO89" s="18" t="s">
        <v>220</v>
      </c>
      <c r="AP89" s="96">
        <v>44386</v>
      </c>
      <c r="AQ89" s="96">
        <v>44420</v>
      </c>
      <c r="AR89" s="21">
        <v>50</v>
      </c>
      <c r="AS89" s="21">
        <v>50</v>
      </c>
      <c r="AT89" s="18" t="s">
        <v>55</v>
      </c>
      <c r="AU89" s="18" t="s">
        <v>303</v>
      </c>
      <c r="AV89" s="96">
        <v>44386</v>
      </c>
      <c r="AW89" s="96">
        <v>44420</v>
      </c>
      <c r="AX89" s="21">
        <v>50</v>
      </c>
      <c r="AY89" s="21">
        <v>50</v>
      </c>
      <c r="AZ89" s="18" t="s">
        <v>55</v>
      </c>
      <c r="BA89" s="96">
        <v>44420</v>
      </c>
      <c r="BB89" s="21">
        <v>50</v>
      </c>
      <c r="BC89" s="232" t="e">
        <f t="shared" si="10"/>
        <v>#VALUE!</v>
      </c>
      <c r="BD89" s="185" t="e">
        <f t="shared" si="9"/>
        <v>#VALUE!</v>
      </c>
      <c r="BE89" s="23"/>
      <c r="BF89" s="18" t="s">
        <v>240</v>
      </c>
      <c r="BG89" s="293" t="str">
        <f t="shared" si="7"/>
        <v/>
      </c>
    </row>
    <row r="90" spans="1:59" ht="45" hidden="1">
      <c r="A90" s="662">
        <v>20192495003</v>
      </c>
      <c r="B90" s="659" t="str">
        <f>VLOOKUP(A90,'Datos Personales'!A:M,2,FALSE)</f>
        <v>MONTENEGRO ALVARADO ANDRÉS DAVID</v>
      </c>
      <c r="C90" s="659">
        <f>VLOOKUP(A90,'ESTADOS ESTUDIANTES'!B:L,11,0)</f>
        <v>1023924156</v>
      </c>
      <c r="D90" s="659">
        <f>VLOOKUP(A90,'Datos Personales'!$A:$M,3,FALSE)</f>
        <v>495</v>
      </c>
      <c r="E90" s="659" t="str">
        <f>VLOOKUP(Tabla4[[#This Row],[ENFASIS]],Listas!$R$2:$S$8,2,0)</f>
        <v>ENFASIS EN ING. SOFT</v>
      </c>
      <c r="F90" s="659" t="str">
        <f>VLOOKUP(A90,'Datos Personales'!A:M,8,0)</f>
        <v>admontenegroa@udistrital.edu.co</v>
      </c>
      <c r="G90" s="659" t="str">
        <f>VLOOKUP(A90,'Datos Personales'!A:M,9,0)</f>
        <v>admontenegroa@gmail.com</v>
      </c>
      <c r="H90" s="659" t="str">
        <f>VLOOKUP(A90,'Datos Personales'!A:M,5,FALSE)</f>
        <v>A</v>
      </c>
      <c r="I90" s="659" t="str">
        <f>VLOOKUP(Tabla4[[#This Row],[CODIGO]],'ESTADOS ESTUDIANTES'!B:M,12,0)</f>
        <v>2026-3</v>
      </c>
      <c r="J90" s="651" t="s">
        <v>60</v>
      </c>
      <c r="K90" s="651" t="s">
        <v>531</v>
      </c>
      <c r="L90" s="651" t="s">
        <v>271</v>
      </c>
      <c r="M90" s="651"/>
      <c r="N90" s="658">
        <v>46000</v>
      </c>
      <c r="O90" s="659">
        <v>2025</v>
      </c>
      <c r="P90" s="651" t="s">
        <v>106</v>
      </c>
      <c r="Q90" s="651" t="s">
        <v>351</v>
      </c>
      <c r="R90" s="656">
        <v>45996</v>
      </c>
      <c r="S90" s="656">
        <f>IF(Tabla4[[#This Row],[FECHA DE ACEPTACION DEL GRUP. INV.]]="","",DATE(YEAR(Tabla4[[#This Row],[FECHA DE ACEPTACION DEL GRUP. INV.]])+2,MONTH(Tabla4[[#This Row],[FECHA DE ACEPTACION DEL GRUP. INV.]]),DAY(Tabla4[[#This Row],[FECHA DE ACEPTACION DEL GRUP. INV.]])))</f>
        <v>46726</v>
      </c>
      <c r="T90" s="656" t="str">
        <f ca="1">IF(Tabla4[[#This Row],[FECHA DE ACEPTACION DEL GRUP. INV.]]="","",IF(Tabla4[[#This Row],[FECHA DE VENCIMIENTO ANTE PROYECTO]]&lt;TODAY(),"SÍ","NO"))</f>
        <v>NO</v>
      </c>
      <c r="U90" s="657" t="s">
        <v>62</v>
      </c>
      <c r="V90" s="237"/>
      <c r="W90" s="171" t="s">
        <v>430</v>
      </c>
      <c r="X90" s="651" t="s">
        <v>506</v>
      </c>
      <c r="Y90" s="189"/>
      <c r="Z90" s="191"/>
      <c r="AA90" s="241">
        <v>45768</v>
      </c>
      <c r="AB90" s="191">
        <v>99</v>
      </c>
      <c r="AC90" s="169" t="s">
        <v>79</v>
      </c>
      <c r="AD90" s="171"/>
      <c r="AE90" s="190"/>
      <c r="AF90" s="190"/>
      <c r="AG90" s="169"/>
      <c r="AH90" s="169"/>
      <c r="AI90" s="169"/>
      <c r="AJ90" s="193" t="str">
        <f>IFERROR(VLOOKUP(AI90,Listas!K:L,2,0),"")</f>
        <v/>
      </c>
      <c r="AK90" s="187" t="str">
        <f>IFERROR(VLOOKUP(AJ90,Listas!L:M,2,0),"")</f>
        <v/>
      </c>
      <c r="AL90" s="193" t="str">
        <f>IFERROR(VLOOKUP(AK90,Listas!M:N,2,0),"")</f>
        <v/>
      </c>
      <c r="AM90" s="169"/>
      <c r="AN90" s="189"/>
      <c r="AO90" s="169"/>
      <c r="AP90" s="189"/>
      <c r="AQ90" s="189"/>
      <c r="AR90" s="187"/>
      <c r="AS90" s="187"/>
      <c r="AT90" s="169"/>
      <c r="AU90" s="169"/>
      <c r="AV90" s="189"/>
      <c r="AW90" s="189"/>
      <c r="AX90" s="187"/>
      <c r="AY90" s="187"/>
      <c r="AZ90" s="169"/>
      <c r="BA90" s="189"/>
      <c r="BB90" s="187" t="str">
        <f>IFERROR(AVERAGE(AR90,AS90,AX90,AY90),"")</f>
        <v/>
      </c>
      <c r="BC90" s="187" t="e">
        <f t="shared" si="10"/>
        <v>#VALUE!</v>
      </c>
      <c r="BD90" s="187" t="e">
        <f t="shared" si="9"/>
        <v>#VALUE!</v>
      </c>
      <c r="BE90" s="169"/>
      <c r="BF90" s="169"/>
      <c r="BG90" s="234" t="str">
        <f t="shared" si="7"/>
        <v>Nelson Enrique Vera Parra</v>
      </c>
    </row>
    <row r="91" spans="1:59" ht="31.5" hidden="1">
      <c r="A91" s="244">
        <v>20192495004</v>
      </c>
      <c r="B91" s="188" t="str">
        <f>VLOOKUP(A91,'Datos Personales'!A:M,2,FALSE)</f>
        <v>CASTRO CASTRO OMAR JOSE</v>
      </c>
      <c r="C91" s="188">
        <f>VLOOKUP(A91,'ESTADOS ESTUDIANTES'!B:L,11,0)</f>
        <v>1010204406</v>
      </c>
      <c r="D91" s="188">
        <f>VLOOKUP(A91,'Datos Personales'!$A:$M,3,FALSE)</f>
        <v>495</v>
      </c>
      <c r="E91" s="188" t="str">
        <f>VLOOKUP(Tabla4[[#This Row],[ENFASIS]],Listas!$R$2:$S$8,2,0)</f>
        <v>ENFASIS EN ING. SOFT</v>
      </c>
      <c r="F91" s="188" t="str">
        <f>VLOOKUP(A91,'Datos Personales'!A:M,8,0)</f>
        <v>ccomarj@udistrital.edu.co</v>
      </c>
      <c r="G91" s="188" t="str">
        <f>VLOOKUP(A91,'Datos Personales'!A:M,9,0)</f>
        <v>kstroomar@yahoo.es</v>
      </c>
      <c r="H91" s="188" t="str">
        <f>VLOOKUP(A91,'Datos Personales'!A:M,5,FALSE)</f>
        <v>X</v>
      </c>
      <c r="I91" s="188" t="str">
        <f>VLOOKUP(Tabla4[[#This Row],[CODIGO]],'ESTADOS ESTUDIANTES'!B:M,12,0)</f>
        <v>2025-3</v>
      </c>
      <c r="J91" s="171" t="s">
        <v>60</v>
      </c>
      <c r="K91" s="87" t="s">
        <v>532</v>
      </c>
      <c r="L91" s="87"/>
      <c r="M91" s="172"/>
      <c r="N91" s="86"/>
      <c r="O91" s="188"/>
      <c r="P91" s="240" t="s">
        <v>83</v>
      </c>
      <c r="Q91" s="240" t="s">
        <v>512</v>
      </c>
      <c r="R91" s="242">
        <v>44012</v>
      </c>
      <c r="S91" s="242">
        <f>IF(Tabla4[[#This Row],[FECHA DE ACEPTACION DEL GRUP. INV.]]="","",DATE(YEAR(Tabla4[[#This Row],[FECHA DE ACEPTACION DEL GRUP. INV.]])+2,MONTH(Tabla4[[#This Row],[FECHA DE ACEPTACION DEL GRUP. INV.]]),DAY(Tabla4[[#This Row],[FECHA DE ACEPTACION DEL GRUP. INV.]])))</f>
        <v>44742</v>
      </c>
      <c r="T91" s="242" t="str">
        <f ca="1">IF(Tabla4[[#This Row],[FECHA DE ACEPTACION DEL GRUP. INV.]]="","",IF(Tabla4[[#This Row],[FECHA DE VENCIMIENTO ANTE PROYECTO]]&lt;TODAY(),"SÍ","NO"))</f>
        <v>SÍ</v>
      </c>
      <c r="U91" s="240"/>
      <c r="V91" s="240"/>
      <c r="W91" s="242" t="s">
        <v>424</v>
      </c>
      <c r="X91" s="242"/>
      <c r="Y91" s="241"/>
      <c r="Z91" s="243"/>
      <c r="AA91" s="241">
        <v>45768</v>
      </c>
      <c r="AB91" s="243">
        <v>102</v>
      </c>
      <c r="AC91" s="238" t="s">
        <v>79</v>
      </c>
      <c r="AD91" s="87"/>
      <c r="AE91" s="173"/>
      <c r="AF91" s="173"/>
      <c r="AG91" s="190"/>
      <c r="AH91" s="169"/>
      <c r="AI91" s="169"/>
      <c r="AJ91" s="180"/>
      <c r="AK91" s="180"/>
      <c r="AL91" s="86"/>
      <c r="AM91" s="172"/>
      <c r="AN91" s="86"/>
      <c r="AO91" s="169"/>
      <c r="AP91" s="86"/>
      <c r="AQ91" s="86"/>
      <c r="AR91" s="158"/>
      <c r="AS91" s="158"/>
      <c r="AT91" s="169"/>
      <c r="AU91" s="169"/>
      <c r="AV91" s="86"/>
      <c r="AW91" s="86"/>
      <c r="AX91" s="158"/>
      <c r="AY91" s="158"/>
      <c r="AZ91" s="169"/>
      <c r="BA91" s="86"/>
      <c r="BB91" s="158"/>
      <c r="BC91" s="187">
        <f t="shared" si="10"/>
        <v>0</v>
      </c>
      <c r="BD91" s="187">
        <f t="shared" si="9"/>
        <v>0</v>
      </c>
      <c r="BE91" s="172"/>
      <c r="BF91" s="172"/>
      <c r="BG91" s="234"/>
    </row>
    <row r="92" spans="1:59" s="339" customFormat="1" ht="31.5" hidden="1">
      <c r="A92" s="244">
        <v>20192495005</v>
      </c>
      <c r="B92" s="188" t="str">
        <f>VLOOKUP(A92,'ESTADOS ESTUDIANTES'!B:L,2,0)</f>
        <v>DAZA NARVÁEZ ERIKA JUNNIETH</v>
      </c>
      <c r="C92" s="239">
        <f>VLOOKUP(A92,'ESTADOS ESTUDIANTES'!B:L,11,0)</f>
        <v>1018460864</v>
      </c>
      <c r="D92" s="239">
        <f>VLOOKUP(A92,'ESTADOS ESTUDIANTES'!B:L,3,0)</f>
        <v>495</v>
      </c>
      <c r="E92" s="239" t="str">
        <f>VLOOKUP(Tabla4[[#This Row],[ENFASIS]],Listas!$R$2:$S$8,2,0)</f>
        <v>ENFASIS EN ING. SOFT</v>
      </c>
      <c r="F92" s="239" t="str">
        <f>VLOOKUP(A92,'ESTADOS ESTUDIANTES'!B:L,8,0)</f>
        <v>dnerikaj@udistrital.edu.co</v>
      </c>
      <c r="G92" s="239" t="str">
        <f>VLOOKUP(A92,'ESTADOS ESTUDIANTES'!B:L,9,0)</f>
        <v>ekdaza1709@gmail.com</v>
      </c>
      <c r="H92" s="239" t="str">
        <f>VLOOKUP(A92,'ESTADOS ESTUDIANTES'!B:L,5,0)</f>
        <v>X</v>
      </c>
      <c r="I92" s="239" t="str">
        <f>VLOOKUP(Tabla4[[#This Row],[CODIGO]],'ESTADOS ESTUDIANTES'!B:M,12,0)</f>
        <v>2025-3</v>
      </c>
      <c r="J92" s="240" t="s">
        <v>60</v>
      </c>
      <c r="K92" s="240" t="s">
        <v>533</v>
      </c>
      <c r="L92" s="240" t="s">
        <v>271</v>
      </c>
      <c r="M92" s="238"/>
      <c r="N92" s="241">
        <v>45686</v>
      </c>
      <c r="O92" s="239">
        <v>2025</v>
      </c>
      <c r="P92" s="240" t="s">
        <v>106</v>
      </c>
      <c r="Q92" s="240" t="s">
        <v>351</v>
      </c>
      <c r="R92" s="242">
        <v>45686</v>
      </c>
      <c r="S92" s="242">
        <f>IF(Tabla4[[#This Row],[FECHA DE ACEPTACION DEL GRUP. INV.]]="","",DATE(YEAR(Tabla4[[#This Row],[FECHA DE ACEPTACION DEL GRUP. INV.]])+2,MONTH(Tabla4[[#This Row],[FECHA DE ACEPTACION DEL GRUP. INV.]]),DAY(Tabla4[[#This Row],[FECHA DE ACEPTACION DEL GRUP. INV.]])))</f>
        <v>46416</v>
      </c>
      <c r="T92" s="242" t="str">
        <f ca="1">IF(Tabla4[[#This Row],[FECHA DE ACEPTACION DEL GRUP. INV.]]="","",IF(Tabla4[[#This Row],[FECHA DE VENCIMIENTO ANTE PROYECTO]]&lt;TODAY(),"SÍ","NO"))</f>
        <v>NO</v>
      </c>
      <c r="U92" s="469" t="s">
        <v>62</v>
      </c>
      <c r="V92" s="469"/>
      <c r="W92" s="700" t="s">
        <v>488</v>
      </c>
      <c r="X92" s="240"/>
      <c r="Y92" s="241"/>
      <c r="Z92" s="243"/>
      <c r="AA92" s="241">
        <v>44153</v>
      </c>
      <c r="AB92" s="243">
        <v>73.83</v>
      </c>
      <c r="AC92" s="240" t="s">
        <v>79</v>
      </c>
      <c r="AD92" s="241"/>
      <c r="AE92" s="238"/>
      <c r="AF92" s="241"/>
      <c r="AG92" s="238"/>
      <c r="AH92" s="241"/>
      <c r="AI92" s="241"/>
      <c r="AJ92" s="193" t="str">
        <f>IFERROR(VLOOKUP(AI92,Listas!K:L,2,0),"")</f>
        <v/>
      </c>
      <c r="AK92" s="187" t="str">
        <f>IFERROR(VLOOKUP(AJ92,Listas!L:M,2,0),"")</f>
        <v/>
      </c>
      <c r="AL92" s="244"/>
      <c r="AM92" s="238"/>
      <c r="AN92" s="238"/>
      <c r="AO92" s="241"/>
      <c r="AP92" s="241"/>
      <c r="AQ92" s="244"/>
      <c r="AR92" s="244"/>
      <c r="AS92" s="244"/>
      <c r="AT92" s="238"/>
      <c r="AU92" s="241"/>
      <c r="AV92" s="240" t="str">
        <f>IFERROR(ROUND(AVERAGE(AS92,AR92,AL92,AK92),0),"")</f>
        <v/>
      </c>
      <c r="AW92" s="238"/>
      <c r="AX92" s="238"/>
      <c r="AY92" s="238"/>
      <c r="AZ92" s="238"/>
      <c r="BA92" s="240" t="str">
        <f>IFERROR(VLOOKUP(AZ92,Listas!K115:K122,2,0),"")</f>
        <v/>
      </c>
      <c r="BB92" s="187" t="str">
        <f>IFERROR(AVERAGE(AR92,AS92,AX92,AY92),"")</f>
        <v/>
      </c>
      <c r="BC92" s="187" t="e">
        <f t="shared" si="10"/>
        <v>#VALUE!</v>
      </c>
      <c r="BD92" s="187" t="e">
        <f t="shared" si="9"/>
        <v>#VALUE!</v>
      </c>
      <c r="BE92" s="245" t="str">
        <f>IF(OR(H92="A",$H92="D",$H92="P",$H92="V"),L92,"")</f>
        <v/>
      </c>
      <c r="BF92" s="264"/>
      <c r="BG92" s="344"/>
    </row>
    <row r="93" spans="1:59" s="339" customFormat="1" ht="120" hidden="1">
      <c r="A93" s="142">
        <v>20192495006</v>
      </c>
      <c r="B93" s="19" t="str">
        <f>VLOOKUP(A93,'Datos Personales'!A:M,2,FALSE)</f>
        <v>RESTREPO RODRÍGUEZ ANDRÉS OVIDIO</v>
      </c>
      <c r="C93" s="19">
        <f>VLOOKUP(A93,'ESTADOS ESTUDIANTES'!B:L,11,0)</f>
        <v>1032479265</v>
      </c>
      <c r="D93" s="19">
        <f>VLOOKUP(A93,'Datos Personales'!$A:$M,3,FALSE)</f>
        <v>495</v>
      </c>
      <c r="E93" s="19" t="str">
        <f>VLOOKUP(Tabla4[[#This Row],[ENFASIS]],Listas!$R$2:$S$8,2,0)</f>
        <v>ENFASIS EN ING. SOFT</v>
      </c>
      <c r="F93" s="19" t="str">
        <f>VLOOKUP(A93,'Datos Personales'!A:M,8,0)</f>
        <v>rrandreso@udistrital.edu.co</v>
      </c>
      <c r="G93" s="19" t="str">
        <f>VLOOKUP(A93,'Datos Personales'!A:M,9,0)</f>
        <v>aorestrepor@correo.udistrital.edu.co</v>
      </c>
      <c r="H93" s="19" t="str">
        <f>VLOOKUP(A93,'Datos Personales'!A:M,5,FALSE)</f>
        <v>E</v>
      </c>
      <c r="I93" s="19" t="str">
        <f>VLOOKUP(Tabla4[[#This Row],[CODIGO]],'ESTADOS ESTUDIANTES'!B:M,12,0)</f>
        <v>2022-3</v>
      </c>
      <c r="J93" s="144" t="s">
        <v>60</v>
      </c>
      <c r="K93" s="144" t="s">
        <v>534</v>
      </c>
      <c r="L93" s="144" t="s">
        <v>323</v>
      </c>
      <c r="M93" s="147"/>
      <c r="N93" s="145">
        <v>43808</v>
      </c>
      <c r="O93" s="143">
        <v>2019</v>
      </c>
      <c r="P93" s="144" t="s">
        <v>460</v>
      </c>
      <c r="Q93" s="144" t="s">
        <v>323</v>
      </c>
      <c r="R93" s="150">
        <v>44012</v>
      </c>
      <c r="S93" s="150">
        <f>IF(Tabla4[[#This Row],[FECHA DE ACEPTACION DEL GRUP. INV.]]="","",DATE(YEAR(Tabla4[[#This Row],[FECHA DE ACEPTACION DEL GRUP. INV.]])+2,MONTH(Tabla4[[#This Row],[FECHA DE ACEPTACION DEL GRUP. INV.]]),DAY(Tabla4[[#This Row],[FECHA DE ACEPTACION DEL GRUP. INV.]])))</f>
        <v>44742</v>
      </c>
      <c r="T93" s="150" t="str">
        <f ca="1">IF(Tabla4[[#This Row],[FECHA DE ACEPTACION DEL GRUP. INV.]]="","",IF(Tabla4[[#This Row],[FECHA DE VENCIMIENTO ANTE PROYECTO]]&lt;TODAY(),"SÍ","NO"))</f>
        <v>SÍ</v>
      </c>
      <c r="U93" s="150"/>
      <c r="V93" s="150"/>
      <c r="W93" s="144" t="s">
        <v>233</v>
      </c>
      <c r="X93" s="144"/>
      <c r="Y93" s="145"/>
      <c r="Z93" s="146"/>
      <c r="AA93" s="145">
        <v>44701</v>
      </c>
      <c r="AB93" s="146">
        <v>141</v>
      </c>
      <c r="AC93" s="98" t="s">
        <v>79</v>
      </c>
      <c r="AD93" s="144"/>
      <c r="AE93" s="150"/>
      <c r="AF93" s="150"/>
      <c r="AG93" s="171"/>
      <c r="AH93" s="171"/>
      <c r="AI93" s="171" t="s">
        <v>58</v>
      </c>
      <c r="AJ93" s="170">
        <f>IFERROR(VLOOKUP(AI93,Listas!K:L,2,0),"")</f>
        <v>0.8</v>
      </c>
      <c r="AK93" s="21">
        <f>IFERROR(VLOOKUP(AJ93,Listas!L:M,2,0),"")</f>
        <v>40</v>
      </c>
      <c r="AL93" s="145">
        <v>44771</v>
      </c>
      <c r="AM93" s="144" t="s">
        <v>535</v>
      </c>
      <c r="AN93" s="145">
        <v>44763</v>
      </c>
      <c r="AO93" s="144" t="s">
        <v>271</v>
      </c>
      <c r="AP93" s="145">
        <v>44767</v>
      </c>
      <c r="AQ93" s="145">
        <v>44785</v>
      </c>
      <c r="AR93" s="142">
        <v>50</v>
      </c>
      <c r="AS93" s="142">
        <v>50</v>
      </c>
      <c r="AT93" s="144" t="s">
        <v>41</v>
      </c>
      <c r="AU93" s="144" t="s">
        <v>222</v>
      </c>
      <c r="AV93" s="145">
        <v>44767</v>
      </c>
      <c r="AW93" s="145">
        <v>44785</v>
      </c>
      <c r="AX93" s="142">
        <v>50</v>
      </c>
      <c r="AY93" s="142">
        <v>50</v>
      </c>
      <c r="AZ93" s="144" t="s">
        <v>41</v>
      </c>
      <c r="BA93" s="145">
        <v>44785</v>
      </c>
      <c r="BB93" s="142">
        <f>IFERROR(ROUND(AVERAGE(AY93,AX93,AS93,AR93),0),"")</f>
        <v>50</v>
      </c>
      <c r="BC93" s="232">
        <f t="shared" si="10"/>
        <v>9.9999999999999982</v>
      </c>
      <c r="BD93" s="185">
        <f t="shared" si="9"/>
        <v>50</v>
      </c>
      <c r="BE93" s="147"/>
      <c r="BF93" s="147"/>
      <c r="BG93" s="293" t="str">
        <f t="shared" ref="BG93:BG135" si="11">IF(OR(H93="A",$H93="D",$H93="P",$H93="V"),L93,"")</f>
        <v/>
      </c>
    </row>
    <row r="94" spans="1:59" s="339" customFormat="1" ht="45" hidden="1">
      <c r="A94" s="21">
        <v>20192495007</v>
      </c>
      <c r="B94" s="19" t="str">
        <f>VLOOKUP(A94,'Datos Personales'!A:M,2,FALSE)</f>
        <v>HERNANDEZ RODRIGUEZ JORGE EDUARDO</v>
      </c>
      <c r="C94" s="19">
        <f>VLOOKUP(A94,'ESTADOS ESTUDIANTES'!B:L,11,0)</f>
        <v>1013673538</v>
      </c>
      <c r="D94" s="19">
        <f>VLOOKUP(A94,'Datos Personales'!$A:$M,3,FALSE)</f>
        <v>495</v>
      </c>
      <c r="E94" s="19" t="str">
        <f>VLOOKUP(Tabla4[[#This Row],[ENFASIS]],Listas!$R$2:$S$8,2,0)</f>
        <v>ENFASIS EN ING. SOFT</v>
      </c>
      <c r="F94" s="19" t="str">
        <f>VLOOKUP(A94,'Datos Personales'!A:M,8,0)</f>
        <v>hrjorgee@udistrital.edu.co</v>
      </c>
      <c r="G94" s="19" t="str">
        <f>VLOOKUP(A94,'Datos Personales'!A:M,9,0)</f>
        <v>jehernandezrodriguez@gmail.com</v>
      </c>
      <c r="H94" s="19" t="str">
        <f>VLOOKUP(A94,'Datos Personales'!A:M,5,FALSE)</f>
        <v>E</v>
      </c>
      <c r="I94" s="19" t="str">
        <f>VLOOKUP(Tabla4[[#This Row],[CODIGO]],'ESTADOS ESTUDIANTES'!B:M,12,0)</f>
        <v>2022-3</v>
      </c>
      <c r="J94" s="18" t="s">
        <v>60</v>
      </c>
      <c r="K94" s="18" t="s">
        <v>536</v>
      </c>
      <c r="L94" s="18" t="s">
        <v>312</v>
      </c>
      <c r="M94" s="23"/>
      <c r="N94" s="96">
        <v>43804</v>
      </c>
      <c r="O94" s="19">
        <v>2019</v>
      </c>
      <c r="P94" s="18" t="s">
        <v>537</v>
      </c>
      <c r="Q94" s="18" t="s">
        <v>312</v>
      </c>
      <c r="R94" s="124">
        <v>44012</v>
      </c>
      <c r="S94" s="124">
        <f>IF(Tabla4[[#This Row],[FECHA DE ACEPTACION DEL GRUP. INV.]]="","",DATE(YEAR(Tabla4[[#This Row],[FECHA DE ACEPTACION DEL GRUP. INV.]])+2,MONTH(Tabla4[[#This Row],[FECHA DE ACEPTACION DEL GRUP. INV.]]),DAY(Tabla4[[#This Row],[FECHA DE ACEPTACION DEL GRUP. INV.]])))</f>
        <v>44742</v>
      </c>
      <c r="T94" s="124" t="str">
        <f ca="1">IF(Tabla4[[#This Row],[FECHA DE ACEPTACION DEL GRUP. INV.]]="","",IF(Tabla4[[#This Row],[FECHA DE VENCIMIENTO ANTE PROYECTO]]&lt;TODAY(),"SÍ","NO"))</f>
        <v>SÍ</v>
      </c>
      <c r="U94" s="124"/>
      <c r="V94" s="124"/>
      <c r="W94" s="18" t="s">
        <v>233</v>
      </c>
      <c r="X94" s="18"/>
      <c r="Y94" s="18" t="s">
        <v>538</v>
      </c>
      <c r="Z94" s="97">
        <v>61.68</v>
      </c>
      <c r="AA94" s="96">
        <v>44344</v>
      </c>
      <c r="AB94" s="97">
        <v>80.87</v>
      </c>
      <c r="AC94" s="98" t="s">
        <v>79</v>
      </c>
      <c r="AD94" s="18" t="s">
        <v>539</v>
      </c>
      <c r="AE94" s="96">
        <v>44806</v>
      </c>
      <c r="AF94" s="96"/>
      <c r="AG94" s="171"/>
      <c r="AH94" s="171"/>
      <c r="AI94" s="171" t="s">
        <v>58</v>
      </c>
      <c r="AJ94" s="170">
        <f>IFERROR(VLOOKUP(AI94,Listas!K:L,2,0),"")</f>
        <v>0.8</v>
      </c>
      <c r="AK94" s="21">
        <f>IFERROR(VLOOKUP(AJ94,Listas!L:M,2,0),"")</f>
        <v>40</v>
      </c>
      <c r="AL94" s="96">
        <v>44798</v>
      </c>
      <c r="AM94" s="18" t="s">
        <v>539</v>
      </c>
      <c r="AN94" s="96">
        <v>44806</v>
      </c>
      <c r="AO94" s="18" t="s">
        <v>303</v>
      </c>
      <c r="AP94" s="96">
        <v>44809</v>
      </c>
      <c r="AQ94" s="96">
        <v>44847</v>
      </c>
      <c r="AR94" s="21">
        <v>48</v>
      </c>
      <c r="AS94" s="21">
        <v>47</v>
      </c>
      <c r="AT94" s="18" t="s">
        <v>41</v>
      </c>
      <c r="AU94" s="18" t="s">
        <v>335</v>
      </c>
      <c r="AV94" s="96">
        <v>44809</v>
      </c>
      <c r="AW94" s="96">
        <v>44847</v>
      </c>
      <c r="AX94" s="21">
        <v>41</v>
      </c>
      <c r="AY94" s="21">
        <v>50</v>
      </c>
      <c r="AZ94" s="18" t="s">
        <v>55</v>
      </c>
      <c r="BA94" s="96">
        <v>44847</v>
      </c>
      <c r="BB94" s="21">
        <f>IFERROR(ROUND(AVERAGE(AY94,AX94,AS94,AR94),0),"")</f>
        <v>47</v>
      </c>
      <c r="BC94" s="232">
        <f t="shared" si="10"/>
        <v>9.3999999999999986</v>
      </c>
      <c r="BD94" s="185">
        <f t="shared" si="9"/>
        <v>49.4</v>
      </c>
      <c r="BE94" s="23"/>
      <c r="BF94" s="18" t="s">
        <v>240</v>
      </c>
      <c r="BG94" s="255" t="str">
        <f t="shared" si="11"/>
        <v/>
      </c>
    </row>
    <row r="95" spans="1:59" ht="15" hidden="1">
      <c r="A95" s="21">
        <v>20192495008</v>
      </c>
      <c r="B95" s="19" t="str">
        <f>VLOOKUP(A95,'Datos Personales'!A:M,2,FALSE)</f>
        <v>CRUZ CONTRERAS LUIS ARMANDO</v>
      </c>
      <c r="C95" s="19">
        <f>VLOOKUP(A95,'ESTADOS ESTUDIANTES'!B:L,11,0)</f>
        <v>1032449331</v>
      </c>
      <c r="D95" s="19">
        <f>VLOOKUP(A95,'Datos Personales'!$A:$M,3,FALSE)</f>
        <v>495</v>
      </c>
      <c r="E95" s="19" t="str">
        <f>VLOOKUP(Tabla4[[#This Row],[ENFASIS]],Listas!$R$2:$S$8,2,0)</f>
        <v>ENFASIS EN ING. SOFT</v>
      </c>
      <c r="F95" s="19" t="str">
        <f>VLOOKUP(A95,'Datos Personales'!A:M,8,0)</f>
        <v>ccluisa@correo.udistrital.edu.co</v>
      </c>
      <c r="G95" s="19" t="str">
        <f>VLOOKUP(A95,'Datos Personales'!A:M,9,0)</f>
        <v>cruzco2009@hotmail.com</v>
      </c>
      <c r="H95" s="19" t="str">
        <f>VLOOKUP(A95,'Datos Personales'!A:M,5,FALSE)</f>
        <v>X</v>
      </c>
      <c r="I95" s="19" t="str">
        <f>VLOOKUP(Tabla4[[#This Row],[CODIGO]],'ESTADOS ESTUDIANTES'!B:M,12,0)</f>
        <v>2019-3</v>
      </c>
      <c r="J95" s="23"/>
      <c r="K95" s="22"/>
      <c r="L95" s="22"/>
      <c r="M95" s="22"/>
      <c r="N95" s="265"/>
      <c r="O95" s="22"/>
      <c r="P95" s="22"/>
      <c r="Q95" s="22"/>
      <c r="R95" s="266"/>
      <c r="S95" s="266" t="str">
        <f>IF(Tabla4[[#This Row],[FECHA DE ACEPTACION DEL GRUP. INV.]]="","",DATE(YEAR(Tabla4[[#This Row],[FECHA DE ACEPTACION DEL GRUP. INV.]])+2,MONTH(Tabla4[[#This Row],[FECHA DE ACEPTACION DEL GRUP. INV.]]),DAY(Tabla4[[#This Row],[FECHA DE ACEPTACION DEL GRUP. INV.]])))</f>
        <v/>
      </c>
      <c r="T95" s="266" t="str">
        <f ca="1">IF(Tabla4[[#This Row],[FECHA DE ACEPTACION DEL GRUP. INV.]]="","",IF(Tabla4[[#This Row],[FECHA DE VENCIMIENTO ANTE PROYECTO]]&lt;TODAY(),"SÍ","NO"))</f>
        <v/>
      </c>
      <c r="U95" s="266"/>
      <c r="V95" s="266"/>
      <c r="W95" s="266"/>
      <c r="X95" s="266"/>
      <c r="Y95" s="96"/>
      <c r="Z95" s="97"/>
      <c r="AA95" s="96"/>
      <c r="AB95" s="97"/>
      <c r="AC95" s="110"/>
      <c r="AD95" s="267"/>
      <c r="AE95" s="266"/>
      <c r="AF95" s="266"/>
      <c r="AG95" s="169"/>
      <c r="AH95" s="169"/>
      <c r="AI95" s="169"/>
      <c r="AJ95" s="170" t="str">
        <f>IFERROR(VLOOKUP(AI95,Listas!K:L,2,0),"")</f>
        <v/>
      </c>
      <c r="AK95" s="21" t="str">
        <f>IFERROR(VLOOKUP(AJ95,Listas!L:M,2,0),"")</f>
        <v/>
      </c>
      <c r="AL95" s="265"/>
      <c r="AM95" s="22"/>
      <c r="AN95" s="265"/>
      <c r="AO95" s="22"/>
      <c r="AP95" s="265"/>
      <c r="AQ95" s="265"/>
      <c r="AR95" s="21"/>
      <c r="AS95" s="21"/>
      <c r="AT95" s="22"/>
      <c r="AU95" s="22"/>
      <c r="AV95" s="265"/>
      <c r="AW95" s="265"/>
      <c r="AX95" s="21"/>
      <c r="AY95" s="21"/>
      <c r="AZ95" s="22"/>
      <c r="BA95" s="265"/>
      <c r="BB95" s="18" t="str">
        <f>IFERROR(ROUND(AVERAGE(AY95,AX95,AS95,AR95),0),"")</f>
        <v/>
      </c>
      <c r="BC95" s="232" t="e">
        <f t="shared" si="10"/>
        <v>#VALUE!</v>
      </c>
      <c r="BD95" s="185" t="e">
        <f t="shared" si="9"/>
        <v>#VALUE!</v>
      </c>
      <c r="BE95" s="22"/>
      <c r="BF95" s="22"/>
      <c r="BG95" s="293" t="str">
        <f t="shared" si="11"/>
        <v/>
      </c>
    </row>
    <row r="96" spans="1:59" s="339" customFormat="1" ht="45" hidden="1">
      <c r="A96" s="187">
        <v>20192495009</v>
      </c>
      <c r="B96" s="188" t="str">
        <f>VLOOKUP(A96,'Datos Personales'!A:M,2,FALSE)</f>
        <v>ARAGÓN MORALES OSCAR MAURICIO</v>
      </c>
      <c r="C96" s="188">
        <f>VLOOKUP(A96,'ESTADOS ESTUDIANTES'!B:L,11,0)</f>
        <v>1031148268</v>
      </c>
      <c r="D96" s="188">
        <f>VLOOKUP(A96,'Datos Personales'!$A:$M,3,FALSE)</f>
        <v>495</v>
      </c>
      <c r="E96" s="188" t="str">
        <f>VLOOKUP(Tabla4[[#This Row],[ENFASIS]],Listas!$R$2:$S$8,2,0)</f>
        <v>ENFASIS EN ING. SOFT</v>
      </c>
      <c r="F96" s="188" t="str">
        <f>VLOOKUP(A96,'Datos Personales'!A:M,8,0)</f>
        <v>amoscarm@udistrital.edu.co</v>
      </c>
      <c r="G96" s="188" t="str">
        <f>VLOOKUP(A96,'Datos Personales'!A:M,9,0)</f>
        <v>osaragonm@gmail.com</v>
      </c>
      <c r="H96" s="188" t="str">
        <f>VLOOKUP(A96,'Datos Personales'!A:M,5,FALSE)</f>
        <v>X</v>
      </c>
      <c r="I96" s="188" t="str">
        <f>VLOOKUP(Tabla4[[#This Row],[CODIGO]],'ESTADOS ESTUDIANTES'!B:M,12,0)</f>
        <v>2025-3</v>
      </c>
      <c r="J96" s="171" t="s">
        <v>60</v>
      </c>
      <c r="K96" s="171" t="s">
        <v>540</v>
      </c>
      <c r="L96" s="171" t="s">
        <v>309</v>
      </c>
      <c r="M96" s="169"/>
      <c r="N96" s="189">
        <v>43810</v>
      </c>
      <c r="O96" s="188">
        <v>2019</v>
      </c>
      <c r="P96" s="171" t="s">
        <v>131</v>
      </c>
      <c r="Q96" s="171" t="s">
        <v>309</v>
      </c>
      <c r="R96" s="190">
        <v>44012</v>
      </c>
      <c r="S96" s="190">
        <f>IF(Tabla4[[#This Row],[FECHA DE ACEPTACION DEL GRUP. INV.]]="","",DATE(YEAR(Tabla4[[#This Row],[FECHA DE ACEPTACION DEL GRUP. INV.]])+2,MONTH(Tabla4[[#This Row],[FECHA DE ACEPTACION DEL GRUP. INV.]]),DAY(Tabla4[[#This Row],[FECHA DE ACEPTACION DEL GRUP. INV.]])))</f>
        <v>44742</v>
      </c>
      <c r="T96" s="190" t="str">
        <f ca="1">IF(Tabla4[[#This Row],[FECHA DE ACEPTACION DEL GRUP. INV.]]="","",IF(Tabla4[[#This Row],[FECHA DE VENCIMIENTO ANTE PROYECTO]]&lt;TODAY(),"SÍ","NO"))</f>
        <v>SÍ</v>
      </c>
      <c r="U96" s="237" t="s">
        <v>62</v>
      </c>
      <c r="V96" s="237"/>
      <c r="W96" s="171" t="s">
        <v>233</v>
      </c>
      <c r="X96" s="171"/>
      <c r="Y96" s="189">
        <v>43964</v>
      </c>
      <c r="Z96" s="191">
        <v>82.61</v>
      </c>
      <c r="AA96" s="189">
        <v>45323</v>
      </c>
      <c r="AB96" s="191">
        <v>127</v>
      </c>
      <c r="AC96" s="98" t="s">
        <v>79</v>
      </c>
      <c r="AD96" s="171"/>
      <c r="AE96" s="190"/>
      <c r="AF96" s="190"/>
      <c r="AG96" s="171"/>
      <c r="AH96" s="171"/>
      <c r="AI96" s="171"/>
      <c r="AJ96" s="170" t="str">
        <f>IFERROR(VLOOKUP(AI96,Listas!K:L,2,0),"")</f>
        <v/>
      </c>
      <c r="AK96" s="21" t="str">
        <f>IFERROR(VLOOKUP(AJ96,Listas!L:M,2,0),"")</f>
        <v/>
      </c>
      <c r="AL96" s="189"/>
      <c r="AM96" s="169"/>
      <c r="AN96" s="189"/>
      <c r="AO96" s="169"/>
      <c r="AP96" s="189"/>
      <c r="AQ96" s="189"/>
      <c r="AR96" s="187"/>
      <c r="AS96" s="187"/>
      <c r="AT96" s="169"/>
      <c r="AU96" s="169"/>
      <c r="AV96" s="189"/>
      <c r="AW96" s="189"/>
      <c r="AX96" s="187"/>
      <c r="AY96" s="187"/>
      <c r="AZ96" s="169"/>
      <c r="BA96" s="189"/>
      <c r="BB96" s="187" t="str">
        <f>IFERROR(AVERAGE(AR96,AS96,AX96,AY96),"")</f>
        <v/>
      </c>
      <c r="BC96" s="187" t="e">
        <f t="shared" si="10"/>
        <v>#VALUE!</v>
      </c>
      <c r="BD96" s="187" t="e">
        <f t="shared" ref="BD96:BD127" si="12">SUM(BC96,AK96)</f>
        <v>#VALUE!</v>
      </c>
      <c r="BE96" s="169"/>
      <c r="BF96" s="169"/>
      <c r="BG96" s="234" t="str">
        <f t="shared" si="11"/>
        <v/>
      </c>
    </row>
    <row r="97" spans="1:59" s="339" customFormat="1" ht="15" hidden="1">
      <c r="A97" s="21">
        <v>20192495010</v>
      </c>
      <c r="B97" s="19" t="str">
        <f>VLOOKUP(A97,'Datos Personales'!A:M,2,FALSE)</f>
        <v>SIERRA FORERO STEVEN</v>
      </c>
      <c r="C97" s="19">
        <f>VLOOKUP(A97,'ESTADOS ESTUDIANTES'!B:L,11,0)</f>
        <v>1016011460</v>
      </c>
      <c r="D97" s="19">
        <f>VLOOKUP(A97,'Datos Personales'!$A:$M,3,FALSE)</f>
        <v>495</v>
      </c>
      <c r="E97" s="19" t="str">
        <f>VLOOKUP(Tabla4[[#This Row],[ENFASIS]],Listas!$R$2:$S$8,2,0)</f>
        <v>ENFASIS EN ING. SOFT</v>
      </c>
      <c r="F97" s="19" t="str">
        <f>VLOOKUP(A97,'Datos Personales'!A:M,8,0)</f>
        <v>sforeros@correo.udistrital.edu.co</v>
      </c>
      <c r="G97" s="19" t="str">
        <f>VLOOKUP(A97,'Datos Personales'!A:M,9,0)</f>
        <v>ingenieria.sierra@gmail.com</v>
      </c>
      <c r="H97" s="19" t="str">
        <f>VLOOKUP(A97,'Datos Personales'!A:M,5,FALSE)</f>
        <v>X</v>
      </c>
      <c r="I97" s="19" t="str">
        <f>VLOOKUP(Tabla4[[#This Row],[CODIGO]],'ESTADOS ESTUDIANTES'!B:M,12,0)</f>
        <v>2019-3</v>
      </c>
      <c r="J97" s="18" t="s">
        <v>60</v>
      </c>
      <c r="K97" s="22"/>
      <c r="L97" s="22"/>
      <c r="M97" s="22"/>
      <c r="N97" s="265"/>
      <c r="O97" s="22"/>
      <c r="P97" s="22"/>
      <c r="Q97" s="22"/>
      <c r="R97" s="266"/>
      <c r="S97" s="266" t="str">
        <f>IF(Tabla4[[#This Row],[FECHA DE ACEPTACION DEL GRUP. INV.]]="","",DATE(YEAR(Tabla4[[#This Row],[FECHA DE ACEPTACION DEL GRUP. INV.]])+2,MONTH(Tabla4[[#This Row],[FECHA DE ACEPTACION DEL GRUP. INV.]]),DAY(Tabla4[[#This Row],[FECHA DE ACEPTACION DEL GRUP. INV.]])))</f>
        <v/>
      </c>
      <c r="T97" s="266" t="str">
        <f ca="1">IF(Tabla4[[#This Row],[FECHA DE ACEPTACION DEL GRUP. INV.]]="","",IF(Tabla4[[#This Row],[FECHA DE VENCIMIENTO ANTE PROYECTO]]&lt;TODAY(),"SÍ","NO"))</f>
        <v/>
      </c>
      <c r="U97" s="266"/>
      <c r="V97" s="266"/>
      <c r="W97" s="266"/>
      <c r="X97" s="266"/>
      <c r="Y97" s="96"/>
      <c r="Z97" s="97"/>
      <c r="AA97" s="96"/>
      <c r="AB97" s="97"/>
      <c r="AC97" s="110"/>
      <c r="AD97" s="267"/>
      <c r="AE97" s="266"/>
      <c r="AF97" s="266"/>
      <c r="AG97" s="494"/>
      <c r="AH97" s="169"/>
      <c r="AI97" s="169"/>
      <c r="AJ97" s="170" t="str">
        <f>IFERROR(VLOOKUP(AI97,Listas!K:L,2,0),"")</f>
        <v/>
      </c>
      <c r="AK97" s="21" t="str">
        <f>IFERROR(VLOOKUP(AJ97,Listas!L:M,2,0),"")</f>
        <v/>
      </c>
      <c r="AL97" s="265"/>
      <c r="AM97" s="22"/>
      <c r="AN97" s="265"/>
      <c r="AO97" s="22"/>
      <c r="AP97" s="265"/>
      <c r="AQ97" s="265"/>
      <c r="AR97" s="21"/>
      <c r="AS97" s="21"/>
      <c r="AT97" s="22"/>
      <c r="AU97" s="22"/>
      <c r="AV97" s="265"/>
      <c r="AW97" s="265"/>
      <c r="AX97" s="21"/>
      <c r="AY97" s="21"/>
      <c r="AZ97" s="22"/>
      <c r="BA97" s="265"/>
      <c r="BB97" s="18" t="str">
        <f>IFERROR(ROUND(AVERAGE(AY97,AX97,AS97,AR97),0),"")</f>
        <v/>
      </c>
      <c r="BC97" s="232" t="e">
        <f t="shared" si="10"/>
        <v>#VALUE!</v>
      </c>
      <c r="BD97" s="185" t="e">
        <f t="shared" si="12"/>
        <v>#VALUE!</v>
      </c>
      <c r="BE97" s="22"/>
      <c r="BF97" s="22"/>
      <c r="BG97" s="293" t="str">
        <f t="shared" si="11"/>
        <v/>
      </c>
    </row>
    <row r="98" spans="1:59" s="339" customFormat="1" ht="45" hidden="1">
      <c r="A98" s="187">
        <v>20192495011</v>
      </c>
      <c r="B98" s="188" t="str">
        <f>VLOOKUP(A98,'Datos Personales'!A:M,2,FALSE)</f>
        <v>MARTIN VEGA DANIELA</v>
      </c>
      <c r="C98" s="188">
        <f>VLOOKUP(A98,'ESTADOS ESTUDIANTES'!B:L,11,0)</f>
        <v>1018465807</v>
      </c>
      <c r="D98" s="188">
        <f>VLOOKUP(A98,'Datos Personales'!$A:$M,3,FALSE)</f>
        <v>495</v>
      </c>
      <c r="E98" s="188" t="str">
        <f>VLOOKUP(Tabla4[[#This Row],[ENFASIS]],Listas!$R$2:$S$8,2,0)</f>
        <v>ENFASIS EN ING. SOFT</v>
      </c>
      <c r="F98" s="188" t="str">
        <f>VLOOKUP(A98,'Datos Personales'!A:M,8,0)</f>
        <v>dmartinv@udistrital.edu.co</v>
      </c>
      <c r="G98" s="188" t="str">
        <f>VLOOKUP(A98,'Datos Personales'!A:M,9,0)</f>
        <v>dmartinvega@gmail.com</v>
      </c>
      <c r="H98" s="188" t="str">
        <f>VLOOKUP(A98,'Datos Personales'!A:M,5,FALSE)</f>
        <v>E</v>
      </c>
      <c r="I98" s="188" t="str">
        <f>VLOOKUP(Tabla4[[#This Row],[CODIGO]],'ESTADOS ESTUDIANTES'!B:M,12,0)</f>
        <v>2023-3</v>
      </c>
      <c r="J98" s="171" t="s">
        <v>60</v>
      </c>
      <c r="K98" s="171" t="s">
        <v>541</v>
      </c>
      <c r="L98" s="171" t="s">
        <v>309</v>
      </c>
      <c r="M98" s="169"/>
      <c r="N98" s="189">
        <v>43810</v>
      </c>
      <c r="O98" s="188">
        <v>2019</v>
      </c>
      <c r="P98" s="171" t="s">
        <v>131</v>
      </c>
      <c r="Q98" s="171" t="s">
        <v>309</v>
      </c>
      <c r="R98" s="190">
        <v>44012</v>
      </c>
      <c r="S98" s="190">
        <f>IF(Tabla4[[#This Row],[FECHA DE ACEPTACION DEL GRUP. INV.]]="","",DATE(YEAR(Tabla4[[#This Row],[FECHA DE ACEPTACION DEL GRUP. INV.]])+2,MONTH(Tabla4[[#This Row],[FECHA DE ACEPTACION DEL GRUP. INV.]]),DAY(Tabla4[[#This Row],[FECHA DE ACEPTACION DEL GRUP. INV.]])))</f>
        <v>44742</v>
      </c>
      <c r="T98" s="190" t="str">
        <f ca="1">IF(Tabla4[[#This Row],[FECHA DE ACEPTACION DEL GRUP. INV.]]="","",IF(Tabla4[[#This Row],[FECHA DE VENCIMIENTO ANTE PROYECTO]]&lt;TODAY(),"SÍ","NO"))</f>
        <v>SÍ</v>
      </c>
      <c r="U98" s="190"/>
      <c r="V98" s="190"/>
      <c r="W98" s="171" t="s">
        <v>233</v>
      </c>
      <c r="X98" s="171"/>
      <c r="Y98" s="189">
        <v>43964</v>
      </c>
      <c r="Z98" s="191">
        <v>94.78</v>
      </c>
      <c r="AA98" s="189">
        <v>44887</v>
      </c>
      <c r="AB98" s="191">
        <v>155</v>
      </c>
      <c r="AC98" s="98" t="s">
        <v>68</v>
      </c>
      <c r="AD98" s="171" t="s">
        <v>542</v>
      </c>
      <c r="AE98" s="190">
        <v>44839</v>
      </c>
      <c r="AF98" s="190" t="s">
        <v>543</v>
      </c>
      <c r="AG98" s="171" t="s">
        <v>544</v>
      </c>
      <c r="AH98" s="171" t="s">
        <v>280</v>
      </c>
      <c r="AI98" s="171" t="s">
        <v>99</v>
      </c>
      <c r="AJ98" s="170">
        <f>IFERROR(VLOOKUP(AI98,Listas!K:L,2,0),"")</f>
        <v>0.2</v>
      </c>
      <c r="AK98" s="21">
        <f>IFERROR(VLOOKUP(AJ98,Listas!L:M,2,0),"")</f>
        <v>10</v>
      </c>
      <c r="AL98" s="189">
        <v>45203</v>
      </c>
      <c r="AM98" s="169" t="s">
        <v>545</v>
      </c>
      <c r="AN98" s="189">
        <v>45222</v>
      </c>
      <c r="AO98" s="169" t="s">
        <v>452</v>
      </c>
      <c r="AP98" s="189">
        <v>45222</v>
      </c>
      <c r="AQ98" s="189">
        <v>45247</v>
      </c>
      <c r="AR98" s="187">
        <v>50</v>
      </c>
      <c r="AS98" s="187">
        <v>50</v>
      </c>
      <c r="AT98" s="169" t="s">
        <v>41</v>
      </c>
      <c r="AU98" s="169" t="s">
        <v>546</v>
      </c>
      <c r="AV98" s="189">
        <v>45222</v>
      </c>
      <c r="AW98" s="189">
        <v>45247</v>
      </c>
      <c r="AX98" s="187">
        <v>50</v>
      </c>
      <c r="AY98" s="187">
        <v>50</v>
      </c>
      <c r="AZ98" s="169" t="s">
        <v>41</v>
      </c>
      <c r="BA98" s="189">
        <v>45247</v>
      </c>
      <c r="BB98" s="232">
        <f>IFERROR(AVERAGE(AR98,AS98,AX98,AY96),"")</f>
        <v>50</v>
      </c>
      <c r="BC98" s="232">
        <f t="shared" si="10"/>
        <v>40</v>
      </c>
      <c r="BD98" s="232">
        <f t="shared" si="12"/>
        <v>50</v>
      </c>
      <c r="BE98" s="169"/>
      <c r="BF98" s="169"/>
      <c r="BG98" s="234" t="str">
        <f t="shared" si="11"/>
        <v/>
      </c>
    </row>
    <row r="99" spans="1:59" s="339" customFormat="1" ht="60" hidden="1">
      <c r="A99" s="187">
        <v>20192495013</v>
      </c>
      <c r="B99" s="188" t="str">
        <f>VLOOKUP(A99,'Datos Personales'!A:M,2,FALSE)</f>
        <v>IDROBO LOPEZ OSCAR JAVIER</v>
      </c>
      <c r="C99" s="188">
        <f>VLOOKUP(A99,'ESTADOS ESTUDIANTES'!B:L,11,0)</f>
        <v>1022386417</v>
      </c>
      <c r="D99" s="188">
        <f>VLOOKUP(A99,'Datos Personales'!$A:$M,3,FALSE)</f>
        <v>495</v>
      </c>
      <c r="E99" s="188" t="str">
        <f>VLOOKUP(Tabla4[[#This Row],[ENFASIS]],Listas!$R$2:$S$8,2,0)</f>
        <v>ENFASIS EN ING. SOFT</v>
      </c>
      <c r="F99" s="188" t="str">
        <f>VLOOKUP(A99,'Datos Personales'!A:M,8,0)</f>
        <v>ojidrobol@udistrital.edu.co</v>
      </c>
      <c r="G99" s="188" t="str">
        <f>VLOOKUP(A99,'Datos Personales'!A:M,9,0)</f>
        <v>oscaridrobolopez@hotmail.com</v>
      </c>
      <c r="H99" s="188" t="str">
        <f>VLOOKUP(A99,'Datos Personales'!A:M,5,FALSE)</f>
        <v>E</v>
      </c>
      <c r="I99" s="188" t="str">
        <f>VLOOKUP(Tabla4[[#This Row],[CODIGO]],'ESTADOS ESTUDIANTES'!B:M,12,0)</f>
        <v>2025-3</v>
      </c>
      <c r="J99" s="171" t="s">
        <v>60</v>
      </c>
      <c r="K99" s="171" t="s">
        <v>547</v>
      </c>
      <c r="L99" s="171" t="s">
        <v>474</v>
      </c>
      <c r="M99" s="169"/>
      <c r="N99" s="189">
        <v>43810</v>
      </c>
      <c r="O99" s="188">
        <v>2019</v>
      </c>
      <c r="P99" s="171" t="s">
        <v>134</v>
      </c>
      <c r="Q99" s="171" t="s">
        <v>248</v>
      </c>
      <c r="R99" s="190">
        <v>72024</v>
      </c>
      <c r="S99" s="190">
        <f>IF(Tabla4[[#This Row],[FECHA DE ACEPTACION DEL GRUP. INV.]]="","",DATE(YEAR(Tabla4[[#This Row],[FECHA DE ACEPTACION DEL GRUP. INV.]])+2,MONTH(Tabla4[[#This Row],[FECHA DE ACEPTACION DEL GRUP. INV.]]),DAY(Tabla4[[#This Row],[FECHA DE ACEPTACION DEL GRUP. INV.]])))</f>
        <v>72754</v>
      </c>
      <c r="T99" s="190" t="str">
        <f ca="1">IF(Tabla4[[#This Row],[FECHA DE ACEPTACION DEL GRUP. INV.]]="","",IF(Tabla4[[#This Row],[FECHA DE VENCIMIENTO ANTE PROYECTO]]&lt;TODAY(),"SÍ","NO"))</f>
        <v>NO</v>
      </c>
      <c r="U99" s="237" t="s">
        <v>48</v>
      </c>
      <c r="V99" s="237"/>
      <c r="W99" s="171" t="s">
        <v>371</v>
      </c>
      <c r="X99" s="171"/>
      <c r="Y99" s="189"/>
      <c r="Z99" s="191"/>
      <c r="AA99" s="241">
        <v>45870</v>
      </c>
      <c r="AB99" s="191">
        <v>108</v>
      </c>
      <c r="AC99" s="169" t="s">
        <v>79</v>
      </c>
      <c r="AD99" s="171" t="s">
        <v>405</v>
      </c>
      <c r="AE99" s="190">
        <v>45581</v>
      </c>
      <c r="AF99" s="190" t="s">
        <v>548</v>
      </c>
      <c r="AG99" s="171" t="s">
        <v>549</v>
      </c>
      <c r="AH99" s="169">
        <v>2024</v>
      </c>
      <c r="AI99" s="169" t="s">
        <v>99</v>
      </c>
      <c r="AJ99" s="193">
        <f>IFERROR(VLOOKUP(AI99,Listas!K:L,2,0),"")</f>
        <v>0.2</v>
      </c>
      <c r="AK99" s="187">
        <f>IFERROR(VLOOKUP(AJ99,Listas!L:M,2,0),"")</f>
        <v>10</v>
      </c>
      <c r="AL99" s="189">
        <v>45581</v>
      </c>
      <c r="AM99" s="169" t="s">
        <v>405</v>
      </c>
      <c r="AN99" s="189">
        <v>45581</v>
      </c>
      <c r="AO99" s="169" t="s">
        <v>337</v>
      </c>
      <c r="AP99" s="189"/>
      <c r="AQ99" s="189"/>
      <c r="AR99" s="187">
        <v>44</v>
      </c>
      <c r="AS99" s="187">
        <v>46</v>
      </c>
      <c r="AT99" s="169" t="s">
        <v>41</v>
      </c>
      <c r="AU99" s="169" t="s">
        <v>550</v>
      </c>
      <c r="AV99" s="189"/>
      <c r="AW99" s="189"/>
      <c r="AX99" s="187">
        <v>44</v>
      </c>
      <c r="AY99" s="187">
        <v>46</v>
      </c>
      <c r="AZ99" s="169" t="s">
        <v>41</v>
      </c>
      <c r="BA99" s="189">
        <v>45611</v>
      </c>
      <c r="BB99" s="187">
        <f>IFERROR(AVERAGE(AR99,AS99,AX99,AY99),"")</f>
        <v>45</v>
      </c>
      <c r="BC99" s="187">
        <f t="shared" si="10"/>
        <v>36</v>
      </c>
      <c r="BD99" s="187">
        <f t="shared" si="12"/>
        <v>46</v>
      </c>
      <c r="BE99" s="169"/>
      <c r="BF99" s="169"/>
      <c r="BG99" s="234" t="str">
        <f t="shared" si="11"/>
        <v/>
      </c>
    </row>
    <row r="100" spans="1:59" s="339" customFormat="1" ht="45" hidden="1">
      <c r="A100" s="21">
        <v>20192495014</v>
      </c>
      <c r="B100" s="19" t="str">
        <f>VLOOKUP(A100,'Datos Personales'!A:M,2,FALSE)</f>
        <v>ARIZA RIAÑO MADDYZETH</v>
      </c>
      <c r="C100" s="19">
        <f>VLOOKUP(A100,'ESTADOS ESTUDIANTES'!B:L,11,0)</f>
        <v>1023948001</v>
      </c>
      <c r="D100" s="19">
        <f>VLOOKUP(A100,'Datos Personales'!$A:$M,3,FALSE)</f>
        <v>495</v>
      </c>
      <c r="E100" s="19" t="str">
        <f>VLOOKUP(Tabla4[[#This Row],[ENFASIS]],Listas!$R$2:$S$8,2,0)</f>
        <v>ENFASIS EN ING. SOFT</v>
      </c>
      <c r="F100" s="19" t="str">
        <f>VLOOKUP(A100,'Datos Personales'!A:M,8,0)</f>
        <v>arianom@udistrital.edu.co</v>
      </c>
      <c r="G100" s="19" t="str">
        <f>VLOOKUP(A100,'Datos Personales'!A:M,9,0)</f>
        <v>maddyz182@gmail.com</v>
      </c>
      <c r="H100" s="19" t="str">
        <f>VLOOKUP(A100,'Datos Personales'!A:M,5,FALSE)</f>
        <v>E</v>
      </c>
      <c r="I100" s="19" t="str">
        <f>VLOOKUP(Tabla4[[#This Row],[CODIGO]],'ESTADOS ESTUDIANTES'!B:M,12,0)</f>
        <v>2022-3</v>
      </c>
      <c r="J100" s="18" t="s">
        <v>60</v>
      </c>
      <c r="K100" s="18" t="s">
        <v>551</v>
      </c>
      <c r="L100" s="18" t="s">
        <v>281</v>
      </c>
      <c r="M100" s="23"/>
      <c r="N100" s="96">
        <v>43810</v>
      </c>
      <c r="O100" s="19">
        <v>2019</v>
      </c>
      <c r="P100" s="18" t="s">
        <v>125</v>
      </c>
      <c r="Q100" s="18" t="s">
        <v>281</v>
      </c>
      <c r="R100" s="124">
        <v>44012</v>
      </c>
      <c r="S100" s="124">
        <f>IF(Tabla4[[#This Row],[FECHA DE ACEPTACION DEL GRUP. INV.]]="","",DATE(YEAR(Tabla4[[#This Row],[FECHA DE ACEPTACION DEL GRUP. INV.]])+2,MONTH(Tabla4[[#This Row],[FECHA DE ACEPTACION DEL GRUP. INV.]]),DAY(Tabla4[[#This Row],[FECHA DE ACEPTACION DEL GRUP. INV.]])))</f>
        <v>44742</v>
      </c>
      <c r="T100" s="124" t="str">
        <f ca="1">IF(Tabla4[[#This Row],[FECHA DE ACEPTACION DEL GRUP. INV.]]="","",IF(Tabla4[[#This Row],[FECHA DE VENCIMIENTO ANTE PROYECTO]]&lt;TODAY(),"SÍ","NO"))</f>
        <v>SÍ</v>
      </c>
      <c r="U100" s="124"/>
      <c r="V100" s="124"/>
      <c r="W100" s="18" t="s">
        <v>233</v>
      </c>
      <c r="X100" s="18"/>
      <c r="Y100" s="96"/>
      <c r="Z100" s="97"/>
      <c r="AA100" s="96">
        <v>44701</v>
      </c>
      <c r="AB100" s="97">
        <v>143</v>
      </c>
      <c r="AC100" s="98" t="s">
        <v>79</v>
      </c>
      <c r="AD100" s="18" t="s">
        <v>450</v>
      </c>
      <c r="AE100" s="124">
        <v>44692</v>
      </c>
      <c r="AF100" s="124"/>
      <c r="AG100" s="488" t="s">
        <v>552</v>
      </c>
      <c r="AH100" s="171"/>
      <c r="AI100" s="171" t="s">
        <v>58</v>
      </c>
      <c r="AJ100" s="170">
        <f>IFERROR(VLOOKUP(AI100,Listas!K:L,2,0),"")</f>
        <v>0.8</v>
      </c>
      <c r="AK100" s="21">
        <f>IFERROR(VLOOKUP(AJ100,Listas!L:M,2,0),"")</f>
        <v>40</v>
      </c>
      <c r="AL100" s="96">
        <v>44781</v>
      </c>
      <c r="AM100" s="18" t="s">
        <v>553</v>
      </c>
      <c r="AN100" s="96">
        <v>44783</v>
      </c>
      <c r="AO100" s="18" t="s">
        <v>220</v>
      </c>
      <c r="AP100" s="96">
        <v>44789</v>
      </c>
      <c r="AQ100" s="96">
        <v>44798</v>
      </c>
      <c r="AR100" s="21">
        <v>50</v>
      </c>
      <c r="AS100" s="21">
        <v>50</v>
      </c>
      <c r="AT100" s="18" t="s">
        <v>55</v>
      </c>
      <c r="AU100" s="18" t="s">
        <v>290</v>
      </c>
      <c r="AV100" s="96">
        <v>44789</v>
      </c>
      <c r="AW100" s="96">
        <v>44798</v>
      </c>
      <c r="AX100" s="21">
        <v>50</v>
      </c>
      <c r="AY100" s="21">
        <v>50</v>
      </c>
      <c r="AZ100" s="18" t="s">
        <v>55</v>
      </c>
      <c r="BA100" s="96">
        <v>44799</v>
      </c>
      <c r="BB100" s="21">
        <f>IFERROR(ROUND(AVERAGE(AY100,AX100,AS100,AR100),0),"")</f>
        <v>50</v>
      </c>
      <c r="BC100" s="232">
        <f t="shared" si="10"/>
        <v>9.9999999999999982</v>
      </c>
      <c r="BD100" s="185">
        <f t="shared" si="12"/>
        <v>50</v>
      </c>
      <c r="BE100" s="18" t="s">
        <v>48</v>
      </c>
      <c r="BF100" s="18" t="s">
        <v>48</v>
      </c>
      <c r="BG100" s="255" t="str">
        <f t="shared" si="11"/>
        <v/>
      </c>
    </row>
    <row r="101" spans="1:59" s="339" customFormat="1" ht="30" hidden="1">
      <c r="A101" s="21">
        <v>20201195001</v>
      </c>
      <c r="B101" s="19" t="str">
        <f>VLOOKUP(A101,'Datos Personales'!A:M,2,FALSE)</f>
        <v>CASANOVA VARGAS ÁLVARO ANDRÉS</v>
      </c>
      <c r="C101" s="19">
        <f>VLOOKUP(A101,'ESTADOS ESTUDIANTES'!B:L,11,0)</f>
        <v>1010210647</v>
      </c>
      <c r="D101" s="19">
        <f>VLOOKUP(A101,'Datos Personales'!$A:$M,3,FALSE)</f>
        <v>195</v>
      </c>
      <c r="E101" s="19" t="str">
        <f>VLOOKUP(Tabla4[[#This Row],[ENFASIS]],Listas!$R$2:$S$8,2,0)</f>
        <v>EN TELEINF.</v>
      </c>
      <c r="F101" s="19" t="str">
        <f>VLOOKUP(A101,'Datos Personales'!A:M,8,0)</f>
        <v>aacasanovav@correo.udistrital.edu.co</v>
      </c>
      <c r="G101" s="19" t="str">
        <f>VLOOKUP(A101,'Datos Personales'!A:M,9,0)</f>
        <v>andresscasanova@hotmail.com</v>
      </c>
      <c r="H101" s="19" t="str">
        <f>VLOOKUP(A101,'Datos Personales'!A:M,5,FALSE)</f>
        <v>X</v>
      </c>
      <c r="I101" s="19" t="str">
        <f>VLOOKUP(Tabla4[[#This Row],[CODIGO]],'ESTADOS ESTUDIANTES'!B:M,12,0)</f>
        <v>2020-1</v>
      </c>
      <c r="J101" s="18" t="s">
        <v>60</v>
      </c>
      <c r="K101" s="22"/>
      <c r="L101" s="22"/>
      <c r="M101" s="22"/>
      <c r="N101" s="265"/>
      <c r="O101" s="22"/>
      <c r="P101" s="22"/>
      <c r="Q101" s="22"/>
      <c r="R101" s="266"/>
      <c r="S101" s="266" t="str">
        <f>IF(Tabla4[[#This Row],[FECHA DE ACEPTACION DEL GRUP. INV.]]="","",DATE(YEAR(Tabla4[[#This Row],[FECHA DE ACEPTACION DEL GRUP. INV.]])+2,MONTH(Tabla4[[#This Row],[FECHA DE ACEPTACION DEL GRUP. INV.]]),DAY(Tabla4[[#This Row],[FECHA DE ACEPTACION DEL GRUP. INV.]])))</f>
        <v/>
      </c>
      <c r="T101" s="266" t="str">
        <f ca="1">IF(Tabla4[[#This Row],[FECHA DE ACEPTACION DEL GRUP. INV.]]="","",IF(Tabla4[[#This Row],[FECHA DE VENCIMIENTO ANTE PROYECTO]]&lt;TODAY(),"SÍ","NO"))</f>
        <v/>
      </c>
      <c r="U101" s="266"/>
      <c r="V101" s="266"/>
      <c r="W101" s="266"/>
      <c r="X101" s="266"/>
      <c r="Y101" s="96"/>
      <c r="Z101" s="97"/>
      <c r="AA101" s="96"/>
      <c r="AB101" s="97"/>
      <c r="AC101" s="110"/>
      <c r="AD101" s="267"/>
      <c r="AE101" s="266"/>
      <c r="AF101" s="266"/>
      <c r="AG101" s="169"/>
      <c r="AH101" s="169"/>
      <c r="AI101" s="169"/>
      <c r="AJ101" s="170" t="str">
        <f>IFERROR(VLOOKUP(AI101,Listas!K:L,2,0),"")</f>
        <v/>
      </c>
      <c r="AK101" s="21" t="str">
        <f>IFERROR(VLOOKUP(AJ101,Listas!L:M,2,0),"")</f>
        <v/>
      </c>
      <c r="AL101" s="265"/>
      <c r="AM101" s="22"/>
      <c r="AN101" s="265"/>
      <c r="AO101" s="22"/>
      <c r="AP101" s="265"/>
      <c r="AQ101" s="265"/>
      <c r="AR101" s="21"/>
      <c r="AS101" s="21"/>
      <c r="AT101" s="22"/>
      <c r="AU101" s="22"/>
      <c r="AV101" s="265"/>
      <c r="AW101" s="265"/>
      <c r="AX101" s="21"/>
      <c r="AY101" s="21"/>
      <c r="AZ101" s="22"/>
      <c r="BA101" s="265"/>
      <c r="BB101" s="18" t="str">
        <f>IFERROR(ROUND(AVERAGE(AY101,AX101,AS101,AR101),0),"")</f>
        <v/>
      </c>
      <c r="BC101" s="232" t="e">
        <f t="shared" si="10"/>
        <v>#VALUE!</v>
      </c>
      <c r="BD101" s="185" t="e">
        <f t="shared" si="12"/>
        <v>#VALUE!</v>
      </c>
      <c r="BE101" s="22"/>
      <c r="BF101" s="22"/>
      <c r="BG101" s="293" t="str">
        <f t="shared" si="11"/>
        <v/>
      </c>
    </row>
    <row r="102" spans="1:59" s="339" customFormat="1" ht="45" hidden="1">
      <c r="A102" s="662">
        <v>20201195002</v>
      </c>
      <c r="B102" s="659" t="str">
        <f>VLOOKUP(A102,'Datos Personales'!A:M,2,FALSE)</f>
        <v>GARZÓN BAUTISTA HARVEY ALEXANDER</v>
      </c>
      <c r="C102" s="659">
        <f>VLOOKUP(A102,'ESTADOS ESTUDIANTES'!B:L,11,0)</f>
        <v>80829526</v>
      </c>
      <c r="D102" s="659">
        <f>VLOOKUP(A102,'Datos Personales'!$A:$M,3,FALSE)</f>
        <v>195</v>
      </c>
      <c r="E102" s="659" t="str">
        <f>VLOOKUP(Tabla4[[#This Row],[ENFASIS]],Listas!$R$2:$S$8,2,0)</f>
        <v>EN TELEINF.</v>
      </c>
      <c r="F102" s="659" t="str">
        <f>VLOOKUP(A102,'Datos Personales'!A:M,8,0)</f>
        <v>haagarzonb@udistrital.edu.co</v>
      </c>
      <c r="G102" s="659" t="str">
        <f>VLOOKUP(A102,'Datos Personales'!A:M,9,0)</f>
        <v>bautista56@hotmail.com</v>
      </c>
      <c r="H102" s="659" t="str">
        <f>VLOOKUP(A102,'Datos Personales'!A:M,5,FALSE)</f>
        <v>A</v>
      </c>
      <c r="I102" s="659" t="str">
        <f>VLOOKUP(Tabla4[[#This Row],[CODIGO]],'ESTADOS ESTUDIANTES'!B:M,12,0)</f>
        <v>2026-3</v>
      </c>
      <c r="J102" s="651" t="s">
        <v>60</v>
      </c>
      <c r="K102" s="660" t="s">
        <v>554</v>
      </c>
      <c r="L102" s="651" t="s">
        <v>220</v>
      </c>
      <c r="M102" s="660"/>
      <c r="N102" s="658">
        <v>44910</v>
      </c>
      <c r="O102" s="660">
        <v>2022</v>
      </c>
      <c r="P102" s="660" t="s">
        <v>118</v>
      </c>
      <c r="Q102" s="660" t="s">
        <v>220</v>
      </c>
      <c r="R102" s="656">
        <v>45593</v>
      </c>
      <c r="S102" s="656">
        <f>IF(Tabla4[[#This Row],[FECHA DE ACEPTACION DEL GRUP. INV.]]="","",DATE(YEAR(Tabla4[[#This Row],[FECHA DE ACEPTACION DEL GRUP. INV.]])+2,MONTH(Tabla4[[#This Row],[FECHA DE ACEPTACION DEL GRUP. INV.]]),DAY(Tabla4[[#This Row],[FECHA DE ACEPTACION DEL GRUP. INV.]])))</f>
        <v>46323</v>
      </c>
      <c r="T102" s="656" t="str">
        <f ca="1">IF(Tabla4[[#This Row],[FECHA DE ACEPTACION DEL GRUP. INV.]]="","",IF(Tabla4[[#This Row],[FECHA DE VENCIMIENTO ANTE PROYECTO]]&lt;TODAY(),"SÍ","NO"))</f>
        <v>NO</v>
      </c>
      <c r="U102" s="657" t="s">
        <v>62</v>
      </c>
      <c r="V102" s="237"/>
      <c r="W102" s="171" t="s">
        <v>391</v>
      </c>
      <c r="X102" s="651" t="s">
        <v>506</v>
      </c>
      <c r="Y102" s="189">
        <v>44981</v>
      </c>
      <c r="Z102" s="191">
        <v>113</v>
      </c>
      <c r="AA102" s="241">
        <v>45768</v>
      </c>
      <c r="AB102" s="191">
        <v>113</v>
      </c>
      <c r="AC102" s="169" t="s">
        <v>79</v>
      </c>
      <c r="AD102" s="171"/>
      <c r="AE102" s="190"/>
      <c r="AF102" s="190"/>
      <c r="AG102" s="169"/>
      <c r="AH102" s="169"/>
      <c r="AI102" s="169"/>
      <c r="AJ102" s="193" t="str">
        <f>IFERROR(VLOOKUP(AI102,Listas!K:L,2,0),"")</f>
        <v/>
      </c>
      <c r="AK102" s="187" t="str">
        <f>IFERROR(VLOOKUP(AJ102,Listas!L:M,2,0),"")</f>
        <v/>
      </c>
      <c r="AL102" s="189"/>
      <c r="AM102" s="169"/>
      <c r="AN102" s="189"/>
      <c r="AO102" s="169"/>
      <c r="AP102" s="189"/>
      <c r="AQ102" s="189"/>
      <c r="AR102" s="187"/>
      <c r="AS102" s="187"/>
      <c r="AT102" s="169"/>
      <c r="AU102" s="169"/>
      <c r="AV102" s="189"/>
      <c r="AW102" s="189"/>
      <c r="AX102" s="187"/>
      <c r="AY102" s="187"/>
      <c r="AZ102" s="169"/>
      <c r="BA102" s="189"/>
      <c r="BB102" s="187" t="str">
        <f>IFERROR(AVERAGE(AR102,AS102,AX102,AY102),"")</f>
        <v/>
      </c>
      <c r="BC102" s="187" t="e">
        <f t="shared" si="10"/>
        <v>#VALUE!</v>
      </c>
      <c r="BD102" s="187" t="e">
        <f t="shared" si="12"/>
        <v>#VALUE!</v>
      </c>
      <c r="BE102" s="169"/>
      <c r="BF102" s="169"/>
      <c r="BG102" s="342" t="str">
        <f t="shared" si="11"/>
        <v>Elvis Eduardo Gaona Garcia</v>
      </c>
    </row>
    <row r="103" spans="1:59" s="339" customFormat="1" ht="15" hidden="1">
      <c r="A103" s="21">
        <v>20201195004</v>
      </c>
      <c r="B103" s="19" t="str">
        <f>VLOOKUP(A103,'Datos Personales'!A:M,2,FALSE)</f>
        <v>HERRERA ARDILA VIVIAN BRIGITTE</v>
      </c>
      <c r="C103" s="19">
        <f>VLOOKUP(A103,'ESTADOS ESTUDIANTES'!B:L,11,0)</f>
        <v>1014204528</v>
      </c>
      <c r="D103" s="19">
        <f>VLOOKUP(A103,'Datos Personales'!$A:$M,3,FALSE)</f>
        <v>195</v>
      </c>
      <c r="E103" s="19" t="str">
        <f>VLOOKUP(Tabla4[[#This Row],[ENFASIS]],Listas!$R$2:$S$8,2,0)</f>
        <v>EN TELEINF.</v>
      </c>
      <c r="F103" s="19" t="str">
        <f>VLOOKUP(A103,'Datos Personales'!A:M,8,0)</f>
        <v>vherreraa@udistrital.edu.co</v>
      </c>
      <c r="G103" s="19" t="str">
        <f>VLOOKUP(A103,'Datos Personales'!A:M,9,0)</f>
        <v>vherreraa@correo.udistrital.edu.co</v>
      </c>
      <c r="H103" s="19" t="str">
        <f>VLOOKUP(A103,'Datos Personales'!A:M,5,FALSE)</f>
        <v>X</v>
      </c>
      <c r="I103" s="19" t="str">
        <f>VLOOKUP(Tabla4[[#This Row],[CODIGO]],'ESTADOS ESTUDIANTES'!B:M,12,0)</f>
        <v>2021-1</v>
      </c>
      <c r="J103" s="18" t="s">
        <v>60</v>
      </c>
      <c r="K103" s="477"/>
      <c r="L103" s="23"/>
      <c r="M103" s="23"/>
      <c r="N103" s="96"/>
      <c r="O103" s="23"/>
      <c r="P103" s="23"/>
      <c r="Q103" s="23"/>
      <c r="R103" s="124"/>
      <c r="S103" s="124" t="str">
        <f>IF(Tabla4[[#This Row],[FECHA DE ACEPTACION DEL GRUP. INV.]]="","",DATE(YEAR(Tabla4[[#This Row],[FECHA DE ACEPTACION DEL GRUP. INV.]])+2,MONTH(Tabla4[[#This Row],[FECHA DE ACEPTACION DEL GRUP. INV.]]),DAY(Tabla4[[#This Row],[FECHA DE ACEPTACION DEL GRUP. INV.]])))</f>
        <v/>
      </c>
      <c r="T103" s="124" t="str">
        <f ca="1">IF(Tabla4[[#This Row],[FECHA DE ACEPTACION DEL GRUP. INV.]]="","",IF(Tabla4[[#This Row],[FECHA DE VENCIMIENTO ANTE PROYECTO]]&lt;TODAY(),"SÍ","NO"))</f>
        <v/>
      </c>
      <c r="U103" s="124"/>
      <c r="V103" s="124"/>
      <c r="W103" s="18"/>
      <c r="X103" s="18"/>
      <c r="Y103" s="96"/>
      <c r="Z103" s="97"/>
      <c r="AA103" s="96"/>
      <c r="AB103" s="97"/>
      <c r="AC103" s="110"/>
      <c r="AD103" s="18"/>
      <c r="AE103" s="124"/>
      <c r="AF103" s="124"/>
      <c r="AG103" s="169"/>
      <c r="AH103" s="169"/>
      <c r="AI103" s="169"/>
      <c r="AJ103" s="170" t="str">
        <f>IFERROR(VLOOKUP(AI103,Listas!K:L,2,0),"")</f>
        <v/>
      </c>
      <c r="AK103" s="21" t="str">
        <f>IFERROR(VLOOKUP(AJ103,Listas!L:M,2,0),"")</f>
        <v/>
      </c>
      <c r="AL103" s="96"/>
      <c r="AM103" s="23"/>
      <c r="AN103" s="96"/>
      <c r="AO103" s="23"/>
      <c r="AP103" s="96"/>
      <c r="AQ103" s="96"/>
      <c r="AR103" s="21"/>
      <c r="AS103" s="21"/>
      <c r="AT103" s="23"/>
      <c r="AU103" s="23"/>
      <c r="AV103" s="96"/>
      <c r="AW103" s="96"/>
      <c r="AX103" s="21"/>
      <c r="AY103" s="21"/>
      <c r="AZ103" s="23"/>
      <c r="BA103" s="96"/>
      <c r="BB103" s="18" t="str">
        <f>IFERROR(ROUND(AVERAGE(AY103,AX103,AS103,AR103),0),"")</f>
        <v/>
      </c>
      <c r="BC103" s="232" t="e">
        <f t="shared" si="10"/>
        <v>#VALUE!</v>
      </c>
      <c r="BD103" s="185" t="e">
        <f t="shared" si="12"/>
        <v>#VALUE!</v>
      </c>
      <c r="BE103" s="23"/>
      <c r="BF103" s="23"/>
      <c r="BG103" s="293" t="str">
        <f t="shared" si="11"/>
        <v/>
      </c>
    </row>
    <row r="104" spans="1:59" s="339" customFormat="1" ht="45" hidden="1">
      <c r="A104" s="662">
        <v>20201195005</v>
      </c>
      <c r="B104" s="659" t="str">
        <f>VLOOKUP(A104,'Datos Personales'!A:M,2,FALSE)</f>
        <v>MORENO REINA JOSE MIGUEL</v>
      </c>
      <c r="C104" s="659">
        <f>VLOOKUP(A104,'ESTADOS ESTUDIANTES'!B:L,11,0)</f>
        <v>1018438615</v>
      </c>
      <c r="D104" s="659">
        <f>VLOOKUP(A104,'Datos Personales'!$A:$M,3,FALSE)</f>
        <v>195</v>
      </c>
      <c r="E104" s="659" t="str">
        <f>VLOOKUP(Tabla4[[#This Row],[ENFASIS]],Listas!$R$2:$S$8,2,0)</f>
        <v>EN TELEINF.</v>
      </c>
      <c r="F104" s="659" t="str">
        <f>VLOOKUP(A104,'Datos Personales'!A:M,8,0)</f>
        <v>jmmorenor@udistrital.edu.co</v>
      </c>
      <c r="G104" s="659" t="str">
        <f>VLOOKUP(A104,'Datos Personales'!A:M,9,0)</f>
        <v>jose.moreno.ing@gmail.com</v>
      </c>
      <c r="H104" s="659" t="str">
        <f>VLOOKUP(A104,'Datos Personales'!A:M,5,FALSE)</f>
        <v>V</v>
      </c>
      <c r="I104" s="659" t="str">
        <f>VLOOKUP(Tabla4[[#This Row],[CODIGO]],'ESTADOS ESTUDIANTES'!B:M,12,0)</f>
        <v>2026-1</v>
      </c>
      <c r="J104" s="651" t="s">
        <v>60</v>
      </c>
      <c r="K104" s="651" t="s">
        <v>555</v>
      </c>
      <c r="L104" s="651" t="s">
        <v>220</v>
      </c>
      <c r="M104" s="169"/>
      <c r="N104" s="658">
        <v>44008</v>
      </c>
      <c r="O104" s="659">
        <v>2020</v>
      </c>
      <c r="P104" s="651" t="s">
        <v>112</v>
      </c>
      <c r="Q104" s="171"/>
      <c r="R104" s="190"/>
      <c r="S104" s="190" t="str">
        <f>IF(Tabla4[[#This Row],[FECHA DE ACEPTACION DEL GRUP. INV.]]="","",DATE(YEAR(Tabla4[[#This Row],[FECHA DE ACEPTACION DEL GRUP. INV.]])+2,MONTH(Tabla4[[#This Row],[FECHA DE ACEPTACION DEL GRUP. INV.]]),DAY(Tabla4[[#This Row],[FECHA DE ACEPTACION DEL GRUP. INV.]])))</f>
        <v/>
      </c>
      <c r="T104" s="276"/>
      <c r="U104" s="237"/>
      <c r="V104" s="237"/>
      <c r="W104" s="171" t="s">
        <v>556</v>
      </c>
      <c r="X104" s="651" t="s">
        <v>557</v>
      </c>
      <c r="Y104" s="189">
        <v>45139</v>
      </c>
      <c r="Z104" s="191">
        <v>130</v>
      </c>
      <c r="AA104" s="86">
        <v>45870</v>
      </c>
      <c r="AB104" s="160">
        <v>123</v>
      </c>
      <c r="AC104" s="171" t="s">
        <v>79</v>
      </c>
      <c r="AD104" s="171"/>
      <c r="AE104" s="190"/>
      <c r="AF104" s="190"/>
      <c r="AG104" s="171"/>
      <c r="AH104" s="171"/>
      <c r="AI104" s="171"/>
      <c r="AJ104" s="193" t="str">
        <f>IFERROR(VLOOKUP(AI104,Listas!K:L,2,0),"")</f>
        <v/>
      </c>
      <c r="AK104" s="187" t="str">
        <f>IFERROR(VLOOKUP(AJ104,Listas!L:M,2,0),"")</f>
        <v/>
      </c>
      <c r="AL104" s="189"/>
      <c r="AM104" s="169"/>
      <c r="AN104" s="189"/>
      <c r="AO104" s="169"/>
      <c r="AP104" s="189"/>
      <c r="AQ104" s="189"/>
      <c r="AR104" s="187"/>
      <c r="AS104" s="187"/>
      <c r="AT104" s="169"/>
      <c r="AU104" s="169"/>
      <c r="AV104" s="189"/>
      <c r="AW104" s="189"/>
      <c r="AX104" s="187"/>
      <c r="AY104" s="187"/>
      <c r="AZ104" s="169"/>
      <c r="BA104" s="189"/>
      <c r="BB104" s="187" t="str">
        <f>IFERROR(AVERAGE(AR104,AS104,AX104,AY104),"")</f>
        <v/>
      </c>
      <c r="BC104" s="187" t="e">
        <f t="shared" si="10"/>
        <v>#VALUE!</v>
      </c>
      <c r="BD104" s="187" t="e">
        <f t="shared" si="12"/>
        <v>#VALUE!</v>
      </c>
      <c r="BE104" s="169"/>
      <c r="BF104" s="169"/>
      <c r="BG104" s="234" t="str">
        <f t="shared" si="11"/>
        <v>Elvis Eduardo Gaona Garcia</v>
      </c>
    </row>
    <row r="105" spans="1:59" s="339" customFormat="1" ht="90" hidden="1">
      <c r="A105" s="187">
        <v>20201195007</v>
      </c>
      <c r="B105" s="188" t="str">
        <f>VLOOKUP(A105,'Datos Personales'!A:M,2,FALSE)</f>
        <v>RODRÍGUEZ HERNÁNDEZ ANGIE PATRICIA</v>
      </c>
      <c r="C105" s="188">
        <f>VLOOKUP(A105,'ESTADOS ESTUDIANTES'!B:L,11,0)</f>
        <v>1032484102</v>
      </c>
      <c r="D105" s="188">
        <f>VLOOKUP(A105,'Datos Personales'!$A:$M,3,FALSE)</f>
        <v>195</v>
      </c>
      <c r="E105" s="188" t="str">
        <f>VLOOKUP(Tabla4[[#This Row],[ENFASIS]],Listas!$R$2:$S$8,2,0)</f>
        <v>EN TELEINF.</v>
      </c>
      <c r="F105" s="188" t="str">
        <f>VLOOKUP(A105,'Datos Personales'!A:M,8,0)</f>
        <v>anprodriguezh@udistrital.edu.co</v>
      </c>
      <c r="G105" s="188" t="str">
        <f>VLOOKUP(A105,'Datos Personales'!A:M,9,0)</f>
        <v>anprodriguezh@udistrital.edu.co</v>
      </c>
      <c r="H105" s="188" t="str">
        <f>VLOOKUP(A105,'Datos Personales'!A:M,5,FALSE)</f>
        <v>E</v>
      </c>
      <c r="I105" s="188" t="str">
        <f>VLOOKUP(Tabla4[[#This Row],[CODIGO]],'ESTADOS ESTUDIANTES'!B:M,12,0)</f>
        <v>2024-3</v>
      </c>
      <c r="J105" s="171" t="s">
        <v>60</v>
      </c>
      <c r="K105" s="171" t="s">
        <v>558</v>
      </c>
      <c r="L105" s="171" t="s">
        <v>297</v>
      </c>
      <c r="M105" s="169"/>
      <c r="N105" s="189">
        <v>44012</v>
      </c>
      <c r="O105" s="188">
        <v>2020</v>
      </c>
      <c r="P105" s="171" t="s">
        <v>134</v>
      </c>
      <c r="Q105" s="171" t="s">
        <v>248</v>
      </c>
      <c r="R105" s="190">
        <v>45418</v>
      </c>
      <c r="S105" s="190">
        <f>IF(Tabla4[[#This Row],[FECHA DE ACEPTACION DEL GRUP. INV.]]="","",DATE(YEAR(Tabla4[[#This Row],[FECHA DE ACEPTACION DEL GRUP. INV.]])+2,MONTH(Tabla4[[#This Row],[FECHA DE ACEPTACION DEL GRUP. INV.]]),DAY(Tabla4[[#This Row],[FECHA DE ACEPTACION DEL GRUP. INV.]])))</f>
        <v>46148</v>
      </c>
      <c r="T105" s="190" t="str">
        <f ca="1">IF(Tabla4[[#This Row],[FECHA DE ACEPTACION DEL GRUP. INV.]]="","",IF(Tabla4[[#This Row],[FECHA DE VENCIMIENTO ANTE PROYECTO]]&lt;TODAY(),"SÍ","NO"))</f>
        <v>SÍ</v>
      </c>
      <c r="U105" s="237" t="s">
        <v>62</v>
      </c>
      <c r="V105" s="237"/>
      <c r="W105" s="171" t="s">
        <v>559</v>
      </c>
      <c r="X105" s="171"/>
      <c r="Y105" s="189"/>
      <c r="Z105" s="191"/>
      <c r="AA105" s="189">
        <v>45531</v>
      </c>
      <c r="AB105" s="191">
        <v>151</v>
      </c>
      <c r="AC105" s="110" t="s">
        <v>68</v>
      </c>
      <c r="AD105" s="171" t="s">
        <v>391</v>
      </c>
      <c r="AE105" s="190">
        <v>45595</v>
      </c>
      <c r="AF105" s="190" t="s">
        <v>560</v>
      </c>
      <c r="AG105" s="169" t="s">
        <v>561</v>
      </c>
      <c r="AH105" s="169">
        <v>2024</v>
      </c>
      <c r="AI105" s="169" t="s">
        <v>88</v>
      </c>
      <c r="AJ105" s="170">
        <f>IFERROR(VLOOKUP(AI105,Listas!K:L,2,0),"")</f>
        <v>0.6</v>
      </c>
      <c r="AK105" s="21">
        <f>IFERROR(VLOOKUP(AJ105,Listas!L:M,2,0),"")</f>
        <v>30</v>
      </c>
      <c r="AL105" s="189">
        <v>45595</v>
      </c>
      <c r="AM105" s="169" t="s">
        <v>391</v>
      </c>
      <c r="AN105" s="189">
        <v>45595</v>
      </c>
      <c r="AO105" s="169" t="s">
        <v>248</v>
      </c>
      <c r="AP105" s="189"/>
      <c r="AQ105" s="189"/>
      <c r="AR105" s="187"/>
      <c r="AS105" s="187"/>
      <c r="AT105" s="169"/>
      <c r="AU105" s="169" t="s">
        <v>338</v>
      </c>
      <c r="AV105" s="189"/>
      <c r="AW105" s="189"/>
      <c r="AX105" s="187"/>
      <c r="AY105" s="187"/>
      <c r="AZ105" s="169"/>
      <c r="BA105" s="189"/>
      <c r="BB105" s="187" t="str">
        <f>IFERROR(AVERAGE(AR105,AS105,AX105,AY105),"")</f>
        <v/>
      </c>
      <c r="BC105" s="187" t="e">
        <f t="shared" si="10"/>
        <v>#VALUE!</v>
      </c>
      <c r="BD105" s="187" t="e">
        <f t="shared" si="12"/>
        <v>#VALUE!</v>
      </c>
      <c r="BE105" s="169"/>
      <c r="BF105" s="169"/>
      <c r="BG105" s="234" t="str">
        <f t="shared" si="11"/>
        <v/>
      </c>
    </row>
    <row r="106" spans="1:59" ht="30" hidden="1">
      <c r="A106" s="21">
        <v>20201195008</v>
      </c>
      <c r="B106" s="19" t="str">
        <f>VLOOKUP(A106,'Datos Personales'!A:M,2,FALSE)</f>
        <v>ROMERO DUQUE OSCAR ALEJANDRO</v>
      </c>
      <c r="C106" s="19">
        <f>VLOOKUP(A106,'ESTADOS ESTUDIANTES'!B:L,11,0)</f>
        <v>11229334</v>
      </c>
      <c r="D106" s="19">
        <f>VLOOKUP(A106,'Datos Personales'!$A:$M,3,FALSE)</f>
        <v>195</v>
      </c>
      <c r="E106" s="19" t="str">
        <f>VLOOKUP(Tabla4[[#This Row],[ENFASIS]],Listas!$R$2:$S$8,2,0)</f>
        <v>EN TELEINF.</v>
      </c>
      <c r="F106" s="19" t="str">
        <f>VLOOKUP(A106,'Datos Personales'!A:M,8,0)</f>
        <v>oaromerod@correo.udistrital.edu.co</v>
      </c>
      <c r="G106" s="19" t="str">
        <f>VLOOKUP(A106,'Datos Personales'!A:M,9,0)</f>
        <v>osar800@gmail.com</v>
      </c>
      <c r="H106" s="19" t="str">
        <f>VLOOKUP(A106,'Datos Personales'!A:M,5,FALSE)</f>
        <v>X</v>
      </c>
      <c r="I106" s="19" t="str">
        <f>VLOOKUP(Tabla4[[#This Row],[CODIGO]],'ESTADOS ESTUDIANTES'!B:M,12,0)</f>
        <v>2020-3</v>
      </c>
      <c r="J106" s="23"/>
      <c r="K106" s="23"/>
      <c r="L106" s="23"/>
      <c r="M106" s="23"/>
      <c r="N106" s="96"/>
      <c r="O106" s="23"/>
      <c r="P106" s="23"/>
      <c r="Q106" s="23"/>
      <c r="R106" s="124"/>
      <c r="S106" s="124" t="str">
        <f>IF(Tabla4[[#This Row],[FECHA DE ACEPTACION DEL GRUP. INV.]]="","",DATE(YEAR(Tabla4[[#This Row],[FECHA DE ACEPTACION DEL GRUP. INV.]])+2,MONTH(Tabla4[[#This Row],[FECHA DE ACEPTACION DEL GRUP. INV.]]),DAY(Tabla4[[#This Row],[FECHA DE ACEPTACION DEL GRUP. INV.]])))</f>
        <v/>
      </c>
      <c r="T106" s="124" t="str">
        <f ca="1">IF(Tabla4[[#This Row],[FECHA DE ACEPTACION DEL GRUP. INV.]]="","",IF(Tabla4[[#This Row],[FECHA DE VENCIMIENTO ANTE PROYECTO]]&lt;TODAY(),"SÍ","NO"))</f>
        <v/>
      </c>
      <c r="U106" s="124"/>
      <c r="V106" s="124"/>
      <c r="W106" s="18"/>
      <c r="X106" s="18"/>
      <c r="Y106" s="96"/>
      <c r="Z106" s="97"/>
      <c r="AA106" s="96"/>
      <c r="AB106" s="97"/>
      <c r="AC106" s="110"/>
      <c r="AD106" s="18"/>
      <c r="AE106" s="124"/>
      <c r="AF106" s="124"/>
      <c r="AG106" s="169"/>
      <c r="AH106" s="169"/>
      <c r="AI106" s="169"/>
      <c r="AJ106" s="170" t="str">
        <f>IFERROR(VLOOKUP(AI106,Listas!K:L,2,0),"")</f>
        <v/>
      </c>
      <c r="AK106" s="21" t="str">
        <f>IFERROR(VLOOKUP(AJ106,Listas!L:M,2,0),"")</f>
        <v/>
      </c>
      <c r="AL106" s="96"/>
      <c r="AM106" s="23"/>
      <c r="AN106" s="96"/>
      <c r="AO106" s="23"/>
      <c r="AP106" s="96"/>
      <c r="AQ106" s="96"/>
      <c r="AR106" s="21"/>
      <c r="AS106" s="21"/>
      <c r="AT106" s="23"/>
      <c r="AU106" s="23"/>
      <c r="AV106" s="96"/>
      <c r="AW106" s="96"/>
      <c r="AX106" s="21"/>
      <c r="AY106" s="21"/>
      <c r="AZ106" s="23"/>
      <c r="BA106" s="96"/>
      <c r="BB106" s="18" t="str">
        <f>IFERROR(ROUND(AVERAGE(AY106,AX106,AS106,AR106),0),"")</f>
        <v/>
      </c>
      <c r="BC106" s="232" t="e">
        <f t="shared" si="10"/>
        <v>#VALUE!</v>
      </c>
      <c r="BD106" s="185" t="e">
        <f t="shared" si="12"/>
        <v>#VALUE!</v>
      </c>
      <c r="BE106" s="23"/>
      <c r="BF106" s="23"/>
      <c r="BG106" s="293" t="str">
        <f t="shared" si="11"/>
        <v/>
      </c>
    </row>
    <row r="107" spans="1:59" s="339" customFormat="1" ht="150" hidden="1">
      <c r="A107" s="187">
        <v>20201195009</v>
      </c>
      <c r="B107" s="188" t="str">
        <f>VLOOKUP(A107,'Datos Personales'!A:M,2,FALSE)</f>
        <v>ROMERO PEÑA MANUEL</v>
      </c>
      <c r="C107" s="188">
        <f>VLOOKUP(A107,'ESTADOS ESTUDIANTES'!B:L,11,0)</f>
        <v>1019112068</v>
      </c>
      <c r="D107" s="188">
        <f>VLOOKUP(A107,'Datos Personales'!$A:$M,3,FALSE)</f>
        <v>195</v>
      </c>
      <c r="E107" s="188" t="str">
        <f>VLOOKUP(Tabla4[[#This Row],[ENFASIS]],Listas!$R$2:$S$8,2,0)</f>
        <v>EN TELEINF.</v>
      </c>
      <c r="F107" s="188" t="str">
        <f>VLOOKUP(A107,'Datos Personales'!A:M,8,0)</f>
        <v>mromerop@udistrital.edu.co</v>
      </c>
      <c r="G107" s="188" t="str">
        <f>VLOOKUP(A107,'Datos Personales'!A:M,9,0)</f>
        <v>mromerop@correo.udistrital.edu.co</v>
      </c>
      <c r="H107" s="188" t="str">
        <f>VLOOKUP(A107,'Datos Personales'!A:M,5,FALSE)</f>
        <v>E</v>
      </c>
      <c r="I107" s="188" t="str">
        <f>VLOOKUP(Tabla4[[#This Row],[CODIGO]],'ESTADOS ESTUDIANTES'!B:M,12,0)</f>
        <v>2024-1</v>
      </c>
      <c r="J107" s="171" t="s">
        <v>60</v>
      </c>
      <c r="K107" s="171" t="s">
        <v>562</v>
      </c>
      <c r="L107" s="171" t="s">
        <v>563</v>
      </c>
      <c r="M107" s="169"/>
      <c r="N107" s="189">
        <v>44012</v>
      </c>
      <c r="O107" s="188">
        <v>2020</v>
      </c>
      <c r="P107" s="171" t="s">
        <v>121</v>
      </c>
      <c r="Q107" s="171" t="s">
        <v>564</v>
      </c>
      <c r="R107" s="190">
        <v>44251</v>
      </c>
      <c r="S107" s="190">
        <f>IF(Tabla4[[#This Row],[FECHA DE ACEPTACION DEL GRUP. INV.]]="","",DATE(YEAR(Tabla4[[#This Row],[FECHA DE ACEPTACION DEL GRUP. INV.]])+2,MONTH(Tabla4[[#This Row],[FECHA DE ACEPTACION DEL GRUP. INV.]]),DAY(Tabla4[[#This Row],[FECHA DE ACEPTACION DEL GRUP. INV.]])))</f>
        <v>44981</v>
      </c>
      <c r="T107" s="190" t="str">
        <f ca="1">IF(Tabla4[[#This Row],[FECHA DE ACEPTACION DEL GRUP. INV.]]="","",IF(Tabla4[[#This Row],[FECHA DE VENCIMIENTO ANTE PROYECTO]]&lt;TODAY(),"SÍ","NO"))</f>
        <v>SÍ</v>
      </c>
      <c r="U107" s="190"/>
      <c r="V107" s="190"/>
      <c r="W107" s="171" t="s">
        <v>565</v>
      </c>
      <c r="X107" s="171"/>
      <c r="Y107" s="189"/>
      <c r="Z107" s="191"/>
      <c r="AA107" s="189">
        <v>44981</v>
      </c>
      <c r="AB107" s="191">
        <v>132</v>
      </c>
      <c r="AC107" s="110" t="s">
        <v>79</v>
      </c>
      <c r="AD107" s="171" t="s">
        <v>404</v>
      </c>
      <c r="AE107" s="190">
        <v>45245</v>
      </c>
      <c r="AF107" s="190" t="s">
        <v>566</v>
      </c>
      <c r="AG107" s="169" t="s">
        <v>567</v>
      </c>
      <c r="AH107" s="169">
        <v>2023</v>
      </c>
      <c r="AI107" s="169" t="s">
        <v>99</v>
      </c>
      <c r="AJ107" s="170">
        <f>IFERROR(VLOOKUP(AI107,Listas!K:L,2,0),"")</f>
        <v>0.2</v>
      </c>
      <c r="AK107" s="21">
        <f>IFERROR(VLOOKUP(AJ107,Listas!L:M,2,0),"")</f>
        <v>10</v>
      </c>
      <c r="AL107" s="189"/>
      <c r="AM107" s="169"/>
      <c r="AN107" s="189"/>
      <c r="AO107" s="169" t="s">
        <v>568</v>
      </c>
      <c r="AP107" s="189"/>
      <c r="AQ107" s="189"/>
      <c r="AR107" s="187"/>
      <c r="AS107" s="187"/>
      <c r="AT107" s="169"/>
      <c r="AU107" s="169" t="s">
        <v>220</v>
      </c>
      <c r="AV107" s="189"/>
      <c r="AW107" s="189"/>
      <c r="AX107" s="187"/>
      <c r="AY107" s="187"/>
      <c r="AZ107" s="169"/>
      <c r="BA107" s="189"/>
      <c r="BB107" s="232" t="str">
        <f t="shared" ref="BB107:BB112" si="13">IFERROR(AVERAGE(AR107,AS107,AX107,AY107),"")</f>
        <v/>
      </c>
      <c r="BC107" s="232" t="e">
        <f t="shared" si="10"/>
        <v>#VALUE!</v>
      </c>
      <c r="BD107" s="232" t="e">
        <f t="shared" si="12"/>
        <v>#VALUE!</v>
      </c>
      <c r="BE107" s="169"/>
      <c r="BF107" s="169"/>
      <c r="BG107" s="234" t="str">
        <f t="shared" si="11"/>
        <v/>
      </c>
    </row>
    <row r="108" spans="1:59" ht="45" hidden="1">
      <c r="A108" s="662">
        <v>20201195006</v>
      </c>
      <c r="B108" s="659" t="str">
        <f>VLOOKUP(A108,'Datos Personales'!A:M,2,FALSE)</f>
        <v>PATIÑO LOPEZ LUIS FELIPE</v>
      </c>
      <c r="C108" s="659">
        <f>VLOOKUP(A108,'ESTADOS ESTUDIANTES'!B:L,11,0)</f>
        <v>1013625770</v>
      </c>
      <c r="D108" s="659">
        <f>VLOOKUP(A108,'Datos Personales'!$A:$M,3,FALSE)</f>
        <v>195</v>
      </c>
      <c r="E108" s="659" t="str">
        <f>VLOOKUP(Tabla4[[#This Row],[ENFASIS]],Listas!$R$2:$S$8,2,0)</f>
        <v>EN TELEINF.</v>
      </c>
      <c r="F108" s="659" t="str">
        <f>VLOOKUP(A108,'Datos Personales'!A:M,8,0)</f>
        <v>lfpatinol@udistrital.edu.co</v>
      </c>
      <c r="G108" s="659" t="str">
        <f>VLOOKUP(A108,'Datos Personales'!A:M,9,0)</f>
        <v>felipephat@hotmail.com</v>
      </c>
      <c r="H108" s="659" t="str">
        <f>VLOOKUP(A108,'Datos Personales'!A:M,5,FALSE)</f>
        <v>A</v>
      </c>
      <c r="I108" s="659" t="str">
        <f>VLOOKUP(Tabla4[[#This Row],[CODIGO]],'ESTADOS ESTUDIANTES'!B:M,12,0)</f>
        <v>2026-3</v>
      </c>
      <c r="J108" s="651" t="s">
        <v>60</v>
      </c>
      <c r="K108" s="651" t="s">
        <v>569</v>
      </c>
      <c r="L108" s="651" t="s">
        <v>303</v>
      </c>
      <c r="M108" s="660"/>
      <c r="N108" s="658">
        <v>46080</v>
      </c>
      <c r="O108" s="659">
        <v>2026</v>
      </c>
      <c r="P108" s="651" t="s">
        <v>137</v>
      </c>
      <c r="Q108" s="651" t="s">
        <v>289</v>
      </c>
      <c r="R108" s="656">
        <v>46083</v>
      </c>
      <c r="S108" s="656">
        <f>IF(Tabla4[[#This Row],[FECHA DE ACEPTACION DEL GRUP. INV.]]="","",DATE(YEAR(Tabla4[[#This Row],[FECHA DE ACEPTACION DEL GRUP. INV.]])+2,MONTH(Tabla4[[#This Row],[FECHA DE ACEPTACION DEL GRUP. INV.]]),DAY(Tabla4[[#This Row],[FECHA DE ACEPTACION DEL GRUP. INV.]])))</f>
        <v>46814</v>
      </c>
      <c r="T108" s="656" t="str">
        <f ca="1">IF(Tabla4[[#This Row],[FECHA DE ACEPTACION DEL GRUP. INV.]]="","",IF(Tabla4[[#This Row],[FECHA DE VENCIMIENTO ANTE PROYECTO]]&lt;TODAY(),"SÍ","NO"))</f>
        <v>NO</v>
      </c>
      <c r="U108" s="657" t="s">
        <v>62</v>
      </c>
      <c r="V108" s="237"/>
      <c r="W108" s="171" t="s">
        <v>233</v>
      </c>
      <c r="X108" s="651" t="s">
        <v>506</v>
      </c>
      <c r="Y108" s="189">
        <v>44153</v>
      </c>
      <c r="Z108" s="191">
        <v>86.92</v>
      </c>
      <c r="AA108" s="86">
        <v>45870</v>
      </c>
      <c r="AB108" s="160">
        <v>99</v>
      </c>
      <c r="AC108" s="171" t="s">
        <v>79</v>
      </c>
      <c r="AD108" s="171"/>
      <c r="AE108" s="190"/>
      <c r="AF108" s="190"/>
      <c r="AG108" s="171"/>
      <c r="AH108" s="171"/>
      <c r="AI108" s="171"/>
      <c r="AJ108" s="193" t="str">
        <f>IFERROR(VLOOKUP(AI108,Listas!K:L,2,0),"")</f>
        <v/>
      </c>
      <c r="AK108" s="187" t="str">
        <f>IFERROR(VLOOKUP(AJ108,Listas!L:M,2,0),"")</f>
        <v/>
      </c>
      <c r="AL108" s="189"/>
      <c r="AM108" s="169"/>
      <c r="AN108" s="189"/>
      <c r="AO108" s="169"/>
      <c r="AP108" s="189"/>
      <c r="AQ108" s="189"/>
      <c r="AR108" s="187"/>
      <c r="AS108" s="187"/>
      <c r="AT108" s="169"/>
      <c r="AU108" s="169"/>
      <c r="AV108" s="189"/>
      <c r="AW108" s="189"/>
      <c r="AX108" s="187"/>
      <c r="AY108" s="187"/>
      <c r="AZ108" s="169"/>
      <c r="BA108" s="189"/>
      <c r="BB108" s="187" t="str">
        <f t="shared" si="13"/>
        <v/>
      </c>
      <c r="BC108" s="187" t="e">
        <f t="shared" si="10"/>
        <v>#VALUE!</v>
      </c>
      <c r="BD108" s="187" t="e">
        <f t="shared" si="12"/>
        <v>#VALUE!</v>
      </c>
      <c r="BE108" s="169"/>
      <c r="BF108" s="169"/>
      <c r="BG108" s="234" t="str">
        <f t="shared" si="11"/>
        <v>Cesar Andrey Perdomo Charry</v>
      </c>
    </row>
    <row r="109" spans="1:59" s="339" customFormat="1" ht="60" hidden="1">
      <c r="A109" s="662">
        <v>20201195010</v>
      </c>
      <c r="B109" s="659" t="str">
        <f>VLOOKUP(A109,'Datos Personales'!A:M,2,FALSE)</f>
        <v>TORRES RODRIGUEZ JENIFER ANDREA</v>
      </c>
      <c r="C109" s="659">
        <f>VLOOKUP(A109,'ESTADOS ESTUDIANTES'!B:L,11,0)</f>
        <v>1018463406</v>
      </c>
      <c r="D109" s="659">
        <f>VLOOKUP(A109,'Datos Personales'!$A:$M,3,FALSE)</f>
        <v>195</v>
      </c>
      <c r="E109" s="659" t="str">
        <f>VLOOKUP(Tabla4[[#This Row],[ENFASIS]],Listas!$R$2:$S$8,2,0)</f>
        <v>EN TELEINF.</v>
      </c>
      <c r="F109" s="659" t="str">
        <f>VLOOKUP(A109,'Datos Personales'!A:M,8,0)</f>
        <v>jeatorresr@udistrital.edu.co</v>
      </c>
      <c r="G109" s="659" t="str">
        <f>VLOOKUP(A109,'Datos Personales'!A:M,9,0)</f>
        <v>jeatorresr@correo.udistrital.edu.co</v>
      </c>
      <c r="H109" s="659" t="str">
        <f>VLOOKUP(A109,'Datos Personales'!A:M,5,FALSE)</f>
        <v>V</v>
      </c>
      <c r="I109" s="659" t="str">
        <f>VLOOKUP(Tabla4[[#This Row],[CODIGO]],'ESTADOS ESTUDIANTES'!B:M,12,0)</f>
        <v>2026-1</v>
      </c>
      <c r="J109" s="651" t="s">
        <v>60</v>
      </c>
      <c r="K109" s="651" t="s">
        <v>570</v>
      </c>
      <c r="L109" s="651" t="s">
        <v>303</v>
      </c>
      <c r="M109" s="660"/>
      <c r="N109" s="658">
        <v>46085</v>
      </c>
      <c r="O109" s="659">
        <v>2026</v>
      </c>
      <c r="P109" s="651" t="s">
        <v>137</v>
      </c>
      <c r="Q109" s="651" t="s">
        <v>289</v>
      </c>
      <c r="R109" s="656">
        <v>46084</v>
      </c>
      <c r="S109" s="656">
        <f>IF(Tabla4[[#This Row],[FECHA DE ACEPTACION DEL GRUP. INV.]]="","",DATE(YEAR(Tabla4[[#This Row],[FECHA DE ACEPTACION DEL GRUP. INV.]])+2,MONTH(Tabla4[[#This Row],[FECHA DE ACEPTACION DEL GRUP. INV.]]),DAY(Tabla4[[#This Row],[FECHA DE ACEPTACION DEL GRUP. INV.]])))</f>
        <v>46815</v>
      </c>
      <c r="T109" s="656" t="str">
        <f ca="1">IF(Tabla4[[#This Row],[FECHA DE ACEPTACION DEL GRUP. INV.]]="","",IF(Tabla4[[#This Row],[FECHA DE VENCIMIENTO ANTE PROYECTO]]&lt;TODAY(),"SÍ","NO"))</f>
        <v>NO</v>
      </c>
      <c r="U109" s="657" t="s">
        <v>62</v>
      </c>
      <c r="V109" s="237"/>
      <c r="W109" s="171"/>
      <c r="X109" s="651" t="s">
        <v>506</v>
      </c>
      <c r="Y109" s="189">
        <v>44153</v>
      </c>
      <c r="Z109" s="191">
        <v>83.18</v>
      </c>
      <c r="AA109" s="86">
        <v>45870</v>
      </c>
      <c r="AB109" s="160">
        <v>123</v>
      </c>
      <c r="AC109" s="171" t="s">
        <v>79</v>
      </c>
      <c r="AD109" s="171"/>
      <c r="AE109" s="190"/>
      <c r="AF109" s="190"/>
      <c r="AG109" s="171"/>
      <c r="AH109" s="171"/>
      <c r="AI109" s="171"/>
      <c r="AJ109" s="193" t="str">
        <f>IFERROR(VLOOKUP(AI109,Listas!K:L,2,0),"")</f>
        <v/>
      </c>
      <c r="AK109" s="187" t="str">
        <f>IFERROR(VLOOKUP(AJ109,Listas!L:M,2,0),"")</f>
        <v/>
      </c>
      <c r="AL109" s="189"/>
      <c r="AM109" s="169"/>
      <c r="AN109" s="189"/>
      <c r="AO109" s="169"/>
      <c r="AP109" s="189"/>
      <c r="AQ109" s="189"/>
      <c r="AR109" s="187"/>
      <c r="AS109" s="187"/>
      <c r="AT109" s="169"/>
      <c r="AU109" s="169"/>
      <c r="AV109" s="189"/>
      <c r="AW109" s="189"/>
      <c r="AX109" s="187"/>
      <c r="AY109" s="187"/>
      <c r="AZ109" s="169"/>
      <c r="BA109" s="189"/>
      <c r="BB109" s="187" t="str">
        <f t="shared" si="13"/>
        <v/>
      </c>
      <c r="BC109" s="187" t="e">
        <f t="shared" si="10"/>
        <v>#VALUE!</v>
      </c>
      <c r="BD109" s="187" t="e">
        <f t="shared" si="12"/>
        <v>#VALUE!</v>
      </c>
      <c r="BE109" s="169"/>
      <c r="BF109" s="169"/>
      <c r="BG109" s="234" t="str">
        <f t="shared" si="11"/>
        <v>Cesar Andrey Perdomo Charry</v>
      </c>
    </row>
    <row r="110" spans="1:59" s="339" customFormat="1" ht="45" hidden="1">
      <c r="A110" s="662">
        <v>20201195011</v>
      </c>
      <c r="B110" s="659" t="str">
        <f>VLOOKUP(A110,'Datos Personales'!A:M,2,FALSE)</f>
        <v>OVIEDO PERDOMO JUAN PABLO</v>
      </c>
      <c r="C110" s="659">
        <f>VLOOKUP(A110,'ESTADOS ESTUDIANTES'!B:L,11,0)</f>
        <v>1022409452</v>
      </c>
      <c r="D110" s="659">
        <f>VLOOKUP(A110,'Datos Personales'!$A:$M,3,FALSE)</f>
        <v>195</v>
      </c>
      <c r="E110" s="659" t="str">
        <f>VLOOKUP(Tabla4[[#This Row],[ENFASIS]],Listas!$R$2:$S$8,2,0)</f>
        <v>EN TELEINF.</v>
      </c>
      <c r="F110" s="659" t="str">
        <f>VLOOKUP(A110,'Datos Personales'!A:M,8,0)</f>
        <v>jpoviedop@udistrital.edu.co</v>
      </c>
      <c r="G110" s="659" t="str">
        <f>VLOOKUP(A110,'Datos Personales'!A:M,9,0)</f>
        <v>jpoviedop@udistrital.edu.co</v>
      </c>
      <c r="H110" s="659" t="str">
        <f>VLOOKUP(A110,'Datos Personales'!A:M,5,FALSE)</f>
        <v>V</v>
      </c>
      <c r="I110" s="659" t="str">
        <f>VLOOKUP(Tabla4[[#This Row],[CODIGO]],'ESTADOS ESTUDIANTES'!B:M,12,0)</f>
        <v>2026-1</v>
      </c>
      <c r="J110" s="651" t="s">
        <v>60</v>
      </c>
      <c r="K110" s="651" t="s">
        <v>571</v>
      </c>
      <c r="L110" s="651" t="s">
        <v>572</v>
      </c>
      <c r="M110" s="660" t="s">
        <v>220</v>
      </c>
      <c r="N110" s="658">
        <v>45994</v>
      </c>
      <c r="O110" s="659">
        <v>2025</v>
      </c>
      <c r="P110" s="651" t="s">
        <v>118</v>
      </c>
      <c r="Q110" s="660" t="s">
        <v>220</v>
      </c>
      <c r="R110" s="656">
        <v>46003</v>
      </c>
      <c r="S110" s="656">
        <f>IF(Tabla4[[#This Row],[FECHA DE ACEPTACION DEL GRUP. INV.]]="","",DATE(YEAR(Tabla4[[#This Row],[FECHA DE ACEPTACION DEL GRUP. INV.]])+2,MONTH(Tabla4[[#This Row],[FECHA DE ACEPTACION DEL GRUP. INV.]]),DAY(Tabla4[[#This Row],[FECHA DE ACEPTACION DEL GRUP. INV.]])))</f>
        <v>46733</v>
      </c>
      <c r="T110" s="656" t="str">
        <f ca="1">IF(Tabla4[[#This Row],[FECHA DE ACEPTACION DEL GRUP. INV.]]="","",IF(Tabla4[[#This Row],[FECHA DE VENCIMIENTO ANTE PROYECTO]]&lt;TODAY(),"SÍ","NO"))</f>
        <v>NO</v>
      </c>
      <c r="U110" s="657" t="s">
        <v>62</v>
      </c>
      <c r="V110" s="237"/>
      <c r="W110" s="171" t="s">
        <v>565</v>
      </c>
      <c r="X110" s="651" t="s">
        <v>506</v>
      </c>
      <c r="Y110" s="189">
        <v>44510</v>
      </c>
      <c r="Z110" s="191">
        <v>136</v>
      </c>
      <c r="AA110" s="86">
        <v>45870</v>
      </c>
      <c r="AB110" s="160">
        <v>130</v>
      </c>
      <c r="AC110" s="171" t="s">
        <v>79</v>
      </c>
      <c r="AD110" s="171"/>
      <c r="AE110" s="190"/>
      <c r="AF110" s="190"/>
      <c r="AG110" s="171"/>
      <c r="AH110" s="171"/>
      <c r="AI110" s="171"/>
      <c r="AJ110" s="193" t="str">
        <f>IFERROR(VLOOKUP(AI110,Listas!K:L,2,0),"")</f>
        <v/>
      </c>
      <c r="AK110" s="187" t="str">
        <f>IFERROR(VLOOKUP(AJ110,Listas!L:M,2,0),"")</f>
        <v/>
      </c>
      <c r="AL110" s="189"/>
      <c r="AM110" s="169"/>
      <c r="AN110" s="189"/>
      <c r="AO110" s="169"/>
      <c r="AP110" s="189"/>
      <c r="AQ110" s="189"/>
      <c r="AR110" s="187"/>
      <c r="AS110" s="187"/>
      <c r="AT110" s="169"/>
      <c r="AU110" s="169"/>
      <c r="AV110" s="189"/>
      <c r="AW110" s="189"/>
      <c r="AX110" s="187"/>
      <c r="AY110" s="187"/>
      <c r="AZ110" s="169"/>
      <c r="BA110" s="189"/>
      <c r="BB110" s="187" t="str">
        <f t="shared" si="13"/>
        <v/>
      </c>
      <c r="BC110" s="187" t="e">
        <f t="shared" si="10"/>
        <v>#VALUE!</v>
      </c>
      <c r="BD110" s="187" t="e">
        <f t="shared" si="12"/>
        <v>#VALUE!</v>
      </c>
      <c r="BE110" s="169"/>
      <c r="BF110" s="169"/>
      <c r="BG110" s="234" t="str">
        <f t="shared" si="11"/>
        <v>Javier Antonio Guacaneme Moreno</v>
      </c>
    </row>
    <row r="111" spans="1:59" s="339" customFormat="1" ht="30" hidden="1">
      <c r="A111" s="187">
        <v>20201395001</v>
      </c>
      <c r="B111" s="188" t="str">
        <f>VLOOKUP(A111,'Datos Personales'!A:M,2,FALSE)</f>
        <v>BARRERO CUBILLOS CAMILO ANDRÉS</v>
      </c>
      <c r="C111" s="188">
        <f>VLOOKUP(A111,'ESTADOS ESTUDIANTES'!B:L,11,0)</f>
        <v>1018453825</v>
      </c>
      <c r="D111" s="188">
        <f>VLOOKUP(A111,'Datos Personales'!$A:$M,3,FALSE)</f>
        <v>395</v>
      </c>
      <c r="E111" s="188" t="str">
        <f>VLOOKUP(Tabla4[[#This Row],[ENFASIS]],Listas!$R$2:$S$8,2,0)</f>
        <v>ENFASIS EN GEOMATICA</v>
      </c>
      <c r="F111" s="188" t="str">
        <f>VLOOKUP(A111,'Datos Personales'!A:M,8,0)</f>
        <v>cabarreroc@udistrital.edu.co</v>
      </c>
      <c r="G111" s="188" t="str">
        <f>VLOOKUP(A111,'Datos Personales'!A:M,9,0)</f>
        <v>camilobarreroc@gmail.com</v>
      </c>
      <c r="H111" s="188" t="str">
        <f>VLOOKUP(A111,'Datos Personales'!A:M,5,FALSE)</f>
        <v>X</v>
      </c>
      <c r="I111" s="188" t="str">
        <f>VLOOKUP(Tabla4[[#This Row],[CODIGO]],'ESTADOS ESTUDIANTES'!B:M,12,0)</f>
        <v>2025-1</v>
      </c>
      <c r="J111" s="171" t="s">
        <v>60</v>
      </c>
      <c r="K111" s="171" t="s">
        <v>573</v>
      </c>
      <c r="L111" s="171" t="s">
        <v>402</v>
      </c>
      <c r="M111" s="171" t="s">
        <v>270</v>
      </c>
      <c r="N111" s="189">
        <v>44013</v>
      </c>
      <c r="O111" s="188">
        <v>2020</v>
      </c>
      <c r="P111" s="171" t="s">
        <v>83</v>
      </c>
      <c r="Q111" s="171" t="s">
        <v>512</v>
      </c>
      <c r="R111" s="190">
        <v>44012</v>
      </c>
      <c r="S111" s="190">
        <f>IF(Tabla4[[#This Row],[FECHA DE ACEPTACION DEL GRUP. INV.]]="","",DATE(YEAR(Tabla4[[#This Row],[FECHA DE ACEPTACION DEL GRUP. INV.]])+2,MONTH(Tabla4[[#This Row],[FECHA DE ACEPTACION DEL GRUP. INV.]]),DAY(Tabla4[[#This Row],[FECHA DE ACEPTACION DEL GRUP. INV.]])))</f>
        <v>44742</v>
      </c>
      <c r="T111" s="190" t="str">
        <f ca="1">IF(Tabla4[[#This Row],[FECHA DE ACEPTACION DEL GRUP. INV.]]="","",IF(Tabla4[[#This Row],[FECHA DE VENCIMIENTO ANTE PROYECTO]]&lt;TODAY(),"SÍ","NO"))</f>
        <v>SÍ</v>
      </c>
      <c r="U111" s="237" t="s">
        <v>62</v>
      </c>
      <c r="V111" s="237"/>
      <c r="W111" s="171" t="s">
        <v>233</v>
      </c>
      <c r="X111" s="171"/>
      <c r="Y111" s="189"/>
      <c r="Z111" s="191"/>
      <c r="AA111" s="189">
        <v>44097</v>
      </c>
      <c r="AB111" s="191">
        <v>90.65</v>
      </c>
      <c r="AC111" s="171" t="s">
        <v>79</v>
      </c>
      <c r="AD111" s="171"/>
      <c r="AE111" s="190"/>
      <c r="AF111" s="190"/>
      <c r="AG111" s="171"/>
      <c r="AH111" s="171"/>
      <c r="AI111" s="171"/>
      <c r="AJ111" s="193" t="str">
        <f>IFERROR(VLOOKUP(AI111,Listas!K:L,2,0),"")</f>
        <v/>
      </c>
      <c r="AK111" s="187" t="str">
        <f>IFERROR(VLOOKUP(AJ111,Listas!L:M,2,0),"")</f>
        <v/>
      </c>
      <c r="AL111" s="189"/>
      <c r="AM111" s="169"/>
      <c r="AN111" s="189"/>
      <c r="AO111" s="169"/>
      <c r="AP111" s="189"/>
      <c r="AQ111" s="189"/>
      <c r="AR111" s="187"/>
      <c r="AS111" s="187"/>
      <c r="AT111" s="169"/>
      <c r="AU111" s="169"/>
      <c r="AV111" s="189"/>
      <c r="AW111" s="189"/>
      <c r="AX111" s="187"/>
      <c r="AY111" s="187"/>
      <c r="AZ111" s="169"/>
      <c r="BA111" s="189"/>
      <c r="BB111" s="187" t="str">
        <f t="shared" si="13"/>
        <v/>
      </c>
      <c r="BC111" s="187" t="e">
        <f t="shared" si="10"/>
        <v>#VALUE!</v>
      </c>
      <c r="BD111" s="187" t="e">
        <f t="shared" si="12"/>
        <v>#VALUE!</v>
      </c>
      <c r="BE111" s="169"/>
      <c r="BF111" s="169"/>
      <c r="BG111" s="234" t="str">
        <f t="shared" si="11"/>
        <v/>
      </c>
    </row>
    <row r="112" spans="1:59" ht="75" hidden="1">
      <c r="A112" s="195">
        <v>20201395006</v>
      </c>
      <c r="B112" s="188" t="str">
        <f>VLOOKUP(A112,'Datos Personales'!A:M,2,FALSE)</f>
        <v>RODRÍGUEZ RODRÍGUEZ WILLIAM STEVEN</v>
      </c>
      <c r="C112" s="188">
        <f>VLOOKUP(A112,'ESTADOS ESTUDIANTES'!B:L,11,0)</f>
        <v>1015459449</v>
      </c>
      <c r="D112" s="188">
        <f>VLOOKUP(A112,'Datos Personales'!$A:$M,3,FALSE)</f>
        <v>395</v>
      </c>
      <c r="E112" s="188" t="str">
        <f>VLOOKUP(Tabla4[[#This Row],[ENFASIS]],Listas!$R$2:$S$8,2,0)</f>
        <v>ENFASIS EN GEOMATICA</v>
      </c>
      <c r="F112" s="188" t="str">
        <f>VLOOKUP(A112,'Datos Personales'!A:M,8,0)</f>
        <v>wsrodriguezr@udistrital.edu.co</v>
      </c>
      <c r="G112" s="188" t="str">
        <f>VLOOKUP(A112,'Datos Personales'!A:M,9,0)</f>
        <v>stevengears@gmail.com</v>
      </c>
      <c r="H112" s="188" t="s">
        <v>84</v>
      </c>
      <c r="I112" s="188" t="str">
        <f>VLOOKUP(Tabla4[[#This Row],[CODIGO]],'ESTADOS ESTUDIANTES'!B:M,12,0)</f>
        <v>2025-1</v>
      </c>
      <c r="J112" s="171" t="s">
        <v>60</v>
      </c>
      <c r="K112" s="171" t="s">
        <v>574</v>
      </c>
      <c r="L112" s="171" t="s">
        <v>323</v>
      </c>
      <c r="M112" s="171"/>
      <c r="N112" s="189">
        <v>45401</v>
      </c>
      <c r="O112" s="188">
        <v>2024</v>
      </c>
      <c r="P112" s="171" t="s">
        <v>112</v>
      </c>
      <c r="Q112" s="171" t="s">
        <v>222</v>
      </c>
      <c r="R112" s="237">
        <v>45412</v>
      </c>
      <c r="S112" s="237">
        <f>IF(Tabla4[[#This Row],[FECHA DE ACEPTACION DEL GRUP. INV.]]="","",DATE(YEAR(Tabla4[[#This Row],[FECHA DE ACEPTACION DEL GRUP. INV.]])+2,MONTH(Tabla4[[#This Row],[FECHA DE ACEPTACION DEL GRUP. INV.]]),DAY(Tabla4[[#This Row],[FECHA DE ACEPTACION DEL GRUP. INV.]])))</f>
        <v>46142</v>
      </c>
      <c r="T112" s="237" t="str">
        <f ca="1">IF(Tabla4[[#This Row],[FECHA DE ACEPTACION DEL GRUP. INV.]]="","",IF(Tabla4[[#This Row],[FECHA DE VENCIMIENTO ANTE PROYECTO]]&lt;TODAY(),"SÍ","NO"))</f>
        <v>SÍ</v>
      </c>
      <c r="U112" s="237" t="s">
        <v>62</v>
      </c>
      <c r="V112" s="237"/>
      <c r="W112" s="277" t="s">
        <v>575</v>
      </c>
      <c r="X112" s="277"/>
      <c r="Y112" s="189">
        <v>44153</v>
      </c>
      <c r="Z112" s="191">
        <v>90.65</v>
      </c>
      <c r="AA112" s="189">
        <v>45604</v>
      </c>
      <c r="AB112" s="191">
        <v>141</v>
      </c>
      <c r="AC112" s="98" t="s">
        <v>68</v>
      </c>
      <c r="AD112" s="171" t="s">
        <v>576</v>
      </c>
      <c r="AE112" s="190">
        <v>45608</v>
      </c>
      <c r="AF112" s="190" t="s">
        <v>577</v>
      </c>
      <c r="AG112" s="171" t="s">
        <v>578</v>
      </c>
      <c r="AH112" s="171" t="s">
        <v>394</v>
      </c>
      <c r="AI112" s="171" t="s">
        <v>99</v>
      </c>
      <c r="AJ112" s="170">
        <f>IFERROR(VLOOKUP(AI112,Listas!K:L,2,0),"")</f>
        <v>0.2</v>
      </c>
      <c r="AK112" s="21">
        <f>IFERROR(VLOOKUP(AJ112,Listas!L:M,2,0),"")</f>
        <v>10</v>
      </c>
      <c r="AL112" s="189">
        <v>45608</v>
      </c>
      <c r="AM112" s="169" t="s">
        <v>576</v>
      </c>
      <c r="AN112" s="189">
        <v>45608</v>
      </c>
      <c r="AO112" s="169" t="s">
        <v>222</v>
      </c>
      <c r="AP112" s="189">
        <v>45617</v>
      </c>
      <c r="AQ112" s="189">
        <v>45635</v>
      </c>
      <c r="AR112" s="187">
        <v>48</v>
      </c>
      <c r="AS112" s="187">
        <v>47</v>
      </c>
      <c r="AT112" s="169" t="s">
        <v>41</v>
      </c>
      <c r="AU112" s="169" t="s">
        <v>290</v>
      </c>
      <c r="AV112" s="189">
        <v>45617</v>
      </c>
      <c r="AW112" s="189">
        <v>45635</v>
      </c>
      <c r="AX112" s="187">
        <v>48</v>
      </c>
      <c r="AY112" s="187">
        <v>47</v>
      </c>
      <c r="AZ112" s="169" t="s">
        <v>41</v>
      </c>
      <c r="BA112" s="189">
        <v>45635</v>
      </c>
      <c r="BB112" s="187">
        <f t="shared" si="13"/>
        <v>47.5</v>
      </c>
      <c r="BC112" s="187">
        <f t="shared" si="10"/>
        <v>38</v>
      </c>
      <c r="BD112" s="187">
        <f t="shared" si="12"/>
        <v>48</v>
      </c>
      <c r="BE112" s="169"/>
      <c r="BF112" s="169"/>
      <c r="BG112" s="234" t="str">
        <f t="shared" si="11"/>
        <v/>
      </c>
    </row>
    <row r="113" spans="1:59" s="339" customFormat="1" ht="15" hidden="1">
      <c r="A113" s="21">
        <v>20201395007</v>
      </c>
      <c r="B113" s="19" t="str">
        <f>VLOOKUP(A113,'Datos Personales'!A:M,2,FALSE)</f>
        <v>ROMERO BELTRÁN JEISSON ANDRÉS</v>
      </c>
      <c r="C113" s="19">
        <f>VLOOKUP(A113,'ESTADOS ESTUDIANTES'!B:L,11,0)</f>
        <v>1032433435</v>
      </c>
      <c r="D113" s="19">
        <f>VLOOKUP(A113,'Datos Personales'!$A:$M,3,FALSE)</f>
        <v>395</v>
      </c>
      <c r="E113" s="19" t="str">
        <f>VLOOKUP(Tabla4[[#This Row],[ENFASIS]],Listas!$R$2:$S$8,2,0)</f>
        <v>ENFASIS EN GEOMATICA</v>
      </c>
      <c r="F113" s="19">
        <f>VLOOKUP(A113,'Datos Personales'!A:M,8,0)</f>
        <v>0</v>
      </c>
      <c r="G113" s="19" t="str">
        <f>VLOOKUP(A113,'Datos Personales'!A:M,9,0)</f>
        <v>andresromerobeltran@gmail.com</v>
      </c>
      <c r="H113" s="19" t="str">
        <f>VLOOKUP(A113,'Datos Personales'!A:M,5,FALSE)</f>
        <v>I</v>
      </c>
      <c r="I113" s="19" t="str">
        <f>VLOOKUP(Tabla4[[#This Row],[CODIGO]],'ESTADOS ESTUDIANTES'!B:M,12,0)</f>
        <v>-</v>
      </c>
      <c r="J113" s="23"/>
      <c r="K113" s="22"/>
      <c r="L113" s="22"/>
      <c r="M113" s="22"/>
      <c r="N113" s="265"/>
      <c r="O113" s="22"/>
      <c r="P113" s="22"/>
      <c r="Q113" s="22"/>
      <c r="R113" s="266"/>
      <c r="S113" s="266" t="str">
        <f>IF(Tabla4[[#This Row],[FECHA DE ACEPTACION DEL GRUP. INV.]]="","",DATE(YEAR(Tabla4[[#This Row],[FECHA DE ACEPTACION DEL GRUP. INV.]])+2,MONTH(Tabla4[[#This Row],[FECHA DE ACEPTACION DEL GRUP. INV.]]),DAY(Tabla4[[#This Row],[FECHA DE ACEPTACION DEL GRUP. INV.]])))</f>
        <v/>
      </c>
      <c r="T113" s="266" t="str">
        <f ca="1">IF(Tabla4[[#This Row],[FECHA DE ACEPTACION DEL GRUP. INV.]]="","",IF(Tabla4[[#This Row],[FECHA DE VENCIMIENTO ANTE PROYECTO]]&lt;TODAY(),"SÍ","NO"))</f>
        <v/>
      </c>
      <c r="U113" s="266"/>
      <c r="V113" s="266"/>
      <c r="W113" s="267"/>
      <c r="X113" s="267"/>
      <c r="Y113" s="96"/>
      <c r="Z113" s="97"/>
      <c r="AA113" s="96"/>
      <c r="AB113" s="97"/>
      <c r="AC113" s="110"/>
      <c r="AD113" s="267"/>
      <c r="AE113" s="266"/>
      <c r="AF113" s="266"/>
      <c r="AG113" s="169"/>
      <c r="AH113" s="169"/>
      <c r="AI113" s="169"/>
      <c r="AJ113" s="170" t="str">
        <f>IFERROR(VLOOKUP(AI113,Listas!K:L,2,0),"")</f>
        <v/>
      </c>
      <c r="AK113" s="21" t="str">
        <f>IFERROR(VLOOKUP(AJ113,Listas!L:M,2,0),"")</f>
        <v/>
      </c>
      <c r="AL113" s="265"/>
      <c r="AM113" s="22"/>
      <c r="AN113" s="265"/>
      <c r="AO113" s="22"/>
      <c r="AP113" s="265"/>
      <c r="AQ113" s="265"/>
      <c r="AR113" s="21"/>
      <c r="AS113" s="21"/>
      <c r="AT113" s="22"/>
      <c r="AU113" s="22"/>
      <c r="AV113" s="265"/>
      <c r="AW113" s="265"/>
      <c r="AX113" s="21"/>
      <c r="AY113" s="21"/>
      <c r="AZ113" s="22"/>
      <c r="BA113" s="265"/>
      <c r="BB113" s="18" t="str">
        <f>IFERROR(ROUND(AVERAGE(AY113,AX113,AS113,AR113),0),"")</f>
        <v/>
      </c>
      <c r="BC113" s="18" t="e">
        <f>(BB113*0.8)/10</f>
        <v>#VALUE!</v>
      </c>
      <c r="BD113" s="185" t="e">
        <f t="shared" si="12"/>
        <v>#VALUE!</v>
      </c>
      <c r="BE113" s="22"/>
      <c r="BF113" s="22"/>
      <c r="BG113" s="293" t="str">
        <f t="shared" si="11"/>
        <v/>
      </c>
    </row>
    <row r="114" spans="1:59" s="339" customFormat="1" ht="75" hidden="1">
      <c r="A114" s="187">
        <v>20201395008</v>
      </c>
      <c r="B114" s="188" t="str">
        <f>VLOOKUP(A114,'Datos Personales'!A:M,2,FALSE)</f>
        <v>SILVA ÁVILA DANIEL FERNANDO</v>
      </c>
      <c r="C114" s="188">
        <f>VLOOKUP(A114,'ESTADOS ESTUDIANTES'!B:L,11,0)</f>
        <v>1016086049</v>
      </c>
      <c r="D114" s="188">
        <f>VLOOKUP(A114,'Datos Personales'!$A:$M,3,FALSE)</f>
        <v>395</v>
      </c>
      <c r="E114" s="188" t="str">
        <f>VLOOKUP(Tabla4[[#This Row],[ENFASIS]],Listas!$R$2:$S$8,2,0)</f>
        <v>ENFASIS EN GEOMATICA</v>
      </c>
      <c r="F114" s="188" t="str">
        <f>VLOOKUP(A114,'Datos Personales'!A:M,8,0)</f>
        <v>dfsilvaa@udistrital.edu.co</v>
      </c>
      <c r="G114" s="188" t="str">
        <f>VLOOKUP(A114,'Datos Personales'!A:M,9,0)</f>
        <v>daniel1uno@gmail.com</v>
      </c>
      <c r="H114" s="188" t="str">
        <f>VLOOKUP(A114,'Datos Personales'!A:M,5,FALSE)</f>
        <v>E</v>
      </c>
      <c r="I114" s="188" t="str">
        <f>VLOOKUP(Tabla4[[#This Row],[CODIGO]],'ESTADOS ESTUDIANTES'!B:M,12,0)</f>
        <v>2024-3</v>
      </c>
      <c r="J114" s="171" t="s">
        <v>60</v>
      </c>
      <c r="K114" s="171" t="s">
        <v>579</v>
      </c>
      <c r="L114" s="171" t="s">
        <v>270</v>
      </c>
      <c r="M114" s="169"/>
      <c r="N114" s="189">
        <v>44012</v>
      </c>
      <c r="O114" s="188">
        <v>2020</v>
      </c>
      <c r="P114" s="171" t="s">
        <v>83</v>
      </c>
      <c r="Q114" s="171" t="s">
        <v>512</v>
      </c>
      <c r="R114" s="190">
        <v>44012</v>
      </c>
      <c r="S114" s="190">
        <f>IF(Tabla4[[#This Row],[FECHA DE ACEPTACION DEL GRUP. INV.]]="","",DATE(YEAR(Tabla4[[#This Row],[FECHA DE ACEPTACION DEL GRUP. INV.]])+2,MONTH(Tabla4[[#This Row],[FECHA DE ACEPTACION DEL GRUP. INV.]]),DAY(Tabla4[[#This Row],[FECHA DE ACEPTACION DEL GRUP. INV.]])))</f>
        <v>44742</v>
      </c>
      <c r="T114" s="190" t="str">
        <f ca="1">IF(Tabla4[[#This Row],[FECHA DE ACEPTACION DEL GRUP. INV.]]="","",IF(Tabla4[[#This Row],[FECHA DE VENCIMIENTO ANTE PROYECTO]]&lt;TODAY(),"SÍ","NO"))</f>
        <v>SÍ</v>
      </c>
      <c r="U114" s="237" t="s">
        <v>62</v>
      </c>
      <c r="V114" s="237"/>
      <c r="W114" s="171" t="s">
        <v>233</v>
      </c>
      <c r="X114" s="171"/>
      <c r="Y114" s="189">
        <v>44342</v>
      </c>
      <c r="Z114" s="191">
        <v>93.04</v>
      </c>
      <c r="AA114" s="86">
        <v>45604</v>
      </c>
      <c r="AB114" s="160">
        <v>159</v>
      </c>
      <c r="AC114" s="98" t="s">
        <v>68</v>
      </c>
      <c r="AD114" s="171" t="s">
        <v>405</v>
      </c>
      <c r="AE114" s="190">
        <v>45581</v>
      </c>
      <c r="AF114" s="190" t="s">
        <v>580</v>
      </c>
      <c r="AG114" s="171" t="s">
        <v>581</v>
      </c>
      <c r="AH114" s="171" t="s">
        <v>394</v>
      </c>
      <c r="AI114" s="171" t="s">
        <v>94</v>
      </c>
      <c r="AJ114" s="170">
        <f>IFERROR(VLOOKUP(AI114,Listas!K:L,2,0),"")</f>
        <v>0.4</v>
      </c>
      <c r="AK114" s="21">
        <f>IFERROR(VLOOKUP(AJ114,Listas!L:M,2,0),"")</f>
        <v>20</v>
      </c>
      <c r="AL114" s="189">
        <v>45581</v>
      </c>
      <c r="AM114" s="169" t="s">
        <v>582</v>
      </c>
      <c r="AN114" s="189">
        <v>45581</v>
      </c>
      <c r="AO114" s="169" t="s">
        <v>402</v>
      </c>
      <c r="AP114" s="189"/>
      <c r="AQ114" s="189"/>
      <c r="AR114" s="187">
        <v>48</v>
      </c>
      <c r="AS114" s="187">
        <v>47</v>
      </c>
      <c r="AT114" s="169" t="s">
        <v>41</v>
      </c>
      <c r="AU114" s="169" t="s">
        <v>344</v>
      </c>
      <c r="AV114" s="189"/>
      <c r="AW114" s="189"/>
      <c r="AX114" s="187">
        <v>45</v>
      </c>
      <c r="AY114" s="187">
        <v>39</v>
      </c>
      <c r="AZ114" s="169" t="s">
        <v>41</v>
      </c>
      <c r="BA114" s="189"/>
      <c r="BB114" s="187">
        <f>IFERROR(AVERAGE(AR114,AS114,AX114,AY114),"")</f>
        <v>44.75</v>
      </c>
      <c r="BC114" s="187">
        <f t="shared" ref="BC114:BC157" si="14">BB114*(100%-AJ114)</f>
        <v>26.849999999999998</v>
      </c>
      <c r="BD114" s="187">
        <f t="shared" si="12"/>
        <v>46.849999999999994</v>
      </c>
      <c r="BE114" s="169"/>
      <c r="BF114" s="169"/>
      <c r="BG114" s="234" t="str">
        <f t="shared" si="11"/>
        <v/>
      </c>
    </row>
    <row r="115" spans="1:59" ht="45" hidden="1">
      <c r="A115" s="187">
        <v>20201495001</v>
      </c>
      <c r="B115" s="188" t="str">
        <f>VLOOKUP(A115,'Datos Personales'!A:M,2,FALSE)</f>
        <v>CAICEDO NAVARRO JOAQUÍN EDUARDO</v>
      </c>
      <c r="C115" s="188">
        <f>VLOOKUP(A115,'ESTADOS ESTUDIANTES'!B:L,11,0)</f>
        <v>1024481940</v>
      </c>
      <c r="D115" s="188">
        <f>VLOOKUP(A115,'Datos Personales'!$A:$M,3,FALSE)</f>
        <v>495</v>
      </c>
      <c r="E115" s="188" t="str">
        <f>VLOOKUP(Tabla4[[#This Row],[ENFASIS]],Listas!$R$2:$S$8,2,0)</f>
        <v>ENFASIS EN ING. SOFT</v>
      </c>
      <c r="F115" s="188" t="str">
        <f>VLOOKUP(A115,'Datos Personales'!A:M,8,0)</f>
        <v>jecaicedon@udistrital.edu.co</v>
      </c>
      <c r="G115" s="188" t="str">
        <f>VLOOKUP(A115,'Datos Personales'!A:M,9,0)</f>
        <v>joacocn@gmail.com</v>
      </c>
      <c r="H115" s="188" t="str">
        <f>VLOOKUP(A115,'Datos Personales'!A:M,5,FALSE)</f>
        <v>E</v>
      </c>
      <c r="I115" s="188" t="str">
        <f>VLOOKUP(Tabla4[[#This Row],[CODIGO]],'ESTADOS ESTUDIANTES'!B:M,12,0)</f>
        <v>2025-3</v>
      </c>
      <c r="J115" s="171" t="s">
        <v>60</v>
      </c>
      <c r="K115" s="171" t="s">
        <v>583</v>
      </c>
      <c r="L115" s="171" t="s">
        <v>584</v>
      </c>
      <c r="M115" s="171" t="s">
        <v>585</v>
      </c>
      <c r="N115" s="189">
        <v>45751</v>
      </c>
      <c r="O115" s="188">
        <v>2025</v>
      </c>
      <c r="P115" s="171" t="s">
        <v>75</v>
      </c>
      <c r="Q115" s="171" t="s">
        <v>584</v>
      </c>
      <c r="R115" s="189">
        <v>45751</v>
      </c>
      <c r="S115" s="189">
        <f>IF(Tabla4[[#This Row],[FECHA DE ACEPTACION DEL GRUP. INV.]]="","",DATE(YEAR(Tabla4[[#This Row],[FECHA DE ACEPTACION DEL GRUP. INV.]])+2,MONTH(Tabla4[[#This Row],[FECHA DE ACEPTACION DEL GRUP. INV.]]),DAY(Tabla4[[#This Row],[FECHA DE ACEPTACION DEL GRUP. INV.]])))</f>
        <v>46481</v>
      </c>
      <c r="T115" s="189" t="str">
        <f ca="1">IF(Tabla4[[#This Row],[FECHA DE ACEPTACION DEL GRUP. INV.]]="","",IF(Tabla4[[#This Row],[FECHA DE VENCIMIENTO ANTE PROYECTO]]&lt;TODAY(),"SÍ","NO"))</f>
        <v>NO</v>
      </c>
      <c r="U115" s="237" t="s">
        <v>62</v>
      </c>
      <c r="V115" s="237"/>
      <c r="W115" s="171" t="s">
        <v>508</v>
      </c>
      <c r="X115" s="171"/>
      <c r="Y115" s="189">
        <v>44981</v>
      </c>
      <c r="Z115" s="191">
        <v>139</v>
      </c>
      <c r="AA115" s="189">
        <v>45768</v>
      </c>
      <c r="AB115" s="191">
        <v>139</v>
      </c>
      <c r="AC115" s="171" t="s">
        <v>79</v>
      </c>
      <c r="AD115" s="171" t="s">
        <v>454</v>
      </c>
      <c r="AE115" s="190">
        <v>45819</v>
      </c>
      <c r="AF115" s="190" t="s">
        <v>586</v>
      </c>
      <c r="AG115" s="171" t="s">
        <v>587</v>
      </c>
      <c r="AH115" s="171" t="s">
        <v>457</v>
      </c>
      <c r="AI115" s="171" t="s">
        <v>99</v>
      </c>
      <c r="AJ115" s="193">
        <f>IFERROR(VLOOKUP(AI115,Listas!K:L,2,0),"")</f>
        <v>0.2</v>
      </c>
      <c r="AK115" s="187">
        <f>IFERROR(VLOOKUP(AJ115,Listas!L:M,2,0),"")</f>
        <v>10</v>
      </c>
      <c r="AL115" s="189">
        <v>45819</v>
      </c>
      <c r="AM115" s="169" t="s">
        <v>454</v>
      </c>
      <c r="AN115" s="189">
        <v>45819</v>
      </c>
      <c r="AO115" s="169" t="s">
        <v>239</v>
      </c>
      <c r="AP115" s="189"/>
      <c r="AQ115" s="189"/>
      <c r="AR115" s="187"/>
      <c r="AS115" s="187"/>
      <c r="AT115" s="169"/>
      <c r="AU115" s="169"/>
      <c r="AV115" s="189"/>
      <c r="AW115" s="189"/>
      <c r="AX115" s="187"/>
      <c r="AY115" s="187"/>
      <c r="AZ115" s="169"/>
      <c r="BA115" s="189"/>
      <c r="BB115" s="187" t="str">
        <f>IFERROR(AVERAGE(AR115,AS115,AX115,AY115),"")</f>
        <v/>
      </c>
      <c r="BC115" s="187" t="e">
        <f t="shared" si="14"/>
        <v>#VALUE!</v>
      </c>
      <c r="BD115" s="187" t="e">
        <f t="shared" si="12"/>
        <v>#VALUE!</v>
      </c>
      <c r="BE115" s="169"/>
      <c r="BF115" s="169"/>
      <c r="BG115" s="234" t="str">
        <f t="shared" si="11"/>
        <v/>
      </c>
    </row>
    <row r="116" spans="1:59" s="339" customFormat="1" ht="45" hidden="1">
      <c r="A116" s="662">
        <v>20201495002</v>
      </c>
      <c r="B116" s="659" t="str">
        <f>VLOOKUP(A116,'Datos Personales'!A:M,2,FALSE)</f>
        <v>AGUIRRE CARPETA WILLIAM YESID</v>
      </c>
      <c r="C116" s="659">
        <f>VLOOKUP(A116,'ESTADOS ESTUDIANTES'!B:L,11,0)</f>
        <v>1022944647</v>
      </c>
      <c r="D116" s="659">
        <f>VLOOKUP(A116,'Datos Personales'!$A:$M,3,FALSE)</f>
        <v>495</v>
      </c>
      <c r="E116" s="659" t="str">
        <f>VLOOKUP(Tabla4[[#This Row],[ENFASIS]],Listas!$R$2:$S$8,2,0)</f>
        <v>ENFASIS EN ING. SOFT</v>
      </c>
      <c r="F116" s="659" t="str">
        <f>VLOOKUP(A116,'Datos Personales'!A:M,8,0)</f>
        <v>wyaguirrec@udistrital.edu.co</v>
      </c>
      <c r="G116" s="659" t="str">
        <f>VLOOKUP(A116,'Datos Personales'!A:M,9,0)</f>
        <v>williamaguirrecarpeta@gmail.com</v>
      </c>
      <c r="H116" s="659" t="str">
        <f>VLOOKUP(A116,'Datos Personales'!A:M,5,FALSE)</f>
        <v>A</v>
      </c>
      <c r="I116" s="659" t="str">
        <f>VLOOKUP(Tabla4[[#This Row],[CODIGO]],'ESTADOS ESTUDIANTES'!B:M,12,0)</f>
        <v>2026-3</v>
      </c>
      <c r="J116" s="651" t="s">
        <v>60</v>
      </c>
      <c r="K116" s="651" t="s">
        <v>588</v>
      </c>
      <c r="L116" s="651" t="s">
        <v>385</v>
      </c>
      <c r="M116" s="660"/>
      <c r="N116" s="658">
        <v>45803</v>
      </c>
      <c r="O116" s="659">
        <v>2025</v>
      </c>
      <c r="P116" s="651" t="s">
        <v>140</v>
      </c>
      <c r="Q116" s="651" t="s">
        <v>385</v>
      </c>
      <c r="R116" s="656">
        <v>45828</v>
      </c>
      <c r="S116" s="656">
        <f>IF(Tabla4[[#This Row],[FECHA DE ACEPTACION DEL GRUP. INV.]]="","",DATE(YEAR(Tabla4[[#This Row],[FECHA DE ACEPTACION DEL GRUP. INV.]])+2,MONTH(Tabla4[[#This Row],[FECHA DE ACEPTACION DEL GRUP. INV.]]),DAY(Tabla4[[#This Row],[FECHA DE ACEPTACION DEL GRUP. INV.]])))</f>
        <v>46558</v>
      </c>
      <c r="T116" s="656" t="str">
        <f ca="1">IF(Tabla4[[#This Row],[FECHA DE ACEPTACION DEL GRUP. INV.]]="","",IF(Tabla4[[#This Row],[FECHA DE VENCIMIENTO ANTE PROYECTO]]&lt;TODAY(),"SÍ","NO"))</f>
        <v>NO</v>
      </c>
      <c r="U116" s="657" t="s">
        <v>62</v>
      </c>
      <c r="V116" s="237"/>
      <c r="W116" s="474" t="s">
        <v>589</v>
      </c>
      <c r="X116" s="651" t="s">
        <v>506</v>
      </c>
      <c r="Y116" s="189"/>
      <c r="Z116" s="191"/>
      <c r="AA116" s="189"/>
      <c r="AB116" s="191"/>
      <c r="AC116" s="169"/>
      <c r="AD116" s="171"/>
      <c r="AE116" s="190"/>
      <c r="AF116" s="190"/>
      <c r="AG116" s="169"/>
      <c r="AH116" s="169"/>
      <c r="AI116" s="169"/>
      <c r="AJ116" s="193" t="str">
        <f>IFERROR(VLOOKUP(AI116,Listas!K:L,2,0),"")</f>
        <v/>
      </c>
      <c r="AK116" s="187" t="str">
        <f>IFERROR(VLOOKUP(AJ116,Listas!L:M,2,0),"")</f>
        <v/>
      </c>
      <c r="AL116" s="189"/>
      <c r="AM116" s="169"/>
      <c r="AN116" s="189"/>
      <c r="AO116" s="169"/>
      <c r="AP116" s="189"/>
      <c r="AQ116" s="189"/>
      <c r="AR116" s="187"/>
      <c r="AS116" s="187"/>
      <c r="AT116" s="169"/>
      <c r="AU116" s="169"/>
      <c r="AV116" s="189"/>
      <c r="AW116" s="189"/>
      <c r="AX116" s="187"/>
      <c r="AY116" s="187"/>
      <c r="AZ116" s="169"/>
      <c r="BA116" s="189"/>
      <c r="BB116" s="187" t="str">
        <f>IFERROR(AVERAGE(AR116,AS116,AX116,AY116),"")</f>
        <v/>
      </c>
      <c r="BC116" s="187" t="e">
        <f t="shared" si="14"/>
        <v>#VALUE!</v>
      </c>
      <c r="BD116" s="187" t="e">
        <f t="shared" si="12"/>
        <v>#VALUE!</v>
      </c>
      <c r="BE116" s="169"/>
      <c r="BF116" s="169"/>
      <c r="BG116" s="234" t="str">
        <f t="shared" si="11"/>
        <v>Roberto Ferro Escobar</v>
      </c>
    </row>
    <row r="117" spans="1:59" s="339" customFormat="1" ht="45" hidden="1">
      <c r="A117" s="21">
        <v>20201495005</v>
      </c>
      <c r="B117" s="19" t="str">
        <f>VLOOKUP(A117,'Datos Personales'!A:M,2,FALSE)</f>
        <v>GALVIS ESPITIA DAVID GUILLERMO</v>
      </c>
      <c r="C117" s="19">
        <f>VLOOKUP(A117,'ESTADOS ESTUDIANTES'!B:L,11,0)</f>
        <v>1010216119</v>
      </c>
      <c r="D117" s="19">
        <f>VLOOKUP(A117,'Datos Personales'!$A:$M,3,FALSE)</f>
        <v>495</v>
      </c>
      <c r="E117" s="19" t="str">
        <f>VLOOKUP(Tabla4[[#This Row],[ENFASIS]],Listas!$R$2:$S$8,2,0)</f>
        <v>ENFASIS EN ING. SOFT</v>
      </c>
      <c r="F117" s="19" t="str">
        <f>VLOOKUP(A117,'Datos Personales'!A:M,8,0)</f>
        <v>dggalvise@correo.udistrital.edu.co</v>
      </c>
      <c r="G117" s="19" t="str">
        <f>VLOOKUP(A117,'Datos Personales'!A:M,9,0)</f>
        <v>davidggalvis@gmail.com</v>
      </c>
      <c r="H117" s="19" t="str">
        <f>VLOOKUP(A117,'Datos Personales'!A:M,5,FALSE)</f>
        <v>X</v>
      </c>
      <c r="I117" s="19" t="str">
        <f>VLOOKUP(Tabla4[[#This Row],[CODIGO]],'ESTADOS ESTUDIANTES'!B:M,12,0)</f>
        <v>2021-1</v>
      </c>
      <c r="J117" s="18" t="s">
        <v>60</v>
      </c>
      <c r="K117" s="18" t="s">
        <v>590</v>
      </c>
      <c r="L117" s="18" t="s">
        <v>225</v>
      </c>
      <c r="M117" s="23"/>
      <c r="N117" s="96">
        <v>44012</v>
      </c>
      <c r="O117" s="19">
        <v>2020</v>
      </c>
      <c r="P117" s="18" t="s">
        <v>106</v>
      </c>
      <c r="Q117" s="18" t="s">
        <v>225</v>
      </c>
      <c r="R117" s="124">
        <v>44012</v>
      </c>
      <c r="S117" s="124">
        <f>IF(Tabla4[[#This Row],[FECHA DE ACEPTACION DEL GRUP. INV.]]="","",DATE(YEAR(Tabla4[[#This Row],[FECHA DE ACEPTACION DEL GRUP. INV.]])+2,MONTH(Tabla4[[#This Row],[FECHA DE ACEPTACION DEL GRUP. INV.]]),DAY(Tabla4[[#This Row],[FECHA DE ACEPTACION DEL GRUP. INV.]])))</f>
        <v>44742</v>
      </c>
      <c r="T117" s="124" t="str">
        <f ca="1">IF(Tabla4[[#This Row],[FECHA DE ACEPTACION DEL GRUP. INV.]]="","",IF(Tabla4[[#This Row],[FECHA DE VENCIMIENTO ANTE PROYECTO]]&lt;TODAY(),"SÍ","NO"))</f>
        <v>SÍ</v>
      </c>
      <c r="U117" s="124"/>
      <c r="V117" s="124"/>
      <c r="W117" s="18" t="s">
        <v>233</v>
      </c>
      <c r="X117" s="18"/>
      <c r="Y117" s="96"/>
      <c r="Z117" s="97"/>
      <c r="AA117" s="96"/>
      <c r="AB117" s="97"/>
      <c r="AC117" s="110"/>
      <c r="AD117" s="18"/>
      <c r="AE117" s="124"/>
      <c r="AF117" s="124"/>
      <c r="AG117" s="169"/>
      <c r="AH117" s="169"/>
      <c r="AI117" s="169"/>
      <c r="AJ117" s="170" t="str">
        <f>IFERROR(VLOOKUP(AI117,Listas!K:L,2,0),"")</f>
        <v/>
      </c>
      <c r="AK117" s="21" t="str">
        <f>IFERROR(VLOOKUP(AJ117,Listas!L:M,2,0),"")</f>
        <v/>
      </c>
      <c r="AL117" s="96"/>
      <c r="AM117" s="23"/>
      <c r="AN117" s="96"/>
      <c r="AO117" s="23"/>
      <c r="AP117" s="96"/>
      <c r="AQ117" s="96"/>
      <c r="AR117" s="21"/>
      <c r="AS117" s="21"/>
      <c r="AT117" s="23"/>
      <c r="AU117" s="23"/>
      <c r="AV117" s="96"/>
      <c r="AW117" s="96"/>
      <c r="AX117" s="21"/>
      <c r="AY117" s="21"/>
      <c r="AZ117" s="23"/>
      <c r="BA117" s="96"/>
      <c r="BB117" s="18" t="str">
        <f>IFERROR(ROUND(AVERAGE(AY117,AX117,AS117,AR117),0),"")</f>
        <v/>
      </c>
      <c r="BC117" s="232" t="e">
        <f t="shared" si="14"/>
        <v>#VALUE!</v>
      </c>
      <c r="BD117" s="185" t="e">
        <f t="shared" si="12"/>
        <v>#VALUE!</v>
      </c>
      <c r="BE117" s="23"/>
      <c r="BF117" s="23"/>
      <c r="BG117" s="293" t="str">
        <f t="shared" si="11"/>
        <v/>
      </c>
    </row>
    <row r="118" spans="1:59" s="339" customFormat="1" ht="45" hidden="1">
      <c r="A118" s="187">
        <v>20201495006</v>
      </c>
      <c r="B118" s="188" t="str">
        <f>VLOOKUP(A118,'Datos Personales'!A:M,2,FALSE)</f>
        <v>ORTIZ MONTERO CHRISTOPHER GIOVANNY</v>
      </c>
      <c r="C118" s="188">
        <f>VLOOKUP(A118,'ESTADOS ESTUDIANTES'!B:L,11,0)</f>
        <v>1136888127</v>
      </c>
      <c r="D118" s="188">
        <f>VLOOKUP(A118,'Datos Personales'!$A:$M,3,FALSE)</f>
        <v>495</v>
      </c>
      <c r="E118" s="188" t="str">
        <f>VLOOKUP(Tabla4[[#This Row],[ENFASIS]],Listas!$R$2:$S$8,2,0)</f>
        <v>ENFASIS EN ING. SOFT</v>
      </c>
      <c r="F118" s="188" t="str">
        <f>VLOOKUP(A118,'Datos Personales'!A:M,8,0)</f>
        <v>cgortizm@udistrital.edu.co</v>
      </c>
      <c r="G118" s="188" t="str">
        <f>VLOOKUP(A118,'Datos Personales'!A:M,9,0)</f>
        <v>cgortizm@udistrital.edu.co</v>
      </c>
      <c r="H118" s="188" t="str">
        <f>VLOOKUP(A118,'Datos Personales'!A:M,5,FALSE)</f>
        <v>X</v>
      </c>
      <c r="I118" s="188" t="str">
        <f>VLOOKUP(Tabla4[[#This Row],[CODIGO]],'ESTADOS ESTUDIANTES'!B:M,12,0)</f>
        <v>2022-3</v>
      </c>
      <c r="J118" s="171" t="s">
        <v>60</v>
      </c>
      <c r="K118" s="171" t="s">
        <v>591</v>
      </c>
      <c r="L118" s="171" t="s">
        <v>422</v>
      </c>
      <c r="M118" s="169"/>
      <c r="N118" s="189">
        <v>44012</v>
      </c>
      <c r="O118" s="188">
        <v>2020</v>
      </c>
      <c r="P118" s="171" t="s">
        <v>106</v>
      </c>
      <c r="Q118" s="171" t="s">
        <v>225</v>
      </c>
      <c r="R118" s="190">
        <v>44064</v>
      </c>
      <c r="S118" s="190">
        <f>IF(Tabla4[[#This Row],[FECHA DE ACEPTACION DEL GRUP. INV.]]="","",DATE(YEAR(Tabla4[[#This Row],[FECHA DE ACEPTACION DEL GRUP. INV.]])+2,MONTH(Tabla4[[#This Row],[FECHA DE ACEPTACION DEL GRUP. INV.]]),DAY(Tabla4[[#This Row],[FECHA DE ACEPTACION DEL GRUP. INV.]])))</f>
        <v>44794</v>
      </c>
      <c r="T118" s="190" t="str">
        <f ca="1">IF(Tabla4[[#This Row],[FECHA DE ACEPTACION DEL GRUP. INV.]]="","",IF(Tabla4[[#This Row],[FECHA DE VENCIMIENTO ANTE PROYECTO]]&lt;TODAY(),"SÍ","NO"))</f>
        <v>SÍ</v>
      </c>
      <c r="U118" s="190"/>
      <c r="V118" s="190"/>
      <c r="W118" s="171" t="s">
        <v>592</v>
      </c>
      <c r="X118" s="171"/>
      <c r="Y118" s="189"/>
      <c r="Z118" s="191"/>
      <c r="AA118" s="189">
        <v>44097</v>
      </c>
      <c r="AB118" s="191">
        <v>92.52</v>
      </c>
      <c r="AC118" s="98" t="s">
        <v>79</v>
      </c>
      <c r="AD118" s="171"/>
      <c r="AE118" s="190"/>
      <c r="AF118" s="190"/>
      <c r="AG118" s="171"/>
      <c r="AH118" s="171"/>
      <c r="AI118" s="171"/>
      <c r="AJ118" s="170" t="str">
        <f>IFERROR(VLOOKUP(AI118,Listas!K:L,2,0),"")</f>
        <v/>
      </c>
      <c r="AK118" s="21" t="str">
        <f>IFERROR(VLOOKUP(AJ118,Listas!L:M,2,0),"")</f>
        <v/>
      </c>
      <c r="AL118" s="189"/>
      <c r="AM118" s="169"/>
      <c r="AN118" s="189"/>
      <c r="AO118" s="169"/>
      <c r="AP118" s="189"/>
      <c r="AQ118" s="189"/>
      <c r="AR118" s="187"/>
      <c r="AS118" s="187"/>
      <c r="AT118" s="169"/>
      <c r="AU118" s="169"/>
      <c r="AV118" s="189"/>
      <c r="AW118" s="189"/>
      <c r="AX118" s="187"/>
      <c r="AY118" s="187"/>
      <c r="AZ118" s="169"/>
      <c r="BA118" s="189"/>
      <c r="BB118" s="232" t="str">
        <f>IFERROR(AVERAGE(AR118,AS118,AX118,AY118),"")</f>
        <v/>
      </c>
      <c r="BC118" s="232" t="e">
        <f t="shared" si="14"/>
        <v>#VALUE!</v>
      </c>
      <c r="BD118" s="232" t="e">
        <f t="shared" si="12"/>
        <v>#VALUE!</v>
      </c>
      <c r="BE118" s="169"/>
      <c r="BF118" s="169"/>
      <c r="BG118" s="234" t="str">
        <f t="shared" si="11"/>
        <v/>
      </c>
    </row>
    <row r="119" spans="1:59" ht="15" hidden="1">
      <c r="A119" s="21">
        <v>20201495008</v>
      </c>
      <c r="B119" s="19" t="str">
        <f>VLOOKUP(A119,'Datos Personales'!A:M,2,FALSE)</f>
        <v>SANABRIA ARTEAGA JHANS</v>
      </c>
      <c r="C119" s="19">
        <f>VLOOKUP(A119,'ESTADOS ESTUDIANTES'!B:L,11,0)</f>
        <v>79132821</v>
      </c>
      <c r="D119" s="19">
        <f>VLOOKUP(A119,'Datos Personales'!$A:$M,3,FALSE)</f>
        <v>495</v>
      </c>
      <c r="E119" s="19" t="str">
        <f>VLOOKUP(Tabla4[[#This Row],[ENFASIS]],Listas!$R$2:$S$8,2,0)</f>
        <v>ENFASIS EN ING. SOFT</v>
      </c>
      <c r="F119" s="19">
        <f>VLOOKUP(A119,'Datos Personales'!A:M,8,0)</f>
        <v>0</v>
      </c>
      <c r="G119" s="19" t="str">
        <f>VLOOKUP(A119,'Datos Personales'!A:M,9,0)</f>
        <v>hans_sanabria@hotmail.com</v>
      </c>
      <c r="H119" s="19" t="str">
        <f>VLOOKUP(A119,'Datos Personales'!A:M,5,FALSE)</f>
        <v>N</v>
      </c>
      <c r="I119" s="19" t="str">
        <f>VLOOKUP(Tabla4[[#This Row],[CODIGO]],'ESTADOS ESTUDIANTES'!B:M,12,0)</f>
        <v>-</v>
      </c>
      <c r="J119" s="23"/>
      <c r="K119" s="22"/>
      <c r="L119" s="22"/>
      <c r="M119" s="22"/>
      <c r="N119" s="265"/>
      <c r="O119" s="22"/>
      <c r="P119" s="22"/>
      <c r="Q119" s="22"/>
      <c r="R119" s="266"/>
      <c r="S119" s="266" t="str">
        <f>IF(Tabla4[[#This Row],[FECHA DE ACEPTACION DEL GRUP. INV.]]="","",DATE(YEAR(Tabla4[[#This Row],[FECHA DE ACEPTACION DEL GRUP. INV.]])+2,MONTH(Tabla4[[#This Row],[FECHA DE ACEPTACION DEL GRUP. INV.]]),DAY(Tabla4[[#This Row],[FECHA DE ACEPTACION DEL GRUP. INV.]])))</f>
        <v/>
      </c>
      <c r="T119" s="266" t="str">
        <f ca="1">IF(Tabla4[[#This Row],[FECHA DE ACEPTACION DEL GRUP. INV.]]="","",IF(Tabla4[[#This Row],[FECHA DE VENCIMIENTO ANTE PROYECTO]]&lt;TODAY(),"SÍ","NO"))</f>
        <v/>
      </c>
      <c r="U119" s="266"/>
      <c r="V119" s="266"/>
      <c r="W119" s="266"/>
      <c r="X119" s="266"/>
      <c r="Y119" s="96"/>
      <c r="Z119" s="97"/>
      <c r="AA119" s="96"/>
      <c r="AB119" s="97"/>
      <c r="AC119" s="110"/>
      <c r="AD119" s="267"/>
      <c r="AE119" s="266"/>
      <c r="AF119" s="266"/>
      <c r="AG119" s="169"/>
      <c r="AH119" s="169"/>
      <c r="AI119" s="169"/>
      <c r="AJ119" s="170" t="str">
        <f>IFERROR(VLOOKUP(AI119,Listas!K:L,2,0),"")</f>
        <v/>
      </c>
      <c r="AK119" s="21" t="str">
        <f>IFERROR(VLOOKUP(AJ119,Listas!L:M,2,0),"")</f>
        <v/>
      </c>
      <c r="AL119" s="265"/>
      <c r="AM119" s="22"/>
      <c r="AN119" s="265"/>
      <c r="AO119" s="22"/>
      <c r="AP119" s="265"/>
      <c r="AQ119" s="265"/>
      <c r="AR119" s="21"/>
      <c r="AS119" s="21"/>
      <c r="AT119" s="22"/>
      <c r="AU119" s="22"/>
      <c r="AV119" s="265"/>
      <c r="AW119" s="265"/>
      <c r="AX119" s="21"/>
      <c r="AY119" s="21"/>
      <c r="AZ119" s="22"/>
      <c r="BA119" s="265"/>
      <c r="BB119" s="18" t="str">
        <f>IFERROR(ROUND(AVERAGE(AY119,AX119,AS119,AR119),0),"")</f>
        <v/>
      </c>
      <c r="BC119" s="232" t="e">
        <f t="shared" si="14"/>
        <v>#VALUE!</v>
      </c>
      <c r="BD119" s="185" t="e">
        <f t="shared" si="12"/>
        <v>#VALUE!</v>
      </c>
      <c r="BE119" s="22"/>
      <c r="BF119" s="22"/>
      <c r="BG119" s="293" t="str">
        <f t="shared" si="11"/>
        <v/>
      </c>
    </row>
    <row r="120" spans="1:59" s="339" customFormat="1" ht="15" hidden="1">
      <c r="A120" s="21">
        <v>20201495009</v>
      </c>
      <c r="B120" s="19" t="str">
        <f>VLOOKUP(A120,'Datos Personales'!A:M,2,FALSE)</f>
        <v>VELÁSQUEZ MÉNDEZ WALTER IVÁN</v>
      </c>
      <c r="C120" s="19">
        <f>VLOOKUP(A120,'ESTADOS ESTUDIANTES'!B:L,11,0)</f>
        <v>1032417757</v>
      </c>
      <c r="D120" s="19">
        <f>VLOOKUP(A120,'Datos Personales'!$A:$M,3,FALSE)</f>
        <v>495</v>
      </c>
      <c r="E120" s="19" t="str">
        <f>VLOOKUP(Tabla4[[#This Row],[ENFASIS]],Listas!$R$2:$S$8,2,0)</f>
        <v>ENFASIS EN ING. SOFT</v>
      </c>
      <c r="F120" s="19">
        <f>VLOOKUP(A120,'Datos Personales'!A:M,8,0)</f>
        <v>0</v>
      </c>
      <c r="G120" s="19" t="str">
        <f>VLOOKUP(A120,'Datos Personales'!A:M,9,0)</f>
        <v>wivan.vel@gmail.com</v>
      </c>
      <c r="H120" s="19" t="str">
        <f>VLOOKUP(A120,'Datos Personales'!A:M,5,FALSE)</f>
        <v>X</v>
      </c>
      <c r="I120" s="19" t="str">
        <f>VLOOKUP(Tabla4[[#This Row],[CODIGO]],'ESTADOS ESTUDIANTES'!B:M,12,0)</f>
        <v>2020-1</v>
      </c>
      <c r="J120" s="23"/>
      <c r="K120" s="23"/>
      <c r="L120" s="23"/>
      <c r="M120" s="23"/>
      <c r="N120" s="96"/>
      <c r="O120" s="23"/>
      <c r="P120" s="23"/>
      <c r="Q120" s="23"/>
      <c r="R120" s="124"/>
      <c r="S120" s="124" t="str">
        <f>IF(Tabla4[[#This Row],[FECHA DE ACEPTACION DEL GRUP. INV.]]="","",DATE(YEAR(Tabla4[[#This Row],[FECHA DE ACEPTACION DEL GRUP. INV.]])+2,MONTH(Tabla4[[#This Row],[FECHA DE ACEPTACION DEL GRUP. INV.]]),DAY(Tabla4[[#This Row],[FECHA DE ACEPTACION DEL GRUP. INV.]])))</f>
        <v/>
      </c>
      <c r="T120" s="124" t="str">
        <f ca="1">IF(Tabla4[[#This Row],[FECHA DE ACEPTACION DEL GRUP. INV.]]="","",IF(Tabla4[[#This Row],[FECHA DE VENCIMIENTO ANTE PROYECTO]]&lt;TODAY(),"SÍ","NO"))</f>
        <v/>
      </c>
      <c r="U120" s="124"/>
      <c r="V120" s="124"/>
      <c r="W120" s="18"/>
      <c r="X120" s="18"/>
      <c r="Y120" s="96"/>
      <c r="Z120" s="97"/>
      <c r="AA120" s="96"/>
      <c r="AB120" s="97"/>
      <c r="AC120" s="110"/>
      <c r="AD120" s="18"/>
      <c r="AE120" s="124"/>
      <c r="AF120" s="124"/>
      <c r="AG120" s="169"/>
      <c r="AH120" s="169"/>
      <c r="AI120" s="169"/>
      <c r="AJ120" s="170" t="str">
        <f>IFERROR(VLOOKUP(AI120,Listas!K:L,2,0),"")</f>
        <v/>
      </c>
      <c r="AK120" s="21" t="str">
        <f>IFERROR(VLOOKUP(AJ120,Listas!L:M,2,0),"")</f>
        <v/>
      </c>
      <c r="AL120" s="96"/>
      <c r="AM120" s="23"/>
      <c r="AN120" s="96"/>
      <c r="AO120" s="23"/>
      <c r="AP120" s="96"/>
      <c r="AQ120" s="96"/>
      <c r="AR120" s="21"/>
      <c r="AS120" s="21"/>
      <c r="AT120" s="23"/>
      <c r="AU120" s="23"/>
      <c r="AV120" s="96"/>
      <c r="AW120" s="96"/>
      <c r="AX120" s="21"/>
      <c r="AY120" s="21"/>
      <c r="AZ120" s="23"/>
      <c r="BA120" s="96"/>
      <c r="BB120" s="18" t="str">
        <f>IFERROR(ROUND(AVERAGE(AY120,AX120,AS120,AR120),0),"")</f>
        <v/>
      </c>
      <c r="BC120" s="232" t="e">
        <f t="shared" si="14"/>
        <v>#VALUE!</v>
      </c>
      <c r="BD120" s="185" t="e">
        <f t="shared" si="12"/>
        <v>#VALUE!</v>
      </c>
      <c r="BE120" s="23"/>
      <c r="BF120" s="23"/>
      <c r="BG120" s="255" t="str">
        <f t="shared" si="11"/>
        <v/>
      </c>
    </row>
    <row r="121" spans="1:59" ht="45" hidden="1">
      <c r="A121" s="21">
        <v>20202195003</v>
      </c>
      <c r="B121" s="19" t="str">
        <f>VLOOKUP(A121,'Datos Personales'!A:M,2,FALSE)</f>
        <v>LUNA CASTRO IVAN RODRIGO</v>
      </c>
      <c r="C121" s="19">
        <f>VLOOKUP(A121,'ESTADOS ESTUDIANTES'!B:L,11,0)</f>
        <v>79943294</v>
      </c>
      <c r="D121" s="19">
        <f>VLOOKUP(A121,'Datos Personales'!$A:$M,3,FALSE)</f>
        <v>195</v>
      </c>
      <c r="E121" s="19" t="str">
        <f>VLOOKUP(Tabla4[[#This Row],[ENFASIS]],Listas!$R$2:$S$8,2,0)</f>
        <v>EN TELEINF.</v>
      </c>
      <c r="F121" s="19">
        <f>VLOOKUP(A121,'Datos Personales'!A:M,8,0)</f>
        <v>0</v>
      </c>
      <c r="G121" s="19" t="str">
        <f>VLOOKUP(A121,'Datos Personales'!A:M,9,0)</f>
        <v>ivanluna@gmail.com</v>
      </c>
      <c r="H121" s="19" t="str">
        <f>VLOOKUP(A121,'Datos Personales'!A:M,5,FALSE)</f>
        <v>X</v>
      </c>
      <c r="I121" s="19" t="str">
        <f>VLOOKUP(Tabla4[[#This Row],[CODIGO]],'ESTADOS ESTUDIANTES'!B:M,12,0)</f>
        <v>2021-1</v>
      </c>
      <c r="J121" s="18" t="s">
        <v>60</v>
      </c>
      <c r="K121" s="18" t="s">
        <v>593</v>
      </c>
      <c r="L121" s="18" t="s">
        <v>310</v>
      </c>
      <c r="M121" s="23"/>
      <c r="N121" s="96">
        <v>44179</v>
      </c>
      <c r="O121" s="19">
        <v>2020</v>
      </c>
      <c r="P121" s="18" t="s">
        <v>115</v>
      </c>
      <c r="Q121" s="18" t="s">
        <v>292</v>
      </c>
      <c r="R121" s="124"/>
      <c r="S121" s="124" t="str">
        <f>IF(Tabla4[[#This Row],[FECHA DE ACEPTACION DEL GRUP. INV.]]="","",DATE(YEAR(Tabla4[[#This Row],[FECHA DE ACEPTACION DEL GRUP. INV.]])+2,MONTH(Tabla4[[#This Row],[FECHA DE ACEPTACION DEL GRUP. INV.]]),DAY(Tabla4[[#This Row],[FECHA DE ACEPTACION DEL GRUP. INV.]])))</f>
        <v/>
      </c>
      <c r="T121" s="124" t="str">
        <f ca="1">IF(Tabla4[[#This Row],[FECHA DE ACEPTACION DEL GRUP. INV.]]="","",IF(Tabla4[[#This Row],[FECHA DE VENCIMIENTO ANTE PROYECTO]]&lt;TODAY(),"SÍ","NO"))</f>
        <v/>
      </c>
      <c r="U121" s="124"/>
      <c r="V121" s="124"/>
      <c r="W121" s="18"/>
      <c r="X121" s="18"/>
      <c r="Y121" s="96"/>
      <c r="Z121" s="97"/>
      <c r="AA121" s="96"/>
      <c r="AB121" s="97"/>
      <c r="AC121" s="110"/>
      <c r="AD121" s="18"/>
      <c r="AE121" s="124"/>
      <c r="AF121" s="124"/>
      <c r="AG121" s="169"/>
      <c r="AH121" s="169"/>
      <c r="AI121" s="169"/>
      <c r="AJ121" s="170" t="str">
        <f>IFERROR(VLOOKUP(AI121,Listas!K:L,2,0),"")</f>
        <v/>
      </c>
      <c r="AK121" s="21" t="str">
        <f>IFERROR(VLOOKUP(AJ121,Listas!L:M,2,0),"")</f>
        <v/>
      </c>
      <c r="AL121" s="96"/>
      <c r="AM121" s="23"/>
      <c r="AN121" s="96"/>
      <c r="AO121" s="23"/>
      <c r="AP121" s="96"/>
      <c r="AQ121" s="96"/>
      <c r="AR121" s="21"/>
      <c r="AS121" s="21"/>
      <c r="AT121" s="23"/>
      <c r="AU121" s="23"/>
      <c r="AV121" s="96"/>
      <c r="AW121" s="96"/>
      <c r="AX121" s="21"/>
      <c r="AY121" s="21"/>
      <c r="AZ121" s="23"/>
      <c r="BA121" s="96"/>
      <c r="BB121" s="18" t="str">
        <f>IFERROR(ROUND(AVERAGE(AY121,AX121,AS121,AR121),0),"")</f>
        <v/>
      </c>
      <c r="BC121" s="232" t="e">
        <f t="shared" si="14"/>
        <v>#VALUE!</v>
      </c>
      <c r="BD121" s="185" t="e">
        <f t="shared" si="12"/>
        <v>#VALUE!</v>
      </c>
      <c r="BE121" s="23"/>
      <c r="BF121" s="23"/>
      <c r="BG121" s="293" t="str">
        <f t="shared" si="11"/>
        <v/>
      </c>
    </row>
    <row r="122" spans="1:59" s="630" customFormat="1" ht="45" hidden="1">
      <c r="A122" s="662">
        <v>20202195004</v>
      </c>
      <c r="B122" s="659" t="str">
        <f>VLOOKUP(A122,'Datos Personales'!A:M,2,FALSE)</f>
        <v>MARTINEZ MORALES BRENDA MELISSA</v>
      </c>
      <c r="C122" s="659">
        <f>VLOOKUP(A122,'ESTADOS ESTUDIANTES'!B:L,11,0)</f>
        <v>1106397288</v>
      </c>
      <c r="D122" s="659">
        <f>VLOOKUP(A122,'Datos Personales'!$A:$M,3,FALSE)</f>
        <v>195</v>
      </c>
      <c r="E122" s="659" t="str">
        <f>VLOOKUP(Tabla4[[#This Row],[ENFASIS]],Listas!$R$2:$S$8,2,0)</f>
        <v>EN TELEINF.</v>
      </c>
      <c r="F122" s="659" t="str">
        <f>VLOOKUP(A122,'Datos Personales'!A:M,8,0)</f>
        <v>bmmartinezm@udistrital.edu.co</v>
      </c>
      <c r="G122" s="659" t="str">
        <f>VLOOKUP(A122,'Datos Personales'!A:M,9,0)</f>
        <v>ing.brendam3@outlook.com</v>
      </c>
      <c r="H122" s="659" t="str">
        <f>VLOOKUP(A122,'Datos Personales'!A:M,5,FALSE)</f>
        <v>V</v>
      </c>
      <c r="I122" s="659" t="str">
        <f>VLOOKUP(Tabla4[[#This Row],[CODIGO]],'ESTADOS ESTUDIANTES'!B:M,12,0)</f>
        <v>2026-1</v>
      </c>
      <c r="J122" s="651" t="s">
        <v>60</v>
      </c>
      <c r="K122" s="651" t="s">
        <v>594</v>
      </c>
      <c r="L122" s="651" t="s">
        <v>595</v>
      </c>
      <c r="M122" s="110"/>
      <c r="N122" s="658">
        <v>44179</v>
      </c>
      <c r="O122" s="659">
        <v>2020</v>
      </c>
      <c r="P122" s="651" t="s">
        <v>137</v>
      </c>
      <c r="Q122" s="651" t="s">
        <v>369</v>
      </c>
      <c r="R122" s="656">
        <v>44365</v>
      </c>
      <c r="S122" s="656">
        <f>IF(Tabla4[[#This Row],[FECHA DE ACEPTACION DEL GRUP. INV.]]="","",DATE(YEAR(Tabla4[[#This Row],[FECHA DE ACEPTACION DEL GRUP. INV.]])+2,MONTH(Tabla4[[#This Row],[FECHA DE ACEPTACION DEL GRUP. INV.]]),DAY(Tabla4[[#This Row],[FECHA DE ACEPTACION DEL GRUP. INV.]])))</f>
        <v>45095</v>
      </c>
      <c r="T122" s="276" t="str">
        <f ca="1">IF(Tabla4[[#This Row],[FECHA DE ACEPTACION DEL GRUP. INV.]]="","",IF(Tabla4[[#This Row],[FECHA DE VENCIMIENTO ANTE PROYECTO]]&lt;TODAY(),"SÍ","NO"))</f>
        <v>SÍ</v>
      </c>
      <c r="U122" s="657" t="s">
        <v>62</v>
      </c>
      <c r="V122" s="626"/>
      <c r="W122" s="98"/>
      <c r="X122" s="651" t="s">
        <v>557</v>
      </c>
      <c r="Y122" s="624">
        <v>44342</v>
      </c>
      <c r="Z122" s="627">
        <v>84.35</v>
      </c>
      <c r="AA122" s="624">
        <v>45870</v>
      </c>
      <c r="AB122" s="627">
        <v>77</v>
      </c>
      <c r="AC122" s="98" t="s">
        <v>79</v>
      </c>
      <c r="AD122" s="98"/>
      <c r="AE122" s="625"/>
      <c r="AF122" s="625"/>
      <c r="AG122" s="98"/>
      <c r="AH122" s="98"/>
      <c r="AI122" s="98"/>
      <c r="AJ122" s="628" t="str">
        <f>IFERROR(VLOOKUP(AI122,Listas!K:L,2,0),"")</f>
        <v/>
      </c>
      <c r="AK122" s="373" t="str">
        <f>IFERROR(VLOOKUP(AJ122,Listas!L:M,2,0),"")</f>
        <v/>
      </c>
      <c r="AL122" s="624"/>
      <c r="AM122" s="110"/>
      <c r="AN122" s="624"/>
      <c r="AO122" s="110"/>
      <c r="AP122" s="624"/>
      <c r="AQ122" s="624"/>
      <c r="AR122" s="373"/>
      <c r="AS122" s="373"/>
      <c r="AT122" s="110"/>
      <c r="AU122" s="110"/>
      <c r="AV122" s="624"/>
      <c r="AW122" s="624"/>
      <c r="AX122" s="373"/>
      <c r="AY122" s="373"/>
      <c r="AZ122" s="110"/>
      <c r="BA122" s="624"/>
      <c r="BB122" s="373" t="str">
        <f>IFERROR(AVERAGE(AR122,AS122,AX122,AY122),"")</f>
        <v/>
      </c>
      <c r="BC122" s="373" t="e">
        <f t="shared" si="14"/>
        <v>#VALUE!</v>
      </c>
      <c r="BD122" s="373" t="e">
        <f t="shared" si="12"/>
        <v>#VALUE!</v>
      </c>
      <c r="BE122" s="110"/>
      <c r="BF122" s="110"/>
      <c r="BG122" s="629" t="str">
        <f t="shared" si="11"/>
        <v>Oscar Florez Cediel</v>
      </c>
    </row>
    <row r="123" spans="1:59" s="339" customFormat="1" ht="45" hidden="1">
      <c r="A123" s="662">
        <v>20202195005</v>
      </c>
      <c r="B123" s="659" t="str">
        <f>VLOOKUP(A123,'Datos Personales'!A:M,2,FALSE)</f>
        <v>QUINTERO VILLAMIZAR SEDITSIRA ANDREA</v>
      </c>
      <c r="C123" s="659">
        <f>VLOOKUP(A123,'ESTADOS ESTUDIANTES'!B:L,11,0)</f>
        <v>1033736878</v>
      </c>
      <c r="D123" s="659">
        <f>VLOOKUP(A123,'Datos Personales'!$A:$M,3,FALSE)</f>
        <v>695</v>
      </c>
      <c r="E123" s="659" t="str">
        <f>VLOOKUP(Tabla4[[#This Row],[ENFASIS]],Listas!$R$2:$S$8,2,0)</f>
        <v>PROFUNDIZACIÓN</v>
      </c>
      <c r="F123" s="659" t="str">
        <f>VLOOKUP(A123,'Datos Personales'!A:M,8,0)</f>
        <v>saquinterov@udistrital.edu.co</v>
      </c>
      <c r="G123" s="659" t="str">
        <f>VLOOKUP(A123,'Datos Personales'!A:M,9,0)</f>
        <v>saquinterov@unal.edu.co</v>
      </c>
      <c r="H123" s="659" t="str">
        <f>VLOOKUP(A123,'Datos Personales'!A:M,5,FALSE)</f>
        <v>V</v>
      </c>
      <c r="I123" s="659" t="str">
        <f>VLOOKUP(Tabla4[[#This Row],[CODIGO]],'ESTADOS ESTUDIANTES'!B:M,12,0)</f>
        <v>2026-1</v>
      </c>
      <c r="J123" s="651" t="s">
        <v>60</v>
      </c>
      <c r="K123" s="651" t="s">
        <v>596</v>
      </c>
      <c r="L123" s="651" t="s">
        <v>310</v>
      </c>
      <c r="M123" s="660"/>
      <c r="N123" s="658">
        <v>44179</v>
      </c>
      <c r="O123" s="659">
        <v>2020</v>
      </c>
      <c r="P123" s="651" t="s">
        <v>115</v>
      </c>
      <c r="Q123" s="651" t="s">
        <v>292</v>
      </c>
      <c r="R123" s="656">
        <v>44175</v>
      </c>
      <c r="S123" s="656">
        <f>IF(Tabla4[[#This Row],[FECHA DE ACEPTACION DEL GRUP. INV.]]="","",DATE(YEAR(Tabla4[[#This Row],[FECHA DE ACEPTACION DEL GRUP. INV.]])+2,MONTH(Tabla4[[#This Row],[FECHA DE ACEPTACION DEL GRUP. INV.]]),DAY(Tabla4[[#This Row],[FECHA DE ACEPTACION DEL GRUP. INV.]])))</f>
        <v>44905</v>
      </c>
      <c r="T123" s="276" t="str">
        <f ca="1">IF(Tabla4[[#This Row],[FECHA DE ACEPTACION DEL GRUP. INV.]]="","",IF(Tabla4[[#This Row],[FECHA DE VENCIMIENTO ANTE PROYECTO]]&lt;TODAY(),"SÍ","NO"))</f>
        <v>SÍ</v>
      </c>
      <c r="U123" s="657" t="s">
        <v>62</v>
      </c>
      <c r="V123" s="237"/>
      <c r="W123" s="171" t="s">
        <v>556</v>
      </c>
      <c r="X123" s="651" t="s">
        <v>557</v>
      </c>
      <c r="Y123" s="189"/>
      <c r="Z123" s="191"/>
      <c r="AA123" s="189">
        <v>44342</v>
      </c>
      <c r="AB123" s="191">
        <v>76.52</v>
      </c>
      <c r="AC123" s="171" t="s">
        <v>79</v>
      </c>
      <c r="AD123" s="171"/>
      <c r="AE123" s="190"/>
      <c r="AF123" s="190"/>
      <c r="AG123" s="171"/>
      <c r="AH123" s="171"/>
      <c r="AI123" s="171"/>
      <c r="AJ123" s="193" t="str">
        <f>IFERROR(VLOOKUP(AI123,Listas!K:L,2,0),"")</f>
        <v/>
      </c>
      <c r="AK123" s="187" t="str">
        <f>IFERROR(VLOOKUP(AJ123,Listas!L:M,2,0),"")</f>
        <v/>
      </c>
      <c r="AL123" s="189"/>
      <c r="AM123" s="169"/>
      <c r="AN123" s="189"/>
      <c r="AO123" s="169"/>
      <c r="AP123" s="189"/>
      <c r="AQ123" s="189"/>
      <c r="AR123" s="187"/>
      <c r="AS123" s="187"/>
      <c r="AT123" s="169"/>
      <c r="AU123" s="169"/>
      <c r="AV123" s="189"/>
      <c r="AW123" s="189"/>
      <c r="AX123" s="187"/>
      <c r="AY123" s="187"/>
      <c r="AZ123" s="169"/>
      <c r="BA123" s="189"/>
      <c r="BB123" s="187" t="str">
        <f>IFERROR(AVERAGE(AR123,AS123,AX123,AY123),"")</f>
        <v/>
      </c>
      <c r="BC123" s="187" t="e">
        <f t="shared" si="14"/>
        <v>#VALUE!</v>
      </c>
      <c r="BD123" s="187" t="e">
        <f t="shared" si="12"/>
        <v>#VALUE!</v>
      </c>
      <c r="BE123" s="169"/>
      <c r="BF123" s="169"/>
      <c r="BG123" s="234" t="str">
        <f t="shared" si="11"/>
        <v>Leonardo Plazas Nossa</v>
      </c>
    </row>
    <row r="124" spans="1:59" s="339" customFormat="1" ht="15" hidden="1">
      <c r="A124" s="21">
        <v>20202195007</v>
      </c>
      <c r="B124" s="19" t="str">
        <f>VLOOKUP(A124,'Datos Personales'!A:M,2,FALSE)</f>
        <v>RUIZ CRUZ JESUS ALBERTO</v>
      </c>
      <c r="C124" s="19">
        <f>VLOOKUP(A124,'ESTADOS ESTUDIANTES'!B:L,11,0)</f>
        <v>1030573693</v>
      </c>
      <c r="D124" s="19">
        <f>VLOOKUP(A124,'Datos Personales'!$A:$M,3,FALSE)</f>
        <v>195</v>
      </c>
      <c r="E124" s="19" t="str">
        <f>VLOOKUP(Tabla4[[#This Row],[ENFASIS]],Listas!$R$2:$S$8,2,0)</f>
        <v>EN TELEINF.</v>
      </c>
      <c r="F124" s="19">
        <f>VLOOKUP(A124,'Datos Personales'!A:M,8,0)</f>
        <v>0</v>
      </c>
      <c r="G124" s="19" t="str">
        <f>VLOOKUP(A124,'Datos Personales'!A:M,9,0)</f>
        <v>ruizcruzalberto@gmail.com</v>
      </c>
      <c r="H124" s="19" t="str">
        <f>VLOOKUP(A124,'Datos Personales'!A:M,5,FALSE)</f>
        <v>N</v>
      </c>
      <c r="I124" s="19" t="str">
        <f>VLOOKUP(Tabla4[[#This Row],[CODIGO]],'ESTADOS ESTUDIANTES'!B:M,12,0)</f>
        <v>-</v>
      </c>
      <c r="J124" s="23"/>
      <c r="K124" s="22"/>
      <c r="L124" s="22"/>
      <c r="M124" s="22"/>
      <c r="N124" s="265"/>
      <c r="O124" s="22"/>
      <c r="P124" s="22"/>
      <c r="Q124" s="22"/>
      <c r="R124" s="266"/>
      <c r="S124" s="266" t="str">
        <f>IF(Tabla4[[#This Row],[FECHA DE ACEPTACION DEL GRUP. INV.]]="","",DATE(YEAR(Tabla4[[#This Row],[FECHA DE ACEPTACION DEL GRUP. INV.]])+2,MONTH(Tabla4[[#This Row],[FECHA DE ACEPTACION DEL GRUP. INV.]]),DAY(Tabla4[[#This Row],[FECHA DE ACEPTACION DEL GRUP. INV.]])))</f>
        <v/>
      </c>
      <c r="T124" s="266" t="str">
        <f ca="1">IF(Tabla4[[#This Row],[FECHA DE ACEPTACION DEL GRUP. INV.]]="","",IF(Tabla4[[#This Row],[FECHA DE VENCIMIENTO ANTE PROYECTO]]&lt;TODAY(),"SÍ","NO"))</f>
        <v/>
      </c>
      <c r="U124" s="266"/>
      <c r="V124" s="266"/>
      <c r="W124" s="266"/>
      <c r="X124" s="266"/>
      <c r="Y124" s="96"/>
      <c r="Z124" s="97"/>
      <c r="AA124" s="96"/>
      <c r="AB124" s="97"/>
      <c r="AC124" s="110"/>
      <c r="AD124" s="267"/>
      <c r="AE124" s="266"/>
      <c r="AF124" s="266"/>
      <c r="AG124" s="169"/>
      <c r="AH124" s="169"/>
      <c r="AI124" s="169"/>
      <c r="AJ124" s="170" t="str">
        <f>IFERROR(VLOOKUP(AI124,Listas!K:L,2,0),"")</f>
        <v/>
      </c>
      <c r="AK124" s="21" t="str">
        <f>IFERROR(VLOOKUP(AJ124,Listas!L:M,2,0),"")</f>
        <v/>
      </c>
      <c r="AL124" s="265"/>
      <c r="AM124" s="22"/>
      <c r="AN124" s="265"/>
      <c r="AO124" s="22"/>
      <c r="AP124" s="265"/>
      <c r="AQ124" s="265"/>
      <c r="AR124" s="21"/>
      <c r="AS124" s="21"/>
      <c r="AT124" s="22"/>
      <c r="AU124" s="22"/>
      <c r="AV124" s="265"/>
      <c r="AW124" s="265"/>
      <c r="AX124" s="21"/>
      <c r="AY124" s="21"/>
      <c r="AZ124" s="22"/>
      <c r="BA124" s="265"/>
      <c r="BB124" s="18" t="str">
        <f>IFERROR(ROUND(AVERAGE(AY124,AX124,AS124,AR124),0),"")</f>
        <v/>
      </c>
      <c r="BC124" s="232" t="e">
        <f t="shared" si="14"/>
        <v>#VALUE!</v>
      </c>
      <c r="BD124" s="185" t="e">
        <f t="shared" si="12"/>
        <v>#VALUE!</v>
      </c>
      <c r="BE124" s="22"/>
      <c r="BF124" s="22"/>
      <c r="BG124" s="255" t="str">
        <f t="shared" si="11"/>
        <v/>
      </c>
    </row>
    <row r="125" spans="1:59" s="339" customFormat="1" ht="15" hidden="1">
      <c r="A125" s="21">
        <v>20202195008</v>
      </c>
      <c r="B125" s="19" t="str">
        <f>VLOOKUP(A125,'Datos Personales'!A:M,2,FALSE)</f>
        <v>CAMILO RAMIREZ ARDILA</v>
      </c>
      <c r="C125" s="19">
        <f>VLOOKUP(A125,'ESTADOS ESTUDIANTES'!B:L,11,0)</f>
        <v>80200751</v>
      </c>
      <c r="D125" s="19">
        <f>VLOOKUP(A125,'Datos Personales'!$A:$M,3,FALSE)</f>
        <v>195</v>
      </c>
      <c r="E125" s="19" t="str">
        <f>VLOOKUP(Tabla4[[#This Row],[ENFASIS]],Listas!$R$2:$S$8,2,0)</f>
        <v>EN TELEINF.</v>
      </c>
      <c r="F125" s="19">
        <f>VLOOKUP(A125,'Datos Personales'!A:M,8,0)</f>
        <v>0</v>
      </c>
      <c r="G125" s="19" t="str">
        <f>VLOOKUP(A125,'Datos Personales'!A:M,9,0)</f>
        <v>camramirez2@hotmail.com</v>
      </c>
      <c r="H125" s="19" t="str">
        <f>VLOOKUP(A125,'Datos Personales'!A:M,5,FALSE)</f>
        <v>N</v>
      </c>
      <c r="I125" s="19" t="str">
        <f>VLOOKUP(Tabla4[[#This Row],[CODIGO]],'ESTADOS ESTUDIANTES'!B:M,12,0)</f>
        <v>-</v>
      </c>
      <c r="J125" s="23"/>
      <c r="K125" s="22"/>
      <c r="L125" s="22"/>
      <c r="M125" s="22"/>
      <c r="N125" s="265"/>
      <c r="O125" s="22"/>
      <c r="P125" s="22"/>
      <c r="Q125" s="22"/>
      <c r="R125" s="266"/>
      <c r="S125" s="266" t="str">
        <f>IF(Tabla4[[#This Row],[FECHA DE ACEPTACION DEL GRUP. INV.]]="","",DATE(YEAR(Tabla4[[#This Row],[FECHA DE ACEPTACION DEL GRUP. INV.]])+2,MONTH(Tabla4[[#This Row],[FECHA DE ACEPTACION DEL GRUP. INV.]]),DAY(Tabla4[[#This Row],[FECHA DE ACEPTACION DEL GRUP. INV.]])))</f>
        <v/>
      </c>
      <c r="T125" s="266" t="str">
        <f ca="1">IF(Tabla4[[#This Row],[FECHA DE ACEPTACION DEL GRUP. INV.]]="","",IF(Tabla4[[#This Row],[FECHA DE VENCIMIENTO ANTE PROYECTO]]&lt;TODAY(),"SÍ","NO"))</f>
        <v/>
      </c>
      <c r="U125" s="266"/>
      <c r="V125" s="266"/>
      <c r="W125" s="266"/>
      <c r="X125" s="266"/>
      <c r="Y125" s="96"/>
      <c r="Z125" s="97"/>
      <c r="AA125" s="96">
        <v>45292</v>
      </c>
      <c r="AB125" s="97">
        <v>65</v>
      </c>
      <c r="AC125" s="110" t="s">
        <v>79</v>
      </c>
      <c r="AD125" s="267"/>
      <c r="AE125" s="266"/>
      <c r="AF125" s="266"/>
      <c r="AG125" s="169"/>
      <c r="AH125" s="169"/>
      <c r="AI125" s="169"/>
      <c r="AJ125" s="170" t="str">
        <f>IFERROR(VLOOKUP(AI125,Listas!K:L,2,0),"")</f>
        <v/>
      </c>
      <c r="AK125" s="21" t="str">
        <f>IFERROR(VLOOKUP(AJ125,Listas!L:M,2,0),"")</f>
        <v/>
      </c>
      <c r="AL125" s="265"/>
      <c r="AM125" s="22"/>
      <c r="AN125" s="265"/>
      <c r="AO125" s="22"/>
      <c r="AP125" s="265"/>
      <c r="AQ125" s="265"/>
      <c r="AR125" s="21"/>
      <c r="AS125" s="21"/>
      <c r="AT125" s="22"/>
      <c r="AU125" s="22"/>
      <c r="AV125" s="265"/>
      <c r="AW125" s="265"/>
      <c r="AX125" s="21"/>
      <c r="AY125" s="21"/>
      <c r="AZ125" s="22"/>
      <c r="BA125" s="265"/>
      <c r="BB125" s="18" t="str">
        <f>IFERROR(ROUND(AVERAGE(AY125,AX125,AS125,AR125),0),"")</f>
        <v/>
      </c>
      <c r="BC125" s="232" t="e">
        <f t="shared" si="14"/>
        <v>#VALUE!</v>
      </c>
      <c r="BD125" s="185" t="e">
        <f t="shared" si="12"/>
        <v>#VALUE!</v>
      </c>
      <c r="BE125" s="22"/>
      <c r="BF125" s="22"/>
      <c r="BG125" s="293" t="str">
        <f t="shared" si="11"/>
        <v/>
      </c>
    </row>
    <row r="126" spans="1:59" s="339" customFormat="1" ht="45" hidden="1">
      <c r="A126" s="662">
        <v>20202395001</v>
      </c>
      <c r="B126" s="659" t="str">
        <f>VLOOKUP(A126,'Datos Personales'!A:M,2,FALSE)</f>
        <v>AGUILAR RUIZ JOSE MANUEL</v>
      </c>
      <c r="C126" s="659">
        <f>VLOOKUP(A126,'ESTADOS ESTUDIANTES'!B:L,11,0)</f>
        <v>80175138</v>
      </c>
      <c r="D126" s="659">
        <f>VLOOKUP(A126,'Datos Personales'!$A:$M,3,FALSE)</f>
        <v>395</v>
      </c>
      <c r="E126" s="659" t="str">
        <f>VLOOKUP(Tabla4[[#This Row],[ENFASIS]],Listas!$R$2:$S$8,2,0)</f>
        <v>ENFASIS EN GEOMATICA</v>
      </c>
      <c r="F126" s="659" t="str">
        <f>VLOOKUP(A126,'Datos Personales'!A:M,8,0)</f>
        <v>jmaguilarr@udistrital.edu.co</v>
      </c>
      <c r="G126" s="659" t="str">
        <f>VLOOKUP(A126,'Datos Personales'!A:M,9,0)</f>
        <v>josemanuel.aguilarruiz@gmail.com</v>
      </c>
      <c r="H126" s="659" t="str">
        <f>VLOOKUP(A126,'Datos Personales'!A:M,5,FALSE)</f>
        <v>V</v>
      </c>
      <c r="I126" s="659" t="str">
        <f>VLOOKUP(Tabla4[[#This Row],[CODIGO]],'ESTADOS ESTUDIANTES'!B:M,12,0)</f>
        <v>2026-1</v>
      </c>
      <c r="J126" s="651" t="s">
        <v>60</v>
      </c>
      <c r="K126" s="651" t="s">
        <v>597</v>
      </c>
      <c r="L126" s="651" t="s">
        <v>598</v>
      </c>
      <c r="M126" s="660"/>
      <c r="N126" s="658">
        <v>44110</v>
      </c>
      <c r="O126" s="659">
        <v>2020</v>
      </c>
      <c r="P126" s="651" t="s">
        <v>115</v>
      </c>
      <c r="Q126" s="651" t="s">
        <v>292</v>
      </c>
      <c r="R126" s="656">
        <v>44168</v>
      </c>
      <c r="S126" s="656">
        <f>IF(Tabla4[[#This Row],[FECHA DE ACEPTACION DEL GRUP. INV.]]="","",DATE(YEAR(Tabla4[[#This Row],[FECHA DE ACEPTACION DEL GRUP. INV.]])+2,MONTH(Tabla4[[#This Row],[FECHA DE ACEPTACION DEL GRUP. INV.]]),DAY(Tabla4[[#This Row],[FECHA DE ACEPTACION DEL GRUP. INV.]])))</f>
        <v>44898</v>
      </c>
      <c r="T126" s="276" t="str">
        <f ca="1">IF(Tabla4[[#This Row],[FECHA DE ACEPTACION DEL GRUP. INV.]]="","",IF(Tabla4[[#This Row],[FECHA DE VENCIMIENTO ANTE PROYECTO]]&lt;TODAY(),"SÍ","NO"))</f>
        <v>SÍ</v>
      </c>
      <c r="U126" s="657" t="s">
        <v>62</v>
      </c>
      <c r="V126" s="237"/>
      <c r="W126" s="171"/>
      <c r="X126" s="651" t="s">
        <v>557</v>
      </c>
      <c r="Y126" s="189"/>
      <c r="Z126" s="191"/>
      <c r="AA126" s="189">
        <v>44342</v>
      </c>
      <c r="AB126" s="191">
        <v>87.83</v>
      </c>
      <c r="AC126" s="171" t="s">
        <v>79</v>
      </c>
      <c r="AD126" s="171"/>
      <c r="AE126" s="190"/>
      <c r="AF126" s="190"/>
      <c r="AG126" s="171"/>
      <c r="AH126" s="171"/>
      <c r="AI126" s="171"/>
      <c r="AJ126" s="193" t="str">
        <f>IFERROR(VLOOKUP(AI126,Listas!K:L,2,0),"")</f>
        <v/>
      </c>
      <c r="AK126" s="187" t="str">
        <f>IFERROR(VLOOKUP(AJ126,Listas!L:M,2,0),"")</f>
        <v/>
      </c>
      <c r="AL126" s="189"/>
      <c r="AM126" s="169"/>
      <c r="AN126" s="189"/>
      <c r="AO126" s="169"/>
      <c r="AP126" s="189"/>
      <c r="AQ126" s="189"/>
      <c r="AR126" s="187"/>
      <c r="AS126" s="187"/>
      <c r="AT126" s="169"/>
      <c r="AU126" s="169"/>
      <c r="AV126" s="189"/>
      <c r="AW126" s="189"/>
      <c r="AX126" s="187"/>
      <c r="AY126" s="187"/>
      <c r="AZ126" s="169"/>
      <c r="BA126" s="189"/>
      <c r="BB126" s="187" t="str">
        <f>IFERROR(AVERAGE(AR126,AS126,AX126,AY126),"")</f>
        <v/>
      </c>
      <c r="BC126" s="187" t="e">
        <f t="shared" si="14"/>
        <v>#VALUE!</v>
      </c>
      <c r="BD126" s="187" t="e">
        <f t="shared" si="12"/>
        <v>#VALUE!</v>
      </c>
      <c r="BE126" s="169"/>
      <c r="BF126" s="169"/>
      <c r="BG126" s="234" t="str">
        <f t="shared" si="11"/>
        <v>Miguel Antonio Avila</v>
      </c>
    </row>
    <row r="127" spans="1:59" s="339" customFormat="1" ht="30" hidden="1">
      <c r="A127" s="21">
        <v>20202395003</v>
      </c>
      <c r="B127" s="19" t="str">
        <f>VLOOKUP(A127,'Datos Personales'!A:M,2,FALSE)</f>
        <v>COLONIA DAVID RICARDO</v>
      </c>
      <c r="C127" s="19">
        <f>VLOOKUP(A127,'ESTADOS ESTUDIANTES'!B:L,11,0)</f>
        <v>80097576</v>
      </c>
      <c r="D127" s="19">
        <f>VLOOKUP(A127,'Datos Personales'!$A:$M,3,FALSE)</f>
        <v>395</v>
      </c>
      <c r="E127" s="19" t="str">
        <f>VLOOKUP(Tabla4[[#This Row],[ENFASIS]],Listas!$R$2:$S$8,2,0)</f>
        <v>ENFASIS EN GEOMATICA</v>
      </c>
      <c r="F127" s="19">
        <f>VLOOKUP(A127,'Datos Personales'!A:M,8,0)</f>
        <v>0</v>
      </c>
      <c r="G127" s="19" t="str">
        <f>VLOOKUP(A127,'Datos Personales'!A:M,9,0)</f>
        <v>angel.vid@gmail.com</v>
      </c>
      <c r="H127" s="19" t="str">
        <f>VLOOKUP(A127,'Datos Personales'!A:M,5,FALSE)</f>
        <v>X</v>
      </c>
      <c r="I127" s="19" t="str">
        <f>VLOOKUP(Tabla4[[#This Row],[CODIGO]],'ESTADOS ESTUDIANTES'!B:M,12,0)</f>
        <v>2021-1</v>
      </c>
      <c r="J127" s="18" t="s">
        <v>60</v>
      </c>
      <c r="K127" s="18" t="s">
        <v>599</v>
      </c>
      <c r="L127" s="18" t="s">
        <v>422</v>
      </c>
      <c r="M127" s="23"/>
      <c r="N127" s="96">
        <v>44179</v>
      </c>
      <c r="O127" s="19">
        <v>2020</v>
      </c>
      <c r="P127" s="18" t="s">
        <v>106</v>
      </c>
      <c r="Q127" s="18" t="s">
        <v>225</v>
      </c>
      <c r="R127" s="124">
        <v>44179</v>
      </c>
      <c r="S127" s="124">
        <f>IF(Tabla4[[#This Row],[FECHA DE ACEPTACION DEL GRUP. INV.]]="","",DATE(YEAR(Tabla4[[#This Row],[FECHA DE ACEPTACION DEL GRUP. INV.]])+2,MONTH(Tabla4[[#This Row],[FECHA DE ACEPTACION DEL GRUP. INV.]]),DAY(Tabla4[[#This Row],[FECHA DE ACEPTACION DEL GRUP. INV.]])))</f>
        <v>44909</v>
      </c>
      <c r="T127" s="124" t="str">
        <f ca="1">IF(Tabla4[[#This Row],[FECHA DE ACEPTACION DEL GRUP. INV.]]="","",IF(Tabla4[[#This Row],[FECHA DE VENCIMIENTO ANTE PROYECTO]]&lt;TODAY(),"SÍ","NO"))</f>
        <v>SÍ</v>
      </c>
      <c r="U127" s="124"/>
      <c r="V127" s="124"/>
      <c r="W127" s="18" t="s">
        <v>556</v>
      </c>
      <c r="X127" s="18"/>
      <c r="Y127" s="96"/>
      <c r="Z127" s="97"/>
      <c r="AA127" s="96"/>
      <c r="AB127" s="97"/>
      <c r="AC127" s="110"/>
      <c r="AD127" s="18"/>
      <c r="AE127" s="124"/>
      <c r="AF127" s="124"/>
      <c r="AG127" s="169"/>
      <c r="AH127" s="169"/>
      <c r="AI127" s="169"/>
      <c r="AJ127" s="170" t="str">
        <f>IFERROR(VLOOKUP(AI127,Listas!K:L,2,0),"")</f>
        <v/>
      </c>
      <c r="AK127" s="21" t="str">
        <f>IFERROR(VLOOKUP(AJ127,Listas!L:M,2,0),"")</f>
        <v/>
      </c>
      <c r="AL127" s="96"/>
      <c r="AM127" s="23"/>
      <c r="AN127" s="96"/>
      <c r="AO127" s="23"/>
      <c r="AP127" s="96"/>
      <c r="AQ127" s="96"/>
      <c r="AR127" s="21"/>
      <c r="AS127" s="21"/>
      <c r="AT127" s="23"/>
      <c r="AU127" s="23"/>
      <c r="AV127" s="96"/>
      <c r="AW127" s="96"/>
      <c r="AX127" s="21"/>
      <c r="AY127" s="21"/>
      <c r="AZ127" s="23"/>
      <c r="BA127" s="96"/>
      <c r="BB127" s="18" t="str">
        <f>IFERROR(ROUND(AVERAGE(AY127,AX127,AS127,AR127),0),"")</f>
        <v/>
      </c>
      <c r="BC127" s="232" t="e">
        <f t="shared" si="14"/>
        <v>#VALUE!</v>
      </c>
      <c r="BD127" s="185" t="e">
        <f t="shared" si="12"/>
        <v>#VALUE!</v>
      </c>
      <c r="BE127" s="23"/>
      <c r="BF127" s="23"/>
      <c r="BG127" s="293" t="str">
        <f t="shared" si="11"/>
        <v/>
      </c>
    </row>
    <row r="128" spans="1:59" ht="60" hidden="1">
      <c r="A128" s="662">
        <v>20202395004</v>
      </c>
      <c r="B128" s="659" t="str">
        <f>VLOOKUP(A128,'Datos Personales'!A:M,2,FALSE)</f>
        <v>CRUZ HINCAPIE ARIANA CAROLINA</v>
      </c>
      <c r="C128" s="659">
        <f>VLOOKUP(A128,'ESTADOS ESTUDIANTES'!B:L,11,0)</f>
        <v>1018462472</v>
      </c>
      <c r="D128" s="659">
        <f>VLOOKUP(A128,'Datos Personales'!$A:$M,3,FALSE)</f>
        <v>395</v>
      </c>
      <c r="E128" s="659" t="str">
        <f>VLOOKUP(Tabla4[[#This Row],[ENFASIS]],Listas!$R$2:$S$8,2,0)</f>
        <v>ENFASIS EN GEOMATICA</v>
      </c>
      <c r="F128" s="659" t="str">
        <f>VLOOKUP(A128,'Datos Personales'!A:M,8,0)</f>
        <v>accruzh@udistrital.edu.co</v>
      </c>
      <c r="G128" s="659" t="str">
        <f>VLOOKUP(A128,'Datos Personales'!A:M,9,0)</f>
        <v>accruzh@gmail.com</v>
      </c>
      <c r="H128" s="659" t="str">
        <f>VLOOKUP(A128,'Datos Personales'!A:M,5,FALSE)</f>
        <v>E</v>
      </c>
      <c r="I128" s="659" t="str">
        <f>VLOOKUP(Tabla4[[#This Row],[CODIGO]],'ESTADOS ESTUDIANTES'!B:M,12,0)</f>
        <v>2026-1</v>
      </c>
      <c r="J128" s="651" t="s">
        <v>60</v>
      </c>
      <c r="K128" s="651" t="s">
        <v>600</v>
      </c>
      <c r="L128" s="651" t="s">
        <v>503</v>
      </c>
      <c r="M128" s="651" t="s">
        <v>229</v>
      </c>
      <c r="N128" s="658">
        <v>45777</v>
      </c>
      <c r="O128" s="659">
        <v>2025</v>
      </c>
      <c r="P128" s="651" t="s">
        <v>124</v>
      </c>
      <c r="Q128" s="651" t="s">
        <v>503</v>
      </c>
      <c r="R128" s="656">
        <v>45812</v>
      </c>
      <c r="S128" s="656">
        <f>IF(Tabla4[[#This Row],[FECHA DE ACEPTACION DEL GRUP. INV.]]="","",DATE(YEAR(Tabla4[[#This Row],[FECHA DE ACEPTACION DEL GRUP. INV.]])+2,MONTH(Tabla4[[#This Row],[FECHA DE ACEPTACION DEL GRUP. INV.]]),DAY(Tabla4[[#This Row],[FECHA DE ACEPTACION DEL GRUP. INV.]])))</f>
        <v>46542</v>
      </c>
      <c r="T128" s="656" t="str">
        <f ca="1">IF(Tabla4[[#This Row],[FECHA DE ACEPTACION DEL GRUP. INV.]]="","",IF(Tabla4[[#This Row],[FECHA DE VENCIMIENTO ANTE PROYECTO]]&lt;TODAY(),"SÍ","NO"))</f>
        <v>NO</v>
      </c>
      <c r="U128" s="657" t="s">
        <v>62</v>
      </c>
      <c r="V128" s="237"/>
      <c r="W128" s="171" t="s">
        <v>589</v>
      </c>
      <c r="X128" s="651" t="s">
        <v>506</v>
      </c>
      <c r="Y128" s="189">
        <v>44342</v>
      </c>
      <c r="Z128" s="191">
        <v>92.17</v>
      </c>
      <c r="AA128" s="189">
        <v>45531</v>
      </c>
      <c r="AB128" s="191">
        <v>122</v>
      </c>
      <c r="AC128" s="171" t="s">
        <v>79</v>
      </c>
      <c r="AD128" s="171" t="s">
        <v>415</v>
      </c>
      <c r="AE128" s="190">
        <v>45608</v>
      </c>
      <c r="AF128" s="190" t="s">
        <v>601</v>
      </c>
      <c r="AG128" s="171" t="s">
        <v>602</v>
      </c>
      <c r="AH128" s="171" t="s">
        <v>394</v>
      </c>
      <c r="AI128" s="171" t="s">
        <v>94</v>
      </c>
      <c r="AJ128" s="193">
        <f>IFERROR(VLOOKUP(AI128,Listas!K:L,2,0),"")</f>
        <v>0.4</v>
      </c>
      <c r="AK128" s="187">
        <f>IFERROR(VLOOKUP(AJ128,Listas!L:M,2,0),"")</f>
        <v>20</v>
      </c>
      <c r="AL128" s="189">
        <v>45608</v>
      </c>
      <c r="AM128" s="169" t="s">
        <v>603</v>
      </c>
      <c r="AN128" s="189">
        <v>45672</v>
      </c>
      <c r="AO128" s="169" t="s">
        <v>344</v>
      </c>
      <c r="AP128" s="189">
        <v>45706</v>
      </c>
      <c r="AQ128" s="189"/>
      <c r="AR128" s="187"/>
      <c r="AS128" s="187"/>
      <c r="AT128" s="169"/>
      <c r="AU128" s="169" t="s">
        <v>604</v>
      </c>
      <c r="AV128" s="189">
        <v>45706</v>
      </c>
      <c r="AW128" s="189"/>
      <c r="AX128" s="187"/>
      <c r="AY128" s="187"/>
      <c r="AZ128" s="169"/>
      <c r="BA128" s="189"/>
      <c r="BB128" s="187" t="str">
        <f>IFERROR(AVERAGE(AR128,AS128,AX128,AY128),"")</f>
        <v/>
      </c>
      <c r="BC128" s="187" t="e">
        <f t="shared" si="14"/>
        <v>#VALUE!</v>
      </c>
      <c r="BD128" s="187" t="e">
        <f t="shared" ref="BD128:BD159" si="15">SUM(BC128,AK128)</f>
        <v>#VALUE!</v>
      </c>
      <c r="BE128" s="169"/>
      <c r="BF128" s="169"/>
      <c r="BG128" s="234" t="str">
        <f t="shared" si="11"/>
        <v/>
      </c>
    </row>
    <row r="129" spans="1:59" ht="45" hidden="1">
      <c r="A129" s="187">
        <v>20202395006</v>
      </c>
      <c r="B129" s="188" t="str">
        <f>VLOOKUP(A129,'Datos Personales'!A:M,2,FALSE)</f>
        <v>LOPEZ PINZON SERGIO DANIEL</v>
      </c>
      <c r="C129" s="188">
        <f>VLOOKUP(A129,'ESTADOS ESTUDIANTES'!B:L,11,0)</f>
        <v>1015440936</v>
      </c>
      <c r="D129" s="188">
        <f>VLOOKUP(A129,'Datos Personales'!$A:$M,3,FALSE)</f>
        <v>395</v>
      </c>
      <c r="E129" s="188" t="str">
        <f>VLOOKUP(Tabla4[[#This Row],[ENFASIS]],Listas!$R$2:$S$8,2,0)</f>
        <v>ENFASIS EN GEOMATICA</v>
      </c>
      <c r="F129" s="188" t="str">
        <f>VLOOKUP(A129,'Datos Personales'!A:M,8,0)</f>
        <v>sdlopezp@udistrital.edu.co</v>
      </c>
      <c r="G129" s="188" t="str">
        <f>VLOOKUP(A129,'Datos Personales'!A:M,9,0)</f>
        <v>sdlopezp@hotmail.es</v>
      </c>
      <c r="H129" s="188" t="str">
        <f>VLOOKUP(A129,'Datos Personales'!A:M,5,FALSE)</f>
        <v>E</v>
      </c>
      <c r="I129" s="188" t="str">
        <f>VLOOKUP(Tabla4[[#This Row],[CODIGO]],'ESTADOS ESTUDIANTES'!B:M,12,0)</f>
        <v>2026-1</v>
      </c>
      <c r="J129" s="171" t="s">
        <v>60</v>
      </c>
      <c r="K129" s="171" t="s">
        <v>605</v>
      </c>
      <c r="L129" s="171" t="s">
        <v>503</v>
      </c>
      <c r="M129" s="169"/>
      <c r="N129" s="189">
        <v>45747</v>
      </c>
      <c r="O129" s="188">
        <v>2025</v>
      </c>
      <c r="P129" s="98" t="s">
        <v>64</v>
      </c>
      <c r="Q129" s="171" t="s">
        <v>503</v>
      </c>
      <c r="R129" s="190">
        <v>45782</v>
      </c>
      <c r="S129" s="190">
        <f>IF(Tabla4[[#This Row],[FECHA DE ACEPTACION DEL GRUP. INV.]]="","",DATE(YEAR(Tabla4[[#This Row],[FECHA DE ACEPTACION DEL GRUP. INV.]])+2,MONTH(Tabla4[[#This Row],[FECHA DE ACEPTACION DEL GRUP. INV.]]),DAY(Tabla4[[#This Row],[FECHA DE ACEPTACION DEL GRUP. INV.]])))</f>
        <v>46512</v>
      </c>
      <c r="T129" s="190" t="str">
        <f ca="1">IF(Tabla4[[#This Row],[FECHA DE ACEPTACION DEL GRUP. INV.]]="","",IF(Tabla4[[#This Row],[FECHA DE VENCIMIENTO ANTE PROYECTO]]&lt;TODAY(),"SÍ","NO"))</f>
        <v>NO</v>
      </c>
      <c r="U129" s="237"/>
      <c r="V129" s="237"/>
      <c r="W129" s="171" t="s">
        <v>606</v>
      </c>
      <c r="X129" s="171"/>
      <c r="Y129" s="189">
        <v>44510</v>
      </c>
      <c r="Z129" s="191">
        <v>149</v>
      </c>
      <c r="AA129" s="189">
        <v>45323</v>
      </c>
      <c r="AB129" s="191">
        <v>152</v>
      </c>
      <c r="AC129" s="171" t="s">
        <v>68</v>
      </c>
      <c r="AD129" s="171" t="s">
        <v>607</v>
      </c>
      <c r="AE129" s="190">
        <v>45903</v>
      </c>
      <c r="AF129" s="190" t="s">
        <v>608</v>
      </c>
      <c r="AG129" s="171" t="s">
        <v>609</v>
      </c>
      <c r="AH129" s="171" t="s">
        <v>457</v>
      </c>
      <c r="AI129" s="171" t="s">
        <v>44</v>
      </c>
      <c r="AJ129" s="193">
        <f>IFERROR(VLOOKUP(AI129,Listas!K:L,2,0),"")</f>
        <v>0.8</v>
      </c>
      <c r="AK129" s="187">
        <f>IFERROR(VLOOKUP(AJ129,Listas!L:M,2,0),"")</f>
        <v>40</v>
      </c>
      <c r="AL129" s="190">
        <v>411145</v>
      </c>
      <c r="AM129" s="169" t="s">
        <v>610</v>
      </c>
      <c r="AN129" s="190">
        <v>45931</v>
      </c>
      <c r="AO129" s="169" t="s">
        <v>604</v>
      </c>
      <c r="AP129" s="189"/>
      <c r="AQ129" s="189"/>
      <c r="AR129" s="187">
        <v>45</v>
      </c>
      <c r="AS129" s="187">
        <v>45</v>
      </c>
      <c r="AT129" s="169"/>
      <c r="AU129" s="169" t="s">
        <v>611</v>
      </c>
      <c r="AV129" s="189"/>
      <c r="AW129" s="189"/>
      <c r="AX129" s="187">
        <v>48</v>
      </c>
      <c r="AY129" s="187">
        <v>47</v>
      </c>
      <c r="AZ129" s="169"/>
      <c r="BA129" s="189"/>
      <c r="BB129" s="187">
        <f>IFERROR(AVERAGE(AR129,AS129,AX129,AY129),"")</f>
        <v>46.25</v>
      </c>
      <c r="BC129" s="187">
        <f t="shared" si="14"/>
        <v>9.2499999999999982</v>
      </c>
      <c r="BD129" s="187">
        <f t="shared" si="15"/>
        <v>49.25</v>
      </c>
      <c r="BE129" s="169"/>
      <c r="BF129" s="169"/>
      <c r="BG129" s="234" t="str">
        <f t="shared" si="11"/>
        <v/>
      </c>
    </row>
    <row r="130" spans="1:59" s="339" customFormat="1" ht="75" hidden="1">
      <c r="A130" s="662">
        <v>20202395007</v>
      </c>
      <c r="B130" s="659" t="str">
        <f>VLOOKUP(A130,'Datos Personales'!A:M,2,FALSE)</f>
        <v>MARQUEZ GAMARRA SERGIO ALEXANDER</v>
      </c>
      <c r="C130" s="659">
        <f>VLOOKUP(A130,'ESTADOS ESTUDIANTES'!B:L,11,0)</f>
        <v>1010214754</v>
      </c>
      <c r="D130" s="659">
        <f>VLOOKUP(A130,'Datos Personales'!$A:$M,3,FALSE)</f>
        <v>395</v>
      </c>
      <c r="E130" s="659" t="str">
        <f>VLOOKUP(Tabla4[[#This Row],[ENFASIS]],Listas!$R$2:$S$8,2,0)</f>
        <v>ENFASIS EN GEOMATICA</v>
      </c>
      <c r="F130" s="659" t="str">
        <f>VLOOKUP(A130,'Datos Personales'!A:M,8,0)</f>
        <v>seamarquezg@udistrital.edu.co</v>
      </c>
      <c r="G130" s="659" t="str">
        <f>VLOOKUP(A130,'Datos Personales'!A:M,9,0)</f>
        <v>patricioestupido@gmail.com</v>
      </c>
      <c r="H130" s="659" t="str">
        <f>VLOOKUP(A130,'Datos Personales'!A:M,5,FALSE)</f>
        <v>X</v>
      </c>
      <c r="I130" s="659" t="str">
        <f>VLOOKUP(Tabla4[[#This Row],[CODIGO]],'ESTADOS ESTUDIANTES'!B:M,12,0)</f>
        <v>2026-1</v>
      </c>
      <c r="J130" s="651" t="s">
        <v>60</v>
      </c>
      <c r="K130" s="651" t="s">
        <v>612</v>
      </c>
      <c r="L130" s="651" t="s">
        <v>229</v>
      </c>
      <c r="M130" s="110"/>
      <c r="N130" s="658">
        <v>44179</v>
      </c>
      <c r="O130" s="659">
        <v>2020</v>
      </c>
      <c r="P130" s="98"/>
      <c r="Q130" s="98"/>
      <c r="R130" s="663"/>
      <c r="S130" s="663" t="str">
        <f>IF(Tabla4[[#This Row],[FECHA DE ACEPTACION DEL GRUP. INV.]]="","",DATE(YEAR(Tabla4[[#This Row],[FECHA DE ACEPTACION DEL GRUP. INV.]])+2,MONTH(Tabla4[[#This Row],[FECHA DE ACEPTACION DEL GRUP. INV.]]),DAY(Tabla4[[#This Row],[FECHA DE ACEPTACION DEL GRUP. INV.]])))</f>
        <v/>
      </c>
      <c r="T130" s="663" t="str">
        <f ca="1">IF(Tabla4[[#This Row],[FECHA DE ACEPTACION DEL GRUP. INV.]]="","",IF(Tabla4[[#This Row],[FECHA DE VENCIMIENTO ANTE PROYECTO]]&lt;TODAY(),"SÍ","NO"))</f>
        <v/>
      </c>
      <c r="U130" s="626" t="s">
        <v>62</v>
      </c>
      <c r="V130" s="237"/>
      <c r="W130" s="231"/>
      <c r="X130" s="651" t="s">
        <v>613</v>
      </c>
      <c r="Y130" s="189"/>
      <c r="Z130" s="191"/>
      <c r="AA130" s="189">
        <v>44468</v>
      </c>
      <c r="AB130" s="191">
        <v>138.5</v>
      </c>
      <c r="AC130" s="171" t="s">
        <v>79</v>
      </c>
      <c r="AD130" s="171"/>
      <c r="AE130" s="190"/>
      <c r="AF130" s="190"/>
      <c r="AG130" s="171"/>
      <c r="AH130" s="171"/>
      <c r="AI130" s="171"/>
      <c r="AJ130" s="193" t="str">
        <f>IFERROR(VLOOKUP(AI130,Listas!K:L,2,0),"")</f>
        <v/>
      </c>
      <c r="AK130" s="187" t="str">
        <f>IFERROR(VLOOKUP(AJ130,Listas!L:M,2,0),"")</f>
        <v/>
      </c>
      <c r="AL130" s="189"/>
      <c r="AM130" s="169"/>
      <c r="AN130" s="189"/>
      <c r="AO130" s="169"/>
      <c r="AP130" s="189"/>
      <c r="AQ130" s="189"/>
      <c r="AR130" s="187"/>
      <c r="AS130" s="187"/>
      <c r="AT130" s="169"/>
      <c r="AU130" s="169"/>
      <c r="AV130" s="189"/>
      <c r="AW130" s="189"/>
      <c r="AX130" s="187"/>
      <c r="AY130" s="187"/>
      <c r="AZ130" s="169"/>
      <c r="BA130" s="189"/>
      <c r="BB130" s="187" t="str">
        <f>IFERROR(AVERAGE(AR130,AS130,AX130,AY130),"")</f>
        <v/>
      </c>
      <c r="BC130" s="187" t="e">
        <f t="shared" si="14"/>
        <v>#VALUE!</v>
      </c>
      <c r="BD130" s="187" t="e">
        <f t="shared" si="15"/>
        <v>#VALUE!</v>
      </c>
      <c r="BE130" s="169"/>
      <c r="BF130" s="169"/>
      <c r="BG130" s="234" t="str">
        <f t="shared" si="11"/>
        <v/>
      </c>
    </row>
    <row r="131" spans="1:59" ht="15" hidden="1">
      <c r="A131" s="21">
        <v>20202395008</v>
      </c>
      <c r="B131" s="19" t="str">
        <f>VLOOKUP(A131,'Datos Personales'!A:M,2,FALSE)</f>
        <v>PACHON GARZON SERGIO DAVID</v>
      </c>
      <c r="C131" s="19">
        <f>VLOOKUP(A131,'ESTADOS ESTUDIANTES'!B:L,11,0)</f>
        <v>1136886605</v>
      </c>
      <c r="D131" s="19">
        <f>VLOOKUP(A131,'Datos Personales'!$A:$M,3,FALSE)</f>
        <v>395</v>
      </c>
      <c r="E131" s="19" t="str">
        <f>VLOOKUP(Tabla4[[#This Row],[ENFASIS]],Listas!$R$2:$S$8,2,0)</f>
        <v>ENFASIS EN GEOMATICA</v>
      </c>
      <c r="F131" s="19">
        <f>VLOOKUP(A131,'Datos Personales'!A:M,8,0)</f>
        <v>0</v>
      </c>
      <c r="G131" s="19" t="str">
        <f>VLOOKUP(A131,'Datos Personales'!A:M,9,0)</f>
        <v>sdpachong@gmail.com</v>
      </c>
      <c r="H131" s="19" t="str">
        <f>VLOOKUP(A131,'Datos Personales'!A:M,5,FALSE)</f>
        <v>X</v>
      </c>
      <c r="I131" s="19" t="str">
        <f>VLOOKUP(Tabla4[[#This Row],[CODIGO]],'ESTADOS ESTUDIANTES'!B:M,12,0)</f>
        <v>2022-1</v>
      </c>
      <c r="J131" s="23"/>
      <c r="K131" s="23"/>
      <c r="L131" s="23"/>
      <c r="M131" s="23"/>
      <c r="N131" s="96"/>
      <c r="O131" s="23"/>
      <c r="P131" s="23"/>
      <c r="Q131" s="23"/>
      <c r="R131" s="124"/>
      <c r="S131" s="124" t="str">
        <f>IF(Tabla4[[#This Row],[FECHA DE ACEPTACION DEL GRUP. INV.]]="","",DATE(YEAR(Tabla4[[#This Row],[FECHA DE ACEPTACION DEL GRUP. INV.]])+2,MONTH(Tabla4[[#This Row],[FECHA DE ACEPTACION DEL GRUP. INV.]]),DAY(Tabla4[[#This Row],[FECHA DE ACEPTACION DEL GRUP. INV.]])))</f>
        <v/>
      </c>
      <c r="T131" s="124" t="str">
        <f ca="1">IF(Tabla4[[#This Row],[FECHA DE ACEPTACION DEL GRUP. INV.]]="","",IF(Tabla4[[#This Row],[FECHA DE VENCIMIENTO ANTE PROYECTO]]&lt;TODAY(),"SÍ","NO"))</f>
        <v/>
      </c>
      <c r="U131" s="124"/>
      <c r="V131" s="124"/>
      <c r="W131" s="18"/>
      <c r="X131" s="18"/>
      <c r="Y131" s="96"/>
      <c r="Z131" s="97"/>
      <c r="AA131" s="96">
        <v>44342</v>
      </c>
      <c r="AB131" s="97">
        <v>91.3</v>
      </c>
      <c r="AC131" s="98" t="s">
        <v>79</v>
      </c>
      <c r="AD131" s="18"/>
      <c r="AE131" s="124"/>
      <c r="AF131" s="124"/>
      <c r="AG131" s="171"/>
      <c r="AH131" s="171"/>
      <c r="AI131" s="171"/>
      <c r="AJ131" s="170" t="str">
        <f>IFERROR(VLOOKUP(AI131,Listas!K:L,2,0),"")</f>
        <v/>
      </c>
      <c r="AK131" s="21" t="str">
        <f>IFERROR(VLOOKUP(AJ131,Listas!L:M,2,0),"")</f>
        <v/>
      </c>
      <c r="AL131" s="96"/>
      <c r="AM131" s="23"/>
      <c r="AN131" s="96"/>
      <c r="AO131" s="23"/>
      <c r="AP131" s="96"/>
      <c r="AQ131" s="96"/>
      <c r="AR131" s="21"/>
      <c r="AS131" s="21"/>
      <c r="AT131" s="23"/>
      <c r="AU131" s="23"/>
      <c r="AV131" s="96"/>
      <c r="AW131" s="96"/>
      <c r="AX131" s="21"/>
      <c r="AY131" s="21"/>
      <c r="AZ131" s="23"/>
      <c r="BA131" s="96"/>
      <c r="BB131" s="18" t="str">
        <f>IFERROR(ROUND(AVERAGE(AY131,AX131,AS131,AR131),0),"")</f>
        <v/>
      </c>
      <c r="BC131" s="232" t="e">
        <f t="shared" si="14"/>
        <v>#VALUE!</v>
      </c>
      <c r="BD131" s="185" t="e">
        <f t="shared" si="15"/>
        <v>#VALUE!</v>
      </c>
      <c r="BE131" s="23"/>
      <c r="BF131" s="23"/>
      <c r="BG131" s="293" t="str">
        <f t="shared" si="11"/>
        <v/>
      </c>
    </row>
    <row r="132" spans="1:59" s="339" customFormat="1" ht="30" hidden="1">
      <c r="A132" s="21">
        <v>20202395010</v>
      </c>
      <c r="B132" s="19" t="str">
        <f>VLOOKUP(A132,'Datos Personales'!A:M,2,FALSE)</f>
        <v>RODRIGUEZ MARTIN ANGELA MARIA</v>
      </c>
      <c r="C132" s="19">
        <f>VLOOKUP(A132,'ESTADOS ESTUDIANTES'!B:L,11,0)</f>
        <v>1010173313</v>
      </c>
      <c r="D132" s="19">
        <f>VLOOKUP(A132,'Datos Personales'!$A:$M,3,FALSE)</f>
        <v>395</v>
      </c>
      <c r="E132" s="19" t="str">
        <f>VLOOKUP(Tabla4[[#This Row],[ENFASIS]],Listas!$R$2:$S$8,2,0)</f>
        <v>ENFASIS EN GEOMATICA</v>
      </c>
      <c r="F132" s="19">
        <f>VLOOKUP(A132,'Datos Personales'!A:M,8,0)</f>
        <v>0</v>
      </c>
      <c r="G132" s="19" t="str">
        <f>VLOOKUP(A132,'Datos Personales'!A:M,9,0)</f>
        <v>anmrodriguezm@correo.udistrital.edu.co</v>
      </c>
      <c r="H132" s="19" t="str">
        <f>VLOOKUP(A132,'Datos Personales'!A:M,5,FALSE)</f>
        <v>X</v>
      </c>
      <c r="I132" s="19" t="str">
        <f>VLOOKUP(Tabla4[[#This Row],[CODIGO]],'ESTADOS ESTUDIANTES'!B:M,12,0)</f>
        <v>2020-3</v>
      </c>
      <c r="J132" s="23"/>
      <c r="K132" s="22"/>
      <c r="L132" s="22"/>
      <c r="M132" s="22"/>
      <c r="N132" s="265"/>
      <c r="O132" s="22"/>
      <c r="P132" s="22"/>
      <c r="Q132" s="22"/>
      <c r="R132" s="266"/>
      <c r="S132" s="266" t="str">
        <f>IF(Tabla4[[#This Row],[FECHA DE ACEPTACION DEL GRUP. INV.]]="","",DATE(YEAR(Tabla4[[#This Row],[FECHA DE ACEPTACION DEL GRUP. INV.]])+2,MONTH(Tabla4[[#This Row],[FECHA DE ACEPTACION DEL GRUP. INV.]]),DAY(Tabla4[[#This Row],[FECHA DE ACEPTACION DEL GRUP. INV.]])))</f>
        <v/>
      </c>
      <c r="T132" s="266" t="str">
        <f ca="1">IF(Tabla4[[#This Row],[FECHA DE ACEPTACION DEL GRUP. INV.]]="","",IF(Tabla4[[#This Row],[FECHA DE VENCIMIENTO ANTE PROYECTO]]&lt;TODAY(),"SÍ","NO"))</f>
        <v/>
      </c>
      <c r="U132" s="266"/>
      <c r="V132" s="266"/>
      <c r="W132" s="266"/>
      <c r="X132" s="266"/>
      <c r="Y132" s="96"/>
      <c r="Z132" s="97"/>
      <c r="AA132" s="96"/>
      <c r="AB132" s="97"/>
      <c r="AC132" s="110"/>
      <c r="AD132" s="267"/>
      <c r="AE132" s="266"/>
      <c r="AF132" s="266"/>
      <c r="AG132" s="169"/>
      <c r="AH132" s="169"/>
      <c r="AI132" s="169"/>
      <c r="AJ132" s="170" t="str">
        <f>IFERROR(VLOOKUP(AI132,Listas!K:L,2,0),"")</f>
        <v/>
      </c>
      <c r="AK132" s="21" t="str">
        <f>IFERROR(VLOOKUP(AJ132,Listas!L:M,2,0),"")</f>
        <v/>
      </c>
      <c r="AL132" s="265"/>
      <c r="AM132" s="22"/>
      <c r="AN132" s="265"/>
      <c r="AO132" s="22"/>
      <c r="AP132" s="265"/>
      <c r="AQ132" s="265"/>
      <c r="AR132" s="21"/>
      <c r="AS132" s="21"/>
      <c r="AT132" s="22"/>
      <c r="AU132" s="22"/>
      <c r="AV132" s="265"/>
      <c r="AW132" s="265"/>
      <c r="AX132" s="21"/>
      <c r="AY132" s="21"/>
      <c r="AZ132" s="22"/>
      <c r="BA132" s="265"/>
      <c r="BB132" s="18" t="str">
        <f>IFERROR(ROUND(AVERAGE(AY132,AX132,AS132,AR132),0),"")</f>
        <v/>
      </c>
      <c r="BC132" s="232" t="e">
        <f t="shared" si="14"/>
        <v>#VALUE!</v>
      </c>
      <c r="BD132" s="185" t="e">
        <f t="shared" si="15"/>
        <v>#VALUE!</v>
      </c>
      <c r="BE132" s="22"/>
      <c r="BF132" s="22"/>
      <c r="BG132" s="255" t="str">
        <f t="shared" si="11"/>
        <v/>
      </c>
    </row>
    <row r="133" spans="1:59" s="339" customFormat="1" ht="45" hidden="1">
      <c r="A133" s="21">
        <v>20202395011</v>
      </c>
      <c r="B133" s="19" t="str">
        <f>VLOOKUP(A133,'Datos Personales'!A:M,2,FALSE)</f>
        <v>RODRIGUEZ ORTIZ LUIS DANIEL</v>
      </c>
      <c r="C133" s="19">
        <f>VLOOKUP(A133,'ESTADOS ESTUDIANTES'!B:L,11,0)</f>
        <v>80740250</v>
      </c>
      <c r="D133" s="19">
        <f>VLOOKUP(A133,'Datos Personales'!$A:$M,3,FALSE)</f>
        <v>395</v>
      </c>
      <c r="E133" s="19" t="str">
        <f>VLOOKUP(Tabla4[[#This Row],[ENFASIS]],Listas!$R$2:$S$8,2,0)</f>
        <v>ENFASIS EN GEOMATICA</v>
      </c>
      <c r="F133" s="19">
        <f>VLOOKUP(A133,'Datos Personales'!A:M,8,0)</f>
        <v>0</v>
      </c>
      <c r="G133" s="19" t="str">
        <f>VLOOKUP(A133,'Datos Personales'!A:M,9,0)</f>
        <v>danielrodriguezo@gmail.com</v>
      </c>
      <c r="H133" s="19" t="str">
        <f>VLOOKUP(A133,'Datos Personales'!A:M,5,FALSE)</f>
        <v>X</v>
      </c>
      <c r="I133" s="19" t="str">
        <f>VLOOKUP(Tabla4[[#This Row],[CODIGO]],'ESTADOS ESTUDIANTES'!B:M,12,0)</f>
        <v>2021-1</v>
      </c>
      <c r="J133" s="18" t="s">
        <v>60</v>
      </c>
      <c r="K133" s="18" t="s">
        <v>614</v>
      </c>
      <c r="L133" s="18" t="s">
        <v>444</v>
      </c>
      <c r="M133" s="23"/>
      <c r="N133" s="96">
        <v>44179</v>
      </c>
      <c r="O133" s="19">
        <v>2020</v>
      </c>
      <c r="P133" s="18" t="s">
        <v>146</v>
      </c>
      <c r="Q133" s="18" t="s">
        <v>229</v>
      </c>
      <c r="R133" s="124"/>
      <c r="S133" s="124" t="str">
        <f>IF(Tabla4[[#This Row],[FECHA DE ACEPTACION DEL GRUP. INV.]]="","",DATE(YEAR(Tabla4[[#This Row],[FECHA DE ACEPTACION DEL GRUP. INV.]])+2,MONTH(Tabla4[[#This Row],[FECHA DE ACEPTACION DEL GRUP. INV.]]),DAY(Tabla4[[#This Row],[FECHA DE ACEPTACION DEL GRUP. INV.]])))</f>
        <v/>
      </c>
      <c r="T133" s="124" t="str">
        <f ca="1">IF(Tabla4[[#This Row],[FECHA DE ACEPTACION DEL GRUP. INV.]]="","",IF(Tabla4[[#This Row],[FECHA DE VENCIMIENTO ANTE PROYECTO]]&lt;TODAY(),"SÍ","NO"))</f>
        <v/>
      </c>
      <c r="U133" s="124"/>
      <c r="V133" s="124"/>
      <c r="W133" s="18"/>
      <c r="X133" s="18"/>
      <c r="Y133" s="96"/>
      <c r="Z133" s="97"/>
      <c r="AA133" s="96"/>
      <c r="AB133" s="97"/>
      <c r="AC133" s="110"/>
      <c r="AD133" s="18"/>
      <c r="AE133" s="124"/>
      <c r="AF133" s="124"/>
      <c r="AG133" s="169"/>
      <c r="AH133" s="169"/>
      <c r="AI133" s="169"/>
      <c r="AJ133" s="170" t="str">
        <f>IFERROR(VLOOKUP(AI133,Listas!K:L,2,0),"")</f>
        <v/>
      </c>
      <c r="AK133" s="21" t="str">
        <f>IFERROR(VLOOKUP(AJ133,Listas!L:M,2,0),"")</f>
        <v/>
      </c>
      <c r="AL133" s="96"/>
      <c r="AM133" s="23"/>
      <c r="AN133" s="96"/>
      <c r="AO133" s="23"/>
      <c r="AP133" s="96"/>
      <c r="AQ133" s="96"/>
      <c r="AR133" s="21"/>
      <c r="AS133" s="21"/>
      <c r="AT133" s="23"/>
      <c r="AU133" s="23"/>
      <c r="AV133" s="96"/>
      <c r="AW133" s="96"/>
      <c r="AX133" s="21"/>
      <c r="AY133" s="21"/>
      <c r="AZ133" s="23"/>
      <c r="BA133" s="96"/>
      <c r="BB133" s="18" t="str">
        <f>IFERROR(ROUND(AVERAGE(AY133,AX133,AS133,AR133),0),"")</f>
        <v/>
      </c>
      <c r="BC133" s="232" t="e">
        <f t="shared" si="14"/>
        <v>#VALUE!</v>
      </c>
      <c r="BD133" s="185" t="e">
        <f t="shared" si="15"/>
        <v>#VALUE!</v>
      </c>
      <c r="BE133" s="23"/>
      <c r="BF133" s="23"/>
      <c r="BG133" s="293" t="str">
        <f t="shared" si="11"/>
        <v/>
      </c>
    </row>
    <row r="134" spans="1:59" ht="15" hidden="1">
      <c r="A134" s="21">
        <v>20202395012</v>
      </c>
      <c r="B134" s="19" t="str">
        <f>VLOOKUP(A134,'Datos Personales'!A:M,2,FALSE)</f>
        <v>RUIZ FERNANDEZ MARLON RICARDO</v>
      </c>
      <c r="C134" s="19">
        <f>VLOOKUP(A134,'ESTADOS ESTUDIANTES'!B:L,11,0)</f>
        <v>1018481617</v>
      </c>
      <c r="D134" s="19">
        <f>VLOOKUP(A134,'Datos Personales'!$A:$M,3,FALSE)</f>
        <v>395</v>
      </c>
      <c r="E134" s="19" t="str">
        <f>VLOOKUP(Tabla4[[#This Row],[ENFASIS]],Listas!$R$2:$S$8,2,0)</f>
        <v>ENFASIS EN GEOMATICA</v>
      </c>
      <c r="F134" s="19">
        <f>VLOOKUP(A134,'Datos Personales'!A:M,8,0)</f>
        <v>0</v>
      </c>
      <c r="G134" s="19" t="str">
        <f>VLOOKUP(A134,'Datos Personales'!A:M,9,0)</f>
        <v>ricardh.95@gmail.com</v>
      </c>
      <c r="H134" s="19" t="str">
        <f>VLOOKUP(A134,'Datos Personales'!A:M,5,FALSE)</f>
        <v>N</v>
      </c>
      <c r="I134" s="19" t="str">
        <f>VLOOKUP(Tabla4[[#This Row],[CODIGO]],'ESTADOS ESTUDIANTES'!B:M,12,0)</f>
        <v>-</v>
      </c>
      <c r="J134" s="23"/>
      <c r="K134" s="22"/>
      <c r="L134" s="22"/>
      <c r="M134" s="22"/>
      <c r="N134" s="265"/>
      <c r="O134" s="22"/>
      <c r="P134" s="22"/>
      <c r="Q134" s="22"/>
      <c r="R134" s="266"/>
      <c r="S134" s="266" t="str">
        <f>IF(Tabla4[[#This Row],[FECHA DE ACEPTACION DEL GRUP. INV.]]="","",DATE(YEAR(Tabla4[[#This Row],[FECHA DE ACEPTACION DEL GRUP. INV.]])+2,MONTH(Tabla4[[#This Row],[FECHA DE ACEPTACION DEL GRUP. INV.]]),DAY(Tabla4[[#This Row],[FECHA DE ACEPTACION DEL GRUP. INV.]])))</f>
        <v/>
      </c>
      <c r="T134" s="266" t="str">
        <f ca="1">IF(Tabla4[[#This Row],[FECHA DE ACEPTACION DEL GRUP. INV.]]="","",IF(Tabla4[[#This Row],[FECHA DE VENCIMIENTO ANTE PROYECTO]]&lt;TODAY(),"SÍ","NO"))</f>
        <v/>
      </c>
      <c r="U134" s="266"/>
      <c r="V134" s="266"/>
      <c r="W134" s="266"/>
      <c r="X134" s="266"/>
      <c r="Y134" s="96"/>
      <c r="Z134" s="97"/>
      <c r="AA134" s="96"/>
      <c r="AB134" s="97"/>
      <c r="AC134" s="110"/>
      <c r="AD134" s="267"/>
      <c r="AE134" s="266"/>
      <c r="AF134" s="266"/>
      <c r="AG134" s="169"/>
      <c r="AH134" s="169"/>
      <c r="AI134" s="169"/>
      <c r="AJ134" s="170" t="str">
        <f>IFERROR(VLOOKUP(AI134,Listas!K:L,2,0),"")</f>
        <v/>
      </c>
      <c r="AK134" s="21" t="str">
        <f>IFERROR(VLOOKUP(AJ134,Listas!L:M,2,0),"")</f>
        <v/>
      </c>
      <c r="AL134" s="265"/>
      <c r="AM134" s="22"/>
      <c r="AN134" s="265"/>
      <c r="AO134" s="22"/>
      <c r="AP134" s="265"/>
      <c r="AQ134" s="265"/>
      <c r="AR134" s="21"/>
      <c r="AS134" s="21"/>
      <c r="AT134" s="22"/>
      <c r="AU134" s="22"/>
      <c r="AV134" s="265"/>
      <c r="AW134" s="265"/>
      <c r="AX134" s="21"/>
      <c r="AY134" s="21"/>
      <c r="AZ134" s="22"/>
      <c r="BA134" s="265"/>
      <c r="BB134" s="18" t="str">
        <f>IFERROR(ROUND(AVERAGE(AY134,AX134,AS134,AR134),0),"")</f>
        <v/>
      </c>
      <c r="BC134" s="232" t="e">
        <f t="shared" si="14"/>
        <v>#VALUE!</v>
      </c>
      <c r="BD134" s="185" t="e">
        <f t="shared" si="15"/>
        <v>#VALUE!</v>
      </c>
      <c r="BE134" s="22"/>
      <c r="BF134" s="22"/>
      <c r="BG134" s="255" t="str">
        <f t="shared" si="11"/>
        <v/>
      </c>
    </row>
    <row r="135" spans="1:59" s="339" customFormat="1" ht="15" hidden="1">
      <c r="A135" s="21">
        <v>20202395013</v>
      </c>
      <c r="B135" s="19" t="str">
        <f>VLOOKUP(A135,'Datos Personales'!A:M,2,FALSE)</f>
        <v>SALINAS CORREDOR DIANA MARCELA</v>
      </c>
      <c r="C135" s="19">
        <f>VLOOKUP(A135,'ESTADOS ESTUDIANTES'!B:L,11,0)</f>
        <v>1013601603</v>
      </c>
      <c r="D135" s="19">
        <f>VLOOKUP(A135,'Datos Personales'!$A:$M,3,FALSE)</f>
        <v>395</v>
      </c>
      <c r="E135" s="19" t="str">
        <f>VLOOKUP(Tabla4[[#This Row],[ENFASIS]],Listas!$R$2:$S$8,2,0)</f>
        <v>ENFASIS EN GEOMATICA</v>
      </c>
      <c r="F135" s="19">
        <f>VLOOKUP(A135,'Datos Personales'!A:M,8,0)</f>
        <v>0</v>
      </c>
      <c r="G135" s="19" t="str">
        <f>VLOOKUP(A135,'Datos Personales'!A:M,9,0)</f>
        <v>dianasalinas820@gmail.com</v>
      </c>
      <c r="H135" s="19" t="str">
        <f>VLOOKUP(A135,'Datos Personales'!A:M,5,FALSE)</f>
        <v>X</v>
      </c>
      <c r="I135" s="19" t="str">
        <f>VLOOKUP(Tabla4[[#This Row],[CODIGO]],'ESTADOS ESTUDIANTES'!B:M,12,0)</f>
        <v>2020-3</v>
      </c>
      <c r="J135" s="23"/>
      <c r="K135" s="23"/>
      <c r="L135" s="23"/>
      <c r="M135" s="23"/>
      <c r="N135" s="96"/>
      <c r="O135" s="23"/>
      <c r="P135" s="23"/>
      <c r="Q135" s="23"/>
      <c r="R135" s="124"/>
      <c r="S135" s="124" t="str">
        <f>IF(Tabla4[[#This Row],[FECHA DE ACEPTACION DEL GRUP. INV.]]="","",DATE(YEAR(Tabla4[[#This Row],[FECHA DE ACEPTACION DEL GRUP. INV.]])+2,MONTH(Tabla4[[#This Row],[FECHA DE ACEPTACION DEL GRUP. INV.]]),DAY(Tabla4[[#This Row],[FECHA DE ACEPTACION DEL GRUP. INV.]])))</f>
        <v/>
      </c>
      <c r="T135" s="124" t="str">
        <f ca="1">IF(Tabla4[[#This Row],[FECHA DE ACEPTACION DEL GRUP. INV.]]="","",IF(Tabla4[[#This Row],[FECHA DE VENCIMIENTO ANTE PROYECTO]]&lt;TODAY(),"SÍ","NO"))</f>
        <v/>
      </c>
      <c r="U135" s="124"/>
      <c r="V135" s="124"/>
      <c r="W135" s="18"/>
      <c r="X135" s="18"/>
      <c r="Y135" s="96"/>
      <c r="Z135" s="97"/>
      <c r="AA135" s="96"/>
      <c r="AB135" s="97"/>
      <c r="AC135" s="110"/>
      <c r="AD135" s="18"/>
      <c r="AE135" s="124"/>
      <c r="AF135" s="124"/>
      <c r="AG135" s="169"/>
      <c r="AH135" s="169"/>
      <c r="AI135" s="169"/>
      <c r="AJ135" s="170" t="str">
        <f>IFERROR(VLOOKUP(AI135,Listas!K:L,2,0),"")</f>
        <v/>
      </c>
      <c r="AK135" s="21" t="str">
        <f>IFERROR(VLOOKUP(AJ135,Listas!L:M,2,0),"")</f>
        <v/>
      </c>
      <c r="AL135" s="96"/>
      <c r="AM135" s="23"/>
      <c r="AN135" s="96"/>
      <c r="AO135" s="23"/>
      <c r="AP135" s="96"/>
      <c r="AQ135" s="96"/>
      <c r="AR135" s="21"/>
      <c r="AS135" s="21"/>
      <c r="AT135" s="23"/>
      <c r="AU135" s="23"/>
      <c r="AV135" s="96"/>
      <c r="AW135" s="96"/>
      <c r="AX135" s="21"/>
      <c r="AY135" s="21"/>
      <c r="AZ135" s="23"/>
      <c r="BA135" s="96"/>
      <c r="BB135" s="18" t="str">
        <f>IFERROR(ROUND(AVERAGE(AY135,AX135,AS135,AR135),0),"")</f>
        <v/>
      </c>
      <c r="BC135" s="232" t="e">
        <f t="shared" si="14"/>
        <v>#VALUE!</v>
      </c>
      <c r="BD135" s="185" t="e">
        <f t="shared" si="15"/>
        <v>#VALUE!</v>
      </c>
      <c r="BE135" s="23"/>
      <c r="BF135" s="23"/>
      <c r="BG135" s="293" t="str">
        <f t="shared" si="11"/>
        <v/>
      </c>
    </row>
    <row r="136" spans="1:59" s="339" customFormat="1" ht="105" hidden="1">
      <c r="A136" s="187">
        <v>20202395014</v>
      </c>
      <c r="B136" s="188" t="str">
        <f>VLOOKUP(A136,'Datos Personales'!A:M,2,FALSE)</f>
        <v>SUAREZ ALBARRACIN NADIA LUZ</v>
      </c>
      <c r="C136" s="188">
        <f>VLOOKUP(A136,'ESTADOS ESTUDIANTES'!B:L,11,0)</f>
        <v>52268802</v>
      </c>
      <c r="D136" s="188">
        <f>VLOOKUP(A136,'Datos Personales'!$A:$M,3,FALSE)</f>
        <v>395</v>
      </c>
      <c r="E136" s="188" t="str">
        <f>VLOOKUP(Tabla4[[#This Row],[ENFASIS]],Listas!$R$2:$S$8,2,0)</f>
        <v>ENFASIS EN GEOMATICA</v>
      </c>
      <c r="F136" s="188" t="str">
        <f>VLOOKUP(A136,'Datos Personales'!A:M,8,0)</f>
        <v>mpvalbuenag@udistrital.edu.co</v>
      </c>
      <c r="G136" s="188" t="str">
        <f>VLOOKUP(A136,'Datos Personales'!A:M,9,0)</f>
        <v>nadsual8@gmail.com</v>
      </c>
      <c r="H136" s="188" t="str">
        <f>VLOOKUP(A136,'Datos Personales'!A:M,5,FALSE)</f>
        <v>E</v>
      </c>
      <c r="I136" s="188" t="str">
        <f>VLOOKUP(Tabla4[[#This Row],[CODIGO]],'ESTADOS ESTUDIANTES'!B:M,12,0)</f>
        <v>2024-1</v>
      </c>
      <c r="J136" s="171" t="s">
        <v>60</v>
      </c>
      <c r="K136" s="171" t="s">
        <v>615</v>
      </c>
      <c r="L136" s="171" t="s">
        <v>270</v>
      </c>
      <c r="M136" s="169"/>
      <c r="N136" s="171" t="s">
        <v>616</v>
      </c>
      <c r="O136" s="188">
        <v>2020</v>
      </c>
      <c r="P136" s="171" t="s">
        <v>83</v>
      </c>
      <c r="Q136" s="171" t="s">
        <v>512</v>
      </c>
      <c r="R136" s="190">
        <v>44391</v>
      </c>
      <c r="S136" s="190">
        <f>IF(Tabla4[[#This Row],[FECHA DE ACEPTACION DEL GRUP. INV.]]="","",DATE(YEAR(Tabla4[[#This Row],[FECHA DE ACEPTACION DEL GRUP. INV.]])+2,MONTH(Tabla4[[#This Row],[FECHA DE ACEPTACION DEL GRUP. INV.]]),DAY(Tabla4[[#This Row],[FECHA DE ACEPTACION DEL GRUP. INV.]])))</f>
        <v>45121</v>
      </c>
      <c r="T136" s="190" t="str">
        <f ca="1">IF(Tabla4[[#This Row],[FECHA DE ACEPTACION DEL GRUP. INV.]]="","",IF(Tabla4[[#This Row],[FECHA DE VENCIMIENTO ANTE PROYECTO]]&lt;TODAY(),"SÍ","NO"))</f>
        <v>SÍ</v>
      </c>
      <c r="U136" s="190"/>
      <c r="V136" s="190"/>
      <c r="W136" s="171" t="s">
        <v>287</v>
      </c>
      <c r="X136" s="171"/>
      <c r="Y136" s="189">
        <v>44510</v>
      </c>
      <c r="Z136" s="191">
        <v>136</v>
      </c>
      <c r="AA136" s="189">
        <v>44510</v>
      </c>
      <c r="AB136" s="191">
        <v>102</v>
      </c>
      <c r="AC136" s="98" t="s">
        <v>79</v>
      </c>
      <c r="AD136" s="171" t="s">
        <v>306</v>
      </c>
      <c r="AE136" s="190">
        <v>45084</v>
      </c>
      <c r="AF136" s="190" t="s">
        <v>617</v>
      </c>
      <c r="AG136" s="171" t="s">
        <v>618</v>
      </c>
      <c r="AH136" s="171" t="s">
        <v>280</v>
      </c>
      <c r="AI136" s="171" t="s">
        <v>94</v>
      </c>
      <c r="AJ136" s="170">
        <f>IFERROR(VLOOKUP(AI136,Listas!K:L,2,0),"")</f>
        <v>0.4</v>
      </c>
      <c r="AK136" s="21">
        <f>IFERROR(VLOOKUP(AJ136,Listas!L:M,2,0),"")</f>
        <v>20</v>
      </c>
      <c r="AL136" s="189">
        <v>45084</v>
      </c>
      <c r="AM136" s="169" t="s">
        <v>527</v>
      </c>
      <c r="AN136" s="189">
        <v>45231</v>
      </c>
      <c r="AO136" s="169" t="s">
        <v>348</v>
      </c>
      <c r="AP136" s="189"/>
      <c r="AQ136" s="189"/>
      <c r="AR136" s="187"/>
      <c r="AS136" s="187"/>
      <c r="AT136" s="169"/>
      <c r="AU136" s="169" t="s">
        <v>272</v>
      </c>
      <c r="AV136" s="189"/>
      <c r="AW136" s="189"/>
      <c r="AX136" s="187"/>
      <c r="AY136" s="187"/>
      <c r="AZ136" s="169"/>
      <c r="BA136" s="189"/>
      <c r="BB136" s="232" t="str">
        <f>IFERROR(AVERAGE(AR136,AS136,AX136,AY136),"")</f>
        <v/>
      </c>
      <c r="BC136" s="232" t="e">
        <f t="shared" si="14"/>
        <v>#VALUE!</v>
      </c>
      <c r="BD136" s="232" t="e">
        <f t="shared" si="15"/>
        <v>#VALUE!</v>
      </c>
      <c r="BE136" s="169"/>
      <c r="BF136" s="169"/>
      <c r="BG136" s="234" t="str">
        <f>IF(OR(H136="A",$H136="D",$H136="P",$H136="V"),#REF!,"")</f>
        <v/>
      </c>
    </row>
    <row r="137" spans="1:59" s="339" customFormat="1" ht="15" hidden="1">
      <c r="A137" s="21">
        <v>20202395015</v>
      </c>
      <c r="B137" s="19" t="str">
        <f>VLOOKUP(A137,'Datos Personales'!A:M,2,FALSE)</f>
        <v>VILLAMIL RIVERA CINDY DAYANI</v>
      </c>
      <c r="C137" s="19">
        <f>VLOOKUP(A137,'ESTADOS ESTUDIANTES'!B:L,11,0)</f>
        <v>1073234308</v>
      </c>
      <c r="D137" s="19">
        <f>VLOOKUP(A137,'Datos Personales'!$A:$M,3,FALSE)</f>
        <v>395</v>
      </c>
      <c r="E137" s="19" t="str">
        <f>VLOOKUP(Tabla4[[#This Row],[ENFASIS]],Listas!$R$2:$S$8,2,0)</f>
        <v>ENFASIS EN GEOMATICA</v>
      </c>
      <c r="F137" s="19">
        <f>VLOOKUP(A137,'Datos Personales'!A:M,8,0)</f>
        <v>0</v>
      </c>
      <c r="G137" s="19" t="str">
        <f>VLOOKUP(A137,'Datos Personales'!A:M,9,0)</f>
        <v>cdvillamilr@correo.udistrital.edu.co</v>
      </c>
      <c r="H137" s="19" t="str">
        <f>VLOOKUP(A137,'Datos Personales'!A:M,5,FALSE)</f>
        <v>X</v>
      </c>
      <c r="I137" s="19" t="str">
        <f>VLOOKUP(Tabla4[[#This Row],[CODIGO]],'ESTADOS ESTUDIANTES'!B:M,12,0)</f>
        <v>2020-3</v>
      </c>
      <c r="J137" s="23"/>
      <c r="K137" s="23"/>
      <c r="L137" s="23"/>
      <c r="M137" s="23"/>
      <c r="N137" s="96"/>
      <c r="O137" s="23"/>
      <c r="P137" s="23"/>
      <c r="Q137" s="23"/>
      <c r="R137" s="124"/>
      <c r="S137" s="124" t="str">
        <f>IF(Tabla4[[#This Row],[FECHA DE ACEPTACION DEL GRUP. INV.]]="","",DATE(YEAR(Tabla4[[#This Row],[FECHA DE ACEPTACION DEL GRUP. INV.]])+2,MONTH(Tabla4[[#This Row],[FECHA DE ACEPTACION DEL GRUP. INV.]]),DAY(Tabla4[[#This Row],[FECHA DE ACEPTACION DEL GRUP. INV.]])))</f>
        <v/>
      </c>
      <c r="T137" s="124" t="str">
        <f ca="1">IF(Tabla4[[#This Row],[FECHA DE ACEPTACION DEL GRUP. INV.]]="","",IF(Tabla4[[#This Row],[FECHA DE VENCIMIENTO ANTE PROYECTO]]&lt;TODAY(),"SÍ","NO"))</f>
        <v/>
      </c>
      <c r="U137" s="124"/>
      <c r="V137" s="124"/>
      <c r="W137" s="18"/>
      <c r="X137" s="18"/>
      <c r="Y137" s="96"/>
      <c r="Z137" s="97"/>
      <c r="AA137" s="96"/>
      <c r="AB137" s="97"/>
      <c r="AC137" s="110"/>
      <c r="AD137" s="18"/>
      <c r="AE137" s="124"/>
      <c r="AF137" s="124"/>
      <c r="AG137" s="169"/>
      <c r="AH137" s="169"/>
      <c r="AI137" s="169"/>
      <c r="AJ137" s="170" t="str">
        <f>IFERROR(VLOOKUP(AI137,Listas!K:L,2,0),"")</f>
        <v/>
      </c>
      <c r="AK137" s="21" t="str">
        <f>IFERROR(VLOOKUP(AJ137,Listas!L:M,2,0),"")</f>
        <v/>
      </c>
      <c r="AL137" s="96"/>
      <c r="AM137" s="23"/>
      <c r="AN137" s="96"/>
      <c r="AO137" s="23"/>
      <c r="AP137" s="96"/>
      <c r="AQ137" s="96"/>
      <c r="AR137" s="21"/>
      <c r="AS137" s="21"/>
      <c r="AT137" s="23"/>
      <c r="AU137" s="23"/>
      <c r="AV137" s="96"/>
      <c r="AW137" s="96"/>
      <c r="AX137" s="21"/>
      <c r="AY137" s="21"/>
      <c r="AZ137" s="23"/>
      <c r="BA137" s="96"/>
      <c r="BB137" s="18" t="str">
        <f>IFERROR(ROUND(AVERAGE(AY137,AX137,AS137,AR137),0),"")</f>
        <v/>
      </c>
      <c r="BC137" s="232" t="e">
        <f t="shared" si="14"/>
        <v>#VALUE!</v>
      </c>
      <c r="BD137" s="185" t="e">
        <f t="shared" si="15"/>
        <v>#VALUE!</v>
      </c>
      <c r="BE137" s="23"/>
      <c r="BF137" s="23"/>
      <c r="BG137" s="293" t="str">
        <f t="shared" ref="BG137:BG168" si="16">IF(OR(H137="A",$H137="D",$H137="P",$H137="V"),L137,"")</f>
        <v/>
      </c>
    </row>
    <row r="138" spans="1:59" ht="45" hidden="1">
      <c r="A138" s="187">
        <v>20202495004</v>
      </c>
      <c r="B138" s="188" t="str">
        <f>VLOOKUP(A138,'Datos Personales'!A:M,2,FALSE)</f>
        <v>CANON MORENO JOSE SEBASTIAN</v>
      </c>
      <c r="C138" s="188">
        <f>VLOOKUP(A138,'ESTADOS ESTUDIANTES'!B:L,11,0)</f>
        <v>1012423093</v>
      </c>
      <c r="D138" s="188">
        <f>VLOOKUP(A138,'Datos Personales'!$A:$M,3,FALSE)</f>
        <v>495</v>
      </c>
      <c r="E138" s="188" t="str">
        <f>VLOOKUP(Tabla4[[#This Row],[ENFASIS]],Listas!$R$2:$S$8,2,0)</f>
        <v>ENFASIS EN ING. SOFT</v>
      </c>
      <c r="F138" s="188" t="str">
        <f>VLOOKUP(A138,'Datos Personales'!A:M,8,0)</f>
        <v>jscanonm@udistrital.edu.co</v>
      </c>
      <c r="G138" s="188" t="str">
        <f>VLOOKUP(A138,'Datos Personales'!A:M,9,0)</f>
        <v>sebas951995@hotmail.com</v>
      </c>
      <c r="H138" s="188" t="str">
        <f>VLOOKUP(A138,'Datos Personales'!A:M,5,FALSE)</f>
        <v>X</v>
      </c>
      <c r="I138" s="188" t="str">
        <f>VLOOKUP(Tabla4[[#This Row],[CODIGO]],'ESTADOS ESTUDIANTES'!B:M,12,0)</f>
        <v>2025-1</v>
      </c>
      <c r="J138" s="171" t="s">
        <v>60</v>
      </c>
      <c r="K138" s="171" t="s">
        <v>619</v>
      </c>
      <c r="L138" s="171" t="s">
        <v>225</v>
      </c>
      <c r="M138" s="169"/>
      <c r="N138" s="189">
        <v>44179</v>
      </c>
      <c r="O138" s="188">
        <v>2020</v>
      </c>
      <c r="P138" s="171" t="s">
        <v>106</v>
      </c>
      <c r="Q138" s="171" t="s">
        <v>351</v>
      </c>
      <c r="R138" s="190">
        <v>44179</v>
      </c>
      <c r="S138" s="190">
        <f>IF(Tabla4[[#This Row],[FECHA DE ACEPTACION DEL GRUP. INV.]]="","",DATE(YEAR(Tabla4[[#This Row],[FECHA DE ACEPTACION DEL GRUP. INV.]])+2,MONTH(Tabla4[[#This Row],[FECHA DE ACEPTACION DEL GRUP. INV.]]),DAY(Tabla4[[#This Row],[FECHA DE ACEPTACION DEL GRUP. INV.]])))</f>
        <v>44909</v>
      </c>
      <c r="T138" s="190" t="str">
        <f ca="1">IF(Tabla4[[#This Row],[FECHA DE ACEPTACION DEL GRUP. INV.]]="","",IF(Tabla4[[#This Row],[FECHA DE VENCIMIENTO ANTE PROYECTO]]&lt;TODAY(),"SÍ","NO"))</f>
        <v>SÍ</v>
      </c>
      <c r="U138" s="237" t="s">
        <v>62</v>
      </c>
      <c r="V138" s="237"/>
      <c r="W138" s="171" t="s">
        <v>556</v>
      </c>
      <c r="X138" s="171"/>
      <c r="Y138" s="189"/>
      <c r="Z138" s="191"/>
      <c r="AA138" s="189"/>
      <c r="AB138" s="191"/>
      <c r="AC138" s="169"/>
      <c r="AD138" s="171"/>
      <c r="AE138" s="190"/>
      <c r="AF138" s="190"/>
      <c r="AG138" s="169"/>
      <c r="AH138" s="169"/>
      <c r="AI138" s="169"/>
      <c r="AJ138" s="193" t="str">
        <f>IFERROR(VLOOKUP(AI138,Listas!K:L,2,0),"")</f>
        <v/>
      </c>
      <c r="AK138" s="187" t="str">
        <f>IFERROR(VLOOKUP(AJ138,Listas!L:M,2,0),"")</f>
        <v/>
      </c>
      <c r="AL138" s="189"/>
      <c r="AM138" s="169"/>
      <c r="AN138" s="189"/>
      <c r="AO138" s="169"/>
      <c r="AP138" s="189"/>
      <c r="AQ138" s="189"/>
      <c r="AR138" s="187"/>
      <c r="AS138" s="187"/>
      <c r="AT138" s="169"/>
      <c r="AU138" s="169"/>
      <c r="AV138" s="189"/>
      <c r="AW138" s="189"/>
      <c r="AX138" s="187"/>
      <c r="AY138" s="187"/>
      <c r="AZ138" s="169"/>
      <c r="BA138" s="189"/>
      <c r="BB138" s="187" t="str">
        <f>IFERROR(AVERAGE(AR138,AS138,AX138,AY138),"")</f>
        <v/>
      </c>
      <c r="BC138" s="187" t="e">
        <f t="shared" si="14"/>
        <v>#VALUE!</v>
      </c>
      <c r="BD138" s="187" t="e">
        <f t="shared" si="15"/>
        <v>#VALUE!</v>
      </c>
      <c r="BE138" s="169"/>
      <c r="BF138" s="169"/>
      <c r="BG138" s="234" t="str">
        <f t="shared" si="16"/>
        <v/>
      </c>
    </row>
    <row r="139" spans="1:59" ht="45" hidden="1">
      <c r="A139" s="662">
        <v>20202495005</v>
      </c>
      <c r="B139" s="659" t="str">
        <f>VLOOKUP(A139,'Datos Personales'!A:M,2,FALSE)</f>
        <v>CAPERA QUINTANA JONATHAN STEVEN</v>
      </c>
      <c r="C139" s="659">
        <f>VLOOKUP(A139,'ESTADOS ESTUDIANTES'!B:L,11,0)</f>
        <v>1022427432</v>
      </c>
      <c r="D139" s="659">
        <f>VLOOKUP(A139,'Datos Personales'!$A:$M,3,FALSE)</f>
        <v>495</v>
      </c>
      <c r="E139" s="659" t="str">
        <f>VLOOKUP(Tabla4[[#This Row],[ENFASIS]],Listas!$R$2:$S$8,2,0)</f>
        <v>ENFASIS EN ING. SOFT</v>
      </c>
      <c r="F139" s="659" t="str">
        <f>VLOOKUP(A139,'Datos Personales'!A:M,8,0)</f>
        <v>jscaperaq@udistrital.edu.co</v>
      </c>
      <c r="G139" s="659" t="str">
        <f>VLOOKUP(A139,'Datos Personales'!A:M,9,0)</f>
        <v>jscaperaq@gmail.com</v>
      </c>
      <c r="H139" s="659" t="str">
        <f>VLOOKUP(A139,'Datos Personales'!A:M,5,FALSE)</f>
        <v>A</v>
      </c>
      <c r="I139" s="659" t="str">
        <f>VLOOKUP(Tabla4[[#This Row],[CODIGO]],'ESTADOS ESTUDIANTES'!B:M,12,0)</f>
        <v>2026-3</v>
      </c>
      <c r="J139" s="651" t="s">
        <v>60</v>
      </c>
      <c r="K139" s="651" t="s">
        <v>620</v>
      </c>
      <c r="L139" s="651" t="s">
        <v>281</v>
      </c>
      <c r="M139" s="660"/>
      <c r="N139" s="658">
        <v>44176</v>
      </c>
      <c r="O139" s="659">
        <v>2020</v>
      </c>
      <c r="P139" s="651" t="s">
        <v>125</v>
      </c>
      <c r="Q139" s="651" t="s">
        <v>281</v>
      </c>
      <c r="R139" s="656">
        <v>46146</v>
      </c>
      <c r="S139" s="656">
        <f>IF(Tabla4[[#This Row],[FECHA DE ACEPTACION DEL GRUP. INV.]]="","",DATE(YEAR(Tabla4[[#This Row],[FECHA DE ACEPTACION DEL GRUP. INV.]])+2,MONTH(Tabla4[[#This Row],[FECHA DE ACEPTACION DEL GRUP. INV.]]),DAY(Tabla4[[#This Row],[FECHA DE ACEPTACION DEL GRUP. INV.]])))</f>
        <v>46877</v>
      </c>
      <c r="T139" s="656" t="str">
        <f ca="1">IF(Tabla4[[#This Row],[FECHA DE ACEPTACION DEL GRUP. INV.]]="","",IF(Tabla4[[#This Row],[FECHA DE VENCIMIENTO ANTE PROYECTO]]&lt;TODAY(),"SÍ","NO"))</f>
        <v>NO</v>
      </c>
      <c r="U139" s="657" t="s">
        <v>62</v>
      </c>
      <c r="V139" s="237"/>
      <c r="W139" s="171" t="s">
        <v>621</v>
      </c>
      <c r="X139" s="651" t="s">
        <v>506</v>
      </c>
      <c r="Y139" s="189">
        <v>44299</v>
      </c>
      <c r="Z139" s="191">
        <v>91.3</v>
      </c>
      <c r="AA139" s="189">
        <v>45768</v>
      </c>
      <c r="AB139" s="191">
        <v>158</v>
      </c>
      <c r="AC139" s="171" t="s">
        <v>79</v>
      </c>
      <c r="AD139" s="171"/>
      <c r="AE139" s="190"/>
      <c r="AF139" s="190"/>
      <c r="AG139" s="171"/>
      <c r="AH139" s="171"/>
      <c r="AI139" s="171"/>
      <c r="AJ139" s="193" t="str">
        <f>IFERROR(VLOOKUP(AI139,Listas!K:L,2,0),"")</f>
        <v/>
      </c>
      <c r="AK139" s="187" t="str">
        <f>IFERROR(VLOOKUP(AJ139,Listas!L:M,2,0),"")</f>
        <v/>
      </c>
      <c r="AL139" s="189"/>
      <c r="AM139" s="169"/>
      <c r="AN139" s="189"/>
      <c r="AO139" s="169"/>
      <c r="AP139" s="189"/>
      <c r="AQ139" s="189"/>
      <c r="AR139" s="187"/>
      <c r="AS139" s="187"/>
      <c r="AT139" s="169"/>
      <c r="AU139" s="169"/>
      <c r="AV139" s="189"/>
      <c r="AW139" s="189"/>
      <c r="AX139" s="187"/>
      <c r="AY139" s="187"/>
      <c r="AZ139" s="169"/>
      <c r="BA139" s="189"/>
      <c r="BB139" s="187" t="str">
        <f>IFERROR(AVERAGE(AR139,AS139,AX139,AY139),"")</f>
        <v/>
      </c>
      <c r="BC139" s="187" t="e">
        <f t="shared" si="14"/>
        <v>#VALUE!</v>
      </c>
      <c r="BD139" s="187" t="e">
        <f t="shared" si="15"/>
        <v>#VALUE!</v>
      </c>
      <c r="BE139" s="169"/>
      <c r="BF139" s="169"/>
      <c r="BG139" s="234" t="str">
        <f t="shared" si="16"/>
        <v>Julio Baron Velandia</v>
      </c>
    </row>
    <row r="140" spans="1:59" s="341" customFormat="1" ht="30" hidden="1">
      <c r="A140" s="21">
        <v>20202495006</v>
      </c>
      <c r="B140" s="19" t="str">
        <f>VLOOKUP(A140,'Datos Personales'!A:M,2,FALSE)</f>
        <v>CHAVES BELTRAN GONZALO ANDRES</v>
      </c>
      <c r="C140" s="19">
        <f>VLOOKUP(A140,'ESTADOS ESTUDIANTES'!B:L,11,0)</f>
        <v>1014218308</v>
      </c>
      <c r="D140" s="19">
        <f>VLOOKUP(A140,'Datos Personales'!$A:$M,3,FALSE)</f>
        <v>495</v>
      </c>
      <c r="E140" s="19" t="str">
        <f>VLOOKUP(Tabla4[[#This Row],[ENFASIS]],Listas!$R$2:$S$8,2,0)</f>
        <v>ENFASIS EN ING. SOFT</v>
      </c>
      <c r="F140" s="19">
        <f>VLOOKUP(A140,'Datos Personales'!A:M,8,0)</f>
        <v>0</v>
      </c>
      <c r="G140" s="19" t="str">
        <f>VLOOKUP(A140,'Datos Personales'!A:M,9,0)</f>
        <v>gachavesb@correo.udistrital.edu.co</v>
      </c>
      <c r="H140" s="19" t="str">
        <f>VLOOKUP(A140,'Datos Personales'!A:M,5,FALSE)</f>
        <v>X</v>
      </c>
      <c r="I140" s="19" t="str">
        <f>VLOOKUP(Tabla4[[#This Row],[CODIGO]],'ESTADOS ESTUDIANTES'!B:M,12,0)</f>
        <v>2021-1</v>
      </c>
      <c r="J140" s="18" t="s">
        <v>60</v>
      </c>
      <c r="K140" s="18" t="s">
        <v>622</v>
      </c>
      <c r="L140" s="18" t="s">
        <v>283</v>
      </c>
      <c r="M140" s="23"/>
      <c r="N140" s="96">
        <v>44179</v>
      </c>
      <c r="O140" s="19">
        <v>2020</v>
      </c>
      <c r="P140" s="18" t="s">
        <v>284</v>
      </c>
      <c r="Q140" s="18" t="s">
        <v>283</v>
      </c>
      <c r="R140" s="124">
        <v>44179</v>
      </c>
      <c r="S140" s="124">
        <f>IF(Tabla4[[#This Row],[FECHA DE ACEPTACION DEL GRUP. INV.]]="","",DATE(YEAR(Tabla4[[#This Row],[FECHA DE ACEPTACION DEL GRUP. INV.]])+2,MONTH(Tabla4[[#This Row],[FECHA DE ACEPTACION DEL GRUP. INV.]]),DAY(Tabla4[[#This Row],[FECHA DE ACEPTACION DEL GRUP. INV.]])))</f>
        <v>44909</v>
      </c>
      <c r="T140" s="124" t="str">
        <f ca="1">IF(Tabla4[[#This Row],[FECHA DE ACEPTACION DEL GRUP. INV.]]="","",IF(Tabla4[[#This Row],[FECHA DE VENCIMIENTO ANTE PROYECTO]]&lt;TODAY(),"SÍ","NO"))</f>
        <v>SÍ</v>
      </c>
      <c r="U140" s="124"/>
      <c r="V140" s="124"/>
      <c r="W140" s="18" t="s">
        <v>556</v>
      </c>
      <c r="X140" s="18"/>
      <c r="Y140" s="96"/>
      <c r="Z140" s="97"/>
      <c r="AA140" s="96"/>
      <c r="AB140" s="97"/>
      <c r="AC140" s="110"/>
      <c r="AD140" s="18"/>
      <c r="AE140" s="124"/>
      <c r="AF140" s="124"/>
      <c r="AG140" s="169"/>
      <c r="AH140" s="169"/>
      <c r="AI140" s="169"/>
      <c r="AJ140" s="170" t="str">
        <f>IFERROR(VLOOKUP(AI140,Listas!K:L,2,0),"")</f>
        <v/>
      </c>
      <c r="AK140" s="21" t="str">
        <f>IFERROR(VLOOKUP(AJ140,Listas!L:M,2,0),"")</f>
        <v/>
      </c>
      <c r="AL140" s="96"/>
      <c r="AM140" s="23"/>
      <c r="AN140" s="96"/>
      <c r="AO140" s="23"/>
      <c r="AP140" s="96"/>
      <c r="AQ140" s="96"/>
      <c r="AR140" s="21"/>
      <c r="AS140" s="21"/>
      <c r="AT140" s="23"/>
      <c r="AU140" s="23"/>
      <c r="AV140" s="96"/>
      <c r="AW140" s="96"/>
      <c r="AX140" s="21"/>
      <c r="AY140" s="21"/>
      <c r="AZ140" s="23"/>
      <c r="BA140" s="96"/>
      <c r="BB140" s="18" t="str">
        <f>IFERROR(ROUND(AVERAGE(AY140,AX140,AS140,AR140),0),"")</f>
        <v/>
      </c>
      <c r="BC140" s="232" t="e">
        <f t="shared" si="14"/>
        <v>#VALUE!</v>
      </c>
      <c r="BD140" s="185" t="e">
        <f t="shared" si="15"/>
        <v>#VALUE!</v>
      </c>
      <c r="BE140" s="23"/>
      <c r="BF140" s="23"/>
      <c r="BG140" s="255" t="str">
        <f t="shared" si="16"/>
        <v/>
      </c>
    </row>
    <row r="141" spans="1:59" s="339" customFormat="1" ht="15" hidden="1">
      <c r="A141" s="21">
        <v>20202495008</v>
      </c>
      <c r="B141" s="19" t="str">
        <f>VLOOKUP(A141,'Datos Personales'!A:M,2,FALSE)</f>
        <v>DIAZ GUZMAN ANDRES FERNANDO</v>
      </c>
      <c r="C141" s="19">
        <f>VLOOKUP(A141,'ESTADOS ESTUDIANTES'!B:L,11,0)</f>
        <v>80055783</v>
      </c>
      <c r="D141" s="19">
        <f>VLOOKUP(A141,'Datos Personales'!$A:$M,3,FALSE)</f>
        <v>495</v>
      </c>
      <c r="E141" s="19" t="str">
        <f>VLOOKUP(Tabla4[[#This Row],[ENFASIS]],Listas!$R$2:$S$8,2,0)</f>
        <v>ENFASIS EN ING. SOFT</v>
      </c>
      <c r="F141" s="19" t="str">
        <f>VLOOKUP(A141,'Datos Personales'!A:M,8,0)</f>
        <v>afdiazg@correo.udistrital.edu.co</v>
      </c>
      <c r="G141" s="19" t="str">
        <f>VLOOKUP(A141,'Datos Personales'!A:M,9,0)</f>
        <v>afdiazg@correo.udistrital.edu.co</v>
      </c>
      <c r="H141" s="19" t="str">
        <f>VLOOKUP(A141,'Datos Personales'!A:M,5,FALSE)</f>
        <v>X</v>
      </c>
      <c r="I141" s="19" t="str">
        <f>VLOOKUP(Tabla4[[#This Row],[CODIGO]],'ESTADOS ESTUDIANTES'!B:M,12,0)</f>
        <v>2021-1</v>
      </c>
      <c r="J141" s="23"/>
      <c r="K141" s="23"/>
      <c r="L141" s="23"/>
      <c r="M141" s="23"/>
      <c r="N141" s="96"/>
      <c r="O141" s="23"/>
      <c r="P141" s="23"/>
      <c r="Q141" s="23"/>
      <c r="R141" s="124"/>
      <c r="S141" s="124" t="str">
        <f>IF(Tabla4[[#This Row],[FECHA DE ACEPTACION DEL GRUP. INV.]]="","",DATE(YEAR(Tabla4[[#This Row],[FECHA DE ACEPTACION DEL GRUP. INV.]])+2,MONTH(Tabla4[[#This Row],[FECHA DE ACEPTACION DEL GRUP. INV.]]),DAY(Tabla4[[#This Row],[FECHA DE ACEPTACION DEL GRUP. INV.]])))</f>
        <v/>
      </c>
      <c r="T141" s="124" t="str">
        <f ca="1">IF(Tabla4[[#This Row],[FECHA DE ACEPTACION DEL GRUP. INV.]]="","",IF(Tabla4[[#This Row],[FECHA DE VENCIMIENTO ANTE PROYECTO]]&lt;TODAY(),"SÍ","NO"))</f>
        <v/>
      </c>
      <c r="U141" s="124"/>
      <c r="V141" s="124"/>
      <c r="W141" s="18"/>
      <c r="X141" s="18"/>
      <c r="Y141" s="96"/>
      <c r="Z141" s="97"/>
      <c r="AA141" s="96"/>
      <c r="AB141" s="97"/>
      <c r="AC141" s="110"/>
      <c r="AD141" s="18"/>
      <c r="AE141" s="124"/>
      <c r="AF141" s="124"/>
      <c r="AG141" s="169"/>
      <c r="AH141" s="169"/>
      <c r="AI141" s="169"/>
      <c r="AJ141" s="170" t="str">
        <f>IFERROR(VLOOKUP(AI141,Listas!K:L,2,0),"")</f>
        <v/>
      </c>
      <c r="AK141" s="21" t="str">
        <f>IFERROR(VLOOKUP(AJ141,Listas!L:M,2,0),"")</f>
        <v/>
      </c>
      <c r="AL141" s="96"/>
      <c r="AM141" s="23"/>
      <c r="AN141" s="96"/>
      <c r="AO141" s="23"/>
      <c r="AP141" s="96"/>
      <c r="AQ141" s="96"/>
      <c r="AR141" s="21"/>
      <c r="AS141" s="21"/>
      <c r="AT141" s="23"/>
      <c r="AU141" s="23"/>
      <c r="AV141" s="96"/>
      <c r="AW141" s="96"/>
      <c r="AX141" s="21"/>
      <c r="AY141" s="21"/>
      <c r="AZ141" s="23"/>
      <c r="BA141" s="96"/>
      <c r="BB141" s="18" t="str">
        <f>IFERROR(ROUND(AVERAGE(AY141,AX141,AS141,AR141),0),"")</f>
        <v/>
      </c>
      <c r="BC141" s="232" t="e">
        <f t="shared" si="14"/>
        <v>#VALUE!</v>
      </c>
      <c r="BD141" s="185" t="e">
        <f t="shared" si="15"/>
        <v>#VALUE!</v>
      </c>
      <c r="BE141" s="23"/>
      <c r="BF141" s="23"/>
      <c r="BG141" s="293" t="str">
        <f t="shared" si="16"/>
        <v/>
      </c>
    </row>
    <row r="142" spans="1:59" ht="30" hidden="1">
      <c r="A142" s="187">
        <v>20202495010</v>
      </c>
      <c r="B142" s="188" t="str">
        <f>VLOOKUP(A142,'Datos Personales'!A:M,2,FALSE)</f>
        <v>GONZALEZ BUITRAGO MAURICIO</v>
      </c>
      <c r="C142" s="188">
        <f>VLOOKUP(A142,'ESTADOS ESTUDIANTES'!B:L,11,0)</f>
        <v>79859667</v>
      </c>
      <c r="D142" s="188">
        <f>VLOOKUP(A142,'Datos Personales'!$A:$M,3,FALSE)</f>
        <v>495</v>
      </c>
      <c r="E142" s="188" t="str">
        <f>VLOOKUP(Tabla4[[#This Row],[ENFASIS]],Listas!$R$2:$S$8,2,0)</f>
        <v>ENFASIS EN ING. SOFT</v>
      </c>
      <c r="F142" s="188" t="str">
        <f>VLOOKUP(A142,'Datos Personales'!A:M,8,0)</f>
        <v>mgonzalezb@udistrital.edu.co</v>
      </c>
      <c r="G142" s="188" t="str">
        <f>VLOOKUP(A142,'Datos Personales'!A:M,9,0)</f>
        <v>magobu@outlook.com</v>
      </c>
      <c r="H142" s="188" t="str">
        <f>VLOOKUP(A142,'Datos Personales'!A:M,5,FALSE)</f>
        <v>X</v>
      </c>
      <c r="I142" s="188" t="str">
        <f>VLOOKUP(Tabla4[[#This Row],[CODIGO]],'ESTADOS ESTUDIANTES'!B:M,12,0)</f>
        <v>2023-3</v>
      </c>
      <c r="J142" s="171" t="s">
        <v>60</v>
      </c>
      <c r="K142" s="171" t="s">
        <v>623</v>
      </c>
      <c r="L142" s="171" t="s">
        <v>356</v>
      </c>
      <c r="M142" s="169" t="s">
        <v>624</v>
      </c>
      <c r="N142" s="189">
        <v>45047</v>
      </c>
      <c r="O142" s="188">
        <v>2023</v>
      </c>
      <c r="P142" s="171" t="s">
        <v>90</v>
      </c>
      <c r="Q142" s="171" t="s">
        <v>356</v>
      </c>
      <c r="R142" s="190">
        <v>45062</v>
      </c>
      <c r="S142" s="190">
        <f>IF(Tabla4[[#This Row],[FECHA DE ACEPTACION DEL GRUP. INV.]]="","",DATE(YEAR(Tabla4[[#This Row],[FECHA DE ACEPTACION DEL GRUP. INV.]])+2,MONTH(Tabla4[[#This Row],[FECHA DE ACEPTACION DEL GRUP. INV.]]),DAY(Tabla4[[#This Row],[FECHA DE ACEPTACION DEL GRUP. INV.]])))</f>
        <v>45793</v>
      </c>
      <c r="T142" s="190" t="str">
        <f ca="1">IF(Tabla4[[#This Row],[FECHA DE ACEPTACION DEL GRUP. INV.]]="","",IF(Tabla4[[#This Row],[FECHA DE VENCIMIENTO ANTE PROYECTO]]&lt;TODAY(),"SÍ","NO"))</f>
        <v>SÍ</v>
      </c>
      <c r="U142" s="190"/>
      <c r="V142" s="190"/>
      <c r="W142" s="171" t="s">
        <v>556</v>
      </c>
      <c r="X142" s="171"/>
      <c r="Y142" s="189"/>
      <c r="Z142" s="191"/>
      <c r="AA142" s="189"/>
      <c r="AB142" s="191"/>
      <c r="AC142" s="110"/>
      <c r="AD142" s="171"/>
      <c r="AE142" s="190"/>
      <c r="AF142" s="190"/>
      <c r="AG142" s="169"/>
      <c r="AH142" s="169"/>
      <c r="AI142" s="169"/>
      <c r="AJ142" s="170" t="str">
        <f>IFERROR(VLOOKUP(AI142,Listas!K:L,2,0),"")</f>
        <v/>
      </c>
      <c r="AK142" s="21" t="str">
        <f>IFERROR(VLOOKUP(AJ142,Listas!L:M,2,0),"")</f>
        <v/>
      </c>
      <c r="AL142" s="189"/>
      <c r="AM142" s="169"/>
      <c r="AN142" s="189"/>
      <c r="AO142" s="169"/>
      <c r="AP142" s="189"/>
      <c r="AQ142" s="189"/>
      <c r="AR142" s="187"/>
      <c r="AS142" s="187"/>
      <c r="AT142" s="169"/>
      <c r="AU142" s="169"/>
      <c r="AV142" s="189"/>
      <c r="AW142" s="189"/>
      <c r="AX142" s="187"/>
      <c r="AY142" s="187"/>
      <c r="AZ142" s="169"/>
      <c r="BA142" s="189"/>
      <c r="BB142" s="232" t="str">
        <f>IFERROR(AVERAGE(AR142,AS142,AX142,AY142),"")</f>
        <v/>
      </c>
      <c r="BC142" s="232" t="e">
        <f t="shared" si="14"/>
        <v>#VALUE!</v>
      </c>
      <c r="BD142" s="232" t="e">
        <f t="shared" si="15"/>
        <v>#VALUE!</v>
      </c>
      <c r="BE142" s="169"/>
      <c r="BF142" s="169"/>
      <c r="BG142" s="234" t="str">
        <f t="shared" si="16"/>
        <v/>
      </c>
    </row>
    <row r="143" spans="1:59" s="339" customFormat="1" ht="45" hidden="1">
      <c r="A143" s="21">
        <v>20202495012</v>
      </c>
      <c r="B143" s="19" t="str">
        <f>VLOOKUP(A143,'Datos Personales'!A:M,2,FALSE)</f>
        <v>LEAL LARA DANIEL DAVID</v>
      </c>
      <c r="C143" s="19">
        <f>VLOOKUP(A143,'ESTADOS ESTUDIANTES'!B:L,11,0)</f>
        <v>1016103685</v>
      </c>
      <c r="D143" s="19">
        <f>VLOOKUP(A143,'Datos Personales'!$A:$M,3,FALSE)</f>
        <v>495</v>
      </c>
      <c r="E143" s="19" t="str">
        <f>VLOOKUP(Tabla4[[#This Row],[ENFASIS]],Listas!$R$2:$S$8,2,0)</f>
        <v>ENFASIS EN ING. SOFT</v>
      </c>
      <c r="F143" s="19" t="str">
        <f>VLOOKUP(A143,'Datos Personales'!A:M,8,0)</f>
        <v>ddleall@udistrital.edu.co</v>
      </c>
      <c r="G143" s="19" t="str">
        <f>VLOOKUP(A143,'Datos Personales'!A:M,9,0)</f>
        <v>ddleall@udistrital.edu.co</v>
      </c>
      <c r="H143" s="19" t="str">
        <f>VLOOKUP(A143,'Datos Personales'!A:M,5,FALSE)</f>
        <v>E</v>
      </c>
      <c r="I143" s="19" t="str">
        <f>VLOOKUP(Tabla4[[#This Row],[CODIGO]],'ESTADOS ESTUDIANTES'!B:M,12,0)</f>
        <v>2022-1</v>
      </c>
      <c r="J143" s="18" t="s">
        <v>60</v>
      </c>
      <c r="K143" s="18" t="s">
        <v>625</v>
      </c>
      <c r="L143" s="18" t="s">
        <v>281</v>
      </c>
      <c r="M143" s="23"/>
      <c r="N143" s="96">
        <v>44179</v>
      </c>
      <c r="O143" s="19">
        <v>2020</v>
      </c>
      <c r="P143" s="18" t="s">
        <v>125</v>
      </c>
      <c r="Q143" s="18" t="s">
        <v>281</v>
      </c>
      <c r="R143" s="124">
        <v>44374</v>
      </c>
      <c r="S143" s="124">
        <f>IF(Tabla4[[#This Row],[FECHA DE ACEPTACION DEL GRUP. INV.]]="","",DATE(YEAR(Tabla4[[#This Row],[FECHA DE ACEPTACION DEL GRUP. INV.]])+2,MONTH(Tabla4[[#This Row],[FECHA DE ACEPTACION DEL GRUP. INV.]]),DAY(Tabla4[[#This Row],[FECHA DE ACEPTACION DEL GRUP. INV.]])))</f>
        <v>45104</v>
      </c>
      <c r="T143" s="124" t="str">
        <f ca="1">IF(Tabla4[[#This Row],[FECHA DE ACEPTACION DEL GRUP. INV.]]="","",IF(Tabla4[[#This Row],[FECHA DE VENCIMIENTO ANTE PROYECTO]]&lt;TODAY(),"SÍ","NO"))</f>
        <v>SÍ</v>
      </c>
      <c r="U143" s="124"/>
      <c r="V143" s="124"/>
      <c r="W143" s="18" t="s">
        <v>223</v>
      </c>
      <c r="X143" s="18"/>
      <c r="Y143" s="96"/>
      <c r="Z143" s="97"/>
      <c r="AA143" s="96">
        <v>44299</v>
      </c>
      <c r="AB143" s="97">
        <v>75.650000000000006</v>
      </c>
      <c r="AC143" s="98" t="s">
        <v>79</v>
      </c>
      <c r="AD143" s="18" t="s">
        <v>626</v>
      </c>
      <c r="AE143" s="124">
        <v>44678</v>
      </c>
      <c r="AF143" s="124"/>
      <c r="AG143" s="171"/>
      <c r="AH143" s="171"/>
      <c r="AI143" s="171" t="s">
        <v>94</v>
      </c>
      <c r="AJ143" s="170">
        <f>IFERROR(VLOOKUP(AI143,Listas!K:L,2,0),"")</f>
        <v>0.4</v>
      </c>
      <c r="AK143" s="21">
        <f>IFERROR(VLOOKUP(AJ143,Listas!L:M,2,0),"")</f>
        <v>20</v>
      </c>
      <c r="AL143" s="96">
        <v>44678</v>
      </c>
      <c r="AM143" s="139">
        <v>44835</v>
      </c>
      <c r="AN143" s="96">
        <v>44678</v>
      </c>
      <c r="AO143" s="18" t="s">
        <v>627</v>
      </c>
      <c r="AP143" s="96">
        <v>44680</v>
      </c>
      <c r="AQ143" s="96">
        <v>44705</v>
      </c>
      <c r="AR143" s="21">
        <v>48</v>
      </c>
      <c r="AS143" s="21">
        <v>49</v>
      </c>
      <c r="AT143" s="18" t="s">
        <v>383</v>
      </c>
      <c r="AU143" s="18" t="s">
        <v>628</v>
      </c>
      <c r="AV143" s="96">
        <v>44680</v>
      </c>
      <c r="AW143" s="96">
        <v>44704</v>
      </c>
      <c r="AX143" s="21">
        <v>48</v>
      </c>
      <c r="AY143" s="21">
        <v>49</v>
      </c>
      <c r="AZ143" s="18" t="s">
        <v>383</v>
      </c>
      <c r="BA143" s="96">
        <v>44704</v>
      </c>
      <c r="BB143" s="21">
        <f>IFERROR(ROUND(AVERAGE(AY143,AX143,AS143,AR143),0),"")</f>
        <v>49</v>
      </c>
      <c r="BC143" s="232">
        <f t="shared" si="14"/>
        <v>29.4</v>
      </c>
      <c r="BD143" s="185">
        <f t="shared" si="15"/>
        <v>49.4</v>
      </c>
      <c r="BE143" s="23"/>
      <c r="BF143" s="23"/>
      <c r="BG143" s="293" t="str">
        <f t="shared" si="16"/>
        <v/>
      </c>
    </row>
    <row r="144" spans="1:59" s="687" customFormat="1" ht="30" hidden="1">
      <c r="A144" s="662">
        <v>20202495014</v>
      </c>
      <c r="B144" s="659" t="str">
        <f>VLOOKUP(A144,'Datos Personales'!A:M,2,FALSE)</f>
        <v>LOPEZ PEREZ CRISTHIAN CAMILO</v>
      </c>
      <c r="C144" s="659">
        <f>VLOOKUP(A144,'ESTADOS ESTUDIANTES'!B:L,11,0)</f>
        <v>1032449379</v>
      </c>
      <c r="D144" s="659">
        <f>VLOOKUP(A144,'Datos Personales'!$A:$M,3,FALSE)</f>
        <v>695</v>
      </c>
      <c r="E144" s="659" t="str">
        <f>VLOOKUP(Tabla4[[#This Row],[ENFASIS]],Listas!$R$2:$S$8,2,0)</f>
        <v>PROFUNDIZACIÓN</v>
      </c>
      <c r="F144" s="659" t="str">
        <f>VLOOKUP(A144,'Datos Personales'!A:M,8,0)</f>
        <v>cclopezp@udistrital.edu.co</v>
      </c>
      <c r="G144" s="659" t="str">
        <f>VLOOKUP(A144,'Datos Personales'!A:M,9,0)</f>
        <v>mathe.milopeez@gmail.com</v>
      </c>
      <c r="H144" s="659" t="str">
        <f>VLOOKUP(A144,'Datos Personales'!A:M,5,FALSE)</f>
        <v>V</v>
      </c>
      <c r="I144" s="659" t="str">
        <f>VLOOKUP(Tabla4[[#This Row],[CODIGO]],'ESTADOS ESTUDIANTES'!B:M,12,0)</f>
        <v>2026-1</v>
      </c>
      <c r="J144" s="651" t="s">
        <v>60</v>
      </c>
      <c r="K144" s="683" t="s">
        <v>629</v>
      </c>
      <c r="L144" s="651" t="s">
        <v>271</v>
      </c>
      <c r="M144" s="660" t="s">
        <v>630</v>
      </c>
      <c r="N144" s="658"/>
      <c r="O144" s="659">
        <v>2020</v>
      </c>
      <c r="P144" s="651" t="s">
        <v>106</v>
      </c>
      <c r="Q144" s="651" t="s">
        <v>350</v>
      </c>
      <c r="R144" s="656">
        <v>44372</v>
      </c>
      <c r="S144" s="656">
        <f>IF(Tabla4[[#This Row],[FECHA DE ACEPTACION DEL GRUP. INV.]]="","",DATE(YEAR(Tabla4[[#This Row],[FECHA DE ACEPTACION DEL GRUP. INV.]])+2,MONTH(Tabla4[[#This Row],[FECHA DE ACEPTACION DEL GRUP. INV.]]),DAY(Tabla4[[#This Row],[FECHA DE ACEPTACION DEL GRUP. INV.]])))</f>
        <v>45102</v>
      </c>
      <c r="T144" s="656" t="str">
        <f ca="1">IF(Tabla4[[#This Row],[FECHA DE ACEPTACION DEL GRUP. INV.]]="","",IF(Tabla4[[#This Row],[FECHA DE VENCIMIENTO ANTE PROYECTO]]&lt;TODAY(),"SÍ","NO"))</f>
        <v>SÍ</v>
      </c>
      <c r="U144" s="657" t="s">
        <v>62</v>
      </c>
      <c r="V144" s="657"/>
      <c r="W144" s="651" t="s">
        <v>287</v>
      </c>
      <c r="X144" s="651" t="s">
        <v>506</v>
      </c>
      <c r="Y144" s="658">
        <v>44468</v>
      </c>
      <c r="Z144" s="684">
        <v>114.5</v>
      </c>
      <c r="AA144" s="658">
        <v>45323</v>
      </c>
      <c r="AB144" s="684">
        <v>91</v>
      </c>
      <c r="AC144" s="651" t="s">
        <v>79</v>
      </c>
      <c r="AD144" s="651"/>
      <c r="AE144" s="656"/>
      <c r="AF144" s="656"/>
      <c r="AG144" s="651"/>
      <c r="AH144" s="651"/>
      <c r="AI144" s="651"/>
      <c r="AJ144" s="685" t="str">
        <f>IFERROR(VLOOKUP(AI144,Listas!K:L,2,0),"")</f>
        <v/>
      </c>
      <c r="AK144" s="662" t="str">
        <f>IFERROR(VLOOKUP(AJ144,Listas!L:M,2,0),"")</f>
        <v/>
      </c>
      <c r="AL144" s="658"/>
      <c r="AM144" s="660"/>
      <c r="AN144" s="658"/>
      <c r="AO144" s="660"/>
      <c r="AP144" s="658"/>
      <c r="AQ144" s="658"/>
      <c r="AR144" s="662"/>
      <c r="AS144" s="662"/>
      <c r="AT144" s="660"/>
      <c r="AU144" s="660"/>
      <c r="AV144" s="658"/>
      <c r="AW144" s="658"/>
      <c r="AX144" s="662"/>
      <c r="AY144" s="662"/>
      <c r="AZ144" s="660"/>
      <c r="BA144" s="658"/>
      <c r="BB144" s="662" t="str">
        <f>IFERROR(AVERAGE(AR144,AS144,AX144,AY144),"")</f>
        <v/>
      </c>
      <c r="BC144" s="662" t="e">
        <f t="shared" si="14"/>
        <v>#VALUE!</v>
      </c>
      <c r="BD144" s="662" t="e">
        <f t="shared" si="15"/>
        <v>#VALUE!</v>
      </c>
      <c r="BE144" s="660"/>
      <c r="BF144" s="660"/>
      <c r="BG144" s="686" t="str">
        <f t="shared" si="16"/>
        <v>Nelson Enrique Vera Parra</v>
      </c>
    </row>
    <row r="145" spans="1:59" s="339" customFormat="1" ht="30" hidden="1">
      <c r="A145" s="187">
        <v>20202495015</v>
      </c>
      <c r="B145" s="188" t="str">
        <f>VLOOKUP(A145,'Datos Personales'!A:M,2,FALSE)</f>
        <v>OROZCO SERRANO GERARDO ALBERTO</v>
      </c>
      <c r="C145" s="188">
        <f>VLOOKUP(A145,'ESTADOS ESTUDIANTES'!B:L,11,0)</f>
        <v>84456696</v>
      </c>
      <c r="D145" s="188">
        <f>VLOOKUP(A145,'Datos Personales'!$A:$M,3,FALSE)</f>
        <v>495</v>
      </c>
      <c r="E145" s="188" t="str">
        <f>VLOOKUP(Tabla4[[#This Row],[ENFASIS]],Listas!$R$2:$S$8,2,0)</f>
        <v>ENFASIS EN ING. SOFT</v>
      </c>
      <c r="F145" s="188" t="str">
        <f>VLOOKUP(A145,'Datos Personales'!A:M,8,0)</f>
        <v>gaorozcos@udistrital.edu.co</v>
      </c>
      <c r="G145" s="188" t="str">
        <f>VLOOKUP(A145,'Datos Personales'!A:M,9,0)</f>
        <v>gerardorozco@hotmail.com</v>
      </c>
      <c r="H145" s="188" t="str">
        <f>VLOOKUP(A145,'Datos Personales'!A:M,5,FALSE)</f>
        <v>X</v>
      </c>
      <c r="I145" s="188" t="str">
        <f>VLOOKUP(Tabla4[[#This Row],[CODIGO]],'ESTADOS ESTUDIANTES'!B:M,12,0)</f>
        <v>2024-1</v>
      </c>
      <c r="J145" s="171" t="s">
        <v>60</v>
      </c>
      <c r="K145" s="171" t="s">
        <v>631</v>
      </c>
      <c r="L145" s="171" t="s">
        <v>292</v>
      </c>
      <c r="M145" s="169" t="s">
        <v>628</v>
      </c>
      <c r="N145" s="189">
        <v>44353</v>
      </c>
      <c r="O145" s="188">
        <v>2021</v>
      </c>
      <c r="P145" s="171" t="s">
        <v>115</v>
      </c>
      <c r="Q145" s="171" t="s">
        <v>292</v>
      </c>
      <c r="R145" s="190">
        <v>44355</v>
      </c>
      <c r="S145" s="190">
        <f>IF(Tabla4[[#This Row],[FECHA DE ACEPTACION DEL GRUP. INV.]]="","",DATE(YEAR(Tabla4[[#This Row],[FECHA DE ACEPTACION DEL GRUP. INV.]])+2,MONTH(Tabla4[[#This Row],[FECHA DE ACEPTACION DEL GRUP. INV.]]),DAY(Tabla4[[#This Row],[FECHA DE ACEPTACION DEL GRUP. INV.]])))</f>
        <v>45085</v>
      </c>
      <c r="T145" s="190" t="str">
        <f ca="1">IF(Tabla4[[#This Row],[FECHA DE ACEPTACION DEL GRUP. INV.]]="","",IF(Tabla4[[#This Row],[FECHA DE VENCIMIENTO ANTE PROYECTO]]&lt;TODAY(),"SÍ","NO"))</f>
        <v>SÍ</v>
      </c>
      <c r="U145" s="237" t="s">
        <v>62</v>
      </c>
      <c r="V145" s="237"/>
      <c r="W145" s="275">
        <v>44358</v>
      </c>
      <c r="X145" s="275"/>
      <c r="Y145" s="189"/>
      <c r="Z145" s="191"/>
      <c r="AA145" s="189"/>
      <c r="AB145" s="191"/>
      <c r="AC145" s="110"/>
      <c r="AD145" s="171"/>
      <c r="AE145" s="190"/>
      <c r="AF145" s="190"/>
      <c r="AG145" s="169"/>
      <c r="AH145" s="169"/>
      <c r="AI145" s="169"/>
      <c r="AJ145" s="170" t="str">
        <f>IFERROR(VLOOKUP(AI145,Listas!K:L,2,0),"")</f>
        <v/>
      </c>
      <c r="AK145" s="21" t="str">
        <f>IFERROR(VLOOKUP(AJ145,Listas!L:M,2,0),"")</f>
        <v/>
      </c>
      <c r="AL145" s="189"/>
      <c r="AM145" s="169"/>
      <c r="AN145" s="189"/>
      <c r="AO145" s="169"/>
      <c r="AP145" s="189"/>
      <c r="AQ145" s="189"/>
      <c r="AR145" s="187"/>
      <c r="AS145" s="187"/>
      <c r="AT145" s="169"/>
      <c r="AU145" s="169"/>
      <c r="AV145" s="189"/>
      <c r="AW145" s="189"/>
      <c r="AX145" s="187"/>
      <c r="AY145" s="187"/>
      <c r="AZ145" s="169"/>
      <c r="BA145" s="189"/>
      <c r="BB145" s="187" t="str">
        <f>IFERROR(AVERAGE(AR145,AS145,AX145,AY145),"")</f>
        <v/>
      </c>
      <c r="BC145" s="187" t="e">
        <f t="shared" si="14"/>
        <v>#VALUE!</v>
      </c>
      <c r="BD145" s="187" t="e">
        <f t="shared" si="15"/>
        <v>#VALUE!</v>
      </c>
      <c r="BE145" s="169"/>
      <c r="BF145" s="169"/>
      <c r="BG145" s="234" t="str">
        <f t="shared" si="16"/>
        <v/>
      </c>
    </row>
    <row r="146" spans="1:59" ht="15" hidden="1">
      <c r="A146" s="21">
        <v>20202495017</v>
      </c>
      <c r="B146" s="19" t="str">
        <f>VLOOKUP(A146,'Datos Personales'!A:M,2,FALSE)</f>
        <v>SORA OSPINA JUAN PABLO</v>
      </c>
      <c r="C146" s="19">
        <f>VLOOKUP(A146,'ESTADOS ESTUDIANTES'!B:L,11,0)</f>
        <v>11204462</v>
      </c>
      <c r="D146" s="19">
        <f>VLOOKUP(A146,'Datos Personales'!$A:$M,3,FALSE)</f>
        <v>495</v>
      </c>
      <c r="E146" s="19" t="str">
        <f>VLOOKUP(Tabla4[[#This Row],[ENFASIS]],Listas!$R$2:$S$8,2,0)</f>
        <v>ENFASIS EN ING. SOFT</v>
      </c>
      <c r="F146" s="19">
        <f>VLOOKUP(A146,'Datos Personales'!A:M,8,0)</f>
        <v>0</v>
      </c>
      <c r="G146" s="19" t="str">
        <f>VLOOKUP(A146,'Datos Personales'!A:M,9,0)</f>
        <v>jsora@outlook.com</v>
      </c>
      <c r="H146" s="19" t="str">
        <f>VLOOKUP(A146,'Datos Personales'!A:M,5,FALSE)</f>
        <v>N</v>
      </c>
      <c r="I146" s="19" t="str">
        <f>VLOOKUP(Tabla4[[#This Row],[CODIGO]],'ESTADOS ESTUDIANTES'!B:M,12,0)</f>
        <v>-</v>
      </c>
      <c r="J146" s="23"/>
      <c r="K146" s="22"/>
      <c r="L146" s="22"/>
      <c r="M146" s="22"/>
      <c r="N146" s="265"/>
      <c r="O146" s="22"/>
      <c r="P146" s="22"/>
      <c r="Q146" s="22"/>
      <c r="R146" s="266"/>
      <c r="S146" s="266" t="str">
        <f>IF(Tabla4[[#This Row],[FECHA DE ACEPTACION DEL GRUP. INV.]]="","",DATE(YEAR(Tabla4[[#This Row],[FECHA DE ACEPTACION DEL GRUP. INV.]])+2,MONTH(Tabla4[[#This Row],[FECHA DE ACEPTACION DEL GRUP. INV.]]),DAY(Tabla4[[#This Row],[FECHA DE ACEPTACION DEL GRUP. INV.]])))</f>
        <v/>
      </c>
      <c r="T146" s="266" t="str">
        <f ca="1">IF(Tabla4[[#This Row],[FECHA DE ACEPTACION DEL GRUP. INV.]]="","",IF(Tabla4[[#This Row],[FECHA DE VENCIMIENTO ANTE PROYECTO]]&lt;TODAY(),"SÍ","NO"))</f>
        <v/>
      </c>
      <c r="U146" s="266"/>
      <c r="V146" s="266"/>
      <c r="W146" s="266"/>
      <c r="X146" s="266"/>
      <c r="Y146" s="96"/>
      <c r="Z146" s="97"/>
      <c r="AA146" s="96"/>
      <c r="AB146" s="97"/>
      <c r="AC146" s="110"/>
      <c r="AD146" s="267"/>
      <c r="AE146" s="266"/>
      <c r="AF146" s="266"/>
      <c r="AG146" s="169"/>
      <c r="AH146" s="169"/>
      <c r="AI146" s="169"/>
      <c r="AJ146" s="170" t="str">
        <f>IFERROR(VLOOKUP(AI146,Listas!K:L,2,0),"")</f>
        <v/>
      </c>
      <c r="AK146" s="21" t="str">
        <f>IFERROR(VLOOKUP(AJ146,Listas!L:M,2,0),"")</f>
        <v/>
      </c>
      <c r="AL146" s="265"/>
      <c r="AM146" s="22"/>
      <c r="AN146" s="265"/>
      <c r="AO146" s="22"/>
      <c r="AP146" s="265"/>
      <c r="AQ146" s="265"/>
      <c r="AR146" s="21"/>
      <c r="AS146" s="21"/>
      <c r="AT146" s="22"/>
      <c r="AU146" s="22"/>
      <c r="AV146" s="265"/>
      <c r="AW146" s="265"/>
      <c r="AX146" s="21"/>
      <c r="AY146" s="21"/>
      <c r="AZ146" s="22"/>
      <c r="BA146" s="265"/>
      <c r="BB146" s="18" t="str">
        <f>IFERROR(ROUND(AVERAGE(AY146,AX146,AS146,AR146),0),"")</f>
        <v/>
      </c>
      <c r="BC146" s="232" t="e">
        <f t="shared" si="14"/>
        <v>#VALUE!</v>
      </c>
      <c r="BD146" s="185" t="e">
        <f t="shared" si="15"/>
        <v>#VALUE!</v>
      </c>
      <c r="BE146" s="22"/>
      <c r="BF146" s="22"/>
      <c r="BG146" s="255" t="str">
        <f t="shared" si="16"/>
        <v/>
      </c>
    </row>
    <row r="147" spans="1:59" s="339" customFormat="1" ht="45" hidden="1">
      <c r="A147" s="21">
        <v>20202495019</v>
      </c>
      <c r="B147" s="19" t="str">
        <f>VLOOKUP(A147,'Datos Personales'!A:M,2,FALSE)</f>
        <v>VANEGAS AYALA SEBASTIAN CAMILO</v>
      </c>
      <c r="C147" s="19">
        <f>VLOOKUP(A147,'ESTADOS ESTUDIANTES'!B:L,11,0)</f>
        <v>1026591661</v>
      </c>
      <c r="D147" s="19">
        <f>VLOOKUP(A147,'Datos Personales'!$A:$M,3,FALSE)</f>
        <v>495</v>
      </c>
      <c r="E147" s="19" t="str">
        <f>VLOOKUP(Tabla4[[#This Row],[ENFASIS]],Listas!$R$2:$S$8,2,0)</f>
        <v>ENFASIS EN ING. SOFT</v>
      </c>
      <c r="F147" s="19">
        <f>VLOOKUP(A147,'Datos Personales'!A:M,8,0)</f>
        <v>0</v>
      </c>
      <c r="G147" s="19" t="str">
        <f>VLOOKUP(A147,'Datos Personales'!A:M,9,0)</f>
        <v>scva9708@gmail.com</v>
      </c>
      <c r="H147" s="19" t="str">
        <f>VLOOKUP(A147,'Datos Personales'!A:M,5,FALSE)</f>
        <v>E</v>
      </c>
      <c r="I147" s="19" t="str">
        <f>VLOOKUP(Tabla4[[#This Row],[CODIGO]],'ESTADOS ESTUDIANTES'!B:M,12,0)</f>
        <v>2022-1</v>
      </c>
      <c r="J147" s="18" t="s">
        <v>60</v>
      </c>
      <c r="K147" s="18" t="s">
        <v>632</v>
      </c>
      <c r="L147" s="18" t="s">
        <v>281</v>
      </c>
      <c r="M147" s="23"/>
      <c r="N147" s="96">
        <v>44179</v>
      </c>
      <c r="O147" s="19">
        <v>2020</v>
      </c>
      <c r="P147" s="18" t="s">
        <v>125</v>
      </c>
      <c r="Q147" s="18" t="s">
        <v>281</v>
      </c>
      <c r="R147" s="124">
        <v>44374</v>
      </c>
      <c r="S147" s="124">
        <f>IF(Tabla4[[#This Row],[FECHA DE ACEPTACION DEL GRUP. INV.]]="","",DATE(YEAR(Tabla4[[#This Row],[FECHA DE ACEPTACION DEL GRUP. INV.]])+2,MONTH(Tabla4[[#This Row],[FECHA DE ACEPTACION DEL GRUP. INV.]]),DAY(Tabla4[[#This Row],[FECHA DE ACEPTACION DEL GRUP. INV.]])))</f>
        <v>45104</v>
      </c>
      <c r="T147" s="124" t="str">
        <f ca="1">IF(Tabla4[[#This Row],[FECHA DE ACEPTACION DEL GRUP. INV.]]="","",IF(Tabla4[[#This Row],[FECHA DE VENCIMIENTO ANTE PROYECTO]]&lt;TODAY(),"SÍ","NO"))</f>
        <v>SÍ</v>
      </c>
      <c r="U147" s="124"/>
      <c r="V147" s="124"/>
      <c r="W147" s="18" t="s">
        <v>223</v>
      </c>
      <c r="X147" s="18"/>
      <c r="Y147" s="96"/>
      <c r="Z147" s="97"/>
      <c r="AA147" s="96">
        <v>44299</v>
      </c>
      <c r="AB147" s="97">
        <v>90.43</v>
      </c>
      <c r="AC147" s="98" t="s">
        <v>79</v>
      </c>
      <c r="AD147" s="18" t="s">
        <v>633</v>
      </c>
      <c r="AE147" s="124">
        <v>44582</v>
      </c>
      <c r="AF147" s="124"/>
      <c r="AG147" s="171"/>
      <c r="AH147" s="171"/>
      <c r="AI147" s="171" t="s">
        <v>80</v>
      </c>
      <c r="AJ147" s="170">
        <f>IFERROR(VLOOKUP(AI147,Listas!K:L,2,0),"")</f>
        <v>0.6</v>
      </c>
      <c r="AK147" s="21">
        <f>IFERROR(VLOOKUP(AJ147,Listas!L:M,2,0),"")</f>
        <v>30</v>
      </c>
      <c r="AL147" s="96">
        <v>44578</v>
      </c>
      <c r="AM147" s="18" t="s">
        <v>633</v>
      </c>
      <c r="AN147" s="96">
        <v>44582</v>
      </c>
      <c r="AO147" s="18" t="s">
        <v>302</v>
      </c>
      <c r="AP147" s="96">
        <v>44582</v>
      </c>
      <c r="AQ147" s="96">
        <v>44599</v>
      </c>
      <c r="AR147" s="21">
        <v>50</v>
      </c>
      <c r="AS147" s="21">
        <v>50</v>
      </c>
      <c r="AT147" s="18" t="s">
        <v>383</v>
      </c>
      <c r="AU147" s="18" t="s">
        <v>220</v>
      </c>
      <c r="AV147" s="96">
        <v>44582</v>
      </c>
      <c r="AW147" s="96">
        <v>44596</v>
      </c>
      <c r="AX147" s="21">
        <v>50</v>
      </c>
      <c r="AY147" s="21">
        <v>50</v>
      </c>
      <c r="AZ147" s="18" t="s">
        <v>383</v>
      </c>
      <c r="BA147" s="96">
        <v>44596</v>
      </c>
      <c r="BB147" s="21">
        <f>IFERROR(ROUND(AVERAGE(AY147,AX147,AS147,AR147),0),"")</f>
        <v>50</v>
      </c>
      <c r="BC147" s="232">
        <f t="shared" si="14"/>
        <v>20</v>
      </c>
      <c r="BD147" s="185">
        <f t="shared" si="15"/>
        <v>50</v>
      </c>
      <c r="BE147" s="23"/>
      <c r="BF147" s="23"/>
      <c r="BG147" s="293" t="str">
        <f t="shared" si="16"/>
        <v/>
      </c>
    </row>
    <row r="148" spans="1:59" ht="60" hidden="1">
      <c r="A148" s="294">
        <v>20202495020</v>
      </c>
      <c r="B148" s="295" t="str">
        <f>VLOOKUP(A148,'Datos Personales'!A:M,2,FALSE)</f>
        <v>VARON CAPERA ALVARO</v>
      </c>
      <c r="C148" s="295">
        <f>VLOOKUP(A148,'ESTADOS ESTUDIANTES'!B:L,11,0)</f>
        <v>1016024623</v>
      </c>
      <c r="D148" s="295">
        <f>VLOOKUP(A148,'Datos Personales'!$A:$M,3,FALSE)</f>
        <v>495</v>
      </c>
      <c r="E148" s="295" t="str">
        <f>VLOOKUP(Tabla4[[#This Row],[ENFASIS]],Listas!$R$2:$S$8,2,0)</f>
        <v>ENFASIS EN ING. SOFT</v>
      </c>
      <c r="F148" s="295" t="str">
        <f>VLOOKUP(A148,'Datos Personales'!A:M,8,0)</f>
        <v>avaronc@udistrital.edu.co</v>
      </c>
      <c r="G148" s="295" t="str">
        <f>VLOOKUP(A148,'Datos Personales'!A:M,9,0)</f>
        <v>varoncalvaro@gmail.com</v>
      </c>
      <c r="H148" s="295" t="str">
        <f>VLOOKUP(A148,'Datos Personales'!A:M,5,FALSE)</f>
        <v>E</v>
      </c>
      <c r="I148" s="295" t="str">
        <f>VLOOKUP(Tabla4[[#This Row],[CODIGO]],'ESTADOS ESTUDIANTES'!B:M,12,0)</f>
        <v>2025-1</v>
      </c>
      <c r="J148" s="277" t="s">
        <v>60</v>
      </c>
      <c r="K148" s="171" t="s">
        <v>634</v>
      </c>
      <c r="L148" s="277" t="s">
        <v>323</v>
      </c>
      <c r="M148" s="277"/>
      <c r="N148" s="296">
        <v>44179</v>
      </c>
      <c r="O148" s="295">
        <v>2020</v>
      </c>
      <c r="P148" s="277" t="s">
        <v>112</v>
      </c>
      <c r="Q148" s="277" t="s">
        <v>222</v>
      </c>
      <c r="R148" s="237">
        <v>45441</v>
      </c>
      <c r="S148" s="237">
        <f>IF(Tabla4[[#This Row],[FECHA DE ACEPTACION DEL GRUP. INV.]]="","",DATE(YEAR(Tabla4[[#This Row],[FECHA DE ACEPTACION DEL GRUP. INV.]])+2,MONTH(Tabla4[[#This Row],[FECHA DE ACEPTACION DEL GRUP. INV.]]),DAY(Tabla4[[#This Row],[FECHA DE ACEPTACION DEL GRUP. INV.]])))</f>
        <v>46171</v>
      </c>
      <c r="T148" s="237" t="str">
        <f ca="1">IF(Tabla4[[#This Row],[FECHA DE ACEPTACION DEL GRUP. INV.]]="","",IF(Tabla4[[#This Row],[FECHA DE VENCIMIENTO ANTE PROYECTO]]&lt;TODAY(),"SÍ","NO"))</f>
        <v>SÍ</v>
      </c>
      <c r="U148" s="237" t="s">
        <v>62</v>
      </c>
      <c r="V148" s="237"/>
      <c r="W148" s="277" t="s">
        <v>371</v>
      </c>
      <c r="X148" s="277"/>
      <c r="Y148" s="296">
        <v>44680</v>
      </c>
      <c r="Z148" s="297">
        <v>150</v>
      </c>
      <c r="AA148" s="296">
        <v>45531</v>
      </c>
      <c r="AB148" s="297">
        <v>150</v>
      </c>
      <c r="AC148" s="277" t="s">
        <v>68</v>
      </c>
      <c r="AD148" s="277" t="s">
        <v>576</v>
      </c>
      <c r="AE148" s="237">
        <v>45608</v>
      </c>
      <c r="AF148" s="237" t="s">
        <v>635</v>
      </c>
      <c r="AG148" s="277" t="s">
        <v>636</v>
      </c>
      <c r="AH148" s="277" t="s">
        <v>394</v>
      </c>
      <c r="AI148" s="277" t="s">
        <v>94</v>
      </c>
      <c r="AJ148" s="193">
        <f>IFERROR(VLOOKUP(AI148,Listas!K:L,2,0),"")</f>
        <v>0.4</v>
      </c>
      <c r="AK148" s="187">
        <f>IFERROR(VLOOKUP(AJ148,Listas!L:M,2,0),"")</f>
        <v>20</v>
      </c>
      <c r="AL148" s="296">
        <v>45608</v>
      </c>
      <c r="AM148" s="298" t="s">
        <v>576</v>
      </c>
      <c r="AN148" s="296">
        <v>45608</v>
      </c>
      <c r="AO148" s="298" t="s">
        <v>309</v>
      </c>
      <c r="AP148" s="296">
        <v>45692</v>
      </c>
      <c r="AQ148" s="296"/>
      <c r="AR148" s="294"/>
      <c r="AS148" s="294"/>
      <c r="AT148" s="298" t="s">
        <v>41</v>
      </c>
      <c r="AU148" s="298" t="s">
        <v>292</v>
      </c>
      <c r="AV148" s="296">
        <v>45692</v>
      </c>
      <c r="AW148" s="296"/>
      <c r="AX148" s="294"/>
      <c r="AY148" s="294"/>
      <c r="AZ148" s="298"/>
      <c r="BA148" s="296"/>
      <c r="BB148" s="187" t="str">
        <f>IFERROR(AVERAGE(AR148,AS148,AX148,AY148),"")</f>
        <v/>
      </c>
      <c r="BC148" s="187" t="e">
        <f t="shared" si="14"/>
        <v>#VALUE!</v>
      </c>
      <c r="BD148" s="294" t="e">
        <f t="shared" si="15"/>
        <v>#VALUE!</v>
      </c>
      <c r="BE148" s="298"/>
      <c r="BF148" s="298"/>
      <c r="BG148" s="346" t="str">
        <f t="shared" si="16"/>
        <v/>
      </c>
    </row>
    <row r="149" spans="1:59" s="339" customFormat="1" ht="30" hidden="1">
      <c r="A149" s="187">
        <v>20202495021</v>
      </c>
      <c r="B149" s="188" t="str">
        <f>VLOOKUP(A149,'Datos Personales'!A:M,2,FALSE)</f>
        <v>VILLA VARGAS HECTOR HERNANDO</v>
      </c>
      <c r="C149" s="188">
        <f>VLOOKUP(A149,'ESTADOS ESTUDIANTES'!B:L,11,0)</f>
        <v>79754976</v>
      </c>
      <c r="D149" s="188">
        <f>VLOOKUP(A149,'Datos Personales'!$A:$M,3,FALSE)</f>
        <v>495</v>
      </c>
      <c r="E149" s="188" t="str">
        <f>VLOOKUP(Tabla4[[#This Row],[ENFASIS]],Listas!$R$2:$S$8,2,0)</f>
        <v>ENFASIS EN ING. SOFT</v>
      </c>
      <c r="F149" s="188" t="str">
        <f>VLOOKUP(A149,'Datos Personales'!A:M,8,0)</f>
        <v>hhvillav@udistrital.edu.co</v>
      </c>
      <c r="G149" s="188" t="str">
        <f>VLOOKUP(A149,'Datos Personales'!A:M,9,0)</f>
        <v>hhvilla@gmail.com</v>
      </c>
      <c r="H149" s="188" t="str">
        <f>VLOOKUP(A149,'Datos Personales'!A:M,5,FALSE)</f>
        <v>X</v>
      </c>
      <c r="I149" s="188" t="str">
        <f>VLOOKUP(Tabla4[[#This Row],[CODIGO]],'ESTADOS ESTUDIANTES'!B:M,12,0)</f>
        <v>2023-1</v>
      </c>
      <c r="J149" s="171" t="s">
        <v>60</v>
      </c>
      <c r="K149" s="171" t="s">
        <v>637</v>
      </c>
      <c r="L149" s="171" t="s">
        <v>281</v>
      </c>
      <c r="M149" s="169" t="s">
        <v>478</v>
      </c>
      <c r="N149" s="189">
        <v>44179</v>
      </c>
      <c r="O149" s="188">
        <v>2020</v>
      </c>
      <c r="P149" s="171" t="s">
        <v>125</v>
      </c>
      <c r="Q149" s="171" t="s">
        <v>281</v>
      </c>
      <c r="R149" s="230"/>
      <c r="S149" s="230" t="str">
        <f>IF(Tabla4[[#This Row],[FECHA DE ACEPTACION DEL GRUP. INV.]]="","",DATE(YEAR(Tabla4[[#This Row],[FECHA DE ACEPTACION DEL GRUP. INV.]])+2,MONTH(Tabla4[[#This Row],[FECHA DE ACEPTACION DEL GRUP. INV.]]),DAY(Tabla4[[#This Row],[FECHA DE ACEPTACION DEL GRUP. INV.]])))</f>
        <v/>
      </c>
      <c r="T149" s="230" t="str">
        <f ca="1">IF(Tabla4[[#This Row],[FECHA DE ACEPTACION DEL GRUP. INV.]]="","",IF(Tabla4[[#This Row],[FECHA DE VENCIMIENTO ANTE PROYECTO]]&lt;TODAY(),"SÍ","NO"))</f>
        <v/>
      </c>
      <c r="U149" s="230"/>
      <c r="V149" s="230"/>
      <c r="W149" s="231"/>
      <c r="X149" s="231"/>
      <c r="Y149" s="189"/>
      <c r="Z149" s="191"/>
      <c r="AA149" s="189"/>
      <c r="AB149" s="191"/>
      <c r="AC149" s="110"/>
      <c r="AD149" s="171"/>
      <c r="AE149" s="190"/>
      <c r="AF149" s="190"/>
      <c r="AG149" s="169"/>
      <c r="AH149" s="169"/>
      <c r="AI149" s="169"/>
      <c r="AJ149" s="170" t="str">
        <f>IFERROR(VLOOKUP(AI149,Listas!K:L,2,0),"")</f>
        <v/>
      </c>
      <c r="AK149" s="21" t="str">
        <f>IFERROR(VLOOKUP(AJ149,Listas!L:M,2,0),"")</f>
        <v/>
      </c>
      <c r="AL149" s="189"/>
      <c r="AM149" s="169"/>
      <c r="AN149" s="189"/>
      <c r="AO149" s="169"/>
      <c r="AP149" s="189"/>
      <c r="AQ149" s="189"/>
      <c r="AR149" s="187"/>
      <c r="AS149" s="187"/>
      <c r="AT149" s="169"/>
      <c r="AU149" s="169"/>
      <c r="AV149" s="189"/>
      <c r="AW149" s="189"/>
      <c r="AX149" s="187"/>
      <c r="AY149" s="187"/>
      <c r="AZ149" s="169"/>
      <c r="BA149" s="189"/>
      <c r="BB149" s="232" t="str">
        <f>IFERROR(AVERAGE(AR149,AS149,AX149,AY149),"")</f>
        <v/>
      </c>
      <c r="BC149" s="232" t="e">
        <f t="shared" si="14"/>
        <v>#VALUE!</v>
      </c>
      <c r="BD149" s="232" t="e">
        <f t="shared" si="15"/>
        <v>#VALUE!</v>
      </c>
      <c r="BE149" s="169"/>
      <c r="BF149" s="169"/>
      <c r="BG149" s="234" t="str">
        <f t="shared" si="16"/>
        <v/>
      </c>
    </row>
    <row r="150" spans="1:59" ht="15" hidden="1">
      <c r="A150" s="21">
        <v>20202495022</v>
      </c>
      <c r="B150" s="19" t="str">
        <f>VLOOKUP(A150,'Datos Personales'!A:M,2,FALSE)</f>
        <v>VILLAGRAN MARTINEZ SERGIO ANDRES</v>
      </c>
      <c r="C150" s="19">
        <f>VLOOKUP(A150,'ESTADOS ESTUDIANTES'!B:L,11,0)</f>
        <v>1020776836</v>
      </c>
      <c r="D150" s="19">
        <f>VLOOKUP(A150,'Datos Personales'!$A:$M,3,FALSE)</f>
        <v>495</v>
      </c>
      <c r="E150" s="19" t="str">
        <f>VLOOKUP(Tabla4[[#This Row],[ENFASIS]],Listas!$R$2:$S$8,2,0)</f>
        <v>ENFASIS EN ING. SOFT</v>
      </c>
      <c r="F150" s="19">
        <f>VLOOKUP(A150,'Datos Personales'!A:M,8,0)</f>
        <v>0</v>
      </c>
      <c r="G150" s="19" t="str">
        <f>VLOOKUP(A150,'Datos Personales'!A:M,9,0)</f>
        <v>sergiovillagran92@gmail.com</v>
      </c>
      <c r="H150" s="19" t="str">
        <f>VLOOKUP(A150,'Datos Personales'!A:M,5,FALSE)</f>
        <v>X</v>
      </c>
      <c r="I150" s="19" t="str">
        <f>VLOOKUP(Tabla4[[#This Row],[CODIGO]],'ESTADOS ESTUDIANTES'!B:M,12,0)</f>
        <v>2020-3</v>
      </c>
      <c r="J150" s="23"/>
      <c r="K150" s="23"/>
      <c r="L150" s="23"/>
      <c r="M150" s="23"/>
      <c r="N150" s="96"/>
      <c r="O150" s="23"/>
      <c r="P150" s="23"/>
      <c r="Q150" s="23"/>
      <c r="R150" s="124"/>
      <c r="S150" s="124" t="str">
        <f>IF(Tabla4[[#This Row],[FECHA DE ACEPTACION DEL GRUP. INV.]]="","",DATE(YEAR(Tabla4[[#This Row],[FECHA DE ACEPTACION DEL GRUP. INV.]])+2,MONTH(Tabla4[[#This Row],[FECHA DE ACEPTACION DEL GRUP. INV.]]),DAY(Tabla4[[#This Row],[FECHA DE ACEPTACION DEL GRUP. INV.]])))</f>
        <v/>
      </c>
      <c r="T150" s="124" t="str">
        <f ca="1">IF(Tabla4[[#This Row],[FECHA DE ACEPTACION DEL GRUP. INV.]]="","",IF(Tabla4[[#This Row],[FECHA DE VENCIMIENTO ANTE PROYECTO]]&lt;TODAY(),"SÍ","NO"))</f>
        <v/>
      </c>
      <c r="U150" s="124"/>
      <c r="V150" s="124"/>
      <c r="W150" s="18"/>
      <c r="X150" s="18"/>
      <c r="Y150" s="96"/>
      <c r="Z150" s="97"/>
      <c r="AA150" s="96"/>
      <c r="AB150" s="97"/>
      <c r="AC150" s="110"/>
      <c r="AD150" s="18"/>
      <c r="AE150" s="124"/>
      <c r="AF150" s="124"/>
      <c r="AG150" s="169"/>
      <c r="AH150" s="169"/>
      <c r="AI150" s="169"/>
      <c r="AJ150" s="170" t="str">
        <f>IFERROR(VLOOKUP(AI150,Listas!K:L,2,0),"")</f>
        <v/>
      </c>
      <c r="AK150" s="21" t="str">
        <f>IFERROR(VLOOKUP(AJ150,Listas!L:M,2,0),"")</f>
        <v/>
      </c>
      <c r="AL150" s="96"/>
      <c r="AM150" s="23"/>
      <c r="AN150" s="96"/>
      <c r="AO150" s="23"/>
      <c r="AP150" s="96"/>
      <c r="AQ150" s="96"/>
      <c r="AR150" s="21"/>
      <c r="AS150" s="21"/>
      <c r="AT150" s="23"/>
      <c r="AU150" s="23"/>
      <c r="AV150" s="96"/>
      <c r="AW150" s="96"/>
      <c r="AX150" s="21"/>
      <c r="AY150" s="21"/>
      <c r="AZ150" s="23"/>
      <c r="BA150" s="96"/>
      <c r="BB150" s="18" t="str">
        <f>IFERROR(ROUND(AVERAGE(AY150,AX150,AS150,AR150),0),"")</f>
        <v/>
      </c>
      <c r="BC150" s="232" t="e">
        <f t="shared" si="14"/>
        <v>#VALUE!</v>
      </c>
      <c r="BD150" s="185" t="e">
        <f t="shared" si="15"/>
        <v>#VALUE!</v>
      </c>
      <c r="BE150" s="23"/>
      <c r="BF150" s="23"/>
      <c r="BG150" s="255" t="str">
        <f t="shared" si="16"/>
        <v/>
      </c>
    </row>
    <row r="151" spans="1:59" ht="30" hidden="1">
      <c r="A151" s="21">
        <v>20211195003</v>
      </c>
      <c r="B151" s="19" t="str">
        <f>VLOOKUP(A151,'Datos Personales'!A:M,2,FALSE)</f>
        <v>DIAZ HERRERA JAVIER GEOVANNI</v>
      </c>
      <c r="C151" s="19">
        <f>VLOOKUP(A151,'ESTADOS ESTUDIANTES'!B:L,11,0)</f>
        <v>79875938</v>
      </c>
      <c r="D151" s="19">
        <f>VLOOKUP(A151,'Datos Personales'!$A:$M,3,FALSE)</f>
        <v>195</v>
      </c>
      <c r="E151" s="19" t="str">
        <f>VLOOKUP(Tabla4[[#This Row],[ENFASIS]],Listas!$R$2:$S$8,2,0)</f>
        <v>EN TELEINF.</v>
      </c>
      <c r="F151" s="19" t="str">
        <f>VLOOKUP(A151,'Datos Personales'!A:M,8,0)</f>
        <v>jgdiazh@correo.udistrital.edu.co</v>
      </c>
      <c r="G151" s="19" t="str">
        <f>VLOOKUP(A151,'Datos Personales'!A:M,9,0)</f>
        <v>geovann.diaz@correo.policia.gov.co</v>
      </c>
      <c r="H151" s="19" t="str">
        <f>VLOOKUP(A151,'Datos Personales'!A:M,5,FALSE)</f>
        <v>X</v>
      </c>
      <c r="I151" s="19" t="str">
        <f>VLOOKUP(Tabla4[[#This Row],[CODIGO]],'ESTADOS ESTUDIANTES'!B:M,12,0)</f>
        <v>2022-1</v>
      </c>
      <c r="J151" s="18" t="s">
        <v>60</v>
      </c>
      <c r="K151" s="18" t="s">
        <v>638</v>
      </c>
      <c r="L151" s="18" t="s">
        <v>292</v>
      </c>
      <c r="M151" s="23"/>
      <c r="N151" s="96">
        <v>44367</v>
      </c>
      <c r="O151" s="19">
        <v>2021</v>
      </c>
      <c r="P151" s="18" t="s">
        <v>115</v>
      </c>
      <c r="Q151" s="18" t="s">
        <v>292</v>
      </c>
      <c r="R151" s="124">
        <v>44374</v>
      </c>
      <c r="S151" s="124">
        <f>IF(Tabla4[[#This Row],[FECHA DE ACEPTACION DEL GRUP. INV.]]="","",DATE(YEAR(Tabla4[[#This Row],[FECHA DE ACEPTACION DEL GRUP. INV.]])+2,MONTH(Tabla4[[#This Row],[FECHA DE ACEPTACION DEL GRUP. INV.]]),DAY(Tabla4[[#This Row],[FECHA DE ACEPTACION DEL GRUP. INV.]])))</f>
        <v>45104</v>
      </c>
      <c r="T151" s="124" t="str">
        <f ca="1">IF(Tabla4[[#This Row],[FECHA DE ACEPTACION DEL GRUP. INV.]]="","",IF(Tabla4[[#This Row],[FECHA DE VENCIMIENTO ANTE PROYECTO]]&lt;TODAY(),"SÍ","NO"))</f>
        <v>SÍ</v>
      </c>
      <c r="U151" s="124"/>
      <c r="V151" s="124"/>
      <c r="W151" s="18" t="s">
        <v>223</v>
      </c>
      <c r="X151" s="18"/>
      <c r="Y151" s="96"/>
      <c r="Z151" s="97"/>
      <c r="AA151" s="96"/>
      <c r="AB151" s="97"/>
      <c r="AC151" s="110"/>
      <c r="AD151" s="18"/>
      <c r="AE151" s="124"/>
      <c r="AF151" s="124"/>
      <c r="AG151" s="169"/>
      <c r="AH151" s="169"/>
      <c r="AI151" s="169"/>
      <c r="AJ151" s="170" t="str">
        <f>IFERROR(VLOOKUP(AI151,Listas!K:L,2,0),"")</f>
        <v/>
      </c>
      <c r="AK151" s="21" t="str">
        <f>IFERROR(VLOOKUP(AJ151,Listas!L:M,2,0),"")</f>
        <v/>
      </c>
      <c r="AL151" s="96"/>
      <c r="AM151" s="23"/>
      <c r="AN151" s="96"/>
      <c r="AO151" s="23"/>
      <c r="AP151" s="96"/>
      <c r="AQ151" s="96"/>
      <c r="AR151" s="21"/>
      <c r="AS151" s="21"/>
      <c r="AT151" s="23"/>
      <c r="AU151" s="23"/>
      <c r="AV151" s="96"/>
      <c r="AW151" s="96"/>
      <c r="AX151" s="21"/>
      <c r="AY151" s="21"/>
      <c r="AZ151" s="23"/>
      <c r="BA151" s="96"/>
      <c r="BB151" s="18" t="str">
        <f>IFERROR(ROUND(AVERAGE(AY151,AX151,AS151,AR151),0),"")</f>
        <v/>
      </c>
      <c r="BC151" s="232" t="e">
        <f t="shared" si="14"/>
        <v>#VALUE!</v>
      </c>
      <c r="BD151" s="185" t="e">
        <f t="shared" si="15"/>
        <v>#VALUE!</v>
      </c>
      <c r="BE151" s="23"/>
      <c r="BF151" s="23"/>
      <c r="BG151" s="293" t="str">
        <f t="shared" si="16"/>
        <v/>
      </c>
    </row>
    <row r="152" spans="1:59" s="339" customFormat="1" ht="45" hidden="1">
      <c r="A152" s="208">
        <v>20211195007</v>
      </c>
      <c r="B152" s="209" t="str">
        <f>VLOOKUP(A152,'Datos Personales'!A:M,2,FALSE)</f>
        <v>MARTINEZ GARZON MARIA FERNANDA</v>
      </c>
      <c r="C152" s="209">
        <f>VLOOKUP(A152,'ESTADOS ESTUDIANTES'!B:L,11,0)</f>
        <v>1015471512</v>
      </c>
      <c r="D152" s="209">
        <f>VLOOKUP(A152,'Datos Personales'!$A:$M,3,FALSE)</f>
        <v>195</v>
      </c>
      <c r="E152" s="209" t="str">
        <f>VLOOKUP(Tabla4[[#This Row],[ENFASIS]],Listas!$R$2:$S$8,2,0)</f>
        <v>EN TELEINF.</v>
      </c>
      <c r="F152" s="209" t="str">
        <f>VLOOKUP(A152,'Datos Personales'!A:M,8,0)</f>
        <v>mfmartinezg@udistrital.edu.co</v>
      </c>
      <c r="G152" s="209" t="str">
        <f>VLOOKUP(A152,'Datos Personales'!A:M,9,0)</f>
        <v>mariafernanda1227@gmail.com</v>
      </c>
      <c r="H152" s="209" t="str">
        <f>VLOOKUP(A152,'Datos Personales'!A:M,5,FALSE)</f>
        <v>X</v>
      </c>
      <c r="I152" s="209" t="str">
        <f>VLOOKUP(Tabla4[[#This Row],[CODIGO]],'ESTADOS ESTUDIANTES'!B:M,12,0)</f>
        <v>2023-3</v>
      </c>
      <c r="J152" s="210" t="s">
        <v>60</v>
      </c>
      <c r="K152" s="210" t="s">
        <v>639</v>
      </c>
      <c r="L152" s="210" t="s">
        <v>220</v>
      </c>
      <c r="M152" s="210" t="s">
        <v>640</v>
      </c>
      <c r="N152" s="212">
        <v>44367</v>
      </c>
      <c r="O152" s="209">
        <v>2021</v>
      </c>
      <c r="P152" s="210" t="s">
        <v>112</v>
      </c>
      <c r="Q152" s="210" t="s">
        <v>222</v>
      </c>
      <c r="R152" s="213">
        <v>44374</v>
      </c>
      <c r="S152" s="213">
        <f>IF(Tabla4[[#This Row],[FECHA DE ACEPTACION DEL GRUP. INV.]]="","",DATE(YEAR(Tabla4[[#This Row],[FECHA DE ACEPTACION DEL GRUP. INV.]])+2,MONTH(Tabla4[[#This Row],[FECHA DE ACEPTACION DEL GRUP. INV.]]),DAY(Tabla4[[#This Row],[FECHA DE ACEPTACION DEL GRUP. INV.]])))</f>
        <v>45104</v>
      </c>
      <c r="T152" s="213" t="str">
        <f ca="1">IF(Tabla4[[#This Row],[FECHA DE ACEPTACION DEL GRUP. INV.]]="","",IF(Tabla4[[#This Row],[FECHA DE VENCIMIENTO ANTE PROYECTO]]&lt;TODAY(),"SÍ","NO"))</f>
        <v>SÍ</v>
      </c>
      <c r="U152" s="213"/>
      <c r="V152" s="213"/>
      <c r="W152" s="210" t="s">
        <v>223</v>
      </c>
      <c r="X152" s="210"/>
      <c r="Y152" s="212"/>
      <c r="Z152" s="214"/>
      <c r="AA152" s="212"/>
      <c r="AB152" s="214"/>
      <c r="AC152" s="110"/>
      <c r="AD152" s="210"/>
      <c r="AE152" s="213"/>
      <c r="AF152" s="213"/>
      <c r="AG152" s="211"/>
      <c r="AH152" s="211"/>
      <c r="AI152" s="211"/>
      <c r="AJ152" s="170" t="str">
        <f>IFERROR(VLOOKUP(AI152,Listas!K:L,2,0),"")</f>
        <v/>
      </c>
      <c r="AK152" s="21" t="str">
        <f>IFERROR(VLOOKUP(AJ152,Listas!L:M,2,0),"")</f>
        <v/>
      </c>
      <c r="AL152" s="212"/>
      <c r="AM152" s="211"/>
      <c r="AN152" s="212"/>
      <c r="AO152" s="211"/>
      <c r="AP152" s="212"/>
      <c r="AQ152" s="212"/>
      <c r="AR152" s="208"/>
      <c r="AS152" s="208"/>
      <c r="AT152" s="211"/>
      <c r="AU152" s="211"/>
      <c r="AV152" s="212"/>
      <c r="AW152" s="212"/>
      <c r="AX152" s="208"/>
      <c r="AY152" s="208"/>
      <c r="AZ152" s="211"/>
      <c r="BA152" s="212"/>
      <c r="BB152" s="210" t="str">
        <f>IFERROR(ROUND(AVERAGE(AY152,AX152,AS152,AR152),0),"")</f>
        <v/>
      </c>
      <c r="BC152" s="232" t="e">
        <f t="shared" si="14"/>
        <v>#VALUE!</v>
      </c>
      <c r="BD152" s="215" t="e">
        <f t="shared" si="15"/>
        <v>#VALUE!</v>
      </c>
      <c r="BE152" s="211"/>
      <c r="BF152" s="211"/>
      <c r="BG152" s="343" t="str">
        <f t="shared" si="16"/>
        <v/>
      </c>
    </row>
    <row r="153" spans="1:59" s="339" customFormat="1" ht="15" hidden="1">
      <c r="A153" s="21">
        <v>20211395003</v>
      </c>
      <c r="B153" s="19" t="str">
        <f>VLOOKUP(A153,'Datos Personales'!A:M,2,FALSE)</f>
        <v>MEJIA CONTENTO CESAR ANDRES</v>
      </c>
      <c r="C153" s="19">
        <f>VLOOKUP(A153,'ESTADOS ESTUDIANTES'!B:L,11,0)</f>
        <v>1031147235</v>
      </c>
      <c r="D153" s="19">
        <f>VLOOKUP(A153,'Datos Personales'!$A:$M,3,FALSE)</f>
        <v>395</v>
      </c>
      <c r="E153" s="19" t="str">
        <f>VLOOKUP(Tabla4[[#This Row],[ENFASIS]],Listas!$R$2:$S$8,2,0)</f>
        <v>ENFASIS EN GEOMATICA</v>
      </c>
      <c r="F153" s="19" t="str">
        <f>VLOOKUP(A153,'Datos Personales'!A:M,8,0)</f>
        <v>ceamejiac@correo.udistrital.edu.co</v>
      </c>
      <c r="G153" s="19" t="str">
        <f>VLOOKUP(A153,'Datos Personales'!A:M,9,0)</f>
        <v>ccma_93@hotmail.com</v>
      </c>
      <c r="H153" s="19" t="str">
        <f>VLOOKUP(A153,'Datos Personales'!A:M,5,FALSE)</f>
        <v>X</v>
      </c>
      <c r="I153" s="19" t="str">
        <f>VLOOKUP(Tabla4[[#This Row],[CODIGO]],'ESTADOS ESTUDIANTES'!B:M,12,0)</f>
        <v>2021-3</v>
      </c>
      <c r="J153" s="23"/>
      <c r="K153" s="23"/>
      <c r="L153" s="23"/>
      <c r="M153" s="23"/>
      <c r="N153" s="96"/>
      <c r="O153" s="23"/>
      <c r="P153" s="23"/>
      <c r="Q153" s="23"/>
      <c r="R153" s="124"/>
      <c r="S153" s="124" t="str">
        <f>IF(Tabla4[[#This Row],[FECHA DE ACEPTACION DEL GRUP. INV.]]="","",DATE(YEAR(Tabla4[[#This Row],[FECHA DE ACEPTACION DEL GRUP. INV.]])+2,MONTH(Tabla4[[#This Row],[FECHA DE ACEPTACION DEL GRUP. INV.]]),DAY(Tabla4[[#This Row],[FECHA DE ACEPTACION DEL GRUP. INV.]])))</f>
        <v/>
      </c>
      <c r="T153" s="124" t="str">
        <f ca="1">IF(Tabla4[[#This Row],[FECHA DE ACEPTACION DEL GRUP. INV.]]="","",IF(Tabla4[[#This Row],[FECHA DE VENCIMIENTO ANTE PROYECTO]]&lt;TODAY(),"SÍ","NO"))</f>
        <v/>
      </c>
      <c r="U153" s="124"/>
      <c r="V153" s="124"/>
      <c r="W153" s="18"/>
      <c r="X153" s="18"/>
      <c r="Y153" s="96"/>
      <c r="Z153" s="97"/>
      <c r="AA153" s="96"/>
      <c r="AB153" s="97"/>
      <c r="AC153" s="110"/>
      <c r="AD153" s="18"/>
      <c r="AE153" s="124"/>
      <c r="AF153" s="124"/>
      <c r="AG153" s="169"/>
      <c r="AH153" s="169"/>
      <c r="AI153" s="169"/>
      <c r="AJ153" s="170" t="str">
        <f>IFERROR(VLOOKUP(AI153,Listas!K:L,2,0),"")</f>
        <v/>
      </c>
      <c r="AK153" s="21" t="str">
        <f>IFERROR(VLOOKUP(AJ153,Listas!L:M,2,0),"")</f>
        <v/>
      </c>
      <c r="AL153" s="96"/>
      <c r="AM153" s="23"/>
      <c r="AN153" s="96"/>
      <c r="AO153" s="23"/>
      <c r="AP153" s="96"/>
      <c r="AQ153" s="96"/>
      <c r="AR153" s="21"/>
      <c r="AS153" s="21"/>
      <c r="AT153" s="23"/>
      <c r="AU153" s="23"/>
      <c r="AV153" s="96"/>
      <c r="AW153" s="96"/>
      <c r="AX153" s="21"/>
      <c r="AY153" s="21"/>
      <c r="AZ153" s="23"/>
      <c r="BA153" s="96"/>
      <c r="BB153" s="18" t="str">
        <f>IFERROR(ROUND(AVERAGE(AY153,AX153,AS153,AR153),0),"")</f>
        <v/>
      </c>
      <c r="BC153" s="232" t="e">
        <f t="shared" si="14"/>
        <v>#VALUE!</v>
      </c>
      <c r="BD153" s="185" t="e">
        <f t="shared" si="15"/>
        <v>#VALUE!</v>
      </c>
      <c r="BE153" s="23"/>
      <c r="BF153" s="23"/>
      <c r="BG153" s="293" t="str">
        <f t="shared" si="16"/>
        <v/>
      </c>
    </row>
    <row r="154" spans="1:59" s="339" customFormat="1" ht="15" hidden="1">
      <c r="A154" s="21">
        <v>20211395005</v>
      </c>
      <c r="B154" s="19" t="str">
        <f>VLOOKUP(A154,'Datos Personales'!A:M,2,FALSE)</f>
        <v>RIVERA SANCHEZ HAYLERMAN FERNANDO</v>
      </c>
      <c r="C154" s="19">
        <f>VLOOKUP(A154,'ESTADOS ESTUDIANTES'!B:L,11,0)</f>
        <v>1024530028</v>
      </c>
      <c r="D154" s="19">
        <f>VLOOKUP(A154,'Datos Personales'!$A:$M,3,FALSE)</f>
        <v>395</v>
      </c>
      <c r="E154" s="19" t="str">
        <f>VLOOKUP(Tabla4[[#This Row],[ENFASIS]],Listas!$R$2:$S$8,2,0)</f>
        <v>ENFASIS EN GEOMATICA</v>
      </c>
      <c r="F154" s="19" t="str">
        <f>VLOOKUP(A154,'Datos Personales'!A:M,8,0)</f>
        <v>hfriveras@udistrital.edu.co</v>
      </c>
      <c r="G154" s="19" t="str">
        <f>VLOOKUP(A154,'Datos Personales'!A:M,9,0)</f>
        <v>hfriveraz@gmail.com</v>
      </c>
      <c r="H154" s="19" t="str">
        <f>VLOOKUP(A154,'Datos Personales'!A:M,5,FALSE)</f>
        <v>I</v>
      </c>
      <c r="I154" s="19" t="str">
        <f>VLOOKUP(Tabla4[[#This Row],[CODIGO]],'ESTADOS ESTUDIANTES'!B:M,12,0)</f>
        <v>-</v>
      </c>
      <c r="J154" s="23"/>
      <c r="K154" s="22"/>
      <c r="L154" s="22"/>
      <c r="M154" s="22"/>
      <c r="N154" s="265"/>
      <c r="O154" s="22"/>
      <c r="P154" s="22"/>
      <c r="Q154" s="22"/>
      <c r="R154" s="266"/>
      <c r="S154" s="266" t="str">
        <f>IF(Tabla4[[#This Row],[FECHA DE ACEPTACION DEL GRUP. INV.]]="","",DATE(YEAR(Tabla4[[#This Row],[FECHA DE ACEPTACION DEL GRUP. INV.]])+2,MONTH(Tabla4[[#This Row],[FECHA DE ACEPTACION DEL GRUP. INV.]]),DAY(Tabla4[[#This Row],[FECHA DE ACEPTACION DEL GRUP. INV.]])))</f>
        <v/>
      </c>
      <c r="T154" s="266" t="str">
        <f ca="1">IF(Tabla4[[#This Row],[FECHA DE ACEPTACION DEL GRUP. INV.]]="","",IF(Tabla4[[#This Row],[FECHA DE VENCIMIENTO ANTE PROYECTO]]&lt;TODAY(),"SÍ","NO"))</f>
        <v/>
      </c>
      <c r="U154" s="266"/>
      <c r="V154" s="266"/>
      <c r="W154" s="267"/>
      <c r="X154" s="267"/>
      <c r="Y154" s="96"/>
      <c r="Z154" s="97"/>
      <c r="AA154" s="96"/>
      <c r="AB154" s="97"/>
      <c r="AC154" s="110"/>
      <c r="AD154" s="267"/>
      <c r="AE154" s="266"/>
      <c r="AF154" s="266"/>
      <c r="AG154" s="169"/>
      <c r="AH154" s="169"/>
      <c r="AI154" s="169"/>
      <c r="AJ154" s="170" t="str">
        <f>IFERROR(VLOOKUP(AI154,Listas!K:L,2,0),"")</f>
        <v/>
      </c>
      <c r="AK154" s="21" t="str">
        <f>IFERROR(VLOOKUP(AJ154,Listas!L:M,2,0),"")</f>
        <v/>
      </c>
      <c r="AL154" s="265"/>
      <c r="AM154" s="22"/>
      <c r="AN154" s="265"/>
      <c r="AO154" s="22"/>
      <c r="AP154" s="265"/>
      <c r="AQ154" s="265"/>
      <c r="AR154" s="21"/>
      <c r="AS154" s="21"/>
      <c r="AT154" s="22"/>
      <c r="AU154" s="22"/>
      <c r="AV154" s="265"/>
      <c r="AW154" s="265"/>
      <c r="AX154" s="21"/>
      <c r="AY154" s="21"/>
      <c r="AZ154" s="22"/>
      <c r="BA154" s="265"/>
      <c r="BB154" s="18" t="str">
        <f>IFERROR(ROUND(AVERAGE(AY154,AX154,AS154,AR154),0),"")</f>
        <v/>
      </c>
      <c r="BC154" s="232" t="e">
        <f t="shared" si="14"/>
        <v>#VALUE!</v>
      </c>
      <c r="BD154" s="185" t="e">
        <f t="shared" si="15"/>
        <v>#VALUE!</v>
      </c>
      <c r="BE154" s="22"/>
      <c r="BF154" s="22"/>
      <c r="BG154" s="255" t="str">
        <f t="shared" si="16"/>
        <v/>
      </c>
    </row>
    <row r="155" spans="1:59" ht="60" hidden="1">
      <c r="A155" s="187">
        <v>20211395006</v>
      </c>
      <c r="B155" s="188" t="str">
        <f>VLOOKUP(A155,'Datos Personales'!A:M,2,FALSE)</f>
        <v>ROMERO BELTRAN JEISSON ANDRES</v>
      </c>
      <c r="C155" s="188">
        <f>VLOOKUP(A155,'ESTADOS ESTUDIANTES'!B:L,11,0)</f>
        <v>1032433435</v>
      </c>
      <c r="D155" s="188">
        <f>VLOOKUP(A155,'Datos Personales'!$A:$M,3,FALSE)</f>
        <v>395</v>
      </c>
      <c r="E155" s="188" t="str">
        <f>VLOOKUP(Tabla4[[#This Row],[ENFASIS]],Listas!$R$2:$S$8,2,0)</f>
        <v>ENFASIS EN GEOMATICA</v>
      </c>
      <c r="F155" s="188" t="str">
        <f>VLOOKUP(A155,'Datos Personales'!A:M,8,0)</f>
        <v>jearomerob@udistrital.edu.co</v>
      </c>
      <c r="G155" s="188" t="str">
        <f>VLOOKUP(A155,'Datos Personales'!A:M,9,0)</f>
        <v>andresromerobeltran@gmail.com</v>
      </c>
      <c r="H155" s="188" t="str">
        <f>VLOOKUP(A155,'Datos Personales'!A:M,5,FALSE)</f>
        <v>E</v>
      </c>
      <c r="I155" s="188" t="str">
        <f>VLOOKUP(Tabla4[[#This Row],[CODIGO]],'ESTADOS ESTUDIANTES'!B:M,12,0)</f>
        <v>2024-3</v>
      </c>
      <c r="J155" s="171" t="s">
        <v>60</v>
      </c>
      <c r="K155" s="171" t="s">
        <v>641</v>
      </c>
      <c r="L155" s="171" t="s">
        <v>642</v>
      </c>
      <c r="M155" s="169"/>
      <c r="N155" s="189">
        <v>44367</v>
      </c>
      <c r="O155" s="188">
        <v>2021</v>
      </c>
      <c r="P155" s="171" t="s">
        <v>115</v>
      </c>
      <c r="Q155" s="171" t="s">
        <v>292</v>
      </c>
      <c r="R155" s="190">
        <v>44374</v>
      </c>
      <c r="S155" s="190">
        <f>IF(Tabla4[[#This Row],[FECHA DE ACEPTACION DEL GRUP. INV.]]="","",DATE(YEAR(Tabla4[[#This Row],[FECHA DE ACEPTACION DEL GRUP. INV.]])+2,MONTH(Tabla4[[#This Row],[FECHA DE ACEPTACION DEL GRUP. INV.]]),DAY(Tabla4[[#This Row],[FECHA DE ACEPTACION DEL GRUP. INV.]])))</f>
        <v>45104</v>
      </c>
      <c r="T155" s="190" t="str">
        <f ca="1">IF(Tabla4[[#This Row],[FECHA DE ACEPTACION DEL GRUP. INV.]]="","",IF(Tabla4[[#This Row],[FECHA DE VENCIMIENTO ANTE PROYECTO]]&lt;TODAY(),"SÍ","NO"))</f>
        <v>SÍ</v>
      </c>
      <c r="U155" s="237" t="s">
        <v>62</v>
      </c>
      <c r="V155" s="237"/>
      <c r="W155" s="171" t="s">
        <v>223</v>
      </c>
      <c r="X155" s="171"/>
      <c r="Y155" s="189"/>
      <c r="Z155" s="191"/>
      <c r="AA155" s="189">
        <v>44981</v>
      </c>
      <c r="AB155" s="191">
        <v>124</v>
      </c>
      <c r="AC155" s="110" t="s">
        <v>79</v>
      </c>
      <c r="AD155" s="171" t="s">
        <v>643</v>
      </c>
      <c r="AE155" s="190">
        <v>45231</v>
      </c>
      <c r="AF155" s="190" t="s">
        <v>644</v>
      </c>
      <c r="AG155" s="169" t="s">
        <v>645</v>
      </c>
      <c r="AH155" s="169">
        <v>2024</v>
      </c>
      <c r="AI155" s="169" t="s">
        <v>88</v>
      </c>
      <c r="AJ155" s="170">
        <f>IFERROR(VLOOKUP(AI155,Listas!K:L,2,0),"")</f>
        <v>0.6</v>
      </c>
      <c r="AK155" s="21">
        <f>IFERROR(VLOOKUP(AJ155,Listas!L:M,2,0),"")</f>
        <v>30</v>
      </c>
      <c r="AL155" s="189">
        <v>45422</v>
      </c>
      <c r="AM155" s="18" t="s">
        <v>361</v>
      </c>
      <c r="AN155" s="189">
        <v>45422</v>
      </c>
      <c r="AO155" s="169" t="s">
        <v>292</v>
      </c>
      <c r="AP155" s="189"/>
      <c r="AQ155" s="189"/>
      <c r="AR155" s="187">
        <v>50</v>
      </c>
      <c r="AS155" s="187">
        <v>50</v>
      </c>
      <c r="AT155" s="169" t="s">
        <v>41</v>
      </c>
      <c r="AU155" s="169" t="s">
        <v>270</v>
      </c>
      <c r="AV155" s="189"/>
      <c r="AW155" s="189"/>
      <c r="AX155" s="187">
        <v>50</v>
      </c>
      <c r="AY155" s="187">
        <v>50</v>
      </c>
      <c r="AZ155" s="169" t="s">
        <v>41</v>
      </c>
      <c r="BA155" s="189">
        <v>45441</v>
      </c>
      <c r="BB155" s="232">
        <f>IFERROR(AVERAGE(AR155,AS155,AX155,AY155),"")</f>
        <v>50</v>
      </c>
      <c r="BC155" s="232">
        <f t="shared" si="14"/>
        <v>20</v>
      </c>
      <c r="BD155" s="232">
        <f t="shared" si="15"/>
        <v>50</v>
      </c>
      <c r="BE155" s="169"/>
      <c r="BF155" s="169" t="s">
        <v>646</v>
      </c>
      <c r="BG155" s="234" t="str">
        <f t="shared" si="16"/>
        <v/>
      </c>
    </row>
    <row r="156" spans="1:59" s="339" customFormat="1" ht="45" hidden="1">
      <c r="A156" s="187">
        <v>20211395007</v>
      </c>
      <c r="B156" s="188" t="str">
        <f>VLOOKUP(A156,'Datos Personales'!A:M,2,FALSE)</f>
        <v>SERNA GALEANO IVAN ANDRES</v>
      </c>
      <c r="C156" s="188">
        <f>VLOOKUP(A156,'ESTADOS ESTUDIANTES'!B:L,11,0)</f>
        <v>1019046050</v>
      </c>
      <c r="D156" s="188">
        <f>VLOOKUP(A156,'Datos Personales'!$A:$M,3,FALSE)</f>
        <v>495</v>
      </c>
      <c r="E156" s="188" t="str">
        <f>VLOOKUP(Tabla4[[#This Row],[ENFASIS]],Listas!$R$2:$S$8,2,0)</f>
        <v>ENFASIS EN ING. SOFT</v>
      </c>
      <c r="F156" s="188" t="str">
        <f>VLOOKUP(A156,'Datos Personales'!A:M,8,0)</f>
        <v>iasernag@udistrital.edu.co</v>
      </c>
      <c r="G156" s="188" t="str">
        <f>VLOOKUP(A156,'Datos Personales'!A:M,9,0)</f>
        <v>iasernag@correo.udistrital.edu.co</v>
      </c>
      <c r="H156" s="188" t="str">
        <f>VLOOKUP(A156,'Datos Personales'!A:M,5,FALSE)</f>
        <v>E</v>
      </c>
      <c r="I156" s="188" t="str">
        <f>VLOOKUP(Tabla4[[#This Row],[CODIGO]],'ESTADOS ESTUDIANTES'!B:M,12,0)</f>
        <v>2024-3</v>
      </c>
      <c r="J156" s="171" t="s">
        <v>60</v>
      </c>
      <c r="K156" s="171" t="s">
        <v>647</v>
      </c>
      <c r="L156" s="171" t="s">
        <v>369</v>
      </c>
      <c r="M156" s="169"/>
      <c r="N156" s="189">
        <v>44367</v>
      </c>
      <c r="O156" s="188">
        <v>2021</v>
      </c>
      <c r="P156" s="171" t="s">
        <v>137</v>
      </c>
      <c r="Q156" s="171" t="s">
        <v>369</v>
      </c>
      <c r="R156" s="190">
        <v>44367</v>
      </c>
      <c r="S156" s="190">
        <f>IF(Tabla4[[#This Row],[FECHA DE ACEPTACION DEL GRUP. INV.]]="","",DATE(YEAR(Tabla4[[#This Row],[FECHA DE ACEPTACION DEL GRUP. INV.]])+2,MONTH(Tabla4[[#This Row],[FECHA DE ACEPTACION DEL GRUP. INV.]]),DAY(Tabla4[[#This Row],[FECHA DE ACEPTACION DEL GRUP. INV.]])))</f>
        <v>45097</v>
      </c>
      <c r="T156" s="190" t="str">
        <f ca="1">IF(Tabla4[[#This Row],[FECHA DE ACEPTACION DEL GRUP. INV.]]="","",IF(Tabla4[[#This Row],[FECHA DE VENCIMIENTO ANTE PROYECTO]]&lt;TODAY(),"SÍ","NO"))</f>
        <v>SÍ</v>
      </c>
      <c r="U156" s="237" t="s">
        <v>62</v>
      </c>
      <c r="V156" s="237"/>
      <c r="W156" s="171" t="s">
        <v>522</v>
      </c>
      <c r="X156" s="171"/>
      <c r="Y156" s="189"/>
      <c r="Z156" s="191"/>
      <c r="AA156" s="189">
        <v>44680</v>
      </c>
      <c r="AB156" s="191">
        <v>112</v>
      </c>
      <c r="AC156" s="98" t="s">
        <v>79</v>
      </c>
      <c r="AD156" s="171" t="s">
        <v>648</v>
      </c>
      <c r="AE156" s="190">
        <v>45372</v>
      </c>
      <c r="AF156" s="190" t="s">
        <v>649</v>
      </c>
      <c r="AG156" s="171" t="s">
        <v>650</v>
      </c>
      <c r="AH156" s="171" t="s">
        <v>394</v>
      </c>
      <c r="AI156" s="171" t="s">
        <v>80</v>
      </c>
      <c r="AJ156" s="170">
        <f>IFERROR(VLOOKUP(AI156,Listas!K:L,2,0),"")</f>
        <v>0.6</v>
      </c>
      <c r="AK156" s="21">
        <f>IFERROR(VLOOKUP(AJ156,Listas!L:M,2,0),"")</f>
        <v>30</v>
      </c>
      <c r="AL156" s="189">
        <v>45356</v>
      </c>
      <c r="AM156" s="18" t="s">
        <v>361</v>
      </c>
      <c r="AN156" s="189">
        <v>45422</v>
      </c>
      <c r="AO156" s="169" t="s">
        <v>356</v>
      </c>
      <c r="AP156" s="189"/>
      <c r="AQ156" s="189"/>
      <c r="AR156" s="187">
        <v>50</v>
      </c>
      <c r="AS156" s="187">
        <v>50</v>
      </c>
      <c r="AT156" s="169" t="s">
        <v>41</v>
      </c>
      <c r="AU156" s="169" t="s">
        <v>303</v>
      </c>
      <c r="AV156" s="189"/>
      <c r="AW156" s="189"/>
      <c r="AX156" s="187">
        <v>50</v>
      </c>
      <c r="AY156" s="187">
        <v>50</v>
      </c>
      <c r="AZ156" s="169" t="s">
        <v>41</v>
      </c>
      <c r="BA156" s="189">
        <v>45439</v>
      </c>
      <c r="BB156" s="187">
        <f>IFERROR(AVERAGE(AR156,AS156,AX156,AY156),"")</f>
        <v>50</v>
      </c>
      <c r="BC156" s="187">
        <f t="shared" si="14"/>
        <v>20</v>
      </c>
      <c r="BD156" s="187">
        <f t="shared" si="15"/>
        <v>50</v>
      </c>
      <c r="BE156" s="169"/>
      <c r="BF156" s="169"/>
      <c r="BG156" s="234" t="str">
        <f t="shared" si="16"/>
        <v/>
      </c>
    </row>
    <row r="157" spans="1:59" ht="90" hidden="1">
      <c r="A157" s="208">
        <v>20211395008</v>
      </c>
      <c r="B157" s="209" t="str">
        <f>VLOOKUP(A157,'Datos Personales'!A:M,2,FALSE)</f>
        <v>VALBUENA GAONA MARTHA PATRICIA</v>
      </c>
      <c r="C157" s="209">
        <f>VLOOKUP(A157,'ESTADOS ESTUDIANTES'!B:L,11,0)</f>
        <v>1013679772</v>
      </c>
      <c r="D157" s="209">
        <f>VLOOKUP(A157,'Datos Personales'!$A:$M,3,FALSE)</f>
        <v>395</v>
      </c>
      <c r="E157" s="209" t="str">
        <f>VLOOKUP(Tabla4[[#This Row],[ENFASIS]],Listas!$R$2:$S$8,2,0)</f>
        <v>ENFASIS EN GEOMATICA</v>
      </c>
      <c r="F157" s="209" t="str">
        <f>VLOOKUP(A157,'Datos Personales'!A:M,8,0)</f>
        <v>mpvalbuenag@udistrital.edu.co</v>
      </c>
      <c r="G157" s="209" t="str">
        <f>VLOOKUP(A157,'Datos Personales'!A:M,9,0)</f>
        <v>mpvalbuenag@gmail.com</v>
      </c>
      <c r="H157" s="209" t="str">
        <f>VLOOKUP(A157,'Datos Personales'!A:M,5,FALSE)</f>
        <v>E</v>
      </c>
      <c r="I157" s="209" t="str">
        <f>VLOOKUP(Tabla4[[#This Row],[CODIGO]],'ESTADOS ESTUDIANTES'!B:M,12,0)</f>
        <v>2023-3</v>
      </c>
      <c r="J157" s="210" t="s">
        <v>60</v>
      </c>
      <c r="K157" s="210" t="s">
        <v>651</v>
      </c>
      <c r="L157" s="210" t="s">
        <v>458</v>
      </c>
      <c r="M157" s="211"/>
      <c r="N157" s="212">
        <v>44367</v>
      </c>
      <c r="O157" s="209">
        <v>2021</v>
      </c>
      <c r="P157" s="210" t="s">
        <v>146</v>
      </c>
      <c r="Q157" s="210" t="s">
        <v>458</v>
      </c>
      <c r="R157" s="213">
        <v>44540</v>
      </c>
      <c r="S157" s="213">
        <f>IF(Tabla4[[#This Row],[FECHA DE ACEPTACION DEL GRUP. INV.]]="","",DATE(YEAR(Tabla4[[#This Row],[FECHA DE ACEPTACION DEL GRUP. INV.]])+2,MONTH(Tabla4[[#This Row],[FECHA DE ACEPTACION DEL GRUP. INV.]]),DAY(Tabla4[[#This Row],[FECHA DE ACEPTACION DEL GRUP. INV.]])))</f>
        <v>45270</v>
      </c>
      <c r="T157" s="213" t="str">
        <f ca="1">IF(Tabla4[[#This Row],[FECHA DE ACEPTACION DEL GRUP. INV.]]="","",IF(Tabla4[[#This Row],[FECHA DE VENCIMIENTO ANTE PROYECTO]]&lt;TODAY(),"SÍ","NO"))</f>
        <v>SÍ</v>
      </c>
      <c r="U157" s="213"/>
      <c r="V157" s="213"/>
      <c r="W157" s="210" t="s">
        <v>522</v>
      </c>
      <c r="X157" s="210"/>
      <c r="Y157" s="212"/>
      <c r="Z157" s="214"/>
      <c r="AA157" s="212">
        <v>44510</v>
      </c>
      <c r="AB157" s="214">
        <v>118.75</v>
      </c>
      <c r="AC157" s="98" t="s">
        <v>79</v>
      </c>
      <c r="AD157" s="210" t="s">
        <v>324</v>
      </c>
      <c r="AE157" s="213">
        <v>45056</v>
      </c>
      <c r="AF157" s="213" t="s">
        <v>652</v>
      </c>
      <c r="AG157" s="210" t="s">
        <v>653</v>
      </c>
      <c r="AH157" s="210" t="s">
        <v>280</v>
      </c>
      <c r="AI157" s="210" t="s">
        <v>99</v>
      </c>
      <c r="AJ157" s="170">
        <f>IFERROR(VLOOKUP(AI157,Listas!K:L,2,0),"")</f>
        <v>0.2</v>
      </c>
      <c r="AK157" s="21">
        <f>IFERROR(VLOOKUP(AJ157,Listas!L:M,2,0),"")</f>
        <v>10</v>
      </c>
      <c r="AL157" s="212">
        <v>45056</v>
      </c>
      <c r="AM157" s="210" t="s">
        <v>324</v>
      </c>
      <c r="AN157" s="212">
        <v>45056</v>
      </c>
      <c r="AO157" s="211" t="s">
        <v>348</v>
      </c>
      <c r="AP157" s="212">
        <v>45061</v>
      </c>
      <c r="AQ157" s="212">
        <v>45083</v>
      </c>
      <c r="AR157" s="208">
        <v>50</v>
      </c>
      <c r="AS157" s="208">
        <v>50</v>
      </c>
      <c r="AT157" s="211" t="s">
        <v>41</v>
      </c>
      <c r="AU157" s="211" t="s">
        <v>654</v>
      </c>
      <c r="AV157" s="212">
        <v>45061</v>
      </c>
      <c r="AW157" s="212">
        <v>45078</v>
      </c>
      <c r="AX157" s="208">
        <v>50</v>
      </c>
      <c r="AY157" s="208">
        <v>50</v>
      </c>
      <c r="AZ157" s="211" t="s">
        <v>41</v>
      </c>
      <c r="BA157" s="212">
        <v>45076</v>
      </c>
      <c r="BB157" s="215">
        <f>IFERROR(AVERAGE(AR157,AS157,AX157,AY157),"")</f>
        <v>50</v>
      </c>
      <c r="BC157" s="215">
        <f t="shared" si="14"/>
        <v>40</v>
      </c>
      <c r="BD157" s="215">
        <f t="shared" si="15"/>
        <v>50</v>
      </c>
      <c r="BE157" s="211"/>
      <c r="BF157" s="211"/>
      <c r="BG157" s="343" t="str">
        <f t="shared" si="16"/>
        <v/>
      </c>
    </row>
    <row r="158" spans="1:59" ht="45">
      <c r="A158" s="662">
        <v>20211495001</v>
      </c>
      <c r="B158" s="659" t="str">
        <f>VLOOKUP(A158,'Datos Personales'!A:M,2,FALSE)</f>
        <v>CASTANEDA ALVARADO JUAN CAMILO</v>
      </c>
      <c r="C158" s="659">
        <f>VLOOKUP(A158,'ESTADOS ESTUDIANTES'!B:L,11,0)</f>
        <v>1015407762</v>
      </c>
      <c r="D158" s="659">
        <f>VLOOKUP(A158,'Datos Personales'!$A:$M,3,FALSE)</f>
        <v>495</v>
      </c>
      <c r="E158" s="659" t="str">
        <f>VLOOKUP(Tabla4[[#This Row],[ENFASIS]],Listas!$R$2:$S$8,2,0)</f>
        <v>ENFASIS EN ING. SOFT</v>
      </c>
      <c r="F158" s="651" t="str">
        <f>VLOOKUP(A158,'Datos Personales'!A:M,8,0)</f>
        <v>juccastanedaa@udistrital.edu.co</v>
      </c>
      <c r="G158" s="651" t="str">
        <f>VLOOKUP(A158,'Datos Personales'!A:M,9,0)</f>
        <v>JUANCAMILO.CASTANEDAA@GMAIL.COM</v>
      </c>
      <c r="H158" s="651" t="str">
        <f>VLOOKUP(A158,'Datos Personales'!A:M,5,FALSE)</f>
        <v>A</v>
      </c>
      <c r="I158" s="659" t="str">
        <f>VLOOKUP(Tabla4[[#This Row],[CODIGO]],'ESTADOS ESTUDIANTES'!B:M,12,0)</f>
        <v>2026-3</v>
      </c>
      <c r="J158" s="651" t="s">
        <v>60</v>
      </c>
      <c r="K158" s="651" t="s">
        <v>655</v>
      </c>
      <c r="L158" s="651" t="s">
        <v>656</v>
      </c>
      <c r="M158" s="660" t="s">
        <v>657</v>
      </c>
      <c r="N158" s="658">
        <v>46030</v>
      </c>
      <c r="O158" s="659">
        <v>2026</v>
      </c>
      <c r="P158" s="651" t="s">
        <v>140</v>
      </c>
      <c r="Q158" s="651" t="s">
        <v>385</v>
      </c>
      <c r="R158" s="656">
        <v>46069</v>
      </c>
      <c r="S158" s="656">
        <f>IF(Tabla4[[#This Row],[FECHA DE ACEPTACION DEL GRUP. INV.]]="","",DATE(YEAR(Tabla4[[#This Row],[FECHA DE ACEPTACION DEL GRUP. INV.]])+2,MONTH(Tabla4[[#This Row],[FECHA DE ACEPTACION DEL GRUP. INV.]]),DAY(Tabla4[[#This Row],[FECHA DE ACEPTACION DEL GRUP. INV.]])))</f>
        <v>46799</v>
      </c>
      <c r="T158" s="656" t="str">
        <f ca="1">IF(Tabla4[[#This Row],[FECHA DE ACEPTACION DEL GRUP. INV.]]="","",IF(Tabla4[[#This Row],[FECHA DE VENCIMIENTO ANTE PROYECTO]]&lt;TODAY(),"SÍ","NO"))</f>
        <v>NO</v>
      </c>
      <c r="U158" s="656" t="s">
        <v>62</v>
      </c>
      <c r="V158" s="173"/>
      <c r="W158" s="87"/>
      <c r="X158" s="651" t="s">
        <v>658</v>
      </c>
      <c r="Y158" s="86"/>
      <c r="Z158" s="160"/>
      <c r="AA158" s="86"/>
      <c r="AB158" s="160"/>
      <c r="AC158" s="98"/>
      <c r="AD158" s="87"/>
      <c r="AE158" s="173"/>
      <c r="AF158" s="173"/>
      <c r="AG158" s="171"/>
      <c r="AH158" s="171"/>
      <c r="AI158" s="171"/>
      <c r="AJ158" s="180"/>
      <c r="AK158" s="180"/>
      <c r="AL158" s="86"/>
      <c r="AM158" s="87"/>
      <c r="AN158" s="86"/>
      <c r="AO158" s="211"/>
      <c r="AP158" s="86"/>
      <c r="AQ158" s="86"/>
      <c r="AR158" s="158"/>
      <c r="AS158" s="158"/>
      <c r="AT158" s="211"/>
      <c r="AU158" s="211"/>
      <c r="AV158" s="86"/>
      <c r="AW158" s="86"/>
      <c r="AX158" s="158"/>
      <c r="AY158" s="158"/>
      <c r="AZ158" s="211"/>
      <c r="BA158" s="86"/>
      <c r="BB158" s="158"/>
      <c r="BC158" s="292">
        <f>(BB158*0.8)/10</f>
        <v>0</v>
      </c>
      <c r="BD158" s="292">
        <f t="shared" si="15"/>
        <v>0</v>
      </c>
      <c r="BE158" s="172"/>
      <c r="BF158" s="172"/>
      <c r="BG158" s="343" t="str">
        <f t="shared" si="16"/>
        <v>Jorge Enrique Salamanca</v>
      </c>
    </row>
    <row r="159" spans="1:59" s="470" customFormat="1" ht="75" hidden="1">
      <c r="A159" s="187">
        <v>20211495004</v>
      </c>
      <c r="B159" s="188" t="str">
        <f>VLOOKUP(A159,'Datos Personales'!A:M,2,FALSE)</f>
        <v>MILLAN GOMEZ JORGE ARMANDO</v>
      </c>
      <c r="C159" s="19">
        <f>VLOOKUP(A159,'ESTADOS ESTUDIANTES'!B:L,11,0)</f>
        <v>1030649042</v>
      </c>
      <c r="D159" s="19">
        <f>VLOOKUP(A159,'Datos Personales'!$A:$M,3,FALSE)</f>
        <v>495</v>
      </c>
      <c r="E159" s="19" t="str">
        <f>VLOOKUP(Tabla4[[#This Row],[ENFASIS]],Listas!$R$2:$S$8,2,0)</f>
        <v>ENFASIS EN ING. SOFT</v>
      </c>
      <c r="F159" s="19" t="str">
        <f>VLOOKUP(A159,'Datos Personales'!A:M,8,0)</f>
        <v>jamillang@udistrital.edu.co</v>
      </c>
      <c r="G159" s="19" t="str">
        <f>VLOOKUP(A159,'Datos Personales'!A:M,9,0)</f>
        <v>jamillan94@gmail.com</v>
      </c>
      <c r="H159" s="19" t="str">
        <f>VLOOKUP(A159,'Datos Personales'!A:M,5,FALSE)</f>
        <v>E</v>
      </c>
      <c r="I159" s="19" t="str">
        <f>VLOOKUP(Tabla4[[#This Row],[CODIGO]],'ESTADOS ESTUDIANTES'!B:M,12,0)</f>
        <v>2023-1</v>
      </c>
      <c r="J159" s="18" t="s">
        <v>60</v>
      </c>
      <c r="K159" s="18" t="s">
        <v>659</v>
      </c>
      <c r="L159" s="18" t="s">
        <v>292</v>
      </c>
      <c r="M159" s="23"/>
      <c r="N159" s="96">
        <v>44367</v>
      </c>
      <c r="O159" s="19">
        <v>2021</v>
      </c>
      <c r="P159" s="18" t="s">
        <v>115</v>
      </c>
      <c r="Q159" s="18" t="s">
        <v>292</v>
      </c>
      <c r="R159" s="124">
        <v>44374</v>
      </c>
      <c r="S159" s="124">
        <f>IF(Tabla4[[#This Row],[FECHA DE ACEPTACION DEL GRUP. INV.]]="","",DATE(YEAR(Tabla4[[#This Row],[FECHA DE ACEPTACION DEL GRUP. INV.]])+2,MONTH(Tabla4[[#This Row],[FECHA DE ACEPTACION DEL GRUP. INV.]]),DAY(Tabla4[[#This Row],[FECHA DE ACEPTACION DEL GRUP. INV.]])))</f>
        <v>45104</v>
      </c>
      <c r="T159" s="124" t="str">
        <f ca="1">IF(Tabla4[[#This Row],[FECHA DE ACEPTACION DEL GRUP. INV.]]="","",IF(Tabla4[[#This Row],[FECHA DE VENCIMIENTO ANTE PROYECTO]]&lt;TODAY(),"SÍ","NO"))</f>
        <v>SÍ</v>
      </c>
      <c r="U159" s="124"/>
      <c r="V159" s="124"/>
      <c r="W159" s="18" t="s">
        <v>223</v>
      </c>
      <c r="X159" s="18"/>
      <c r="Y159" s="96"/>
      <c r="Z159" s="97"/>
      <c r="AA159" s="96">
        <v>44887</v>
      </c>
      <c r="AB159" s="97">
        <v>100</v>
      </c>
      <c r="AC159" s="110" t="s">
        <v>79</v>
      </c>
      <c r="AD159" s="18" t="s">
        <v>324</v>
      </c>
      <c r="AE159" s="124">
        <v>45056</v>
      </c>
      <c r="AF159" s="124" t="s">
        <v>660</v>
      </c>
      <c r="AG159" s="169" t="s">
        <v>661</v>
      </c>
      <c r="AH159" s="169">
        <v>2022</v>
      </c>
      <c r="AI159" s="169" t="s">
        <v>99</v>
      </c>
      <c r="AJ159" s="170">
        <f>IFERROR(VLOOKUP(AI159,Listas!K:L,2,0),"")</f>
        <v>0.2</v>
      </c>
      <c r="AK159" s="21">
        <f>IFERROR(VLOOKUP(AJ159,Listas!L:M,2,0),"")</f>
        <v>10</v>
      </c>
      <c r="AL159" s="96">
        <v>45056</v>
      </c>
      <c r="AM159" s="18" t="s">
        <v>324</v>
      </c>
      <c r="AN159" s="96">
        <v>45056</v>
      </c>
      <c r="AO159" s="23" t="s">
        <v>662</v>
      </c>
      <c r="AP159" s="96">
        <v>45061</v>
      </c>
      <c r="AQ159" s="96">
        <v>45084</v>
      </c>
      <c r="AR159" s="21">
        <v>50</v>
      </c>
      <c r="AS159" s="21">
        <v>50</v>
      </c>
      <c r="AT159" s="23" t="s">
        <v>41</v>
      </c>
      <c r="AU159" s="23" t="s">
        <v>302</v>
      </c>
      <c r="AV159" s="96">
        <v>45061</v>
      </c>
      <c r="AW159" s="96">
        <v>45086</v>
      </c>
      <c r="AX159" s="21">
        <v>47</v>
      </c>
      <c r="AY159" s="21">
        <v>29</v>
      </c>
      <c r="AZ159" s="23" t="s">
        <v>41</v>
      </c>
      <c r="BA159" s="96">
        <v>45076</v>
      </c>
      <c r="BB159" s="185">
        <f>IFERROR(AVERAGE(AR159,AS159,AX159,AY159),"")</f>
        <v>44</v>
      </c>
      <c r="BC159" s="338">
        <f t="shared" ref="BC159:BC197" si="17">BB159*(100%-AJ159)</f>
        <v>35.200000000000003</v>
      </c>
      <c r="BD159" s="338">
        <f t="shared" si="15"/>
        <v>45.2</v>
      </c>
      <c r="BE159" s="23"/>
      <c r="BF159" s="23"/>
      <c r="BG159" s="255" t="str">
        <f t="shared" si="16"/>
        <v/>
      </c>
    </row>
    <row r="160" spans="1:59" s="339" customFormat="1" ht="30" hidden="1">
      <c r="A160" s="187">
        <v>20211495005</v>
      </c>
      <c r="B160" s="188" t="str">
        <f>VLOOKUP(A160,'Datos Personales'!A:M,2,FALSE)</f>
        <v>MONTOYA ALVAREZ LUIS ORLANDO</v>
      </c>
      <c r="C160" s="188">
        <f>VLOOKUP(A160,'ESTADOS ESTUDIANTES'!B:L,11,0)</f>
        <v>1081796843</v>
      </c>
      <c r="D160" s="188">
        <f>VLOOKUP(A160,'Datos Personales'!$A:$M,3,FALSE)</f>
        <v>495</v>
      </c>
      <c r="E160" s="188" t="str">
        <f>VLOOKUP(Tabla4[[#This Row],[ENFASIS]],Listas!$R$2:$S$8,2,0)</f>
        <v>ENFASIS EN ING. SOFT</v>
      </c>
      <c r="F160" s="188" t="str">
        <f>VLOOKUP(A160,'Datos Personales'!A:M,8,0)</f>
        <v>lomontoyaa@udistrital.edu.co</v>
      </c>
      <c r="G160" s="188" t="str">
        <f>VLOOKUP(A160,'Datos Personales'!A:M,9,0)</f>
        <v>luismontoya16@gmail.com</v>
      </c>
      <c r="H160" s="188" t="str">
        <f>VLOOKUP(A160,'Datos Personales'!A:M,5,FALSE)</f>
        <v>X</v>
      </c>
      <c r="I160" s="188" t="str">
        <f>VLOOKUP(Tabla4[[#This Row],[CODIGO]],'ESTADOS ESTUDIANTES'!B:M,12,0)</f>
        <v>2025-1</v>
      </c>
      <c r="J160" s="171" t="s">
        <v>60</v>
      </c>
      <c r="K160" s="171" t="s">
        <v>663</v>
      </c>
      <c r="L160" s="171"/>
      <c r="M160" s="169"/>
      <c r="N160" s="189">
        <v>44367</v>
      </c>
      <c r="O160" s="188">
        <v>2021</v>
      </c>
      <c r="P160" s="171" t="s">
        <v>112</v>
      </c>
      <c r="Q160" s="171" t="s">
        <v>222</v>
      </c>
      <c r="R160" s="230"/>
      <c r="S160" s="230" t="str">
        <f>IF(Tabla4[[#This Row],[FECHA DE ACEPTACION DEL GRUP. INV.]]="","",DATE(YEAR(Tabla4[[#This Row],[FECHA DE ACEPTACION DEL GRUP. INV.]])+2,MONTH(Tabla4[[#This Row],[FECHA DE ACEPTACION DEL GRUP. INV.]]),DAY(Tabla4[[#This Row],[FECHA DE ACEPTACION DEL GRUP. INV.]])))</f>
        <v/>
      </c>
      <c r="T160" s="230" t="str">
        <f ca="1">IF(Tabla4[[#This Row],[FECHA DE ACEPTACION DEL GRUP. INV.]]="","",IF(Tabla4[[#This Row],[FECHA DE VENCIMIENTO ANTE PROYECTO]]&lt;TODAY(),"SÍ","NO"))</f>
        <v/>
      </c>
      <c r="U160" s="237" t="s">
        <v>62</v>
      </c>
      <c r="V160" s="237"/>
      <c r="W160" s="231"/>
      <c r="X160" s="231"/>
      <c r="Y160" s="189"/>
      <c r="Z160" s="191"/>
      <c r="AA160" s="189"/>
      <c r="AB160" s="191"/>
      <c r="AC160" s="169"/>
      <c r="AD160" s="171"/>
      <c r="AE160" s="190"/>
      <c r="AF160" s="190"/>
      <c r="AG160" s="169"/>
      <c r="AH160" s="169"/>
      <c r="AI160" s="169"/>
      <c r="AJ160" s="193" t="str">
        <f>IFERROR(VLOOKUP(AI160,Listas!K:L,2,0),"")</f>
        <v/>
      </c>
      <c r="AK160" s="187" t="str">
        <f>IFERROR(VLOOKUP(AJ160,Listas!L:M,2,0),"")</f>
        <v/>
      </c>
      <c r="AL160" s="189"/>
      <c r="AM160" s="169"/>
      <c r="AN160" s="189"/>
      <c r="AO160" s="169"/>
      <c r="AP160" s="189"/>
      <c r="AQ160" s="189"/>
      <c r="AR160" s="187"/>
      <c r="AS160" s="187"/>
      <c r="AT160" s="169"/>
      <c r="AU160" s="169"/>
      <c r="AV160" s="189"/>
      <c r="AW160" s="189"/>
      <c r="AX160" s="187"/>
      <c r="AY160" s="187"/>
      <c r="AZ160" s="169"/>
      <c r="BA160" s="189"/>
      <c r="BB160" s="187" t="str">
        <f>IFERROR(AVERAGE(AR160,AS160,AX160,AY160),"")</f>
        <v/>
      </c>
      <c r="BC160" s="187" t="e">
        <f t="shared" si="17"/>
        <v>#VALUE!</v>
      </c>
      <c r="BD160" s="187" t="e">
        <f t="shared" ref="BD160:BD191" si="18">SUM(BC160,AK160)</f>
        <v>#VALUE!</v>
      </c>
      <c r="BE160" s="169"/>
      <c r="BF160" s="169"/>
      <c r="BG160" s="234" t="str">
        <f t="shared" si="16"/>
        <v/>
      </c>
    </row>
    <row r="161" spans="1:59" s="339" customFormat="1" ht="30" hidden="1">
      <c r="A161" s="21">
        <v>20211495006</v>
      </c>
      <c r="B161" s="19" t="str">
        <f>VLOOKUP(A161,'Datos Personales'!A:M,2,FALSE)</f>
        <v>MORENO SANDOVAL DANIEL STEVEN</v>
      </c>
      <c r="C161" s="19">
        <f>VLOOKUP(A161,'ESTADOS ESTUDIANTES'!B:L,11,0)</f>
        <v>1069099872</v>
      </c>
      <c r="D161" s="19">
        <f>VLOOKUP(A161,'Datos Personales'!$A:$M,3,FALSE)</f>
        <v>495</v>
      </c>
      <c r="E161" s="19" t="str">
        <f>VLOOKUP(Tabla4[[#This Row],[ENFASIS]],Listas!$R$2:$S$8,2,0)</f>
        <v>ENFASIS EN ING. SOFT</v>
      </c>
      <c r="F161" s="19" t="str">
        <f>VLOOKUP(A161,'Datos Personales'!A:M,8,0)</f>
        <v>dsmorenos@correo.udistrital.edu.co</v>
      </c>
      <c r="G161" s="19" t="str">
        <f>VLOOKUP(A161,'Datos Personales'!A:M,9,0)</f>
        <v>06danielsms@gmail.com</v>
      </c>
      <c r="H161" s="19" t="str">
        <f>VLOOKUP(A161,'Datos Personales'!A:M,5,FALSE)</f>
        <v>X</v>
      </c>
      <c r="I161" s="19" t="str">
        <f>VLOOKUP(Tabla4[[#This Row],[CODIGO]],'ESTADOS ESTUDIANTES'!B:M,12,0)</f>
        <v>2021-1</v>
      </c>
      <c r="J161" s="23"/>
      <c r="K161" s="23"/>
      <c r="L161" s="23"/>
      <c r="M161" s="23"/>
      <c r="N161" s="96"/>
      <c r="O161" s="23"/>
      <c r="P161" s="23"/>
      <c r="Q161" s="23"/>
      <c r="R161" s="124"/>
      <c r="S161" s="124" t="str">
        <f>IF(Tabla4[[#This Row],[FECHA DE ACEPTACION DEL GRUP. INV.]]="","",DATE(YEAR(Tabla4[[#This Row],[FECHA DE ACEPTACION DEL GRUP. INV.]])+2,MONTH(Tabla4[[#This Row],[FECHA DE ACEPTACION DEL GRUP. INV.]]),DAY(Tabla4[[#This Row],[FECHA DE ACEPTACION DEL GRUP. INV.]])))</f>
        <v/>
      </c>
      <c r="T161" s="124" t="str">
        <f ca="1">IF(Tabla4[[#This Row],[FECHA DE ACEPTACION DEL GRUP. INV.]]="","",IF(Tabla4[[#This Row],[FECHA DE VENCIMIENTO ANTE PROYECTO]]&lt;TODAY(),"SÍ","NO"))</f>
        <v/>
      </c>
      <c r="U161" s="124"/>
      <c r="V161" s="124"/>
      <c r="W161" s="18"/>
      <c r="X161" s="18"/>
      <c r="Y161" s="96"/>
      <c r="Z161" s="97"/>
      <c r="AA161" s="96"/>
      <c r="AB161" s="97"/>
      <c r="AC161" s="110"/>
      <c r="AD161" s="18"/>
      <c r="AE161" s="124"/>
      <c r="AF161" s="124"/>
      <c r="AG161" s="169"/>
      <c r="AH161" s="169"/>
      <c r="AI161" s="169"/>
      <c r="AJ161" s="170" t="str">
        <f>IFERROR(VLOOKUP(AI161,Listas!K:L,2,0),"")</f>
        <v/>
      </c>
      <c r="AK161" s="21" t="str">
        <f>IFERROR(VLOOKUP(AJ161,Listas!L:M,2,0),"")</f>
        <v/>
      </c>
      <c r="AL161" s="96"/>
      <c r="AM161" s="23"/>
      <c r="AN161" s="96"/>
      <c r="AO161" s="23"/>
      <c r="AP161" s="96"/>
      <c r="AQ161" s="96"/>
      <c r="AR161" s="21"/>
      <c r="AS161" s="21"/>
      <c r="AT161" s="23"/>
      <c r="AU161" s="23"/>
      <c r="AV161" s="96"/>
      <c r="AW161" s="96"/>
      <c r="AX161" s="21"/>
      <c r="AY161" s="21"/>
      <c r="AZ161" s="23"/>
      <c r="BA161" s="96"/>
      <c r="BB161" s="18" t="str">
        <f>IFERROR(ROUND(AVERAGE(AY161,AX161,AS161,AR161),0),"")</f>
        <v/>
      </c>
      <c r="BC161" s="338" t="e">
        <f t="shared" si="17"/>
        <v>#VALUE!</v>
      </c>
      <c r="BD161" s="338" t="e">
        <f t="shared" si="18"/>
        <v>#VALUE!</v>
      </c>
      <c r="BE161" s="23"/>
      <c r="BF161" s="23"/>
      <c r="BG161" s="255" t="str">
        <f t="shared" si="16"/>
        <v/>
      </c>
    </row>
    <row r="162" spans="1:59" s="341" customFormat="1" ht="45" hidden="1">
      <c r="A162" s="662">
        <v>20211495008</v>
      </c>
      <c r="B162" s="659" t="str">
        <f>VLOOKUP(A162,'Datos Personales'!A:M,2,FALSE)</f>
        <v>PINZON GOMEZ GUILLERMO</v>
      </c>
      <c r="C162" s="659">
        <f>VLOOKUP(A162,'ESTADOS ESTUDIANTES'!B:L,11,0)</f>
        <v>80230051</v>
      </c>
      <c r="D162" s="659">
        <f>VLOOKUP(A162,'Datos Personales'!$A:$M,3,FALSE)</f>
        <v>495</v>
      </c>
      <c r="E162" s="659" t="str">
        <f>VLOOKUP(Tabla4[[#This Row],[ENFASIS]],Listas!$R$2:$S$8,2,0)</f>
        <v>ENFASIS EN ING. SOFT</v>
      </c>
      <c r="F162" s="659" t="str">
        <f>VLOOKUP(A162,'Datos Personales'!A:M,8,0)</f>
        <v>gpinzong@udistrital.edu.co</v>
      </c>
      <c r="G162" s="659" t="str">
        <f>VLOOKUP(A162,'Datos Personales'!A:M,9,0)</f>
        <v>guillepin@gmail.com</v>
      </c>
      <c r="H162" s="659" t="str">
        <f>VLOOKUP(A162,'Datos Personales'!A:M,5,FALSE)</f>
        <v>A</v>
      </c>
      <c r="I162" s="659" t="str">
        <f>VLOOKUP(Tabla4[[#This Row],[CODIGO]],'ESTADOS ESTUDIANTES'!B:M,12,0)</f>
        <v>2026-3</v>
      </c>
      <c r="J162" s="651" t="s">
        <v>60</v>
      </c>
      <c r="K162" s="651" t="s">
        <v>664</v>
      </c>
      <c r="L162" s="651" t="s">
        <v>292</v>
      </c>
      <c r="M162" s="660"/>
      <c r="N162" s="658">
        <v>44362</v>
      </c>
      <c r="O162" s="659">
        <v>2021</v>
      </c>
      <c r="P162" s="651" t="s">
        <v>115</v>
      </c>
      <c r="Q162" s="651" t="s">
        <v>292</v>
      </c>
      <c r="R162" s="656">
        <v>44331</v>
      </c>
      <c r="S162" s="656">
        <f>IF(Tabla4[[#This Row],[FECHA DE ACEPTACION DEL GRUP. INV.]]="","",DATE(YEAR(Tabla4[[#This Row],[FECHA DE ACEPTACION DEL GRUP. INV.]])+2,MONTH(Tabla4[[#This Row],[FECHA DE ACEPTACION DEL GRUP. INV.]]),DAY(Tabla4[[#This Row],[FECHA DE ACEPTACION DEL GRUP. INV.]])))</f>
        <v>45061</v>
      </c>
      <c r="T162" s="656" t="str">
        <f ca="1">IF(Tabla4[[#This Row],[FECHA DE ACEPTACION DEL GRUP. INV.]]="","",IF(Tabla4[[#This Row],[FECHA DE VENCIMIENTO ANTE PROYECTO]]&lt;TODAY(),"SÍ","NO"))</f>
        <v>SÍ</v>
      </c>
      <c r="U162" s="657" t="s">
        <v>62</v>
      </c>
      <c r="V162" s="237"/>
      <c r="W162" s="171" t="s">
        <v>665</v>
      </c>
      <c r="X162" s="651" t="s">
        <v>506</v>
      </c>
      <c r="Y162" s="189">
        <v>44701</v>
      </c>
      <c r="Z162" s="191">
        <v>98</v>
      </c>
      <c r="AA162" s="189">
        <v>45323</v>
      </c>
      <c r="AB162" s="191">
        <v>85</v>
      </c>
      <c r="AC162" s="171" t="s">
        <v>79</v>
      </c>
      <c r="AD162" s="171"/>
      <c r="AE162" s="190"/>
      <c r="AF162" s="190"/>
      <c r="AG162" s="171"/>
      <c r="AH162" s="171"/>
      <c r="AI162" s="171"/>
      <c r="AJ162" s="193" t="str">
        <f>IFERROR(VLOOKUP(AI162,Listas!K:L,2,0),"")</f>
        <v/>
      </c>
      <c r="AK162" s="187" t="str">
        <f>IFERROR(VLOOKUP(AJ162,Listas!L:M,2,0),"")</f>
        <v/>
      </c>
      <c r="AL162" s="189"/>
      <c r="AM162" s="169"/>
      <c r="AN162" s="189"/>
      <c r="AO162" s="169"/>
      <c r="AP162" s="189"/>
      <c r="AQ162" s="189"/>
      <c r="AR162" s="187"/>
      <c r="AS162" s="187"/>
      <c r="AT162" s="169"/>
      <c r="AU162" s="169"/>
      <c r="AV162" s="189"/>
      <c r="AW162" s="189"/>
      <c r="AX162" s="187"/>
      <c r="AY162" s="187"/>
      <c r="AZ162" s="169"/>
      <c r="BA162" s="189"/>
      <c r="BB162" s="187" t="str">
        <f>IFERROR(AVERAGE(AR162,AS162,AX162,AY162),"")</f>
        <v/>
      </c>
      <c r="BC162" s="187" t="e">
        <f t="shared" si="17"/>
        <v>#VALUE!</v>
      </c>
      <c r="BD162" s="187" t="e">
        <f t="shared" si="18"/>
        <v>#VALUE!</v>
      </c>
      <c r="BE162" s="169"/>
      <c r="BF162" s="169"/>
      <c r="BG162" s="234" t="str">
        <f t="shared" si="16"/>
        <v>Lilia Edith Aparicio Pico</v>
      </c>
    </row>
    <row r="163" spans="1:59" s="339" customFormat="1" ht="15" hidden="1">
      <c r="A163" s="21">
        <v>20211495009</v>
      </c>
      <c r="B163" s="19" t="str">
        <f>VLOOKUP(A163,'Datos Personales'!A:M,2,FALSE)</f>
        <v>RINCON ALBARRACIN JOSE GREGORIO</v>
      </c>
      <c r="C163" s="19">
        <f>VLOOKUP(A163,'ESTADOS ESTUDIANTES'!B:L,11,0)</f>
        <v>88217405</v>
      </c>
      <c r="D163" s="19">
        <f>VLOOKUP(A163,'Datos Personales'!$A:$M,3,FALSE)</f>
        <v>495</v>
      </c>
      <c r="E163" s="19" t="str">
        <f>VLOOKUP(Tabla4[[#This Row],[ENFASIS]],Listas!$R$2:$S$8,2,0)</f>
        <v>ENFASIS EN ING. SOFT</v>
      </c>
      <c r="F163" s="19" t="str">
        <f>VLOOKUP(A163,'Datos Personales'!A:M,8,0)</f>
        <v>jgrincona@correo.udistrital.edu.co</v>
      </c>
      <c r="G163" s="19" t="str">
        <f>VLOOKUP(A163,'Datos Personales'!A:M,9,0)</f>
        <v>jgregoriorincon@gmail.com</v>
      </c>
      <c r="H163" s="19" t="str">
        <f>VLOOKUP(A163,'Datos Personales'!A:M,5,FALSE)</f>
        <v>X</v>
      </c>
      <c r="I163" s="19" t="str">
        <f>VLOOKUP(Tabla4[[#This Row],[CODIGO]],'ESTADOS ESTUDIANTES'!B:M,12,0)</f>
        <v>2021-1</v>
      </c>
      <c r="J163" s="23"/>
      <c r="K163" s="23"/>
      <c r="L163" s="23"/>
      <c r="M163" s="23"/>
      <c r="N163" s="96"/>
      <c r="O163" s="23"/>
      <c r="P163" s="23"/>
      <c r="Q163" s="23"/>
      <c r="R163" s="124"/>
      <c r="S163" s="124" t="str">
        <f>IF(Tabla4[[#This Row],[FECHA DE ACEPTACION DEL GRUP. INV.]]="","",DATE(YEAR(Tabla4[[#This Row],[FECHA DE ACEPTACION DEL GRUP. INV.]])+2,MONTH(Tabla4[[#This Row],[FECHA DE ACEPTACION DEL GRUP. INV.]]),DAY(Tabla4[[#This Row],[FECHA DE ACEPTACION DEL GRUP. INV.]])))</f>
        <v/>
      </c>
      <c r="T163" s="124" t="str">
        <f ca="1">IF(Tabla4[[#This Row],[FECHA DE ACEPTACION DEL GRUP. INV.]]="","",IF(Tabla4[[#This Row],[FECHA DE VENCIMIENTO ANTE PROYECTO]]&lt;TODAY(),"SÍ","NO"))</f>
        <v/>
      </c>
      <c r="U163" s="124"/>
      <c r="V163" s="124"/>
      <c r="W163" s="18"/>
      <c r="X163" s="18"/>
      <c r="Y163" s="96"/>
      <c r="Z163" s="97"/>
      <c r="AA163" s="96"/>
      <c r="AB163" s="97"/>
      <c r="AC163" s="110"/>
      <c r="AD163" s="18"/>
      <c r="AE163" s="124"/>
      <c r="AF163" s="124"/>
      <c r="AG163" s="169"/>
      <c r="AH163" s="169"/>
      <c r="AI163" s="169"/>
      <c r="AJ163" s="170" t="str">
        <f>IFERROR(VLOOKUP(AI163,Listas!K:L,2,0),"")</f>
        <v/>
      </c>
      <c r="AK163" s="21" t="str">
        <f>IFERROR(VLOOKUP(AJ163,Listas!L:M,2,0),"")</f>
        <v/>
      </c>
      <c r="AL163" s="96"/>
      <c r="AM163" s="23"/>
      <c r="AN163" s="96"/>
      <c r="AO163" s="23"/>
      <c r="AP163" s="96"/>
      <c r="AQ163" s="96"/>
      <c r="AR163" s="21"/>
      <c r="AS163" s="21"/>
      <c r="AT163" s="23"/>
      <c r="AU163" s="23"/>
      <c r="AV163" s="96"/>
      <c r="AW163" s="96"/>
      <c r="AX163" s="21"/>
      <c r="AY163" s="21"/>
      <c r="AZ163" s="23"/>
      <c r="BA163" s="96"/>
      <c r="BB163" s="18" t="str">
        <f>IFERROR(ROUND(AVERAGE(AY163,AX163,AS163,AR163),0),"")</f>
        <v/>
      </c>
      <c r="BC163" s="338" t="e">
        <f t="shared" si="17"/>
        <v>#VALUE!</v>
      </c>
      <c r="BD163" s="338" t="e">
        <f t="shared" si="18"/>
        <v>#VALUE!</v>
      </c>
      <c r="BE163" s="23"/>
      <c r="BF163" s="23"/>
      <c r="BG163" s="255" t="str">
        <f t="shared" si="16"/>
        <v/>
      </c>
    </row>
    <row r="164" spans="1:59" s="339" customFormat="1" ht="60" hidden="1">
      <c r="A164" s="187">
        <v>20211495010</v>
      </c>
      <c r="B164" s="19" t="str">
        <f>VLOOKUP(A164,'Datos Personales'!A:M,2,FALSE)</f>
        <v>ROCHA CALDERON CAMILO ENRIQUE</v>
      </c>
      <c r="C164" s="19">
        <f>VLOOKUP(A164,'ESTADOS ESTUDIANTES'!B:L,11,0)</f>
        <v>1022435418</v>
      </c>
      <c r="D164" s="19">
        <f>VLOOKUP(A164,'Datos Personales'!$A:$M,3,FALSE)</f>
        <v>495</v>
      </c>
      <c r="E164" s="19" t="str">
        <f>VLOOKUP(Tabla4[[#This Row],[ENFASIS]],Listas!$R$2:$S$8,2,0)</f>
        <v>ENFASIS EN ING. SOFT</v>
      </c>
      <c r="F164" s="19" t="str">
        <f>VLOOKUP(A164,'Datos Personales'!A:M,8,0)</f>
        <v>cerochac@udistrital.edu.co</v>
      </c>
      <c r="G164" s="19" t="str">
        <f>VLOOKUP(A164,'Datos Personales'!A:M,9,0)</f>
        <v>cerochac@udistrital.edu.co</v>
      </c>
      <c r="H164" s="19" t="str">
        <f>VLOOKUP(A164,'Datos Personales'!A:M,5,FALSE)</f>
        <v>E</v>
      </c>
      <c r="I164" s="19" t="str">
        <f>VLOOKUP(Tabla4[[#This Row],[CODIGO]],'ESTADOS ESTUDIANTES'!B:M,12,0)</f>
        <v>2023-1</v>
      </c>
      <c r="J164" s="18" t="s">
        <v>60</v>
      </c>
      <c r="K164" s="18" t="s">
        <v>666</v>
      </c>
      <c r="L164" s="18" t="s">
        <v>281</v>
      </c>
      <c r="M164" s="18" t="s">
        <v>478</v>
      </c>
      <c r="N164" s="96">
        <v>44367</v>
      </c>
      <c r="O164" s="19">
        <v>2021</v>
      </c>
      <c r="P164" s="18" t="s">
        <v>125</v>
      </c>
      <c r="Q164" s="18" t="s">
        <v>281</v>
      </c>
      <c r="R164" s="124">
        <v>44374</v>
      </c>
      <c r="S164" s="124">
        <f>IF(Tabla4[[#This Row],[FECHA DE ACEPTACION DEL GRUP. INV.]]="","",DATE(YEAR(Tabla4[[#This Row],[FECHA DE ACEPTACION DEL GRUP. INV.]])+2,MONTH(Tabla4[[#This Row],[FECHA DE ACEPTACION DEL GRUP. INV.]]),DAY(Tabla4[[#This Row],[FECHA DE ACEPTACION DEL GRUP. INV.]])))</f>
        <v>45104</v>
      </c>
      <c r="T164" s="124" t="str">
        <f ca="1">IF(Tabla4[[#This Row],[FECHA DE ACEPTACION DEL GRUP. INV.]]="","",IF(Tabla4[[#This Row],[FECHA DE VENCIMIENTO ANTE PROYECTO]]&lt;TODAY(),"SÍ","NO"))</f>
        <v>SÍ</v>
      </c>
      <c r="U164" s="124"/>
      <c r="V164" s="124"/>
      <c r="W164" s="18" t="s">
        <v>223</v>
      </c>
      <c r="X164" s="18"/>
      <c r="Y164" s="96"/>
      <c r="Z164" s="97"/>
      <c r="AA164" s="96">
        <v>44510</v>
      </c>
      <c r="AB164" s="97">
        <v>151</v>
      </c>
      <c r="AC164" s="98"/>
      <c r="AD164" s="18" t="s">
        <v>324</v>
      </c>
      <c r="AE164" s="124">
        <v>45056</v>
      </c>
      <c r="AF164" s="124" t="s">
        <v>667</v>
      </c>
      <c r="AG164" s="171" t="s">
        <v>668</v>
      </c>
      <c r="AH164" s="171" t="s">
        <v>280</v>
      </c>
      <c r="AI164" s="171" t="s">
        <v>94</v>
      </c>
      <c r="AJ164" s="170">
        <f>IFERROR(VLOOKUP(AI164,Listas!K:L,2,0),"")</f>
        <v>0.4</v>
      </c>
      <c r="AK164" s="21">
        <f>IFERROR(VLOOKUP(AJ164,Listas!L:M,2,0),"")</f>
        <v>20</v>
      </c>
      <c r="AL164" s="96">
        <v>45056</v>
      </c>
      <c r="AM164" s="18" t="s">
        <v>324</v>
      </c>
      <c r="AN164" s="96">
        <v>45056</v>
      </c>
      <c r="AO164" s="23" t="s">
        <v>290</v>
      </c>
      <c r="AP164" s="96">
        <v>45061</v>
      </c>
      <c r="AQ164" s="96">
        <v>45083</v>
      </c>
      <c r="AR164" s="21">
        <v>50</v>
      </c>
      <c r="AS164" s="21">
        <v>50</v>
      </c>
      <c r="AT164" s="23" t="s">
        <v>41</v>
      </c>
      <c r="AU164" s="23" t="s">
        <v>323</v>
      </c>
      <c r="AV164" s="96">
        <v>45061</v>
      </c>
      <c r="AW164" s="96">
        <v>45083</v>
      </c>
      <c r="AX164" s="21">
        <v>50</v>
      </c>
      <c r="AY164" s="21">
        <v>50</v>
      </c>
      <c r="AZ164" s="23" t="s">
        <v>41</v>
      </c>
      <c r="BA164" s="96">
        <v>45083</v>
      </c>
      <c r="BB164" s="185">
        <f>IFERROR(AVERAGE(AR164,AS164,AX164,AY164),"")</f>
        <v>50</v>
      </c>
      <c r="BC164" s="338">
        <f t="shared" si="17"/>
        <v>30</v>
      </c>
      <c r="BD164" s="338">
        <f t="shared" si="18"/>
        <v>50</v>
      </c>
      <c r="BE164" s="23"/>
      <c r="BF164" s="23"/>
      <c r="BG164" s="293" t="str">
        <f t="shared" si="16"/>
        <v/>
      </c>
    </row>
    <row r="165" spans="1:59" s="339" customFormat="1" ht="30" hidden="1">
      <c r="A165" s="187">
        <v>20211495015</v>
      </c>
      <c r="B165" s="188" t="str">
        <f>VLOOKUP(A165,'Datos Personales'!A:M,2,FALSE)</f>
        <v>URIZA FONTECHA CARLOS ANDRES</v>
      </c>
      <c r="C165" s="188">
        <f>VLOOKUP(A165,'ESTADOS ESTUDIANTES'!B:L,11,0)</f>
        <v>80188625</v>
      </c>
      <c r="D165" s="188">
        <f>VLOOKUP(A165,'Datos Personales'!$A:$M,3,FALSE)</f>
        <v>495</v>
      </c>
      <c r="E165" s="188" t="str">
        <f>VLOOKUP(Tabla4[[#This Row],[ENFASIS]],Listas!$R$2:$S$8,2,0)</f>
        <v>ENFASIS EN ING. SOFT</v>
      </c>
      <c r="F165" s="188" t="str">
        <f>VLOOKUP(A165,'Datos Personales'!A:M,8,0)</f>
        <v>caurizaf@udistrital.edu.co</v>
      </c>
      <c r="G165" s="188" t="str">
        <f>VLOOKUP(A165,'Datos Personales'!A:M,9,0)</f>
        <v>uriza_andres@hotmail.com</v>
      </c>
      <c r="H165" s="188" t="str">
        <f>VLOOKUP(A165,'Datos Personales'!A:M,5,FALSE)</f>
        <v>X</v>
      </c>
      <c r="I165" s="188" t="str">
        <f>VLOOKUP(Tabla4[[#This Row],[CODIGO]],'ESTADOS ESTUDIANTES'!B:M,12,0)</f>
        <v>2025-1</v>
      </c>
      <c r="J165" s="171" t="s">
        <v>60</v>
      </c>
      <c r="K165" s="171" t="s">
        <v>669</v>
      </c>
      <c r="L165" s="171" t="s">
        <v>290</v>
      </c>
      <c r="M165" s="169"/>
      <c r="N165" s="189">
        <v>44367</v>
      </c>
      <c r="O165" s="188">
        <v>2021</v>
      </c>
      <c r="P165" s="171" t="s">
        <v>112</v>
      </c>
      <c r="Q165" s="171" t="s">
        <v>222</v>
      </c>
      <c r="R165" s="190">
        <v>44367</v>
      </c>
      <c r="S165" s="190">
        <f>IF(Tabla4[[#This Row],[FECHA DE ACEPTACION DEL GRUP. INV.]]="","",DATE(YEAR(Tabla4[[#This Row],[FECHA DE ACEPTACION DEL GRUP. INV.]])+2,MONTH(Tabla4[[#This Row],[FECHA DE ACEPTACION DEL GRUP. INV.]]),DAY(Tabla4[[#This Row],[FECHA DE ACEPTACION DEL GRUP. INV.]])))</f>
        <v>45097</v>
      </c>
      <c r="T165" s="190" t="str">
        <f ca="1">IF(Tabla4[[#This Row],[FECHA DE ACEPTACION DEL GRUP. INV.]]="","",IF(Tabla4[[#This Row],[FECHA DE VENCIMIENTO ANTE PROYECTO]]&lt;TODAY(),"SÍ","NO"))</f>
        <v>SÍ</v>
      </c>
      <c r="U165" s="237" t="s">
        <v>62</v>
      </c>
      <c r="V165" s="237"/>
      <c r="W165" s="171" t="s">
        <v>522</v>
      </c>
      <c r="X165" s="171"/>
      <c r="Y165" s="189"/>
      <c r="Z165" s="191"/>
      <c r="AA165" s="189">
        <v>44510</v>
      </c>
      <c r="AB165" s="191">
        <v>79</v>
      </c>
      <c r="AC165" s="171" t="s">
        <v>79</v>
      </c>
      <c r="AD165" s="171"/>
      <c r="AE165" s="190"/>
      <c r="AF165" s="190"/>
      <c r="AG165" s="171"/>
      <c r="AH165" s="171"/>
      <c r="AI165" s="171"/>
      <c r="AJ165" s="193" t="str">
        <f>IFERROR(VLOOKUP(AI165,Listas!K:L,2,0),"")</f>
        <v/>
      </c>
      <c r="AK165" s="187" t="str">
        <f>IFERROR(VLOOKUP(AJ165,Listas!L:M,2,0),"")</f>
        <v/>
      </c>
      <c r="AL165" s="189"/>
      <c r="AM165" s="169"/>
      <c r="AN165" s="189"/>
      <c r="AO165" s="169"/>
      <c r="AP165" s="189"/>
      <c r="AQ165" s="189"/>
      <c r="AR165" s="187"/>
      <c r="AS165" s="187"/>
      <c r="AT165" s="169"/>
      <c r="AU165" s="169"/>
      <c r="AV165" s="189"/>
      <c r="AW165" s="189"/>
      <c r="AX165" s="187"/>
      <c r="AY165" s="187"/>
      <c r="AZ165" s="169"/>
      <c r="BA165" s="189"/>
      <c r="BB165" s="187" t="str">
        <f>IFERROR(AVERAGE(AR165,AS165,AX165,AY165),"")</f>
        <v/>
      </c>
      <c r="BC165" s="187" t="e">
        <f t="shared" si="17"/>
        <v>#VALUE!</v>
      </c>
      <c r="BD165" s="187" t="e">
        <f t="shared" si="18"/>
        <v>#VALUE!</v>
      </c>
      <c r="BE165" s="169"/>
      <c r="BF165" s="169"/>
      <c r="BG165" s="234" t="str">
        <f t="shared" si="16"/>
        <v/>
      </c>
    </row>
    <row r="166" spans="1:59" ht="75" hidden="1">
      <c r="A166" s="373">
        <v>20211495016</v>
      </c>
      <c r="B166" s="275" t="str">
        <f>VLOOKUP(A166,'Datos Personales'!A:M,2,FALSE)</f>
        <v>MUNOZ CANON NORBEY DANILO</v>
      </c>
      <c r="C166" s="275">
        <f>VLOOKUP(A166,'ESTADOS ESTUDIANTES'!B:L,11,0)</f>
        <v>1033806084</v>
      </c>
      <c r="D166" s="275">
        <f>VLOOKUP(A166,'Datos Personales'!$A:$M,3,FALSE)</f>
        <v>495</v>
      </c>
      <c r="E166" s="275" t="str">
        <f>VLOOKUP(Tabla4[[#This Row],[ENFASIS]],Listas!$R$2:$S$8,2,0)</f>
        <v>ENFASIS EN ING. SOFT</v>
      </c>
      <c r="F166" s="275" t="str">
        <f>VLOOKUP(A166,'Datos Personales'!A:M,8,0)</f>
        <v>ndmunozc@udistrital.edu.co</v>
      </c>
      <c r="G166" s="275" t="str">
        <f>VLOOKUP(A166,'Datos Personales'!A:M,9,0)</f>
        <v>ndmunozc@gmail.com</v>
      </c>
      <c r="H166" s="275" t="str">
        <f>VLOOKUP(A166,'Datos Personales'!A:M,5,FALSE)</f>
        <v>E</v>
      </c>
      <c r="I166" s="275" t="str">
        <f>VLOOKUP(Tabla4[[#This Row],[CODIGO]],'ESTADOS ESTUDIANTES'!B:M,12,0)</f>
        <v>2026-1</v>
      </c>
      <c r="J166" s="98" t="s">
        <v>60</v>
      </c>
      <c r="K166" s="651" t="s">
        <v>670</v>
      </c>
      <c r="L166" s="651" t="s">
        <v>281</v>
      </c>
      <c r="M166" s="660" t="s">
        <v>478</v>
      </c>
      <c r="N166" s="658">
        <v>45954</v>
      </c>
      <c r="O166" s="659">
        <v>2025</v>
      </c>
      <c r="P166" s="98" t="s">
        <v>125</v>
      </c>
      <c r="Q166" s="98" t="s">
        <v>281</v>
      </c>
      <c r="R166" s="625">
        <v>46123</v>
      </c>
      <c r="S166" s="625">
        <f>IF(Tabla4[[#This Row],[FECHA DE ACEPTACION DEL GRUP. INV.]]="","",DATE(YEAR(Tabla4[[#This Row],[FECHA DE ACEPTACION DEL GRUP. INV.]])+2,MONTH(Tabla4[[#This Row],[FECHA DE ACEPTACION DEL GRUP. INV.]]),DAY(Tabla4[[#This Row],[FECHA DE ACEPTACION DEL GRUP. INV.]])))</f>
        <v>46854</v>
      </c>
      <c r="T166" s="625" t="str">
        <f ca="1">IF(Tabla4[[#This Row],[FECHA DE ACEPTACION DEL GRUP. INV.]]="","",IF(Tabla4[[#This Row],[FECHA DE VENCIMIENTO ANTE PROYECTO]]&lt;TODAY(),"SÍ","NO"))</f>
        <v>NO</v>
      </c>
      <c r="U166" s="626" t="s">
        <v>62</v>
      </c>
      <c r="V166" s="237"/>
      <c r="W166" s="171" t="s">
        <v>223</v>
      </c>
      <c r="X166" s="651" t="s">
        <v>506</v>
      </c>
      <c r="Y166" s="189">
        <v>44680</v>
      </c>
      <c r="Z166" s="191">
        <v>133</v>
      </c>
      <c r="AA166" s="189">
        <v>45323</v>
      </c>
      <c r="AB166" s="191">
        <v>122</v>
      </c>
      <c r="AC166" s="171" t="s">
        <v>79</v>
      </c>
      <c r="AD166" s="171"/>
      <c r="AE166" s="190"/>
      <c r="AF166" s="190"/>
      <c r="AG166" s="171"/>
      <c r="AH166" s="171"/>
      <c r="AI166" s="171"/>
      <c r="AJ166" s="193" t="str">
        <f>IFERROR(VLOOKUP(AI166,Listas!K:L,2,0),"")</f>
        <v/>
      </c>
      <c r="AK166" s="187" t="str">
        <f>IFERROR(VLOOKUP(AJ166,Listas!L:M,2,0),"")</f>
        <v/>
      </c>
      <c r="AL166" s="189"/>
      <c r="AM166" s="169"/>
      <c r="AN166" s="189"/>
      <c r="AO166" s="169"/>
      <c r="AP166" s="189"/>
      <c r="AQ166" s="189"/>
      <c r="AR166" s="187"/>
      <c r="AS166" s="187"/>
      <c r="AT166" s="169"/>
      <c r="AU166" s="169"/>
      <c r="AV166" s="189"/>
      <c r="AW166" s="189"/>
      <c r="AX166" s="187"/>
      <c r="AY166" s="187"/>
      <c r="AZ166" s="169"/>
      <c r="BA166" s="189"/>
      <c r="BB166" s="187" t="str">
        <f>IFERROR(AVERAGE(AR166,AS166,AX166,AY166),"")</f>
        <v/>
      </c>
      <c r="BC166" s="187" t="e">
        <f t="shared" si="17"/>
        <v>#VALUE!</v>
      </c>
      <c r="BD166" s="187" t="e">
        <f t="shared" si="18"/>
        <v>#VALUE!</v>
      </c>
      <c r="BE166" s="169"/>
      <c r="BF166" s="169"/>
      <c r="BG166" s="234" t="str">
        <f t="shared" si="16"/>
        <v/>
      </c>
    </row>
    <row r="167" spans="1:59" s="339" customFormat="1" ht="90" hidden="1">
      <c r="A167" s="187">
        <v>20211495017</v>
      </c>
      <c r="B167" s="188" t="str">
        <f>VLOOKUP(A167,'Datos Personales'!A:M,2,FALSE)</f>
        <v>SIERRA FORERO BRAYAN LEONARDO</v>
      </c>
      <c r="C167" s="188">
        <f>VLOOKUP(A167,'ESTADOS ESTUDIANTES'!B:L,11,0)</f>
        <v>1022429666</v>
      </c>
      <c r="D167" s="188">
        <f>VLOOKUP(A167,'Datos Personales'!$A:$M,3,FALSE)</f>
        <v>495</v>
      </c>
      <c r="E167" s="188" t="str">
        <f>VLOOKUP(Tabla4[[#This Row],[ENFASIS]],Listas!$R$2:$S$8,2,0)</f>
        <v>ENFASIS EN ING. SOFT</v>
      </c>
      <c r="F167" s="188" t="str">
        <f>VLOOKUP(A167,'Datos Personales'!A:M,8,0)</f>
        <v>blsierraf@udistrital.edu.co</v>
      </c>
      <c r="G167" s="188" t="str">
        <f>VLOOKUP(A167,'Datos Personales'!A:M,9,0)</f>
        <v>brayansierraf97@gmail.com</v>
      </c>
      <c r="H167" s="188" t="str">
        <f>VLOOKUP(A167,'Datos Personales'!A:M,5,FALSE)</f>
        <v>E</v>
      </c>
      <c r="I167" s="188" t="str">
        <f>VLOOKUP(Tabla4[[#This Row],[CODIGO]],'ESTADOS ESTUDIANTES'!B:M,12,0)</f>
        <v>2024-3</v>
      </c>
      <c r="J167" s="171" t="s">
        <v>60</v>
      </c>
      <c r="K167" s="171" t="s">
        <v>671</v>
      </c>
      <c r="L167" s="171" t="s">
        <v>281</v>
      </c>
      <c r="M167" s="169" t="s">
        <v>478</v>
      </c>
      <c r="N167" s="189">
        <v>44367</v>
      </c>
      <c r="O167" s="188">
        <v>2021</v>
      </c>
      <c r="P167" s="171" t="s">
        <v>125</v>
      </c>
      <c r="Q167" s="171" t="s">
        <v>281</v>
      </c>
      <c r="R167" s="171" t="s">
        <v>672</v>
      </c>
      <c r="S167" s="190">
        <f>IF(Tabla4[[#This Row],[FECHA DE ACEPTACION DEL GRUP. INV.]]="","",DATE(YEAR(Tabla4[[#This Row],[FECHA DE ACEPTACION DEL GRUP. INV.]])+2,MONTH(Tabla4[[#This Row],[FECHA DE ACEPTACION DEL GRUP. INV.]]),DAY(Tabla4[[#This Row],[FECHA DE ACEPTACION DEL GRUP. INV.]])))</f>
        <v>45104</v>
      </c>
      <c r="T167" s="190" t="str">
        <f ca="1">IF(Tabla4[[#This Row],[FECHA DE ACEPTACION DEL GRUP. INV.]]="","",IF(Tabla4[[#This Row],[FECHA DE VENCIMIENTO ANTE PROYECTO]]&lt;TODAY(),"SÍ","NO"))</f>
        <v>SÍ</v>
      </c>
      <c r="U167" s="277" t="s">
        <v>62</v>
      </c>
      <c r="V167" s="277"/>
      <c r="W167" s="171" t="s">
        <v>223</v>
      </c>
      <c r="X167" s="171"/>
      <c r="Y167" s="189">
        <v>44510</v>
      </c>
      <c r="Z167" s="191">
        <v>122</v>
      </c>
      <c r="AA167" s="86">
        <v>45531</v>
      </c>
      <c r="AB167" s="160">
        <v>105</v>
      </c>
      <c r="AC167" s="98" t="s">
        <v>79</v>
      </c>
      <c r="AD167" s="171" t="s">
        <v>673</v>
      </c>
      <c r="AE167" s="190">
        <v>45406</v>
      </c>
      <c r="AF167" s="493" t="s">
        <v>674</v>
      </c>
      <c r="AG167" s="171" t="s">
        <v>675</v>
      </c>
      <c r="AH167" s="171" t="s">
        <v>394</v>
      </c>
      <c r="AI167" s="171" t="s">
        <v>58</v>
      </c>
      <c r="AJ167" s="170">
        <f>IFERROR(VLOOKUP(AI167,Listas!K:L,2,0),"")</f>
        <v>0.8</v>
      </c>
      <c r="AK167" s="21">
        <f>IFERROR(VLOOKUP(AJ167,Listas!L:M,2,0),"")</f>
        <v>40</v>
      </c>
      <c r="AL167" s="189">
        <v>45390</v>
      </c>
      <c r="AM167" s="169" t="s">
        <v>673</v>
      </c>
      <c r="AN167" s="190">
        <v>45406</v>
      </c>
      <c r="AO167" s="169" t="s">
        <v>418</v>
      </c>
      <c r="AP167" s="189"/>
      <c r="AQ167" s="189"/>
      <c r="AR167" s="187">
        <v>50</v>
      </c>
      <c r="AS167" s="187">
        <v>50</v>
      </c>
      <c r="AT167" s="169" t="s">
        <v>55</v>
      </c>
      <c r="AU167" s="169" t="s">
        <v>356</v>
      </c>
      <c r="AV167" s="189"/>
      <c r="AW167" s="189"/>
      <c r="AX167" s="187">
        <v>50</v>
      </c>
      <c r="AY167" s="187">
        <v>50</v>
      </c>
      <c r="AZ167" s="169" t="s">
        <v>55</v>
      </c>
      <c r="BA167" s="189">
        <v>45441</v>
      </c>
      <c r="BB167" s="232">
        <f>IFERROR(AVERAGE(AR167,AS167,AX167,AY167),"")</f>
        <v>50</v>
      </c>
      <c r="BC167" s="338">
        <f t="shared" si="17"/>
        <v>9.9999999999999982</v>
      </c>
      <c r="BD167" s="338">
        <f t="shared" si="18"/>
        <v>50</v>
      </c>
      <c r="BE167" s="169"/>
      <c r="BF167" s="169"/>
      <c r="BG167" s="234" t="str">
        <f t="shared" si="16"/>
        <v/>
      </c>
    </row>
    <row r="168" spans="1:59" ht="30" hidden="1">
      <c r="A168" s="662">
        <v>20212195001</v>
      </c>
      <c r="B168" s="659" t="str">
        <f>VLOOKUP(A168,'Datos Personales'!A:M,2,FALSE)</f>
        <v>AGUDELO SANTANA SERGIO IVAN</v>
      </c>
      <c r="C168" s="659">
        <f>VLOOKUP(A168,'ESTADOS ESTUDIANTES'!B:L,11,0)</f>
        <v>1075677231</v>
      </c>
      <c r="D168" s="659">
        <f>VLOOKUP(A168,'Datos Personales'!$A:$M,3,FALSE)</f>
        <v>195</v>
      </c>
      <c r="E168" s="659" t="str">
        <f>VLOOKUP(Tabla4[[#This Row],[ENFASIS]],Listas!$R$2:$S$8,2,0)</f>
        <v>EN TELEINF.</v>
      </c>
      <c r="F168" s="659" t="str">
        <f>VLOOKUP(A168,'Datos Personales'!A:M,8,0)</f>
        <v>siagudelos@udistrital.edu.co</v>
      </c>
      <c r="G168" s="659" t="str">
        <f>VLOOKUP(A168,'Datos Personales'!A:M,9,0)</f>
        <v>siagudelos@gmail.com</v>
      </c>
      <c r="H168" s="659" t="str">
        <f>VLOOKUP(A168,'Datos Personales'!A:M,5,FALSE)</f>
        <v>X</v>
      </c>
      <c r="I168" s="659" t="str">
        <f>VLOOKUP(Tabla4[[#This Row],[CODIGO]],'ESTADOS ESTUDIANTES'!B:M,12,0)</f>
        <v>2024-1</v>
      </c>
      <c r="J168" s="651" t="s">
        <v>60</v>
      </c>
      <c r="K168" s="651" t="s">
        <v>676</v>
      </c>
      <c r="L168" s="651" t="s">
        <v>303</v>
      </c>
      <c r="M168" s="660"/>
      <c r="N168" s="658">
        <v>44539</v>
      </c>
      <c r="O168" s="659">
        <v>2021</v>
      </c>
      <c r="P168" s="651" t="s">
        <v>137</v>
      </c>
      <c r="Q168" s="651" t="s">
        <v>369</v>
      </c>
      <c r="R168" s="656">
        <v>44539</v>
      </c>
      <c r="S168" s="656">
        <f>IF(Tabla4[[#This Row],[FECHA DE ACEPTACION DEL GRUP. INV.]]="","",DATE(YEAR(Tabla4[[#This Row],[FECHA DE ACEPTACION DEL GRUP. INV.]])+2,MONTH(Tabla4[[#This Row],[FECHA DE ACEPTACION DEL GRUP. INV.]]),DAY(Tabla4[[#This Row],[FECHA DE ACEPTACION DEL GRUP. INV.]])))</f>
        <v>45269</v>
      </c>
      <c r="T168" s="656" t="str">
        <f ca="1">IF(Tabla4[[#This Row],[FECHA DE ACEPTACION DEL GRUP. INV.]]="","",IF(Tabla4[[#This Row],[FECHA DE VENCIMIENTO ANTE PROYECTO]]&lt;TODAY(),"SÍ","NO"))</f>
        <v>SÍ</v>
      </c>
      <c r="U168" s="657" t="s">
        <v>62</v>
      </c>
      <c r="V168" s="237"/>
      <c r="W168" s="171" t="s">
        <v>677</v>
      </c>
      <c r="X168" s="651" t="s">
        <v>678</v>
      </c>
      <c r="Y168" s="189">
        <v>44887</v>
      </c>
      <c r="Z168" s="191">
        <v>121</v>
      </c>
      <c r="AA168" s="189">
        <v>45323</v>
      </c>
      <c r="AB168" s="191">
        <v>121</v>
      </c>
      <c r="AC168" s="110" t="s">
        <v>79</v>
      </c>
      <c r="AD168" s="171"/>
      <c r="AE168" s="190"/>
      <c r="AF168" s="190"/>
      <c r="AG168" s="169"/>
      <c r="AH168" s="169"/>
      <c r="AI168" s="169"/>
      <c r="AJ168" s="170" t="str">
        <f>IFERROR(VLOOKUP(AI168,Listas!K:L,2,0),"")</f>
        <v/>
      </c>
      <c r="AK168" s="21" t="str">
        <f>IFERROR(VLOOKUP(AJ168,Listas!L:M,2,0),"")</f>
        <v/>
      </c>
      <c r="AL168" s="189"/>
      <c r="AM168" s="169"/>
      <c r="AN168" s="189"/>
      <c r="AO168" s="169"/>
      <c r="AP168" s="189"/>
      <c r="AQ168" s="189"/>
      <c r="AR168" s="187"/>
      <c r="AS168" s="187"/>
      <c r="AT168" s="169"/>
      <c r="AU168" s="169"/>
      <c r="AV168" s="189"/>
      <c r="AW168" s="189"/>
      <c r="AX168" s="187"/>
      <c r="AY168" s="187"/>
      <c r="AZ168" s="169"/>
      <c r="BA168" s="189"/>
      <c r="BB168" s="187" t="str">
        <f>IFERROR(AVERAGE(AR168,AS168,AX168,AY168),"")</f>
        <v/>
      </c>
      <c r="BC168" s="353" t="e">
        <f t="shared" si="17"/>
        <v>#VALUE!</v>
      </c>
      <c r="BD168" s="353" t="e">
        <f t="shared" si="18"/>
        <v>#VALUE!</v>
      </c>
      <c r="BE168" s="169"/>
      <c r="BF168" s="169"/>
      <c r="BG168" s="234" t="str">
        <f t="shared" si="16"/>
        <v/>
      </c>
    </row>
    <row r="169" spans="1:59" ht="15" hidden="1">
      <c r="A169" s="21">
        <v>20212195002</v>
      </c>
      <c r="B169" s="19" t="str">
        <f>VLOOKUP(A169,'Datos Personales'!A:M,2,FALSE)</f>
        <v>BERNAL GOMEZ SEBASTIAN CAMILO</v>
      </c>
      <c r="C169" s="19">
        <f>VLOOKUP(A169,'ESTADOS ESTUDIANTES'!B:L,11,0)</f>
        <v>1014268906</v>
      </c>
      <c r="D169" s="19">
        <f>VLOOKUP(A169,'Datos Personales'!$A:$M,3,FALSE)</f>
        <v>195</v>
      </c>
      <c r="E169" s="19" t="str">
        <f>VLOOKUP(Tabla4[[#This Row],[ENFASIS]],Listas!$R$2:$S$8,2,0)</f>
        <v>EN TELEINF.</v>
      </c>
      <c r="F169" s="19" t="str">
        <f>VLOOKUP(A169,'Datos Personales'!A:M,8,0)</f>
        <v>scbernalg@correo.udistrital.edu.co</v>
      </c>
      <c r="G169" s="19" t="str">
        <f>VLOOKUP(A169,'Datos Personales'!A:M,9,0)</f>
        <v>scbernalg@correo.udistrital.edu.co</v>
      </c>
      <c r="H169" s="19" t="str">
        <f>VLOOKUP(A169,'Datos Personales'!A:M,5,FALSE)</f>
        <v>X</v>
      </c>
      <c r="I169" s="19" t="str">
        <f>VLOOKUP(Tabla4[[#This Row],[CODIGO]],'ESTADOS ESTUDIANTES'!B:M,12,0)</f>
        <v>2022-1</v>
      </c>
      <c r="J169" s="23"/>
      <c r="K169" s="23"/>
      <c r="L169" s="23"/>
      <c r="M169" s="23"/>
      <c r="N169" s="96"/>
      <c r="O169" s="23"/>
      <c r="P169" s="23"/>
      <c r="Q169" s="23"/>
      <c r="R169" s="124"/>
      <c r="S169" s="124" t="str">
        <f>IF(Tabla4[[#This Row],[FECHA DE ACEPTACION DEL GRUP. INV.]]="","",DATE(YEAR(Tabla4[[#This Row],[FECHA DE ACEPTACION DEL GRUP. INV.]])+2,MONTH(Tabla4[[#This Row],[FECHA DE ACEPTACION DEL GRUP. INV.]]),DAY(Tabla4[[#This Row],[FECHA DE ACEPTACION DEL GRUP. INV.]])))</f>
        <v/>
      </c>
      <c r="T169" s="124" t="str">
        <f ca="1">IF(Tabla4[[#This Row],[FECHA DE ACEPTACION DEL GRUP. INV.]]="","",IF(Tabla4[[#This Row],[FECHA DE VENCIMIENTO ANTE PROYECTO]]&lt;TODAY(),"SÍ","NO"))</f>
        <v/>
      </c>
      <c r="U169" s="124"/>
      <c r="V169" s="124"/>
      <c r="W169" s="18"/>
      <c r="X169" s="18"/>
      <c r="Y169" s="96"/>
      <c r="Z169" s="97"/>
      <c r="AA169" s="96"/>
      <c r="AB169" s="97"/>
      <c r="AC169" s="110"/>
      <c r="AD169" s="18"/>
      <c r="AE169" s="124"/>
      <c r="AF169" s="124"/>
      <c r="AG169" s="169"/>
      <c r="AH169" s="169"/>
      <c r="AI169" s="169"/>
      <c r="AJ169" s="170" t="str">
        <f>IFERROR(VLOOKUP(AI169,Listas!K:L,2,0),"")</f>
        <v/>
      </c>
      <c r="AK169" s="21" t="str">
        <f>IFERROR(VLOOKUP(AJ169,Listas!L:M,2,0),"")</f>
        <v/>
      </c>
      <c r="AL169" s="96"/>
      <c r="AM169" s="23"/>
      <c r="AN169" s="96"/>
      <c r="AO169" s="23"/>
      <c r="AP169" s="96"/>
      <c r="AQ169" s="96"/>
      <c r="AR169" s="21"/>
      <c r="AS169" s="21"/>
      <c r="AT169" s="23"/>
      <c r="AU169" s="23"/>
      <c r="AV169" s="96"/>
      <c r="AW169" s="96"/>
      <c r="AX169" s="21"/>
      <c r="AY169" s="21"/>
      <c r="AZ169" s="23"/>
      <c r="BA169" s="96"/>
      <c r="BB169" s="18" t="str">
        <f>IFERROR(ROUND(AVERAGE(AY169,AX169,AS169,AR169),0),"")</f>
        <v/>
      </c>
      <c r="BC169" s="338" t="e">
        <f t="shared" si="17"/>
        <v>#VALUE!</v>
      </c>
      <c r="BD169" s="338" t="e">
        <f t="shared" si="18"/>
        <v>#VALUE!</v>
      </c>
      <c r="BE169" s="23"/>
      <c r="BF169" s="23"/>
      <c r="BG169" s="255" t="str">
        <f t="shared" ref="BG169:BG189" si="19">IF(OR(H169="A",$H169="D",$H169="P",$H169="V"),L169,"")</f>
        <v/>
      </c>
    </row>
    <row r="170" spans="1:59" ht="60" hidden="1">
      <c r="A170" s="662">
        <v>20212195003</v>
      </c>
      <c r="B170" s="659" t="str">
        <f>VLOOKUP(A170,'Datos Personales'!A:M,2,FALSE)</f>
        <v>BONILLA OCAMPO DIEGO ALEXANDER</v>
      </c>
      <c r="C170" s="659">
        <f>VLOOKUP(A170,'ESTADOS ESTUDIANTES'!B:L,11,0)</f>
        <v>1030558211</v>
      </c>
      <c r="D170" s="659">
        <f>VLOOKUP(A170,'Datos Personales'!$A:$M,3,FALSE)</f>
        <v>195</v>
      </c>
      <c r="E170" s="659" t="str">
        <f>VLOOKUP(Tabla4[[#This Row],[ENFASIS]],Listas!$R$2:$S$8,2,0)</f>
        <v>EN TELEINF.</v>
      </c>
      <c r="F170" s="659" t="str">
        <f>VLOOKUP(A170,'Datos Personales'!A:M,8,0)</f>
        <v>dabonillao@udistrital.edu.co</v>
      </c>
      <c r="G170" s="659" t="str">
        <f>VLOOKUP(A170,'Datos Personales'!A:M,9,0)</f>
        <v>dabiochemistry@gmail.com</v>
      </c>
      <c r="H170" s="659" t="str">
        <f>VLOOKUP(A170,'Datos Personales'!A:M,5,FALSE)</f>
        <v>V</v>
      </c>
      <c r="I170" s="659" t="str">
        <f>VLOOKUP(Tabla4[[#This Row],[CODIGO]],'ESTADOS ESTUDIANTES'!B:M,12,0)</f>
        <v>2026-1</v>
      </c>
      <c r="J170" s="651" t="s">
        <v>60</v>
      </c>
      <c r="K170" s="651" t="s">
        <v>679</v>
      </c>
      <c r="L170" s="651" t="s">
        <v>323</v>
      </c>
      <c r="M170" s="651" t="s">
        <v>222</v>
      </c>
      <c r="N170" s="658">
        <v>46097</v>
      </c>
      <c r="O170" s="659">
        <v>2026</v>
      </c>
      <c r="P170" s="651" t="s">
        <v>112</v>
      </c>
      <c r="Q170" s="651" t="s">
        <v>680</v>
      </c>
      <c r="R170" s="656">
        <v>46107</v>
      </c>
      <c r="S170" s="656">
        <f>IF(Tabla4[[#This Row],[FECHA DE ACEPTACION DEL GRUP. INV.]]="","",DATE(YEAR(Tabla4[[#This Row],[FECHA DE ACEPTACION DEL GRUP. INV.]])+2,MONTH(Tabla4[[#This Row],[FECHA DE ACEPTACION DEL GRUP. INV.]]),DAY(Tabla4[[#This Row],[FECHA DE ACEPTACION DEL GRUP. INV.]])))</f>
        <v>46838</v>
      </c>
      <c r="T170" s="656" t="str">
        <f ca="1">IF(Tabla4[[#This Row],[FECHA DE ACEPTACION DEL GRUP. INV.]]="","",IF(Tabla4[[#This Row],[FECHA DE VENCIMIENTO ANTE PROYECTO]]&lt;TODAY(),"SÍ","NO"))</f>
        <v>NO</v>
      </c>
      <c r="U170" s="657" t="s">
        <v>62</v>
      </c>
      <c r="V170" s="237"/>
      <c r="W170" s="171"/>
      <c r="X170" s="651" t="s">
        <v>506</v>
      </c>
      <c r="Y170" s="189"/>
      <c r="Z170" s="191"/>
      <c r="AA170" s="189"/>
      <c r="AB170" s="191"/>
      <c r="AC170" s="169"/>
      <c r="AD170" s="171"/>
      <c r="AE170" s="190"/>
      <c r="AF170" s="486"/>
      <c r="AG170" s="169"/>
      <c r="AH170" s="169"/>
      <c r="AI170" s="169"/>
      <c r="AJ170" s="193" t="str">
        <f>IFERROR(VLOOKUP(AI170,Listas!K:L,2,0),"")</f>
        <v/>
      </c>
      <c r="AK170" s="187" t="str">
        <f>IFERROR(VLOOKUP(AJ170,Listas!L:M,2,0),"")</f>
        <v/>
      </c>
      <c r="AL170" s="189"/>
      <c r="AM170" s="169"/>
      <c r="AN170" s="189"/>
      <c r="AO170" s="169"/>
      <c r="AP170" s="189"/>
      <c r="AQ170" s="189"/>
      <c r="AR170" s="187"/>
      <c r="AS170" s="187"/>
      <c r="AT170" s="169"/>
      <c r="AU170" s="169"/>
      <c r="AV170" s="189"/>
      <c r="AW170" s="189"/>
      <c r="AX170" s="187"/>
      <c r="AY170" s="187"/>
      <c r="AZ170" s="169"/>
      <c r="BA170" s="189"/>
      <c r="BB170" s="187" t="str">
        <f>IFERROR(AVERAGE(AR170,AS170,AX170,AY170),"")</f>
        <v/>
      </c>
      <c r="BC170" s="187" t="e">
        <f t="shared" si="17"/>
        <v>#VALUE!</v>
      </c>
      <c r="BD170" s="187" t="e">
        <f t="shared" si="18"/>
        <v>#VALUE!</v>
      </c>
      <c r="BE170" s="169"/>
      <c r="BF170" s="169"/>
      <c r="BG170" s="234" t="str">
        <f t="shared" si="19"/>
        <v>Paulo Alonso Gaona Garcia</v>
      </c>
    </row>
    <row r="171" spans="1:59" s="339" customFormat="1" ht="45" hidden="1">
      <c r="A171" s="21">
        <v>20212395002</v>
      </c>
      <c r="B171" s="19" t="str">
        <f>VLOOKUP(A171,'Datos Personales'!A:M,2,FALSE)</f>
        <v>CRISTANCHO CARO CAMILO SEBASTIAN</v>
      </c>
      <c r="C171" s="19">
        <f>VLOOKUP(A171,'ESTADOS ESTUDIANTES'!B:L,11,0)</f>
        <v>1010227327</v>
      </c>
      <c r="D171" s="19">
        <f>VLOOKUP(A171,'Datos Personales'!$A:$M,3,FALSE)</f>
        <v>395</v>
      </c>
      <c r="E171" s="19" t="str">
        <f>VLOOKUP(Tabla4[[#This Row],[ENFASIS]],Listas!$R$2:$S$8,2,0)</f>
        <v>ENFASIS EN GEOMATICA</v>
      </c>
      <c r="F171" s="19" t="str">
        <f>VLOOKUP(A171,'Datos Personales'!A:M,8,0)</f>
        <v>cscristanchoc@correo.udistrital.edu.co</v>
      </c>
      <c r="G171" s="19" t="str">
        <f>VLOOKUP(A171,'Datos Personales'!A:M,9,0)</f>
        <v>cscristanchoc@gmail.com</v>
      </c>
      <c r="H171" s="19" t="str">
        <f>VLOOKUP(A171,'Datos Personales'!A:M,5,FALSE)</f>
        <v>X</v>
      </c>
      <c r="I171" s="19" t="str">
        <f>VLOOKUP(Tabla4[[#This Row],[CODIGO]],'ESTADOS ESTUDIANTES'!B:M,12,0)</f>
        <v>2022-1</v>
      </c>
      <c r="J171" s="18" t="s">
        <v>60</v>
      </c>
      <c r="K171" s="18" t="s">
        <v>681</v>
      </c>
      <c r="L171" s="18" t="s">
        <v>344</v>
      </c>
      <c r="M171" s="23"/>
      <c r="N171" s="96">
        <v>44540</v>
      </c>
      <c r="O171" s="19">
        <v>2021</v>
      </c>
      <c r="P171" s="18" t="s">
        <v>146</v>
      </c>
      <c r="Q171" s="18" t="s">
        <v>229</v>
      </c>
      <c r="R171" s="124">
        <v>44540</v>
      </c>
      <c r="S171" s="124">
        <f>IF(Tabla4[[#This Row],[FECHA DE ACEPTACION DEL GRUP. INV.]]="","",DATE(YEAR(Tabla4[[#This Row],[FECHA DE ACEPTACION DEL GRUP. INV.]])+2,MONTH(Tabla4[[#This Row],[FECHA DE ACEPTACION DEL GRUP. INV.]]),DAY(Tabla4[[#This Row],[FECHA DE ACEPTACION DEL GRUP. INV.]])))</f>
        <v>45270</v>
      </c>
      <c r="T171" s="124" t="str">
        <f ca="1">IF(Tabla4[[#This Row],[FECHA DE ACEPTACION DEL GRUP. INV.]]="","",IF(Tabla4[[#This Row],[FECHA DE VENCIMIENTO ANTE PROYECTO]]&lt;TODAY(),"SÍ","NO"))</f>
        <v>SÍ</v>
      </c>
      <c r="U171" s="124"/>
      <c r="V171" s="124"/>
      <c r="W171" s="18"/>
      <c r="X171" s="18"/>
      <c r="Y171" s="96"/>
      <c r="Z171" s="97"/>
      <c r="AA171" s="96"/>
      <c r="AB171" s="97"/>
      <c r="AC171" s="110"/>
      <c r="AD171" s="18"/>
      <c r="AE171" s="124"/>
      <c r="AF171" s="124"/>
      <c r="AG171" s="169"/>
      <c r="AH171" s="169"/>
      <c r="AI171" s="169"/>
      <c r="AJ171" s="170" t="str">
        <f>IFERROR(VLOOKUP(AI171,Listas!K:L,2,0),"")</f>
        <v/>
      </c>
      <c r="AK171" s="21" t="str">
        <f>IFERROR(VLOOKUP(AJ171,Listas!L:M,2,0),"")</f>
        <v/>
      </c>
      <c r="AL171" s="96"/>
      <c r="AM171" s="23"/>
      <c r="AN171" s="96"/>
      <c r="AO171" s="23"/>
      <c r="AP171" s="96"/>
      <c r="AQ171" s="96"/>
      <c r="AR171" s="21"/>
      <c r="AS171" s="21"/>
      <c r="AT171" s="23"/>
      <c r="AU171" s="23"/>
      <c r="AV171" s="96"/>
      <c r="AW171" s="96"/>
      <c r="AX171" s="21"/>
      <c r="AY171" s="21"/>
      <c r="AZ171" s="23"/>
      <c r="BA171" s="96"/>
      <c r="BB171" s="18" t="str">
        <f>IFERROR(ROUND(AVERAGE(AY171,AX171,AS171,AR171),0),"")</f>
        <v/>
      </c>
      <c r="BC171" s="338" t="e">
        <f t="shared" si="17"/>
        <v>#VALUE!</v>
      </c>
      <c r="BD171" s="338" t="e">
        <f t="shared" si="18"/>
        <v>#VALUE!</v>
      </c>
      <c r="BE171" s="23"/>
      <c r="BF171" s="23"/>
      <c r="BG171" s="255" t="str">
        <f t="shared" si="19"/>
        <v/>
      </c>
    </row>
    <row r="172" spans="1:59" s="339" customFormat="1" ht="60" hidden="1">
      <c r="A172" s="21">
        <v>20212395003</v>
      </c>
      <c r="B172" s="19" t="str">
        <f>VLOOKUP(A172,'Datos Personales'!A:M,2,FALSE)</f>
        <v>GONZALEZ PARDO SONIA LUZ</v>
      </c>
      <c r="C172" s="19">
        <f>VLOOKUP(A172,'ESTADOS ESTUDIANTES'!B:L,11,0)</f>
        <v>1035420008</v>
      </c>
      <c r="D172" s="19">
        <f>VLOOKUP(A172,'Datos Personales'!$A:$M,3,FALSE)</f>
        <v>495</v>
      </c>
      <c r="E172" s="19" t="str">
        <f>VLOOKUP(Tabla4[[#This Row],[ENFASIS]],Listas!$R$2:$S$8,2,0)</f>
        <v>ENFASIS EN ING. SOFT</v>
      </c>
      <c r="F172" s="19" t="str">
        <f>VLOOKUP(A172,'Datos Personales'!A:M,8,0)</f>
        <v>slgonzalezp@udistrital.edu.co</v>
      </c>
      <c r="G172" s="19" t="str">
        <f>VLOOKUP(A172,'Datos Personales'!A:M,9,0)</f>
        <v>sonigonzalezpardo@gmail.com</v>
      </c>
      <c r="H172" s="19" t="str">
        <f>VLOOKUP(A172,'Datos Personales'!A:M,5,FALSE)</f>
        <v>E</v>
      </c>
      <c r="I172" s="19" t="str">
        <f>VLOOKUP(Tabla4[[#This Row],[CODIGO]],'ESTADOS ESTUDIANTES'!B:M,12,0)</f>
        <v>2023-1</v>
      </c>
      <c r="J172" s="18" t="s">
        <v>60</v>
      </c>
      <c r="K172" s="18" t="s">
        <v>682</v>
      </c>
      <c r="L172" s="18" t="s">
        <v>309</v>
      </c>
      <c r="M172" s="23"/>
      <c r="N172" s="96">
        <v>44539</v>
      </c>
      <c r="O172" s="19">
        <v>2021</v>
      </c>
      <c r="P172" s="18" t="s">
        <v>131</v>
      </c>
      <c r="Q172" s="18" t="s">
        <v>309</v>
      </c>
      <c r="R172" s="124">
        <v>44540</v>
      </c>
      <c r="S172" s="124">
        <f>IF(Tabla4[[#This Row],[FECHA DE ACEPTACION DEL GRUP. INV.]]="","",DATE(YEAR(Tabla4[[#This Row],[FECHA DE ACEPTACION DEL GRUP. INV.]])+2,MONTH(Tabla4[[#This Row],[FECHA DE ACEPTACION DEL GRUP. INV.]]),DAY(Tabla4[[#This Row],[FECHA DE ACEPTACION DEL GRUP. INV.]])))</f>
        <v>45270</v>
      </c>
      <c r="T172" s="124" t="str">
        <f ca="1">IF(Tabla4[[#This Row],[FECHA DE ACEPTACION DEL GRUP. INV.]]="","",IF(Tabla4[[#This Row],[FECHA DE VENCIMIENTO ANTE PROYECTO]]&lt;TODAY(),"SÍ","NO"))</f>
        <v>SÍ</v>
      </c>
      <c r="U172" s="124"/>
      <c r="V172" s="124"/>
      <c r="W172" s="18"/>
      <c r="X172" s="18"/>
      <c r="Y172" s="96"/>
      <c r="Z172" s="97"/>
      <c r="AA172" s="96">
        <v>44680</v>
      </c>
      <c r="AB172" s="97">
        <v>52</v>
      </c>
      <c r="AC172" s="98" t="s">
        <v>79</v>
      </c>
      <c r="AD172" s="18" t="s">
        <v>683</v>
      </c>
      <c r="AE172" s="124">
        <v>44855</v>
      </c>
      <c r="AF172" s="124" t="s">
        <v>684</v>
      </c>
      <c r="AG172" s="171"/>
      <c r="AH172" s="171"/>
      <c r="AI172" s="171"/>
      <c r="AJ172" s="170" t="str">
        <f>IFERROR(VLOOKUP(AI172,Listas!K:L,2,0),"")</f>
        <v/>
      </c>
      <c r="AK172" s="21" t="str">
        <f>IFERROR(VLOOKUP(AJ172,Listas!L:M,2,0),"")</f>
        <v/>
      </c>
      <c r="AL172" s="96"/>
      <c r="AM172" s="18" t="s">
        <v>685</v>
      </c>
      <c r="AN172" s="96">
        <v>44855</v>
      </c>
      <c r="AO172" s="18" t="s">
        <v>222</v>
      </c>
      <c r="AP172" s="96"/>
      <c r="AQ172" s="96">
        <v>44887</v>
      </c>
      <c r="AR172" s="19">
        <v>43</v>
      </c>
      <c r="AS172" s="19">
        <v>43</v>
      </c>
      <c r="AT172" s="18" t="s">
        <v>41</v>
      </c>
      <c r="AU172" s="18" t="s">
        <v>281</v>
      </c>
      <c r="AV172" s="96"/>
      <c r="AW172" s="96">
        <v>44887</v>
      </c>
      <c r="AX172" s="19">
        <v>43</v>
      </c>
      <c r="AY172" s="19">
        <v>43</v>
      </c>
      <c r="AZ172" s="18" t="s">
        <v>41</v>
      </c>
      <c r="BA172" s="96"/>
      <c r="BB172" s="185">
        <f>IFERROR(AVERAGE(AR172,AS172,AX172,AY172),"")</f>
        <v>43</v>
      </c>
      <c r="BC172" s="338" t="e">
        <f t="shared" si="17"/>
        <v>#VALUE!</v>
      </c>
      <c r="BD172" s="338" t="e">
        <f t="shared" si="18"/>
        <v>#VALUE!</v>
      </c>
      <c r="BE172" s="23"/>
      <c r="BF172" s="23"/>
      <c r="BG172" s="293" t="str">
        <f t="shared" si="19"/>
        <v/>
      </c>
    </row>
    <row r="173" spans="1:59" ht="90" hidden="1">
      <c r="A173" s="187">
        <v>20212395004</v>
      </c>
      <c r="B173" s="188" t="str">
        <f>VLOOKUP(A173,'Datos Personales'!A:M,2,FALSE)</f>
        <v>MATTA MONROY NANCY JOHANA</v>
      </c>
      <c r="C173" s="188">
        <f>VLOOKUP(A173,'ESTADOS ESTUDIANTES'!B:L,11,0)</f>
        <v>1018475010</v>
      </c>
      <c r="D173" s="188">
        <f>VLOOKUP(A173,'Datos Personales'!$A:$M,3,FALSE)</f>
        <v>395</v>
      </c>
      <c r="E173" s="188" t="str">
        <f>VLOOKUP(Tabla4[[#This Row],[ENFASIS]],Listas!$R$2:$S$8,2,0)</f>
        <v>ENFASIS EN GEOMATICA</v>
      </c>
      <c r="F173" s="188" t="str">
        <f>VLOOKUP(A173,'Datos Personales'!A:M,8,0)</f>
        <v>njmattam@udistrital.edu.co</v>
      </c>
      <c r="G173" s="188" t="str">
        <f>VLOOKUP(A173,'Datos Personales'!A:M,9,0)</f>
        <v>njmattam@udistrital.edu.co</v>
      </c>
      <c r="H173" s="188" t="str">
        <f>VLOOKUP(A173,'Datos Personales'!A:M,5,FALSE)</f>
        <v>E</v>
      </c>
      <c r="I173" s="188" t="str">
        <f>VLOOKUP(Tabla4[[#This Row],[CODIGO]],'ESTADOS ESTUDIANTES'!B:M,12,0)</f>
        <v>2024-1</v>
      </c>
      <c r="J173" s="171" t="s">
        <v>60</v>
      </c>
      <c r="K173" s="171" t="s">
        <v>686</v>
      </c>
      <c r="L173" s="171" t="s">
        <v>271</v>
      </c>
      <c r="M173" s="169"/>
      <c r="N173" s="189">
        <v>44531</v>
      </c>
      <c r="O173" s="188">
        <v>2022</v>
      </c>
      <c r="P173" s="171" t="s">
        <v>106</v>
      </c>
      <c r="Q173" s="171" t="s">
        <v>351</v>
      </c>
      <c r="R173" s="190">
        <v>44706</v>
      </c>
      <c r="S173" s="190">
        <f>IF(Tabla4[[#This Row],[FECHA DE ACEPTACION DEL GRUP. INV.]]="","",DATE(YEAR(Tabla4[[#This Row],[FECHA DE ACEPTACION DEL GRUP. INV.]])+2,MONTH(Tabla4[[#This Row],[FECHA DE ACEPTACION DEL GRUP. INV.]]),DAY(Tabla4[[#This Row],[FECHA DE ACEPTACION DEL GRUP. INV.]])))</f>
        <v>45437</v>
      </c>
      <c r="T173" s="190" t="str">
        <f ca="1">IF(Tabla4[[#This Row],[FECHA DE ACEPTACION DEL GRUP. INV.]]="","",IF(Tabla4[[#This Row],[FECHA DE VENCIMIENTO ANTE PROYECTO]]&lt;TODAY(),"SÍ","NO"))</f>
        <v>SÍ</v>
      </c>
      <c r="U173" s="190"/>
      <c r="V173" s="190"/>
      <c r="W173" s="171" t="s">
        <v>339</v>
      </c>
      <c r="X173" s="171"/>
      <c r="Y173" s="189"/>
      <c r="Z173" s="191"/>
      <c r="AA173" s="189">
        <v>44887</v>
      </c>
      <c r="AB173" s="191">
        <v>88</v>
      </c>
      <c r="AC173" s="110" t="s">
        <v>79</v>
      </c>
      <c r="AD173" s="171" t="s">
        <v>404</v>
      </c>
      <c r="AE173" s="190">
        <v>45245</v>
      </c>
      <c r="AF173" s="190" t="s">
        <v>687</v>
      </c>
      <c r="AG173" s="169" t="s">
        <v>688</v>
      </c>
      <c r="AH173" s="169">
        <v>2023</v>
      </c>
      <c r="AI173" s="169" t="s">
        <v>99</v>
      </c>
      <c r="AJ173" s="170">
        <f>IFERROR(VLOOKUP(AI173,Listas!K:L,2,0),"")</f>
        <v>0.2</v>
      </c>
      <c r="AK173" s="21">
        <f>IFERROR(VLOOKUP(AJ173,Listas!L:M,2,0),"")</f>
        <v>10</v>
      </c>
      <c r="AL173" s="189">
        <v>45244</v>
      </c>
      <c r="AM173" s="169" t="s">
        <v>689</v>
      </c>
      <c r="AN173" s="189">
        <v>45245</v>
      </c>
      <c r="AO173" s="169" t="s">
        <v>350</v>
      </c>
      <c r="AP173" s="189">
        <v>45250</v>
      </c>
      <c r="AQ173" s="189">
        <v>45264</v>
      </c>
      <c r="AR173" s="187">
        <v>46</v>
      </c>
      <c r="AS173" s="187">
        <v>47</v>
      </c>
      <c r="AT173" s="169" t="s">
        <v>41</v>
      </c>
      <c r="AU173" s="169" t="s">
        <v>310</v>
      </c>
      <c r="AV173" s="189">
        <v>45250</v>
      </c>
      <c r="AW173" s="189">
        <v>45267</v>
      </c>
      <c r="AX173" s="187">
        <v>45</v>
      </c>
      <c r="AY173" s="187">
        <v>48</v>
      </c>
      <c r="AZ173" s="169" t="s">
        <v>41</v>
      </c>
      <c r="BA173" s="189"/>
      <c r="BB173" s="232">
        <f>IFERROR(AVERAGE(AR173,AS173,AX173,AY173),"")</f>
        <v>46.5</v>
      </c>
      <c r="BC173" s="338">
        <f t="shared" si="17"/>
        <v>37.200000000000003</v>
      </c>
      <c r="BD173" s="338">
        <f t="shared" si="18"/>
        <v>47.2</v>
      </c>
      <c r="BE173" s="169"/>
      <c r="BF173" s="169"/>
      <c r="BG173" s="234" t="str">
        <f t="shared" si="19"/>
        <v/>
      </c>
    </row>
    <row r="174" spans="1:59" s="339" customFormat="1" ht="45" hidden="1">
      <c r="A174" s="208">
        <v>20212495001</v>
      </c>
      <c r="B174" s="209" t="str">
        <f>VLOOKUP(A174,'Datos Personales'!A:M,2,FALSE)</f>
        <v>ARIAS OMANA JUSTO REINALDO</v>
      </c>
      <c r="C174" s="209">
        <f>VLOOKUP(A174,'ESTADOS ESTUDIANTES'!B:L,11,0)</f>
        <v>88197450</v>
      </c>
      <c r="D174" s="209">
        <f>VLOOKUP(A174,'Datos Personales'!$A:$M,3,FALSE)</f>
        <v>495</v>
      </c>
      <c r="E174" s="209" t="str">
        <f>VLOOKUP(Tabla4[[#This Row],[ENFASIS]],Listas!$R$2:$S$8,2,0)</f>
        <v>ENFASIS EN ING. SOFT</v>
      </c>
      <c r="F174" s="209" t="str">
        <f>VLOOKUP(A174,'Datos Personales'!A:M,8,0)</f>
        <v>jrariaso@udistrital.edu.co</v>
      </c>
      <c r="G174" s="209" t="str">
        <f>VLOOKUP(A174,'Datos Personales'!A:M,9,0)</f>
        <v>reinaldoarias2002@yahoo.com</v>
      </c>
      <c r="H174" s="209" t="str">
        <f>VLOOKUP(A174,'Datos Personales'!A:M,5,FALSE)</f>
        <v>E</v>
      </c>
      <c r="I174" s="209" t="str">
        <f>VLOOKUP(Tabla4[[#This Row],[CODIGO]],'ESTADOS ESTUDIANTES'!B:M,12,0)</f>
        <v>2023-3</v>
      </c>
      <c r="J174" s="210" t="s">
        <v>60</v>
      </c>
      <c r="K174" s="210" t="s">
        <v>690</v>
      </c>
      <c r="L174" s="210" t="s">
        <v>691</v>
      </c>
      <c r="M174" s="210" t="s">
        <v>692</v>
      </c>
      <c r="N174" s="212">
        <v>44536</v>
      </c>
      <c r="O174" s="209">
        <v>2021</v>
      </c>
      <c r="P174" s="210" t="s">
        <v>149</v>
      </c>
      <c r="Q174" s="210" t="s">
        <v>693</v>
      </c>
      <c r="R174" s="213">
        <v>44718</v>
      </c>
      <c r="S174" s="213">
        <f>IF(Tabla4[[#This Row],[FECHA DE ACEPTACION DEL GRUP. INV.]]="","",DATE(YEAR(Tabla4[[#This Row],[FECHA DE ACEPTACION DEL GRUP. INV.]])+2,MONTH(Tabla4[[#This Row],[FECHA DE ACEPTACION DEL GRUP. INV.]]),DAY(Tabla4[[#This Row],[FECHA DE ACEPTACION DEL GRUP. INV.]])))</f>
        <v>45449</v>
      </c>
      <c r="T174" s="213" t="str">
        <f ca="1">IF(Tabla4[[#This Row],[FECHA DE ACEPTACION DEL GRUP. INV.]]="","",IF(Tabla4[[#This Row],[FECHA DE VENCIMIENTO ANTE PROYECTO]]&lt;TODAY(),"SÍ","NO"))</f>
        <v>SÍ</v>
      </c>
      <c r="U174" s="213"/>
      <c r="V174" s="213"/>
      <c r="W174" s="210" t="s">
        <v>694</v>
      </c>
      <c r="X174" s="210"/>
      <c r="Y174" s="212"/>
      <c r="Z174" s="214"/>
      <c r="AA174" s="212">
        <v>44981</v>
      </c>
      <c r="AB174" s="214">
        <v>132</v>
      </c>
      <c r="AC174" s="110" t="s">
        <v>79</v>
      </c>
      <c r="AD174" s="210" t="s">
        <v>695</v>
      </c>
      <c r="AE174" s="213">
        <v>44763</v>
      </c>
      <c r="AF174" s="213" t="s">
        <v>696</v>
      </c>
      <c r="AG174" s="211" t="s">
        <v>697</v>
      </c>
      <c r="AH174" s="211">
        <v>2021</v>
      </c>
      <c r="AI174" s="211" t="s">
        <v>80</v>
      </c>
      <c r="AJ174" s="170">
        <f>IFERROR(VLOOKUP(AI174,Listas!K:L,2,0),"")</f>
        <v>0.6</v>
      </c>
      <c r="AK174" s="21">
        <f>IFERROR(VLOOKUP(AJ174,Listas!L:M,2,0),"")</f>
        <v>30</v>
      </c>
      <c r="AL174" s="212">
        <v>45042</v>
      </c>
      <c r="AM174" s="211" t="s">
        <v>698</v>
      </c>
      <c r="AN174" s="212">
        <v>45042</v>
      </c>
      <c r="AO174" s="211" t="s">
        <v>281</v>
      </c>
      <c r="AP174" s="212"/>
      <c r="AQ174" s="212"/>
      <c r="AR174" s="208"/>
      <c r="AS174" s="208"/>
      <c r="AT174" s="211"/>
      <c r="AU174" s="211" t="s">
        <v>356</v>
      </c>
      <c r="AV174" s="212"/>
      <c r="AW174" s="212"/>
      <c r="AX174" s="208"/>
      <c r="AY174" s="208"/>
      <c r="AZ174" s="211"/>
      <c r="BA174" s="212"/>
      <c r="BB174" s="215" t="str">
        <f>IFERROR(AVERAGE(AR174,AS174,AX174,AY174),"")</f>
        <v/>
      </c>
      <c r="BC174" s="338" t="e">
        <f t="shared" si="17"/>
        <v>#VALUE!</v>
      </c>
      <c r="BD174" s="338" t="e">
        <f t="shared" si="18"/>
        <v>#VALUE!</v>
      </c>
      <c r="BE174" s="211"/>
      <c r="BF174" s="211"/>
      <c r="BG174" s="343" t="str">
        <f t="shared" si="19"/>
        <v/>
      </c>
    </row>
    <row r="175" spans="1:59" s="339" customFormat="1" ht="15" hidden="1">
      <c r="A175" s="21">
        <v>20212495005</v>
      </c>
      <c r="B175" s="19" t="str">
        <f>VLOOKUP(A175,'Datos Personales'!A:M,2,FALSE)</f>
        <v>PANA IGUARAN JOSE MARIA</v>
      </c>
      <c r="C175" s="19">
        <f>VLOOKUP(A175,'ESTADOS ESTUDIANTES'!B:L,11,0)</f>
        <v>84088422</v>
      </c>
      <c r="D175" s="19">
        <f>VLOOKUP(A175,'Datos Personales'!$A:$M,3,FALSE)</f>
        <v>495</v>
      </c>
      <c r="E175" s="19" t="str">
        <f>VLOOKUP(Tabla4[[#This Row],[ENFASIS]],Listas!$R$2:$S$8,2,0)</f>
        <v>ENFASIS EN ING. SOFT</v>
      </c>
      <c r="F175" s="19" t="str">
        <f>VLOOKUP(A175,'Datos Personales'!A:M,8,0)</f>
        <v>jmpanai@correo.udistrital.edu.co</v>
      </c>
      <c r="G175" s="19" t="str">
        <f>VLOOKUP(A175,'Datos Personales'!A:M,9,0)</f>
        <v>josepana@ingenieros.com</v>
      </c>
      <c r="H175" s="19" t="str">
        <f>VLOOKUP(A175,'Datos Personales'!A:M,5,FALSE)</f>
        <v>X</v>
      </c>
      <c r="I175" s="19" t="str">
        <f>VLOOKUP(Tabla4[[#This Row],[CODIGO]],'ESTADOS ESTUDIANTES'!B:M,12,0)</f>
        <v>2021-3</v>
      </c>
      <c r="J175" s="18" t="s">
        <v>60</v>
      </c>
      <c r="K175" s="23"/>
      <c r="L175" s="23"/>
      <c r="M175" s="23"/>
      <c r="N175" s="96"/>
      <c r="O175" s="23"/>
      <c r="P175" s="23"/>
      <c r="Q175" s="23"/>
      <c r="R175" s="124"/>
      <c r="S175" s="124" t="str">
        <f>IF(Tabla4[[#This Row],[FECHA DE ACEPTACION DEL GRUP. INV.]]="","",DATE(YEAR(Tabla4[[#This Row],[FECHA DE ACEPTACION DEL GRUP. INV.]])+2,MONTH(Tabla4[[#This Row],[FECHA DE ACEPTACION DEL GRUP. INV.]]),DAY(Tabla4[[#This Row],[FECHA DE ACEPTACION DEL GRUP. INV.]])))</f>
        <v/>
      </c>
      <c r="T175" s="124" t="str">
        <f ca="1">IF(Tabla4[[#This Row],[FECHA DE ACEPTACION DEL GRUP. INV.]]="","",IF(Tabla4[[#This Row],[FECHA DE VENCIMIENTO ANTE PROYECTO]]&lt;TODAY(),"SÍ","NO"))</f>
        <v/>
      </c>
      <c r="U175" s="124"/>
      <c r="V175" s="124"/>
      <c r="W175" s="18"/>
      <c r="X175" s="18"/>
      <c r="Y175" s="96"/>
      <c r="Z175" s="97"/>
      <c r="AA175" s="96"/>
      <c r="AB175" s="97"/>
      <c r="AC175" s="110"/>
      <c r="AD175" s="18"/>
      <c r="AE175" s="124"/>
      <c r="AF175" s="124"/>
      <c r="AG175" s="169"/>
      <c r="AH175" s="169"/>
      <c r="AI175" s="169"/>
      <c r="AJ175" s="170" t="str">
        <f>IFERROR(VLOOKUP(AI175,Listas!K:L,2,0),"")</f>
        <v/>
      </c>
      <c r="AK175" s="21" t="str">
        <f>IFERROR(VLOOKUP(AJ175,Listas!L:M,2,0),"")</f>
        <v/>
      </c>
      <c r="AL175" s="96"/>
      <c r="AM175" s="23"/>
      <c r="AN175" s="96"/>
      <c r="AO175" s="23"/>
      <c r="AP175" s="96"/>
      <c r="AQ175" s="96"/>
      <c r="AR175" s="21"/>
      <c r="AS175" s="21"/>
      <c r="AT175" s="23"/>
      <c r="AU175" s="23"/>
      <c r="AV175" s="96"/>
      <c r="AW175" s="96"/>
      <c r="AX175" s="21"/>
      <c r="AY175" s="21"/>
      <c r="AZ175" s="23"/>
      <c r="BA175" s="96"/>
      <c r="BB175" s="18" t="str">
        <f>IFERROR(ROUND(AVERAGE(AY175,AX175,AS175,AR175),0),"")</f>
        <v/>
      </c>
      <c r="BC175" s="338" t="e">
        <f t="shared" si="17"/>
        <v>#VALUE!</v>
      </c>
      <c r="BD175" s="338" t="e">
        <f t="shared" si="18"/>
        <v>#VALUE!</v>
      </c>
      <c r="BE175" s="23"/>
      <c r="BF175" s="23"/>
      <c r="BG175" s="293" t="str">
        <f t="shared" si="19"/>
        <v/>
      </c>
    </row>
    <row r="176" spans="1:59" s="339" customFormat="1" ht="75" hidden="1">
      <c r="A176" s="187">
        <v>20212495009</v>
      </c>
      <c r="B176" s="188" t="str">
        <f>VLOOKUP(A176,'Datos Personales'!A:M,2,FALSE)</f>
        <v>VILLEGAS ISASA IVAN DANIEL</v>
      </c>
      <c r="C176" s="188">
        <f>VLOOKUP(A176,'ESTADOS ESTUDIANTES'!B:L,11,0)</f>
        <v>1072712551</v>
      </c>
      <c r="D176" s="188">
        <f>VLOOKUP(A176,'Datos Personales'!$A:$M,3,FALSE)</f>
        <v>495</v>
      </c>
      <c r="E176" s="188" t="str">
        <f>VLOOKUP(Tabla4[[#This Row],[ENFASIS]],Listas!$R$2:$S$8,2,0)</f>
        <v>ENFASIS EN ING. SOFT</v>
      </c>
      <c r="F176" s="188" t="str">
        <f>VLOOKUP(A176,'Datos Personales'!A:M,8,0)</f>
        <v>idvillegasi@udistrital.edu.co</v>
      </c>
      <c r="G176" s="188" t="str">
        <f>VLOOKUP(A176,'Datos Personales'!A:M,9,0)</f>
        <v>ivandanielvillegasisasa@gmail.com</v>
      </c>
      <c r="H176" s="188" t="str">
        <f>VLOOKUP(A176,'Datos Personales'!A:M,5,FALSE)</f>
        <v>E</v>
      </c>
      <c r="I176" s="188" t="str">
        <f>VLOOKUP(Tabla4[[#This Row],[CODIGO]],'ESTADOS ESTUDIANTES'!B:M,12,0)</f>
        <v>2024-3</v>
      </c>
      <c r="J176" s="171" t="s">
        <v>60</v>
      </c>
      <c r="K176" s="171" t="s">
        <v>699</v>
      </c>
      <c r="L176" s="171" t="s">
        <v>303</v>
      </c>
      <c r="M176" s="169"/>
      <c r="N176" s="189">
        <v>44540</v>
      </c>
      <c r="O176" s="188">
        <v>2021</v>
      </c>
      <c r="P176" s="171" t="s">
        <v>137</v>
      </c>
      <c r="Q176" s="171" t="s">
        <v>369</v>
      </c>
      <c r="R176" s="190">
        <v>44540</v>
      </c>
      <c r="S176" s="190">
        <f>IF(Tabla4[[#This Row],[FECHA DE ACEPTACION DEL GRUP. INV.]]="","",DATE(YEAR(Tabla4[[#This Row],[FECHA DE ACEPTACION DEL GRUP. INV.]])+2,MONTH(Tabla4[[#This Row],[FECHA DE ACEPTACION DEL GRUP. INV.]]),DAY(Tabla4[[#This Row],[FECHA DE ACEPTACION DEL GRUP. INV.]])))</f>
        <v>45270</v>
      </c>
      <c r="T176" s="190" t="str">
        <f ca="1">IF(Tabla4[[#This Row],[FECHA DE ACEPTACION DEL GRUP. INV.]]="","",IF(Tabla4[[#This Row],[FECHA DE VENCIMIENTO ANTE PROYECTO]]&lt;TODAY(),"SÍ","NO"))</f>
        <v>SÍ</v>
      </c>
      <c r="U176" s="237" t="s">
        <v>48</v>
      </c>
      <c r="V176" s="237"/>
      <c r="W176" s="171"/>
      <c r="X176" s="171"/>
      <c r="Y176" s="189"/>
      <c r="Z176" s="191"/>
      <c r="AA176" s="189">
        <v>45604</v>
      </c>
      <c r="AB176" s="191">
        <v>136</v>
      </c>
      <c r="AC176" s="110" t="s">
        <v>79</v>
      </c>
      <c r="AD176" s="171" t="s">
        <v>700</v>
      </c>
      <c r="AE176" s="190">
        <v>45525</v>
      </c>
      <c r="AF176" s="190" t="s">
        <v>701</v>
      </c>
      <c r="AG176" s="169" t="s">
        <v>702</v>
      </c>
      <c r="AH176" s="169">
        <v>2023</v>
      </c>
      <c r="AI176" s="169" t="s">
        <v>99</v>
      </c>
      <c r="AJ176" s="170">
        <f>IFERROR(VLOOKUP(AI176,Listas!K:L,2,0),"")</f>
        <v>0.2</v>
      </c>
      <c r="AK176" s="21">
        <f>IFERROR(VLOOKUP(AJ176,Listas!L:M,2,0),"")</f>
        <v>10</v>
      </c>
      <c r="AL176" s="190">
        <v>45525</v>
      </c>
      <c r="AM176" s="169" t="s">
        <v>703</v>
      </c>
      <c r="AN176" s="189">
        <v>45525</v>
      </c>
      <c r="AO176" s="169" t="s">
        <v>289</v>
      </c>
      <c r="AP176" s="189"/>
      <c r="AQ176" s="189"/>
      <c r="AR176" s="187"/>
      <c r="AS176" s="187"/>
      <c r="AT176" s="169"/>
      <c r="AU176" s="169" t="s">
        <v>323</v>
      </c>
      <c r="AV176" s="189"/>
      <c r="AW176" s="189"/>
      <c r="AX176" s="187"/>
      <c r="AY176" s="187"/>
      <c r="AZ176" s="169"/>
      <c r="BA176" s="189"/>
      <c r="BB176" s="187" t="str">
        <f>IFERROR(AVERAGE(AR176,AS176,AX176,AY176),"")</f>
        <v/>
      </c>
      <c r="BC176" s="353" t="e">
        <f t="shared" si="17"/>
        <v>#VALUE!</v>
      </c>
      <c r="BD176" s="353" t="e">
        <f t="shared" si="18"/>
        <v>#VALUE!</v>
      </c>
      <c r="BE176" s="169"/>
      <c r="BF176" s="169"/>
      <c r="BG176" s="234" t="str">
        <f t="shared" si="19"/>
        <v/>
      </c>
    </row>
    <row r="177" spans="1:60" s="682" customFormat="1" ht="15" hidden="1">
      <c r="A177" s="703"/>
      <c r="B177" s="677"/>
      <c r="C177" s="677" t="e">
        <f>VLOOKUP(A177,'ESTADOS ESTUDIANTES'!B:L,11,0)</f>
        <v>#N/A</v>
      </c>
      <c r="D177" s="677" t="e">
        <f>VLOOKUP(A177,'Datos Personales'!$A:$M,3,FALSE)</f>
        <v>#N/A</v>
      </c>
      <c r="E177" s="677" t="e">
        <f>VLOOKUP(Tabla4[[#This Row],[ENFASIS]],Listas!$R$2:$S$8,2,0)</f>
        <v>#N/A</v>
      </c>
      <c r="F177" s="678" t="e">
        <f>VLOOKUP(A177,'Datos Personales'!A:M,8,0)</f>
        <v>#N/A</v>
      </c>
      <c r="G177" s="678" t="e">
        <f>VLOOKUP(A177,'Datos Personales'!A:M,9,0)</f>
        <v>#N/A</v>
      </c>
      <c r="H177" s="678" t="e">
        <f>VLOOKUP(A177,'Datos Personales'!A:M,5,FALSE)</f>
        <v>#N/A</v>
      </c>
      <c r="I177" s="677" t="e">
        <f>VLOOKUP(Tabla4[[#This Row],[CODIGO]],'ESTADOS ESTUDIANTES'!B:M,12,0)</f>
        <v>#N/A</v>
      </c>
      <c r="J177" s="678"/>
      <c r="K177" s="678"/>
      <c r="L177" s="678"/>
      <c r="M177" s="680"/>
      <c r="N177" s="704"/>
      <c r="O177" s="677"/>
      <c r="P177" s="678"/>
      <c r="Q177" s="678"/>
      <c r="R177" s="679"/>
      <c r="S177" s="679" t="str">
        <f>IF(Tabla4[[#This Row],[FECHA DE ACEPTACION DEL GRUP. INV.]]="","",DATE(YEAR(Tabla4[[#This Row],[FECHA DE ACEPTACION DEL GRUP. INV.]])+2,MONTH(Tabla4[[#This Row],[FECHA DE ACEPTACION DEL GRUP. INV.]]),DAY(Tabla4[[#This Row],[FECHA DE ACEPTACION DEL GRUP. INV.]])))</f>
        <v/>
      </c>
      <c r="T177" s="679" t="str">
        <f ca="1">IF(Tabla4[[#This Row],[FECHA DE ACEPTACION DEL GRUP. INV.]]="","",IF(Tabla4[[#This Row],[FECHA DE VENCIMIENTO ANTE PROYECTO]]&lt;TODAY(),"SÍ","NO"))</f>
        <v/>
      </c>
      <c r="U177" s="679"/>
      <c r="V177" s="679"/>
      <c r="W177" s="678"/>
      <c r="X177" s="678"/>
      <c r="Y177" s="704"/>
      <c r="Z177" s="705"/>
      <c r="AA177" s="704"/>
      <c r="AB177" s="705"/>
      <c r="AC177" s="680"/>
      <c r="AD177" s="678"/>
      <c r="AE177" s="679"/>
      <c r="AF177" s="679"/>
      <c r="AG177" s="680"/>
      <c r="AH177" s="680"/>
      <c r="AI177" s="680"/>
      <c r="AJ177" s="706"/>
      <c r="AK177" s="706"/>
      <c r="AL177" s="704"/>
      <c r="AM177" s="680"/>
      <c r="AN177" s="704"/>
      <c r="AO177" s="680"/>
      <c r="AP177" s="704"/>
      <c r="AQ177" s="704"/>
      <c r="AR177" s="707"/>
      <c r="AS177" s="707"/>
      <c r="AT177" s="680"/>
      <c r="AU177" s="680"/>
      <c r="AV177" s="704"/>
      <c r="AW177" s="704"/>
      <c r="AX177" s="707"/>
      <c r="AY177" s="707"/>
      <c r="AZ177" s="680"/>
      <c r="BA177" s="704"/>
      <c r="BB177" s="707"/>
      <c r="BC177" s="708">
        <f>(BB177*0.8)/10</f>
        <v>0</v>
      </c>
      <c r="BD177" s="708">
        <f>SUM(BC177,AK177)</f>
        <v>0</v>
      </c>
      <c r="BE177" s="680"/>
      <c r="BF177" s="680"/>
      <c r="BG177" s="681" t="e">
        <f t="shared" si="19"/>
        <v>#N/A</v>
      </c>
    </row>
    <row r="178" spans="1:60" s="339" customFormat="1" ht="30" hidden="1">
      <c r="A178" s="373">
        <v>20221195001</v>
      </c>
      <c r="B178" s="275" t="str">
        <f>VLOOKUP(A178,'Datos Personales'!A:M,2,FALSE)</f>
        <v>MARTINEZ MORENO KAREN GERALDINE</v>
      </c>
      <c r="C178" s="275">
        <f>VLOOKUP(A178,'ESTADOS ESTUDIANTES'!B:L,11,0)</f>
        <v>1023935057</v>
      </c>
      <c r="D178" s="275">
        <f>VLOOKUP(A178,'Datos Personales'!$A:$M,3,FALSE)</f>
        <v>195</v>
      </c>
      <c r="E178" s="275" t="str">
        <f>VLOOKUP(Tabla4[[#This Row],[ENFASIS]],Listas!$R$2:$S$8,2,0)</f>
        <v>EN TELEINF.</v>
      </c>
      <c r="F178" s="275" t="str">
        <f>VLOOKUP(A178,'Datos Personales'!A:M,8,0)</f>
        <v>kgmartinezm@udistrital.edu.co</v>
      </c>
      <c r="G178" s="275" t="str">
        <f>VLOOKUP(A178,'Datos Personales'!A:M,9,0)</f>
        <v>kgmartinezm@gmail.com</v>
      </c>
      <c r="H178" s="275" t="str">
        <f>VLOOKUP(A178,'Datos Personales'!A:M,5,FALSE)</f>
        <v>A</v>
      </c>
      <c r="I178" s="275" t="str">
        <f>VLOOKUP(Tabla4[[#This Row],[CODIGO]],'ESTADOS ESTUDIANTES'!B:M,12,0)</f>
        <v>2026-3</v>
      </c>
      <c r="J178" s="98" t="s">
        <v>60</v>
      </c>
      <c r="K178" s="651" t="s">
        <v>704</v>
      </c>
      <c r="L178" s="651" t="s">
        <v>705</v>
      </c>
      <c r="M178" s="110"/>
      <c r="N178" s="658">
        <v>44727</v>
      </c>
      <c r="O178" s="659">
        <v>2022</v>
      </c>
      <c r="P178" s="98"/>
      <c r="Q178" s="98"/>
      <c r="R178" s="663"/>
      <c r="S178" s="663" t="str">
        <f>IF(Tabla4[[#This Row],[FECHA DE ACEPTACION DEL GRUP. INV.]]="","",DATE(YEAR(Tabla4[[#This Row],[FECHA DE ACEPTACION DEL GRUP. INV.]])+2,MONTH(Tabla4[[#This Row],[FECHA DE ACEPTACION DEL GRUP. INV.]]),DAY(Tabla4[[#This Row],[FECHA DE ACEPTACION DEL GRUP. INV.]])))</f>
        <v/>
      </c>
      <c r="T178" s="663" t="str">
        <f ca="1">IF(Tabla4[[#This Row],[FECHA DE ACEPTACION DEL GRUP. INV.]]="","",IF(Tabla4[[#This Row],[FECHA DE VENCIMIENTO ANTE PROYECTO]]&lt;TODAY(),"SÍ","NO"))</f>
        <v/>
      </c>
      <c r="U178" s="626"/>
      <c r="V178" s="237"/>
      <c r="W178" s="231"/>
      <c r="X178" s="231"/>
      <c r="Y178" s="189"/>
      <c r="Z178" s="191"/>
      <c r="AA178" s="189"/>
      <c r="AB178" s="191"/>
      <c r="AC178" s="169"/>
      <c r="AD178" s="171"/>
      <c r="AE178" s="190"/>
      <c r="AF178" s="190"/>
      <c r="AG178" s="169"/>
      <c r="AH178" s="169"/>
      <c r="AI178" s="169"/>
      <c r="AJ178" s="193" t="str">
        <f>IFERROR(VLOOKUP(AI178,Listas!K:L,2,0),"")</f>
        <v/>
      </c>
      <c r="AK178" s="187" t="str">
        <f>IFERROR(VLOOKUP(AJ178,Listas!L:M,2,0),"")</f>
        <v/>
      </c>
      <c r="AL178" s="189"/>
      <c r="AM178" s="169"/>
      <c r="AN178" s="189"/>
      <c r="AO178" s="169"/>
      <c r="AP178" s="189"/>
      <c r="AQ178" s="189"/>
      <c r="AR178" s="187"/>
      <c r="AS178" s="187"/>
      <c r="AT178" s="169"/>
      <c r="AU178" s="169"/>
      <c r="AV178" s="189"/>
      <c r="AW178" s="189"/>
      <c r="AX178" s="187"/>
      <c r="AY178" s="187"/>
      <c r="AZ178" s="169"/>
      <c r="BA178" s="189"/>
      <c r="BB178" s="187" t="str">
        <f>IFERROR(AVERAGE(AR178,AS178,AX178,AY178),"")</f>
        <v/>
      </c>
      <c r="BC178" s="187" t="e">
        <f t="shared" si="17"/>
        <v>#VALUE!</v>
      </c>
      <c r="BD178" s="187" t="e">
        <f t="shared" si="18"/>
        <v>#VALUE!</v>
      </c>
      <c r="BE178" s="169"/>
      <c r="BF178" s="169"/>
      <c r="BG178" s="234" t="str">
        <f t="shared" si="19"/>
        <v>Miguel Melgarejo</v>
      </c>
    </row>
    <row r="179" spans="1:60" ht="15" hidden="1">
      <c r="A179" s="21">
        <v>20221195002</v>
      </c>
      <c r="B179" s="19" t="str">
        <f>VLOOKUP(A179,'Datos Personales'!A:M,2,FALSE)</f>
        <v>NIÑO RIVERA JUAN JOSE</v>
      </c>
      <c r="C179" s="19">
        <f>VLOOKUP(A179,'ESTADOS ESTUDIANTES'!B:L,11,0)</f>
        <v>79628479</v>
      </c>
      <c r="D179" s="19">
        <f>VLOOKUP(A179,'Datos Personales'!$A:$M,3,FALSE)</f>
        <v>195</v>
      </c>
      <c r="E179" s="19" t="str">
        <f>VLOOKUP(Tabla4[[#This Row],[ENFASIS]],Listas!$R$2:$S$8,2,0)</f>
        <v>EN TELEINF.</v>
      </c>
      <c r="F179" s="19">
        <f>VLOOKUP(A179,'Datos Personales'!A:M,8,0)</f>
        <v>0</v>
      </c>
      <c r="G179" s="19" t="str">
        <f>VLOOKUP(A179,'Datos Personales'!A:M,9,0)</f>
        <v>jnino82@hotmail.com</v>
      </c>
      <c r="H179" s="19" t="str">
        <f>VLOOKUP(A179,'Datos Personales'!A:M,5,FALSE)</f>
        <v>N</v>
      </c>
      <c r="I179" s="19" t="str">
        <f>VLOOKUP(Tabla4[[#This Row],[CODIGO]],'ESTADOS ESTUDIANTES'!B:M,12,0)</f>
        <v>-</v>
      </c>
      <c r="J179" s="23"/>
      <c r="K179" s="23"/>
      <c r="L179" s="23"/>
      <c r="M179" s="23"/>
      <c r="N179" s="96"/>
      <c r="O179" s="23"/>
      <c r="P179" s="23"/>
      <c r="Q179" s="23"/>
      <c r="R179" s="124"/>
      <c r="S179" s="124" t="str">
        <f>IF(Tabla4[[#This Row],[FECHA DE ACEPTACION DEL GRUP. INV.]]="","",DATE(YEAR(Tabla4[[#This Row],[FECHA DE ACEPTACION DEL GRUP. INV.]])+2,MONTH(Tabla4[[#This Row],[FECHA DE ACEPTACION DEL GRUP. INV.]]),DAY(Tabla4[[#This Row],[FECHA DE ACEPTACION DEL GRUP. INV.]])))</f>
        <v/>
      </c>
      <c r="T179" s="124" t="str">
        <f ca="1">IF(Tabla4[[#This Row],[FECHA DE ACEPTACION DEL GRUP. INV.]]="","",IF(Tabla4[[#This Row],[FECHA DE VENCIMIENTO ANTE PROYECTO]]&lt;TODAY(),"SÍ","NO"))</f>
        <v/>
      </c>
      <c r="U179" s="124"/>
      <c r="V179" s="124"/>
      <c r="W179" s="18"/>
      <c r="X179" s="18"/>
      <c r="Y179" s="96"/>
      <c r="Z179" s="97"/>
      <c r="AA179" s="96"/>
      <c r="AB179" s="97"/>
      <c r="AC179" s="110"/>
      <c r="AD179" s="18"/>
      <c r="AE179" s="124"/>
      <c r="AF179" s="124"/>
      <c r="AG179" s="169"/>
      <c r="AH179" s="169"/>
      <c r="AI179" s="169"/>
      <c r="AJ179" s="170" t="str">
        <f>IFERROR(VLOOKUP(AI179,Listas!K:L,2,0),"")</f>
        <v/>
      </c>
      <c r="AK179" s="21" t="str">
        <f>IFERROR(VLOOKUP(AJ179,Listas!L:M,2,0),"")</f>
        <v/>
      </c>
      <c r="AL179" s="96"/>
      <c r="AM179" s="23"/>
      <c r="AN179" s="96"/>
      <c r="AO179" s="23"/>
      <c r="AP179" s="96"/>
      <c r="AQ179" s="96"/>
      <c r="AR179" s="21"/>
      <c r="AS179" s="21"/>
      <c r="AT179" s="23"/>
      <c r="AU179" s="23"/>
      <c r="AV179" s="96"/>
      <c r="AW179" s="96"/>
      <c r="AX179" s="21"/>
      <c r="AY179" s="21"/>
      <c r="AZ179" s="23"/>
      <c r="BA179" s="96"/>
      <c r="BB179" s="18" t="str">
        <f>IFERROR(ROUND(AVERAGE(AY179,AX179,AS179,AR179),0),"")</f>
        <v/>
      </c>
      <c r="BC179" s="338" t="e">
        <f t="shared" si="17"/>
        <v>#VALUE!</v>
      </c>
      <c r="BD179" s="338" t="e">
        <f t="shared" si="18"/>
        <v>#VALUE!</v>
      </c>
      <c r="BE179" s="23"/>
      <c r="BF179" s="23"/>
      <c r="BG179" s="347" t="str">
        <f t="shared" si="19"/>
        <v/>
      </c>
    </row>
    <row r="180" spans="1:60" ht="60" hidden="1">
      <c r="A180" s="187">
        <v>20221395001</v>
      </c>
      <c r="B180" s="188" t="str">
        <f>VLOOKUP(A180,'Datos Personales'!A:M,2,FALSE)</f>
        <v>ANGEL VILLAREAL SERGIO LEONARDO</v>
      </c>
      <c r="C180" s="188">
        <f>VLOOKUP(A180,'ESTADOS ESTUDIANTES'!B:L,11,0)</f>
        <v>1030631243</v>
      </c>
      <c r="D180" s="188">
        <f>VLOOKUP(A180,'Datos Personales'!$A:$M,3,FALSE)</f>
        <v>395</v>
      </c>
      <c r="E180" s="188" t="str">
        <f>VLOOKUP(Tabla4[[#This Row],[ENFASIS]],Listas!$R$2:$S$8,2,0)</f>
        <v>ENFASIS EN GEOMATICA</v>
      </c>
      <c r="F180" s="188" t="str">
        <f>VLOOKUP(A180,'Datos Personales'!A:M,8,0)</f>
        <v>slangelv@udistrital.edu.co</v>
      </c>
      <c r="G180" s="188" t="str">
        <f>VLOOKUP(A180,'Datos Personales'!A:M,9,0)</f>
        <v>angelvsergio@gmail.com</v>
      </c>
      <c r="H180" s="188" t="str">
        <f>VLOOKUP(A180,'Datos Personales'!A:M,5,FALSE)</f>
        <v>X</v>
      </c>
      <c r="I180" s="188" t="str">
        <f>VLOOKUP(Tabla4[[#This Row],[CODIGO]],'ESTADOS ESTUDIANTES'!B:M,12,0)</f>
        <v>2025-1</v>
      </c>
      <c r="J180" s="169" t="s">
        <v>60</v>
      </c>
      <c r="K180" s="169" t="s">
        <v>706</v>
      </c>
      <c r="L180" s="171" t="s">
        <v>309</v>
      </c>
      <c r="M180" s="169"/>
      <c r="N180" s="189">
        <v>44727</v>
      </c>
      <c r="O180" s="188">
        <v>2022</v>
      </c>
      <c r="P180" s="171" t="s">
        <v>131</v>
      </c>
      <c r="Q180" s="171" t="s">
        <v>309</v>
      </c>
      <c r="R180" s="190"/>
      <c r="S180" s="190" t="str">
        <f>IF(Tabla4[[#This Row],[FECHA DE ACEPTACION DEL GRUP. INV.]]="","",DATE(YEAR(Tabla4[[#This Row],[FECHA DE ACEPTACION DEL GRUP. INV.]])+2,MONTH(Tabla4[[#This Row],[FECHA DE ACEPTACION DEL GRUP. INV.]]),DAY(Tabla4[[#This Row],[FECHA DE ACEPTACION DEL GRUP. INV.]])))</f>
        <v/>
      </c>
      <c r="T180" s="190" t="str">
        <f ca="1">IF(Tabla4[[#This Row],[FECHA DE ACEPTACION DEL GRUP. INV.]]="","",IF(Tabla4[[#This Row],[FECHA DE VENCIMIENTO ANTE PROYECTO]]&lt;TODAY(),"SÍ","NO"))</f>
        <v/>
      </c>
      <c r="U180" s="190"/>
      <c r="V180" s="190"/>
      <c r="W180" s="171"/>
      <c r="X180" s="171"/>
      <c r="Y180" s="189"/>
      <c r="Z180" s="191"/>
      <c r="AA180" s="189"/>
      <c r="AB180" s="191"/>
      <c r="AC180" s="169"/>
      <c r="AD180" s="171"/>
      <c r="AE180" s="190"/>
      <c r="AF180" s="190"/>
      <c r="AG180" s="169"/>
      <c r="AH180" s="169"/>
      <c r="AI180" s="169"/>
      <c r="AJ180" s="193" t="str">
        <f>IFERROR(VLOOKUP(AI180,Listas!K:L,2,0),"")</f>
        <v/>
      </c>
      <c r="AK180" s="187" t="str">
        <f>IFERROR(VLOOKUP(AJ180,Listas!L:M,2,0),"")</f>
        <v/>
      </c>
      <c r="AL180" s="189"/>
      <c r="AM180" s="169"/>
      <c r="AN180" s="189"/>
      <c r="AO180" s="169"/>
      <c r="AP180" s="189"/>
      <c r="AQ180" s="189"/>
      <c r="AR180" s="187"/>
      <c r="AS180" s="187"/>
      <c r="AT180" s="169"/>
      <c r="AU180" s="169"/>
      <c r="AV180" s="189"/>
      <c r="AW180" s="189"/>
      <c r="AX180" s="187"/>
      <c r="AY180" s="187"/>
      <c r="AZ180" s="169"/>
      <c r="BA180" s="189"/>
      <c r="BB180" s="232" t="str">
        <f>IFERROR(AVERAGE(AR180,AS180,AX180,AY180),"")</f>
        <v/>
      </c>
      <c r="BC180" s="232" t="e">
        <f t="shared" si="17"/>
        <v>#VALUE!</v>
      </c>
      <c r="BD180" s="232" t="e">
        <f t="shared" si="18"/>
        <v>#VALUE!</v>
      </c>
      <c r="BE180" s="169"/>
      <c r="BF180" s="169"/>
      <c r="BG180" s="234" t="str">
        <f t="shared" si="19"/>
        <v/>
      </c>
    </row>
    <row r="181" spans="1:60" s="339" customFormat="1" ht="15" hidden="1">
      <c r="A181" s="21">
        <v>20221395005</v>
      </c>
      <c r="B181" s="19" t="str">
        <f>VLOOKUP(A181,'Datos Personales'!A:M,2,FALSE)</f>
        <v>MENDOZA RINCON JORGE ALIRIO</v>
      </c>
      <c r="C181" s="19">
        <f>VLOOKUP(A181,'ESTADOS ESTUDIANTES'!B:L,11,0)</f>
        <v>4211815</v>
      </c>
      <c r="D181" s="19">
        <f>VLOOKUP(A181,'Datos Personales'!$A:$M,3,FALSE)</f>
        <v>395</v>
      </c>
      <c r="E181" s="19" t="str">
        <f>VLOOKUP(Tabla4[[#This Row],[ENFASIS]],Listas!$R$2:$S$8,2,0)</f>
        <v>ENFASIS EN GEOMATICA</v>
      </c>
      <c r="F181" s="19">
        <f>VLOOKUP(A181,'Datos Personales'!A:M,8,0)</f>
        <v>0</v>
      </c>
      <c r="G181" s="19" t="str">
        <f>VLOOKUP(A181,'Datos Personales'!A:M,9,0)</f>
        <v>aliriomri@gmail.com</v>
      </c>
      <c r="H181" s="19" t="str">
        <f>VLOOKUP(A181,'Datos Personales'!A:M,5,FALSE)</f>
        <v>X</v>
      </c>
      <c r="I181" s="19" t="str">
        <f>VLOOKUP(Tabla4[[#This Row],[CODIGO]],'ESTADOS ESTUDIANTES'!B:M,12,0)</f>
        <v>2022-1</v>
      </c>
      <c r="J181" s="23"/>
      <c r="K181" s="23"/>
      <c r="L181" s="23"/>
      <c r="M181" s="23"/>
      <c r="N181" s="96"/>
      <c r="O181" s="23"/>
      <c r="P181" s="23"/>
      <c r="Q181" s="23"/>
      <c r="R181" s="124"/>
      <c r="S181" s="124" t="str">
        <f>IF(Tabla4[[#This Row],[FECHA DE ACEPTACION DEL GRUP. INV.]]="","",DATE(YEAR(Tabla4[[#This Row],[FECHA DE ACEPTACION DEL GRUP. INV.]])+2,MONTH(Tabla4[[#This Row],[FECHA DE ACEPTACION DEL GRUP. INV.]]),DAY(Tabla4[[#This Row],[FECHA DE ACEPTACION DEL GRUP. INV.]])))</f>
        <v/>
      </c>
      <c r="T181" s="124" t="str">
        <f ca="1">IF(Tabla4[[#This Row],[FECHA DE ACEPTACION DEL GRUP. INV.]]="","",IF(Tabla4[[#This Row],[FECHA DE VENCIMIENTO ANTE PROYECTO]]&lt;TODAY(),"SÍ","NO"))</f>
        <v/>
      </c>
      <c r="U181" s="124"/>
      <c r="V181" s="124"/>
      <c r="W181" s="18"/>
      <c r="X181" s="18"/>
      <c r="Y181" s="96"/>
      <c r="Z181" s="97"/>
      <c r="AA181" s="96"/>
      <c r="AB181" s="97"/>
      <c r="AC181" s="110"/>
      <c r="AD181" s="18"/>
      <c r="AE181" s="124"/>
      <c r="AF181" s="124"/>
      <c r="AG181" s="169"/>
      <c r="AH181" s="169"/>
      <c r="AI181" s="169"/>
      <c r="AJ181" s="170" t="str">
        <f>IFERROR(VLOOKUP(AI181,Listas!K:L,2,0),"")</f>
        <v/>
      </c>
      <c r="AK181" s="21" t="str">
        <f>IFERROR(VLOOKUP(AJ181,Listas!L:M,2,0),"")</f>
        <v/>
      </c>
      <c r="AL181" s="96"/>
      <c r="AM181" s="23"/>
      <c r="AN181" s="96"/>
      <c r="AO181" s="23"/>
      <c r="AP181" s="96"/>
      <c r="AQ181" s="96"/>
      <c r="AR181" s="21"/>
      <c r="AS181" s="21"/>
      <c r="AT181" s="23"/>
      <c r="AU181" s="23"/>
      <c r="AV181" s="96"/>
      <c r="AW181" s="96"/>
      <c r="AX181" s="21"/>
      <c r="AY181" s="21"/>
      <c r="AZ181" s="23"/>
      <c r="BA181" s="96"/>
      <c r="BB181" s="21"/>
      <c r="BC181" s="338" t="e">
        <f t="shared" si="17"/>
        <v>#VALUE!</v>
      </c>
      <c r="BD181" s="338" t="e">
        <f t="shared" si="18"/>
        <v>#VALUE!</v>
      </c>
      <c r="BE181" s="23"/>
      <c r="BF181" s="23"/>
      <c r="BG181" s="347" t="str">
        <f t="shared" si="19"/>
        <v/>
      </c>
    </row>
    <row r="182" spans="1:60" s="339" customFormat="1" ht="30" hidden="1">
      <c r="A182" s="21">
        <v>20221395007</v>
      </c>
      <c r="B182" s="19" t="str">
        <f>VLOOKUP(A182,'Datos Personales'!A:M,2,FALSE)</f>
        <v>PULIDO CASTILLO DIEGO MAURICIO</v>
      </c>
      <c r="C182" s="19">
        <f>VLOOKUP(A182,'ESTADOS ESTUDIANTES'!B:L,11,0)</f>
        <v>1136882132</v>
      </c>
      <c r="D182" s="19">
        <f>VLOOKUP(A182,'Datos Personales'!$A:$M,3,FALSE)</f>
        <v>395</v>
      </c>
      <c r="E182" s="19" t="str">
        <f>VLOOKUP(Tabla4[[#This Row],[ENFASIS]],Listas!$R$2:$S$8,2,0)</f>
        <v>ENFASIS EN GEOMATICA</v>
      </c>
      <c r="F182" s="19">
        <f>VLOOKUP(A182,'Datos Personales'!A:M,8,0)</f>
        <v>0</v>
      </c>
      <c r="G182" s="19" t="str">
        <f>VLOOKUP(A182,'Datos Personales'!A:M,9,0)</f>
        <v>dmpulidoc@correo.udistrital.edu.co</v>
      </c>
      <c r="H182" s="19" t="str">
        <f>VLOOKUP(A182,'Datos Personales'!A:M,5,FALSE)</f>
        <v>N</v>
      </c>
      <c r="I182" s="19" t="str">
        <f>VLOOKUP(Tabla4[[#This Row],[CODIGO]],'ESTADOS ESTUDIANTES'!B:M,12,0)</f>
        <v>-</v>
      </c>
      <c r="J182" s="23"/>
      <c r="K182" s="23"/>
      <c r="L182" s="23"/>
      <c r="M182" s="23"/>
      <c r="N182" s="96"/>
      <c r="O182" s="23"/>
      <c r="P182" s="23"/>
      <c r="Q182" s="23"/>
      <c r="R182" s="124"/>
      <c r="S182" s="124" t="str">
        <f>IF(Tabla4[[#This Row],[FECHA DE ACEPTACION DEL GRUP. INV.]]="","",DATE(YEAR(Tabla4[[#This Row],[FECHA DE ACEPTACION DEL GRUP. INV.]])+2,MONTH(Tabla4[[#This Row],[FECHA DE ACEPTACION DEL GRUP. INV.]]),DAY(Tabla4[[#This Row],[FECHA DE ACEPTACION DEL GRUP. INV.]])))</f>
        <v/>
      </c>
      <c r="T182" s="124" t="str">
        <f ca="1">IF(Tabla4[[#This Row],[FECHA DE ACEPTACION DEL GRUP. INV.]]="","",IF(Tabla4[[#This Row],[FECHA DE VENCIMIENTO ANTE PROYECTO]]&lt;TODAY(),"SÍ","NO"))</f>
        <v/>
      </c>
      <c r="U182" s="124"/>
      <c r="V182" s="124"/>
      <c r="W182" s="18"/>
      <c r="X182" s="18"/>
      <c r="Y182" s="96"/>
      <c r="Z182" s="97"/>
      <c r="AA182" s="96"/>
      <c r="AB182" s="97"/>
      <c r="AC182" s="110"/>
      <c r="AD182" s="18"/>
      <c r="AE182" s="124"/>
      <c r="AF182" s="124"/>
      <c r="AG182" s="169"/>
      <c r="AH182" s="169"/>
      <c r="AI182" s="169"/>
      <c r="AJ182" s="170" t="str">
        <f>IFERROR(VLOOKUP(AI182,Listas!K:L,2,0),"")</f>
        <v/>
      </c>
      <c r="AK182" s="21" t="str">
        <f>IFERROR(VLOOKUP(AJ182,Listas!L:M,2,0),"")</f>
        <v/>
      </c>
      <c r="AL182" s="96"/>
      <c r="AM182" s="23"/>
      <c r="AN182" s="96"/>
      <c r="AO182" s="23"/>
      <c r="AP182" s="96"/>
      <c r="AQ182" s="96"/>
      <c r="AR182" s="21"/>
      <c r="AS182" s="21"/>
      <c r="AT182" s="23"/>
      <c r="AU182" s="23"/>
      <c r="AV182" s="96"/>
      <c r="AW182" s="96"/>
      <c r="AX182" s="21"/>
      <c r="AY182" s="21"/>
      <c r="AZ182" s="23"/>
      <c r="BA182" s="96"/>
      <c r="BB182" s="21"/>
      <c r="BC182" s="338" t="e">
        <f t="shared" si="17"/>
        <v>#VALUE!</v>
      </c>
      <c r="BD182" s="338" t="e">
        <f t="shared" si="18"/>
        <v>#VALUE!</v>
      </c>
      <c r="BE182" s="23"/>
      <c r="BF182" s="23"/>
      <c r="BG182" s="347" t="str">
        <f t="shared" si="19"/>
        <v/>
      </c>
    </row>
    <row r="183" spans="1:60" s="339" customFormat="1" ht="30" hidden="1">
      <c r="A183" s="21">
        <v>20221395008</v>
      </c>
      <c r="B183" s="19" t="str">
        <f>VLOOKUP(A183,'Datos Personales'!A:M,2,FALSE)</f>
        <v>RODRIGUEZ LAYTON DANIEL MIGUEL</v>
      </c>
      <c r="C183" s="19">
        <f>VLOOKUP(A183,'ESTADOS ESTUDIANTES'!B:L,11,0)</f>
        <v>1016031602</v>
      </c>
      <c r="D183" s="19">
        <f>VLOOKUP(A183,'Datos Personales'!$A:$M,3,FALSE)</f>
        <v>395</v>
      </c>
      <c r="E183" s="19" t="str">
        <f>VLOOKUP(Tabla4[[#This Row],[ENFASIS]],Listas!$R$2:$S$8,2,0)</f>
        <v>ENFASIS EN GEOMATICA</v>
      </c>
      <c r="F183" s="19">
        <f>VLOOKUP(A183,'Datos Personales'!A:M,8,0)</f>
        <v>0</v>
      </c>
      <c r="G183" s="19" t="str">
        <f>VLOOKUP(A183,'Datos Personales'!A:M,9,0)</f>
        <v>dmrodriguezl@correo.udistrital.edu.co</v>
      </c>
      <c r="H183" s="19" t="str">
        <f>VLOOKUP(A183,'Datos Personales'!A:M,5,FALSE)</f>
        <v>N</v>
      </c>
      <c r="I183" s="19" t="str">
        <f>VLOOKUP(Tabla4[[#This Row],[CODIGO]],'ESTADOS ESTUDIANTES'!B:M,12,0)</f>
        <v>-</v>
      </c>
      <c r="J183" s="23"/>
      <c r="K183" s="23"/>
      <c r="L183" s="23"/>
      <c r="M183" s="23"/>
      <c r="N183" s="96"/>
      <c r="O183" s="23"/>
      <c r="P183" s="23"/>
      <c r="Q183" s="23"/>
      <c r="R183" s="124"/>
      <c r="S183" s="124" t="str">
        <f>IF(Tabla4[[#This Row],[FECHA DE ACEPTACION DEL GRUP. INV.]]="","",DATE(YEAR(Tabla4[[#This Row],[FECHA DE ACEPTACION DEL GRUP. INV.]])+2,MONTH(Tabla4[[#This Row],[FECHA DE ACEPTACION DEL GRUP. INV.]]),DAY(Tabla4[[#This Row],[FECHA DE ACEPTACION DEL GRUP. INV.]])))</f>
        <v/>
      </c>
      <c r="T183" s="124" t="str">
        <f ca="1">IF(Tabla4[[#This Row],[FECHA DE ACEPTACION DEL GRUP. INV.]]="","",IF(Tabla4[[#This Row],[FECHA DE VENCIMIENTO ANTE PROYECTO]]&lt;TODAY(),"SÍ","NO"))</f>
        <v/>
      </c>
      <c r="U183" s="124"/>
      <c r="V183" s="124"/>
      <c r="W183" s="18"/>
      <c r="X183" s="18"/>
      <c r="Y183" s="96"/>
      <c r="Z183" s="97"/>
      <c r="AA183" s="96"/>
      <c r="AB183" s="97"/>
      <c r="AC183" s="110"/>
      <c r="AD183" s="18"/>
      <c r="AE183" s="124"/>
      <c r="AF183" s="124"/>
      <c r="AG183" s="169"/>
      <c r="AH183" s="169"/>
      <c r="AI183" s="169"/>
      <c r="AJ183" s="170" t="str">
        <f>IFERROR(VLOOKUP(AI183,Listas!K:L,2,0),"")</f>
        <v/>
      </c>
      <c r="AK183" s="21" t="str">
        <f>IFERROR(VLOOKUP(AJ183,Listas!L:M,2,0),"")</f>
        <v/>
      </c>
      <c r="AL183" s="96"/>
      <c r="AM183" s="23"/>
      <c r="AN183" s="96"/>
      <c r="AO183" s="23"/>
      <c r="AP183" s="96"/>
      <c r="AQ183" s="96"/>
      <c r="AR183" s="21"/>
      <c r="AS183" s="21"/>
      <c r="AT183" s="23"/>
      <c r="AU183" s="23"/>
      <c r="AV183" s="96"/>
      <c r="AW183" s="96"/>
      <c r="AX183" s="21"/>
      <c r="AY183" s="21"/>
      <c r="AZ183" s="23"/>
      <c r="BA183" s="96"/>
      <c r="BB183" s="21"/>
      <c r="BC183" s="338" t="e">
        <f t="shared" si="17"/>
        <v>#VALUE!</v>
      </c>
      <c r="BD183" s="338" t="e">
        <f t="shared" si="18"/>
        <v>#VALUE!</v>
      </c>
      <c r="BE183" s="23"/>
      <c r="BF183" s="23"/>
      <c r="BG183" s="347" t="str">
        <f t="shared" si="19"/>
        <v/>
      </c>
    </row>
    <row r="184" spans="1:60" s="339" customFormat="1" ht="45" hidden="1">
      <c r="A184" s="662">
        <v>20221395009</v>
      </c>
      <c r="B184" s="659" t="str">
        <f>VLOOKUP(A184,'Datos Personales'!A:M,2,FALSE)</f>
        <v>JASON MAURICIO ROMERO RIOS</v>
      </c>
      <c r="C184" s="659">
        <f>VLOOKUP(A184,'ESTADOS ESTUDIANTES'!B:L,11,0)</f>
        <v>1032501251</v>
      </c>
      <c r="D184" s="659">
        <f>VLOOKUP(A184,'Datos Personales'!$A:$M,3,FALSE)</f>
        <v>395</v>
      </c>
      <c r="E184" s="659" t="str">
        <f>VLOOKUP(Tabla4[[#This Row],[ENFASIS]],Listas!$R$2:$S$8,2,0)</f>
        <v>ENFASIS EN GEOMATICA</v>
      </c>
      <c r="F184" s="659" t="str">
        <f>VLOOKUP(A184,'Datos Personales'!A:M,8,0)</f>
        <v>jamromeror@udistrital.edu.co</v>
      </c>
      <c r="G184" s="659" t="str">
        <f>VLOOKUP(A184,'Datos Personales'!A:M,9,0)</f>
        <v>jamromeror@udistrital.edu.co</v>
      </c>
      <c r="H184" s="659" t="str">
        <f>VLOOKUP(A184,'Datos Personales'!A:M,5,FALSE)</f>
        <v>A</v>
      </c>
      <c r="I184" s="659" t="str">
        <f>VLOOKUP(Tabla4[[#This Row],[CODIGO]],'ESTADOS ESTUDIANTES'!B:M,12,0)</f>
        <v>2026-3</v>
      </c>
      <c r="J184" s="651" t="s">
        <v>60</v>
      </c>
      <c r="K184" s="651" t="s">
        <v>707</v>
      </c>
      <c r="L184" s="651" t="s">
        <v>448</v>
      </c>
      <c r="M184" s="660"/>
      <c r="N184" s="658">
        <v>45905</v>
      </c>
      <c r="O184" s="659">
        <v>2025</v>
      </c>
      <c r="P184" s="651" t="s">
        <v>146</v>
      </c>
      <c r="Q184" s="651" t="s">
        <v>344</v>
      </c>
      <c r="R184" s="657">
        <v>46084</v>
      </c>
      <c r="S184" s="657">
        <f>IF(Tabla4[[#This Row],[FECHA DE ACEPTACION DEL GRUP. INV.]]="","",DATE(YEAR(Tabla4[[#This Row],[FECHA DE ACEPTACION DEL GRUP. INV.]])+2,MONTH(Tabla4[[#This Row],[FECHA DE ACEPTACION DEL GRUP. INV.]]),DAY(Tabla4[[#This Row],[FECHA DE ACEPTACION DEL GRUP. INV.]])))</f>
        <v>46815</v>
      </c>
      <c r="T184" s="657" t="str">
        <f ca="1">IF(Tabla4[[#This Row],[FECHA DE ACEPTACION DEL GRUP. INV.]]="","",IF(Tabla4[[#This Row],[FECHA DE VENCIMIENTO ANTE PROYECTO]]&lt;TODAY(),"SÍ","NO"))</f>
        <v>NO</v>
      </c>
      <c r="U184" s="657" t="s">
        <v>62</v>
      </c>
      <c r="V184" s="237"/>
      <c r="W184" s="231"/>
      <c r="X184" s="231"/>
      <c r="Y184" s="189"/>
      <c r="Z184" s="191"/>
      <c r="AA184" s="189"/>
      <c r="AB184" s="191"/>
      <c r="AC184" s="169"/>
      <c r="AD184" s="171"/>
      <c r="AE184" s="190"/>
      <c r="AF184" s="190"/>
      <c r="AG184" s="169"/>
      <c r="AH184" s="169"/>
      <c r="AI184" s="169"/>
      <c r="AJ184" s="193" t="str">
        <f>IFERROR(VLOOKUP(AI184,Listas!K:L,2,0),"")</f>
        <v/>
      </c>
      <c r="AK184" s="187" t="str">
        <f>IFERROR(VLOOKUP(AJ184,Listas!L:M,2,0),"")</f>
        <v/>
      </c>
      <c r="AL184" s="189"/>
      <c r="AM184" s="169"/>
      <c r="AN184" s="189"/>
      <c r="AO184" s="169"/>
      <c r="AP184" s="189"/>
      <c r="AQ184" s="189"/>
      <c r="AR184" s="187"/>
      <c r="AS184" s="187"/>
      <c r="AT184" s="169"/>
      <c r="AU184" s="169"/>
      <c r="AV184" s="189"/>
      <c r="AW184" s="189"/>
      <c r="AX184" s="187"/>
      <c r="AY184" s="187"/>
      <c r="AZ184" s="169"/>
      <c r="BA184" s="189"/>
      <c r="BB184" s="187" t="str">
        <f>IFERROR(AVERAGE(AR184,AS184,AX184,AY184),"")</f>
        <v/>
      </c>
      <c r="BC184" s="187" t="e">
        <f t="shared" si="17"/>
        <v>#VALUE!</v>
      </c>
      <c r="BD184" s="187" t="e">
        <f t="shared" si="18"/>
        <v>#VALUE!</v>
      </c>
      <c r="BE184" s="169"/>
      <c r="BF184" s="169"/>
      <c r="BG184" s="234" t="str">
        <f t="shared" si="19"/>
        <v>Carlos Eduardo Melo</v>
      </c>
      <c r="BH184" s="350"/>
    </row>
    <row r="185" spans="1:60" ht="45" hidden="1">
      <c r="A185" s="373">
        <v>20221395010</v>
      </c>
      <c r="B185" s="275" t="str">
        <f>VLOOKUP(A185,'Datos Personales'!A:M,2,FALSE)</f>
        <v>ROJAS NARANJO JORGE ELIECER</v>
      </c>
      <c r="C185" s="275">
        <f>VLOOKUP(A185,'ESTADOS ESTUDIANTES'!B:L,11,0)</f>
        <v>80903757</v>
      </c>
      <c r="D185" s="275">
        <f>VLOOKUP(A185,'Datos Personales'!$A:$M,3,FALSE)</f>
        <v>395</v>
      </c>
      <c r="E185" s="275" t="str">
        <f>VLOOKUP(Tabla4[[#This Row],[ENFASIS]],Listas!$R$2:$S$8,2,0)</f>
        <v>ENFASIS EN GEOMATICA</v>
      </c>
      <c r="F185" s="275" t="str">
        <f>VLOOKUP(A185,'Datos Personales'!A:M,8,0)</f>
        <v>jorerojasn@udistrital.edu.co</v>
      </c>
      <c r="G185" s="275" t="str">
        <f>VLOOKUP(A185,'Datos Personales'!A:M,9,0)</f>
        <v>jerojasn@gmail.com</v>
      </c>
      <c r="H185" s="275" t="str">
        <f>VLOOKUP(A185,'Datos Personales'!A:M,5,FALSE)</f>
        <v>V</v>
      </c>
      <c r="I185" s="275" t="str">
        <f>VLOOKUP(Tabla4[[#This Row],[CODIGO]],'ESTADOS ESTUDIANTES'!B:M,12,0)</f>
        <v>2026-1</v>
      </c>
      <c r="J185" s="98" t="s">
        <v>60</v>
      </c>
      <c r="K185" s="98" t="s">
        <v>708</v>
      </c>
      <c r="L185" s="98" t="s">
        <v>395</v>
      </c>
      <c r="M185" s="110"/>
      <c r="N185" s="624">
        <v>44727</v>
      </c>
      <c r="O185" s="275">
        <v>2022</v>
      </c>
      <c r="P185" s="98" t="s">
        <v>146</v>
      </c>
      <c r="Q185" s="98" t="s">
        <v>709</v>
      </c>
      <c r="R185" s="626">
        <v>44914</v>
      </c>
      <c r="S185" s="626">
        <f>IF(Tabla4[[#This Row],[FECHA DE ACEPTACION DEL GRUP. INV.]]="","",DATE(YEAR(Tabla4[[#This Row],[FECHA DE ACEPTACION DEL GRUP. INV.]])+2,MONTH(Tabla4[[#This Row],[FECHA DE ACEPTACION DEL GRUP. INV.]]),DAY(Tabla4[[#This Row],[FECHA DE ACEPTACION DEL GRUP. INV.]])))</f>
        <v>45645</v>
      </c>
      <c r="T185" s="626" t="str">
        <f ca="1">IF(Tabla4[[#This Row],[FECHA DE ACEPTACION DEL GRUP. INV.]]="","",IF(Tabla4[[#This Row],[FECHA DE VENCIMIENTO ANTE PROYECTO]]&lt;TODAY(),"SÍ","NO"))</f>
        <v>SÍ</v>
      </c>
      <c r="U185" s="626" t="s">
        <v>62</v>
      </c>
      <c r="V185" s="237"/>
      <c r="W185" s="231"/>
      <c r="X185" s="231"/>
      <c r="Y185" s="189"/>
      <c r="Z185" s="191"/>
      <c r="AA185" s="189"/>
      <c r="AB185" s="191"/>
      <c r="AC185" s="169"/>
      <c r="AD185" s="171"/>
      <c r="AE185" s="190"/>
      <c r="AF185" s="190"/>
      <c r="AG185" s="169"/>
      <c r="AH185" s="169"/>
      <c r="AI185" s="169"/>
      <c r="AJ185" s="193" t="str">
        <f>IFERROR(VLOOKUP(AI185,Listas!K:L,2,0),"")</f>
        <v/>
      </c>
      <c r="AK185" s="187" t="str">
        <f>IFERROR(VLOOKUP(AJ185,Listas!L:M,2,0),"")</f>
        <v/>
      </c>
      <c r="AL185" s="189"/>
      <c r="AM185" s="169"/>
      <c r="AN185" s="189"/>
      <c r="AO185" s="169"/>
      <c r="AP185" s="189"/>
      <c r="AQ185" s="189"/>
      <c r="AR185" s="187"/>
      <c r="AS185" s="187"/>
      <c r="AT185" s="169"/>
      <c r="AU185" s="169"/>
      <c r="AV185" s="189"/>
      <c r="AW185" s="189"/>
      <c r="AX185" s="187"/>
      <c r="AY185" s="187"/>
      <c r="AZ185" s="169"/>
      <c r="BA185" s="189"/>
      <c r="BB185" s="187" t="str">
        <f>IFERROR(AVERAGE(AR185,AS185,AX185,AY185),"")</f>
        <v/>
      </c>
      <c r="BC185" s="187" t="e">
        <f t="shared" si="17"/>
        <v>#VALUE!</v>
      </c>
      <c r="BD185" s="187" t="e">
        <f t="shared" si="18"/>
        <v>#VALUE!</v>
      </c>
      <c r="BE185" s="169"/>
      <c r="BF185" s="169"/>
      <c r="BG185" s="234" t="str">
        <f t="shared" si="19"/>
        <v>Hector Javier Fuentes Lopez</v>
      </c>
      <c r="BH185" s="351"/>
    </row>
    <row r="186" spans="1:60" ht="15" hidden="1">
      <c r="A186" s="21">
        <v>20221495001</v>
      </c>
      <c r="B186" s="19" t="str">
        <f>VLOOKUP(A186,'Datos Personales'!A:M,2,FALSE)</f>
        <v>AREVALO SAAVEDRA DANELLY DESIREE</v>
      </c>
      <c r="C186" s="19">
        <f>VLOOKUP(A186,'ESTADOS ESTUDIANTES'!B:L,11,0)</f>
        <v>40215192</v>
      </c>
      <c r="D186" s="19">
        <f>VLOOKUP(A186,'Datos Personales'!$A:$M,3,FALSE)</f>
        <v>495</v>
      </c>
      <c r="E186" s="19" t="str">
        <f>VLOOKUP(Tabla4[[#This Row],[ENFASIS]],Listas!$R$2:$S$8,2,0)</f>
        <v>ENFASIS EN ING. SOFT</v>
      </c>
      <c r="F186" s="19">
        <f>VLOOKUP(A186,'Datos Personales'!A:M,8,0)</f>
        <v>0</v>
      </c>
      <c r="G186" s="19" t="str">
        <f>VLOOKUP(A186,'Datos Personales'!A:M,9,0)</f>
        <v>darevalo@gmail.com</v>
      </c>
      <c r="H186" s="19" t="str">
        <f>VLOOKUP(A186,'Datos Personales'!A:M,5,FALSE)</f>
        <v>I</v>
      </c>
      <c r="I186" s="19" t="str">
        <f>VLOOKUP(Tabla4[[#This Row],[CODIGO]],'ESTADOS ESTUDIANTES'!B:M,12,0)</f>
        <v>-</v>
      </c>
      <c r="J186" s="23"/>
      <c r="K186" s="23"/>
      <c r="L186" s="23"/>
      <c r="M186" s="23"/>
      <c r="N186" s="96"/>
      <c r="O186" s="23"/>
      <c r="P186" s="23"/>
      <c r="Q186" s="23"/>
      <c r="R186" s="124"/>
      <c r="S186" s="124" t="str">
        <f>IF(Tabla4[[#This Row],[FECHA DE ACEPTACION DEL GRUP. INV.]]="","",DATE(YEAR(Tabla4[[#This Row],[FECHA DE ACEPTACION DEL GRUP. INV.]])+2,MONTH(Tabla4[[#This Row],[FECHA DE ACEPTACION DEL GRUP. INV.]]),DAY(Tabla4[[#This Row],[FECHA DE ACEPTACION DEL GRUP. INV.]])))</f>
        <v/>
      </c>
      <c r="T186" s="124" t="str">
        <f ca="1">IF(Tabla4[[#This Row],[FECHA DE ACEPTACION DEL GRUP. INV.]]="","",IF(Tabla4[[#This Row],[FECHA DE VENCIMIENTO ANTE PROYECTO]]&lt;TODAY(),"SÍ","NO"))</f>
        <v/>
      </c>
      <c r="U186" s="124"/>
      <c r="V186" s="124"/>
      <c r="W186" s="18"/>
      <c r="X186" s="18"/>
      <c r="Y186" s="96"/>
      <c r="Z186" s="97"/>
      <c r="AA186" s="96"/>
      <c r="AB186" s="97"/>
      <c r="AC186" s="110"/>
      <c r="AD186" s="18"/>
      <c r="AE186" s="124"/>
      <c r="AF186" s="124"/>
      <c r="AG186" s="169"/>
      <c r="AH186" s="169"/>
      <c r="AI186" s="169"/>
      <c r="AJ186" s="170" t="str">
        <f>IFERROR(VLOOKUP(AI186,Listas!K:L,2,0),"")</f>
        <v/>
      </c>
      <c r="AK186" s="21" t="str">
        <f>IFERROR(VLOOKUP(AJ186,Listas!L:M,2,0),"")</f>
        <v/>
      </c>
      <c r="AL186" s="96"/>
      <c r="AM186" s="23"/>
      <c r="AN186" s="96"/>
      <c r="AO186" s="23"/>
      <c r="AP186" s="96"/>
      <c r="AQ186" s="96"/>
      <c r="AR186" s="21"/>
      <c r="AS186" s="21"/>
      <c r="AT186" s="23"/>
      <c r="AU186" s="23"/>
      <c r="AV186" s="96"/>
      <c r="AW186" s="96"/>
      <c r="AX186" s="21"/>
      <c r="AY186" s="21"/>
      <c r="AZ186" s="23"/>
      <c r="BA186" s="96"/>
      <c r="BB186" s="21"/>
      <c r="BC186" s="338" t="e">
        <f t="shared" si="17"/>
        <v>#VALUE!</v>
      </c>
      <c r="BD186" s="338" t="e">
        <f t="shared" si="18"/>
        <v>#VALUE!</v>
      </c>
      <c r="BE186" s="23"/>
      <c r="BF186" s="23"/>
      <c r="BG186" s="347" t="str">
        <f t="shared" si="19"/>
        <v/>
      </c>
      <c r="BH186" s="351"/>
    </row>
    <row r="187" spans="1:60" s="642" customFormat="1" ht="15" hidden="1">
      <c r="A187" s="631">
        <v>20221495002</v>
      </c>
      <c r="B187" s="632" t="str">
        <f>VLOOKUP(A187,'Datos Personales'!A:M,2,FALSE)</f>
        <v>BEJARANO MEDELLIN SEBASTIAN LEONARDO</v>
      </c>
      <c r="C187" s="632">
        <f>VLOOKUP(A187,'ESTADOS ESTUDIANTES'!B:L,11,0)</f>
        <v>1030671497</v>
      </c>
      <c r="D187" s="632">
        <f>VLOOKUP(A187,'Datos Personales'!$A:$M,3,FALSE)</f>
        <v>495</v>
      </c>
      <c r="E187" s="632" t="str">
        <f>VLOOKUP(Tabla4[[#This Row],[ENFASIS]],Listas!$R$2:$S$8,2,0)</f>
        <v>ENFASIS EN ING. SOFT</v>
      </c>
      <c r="F187" s="632" t="str">
        <f>VLOOKUP(A187,'Datos Personales'!A:M,8,0)</f>
        <v>slbejaranom@udistrital.edu.co</v>
      </c>
      <c r="G187" s="632" t="str">
        <f>VLOOKUP(A187,'Datos Personales'!A:M,9,0)</f>
        <v>slbejaranom@gmail.com</v>
      </c>
      <c r="H187" s="632" t="str">
        <f>VLOOKUP(A187,'Datos Personales'!A:M,5,FALSE)</f>
        <v>V</v>
      </c>
      <c r="I187" s="632" t="str">
        <f>VLOOKUP(Tabla4[[#This Row],[CODIGO]],'ESTADOS ESTUDIANTES'!B:M,12,0)</f>
        <v>2025-3</v>
      </c>
      <c r="J187" s="633" t="s">
        <v>60</v>
      </c>
      <c r="K187" s="634" t="s">
        <v>710</v>
      </c>
      <c r="L187" s="634"/>
      <c r="M187" s="634"/>
      <c r="N187" s="635"/>
      <c r="O187" s="634"/>
      <c r="P187" s="634"/>
      <c r="Q187" s="634"/>
      <c r="R187" s="636"/>
      <c r="S187" s="636" t="str">
        <f>IF(Tabla4[[#This Row],[FECHA DE ACEPTACION DEL GRUP. INV.]]="","",DATE(YEAR(Tabla4[[#This Row],[FECHA DE ACEPTACION DEL GRUP. INV.]])+2,MONTH(Tabla4[[#This Row],[FECHA DE ACEPTACION DEL GRUP. INV.]]),DAY(Tabla4[[#This Row],[FECHA DE ACEPTACION DEL GRUP. INV.]])))</f>
        <v/>
      </c>
      <c r="T187" s="636" t="str">
        <f ca="1">IF(Tabla4[[#This Row],[FECHA DE ACEPTACION DEL GRUP. INV.]]="","",IF(Tabla4[[#This Row],[FECHA DE VENCIMIENTO ANTE PROYECTO]]&lt;TODAY(),"SÍ","NO"))</f>
        <v/>
      </c>
      <c r="U187" s="637" t="s">
        <v>62</v>
      </c>
      <c r="V187" s="637"/>
      <c r="W187" s="633"/>
      <c r="X187" s="633"/>
      <c r="Y187" s="635"/>
      <c r="Z187" s="638"/>
      <c r="AA187" s="635"/>
      <c r="AB187" s="638"/>
      <c r="AC187" s="634"/>
      <c r="AD187" s="633"/>
      <c r="AE187" s="636"/>
      <c r="AF187" s="636"/>
      <c r="AG187" s="634"/>
      <c r="AH187" s="634"/>
      <c r="AI187" s="634"/>
      <c r="AJ187" s="639" t="str">
        <f>IFERROR(VLOOKUP(AI187,Listas!K:L,2,0),"")</f>
        <v/>
      </c>
      <c r="AK187" s="631" t="str">
        <f>IFERROR(VLOOKUP(AJ187,Listas!L:M,2,0),"")</f>
        <v/>
      </c>
      <c r="AL187" s="635"/>
      <c r="AM187" s="634"/>
      <c r="AN187" s="635"/>
      <c r="AO187" s="634"/>
      <c r="AP187" s="635"/>
      <c r="AQ187" s="635"/>
      <c r="AR187" s="631"/>
      <c r="AS187" s="631"/>
      <c r="AT187" s="634"/>
      <c r="AU187" s="634"/>
      <c r="AV187" s="635"/>
      <c r="AW187" s="635"/>
      <c r="AX187" s="631"/>
      <c r="AY187" s="631"/>
      <c r="AZ187" s="634"/>
      <c r="BA187" s="635"/>
      <c r="BB187" s="631" t="str">
        <f>IFERROR(AVERAGE(AR187,AS187,AX187,AY187),"")</f>
        <v/>
      </c>
      <c r="BC187" s="631" t="e">
        <f t="shared" si="17"/>
        <v>#VALUE!</v>
      </c>
      <c r="BD187" s="631" t="e">
        <f t="shared" si="18"/>
        <v>#VALUE!</v>
      </c>
      <c r="BE187" s="634"/>
      <c r="BF187" s="634"/>
      <c r="BG187" s="640">
        <f t="shared" si="19"/>
        <v>0</v>
      </c>
      <c r="BH187" s="641"/>
    </row>
    <row r="188" spans="1:60" s="339" customFormat="1" ht="15" hidden="1">
      <c r="A188" s="21">
        <v>20221495004</v>
      </c>
      <c r="B188" s="19" t="str">
        <f>VLOOKUP(A188,'Datos Personales'!A:M,2,FALSE)</f>
        <v>CORTES SANCHEZ ISIDRO FRANCISCO</v>
      </c>
      <c r="C188" s="19">
        <f>VLOOKUP(A188,'ESTADOS ESTUDIANTES'!B:L,11,0)</f>
        <v>80085326</v>
      </c>
      <c r="D188" s="19">
        <f>VLOOKUP(A188,'Datos Personales'!$A:$M,3,FALSE)</f>
        <v>495</v>
      </c>
      <c r="E188" s="19" t="str">
        <f>VLOOKUP(Tabla4[[#This Row],[ENFASIS]],Listas!$R$2:$S$8,2,0)</f>
        <v>ENFASIS EN ING. SOFT</v>
      </c>
      <c r="F188" s="19">
        <f>VLOOKUP(A188,'Datos Personales'!A:M,8,0)</f>
        <v>0</v>
      </c>
      <c r="G188" s="19" t="str">
        <f>VLOOKUP(A188,'Datos Personales'!A:M,9,0)</f>
        <v>cortes.franck@gmail.com</v>
      </c>
      <c r="H188" s="19" t="str">
        <f>VLOOKUP(A188,'Datos Personales'!A:M,5,FALSE)</f>
        <v>I</v>
      </c>
      <c r="I188" s="19" t="str">
        <f>VLOOKUP(Tabla4[[#This Row],[CODIGO]],'ESTADOS ESTUDIANTES'!B:M,12,0)</f>
        <v>-</v>
      </c>
      <c r="J188" s="23"/>
      <c r="K188" s="23"/>
      <c r="L188" s="23"/>
      <c r="M188" s="23"/>
      <c r="N188" s="96"/>
      <c r="O188" s="23"/>
      <c r="P188" s="23"/>
      <c r="Q188" s="23"/>
      <c r="R188" s="124"/>
      <c r="S188" s="124" t="str">
        <f>IF(Tabla4[[#This Row],[FECHA DE ACEPTACION DEL GRUP. INV.]]="","",DATE(YEAR(Tabla4[[#This Row],[FECHA DE ACEPTACION DEL GRUP. INV.]])+2,MONTH(Tabla4[[#This Row],[FECHA DE ACEPTACION DEL GRUP. INV.]]),DAY(Tabla4[[#This Row],[FECHA DE ACEPTACION DEL GRUP. INV.]])))</f>
        <v/>
      </c>
      <c r="T188" s="124" t="str">
        <f ca="1">IF(Tabla4[[#This Row],[FECHA DE ACEPTACION DEL GRUP. INV.]]="","",IF(Tabla4[[#This Row],[FECHA DE VENCIMIENTO ANTE PROYECTO]]&lt;TODAY(),"SÍ","NO"))</f>
        <v/>
      </c>
      <c r="U188" s="124"/>
      <c r="V188" s="124"/>
      <c r="W188" s="18"/>
      <c r="X188" s="18"/>
      <c r="Y188" s="96"/>
      <c r="Z188" s="97"/>
      <c r="AA188" s="96"/>
      <c r="AB188" s="97"/>
      <c r="AC188" s="110"/>
      <c r="AD188" s="18"/>
      <c r="AE188" s="124"/>
      <c r="AF188" s="124"/>
      <c r="AG188" s="169"/>
      <c r="AH188" s="169"/>
      <c r="AI188" s="169"/>
      <c r="AJ188" s="170" t="str">
        <f>IFERROR(VLOOKUP(AI188,Listas!K:L,2,0),"")</f>
        <v/>
      </c>
      <c r="AK188" s="21" t="str">
        <f>IFERROR(VLOOKUP(AJ188,Listas!L:M,2,0),"")</f>
        <v/>
      </c>
      <c r="AL188" s="96"/>
      <c r="AM188" s="23"/>
      <c r="AN188" s="96"/>
      <c r="AO188" s="23"/>
      <c r="AP188" s="96"/>
      <c r="AQ188" s="96"/>
      <c r="AR188" s="21"/>
      <c r="AS188" s="21"/>
      <c r="AT188" s="23"/>
      <c r="AU188" s="23"/>
      <c r="AV188" s="96"/>
      <c r="AW188" s="96"/>
      <c r="AX188" s="21"/>
      <c r="AY188" s="21"/>
      <c r="AZ188" s="23"/>
      <c r="BA188" s="96"/>
      <c r="BB188" s="21"/>
      <c r="BC188" s="338" t="e">
        <f t="shared" si="17"/>
        <v>#VALUE!</v>
      </c>
      <c r="BD188" s="338" t="e">
        <f t="shared" si="18"/>
        <v>#VALUE!</v>
      </c>
      <c r="BE188" s="23"/>
      <c r="BF188" s="23"/>
      <c r="BG188" s="347" t="str">
        <f t="shared" si="19"/>
        <v/>
      </c>
      <c r="BH188" s="350"/>
    </row>
    <row r="189" spans="1:60" ht="45" hidden="1">
      <c r="A189" s="187">
        <v>20221495006</v>
      </c>
      <c r="B189" s="188" t="str">
        <f>VLOOKUP(A189,'Datos Personales'!A:M,2,FALSE)</f>
        <v>JIMENEZ HASTAMORIR LINA MARIA</v>
      </c>
      <c r="C189" s="188">
        <f>VLOOKUP(A189,'ESTADOS ESTUDIANTES'!B:L,11,0)</f>
        <v>1018460076</v>
      </c>
      <c r="D189" s="188">
        <f>VLOOKUP(A189,'Datos Personales'!$A:$M,3,FALSE)</f>
        <v>495</v>
      </c>
      <c r="E189" s="188" t="str">
        <f>VLOOKUP(Tabla4[[#This Row],[ENFASIS]],Listas!$R$2:$S$8,2,0)</f>
        <v>ENFASIS EN ING. SOFT</v>
      </c>
      <c r="F189" s="188" t="str">
        <f>VLOOKUP(A189,'Datos Personales'!A:M,8,0)</f>
        <v>lmjimenezh@udistrital.edu.co</v>
      </c>
      <c r="G189" s="188" t="str">
        <f>VLOOKUP(A189,'Datos Personales'!A:M,9,0)</f>
        <v>lnmrjmnz@gmail.com</v>
      </c>
      <c r="H189" s="188" t="str">
        <f>VLOOKUP(A189,'Datos Personales'!A:M,5,FALSE)</f>
        <v>X</v>
      </c>
      <c r="I189" s="188" t="str">
        <f>VLOOKUP(Tabla4[[#This Row],[CODIGO]],'ESTADOS ESTUDIANTES'!B:M,12,0)</f>
        <v>2023-1</v>
      </c>
      <c r="J189" s="171" t="s">
        <v>60</v>
      </c>
      <c r="K189" s="171" t="s">
        <v>711</v>
      </c>
      <c r="L189" s="171" t="s">
        <v>312</v>
      </c>
      <c r="M189" s="169"/>
      <c r="N189" s="189">
        <v>44704</v>
      </c>
      <c r="O189" s="188">
        <v>2022</v>
      </c>
      <c r="P189" s="171" t="s">
        <v>537</v>
      </c>
      <c r="Q189" s="171" t="s">
        <v>712</v>
      </c>
      <c r="R189" s="230"/>
      <c r="S189" s="230" t="str">
        <f>IF(Tabla4[[#This Row],[FECHA DE ACEPTACION DEL GRUP. INV.]]="","",DATE(YEAR(Tabla4[[#This Row],[FECHA DE ACEPTACION DEL GRUP. INV.]])+2,MONTH(Tabla4[[#This Row],[FECHA DE ACEPTACION DEL GRUP. INV.]]),DAY(Tabla4[[#This Row],[FECHA DE ACEPTACION DEL GRUP. INV.]])))</f>
        <v/>
      </c>
      <c r="T189" s="230" t="str">
        <f ca="1">IF(Tabla4[[#This Row],[FECHA DE ACEPTACION DEL GRUP. INV.]]="","",IF(Tabla4[[#This Row],[FECHA DE VENCIMIENTO ANTE PROYECTO]]&lt;TODAY(),"SÍ","NO"))</f>
        <v/>
      </c>
      <c r="U189" s="230"/>
      <c r="V189" s="230"/>
      <c r="W189" s="231"/>
      <c r="X189" s="231"/>
      <c r="Y189" s="189"/>
      <c r="Z189" s="191"/>
      <c r="AA189" s="189"/>
      <c r="AB189" s="191"/>
      <c r="AC189" s="110"/>
      <c r="AD189" s="171"/>
      <c r="AE189" s="190"/>
      <c r="AF189" s="190"/>
      <c r="AG189" s="169"/>
      <c r="AH189" s="169"/>
      <c r="AI189" s="169"/>
      <c r="AJ189" s="170" t="str">
        <f>IFERROR(VLOOKUP(AI189,Listas!K:L,2,0),"")</f>
        <v/>
      </c>
      <c r="AK189" s="21" t="str">
        <f>IFERROR(VLOOKUP(AJ189,Listas!L:M,2,0),"")</f>
        <v/>
      </c>
      <c r="AL189" s="189"/>
      <c r="AM189" s="169"/>
      <c r="AN189" s="189"/>
      <c r="AO189" s="169"/>
      <c r="AP189" s="189"/>
      <c r="AQ189" s="189"/>
      <c r="AR189" s="187"/>
      <c r="AS189" s="187"/>
      <c r="AT189" s="169"/>
      <c r="AU189" s="169"/>
      <c r="AV189" s="189"/>
      <c r="AW189" s="189"/>
      <c r="AX189" s="187"/>
      <c r="AY189" s="187"/>
      <c r="AZ189" s="169"/>
      <c r="BA189" s="189"/>
      <c r="BB189" s="232" t="str">
        <f>IFERROR(AVERAGE(AR189,AS189,AX189,AY189),"")</f>
        <v/>
      </c>
      <c r="BC189" s="338" t="e">
        <f t="shared" si="17"/>
        <v>#VALUE!</v>
      </c>
      <c r="BD189" s="338" t="e">
        <f t="shared" si="18"/>
        <v>#VALUE!</v>
      </c>
      <c r="BE189" s="169"/>
      <c r="BF189" s="169"/>
      <c r="BG189" s="234" t="str">
        <f t="shared" si="19"/>
        <v/>
      </c>
      <c r="BH189" s="351"/>
    </row>
    <row r="190" spans="1:60" ht="15" hidden="1">
      <c r="A190" s="21">
        <v>20221495007</v>
      </c>
      <c r="B190" s="19" t="str">
        <f>VLOOKUP(A190,'Datos Personales'!A:M,2,FALSE)</f>
        <v>OVIES PULIDO DOUGLAS ROLANDO</v>
      </c>
      <c r="C190" s="19">
        <f>VLOOKUP(A190,'ESTADOS ESTUDIANTES'!B:L,11,0)</f>
        <v>79707916</v>
      </c>
      <c r="D190" s="19">
        <f>VLOOKUP(A190,'Datos Personales'!$A:$M,3,FALSE)</f>
        <v>495</v>
      </c>
      <c r="E190" s="19" t="str">
        <f>VLOOKUP(Tabla4[[#This Row],[ENFASIS]],Listas!$R$2:$S$8,2,0)</f>
        <v>ENFASIS EN ING. SOFT</v>
      </c>
      <c r="F190" s="19">
        <f>VLOOKUP(A190,'Datos Personales'!A:M,8,0)</f>
        <v>0</v>
      </c>
      <c r="G190" s="19" t="str">
        <f>VLOOKUP(A190,'Datos Personales'!A:M,9,0)</f>
        <v>dovies@hotmail.com</v>
      </c>
      <c r="H190" s="19" t="str">
        <f>VLOOKUP(A190,'Datos Personales'!A:M,5,FALSE)</f>
        <v>I</v>
      </c>
      <c r="I190" s="19" t="str">
        <f>VLOOKUP(Tabla4[[#This Row],[CODIGO]],'ESTADOS ESTUDIANTES'!B:M,12,0)</f>
        <v>-</v>
      </c>
      <c r="J190" s="87"/>
      <c r="K190" s="87"/>
      <c r="L190" s="87"/>
      <c r="M190" s="172"/>
      <c r="N190" s="96"/>
      <c r="O190" s="23"/>
      <c r="P190" s="23"/>
      <c r="Q190" s="23"/>
      <c r="R190" s="124"/>
      <c r="S190" s="124" t="str">
        <f>IF(Tabla4[[#This Row],[FECHA DE ACEPTACION DEL GRUP. INV.]]="","",DATE(YEAR(Tabla4[[#This Row],[FECHA DE ACEPTACION DEL GRUP. INV.]])+2,MONTH(Tabla4[[#This Row],[FECHA DE ACEPTACION DEL GRUP. INV.]]),DAY(Tabla4[[#This Row],[FECHA DE ACEPTACION DEL GRUP. INV.]])))</f>
        <v/>
      </c>
      <c r="T190" s="124" t="str">
        <f ca="1">IF(Tabla4[[#This Row],[FECHA DE ACEPTACION DEL GRUP. INV.]]="","",IF(Tabla4[[#This Row],[FECHA DE VENCIMIENTO ANTE PROYECTO]]&lt;TODAY(),"SÍ","NO"))</f>
        <v/>
      </c>
      <c r="U190" s="124"/>
      <c r="V190" s="124"/>
      <c r="W190" s="18"/>
      <c r="X190" s="18"/>
      <c r="Y190" s="96"/>
      <c r="Z190" s="97"/>
      <c r="AA190" s="96"/>
      <c r="AB190" s="97"/>
      <c r="AC190" s="110"/>
      <c r="AD190" s="18"/>
      <c r="AE190" s="124"/>
      <c r="AF190" s="124"/>
      <c r="AG190" s="169"/>
      <c r="AH190" s="169"/>
      <c r="AI190" s="169"/>
      <c r="AJ190" s="170" t="str">
        <f>IFERROR(VLOOKUP(AI190,Listas!K:L,2,0),"")</f>
        <v/>
      </c>
      <c r="AK190" s="21" t="str">
        <f>IFERROR(VLOOKUP(AJ190,Listas!L:M,2,0),"")</f>
        <v/>
      </c>
      <c r="AL190" s="96"/>
      <c r="AM190" s="23"/>
      <c r="AN190" s="96"/>
      <c r="AO190" s="23"/>
      <c r="AP190" s="96"/>
      <c r="AQ190" s="96"/>
      <c r="AR190" s="21"/>
      <c r="AS190" s="21"/>
      <c r="AT190" s="23"/>
      <c r="AU190" s="23"/>
      <c r="AV190" s="96"/>
      <c r="AW190" s="96"/>
      <c r="AX190" s="21"/>
      <c r="AY190" s="21"/>
      <c r="AZ190" s="23"/>
      <c r="BA190" s="96"/>
      <c r="BB190" s="21"/>
      <c r="BC190" s="338" t="e">
        <f t="shared" si="17"/>
        <v>#VALUE!</v>
      </c>
      <c r="BD190" s="338" t="e">
        <f t="shared" si="18"/>
        <v>#VALUE!</v>
      </c>
      <c r="BE190" s="23"/>
      <c r="BF190" s="23"/>
      <c r="BG190" s="347" t="str">
        <f>IF(OR(H190="A",$H190="D",$H190="P",$H190="V"),L191,"")</f>
        <v/>
      </c>
      <c r="BH190" s="351"/>
    </row>
    <row r="191" spans="1:60" ht="47.25" hidden="1">
      <c r="A191" s="187">
        <v>20221495008</v>
      </c>
      <c r="B191" s="358" t="str">
        <f>VLOOKUP(A191,'Datos Personales'!A:M,2,FALSE)</f>
        <v>PERDOMO ORJUELA LUIS EDUARDO</v>
      </c>
      <c r="C191" s="358">
        <f>VLOOKUP(A191,'ESTADOS ESTUDIANTES'!B:L,11,0)</f>
        <v>1020734582</v>
      </c>
      <c r="D191" s="358">
        <f>VLOOKUP(A191,'Datos Personales'!$A:$M,3,FALSE)</f>
        <v>495</v>
      </c>
      <c r="E191" s="358" t="str">
        <f>VLOOKUP(Tabla4[[#This Row],[ENFASIS]],Listas!$R$2:$S$8,2,0)</f>
        <v>ENFASIS EN ING. SOFT</v>
      </c>
      <c r="F191" s="358" t="str">
        <f>VLOOKUP(A191,'Datos Personales'!A:M,8,0)</f>
        <v>leperdomoo@udistrital.edu.co</v>
      </c>
      <c r="G191" s="358" t="str">
        <f>VLOOKUP(A191,'Datos Personales'!A:M,9,0)</f>
        <v>luis1988perdomo@gmail.com</v>
      </c>
      <c r="H191" s="358" t="str">
        <f>VLOOKUP(A191,'Datos Personales'!A:M,5,FALSE)</f>
        <v>X</v>
      </c>
      <c r="I191" s="358" t="str">
        <f>VLOOKUP(Tabla4[[#This Row],[CODIGO]],'ESTADOS ESTUDIANTES'!B:M,12,0)</f>
        <v>2026-1</v>
      </c>
      <c r="J191" s="360" t="s">
        <v>60</v>
      </c>
      <c r="K191" s="238" t="s">
        <v>713</v>
      </c>
      <c r="L191" s="359" t="s">
        <v>714</v>
      </c>
      <c r="M191" s="359" t="s">
        <v>239</v>
      </c>
      <c r="N191" s="361">
        <v>44908</v>
      </c>
      <c r="O191" s="254">
        <v>2022</v>
      </c>
      <c r="P191" s="254" t="s">
        <v>106</v>
      </c>
      <c r="Q191" s="360" t="s">
        <v>351</v>
      </c>
      <c r="R191" s="365"/>
      <c r="S191" s="365" t="str">
        <f>IF(Tabla4[[#This Row],[FECHA DE ACEPTACION DEL GRUP. INV.]]="","",DATE(YEAR(Tabla4[[#This Row],[FECHA DE ACEPTACION DEL GRUP. INV.]])+2,MONTH(Tabla4[[#This Row],[FECHA DE ACEPTACION DEL GRUP. INV.]]),DAY(Tabla4[[#This Row],[FECHA DE ACEPTACION DEL GRUP. INV.]])))</f>
        <v/>
      </c>
      <c r="T191" s="365" t="str">
        <f ca="1">IF(Tabla4[[#This Row],[FECHA DE ACEPTACION DEL GRUP. INV.]]="","",IF(Tabla4[[#This Row],[FECHA DE VENCIMIENTO ANTE PROYECTO]]&lt;TODAY(),"SÍ","NO"))</f>
        <v/>
      </c>
      <c r="U191" s="362" t="s">
        <v>62</v>
      </c>
      <c r="V191" s="362"/>
      <c r="W191" s="360"/>
      <c r="X191" s="360"/>
      <c r="Y191" s="361"/>
      <c r="Z191" s="483"/>
      <c r="AA191" s="361">
        <v>45139</v>
      </c>
      <c r="AB191" s="483">
        <v>118</v>
      </c>
      <c r="AC191" s="254" t="s">
        <v>79</v>
      </c>
      <c r="AD191" s="360"/>
      <c r="AE191" s="365"/>
      <c r="AF191" s="365"/>
      <c r="AG191" s="254"/>
      <c r="AH191" s="254"/>
      <c r="AI191" s="254"/>
      <c r="AJ191" s="193" t="str">
        <f>IFERROR(VLOOKUP(AI191,Listas!K:L,2,0),"")</f>
        <v/>
      </c>
      <c r="AK191" s="187" t="str">
        <f>IFERROR(VLOOKUP(AJ191,Listas!L:M,2,0),"")</f>
        <v/>
      </c>
      <c r="AL191" s="361"/>
      <c r="AM191" s="254"/>
      <c r="AN191" s="361"/>
      <c r="AO191" s="254"/>
      <c r="AP191" s="361"/>
      <c r="AQ191" s="361"/>
      <c r="AR191" s="367"/>
      <c r="AS191" s="367"/>
      <c r="AT191" s="254"/>
      <c r="AU191" s="254"/>
      <c r="AV191" s="361"/>
      <c r="AW191" s="361"/>
      <c r="AX191" s="367"/>
      <c r="AY191" s="367"/>
      <c r="AZ191" s="254"/>
      <c r="BA191" s="361"/>
      <c r="BB191" s="472" t="str">
        <f>IFERROR(AVERAGE(AR191,AS191,AX191,AY191),"")</f>
        <v/>
      </c>
      <c r="BC191" s="232" t="e">
        <f t="shared" si="17"/>
        <v>#VALUE!</v>
      </c>
      <c r="BD191" s="232" t="e">
        <f t="shared" si="18"/>
        <v>#VALUE!</v>
      </c>
      <c r="BE191" s="254"/>
      <c r="BF191" s="254"/>
      <c r="BG191" s="371" t="str">
        <f>IF(OR(H191="A",$H191="D",$H191="P",$H191="V"),#REF!,"")</f>
        <v/>
      </c>
      <c r="BH191" s="351"/>
    </row>
    <row r="192" spans="1:60" s="268" customFormat="1" ht="15.75" hidden="1">
      <c r="A192" s="336">
        <v>20221495009</v>
      </c>
      <c r="B192" s="19" t="str">
        <f>VLOOKUP(A192,'Datos Personales'!A:M,2,FALSE)</f>
        <v>PULIDO SIERRA PEDRO MANUEL</v>
      </c>
      <c r="C192" s="19">
        <f>VLOOKUP(A192,'ESTADOS ESTUDIANTES'!B:L,11,0)</f>
        <v>1010175170</v>
      </c>
      <c r="D192" s="19">
        <f>VLOOKUP(A192,'Datos Personales'!$A:$M,3,FALSE)</f>
        <v>495</v>
      </c>
      <c r="E192" s="19" t="str">
        <f>VLOOKUP(Tabla4[[#This Row],[ENFASIS]],Listas!$R$2:$S$8,2,0)</f>
        <v>ENFASIS EN ING. SOFT</v>
      </c>
      <c r="F192" s="19">
        <f>VLOOKUP(A192,'Datos Personales'!A:M,8,0)</f>
        <v>0</v>
      </c>
      <c r="G192" s="19" t="str">
        <f>VLOOKUP(A192,'Datos Personales'!A:M,9,0)</f>
        <v>ing.pedropulido@gmail.com</v>
      </c>
      <c r="H192" s="19" t="str">
        <f>VLOOKUP(A192,'Datos Personales'!A:M,5,FALSE)</f>
        <v>I</v>
      </c>
      <c r="I192" s="19" t="str">
        <f>VLOOKUP(Tabla4[[#This Row],[CODIGO]],'ESTADOS ESTUDIANTES'!B:M,12,0)</f>
        <v>-</v>
      </c>
      <c r="J192" s="23"/>
      <c r="K192" s="23"/>
      <c r="L192" s="23"/>
      <c r="M192" s="23"/>
      <c r="N192" s="96"/>
      <c r="O192" s="23"/>
      <c r="P192" s="23"/>
      <c r="Q192" s="23"/>
      <c r="R192" s="124"/>
      <c r="S192" s="124" t="str">
        <f>IF(Tabla4[[#This Row],[FECHA DE ACEPTACION DEL GRUP. INV.]]="","",DATE(YEAR(Tabla4[[#This Row],[FECHA DE ACEPTACION DEL GRUP. INV.]])+2,MONTH(Tabla4[[#This Row],[FECHA DE ACEPTACION DEL GRUP. INV.]]),DAY(Tabla4[[#This Row],[FECHA DE ACEPTACION DEL GRUP. INV.]])))</f>
        <v/>
      </c>
      <c r="T192" s="124" t="str">
        <f ca="1">IF(Tabla4[[#This Row],[FECHA DE ACEPTACION DEL GRUP. INV.]]="","",IF(Tabla4[[#This Row],[FECHA DE VENCIMIENTO ANTE PROYECTO]]&lt;TODAY(),"SÍ","NO"))</f>
        <v/>
      </c>
      <c r="U192" s="124"/>
      <c r="V192" s="124"/>
      <c r="W192" s="18"/>
      <c r="X192" s="18"/>
      <c r="Y192" s="96"/>
      <c r="Z192" s="97"/>
      <c r="AA192" s="96"/>
      <c r="AB192" s="97"/>
      <c r="AC192" s="110"/>
      <c r="AD192" s="18"/>
      <c r="AE192" s="124"/>
      <c r="AF192" s="124"/>
      <c r="AG192" s="169"/>
      <c r="AH192" s="169"/>
      <c r="AI192" s="169"/>
      <c r="AJ192" s="170" t="str">
        <f>IFERROR(VLOOKUP(AI192,Listas!K:L,2,0),"")</f>
        <v/>
      </c>
      <c r="AK192" s="21" t="str">
        <f>IFERROR(VLOOKUP(AJ192,Listas!L:M,2,0),"")</f>
        <v/>
      </c>
      <c r="AL192" s="96"/>
      <c r="AM192" s="23"/>
      <c r="AN192" s="96"/>
      <c r="AO192" s="23"/>
      <c r="AP192" s="96"/>
      <c r="AQ192" s="96"/>
      <c r="AR192" s="21"/>
      <c r="AS192" s="21"/>
      <c r="AT192" s="23"/>
      <c r="AU192" s="23"/>
      <c r="AV192" s="96"/>
      <c r="AW192" s="96"/>
      <c r="AX192" s="21"/>
      <c r="AY192" s="21"/>
      <c r="AZ192" s="23"/>
      <c r="BA192" s="96"/>
      <c r="BB192" s="21"/>
      <c r="BC192" s="338" t="e">
        <f t="shared" si="17"/>
        <v>#VALUE!</v>
      </c>
      <c r="BD192" s="338" t="e">
        <f t="shared" ref="BD192:BD197" si="20">SUM(BC192,AK192)</f>
        <v>#VALUE!</v>
      </c>
      <c r="BE192" s="23"/>
      <c r="BF192" s="23"/>
      <c r="BG192" s="347" t="str">
        <f t="shared" ref="BG192:BG197" si="21">IF(OR(H192="A",$H192="D",$H192="P",$H192="V"),L192,"")</f>
        <v/>
      </c>
      <c r="BH192" s="352"/>
    </row>
    <row r="193" spans="1:60" s="339" customFormat="1" ht="15" hidden="1">
      <c r="A193" s="336">
        <v>20221495011</v>
      </c>
      <c r="B193" s="19" t="str">
        <f>VLOOKUP(A193,'Datos Personales'!A:M,2,FALSE)</f>
        <v>SALAMANCA BELTRAN CARLOS LEONARDO</v>
      </c>
      <c r="C193" s="19">
        <f>VLOOKUP(A193,'ESTADOS ESTUDIANTES'!B:L,11,0)</f>
        <v>1012409872</v>
      </c>
      <c r="D193" s="19">
        <f>VLOOKUP(A193,'Datos Personales'!$A:$M,3,FALSE)</f>
        <v>495</v>
      </c>
      <c r="E193" s="19" t="str">
        <f>VLOOKUP(Tabla4[[#This Row],[ENFASIS]],Listas!$R$2:$S$8,2,0)</f>
        <v>ENFASIS EN ING. SOFT</v>
      </c>
      <c r="F193" s="19">
        <f>VLOOKUP(A193,'Datos Personales'!A:M,8,0)</f>
        <v>0</v>
      </c>
      <c r="G193" s="19" t="str">
        <f>VLOOKUP(A193,'Datos Personales'!A:M,9,0)</f>
        <v>carlos2294@hotmail.com</v>
      </c>
      <c r="H193" s="19" t="str">
        <f>VLOOKUP(A193,'Datos Personales'!A:M,5,FALSE)</f>
        <v>N</v>
      </c>
      <c r="I193" s="19" t="str">
        <f>VLOOKUP(Tabla4[[#This Row],[CODIGO]],'ESTADOS ESTUDIANTES'!B:M,12,0)</f>
        <v>-</v>
      </c>
      <c r="J193" s="23"/>
      <c r="K193" s="23"/>
      <c r="L193" s="23"/>
      <c r="M193" s="23"/>
      <c r="N193" s="96"/>
      <c r="O193" s="23"/>
      <c r="P193" s="23"/>
      <c r="Q193" s="23"/>
      <c r="R193" s="124"/>
      <c r="S193" s="124" t="str">
        <f>IF(Tabla4[[#This Row],[FECHA DE ACEPTACION DEL GRUP. INV.]]="","",DATE(YEAR(Tabla4[[#This Row],[FECHA DE ACEPTACION DEL GRUP. INV.]])+2,MONTH(Tabla4[[#This Row],[FECHA DE ACEPTACION DEL GRUP. INV.]]),DAY(Tabla4[[#This Row],[FECHA DE ACEPTACION DEL GRUP. INV.]])))</f>
        <v/>
      </c>
      <c r="T193" s="124" t="str">
        <f ca="1">IF(Tabla4[[#This Row],[FECHA DE ACEPTACION DEL GRUP. INV.]]="","",IF(Tabla4[[#This Row],[FECHA DE VENCIMIENTO ANTE PROYECTO]]&lt;TODAY(),"SÍ","NO"))</f>
        <v/>
      </c>
      <c r="U193" s="124"/>
      <c r="V193" s="124"/>
      <c r="W193" s="18"/>
      <c r="X193" s="18"/>
      <c r="Y193" s="96"/>
      <c r="Z193" s="97"/>
      <c r="AA193" s="96"/>
      <c r="AB193" s="97"/>
      <c r="AC193" s="110"/>
      <c r="AD193" s="18"/>
      <c r="AE193" s="124"/>
      <c r="AF193" s="124"/>
      <c r="AG193" s="169"/>
      <c r="AH193" s="169"/>
      <c r="AI193" s="169"/>
      <c r="AJ193" s="170" t="str">
        <f>IFERROR(VLOOKUP(AI193,Listas!K:L,2,0),"")</f>
        <v/>
      </c>
      <c r="AK193" s="21" t="str">
        <f>IFERROR(VLOOKUP(AJ193,Listas!L:M,2,0),"")</f>
        <v/>
      </c>
      <c r="AL193" s="96"/>
      <c r="AM193" s="23"/>
      <c r="AN193" s="96"/>
      <c r="AO193" s="23"/>
      <c r="AP193" s="96"/>
      <c r="AQ193" s="96"/>
      <c r="AR193" s="21"/>
      <c r="AS193" s="21"/>
      <c r="AT193" s="23"/>
      <c r="AU193" s="23"/>
      <c r="AV193" s="96"/>
      <c r="AW193" s="96"/>
      <c r="AX193" s="21"/>
      <c r="AY193" s="21"/>
      <c r="AZ193" s="23"/>
      <c r="BA193" s="96"/>
      <c r="BB193" s="21"/>
      <c r="BC193" s="338" t="e">
        <f t="shared" si="17"/>
        <v>#VALUE!</v>
      </c>
      <c r="BD193" s="338" t="e">
        <f t="shared" si="20"/>
        <v>#VALUE!</v>
      </c>
      <c r="BE193" s="23"/>
      <c r="BF193" s="23"/>
      <c r="BG193" s="347" t="str">
        <f t="shared" si="21"/>
        <v/>
      </c>
      <c r="BH193" s="350"/>
    </row>
    <row r="194" spans="1:60" s="339" customFormat="1" ht="15" hidden="1">
      <c r="A194" s="21">
        <v>20221495014</v>
      </c>
      <c r="B194" s="19" t="str">
        <f>VLOOKUP(A194,'Datos Personales'!A:M,2,FALSE)</f>
        <v>SUAREZ LOPEZ LEON CAMILO</v>
      </c>
      <c r="C194" s="19">
        <f>VLOOKUP(A194,'ESTADOS ESTUDIANTES'!B:L,11,0)</f>
        <v>80795249</v>
      </c>
      <c r="D194" s="19">
        <f>VLOOKUP(A194,'Datos Personales'!$A:$M,3,FALSE)</f>
        <v>495</v>
      </c>
      <c r="E194" s="19" t="str">
        <f>VLOOKUP(Tabla4[[#This Row],[ENFASIS]],Listas!$R$2:$S$8,2,0)</f>
        <v>ENFASIS EN ING. SOFT</v>
      </c>
      <c r="F194" s="19">
        <f>VLOOKUP(A194,'Datos Personales'!A:M,8,0)</f>
        <v>0</v>
      </c>
      <c r="G194" s="19" t="str">
        <f>VLOOKUP(A194,'Datos Personales'!A:M,9,0)</f>
        <v>leon.suarez@gmail.com</v>
      </c>
      <c r="H194" s="19" t="str">
        <f>VLOOKUP(A194,'Datos Personales'!A:M,5,FALSE)</f>
        <v>I</v>
      </c>
      <c r="I194" s="19" t="str">
        <f>VLOOKUP(Tabla4[[#This Row],[CODIGO]],'ESTADOS ESTUDIANTES'!B:M,12,0)</f>
        <v>-</v>
      </c>
      <c r="J194" s="23"/>
      <c r="K194" s="23"/>
      <c r="L194" s="23"/>
      <c r="M194" s="23"/>
      <c r="N194" s="96"/>
      <c r="O194" s="23"/>
      <c r="P194" s="23"/>
      <c r="Q194" s="23"/>
      <c r="R194" s="124"/>
      <c r="S194" s="124" t="str">
        <f>IF(Tabla4[[#This Row],[FECHA DE ACEPTACION DEL GRUP. INV.]]="","",DATE(YEAR(Tabla4[[#This Row],[FECHA DE ACEPTACION DEL GRUP. INV.]])+2,MONTH(Tabla4[[#This Row],[FECHA DE ACEPTACION DEL GRUP. INV.]]),DAY(Tabla4[[#This Row],[FECHA DE ACEPTACION DEL GRUP. INV.]])))</f>
        <v/>
      </c>
      <c r="T194" s="124" t="str">
        <f ca="1">IF(Tabla4[[#This Row],[FECHA DE ACEPTACION DEL GRUP. INV.]]="","",IF(Tabla4[[#This Row],[FECHA DE VENCIMIENTO ANTE PROYECTO]]&lt;TODAY(),"SÍ","NO"))</f>
        <v/>
      </c>
      <c r="U194" s="124"/>
      <c r="V194" s="124"/>
      <c r="W194" s="18"/>
      <c r="X194" s="18"/>
      <c r="Y194" s="96"/>
      <c r="Z194" s="97"/>
      <c r="AA194" s="96"/>
      <c r="AB194" s="97"/>
      <c r="AC194" s="110"/>
      <c r="AD194" s="18"/>
      <c r="AE194" s="124"/>
      <c r="AF194" s="124"/>
      <c r="AG194" s="169"/>
      <c r="AH194" s="169"/>
      <c r="AI194" s="169"/>
      <c r="AJ194" s="170" t="str">
        <f>IFERROR(VLOOKUP(AI194,Listas!K:L,2,0),"")</f>
        <v/>
      </c>
      <c r="AK194" s="21" t="str">
        <f>IFERROR(VLOOKUP(AJ194,Listas!L:M,2,0),"")</f>
        <v/>
      </c>
      <c r="AL194" s="96"/>
      <c r="AM194" s="23"/>
      <c r="AN194" s="96"/>
      <c r="AO194" s="23"/>
      <c r="AP194" s="96"/>
      <c r="AQ194" s="96"/>
      <c r="AR194" s="21"/>
      <c r="AS194" s="21"/>
      <c r="AT194" s="23"/>
      <c r="AU194" s="23"/>
      <c r="AV194" s="96"/>
      <c r="AW194" s="96"/>
      <c r="AX194" s="21"/>
      <c r="AY194" s="21"/>
      <c r="AZ194" s="23"/>
      <c r="BA194" s="96"/>
      <c r="BB194" s="21"/>
      <c r="BC194" s="338" t="e">
        <f t="shared" si="17"/>
        <v>#VALUE!</v>
      </c>
      <c r="BD194" s="338" t="e">
        <f t="shared" si="20"/>
        <v>#VALUE!</v>
      </c>
      <c r="BE194" s="23"/>
      <c r="BF194" s="23"/>
      <c r="BG194" s="347" t="str">
        <f t="shared" si="21"/>
        <v/>
      </c>
      <c r="BH194" s="350"/>
    </row>
    <row r="195" spans="1:60" s="339" customFormat="1" ht="15.75" hidden="1">
      <c r="A195" s="475">
        <v>20221495015</v>
      </c>
      <c r="B195" s="19" t="str">
        <f>VLOOKUP(A195,'Datos Personales'!A:M,2,FALSE)</f>
        <v>TAPIERO TAPIERO ROBIN ESTID</v>
      </c>
      <c r="C195" s="246">
        <f>VLOOKUP(A195,'ESTADOS ESTUDIANTES'!B:L,11,0)</f>
        <v>1031139705</v>
      </c>
      <c r="D195" s="246">
        <f>VLOOKUP(A195,'Datos Personales'!$A:$M,3,FALSE)</f>
        <v>495</v>
      </c>
      <c r="E195" s="246" t="str">
        <f>VLOOKUP(Tabla4[[#This Row],[ENFASIS]],Listas!$R$2:$S$8,2,0)</f>
        <v>ENFASIS EN ING. SOFT</v>
      </c>
      <c r="F195" s="246">
        <f>VLOOKUP(A195,'Datos Personales'!A:M,8,0)</f>
        <v>0</v>
      </c>
      <c r="G195" s="246" t="str">
        <f>VLOOKUP(A195,'Datos Personales'!A:M,9,0)</f>
        <v>retapierot@correo.udistrital.edu.co</v>
      </c>
      <c r="H195" s="246" t="str">
        <f>VLOOKUP(A195,'Datos Personales'!A:M,5,FALSE)</f>
        <v>I</v>
      </c>
      <c r="I195" s="246" t="str">
        <f>VLOOKUP(Tabla4[[#This Row],[CODIGO]],'ESTADOS ESTUDIANTES'!B:M,12,0)</f>
        <v>-</v>
      </c>
      <c r="J195" s="23"/>
      <c r="K195" s="359"/>
      <c r="L195" s="251"/>
      <c r="M195" s="251"/>
      <c r="N195" s="252"/>
      <c r="O195" s="251"/>
      <c r="P195" s="251"/>
      <c r="Q195" s="251"/>
      <c r="R195" s="253"/>
      <c r="S195" s="253" t="str">
        <f>IF(Tabla4[[#This Row],[FECHA DE ACEPTACION DEL GRUP. INV.]]="","",DATE(YEAR(Tabla4[[#This Row],[FECHA DE ACEPTACION DEL GRUP. INV.]])+2,MONTH(Tabla4[[#This Row],[FECHA DE ACEPTACION DEL GRUP. INV.]]),DAY(Tabla4[[#This Row],[FECHA DE ACEPTACION DEL GRUP. INV.]])))</f>
        <v/>
      </c>
      <c r="T195" s="253" t="str">
        <f ca="1">IF(Tabla4[[#This Row],[FECHA DE ACEPTACION DEL GRUP. INV.]]="","",IF(Tabla4[[#This Row],[FECHA DE VENCIMIENTO ANTE PROYECTO]]&lt;TODAY(),"SÍ","NO"))</f>
        <v/>
      </c>
      <c r="U195" s="253"/>
      <c r="V195" s="253"/>
      <c r="W195" s="247"/>
      <c r="X195" s="247"/>
      <c r="Y195" s="96"/>
      <c r="Z195" s="97"/>
      <c r="AA195" s="96"/>
      <c r="AB195" s="97"/>
      <c r="AC195" s="110"/>
      <c r="AD195" s="247"/>
      <c r="AE195" s="253"/>
      <c r="AF195" s="253"/>
      <c r="AG195" s="254"/>
      <c r="AH195" s="254"/>
      <c r="AI195" s="254"/>
      <c r="AJ195" s="489" t="str">
        <f>IFERROR(VLOOKUP(AI195,Listas!K:L,2,0),"")</f>
        <v/>
      </c>
      <c r="AK195" s="248" t="str">
        <f>IFERROR(VLOOKUP(AJ195,Listas!L:M,2,0),"")</f>
        <v/>
      </c>
      <c r="AL195" s="252"/>
      <c r="AM195" s="251"/>
      <c r="AN195" s="252"/>
      <c r="AO195" s="251"/>
      <c r="AP195" s="252"/>
      <c r="AQ195" s="252"/>
      <c r="AR195" s="248"/>
      <c r="AS195" s="248"/>
      <c r="AT195" s="251"/>
      <c r="AU195" s="251"/>
      <c r="AV195" s="252"/>
      <c r="AW195" s="252"/>
      <c r="AX195" s="248"/>
      <c r="AY195" s="248"/>
      <c r="AZ195" s="251"/>
      <c r="BA195" s="252"/>
      <c r="BB195" s="21"/>
      <c r="BC195" s="491" t="e">
        <f t="shared" si="17"/>
        <v>#VALUE!</v>
      </c>
      <c r="BD195" s="491" t="e">
        <f t="shared" si="20"/>
        <v>#VALUE!</v>
      </c>
      <c r="BE195" s="251"/>
      <c r="BF195" s="251"/>
      <c r="BG195" s="348" t="str">
        <f t="shared" si="21"/>
        <v/>
      </c>
      <c r="BH195" s="350"/>
    </row>
    <row r="196" spans="1:60" s="339" customFormat="1" ht="75" hidden="1">
      <c r="A196" s="357">
        <v>20221495016</v>
      </c>
      <c r="B196" s="188" t="str">
        <f>VLOOKUP(A196,'Datos Personales'!A:M,2,FALSE)</f>
        <v>UNIGARRO DIAZ CHRISTIAN JOSE</v>
      </c>
      <c r="C196" s="358">
        <f>VLOOKUP(A196,'ESTADOS ESTUDIANTES'!B:L,11,0)</f>
        <v>1113514597</v>
      </c>
      <c r="D196" s="358">
        <f>VLOOKUP(A196,'Datos Personales'!$A:$M,3,FALSE)</f>
        <v>495</v>
      </c>
      <c r="E196" s="358" t="str">
        <f>VLOOKUP(Tabla4[[#This Row],[ENFASIS]],Listas!$R$2:$S$8,2,0)</f>
        <v>ENFASIS EN ING. SOFT</v>
      </c>
      <c r="F196" s="358" t="str">
        <f>VLOOKUP(A196,'Datos Personales'!A:M,8,0)</f>
        <v>cjunigarrod@udistrital.edu.co</v>
      </c>
      <c r="G196" s="358" t="str">
        <f>VLOOKUP(A196,'Datos Personales'!A:M,9,0)</f>
        <v>cunigarrod@gmail.com</v>
      </c>
      <c r="H196" s="358" t="str">
        <f>VLOOKUP(A196,'Datos Personales'!A:M,5,FALSE)</f>
        <v>E</v>
      </c>
      <c r="I196" s="358" t="str">
        <f>VLOOKUP(Tabla4[[#This Row],[CODIGO]],'ESTADOS ESTUDIANTES'!B:M,12,0)</f>
        <v>2026-1</v>
      </c>
      <c r="J196" s="360" t="s">
        <v>60</v>
      </c>
      <c r="K196" s="238" t="s">
        <v>715</v>
      </c>
      <c r="L196" s="171" t="s">
        <v>312</v>
      </c>
      <c r="M196" s="254"/>
      <c r="N196" s="361">
        <v>45371</v>
      </c>
      <c r="O196" s="358">
        <v>2024</v>
      </c>
      <c r="P196" s="360" t="s">
        <v>537</v>
      </c>
      <c r="Q196" s="360" t="s">
        <v>712</v>
      </c>
      <c r="R196" s="362">
        <v>45372</v>
      </c>
      <c r="S196" s="362">
        <f>IF(Tabla4[[#This Row],[FECHA DE ACEPTACION DEL GRUP. INV.]]="","",DATE(YEAR(Tabla4[[#This Row],[FECHA DE ACEPTACION DEL GRUP. INV.]])+2,MONTH(Tabla4[[#This Row],[FECHA DE ACEPTACION DEL GRUP. INV.]]),DAY(Tabla4[[#This Row],[FECHA DE ACEPTACION DEL GRUP. INV.]])))</f>
        <v>46102</v>
      </c>
      <c r="T196" s="362" t="str">
        <f ca="1">IF(Tabla4[[#This Row],[FECHA DE ACEPTACION DEL GRUP. INV.]]="","",IF(Tabla4[[#This Row],[FECHA DE VENCIMIENTO ANTE PROYECTO]]&lt;TODAY(),"SÍ","NO"))</f>
        <v>SÍ</v>
      </c>
      <c r="U196" s="362" t="s">
        <v>62</v>
      </c>
      <c r="V196" s="362"/>
      <c r="W196" s="363"/>
      <c r="X196" s="363"/>
      <c r="Y196" s="189">
        <v>45139</v>
      </c>
      <c r="Z196" s="191">
        <v>134</v>
      </c>
      <c r="AA196" s="189">
        <v>45768</v>
      </c>
      <c r="AB196" s="191">
        <v>121</v>
      </c>
      <c r="AC196" s="169" t="s">
        <v>79</v>
      </c>
      <c r="AD196" s="360" t="s">
        <v>610</v>
      </c>
      <c r="AE196" s="365">
        <v>45931</v>
      </c>
      <c r="AF196" s="365" t="s">
        <v>716</v>
      </c>
      <c r="AG196" s="365" t="s">
        <v>717</v>
      </c>
      <c r="AH196" s="254">
        <v>2025</v>
      </c>
      <c r="AI196" s="254" t="s">
        <v>44</v>
      </c>
      <c r="AJ196" s="471">
        <f>IFERROR(VLOOKUP(AI196,Listas!K:L,2,0),"")</f>
        <v>0.8</v>
      </c>
      <c r="AK196" s="367">
        <f>IFERROR(VLOOKUP(AJ196,Listas!L:M,2,0),"")</f>
        <v>40</v>
      </c>
      <c r="AL196" s="361"/>
      <c r="AM196" s="254" t="s">
        <v>718</v>
      </c>
      <c r="AN196" s="361">
        <v>45931</v>
      </c>
      <c r="AO196" s="254" t="s">
        <v>338</v>
      </c>
      <c r="AP196" s="361"/>
      <c r="AQ196" s="361"/>
      <c r="AR196" s="367">
        <v>47</v>
      </c>
      <c r="AS196" s="367">
        <v>43</v>
      </c>
      <c r="AT196" s="254"/>
      <c r="AU196" s="254" t="s">
        <v>270</v>
      </c>
      <c r="AV196" s="361"/>
      <c r="AW196" s="361"/>
      <c r="AX196" s="367">
        <v>45</v>
      </c>
      <c r="AY196" s="367">
        <v>40</v>
      </c>
      <c r="AZ196" s="254"/>
      <c r="BA196" s="361"/>
      <c r="BB196" s="232">
        <f>IFERROR(AVERAGE(AR196,AS196,AX196,AY196),"")</f>
        <v>43.75</v>
      </c>
      <c r="BC196" s="472">
        <f t="shared" si="17"/>
        <v>8.7499999999999982</v>
      </c>
      <c r="BD196" s="472">
        <f t="shared" si="20"/>
        <v>48.75</v>
      </c>
      <c r="BE196" s="254"/>
      <c r="BF196" s="254"/>
      <c r="BG196" s="368" t="str">
        <f t="shared" si="21"/>
        <v/>
      </c>
      <c r="BH196" s="350"/>
    </row>
    <row r="197" spans="1:60" ht="60" hidden="1">
      <c r="A197" s="187">
        <v>20221495017</v>
      </c>
      <c r="B197" s="188" t="str">
        <f>VLOOKUP(A197,'Datos Personales'!A:M,2,FALSE)</f>
        <v>VELANDIA GUACANEME CRISTIAN ESTEVED</v>
      </c>
      <c r="C197" s="358">
        <f>VLOOKUP(A197,'ESTADOS ESTUDIANTES'!B:L,11,0)</f>
        <v>1026284396</v>
      </c>
      <c r="D197" s="358">
        <f>VLOOKUP(A197,'Datos Personales'!$A:$M,3,FALSE)</f>
        <v>495</v>
      </c>
      <c r="E197" s="358" t="str">
        <f>VLOOKUP(Tabla4[[#This Row],[ENFASIS]],Listas!$R$2:$S$8,2,0)</f>
        <v>ENFASIS EN ING. SOFT</v>
      </c>
      <c r="F197" s="358" t="str">
        <f>VLOOKUP(A197,'Datos Personales'!A:M,8,0)</f>
        <v>cevelandiag@udistrital.edu.co</v>
      </c>
      <c r="G197" s="358" t="str">
        <f>VLOOKUP(A197,'Datos Personales'!A:M,9,0)</f>
        <v>crevelandiagu@unal.edu.co</v>
      </c>
      <c r="H197" s="358" t="str">
        <f>VLOOKUP(A197,'Datos Personales'!A:M,5,FALSE)</f>
        <v>X</v>
      </c>
      <c r="I197" s="358" t="str">
        <f>VLOOKUP(Tabla4[[#This Row],[CODIGO]],'ESTADOS ESTUDIANTES'!B:M,12,0)</f>
        <v>2023-1</v>
      </c>
      <c r="J197" s="360" t="s">
        <v>60</v>
      </c>
      <c r="K197" s="171" t="s">
        <v>719</v>
      </c>
      <c r="L197" s="171" t="s">
        <v>312</v>
      </c>
      <c r="M197" s="169"/>
      <c r="N197" s="189">
        <v>44704</v>
      </c>
      <c r="O197" s="188">
        <v>2022</v>
      </c>
      <c r="P197" s="171" t="s">
        <v>537</v>
      </c>
      <c r="Q197" s="171" t="s">
        <v>712</v>
      </c>
      <c r="R197" s="230"/>
      <c r="S197" s="230" t="str">
        <f>IF(Tabla4[[#This Row],[FECHA DE ACEPTACION DEL GRUP. INV.]]="","",DATE(YEAR(Tabla4[[#This Row],[FECHA DE ACEPTACION DEL GRUP. INV.]])+2,MONTH(Tabla4[[#This Row],[FECHA DE ACEPTACION DEL GRUP. INV.]]),DAY(Tabla4[[#This Row],[FECHA DE ACEPTACION DEL GRUP. INV.]])))</f>
        <v/>
      </c>
      <c r="T197" s="230" t="str">
        <f ca="1">IF(Tabla4[[#This Row],[FECHA DE ACEPTACION DEL GRUP. INV.]]="","",IF(Tabla4[[#This Row],[FECHA DE VENCIMIENTO ANTE PROYECTO]]&lt;TODAY(),"SÍ","NO"))</f>
        <v/>
      </c>
      <c r="U197" s="230"/>
      <c r="V197" s="230"/>
      <c r="W197" s="231"/>
      <c r="X197" s="231"/>
      <c r="Y197" s="189"/>
      <c r="Z197" s="191"/>
      <c r="AA197" s="189"/>
      <c r="AB197" s="191"/>
      <c r="AC197" s="110"/>
      <c r="AD197" s="171"/>
      <c r="AE197" s="190"/>
      <c r="AF197" s="190"/>
      <c r="AG197" s="169"/>
      <c r="AH197" s="169"/>
      <c r="AI197" s="169"/>
      <c r="AJ197" s="170" t="str">
        <f>IFERROR(VLOOKUP(AI197,Listas!K:L,2,0),"")</f>
        <v/>
      </c>
      <c r="AK197" s="21" t="str">
        <f>IFERROR(VLOOKUP(AJ197,Listas!L:M,2,0),"")</f>
        <v/>
      </c>
      <c r="AL197" s="189"/>
      <c r="AM197" s="169"/>
      <c r="AN197" s="189"/>
      <c r="AO197" s="169"/>
      <c r="AP197" s="189"/>
      <c r="AQ197" s="189"/>
      <c r="AR197" s="187"/>
      <c r="AS197" s="187"/>
      <c r="AT197" s="169"/>
      <c r="AU197" s="169"/>
      <c r="AV197" s="189"/>
      <c r="AW197" s="189"/>
      <c r="AX197" s="187"/>
      <c r="AY197" s="187"/>
      <c r="AZ197" s="169"/>
      <c r="BA197" s="189"/>
      <c r="BB197" s="232" t="str">
        <f>IFERROR(AVERAGE(AR197,AS197,AX197,AY197),"")</f>
        <v/>
      </c>
      <c r="BC197" s="338" t="e">
        <f t="shared" si="17"/>
        <v>#VALUE!</v>
      </c>
      <c r="BD197" s="338" t="e">
        <f t="shared" si="20"/>
        <v>#VALUE!</v>
      </c>
      <c r="BE197" s="169"/>
      <c r="BF197" s="169"/>
      <c r="BG197" s="234" t="str">
        <f t="shared" si="21"/>
        <v/>
      </c>
      <c r="BH197" s="351"/>
    </row>
    <row r="198" spans="1:60" ht="15" hidden="1">
      <c r="A198" s="184"/>
      <c r="B198" s="159"/>
      <c r="C198" s="159"/>
      <c r="D198" s="159"/>
      <c r="E198" s="159" t="e">
        <f>VLOOKUP(Tabla4[[#This Row],[ENFASIS]],Listas!$R$2:$S$8,2,0)</f>
        <v>#N/A</v>
      </c>
      <c r="F198" s="87"/>
      <c r="G198" s="87"/>
      <c r="H198" s="87"/>
      <c r="I198" s="159"/>
      <c r="J198" s="87"/>
      <c r="K198" s="87"/>
      <c r="L198" s="87"/>
      <c r="M198" s="172"/>
      <c r="N198" s="86"/>
      <c r="O198" s="188"/>
      <c r="P198" s="171"/>
      <c r="Q198" s="87"/>
      <c r="R198" s="173"/>
      <c r="S198" s="173" t="str">
        <f>IF(Tabla4[[#This Row],[FECHA DE ACEPTACION DEL GRUP. INV.]]="","",DATE(YEAR(Tabla4[[#This Row],[FECHA DE ACEPTACION DEL GRUP. INV.]])+2,MONTH(Tabla4[[#This Row],[FECHA DE ACEPTACION DEL GRUP. INV.]]),DAY(Tabla4[[#This Row],[FECHA DE ACEPTACION DEL GRUP. INV.]])))</f>
        <v/>
      </c>
      <c r="T198" s="173" t="str">
        <f ca="1">IF(Tabla4[[#This Row],[FECHA DE ACEPTACION DEL GRUP. INV.]]="","",IF(Tabla4[[#This Row],[FECHA DE VENCIMIENTO ANTE PROYECTO]]&lt;TODAY(),"SÍ","NO"))</f>
        <v/>
      </c>
      <c r="U198" s="173"/>
      <c r="V198" s="173"/>
      <c r="W198" s="87"/>
      <c r="X198" s="87"/>
      <c r="Y198" s="86"/>
      <c r="Z198" s="160"/>
      <c r="AA198" s="86"/>
      <c r="AB198" s="160"/>
      <c r="AC198" s="110"/>
      <c r="AD198" s="87"/>
      <c r="AE198" s="173"/>
      <c r="AF198" s="173"/>
      <c r="AG198" s="190"/>
      <c r="AH198" s="169"/>
      <c r="AI198" s="169"/>
      <c r="AJ198" s="180"/>
      <c r="AK198" s="180"/>
      <c r="AL198" s="86"/>
      <c r="AM198" s="172"/>
      <c r="AN198" s="86"/>
      <c r="AO198" s="169"/>
      <c r="AP198" s="86"/>
      <c r="AQ198" s="86"/>
      <c r="AR198" s="158"/>
      <c r="AS198" s="158"/>
      <c r="AT198" s="169"/>
      <c r="AU198" s="169"/>
      <c r="AV198" s="86"/>
      <c r="AW198" s="86"/>
      <c r="AX198" s="158"/>
      <c r="AY198" s="158"/>
      <c r="AZ198" s="169"/>
      <c r="BA198" s="86"/>
      <c r="BB198" s="158"/>
      <c r="BC198" s="292"/>
      <c r="BD198" s="292"/>
      <c r="BE198" s="172"/>
      <c r="BF198" s="172"/>
      <c r="BG198" s="234"/>
      <c r="BH198" s="351"/>
    </row>
    <row r="199" spans="1:60" ht="15" hidden="1">
      <c r="A199" s="184"/>
      <c r="B199" s="159"/>
      <c r="C199" s="159"/>
      <c r="D199" s="159"/>
      <c r="E199" s="159" t="e">
        <f>VLOOKUP(Tabla4[[#This Row],[ENFASIS]],Listas!$R$2:$S$8,2,0)</f>
        <v>#N/A</v>
      </c>
      <c r="F199" s="87"/>
      <c r="G199" s="87"/>
      <c r="H199" s="87"/>
      <c r="I199" s="159"/>
      <c r="J199" s="87"/>
      <c r="K199" s="87"/>
      <c r="L199" s="87"/>
      <c r="M199" s="172"/>
      <c r="N199" s="86"/>
      <c r="O199" s="188"/>
      <c r="P199" s="171"/>
      <c r="Q199" s="87"/>
      <c r="R199" s="173"/>
      <c r="S199" s="173" t="str">
        <f>IF(Tabla4[[#This Row],[FECHA DE ACEPTACION DEL GRUP. INV.]]="","",DATE(YEAR(Tabla4[[#This Row],[FECHA DE ACEPTACION DEL GRUP. INV.]])+2,MONTH(Tabla4[[#This Row],[FECHA DE ACEPTACION DEL GRUP. INV.]]),DAY(Tabla4[[#This Row],[FECHA DE ACEPTACION DEL GRUP. INV.]])))</f>
        <v/>
      </c>
      <c r="T199" s="173" t="str">
        <f ca="1">IF(Tabla4[[#This Row],[FECHA DE ACEPTACION DEL GRUP. INV.]]="","",IF(Tabla4[[#This Row],[FECHA DE VENCIMIENTO ANTE PROYECTO]]&lt;TODAY(),"SÍ","NO"))</f>
        <v/>
      </c>
      <c r="U199" s="173"/>
      <c r="V199" s="173"/>
      <c r="W199" s="87"/>
      <c r="X199" s="87"/>
      <c r="Y199" s="86"/>
      <c r="Z199" s="160"/>
      <c r="AA199" s="86"/>
      <c r="AB199" s="160"/>
      <c r="AC199" s="110"/>
      <c r="AD199" s="87"/>
      <c r="AE199" s="173"/>
      <c r="AF199" s="173"/>
      <c r="AG199" s="190"/>
      <c r="AH199" s="169"/>
      <c r="AI199" s="169"/>
      <c r="AJ199" s="180"/>
      <c r="AK199" s="180"/>
      <c r="AL199" s="86"/>
      <c r="AM199" s="172"/>
      <c r="AN199" s="86"/>
      <c r="AO199" s="169"/>
      <c r="AP199" s="86"/>
      <c r="AQ199" s="86"/>
      <c r="AR199" s="158"/>
      <c r="AS199" s="158"/>
      <c r="AT199" s="169"/>
      <c r="AU199" s="169"/>
      <c r="AV199" s="86"/>
      <c r="AW199" s="86"/>
      <c r="AX199" s="158"/>
      <c r="AY199" s="158"/>
      <c r="AZ199" s="169"/>
      <c r="BA199" s="86"/>
      <c r="BB199" s="158"/>
      <c r="BC199" s="292"/>
      <c r="BD199" s="292"/>
      <c r="BE199" s="172"/>
      <c r="BF199" s="172"/>
      <c r="BG199" s="234"/>
      <c r="BH199" s="351"/>
    </row>
    <row r="200" spans="1:60" ht="15" hidden="1">
      <c r="A200" s="184"/>
      <c r="B200" s="159"/>
      <c r="C200" s="159"/>
      <c r="D200" s="159"/>
      <c r="E200" s="159" t="e">
        <f>VLOOKUP(Tabla4[[#This Row],[ENFASIS]],Listas!$R$2:$S$8,2,0)</f>
        <v>#N/A</v>
      </c>
      <c r="F200" s="87"/>
      <c r="G200" s="87"/>
      <c r="H200" s="87"/>
      <c r="I200" s="159"/>
      <c r="J200" s="87"/>
      <c r="K200" s="87"/>
      <c r="L200" s="87"/>
      <c r="M200" s="172"/>
      <c r="N200" s="86"/>
      <c r="O200" s="188"/>
      <c r="P200" s="171"/>
      <c r="Q200" s="87"/>
      <c r="R200" s="173"/>
      <c r="S200" s="173" t="str">
        <f>IF(Tabla4[[#This Row],[FECHA DE ACEPTACION DEL GRUP. INV.]]="","",DATE(YEAR(Tabla4[[#This Row],[FECHA DE ACEPTACION DEL GRUP. INV.]])+2,MONTH(Tabla4[[#This Row],[FECHA DE ACEPTACION DEL GRUP. INV.]]),DAY(Tabla4[[#This Row],[FECHA DE ACEPTACION DEL GRUP. INV.]])))</f>
        <v/>
      </c>
      <c r="T200" s="173" t="str">
        <f ca="1">IF(Tabla4[[#This Row],[FECHA DE ACEPTACION DEL GRUP. INV.]]="","",IF(Tabla4[[#This Row],[FECHA DE VENCIMIENTO ANTE PROYECTO]]&lt;TODAY(),"SÍ","NO"))</f>
        <v/>
      </c>
      <c r="U200" s="173"/>
      <c r="V200" s="173"/>
      <c r="W200" s="87"/>
      <c r="X200" s="87"/>
      <c r="Y200" s="86"/>
      <c r="Z200" s="160"/>
      <c r="AA200" s="86"/>
      <c r="AB200" s="160"/>
      <c r="AC200" s="110"/>
      <c r="AD200" s="87"/>
      <c r="AE200" s="173"/>
      <c r="AF200" s="173"/>
      <c r="AG200" s="190"/>
      <c r="AH200" s="169"/>
      <c r="AI200" s="169"/>
      <c r="AJ200" s="180"/>
      <c r="AK200" s="180"/>
      <c r="AL200" s="86"/>
      <c r="AM200" s="172"/>
      <c r="AN200" s="86"/>
      <c r="AO200" s="169"/>
      <c r="AP200" s="86"/>
      <c r="AQ200" s="86"/>
      <c r="AR200" s="158"/>
      <c r="AS200" s="158"/>
      <c r="AT200" s="169"/>
      <c r="AU200" s="169"/>
      <c r="AV200" s="86"/>
      <c r="AW200" s="86"/>
      <c r="AX200" s="158"/>
      <c r="AY200" s="158"/>
      <c r="AZ200" s="169"/>
      <c r="BA200" s="86"/>
      <c r="BB200" s="158"/>
      <c r="BC200" s="292"/>
      <c r="BD200" s="292"/>
      <c r="BE200" s="172"/>
      <c r="BF200" s="172"/>
      <c r="BG200" s="234"/>
      <c r="BH200" s="351"/>
    </row>
    <row r="201" spans="1:60" ht="15" hidden="1">
      <c r="A201" s="184"/>
      <c r="B201" s="159"/>
      <c r="C201" s="159"/>
      <c r="D201" s="159"/>
      <c r="E201" s="159" t="e">
        <f>VLOOKUP(Tabla4[[#This Row],[ENFASIS]],Listas!$R$2:$S$8,2,0)</f>
        <v>#N/A</v>
      </c>
      <c r="F201" s="87"/>
      <c r="G201" s="87"/>
      <c r="H201" s="87"/>
      <c r="I201" s="159"/>
      <c r="J201" s="87"/>
      <c r="K201" s="87"/>
      <c r="L201" s="87"/>
      <c r="M201" s="172"/>
      <c r="N201" s="86"/>
      <c r="O201" s="188"/>
      <c r="P201" s="171"/>
      <c r="Q201" s="87"/>
      <c r="R201" s="173"/>
      <c r="S201" s="173" t="str">
        <f>IF(Tabla4[[#This Row],[FECHA DE ACEPTACION DEL GRUP. INV.]]="","",DATE(YEAR(Tabla4[[#This Row],[FECHA DE ACEPTACION DEL GRUP. INV.]])+2,MONTH(Tabla4[[#This Row],[FECHA DE ACEPTACION DEL GRUP. INV.]]),DAY(Tabla4[[#This Row],[FECHA DE ACEPTACION DEL GRUP. INV.]])))</f>
        <v/>
      </c>
      <c r="T201" s="173" t="str">
        <f ca="1">IF(Tabla4[[#This Row],[FECHA DE ACEPTACION DEL GRUP. INV.]]="","",IF(Tabla4[[#This Row],[FECHA DE VENCIMIENTO ANTE PROYECTO]]&lt;TODAY(),"SÍ","NO"))</f>
        <v/>
      </c>
      <c r="U201" s="173"/>
      <c r="V201" s="173"/>
      <c r="W201" s="87"/>
      <c r="X201" s="87"/>
      <c r="Y201" s="86"/>
      <c r="Z201" s="160"/>
      <c r="AA201" s="86"/>
      <c r="AB201" s="160"/>
      <c r="AC201" s="110"/>
      <c r="AD201" s="87"/>
      <c r="AE201" s="173"/>
      <c r="AF201" s="173"/>
      <c r="AG201" s="190"/>
      <c r="AH201" s="169"/>
      <c r="AI201" s="169"/>
      <c r="AJ201" s="180"/>
      <c r="AK201" s="180"/>
      <c r="AL201" s="86"/>
      <c r="AM201" s="172"/>
      <c r="AN201" s="86"/>
      <c r="AO201" s="169"/>
      <c r="AP201" s="86"/>
      <c r="AQ201" s="86"/>
      <c r="AR201" s="158"/>
      <c r="AS201" s="158"/>
      <c r="AT201" s="169"/>
      <c r="AU201" s="169"/>
      <c r="AV201" s="86"/>
      <c r="AW201" s="86"/>
      <c r="AX201" s="158"/>
      <c r="AY201" s="158"/>
      <c r="AZ201" s="169"/>
      <c r="BA201" s="86"/>
      <c r="BB201" s="158"/>
      <c r="BC201" s="292"/>
      <c r="BD201" s="292"/>
      <c r="BE201" s="172"/>
      <c r="BF201" s="172"/>
      <c r="BG201" s="234"/>
      <c r="BH201" s="351"/>
    </row>
    <row r="202" spans="1:60" ht="15" hidden="1">
      <c r="A202" s="184"/>
      <c r="B202" s="159"/>
      <c r="C202" s="159"/>
      <c r="D202" s="159"/>
      <c r="E202" s="159" t="e">
        <f>VLOOKUP(Tabla4[[#This Row],[ENFASIS]],Listas!$R$2:$S$8,2,0)</f>
        <v>#N/A</v>
      </c>
      <c r="F202" s="87"/>
      <c r="G202" s="87"/>
      <c r="H202" s="87"/>
      <c r="I202" s="159"/>
      <c r="J202" s="87"/>
      <c r="K202" s="87"/>
      <c r="L202" s="87"/>
      <c r="M202" s="172"/>
      <c r="N202" s="86"/>
      <c r="O202" s="188"/>
      <c r="P202" s="171"/>
      <c r="Q202" s="87"/>
      <c r="R202" s="173"/>
      <c r="S202" s="173" t="str">
        <f>IF(Tabla4[[#This Row],[FECHA DE ACEPTACION DEL GRUP. INV.]]="","",DATE(YEAR(Tabla4[[#This Row],[FECHA DE ACEPTACION DEL GRUP. INV.]])+2,MONTH(Tabla4[[#This Row],[FECHA DE ACEPTACION DEL GRUP. INV.]]),DAY(Tabla4[[#This Row],[FECHA DE ACEPTACION DEL GRUP. INV.]])))</f>
        <v/>
      </c>
      <c r="T202" s="173" t="str">
        <f ca="1">IF(Tabla4[[#This Row],[FECHA DE ACEPTACION DEL GRUP. INV.]]="","",IF(Tabla4[[#This Row],[FECHA DE VENCIMIENTO ANTE PROYECTO]]&lt;TODAY(),"SÍ","NO"))</f>
        <v/>
      </c>
      <c r="U202" s="173"/>
      <c r="V202" s="173"/>
      <c r="W202" s="87"/>
      <c r="X202" s="87"/>
      <c r="Y202" s="86"/>
      <c r="Z202" s="160"/>
      <c r="AA202" s="86"/>
      <c r="AB202" s="160"/>
      <c r="AC202" s="110"/>
      <c r="AD202" s="87"/>
      <c r="AE202" s="173"/>
      <c r="AF202" s="173"/>
      <c r="AG202" s="190"/>
      <c r="AH202" s="169"/>
      <c r="AI202" s="169"/>
      <c r="AJ202" s="180"/>
      <c r="AK202" s="180"/>
      <c r="AL202" s="86"/>
      <c r="AM202" s="172"/>
      <c r="AN202" s="86"/>
      <c r="AO202" s="169"/>
      <c r="AP202" s="86"/>
      <c r="AQ202" s="86"/>
      <c r="AR202" s="158"/>
      <c r="AS202" s="158"/>
      <c r="AT202" s="169"/>
      <c r="AU202" s="169"/>
      <c r="AV202" s="86"/>
      <c r="AW202" s="86"/>
      <c r="AX202" s="158"/>
      <c r="AY202" s="158"/>
      <c r="AZ202" s="169"/>
      <c r="BA202" s="86"/>
      <c r="BB202" s="158"/>
      <c r="BC202" s="292"/>
      <c r="BD202" s="292"/>
      <c r="BE202" s="172"/>
      <c r="BF202" s="172"/>
      <c r="BG202" s="234"/>
      <c r="BH202" s="351"/>
    </row>
    <row r="203" spans="1:60" ht="15" hidden="1">
      <c r="A203" s="184"/>
      <c r="B203" s="159"/>
      <c r="C203" s="159"/>
      <c r="D203" s="159"/>
      <c r="E203" s="159" t="e">
        <f>VLOOKUP(Tabla4[[#This Row],[ENFASIS]],Listas!$R$2:$S$8,2,0)</f>
        <v>#N/A</v>
      </c>
      <c r="F203" s="87"/>
      <c r="G203" s="87"/>
      <c r="H203" s="87"/>
      <c r="I203" s="159"/>
      <c r="J203" s="87"/>
      <c r="K203" s="87"/>
      <c r="L203" s="87"/>
      <c r="M203" s="172"/>
      <c r="N203" s="86"/>
      <c r="O203" s="188"/>
      <c r="P203" s="171"/>
      <c r="Q203" s="87"/>
      <c r="R203" s="173"/>
      <c r="S203" s="173" t="str">
        <f>IF(Tabla4[[#This Row],[FECHA DE ACEPTACION DEL GRUP. INV.]]="","",DATE(YEAR(Tabla4[[#This Row],[FECHA DE ACEPTACION DEL GRUP. INV.]])+2,MONTH(Tabla4[[#This Row],[FECHA DE ACEPTACION DEL GRUP. INV.]]),DAY(Tabla4[[#This Row],[FECHA DE ACEPTACION DEL GRUP. INV.]])))</f>
        <v/>
      </c>
      <c r="T203" s="173" t="str">
        <f ca="1">IF(Tabla4[[#This Row],[FECHA DE ACEPTACION DEL GRUP. INV.]]="","",IF(Tabla4[[#This Row],[FECHA DE VENCIMIENTO ANTE PROYECTO]]&lt;TODAY(),"SÍ","NO"))</f>
        <v/>
      </c>
      <c r="U203" s="173"/>
      <c r="V203" s="173"/>
      <c r="W203" s="87"/>
      <c r="X203" s="87"/>
      <c r="Y203" s="86"/>
      <c r="Z203" s="160"/>
      <c r="AA203" s="86"/>
      <c r="AB203" s="160"/>
      <c r="AC203" s="110"/>
      <c r="AD203" s="87"/>
      <c r="AE203" s="173"/>
      <c r="AF203" s="173"/>
      <c r="AG203" s="190"/>
      <c r="AH203" s="169"/>
      <c r="AI203" s="169"/>
      <c r="AJ203" s="180"/>
      <c r="AK203" s="180"/>
      <c r="AL203" s="86"/>
      <c r="AM203" s="172"/>
      <c r="AN203" s="86"/>
      <c r="AO203" s="169"/>
      <c r="AP203" s="86"/>
      <c r="AQ203" s="86"/>
      <c r="AR203" s="158"/>
      <c r="AS203" s="158"/>
      <c r="AT203" s="169"/>
      <c r="AU203" s="169"/>
      <c r="AV203" s="86"/>
      <c r="AW203" s="86"/>
      <c r="AX203" s="158"/>
      <c r="AY203" s="158"/>
      <c r="AZ203" s="169"/>
      <c r="BA203" s="86"/>
      <c r="BB203" s="158"/>
      <c r="BC203" s="292"/>
      <c r="BD203" s="292"/>
      <c r="BE203" s="172"/>
      <c r="BF203" s="172"/>
      <c r="BG203" s="234"/>
      <c r="BH203" s="351"/>
    </row>
    <row r="204" spans="1:60" ht="15" hidden="1">
      <c r="A204" s="184"/>
      <c r="B204" s="159"/>
      <c r="C204" s="159"/>
      <c r="D204" s="159"/>
      <c r="E204" s="159" t="e">
        <f>VLOOKUP(Tabla4[[#This Row],[ENFASIS]],Listas!$R$2:$S$8,2,0)</f>
        <v>#N/A</v>
      </c>
      <c r="F204" s="87"/>
      <c r="G204" s="87"/>
      <c r="H204" s="87"/>
      <c r="I204" s="159"/>
      <c r="J204" s="87"/>
      <c r="K204" s="87"/>
      <c r="L204" s="87"/>
      <c r="M204" s="172"/>
      <c r="N204" s="86"/>
      <c r="O204" s="188"/>
      <c r="P204" s="171"/>
      <c r="Q204" s="87"/>
      <c r="R204" s="173"/>
      <c r="S204" s="173" t="str">
        <f>IF(Tabla4[[#This Row],[FECHA DE ACEPTACION DEL GRUP. INV.]]="","",DATE(YEAR(Tabla4[[#This Row],[FECHA DE ACEPTACION DEL GRUP. INV.]])+2,MONTH(Tabla4[[#This Row],[FECHA DE ACEPTACION DEL GRUP. INV.]]),DAY(Tabla4[[#This Row],[FECHA DE ACEPTACION DEL GRUP. INV.]])))</f>
        <v/>
      </c>
      <c r="T204" s="173" t="str">
        <f ca="1">IF(Tabla4[[#This Row],[FECHA DE ACEPTACION DEL GRUP. INV.]]="","",IF(Tabla4[[#This Row],[FECHA DE VENCIMIENTO ANTE PROYECTO]]&lt;TODAY(),"SÍ","NO"))</f>
        <v/>
      </c>
      <c r="U204" s="173"/>
      <c r="V204" s="173"/>
      <c r="W204" s="87"/>
      <c r="X204" s="87"/>
      <c r="Y204" s="86"/>
      <c r="Z204" s="160"/>
      <c r="AA204" s="86"/>
      <c r="AB204" s="160"/>
      <c r="AC204" s="110"/>
      <c r="AD204" s="87"/>
      <c r="AE204" s="173"/>
      <c r="AF204" s="173"/>
      <c r="AG204" s="190"/>
      <c r="AH204" s="169"/>
      <c r="AI204" s="169"/>
      <c r="AJ204" s="180"/>
      <c r="AK204" s="180"/>
      <c r="AL204" s="86"/>
      <c r="AM204" s="172"/>
      <c r="AN204" s="86"/>
      <c r="AO204" s="169"/>
      <c r="AP204" s="86"/>
      <c r="AQ204" s="86"/>
      <c r="AR204" s="158"/>
      <c r="AS204" s="158"/>
      <c r="AT204" s="169"/>
      <c r="AU204" s="169"/>
      <c r="AV204" s="86"/>
      <c r="AW204" s="86"/>
      <c r="AX204" s="158"/>
      <c r="AY204" s="158"/>
      <c r="AZ204" s="169"/>
      <c r="BA204" s="86"/>
      <c r="BB204" s="158"/>
      <c r="BC204" s="292"/>
      <c r="BD204" s="292"/>
      <c r="BE204" s="172"/>
      <c r="BF204" s="172"/>
      <c r="BG204" s="234"/>
      <c r="BH204" s="351"/>
    </row>
    <row r="205" spans="1:60" ht="15" hidden="1">
      <c r="A205" s="184"/>
      <c r="B205" s="159"/>
      <c r="C205" s="159"/>
      <c r="D205" s="159"/>
      <c r="E205" s="159" t="e">
        <f>VLOOKUP(Tabla4[[#This Row],[ENFASIS]],Listas!$R$2:$S$8,2,0)</f>
        <v>#N/A</v>
      </c>
      <c r="F205" s="87"/>
      <c r="G205" s="87"/>
      <c r="H205" s="87"/>
      <c r="I205" s="159"/>
      <c r="J205" s="87"/>
      <c r="K205" s="87"/>
      <c r="L205" s="87"/>
      <c r="M205" s="172"/>
      <c r="N205" s="86"/>
      <c r="O205" s="188"/>
      <c r="P205" s="171"/>
      <c r="Q205" s="87"/>
      <c r="R205" s="173"/>
      <c r="S205" s="173" t="str">
        <f>IF(Tabla4[[#This Row],[FECHA DE ACEPTACION DEL GRUP. INV.]]="","",DATE(YEAR(Tabla4[[#This Row],[FECHA DE ACEPTACION DEL GRUP. INV.]])+2,MONTH(Tabla4[[#This Row],[FECHA DE ACEPTACION DEL GRUP. INV.]]),DAY(Tabla4[[#This Row],[FECHA DE ACEPTACION DEL GRUP. INV.]])))</f>
        <v/>
      </c>
      <c r="T205" s="173" t="str">
        <f ca="1">IF(Tabla4[[#This Row],[FECHA DE ACEPTACION DEL GRUP. INV.]]="","",IF(Tabla4[[#This Row],[FECHA DE VENCIMIENTO ANTE PROYECTO]]&lt;TODAY(),"SÍ","NO"))</f>
        <v/>
      </c>
      <c r="U205" s="173"/>
      <c r="V205" s="173"/>
      <c r="W205" s="87"/>
      <c r="X205" s="87"/>
      <c r="Y205" s="86"/>
      <c r="Z205" s="160"/>
      <c r="AA205" s="86"/>
      <c r="AB205" s="160"/>
      <c r="AC205" s="110"/>
      <c r="AD205" s="87"/>
      <c r="AE205" s="173"/>
      <c r="AF205" s="173"/>
      <c r="AG205" s="190"/>
      <c r="AH205" s="169"/>
      <c r="AI205" s="169"/>
      <c r="AJ205" s="180"/>
      <c r="AK205" s="180"/>
      <c r="AL205" s="86"/>
      <c r="AM205" s="172"/>
      <c r="AN205" s="86"/>
      <c r="AO205" s="169"/>
      <c r="AP205" s="86"/>
      <c r="AQ205" s="86"/>
      <c r="AR205" s="158"/>
      <c r="AS205" s="158"/>
      <c r="AT205" s="169"/>
      <c r="AU205" s="169"/>
      <c r="AV205" s="86"/>
      <c r="AW205" s="86"/>
      <c r="AX205" s="158"/>
      <c r="AY205" s="158"/>
      <c r="AZ205" s="169"/>
      <c r="BA205" s="86"/>
      <c r="BB205" s="158"/>
      <c r="BC205" s="292"/>
      <c r="BD205" s="292"/>
      <c r="BE205" s="172"/>
      <c r="BF205" s="172"/>
      <c r="BG205" s="234"/>
      <c r="BH205" s="351"/>
    </row>
    <row r="206" spans="1:60" ht="15" hidden="1">
      <c r="A206" s="184"/>
      <c r="B206" s="159"/>
      <c r="C206" s="159"/>
      <c r="D206" s="159"/>
      <c r="E206" s="159" t="e">
        <f>VLOOKUP(Tabla4[[#This Row],[ENFASIS]],Listas!$R$2:$S$8,2,0)</f>
        <v>#N/A</v>
      </c>
      <c r="F206" s="87"/>
      <c r="G206" s="87"/>
      <c r="H206" s="87"/>
      <c r="I206" s="159"/>
      <c r="J206" s="87"/>
      <c r="K206" s="87"/>
      <c r="L206" s="87"/>
      <c r="M206" s="172"/>
      <c r="N206" s="86"/>
      <c r="O206" s="188"/>
      <c r="P206" s="171"/>
      <c r="Q206" s="87"/>
      <c r="R206" s="173"/>
      <c r="S206" s="173" t="str">
        <f>IF(Tabla4[[#This Row],[FECHA DE ACEPTACION DEL GRUP. INV.]]="","",DATE(YEAR(Tabla4[[#This Row],[FECHA DE ACEPTACION DEL GRUP. INV.]])+2,MONTH(Tabla4[[#This Row],[FECHA DE ACEPTACION DEL GRUP. INV.]]),DAY(Tabla4[[#This Row],[FECHA DE ACEPTACION DEL GRUP. INV.]])))</f>
        <v/>
      </c>
      <c r="T206" s="173" t="str">
        <f ca="1">IF(Tabla4[[#This Row],[FECHA DE ACEPTACION DEL GRUP. INV.]]="","",IF(Tabla4[[#This Row],[FECHA DE VENCIMIENTO ANTE PROYECTO]]&lt;TODAY(),"SÍ","NO"))</f>
        <v/>
      </c>
      <c r="U206" s="173"/>
      <c r="V206" s="173"/>
      <c r="W206" s="87"/>
      <c r="X206" s="87"/>
      <c r="Y206" s="86"/>
      <c r="Z206" s="160"/>
      <c r="AA206" s="86"/>
      <c r="AB206" s="160"/>
      <c r="AC206" s="110"/>
      <c r="AD206" s="87"/>
      <c r="AE206" s="173"/>
      <c r="AF206" s="173"/>
      <c r="AG206" s="190"/>
      <c r="AH206" s="169"/>
      <c r="AI206" s="169"/>
      <c r="AJ206" s="180"/>
      <c r="AK206" s="180"/>
      <c r="AL206" s="86"/>
      <c r="AM206" s="172"/>
      <c r="AN206" s="86"/>
      <c r="AO206" s="169"/>
      <c r="AP206" s="86"/>
      <c r="AQ206" s="86"/>
      <c r="AR206" s="158"/>
      <c r="AS206" s="158"/>
      <c r="AT206" s="169"/>
      <c r="AU206" s="169"/>
      <c r="AV206" s="86"/>
      <c r="AW206" s="86"/>
      <c r="AX206" s="158"/>
      <c r="AY206" s="158"/>
      <c r="AZ206" s="169"/>
      <c r="BA206" s="86"/>
      <c r="BB206" s="158"/>
      <c r="BC206" s="292"/>
      <c r="BD206" s="292"/>
      <c r="BE206" s="172"/>
      <c r="BF206" s="172"/>
      <c r="BG206" s="234"/>
      <c r="BH206" s="351"/>
    </row>
    <row r="207" spans="1:60" ht="15" hidden="1">
      <c r="A207" s="184"/>
      <c r="B207" s="159"/>
      <c r="C207" s="159"/>
      <c r="D207" s="159"/>
      <c r="E207" s="159" t="e">
        <f>VLOOKUP(Tabla4[[#This Row],[ENFASIS]],Listas!$R$2:$S$8,2,0)</f>
        <v>#N/A</v>
      </c>
      <c r="F207" s="87"/>
      <c r="G207" s="87"/>
      <c r="H207" s="87"/>
      <c r="I207" s="159"/>
      <c r="J207" s="87"/>
      <c r="K207" s="87"/>
      <c r="L207" s="87"/>
      <c r="M207" s="172"/>
      <c r="N207" s="86"/>
      <c r="O207" s="188"/>
      <c r="P207" s="171"/>
      <c r="Q207" s="87"/>
      <c r="R207" s="173"/>
      <c r="S207" s="173" t="str">
        <f>IF(Tabla4[[#This Row],[FECHA DE ACEPTACION DEL GRUP. INV.]]="","",DATE(YEAR(Tabla4[[#This Row],[FECHA DE ACEPTACION DEL GRUP. INV.]])+2,MONTH(Tabla4[[#This Row],[FECHA DE ACEPTACION DEL GRUP. INV.]]),DAY(Tabla4[[#This Row],[FECHA DE ACEPTACION DEL GRUP. INV.]])))</f>
        <v/>
      </c>
      <c r="T207" s="173" t="str">
        <f ca="1">IF(Tabla4[[#This Row],[FECHA DE ACEPTACION DEL GRUP. INV.]]="","",IF(Tabla4[[#This Row],[FECHA DE VENCIMIENTO ANTE PROYECTO]]&lt;TODAY(),"SÍ","NO"))</f>
        <v/>
      </c>
      <c r="U207" s="173"/>
      <c r="V207" s="173"/>
      <c r="W207" s="87"/>
      <c r="X207" s="87"/>
      <c r="Y207" s="86"/>
      <c r="Z207" s="160"/>
      <c r="AA207" s="86"/>
      <c r="AB207" s="160"/>
      <c r="AC207" s="110"/>
      <c r="AD207" s="87"/>
      <c r="AE207" s="173"/>
      <c r="AF207" s="173"/>
      <c r="AG207" s="190"/>
      <c r="AH207" s="169"/>
      <c r="AI207" s="169"/>
      <c r="AJ207" s="180"/>
      <c r="AK207" s="180"/>
      <c r="AL207" s="86"/>
      <c r="AM207" s="172"/>
      <c r="AN207" s="86"/>
      <c r="AO207" s="169"/>
      <c r="AP207" s="86"/>
      <c r="AQ207" s="86"/>
      <c r="AR207" s="158"/>
      <c r="AS207" s="158"/>
      <c r="AT207" s="169"/>
      <c r="AU207" s="169"/>
      <c r="AV207" s="86"/>
      <c r="AW207" s="86"/>
      <c r="AX207" s="158"/>
      <c r="AY207" s="158"/>
      <c r="AZ207" s="169"/>
      <c r="BA207" s="86"/>
      <c r="BB207" s="158"/>
      <c r="BC207" s="292"/>
      <c r="BD207" s="292"/>
      <c r="BE207" s="172"/>
      <c r="BF207" s="172"/>
      <c r="BG207" s="234"/>
      <c r="BH207" s="351"/>
    </row>
    <row r="208" spans="1:60" ht="15" hidden="1">
      <c r="A208" s="184"/>
      <c r="B208" s="159"/>
      <c r="C208" s="159"/>
      <c r="D208" s="159"/>
      <c r="E208" s="159" t="e">
        <f>VLOOKUP(Tabla4[[#This Row],[ENFASIS]],Listas!$R$2:$S$8,2,0)</f>
        <v>#N/A</v>
      </c>
      <c r="F208" s="87"/>
      <c r="G208" s="87"/>
      <c r="H208" s="87"/>
      <c r="I208" s="159"/>
      <c r="J208" s="87"/>
      <c r="K208" s="87"/>
      <c r="L208" s="87"/>
      <c r="M208" s="172"/>
      <c r="N208" s="86"/>
      <c r="O208" s="188"/>
      <c r="P208" s="171"/>
      <c r="Q208" s="87"/>
      <c r="R208" s="173"/>
      <c r="S208" s="173" t="str">
        <f>IF(Tabla4[[#This Row],[FECHA DE ACEPTACION DEL GRUP. INV.]]="","",DATE(YEAR(Tabla4[[#This Row],[FECHA DE ACEPTACION DEL GRUP. INV.]])+2,MONTH(Tabla4[[#This Row],[FECHA DE ACEPTACION DEL GRUP. INV.]]),DAY(Tabla4[[#This Row],[FECHA DE ACEPTACION DEL GRUP. INV.]])))</f>
        <v/>
      </c>
      <c r="T208" s="173" t="str">
        <f ca="1">IF(Tabla4[[#This Row],[FECHA DE ACEPTACION DEL GRUP. INV.]]="","",IF(Tabla4[[#This Row],[FECHA DE VENCIMIENTO ANTE PROYECTO]]&lt;TODAY(),"SÍ","NO"))</f>
        <v/>
      </c>
      <c r="U208" s="173"/>
      <c r="V208" s="173"/>
      <c r="W208" s="87"/>
      <c r="X208" s="87"/>
      <c r="Y208" s="86"/>
      <c r="Z208" s="160"/>
      <c r="AA208" s="86"/>
      <c r="AB208" s="160"/>
      <c r="AC208" s="110"/>
      <c r="AD208" s="87"/>
      <c r="AE208" s="173"/>
      <c r="AF208" s="173"/>
      <c r="AG208" s="190"/>
      <c r="AH208" s="169"/>
      <c r="AI208" s="169"/>
      <c r="AJ208" s="180"/>
      <c r="AK208" s="180"/>
      <c r="AL208" s="86"/>
      <c r="AM208" s="172"/>
      <c r="AN208" s="86"/>
      <c r="AO208" s="169"/>
      <c r="AP208" s="86"/>
      <c r="AQ208" s="86"/>
      <c r="AR208" s="158"/>
      <c r="AS208" s="158"/>
      <c r="AT208" s="169"/>
      <c r="AU208" s="169"/>
      <c r="AV208" s="86"/>
      <c r="AW208" s="86"/>
      <c r="AX208" s="158"/>
      <c r="AY208" s="158"/>
      <c r="AZ208" s="169"/>
      <c r="BA208" s="86"/>
      <c r="BB208" s="158"/>
      <c r="BC208" s="292"/>
      <c r="BD208" s="292"/>
      <c r="BE208" s="172"/>
      <c r="BF208" s="172"/>
      <c r="BG208" s="234"/>
      <c r="BH208" s="351"/>
    </row>
    <row r="209" spans="1:60" ht="15" hidden="1">
      <c r="A209" s="184"/>
      <c r="B209" s="159"/>
      <c r="C209" s="159"/>
      <c r="D209" s="159"/>
      <c r="E209" s="159" t="e">
        <f>VLOOKUP(Tabla4[[#This Row],[ENFASIS]],Listas!$R$2:$S$8,2,0)</f>
        <v>#N/A</v>
      </c>
      <c r="F209" s="87"/>
      <c r="G209" s="87"/>
      <c r="H209" s="87"/>
      <c r="I209" s="159"/>
      <c r="J209" s="87"/>
      <c r="K209" s="87"/>
      <c r="L209" s="87"/>
      <c r="M209" s="172"/>
      <c r="N209" s="86"/>
      <c r="O209" s="188"/>
      <c r="P209" s="171"/>
      <c r="Q209" s="87"/>
      <c r="R209" s="173"/>
      <c r="S209" s="173" t="str">
        <f>IF(Tabla4[[#This Row],[FECHA DE ACEPTACION DEL GRUP. INV.]]="","",DATE(YEAR(Tabla4[[#This Row],[FECHA DE ACEPTACION DEL GRUP. INV.]])+2,MONTH(Tabla4[[#This Row],[FECHA DE ACEPTACION DEL GRUP. INV.]]),DAY(Tabla4[[#This Row],[FECHA DE ACEPTACION DEL GRUP. INV.]])))</f>
        <v/>
      </c>
      <c r="T209" s="173" t="str">
        <f ca="1">IF(Tabla4[[#This Row],[FECHA DE ACEPTACION DEL GRUP. INV.]]="","",IF(Tabla4[[#This Row],[FECHA DE VENCIMIENTO ANTE PROYECTO]]&lt;TODAY(),"SÍ","NO"))</f>
        <v/>
      </c>
      <c r="U209" s="173"/>
      <c r="V209" s="173"/>
      <c r="W209" s="87"/>
      <c r="X209" s="87"/>
      <c r="Y209" s="86"/>
      <c r="Z209" s="160"/>
      <c r="AA209" s="86"/>
      <c r="AB209" s="160"/>
      <c r="AC209" s="110"/>
      <c r="AD209" s="87"/>
      <c r="AE209" s="173"/>
      <c r="AF209" s="173"/>
      <c r="AG209" s="190"/>
      <c r="AH209" s="169"/>
      <c r="AI209" s="169"/>
      <c r="AJ209" s="180"/>
      <c r="AK209" s="180"/>
      <c r="AL209" s="86"/>
      <c r="AM209" s="172"/>
      <c r="AN209" s="86"/>
      <c r="AO209" s="169"/>
      <c r="AP209" s="86"/>
      <c r="AQ209" s="86"/>
      <c r="AR209" s="158"/>
      <c r="AS209" s="158"/>
      <c r="AT209" s="169"/>
      <c r="AU209" s="169"/>
      <c r="AV209" s="86"/>
      <c r="AW209" s="86"/>
      <c r="AX209" s="158"/>
      <c r="AY209" s="158"/>
      <c r="AZ209" s="169"/>
      <c r="BA209" s="86"/>
      <c r="BB209" s="158"/>
      <c r="BC209" s="292"/>
      <c r="BD209" s="292"/>
      <c r="BE209" s="172"/>
      <c r="BF209" s="172"/>
      <c r="BG209" s="234"/>
      <c r="BH209" s="351"/>
    </row>
    <row r="210" spans="1:60" ht="15" hidden="1">
      <c r="A210" s="184"/>
      <c r="B210" s="159"/>
      <c r="C210" s="159"/>
      <c r="D210" s="159"/>
      <c r="E210" s="159" t="e">
        <f>VLOOKUP(Tabla4[[#This Row],[ENFASIS]],Listas!$R$2:$S$8,2,0)</f>
        <v>#N/A</v>
      </c>
      <c r="F210" s="87"/>
      <c r="G210" s="87"/>
      <c r="H210" s="87"/>
      <c r="I210" s="159"/>
      <c r="J210" s="87"/>
      <c r="K210" s="87"/>
      <c r="L210" s="87"/>
      <c r="M210" s="172"/>
      <c r="N210" s="86"/>
      <c r="O210" s="188"/>
      <c r="P210" s="171"/>
      <c r="Q210" s="87"/>
      <c r="R210" s="173"/>
      <c r="S210" s="173" t="str">
        <f>IF(Tabla4[[#This Row],[FECHA DE ACEPTACION DEL GRUP. INV.]]="","",DATE(YEAR(Tabla4[[#This Row],[FECHA DE ACEPTACION DEL GRUP. INV.]])+2,MONTH(Tabla4[[#This Row],[FECHA DE ACEPTACION DEL GRUP. INV.]]),DAY(Tabla4[[#This Row],[FECHA DE ACEPTACION DEL GRUP. INV.]])))</f>
        <v/>
      </c>
      <c r="T210" s="173" t="str">
        <f ca="1">IF(Tabla4[[#This Row],[FECHA DE ACEPTACION DEL GRUP. INV.]]="","",IF(Tabla4[[#This Row],[FECHA DE VENCIMIENTO ANTE PROYECTO]]&lt;TODAY(),"SÍ","NO"))</f>
        <v/>
      </c>
      <c r="U210" s="173"/>
      <c r="V210" s="173"/>
      <c r="W210" s="87"/>
      <c r="X210" s="87"/>
      <c r="Y210" s="86"/>
      <c r="Z210" s="160"/>
      <c r="AA210" s="86"/>
      <c r="AB210" s="160"/>
      <c r="AC210" s="110"/>
      <c r="AD210" s="87"/>
      <c r="AE210" s="173"/>
      <c r="AF210" s="173"/>
      <c r="AG210" s="190"/>
      <c r="AH210" s="169"/>
      <c r="AI210" s="169"/>
      <c r="AJ210" s="180"/>
      <c r="AK210" s="180"/>
      <c r="AL210" s="86"/>
      <c r="AM210" s="172"/>
      <c r="AN210" s="86"/>
      <c r="AO210" s="169"/>
      <c r="AP210" s="86"/>
      <c r="AQ210" s="86"/>
      <c r="AR210" s="158"/>
      <c r="AS210" s="158"/>
      <c r="AT210" s="169"/>
      <c r="AU210" s="169"/>
      <c r="AV210" s="86"/>
      <c r="AW210" s="86"/>
      <c r="AX210" s="158"/>
      <c r="AY210" s="158"/>
      <c r="AZ210" s="169"/>
      <c r="BA210" s="86"/>
      <c r="BB210" s="158"/>
      <c r="BC210" s="292"/>
      <c r="BD210" s="292"/>
      <c r="BE210" s="172"/>
      <c r="BF210" s="172"/>
      <c r="BG210" s="234"/>
      <c r="BH210" s="351"/>
    </row>
    <row r="211" spans="1:60" ht="15" hidden="1">
      <c r="A211" s="184"/>
      <c r="B211" s="159"/>
      <c r="C211" s="159"/>
      <c r="D211" s="159"/>
      <c r="E211" s="159" t="e">
        <f>VLOOKUP(Tabla4[[#This Row],[ENFASIS]],Listas!$R$2:$S$8,2,0)</f>
        <v>#N/A</v>
      </c>
      <c r="F211" s="87"/>
      <c r="G211" s="87"/>
      <c r="H211" s="87"/>
      <c r="I211" s="159"/>
      <c r="J211" s="87"/>
      <c r="K211" s="87"/>
      <c r="L211" s="87"/>
      <c r="M211" s="172"/>
      <c r="N211" s="86"/>
      <c r="O211" s="188"/>
      <c r="P211" s="171"/>
      <c r="Q211" s="87"/>
      <c r="R211" s="173"/>
      <c r="S211" s="173" t="str">
        <f>IF(Tabla4[[#This Row],[FECHA DE ACEPTACION DEL GRUP. INV.]]="","",DATE(YEAR(Tabla4[[#This Row],[FECHA DE ACEPTACION DEL GRUP. INV.]])+2,MONTH(Tabla4[[#This Row],[FECHA DE ACEPTACION DEL GRUP. INV.]]),DAY(Tabla4[[#This Row],[FECHA DE ACEPTACION DEL GRUP. INV.]])))</f>
        <v/>
      </c>
      <c r="T211" s="173" t="str">
        <f ca="1">IF(Tabla4[[#This Row],[FECHA DE ACEPTACION DEL GRUP. INV.]]="","",IF(Tabla4[[#This Row],[FECHA DE VENCIMIENTO ANTE PROYECTO]]&lt;TODAY(),"SÍ","NO"))</f>
        <v/>
      </c>
      <c r="U211" s="173"/>
      <c r="V211" s="173"/>
      <c r="W211" s="87"/>
      <c r="X211" s="87"/>
      <c r="Y211" s="86"/>
      <c r="Z211" s="160"/>
      <c r="AA211" s="86"/>
      <c r="AB211" s="160"/>
      <c r="AC211" s="110"/>
      <c r="AD211" s="87"/>
      <c r="AE211" s="173"/>
      <c r="AF211" s="173"/>
      <c r="AG211" s="190"/>
      <c r="AH211" s="169"/>
      <c r="AI211" s="169"/>
      <c r="AJ211" s="180"/>
      <c r="AK211" s="180"/>
      <c r="AL211" s="86"/>
      <c r="AM211" s="172"/>
      <c r="AN211" s="86"/>
      <c r="AO211" s="169"/>
      <c r="AP211" s="86"/>
      <c r="AQ211" s="86"/>
      <c r="AR211" s="158"/>
      <c r="AS211" s="158"/>
      <c r="AT211" s="169"/>
      <c r="AU211" s="169"/>
      <c r="AV211" s="86"/>
      <c r="AW211" s="86"/>
      <c r="AX211" s="158"/>
      <c r="AY211" s="158"/>
      <c r="AZ211" s="169"/>
      <c r="BA211" s="86"/>
      <c r="BB211" s="158"/>
      <c r="BC211" s="292"/>
      <c r="BD211" s="292"/>
      <c r="BE211" s="172"/>
      <c r="BF211" s="172"/>
      <c r="BG211" s="234"/>
      <c r="BH211" s="351"/>
    </row>
    <row r="212" spans="1:60" ht="15" hidden="1">
      <c r="A212" s="184"/>
      <c r="B212" s="159"/>
      <c r="C212" s="159"/>
      <c r="D212" s="159"/>
      <c r="E212" s="159" t="e">
        <f>VLOOKUP(Tabla4[[#This Row],[ENFASIS]],Listas!$R$2:$S$8,2,0)</f>
        <v>#N/A</v>
      </c>
      <c r="F212" s="87"/>
      <c r="G212" s="87"/>
      <c r="H212" s="87"/>
      <c r="I212" s="159"/>
      <c r="J212" s="87"/>
      <c r="K212" s="87"/>
      <c r="L212" s="87"/>
      <c r="M212" s="172"/>
      <c r="N212" s="86"/>
      <c r="O212" s="188"/>
      <c r="P212" s="171"/>
      <c r="Q212" s="87"/>
      <c r="R212" s="173"/>
      <c r="S212" s="173" t="str">
        <f>IF(Tabla4[[#This Row],[FECHA DE ACEPTACION DEL GRUP. INV.]]="","",DATE(YEAR(Tabla4[[#This Row],[FECHA DE ACEPTACION DEL GRUP. INV.]])+2,MONTH(Tabla4[[#This Row],[FECHA DE ACEPTACION DEL GRUP. INV.]]),DAY(Tabla4[[#This Row],[FECHA DE ACEPTACION DEL GRUP. INV.]])))</f>
        <v/>
      </c>
      <c r="T212" s="173" t="str">
        <f ca="1">IF(Tabla4[[#This Row],[FECHA DE ACEPTACION DEL GRUP. INV.]]="","",IF(Tabla4[[#This Row],[FECHA DE VENCIMIENTO ANTE PROYECTO]]&lt;TODAY(),"SÍ","NO"))</f>
        <v/>
      </c>
      <c r="U212" s="173"/>
      <c r="V212" s="173"/>
      <c r="W212" s="87"/>
      <c r="X212" s="87"/>
      <c r="Y212" s="86"/>
      <c r="Z212" s="160"/>
      <c r="AA212" s="86"/>
      <c r="AB212" s="160"/>
      <c r="AC212" s="110"/>
      <c r="AD212" s="87"/>
      <c r="AE212" s="173"/>
      <c r="AF212" s="173"/>
      <c r="AG212" s="190"/>
      <c r="AH212" s="169"/>
      <c r="AI212" s="169"/>
      <c r="AJ212" s="180"/>
      <c r="AK212" s="180"/>
      <c r="AL212" s="86"/>
      <c r="AM212" s="172"/>
      <c r="AN212" s="86"/>
      <c r="AO212" s="169"/>
      <c r="AP212" s="86"/>
      <c r="AQ212" s="86"/>
      <c r="AR212" s="158"/>
      <c r="AS212" s="158"/>
      <c r="AT212" s="169"/>
      <c r="AU212" s="169"/>
      <c r="AV212" s="86"/>
      <c r="AW212" s="86"/>
      <c r="AX212" s="158"/>
      <c r="AY212" s="158"/>
      <c r="AZ212" s="169"/>
      <c r="BA212" s="86"/>
      <c r="BB212" s="158"/>
      <c r="BC212" s="292"/>
      <c r="BD212" s="292"/>
      <c r="BE212" s="172"/>
      <c r="BF212" s="172"/>
      <c r="BG212" s="234"/>
      <c r="BH212" s="351"/>
    </row>
    <row r="213" spans="1:60" ht="15" hidden="1">
      <c r="A213" s="184"/>
      <c r="B213" s="159"/>
      <c r="C213" s="159"/>
      <c r="D213" s="159"/>
      <c r="E213" s="159" t="e">
        <f>VLOOKUP(Tabla4[[#This Row],[ENFASIS]],Listas!$R$2:$S$8,2,0)</f>
        <v>#N/A</v>
      </c>
      <c r="F213" s="87"/>
      <c r="G213" s="87"/>
      <c r="H213" s="87"/>
      <c r="I213" s="159"/>
      <c r="J213" s="87"/>
      <c r="K213" s="87"/>
      <c r="L213" s="87"/>
      <c r="M213" s="172"/>
      <c r="N213" s="86"/>
      <c r="O213" s="188"/>
      <c r="P213" s="171"/>
      <c r="Q213" s="87"/>
      <c r="R213" s="173"/>
      <c r="S213" s="173" t="str">
        <f>IF(Tabla4[[#This Row],[FECHA DE ACEPTACION DEL GRUP. INV.]]="","",DATE(YEAR(Tabla4[[#This Row],[FECHA DE ACEPTACION DEL GRUP. INV.]])+2,MONTH(Tabla4[[#This Row],[FECHA DE ACEPTACION DEL GRUP. INV.]]),DAY(Tabla4[[#This Row],[FECHA DE ACEPTACION DEL GRUP. INV.]])))</f>
        <v/>
      </c>
      <c r="T213" s="173" t="str">
        <f ca="1">IF(Tabla4[[#This Row],[FECHA DE ACEPTACION DEL GRUP. INV.]]="","",IF(Tabla4[[#This Row],[FECHA DE VENCIMIENTO ANTE PROYECTO]]&lt;TODAY(),"SÍ","NO"))</f>
        <v/>
      </c>
      <c r="U213" s="173"/>
      <c r="V213" s="173"/>
      <c r="W213" s="87"/>
      <c r="X213" s="87"/>
      <c r="Y213" s="86"/>
      <c r="Z213" s="160"/>
      <c r="AA213" s="86"/>
      <c r="AB213" s="160"/>
      <c r="AC213" s="110"/>
      <c r="AD213" s="87"/>
      <c r="AE213" s="173"/>
      <c r="AF213" s="173"/>
      <c r="AG213" s="190"/>
      <c r="AH213" s="169"/>
      <c r="AI213" s="169"/>
      <c r="AJ213" s="180"/>
      <c r="AK213" s="180"/>
      <c r="AL213" s="86"/>
      <c r="AM213" s="172"/>
      <c r="AN213" s="86"/>
      <c r="AO213" s="169"/>
      <c r="AP213" s="86"/>
      <c r="AQ213" s="86"/>
      <c r="AR213" s="158"/>
      <c r="AS213" s="158"/>
      <c r="AT213" s="169"/>
      <c r="AU213" s="169"/>
      <c r="AV213" s="86"/>
      <c r="AW213" s="86"/>
      <c r="AX213" s="158"/>
      <c r="AY213" s="158"/>
      <c r="AZ213" s="169"/>
      <c r="BA213" s="86"/>
      <c r="BB213" s="158"/>
      <c r="BC213" s="292"/>
      <c r="BD213" s="292"/>
      <c r="BE213" s="172"/>
      <c r="BF213" s="172"/>
      <c r="BG213" s="234"/>
      <c r="BH213" s="351"/>
    </row>
    <row r="214" spans="1:60" ht="15" hidden="1">
      <c r="A214" s="184"/>
      <c r="B214" s="159"/>
      <c r="C214" s="159"/>
      <c r="D214" s="159"/>
      <c r="E214" s="159" t="e">
        <f>VLOOKUP(Tabla4[[#This Row],[ENFASIS]],Listas!$R$2:$S$8,2,0)</f>
        <v>#N/A</v>
      </c>
      <c r="F214" s="87"/>
      <c r="G214" s="87"/>
      <c r="H214" s="87"/>
      <c r="I214" s="159"/>
      <c r="J214" s="87"/>
      <c r="K214" s="87"/>
      <c r="L214" s="87"/>
      <c r="M214" s="172"/>
      <c r="N214" s="86"/>
      <c r="O214" s="188"/>
      <c r="P214" s="171"/>
      <c r="Q214" s="87"/>
      <c r="R214" s="173"/>
      <c r="S214" s="173" t="str">
        <f>IF(Tabla4[[#This Row],[FECHA DE ACEPTACION DEL GRUP. INV.]]="","",DATE(YEAR(Tabla4[[#This Row],[FECHA DE ACEPTACION DEL GRUP. INV.]])+2,MONTH(Tabla4[[#This Row],[FECHA DE ACEPTACION DEL GRUP. INV.]]),DAY(Tabla4[[#This Row],[FECHA DE ACEPTACION DEL GRUP. INV.]])))</f>
        <v/>
      </c>
      <c r="T214" s="173" t="str">
        <f ca="1">IF(Tabla4[[#This Row],[FECHA DE ACEPTACION DEL GRUP. INV.]]="","",IF(Tabla4[[#This Row],[FECHA DE VENCIMIENTO ANTE PROYECTO]]&lt;TODAY(),"SÍ","NO"))</f>
        <v/>
      </c>
      <c r="U214" s="173"/>
      <c r="V214" s="173"/>
      <c r="W214" s="87"/>
      <c r="X214" s="87"/>
      <c r="Y214" s="86"/>
      <c r="Z214" s="160"/>
      <c r="AA214" s="86"/>
      <c r="AB214" s="160"/>
      <c r="AC214" s="110"/>
      <c r="AD214" s="87"/>
      <c r="AE214" s="173"/>
      <c r="AF214" s="173"/>
      <c r="AG214" s="190"/>
      <c r="AH214" s="169"/>
      <c r="AI214" s="169"/>
      <c r="AJ214" s="180"/>
      <c r="AK214" s="180"/>
      <c r="AL214" s="86"/>
      <c r="AM214" s="172"/>
      <c r="AN214" s="86"/>
      <c r="AO214" s="169"/>
      <c r="AP214" s="86"/>
      <c r="AQ214" s="86"/>
      <c r="AR214" s="158"/>
      <c r="AS214" s="158"/>
      <c r="AT214" s="169"/>
      <c r="AU214" s="169"/>
      <c r="AV214" s="86"/>
      <c r="AW214" s="86"/>
      <c r="AX214" s="158"/>
      <c r="AY214" s="158"/>
      <c r="AZ214" s="169"/>
      <c r="BA214" s="86"/>
      <c r="BB214" s="158"/>
      <c r="BC214" s="292"/>
      <c r="BD214" s="292"/>
      <c r="BE214" s="172"/>
      <c r="BF214" s="172"/>
      <c r="BG214" s="234"/>
      <c r="BH214" s="351"/>
    </row>
    <row r="215" spans="1:60" ht="15" hidden="1">
      <c r="A215" s="184"/>
      <c r="B215" s="159"/>
      <c r="C215" s="159"/>
      <c r="D215" s="159"/>
      <c r="E215" s="159" t="e">
        <f>VLOOKUP(Tabla4[[#This Row],[ENFASIS]],Listas!$R$2:$S$8,2,0)</f>
        <v>#N/A</v>
      </c>
      <c r="F215" s="87"/>
      <c r="G215" s="87"/>
      <c r="H215" s="87"/>
      <c r="I215" s="159"/>
      <c r="J215" s="87"/>
      <c r="K215" s="87"/>
      <c r="L215" s="87"/>
      <c r="M215" s="172"/>
      <c r="N215" s="86"/>
      <c r="O215" s="188"/>
      <c r="P215" s="171"/>
      <c r="Q215" s="87"/>
      <c r="R215" s="173"/>
      <c r="S215" s="173" t="str">
        <f>IF(Tabla4[[#This Row],[FECHA DE ACEPTACION DEL GRUP. INV.]]="","",DATE(YEAR(Tabla4[[#This Row],[FECHA DE ACEPTACION DEL GRUP. INV.]])+2,MONTH(Tabla4[[#This Row],[FECHA DE ACEPTACION DEL GRUP. INV.]]),DAY(Tabla4[[#This Row],[FECHA DE ACEPTACION DEL GRUP. INV.]])))</f>
        <v/>
      </c>
      <c r="T215" s="173" t="str">
        <f ca="1">IF(Tabla4[[#This Row],[FECHA DE ACEPTACION DEL GRUP. INV.]]="","",IF(Tabla4[[#This Row],[FECHA DE VENCIMIENTO ANTE PROYECTO]]&lt;TODAY(),"SÍ","NO"))</f>
        <v/>
      </c>
      <c r="U215" s="173"/>
      <c r="V215" s="173"/>
      <c r="W215" s="87"/>
      <c r="X215" s="87"/>
      <c r="Y215" s="86"/>
      <c r="Z215" s="160"/>
      <c r="AA215" s="86"/>
      <c r="AB215" s="160"/>
      <c r="AC215" s="110"/>
      <c r="AD215" s="87"/>
      <c r="AE215" s="173"/>
      <c r="AF215" s="173"/>
      <c r="AG215" s="190"/>
      <c r="AH215" s="169"/>
      <c r="AI215" s="169"/>
      <c r="AJ215" s="180"/>
      <c r="AK215" s="180"/>
      <c r="AL215" s="86"/>
      <c r="AM215" s="172"/>
      <c r="AN215" s="86"/>
      <c r="AO215" s="169"/>
      <c r="AP215" s="86"/>
      <c r="AQ215" s="86"/>
      <c r="AR215" s="158"/>
      <c r="AS215" s="158"/>
      <c r="AT215" s="169"/>
      <c r="AU215" s="169"/>
      <c r="AV215" s="86"/>
      <c r="AW215" s="86"/>
      <c r="AX215" s="158"/>
      <c r="AY215" s="158"/>
      <c r="AZ215" s="169"/>
      <c r="BA215" s="86"/>
      <c r="BB215" s="158"/>
      <c r="BC215" s="292"/>
      <c r="BD215" s="292"/>
      <c r="BE215" s="172"/>
      <c r="BF215" s="172"/>
      <c r="BG215" s="234"/>
      <c r="BH215" s="351"/>
    </row>
    <row r="216" spans="1:60" ht="15" hidden="1">
      <c r="A216" s="184"/>
      <c r="B216" s="159"/>
      <c r="C216" s="159"/>
      <c r="D216" s="159"/>
      <c r="E216" s="159" t="e">
        <f>VLOOKUP(Tabla4[[#This Row],[ENFASIS]],Listas!$R$2:$S$8,2,0)</f>
        <v>#N/A</v>
      </c>
      <c r="F216" s="87"/>
      <c r="G216" s="87"/>
      <c r="H216" s="87"/>
      <c r="I216" s="159"/>
      <c r="J216" s="87"/>
      <c r="K216" s="87"/>
      <c r="L216" s="87"/>
      <c r="M216" s="172"/>
      <c r="N216" s="86"/>
      <c r="O216" s="188"/>
      <c r="P216" s="171"/>
      <c r="Q216" s="87"/>
      <c r="R216" s="173"/>
      <c r="S216" s="173" t="str">
        <f>IF(Tabla4[[#This Row],[FECHA DE ACEPTACION DEL GRUP. INV.]]="","",DATE(YEAR(Tabla4[[#This Row],[FECHA DE ACEPTACION DEL GRUP. INV.]])+2,MONTH(Tabla4[[#This Row],[FECHA DE ACEPTACION DEL GRUP. INV.]]),DAY(Tabla4[[#This Row],[FECHA DE ACEPTACION DEL GRUP. INV.]])))</f>
        <v/>
      </c>
      <c r="T216" s="173" t="str">
        <f ca="1">IF(Tabla4[[#This Row],[FECHA DE ACEPTACION DEL GRUP. INV.]]="","",IF(Tabla4[[#This Row],[FECHA DE VENCIMIENTO ANTE PROYECTO]]&lt;TODAY(),"SÍ","NO"))</f>
        <v/>
      </c>
      <c r="U216" s="173"/>
      <c r="V216" s="173"/>
      <c r="W216" s="87"/>
      <c r="X216" s="87"/>
      <c r="Y216" s="86"/>
      <c r="Z216" s="160"/>
      <c r="AA216" s="86"/>
      <c r="AB216" s="160"/>
      <c r="AC216" s="110"/>
      <c r="AD216" s="87"/>
      <c r="AE216" s="173"/>
      <c r="AF216" s="173"/>
      <c r="AG216" s="190"/>
      <c r="AH216" s="169"/>
      <c r="AI216" s="169"/>
      <c r="AJ216" s="180"/>
      <c r="AK216" s="180"/>
      <c r="AL216" s="86"/>
      <c r="AM216" s="172"/>
      <c r="AN216" s="86"/>
      <c r="AO216" s="169"/>
      <c r="AP216" s="86"/>
      <c r="AQ216" s="86"/>
      <c r="AR216" s="158"/>
      <c r="AS216" s="158"/>
      <c r="AT216" s="169"/>
      <c r="AU216" s="169"/>
      <c r="AV216" s="86"/>
      <c r="AW216" s="86"/>
      <c r="AX216" s="158"/>
      <c r="AY216" s="158"/>
      <c r="AZ216" s="169"/>
      <c r="BA216" s="86"/>
      <c r="BB216" s="158"/>
      <c r="BC216" s="292"/>
      <c r="BD216" s="292"/>
      <c r="BE216" s="172"/>
      <c r="BF216" s="172"/>
      <c r="BG216" s="234"/>
      <c r="BH216" s="351"/>
    </row>
    <row r="217" spans="1:60" ht="15" hidden="1">
      <c r="A217" s="184"/>
      <c r="B217" s="159"/>
      <c r="C217" s="159"/>
      <c r="D217" s="159"/>
      <c r="E217" s="159" t="e">
        <f>VLOOKUP(Tabla4[[#This Row],[ENFASIS]],Listas!$R$2:$S$8,2,0)</f>
        <v>#N/A</v>
      </c>
      <c r="F217" s="87"/>
      <c r="G217" s="87"/>
      <c r="H217" s="87"/>
      <c r="I217" s="159"/>
      <c r="J217" s="87"/>
      <c r="K217" s="87"/>
      <c r="L217" s="87"/>
      <c r="M217" s="172"/>
      <c r="N217" s="86"/>
      <c r="O217" s="188"/>
      <c r="P217" s="171"/>
      <c r="Q217" s="87"/>
      <c r="R217" s="173"/>
      <c r="S217" s="173" t="str">
        <f>IF(Tabla4[[#This Row],[FECHA DE ACEPTACION DEL GRUP. INV.]]="","",DATE(YEAR(Tabla4[[#This Row],[FECHA DE ACEPTACION DEL GRUP. INV.]])+2,MONTH(Tabla4[[#This Row],[FECHA DE ACEPTACION DEL GRUP. INV.]]),DAY(Tabla4[[#This Row],[FECHA DE ACEPTACION DEL GRUP. INV.]])))</f>
        <v/>
      </c>
      <c r="T217" s="173" t="str">
        <f ca="1">IF(Tabla4[[#This Row],[FECHA DE ACEPTACION DEL GRUP. INV.]]="","",IF(Tabla4[[#This Row],[FECHA DE VENCIMIENTO ANTE PROYECTO]]&lt;TODAY(),"SÍ","NO"))</f>
        <v/>
      </c>
      <c r="U217" s="173"/>
      <c r="V217" s="173"/>
      <c r="W217" s="87"/>
      <c r="X217" s="87"/>
      <c r="Y217" s="86"/>
      <c r="Z217" s="160"/>
      <c r="AA217" s="86"/>
      <c r="AB217" s="160"/>
      <c r="AC217" s="110"/>
      <c r="AD217" s="87"/>
      <c r="AE217" s="173"/>
      <c r="AF217" s="173"/>
      <c r="AG217" s="190"/>
      <c r="AH217" s="169"/>
      <c r="AI217" s="169"/>
      <c r="AJ217" s="180"/>
      <c r="AK217" s="180"/>
      <c r="AL217" s="86"/>
      <c r="AM217" s="172"/>
      <c r="AN217" s="86"/>
      <c r="AO217" s="169"/>
      <c r="AP217" s="86"/>
      <c r="AQ217" s="86"/>
      <c r="AR217" s="158"/>
      <c r="AS217" s="158"/>
      <c r="AT217" s="169"/>
      <c r="AU217" s="169"/>
      <c r="AV217" s="86"/>
      <c r="AW217" s="86"/>
      <c r="AX217" s="158"/>
      <c r="AY217" s="158"/>
      <c r="AZ217" s="169"/>
      <c r="BA217" s="86"/>
      <c r="BB217" s="158"/>
      <c r="BC217" s="292"/>
      <c r="BD217" s="292"/>
      <c r="BE217" s="172"/>
      <c r="BF217" s="172"/>
      <c r="BG217" s="234"/>
      <c r="BH217" s="351"/>
    </row>
    <row r="218" spans="1:60" ht="15" hidden="1">
      <c r="A218" s="184"/>
      <c r="B218" s="159"/>
      <c r="C218" s="159"/>
      <c r="D218" s="159"/>
      <c r="E218" s="159" t="e">
        <f>VLOOKUP(Tabla4[[#This Row],[ENFASIS]],Listas!$R$2:$S$8,2,0)</f>
        <v>#N/A</v>
      </c>
      <c r="F218" s="87"/>
      <c r="G218" s="87"/>
      <c r="H218" s="87"/>
      <c r="I218" s="159"/>
      <c r="J218" s="87"/>
      <c r="K218" s="87"/>
      <c r="L218" s="87"/>
      <c r="M218" s="172"/>
      <c r="N218" s="86"/>
      <c r="O218" s="188"/>
      <c r="P218" s="171"/>
      <c r="Q218" s="87"/>
      <c r="R218" s="173"/>
      <c r="S218" s="173" t="str">
        <f>IF(Tabla4[[#This Row],[FECHA DE ACEPTACION DEL GRUP. INV.]]="","",DATE(YEAR(Tabla4[[#This Row],[FECHA DE ACEPTACION DEL GRUP. INV.]])+2,MONTH(Tabla4[[#This Row],[FECHA DE ACEPTACION DEL GRUP. INV.]]),DAY(Tabla4[[#This Row],[FECHA DE ACEPTACION DEL GRUP. INV.]])))</f>
        <v/>
      </c>
      <c r="T218" s="173" t="str">
        <f ca="1">IF(Tabla4[[#This Row],[FECHA DE ACEPTACION DEL GRUP. INV.]]="","",IF(Tabla4[[#This Row],[FECHA DE VENCIMIENTO ANTE PROYECTO]]&lt;TODAY(),"SÍ","NO"))</f>
        <v/>
      </c>
      <c r="U218" s="173"/>
      <c r="V218" s="173"/>
      <c r="W218" s="87"/>
      <c r="X218" s="87"/>
      <c r="Y218" s="86"/>
      <c r="Z218" s="160"/>
      <c r="AA218" s="86"/>
      <c r="AB218" s="160"/>
      <c r="AC218" s="110"/>
      <c r="AD218" s="87"/>
      <c r="AE218" s="173"/>
      <c r="AF218" s="173"/>
      <c r="AG218" s="190"/>
      <c r="AH218" s="169"/>
      <c r="AI218" s="169"/>
      <c r="AJ218" s="180"/>
      <c r="AK218" s="180"/>
      <c r="AL218" s="86"/>
      <c r="AM218" s="172"/>
      <c r="AN218" s="86"/>
      <c r="AO218" s="169"/>
      <c r="AP218" s="86"/>
      <c r="AQ218" s="86"/>
      <c r="AR218" s="158"/>
      <c r="AS218" s="158"/>
      <c r="AT218" s="169"/>
      <c r="AU218" s="169"/>
      <c r="AV218" s="86"/>
      <c r="AW218" s="86"/>
      <c r="AX218" s="158"/>
      <c r="AY218" s="158"/>
      <c r="AZ218" s="169"/>
      <c r="BA218" s="86"/>
      <c r="BB218" s="158"/>
      <c r="BC218" s="292"/>
      <c r="BD218" s="292"/>
      <c r="BE218" s="172"/>
      <c r="BF218" s="172"/>
      <c r="BG218" s="234"/>
      <c r="BH218" s="351"/>
    </row>
    <row r="219" spans="1:60" ht="15" hidden="1">
      <c r="A219" s="184"/>
      <c r="B219" s="159"/>
      <c r="C219" s="159"/>
      <c r="D219" s="159"/>
      <c r="E219" s="159" t="e">
        <f>VLOOKUP(Tabla4[[#This Row],[ENFASIS]],Listas!$R$2:$S$8,2,0)</f>
        <v>#N/A</v>
      </c>
      <c r="F219" s="87"/>
      <c r="G219" s="87"/>
      <c r="H219" s="87"/>
      <c r="I219" s="159"/>
      <c r="J219" s="87"/>
      <c r="K219" s="87"/>
      <c r="L219" s="87"/>
      <c r="M219" s="172"/>
      <c r="N219" s="86"/>
      <c r="O219" s="188"/>
      <c r="P219" s="171"/>
      <c r="Q219" s="87"/>
      <c r="R219" s="173"/>
      <c r="S219" s="173" t="str">
        <f>IF(Tabla4[[#This Row],[FECHA DE ACEPTACION DEL GRUP. INV.]]="","",DATE(YEAR(Tabla4[[#This Row],[FECHA DE ACEPTACION DEL GRUP. INV.]])+2,MONTH(Tabla4[[#This Row],[FECHA DE ACEPTACION DEL GRUP. INV.]]),DAY(Tabla4[[#This Row],[FECHA DE ACEPTACION DEL GRUP. INV.]])))</f>
        <v/>
      </c>
      <c r="T219" s="173" t="str">
        <f ca="1">IF(Tabla4[[#This Row],[FECHA DE ACEPTACION DEL GRUP. INV.]]="","",IF(Tabla4[[#This Row],[FECHA DE VENCIMIENTO ANTE PROYECTO]]&lt;TODAY(),"SÍ","NO"))</f>
        <v/>
      </c>
      <c r="U219" s="173"/>
      <c r="V219" s="173"/>
      <c r="W219" s="87"/>
      <c r="X219" s="87"/>
      <c r="Y219" s="86"/>
      <c r="Z219" s="160"/>
      <c r="AA219" s="86"/>
      <c r="AB219" s="160"/>
      <c r="AC219" s="110"/>
      <c r="AD219" s="87"/>
      <c r="AE219" s="173"/>
      <c r="AF219" s="173"/>
      <c r="AG219" s="190"/>
      <c r="AH219" s="169"/>
      <c r="AI219" s="169"/>
      <c r="AJ219" s="180"/>
      <c r="AK219" s="180"/>
      <c r="AL219" s="86"/>
      <c r="AM219" s="172"/>
      <c r="AN219" s="86"/>
      <c r="AO219" s="169"/>
      <c r="AP219" s="86"/>
      <c r="AQ219" s="86"/>
      <c r="AR219" s="158"/>
      <c r="AS219" s="158"/>
      <c r="AT219" s="169"/>
      <c r="AU219" s="169"/>
      <c r="AV219" s="86"/>
      <c r="AW219" s="86"/>
      <c r="AX219" s="158"/>
      <c r="AY219" s="158"/>
      <c r="AZ219" s="169"/>
      <c r="BA219" s="86"/>
      <c r="BB219" s="158"/>
      <c r="BC219" s="292"/>
      <c r="BD219" s="292"/>
      <c r="BE219" s="172"/>
      <c r="BF219" s="172"/>
      <c r="BG219" s="234"/>
      <c r="BH219" s="351"/>
    </row>
    <row r="220" spans="1:60" ht="15" hidden="1">
      <c r="A220" s="184"/>
      <c r="B220" s="159"/>
      <c r="C220" s="159"/>
      <c r="D220" s="159"/>
      <c r="E220" s="159" t="e">
        <f>VLOOKUP(Tabla4[[#This Row],[ENFASIS]],Listas!$R$2:$S$8,2,0)</f>
        <v>#N/A</v>
      </c>
      <c r="F220" s="87"/>
      <c r="G220" s="87"/>
      <c r="H220" s="87"/>
      <c r="I220" s="159"/>
      <c r="J220" s="87"/>
      <c r="K220" s="87"/>
      <c r="L220" s="87"/>
      <c r="M220" s="172"/>
      <c r="N220" s="86"/>
      <c r="O220" s="188"/>
      <c r="P220" s="171"/>
      <c r="Q220" s="87"/>
      <c r="R220" s="173"/>
      <c r="S220" s="173" t="str">
        <f>IF(Tabla4[[#This Row],[FECHA DE ACEPTACION DEL GRUP. INV.]]="","",DATE(YEAR(Tabla4[[#This Row],[FECHA DE ACEPTACION DEL GRUP. INV.]])+2,MONTH(Tabla4[[#This Row],[FECHA DE ACEPTACION DEL GRUP. INV.]]),DAY(Tabla4[[#This Row],[FECHA DE ACEPTACION DEL GRUP. INV.]])))</f>
        <v/>
      </c>
      <c r="T220" s="173" t="str">
        <f ca="1">IF(Tabla4[[#This Row],[FECHA DE ACEPTACION DEL GRUP. INV.]]="","",IF(Tabla4[[#This Row],[FECHA DE VENCIMIENTO ANTE PROYECTO]]&lt;TODAY(),"SÍ","NO"))</f>
        <v/>
      </c>
      <c r="U220" s="173"/>
      <c r="V220" s="173"/>
      <c r="W220" s="87"/>
      <c r="X220" s="87"/>
      <c r="Y220" s="86"/>
      <c r="Z220" s="160"/>
      <c r="AA220" s="86"/>
      <c r="AB220" s="160"/>
      <c r="AC220" s="110"/>
      <c r="AD220" s="87"/>
      <c r="AE220" s="173"/>
      <c r="AF220" s="173"/>
      <c r="AG220" s="190"/>
      <c r="AH220" s="169"/>
      <c r="AI220" s="169"/>
      <c r="AJ220" s="180"/>
      <c r="AK220" s="180"/>
      <c r="AL220" s="86"/>
      <c r="AM220" s="172"/>
      <c r="AN220" s="86"/>
      <c r="AO220" s="169"/>
      <c r="AP220" s="86"/>
      <c r="AQ220" s="86"/>
      <c r="AR220" s="158"/>
      <c r="AS220" s="158"/>
      <c r="AT220" s="169"/>
      <c r="AU220" s="169"/>
      <c r="AV220" s="86"/>
      <c r="AW220" s="86"/>
      <c r="AX220" s="158"/>
      <c r="AY220" s="158"/>
      <c r="AZ220" s="169"/>
      <c r="BA220" s="86"/>
      <c r="BB220" s="158"/>
      <c r="BC220" s="292"/>
      <c r="BD220" s="292"/>
      <c r="BE220" s="172"/>
      <c r="BF220" s="172"/>
      <c r="BG220" s="234"/>
      <c r="BH220" s="351"/>
    </row>
    <row r="221" spans="1:60" ht="15" hidden="1">
      <c r="A221" s="184"/>
      <c r="B221" s="159"/>
      <c r="C221" s="159"/>
      <c r="D221" s="159"/>
      <c r="E221" s="159" t="e">
        <f>VLOOKUP(Tabla4[[#This Row],[ENFASIS]],Listas!$R$2:$S$8,2,0)</f>
        <v>#N/A</v>
      </c>
      <c r="F221" s="87"/>
      <c r="G221" s="87"/>
      <c r="H221" s="87"/>
      <c r="I221" s="159"/>
      <c r="J221" s="87"/>
      <c r="K221" s="87"/>
      <c r="L221" s="87"/>
      <c r="M221" s="172"/>
      <c r="N221" s="86"/>
      <c r="O221" s="188"/>
      <c r="P221" s="171"/>
      <c r="Q221" s="87"/>
      <c r="R221" s="173"/>
      <c r="S221" s="173" t="str">
        <f>IF(Tabla4[[#This Row],[FECHA DE ACEPTACION DEL GRUP. INV.]]="","",DATE(YEAR(Tabla4[[#This Row],[FECHA DE ACEPTACION DEL GRUP. INV.]])+2,MONTH(Tabla4[[#This Row],[FECHA DE ACEPTACION DEL GRUP. INV.]]),DAY(Tabla4[[#This Row],[FECHA DE ACEPTACION DEL GRUP. INV.]])))</f>
        <v/>
      </c>
      <c r="T221" s="173" t="str">
        <f ca="1">IF(Tabla4[[#This Row],[FECHA DE ACEPTACION DEL GRUP. INV.]]="","",IF(Tabla4[[#This Row],[FECHA DE VENCIMIENTO ANTE PROYECTO]]&lt;TODAY(),"SÍ","NO"))</f>
        <v/>
      </c>
      <c r="U221" s="173"/>
      <c r="V221" s="173"/>
      <c r="W221" s="87"/>
      <c r="X221" s="87"/>
      <c r="Y221" s="86"/>
      <c r="Z221" s="160"/>
      <c r="AA221" s="86"/>
      <c r="AB221" s="160"/>
      <c r="AC221" s="110"/>
      <c r="AD221" s="87"/>
      <c r="AE221" s="173"/>
      <c r="AF221" s="173"/>
      <c r="AG221" s="190"/>
      <c r="AH221" s="169"/>
      <c r="AI221" s="169"/>
      <c r="AJ221" s="180"/>
      <c r="AK221" s="180"/>
      <c r="AL221" s="86"/>
      <c r="AM221" s="172"/>
      <c r="AN221" s="86"/>
      <c r="AO221" s="169"/>
      <c r="AP221" s="86"/>
      <c r="AQ221" s="86"/>
      <c r="AR221" s="158"/>
      <c r="AS221" s="158"/>
      <c r="AT221" s="169"/>
      <c r="AU221" s="169"/>
      <c r="AV221" s="86"/>
      <c r="AW221" s="86"/>
      <c r="AX221" s="158"/>
      <c r="AY221" s="158"/>
      <c r="AZ221" s="169"/>
      <c r="BA221" s="86"/>
      <c r="BB221" s="158"/>
      <c r="BC221" s="292"/>
      <c r="BD221" s="292"/>
      <c r="BE221" s="172"/>
      <c r="BF221" s="172"/>
      <c r="BG221" s="234"/>
      <c r="BH221" s="351"/>
    </row>
    <row r="222" spans="1:60" ht="15" hidden="1">
      <c r="A222" s="184"/>
      <c r="B222" s="159"/>
      <c r="C222" s="159"/>
      <c r="D222" s="159"/>
      <c r="E222" s="159" t="e">
        <f>VLOOKUP(Tabla4[[#This Row],[ENFASIS]],Listas!$R$2:$S$8,2,0)</f>
        <v>#N/A</v>
      </c>
      <c r="F222" s="87"/>
      <c r="G222" s="87"/>
      <c r="H222" s="87"/>
      <c r="I222" s="159"/>
      <c r="J222" s="87"/>
      <c r="K222" s="87"/>
      <c r="L222" s="87"/>
      <c r="M222" s="172"/>
      <c r="N222" s="86"/>
      <c r="O222" s="188"/>
      <c r="P222" s="171"/>
      <c r="Q222" s="87"/>
      <c r="R222" s="173"/>
      <c r="S222" s="173" t="str">
        <f>IF(Tabla4[[#This Row],[FECHA DE ACEPTACION DEL GRUP. INV.]]="","",DATE(YEAR(Tabla4[[#This Row],[FECHA DE ACEPTACION DEL GRUP. INV.]])+2,MONTH(Tabla4[[#This Row],[FECHA DE ACEPTACION DEL GRUP. INV.]]),DAY(Tabla4[[#This Row],[FECHA DE ACEPTACION DEL GRUP. INV.]])))</f>
        <v/>
      </c>
      <c r="T222" s="173" t="str">
        <f ca="1">IF(Tabla4[[#This Row],[FECHA DE ACEPTACION DEL GRUP. INV.]]="","",IF(Tabla4[[#This Row],[FECHA DE VENCIMIENTO ANTE PROYECTO]]&lt;TODAY(),"SÍ","NO"))</f>
        <v/>
      </c>
      <c r="U222" s="173"/>
      <c r="V222" s="173"/>
      <c r="W222" s="87"/>
      <c r="X222" s="87"/>
      <c r="Y222" s="86"/>
      <c r="Z222" s="160"/>
      <c r="AA222" s="86"/>
      <c r="AB222" s="160"/>
      <c r="AC222" s="110"/>
      <c r="AD222" s="87"/>
      <c r="AE222" s="173"/>
      <c r="AF222" s="173"/>
      <c r="AG222" s="190"/>
      <c r="AH222" s="169"/>
      <c r="AI222" s="169"/>
      <c r="AJ222" s="180"/>
      <c r="AK222" s="180"/>
      <c r="AL222" s="86"/>
      <c r="AM222" s="172"/>
      <c r="AN222" s="86"/>
      <c r="AO222" s="169"/>
      <c r="AP222" s="86"/>
      <c r="AQ222" s="86"/>
      <c r="AR222" s="158"/>
      <c r="AS222" s="158"/>
      <c r="AT222" s="169"/>
      <c r="AU222" s="169"/>
      <c r="AV222" s="86"/>
      <c r="AW222" s="86"/>
      <c r="AX222" s="158"/>
      <c r="AY222" s="158"/>
      <c r="AZ222" s="169"/>
      <c r="BA222" s="86"/>
      <c r="BB222" s="158"/>
      <c r="BC222" s="292"/>
      <c r="BD222" s="292"/>
      <c r="BE222" s="172"/>
      <c r="BF222" s="172"/>
      <c r="BG222" s="234"/>
      <c r="BH222" s="351"/>
    </row>
    <row r="223" spans="1:60" ht="15" hidden="1">
      <c r="A223" s="184"/>
      <c r="B223" s="159"/>
      <c r="C223" s="159"/>
      <c r="D223" s="159"/>
      <c r="E223" s="159" t="e">
        <f>VLOOKUP(Tabla4[[#This Row],[ENFASIS]],Listas!$R$2:$S$8,2,0)</f>
        <v>#N/A</v>
      </c>
      <c r="F223" s="87"/>
      <c r="G223" s="87"/>
      <c r="H223" s="87"/>
      <c r="I223" s="159"/>
      <c r="J223" s="87"/>
      <c r="K223" s="87"/>
      <c r="L223" s="87"/>
      <c r="M223" s="172"/>
      <c r="N223" s="86"/>
      <c r="O223" s="188"/>
      <c r="P223" s="171"/>
      <c r="Q223" s="87"/>
      <c r="R223" s="173"/>
      <c r="S223" s="173" t="str">
        <f>IF(Tabla4[[#This Row],[FECHA DE ACEPTACION DEL GRUP. INV.]]="","",DATE(YEAR(Tabla4[[#This Row],[FECHA DE ACEPTACION DEL GRUP. INV.]])+2,MONTH(Tabla4[[#This Row],[FECHA DE ACEPTACION DEL GRUP. INV.]]),DAY(Tabla4[[#This Row],[FECHA DE ACEPTACION DEL GRUP. INV.]])))</f>
        <v/>
      </c>
      <c r="T223" s="173" t="str">
        <f ca="1">IF(Tabla4[[#This Row],[FECHA DE ACEPTACION DEL GRUP. INV.]]="","",IF(Tabla4[[#This Row],[FECHA DE VENCIMIENTO ANTE PROYECTO]]&lt;TODAY(),"SÍ","NO"))</f>
        <v/>
      </c>
      <c r="U223" s="173"/>
      <c r="V223" s="173"/>
      <c r="W223" s="87"/>
      <c r="X223" s="87"/>
      <c r="Y223" s="86"/>
      <c r="Z223" s="160"/>
      <c r="AA223" s="86"/>
      <c r="AB223" s="160"/>
      <c r="AC223" s="110"/>
      <c r="AD223" s="87"/>
      <c r="AE223" s="173"/>
      <c r="AF223" s="173"/>
      <c r="AG223" s="190"/>
      <c r="AH223" s="169"/>
      <c r="AI223" s="169"/>
      <c r="AJ223" s="180"/>
      <c r="AK223" s="180"/>
      <c r="AL223" s="86"/>
      <c r="AM223" s="172"/>
      <c r="AN223" s="86"/>
      <c r="AO223" s="169"/>
      <c r="AP223" s="86"/>
      <c r="AQ223" s="86"/>
      <c r="AR223" s="158"/>
      <c r="AS223" s="158"/>
      <c r="AT223" s="169"/>
      <c r="AU223" s="169"/>
      <c r="AV223" s="86"/>
      <c r="AW223" s="86"/>
      <c r="AX223" s="158"/>
      <c r="AY223" s="158"/>
      <c r="AZ223" s="169"/>
      <c r="BA223" s="86"/>
      <c r="BB223" s="158"/>
      <c r="BC223" s="292"/>
      <c r="BD223" s="292"/>
      <c r="BE223" s="172"/>
      <c r="BF223" s="172"/>
      <c r="BG223" s="234"/>
      <c r="BH223" s="351"/>
    </row>
    <row r="224" spans="1:60" ht="15" hidden="1">
      <c r="A224" s="184"/>
      <c r="B224" s="159"/>
      <c r="C224" s="159"/>
      <c r="D224" s="159"/>
      <c r="E224" s="159" t="e">
        <f>VLOOKUP(Tabla4[[#This Row],[ENFASIS]],Listas!$R$2:$S$8,2,0)</f>
        <v>#N/A</v>
      </c>
      <c r="F224" s="87"/>
      <c r="G224" s="87"/>
      <c r="H224" s="87"/>
      <c r="I224" s="159"/>
      <c r="J224" s="87"/>
      <c r="K224" s="87"/>
      <c r="L224" s="87"/>
      <c r="M224" s="172"/>
      <c r="N224" s="86"/>
      <c r="O224" s="188"/>
      <c r="P224" s="171"/>
      <c r="Q224" s="87"/>
      <c r="R224" s="173"/>
      <c r="S224" s="173" t="str">
        <f>IF(Tabla4[[#This Row],[FECHA DE ACEPTACION DEL GRUP. INV.]]="","",DATE(YEAR(Tabla4[[#This Row],[FECHA DE ACEPTACION DEL GRUP. INV.]])+2,MONTH(Tabla4[[#This Row],[FECHA DE ACEPTACION DEL GRUP. INV.]]),DAY(Tabla4[[#This Row],[FECHA DE ACEPTACION DEL GRUP. INV.]])))</f>
        <v/>
      </c>
      <c r="T224" s="173" t="str">
        <f ca="1">IF(Tabla4[[#This Row],[FECHA DE ACEPTACION DEL GRUP. INV.]]="","",IF(Tabla4[[#This Row],[FECHA DE VENCIMIENTO ANTE PROYECTO]]&lt;TODAY(),"SÍ","NO"))</f>
        <v/>
      </c>
      <c r="U224" s="173"/>
      <c r="V224" s="173"/>
      <c r="W224" s="87"/>
      <c r="X224" s="87"/>
      <c r="Y224" s="86"/>
      <c r="Z224" s="160"/>
      <c r="AA224" s="86"/>
      <c r="AB224" s="160"/>
      <c r="AC224" s="110"/>
      <c r="AD224" s="87"/>
      <c r="AE224" s="173"/>
      <c r="AF224" s="173"/>
      <c r="AG224" s="190"/>
      <c r="AH224" s="169"/>
      <c r="AI224" s="169"/>
      <c r="AJ224" s="180"/>
      <c r="AK224" s="180"/>
      <c r="AL224" s="86"/>
      <c r="AM224" s="172"/>
      <c r="AN224" s="86"/>
      <c r="AO224" s="169"/>
      <c r="AP224" s="86"/>
      <c r="AQ224" s="86"/>
      <c r="AR224" s="158"/>
      <c r="AS224" s="158"/>
      <c r="AT224" s="169"/>
      <c r="AU224" s="169"/>
      <c r="AV224" s="86"/>
      <c r="AW224" s="86"/>
      <c r="AX224" s="158"/>
      <c r="AY224" s="158"/>
      <c r="AZ224" s="169"/>
      <c r="BA224" s="86"/>
      <c r="BB224" s="158"/>
      <c r="BC224" s="292"/>
      <c r="BD224" s="292"/>
      <c r="BE224" s="172"/>
      <c r="BF224" s="172"/>
      <c r="BG224" s="234"/>
      <c r="BH224" s="351"/>
    </row>
    <row r="225" spans="1:60" ht="15" hidden="1">
      <c r="A225" s="184"/>
      <c r="B225" s="159"/>
      <c r="C225" s="159"/>
      <c r="D225" s="159"/>
      <c r="E225" s="159" t="e">
        <f>VLOOKUP(Tabla4[[#This Row],[ENFASIS]],Listas!$R$2:$S$8,2,0)</f>
        <v>#N/A</v>
      </c>
      <c r="F225" s="87"/>
      <c r="G225" s="87"/>
      <c r="H225" s="87"/>
      <c r="I225" s="159"/>
      <c r="J225" s="87"/>
      <c r="K225" s="87"/>
      <c r="L225" s="87"/>
      <c r="M225" s="172"/>
      <c r="N225" s="86"/>
      <c r="O225" s="188"/>
      <c r="P225" s="171"/>
      <c r="Q225" s="87"/>
      <c r="R225" s="173"/>
      <c r="S225" s="173" t="str">
        <f>IF(Tabla4[[#This Row],[FECHA DE ACEPTACION DEL GRUP. INV.]]="","",DATE(YEAR(Tabla4[[#This Row],[FECHA DE ACEPTACION DEL GRUP. INV.]])+2,MONTH(Tabla4[[#This Row],[FECHA DE ACEPTACION DEL GRUP. INV.]]),DAY(Tabla4[[#This Row],[FECHA DE ACEPTACION DEL GRUP. INV.]])))</f>
        <v/>
      </c>
      <c r="T225" s="173" t="str">
        <f ca="1">IF(Tabla4[[#This Row],[FECHA DE ACEPTACION DEL GRUP. INV.]]="","",IF(Tabla4[[#This Row],[FECHA DE VENCIMIENTO ANTE PROYECTO]]&lt;TODAY(),"SÍ","NO"))</f>
        <v/>
      </c>
      <c r="U225" s="173"/>
      <c r="V225" s="173"/>
      <c r="W225" s="87"/>
      <c r="X225" s="87"/>
      <c r="Y225" s="86"/>
      <c r="Z225" s="160"/>
      <c r="AA225" s="86"/>
      <c r="AB225" s="160"/>
      <c r="AC225" s="110"/>
      <c r="AD225" s="87"/>
      <c r="AE225" s="173"/>
      <c r="AF225" s="173"/>
      <c r="AG225" s="190"/>
      <c r="AH225" s="169"/>
      <c r="AI225" s="169"/>
      <c r="AJ225" s="180"/>
      <c r="AK225" s="180"/>
      <c r="AL225" s="86"/>
      <c r="AM225" s="172"/>
      <c r="AN225" s="86"/>
      <c r="AO225" s="169"/>
      <c r="AP225" s="86"/>
      <c r="AQ225" s="86"/>
      <c r="AR225" s="158"/>
      <c r="AS225" s="158"/>
      <c r="AT225" s="169"/>
      <c r="AU225" s="169"/>
      <c r="AV225" s="86"/>
      <c r="AW225" s="86"/>
      <c r="AX225" s="158"/>
      <c r="AY225" s="158"/>
      <c r="AZ225" s="169"/>
      <c r="BA225" s="86"/>
      <c r="BB225" s="158"/>
      <c r="BC225" s="292"/>
      <c r="BD225" s="292"/>
      <c r="BE225" s="172"/>
      <c r="BF225" s="172"/>
      <c r="BG225" s="234"/>
      <c r="BH225" s="351"/>
    </row>
    <row r="226" spans="1:60" ht="15" hidden="1">
      <c r="A226" s="184"/>
      <c r="B226" s="159"/>
      <c r="C226" s="159"/>
      <c r="D226" s="159"/>
      <c r="E226" s="159" t="e">
        <f>VLOOKUP(Tabla4[[#This Row],[ENFASIS]],Listas!$R$2:$S$8,2,0)</f>
        <v>#N/A</v>
      </c>
      <c r="F226" s="87"/>
      <c r="G226" s="87"/>
      <c r="H226" s="87"/>
      <c r="I226" s="159"/>
      <c r="J226" s="87"/>
      <c r="K226" s="87"/>
      <c r="L226" s="87"/>
      <c r="M226" s="172"/>
      <c r="N226" s="86"/>
      <c r="O226" s="188"/>
      <c r="P226" s="171"/>
      <c r="Q226" s="87"/>
      <c r="R226" s="173"/>
      <c r="S226" s="173" t="str">
        <f>IF(Tabla4[[#This Row],[FECHA DE ACEPTACION DEL GRUP. INV.]]="","",DATE(YEAR(Tabla4[[#This Row],[FECHA DE ACEPTACION DEL GRUP. INV.]])+2,MONTH(Tabla4[[#This Row],[FECHA DE ACEPTACION DEL GRUP. INV.]]),DAY(Tabla4[[#This Row],[FECHA DE ACEPTACION DEL GRUP. INV.]])))</f>
        <v/>
      </c>
      <c r="T226" s="173" t="str">
        <f ca="1">IF(Tabla4[[#This Row],[FECHA DE ACEPTACION DEL GRUP. INV.]]="","",IF(Tabla4[[#This Row],[FECHA DE VENCIMIENTO ANTE PROYECTO]]&lt;TODAY(),"SÍ","NO"))</f>
        <v/>
      </c>
      <c r="U226" s="173"/>
      <c r="V226" s="173"/>
      <c r="W226" s="87"/>
      <c r="X226" s="87"/>
      <c r="Y226" s="86"/>
      <c r="Z226" s="160"/>
      <c r="AA226" s="86"/>
      <c r="AB226" s="160"/>
      <c r="AC226" s="110"/>
      <c r="AD226" s="87"/>
      <c r="AE226" s="173"/>
      <c r="AF226" s="173"/>
      <c r="AG226" s="190"/>
      <c r="AH226" s="169"/>
      <c r="AI226" s="169"/>
      <c r="AJ226" s="180"/>
      <c r="AK226" s="180"/>
      <c r="AL226" s="86"/>
      <c r="AM226" s="172"/>
      <c r="AN226" s="86"/>
      <c r="AO226" s="169"/>
      <c r="AP226" s="86"/>
      <c r="AQ226" s="86"/>
      <c r="AR226" s="158"/>
      <c r="AS226" s="158"/>
      <c r="AT226" s="169"/>
      <c r="AU226" s="169"/>
      <c r="AV226" s="86"/>
      <c r="AW226" s="86"/>
      <c r="AX226" s="158"/>
      <c r="AY226" s="158"/>
      <c r="AZ226" s="169"/>
      <c r="BA226" s="86"/>
      <c r="BB226" s="158"/>
      <c r="BC226" s="292"/>
      <c r="BD226" s="292"/>
      <c r="BE226" s="172"/>
      <c r="BF226" s="172"/>
      <c r="BG226" s="234"/>
      <c r="BH226" s="351"/>
    </row>
    <row r="227" spans="1:60" ht="15" hidden="1">
      <c r="A227" s="184"/>
      <c r="B227" s="159"/>
      <c r="C227" s="159"/>
      <c r="D227" s="159"/>
      <c r="E227" s="159" t="e">
        <f>VLOOKUP(Tabla4[[#This Row],[ENFASIS]],Listas!$R$2:$S$8,2,0)</f>
        <v>#N/A</v>
      </c>
      <c r="F227" s="87"/>
      <c r="G227" s="87"/>
      <c r="H227" s="87"/>
      <c r="I227" s="159"/>
      <c r="J227" s="87"/>
      <c r="K227" s="87"/>
      <c r="L227" s="87"/>
      <c r="M227" s="172"/>
      <c r="N227" s="86"/>
      <c r="O227" s="188"/>
      <c r="P227" s="171"/>
      <c r="Q227" s="87"/>
      <c r="R227" s="173"/>
      <c r="S227" s="173" t="str">
        <f>IF(Tabla4[[#This Row],[FECHA DE ACEPTACION DEL GRUP. INV.]]="","",DATE(YEAR(Tabla4[[#This Row],[FECHA DE ACEPTACION DEL GRUP. INV.]])+2,MONTH(Tabla4[[#This Row],[FECHA DE ACEPTACION DEL GRUP. INV.]]),DAY(Tabla4[[#This Row],[FECHA DE ACEPTACION DEL GRUP. INV.]])))</f>
        <v/>
      </c>
      <c r="T227" s="173" t="str">
        <f ca="1">IF(Tabla4[[#This Row],[FECHA DE ACEPTACION DEL GRUP. INV.]]="","",IF(Tabla4[[#This Row],[FECHA DE VENCIMIENTO ANTE PROYECTO]]&lt;TODAY(),"SÍ","NO"))</f>
        <v/>
      </c>
      <c r="U227" s="173"/>
      <c r="V227" s="173"/>
      <c r="W227" s="87"/>
      <c r="X227" s="87"/>
      <c r="Y227" s="86"/>
      <c r="Z227" s="160"/>
      <c r="AA227" s="86"/>
      <c r="AB227" s="160"/>
      <c r="AC227" s="110"/>
      <c r="AD227" s="87"/>
      <c r="AE227" s="173"/>
      <c r="AF227" s="173"/>
      <c r="AG227" s="190"/>
      <c r="AH227" s="169"/>
      <c r="AI227" s="169"/>
      <c r="AJ227" s="180"/>
      <c r="AK227" s="180"/>
      <c r="AL227" s="86"/>
      <c r="AM227" s="172"/>
      <c r="AN227" s="86"/>
      <c r="AO227" s="169"/>
      <c r="AP227" s="86"/>
      <c r="AQ227" s="86"/>
      <c r="AR227" s="158"/>
      <c r="AS227" s="158"/>
      <c r="AT227" s="169"/>
      <c r="AU227" s="169"/>
      <c r="AV227" s="86"/>
      <c r="AW227" s="86"/>
      <c r="AX227" s="158"/>
      <c r="AY227" s="158"/>
      <c r="AZ227" s="169"/>
      <c r="BA227" s="86"/>
      <c r="BB227" s="158"/>
      <c r="BC227" s="292"/>
      <c r="BD227" s="292"/>
      <c r="BE227" s="172"/>
      <c r="BF227" s="172"/>
      <c r="BG227" s="234"/>
      <c r="BH227" s="351"/>
    </row>
    <row r="228" spans="1:60" ht="15" hidden="1">
      <c r="A228" s="184"/>
      <c r="B228" s="159"/>
      <c r="C228" s="159"/>
      <c r="D228" s="159"/>
      <c r="E228" s="159" t="e">
        <f>VLOOKUP(Tabla4[[#This Row],[ENFASIS]],Listas!$R$2:$S$8,2,0)</f>
        <v>#N/A</v>
      </c>
      <c r="F228" s="87"/>
      <c r="G228" s="87"/>
      <c r="H228" s="87"/>
      <c r="I228" s="159"/>
      <c r="J228" s="87"/>
      <c r="K228" s="87"/>
      <c r="L228" s="87"/>
      <c r="M228" s="172"/>
      <c r="N228" s="86"/>
      <c r="O228" s="188"/>
      <c r="P228" s="171"/>
      <c r="Q228" s="87"/>
      <c r="R228" s="173"/>
      <c r="S228" s="173" t="str">
        <f>IF(Tabla4[[#This Row],[FECHA DE ACEPTACION DEL GRUP. INV.]]="","",DATE(YEAR(Tabla4[[#This Row],[FECHA DE ACEPTACION DEL GRUP. INV.]])+2,MONTH(Tabla4[[#This Row],[FECHA DE ACEPTACION DEL GRUP. INV.]]),DAY(Tabla4[[#This Row],[FECHA DE ACEPTACION DEL GRUP. INV.]])))</f>
        <v/>
      </c>
      <c r="T228" s="173" t="str">
        <f ca="1">IF(Tabla4[[#This Row],[FECHA DE ACEPTACION DEL GRUP. INV.]]="","",IF(Tabla4[[#This Row],[FECHA DE VENCIMIENTO ANTE PROYECTO]]&lt;TODAY(),"SÍ","NO"))</f>
        <v/>
      </c>
      <c r="U228" s="173"/>
      <c r="V228" s="173"/>
      <c r="W228" s="87"/>
      <c r="X228" s="87"/>
      <c r="Y228" s="86"/>
      <c r="Z228" s="160"/>
      <c r="AA228" s="86"/>
      <c r="AB228" s="160"/>
      <c r="AC228" s="110"/>
      <c r="AD228" s="87"/>
      <c r="AE228" s="173"/>
      <c r="AF228" s="173"/>
      <c r="AG228" s="190"/>
      <c r="AH228" s="169"/>
      <c r="AI228" s="169"/>
      <c r="AJ228" s="180"/>
      <c r="AK228" s="180"/>
      <c r="AL228" s="86"/>
      <c r="AM228" s="172"/>
      <c r="AN228" s="86"/>
      <c r="AO228" s="169"/>
      <c r="AP228" s="86"/>
      <c r="AQ228" s="86"/>
      <c r="AR228" s="158"/>
      <c r="AS228" s="158"/>
      <c r="AT228" s="169"/>
      <c r="AU228" s="169"/>
      <c r="AV228" s="86"/>
      <c r="AW228" s="86"/>
      <c r="AX228" s="158"/>
      <c r="AY228" s="158"/>
      <c r="AZ228" s="169"/>
      <c r="BA228" s="86"/>
      <c r="BB228" s="158"/>
      <c r="BC228" s="292"/>
      <c r="BD228" s="292"/>
      <c r="BE228" s="172"/>
      <c r="BF228" s="172"/>
      <c r="BG228" s="234"/>
      <c r="BH228" s="351"/>
    </row>
    <row r="229" spans="1:60" ht="15" hidden="1">
      <c r="A229" s="184"/>
      <c r="B229" s="159"/>
      <c r="C229" s="159"/>
      <c r="D229" s="159"/>
      <c r="E229" s="159" t="e">
        <f>VLOOKUP(Tabla4[[#This Row],[ENFASIS]],Listas!$R$2:$S$8,2,0)</f>
        <v>#N/A</v>
      </c>
      <c r="F229" s="87"/>
      <c r="G229" s="87"/>
      <c r="H229" s="87"/>
      <c r="I229" s="159"/>
      <c r="J229" s="87"/>
      <c r="K229" s="87"/>
      <c r="L229" s="87"/>
      <c r="M229" s="172"/>
      <c r="N229" s="86"/>
      <c r="O229" s="188"/>
      <c r="P229" s="171"/>
      <c r="Q229" s="87"/>
      <c r="R229" s="173"/>
      <c r="S229" s="173" t="str">
        <f>IF(Tabla4[[#This Row],[FECHA DE ACEPTACION DEL GRUP. INV.]]="","",DATE(YEAR(Tabla4[[#This Row],[FECHA DE ACEPTACION DEL GRUP. INV.]])+2,MONTH(Tabla4[[#This Row],[FECHA DE ACEPTACION DEL GRUP. INV.]]),DAY(Tabla4[[#This Row],[FECHA DE ACEPTACION DEL GRUP. INV.]])))</f>
        <v/>
      </c>
      <c r="T229" s="173" t="str">
        <f ca="1">IF(Tabla4[[#This Row],[FECHA DE ACEPTACION DEL GRUP. INV.]]="","",IF(Tabla4[[#This Row],[FECHA DE VENCIMIENTO ANTE PROYECTO]]&lt;TODAY(),"SÍ","NO"))</f>
        <v/>
      </c>
      <c r="U229" s="173"/>
      <c r="V229" s="173"/>
      <c r="W229" s="87"/>
      <c r="X229" s="87"/>
      <c r="Y229" s="86"/>
      <c r="Z229" s="160"/>
      <c r="AA229" s="86"/>
      <c r="AB229" s="160"/>
      <c r="AC229" s="110"/>
      <c r="AD229" s="87"/>
      <c r="AE229" s="173"/>
      <c r="AF229" s="173"/>
      <c r="AG229" s="190"/>
      <c r="AH229" s="169"/>
      <c r="AI229" s="169"/>
      <c r="AJ229" s="180"/>
      <c r="AK229" s="180"/>
      <c r="AL229" s="86"/>
      <c r="AM229" s="172"/>
      <c r="AN229" s="86"/>
      <c r="AO229" s="169"/>
      <c r="AP229" s="86"/>
      <c r="AQ229" s="86"/>
      <c r="AR229" s="158"/>
      <c r="AS229" s="158"/>
      <c r="AT229" s="169"/>
      <c r="AU229" s="169"/>
      <c r="AV229" s="86"/>
      <c r="AW229" s="86"/>
      <c r="AX229" s="158"/>
      <c r="AY229" s="158"/>
      <c r="AZ229" s="169"/>
      <c r="BA229" s="86"/>
      <c r="BB229" s="158"/>
      <c r="BC229" s="292"/>
      <c r="BD229" s="292"/>
      <c r="BE229" s="172"/>
      <c r="BF229" s="172"/>
      <c r="BG229" s="234"/>
      <c r="BH229" s="351"/>
    </row>
    <row r="230" spans="1:60" ht="15" hidden="1">
      <c r="A230" s="184"/>
      <c r="B230" s="159"/>
      <c r="C230" s="159"/>
      <c r="D230" s="159"/>
      <c r="E230" s="159" t="e">
        <f>VLOOKUP(Tabla4[[#This Row],[ENFASIS]],Listas!$R$2:$S$8,2,0)</f>
        <v>#N/A</v>
      </c>
      <c r="F230" s="87"/>
      <c r="G230" s="87"/>
      <c r="H230" s="87"/>
      <c r="I230" s="159"/>
      <c r="J230" s="87"/>
      <c r="K230" s="87"/>
      <c r="L230" s="87"/>
      <c r="M230" s="172"/>
      <c r="N230" s="86"/>
      <c r="O230" s="188"/>
      <c r="P230" s="171"/>
      <c r="Q230" s="87"/>
      <c r="R230" s="173"/>
      <c r="S230" s="173" t="str">
        <f>IF(Tabla4[[#This Row],[FECHA DE ACEPTACION DEL GRUP. INV.]]="","",DATE(YEAR(Tabla4[[#This Row],[FECHA DE ACEPTACION DEL GRUP. INV.]])+2,MONTH(Tabla4[[#This Row],[FECHA DE ACEPTACION DEL GRUP. INV.]]),DAY(Tabla4[[#This Row],[FECHA DE ACEPTACION DEL GRUP. INV.]])))</f>
        <v/>
      </c>
      <c r="T230" s="173" t="str">
        <f ca="1">IF(Tabla4[[#This Row],[FECHA DE ACEPTACION DEL GRUP. INV.]]="","",IF(Tabla4[[#This Row],[FECHA DE VENCIMIENTO ANTE PROYECTO]]&lt;TODAY(),"SÍ","NO"))</f>
        <v/>
      </c>
      <c r="U230" s="173"/>
      <c r="V230" s="173"/>
      <c r="W230" s="87"/>
      <c r="X230" s="87"/>
      <c r="Y230" s="86"/>
      <c r="Z230" s="160"/>
      <c r="AA230" s="86"/>
      <c r="AB230" s="160"/>
      <c r="AC230" s="110"/>
      <c r="AD230" s="87"/>
      <c r="AE230" s="173"/>
      <c r="AF230" s="173"/>
      <c r="AG230" s="190"/>
      <c r="AH230" s="169"/>
      <c r="AI230" s="169"/>
      <c r="AJ230" s="180"/>
      <c r="AK230" s="180"/>
      <c r="AL230" s="86"/>
      <c r="AM230" s="172"/>
      <c r="AN230" s="86"/>
      <c r="AO230" s="169"/>
      <c r="AP230" s="86"/>
      <c r="AQ230" s="86"/>
      <c r="AR230" s="158"/>
      <c r="AS230" s="158"/>
      <c r="AT230" s="169"/>
      <c r="AU230" s="169"/>
      <c r="AV230" s="86"/>
      <c r="AW230" s="86"/>
      <c r="AX230" s="158"/>
      <c r="AY230" s="158"/>
      <c r="AZ230" s="169"/>
      <c r="BA230" s="86"/>
      <c r="BB230" s="158"/>
      <c r="BC230" s="292"/>
      <c r="BD230" s="292"/>
      <c r="BE230" s="172"/>
      <c r="BF230" s="172"/>
      <c r="BG230" s="234"/>
      <c r="BH230" s="351"/>
    </row>
    <row r="231" spans="1:60" ht="15" hidden="1">
      <c r="A231" s="184"/>
      <c r="B231" s="159"/>
      <c r="C231" s="159"/>
      <c r="D231" s="159"/>
      <c r="E231" s="159" t="e">
        <f>VLOOKUP(Tabla4[[#This Row],[ENFASIS]],Listas!$R$2:$S$8,2,0)</f>
        <v>#N/A</v>
      </c>
      <c r="F231" s="87"/>
      <c r="G231" s="87"/>
      <c r="H231" s="87"/>
      <c r="I231" s="159"/>
      <c r="J231" s="87"/>
      <c r="K231" s="87"/>
      <c r="L231" s="87"/>
      <c r="M231" s="172"/>
      <c r="N231" s="86"/>
      <c r="O231" s="188"/>
      <c r="P231" s="171"/>
      <c r="Q231" s="87"/>
      <c r="R231" s="173"/>
      <c r="S231" s="173" t="str">
        <f>IF(Tabla4[[#This Row],[FECHA DE ACEPTACION DEL GRUP. INV.]]="","",DATE(YEAR(Tabla4[[#This Row],[FECHA DE ACEPTACION DEL GRUP. INV.]])+2,MONTH(Tabla4[[#This Row],[FECHA DE ACEPTACION DEL GRUP. INV.]]),DAY(Tabla4[[#This Row],[FECHA DE ACEPTACION DEL GRUP. INV.]])))</f>
        <v/>
      </c>
      <c r="T231" s="173" t="str">
        <f ca="1">IF(Tabla4[[#This Row],[FECHA DE ACEPTACION DEL GRUP. INV.]]="","",IF(Tabla4[[#This Row],[FECHA DE VENCIMIENTO ANTE PROYECTO]]&lt;TODAY(),"SÍ","NO"))</f>
        <v/>
      </c>
      <c r="U231" s="173"/>
      <c r="V231" s="173"/>
      <c r="W231" s="87"/>
      <c r="X231" s="87"/>
      <c r="Y231" s="86"/>
      <c r="Z231" s="160"/>
      <c r="AA231" s="86"/>
      <c r="AB231" s="160"/>
      <c r="AC231" s="110"/>
      <c r="AD231" s="87"/>
      <c r="AE231" s="173"/>
      <c r="AF231" s="173"/>
      <c r="AG231" s="190"/>
      <c r="AH231" s="169"/>
      <c r="AI231" s="169"/>
      <c r="AJ231" s="180"/>
      <c r="AK231" s="180"/>
      <c r="AL231" s="86"/>
      <c r="AM231" s="172"/>
      <c r="AN231" s="86"/>
      <c r="AO231" s="169"/>
      <c r="AP231" s="86"/>
      <c r="AQ231" s="86"/>
      <c r="AR231" s="158"/>
      <c r="AS231" s="158"/>
      <c r="AT231" s="169"/>
      <c r="AU231" s="169"/>
      <c r="AV231" s="86"/>
      <c r="AW231" s="86"/>
      <c r="AX231" s="158"/>
      <c r="AY231" s="158"/>
      <c r="AZ231" s="169"/>
      <c r="BA231" s="86"/>
      <c r="BB231" s="158"/>
      <c r="BC231" s="292"/>
      <c r="BD231" s="292"/>
      <c r="BE231" s="172"/>
      <c r="BF231" s="172"/>
      <c r="BG231" s="234"/>
      <c r="BH231" s="351"/>
    </row>
  </sheetData>
  <dataValidations disablePrompts="1" count="15">
    <dataValidation type="list" allowBlank="1" showInputMessage="1" showErrorMessage="1" sqref="A187" xr:uid="{00000000-0002-0000-0400-000042000000}">
      <formula1>"9029509,9929531,9929539,20012095004,20051195015,20061195014,20102195004,20121195003,20122195002,20122195006,20151195002,20152195007,20152195016,20152195017,20152195022,20152195023,20161195004,20161195006,20161195007,20172195007"</formula1>
    </dataValidation>
    <dataValidation type="list" allowBlank="1" showInputMessage="1" showErrorMessage="1" sqref="A186" xr:uid="{00000000-0002-0000-0400-00003F000000}">
      <formula1>"9029509,9929531,9929539,20012095004,20051195015,20061195014,20102195004,20121195003,20122195002,20122195006,20151195002,20152195007,20152195016,20152195017,20152195022,20152195023,20161195004,20161195006,20161195007,20142395005"</formula1>
    </dataValidation>
    <dataValidation type="list" allowBlank="1" showInputMessage="1" showErrorMessage="1" sqref="A185" xr:uid="{00000000-0002-0000-0400-00003D000000}">
      <formula1>"9029509,9929531,9929539,20012095004,20051195015,20061195014,20102195004,20121195003,20122195002,20122195006,20151195002,20152195007,20152195016,20152195017,20152195022,20152195023,20161195004,20161195006,20161195007,20101295014"</formula1>
    </dataValidation>
    <dataValidation type="list" allowBlank="1" showInputMessage="1" showErrorMessage="1" sqref="AI131" xr:uid="{00000000-0002-0000-0400-000036000000}">
      <formula1>"Revista A1,Revista A2,Libro de investigación,Revista B,capítulo de un libro,Revista C,Ponencia,N/A,C"</formula1>
    </dataValidation>
    <dataValidation type="list" allowBlank="1" showInputMessage="1" showErrorMessage="1" sqref="AZ31 AT131 AZ131 AT135 AZ135" xr:uid="{00000000-0002-0000-0400-00001A000000}">
      <formula1>"Aprobado,Meritorio,Laureado,MERITORIO"</formula1>
    </dataValidation>
    <dataValidation type="list" allowBlank="1" showInputMessage="1" showErrorMessage="1" sqref="AT132:AT134 AZ132:AZ134 AM192:AM194 AT192:AT194 AZ32:AZ130 AT2:AT130 AZ2:AZ30 AZ136:AZ187 AT136:AT187" xr:uid="{00000000-0002-0000-0400-000005000000}">
      <formula1>"Aprobado,Meritorio,Laureado"</formula1>
    </dataValidation>
    <dataValidation type="list" allowBlank="1" showInputMessage="1" showErrorMessage="1" sqref="AZ1" xr:uid="{00000000-0002-0000-0400-000001000000}">
      <formula1>"Aprobado,Meritorio,Laureado,CONCEPTO JURADO 2"</formula1>
    </dataValidation>
    <dataValidation type="list" allowBlank="1" showInputMessage="1" showErrorMessage="1" sqref="AT1" xr:uid="{00000000-0002-0000-0400-000000000000}">
      <formula1>"Aprobado,Meritorio,Laureado,CONCEPTO JURADO 1"</formula1>
    </dataValidation>
    <dataValidation type="list" allowBlank="1" showInputMessage="1" showErrorMessage="1" sqref="AC187:AH187 AC34:AC36 AC43:AC45 AC195:AC231" xr:uid="{00000000-0002-0000-0400-000043000000}">
      <formula1>"C2,C1,B2,B1,A2,A1"</formula1>
    </dataValidation>
    <dataValidation type="list" allowBlank="1" showInputMessage="1" showErrorMessage="1" sqref="J178:J195 J2:J175" xr:uid="{00000000-0002-0000-0400-000002000000}">
      <formula1>"Profundización,Investigación"</formula1>
    </dataValidation>
    <dataValidation allowBlank="1" showInputMessage="1" showErrorMessage="1" sqref="AW192:AW193 AJ88:AL88 AJ1:AK87 AJ89:AK231 AI232:AJ1048576 U1:V34" xr:uid="{B6D321AB-4A3C-469C-985F-66778C72F1FD}"/>
    <dataValidation type="list" allowBlank="1" showInputMessage="1" showErrorMessage="1" sqref="AY192:AY194" xr:uid="{00000000-0002-0000-0500-000007000000}">
      <formula1>"Enviado,Publicado,Por publicar"</formula1>
    </dataValidation>
    <dataValidation type="list" allowBlank="1" showInputMessage="1" showErrorMessage="1" sqref="M192:M194 Q192:Q194 AU194" xr:uid="{00000000-0002-0000-0500-000003000000}">
      <formula1>"Abel Antonio Navarrete,Adolfo Jaramillo,Adriana Vega,Alberto Acosta,Alberto Sarcina Brigada,Alejandro Paolo Daza Corredor,Alexandra Abuchar,Alvaro Enrique Ortiz Davila,Alvaro Espinel Ortega,Alvaro Ortiz,Alvaro Sanabria Duque,Ana Maria Peña Reyes"</formula1>
    </dataValidation>
    <dataValidation type="list" allowBlank="1" showInputMessage="1" showErrorMessage="1" sqref="AX192:AX194 AZ192:AZ194" xr:uid="{00000000-0002-0000-0500-000006000000}">
      <formula1>"Revista A1,Revista A2,Libro de investigación,Revista B,capítulo de un libro,Revista C,Ponencia,N/A"</formula1>
    </dataValidation>
    <dataValidation type="list" allowBlank="1" showInputMessage="1" showErrorMessage="1" sqref="W91:X91 U47:V47" xr:uid="{7EE8FF58-F816-47C2-A6A5-493B7EC49C83}">
      <formula1>"Sí, No"</formula1>
    </dataValidation>
  </dataValidations>
  <pageMargins left="0.7" right="0.7" top="0.75" bottom="0.75" header="0.3" footer="0.3"/>
  <pageSetup orientation="portrait" r:id="rId1"/>
  <legacyDrawing r:id="rId2"/>
  <tableParts count="1">
    <tablePart r:id="rId3"/>
  </tableParts>
  <extLst>
    <ext xmlns:x14="http://schemas.microsoft.com/office/spreadsheetml/2009/9/main" uri="{CCE6A557-97BC-4b89-ADB6-D9C93CAAB3DF}">
      <x14:dataValidations xmlns:xm="http://schemas.microsoft.com/office/excel/2006/main" disablePrompts="1" count="6">
        <x14:dataValidation type="list" allowBlank="1" showInputMessage="1" showErrorMessage="1" xr:uid="{DF0AB896-782F-4690-A32A-2614066033ED}">
          <x14:formula1>
            <xm:f>Listas!$K$2:$K$9</xm:f>
          </x14:formula1>
          <xm:sqref>AI1:AI130 AI132:AI191 AI195:AI231 AH232:AH1048576</xm:sqref>
        </x14:dataValidation>
        <x14:dataValidation type="list" allowBlank="1" showInputMessage="1" showErrorMessage="1" xr:uid="{65351011-18DE-4820-9978-BA6895CD3105}">
          <x14:formula1>
            <xm:f>Listas!$A$2:$A$32</xm:f>
          </x14:formula1>
          <xm:sqref>P12:P46 P1:P10 P48:P90 P92:P1048576</xm:sqref>
        </x14:dataValidation>
        <x14:dataValidation type="list" allowBlank="1" showInputMessage="1" showErrorMessage="1" xr:uid="{6C45065E-C72A-4C16-86F4-CA5BCF14B21E}">
          <x14:formula1>
            <xm:f>Listas!$Q$2:$Q$3</xm:f>
          </x14:formula1>
          <xm:sqref>V48:V74 V76:V90 U48:U90 V92:V231 U92:U1048576 U35:V46</xm:sqref>
        </x14:dataValidation>
        <x14:dataValidation type="list" allowBlank="1" showInputMessage="1" showErrorMessage="1" xr:uid="{89F8B4DE-DF0A-4560-80DD-947276F9A528}">
          <x14:formula1>
            <xm:f>'DIRECTOR - REVISOR - JURADO'!$A$3:$A$194</xm:f>
          </x14:formula1>
          <xm:sqref>AN192:AN194 AO1:AO191 AU14:AU191 L160:L175 AG193:AG194 L179:L1048576 Q65 L101:L158 AU1:AU12 L1:L99 M90 AU195:AU231 AT232:AT1048576 AO195:AO231 AN232:AN1048576</xm:sqref>
        </x14:dataValidation>
        <x14:dataValidation type="list" allowBlank="1" showInputMessage="1" showErrorMessage="1" xr:uid="{E53C17C6-BED8-40B8-B979-4A2E4D1EDE22}">
          <x14:formula1>
            <xm:f>'DIRECTOR - REVISOR - JURADO'!$A:$A</xm:f>
          </x14:formula1>
          <xm:sqref>L100 M91:M123 M125:M191 Q195:Q1048576 M195:M1048576 L124 L178 L159 Q1:Q64 M1:M89 Q66:Q191</xm:sqref>
        </x14:dataValidation>
        <x14:dataValidation type="list" allowBlank="1" showInputMessage="1" showErrorMessage="1" xr:uid="{823B9C0A-5423-4094-9A36-5EC0F0F9F129}">
          <x14:formula1>
            <xm:f>Listas!$A:$A</xm:f>
          </x14:formula1>
          <xm:sqref>P11 P47 P91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92482-D8DF-492C-8A8B-5D2329AFEE56}">
  <sheetPr>
    <tabColor rgb="FFFFFF00"/>
  </sheetPr>
  <dimension ref="A1:BC148"/>
  <sheetViews>
    <sheetView workbookViewId="0">
      <pane xSplit="2" topLeftCell="E1" activePane="topRight" state="frozen"/>
      <selection pane="topRight" activeCell="E15" sqref="E15"/>
    </sheetView>
  </sheetViews>
  <sheetFormatPr baseColWidth="10" defaultColWidth="10.8984375" defaultRowHeight="15.75" customHeight="1"/>
  <cols>
    <col min="1" max="1" width="9.69921875" style="376" bestFit="1" customWidth="1"/>
    <col min="2" max="2" width="31.19921875" style="455" bestFit="1" customWidth="1"/>
    <col min="3" max="3" width="9.69921875" style="455" bestFit="1" customWidth="1"/>
    <col min="4" max="4" width="7.69921875" style="455" bestFit="1" customWidth="1"/>
    <col min="5" max="5" width="19.3984375" style="455" customWidth="1"/>
    <col min="6" max="6" width="24.69921875" style="455" customWidth="1"/>
    <col min="7" max="7" width="29.296875" style="455" customWidth="1"/>
    <col min="8" max="9" width="7.69921875" style="455" customWidth="1"/>
    <col min="10" max="10" width="10.796875" style="376" customWidth="1"/>
    <col min="11" max="11" width="39.09765625" style="473" customWidth="1"/>
    <col min="12" max="12" width="10.8984375" style="376" customWidth="1"/>
    <col min="13" max="13" width="11.3984375" style="376" customWidth="1"/>
    <col min="14" max="14" width="14.09765625" style="376" customWidth="1"/>
    <col min="15" max="15" width="5.3984375" style="376" customWidth="1"/>
    <col min="16" max="23" width="14.09765625" style="376" customWidth="1"/>
    <col min="24" max="24" width="14.09765625" style="456" customWidth="1"/>
    <col min="25" max="28" width="10.8984375" style="376" customWidth="1"/>
    <col min="29" max="29" width="14" style="457" bestFit="1" customWidth="1"/>
    <col min="30" max="32" width="14.09765625" style="376" bestFit="1" customWidth="1"/>
    <col min="33" max="33" width="10.8984375" style="376"/>
    <col min="34" max="38" width="14.09765625" style="376" bestFit="1" customWidth="1"/>
    <col min="39" max="39" width="10.8984375" style="376"/>
    <col min="40" max="46" width="14.09765625" style="376" bestFit="1" customWidth="1"/>
    <col min="47" max="47" width="29.59765625" style="376" customWidth="1"/>
    <col min="48" max="48" width="22.8984375" style="376" customWidth="1"/>
    <col min="49" max="51" width="14.09765625" style="376" bestFit="1" customWidth="1"/>
    <col min="52" max="52" width="12.796875" style="376" bestFit="1" customWidth="1"/>
    <col min="53" max="54" width="14.09765625" style="376" bestFit="1" customWidth="1"/>
    <col min="55" max="55" width="10.8984375" style="376"/>
    <col min="56" max="16384" width="10.8984375" style="380"/>
  </cols>
  <sheetData>
    <row r="1" spans="1:55" ht="47.25">
      <c r="A1" s="377" t="s">
        <v>0</v>
      </c>
      <c r="B1" s="378" t="s">
        <v>166</v>
      </c>
      <c r="C1" s="378" t="s">
        <v>167</v>
      </c>
      <c r="D1" s="378" t="s">
        <v>168</v>
      </c>
      <c r="E1" s="645" t="s">
        <v>35</v>
      </c>
      <c r="F1" s="378" t="s">
        <v>7</v>
      </c>
      <c r="G1" s="378" t="s">
        <v>8</v>
      </c>
      <c r="H1" s="378" t="s">
        <v>4</v>
      </c>
      <c r="I1" s="378" t="s">
        <v>720</v>
      </c>
      <c r="J1" s="377" t="s">
        <v>170</v>
      </c>
      <c r="K1" s="377" t="s">
        <v>171</v>
      </c>
      <c r="L1" s="377" t="s">
        <v>172</v>
      </c>
      <c r="M1" s="377" t="s">
        <v>173</v>
      </c>
      <c r="N1" s="377" t="s">
        <v>174</v>
      </c>
      <c r="O1" s="377" t="s">
        <v>175</v>
      </c>
      <c r="P1" s="377" t="s">
        <v>176</v>
      </c>
      <c r="Q1" s="377" t="s">
        <v>177</v>
      </c>
      <c r="R1" s="377" t="s">
        <v>178</v>
      </c>
      <c r="S1" s="645" t="s">
        <v>179</v>
      </c>
      <c r="T1" s="645" t="s">
        <v>180</v>
      </c>
      <c r="U1" s="645" t="s">
        <v>721</v>
      </c>
      <c r="V1" s="377" t="s">
        <v>182</v>
      </c>
      <c r="W1" s="377" t="s">
        <v>722</v>
      </c>
      <c r="X1" s="377" t="s">
        <v>723</v>
      </c>
      <c r="Y1" s="377" t="s">
        <v>184</v>
      </c>
      <c r="Z1" s="377" t="s">
        <v>185</v>
      </c>
      <c r="AA1" s="377" t="s">
        <v>186</v>
      </c>
      <c r="AB1" s="377" t="s">
        <v>187</v>
      </c>
      <c r="AC1" s="379" t="s">
        <v>188</v>
      </c>
      <c r="AD1" s="377" t="s">
        <v>724</v>
      </c>
      <c r="AE1" s="377" t="s">
        <v>198</v>
      </c>
      <c r="AF1" s="377" t="s">
        <v>199</v>
      </c>
      <c r="AG1" s="377" t="s">
        <v>200</v>
      </c>
      <c r="AH1" s="377" t="s">
        <v>201</v>
      </c>
      <c r="AI1" s="377" t="s">
        <v>202</v>
      </c>
      <c r="AJ1" s="377" t="s">
        <v>203</v>
      </c>
      <c r="AK1" s="377" t="s">
        <v>204</v>
      </c>
      <c r="AL1" s="377" t="s">
        <v>205</v>
      </c>
      <c r="AM1" s="377" t="s">
        <v>206</v>
      </c>
      <c r="AN1" s="377" t="s">
        <v>207</v>
      </c>
      <c r="AO1" s="377" t="s">
        <v>725</v>
      </c>
      <c r="AP1" s="377" t="s">
        <v>209</v>
      </c>
      <c r="AQ1" s="377" t="s">
        <v>210</v>
      </c>
      <c r="AR1" s="377" t="s">
        <v>211</v>
      </c>
      <c r="AS1" s="377" t="s">
        <v>212</v>
      </c>
      <c r="AT1" s="377" t="s">
        <v>213</v>
      </c>
      <c r="AU1" s="377" t="s">
        <v>726</v>
      </c>
      <c r="AV1" s="377" t="s">
        <v>727</v>
      </c>
      <c r="AW1" s="377" t="s">
        <v>728</v>
      </c>
      <c r="AX1" s="377" t="s">
        <v>729</v>
      </c>
      <c r="AY1" s="377" t="s">
        <v>730</v>
      </c>
      <c r="AZ1" s="377" t="s">
        <v>731</v>
      </c>
      <c r="BA1" s="377" t="s">
        <v>216</v>
      </c>
      <c r="BB1" s="377" t="s">
        <v>217</v>
      </c>
      <c r="BC1" s="377" t="s">
        <v>218</v>
      </c>
    </row>
    <row r="2" spans="1:55">
      <c r="A2" s="244">
        <v>9029509</v>
      </c>
      <c r="B2" s="239" t="str">
        <f>VLOOKUP(A2,'ESTADOS ESTUDIANTES'!B:L,2,0)</f>
        <v>SILVA ACOSTA LAURENCIO JOSE</v>
      </c>
      <c r="C2" s="239">
        <f>VLOOKUP(A2,'ESTADOS ESTUDIANTES'!B:L,11,0)</f>
        <v>4999503</v>
      </c>
      <c r="D2" s="239">
        <f>VLOOKUP(A2,'ESTADOS ESTUDIANTES'!B:L,3,0)</f>
        <v>595</v>
      </c>
      <c r="E2" s="239" t="str">
        <f>VLOOKUP(Tabla8[[#This Row],[ENFASIS]],Listas!$R$2:$S$8,2,0)</f>
        <v>INVESTIGACIÓN</v>
      </c>
      <c r="F2" s="239" t="str">
        <f>VLOOKUP(A2,'ESTADOS ESTUDIANTES'!B:L,8,0)</f>
        <v>ljsilvaa@udistrital.edu.co</v>
      </c>
      <c r="G2" s="239" t="str">
        <f>VLOOKUP(A2,'ESTADOS ESTUDIANTES'!B:L,9,0)</f>
        <v>laurenciosilvaa@gmail.com</v>
      </c>
      <c r="H2" s="239" t="str">
        <f>VLOOKUP(A2,'ESTADOS ESTUDIANTES'!B:L,5,0)</f>
        <v>X</v>
      </c>
      <c r="I2" s="239" t="str">
        <f>VLOOKUP(Tabla8[[#This Row],[CODIGO]],'ESTADOS ESTUDIANTES'!B:M,12,0)</f>
        <v>2022-1</v>
      </c>
      <c r="J2" s="238"/>
      <c r="K2" s="238"/>
      <c r="L2" s="238"/>
      <c r="M2" s="238"/>
      <c r="N2" s="241"/>
      <c r="O2" s="238"/>
      <c r="P2" s="238"/>
      <c r="Q2" s="238"/>
      <c r="R2" s="242"/>
      <c r="S2" s="242" t="str">
        <f>IF(Tabla8[[#This Row],[FECHA DE ACEPTACION DEL GRUP. INV.]]="","",DATE(YEAR(Tabla8[[#This Row],[FECHA DE ACEPTACION DEL GRUP. INV.]])+2,MONTH(Tabla8[[#This Row],[FECHA DE ACEPTACION DEL GRUP. INV.]]),DAY(Tabla8[[#This Row],[FECHA DE ACEPTACION DEL GRUP. INV.]])))</f>
        <v/>
      </c>
      <c r="T2" s="242" t="str">
        <f ca="1">IF(Tabla8[[#This Row],[FECHA DE ACEPTACION DEL GRUP. INV.]]="","",IF(Tabla8[[#This Row],[FECHA DE VENCIMIENTO ANTE PROYECTO]]&lt;TODAY(),"SÍ","NO"))</f>
        <v/>
      </c>
      <c r="U2" s="242"/>
      <c r="V2" s="240"/>
      <c r="W2" s="240"/>
      <c r="X2" s="242"/>
      <c r="Y2" s="241"/>
      <c r="Z2" s="243"/>
      <c r="AA2" s="241">
        <v>44468</v>
      </c>
      <c r="AB2" s="243">
        <v>122.5</v>
      </c>
      <c r="AC2" s="240" t="s">
        <v>79</v>
      </c>
      <c r="AD2" s="241"/>
      <c r="AE2" s="238"/>
      <c r="AF2" s="241"/>
      <c r="AG2" s="238"/>
      <c r="AH2" s="241"/>
      <c r="AI2" s="241"/>
      <c r="AJ2" s="244"/>
      <c r="AK2" s="244"/>
      <c r="AL2" s="238"/>
      <c r="AM2" s="238"/>
      <c r="AN2" s="241"/>
      <c r="AO2" s="241"/>
      <c r="AP2" s="244"/>
      <c r="AQ2" s="244"/>
      <c r="AR2" s="238"/>
      <c r="AS2" s="241"/>
      <c r="AT2" s="240" t="str">
        <f t="shared" ref="AT2:AT21" si="0">IFERROR(ROUND(AVERAGE(AQ2,AP2,AK2,AJ2),0),"")</f>
        <v/>
      </c>
      <c r="AU2" s="238"/>
      <c r="AV2" s="238"/>
      <c r="AW2" s="238"/>
      <c r="AX2" s="238"/>
      <c r="AY2" s="240" t="str">
        <f>IFERROR(VLOOKUP(AX2,Listas!K2:K9,2,0),"")</f>
        <v/>
      </c>
      <c r="AZ2" s="381"/>
      <c r="BA2" s="238"/>
      <c r="BB2" s="238"/>
      <c r="BC2" s="382" t="str">
        <f t="shared" ref="BC2:BC19" si="1">IF(OR(H2="A",$H2="D",$H2="P",$H2="V"),L2,"")</f>
        <v/>
      </c>
    </row>
    <row r="3" spans="1:55">
      <c r="A3" s="383">
        <v>9929531</v>
      </c>
      <c r="B3" s="384" t="str">
        <f>VLOOKUP(A3,'ESTADOS ESTUDIANTES'!B:L,2,0)</f>
        <v>PAEZ PISCO SAMUEL</v>
      </c>
      <c r="C3" s="384">
        <f>VLOOKUP(A3,'ESTADOS ESTUDIANTES'!B:L,11,0)</f>
        <v>79472385</v>
      </c>
      <c r="D3" s="384">
        <f>VLOOKUP(A3,'ESTADOS ESTUDIANTES'!B:L,3,0)</f>
        <v>195</v>
      </c>
      <c r="E3" s="384" t="str">
        <f>VLOOKUP(Tabla8[[#This Row],[ENFASIS]],Listas!$R$2:$S$8,2,0)</f>
        <v>EN TELEINF.</v>
      </c>
      <c r="F3" s="384" t="str">
        <f>VLOOKUP(A3,'ESTADOS ESTUDIANTES'!B:L,8,0)</f>
        <v>spaezp@correo.udistrital.edu.co</v>
      </c>
      <c r="G3" s="384" t="str">
        <f>VLOOKUP(A3,'ESTADOS ESTUDIANTES'!B:L,9,0)</f>
        <v>samuel.paez@fiscalia.gov.co</v>
      </c>
      <c r="H3" s="384" t="str">
        <f>VLOOKUP(A3,'ESTADOS ESTUDIANTES'!B:L,5,0)</f>
        <v>X</v>
      </c>
      <c r="I3" s="384" t="str">
        <f>VLOOKUP(Tabla8[[#This Row],[CODIGO]],'ESTADOS ESTUDIANTES'!B:M,12,0)</f>
        <v>2022-1</v>
      </c>
      <c r="J3" s="331"/>
      <c r="K3" s="331"/>
      <c r="L3" s="331"/>
      <c r="M3" s="331"/>
      <c r="N3" s="330"/>
      <c r="O3" s="331"/>
      <c r="P3" s="331"/>
      <c r="Q3" s="331"/>
      <c r="R3" s="385"/>
      <c r="S3" s="385" t="str">
        <f>IF(Tabla8[[#This Row],[FECHA DE ACEPTACION DEL GRUP. INV.]]="","",DATE(YEAR(Tabla8[[#This Row],[FECHA DE ACEPTACION DEL GRUP. INV.]])+2,MONTH(Tabla8[[#This Row],[FECHA DE ACEPTACION DEL GRUP. INV.]]),DAY(Tabla8[[#This Row],[FECHA DE ACEPTACION DEL GRUP. INV.]])))</f>
        <v/>
      </c>
      <c r="T3" s="385" t="str">
        <f ca="1">IF(Tabla8[[#This Row],[FECHA DE ACEPTACION DEL GRUP. INV.]]="","",IF(Tabla8[[#This Row],[FECHA DE VENCIMIENTO ANTE PROYECTO]]&lt;TODAY(),"SÍ","NO"))</f>
        <v/>
      </c>
      <c r="U3" s="385"/>
      <c r="V3" s="386"/>
      <c r="W3" s="386"/>
      <c r="X3" s="385"/>
      <c r="Y3" s="330"/>
      <c r="Z3" s="387"/>
      <c r="AA3" s="330">
        <v>44510</v>
      </c>
      <c r="AB3" s="387">
        <v>101</v>
      </c>
      <c r="AC3" s="272" t="s">
        <v>79</v>
      </c>
      <c r="AD3" s="330"/>
      <c r="AE3" s="331"/>
      <c r="AF3" s="330"/>
      <c r="AG3" s="331"/>
      <c r="AH3" s="330"/>
      <c r="AI3" s="330"/>
      <c r="AJ3" s="383"/>
      <c r="AK3" s="383"/>
      <c r="AL3" s="331"/>
      <c r="AM3" s="331"/>
      <c r="AN3" s="330"/>
      <c r="AO3" s="330"/>
      <c r="AP3" s="383"/>
      <c r="AQ3" s="383"/>
      <c r="AR3" s="331"/>
      <c r="AS3" s="330"/>
      <c r="AT3" s="386" t="str">
        <f t="shared" si="0"/>
        <v/>
      </c>
      <c r="AU3" s="331"/>
      <c r="AV3" s="331"/>
      <c r="AW3" s="331"/>
      <c r="AX3" s="331"/>
      <c r="AY3" s="386" t="str">
        <f>IFERROR(VLOOKUP(AX3,Listas!K3:K10,2,0),"")</f>
        <v/>
      </c>
      <c r="AZ3" s="388"/>
      <c r="BA3" s="385"/>
      <c r="BB3" s="331"/>
      <c r="BC3" s="389" t="str">
        <f t="shared" si="1"/>
        <v/>
      </c>
    </row>
    <row r="4" spans="1:55">
      <c r="A4" s="383">
        <v>9929539</v>
      </c>
      <c r="B4" s="384" t="str">
        <f>VLOOKUP(A4,'ESTADOS ESTUDIANTES'!B:L,2,0)</f>
        <v>RODRIGUEZ RENGIFO JORGE</v>
      </c>
      <c r="C4" s="384">
        <f>VLOOKUP(A4,'ESTADOS ESTUDIANTES'!B:L,11,0)</f>
        <v>7545588</v>
      </c>
      <c r="D4" s="384">
        <f>VLOOKUP(A4,'ESTADOS ESTUDIANTES'!B:L,3,0)</f>
        <v>195</v>
      </c>
      <c r="E4" s="384" t="str">
        <f>VLOOKUP(Tabla8[[#This Row],[ENFASIS]],Listas!$R$2:$S$8,2,0)</f>
        <v>EN TELEINF.</v>
      </c>
      <c r="F4" s="384" t="str">
        <f>VLOOKUP(A4,'ESTADOS ESTUDIANTES'!B:L,8,0)</f>
        <v>jrodriguezr@udistrital.edu.co</v>
      </c>
      <c r="G4" s="384" t="str">
        <f>VLOOKUP(A4,'ESTADOS ESTUDIANTES'!B:L,9,0)</f>
        <v>jorge.rodriguez@engineer.com</v>
      </c>
      <c r="H4" s="384" t="str">
        <f>VLOOKUP(A4,'ESTADOS ESTUDIANTES'!B:L,5,0)</f>
        <v>X</v>
      </c>
      <c r="I4" s="384" t="str">
        <f>VLOOKUP(Tabla8[[#This Row],[CODIGO]],'ESTADOS ESTUDIANTES'!B:M,12,0)</f>
        <v>2022-1</v>
      </c>
      <c r="J4" s="331"/>
      <c r="K4" s="331"/>
      <c r="L4" s="331"/>
      <c r="M4" s="331"/>
      <c r="N4" s="330"/>
      <c r="O4" s="331"/>
      <c r="P4" s="331"/>
      <c r="Q4" s="331"/>
      <c r="R4" s="385"/>
      <c r="S4" s="385" t="str">
        <f>IF(Tabla8[[#This Row],[FECHA DE ACEPTACION DEL GRUP. INV.]]="","",DATE(YEAR(Tabla8[[#This Row],[FECHA DE ACEPTACION DEL GRUP. INV.]])+2,MONTH(Tabla8[[#This Row],[FECHA DE ACEPTACION DEL GRUP. INV.]]),DAY(Tabla8[[#This Row],[FECHA DE ACEPTACION DEL GRUP. INV.]])))</f>
        <v/>
      </c>
      <c r="T4" s="385" t="str">
        <f ca="1">IF(Tabla8[[#This Row],[FECHA DE ACEPTACION DEL GRUP. INV.]]="","",IF(Tabla8[[#This Row],[FECHA DE VENCIMIENTO ANTE PROYECTO]]&lt;TODAY(),"SÍ","NO"))</f>
        <v/>
      </c>
      <c r="U4" s="385"/>
      <c r="V4" s="386"/>
      <c r="W4" s="386"/>
      <c r="X4" s="385"/>
      <c r="Y4" s="330"/>
      <c r="Z4" s="387"/>
      <c r="AA4" s="330"/>
      <c r="AB4" s="387"/>
      <c r="AC4" s="390"/>
      <c r="AD4" s="330"/>
      <c r="AE4" s="331"/>
      <c r="AF4" s="330"/>
      <c r="AG4" s="331"/>
      <c r="AH4" s="330"/>
      <c r="AI4" s="330"/>
      <c r="AJ4" s="383"/>
      <c r="AK4" s="383"/>
      <c r="AL4" s="331"/>
      <c r="AM4" s="331"/>
      <c r="AN4" s="330"/>
      <c r="AO4" s="330"/>
      <c r="AP4" s="383"/>
      <c r="AQ4" s="383"/>
      <c r="AR4" s="331"/>
      <c r="AS4" s="330"/>
      <c r="AT4" s="386" t="str">
        <f t="shared" si="0"/>
        <v/>
      </c>
      <c r="AU4" s="331"/>
      <c r="AV4" s="331"/>
      <c r="AW4" s="331"/>
      <c r="AX4" s="331"/>
      <c r="AY4" s="386" t="str">
        <f>IFERROR(VLOOKUP(AX4,Listas!K4:K11,2,0),"")</f>
        <v/>
      </c>
      <c r="AZ4" s="388"/>
      <c r="BA4" s="331"/>
      <c r="BB4" s="331"/>
      <c r="BC4" s="391" t="str">
        <f t="shared" si="1"/>
        <v/>
      </c>
    </row>
    <row r="5" spans="1:55">
      <c r="A5" s="383">
        <v>20061295007</v>
      </c>
      <c r="B5" s="384" t="str">
        <f>VLOOKUP(A5,'ESTADOS ESTUDIANTES'!B:L,2,0)</f>
        <v>MORALES BALLESTEROS LUIS EDUARDO</v>
      </c>
      <c r="C5" s="384">
        <f>VLOOKUP(A5,'ESTADOS ESTUDIANTES'!B:L,11,0)</f>
        <v>79378087</v>
      </c>
      <c r="D5" s="384">
        <f>VLOOKUP(A5,'ESTADOS ESTUDIANTES'!B:L,3,0)</f>
        <v>295</v>
      </c>
      <c r="E5" s="384" t="str">
        <f>VLOOKUP(Tabla8[[#This Row],[ENFASIS]],Listas!$R$2:$S$8,2,0)</f>
        <v>ENFASIS EN SIS. INFOR</v>
      </c>
      <c r="F5" s="384" t="str">
        <f>VLOOKUP(A5,'ESTADOS ESTUDIANTES'!B:L,8,0)</f>
        <v>lemoralesb@correo.udistrital.edu.co</v>
      </c>
      <c r="G5" s="384" t="str">
        <f>VLOOKUP(A5,'ESTADOS ESTUDIANTES'!B:L,9,0)</f>
        <v>luisemo.morales@gmail.com</v>
      </c>
      <c r="H5" s="384" t="str">
        <f>VLOOKUP(A5,'ESTADOS ESTUDIANTES'!B:L,5,0)</f>
        <v>X</v>
      </c>
      <c r="I5" s="384" t="str">
        <f>VLOOKUP(Tabla8[[#This Row],[CODIGO]],'ESTADOS ESTUDIANTES'!B:M,12,0)</f>
        <v>2022-3</v>
      </c>
      <c r="J5" s="386" t="s">
        <v>46</v>
      </c>
      <c r="K5" s="331"/>
      <c r="L5" s="331"/>
      <c r="M5" s="331"/>
      <c r="N5" s="330"/>
      <c r="O5" s="331"/>
      <c r="P5" s="331"/>
      <c r="Q5" s="331"/>
      <c r="R5" s="385"/>
      <c r="S5" s="385" t="str">
        <f>IF(Tabla8[[#This Row],[FECHA DE ACEPTACION DEL GRUP. INV.]]="","",DATE(YEAR(Tabla8[[#This Row],[FECHA DE ACEPTACION DEL GRUP. INV.]])+2,MONTH(Tabla8[[#This Row],[FECHA DE ACEPTACION DEL GRUP. INV.]]),DAY(Tabla8[[#This Row],[FECHA DE ACEPTACION DEL GRUP. INV.]])))</f>
        <v/>
      </c>
      <c r="T5" s="385" t="str">
        <f ca="1">IF(Tabla8[[#This Row],[FECHA DE ACEPTACION DEL GRUP. INV.]]="","",IF(Tabla8[[#This Row],[FECHA DE VENCIMIENTO ANTE PROYECTO]]&lt;TODAY(),"SÍ","NO"))</f>
        <v/>
      </c>
      <c r="U5" s="385"/>
      <c r="V5" s="386"/>
      <c r="W5" s="386"/>
      <c r="X5" s="385"/>
      <c r="Y5" s="330"/>
      <c r="Z5" s="387"/>
      <c r="AA5" s="330"/>
      <c r="AB5" s="387"/>
      <c r="AC5" s="390"/>
      <c r="AD5" s="330"/>
      <c r="AE5" s="331"/>
      <c r="AF5" s="330"/>
      <c r="AG5" s="331"/>
      <c r="AH5" s="330"/>
      <c r="AI5" s="330"/>
      <c r="AJ5" s="383"/>
      <c r="AK5" s="383"/>
      <c r="AL5" s="331"/>
      <c r="AM5" s="331"/>
      <c r="AN5" s="330"/>
      <c r="AO5" s="330"/>
      <c r="AP5" s="383"/>
      <c r="AQ5" s="383"/>
      <c r="AR5" s="331"/>
      <c r="AS5" s="330"/>
      <c r="AT5" s="386" t="str">
        <f t="shared" si="0"/>
        <v/>
      </c>
      <c r="AU5" s="331"/>
      <c r="AV5" s="331"/>
      <c r="AW5" s="331"/>
      <c r="AX5" s="331"/>
      <c r="AY5" s="386" t="str">
        <f>IFERROR(VLOOKUP(AX5,Listas!K7:K14,2,0),"")</f>
        <v/>
      </c>
      <c r="AZ5" s="388"/>
      <c r="BA5" s="331"/>
      <c r="BB5" s="331"/>
      <c r="BC5" s="391" t="str">
        <f t="shared" si="1"/>
        <v/>
      </c>
    </row>
    <row r="6" spans="1:55" ht="63">
      <c r="A6" s="383">
        <v>20081295008</v>
      </c>
      <c r="B6" s="384" t="str">
        <f>VLOOKUP(A6,'ESTADOS ESTUDIANTES'!B:L,2,0)</f>
        <v>MEJIA ROCHA MARINO</v>
      </c>
      <c r="C6" s="384">
        <f>VLOOKUP(A6,'ESTADOS ESTUDIANTES'!B:L,11,0)</f>
        <v>79788977</v>
      </c>
      <c r="D6" s="384">
        <f>VLOOKUP(A6,'ESTADOS ESTUDIANTES'!B:L,3,0)</f>
        <v>395</v>
      </c>
      <c r="E6" s="384" t="str">
        <f>VLOOKUP(Tabla8[[#This Row],[ENFASIS]],Listas!$R$2:$S$8,2,0)</f>
        <v>ENFASIS EN GEOMATICA</v>
      </c>
      <c r="F6" s="384" t="str">
        <f>VLOOKUP(A6,'ESTADOS ESTUDIANTES'!B:L,8,0)</f>
        <v>mmejiar@udistrital.edu.co</v>
      </c>
      <c r="G6" s="384" t="str">
        <f>VLOOKUP(A6,'ESTADOS ESTUDIANTES'!B:L,9,0)</f>
        <v>marino.mejia@gmail.com</v>
      </c>
      <c r="H6" s="384" t="str">
        <f>VLOOKUP(A6,'ESTADOS ESTUDIANTES'!B:L,5,0)</f>
        <v>E</v>
      </c>
      <c r="I6" s="384" t="str">
        <f>VLOOKUP(Tabla8[[#This Row],[CODIGO]],'ESTADOS ESTUDIANTES'!B:M,12,0)</f>
        <v>2023-1</v>
      </c>
      <c r="J6" s="386" t="s">
        <v>46</v>
      </c>
      <c r="K6" s="386" t="s">
        <v>732</v>
      </c>
      <c r="L6" s="386" t="s">
        <v>402</v>
      </c>
      <c r="M6" s="386" t="s">
        <v>272</v>
      </c>
      <c r="N6" s="330">
        <v>44399</v>
      </c>
      <c r="O6" s="384">
        <v>2021</v>
      </c>
      <c r="P6" s="386" t="s">
        <v>83</v>
      </c>
      <c r="Q6" s="386" t="s">
        <v>512</v>
      </c>
      <c r="R6" s="385">
        <v>44399</v>
      </c>
      <c r="S6" s="385">
        <f>IF(Tabla8[[#This Row],[FECHA DE ACEPTACION DEL GRUP. INV.]]="","",DATE(YEAR(Tabla8[[#This Row],[FECHA DE ACEPTACION DEL GRUP. INV.]])+2,MONTH(Tabla8[[#This Row],[FECHA DE ACEPTACION DEL GRUP. INV.]]),DAY(Tabla8[[#This Row],[FECHA DE ACEPTACION DEL GRUP. INV.]])))</f>
        <v>45129</v>
      </c>
      <c r="T6" s="385" t="str">
        <f ca="1">IF(Tabla8[[#This Row],[FECHA DE ACEPTACION DEL GRUP. INV.]]="","",IF(Tabla8[[#This Row],[FECHA DE VENCIMIENTO ANTE PROYECTO]]&lt;TODAY(),"SÍ","NO"))</f>
        <v>SÍ</v>
      </c>
      <c r="U6" s="385"/>
      <c r="V6" s="386" t="s">
        <v>287</v>
      </c>
      <c r="W6" s="386"/>
      <c r="X6" s="385"/>
      <c r="Y6" s="330"/>
      <c r="Z6" s="387"/>
      <c r="AA6" s="330">
        <v>44153</v>
      </c>
      <c r="AB6" s="387">
        <v>83.18</v>
      </c>
      <c r="AC6" s="272" t="s">
        <v>79</v>
      </c>
      <c r="AD6" s="330">
        <v>44729</v>
      </c>
      <c r="AE6" s="386" t="s">
        <v>450</v>
      </c>
      <c r="AF6" s="330">
        <v>44734</v>
      </c>
      <c r="AG6" s="386" t="s">
        <v>229</v>
      </c>
      <c r="AH6" s="330">
        <v>44750</v>
      </c>
      <c r="AI6" s="330">
        <v>44809</v>
      </c>
      <c r="AJ6" s="383">
        <v>48</v>
      </c>
      <c r="AK6" s="383">
        <v>50</v>
      </c>
      <c r="AL6" s="386" t="s">
        <v>41</v>
      </c>
      <c r="AM6" s="386" t="s">
        <v>338</v>
      </c>
      <c r="AN6" s="330">
        <v>44750</v>
      </c>
      <c r="AO6" s="330">
        <v>44809</v>
      </c>
      <c r="AP6" s="383">
        <v>49</v>
      </c>
      <c r="AQ6" s="383">
        <v>48</v>
      </c>
      <c r="AR6" s="386" t="s">
        <v>41</v>
      </c>
      <c r="AS6" s="330">
        <v>44809</v>
      </c>
      <c r="AT6" s="383">
        <f t="shared" si="0"/>
        <v>49</v>
      </c>
      <c r="AU6" s="331" t="s">
        <v>733</v>
      </c>
      <c r="AV6" s="331" t="s">
        <v>734</v>
      </c>
      <c r="AW6" s="331"/>
      <c r="AX6" s="331"/>
      <c r="AY6" s="386" t="s">
        <v>735</v>
      </c>
      <c r="AZ6" s="392">
        <v>44993</v>
      </c>
      <c r="BA6" s="385"/>
      <c r="BB6" s="331"/>
      <c r="BC6" s="389" t="str">
        <f t="shared" si="1"/>
        <v/>
      </c>
    </row>
    <row r="7" spans="1:55">
      <c r="A7" s="383">
        <v>20102195004</v>
      </c>
      <c r="B7" s="384" t="str">
        <f>VLOOKUP(A7,'ESTADOS ESTUDIANTES'!B:L,2,0)</f>
        <v>MOLINA MONGUI ANDRES MAURICIO</v>
      </c>
      <c r="C7" s="384">
        <f>VLOOKUP(A7,'ESTADOS ESTUDIANTES'!B:L,11,0)</f>
        <v>80926416</v>
      </c>
      <c r="D7" s="384">
        <f>VLOOKUP(A7,'ESTADOS ESTUDIANTES'!B:L,3,0)</f>
        <v>195</v>
      </c>
      <c r="E7" s="384" t="str">
        <f>VLOOKUP(Tabla8[[#This Row],[ENFASIS]],Listas!$R$2:$S$8,2,0)</f>
        <v>EN TELEINF.</v>
      </c>
      <c r="F7" s="384" t="str">
        <f>VLOOKUP(A7,'ESTADOS ESTUDIANTES'!B:L,8,0)</f>
        <v>ammolinam@udistrital.edu.co</v>
      </c>
      <c r="G7" s="384" t="str">
        <f>VLOOKUP(A7,'ESTADOS ESTUDIANTES'!B:L,9,0)</f>
        <v>maomolina@hotmail.com</v>
      </c>
      <c r="H7" s="384" t="str">
        <f>VLOOKUP(A7,'ESTADOS ESTUDIANTES'!B:L,5,0)</f>
        <v>X</v>
      </c>
      <c r="I7" s="384" t="str">
        <f>VLOOKUP(Tabla8[[#This Row],[CODIGO]],'ESTADOS ESTUDIANTES'!B:M,12,0)</f>
        <v>2022-3</v>
      </c>
      <c r="J7" s="331"/>
      <c r="K7" s="331"/>
      <c r="L7" s="331"/>
      <c r="M7" s="331"/>
      <c r="N7" s="330"/>
      <c r="O7" s="331"/>
      <c r="P7" s="331"/>
      <c r="Q7" s="331"/>
      <c r="R7" s="385"/>
      <c r="S7" s="385" t="str">
        <f>IF(Tabla8[[#This Row],[FECHA DE ACEPTACION DEL GRUP. INV.]]="","",DATE(YEAR(Tabla8[[#This Row],[FECHA DE ACEPTACION DEL GRUP. INV.]])+2,MONTH(Tabla8[[#This Row],[FECHA DE ACEPTACION DEL GRUP. INV.]]),DAY(Tabla8[[#This Row],[FECHA DE ACEPTACION DEL GRUP. INV.]])))</f>
        <v/>
      </c>
      <c r="T7" s="385" t="str">
        <f ca="1">IF(Tabla8[[#This Row],[FECHA DE ACEPTACION DEL GRUP. INV.]]="","",IF(Tabla8[[#This Row],[FECHA DE VENCIMIENTO ANTE PROYECTO]]&lt;TODAY(),"SÍ","NO"))</f>
        <v/>
      </c>
      <c r="U7" s="385"/>
      <c r="V7" s="386"/>
      <c r="W7" s="386"/>
      <c r="X7" s="385"/>
      <c r="Y7" s="330"/>
      <c r="Z7" s="387"/>
      <c r="AA7" s="330">
        <v>44153</v>
      </c>
      <c r="AB7" s="387">
        <v>84.11</v>
      </c>
      <c r="AC7" s="272" t="s">
        <v>79</v>
      </c>
      <c r="AD7" s="330"/>
      <c r="AE7" s="331"/>
      <c r="AF7" s="330"/>
      <c r="AG7" s="331"/>
      <c r="AH7" s="330"/>
      <c r="AI7" s="330"/>
      <c r="AJ7" s="383"/>
      <c r="AK7" s="383"/>
      <c r="AL7" s="331"/>
      <c r="AM7" s="331"/>
      <c r="AN7" s="330"/>
      <c r="AO7" s="330"/>
      <c r="AP7" s="383"/>
      <c r="AQ7" s="383"/>
      <c r="AR7" s="331"/>
      <c r="AS7" s="330"/>
      <c r="AT7" s="386" t="str">
        <f t="shared" si="0"/>
        <v/>
      </c>
      <c r="AU7" s="331"/>
      <c r="AV7" s="331"/>
      <c r="AW7" s="331"/>
      <c r="AX7" s="331"/>
      <c r="AY7" s="386" t="str">
        <f>IFERROR(VLOOKUP(AX7,Listas!K10:K18,2,0),"")</f>
        <v/>
      </c>
      <c r="AZ7" s="388"/>
      <c r="BA7" s="385"/>
      <c r="BB7" s="331"/>
      <c r="BC7" s="391" t="str">
        <f t="shared" si="1"/>
        <v/>
      </c>
    </row>
    <row r="8" spans="1:55">
      <c r="A8" s="383">
        <v>20121195016</v>
      </c>
      <c r="B8" s="384" t="str">
        <f>VLOOKUP(A8,'ESTADOS ESTUDIANTES'!B:L,2,0)</f>
        <v>BECERRA FINO JOSE YASIS</v>
      </c>
      <c r="C8" s="384">
        <f>VLOOKUP(A8,'ESTADOS ESTUDIANTES'!B:L,11,0)</f>
        <v>79483121</v>
      </c>
      <c r="D8" s="384">
        <f>VLOOKUP(A8,'ESTADOS ESTUDIANTES'!B:L,3,0)</f>
        <v>195</v>
      </c>
      <c r="E8" s="384" t="str">
        <f>VLOOKUP(Tabla8[[#This Row],[ENFASIS]],Listas!$R$2:$S$8,2,0)</f>
        <v>EN TELEINF.</v>
      </c>
      <c r="F8" s="384" t="str">
        <f>VLOOKUP(A8,'ESTADOS ESTUDIANTES'!B:L,8,0)</f>
        <v>jybecerraf@correo.udistrital.edu.co</v>
      </c>
      <c r="G8" s="384" t="str">
        <f>VLOOKUP(A8,'ESTADOS ESTUDIANTES'!B:L,9,0)</f>
        <v>jybecerra@gmail.com</v>
      </c>
      <c r="H8" s="384" t="str">
        <f>VLOOKUP(A8,'ESTADOS ESTUDIANTES'!B:L,5,0)</f>
        <v>X</v>
      </c>
      <c r="I8" s="384" t="str">
        <f>VLOOKUP(Tabla8[[#This Row],[CODIGO]],'ESTADOS ESTUDIANTES'!B:M,12,0)</f>
        <v>2013-3</v>
      </c>
      <c r="J8" s="331"/>
      <c r="K8" s="331"/>
      <c r="L8" s="331"/>
      <c r="M8" s="331"/>
      <c r="N8" s="330"/>
      <c r="O8" s="331"/>
      <c r="P8" s="331"/>
      <c r="Q8" s="331"/>
      <c r="R8" s="385"/>
      <c r="S8" s="385" t="str">
        <f>IF(Tabla8[[#This Row],[FECHA DE ACEPTACION DEL GRUP. INV.]]="","",DATE(YEAR(Tabla8[[#This Row],[FECHA DE ACEPTACION DEL GRUP. INV.]])+2,MONTH(Tabla8[[#This Row],[FECHA DE ACEPTACION DEL GRUP. INV.]]),DAY(Tabla8[[#This Row],[FECHA DE ACEPTACION DEL GRUP. INV.]])))</f>
        <v/>
      </c>
      <c r="T8" s="385" t="str">
        <f ca="1">IF(Tabla8[[#This Row],[FECHA DE ACEPTACION DEL GRUP. INV.]]="","",IF(Tabla8[[#This Row],[FECHA DE VENCIMIENTO ANTE PROYECTO]]&lt;TODAY(),"SÍ","NO"))</f>
        <v/>
      </c>
      <c r="U8" s="385"/>
      <c r="V8" s="385"/>
      <c r="W8" s="385"/>
      <c r="X8" s="385"/>
      <c r="Y8" s="330"/>
      <c r="Z8" s="387"/>
      <c r="AA8" s="330">
        <v>43964</v>
      </c>
      <c r="AB8" s="387">
        <v>92.17</v>
      </c>
      <c r="AC8" s="272" t="s">
        <v>79</v>
      </c>
      <c r="AD8" s="330"/>
      <c r="AE8" s="331"/>
      <c r="AF8" s="330"/>
      <c r="AG8" s="331"/>
      <c r="AH8" s="330"/>
      <c r="AI8" s="330"/>
      <c r="AJ8" s="383"/>
      <c r="AK8" s="383"/>
      <c r="AL8" s="331"/>
      <c r="AM8" s="331"/>
      <c r="AN8" s="330"/>
      <c r="AO8" s="330"/>
      <c r="AP8" s="383"/>
      <c r="AQ8" s="383"/>
      <c r="AR8" s="331"/>
      <c r="AS8" s="330"/>
      <c r="AT8" s="386" t="str">
        <f t="shared" si="0"/>
        <v/>
      </c>
      <c r="AU8" s="331"/>
      <c r="AV8" s="331"/>
      <c r="AW8" s="331"/>
      <c r="AX8" s="331"/>
      <c r="AY8" s="386" t="str">
        <f>IFERROR(VLOOKUP(AX8,Listas!K12:K20,2,0),"")</f>
        <v/>
      </c>
      <c r="AZ8" s="388"/>
      <c r="BA8" s="331"/>
      <c r="BB8" s="331"/>
      <c r="BC8" s="391" t="str">
        <f t="shared" si="1"/>
        <v/>
      </c>
    </row>
    <row r="9" spans="1:55">
      <c r="A9" s="383">
        <v>20121395015</v>
      </c>
      <c r="B9" s="384" t="str">
        <f>VLOOKUP(A9,'ESTADOS ESTUDIANTES'!B:L,2,0)</f>
        <v>RODRIGUEZ SABOGAL EDWIN MAURICIO</v>
      </c>
      <c r="C9" s="384">
        <f>VLOOKUP(A9,'ESTADOS ESTUDIANTES'!B:L,11,0)</f>
        <v>79764993</v>
      </c>
      <c r="D9" s="384">
        <f>VLOOKUP(A9,'ESTADOS ESTUDIANTES'!B:L,3,0)</f>
        <v>395</v>
      </c>
      <c r="E9" s="384" t="str">
        <f>VLOOKUP(Tabla8[[#This Row],[ENFASIS]],Listas!$R$2:$S$8,2,0)</f>
        <v>ENFASIS EN GEOMATICA</v>
      </c>
      <c r="F9" s="384">
        <f>VLOOKUP(A9,'ESTADOS ESTUDIANTES'!B:L,8,0)</f>
        <v>0</v>
      </c>
      <c r="G9" s="384" t="str">
        <f>VLOOKUP(A9,'ESTADOS ESTUDIANTES'!B:L,9,0)</f>
        <v>emauriciors@gmail.com</v>
      </c>
      <c r="H9" s="384" t="str">
        <f>VLOOKUP(A9,'ESTADOS ESTUDIANTES'!B:L,5,0)</f>
        <v>X</v>
      </c>
      <c r="I9" s="384" t="str">
        <f>VLOOKUP(Tabla8[[#This Row],[CODIGO]],'ESTADOS ESTUDIANTES'!B:M,12,0)</f>
        <v>2021-1</v>
      </c>
      <c r="J9" s="331"/>
      <c r="K9" s="331"/>
      <c r="L9" s="331"/>
      <c r="M9" s="331"/>
      <c r="N9" s="330"/>
      <c r="O9" s="331"/>
      <c r="P9" s="331"/>
      <c r="Q9" s="331"/>
      <c r="R9" s="385"/>
      <c r="S9" s="385" t="str">
        <f>IF(Tabla8[[#This Row],[FECHA DE ACEPTACION DEL GRUP. INV.]]="","",DATE(YEAR(Tabla8[[#This Row],[FECHA DE ACEPTACION DEL GRUP. INV.]])+2,MONTH(Tabla8[[#This Row],[FECHA DE ACEPTACION DEL GRUP. INV.]]),DAY(Tabla8[[#This Row],[FECHA DE ACEPTACION DEL GRUP. INV.]])))</f>
        <v/>
      </c>
      <c r="T9" s="385" t="str">
        <f ca="1">IF(Tabla8[[#This Row],[FECHA DE ACEPTACION DEL GRUP. INV.]]="","",IF(Tabla8[[#This Row],[FECHA DE VENCIMIENTO ANTE PROYECTO]]&lt;TODAY(),"SÍ","NO"))</f>
        <v/>
      </c>
      <c r="U9" s="385"/>
      <c r="V9" s="386"/>
      <c r="W9" s="386"/>
      <c r="X9" s="385"/>
      <c r="Y9" s="330"/>
      <c r="Z9" s="387"/>
      <c r="AA9" s="330">
        <v>44097</v>
      </c>
      <c r="AB9" s="387">
        <v>92.52</v>
      </c>
      <c r="AC9" s="272" t="s">
        <v>79</v>
      </c>
      <c r="AD9" s="330"/>
      <c r="AE9" s="331"/>
      <c r="AF9" s="330"/>
      <c r="AG9" s="331"/>
      <c r="AH9" s="330"/>
      <c r="AI9" s="330"/>
      <c r="AJ9" s="383"/>
      <c r="AK9" s="383"/>
      <c r="AL9" s="331"/>
      <c r="AM9" s="331"/>
      <c r="AN9" s="330"/>
      <c r="AO9" s="330"/>
      <c r="AP9" s="383"/>
      <c r="AQ9" s="383"/>
      <c r="AR9" s="331"/>
      <c r="AS9" s="330"/>
      <c r="AT9" s="386" t="str">
        <f t="shared" si="0"/>
        <v/>
      </c>
      <c r="AU9" s="331"/>
      <c r="AV9" s="331"/>
      <c r="AW9" s="331"/>
      <c r="AX9" s="331"/>
      <c r="AY9" s="386" t="str">
        <f>IFERROR(VLOOKUP(AX9,Listas!K13:K21,2,0),"")</f>
        <v/>
      </c>
      <c r="AZ9" s="388"/>
      <c r="BA9" s="331"/>
      <c r="BB9" s="331"/>
      <c r="BC9" s="389" t="str">
        <f t="shared" si="1"/>
        <v/>
      </c>
    </row>
    <row r="10" spans="1:55" ht="94.5">
      <c r="A10" s="383">
        <v>20122195006</v>
      </c>
      <c r="B10" s="384" t="str">
        <f>VLOOKUP(A10,'ESTADOS ESTUDIANTES'!B:L,2,0)</f>
        <v>ROJAS DUARTE ORLANDO</v>
      </c>
      <c r="C10" s="384">
        <f>VLOOKUP(A10,'ESTADOS ESTUDIANTES'!B:L,11,0)</f>
        <v>80124517</v>
      </c>
      <c r="D10" s="384">
        <f>VLOOKUP(A10,'ESTADOS ESTUDIANTES'!B:L,3,0)</f>
        <v>195</v>
      </c>
      <c r="E10" s="384" t="str">
        <f>VLOOKUP(Tabla8[[#This Row],[ENFASIS]],Listas!$R$2:$S$8,2,0)</f>
        <v>EN TELEINF.</v>
      </c>
      <c r="F10" s="384">
        <f>VLOOKUP(A10,'ESTADOS ESTUDIANTES'!B:L,8,0)</f>
        <v>0</v>
      </c>
      <c r="G10" s="384" t="str">
        <f>VLOOKUP(A10,'ESTADOS ESTUDIANTES'!B:L,9,0)</f>
        <v>orlanrojas1@yahoo.es</v>
      </c>
      <c r="H10" s="384" t="str">
        <f>VLOOKUP(A10,'ESTADOS ESTUDIANTES'!B:L,5,0)</f>
        <v>X</v>
      </c>
      <c r="I10" s="384" t="str">
        <f>VLOOKUP(Tabla8[[#This Row],[CODIGO]],'ESTADOS ESTUDIANTES'!B:M,12,0)</f>
        <v>2022-3</v>
      </c>
      <c r="J10" s="386" t="s">
        <v>46</v>
      </c>
      <c r="K10" s="386" t="s">
        <v>736</v>
      </c>
      <c r="L10" s="386" t="s">
        <v>298</v>
      </c>
      <c r="M10" s="331"/>
      <c r="N10" s="330">
        <v>44160</v>
      </c>
      <c r="O10" s="384">
        <v>2020</v>
      </c>
      <c r="P10" s="386" t="s">
        <v>115</v>
      </c>
      <c r="Q10" s="386" t="s">
        <v>292</v>
      </c>
      <c r="R10" s="385"/>
      <c r="S10" s="385" t="str">
        <f>IF(Tabla8[[#This Row],[FECHA DE ACEPTACION DEL GRUP. INV.]]="","",DATE(YEAR(Tabla8[[#This Row],[FECHA DE ACEPTACION DEL GRUP. INV.]])+2,MONTH(Tabla8[[#This Row],[FECHA DE ACEPTACION DEL GRUP. INV.]]),DAY(Tabla8[[#This Row],[FECHA DE ACEPTACION DEL GRUP. INV.]])))</f>
        <v/>
      </c>
      <c r="T10" s="385" t="str">
        <f ca="1">IF(Tabla8[[#This Row],[FECHA DE ACEPTACION DEL GRUP. INV.]]="","",IF(Tabla8[[#This Row],[FECHA DE VENCIMIENTO ANTE PROYECTO]]&lt;TODAY(),"SÍ","NO"))</f>
        <v/>
      </c>
      <c r="U10" s="385"/>
      <c r="V10" s="386"/>
      <c r="W10" s="386"/>
      <c r="X10" s="385"/>
      <c r="Y10" s="330"/>
      <c r="Z10" s="387"/>
      <c r="AA10" s="330">
        <v>44097</v>
      </c>
      <c r="AB10" s="387">
        <v>80.37</v>
      </c>
      <c r="AC10" s="272" t="s">
        <v>79</v>
      </c>
      <c r="AD10" s="330"/>
      <c r="AE10" s="331"/>
      <c r="AF10" s="330"/>
      <c r="AG10" s="331"/>
      <c r="AH10" s="330"/>
      <c r="AI10" s="330"/>
      <c r="AJ10" s="383"/>
      <c r="AK10" s="383"/>
      <c r="AL10" s="331"/>
      <c r="AM10" s="331"/>
      <c r="AN10" s="330"/>
      <c r="AO10" s="330"/>
      <c r="AP10" s="383"/>
      <c r="AQ10" s="383"/>
      <c r="AR10" s="331"/>
      <c r="AS10" s="330"/>
      <c r="AT10" s="386" t="str">
        <f t="shared" si="0"/>
        <v/>
      </c>
      <c r="AU10" s="331"/>
      <c r="AV10" s="331"/>
      <c r="AW10" s="331"/>
      <c r="AX10" s="331"/>
      <c r="AY10" s="386" t="str">
        <f>IFERROR(VLOOKUP(AX10,Listas!K14:K22,2,0),"")</f>
        <v/>
      </c>
      <c r="AZ10" s="388"/>
      <c r="BA10" s="331"/>
      <c r="BB10" s="331"/>
      <c r="BC10" s="391" t="str">
        <f t="shared" si="1"/>
        <v/>
      </c>
    </row>
    <row r="11" spans="1:55" ht="63">
      <c r="A11" s="383">
        <v>20131395009</v>
      </c>
      <c r="B11" s="384" t="str">
        <f>VLOOKUP(A11,'ESTADOS ESTUDIANTES'!B:L,2,0)</f>
        <v>RAMIREZ NAVARRO SERGIO ALEXANDER</v>
      </c>
      <c r="C11" s="384">
        <f>VLOOKUP(A11,'ESTADOS ESTUDIANTES'!B:L,11,0)</f>
        <v>1026258258</v>
      </c>
      <c r="D11" s="384">
        <f>VLOOKUP(A11,'ESTADOS ESTUDIANTES'!B:L,3,0)</f>
        <v>395</v>
      </c>
      <c r="E11" s="384" t="str">
        <f>VLOOKUP(Tabla8[[#This Row],[ENFASIS]],Listas!$R$2:$S$8,2,0)</f>
        <v>ENFASIS EN GEOMATICA</v>
      </c>
      <c r="F11" s="384" t="str">
        <f>VLOOKUP(A11,'ESTADOS ESTUDIANTES'!B:L,8,0)</f>
        <v>saramirezn@correo.udistrital.edu.co</v>
      </c>
      <c r="G11" s="384" t="str">
        <f>VLOOKUP(A11,'ESTADOS ESTUDIANTES'!B:L,9,0)</f>
        <v>sergio.ramirez@incige.com</v>
      </c>
      <c r="H11" s="384" t="str">
        <f>VLOOKUP(A11,'ESTADOS ESTUDIANTES'!B:L,5,0)</f>
        <v>E</v>
      </c>
      <c r="I11" s="384" t="str">
        <f>VLOOKUP(Tabla8[[#This Row],[CODIGO]],'ESTADOS ESTUDIANTES'!B:M,12,0)</f>
        <v>2021-3</v>
      </c>
      <c r="J11" s="386" t="s">
        <v>46</v>
      </c>
      <c r="K11" s="386" t="s">
        <v>737</v>
      </c>
      <c r="L11" s="386" t="s">
        <v>348</v>
      </c>
      <c r="M11" s="331"/>
      <c r="N11" s="330">
        <v>44374</v>
      </c>
      <c r="O11" s="384">
        <v>2021</v>
      </c>
      <c r="P11" s="386" t="s">
        <v>115</v>
      </c>
      <c r="Q11" s="386" t="s">
        <v>292</v>
      </c>
      <c r="R11" s="385">
        <v>44374</v>
      </c>
      <c r="S11" s="385">
        <f>IF(Tabla8[[#This Row],[FECHA DE ACEPTACION DEL GRUP. INV.]]="","",DATE(YEAR(Tabla8[[#This Row],[FECHA DE ACEPTACION DEL GRUP. INV.]])+2,MONTH(Tabla8[[#This Row],[FECHA DE ACEPTACION DEL GRUP. INV.]]),DAY(Tabla8[[#This Row],[FECHA DE ACEPTACION DEL GRUP. INV.]])))</f>
        <v>45104</v>
      </c>
      <c r="T11" s="385" t="str">
        <f ca="1">IF(Tabla8[[#This Row],[FECHA DE ACEPTACION DEL GRUP. INV.]]="","",IF(Tabla8[[#This Row],[FECHA DE VENCIMIENTO ANTE PROYECTO]]&lt;TODAY(),"SÍ","NO"))</f>
        <v>SÍ</v>
      </c>
      <c r="U11" s="385"/>
      <c r="V11" s="386" t="s">
        <v>223</v>
      </c>
      <c r="W11" s="386"/>
      <c r="X11" s="385"/>
      <c r="Y11" s="330"/>
      <c r="Z11" s="387"/>
      <c r="AA11" s="330">
        <v>44299</v>
      </c>
      <c r="AB11" s="387">
        <v>84.35</v>
      </c>
      <c r="AC11" s="272" t="s">
        <v>79</v>
      </c>
      <c r="AD11" s="330">
        <v>44378</v>
      </c>
      <c r="AE11" s="393">
        <v>44409</v>
      </c>
      <c r="AF11" s="330">
        <v>44378</v>
      </c>
      <c r="AG11" s="386" t="s">
        <v>738</v>
      </c>
      <c r="AH11" s="330">
        <v>44378</v>
      </c>
      <c r="AI11" s="330">
        <v>44438</v>
      </c>
      <c r="AJ11" s="383">
        <v>50</v>
      </c>
      <c r="AK11" s="383">
        <v>50</v>
      </c>
      <c r="AL11" s="386" t="s">
        <v>41</v>
      </c>
      <c r="AM11" s="386" t="s">
        <v>270</v>
      </c>
      <c r="AN11" s="330">
        <v>44378</v>
      </c>
      <c r="AO11" s="330">
        <v>44438</v>
      </c>
      <c r="AP11" s="383">
        <v>50</v>
      </c>
      <c r="AQ11" s="383">
        <v>50</v>
      </c>
      <c r="AR11" s="386" t="s">
        <v>41</v>
      </c>
      <c r="AS11" s="330">
        <v>44426</v>
      </c>
      <c r="AT11" s="383">
        <f t="shared" si="0"/>
        <v>50</v>
      </c>
      <c r="AU11" s="331"/>
      <c r="AV11" s="331"/>
      <c r="AW11" s="331"/>
      <c r="AX11" s="386" t="s">
        <v>65</v>
      </c>
      <c r="AY11" s="384" t="b">
        <v>0</v>
      </c>
      <c r="AZ11" s="388"/>
      <c r="BA11" s="331"/>
      <c r="BB11" s="386" t="s">
        <v>240</v>
      </c>
      <c r="BC11" s="389" t="str">
        <f t="shared" si="1"/>
        <v/>
      </c>
    </row>
    <row r="12" spans="1:55">
      <c r="A12" s="383">
        <v>20141295003</v>
      </c>
      <c r="B12" s="384" t="str">
        <f>VLOOKUP(A12,'ESTADOS ESTUDIANTES'!B:L,2,0)</f>
        <v>DIAZ ESCUDERO HUMBERTO ANDRES</v>
      </c>
      <c r="C12" s="384">
        <f>VLOOKUP(A12,'ESTADOS ESTUDIANTES'!B:L,11,0)</f>
        <v>10323622759</v>
      </c>
      <c r="D12" s="384">
        <f>VLOOKUP(A12,'ESTADOS ESTUDIANTES'!B:L,3,0)</f>
        <v>295</v>
      </c>
      <c r="E12" s="384" t="str">
        <f>VLOOKUP(Tabla8[[#This Row],[ENFASIS]],Listas!$R$2:$S$8,2,0)</f>
        <v>ENFASIS EN SIS. INFOR</v>
      </c>
      <c r="F12" s="384" t="str">
        <f>VLOOKUP(A12,'ESTADOS ESTUDIANTES'!B:L,8,0)</f>
        <v>huadiaze@correo.udistrital.edu.co</v>
      </c>
      <c r="G12" s="384" t="str">
        <f>VLOOKUP(A12,'ESTADOS ESTUDIANTES'!B:L,9,0)</f>
        <v>humbertodiaz2@gmail.com</v>
      </c>
      <c r="H12" s="384" t="str">
        <f>VLOOKUP(A12,'ESTADOS ESTUDIANTES'!B:L,5,0)</f>
        <v>X</v>
      </c>
      <c r="I12" s="384" t="str">
        <f>VLOOKUP(Tabla8[[#This Row],[CODIGO]],'ESTADOS ESTUDIANTES'!B:M,12,0)</f>
        <v>2021-1</v>
      </c>
      <c r="J12" s="331"/>
      <c r="K12" s="331"/>
      <c r="L12" s="331"/>
      <c r="M12" s="331"/>
      <c r="N12" s="330"/>
      <c r="O12" s="331"/>
      <c r="P12" s="331"/>
      <c r="Q12" s="331"/>
      <c r="R12" s="385"/>
      <c r="S12" s="385" t="str">
        <f>IF(Tabla8[[#This Row],[FECHA DE ACEPTACION DEL GRUP. INV.]]="","",DATE(YEAR(Tabla8[[#This Row],[FECHA DE ACEPTACION DEL GRUP. INV.]])+2,MONTH(Tabla8[[#This Row],[FECHA DE ACEPTACION DEL GRUP. INV.]]),DAY(Tabla8[[#This Row],[FECHA DE ACEPTACION DEL GRUP. INV.]])))</f>
        <v/>
      </c>
      <c r="T12" s="385" t="str">
        <f ca="1">IF(Tabla8[[#This Row],[FECHA DE ACEPTACION DEL GRUP. INV.]]="","",IF(Tabla8[[#This Row],[FECHA DE VENCIMIENTO ANTE PROYECTO]]&lt;TODAY(),"SÍ","NO"))</f>
        <v/>
      </c>
      <c r="U12" s="385"/>
      <c r="V12" s="386"/>
      <c r="W12" s="386"/>
      <c r="X12" s="385"/>
      <c r="Y12" s="330"/>
      <c r="Z12" s="387"/>
      <c r="AA12" s="330"/>
      <c r="AB12" s="387"/>
      <c r="AC12" s="390"/>
      <c r="AD12" s="330"/>
      <c r="AE12" s="331"/>
      <c r="AF12" s="330"/>
      <c r="AG12" s="331"/>
      <c r="AH12" s="330"/>
      <c r="AI12" s="330"/>
      <c r="AJ12" s="383"/>
      <c r="AK12" s="383"/>
      <c r="AL12" s="331"/>
      <c r="AM12" s="331"/>
      <c r="AN12" s="330"/>
      <c r="AO12" s="330"/>
      <c r="AP12" s="383"/>
      <c r="AQ12" s="383"/>
      <c r="AR12" s="331"/>
      <c r="AS12" s="330"/>
      <c r="AT12" s="386" t="str">
        <f t="shared" si="0"/>
        <v/>
      </c>
      <c r="AU12" s="331"/>
      <c r="AV12" s="331"/>
      <c r="AW12" s="331"/>
      <c r="AX12" s="331"/>
      <c r="AY12" s="386" t="str">
        <f>IFERROR(VLOOKUP(AX12,Listas!K17:K24,2,0),"")</f>
        <v/>
      </c>
      <c r="AZ12" s="388"/>
      <c r="BA12" s="331"/>
      <c r="BB12" s="331"/>
      <c r="BC12" s="391" t="str">
        <f t="shared" si="1"/>
        <v/>
      </c>
    </row>
    <row r="13" spans="1:55" ht="31.5">
      <c r="A13" s="383">
        <v>20141395002</v>
      </c>
      <c r="B13" s="384" t="str">
        <f>VLOOKUP(A13,'ESTADOS ESTUDIANTES'!B:L,2,0)</f>
        <v>GONZALEZ RODRIGUEZ ADRIAN ALEJANDRO</v>
      </c>
      <c r="C13" s="384">
        <f>VLOOKUP(A13,'ESTADOS ESTUDIANTES'!B:L,11,0)</f>
        <v>1013607129</v>
      </c>
      <c r="D13" s="384">
        <f>VLOOKUP(A13,'ESTADOS ESTUDIANTES'!B:L,3,0)</f>
        <v>395</v>
      </c>
      <c r="E13" s="384" t="str">
        <f>VLOOKUP(Tabla8[[#This Row],[ENFASIS]],Listas!$R$2:$S$8,2,0)</f>
        <v>ENFASIS EN GEOMATICA</v>
      </c>
      <c r="F13" s="384" t="str">
        <f>VLOOKUP(A13,'ESTADOS ESTUDIANTES'!B:L,8,0)</f>
        <v>adagonzalezr@correo.udistrital.edu.co</v>
      </c>
      <c r="G13" s="384" t="str">
        <f>VLOOKUP(A13,'ESTADOS ESTUDIANTES'!B:L,9,0)</f>
        <v>gerencia@geomap.com.co</v>
      </c>
      <c r="H13" s="384" t="str">
        <f>VLOOKUP(A13,'ESTADOS ESTUDIANTES'!B:L,5,0)</f>
        <v>X</v>
      </c>
      <c r="I13" s="384" t="str">
        <f>VLOOKUP(Tabla8[[#This Row],[CODIGO]],'ESTADOS ESTUDIANTES'!B:M,12,0)</f>
        <v>2021-3</v>
      </c>
      <c r="J13" s="331"/>
      <c r="K13" s="331"/>
      <c r="L13" s="331"/>
      <c r="M13" s="331"/>
      <c r="N13" s="330"/>
      <c r="O13" s="331"/>
      <c r="P13" s="331"/>
      <c r="Q13" s="331"/>
      <c r="R13" s="385"/>
      <c r="S13" s="385" t="str">
        <f>IF(Tabla8[[#This Row],[FECHA DE ACEPTACION DEL GRUP. INV.]]="","",DATE(YEAR(Tabla8[[#This Row],[FECHA DE ACEPTACION DEL GRUP. INV.]])+2,MONTH(Tabla8[[#This Row],[FECHA DE ACEPTACION DEL GRUP. INV.]]),DAY(Tabla8[[#This Row],[FECHA DE ACEPTACION DEL GRUP. INV.]])))</f>
        <v/>
      </c>
      <c r="T13" s="385" t="str">
        <f ca="1">IF(Tabla8[[#This Row],[FECHA DE ACEPTACION DEL GRUP. INV.]]="","",IF(Tabla8[[#This Row],[FECHA DE VENCIMIENTO ANTE PROYECTO]]&lt;TODAY(),"SÍ","NO"))</f>
        <v/>
      </c>
      <c r="U13" s="385"/>
      <c r="V13" s="386"/>
      <c r="W13" s="386"/>
      <c r="X13" s="385"/>
      <c r="Y13" s="330"/>
      <c r="Z13" s="387"/>
      <c r="AA13" s="330"/>
      <c r="AB13" s="387"/>
      <c r="AC13" s="390"/>
      <c r="AD13" s="330"/>
      <c r="AE13" s="331"/>
      <c r="AF13" s="330"/>
      <c r="AG13" s="331"/>
      <c r="AH13" s="330"/>
      <c r="AI13" s="330"/>
      <c r="AJ13" s="383"/>
      <c r="AK13" s="383"/>
      <c r="AL13" s="331"/>
      <c r="AM13" s="331"/>
      <c r="AN13" s="330"/>
      <c r="AO13" s="330"/>
      <c r="AP13" s="383"/>
      <c r="AQ13" s="383"/>
      <c r="AR13" s="331"/>
      <c r="AS13" s="330"/>
      <c r="AT13" s="386" t="str">
        <f t="shared" si="0"/>
        <v/>
      </c>
      <c r="AU13" s="331"/>
      <c r="AV13" s="331"/>
      <c r="AW13" s="331"/>
      <c r="AX13" s="331"/>
      <c r="AY13" s="386" t="str">
        <f>IFERROR(VLOOKUP(AX13,Listas!K18:K25,2,0),"")</f>
        <v/>
      </c>
      <c r="AZ13" s="388"/>
      <c r="BA13" s="331"/>
      <c r="BB13" s="331"/>
      <c r="BC13" s="389" t="str">
        <f t="shared" si="1"/>
        <v/>
      </c>
    </row>
    <row r="14" spans="1:55" ht="63">
      <c r="A14" s="244">
        <v>20151295006</v>
      </c>
      <c r="B14" s="384" t="str">
        <f>VLOOKUP(A14,'ESTADOS ESTUDIANTES'!B:L,2,0)</f>
        <v>PINZON CASAS CHRISTIAN JESUS</v>
      </c>
      <c r="C14" s="384">
        <f>VLOOKUP(A14,'ESTADOS ESTUDIANTES'!B:L,11,0)</f>
        <v>1018449456</v>
      </c>
      <c r="D14" s="384">
        <f>VLOOKUP(A14,'ESTADOS ESTUDIANTES'!B:L,3,0)</f>
        <v>495</v>
      </c>
      <c r="E14" s="384" t="str">
        <f>VLOOKUP(Tabla8[[#This Row],[ENFASIS]],Listas!$R$2:$S$8,2,0)</f>
        <v>ENFASIS EN ING. SOFT</v>
      </c>
      <c r="F14" s="384" t="str">
        <f>VLOOKUP(A14,'ESTADOS ESTUDIANTES'!B:L,8,0)</f>
        <v>cjpinzonc@udistrital.edu.co</v>
      </c>
      <c r="G14" s="384" t="str">
        <f>VLOOKUP(A14,'ESTADOS ESTUDIANTES'!B:L,9,0)</f>
        <v>christian.pinzon92@gmail.com</v>
      </c>
      <c r="H14" s="384" t="str">
        <f>VLOOKUP(A14,'ESTADOS ESTUDIANTES'!B:L,5,0)</f>
        <v>E</v>
      </c>
      <c r="I14" s="384" t="str">
        <f>VLOOKUP(Tabla8[[#This Row],[CODIGO]],'ESTADOS ESTUDIANTES'!B:M,12,0)</f>
        <v>2023-1</v>
      </c>
      <c r="J14" s="386" t="s">
        <v>46</v>
      </c>
      <c r="K14" s="394" t="s">
        <v>739</v>
      </c>
      <c r="L14" s="386" t="s">
        <v>740</v>
      </c>
      <c r="M14" s="331"/>
      <c r="N14" s="330">
        <v>44804</v>
      </c>
      <c r="O14" s="384">
        <v>2022</v>
      </c>
      <c r="P14" s="386" t="s">
        <v>90</v>
      </c>
      <c r="Q14" s="386" t="s">
        <v>356</v>
      </c>
      <c r="R14" s="385">
        <v>44834</v>
      </c>
      <c r="S14" s="385">
        <f>IF(Tabla8[[#This Row],[FECHA DE ACEPTACION DEL GRUP. INV.]]="","",DATE(YEAR(Tabla8[[#This Row],[FECHA DE ACEPTACION DEL GRUP. INV.]])+2,MONTH(Tabla8[[#This Row],[FECHA DE ACEPTACION DEL GRUP. INV.]]),DAY(Tabla8[[#This Row],[FECHA DE ACEPTACION DEL GRUP. INV.]])))</f>
        <v>45565</v>
      </c>
      <c r="T14" s="385" t="str">
        <f ca="1">IF(Tabla8[[#This Row],[FECHA DE ACEPTACION DEL GRUP. INV.]]="","",IF(Tabla8[[#This Row],[FECHA DE VENCIMIENTO ANTE PROYECTO]]&lt;TODAY(),"SÍ","NO"))</f>
        <v>SÍ</v>
      </c>
      <c r="U14" s="385"/>
      <c r="V14" s="386" t="s">
        <v>542</v>
      </c>
      <c r="W14" s="386"/>
      <c r="X14" s="385"/>
      <c r="Y14" s="330">
        <v>44153</v>
      </c>
      <c r="Z14" s="387">
        <v>72.900000000000006</v>
      </c>
      <c r="AA14" s="330">
        <v>44997</v>
      </c>
      <c r="AB14" s="387">
        <v>117</v>
      </c>
      <c r="AC14" s="272" t="s">
        <v>79</v>
      </c>
      <c r="AD14" s="331"/>
      <c r="AE14" s="331"/>
      <c r="AF14" s="331"/>
      <c r="AG14" s="386" t="s">
        <v>369</v>
      </c>
      <c r="AH14" s="331"/>
      <c r="AI14" s="385">
        <v>44907</v>
      </c>
      <c r="AJ14" s="383">
        <v>45</v>
      </c>
      <c r="AK14" s="383">
        <v>45</v>
      </c>
      <c r="AL14" s="386" t="s">
        <v>41</v>
      </c>
      <c r="AM14" s="386" t="s">
        <v>356</v>
      </c>
      <c r="AN14" s="331"/>
      <c r="AO14" s="385">
        <v>44907</v>
      </c>
      <c r="AP14" s="383">
        <v>45</v>
      </c>
      <c r="AQ14" s="383">
        <v>45</v>
      </c>
      <c r="AR14" s="386" t="s">
        <v>41</v>
      </c>
      <c r="AS14" s="385">
        <v>44907</v>
      </c>
      <c r="AT14" s="383">
        <f t="shared" si="0"/>
        <v>45</v>
      </c>
      <c r="AU14" s="386" t="s">
        <v>741</v>
      </c>
      <c r="AV14" s="331" t="s">
        <v>742</v>
      </c>
      <c r="AW14" s="386" t="s">
        <v>47</v>
      </c>
      <c r="AX14" s="331" t="s">
        <v>104</v>
      </c>
      <c r="AY14" s="386" t="s">
        <v>695</v>
      </c>
      <c r="AZ14" s="392">
        <v>44763</v>
      </c>
      <c r="BA14" s="331"/>
      <c r="BB14" s="331"/>
      <c r="BC14" s="395" t="str">
        <f t="shared" si="1"/>
        <v/>
      </c>
    </row>
    <row r="15" spans="1:55" ht="47.25">
      <c r="A15" s="383">
        <v>20152395001</v>
      </c>
      <c r="B15" s="384" t="str">
        <f>VLOOKUP(A15,'ESTADOS ESTUDIANTES'!B:L,2,0)</f>
        <v>ALVARADO VARGAS DIANA CAROLINA</v>
      </c>
      <c r="C15" s="384">
        <f>VLOOKUP(A15,'ESTADOS ESTUDIANTES'!B:L,11,0)</f>
        <v>1014196634</v>
      </c>
      <c r="D15" s="384">
        <f>VLOOKUP(A15,'ESTADOS ESTUDIANTES'!B:L,3,0)</f>
        <v>395</v>
      </c>
      <c r="E15" s="384" t="str">
        <f>VLOOKUP(Tabla8[[#This Row],[ENFASIS]],Listas!$R$2:$S$8,2,0)</f>
        <v>ENFASIS EN GEOMATICA</v>
      </c>
      <c r="F15" s="384" t="str">
        <f>VLOOKUP(A15,'ESTADOS ESTUDIANTES'!B:L,8,0)</f>
        <v>dcalvaradov@correo.udistrital.edu.co</v>
      </c>
      <c r="G15" s="384" t="str">
        <f>VLOOKUP(A15,'ESTADOS ESTUDIANTES'!B:L,9,0)</f>
        <v>diana.caro5212@gmail.com</v>
      </c>
      <c r="H15" s="384" t="str">
        <f>VLOOKUP(A15,'ESTADOS ESTUDIANTES'!B:L,5,0)</f>
        <v>E</v>
      </c>
      <c r="I15" s="384" t="str">
        <f>VLOOKUP(Tabla8[[#This Row],[CODIGO]],'ESTADOS ESTUDIANTES'!B:M,12,0)</f>
        <v>2022-1</v>
      </c>
      <c r="J15" s="386" t="s">
        <v>46</v>
      </c>
      <c r="K15" s="386" t="s">
        <v>743</v>
      </c>
      <c r="L15" s="386" t="s">
        <v>270</v>
      </c>
      <c r="M15" s="331"/>
      <c r="N15" s="330">
        <v>44297</v>
      </c>
      <c r="O15" s="384">
        <v>2021</v>
      </c>
      <c r="P15" s="386" t="s">
        <v>83</v>
      </c>
      <c r="Q15" s="386" t="s">
        <v>512</v>
      </c>
      <c r="R15" s="385">
        <v>44297</v>
      </c>
      <c r="S15" s="385">
        <f>IF(Tabla8[[#This Row],[FECHA DE ACEPTACION DEL GRUP. INV.]]="","",DATE(YEAR(Tabla8[[#This Row],[FECHA DE ACEPTACION DEL GRUP. INV.]])+2,MONTH(Tabla8[[#This Row],[FECHA DE ACEPTACION DEL GRUP. INV.]]),DAY(Tabla8[[#This Row],[FECHA DE ACEPTACION DEL GRUP. INV.]])))</f>
        <v>45027</v>
      </c>
      <c r="T15" s="385" t="str">
        <f ca="1">IF(Tabla8[[#This Row],[FECHA DE ACEPTACION DEL GRUP. INV.]]="","",IF(Tabla8[[#This Row],[FECHA DE VENCIMIENTO ANTE PROYECTO]]&lt;TODAY(),"SÍ","NO"))</f>
        <v>SÍ</v>
      </c>
      <c r="U15" s="385"/>
      <c r="V15" s="386" t="s">
        <v>744</v>
      </c>
      <c r="W15" s="386"/>
      <c r="X15" s="385"/>
      <c r="Y15" s="330">
        <v>43964</v>
      </c>
      <c r="Z15" s="387">
        <v>76.52</v>
      </c>
      <c r="AA15" s="330">
        <v>44680</v>
      </c>
      <c r="AB15" s="387">
        <v>114</v>
      </c>
      <c r="AC15" s="272" t="s">
        <v>79</v>
      </c>
      <c r="AD15" s="330">
        <v>44510</v>
      </c>
      <c r="AE15" s="386" t="s">
        <v>745</v>
      </c>
      <c r="AF15" s="330">
        <v>44510</v>
      </c>
      <c r="AG15" s="386" t="s">
        <v>272</v>
      </c>
      <c r="AH15" s="330">
        <v>44512</v>
      </c>
      <c r="AI15" s="330">
        <v>44629</v>
      </c>
      <c r="AJ15" s="384">
        <v>47</v>
      </c>
      <c r="AK15" s="384">
        <v>47</v>
      </c>
      <c r="AL15" s="386" t="s">
        <v>41</v>
      </c>
      <c r="AM15" s="386" t="s">
        <v>250</v>
      </c>
      <c r="AN15" s="330">
        <v>44512</v>
      </c>
      <c r="AO15" s="330">
        <v>44629</v>
      </c>
      <c r="AP15" s="384">
        <v>47</v>
      </c>
      <c r="AQ15" s="384">
        <v>47</v>
      </c>
      <c r="AR15" s="386" t="s">
        <v>41</v>
      </c>
      <c r="AS15" s="330">
        <v>44630</v>
      </c>
      <c r="AT15" s="383">
        <f t="shared" si="0"/>
        <v>47</v>
      </c>
      <c r="AU15" s="331"/>
      <c r="AV15" s="331"/>
      <c r="AW15" s="331"/>
      <c r="AX15" s="386" t="s">
        <v>65</v>
      </c>
      <c r="AY15" s="386" t="s">
        <v>746</v>
      </c>
      <c r="AZ15" s="392">
        <v>44657</v>
      </c>
      <c r="BA15" s="385"/>
      <c r="BB15" s="331"/>
      <c r="BC15" s="391" t="str">
        <f t="shared" si="1"/>
        <v/>
      </c>
    </row>
    <row r="16" spans="1:55" ht="63">
      <c r="A16" s="383">
        <v>20161495010</v>
      </c>
      <c r="B16" s="384" t="str">
        <f>VLOOKUP(A16,'ESTADOS ESTUDIANTES'!B:L,2,0)</f>
        <v>HURTADO CRUZ EDWIN HERNÁN</v>
      </c>
      <c r="C16" s="384">
        <f>VLOOKUP(A16,'ESTADOS ESTUDIANTES'!B:L,11,0)</f>
        <v>80251403</v>
      </c>
      <c r="D16" s="384">
        <f>VLOOKUP(A16,'ESTADOS ESTUDIANTES'!B:L,3,0)</f>
        <v>495</v>
      </c>
      <c r="E16" s="384" t="str">
        <f>VLOOKUP(Tabla8[[#This Row],[ENFASIS]],Listas!$R$2:$S$8,2,0)</f>
        <v>ENFASIS EN ING. SOFT</v>
      </c>
      <c r="F16" s="384">
        <f>VLOOKUP(A16,'ESTADOS ESTUDIANTES'!B:L,8,0)</f>
        <v>0</v>
      </c>
      <c r="G16" s="384" t="str">
        <f>VLOOKUP(A16,'ESTADOS ESTUDIANTES'!B:L,9,0)</f>
        <v>edwin.hernan.hurtado@gmail.com</v>
      </c>
      <c r="H16" s="384" t="str">
        <f>VLOOKUP(A16,'ESTADOS ESTUDIANTES'!B:L,5,0)</f>
        <v>X</v>
      </c>
      <c r="I16" s="384" t="str">
        <f>VLOOKUP(Tabla8[[#This Row],[CODIGO]],'ESTADOS ESTUDIANTES'!B:M,12,0)</f>
        <v>2021-3</v>
      </c>
      <c r="J16" s="386" t="s">
        <v>46</v>
      </c>
      <c r="K16" s="386" t="s">
        <v>747</v>
      </c>
      <c r="L16" s="386" t="s">
        <v>402</v>
      </c>
      <c r="M16" s="386" t="s">
        <v>270</v>
      </c>
      <c r="N16" s="330">
        <v>44179</v>
      </c>
      <c r="O16" s="384">
        <v>2020</v>
      </c>
      <c r="P16" s="386" t="s">
        <v>83</v>
      </c>
      <c r="Q16" s="386" t="s">
        <v>512</v>
      </c>
      <c r="R16" s="385">
        <v>44179</v>
      </c>
      <c r="S16" s="385">
        <f>IF(Tabla8[[#This Row],[FECHA DE ACEPTACION DEL GRUP. INV.]]="","",DATE(YEAR(Tabla8[[#This Row],[FECHA DE ACEPTACION DEL GRUP. INV.]])+2,MONTH(Tabla8[[#This Row],[FECHA DE ACEPTACION DEL GRUP. INV.]]),DAY(Tabla8[[#This Row],[FECHA DE ACEPTACION DEL GRUP. INV.]])))</f>
        <v>44909</v>
      </c>
      <c r="T16" s="385" t="str">
        <f ca="1">IF(Tabla8[[#This Row],[FECHA DE ACEPTACION DEL GRUP. INV.]]="","",IF(Tabla8[[#This Row],[FECHA DE VENCIMIENTO ANTE PROYECTO]]&lt;TODAY(),"SÍ","NO"))</f>
        <v>SÍ</v>
      </c>
      <c r="U16" s="385"/>
      <c r="V16" s="386" t="s">
        <v>556</v>
      </c>
      <c r="W16" s="386"/>
      <c r="X16" s="385"/>
      <c r="Y16" s="330"/>
      <c r="Z16" s="387"/>
      <c r="AA16" s="330">
        <v>44097</v>
      </c>
      <c r="AB16" s="387">
        <v>86.92</v>
      </c>
      <c r="AC16" s="272" t="s">
        <v>79</v>
      </c>
      <c r="AD16" s="330"/>
      <c r="AE16" s="331"/>
      <c r="AF16" s="330"/>
      <c r="AG16" s="331"/>
      <c r="AH16" s="330"/>
      <c r="AI16" s="330"/>
      <c r="AJ16" s="383"/>
      <c r="AK16" s="383"/>
      <c r="AL16" s="331"/>
      <c r="AM16" s="331"/>
      <c r="AN16" s="330"/>
      <c r="AO16" s="330"/>
      <c r="AP16" s="383"/>
      <c r="AQ16" s="383"/>
      <c r="AR16" s="331"/>
      <c r="AS16" s="330"/>
      <c r="AT16" s="386" t="str">
        <f t="shared" si="0"/>
        <v/>
      </c>
      <c r="AU16" s="331"/>
      <c r="AV16" s="331"/>
      <c r="AW16" s="331"/>
      <c r="AX16" s="331"/>
      <c r="AY16" s="386" t="str">
        <f>IFERROR(VLOOKUP(AX16,Listas!K27:K36,2,0),"")</f>
        <v/>
      </c>
      <c r="AZ16" s="388"/>
      <c r="BA16" s="331"/>
      <c r="BB16" s="331"/>
      <c r="BC16" s="389" t="str">
        <f t="shared" si="1"/>
        <v/>
      </c>
    </row>
    <row r="17" spans="1:55">
      <c r="A17" s="383">
        <v>20161495013</v>
      </c>
      <c r="B17" s="384" t="str">
        <f>VLOOKUP(A17,'ESTADOS ESTUDIANTES'!B:L,2,0)</f>
        <v>MORA JIMÉNEZ JEANET</v>
      </c>
      <c r="C17" s="384">
        <f>VLOOKUP(A17,'ESTADOS ESTUDIANTES'!B:L,11,0)</f>
        <v>51882949</v>
      </c>
      <c r="D17" s="384">
        <f>VLOOKUP(A17,'ESTADOS ESTUDIANTES'!B:L,3,0)</f>
        <v>495</v>
      </c>
      <c r="E17" s="384" t="str">
        <f>VLOOKUP(Tabla8[[#This Row],[ENFASIS]],Listas!$R$2:$S$8,2,0)</f>
        <v>ENFASIS EN ING. SOFT</v>
      </c>
      <c r="F17" s="384">
        <f>VLOOKUP(A17,'ESTADOS ESTUDIANTES'!B:L,8,0)</f>
        <v>0</v>
      </c>
      <c r="G17" s="384" t="str">
        <f>VLOOKUP(A17,'ESTADOS ESTUDIANTES'!B:L,9,0)</f>
        <v>jeanetmj@gmail.com</v>
      </c>
      <c r="H17" s="384" t="str">
        <f>VLOOKUP(A17,'ESTADOS ESTUDIANTES'!B:L,5,0)</f>
        <v>X</v>
      </c>
      <c r="I17" s="384" t="str">
        <f>VLOOKUP(Tabla8[[#This Row],[CODIGO]],'ESTADOS ESTUDIANTES'!B:M,12,0)</f>
        <v>2021-1</v>
      </c>
      <c r="J17" s="331"/>
      <c r="K17" s="331"/>
      <c r="L17" s="331"/>
      <c r="M17" s="331"/>
      <c r="N17" s="330"/>
      <c r="O17" s="331"/>
      <c r="P17" s="331"/>
      <c r="Q17" s="331"/>
      <c r="R17" s="385"/>
      <c r="S17" s="385" t="str">
        <f>IF(Tabla8[[#This Row],[FECHA DE ACEPTACION DEL GRUP. INV.]]="","",DATE(YEAR(Tabla8[[#This Row],[FECHA DE ACEPTACION DEL GRUP. INV.]])+2,MONTH(Tabla8[[#This Row],[FECHA DE ACEPTACION DEL GRUP. INV.]]),DAY(Tabla8[[#This Row],[FECHA DE ACEPTACION DEL GRUP. INV.]])))</f>
        <v/>
      </c>
      <c r="T17" s="385" t="str">
        <f ca="1">IF(Tabla8[[#This Row],[FECHA DE ACEPTACION DEL GRUP. INV.]]="","",IF(Tabla8[[#This Row],[FECHA DE VENCIMIENTO ANTE PROYECTO]]&lt;TODAY(),"SÍ","NO"))</f>
        <v/>
      </c>
      <c r="U17" s="385"/>
      <c r="V17" s="386"/>
      <c r="W17" s="386"/>
      <c r="X17" s="385"/>
      <c r="Y17" s="330"/>
      <c r="Z17" s="387"/>
      <c r="AA17" s="330"/>
      <c r="AB17" s="387"/>
      <c r="AC17" s="390"/>
      <c r="AD17" s="330"/>
      <c r="AE17" s="331"/>
      <c r="AF17" s="330"/>
      <c r="AG17" s="331"/>
      <c r="AH17" s="330"/>
      <c r="AI17" s="330"/>
      <c r="AJ17" s="383"/>
      <c r="AK17" s="383"/>
      <c r="AL17" s="331"/>
      <c r="AM17" s="331"/>
      <c r="AN17" s="330"/>
      <c r="AO17" s="330"/>
      <c r="AP17" s="383"/>
      <c r="AQ17" s="383"/>
      <c r="AR17" s="331"/>
      <c r="AS17" s="330"/>
      <c r="AT17" s="386" t="str">
        <f t="shared" si="0"/>
        <v/>
      </c>
      <c r="AU17" s="331"/>
      <c r="AV17" s="331"/>
      <c r="AW17" s="331"/>
      <c r="AX17" s="331"/>
      <c r="AY17" s="386" t="str">
        <f>IFERROR(VLOOKUP(AX17,Listas!K28:K37,2,0),"")</f>
        <v/>
      </c>
      <c r="AZ17" s="388"/>
      <c r="BA17" s="331"/>
      <c r="BB17" s="331"/>
      <c r="BC17" s="391" t="str">
        <f t="shared" si="1"/>
        <v/>
      </c>
    </row>
    <row r="18" spans="1:55">
      <c r="A18" s="383">
        <v>20161495021</v>
      </c>
      <c r="B18" s="384" t="str">
        <f>VLOOKUP(A18,'ESTADOS ESTUDIANTES'!B:L,2,0)</f>
        <v>RUBIANO VÁSQUEZ LUIS ENRIQUE</v>
      </c>
      <c r="C18" s="384">
        <f>VLOOKUP(A18,'ESTADOS ESTUDIANTES'!B:L,11,0)</f>
        <v>79156398</v>
      </c>
      <c r="D18" s="384">
        <f>VLOOKUP(A18,'ESTADOS ESTUDIANTES'!B:L,3,0)</f>
        <v>495</v>
      </c>
      <c r="E18" s="384" t="str">
        <f>VLOOKUP(Tabla8[[#This Row],[ENFASIS]],Listas!$R$2:$S$8,2,0)</f>
        <v>ENFASIS EN ING. SOFT</v>
      </c>
      <c r="F18" s="384" t="str">
        <f>VLOOKUP(A18,'ESTADOS ESTUDIANTES'!B:L,8,0)</f>
        <v>lerubianov@correo.udistrital.edu.co</v>
      </c>
      <c r="G18" s="384" t="str">
        <f>VLOOKUP(A18,'ESTADOS ESTUDIANTES'!B:L,9,0)</f>
        <v>lrubianov@hotmail.com</v>
      </c>
      <c r="H18" s="384" t="str">
        <f>VLOOKUP(A18,'ESTADOS ESTUDIANTES'!B:L,5,0)</f>
        <v>X</v>
      </c>
      <c r="I18" s="384" t="str">
        <f>VLOOKUP(Tabla8[[#This Row],[CODIGO]],'ESTADOS ESTUDIANTES'!B:M,12,0)</f>
        <v>2021-1</v>
      </c>
      <c r="J18" s="331"/>
      <c r="K18" s="331"/>
      <c r="L18" s="331"/>
      <c r="M18" s="331"/>
      <c r="N18" s="330"/>
      <c r="O18" s="331"/>
      <c r="P18" s="331"/>
      <c r="Q18" s="331"/>
      <c r="R18" s="385"/>
      <c r="S18" s="385" t="str">
        <f>IF(Tabla8[[#This Row],[FECHA DE ACEPTACION DEL GRUP. INV.]]="","",DATE(YEAR(Tabla8[[#This Row],[FECHA DE ACEPTACION DEL GRUP. INV.]])+2,MONTH(Tabla8[[#This Row],[FECHA DE ACEPTACION DEL GRUP. INV.]]),DAY(Tabla8[[#This Row],[FECHA DE ACEPTACION DEL GRUP. INV.]])))</f>
        <v/>
      </c>
      <c r="T18" s="385" t="str">
        <f ca="1">IF(Tabla8[[#This Row],[FECHA DE ACEPTACION DEL GRUP. INV.]]="","",IF(Tabla8[[#This Row],[FECHA DE VENCIMIENTO ANTE PROYECTO]]&lt;TODAY(),"SÍ","NO"))</f>
        <v/>
      </c>
      <c r="U18" s="385"/>
      <c r="V18" s="386"/>
      <c r="W18" s="386"/>
      <c r="X18" s="385"/>
      <c r="Y18" s="330"/>
      <c r="Z18" s="387"/>
      <c r="AA18" s="330"/>
      <c r="AB18" s="387"/>
      <c r="AC18" s="390"/>
      <c r="AD18" s="330"/>
      <c r="AE18" s="331"/>
      <c r="AF18" s="330"/>
      <c r="AG18" s="331"/>
      <c r="AH18" s="330"/>
      <c r="AI18" s="330"/>
      <c r="AJ18" s="383"/>
      <c r="AK18" s="383"/>
      <c r="AL18" s="331"/>
      <c r="AM18" s="331"/>
      <c r="AN18" s="330"/>
      <c r="AO18" s="330"/>
      <c r="AP18" s="383"/>
      <c r="AQ18" s="383"/>
      <c r="AR18" s="331"/>
      <c r="AS18" s="330"/>
      <c r="AT18" s="386" t="str">
        <f t="shared" si="0"/>
        <v/>
      </c>
      <c r="AU18" s="331"/>
      <c r="AV18" s="331"/>
      <c r="AW18" s="331"/>
      <c r="AX18" s="331"/>
      <c r="AY18" s="386" t="str">
        <f>IFERROR(VLOOKUP(AX18,Listas!K29:K38,2,0),"")</f>
        <v/>
      </c>
      <c r="AZ18" s="388"/>
      <c r="BA18" s="331"/>
      <c r="BB18" s="331"/>
      <c r="BC18" s="389" t="str">
        <f t="shared" si="1"/>
        <v/>
      </c>
    </row>
    <row r="19" spans="1:55">
      <c r="A19" s="396">
        <v>20162195011</v>
      </c>
      <c r="B19" s="397" t="str">
        <f>VLOOKUP(A19,'ESTADOS ESTUDIANTES'!B:L,2,0)</f>
        <v>VELASCO ROMERO LAURA JINETH</v>
      </c>
      <c r="C19" s="397">
        <f>VLOOKUP(A19,'ESTADOS ESTUDIANTES'!B:L,11,0)</f>
        <v>52957410</v>
      </c>
      <c r="D19" s="397">
        <f>VLOOKUP(A19,'ESTADOS ESTUDIANTES'!B:L,3,0)</f>
        <v>195</v>
      </c>
      <c r="E19" s="397" t="str">
        <f>VLOOKUP(Tabla8[[#This Row],[ENFASIS]],Listas!$R$2:$S$8,2,0)</f>
        <v>EN TELEINF.</v>
      </c>
      <c r="F19" s="397" t="str">
        <f>VLOOKUP(A19,'ESTADOS ESTUDIANTES'!B:L,8,0)</f>
        <v>lvelascor@correo.udistrital.edu.co</v>
      </c>
      <c r="G19" s="397" t="str">
        <f>VLOOKUP(A19,'ESTADOS ESTUDIANTES'!B:L,9,0)</f>
        <v>velasco.laura@outlook.com</v>
      </c>
      <c r="H19" s="397" t="str">
        <f>VLOOKUP(A19,'ESTADOS ESTUDIANTES'!B:L,5,0)</f>
        <v>X</v>
      </c>
      <c r="I19" s="397" t="str">
        <f>VLOOKUP(Tabla8[[#This Row],[CODIGO]],'ESTADOS ESTUDIANTES'!B:M,12,0)</f>
        <v>2022-3</v>
      </c>
      <c r="J19" s="398"/>
      <c r="K19" s="376"/>
      <c r="L19" s="398"/>
      <c r="M19" s="399"/>
      <c r="N19" s="328"/>
      <c r="O19" s="399"/>
      <c r="P19" s="399"/>
      <c r="Q19" s="399"/>
      <c r="R19" s="400"/>
      <c r="S19" s="400" t="str">
        <f>IF(Tabla8[[#This Row],[FECHA DE ACEPTACION DEL GRUP. INV.]]="","",DATE(YEAR(Tabla8[[#This Row],[FECHA DE ACEPTACION DEL GRUP. INV.]])+2,MONTH(Tabla8[[#This Row],[FECHA DE ACEPTACION DEL GRUP. INV.]]),DAY(Tabla8[[#This Row],[FECHA DE ACEPTACION DEL GRUP. INV.]])))</f>
        <v/>
      </c>
      <c r="T19" s="400" t="str">
        <f ca="1">IF(Tabla8[[#This Row],[FECHA DE ACEPTACION DEL GRUP. INV.]]="","",IF(Tabla8[[#This Row],[FECHA DE VENCIMIENTO ANTE PROYECTO]]&lt;TODAY(),"SÍ","NO"))</f>
        <v/>
      </c>
      <c r="U19" s="400"/>
      <c r="V19" s="398"/>
      <c r="W19" s="398"/>
      <c r="X19" s="400"/>
      <c r="Y19" s="328"/>
      <c r="Z19" s="329"/>
      <c r="AA19" s="328"/>
      <c r="AB19" s="329"/>
      <c r="AC19" s="390"/>
      <c r="AD19" s="328"/>
      <c r="AE19" s="399"/>
      <c r="AF19" s="328"/>
      <c r="AG19" s="399"/>
      <c r="AH19" s="328"/>
      <c r="AI19" s="328"/>
      <c r="AJ19" s="396"/>
      <c r="AK19" s="396"/>
      <c r="AL19" s="399"/>
      <c r="AM19" s="399"/>
      <c r="AN19" s="328"/>
      <c r="AO19" s="328"/>
      <c r="AP19" s="396"/>
      <c r="AQ19" s="396"/>
      <c r="AR19" s="399"/>
      <c r="AS19" s="328"/>
      <c r="AT19" s="398" t="str">
        <f t="shared" si="0"/>
        <v/>
      </c>
      <c r="AU19" s="399"/>
      <c r="AV19" s="399"/>
      <c r="AW19" s="399"/>
      <c r="AX19" s="399"/>
      <c r="AY19" s="398"/>
      <c r="AZ19" s="401"/>
      <c r="BA19" s="399"/>
      <c r="BB19" s="399"/>
      <c r="BC19" s="402" t="str">
        <f t="shared" si="1"/>
        <v/>
      </c>
    </row>
    <row r="20" spans="1:55" ht="63">
      <c r="A20" s="383">
        <v>20162495019</v>
      </c>
      <c r="B20" s="384" t="str">
        <f>VLOOKUP(A20,'ESTADOS ESTUDIANTES'!B:L,2,0)</f>
        <v>VARGAS CARRILLO LUZ ANGELA</v>
      </c>
      <c r="C20" s="384">
        <f>VLOOKUP(A20,'ESTADOS ESTUDIANTES'!B:L,11,0)</f>
        <v>53047662</v>
      </c>
      <c r="D20" s="384">
        <f>VLOOKUP(A20,'ESTADOS ESTUDIANTES'!B:L,3,0)</f>
        <v>495</v>
      </c>
      <c r="E20" s="384" t="str">
        <f>VLOOKUP(Tabla8[[#This Row],[ENFASIS]],Listas!$R$2:$S$8,2,0)</f>
        <v>ENFASIS EN ING. SOFT</v>
      </c>
      <c r="F20" s="384" t="str">
        <f>VLOOKUP(A20,'ESTADOS ESTUDIANTES'!B:L,8,0)</f>
        <v>lavargasc@udistrital.edu.co</v>
      </c>
      <c r="G20" s="384" t="str">
        <f>VLOOKUP(A20,'ESTADOS ESTUDIANTES'!B:L,9,0)</f>
        <v>ingangelavargas@gmail.com</v>
      </c>
      <c r="H20" s="384" t="str">
        <f>VLOOKUP(A20,'ESTADOS ESTUDIANTES'!B:L,5,0)</f>
        <v>E</v>
      </c>
      <c r="I20" s="384" t="str">
        <f>VLOOKUP(Tabla8[[#This Row],[CODIGO]],'ESTADOS ESTUDIANTES'!B:M,12,0)</f>
        <v>2023-1</v>
      </c>
      <c r="J20" s="386" t="s">
        <v>46</v>
      </c>
      <c r="K20" s="386" t="s">
        <v>748</v>
      </c>
      <c r="L20" s="386" t="s">
        <v>302</v>
      </c>
      <c r="M20" s="331"/>
      <c r="N20" s="330">
        <v>44904</v>
      </c>
      <c r="O20" s="384">
        <v>2022</v>
      </c>
      <c r="P20" s="386" t="s">
        <v>161</v>
      </c>
      <c r="Q20" s="386" t="s">
        <v>749</v>
      </c>
      <c r="R20" s="330">
        <v>44893</v>
      </c>
      <c r="S20" s="330">
        <f>IF(Tabla8[[#This Row],[FECHA DE ACEPTACION DEL GRUP. INV.]]="","",DATE(YEAR(Tabla8[[#This Row],[FECHA DE ACEPTACION DEL GRUP. INV.]])+2,MONTH(Tabla8[[#This Row],[FECHA DE ACEPTACION DEL GRUP. INV.]]),DAY(Tabla8[[#This Row],[FECHA DE ACEPTACION DEL GRUP. INV.]])))</f>
        <v>45624</v>
      </c>
      <c r="T20" s="330" t="str">
        <f ca="1">IF(Tabla8[[#This Row],[FECHA DE ACEPTACION DEL GRUP. INV.]]="","",IF(Tabla8[[#This Row],[FECHA DE VENCIMIENTO ANTE PROYECTO]]&lt;TODAY(),"SÍ","NO"))</f>
        <v>SÍ</v>
      </c>
      <c r="U20" s="330"/>
      <c r="V20" s="386" t="s">
        <v>750</v>
      </c>
      <c r="W20" s="386"/>
      <c r="X20" s="330"/>
      <c r="Y20" s="330"/>
      <c r="Z20" s="387">
        <v>113</v>
      </c>
      <c r="AA20" s="330">
        <v>45057</v>
      </c>
      <c r="AB20" s="387" t="s">
        <v>79</v>
      </c>
      <c r="AC20" s="390"/>
      <c r="AD20" s="330">
        <v>45269</v>
      </c>
      <c r="AE20" s="331" t="s">
        <v>278</v>
      </c>
      <c r="AF20" s="330"/>
      <c r="AG20" s="331" t="s">
        <v>657</v>
      </c>
      <c r="AH20" s="330">
        <v>45035</v>
      </c>
      <c r="AI20" s="330">
        <v>45062</v>
      </c>
      <c r="AJ20" s="383">
        <v>46</v>
      </c>
      <c r="AK20" s="383">
        <v>50</v>
      </c>
      <c r="AL20" s="331" t="s">
        <v>41</v>
      </c>
      <c r="AM20" s="331" t="s">
        <v>749</v>
      </c>
      <c r="AN20" s="330">
        <v>45035</v>
      </c>
      <c r="AO20" s="330">
        <v>45058</v>
      </c>
      <c r="AP20" s="383">
        <v>48</v>
      </c>
      <c r="AQ20" s="383">
        <v>48</v>
      </c>
      <c r="AR20" s="331" t="s">
        <v>41</v>
      </c>
      <c r="AS20" s="330">
        <v>45049</v>
      </c>
      <c r="AT20" s="386">
        <f t="shared" si="0"/>
        <v>48</v>
      </c>
      <c r="AU20" s="331"/>
      <c r="AV20" s="331"/>
      <c r="AW20" s="331"/>
      <c r="AX20" s="331"/>
      <c r="AY20" s="384" t="b">
        <v>0</v>
      </c>
      <c r="AZ20" s="388"/>
      <c r="BA20" s="331"/>
      <c r="BB20" s="331"/>
      <c r="BC20" s="389"/>
    </row>
    <row r="21" spans="1:55">
      <c r="A21" s="383">
        <v>20171495012</v>
      </c>
      <c r="B21" s="384" t="str">
        <f>VLOOKUP(A21,'ESTADOS ESTUDIANTES'!B:L,2,0)</f>
        <v>GONZALEZ ESCOBAR LEONARDO</v>
      </c>
      <c r="C21" s="384">
        <f>VLOOKUP(A21,'ESTADOS ESTUDIANTES'!B:L,11,0)</f>
        <v>86083193</v>
      </c>
      <c r="D21" s="384">
        <f>VLOOKUP(A21,'ESTADOS ESTUDIANTES'!B:L,3,0)</f>
        <v>495</v>
      </c>
      <c r="E21" s="384" t="str">
        <f>VLOOKUP(Tabla8[[#This Row],[ENFASIS]],Listas!$R$2:$S$8,2,0)</f>
        <v>ENFASIS EN ING. SOFT</v>
      </c>
      <c r="F21" s="384" t="str">
        <f>VLOOKUP(A21,'ESTADOS ESTUDIANTES'!B:L,8,0)</f>
        <v>lgonzaleze@correo.udistrital.edu.co</v>
      </c>
      <c r="G21" s="384" t="str">
        <f>VLOOKUP(A21,'ESTADOS ESTUDIANTES'!B:L,9,0)</f>
        <v>leonardo.gonzalez.escobar@gmail.com</v>
      </c>
      <c r="H21" s="384" t="str">
        <f>VLOOKUP(A21,'ESTADOS ESTUDIANTES'!B:L,5,0)</f>
        <v>X</v>
      </c>
      <c r="I21" s="384" t="str">
        <f>VLOOKUP(Tabla8[[#This Row],[CODIGO]],'ESTADOS ESTUDIANTES'!B:M,12,0)</f>
        <v>2020-3</v>
      </c>
      <c r="J21" s="331"/>
      <c r="K21" s="331"/>
      <c r="L21" s="331"/>
      <c r="M21" s="331"/>
      <c r="N21" s="330"/>
      <c r="O21" s="331"/>
      <c r="P21" s="331"/>
      <c r="Q21" s="331"/>
      <c r="R21" s="385"/>
      <c r="S21" s="385" t="str">
        <f>IF(Tabla8[[#This Row],[FECHA DE ACEPTACION DEL GRUP. INV.]]="","",DATE(YEAR(Tabla8[[#This Row],[FECHA DE ACEPTACION DEL GRUP. INV.]])+2,MONTH(Tabla8[[#This Row],[FECHA DE ACEPTACION DEL GRUP. INV.]]),DAY(Tabla8[[#This Row],[FECHA DE ACEPTACION DEL GRUP. INV.]])))</f>
        <v/>
      </c>
      <c r="T21" s="385" t="str">
        <f ca="1">IF(Tabla8[[#This Row],[FECHA DE ACEPTACION DEL GRUP. INV.]]="","",IF(Tabla8[[#This Row],[FECHA DE VENCIMIENTO ANTE PROYECTO]]&lt;TODAY(),"SÍ","NO"))</f>
        <v/>
      </c>
      <c r="U21" s="385"/>
      <c r="V21" s="386"/>
      <c r="W21" s="386"/>
      <c r="X21" s="385"/>
      <c r="Y21" s="330"/>
      <c r="Z21" s="387"/>
      <c r="AA21" s="330"/>
      <c r="AB21" s="387"/>
      <c r="AC21" s="390"/>
      <c r="AD21" s="330"/>
      <c r="AE21" s="331"/>
      <c r="AF21" s="330"/>
      <c r="AG21" s="331"/>
      <c r="AH21" s="330"/>
      <c r="AI21" s="330"/>
      <c r="AJ21" s="383"/>
      <c r="AK21" s="383"/>
      <c r="AL21" s="331"/>
      <c r="AM21" s="331"/>
      <c r="AN21" s="330"/>
      <c r="AO21" s="330"/>
      <c r="AP21" s="383"/>
      <c r="AQ21" s="383"/>
      <c r="AR21" s="331"/>
      <c r="AS21" s="330"/>
      <c r="AT21" s="386" t="str">
        <f t="shared" si="0"/>
        <v/>
      </c>
      <c r="AU21" s="331"/>
      <c r="AV21" s="331"/>
      <c r="AW21" s="331"/>
      <c r="AX21" s="331"/>
      <c r="AY21" s="386" t="str">
        <f>IFERROR(VLOOKUP(AX21,Listas!K35:K42,2,0),"")</f>
        <v/>
      </c>
      <c r="AZ21" s="388"/>
      <c r="BA21" s="331"/>
      <c r="BB21" s="331"/>
      <c r="BC21" s="391" t="str">
        <f t="shared" ref="BC21:BC51" si="2">IF(OR(H21="A",$H21="D",$H21="P",$H21="V"),L21,"")</f>
        <v/>
      </c>
    </row>
    <row r="22" spans="1:55" ht="78.75">
      <c r="A22" s="383">
        <v>20171495018</v>
      </c>
      <c r="B22" s="384" t="str">
        <f>VLOOKUP(A22,'ESTADOS ESTUDIANTES'!B:L,2,0)</f>
        <v>RUEDA BASTO JOSE FERNANDO</v>
      </c>
      <c r="C22" s="384">
        <f>VLOOKUP(A22,'ESTADOS ESTUDIANTES'!B:L,11,0)</f>
        <v>11233164</v>
      </c>
      <c r="D22" s="384">
        <f>VLOOKUP(A22,'ESTADOS ESTUDIANTES'!B:L,3,0)</f>
        <v>495</v>
      </c>
      <c r="E22" s="384" t="str">
        <f>VLOOKUP(Tabla8[[#This Row],[ENFASIS]],Listas!$R$2:$S$8,2,0)</f>
        <v>ENFASIS EN ING. SOFT</v>
      </c>
      <c r="F22" s="384" t="str">
        <f>VLOOKUP(A22,'ESTADOS ESTUDIANTES'!B:L,8,0)</f>
        <v>jfruedab@udistrital.edu.co</v>
      </c>
      <c r="G22" s="384" t="str">
        <f>VLOOKUP(A22,'ESTADOS ESTUDIANTES'!B:L,9,0)</f>
        <v>jfrueda@opentic.co</v>
      </c>
      <c r="H22" s="384" t="str">
        <f>VLOOKUP(A22,'ESTADOS ESTUDIANTES'!B:L,5,0)</f>
        <v>E</v>
      </c>
      <c r="I22" s="384" t="str">
        <f>VLOOKUP(Tabla8[[#This Row],[CODIGO]],'ESTADOS ESTUDIANTES'!B:M,12,0)</f>
        <v>2021-3</v>
      </c>
      <c r="J22" s="386" t="s">
        <v>46</v>
      </c>
      <c r="K22" s="386" t="s">
        <v>751</v>
      </c>
      <c r="L22" s="386" t="s">
        <v>752</v>
      </c>
      <c r="M22" s="331"/>
      <c r="N22" s="330">
        <v>44158</v>
      </c>
      <c r="O22" s="384">
        <v>2020</v>
      </c>
      <c r="P22" s="386" t="s">
        <v>106</v>
      </c>
      <c r="Q22" s="386" t="s">
        <v>225</v>
      </c>
      <c r="R22" s="385">
        <v>44158</v>
      </c>
      <c r="S22" s="385">
        <f>IF(Tabla8[[#This Row],[FECHA DE ACEPTACION DEL GRUP. INV.]]="","",DATE(YEAR(Tabla8[[#This Row],[FECHA DE ACEPTACION DEL GRUP. INV.]])+2,MONTH(Tabla8[[#This Row],[FECHA DE ACEPTACION DEL GRUP. INV.]]),DAY(Tabla8[[#This Row],[FECHA DE ACEPTACION DEL GRUP. INV.]])))</f>
        <v>44888</v>
      </c>
      <c r="T22" s="385" t="str">
        <f ca="1">IF(Tabla8[[#This Row],[FECHA DE ACEPTACION DEL GRUP. INV.]]="","",IF(Tabla8[[#This Row],[FECHA DE VENCIMIENTO ANTE PROYECTO]]&lt;TODAY(),"SÍ","NO"))</f>
        <v>SÍ</v>
      </c>
      <c r="U22" s="385"/>
      <c r="V22" s="386" t="s">
        <v>529</v>
      </c>
      <c r="W22" s="386"/>
      <c r="X22" s="385"/>
      <c r="Y22" s="330"/>
      <c r="Z22" s="387"/>
      <c r="AA22" s="330">
        <v>44097</v>
      </c>
      <c r="AB22" s="387">
        <v>84.11</v>
      </c>
      <c r="AC22" s="272" t="s">
        <v>79</v>
      </c>
      <c r="AD22" s="330">
        <v>44375</v>
      </c>
      <c r="AE22" s="393">
        <v>44409</v>
      </c>
      <c r="AF22" s="330"/>
      <c r="AG22" s="386" t="s">
        <v>298</v>
      </c>
      <c r="AH22" s="330">
        <v>44378</v>
      </c>
      <c r="AI22" s="330">
        <v>44425</v>
      </c>
      <c r="AJ22" s="383">
        <v>44</v>
      </c>
      <c r="AK22" s="383">
        <v>45</v>
      </c>
      <c r="AL22" s="386" t="s">
        <v>41</v>
      </c>
      <c r="AM22" s="386" t="s">
        <v>350</v>
      </c>
      <c r="AN22" s="330">
        <v>44378</v>
      </c>
      <c r="AO22" s="330">
        <v>44425</v>
      </c>
      <c r="AP22" s="383">
        <v>40</v>
      </c>
      <c r="AQ22" s="383">
        <v>44</v>
      </c>
      <c r="AR22" s="386" t="s">
        <v>41</v>
      </c>
      <c r="AS22" s="330">
        <v>44425</v>
      </c>
      <c r="AT22" s="383">
        <v>43</v>
      </c>
      <c r="AU22" s="331"/>
      <c r="AV22" s="331"/>
      <c r="AW22" s="331"/>
      <c r="AX22" s="331"/>
      <c r="AY22" s="386"/>
      <c r="AZ22" s="388"/>
      <c r="BA22" s="331"/>
      <c r="BB22" s="386" t="s">
        <v>240</v>
      </c>
      <c r="BC22" s="389" t="str">
        <f t="shared" si="2"/>
        <v/>
      </c>
    </row>
    <row r="23" spans="1:55" ht="31.5">
      <c r="A23" s="383">
        <v>20171495023</v>
      </c>
      <c r="B23" s="384" t="str">
        <f>VLOOKUP(A23,'ESTADOS ESTUDIANTES'!B:L,2,0)</f>
        <v>VELASQUEZ ARTUNDUAGA INGRID JULIETH</v>
      </c>
      <c r="C23" s="384">
        <f>VLOOKUP(A23,'ESTADOS ESTUDIANTES'!B:L,11,0)</f>
        <v>1024501542</v>
      </c>
      <c r="D23" s="384">
        <f>VLOOKUP(A23,'ESTADOS ESTUDIANTES'!B:L,3,0)</f>
        <v>495</v>
      </c>
      <c r="E23" s="384" t="str">
        <f>VLOOKUP(Tabla8[[#This Row],[ENFASIS]],Listas!$R$2:$S$8,2,0)</f>
        <v>ENFASIS EN ING. SOFT</v>
      </c>
      <c r="F23" s="384" t="str">
        <f>VLOOKUP(A23,'ESTADOS ESTUDIANTES'!B:L,8,0)</f>
        <v>ijvelasqueza@correo.udistrital.edu.co</v>
      </c>
      <c r="G23" s="384" t="str">
        <f>VLOOKUP(A23,'ESTADOS ESTUDIANTES'!B:L,9,0)</f>
        <v>Ingridjulieth20@gmail.com</v>
      </c>
      <c r="H23" s="384" t="str">
        <f>VLOOKUP(A23,'ESTADOS ESTUDIANTES'!B:L,5,0)</f>
        <v>X</v>
      </c>
      <c r="I23" s="384" t="str">
        <f>VLOOKUP(Tabla8[[#This Row],[CODIGO]],'ESTADOS ESTUDIANTES'!B:M,12,0)</f>
        <v>2021-3</v>
      </c>
      <c r="J23" s="331"/>
      <c r="K23" s="331"/>
      <c r="L23" s="331"/>
      <c r="M23" s="331"/>
      <c r="N23" s="330"/>
      <c r="O23" s="331"/>
      <c r="P23" s="331"/>
      <c r="Q23" s="331"/>
      <c r="R23" s="385"/>
      <c r="S23" s="385" t="str">
        <f>IF(Tabla8[[#This Row],[FECHA DE ACEPTACION DEL GRUP. INV.]]="","",DATE(YEAR(Tabla8[[#This Row],[FECHA DE ACEPTACION DEL GRUP. INV.]])+2,MONTH(Tabla8[[#This Row],[FECHA DE ACEPTACION DEL GRUP. INV.]]),DAY(Tabla8[[#This Row],[FECHA DE ACEPTACION DEL GRUP. INV.]])))</f>
        <v/>
      </c>
      <c r="T23" s="385" t="str">
        <f ca="1">IF(Tabla8[[#This Row],[FECHA DE ACEPTACION DEL GRUP. INV.]]="","",IF(Tabla8[[#This Row],[FECHA DE VENCIMIENTO ANTE PROYECTO]]&lt;TODAY(),"SÍ","NO"))</f>
        <v/>
      </c>
      <c r="U23" s="385"/>
      <c r="V23" s="386"/>
      <c r="W23" s="386"/>
      <c r="X23" s="385"/>
      <c r="Y23" s="330"/>
      <c r="Z23" s="387"/>
      <c r="AA23" s="330">
        <v>44468</v>
      </c>
      <c r="AB23" s="387">
        <v>131.75</v>
      </c>
      <c r="AC23" s="272" t="s">
        <v>79</v>
      </c>
      <c r="AD23" s="330"/>
      <c r="AE23" s="331"/>
      <c r="AF23" s="330"/>
      <c r="AG23" s="331"/>
      <c r="AH23" s="330"/>
      <c r="AI23" s="330"/>
      <c r="AJ23" s="383"/>
      <c r="AK23" s="383"/>
      <c r="AL23" s="331"/>
      <c r="AM23" s="331"/>
      <c r="AN23" s="330"/>
      <c r="AO23" s="330"/>
      <c r="AP23" s="383"/>
      <c r="AQ23" s="383"/>
      <c r="AR23" s="331"/>
      <c r="AS23" s="330"/>
      <c r="AT23" s="386" t="str">
        <f>IFERROR(ROUND(AVERAGE(AQ23,AP23,AK23,AJ23),0),"")</f>
        <v/>
      </c>
      <c r="AU23" s="331"/>
      <c r="AV23" s="331"/>
      <c r="AW23" s="331"/>
      <c r="AX23" s="331"/>
      <c r="AY23" s="386" t="str">
        <f>IFERROR(VLOOKUP(AX23,Listas!K37:K44,2,0),"")</f>
        <v/>
      </c>
      <c r="AZ23" s="388"/>
      <c r="BA23" s="331"/>
      <c r="BB23" s="331"/>
      <c r="BC23" s="391" t="str">
        <f t="shared" si="2"/>
        <v/>
      </c>
    </row>
    <row r="24" spans="1:55" ht="63">
      <c r="A24" s="383">
        <v>20172195004</v>
      </c>
      <c r="B24" s="384" t="str">
        <f>VLOOKUP(A24,'ESTADOS ESTUDIANTES'!B:L,2,0)</f>
        <v>BECERRA RUIZ JEFFER IVAN</v>
      </c>
      <c r="C24" s="384">
        <f>VLOOKUP(A24,'ESTADOS ESTUDIANTES'!B:L,11,0)</f>
        <v>1049627823</v>
      </c>
      <c r="D24" s="384">
        <f>VLOOKUP(A24,'ESTADOS ESTUDIANTES'!B:L,3,0)</f>
        <v>195</v>
      </c>
      <c r="E24" s="384" t="str">
        <f>VLOOKUP(Tabla8[[#This Row],[ENFASIS]],Listas!$R$2:$S$8,2,0)</f>
        <v>EN TELEINF.</v>
      </c>
      <c r="F24" s="384" t="str">
        <f>VLOOKUP(A24,'ESTADOS ESTUDIANTES'!B:L,8,0)</f>
        <v>jibecerrar@udistrital.edu.co</v>
      </c>
      <c r="G24" s="384" t="str">
        <f>VLOOKUP(A24,'ESTADOS ESTUDIANTES'!B:L,9,0)</f>
        <v>jeffer.becerra@uptc.edu.co</v>
      </c>
      <c r="H24" s="384" t="str">
        <f>VLOOKUP(A24,'ESTADOS ESTUDIANTES'!B:L,5,0)</f>
        <v>X</v>
      </c>
      <c r="I24" s="384" t="str">
        <f>VLOOKUP(Tabla8[[#This Row],[CODIGO]],'ESTADOS ESTUDIANTES'!B:M,12,0)</f>
        <v>2023-1</v>
      </c>
      <c r="J24" s="386" t="s">
        <v>46</v>
      </c>
      <c r="K24" s="386" t="s">
        <v>753</v>
      </c>
      <c r="L24" s="386" t="s">
        <v>563</v>
      </c>
      <c r="M24" s="331"/>
      <c r="N24" s="330"/>
      <c r="O24" s="331"/>
      <c r="P24" s="331"/>
      <c r="Q24" s="331"/>
      <c r="R24" s="385"/>
      <c r="S24" s="385" t="str">
        <f>IF(Tabla8[[#This Row],[FECHA DE ACEPTACION DEL GRUP. INV.]]="","",DATE(YEAR(Tabla8[[#This Row],[FECHA DE ACEPTACION DEL GRUP. INV.]])+2,MONTH(Tabla8[[#This Row],[FECHA DE ACEPTACION DEL GRUP. INV.]]),DAY(Tabla8[[#This Row],[FECHA DE ACEPTACION DEL GRUP. INV.]])))</f>
        <v/>
      </c>
      <c r="T24" s="385" t="str">
        <f ca="1">IF(Tabla8[[#This Row],[FECHA DE ACEPTACION DEL GRUP. INV.]]="","",IF(Tabla8[[#This Row],[FECHA DE VENCIMIENTO ANTE PROYECTO]]&lt;TODAY(),"SÍ","NO"))</f>
        <v/>
      </c>
      <c r="U24" s="385"/>
      <c r="V24" s="386"/>
      <c r="W24" s="386"/>
      <c r="X24" s="385"/>
      <c r="Y24" s="330"/>
      <c r="Z24" s="387"/>
      <c r="AA24" s="330">
        <v>43964</v>
      </c>
      <c r="AB24" s="387">
        <v>85.98</v>
      </c>
      <c r="AC24" s="272" t="s">
        <v>79</v>
      </c>
      <c r="AD24" s="330"/>
      <c r="AE24" s="331"/>
      <c r="AF24" s="330"/>
      <c r="AG24" s="331"/>
      <c r="AH24" s="330"/>
      <c r="AI24" s="330"/>
      <c r="AJ24" s="383"/>
      <c r="AK24" s="383"/>
      <c r="AL24" s="331"/>
      <c r="AM24" s="331"/>
      <c r="AN24" s="330"/>
      <c r="AO24" s="330"/>
      <c r="AP24" s="383"/>
      <c r="AQ24" s="383"/>
      <c r="AR24" s="331"/>
      <c r="AS24" s="330"/>
      <c r="AT24" s="386" t="str">
        <f>IFERROR(ROUND(AVERAGE(AQ24,AP24,AK24,AJ24),0),"")</f>
        <v/>
      </c>
      <c r="AU24" s="331"/>
      <c r="AV24" s="331"/>
      <c r="AW24" s="331"/>
      <c r="AX24" s="331"/>
      <c r="AY24" s="384" t="b">
        <v>0</v>
      </c>
      <c r="AZ24" s="388"/>
      <c r="BA24" s="331"/>
      <c r="BB24" s="331"/>
      <c r="BC24" s="389" t="str">
        <f t="shared" si="2"/>
        <v/>
      </c>
    </row>
    <row r="25" spans="1:55" ht="47.25">
      <c r="A25" s="403">
        <v>20172395010</v>
      </c>
      <c r="B25" s="404" t="str">
        <f>VLOOKUP(A25,'ESTADOS ESTUDIANTES'!B:L,2,0)</f>
        <v>MURCIA MORALES JOHAN CAMILO</v>
      </c>
      <c r="C25" s="404">
        <f>VLOOKUP(A25,'ESTADOS ESTUDIANTES'!B:L,11,0)</f>
        <v>1022365018</v>
      </c>
      <c r="D25" s="404">
        <f>VLOOKUP(A25,'ESTADOS ESTUDIANTES'!B:L,3,0)</f>
        <v>395</v>
      </c>
      <c r="E25" s="404" t="str">
        <f>VLOOKUP(Tabla8[[#This Row],[ENFASIS]],Listas!$R$2:$S$8,2,0)</f>
        <v>ENFASIS EN GEOMATICA</v>
      </c>
      <c r="F25" s="404" t="str">
        <f>VLOOKUP(A25,'ESTADOS ESTUDIANTES'!B:L,8,0)</f>
        <v>jcmurciam@udistrital.edu.co</v>
      </c>
      <c r="G25" s="404" t="str">
        <f>VLOOKUP(A25,'ESTADOS ESTUDIANTES'!B:L,9,0)</f>
        <v>camimur90@gmail.com</v>
      </c>
      <c r="H25" s="404" t="str">
        <f>VLOOKUP(A25,'ESTADOS ESTUDIANTES'!B:L,5,0)</f>
        <v>X</v>
      </c>
      <c r="I25" s="404" t="str">
        <f>VLOOKUP(Tabla8[[#This Row],[CODIGO]],'ESTADOS ESTUDIANTES'!B:M,12,0)</f>
        <v>2023-3</v>
      </c>
      <c r="J25" s="405" t="s">
        <v>46</v>
      </c>
      <c r="K25" s="405" t="s">
        <v>754</v>
      </c>
      <c r="L25" s="405" t="s">
        <v>755</v>
      </c>
      <c r="M25" s="406"/>
      <c r="N25" s="407"/>
      <c r="O25" s="404">
        <v>2022</v>
      </c>
      <c r="P25" s="405" t="s">
        <v>146</v>
      </c>
      <c r="Q25" s="405" t="s">
        <v>229</v>
      </c>
      <c r="R25" s="408">
        <v>44671</v>
      </c>
      <c r="S25" s="408">
        <f>IF(Tabla8[[#This Row],[FECHA DE ACEPTACION DEL GRUP. INV.]]="","",DATE(YEAR(Tabla8[[#This Row],[FECHA DE ACEPTACION DEL GRUP. INV.]])+2,MONTH(Tabla8[[#This Row],[FECHA DE ACEPTACION DEL GRUP. INV.]]),DAY(Tabla8[[#This Row],[FECHA DE ACEPTACION DEL GRUP. INV.]])))</f>
        <v>45402</v>
      </c>
      <c r="T25" s="408" t="str">
        <f ca="1">IF(Tabla8[[#This Row],[FECHA DE ACEPTACION DEL GRUP. INV.]]="","",IF(Tabla8[[#This Row],[FECHA DE VENCIMIENTO ANTE PROYECTO]]&lt;TODAY(),"SÍ","NO"))</f>
        <v>SÍ</v>
      </c>
      <c r="U25" s="408"/>
      <c r="V25" s="405" t="s">
        <v>756</v>
      </c>
      <c r="W25" s="405"/>
      <c r="X25" s="408"/>
      <c r="Y25" s="407"/>
      <c r="Z25" s="409"/>
      <c r="AA25" s="407">
        <v>43964</v>
      </c>
      <c r="AB25" s="409">
        <v>76.52</v>
      </c>
      <c r="AC25" s="405" t="s">
        <v>79</v>
      </c>
      <c r="AD25" s="407"/>
      <c r="AE25" s="406"/>
      <c r="AF25" s="407"/>
      <c r="AG25" s="406"/>
      <c r="AH25" s="407"/>
      <c r="AI25" s="407"/>
      <c r="AJ25" s="403"/>
      <c r="AK25" s="403"/>
      <c r="AL25" s="406"/>
      <c r="AM25" s="406"/>
      <c r="AN25" s="407"/>
      <c r="AO25" s="407"/>
      <c r="AP25" s="403"/>
      <c r="AQ25" s="403"/>
      <c r="AR25" s="406"/>
      <c r="AS25" s="407"/>
      <c r="AT25" s="405" t="str">
        <f>IFERROR(ROUND(AVERAGE(AQ25,AP25,AK25,AJ25),0),"")</f>
        <v/>
      </c>
      <c r="AU25" s="406"/>
      <c r="AV25" s="406"/>
      <c r="AW25" s="406"/>
      <c r="AX25" s="406"/>
      <c r="AY25" s="405" t="str">
        <f>IFERROR(VLOOKUP(AX25,Listas!K38:K45,2,0),"")</f>
        <v/>
      </c>
      <c r="AZ25" s="410"/>
      <c r="BA25" s="406"/>
      <c r="BB25" s="406"/>
      <c r="BC25" s="411" t="str">
        <f t="shared" si="2"/>
        <v/>
      </c>
    </row>
    <row r="26" spans="1:55" ht="47.25">
      <c r="A26" s="383">
        <v>20172495012</v>
      </c>
      <c r="B26" s="384" t="str">
        <f>VLOOKUP(A26,'ESTADOS ESTUDIANTES'!B:L,2,0)</f>
        <v>OVALLE MARTINEZ CARLOS ANDRES</v>
      </c>
      <c r="C26" s="384">
        <f>VLOOKUP(A26,'ESTADOS ESTUDIANTES'!B:L,11,0)</f>
        <v>80739439</v>
      </c>
      <c r="D26" s="384">
        <f>VLOOKUP(A26,'ESTADOS ESTUDIANTES'!B:L,3,0)</f>
        <v>495</v>
      </c>
      <c r="E26" s="384" t="str">
        <f>VLOOKUP(Tabla8[[#This Row],[ENFASIS]],Listas!$R$2:$S$8,2,0)</f>
        <v>ENFASIS EN ING. SOFT</v>
      </c>
      <c r="F26" s="384" t="str">
        <f>VLOOKUP(A26,'ESTADOS ESTUDIANTES'!B:L,8,0)</f>
        <v>caovallem@udistrital.edu.co</v>
      </c>
      <c r="G26" s="384" t="str">
        <f>VLOOKUP(A26,'ESTADOS ESTUDIANTES'!B:L,9,0)</f>
        <v>caom838@gmail.com</v>
      </c>
      <c r="H26" s="384" t="str">
        <f>VLOOKUP(A26,'ESTADOS ESTUDIANTES'!B:L,5,0)</f>
        <v>X</v>
      </c>
      <c r="I26" s="384" t="str">
        <f>VLOOKUP(Tabla8[[#This Row],[CODIGO]],'ESTADOS ESTUDIANTES'!B:M,12,0)</f>
        <v>2022-3</v>
      </c>
      <c r="J26" s="386" t="s">
        <v>46</v>
      </c>
      <c r="K26" s="386" t="s">
        <v>757</v>
      </c>
      <c r="L26" s="386" t="s">
        <v>369</v>
      </c>
      <c r="M26" s="331"/>
      <c r="N26" s="330">
        <v>43888</v>
      </c>
      <c r="O26" s="384">
        <v>2020</v>
      </c>
      <c r="P26" s="386" t="s">
        <v>378</v>
      </c>
      <c r="Q26" s="386" t="s">
        <v>369</v>
      </c>
      <c r="R26" s="386" t="s">
        <v>758</v>
      </c>
      <c r="S26" s="385" t="e">
        <f>IF(Tabla8[[#This Row],[FECHA DE ACEPTACION DEL GRUP. INV.]]="","",DATE(YEAR(Tabla8[[#This Row],[FECHA DE ACEPTACION DEL GRUP. INV.]])+2,MONTH(Tabla8[[#This Row],[FECHA DE ACEPTACION DEL GRUP. INV.]]),DAY(Tabla8[[#This Row],[FECHA DE ACEPTACION DEL GRUP. INV.]])))</f>
        <v>#VALUE!</v>
      </c>
      <c r="T26" s="385" t="e">
        <f ca="1">IF(Tabla8[[#This Row],[FECHA DE ACEPTACION DEL GRUP. INV.]]="","",IF(Tabla8[[#This Row],[FECHA DE VENCIMIENTO ANTE PROYECTO]]&lt;TODAY(),"SÍ","NO"))</f>
        <v>#VALUE!</v>
      </c>
      <c r="U26" s="385"/>
      <c r="V26" s="386" t="s">
        <v>759</v>
      </c>
      <c r="W26" s="386"/>
      <c r="X26" s="386"/>
      <c r="Y26" s="330"/>
      <c r="Z26" s="387"/>
      <c r="AA26" s="330">
        <v>43888</v>
      </c>
      <c r="AB26" s="387">
        <v>82.61</v>
      </c>
      <c r="AC26" s="272" t="s">
        <v>79</v>
      </c>
      <c r="AD26" s="330"/>
      <c r="AE26" s="331"/>
      <c r="AF26" s="330"/>
      <c r="AG26" s="331"/>
      <c r="AH26" s="330"/>
      <c r="AI26" s="330"/>
      <c r="AJ26" s="383"/>
      <c r="AK26" s="383"/>
      <c r="AL26" s="331"/>
      <c r="AM26" s="331"/>
      <c r="AN26" s="330"/>
      <c r="AO26" s="330"/>
      <c r="AP26" s="383"/>
      <c r="AQ26" s="383"/>
      <c r="AR26" s="331"/>
      <c r="AS26" s="330"/>
      <c r="AT26" s="386" t="str">
        <f>IFERROR(ROUND(AVERAGE(AQ26,AP26,AK26,AJ26),0),"")</f>
        <v/>
      </c>
      <c r="AU26" s="331"/>
      <c r="AV26" s="331"/>
      <c r="AW26" s="331"/>
      <c r="AX26" s="331"/>
      <c r="AY26" s="386" t="str">
        <f>IFERROR(VLOOKUP(AX26,Listas!K41:K48,2,0),"")</f>
        <v/>
      </c>
      <c r="AZ26" s="388"/>
      <c r="BA26" s="331"/>
      <c r="BB26" s="331"/>
      <c r="BC26" s="391" t="str">
        <f t="shared" si="2"/>
        <v/>
      </c>
    </row>
    <row r="27" spans="1:55" ht="78.75">
      <c r="A27" s="403">
        <v>20181195003</v>
      </c>
      <c r="B27" s="404" t="str">
        <f>VLOOKUP(A27,'ESTADOS ESTUDIANTES'!B:L,2,0)</f>
        <v>CORZO MUÑOZ MIGUEL ANGEL</v>
      </c>
      <c r="C27" s="404">
        <f>VLOOKUP(A27,'ESTADOS ESTUDIANTES'!B:L,11,0)</f>
        <v>79907126</v>
      </c>
      <c r="D27" s="404">
        <f>VLOOKUP(A27,'ESTADOS ESTUDIANTES'!B:L,3,0)</f>
        <v>195</v>
      </c>
      <c r="E27" s="404" t="str">
        <f>VLOOKUP(Tabla8[[#This Row],[ENFASIS]],Listas!$R$2:$S$8,2,0)</f>
        <v>EN TELEINF.</v>
      </c>
      <c r="F27" s="404" t="str">
        <f>VLOOKUP(A27,'ESTADOS ESTUDIANTES'!B:L,8,0)</f>
        <v>macorzom@udistrital.edu.co</v>
      </c>
      <c r="G27" s="404" t="str">
        <f>VLOOKUP(A27,'ESTADOS ESTUDIANTES'!B:L,9,0)</f>
        <v>mcorzom@gmail.com</v>
      </c>
      <c r="H27" s="404" t="str">
        <f>VLOOKUP(A27,'ESTADOS ESTUDIANTES'!B:L,5,0)</f>
        <v>E</v>
      </c>
      <c r="I27" s="404" t="str">
        <f>VLOOKUP(Tabla8[[#This Row],[CODIGO]],'ESTADOS ESTUDIANTES'!B:M,12,0)</f>
        <v>2023-3</v>
      </c>
      <c r="J27" s="405" t="s">
        <v>46</v>
      </c>
      <c r="K27" s="405" t="s">
        <v>760</v>
      </c>
      <c r="L27" s="405" t="s">
        <v>309</v>
      </c>
      <c r="M27" s="406"/>
      <c r="N27" s="407">
        <v>43621</v>
      </c>
      <c r="O27" s="404">
        <v>2019</v>
      </c>
      <c r="P27" s="405" t="s">
        <v>131</v>
      </c>
      <c r="Q27" s="405" t="s">
        <v>309</v>
      </c>
      <c r="R27" s="408">
        <v>45194</v>
      </c>
      <c r="S27" s="408">
        <f>IF(Tabla8[[#This Row],[FECHA DE ACEPTACION DEL GRUP. INV.]]="","",DATE(YEAR(Tabla8[[#This Row],[FECHA DE ACEPTACION DEL GRUP. INV.]])+2,MONTH(Tabla8[[#This Row],[FECHA DE ACEPTACION DEL GRUP. INV.]]),DAY(Tabla8[[#This Row],[FECHA DE ACEPTACION DEL GRUP. INV.]])))</f>
        <v>45925</v>
      </c>
      <c r="T27" s="408" t="str">
        <f ca="1">IF(Tabla8[[#This Row],[FECHA DE ACEPTACION DEL GRUP. INV.]]="","",IF(Tabla8[[#This Row],[FECHA DE VENCIMIENTO ANTE PROYECTO]]&lt;TODAY(),"SÍ","NO"))</f>
        <v>SÍ</v>
      </c>
      <c r="U27" s="408"/>
      <c r="V27" s="405" t="s">
        <v>761</v>
      </c>
      <c r="W27" s="405"/>
      <c r="X27" s="408"/>
      <c r="Y27" s="407">
        <v>43888</v>
      </c>
      <c r="Z27" s="409">
        <v>73.040000000000006</v>
      </c>
      <c r="AA27" s="407">
        <v>45148</v>
      </c>
      <c r="AB27" s="409">
        <v>108</v>
      </c>
      <c r="AC27" s="405" t="s">
        <v>79</v>
      </c>
      <c r="AD27" s="412">
        <v>45190</v>
      </c>
      <c r="AE27" s="413" t="s">
        <v>545</v>
      </c>
      <c r="AF27" s="412">
        <v>45222</v>
      </c>
      <c r="AG27" s="406" t="s">
        <v>247</v>
      </c>
      <c r="AH27" s="412">
        <v>45222</v>
      </c>
      <c r="AI27" s="412">
        <v>45237</v>
      </c>
      <c r="AJ27" s="403"/>
      <c r="AK27" s="403"/>
      <c r="AL27" s="406"/>
      <c r="AM27" s="406" t="s">
        <v>356</v>
      </c>
      <c r="AN27" s="412">
        <v>45222</v>
      </c>
      <c r="AO27" s="412">
        <v>45237</v>
      </c>
      <c r="AP27" s="403"/>
      <c r="AQ27" s="403"/>
      <c r="AR27" s="406"/>
      <c r="AS27" s="407">
        <v>45237</v>
      </c>
      <c r="AT27" s="405" t="s">
        <v>762</v>
      </c>
      <c r="AU27" s="406" t="s">
        <v>763</v>
      </c>
      <c r="AV27" s="406" t="s">
        <v>764</v>
      </c>
      <c r="AW27" s="406" t="s">
        <v>47</v>
      </c>
      <c r="AX27" s="406" t="s">
        <v>80</v>
      </c>
      <c r="AY27" s="405" t="s">
        <v>765</v>
      </c>
      <c r="AZ27" s="414">
        <v>45245</v>
      </c>
      <c r="BA27" s="406"/>
      <c r="BB27" s="406"/>
      <c r="BC27" s="411" t="str">
        <f t="shared" si="2"/>
        <v/>
      </c>
    </row>
    <row r="28" spans="1:55">
      <c r="A28" s="383">
        <v>20181495008</v>
      </c>
      <c r="B28" s="384" t="str">
        <f>VLOOKUP(A28,'ESTADOS ESTUDIANTES'!B:L,2,0)</f>
        <v>CORREA ALBA KAREN MICHELLE</v>
      </c>
      <c r="C28" s="384">
        <f>VLOOKUP(A28,'ESTADOS ESTUDIANTES'!B:L,11,0)</f>
        <v>1026285169</v>
      </c>
      <c r="D28" s="384">
        <f>VLOOKUP(A28,'ESTADOS ESTUDIANTES'!B:L,3,0)</f>
        <v>495</v>
      </c>
      <c r="E28" s="384" t="str">
        <f>VLOOKUP(Tabla8[[#This Row],[ENFASIS]],Listas!$R$2:$S$8,2,0)</f>
        <v>ENFASIS EN ING. SOFT</v>
      </c>
      <c r="F28" s="384" t="str">
        <f>VLOOKUP(A28,'ESTADOS ESTUDIANTES'!B:L,8,0)</f>
        <v>kmcorreaa@udistrital.edu.co</v>
      </c>
      <c r="G28" s="384" t="str">
        <f>VLOOKUP(A28,'ESTADOS ESTUDIANTES'!B:L,9,0)</f>
        <v>karencorrea93@hotmail.com</v>
      </c>
      <c r="H28" s="384" t="str">
        <f>VLOOKUP(A28,'ESTADOS ESTUDIANTES'!B:L,5,0)</f>
        <v>X</v>
      </c>
      <c r="I28" s="384" t="str">
        <f>VLOOKUP(Tabla8[[#This Row],[CODIGO]],'ESTADOS ESTUDIANTES'!B:M,12,0)</f>
        <v>2020-3</v>
      </c>
      <c r="J28" s="331"/>
      <c r="K28" s="331"/>
      <c r="L28" s="331"/>
      <c r="M28" s="331"/>
      <c r="N28" s="330"/>
      <c r="O28" s="384"/>
      <c r="P28" s="331"/>
      <c r="Q28" s="331"/>
      <c r="R28" s="385"/>
      <c r="S28" s="385" t="str">
        <f>IF(Tabla8[[#This Row],[FECHA DE ACEPTACION DEL GRUP. INV.]]="","",DATE(YEAR(Tabla8[[#This Row],[FECHA DE ACEPTACION DEL GRUP. INV.]])+2,MONTH(Tabla8[[#This Row],[FECHA DE ACEPTACION DEL GRUP. INV.]]),DAY(Tabla8[[#This Row],[FECHA DE ACEPTACION DEL GRUP. INV.]])))</f>
        <v/>
      </c>
      <c r="T28" s="385" t="str">
        <f ca="1">IF(Tabla8[[#This Row],[FECHA DE ACEPTACION DEL GRUP. INV.]]="","",IF(Tabla8[[#This Row],[FECHA DE VENCIMIENTO ANTE PROYECTO]]&lt;TODAY(),"SÍ","NO"))</f>
        <v/>
      </c>
      <c r="U28" s="385"/>
      <c r="V28" s="386"/>
      <c r="W28" s="386"/>
      <c r="X28" s="385"/>
      <c r="Y28" s="330"/>
      <c r="Z28" s="387"/>
      <c r="AA28" s="330"/>
      <c r="AB28" s="387"/>
      <c r="AC28" s="390"/>
      <c r="AD28" s="330"/>
      <c r="AE28" s="331"/>
      <c r="AF28" s="330"/>
      <c r="AG28" s="331"/>
      <c r="AH28" s="330"/>
      <c r="AI28" s="330"/>
      <c r="AJ28" s="383"/>
      <c r="AK28" s="383"/>
      <c r="AL28" s="331"/>
      <c r="AM28" s="331"/>
      <c r="AN28" s="330"/>
      <c r="AO28" s="330"/>
      <c r="AP28" s="383"/>
      <c r="AQ28" s="383"/>
      <c r="AR28" s="331"/>
      <c r="AS28" s="330"/>
      <c r="AT28" s="386" t="str">
        <f>IFERROR(ROUND(AVERAGE(AQ28,AP28,AK28,AJ28),0),"")</f>
        <v/>
      </c>
      <c r="AU28" s="331"/>
      <c r="AV28" s="331"/>
      <c r="AW28" s="331"/>
      <c r="AX28" s="331"/>
      <c r="AY28" s="386" t="str">
        <f>IFERROR(VLOOKUP(AX28,Listas!K46:K53,2,0),"")</f>
        <v/>
      </c>
      <c r="AZ28" s="388"/>
      <c r="BA28" s="384"/>
      <c r="BB28" s="331"/>
      <c r="BC28" s="391" t="str">
        <f t="shared" si="2"/>
        <v/>
      </c>
    </row>
    <row r="29" spans="1:55" ht="63">
      <c r="A29" s="403">
        <v>20181495013</v>
      </c>
      <c r="B29" s="404" t="str">
        <f>VLOOKUP(A29,'ESTADOS ESTUDIANTES'!B:L,2,0)</f>
        <v>PARRA ALEMAN JOSE ALEXANDER</v>
      </c>
      <c r="C29" s="404">
        <f>VLOOKUP(A29,'ESTADOS ESTUDIANTES'!B:L,11,0)</f>
        <v>80810826</v>
      </c>
      <c r="D29" s="404">
        <f>VLOOKUP(A29,'ESTADOS ESTUDIANTES'!B:L,3,0)</f>
        <v>495</v>
      </c>
      <c r="E29" s="404" t="str">
        <f>VLOOKUP(Tabla8[[#This Row],[ENFASIS]],Listas!$R$2:$S$8,2,0)</f>
        <v>ENFASIS EN ING. SOFT</v>
      </c>
      <c r="F29" s="404" t="str">
        <f>VLOOKUP(A29,'ESTADOS ESTUDIANTES'!B:L,8,0)</f>
        <v>japarraa@udistrital.edu.co</v>
      </c>
      <c r="G29" s="404" t="str">
        <f>VLOOKUP(A29,'ESTADOS ESTUDIANTES'!B:L,9,0)</f>
        <v>jottappe@hotmail.com</v>
      </c>
      <c r="H29" s="404" t="str">
        <f>VLOOKUP(A29,'ESTADOS ESTUDIANTES'!B:L,5,0)</f>
        <v>E</v>
      </c>
      <c r="I29" s="404" t="str">
        <f>VLOOKUP(Tabla8[[#This Row],[CODIGO]],'ESTADOS ESTUDIANTES'!B:M,12,0)</f>
        <v>2023-3</v>
      </c>
      <c r="J29" s="405" t="s">
        <v>46</v>
      </c>
      <c r="K29" s="405" t="s">
        <v>766</v>
      </c>
      <c r="L29" s="405" t="s">
        <v>292</v>
      </c>
      <c r="M29" s="405" t="s">
        <v>261</v>
      </c>
      <c r="N29" s="407">
        <v>44064</v>
      </c>
      <c r="O29" s="404">
        <v>2020</v>
      </c>
      <c r="P29" s="405" t="s">
        <v>115</v>
      </c>
      <c r="Q29" s="405" t="s">
        <v>292</v>
      </c>
      <c r="R29" s="408">
        <v>44064</v>
      </c>
      <c r="S29" s="408">
        <f>IF(Tabla8[[#This Row],[FECHA DE ACEPTACION DEL GRUP. INV.]]="","",DATE(YEAR(Tabla8[[#This Row],[FECHA DE ACEPTACION DEL GRUP. INV.]])+2,MONTH(Tabla8[[#This Row],[FECHA DE ACEPTACION DEL GRUP. INV.]]),DAY(Tabla8[[#This Row],[FECHA DE ACEPTACION DEL GRUP. INV.]])))</f>
        <v>44794</v>
      </c>
      <c r="T29" s="408" t="str">
        <f ca="1">IF(Tabla8[[#This Row],[FECHA DE ACEPTACION DEL GRUP. INV.]]="","",IF(Tabla8[[#This Row],[FECHA DE VENCIMIENTO ANTE PROYECTO]]&lt;TODAY(),"SÍ","NO"))</f>
        <v>SÍ</v>
      </c>
      <c r="U29" s="408"/>
      <c r="V29" s="405" t="s">
        <v>767</v>
      </c>
      <c r="W29" s="405"/>
      <c r="X29" s="408"/>
      <c r="Y29" s="407">
        <v>43964</v>
      </c>
      <c r="Z29" s="409">
        <v>42.61</v>
      </c>
      <c r="AA29" s="407">
        <v>45139</v>
      </c>
      <c r="AB29" s="409">
        <v>77</v>
      </c>
      <c r="AC29" s="405" t="s">
        <v>79</v>
      </c>
      <c r="AD29" s="407">
        <v>44895</v>
      </c>
      <c r="AE29" s="406">
        <v>1</v>
      </c>
      <c r="AF29" s="407">
        <v>44972</v>
      </c>
      <c r="AG29" s="406" t="s">
        <v>310</v>
      </c>
      <c r="AH29" s="407">
        <v>44972</v>
      </c>
      <c r="AI29" s="407">
        <v>45085</v>
      </c>
      <c r="AJ29" s="403">
        <v>43</v>
      </c>
      <c r="AK29" s="403">
        <v>41</v>
      </c>
      <c r="AL29" s="406" t="s">
        <v>41</v>
      </c>
      <c r="AM29" s="406" t="s">
        <v>305</v>
      </c>
      <c r="AN29" s="407">
        <v>44972</v>
      </c>
      <c r="AO29" s="407"/>
      <c r="AP29" s="403"/>
      <c r="AQ29" s="403"/>
      <c r="AR29" s="406"/>
      <c r="AS29" s="407"/>
      <c r="AT29" s="405" t="s">
        <v>768</v>
      </c>
      <c r="AU29" s="406" t="s">
        <v>769</v>
      </c>
      <c r="AV29" s="406" t="s">
        <v>764</v>
      </c>
      <c r="AW29" s="406" t="s">
        <v>47</v>
      </c>
      <c r="AX29" s="406" t="s">
        <v>80</v>
      </c>
      <c r="AY29" s="405" t="s">
        <v>770</v>
      </c>
      <c r="AZ29" s="414">
        <v>45084</v>
      </c>
      <c r="BA29" s="404"/>
      <c r="BB29" s="406"/>
      <c r="BC29" s="411" t="str">
        <f t="shared" si="2"/>
        <v/>
      </c>
    </row>
    <row r="30" spans="1:55">
      <c r="A30" s="244">
        <v>20182395008</v>
      </c>
      <c r="B30" s="239" t="str">
        <f>VLOOKUP(A30,'ESTADOS ESTUDIANTES'!B:L,2,0)</f>
        <v>LEAL VELEZ ANDERSON</v>
      </c>
      <c r="C30" s="239">
        <f>VLOOKUP(A30,'ESTADOS ESTUDIANTES'!B:L,11,0)</f>
        <v>1032466689</v>
      </c>
      <c r="D30" s="239">
        <f>VLOOKUP(A30,'ESTADOS ESTUDIANTES'!B:L,3,0)</f>
        <v>395</v>
      </c>
      <c r="E30" s="239" t="str">
        <f>VLOOKUP(Tabla8[[#This Row],[ENFASIS]],Listas!$R$2:$S$8,2,0)</f>
        <v>ENFASIS EN GEOMATICA</v>
      </c>
      <c r="F30" s="239" t="str">
        <f>VLOOKUP(A30,'ESTADOS ESTUDIANTES'!B:L,8,0)</f>
        <v>alealv@udistrital.edu.co</v>
      </c>
      <c r="G30" s="239" t="str">
        <f>VLOOKUP(A30,'ESTADOS ESTUDIANTES'!B:L,9,0)</f>
        <v>andersonlealv@gmail.com</v>
      </c>
      <c r="H30" s="239" t="str">
        <f>VLOOKUP(A30,'ESTADOS ESTUDIANTES'!B:L,5,0)</f>
        <v>X</v>
      </c>
      <c r="I30" s="239" t="str">
        <f>VLOOKUP(Tabla8[[#This Row],[CODIGO]],'ESTADOS ESTUDIANTES'!B:M,12,0)</f>
        <v>2024-3</v>
      </c>
      <c r="J30" s="240"/>
      <c r="K30" s="264"/>
      <c r="L30" s="240"/>
      <c r="M30" s="238"/>
      <c r="N30" s="241"/>
      <c r="O30" s="238"/>
      <c r="P30" s="238"/>
      <c r="Q30" s="238"/>
      <c r="R30" s="242"/>
      <c r="S30" s="242" t="str">
        <f>IF(Tabla8[[#This Row],[FECHA DE ACEPTACION DEL GRUP. INV.]]="","",DATE(YEAR(Tabla8[[#This Row],[FECHA DE ACEPTACION DEL GRUP. INV.]])+2,MONTH(Tabla8[[#This Row],[FECHA DE ACEPTACION DEL GRUP. INV.]]),DAY(Tabla8[[#This Row],[FECHA DE ACEPTACION DEL GRUP. INV.]])))</f>
        <v/>
      </c>
      <c r="T30" s="242" t="str">
        <f ca="1">IF(Tabla8[[#This Row],[FECHA DE ACEPTACION DEL GRUP. INV.]]="","",IF(Tabla8[[#This Row],[FECHA DE VENCIMIENTO ANTE PROYECTO]]&lt;TODAY(),"SÍ","NO"))</f>
        <v/>
      </c>
      <c r="U30" s="242"/>
      <c r="V30" s="240"/>
      <c r="W30" s="240"/>
      <c r="X30" s="242" t="s">
        <v>424</v>
      </c>
      <c r="Y30" s="241"/>
      <c r="Z30" s="243"/>
      <c r="AA30" s="241"/>
      <c r="AB30" s="243"/>
      <c r="AC30" s="238"/>
      <c r="AD30" s="241"/>
      <c r="AE30" s="238"/>
      <c r="AF30" s="241"/>
      <c r="AG30" s="238"/>
      <c r="AH30" s="241"/>
      <c r="AI30" s="241"/>
      <c r="AJ30" s="244"/>
      <c r="AK30" s="244"/>
      <c r="AL30" s="238"/>
      <c r="AM30" s="238"/>
      <c r="AN30" s="241"/>
      <c r="AO30" s="241"/>
      <c r="AP30" s="244"/>
      <c r="AQ30" s="244"/>
      <c r="AR30" s="238"/>
      <c r="AS30" s="241"/>
      <c r="AT30" s="240" t="str">
        <f t="shared" ref="AT30:AT48" si="3">IFERROR(ROUND(AVERAGE(AQ30,AP30,AK30,AJ30),0),"")</f>
        <v/>
      </c>
      <c r="AU30" s="238"/>
      <c r="AV30" s="238"/>
      <c r="AW30" s="238"/>
      <c r="AX30" s="238"/>
      <c r="AY30" s="240"/>
      <c r="AZ30" s="381"/>
      <c r="BA30" s="238"/>
      <c r="BB30" s="238"/>
      <c r="BC30" s="245" t="str">
        <f t="shared" si="2"/>
        <v/>
      </c>
    </row>
    <row r="31" spans="1:55" s="264" customFormat="1" ht="63">
      <c r="A31" s="244">
        <v>20181495018</v>
      </c>
      <c r="B31" s="239" t="str">
        <f>VLOOKUP(A31,'ESTADOS ESTUDIANTES'!B:L,2,0)</f>
        <v>SALAMANCA VASQUEZ ESTEBAN</v>
      </c>
      <c r="C31" s="239">
        <f>VLOOKUP(A31,'ESTADOS ESTUDIANTES'!B:L,11,0)</f>
        <v>80211143</v>
      </c>
      <c r="D31" s="239">
        <f>VLOOKUP(A31,'ESTADOS ESTUDIANTES'!B:L,3,0)</f>
        <v>495</v>
      </c>
      <c r="E31" s="239" t="str">
        <f>VLOOKUP(Tabla8[[#This Row],[ENFASIS]],Listas!$R$2:$S$8,2,0)</f>
        <v>ENFASIS EN ING. SOFT</v>
      </c>
      <c r="F31" s="239" t="str">
        <f>VLOOKUP(A31,'ESTADOS ESTUDIANTES'!B:L,8,0)</f>
        <v>esalamancav@udistrital.edu.co</v>
      </c>
      <c r="G31" s="239" t="str">
        <f>VLOOKUP(A31,'ESTADOS ESTUDIANTES'!B:L,9,0)</f>
        <v>esalamancav@gmail.com</v>
      </c>
      <c r="H31" s="239" t="str">
        <f>VLOOKUP(A31,'ESTADOS ESTUDIANTES'!B:L,5,0)</f>
        <v>E</v>
      </c>
      <c r="I31" s="239" t="str">
        <f>VLOOKUP(Tabla8[[#This Row],[CODIGO]],'ESTADOS ESTUDIANTES'!B:M,12,0)</f>
        <v>2025-1</v>
      </c>
      <c r="J31" s="240" t="s">
        <v>46</v>
      </c>
      <c r="K31" s="240" t="s">
        <v>771</v>
      </c>
      <c r="L31" s="240" t="s">
        <v>772</v>
      </c>
      <c r="M31" s="240"/>
      <c r="N31" s="241">
        <v>45231</v>
      </c>
      <c r="O31" s="239">
        <v>2023</v>
      </c>
      <c r="P31" s="240" t="s">
        <v>163</v>
      </c>
      <c r="Q31" s="240" t="s">
        <v>772</v>
      </c>
      <c r="R31" s="242">
        <v>45217</v>
      </c>
      <c r="S31" s="242">
        <f>IF(Tabla8[[#This Row],[FECHA DE ACEPTACION DEL GRUP. INV.]]="","",DATE(YEAR(Tabla8[[#This Row],[FECHA DE ACEPTACION DEL GRUP. INV.]])+2,MONTH(Tabla8[[#This Row],[FECHA DE ACEPTACION DEL GRUP. INV.]]),DAY(Tabla8[[#This Row],[FECHA DE ACEPTACION DEL GRUP. INV.]])))</f>
        <v>45948</v>
      </c>
      <c r="T31" s="242" t="str">
        <f ca="1">IF(Tabla8[[#This Row],[FECHA DE ACEPTACION DEL GRUP. INV.]]="","",IF(Tabla8[[#This Row],[FECHA DE VENCIMIENTO ANTE PROYECTO]]&lt;TODAY(),"SÍ","NO"))</f>
        <v>SÍ</v>
      </c>
      <c r="U31" s="242"/>
      <c r="V31" s="240" t="s">
        <v>412</v>
      </c>
      <c r="W31" s="240"/>
      <c r="X31" s="242" t="s">
        <v>424</v>
      </c>
      <c r="Y31" s="241"/>
      <c r="Z31" s="243"/>
      <c r="AA31" s="189">
        <v>45057</v>
      </c>
      <c r="AB31" s="191">
        <v>76.52</v>
      </c>
      <c r="AC31" s="171" t="s">
        <v>79</v>
      </c>
      <c r="AD31" s="241">
        <v>45622</v>
      </c>
      <c r="AE31" s="238" t="s">
        <v>436</v>
      </c>
      <c r="AF31" s="241">
        <v>45622</v>
      </c>
      <c r="AG31" s="238" t="s">
        <v>657</v>
      </c>
      <c r="AH31" s="241">
        <v>45629</v>
      </c>
      <c r="AI31" s="241">
        <v>45635</v>
      </c>
      <c r="AJ31" s="244">
        <v>45</v>
      </c>
      <c r="AK31" s="244">
        <v>45</v>
      </c>
      <c r="AL31" s="238" t="s">
        <v>41</v>
      </c>
      <c r="AM31" s="238" t="s">
        <v>303</v>
      </c>
      <c r="AN31" s="241">
        <v>45629</v>
      </c>
      <c r="AO31" s="241">
        <v>45635</v>
      </c>
      <c r="AP31" s="244">
        <v>45</v>
      </c>
      <c r="AQ31" s="244">
        <v>45</v>
      </c>
      <c r="AR31" s="238" t="s">
        <v>41</v>
      </c>
      <c r="AS31" s="241">
        <v>45635</v>
      </c>
      <c r="AT31" s="240">
        <f>IFERROR(ROUND(AVERAGE(AQ31,AP31,AK31,AJ31),0),"")</f>
        <v>45</v>
      </c>
      <c r="AU31" s="238" t="s">
        <v>773</v>
      </c>
      <c r="AV31" s="238" t="s">
        <v>774</v>
      </c>
      <c r="AW31" s="238" t="s">
        <v>47</v>
      </c>
      <c r="AX31" s="238" t="s">
        <v>104</v>
      </c>
      <c r="AY31" s="240" t="s">
        <v>495</v>
      </c>
      <c r="AZ31" s="258">
        <v>45728</v>
      </c>
      <c r="BA31" s="239" t="s">
        <v>48</v>
      </c>
      <c r="BB31" s="238" t="s">
        <v>48</v>
      </c>
      <c r="BC31" s="245" t="str">
        <f>IF(OR(H31="A",$H31="D",$H31="P",$H31="V"),L31,"")</f>
        <v/>
      </c>
    </row>
    <row r="32" spans="1:55" s="264" customFormat="1" ht="47.25">
      <c r="A32" s="244">
        <v>20182495006</v>
      </c>
      <c r="B32" s="239" t="str">
        <f>VLOOKUP(A32,'ESTADOS ESTUDIANTES'!B:L,2,0)</f>
        <v>ÉRIRA TRUJILLO WILLIAM ALBERTO</v>
      </c>
      <c r="C32" s="239">
        <f>VLOOKUP(A32,'ESTADOS ESTUDIANTES'!B:L,11,0)</f>
        <v>79595381</v>
      </c>
      <c r="D32" s="239">
        <f>VLOOKUP(A32,'ESTADOS ESTUDIANTES'!B:L,3,0)</f>
        <v>495</v>
      </c>
      <c r="E32" s="239" t="str">
        <f>VLOOKUP(Tabla8[[#This Row],[ENFASIS]],Listas!$R$2:$S$8,2,0)</f>
        <v>ENFASIS EN ING. SOFT</v>
      </c>
      <c r="F32" s="239" t="str">
        <f>VLOOKUP(A32,'ESTADOS ESTUDIANTES'!B:L,8,0)</f>
        <v>waerirat@udistrital.edu.co</v>
      </c>
      <c r="G32" s="239" t="str">
        <f>VLOOKUP(A32,'ESTADOS ESTUDIANTES'!B:L,9,0)</f>
        <v>werira@hotmail.com</v>
      </c>
      <c r="H32" s="239" t="str">
        <f>VLOOKUP(A32,'ESTADOS ESTUDIANTES'!B:L,5,0)</f>
        <v>E</v>
      </c>
      <c r="I32" s="239" t="str">
        <f>VLOOKUP(Tabla8[[#This Row],[CODIGO]],'ESTADOS ESTUDIANTES'!B:M,12,0)</f>
        <v>2025-1</v>
      </c>
      <c r="J32" s="240" t="s">
        <v>46</v>
      </c>
      <c r="K32" s="240" t="s">
        <v>775</v>
      </c>
      <c r="L32" s="240" t="s">
        <v>298</v>
      </c>
      <c r="M32" s="240"/>
      <c r="N32" s="241">
        <v>45233</v>
      </c>
      <c r="O32" s="239">
        <v>2023</v>
      </c>
      <c r="P32" s="240" t="s">
        <v>115</v>
      </c>
      <c r="Q32" s="240" t="s">
        <v>292</v>
      </c>
      <c r="R32" s="242">
        <v>45239</v>
      </c>
      <c r="S32" s="242">
        <f>IF(Tabla8[[#This Row],[FECHA DE ACEPTACION DEL GRUP. INV.]]="","",DATE(YEAR(Tabla8[[#This Row],[FECHA DE ACEPTACION DEL GRUP. INV.]])+2,MONTH(Tabla8[[#This Row],[FECHA DE ACEPTACION DEL GRUP. INV.]]),DAY(Tabla8[[#This Row],[FECHA DE ACEPTACION DEL GRUP. INV.]])))</f>
        <v>45970</v>
      </c>
      <c r="T32" s="242" t="str">
        <f ca="1">IF(Tabla8[[#This Row],[FECHA DE ACEPTACION DEL GRUP. INV.]]="","",IF(Tabla8[[#This Row],[FECHA DE VENCIMIENTO ANTE PROYECTO]]&lt;TODAY(),"SÍ","NO"))</f>
        <v>SÍ</v>
      </c>
      <c r="U32" s="242"/>
      <c r="V32" s="240" t="s">
        <v>776</v>
      </c>
      <c r="W32" s="240"/>
      <c r="X32" s="242" t="s">
        <v>424</v>
      </c>
      <c r="Y32" s="241"/>
      <c r="Z32" s="243"/>
      <c r="AA32" s="241">
        <v>45323</v>
      </c>
      <c r="AB32" s="243">
        <v>141</v>
      </c>
      <c r="AC32" s="240" t="s">
        <v>68</v>
      </c>
      <c r="AD32" s="241">
        <v>45595</v>
      </c>
      <c r="AE32" s="238" t="s">
        <v>391</v>
      </c>
      <c r="AF32" s="241">
        <v>45595</v>
      </c>
      <c r="AG32" s="238" t="s">
        <v>292</v>
      </c>
      <c r="AH32" s="241">
        <v>45614</v>
      </c>
      <c r="AI32" s="241">
        <v>45628</v>
      </c>
      <c r="AJ32" s="244">
        <v>50</v>
      </c>
      <c r="AK32" s="244">
        <v>50</v>
      </c>
      <c r="AL32" s="238" t="s">
        <v>41</v>
      </c>
      <c r="AM32" s="238" t="s">
        <v>356</v>
      </c>
      <c r="AN32" s="241">
        <v>45614</v>
      </c>
      <c r="AO32" s="241">
        <v>45628</v>
      </c>
      <c r="AP32" s="244">
        <v>50</v>
      </c>
      <c r="AQ32" s="244">
        <v>50</v>
      </c>
      <c r="AR32" s="238" t="s">
        <v>41</v>
      </c>
      <c r="AS32" s="241">
        <v>45628</v>
      </c>
      <c r="AT32" s="240">
        <f t="shared" si="3"/>
        <v>50</v>
      </c>
      <c r="AU32" s="238" t="s">
        <v>777</v>
      </c>
      <c r="AV32" s="238" t="s">
        <v>778</v>
      </c>
      <c r="AW32" s="238" t="s">
        <v>61</v>
      </c>
      <c r="AX32" s="238" t="s">
        <v>80</v>
      </c>
      <c r="AY32" s="240" t="s">
        <v>576</v>
      </c>
      <c r="AZ32" s="258">
        <v>45608</v>
      </c>
      <c r="BA32" s="239"/>
      <c r="BB32" s="238"/>
      <c r="BC32" s="245" t="str">
        <f t="shared" si="2"/>
        <v/>
      </c>
    </row>
    <row r="33" spans="1:55" ht="47.25">
      <c r="A33" s="423">
        <v>20182495008</v>
      </c>
      <c r="B33" s="424" t="str">
        <f>VLOOKUP(A33,'ESTADOS ESTUDIANTES'!B:L,2,0)</f>
        <v>GORDILLO ORJUELA KEVIN STEVEN</v>
      </c>
      <c r="C33" s="424">
        <f>VLOOKUP(A33,'ESTADOS ESTUDIANTES'!B:L,11,0)</f>
        <v>1010213044</v>
      </c>
      <c r="D33" s="424">
        <f>VLOOKUP(A33,'ESTADOS ESTUDIANTES'!B:L,3,0)</f>
        <v>495</v>
      </c>
      <c r="E33" s="424" t="str">
        <f>VLOOKUP(Tabla8[[#This Row],[ENFASIS]],Listas!$R$2:$S$8,2,0)</f>
        <v>ENFASIS EN ING. SOFT</v>
      </c>
      <c r="F33" s="424" t="str">
        <f>VLOOKUP(A33,'ESTADOS ESTUDIANTES'!B:L,8,0)</f>
        <v>ksgordilloo@udistrital.edu.co</v>
      </c>
      <c r="G33" s="424" t="str">
        <f>VLOOKUP(A33,'ESTADOS ESTUDIANTES'!B:L,9,0)</f>
        <v>ksgordillo94@gmail.com</v>
      </c>
      <c r="H33" s="424" t="str">
        <f>VLOOKUP(A33,'ESTADOS ESTUDIANTES'!B:L,5,0)</f>
        <v>E</v>
      </c>
      <c r="I33" s="424" t="str">
        <f>VLOOKUP(Tabla8[[#This Row],[CODIGO]],'ESTADOS ESTUDIANTES'!B:M,12,0)</f>
        <v>2023-3</v>
      </c>
      <c r="J33" s="425" t="s">
        <v>46</v>
      </c>
      <c r="K33" s="425" t="s">
        <v>779</v>
      </c>
      <c r="L33" s="425" t="s">
        <v>323</v>
      </c>
      <c r="M33" s="425"/>
      <c r="N33" s="426">
        <v>44374</v>
      </c>
      <c r="O33" s="424">
        <v>2021</v>
      </c>
      <c r="P33" s="425" t="s">
        <v>112</v>
      </c>
      <c r="Q33" s="425" t="s">
        <v>222</v>
      </c>
      <c r="R33" s="427">
        <v>44374</v>
      </c>
      <c r="S33" s="427">
        <f>IF(Tabla8[[#This Row],[FECHA DE ACEPTACION DEL GRUP. INV.]]="","",DATE(YEAR(Tabla8[[#This Row],[FECHA DE ACEPTACION DEL GRUP. INV.]])+2,MONTH(Tabla8[[#This Row],[FECHA DE ACEPTACION DEL GRUP. INV.]]),DAY(Tabla8[[#This Row],[FECHA DE ACEPTACION DEL GRUP. INV.]])))</f>
        <v>45104</v>
      </c>
      <c r="T33" s="427" t="str">
        <f ca="1">IF(Tabla8[[#This Row],[FECHA DE ACEPTACION DEL GRUP. INV.]]="","",IF(Tabla8[[#This Row],[FECHA DE VENCIMIENTO ANTE PROYECTO]]&lt;TODAY(),"SÍ","NO"))</f>
        <v>SÍ</v>
      </c>
      <c r="U33" s="427"/>
      <c r="V33" s="425"/>
      <c r="W33" s="425"/>
      <c r="X33" s="427"/>
      <c r="Y33" s="426">
        <v>44342</v>
      </c>
      <c r="Z33" s="428">
        <v>87.83</v>
      </c>
      <c r="AA33" s="426"/>
      <c r="AB33" s="428"/>
      <c r="AC33" s="425" t="s">
        <v>79</v>
      </c>
      <c r="AD33" s="426">
        <v>45042</v>
      </c>
      <c r="AE33" s="429">
        <v>6</v>
      </c>
      <c r="AF33" s="426">
        <v>45042</v>
      </c>
      <c r="AG33" s="429" t="s">
        <v>302</v>
      </c>
      <c r="AH33" s="426">
        <v>45061</v>
      </c>
      <c r="AI33" s="426">
        <v>45084</v>
      </c>
      <c r="AJ33" s="423">
        <v>45</v>
      </c>
      <c r="AK33" s="423">
        <v>50</v>
      </c>
      <c r="AL33" s="429" t="s">
        <v>41</v>
      </c>
      <c r="AM33" s="429" t="s">
        <v>290</v>
      </c>
      <c r="AN33" s="426">
        <v>45061</v>
      </c>
      <c r="AO33" s="426">
        <v>45083</v>
      </c>
      <c r="AP33" s="423">
        <v>48</v>
      </c>
      <c r="AQ33" s="423">
        <v>45</v>
      </c>
      <c r="AR33" s="429" t="s">
        <v>41</v>
      </c>
      <c r="AS33" s="426">
        <v>45083</v>
      </c>
      <c r="AT33" s="425">
        <f t="shared" si="3"/>
        <v>47</v>
      </c>
      <c r="AU33" s="429" t="s">
        <v>780</v>
      </c>
      <c r="AV33" s="429" t="s">
        <v>781</v>
      </c>
      <c r="AW33" s="429"/>
      <c r="AX33" s="429"/>
      <c r="AY33" s="425" t="s">
        <v>782</v>
      </c>
      <c r="AZ33" s="430">
        <v>45133</v>
      </c>
      <c r="BA33" s="429"/>
      <c r="BB33" s="429"/>
      <c r="BC33" s="431" t="str">
        <f t="shared" si="2"/>
        <v/>
      </c>
    </row>
    <row r="34" spans="1:55" ht="47.25">
      <c r="A34" s="383">
        <v>20182495010</v>
      </c>
      <c r="B34" s="384" t="str">
        <f>VLOOKUP(A34,'ESTADOS ESTUDIANTES'!B:L,2,0)</f>
        <v>PINZÓN BERDUGOPABLO ANDRÉS</v>
      </c>
      <c r="C34" s="384">
        <f>VLOOKUP(A34,'ESTADOS ESTUDIANTES'!B:L,11,0)</f>
        <v>1033728797</v>
      </c>
      <c r="D34" s="384">
        <f>VLOOKUP(A34,'ESTADOS ESTUDIANTES'!B:L,3,0)</f>
        <v>495</v>
      </c>
      <c r="E34" s="384" t="str">
        <f>VLOOKUP(Tabla8[[#This Row],[ENFASIS]],Listas!$R$2:$S$8,2,0)</f>
        <v>ENFASIS EN ING. SOFT</v>
      </c>
      <c r="F34" s="384" t="str">
        <f>VLOOKUP(A34,'ESTADOS ESTUDIANTES'!B:L,8,0)</f>
        <v>paapinzonb@correo.udistrital.edu.co</v>
      </c>
      <c r="G34" s="384" t="str">
        <f>VLOOKUP(A34,'ESTADOS ESTUDIANTES'!B:L,9,0)</f>
        <v>ingpablopinzon@hotmail.com</v>
      </c>
      <c r="H34" s="384" t="str">
        <f>VLOOKUP(A34,'ESTADOS ESTUDIANTES'!B:L,5,0)</f>
        <v>X</v>
      </c>
      <c r="I34" s="384" t="str">
        <f>VLOOKUP(Tabla8[[#This Row],[CODIGO]],'ESTADOS ESTUDIANTES'!B:M,12,0)</f>
        <v>2021-1</v>
      </c>
      <c r="J34" s="386" t="s">
        <v>46</v>
      </c>
      <c r="K34" s="386" t="s">
        <v>783</v>
      </c>
      <c r="L34" s="386" t="s">
        <v>784</v>
      </c>
      <c r="M34" s="331"/>
      <c r="N34" s="330">
        <v>43635</v>
      </c>
      <c r="O34" s="384">
        <v>2019</v>
      </c>
      <c r="P34" s="386" t="s">
        <v>112</v>
      </c>
      <c r="Q34" s="386" t="s">
        <v>222</v>
      </c>
      <c r="R34" s="385"/>
      <c r="S34" s="385" t="str">
        <f>IF(Tabla8[[#This Row],[FECHA DE ACEPTACION DEL GRUP. INV.]]="","",DATE(YEAR(Tabla8[[#This Row],[FECHA DE ACEPTACION DEL GRUP. INV.]])+2,MONTH(Tabla8[[#This Row],[FECHA DE ACEPTACION DEL GRUP. INV.]]),DAY(Tabla8[[#This Row],[FECHA DE ACEPTACION DEL GRUP. INV.]])))</f>
        <v/>
      </c>
      <c r="T34" s="385" t="str">
        <f ca="1">IF(Tabla8[[#This Row],[FECHA DE ACEPTACION DEL GRUP. INV.]]="","",IF(Tabla8[[#This Row],[FECHA DE VENCIMIENTO ANTE PROYECTO]]&lt;TODAY(),"SÍ","NO"))</f>
        <v/>
      </c>
      <c r="U34" s="385"/>
      <c r="V34" s="386"/>
      <c r="W34" s="386"/>
      <c r="X34" s="385"/>
      <c r="Y34" s="330"/>
      <c r="Z34" s="387"/>
      <c r="AA34" s="330">
        <v>43888</v>
      </c>
      <c r="AB34" s="387">
        <v>76.52</v>
      </c>
      <c r="AC34" s="272" t="s">
        <v>79</v>
      </c>
      <c r="AD34" s="330"/>
      <c r="AE34" s="331"/>
      <c r="AF34" s="330"/>
      <c r="AG34" s="331"/>
      <c r="AH34" s="330"/>
      <c r="AI34" s="330"/>
      <c r="AJ34" s="383"/>
      <c r="AK34" s="383"/>
      <c r="AL34" s="331"/>
      <c r="AM34" s="331"/>
      <c r="AN34" s="330"/>
      <c r="AO34" s="330"/>
      <c r="AP34" s="383"/>
      <c r="AQ34" s="383"/>
      <c r="AR34" s="331"/>
      <c r="AS34" s="330"/>
      <c r="AT34" s="386" t="str">
        <f t="shared" si="3"/>
        <v/>
      </c>
      <c r="AU34" s="331"/>
      <c r="AV34" s="331"/>
      <c r="AW34" s="331"/>
      <c r="AX34" s="331"/>
      <c r="AY34" s="386" t="str">
        <f>IFERROR(VLOOKUP(AX34,Listas!K56:K63,2,0),"")</f>
        <v/>
      </c>
      <c r="AZ34" s="388"/>
      <c r="BA34" s="331"/>
      <c r="BB34" s="331"/>
      <c r="BC34" s="389" t="str">
        <f t="shared" si="2"/>
        <v/>
      </c>
    </row>
    <row r="35" spans="1:55" ht="31.5">
      <c r="A35" s="383">
        <v>20191195001</v>
      </c>
      <c r="B35" s="384" t="str">
        <f>VLOOKUP(A35,'ESTADOS ESTUDIANTES'!B:L,2,0)</f>
        <v>AGUDELO RAMIREZ SEBASTIAN</v>
      </c>
      <c r="C35" s="384">
        <f>VLOOKUP(A35,'ESTADOS ESTUDIANTES'!B:L,11,0)</f>
        <v>1015422230</v>
      </c>
      <c r="D35" s="384">
        <f>VLOOKUP(A35,'ESTADOS ESTUDIANTES'!B:L,3,0)</f>
        <v>195</v>
      </c>
      <c r="E35" s="384" t="str">
        <f>VLOOKUP(Tabla8[[#This Row],[ENFASIS]],Listas!$R$2:$S$8,2,0)</f>
        <v>EN TELEINF.</v>
      </c>
      <c r="F35" s="384" t="str">
        <f>VLOOKUP(A35,'ESTADOS ESTUDIANTES'!B:L,8,0)</f>
        <v>seagudelor@correo.udistrital.edu.co</v>
      </c>
      <c r="G35" s="384" t="str">
        <f>VLOOKUP(A35,'ESTADOS ESTUDIANTES'!B:L,9,0)</f>
        <v>sebasracers@hotmail.com</v>
      </c>
      <c r="H35" s="384" t="str">
        <f>VLOOKUP(A35,'ESTADOS ESTUDIANTES'!B:L,5,0)</f>
        <v>X</v>
      </c>
      <c r="I35" s="384" t="str">
        <f>VLOOKUP(Tabla8[[#This Row],[CODIGO]],'ESTADOS ESTUDIANTES'!B:M,12,0)</f>
        <v>2020-3</v>
      </c>
      <c r="J35" s="386" t="s">
        <v>46</v>
      </c>
      <c r="K35" s="386" t="s">
        <v>785</v>
      </c>
      <c r="L35" s="386" t="s">
        <v>786</v>
      </c>
      <c r="M35" s="331"/>
      <c r="N35" s="330">
        <v>43644</v>
      </c>
      <c r="O35" s="384">
        <v>2019</v>
      </c>
      <c r="P35" s="386" t="s">
        <v>121</v>
      </c>
      <c r="Q35" s="386" t="s">
        <v>564</v>
      </c>
      <c r="R35" s="385"/>
      <c r="S35" s="385" t="str">
        <f>IF(Tabla8[[#This Row],[FECHA DE ACEPTACION DEL GRUP. INV.]]="","",DATE(YEAR(Tabla8[[#This Row],[FECHA DE ACEPTACION DEL GRUP. INV.]])+2,MONTH(Tabla8[[#This Row],[FECHA DE ACEPTACION DEL GRUP. INV.]]),DAY(Tabla8[[#This Row],[FECHA DE ACEPTACION DEL GRUP. INV.]])))</f>
        <v/>
      </c>
      <c r="T35" s="385" t="str">
        <f ca="1">IF(Tabla8[[#This Row],[FECHA DE ACEPTACION DEL GRUP. INV.]]="","",IF(Tabla8[[#This Row],[FECHA DE VENCIMIENTO ANTE PROYECTO]]&lt;TODAY(),"SÍ","NO"))</f>
        <v/>
      </c>
      <c r="U35" s="385"/>
      <c r="V35" s="386"/>
      <c r="W35" s="386"/>
      <c r="X35" s="385"/>
      <c r="Y35" s="330"/>
      <c r="Z35" s="387"/>
      <c r="AA35" s="330"/>
      <c r="AB35" s="387"/>
      <c r="AC35" s="390"/>
      <c r="AD35" s="330"/>
      <c r="AE35" s="331"/>
      <c r="AF35" s="330"/>
      <c r="AG35" s="331"/>
      <c r="AH35" s="330"/>
      <c r="AI35" s="330"/>
      <c r="AJ35" s="383"/>
      <c r="AK35" s="383"/>
      <c r="AL35" s="331"/>
      <c r="AM35" s="331"/>
      <c r="AN35" s="330"/>
      <c r="AO35" s="330"/>
      <c r="AP35" s="383"/>
      <c r="AQ35" s="383"/>
      <c r="AR35" s="331"/>
      <c r="AS35" s="330"/>
      <c r="AT35" s="386" t="str">
        <f t="shared" si="3"/>
        <v/>
      </c>
      <c r="AU35" s="331"/>
      <c r="AV35" s="331"/>
      <c r="AW35" s="331"/>
      <c r="AX35" s="331"/>
      <c r="AY35" s="386" t="str">
        <f>IFERROR(VLOOKUP(AX35,Listas!K57:K64,2,0),"")</f>
        <v/>
      </c>
      <c r="AZ35" s="388"/>
      <c r="BA35" s="331"/>
      <c r="BB35" s="331"/>
      <c r="BC35" s="391" t="str">
        <f t="shared" si="2"/>
        <v/>
      </c>
    </row>
    <row r="36" spans="1:55" s="441" customFormat="1" ht="94.5">
      <c r="A36" s="432">
        <v>20191195002</v>
      </c>
      <c r="B36" s="433" t="str">
        <f>VLOOKUP(A36,'ESTADOS ESTUDIANTES'!B:L,2,0)</f>
        <v>BELLO GONZALEZ IVAN DARIO</v>
      </c>
      <c r="C36" s="433">
        <f>VLOOKUP(A36,'ESTADOS ESTUDIANTES'!B:L,11,0)</f>
        <v>1031138497</v>
      </c>
      <c r="D36" s="433">
        <f>VLOOKUP(A36,'ESTADOS ESTUDIANTES'!B:L,3,0)</f>
        <v>195</v>
      </c>
      <c r="E36" s="433" t="str">
        <f>VLOOKUP(Tabla8[[#This Row],[ENFASIS]],Listas!$R$2:$S$8,2,0)</f>
        <v>EN TELEINF.</v>
      </c>
      <c r="F36" s="433" t="str">
        <f>VLOOKUP(A36,'ESTADOS ESTUDIANTES'!B:L,8,0)</f>
        <v>idbellog@udistrital.edu.co</v>
      </c>
      <c r="G36" s="433" t="str">
        <f>VLOOKUP(A36,'ESTADOS ESTUDIANTES'!B:L,9,0)</f>
        <v>idbellog@gmail.com</v>
      </c>
      <c r="H36" s="433" t="str">
        <f>VLOOKUP(A36,'ESTADOS ESTUDIANTES'!B:L,5,0)</f>
        <v>E</v>
      </c>
      <c r="I36" s="433" t="str">
        <f>VLOOKUP(Tabla8[[#This Row],[CODIGO]],'ESTADOS ESTUDIANTES'!B:M,12,0)</f>
        <v>2024-3</v>
      </c>
      <c r="J36" s="434" t="s">
        <v>46</v>
      </c>
      <c r="K36" s="435" t="s">
        <v>423</v>
      </c>
      <c r="L36" s="434" t="s">
        <v>220</v>
      </c>
      <c r="M36" s="435" t="s">
        <v>323</v>
      </c>
      <c r="N36" s="436">
        <v>45439</v>
      </c>
      <c r="O36" s="435">
        <v>2024</v>
      </c>
      <c r="P36" s="435" t="s">
        <v>112</v>
      </c>
      <c r="Q36" s="435" t="s">
        <v>222</v>
      </c>
      <c r="R36" s="437">
        <v>45454</v>
      </c>
      <c r="S36" s="437">
        <f>IF(Tabla8[[#This Row],[FECHA DE ACEPTACION DEL GRUP. INV.]]="","",DATE(YEAR(Tabla8[[#This Row],[FECHA DE ACEPTACION DEL GRUP. INV.]])+2,MONTH(Tabla8[[#This Row],[FECHA DE ACEPTACION DEL GRUP. INV.]]),DAY(Tabla8[[#This Row],[FECHA DE ACEPTACION DEL GRUP. INV.]])))</f>
        <v>46184</v>
      </c>
      <c r="T36" s="437" t="str">
        <f ca="1">IF(Tabla8[[#This Row],[FECHA DE ACEPTACION DEL GRUP. INV.]]="","",IF(Tabla8[[#This Row],[FECHA DE VENCIMIENTO ANTE PROYECTO]]&lt;TODAY(),"SÍ","NO"))</f>
        <v>SÍ</v>
      </c>
      <c r="U36" s="437"/>
      <c r="V36" s="434" t="s">
        <v>425</v>
      </c>
      <c r="W36" s="434"/>
      <c r="X36" s="437" t="s">
        <v>424</v>
      </c>
      <c r="Y36" s="436"/>
      <c r="Z36" s="438"/>
      <c r="AA36" s="436">
        <v>45531</v>
      </c>
      <c r="AB36" s="438">
        <v>127</v>
      </c>
      <c r="AC36" s="435" t="s">
        <v>79</v>
      </c>
      <c r="AD36" s="436">
        <v>45595</v>
      </c>
      <c r="AE36" s="435" t="s">
        <v>391</v>
      </c>
      <c r="AF36" s="436">
        <v>45595</v>
      </c>
      <c r="AG36" s="435" t="s">
        <v>222</v>
      </c>
      <c r="AH36" s="436"/>
      <c r="AI36" s="436"/>
      <c r="AJ36" s="432"/>
      <c r="AK36" s="432"/>
      <c r="AL36" s="435"/>
      <c r="AM36" s="435" t="s">
        <v>281</v>
      </c>
      <c r="AN36" s="436"/>
      <c r="AO36" s="436"/>
      <c r="AP36" s="432"/>
      <c r="AQ36" s="432"/>
      <c r="AR36" s="435"/>
      <c r="AS36" s="436"/>
      <c r="AT36" s="434" t="str">
        <f t="shared" si="3"/>
        <v/>
      </c>
      <c r="AU36" s="435" t="s">
        <v>787</v>
      </c>
      <c r="AV36" s="435" t="s">
        <v>788</v>
      </c>
      <c r="AW36" s="435" t="s">
        <v>61</v>
      </c>
      <c r="AX36" s="435" t="s">
        <v>99</v>
      </c>
      <c r="AY36" s="434" t="s">
        <v>391</v>
      </c>
      <c r="AZ36" s="439">
        <v>45595</v>
      </c>
      <c r="BA36" s="435"/>
      <c r="BB36" s="435"/>
      <c r="BC36" s="440" t="str">
        <f t="shared" si="2"/>
        <v/>
      </c>
    </row>
    <row r="37" spans="1:55">
      <c r="A37" s="383">
        <v>20191395004</v>
      </c>
      <c r="B37" s="384" t="str">
        <f>VLOOKUP(A37,'ESTADOS ESTUDIANTES'!B:L,2,0)</f>
        <v>LARA ABELLO JENNIFFER</v>
      </c>
      <c r="C37" s="384">
        <f>VLOOKUP(A37,'ESTADOS ESTUDIANTES'!B:L,11,0)</f>
        <v>1016068098</v>
      </c>
      <c r="D37" s="384">
        <f>VLOOKUP(A37,'ESTADOS ESTUDIANTES'!B:L,3,0)</f>
        <v>395</v>
      </c>
      <c r="E37" s="384" t="str">
        <f>VLOOKUP(Tabla8[[#This Row],[ENFASIS]],Listas!$R$2:$S$8,2,0)</f>
        <v>ENFASIS EN GEOMATICA</v>
      </c>
      <c r="F37" s="384" t="str">
        <f>VLOOKUP(A37,'ESTADOS ESTUDIANTES'!B:L,8,0)</f>
        <v>jlaraa@correo.udistrital.edu.co</v>
      </c>
      <c r="G37" s="384" t="str">
        <f>VLOOKUP(A37,'ESTADOS ESTUDIANTES'!B:L,9,0)</f>
        <v>jlaraa@correo.udistrital.edu.co</v>
      </c>
      <c r="H37" s="384" t="str">
        <f>VLOOKUP(A37,'ESTADOS ESTUDIANTES'!B:L,5,0)</f>
        <v>X</v>
      </c>
      <c r="I37" s="384" t="str">
        <f>VLOOKUP(Tabla8[[#This Row],[CODIGO]],'ESTADOS ESTUDIANTES'!B:M,12,0)</f>
        <v>2019-1</v>
      </c>
      <c r="J37" s="331"/>
      <c r="K37" s="331"/>
      <c r="L37" s="331"/>
      <c r="M37" s="331"/>
      <c r="N37" s="330"/>
      <c r="O37" s="331"/>
      <c r="P37" s="331"/>
      <c r="Q37" s="331"/>
      <c r="R37" s="385"/>
      <c r="S37" s="385" t="str">
        <f>IF(Tabla8[[#This Row],[FECHA DE ACEPTACION DEL GRUP. INV.]]="","",DATE(YEAR(Tabla8[[#This Row],[FECHA DE ACEPTACION DEL GRUP. INV.]])+2,MONTH(Tabla8[[#This Row],[FECHA DE ACEPTACION DEL GRUP. INV.]]),DAY(Tabla8[[#This Row],[FECHA DE ACEPTACION DEL GRUP. INV.]])))</f>
        <v/>
      </c>
      <c r="T37" s="385" t="str">
        <f ca="1">IF(Tabla8[[#This Row],[FECHA DE ACEPTACION DEL GRUP. INV.]]="","",IF(Tabla8[[#This Row],[FECHA DE VENCIMIENTO ANTE PROYECTO]]&lt;TODAY(),"SÍ","NO"))</f>
        <v/>
      </c>
      <c r="U37" s="385"/>
      <c r="V37" s="385"/>
      <c r="W37" s="385"/>
      <c r="X37" s="385"/>
      <c r="Y37" s="330"/>
      <c r="Z37" s="387"/>
      <c r="AA37" s="330"/>
      <c r="AB37" s="387"/>
      <c r="AC37" s="390"/>
      <c r="AD37" s="330"/>
      <c r="AE37" s="331"/>
      <c r="AF37" s="330"/>
      <c r="AG37" s="331"/>
      <c r="AH37" s="330"/>
      <c r="AI37" s="330"/>
      <c r="AJ37" s="383"/>
      <c r="AK37" s="383"/>
      <c r="AL37" s="331"/>
      <c r="AM37" s="331"/>
      <c r="AN37" s="330"/>
      <c r="AO37" s="330"/>
      <c r="AP37" s="383"/>
      <c r="AQ37" s="383"/>
      <c r="AR37" s="331"/>
      <c r="AS37" s="330"/>
      <c r="AT37" s="386" t="str">
        <f t="shared" si="3"/>
        <v/>
      </c>
      <c r="AU37" s="331"/>
      <c r="AV37" s="331"/>
      <c r="AW37" s="331"/>
      <c r="AX37" s="331"/>
      <c r="AY37" s="386" t="str">
        <f>IFERROR(VLOOKUP(AX37,Listas!K62:K69,2,0),"")</f>
        <v/>
      </c>
      <c r="AZ37" s="388"/>
      <c r="BA37" s="331"/>
      <c r="BB37" s="331"/>
      <c r="BC37" s="389" t="str">
        <f t="shared" si="2"/>
        <v/>
      </c>
    </row>
    <row r="38" spans="1:55" s="264" customFormat="1" ht="63">
      <c r="A38" s="244">
        <v>20191395005</v>
      </c>
      <c r="B38" s="239" t="str">
        <f>VLOOKUP(A38,'ESTADOS ESTUDIANTES'!B:L,2,0)</f>
        <v>LÓPEZ CALLE MARÍA ISABEL</v>
      </c>
      <c r="C38" s="239">
        <f>VLOOKUP(A38,'ESTADOS ESTUDIANTES'!B:L,11,0)</f>
        <v>1018483105</v>
      </c>
      <c r="D38" s="239">
        <f>VLOOKUP(A38,'ESTADOS ESTUDIANTES'!B:L,3,0)</f>
        <v>395</v>
      </c>
      <c r="E38" s="239" t="str">
        <f>VLOOKUP(Tabla8[[#This Row],[ENFASIS]],Listas!$R$2:$S$8,2,0)</f>
        <v>ENFASIS EN GEOMATICA</v>
      </c>
      <c r="F38" s="239" t="str">
        <f>VLOOKUP(A38,'ESTADOS ESTUDIANTES'!B:L,8,0)</f>
        <v>milopezc@udistrital.edu.co</v>
      </c>
      <c r="G38" s="239" t="str">
        <f>VLOOKUP(A38,'ESTADOS ESTUDIANTES'!B:L,9,0)</f>
        <v>isalopez0216@gmail.com</v>
      </c>
      <c r="H38" s="239" t="str">
        <f>VLOOKUP(A38,'ESTADOS ESTUDIANTES'!B:L,5,0)</f>
        <v>E</v>
      </c>
      <c r="I38" s="239" t="str">
        <f>VLOOKUP(Tabla8[[#This Row],[CODIGO]],'ESTADOS ESTUDIANTES'!B:M,12,0)</f>
        <v>2025-1</v>
      </c>
      <c r="J38" s="240" t="s">
        <v>46</v>
      </c>
      <c r="K38" s="240" t="s">
        <v>789</v>
      </c>
      <c r="L38" s="240" t="s">
        <v>344</v>
      </c>
      <c r="M38" s="240"/>
      <c r="N38" s="241">
        <v>45269</v>
      </c>
      <c r="O38" s="239">
        <f>YEAR(Tabla8[[#This Row],[FECHA DE RADICACION ANTEPROYECTO]])</f>
        <v>2023</v>
      </c>
      <c r="P38" s="240" t="s">
        <v>146</v>
      </c>
      <c r="Q38" s="240" t="s">
        <v>344</v>
      </c>
      <c r="R38" s="242">
        <v>45208</v>
      </c>
      <c r="S38" s="242">
        <f>IF(Tabla8[[#This Row],[FECHA DE ACEPTACION DEL GRUP. INV.]]="","",DATE(YEAR(Tabla8[[#This Row],[FECHA DE ACEPTACION DEL GRUP. INV.]])+2,MONTH(Tabla8[[#This Row],[FECHA DE ACEPTACION DEL GRUP. INV.]]),DAY(Tabla8[[#This Row],[FECHA DE ACEPTACION DEL GRUP. INV.]])))</f>
        <v>45939</v>
      </c>
      <c r="T38" s="242" t="str">
        <f ca="1">IF(Tabla8[[#This Row],[FECHA DE ACEPTACION DEL GRUP. INV.]]="","",IF(Tabla8[[#This Row],[FECHA DE VENCIMIENTO ANTE PROYECTO]]&lt;TODAY(),"SÍ","NO"))</f>
        <v>SÍ</v>
      </c>
      <c r="U38" s="242"/>
      <c r="V38" s="240" t="s">
        <v>790</v>
      </c>
      <c r="W38" s="240"/>
      <c r="X38" s="242" t="s">
        <v>424</v>
      </c>
      <c r="Y38" s="241">
        <v>43888</v>
      </c>
      <c r="Z38" s="243">
        <v>82.61</v>
      </c>
      <c r="AA38" s="241">
        <v>45139</v>
      </c>
      <c r="AB38" s="243">
        <v>124</v>
      </c>
      <c r="AC38" s="240" t="s">
        <v>79</v>
      </c>
      <c r="AD38" s="241">
        <v>45755</v>
      </c>
      <c r="AE38" s="459" t="s">
        <v>488</v>
      </c>
      <c r="AF38" s="241">
        <v>45756</v>
      </c>
      <c r="AG38" s="238" t="s">
        <v>395</v>
      </c>
      <c r="AH38" s="241">
        <v>45768</v>
      </c>
      <c r="AI38" s="241">
        <v>45784</v>
      </c>
      <c r="AJ38" s="244">
        <v>50</v>
      </c>
      <c r="AK38" s="244">
        <v>50</v>
      </c>
      <c r="AL38" s="238" t="s">
        <v>55</v>
      </c>
      <c r="AM38" s="238" t="s">
        <v>348</v>
      </c>
      <c r="AN38" s="241">
        <v>45768</v>
      </c>
      <c r="AO38" s="241">
        <v>45784</v>
      </c>
      <c r="AP38" s="244">
        <v>50</v>
      </c>
      <c r="AQ38" s="244">
        <v>50</v>
      </c>
      <c r="AR38" s="238" t="s">
        <v>55</v>
      </c>
      <c r="AS38" s="241">
        <v>45784</v>
      </c>
      <c r="AT38" s="240">
        <f t="shared" si="3"/>
        <v>50</v>
      </c>
      <c r="AU38" s="238" t="s">
        <v>791</v>
      </c>
      <c r="AV38" s="238" t="s">
        <v>792</v>
      </c>
      <c r="AW38" s="238" t="s">
        <v>47</v>
      </c>
      <c r="AX38" s="238" t="s">
        <v>94</v>
      </c>
      <c r="AY38" s="240" t="s">
        <v>793</v>
      </c>
      <c r="AZ38" s="258">
        <v>45756</v>
      </c>
      <c r="BA38" s="238" t="s">
        <v>48</v>
      </c>
      <c r="BB38" s="238" t="s">
        <v>48</v>
      </c>
      <c r="BC38" s="245" t="str">
        <f t="shared" si="2"/>
        <v/>
      </c>
    </row>
    <row r="39" spans="1:55" ht="63">
      <c r="A39" s="403">
        <v>20191495001</v>
      </c>
      <c r="B39" s="404" t="str">
        <f>VLOOKUP(A39,'ESTADOS ESTUDIANTES'!B:L,2,0)</f>
        <v>ÁVILA JAIMES DAVID HERNANDO</v>
      </c>
      <c r="C39" s="404">
        <f>VLOOKUP(A39,'ESTADOS ESTUDIANTES'!B:L,11,0)</f>
        <v>1010170891</v>
      </c>
      <c r="D39" s="404">
        <f>VLOOKUP(A39,'ESTADOS ESTUDIANTES'!B:L,3,0)</f>
        <v>495</v>
      </c>
      <c r="E39" s="404" t="str">
        <f>VLOOKUP(Tabla8[[#This Row],[ENFASIS]],Listas!$R$2:$S$8,2,0)</f>
        <v>ENFASIS EN ING. SOFT</v>
      </c>
      <c r="F39" s="404" t="str">
        <f>VLOOKUP(A39,'ESTADOS ESTUDIANTES'!B:L,8,0)</f>
        <v>dhavilaj@udistrital.edu.co</v>
      </c>
      <c r="G39" s="404" t="str">
        <f>VLOOKUP(A39,'ESTADOS ESTUDIANTES'!B:L,9,0)</f>
        <v>dhavilaj@gmail.com</v>
      </c>
      <c r="H39" s="404" t="str">
        <f>VLOOKUP(A39,'ESTADOS ESTUDIANTES'!B:L,5,0)</f>
        <v>X</v>
      </c>
      <c r="I39" s="404" t="str">
        <f>VLOOKUP(Tabla8[[#This Row],[CODIGO]],'ESTADOS ESTUDIANTES'!B:M,12,0)</f>
        <v>2023-3</v>
      </c>
      <c r="J39" s="405" t="s">
        <v>46</v>
      </c>
      <c r="K39" s="405" t="s">
        <v>794</v>
      </c>
      <c r="L39" s="405" t="s">
        <v>226</v>
      </c>
      <c r="M39" s="406"/>
      <c r="N39" s="407">
        <v>43629</v>
      </c>
      <c r="O39" s="404">
        <v>2019</v>
      </c>
      <c r="P39" s="405" t="s">
        <v>106</v>
      </c>
      <c r="Q39" s="405" t="s">
        <v>225</v>
      </c>
      <c r="R39" s="408"/>
      <c r="S39" s="408" t="str">
        <f>IF(Tabla8[[#This Row],[FECHA DE ACEPTACION DEL GRUP. INV.]]="","",DATE(YEAR(Tabla8[[#This Row],[FECHA DE ACEPTACION DEL GRUP. INV.]])+2,MONTH(Tabla8[[#This Row],[FECHA DE ACEPTACION DEL GRUP. INV.]]),DAY(Tabla8[[#This Row],[FECHA DE ACEPTACION DEL GRUP. INV.]])))</f>
        <v/>
      </c>
      <c r="T39" s="408" t="str">
        <f ca="1">IF(Tabla8[[#This Row],[FECHA DE ACEPTACION DEL GRUP. INV.]]="","",IF(Tabla8[[#This Row],[FECHA DE VENCIMIENTO ANTE PROYECTO]]&lt;TODAY(),"SÍ","NO"))</f>
        <v/>
      </c>
      <c r="U39" s="408"/>
      <c r="V39" s="405"/>
      <c r="W39" s="405"/>
      <c r="X39" s="408"/>
      <c r="Y39" s="407"/>
      <c r="Z39" s="409"/>
      <c r="AA39" s="407">
        <v>43964</v>
      </c>
      <c r="AB39" s="409">
        <v>77.39</v>
      </c>
      <c r="AC39" s="405" t="s">
        <v>79</v>
      </c>
      <c r="AD39" s="407"/>
      <c r="AE39" s="406"/>
      <c r="AF39" s="407"/>
      <c r="AG39" s="406"/>
      <c r="AH39" s="407"/>
      <c r="AI39" s="407"/>
      <c r="AJ39" s="403"/>
      <c r="AK39" s="403"/>
      <c r="AL39" s="406"/>
      <c r="AM39" s="406"/>
      <c r="AN39" s="407"/>
      <c r="AO39" s="407"/>
      <c r="AP39" s="403"/>
      <c r="AQ39" s="403"/>
      <c r="AR39" s="406"/>
      <c r="AS39" s="407"/>
      <c r="AT39" s="405" t="str">
        <f t="shared" si="3"/>
        <v/>
      </c>
      <c r="AU39" s="406"/>
      <c r="AV39" s="406"/>
      <c r="AW39" s="406"/>
      <c r="AX39" s="406"/>
      <c r="AY39" s="405" t="str">
        <f>IFERROR(VLOOKUP(AX39,Listas!K66:K73,2,0),"")</f>
        <v/>
      </c>
      <c r="AZ39" s="410"/>
      <c r="BA39" s="406"/>
      <c r="BB39" s="406"/>
      <c r="BC39" s="411" t="str">
        <f t="shared" si="2"/>
        <v/>
      </c>
    </row>
    <row r="40" spans="1:55">
      <c r="A40" s="383">
        <v>20191495004</v>
      </c>
      <c r="B40" s="384" t="str">
        <f>VLOOKUP(A40,'ESTADOS ESTUDIANTES'!B:L,2,0)</f>
        <v>CATAÑO HOYOS LUIS ADOLFO</v>
      </c>
      <c r="C40" s="384">
        <f>VLOOKUP(A40,'ESTADOS ESTUDIANTES'!B:L,11,0)</f>
        <v>1067876861</v>
      </c>
      <c r="D40" s="384">
        <f>VLOOKUP(A40,'ESTADOS ESTUDIANTES'!B:L,3,0)</f>
        <v>495</v>
      </c>
      <c r="E40" s="384" t="str">
        <f>VLOOKUP(Tabla8[[#This Row],[ENFASIS]],Listas!$R$2:$S$8,2,0)</f>
        <v>ENFASIS EN ING. SOFT</v>
      </c>
      <c r="F40" s="384" t="str">
        <f>VLOOKUP(A40,'ESTADOS ESTUDIANTES'!B:L,8,0)</f>
        <v>lacatanoh@correo.udistrital.edu.co</v>
      </c>
      <c r="G40" s="384" t="str">
        <f>VLOOKUP(A40,'ESTADOS ESTUDIANTES'!B:L,9,0)</f>
        <v>luchoad17@gmail.com</v>
      </c>
      <c r="H40" s="384" t="str">
        <f>VLOOKUP(A40,'ESTADOS ESTUDIANTES'!B:L,5,0)</f>
        <v>X</v>
      </c>
      <c r="I40" s="384" t="str">
        <f>VLOOKUP(Tabla8[[#This Row],[CODIGO]],'ESTADOS ESTUDIANTES'!B:M,12,0)</f>
        <v>2019-1</v>
      </c>
      <c r="J40" s="331"/>
      <c r="K40" s="331"/>
      <c r="L40" s="331"/>
      <c r="M40" s="331"/>
      <c r="N40" s="330"/>
      <c r="O40" s="331"/>
      <c r="P40" s="331"/>
      <c r="Q40" s="331"/>
      <c r="R40" s="385"/>
      <c r="S40" s="385" t="str">
        <f>IF(Tabla8[[#This Row],[FECHA DE ACEPTACION DEL GRUP. INV.]]="","",DATE(YEAR(Tabla8[[#This Row],[FECHA DE ACEPTACION DEL GRUP. INV.]])+2,MONTH(Tabla8[[#This Row],[FECHA DE ACEPTACION DEL GRUP. INV.]]),DAY(Tabla8[[#This Row],[FECHA DE ACEPTACION DEL GRUP. INV.]])))</f>
        <v/>
      </c>
      <c r="T40" s="385" t="str">
        <f ca="1">IF(Tabla8[[#This Row],[FECHA DE ACEPTACION DEL GRUP. INV.]]="","",IF(Tabla8[[#This Row],[FECHA DE VENCIMIENTO ANTE PROYECTO]]&lt;TODAY(),"SÍ","NO"))</f>
        <v/>
      </c>
      <c r="U40" s="385"/>
      <c r="V40" s="385"/>
      <c r="W40" s="385"/>
      <c r="X40" s="385"/>
      <c r="Y40" s="330"/>
      <c r="Z40" s="387"/>
      <c r="AA40" s="330"/>
      <c r="AB40" s="387"/>
      <c r="AC40" s="390"/>
      <c r="AD40" s="330"/>
      <c r="AE40" s="331"/>
      <c r="AF40" s="330"/>
      <c r="AG40" s="331"/>
      <c r="AH40" s="330"/>
      <c r="AI40" s="330"/>
      <c r="AJ40" s="383"/>
      <c r="AK40" s="383"/>
      <c r="AL40" s="331"/>
      <c r="AM40" s="331"/>
      <c r="AN40" s="330"/>
      <c r="AO40" s="330"/>
      <c r="AP40" s="383"/>
      <c r="AQ40" s="383"/>
      <c r="AR40" s="331"/>
      <c r="AS40" s="330"/>
      <c r="AT40" s="386" t="str">
        <f t="shared" si="3"/>
        <v/>
      </c>
      <c r="AU40" s="331"/>
      <c r="AV40" s="331"/>
      <c r="AW40" s="331"/>
      <c r="AX40" s="331"/>
      <c r="AY40" s="386" t="str">
        <f>IFERROR(VLOOKUP(AX40,Listas!K69:K76,2,0),"")</f>
        <v/>
      </c>
      <c r="AZ40" s="388"/>
      <c r="BA40" s="331"/>
      <c r="BB40" s="331"/>
      <c r="BC40" s="391" t="str">
        <f t="shared" si="2"/>
        <v/>
      </c>
    </row>
    <row r="41" spans="1:55" ht="110.25">
      <c r="A41" s="423">
        <v>20191495009</v>
      </c>
      <c r="B41" s="424" t="str">
        <f>VLOOKUP(A41,'ESTADOS ESTUDIANTES'!B:L,2,0)</f>
        <v>DAZA ROJAS JOHN JAIRO</v>
      </c>
      <c r="C41" s="424">
        <f>VLOOKUP(A41,'ESTADOS ESTUDIANTES'!B:L,11,0)</f>
        <v>1024496366</v>
      </c>
      <c r="D41" s="424">
        <f>VLOOKUP(A41,'ESTADOS ESTUDIANTES'!B:L,3,0)</f>
        <v>495</v>
      </c>
      <c r="E41" s="424" t="str">
        <f>VLOOKUP(Tabla8[[#This Row],[ENFASIS]],Listas!$R$2:$S$8,2,0)</f>
        <v>ENFASIS EN ING. SOFT</v>
      </c>
      <c r="F41" s="424" t="str">
        <f>VLOOKUP(A41,'ESTADOS ESTUDIANTES'!B:L,8,0)</f>
        <v>jjdazar@udistrital.edu.co</v>
      </c>
      <c r="G41" s="424" t="str">
        <f>VLOOKUP(A41,'ESTADOS ESTUDIANTES'!B:L,9,0)</f>
        <v>jj.dazarojas@gmail.com</v>
      </c>
      <c r="H41" s="424" t="str">
        <f>VLOOKUP(A41,'ESTADOS ESTUDIANTES'!B:L,5,0)</f>
        <v>E</v>
      </c>
      <c r="I41" s="424" t="str">
        <f>VLOOKUP(Tabla8[[#This Row],[CODIGO]],'ESTADOS ESTUDIANTES'!B:M,12,0)</f>
        <v>2023-3</v>
      </c>
      <c r="J41" s="425" t="s">
        <v>46</v>
      </c>
      <c r="K41" s="425" t="s">
        <v>795</v>
      </c>
      <c r="L41" s="425" t="s">
        <v>292</v>
      </c>
      <c r="M41" s="429"/>
      <c r="N41" s="426">
        <v>43633</v>
      </c>
      <c r="O41" s="424">
        <v>2019</v>
      </c>
      <c r="P41" s="425" t="s">
        <v>115</v>
      </c>
      <c r="Q41" s="425" t="s">
        <v>292</v>
      </c>
      <c r="R41" s="427">
        <v>44769</v>
      </c>
      <c r="S41" s="427">
        <f>IF(Tabla8[[#This Row],[FECHA DE ACEPTACION DEL GRUP. INV.]]="","",DATE(YEAR(Tabla8[[#This Row],[FECHA DE ACEPTACION DEL GRUP. INV.]])+2,MONTH(Tabla8[[#This Row],[FECHA DE ACEPTACION DEL GRUP. INV.]]),DAY(Tabla8[[#This Row],[FECHA DE ACEPTACION DEL GRUP. INV.]])))</f>
        <v>45500</v>
      </c>
      <c r="T41" s="427" t="str">
        <f ca="1">IF(Tabla8[[#This Row],[FECHA DE ACEPTACION DEL GRUP. INV.]]="","",IF(Tabla8[[#This Row],[FECHA DE VENCIMIENTO ANTE PROYECTO]]&lt;TODAY(),"SÍ","NO"))</f>
        <v>SÍ</v>
      </c>
      <c r="U41" s="427"/>
      <c r="V41" s="425"/>
      <c r="W41" s="425"/>
      <c r="X41" s="427"/>
      <c r="Y41" s="426">
        <v>44097</v>
      </c>
      <c r="Z41" s="428">
        <v>74.77</v>
      </c>
      <c r="AA41" s="426">
        <v>45057</v>
      </c>
      <c r="AB41" s="428">
        <v>148</v>
      </c>
      <c r="AC41" s="425" t="s">
        <v>79</v>
      </c>
      <c r="AD41" s="426">
        <v>45056</v>
      </c>
      <c r="AE41" s="429">
        <v>6</v>
      </c>
      <c r="AF41" s="426">
        <v>45056</v>
      </c>
      <c r="AG41" s="429" t="s">
        <v>348</v>
      </c>
      <c r="AH41" s="426">
        <v>45061</v>
      </c>
      <c r="AI41" s="426">
        <v>45083</v>
      </c>
      <c r="AJ41" s="423">
        <v>50</v>
      </c>
      <c r="AK41" s="423">
        <v>50</v>
      </c>
      <c r="AL41" s="429" t="s">
        <v>41</v>
      </c>
      <c r="AM41" s="429" t="s">
        <v>662</v>
      </c>
      <c r="AN41" s="426">
        <v>45061</v>
      </c>
      <c r="AO41" s="426">
        <v>45084</v>
      </c>
      <c r="AP41" s="423">
        <v>50</v>
      </c>
      <c r="AQ41" s="423">
        <v>50</v>
      </c>
      <c r="AR41" s="429" t="s">
        <v>41</v>
      </c>
      <c r="AS41" s="426">
        <v>45076</v>
      </c>
      <c r="AT41" s="425">
        <f t="shared" si="3"/>
        <v>50</v>
      </c>
      <c r="AU41" s="429" t="s">
        <v>796</v>
      </c>
      <c r="AV41" s="429" t="s">
        <v>797</v>
      </c>
      <c r="AW41" s="429"/>
      <c r="AX41" s="429"/>
      <c r="AY41" s="425" t="s">
        <v>798</v>
      </c>
      <c r="AZ41" s="430">
        <v>45161</v>
      </c>
      <c r="BA41" s="429"/>
      <c r="BB41" s="429"/>
      <c r="BC41" s="431" t="str">
        <f t="shared" si="2"/>
        <v/>
      </c>
    </row>
    <row r="42" spans="1:55" ht="31.5">
      <c r="A42" s="383">
        <v>20191495012</v>
      </c>
      <c r="B42" s="384" t="str">
        <f>VLOOKUP(A42,'ESTADOS ESTUDIANTES'!B:L,2,0)</f>
        <v>GUERRERO BERMÚDEZ CRISTIAN ANDRÉS</v>
      </c>
      <c r="C42" s="384">
        <f>VLOOKUP(A42,'ESTADOS ESTUDIANTES'!B:L,11,0)</f>
        <v>80818510</v>
      </c>
      <c r="D42" s="384">
        <f>VLOOKUP(A42,'ESTADOS ESTUDIANTES'!B:L,3,0)</f>
        <v>495</v>
      </c>
      <c r="E42" s="384" t="str">
        <f>VLOOKUP(Tabla8[[#This Row],[ENFASIS]],Listas!$R$2:$S$8,2,0)</f>
        <v>ENFASIS EN ING. SOFT</v>
      </c>
      <c r="F42" s="384" t="str">
        <f>VLOOKUP(A42,'ESTADOS ESTUDIANTES'!B:L,8,0)</f>
        <v>caguerrerob@correo.udistrital.edu.co</v>
      </c>
      <c r="G42" s="384" t="str">
        <f>VLOOKUP(A42,'ESTADOS ESTUDIANTES'!B:L,9,0)</f>
        <v>cristianandresgb@hotmail.com</v>
      </c>
      <c r="H42" s="384" t="str">
        <f>VLOOKUP(A42,'ESTADOS ESTUDIANTES'!B:L,5,0)</f>
        <v>X</v>
      </c>
      <c r="I42" s="384" t="str">
        <f>VLOOKUP(Tabla8[[#This Row],[CODIGO]],'ESTADOS ESTUDIANTES'!B:M,12,0)</f>
        <v>2019-1</v>
      </c>
      <c r="J42" s="331"/>
      <c r="K42" s="331"/>
      <c r="L42" s="331"/>
      <c r="M42" s="331"/>
      <c r="N42" s="330"/>
      <c r="O42" s="331"/>
      <c r="P42" s="331"/>
      <c r="Q42" s="331"/>
      <c r="R42" s="385"/>
      <c r="S42" s="385" t="str">
        <f>IF(Tabla8[[#This Row],[FECHA DE ACEPTACION DEL GRUP. INV.]]="","",DATE(YEAR(Tabla8[[#This Row],[FECHA DE ACEPTACION DEL GRUP. INV.]])+2,MONTH(Tabla8[[#This Row],[FECHA DE ACEPTACION DEL GRUP. INV.]]),DAY(Tabla8[[#This Row],[FECHA DE ACEPTACION DEL GRUP. INV.]])))</f>
        <v/>
      </c>
      <c r="T42" s="385" t="str">
        <f ca="1">IF(Tabla8[[#This Row],[FECHA DE ACEPTACION DEL GRUP. INV.]]="","",IF(Tabla8[[#This Row],[FECHA DE VENCIMIENTO ANTE PROYECTO]]&lt;TODAY(),"SÍ","NO"))</f>
        <v/>
      </c>
      <c r="U42" s="385"/>
      <c r="V42" s="385"/>
      <c r="W42" s="385"/>
      <c r="X42" s="385"/>
      <c r="Y42" s="330"/>
      <c r="Z42" s="387"/>
      <c r="AA42" s="330"/>
      <c r="AB42" s="387"/>
      <c r="AC42" s="390"/>
      <c r="AD42" s="330"/>
      <c r="AE42" s="331"/>
      <c r="AF42" s="330"/>
      <c r="AG42" s="331"/>
      <c r="AH42" s="330"/>
      <c r="AI42" s="330"/>
      <c r="AJ42" s="383"/>
      <c r="AK42" s="383"/>
      <c r="AL42" s="331"/>
      <c r="AM42" s="331"/>
      <c r="AN42" s="330"/>
      <c r="AO42" s="330"/>
      <c r="AP42" s="383"/>
      <c r="AQ42" s="383"/>
      <c r="AR42" s="331"/>
      <c r="AS42" s="330"/>
      <c r="AT42" s="386" t="str">
        <f t="shared" si="3"/>
        <v/>
      </c>
      <c r="AU42" s="331"/>
      <c r="AV42" s="331"/>
      <c r="AW42" s="331"/>
      <c r="AX42" s="331"/>
      <c r="AY42" s="386" t="str">
        <f>IFERROR(VLOOKUP(AX42,Listas!K76:K83,2,0),"")</f>
        <v/>
      </c>
      <c r="AZ42" s="388"/>
      <c r="BA42" s="331"/>
      <c r="BB42" s="331"/>
      <c r="BC42" s="391" t="str">
        <f t="shared" si="2"/>
        <v/>
      </c>
    </row>
    <row r="43" spans="1:55" ht="31.5">
      <c r="A43" s="383">
        <v>20191495014</v>
      </c>
      <c r="B43" s="384" t="str">
        <f>VLOOKUP(A43,'ESTADOS ESTUDIANTES'!B:L,2,0)</f>
        <v>HURTADO ROMERO JAIME ARTURO</v>
      </c>
      <c r="C43" s="384">
        <f>VLOOKUP(A43,'ESTADOS ESTUDIANTES'!B:L,11,0)</f>
        <v>1015439205</v>
      </c>
      <c r="D43" s="384">
        <f>VLOOKUP(A43,'ESTADOS ESTUDIANTES'!B:L,3,0)</f>
        <v>495</v>
      </c>
      <c r="E43" s="384" t="str">
        <f>VLOOKUP(Tabla8[[#This Row],[ENFASIS]],Listas!$R$2:$S$8,2,0)</f>
        <v>ENFASIS EN ING. SOFT</v>
      </c>
      <c r="F43" s="384" t="str">
        <f>VLOOKUP(A43,'ESTADOS ESTUDIANTES'!B:L,8,0)</f>
        <v>jaahurtador@correo.udistrital.edu.co</v>
      </c>
      <c r="G43" s="384" t="str">
        <f>VLOOKUP(A43,'ESTADOS ESTUDIANTES'!B:L,9,0)</f>
        <v>jart1221@gmail.com</v>
      </c>
      <c r="H43" s="384" t="str">
        <f>VLOOKUP(A43,'ESTADOS ESTUDIANTES'!B:L,5,0)</f>
        <v>X</v>
      </c>
      <c r="I43" s="384" t="str">
        <f>VLOOKUP(Tabla8[[#This Row],[CODIGO]],'ESTADOS ESTUDIANTES'!B:M,12,0)</f>
        <v>2019-1</v>
      </c>
      <c r="J43" s="331"/>
      <c r="K43" s="331"/>
      <c r="L43" s="331"/>
      <c r="M43" s="331"/>
      <c r="N43" s="330"/>
      <c r="O43" s="331"/>
      <c r="P43" s="331"/>
      <c r="Q43" s="331"/>
      <c r="R43" s="385"/>
      <c r="S43" s="385" t="str">
        <f>IF(Tabla8[[#This Row],[FECHA DE ACEPTACION DEL GRUP. INV.]]="","",DATE(YEAR(Tabla8[[#This Row],[FECHA DE ACEPTACION DEL GRUP. INV.]])+2,MONTH(Tabla8[[#This Row],[FECHA DE ACEPTACION DEL GRUP. INV.]]),DAY(Tabla8[[#This Row],[FECHA DE ACEPTACION DEL GRUP. INV.]])))</f>
        <v/>
      </c>
      <c r="T43" s="385" t="str">
        <f ca="1">IF(Tabla8[[#This Row],[FECHA DE ACEPTACION DEL GRUP. INV.]]="","",IF(Tabla8[[#This Row],[FECHA DE VENCIMIENTO ANTE PROYECTO]]&lt;TODAY(),"SÍ","NO"))</f>
        <v/>
      </c>
      <c r="U43" s="385"/>
      <c r="V43" s="385"/>
      <c r="W43" s="385"/>
      <c r="X43" s="385"/>
      <c r="Y43" s="330"/>
      <c r="Z43" s="387"/>
      <c r="AA43" s="330"/>
      <c r="AB43" s="387"/>
      <c r="AC43" s="390"/>
      <c r="AD43" s="330"/>
      <c r="AE43" s="331"/>
      <c r="AF43" s="330"/>
      <c r="AG43" s="331"/>
      <c r="AH43" s="330"/>
      <c r="AI43" s="330"/>
      <c r="AJ43" s="383"/>
      <c r="AK43" s="383"/>
      <c r="AL43" s="331"/>
      <c r="AM43" s="331"/>
      <c r="AN43" s="330"/>
      <c r="AO43" s="330"/>
      <c r="AP43" s="383"/>
      <c r="AQ43" s="383"/>
      <c r="AR43" s="331"/>
      <c r="AS43" s="330"/>
      <c r="AT43" s="386" t="str">
        <f t="shared" si="3"/>
        <v/>
      </c>
      <c r="AU43" s="331"/>
      <c r="AV43" s="331"/>
      <c r="AW43" s="331"/>
      <c r="AX43" s="331"/>
      <c r="AY43" s="386" t="str">
        <f>IFERROR(VLOOKUP(AX43,Listas!K78:K85,2,0),"")</f>
        <v/>
      </c>
      <c r="AZ43" s="388"/>
      <c r="BA43" s="331"/>
      <c r="BB43" s="331"/>
      <c r="BC43" s="389" t="str">
        <f t="shared" si="2"/>
        <v/>
      </c>
    </row>
    <row r="44" spans="1:55" ht="47.25">
      <c r="A44" s="383">
        <v>20191495015</v>
      </c>
      <c r="B44" s="384" t="str">
        <f>VLOOKUP(A44,'ESTADOS ESTUDIANTES'!B:L,2,0)</f>
        <v>MALDONADO PARDO WILLIAMS ALEXANDER</v>
      </c>
      <c r="C44" s="384">
        <f>VLOOKUP(A44,'ESTADOS ESTUDIANTES'!B:L,11,0)</f>
        <v>1030595188</v>
      </c>
      <c r="D44" s="384">
        <f>VLOOKUP(A44,'ESTADOS ESTUDIANTES'!B:L,3,0)</f>
        <v>495</v>
      </c>
      <c r="E44" s="384" t="str">
        <f>VLOOKUP(Tabla8[[#This Row],[ENFASIS]],Listas!$R$2:$S$8,2,0)</f>
        <v>ENFASIS EN ING. SOFT</v>
      </c>
      <c r="F44" s="384" t="str">
        <f>VLOOKUP(A44,'ESTADOS ESTUDIANTES'!B:L,8,0)</f>
        <v>wamaldonadop@correo.udistrital.edu.co</v>
      </c>
      <c r="G44" s="384" t="str">
        <f>VLOOKUP(A44,'ESTADOS ESTUDIANTES'!B:L,9,0)</f>
        <v>wamaldonado30@gmail.com</v>
      </c>
      <c r="H44" s="384" t="str">
        <f>VLOOKUP(A44,'ESTADOS ESTUDIANTES'!B:L,5,0)</f>
        <v>X</v>
      </c>
      <c r="I44" s="384" t="str">
        <f>VLOOKUP(Tabla8[[#This Row],[CODIGO]],'ESTADOS ESTUDIANTES'!B:M,12,0)</f>
        <v>2019-1</v>
      </c>
      <c r="J44" s="386" t="s">
        <v>46</v>
      </c>
      <c r="K44" s="386" t="s">
        <v>799</v>
      </c>
      <c r="L44" s="386" t="s">
        <v>402</v>
      </c>
      <c r="M44" s="331"/>
      <c r="N44" s="330">
        <v>43627</v>
      </c>
      <c r="O44" s="384">
        <v>2019</v>
      </c>
      <c r="P44" s="386" t="s">
        <v>83</v>
      </c>
      <c r="Q44" s="386" t="s">
        <v>512</v>
      </c>
      <c r="R44" s="385"/>
      <c r="S44" s="385" t="str">
        <f>IF(Tabla8[[#This Row],[FECHA DE ACEPTACION DEL GRUP. INV.]]="","",DATE(YEAR(Tabla8[[#This Row],[FECHA DE ACEPTACION DEL GRUP. INV.]])+2,MONTH(Tabla8[[#This Row],[FECHA DE ACEPTACION DEL GRUP. INV.]]),DAY(Tabla8[[#This Row],[FECHA DE ACEPTACION DEL GRUP. INV.]])))</f>
        <v/>
      </c>
      <c r="T44" s="385" t="str">
        <f ca="1">IF(Tabla8[[#This Row],[FECHA DE ACEPTACION DEL GRUP. INV.]]="","",IF(Tabla8[[#This Row],[FECHA DE VENCIMIENTO ANTE PROYECTO]]&lt;TODAY(),"SÍ","NO"))</f>
        <v/>
      </c>
      <c r="U44" s="385"/>
      <c r="V44" s="386"/>
      <c r="W44" s="386"/>
      <c r="X44" s="385"/>
      <c r="Y44" s="330"/>
      <c r="Z44" s="387"/>
      <c r="AA44" s="330"/>
      <c r="AB44" s="387"/>
      <c r="AC44" s="390"/>
      <c r="AD44" s="330"/>
      <c r="AE44" s="331"/>
      <c r="AF44" s="330"/>
      <c r="AG44" s="331"/>
      <c r="AH44" s="330"/>
      <c r="AI44" s="330"/>
      <c r="AJ44" s="383"/>
      <c r="AK44" s="383"/>
      <c r="AL44" s="331"/>
      <c r="AM44" s="331"/>
      <c r="AN44" s="330"/>
      <c r="AO44" s="330"/>
      <c r="AP44" s="383"/>
      <c r="AQ44" s="383"/>
      <c r="AR44" s="331"/>
      <c r="AS44" s="330"/>
      <c r="AT44" s="386" t="str">
        <f t="shared" si="3"/>
        <v/>
      </c>
      <c r="AU44" s="331"/>
      <c r="AV44" s="331"/>
      <c r="AW44" s="331"/>
      <c r="AX44" s="331"/>
      <c r="AY44" s="386" t="str">
        <f>IFERROR(VLOOKUP(AX44,Listas!K79:K86,2,0),"")</f>
        <v/>
      </c>
      <c r="AZ44" s="388"/>
      <c r="BA44" s="331"/>
      <c r="BB44" s="331"/>
      <c r="BC44" s="391" t="str">
        <f t="shared" si="2"/>
        <v/>
      </c>
    </row>
    <row r="45" spans="1:55">
      <c r="A45" s="383">
        <v>20191495020</v>
      </c>
      <c r="B45" s="384" t="str">
        <f>VLOOKUP(A45,'ESTADOS ESTUDIANTES'!B:L,2,0)</f>
        <v>PAEZ MARTINEZ YERSON ALEXANDER</v>
      </c>
      <c r="C45" s="384">
        <f>VLOOKUP(A45,'ESTADOS ESTUDIANTES'!B:L,11,0)</f>
        <v>1102715888</v>
      </c>
      <c r="D45" s="384">
        <f>VLOOKUP(A45,'ESTADOS ESTUDIANTES'!B:L,3,0)</f>
        <v>495</v>
      </c>
      <c r="E45" s="384" t="str">
        <f>VLOOKUP(Tabla8[[#This Row],[ENFASIS]],Listas!$R$2:$S$8,2,0)</f>
        <v>ENFASIS EN ING. SOFT</v>
      </c>
      <c r="F45" s="384" t="str">
        <f>VLOOKUP(A45,'ESTADOS ESTUDIANTES'!B:L,8,0)</f>
        <v>yeapaezm@correo.udistrital.edu.co</v>
      </c>
      <c r="G45" s="384" t="str">
        <f>VLOOKUP(A45,'ESTADOS ESTUDIANTES'!B:L,9,0)</f>
        <v>yeralex19@gmail.com</v>
      </c>
      <c r="H45" s="384" t="str">
        <f>VLOOKUP(A45,'ESTADOS ESTUDIANTES'!B:L,5,0)</f>
        <v>X</v>
      </c>
      <c r="I45" s="384" t="str">
        <f>VLOOKUP(Tabla8[[#This Row],[CODIGO]],'ESTADOS ESTUDIANTES'!B:M,12,0)</f>
        <v>2019-1</v>
      </c>
      <c r="J45" s="331"/>
      <c r="K45" s="331"/>
      <c r="L45" s="331"/>
      <c r="M45" s="331"/>
      <c r="N45" s="330"/>
      <c r="O45" s="331"/>
      <c r="P45" s="331"/>
      <c r="Q45" s="331"/>
      <c r="R45" s="385"/>
      <c r="S45" s="385" t="str">
        <f>IF(Tabla8[[#This Row],[FECHA DE ACEPTACION DEL GRUP. INV.]]="","",DATE(YEAR(Tabla8[[#This Row],[FECHA DE ACEPTACION DEL GRUP. INV.]])+2,MONTH(Tabla8[[#This Row],[FECHA DE ACEPTACION DEL GRUP. INV.]]),DAY(Tabla8[[#This Row],[FECHA DE ACEPTACION DEL GRUP. INV.]])))</f>
        <v/>
      </c>
      <c r="T45" s="385" t="str">
        <f ca="1">IF(Tabla8[[#This Row],[FECHA DE ACEPTACION DEL GRUP. INV.]]="","",IF(Tabla8[[#This Row],[FECHA DE VENCIMIENTO ANTE PROYECTO]]&lt;TODAY(),"SÍ","NO"))</f>
        <v/>
      </c>
      <c r="U45" s="385"/>
      <c r="V45" s="385"/>
      <c r="W45" s="385"/>
      <c r="X45" s="385"/>
      <c r="Y45" s="330"/>
      <c r="Z45" s="387"/>
      <c r="AA45" s="330"/>
      <c r="AB45" s="387"/>
      <c r="AC45" s="390"/>
      <c r="AD45" s="330"/>
      <c r="AE45" s="331"/>
      <c r="AF45" s="330"/>
      <c r="AG45" s="331"/>
      <c r="AH45" s="330"/>
      <c r="AI45" s="330"/>
      <c r="AJ45" s="383"/>
      <c r="AK45" s="383"/>
      <c r="AL45" s="331"/>
      <c r="AM45" s="331"/>
      <c r="AN45" s="330"/>
      <c r="AO45" s="330"/>
      <c r="AP45" s="383"/>
      <c r="AQ45" s="383"/>
      <c r="AR45" s="331"/>
      <c r="AS45" s="330"/>
      <c r="AT45" s="386" t="str">
        <f t="shared" si="3"/>
        <v/>
      </c>
      <c r="AU45" s="331"/>
      <c r="AV45" s="331"/>
      <c r="AW45" s="331"/>
      <c r="AX45" s="331"/>
      <c r="AY45" s="386" t="str">
        <f>IFERROR(VLOOKUP(AX45,Listas!K84:K91,2,0),"")</f>
        <v/>
      </c>
      <c r="AZ45" s="388"/>
      <c r="BA45" s="331"/>
      <c r="BB45" s="331"/>
      <c r="BC45" s="391" t="str">
        <f t="shared" si="2"/>
        <v/>
      </c>
    </row>
    <row r="46" spans="1:55" ht="31.5">
      <c r="A46" s="383">
        <v>20191495021</v>
      </c>
      <c r="B46" s="384" t="str">
        <f>VLOOKUP(A46,'ESTADOS ESTUDIANTES'!B:L,2,0)</f>
        <v>PEÑA TELLEZ JHON ALEJANDRO</v>
      </c>
      <c r="C46" s="384">
        <f>VLOOKUP(A46,'ESTADOS ESTUDIANTES'!B:L,11,0)</f>
        <v>1012394674</v>
      </c>
      <c r="D46" s="384">
        <f>VLOOKUP(A46,'ESTADOS ESTUDIANTES'!B:L,3,0)</f>
        <v>495</v>
      </c>
      <c r="E46" s="384" t="str">
        <f>VLOOKUP(Tabla8[[#This Row],[ENFASIS]],Listas!$R$2:$S$8,2,0)</f>
        <v>ENFASIS EN ING. SOFT</v>
      </c>
      <c r="F46" s="384" t="str">
        <f>VLOOKUP(A46,'ESTADOS ESTUDIANTES'!B:L,8,0)</f>
        <v>japenat@correo.udistrital.edu.co</v>
      </c>
      <c r="G46" s="384" t="str">
        <f>VLOOKUP(A46,'ESTADOS ESTUDIANTES'!B:L,9,0)</f>
        <v>jhalep2@gmail.com</v>
      </c>
      <c r="H46" s="384" t="str">
        <f>VLOOKUP(A46,'ESTADOS ESTUDIANTES'!B:L,5,0)</f>
        <v>X</v>
      </c>
      <c r="I46" s="384" t="str">
        <f>VLOOKUP(Tabla8[[#This Row],[CODIGO]],'ESTADOS ESTUDIANTES'!B:M,12,0)</f>
        <v>2019-3</v>
      </c>
      <c r="J46" s="386" t="s">
        <v>46</v>
      </c>
      <c r="K46" s="386" t="s">
        <v>800</v>
      </c>
      <c r="L46" s="386" t="s">
        <v>801</v>
      </c>
      <c r="M46" s="331"/>
      <c r="N46" s="330">
        <v>43636</v>
      </c>
      <c r="O46" s="384">
        <v>2019</v>
      </c>
      <c r="P46" s="386" t="s">
        <v>112</v>
      </c>
      <c r="Q46" s="386" t="s">
        <v>222</v>
      </c>
      <c r="R46" s="385"/>
      <c r="S46" s="385" t="str">
        <f>IF(Tabla8[[#This Row],[FECHA DE ACEPTACION DEL GRUP. INV.]]="","",DATE(YEAR(Tabla8[[#This Row],[FECHA DE ACEPTACION DEL GRUP. INV.]])+2,MONTH(Tabla8[[#This Row],[FECHA DE ACEPTACION DEL GRUP. INV.]]),DAY(Tabla8[[#This Row],[FECHA DE ACEPTACION DEL GRUP. INV.]])))</f>
        <v/>
      </c>
      <c r="T46" s="385" t="str">
        <f ca="1">IF(Tabla8[[#This Row],[FECHA DE ACEPTACION DEL GRUP. INV.]]="","",IF(Tabla8[[#This Row],[FECHA DE VENCIMIENTO ANTE PROYECTO]]&lt;TODAY(),"SÍ","NO"))</f>
        <v/>
      </c>
      <c r="U46" s="385"/>
      <c r="V46" s="386"/>
      <c r="W46" s="386"/>
      <c r="X46" s="385"/>
      <c r="Y46" s="330"/>
      <c r="Z46" s="387"/>
      <c r="AA46" s="330"/>
      <c r="AB46" s="387"/>
      <c r="AC46" s="390"/>
      <c r="AD46" s="330"/>
      <c r="AE46" s="331"/>
      <c r="AF46" s="330"/>
      <c r="AG46" s="331"/>
      <c r="AH46" s="330"/>
      <c r="AI46" s="330"/>
      <c r="AJ46" s="383"/>
      <c r="AK46" s="383"/>
      <c r="AL46" s="331"/>
      <c r="AM46" s="331"/>
      <c r="AN46" s="330"/>
      <c r="AO46" s="330"/>
      <c r="AP46" s="383"/>
      <c r="AQ46" s="383"/>
      <c r="AR46" s="331"/>
      <c r="AS46" s="330"/>
      <c r="AT46" s="386" t="str">
        <f t="shared" si="3"/>
        <v/>
      </c>
      <c r="AU46" s="331"/>
      <c r="AV46" s="331"/>
      <c r="AW46" s="331"/>
      <c r="AX46" s="331"/>
      <c r="AY46" s="386" t="str">
        <f>IFERROR(VLOOKUP(AX46,Listas!K85:K92,2,0),"")</f>
        <v/>
      </c>
      <c r="AZ46" s="388"/>
      <c r="BA46" s="331"/>
      <c r="BB46" s="331"/>
      <c r="BC46" s="389" t="str">
        <f t="shared" si="2"/>
        <v/>
      </c>
    </row>
    <row r="47" spans="1:55" ht="126">
      <c r="A47" s="383">
        <v>20191495023</v>
      </c>
      <c r="B47" s="384" t="str">
        <f>VLOOKUP(A47,'ESTADOS ESTUDIANTES'!B:L,2,0)</f>
        <v>SAENZ BUSTOS DAISY JOHANNA</v>
      </c>
      <c r="C47" s="384">
        <f>VLOOKUP(A47,'ESTADOS ESTUDIANTES'!B:L,11,0)</f>
        <v>1015999367</v>
      </c>
      <c r="D47" s="384">
        <f>VLOOKUP(A47,'ESTADOS ESTUDIANTES'!B:L,3,0)</f>
        <v>495</v>
      </c>
      <c r="E47" s="384" t="str">
        <f>VLOOKUP(Tabla8[[#This Row],[ENFASIS]],Listas!$R$2:$S$8,2,0)</f>
        <v>ENFASIS EN ING. SOFT</v>
      </c>
      <c r="F47" s="384" t="str">
        <f>VLOOKUP(A47,'ESTADOS ESTUDIANTES'!B:L,8,0)</f>
        <v>djsaenzb@udistrital.edu.co</v>
      </c>
      <c r="G47" s="384" t="str">
        <f>VLOOKUP(A47,'ESTADOS ESTUDIANTES'!B:L,9,0)</f>
        <v>daisysaenz1223@gmail.com</v>
      </c>
      <c r="H47" s="384" t="str">
        <f>VLOOKUP(A47,'ESTADOS ESTUDIANTES'!B:L,5,0)</f>
        <v>E</v>
      </c>
      <c r="I47" s="384" t="str">
        <f>VLOOKUP(Tabla8[[#This Row],[CODIGO]],'ESTADOS ESTUDIANTES'!B:M,12,0)</f>
        <v>2023-1</v>
      </c>
      <c r="J47" s="386" t="s">
        <v>46</v>
      </c>
      <c r="K47" s="386" t="s">
        <v>802</v>
      </c>
      <c r="L47" s="386" t="s">
        <v>402</v>
      </c>
      <c r="M47" s="331"/>
      <c r="N47" s="330">
        <v>43627</v>
      </c>
      <c r="O47" s="384">
        <v>2019</v>
      </c>
      <c r="P47" s="386" t="s">
        <v>83</v>
      </c>
      <c r="Q47" s="386" t="s">
        <v>512</v>
      </c>
      <c r="R47" s="385">
        <v>44012</v>
      </c>
      <c r="S47" s="385">
        <f>IF(Tabla8[[#This Row],[FECHA DE ACEPTACION DEL GRUP. INV.]]="","",DATE(YEAR(Tabla8[[#This Row],[FECHA DE ACEPTACION DEL GRUP. INV.]])+2,MONTH(Tabla8[[#This Row],[FECHA DE ACEPTACION DEL GRUP. INV.]]),DAY(Tabla8[[#This Row],[FECHA DE ACEPTACION DEL GRUP. INV.]])))</f>
        <v>44742</v>
      </c>
      <c r="T47" s="385" t="str">
        <f ca="1">IF(Tabla8[[#This Row],[FECHA DE ACEPTACION DEL GRUP. INV.]]="","",IF(Tabla8[[#This Row],[FECHA DE VENCIMIENTO ANTE PROYECTO]]&lt;TODAY(),"SÍ","NO"))</f>
        <v>SÍ</v>
      </c>
      <c r="U47" s="385"/>
      <c r="V47" s="386" t="s">
        <v>233</v>
      </c>
      <c r="W47" s="386"/>
      <c r="X47" s="385"/>
      <c r="Y47" s="330">
        <v>43888</v>
      </c>
      <c r="Z47" s="387">
        <v>78.260000000000005</v>
      </c>
      <c r="AA47" s="330">
        <v>44998</v>
      </c>
      <c r="AB47" s="387">
        <v>117</v>
      </c>
      <c r="AC47" s="272" t="s">
        <v>79</v>
      </c>
      <c r="AD47" s="330">
        <v>44014</v>
      </c>
      <c r="AE47" s="443">
        <v>44044</v>
      </c>
      <c r="AF47" s="330">
        <v>44643</v>
      </c>
      <c r="AG47" s="386" t="s">
        <v>270</v>
      </c>
      <c r="AH47" s="330">
        <v>44013</v>
      </c>
      <c r="AI47" s="330">
        <v>44068</v>
      </c>
      <c r="AJ47" s="444">
        <v>4</v>
      </c>
      <c r="AK47" s="444">
        <v>3.8</v>
      </c>
      <c r="AL47" s="386" t="s">
        <v>41</v>
      </c>
      <c r="AM47" s="386" t="s">
        <v>271</v>
      </c>
      <c r="AN47" s="330">
        <v>44013</v>
      </c>
      <c r="AO47" s="330">
        <v>44068</v>
      </c>
      <c r="AP47" s="444">
        <v>4.2</v>
      </c>
      <c r="AQ47" s="444">
        <v>3.8</v>
      </c>
      <c r="AR47" s="386" t="s">
        <v>41</v>
      </c>
      <c r="AS47" s="330">
        <v>44068</v>
      </c>
      <c r="AT47" s="444">
        <f t="shared" si="3"/>
        <v>4</v>
      </c>
      <c r="AU47" s="445" t="s">
        <v>803</v>
      </c>
      <c r="AV47" s="445" t="s">
        <v>804</v>
      </c>
      <c r="AW47" s="386" t="s">
        <v>47</v>
      </c>
      <c r="AX47" s="445" t="s">
        <v>104</v>
      </c>
      <c r="AY47" s="386" t="s">
        <v>805</v>
      </c>
      <c r="AZ47" s="392">
        <v>44783</v>
      </c>
      <c r="BA47" s="331"/>
      <c r="BB47" s="386" t="s">
        <v>48</v>
      </c>
      <c r="BC47" s="391" t="str">
        <f t="shared" si="2"/>
        <v/>
      </c>
    </row>
    <row r="48" spans="1:55">
      <c r="A48" s="383">
        <v>20191495026</v>
      </c>
      <c r="B48" s="384" t="str">
        <f>VLOOKUP(A48,'ESTADOS ESTUDIANTES'!B:L,2,0)</f>
        <v>SUÁREZ GIRALDO JOSÉ DOMINGO</v>
      </c>
      <c r="C48" s="384">
        <f>VLOOKUP(A48,'ESTADOS ESTUDIANTES'!B:L,11,0)</f>
        <v>1018455214</v>
      </c>
      <c r="D48" s="384">
        <f>VLOOKUP(A48,'ESTADOS ESTUDIANTES'!B:L,3,0)</f>
        <v>495</v>
      </c>
      <c r="E48" s="384" t="str">
        <f>VLOOKUP(Tabla8[[#This Row],[ENFASIS]],Listas!$R$2:$S$8,2,0)</f>
        <v>ENFASIS EN ING. SOFT</v>
      </c>
      <c r="F48" s="384" t="str">
        <f>VLOOKUP(A48,'ESTADOS ESTUDIANTES'!B:L,8,0)</f>
        <v>jdsuarezg@correo.udistrital.edu.co</v>
      </c>
      <c r="G48" s="384" t="str">
        <f>VLOOKUP(A48,'ESTADOS ESTUDIANTES'!B:L,9,0)</f>
        <v>josed_5@hotmail.com</v>
      </c>
      <c r="H48" s="384" t="str">
        <f>VLOOKUP(A48,'ESTADOS ESTUDIANTES'!B:L,5,0)</f>
        <v>X</v>
      </c>
      <c r="I48" s="384" t="str">
        <f>VLOOKUP(Tabla8[[#This Row],[CODIGO]],'ESTADOS ESTUDIANTES'!B:M,12,0)</f>
        <v>2019-1</v>
      </c>
      <c r="J48" s="331"/>
      <c r="K48" s="331"/>
      <c r="L48" s="331"/>
      <c r="M48" s="331"/>
      <c r="N48" s="330"/>
      <c r="O48" s="331"/>
      <c r="P48" s="331"/>
      <c r="Q48" s="331"/>
      <c r="R48" s="385"/>
      <c r="S48" s="385" t="str">
        <f>IF(Tabla8[[#This Row],[FECHA DE ACEPTACION DEL GRUP. INV.]]="","",DATE(YEAR(Tabla8[[#This Row],[FECHA DE ACEPTACION DEL GRUP. INV.]])+2,MONTH(Tabla8[[#This Row],[FECHA DE ACEPTACION DEL GRUP. INV.]]),DAY(Tabla8[[#This Row],[FECHA DE ACEPTACION DEL GRUP. INV.]])))</f>
        <v/>
      </c>
      <c r="T48" s="385" t="str">
        <f ca="1">IF(Tabla8[[#This Row],[FECHA DE ACEPTACION DEL GRUP. INV.]]="","",IF(Tabla8[[#This Row],[FECHA DE VENCIMIENTO ANTE PROYECTO]]&lt;TODAY(),"SÍ","NO"))</f>
        <v/>
      </c>
      <c r="U48" s="385"/>
      <c r="V48" s="385"/>
      <c r="W48" s="385"/>
      <c r="X48" s="385"/>
      <c r="Y48" s="330"/>
      <c r="Z48" s="387"/>
      <c r="AA48" s="330"/>
      <c r="AB48" s="387"/>
      <c r="AC48" s="390"/>
      <c r="AD48" s="330"/>
      <c r="AE48" s="331"/>
      <c r="AF48" s="330"/>
      <c r="AG48" s="331"/>
      <c r="AH48" s="330"/>
      <c r="AI48" s="330"/>
      <c r="AJ48" s="383"/>
      <c r="AK48" s="383"/>
      <c r="AL48" s="331"/>
      <c r="AM48" s="331"/>
      <c r="AN48" s="330"/>
      <c r="AO48" s="330"/>
      <c r="AP48" s="383"/>
      <c r="AQ48" s="383"/>
      <c r="AR48" s="331"/>
      <c r="AS48" s="330"/>
      <c r="AT48" s="386" t="str">
        <f t="shared" si="3"/>
        <v/>
      </c>
      <c r="AU48" s="331"/>
      <c r="AV48" s="331"/>
      <c r="AW48" s="331"/>
      <c r="AX48" s="331"/>
      <c r="AY48" s="386" t="str">
        <f>IFERROR(VLOOKUP(AX48,Listas!K89:K96,2,0),"")</f>
        <v/>
      </c>
      <c r="AZ48" s="388"/>
      <c r="BA48" s="331"/>
      <c r="BB48" s="331"/>
      <c r="BC48" s="389" t="str">
        <f t="shared" si="2"/>
        <v/>
      </c>
    </row>
    <row r="49" spans="1:55" ht="63">
      <c r="A49" s="244">
        <v>20191495027</v>
      </c>
      <c r="B49" s="239" t="str">
        <f>VLOOKUP(A49,'ESTADOS ESTUDIANTES'!B:L,2,0)</f>
        <v>TAMAYO HERNÁNDEZ DONNA JOHANNA</v>
      </c>
      <c r="C49" s="239">
        <f>VLOOKUP(A49,'ESTADOS ESTUDIANTES'!B:L,11,0)</f>
        <v>24042335</v>
      </c>
      <c r="D49" s="239">
        <f>VLOOKUP(A49,'ESTADOS ESTUDIANTES'!B:L,3,0)</f>
        <v>495</v>
      </c>
      <c r="E49" s="239" t="str">
        <f>VLOOKUP(Tabla8[[#This Row],[ENFASIS]],Listas!$R$2:$S$8,2,0)</f>
        <v>ENFASIS EN ING. SOFT</v>
      </c>
      <c r="F49" s="239" t="str">
        <f>VLOOKUP(A49,'ESTADOS ESTUDIANTES'!B:L,8,0)</f>
        <v>djtamayoh@udistrital.edu.co</v>
      </c>
      <c r="G49" s="239" t="str">
        <f>VLOOKUP(A49,'ESTADOS ESTUDIANTES'!B:L,9,0)</f>
        <v>dojotama@gmail.com</v>
      </c>
      <c r="H49" s="239" t="str">
        <f>VLOOKUP(A49,'ESTADOS ESTUDIANTES'!B:L,5,0)</f>
        <v>E</v>
      </c>
      <c r="I49" s="239" t="str">
        <f>VLOOKUP(Tabla8[[#This Row],[CODIGO]],'ESTADOS ESTUDIANTES'!B:M,12,0)</f>
        <v>2024-1</v>
      </c>
      <c r="J49" s="240" t="s">
        <v>46</v>
      </c>
      <c r="K49" s="240" t="s">
        <v>806</v>
      </c>
      <c r="L49" s="240" t="s">
        <v>298</v>
      </c>
      <c r="M49" s="238"/>
      <c r="N49" s="241">
        <v>43629</v>
      </c>
      <c r="O49" s="239">
        <v>2019</v>
      </c>
      <c r="P49" s="240" t="s">
        <v>115</v>
      </c>
      <c r="Q49" s="240" t="s">
        <v>292</v>
      </c>
      <c r="R49" s="242">
        <v>44830</v>
      </c>
      <c r="S49" s="242">
        <f>IF(Tabla8[[#This Row],[FECHA DE ACEPTACION DEL GRUP. INV.]]="","",DATE(YEAR(Tabla8[[#This Row],[FECHA DE ACEPTACION DEL GRUP. INV.]])+2,MONTH(Tabla8[[#This Row],[FECHA DE ACEPTACION DEL GRUP. INV.]]),DAY(Tabla8[[#This Row],[FECHA DE ACEPTACION DEL GRUP. INV.]])))</f>
        <v>45561</v>
      </c>
      <c r="T49" s="242" t="str">
        <f ca="1">IF(Tabla8[[#This Row],[FECHA DE ACEPTACION DEL GRUP. INV.]]="","",IF(Tabla8[[#This Row],[FECHA DE VENCIMIENTO ANTE PROYECTO]]&lt;TODAY(),"SÍ","NO"))</f>
        <v>SÍ</v>
      </c>
      <c r="U49" s="242"/>
      <c r="V49" s="240"/>
      <c r="W49" s="240"/>
      <c r="X49" s="242"/>
      <c r="Y49" s="241">
        <v>44468</v>
      </c>
      <c r="Z49" s="243">
        <v>47.66</v>
      </c>
      <c r="AA49" s="241">
        <v>45252</v>
      </c>
      <c r="AB49" s="243">
        <v>116</v>
      </c>
      <c r="AC49" s="240" t="s">
        <v>79</v>
      </c>
      <c r="AD49" s="241"/>
      <c r="AE49" s="238" t="s">
        <v>807</v>
      </c>
      <c r="AF49" s="241">
        <v>45217</v>
      </c>
      <c r="AG49" s="238" t="s">
        <v>656</v>
      </c>
      <c r="AH49" s="241"/>
      <c r="AI49" s="241"/>
      <c r="AJ49" s="244">
        <v>47</v>
      </c>
      <c r="AK49" s="244">
        <v>47</v>
      </c>
      <c r="AL49" s="238" t="s">
        <v>41</v>
      </c>
      <c r="AM49" s="238" t="s">
        <v>222</v>
      </c>
      <c r="AN49" s="241"/>
      <c r="AO49" s="241">
        <v>45246</v>
      </c>
      <c r="AP49" s="244">
        <v>47</v>
      </c>
      <c r="AQ49" s="244">
        <v>47</v>
      </c>
      <c r="AR49" s="238" t="s">
        <v>41</v>
      </c>
      <c r="AS49" s="241">
        <v>45246</v>
      </c>
      <c r="AT49" s="240" t="s">
        <v>808</v>
      </c>
      <c r="AU49" s="238" t="s">
        <v>809</v>
      </c>
      <c r="AV49" s="238"/>
      <c r="AW49" s="238"/>
      <c r="AX49" s="238"/>
      <c r="AY49" s="240" t="str">
        <f>IFERROR(VLOOKUP(AX49,Listas!K90:K97,2,0),"")</f>
        <v/>
      </c>
      <c r="AZ49" s="381"/>
      <c r="BA49" s="238" t="s">
        <v>240</v>
      </c>
      <c r="BB49" s="238" t="s">
        <v>240</v>
      </c>
      <c r="BC49" s="245" t="str">
        <f t="shared" si="2"/>
        <v/>
      </c>
    </row>
    <row r="50" spans="1:55" s="264" customFormat="1" ht="63">
      <c r="A50" s="669">
        <v>20191495030</v>
      </c>
      <c r="B50" s="670" t="str">
        <f>VLOOKUP(A50,'ESTADOS ESTUDIANTES'!B:L,2,0)</f>
        <v>QUIROGA RUIZ JAVIER ALBERTO</v>
      </c>
      <c r="C50" s="670">
        <f>VLOOKUP(A50,'ESTADOS ESTUDIANTES'!B:L,11,0)</f>
        <v>79410997</v>
      </c>
      <c r="D50" s="670">
        <f>VLOOKUP(A50,'ESTADOS ESTUDIANTES'!B:L,3,0)</f>
        <v>495</v>
      </c>
      <c r="E50" s="670" t="str">
        <f>VLOOKUP(Tabla8[[#This Row],[ENFASIS]],Listas!$R$2:$S$8,2,0)</f>
        <v>ENFASIS EN ING. SOFT</v>
      </c>
      <c r="F50" s="670" t="str">
        <f>VLOOKUP(A50,'ESTADOS ESTUDIANTES'!B:L,8,0)</f>
        <v>jaaquirogar@udistrital.edu.co</v>
      </c>
      <c r="G50" s="670" t="str">
        <f>VLOOKUP(A50,'ESTADOS ESTUDIANTES'!B:L,9,0)</f>
        <v>ja_quiroga@hotmail.com</v>
      </c>
      <c r="H50" s="670" t="s">
        <v>37</v>
      </c>
      <c r="I50" s="670" t="str">
        <f>VLOOKUP(Tabla8[[#This Row],[CODIGO]],'ESTADOS ESTUDIANTES'!B:M,12,0)</f>
        <v>2025-1</v>
      </c>
      <c r="J50" s="665" t="s">
        <v>46</v>
      </c>
      <c r="K50" s="664" t="s">
        <v>810</v>
      </c>
      <c r="L50" s="665" t="s">
        <v>309</v>
      </c>
      <c r="M50" s="666" t="s">
        <v>402</v>
      </c>
      <c r="N50" s="667">
        <v>45369</v>
      </c>
      <c r="O50" s="664">
        <v>2024</v>
      </c>
      <c r="P50" s="664" t="s">
        <v>131</v>
      </c>
      <c r="Q50" s="664" t="s">
        <v>309</v>
      </c>
      <c r="R50" s="668">
        <v>45372</v>
      </c>
      <c r="S50" s="668">
        <f>IF(Tabla8[[#This Row],[FECHA DE ACEPTACION DEL GRUP. INV.]]="","",DATE(YEAR(Tabla8[[#This Row],[FECHA DE ACEPTACION DEL GRUP. INV.]])+2,MONTH(Tabla8[[#This Row],[FECHA DE ACEPTACION DEL GRUP. INV.]]),DAY(Tabla8[[#This Row],[FECHA DE ACEPTACION DEL GRUP. INV.]])))</f>
        <v>46102</v>
      </c>
      <c r="T50" s="676" t="str">
        <f ca="1">IF(Tabla8[[#This Row],[FECHA DE ACEPTACION DEL GRUP. INV.]]="","",IF(Tabla8[[#This Row],[FECHA DE VENCIMIENTO ANTE PROYECTO]]&lt;TODAY(),"SÍ","NO"))</f>
        <v>SÍ</v>
      </c>
      <c r="U50" s="699"/>
      <c r="V50" s="240" t="s">
        <v>811</v>
      </c>
      <c r="W50" s="240"/>
      <c r="X50" s="668" t="s">
        <v>424</v>
      </c>
      <c r="Y50" s="241"/>
      <c r="Z50" s="243"/>
      <c r="AA50" s="241">
        <v>45604</v>
      </c>
      <c r="AB50" s="243">
        <v>120</v>
      </c>
      <c r="AC50" s="238" t="s">
        <v>79</v>
      </c>
      <c r="AD50" s="241">
        <v>45434</v>
      </c>
      <c r="AE50" s="238" t="s">
        <v>812</v>
      </c>
      <c r="AF50" s="241">
        <v>45434</v>
      </c>
      <c r="AG50" s="238" t="s">
        <v>356</v>
      </c>
      <c r="AH50" s="241">
        <v>45537</v>
      </c>
      <c r="AI50" s="241">
        <v>45560</v>
      </c>
      <c r="AJ50" s="244">
        <v>40</v>
      </c>
      <c r="AK50" s="244">
        <v>40</v>
      </c>
      <c r="AL50" s="238" t="s">
        <v>41</v>
      </c>
      <c r="AM50" s="238" t="s">
        <v>422</v>
      </c>
      <c r="AN50" s="241">
        <v>45537</v>
      </c>
      <c r="AO50" s="241">
        <v>45560</v>
      </c>
      <c r="AP50" s="244">
        <v>37</v>
      </c>
      <c r="AQ50" s="244">
        <v>39</v>
      </c>
      <c r="AR50" s="238" t="s">
        <v>41</v>
      </c>
      <c r="AS50" s="241">
        <v>45560</v>
      </c>
      <c r="AT50" s="240">
        <f t="shared" ref="AT50:AT80" si="4">IFERROR(ROUND(AVERAGE(AQ50,AP50,AK50,AJ50),0),"")</f>
        <v>39</v>
      </c>
      <c r="AU50" s="238" t="s">
        <v>813</v>
      </c>
      <c r="AV50" s="238" t="s">
        <v>814</v>
      </c>
      <c r="AW50" s="238" t="s">
        <v>47</v>
      </c>
      <c r="AX50" s="238" t="s">
        <v>80</v>
      </c>
      <c r="AY50" s="240" t="s">
        <v>436</v>
      </c>
      <c r="AZ50" s="258">
        <v>45622</v>
      </c>
      <c r="BA50" s="238"/>
      <c r="BB50" s="238"/>
      <c r="BC50" s="245" t="str">
        <f t="shared" si="2"/>
        <v>Octavio Jose Salcedo Parra</v>
      </c>
    </row>
    <row r="51" spans="1:55" s="264" customFormat="1" ht="47.25">
      <c r="A51" s="669">
        <v>20191495031</v>
      </c>
      <c r="B51" s="670" t="str">
        <f>VLOOKUP(A51,'ESTADOS ESTUDIANTES'!B:L,2,0)</f>
        <v>ESPITIA PARDO DANIEL ENRIQUE</v>
      </c>
      <c r="C51" s="670">
        <f>VLOOKUP(A51,'ESTADOS ESTUDIANTES'!B:L,11,0)</f>
        <v>1024478452</v>
      </c>
      <c r="D51" s="670">
        <f>VLOOKUP(A51,'ESTADOS ESTUDIANTES'!B:L,3,0)</f>
        <v>495</v>
      </c>
      <c r="E51" s="670" t="str">
        <f>VLOOKUP(Tabla8[[#This Row],[ENFASIS]],Listas!$R$2:$S$8,2,0)</f>
        <v>ENFASIS EN ING. SOFT</v>
      </c>
      <c r="F51" s="670" t="str">
        <f>VLOOKUP(A51,'ESTADOS ESTUDIANTES'!B:L,8,0)</f>
        <v>deespitiap@udistrital.edu.co</v>
      </c>
      <c r="G51" s="670" t="str">
        <f>VLOOKUP(A51,'ESTADOS ESTUDIANTES'!B:L,9,0)</f>
        <v>danielespitia63@gmail.com</v>
      </c>
      <c r="H51" s="670" t="str">
        <f>VLOOKUP(A51,'ESTADOS ESTUDIANTES'!B:L,5,0)</f>
        <v>V</v>
      </c>
      <c r="I51" s="670" t="str">
        <f>VLOOKUP(Tabla8[[#This Row],[CODIGO]],'ESTADOS ESTUDIANTES'!B:M,12,0)</f>
        <v>2026-1</v>
      </c>
      <c r="J51" s="665" t="s">
        <v>46</v>
      </c>
      <c r="K51" s="664" t="s">
        <v>815</v>
      </c>
      <c r="L51" s="665" t="s">
        <v>816</v>
      </c>
      <c r="M51" s="666"/>
      <c r="N51" s="667">
        <v>45352</v>
      </c>
      <c r="O51" s="670">
        <v>2024</v>
      </c>
      <c r="P51" s="665" t="s">
        <v>164</v>
      </c>
      <c r="Q51" s="665" t="s">
        <v>816</v>
      </c>
      <c r="R51" s="668">
        <v>45352</v>
      </c>
      <c r="S51" s="668">
        <f>IF(Tabla8[[#This Row],[FECHA DE ACEPTACION DEL GRUP. INV.]]="","",DATE(YEAR(Tabla8[[#This Row],[FECHA DE ACEPTACION DEL GRUP. INV.]])+2,MONTH(Tabla8[[#This Row],[FECHA DE ACEPTACION DEL GRUP. INV.]]),DAY(Tabla8[[#This Row],[FECHA DE ACEPTACION DEL GRUP. INV.]])))</f>
        <v>46082</v>
      </c>
      <c r="T51" s="676" t="str">
        <f ca="1">IF(Tabla8[[#This Row],[FECHA DE ACEPTACION DEL GRUP. INV.]]="","",IF(Tabla8[[#This Row],[FECHA DE VENCIMIENTO ANTE PROYECTO]]&lt;TODAY(),"SÍ","NO"))</f>
        <v>SÍ</v>
      </c>
      <c r="U51" s="699" t="s">
        <v>817</v>
      </c>
      <c r="V51" s="240"/>
      <c r="W51" s="240"/>
      <c r="X51" s="668" t="s">
        <v>424</v>
      </c>
      <c r="Y51" s="241"/>
      <c r="Z51" s="243"/>
      <c r="AA51" s="241"/>
      <c r="AB51" s="243"/>
      <c r="AC51" s="238"/>
      <c r="AD51" s="241"/>
      <c r="AE51" s="238"/>
      <c r="AF51" s="241"/>
      <c r="AG51" s="238"/>
      <c r="AH51" s="241"/>
      <c r="AI51" s="241"/>
      <c r="AJ51" s="244"/>
      <c r="AK51" s="244"/>
      <c r="AL51" s="238"/>
      <c r="AM51" s="238"/>
      <c r="AN51" s="241"/>
      <c r="AO51" s="241"/>
      <c r="AP51" s="244"/>
      <c r="AQ51" s="244"/>
      <c r="AR51" s="238"/>
      <c r="AS51" s="241"/>
      <c r="AT51" s="240" t="str">
        <f t="shared" si="4"/>
        <v/>
      </c>
      <c r="AU51" s="238"/>
      <c r="AV51" s="238"/>
      <c r="AW51" s="238"/>
      <c r="AX51" s="238"/>
      <c r="AY51" s="240" t="str">
        <f>IFERROR(VLOOKUP(AX51,Listas!K93:K100,2,0),"")</f>
        <v/>
      </c>
      <c r="AZ51" s="381"/>
      <c r="BA51" s="238"/>
      <c r="BB51" s="238"/>
      <c r="BC51" s="245" t="str">
        <f t="shared" si="2"/>
        <v>Andres Escobar Diaz</v>
      </c>
    </row>
    <row r="52" spans="1:55" ht="47.25">
      <c r="A52" s="244">
        <v>20192195001</v>
      </c>
      <c r="B52" s="239" t="str">
        <f>VLOOKUP(A52,'ESTADOS ESTUDIANTES'!B:L,2,0)</f>
        <v>ARENILLA CEPEDA ANDRES FELIPE</v>
      </c>
      <c r="C52" s="239">
        <f>VLOOKUP(A52,'ESTADOS ESTUDIANTES'!B:L,11,0)</f>
        <v>1018469864</v>
      </c>
      <c r="D52" s="239">
        <f>VLOOKUP(A52,'ESTADOS ESTUDIANTES'!B:L,3,0)</f>
        <v>195</v>
      </c>
      <c r="E52" s="239" t="str">
        <f>VLOOKUP(Tabla8[[#This Row],[ENFASIS]],Listas!$R$2:$S$8,2,0)</f>
        <v>EN TELEINF.</v>
      </c>
      <c r="F52" s="239" t="str">
        <f>VLOOKUP(A52,'ESTADOS ESTUDIANTES'!B:L,8,0)</f>
        <v>afarenillac@udistrital.edu.co</v>
      </c>
      <c r="G52" s="239" t="str">
        <f>VLOOKUP(A52,'ESTADOS ESTUDIANTES'!B:L,9,0)</f>
        <v>andresare7@gmail.com</v>
      </c>
      <c r="H52" s="239" t="str">
        <f>VLOOKUP(A52,'ESTADOS ESTUDIANTES'!B:L,5,0)</f>
        <v>X</v>
      </c>
      <c r="I52" s="239" t="str">
        <f>VLOOKUP(Tabla8[[#This Row],[CODIGO]],'ESTADOS ESTUDIANTES'!B:M,12,0)</f>
        <v>2024-1</v>
      </c>
      <c r="J52" s="240" t="s">
        <v>46</v>
      </c>
      <c r="K52" s="240" t="s">
        <v>818</v>
      </c>
      <c r="L52" s="240" t="s">
        <v>292</v>
      </c>
      <c r="M52" s="238"/>
      <c r="N52" s="241">
        <v>44621</v>
      </c>
      <c r="O52" s="239">
        <v>2022</v>
      </c>
      <c r="P52" s="240" t="s">
        <v>115</v>
      </c>
      <c r="Q52" s="240" t="s">
        <v>292</v>
      </c>
      <c r="R52" s="242">
        <v>44553</v>
      </c>
      <c r="S52" s="242">
        <f>IF(Tabla8[[#This Row],[FECHA DE ACEPTACION DEL GRUP. INV.]]="","",DATE(YEAR(Tabla8[[#This Row],[FECHA DE ACEPTACION DEL GRUP. INV.]])+2,MONTH(Tabla8[[#This Row],[FECHA DE ACEPTACION DEL GRUP. INV.]]),DAY(Tabla8[[#This Row],[FECHA DE ACEPTACION DEL GRUP. INV.]])))</f>
        <v>45283</v>
      </c>
      <c r="T52" s="242" t="str">
        <f ca="1">IF(Tabla8[[#This Row],[FECHA DE ACEPTACION DEL GRUP. INV.]]="","",IF(Tabla8[[#This Row],[FECHA DE VENCIMIENTO ANTE PROYECTO]]&lt;TODAY(),"SÍ","NO"))</f>
        <v>SÍ</v>
      </c>
      <c r="U52" s="242"/>
      <c r="V52" s="240" t="s">
        <v>819</v>
      </c>
      <c r="W52" s="240"/>
      <c r="X52" s="242" t="s">
        <v>424</v>
      </c>
      <c r="Y52" s="241"/>
      <c r="Z52" s="243"/>
      <c r="AA52" s="241"/>
      <c r="AB52" s="243"/>
      <c r="AC52" s="238"/>
      <c r="AD52" s="241"/>
      <c r="AE52" s="238"/>
      <c r="AF52" s="241"/>
      <c r="AG52" s="238"/>
      <c r="AH52" s="241"/>
      <c r="AI52" s="241"/>
      <c r="AJ52" s="244"/>
      <c r="AK52" s="244"/>
      <c r="AL52" s="238"/>
      <c r="AM52" s="238"/>
      <c r="AN52" s="241"/>
      <c r="AO52" s="241"/>
      <c r="AP52" s="244"/>
      <c r="AQ52" s="244"/>
      <c r="AR52" s="238"/>
      <c r="AS52" s="241"/>
      <c r="AT52" s="240" t="str">
        <f t="shared" si="4"/>
        <v/>
      </c>
      <c r="AU52" s="238"/>
      <c r="AV52" s="238"/>
      <c r="AW52" s="238"/>
      <c r="AX52" s="238"/>
      <c r="AY52" s="240" t="str">
        <f>IFERROR(VLOOKUP(AX52,Listas!K94:K101,2,0),"")</f>
        <v/>
      </c>
      <c r="AZ52" s="381"/>
      <c r="BA52" s="238"/>
      <c r="BB52" s="238"/>
      <c r="BC52" s="422" t="str">
        <f t="shared" ref="BC52:BC82" si="5">IF(OR(H52="A",$H52="D",$H52="P",$H52="V"),L52,"")</f>
        <v/>
      </c>
    </row>
    <row r="53" spans="1:55" s="264" customFormat="1" ht="63">
      <c r="A53" s="244">
        <v>20192395002</v>
      </c>
      <c r="B53" s="239" t="str">
        <f>VLOOKUP(A53,'ESTADOS ESTUDIANTES'!B:L,2,0)</f>
        <v>GARCÍA GUZMÁN PEDRO PABLO</v>
      </c>
      <c r="C53" s="239">
        <f>VLOOKUP(A53,'ESTADOS ESTUDIANTES'!B:L,11,0)</f>
        <v>79365082</v>
      </c>
      <c r="D53" s="239">
        <f>VLOOKUP(A53,'ESTADOS ESTUDIANTES'!B:L,3,0)</f>
        <v>395</v>
      </c>
      <c r="E53" s="239" t="str">
        <f>VLOOKUP(Tabla8[[#This Row],[ENFASIS]],Listas!$R$2:$S$8,2,0)</f>
        <v>ENFASIS EN GEOMATICA</v>
      </c>
      <c r="F53" s="239" t="str">
        <f>VLOOKUP(A53,'ESTADOS ESTUDIANTES'!B:L,8,0)</f>
        <v>ggpedrop@udistrital.edu.co</v>
      </c>
      <c r="G53" s="239" t="str">
        <f>VLOOKUP(A53,'ESTADOS ESTUDIANTES'!B:L,9,0)</f>
        <v>pedropgarciag@gmail.com</v>
      </c>
      <c r="H53" s="239" t="str">
        <f>VLOOKUP(A53,'ESTADOS ESTUDIANTES'!B:L,5,0)</f>
        <v>E</v>
      </c>
      <c r="I53" s="239" t="str">
        <f>VLOOKUP(Tabla8[[#This Row],[CODIGO]],'ESTADOS ESTUDIANTES'!B:M,12,0)</f>
        <v>2025-3</v>
      </c>
      <c r="J53" s="240" t="s">
        <v>46</v>
      </c>
      <c r="K53" s="240" t="s">
        <v>820</v>
      </c>
      <c r="L53" s="240" t="s">
        <v>229</v>
      </c>
      <c r="M53" s="238"/>
      <c r="N53" s="241">
        <v>45492</v>
      </c>
      <c r="O53" s="239">
        <f>YEAR(Tabla8[[#This Row],[FECHA DE RADICACION ANTEPROYECTO]])</f>
        <v>2024</v>
      </c>
      <c r="P53" s="240" t="s">
        <v>146</v>
      </c>
      <c r="Q53" s="240" t="s">
        <v>344</v>
      </c>
      <c r="R53" s="242">
        <v>45548</v>
      </c>
      <c r="S53" s="242">
        <f>IF(Tabla8[[#This Row],[FECHA DE ACEPTACION DEL GRUP. INV.]]="","",DATE(YEAR(Tabla8[[#This Row],[FECHA DE ACEPTACION DEL GRUP. INV.]])+2,MONTH(Tabla8[[#This Row],[FECHA DE ACEPTACION DEL GRUP. INV.]]),DAY(Tabla8[[#This Row],[FECHA DE ACEPTACION DEL GRUP. INV.]])))</f>
        <v>46278</v>
      </c>
      <c r="T53" s="242" t="str">
        <f ca="1">IF(Tabla8[[#This Row],[FECHA DE ACEPTACION DEL GRUP. INV.]]="","",IF(Tabla8[[#This Row],[FECHA DE VENCIMIENTO ANTE PROYECTO]]&lt;TODAY(),"SÍ","NO"))</f>
        <v>NO</v>
      </c>
      <c r="U53" s="242"/>
      <c r="V53" s="240" t="s">
        <v>821</v>
      </c>
      <c r="W53" s="240"/>
      <c r="X53" s="242" t="s">
        <v>424</v>
      </c>
      <c r="Y53" s="241">
        <v>44097</v>
      </c>
      <c r="Z53" s="243">
        <v>63.55</v>
      </c>
      <c r="AA53" s="241">
        <v>45768</v>
      </c>
      <c r="AB53" s="243">
        <v>106</v>
      </c>
      <c r="AC53" s="240" t="s">
        <v>79</v>
      </c>
      <c r="AD53" s="241"/>
      <c r="AE53" s="459" t="s">
        <v>489</v>
      </c>
      <c r="AF53" s="241">
        <v>45791</v>
      </c>
      <c r="AG53" s="238" t="s">
        <v>452</v>
      </c>
      <c r="AH53" s="241"/>
      <c r="AI53" s="241">
        <v>45825</v>
      </c>
      <c r="AJ53" s="244">
        <v>39</v>
      </c>
      <c r="AK53" s="244">
        <v>41</v>
      </c>
      <c r="AL53" s="238" t="s">
        <v>41</v>
      </c>
      <c r="AM53" s="238" t="s">
        <v>503</v>
      </c>
      <c r="AN53" s="241"/>
      <c r="AO53" s="241">
        <v>45825</v>
      </c>
      <c r="AP53" s="244">
        <v>39</v>
      </c>
      <c r="AQ53" s="244">
        <v>41</v>
      </c>
      <c r="AR53" s="238" t="s">
        <v>41</v>
      </c>
      <c r="AS53" s="241">
        <v>45825</v>
      </c>
      <c r="AT53" s="240">
        <f t="shared" si="4"/>
        <v>40</v>
      </c>
      <c r="AU53" s="238" t="s">
        <v>822</v>
      </c>
      <c r="AV53" s="238" t="s">
        <v>823</v>
      </c>
      <c r="AW53" s="238" t="s">
        <v>61</v>
      </c>
      <c r="AX53" s="238" t="s">
        <v>94</v>
      </c>
      <c r="AY53" s="240" t="s">
        <v>824</v>
      </c>
      <c r="AZ53" s="258">
        <v>45875</v>
      </c>
      <c r="BA53" s="238"/>
      <c r="BB53" s="238"/>
      <c r="BC53" s="245" t="str">
        <f t="shared" si="5"/>
        <v/>
      </c>
    </row>
    <row r="54" spans="1:55">
      <c r="A54" s="383">
        <v>20192395003</v>
      </c>
      <c r="B54" s="384" t="str">
        <f>VLOOKUP(A54,'ESTADOS ESTUDIANTES'!B:L,2,0)</f>
        <v>SÁNCHEZ DÍAZ JUAN DAVID</v>
      </c>
      <c r="C54" s="384">
        <f>VLOOKUP(A54,'ESTADOS ESTUDIANTES'!B:L,11,0)</f>
        <v>1022360349</v>
      </c>
      <c r="D54" s="384">
        <f>VLOOKUP(A54,'ESTADOS ESTUDIANTES'!B:L,3,0)</f>
        <v>395</v>
      </c>
      <c r="E54" s="384" t="str">
        <f>VLOOKUP(Tabla8[[#This Row],[ENFASIS]],Listas!$R$2:$S$8,2,0)</f>
        <v>ENFASIS EN GEOMATICA</v>
      </c>
      <c r="F54" s="384" t="str">
        <f>VLOOKUP(A54,'ESTADOS ESTUDIANTES'!B:L,8,0)</f>
        <v>sdjuand@correo.udistrital.edu.co</v>
      </c>
      <c r="G54" s="384" t="str">
        <f>VLOOKUP(A54,'ESTADOS ESTUDIANTES'!B:L,9,0)</f>
        <v>juandads@hotmail.com</v>
      </c>
      <c r="H54" s="384" t="str">
        <f>VLOOKUP(A54,'ESTADOS ESTUDIANTES'!B:L,5,0)</f>
        <v>X</v>
      </c>
      <c r="I54" s="384" t="str">
        <f>VLOOKUP(Tabla8[[#This Row],[CODIGO]],'ESTADOS ESTUDIANTES'!B:M,12,0)</f>
        <v>2019-3</v>
      </c>
      <c r="J54" s="331"/>
      <c r="K54" s="446"/>
      <c r="L54" s="446"/>
      <c r="M54" s="446"/>
      <c r="N54" s="447"/>
      <c r="O54" s="446"/>
      <c r="P54" s="446"/>
      <c r="Q54" s="446"/>
      <c r="R54" s="448"/>
      <c r="S54" s="448" t="str">
        <f>IF(Tabla8[[#This Row],[FECHA DE ACEPTACION DEL GRUP. INV.]]="","",DATE(YEAR(Tabla8[[#This Row],[FECHA DE ACEPTACION DEL GRUP. INV.]])+2,MONTH(Tabla8[[#This Row],[FECHA DE ACEPTACION DEL GRUP. INV.]]),DAY(Tabla8[[#This Row],[FECHA DE ACEPTACION DEL GRUP. INV.]])))</f>
        <v/>
      </c>
      <c r="T54" s="448" t="str">
        <f ca="1">IF(Tabla8[[#This Row],[FECHA DE ACEPTACION DEL GRUP. INV.]]="","",IF(Tabla8[[#This Row],[FECHA DE VENCIMIENTO ANTE PROYECTO]]&lt;TODAY(),"SÍ","NO"))</f>
        <v/>
      </c>
      <c r="U54" s="448"/>
      <c r="V54" s="448"/>
      <c r="W54" s="448"/>
      <c r="X54" s="448"/>
      <c r="Y54" s="330"/>
      <c r="Z54" s="387"/>
      <c r="AA54" s="330"/>
      <c r="AB54" s="387"/>
      <c r="AC54" s="390"/>
      <c r="AD54" s="447"/>
      <c r="AE54" s="446"/>
      <c r="AF54" s="447"/>
      <c r="AG54" s="446"/>
      <c r="AH54" s="447"/>
      <c r="AI54" s="447"/>
      <c r="AJ54" s="383"/>
      <c r="AK54" s="383"/>
      <c r="AL54" s="446"/>
      <c r="AM54" s="446"/>
      <c r="AN54" s="447"/>
      <c r="AO54" s="447"/>
      <c r="AP54" s="383"/>
      <c r="AQ54" s="383"/>
      <c r="AR54" s="446"/>
      <c r="AS54" s="447"/>
      <c r="AT54" s="386" t="str">
        <f t="shared" si="4"/>
        <v/>
      </c>
      <c r="AU54" s="446"/>
      <c r="AV54" s="446"/>
      <c r="AW54" s="331"/>
      <c r="AX54" s="446"/>
      <c r="AY54" s="386" t="str">
        <f>IFERROR(VLOOKUP(AX54,Listas!K99:K106,2,0),"")</f>
        <v/>
      </c>
      <c r="AZ54" s="388"/>
      <c r="BA54" s="446"/>
      <c r="BB54" s="446"/>
      <c r="BC54" s="389" t="str">
        <f t="shared" si="5"/>
        <v/>
      </c>
    </row>
    <row r="55" spans="1:55">
      <c r="A55" s="383">
        <v>20192395004</v>
      </c>
      <c r="B55" s="384" t="str">
        <f>VLOOKUP(A55,'ESTADOS ESTUDIANTES'!B:L,2,0)</f>
        <v>ALONSO NIETO WILLIAM</v>
      </c>
      <c r="C55" s="384">
        <f>VLOOKUP(A55,'ESTADOS ESTUDIANTES'!B:L,11,0)</f>
        <v>79429610</v>
      </c>
      <c r="D55" s="384">
        <f>VLOOKUP(A55,'ESTADOS ESTUDIANTES'!B:L,3,0)</f>
        <v>395</v>
      </c>
      <c r="E55" s="384" t="str">
        <f>VLOOKUP(Tabla8[[#This Row],[ENFASIS]],Listas!$R$2:$S$8,2,0)</f>
        <v>ENFASIS EN GEOMATICA</v>
      </c>
      <c r="F55" s="384" t="str">
        <f>VLOOKUP(A55,'ESTADOS ESTUDIANTES'!B:L,8,0)</f>
        <v>anietow@correo.udistrital.edu.co</v>
      </c>
      <c r="G55" s="384" t="str">
        <f>VLOOKUP(A55,'ESTADOS ESTUDIANTES'!B:L,9,0)</f>
        <v>wi.alonso@gmail.com</v>
      </c>
      <c r="H55" s="384" t="str">
        <f>VLOOKUP(A55,'ESTADOS ESTUDIANTES'!B:L,5,0)</f>
        <v>X</v>
      </c>
      <c r="I55" s="384" t="str">
        <f>VLOOKUP(Tabla8[[#This Row],[CODIGO]],'ESTADOS ESTUDIANTES'!B:M,12,0)</f>
        <v>2019-3</v>
      </c>
      <c r="J55" s="331"/>
      <c r="K55" s="446"/>
      <c r="L55" s="446"/>
      <c r="M55" s="446"/>
      <c r="N55" s="447"/>
      <c r="O55" s="446"/>
      <c r="P55" s="446"/>
      <c r="Q55" s="446"/>
      <c r="R55" s="448"/>
      <c r="S55" s="448" t="str">
        <f>IF(Tabla8[[#This Row],[FECHA DE ACEPTACION DEL GRUP. INV.]]="","",DATE(YEAR(Tabla8[[#This Row],[FECHA DE ACEPTACION DEL GRUP. INV.]])+2,MONTH(Tabla8[[#This Row],[FECHA DE ACEPTACION DEL GRUP. INV.]]),DAY(Tabla8[[#This Row],[FECHA DE ACEPTACION DEL GRUP. INV.]])))</f>
        <v/>
      </c>
      <c r="T55" s="448" t="str">
        <f ca="1">IF(Tabla8[[#This Row],[FECHA DE ACEPTACION DEL GRUP. INV.]]="","",IF(Tabla8[[#This Row],[FECHA DE VENCIMIENTO ANTE PROYECTO]]&lt;TODAY(),"SÍ","NO"))</f>
        <v/>
      </c>
      <c r="U55" s="448"/>
      <c r="V55" s="448"/>
      <c r="W55" s="448"/>
      <c r="X55" s="448"/>
      <c r="Y55" s="330"/>
      <c r="Z55" s="387"/>
      <c r="AA55" s="330"/>
      <c r="AB55" s="387"/>
      <c r="AC55" s="390"/>
      <c r="AD55" s="447"/>
      <c r="AE55" s="446"/>
      <c r="AF55" s="447"/>
      <c r="AG55" s="446"/>
      <c r="AH55" s="447"/>
      <c r="AI55" s="447"/>
      <c r="AJ55" s="383"/>
      <c r="AK55" s="383"/>
      <c r="AL55" s="446"/>
      <c r="AM55" s="446"/>
      <c r="AN55" s="447"/>
      <c r="AO55" s="447"/>
      <c r="AP55" s="383"/>
      <c r="AQ55" s="383"/>
      <c r="AR55" s="446"/>
      <c r="AS55" s="447"/>
      <c r="AT55" s="386" t="str">
        <f t="shared" si="4"/>
        <v/>
      </c>
      <c r="AU55" s="446"/>
      <c r="AV55" s="446"/>
      <c r="AW55" s="331"/>
      <c r="AX55" s="446"/>
      <c r="AY55" s="386" t="str">
        <f>IFERROR(VLOOKUP(AX55,Listas!K100:K107,2,0),"")</f>
        <v/>
      </c>
      <c r="AZ55" s="388"/>
      <c r="BA55" s="446"/>
      <c r="BB55" s="446"/>
      <c r="BC55" s="391" t="str">
        <f t="shared" si="5"/>
        <v/>
      </c>
    </row>
    <row r="56" spans="1:55" s="264" customFormat="1" ht="63">
      <c r="A56" s="669">
        <v>20192395005</v>
      </c>
      <c r="B56" s="670" t="str">
        <f>VLOOKUP(A56,'ESTADOS ESTUDIANTES'!B:L,2,0)</f>
        <v>CAITA SOTAQUIRÁ NATALIA</v>
      </c>
      <c r="C56" s="670">
        <f>VLOOKUP(A56,'ESTADOS ESTUDIANTES'!B:L,11,0)</f>
        <v>1026273952</v>
      </c>
      <c r="D56" s="670">
        <f>VLOOKUP(A56,'ESTADOS ESTUDIANTES'!B:L,3,0)</f>
        <v>395</v>
      </c>
      <c r="E56" s="670" t="str">
        <f>VLOOKUP(Tabla8[[#This Row],[ENFASIS]],Listas!$R$2:$S$8,2,0)</f>
        <v>ENFASIS EN GEOMATICA</v>
      </c>
      <c r="F56" s="670" t="str">
        <f>VLOOKUP(A56,'ESTADOS ESTUDIANTES'!B:L,8,0)</f>
        <v>ncaitas@udistrital.edu.co</v>
      </c>
      <c r="G56" s="670" t="str">
        <f>VLOOKUP(A56,'ESTADOS ESTUDIANTES'!B:L,9,0)</f>
        <v>nati.caita@gmail.com</v>
      </c>
      <c r="H56" s="670" t="str">
        <f>VLOOKUP(A56,'ESTADOS ESTUDIANTES'!B:L,5,0)</f>
        <v>X</v>
      </c>
      <c r="I56" s="670" t="str">
        <f>VLOOKUP(Tabla8[[#This Row],[CODIGO]],'ESTADOS ESTUDIANTES'!B:M,12,0)</f>
        <v>2026-1</v>
      </c>
      <c r="J56" s="664" t="s">
        <v>46</v>
      </c>
      <c r="K56" s="664" t="s">
        <v>825</v>
      </c>
      <c r="L56" s="664" t="s">
        <v>826</v>
      </c>
      <c r="M56" s="666"/>
      <c r="N56" s="667">
        <v>45927</v>
      </c>
      <c r="O56" s="664">
        <v>2025</v>
      </c>
      <c r="P56" s="664" t="s">
        <v>146</v>
      </c>
      <c r="Q56" s="664" t="s">
        <v>344</v>
      </c>
      <c r="R56" s="668">
        <v>45937</v>
      </c>
      <c r="S56" s="668">
        <f>IF(Tabla8[[#This Row],[FECHA DE ACEPTACION DEL GRUP. INV.]]="","",DATE(YEAR(Tabla8[[#This Row],[FECHA DE ACEPTACION DEL GRUP. INV.]])+2,MONTH(Tabla8[[#This Row],[FECHA DE ACEPTACION DEL GRUP. INV.]]),DAY(Tabla8[[#This Row],[FECHA DE ACEPTACION DEL GRUP. INV.]])))</f>
        <v>46667</v>
      </c>
      <c r="T56" s="668" t="str">
        <f ca="1">IF(Tabla8[[#This Row],[FECHA DE ACEPTACION DEL GRUP. INV.]]="","",IF(Tabla8[[#This Row],[FECHA DE VENCIMIENTO ANTE PROYECTO]]&lt;TODAY(),"SÍ","NO"))</f>
        <v>NO</v>
      </c>
      <c r="U56" s="699" t="s">
        <v>827</v>
      </c>
      <c r="V56" s="240" t="s">
        <v>479</v>
      </c>
      <c r="W56" s="240"/>
      <c r="X56" s="668" t="s">
        <v>424</v>
      </c>
      <c r="Y56" s="241"/>
      <c r="Z56" s="243"/>
      <c r="AA56" s="241">
        <v>45323</v>
      </c>
      <c r="AB56" s="243">
        <v>99</v>
      </c>
      <c r="AC56" s="238" t="s">
        <v>79</v>
      </c>
      <c r="AD56" s="241"/>
      <c r="AE56" s="238"/>
      <c r="AF56" s="241"/>
      <c r="AG56" s="238"/>
      <c r="AH56" s="241"/>
      <c r="AI56" s="241"/>
      <c r="AJ56" s="244"/>
      <c r="AK56" s="244"/>
      <c r="AL56" s="238"/>
      <c r="AM56" s="238"/>
      <c r="AN56" s="241"/>
      <c r="AO56" s="241"/>
      <c r="AP56" s="244"/>
      <c r="AQ56" s="244"/>
      <c r="AR56" s="238"/>
      <c r="AS56" s="241"/>
      <c r="AT56" s="240" t="str">
        <f t="shared" si="4"/>
        <v/>
      </c>
      <c r="AU56" s="238"/>
      <c r="AV56" s="238"/>
      <c r="AW56" s="238"/>
      <c r="AX56" s="238"/>
      <c r="AY56" s="240" t="str">
        <f>IFERROR(VLOOKUP(AX56,Listas!K101:K108,2,0),"")</f>
        <v/>
      </c>
      <c r="AZ56" s="381"/>
      <c r="BA56" s="238"/>
      <c r="BB56" s="238"/>
      <c r="BC56" s="382" t="str">
        <f t="shared" si="5"/>
        <v/>
      </c>
    </row>
    <row r="57" spans="1:55">
      <c r="A57" s="383">
        <v>20192395006</v>
      </c>
      <c r="B57" s="384" t="str">
        <f>VLOOKUP(A57,'ESTADOS ESTUDIANTES'!B:L,2,0)</f>
        <v>CIFUENTES LÓPEZ DAVID LEONARDO</v>
      </c>
      <c r="C57" s="384">
        <f>VLOOKUP(A57,'ESTADOS ESTUDIANTES'!B:L,11,0)</f>
        <v>80068987</v>
      </c>
      <c r="D57" s="384">
        <f>VLOOKUP(A57,'ESTADOS ESTUDIANTES'!B:L,3,0)</f>
        <v>395</v>
      </c>
      <c r="E57" s="384" t="str">
        <f>VLOOKUP(Tabla8[[#This Row],[ENFASIS]],Listas!$R$2:$S$8,2,0)</f>
        <v>ENFASIS EN GEOMATICA</v>
      </c>
      <c r="F57" s="384" t="str">
        <f>VLOOKUP(A57,'ESTADOS ESTUDIANTES'!B:L,8,0)</f>
        <v>cldavidl@correo.udistrital.edu.co</v>
      </c>
      <c r="G57" s="384" t="str">
        <f>VLOOKUP(A57,'ESTADOS ESTUDIANTES'!B:L,9,0)</f>
        <v>dlcifuentesl@gmail.com</v>
      </c>
      <c r="H57" s="384" t="str">
        <f>VLOOKUP(A57,'ESTADOS ESTUDIANTES'!B:L,5,0)</f>
        <v>X</v>
      </c>
      <c r="I57" s="384" t="str">
        <f>VLOOKUP(Tabla8[[#This Row],[CODIGO]],'ESTADOS ESTUDIANTES'!B:M,12,0)</f>
        <v>2019-3</v>
      </c>
      <c r="J57" s="331"/>
      <c r="K57" s="331"/>
      <c r="L57" s="331"/>
      <c r="M57" s="331"/>
      <c r="N57" s="330"/>
      <c r="O57" s="331"/>
      <c r="P57" s="331"/>
      <c r="Q57" s="331"/>
      <c r="R57" s="385"/>
      <c r="S57" s="385" t="str">
        <f>IF(Tabla8[[#This Row],[FECHA DE ACEPTACION DEL GRUP. INV.]]="","",DATE(YEAR(Tabla8[[#This Row],[FECHA DE ACEPTACION DEL GRUP. INV.]])+2,MONTH(Tabla8[[#This Row],[FECHA DE ACEPTACION DEL GRUP. INV.]]),DAY(Tabla8[[#This Row],[FECHA DE ACEPTACION DEL GRUP. INV.]])))</f>
        <v/>
      </c>
      <c r="T57" s="385" t="str">
        <f ca="1">IF(Tabla8[[#This Row],[FECHA DE ACEPTACION DEL GRUP. INV.]]="","",IF(Tabla8[[#This Row],[FECHA DE VENCIMIENTO ANTE PROYECTO]]&lt;TODAY(),"SÍ","NO"))</f>
        <v/>
      </c>
      <c r="U57" s="385"/>
      <c r="V57" s="386"/>
      <c r="W57" s="386"/>
      <c r="X57" s="385"/>
      <c r="Y57" s="330"/>
      <c r="Z57" s="387"/>
      <c r="AA57" s="330"/>
      <c r="AB57" s="387"/>
      <c r="AC57" s="390"/>
      <c r="AD57" s="330"/>
      <c r="AE57" s="331"/>
      <c r="AF57" s="330"/>
      <c r="AG57" s="331"/>
      <c r="AH57" s="330"/>
      <c r="AI57" s="330"/>
      <c r="AJ57" s="383"/>
      <c r="AK57" s="383"/>
      <c r="AL57" s="331"/>
      <c r="AM57" s="331"/>
      <c r="AN57" s="330"/>
      <c r="AO57" s="330"/>
      <c r="AP57" s="383"/>
      <c r="AQ57" s="383"/>
      <c r="AR57" s="331"/>
      <c r="AS57" s="330"/>
      <c r="AT57" s="386" t="str">
        <f t="shared" si="4"/>
        <v/>
      </c>
      <c r="AU57" s="331"/>
      <c r="AV57" s="331"/>
      <c r="AW57" s="331"/>
      <c r="AX57" s="331"/>
      <c r="AY57" s="386" t="str">
        <f>IFERROR(VLOOKUP(AX57,Listas!K102:K109,2,0),"")</f>
        <v/>
      </c>
      <c r="AZ57" s="388"/>
      <c r="BA57" s="331"/>
      <c r="BB57" s="331"/>
      <c r="BC57" s="391" t="str">
        <f t="shared" si="5"/>
        <v/>
      </c>
    </row>
    <row r="58" spans="1:55">
      <c r="A58" s="383">
        <v>20192395009</v>
      </c>
      <c r="B58" s="384" t="str">
        <f>VLOOKUP(A58,'ESTADOS ESTUDIANTES'!B:L,2,0)</f>
        <v>BAUTISTA MANRIQUE LUIS FERNANDO</v>
      </c>
      <c r="C58" s="384">
        <f>VLOOKUP(A58,'ESTADOS ESTUDIANTES'!B:L,11,0)</f>
        <v>1032440255</v>
      </c>
      <c r="D58" s="384">
        <f>VLOOKUP(A58,'ESTADOS ESTUDIANTES'!B:L,3,0)</f>
        <v>395</v>
      </c>
      <c r="E58" s="384" t="str">
        <f>VLOOKUP(Tabla8[[#This Row],[ENFASIS]],Listas!$R$2:$S$8,2,0)</f>
        <v>ENFASIS EN GEOMATICA</v>
      </c>
      <c r="F58" s="384" t="str">
        <f>VLOOKUP(A58,'ESTADOS ESTUDIANTES'!B:L,8,0)</f>
        <v>bmluisf@correo.udistrital.edu.co</v>
      </c>
      <c r="G58" s="384" t="str">
        <f>VLOOKUP(A58,'ESTADOS ESTUDIANTES'!B:L,9,0)</f>
        <v>luferbaman@gmail.com</v>
      </c>
      <c r="H58" s="384" t="str">
        <f>VLOOKUP(A58,'ESTADOS ESTUDIANTES'!B:L,5,0)</f>
        <v>X</v>
      </c>
      <c r="I58" s="384" t="str">
        <f>VLOOKUP(Tabla8[[#This Row],[CODIGO]],'ESTADOS ESTUDIANTES'!B:M,12,0)</f>
        <v>2019-3</v>
      </c>
      <c r="J58" s="331"/>
      <c r="K58" s="446"/>
      <c r="L58" s="446"/>
      <c r="M58" s="446"/>
      <c r="N58" s="447"/>
      <c r="O58" s="446"/>
      <c r="P58" s="446"/>
      <c r="Q58" s="446"/>
      <c r="R58" s="448"/>
      <c r="S58" s="448" t="str">
        <f>IF(Tabla8[[#This Row],[FECHA DE ACEPTACION DEL GRUP. INV.]]="","",DATE(YEAR(Tabla8[[#This Row],[FECHA DE ACEPTACION DEL GRUP. INV.]])+2,MONTH(Tabla8[[#This Row],[FECHA DE ACEPTACION DEL GRUP. INV.]]),DAY(Tabla8[[#This Row],[FECHA DE ACEPTACION DEL GRUP. INV.]])))</f>
        <v/>
      </c>
      <c r="T58" s="448" t="str">
        <f ca="1">IF(Tabla8[[#This Row],[FECHA DE ACEPTACION DEL GRUP. INV.]]="","",IF(Tabla8[[#This Row],[FECHA DE VENCIMIENTO ANTE PROYECTO]]&lt;TODAY(),"SÍ","NO"))</f>
        <v/>
      </c>
      <c r="U58" s="448"/>
      <c r="V58" s="448"/>
      <c r="W58" s="448"/>
      <c r="X58" s="448"/>
      <c r="Y58" s="330"/>
      <c r="Z58" s="387"/>
      <c r="AA58" s="330"/>
      <c r="AB58" s="387"/>
      <c r="AC58" s="390"/>
      <c r="AD58" s="447"/>
      <c r="AE58" s="446"/>
      <c r="AF58" s="447"/>
      <c r="AG58" s="446"/>
      <c r="AH58" s="447"/>
      <c r="AI58" s="447"/>
      <c r="AJ58" s="383"/>
      <c r="AK58" s="383"/>
      <c r="AL58" s="446"/>
      <c r="AM58" s="446"/>
      <c r="AN58" s="447"/>
      <c r="AO58" s="447"/>
      <c r="AP58" s="383"/>
      <c r="AQ58" s="383"/>
      <c r="AR58" s="446"/>
      <c r="AS58" s="447"/>
      <c r="AT58" s="386" t="str">
        <f t="shared" si="4"/>
        <v/>
      </c>
      <c r="AU58" s="446"/>
      <c r="AV58" s="446"/>
      <c r="AW58" s="331"/>
      <c r="AX58" s="446"/>
      <c r="AY58" s="386" t="str">
        <f>IFERROR(VLOOKUP(AX58,Listas!K105:K112,2,0),"")</f>
        <v/>
      </c>
      <c r="AZ58" s="388"/>
      <c r="BA58" s="446"/>
      <c r="BB58" s="446"/>
      <c r="BC58" s="389" t="str">
        <f t="shared" si="5"/>
        <v/>
      </c>
    </row>
    <row r="59" spans="1:55">
      <c r="A59" s="383">
        <v>20192395013</v>
      </c>
      <c r="B59" s="384" t="str">
        <f>VLOOKUP(A59,'ESTADOS ESTUDIANTES'!B:L,2,0)</f>
        <v>MOLINA HERRERA DIVA ESMERALDA</v>
      </c>
      <c r="C59" s="384">
        <f>VLOOKUP(A59,'ESTADOS ESTUDIANTES'!B:L,11,0)</f>
        <v>53120904</v>
      </c>
      <c r="D59" s="384">
        <f>VLOOKUP(A59,'ESTADOS ESTUDIANTES'!B:L,3,0)</f>
        <v>395</v>
      </c>
      <c r="E59" s="384" t="str">
        <f>VLOOKUP(Tabla8[[#This Row],[ENFASIS]],Listas!$R$2:$S$8,2,0)</f>
        <v>ENFASIS EN GEOMATICA</v>
      </c>
      <c r="F59" s="384" t="str">
        <f>VLOOKUP(A59,'ESTADOS ESTUDIANTES'!B:L,8,0)</f>
        <v>mhdivae@correo.udistrital.edu.co</v>
      </c>
      <c r="G59" s="384" t="str">
        <f>VLOOKUP(A59,'ESTADOS ESTUDIANTES'!B:L,9,0)</f>
        <v>molina.esmeralda@gmail.com</v>
      </c>
      <c r="H59" s="384" t="str">
        <f>VLOOKUP(A59,'ESTADOS ESTUDIANTES'!B:L,5,0)</f>
        <v>X</v>
      </c>
      <c r="I59" s="384" t="str">
        <f>VLOOKUP(Tabla8[[#This Row],[CODIGO]],'ESTADOS ESTUDIANTES'!B:M,12,0)</f>
        <v>2019-3</v>
      </c>
      <c r="J59" s="331"/>
      <c r="K59" s="331"/>
      <c r="L59" s="331"/>
      <c r="M59" s="331"/>
      <c r="N59" s="330"/>
      <c r="O59" s="331"/>
      <c r="P59" s="331"/>
      <c r="Q59" s="331"/>
      <c r="R59" s="385"/>
      <c r="S59" s="385" t="str">
        <f>IF(Tabla8[[#This Row],[FECHA DE ACEPTACION DEL GRUP. INV.]]="","",DATE(YEAR(Tabla8[[#This Row],[FECHA DE ACEPTACION DEL GRUP. INV.]])+2,MONTH(Tabla8[[#This Row],[FECHA DE ACEPTACION DEL GRUP. INV.]]),DAY(Tabla8[[#This Row],[FECHA DE ACEPTACION DEL GRUP. INV.]])))</f>
        <v/>
      </c>
      <c r="T59" s="385" t="str">
        <f ca="1">IF(Tabla8[[#This Row],[FECHA DE ACEPTACION DEL GRUP. INV.]]="","",IF(Tabla8[[#This Row],[FECHA DE VENCIMIENTO ANTE PROYECTO]]&lt;TODAY(),"SÍ","NO"))</f>
        <v/>
      </c>
      <c r="U59" s="385"/>
      <c r="V59" s="386"/>
      <c r="W59" s="386"/>
      <c r="X59" s="385"/>
      <c r="Y59" s="330"/>
      <c r="Z59" s="387"/>
      <c r="AA59" s="330"/>
      <c r="AB59" s="387"/>
      <c r="AC59" s="390"/>
      <c r="AD59" s="330"/>
      <c r="AE59" s="331"/>
      <c r="AF59" s="330"/>
      <c r="AG59" s="331"/>
      <c r="AH59" s="330"/>
      <c r="AI59" s="330"/>
      <c r="AJ59" s="383"/>
      <c r="AK59" s="383"/>
      <c r="AL59" s="331"/>
      <c r="AM59" s="331"/>
      <c r="AN59" s="330"/>
      <c r="AO59" s="330"/>
      <c r="AP59" s="383"/>
      <c r="AQ59" s="383"/>
      <c r="AR59" s="331"/>
      <c r="AS59" s="330"/>
      <c r="AT59" s="386" t="str">
        <f t="shared" si="4"/>
        <v/>
      </c>
      <c r="AU59" s="331"/>
      <c r="AV59" s="331"/>
      <c r="AW59" s="331"/>
      <c r="AX59" s="331"/>
      <c r="AY59" s="386" t="str">
        <f>IFERROR(VLOOKUP(AX59,Listas!K109:K116,2,0),"")</f>
        <v/>
      </c>
      <c r="AZ59" s="388"/>
      <c r="BA59" s="331"/>
      <c r="BB59" s="331"/>
      <c r="BC59" s="391" t="str">
        <f t="shared" si="5"/>
        <v/>
      </c>
    </row>
    <row r="60" spans="1:55">
      <c r="A60" s="383">
        <v>20192495008</v>
      </c>
      <c r="B60" s="384" t="str">
        <f>VLOOKUP(A60,'ESTADOS ESTUDIANTES'!B:L,2,0)</f>
        <v>CRUZ CONTRERAS LUIS ARMANDO</v>
      </c>
      <c r="C60" s="384">
        <f>VLOOKUP(A60,'ESTADOS ESTUDIANTES'!B:L,11,0)</f>
        <v>1032449331</v>
      </c>
      <c r="D60" s="384">
        <f>VLOOKUP(A60,'ESTADOS ESTUDIANTES'!B:L,3,0)</f>
        <v>495</v>
      </c>
      <c r="E60" s="384" t="str">
        <f>VLOOKUP(Tabla8[[#This Row],[ENFASIS]],Listas!$R$2:$S$8,2,0)</f>
        <v>ENFASIS EN ING. SOFT</v>
      </c>
      <c r="F60" s="384" t="str">
        <f>VLOOKUP(A60,'ESTADOS ESTUDIANTES'!B:L,8,0)</f>
        <v>ccluisa@correo.udistrital.edu.co</v>
      </c>
      <c r="G60" s="384" t="str">
        <f>VLOOKUP(A60,'ESTADOS ESTUDIANTES'!B:L,9,0)</f>
        <v>cruzco2009@hotmail.com</v>
      </c>
      <c r="H60" s="384" t="str">
        <f>VLOOKUP(A60,'ESTADOS ESTUDIANTES'!B:L,5,0)</f>
        <v>X</v>
      </c>
      <c r="I60" s="384" t="str">
        <f>VLOOKUP(Tabla8[[#This Row],[CODIGO]],'ESTADOS ESTUDIANTES'!B:M,12,0)</f>
        <v>2019-3</v>
      </c>
      <c r="J60" s="331"/>
      <c r="K60" s="446"/>
      <c r="L60" s="446"/>
      <c r="M60" s="446"/>
      <c r="N60" s="447"/>
      <c r="O60" s="446"/>
      <c r="P60" s="446"/>
      <c r="Q60" s="446"/>
      <c r="R60" s="448"/>
      <c r="S60" s="448" t="str">
        <f>IF(Tabla8[[#This Row],[FECHA DE ACEPTACION DEL GRUP. INV.]]="","",DATE(YEAR(Tabla8[[#This Row],[FECHA DE ACEPTACION DEL GRUP. INV.]])+2,MONTH(Tabla8[[#This Row],[FECHA DE ACEPTACION DEL GRUP. INV.]]),DAY(Tabla8[[#This Row],[FECHA DE ACEPTACION DEL GRUP. INV.]])))</f>
        <v/>
      </c>
      <c r="T60" s="448" t="str">
        <f ca="1">IF(Tabla8[[#This Row],[FECHA DE ACEPTACION DEL GRUP. INV.]]="","",IF(Tabla8[[#This Row],[FECHA DE VENCIMIENTO ANTE PROYECTO]]&lt;TODAY(),"SÍ","NO"))</f>
        <v/>
      </c>
      <c r="U60" s="448"/>
      <c r="V60" s="448"/>
      <c r="W60" s="448"/>
      <c r="X60" s="448"/>
      <c r="Y60" s="330"/>
      <c r="Z60" s="387"/>
      <c r="AA60" s="330"/>
      <c r="AB60" s="387"/>
      <c r="AC60" s="390"/>
      <c r="AD60" s="447"/>
      <c r="AE60" s="446"/>
      <c r="AF60" s="447"/>
      <c r="AG60" s="446"/>
      <c r="AH60" s="447"/>
      <c r="AI60" s="447"/>
      <c r="AJ60" s="383"/>
      <c r="AK60" s="383"/>
      <c r="AL60" s="446"/>
      <c r="AM60" s="446"/>
      <c r="AN60" s="447"/>
      <c r="AO60" s="447"/>
      <c r="AP60" s="383"/>
      <c r="AQ60" s="383"/>
      <c r="AR60" s="446"/>
      <c r="AS60" s="447"/>
      <c r="AT60" s="386" t="str">
        <f t="shared" si="4"/>
        <v/>
      </c>
      <c r="AU60" s="446"/>
      <c r="AV60" s="446"/>
      <c r="AW60" s="331"/>
      <c r="AX60" s="446"/>
      <c r="AY60" s="386" t="str">
        <f>IFERROR(VLOOKUP(AX60,Listas!K118:K125,2,0),"")</f>
        <v/>
      </c>
      <c r="AZ60" s="388"/>
      <c r="BA60" s="446"/>
      <c r="BB60" s="446"/>
      <c r="BC60" s="389" t="str">
        <f t="shared" si="5"/>
        <v/>
      </c>
    </row>
    <row r="61" spans="1:55">
      <c r="A61" s="383">
        <v>20192495010</v>
      </c>
      <c r="B61" s="384" t="str">
        <f>VLOOKUP(A61,'ESTADOS ESTUDIANTES'!B:L,2,0)</f>
        <v>SIERRA FORERO STEVEN</v>
      </c>
      <c r="C61" s="384">
        <f>VLOOKUP(A61,'ESTADOS ESTUDIANTES'!B:L,11,0)</f>
        <v>1016011460</v>
      </c>
      <c r="D61" s="384">
        <f>VLOOKUP(A61,'ESTADOS ESTUDIANTES'!B:L,3,0)</f>
        <v>495</v>
      </c>
      <c r="E61" s="384" t="str">
        <f>VLOOKUP(Tabla8[[#This Row],[ENFASIS]],Listas!$R$2:$S$8,2,0)</f>
        <v>ENFASIS EN ING. SOFT</v>
      </c>
      <c r="F61" s="384" t="str">
        <f>VLOOKUP(A61,'ESTADOS ESTUDIANTES'!B:L,8,0)</f>
        <v>sforeros@correo.udistrital.edu.co</v>
      </c>
      <c r="G61" s="384" t="str">
        <f>VLOOKUP(A61,'ESTADOS ESTUDIANTES'!B:L,9,0)</f>
        <v>ingenieria.sierra@gmail.com</v>
      </c>
      <c r="H61" s="384" t="str">
        <f>VLOOKUP(A61,'ESTADOS ESTUDIANTES'!B:L,5,0)</f>
        <v>X</v>
      </c>
      <c r="I61" s="384" t="str">
        <f>VLOOKUP(Tabla8[[#This Row],[CODIGO]],'ESTADOS ESTUDIANTES'!B:M,12,0)</f>
        <v>2019-3</v>
      </c>
      <c r="J61" s="331"/>
      <c r="K61" s="446"/>
      <c r="L61" s="446"/>
      <c r="M61" s="446"/>
      <c r="N61" s="447"/>
      <c r="O61" s="446"/>
      <c r="P61" s="446"/>
      <c r="Q61" s="446"/>
      <c r="R61" s="448"/>
      <c r="S61" s="448" t="str">
        <f>IF(Tabla8[[#This Row],[FECHA DE ACEPTACION DEL GRUP. INV.]]="","",DATE(YEAR(Tabla8[[#This Row],[FECHA DE ACEPTACION DEL GRUP. INV.]])+2,MONTH(Tabla8[[#This Row],[FECHA DE ACEPTACION DEL GRUP. INV.]]),DAY(Tabla8[[#This Row],[FECHA DE ACEPTACION DEL GRUP. INV.]])))</f>
        <v/>
      </c>
      <c r="T61" s="448" t="str">
        <f ca="1">IF(Tabla8[[#This Row],[FECHA DE ACEPTACION DEL GRUP. INV.]]="","",IF(Tabla8[[#This Row],[FECHA DE VENCIMIENTO ANTE PROYECTO]]&lt;TODAY(),"SÍ","NO"))</f>
        <v/>
      </c>
      <c r="U61" s="448"/>
      <c r="V61" s="448"/>
      <c r="W61" s="448"/>
      <c r="X61" s="448"/>
      <c r="Y61" s="330"/>
      <c r="Z61" s="387"/>
      <c r="AA61" s="330"/>
      <c r="AB61" s="387"/>
      <c r="AC61" s="390"/>
      <c r="AD61" s="447"/>
      <c r="AE61" s="446"/>
      <c r="AF61" s="447"/>
      <c r="AG61" s="446"/>
      <c r="AH61" s="447"/>
      <c r="AI61" s="447"/>
      <c r="AJ61" s="383"/>
      <c r="AK61" s="383"/>
      <c r="AL61" s="446"/>
      <c r="AM61" s="446"/>
      <c r="AN61" s="447"/>
      <c r="AO61" s="447"/>
      <c r="AP61" s="383"/>
      <c r="AQ61" s="383"/>
      <c r="AR61" s="446"/>
      <c r="AS61" s="447"/>
      <c r="AT61" s="386" t="str">
        <f t="shared" si="4"/>
        <v/>
      </c>
      <c r="AU61" s="446"/>
      <c r="AV61" s="446"/>
      <c r="AW61" s="331"/>
      <c r="AX61" s="446"/>
      <c r="AY61" s="386" t="str">
        <f>IFERROR(VLOOKUP(AX61,Listas!K120:K127,2,0),"")</f>
        <v/>
      </c>
      <c r="AZ61" s="388"/>
      <c r="BA61" s="446"/>
      <c r="BB61" s="446"/>
      <c r="BC61" s="391" t="str">
        <f t="shared" si="5"/>
        <v/>
      </c>
    </row>
    <row r="62" spans="1:55" ht="31.5">
      <c r="A62" s="383">
        <v>20201195001</v>
      </c>
      <c r="B62" s="384" t="str">
        <f>VLOOKUP(A62,'ESTADOS ESTUDIANTES'!B:L,2,0)</f>
        <v>CASANOVA VARGAS ÁLVARO ANDRÉS</v>
      </c>
      <c r="C62" s="384">
        <f>VLOOKUP(A62,'ESTADOS ESTUDIANTES'!B:L,11,0)</f>
        <v>1010210647</v>
      </c>
      <c r="D62" s="384">
        <f>VLOOKUP(A62,'ESTADOS ESTUDIANTES'!B:L,3,0)</f>
        <v>195</v>
      </c>
      <c r="E62" s="384" t="str">
        <f>VLOOKUP(Tabla8[[#This Row],[ENFASIS]],Listas!$R$2:$S$8,2,0)</f>
        <v>EN TELEINF.</v>
      </c>
      <c r="F62" s="384" t="str">
        <f>VLOOKUP(A62,'ESTADOS ESTUDIANTES'!B:L,8,0)</f>
        <v>aacasanovav@correo.udistrital.edu.co</v>
      </c>
      <c r="G62" s="384" t="str">
        <f>VLOOKUP(A62,'ESTADOS ESTUDIANTES'!B:L,9,0)</f>
        <v>andresscasanova@hotmail.com</v>
      </c>
      <c r="H62" s="384" t="str">
        <f>VLOOKUP(A62,'ESTADOS ESTUDIANTES'!B:L,5,0)</f>
        <v>X</v>
      </c>
      <c r="I62" s="384" t="str">
        <f>VLOOKUP(Tabla8[[#This Row],[CODIGO]],'ESTADOS ESTUDIANTES'!B:M,12,0)</f>
        <v>2020-1</v>
      </c>
      <c r="J62" s="331"/>
      <c r="K62" s="446"/>
      <c r="L62" s="446"/>
      <c r="M62" s="446"/>
      <c r="N62" s="447"/>
      <c r="O62" s="446"/>
      <c r="P62" s="446"/>
      <c r="Q62" s="446"/>
      <c r="R62" s="448"/>
      <c r="S62" s="448" t="str">
        <f>IF(Tabla8[[#This Row],[FECHA DE ACEPTACION DEL GRUP. INV.]]="","",DATE(YEAR(Tabla8[[#This Row],[FECHA DE ACEPTACION DEL GRUP. INV.]])+2,MONTH(Tabla8[[#This Row],[FECHA DE ACEPTACION DEL GRUP. INV.]]),DAY(Tabla8[[#This Row],[FECHA DE ACEPTACION DEL GRUP. INV.]])))</f>
        <v/>
      </c>
      <c r="T62" s="448" t="str">
        <f ca="1">IF(Tabla8[[#This Row],[FECHA DE ACEPTACION DEL GRUP. INV.]]="","",IF(Tabla8[[#This Row],[FECHA DE VENCIMIENTO ANTE PROYECTO]]&lt;TODAY(),"SÍ","NO"))</f>
        <v/>
      </c>
      <c r="U62" s="448"/>
      <c r="V62" s="448"/>
      <c r="W62" s="448"/>
      <c r="X62" s="448"/>
      <c r="Y62" s="330"/>
      <c r="Z62" s="387"/>
      <c r="AA62" s="330"/>
      <c r="AB62" s="387"/>
      <c r="AC62" s="390"/>
      <c r="AD62" s="447"/>
      <c r="AE62" s="446"/>
      <c r="AF62" s="447"/>
      <c r="AG62" s="446"/>
      <c r="AH62" s="447"/>
      <c r="AI62" s="447"/>
      <c r="AJ62" s="383"/>
      <c r="AK62" s="383"/>
      <c r="AL62" s="446"/>
      <c r="AM62" s="446"/>
      <c r="AN62" s="447"/>
      <c r="AO62" s="447"/>
      <c r="AP62" s="383"/>
      <c r="AQ62" s="383"/>
      <c r="AR62" s="446"/>
      <c r="AS62" s="447"/>
      <c r="AT62" s="386" t="str">
        <f t="shared" si="4"/>
        <v/>
      </c>
      <c r="AU62" s="446"/>
      <c r="AV62" s="446"/>
      <c r="AW62" s="331"/>
      <c r="AX62" s="446"/>
      <c r="AY62" s="386" t="str">
        <f>IFERROR(VLOOKUP(AX62,Listas!K124:K131,2,0),"")</f>
        <v/>
      </c>
      <c r="AZ62" s="388"/>
      <c r="BA62" s="446"/>
      <c r="BB62" s="446"/>
      <c r="BC62" s="389" t="str">
        <f t="shared" si="5"/>
        <v/>
      </c>
    </row>
    <row r="63" spans="1:55" ht="47.25">
      <c r="A63" s="383">
        <v>20201195003</v>
      </c>
      <c r="B63" s="384" t="str">
        <f>VLOOKUP(A63,'ESTADOS ESTUDIANTES'!B:L,2,0)</f>
        <v>GUAQUETA RESTREPO JORGE MARIO</v>
      </c>
      <c r="C63" s="384">
        <f>VLOOKUP(A63,'ESTADOS ESTUDIANTES'!B:L,11,0)</f>
        <v>1032459576</v>
      </c>
      <c r="D63" s="384">
        <f>VLOOKUP(A63,'ESTADOS ESTUDIANTES'!B:L,3,0)</f>
        <v>195</v>
      </c>
      <c r="E63" s="384" t="str">
        <f>VLOOKUP(Tabla8[[#This Row],[ENFASIS]],Listas!$R$2:$S$8,2,0)</f>
        <v>EN TELEINF.</v>
      </c>
      <c r="F63" s="384">
        <f>VLOOKUP(A63,'ESTADOS ESTUDIANTES'!B:L,8,0)</f>
        <v>0</v>
      </c>
      <c r="G63" s="384" t="str">
        <f>VLOOKUP(A63,'ESTADOS ESTUDIANTES'!B:L,9,0)</f>
        <v>m_a15@hotmail.es</v>
      </c>
      <c r="H63" s="384" t="str">
        <f>VLOOKUP(A63,'ESTADOS ESTUDIANTES'!B:L,5,0)</f>
        <v>X</v>
      </c>
      <c r="I63" s="384" t="str">
        <f>VLOOKUP(Tabla8[[#This Row],[CODIGO]],'ESTADOS ESTUDIANTES'!B:M,12,0)</f>
        <v>2020-3</v>
      </c>
      <c r="J63" s="386" t="s">
        <v>46</v>
      </c>
      <c r="K63" s="386" t="s">
        <v>828</v>
      </c>
      <c r="L63" s="386" t="s">
        <v>271</v>
      </c>
      <c r="M63" s="331"/>
      <c r="N63" s="330">
        <v>44012</v>
      </c>
      <c r="O63" s="384">
        <v>2020</v>
      </c>
      <c r="P63" s="386" t="s">
        <v>106</v>
      </c>
      <c r="Q63" s="386" t="s">
        <v>225</v>
      </c>
      <c r="R63" s="385"/>
      <c r="S63" s="385" t="str">
        <f>IF(Tabla8[[#This Row],[FECHA DE ACEPTACION DEL GRUP. INV.]]="","",DATE(YEAR(Tabla8[[#This Row],[FECHA DE ACEPTACION DEL GRUP. INV.]])+2,MONTH(Tabla8[[#This Row],[FECHA DE ACEPTACION DEL GRUP. INV.]]),DAY(Tabla8[[#This Row],[FECHA DE ACEPTACION DEL GRUP. INV.]])))</f>
        <v/>
      </c>
      <c r="T63" s="385" t="str">
        <f ca="1">IF(Tabla8[[#This Row],[FECHA DE ACEPTACION DEL GRUP. INV.]]="","",IF(Tabla8[[#This Row],[FECHA DE VENCIMIENTO ANTE PROYECTO]]&lt;TODAY(),"SÍ","NO"))</f>
        <v/>
      </c>
      <c r="U63" s="385"/>
      <c r="V63" s="386"/>
      <c r="W63" s="386"/>
      <c r="X63" s="385"/>
      <c r="Y63" s="330"/>
      <c r="Z63" s="387"/>
      <c r="AA63" s="330"/>
      <c r="AB63" s="387"/>
      <c r="AC63" s="390"/>
      <c r="AD63" s="330"/>
      <c r="AE63" s="331"/>
      <c r="AF63" s="330"/>
      <c r="AG63" s="331"/>
      <c r="AH63" s="330"/>
      <c r="AI63" s="330"/>
      <c r="AJ63" s="383"/>
      <c r="AK63" s="383"/>
      <c r="AL63" s="331"/>
      <c r="AM63" s="331"/>
      <c r="AN63" s="330"/>
      <c r="AO63" s="330"/>
      <c r="AP63" s="383"/>
      <c r="AQ63" s="383"/>
      <c r="AR63" s="331"/>
      <c r="AS63" s="330"/>
      <c r="AT63" s="386" t="str">
        <f t="shared" si="4"/>
        <v/>
      </c>
      <c r="AU63" s="331"/>
      <c r="AV63" s="331"/>
      <c r="AW63" s="331"/>
      <c r="AX63" s="331"/>
      <c r="AY63" s="386" t="str">
        <f>IFERROR(VLOOKUP(AX63,Listas!K126:K133,2,0),"")</f>
        <v/>
      </c>
      <c r="AZ63" s="388"/>
      <c r="BA63" s="331"/>
      <c r="BB63" s="331"/>
      <c r="BC63" s="389" t="str">
        <f t="shared" si="5"/>
        <v/>
      </c>
    </row>
    <row r="64" spans="1:55">
      <c r="A64" s="383">
        <v>20201195004</v>
      </c>
      <c r="B64" s="384" t="str">
        <f>VLOOKUP(A64,'ESTADOS ESTUDIANTES'!B:L,2,0)</f>
        <v>HERRERA ARDILA VIVIAN BRIGITTE</v>
      </c>
      <c r="C64" s="384">
        <f>VLOOKUP(A64,'ESTADOS ESTUDIANTES'!B:L,11,0)</f>
        <v>1014204528</v>
      </c>
      <c r="D64" s="384">
        <f>VLOOKUP(A64,'ESTADOS ESTUDIANTES'!B:L,3,0)</f>
        <v>195</v>
      </c>
      <c r="E64" s="384" t="str">
        <f>VLOOKUP(Tabla8[[#This Row],[ENFASIS]],Listas!$R$2:$S$8,2,0)</f>
        <v>EN TELEINF.</v>
      </c>
      <c r="F64" s="384" t="str">
        <f>VLOOKUP(A64,'ESTADOS ESTUDIANTES'!B:L,8,0)</f>
        <v>vherreraa@udistrital.edu.co</v>
      </c>
      <c r="G64" s="384" t="str">
        <f>VLOOKUP(A64,'ESTADOS ESTUDIANTES'!B:L,9,0)</f>
        <v>vherreraa@correo.udistrital.edu.co</v>
      </c>
      <c r="H64" s="384" t="str">
        <f>VLOOKUP(A64,'ESTADOS ESTUDIANTES'!B:L,5,0)</f>
        <v>X</v>
      </c>
      <c r="I64" s="384" t="str">
        <f>VLOOKUP(Tabla8[[#This Row],[CODIGO]],'ESTADOS ESTUDIANTES'!B:M,12,0)</f>
        <v>2021-1</v>
      </c>
      <c r="J64" s="331"/>
      <c r="K64" s="331"/>
      <c r="L64" s="331"/>
      <c r="M64" s="331"/>
      <c r="N64" s="330"/>
      <c r="O64" s="331"/>
      <c r="P64" s="331"/>
      <c r="Q64" s="331"/>
      <c r="R64" s="385"/>
      <c r="S64" s="385" t="str">
        <f>IF(Tabla8[[#This Row],[FECHA DE ACEPTACION DEL GRUP. INV.]]="","",DATE(YEAR(Tabla8[[#This Row],[FECHA DE ACEPTACION DEL GRUP. INV.]])+2,MONTH(Tabla8[[#This Row],[FECHA DE ACEPTACION DEL GRUP. INV.]]),DAY(Tabla8[[#This Row],[FECHA DE ACEPTACION DEL GRUP. INV.]])))</f>
        <v/>
      </c>
      <c r="T64" s="385" t="str">
        <f ca="1">IF(Tabla8[[#This Row],[FECHA DE ACEPTACION DEL GRUP. INV.]]="","",IF(Tabla8[[#This Row],[FECHA DE VENCIMIENTO ANTE PROYECTO]]&lt;TODAY(),"SÍ","NO"))</f>
        <v/>
      </c>
      <c r="U64" s="385"/>
      <c r="V64" s="386"/>
      <c r="W64" s="386"/>
      <c r="X64" s="385"/>
      <c r="Y64" s="330"/>
      <c r="Z64" s="387"/>
      <c r="AA64" s="330"/>
      <c r="AB64" s="387"/>
      <c r="AC64" s="390"/>
      <c r="AD64" s="330"/>
      <c r="AE64" s="331"/>
      <c r="AF64" s="330"/>
      <c r="AG64" s="331"/>
      <c r="AH64" s="330"/>
      <c r="AI64" s="330"/>
      <c r="AJ64" s="383"/>
      <c r="AK64" s="383"/>
      <c r="AL64" s="331"/>
      <c r="AM64" s="331"/>
      <c r="AN64" s="330"/>
      <c r="AO64" s="330"/>
      <c r="AP64" s="383"/>
      <c r="AQ64" s="383"/>
      <c r="AR64" s="331"/>
      <c r="AS64" s="330"/>
      <c r="AT64" s="386" t="str">
        <f t="shared" si="4"/>
        <v/>
      </c>
      <c r="AU64" s="331"/>
      <c r="AV64" s="331"/>
      <c r="AW64" s="331"/>
      <c r="AX64" s="331"/>
      <c r="AY64" s="386" t="str">
        <f>IFERROR(VLOOKUP(AX64,Listas!K127:K134,2,0),"")</f>
        <v/>
      </c>
      <c r="AZ64" s="388"/>
      <c r="BA64" s="331"/>
      <c r="BB64" s="331"/>
      <c r="BC64" s="391" t="str">
        <f t="shared" si="5"/>
        <v/>
      </c>
    </row>
    <row r="65" spans="1:55">
      <c r="A65" s="383">
        <v>20201195008</v>
      </c>
      <c r="B65" s="384" t="str">
        <f>VLOOKUP(A65,'ESTADOS ESTUDIANTES'!B:L,2,0)</f>
        <v>ROMERO DUQUE OSCAR ALEJANDRO</v>
      </c>
      <c r="C65" s="384">
        <f>VLOOKUP(A65,'ESTADOS ESTUDIANTES'!B:L,11,0)</f>
        <v>11229334</v>
      </c>
      <c r="D65" s="384">
        <f>VLOOKUP(A65,'ESTADOS ESTUDIANTES'!B:L,3,0)</f>
        <v>195</v>
      </c>
      <c r="E65" s="384" t="str">
        <f>VLOOKUP(Tabla8[[#This Row],[ENFASIS]],Listas!$R$2:$S$8,2,0)</f>
        <v>EN TELEINF.</v>
      </c>
      <c r="F65" s="384" t="str">
        <f>VLOOKUP(A65,'ESTADOS ESTUDIANTES'!B:L,8,0)</f>
        <v>oaromerod@correo.udistrital.edu.co</v>
      </c>
      <c r="G65" s="384" t="str">
        <f>VLOOKUP(A65,'ESTADOS ESTUDIANTES'!B:L,9,0)</f>
        <v>osar800@gmail.com</v>
      </c>
      <c r="H65" s="384" t="str">
        <f>VLOOKUP(A65,'ESTADOS ESTUDIANTES'!B:L,5,0)</f>
        <v>X</v>
      </c>
      <c r="I65" s="384" t="str">
        <f>VLOOKUP(Tabla8[[#This Row],[CODIGO]],'ESTADOS ESTUDIANTES'!B:M,12,0)</f>
        <v>2020-3</v>
      </c>
      <c r="J65" s="331"/>
      <c r="K65" s="331"/>
      <c r="L65" s="331"/>
      <c r="M65" s="331"/>
      <c r="N65" s="330"/>
      <c r="O65" s="331"/>
      <c r="P65" s="331"/>
      <c r="Q65" s="331"/>
      <c r="R65" s="385"/>
      <c r="S65" s="385" t="str">
        <f>IF(Tabla8[[#This Row],[FECHA DE ACEPTACION DEL GRUP. INV.]]="","",DATE(YEAR(Tabla8[[#This Row],[FECHA DE ACEPTACION DEL GRUP. INV.]])+2,MONTH(Tabla8[[#This Row],[FECHA DE ACEPTACION DEL GRUP. INV.]]),DAY(Tabla8[[#This Row],[FECHA DE ACEPTACION DEL GRUP. INV.]])))</f>
        <v/>
      </c>
      <c r="T65" s="385" t="str">
        <f ca="1">IF(Tabla8[[#This Row],[FECHA DE ACEPTACION DEL GRUP. INV.]]="","",IF(Tabla8[[#This Row],[FECHA DE VENCIMIENTO ANTE PROYECTO]]&lt;TODAY(),"SÍ","NO"))</f>
        <v/>
      </c>
      <c r="U65" s="385"/>
      <c r="V65" s="386"/>
      <c r="W65" s="386"/>
      <c r="X65" s="385"/>
      <c r="Y65" s="330"/>
      <c r="Z65" s="387"/>
      <c r="AA65" s="330"/>
      <c r="AB65" s="387"/>
      <c r="AC65" s="390"/>
      <c r="AD65" s="330"/>
      <c r="AE65" s="331"/>
      <c r="AF65" s="330"/>
      <c r="AG65" s="331"/>
      <c r="AH65" s="330"/>
      <c r="AI65" s="330"/>
      <c r="AJ65" s="383"/>
      <c r="AK65" s="383"/>
      <c r="AL65" s="331"/>
      <c r="AM65" s="331"/>
      <c r="AN65" s="330"/>
      <c r="AO65" s="330"/>
      <c r="AP65" s="383"/>
      <c r="AQ65" s="383"/>
      <c r="AR65" s="331"/>
      <c r="AS65" s="330"/>
      <c r="AT65" s="386" t="str">
        <f t="shared" si="4"/>
        <v/>
      </c>
      <c r="AU65" s="331"/>
      <c r="AV65" s="331"/>
      <c r="AW65" s="331"/>
      <c r="AX65" s="331"/>
      <c r="AY65" s="386" t="str">
        <f>IFERROR(VLOOKUP(AX65,Listas!K131:K138,2,0),"")</f>
        <v/>
      </c>
      <c r="AZ65" s="388"/>
      <c r="BA65" s="331"/>
      <c r="BB65" s="331"/>
      <c r="BC65" s="389" t="str">
        <f t="shared" si="5"/>
        <v/>
      </c>
    </row>
    <row r="66" spans="1:55" s="264" customFormat="1" ht="78.75">
      <c r="A66" s="244">
        <v>20201395002</v>
      </c>
      <c r="B66" s="239" t="str">
        <f>VLOOKUP(A66,'ESTADOS ESTUDIANTES'!B:L,2,0)</f>
        <v>GÓMEZ CAMARGO LAURA NICOLE</v>
      </c>
      <c r="C66" s="239">
        <f>VLOOKUP(A66,'ESTADOS ESTUDIANTES'!B:L,11,0)</f>
        <v>1018486062</v>
      </c>
      <c r="D66" s="239">
        <f>VLOOKUP(A66,'ESTADOS ESTUDIANTES'!B:L,3,0)</f>
        <v>395</v>
      </c>
      <c r="E66" s="239" t="str">
        <f>VLOOKUP(Tabla8[[#This Row],[ENFASIS]],Listas!$R$2:$S$8,2,0)</f>
        <v>ENFASIS EN GEOMATICA</v>
      </c>
      <c r="F66" s="239" t="str">
        <f>VLOOKUP(A66,'ESTADOS ESTUDIANTES'!B:L,8,0)</f>
        <v>lngomezc@udistrital.edu.co</v>
      </c>
      <c r="G66" s="239" t="str">
        <f>VLOOKUP(A66,'ESTADOS ESTUDIANTES'!B:L,9,0)</f>
        <v>laura.nicole.gomez@gmail.com</v>
      </c>
      <c r="H66" s="239" t="str">
        <f>VLOOKUP(A66,'ESTADOS ESTUDIANTES'!B:L,5,0)</f>
        <v>E</v>
      </c>
      <c r="I66" s="239" t="str">
        <f>VLOOKUP(Tabla8[[#This Row],[CODIGO]],'ESTADOS ESTUDIANTES'!B:M,12,0)</f>
        <v>2026-1</v>
      </c>
      <c r="J66" s="240" t="s">
        <v>46</v>
      </c>
      <c r="K66" s="240" t="s">
        <v>829</v>
      </c>
      <c r="L66" s="240" t="s">
        <v>452</v>
      </c>
      <c r="M66" s="238"/>
      <c r="N66" s="241">
        <v>45758</v>
      </c>
      <c r="O66" s="239">
        <v>2025</v>
      </c>
      <c r="P66" s="240" t="s">
        <v>146</v>
      </c>
      <c r="Q66" s="240" t="s">
        <v>452</v>
      </c>
      <c r="R66" s="242">
        <v>45812</v>
      </c>
      <c r="S66" s="242">
        <f>IF(Tabla8[[#This Row],[FECHA DE ACEPTACION DEL GRUP. INV.]]="","",DATE(YEAR(Tabla8[[#This Row],[FECHA DE ACEPTACION DEL GRUP. INV.]])+2,MONTH(Tabla8[[#This Row],[FECHA DE ACEPTACION DEL GRUP. INV.]]),DAY(Tabla8[[#This Row],[FECHA DE ACEPTACION DEL GRUP. INV.]])))</f>
        <v>46542</v>
      </c>
      <c r="T66" s="242" t="str">
        <f ca="1">IF(Tabla8[[#This Row],[FECHA DE ACEPTACION DEL GRUP. INV.]]="","",IF(Tabla8[[#This Row],[FECHA DE VENCIMIENTO ANTE PROYECTO]]&lt;TODAY(),"SÍ","NO"))</f>
        <v>NO</v>
      </c>
      <c r="U66" s="242"/>
      <c r="V66" s="240" t="s">
        <v>454</v>
      </c>
      <c r="W66" s="240"/>
      <c r="X66" s="242" t="s">
        <v>424</v>
      </c>
      <c r="Y66" s="241">
        <v>44510</v>
      </c>
      <c r="Z66" s="243">
        <v>104</v>
      </c>
      <c r="AA66" s="241">
        <v>45768</v>
      </c>
      <c r="AB66" s="243">
        <v>134</v>
      </c>
      <c r="AC66" s="240" t="s">
        <v>79</v>
      </c>
      <c r="AD66" s="241">
        <v>45992</v>
      </c>
      <c r="AE66" s="258" t="s">
        <v>830</v>
      </c>
      <c r="AF66" s="258">
        <v>46003</v>
      </c>
      <c r="AG66" s="238" t="s">
        <v>402</v>
      </c>
      <c r="AH66" s="241">
        <v>45992</v>
      </c>
      <c r="AI66" s="241">
        <v>46000</v>
      </c>
      <c r="AJ66" s="244">
        <v>40</v>
      </c>
      <c r="AK66" s="244">
        <v>33</v>
      </c>
      <c r="AL66" s="238" t="s">
        <v>41</v>
      </c>
      <c r="AM66" s="238" t="s">
        <v>831</v>
      </c>
      <c r="AN66" s="241">
        <v>45992</v>
      </c>
      <c r="AO66" s="241">
        <v>46000</v>
      </c>
      <c r="AP66" s="244">
        <v>40</v>
      </c>
      <c r="AQ66" s="244">
        <v>41</v>
      </c>
      <c r="AR66" s="238" t="s">
        <v>41</v>
      </c>
      <c r="AS66" s="241">
        <v>46000</v>
      </c>
      <c r="AT66" s="240">
        <f t="shared" si="4"/>
        <v>39</v>
      </c>
      <c r="AU66" s="238" t="s">
        <v>832</v>
      </c>
      <c r="AV66" s="386" t="s">
        <v>833</v>
      </c>
      <c r="AW66" s="238" t="s">
        <v>47</v>
      </c>
      <c r="AX66" s="238" t="s">
        <v>94</v>
      </c>
      <c r="AY66" s="240" t="s">
        <v>834</v>
      </c>
      <c r="AZ66" s="258">
        <v>45973</v>
      </c>
      <c r="BA66" s="238"/>
      <c r="BB66" s="238"/>
      <c r="BC66" s="245" t="str">
        <f t="shared" si="5"/>
        <v/>
      </c>
    </row>
    <row r="67" spans="1:55" ht="47.25">
      <c r="A67" s="383">
        <v>20201395003</v>
      </c>
      <c r="B67" s="384" t="str">
        <f>VLOOKUP(A67,'ESTADOS ESTUDIANTES'!B:L,2,0)</f>
        <v>MONTES LÓPEZ DIEGO FERNANDO</v>
      </c>
      <c r="C67" s="384">
        <f>VLOOKUP(A67,'ESTADOS ESTUDIANTES'!B:L,11,0)</f>
        <v>80779247</v>
      </c>
      <c r="D67" s="384">
        <f>VLOOKUP(A67,'ESTADOS ESTUDIANTES'!B:L,3,0)</f>
        <v>395</v>
      </c>
      <c r="E67" s="384" t="str">
        <f>VLOOKUP(Tabla8[[#This Row],[ENFASIS]],Listas!$R$2:$S$8,2,0)</f>
        <v>ENFASIS EN GEOMATICA</v>
      </c>
      <c r="F67" s="384" t="str">
        <f>VLOOKUP(A67,'ESTADOS ESTUDIANTES'!B:L,8,0)</f>
        <v>dfmontesl@correo.udistrital.edu.co</v>
      </c>
      <c r="G67" s="384" t="str">
        <f>VLOOKUP(A67,'ESTADOS ESTUDIANTES'!B:L,9,0)</f>
        <v>adiegomontes@gmail.com</v>
      </c>
      <c r="H67" s="384" t="str">
        <f>VLOOKUP(A67,'ESTADOS ESTUDIANTES'!B:L,5,0)</f>
        <v>E</v>
      </c>
      <c r="I67" s="384" t="str">
        <f>VLOOKUP(Tabla8[[#This Row],[CODIGO]],'ESTADOS ESTUDIANTES'!B:M,12,0)</f>
        <v>2022-3</v>
      </c>
      <c r="J67" s="386" t="s">
        <v>46</v>
      </c>
      <c r="K67" s="386" t="s">
        <v>835</v>
      </c>
      <c r="L67" s="386" t="s">
        <v>836</v>
      </c>
      <c r="M67" s="331"/>
      <c r="N67" s="330">
        <v>44012</v>
      </c>
      <c r="O67" s="384">
        <v>2020</v>
      </c>
      <c r="P67" s="386" t="s">
        <v>112</v>
      </c>
      <c r="Q67" s="386" t="s">
        <v>222</v>
      </c>
      <c r="R67" s="449"/>
      <c r="S67" s="449" t="str">
        <f>IF(Tabla8[[#This Row],[FECHA DE ACEPTACION DEL GRUP. INV.]]="","",DATE(YEAR(Tabla8[[#This Row],[FECHA DE ACEPTACION DEL GRUP. INV.]])+2,MONTH(Tabla8[[#This Row],[FECHA DE ACEPTACION DEL GRUP. INV.]]),DAY(Tabla8[[#This Row],[FECHA DE ACEPTACION DEL GRUP. INV.]])))</f>
        <v/>
      </c>
      <c r="T67" s="449" t="str">
        <f ca="1">IF(Tabla8[[#This Row],[FECHA DE ACEPTACION DEL GRUP. INV.]]="","",IF(Tabla8[[#This Row],[FECHA DE VENCIMIENTO ANTE PROYECTO]]&lt;TODAY(),"SÍ","NO"))</f>
        <v/>
      </c>
      <c r="U67" s="449"/>
      <c r="V67" s="450"/>
      <c r="W67" s="450"/>
      <c r="X67" s="449"/>
      <c r="Y67" s="330"/>
      <c r="Z67" s="387"/>
      <c r="AA67" s="330">
        <v>44342</v>
      </c>
      <c r="AB67" s="387">
        <v>72.17</v>
      </c>
      <c r="AC67" s="272" t="s">
        <v>79</v>
      </c>
      <c r="AD67" s="330">
        <v>44728</v>
      </c>
      <c r="AE67" s="386" t="s">
        <v>450</v>
      </c>
      <c r="AF67" s="330">
        <v>44734</v>
      </c>
      <c r="AG67" s="386" t="s">
        <v>292</v>
      </c>
      <c r="AH67" s="330">
        <v>44741</v>
      </c>
      <c r="AI67" s="330">
        <v>44790</v>
      </c>
      <c r="AJ67" s="383">
        <v>46</v>
      </c>
      <c r="AK67" s="383">
        <v>44</v>
      </c>
      <c r="AL67" s="386" t="s">
        <v>41</v>
      </c>
      <c r="AM67" s="386" t="s">
        <v>463</v>
      </c>
      <c r="AN67" s="330">
        <v>44741</v>
      </c>
      <c r="AO67" s="330">
        <v>44790</v>
      </c>
      <c r="AP67" s="383">
        <v>42</v>
      </c>
      <c r="AQ67" s="383">
        <v>42</v>
      </c>
      <c r="AR67" s="386" t="s">
        <v>41</v>
      </c>
      <c r="AS67" s="330">
        <v>44778</v>
      </c>
      <c r="AT67" s="383">
        <f t="shared" si="4"/>
        <v>44</v>
      </c>
      <c r="AU67" s="386" t="s">
        <v>837</v>
      </c>
      <c r="AV67" s="386" t="s">
        <v>838</v>
      </c>
      <c r="AW67" s="386" t="s">
        <v>47</v>
      </c>
      <c r="AX67" s="386" t="s">
        <v>104</v>
      </c>
      <c r="AY67" s="386" t="s">
        <v>839</v>
      </c>
      <c r="AZ67" s="385">
        <v>44825</v>
      </c>
      <c r="BA67" s="331"/>
      <c r="BB67" s="331"/>
      <c r="BC67" s="389" t="str">
        <f t="shared" si="5"/>
        <v/>
      </c>
    </row>
    <row r="68" spans="1:55" s="264" customFormat="1" ht="47.25">
      <c r="A68" s="244">
        <v>20201395004</v>
      </c>
      <c r="B68" s="239" t="str">
        <f>VLOOKUP(A68,'ESTADOS ESTUDIANTES'!B:L,2,0)</f>
        <v>PERALTA HERNÁNDEZ ANGIE ESTEFANÍA</v>
      </c>
      <c r="C68" s="239">
        <f>VLOOKUP(A68,'ESTADOS ESTUDIANTES'!B:L,11,0)</f>
        <v>1022394052</v>
      </c>
      <c r="D68" s="239">
        <f>VLOOKUP(A68,'ESTADOS ESTUDIANTES'!B:L,3,0)</f>
        <v>395</v>
      </c>
      <c r="E68" s="239" t="str">
        <f>VLOOKUP(Tabla8[[#This Row],[ENFASIS]],Listas!$R$2:$S$8,2,0)</f>
        <v>ENFASIS EN GEOMATICA</v>
      </c>
      <c r="F68" s="239" t="str">
        <f>VLOOKUP(A68,'ESTADOS ESTUDIANTES'!B:L,8,0)</f>
        <v>aeperaltah@udistrital.edu.co</v>
      </c>
      <c r="G68" s="239" t="str">
        <f>VLOOKUP(A68,'ESTADOS ESTUDIANTES'!B:L,9,0)</f>
        <v>aeperaltah@correo.udistrital.edu.co</v>
      </c>
      <c r="H68" s="239" t="str">
        <f>VLOOKUP(A68,'ESTADOS ESTUDIANTES'!B:L,5,0)</f>
        <v>E</v>
      </c>
      <c r="I68" s="239" t="str">
        <f>VLOOKUP(Tabla8[[#This Row],[CODIGO]],'ESTADOS ESTUDIANTES'!B:M,12,0)</f>
        <v>2025-1</v>
      </c>
      <c r="J68" s="240" t="s">
        <v>46</v>
      </c>
      <c r="K68" s="240" t="s">
        <v>840</v>
      </c>
      <c r="L68" s="240" t="s">
        <v>309</v>
      </c>
      <c r="M68" s="238"/>
      <c r="N68" s="241">
        <v>44012</v>
      </c>
      <c r="O68" s="239">
        <v>2020</v>
      </c>
      <c r="P68" s="240" t="s">
        <v>131</v>
      </c>
      <c r="Q68" s="240" t="s">
        <v>309</v>
      </c>
      <c r="R68" s="242">
        <v>45461</v>
      </c>
      <c r="S68" s="242">
        <f>IF(Tabla8[[#This Row],[FECHA DE ACEPTACION DEL GRUP. INV.]]="","",DATE(YEAR(Tabla8[[#This Row],[FECHA DE ACEPTACION DEL GRUP. INV.]])+2,MONTH(Tabla8[[#This Row],[FECHA DE ACEPTACION DEL GRUP. INV.]]),DAY(Tabla8[[#This Row],[FECHA DE ACEPTACION DEL GRUP. INV.]])))</f>
        <v>46191</v>
      </c>
      <c r="T68" s="242" t="str">
        <f ca="1">IF(Tabla8[[#This Row],[FECHA DE ACEPTACION DEL GRUP. INV.]]="","",IF(Tabla8[[#This Row],[FECHA DE VENCIMIENTO ANTE PROYECTO]]&lt;TODAY(),"SÍ","NO"))</f>
        <v>SÍ</v>
      </c>
      <c r="U68" s="242"/>
      <c r="V68" s="240" t="s">
        <v>371</v>
      </c>
      <c r="W68" s="240" t="s">
        <v>841</v>
      </c>
      <c r="X68" s="242" t="s">
        <v>842</v>
      </c>
      <c r="Y68" s="240" t="s">
        <v>843</v>
      </c>
      <c r="Z68" s="243">
        <v>66.09</v>
      </c>
      <c r="AA68" s="241">
        <v>45768</v>
      </c>
      <c r="AB68" s="243">
        <v>120</v>
      </c>
      <c r="AC68" s="240" t="s">
        <v>79</v>
      </c>
      <c r="AD68" s="241">
        <v>45686</v>
      </c>
      <c r="AE68" s="459" t="s">
        <v>844</v>
      </c>
      <c r="AF68" s="258">
        <v>45691</v>
      </c>
      <c r="AG68" s="238" t="s">
        <v>271</v>
      </c>
      <c r="AH68" s="241">
        <v>45692</v>
      </c>
      <c r="AI68" s="241">
        <v>45716</v>
      </c>
      <c r="AJ68" s="244">
        <v>50</v>
      </c>
      <c r="AK68" s="244">
        <v>50</v>
      </c>
      <c r="AL68" s="238" t="s">
        <v>41</v>
      </c>
      <c r="AM68" s="238" t="s">
        <v>297</v>
      </c>
      <c r="AN68" s="241">
        <v>45692</v>
      </c>
      <c r="AO68" s="241">
        <v>45716</v>
      </c>
      <c r="AP68" s="244">
        <v>50</v>
      </c>
      <c r="AQ68" s="244">
        <v>50</v>
      </c>
      <c r="AR68" s="238" t="s">
        <v>41</v>
      </c>
      <c r="AS68" s="241">
        <v>45716</v>
      </c>
      <c r="AT68" s="240">
        <f t="shared" si="4"/>
        <v>50</v>
      </c>
      <c r="AU68" s="238" t="s">
        <v>845</v>
      </c>
      <c r="AV68" s="238" t="s">
        <v>846</v>
      </c>
      <c r="AW68" s="238" t="s">
        <v>47</v>
      </c>
      <c r="AX68" s="238" t="s">
        <v>104</v>
      </c>
      <c r="AY68" s="240" t="s">
        <v>844</v>
      </c>
      <c r="AZ68" s="258">
        <v>45691</v>
      </c>
      <c r="BA68" s="238" t="s">
        <v>48</v>
      </c>
      <c r="BB68" s="238" t="s">
        <v>48</v>
      </c>
      <c r="BC68" s="245" t="str">
        <f t="shared" si="5"/>
        <v/>
      </c>
    </row>
    <row r="69" spans="1:55" s="264" customFormat="1" ht="63">
      <c r="A69" s="244">
        <v>20201395005</v>
      </c>
      <c r="B69" s="239" t="str">
        <f>VLOOKUP(A69,'ESTADOS ESTUDIANTES'!B:L,2,0)</f>
        <v>RODRÍGUEZ LÓPEZ JORGE LEONARDO</v>
      </c>
      <c r="C69" s="239">
        <f>VLOOKUP(A69,'ESTADOS ESTUDIANTES'!B:L,11,0)</f>
        <v>1032471870</v>
      </c>
      <c r="D69" s="239">
        <f>VLOOKUP(A69,'ESTADOS ESTUDIANTES'!B:L,3,0)</f>
        <v>395</v>
      </c>
      <c r="E69" s="239" t="str">
        <f>VLOOKUP(Tabla8[[#This Row],[ENFASIS]],Listas!$R$2:$S$8,2,0)</f>
        <v>ENFASIS EN GEOMATICA</v>
      </c>
      <c r="F69" s="239" t="str">
        <f>VLOOKUP(A69,'ESTADOS ESTUDIANTES'!B:L,8,0)</f>
        <v>jolerodriguezl@udistrital.edu.co</v>
      </c>
      <c r="G69" s="239" t="str">
        <f>VLOOKUP(A69,'ESTADOS ESTUDIANTES'!B:L,9,0)</f>
        <v>leo-rodriguez.08@hotmail.com</v>
      </c>
      <c r="H69" s="239" t="str">
        <f>VLOOKUP(A69,'ESTADOS ESTUDIANTES'!B:L,5,0)</f>
        <v>E</v>
      </c>
      <c r="I69" s="239" t="str">
        <f>VLOOKUP(Tabla8[[#This Row],[CODIGO]],'ESTADOS ESTUDIANTES'!B:M,12,0)</f>
        <v>2025-1</v>
      </c>
      <c r="J69" s="240" t="s">
        <v>46</v>
      </c>
      <c r="K69" s="240" t="s">
        <v>847</v>
      </c>
      <c r="L69" s="240" t="s">
        <v>309</v>
      </c>
      <c r="M69" s="238"/>
      <c r="N69" s="241">
        <v>44013</v>
      </c>
      <c r="O69" s="239">
        <v>2020</v>
      </c>
      <c r="P69" s="240" t="s">
        <v>131</v>
      </c>
      <c r="Q69" s="240" t="s">
        <v>309</v>
      </c>
      <c r="R69" s="242">
        <v>45461</v>
      </c>
      <c r="S69" s="242">
        <f>IF(Tabla8[[#This Row],[FECHA DE ACEPTACION DEL GRUP. INV.]]="","",DATE(YEAR(Tabla8[[#This Row],[FECHA DE ACEPTACION DEL GRUP. INV.]])+2,MONTH(Tabla8[[#This Row],[FECHA DE ACEPTACION DEL GRUP. INV.]]),DAY(Tabla8[[#This Row],[FECHA DE ACEPTACION DEL GRUP. INV.]])))</f>
        <v>46191</v>
      </c>
      <c r="T69" s="242" t="str">
        <f ca="1">IF(Tabla8[[#This Row],[FECHA DE ACEPTACION DEL GRUP. INV.]]="","",IF(Tabla8[[#This Row],[FECHA DE VENCIMIENTO ANTE PROYECTO]]&lt;TODAY(),"SÍ","NO"))</f>
        <v>SÍ</v>
      </c>
      <c r="U69" s="242"/>
      <c r="V69" s="240" t="s">
        <v>371</v>
      </c>
      <c r="W69" s="240" t="s">
        <v>848</v>
      </c>
      <c r="X69" s="242" t="s">
        <v>842</v>
      </c>
      <c r="Y69" s="241">
        <v>44342</v>
      </c>
      <c r="Z69" s="243">
        <v>78.260000000000005</v>
      </c>
      <c r="AA69" s="241">
        <v>45768</v>
      </c>
      <c r="AB69" s="243">
        <v>144</v>
      </c>
      <c r="AC69" s="240" t="s">
        <v>79</v>
      </c>
      <c r="AD69" s="241">
        <v>45709</v>
      </c>
      <c r="AE69" s="238" t="s">
        <v>849</v>
      </c>
      <c r="AF69" s="241">
        <v>45714</v>
      </c>
      <c r="AG69" s="238" t="s">
        <v>356</v>
      </c>
      <c r="AH69" s="241">
        <v>45721</v>
      </c>
      <c r="AI69" s="241">
        <v>45741</v>
      </c>
      <c r="AJ69" s="244">
        <v>45</v>
      </c>
      <c r="AK69" s="244">
        <v>45</v>
      </c>
      <c r="AL69" s="238" t="s">
        <v>41</v>
      </c>
      <c r="AM69" s="238" t="s">
        <v>297</v>
      </c>
      <c r="AN69" s="241">
        <v>45721</v>
      </c>
      <c r="AO69" s="241">
        <v>45741</v>
      </c>
      <c r="AP69" s="244">
        <v>45</v>
      </c>
      <c r="AQ69" s="244">
        <v>45</v>
      </c>
      <c r="AR69" s="238" t="s">
        <v>41</v>
      </c>
      <c r="AS69" s="241">
        <v>45741</v>
      </c>
      <c r="AT69" s="240">
        <f t="shared" si="4"/>
        <v>45</v>
      </c>
      <c r="AU69" s="238" t="s">
        <v>850</v>
      </c>
      <c r="AV69" s="238" t="s">
        <v>846</v>
      </c>
      <c r="AW69" s="238" t="s">
        <v>47</v>
      </c>
      <c r="AX69" s="238" t="s">
        <v>104</v>
      </c>
      <c r="AY69" s="238" t="s">
        <v>849</v>
      </c>
      <c r="AZ69" s="241">
        <v>45714</v>
      </c>
      <c r="BA69" s="238" t="s">
        <v>48</v>
      </c>
      <c r="BB69" s="238" t="s">
        <v>48</v>
      </c>
      <c r="BC69" s="245" t="str">
        <f t="shared" si="5"/>
        <v/>
      </c>
    </row>
    <row r="70" spans="1:55">
      <c r="A70" s="383">
        <v>20201395007</v>
      </c>
      <c r="B70" s="384" t="str">
        <f>VLOOKUP(A70,'ESTADOS ESTUDIANTES'!B:L,2,0)</f>
        <v>ROMERO BELTRÁN JEISSON ANDRÉS</v>
      </c>
      <c r="C70" s="384">
        <f>VLOOKUP(A70,'ESTADOS ESTUDIANTES'!B:L,11,0)</f>
        <v>1032433435</v>
      </c>
      <c r="D70" s="384">
        <f>VLOOKUP(A70,'ESTADOS ESTUDIANTES'!B:L,3,0)</f>
        <v>395</v>
      </c>
      <c r="E70" s="384" t="str">
        <f>VLOOKUP(Tabla8[[#This Row],[ENFASIS]],Listas!$R$2:$S$8,2,0)</f>
        <v>ENFASIS EN GEOMATICA</v>
      </c>
      <c r="F70" s="384">
        <f>VLOOKUP(A70,'ESTADOS ESTUDIANTES'!B:L,8,0)</f>
        <v>0</v>
      </c>
      <c r="G70" s="384" t="str">
        <f>VLOOKUP(A70,'ESTADOS ESTUDIANTES'!B:L,9,0)</f>
        <v>andresromerobeltran@gmail.com</v>
      </c>
      <c r="H70" s="384" t="str">
        <f>VLOOKUP(A70,'ESTADOS ESTUDIANTES'!B:L,5,0)</f>
        <v>I</v>
      </c>
      <c r="I70" s="384" t="str">
        <f>VLOOKUP(Tabla8[[#This Row],[CODIGO]],'ESTADOS ESTUDIANTES'!B:M,12,0)</f>
        <v>-</v>
      </c>
      <c r="J70" s="331"/>
      <c r="K70" s="446"/>
      <c r="L70" s="446"/>
      <c r="M70" s="446"/>
      <c r="N70" s="447"/>
      <c r="O70" s="446"/>
      <c r="P70" s="446"/>
      <c r="Q70" s="446"/>
      <c r="R70" s="448"/>
      <c r="S70" s="448" t="str">
        <f>IF(Tabla8[[#This Row],[FECHA DE ACEPTACION DEL GRUP. INV.]]="","",DATE(YEAR(Tabla8[[#This Row],[FECHA DE ACEPTACION DEL GRUP. INV.]])+2,MONTH(Tabla8[[#This Row],[FECHA DE ACEPTACION DEL GRUP. INV.]]),DAY(Tabla8[[#This Row],[FECHA DE ACEPTACION DEL GRUP. INV.]])))</f>
        <v/>
      </c>
      <c r="T70" s="448" t="str">
        <f ca="1">IF(Tabla8[[#This Row],[FECHA DE ACEPTACION DEL GRUP. INV.]]="","",IF(Tabla8[[#This Row],[FECHA DE VENCIMIENTO ANTE PROYECTO]]&lt;TODAY(),"SÍ","NO"))</f>
        <v/>
      </c>
      <c r="U70" s="448"/>
      <c r="V70" s="451"/>
      <c r="W70" s="451"/>
      <c r="X70" s="385" t="s">
        <v>424</v>
      </c>
      <c r="Y70" s="330"/>
      <c r="Z70" s="387"/>
      <c r="AA70" s="330"/>
      <c r="AB70" s="387"/>
      <c r="AC70" s="390"/>
      <c r="AD70" s="447"/>
      <c r="AE70" s="446"/>
      <c r="AF70" s="447"/>
      <c r="AG70" s="446"/>
      <c r="AH70" s="447"/>
      <c r="AI70" s="447"/>
      <c r="AJ70" s="383"/>
      <c r="AK70" s="383"/>
      <c r="AL70" s="446"/>
      <c r="AM70" s="446"/>
      <c r="AN70" s="447"/>
      <c r="AO70" s="447"/>
      <c r="AP70" s="383"/>
      <c r="AQ70" s="383"/>
      <c r="AR70" s="446"/>
      <c r="AS70" s="447"/>
      <c r="AT70" s="386" t="str">
        <f t="shared" si="4"/>
        <v/>
      </c>
      <c r="AU70" s="446"/>
      <c r="AV70" s="446"/>
      <c r="AW70" s="331"/>
      <c r="AX70" s="446"/>
      <c r="AY70" s="386" t="str">
        <f>IFERROR(VLOOKUP(AX70,Listas!K141:K148,2,0),"")</f>
        <v/>
      </c>
      <c r="AZ70" s="388"/>
      <c r="BA70" s="446"/>
      <c r="BB70" s="446"/>
      <c r="BC70" s="391" t="str">
        <f t="shared" si="5"/>
        <v/>
      </c>
    </row>
    <row r="71" spans="1:55" ht="47.25">
      <c r="A71" s="383">
        <v>20201495004</v>
      </c>
      <c r="B71" s="384" t="str">
        <f>VLOOKUP(A71,'ESTADOS ESTUDIANTES'!B:L,2,0)</f>
        <v>EDISON RENÉ CABALLERO BARRIGA</v>
      </c>
      <c r="C71" s="384">
        <f>VLOOKUP(A71,'ESTADOS ESTUDIANTES'!B:L,11,0)</f>
        <v>2965707</v>
      </c>
      <c r="D71" s="384">
        <f>VLOOKUP(A71,'ESTADOS ESTUDIANTES'!B:L,3,0)</f>
        <v>495</v>
      </c>
      <c r="E71" s="384" t="str">
        <f>VLOOKUP(Tabla8[[#This Row],[ENFASIS]],Listas!$R$2:$S$8,2,0)</f>
        <v>ENFASIS EN ING. SOFT</v>
      </c>
      <c r="F71" s="384" t="str">
        <f>VLOOKUP(A71,'ESTADOS ESTUDIANTES'!B:L,8,0)</f>
        <v>ercaballerob@udistrital.edu.co</v>
      </c>
      <c r="G71" s="384" t="str">
        <f>VLOOKUP(A71,'ESTADOS ESTUDIANTES'!B:L,9,0)</f>
        <v>caballerorene@gmail.com</v>
      </c>
      <c r="H71" s="384" t="str">
        <f>VLOOKUP(A71,'ESTADOS ESTUDIANTES'!B:L,5,0)</f>
        <v>X</v>
      </c>
      <c r="I71" s="384" t="str">
        <f>VLOOKUP(Tabla8[[#This Row],[CODIGO]],'ESTADOS ESTUDIANTES'!B:M,12,0)</f>
        <v>2021-1</v>
      </c>
      <c r="J71" s="386" t="s">
        <v>46</v>
      </c>
      <c r="K71" s="386" t="s">
        <v>851</v>
      </c>
      <c r="L71" s="386" t="s">
        <v>422</v>
      </c>
      <c r="M71" s="331"/>
      <c r="N71" s="330">
        <v>44012</v>
      </c>
      <c r="O71" s="384">
        <v>2020</v>
      </c>
      <c r="P71" s="386" t="s">
        <v>106</v>
      </c>
      <c r="Q71" s="386" t="s">
        <v>225</v>
      </c>
      <c r="R71" s="385">
        <v>44012</v>
      </c>
      <c r="S71" s="385">
        <f>IF(Tabla8[[#This Row],[FECHA DE ACEPTACION DEL GRUP. INV.]]="","",DATE(YEAR(Tabla8[[#This Row],[FECHA DE ACEPTACION DEL GRUP. INV.]])+2,MONTH(Tabla8[[#This Row],[FECHA DE ACEPTACION DEL GRUP. INV.]]),DAY(Tabla8[[#This Row],[FECHA DE ACEPTACION DEL GRUP. INV.]])))</f>
        <v>44742</v>
      </c>
      <c r="T71" s="385" t="str">
        <f ca="1">IF(Tabla8[[#This Row],[FECHA DE ACEPTACION DEL GRUP. INV.]]="","",IF(Tabla8[[#This Row],[FECHA DE VENCIMIENTO ANTE PROYECTO]]&lt;TODAY(),"SÍ","NO"))</f>
        <v>SÍ</v>
      </c>
      <c r="U71" s="385"/>
      <c r="V71" s="386" t="s">
        <v>233</v>
      </c>
      <c r="W71" s="386"/>
      <c r="X71" s="385"/>
      <c r="Y71" s="330"/>
      <c r="Z71" s="387"/>
      <c r="AA71" s="330">
        <v>44342</v>
      </c>
      <c r="AB71" s="387">
        <v>70.430000000000007</v>
      </c>
      <c r="AC71" s="272" t="s">
        <v>79</v>
      </c>
      <c r="AD71" s="330"/>
      <c r="AE71" s="331"/>
      <c r="AF71" s="330"/>
      <c r="AG71" s="331"/>
      <c r="AH71" s="330"/>
      <c r="AI71" s="330"/>
      <c r="AJ71" s="383"/>
      <c r="AK71" s="383"/>
      <c r="AL71" s="331"/>
      <c r="AM71" s="331"/>
      <c r="AN71" s="330"/>
      <c r="AO71" s="330"/>
      <c r="AP71" s="383"/>
      <c r="AQ71" s="383"/>
      <c r="AR71" s="331"/>
      <c r="AS71" s="330"/>
      <c r="AT71" s="386" t="str">
        <f t="shared" si="4"/>
        <v/>
      </c>
      <c r="AU71" s="331"/>
      <c r="AV71" s="331"/>
      <c r="AW71" s="331"/>
      <c r="AX71" s="331"/>
      <c r="AY71" s="386" t="str">
        <f>IFERROR(VLOOKUP(AX71,Listas!K145:K152,2,0),"")</f>
        <v/>
      </c>
      <c r="AZ71" s="388"/>
      <c r="BA71" s="331"/>
      <c r="BB71" s="331"/>
      <c r="BC71" s="389" t="str">
        <f t="shared" si="5"/>
        <v/>
      </c>
    </row>
    <row r="72" spans="1:55" s="264" customFormat="1" ht="63">
      <c r="A72" s="244">
        <v>20201495007</v>
      </c>
      <c r="B72" s="239" t="str">
        <f>VLOOKUP(A72,'ESTADOS ESTUDIANTES'!B:L,2,0)</f>
        <v>RODRÍGUEZ PIÑEROS EDWAR ARTURO</v>
      </c>
      <c r="C72" s="239">
        <f>VLOOKUP(A72,'ESTADOS ESTUDIANTES'!B:L,11,0)</f>
        <v>1016058200</v>
      </c>
      <c r="D72" s="239">
        <f>VLOOKUP(A72,'ESTADOS ESTUDIANTES'!B:L,3,0)</f>
        <v>495</v>
      </c>
      <c r="E72" s="239" t="str">
        <f>VLOOKUP(Tabla8[[#This Row],[ENFASIS]],Listas!$R$2:$S$8,2,0)</f>
        <v>ENFASIS EN ING. SOFT</v>
      </c>
      <c r="F72" s="239" t="str">
        <f>VLOOKUP(A72,'ESTADOS ESTUDIANTES'!B:L,8,0)</f>
        <v>earodriguezp@udistrital.edu.co</v>
      </c>
      <c r="G72" s="239" t="str">
        <f>VLOOKUP(A72,'ESTADOS ESTUDIANTES'!B:L,9,0)</f>
        <v>edwarod-107@hotmail.com</v>
      </c>
      <c r="H72" s="239" t="str">
        <f>VLOOKUP(A72,'ESTADOS ESTUDIANTES'!B:L,5,0)</f>
        <v>X</v>
      </c>
      <c r="I72" s="239" t="str">
        <f>VLOOKUP(Tabla8[[#This Row],[CODIGO]],'ESTADOS ESTUDIANTES'!B:M,12,0)</f>
        <v>2025-3</v>
      </c>
      <c r="J72" s="240" t="s">
        <v>46</v>
      </c>
      <c r="K72" s="240" t="s">
        <v>852</v>
      </c>
      <c r="L72" s="240" t="s">
        <v>422</v>
      </c>
      <c r="M72" s="238"/>
      <c r="N72" s="241">
        <v>44012</v>
      </c>
      <c r="O72" s="239">
        <v>2020</v>
      </c>
      <c r="P72" s="240" t="s">
        <v>106</v>
      </c>
      <c r="Q72" s="240" t="s">
        <v>225</v>
      </c>
      <c r="R72" s="242">
        <v>44012</v>
      </c>
      <c r="S72" s="242">
        <f>IF(Tabla8[[#This Row],[FECHA DE ACEPTACION DEL GRUP. INV.]]="","",DATE(YEAR(Tabla8[[#This Row],[FECHA DE ACEPTACION DEL GRUP. INV.]])+2,MONTH(Tabla8[[#This Row],[FECHA DE ACEPTACION DEL GRUP. INV.]]),DAY(Tabla8[[#This Row],[FECHA DE ACEPTACION DEL GRUP. INV.]])))</f>
        <v>44742</v>
      </c>
      <c r="T72" s="242" t="str">
        <f ca="1">IF(Tabla8[[#This Row],[FECHA DE ACEPTACION DEL GRUP. INV.]]="","",IF(Tabla8[[#This Row],[FECHA DE VENCIMIENTO ANTE PROYECTO]]&lt;TODAY(),"SÍ","NO"))</f>
        <v>SÍ</v>
      </c>
      <c r="U72" s="242"/>
      <c r="V72" s="240" t="s">
        <v>233</v>
      </c>
      <c r="W72" s="240"/>
      <c r="X72" s="242" t="s">
        <v>424</v>
      </c>
      <c r="Y72" s="241"/>
      <c r="Z72" s="243"/>
      <c r="AA72" s="241">
        <v>44097</v>
      </c>
      <c r="AB72" s="243">
        <v>96.26</v>
      </c>
      <c r="AC72" s="240" t="s">
        <v>79</v>
      </c>
      <c r="AD72" s="241"/>
      <c r="AE72" s="238"/>
      <c r="AF72" s="241"/>
      <c r="AG72" s="238"/>
      <c r="AH72" s="241"/>
      <c r="AI72" s="241"/>
      <c r="AJ72" s="244"/>
      <c r="AK72" s="244"/>
      <c r="AL72" s="238"/>
      <c r="AM72" s="238"/>
      <c r="AN72" s="241"/>
      <c r="AO72" s="241"/>
      <c r="AP72" s="244"/>
      <c r="AQ72" s="244"/>
      <c r="AR72" s="238"/>
      <c r="AS72" s="241"/>
      <c r="AT72" s="240" t="str">
        <f t="shared" si="4"/>
        <v/>
      </c>
      <c r="AU72" s="238"/>
      <c r="AV72" s="238"/>
      <c r="AW72" s="238"/>
      <c r="AX72" s="238"/>
      <c r="AY72" s="240" t="str">
        <f>IFERROR(VLOOKUP(AX72,Listas!K148:K155,2,0),"")</f>
        <v/>
      </c>
      <c r="AZ72" s="381"/>
      <c r="BA72" s="238"/>
      <c r="BB72" s="238"/>
      <c r="BC72" s="245" t="str">
        <f t="shared" si="5"/>
        <v/>
      </c>
    </row>
    <row r="73" spans="1:55">
      <c r="A73" s="383">
        <v>20201495008</v>
      </c>
      <c r="B73" s="384" t="str">
        <f>VLOOKUP(A73,'ESTADOS ESTUDIANTES'!B:L,2,0)</f>
        <v>SANABRIA ARTEAGA JHANS</v>
      </c>
      <c r="C73" s="384">
        <f>VLOOKUP(A73,'ESTADOS ESTUDIANTES'!B:L,11,0)</f>
        <v>79132821</v>
      </c>
      <c r="D73" s="384">
        <f>VLOOKUP(A73,'ESTADOS ESTUDIANTES'!B:L,3,0)</f>
        <v>495</v>
      </c>
      <c r="E73" s="384" t="str">
        <f>VLOOKUP(Tabla8[[#This Row],[ENFASIS]],Listas!$R$2:$S$8,2,0)</f>
        <v>ENFASIS EN ING. SOFT</v>
      </c>
      <c r="F73" s="384">
        <f>VLOOKUP(A73,'ESTADOS ESTUDIANTES'!B:L,8,0)</f>
        <v>0</v>
      </c>
      <c r="G73" s="384" t="str">
        <f>VLOOKUP(A73,'ESTADOS ESTUDIANTES'!B:L,9,0)</f>
        <v>hans_sanabria@hotmail.com</v>
      </c>
      <c r="H73" s="384" t="str">
        <f>VLOOKUP(A73,'ESTADOS ESTUDIANTES'!B:L,5,0)</f>
        <v>N</v>
      </c>
      <c r="I73" s="384" t="str">
        <f>VLOOKUP(Tabla8[[#This Row],[CODIGO]],'ESTADOS ESTUDIANTES'!B:M,12,0)</f>
        <v>-</v>
      </c>
      <c r="J73" s="331"/>
      <c r="K73" s="446"/>
      <c r="L73" s="446"/>
      <c r="M73" s="446"/>
      <c r="N73" s="447"/>
      <c r="O73" s="446"/>
      <c r="P73" s="446"/>
      <c r="Q73" s="446"/>
      <c r="R73" s="448"/>
      <c r="S73" s="448" t="str">
        <f>IF(Tabla8[[#This Row],[FECHA DE ACEPTACION DEL GRUP. INV.]]="","",DATE(YEAR(Tabla8[[#This Row],[FECHA DE ACEPTACION DEL GRUP. INV.]])+2,MONTH(Tabla8[[#This Row],[FECHA DE ACEPTACION DEL GRUP. INV.]]),DAY(Tabla8[[#This Row],[FECHA DE ACEPTACION DEL GRUP. INV.]])))</f>
        <v/>
      </c>
      <c r="T73" s="448" t="str">
        <f ca="1">IF(Tabla8[[#This Row],[FECHA DE ACEPTACION DEL GRUP. INV.]]="","",IF(Tabla8[[#This Row],[FECHA DE VENCIMIENTO ANTE PROYECTO]]&lt;TODAY(),"SÍ","NO"))</f>
        <v/>
      </c>
      <c r="U73" s="448"/>
      <c r="V73" s="448"/>
      <c r="W73" s="448"/>
      <c r="X73" s="448"/>
      <c r="Y73" s="330"/>
      <c r="Z73" s="387"/>
      <c r="AA73" s="330"/>
      <c r="AB73" s="387"/>
      <c r="AC73" s="390"/>
      <c r="AD73" s="447"/>
      <c r="AE73" s="446"/>
      <c r="AF73" s="447"/>
      <c r="AG73" s="446"/>
      <c r="AH73" s="447"/>
      <c r="AI73" s="447"/>
      <c r="AJ73" s="383"/>
      <c r="AK73" s="383"/>
      <c r="AL73" s="446"/>
      <c r="AM73" s="446"/>
      <c r="AN73" s="447"/>
      <c r="AO73" s="447"/>
      <c r="AP73" s="383"/>
      <c r="AQ73" s="383"/>
      <c r="AR73" s="446"/>
      <c r="AS73" s="447"/>
      <c r="AT73" s="386" t="str">
        <f t="shared" si="4"/>
        <v/>
      </c>
      <c r="AU73" s="446"/>
      <c r="AV73" s="446"/>
      <c r="AW73" s="331"/>
      <c r="AX73" s="446"/>
      <c r="AY73" s="386" t="str">
        <f>IFERROR(VLOOKUP(AX73,Listas!K149:K156,2,0),"")</f>
        <v/>
      </c>
      <c r="AZ73" s="388"/>
      <c r="BA73" s="446"/>
      <c r="BB73" s="446"/>
      <c r="BC73" s="389" t="str">
        <f t="shared" si="5"/>
        <v/>
      </c>
    </row>
    <row r="74" spans="1:55">
      <c r="A74" s="383">
        <v>20201495009</v>
      </c>
      <c r="B74" s="384" t="str">
        <f>VLOOKUP(A74,'ESTADOS ESTUDIANTES'!B:L,2,0)</f>
        <v>VELÁSQUEZ MÉNDEZ WALTER IVÁN</v>
      </c>
      <c r="C74" s="384">
        <f>VLOOKUP(A74,'ESTADOS ESTUDIANTES'!B:L,11,0)</f>
        <v>1032417757</v>
      </c>
      <c r="D74" s="384">
        <f>VLOOKUP(A74,'ESTADOS ESTUDIANTES'!B:L,3,0)</f>
        <v>495</v>
      </c>
      <c r="E74" s="384" t="str">
        <f>VLOOKUP(Tabla8[[#This Row],[ENFASIS]],Listas!$R$2:$S$8,2,0)</f>
        <v>ENFASIS EN ING. SOFT</v>
      </c>
      <c r="F74" s="384">
        <f>VLOOKUP(A74,'ESTADOS ESTUDIANTES'!B:L,8,0)</f>
        <v>0</v>
      </c>
      <c r="G74" s="384" t="str">
        <f>VLOOKUP(A74,'ESTADOS ESTUDIANTES'!B:L,9,0)</f>
        <v>wivan.vel@gmail.com</v>
      </c>
      <c r="H74" s="384" t="str">
        <f>VLOOKUP(A74,'ESTADOS ESTUDIANTES'!B:L,5,0)</f>
        <v>X</v>
      </c>
      <c r="I74" s="384" t="str">
        <f>VLOOKUP(Tabla8[[#This Row],[CODIGO]],'ESTADOS ESTUDIANTES'!B:M,12,0)</f>
        <v>2020-1</v>
      </c>
      <c r="J74" s="331"/>
      <c r="K74" s="331"/>
      <c r="L74" s="331"/>
      <c r="M74" s="331"/>
      <c r="N74" s="330"/>
      <c r="O74" s="331"/>
      <c r="P74" s="331"/>
      <c r="Q74" s="331"/>
      <c r="R74" s="385"/>
      <c r="S74" s="385" t="str">
        <f>IF(Tabla8[[#This Row],[FECHA DE ACEPTACION DEL GRUP. INV.]]="","",DATE(YEAR(Tabla8[[#This Row],[FECHA DE ACEPTACION DEL GRUP. INV.]])+2,MONTH(Tabla8[[#This Row],[FECHA DE ACEPTACION DEL GRUP. INV.]]),DAY(Tabla8[[#This Row],[FECHA DE ACEPTACION DEL GRUP. INV.]])))</f>
        <v/>
      </c>
      <c r="T74" s="385" t="str">
        <f ca="1">IF(Tabla8[[#This Row],[FECHA DE ACEPTACION DEL GRUP. INV.]]="","",IF(Tabla8[[#This Row],[FECHA DE VENCIMIENTO ANTE PROYECTO]]&lt;TODAY(),"SÍ","NO"))</f>
        <v/>
      </c>
      <c r="U74" s="385"/>
      <c r="V74" s="386"/>
      <c r="W74" s="386"/>
      <c r="X74" s="385"/>
      <c r="Y74" s="330"/>
      <c r="Z74" s="387"/>
      <c r="AA74" s="330"/>
      <c r="AB74" s="387"/>
      <c r="AC74" s="390"/>
      <c r="AD74" s="330"/>
      <c r="AE74" s="331"/>
      <c r="AF74" s="330"/>
      <c r="AG74" s="331"/>
      <c r="AH74" s="330"/>
      <c r="AI74" s="330"/>
      <c r="AJ74" s="383"/>
      <c r="AK74" s="383"/>
      <c r="AL74" s="331"/>
      <c r="AM74" s="331"/>
      <c r="AN74" s="330"/>
      <c r="AO74" s="330"/>
      <c r="AP74" s="383"/>
      <c r="AQ74" s="383"/>
      <c r="AR74" s="331"/>
      <c r="AS74" s="330"/>
      <c r="AT74" s="386" t="str">
        <f t="shared" si="4"/>
        <v/>
      </c>
      <c r="AU74" s="331"/>
      <c r="AV74" s="331"/>
      <c r="AW74" s="331"/>
      <c r="AX74" s="331"/>
      <c r="AY74" s="386" t="str">
        <f>IFERROR(VLOOKUP(AX74,Listas!K150:K157,2,0),"")</f>
        <v/>
      </c>
      <c r="AZ74" s="388"/>
      <c r="BA74" s="331"/>
      <c r="BB74" s="331"/>
      <c r="BC74" s="391" t="str">
        <f t="shared" si="5"/>
        <v/>
      </c>
    </row>
    <row r="75" spans="1:55" s="264" customFormat="1" ht="63">
      <c r="A75" s="669">
        <v>20202195001</v>
      </c>
      <c r="B75" s="670" t="str">
        <f>VLOOKUP(A75,'ESTADOS ESTUDIANTES'!B:L,2,0)</f>
        <v>BRICENO MOLINA STHEVEN ARLEY</v>
      </c>
      <c r="C75" s="670">
        <f>VLOOKUP(A75,'ESTADOS ESTUDIANTES'!B:L,11,0)</f>
        <v>80757660</v>
      </c>
      <c r="D75" s="670">
        <f>VLOOKUP(A75,'ESTADOS ESTUDIANTES'!B:L,3,0)</f>
        <v>195</v>
      </c>
      <c r="E75" s="670" t="str">
        <f>VLOOKUP(Tabla8[[#This Row],[ENFASIS]],Listas!$R$2:$S$8,2,0)</f>
        <v>EN TELEINF.</v>
      </c>
      <c r="F75" s="670" t="str">
        <f>VLOOKUP(A75,'ESTADOS ESTUDIANTES'!B:L,8,0)</f>
        <v>sabricenom@udistrital.edu.co</v>
      </c>
      <c r="G75" s="670" t="str">
        <f>VLOOKUP(A75,'ESTADOS ESTUDIANTES'!B:L,9,0)</f>
        <v>sabm20@gmail.com</v>
      </c>
      <c r="H75" s="670" t="str">
        <f>VLOOKUP(A75,'ESTADOS ESTUDIANTES'!B:L,5,0)</f>
        <v>A</v>
      </c>
      <c r="I75" s="670" t="str">
        <f>VLOOKUP(Tabla8[[#This Row],[CODIGO]],'ESTADOS ESTUDIANTES'!B:M,12,0)</f>
        <v>2026-3</v>
      </c>
      <c r="J75" s="665" t="s">
        <v>46</v>
      </c>
      <c r="K75" s="665" t="s">
        <v>853</v>
      </c>
      <c r="L75" s="665" t="s">
        <v>309</v>
      </c>
      <c r="M75" s="666"/>
      <c r="N75" s="667">
        <v>44180</v>
      </c>
      <c r="O75" s="670">
        <v>2020</v>
      </c>
      <c r="P75" s="665" t="s">
        <v>131</v>
      </c>
      <c r="Q75" s="665" t="s">
        <v>309</v>
      </c>
      <c r="R75" s="668">
        <v>44180</v>
      </c>
      <c r="S75" s="668">
        <f>IF(Tabla8[[#This Row],[FECHA DE ACEPTACION DEL GRUP. INV.]]="","",DATE(YEAR(Tabla8[[#This Row],[FECHA DE ACEPTACION DEL GRUP. INV.]])+2,MONTH(Tabla8[[#This Row],[FECHA DE ACEPTACION DEL GRUP. INV.]]),DAY(Tabla8[[#This Row],[FECHA DE ACEPTACION DEL GRUP. INV.]])))</f>
        <v>44910</v>
      </c>
      <c r="T75" s="676" t="str">
        <f ca="1">IF(Tabla8[[#This Row],[FECHA DE ACEPTACION DEL GRUP. INV.]]="","",IF(Tabla8[[#This Row],[FECHA DE VENCIMIENTO ANTE PROYECTO]]&lt;TODAY(),"SÍ","NO"))</f>
        <v>SÍ</v>
      </c>
      <c r="U75" s="699" t="s">
        <v>817</v>
      </c>
      <c r="V75" s="240" t="s">
        <v>556</v>
      </c>
      <c r="W75" s="240"/>
      <c r="X75" s="668" t="s">
        <v>424</v>
      </c>
      <c r="Y75" s="241"/>
      <c r="Z75" s="243"/>
      <c r="AA75" s="241">
        <v>45323</v>
      </c>
      <c r="AB75" s="243">
        <v>90</v>
      </c>
      <c r="AC75" s="238" t="s">
        <v>79</v>
      </c>
      <c r="AD75" s="241"/>
      <c r="AE75" s="238"/>
      <c r="AF75" s="241"/>
      <c r="AG75" s="238"/>
      <c r="AH75" s="241"/>
      <c r="AI75" s="241"/>
      <c r="AJ75" s="244"/>
      <c r="AK75" s="244"/>
      <c r="AL75" s="238"/>
      <c r="AM75" s="238"/>
      <c r="AN75" s="241"/>
      <c r="AO75" s="241"/>
      <c r="AP75" s="244"/>
      <c r="AQ75" s="244"/>
      <c r="AR75" s="238"/>
      <c r="AS75" s="241"/>
      <c r="AT75" s="240" t="str">
        <f t="shared" si="4"/>
        <v/>
      </c>
      <c r="AU75" s="238"/>
      <c r="AV75" s="238"/>
      <c r="AW75" s="238"/>
      <c r="AX75" s="238"/>
      <c r="AY75" s="240" t="str">
        <f>IFERROR(VLOOKUP(AX75,Listas!K151:K158,2,0),"")</f>
        <v/>
      </c>
      <c r="AZ75" s="381"/>
      <c r="BA75" s="238"/>
      <c r="BB75" s="238"/>
      <c r="BC75" s="245" t="str">
        <f t="shared" si="5"/>
        <v>Octavio Jose Salcedo Parra</v>
      </c>
    </row>
    <row r="76" spans="1:55" ht="47.25">
      <c r="A76" s="511">
        <v>20202195002</v>
      </c>
      <c r="B76" s="512" t="str">
        <f>VLOOKUP(A76,'ESTADOS ESTUDIANTES'!B:L,2,0)</f>
        <v>CASTILLO CRUZ JUAN DIEGO</v>
      </c>
      <c r="C76" s="512">
        <f>VLOOKUP(A76,'ESTADOS ESTUDIANTES'!B:L,11,0)</f>
        <v>1101759682</v>
      </c>
      <c r="D76" s="512">
        <f>VLOOKUP(A76,'ESTADOS ESTUDIANTES'!B:L,3,0)</f>
        <v>195</v>
      </c>
      <c r="E76" s="512" t="str">
        <f>VLOOKUP(Tabla8[[#This Row],[ENFASIS]],Listas!$R$2:$S$8,2,0)</f>
        <v>EN TELEINF.</v>
      </c>
      <c r="F76" s="512">
        <f>VLOOKUP(A76,'ESTADOS ESTUDIANTES'!B:L,8,0)</f>
        <v>0</v>
      </c>
      <c r="G76" s="512" t="str">
        <f>VLOOKUP(A76,'ESTADOS ESTUDIANTES'!B:L,9,0)</f>
        <v>judcastilloc@correo.udistrital.edu.co</v>
      </c>
      <c r="H76" s="512" t="str">
        <f>VLOOKUP(A76,'ESTADOS ESTUDIANTES'!B:L,5,0)</f>
        <v>E</v>
      </c>
      <c r="I76" s="512" t="str">
        <f>VLOOKUP(Tabla8[[#This Row],[CODIGO]],'ESTADOS ESTUDIANTES'!B:M,12,0)</f>
        <v>2022-3</v>
      </c>
      <c r="J76" s="513" t="s">
        <v>46</v>
      </c>
      <c r="K76" s="513" t="s">
        <v>854</v>
      </c>
      <c r="L76" s="513" t="s">
        <v>248</v>
      </c>
      <c r="M76" s="514"/>
      <c r="N76" s="515">
        <v>44179</v>
      </c>
      <c r="O76" s="512">
        <v>2020</v>
      </c>
      <c r="P76" s="513" t="s">
        <v>134</v>
      </c>
      <c r="Q76" s="513" t="s">
        <v>248</v>
      </c>
      <c r="R76" s="516"/>
      <c r="S76" s="516" t="str">
        <f>IF(Tabla8[[#This Row],[FECHA DE ACEPTACION DEL GRUP. INV.]]="","",DATE(YEAR(Tabla8[[#This Row],[FECHA DE ACEPTACION DEL GRUP. INV.]])+2,MONTH(Tabla8[[#This Row],[FECHA DE ACEPTACION DEL GRUP. INV.]]),DAY(Tabla8[[#This Row],[FECHA DE ACEPTACION DEL GRUP. INV.]])))</f>
        <v/>
      </c>
      <c r="T76" s="516" t="str">
        <f ca="1">IF(Tabla8[[#This Row],[FECHA DE ACEPTACION DEL GRUP. INV.]]="","",IF(Tabla8[[#This Row],[FECHA DE VENCIMIENTO ANTE PROYECTO]]&lt;TODAY(),"SÍ","NO"))</f>
        <v/>
      </c>
      <c r="U76" s="516"/>
      <c r="V76" s="513"/>
      <c r="W76" s="513"/>
      <c r="X76" s="516"/>
      <c r="Y76" s="515"/>
      <c r="Z76" s="517"/>
      <c r="AA76" s="515">
        <v>44802</v>
      </c>
      <c r="AB76" s="517">
        <v>140</v>
      </c>
      <c r="AC76" s="513" t="s">
        <v>79</v>
      </c>
      <c r="AD76" s="515"/>
      <c r="AE76" s="514"/>
      <c r="AF76" s="515"/>
      <c r="AG76" s="514"/>
      <c r="AH76" s="515"/>
      <c r="AI76" s="515"/>
      <c r="AJ76" s="511"/>
      <c r="AK76" s="511"/>
      <c r="AL76" s="514"/>
      <c r="AM76" s="514"/>
      <c r="AN76" s="515"/>
      <c r="AO76" s="515"/>
      <c r="AP76" s="511"/>
      <c r="AQ76" s="511"/>
      <c r="AR76" s="514"/>
      <c r="AS76" s="515"/>
      <c r="AT76" s="513" t="str">
        <f t="shared" si="4"/>
        <v/>
      </c>
      <c r="AU76" s="514"/>
      <c r="AV76" s="514"/>
      <c r="AW76" s="514"/>
      <c r="AX76" s="514"/>
      <c r="AY76" s="513" t="str">
        <f>IFERROR(VLOOKUP(AX76,Listas!K152:K159,2,0),"")</f>
        <v/>
      </c>
      <c r="AZ76" s="518"/>
      <c r="BA76" s="514"/>
      <c r="BB76" s="514"/>
      <c r="BC76" s="519" t="str">
        <f t="shared" si="5"/>
        <v/>
      </c>
    </row>
    <row r="77" spans="1:55" s="264" customFormat="1" ht="31.5">
      <c r="A77" s="669">
        <v>20202195006</v>
      </c>
      <c r="B77" s="670" t="str">
        <f>VLOOKUP(A77,'ESTADOS ESTUDIANTES'!B:L,2,0)</f>
        <v>RODRIGUEZ RODRIGUEZ CLAUDIA FERNANDA</v>
      </c>
      <c r="C77" s="670">
        <f>VLOOKUP(A77,'ESTADOS ESTUDIANTES'!B:L,11,0)</f>
        <v>1013596422</v>
      </c>
      <c r="D77" s="670">
        <f>VLOOKUP(A77,'ESTADOS ESTUDIANTES'!B:L,3,0)</f>
        <v>195</v>
      </c>
      <c r="E77" s="670" t="str">
        <f>VLOOKUP(Tabla8[[#This Row],[ENFASIS]],Listas!$R$2:$S$8,2,0)</f>
        <v>EN TELEINF.</v>
      </c>
      <c r="F77" s="670" t="str">
        <f>VLOOKUP(A77,'ESTADOS ESTUDIANTES'!B:L,8,0)</f>
        <v>cfrodriguezr@udistrital.edu.co</v>
      </c>
      <c r="G77" s="670" t="str">
        <f>VLOOKUP(A77,'ESTADOS ESTUDIANTES'!B:L,9,0)</f>
        <v>claudifer1745@gmail.com</v>
      </c>
      <c r="H77" s="670" t="str">
        <f>VLOOKUP(A77,'ESTADOS ESTUDIANTES'!B:L,5,0)</f>
        <v>V</v>
      </c>
      <c r="I77" s="670" t="str">
        <f>VLOOKUP(Tabla8[[#This Row],[CODIGO]],'ESTADOS ESTUDIANTES'!B:M,12,0)</f>
        <v>2026-1</v>
      </c>
      <c r="J77" s="665" t="s">
        <v>46</v>
      </c>
      <c r="K77" s="665" t="s">
        <v>855</v>
      </c>
      <c r="L77" s="665" t="s">
        <v>271</v>
      </c>
      <c r="M77" s="666" t="s">
        <v>856</v>
      </c>
      <c r="N77" s="667">
        <v>45457</v>
      </c>
      <c r="O77" s="670">
        <v>2024</v>
      </c>
      <c r="P77" s="665" t="s">
        <v>106</v>
      </c>
      <c r="Q77" s="665" t="s">
        <v>351</v>
      </c>
      <c r="R77" s="668">
        <v>45448</v>
      </c>
      <c r="S77" s="668">
        <f>IF(Tabla8[[#This Row],[FECHA DE ACEPTACION DEL GRUP. INV.]]="","",DATE(YEAR(Tabla8[[#This Row],[FECHA DE ACEPTACION DEL GRUP. INV.]])+2,MONTH(Tabla8[[#This Row],[FECHA DE ACEPTACION DEL GRUP. INV.]]),DAY(Tabla8[[#This Row],[FECHA DE ACEPTACION DEL GRUP. INV.]])))</f>
        <v>46178</v>
      </c>
      <c r="T77" s="668" t="str">
        <f ca="1">IF(Tabla8[[#This Row],[FECHA DE ACEPTACION DEL GRUP. INV.]]="","",IF(Tabla8[[#This Row],[FECHA DE VENCIMIENTO ANTE PROYECTO]]&lt;TODAY(),"SÍ","NO"))</f>
        <v>SÍ</v>
      </c>
      <c r="U77" s="699" t="s">
        <v>827</v>
      </c>
      <c r="V77" s="240" t="s">
        <v>371</v>
      </c>
      <c r="W77" s="240"/>
      <c r="X77" s="668" t="s">
        <v>424</v>
      </c>
      <c r="Y77" s="241"/>
      <c r="Z77" s="243"/>
      <c r="AA77" s="241"/>
      <c r="AB77" s="243"/>
      <c r="AC77" s="238"/>
      <c r="AD77" s="241"/>
      <c r="AE77" s="238"/>
      <c r="AF77" s="241"/>
      <c r="AG77" s="238"/>
      <c r="AH77" s="241"/>
      <c r="AI77" s="241"/>
      <c r="AJ77" s="244"/>
      <c r="AK77" s="244"/>
      <c r="AL77" s="238"/>
      <c r="AM77" s="238"/>
      <c r="AN77" s="241"/>
      <c r="AO77" s="241"/>
      <c r="AP77" s="244"/>
      <c r="AQ77" s="244"/>
      <c r="AR77" s="238"/>
      <c r="AS77" s="241"/>
      <c r="AT77" s="240" t="str">
        <f t="shared" si="4"/>
        <v/>
      </c>
      <c r="AU77" s="238"/>
      <c r="AV77" s="238"/>
      <c r="AW77" s="238"/>
      <c r="AX77" s="238"/>
      <c r="AY77" s="240" t="str">
        <f>IFERROR(VLOOKUP(AX77,Listas!K156:K163,2,0),"")</f>
        <v/>
      </c>
      <c r="AZ77" s="381"/>
      <c r="BA77" s="238"/>
      <c r="BB77" s="238"/>
      <c r="BC77" s="245" t="str">
        <f t="shared" si="5"/>
        <v>Nelson Enrique Vera Parra</v>
      </c>
    </row>
    <row r="78" spans="1:55">
      <c r="A78" s="383">
        <v>20202195007</v>
      </c>
      <c r="B78" s="384" t="str">
        <f>VLOOKUP(A78,'ESTADOS ESTUDIANTES'!B:L,2,0)</f>
        <v>RUIZ CRUZ JESUS ALBERTO</v>
      </c>
      <c r="C78" s="384">
        <f>VLOOKUP(A78,'ESTADOS ESTUDIANTES'!B:L,11,0)</f>
        <v>1030573693</v>
      </c>
      <c r="D78" s="384">
        <f>VLOOKUP(A78,'ESTADOS ESTUDIANTES'!B:L,3,0)</f>
        <v>195</v>
      </c>
      <c r="E78" s="384" t="str">
        <f>VLOOKUP(Tabla8[[#This Row],[ENFASIS]],Listas!$R$2:$S$8,2,0)</f>
        <v>EN TELEINF.</v>
      </c>
      <c r="F78" s="384">
        <f>VLOOKUP(A78,'ESTADOS ESTUDIANTES'!B:L,8,0)</f>
        <v>0</v>
      </c>
      <c r="G78" s="384" t="str">
        <f>VLOOKUP(A78,'ESTADOS ESTUDIANTES'!B:L,9,0)</f>
        <v>ruizcruzalberto@gmail.com</v>
      </c>
      <c r="H78" s="384" t="str">
        <f>VLOOKUP(A78,'ESTADOS ESTUDIANTES'!B:L,5,0)</f>
        <v>N</v>
      </c>
      <c r="I78" s="384" t="str">
        <f>VLOOKUP(Tabla8[[#This Row],[CODIGO]],'ESTADOS ESTUDIANTES'!B:M,12,0)</f>
        <v>-</v>
      </c>
      <c r="J78" s="331"/>
      <c r="K78" s="446"/>
      <c r="L78" s="446"/>
      <c r="M78" s="446"/>
      <c r="N78" s="447"/>
      <c r="O78" s="446"/>
      <c r="P78" s="446"/>
      <c r="Q78" s="446"/>
      <c r="R78" s="448"/>
      <c r="S78" s="448" t="str">
        <f>IF(Tabla8[[#This Row],[FECHA DE ACEPTACION DEL GRUP. INV.]]="","",DATE(YEAR(Tabla8[[#This Row],[FECHA DE ACEPTACION DEL GRUP. INV.]])+2,MONTH(Tabla8[[#This Row],[FECHA DE ACEPTACION DEL GRUP. INV.]]),DAY(Tabla8[[#This Row],[FECHA DE ACEPTACION DEL GRUP. INV.]])))</f>
        <v/>
      </c>
      <c r="T78" s="448" t="str">
        <f ca="1">IF(Tabla8[[#This Row],[FECHA DE ACEPTACION DEL GRUP. INV.]]="","",IF(Tabla8[[#This Row],[FECHA DE VENCIMIENTO ANTE PROYECTO]]&lt;TODAY(),"SÍ","NO"))</f>
        <v/>
      </c>
      <c r="U78" s="448"/>
      <c r="V78" s="448"/>
      <c r="W78" s="448"/>
      <c r="X78" s="448"/>
      <c r="Y78" s="330"/>
      <c r="Z78" s="387"/>
      <c r="AA78" s="330"/>
      <c r="AB78" s="387"/>
      <c r="AC78" s="390"/>
      <c r="AD78" s="447"/>
      <c r="AE78" s="446"/>
      <c r="AF78" s="447"/>
      <c r="AG78" s="446"/>
      <c r="AH78" s="447"/>
      <c r="AI78" s="447"/>
      <c r="AJ78" s="383"/>
      <c r="AK78" s="383"/>
      <c r="AL78" s="446"/>
      <c r="AM78" s="446"/>
      <c r="AN78" s="447"/>
      <c r="AO78" s="447"/>
      <c r="AP78" s="383"/>
      <c r="AQ78" s="383"/>
      <c r="AR78" s="446"/>
      <c r="AS78" s="447"/>
      <c r="AT78" s="386" t="str">
        <f t="shared" si="4"/>
        <v/>
      </c>
      <c r="AU78" s="446"/>
      <c r="AV78" s="446"/>
      <c r="AW78" s="331"/>
      <c r="AX78" s="446"/>
      <c r="AY78" s="386" t="str">
        <f>IFERROR(VLOOKUP(AX78,Listas!K157:K164,2,0),"")</f>
        <v/>
      </c>
      <c r="AZ78" s="388"/>
      <c r="BA78" s="446"/>
      <c r="BB78" s="446"/>
      <c r="BC78" s="391" t="str">
        <f t="shared" si="5"/>
        <v/>
      </c>
    </row>
    <row r="79" spans="1:55">
      <c r="A79" s="383">
        <v>20202195008</v>
      </c>
      <c r="B79" s="384" t="str">
        <f>VLOOKUP(A79,'ESTADOS ESTUDIANTES'!B:L,2,0)</f>
        <v>CAMILO RAMIREZ ARDILA</v>
      </c>
      <c r="C79" s="384">
        <f>VLOOKUP(A79,'ESTADOS ESTUDIANTES'!B:L,11,0)</f>
        <v>80200751</v>
      </c>
      <c r="D79" s="384">
        <f>VLOOKUP(A79,'ESTADOS ESTUDIANTES'!B:L,3,0)</f>
        <v>195</v>
      </c>
      <c r="E79" s="384" t="str">
        <f>VLOOKUP(Tabla8[[#This Row],[ENFASIS]],Listas!$R$2:$S$8,2,0)</f>
        <v>EN TELEINF.</v>
      </c>
      <c r="F79" s="384">
        <f>VLOOKUP(A79,'ESTADOS ESTUDIANTES'!B:L,8,0)</f>
        <v>0</v>
      </c>
      <c r="G79" s="384" t="str">
        <f>VLOOKUP(A79,'ESTADOS ESTUDIANTES'!B:L,9,0)</f>
        <v>camramirez2@hotmail.com</v>
      </c>
      <c r="H79" s="384" t="str">
        <f>VLOOKUP(A79,'ESTADOS ESTUDIANTES'!B:L,5,0)</f>
        <v>N</v>
      </c>
      <c r="I79" s="384" t="str">
        <f>VLOOKUP(Tabla8[[#This Row],[CODIGO]],'ESTADOS ESTUDIANTES'!B:M,12,0)</f>
        <v>-</v>
      </c>
      <c r="J79" s="331"/>
      <c r="K79" s="446"/>
      <c r="L79" s="446"/>
      <c r="M79" s="446"/>
      <c r="N79" s="447"/>
      <c r="O79" s="446"/>
      <c r="P79" s="446"/>
      <c r="Q79" s="446"/>
      <c r="R79" s="448"/>
      <c r="S79" s="448" t="str">
        <f>IF(Tabla8[[#This Row],[FECHA DE ACEPTACION DEL GRUP. INV.]]="","",DATE(YEAR(Tabla8[[#This Row],[FECHA DE ACEPTACION DEL GRUP. INV.]])+2,MONTH(Tabla8[[#This Row],[FECHA DE ACEPTACION DEL GRUP. INV.]]),DAY(Tabla8[[#This Row],[FECHA DE ACEPTACION DEL GRUP. INV.]])))</f>
        <v/>
      </c>
      <c r="T79" s="448" t="str">
        <f ca="1">IF(Tabla8[[#This Row],[FECHA DE ACEPTACION DEL GRUP. INV.]]="","",IF(Tabla8[[#This Row],[FECHA DE VENCIMIENTO ANTE PROYECTO]]&lt;TODAY(),"SÍ","NO"))</f>
        <v/>
      </c>
      <c r="U79" s="448"/>
      <c r="V79" s="448"/>
      <c r="W79" s="448"/>
      <c r="X79" s="448"/>
      <c r="Y79" s="330"/>
      <c r="Z79" s="387"/>
      <c r="AA79" s="330"/>
      <c r="AB79" s="387"/>
      <c r="AC79" s="390"/>
      <c r="AD79" s="447"/>
      <c r="AE79" s="446"/>
      <c r="AF79" s="447"/>
      <c r="AG79" s="446"/>
      <c r="AH79" s="447"/>
      <c r="AI79" s="447"/>
      <c r="AJ79" s="383"/>
      <c r="AK79" s="383"/>
      <c r="AL79" s="446"/>
      <c r="AM79" s="446"/>
      <c r="AN79" s="447"/>
      <c r="AO79" s="447"/>
      <c r="AP79" s="383"/>
      <c r="AQ79" s="383"/>
      <c r="AR79" s="446"/>
      <c r="AS79" s="447"/>
      <c r="AT79" s="386" t="str">
        <f t="shared" si="4"/>
        <v/>
      </c>
      <c r="AU79" s="446"/>
      <c r="AV79" s="446"/>
      <c r="AW79" s="331"/>
      <c r="AX79" s="446"/>
      <c r="AY79" s="386" t="str">
        <f>IFERROR(VLOOKUP(AX79,Listas!K158:K165,2,0),"")</f>
        <v/>
      </c>
      <c r="AZ79" s="388"/>
      <c r="BA79" s="446"/>
      <c r="BB79" s="446"/>
      <c r="BC79" s="389" t="str">
        <f t="shared" si="5"/>
        <v/>
      </c>
    </row>
    <row r="80" spans="1:55" ht="63">
      <c r="A80" s="383">
        <v>20202395002</v>
      </c>
      <c r="B80" s="384" t="str">
        <f>VLOOKUP(A80,'ESTADOS ESTUDIANTES'!B:L,2,0)</f>
        <v>BURGOS GALINDO ANYI LORENA</v>
      </c>
      <c r="C80" s="384">
        <f>VLOOKUP(A80,'ESTADOS ESTUDIANTES'!B:L,11,0)</f>
        <v>1012345953</v>
      </c>
      <c r="D80" s="384">
        <f>VLOOKUP(A80,'ESTADOS ESTUDIANTES'!B:L,3,0)</f>
        <v>395</v>
      </c>
      <c r="E80" s="384" t="str">
        <f>VLOOKUP(Tabla8[[#This Row],[ENFASIS]],Listas!$R$2:$S$8,2,0)</f>
        <v>ENFASIS EN GEOMATICA</v>
      </c>
      <c r="F80" s="384">
        <f>VLOOKUP(A80,'ESTADOS ESTUDIANTES'!B:L,8,0)</f>
        <v>0</v>
      </c>
      <c r="G80" s="384" t="str">
        <f>VLOOKUP(A80,'ESTADOS ESTUDIANTES'!B:L,9,0)</f>
        <v>alburgosg@correo.udistrital.edu.co</v>
      </c>
      <c r="H80" s="384" t="str">
        <f>VLOOKUP(A80,'ESTADOS ESTUDIANTES'!B:L,5,0)</f>
        <v>X</v>
      </c>
      <c r="I80" s="384" t="str">
        <f>VLOOKUP(Tabla8[[#This Row],[CODIGO]],'ESTADOS ESTUDIANTES'!B:M,12,0)</f>
        <v>2021-1</v>
      </c>
      <c r="J80" s="386" t="s">
        <v>46</v>
      </c>
      <c r="K80" s="386" t="s">
        <v>857</v>
      </c>
      <c r="L80" s="386" t="s">
        <v>402</v>
      </c>
      <c r="M80" s="386" t="s">
        <v>270</v>
      </c>
      <c r="N80" s="330">
        <v>44179</v>
      </c>
      <c r="O80" s="384">
        <v>2020</v>
      </c>
      <c r="P80" s="386" t="s">
        <v>83</v>
      </c>
      <c r="Q80" s="386" t="s">
        <v>512</v>
      </c>
      <c r="R80" s="385">
        <v>44179</v>
      </c>
      <c r="S80" s="385">
        <f>IF(Tabla8[[#This Row],[FECHA DE ACEPTACION DEL GRUP. INV.]]="","",DATE(YEAR(Tabla8[[#This Row],[FECHA DE ACEPTACION DEL GRUP. INV.]])+2,MONTH(Tabla8[[#This Row],[FECHA DE ACEPTACION DEL GRUP. INV.]]),DAY(Tabla8[[#This Row],[FECHA DE ACEPTACION DEL GRUP. INV.]])))</f>
        <v>44909</v>
      </c>
      <c r="T80" s="385" t="str">
        <f ca="1">IF(Tabla8[[#This Row],[FECHA DE ACEPTACION DEL GRUP. INV.]]="","",IF(Tabla8[[#This Row],[FECHA DE VENCIMIENTO ANTE PROYECTO]]&lt;TODAY(),"SÍ","NO"))</f>
        <v>SÍ</v>
      </c>
      <c r="U80" s="385"/>
      <c r="V80" s="386" t="s">
        <v>556</v>
      </c>
      <c r="W80" s="386"/>
      <c r="X80" s="385"/>
      <c r="Y80" s="330"/>
      <c r="Z80" s="387"/>
      <c r="AA80" s="330"/>
      <c r="AB80" s="387"/>
      <c r="AC80" s="390"/>
      <c r="AD80" s="330"/>
      <c r="AE80" s="331"/>
      <c r="AF80" s="330"/>
      <c r="AG80" s="446"/>
      <c r="AH80" s="330"/>
      <c r="AI80" s="330"/>
      <c r="AJ80" s="383"/>
      <c r="AK80" s="383"/>
      <c r="AL80" s="331"/>
      <c r="AM80" s="331"/>
      <c r="AN80" s="330"/>
      <c r="AO80" s="330"/>
      <c r="AP80" s="383"/>
      <c r="AQ80" s="383"/>
      <c r="AR80" s="331"/>
      <c r="AS80" s="330"/>
      <c r="AT80" s="386" t="str">
        <f t="shared" si="4"/>
        <v/>
      </c>
      <c r="AU80" s="331"/>
      <c r="AV80" s="331"/>
      <c r="AW80" s="331"/>
      <c r="AX80" s="331"/>
      <c r="AY80" s="386" t="str">
        <f>IFERROR(VLOOKUP(AX80,Listas!K160:K167,2,0),"")</f>
        <v/>
      </c>
      <c r="AZ80" s="388"/>
      <c r="BA80" s="331"/>
      <c r="BB80" s="331"/>
      <c r="BC80" s="391" t="str">
        <f t="shared" si="5"/>
        <v/>
      </c>
    </row>
    <row r="81" spans="1:55" s="264" customFormat="1" ht="47.25">
      <c r="A81" s="669">
        <v>20202395005</v>
      </c>
      <c r="B81" s="670" t="str">
        <f>VLOOKUP(A81,'ESTADOS ESTUDIANTES'!B:L,2,0)</f>
        <v>GUTIERREZ URUENA CARLOS EDUARDO</v>
      </c>
      <c r="C81" s="670">
        <f>VLOOKUP(A81,'ESTADOS ESTUDIANTES'!B:L,11,0)</f>
        <v>1018458470</v>
      </c>
      <c r="D81" s="670">
        <f>VLOOKUP(A81,'ESTADOS ESTUDIANTES'!B:L,3,0)</f>
        <v>395</v>
      </c>
      <c r="E81" s="670" t="str">
        <f>VLOOKUP(Tabla8[[#This Row],[ENFASIS]],Listas!$R$2:$S$8,2,0)</f>
        <v>ENFASIS EN GEOMATICA</v>
      </c>
      <c r="F81" s="670" t="str">
        <f>VLOOKUP(A81,'ESTADOS ESTUDIANTES'!B:L,8,0)</f>
        <v>cegutierrezu@udistrital.edu.co</v>
      </c>
      <c r="G81" s="670" t="str">
        <f>VLOOKUP(A81,'ESTADOS ESTUDIANTES'!B:L,9,0)</f>
        <v>cgutierrezu@unal.edu.co</v>
      </c>
      <c r="H81" s="670" t="str">
        <f>VLOOKUP(A81,'ESTADOS ESTUDIANTES'!B:L,5,0)</f>
        <v>A</v>
      </c>
      <c r="I81" s="670" t="str">
        <f>VLOOKUP(Tabla8[[#This Row],[CODIGO]],'ESTADOS ESTUDIANTES'!B:M,12,0)</f>
        <v>2026-3</v>
      </c>
      <c r="J81" s="665" t="s">
        <v>46</v>
      </c>
      <c r="K81" s="671" t="s">
        <v>858</v>
      </c>
      <c r="L81" s="665" t="s">
        <v>402</v>
      </c>
      <c r="M81" s="666"/>
      <c r="N81" s="667">
        <v>45519</v>
      </c>
      <c r="O81" s="670">
        <v>2024</v>
      </c>
      <c r="P81" s="665" t="s">
        <v>83</v>
      </c>
      <c r="Q81" s="665" t="s">
        <v>402</v>
      </c>
      <c r="R81" s="668">
        <v>45704</v>
      </c>
      <c r="S81" s="668">
        <f>IF(Tabla8[[#This Row],[FECHA DE ACEPTACION DEL GRUP. INV.]]="","",DATE(YEAR(Tabla8[[#This Row],[FECHA DE ACEPTACION DEL GRUP. INV.]])+2,MONTH(Tabla8[[#This Row],[FECHA DE ACEPTACION DEL GRUP. INV.]]),DAY(Tabla8[[#This Row],[FECHA DE ACEPTACION DEL GRUP. INV.]])))</f>
        <v>46434</v>
      </c>
      <c r="T81" s="668" t="str">
        <f ca="1">IF(Tabla8[[#This Row],[FECHA DE ACEPTACION DEL GRUP. INV.]]="","",IF(Tabla8[[#This Row],[FECHA DE VENCIMIENTO ANTE PROYECTO]]&lt;TODAY(),"SÍ","NO"))</f>
        <v>NO</v>
      </c>
      <c r="U81" s="699" t="s">
        <v>827</v>
      </c>
      <c r="V81" s="240" t="s">
        <v>859</v>
      </c>
      <c r="W81" s="240"/>
      <c r="X81" s="668" t="s">
        <v>424</v>
      </c>
      <c r="Y81" s="241"/>
      <c r="Z81" s="243"/>
      <c r="AA81" s="241">
        <v>45768</v>
      </c>
      <c r="AB81" s="243">
        <v>88</v>
      </c>
      <c r="AC81" s="238" t="s">
        <v>79</v>
      </c>
      <c r="AD81" s="241"/>
      <c r="AE81" s="238"/>
      <c r="AF81" s="241"/>
      <c r="AG81" s="453"/>
      <c r="AH81" s="241"/>
      <c r="AI81" s="241"/>
      <c r="AJ81" s="244"/>
      <c r="AK81" s="244"/>
      <c r="AL81" s="238"/>
      <c r="AM81" s="238"/>
      <c r="AN81" s="241"/>
      <c r="AO81" s="241"/>
      <c r="AP81" s="244"/>
      <c r="AQ81" s="244"/>
      <c r="AR81" s="238"/>
      <c r="AS81" s="241"/>
      <c r="AT81" s="240" t="str">
        <f t="shared" ref="AT81:AT97" si="6">IFERROR(ROUND(AVERAGE(AQ81,AP81,AK81,AJ81),0),"")</f>
        <v/>
      </c>
      <c r="AU81" s="238"/>
      <c r="AV81" s="238"/>
      <c r="AW81" s="238"/>
      <c r="AX81" s="238"/>
      <c r="AY81" s="240" t="str">
        <f>IFERROR(VLOOKUP(AX81,Listas!K163:K170,2,0),"")</f>
        <v/>
      </c>
      <c r="AZ81" s="381"/>
      <c r="BA81" s="238"/>
      <c r="BB81" s="238"/>
      <c r="BC81" s="245" t="str">
        <f t="shared" si="5"/>
        <v>Luis Eduardo Castillo Mendez</v>
      </c>
    </row>
    <row r="82" spans="1:55">
      <c r="A82" s="383">
        <v>20202395008</v>
      </c>
      <c r="B82" s="384" t="str">
        <f>VLOOKUP(A82,'ESTADOS ESTUDIANTES'!B:L,2,0)</f>
        <v>PACHON GARZON SERGIO DAVID</v>
      </c>
      <c r="C82" s="384">
        <f>VLOOKUP(A82,'ESTADOS ESTUDIANTES'!B:L,11,0)</f>
        <v>1136886605</v>
      </c>
      <c r="D82" s="384">
        <f>VLOOKUP(A82,'ESTADOS ESTUDIANTES'!B:L,3,0)</f>
        <v>395</v>
      </c>
      <c r="E82" s="384" t="str">
        <f>VLOOKUP(Tabla8[[#This Row],[ENFASIS]],Listas!$R$2:$S$8,2,0)</f>
        <v>ENFASIS EN GEOMATICA</v>
      </c>
      <c r="F82" s="384">
        <f>VLOOKUP(A82,'ESTADOS ESTUDIANTES'!B:L,8,0)</f>
        <v>0</v>
      </c>
      <c r="G82" s="384" t="str">
        <f>VLOOKUP(A82,'ESTADOS ESTUDIANTES'!B:L,9,0)</f>
        <v>sdpachong@gmail.com</v>
      </c>
      <c r="H82" s="384" t="str">
        <f>VLOOKUP(A82,'ESTADOS ESTUDIANTES'!B:L,5,0)</f>
        <v>X</v>
      </c>
      <c r="I82" s="384" t="str">
        <f>VLOOKUP(Tabla8[[#This Row],[CODIGO]],'ESTADOS ESTUDIANTES'!B:M,12,0)</f>
        <v>2022-1</v>
      </c>
      <c r="J82" s="331"/>
      <c r="K82" s="331"/>
      <c r="L82" s="331"/>
      <c r="M82" s="331"/>
      <c r="N82" s="330"/>
      <c r="O82" s="331"/>
      <c r="P82" s="331"/>
      <c r="Q82" s="331"/>
      <c r="R82" s="385"/>
      <c r="S82" s="385" t="str">
        <f>IF(Tabla8[[#This Row],[FECHA DE ACEPTACION DEL GRUP. INV.]]="","",DATE(YEAR(Tabla8[[#This Row],[FECHA DE ACEPTACION DEL GRUP. INV.]])+2,MONTH(Tabla8[[#This Row],[FECHA DE ACEPTACION DEL GRUP. INV.]]),DAY(Tabla8[[#This Row],[FECHA DE ACEPTACION DEL GRUP. INV.]])))</f>
        <v/>
      </c>
      <c r="T82" s="385" t="str">
        <f ca="1">IF(Tabla8[[#This Row],[FECHA DE ACEPTACION DEL GRUP. INV.]]="","",IF(Tabla8[[#This Row],[FECHA DE VENCIMIENTO ANTE PROYECTO]]&lt;TODAY(),"SÍ","NO"))</f>
        <v/>
      </c>
      <c r="U82" s="385"/>
      <c r="V82" s="386"/>
      <c r="W82" s="386"/>
      <c r="X82" s="385"/>
      <c r="Y82" s="330"/>
      <c r="Z82" s="387"/>
      <c r="AA82" s="330">
        <v>44342</v>
      </c>
      <c r="AB82" s="387">
        <v>91.3</v>
      </c>
      <c r="AC82" s="272" t="s">
        <v>79</v>
      </c>
      <c r="AD82" s="330"/>
      <c r="AE82" s="331"/>
      <c r="AF82" s="330"/>
      <c r="AG82" s="446"/>
      <c r="AH82" s="330"/>
      <c r="AI82" s="330"/>
      <c r="AJ82" s="383"/>
      <c r="AK82" s="383"/>
      <c r="AL82" s="331"/>
      <c r="AM82" s="331"/>
      <c r="AN82" s="330"/>
      <c r="AO82" s="330"/>
      <c r="AP82" s="383"/>
      <c r="AQ82" s="383"/>
      <c r="AR82" s="331"/>
      <c r="AS82" s="330"/>
      <c r="AT82" s="386" t="str">
        <f t="shared" si="6"/>
        <v/>
      </c>
      <c r="AU82" s="331"/>
      <c r="AV82" s="331"/>
      <c r="AW82" s="331"/>
      <c r="AX82" s="331"/>
      <c r="AY82" s="386" t="str">
        <f>IFERROR(VLOOKUP(AX82,Listas!K166:K173,2,0),"")</f>
        <v/>
      </c>
      <c r="AZ82" s="388"/>
      <c r="BA82" s="331"/>
      <c r="BB82" s="331"/>
      <c r="BC82" s="391" t="str">
        <f t="shared" si="5"/>
        <v/>
      </c>
    </row>
    <row r="83" spans="1:55">
      <c r="A83" s="383">
        <v>20202395010</v>
      </c>
      <c r="B83" s="384" t="str">
        <f>VLOOKUP(A83,'ESTADOS ESTUDIANTES'!B:L,2,0)</f>
        <v>RODRIGUEZ MARTIN ANGELA MARIA</v>
      </c>
      <c r="C83" s="384">
        <f>VLOOKUP(A83,'ESTADOS ESTUDIANTES'!B:L,11,0)</f>
        <v>1010173313</v>
      </c>
      <c r="D83" s="384">
        <f>VLOOKUP(A83,'ESTADOS ESTUDIANTES'!B:L,3,0)</f>
        <v>395</v>
      </c>
      <c r="E83" s="384" t="str">
        <f>VLOOKUP(Tabla8[[#This Row],[ENFASIS]],Listas!$R$2:$S$8,2,0)</f>
        <v>ENFASIS EN GEOMATICA</v>
      </c>
      <c r="F83" s="384">
        <f>VLOOKUP(A83,'ESTADOS ESTUDIANTES'!B:L,8,0)</f>
        <v>0</v>
      </c>
      <c r="G83" s="384" t="str">
        <f>VLOOKUP(A83,'ESTADOS ESTUDIANTES'!B:L,9,0)</f>
        <v>anmrodriguezm@correo.udistrital.edu.co</v>
      </c>
      <c r="H83" s="384" t="str">
        <f>VLOOKUP(A83,'ESTADOS ESTUDIANTES'!B:L,5,0)</f>
        <v>X</v>
      </c>
      <c r="I83" s="384" t="str">
        <f>VLOOKUP(Tabla8[[#This Row],[CODIGO]],'ESTADOS ESTUDIANTES'!B:M,12,0)</f>
        <v>2020-3</v>
      </c>
      <c r="J83" s="331"/>
      <c r="K83" s="446"/>
      <c r="L83" s="446"/>
      <c r="M83" s="446"/>
      <c r="N83" s="447"/>
      <c r="O83" s="446"/>
      <c r="P83" s="446"/>
      <c r="Q83" s="446"/>
      <c r="R83" s="448"/>
      <c r="S83" s="448" t="str">
        <f>IF(Tabla8[[#This Row],[FECHA DE ACEPTACION DEL GRUP. INV.]]="","",DATE(YEAR(Tabla8[[#This Row],[FECHA DE ACEPTACION DEL GRUP. INV.]])+2,MONTH(Tabla8[[#This Row],[FECHA DE ACEPTACION DEL GRUP. INV.]]),DAY(Tabla8[[#This Row],[FECHA DE ACEPTACION DEL GRUP. INV.]])))</f>
        <v/>
      </c>
      <c r="T83" s="448" t="str">
        <f ca="1">IF(Tabla8[[#This Row],[FECHA DE ACEPTACION DEL GRUP. INV.]]="","",IF(Tabla8[[#This Row],[FECHA DE VENCIMIENTO ANTE PROYECTO]]&lt;TODAY(),"SÍ","NO"))</f>
        <v/>
      </c>
      <c r="U83" s="448"/>
      <c r="V83" s="448"/>
      <c r="W83" s="448"/>
      <c r="X83" s="448"/>
      <c r="Y83" s="330"/>
      <c r="Z83" s="387"/>
      <c r="AA83" s="330"/>
      <c r="AB83" s="387"/>
      <c r="AC83" s="390"/>
      <c r="AD83" s="447"/>
      <c r="AE83" s="446"/>
      <c r="AF83" s="447"/>
      <c r="AG83" s="446"/>
      <c r="AH83" s="447"/>
      <c r="AI83" s="447"/>
      <c r="AJ83" s="383"/>
      <c r="AK83" s="383"/>
      <c r="AL83" s="446"/>
      <c r="AM83" s="446"/>
      <c r="AN83" s="447"/>
      <c r="AO83" s="447"/>
      <c r="AP83" s="383"/>
      <c r="AQ83" s="383"/>
      <c r="AR83" s="446"/>
      <c r="AS83" s="447"/>
      <c r="AT83" s="386" t="str">
        <f t="shared" si="6"/>
        <v/>
      </c>
      <c r="AU83" s="446"/>
      <c r="AV83" s="446"/>
      <c r="AW83" s="331"/>
      <c r="AX83" s="446"/>
      <c r="AY83" s="386" t="str">
        <f>IFERROR(VLOOKUP(AX83,Listas!K168:K175,2,0),"")</f>
        <v/>
      </c>
      <c r="AZ83" s="388"/>
      <c r="BA83" s="446"/>
      <c r="BB83" s="446"/>
      <c r="BC83" s="391" t="str">
        <f t="shared" ref="BC83:BC100" si="7">IF(OR(H83="A",$H83="D",$H83="P",$H83="V"),L83,"")</f>
        <v/>
      </c>
    </row>
    <row r="84" spans="1:55">
      <c r="A84" s="383">
        <v>20202395012</v>
      </c>
      <c r="B84" s="384" t="str">
        <f>VLOOKUP(A84,'ESTADOS ESTUDIANTES'!B:L,2,0)</f>
        <v>RUIZ FERNANDEZ MARLON RICARDO</v>
      </c>
      <c r="C84" s="384">
        <f>VLOOKUP(A84,'ESTADOS ESTUDIANTES'!B:L,11,0)</f>
        <v>1018481617</v>
      </c>
      <c r="D84" s="384">
        <f>VLOOKUP(A84,'ESTADOS ESTUDIANTES'!B:L,3,0)</f>
        <v>395</v>
      </c>
      <c r="E84" s="384" t="str">
        <f>VLOOKUP(Tabla8[[#This Row],[ENFASIS]],Listas!$R$2:$S$8,2,0)</f>
        <v>ENFASIS EN GEOMATICA</v>
      </c>
      <c r="F84" s="384">
        <f>VLOOKUP(A84,'ESTADOS ESTUDIANTES'!B:L,8,0)</f>
        <v>0</v>
      </c>
      <c r="G84" s="384" t="str">
        <f>VLOOKUP(A84,'ESTADOS ESTUDIANTES'!B:L,9,0)</f>
        <v>ricardh.95@gmail.com</v>
      </c>
      <c r="H84" s="384" t="str">
        <f>VLOOKUP(A84,'ESTADOS ESTUDIANTES'!B:L,5,0)</f>
        <v>N</v>
      </c>
      <c r="I84" s="384" t="str">
        <f>VLOOKUP(Tabla8[[#This Row],[CODIGO]],'ESTADOS ESTUDIANTES'!B:M,12,0)</f>
        <v>-</v>
      </c>
      <c r="J84" s="331"/>
      <c r="K84" s="446"/>
      <c r="L84" s="446"/>
      <c r="M84" s="446"/>
      <c r="N84" s="447"/>
      <c r="O84" s="446"/>
      <c r="P84" s="446"/>
      <c r="Q84" s="446"/>
      <c r="R84" s="448"/>
      <c r="S84" s="448" t="str">
        <f>IF(Tabla8[[#This Row],[FECHA DE ACEPTACION DEL GRUP. INV.]]="","",DATE(YEAR(Tabla8[[#This Row],[FECHA DE ACEPTACION DEL GRUP. INV.]])+2,MONTH(Tabla8[[#This Row],[FECHA DE ACEPTACION DEL GRUP. INV.]]),DAY(Tabla8[[#This Row],[FECHA DE ACEPTACION DEL GRUP. INV.]])))</f>
        <v/>
      </c>
      <c r="T84" s="448" t="str">
        <f ca="1">IF(Tabla8[[#This Row],[FECHA DE ACEPTACION DEL GRUP. INV.]]="","",IF(Tabla8[[#This Row],[FECHA DE VENCIMIENTO ANTE PROYECTO]]&lt;TODAY(),"SÍ","NO"))</f>
        <v/>
      </c>
      <c r="U84" s="448"/>
      <c r="V84" s="448"/>
      <c r="W84" s="448"/>
      <c r="X84" s="448"/>
      <c r="Y84" s="330"/>
      <c r="Z84" s="387"/>
      <c r="AA84" s="330"/>
      <c r="AB84" s="387"/>
      <c r="AC84" s="390"/>
      <c r="AD84" s="447"/>
      <c r="AE84" s="446"/>
      <c r="AF84" s="447"/>
      <c r="AG84" s="446"/>
      <c r="AH84" s="447"/>
      <c r="AI84" s="447"/>
      <c r="AJ84" s="383"/>
      <c r="AK84" s="383"/>
      <c r="AL84" s="446"/>
      <c r="AM84" s="446"/>
      <c r="AN84" s="447"/>
      <c r="AO84" s="447"/>
      <c r="AP84" s="383"/>
      <c r="AQ84" s="383"/>
      <c r="AR84" s="446"/>
      <c r="AS84" s="447"/>
      <c r="AT84" s="386" t="str">
        <f t="shared" si="6"/>
        <v/>
      </c>
      <c r="AU84" s="446"/>
      <c r="AV84" s="446"/>
      <c r="AW84" s="331"/>
      <c r="AX84" s="446"/>
      <c r="AY84" s="386" t="str">
        <f>IFERROR(VLOOKUP(AX84,Listas!K170:K177,2,0),"")</f>
        <v/>
      </c>
      <c r="AZ84" s="388"/>
      <c r="BA84" s="446"/>
      <c r="BB84" s="446"/>
      <c r="BC84" s="389" t="str">
        <f t="shared" si="7"/>
        <v/>
      </c>
    </row>
    <row r="85" spans="1:55">
      <c r="A85" s="383">
        <v>20202395013</v>
      </c>
      <c r="B85" s="384" t="str">
        <f>VLOOKUP(A85,'ESTADOS ESTUDIANTES'!B:L,2,0)</f>
        <v>SALINAS CORREDOR DIANA MARCELA</v>
      </c>
      <c r="C85" s="384">
        <f>VLOOKUP(A85,'ESTADOS ESTUDIANTES'!B:L,11,0)</f>
        <v>1013601603</v>
      </c>
      <c r="D85" s="384">
        <f>VLOOKUP(A85,'ESTADOS ESTUDIANTES'!B:L,3,0)</f>
        <v>395</v>
      </c>
      <c r="E85" s="384" t="str">
        <f>VLOOKUP(Tabla8[[#This Row],[ENFASIS]],Listas!$R$2:$S$8,2,0)</f>
        <v>ENFASIS EN GEOMATICA</v>
      </c>
      <c r="F85" s="384">
        <f>VLOOKUP(A85,'ESTADOS ESTUDIANTES'!B:L,8,0)</f>
        <v>0</v>
      </c>
      <c r="G85" s="384" t="str">
        <f>VLOOKUP(A85,'ESTADOS ESTUDIANTES'!B:L,9,0)</f>
        <v>dianasalinas820@gmail.com</v>
      </c>
      <c r="H85" s="384" t="str">
        <f>VLOOKUP(A85,'ESTADOS ESTUDIANTES'!B:L,5,0)</f>
        <v>X</v>
      </c>
      <c r="I85" s="384" t="str">
        <f>VLOOKUP(Tabla8[[#This Row],[CODIGO]],'ESTADOS ESTUDIANTES'!B:M,12,0)</f>
        <v>2020-3</v>
      </c>
      <c r="J85" s="331"/>
      <c r="K85" s="331"/>
      <c r="L85" s="331"/>
      <c r="M85" s="331"/>
      <c r="N85" s="330"/>
      <c r="O85" s="331"/>
      <c r="P85" s="331"/>
      <c r="Q85" s="331"/>
      <c r="R85" s="385"/>
      <c r="S85" s="385" t="str">
        <f>IF(Tabla8[[#This Row],[FECHA DE ACEPTACION DEL GRUP. INV.]]="","",DATE(YEAR(Tabla8[[#This Row],[FECHA DE ACEPTACION DEL GRUP. INV.]])+2,MONTH(Tabla8[[#This Row],[FECHA DE ACEPTACION DEL GRUP. INV.]]),DAY(Tabla8[[#This Row],[FECHA DE ACEPTACION DEL GRUP. INV.]])))</f>
        <v/>
      </c>
      <c r="T85" s="385" t="str">
        <f ca="1">IF(Tabla8[[#This Row],[FECHA DE ACEPTACION DEL GRUP. INV.]]="","",IF(Tabla8[[#This Row],[FECHA DE VENCIMIENTO ANTE PROYECTO]]&lt;TODAY(),"SÍ","NO"))</f>
        <v/>
      </c>
      <c r="U85" s="385"/>
      <c r="V85" s="386"/>
      <c r="W85" s="386"/>
      <c r="X85" s="385"/>
      <c r="Y85" s="330"/>
      <c r="Z85" s="387"/>
      <c r="AA85" s="330"/>
      <c r="AB85" s="387"/>
      <c r="AC85" s="390"/>
      <c r="AD85" s="330"/>
      <c r="AE85" s="331"/>
      <c r="AF85" s="330"/>
      <c r="AG85" s="446"/>
      <c r="AH85" s="330"/>
      <c r="AI85" s="330"/>
      <c r="AJ85" s="383"/>
      <c r="AK85" s="383"/>
      <c r="AL85" s="331"/>
      <c r="AM85" s="331"/>
      <c r="AN85" s="330"/>
      <c r="AO85" s="330"/>
      <c r="AP85" s="383"/>
      <c r="AQ85" s="383"/>
      <c r="AR85" s="331"/>
      <c r="AS85" s="330"/>
      <c r="AT85" s="386" t="str">
        <f t="shared" si="6"/>
        <v/>
      </c>
      <c r="AU85" s="331"/>
      <c r="AV85" s="331"/>
      <c r="AW85" s="331"/>
      <c r="AX85" s="331"/>
      <c r="AY85" s="386" t="str">
        <f>IFERROR(VLOOKUP(AX85,Listas!K171:K178,2,0),"")</f>
        <v/>
      </c>
      <c r="AZ85" s="388"/>
      <c r="BA85" s="331"/>
      <c r="BB85" s="331"/>
      <c r="BC85" s="391" t="str">
        <f t="shared" si="7"/>
        <v/>
      </c>
    </row>
    <row r="86" spans="1:55">
      <c r="A86" s="383">
        <v>20202395015</v>
      </c>
      <c r="B86" s="384" t="str">
        <f>VLOOKUP(A86,'ESTADOS ESTUDIANTES'!B:L,2,0)</f>
        <v>VILLAMIL RIVERA CINDY DAYANI</v>
      </c>
      <c r="C86" s="384">
        <f>VLOOKUP(A86,'ESTADOS ESTUDIANTES'!B:L,11,0)</f>
        <v>1073234308</v>
      </c>
      <c r="D86" s="384">
        <f>VLOOKUP(A86,'ESTADOS ESTUDIANTES'!B:L,3,0)</f>
        <v>395</v>
      </c>
      <c r="E86" s="384" t="str">
        <f>VLOOKUP(Tabla8[[#This Row],[ENFASIS]],Listas!$R$2:$S$8,2,0)</f>
        <v>ENFASIS EN GEOMATICA</v>
      </c>
      <c r="F86" s="384">
        <f>VLOOKUP(A86,'ESTADOS ESTUDIANTES'!B:L,8,0)</f>
        <v>0</v>
      </c>
      <c r="G86" s="384" t="str">
        <f>VLOOKUP(A86,'ESTADOS ESTUDIANTES'!B:L,9,0)</f>
        <v>cdvillamilr@correo.udistrital.edu.co</v>
      </c>
      <c r="H86" s="384" t="str">
        <f>VLOOKUP(A86,'ESTADOS ESTUDIANTES'!B:L,5,0)</f>
        <v>X</v>
      </c>
      <c r="I86" s="384" t="str">
        <f>VLOOKUP(Tabla8[[#This Row],[CODIGO]],'ESTADOS ESTUDIANTES'!B:M,12,0)</f>
        <v>2020-3</v>
      </c>
      <c r="J86" s="331"/>
      <c r="K86" s="331"/>
      <c r="L86" s="331"/>
      <c r="M86" s="331"/>
      <c r="N86" s="330"/>
      <c r="O86" s="331"/>
      <c r="P86" s="331"/>
      <c r="Q86" s="331"/>
      <c r="R86" s="385"/>
      <c r="S86" s="385" t="str">
        <f>IF(Tabla8[[#This Row],[FECHA DE ACEPTACION DEL GRUP. INV.]]="","",DATE(YEAR(Tabla8[[#This Row],[FECHA DE ACEPTACION DEL GRUP. INV.]])+2,MONTH(Tabla8[[#This Row],[FECHA DE ACEPTACION DEL GRUP. INV.]]),DAY(Tabla8[[#This Row],[FECHA DE ACEPTACION DEL GRUP. INV.]])))</f>
        <v/>
      </c>
      <c r="T86" s="385" t="str">
        <f ca="1">IF(Tabla8[[#This Row],[FECHA DE ACEPTACION DEL GRUP. INV.]]="","",IF(Tabla8[[#This Row],[FECHA DE VENCIMIENTO ANTE PROYECTO]]&lt;TODAY(),"SÍ","NO"))</f>
        <v/>
      </c>
      <c r="U86" s="385"/>
      <c r="V86" s="386"/>
      <c r="W86" s="386"/>
      <c r="X86" s="385"/>
      <c r="Y86" s="330"/>
      <c r="Z86" s="387"/>
      <c r="AA86" s="330"/>
      <c r="AB86" s="387"/>
      <c r="AC86" s="390"/>
      <c r="AD86" s="330"/>
      <c r="AE86" s="331"/>
      <c r="AF86" s="330"/>
      <c r="AG86" s="446"/>
      <c r="AH86" s="330"/>
      <c r="AI86" s="330"/>
      <c r="AJ86" s="383"/>
      <c r="AK86" s="383"/>
      <c r="AL86" s="331"/>
      <c r="AM86" s="331"/>
      <c r="AN86" s="330"/>
      <c r="AO86" s="330"/>
      <c r="AP86" s="383"/>
      <c r="AQ86" s="383"/>
      <c r="AR86" s="331"/>
      <c r="AS86" s="330"/>
      <c r="AT86" s="386" t="str">
        <f t="shared" si="6"/>
        <v/>
      </c>
      <c r="AU86" s="331"/>
      <c r="AV86" s="331"/>
      <c r="AW86" s="331"/>
      <c r="AX86" s="331"/>
      <c r="AY86" s="386" t="str">
        <f>IFERROR(VLOOKUP(AX86,Listas!K173:K180,2,0),"")</f>
        <v/>
      </c>
      <c r="AZ86" s="388"/>
      <c r="BA86" s="331"/>
      <c r="BB86" s="331"/>
      <c r="BC86" s="389" t="str">
        <f t="shared" si="7"/>
        <v/>
      </c>
    </row>
    <row r="87" spans="1:55" ht="63">
      <c r="A87" s="383">
        <v>20202495001</v>
      </c>
      <c r="B87" s="384" t="str">
        <f>VLOOKUP(A87,'ESTADOS ESTUDIANTES'!B:L,2,0)</f>
        <v>BAUTISTA MONTANA DANY JAVIER</v>
      </c>
      <c r="C87" s="384">
        <f>VLOOKUP(A87,'ESTADOS ESTUDIANTES'!B:L,11,0)</f>
        <v>1030555964</v>
      </c>
      <c r="D87" s="384">
        <f>VLOOKUP(A87,'ESTADOS ESTUDIANTES'!B:L,3,0)</f>
        <v>495</v>
      </c>
      <c r="E87" s="384" t="str">
        <f>VLOOKUP(Tabla8[[#This Row],[ENFASIS]],Listas!$R$2:$S$8,2,0)</f>
        <v>ENFASIS EN ING. SOFT</v>
      </c>
      <c r="F87" s="384">
        <f>VLOOKUP(A87,'ESTADOS ESTUDIANTES'!B:L,8,0)</f>
        <v>0</v>
      </c>
      <c r="G87" s="384" t="str">
        <f>VLOOKUP(A87,'ESTADOS ESTUDIANTES'!B:L,9,0)</f>
        <v>danyjavierb@gmail.com</v>
      </c>
      <c r="H87" s="384" t="str">
        <f>VLOOKUP(A87,'ESTADOS ESTUDIANTES'!B:L,5,0)</f>
        <v>X</v>
      </c>
      <c r="I87" s="384" t="str">
        <f>VLOOKUP(Tabla8[[#This Row],[CODIGO]],'ESTADOS ESTUDIANTES'!B:M,12,0)</f>
        <v>2021-1</v>
      </c>
      <c r="J87" s="386" t="s">
        <v>46</v>
      </c>
      <c r="K87" s="386" t="s">
        <v>860</v>
      </c>
      <c r="L87" s="386" t="s">
        <v>861</v>
      </c>
      <c r="M87" s="331"/>
      <c r="N87" s="330">
        <v>44179</v>
      </c>
      <c r="O87" s="384">
        <v>2020</v>
      </c>
      <c r="P87" s="386" t="s">
        <v>125</v>
      </c>
      <c r="Q87" s="386" t="s">
        <v>281</v>
      </c>
      <c r="R87" s="385"/>
      <c r="S87" s="385" t="str">
        <f>IF(Tabla8[[#This Row],[FECHA DE ACEPTACION DEL GRUP. INV.]]="","",DATE(YEAR(Tabla8[[#This Row],[FECHA DE ACEPTACION DEL GRUP. INV.]])+2,MONTH(Tabla8[[#This Row],[FECHA DE ACEPTACION DEL GRUP. INV.]]),DAY(Tabla8[[#This Row],[FECHA DE ACEPTACION DEL GRUP. INV.]])))</f>
        <v/>
      </c>
      <c r="T87" s="385" t="str">
        <f ca="1">IF(Tabla8[[#This Row],[FECHA DE ACEPTACION DEL GRUP. INV.]]="","",IF(Tabla8[[#This Row],[FECHA DE VENCIMIENTO ANTE PROYECTO]]&lt;TODAY(),"SÍ","NO"))</f>
        <v/>
      </c>
      <c r="U87" s="385"/>
      <c r="V87" s="386"/>
      <c r="W87" s="386"/>
      <c r="X87" s="385"/>
      <c r="Y87" s="330"/>
      <c r="Z87" s="387"/>
      <c r="AA87" s="330"/>
      <c r="AB87" s="387"/>
      <c r="AC87" s="390"/>
      <c r="AD87" s="330"/>
      <c r="AE87" s="331"/>
      <c r="AF87" s="330"/>
      <c r="AG87" s="446"/>
      <c r="AH87" s="330"/>
      <c r="AI87" s="330"/>
      <c r="AJ87" s="383"/>
      <c r="AK87" s="383"/>
      <c r="AL87" s="331"/>
      <c r="AM87" s="331"/>
      <c r="AN87" s="330"/>
      <c r="AO87" s="330"/>
      <c r="AP87" s="383"/>
      <c r="AQ87" s="383"/>
      <c r="AR87" s="331"/>
      <c r="AS87" s="330"/>
      <c r="AT87" s="386" t="str">
        <f t="shared" si="6"/>
        <v/>
      </c>
      <c r="AU87" s="331"/>
      <c r="AV87" s="331"/>
      <c r="AW87" s="331"/>
      <c r="AX87" s="331"/>
      <c r="AY87" s="386" t="str">
        <f>IFERROR(VLOOKUP(AX87,Listas!K174:K181,2,0),"")</f>
        <v/>
      </c>
      <c r="AZ87" s="388"/>
      <c r="BA87" s="331"/>
      <c r="BB87" s="331"/>
      <c r="BC87" s="391" t="str">
        <f t="shared" si="7"/>
        <v/>
      </c>
    </row>
    <row r="88" spans="1:55" s="264" customFormat="1" ht="78.75">
      <c r="A88" s="244">
        <v>20202495002</v>
      </c>
      <c r="B88" s="239" t="str">
        <f>VLOOKUP(A88,'ESTADOS ESTUDIANTES'!B:L,2,0)</f>
        <v>BAUTISTA POLANIA CARLOS ANDRES</v>
      </c>
      <c r="C88" s="239">
        <f>VLOOKUP(A88,'ESTADOS ESTUDIANTES'!B:L,11,0)</f>
        <v>1075253426</v>
      </c>
      <c r="D88" s="239">
        <f>VLOOKUP(A88,'ESTADOS ESTUDIANTES'!B:L,3,0)</f>
        <v>495</v>
      </c>
      <c r="E88" s="239" t="str">
        <f>VLOOKUP(Tabla8[[#This Row],[ENFASIS]],Listas!$R$2:$S$8,2,0)</f>
        <v>ENFASIS EN ING. SOFT</v>
      </c>
      <c r="F88" s="239" t="str">
        <f>VLOOKUP(A88,'ESTADOS ESTUDIANTES'!B:L,8,0)</f>
        <v>cabautistap@udistrital.edu.co</v>
      </c>
      <c r="G88" s="239" t="str">
        <f>VLOOKUP(A88,'ESTADOS ESTUDIANTES'!B:L,9,0)</f>
        <v>carlosand_01@hotmail.com</v>
      </c>
      <c r="H88" s="239" t="str">
        <f>VLOOKUP(A88,'ESTADOS ESTUDIANTES'!B:L,5,0)</f>
        <v>X</v>
      </c>
      <c r="I88" s="239" t="str">
        <f>VLOOKUP(Tabla8[[#This Row],[CODIGO]],'ESTADOS ESTUDIANTES'!B:M,12,0)</f>
        <v>2024-1</v>
      </c>
      <c r="J88" s="240" t="s">
        <v>46</v>
      </c>
      <c r="K88" s="240" t="s">
        <v>862</v>
      </c>
      <c r="L88" s="240" t="s">
        <v>271</v>
      </c>
      <c r="M88" s="238"/>
      <c r="N88" s="241">
        <v>44179</v>
      </c>
      <c r="O88" s="239">
        <v>2020</v>
      </c>
      <c r="P88" s="240" t="s">
        <v>106</v>
      </c>
      <c r="Q88" s="240" t="s">
        <v>225</v>
      </c>
      <c r="R88" s="242">
        <v>44181</v>
      </c>
      <c r="S88" s="242">
        <f>IF(Tabla8[[#This Row],[FECHA DE ACEPTACION DEL GRUP. INV.]]="","",DATE(YEAR(Tabla8[[#This Row],[FECHA DE ACEPTACION DEL GRUP. INV.]])+2,MONTH(Tabla8[[#This Row],[FECHA DE ACEPTACION DEL GRUP. INV.]]),DAY(Tabla8[[#This Row],[FECHA DE ACEPTACION DEL GRUP. INV.]])))</f>
        <v>44911</v>
      </c>
      <c r="T88" s="242" t="str">
        <f ca="1">IF(Tabla8[[#This Row],[FECHA DE ACEPTACION DEL GRUP. INV.]]="","",IF(Tabla8[[#This Row],[FECHA DE VENCIMIENTO ANTE PROYECTO]]&lt;TODAY(),"SÍ","NO"))</f>
        <v>SÍ</v>
      </c>
      <c r="U88" s="242"/>
      <c r="V88" s="240" t="s">
        <v>556</v>
      </c>
      <c r="W88" s="240"/>
      <c r="X88" s="242" t="s">
        <v>424</v>
      </c>
      <c r="Y88" s="241" t="s">
        <v>863</v>
      </c>
      <c r="Z88" s="243"/>
      <c r="AA88" s="241">
        <v>44981</v>
      </c>
      <c r="AB88" s="243">
        <v>70</v>
      </c>
      <c r="AC88" s="238" t="s">
        <v>79</v>
      </c>
      <c r="AD88" s="241"/>
      <c r="AE88" s="238"/>
      <c r="AF88" s="241"/>
      <c r="AG88" s="453"/>
      <c r="AH88" s="241"/>
      <c r="AI88" s="241"/>
      <c r="AJ88" s="244"/>
      <c r="AK88" s="244"/>
      <c r="AL88" s="238"/>
      <c r="AM88" s="238"/>
      <c r="AN88" s="241"/>
      <c r="AO88" s="241"/>
      <c r="AP88" s="244"/>
      <c r="AQ88" s="244"/>
      <c r="AR88" s="238"/>
      <c r="AS88" s="241"/>
      <c r="AT88" s="240" t="str">
        <f t="shared" si="6"/>
        <v/>
      </c>
      <c r="AU88" s="238"/>
      <c r="AV88" s="238"/>
      <c r="AW88" s="238"/>
      <c r="AX88" s="238"/>
      <c r="AY88" s="240" t="str">
        <f>IFERROR(VLOOKUP(AX88,Listas!K175:K182,2,0),"")</f>
        <v/>
      </c>
      <c r="AZ88" s="381"/>
      <c r="BA88" s="238"/>
      <c r="BB88" s="238"/>
      <c r="BC88" s="245" t="str">
        <f t="shared" si="7"/>
        <v/>
      </c>
    </row>
    <row r="89" spans="1:55" ht="47.25">
      <c r="A89" s="420">
        <v>20202495003</v>
      </c>
      <c r="B89" s="415" t="str">
        <f>VLOOKUP(A89,'ESTADOS ESTUDIANTES'!B:L,2,0)</f>
        <v>BOMBIELA RAMIREZ FABIO ANDRES</v>
      </c>
      <c r="C89" s="415">
        <f>VLOOKUP(A89,'ESTADOS ESTUDIANTES'!B:L,11,0)</f>
        <v>1013671289</v>
      </c>
      <c r="D89" s="415">
        <f>VLOOKUP(A89,'ESTADOS ESTUDIANTES'!B:L,3,0)</f>
        <v>495</v>
      </c>
      <c r="E89" s="415" t="str">
        <f>VLOOKUP(Tabla8[[#This Row],[ENFASIS]],Listas!$R$2:$S$8,2,0)</f>
        <v>ENFASIS EN ING. SOFT</v>
      </c>
      <c r="F89" s="415" t="str">
        <f>VLOOKUP(A89,'ESTADOS ESTUDIANTES'!B:L,8,0)</f>
        <v>fabombielar@udistrital.edu.co</v>
      </c>
      <c r="G89" s="415" t="str">
        <f>VLOOKUP(A89,'ESTADOS ESTUDIANTES'!B:L,9,0)</f>
        <v>fabombielar@udistrital.edu.co</v>
      </c>
      <c r="H89" s="415" t="str">
        <f>VLOOKUP(A89,'ESTADOS ESTUDIANTES'!B:L,5,0)</f>
        <v>X</v>
      </c>
      <c r="I89" s="415" t="str">
        <f>VLOOKUP(Tabla8[[#This Row],[CODIGO]],'ESTADOS ESTUDIANTES'!B:M,12,0)</f>
        <v>2023-1</v>
      </c>
      <c r="J89" s="354" t="s">
        <v>46</v>
      </c>
      <c r="K89" s="354" t="s">
        <v>864</v>
      </c>
      <c r="L89" s="354" t="s">
        <v>865</v>
      </c>
      <c r="M89" s="419"/>
      <c r="N89" s="416">
        <v>44179</v>
      </c>
      <c r="O89" s="415">
        <v>2020</v>
      </c>
      <c r="P89" s="354" t="s">
        <v>460</v>
      </c>
      <c r="Q89" s="354" t="s">
        <v>323</v>
      </c>
      <c r="R89" s="417">
        <v>44179</v>
      </c>
      <c r="S89" s="417">
        <f>IF(Tabla8[[#This Row],[FECHA DE ACEPTACION DEL GRUP. INV.]]="","",DATE(YEAR(Tabla8[[#This Row],[FECHA DE ACEPTACION DEL GRUP. INV.]])+2,MONTH(Tabla8[[#This Row],[FECHA DE ACEPTACION DEL GRUP. INV.]]),DAY(Tabla8[[#This Row],[FECHA DE ACEPTACION DEL GRUP. INV.]])))</f>
        <v>44909</v>
      </c>
      <c r="T89" s="417" t="str">
        <f ca="1">IF(Tabla8[[#This Row],[FECHA DE ACEPTACION DEL GRUP. INV.]]="","",IF(Tabla8[[#This Row],[FECHA DE VENCIMIENTO ANTE PROYECTO]]&lt;TODAY(),"SÍ","NO"))</f>
        <v>SÍ</v>
      </c>
      <c r="U89" s="417"/>
      <c r="V89" s="354" t="s">
        <v>556</v>
      </c>
      <c r="W89" s="354"/>
      <c r="X89" s="417"/>
      <c r="Y89" s="416"/>
      <c r="Z89" s="418"/>
      <c r="AA89" s="416">
        <v>44468</v>
      </c>
      <c r="AB89" s="418">
        <v>157</v>
      </c>
      <c r="AC89" s="354" t="s">
        <v>68</v>
      </c>
      <c r="AD89" s="416"/>
      <c r="AE89" s="419"/>
      <c r="AF89" s="416"/>
      <c r="AG89" s="452"/>
      <c r="AH89" s="416"/>
      <c r="AI89" s="416"/>
      <c r="AJ89" s="420"/>
      <c r="AK89" s="420"/>
      <c r="AL89" s="419"/>
      <c r="AM89" s="419"/>
      <c r="AN89" s="416"/>
      <c r="AO89" s="416"/>
      <c r="AP89" s="420"/>
      <c r="AQ89" s="420"/>
      <c r="AR89" s="419"/>
      <c r="AS89" s="416"/>
      <c r="AT89" s="354" t="str">
        <f t="shared" si="6"/>
        <v/>
      </c>
      <c r="AU89" s="419"/>
      <c r="AV89" s="419"/>
      <c r="AW89" s="419"/>
      <c r="AX89" s="419"/>
      <c r="AY89" s="354" t="str">
        <f>IFERROR(VLOOKUP(AX89,Listas!K176:K183,2,0),"")</f>
        <v/>
      </c>
      <c r="AZ89" s="442"/>
      <c r="BA89" s="419"/>
      <c r="BB89" s="419"/>
      <c r="BC89" s="422" t="str">
        <f t="shared" si="7"/>
        <v/>
      </c>
    </row>
    <row r="90" spans="1:55" ht="63">
      <c r="A90" s="420">
        <v>20202495007</v>
      </c>
      <c r="B90" s="415" t="str">
        <f>VLOOKUP(A90,'ESTADOS ESTUDIANTES'!B:L,2,0)</f>
        <v>CORTES BUSTOS JOHN ALEX</v>
      </c>
      <c r="C90" s="415">
        <f>VLOOKUP(A90,'ESTADOS ESTUDIANTES'!B:L,11,0)</f>
        <v>80177612</v>
      </c>
      <c r="D90" s="415">
        <f>VLOOKUP(A90,'ESTADOS ESTUDIANTES'!B:L,3,0)</f>
        <v>495</v>
      </c>
      <c r="E90" s="415" t="str">
        <f>VLOOKUP(Tabla8[[#This Row],[ENFASIS]],Listas!$R$2:$S$8,2,0)</f>
        <v>ENFASIS EN ING. SOFT</v>
      </c>
      <c r="F90" s="415" t="str">
        <f>VLOOKUP(A90,'ESTADOS ESTUDIANTES'!B:L,8,0)</f>
        <v>joacortesb@udistrital.edu.co</v>
      </c>
      <c r="G90" s="415" t="str">
        <f>VLOOKUP(A90,'ESTADOS ESTUDIANTES'!B:L,9,0)</f>
        <v>johnalex8411@hotmail.com</v>
      </c>
      <c r="H90" s="415" t="str">
        <f>VLOOKUP(A90,'ESTADOS ESTUDIANTES'!B:L,5,0)</f>
        <v>X</v>
      </c>
      <c r="I90" s="415" t="str">
        <f>VLOOKUP(Tabla8[[#This Row],[CODIGO]],'ESTADOS ESTUDIANTES'!B:M,12,0)</f>
        <v>2024-1</v>
      </c>
      <c r="J90" s="354" t="s">
        <v>46</v>
      </c>
      <c r="K90" s="354" t="s">
        <v>866</v>
      </c>
      <c r="L90" s="354" t="s">
        <v>312</v>
      </c>
      <c r="M90" s="419"/>
      <c r="N90" s="416" t="s">
        <v>867</v>
      </c>
      <c r="O90" s="415">
        <v>2022</v>
      </c>
      <c r="P90" s="354" t="s">
        <v>537</v>
      </c>
      <c r="Q90" s="354" t="s">
        <v>312</v>
      </c>
      <c r="R90" s="417">
        <v>44888</v>
      </c>
      <c r="S90" s="417">
        <f>IF(Tabla8[[#This Row],[FECHA DE ACEPTACION DEL GRUP. INV.]]="","",DATE(YEAR(Tabla8[[#This Row],[FECHA DE ACEPTACION DEL GRUP. INV.]])+2,MONTH(Tabla8[[#This Row],[FECHA DE ACEPTACION DEL GRUP. INV.]]),DAY(Tabla8[[#This Row],[FECHA DE ACEPTACION DEL GRUP. INV.]])))</f>
        <v>45619</v>
      </c>
      <c r="T90" s="417" t="str">
        <f ca="1">IF(Tabla8[[#This Row],[FECHA DE ACEPTACION DEL GRUP. INV.]]="","",IF(Tabla8[[#This Row],[FECHA DE VENCIMIENTO ANTE PROYECTO]]&lt;TODAY(),"SÍ","NO"))</f>
        <v>SÍ</v>
      </c>
      <c r="U90" s="417"/>
      <c r="V90" s="354" t="s">
        <v>750</v>
      </c>
      <c r="W90" s="354"/>
      <c r="X90" s="417" t="s">
        <v>424</v>
      </c>
      <c r="Y90" s="416"/>
      <c r="Z90" s="418"/>
      <c r="AA90" s="354" t="s">
        <v>843</v>
      </c>
      <c r="AB90" s="418">
        <v>62.61</v>
      </c>
      <c r="AC90" s="354" t="s">
        <v>87</v>
      </c>
      <c r="AD90" s="416"/>
      <c r="AE90" s="419"/>
      <c r="AF90" s="416"/>
      <c r="AG90" s="452"/>
      <c r="AH90" s="416"/>
      <c r="AI90" s="416"/>
      <c r="AJ90" s="420"/>
      <c r="AK90" s="420"/>
      <c r="AL90" s="419"/>
      <c r="AM90" s="419"/>
      <c r="AN90" s="416"/>
      <c r="AO90" s="416"/>
      <c r="AP90" s="420"/>
      <c r="AQ90" s="420"/>
      <c r="AR90" s="419"/>
      <c r="AS90" s="416"/>
      <c r="AT90" s="354" t="str">
        <f t="shared" si="6"/>
        <v/>
      </c>
      <c r="AU90" s="419"/>
      <c r="AV90" s="419"/>
      <c r="AW90" s="419"/>
      <c r="AX90" s="419"/>
      <c r="AY90" s="354" t="str">
        <f>IFERROR(VLOOKUP(AX90,Listas!K180:K187,2,0),"")</f>
        <v/>
      </c>
      <c r="AZ90" s="442"/>
      <c r="BA90" s="419"/>
      <c r="BB90" s="419"/>
      <c r="BC90" s="422" t="str">
        <f t="shared" si="7"/>
        <v/>
      </c>
    </row>
    <row r="91" spans="1:55">
      <c r="A91" s="383">
        <v>20202495008</v>
      </c>
      <c r="B91" s="384" t="str">
        <f>VLOOKUP(A91,'ESTADOS ESTUDIANTES'!B:L,2,0)</f>
        <v>DIAZ GUZMAN ANDRES FERNANDO</v>
      </c>
      <c r="C91" s="384">
        <f>VLOOKUP(A91,'ESTADOS ESTUDIANTES'!B:L,11,0)</f>
        <v>80055783</v>
      </c>
      <c r="D91" s="384">
        <f>VLOOKUP(A91,'ESTADOS ESTUDIANTES'!B:L,3,0)</f>
        <v>495</v>
      </c>
      <c r="E91" s="384" t="str">
        <f>VLOOKUP(Tabla8[[#This Row],[ENFASIS]],Listas!$R$2:$S$8,2,0)</f>
        <v>ENFASIS EN ING. SOFT</v>
      </c>
      <c r="F91" s="384" t="str">
        <f>VLOOKUP(A91,'ESTADOS ESTUDIANTES'!B:L,8,0)</f>
        <v>afdiazg@correo.udistrital.edu.co</v>
      </c>
      <c r="G91" s="384" t="str">
        <f>VLOOKUP(A91,'ESTADOS ESTUDIANTES'!B:L,9,0)</f>
        <v>afdiazg@correo.udistrital.edu.co</v>
      </c>
      <c r="H91" s="384" t="str">
        <f>VLOOKUP(A91,'ESTADOS ESTUDIANTES'!B:L,5,0)</f>
        <v>X</v>
      </c>
      <c r="I91" s="384" t="str">
        <f>VLOOKUP(Tabla8[[#This Row],[CODIGO]],'ESTADOS ESTUDIANTES'!B:M,12,0)</f>
        <v>2021-1</v>
      </c>
      <c r="J91" s="331"/>
      <c r="K91" s="331"/>
      <c r="L91" s="331"/>
      <c r="M91" s="331"/>
      <c r="N91" s="330"/>
      <c r="O91" s="331"/>
      <c r="P91" s="331"/>
      <c r="Q91" s="331"/>
      <c r="R91" s="385"/>
      <c r="S91" s="385" t="str">
        <f>IF(Tabla8[[#This Row],[FECHA DE ACEPTACION DEL GRUP. INV.]]="","",DATE(YEAR(Tabla8[[#This Row],[FECHA DE ACEPTACION DEL GRUP. INV.]])+2,MONTH(Tabla8[[#This Row],[FECHA DE ACEPTACION DEL GRUP. INV.]]),DAY(Tabla8[[#This Row],[FECHA DE ACEPTACION DEL GRUP. INV.]])))</f>
        <v/>
      </c>
      <c r="T91" s="385" t="str">
        <f ca="1">IF(Tabla8[[#This Row],[FECHA DE ACEPTACION DEL GRUP. INV.]]="","",IF(Tabla8[[#This Row],[FECHA DE VENCIMIENTO ANTE PROYECTO]]&lt;TODAY(),"SÍ","NO"))</f>
        <v/>
      </c>
      <c r="U91" s="385"/>
      <c r="V91" s="386"/>
      <c r="W91" s="386"/>
      <c r="X91" s="385"/>
      <c r="Y91" s="330"/>
      <c r="Z91" s="387"/>
      <c r="AA91" s="330"/>
      <c r="AB91" s="387"/>
      <c r="AC91" s="390"/>
      <c r="AD91" s="330"/>
      <c r="AE91" s="331"/>
      <c r="AF91" s="330"/>
      <c r="AG91" s="446"/>
      <c r="AH91" s="330"/>
      <c r="AI91" s="330"/>
      <c r="AJ91" s="383"/>
      <c r="AK91" s="383"/>
      <c r="AL91" s="331"/>
      <c r="AM91" s="331"/>
      <c r="AN91" s="330"/>
      <c r="AO91" s="330"/>
      <c r="AP91" s="383"/>
      <c r="AQ91" s="383"/>
      <c r="AR91" s="331"/>
      <c r="AS91" s="330"/>
      <c r="AT91" s="386" t="str">
        <f t="shared" si="6"/>
        <v/>
      </c>
      <c r="AU91" s="331"/>
      <c r="AV91" s="331"/>
      <c r="AW91" s="331"/>
      <c r="AX91" s="331"/>
      <c r="AY91" s="386" t="str">
        <f>IFERROR(VLOOKUP(AX91,Listas!K181:K188,2,0),"")</f>
        <v/>
      </c>
      <c r="AZ91" s="388"/>
      <c r="BA91" s="331"/>
      <c r="BB91" s="331"/>
      <c r="BC91" s="391" t="str">
        <f t="shared" si="7"/>
        <v/>
      </c>
    </row>
    <row r="92" spans="1:55" ht="47.25">
      <c r="A92" s="383">
        <v>20202495011</v>
      </c>
      <c r="B92" s="384" t="str">
        <f>VLOOKUP(A92,'ESTADOS ESTUDIANTES'!B:L,2,0)</f>
        <v>GUEVARA MORALES SANDRA GUEVARA</v>
      </c>
      <c r="C92" s="384">
        <f>VLOOKUP(A92,'ESTADOS ESTUDIANTES'!B:L,11,0)</f>
        <v>1018431248</v>
      </c>
      <c r="D92" s="384">
        <f>VLOOKUP(A92,'ESTADOS ESTUDIANTES'!B:L,3,0)</f>
        <v>495</v>
      </c>
      <c r="E92" s="384" t="str">
        <f>VLOOKUP(Tabla8[[#This Row],[ENFASIS]],Listas!$R$2:$S$8,2,0)</f>
        <v>ENFASIS EN ING. SOFT</v>
      </c>
      <c r="F92" s="384">
        <f>VLOOKUP(A92,'ESTADOS ESTUDIANTES'!B:L,8,0)</f>
        <v>0</v>
      </c>
      <c r="G92" s="384" t="str">
        <f>VLOOKUP(A92,'ESTADOS ESTUDIANTES'!B:L,9,0)</f>
        <v>smilenaguevara@gmail.com</v>
      </c>
      <c r="H92" s="384" t="str">
        <f>VLOOKUP(A92,'ESTADOS ESTUDIANTES'!B:L,5,0)</f>
        <v>X</v>
      </c>
      <c r="I92" s="384" t="str">
        <f>VLOOKUP(Tabla8[[#This Row],[CODIGO]],'ESTADOS ESTUDIANTES'!B:M,12,0)</f>
        <v>2021-1</v>
      </c>
      <c r="J92" s="386" t="s">
        <v>46</v>
      </c>
      <c r="K92" s="386" t="s">
        <v>868</v>
      </c>
      <c r="L92" s="386" t="s">
        <v>290</v>
      </c>
      <c r="M92" s="331"/>
      <c r="N92" s="330">
        <v>44179</v>
      </c>
      <c r="O92" s="384">
        <v>2020</v>
      </c>
      <c r="P92" s="386" t="s">
        <v>125</v>
      </c>
      <c r="Q92" s="386" t="s">
        <v>281</v>
      </c>
      <c r="R92" s="385"/>
      <c r="S92" s="385" t="str">
        <f>IF(Tabla8[[#This Row],[FECHA DE ACEPTACION DEL GRUP. INV.]]="","",DATE(YEAR(Tabla8[[#This Row],[FECHA DE ACEPTACION DEL GRUP. INV.]])+2,MONTH(Tabla8[[#This Row],[FECHA DE ACEPTACION DEL GRUP. INV.]]),DAY(Tabla8[[#This Row],[FECHA DE ACEPTACION DEL GRUP. INV.]])))</f>
        <v/>
      </c>
      <c r="T92" s="385" t="str">
        <f ca="1">IF(Tabla8[[#This Row],[FECHA DE ACEPTACION DEL GRUP. INV.]]="","",IF(Tabla8[[#This Row],[FECHA DE VENCIMIENTO ANTE PROYECTO]]&lt;TODAY(),"SÍ","NO"))</f>
        <v/>
      </c>
      <c r="U92" s="385"/>
      <c r="V92" s="386"/>
      <c r="W92" s="386"/>
      <c r="X92" s="385"/>
      <c r="Y92" s="330"/>
      <c r="Z92" s="387"/>
      <c r="AA92" s="330"/>
      <c r="AB92" s="387"/>
      <c r="AC92" s="390"/>
      <c r="AD92" s="330"/>
      <c r="AE92" s="331"/>
      <c r="AF92" s="330"/>
      <c r="AG92" s="446"/>
      <c r="AH92" s="330"/>
      <c r="AI92" s="330"/>
      <c r="AJ92" s="383"/>
      <c r="AK92" s="383"/>
      <c r="AL92" s="331"/>
      <c r="AM92" s="331"/>
      <c r="AN92" s="330"/>
      <c r="AO92" s="330"/>
      <c r="AP92" s="383"/>
      <c r="AQ92" s="383"/>
      <c r="AR92" s="331"/>
      <c r="AS92" s="330"/>
      <c r="AT92" s="386" t="str">
        <f t="shared" si="6"/>
        <v/>
      </c>
      <c r="AU92" s="331"/>
      <c r="AV92" s="331"/>
      <c r="AW92" s="331"/>
      <c r="AX92" s="331"/>
      <c r="AY92" s="386" t="str">
        <f>IFERROR(VLOOKUP(AX92,Listas!K184:K191,2,0),"")</f>
        <v/>
      </c>
      <c r="AZ92" s="388"/>
      <c r="BA92" s="331"/>
      <c r="BB92" s="331"/>
      <c r="BC92" s="391" t="str">
        <f t="shared" si="7"/>
        <v/>
      </c>
    </row>
    <row r="93" spans="1:55" s="264" customFormat="1" ht="47.25">
      <c r="A93" s="244">
        <v>20202495013</v>
      </c>
      <c r="B93" s="239" t="str">
        <f>VLOOKUP(A93,'ESTADOS ESTUDIANTES'!B:L,2,0)</f>
        <v>LOPEZ MORA SAMUEL ALEJANDRO</v>
      </c>
      <c r="C93" s="239">
        <f>VLOOKUP(A93,'ESTADOS ESTUDIANTES'!B:L,11,0)</f>
        <v>80726660</v>
      </c>
      <c r="D93" s="239">
        <f>VLOOKUP(A93,'ESTADOS ESTUDIANTES'!B:L,3,0)</f>
        <v>695</v>
      </c>
      <c r="E93" s="239" t="str">
        <f>VLOOKUP(Tabla8[[#This Row],[ENFASIS]],Listas!$R$2:$S$8,2,0)</f>
        <v>PROFUNDIZACIÓN</v>
      </c>
      <c r="F93" s="239" t="str">
        <f>VLOOKUP(A93,'ESTADOS ESTUDIANTES'!B:L,8,0)</f>
        <v>salopezm@udistrital.edu.co</v>
      </c>
      <c r="G93" s="239" t="str">
        <f>VLOOKUP(A93,'ESTADOS ESTUDIANTES'!B:L,9,0)</f>
        <v>alopez@grupo-cubo.com</v>
      </c>
      <c r="H93" s="239" t="str">
        <f>VLOOKUP(A93,'ESTADOS ESTUDIANTES'!B:L,5,0)</f>
        <v>V</v>
      </c>
      <c r="I93" s="239" t="str">
        <f>VLOOKUP(Tabla8[[#This Row],[CODIGO]],'ESTADOS ESTUDIANTES'!B:M,12,0)</f>
        <v>2026-1</v>
      </c>
      <c r="J93" s="240" t="s">
        <v>46</v>
      </c>
      <c r="K93" s="240" t="s">
        <v>869</v>
      </c>
      <c r="L93" s="240" t="s">
        <v>248</v>
      </c>
      <c r="M93" s="359"/>
      <c r="N93" s="241">
        <v>44179</v>
      </c>
      <c r="O93" s="239">
        <v>2020</v>
      </c>
      <c r="P93" s="240" t="s">
        <v>134</v>
      </c>
      <c r="Q93" s="240" t="s">
        <v>248</v>
      </c>
      <c r="R93" s="242">
        <v>44180</v>
      </c>
      <c r="S93" s="242">
        <f>IF(Tabla8[[#This Row],[FECHA DE ACEPTACION DEL GRUP. INV.]]="","",DATE(YEAR(Tabla8[[#This Row],[FECHA DE ACEPTACION DEL GRUP. INV.]])+2,MONTH(Tabla8[[#This Row],[FECHA DE ACEPTACION DEL GRUP. INV.]]),DAY(Tabla8[[#This Row],[FECHA DE ACEPTACION DEL GRUP. INV.]])))</f>
        <v>44910</v>
      </c>
      <c r="T93" s="676" t="str">
        <f ca="1">IF(Tabla8[[#This Row],[FECHA DE ACEPTACION DEL GRUP. INV.]]="","",IF(Tabla8[[#This Row],[FECHA DE VENCIMIENTO ANTE PROYECTO]]&lt;TODAY(),"SÍ","NO"))</f>
        <v>SÍ</v>
      </c>
      <c r="U93" s="699"/>
      <c r="V93" s="240" t="s">
        <v>556</v>
      </c>
      <c r="W93" s="240"/>
      <c r="X93" s="242" t="s">
        <v>424</v>
      </c>
      <c r="Y93" s="241"/>
      <c r="Z93" s="243"/>
      <c r="AA93" s="241"/>
      <c r="AB93" s="243"/>
      <c r="AC93" s="238"/>
      <c r="AD93" s="241"/>
      <c r="AE93" s="238"/>
      <c r="AF93" s="241"/>
      <c r="AG93" s="453"/>
      <c r="AH93" s="241"/>
      <c r="AI93" s="241"/>
      <c r="AJ93" s="244"/>
      <c r="AK93" s="244"/>
      <c r="AL93" s="238"/>
      <c r="AM93" s="238"/>
      <c r="AN93" s="241"/>
      <c r="AO93" s="241"/>
      <c r="AP93" s="244"/>
      <c r="AQ93" s="244"/>
      <c r="AR93" s="238"/>
      <c r="AS93" s="241"/>
      <c r="AT93" s="240" t="str">
        <f t="shared" si="6"/>
        <v/>
      </c>
      <c r="AU93" s="238"/>
      <c r="AV93" s="238"/>
      <c r="AW93" s="238"/>
      <c r="AX93" s="238"/>
      <c r="AY93" s="240" t="str">
        <f>IFERROR(VLOOKUP(AX93,Listas!K186:K193,2,0),"")</f>
        <v/>
      </c>
      <c r="AZ93" s="381"/>
      <c r="BA93" s="238"/>
      <c r="BB93" s="238"/>
      <c r="BC93" s="245" t="str">
        <f t="shared" si="7"/>
        <v>Andres Eduardo Gaona Barrera</v>
      </c>
    </row>
    <row r="94" spans="1:55" ht="63">
      <c r="A94" s="383">
        <v>20202495016</v>
      </c>
      <c r="B94" s="384" t="str">
        <f>VLOOKUP(A94,'ESTADOS ESTUDIANTES'!B:L,2,0)</f>
        <v>REY HERRERA JESUS STEVEN</v>
      </c>
      <c r="C94" s="384">
        <f>VLOOKUP(A94,'ESTADOS ESTUDIANTES'!B:L,11,0)</f>
        <v>1023936689</v>
      </c>
      <c r="D94" s="384">
        <f>VLOOKUP(A94,'ESTADOS ESTUDIANTES'!B:L,3,0)</f>
        <v>495</v>
      </c>
      <c r="E94" s="384" t="str">
        <f>VLOOKUP(Tabla8[[#This Row],[ENFASIS]],Listas!$R$2:$S$8,2,0)</f>
        <v>ENFASIS EN ING. SOFT</v>
      </c>
      <c r="F94" s="384">
        <f>VLOOKUP(A94,'ESTADOS ESTUDIANTES'!B:L,8,0)</f>
        <v>0</v>
      </c>
      <c r="G94" s="384" t="str">
        <f>VLOOKUP(A94,'ESTADOS ESTUDIANTES'!B:L,9,0)</f>
        <v>reysteen@gmail.com</v>
      </c>
      <c r="H94" s="384" t="str">
        <f>VLOOKUP(A94,'ESTADOS ESTUDIANTES'!B:L,5,0)</f>
        <v>X</v>
      </c>
      <c r="I94" s="384" t="str">
        <f>VLOOKUP(Tabla8[[#This Row],[CODIGO]],'ESTADOS ESTUDIANTES'!B:M,12,0)</f>
        <v>2021-3</v>
      </c>
      <c r="J94" s="386" t="s">
        <v>46</v>
      </c>
      <c r="K94" s="386" t="s">
        <v>870</v>
      </c>
      <c r="L94" s="386" t="s">
        <v>298</v>
      </c>
      <c r="M94" s="331"/>
      <c r="N94" s="330">
        <v>44179</v>
      </c>
      <c r="O94" s="384">
        <v>2020</v>
      </c>
      <c r="P94" s="386" t="s">
        <v>115</v>
      </c>
      <c r="Q94" s="386" t="s">
        <v>292</v>
      </c>
      <c r="R94" s="385">
        <v>44179</v>
      </c>
      <c r="S94" s="385">
        <f>IF(Tabla8[[#This Row],[FECHA DE ACEPTACION DEL GRUP. INV.]]="","",DATE(YEAR(Tabla8[[#This Row],[FECHA DE ACEPTACION DEL GRUP. INV.]])+2,MONTH(Tabla8[[#This Row],[FECHA DE ACEPTACION DEL GRUP. INV.]]),DAY(Tabla8[[#This Row],[FECHA DE ACEPTACION DEL GRUP. INV.]])))</f>
        <v>44909</v>
      </c>
      <c r="T94" s="385" t="str">
        <f ca="1">IF(Tabla8[[#This Row],[FECHA DE ACEPTACION DEL GRUP. INV.]]="","",IF(Tabla8[[#This Row],[FECHA DE VENCIMIENTO ANTE PROYECTO]]&lt;TODAY(),"SÍ","NO"))</f>
        <v>SÍ</v>
      </c>
      <c r="U94" s="385"/>
      <c r="V94" s="386" t="s">
        <v>556</v>
      </c>
      <c r="W94" s="386"/>
      <c r="X94" s="385"/>
      <c r="Y94" s="330"/>
      <c r="Z94" s="387"/>
      <c r="AA94" s="330"/>
      <c r="AB94" s="387"/>
      <c r="AC94" s="390"/>
      <c r="AD94" s="330"/>
      <c r="AE94" s="331"/>
      <c r="AF94" s="330"/>
      <c r="AG94" s="446"/>
      <c r="AH94" s="330"/>
      <c r="AI94" s="330"/>
      <c r="AJ94" s="383"/>
      <c r="AK94" s="383"/>
      <c r="AL94" s="331"/>
      <c r="AM94" s="331"/>
      <c r="AN94" s="330"/>
      <c r="AO94" s="330"/>
      <c r="AP94" s="383"/>
      <c r="AQ94" s="383"/>
      <c r="AR94" s="331"/>
      <c r="AS94" s="330"/>
      <c r="AT94" s="386" t="str">
        <f t="shared" si="6"/>
        <v/>
      </c>
      <c r="AU94" s="331"/>
      <c r="AV94" s="331"/>
      <c r="AW94" s="331"/>
      <c r="AX94" s="331"/>
      <c r="AY94" s="386" t="str">
        <f>IFERROR(VLOOKUP(AX94,Listas!K189:K196,2,0),"")</f>
        <v/>
      </c>
      <c r="AZ94" s="388"/>
      <c r="BA94" s="331"/>
      <c r="BB94" s="331"/>
      <c r="BC94" s="391" t="str">
        <f t="shared" si="7"/>
        <v/>
      </c>
    </row>
    <row r="95" spans="1:55">
      <c r="A95" s="383">
        <v>20202495017</v>
      </c>
      <c r="B95" s="384" t="str">
        <f>VLOOKUP(A95,'ESTADOS ESTUDIANTES'!B:L,2,0)</f>
        <v>SORA OSPINA JUAN PABLO</v>
      </c>
      <c r="C95" s="384">
        <f>VLOOKUP(A95,'ESTADOS ESTUDIANTES'!B:L,11,0)</f>
        <v>11204462</v>
      </c>
      <c r="D95" s="384">
        <f>VLOOKUP(A95,'ESTADOS ESTUDIANTES'!B:L,3,0)</f>
        <v>495</v>
      </c>
      <c r="E95" s="384" t="str">
        <f>VLOOKUP(Tabla8[[#This Row],[ENFASIS]],Listas!$R$2:$S$8,2,0)</f>
        <v>ENFASIS EN ING. SOFT</v>
      </c>
      <c r="F95" s="384">
        <f>VLOOKUP(A95,'ESTADOS ESTUDIANTES'!B:L,8,0)</f>
        <v>0</v>
      </c>
      <c r="G95" s="384" t="str">
        <f>VLOOKUP(A95,'ESTADOS ESTUDIANTES'!B:L,9,0)</f>
        <v>jsora@outlook.com</v>
      </c>
      <c r="H95" s="384" t="str">
        <f>VLOOKUP(A95,'ESTADOS ESTUDIANTES'!B:L,5,0)</f>
        <v>N</v>
      </c>
      <c r="I95" s="384" t="str">
        <f>VLOOKUP(Tabla8[[#This Row],[CODIGO]],'ESTADOS ESTUDIANTES'!B:M,12,0)</f>
        <v>-</v>
      </c>
      <c r="J95" s="331"/>
      <c r="K95" s="446"/>
      <c r="L95" s="446"/>
      <c r="M95" s="446"/>
      <c r="N95" s="447"/>
      <c r="O95" s="446"/>
      <c r="P95" s="446"/>
      <c r="Q95" s="446"/>
      <c r="R95" s="448"/>
      <c r="S95" s="448" t="str">
        <f>IF(Tabla8[[#This Row],[FECHA DE ACEPTACION DEL GRUP. INV.]]="","",DATE(YEAR(Tabla8[[#This Row],[FECHA DE ACEPTACION DEL GRUP. INV.]])+2,MONTH(Tabla8[[#This Row],[FECHA DE ACEPTACION DEL GRUP. INV.]]),DAY(Tabla8[[#This Row],[FECHA DE ACEPTACION DEL GRUP. INV.]])))</f>
        <v/>
      </c>
      <c r="T95" s="448" t="str">
        <f ca="1">IF(Tabla8[[#This Row],[FECHA DE ACEPTACION DEL GRUP. INV.]]="","",IF(Tabla8[[#This Row],[FECHA DE VENCIMIENTO ANTE PROYECTO]]&lt;TODAY(),"SÍ","NO"))</f>
        <v/>
      </c>
      <c r="U95" s="448"/>
      <c r="V95" s="448"/>
      <c r="W95" s="448"/>
      <c r="X95" s="448"/>
      <c r="Y95" s="330"/>
      <c r="Z95" s="387"/>
      <c r="AA95" s="330"/>
      <c r="AB95" s="387"/>
      <c r="AC95" s="390"/>
      <c r="AD95" s="447"/>
      <c r="AE95" s="446"/>
      <c r="AF95" s="447"/>
      <c r="AG95" s="446"/>
      <c r="AH95" s="447"/>
      <c r="AI95" s="447"/>
      <c r="AJ95" s="383"/>
      <c r="AK95" s="383"/>
      <c r="AL95" s="446"/>
      <c r="AM95" s="446"/>
      <c r="AN95" s="447"/>
      <c r="AO95" s="447"/>
      <c r="AP95" s="383"/>
      <c r="AQ95" s="383"/>
      <c r="AR95" s="446"/>
      <c r="AS95" s="447"/>
      <c r="AT95" s="386" t="str">
        <f t="shared" si="6"/>
        <v/>
      </c>
      <c r="AU95" s="446"/>
      <c r="AV95" s="446"/>
      <c r="AW95" s="331"/>
      <c r="AX95" s="446"/>
      <c r="AY95" s="386" t="str">
        <f>IFERROR(VLOOKUP(AX95,Listas!K190:K197,2,0),"")</f>
        <v/>
      </c>
      <c r="AZ95" s="388"/>
      <c r="BA95" s="446"/>
      <c r="BB95" s="446"/>
      <c r="BC95" s="389" t="str">
        <f t="shared" si="7"/>
        <v/>
      </c>
    </row>
    <row r="96" spans="1:55" ht="31.5">
      <c r="A96" s="383">
        <v>20202495018</v>
      </c>
      <c r="B96" s="384" t="str">
        <f>VLOOKUP(A96,'ESTADOS ESTUDIANTES'!B:L,2,0)</f>
        <v>SUAREZ ARRIETA SABRINA</v>
      </c>
      <c r="C96" s="384">
        <f>VLOOKUP(A96,'ESTADOS ESTUDIANTES'!B:L,11,0)</f>
        <v>1020795740</v>
      </c>
      <c r="D96" s="384">
        <f>VLOOKUP(A96,'ESTADOS ESTUDIANTES'!B:L,3,0)</f>
        <v>495</v>
      </c>
      <c r="E96" s="384" t="str">
        <f>VLOOKUP(Tabla8[[#This Row],[ENFASIS]],Listas!$R$2:$S$8,2,0)</f>
        <v>ENFASIS EN ING. SOFT</v>
      </c>
      <c r="F96" s="384">
        <f>VLOOKUP(A96,'ESTADOS ESTUDIANTES'!B:L,8,0)</f>
        <v>0</v>
      </c>
      <c r="G96" s="384" t="str">
        <f>VLOOKUP(A96,'ESTADOS ESTUDIANTES'!B:L,9,0)</f>
        <v>sabrinasuarezarrieta@gmail.com</v>
      </c>
      <c r="H96" s="384" t="str">
        <f>VLOOKUP(A96,'ESTADOS ESTUDIANTES'!B:L,5,0)</f>
        <v>X</v>
      </c>
      <c r="I96" s="384" t="str">
        <f>VLOOKUP(Tabla8[[#This Row],[CODIGO]],'ESTADOS ESTUDIANTES'!B:M,12,0)</f>
        <v>2021-1</v>
      </c>
      <c r="J96" s="386" t="s">
        <v>46</v>
      </c>
      <c r="K96" s="386" t="s">
        <v>871</v>
      </c>
      <c r="L96" s="405" t="s">
        <v>309</v>
      </c>
      <c r="M96" s="331"/>
      <c r="N96" s="330">
        <v>44179</v>
      </c>
      <c r="O96" s="384">
        <v>2020</v>
      </c>
      <c r="P96" s="386" t="s">
        <v>131</v>
      </c>
      <c r="Q96" s="386" t="s">
        <v>309</v>
      </c>
      <c r="R96" s="385">
        <v>44179</v>
      </c>
      <c r="S96" s="385">
        <f>IF(Tabla8[[#This Row],[FECHA DE ACEPTACION DEL GRUP. INV.]]="","",DATE(YEAR(Tabla8[[#This Row],[FECHA DE ACEPTACION DEL GRUP. INV.]])+2,MONTH(Tabla8[[#This Row],[FECHA DE ACEPTACION DEL GRUP. INV.]]),DAY(Tabla8[[#This Row],[FECHA DE ACEPTACION DEL GRUP. INV.]])))</f>
        <v>44909</v>
      </c>
      <c r="T96" s="385" t="str">
        <f ca="1">IF(Tabla8[[#This Row],[FECHA DE ACEPTACION DEL GRUP. INV.]]="","",IF(Tabla8[[#This Row],[FECHA DE VENCIMIENTO ANTE PROYECTO]]&lt;TODAY(),"SÍ","NO"))</f>
        <v>SÍ</v>
      </c>
      <c r="U96" s="385"/>
      <c r="V96" s="386" t="s">
        <v>556</v>
      </c>
      <c r="W96" s="386"/>
      <c r="X96" s="385"/>
      <c r="Y96" s="330"/>
      <c r="Z96" s="387"/>
      <c r="AA96" s="330"/>
      <c r="AB96" s="387"/>
      <c r="AC96" s="390"/>
      <c r="AD96" s="330"/>
      <c r="AE96" s="331"/>
      <c r="AF96" s="330"/>
      <c r="AG96" s="446"/>
      <c r="AH96" s="330"/>
      <c r="AI96" s="330"/>
      <c r="AJ96" s="383"/>
      <c r="AK96" s="383"/>
      <c r="AL96" s="331"/>
      <c r="AM96" s="331"/>
      <c r="AN96" s="330"/>
      <c r="AO96" s="330"/>
      <c r="AP96" s="383"/>
      <c r="AQ96" s="383"/>
      <c r="AR96" s="331"/>
      <c r="AS96" s="330"/>
      <c r="AT96" s="386" t="str">
        <f t="shared" si="6"/>
        <v/>
      </c>
      <c r="AU96" s="331"/>
      <c r="AV96" s="331"/>
      <c r="AW96" s="331"/>
      <c r="AX96" s="331"/>
      <c r="AY96" s="386" t="str">
        <f>IFERROR(VLOOKUP(AX96,Listas!K191:K198,2,0),"")</f>
        <v/>
      </c>
      <c r="AZ96" s="388"/>
      <c r="BA96" s="331"/>
      <c r="BB96" s="331"/>
      <c r="BC96" s="391" t="str">
        <f t="shared" si="7"/>
        <v/>
      </c>
    </row>
    <row r="97" spans="1:55">
      <c r="A97" s="383">
        <v>20202495022</v>
      </c>
      <c r="B97" s="384" t="str">
        <f>VLOOKUP(A97,'ESTADOS ESTUDIANTES'!B:L,2,0)</f>
        <v>VILLAGRAN MARTINEZ SERGIO ANDRES</v>
      </c>
      <c r="C97" s="384">
        <f>VLOOKUP(A97,'ESTADOS ESTUDIANTES'!B:L,11,0)</f>
        <v>1020776836</v>
      </c>
      <c r="D97" s="384">
        <f>VLOOKUP(A97,'ESTADOS ESTUDIANTES'!B:L,3,0)</f>
        <v>495</v>
      </c>
      <c r="E97" s="384" t="str">
        <f>VLOOKUP(Tabla8[[#This Row],[ENFASIS]],Listas!$R$2:$S$8,2,0)</f>
        <v>ENFASIS EN ING. SOFT</v>
      </c>
      <c r="F97" s="384">
        <f>VLOOKUP(A97,'ESTADOS ESTUDIANTES'!B:L,8,0)</f>
        <v>0</v>
      </c>
      <c r="G97" s="384" t="str">
        <f>VLOOKUP(A97,'ESTADOS ESTUDIANTES'!B:L,9,0)</f>
        <v>sergiovillagran92@gmail.com</v>
      </c>
      <c r="H97" s="384" t="str">
        <f>VLOOKUP(A97,'ESTADOS ESTUDIANTES'!B:L,5,0)</f>
        <v>X</v>
      </c>
      <c r="I97" s="384" t="str">
        <f>VLOOKUP(Tabla8[[#This Row],[CODIGO]],'ESTADOS ESTUDIANTES'!B:M,12,0)</f>
        <v>2020-3</v>
      </c>
      <c r="J97" s="331"/>
      <c r="K97" s="331"/>
      <c r="L97" s="331"/>
      <c r="M97" s="331"/>
      <c r="N97" s="330"/>
      <c r="O97" s="331"/>
      <c r="P97" s="331"/>
      <c r="Q97" s="331"/>
      <c r="R97" s="385"/>
      <c r="S97" s="385" t="str">
        <f>IF(Tabla8[[#This Row],[FECHA DE ACEPTACION DEL GRUP. INV.]]="","",DATE(YEAR(Tabla8[[#This Row],[FECHA DE ACEPTACION DEL GRUP. INV.]])+2,MONTH(Tabla8[[#This Row],[FECHA DE ACEPTACION DEL GRUP. INV.]]),DAY(Tabla8[[#This Row],[FECHA DE ACEPTACION DEL GRUP. INV.]])))</f>
        <v/>
      </c>
      <c r="T97" s="385" t="str">
        <f ca="1">IF(Tabla8[[#This Row],[FECHA DE ACEPTACION DEL GRUP. INV.]]="","",IF(Tabla8[[#This Row],[FECHA DE VENCIMIENTO ANTE PROYECTO]]&lt;TODAY(),"SÍ","NO"))</f>
        <v/>
      </c>
      <c r="U97" s="385"/>
      <c r="V97" s="386"/>
      <c r="W97" s="386"/>
      <c r="X97" s="385"/>
      <c r="Y97" s="330"/>
      <c r="Z97" s="387"/>
      <c r="AA97" s="330"/>
      <c r="AB97" s="387"/>
      <c r="AC97" s="390"/>
      <c r="AD97" s="330"/>
      <c r="AE97" s="331"/>
      <c r="AF97" s="330"/>
      <c r="AG97" s="446"/>
      <c r="AH97" s="330"/>
      <c r="AI97" s="330"/>
      <c r="AJ97" s="383"/>
      <c r="AK97" s="383"/>
      <c r="AL97" s="331"/>
      <c r="AM97" s="331"/>
      <c r="AN97" s="330"/>
      <c r="AO97" s="330"/>
      <c r="AP97" s="383"/>
      <c r="AQ97" s="383"/>
      <c r="AR97" s="331"/>
      <c r="AS97" s="330"/>
      <c r="AT97" s="386" t="str">
        <f t="shared" si="6"/>
        <v/>
      </c>
      <c r="AU97" s="331"/>
      <c r="AV97" s="331"/>
      <c r="AW97" s="331"/>
      <c r="AX97" s="331"/>
      <c r="AY97" s="386" t="str">
        <f>IFERROR(VLOOKUP(AX97,Listas!K195:K202,2,0),"")</f>
        <v/>
      </c>
      <c r="AZ97" s="388"/>
      <c r="BA97" s="331"/>
      <c r="BB97" s="331"/>
      <c r="BC97" s="389" t="str">
        <f t="shared" si="7"/>
        <v/>
      </c>
    </row>
    <row r="98" spans="1:55" ht="31.5">
      <c r="A98" s="420">
        <v>20211195001</v>
      </c>
      <c r="B98" s="415" t="str">
        <f>VLOOKUP(A98,'ESTADOS ESTUDIANTES'!B:L,2,0)</f>
        <v>BOJACA CABRA JOHN NEIVER</v>
      </c>
      <c r="C98" s="415">
        <f>VLOOKUP(A98,'ESTADOS ESTUDIANTES'!B:L,11,0)</f>
        <v>81720127</v>
      </c>
      <c r="D98" s="415">
        <f>VLOOKUP(A98,'ESTADOS ESTUDIANTES'!B:L,3,0)</f>
        <v>195</v>
      </c>
      <c r="E98" s="415" t="str">
        <f>VLOOKUP(Tabla8[[#This Row],[ENFASIS]],Listas!$R$2:$S$8,2,0)</f>
        <v>EN TELEINF.</v>
      </c>
      <c r="F98" s="415" t="str">
        <f>VLOOKUP(A98,'ESTADOS ESTUDIANTES'!B:L,8,0)</f>
        <v>jnbojacac@udistrital.edu.co</v>
      </c>
      <c r="G98" s="415" t="str">
        <f>VLOOKUP(A98,'ESTADOS ESTUDIANTES'!B:L,9,0)</f>
        <v>john.bojaca@gmail.com</v>
      </c>
      <c r="H98" s="415" t="str">
        <f>VLOOKUP(A98,'ESTADOS ESTUDIANTES'!B:L,5,0)</f>
        <v>E</v>
      </c>
      <c r="I98" s="415" t="str">
        <f>VLOOKUP(Tabla8[[#This Row],[CODIGO]],'ESTADOS ESTUDIANTES'!B:M,12,0)</f>
        <v>2024-3</v>
      </c>
      <c r="J98" s="354" t="s">
        <v>46</v>
      </c>
      <c r="K98" s="354" t="s">
        <v>872</v>
      </c>
      <c r="L98" s="354" t="s">
        <v>309</v>
      </c>
      <c r="M98" s="419"/>
      <c r="N98" s="416">
        <v>44367</v>
      </c>
      <c r="O98" s="415">
        <v>2021</v>
      </c>
      <c r="P98" s="354" t="s">
        <v>131</v>
      </c>
      <c r="Q98" s="354" t="s">
        <v>309</v>
      </c>
      <c r="R98" s="417">
        <v>44374</v>
      </c>
      <c r="S98" s="417">
        <f>IF(Tabla8[[#This Row],[FECHA DE ACEPTACION DEL GRUP. INV.]]="","",DATE(YEAR(Tabla8[[#This Row],[FECHA DE ACEPTACION DEL GRUP. INV.]])+2,MONTH(Tabla8[[#This Row],[FECHA DE ACEPTACION DEL GRUP. INV.]]),DAY(Tabla8[[#This Row],[FECHA DE ACEPTACION DEL GRUP. INV.]])))</f>
        <v>45104</v>
      </c>
      <c r="T98" s="417" t="str">
        <f ca="1">IF(Tabla8[[#This Row],[FECHA DE ACEPTACION DEL GRUP. INV.]]="","",IF(Tabla8[[#This Row],[FECHA DE VENCIMIENTO ANTE PROYECTO]]&lt;TODAY(),"SÍ","NO"))</f>
        <v>SÍ</v>
      </c>
      <c r="U98" s="417"/>
      <c r="V98" s="354" t="s">
        <v>223</v>
      </c>
      <c r="W98" s="354"/>
      <c r="X98" s="417" t="s">
        <v>424</v>
      </c>
      <c r="Y98" s="416"/>
      <c r="Z98" s="418"/>
      <c r="AA98" s="416">
        <v>44981</v>
      </c>
      <c r="AB98" s="418">
        <v>103</v>
      </c>
      <c r="AC98" s="419" t="s">
        <v>79</v>
      </c>
      <c r="AD98" s="416">
        <v>45383</v>
      </c>
      <c r="AE98" s="415" t="s">
        <v>873</v>
      </c>
      <c r="AF98" s="416">
        <v>45392</v>
      </c>
      <c r="AG98" s="419" t="s">
        <v>323</v>
      </c>
      <c r="AH98" s="416"/>
      <c r="AI98" s="416"/>
      <c r="AJ98" s="420">
        <v>50</v>
      </c>
      <c r="AK98" s="420">
        <v>50</v>
      </c>
      <c r="AL98" s="419" t="s">
        <v>41</v>
      </c>
      <c r="AM98" s="419" t="s">
        <v>874</v>
      </c>
      <c r="AN98" s="416"/>
      <c r="AO98" s="416"/>
      <c r="AP98" s="420">
        <v>50</v>
      </c>
      <c r="AQ98" s="420">
        <v>50</v>
      </c>
      <c r="AR98" s="419" t="s">
        <v>41</v>
      </c>
      <c r="AS98" s="416">
        <v>45439</v>
      </c>
      <c r="AT98" s="354" t="s">
        <v>875</v>
      </c>
      <c r="AU98" s="419" t="s">
        <v>876</v>
      </c>
      <c r="AV98" s="419" t="s">
        <v>877</v>
      </c>
      <c r="AW98" s="419"/>
      <c r="AX98" s="419" t="s">
        <v>80</v>
      </c>
      <c r="AY98" s="415" t="s">
        <v>873</v>
      </c>
      <c r="AZ98" s="416">
        <v>45392</v>
      </c>
      <c r="BA98" s="419"/>
      <c r="BB98" s="419" t="s">
        <v>878</v>
      </c>
      <c r="BC98" s="422" t="str">
        <f t="shared" si="7"/>
        <v/>
      </c>
    </row>
    <row r="99" spans="1:55" s="264" customFormat="1" ht="47.25">
      <c r="A99" s="669">
        <v>20211195002</v>
      </c>
      <c r="B99" s="670" t="str">
        <f>VLOOKUP(A99,'ESTADOS ESTUDIANTES'!B:L,2,0)</f>
        <v>GARCIA RINCON WILLIAM ROBERTO</v>
      </c>
      <c r="C99" s="670">
        <f>VLOOKUP(A99,'ESTADOS ESTUDIANTES'!B:L,11,0)</f>
        <v>80151075</v>
      </c>
      <c r="D99" s="670">
        <f>VLOOKUP(A99,'ESTADOS ESTUDIANTES'!B:L,3,0)</f>
        <v>195</v>
      </c>
      <c r="E99" s="670" t="str">
        <f>VLOOKUP(Tabla8[[#This Row],[ENFASIS]],Listas!$R$2:$S$8,2,0)</f>
        <v>EN TELEINF.</v>
      </c>
      <c r="F99" s="670" t="str">
        <f>VLOOKUP(A99,'ESTADOS ESTUDIANTES'!B:L,8,0)</f>
        <v>wrgarciar@udistrital.edu.co</v>
      </c>
      <c r="G99" s="670" t="str">
        <f>VLOOKUP(A99,'ESTADOS ESTUDIANTES'!B:L,9,0)</f>
        <v>willygaa@gmail.com</v>
      </c>
      <c r="H99" s="670" t="str">
        <f>VLOOKUP(A99,'ESTADOS ESTUDIANTES'!B:L,5,0)</f>
        <v>X</v>
      </c>
      <c r="I99" s="670" t="str">
        <f>VLOOKUP(Tabla8[[#This Row],[CODIGO]],'ESTADOS ESTUDIANTES'!B:M,12,0)</f>
        <v>2026-1</v>
      </c>
      <c r="J99" s="665" t="s">
        <v>46</v>
      </c>
      <c r="K99" s="665" t="s">
        <v>879</v>
      </c>
      <c r="L99" s="665" t="s">
        <v>309</v>
      </c>
      <c r="M99" s="666"/>
      <c r="N99" s="667">
        <v>44362</v>
      </c>
      <c r="O99" s="670">
        <v>2021</v>
      </c>
      <c r="P99" s="665" t="s">
        <v>131</v>
      </c>
      <c r="Q99" s="665" t="s">
        <v>309</v>
      </c>
      <c r="R99" s="668">
        <v>44362</v>
      </c>
      <c r="S99" s="668">
        <f>IF(Tabla8[[#This Row],[FECHA DE ACEPTACION DEL GRUP. INV.]]="","",DATE(YEAR(Tabla8[[#This Row],[FECHA DE ACEPTACION DEL GRUP. INV.]])+2,MONTH(Tabla8[[#This Row],[FECHA DE ACEPTACION DEL GRUP. INV.]]),DAY(Tabla8[[#This Row],[FECHA DE ACEPTACION DEL GRUP. INV.]])))</f>
        <v>45092</v>
      </c>
      <c r="T99" s="676" t="str">
        <f ca="1">IF(Tabla8[[#This Row],[FECHA DE ACEPTACION DEL GRUP. INV.]]="","",IF(Tabla8[[#This Row],[FECHA DE VENCIMIENTO ANTE PROYECTO]]&lt;TODAY(),"SÍ","NO"))</f>
        <v>SÍ</v>
      </c>
      <c r="U99" s="699" t="s">
        <v>817</v>
      </c>
      <c r="V99" s="240" t="s">
        <v>223</v>
      </c>
      <c r="W99" s="240" t="s">
        <v>880</v>
      </c>
      <c r="X99" s="242" t="s">
        <v>842</v>
      </c>
      <c r="Y99" s="241">
        <v>44981</v>
      </c>
      <c r="Z99" s="243">
        <v>98</v>
      </c>
      <c r="AA99" s="328">
        <v>45658</v>
      </c>
      <c r="AB99" s="329">
        <v>111</v>
      </c>
      <c r="AC99" s="238" t="s">
        <v>79</v>
      </c>
      <c r="AD99" s="241"/>
      <c r="AE99" s="238"/>
      <c r="AF99" s="241"/>
      <c r="AG99" s="453"/>
      <c r="AH99" s="241"/>
      <c r="AI99" s="241"/>
      <c r="AJ99" s="244"/>
      <c r="AK99" s="244"/>
      <c r="AL99" s="238"/>
      <c r="AM99" s="238"/>
      <c r="AN99" s="241"/>
      <c r="AO99" s="241"/>
      <c r="AP99" s="244"/>
      <c r="AQ99" s="244"/>
      <c r="AR99" s="238"/>
      <c r="AS99" s="241"/>
      <c r="AT99" s="240" t="str">
        <f t="shared" ref="AT99:AT141" si="8">IFERROR(ROUND(AVERAGE(AQ99,AP99,AK99,AJ99),0),"")</f>
        <v/>
      </c>
      <c r="AU99" s="238"/>
      <c r="AV99" s="238"/>
      <c r="AW99" s="238"/>
      <c r="AX99" s="238"/>
      <c r="AY99" s="240" t="str">
        <f>IFERROR(VLOOKUP(AX99,Listas!K197:K204,2,0),"")</f>
        <v/>
      </c>
      <c r="AZ99" s="381"/>
      <c r="BA99" s="238"/>
      <c r="BB99" s="238"/>
      <c r="BC99" s="245" t="str">
        <f t="shared" si="7"/>
        <v/>
      </c>
    </row>
    <row r="100" spans="1:55" s="264" customFormat="1" ht="63">
      <c r="A100" s="672">
        <v>20211195006</v>
      </c>
      <c r="B100" s="673" t="str">
        <f>VLOOKUP(A100,'ESTADOS ESTUDIANTES'!B:L,2,0)</f>
        <v>QUINTERO GARZON CESAR IVAN</v>
      </c>
      <c r="C100" s="673">
        <f>VLOOKUP(A100,'ESTADOS ESTUDIANTES'!B:L,11,0)</f>
        <v>1075212647</v>
      </c>
      <c r="D100" s="673">
        <f>VLOOKUP(A100,'ESTADOS ESTUDIANTES'!B:L,3,0)</f>
        <v>195</v>
      </c>
      <c r="E100" s="673" t="str">
        <f>VLOOKUP(Tabla8[[#This Row],[ENFASIS]],Listas!$R$2:$S$8,2,0)</f>
        <v>EN TELEINF.</v>
      </c>
      <c r="F100" s="673" t="str">
        <f>VLOOKUP(A100,'ESTADOS ESTUDIANTES'!B:L,8,0)</f>
        <v>ciquinterog@udistrital.edu.co</v>
      </c>
      <c r="G100" s="673" t="str">
        <f>VLOOKUP(A100,'ESTADOS ESTUDIANTES'!B:L,9,0)</f>
        <v>cquinterog@protonmail.com</v>
      </c>
      <c r="H100" s="673" t="str">
        <f>VLOOKUP(A100,'ESTADOS ESTUDIANTES'!B:L,5,0)</f>
        <v>A</v>
      </c>
      <c r="I100" s="673" t="str">
        <f>VLOOKUP(Tabla8[[#This Row],[CODIGO]],'ESTADOS ESTUDIANTES'!B:M,12,0)</f>
        <v>2026-3</v>
      </c>
      <c r="J100" s="272" t="s">
        <v>46</v>
      </c>
      <c r="K100" s="665" t="s">
        <v>881</v>
      </c>
      <c r="L100" s="665" t="s">
        <v>265</v>
      </c>
      <c r="M100" s="666"/>
      <c r="N100" s="667">
        <v>45966</v>
      </c>
      <c r="O100" s="670">
        <v>2025</v>
      </c>
      <c r="P100" s="240" t="s">
        <v>160</v>
      </c>
      <c r="Q100" s="240" t="s">
        <v>265</v>
      </c>
      <c r="R100" s="242">
        <v>46111</v>
      </c>
      <c r="S100" s="242">
        <f>IF(Tabla8[[#This Row],[FECHA DE ACEPTACION DEL GRUP. INV.]]="","",DATE(YEAR(Tabla8[[#This Row],[FECHA DE ACEPTACION DEL GRUP. INV.]])+2,MONTH(Tabla8[[#This Row],[FECHA DE ACEPTACION DEL GRUP. INV.]]),DAY(Tabla8[[#This Row],[FECHA DE ACEPTACION DEL GRUP. INV.]])))</f>
        <v>46842</v>
      </c>
      <c r="T100" s="242" t="str">
        <f ca="1">IF(Tabla8[[#This Row],[FECHA DE ACEPTACION DEL GRUP. INV.]]="","",IF(Tabla8[[#This Row],[FECHA DE VENCIMIENTO ANTE PROYECTO]]&lt;TODAY(),"SÍ","NO"))</f>
        <v>NO</v>
      </c>
      <c r="U100" s="699" t="s">
        <v>827</v>
      </c>
      <c r="V100" s="240" t="s">
        <v>223</v>
      </c>
      <c r="W100" s="240"/>
      <c r="X100" s="242" t="s">
        <v>424</v>
      </c>
      <c r="Y100" s="241">
        <v>44468</v>
      </c>
      <c r="Z100" s="243">
        <v>126</v>
      </c>
      <c r="AA100" s="328">
        <v>45870</v>
      </c>
      <c r="AB100" s="329">
        <v>130</v>
      </c>
      <c r="AC100" s="240" t="s">
        <v>79</v>
      </c>
      <c r="AD100" s="241"/>
      <c r="AE100" s="238"/>
      <c r="AF100" s="241"/>
      <c r="AG100" s="453"/>
      <c r="AH100" s="241"/>
      <c r="AI100" s="241"/>
      <c r="AJ100" s="244"/>
      <c r="AK100" s="244"/>
      <c r="AL100" s="238"/>
      <c r="AM100" s="238"/>
      <c r="AN100" s="241"/>
      <c r="AO100" s="241"/>
      <c r="AP100" s="244"/>
      <c r="AQ100" s="244"/>
      <c r="AR100" s="238"/>
      <c r="AS100" s="241"/>
      <c r="AT100" s="240" t="str">
        <f t="shared" si="8"/>
        <v/>
      </c>
      <c r="AU100" s="238"/>
      <c r="AV100" s="238"/>
      <c r="AW100" s="238"/>
      <c r="AX100" s="238"/>
      <c r="AY100" s="240" t="str">
        <f>IFERROR(VLOOKUP(AX100,Listas!K199:K206,2,0),"")</f>
        <v/>
      </c>
      <c r="AZ100" s="381"/>
      <c r="BA100" s="238"/>
      <c r="BB100" s="238"/>
      <c r="BC100" s="245" t="str">
        <f t="shared" si="7"/>
        <v>Edward Jacinto Gomez</v>
      </c>
    </row>
    <row r="101" spans="1:55" ht="63">
      <c r="A101" s="420">
        <v>20211395001</v>
      </c>
      <c r="B101" s="415" t="str">
        <f>VLOOKUP(A101,'ESTADOS ESTUDIANTES'!B:L,2,0)</f>
        <v>BORDA CASAS OSCAR FERNANDO</v>
      </c>
      <c r="C101" s="415">
        <f>VLOOKUP(A101,'ESTADOS ESTUDIANTES'!B:L,11,0)</f>
        <v>1018483537</v>
      </c>
      <c r="D101" s="415">
        <f>VLOOKUP(A101,'ESTADOS ESTUDIANTES'!B:L,3,0)</f>
        <v>395</v>
      </c>
      <c r="E101" s="415" t="str">
        <f>VLOOKUP(Tabla8[[#This Row],[ENFASIS]],Listas!$R$2:$S$8,2,0)</f>
        <v>ENFASIS EN GEOMATICA</v>
      </c>
      <c r="F101" s="415" t="str">
        <f>VLOOKUP(A101,'ESTADOS ESTUDIANTES'!B:L,8,0)</f>
        <v>ofbordac@udistrital.edu.co</v>
      </c>
      <c r="G101" s="415" t="str">
        <f>VLOOKUP(A101,'ESTADOS ESTUDIANTES'!B:L,9,0)</f>
        <v>oscarfbordac@gmail.com</v>
      </c>
      <c r="H101" s="415" t="str">
        <f>VLOOKUP(A101,'ESTADOS ESTUDIANTES'!B:L,5,0)</f>
        <v>E</v>
      </c>
      <c r="I101" s="415" t="str">
        <f>VLOOKUP(Tabla8[[#This Row],[CODIGO]],'ESTADOS ESTUDIANTES'!B:M,12,0)</f>
        <v>2024-3</v>
      </c>
      <c r="J101" s="354" t="s">
        <v>46</v>
      </c>
      <c r="K101" s="354" t="s">
        <v>882</v>
      </c>
      <c r="L101" s="354" t="s">
        <v>270</v>
      </c>
      <c r="M101" s="419"/>
      <c r="N101" s="416">
        <v>45203</v>
      </c>
      <c r="O101" s="415">
        <v>2023</v>
      </c>
      <c r="P101" s="354" t="s">
        <v>83</v>
      </c>
      <c r="Q101" s="354" t="s">
        <v>512</v>
      </c>
      <c r="R101" s="417">
        <v>45204</v>
      </c>
      <c r="S101" s="417">
        <f>IF(Tabla8[[#This Row],[FECHA DE ACEPTACION DEL GRUP. INV.]]="","",DATE(YEAR(Tabla8[[#This Row],[FECHA DE ACEPTACION DEL GRUP. INV.]])+2,MONTH(Tabla8[[#This Row],[FECHA DE ACEPTACION DEL GRUP. INV.]]),DAY(Tabla8[[#This Row],[FECHA DE ACEPTACION DEL GRUP. INV.]])))</f>
        <v>45935</v>
      </c>
      <c r="T101" s="417" t="str">
        <f ca="1">IF(Tabla8[[#This Row],[FECHA DE ACEPTACION DEL GRUP. INV.]]="","",IF(Tabla8[[#This Row],[FECHA DE VENCIMIENTO ANTE PROYECTO]]&lt;TODAY(),"SÍ","NO"))</f>
        <v>SÍ</v>
      </c>
      <c r="U101" s="417"/>
      <c r="V101" s="354" t="s">
        <v>643</v>
      </c>
      <c r="W101" s="354"/>
      <c r="X101" s="417" t="s">
        <v>424</v>
      </c>
      <c r="Y101" s="416">
        <v>44510</v>
      </c>
      <c r="Z101" s="418">
        <v>111</v>
      </c>
      <c r="AA101" s="416">
        <v>45323</v>
      </c>
      <c r="AB101" s="418">
        <v>92</v>
      </c>
      <c r="AC101" s="354" t="s">
        <v>79</v>
      </c>
      <c r="AD101" s="416"/>
      <c r="AE101" s="419" t="s">
        <v>405</v>
      </c>
      <c r="AF101" s="416">
        <v>45581</v>
      </c>
      <c r="AG101" s="419" t="s">
        <v>272</v>
      </c>
      <c r="AH101" s="416"/>
      <c r="AI101" s="416"/>
      <c r="AJ101" s="420">
        <v>49</v>
      </c>
      <c r="AK101" s="420">
        <v>49</v>
      </c>
      <c r="AL101" s="419" t="s">
        <v>41</v>
      </c>
      <c r="AM101" s="419" t="s">
        <v>310</v>
      </c>
      <c r="AN101" s="416"/>
      <c r="AO101" s="416"/>
      <c r="AP101" s="420">
        <v>44</v>
      </c>
      <c r="AQ101" s="420">
        <v>46</v>
      </c>
      <c r="AR101" s="419" t="s">
        <v>41</v>
      </c>
      <c r="AS101" s="416">
        <v>45609</v>
      </c>
      <c r="AT101" s="354">
        <f t="shared" si="8"/>
        <v>47</v>
      </c>
      <c r="AU101" s="419" t="s">
        <v>883</v>
      </c>
      <c r="AV101" s="419" t="s">
        <v>884</v>
      </c>
      <c r="AW101" s="419"/>
      <c r="AX101" s="419"/>
      <c r="AY101" s="354" t="s">
        <v>405</v>
      </c>
      <c r="AZ101" s="421">
        <v>45581</v>
      </c>
      <c r="BA101" s="419"/>
      <c r="BB101" s="419"/>
      <c r="BC101" s="422" t="str">
        <f>IF(OR(H101="A",$H101="D",$H101="P",$H101="V"),#REF!,"")</f>
        <v/>
      </c>
    </row>
    <row r="102" spans="1:55">
      <c r="A102" s="383">
        <v>20211395003</v>
      </c>
      <c r="B102" s="384" t="str">
        <f>VLOOKUP(A102,'ESTADOS ESTUDIANTES'!B:L,2,0)</f>
        <v>MEJIA CONTENTO CESAR ANDRES</v>
      </c>
      <c r="C102" s="384">
        <f>VLOOKUP(A102,'ESTADOS ESTUDIANTES'!B:L,11,0)</f>
        <v>1031147235</v>
      </c>
      <c r="D102" s="384">
        <f>VLOOKUP(A102,'ESTADOS ESTUDIANTES'!B:L,3,0)</f>
        <v>395</v>
      </c>
      <c r="E102" s="384" t="str">
        <f>VLOOKUP(Tabla8[[#This Row],[ENFASIS]],Listas!$R$2:$S$8,2,0)</f>
        <v>ENFASIS EN GEOMATICA</v>
      </c>
      <c r="F102" s="384" t="str">
        <f>VLOOKUP(A102,'ESTADOS ESTUDIANTES'!B:L,8,0)</f>
        <v>ceamejiac@correo.udistrital.edu.co</v>
      </c>
      <c r="G102" s="384" t="str">
        <f>VLOOKUP(A102,'ESTADOS ESTUDIANTES'!B:L,9,0)</f>
        <v>ccma_93@hotmail.com</v>
      </c>
      <c r="H102" s="384" t="str">
        <f>VLOOKUP(A102,'ESTADOS ESTUDIANTES'!B:L,5,0)</f>
        <v>X</v>
      </c>
      <c r="I102" s="384" t="str">
        <f>VLOOKUP(Tabla8[[#This Row],[CODIGO]],'ESTADOS ESTUDIANTES'!B:M,12,0)</f>
        <v>2021-3</v>
      </c>
      <c r="J102" s="331"/>
      <c r="K102" s="331" t="s">
        <v>885</v>
      </c>
      <c r="L102" s="331"/>
      <c r="M102" s="331"/>
      <c r="N102" s="330"/>
      <c r="O102" s="331"/>
      <c r="P102" s="331"/>
      <c r="Q102" s="331"/>
      <c r="R102" s="385"/>
      <c r="S102" s="385" t="str">
        <f>IF(Tabla8[[#This Row],[FECHA DE ACEPTACION DEL GRUP. INV.]]="","",DATE(YEAR(Tabla8[[#This Row],[FECHA DE ACEPTACION DEL GRUP. INV.]])+2,MONTH(Tabla8[[#This Row],[FECHA DE ACEPTACION DEL GRUP. INV.]]),DAY(Tabla8[[#This Row],[FECHA DE ACEPTACION DEL GRUP. INV.]])))</f>
        <v/>
      </c>
      <c r="T102" s="385" t="str">
        <f ca="1">IF(Tabla8[[#This Row],[FECHA DE ACEPTACION DEL GRUP. INV.]]="","",IF(Tabla8[[#This Row],[FECHA DE VENCIMIENTO ANTE PROYECTO]]&lt;TODAY(),"SÍ","NO"))</f>
        <v/>
      </c>
      <c r="U102" s="385"/>
      <c r="V102" s="386"/>
      <c r="W102" s="386"/>
      <c r="X102" s="385"/>
      <c r="Y102" s="330"/>
      <c r="Z102" s="387"/>
      <c r="AA102" s="330"/>
      <c r="AB102" s="387"/>
      <c r="AC102" s="390"/>
      <c r="AD102" s="330"/>
      <c r="AE102" s="331"/>
      <c r="AF102" s="330"/>
      <c r="AG102" s="446"/>
      <c r="AH102" s="330"/>
      <c r="AI102" s="330"/>
      <c r="AJ102" s="383"/>
      <c r="AK102" s="383"/>
      <c r="AL102" s="331"/>
      <c r="AM102" s="331"/>
      <c r="AN102" s="330"/>
      <c r="AO102" s="330"/>
      <c r="AP102" s="383"/>
      <c r="AQ102" s="383"/>
      <c r="AR102" s="331"/>
      <c r="AS102" s="330"/>
      <c r="AT102" s="386" t="str">
        <f t="shared" si="8"/>
        <v/>
      </c>
      <c r="AU102" s="331"/>
      <c r="AV102" s="331"/>
      <c r="AW102" s="331"/>
      <c r="AX102" s="331"/>
      <c r="AY102" s="386" t="str">
        <f>IFERROR(VLOOKUP(AX102,Listas!K202:K209,2,0),"")</f>
        <v/>
      </c>
      <c r="AZ102" s="388"/>
      <c r="BA102" s="331"/>
      <c r="BB102" s="331"/>
      <c r="BC102" s="391" t="str">
        <f t="shared" ref="BC102:BC140" si="9">IF(OR(H102="A",$H102="D",$H102="P",$H102="V"),L102,"")</f>
        <v/>
      </c>
    </row>
    <row r="103" spans="1:55" s="264" customFormat="1" ht="126">
      <c r="A103" s="244">
        <v>20211395004</v>
      </c>
      <c r="B103" s="239" t="str">
        <f>VLOOKUP(A103,'ESTADOS ESTUDIANTES'!B:L,2,0)</f>
        <v>MONTANO MORENO ANDRES OROSMAN</v>
      </c>
      <c r="C103" s="239">
        <f>VLOOKUP(A103,'ESTADOS ESTUDIANTES'!B:L,11,0)</f>
        <v>1018466189</v>
      </c>
      <c r="D103" s="239">
        <f>VLOOKUP(A103,'ESTADOS ESTUDIANTES'!B:L,3,0)</f>
        <v>395</v>
      </c>
      <c r="E103" s="239" t="str">
        <f>VLOOKUP(Tabla8[[#This Row],[ENFASIS]],Listas!$R$2:$S$8,2,0)</f>
        <v>ENFASIS EN GEOMATICA</v>
      </c>
      <c r="F103" s="239" t="str">
        <f>VLOOKUP(A103,'ESTADOS ESTUDIANTES'!B:L,8,0)</f>
        <v>aomontanom@udistrital.edu.co</v>
      </c>
      <c r="G103" s="239" t="str">
        <f>VLOOKUP(A103,'ESTADOS ESTUDIANTES'!B:L,9,0)</f>
        <v>andresorosman.65@gmail.com</v>
      </c>
      <c r="H103" s="239" t="str">
        <f>VLOOKUP(A103,'ESTADOS ESTUDIANTES'!B:L,5,0)</f>
        <v>E</v>
      </c>
      <c r="I103" s="239" t="str">
        <f>VLOOKUP(Tabla8[[#This Row],[CODIGO]],'ESTADOS ESTUDIANTES'!B:M,12,0)</f>
        <v>2025-3</v>
      </c>
      <c r="J103" s="240" t="s">
        <v>46</v>
      </c>
      <c r="K103" s="240" t="s">
        <v>886</v>
      </c>
      <c r="L103" s="240" t="s">
        <v>229</v>
      </c>
      <c r="M103" s="240" t="s">
        <v>887</v>
      </c>
      <c r="N103" s="241">
        <v>45373</v>
      </c>
      <c r="O103" s="239">
        <f>YEAR(Tabla8[[#This Row],[FECHA DE RADICACION ANTEPROYECTO]])</f>
        <v>2024</v>
      </c>
      <c r="P103" s="240" t="s">
        <v>146</v>
      </c>
      <c r="Q103" s="240" t="s">
        <v>344</v>
      </c>
      <c r="R103" s="242">
        <v>45456</v>
      </c>
      <c r="S103" s="242">
        <f>IF(Tabla8[[#This Row],[FECHA DE ACEPTACION DEL GRUP. INV.]]="","",DATE(YEAR(Tabla8[[#This Row],[FECHA DE ACEPTACION DEL GRUP. INV.]])+2,MONTH(Tabla8[[#This Row],[FECHA DE ACEPTACION DEL GRUP. INV.]]),DAY(Tabla8[[#This Row],[FECHA DE ACEPTACION DEL GRUP. INV.]])))</f>
        <v>46186</v>
      </c>
      <c r="T103" s="242" t="str">
        <f ca="1">IF(Tabla8[[#This Row],[FECHA DE ACEPTACION DEL GRUP. INV.]]="","",IF(Tabla8[[#This Row],[FECHA DE VENCIMIENTO ANTE PROYECTO]]&lt;TODAY(),"SÍ","NO"))</f>
        <v>SÍ</v>
      </c>
      <c r="U103" s="242"/>
      <c r="V103" s="240" t="s">
        <v>371</v>
      </c>
      <c r="W103" s="240"/>
      <c r="X103" s="242" t="s">
        <v>424</v>
      </c>
      <c r="Y103" s="241"/>
      <c r="Z103" s="243"/>
      <c r="AA103" s="241">
        <v>45323</v>
      </c>
      <c r="AB103" s="243">
        <v>98</v>
      </c>
      <c r="AC103" s="238" t="s">
        <v>79</v>
      </c>
      <c r="AD103" s="241"/>
      <c r="AE103" s="238" t="s">
        <v>489</v>
      </c>
      <c r="AF103" s="241">
        <v>45791</v>
      </c>
      <c r="AG103" s="453" t="s">
        <v>270</v>
      </c>
      <c r="AH103" s="241">
        <v>45874</v>
      </c>
      <c r="AI103" s="241">
        <v>45884</v>
      </c>
      <c r="AJ103" s="244">
        <v>34</v>
      </c>
      <c r="AK103" s="244">
        <v>36</v>
      </c>
      <c r="AL103" s="238" t="s">
        <v>41</v>
      </c>
      <c r="AM103" s="238" t="s">
        <v>467</v>
      </c>
      <c r="AN103" s="241">
        <v>45874</v>
      </c>
      <c r="AO103" s="241">
        <v>45884</v>
      </c>
      <c r="AP103" s="244">
        <v>39</v>
      </c>
      <c r="AQ103" s="244">
        <v>37</v>
      </c>
      <c r="AR103" s="238" t="s">
        <v>41</v>
      </c>
      <c r="AS103" s="241">
        <v>45891</v>
      </c>
      <c r="AT103" s="240">
        <f t="shared" si="8"/>
        <v>37</v>
      </c>
      <c r="AU103" s="238" t="s">
        <v>888</v>
      </c>
      <c r="AV103" s="238" t="s">
        <v>889</v>
      </c>
      <c r="AW103" s="238"/>
      <c r="AX103" s="238"/>
      <c r="AY103" s="240" t="s">
        <v>489</v>
      </c>
      <c r="AZ103" s="258">
        <v>45791</v>
      </c>
      <c r="BA103" s="238"/>
      <c r="BB103" s="238"/>
      <c r="BC103" s="245" t="str">
        <f t="shared" si="9"/>
        <v/>
      </c>
    </row>
    <row r="104" spans="1:55">
      <c r="A104" s="383">
        <v>20211395005</v>
      </c>
      <c r="B104" s="384" t="str">
        <f>VLOOKUP(A104,'ESTADOS ESTUDIANTES'!B:L,2,0)</f>
        <v>RIVERA SANCHEZ HAYLERMAN FERNANDO</v>
      </c>
      <c r="C104" s="384">
        <f>VLOOKUP(A104,'ESTADOS ESTUDIANTES'!B:L,11,0)</f>
        <v>1024530028</v>
      </c>
      <c r="D104" s="384">
        <f>VLOOKUP(A104,'ESTADOS ESTUDIANTES'!B:L,3,0)</f>
        <v>395</v>
      </c>
      <c r="E104" s="384" t="str">
        <f>VLOOKUP(Tabla8[[#This Row],[ENFASIS]],Listas!$R$2:$S$8,2,0)</f>
        <v>ENFASIS EN GEOMATICA</v>
      </c>
      <c r="F104" s="384" t="str">
        <f>VLOOKUP(A104,'ESTADOS ESTUDIANTES'!B:L,8,0)</f>
        <v>hfriveras@udistrital.edu.co</v>
      </c>
      <c r="G104" s="384" t="str">
        <f>VLOOKUP(A104,'ESTADOS ESTUDIANTES'!B:L,9,0)</f>
        <v>hfriveraz@gmail.com</v>
      </c>
      <c r="H104" s="384" t="str">
        <f>VLOOKUP(A104,'ESTADOS ESTUDIANTES'!B:L,5,0)</f>
        <v>I</v>
      </c>
      <c r="I104" s="384" t="str">
        <f>VLOOKUP(Tabla8[[#This Row],[CODIGO]],'ESTADOS ESTUDIANTES'!B:M,12,0)</f>
        <v>-</v>
      </c>
      <c r="J104" s="331"/>
      <c r="K104" s="446"/>
      <c r="L104" s="446"/>
      <c r="M104" s="446"/>
      <c r="N104" s="447"/>
      <c r="O104" s="446"/>
      <c r="P104" s="446"/>
      <c r="Q104" s="446"/>
      <c r="R104" s="448"/>
      <c r="S104" s="448" t="str">
        <f>IF(Tabla8[[#This Row],[FECHA DE ACEPTACION DEL GRUP. INV.]]="","",DATE(YEAR(Tabla8[[#This Row],[FECHA DE ACEPTACION DEL GRUP. INV.]])+2,MONTH(Tabla8[[#This Row],[FECHA DE ACEPTACION DEL GRUP. INV.]]),DAY(Tabla8[[#This Row],[FECHA DE ACEPTACION DEL GRUP. INV.]])))</f>
        <v/>
      </c>
      <c r="T104" s="448" t="str">
        <f ca="1">IF(Tabla8[[#This Row],[FECHA DE ACEPTACION DEL GRUP. INV.]]="","",IF(Tabla8[[#This Row],[FECHA DE VENCIMIENTO ANTE PROYECTO]]&lt;TODAY(),"SÍ","NO"))</f>
        <v/>
      </c>
      <c r="U104" s="448"/>
      <c r="V104" s="451"/>
      <c r="W104" s="451"/>
      <c r="X104" s="385" t="s">
        <v>424</v>
      </c>
      <c r="Y104" s="330"/>
      <c r="Z104" s="387"/>
      <c r="AA104" s="330"/>
      <c r="AB104" s="387"/>
      <c r="AC104" s="390"/>
      <c r="AD104" s="447"/>
      <c r="AE104" s="446"/>
      <c r="AF104" s="447"/>
      <c r="AG104" s="446"/>
      <c r="AH104" s="447"/>
      <c r="AI104" s="447"/>
      <c r="AJ104" s="383"/>
      <c r="AK104" s="383"/>
      <c r="AL104" s="446"/>
      <c r="AM104" s="446"/>
      <c r="AN104" s="447"/>
      <c r="AO104" s="447"/>
      <c r="AP104" s="383"/>
      <c r="AQ104" s="383"/>
      <c r="AR104" s="446"/>
      <c r="AS104" s="447"/>
      <c r="AT104" s="386" t="str">
        <f t="shared" si="8"/>
        <v/>
      </c>
      <c r="AU104" s="446"/>
      <c r="AV104" s="446"/>
      <c r="AW104" s="331"/>
      <c r="AX104" s="446"/>
      <c r="AY104" s="386" t="str">
        <f>IFERROR(VLOOKUP(AX104,Listas!K204:K211,2,0),"")</f>
        <v/>
      </c>
      <c r="AZ104" s="388"/>
      <c r="BA104" s="446"/>
      <c r="BB104" s="446"/>
      <c r="BC104" s="391" t="str">
        <f t="shared" si="9"/>
        <v/>
      </c>
    </row>
    <row r="105" spans="1:55" ht="31.5">
      <c r="A105" s="244">
        <v>20211495002</v>
      </c>
      <c r="B105" s="239" t="str">
        <f>VLOOKUP(A105,'ESTADOS ESTUDIANTES'!B:L,2,0)</f>
        <v>CONTRERAS LEGUIZAMON WILMER JAIR</v>
      </c>
      <c r="C105" s="239">
        <f>VLOOKUP(A105,'ESTADOS ESTUDIANTES'!B:L,11,0)</f>
        <v>1030558690</v>
      </c>
      <c r="D105" s="239">
        <f>VLOOKUP(A105,'ESTADOS ESTUDIANTES'!B:L,3,0)</f>
        <v>495</v>
      </c>
      <c r="E105" s="239" t="str">
        <f>VLOOKUP(Tabla8[[#This Row],[ENFASIS]],Listas!$R$2:$S$8,2,0)</f>
        <v>ENFASIS EN ING. SOFT</v>
      </c>
      <c r="F105" s="239" t="str">
        <f>VLOOKUP(A105,'ESTADOS ESTUDIANTES'!B:L,8,0)</f>
        <v>wjcontrerasl@udistrital.edu.co</v>
      </c>
      <c r="G105" s="239" t="str">
        <f>VLOOKUP(A105,'ESTADOS ESTUDIANTES'!B:L,9,0)</f>
        <v>WJCONTRERASL@YAHOO.ES</v>
      </c>
      <c r="H105" s="239" t="str">
        <f>VLOOKUP(A105,'ESTADOS ESTUDIANTES'!B:L,5,0)</f>
        <v>X</v>
      </c>
      <c r="I105" s="239" t="str">
        <f>VLOOKUP(Tabla8[[#This Row],[CODIGO]],'ESTADOS ESTUDIANTES'!B:M,12,0)</f>
        <v>2023-3</v>
      </c>
      <c r="J105" s="240" t="s">
        <v>46</v>
      </c>
      <c r="K105" s="240" t="s">
        <v>890</v>
      </c>
      <c r="L105" s="240"/>
      <c r="M105" s="240" t="s">
        <v>221</v>
      </c>
      <c r="N105" s="241">
        <v>44367</v>
      </c>
      <c r="O105" s="239">
        <v>2021</v>
      </c>
      <c r="P105" s="240" t="s">
        <v>112</v>
      </c>
      <c r="Q105" s="240" t="s">
        <v>222</v>
      </c>
      <c r="R105" s="242"/>
      <c r="S105" s="242" t="str">
        <f>IF(Tabla8[[#This Row],[FECHA DE ACEPTACION DEL GRUP. INV.]]="","",DATE(YEAR(Tabla8[[#This Row],[FECHA DE ACEPTACION DEL GRUP. INV.]])+2,MONTH(Tabla8[[#This Row],[FECHA DE ACEPTACION DEL GRUP. INV.]]),DAY(Tabla8[[#This Row],[FECHA DE ACEPTACION DEL GRUP. INV.]])))</f>
        <v/>
      </c>
      <c r="T105" s="242" t="str">
        <f ca="1">IF(Tabla8[[#This Row],[FECHA DE ACEPTACION DEL GRUP. INV.]]="","",IF(Tabla8[[#This Row],[FECHA DE VENCIMIENTO ANTE PROYECTO]]&lt;TODAY(),"SÍ","NO"))</f>
        <v/>
      </c>
      <c r="U105" s="242"/>
      <c r="V105" s="240"/>
      <c r="W105" s="240"/>
      <c r="X105" s="242"/>
      <c r="Y105" s="241"/>
      <c r="Z105" s="243"/>
      <c r="AA105" s="241">
        <v>44342</v>
      </c>
      <c r="AB105" s="243">
        <v>85.22</v>
      </c>
      <c r="AC105" s="240" t="s">
        <v>79</v>
      </c>
      <c r="AD105" s="241"/>
      <c r="AE105" s="238"/>
      <c r="AF105" s="241"/>
      <c r="AG105" s="453"/>
      <c r="AH105" s="241"/>
      <c r="AI105" s="241"/>
      <c r="AJ105" s="244"/>
      <c r="AK105" s="244"/>
      <c r="AL105" s="238"/>
      <c r="AM105" s="238"/>
      <c r="AN105" s="241"/>
      <c r="AO105" s="241"/>
      <c r="AP105" s="244"/>
      <c r="AQ105" s="244"/>
      <c r="AR105" s="238"/>
      <c r="AS105" s="241"/>
      <c r="AT105" s="240" t="str">
        <f t="shared" si="8"/>
        <v/>
      </c>
      <c r="AU105" s="238"/>
      <c r="AV105" s="238"/>
      <c r="AW105" s="238"/>
      <c r="AX105" s="238"/>
      <c r="AY105" s="240" t="str">
        <f>IFERROR(VLOOKUP(AX105,Listas!K209:K216,2,0),"")</f>
        <v/>
      </c>
      <c r="AZ105" s="381"/>
      <c r="BA105" s="238"/>
      <c r="BB105" s="238"/>
      <c r="BC105" s="245" t="str">
        <f t="shared" si="9"/>
        <v/>
      </c>
    </row>
    <row r="106" spans="1:55">
      <c r="A106" s="383">
        <v>20211495006</v>
      </c>
      <c r="B106" s="384" t="str">
        <f>VLOOKUP(A106,'ESTADOS ESTUDIANTES'!B:L,2,0)</f>
        <v>MORENO SANDOVAL DANIEL STEVEN</v>
      </c>
      <c r="C106" s="384">
        <f>VLOOKUP(A106,'ESTADOS ESTUDIANTES'!B:L,11,0)</f>
        <v>1069099872</v>
      </c>
      <c r="D106" s="384">
        <f>VLOOKUP(A106,'ESTADOS ESTUDIANTES'!B:L,3,0)</f>
        <v>495</v>
      </c>
      <c r="E106" s="384" t="str">
        <f>VLOOKUP(Tabla8[[#This Row],[ENFASIS]],Listas!$R$2:$S$8,2,0)</f>
        <v>ENFASIS EN ING. SOFT</v>
      </c>
      <c r="F106" s="384" t="str">
        <f>VLOOKUP(A106,'ESTADOS ESTUDIANTES'!B:L,8,0)</f>
        <v>dsmorenos@correo.udistrital.edu.co</v>
      </c>
      <c r="G106" s="384" t="str">
        <f>VLOOKUP(A106,'ESTADOS ESTUDIANTES'!B:L,9,0)</f>
        <v>06danielsms@gmail.com</v>
      </c>
      <c r="H106" s="384" t="str">
        <f>VLOOKUP(A106,'ESTADOS ESTUDIANTES'!B:L,5,0)</f>
        <v>X</v>
      </c>
      <c r="I106" s="384" t="str">
        <f>VLOOKUP(Tabla8[[#This Row],[CODIGO]],'ESTADOS ESTUDIANTES'!B:M,12,0)</f>
        <v>2021-1</v>
      </c>
      <c r="J106" s="331"/>
      <c r="K106" s="331"/>
      <c r="L106" s="331"/>
      <c r="M106" s="331"/>
      <c r="N106" s="330"/>
      <c r="O106" s="331"/>
      <c r="P106" s="331"/>
      <c r="Q106" s="331"/>
      <c r="R106" s="385"/>
      <c r="S106" s="385" t="str">
        <f>IF(Tabla8[[#This Row],[FECHA DE ACEPTACION DEL GRUP. INV.]]="","",DATE(YEAR(Tabla8[[#This Row],[FECHA DE ACEPTACION DEL GRUP. INV.]])+2,MONTH(Tabla8[[#This Row],[FECHA DE ACEPTACION DEL GRUP. INV.]]),DAY(Tabla8[[#This Row],[FECHA DE ACEPTACION DEL GRUP. INV.]])))</f>
        <v/>
      </c>
      <c r="T106" s="385" t="str">
        <f ca="1">IF(Tabla8[[#This Row],[FECHA DE ACEPTACION DEL GRUP. INV.]]="","",IF(Tabla8[[#This Row],[FECHA DE VENCIMIENTO ANTE PROYECTO]]&lt;TODAY(),"SÍ","NO"))</f>
        <v/>
      </c>
      <c r="U106" s="385"/>
      <c r="V106" s="386"/>
      <c r="W106" s="386"/>
      <c r="X106" s="385"/>
      <c r="Y106" s="330"/>
      <c r="Z106" s="387"/>
      <c r="AA106" s="330"/>
      <c r="AB106" s="387"/>
      <c r="AC106" s="390"/>
      <c r="AD106" s="330"/>
      <c r="AE106" s="331"/>
      <c r="AF106" s="330"/>
      <c r="AG106" s="446"/>
      <c r="AH106" s="330"/>
      <c r="AI106" s="330"/>
      <c r="AJ106" s="383"/>
      <c r="AK106" s="383"/>
      <c r="AL106" s="331"/>
      <c r="AM106" s="331"/>
      <c r="AN106" s="330"/>
      <c r="AO106" s="330"/>
      <c r="AP106" s="383"/>
      <c r="AQ106" s="383"/>
      <c r="AR106" s="331"/>
      <c r="AS106" s="330"/>
      <c r="AT106" s="386" t="str">
        <f t="shared" si="8"/>
        <v/>
      </c>
      <c r="AU106" s="331"/>
      <c r="AV106" s="331"/>
      <c r="AW106" s="331"/>
      <c r="AX106" s="331"/>
      <c r="AY106" s="386" t="str">
        <f>IFERROR(VLOOKUP(AX106,Listas!K213:K220,2,0),"")</f>
        <v/>
      </c>
      <c r="AZ106" s="388"/>
      <c r="BA106" s="331"/>
      <c r="BB106" s="331"/>
      <c r="BC106" s="391" t="str">
        <f t="shared" si="9"/>
        <v/>
      </c>
    </row>
    <row r="107" spans="1:55" s="264" customFormat="1" ht="78.75">
      <c r="A107" s="669">
        <v>20211495007</v>
      </c>
      <c r="B107" s="670" t="str">
        <f>VLOOKUP(A107,'ESTADOS ESTUDIANTES'!B:L,2,0)</f>
        <v>PEDRAZA ROMERO OMAR</v>
      </c>
      <c r="C107" s="670">
        <f>VLOOKUP(A107,'ESTADOS ESTUDIANTES'!B:L,11,0)</f>
        <v>80066827</v>
      </c>
      <c r="D107" s="670">
        <f>VLOOKUP(A107,'ESTADOS ESTUDIANTES'!B:L,3,0)</f>
        <v>495</v>
      </c>
      <c r="E107" s="670" t="str">
        <f>VLOOKUP(Tabla8[[#This Row],[ENFASIS]],Listas!$R$2:$S$8,2,0)</f>
        <v>ENFASIS EN ING. SOFT</v>
      </c>
      <c r="F107" s="670" t="str">
        <f>VLOOKUP(A107,'ESTADOS ESTUDIANTES'!B:L,8,0)</f>
        <v>opedrazar@udistrital.edu.co</v>
      </c>
      <c r="G107" s="670" t="str">
        <f>VLOOKUP(A107,'ESTADOS ESTUDIANTES'!B:L,9,0)</f>
        <v>pedrazaomar@gmail.com</v>
      </c>
      <c r="H107" s="670" t="str">
        <f>VLOOKUP(A107,'ESTADOS ESTUDIANTES'!B:L,5,0)</f>
        <v>X</v>
      </c>
      <c r="I107" s="670" t="str">
        <f>VLOOKUP(Tabla8[[#This Row],[CODIGO]],'ESTADOS ESTUDIANTES'!B:M,12,0)</f>
        <v>2026-1</v>
      </c>
      <c r="J107" s="665" t="s">
        <v>46</v>
      </c>
      <c r="K107" s="665" t="s">
        <v>891</v>
      </c>
      <c r="L107" s="665" t="s">
        <v>309</v>
      </c>
      <c r="M107" s="666"/>
      <c r="N107" s="667">
        <v>44362</v>
      </c>
      <c r="O107" s="670">
        <v>2024</v>
      </c>
      <c r="P107" s="665" t="s">
        <v>131</v>
      </c>
      <c r="Q107" s="665" t="s">
        <v>309</v>
      </c>
      <c r="R107" s="668">
        <v>46071</v>
      </c>
      <c r="S107" s="668">
        <f>IF(Tabla8[[#This Row],[FECHA DE ACEPTACION DEL GRUP. INV.]]="","",DATE(YEAR(Tabla8[[#This Row],[FECHA DE ACEPTACION DEL GRUP. INV.]])+2,MONTH(Tabla8[[#This Row],[FECHA DE ACEPTACION DEL GRUP. INV.]]),DAY(Tabla8[[#This Row],[FECHA DE ACEPTACION DEL GRUP. INV.]])))</f>
        <v>46801</v>
      </c>
      <c r="T107" s="668" t="str">
        <f ca="1">IF(Tabla8[[#This Row],[FECHA DE ACEPTACION DEL GRUP. INV.]]="","",IF(Tabla8[[#This Row],[FECHA DE VENCIMIENTO ANTE PROYECTO]]&lt;TODAY(),"SÍ","NO"))</f>
        <v>NO</v>
      </c>
      <c r="U107" s="699" t="s">
        <v>827</v>
      </c>
      <c r="V107" s="240" t="s">
        <v>371</v>
      </c>
      <c r="W107" s="240"/>
      <c r="X107" s="242" t="s">
        <v>842</v>
      </c>
      <c r="Y107" s="241"/>
      <c r="Z107" s="243"/>
      <c r="AA107" s="241"/>
      <c r="AB107" s="243"/>
      <c r="AC107" s="238"/>
      <c r="AD107" s="241"/>
      <c r="AE107" s="238"/>
      <c r="AF107" s="241"/>
      <c r="AG107" s="453"/>
      <c r="AH107" s="241"/>
      <c r="AI107" s="241"/>
      <c r="AJ107" s="244"/>
      <c r="AK107" s="244"/>
      <c r="AL107" s="238"/>
      <c r="AM107" s="238"/>
      <c r="AN107" s="241"/>
      <c r="AO107" s="241"/>
      <c r="AP107" s="244"/>
      <c r="AQ107" s="244"/>
      <c r="AR107" s="238"/>
      <c r="AS107" s="241"/>
      <c r="AT107" s="240" t="str">
        <f t="shared" si="8"/>
        <v/>
      </c>
      <c r="AU107" s="238"/>
      <c r="AV107" s="238"/>
      <c r="AW107" s="238"/>
      <c r="AX107" s="238"/>
      <c r="AY107" s="240" t="str">
        <f>IFERROR(VLOOKUP(AX107,Listas!K214:K221,2,0),"")</f>
        <v/>
      </c>
      <c r="AZ107" s="381"/>
      <c r="BA107" s="238"/>
      <c r="BB107" s="238"/>
      <c r="BC107" s="245" t="str">
        <f t="shared" si="9"/>
        <v/>
      </c>
    </row>
    <row r="108" spans="1:55">
      <c r="A108" s="383">
        <v>20211495009</v>
      </c>
      <c r="B108" s="384" t="str">
        <f>VLOOKUP(A108,'ESTADOS ESTUDIANTES'!B:L,2,0)</f>
        <v>RINCON ALBARRACIN JOSE GREGORIO</v>
      </c>
      <c r="C108" s="384">
        <f>VLOOKUP(A108,'ESTADOS ESTUDIANTES'!B:L,11,0)</f>
        <v>88217405</v>
      </c>
      <c r="D108" s="384">
        <f>VLOOKUP(A108,'ESTADOS ESTUDIANTES'!B:L,3,0)</f>
        <v>495</v>
      </c>
      <c r="E108" s="384" t="str">
        <f>VLOOKUP(Tabla8[[#This Row],[ENFASIS]],Listas!$R$2:$S$8,2,0)</f>
        <v>ENFASIS EN ING. SOFT</v>
      </c>
      <c r="F108" s="384" t="str">
        <f>VLOOKUP(A108,'ESTADOS ESTUDIANTES'!B:L,8,0)</f>
        <v>jgrincona@correo.udistrital.edu.co</v>
      </c>
      <c r="G108" s="384" t="str">
        <f>VLOOKUP(A108,'ESTADOS ESTUDIANTES'!B:L,9,0)</f>
        <v>jgregoriorincon@gmail.com</v>
      </c>
      <c r="H108" s="384" t="str">
        <f>VLOOKUP(A108,'ESTADOS ESTUDIANTES'!B:L,5,0)</f>
        <v>X</v>
      </c>
      <c r="I108" s="384" t="str">
        <f>VLOOKUP(Tabla8[[#This Row],[CODIGO]],'ESTADOS ESTUDIANTES'!B:M,12,0)</f>
        <v>2021-1</v>
      </c>
      <c r="J108" s="331"/>
      <c r="K108" s="331"/>
      <c r="L108" s="331"/>
      <c r="M108" s="331"/>
      <c r="N108" s="330"/>
      <c r="O108" s="331"/>
      <c r="P108" s="331"/>
      <c r="Q108" s="331"/>
      <c r="R108" s="385"/>
      <c r="S108" s="385" t="str">
        <f>IF(Tabla8[[#This Row],[FECHA DE ACEPTACION DEL GRUP. INV.]]="","",DATE(YEAR(Tabla8[[#This Row],[FECHA DE ACEPTACION DEL GRUP. INV.]])+2,MONTH(Tabla8[[#This Row],[FECHA DE ACEPTACION DEL GRUP. INV.]]),DAY(Tabla8[[#This Row],[FECHA DE ACEPTACION DEL GRUP. INV.]])))</f>
        <v/>
      </c>
      <c r="T108" s="385" t="str">
        <f ca="1">IF(Tabla8[[#This Row],[FECHA DE ACEPTACION DEL GRUP. INV.]]="","",IF(Tabla8[[#This Row],[FECHA DE VENCIMIENTO ANTE PROYECTO]]&lt;TODAY(),"SÍ","NO"))</f>
        <v/>
      </c>
      <c r="U108" s="385"/>
      <c r="V108" s="386"/>
      <c r="W108" s="386"/>
      <c r="X108" s="385"/>
      <c r="Y108" s="330"/>
      <c r="Z108" s="387"/>
      <c r="AA108" s="330"/>
      <c r="AB108" s="387"/>
      <c r="AC108" s="390"/>
      <c r="AD108" s="330"/>
      <c r="AE108" s="331"/>
      <c r="AF108" s="330"/>
      <c r="AG108" s="446"/>
      <c r="AH108" s="330"/>
      <c r="AI108" s="330"/>
      <c r="AJ108" s="383"/>
      <c r="AK108" s="383"/>
      <c r="AL108" s="331"/>
      <c r="AM108" s="331"/>
      <c r="AN108" s="330"/>
      <c r="AO108" s="330"/>
      <c r="AP108" s="383"/>
      <c r="AQ108" s="383"/>
      <c r="AR108" s="331"/>
      <c r="AS108" s="330"/>
      <c r="AT108" s="386" t="str">
        <f t="shared" si="8"/>
        <v/>
      </c>
      <c r="AU108" s="331"/>
      <c r="AV108" s="331"/>
      <c r="AW108" s="331"/>
      <c r="AX108" s="331"/>
      <c r="AY108" s="386" t="str">
        <f>IFERROR(VLOOKUP(AX108,Listas!K216:K223,2,0),"")</f>
        <v/>
      </c>
      <c r="AZ108" s="388"/>
      <c r="BA108" s="331"/>
      <c r="BB108" s="331"/>
      <c r="BC108" s="391" t="str">
        <f t="shared" si="9"/>
        <v/>
      </c>
    </row>
    <row r="109" spans="1:55" s="264" customFormat="1" ht="63">
      <c r="A109" s="669">
        <v>20211495011</v>
      </c>
      <c r="B109" s="670" t="str">
        <f>VLOOKUP(A109,'ESTADOS ESTUDIANTES'!B:L,2,0)</f>
        <v>RODRIGUEZ BUITRAGO LEIDY JOHANNA</v>
      </c>
      <c r="C109" s="670">
        <f>VLOOKUP(A109,'ESTADOS ESTUDIANTES'!B:L,11,0)</f>
        <v>1010227156</v>
      </c>
      <c r="D109" s="670">
        <f>VLOOKUP(A109,'ESTADOS ESTUDIANTES'!B:L,3,0)</f>
        <v>495</v>
      </c>
      <c r="E109" s="670" t="str">
        <f>VLOOKUP(Tabla8[[#This Row],[ENFASIS]],Listas!$R$2:$S$8,2,0)</f>
        <v>ENFASIS EN ING. SOFT</v>
      </c>
      <c r="F109" s="670" t="str">
        <f>VLOOKUP(A109,'ESTADOS ESTUDIANTES'!B:L,8,0)</f>
        <v>leijrodriguezb@udistrital.edu.co</v>
      </c>
      <c r="G109" s="670" t="str">
        <f>VLOOKUP(A109,'ESTADOS ESTUDIANTES'!B:L,9,0)</f>
        <v>maoritharodriguez@gmail.com</v>
      </c>
      <c r="H109" s="670" t="str">
        <f>VLOOKUP(A109,'ESTADOS ESTUDIANTES'!B:L,5,0)</f>
        <v>X</v>
      </c>
      <c r="I109" s="670" t="str">
        <f>VLOOKUP(Tabla8[[#This Row],[CODIGO]],'ESTADOS ESTUDIANTES'!B:M,12,0)</f>
        <v>2026-1</v>
      </c>
      <c r="J109" s="665" t="s">
        <v>46</v>
      </c>
      <c r="K109" s="665" t="s">
        <v>892</v>
      </c>
      <c r="L109" s="665" t="s">
        <v>402</v>
      </c>
      <c r="M109" s="666"/>
      <c r="N109" s="667">
        <v>46101</v>
      </c>
      <c r="O109" s="670">
        <v>2026</v>
      </c>
      <c r="P109" s="665" t="s">
        <v>83</v>
      </c>
      <c r="Q109" s="665" t="s">
        <v>402</v>
      </c>
      <c r="R109" s="668">
        <v>46101</v>
      </c>
      <c r="S109" s="668">
        <f>IF(Tabla8[[#This Row],[FECHA DE ACEPTACION DEL GRUP. INV.]]="","",DATE(YEAR(Tabla8[[#This Row],[FECHA DE ACEPTACION DEL GRUP. INV.]])+2,MONTH(Tabla8[[#This Row],[FECHA DE ACEPTACION DEL GRUP. INV.]]),DAY(Tabla8[[#This Row],[FECHA DE ACEPTACION DEL GRUP. INV.]])))</f>
        <v>46832</v>
      </c>
      <c r="T109" s="668" t="str">
        <f ca="1">IF(Tabla8[[#This Row],[FECHA DE ACEPTACION DEL GRUP. INV.]]="","",IF(Tabla8[[#This Row],[FECHA DE VENCIMIENTO ANTE PROYECTO]]&lt;TODAY(),"SÍ","NO"))</f>
        <v>NO</v>
      </c>
      <c r="U109" s="699" t="s">
        <v>827</v>
      </c>
      <c r="V109" s="240"/>
      <c r="W109" s="240"/>
      <c r="X109" s="668" t="s">
        <v>424</v>
      </c>
      <c r="Y109" s="241"/>
      <c r="Z109" s="243"/>
      <c r="AA109" s="241">
        <v>45139</v>
      </c>
      <c r="AB109" s="243">
        <v>84</v>
      </c>
      <c r="AC109" s="238" t="s">
        <v>79</v>
      </c>
      <c r="AD109" s="241"/>
      <c r="AE109" s="238"/>
      <c r="AF109" s="241"/>
      <c r="AG109" s="238"/>
      <c r="AH109" s="241"/>
      <c r="AI109" s="241"/>
      <c r="AJ109" s="244"/>
      <c r="AK109" s="244"/>
      <c r="AL109" s="238"/>
      <c r="AM109" s="238"/>
      <c r="AN109" s="241"/>
      <c r="AO109" s="241"/>
      <c r="AP109" s="244"/>
      <c r="AQ109" s="244"/>
      <c r="AR109" s="238"/>
      <c r="AS109" s="241"/>
      <c r="AT109" s="240" t="str">
        <f t="shared" si="8"/>
        <v/>
      </c>
      <c r="AU109" s="238"/>
      <c r="AV109" s="238"/>
      <c r="AW109" s="238"/>
      <c r="AX109" s="238"/>
      <c r="AY109" s="240" t="str">
        <f>IFERROR(VLOOKUP(AX109,Listas!K218:K225,2,0),"")</f>
        <v/>
      </c>
      <c r="AZ109" s="381"/>
      <c r="BA109" s="238"/>
      <c r="BB109" s="238"/>
      <c r="BC109" s="245" t="str">
        <f t="shared" si="9"/>
        <v/>
      </c>
    </row>
    <row r="110" spans="1:55" ht="63">
      <c r="A110" s="383">
        <v>20211495013</v>
      </c>
      <c r="B110" s="384" t="str">
        <f>VLOOKUP(A110,'ESTADOS ESTUDIANTES'!B:L,2,0)</f>
        <v>SANCHEZ MANCILLA JUAN SEBASTIAN</v>
      </c>
      <c r="C110" s="384">
        <f>VLOOKUP(A110,'ESTADOS ESTUDIANTES'!B:L,11,0)</f>
        <v>1016098293</v>
      </c>
      <c r="D110" s="384">
        <f>VLOOKUP(A110,'ESTADOS ESTUDIANTES'!B:L,3,0)</f>
        <v>495</v>
      </c>
      <c r="E110" s="384" t="str">
        <f>VLOOKUP(Tabla8[[#This Row],[ENFASIS]],Listas!$R$2:$S$8,2,0)</f>
        <v>ENFASIS EN ING. SOFT</v>
      </c>
      <c r="F110" s="384" t="str">
        <f>VLOOKUP(A110,'ESTADOS ESTUDIANTES'!B:L,8,0)</f>
        <v>jussanchezm@udistrital.edu.co</v>
      </c>
      <c r="G110" s="384" t="str">
        <f>VLOOKUP(A110,'ESTADOS ESTUDIANTES'!B:L,9,0)</f>
        <v>juansanchez011@gmail.com</v>
      </c>
      <c r="H110" s="384" t="str">
        <f>VLOOKUP(A110,'ESTADOS ESTUDIANTES'!B:L,5,0)</f>
        <v>E</v>
      </c>
      <c r="I110" s="384" t="str">
        <f>VLOOKUP(Tabla8[[#This Row],[CODIGO]],'ESTADOS ESTUDIANTES'!B:M,12,0)</f>
        <v>2023-1</v>
      </c>
      <c r="J110" s="386" t="s">
        <v>46</v>
      </c>
      <c r="K110" s="386" t="s">
        <v>893</v>
      </c>
      <c r="L110" s="386" t="s">
        <v>836</v>
      </c>
      <c r="M110" s="331"/>
      <c r="N110" s="330">
        <v>44367</v>
      </c>
      <c r="O110" s="384">
        <v>2021</v>
      </c>
      <c r="P110" s="386" t="s">
        <v>112</v>
      </c>
      <c r="Q110" s="386" t="s">
        <v>222</v>
      </c>
      <c r="R110" s="385">
        <v>44362</v>
      </c>
      <c r="S110" s="385">
        <f>IF(Tabla8[[#This Row],[FECHA DE ACEPTACION DEL GRUP. INV.]]="","",DATE(YEAR(Tabla8[[#This Row],[FECHA DE ACEPTACION DEL GRUP. INV.]])+2,MONTH(Tabla8[[#This Row],[FECHA DE ACEPTACION DEL GRUP. INV.]]),DAY(Tabla8[[#This Row],[FECHA DE ACEPTACION DEL GRUP. INV.]])))</f>
        <v>45092</v>
      </c>
      <c r="T110" s="385" t="str">
        <f ca="1">IF(Tabla8[[#This Row],[FECHA DE ACEPTACION DEL GRUP. INV.]]="","",IF(Tabla8[[#This Row],[FECHA DE VENCIMIENTO ANTE PROYECTO]]&lt;TODAY(),"SÍ","NO"))</f>
        <v>SÍ</v>
      </c>
      <c r="U110" s="385"/>
      <c r="V110" s="445"/>
      <c r="W110" s="445"/>
      <c r="X110" s="385"/>
      <c r="Y110" s="330"/>
      <c r="Z110" s="387"/>
      <c r="AA110" s="386" t="s">
        <v>894</v>
      </c>
      <c r="AB110" s="387"/>
      <c r="AC110" s="272" t="s">
        <v>79</v>
      </c>
      <c r="AD110" s="330">
        <v>44854</v>
      </c>
      <c r="AE110" s="386" t="s">
        <v>237</v>
      </c>
      <c r="AF110" s="330">
        <v>44867</v>
      </c>
      <c r="AG110" s="386" t="s">
        <v>895</v>
      </c>
      <c r="AH110" s="330">
        <v>44874</v>
      </c>
      <c r="AI110" s="330">
        <v>44897</v>
      </c>
      <c r="AJ110" s="383">
        <v>41</v>
      </c>
      <c r="AK110" s="383">
        <v>44</v>
      </c>
      <c r="AL110" s="386" t="s">
        <v>41</v>
      </c>
      <c r="AM110" s="386" t="s">
        <v>680</v>
      </c>
      <c r="AN110" s="330">
        <v>44874</v>
      </c>
      <c r="AO110" s="330">
        <v>44901</v>
      </c>
      <c r="AP110" s="383">
        <v>41</v>
      </c>
      <c r="AQ110" s="383">
        <v>46</v>
      </c>
      <c r="AR110" s="386" t="s">
        <v>41</v>
      </c>
      <c r="AS110" s="330">
        <v>44889</v>
      </c>
      <c r="AT110" s="383">
        <f t="shared" si="8"/>
        <v>43</v>
      </c>
      <c r="AU110" s="386" t="s">
        <v>896</v>
      </c>
      <c r="AV110" s="386" t="s">
        <v>897</v>
      </c>
      <c r="AW110" s="386" t="s">
        <v>47</v>
      </c>
      <c r="AX110" s="386" t="s">
        <v>80</v>
      </c>
      <c r="AY110" s="386" t="s">
        <v>237</v>
      </c>
      <c r="AZ110" s="385">
        <v>44867</v>
      </c>
      <c r="BA110" s="331"/>
      <c r="BB110" s="331"/>
      <c r="BC110" s="389" t="str">
        <f t="shared" si="9"/>
        <v/>
      </c>
    </row>
    <row r="111" spans="1:55" ht="31.5">
      <c r="A111" s="383">
        <v>20211495014</v>
      </c>
      <c r="B111" s="384" t="str">
        <f>VLOOKUP(A111,'ESTADOS ESTUDIANTES'!B:L,2,0)</f>
        <v>TORRES MONTOYA JULIAN ALBERTO</v>
      </c>
      <c r="C111" s="384">
        <f>VLOOKUP(A111,'ESTADOS ESTUDIANTES'!B:L,11,0)</f>
        <v>1026259673</v>
      </c>
      <c r="D111" s="384">
        <f>VLOOKUP(A111,'ESTADOS ESTUDIANTES'!B:L,3,0)</f>
        <v>495</v>
      </c>
      <c r="E111" s="384" t="str">
        <f>VLOOKUP(Tabla8[[#This Row],[ENFASIS]],Listas!$R$2:$S$8,2,0)</f>
        <v>ENFASIS EN ING. SOFT</v>
      </c>
      <c r="F111" s="384" t="str">
        <f>VLOOKUP(A111,'ESTADOS ESTUDIANTES'!B:L,8,0)</f>
        <v>jatorresm@correo.udistrital.edu.co</v>
      </c>
      <c r="G111" s="384" t="str">
        <f>VLOOKUP(A111,'ESTADOS ESTUDIANTES'!B:L,9,0)</f>
        <v>eng.julian.torres@gmail.com</v>
      </c>
      <c r="H111" s="384" t="str">
        <f>VLOOKUP(A111,'ESTADOS ESTUDIANTES'!B:L,5,0)</f>
        <v>X</v>
      </c>
      <c r="I111" s="384" t="str">
        <f>VLOOKUP(Tabla8[[#This Row],[CODIGO]],'ESTADOS ESTUDIANTES'!B:M,12,0)</f>
        <v>2021-1</v>
      </c>
      <c r="J111" s="386" t="s">
        <v>46</v>
      </c>
      <c r="K111" s="386" t="s">
        <v>898</v>
      </c>
      <c r="L111" s="386" t="s">
        <v>836</v>
      </c>
      <c r="M111" s="386" t="s">
        <v>899</v>
      </c>
      <c r="N111" s="330">
        <v>44367</v>
      </c>
      <c r="O111" s="384">
        <v>2021</v>
      </c>
      <c r="P111" s="386" t="s">
        <v>112</v>
      </c>
      <c r="Q111" s="386" t="s">
        <v>222</v>
      </c>
      <c r="R111" s="385"/>
      <c r="S111" s="385" t="str">
        <f>IF(Tabla8[[#This Row],[FECHA DE ACEPTACION DEL GRUP. INV.]]="","",DATE(YEAR(Tabla8[[#This Row],[FECHA DE ACEPTACION DEL GRUP. INV.]])+2,MONTH(Tabla8[[#This Row],[FECHA DE ACEPTACION DEL GRUP. INV.]]),DAY(Tabla8[[#This Row],[FECHA DE ACEPTACION DEL GRUP. INV.]])))</f>
        <v/>
      </c>
      <c r="T111" s="385" t="str">
        <f ca="1">IF(Tabla8[[#This Row],[FECHA DE ACEPTACION DEL GRUP. INV.]]="","",IF(Tabla8[[#This Row],[FECHA DE VENCIMIENTO ANTE PROYECTO]]&lt;TODAY(),"SÍ","NO"))</f>
        <v/>
      </c>
      <c r="U111" s="385"/>
      <c r="V111" s="386"/>
      <c r="W111" s="386"/>
      <c r="X111" s="385"/>
      <c r="Y111" s="330"/>
      <c r="Z111" s="387"/>
      <c r="AA111" s="330"/>
      <c r="AB111" s="387"/>
      <c r="AC111" s="390"/>
      <c r="AD111" s="330"/>
      <c r="AE111" s="331"/>
      <c r="AF111" s="330"/>
      <c r="AG111" s="331"/>
      <c r="AH111" s="330"/>
      <c r="AI111" s="330"/>
      <c r="AJ111" s="383"/>
      <c r="AK111" s="383"/>
      <c r="AL111" s="331"/>
      <c r="AM111" s="331"/>
      <c r="AN111" s="330"/>
      <c r="AO111" s="330"/>
      <c r="AP111" s="383"/>
      <c r="AQ111" s="383"/>
      <c r="AR111" s="331"/>
      <c r="AS111" s="330"/>
      <c r="AT111" s="386" t="str">
        <f t="shared" si="8"/>
        <v/>
      </c>
      <c r="AU111" s="331"/>
      <c r="AV111" s="331"/>
      <c r="AW111" s="331"/>
      <c r="AX111" s="331"/>
      <c r="AY111" s="386" t="str">
        <f>IFERROR(VLOOKUP(AX111,Listas!K221:K228,2,0),"")</f>
        <v/>
      </c>
      <c r="AZ111" s="388"/>
      <c r="BA111" s="331"/>
      <c r="BB111" s="331"/>
      <c r="BC111" s="391" t="str">
        <f t="shared" si="9"/>
        <v/>
      </c>
    </row>
    <row r="112" spans="1:55">
      <c r="A112" s="383">
        <v>20212195002</v>
      </c>
      <c r="B112" s="384" t="str">
        <f>VLOOKUP(A112,'ESTADOS ESTUDIANTES'!B:L,2,0)</f>
        <v>BERNAL GOMEZ SEBASTIAN CAMILO</v>
      </c>
      <c r="C112" s="384">
        <f>VLOOKUP(A112,'ESTADOS ESTUDIANTES'!B:L,11,0)</f>
        <v>1014268906</v>
      </c>
      <c r="D112" s="384">
        <f>VLOOKUP(A112,'ESTADOS ESTUDIANTES'!B:L,3,0)</f>
        <v>195</v>
      </c>
      <c r="E112" s="384" t="str">
        <f>VLOOKUP(Tabla8[[#This Row],[ENFASIS]],Listas!$R$2:$S$8,2,0)</f>
        <v>EN TELEINF.</v>
      </c>
      <c r="F112" s="384" t="str">
        <f>VLOOKUP(A112,'ESTADOS ESTUDIANTES'!B:L,8,0)</f>
        <v>scbernalg@correo.udistrital.edu.co</v>
      </c>
      <c r="G112" s="384" t="str">
        <f>VLOOKUP(A112,'ESTADOS ESTUDIANTES'!B:L,9,0)</f>
        <v>scbernalg@correo.udistrital.edu.co</v>
      </c>
      <c r="H112" s="384" t="str">
        <f>VLOOKUP(A112,'ESTADOS ESTUDIANTES'!B:L,5,0)</f>
        <v>X</v>
      </c>
      <c r="I112" s="384" t="str">
        <f>VLOOKUP(Tabla8[[#This Row],[CODIGO]],'ESTADOS ESTUDIANTES'!B:M,12,0)</f>
        <v>2022-1</v>
      </c>
      <c r="J112" s="331"/>
      <c r="K112" s="331"/>
      <c r="L112" s="331"/>
      <c r="M112" s="331"/>
      <c r="N112" s="330"/>
      <c r="O112" s="331"/>
      <c r="P112" s="331"/>
      <c r="Q112" s="331"/>
      <c r="R112" s="385"/>
      <c r="S112" s="385" t="str">
        <f>IF(Tabla8[[#This Row],[FECHA DE ACEPTACION DEL GRUP. INV.]]="","",DATE(YEAR(Tabla8[[#This Row],[FECHA DE ACEPTACION DEL GRUP. INV.]])+2,MONTH(Tabla8[[#This Row],[FECHA DE ACEPTACION DEL GRUP. INV.]]),DAY(Tabla8[[#This Row],[FECHA DE ACEPTACION DEL GRUP. INV.]])))</f>
        <v/>
      </c>
      <c r="T112" s="385" t="str">
        <f ca="1">IF(Tabla8[[#This Row],[FECHA DE ACEPTACION DEL GRUP. INV.]]="","",IF(Tabla8[[#This Row],[FECHA DE VENCIMIENTO ANTE PROYECTO]]&lt;TODAY(),"SÍ","NO"))</f>
        <v/>
      </c>
      <c r="U112" s="385"/>
      <c r="V112" s="386"/>
      <c r="W112" s="386"/>
      <c r="X112" s="385"/>
      <c r="Y112" s="330"/>
      <c r="Z112" s="387"/>
      <c r="AA112" s="330"/>
      <c r="AB112" s="387"/>
      <c r="AC112" s="390"/>
      <c r="AD112" s="330"/>
      <c r="AE112" s="331"/>
      <c r="AF112" s="330"/>
      <c r="AG112" s="331"/>
      <c r="AH112" s="330"/>
      <c r="AI112" s="330"/>
      <c r="AJ112" s="383"/>
      <c r="AK112" s="383"/>
      <c r="AL112" s="331"/>
      <c r="AM112" s="331"/>
      <c r="AN112" s="330"/>
      <c r="AO112" s="330"/>
      <c r="AP112" s="383"/>
      <c r="AQ112" s="383"/>
      <c r="AR112" s="331"/>
      <c r="AS112" s="330"/>
      <c r="AT112" s="386" t="str">
        <f t="shared" si="8"/>
        <v/>
      </c>
      <c r="AU112" s="331"/>
      <c r="AV112" s="331"/>
      <c r="AW112" s="331"/>
      <c r="AX112" s="331"/>
      <c r="AY112" s="386" t="str">
        <f>IFERROR(VLOOKUP(AX112,Listas!K226:K233,2,0),"")</f>
        <v/>
      </c>
      <c r="AZ112" s="388"/>
      <c r="BA112" s="331"/>
      <c r="BB112" s="331"/>
      <c r="BC112" s="389" t="str">
        <f t="shared" si="9"/>
        <v/>
      </c>
    </row>
    <row r="113" spans="1:55">
      <c r="A113" s="383">
        <v>20212195004</v>
      </c>
      <c r="B113" s="384" t="str">
        <f>VLOOKUP(A113,'ESTADOS ESTUDIANTES'!B:L,2,0)</f>
        <v>ORJUELAROJAS MICHAEL ANDRES</v>
      </c>
      <c r="C113" s="384">
        <f>VLOOKUP(A113,'ESTADOS ESTUDIANTES'!B:L,11,0)</f>
        <v>1073688511</v>
      </c>
      <c r="D113" s="384">
        <f>VLOOKUP(A113,'ESTADOS ESTUDIANTES'!B:L,3,0)</f>
        <v>195</v>
      </c>
      <c r="E113" s="384" t="str">
        <f>VLOOKUP(Tabla8[[#This Row],[ENFASIS]],Listas!$R$2:$S$8,2,0)</f>
        <v>EN TELEINF.</v>
      </c>
      <c r="F113" s="384" t="str">
        <f>VLOOKUP(A113,'ESTADOS ESTUDIANTES'!B:L,8,0)</f>
        <v>maorjuelar@correo.udistrital.edu.co</v>
      </c>
      <c r="G113" s="384" t="str">
        <f>VLOOKUP(A113,'ESTADOS ESTUDIANTES'!B:L,9,0)</f>
        <v>michael_orjuela@hotmail.com</v>
      </c>
      <c r="H113" s="384" t="str">
        <f>VLOOKUP(A113,'ESTADOS ESTUDIANTES'!B:L,5,0)</f>
        <v>X</v>
      </c>
      <c r="I113" s="384" t="str">
        <f>VLOOKUP(Tabla8[[#This Row],[CODIGO]],'ESTADOS ESTUDIANTES'!B:M,12,0)</f>
        <v>2021-3</v>
      </c>
      <c r="J113" s="386" t="s">
        <v>46</v>
      </c>
      <c r="K113" s="331"/>
      <c r="L113" s="331"/>
      <c r="M113" s="331"/>
      <c r="N113" s="330"/>
      <c r="O113" s="331"/>
      <c r="P113" s="331"/>
      <c r="Q113" s="331"/>
      <c r="R113" s="385"/>
      <c r="S113" s="385" t="str">
        <f>IF(Tabla8[[#This Row],[FECHA DE ACEPTACION DEL GRUP. INV.]]="","",DATE(YEAR(Tabla8[[#This Row],[FECHA DE ACEPTACION DEL GRUP. INV.]])+2,MONTH(Tabla8[[#This Row],[FECHA DE ACEPTACION DEL GRUP. INV.]]),DAY(Tabla8[[#This Row],[FECHA DE ACEPTACION DEL GRUP. INV.]])))</f>
        <v/>
      </c>
      <c r="T113" s="385" t="str">
        <f ca="1">IF(Tabla8[[#This Row],[FECHA DE ACEPTACION DEL GRUP. INV.]]="","",IF(Tabla8[[#This Row],[FECHA DE VENCIMIENTO ANTE PROYECTO]]&lt;TODAY(),"SÍ","NO"))</f>
        <v/>
      </c>
      <c r="U113" s="385"/>
      <c r="V113" s="386"/>
      <c r="W113" s="386"/>
      <c r="X113" s="385"/>
      <c r="Y113" s="330"/>
      <c r="Z113" s="387"/>
      <c r="AA113" s="330"/>
      <c r="AB113" s="387"/>
      <c r="AC113" s="390"/>
      <c r="AD113" s="330"/>
      <c r="AE113" s="331"/>
      <c r="AF113" s="330"/>
      <c r="AG113" s="331"/>
      <c r="AH113" s="330"/>
      <c r="AI113" s="330"/>
      <c r="AJ113" s="383"/>
      <c r="AK113" s="383"/>
      <c r="AL113" s="331"/>
      <c r="AM113" s="331"/>
      <c r="AN113" s="330"/>
      <c r="AO113" s="330"/>
      <c r="AP113" s="383"/>
      <c r="AQ113" s="383"/>
      <c r="AR113" s="331"/>
      <c r="AS113" s="330"/>
      <c r="AT113" s="386" t="str">
        <f t="shared" si="8"/>
        <v/>
      </c>
      <c r="AU113" s="331"/>
      <c r="AV113" s="331"/>
      <c r="AW113" s="331"/>
      <c r="AX113" s="331"/>
      <c r="AY113" s="386" t="str">
        <f>IFERROR(VLOOKUP(AX113,Listas!K228:K235,2,0),"")</f>
        <v/>
      </c>
      <c r="AZ113" s="388"/>
      <c r="BA113" s="331"/>
      <c r="BB113" s="331"/>
      <c r="BC113" s="391" t="str">
        <f t="shared" si="9"/>
        <v/>
      </c>
    </row>
    <row r="114" spans="1:55" s="264" customFormat="1" ht="63">
      <c r="A114" s="669">
        <v>20212195005</v>
      </c>
      <c r="B114" s="670" t="str">
        <f>VLOOKUP(A114,'ESTADOS ESTUDIANTES'!B:L,2,0)</f>
        <v>RINCON BUITRAGO EDWIN FERNANDO</v>
      </c>
      <c r="C114" s="670">
        <f>VLOOKUP(A114,'ESTADOS ESTUDIANTES'!B:L,11,0)</f>
        <v>1030603000</v>
      </c>
      <c r="D114" s="670">
        <f>VLOOKUP(A114,'ESTADOS ESTUDIANTES'!B:L,3,0)</f>
        <v>195</v>
      </c>
      <c r="E114" s="670" t="str">
        <f>VLOOKUP(Tabla8[[#This Row],[ENFASIS]],Listas!$R$2:$S$8,2,0)</f>
        <v>EN TELEINF.</v>
      </c>
      <c r="F114" s="670" t="str">
        <f>VLOOKUP(A114,'ESTADOS ESTUDIANTES'!B:L,8,0)</f>
        <v>edfrinconb@udistrital.edu.co</v>
      </c>
      <c r="G114" s="670" t="str">
        <f>VLOOKUP(A114,'ESTADOS ESTUDIANTES'!B:L,9,0)</f>
        <v>edwinrincon098@gmail.com</v>
      </c>
      <c r="H114" s="670" t="str">
        <f>VLOOKUP(A114,'ESTADOS ESTUDIANTES'!B:L,5,0)</f>
        <v>A</v>
      </c>
      <c r="I114" s="670" t="str">
        <f>VLOOKUP(Tabla8[[#This Row],[CODIGO]],'ESTADOS ESTUDIANTES'!B:M,12,0)</f>
        <v>2026-3</v>
      </c>
      <c r="J114" s="665" t="s">
        <v>46</v>
      </c>
      <c r="K114" s="664" t="s">
        <v>900</v>
      </c>
      <c r="L114" s="664" t="s">
        <v>356</v>
      </c>
      <c r="M114" s="666" t="s">
        <v>901</v>
      </c>
      <c r="N114" s="667">
        <v>45701</v>
      </c>
      <c r="O114" s="664">
        <v>2025</v>
      </c>
      <c r="P114" s="664" t="s">
        <v>90</v>
      </c>
      <c r="Q114" s="664" t="s">
        <v>356</v>
      </c>
      <c r="R114" s="668">
        <v>45701</v>
      </c>
      <c r="S114" s="668">
        <f>IF(Tabla8[[#This Row],[FECHA DE ACEPTACION DEL GRUP. INV.]]="","",DATE(YEAR(Tabla8[[#This Row],[FECHA DE ACEPTACION DEL GRUP. INV.]])+2,MONTH(Tabla8[[#This Row],[FECHA DE ACEPTACION DEL GRUP. INV.]]),DAY(Tabla8[[#This Row],[FECHA DE ACEPTACION DEL GRUP. INV.]])))</f>
        <v>46431</v>
      </c>
      <c r="T114" s="668" t="str">
        <f ca="1">IF(Tabla8[[#This Row],[FECHA DE ACEPTACION DEL GRUP. INV.]]="","",IF(Tabla8[[#This Row],[FECHA DE VENCIMIENTO ANTE PROYECTO]]&lt;TODAY(),"SÍ","NO"))</f>
        <v>NO</v>
      </c>
      <c r="U114" s="699" t="s">
        <v>827</v>
      </c>
      <c r="V114" s="240" t="s">
        <v>849</v>
      </c>
      <c r="W114" s="240"/>
      <c r="X114" s="668" t="s">
        <v>424</v>
      </c>
      <c r="Y114" s="241"/>
      <c r="Z114" s="243"/>
      <c r="AA114" s="241"/>
      <c r="AB114" s="243"/>
      <c r="AC114" s="238"/>
      <c r="AD114" s="241"/>
      <c r="AE114" s="238"/>
      <c r="AF114" s="241"/>
      <c r="AG114" s="238"/>
      <c r="AH114" s="241"/>
      <c r="AI114" s="241"/>
      <c r="AJ114" s="244"/>
      <c r="AK114" s="244"/>
      <c r="AL114" s="238"/>
      <c r="AM114" s="238"/>
      <c r="AN114" s="241"/>
      <c r="AO114" s="241"/>
      <c r="AP114" s="244"/>
      <c r="AQ114" s="244"/>
      <c r="AR114" s="238"/>
      <c r="AS114" s="241"/>
      <c r="AT114" s="240" t="str">
        <f t="shared" si="8"/>
        <v/>
      </c>
      <c r="AU114" s="238"/>
      <c r="AV114" s="238"/>
      <c r="AW114" s="238"/>
      <c r="AX114" s="238"/>
      <c r="AY114" s="240" t="str">
        <f>IFERROR(VLOOKUP(AX114,Listas!K229:K236,2,0),"")</f>
        <v/>
      </c>
      <c r="AZ114" s="381"/>
      <c r="BA114" s="238"/>
      <c r="BB114" s="238"/>
      <c r="BC114" s="382" t="str">
        <f t="shared" si="9"/>
        <v>Alvaro Espinel Ortega</v>
      </c>
    </row>
    <row r="115" spans="1:55" s="264" customFormat="1" ht="47.25">
      <c r="A115" s="669">
        <v>20212495002</v>
      </c>
      <c r="B115" s="670" t="str">
        <f>VLOOKUP(A115,'ESTADOS ESTUDIANTES'!B:L,2,0)</f>
        <v>CABREJO RUBIANO NICOLAS</v>
      </c>
      <c r="C115" s="670">
        <f>VLOOKUP(A115,'ESTADOS ESTUDIANTES'!B:L,11,0)</f>
        <v>1026587105</v>
      </c>
      <c r="D115" s="670">
        <f>VLOOKUP(A115,'ESTADOS ESTUDIANTES'!B:L,3,0)</f>
        <v>495</v>
      </c>
      <c r="E115" s="670" t="str">
        <f>VLOOKUP(Tabla8[[#This Row],[ENFASIS]],Listas!$R$2:$S$8,2,0)</f>
        <v>ENFASIS EN ING. SOFT</v>
      </c>
      <c r="F115" s="670" t="str">
        <f>VLOOKUP(A115,'ESTADOS ESTUDIANTES'!B:L,8,0)</f>
        <v>ncabrejor@udistrital.edu.co</v>
      </c>
      <c r="G115" s="670" t="str">
        <f>VLOOKUP(A115,'ESTADOS ESTUDIANTES'!B:L,9,0)</f>
        <v>ncabrejor@udistrital.edu.co</v>
      </c>
      <c r="H115" s="670" t="str">
        <f>VLOOKUP(A115,'ESTADOS ESTUDIANTES'!B:L,5,0)</f>
        <v>V</v>
      </c>
      <c r="I115" s="670" t="str">
        <f>VLOOKUP(Tabla8[[#This Row],[CODIGO]],'ESTADOS ESTUDIANTES'!B:M,12,0)</f>
        <v>2026-1</v>
      </c>
      <c r="J115" s="665" t="s">
        <v>46</v>
      </c>
      <c r="K115" s="665" t="s">
        <v>902</v>
      </c>
      <c r="L115" s="665" t="s">
        <v>385</v>
      </c>
      <c r="M115" s="359"/>
      <c r="N115" s="667">
        <v>44539</v>
      </c>
      <c r="O115" s="670">
        <v>2021</v>
      </c>
      <c r="P115" s="665" t="s">
        <v>140</v>
      </c>
      <c r="Q115" s="665" t="s">
        <v>385</v>
      </c>
      <c r="R115" s="668">
        <v>44539</v>
      </c>
      <c r="S115" s="668">
        <f>IF(Tabla8[[#This Row],[FECHA DE ACEPTACION DEL GRUP. INV.]]="","",DATE(YEAR(Tabla8[[#This Row],[FECHA DE ACEPTACION DEL GRUP. INV.]])+2,MONTH(Tabla8[[#This Row],[FECHA DE ACEPTACION DEL GRUP. INV.]]),DAY(Tabla8[[#This Row],[FECHA DE ACEPTACION DEL GRUP. INV.]])))</f>
        <v>45269</v>
      </c>
      <c r="T115" s="676" t="str">
        <f ca="1">IF(Tabla8[[#This Row],[FECHA DE ACEPTACION DEL GRUP. INV.]]="","",IF(Tabla8[[#This Row],[FECHA DE VENCIMIENTO ANTE PROYECTO]]&lt;TODAY(),"SÍ","NO"))</f>
        <v>SÍ</v>
      </c>
      <c r="U115" s="699" t="s">
        <v>817</v>
      </c>
      <c r="V115" s="240" t="s">
        <v>677</v>
      </c>
      <c r="W115" s="240"/>
      <c r="X115" s="668" t="s">
        <v>424</v>
      </c>
      <c r="Y115" s="241"/>
      <c r="Z115" s="243"/>
      <c r="AA115" s="241">
        <v>44887</v>
      </c>
      <c r="AB115" s="243">
        <v>121</v>
      </c>
      <c r="AC115" s="238" t="s">
        <v>79</v>
      </c>
      <c r="AD115" s="241"/>
      <c r="AE115" s="238"/>
      <c r="AF115" s="241"/>
      <c r="AG115" s="238"/>
      <c r="AH115" s="241"/>
      <c r="AI115" s="241"/>
      <c r="AJ115" s="244"/>
      <c r="AK115" s="244"/>
      <c r="AL115" s="238"/>
      <c r="AM115" s="238"/>
      <c r="AN115" s="241"/>
      <c r="AO115" s="241"/>
      <c r="AP115" s="244"/>
      <c r="AQ115" s="244"/>
      <c r="AR115" s="238"/>
      <c r="AS115" s="241"/>
      <c r="AT115" s="240" t="str">
        <f t="shared" si="8"/>
        <v/>
      </c>
      <c r="AU115" s="238"/>
      <c r="AV115" s="238"/>
      <c r="AW115" s="238"/>
      <c r="AX115" s="238"/>
      <c r="AY115" s="240" t="str">
        <f>IFERROR(VLOOKUP(AX115,Listas!K235:K242,2,0),"")</f>
        <v/>
      </c>
      <c r="AZ115" s="381"/>
      <c r="BA115" s="238"/>
      <c r="BB115" s="238"/>
      <c r="BC115" s="245" t="str">
        <f t="shared" si="9"/>
        <v>Roberto Ferro Escobar</v>
      </c>
    </row>
    <row r="116" spans="1:55" ht="31.5">
      <c r="A116" s="420">
        <v>20212495003</v>
      </c>
      <c r="B116" s="415" t="str">
        <f>VLOOKUP(A116,'ESTADOS ESTUDIANTES'!B:L,2,0)</f>
        <v>CASTILLO ESTUPINAN LUIS ARIEL</v>
      </c>
      <c r="C116" s="415">
        <f>VLOOKUP(A116,'ESTADOS ESTUDIANTES'!B:L,11,0)</f>
        <v>4208901</v>
      </c>
      <c r="D116" s="415">
        <f>VLOOKUP(A116,'ESTADOS ESTUDIANTES'!B:L,3,0)</f>
        <v>495</v>
      </c>
      <c r="E116" s="415" t="str">
        <f>VLOOKUP(Tabla8[[#This Row],[ENFASIS]],Listas!$R$2:$S$8,2,0)</f>
        <v>ENFASIS EN ING. SOFT</v>
      </c>
      <c r="F116" s="415" t="str">
        <f>VLOOKUP(A116,'ESTADOS ESTUDIANTES'!B:L,8,0)</f>
        <v>lacastilloe@udistrital.edu.co</v>
      </c>
      <c r="G116" s="415" t="str">
        <f>VLOOKUP(A116,'ESTADOS ESTUDIANTES'!B:L,9,0)</f>
        <v>arielcastillo.es@gmail.com</v>
      </c>
      <c r="H116" s="415" t="str">
        <f>VLOOKUP(A116,'ESTADOS ESTUDIANTES'!B:L,5,0)</f>
        <v>X</v>
      </c>
      <c r="I116" s="415" t="str">
        <f>VLOOKUP(Tabla8[[#This Row],[CODIGO]],'ESTADOS ESTUDIANTES'!B:M,12,0)</f>
        <v>2024-1</v>
      </c>
      <c r="J116" s="354" t="s">
        <v>46</v>
      </c>
      <c r="K116" s="354"/>
      <c r="L116" s="354"/>
      <c r="M116" s="419"/>
      <c r="N116" s="416"/>
      <c r="O116" s="415"/>
      <c r="P116" s="354" t="s">
        <v>131</v>
      </c>
      <c r="Q116" s="354" t="s">
        <v>309</v>
      </c>
      <c r="R116" s="417"/>
      <c r="S116" s="417" t="str">
        <f>IF(Tabla8[[#This Row],[FECHA DE ACEPTACION DEL GRUP. INV.]]="","",DATE(YEAR(Tabla8[[#This Row],[FECHA DE ACEPTACION DEL GRUP. INV.]])+2,MONTH(Tabla8[[#This Row],[FECHA DE ACEPTACION DEL GRUP. INV.]]),DAY(Tabla8[[#This Row],[FECHA DE ACEPTACION DEL GRUP. INV.]])))</f>
        <v/>
      </c>
      <c r="T116" s="417" t="str">
        <f ca="1">IF(Tabla8[[#This Row],[FECHA DE ACEPTACION DEL GRUP. INV.]]="","",IF(Tabla8[[#This Row],[FECHA DE VENCIMIENTO ANTE PROYECTO]]&lt;TODAY(),"SÍ","NO"))</f>
        <v/>
      </c>
      <c r="U116" s="417"/>
      <c r="V116" s="454"/>
      <c r="W116" s="454"/>
      <c r="X116" s="417" t="s">
        <v>424</v>
      </c>
      <c r="Y116" s="416"/>
      <c r="Z116" s="418"/>
      <c r="AA116" s="416">
        <v>44701</v>
      </c>
      <c r="AB116" s="418">
        <v>124</v>
      </c>
      <c r="AC116" s="354" t="s">
        <v>79</v>
      </c>
      <c r="AD116" s="416"/>
      <c r="AE116" s="419"/>
      <c r="AF116" s="416"/>
      <c r="AG116" s="419"/>
      <c r="AH116" s="416"/>
      <c r="AI116" s="416"/>
      <c r="AJ116" s="420"/>
      <c r="AK116" s="420"/>
      <c r="AL116" s="419"/>
      <c r="AM116" s="419"/>
      <c r="AN116" s="416"/>
      <c r="AO116" s="416"/>
      <c r="AP116" s="420"/>
      <c r="AQ116" s="420"/>
      <c r="AR116" s="419"/>
      <c r="AS116" s="416"/>
      <c r="AT116" s="354" t="str">
        <f t="shared" si="8"/>
        <v/>
      </c>
      <c r="AU116" s="419"/>
      <c r="AV116" s="419"/>
      <c r="AW116" s="419"/>
      <c r="AX116" s="419"/>
      <c r="AY116" s="354" t="str">
        <f>IFERROR(VLOOKUP(AX116,Listas!K236:K243,2,0),"")</f>
        <v/>
      </c>
      <c r="AZ116" s="442"/>
      <c r="BA116" s="419"/>
      <c r="BB116" s="419"/>
      <c r="BC116" s="422" t="str">
        <f t="shared" si="9"/>
        <v/>
      </c>
    </row>
    <row r="117" spans="1:55" ht="31.5">
      <c r="A117" s="383">
        <v>20212495004</v>
      </c>
      <c r="B117" s="384" t="str">
        <f>VLOOKUP(A117,'ESTADOS ESTUDIANTES'!B:L,2,0)</f>
        <v>MANCIPE CASTANEDA YURI MARCELA</v>
      </c>
      <c r="C117" s="384">
        <f>VLOOKUP(A117,'ESTADOS ESTUDIANTES'!B:L,11,0)</f>
        <v>53114905</v>
      </c>
      <c r="D117" s="384">
        <f>VLOOKUP(A117,'ESTADOS ESTUDIANTES'!B:L,3,0)</f>
        <v>495</v>
      </c>
      <c r="E117" s="384" t="str">
        <f>VLOOKUP(Tabla8[[#This Row],[ENFASIS]],Listas!$R$2:$S$8,2,0)</f>
        <v>ENFASIS EN ING. SOFT</v>
      </c>
      <c r="F117" s="384" t="str">
        <f>VLOOKUP(A117,'ESTADOS ESTUDIANTES'!B:L,8,0)</f>
        <v>ymmancipec@correo.udistrital.edu.co</v>
      </c>
      <c r="G117" s="384" t="str">
        <f>VLOOKUP(A117,'ESTADOS ESTUDIANTES'!B:L,9,0)</f>
        <v>marcelamancipe@gmail.com</v>
      </c>
      <c r="H117" s="384" t="str">
        <f>VLOOKUP(A117,'ESTADOS ESTUDIANTES'!B:L,5,0)</f>
        <v>X</v>
      </c>
      <c r="I117" s="384" t="str">
        <f>VLOOKUP(Tabla8[[#This Row],[CODIGO]],'ESTADOS ESTUDIANTES'!B:M,12,0)</f>
        <v>2021-3</v>
      </c>
      <c r="J117" s="386" t="s">
        <v>46</v>
      </c>
      <c r="K117" s="331"/>
      <c r="L117" s="331"/>
      <c r="M117" s="331"/>
      <c r="N117" s="330"/>
      <c r="O117" s="331"/>
      <c r="P117" s="331"/>
      <c r="Q117" s="331"/>
      <c r="R117" s="385"/>
      <c r="S117" s="385" t="str">
        <f>IF(Tabla8[[#This Row],[FECHA DE ACEPTACION DEL GRUP. INV.]]="","",DATE(YEAR(Tabla8[[#This Row],[FECHA DE ACEPTACION DEL GRUP. INV.]])+2,MONTH(Tabla8[[#This Row],[FECHA DE ACEPTACION DEL GRUP. INV.]]),DAY(Tabla8[[#This Row],[FECHA DE ACEPTACION DEL GRUP. INV.]])))</f>
        <v/>
      </c>
      <c r="T117" s="385" t="str">
        <f ca="1">IF(Tabla8[[#This Row],[FECHA DE ACEPTACION DEL GRUP. INV.]]="","",IF(Tabla8[[#This Row],[FECHA DE VENCIMIENTO ANTE PROYECTO]]&lt;TODAY(),"SÍ","NO"))</f>
        <v/>
      </c>
      <c r="U117" s="385"/>
      <c r="V117" s="386"/>
      <c r="W117" s="386"/>
      <c r="X117" s="385"/>
      <c r="Y117" s="330"/>
      <c r="Z117" s="387"/>
      <c r="AA117" s="330"/>
      <c r="AB117" s="387"/>
      <c r="AC117" s="390"/>
      <c r="AD117" s="330"/>
      <c r="AE117" s="331"/>
      <c r="AF117" s="330"/>
      <c r="AG117" s="331"/>
      <c r="AH117" s="330"/>
      <c r="AI117" s="330"/>
      <c r="AJ117" s="383"/>
      <c r="AK117" s="383"/>
      <c r="AL117" s="331"/>
      <c r="AM117" s="331"/>
      <c r="AN117" s="330"/>
      <c r="AO117" s="330"/>
      <c r="AP117" s="383"/>
      <c r="AQ117" s="383"/>
      <c r="AR117" s="331"/>
      <c r="AS117" s="330"/>
      <c r="AT117" s="386" t="str">
        <f t="shared" si="8"/>
        <v/>
      </c>
      <c r="AU117" s="331"/>
      <c r="AV117" s="331"/>
      <c r="AW117" s="331"/>
      <c r="AX117" s="331"/>
      <c r="AY117" s="386" t="str">
        <f>IFERROR(VLOOKUP(AX117,Listas!K237:K244,2,0),"")</f>
        <v/>
      </c>
      <c r="AZ117" s="388"/>
      <c r="BA117" s="331"/>
      <c r="BB117" s="331"/>
      <c r="BC117" s="391" t="str">
        <f t="shared" si="9"/>
        <v/>
      </c>
    </row>
    <row r="118" spans="1:55">
      <c r="A118" s="383">
        <v>20212495006</v>
      </c>
      <c r="B118" s="384" t="str">
        <f>VLOOKUP(A118,'ESTADOS ESTUDIANTES'!B:L,2,0)</f>
        <v>RENGIFO ESPITIA MARIA CAMILA</v>
      </c>
      <c r="C118" s="384">
        <f>VLOOKUP(A118,'ESTADOS ESTUDIANTES'!B:L,11,0)</f>
        <v>1018465748</v>
      </c>
      <c r="D118" s="384">
        <f>VLOOKUP(A118,'ESTADOS ESTUDIANTES'!B:L,3,0)</f>
        <v>495</v>
      </c>
      <c r="E118" s="384" t="str">
        <f>VLOOKUP(Tabla8[[#This Row],[ENFASIS]],Listas!$R$2:$S$8,2,0)</f>
        <v>ENFASIS EN ING. SOFT</v>
      </c>
      <c r="F118" s="384" t="str">
        <f>VLOOKUP(A118,'ESTADOS ESTUDIANTES'!B:L,8,0)</f>
        <v>mcrengifoe@correo.udistrital.edu.co</v>
      </c>
      <c r="G118" s="384" t="str">
        <f>VLOOKUP(A118,'ESTADOS ESTUDIANTES'!B:L,9,0)</f>
        <v>kamirenes@gmail.com</v>
      </c>
      <c r="H118" s="384" t="str">
        <f>VLOOKUP(A118,'ESTADOS ESTUDIANTES'!B:L,5,0)</f>
        <v>X</v>
      </c>
      <c r="I118" s="384" t="str">
        <f>VLOOKUP(Tabla8[[#This Row],[CODIGO]],'ESTADOS ESTUDIANTES'!B:M,12,0)</f>
        <v>2021-3</v>
      </c>
      <c r="J118" s="386" t="s">
        <v>46</v>
      </c>
      <c r="K118" s="331"/>
      <c r="L118" s="331"/>
      <c r="M118" s="331"/>
      <c r="N118" s="330"/>
      <c r="O118" s="331"/>
      <c r="P118" s="331"/>
      <c r="Q118" s="331"/>
      <c r="R118" s="385"/>
      <c r="S118" s="385" t="str">
        <f>IF(Tabla8[[#This Row],[FECHA DE ACEPTACION DEL GRUP. INV.]]="","",DATE(YEAR(Tabla8[[#This Row],[FECHA DE ACEPTACION DEL GRUP. INV.]])+2,MONTH(Tabla8[[#This Row],[FECHA DE ACEPTACION DEL GRUP. INV.]]),DAY(Tabla8[[#This Row],[FECHA DE ACEPTACION DEL GRUP. INV.]])))</f>
        <v/>
      </c>
      <c r="T118" s="385" t="str">
        <f ca="1">IF(Tabla8[[#This Row],[FECHA DE ACEPTACION DEL GRUP. INV.]]="","",IF(Tabla8[[#This Row],[FECHA DE VENCIMIENTO ANTE PROYECTO]]&lt;TODAY(),"SÍ","NO"))</f>
        <v/>
      </c>
      <c r="U118" s="385"/>
      <c r="V118" s="385"/>
      <c r="W118" s="385"/>
      <c r="X118" s="385"/>
      <c r="Y118" s="330"/>
      <c r="Z118" s="387"/>
      <c r="AA118" s="330"/>
      <c r="AB118" s="387"/>
      <c r="AC118" s="390"/>
      <c r="AD118" s="330"/>
      <c r="AE118" s="331"/>
      <c r="AF118" s="330"/>
      <c r="AG118" s="331"/>
      <c r="AH118" s="330"/>
      <c r="AI118" s="330"/>
      <c r="AJ118" s="383"/>
      <c r="AK118" s="383"/>
      <c r="AL118" s="331"/>
      <c r="AM118" s="331"/>
      <c r="AN118" s="330"/>
      <c r="AO118" s="330"/>
      <c r="AP118" s="383"/>
      <c r="AQ118" s="383"/>
      <c r="AR118" s="331"/>
      <c r="AS118" s="330"/>
      <c r="AT118" s="386" t="str">
        <f t="shared" si="8"/>
        <v/>
      </c>
      <c r="AU118" s="331"/>
      <c r="AV118" s="331"/>
      <c r="AW118" s="331"/>
      <c r="AX118" s="331"/>
      <c r="AY118" s="386" t="str">
        <f>IFERROR(VLOOKUP(AX118,Listas!K239:K246,2,0),"")</f>
        <v/>
      </c>
      <c r="AZ118" s="388"/>
      <c r="BA118" s="331"/>
      <c r="BB118" s="331"/>
      <c r="BC118" s="389" t="str">
        <f t="shared" si="9"/>
        <v/>
      </c>
    </row>
    <row r="119" spans="1:55" s="264" customFormat="1" ht="47.25">
      <c r="A119" s="669">
        <v>20212495007</v>
      </c>
      <c r="B119" s="670" t="str">
        <f>VLOOKUP(A119,'ESTADOS ESTUDIANTES'!B:L,2,0)</f>
        <v>SANDOVAL MESA NIDIA HELENA</v>
      </c>
      <c r="C119" s="670">
        <f>VLOOKUP(A119,'ESTADOS ESTUDIANTES'!B:L,11,0)</f>
        <v>52970605</v>
      </c>
      <c r="D119" s="670">
        <f>VLOOKUP(A119,'ESTADOS ESTUDIANTES'!B:L,3,0)</f>
        <v>495</v>
      </c>
      <c r="E119" s="670" t="str">
        <f>VLOOKUP(Tabla8[[#This Row],[ENFASIS]],Listas!$R$2:$S$8,2,0)</f>
        <v>ENFASIS EN ING. SOFT</v>
      </c>
      <c r="F119" s="670" t="str">
        <f>VLOOKUP(A119,'ESTADOS ESTUDIANTES'!B:L,8,0)</f>
        <v>nhsandovalm@udistrital.edu.co</v>
      </c>
      <c r="G119" s="670" t="str">
        <f>VLOOKUP(A119,'ESTADOS ESTUDIANTES'!B:L,9,0)</f>
        <v>hellenasandoval@gmail.com</v>
      </c>
      <c r="H119" s="670" t="str">
        <f>VLOOKUP(A119,'ESTADOS ESTUDIANTES'!B:L,5,0)</f>
        <v>X</v>
      </c>
      <c r="I119" s="670" t="str">
        <f>VLOOKUP(Tabla8[[#This Row],[CODIGO]],'ESTADOS ESTUDIANTES'!B:M,12,0)</f>
        <v>2026-1</v>
      </c>
      <c r="J119" s="665" t="s">
        <v>46</v>
      </c>
      <c r="K119" s="665" t="s">
        <v>903</v>
      </c>
      <c r="L119" s="665" t="s">
        <v>422</v>
      </c>
      <c r="M119" s="666" t="s">
        <v>904</v>
      </c>
      <c r="N119" s="667">
        <v>45775</v>
      </c>
      <c r="O119" s="670">
        <v>2025</v>
      </c>
      <c r="P119" s="665" t="s">
        <v>140</v>
      </c>
      <c r="Q119" s="665" t="s">
        <v>385</v>
      </c>
      <c r="R119" s="668">
        <v>45845</v>
      </c>
      <c r="S119" s="668">
        <f>IF(Tabla8[[#This Row],[FECHA DE ACEPTACION DEL GRUP. INV.]]="","",DATE(YEAR(Tabla8[[#This Row],[FECHA DE ACEPTACION DEL GRUP. INV.]])+2,MONTH(Tabla8[[#This Row],[FECHA DE ACEPTACION DEL GRUP. INV.]]),DAY(Tabla8[[#This Row],[FECHA DE ACEPTACION DEL GRUP. INV.]])))</f>
        <v>46575</v>
      </c>
      <c r="T119" s="668" t="str">
        <f ca="1">IF(Tabla8[[#This Row],[FECHA DE ACEPTACION DEL GRUP. INV.]]="","",IF(Tabla8[[#This Row],[FECHA DE VENCIMIENTO ANTE PROYECTO]]&lt;TODAY(),"SÍ","NO"))</f>
        <v>NO</v>
      </c>
      <c r="U119" s="699" t="s">
        <v>827</v>
      </c>
      <c r="V119" s="240" t="s">
        <v>589</v>
      </c>
      <c r="W119" s="242"/>
      <c r="X119" s="242" t="s">
        <v>842</v>
      </c>
      <c r="Y119" s="241">
        <v>44981</v>
      </c>
      <c r="Z119" s="243">
        <v>106</v>
      </c>
      <c r="AA119" s="241">
        <v>45768</v>
      </c>
      <c r="AB119" s="243">
        <v>49</v>
      </c>
      <c r="AC119" s="238" t="s">
        <v>87</v>
      </c>
      <c r="AD119" s="241"/>
      <c r="AE119" s="238"/>
      <c r="AF119" s="241"/>
      <c r="AG119" s="238"/>
      <c r="AH119" s="241"/>
      <c r="AI119" s="241"/>
      <c r="AJ119" s="244"/>
      <c r="AK119" s="244"/>
      <c r="AL119" s="238"/>
      <c r="AM119" s="238"/>
      <c r="AN119" s="241"/>
      <c r="AO119" s="241"/>
      <c r="AP119" s="244"/>
      <c r="AQ119" s="244"/>
      <c r="AR119" s="238"/>
      <c r="AS119" s="241"/>
      <c r="AT119" s="240" t="str">
        <f t="shared" si="8"/>
        <v/>
      </c>
      <c r="AU119" s="238"/>
      <c r="AV119" s="238"/>
      <c r="AW119" s="238"/>
      <c r="AX119" s="238"/>
      <c r="AY119" s="240" t="str">
        <f>IFERROR(VLOOKUP(AX119,Listas!K240:K247,2,0),"")</f>
        <v/>
      </c>
      <c r="AZ119" s="381"/>
      <c r="BA119" s="238"/>
      <c r="BB119" s="238"/>
      <c r="BC119" s="245" t="str">
        <f t="shared" si="9"/>
        <v/>
      </c>
    </row>
    <row r="120" spans="1:55" s="264" customFormat="1" ht="47.25">
      <c r="A120" s="669">
        <v>20212495008</v>
      </c>
      <c r="B120" s="670" t="str">
        <f>VLOOKUP(A120,'ESTADOS ESTUDIANTES'!B:L,2,0)</f>
        <v>SUAREZ BASTIDAS WILLIAM FERNANDO</v>
      </c>
      <c r="C120" s="670">
        <f>VLOOKUP(A120,'ESTADOS ESTUDIANTES'!B:L,11,0)</f>
        <v>1033701333</v>
      </c>
      <c r="D120" s="670">
        <f>VLOOKUP(A120,'ESTADOS ESTUDIANTES'!B:L,3,0)</f>
        <v>495</v>
      </c>
      <c r="E120" s="670" t="str">
        <f>VLOOKUP(Tabla8[[#This Row],[ENFASIS]],Listas!$R$2:$S$8,2,0)</f>
        <v>ENFASIS EN ING. SOFT</v>
      </c>
      <c r="F120" s="670" t="str">
        <f>VLOOKUP(A120,'ESTADOS ESTUDIANTES'!B:L,8,0)</f>
        <v>wfsuarezb@udistrital.edu.co</v>
      </c>
      <c r="G120" s="670" t="str">
        <f>VLOOKUP(A120,'ESTADOS ESTUDIANTES'!B:L,9,0)</f>
        <v>willfs144@gmail.com</v>
      </c>
      <c r="H120" s="670" t="str">
        <f>VLOOKUP(A120,'ESTADOS ESTUDIANTES'!B:L,5,0)</f>
        <v>X</v>
      </c>
      <c r="I120" s="670" t="str">
        <f>VLOOKUP(Tabla8[[#This Row],[CODIGO]],'ESTADOS ESTUDIANTES'!B:M,12,0)</f>
        <v>2026-1</v>
      </c>
      <c r="J120" s="665" t="s">
        <v>46</v>
      </c>
      <c r="K120" s="665" t="s">
        <v>905</v>
      </c>
      <c r="L120" s="665" t="s">
        <v>309</v>
      </c>
      <c r="M120" s="666"/>
      <c r="N120" s="667">
        <v>44539</v>
      </c>
      <c r="O120" s="670">
        <v>2021</v>
      </c>
      <c r="P120" s="665" t="s">
        <v>131</v>
      </c>
      <c r="Q120" s="665" t="s">
        <v>309</v>
      </c>
      <c r="R120" s="668">
        <v>44539</v>
      </c>
      <c r="S120" s="668">
        <f>IF(Tabla8[[#This Row],[FECHA DE ACEPTACION DEL GRUP. INV.]]="","",DATE(YEAR(Tabla8[[#This Row],[FECHA DE ACEPTACION DEL GRUP. INV.]])+2,MONTH(Tabla8[[#This Row],[FECHA DE ACEPTACION DEL GRUP. INV.]]),DAY(Tabla8[[#This Row],[FECHA DE ACEPTACION DEL GRUP. INV.]])))</f>
        <v>45269</v>
      </c>
      <c r="T120" s="676" t="str">
        <f ca="1">IF(Tabla8[[#This Row],[FECHA DE ACEPTACION DEL GRUP. INV.]]="","",IF(Tabla8[[#This Row],[FECHA DE VENCIMIENTO ANTE PROYECTO]]&lt;TODAY(),"SÍ","NO"))</f>
        <v>SÍ</v>
      </c>
      <c r="U120" s="699" t="s">
        <v>817</v>
      </c>
      <c r="V120" s="240" t="s">
        <v>677</v>
      </c>
      <c r="W120" s="240"/>
      <c r="X120" s="242" t="s">
        <v>424</v>
      </c>
      <c r="Y120" s="241"/>
      <c r="Z120" s="243"/>
      <c r="AA120" s="241">
        <v>45531</v>
      </c>
      <c r="AB120" s="243">
        <v>59</v>
      </c>
      <c r="AC120" s="238" t="s">
        <v>79</v>
      </c>
      <c r="AD120" s="241"/>
      <c r="AE120" s="238"/>
      <c r="AF120" s="241"/>
      <c r="AG120" s="238"/>
      <c r="AH120" s="241"/>
      <c r="AI120" s="241"/>
      <c r="AJ120" s="244"/>
      <c r="AK120" s="244"/>
      <c r="AL120" s="238"/>
      <c r="AM120" s="238"/>
      <c r="AN120" s="241"/>
      <c r="AO120" s="241"/>
      <c r="AP120" s="244"/>
      <c r="AQ120" s="244"/>
      <c r="AR120" s="238"/>
      <c r="AS120" s="241"/>
      <c r="AT120" s="240" t="str">
        <f t="shared" si="8"/>
        <v/>
      </c>
      <c r="AU120" s="238"/>
      <c r="AV120" s="238"/>
      <c r="AW120" s="238"/>
      <c r="AX120" s="238"/>
      <c r="AY120" s="240" t="str">
        <f>IFERROR(VLOOKUP(AX120,Listas!K241:K248,2,0),"")</f>
        <v/>
      </c>
      <c r="AZ120" s="381"/>
      <c r="BA120" s="238"/>
      <c r="BB120" s="238"/>
      <c r="BC120" s="245" t="str">
        <f t="shared" si="9"/>
        <v/>
      </c>
    </row>
    <row r="121" spans="1:55">
      <c r="A121" s="383">
        <v>20221195002</v>
      </c>
      <c r="B121" s="384" t="str">
        <f>VLOOKUP(A121,'ESTADOS ESTUDIANTES'!B:L,2,0)</f>
        <v>NIÑO RIVERA JUAN JOSE</v>
      </c>
      <c r="C121" s="384">
        <f>VLOOKUP(A121,'ESTADOS ESTUDIANTES'!B:L,11,0)</f>
        <v>79628479</v>
      </c>
      <c r="D121" s="384">
        <f>VLOOKUP(A121,'ESTADOS ESTUDIANTES'!B:L,3,0)</f>
        <v>195</v>
      </c>
      <c r="E121" s="384" t="str">
        <f>VLOOKUP(Tabla8[[#This Row],[ENFASIS]],Listas!$R$2:$S$8,2,0)</f>
        <v>EN TELEINF.</v>
      </c>
      <c r="F121" s="384">
        <f>VLOOKUP(A121,'ESTADOS ESTUDIANTES'!B:L,8,0)</f>
        <v>0</v>
      </c>
      <c r="G121" s="384" t="str">
        <f>VLOOKUP(A121,'ESTADOS ESTUDIANTES'!B:L,9,0)</f>
        <v>jnino82@hotmail.com</v>
      </c>
      <c r="H121" s="384" t="str">
        <f>VLOOKUP(A121,'ESTADOS ESTUDIANTES'!B:L,5,0)</f>
        <v>N</v>
      </c>
      <c r="I121" s="384" t="str">
        <f>VLOOKUP(Tabla8[[#This Row],[CODIGO]],'ESTADOS ESTUDIANTES'!B:M,12,0)</f>
        <v>-</v>
      </c>
      <c r="J121" s="331"/>
      <c r="K121" s="331"/>
      <c r="L121" s="331"/>
      <c r="M121" s="331"/>
      <c r="N121" s="330"/>
      <c r="O121" s="331"/>
      <c r="P121" s="331"/>
      <c r="Q121" s="331"/>
      <c r="R121" s="385"/>
      <c r="S121" s="385" t="str">
        <f>IF(Tabla8[[#This Row],[FECHA DE ACEPTACION DEL GRUP. INV.]]="","",DATE(YEAR(Tabla8[[#This Row],[FECHA DE ACEPTACION DEL GRUP. INV.]])+2,MONTH(Tabla8[[#This Row],[FECHA DE ACEPTACION DEL GRUP. INV.]]),DAY(Tabla8[[#This Row],[FECHA DE ACEPTACION DEL GRUP. INV.]])))</f>
        <v/>
      </c>
      <c r="T121" s="385" t="str">
        <f ca="1">IF(Tabla8[[#This Row],[FECHA DE ACEPTACION DEL GRUP. INV.]]="","",IF(Tabla8[[#This Row],[FECHA DE VENCIMIENTO ANTE PROYECTO]]&lt;TODAY(),"SÍ","NO"))</f>
        <v/>
      </c>
      <c r="U121" s="385"/>
      <c r="V121" s="386"/>
      <c r="W121" s="386"/>
      <c r="X121" s="385"/>
      <c r="Y121" s="330"/>
      <c r="Z121" s="387"/>
      <c r="AA121" s="330"/>
      <c r="AB121" s="387"/>
      <c r="AC121" s="390"/>
      <c r="AD121" s="330"/>
      <c r="AE121" s="331"/>
      <c r="AF121" s="330"/>
      <c r="AG121" s="331"/>
      <c r="AH121" s="330"/>
      <c r="AI121" s="330"/>
      <c r="AJ121" s="383"/>
      <c r="AK121" s="383"/>
      <c r="AL121" s="331"/>
      <c r="AM121" s="331"/>
      <c r="AN121" s="330"/>
      <c r="AO121" s="330"/>
      <c r="AP121" s="383"/>
      <c r="AQ121" s="383"/>
      <c r="AR121" s="331"/>
      <c r="AS121" s="330"/>
      <c r="AT121" s="386" t="str">
        <f t="shared" si="8"/>
        <v/>
      </c>
      <c r="AU121" s="331"/>
      <c r="AV121" s="238"/>
      <c r="AW121" s="331"/>
      <c r="AX121" s="331"/>
      <c r="AY121" s="386" t="str">
        <f>IFERROR(VLOOKUP(AX121,Listas!K245:K252,2,0),"")</f>
        <v/>
      </c>
      <c r="AZ121" s="388"/>
      <c r="BA121" s="331"/>
      <c r="BB121" s="331"/>
      <c r="BC121" s="395" t="str">
        <f t="shared" si="9"/>
        <v/>
      </c>
    </row>
    <row r="122" spans="1:55" s="264" customFormat="1" ht="47.25">
      <c r="A122" s="244">
        <v>20221195003</v>
      </c>
      <c r="B122" s="239" t="str">
        <f>VLOOKUP(A122,'ESTADOS ESTUDIANTES'!B:L,2,0)</f>
        <v>TRIANA USECHE JORDAN CAMILO</v>
      </c>
      <c r="C122" s="239">
        <f>VLOOKUP(A122,'ESTADOS ESTUDIANTES'!B:L,11,0)</f>
        <v>1024541006</v>
      </c>
      <c r="D122" s="239">
        <f>VLOOKUP(A122,'ESTADOS ESTUDIANTES'!B:L,3,0)</f>
        <v>195</v>
      </c>
      <c r="E122" s="239" t="str">
        <f>VLOOKUP(Tabla8[[#This Row],[ENFASIS]],Listas!$R$2:$S$8,2,0)</f>
        <v>EN TELEINF.</v>
      </c>
      <c r="F122" s="239" t="str">
        <f>VLOOKUP(A122,'ESTADOS ESTUDIANTES'!B:L,8,0)</f>
        <v>jctrianau@udistrital.edu.co</v>
      </c>
      <c r="G122" s="239" t="str">
        <f>VLOOKUP(A122,'ESTADOS ESTUDIANTES'!B:L,9,0)</f>
        <v>jordan49@hotmail.com</v>
      </c>
      <c r="H122" s="239" t="str">
        <f>VLOOKUP(A122,'ESTADOS ESTUDIANTES'!B:L,5,0)</f>
        <v>E</v>
      </c>
      <c r="I122" s="239" t="str">
        <f>VLOOKUP(Tabla8[[#This Row],[CODIGO]],'ESTADOS ESTUDIANTES'!B:M,12,0)</f>
        <v>2025-3</v>
      </c>
      <c r="J122" s="240" t="s">
        <v>46</v>
      </c>
      <c r="K122" s="240" t="s">
        <v>906</v>
      </c>
      <c r="L122" s="240" t="s">
        <v>895</v>
      </c>
      <c r="M122" s="238"/>
      <c r="N122" s="241">
        <v>44726</v>
      </c>
      <c r="O122" s="239">
        <v>2022</v>
      </c>
      <c r="P122" s="240" t="s">
        <v>101</v>
      </c>
      <c r="Q122" s="240" t="s">
        <v>895</v>
      </c>
      <c r="R122" s="242">
        <v>45608</v>
      </c>
      <c r="S122" s="242">
        <f>IF(Tabla8[[#This Row],[FECHA DE ACEPTACION DEL GRUP. INV.]]="","",DATE(YEAR(Tabla8[[#This Row],[FECHA DE ACEPTACION DEL GRUP. INV.]])+2,MONTH(Tabla8[[#This Row],[FECHA DE ACEPTACION DEL GRUP. INV.]]),DAY(Tabla8[[#This Row],[FECHA DE ACEPTACION DEL GRUP. INV.]])))</f>
        <v>46338</v>
      </c>
      <c r="T122" s="242" t="str">
        <f ca="1">IF(Tabla8[[#This Row],[FECHA DE ACEPTACION DEL GRUP. INV.]]="","",IF(Tabla8[[#This Row],[FECHA DE VENCIMIENTO ANTE PROYECTO]]&lt;TODAY(),"SÍ","NO"))</f>
        <v>NO</v>
      </c>
      <c r="U122" s="242"/>
      <c r="V122" s="240" t="s">
        <v>907</v>
      </c>
      <c r="W122" s="242">
        <v>45716</v>
      </c>
      <c r="X122" s="242" t="s">
        <v>842</v>
      </c>
      <c r="Y122" s="241">
        <v>45057</v>
      </c>
      <c r="Z122" s="243">
        <v>84</v>
      </c>
      <c r="AA122" s="328">
        <v>45870</v>
      </c>
      <c r="AB122" s="329">
        <v>90</v>
      </c>
      <c r="AC122" s="238" t="s">
        <v>79</v>
      </c>
      <c r="AD122" s="241">
        <v>45740</v>
      </c>
      <c r="AE122" s="238" t="s">
        <v>495</v>
      </c>
      <c r="AF122" s="241">
        <v>45728</v>
      </c>
      <c r="AG122" s="238" t="s">
        <v>657</v>
      </c>
      <c r="AH122" s="241">
        <v>45733</v>
      </c>
      <c r="AI122" s="241">
        <v>45789</v>
      </c>
      <c r="AJ122" s="244">
        <v>48</v>
      </c>
      <c r="AK122" s="244">
        <v>50</v>
      </c>
      <c r="AL122" s="238" t="s">
        <v>41</v>
      </c>
      <c r="AM122" s="238" t="s">
        <v>478</v>
      </c>
      <c r="AN122" s="241">
        <v>45733</v>
      </c>
      <c r="AO122" s="241">
        <v>45776</v>
      </c>
      <c r="AP122" s="244">
        <v>50</v>
      </c>
      <c r="AQ122" s="244">
        <v>50</v>
      </c>
      <c r="AR122" s="238" t="s">
        <v>41</v>
      </c>
      <c r="AS122" s="241">
        <v>45757</v>
      </c>
      <c r="AT122" s="240">
        <f t="shared" si="8"/>
        <v>50</v>
      </c>
      <c r="AU122" s="238" t="s">
        <v>908</v>
      </c>
      <c r="AV122" s="238" t="s">
        <v>909</v>
      </c>
      <c r="AW122" s="238" t="s">
        <v>61</v>
      </c>
      <c r="AX122" s="238" t="s">
        <v>94</v>
      </c>
      <c r="AY122" s="240" t="s">
        <v>607</v>
      </c>
      <c r="AZ122" s="258">
        <v>45903</v>
      </c>
      <c r="BA122" s="238"/>
      <c r="BB122" s="238"/>
      <c r="BC122" s="245" t="str">
        <f t="shared" si="9"/>
        <v/>
      </c>
    </row>
    <row r="123" spans="1:55" s="264" customFormat="1" ht="78.75">
      <c r="A123" s="244">
        <v>20221395002</v>
      </c>
      <c r="B123" s="239" t="str">
        <f>VLOOKUP(A123,'ESTADOS ESTUDIANTES'!B:L,2,0)</f>
        <v>CABEZAS MARTIN GONZALO</v>
      </c>
      <c r="C123" s="239">
        <f>VLOOKUP(A123,'ESTADOS ESTUDIANTES'!B:L,11,0)</f>
        <v>1018477001</v>
      </c>
      <c r="D123" s="239">
        <f>VLOOKUP(A123,'ESTADOS ESTUDIANTES'!B:L,3,0)</f>
        <v>395</v>
      </c>
      <c r="E123" s="239" t="str">
        <f>VLOOKUP(Tabla8[[#This Row],[ENFASIS]],Listas!$R$2:$S$8,2,0)</f>
        <v>ENFASIS EN GEOMATICA</v>
      </c>
      <c r="F123" s="239" t="str">
        <f>VLOOKUP(A123,'ESTADOS ESTUDIANTES'!B:L,8,0)</f>
        <v>gcabezasm@udistrital.edu.co</v>
      </c>
      <c r="G123" s="239" t="str">
        <f>VLOOKUP(A123,'ESTADOS ESTUDIANTES'!B:L,9,0)</f>
        <v>gonzalocabezas06@gmail.com</v>
      </c>
      <c r="H123" s="239" t="str">
        <f>VLOOKUP(A123,'ESTADOS ESTUDIANTES'!B:L,5,0)</f>
        <v>E</v>
      </c>
      <c r="I123" s="239" t="str">
        <f>VLOOKUP(Tabla8[[#This Row],[CODIGO]],'ESTADOS ESTUDIANTES'!B:M,12,0)</f>
        <v>2025-3</v>
      </c>
      <c r="J123" s="240" t="s">
        <v>46</v>
      </c>
      <c r="K123" s="240" t="s">
        <v>910</v>
      </c>
      <c r="L123" s="240" t="s">
        <v>911</v>
      </c>
      <c r="M123" s="240" t="s">
        <v>912</v>
      </c>
      <c r="N123" s="241">
        <v>45771</v>
      </c>
      <c r="O123" s="239">
        <v>2022</v>
      </c>
      <c r="P123" s="240" t="s">
        <v>83</v>
      </c>
      <c r="Q123" s="240" t="s">
        <v>402</v>
      </c>
      <c r="R123" s="242">
        <v>45819</v>
      </c>
      <c r="S123" s="242">
        <f>IF(Tabla8[[#This Row],[FECHA DE ACEPTACION DEL GRUP. INV.]]="","",DATE(YEAR(Tabla8[[#This Row],[FECHA DE ACEPTACION DEL GRUP. INV.]])+2,MONTH(Tabla8[[#This Row],[FECHA DE ACEPTACION DEL GRUP. INV.]]),DAY(Tabla8[[#This Row],[FECHA DE ACEPTACION DEL GRUP. INV.]])))</f>
        <v>46549</v>
      </c>
      <c r="T123" s="242" t="str">
        <f ca="1">IF(Tabla8[[#This Row],[FECHA DE ACEPTACION DEL GRUP. INV.]]="","",IF(Tabla8[[#This Row],[FECHA DE VENCIMIENTO ANTE PROYECTO]]&lt;TODAY(),"SÍ","NO"))</f>
        <v>NO</v>
      </c>
      <c r="U123" s="242"/>
      <c r="V123" s="240" t="s">
        <v>913</v>
      </c>
      <c r="W123" s="240"/>
      <c r="X123" s="242" t="s">
        <v>424</v>
      </c>
      <c r="Y123" s="241"/>
      <c r="Z123" s="243"/>
      <c r="AA123" s="241">
        <v>45531</v>
      </c>
      <c r="AB123" s="243">
        <v>125</v>
      </c>
      <c r="AC123" s="238" t="s">
        <v>79</v>
      </c>
      <c r="AD123" s="241">
        <v>45824</v>
      </c>
      <c r="AE123" s="238" t="s">
        <v>914</v>
      </c>
      <c r="AF123" s="241">
        <v>45931</v>
      </c>
      <c r="AG123" s="238" t="s">
        <v>402</v>
      </c>
      <c r="AH123" s="241"/>
      <c r="AI123" s="241"/>
      <c r="AJ123" s="502">
        <v>4.5</v>
      </c>
      <c r="AK123" s="502">
        <v>4.3</v>
      </c>
      <c r="AL123" s="238" t="s">
        <v>41</v>
      </c>
      <c r="AM123" s="238" t="s">
        <v>348</v>
      </c>
      <c r="AN123" s="241"/>
      <c r="AO123" s="241"/>
      <c r="AP123" s="502">
        <v>4.7</v>
      </c>
      <c r="AQ123" s="502">
        <v>4.5</v>
      </c>
      <c r="AR123" s="238" t="s">
        <v>41</v>
      </c>
      <c r="AS123" s="241">
        <v>45946</v>
      </c>
      <c r="AT123" s="240">
        <f t="shared" si="8"/>
        <v>5</v>
      </c>
      <c r="AU123" s="238" t="s">
        <v>915</v>
      </c>
      <c r="AV123" s="238" t="s">
        <v>916</v>
      </c>
      <c r="AW123" s="238"/>
      <c r="AX123" s="238" t="s">
        <v>80</v>
      </c>
      <c r="AY123" s="240" t="s">
        <v>917</v>
      </c>
      <c r="AZ123" s="258">
        <v>45824</v>
      </c>
      <c r="BA123" s="238"/>
      <c r="BB123" s="238"/>
      <c r="BC123" s="245" t="str">
        <f t="shared" si="9"/>
        <v/>
      </c>
    </row>
    <row r="124" spans="1:55" s="264" customFormat="1" ht="94.5">
      <c r="A124" s="244">
        <v>20221395003</v>
      </c>
      <c r="B124" s="239" t="str">
        <f>VLOOKUP(A124,'ESTADOS ESTUDIANTES'!B:L,2,0)</f>
        <v>CUMBE LOAIZA LAURA CAMILA</v>
      </c>
      <c r="C124" s="239">
        <f>VLOOKUP(A124,'ESTADOS ESTUDIANTES'!B:L,11,0)</f>
        <v>1012391241</v>
      </c>
      <c r="D124" s="239">
        <f>VLOOKUP(A124,'ESTADOS ESTUDIANTES'!B:L,3,0)</f>
        <v>395</v>
      </c>
      <c r="E124" s="239" t="str">
        <f>VLOOKUP(Tabla8[[#This Row],[ENFASIS]],Listas!$R$2:$S$8,2,0)</f>
        <v>ENFASIS EN GEOMATICA</v>
      </c>
      <c r="F124" s="239" t="str">
        <f>VLOOKUP(A124,'ESTADOS ESTUDIANTES'!B:L,8,0)</f>
        <v>lccumbel@udistrital.edu.co</v>
      </c>
      <c r="G124" s="239" t="str">
        <f>VLOOKUP(A124,'ESTADOS ESTUDIANTES'!B:L,9,0)</f>
        <v>cumbelc@gmail.com</v>
      </c>
      <c r="H124" s="239" t="str">
        <f>VLOOKUP(A124,'ESTADOS ESTUDIANTES'!B:L,5,0)</f>
        <v>E</v>
      </c>
      <c r="I124" s="239" t="str">
        <f>VLOOKUP(Tabla8[[#This Row],[CODIGO]],'ESTADOS ESTUDIANTES'!B:M,12,0)</f>
        <v>2025-3</v>
      </c>
      <c r="J124" s="240" t="s">
        <v>46</v>
      </c>
      <c r="K124" s="240" t="s">
        <v>918</v>
      </c>
      <c r="L124" s="240" t="s">
        <v>402</v>
      </c>
      <c r="M124" s="238"/>
      <c r="N124" s="241">
        <v>44725</v>
      </c>
      <c r="O124" s="239">
        <v>2022</v>
      </c>
      <c r="P124" s="240" t="s">
        <v>83</v>
      </c>
      <c r="Q124" s="240" t="s">
        <v>402</v>
      </c>
      <c r="R124" s="242">
        <v>45569</v>
      </c>
      <c r="S124" s="242">
        <f>IF(Tabla8[[#This Row],[FECHA DE ACEPTACION DEL GRUP. INV.]]="","",DATE(YEAR(Tabla8[[#This Row],[FECHA DE ACEPTACION DEL GRUP. INV.]])+2,MONTH(Tabla8[[#This Row],[FECHA DE ACEPTACION DEL GRUP. INV.]]),DAY(Tabla8[[#This Row],[FECHA DE ACEPTACION DEL GRUP. INV.]])))</f>
        <v>46299</v>
      </c>
      <c r="T124" s="242" t="str">
        <f ca="1">IF(Tabla8[[#This Row],[FECHA DE ACEPTACION DEL GRUP. INV.]]="","",IF(Tabla8[[#This Row],[FECHA DE VENCIMIENTO ANTE PROYECTO]]&lt;TODAY(),"SÍ","NO"))</f>
        <v>NO</v>
      </c>
      <c r="U124" s="242"/>
      <c r="V124" s="240" t="s">
        <v>919</v>
      </c>
      <c r="W124" s="240"/>
      <c r="X124" s="242" t="s">
        <v>424</v>
      </c>
      <c r="Y124" s="241">
        <v>45057</v>
      </c>
      <c r="Z124" s="243">
        <v>132</v>
      </c>
      <c r="AA124" s="241">
        <v>45768</v>
      </c>
      <c r="AB124" s="243">
        <v>123</v>
      </c>
      <c r="AC124" s="238" t="s">
        <v>79</v>
      </c>
      <c r="AD124" s="241"/>
      <c r="AE124" s="238" t="s">
        <v>508</v>
      </c>
      <c r="AF124" s="241">
        <v>45777</v>
      </c>
      <c r="AG124" s="238" t="s">
        <v>229</v>
      </c>
      <c r="AH124" s="241"/>
      <c r="AI124" s="241">
        <v>45818</v>
      </c>
      <c r="AJ124" s="244">
        <v>49</v>
      </c>
      <c r="AK124" s="244">
        <v>43</v>
      </c>
      <c r="AL124" s="238" t="s">
        <v>41</v>
      </c>
      <c r="AM124" s="238" t="s">
        <v>272</v>
      </c>
      <c r="AN124" s="241"/>
      <c r="AO124" s="241">
        <v>45818</v>
      </c>
      <c r="AP124" s="244">
        <v>50</v>
      </c>
      <c r="AQ124" s="244">
        <v>50</v>
      </c>
      <c r="AR124" s="238" t="s">
        <v>41</v>
      </c>
      <c r="AS124" s="241">
        <v>45818</v>
      </c>
      <c r="AT124" s="240">
        <f t="shared" si="8"/>
        <v>48</v>
      </c>
      <c r="AU124" s="238" t="s">
        <v>920</v>
      </c>
      <c r="AV124" s="238" t="s">
        <v>921</v>
      </c>
      <c r="AW124" s="238"/>
      <c r="AX124" s="238" t="s">
        <v>80</v>
      </c>
      <c r="AY124" s="240" t="s">
        <v>922</v>
      </c>
      <c r="AZ124" s="258">
        <v>45777</v>
      </c>
      <c r="BA124" s="238"/>
      <c r="BB124" s="238"/>
      <c r="BC124" s="245" t="str">
        <f t="shared" si="9"/>
        <v/>
      </c>
    </row>
    <row r="125" spans="1:55" s="264" customFormat="1" ht="47.25">
      <c r="A125" s="244">
        <v>20221395004</v>
      </c>
      <c r="B125" s="239" t="str">
        <f>VLOOKUP(A125,'ESTADOS ESTUDIANTES'!B:L,2,0)</f>
        <v>GUERRERO VARONA LUIS MIGUEL</v>
      </c>
      <c r="C125" s="239">
        <f>VLOOKUP(A125,'ESTADOS ESTUDIANTES'!B:L,11,0)</f>
        <v>1030534583</v>
      </c>
      <c r="D125" s="239">
        <f>VLOOKUP(A125,'ESTADOS ESTUDIANTES'!B:L,3,0)</f>
        <v>395</v>
      </c>
      <c r="E125" s="239" t="str">
        <f>VLOOKUP(Tabla8[[#This Row],[ENFASIS]],Listas!$R$2:$S$8,2,0)</f>
        <v>ENFASIS EN GEOMATICA</v>
      </c>
      <c r="F125" s="239" t="str">
        <f>VLOOKUP(A125,'ESTADOS ESTUDIANTES'!B:L,8,0)</f>
        <v>lmguerrerov@udistrital.edu.co</v>
      </c>
      <c r="G125" s="239" t="str">
        <f>VLOOKUP(A125,'ESTADOS ESTUDIANTES'!B:L,9,0)</f>
        <v>lmguerrerov@udistrital.edu.co</v>
      </c>
      <c r="H125" s="239" t="str">
        <f>VLOOKUP(A125,'ESTADOS ESTUDIANTES'!B:L,5,0)</f>
        <v>E</v>
      </c>
      <c r="I125" s="239" t="str">
        <f>VLOOKUP(Tabla8[[#This Row],[CODIGO]],'ESTADOS ESTUDIANTES'!B:M,12,0)</f>
        <v>2025-1</v>
      </c>
      <c r="J125" s="240" t="s">
        <v>46</v>
      </c>
      <c r="K125" s="240" t="s">
        <v>923</v>
      </c>
      <c r="L125" s="240" t="s">
        <v>298</v>
      </c>
      <c r="M125" s="238"/>
      <c r="N125" s="241">
        <v>44727</v>
      </c>
      <c r="O125" s="239">
        <v>2022</v>
      </c>
      <c r="P125" s="240" t="s">
        <v>115</v>
      </c>
      <c r="Q125" s="240" t="s">
        <v>292</v>
      </c>
      <c r="R125" s="242">
        <v>44958</v>
      </c>
      <c r="S125" s="242">
        <f>IF(Tabla8[[#This Row],[FECHA DE ACEPTACION DEL GRUP. INV.]]="","",DATE(YEAR(Tabla8[[#This Row],[FECHA DE ACEPTACION DEL GRUP. INV.]])+2,MONTH(Tabla8[[#This Row],[FECHA DE ACEPTACION DEL GRUP. INV.]]),DAY(Tabla8[[#This Row],[FECHA DE ACEPTACION DEL GRUP. INV.]])))</f>
        <v>45689</v>
      </c>
      <c r="T125" s="242" t="str">
        <f ca="1">IF(Tabla8[[#This Row],[FECHA DE ACEPTACION DEL GRUP. INV.]]="","",IF(Tabla8[[#This Row],[FECHA DE VENCIMIENTO ANTE PROYECTO]]&lt;TODAY(),"SÍ","NO"))</f>
        <v>SÍ</v>
      </c>
      <c r="U125" s="242"/>
      <c r="V125" s="240" t="s">
        <v>278</v>
      </c>
      <c r="W125" s="240"/>
      <c r="X125" s="242" t="s">
        <v>424</v>
      </c>
      <c r="Y125" s="241"/>
      <c r="Z125" s="243"/>
      <c r="AA125" s="241">
        <v>45323</v>
      </c>
      <c r="AB125" s="243">
        <v>114</v>
      </c>
      <c r="AC125" s="238" t="s">
        <v>79</v>
      </c>
      <c r="AD125" s="241">
        <v>45608</v>
      </c>
      <c r="AE125" s="238" t="s">
        <v>576</v>
      </c>
      <c r="AF125" s="241">
        <v>45608</v>
      </c>
      <c r="AG125" s="238" t="s">
        <v>229</v>
      </c>
      <c r="AH125" s="296">
        <v>45692</v>
      </c>
      <c r="AI125" s="241">
        <v>45716</v>
      </c>
      <c r="AJ125" s="244">
        <v>44</v>
      </c>
      <c r="AK125" s="244">
        <v>44</v>
      </c>
      <c r="AL125" s="238" t="s">
        <v>41</v>
      </c>
      <c r="AM125" s="238" t="s">
        <v>395</v>
      </c>
      <c r="AN125" s="296">
        <v>45692</v>
      </c>
      <c r="AO125" s="241">
        <v>45716</v>
      </c>
      <c r="AP125" s="244">
        <v>44</v>
      </c>
      <c r="AQ125" s="244">
        <v>44</v>
      </c>
      <c r="AR125" s="238" t="s">
        <v>41</v>
      </c>
      <c r="AS125" s="241">
        <v>45716</v>
      </c>
      <c r="AT125" s="240">
        <f t="shared" si="8"/>
        <v>44</v>
      </c>
      <c r="AU125" s="238" t="s">
        <v>924</v>
      </c>
      <c r="AV125" s="238" t="s">
        <v>925</v>
      </c>
      <c r="AW125" s="238"/>
      <c r="AX125" s="238" t="s">
        <v>80</v>
      </c>
      <c r="AY125" s="240" t="s">
        <v>926</v>
      </c>
      <c r="AZ125" s="381"/>
      <c r="BA125" s="238"/>
      <c r="BB125" s="238"/>
      <c r="BC125" s="245" t="str">
        <f t="shared" si="9"/>
        <v/>
      </c>
    </row>
    <row r="126" spans="1:55">
      <c r="A126" s="383">
        <v>20221395005</v>
      </c>
      <c r="B126" s="384" t="str">
        <f>VLOOKUP(A126,'ESTADOS ESTUDIANTES'!B:L,2,0)</f>
        <v>MENDOZA RINCON JORGE ALIRIO</v>
      </c>
      <c r="C126" s="384">
        <f>VLOOKUP(A126,'ESTADOS ESTUDIANTES'!B:L,11,0)</f>
        <v>4211815</v>
      </c>
      <c r="D126" s="384">
        <f>VLOOKUP(A126,'ESTADOS ESTUDIANTES'!B:L,3,0)</f>
        <v>395</v>
      </c>
      <c r="E126" s="384" t="str">
        <f>VLOOKUP(Tabla8[[#This Row],[ENFASIS]],Listas!$R$2:$S$8,2,0)</f>
        <v>ENFASIS EN GEOMATICA</v>
      </c>
      <c r="F126" s="384">
        <f>VLOOKUP(A126,'ESTADOS ESTUDIANTES'!B:L,8,0)</f>
        <v>0</v>
      </c>
      <c r="G126" s="384" t="str">
        <f>VLOOKUP(A126,'ESTADOS ESTUDIANTES'!B:L,9,0)</f>
        <v>aliriomri@gmail.com</v>
      </c>
      <c r="H126" s="384" t="str">
        <f>VLOOKUP(A126,'ESTADOS ESTUDIANTES'!B:L,5,0)</f>
        <v>X</v>
      </c>
      <c r="I126" s="384" t="str">
        <f>VLOOKUP(Tabla8[[#This Row],[CODIGO]],'ESTADOS ESTUDIANTES'!B:M,12,0)</f>
        <v>2022-1</v>
      </c>
      <c r="J126" s="331"/>
      <c r="K126" s="331"/>
      <c r="L126" s="331"/>
      <c r="M126" s="331"/>
      <c r="N126" s="330"/>
      <c r="O126" s="331"/>
      <c r="P126" s="331"/>
      <c r="Q126" s="331"/>
      <c r="R126" s="385"/>
      <c r="S126" s="385" t="str">
        <f>IF(Tabla8[[#This Row],[FECHA DE ACEPTACION DEL GRUP. INV.]]="","",DATE(YEAR(Tabla8[[#This Row],[FECHA DE ACEPTACION DEL GRUP. INV.]])+2,MONTH(Tabla8[[#This Row],[FECHA DE ACEPTACION DEL GRUP. INV.]]),DAY(Tabla8[[#This Row],[FECHA DE ACEPTACION DEL GRUP. INV.]])))</f>
        <v/>
      </c>
      <c r="T126" s="385" t="str">
        <f ca="1">IF(Tabla8[[#This Row],[FECHA DE ACEPTACION DEL GRUP. INV.]]="","",IF(Tabla8[[#This Row],[FECHA DE VENCIMIENTO ANTE PROYECTO]]&lt;TODAY(),"SÍ","NO"))</f>
        <v/>
      </c>
      <c r="U126" s="385"/>
      <c r="V126" s="386"/>
      <c r="W126" s="386"/>
      <c r="X126" s="385"/>
      <c r="Y126" s="330"/>
      <c r="Z126" s="387"/>
      <c r="AA126" s="330"/>
      <c r="AB126" s="387"/>
      <c r="AC126" s="390"/>
      <c r="AD126" s="330"/>
      <c r="AE126" s="331"/>
      <c r="AF126" s="330"/>
      <c r="AG126" s="331"/>
      <c r="AH126" s="330"/>
      <c r="AI126" s="330"/>
      <c r="AJ126" s="383"/>
      <c r="AK126" s="383"/>
      <c r="AL126" s="331"/>
      <c r="AM126" s="331"/>
      <c r="AN126" s="330"/>
      <c r="AO126" s="330"/>
      <c r="AP126" s="383"/>
      <c r="AQ126" s="383"/>
      <c r="AR126" s="331"/>
      <c r="AS126" s="330"/>
      <c r="AT126" s="386" t="str">
        <f t="shared" si="8"/>
        <v/>
      </c>
      <c r="AU126" s="331"/>
      <c r="AV126" s="331"/>
      <c r="AW126" s="331"/>
      <c r="AX126" s="331"/>
      <c r="AY126" s="386" t="str">
        <f>IFERROR(VLOOKUP(AX126,Listas!K251:K258,2,0),"")</f>
        <v/>
      </c>
      <c r="AZ126" s="388"/>
      <c r="BA126" s="331"/>
      <c r="BB126" s="331"/>
      <c r="BC126" s="395" t="str">
        <f t="shared" si="9"/>
        <v/>
      </c>
    </row>
    <row r="127" spans="1:55">
      <c r="A127" s="383">
        <v>20221395007</v>
      </c>
      <c r="B127" s="384" t="str">
        <f>VLOOKUP(A127,'ESTADOS ESTUDIANTES'!B:L,2,0)</f>
        <v>PULIDO CASTILLO DIEGO MAURICIO</v>
      </c>
      <c r="C127" s="384">
        <f>VLOOKUP(A127,'ESTADOS ESTUDIANTES'!B:L,11,0)</f>
        <v>1136882132</v>
      </c>
      <c r="D127" s="384">
        <f>VLOOKUP(A127,'ESTADOS ESTUDIANTES'!B:L,3,0)</f>
        <v>395</v>
      </c>
      <c r="E127" s="384" t="str">
        <f>VLOOKUP(Tabla8[[#This Row],[ENFASIS]],Listas!$R$2:$S$8,2,0)</f>
        <v>ENFASIS EN GEOMATICA</v>
      </c>
      <c r="F127" s="384">
        <f>VLOOKUP(A127,'ESTADOS ESTUDIANTES'!B:L,8,0)</f>
        <v>0</v>
      </c>
      <c r="G127" s="384" t="str">
        <f>VLOOKUP(A127,'ESTADOS ESTUDIANTES'!B:L,9,0)</f>
        <v>dmpulidoc@correo.udistrital.edu.co</v>
      </c>
      <c r="H127" s="384" t="str">
        <f>VLOOKUP(A127,'ESTADOS ESTUDIANTES'!B:L,5,0)</f>
        <v>N</v>
      </c>
      <c r="I127" s="384" t="str">
        <f>VLOOKUP(Tabla8[[#This Row],[CODIGO]],'ESTADOS ESTUDIANTES'!B:M,12,0)</f>
        <v>-</v>
      </c>
      <c r="J127" s="331"/>
      <c r="K127" s="331"/>
      <c r="L127" s="331"/>
      <c r="M127" s="331"/>
      <c r="N127" s="330"/>
      <c r="O127" s="331"/>
      <c r="P127" s="331"/>
      <c r="Q127" s="331"/>
      <c r="R127" s="385"/>
      <c r="S127" s="385" t="str">
        <f>IF(Tabla8[[#This Row],[FECHA DE ACEPTACION DEL GRUP. INV.]]="","",DATE(YEAR(Tabla8[[#This Row],[FECHA DE ACEPTACION DEL GRUP. INV.]])+2,MONTH(Tabla8[[#This Row],[FECHA DE ACEPTACION DEL GRUP. INV.]]),DAY(Tabla8[[#This Row],[FECHA DE ACEPTACION DEL GRUP. INV.]])))</f>
        <v/>
      </c>
      <c r="T127" s="385" t="str">
        <f ca="1">IF(Tabla8[[#This Row],[FECHA DE ACEPTACION DEL GRUP. INV.]]="","",IF(Tabla8[[#This Row],[FECHA DE VENCIMIENTO ANTE PROYECTO]]&lt;TODAY(),"SÍ","NO"))</f>
        <v/>
      </c>
      <c r="U127" s="385"/>
      <c r="V127" s="386"/>
      <c r="W127" s="386"/>
      <c r="X127" s="385"/>
      <c r="Y127" s="330"/>
      <c r="Z127" s="387"/>
      <c r="AA127" s="330"/>
      <c r="AB127" s="387"/>
      <c r="AC127" s="390"/>
      <c r="AD127" s="330"/>
      <c r="AE127" s="331"/>
      <c r="AF127" s="330"/>
      <c r="AG127" s="331"/>
      <c r="AH127" s="330"/>
      <c r="AI127" s="330"/>
      <c r="AJ127" s="383"/>
      <c r="AK127" s="383"/>
      <c r="AL127" s="331"/>
      <c r="AM127" s="331"/>
      <c r="AN127" s="330"/>
      <c r="AO127" s="330"/>
      <c r="AP127" s="383"/>
      <c r="AQ127" s="383"/>
      <c r="AR127" s="331"/>
      <c r="AS127" s="330"/>
      <c r="AT127" s="386" t="str">
        <f t="shared" si="8"/>
        <v/>
      </c>
      <c r="AU127" s="331"/>
      <c r="AV127" s="331"/>
      <c r="AW127" s="331"/>
      <c r="AX127" s="331"/>
      <c r="AY127" s="386" t="str">
        <f>IFERROR(VLOOKUP(AX127,Listas!K252:K259,2,0),"")</f>
        <v/>
      </c>
      <c r="AZ127" s="388"/>
      <c r="BA127" s="331"/>
      <c r="BB127" s="331"/>
      <c r="BC127" s="395" t="str">
        <f t="shared" si="9"/>
        <v/>
      </c>
    </row>
    <row r="128" spans="1:55">
      <c r="A128" s="383">
        <v>20221395008</v>
      </c>
      <c r="B128" s="384" t="str">
        <f>VLOOKUP(A128,'ESTADOS ESTUDIANTES'!B:L,2,0)</f>
        <v>RODRIGUEZ LAYTON DANIEL MIGUEL</v>
      </c>
      <c r="C128" s="384">
        <f>VLOOKUP(A128,'ESTADOS ESTUDIANTES'!B:L,11,0)</f>
        <v>1016031602</v>
      </c>
      <c r="D128" s="384">
        <f>VLOOKUP(A128,'ESTADOS ESTUDIANTES'!B:L,3,0)</f>
        <v>395</v>
      </c>
      <c r="E128" s="384" t="str">
        <f>VLOOKUP(Tabla8[[#This Row],[ENFASIS]],Listas!$R$2:$S$8,2,0)</f>
        <v>ENFASIS EN GEOMATICA</v>
      </c>
      <c r="F128" s="384">
        <f>VLOOKUP(A128,'ESTADOS ESTUDIANTES'!B:L,8,0)</f>
        <v>0</v>
      </c>
      <c r="G128" s="384" t="str">
        <f>VLOOKUP(A128,'ESTADOS ESTUDIANTES'!B:L,9,0)</f>
        <v>dmrodriguezl@correo.udistrital.edu.co</v>
      </c>
      <c r="H128" s="384" t="str">
        <f>VLOOKUP(A128,'ESTADOS ESTUDIANTES'!B:L,5,0)</f>
        <v>N</v>
      </c>
      <c r="I128" s="384" t="str">
        <f>VLOOKUP(Tabla8[[#This Row],[CODIGO]],'ESTADOS ESTUDIANTES'!B:M,12,0)</f>
        <v>-</v>
      </c>
      <c r="J128" s="331"/>
      <c r="K128" s="331"/>
      <c r="L128" s="331"/>
      <c r="M128" s="331"/>
      <c r="N128" s="330"/>
      <c r="O128" s="331"/>
      <c r="P128" s="331"/>
      <c r="Q128" s="331"/>
      <c r="R128" s="385"/>
      <c r="S128" s="385" t="str">
        <f>IF(Tabla8[[#This Row],[FECHA DE ACEPTACION DEL GRUP. INV.]]="","",DATE(YEAR(Tabla8[[#This Row],[FECHA DE ACEPTACION DEL GRUP. INV.]])+2,MONTH(Tabla8[[#This Row],[FECHA DE ACEPTACION DEL GRUP. INV.]]),DAY(Tabla8[[#This Row],[FECHA DE ACEPTACION DEL GRUP. INV.]])))</f>
        <v/>
      </c>
      <c r="T128" s="385" t="str">
        <f ca="1">IF(Tabla8[[#This Row],[FECHA DE ACEPTACION DEL GRUP. INV.]]="","",IF(Tabla8[[#This Row],[FECHA DE VENCIMIENTO ANTE PROYECTO]]&lt;TODAY(),"SÍ","NO"))</f>
        <v/>
      </c>
      <c r="U128" s="385"/>
      <c r="V128" s="386"/>
      <c r="W128" s="386"/>
      <c r="X128" s="385"/>
      <c r="Y128" s="330"/>
      <c r="Z128" s="387"/>
      <c r="AA128" s="330"/>
      <c r="AB128" s="387"/>
      <c r="AC128" s="390"/>
      <c r="AD128" s="330"/>
      <c r="AE128" s="331"/>
      <c r="AF128" s="330"/>
      <c r="AG128" s="331"/>
      <c r="AH128" s="330"/>
      <c r="AI128" s="330"/>
      <c r="AJ128" s="383"/>
      <c r="AK128" s="383"/>
      <c r="AL128" s="331"/>
      <c r="AM128" s="331"/>
      <c r="AN128" s="330"/>
      <c r="AO128" s="330"/>
      <c r="AP128" s="383"/>
      <c r="AQ128" s="383"/>
      <c r="AR128" s="331"/>
      <c r="AS128" s="330"/>
      <c r="AT128" s="386" t="str">
        <f t="shared" si="8"/>
        <v/>
      </c>
      <c r="AU128" s="331"/>
      <c r="AV128" s="331"/>
      <c r="AW128" s="331"/>
      <c r="AX128" s="331"/>
      <c r="AY128" s="386" t="str">
        <f>IFERROR(VLOOKUP(AX128,Listas!K253:K260,2,0),"")</f>
        <v/>
      </c>
      <c r="AZ128" s="388"/>
      <c r="BA128" s="331"/>
      <c r="BB128" s="331"/>
      <c r="BC128" s="395" t="str">
        <f t="shared" si="9"/>
        <v/>
      </c>
    </row>
    <row r="129" spans="1:55">
      <c r="A129" s="383">
        <v>20221495001</v>
      </c>
      <c r="B129" s="384" t="str">
        <f>VLOOKUP(A129,'ESTADOS ESTUDIANTES'!B:L,2,0)</f>
        <v>AREVALO SAAVEDRA DANELLY DESIREE</v>
      </c>
      <c r="C129" s="384">
        <f>VLOOKUP(A129,'ESTADOS ESTUDIANTES'!B:L,11,0)</f>
        <v>40215192</v>
      </c>
      <c r="D129" s="384">
        <f>VLOOKUP(A129,'ESTADOS ESTUDIANTES'!B:L,3,0)</f>
        <v>495</v>
      </c>
      <c r="E129" s="384" t="str">
        <f>VLOOKUP(Tabla8[[#This Row],[ENFASIS]],Listas!$R$2:$S$8,2,0)</f>
        <v>ENFASIS EN ING. SOFT</v>
      </c>
      <c r="F129" s="384">
        <f>VLOOKUP(A129,'ESTADOS ESTUDIANTES'!B:L,8,0)</f>
        <v>0</v>
      </c>
      <c r="G129" s="384" t="str">
        <f>VLOOKUP(A129,'ESTADOS ESTUDIANTES'!B:L,9,0)</f>
        <v>darevalo@gmail.com</v>
      </c>
      <c r="H129" s="384" t="str">
        <f>VLOOKUP(A129,'ESTADOS ESTUDIANTES'!B:L,5,0)</f>
        <v>I</v>
      </c>
      <c r="I129" s="384" t="str">
        <f>VLOOKUP(Tabla8[[#This Row],[CODIGO]],'ESTADOS ESTUDIANTES'!B:M,12,0)</f>
        <v>-</v>
      </c>
      <c r="J129" s="331"/>
      <c r="K129" s="331"/>
      <c r="L129" s="331"/>
      <c r="M129" s="331"/>
      <c r="N129" s="330"/>
      <c r="O129" s="331"/>
      <c r="P129" s="331"/>
      <c r="Q129" s="331"/>
      <c r="R129" s="385"/>
      <c r="S129" s="385" t="str">
        <f>IF(Tabla8[[#This Row],[FECHA DE ACEPTACION DEL GRUP. INV.]]="","",DATE(YEAR(Tabla8[[#This Row],[FECHA DE ACEPTACION DEL GRUP. INV.]])+2,MONTH(Tabla8[[#This Row],[FECHA DE ACEPTACION DEL GRUP. INV.]]),DAY(Tabla8[[#This Row],[FECHA DE ACEPTACION DEL GRUP. INV.]])))</f>
        <v/>
      </c>
      <c r="T129" s="385" t="str">
        <f ca="1">IF(Tabla8[[#This Row],[FECHA DE ACEPTACION DEL GRUP. INV.]]="","",IF(Tabla8[[#This Row],[FECHA DE VENCIMIENTO ANTE PROYECTO]]&lt;TODAY(),"SÍ","NO"))</f>
        <v/>
      </c>
      <c r="U129" s="385"/>
      <c r="V129" s="386"/>
      <c r="W129" s="386"/>
      <c r="X129" s="385" t="s">
        <v>424</v>
      </c>
      <c r="Y129" s="330"/>
      <c r="Z129" s="387"/>
      <c r="AA129" s="330"/>
      <c r="AB129" s="387"/>
      <c r="AC129" s="390"/>
      <c r="AD129" s="330"/>
      <c r="AE129" s="331"/>
      <c r="AF129" s="330"/>
      <c r="AG129" s="331"/>
      <c r="AH129" s="330"/>
      <c r="AI129" s="330"/>
      <c r="AJ129" s="383"/>
      <c r="AK129" s="383"/>
      <c r="AL129" s="331"/>
      <c r="AM129" s="331"/>
      <c r="AN129" s="330"/>
      <c r="AO129" s="330"/>
      <c r="AP129" s="383"/>
      <c r="AQ129" s="383"/>
      <c r="AR129" s="331"/>
      <c r="AS129" s="330"/>
      <c r="AT129" s="386" t="str">
        <f t="shared" si="8"/>
        <v/>
      </c>
      <c r="AU129" s="331"/>
      <c r="AV129" s="331"/>
      <c r="AW129" s="331"/>
      <c r="AX129" s="331"/>
      <c r="AY129" s="386" t="str">
        <f>IFERROR(VLOOKUP(AX129,Listas!K256:K263,2,0),"")</f>
        <v/>
      </c>
      <c r="AZ129" s="388"/>
      <c r="BA129" s="331"/>
      <c r="BB129" s="331"/>
      <c r="BC129" s="395" t="str">
        <f t="shared" si="9"/>
        <v/>
      </c>
    </row>
    <row r="130" spans="1:55" s="698" customFormat="1">
      <c r="A130" s="688"/>
      <c r="B130" s="689" t="e">
        <f>VLOOKUP(A130,'ESTADOS ESTUDIANTES'!B:L,2,0)</f>
        <v>#N/A</v>
      </c>
      <c r="C130" s="689" t="e">
        <f>VLOOKUP(A130,'ESTADOS ESTUDIANTES'!B:L,11,0)</f>
        <v>#N/A</v>
      </c>
      <c r="D130" s="689" t="e">
        <f>VLOOKUP(A130,'ESTADOS ESTUDIANTES'!B:L,3,0)</f>
        <v>#N/A</v>
      </c>
      <c r="E130" s="689" t="e">
        <f>VLOOKUP(Tabla8[[#This Row],[ENFASIS]],Listas!$R$2:$S$8,2,0)</f>
        <v>#N/A</v>
      </c>
      <c r="F130" s="689" t="e">
        <f>VLOOKUP(A130,'ESTADOS ESTUDIANTES'!B:L,8,0)</f>
        <v>#N/A</v>
      </c>
      <c r="G130" s="689" t="e">
        <f>VLOOKUP(A130,'ESTADOS ESTUDIANTES'!B:L,9,0)</f>
        <v>#N/A</v>
      </c>
      <c r="H130" s="689" t="e">
        <f>VLOOKUP(A130,'ESTADOS ESTUDIANTES'!B:L,5,0)</f>
        <v>#N/A</v>
      </c>
      <c r="I130" s="689" t="e">
        <f>VLOOKUP(Tabla8[[#This Row],[CODIGO]],'ESTADOS ESTUDIANTES'!B:M,12,0)</f>
        <v>#N/A</v>
      </c>
      <c r="J130" s="690"/>
      <c r="K130" s="690"/>
      <c r="L130" s="690"/>
      <c r="M130" s="691"/>
      <c r="N130" s="692"/>
      <c r="O130" s="690"/>
      <c r="P130" s="690"/>
      <c r="Q130" s="690"/>
      <c r="R130" s="693"/>
      <c r="S130" s="693" t="str">
        <f>IF(Tabla8[[#This Row],[FECHA DE ACEPTACION DEL GRUP. INV.]]="","",DATE(YEAR(Tabla8[[#This Row],[FECHA DE ACEPTACION DEL GRUP. INV.]])+2,MONTH(Tabla8[[#This Row],[FECHA DE ACEPTACION DEL GRUP. INV.]]),DAY(Tabla8[[#This Row],[FECHA DE ACEPTACION DEL GRUP. INV.]])))</f>
        <v/>
      </c>
      <c r="T130" s="693" t="str">
        <f ca="1">IF(Tabla8[[#This Row],[FECHA DE ACEPTACION DEL GRUP. INV.]]="","",IF(Tabla8[[#This Row],[FECHA DE VENCIMIENTO ANTE PROYECTO]]&lt;TODAY(),"SÍ","NO"))</f>
        <v/>
      </c>
      <c r="U130" s="693"/>
      <c r="V130" s="694"/>
      <c r="W130" s="694"/>
      <c r="X130" s="693"/>
      <c r="Y130" s="692"/>
      <c r="Z130" s="695"/>
      <c r="AA130" s="692"/>
      <c r="AB130" s="695"/>
      <c r="AC130" s="690"/>
      <c r="AD130" s="692"/>
      <c r="AE130" s="690"/>
      <c r="AF130" s="692"/>
      <c r="AG130" s="690"/>
      <c r="AH130" s="692"/>
      <c r="AI130" s="692"/>
      <c r="AJ130" s="688"/>
      <c r="AK130" s="688"/>
      <c r="AL130" s="690"/>
      <c r="AM130" s="690"/>
      <c r="AN130" s="692"/>
      <c r="AO130" s="692"/>
      <c r="AP130" s="688"/>
      <c r="AQ130" s="688"/>
      <c r="AR130" s="690"/>
      <c r="AS130" s="692"/>
      <c r="AT130" s="694" t="str">
        <f>IFERROR(ROUND(AVERAGE(AQ130,AP130,AK130,AJ130),0),"")</f>
        <v/>
      </c>
      <c r="AU130" s="690"/>
      <c r="AV130" s="690"/>
      <c r="AW130" s="690"/>
      <c r="AX130" s="690"/>
      <c r="AY130" s="694"/>
      <c r="AZ130" s="696"/>
      <c r="BA130" s="690"/>
      <c r="BB130" s="690"/>
      <c r="BC130" s="697" t="e">
        <f>IF(OR(H130="A",$H130="D",$H130="P",$H130="V"),L130,"")</f>
        <v>#N/A</v>
      </c>
    </row>
    <row r="131" spans="1:55" s="264" customFormat="1" ht="63">
      <c r="A131" s="669">
        <v>20221495003</v>
      </c>
      <c r="B131" s="670" t="str">
        <f>VLOOKUP(A131,'ESTADOS ESTUDIANTES'!B:L,2,0)</f>
        <v>CAÑON ESQUIVEL JOSE DARIO</v>
      </c>
      <c r="C131" s="670">
        <f>VLOOKUP(A131,'ESTADOS ESTUDIANTES'!B:L,11,0)</f>
        <v>1024502937</v>
      </c>
      <c r="D131" s="670">
        <f>VLOOKUP(A131,'ESTADOS ESTUDIANTES'!B:L,3,0)</f>
        <v>495</v>
      </c>
      <c r="E131" s="670" t="str">
        <f>VLOOKUP(Tabla8[[#This Row],[ENFASIS]],Listas!$R$2:$S$8,2,0)</f>
        <v>ENFASIS EN ING. SOFT</v>
      </c>
      <c r="F131" s="670" t="str">
        <f>VLOOKUP(A131,'ESTADOS ESTUDIANTES'!B:L,8,0)</f>
        <v>jdcanone@udistrital.edu.co</v>
      </c>
      <c r="G131" s="670" t="str">
        <f>VLOOKUP(A131,'ESTADOS ESTUDIANTES'!B:L,9,0)</f>
        <v>canonesquivel@hotmail.com</v>
      </c>
      <c r="H131" s="670" t="str">
        <f>VLOOKUP(A131,'ESTADOS ESTUDIANTES'!B:L,5,0)</f>
        <v>A</v>
      </c>
      <c r="I131" s="670" t="str">
        <f>VLOOKUP(Tabla8[[#This Row],[CODIGO]],'ESTADOS ESTUDIANTES'!B:M,12,0)</f>
        <v>2026-3</v>
      </c>
      <c r="J131" s="665" t="s">
        <v>46</v>
      </c>
      <c r="K131" s="665" t="s">
        <v>927</v>
      </c>
      <c r="L131" s="665" t="s">
        <v>292</v>
      </c>
      <c r="M131" s="666"/>
      <c r="N131" s="667">
        <v>45950</v>
      </c>
      <c r="O131" s="670">
        <v>2025</v>
      </c>
      <c r="P131" s="665" t="s">
        <v>115</v>
      </c>
      <c r="Q131" s="665" t="s">
        <v>292</v>
      </c>
      <c r="R131" s="668">
        <v>45950</v>
      </c>
      <c r="S131" s="668">
        <f>IF(Tabla8[[#This Row],[FECHA DE ACEPTACION DEL GRUP. INV.]]="","",DATE(YEAR(Tabla8[[#This Row],[FECHA DE ACEPTACION DEL GRUP. INV.]])+2,MONTH(Tabla8[[#This Row],[FECHA DE ACEPTACION DEL GRUP. INV.]]),DAY(Tabla8[[#This Row],[FECHA DE ACEPTACION DEL GRUP. INV.]])))</f>
        <v>46680</v>
      </c>
      <c r="T131" s="668" t="str">
        <f ca="1">IF(Tabla8[[#This Row],[FECHA DE ACEPTACION DEL GRUP. INV.]]="","",IF(Tabla8[[#This Row],[FECHA DE VENCIMIENTO ANTE PROYECTO]]&lt;TODAY(),"SÍ","NO"))</f>
        <v>NO</v>
      </c>
      <c r="U131" s="668"/>
      <c r="V131" s="240" t="s">
        <v>907</v>
      </c>
      <c r="W131" s="240"/>
      <c r="X131" s="668" t="s">
        <v>424</v>
      </c>
      <c r="Y131" s="241"/>
      <c r="Z131" s="243"/>
      <c r="AA131" s="241">
        <v>45323</v>
      </c>
      <c r="AB131" s="243">
        <v>89</v>
      </c>
      <c r="AC131" s="238" t="s">
        <v>79</v>
      </c>
      <c r="AD131" s="241"/>
      <c r="AE131" s="238"/>
      <c r="AF131" s="241"/>
      <c r="AG131" s="238"/>
      <c r="AH131" s="241"/>
      <c r="AI131" s="241"/>
      <c r="AJ131" s="244"/>
      <c r="AK131" s="244"/>
      <c r="AL131" s="238"/>
      <c r="AM131" s="238"/>
      <c r="AN131" s="241"/>
      <c r="AO131" s="241"/>
      <c r="AP131" s="244"/>
      <c r="AQ131" s="244"/>
      <c r="AR131" s="238"/>
      <c r="AS131" s="241"/>
      <c r="AT131" s="240" t="str">
        <f t="shared" si="8"/>
        <v/>
      </c>
      <c r="AU131" s="238"/>
      <c r="AV131" s="238"/>
      <c r="AW131" s="238"/>
      <c r="AX131" s="238"/>
      <c r="AY131" s="240" t="str">
        <f>IFERROR(VLOOKUP(AX131,Listas!K258:K265,2,0),"")</f>
        <v/>
      </c>
      <c r="AZ131" s="381"/>
      <c r="BA131" s="238"/>
      <c r="BB131" s="238"/>
      <c r="BC131" s="245" t="str">
        <f t="shared" si="9"/>
        <v>Lilia Edith Aparicio Pico</v>
      </c>
    </row>
    <row r="132" spans="1:55">
      <c r="A132" s="383">
        <v>20221495004</v>
      </c>
      <c r="B132" s="384" t="str">
        <f>VLOOKUP(A132,'ESTADOS ESTUDIANTES'!B:L,2,0)</f>
        <v>CORTES SANCHEZ ISIDRO FRANCISCO</v>
      </c>
      <c r="C132" s="384">
        <f>VLOOKUP(A132,'ESTADOS ESTUDIANTES'!B:L,11,0)</f>
        <v>80085326</v>
      </c>
      <c r="D132" s="384">
        <f>VLOOKUP(A132,'ESTADOS ESTUDIANTES'!B:L,3,0)</f>
        <v>495</v>
      </c>
      <c r="E132" s="384" t="str">
        <f>VLOOKUP(Tabla8[[#This Row],[ENFASIS]],Listas!$R$2:$S$8,2,0)</f>
        <v>ENFASIS EN ING. SOFT</v>
      </c>
      <c r="F132" s="384">
        <f>VLOOKUP(A132,'ESTADOS ESTUDIANTES'!B:L,8,0)</f>
        <v>0</v>
      </c>
      <c r="G132" s="384" t="str">
        <f>VLOOKUP(A132,'ESTADOS ESTUDIANTES'!B:L,9,0)</f>
        <v>cortes.franck@gmail.com</v>
      </c>
      <c r="H132" s="384" t="str">
        <f>VLOOKUP(A132,'ESTADOS ESTUDIANTES'!B:L,5,0)</f>
        <v>I</v>
      </c>
      <c r="I132" s="384" t="str">
        <f>VLOOKUP(Tabla8[[#This Row],[CODIGO]],'ESTADOS ESTUDIANTES'!B:M,12,0)</f>
        <v>-</v>
      </c>
      <c r="J132" s="331"/>
      <c r="K132" s="331"/>
      <c r="L132" s="331"/>
      <c r="M132" s="331"/>
      <c r="N132" s="330"/>
      <c r="O132" s="331"/>
      <c r="P132" s="331"/>
      <c r="Q132" s="331"/>
      <c r="R132" s="385"/>
      <c r="S132" s="385" t="str">
        <f>IF(Tabla8[[#This Row],[FECHA DE ACEPTACION DEL GRUP. INV.]]="","",DATE(YEAR(Tabla8[[#This Row],[FECHA DE ACEPTACION DEL GRUP. INV.]])+2,MONTH(Tabla8[[#This Row],[FECHA DE ACEPTACION DEL GRUP. INV.]]),DAY(Tabla8[[#This Row],[FECHA DE ACEPTACION DEL GRUP. INV.]])))</f>
        <v/>
      </c>
      <c r="T132" s="385" t="str">
        <f ca="1">IF(Tabla8[[#This Row],[FECHA DE ACEPTACION DEL GRUP. INV.]]="","",IF(Tabla8[[#This Row],[FECHA DE VENCIMIENTO ANTE PROYECTO]]&lt;TODAY(),"SÍ","NO"))</f>
        <v/>
      </c>
      <c r="U132" s="385"/>
      <c r="V132" s="386"/>
      <c r="W132" s="386"/>
      <c r="X132" s="385" t="s">
        <v>424</v>
      </c>
      <c r="Y132" s="330"/>
      <c r="Z132" s="387"/>
      <c r="AA132" s="330"/>
      <c r="AB132" s="387"/>
      <c r="AC132" s="390"/>
      <c r="AD132" s="330"/>
      <c r="AE132" s="331"/>
      <c r="AF132" s="330"/>
      <c r="AG132" s="331"/>
      <c r="AH132" s="330"/>
      <c r="AI132" s="330"/>
      <c r="AJ132" s="383"/>
      <c r="AK132" s="383"/>
      <c r="AL132" s="331"/>
      <c r="AM132" s="331"/>
      <c r="AN132" s="330"/>
      <c r="AO132" s="330"/>
      <c r="AP132" s="383"/>
      <c r="AQ132" s="383"/>
      <c r="AR132" s="331"/>
      <c r="AS132" s="330"/>
      <c r="AT132" s="386" t="str">
        <f t="shared" si="8"/>
        <v/>
      </c>
      <c r="AU132" s="331"/>
      <c r="AV132" s="331"/>
      <c r="AW132" s="331"/>
      <c r="AX132" s="331"/>
      <c r="AY132" s="386" t="str">
        <f>IFERROR(VLOOKUP(AX132,Listas!K259:K266,2,0),"")</f>
        <v/>
      </c>
      <c r="AZ132" s="388"/>
      <c r="BA132" s="331"/>
      <c r="BB132" s="331"/>
      <c r="BC132" s="395" t="str">
        <f t="shared" si="9"/>
        <v/>
      </c>
    </row>
    <row r="133" spans="1:55" s="264" customFormat="1" ht="47.25">
      <c r="A133" s="244">
        <v>20221495005</v>
      </c>
      <c r="B133" s="239" t="str">
        <f>VLOOKUP(A133,'ESTADOS ESTUDIANTES'!B:L,2,0)</f>
        <v>FORERO CASTRO DIEGO DANIEL</v>
      </c>
      <c r="C133" s="239">
        <f>VLOOKUP(A133,'ESTADOS ESTUDIANTES'!B:L,11,0)</f>
        <v>1010219920</v>
      </c>
      <c r="D133" s="239">
        <f>VLOOKUP(A133,'ESTADOS ESTUDIANTES'!B:L,3,0)</f>
        <v>495</v>
      </c>
      <c r="E133" s="239" t="str">
        <f>VLOOKUP(Tabla8[[#This Row],[ENFASIS]],Listas!$R$2:$S$8,2,0)</f>
        <v>ENFASIS EN ING. SOFT</v>
      </c>
      <c r="F133" s="239" t="str">
        <f>VLOOKUP(A133,'ESTADOS ESTUDIANTES'!B:L,8,0)</f>
        <v>ddforeroc@udistrital.edu.co</v>
      </c>
      <c r="G133" s="239" t="str">
        <f>VLOOKUP(A133,'ESTADOS ESTUDIANTES'!B:L,9,0)</f>
        <v>ddforeroc@gmail.com</v>
      </c>
      <c r="H133" s="239" t="str">
        <f>VLOOKUP(A133,'ESTADOS ESTUDIANTES'!B:L,5,0)</f>
        <v>E</v>
      </c>
      <c r="I133" s="239" t="str">
        <f>VLOOKUP(Tabla8[[#This Row],[CODIGO]],'ESTADOS ESTUDIANTES'!B:M,12,0)</f>
        <v>2026-1</v>
      </c>
      <c r="J133" s="240" t="s">
        <v>46</v>
      </c>
      <c r="K133" s="240" t="s">
        <v>928</v>
      </c>
      <c r="L133" s="240" t="s">
        <v>929</v>
      </c>
      <c r="M133" s="238"/>
      <c r="N133" s="241">
        <v>44718</v>
      </c>
      <c r="O133" s="239">
        <v>2022</v>
      </c>
      <c r="P133" s="240" t="s">
        <v>153</v>
      </c>
      <c r="Q133" s="240" t="s">
        <v>930</v>
      </c>
      <c r="R133" s="242"/>
      <c r="S133" s="242" t="str">
        <f>IF(Tabla8[[#This Row],[FECHA DE ACEPTACION DEL GRUP. INV.]]="","",DATE(YEAR(Tabla8[[#This Row],[FECHA DE ACEPTACION DEL GRUP. INV.]])+2,MONTH(Tabla8[[#This Row],[FECHA DE ACEPTACION DEL GRUP. INV.]]),DAY(Tabla8[[#This Row],[FECHA DE ACEPTACION DEL GRUP. INV.]])))</f>
        <v/>
      </c>
      <c r="T133" s="242" t="str">
        <f ca="1">IF(Tabla8[[#This Row],[FECHA DE ACEPTACION DEL GRUP. INV.]]="","",IF(Tabla8[[#This Row],[FECHA DE VENCIMIENTO ANTE PROYECTO]]&lt;TODAY(),"SÍ","NO"))</f>
        <v/>
      </c>
      <c r="U133" s="242"/>
      <c r="V133" s="240"/>
      <c r="W133" s="240"/>
      <c r="X133" s="242" t="s">
        <v>424</v>
      </c>
      <c r="Y133" s="241"/>
      <c r="Z133" s="243"/>
      <c r="AA133" s="241">
        <v>45870</v>
      </c>
      <c r="AB133" s="243">
        <v>80</v>
      </c>
      <c r="AC133" s="238" t="s">
        <v>79</v>
      </c>
      <c r="AD133" s="241"/>
      <c r="AE133" s="238"/>
      <c r="AF133" s="241"/>
      <c r="AG133" s="238"/>
      <c r="AH133" s="241"/>
      <c r="AI133" s="241"/>
      <c r="AJ133" s="244"/>
      <c r="AK133" s="244"/>
      <c r="AL133" s="238"/>
      <c r="AM133" s="238"/>
      <c r="AN133" s="241"/>
      <c r="AO133" s="241"/>
      <c r="AP133" s="244"/>
      <c r="AQ133" s="244"/>
      <c r="AR133" s="238"/>
      <c r="AS133" s="241"/>
      <c r="AT133" s="240" t="str">
        <f t="shared" si="8"/>
        <v/>
      </c>
      <c r="AU133" s="238"/>
      <c r="AV133" s="238"/>
      <c r="AW133" s="238"/>
      <c r="AX133" s="238"/>
      <c r="AY133" s="240" t="str">
        <f>IFERROR(VLOOKUP(AX133,Listas!K260:K267,2,0),"")</f>
        <v/>
      </c>
      <c r="AZ133" s="381"/>
      <c r="BA133" s="238"/>
      <c r="BB133" s="238"/>
      <c r="BC133" s="245" t="str">
        <f t="shared" si="9"/>
        <v/>
      </c>
    </row>
    <row r="134" spans="1:55">
      <c r="A134" s="383">
        <v>20221495007</v>
      </c>
      <c r="B134" s="384" t="str">
        <f>VLOOKUP(A134,'ESTADOS ESTUDIANTES'!B:L,2,0)</f>
        <v>OVIES PULIDO DOUGLAS ROLANDO</v>
      </c>
      <c r="C134" s="384">
        <f>VLOOKUP(A134,'ESTADOS ESTUDIANTES'!B:L,11,0)</f>
        <v>79707916</v>
      </c>
      <c r="D134" s="384">
        <f>VLOOKUP(A134,'ESTADOS ESTUDIANTES'!B:L,3,0)</f>
        <v>495</v>
      </c>
      <c r="E134" s="384" t="str">
        <f>VLOOKUP(Tabla8[[#This Row],[ENFASIS]],Listas!$R$2:$S$8,2,0)</f>
        <v>ENFASIS EN ING. SOFT</v>
      </c>
      <c r="F134" s="384">
        <f>VLOOKUP(A134,'ESTADOS ESTUDIANTES'!B:L,8,0)</f>
        <v>0</v>
      </c>
      <c r="G134" s="384" t="str">
        <f>VLOOKUP(A134,'ESTADOS ESTUDIANTES'!B:L,9,0)</f>
        <v>dovies@hotmail.com</v>
      </c>
      <c r="H134" s="384" t="str">
        <f>VLOOKUP(A134,'ESTADOS ESTUDIANTES'!B:L,5,0)</f>
        <v>I</v>
      </c>
      <c r="I134" s="384" t="str">
        <f>VLOOKUP(Tabla8[[#This Row],[CODIGO]],'ESTADOS ESTUDIANTES'!B:M,12,0)</f>
        <v>-</v>
      </c>
      <c r="J134" s="331"/>
      <c r="K134" s="331"/>
      <c r="L134" s="331"/>
      <c r="M134" s="331"/>
      <c r="N134" s="330"/>
      <c r="O134" s="331"/>
      <c r="P134" s="331"/>
      <c r="Q134" s="331"/>
      <c r="R134" s="385"/>
      <c r="S134" s="385" t="str">
        <f>IF(Tabla8[[#This Row],[FECHA DE ACEPTACION DEL GRUP. INV.]]="","",DATE(YEAR(Tabla8[[#This Row],[FECHA DE ACEPTACION DEL GRUP. INV.]])+2,MONTH(Tabla8[[#This Row],[FECHA DE ACEPTACION DEL GRUP. INV.]]),DAY(Tabla8[[#This Row],[FECHA DE ACEPTACION DEL GRUP. INV.]])))</f>
        <v/>
      </c>
      <c r="T134" s="385" t="str">
        <f ca="1">IF(Tabla8[[#This Row],[FECHA DE ACEPTACION DEL GRUP. INV.]]="","",IF(Tabla8[[#This Row],[FECHA DE VENCIMIENTO ANTE PROYECTO]]&lt;TODAY(),"SÍ","NO"))</f>
        <v/>
      </c>
      <c r="U134" s="385"/>
      <c r="V134" s="386"/>
      <c r="W134" s="386"/>
      <c r="X134" s="385" t="s">
        <v>424</v>
      </c>
      <c r="Y134" s="330"/>
      <c r="Z134" s="387"/>
      <c r="AA134" s="330"/>
      <c r="AB134" s="387"/>
      <c r="AC134" s="390"/>
      <c r="AD134" s="330"/>
      <c r="AE134" s="331"/>
      <c r="AF134" s="330"/>
      <c r="AG134" s="331"/>
      <c r="AH134" s="330"/>
      <c r="AI134" s="330"/>
      <c r="AJ134" s="383"/>
      <c r="AK134" s="383"/>
      <c r="AL134" s="331"/>
      <c r="AM134" s="331"/>
      <c r="AN134" s="330"/>
      <c r="AO134" s="330"/>
      <c r="AP134" s="383"/>
      <c r="AQ134" s="383"/>
      <c r="AR134" s="331"/>
      <c r="AS134" s="330"/>
      <c r="AT134" s="386" t="str">
        <f t="shared" si="8"/>
        <v/>
      </c>
      <c r="AU134" s="331"/>
      <c r="AV134" s="331"/>
      <c r="AW134" s="331"/>
      <c r="AX134" s="331"/>
      <c r="AY134" s="386" t="str">
        <f>IFERROR(VLOOKUP(AX134,Listas!K262:K269,2,0),"")</f>
        <v/>
      </c>
      <c r="AZ134" s="388"/>
      <c r="BA134" s="331"/>
      <c r="BB134" s="331"/>
      <c r="BC134" s="395" t="str">
        <f t="shared" si="9"/>
        <v/>
      </c>
    </row>
    <row r="135" spans="1:55">
      <c r="A135" s="383">
        <v>20221495009</v>
      </c>
      <c r="B135" s="384" t="str">
        <f>VLOOKUP(A135,'ESTADOS ESTUDIANTES'!B:L,2,0)</f>
        <v>PULIDO SIERRA PEDRO MANUEL</v>
      </c>
      <c r="C135" s="384">
        <f>VLOOKUP(A135,'ESTADOS ESTUDIANTES'!B:L,11,0)</f>
        <v>1010175170</v>
      </c>
      <c r="D135" s="384">
        <f>VLOOKUP(A135,'ESTADOS ESTUDIANTES'!B:L,3,0)</f>
        <v>495</v>
      </c>
      <c r="E135" s="384" t="str">
        <f>VLOOKUP(Tabla8[[#This Row],[ENFASIS]],Listas!$R$2:$S$8,2,0)</f>
        <v>ENFASIS EN ING. SOFT</v>
      </c>
      <c r="F135" s="384">
        <f>VLOOKUP(A135,'ESTADOS ESTUDIANTES'!B:L,8,0)</f>
        <v>0</v>
      </c>
      <c r="G135" s="384" t="str">
        <f>VLOOKUP(A135,'ESTADOS ESTUDIANTES'!B:L,9,0)</f>
        <v>ing.pedropulido@gmail.com</v>
      </c>
      <c r="H135" s="384" t="str">
        <f>VLOOKUP(A135,'ESTADOS ESTUDIANTES'!B:L,5,0)</f>
        <v>I</v>
      </c>
      <c r="I135" s="384" t="str">
        <f>VLOOKUP(Tabla8[[#This Row],[CODIGO]],'ESTADOS ESTUDIANTES'!B:M,12,0)</f>
        <v>-</v>
      </c>
      <c r="J135" s="331"/>
      <c r="K135" s="331"/>
      <c r="L135" s="331"/>
      <c r="M135" s="331"/>
      <c r="N135" s="330"/>
      <c r="O135" s="331"/>
      <c r="P135" s="331"/>
      <c r="Q135" s="331"/>
      <c r="R135" s="385"/>
      <c r="S135" s="385" t="str">
        <f>IF(Tabla8[[#This Row],[FECHA DE ACEPTACION DEL GRUP. INV.]]="","",DATE(YEAR(Tabla8[[#This Row],[FECHA DE ACEPTACION DEL GRUP. INV.]])+2,MONTH(Tabla8[[#This Row],[FECHA DE ACEPTACION DEL GRUP. INV.]]),DAY(Tabla8[[#This Row],[FECHA DE ACEPTACION DEL GRUP. INV.]])))</f>
        <v/>
      </c>
      <c r="T135" s="385" t="str">
        <f ca="1">IF(Tabla8[[#This Row],[FECHA DE ACEPTACION DEL GRUP. INV.]]="","",IF(Tabla8[[#This Row],[FECHA DE VENCIMIENTO ANTE PROYECTO]]&lt;TODAY(),"SÍ","NO"))</f>
        <v/>
      </c>
      <c r="U135" s="385"/>
      <c r="V135" s="386"/>
      <c r="W135" s="386"/>
      <c r="X135" s="385" t="s">
        <v>424</v>
      </c>
      <c r="Y135" s="330"/>
      <c r="Z135" s="387"/>
      <c r="AA135" s="330"/>
      <c r="AB135" s="387"/>
      <c r="AC135" s="390"/>
      <c r="AD135" s="330"/>
      <c r="AE135" s="331"/>
      <c r="AF135" s="330"/>
      <c r="AG135" s="331"/>
      <c r="AH135" s="330"/>
      <c r="AI135" s="330"/>
      <c r="AJ135" s="383"/>
      <c r="AK135" s="383"/>
      <c r="AL135" s="331"/>
      <c r="AM135" s="331"/>
      <c r="AN135" s="330"/>
      <c r="AO135" s="330"/>
      <c r="AP135" s="383"/>
      <c r="AQ135" s="383"/>
      <c r="AR135" s="331"/>
      <c r="AS135" s="330"/>
      <c r="AT135" s="386" t="str">
        <f t="shared" si="8"/>
        <v/>
      </c>
      <c r="AU135" s="331"/>
      <c r="AV135" s="331"/>
      <c r="AW135" s="331"/>
      <c r="AX135" s="331"/>
      <c r="AY135" s="386" t="str">
        <f>IFERROR(VLOOKUP(AX135,Listas!K264:K271,2,0),"")</f>
        <v/>
      </c>
      <c r="AZ135" s="388"/>
      <c r="BA135" s="331"/>
      <c r="BB135" s="331"/>
      <c r="BC135" s="395" t="str">
        <f t="shared" si="9"/>
        <v/>
      </c>
    </row>
    <row r="136" spans="1:55" s="264" customFormat="1" ht="63">
      <c r="A136" s="244">
        <v>20221495010</v>
      </c>
      <c r="B136" s="239" t="str">
        <f>VLOOKUP(A136,'ESTADOS ESTUDIANTES'!B:L,2,0)</f>
        <v>RODRIGUEZ DAZA NICOLAS</v>
      </c>
      <c r="C136" s="239">
        <f>VLOOKUP(A136,'ESTADOS ESTUDIANTES'!B:L,11,0)</f>
        <v>1032492665</v>
      </c>
      <c r="D136" s="239">
        <f>VLOOKUP(A136,'ESTADOS ESTUDIANTES'!B:L,3,0)</f>
        <v>495</v>
      </c>
      <c r="E136" s="239" t="str">
        <f>VLOOKUP(Tabla8[[#This Row],[ENFASIS]],Listas!$R$2:$S$8,2,0)</f>
        <v>ENFASIS EN ING. SOFT</v>
      </c>
      <c r="F136" s="239" t="str">
        <f>VLOOKUP(A136,'ESTADOS ESTUDIANTES'!B:L,8,0)</f>
        <v>nrodriguezd@udistrital.edu.co</v>
      </c>
      <c r="G136" s="239" t="str">
        <f>VLOOKUP(A136,'ESTADOS ESTUDIANTES'!B:L,9,0)</f>
        <v>nicolasrd1808@gmail.com</v>
      </c>
      <c r="H136" s="239" t="str">
        <f>VLOOKUP(A136,'ESTADOS ESTUDIANTES'!B:L,5,0)</f>
        <v>A</v>
      </c>
      <c r="I136" s="239" t="str">
        <f>VLOOKUP(Tabla8[[#This Row],[CODIGO]],'ESTADOS ESTUDIANTES'!B:M,12,0)</f>
        <v>2026-3</v>
      </c>
      <c r="J136" s="240" t="s">
        <v>46</v>
      </c>
      <c r="K136" s="240" t="s">
        <v>931</v>
      </c>
      <c r="L136" s="240" t="s">
        <v>303</v>
      </c>
      <c r="M136" s="359"/>
      <c r="N136" s="241">
        <v>44713</v>
      </c>
      <c r="O136" s="239">
        <v>2022</v>
      </c>
      <c r="P136" s="240" t="s">
        <v>137</v>
      </c>
      <c r="Q136" s="240" t="s">
        <v>932</v>
      </c>
      <c r="R136" s="242" t="s">
        <v>47</v>
      </c>
      <c r="S136" s="242" t="e">
        <f>IF(Tabla8[[#This Row],[FECHA DE ACEPTACION DEL GRUP. INV.]]="","",DATE(YEAR(Tabla8[[#This Row],[FECHA DE ACEPTACION DEL GRUP. INV.]])+2,MONTH(Tabla8[[#This Row],[FECHA DE ACEPTACION DEL GRUP. INV.]]),DAY(Tabla8[[#This Row],[FECHA DE ACEPTACION DEL GRUP. INV.]])))</f>
        <v>#VALUE!</v>
      </c>
      <c r="T136" s="242" t="e">
        <f ca="1">IF(Tabla8[[#This Row],[FECHA DE ACEPTACION DEL GRUP. INV.]]="","",IF(Tabla8[[#This Row],[FECHA DE VENCIMIENTO ANTE PROYECTO]]&lt;TODAY(),"SÍ","NO"))</f>
        <v>#VALUE!</v>
      </c>
      <c r="U136" s="242"/>
      <c r="V136" s="240"/>
      <c r="W136" s="240"/>
      <c r="X136" s="242" t="s">
        <v>424</v>
      </c>
      <c r="Y136" s="241"/>
      <c r="Z136" s="243"/>
      <c r="AA136" s="241"/>
      <c r="AB136" s="243"/>
      <c r="AC136" s="238"/>
      <c r="AD136" s="241"/>
      <c r="AE136" s="238"/>
      <c r="AF136" s="241"/>
      <c r="AG136" s="238"/>
      <c r="AH136" s="241"/>
      <c r="AI136" s="241"/>
      <c r="AJ136" s="244"/>
      <c r="AK136" s="244"/>
      <c r="AL136" s="238"/>
      <c r="AM136" s="238"/>
      <c r="AN136" s="241"/>
      <c r="AO136" s="241"/>
      <c r="AP136" s="244"/>
      <c r="AQ136" s="244"/>
      <c r="AR136" s="238"/>
      <c r="AS136" s="241"/>
      <c r="AT136" s="240" t="str">
        <f t="shared" si="8"/>
        <v/>
      </c>
      <c r="AU136" s="238"/>
      <c r="AV136" s="238"/>
      <c r="AW136" s="238"/>
      <c r="AX136" s="238"/>
      <c r="AY136" s="240" t="str">
        <f>IFERROR(VLOOKUP(AX136,Listas!K265:K272,2,0),"")</f>
        <v/>
      </c>
      <c r="AZ136" s="381"/>
      <c r="BA136" s="238"/>
      <c r="BB136" s="238"/>
      <c r="BC136" s="245" t="str">
        <f t="shared" si="9"/>
        <v>Cesar Andrey Perdomo Charry</v>
      </c>
    </row>
    <row r="137" spans="1:55">
      <c r="A137" s="383">
        <v>20221495011</v>
      </c>
      <c r="B137" s="384" t="str">
        <f>VLOOKUP(A137,'ESTADOS ESTUDIANTES'!B:L,2,0)</f>
        <v>SALAMANCA BELTRAN CARLOS LEONARDO</v>
      </c>
      <c r="C137" s="384">
        <f>VLOOKUP(A137,'ESTADOS ESTUDIANTES'!B:L,11,0)</f>
        <v>1012409872</v>
      </c>
      <c r="D137" s="384">
        <f>VLOOKUP(A137,'ESTADOS ESTUDIANTES'!B:L,3,0)</f>
        <v>495</v>
      </c>
      <c r="E137" s="384" t="str">
        <f>VLOOKUP(Tabla8[[#This Row],[ENFASIS]],Listas!$R$2:$S$8,2,0)</f>
        <v>ENFASIS EN ING. SOFT</v>
      </c>
      <c r="F137" s="384">
        <f>VLOOKUP(A137,'ESTADOS ESTUDIANTES'!B:L,8,0)</f>
        <v>0</v>
      </c>
      <c r="G137" s="384" t="str">
        <f>VLOOKUP(A137,'ESTADOS ESTUDIANTES'!B:L,9,0)</f>
        <v>carlos2294@hotmail.com</v>
      </c>
      <c r="H137" s="384" t="str">
        <f>VLOOKUP(A137,'ESTADOS ESTUDIANTES'!B:L,5,0)</f>
        <v>N</v>
      </c>
      <c r="I137" s="384" t="str">
        <f>VLOOKUP(Tabla8[[#This Row],[CODIGO]],'ESTADOS ESTUDIANTES'!B:M,12,0)</f>
        <v>-</v>
      </c>
      <c r="J137" s="331"/>
      <c r="K137" s="331"/>
      <c r="L137" s="331"/>
      <c r="M137" s="331"/>
      <c r="N137" s="330"/>
      <c r="O137" s="331"/>
      <c r="P137" s="331"/>
      <c r="Q137" s="331"/>
      <c r="R137" s="385"/>
      <c r="S137" s="385" t="str">
        <f>IF(Tabla8[[#This Row],[FECHA DE ACEPTACION DEL GRUP. INV.]]="","",DATE(YEAR(Tabla8[[#This Row],[FECHA DE ACEPTACION DEL GRUP. INV.]])+2,MONTH(Tabla8[[#This Row],[FECHA DE ACEPTACION DEL GRUP. INV.]]),DAY(Tabla8[[#This Row],[FECHA DE ACEPTACION DEL GRUP. INV.]])))</f>
        <v/>
      </c>
      <c r="T137" s="385" t="str">
        <f ca="1">IF(Tabla8[[#This Row],[FECHA DE ACEPTACION DEL GRUP. INV.]]="","",IF(Tabla8[[#This Row],[FECHA DE VENCIMIENTO ANTE PROYECTO]]&lt;TODAY(),"SÍ","NO"))</f>
        <v/>
      </c>
      <c r="U137" s="385"/>
      <c r="V137" s="386"/>
      <c r="W137" s="386"/>
      <c r="X137" s="385"/>
      <c r="Y137" s="330"/>
      <c r="Z137" s="387"/>
      <c r="AA137" s="330"/>
      <c r="AB137" s="387"/>
      <c r="AC137" s="390"/>
      <c r="AD137" s="330"/>
      <c r="AE137" s="331"/>
      <c r="AF137" s="330"/>
      <c r="AG137" s="331"/>
      <c r="AH137" s="330"/>
      <c r="AI137" s="330"/>
      <c r="AJ137" s="383"/>
      <c r="AK137" s="383"/>
      <c r="AL137" s="331"/>
      <c r="AM137" s="331"/>
      <c r="AN137" s="330"/>
      <c r="AO137" s="330"/>
      <c r="AP137" s="383"/>
      <c r="AQ137" s="383"/>
      <c r="AR137" s="331"/>
      <c r="AS137" s="330"/>
      <c r="AT137" s="386" t="str">
        <f t="shared" si="8"/>
        <v/>
      </c>
      <c r="AU137" s="331"/>
      <c r="AV137" s="331"/>
      <c r="AW137" s="331"/>
      <c r="AX137" s="331"/>
      <c r="AY137" s="386" t="str">
        <f>IFERROR(VLOOKUP(AX137,Listas!K266:K273,2,0),"")</f>
        <v/>
      </c>
      <c r="AZ137" s="388"/>
      <c r="BA137" s="331"/>
      <c r="BB137" s="331"/>
      <c r="BC137" s="395" t="str">
        <f t="shared" si="9"/>
        <v/>
      </c>
    </row>
    <row r="138" spans="1:55" s="238" customFormat="1" ht="47.25">
      <c r="A138" s="244">
        <v>20221495013</v>
      </c>
      <c r="B138" s="239" t="str">
        <f>VLOOKUP(A138,'ESTADOS ESTUDIANTES'!B:L,2,0)</f>
        <v>SANCHEZ BOLAÑOS CRISTIAN DAVID</v>
      </c>
      <c r="C138" s="239">
        <f>VLOOKUP(A138,'ESTADOS ESTUDIANTES'!B:L,11,0)</f>
        <v>1013677336</v>
      </c>
      <c r="D138" s="239">
        <f>VLOOKUP(A138,'ESTADOS ESTUDIANTES'!B:L,3,0)</f>
        <v>495</v>
      </c>
      <c r="E138" s="239" t="str">
        <f>VLOOKUP(Tabla8[[#This Row],[ENFASIS]],Listas!$R$2:$S$8,2,0)</f>
        <v>ENFASIS EN ING. SOFT</v>
      </c>
      <c r="F138" s="239" t="str">
        <f>VLOOKUP(A138,'ESTADOS ESTUDIANTES'!B:L,8,0)</f>
        <v>cdsanchezbo@udistrital.edu.co</v>
      </c>
      <c r="G138" s="239" t="str">
        <f>VLOOKUP(A138,'ESTADOS ESTUDIANTES'!B:L,9,0)</f>
        <v>crdsanchezb@correo.udistrital.edu.co</v>
      </c>
      <c r="H138" s="239" t="str">
        <f>VLOOKUP(A138,'ESTADOS ESTUDIANTES'!B:L,5,0)</f>
        <v>A</v>
      </c>
      <c r="I138" s="239" t="str">
        <f>VLOOKUP(Tabla8[[#This Row],[CODIGO]],'ESTADOS ESTUDIANTES'!B:M,12,0)</f>
        <v>2026-3</v>
      </c>
      <c r="J138" s="240" t="s">
        <v>46</v>
      </c>
      <c r="K138" s="240" t="s">
        <v>933</v>
      </c>
      <c r="L138" s="240" t="s">
        <v>303</v>
      </c>
      <c r="M138" s="359"/>
      <c r="N138" s="241">
        <v>44713</v>
      </c>
      <c r="O138" s="239">
        <v>2022</v>
      </c>
      <c r="P138" s="240" t="s">
        <v>137</v>
      </c>
      <c r="Q138" s="240" t="s">
        <v>932</v>
      </c>
      <c r="R138" s="242" t="s">
        <v>47</v>
      </c>
      <c r="S138" s="242" t="e">
        <f>IF(Tabla8[[#This Row],[FECHA DE ACEPTACION DEL GRUP. INV.]]="","",DATE(YEAR(Tabla8[[#This Row],[FECHA DE ACEPTACION DEL GRUP. INV.]])+2,MONTH(Tabla8[[#This Row],[FECHA DE ACEPTACION DEL GRUP. INV.]]),DAY(Tabla8[[#This Row],[FECHA DE ACEPTACION DEL GRUP. INV.]])))</f>
        <v>#VALUE!</v>
      </c>
      <c r="T138" s="242" t="e">
        <f ca="1">IF(Tabla8[[#This Row],[FECHA DE ACEPTACION DEL GRUP. INV.]]="","",IF(Tabla8[[#This Row],[FECHA DE VENCIMIENTO ANTE PROYECTO]]&lt;TODAY(),"SÍ","NO"))</f>
        <v>#VALUE!</v>
      </c>
      <c r="U138" s="242"/>
      <c r="V138" s="240"/>
      <c r="W138" s="240"/>
      <c r="X138" s="242" t="s">
        <v>424</v>
      </c>
      <c r="Y138" s="241"/>
      <c r="Z138" s="243"/>
      <c r="AA138" s="241"/>
      <c r="AB138" s="243"/>
      <c r="AD138" s="241"/>
      <c r="AF138" s="241"/>
      <c r="AH138" s="241"/>
      <c r="AI138" s="241"/>
      <c r="AJ138" s="244"/>
      <c r="AK138" s="244"/>
      <c r="AN138" s="241"/>
      <c r="AO138" s="241"/>
      <c r="AP138" s="244"/>
      <c r="AQ138" s="244"/>
      <c r="AS138" s="241"/>
      <c r="AT138" s="240" t="str">
        <f t="shared" si="8"/>
        <v/>
      </c>
      <c r="AY138" s="240" t="str">
        <f>IFERROR(VLOOKUP(AX138,Listas!K268:K275,2,0),"")</f>
        <v/>
      </c>
      <c r="AZ138" s="381"/>
      <c r="BC138" s="245" t="str">
        <f t="shared" si="9"/>
        <v>Cesar Andrey Perdomo Charry</v>
      </c>
    </row>
    <row r="139" spans="1:55" s="264" customFormat="1">
      <c r="A139" s="383">
        <v>20221495014</v>
      </c>
      <c r="B139" s="384" t="str">
        <f>VLOOKUP(A139,'ESTADOS ESTUDIANTES'!B:L,2,0)</f>
        <v>SUAREZ LOPEZ LEON CAMILO</v>
      </c>
      <c r="C139" s="384">
        <f>VLOOKUP(A139,'ESTADOS ESTUDIANTES'!B:L,11,0)</f>
        <v>80795249</v>
      </c>
      <c r="D139" s="384">
        <f>VLOOKUP(A139,'ESTADOS ESTUDIANTES'!B:L,3,0)</f>
        <v>495</v>
      </c>
      <c r="E139" s="384" t="str">
        <f>VLOOKUP(Tabla8[[#This Row],[ENFASIS]],Listas!$R$2:$S$8,2,0)</f>
        <v>ENFASIS EN ING. SOFT</v>
      </c>
      <c r="F139" s="384">
        <f>VLOOKUP(A139,'ESTADOS ESTUDIANTES'!B:L,8,0)</f>
        <v>0</v>
      </c>
      <c r="G139" s="384" t="str">
        <f>VLOOKUP(A139,'ESTADOS ESTUDIANTES'!B:L,9,0)</f>
        <v>leon.suarez@gmail.com</v>
      </c>
      <c r="H139" s="384" t="str">
        <f>VLOOKUP(A139,'ESTADOS ESTUDIANTES'!B:L,5,0)</f>
        <v>I</v>
      </c>
      <c r="I139" s="384" t="str">
        <f>VLOOKUP(Tabla8[[#This Row],[CODIGO]],'ESTADOS ESTUDIANTES'!B:M,12,0)</f>
        <v>-</v>
      </c>
      <c r="J139" s="331"/>
      <c r="K139" s="331"/>
      <c r="L139" s="331"/>
      <c r="M139" s="331"/>
      <c r="N139" s="330"/>
      <c r="O139" s="331"/>
      <c r="P139" s="331"/>
      <c r="Q139" s="331"/>
      <c r="R139" s="385"/>
      <c r="S139" s="385" t="str">
        <f>IF(Tabla8[[#This Row],[FECHA DE ACEPTACION DEL GRUP. INV.]]="","",DATE(YEAR(Tabla8[[#This Row],[FECHA DE ACEPTACION DEL GRUP. INV.]])+2,MONTH(Tabla8[[#This Row],[FECHA DE ACEPTACION DEL GRUP. INV.]]),DAY(Tabla8[[#This Row],[FECHA DE ACEPTACION DEL GRUP. INV.]])))</f>
        <v/>
      </c>
      <c r="T139" s="385" t="str">
        <f ca="1">IF(Tabla8[[#This Row],[FECHA DE ACEPTACION DEL GRUP. INV.]]="","",IF(Tabla8[[#This Row],[FECHA DE VENCIMIENTO ANTE PROYECTO]]&lt;TODAY(),"SÍ","NO"))</f>
        <v/>
      </c>
      <c r="U139" s="385"/>
      <c r="V139" s="386"/>
      <c r="W139" s="386"/>
      <c r="X139" s="385" t="s">
        <v>424</v>
      </c>
      <c r="Y139" s="330"/>
      <c r="Z139" s="387"/>
      <c r="AA139" s="330"/>
      <c r="AB139" s="387"/>
      <c r="AC139" s="390"/>
      <c r="AD139" s="330"/>
      <c r="AE139" s="331"/>
      <c r="AF139" s="330"/>
      <c r="AG139" s="331"/>
      <c r="AH139" s="330"/>
      <c r="AI139" s="330"/>
      <c r="AJ139" s="383"/>
      <c r="AK139" s="383"/>
      <c r="AL139" s="331"/>
      <c r="AM139" s="331"/>
      <c r="AN139" s="330"/>
      <c r="AO139" s="330"/>
      <c r="AP139" s="383"/>
      <c r="AQ139" s="383"/>
      <c r="AR139" s="331"/>
      <c r="AS139" s="330"/>
      <c r="AT139" s="386" t="str">
        <f t="shared" si="8"/>
        <v/>
      </c>
      <c r="AU139" s="331"/>
      <c r="AV139" s="331"/>
      <c r="AW139" s="331"/>
      <c r="AX139" s="331"/>
      <c r="AY139" s="386" t="str">
        <f>IFERROR(VLOOKUP(AX139,Listas!K269:K276,2,0),"")</f>
        <v/>
      </c>
      <c r="AZ139" s="388"/>
      <c r="BA139" s="331"/>
      <c r="BB139" s="331"/>
      <c r="BC139" s="395" t="str">
        <f t="shared" si="9"/>
        <v/>
      </c>
    </row>
    <row r="140" spans="1:55">
      <c r="A140" s="383">
        <v>20221495015</v>
      </c>
      <c r="B140" s="384" t="str">
        <f>VLOOKUP(A140,'ESTADOS ESTUDIANTES'!B:L,2,0)</f>
        <v>TAPIERO TAPIERO ROBIN ESTID</v>
      </c>
      <c r="C140" s="384">
        <f>VLOOKUP(A140,'ESTADOS ESTUDIANTES'!B:L,11,0)</f>
        <v>1031139705</v>
      </c>
      <c r="D140" s="384">
        <f>VLOOKUP(A140,'ESTADOS ESTUDIANTES'!B:L,3,0)</f>
        <v>495</v>
      </c>
      <c r="E140" s="384" t="str">
        <f>VLOOKUP(Tabla8[[#This Row],[ENFASIS]],Listas!$R$2:$S$8,2,0)</f>
        <v>ENFASIS EN ING. SOFT</v>
      </c>
      <c r="F140" s="384">
        <f>VLOOKUP(A140,'ESTADOS ESTUDIANTES'!B:L,8,0)</f>
        <v>0</v>
      </c>
      <c r="G140" s="384" t="str">
        <f>VLOOKUP(A140,'ESTADOS ESTUDIANTES'!B:L,9,0)</f>
        <v>retapierot@correo.udistrital.edu.co</v>
      </c>
      <c r="H140" s="384" t="str">
        <f>VLOOKUP(A140,'ESTADOS ESTUDIANTES'!B:L,5,0)</f>
        <v>I</v>
      </c>
      <c r="I140" s="384" t="str">
        <f>VLOOKUP(Tabla8[[#This Row],[CODIGO]],'ESTADOS ESTUDIANTES'!B:M,12,0)</f>
        <v>-</v>
      </c>
      <c r="J140" s="331"/>
      <c r="K140" s="331"/>
      <c r="L140" s="331"/>
      <c r="M140" s="331"/>
      <c r="N140" s="330"/>
      <c r="O140" s="331"/>
      <c r="P140" s="331"/>
      <c r="Q140" s="331"/>
      <c r="R140" s="385"/>
      <c r="S140" s="385" t="str">
        <f>IF(Tabla8[[#This Row],[FECHA DE ACEPTACION DEL GRUP. INV.]]="","",DATE(YEAR(Tabla8[[#This Row],[FECHA DE ACEPTACION DEL GRUP. INV.]])+2,MONTH(Tabla8[[#This Row],[FECHA DE ACEPTACION DEL GRUP. INV.]]),DAY(Tabla8[[#This Row],[FECHA DE ACEPTACION DEL GRUP. INV.]])))</f>
        <v/>
      </c>
      <c r="T140" s="385" t="str">
        <f ca="1">IF(Tabla8[[#This Row],[FECHA DE ACEPTACION DEL GRUP. INV.]]="","",IF(Tabla8[[#This Row],[FECHA DE VENCIMIENTO ANTE PROYECTO]]&lt;TODAY(),"SÍ","NO"))</f>
        <v/>
      </c>
      <c r="U140" s="385"/>
      <c r="V140" s="386"/>
      <c r="W140" s="386"/>
      <c r="X140" s="385" t="s">
        <v>424</v>
      </c>
      <c r="Y140" s="330"/>
      <c r="Z140" s="387"/>
      <c r="AA140" s="330"/>
      <c r="AB140" s="387"/>
      <c r="AC140" s="390"/>
      <c r="AD140" s="330"/>
      <c r="AE140" s="331"/>
      <c r="AF140" s="330"/>
      <c r="AG140" s="331"/>
      <c r="AH140" s="330"/>
      <c r="AI140" s="330"/>
      <c r="AJ140" s="383"/>
      <c r="AK140" s="383"/>
      <c r="AL140" s="331"/>
      <c r="AM140" s="331"/>
      <c r="AN140" s="330"/>
      <c r="AO140" s="330"/>
      <c r="AP140" s="383"/>
      <c r="AQ140" s="383"/>
      <c r="AR140" s="331"/>
      <c r="AS140" s="330"/>
      <c r="AT140" s="386" t="str">
        <f t="shared" si="8"/>
        <v/>
      </c>
      <c r="AU140" s="331"/>
      <c r="AV140" s="331"/>
      <c r="AW140" s="331"/>
      <c r="AX140" s="331"/>
      <c r="AY140" s="386" t="str">
        <f>IFERROR(VLOOKUP(AX140,Listas!K270:K277,2,0),"")</f>
        <v/>
      </c>
      <c r="AZ140" s="388"/>
      <c r="BA140" s="331"/>
      <c r="BB140" s="331"/>
      <c r="BC140" s="395" t="str">
        <f t="shared" si="9"/>
        <v/>
      </c>
    </row>
    <row r="141" spans="1:55" ht="47.25">
      <c r="A141" s="495">
        <v>20202495020</v>
      </c>
      <c r="B141" s="496" t="str">
        <f>VLOOKUP(A141,'ESTADOS ESTUDIANTES'!B:L,2,0)</f>
        <v>VARON CAPERA ALVARO</v>
      </c>
      <c r="C141" s="496">
        <f>VLOOKUP(A141,'ESTADOS ESTUDIANTES'!B:L,11,0)</f>
        <v>1016024623</v>
      </c>
      <c r="D141" s="496">
        <f>VLOOKUP(A141,'ESTADOS ESTUDIANTES'!B:L,3,0)</f>
        <v>495</v>
      </c>
      <c r="E141" s="496" t="str">
        <f>VLOOKUP(Tabla8[[#This Row],[ENFASIS]],Listas!$R$2:$S$8,2,0)</f>
        <v>ENFASIS EN ING. SOFT</v>
      </c>
      <c r="F141" s="496" t="str">
        <f>VLOOKUP(A141,'ESTADOS ESTUDIANTES'!B:L,8,0)</f>
        <v>avaronc@udistrital.edu.co</v>
      </c>
      <c r="G141" s="496" t="str">
        <f>VLOOKUP(A141,'ESTADOS ESTUDIANTES'!B:L,9,0)</f>
        <v>varoncalvaro@gmail.com</v>
      </c>
      <c r="H141" s="496" t="str">
        <f>VLOOKUP(A141,'ESTADOS ESTUDIANTES'!B:L,5,0)</f>
        <v>E</v>
      </c>
      <c r="I141" s="496" t="str">
        <f>VLOOKUP(Tabla8[[#This Row],[CODIGO]],'ESTADOS ESTUDIANTES'!B:M,12,0)</f>
        <v>2025-1</v>
      </c>
      <c r="J141" s="497" t="s">
        <v>46</v>
      </c>
      <c r="K141" s="460" t="s">
        <v>634</v>
      </c>
      <c r="L141" s="277" t="s">
        <v>323</v>
      </c>
      <c r="M141" s="359"/>
      <c r="N141" s="498">
        <v>44179</v>
      </c>
      <c r="O141" s="359">
        <v>2022</v>
      </c>
      <c r="P141" s="359" t="s">
        <v>112</v>
      </c>
      <c r="Q141" s="359" t="s">
        <v>222</v>
      </c>
      <c r="R141" s="499">
        <v>45441</v>
      </c>
      <c r="S141" s="499">
        <f>IF(Tabla8[[#This Row],[FECHA DE ACEPTACION DEL GRUP. INV.]]="","",DATE(YEAR(Tabla8[[#This Row],[FECHA DE ACEPTACION DEL GRUP. INV.]])+2,MONTH(Tabla8[[#This Row],[FECHA DE ACEPTACION DEL GRUP. INV.]]),DAY(Tabla8[[#This Row],[FECHA DE ACEPTACION DEL GRUP. INV.]])))</f>
        <v>46171</v>
      </c>
      <c r="T141" s="499" t="str">
        <f ca="1">IF(Tabla8[[#This Row],[FECHA DE ACEPTACION DEL GRUP. INV.]]="","",IF(Tabla8[[#This Row],[FECHA DE VENCIMIENTO ANTE PROYECTO]]&lt;TODAY(),"SÍ","NO"))</f>
        <v>SÍ</v>
      </c>
      <c r="U141" s="499"/>
      <c r="V141" s="497" t="s">
        <v>934</v>
      </c>
      <c r="W141" s="461"/>
      <c r="X141" s="359" t="s">
        <v>424</v>
      </c>
      <c r="Y141" s="296">
        <v>44680</v>
      </c>
      <c r="Z141" s="297">
        <v>150</v>
      </c>
      <c r="AA141" s="296">
        <v>45531</v>
      </c>
      <c r="AB141" s="297">
        <v>150</v>
      </c>
      <c r="AC141" s="359" t="s">
        <v>68</v>
      </c>
      <c r="AD141" s="498">
        <v>45601</v>
      </c>
      <c r="AE141" s="238" t="s">
        <v>576</v>
      </c>
      <c r="AF141" s="241">
        <v>45608</v>
      </c>
      <c r="AG141" s="359" t="s">
        <v>292</v>
      </c>
      <c r="AH141" s="498">
        <v>45693</v>
      </c>
      <c r="AI141" s="241">
        <v>45716</v>
      </c>
      <c r="AJ141" s="244">
        <v>50</v>
      </c>
      <c r="AK141" s="244">
        <v>50</v>
      </c>
      <c r="AL141" s="238" t="s">
        <v>41</v>
      </c>
      <c r="AM141" s="359" t="s">
        <v>309</v>
      </c>
      <c r="AN141" s="498">
        <v>45693</v>
      </c>
      <c r="AO141" s="241">
        <v>45716</v>
      </c>
      <c r="AP141" s="244">
        <v>50</v>
      </c>
      <c r="AQ141" s="244">
        <v>50</v>
      </c>
      <c r="AR141" s="238" t="s">
        <v>41</v>
      </c>
      <c r="AS141" s="241">
        <v>45716</v>
      </c>
      <c r="AT141" s="240">
        <f t="shared" si="8"/>
        <v>50</v>
      </c>
      <c r="AU141" s="238" t="s">
        <v>635</v>
      </c>
      <c r="AV141" s="238" t="s">
        <v>636</v>
      </c>
      <c r="AW141" s="238" t="s">
        <v>47</v>
      </c>
      <c r="AX141" s="238" t="s">
        <v>104</v>
      </c>
      <c r="AY141" s="240" t="s">
        <v>935</v>
      </c>
      <c r="AZ141" s="258">
        <v>45608</v>
      </c>
      <c r="BA141" s="359" t="s">
        <v>48</v>
      </c>
      <c r="BB141" s="359"/>
      <c r="BC141" s="500" t="str">
        <f>IF(OR(H141="A",$H141="D",$H141="P",$H141="V"),#REF!,"")</f>
        <v/>
      </c>
    </row>
    <row r="142" spans="1:55" s="264" customFormat="1" ht="30">
      <c r="A142" s="709">
        <v>20212395005</v>
      </c>
      <c r="B142" s="675" t="str">
        <f>VLOOKUP(A142,'ESTADOS ESTUDIANTES'!B:L,2,0)</f>
        <v>MOGOLLON DIAZ ALEXANDER</v>
      </c>
      <c r="C142" s="675">
        <f>VLOOKUP(A142,'ESTADOS ESTUDIANTES'!B:L,11,0)</f>
        <v>79987510</v>
      </c>
      <c r="D142" s="675">
        <f>VLOOKUP(A142,'ESTADOS ESTUDIANTES'!B:L,3,0)</f>
        <v>395</v>
      </c>
      <c r="E142" s="675" t="str">
        <f>VLOOKUP(Tabla8[[#This Row],[ENFASIS]],Listas!$R$2:$S$8,2,0)</f>
        <v>ENFASIS EN GEOMATICA</v>
      </c>
      <c r="F142" s="675" t="str">
        <f>VLOOKUP(A142,'ESTADOS ESTUDIANTES'!B:L,8,0)</f>
        <v>amogollond@udistrital.edu.co</v>
      </c>
      <c r="G142" s="675" t="str">
        <f>VLOOKUP(A142,'ESTADOS ESTUDIANTES'!B:L,9,0)</f>
        <v>jlexdiaz@gmail.com</v>
      </c>
      <c r="H142" s="675" t="str">
        <f>VLOOKUP(A142,'ESTADOS ESTUDIANTES'!B:L,5,0)</f>
        <v>X</v>
      </c>
      <c r="I142" s="675" t="str">
        <f>VLOOKUP(Tabla8[[#This Row],[CODIGO]],'ESTADOS ESTUDIANTES'!B:M,12,0)</f>
        <v>2026-1</v>
      </c>
      <c r="J142" s="710" t="s">
        <v>46</v>
      </c>
      <c r="K142" s="651" t="s">
        <v>936</v>
      </c>
      <c r="L142" s="651" t="s">
        <v>385</v>
      </c>
      <c r="M142" s="666"/>
      <c r="N142" s="658">
        <v>46052</v>
      </c>
      <c r="O142" s="659">
        <v>2026</v>
      </c>
      <c r="P142" s="651" t="s">
        <v>140</v>
      </c>
      <c r="Q142" s="651" t="s">
        <v>385</v>
      </c>
      <c r="R142" s="656">
        <v>45971</v>
      </c>
      <c r="S142" s="674">
        <f>IF(Tabla8[[#This Row],[FECHA DE ACEPTACION DEL GRUP. INV.]]="","",DATE(YEAR(Tabla8[[#This Row],[FECHA DE ACEPTACION DEL GRUP. INV.]])+2,MONTH(Tabla8[[#This Row],[FECHA DE ACEPTACION DEL GRUP. INV.]]),DAY(Tabla8[[#This Row],[FECHA DE ACEPTACION DEL GRUP. INV.]])))</f>
        <v>46701</v>
      </c>
      <c r="T142" s="674" t="str">
        <f ca="1">IF(Tabla8[[#This Row],[FECHA DE ACEPTACION DEL GRUP. INV.]]="","",IF(Tabla8[[#This Row],[FECHA DE VENCIMIENTO ANTE PROYECTO]]&lt;TODAY(),"SÍ","NO"))</f>
        <v>NO</v>
      </c>
      <c r="U142" s="674"/>
      <c r="V142" s="711"/>
      <c r="W142" s="461"/>
      <c r="X142" s="666" t="s">
        <v>424</v>
      </c>
      <c r="Y142" s="712"/>
      <c r="Z142" s="713"/>
      <c r="AA142" s="712"/>
      <c r="AB142" s="713"/>
      <c r="AC142" s="714"/>
      <c r="AD142" s="712"/>
      <c r="AE142" s="715"/>
      <c r="AF142" s="712"/>
      <c r="AG142" s="715"/>
      <c r="AH142" s="712"/>
      <c r="AI142" s="712"/>
      <c r="AJ142" s="716"/>
      <c r="AK142" s="716"/>
      <c r="AL142" s="715"/>
      <c r="AM142" s="715"/>
      <c r="AN142" s="712"/>
      <c r="AO142" s="712"/>
      <c r="AP142" s="716"/>
      <c r="AQ142" s="716"/>
      <c r="AR142" s="715"/>
      <c r="AS142" s="712"/>
      <c r="AT142" s="711" t="str">
        <f>IFERROR(ROUND(AVERAGE(AQ142,AP142,AK142,AJ142),0),"")</f>
        <v/>
      </c>
      <c r="AU142" s="715"/>
      <c r="AV142" s="715"/>
      <c r="AW142" s="715"/>
      <c r="AX142" s="715"/>
      <c r="AY142" s="711"/>
      <c r="AZ142" s="717"/>
      <c r="BA142" s="715"/>
      <c r="BB142" s="715"/>
      <c r="BC142" s="718" t="str">
        <f>IF(OR(H142="A",$H142="D",$H142="P",$H142="V"),L142,"")</f>
        <v/>
      </c>
    </row>
    <row r="143" spans="1:55" s="264" customFormat="1">
      <c r="B143" s="463"/>
      <c r="C143" s="463"/>
      <c r="D143" s="463"/>
      <c r="E143" s="463"/>
      <c r="F143" s="463"/>
      <c r="G143" s="463"/>
      <c r="H143" s="463"/>
      <c r="I143" s="463"/>
      <c r="K143" s="462"/>
      <c r="X143" s="238"/>
      <c r="AC143" s="390"/>
    </row>
    <row r="144" spans="1:55" s="264" customFormat="1">
      <c r="B144" s="463"/>
      <c r="C144" s="463"/>
      <c r="D144" s="463"/>
      <c r="E144" s="463"/>
      <c r="F144" s="463"/>
      <c r="G144" s="463"/>
      <c r="H144" s="463"/>
      <c r="I144" s="463"/>
      <c r="K144" s="462"/>
      <c r="X144" s="238"/>
      <c r="AC144" s="390"/>
    </row>
    <row r="145" spans="1:55" s="264" customFormat="1">
      <c r="A145" s="376"/>
      <c r="B145" s="455"/>
      <c r="C145" s="455"/>
      <c r="D145" s="455"/>
      <c r="E145" s="455"/>
      <c r="F145" s="455"/>
      <c r="G145" s="455"/>
      <c r="H145" s="455"/>
      <c r="I145" s="455"/>
      <c r="J145" s="376"/>
      <c r="K145" s="473"/>
      <c r="L145" s="376"/>
      <c r="M145" s="376"/>
      <c r="N145" s="376"/>
      <c r="O145" s="376"/>
      <c r="P145" s="376"/>
      <c r="Q145" s="376"/>
      <c r="R145" s="376"/>
      <c r="S145" s="376"/>
      <c r="T145" s="376"/>
      <c r="U145" s="376"/>
      <c r="V145" s="376"/>
      <c r="W145" s="376"/>
      <c r="X145" s="456"/>
      <c r="Y145" s="376"/>
      <c r="Z145" s="376"/>
      <c r="AA145" s="376"/>
      <c r="AB145" s="376"/>
      <c r="AC145" s="457"/>
      <c r="AD145" s="376"/>
      <c r="AE145" s="376"/>
      <c r="AF145" s="376"/>
      <c r="AG145" s="376"/>
      <c r="AH145" s="376"/>
      <c r="AI145" s="376"/>
      <c r="AJ145" s="376"/>
      <c r="AK145" s="376"/>
      <c r="AL145" s="376"/>
      <c r="AM145" s="376"/>
      <c r="AN145" s="376"/>
      <c r="AO145" s="376"/>
      <c r="AP145" s="376"/>
      <c r="AQ145" s="376"/>
      <c r="AR145" s="376"/>
      <c r="AS145" s="376"/>
      <c r="AT145" s="376"/>
      <c r="AU145" s="376"/>
      <c r="AV145" s="376"/>
      <c r="AW145" s="376"/>
      <c r="AX145" s="376"/>
      <c r="AY145" s="376"/>
      <c r="AZ145" s="376"/>
      <c r="BA145" s="376"/>
      <c r="BB145" s="376"/>
      <c r="BC145" s="376"/>
    </row>
    <row r="146" spans="1:55" ht="15.75" customHeight="1">
      <c r="Z146" s="264"/>
    </row>
    <row r="147" spans="1:55" ht="15.75" customHeight="1">
      <c r="Z147" s="264"/>
    </row>
    <row r="148" spans="1:55" ht="15.75" customHeight="1">
      <c r="Z148" s="264"/>
    </row>
  </sheetData>
  <dataValidations count="11">
    <dataValidation type="list" allowBlank="1" showInputMessage="1" showErrorMessage="1" sqref="AC22" xr:uid="{00000000-0002-0000-0500-000015000000}">
      <formula1>"C2,C1,B2,B1,A2,A1"</formula1>
    </dataValidation>
    <dataValidation type="list" allowBlank="1" showInputMessage="1" showErrorMessage="1" sqref="AX11 AX14" xr:uid="{00000000-0002-0000-0500-00000E000000}">
      <formula1>"Revista A1,Revista A2,Libro de investigación,Revista B,capítulo de un libro,Revista C,Ponencia,N/A,C"</formula1>
    </dataValidation>
    <dataValidation type="list" allowBlank="1" showInputMessage="1" showErrorMessage="1" sqref="AV8:AV9 AX12:AX13 AV25 AX2:AX10 AV35 AV39:AV41 AV43 AV47:AV49 AV71 AV73:AV75 AV77 AV79:AV82 AV86 AV88 AV97 AV99 AV102 AV104 AV107:AV109 AV113 AV117 AX15:AX54 AV126 AV128:AV130 AV132 AV135:AV136 AV2:AV4 AV56:AV60 AV91:AV92 AV123:AV124 AV11:AV21 AV37 AV30 AX141 AX126:AX137 AV65 AX56:AX124" xr:uid="{00000000-0002-0000-0500-000006000000}">
      <formula1>"Revista A1,Revista A2,Libro de investigación,Revista B,capítulo de un libro,Revista C,Ponencia,N/A"</formula1>
    </dataValidation>
    <dataValidation type="list" allowBlank="1" showInputMessage="1" showErrorMessage="1" sqref="L78 L96" xr:uid="{00000000-0002-0000-0500-000003000000}">
      <formula1>"Abel Antonio Navarrete,Adolfo Jaramillo,Adriana Vega,Alberto Acosta,Alberto Sarcina Brigada,Alejandro Paolo Daza Corredor,Alexandra Abuchar,Alvaro Enrique Ortiz Davila,Alvaro Espinel Ortega,Alvaro Ortiz,Alvaro Sanabria Duque,Ana Maria Peña Reyes"</formula1>
    </dataValidation>
    <dataValidation type="list" allowBlank="1" showInputMessage="1" showErrorMessage="1" sqref="AR1" xr:uid="{00000000-0002-0000-0500-000001000000}">
      <formula1>"Aprobado,Meritorio,Laureado,CONCEPTO JURADO 2"</formula1>
    </dataValidation>
    <dataValidation type="list" allowBlank="1" showInputMessage="1" showErrorMessage="1" sqref="AL1" xr:uid="{00000000-0002-0000-0500-000000000000}">
      <formula1>"Aprobado,Meritorio,Laureado,CONCEPTO JURADO 1"</formula1>
    </dataValidation>
    <dataValidation type="list" allowBlank="1" showInputMessage="1" showErrorMessage="1" sqref="AW141 AW2:AW54 AW126:AW139 AW56:AW124" xr:uid="{00000000-0002-0000-0500-000007000000}">
      <formula1>"Enviado,Publicado,Por publicar"</formula1>
    </dataValidation>
    <dataValidation type="list" allowBlank="1" showInputMessage="1" showErrorMessage="1" sqref="AR141 AL141 AR2:AR54 AL2:AL54 AR126:AR139 AL126:AL139 AL56:AL124 AR56:AR124" xr:uid="{00000000-0002-0000-0500-000005000000}">
      <formula1>"Aprobado,Meritorio,Laureado"</formula1>
    </dataValidation>
    <dataValidation type="list" allowBlank="1" showInputMessage="1" showErrorMessage="1" sqref="J2:J54 J56:J140" xr:uid="{00000000-0002-0000-0500-000002000000}">
      <formula1>"Profundización,Investigación"</formula1>
    </dataValidation>
    <dataValidation allowBlank="1" showInputMessage="1" showErrorMessage="1" sqref="W119 W122 AU1:AU54 M143:M1048576 AU56:AU124 AU126:AU1048576 M1:M49 M52:M55 M57:M74 M76 M78:M80 M82:M92 M94:M98 M101:M106 M108 M110:M113 M116:M118 M121:M130 M132:M135 M137 M139:M140" xr:uid="{211A0B8A-9DAF-46BF-8F35-50D3E1F4038B}"/>
    <dataValidation type="list" allowBlank="1" showInputMessage="1" showErrorMessage="1" sqref="X28:X1048576" xr:uid="{3E177D95-1FFA-4AFA-A8B1-E0C27E0147F9}">
      <formula1>"Sí, No"</formula1>
    </dataValidation>
  </dataValidations>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51452D91-D592-4DFD-A700-1E817ABAC9E3}">
          <x14:formula1>
            <xm:f>'DIRECTOR - REVISOR - JURADO'!$A$3:$A$194</xm:f>
          </x14:formula1>
          <xm:sqref>AG1:AG54 L120:L1048576 AM1:AM54 AM56:AM122 L56:L118 AG56:AG1048576 AM124:AM1048576 L1:L54</xm:sqref>
        </x14:dataValidation>
        <x14:dataValidation type="list" allowBlank="1" showInputMessage="1" showErrorMessage="1" xr:uid="{4C65AEE3-64BD-4D1D-AA56-4BFAFC7B4AD0}">
          <x14:formula1>
            <xm:f>'DIRECTOR - REVISOR - JURADO'!$A$3:$A$196</xm:f>
          </x14:formula1>
          <xm:sqref>AM123</xm:sqref>
        </x14:dataValidation>
        <x14:dataValidation type="list" allowBlank="1" showInputMessage="1" showErrorMessage="1" xr:uid="{8290C6DB-F685-400E-8D4D-CAA39D05361F}">
          <x14:formula1>
            <xm:f>Listas!$A$2:$A$32</xm:f>
          </x14:formula1>
          <xm:sqref>P142</xm:sqref>
        </x14:dataValidation>
        <x14:dataValidation type="list" allowBlank="1" showInputMessage="1" showErrorMessage="1" xr:uid="{C2D9AF3E-CA24-42CA-83FF-CA5DC6B624F0}">
          <x14:formula1>
            <xm:f>'DIRECTOR - REVISOR - JURADO'!$A:$A</xm:f>
          </x14:formula1>
          <xm:sqref>L141 M138 Q1:Q1048576 M50:M51 M56 M75 M142 M81 M93 M99:M100 M107 M109 M114:M115 M119:M120 M131 M136</xm:sqref>
        </x14:dataValidation>
        <x14:dataValidation type="list" allowBlank="1" showInputMessage="1" showErrorMessage="1" xr:uid="{DE9C3885-D46A-4621-BAEE-111A86628648}">
          <x14:formula1>
            <xm:f>Listas!$A:$A</xm:f>
          </x14:formula1>
          <xm:sqref>P1:P141 P143:P1048576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28015-044D-4F32-B127-5A36C30F5928}">
  <dimension ref="A1:I198"/>
  <sheetViews>
    <sheetView topLeftCell="A12" workbookViewId="0">
      <selection activeCell="A33" sqref="A33"/>
    </sheetView>
  </sheetViews>
  <sheetFormatPr baseColWidth="10" defaultColWidth="35.09765625" defaultRowHeight="14.25"/>
  <cols>
    <col min="1" max="1" width="26.3984375" style="1" customWidth="1"/>
    <col min="2" max="2" width="5.796875" style="1" bestFit="1" customWidth="1"/>
    <col min="3" max="3" width="5.19921875" style="1" bestFit="1" customWidth="1"/>
    <col min="4" max="4" width="4.796875" style="1" bestFit="1" customWidth="1"/>
    <col min="5" max="5" width="9.8984375" customWidth="1"/>
    <col min="6" max="6" width="26.59765625" bestFit="1" customWidth="1"/>
    <col min="9" max="9" width="0" hidden="1" customWidth="1"/>
  </cols>
  <sheetData>
    <row r="1" spans="1:9" ht="15">
      <c r="A1" s="736" t="s">
        <v>937</v>
      </c>
      <c r="B1" s="737"/>
      <c r="C1" s="737"/>
      <c r="D1" s="738"/>
      <c r="E1" s="59"/>
      <c r="F1" s="62"/>
      <c r="G1" s="62"/>
      <c r="H1" s="62"/>
      <c r="I1" s="62"/>
    </row>
    <row r="2" spans="1:9" ht="15">
      <c r="A2" s="79" t="s">
        <v>938</v>
      </c>
      <c r="B2" s="78" t="s">
        <v>939</v>
      </c>
      <c r="C2" s="78" t="s">
        <v>940</v>
      </c>
      <c r="D2" s="78" t="s">
        <v>941</v>
      </c>
      <c r="E2" s="58"/>
      <c r="F2" s="63"/>
      <c r="G2" s="63"/>
      <c r="H2" s="63"/>
      <c r="I2" s="63"/>
    </row>
    <row r="3" spans="1:9" ht="15">
      <c r="A3" s="80" t="s">
        <v>261</v>
      </c>
      <c r="B3" s="35" t="s">
        <v>942</v>
      </c>
      <c r="C3" s="34">
        <f>COUNTIF('Acuerdo Antiguo'!BE:BF,A3)</f>
        <v>0</v>
      </c>
      <c r="D3" s="84">
        <f>COUNTIF('Acuerdo Antiguo'!BG:BH,A3)+COUNTIF('N-A Profundizacion'!AG:AG,A3)+COUNTIF('N-A Profundizacion'!AM:AM,A3)+COUNTIF('N-A Investigación'!AN:AN,A3)+COUNTIF('N-A Investigación'!AT:AT,A3)</f>
        <v>0</v>
      </c>
      <c r="E3" s="60"/>
      <c r="F3" s="53" t="s">
        <v>943</v>
      </c>
      <c r="G3" s="733" t="s">
        <v>944</v>
      </c>
      <c r="H3" s="734"/>
      <c r="I3" s="735"/>
    </row>
    <row r="4" spans="1:9" ht="15">
      <c r="A4" s="81" t="s">
        <v>945</v>
      </c>
      <c r="B4" s="35" t="s">
        <v>946</v>
      </c>
      <c r="C4" s="33">
        <f>COUNTIF('Acuerdo Antiguo'!BE:BF,A4)</f>
        <v>0</v>
      </c>
      <c r="D4" s="84">
        <f>COUNTIF('Acuerdo Antiguo'!BG:BH,A4)+COUNTIF('N-A Profundizacion'!AG:AG,A4)+COUNTIF('N-A Profundizacion'!AM:AM,A4)+COUNTIF('N-A Investigación'!AN:AN,A4)+COUNTIF('N-A Investigación'!AT:AT,A4)</f>
        <v>0</v>
      </c>
      <c r="E4" s="61"/>
      <c r="F4" s="54" t="s">
        <v>947</v>
      </c>
      <c r="G4" s="733" t="s">
        <v>948</v>
      </c>
      <c r="H4" s="734"/>
      <c r="I4" s="735"/>
    </row>
    <row r="5" spans="1:9" ht="15">
      <c r="A5" s="81" t="s">
        <v>740</v>
      </c>
      <c r="B5" s="35">
        <f>COUNTIF('Acuerdo Antiguo'!BD:BD,A5)+COUNTIF('N-A Profundizacion'!BC:BC,A5)+COUNTIF('N-A Investigación'!BF:BF,A5)</f>
        <v>0</v>
      </c>
      <c r="C5" s="33">
        <f>COUNTIF('Acuerdo Antiguo'!BE:BF,A5)</f>
        <v>0</v>
      </c>
      <c r="D5" s="84">
        <f>COUNTIF('Acuerdo Antiguo'!BG:BH,A5)+COUNTIF('N-A Profundizacion'!AG:AG,A5)+COUNTIF('N-A Profundizacion'!AM:AM,A5)+COUNTIF('N-A Investigación'!AN:AN,A5)+COUNTIF('N-A Investigación'!AT:AT,A5)</f>
        <v>0</v>
      </c>
      <c r="E5" s="60"/>
      <c r="F5" s="54" t="s">
        <v>949</v>
      </c>
      <c r="G5" s="733" t="s">
        <v>950</v>
      </c>
      <c r="H5" s="734"/>
      <c r="I5" s="735"/>
    </row>
    <row r="6" spans="1:9" ht="15">
      <c r="A6" s="81" t="s">
        <v>951</v>
      </c>
      <c r="B6" s="35">
        <f>COUNTIF('Acuerdo Antiguo'!BD:BD,A6)+COUNTIF('N-A Profundizacion'!BC:BC,A6)+COUNTIF('N-A Investigación'!BF:BF,A6)</f>
        <v>0</v>
      </c>
      <c r="C6" s="33">
        <f>COUNTIF('Acuerdo Antiguo'!BE:BF,A6)</f>
        <v>0</v>
      </c>
      <c r="D6" s="84">
        <f>COUNTIF('Acuerdo Antiguo'!BG:BH,A6)+COUNTIF('N-A Profundizacion'!AG:AG,A6)+COUNTIF('N-A Profundizacion'!AM:AM,A6)+COUNTIF('N-A Investigación'!AN:AN,A6)+COUNTIF('N-A Investigación'!AT:AT,A6)</f>
        <v>0</v>
      </c>
      <c r="E6" s="60"/>
      <c r="F6" s="54" t="s">
        <v>952</v>
      </c>
      <c r="G6" s="733" t="s">
        <v>953</v>
      </c>
      <c r="H6" s="734"/>
      <c r="I6" s="735"/>
    </row>
    <row r="7" spans="1:9" ht="15">
      <c r="A7" s="82" t="s">
        <v>954</v>
      </c>
      <c r="B7" s="35">
        <f>COUNTIF('Acuerdo Antiguo'!BD:BD,A7)+COUNTIF('N-A Profundizacion'!BC:BC,A7)+COUNTIF('N-A Investigación'!BF:BF,A7)</f>
        <v>0</v>
      </c>
      <c r="C7" s="33">
        <f>COUNTIF('Acuerdo Antiguo'!BE:BF,A7)</f>
        <v>0</v>
      </c>
      <c r="D7" s="84">
        <f>COUNTIF('Acuerdo Antiguo'!BG:BH,A7)+COUNTIF('N-A Profundizacion'!AG:AG,A7)+COUNTIF('N-A Profundizacion'!AM:AM,A7)+COUNTIF('N-A Investigación'!AN:AN,A7)+COUNTIF('N-A Investigación'!AT:AT,A7)</f>
        <v>0</v>
      </c>
      <c r="E7" s="60"/>
      <c r="F7" s="54" t="s">
        <v>955</v>
      </c>
      <c r="G7" s="733" t="s">
        <v>955</v>
      </c>
      <c r="H7" s="734"/>
      <c r="I7" s="735"/>
    </row>
    <row r="8" spans="1:9" ht="15">
      <c r="A8" s="82" t="s">
        <v>611</v>
      </c>
      <c r="B8" s="35">
        <f>COUNTIF('Acuerdo Antiguo'!BD:BD,A8)+COUNTIF('N-A Profundizacion'!BC:BC,A8)+COUNTIF('N-A Investigación'!BF:BF,A8)</f>
        <v>0</v>
      </c>
      <c r="C8" s="33">
        <f>COUNTIF('Acuerdo Antiguo'!BE:BF,A8)</f>
        <v>0</v>
      </c>
      <c r="D8" s="84">
        <f>COUNTIF('Acuerdo Antiguo'!BG:BH,A8)+COUNTIF('N-A Profundizacion'!AG:AG,A8)+COUNTIF('N-A Profundizacion'!AM:AM,A8)+COUNTIF('N-A Investigación'!AN:AN,A8)+COUNTIF('N-A Investigación'!AT:AT,A8)</f>
        <v>0</v>
      </c>
      <c r="E8" s="60"/>
      <c r="F8" s="54"/>
      <c r="G8" s="85"/>
      <c r="H8" s="88"/>
      <c r="I8" s="89"/>
    </row>
    <row r="9" spans="1:9" ht="15">
      <c r="A9" s="81" t="s">
        <v>290</v>
      </c>
      <c r="B9" s="35">
        <f>COUNTIF('Acuerdo Antiguo'!BD:BD,A9)+COUNTIF('N-A Profundizacion'!BC:BC,A9)+COUNTIF('N-A Investigación'!BF:BF,A9)</f>
        <v>0</v>
      </c>
      <c r="C9" s="33">
        <f>COUNTIF('Acuerdo Antiguo'!BE:BF,A9)</f>
        <v>0</v>
      </c>
      <c r="D9" s="84">
        <f>COUNTIF('Acuerdo Antiguo'!BG:BH,A9)+COUNTIF('N-A Profundizacion'!AG:AG,A9)+COUNTIF('N-A Profundizacion'!AM:AM,A9)+COUNTIF('N-A Investigación'!AN:AN,A9)+COUNTIF('N-A Investigación'!AT:AT,A9)</f>
        <v>1</v>
      </c>
      <c r="E9" s="61"/>
      <c r="F9" s="54" t="s">
        <v>956</v>
      </c>
      <c r="G9" s="733" t="s">
        <v>957</v>
      </c>
      <c r="H9" s="734"/>
      <c r="I9" s="735"/>
    </row>
    <row r="10" spans="1:9" ht="15">
      <c r="A10" s="81" t="s">
        <v>958</v>
      </c>
      <c r="B10" s="35">
        <f>COUNTIF('Acuerdo Antiguo'!BD:BD,A10)+COUNTIF('N-A Profundizacion'!BC:BC,A10)+COUNTIF('N-A Investigación'!BF:BF,A10)</f>
        <v>0</v>
      </c>
      <c r="C10" s="33">
        <f>COUNTIF('Acuerdo Antiguo'!BE:BF,A10)</f>
        <v>0</v>
      </c>
      <c r="D10" s="84">
        <f>COUNTIF('Acuerdo Antiguo'!BG:BH,A10)+COUNTIF('N-A Profundizacion'!AG:AG,A10)+COUNTIF('N-A Profundizacion'!AM:AM,A10)+COUNTIF('N-A Investigación'!AN:AN,A10)+COUNTIF('N-A Investigación'!AT:AT,A10)</f>
        <v>0</v>
      </c>
      <c r="E10" s="60"/>
      <c r="F10" s="54" t="s">
        <v>959</v>
      </c>
      <c r="G10" s="739" t="s">
        <v>955</v>
      </c>
      <c r="H10" s="740"/>
      <c r="I10" s="741"/>
    </row>
    <row r="11" spans="1:9" ht="15">
      <c r="A11" s="81" t="s">
        <v>344</v>
      </c>
      <c r="B11" s="35">
        <f>COUNTIF('Acuerdo Antiguo'!BD:BD,A11)+COUNTIF('N-A Profundizacion'!BC:BC,A11)+COUNTIF('N-A Investigación'!BF:BF,A11)</f>
        <v>0</v>
      </c>
      <c r="C11" s="33">
        <f>COUNTIF('Acuerdo Antiguo'!BE:BF,A11)</f>
        <v>0</v>
      </c>
      <c r="D11" s="84">
        <f>COUNTIF('Acuerdo Antiguo'!BG:BH,A11)+COUNTIF('N-A Profundizacion'!AG:AG,A11)+COUNTIF('N-A Profundizacion'!AM:AM,A11)+COUNTIF('N-A Investigación'!AN:AN,A11)+COUNTIF('N-A Investigación'!AT:AT,A11)</f>
        <v>0</v>
      </c>
      <c r="E11" s="60"/>
      <c r="F11" s="54" t="s">
        <v>960</v>
      </c>
      <c r="G11" s="730" t="s">
        <v>961</v>
      </c>
      <c r="H11" s="731"/>
      <c r="I11" s="732"/>
    </row>
    <row r="12" spans="1:9" ht="15">
      <c r="A12" s="81" t="s">
        <v>356</v>
      </c>
      <c r="B12" s="35">
        <f>COUNTIF('Acuerdo Antiguo'!BD:BD,A12)+COUNTIF('N-A Profundizacion'!BC:BC,A12)+COUNTIF('N-A Investigación'!BF:BF,A12)</f>
        <v>1</v>
      </c>
      <c r="C12" s="33">
        <f>COUNTIF('Acuerdo Antiguo'!BE:BF,A12)</f>
        <v>0</v>
      </c>
      <c r="D12" s="84">
        <f>COUNTIF('Acuerdo Antiguo'!BG:BH,A12)+COUNTIF('N-A Profundizacion'!AG:AG,A12)+COUNTIF('N-A Profundizacion'!AM:AM,A12)+COUNTIF('N-A Investigación'!AN:AN,A12)+COUNTIF('N-A Investigación'!AT:AT,A12)</f>
        <v>5</v>
      </c>
      <c r="E12" s="60"/>
      <c r="F12" s="54" t="s">
        <v>962</v>
      </c>
      <c r="G12" s="733" t="s">
        <v>963</v>
      </c>
      <c r="H12" s="734"/>
      <c r="I12" s="735"/>
    </row>
    <row r="13" spans="1:9" ht="15">
      <c r="A13" s="81" t="s">
        <v>755</v>
      </c>
      <c r="B13" s="35">
        <f>COUNTIF('Acuerdo Antiguo'!BD:BD,A13)+COUNTIF('N-A Profundizacion'!BC:BC,A13)+COUNTIF('N-A Investigación'!BF:BF,A13)</f>
        <v>0</v>
      </c>
      <c r="C13" s="33">
        <f>COUNTIF('Acuerdo Antiguo'!BE:BF,A13)</f>
        <v>0</v>
      </c>
      <c r="D13" s="84">
        <f>COUNTIF('Acuerdo Antiguo'!BG:BH,A13)+COUNTIF('N-A Profundizacion'!AG:AG,A13)+COUNTIF('N-A Profundizacion'!AM:AM,A13)+COUNTIF('N-A Investigación'!AN:AN,A13)+COUNTIF('N-A Investigación'!AT:AT,A13)</f>
        <v>0</v>
      </c>
      <c r="E13" s="60"/>
      <c r="F13" s="55"/>
      <c r="G13" s="742"/>
      <c r="H13" s="740"/>
      <c r="I13" s="741"/>
    </row>
    <row r="14" spans="1:9" ht="15">
      <c r="A14" s="81" t="s">
        <v>964</v>
      </c>
      <c r="B14" s="35">
        <f>COUNTIF('Acuerdo Antiguo'!BD:BD,A14)+COUNTIF('N-A Profundizacion'!BC:BC,A14)+COUNTIF('N-A Investigación'!BF:BF,A14)</f>
        <v>0</v>
      </c>
      <c r="C14" s="33">
        <f>COUNTIF('Acuerdo Antiguo'!BE:BF,A14)</f>
        <v>0</v>
      </c>
      <c r="D14" s="84">
        <f>COUNTIF('Acuerdo Antiguo'!BG:BH,A14)+COUNTIF('N-A Profundizacion'!AG:AG,A14)+COUNTIF('N-A Profundizacion'!AM:AM,A14)+COUNTIF('N-A Investigación'!AN:AN,A14)+COUNTIF('N-A Investigación'!AT:AT,A14)</f>
        <v>0</v>
      </c>
      <c r="E14" s="60"/>
      <c r="F14" s="54" t="s">
        <v>965</v>
      </c>
      <c r="G14" s="730" t="s">
        <v>966</v>
      </c>
      <c r="H14" s="731"/>
      <c r="I14" s="732"/>
    </row>
    <row r="15" spans="1:9" ht="15">
      <c r="A15" s="81" t="s">
        <v>628</v>
      </c>
      <c r="B15" s="35">
        <f>COUNTIF('Acuerdo Antiguo'!BD:BD,A15)+COUNTIF('N-A Profundizacion'!BC:BC,A15)+COUNTIF('N-A Investigación'!BF:BF,A15)</f>
        <v>0</v>
      </c>
      <c r="C15" s="33">
        <f>COUNTIF('Acuerdo Antiguo'!BE:BF,A15)</f>
        <v>0</v>
      </c>
      <c r="D15" s="84">
        <f>COUNTIF('Acuerdo Antiguo'!BG:BH,A15)+COUNTIF('N-A Profundizacion'!AG:AG,A15)+COUNTIF('N-A Profundizacion'!AM:AM,A15)+COUNTIF('N-A Investigación'!AN:AN,A15)+COUNTIF('N-A Investigación'!AT:AT,A15)</f>
        <v>0</v>
      </c>
      <c r="E15" s="61"/>
      <c r="F15" s="54" t="s">
        <v>967</v>
      </c>
      <c r="G15" s="733" t="s">
        <v>955</v>
      </c>
      <c r="H15" s="734"/>
      <c r="I15" s="735"/>
    </row>
    <row r="16" spans="1:9" ht="15">
      <c r="A16" s="81" t="s">
        <v>968</v>
      </c>
      <c r="B16" s="35">
        <f>COUNTIF('Acuerdo Antiguo'!BD:BD,A16)+COUNTIF('N-A Profundizacion'!BC:BC,A16)+COUNTIF('N-A Investigación'!BF:BF,A16)</f>
        <v>0</v>
      </c>
      <c r="C16" s="33">
        <f>COUNTIF('Acuerdo Antiguo'!BE:BF,A16)</f>
        <v>0</v>
      </c>
      <c r="D16" s="84">
        <f>COUNTIF('Acuerdo Antiguo'!BG:BH,A16)+COUNTIF('N-A Profundizacion'!AG:AG,A16)+COUNTIF('N-A Profundizacion'!AM:AM,A16)+COUNTIF('N-A Investigación'!AN:AN,A16)+COUNTIF('N-A Investigación'!AT:AT,A16)</f>
        <v>0</v>
      </c>
      <c r="E16" s="60"/>
      <c r="F16" s="54" t="s">
        <v>955</v>
      </c>
      <c r="G16" s="733" t="s">
        <v>955</v>
      </c>
      <c r="H16" s="734"/>
      <c r="I16" s="735"/>
    </row>
    <row r="17" spans="1:9" ht="15">
      <c r="A17" s="81" t="s">
        <v>250</v>
      </c>
      <c r="B17" s="35">
        <f>COUNTIF('Acuerdo Antiguo'!BD:BD,A17)+COUNTIF('N-A Profundizacion'!BC:BC,A17)+COUNTIF('N-A Investigación'!BF:BF,A17)</f>
        <v>0</v>
      </c>
      <c r="C17" s="33">
        <f>COUNTIF('Acuerdo Antiguo'!BE:BF,A17)</f>
        <v>0</v>
      </c>
      <c r="D17" s="84">
        <f>COUNTIF('Acuerdo Antiguo'!BG:BH,A17)+COUNTIF('N-A Profundizacion'!AG:AG,A17)+COUNTIF('N-A Profundizacion'!AM:AM,A17)+COUNTIF('N-A Investigación'!AN:AN,A17)+COUNTIF('N-A Investigación'!AT:AT,A17)</f>
        <v>1</v>
      </c>
      <c r="E17" s="60"/>
      <c r="F17" s="54" t="s">
        <v>969</v>
      </c>
      <c r="G17" s="733" t="s">
        <v>961</v>
      </c>
      <c r="H17" s="734"/>
      <c r="I17" s="735"/>
    </row>
    <row r="18" spans="1:9" ht="15">
      <c r="A18" s="81" t="s">
        <v>816</v>
      </c>
      <c r="B18" s="35"/>
      <c r="C18" s="33"/>
      <c r="D18" s="84"/>
      <c r="E18" s="60"/>
      <c r="F18" s="54"/>
      <c r="G18" s="85"/>
      <c r="H18" s="88"/>
      <c r="I18" s="89"/>
    </row>
    <row r="19" spans="1:9" ht="15">
      <c r="A19" s="81" t="s">
        <v>248</v>
      </c>
      <c r="B19" s="35">
        <f>COUNTIF('Acuerdo Antiguo'!BD:BD,A19)+COUNTIF('N-A Profundizacion'!BC:BC,A19)+COUNTIF('N-A Investigación'!BF:BF,A19)</f>
        <v>1</v>
      </c>
      <c r="C19" s="33">
        <f>COUNTIF('Acuerdo Antiguo'!BE:BF,A19)</f>
        <v>0</v>
      </c>
      <c r="D19" s="84">
        <f>COUNTIF('Acuerdo Antiguo'!BG:BH,A19)+COUNTIF('N-A Profundizacion'!AG:AG,A19)+COUNTIF('N-A Profundizacion'!AM:AM,A19)+COUNTIF('N-A Investigación'!AN:AN,A19)+COUNTIF('N-A Investigación'!AT:AT,A19)</f>
        <v>0</v>
      </c>
      <c r="E19" s="60"/>
      <c r="F19" s="54" t="s">
        <v>970</v>
      </c>
      <c r="G19" s="733" t="s">
        <v>955</v>
      </c>
      <c r="H19" s="734"/>
      <c r="I19" s="735"/>
    </row>
    <row r="20" spans="1:9" ht="15">
      <c r="A20" t="s">
        <v>504</v>
      </c>
      <c r="B20" s="35">
        <f>COUNTIF('Acuerdo Antiguo'!BD:BD,A20)+COUNTIF('N-A Profundizacion'!BC:BC,A20)+COUNTIF('N-A Investigación'!BF:BF,A20)</f>
        <v>0</v>
      </c>
      <c r="C20" s="33">
        <f>COUNTIF('Acuerdo Antiguo'!BE:BF,A20)</f>
        <v>0</v>
      </c>
      <c r="D20" s="84">
        <f>COUNTIF('Acuerdo Antiguo'!BG:BH,A20)+COUNTIF('N-A Profundizacion'!AG:AG,A20)+COUNTIF('N-A Profundizacion'!AM:AM,A20)+COUNTIF('N-A Investigación'!AN:AN,A20)+COUNTIF('N-A Investigación'!AT:AT,A20)</f>
        <v>0</v>
      </c>
      <c r="E20" s="60"/>
      <c r="F20" s="54"/>
      <c r="G20" s="85"/>
      <c r="H20" s="88"/>
      <c r="I20" s="89"/>
    </row>
    <row r="21" spans="1:9" ht="15">
      <c r="A21" s="81" t="s">
        <v>289</v>
      </c>
      <c r="B21" s="35">
        <f>COUNTIF('Acuerdo Antiguo'!BD:BD,A21)+COUNTIF('N-A Profundizacion'!BC:BC,A21)+COUNTIF('N-A Investigación'!BF:BF,A21)</f>
        <v>0</v>
      </c>
      <c r="C21" s="33">
        <f>COUNTIF('Acuerdo Antiguo'!BE:BF,A21)</f>
        <v>0</v>
      </c>
      <c r="D21" s="84">
        <f>COUNTIF('Acuerdo Antiguo'!BG:BH,A21)+COUNTIF('N-A Profundizacion'!AG:AG,A21)+COUNTIF('N-A Profundizacion'!AM:AM,A21)+COUNTIF('N-A Investigación'!AN:AN,A21)+COUNTIF('N-A Investigación'!AT:AT,A21)</f>
        <v>0</v>
      </c>
      <c r="E21" s="60"/>
      <c r="F21" s="54" t="s">
        <v>971</v>
      </c>
      <c r="G21" s="733" t="s">
        <v>972</v>
      </c>
      <c r="H21" s="734"/>
      <c r="I21" s="735"/>
    </row>
    <row r="22" spans="1:9" ht="15">
      <c r="A22" s="81" t="s">
        <v>973</v>
      </c>
      <c r="B22" s="35">
        <f>COUNTIF('Acuerdo Antiguo'!BD:BD,A22)+COUNTIF('N-A Profundizacion'!BC:BC,A22)+COUNTIF('N-A Investigación'!BF:BF,A22)</f>
        <v>0</v>
      </c>
      <c r="C22" s="33">
        <f>COUNTIF('Acuerdo Antiguo'!BE:BF,A22)</f>
        <v>0</v>
      </c>
      <c r="D22" s="84">
        <f>COUNTIF('Acuerdo Antiguo'!BG:BH,A22)+COUNTIF('N-A Profundizacion'!AG:AG,A22)+COUNTIF('N-A Profundizacion'!AM:AM,A22)+COUNTIF('N-A Investigación'!AN:AN,A22)+COUNTIF('N-A Investigación'!AT:AT,A22)</f>
        <v>0</v>
      </c>
      <c r="E22" s="60"/>
      <c r="F22" s="54" t="s">
        <v>955</v>
      </c>
      <c r="G22" s="733" t="s">
        <v>955</v>
      </c>
      <c r="H22" s="734"/>
      <c r="I22" s="735"/>
    </row>
    <row r="23" spans="1:9" ht="15">
      <c r="A23" s="81" t="s">
        <v>974</v>
      </c>
      <c r="B23" s="35">
        <f>COUNTIF('Acuerdo Antiguo'!BD:BD,A23)+COUNTIF('N-A Profundizacion'!BC:BC,A23)+COUNTIF('N-A Investigación'!BF:BF,A23)</f>
        <v>0</v>
      </c>
      <c r="C23" s="33">
        <f>COUNTIF('Acuerdo Antiguo'!BE:BF,A23)</f>
        <v>0</v>
      </c>
      <c r="D23" s="84">
        <f>COUNTIF('Acuerdo Antiguo'!BG:BH,A23)+COUNTIF('N-A Profundizacion'!AG:AG,A23)+COUNTIF('N-A Profundizacion'!AM:AM,A23)+COUNTIF('N-A Investigación'!AN:AN,A23)+COUNTIF('N-A Investigación'!AT:AT,A23)</f>
        <v>0</v>
      </c>
      <c r="E23" s="60"/>
      <c r="F23" s="54" t="s">
        <v>955</v>
      </c>
      <c r="G23" s="733" t="s">
        <v>955</v>
      </c>
      <c r="H23" s="734"/>
      <c r="I23" s="735"/>
    </row>
    <row r="24" spans="1:9" ht="15">
      <c r="A24" s="81" t="s">
        <v>680</v>
      </c>
      <c r="B24" s="35">
        <f>COUNTIF('Acuerdo Antiguo'!BD:BD,A24)+COUNTIF('N-A Profundizacion'!BC:BC,A24)+COUNTIF('N-A Investigación'!BF:BF,A24)</f>
        <v>0</v>
      </c>
      <c r="C24" s="33">
        <f>COUNTIF('Acuerdo Antiguo'!BE:BF,A24)</f>
        <v>0</v>
      </c>
      <c r="D24" s="84">
        <f>COUNTIF('Acuerdo Antiguo'!BG:BH,A24)+COUNTIF('N-A Profundizacion'!AG:AG,A24)+COUNTIF('N-A Profundizacion'!AM:AM,A24)+COUNTIF('N-A Investigación'!AN:AN,A24)+COUNTIF('N-A Investigación'!AT:AT,A24)</f>
        <v>1</v>
      </c>
      <c r="E24" s="60"/>
      <c r="F24" s="54" t="s">
        <v>975</v>
      </c>
      <c r="G24" s="733" t="s">
        <v>955</v>
      </c>
      <c r="H24" s="734"/>
      <c r="I24" s="735"/>
    </row>
    <row r="25" spans="1:9" ht="15">
      <c r="A25" s="81" t="s">
        <v>350</v>
      </c>
      <c r="B25" s="35">
        <f>COUNTIF('Acuerdo Antiguo'!BD:BD,A25)+COUNTIF('N-A Profundizacion'!BC:BC,A25)+COUNTIF('N-A Investigación'!BF:BF,A25)</f>
        <v>0</v>
      </c>
      <c r="C25" s="33">
        <f>COUNTIF('Acuerdo Antiguo'!BE:BF,A25)</f>
        <v>0</v>
      </c>
      <c r="D25" s="84">
        <f>COUNTIF('Acuerdo Antiguo'!BG:BH,A25)+COUNTIF('N-A Profundizacion'!AG:AG,A25)+COUNTIF('N-A Profundizacion'!AM:AM,A25)+COUNTIF('N-A Investigación'!AN:AN,A25)+COUNTIF('N-A Investigación'!AT:AT,A25)</f>
        <v>1</v>
      </c>
      <c r="E25" s="60"/>
      <c r="F25" s="54" t="s">
        <v>976</v>
      </c>
      <c r="G25" s="733" t="s">
        <v>944</v>
      </c>
      <c r="H25" s="734"/>
      <c r="I25" s="735"/>
    </row>
    <row r="26" spans="1:9" ht="15">
      <c r="A26" s="83" t="s">
        <v>977</v>
      </c>
      <c r="B26" s="35">
        <f>COUNTIF('Acuerdo Antiguo'!BD:BD,A26)+COUNTIF('N-A Profundizacion'!BC:BC,A26)+COUNTIF('N-A Investigación'!BF:BF,A26)</f>
        <v>0</v>
      </c>
      <c r="C26" s="33">
        <f>COUNTIF('Acuerdo Antiguo'!BE:BF,A26)</f>
        <v>0</v>
      </c>
      <c r="D26" s="84">
        <f>COUNTIF('Acuerdo Antiguo'!BG:BH,A26)+COUNTIF('N-A Profundizacion'!AG:AG,A26)+COUNTIF('N-A Profundizacion'!AM:AM,A26)+COUNTIF('N-A Investigación'!AN:AN,A26)+COUNTIF('N-A Investigación'!AT:AT,A26)</f>
        <v>0</v>
      </c>
      <c r="E26" s="60"/>
      <c r="F26" s="54" t="s">
        <v>955</v>
      </c>
      <c r="G26" s="733" t="s">
        <v>955</v>
      </c>
      <c r="H26" s="734"/>
      <c r="I26" s="735"/>
    </row>
    <row r="27" spans="1:9" ht="15">
      <c r="A27" s="81" t="s">
        <v>978</v>
      </c>
      <c r="B27" s="35">
        <f>COUNTIF('Acuerdo Antiguo'!BD:BD,A27)+COUNTIF('N-A Profundizacion'!BC:BC,A27)+COUNTIF('N-A Investigación'!BF:BF,A27)</f>
        <v>0</v>
      </c>
      <c r="C27" s="33">
        <f>COUNTIF('Acuerdo Antiguo'!BE:BF,A27)</f>
        <v>0</v>
      </c>
      <c r="D27" s="84">
        <f>COUNTIF('Acuerdo Antiguo'!BG:BH,A27)+COUNTIF('N-A Profundizacion'!AG:AG,A27)+COUNTIF('N-A Profundizacion'!AM:AM,A27)+COUNTIF('N-A Investigación'!AN:AN,A27)+COUNTIF('N-A Investigación'!AT:AT,A27)</f>
        <v>0</v>
      </c>
      <c r="E27" s="60"/>
      <c r="F27" s="54" t="s">
        <v>955</v>
      </c>
      <c r="G27" s="733" t="s">
        <v>955</v>
      </c>
      <c r="H27" s="734"/>
      <c r="I27" s="735"/>
    </row>
    <row r="28" spans="1:9" ht="15">
      <c r="A28" s="81" t="s">
        <v>564</v>
      </c>
      <c r="B28" s="35">
        <f>COUNTIF('Acuerdo Antiguo'!BD:BD,A28)+COUNTIF('N-A Profundizacion'!BC:BC,A28)+COUNTIF('N-A Investigación'!BF:BF,A28)</f>
        <v>0</v>
      </c>
      <c r="C28" s="33">
        <f>COUNTIF('Acuerdo Antiguo'!BE:BF,A28)</f>
        <v>0</v>
      </c>
      <c r="D28" s="84">
        <f>COUNTIF('Acuerdo Antiguo'!BG:BH,A28)+COUNTIF('N-A Profundizacion'!AG:AG,A28)+COUNTIF('N-A Profundizacion'!AM:AM,A28)+COUNTIF('N-A Investigación'!AN:AN,A28)+COUNTIF('N-A Investigación'!AT:AT,A28)</f>
        <v>0</v>
      </c>
      <c r="E28" s="60"/>
      <c r="F28" s="54" t="s">
        <v>979</v>
      </c>
      <c r="G28" s="733" t="s">
        <v>980</v>
      </c>
      <c r="H28" s="734"/>
      <c r="I28" s="735"/>
    </row>
    <row r="29" spans="1:9" ht="15">
      <c r="A29" s="501" t="s">
        <v>981</v>
      </c>
      <c r="B29" s="35">
        <f>COUNTIF('Acuerdo Antiguo'!BD:BD,A29)+COUNTIF('N-A Profundizacion'!BC:BC,A29)+COUNTIF('N-A Investigación'!BF:BF,A29)</f>
        <v>0</v>
      </c>
      <c r="C29" s="33">
        <f>COUNTIF('Acuerdo Antiguo'!BE:BF,A29)</f>
        <v>0</v>
      </c>
      <c r="D29" s="84">
        <f>COUNTIF('Acuerdo Antiguo'!BG:BH,A29)+COUNTIF('N-A Profundizacion'!AG:AG,A29)+COUNTIF('N-A Profundizacion'!AM:AM,A29)+COUNTIF('N-A Investigación'!AN:AN,A29)+COUNTIF('N-A Investigación'!AT:AT,A29)</f>
        <v>0</v>
      </c>
      <c r="E29" s="60"/>
      <c r="F29" s="54"/>
      <c r="G29" s="85"/>
      <c r="H29" s="88"/>
      <c r="I29" s="89"/>
    </row>
    <row r="30" spans="1:9" ht="15">
      <c r="A30" s="81" t="s">
        <v>448</v>
      </c>
      <c r="B30" s="35">
        <f>COUNTIF('Acuerdo Antiguo'!BD:BD,A30)+COUNTIF('N-A Profundizacion'!BC:BC,A30)+COUNTIF('N-A Investigación'!BF:BF,A30)</f>
        <v>0</v>
      </c>
      <c r="C30" s="33">
        <f>COUNTIF('Acuerdo Antiguo'!BE:BF,A30)</f>
        <v>0</v>
      </c>
      <c r="D30" s="84">
        <f>COUNTIF('Acuerdo Antiguo'!BG:BH,A30)+COUNTIF('N-A Profundizacion'!AG:AG,A30)+COUNTIF('N-A Profundizacion'!AM:AM,A30)+COUNTIF('N-A Investigación'!AN:AN,A30)+COUNTIF('N-A Investigación'!AT:AT,A30)</f>
        <v>0</v>
      </c>
      <c r="E30" s="60"/>
      <c r="F30" s="54" t="s">
        <v>982</v>
      </c>
      <c r="G30" s="733" t="s">
        <v>961</v>
      </c>
      <c r="H30" s="734"/>
      <c r="I30" s="735"/>
    </row>
    <row r="31" spans="1:9" ht="15">
      <c r="A31" s="81" t="s">
        <v>222</v>
      </c>
      <c r="B31" s="35">
        <f>COUNTIF('Acuerdo Antiguo'!BD:BD,A31)+COUNTIF('N-A Profundizacion'!BC:BC,A31)+COUNTIF('N-A Investigación'!BF:BF,A31)</f>
        <v>0</v>
      </c>
      <c r="C31" s="33">
        <f>COUNTIF('Acuerdo Antiguo'!BE:BF,A31)</f>
        <v>0</v>
      </c>
      <c r="D31" s="84">
        <f>COUNTIF('Acuerdo Antiguo'!BG:BH,A31)+COUNTIF('N-A Profundizacion'!AG:AG,A31)+COUNTIF('N-A Profundizacion'!AM:AM,A31)+COUNTIF('N-A Investigación'!AN:AN,A31)+COUNTIF('N-A Investigación'!AT:AT,A31)</f>
        <v>2</v>
      </c>
      <c r="E31" s="60"/>
      <c r="F31" s="53" t="s">
        <v>983</v>
      </c>
      <c r="G31" s="733" t="s">
        <v>984</v>
      </c>
      <c r="H31" s="734"/>
      <c r="I31" s="735"/>
    </row>
    <row r="32" spans="1:9" ht="15">
      <c r="A32" s="81" t="s">
        <v>985</v>
      </c>
      <c r="B32" s="35">
        <f>COUNTIF('Acuerdo Antiguo'!BD:BD,A32)+COUNTIF('N-A Profundizacion'!BC:BC,A32)+COUNTIF('N-A Investigación'!BF:BF,A32)</f>
        <v>0</v>
      </c>
      <c r="C32" s="33">
        <f>COUNTIF('Acuerdo Antiguo'!BE:BF,A32)</f>
        <v>0</v>
      </c>
      <c r="D32" s="84">
        <f>COUNTIF('Acuerdo Antiguo'!BG:BH,A32)+COUNTIF('N-A Profundizacion'!AG:AG,A32)+COUNTIF('N-A Profundizacion'!AM:AM,A32)+COUNTIF('N-A Investigación'!AN:AN,A32)+COUNTIF('N-A Investigación'!AT:AT,A32)</f>
        <v>0</v>
      </c>
      <c r="E32" s="60"/>
      <c r="F32" s="54" t="s">
        <v>955</v>
      </c>
      <c r="G32" s="733" t="s">
        <v>955</v>
      </c>
      <c r="H32" s="734"/>
      <c r="I32" s="735"/>
    </row>
    <row r="33" spans="1:9" ht="15">
      <c r="A33" s="81" t="s">
        <v>691</v>
      </c>
      <c r="B33" s="35">
        <f>COUNTIF('Acuerdo Antiguo'!BD:BD,A33)+COUNTIF('N-A Profundizacion'!BC:BC,A33)+COUNTIF('N-A Investigación'!BF:BF,A33)</f>
        <v>0</v>
      </c>
      <c r="C33" s="33">
        <f>COUNTIF('Acuerdo Antiguo'!BE:BF,A33)</f>
        <v>0</v>
      </c>
      <c r="D33" s="84">
        <f>COUNTIF('Acuerdo Antiguo'!BG:BH,A33)+COUNTIF('N-A Profundizacion'!AG:AG,A33)+COUNTIF('N-A Profundizacion'!AM:AM,A33)+COUNTIF('N-A Investigación'!AN:AN,A33)+COUNTIF('N-A Investigación'!AT:AT,A33)</f>
        <v>0</v>
      </c>
      <c r="E33" s="60"/>
      <c r="F33" s="54" t="s">
        <v>986</v>
      </c>
      <c r="G33" s="733" t="s">
        <v>987</v>
      </c>
      <c r="H33" s="734"/>
      <c r="I33" s="735"/>
    </row>
    <row r="34" spans="1:9" ht="15">
      <c r="A34" s="80" t="s">
        <v>524</v>
      </c>
      <c r="B34" s="35">
        <f>COUNTIF('Acuerdo Antiguo'!BD:BD,A34)+COUNTIF('N-A Profundizacion'!BC:BC,A34)+COUNTIF('N-A Investigación'!BF:BF,A34)</f>
        <v>0</v>
      </c>
      <c r="C34" s="33">
        <f>COUNTIF('Acuerdo Antiguo'!BE:BF,A34)</f>
        <v>0</v>
      </c>
      <c r="D34" s="84">
        <f>COUNTIF('Acuerdo Antiguo'!BG:BH,A34)+COUNTIF('N-A Profundizacion'!AG:AG,A34)+COUNTIF('N-A Profundizacion'!AM:AM,A34)+COUNTIF('N-A Investigación'!AN:AN,A34)+COUNTIF('N-A Investigación'!AT:AT,A34)</f>
        <v>0</v>
      </c>
      <c r="E34" s="60"/>
      <c r="F34" s="54" t="s">
        <v>982</v>
      </c>
      <c r="G34" s="733" t="s">
        <v>961</v>
      </c>
      <c r="H34" s="734"/>
      <c r="I34" s="735"/>
    </row>
    <row r="35" spans="1:9" ht="15">
      <c r="A35" s="80" t="s">
        <v>988</v>
      </c>
      <c r="B35" s="35">
        <f>COUNTIF('Acuerdo Antiguo'!BD:BD,A35)+COUNTIF('N-A Profundizacion'!BC:BC,A35)+COUNTIF('N-A Investigación'!BF:BF,A35)</f>
        <v>0</v>
      </c>
      <c r="C35" s="33">
        <f>COUNTIF('Acuerdo Antiguo'!BE:BF,A35)</f>
        <v>0</v>
      </c>
      <c r="D35" s="84">
        <f>COUNTIF('Acuerdo Antiguo'!BG:BH,A35)+COUNTIF('N-A Profundizacion'!AG:AG,A35)+COUNTIF('N-A Profundizacion'!AM:AM,A35)+COUNTIF('N-A Investigación'!AN:AN,A35)+COUNTIF('N-A Investigación'!AT:AT,A35)</f>
        <v>0</v>
      </c>
      <c r="E35" s="60"/>
      <c r="F35" s="54" t="s">
        <v>955</v>
      </c>
      <c r="G35" s="733" t="s">
        <v>955</v>
      </c>
      <c r="H35" s="734"/>
      <c r="I35" s="735"/>
    </row>
    <row r="36" spans="1:9" ht="15">
      <c r="A36" s="81" t="s">
        <v>989</v>
      </c>
      <c r="B36" s="35">
        <f>COUNTIF('Acuerdo Antiguo'!BD:BD,A36)+COUNTIF('N-A Profundizacion'!BC:BC,A36)+COUNTIF('N-A Investigación'!BF:BF,A36)</f>
        <v>0</v>
      </c>
      <c r="C36" s="33">
        <f>COUNTIF('Acuerdo Antiguo'!BE:BF,A36)</f>
        <v>0</v>
      </c>
      <c r="D36" s="84">
        <f>COUNTIF('Acuerdo Antiguo'!BG:BH,A36)+COUNTIF('N-A Profundizacion'!AG:AG,A36)+COUNTIF('N-A Profundizacion'!AM:AM,A36)+COUNTIF('N-A Investigación'!AN:AN,A36)+COUNTIF('N-A Investigación'!AT:AT,A36)</f>
        <v>0</v>
      </c>
      <c r="E36" s="60"/>
      <c r="F36" s="54" t="s">
        <v>979</v>
      </c>
      <c r="G36" s="733" t="s">
        <v>980</v>
      </c>
      <c r="H36" s="734"/>
      <c r="I36" s="735"/>
    </row>
    <row r="37" spans="1:9" ht="15">
      <c r="A37" s="82" t="s">
        <v>303</v>
      </c>
      <c r="B37" s="35">
        <f>COUNTIF('Acuerdo Antiguo'!BD:BD,A37)+COUNTIF('N-A Profundizacion'!BC:BC,A37)+COUNTIF('N-A Investigación'!BF:BF,A37)</f>
        <v>2</v>
      </c>
      <c r="C37" s="33">
        <f>COUNTIF('Acuerdo Antiguo'!BE:BF,A37)</f>
        <v>0</v>
      </c>
      <c r="D37" s="84">
        <f>COUNTIF('Acuerdo Antiguo'!BG:BH,A37)+COUNTIF('N-A Profundizacion'!AG:AG,A37)+COUNTIF('N-A Profundizacion'!AM:AM,A37)+COUNTIF('N-A Investigación'!AN:AN,A37)+COUNTIF('N-A Investigación'!AT:AT,A37)</f>
        <v>1</v>
      </c>
      <c r="E37" s="60"/>
      <c r="F37" s="54" t="s">
        <v>990</v>
      </c>
      <c r="G37" s="733" t="s">
        <v>991</v>
      </c>
      <c r="H37" s="734"/>
      <c r="I37" s="735"/>
    </row>
    <row r="38" spans="1:9" ht="15">
      <c r="A38" s="82" t="s">
        <v>247</v>
      </c>
      <c r="B38" s="35">
        <f>COUNTIF('Acuerdo Antiguo'!BD:BD,A38)+COUNTIF('N-A Profundizacion'!BC:BC,A38)+COUNTIF('N-A Investigación'!BF:BF,A38)</f>
        <v>0</v>
      </c>
      <c r="C38" s="33">
        <f>COUNTIF('Acuerdo Antiguo'!BE:BF,A38)</f>
        <v>0</v>
      </c>
      <c r="D38" s="84">
        <f>COUNTIF('Acuerdo Antiguo'!BG:BH,A38)+COUNTIF('N-A Profundizacion'!AG:AG,A38)+COUNTIF('N-A Profundizacion'!AM:AM,A38)+COUNTIF('N-A Investigación'!AN:AN,A38)+COUNTIF('N-A Investigación'!AT:AT,A38)</f>
        <v>1</v>
      </c>
      <c r="E38" s="60"/>
      <c r="F38" s="54" t="s">
        <v>992</v>
      </c>
      <c r="G38" s="733" t="s">
        <v>993</v>
      </c>
      <c r="H38" s="734"/>
      <c r="I38" s="735"/>
    </row>
    <row r="39" spans="1:9" ht="15">
      <c r="A39" s="81" t="s">
        <v>994</v>
      </c>
      <c r="B39" s="35">
        <f>COUNTIF('Acuerdo Antiguo'!BD:BD,A39)+COUNTIF('N-A Profundizacion'!BC:BC,A39)+COUNTIF('N-A Investigación'!BF:BF,A39)</f>
        <v>0</v>
      </c>
      <c r="C39" s="33">
        <f>COUNTIF('Acuerdo Antiguo'!BE:BF,A39)</f>
        <v>0</v>
      </c>
      <c r="D39" s="84">
        <f>COUNTIF('Acuerdo Antiguo'!BG:BH,A39)+COUNTIF('N-A Profundizacion'!AG:AG,A39)+COUNTIF('N-A Profundizacion'!AM:AM,A39)+COUNTIF('N-A Investigación'!AN:AN,A39)+COUNTIF('N-A Investigación'!AT:AT,A39)</f>
        <v>0</v>
      </c>
      <c r="E39" s="60"/>
      <c r="F39" s="54" t="s">
        <v>995</v>
      </c>
      <c r="G39" s="733" t="s">
        <v>955</v>
      </c>
      <c r="H39" s="734"/>
      <c r="I39" s="735"/>
    </row>
    <row r="40" spans="1:9" ht="15">
      <c r="A40" s="81" t="s">
        <v>996</v>
      </c>
      <c r="B40" s="35">
        <f>COUNTIF('Acuerdo Antiguo'!BD:BD,A40)+COUNTIF('N-A Profundizacion'!BC:BC,A40)+COUNTIF('N-A Investigación'!BF:BF,A40)</f>
        <v>0</v>
      </c>
      <c r="C40" s="33">
        <f>COUNTIF('Acuerdo Antiguo'!BE:BF,A40)</f>
        <v>0</v>
      </c>
      <c r="D40" s="84">
        <f>COUNTIF('Acuerdo Antiguo'!BG:BH,A40)+COUNTIF('N-A Profundizacion'!AG:AG,A40)+COUNTIF('N-A Profundizacion'!AM:AM,A40)+COUNTIF('N-A Investigación'!AN:AN,A40)+COUNTIF('N-A Investigación'!AT:AT,A40)</f>
        <v>0</v>
      </c>
      <c r="E40" s="60"/>
      <c r="F40" s="54" t="s">
        <v>997</v>
      </c>
      <c r="G40" s="733" t="s">
        <v>987</v>
      </c>
      <c r="H40" s="734"/>
      <c r="I40" s="735"/>
    </row>
    <row r="41" spans="1:9" ht="15">
      <c r="A41" s="82" t="s">
        <v>998</v>
      </c>
      <c r="B41" s="35">
        <f>COUNTIF('Acuerdo Antiguo'!BD:BD,A41)+COUNTIF('N-A Profundizacion'!BC:BC,A41)+COUNTIF('N-A Investigación'!BF:BF,A41)</f>
        <v>0</v>
      </c>
      <c r="C41" s="33">
        <f>COUNTIF('Acuerdo Antiguo'!BE:BF,A41)</f>
        <v>0</v>
      </c>
      <c r="D41" s="84">
        <f>COUNTIF('Acuerdo Antiguo'!BG:BH,A41)+COUNTIF('N-A Profundizacion'!AG:AG,A41)+COUNTIF('N-A Profundizacion'!AM:AM,A41)+COUNTIF('N-A Investigación'!AN:AN,A41)+COUNTIF('N-A Investigación'!AT:AT,A41)</f>
        <v>0</v>
      </c>
      <c r="E41" s="60"/>
      <c r="F41" s="54" t="s">
        <v>992</v>
      </c>
      <c r="G41" s="733" t="s">
        <v>993</v>
      </c>
      <c r="H41" s="734"/>
      <c r="I41" s="735"/>
    </row>
    <row r="42" spans="1:9" ht="15">
      <c r="A42" s="81" t="s">
        <v>999</v>
      </c>
      <c r="B42" s="35">
        <f>COUNTIF('Acuerdo Antiguo'!BD:BD,A42)+COUNTIF('N-A Profundizacion'!BC:BC,A42)+COUNTIF('N-A Investigación'!BF:BF,A42)</f>
        <v>0</v>
      </c>
      <c r="C42" s="33">
        <f>COUNTIF('Acuerdo Antiguo'!BE:BF,A42)</f>
        <v>0</v>
      </c>
      <c r="D42" s="84">
        <f>COUNTIF('Acuerdo Antiguo'!BG:BH,A42)+COUNTIF('N-A Profundizacion'!AG:AG,A42)+COUNTIF('N-A Profundizacion'!AM:AM,A42)+COUNTIF('N-A Investigación'!AN:AN,A42)+COUNTIF('N-A Investigación'!AT:AT,A42)</f>
        <v>0</v>
      </c>
      <c r="E42" s="60"/>
      <c r="F42" s="32" t="s">
        <v>1000</v>
      </c>
      <c r="G42" s="733" t="s">
        <v>1001</v>
      </c>
      <c r="H42" s="734"/>
      <c r="I42" s="735"/>
    </row>
    <row r="43" spans="1:9" ht="15">
      <c r="A43" s="81" t="s">
        <v>1002</v>
      </c>
      <c r="B43" s="35">
        <f>COUNTIF('Acuerdo Antiguo'!BD:BD,A43)+COUNTIF('N-A Profundizacion'!BC:BC,A43)+COUNTIF('N-A Investigación'!BF:BF,A43)</f>
        <v>0</v>
      </c>
      <c r="C43" s="33">
        <f>COUNTIF('Acuerdo Antiguo'!BE:BF,A43)</f>
        <v>0</v>
      </c>
      <c r="D43" s="84">
        <f>COUNTIF('Acuerdo Antiguo'!BG:BH,A43)+COUNTIF('N-A Profundizacion'!AG:AG,A43)+COUNTIF('N-A Profundizacion'!AM:AM,A43)+COUNTIF('N-A Investigación'!AN:AN,A43)+COUNTIF('N-A Investigación'!AT:AT,A43)</f>
        <v>0</v>
      </c>
      <c r="E43" s="60"/>
      <c r="F43" s="54" t="s">
        <v>1003</v>
      </c>
      <c r="G43" s="733" t="s">
        <v>955</v>
      </c>
      <c r="H43" s="734"/>
      <c r="I43" s="735"/>
    </row>
    <row r="44" spans="1:9" ht="15">
      <c r="A44" s="81" t="s">
        <v>1004</v>
      </c>
      <c r="B44" s="35">
        <f>COUNTIF('Acuerdo Antiguo'!BD:BD,A44)+COUNTIF('N-A Profundizacion'!BC:BC,A44)+COUNTIF('N-A Investigación'!BF:BF,A44)</f>
        <v>0</v>
      </c>
      <c r="C44" s="33">
        <f>COUNTIF('Acuerdo Antiguo'!BE:BF,A44)</f>
        <v>0</v>
      </c>
      <c r="D44" s="84">
        <f>COUNTIF('Acuerdo Antiguo'!BG:BH,A44)+COUNTIF('N-A Profundizacion'!AG:AG,A44)+COUNTIF('N-A Profundizacion'!AM:AM,A44)+COUNTIF('N-A Investigación'!AN:AN,A44)+COUNTIF('N-A Investigación'!AT:AT,A44)</f>
        <v>0</v>
      </c>
      <c r="E44" s="60"/>
      <c r="F44" s="54" t="s">
        <v>955</v>
      </c>
      <c r="G44" s="733" t="s">
        <v>955</v>
      </c>
      <c r="H44" s="734"/>
      <c r="I44" s="735"/>
    </row>
    <row r="45" spans="1:9" ht="15">
      <c r="A45" s="81" t="s">
        <v>874</v>
      </c>
      <c r="B45" s="35">
        <f>COUNTIF('Acuerdo Antiguo'!BD:BD,A45)+COUNTIF('N-A Profundizacion'!BC:BC,A45)+COUNTIF('N-A Investigación'!BF:BF,A45)</f>
        <v>0</v>
      </c>
      <c r="C45" s="33">
        <f>COUNTIF('Acuerdo Antiguo'!BE:BF,A45)</f>
        <v>0</v>
      </c>
      <c r="D45" s="84">
        <f>COUNTIF('Acuerdo Antiguo'!BG:BH,A45)+COUNTIF('N-A Profundizacion'!AG:AG,A45)+COUNTIF('N-A Profundizacion'!AM:AM,A45)+COUNTIF('N-A Investigación'!AN:AN,A45)+COUNTIF('N-A Investigación'!AT:AT,A45)</f>
        <v>1</v>
      </c>
      <c r="E45" s="60"/>
      <c r="F45" s="54" t="s">
        <v>1005</v>
      </c>
      <c r="G45" s="733" t="s">
        <v>1006</v>
      </c>
      <c r="H45" s="734"/>
      <c r="I45" s="735"/>
    </row>
    <row r="46" spans="1:9" ht="15">
      <c r="A46" s="81" t="s">
        <v>467</v>
      </c>
      <c r="B46" s="35"/>
      <c r="C46" s="33"/>
      <c r="D46" s="84"/>
      <c r="E46" s="60"/>
      <c r="F46" s="54"/>
      <c r="G46" s="85"/>
      <c r="H46" s="88"/>
      <c r="I46" s="89"/>
    </row>
    <row r="47" spans="1:9" ht="15">
      <c r="A47" s="81" t="s">
        <v>1007</v>
      </c>
      <c r="B47" s="35">
        <f>COUNTIF('Acuerdo Antiguo'!BD:BD,A47)+COUNTIF('N-A Profundizacion'!BC:BC,A47)+COUNTIF('N-A Investigación'!BF:BF,A47)</f>
        <v>0</v>
      </c>
      <c r="C47" s="33">
        <f>COUNTIF('Acuerdo Antiguo'!BE:BF,A47)</f>
        <v>0</v>
      </c>
      <c r="D47" s="84">
        <f>COUNTIF('Acuerdo Antiguo'!BG:BH,A47)+COUNTIF('N-A Profundizacion'!AG:AG,A47)+COUNTIF('N-A Profundizacion'!AM:AM,A47)+COUNTIF('N-A Investigación'!AN:AN,A47)+COUNTIF('N-A Investigación'!AT:AT,A47)</f>
        <v>0</v>
      </c>
      <c r="E47" s="60"/>
      <c r="F47" s="54" t="s">
        <v>1008</v>
      </c>
      <c r="G47" s="733" t="s">
        <v>1009</v>
      </c>
      <c r="H47" s="734"/>
      <c r="I47" s="735"/>
    </row>
    <row r="48" spans="1:9" ht="15">
      <c r="A48" s="81" t="s">
        <v>242</v>
      </c>
      <c r="B48" s="35">
        <f>COUNTIF('Acuerdo Antiguo'!BD:BD,A48)+COUNTIF('N-A Profundizacion'!BC:BC,A48)+COUNTIF('N-A Investigación'!BF:BF,A48)</f>
        <v>0</v>
      </c>
      <c r="C48" s="33">
        <f>COUNTIF('Acuerdo Antiguo'!BE:BF,A48)</f>
        <v>0</v>
      </c>
      <c r="D48" s="84">
        <f>COUNTIF('Acuerdo Antiguo'!BG:BH,A48)+COUNTIF('N-A Profundizacion'!AG:AG,A48)+COUNTIF('N-A Profundizacion'!AM:AM,A48)+COUNTIF('N-A Investigación'!AN:AN,A48)+COUNTIF('N-A Investigación'!AT:AT,A48)</f>
        <v>0</v>
      </c>
      <c r="E48" s="60"/>
      <c r="F48" s="54" t="s">
        <v>1010</v>
      </c>
      <c r="G48" s="733" t="s">
        <v>1011</v>
      </c>
      <c r="H48" s="734"/>
      <c r="I48" s="735"/>
    </row>
    <row r="49" spans="1:9" ht="15">
      <c r="A49" t="s">
        <v>904</v>
      </c>
      <c r="B49" s="35">
        <f>COUNTIF('Acuerdo Antiguo'!BD:BD,A49)+COUNTIF('N-A Profundizacion'!BC:BC,A49)+COUNTIF('N-A Investigación'!BF:BF,A49)</f>
        <v>0</v>
      </c>
      <c r="C49" s="33">
        <f>COUNTIF('Acuerdo Antiguo'!BE:BF,A49)</f>
        <v>0</v>
      </c>
      <c r="D49" s="84">
        <f>COUNTIF('Acuerdo Antiguo'!BG:BH,A49)+COUNTIF('N-A Profundizacion'!AG:AG,A49)+COUNTIF('N-A Profundizacion'!AM:AM,A49)+COUNTIF('N-A Investigación'!AN:AN,A49)+COUNTIF('N-A Investigación'!AT:AT,A49)</f>
        <v>0</v>
      </c>
      <c r="E49" s="60"/>
      <c r="F49" s="54" t="s">
        <v>955</v>
      </c>
      <c r="G49" s="733" t="s">
        <v>955</v>
      </c>
      <c r="H49" s="734"/>
      <c r="I49" s="735"/>
    </row>
    <row r="50" spans="1:9" ht="15">
      <c r="A50" s="81" t="s">
        <v>1012</v>
      </c>
      <c r="B50" s="35">
        <f>COUNTIF('Acuerdo Antiguo'!BD:BD,A50)+COUNTIF('N-A Profundizacion'!BC:BC,A50)+COUNTIF('N-A Investigación'!BF:BF,A50)</f>
        <v>0</v>
      </c>
      <c r="C50" s="33">
        <f>COUNTIF('Acuerdo Antiguo'!BE:BF,A50)</f>
        <v>0</v>
      </c>
      <c r="D50" s="84">
        <f>COUNTIF('Acuerdo Antiguo'!BG:BH,A50)+COUNTIF('N-A Profundizacion'!AG:AG,A50)+COUNTIF('N-A Profundizacion'!AM:AM,A50)+COUNTIF('N-A Investigación'!AN:AN,A50)+COUNTIF('N-A Investigación'!AT:AT,A50)</f>
        <v>0</v>
      </c>
      <c r="E50" s="60"/>
      <c r="F50" s="54" t="s">
        <v>1013</v>
      </c>
      <c r="G50" s="733" t="s">
        <v>1014</v>
      </c>
      <c r="H50" s="734"/>
      <c r="I50" s="735"/>
    </row>
    <row r="51" spans="1:9" ht="15">
      <c r="A51" s="81" t="s">
        <v>452</v>
      </c>
      <c r="B51" s="35">
        <f>COUNTIF('Acuerdo Antiguo'!BD:BD,A51)+COUNTIF('N-A Profundizacion'!BC:BC,A51)+COUNTIF('N-A Investigación'!BF:BF,A51)</f>
        <v>0</v>
      </c>
      <c r="C51" s="33">
        <f>COUNTIF('Acuerdo Antiguo'!BE:BF,A51)</f>
        <v>0</v>
      </c>
      <c r="D51" s="84">
        <f>COUNTIF('Acuerdo Antiguo'!BG:BH,A51)+COUNTIF('N-A Profundizacion'!AG:AG,A51)+COUNTIF('N-A Profundizacion'!AM:AM,A51)+COUNTIF('N-A Investigación'!AN:AN,A51)+COUNTIF('N-A Investigación'!AT:AT,A51)</f>
        <v>1</v>
      </c>
      <c r="E51" s="60"/>
      <c r="F51" s="54" t="s">
        <v>1015</v>
      </c>
      <c r="G51" s="733" t="s">
        <v>961</v>
      </c>
      <c r="H51" s="734"/>
      <c r="I51" s="735"/>
    </row>
    <row r="52" spans="1:9" ht="15">
      <c r="A52" s="81" t="s">
        <v>630</v>
      </c>
      <c r="B52" s="35"/>
      <c r="C52" s="33"/>
      <c r="D52" s="84"/>
      <c r="E52" s="60"/>
      <c r="F52" s="54"/>
      <c r="G52" s="85"/>
      <c r="H52" s="88"/>
      <c r="I52" s="89"/>
    </row>
    <row r="53" spans="1:9" ht="15">
      <c r="A53" s="81" t="s">
        <v>305</v>
      </c>
      <c r="B53" s="35">
        <f>COUNTIF('Acuerdo Antiguo'!BD:BD,A53)+COUNTIF('N-A Profundizacion'!BC:BC,A53)+COUNTIF('N-A Investigación'!BF:BF,A53)</f>
        <v>0</v>
      </c>
      <c r="C53" s="33">
        <f>COUNTIF('Acuerdo Antiguo'!BE:BF,A53)</f>
        <v>0</v>
      </c>
      <c r="D53" s="84">
        <f>COUNTIF('Acuerdo Antiguo'!BG:BH,A53)+COUNTIF('N-A Profundizacion'!AG:AG,A53)+COUNTIF('N-A Profundizacion'!AM:AM,A53)+COUNTIF('N-A Investigación'!AN:AN,A53)+COUNTIF('N-A Investigación'!AT:AT,A53)</f>
        <v>1</v>
      </c>
      <c r="E53" s="60"/>
      <c r="F53" s="54" t="s">
        <v>1016</v>
      </c>
      <c r="G53" s="733" t="s">
        <v>1017</v>
      </c>
      <c r="H53" s="734"/>
      <c r="I53" s="735"/>
    </row>
    <row r="54" spans="1:9" ht="15">
      <c r="A54" s="81" t="s">
        <v>265</v>
      </c>
      <c r="B54" s="35">
        <f>COUNTIF('Acuerdo Antiguo'!BD:BD,A54)+COUNTIF('N-A Profundizacion'!BC:BC,A54)+COUNTIF('N-A Investigación'!BF:BF,A54)</f>
        <v>1</v>
      </c>
      <c r="C54" s="33">
        <f>COUNTIF('Acuerdo Antiguo'!BE:BF,A54)</f>
        <v>0</v>
      </c>
      <c r="D54" s="84">
        <f>COUNTIF('Acuerdo Antiguo'!BG:BH,A54)+COUNTIF('N-A Profundizacion'!AG:AG,A54)+COUNTIF('N-A Profundizacion'!AM:AM,A54)+COUNTIF('N-A Investigación'!AN:AN,A54)+COUNTIF('N-A Investigación'!AT:AT,A54)</f>
        <v>0</v>
      </c>
      <c r="E54" s="60"/>
      <c r="F54" s="54" t="s">
        <v>955</v>
      </c>
      <c r="G54" s="733" t="s">
        <v>955</v>
      </c>
      <c r="H54" s="734"/>
      <c r="I54" s="735"/>
    </row>
    <row r="55" spans="1:9" ht="15">
      <c r="A55" s="81" t="s">
        <v>584</v>
      </c>
      <c r="B55" s="35">
        <f>COUNTIF('Acuerdo Antiguo'!BD:BD,A55)+COUNTIF('N-A Profundizacion'!BC:BC,A55)+COUNTIF('N-A Investigación'!BF:BF,A55)</f>
        <v>0</v>
      </c>
      <c r="C55" s="33">
        <f>COUNTIF('Acuerdo Antiguo'!BE:BF,A55)</f>
        <v>0</v>
      </c>
      <c r="D55" s="84">
        <f>COUNTIF('Acuerdo Antiguo'!BG:BH,A55)+COUNTIF('N-A Profundizacion'!AG:AG,A55)+COUNTIF('N-A Profundizacion'!AM:AM,A55)+COUNTIF('N-A Investigación'!AN:AN,A55)+COUNTIF('N-A Investigación'!AT:AT,A55)</f>
        <v>0</v>
      </c>
      <c r="E55" s="60"/>
      <c r="F55" s="53" t="s">
        <v>1018</v>
      </c>
      <c r="G55" s="733" t="s">
        <v>1009</v>
      </c>
      <c r="H55" s="734"/>
      <c r="I55" s="735"/>
    </row>
    <row r="56" spans="1:9" ht="15">
      <c r="A56" s="81" t="s">
        <v>220</v>
      </c>
      <c r="B56" s="35">
        <f>COUNTIF('Acuerdo Antiguo'!BD:BD,A56)+COUNTIF('N-A Profundizacion'!BC:BC,A56)+COUNTIF('N-A Investigación'!BF:BF,A56)</f>
        <v>0</v>
      </c>
      <c r="C56" s="33">
        <f>COUNTIF('Acuerdo Antiguo'!BE:BF,A56)</f>
        <v>0</v>
      </c>
      <c r="D56" s="84">
        <f>COUNTIF('Acuerdo Antiguo'!BG:BH,A56)+COUNTIF('N-A Profundizacion'!AG:AG,A56)+COUNTIF('N-A Profundizacion'!AM:AM,A56)+COUNTIF('N-A Investigación'!AN:AN,A56)+COUNTIF('N-A Investigación'!AT:AT,A56)</f>
        <v>0</v>
      </c>
      <c r="E56" s="60"/>
      <c r="F56" s="54" t="s">
        <v>1019</v>
      </c>
      <c r="G56" s="733" t="s">
        <v>1020</v>
      </c>
      <c r="H56" s="734"/>
      <c r="I56" s="735"/>
    </row>
    <row r="57" spans="1:9" ht="15">
      <c r="A57" s="81" t="s">
        <v>272</v>
      </c>
      <c r="B57" s="35">
        <f>COUNTIF('Acuerdo Antiguo'!BD:BD,A57)+COUNTIF('N-A Profundizacion'!BC:BC,A57)+COUNTIF('N-A Investigación'!BF:BF,A57)</f>
        <v>0</v>
      </c>
      <c r="C57" s="33">
        <f>COUNTIF('Acuerdo Antiguo'!BE:BF,A57)</f>
        <v>0</v>
      </c>
      <c r="D57" s="84">
        <f>COUNTIF('Acuerdo Antiguo'!BG:BH,A57)+COUNTIF('N-A Profundizacion'!AG:AG,A57)+COUNTIF('N-A Profundizacion'!AM:AM,A57)+COUNTIF('N-A Investigación'!AN:AN,A57)+COUNTIF('N-A Investigación'!AT:AT,A57)</f>
        <v>3</v>
      </c>
      <c r="E57" s="60"/>
      <c r="F57" s="54" t="s">
        <v>1021</v>
      </c>
      <c r="G57" s="733" t="s">
        <v>1022</v>
      </c>
      <c r="H57" s="734"/>
      <c r="I57" s="735"/>
    </row>
    <row r="58" spans="1:9" ht="15">
      <c r="A58" s="81" t="s">
        <v>369</v>
      </c>
      <c r="B58" s="35">
        <f>COUNTIF('Acuerdo Antiguo'!BD:BD,A58)+COUNTIF('N-A Profundizacion'!BC:BC,A58)+COUNTIF('N-A Investigación'!BF:BF,A58)</f>
        <v>0</v>
      </c>
      <c r="C58" s="33">
        <f>COUNTIF('Acuerdo Antiguo'!BE:BF,A58)</f>
        <v>0</v>
      </c>
      <c r="D58" s="84">
        <f>COUNTIF('Acuerdo Antiguo'!BG:BH,A58)+COUNTIF('N-A Profundizacion'!AG:AG,A58)+COUNTIF('N-A Profundizacion'!AM:AM,A58)+COUNTIF('N-A Investigación'!AN:AN,A58)+COUNTIF('N-A Investigación'!AT:AT,A58)</f>
        <v>1</v>
      </c>
      <c r="E58" s="60"/>
      <c r="F58" s="53" t="s">
        <v>1023</v>
      </c>
      <c r="G58" s="733" t="s">
        <v>991</v>
      </c>
      <c r="H58" s="734"/>
      <c r="I58" s="735"/>
    </row>
    <row r="59" spans="1:9" ht="15">
      <c r="A59" s="81" t="s">
        <v>283</v>
      </c>
      <c r="B59" s="35">
        <f>COUNTIF('Acuerdo Antiguo'!BD:BD,A59)+COUNTIF('N-A Profundizacion'!BC:BC,A59)+COUNTIF('N-A Investigación'!BF:BF,A59)</f>
        <v>0</v>
      </c>
      <c r="C59" s="33">
        <f>COUNTIF('Acuerdo Antiguo'!BE:BF,A59)</f>
        <v>0</v>
      </c>
      <c r="D59" s="84">
        <f>COUNTIF('Acuerdo Antiguo'!BG:BH,A59)+COUNTIF('N-A Profundizacion'!AG:AG,A59)+COUNTIF('N-A Profundizacion'!AM:AM,A59)+COUNTIF('N-A Investigación'!AN:AN,A59)+COUNTIF('N-A Investigación'!AT:AT,A59)</f>
        <v>0</v>
      </c>
      <c r="E59" s="60"/>
      <c r="F59" s="54" t="s">
        <v>1024</v>
      </c>
      <c r="G59" s="733" t="s">
        <v>1025</v>
      </c>
      <c r="H59" s="734"/>
      <c r="I59" s="735"/>
    </row>
    <row r="60" spans="1:9" ht="15">
      <c r="A60" s="82" t="s">
        <v>1026</v>
      </c>
      <c r="B60" s="35">
        <f>COUNTIF('Acuerdo Antiguo'!BD:BD,A60)+COUNTIF('N-A Profundizacion'!BC:BC,A60)+COUNTIF('N-A Investigación'!BF:BF,A60)</f>
        <v>0</v>
      </c>
      <c r="C60" s="33">
        <f>COUNTIF('Acuerdo Antiguo'!BE:BF,A60)</f>
        <v>0</v>
      </c>
      <c r="D60" s="84">
        <f>COUNTIF('Acuerdo Antiguo'!BG:BH,A60)+COUNTIF('N-A Profundizacion'!AG:AG,A60)+COUNTIF('N-A Profundizacion'!AM:AM,A60)+COUNTIF('N-A Investigación'!AN:AN,A60)+COUNTIF('N-A Investigación'!AT:AT,A60)</f>
        <v>0</v>
      </c>
      <c r="E60" s="60"/>
      <c r="F60" s="54" t="s">
        <v>955</v>
      </c>
      <c r="G60" s="733" t="s">
        <v>955</v>
      </c>
      <c r="H60" s="734"/>
      <c r="I60" s="735"/>
    </row>
    <row r="61" spans="1:9" ht="15">
      <c r="A61" s="81" t="s">
        <v>1027</v>
      </c>
      <c r="B61" s="35">
        <f>COUNTIF('Acuerdo Antiguo'!BD:BD,A61)+COUNTIF('N-A Profundizacion'!BC:BC,A61)+COUNTIF('N-A Investigación'!BF:BF,A61)</f>
        <v>0</v>
      </c>
      <c r="C61" s="33">
        <f>COUNTIF('Acuerdo Antiguo'!BE:BF,A61)</f>
        <v>0</v>
      </c>
      <c r="D61" s="84">
        <f>COUNTIF('Acuerdo Antiguo'!BG:BH,A61)+COUNTIF('N-A Profundizacion'!AG:AG,A61)+COUNTIF('N-A Profundizacion'!AM:AM,A61)+COUNTIF('N-A Investigación'!AN:AN,A61)+COUNTIF('N-A Investigación'!AT:AT,A61)</f>
        <v>0</v>
      </c>
      <c r="E61" s="60"/>
      <c r="F61" s="54" t="s">
        <v>1028</v>
      </c>
      <c r="G61" s="733" t="s">
        <v>1029</v>
      </c>
      <c r="H61" s="734"/>
      <c r="I61" s="735"/>
    </row>
    <row r="62" spans="1:9" ht="15">
      <c r="A62" s="82" t="s">
        <v>500</v>
      </c>
      <c r="B62" s="35">
        <f>COUNTIF('Acuerdo Antiguo'!BD:BD,A62)+COUNTIF('N-A Profundizacion'!BC:BC,A62)+COUNTIF('N-A Investigación'!BF:BF,A62)</f>
        <v>0</v>
      </c>
      <c r="C62" s="33">
        <f>COUNTIF('Acuerdo Antiguo'!BE:BF,A62)</f>
        <v>0</v>
      </c>
      <c r="D62" s="84">
        <f>COUNTIF('Acuerdo Antiguo'!BG:BH,A62)+COUNTIF('N-A Profundizacion'!AG:AG,A62)+COUNTIF('N-A Profundizacion'!AM:AM,A62)+COUNTIF('N-A Investigación'!AN:AN,A62)+COUNTIF('N-A Investigación'!AT:AT,A62)</f>
        <v>0</v>
      </c>
      <c r="E62" s="60"/>
      <c r="F62" s="54" t="s">
        <v>1030</v>
      </c>
      <c r="G62" s="733" t="s">
        <v>1014</v>
      </c>
      <c r="H62" s="734"/>
      <c r="I62" s="735"/>
    </row>
    <row r="63" spans="1:9" ht="15">
      <c r="A63" s="81" t="s">
        <v>239</v>
      </c>
      <c r="B63" s="35">
        <f>COUNTIF('Acuerdo Antiguo'!BD:BD,A63)+COUNTIF('N-A Profundizacion'!BC:BC,A63)+COUNTIF('N-A Investigación'!BF:BF,A63)</f>
        <v>0</v>
      </c>
      <c r="C63" s="33">
        <f>COUNTIF('Acuerdo Antiguo'!BE:BF,A63)</f>
        <v>0</v>
      </c>
      <c r="D63" s="84">
        <f>COUNTIF('Acuerdo Antiguo'!BG:BH,A63)+COUNTIF('N-A Profundizacion'!AG:AG,A63)+COUNTIF('N-A Profundizacion'!AM:AM,A63)+COUNTIF('N-A Investigación'!AN:AN,A63)+COUNTIF('N-A Investigación'!AT:AT,A63)</f>
        <v>0</v>
      </c>
      <c r="E63" s="60"/>
      <c r="F63" s="54" t="s">
        <v>1031</v>
      </c>
      <c r="G63" s="733" t="s">
        <v>1032</v>
      </c>
      <c r="H63" s="734"/>
      <c r="I63" s="735"/>
    </row>
    <row r="64" spans="1:9" ht="15">
      <c r="A64" s="82" t="s">
        <v>276</v>
      </c>
      <c r="B64" s="35">
        <f>COUNTIF('Acuerdo Antiguo'!BD:BD,A64)+COUNTIF('N-A Profundizacion'!BC:BC,A64)+COUNTIF('N-A Investigación'!BF:BF,A64)</f>
        <v>0</v>
      </c>
      <c r="C64" s="33">
        <f>COUNTIF('Acuerdo Antiguo'!BE:BF,A64)</f>
        <v>0</v>
      </c>
      <c r="D64" s="84">
        <f>COUNTIF('Acuerdo Antiguo'!BG:BH,A64)+COUNTIF('N-A Profundizacion'!AG:AG,A64)+COUNTIF('N-A Profundizacion'!AM:AM,A64)+COUNTIF('N-A Investigación'!AN:AN,A64)+COUNTIF('N-A Investigación'!AT:AT,A64)</f>
        <v>0</v>
      </c>
      <c r="E64" s="60"/>
      <c r="F64" s="54" t="s">
        <v>1033</v>
      </c>
      <c r="G64" s="733" t="s">
        <v>1034</v>
      </c>
      <c r="H64" s="734"/>
      <c r="I64" s="735"/>
    </row>
    <row r="65" spans="1:9" ht="15">
      <c r="A65" s="81" t="s">
        <v>474</v>
      </c>
      <c r="B65" s="35">
        <f>COUNTIF('Acuerdo Antiguo'!BD:BD,A65)+COUNTIF('N-A Profundizacion'!BC:BC,A65)+COUNTIF('N-A Investigación'!BF:BF,A65)</f>
        <v>0</v>
      </c>
      <c r="C65" s="33">
        <f>COUNTIF('Acuerdo Antiguo'!BE:BF,A65)</f>
        <v>0</v>
      </c>
      <c r="D65" s="84">
        <f>COUNTIF('Acuerdo Antiguo'!BG:BH,A65)+COUNTIF('N-A Profundizacion'!AG:AG,A65)+COUNTIF('N-A Profundizacion'!AM:AM,A65)+COUNTIF('N-A Investigación'!AN:AN,A65)+COUNTIF('N-A Investigación'!AT:AT,A65)</f>
        <v>0</v>
      </c>
      <c r="E65" s="60"/>
      <c r="F65" s="54" t="s">
        <v>1035</v>
      </c>
      <c r="G65" s="733" t="s">
        <v>1036</v>
      </c>
      <c r="H65" s="734"/>
      <c r="I65" s="735"/>
    </row>
    <row r="66" spans="1:9" ht="15">
      <c r="A66" s="81" t="s">
        <v>1037</v>
      </c>
      <c r="B66" s="35">
        <f>COUNTIF('Acuerdo Antiguo'!BD:BD,A66)+COUNTIF('N-A Profundizacion'!BC:BC,A66)+COUNTIF('N-A Investigación'!BF:BF,A66)</f>
        <v>0</v>
      </c>
      <c r="C66" s="33">
        <f>COUNTIF('Acuerdo Antiguo'!BE:BF,A66)</f>
        <v>0</v>
      </c>
      <c r="D66" s="84">
        <f>COUNTIF('Acuerdo Antiguo'!BG:BH,A66)+COUNTIF('N-A Profundizacion'!AG:AG,A66)+COUNTIF('N-A Profundizacion'!AM:AM,A66)+COUNTIF('N-A Investigación'!AN:AN,A66)+COUNTIF('N-A Investigación'!AT:AT,A66)</f>
        <v>0</v>
      </c>
      <c r="E66" s="60"/>
      <c r="F66" s="54" t="s">
        <v>1038</v>
      </c>
      <c r="G66" s="733" t="s">
        <v>1039</v>
      </c>
      <c r="H66" s="734"/>
      <c r="I66" s="735"/>
    </row>
    <row r="67" spans="1:9" ht="15">
      <c r="A67" s="81" t="s">
        <v>1040</v>
      </c>
      <c r="B67" s="35">
        <f>COUNTIF('Acuerdo Antiguo'!BD:BD,A67)+COUNTIF('N-A Profundizacion'!BC:BC,A67)+COUNTIF('N-A Investigación'!BF:BF,A67)</f>
        <v>0</v>
      </c>
      <c r="C67" s="33">
        <f>COUNTIF('Acuerdo Antiguo'!BE:BF,A67)</f>
        <v>0</v>
      </c>
      <c r="D67" s="84">
        <f>COUNTIF('Acuerdo Antiguo'!BG:BH,A67)+COUNTIF('N-A Profundizacion'!AG:AG,A67)+COUNTIF('N-A Profundizacion'!AM:AM,A67)+COUNTIF('N-A Investigación'!AN:AN,A67)+COUNTIF('N-A Investigación'!AT:AT,A67)</f>
        <v>0</v>
      </c>
      <c r="E67" s="60"/>
      <c r="F67" s="54" t="s">
        <v>955</v>
      </c>
      <c r="G67" s="733" t="s">
        <v>955</v>
      </c>
      <c r="H67" s="734"/>
      <c r="I67" s="735"/>
    </row>
    <row r="68" spans="1:9" ht="15">
      <c r="A68" s="81" t="s">
        <v>1041</v>
      </c>
      <c r="B68" s="35">
        <f>COUNTIF('Acuerdo Antiguo'!BD:BD,A68)+COUNTIF('N-A Profundizacion'!BC:BC,A68)+COUNTIF('N-A Investigación'!BF:BF,A68)</f>
        <v>0</v>
      </c>
      <c r="C68" s="33">
        <f>COUNTIF('Acuerdo Antiguo'!BE:BF,A68)</f>
        <v>0</v>
      </c>
      <c r="D68" s="84">
        <f>COUNTIF('Acuerdo Antiguo'!BG:BH,A68)+COUNTIF('N-A Profundizacion'!AG:AG,A68)+COUNTIF('N-A Profundizacion'!AM:AM,A68)+COUNTIF('N-A Investigación'!AN:AN,A68)+COUNTIF('N-A Investigación'!AT:AT,A68)</f>
        <v>0</v>
      </c>
      <c r="E68" s="60"/>
      <c r="F68" s="54" t="s">
        <v>1042</v>
      </c>
      <c r="G68" s="733" t="s">
        <v>1043</v>
      </c>
      <c r="H68" s="734"/>
      <c r="I68" s="735"/>
    </row>
    <row r="69" spans="1:9" ht="15">
      <c r="A69" s="81" t="s">
        <v>1044</v>
      </c>
      <c r="B69" s="35">
        <f>COUNTIF('Acuerdo Antiguo'!BD:BD,A69)+COUNTIF('N-A Profundizacion'!BC:BC,A69)+COUNTIF('N-A Investigación'!BF:BF,A69)</f>
        <v>0</v>
      </c>
      <c r="C69" s="33">
        <f>COUNTIF('Acuerdo Antiguo'!BE:BF,A69)</f>
        <v>0</v>
      </c>
      <c r="D69" s="84">
        <f>COUNTIF('Acuerdo Antiguo'!BG:BH,A69)+COUNTIF('N-A Profundizacion'!AG:AG,A69)+COUNTIF('N-A Profundizacion'!AM:AM,A69)+COUNTIF('N-A Investigación'!AN:AN,A69)+COUNTIF('N-A Investigación'!AT:AT,A69)</f>
        <v>0</v>
      </c>
      <c r="E69" s="60"/>
      <c r="F69" s="54" t="s">
        <v>955</v>
      </c>
      <c r="G69" s="733" t="s">
        <v>955</v>
      </c>
      <c r="H69" s="734"/>
      <c r="I69" s="735"/>
    </row>
    <row r="70" spans="1:9" ht="15">
      <c r="A70" s="81" t="s">
        <v>1045</v>
      </c>
      <c r="B70" s="35">
        <f>COUNTIF('Acuerdo Antiguo'!BD:BD,A70)+COUNTIF('N-A Profundizacion'!BC:BC,A70)+COUNTIF('N-A Investigación'!BF:BF,A70)</f>
        <v>0</v>
      </c>
      <c r="C70" s="33">
        <f>COUNTIF('Acuerdo Antiguo'!BE:BF,A70)</f>
        <v>0</v>
      </c>
      <c r="D70" s="84">
        <f>COUNTIF('Acuerdo Antiguo'!BG:BH,A70)+COUNTIF('N-A Profundizacion'!AG:AG,A70)+COUNTIF('N-A Profundizacion'!AM:AM,A70)+COUNTIF('N-A Investigación'!AN:AN,A70)+COUNTIF('N-A Investigación'!AT:AT,A70)</f>
        <v>0</v>
      </c>
      <c r="E70" s="60"/>
      <c r="F70" s="53" t="s">
        <v>1046</v>
      </c>
      <c r="G70" s="733" t="s">
        <v>1047</v>
      </c>
      <c r="H70" s="734"/>
      <c r="I70" s="735"/>
    </row>
    <row r="71" spans="1:9" ht="15">
      <c r="A71" s="81" t="s">
        <v>563</v>
      </c>
      <c r="B71" s="35">
        <f>COUNTIF('Acuerdo Antiguo'!BD:BD,A71)+COUNTIF('N-A Profundizacion'!BC:BC,A71)+COUNTIF('N-A Investigación'!BF:BF,A71)</f>
        <v>0</v>
      </c>
      <c r="C71" s="33">
        <f>COUNTIF('Acuerdo Antiguo'!BE:BF,A71)</f>
        <v>0</v>
      </c>
      <c r="D71" s="84">
        <f>COUNTIF('Acuerdo Antiguo'!BG:BH,A71)+COUNTIF('N-A Profundizacion'!AG:AG,A71)+COUNTIF('N-A Profundizacion'!AM:AM,A71)+COUNTIF('N-A Investigación'!AN:AN,A71)+COUNTIF('N-A Investigación'!AT:AT,A71)</f>
        <v>0</v>
      </c>
      <c r="E71" s="60"/>
      <c r="F71" s="54" t="s">
        <v>1048</v>
      </c>
      <c r="G71" s="733" t="s">
        <v>980</v>
      </c>
      <c r="H71" s="734"/>
      <c r="I71" s="735"/>
    </row>
    <row r="72" spans="1:9" ht="15">
      <c r="A72" s="81" t="s">
        <v>1049</v>
      </c>
      <c r="B72" s="35">
        <f>COUNTIF('Acuerdo Antiguo'!BD:BD,A72)+COUNTIF('N-A Profundizacion'!BC:BC,A72)+COUNTIF('N-A Investigación'!BF:BF,A72)</f>
        <v>0</v>
      </c>
      <c r="C72" s="33">
        <f>COUNTIF('Acuerdo Antiguo'!BE:BF,A72)</f>
        <v>0</v>
      </c>
      <c r="D72" s="84">
        <f>COUNTIF('Acuerdo Antiguo'!BG:BH,A72)+COUNTIF('N-A Profundizacion'!AG:AG,A72)+COUNTIF('N-A Profundizacion'!AM:AM,A72)+COUNTIF('N-A Investigación'!AN:AN,A72)+COUNTIF('N-A Investigación'!AT:AT,A72)</f>
        <v>0</v>
      </c>
      <c r="E72" s="60"/>
      <c r="F72" s="54" t="s">
        <v>1050</v>
      </c>
      <c r="G72" s="733" t="s">
        <v>1051</v>
      </c>
      <c r="H72" s="734"/>
      <c r="I72" s="735"/>
    </row>
    <row r="73" spans="1:9" ht="15">
      <c r="A73" s="81" t="s">
        <v>312</v>
      </c>
      <c r="B73" s="35">
        <f>COUNTIF('Acuerdo Antiguo'!BD:BD,A73)+COUNTIF('N-A Profundizacion'!BC:BC,A73)+COUNTIF('N-A Investigación'!BF:BF,A73)</f>
        <v>0</v>
      </c>
      <c r="C73" s="33">
        <f>COUNTIF('Acuerdo Antiguo'!BE:BF,A73)</f>
        <v>0</v>
      </c>
      <c r="D73" s="84">
        <f>COUNTIF('Acuerdo Antiguo'!BG:BH,A73)+COUNTIF('N-A Profundizacion'!AG:AG,A73)+COUNTIF('N-A Profundizacion'!AM:AM,A73)+COUNTIF('N-A Investigación'!AN:AN,A73)+COUNTIF('N-A Investigación'!AT:AT,A73)</f>
        <v>0</v>
      </c>
      <c r="E73" s="60"/>
      <c r="F73" s="54" t="s">
        <v>1052</v>
      </c>
      <c r="G73" s="733" t="s">
        <v>1053</v>
      </c>
      <c r="H73" s="734"/>
      <c r="I73" s="735"/>
    </row>
    <row r="74" spans="1:9" ht="15">
      <c r="A74" s="81" t="s">
        <v>395</v>
      </c>
      <c r="B74" s="35">
        <f>COUNTIF('Acuerdo Antiguo'!BD:BD,A74)+COUNTIF('N-A Profundizacion'!BC:BC,A74)+COUNTIF('N-A Investigación'!BF:BF,A74)</f>
        <v>0</v>
      </c>
      <c r="C74" s="33">
        <f>COUNTIF('Acuerdo Antiguo'!BE:BF,A74)</f>
        <v>0</v>
      </c>
      <c r="D74" s="84">
        <f>COUNTIF('Acuerdo Antiguo'!BG:BH,A74)+COUNTIF('N-A Profundizacion'!AG:AG,A74)+COUNTIF('N-A Profundizacion'!AM:AM,A74)+COUNTIF('N-A Investigación'!AN:AN,A74)+COUNTIF('N-A Investigación'!AT:AT,A74)</f>
        <v>2</v>
      </c>
      <c r="E74" s="60"/>
      <c r="F74" s="54" t="s">
        <v>1054</v>
      </c>
      <c r="G74" s="733" t="s">
        <v>961</v>
      </c>
      <c r="H74" s="734"/>
      <c r="I74" s="735"/>
    </row>
    <row r="75" spans="1:9" ht="15">
      <c r="A75" s="81" t="s">
        <v>1055</v>
      </c>
      <c r="B75" s="35">
        <f>COUNTIF('Acuerdo Antiguo'!BD:BD,A75)+COUNTIF('N-A Profundizacion'!BC:BC,A75)+COUNTIF('N-A Investigación'!BF:BF,A75)</f>
        <v>0</v>
      </c>
      <c r="C75" s="33">
        <f>COUNTIF('Acuerdo Antiguo'!BE:BF,A75)</f>
        <v>0</v>
      </c>
      <c r="D75" s="84">
        <f>COUNTIF('Acuerdo Antiguo'!BG:BH,A75)+COUNTIF('N-A Profundizacion'!AG:AG,A75)+COUNTIF('N-A Profundizacion'!AM:AM,A75)+COUNTIF('N-A Investigación'!AN:AN,A75)+COUNTIF('N-A Investigación'!AT:AT,A75)</f>
        <v>0</v>
      </c>
      <c r="E75" s="60"/>
      <c r="F75" s="54" t="s">
        <v>955</v>
      </c>
      <c r="G75" s="733" t="s">
        <v>955</v>
      </c>
      <c r="H75" s="734"/>
      <c r="I75" s="735"/>
    </row>
    <row r="76" spans="1:9" ht="15">
      <c r="A76" s="81" t="s">
        <v>627</v>
      </c>
      <c r="B76" s="35">
        <f>COUNTIF('Acuerdo Antiguo'!BD:BD,A76)+COUNTIF('N-A Profundizacion'!BC:BC,A76)+COUNTIF('N-A Investigación'!BF:BF,A76)</f>
        <v>0</v>
      </c>
      <c r="C76" s="33">
        <f>COUNTIF('Acuerdo Antiguo'!BE:BF,A76)</f>
        <v>0</v>
      </c>
      <c r="D76" s="84">
        <f>COUNTIF('Acuerdo Antiguo'!BG:BH,A76)+COUNTIF('N-A Profundizacion'!AG:AG,A76)+COUNTIF('N-A Profundizacion'!AM:AM,A76)+COUNTIF('N-A Investigación'!AN:AN,A76)+COUNTIF('N-A Investigación'!AT:AT,A76)</f>
        <v>0</v>
      </c>
      <c r="E76" s="60"/>
      <c r="F76" s="54" t="s">
        <v>1056</v>
      </c>
      <c r="G76" s="733" t="s">
        <v>1057</v>
      </c>
      <c r="H76" s="734"/>
      <c r="I76" s="735"/>
    </row>
    <row r="77" spans="1:9" ht="15">
      <c r="A77" s="81" t="s">
        <v>1058</v>
      </c>
      <c r="B77" s="35">
        <f>COUNTIF('Acuerdo Antiguo'!BD:BD,A77)+COUNTIF('N-A Profundizacion'!BC:BC,A77)+COUNTIF('N-A Investigación'!BF:BF,A77)</f>
        <v>0</v>
      </c>
      <c r="C77" s="33">
        <f>COUNTIF('Acuerdo Antiguo'!BE:BF,A77)</f>
        <v>0</v>
      </c>
      <c r="D77" s="84">
        <f>COUNTIF('Acuerdo Antiguo'!BG:BH,A77)+COUNTIF('N-A Profundizacion'!AG:AG,A77)+COUNTIF('N-A Profundizacion'!AM:AM,A77)+COUNTIF('N-A Investigación'!AN:AN,A77)+COUNTIF('N-A Investigación'!AT:AT,A77)</f>
        <v>0</v>
      </c>
      <c r="E77" s="60"/>
      <c r="F77" s="54" t="s">
        <v>1059</v>
      </c>
      <c r="G77" s="733" t="s">
        <v>1060</v>
      </c>
      <c r="H77" s="734"/>
      <c r="I77" s="735"/>
    </row>
    <row r="78" spans="1:9" ht="15">
      <c r="A78" s="81" t="s">
        <v>1061</v>
      </c>
      <c r="B78" s="35">
        <f>COUNTIF('Acuerdo Antiguo'!BD:BD,A78)+COUNTIF('N-A Profundizacion'!BC:BC,A78)+COUNTIF('N-A Investigación'!BF:BF,A78)</f>
        <v>0</v>
      </c>
      <c r="C78" s="33">
        <f>COUNTIF('Acuerdo Antiguo'!BE:BF,A78)</f>
        <v>0</v>
      </c>
      <c r="D78" s="84">
        <f>COUNTIF('Acuerdo Antiguo'!BG:BH,A78)+COUNTIF('N-A Profundizacion'!AG:AG,A78)+COUNTIF('N-A Profundizacion'!AM:AM,A78)+COUNTIF('N-A Investigación'!AN:AN,A78)+COUNTIF('N-A Investigación'!AT:AT,A78)</f>
        <v>0</v>
      </c>
      <c r="E78" s="60"/>
      <c r="F78" s="54" t="s">
        <v>1062</v>
      </c>
      <c r="G78" s="733" t="s">
        <v>1063</v>
      </c>
      <c r="H78" s="734"/>
      <c r="I78" s="735"/>
    </row>
    <row r="79" spans="1:9" ht="15">
      <c r="A79" s="81" t="s">
        <v>693</v>
      </c>
      <c r="B79" s="35">
        <f>COUNTIF('Acuerdo Antiguo'!BD:BD,A79)+COUNTIF('N-A Profundizacion'!BC:BC,A79)+COUNTIF('N-A Investigación'!BF:BF,A79)</f>
        <v>0</v>
      </c>
      <c r="C79" s="33">
        <f>COUNTIF('Acuerdo Antiguo'!BE:BF,A79)</f>
        <v>0</v>
      </c>
      <c r="D79" s="84">
        <f>COUNTIF('Acuerdo Antiguo'!BG:BH,A79)+COUNTIF('N-A Profundizacion'!AG:AG,A79)+COUNTIF('N-A Profundizacion'!AM:AM,A79)+COUNTIF('N-A Investigación'!AN:AN,A79)+COUNTIF('N-A Investigación'!AT:AT,A79)</f>
        <v>0</v>
      </c>
      <c r="E79" s="60"/>
      <c r="F79" s="54" t="s">
        <v>1064</v>
      </c>
      <c r="G79" s="733" t="s">
        <v>1065</v>
      </c>
      <c r="H79" s="734"/>
      <c r="I79" s="735"/>
    </row>
    <row r="80" spans="1:9" ht="15">
      <c r="A80" s="81" t="s">
        <v>1066</v>
      </c>
      <c r="B80" s="35">
        <f>COUNTIF('Acuerdo Antiguo'!BD:BD,A80)+COUNTIF('N-A Profundizacion'!BC:BC,A80)+COUNTIF('N-A Investigación'!BF:BF,A80)</f>
        <v>0</v>
      </c>
      <c r="C80" s="33">
        <f>COUNTIF('Acuerdo Antiguo'!BE:BF,A80)</f>
        <v>0</v>
      </c>
      <c r="D80" s="84">
        <f>COUNTIF('Acuerdo Antiguo'!BG:BH,A80)+COUNTIF('N-A Profundizacion'!AG:AG,A80)+COUNTIF('N-A Profundizacion'!AM:AM,A80)+COUNTIF('N-A Investigación'!AN:AN,A80)+COUNTIF('N-A Investigación'!AT:AT,A80)</f>
        <v>0</v>
      </c>
      <c r="E80" s="60"/>
      <c r="F80" s="54" t="s">
        <v>1067</v>
      </c>
      <c r="G80" s="733" t="s">
        <v>1068</v>
      </c>
      <c r="H80" s="734"/>
      <c r="I80" s="735"/>
    </row>
    <row r="81" spans="1:9" ht="15">
      <c r="A81" s="81" t="s">
        <v>1069</v>
      </c>
      <c r="B81" s="35">
        <f>COUNTIF('Acuerdo Antiguo'!BD:BD,A81)+COUNTIF('N-A Profundizacion'!BC:BC,A81)+COUNTIF('N-A Investigación'!BF:BF,A81)</f>
        <v>0</v>
      </c>
      <c r="C81" s="33">
        <f>COUNTIF('Acuerdo Antiguo'!BE:BF,A81)</f>
        <v>0</v>
      </c>
      <c r="D81" s="84">
        <f>COUNTIF('Acuerdo Antiguo'!BG:BH,A81)+COUNTIF('N-A Profundizacion'!AG:AG,A81)+COUNTIF('N-A Profundizacion'!AM:AM,A81)+COUNTIF('N-A Investigación'!AN:AN,A81)+COUNTIF('N-A Investigación'!AT:AT,A81)</f>
        <v>0</v>
      </c>
      <c r="E81" s="60"/>
      <c r="F81" s="54" t="s">
        <v>1070</v>
      </c>
      <c r="G81" s="733" t="s">
        <v>961</v>
      </c>
      <c r="H81" s="734"/>
      <c r="I81" s="735"/>
    </row>
    <row r="82" spans="1:9" ht="15">
      <c r="A82" s="81" t="s">
        <v>1071</v>
      </c>
      <c r="B82" s="35">
        <f>COUNTIF('Acuerdo Antiguo'!BD:BD,A82)+COUNTIF('N-A Profundizacion'!BC:BC,A82)+COUNTIF('N-A Investigación'!BF:BF,A82)</f>
        <v>0</v>
      </c>
      <c r="C82" s="33">
        <f>COUNTIF('Acuerdo Antiguo'!BE:BF,A82)</f>
        <v>0</v>
      </c>
      <c r="D82" s="84">
        <f>COUNTIF('Acuerdo Antiguo'!BG:BH,A82)+COUNTIF('N-A Profundizacion'!AG:AG,A82)+COUNTIF('N-A Profundizacion'!AM:AM,A82)+COUNTIF('N-A Investigación'!AN:AN,A82)+COUNTIF('N-A Investigación'!AT:AT,A82)</f>
        <v>0</v>
      </c>
      <c r="E82" s="60"/>
      <c r="F82" s="54" t="s">
        <v>955</v>
      </c>
      <c r="G82" s="733" t="s">
        <v>955</v>
      </c>
      <c r="H82" s="734"/>
      <c r="I82" s="735"/>
    </row>
    <row r="83" spans="1:9" ht="15">
      <c r="A83" s="81" t="s">
        <v>399</v>
      </c>
      <c r="B83" s="35">
        <f>COUNTIF('Acuerdo Antiguo'!BD:BD,A83)+COUNTIF('N-A Profundizacion'!BC:BC,A83)+COUNTIF('N-A Investigación'!BF:BF,A83)</f>
        <v>0</v>
      </c>
      <c r="C83" s="33">
        <f>COUNTIF('Acuerdo Antiguo'!BE:BF,A83)</f>
        <v>0</v>
      </c>
      <c r="D83" s="84">
        <f>COUNTIF('Acuerdo Antiguo'!BG:BH,A83)+COUNTIF('N-A Profundizacion'!AG:AG,A83)+COUNTIF('N-A Profundizacion'!AM:AM,A83)+COUNTIF('N-A Investigación'!AN:AN,A83)+COUNTIF('N-A Investigación'!AT:AT,A83)</f>
        <v>0</v>
      </c>
      <c r="E83" s="60"/>
      <c r="F83" s="54"/>
      <c r="G83" s="85"/>
      <c r="H83" s="88"/>
      <c r="I83" s="89"/>
    </row>
    <row r="84" spans="1:9" ht="15">
      <c r="A84" s="81" t="s">
        <v>662</v>
      </c>
      <c r="B84" s="35">
        <f>COUNTIF('Acuerdo Antiguo'!BD:BD,A84)+COUNTIF('N-A Profundizacion'!BC:BC,A84)+COUNTIF('N-A Investigación'!BF:BF,A84)</f>
        <v>0</v>
      </c>
      <c r="C84" s="33">
        <f>COUNTIF('Acuerdo Antiguo'!BE:BF,A84)</f>
        <v>0</v>
      </c>
      <c r="D84" s="84">
        <f>COUNTIF('Acuerdo Antiguo'!BG:BH,A84)+COUNTIF('N-A Profundizacion'!AG:AG,A84)+COUNTIF('N-A Profundizacion'!AM:AM,A84)+COUNTIF('N-A Investigación'!AN:AN,A84)+COUNTIF('N-A Investigación'!AT:AT,A84)</f>
        <v>1</v>
      </c>
      <c r="E84" s="60"/>
      <c r="F84" s="54"/>
      <c r="G84" s="85"/>
      <c r="H84" s="88"/>
      <c r="I84" s="89"/>
    </row>
    <row r="85" spans="1:9" ht="15">
      <c r="A85" s="81" t="s">
        <v>572</v>
      </c>
      <c r="B85" s="35">
        <f>COUNTIF('Acuerdo Antiguo'!BD:BD,A85)+COUNTIF('N-A Profundizacion'!BC:BC,A85)+COUNTIF('N-A Investigación'!BF:BF,A85)</f>
        <v>0</v>
      </c>
      <c r="C85" s="33">
        <f>COUNTIF('Acuerdo Antiguo'!BE:BF,A85)</f>
        <v>0</v>
      </c>
      <c r="D85" s="84">
        <f>COUNTIF('Acuerdo Antiguo'!BG:BH,A85)+COUNTIF('N-A Profundizacion'!AG:AG,A85)+COUNTIF('N-A Profundizacion'!AM:AM,A85)+COUNTIF('N-A Investigación'!AN:AN,A85)+COUNTIF('N-A Investigación'!AT:AT,A85)</f>
        <v>0</v>
      </c>
      <c r="E85" s="60"/>
      <c r="F85" s="54" t="s">
        <v>1072</v>
      </c>
      <c r="G85" s="733" t="s">
        <v>1073</v>
      </c>
      <c r="H85" s="734"/>
      <c r="I85" s="735"/>
    </row>
    <row r="86" spans="1:9" ht="15">
      <c r="A86" s="81" t="s">
        <v>1074</v>
      </c>
      <c r="B86" s="35">
        <f>COUNTIF('Acuerdo Antiguo'!BD:BD,A86)+COUNTIF('N-A Profundizacion'!BC:BC,A86)+COUNTIF('N-A Investigación'!BF:BF,A86)</f>
        <v>0</v>
      </c>
      <c r="C86" s="33">
        <f>COUNTIF('Acuerdo Antiguo'!BE:BF,A86)</f>
        <v>0</v>
      </c>
      <c r="D86" s="84">
        <f>COUNTIF('Acuerdo Antiguo'!BG:BH,A86)+COUNTIF('N-A Profundizacion'!AG:AG,A86)+COUNTIF('N-A Profundizacion'!AM:AM,A86)+COUNTIF('N-A Investigación'!AN:AN,A86)+COUNTIF('N-A Investigación'!AT:AT,A86)</f>
        <v>0</v>
      </c>
      <c r="E86" s="60"/>
      <c r="F86" s="54" t="s">
        <v>1075</v>
      </c>
      <c r="G86" s="733" t="s">
        <v>961</v>
      </c>
      <c r="H86" s="734"/>
      <c r="I86" s="735"/>
    </row>
    <row r="87" spans="1:9" ht="15">
      <c r="A87" s="81" t="s">
        <v>375</v>
      </c>
      <c r="B87" s="35">
        <f>COUNTIF('Acuerdo Antiguo'!BD:BD,A87)+COUNTIF('N-A Profundizacion'!BC:BC,A87)+COUNTIF('N-A Investigación'!BF:BF,A87)</f>
        <v>0</v>
      </c>
      <c r="C87" s="33">
        <f>COUNTIF('Acuerdo Antiguo'!BE:BF,A87)</f>
        <v>0</v>
      </c>
      <c r="D87" s="84">
        <f>COUNTIF('Acuerdo Antiguo'!BG:BH,A87)+COUNTIF('N-A Profundizacion'!AG:AG,A87)+COUNTIF('N-A Profundizacion'!AM:AM,A87)+COUNTIF('N-A Investigación'!AN:AN,A87)+COUNTIF('N-A Investigación'!AT:AT,A87)</f>
        <v>0</v>
      </c>
      <c r="E87" s="60"/>
      <c r="F87" s="54" t="s">
        <v>1076</v>
      </c>
      <c r="G87" s="733" t="s">
        <v>1077</v>
      </c>
      <c r="H87" s="734"/>
      <c r="I87" s="735"/>
    </row>
    <row r="88" spans="1:9" ht="15">
      <c r="A88" s="81" t="s">
        <v>1078</v>
      </c>
      <c r="B88" s="35">
        <f>COUNTIF('Acuerdo Antiguo'!BD:BD,A88)+COUNTIF('N-A Profundizacion'!BC:BC,A88)+COUNTIF('N-A Investigación'!BF:BF,A88)</f>
        <v>0</v>
      </c>
      <c r="C88" s="33">
        <f>COUNTIF('Acuerdo Antiguo'!BE:BF,A88)</f>
        <v>0</v>
      </c>
      <c r="D88" s="84">
        <f>COUNTIF('Acuerdo Antiguo'!BG:BH,A88)+COUNTIF('N-A Profundizacion'!AG:AG,A88)+COUNTIF('N-A Profundizacion'!AM:AM,A88)+COUNTIF('N-A Investigación'!AN:AN,A88)+COUNTIF('N-A Investigación'!AT:AT,A88)</f>
        <v>0</v>
      </c>
      <c r="E88" s="60"/>
      <c r="F88" s="54" t="s">
        <v>955</v>
      </c>
      <c r="G88" s="733" t="s">
        <v>955</v>
      </c>
      <c r="H88" s="734"/>
      <c r="I88" s="735"/>
    </row>
    <row r="89" spans="1:9" ht="15">
      <c r="A89" s="81" t="s">
        <v>463</v>
      </c>
      <c r="B89" s="35">
        <f>COUNTIF('Acuerdo Antiguo'!BD:BD,A89)+COUNTIF('N-A Profundizacion'!BC:BC,A89)+COUNTIF('N-A Investigación'!BF:BF,A89)</f>
        <v>0</v>
      </c>
      <c r="C89" s="33">
        <f>COUNTIF('Acuerdo Antiguo'!BE:BF,A89)</f>
        <v>0</v>
      </c>
      <c r="D89" s="84">
        <f>COUNTIF('Acuerdo Antiguo'!BG:BH,A89)+COUNTIF('N-A Profundizacion'!AG:AG,A89)+COUNTIF('N-A Profundizacion'!AM:AM,A89)+COUNTIF('N-A Investigación'!AN:AN,A89)+COUNTIF('N-A Investigación'!AT:AT,A89)</f>
        <v>1</v>
      </c>
      <c r="E89" s="60"/>
      <c r="F89" s="54" t="s">
        <v>1079</v>
      </c>
      <c r="G89" s="733" t="s">
        <v>1080</v>
      </c>
      <c r="H89" s="734"/>
      <c r="I89" s="735"/>
    </row>
    <row r="90" spans="1:9" ht="15">
      <c r="A90" s="81" t="s">
        <v>801</v>
      </c>
      <c r="B90" s="35">
        <f>COUNTIF('Acuerdo Antiguo'!BD:BD,A90)+COUNTIF('N-A Profundizacion'!BC:BC,A90)+COUNTIF('N-A Investigación'!BF:BF,A90)</f>
        <v>0</v>
      </c>
      <c r="C90" s="33">
        <f>COUNTIF('Acuerdo Antiguo'!BE:BF,A90)</f>
        <v>0</v>
      </c>
      <c r="D90" s="84">
        <f>COUNTIF('Acuerdo Antiguo'!BG:BH,A90)+COUNTIF('N-A Profundizacion'!AG:AG,A90)+COUNTIF('N-A Profundizacion'!AM:AM,A90)+COUNTIF('N-A Investigación'!AN:AN,A90)+COUNTIF('N-A Investigación'!AT:AT,A90)</f>
        <v>0</v>
      </c>
      <c r="E90" s="60"/>
      <c r="F90" s="54" t="s">
        <v>1081</v>
      </c>
      <c r="G90" s="733" t="s">
        <v>957</v>
      </c>
      <c r="H90" s="734"/>
      <c r="I90" s="735"/>
    </row>
    <row r="91" spans="1:9" ht="15">
      <c r="A91" s="81" t="s">
        <v>316</v>
      </c>
      <c r="B91" s="35">
        <f>COUNTIF('Acuerdo Antiguo'!BD:BD,A91)+COUNTIF('N-A Profundizacion'!BC:BC,A91)+COUNTIF('N-A Investigación'!BF:BF,A91)</f>
        <v>0</v>
      </c>
      <c r="C91" s="33">
        <f>COUNTIF('Acuerdo Antiguo'!BE:BF,A91)</f>
        <v>0</v>
      </c>
      <c r="D91" s="84">
        <f>COUNTIF('Acuerdo Antiguo'!BG:BH,A91)+COUNTIF('N-A Profundizacion'!AG:AG,A91)+COUNTIF('N-A Profundizacion'!AM:AM,A91)+COUNTIF('N-A Investigación'!AN:AN,A91)+COUNTIF('N-A Investigación'!AT:AT,A91)</f>
        <v>0</v>
      </c>
      <c r="E91" s="60"/>
      <c r="F91" s="54" t="s">
        <v>955</v>
      </c>
      <c r="G91" s="733" t="s">
        <v>955</v>
      </c>
      <c r="H91" s="734"/>
      <c r="I91" s="735"/>
    </row>
    <row r="92" spans="1:9" ht="15">
      <c r="A92" s="81" t="s">
        <v>444</v>
      </c>
      <c r="B92" s="35">
        <f>COUNTIF('Acuerdo Antiguo'!BD:BD,A92)+COUNTIF('N-A Profundizacion'!BC:BC,A92)+COUNTIF('N-A Investigación'!BF:BF,A92)</f>
        <v>0</v>
      </c>
      <c r="C92" s="33">
        <f>COUNTIF('Acuerdo Antiguo'!BE:BF,A92)</f>
        <v>0</v>
      </c>
      <c r="D92" s="84">
        <f>COUNTIF('Acuerdo Antiguo'!BG:BH,A92)+COUNTIF('N-A Profundizacion'!AG:AG,A92)+COUNTIF('N-A Profundizacion'!AM:AM,A92)+COUNTIF('N-A Investigación'!AN:AN,A92)+COUNTIF('N-A Investigación'!AT:AT,A92)</f>
        <v>0</v>
      </c>
      <c r="E92" s="60"/>
      <c r="F92" s="54" t="s">
        <v>1082</v>
      </c>
      <c r="G92" s="733" t="s">
        <v>961</v>
      </c>
      <c r="H92" s="734"/>
      <c r="I92" s="735"/>
    </row>
    <row r="93" spans="1:9" ht="15">
      <c r="A93" s="81" t="s">
        <v>1083</v>
      </c>
      <c r="B93" s="35">
        <f>COUNTIF('Acuerdo Antiguo'!BD:BD,A93)+COUNTIF('N-A Profundizacion'!BC:BC,A93)+COUNTIF('N-A Investigación'!BF:BF,A93)</f>
        <v>0</v>
      </c>
      <c r="C93" s="33">
        <f>COUNTIF('Acuerdo Antiguo'!BE:BF,A93)</f>
        <v>0</v>
      </c>
      <c r="D93" s="84">
        <f>COUNTIF('Acuerdo Antiguo'!BG:BH,A93)+COUNTIF('N-A Profundizacion'!AG:AG,A93)+COUNTIF('N-A Profundizacion'!AM:AM,A93)+COUNTIF('N-A Investigación'!AN:AN,A93)+COUNTIF('N-A Investigación'!AT:AT,A93)</f>
        <v>0</v>
      </c>
      <c r="E93" s="60"/>
      <c r="F93" s="54" t="s">
        <v>955</v>
      </c>
      <c r="G93" s="733" t="s">
        <v>955</v>
      </c>
      <c r="H93" s="734"/>
      <c r="I93" s="735"/>
    </row>
    <row r="94" spans="1:9" ht="15">
      <c r="A94" s="81" t="s">
        <v>1084</v>
      </c>
      <c r="B94" s="35">
        <f>COUNTIF('Acuerdo Antiguo'!BD:BD,A94)+COUNTIF('N-A Profundizacion'!BC:BC,A94)+COUNTIF('N-A Investigación'!BF:BF,A94)</f>
        <v>0</v>
      </c>
      <c r="C94" s="33">
        <f>COUNTIF('Acuerdo Antiguo'!BE:BF,A94)</f>
        <v>0</v>
      </c>
      <c r="D94" s="84">
        <f>COUNTIF('Acuerdo Antiguo'!BG:BH,A94)+COUNTIF('N-A Profundizacion'!AG:AG,A94)+COUNTIF('N-A Profundizacion'!AM:AM,A94)+COUNTIF('N-A Investigación'!AN:AN,A94)+COUNTIF('N-A Investigación'!AT:AT,A94)</f>
        <v>0</v>
      </c>
      <c r="E94" s="60"/>
      <c r="F94" s="54" t="s">
        <v>1081</v>
      </c>
      <c r="G94" s="733" t="s">
        <v>957</v>
      </c>
      <c r="H94" s="734"/>
      <c r="I94" s="735"/>
    </row>
    <row r="95" spans="1:9" ht="15">
      <c r="A95" s="81" t="s">
        <v>302</v>
      </c>
      <c r="B95" s="35">
        <f>COUNTIF('Acuerdo Antiguo'!BD:BD,A95)+COUNTIF('N-A Profundizacion'!BC:BC,A95)+COUNTIF('N-A Investigación'!BF:BF,A95)</f>
        <v>0</v>
      </c>
      <c r="C95" s="33">
        <f>COUNTIF('Acuerdo Antiguo'!BE:BF,A95)</f>
        <v>0</v>
      </c>
      <c r="D95" s="84">
        <f>COUNTIF('Acuerdo Antiguo'!BG:BH,A95)+COUNTIF('N-A Profundizacion'!AG:AG,A95)+COUNTIF('N-A Profundizacion'!AM:AM,A95)+COUNTIF('N-A Investigación'!AN:AN,A95)+COUNTIF('N-A Investigación'!AT:AT,A95)</f>
        <v>1</v>
      </c>
      <c r="E95" s="60"/>
      <c r="F95" s="54" t="s">
        <v>1085</v>
      </c>
      <c r="G95" s="733" t="s">
        <v>1086</v>
      </c>
      <c r="H95" s="734"/>
      <c r="I95" s="735"/>
    </row>
    <row r="96" spans="1:9" ht="15">
      <c r="A96" s="81" t="s">
        <v>656</v>
      </c>
      <c r="B96" s="35">
        <f>COUNTIF('Acuerdo Antiguo'!BD:BD,A96)+COUNTIF('N-A Profundizacion'!BC:BC,A96)+COUNTIF('N-A Investigación'!BF:BF,A96)</f>
        <v>0</v>
      </c>
      <c r="C96" s="33">
        <f>COUNTIF('Acuerdo Antiguo'!BE:BF,A96)</f>
        <v>0</v>
      </c>
      <c r="D96" s="84">
        <f>COUNTIF('Acuerdo Antiguo'!BG:BH,A96)+COUNTIF('N-A Profundizacion'!AG:AG,A96)+COUNTIF('N-A Profundizacion'!AM:AM,A96)+COUNTIF('N-A Investigación'!AN:AN,A96)+COUNTIF('N-A Investigación'!AT:AT,A96)</f>
        <v>1</v>
      </c>
      <c r="E96" s="60"/>
      <c r="F96" s="54" t="s">
        <v>1087</v>
      </c>
      <c r="G96" s="733" t="s">
        <v>1088</v>
      </c>
      <c r="H96" s="734"/>
      <c r="I96" s="735"/>
    </row>
    <row r="97" spans="1:9" ht="15">
      <c r="A97" s="81" t="s">
        <v>382</v>
      </c>
      <c r="B97" s="35">
        <f>COUNTIF('Acuerdo Antiguo'!BD:BD,A97)+COUNTIF('N-A Profundizacion'!BC:BC,A97)+COUNTIF('N-A Investigación'!BF:BF,A97)</f>
        <v>0</v>
      </c>
      <c r="C97" s="33">
        <f>COUNTIF('Acuerdo Antiguo'!BE:BF,A97)</f>
        <v>0</v>
      </c>
      <c r="D97" s="84">
        <f>COUNTIF('Acuerdo Antiguo'!BG:BH,A97)+COUNTIF('N-A Profundizacion'!AG:AG,A97)+COUNTIF('N-A Profundizacion'!AM:AM,A97)+COUNTIF('N-A Investigación'!AN:AN,A97)+COUNTIF('N-A Investigación'!AT:AT,A97)</f>
        <v>0</v>
      </c>
      <c r="E97" s="60"/>
      <c r="F97" s="54" t="s">
        <v>1089</v>
      </c>
      <c r="G97" s="733" t="s">
        <v>1047</v>
      </c>
      <c r="H97" s="734"/>
      <c r="I97" s="735"/>
    </row>
    <row r="98" spans="1:9" ht="15">
      <c r="A98" s="81" t="s">
        <v>1090</v>
      </c>
      <c r="B98" s="35">
        <f>COUNTIF('Acuerdo Antiguo'!BD:BD,A98)+COUNTIF('N-A Profundizacion'!BC:BC,A98)+COUNTIF('N-A Investigación'!BF:BF,A98)</f>
        <v>0</v>
      </c>
      <c r="C98" s="33">
        <f>COUNTIF('Acuerdo Antiguo'!BE:BF,A98)</f>
        <v>0</v>
      </c>
      <c r="D98" s="84">
        <f>COUNTIF('Acuerdo Antiguo'!BG:BH,A98)+COUNTIF('N-A Profundizacion'!AG:AG,A98)+COUNTIF('N-A Profundizacion'!AM:AM,A98)+COUNTIF('N-A Investigación'!AN:AN,A98)+COUNTIF('N-A Investigación'!AT:AT,A98)</f>
        <v>0</v>
      </c>
      <c r="E98" s="60"/>
      <c r="F98" s="54" t="s">
        <v>955</v>
      </c>
      <c r="G98" s="733" t="s">
        <v>955</v>
      </c>
      <c r="H98" s="734"/>
      <c r="I98" s="735"/>
    </row>
    <row r="99" spans="1:9" ht="15">
      <c r="A99" s="81" t="s">
        <v>498</v>
      </c>
      <c r="B99" s="35">
        <f>COUNTIF('Acuerdo Antiguo'!BD:BD,A99)+COUNTIF('N-A Profundizacion'!BC:BC,A99)+COUNTIF('N-A Investigación'!BF:BF,A99)</f>
        <v>0</v>
      </c>
      <c r="C99" s="33">
        <f>COUNTIF('Acuerdo Antiguo'!BE:BF,A99)</f>
        <v>0</v>
      </c>
      <c r="D99" s="84">
        <f>COUNTIF('Acuerdo Antiguo'!BG:BH,A99)+COUNTIF('N-A Profundizacion'!AG:AG,A99)+COUNTIF('N-A Profundizacion'!AM:AM,A99)+COUNTIF('N-A Investigación'!AN:AN,A99)+COUNTIF('N-A Investigación'!AT:AT,A99)</f>
        <v>0</v>
      </c>
      <c r="E99" s="60"/>
      <c r="F99" s="54"/>
      <c r="G99" s="85"/>
      <c r="H99" s="88"/>
      <c r="I99" s="89"/>
    </row>
    <row r="100" spans="1:9" ht="15">
      <c r="A100" s="81" t="s">
        <v>1091</v>
      </c>
      <c r="B100" s="35">
        <f>COUNTIF('Acuerdo Antiguo'!BD:BD,A100)+COUNTIF('N-A Profundizacion'!BC:BC,A100)+COUNTIF('N-A Investigación'!BF:BF,A100)</f>
        <v>0</v>
      </c>
      <c r="C100" s="33">
        <f>COUNTIF('Acuerdo Antiguo'!BE:BF,A100)</f>
        <v>0</v>
      </c>
      <c r="D100" s="84">
        <f>COUNTIF('Acuerdo Antiguo'!BG:BH,A100)+COUNTIF('N-A Profundizacion'!AG:AG,A100)+COUNTIF('N-A Profundizacion'!AM:AM,A100)+COUNTIF('N-A Investigación'!AN:AN,A100)+COUNTIF('N-A Investigación'!AT:AT,A100)</f>
        <v>0</v>
      </c>
      <c r="E100" s="60"/>
      <c r="F100" s="56" t="s">
        <v>1092</v>
      </c>
      <c r="G100" s="733" t="s">
        <v>961</v>
      </c>
      <c r="H100" s="734"/>
      <c r="I100" s="735"/>
    </row>
    <row r="101" spans="1:9" ht="15">
      <c r="A101" s="81" t="s">
        <v>1093</v>
      </c>
      <c r="B101" s="35">
        <f>COUNTIF('Acuerdo Antiguo'!BD:BD,A101)+COUNTIF('N-A Profundizacion'!BC:BC,A101)+COUNTIF('N-A Investigación'!BF:BF,A101)</f>
        <v>0</v>
      </c>
      <c r="C101" s="33">
        <f>COUNTIF('Acuerdo Antiguo'!BE:BF,A101)</f>
        <v>0</v>
      </c>
      <c r="D101" s="84">
        <f>COUNTIF('Acuerdo Antiguo'!BG:BH,A101)+COUNTIF('N-A Profundizacion'!AG:AG,A101)+COUNTIF('N-A Profundizacion'!AM:AM,A101)+COUNTIF('N-A Investigación'!AN:AN,A101)+COUNTIF('N-A Investigación'!AT:AT,A101)</f>
        <v>0</v>
      </c>
      <c r="E101" s="60"/>
      <c r="F101" s="54" t="s">
        <v>955</v>
      </c>
      <c r="G101" s="733" t="s">
        <v>955</v>
      </c>
      <c r="H101" s="734"/>
      <c r="I101" s="735"/>
    </row>
    <row r="102" spans="1:9" ht="15">
      <c r="A102" s="81" t="s">
        <v>1094</v>
      </c>
      <c r="B102" s="35">
        <f>COUNTIF('Acuerdo Antiguo'!BD:BD,A102)+COUNTIF('N-A Profundizacion'!BC:BC,A102)+COUNTIF('N-A Investigación'!BF:BF,A102)</f>
        <v>0</v>
      </c>
      <c r="C102" s="33">
        <f>COUNTIF('Acuerdo Antiguo'!BE:BF,A102)</f>
        <v>0</v>
      </c>
      <c r="D102" s="84">
        <f>COUNTIF('Acuerdo Antiguo'!BG:BH,A102)+COUNTIF('N-A Profundizacion'!AG:AG,A102)+COUNTIF('N-A Profundizacion'!AM:AM,A102)+COUNTIF('N-A Investigación'!AN:AN,A102)+COUNTIF('N-A Investigación'!AT:AT,A102)</f>
        <v>0</v>
      </c>
      <c r="E102" s="60"/>
      <c r="F102" s="53" t="s">
        <v>1095</v>
      </c>
      <c r="G102" s="733" t="s">
        <v>1047</v>
      </c>
      <c r="H102" s="734"/>
      <c r="I102" s="735"/>
    </row>
    <row r="103" spans="1:9" ht="15">
      <c r="A103" s="81" t="s">
        <v>657</v>
      </c>
      <c r="B103" s="35">
        <f>COUNTIF('Acuerdo Antiguo'!BD:BD,A103)+COUNTIF('N-A Profundizacion'!BC:BC,A103)+COUNTIF('N-A Investigación'!BF:BF,A103)</f>
        <v>0</v>
      </c>
      <c r="C103" s="33">
        <f>COUNTIF('Acuerdo Antiguo'!BE:BF,A103)</f>
        <v>0</v>
      </c>
      <c r="D103" s="84">
        <f>COUNTIF('Acuerdo Antiguo'!BG:BH,A103)+COUNTIF('N-A Profundizacion'!AG:AG,A103)+COUNTIF('N-A Profundizacion'!AM:AM,A103)+COUNTIF('N-A Investigación'!AN:AN,A103)+COUNTIF('N-A Investigación'!AT:AT,A103)</f>
        <v>3</v>
      </c>
      <c r="E103" s="60"/>
      <c r="F103" s="54" t="s">
        <v>1096</v>
      </c>
      <c r="G103" s="733" t="s">
        <v>1047</v>
      </c>
      <c r="H103" s="734"/>
      <c r="I103" s="735"/>
    </row>
    <row r="104" spans="1:9" ht="15">
      <c r="A104" s="81" t="s">
        <v>1097</v>
      </c>
      <c r="B104" s="35">
        <f>COUNTIF('Acuerdo Antiguo'!BD:BD,A104)+COUNTIF('N-A Profundizacion'!BC:BC,A104)+COUNTIF('N-A Investigación'!BF:BF,A104)</f>
        <v>0</v>
      </c>
      <c r="C104" s="33">
        <f>COUNTIF('Acuerdo Antiguo'!BE:BF,A104)</f>
        <v>0</v>
      </c>
      <c r="D104" s="84">
        <f>COUNTIF('Acuerdo Antiguo'!BG:BH,A104)+COUNTIF('N-A Profundizacion'!AG:AG,A104)+COUNTIF('N-A Profundizacion'!AM:AM,A104)+COUNTIF('N-A Investigación'!AN:AN,A104)+COUNTIF('N-A Investigación'!AT:AT,A104)</f>
        <v>0</v>
      </c>
      <c r="E104" s="60"/>
      <c r="F104" s="54" t="s">
        <v>1098</v>
      </c>
      <c r="G104" s="733" t="s">
        <v>1036</v>
      </c>
      <c r="H104" s="734"/>
      <c r="I104" s="735"/>
    </row>
    <row r="105" spans="1:9" ht="15">
      <c r="A105" s="81" t="s">
        <v>1099</v>
      </c>
      <c r="B105" s="35">
        <f>COUNTIF('Acuerdo Antiguo'!BD:BD,A105)+COUNTIF('N-A Profundizacion'!BC:BC,A105)+COUNTIF('N-A Investigación'!BF:BF,A105)</f>
        <v>0</v>
      </c>
      <c r="C105" s="33">
        <f>COUNTIF('Acuerdo Antiguo'!BE:BF,A105)</f>
        <v>0</v>
      </c>
      <c r="D105" s="84">
        <f>COUNTIF('Acuerdo Antiguo'!BG:BH,A105)+COUNTIF('N-A Profundizacion'!AG:AG,A105)+COUNTIF('N-A Profundizacion'!AM:AM,A105)+COUNTIF('N-A Investigación'!AN:AN,A105)+COUNTIF('N-A Investigación'!AT:AT,A105)</f>
        <v>0</v>
      </c>
      <c r="E105" s="60"/>
      <c r="F105" s="54" t="s">
        <v>1100</v>
      </c>
      <c r="G105" s="733" t="s">
        <v>961</v>
      </c>
      <c r="H105" s="734"/>
      <c r="I105" s="735"/>
    </row>
    <row r="106" spans="1:9" ht="15">
      <c r="A106" s="81" t="s">
        <v>458</v>
      </c>
      <c r="B106" s="35">
        <f>COUNTIF('Acuerdo Antiguo'!BD:BD,A106)+COUNTIF('N-A Profundizacion'!BC:BC,A106)+COUNTIF('N-A Investigación'!BF:BF,A106)</f>
        <v>0</v>
      </c>
      <c r="C106" s="33">
        <f>COUNTIF('Acuerdo Antiguo'!BE:BF,A106)</f>
        <v>0</v>
      </c>
      <c r="D106" s="84">
        <f>COUNTIF('Acuerdo Antiguo'!BG:BH,A106)+COUNTIF('N-A Profundizacion'!AG:AG,A106)+COUNTIF('N-A Profundizacion'!AM:AM,A106)+COUNTIF('N-A Investigación'!AN:AN,A106)+COUNTIF('N-A Investigación'!AT:AT,A106)</f>
        <v>0</v>
      </c>
      <c r="E106" s="60"/>
      <c r="F106" s="54" t="s">
        <v>1101</v>
      </c>
      <c r="G106" s="733" t="s">
        <v>961</v>
      </c>
      <c r="H106" s="734"/>
      <c r="I106" s="735"/>
    </row>
    <row r="107" spans="1:9" ht="15">
      <c r="A107" s="81" t="s">
        <v>225</v>
      </c>
      <c r="B107" s="35">
        <f>COUNTIF('Acuerdo Antiguo'!BD:BD,A107)+COUNTIF('N-A Profundizacion'!BC:BC,A107)+COUNTIF('N-A Investigación'!BF:BF,A107)</f>
        <v>0</v>
      </c>
      <c r="C107" s="33">
        <f>COUNTIF('Acuerdo Antiguo'!BE:BF,A107)</f>
        <v>0</v>
      </c>
      <c r="D107" s="84">
        <f>COUNTIF('Acuerdo Antiguo'!BG:BH,A107)+COUNTIF('N-A Profundizacion'!AG:AG,A107)+COUNTIF('N-A Profundizacion'!AM:AM,A107)+COUNTIF('N-A Investigación'!AN:AN,A107)+COUNTIF('N-A Investigación'!AT:AT,A107)</f>
        <v>0</v>
      </c>
      <c r="E107" s="60"/>
      <c r="F107" s="54" t="s">
        <v>1102</v>
      </c>
      <c r="G107" s="743"/>
      <c r="H107" s="734"/>
      <c r="I107" s="735"/>
    </row>
    <row r="108" spans="1:9" ht="15">
      <c r="A108" s="81" t="s">
        <v>550</v>
      </c>
      <c r="B108" s="35">
        <f>COUNTIF('Acuerdo Antiguo'!BD:BD,A108)+COUNTIF('N-A Profundizacion'!BC:BC,A108)+COUNTIF('N-A Investigación'!BF:BF,A108)</f>
        <v>0</v>
      </c>
      <c r="C108" s="33">
        <f>COUNTIF('Acuerdo Antiguo'!BE:BF,A108)</f>
        <v>0</v>
      </c>
      <c r="D108" s="84">
        <f>COUNTIF('Acuerdo Antiguo'!BG:BH,A108)+COUNTIF('N-A Profundizacion'!AG:AG,A108)+COUNTIF('N-A Profundizacion'!AM:AM,A108)+COUNTIF('N-A Investigación'!AN:AN,A108)+COUNTIF('N-A Investigación'!AT:AT,A108)</f>
        <v>0</v>
      </c>
      <c r="E108" s="60"/>
      <c r="F108" s="54" t="s">
        <v>955</v>
      </c>
      <c r="G108" s="733" t="s">
        <v>955</v>
      </c>
      <c r="H108" s="734"/>
      <c r="I108" s="735"/>
    </row>
    <row r="109" spans="1:9" ht="15">
      <c r="A109" s="81" t="s">
        <v>1103</v>
      </c>
      <c r="B109" s="35">
        <f>COUNTIF('Acuerdo Antiguo'!BD:BD,A109)+COUNTIF('N-A Profundizacion'!BC:BC,A109)+COUNTIF('N-A Investigación'!BF:BF,A109)</f>
        <v>0</v>
      </c>
      <c r="C109" s="33">
        <f>COUNTIF('Acuerdo Antiguo'!BE:BF,A109)</f>
        <v>0</v>
      </c>
      <c r="D109" s="84">
        <f>COUNTIF('Acuerdo Antiguo'!BG:BH,A109)+COUNTIF('N-A Profundizacion'!AG:AG,A109)+COUNTIF('N-A Profundizacion'!AM:AM,A109)+COUNTIF('N-A Investigación'!AN:AN,A109)+COUNTIF('N-A Investigación'!AT:AT,A109)</f>
        <v>0</v>
      </c>
      <c r="E109" s="60"/>
      <c r="F109" s="57"/>
      <c r="G109" s="743"/>
      <c r="H109" s="734"/>
      <c r="I109" s="735"/>
    </row>
    <row r="110" spans="1:9" ht="15">
      <c r="A110" s="81" t="s">
        <v>517</v>
      </c>
      <c r="B110" s="35">
        <f>COUNTIF('Acuerdo Antiguo'!BD:BD,A110)+COUNTIF('N-A Profundizacion'!BC:BC,A110)+COUNTIF('N-A Investigación'!BF:BF,A110)</f>
        <v>0</v>
      </c>
      <c r="C110" s="33">
        <f>COUNTIF('Acuerdo Antiguo'!BE:BF,A110)</f>
        <v>0</v>
      </c>
      <c r="D110" s="84">
        <f>COUNTIF('Acuerdo Antiguo'!BG:BH,A110)+COUNTIF('N-A Profundizacion'!AG:AG,A110)+COUNTIF('N-A Profundizacion'!AM:AM,A110)+COUNTIF('N-A Investigación'!AN:AN,A110)+COUNTIF('N-A Investigación'!AT:AT,A110)</f>
        <v>0</v>
      </c>
      <c r="E110" s="60"/>
      <c r="F110" s="54" t="s">
        <v>1104</v>
      </c>
      <c r="G110" s="733" t="s">
        <v>955</v>
      </c>
      <c r="H110" s="734"/>
      <c r="I110" s="735"/>
    </row>
    <row r="111" spans="1:9" ht="15">
      <c r="A111" s="81" t="s">
        <v>1105</v>
      </c>
      <c r="B111" s="35">
        <f>COUNTIF('Acuerdo Antiguo'!BD:BD,A111)+COUNTIF('N-A Profundizacion'!BC:BC,A111)+COUNTIF('N-A Investigación'!BF:BF,A111)</f>
        <v>0</v>
      </c>
      <c r="C111" s="33">
        <f>COUNTIF('Acuerdo Antiguo'!BE:BF,A111)</f>
        <v>0</v>
      </c>
      <c r="D111" s="84">
        <f>COUNTIF('Acuerdo Antiguo'!BG:BH,A111)+COUNTIF('N-A Profundizacion'!AG:AG,A111)+COUNTIF('N-A Profundizacion'!AM:AM,A111)+COUNTIF('N-A Investigación'!AN:AN,A111)+COUNTIF('N-A Investigación'!AT:AT,A111)</f>
        <v>0</v>
      </c>
      <c r="E111" s="60"/>
      <c r="F111" s="54" t="s">
        <v>1106</v>
      </c>
      <c r="G111" s="733" t="s">
        <v>1036</v>
      </c>
      <c r="H111" s="734"/>
      <c r="I111" s="735"/>
    </row>
    <row r="112" spans="1:9" ht="15">
      <c r="A112" s="81" t="s">
        <v>568</v>
      </c>
      <c r="B112" s="35">
        <f>COUNTIF('Acuerdo Antiguo'!BD:BD,A112)+COUNTIF('N-A Profundizacion'!BC:BC,A112)+COUNTIF('N-A Investigación'!BF:BF,A112)</f>
        <v>0</v>
      </c>
      <c r="C112" s="33">
        <f>COUNTIF('Acuerdo Antiguo'!BE:BF,A112)</f>
        <v>0</v>
      </c>
      <c r="D112" s="84">
        <f>COUNTIF('Acuerdo Antiguo'!BG:BH,A112)+COUNTIF('N-A Profundizacion'!AG:AG,A112)+COUNTIF('N-A Profundizacion'!AM:AM,A112)+COUNTIF('N-A Investigación'!AN:AN,A112)+COUNTIF('N-A Investigación'!AT:AT,A112)</f>
        <v>0</v>
      </c>
      <c r="E112" s="60"/>
      <c r="F112" s="54" t="s">
        <v>1107</v>
      </c>
      <c r="G112" s="733" t="s">
        <v>1108</v>
      </c>
      <c r="H112" s="734"/>
      <c r="I112" s="735"/>
    </row>
    <row r="113" spans="1:9" ht="15">
      <c r="A113" s="81" t="s">
        <v>901</v>
      </c>
      <c r="B113" s="35">
        <f>COUNTIF('Acuerdo Antiguo'!BD:BD,A113)+COUNTIF('N-A Profundizacion'!BC:BC,A113)+COUNTIF('N-A Investigación'!BF:BF,A113)</f>
        <v>0</v>
      </c>
      <c r="C113" s="33">
        <f>COUNTIF('Acuerdo Antiguo'!BE:BF,A113)</f>
        <v>0</v>
      </c>
      <c r="D113" s="84">
        <f>COUNTIF('Acuerdo Antiguo'!BG:BH,A113)+COUNTIF('N-A Profundizacion'!AG:AG,A113)+COUNTIF('N-A Profundizacion'!AM:AM,A113)+COUNTIF('N-A Investigación'!AN:AN,A113)+COUNTIF('N-A Investigación'!AT:AT,A113)</f>
        <v>0</v>
      </c>
      <c r="E113" s="60"/>
      <c r="F113" s="54"/>
      <c r="G113" s="85"/>
      <c r="H113" s="88"/>
      <c r="I113" s="89"/>
    </row>
    <row r="114" spans="1:9" ht="15">
      <c r="A114" s="81" t="s">
        <v>1109</v>
      </c>
      <c r="B114" s="35">
        <f>COUNTIF('Acuerdo Antiguo'!BD:BD,A114)+COUNTIF('N-A Profundizacion'!BC:BC,A114)+COUNTIF('N-A Investigación'!BF:BF,A114)</f>
        <v>0</v>
      </c>
      <c r="C114" s="33">
        <f>COUNTIF('Acuerdo Antiguo'!BE:BF,A114)</f>
        <v>0</v>
      </c>
      <c r="D114" s="84">
        <f>COUNTIF('Acuerdo Antiguo'!BG:BH,A114)+COUNTIF('N-A Profundizacion'!AG:AG,A114)+COUNTIF('N-A Profundizacion'!AM:AM,A114)+COUNTIF('N-A Investigación'!AN:AN,A114)+COUNTIF('N-A Investigación'!AT:AT,A114)</f>
        <v>0</v>
      </c>
      <c r="E114" s="60"/>
      <c r="F114" s="54" t="s">
        <v>955</v>
      </c>
      <c r="G114" s="733" t="s">
        <v>955</v>
      </c>
      <c r="H114" s="734"/>
      <c r="I114" s="735"/>
    </row>
    <row r="115" spans="1:9" ht="15">
      <c r="A115" s="81" t="s">
        <v>1110</v>
      </c>
      <c r="B115" s="35">
        <f>COUNTIF('Acuerdo Antiguo'!BD:BD,A115)+COUNTIF('N-A Profundizacion'!BC:BC,A115)+COUNTIF('N-A Investigación'!BF:BF,A115)</f>
        <v>0</v>
      </c>
      <c r="C115" s="33">
        <f>COUNTIF('Acuerdo Antiguo'!BE:BF,A115)</f>
        <v>0</v>
      </c>
      <c r="D115" s="84">
        <f>COUNTIF('Acuerdo Antiguo'!BG:BH,A115)+COUNTIF('N-A Profundizacion'!AG:AG,A115)+COUNTIF('N-A Profundizacion'!AM:AM,A115)+COUNTIF('N-A Investigación'!AN:AN,A115)+COUNTIF('N-A Investigación'!AT:AT,A115)</f>
        <v>0</v>
      </c>
      <c r="E115" s="60"/>
      <c r="F115" s="54" t="s">
        <v>955</v>
      </c>
      <c r="G115" s="733" t="s">
        <v>955</v>
      </c>
      <c r="H115" s="734"/>
      <c r="I115" s="735"/>
    </row>
    <row r="116" spans="1:9" ht="15">
      <c r="A116" s="81" t="s">
        <v>1111</v>
      </c>
      <c r="B116" s="35">
        <f>COUNTIF('Acuerdo Antiguo'!BD:BD,A116)+COUNTIF('N-A Profundizacion'!BC:BC,A116)+COUNTIF('N-A Investigación'!BF:BF,A116)</f>
        <v>0</v>
      </c>
      <c r="C116" s="33">
        <f>COUNTIF('Acuerdo Antiguo'!BE:BF,A116)</f>
        <v>0</v>
      </c>
      <c r="D116" s="84">
        <f>COUNTIF('Acuerdo Antiguo'!BG:BH,A116)+COUNTIF('N-A Profundizacion'!AG:AG,A116)+COUNTIF('N-A Profundizacion'!AM:AM,A116)+COUNTIF('N-A Investigación'!AN:AN,A116)+COUNTIF('N-A Investigación'!AT:AT,A116)</f>
        <v>0</v>
      </c>
      <c r="E116" s="60"/>
      <c r="F116" s="54" t="s">
        <v>955</v>
      </c>
      <c r="G116" s="733" t="s">
        <v>955</v>
      </c>
      <c r="H116" s="734"/>
      <c r="I116" s="735"/>
    </row>
    <row r="117" spans="1:9" ht="15">
      <c r="A117" s="81" t="s">
        <v>1112</v>
      </c>
      <c r="B117" s="35">
        <f>COUNTIF('Acuerdo Antiguo'!BD:BD,A117)+COUNTIF('N-A Profundizacion'!BC:BC,A117)+COUNTIF('N-A Investigación'!BF:BF,A117)</f>
        <v>0</v>
      </c>
      <c r="C117" s="33">
        <f>COUNTIF('Acuerdo Antiguo'!BE:BF,A117)</f>
        <v>0</v>
      </c>
      <c r="D117" s="84">
        <f>COUNTIF('Acuerdo Antiguo'!BG:BH,A117)+COUNTIF('N-A Profundizacion'!AG:AG,A117)+COUNTIF('N-A Profundizacion'!AM:AM,A117)+COUNTIF('N-A Investigación'!AN:AN,A117)+COUNTIF('N-A Investigación'!AT:AT,A117)</f>
        <v>0</v>
      </c>
      <c r="E117" s="60"/>
      <c r="F117" s="54" t="s">
        <v>1113</v>
      </c>
      <c r="G117" s="733" t="s">
        <v>1114</v>
      </c>
      <c r="H117" s="734"/>
      <c r="I117" s="735"/>
    </row>
    <row r="118" spans="1:9" ht="15">
      <c r="A118" s="81" t="s">
        <v>1115</v>
      </c>
      <c r="B118" s="35">
        <f>COUNTIF('Acuerdo Antiguo'!BD:BD,A118)+COUNTIF('N-A Profundizacion'!BC:BC,A118)+COUNTIF('N-A Investigación'!BF:BF,A118)</f>
        <v>0</v>
      </c>
      <c r="C118" s="33">
        <f>COUNTIF('Acuerdo Antiguo'!BE:BF,A118)</f>
        <v>0</v>
      </c>
      <c r="D118" s="84">
        <f>COUNTIF('Acuerdo Antiguo'!BG:BH,A118)+COUNTIF('N-A Profundizacion'!AG:AG,A118)+COUNTIF('N-A Profundizacion'!AM:AM,A118)+COUNTIF('N-A Investigación'!AN:AN,A118)+COUNTIF('N-A Investigación'!AT:AT,A118)</f>
        <v>0</v>
      </c>
      <c r="E118" s="60"/>
      <c r="F118" s="54" t="s">
        <v>1116</v>
      </c>
      <c r="G118" s="733" t="s">
        <v>1117</v>
      </c>
      <c r="H118" s="734"/>
      <c r="I118" s="735"/>
    </row>
    <row r="119" spans="1:9" ht="15">
      <c r="A119" s="81" t="s">
        <v>1118</v>
      </c>
      <c r="B119" s="35">
        <f>COUNTIF('Acuerdo Antiguo'!BD:BD,A119)+COUNTIF('N-A Profundizacion'!BC:BC,A119)+COUNTIF('N-A Investigación'!BF:BF,A119)</f>
        <v>0</v>
      </c>
      <c r="C119" s="33">
        <f>COUNTIF('Acuerdo Antiguo'!BE:BF,A119)</f>
        <v>0</v>
      </c>
      <c r="D119" s="84">
        <f>COUNTIF('Acuerdo Antiguo'!BG:BH,A119)+COUNTIF('N-A Profundizacion'!AG:AG,A119)+COUNTIF('N-A Profundizacion'!AM:AM,A119)+COUNTIF('N-A Investigación'!AN:AN,A119)+COUNTIF('N-A Investigación'!AT:AT,A119)</f>
        <v>0</v>
      </c>
      <c r="E119" s="60"/>
      <c r="F119" s="54" t="s">
        <v>1119</v>
      </c>
      <c r="G119" s="733" t="s">
        <v>1120</v>
      </c>
      <c r="H119" s="734"/>
      <c r="I119" s="735"/>
    </row>
    <row r="120" spans="1:9" ht="15">
      <c r="A120" s="81" t="s">
        <v>434</v>
      </c>
      <c r="B120" s="35">
        <f>COUNTIF('Acuerdo Antiguo'!BD:BD,A120)+COUNTIF('N-A Profundizacion'!BC:BC,A120)+COUNTIF('N-A Investigación'!BF:BF,A120)</f>
        <v>0</v>
      </c>
      <c r="C120" s="33">
        <f>COUNTIF('Acuerdo Antiguo'!BE:BF,A120)</f>
        <v>0</v>
      </c>
      <c r="D120" s="84">
        <f>COUNTIF('Acuerdo Antiguo'!BG:BH,A120)+COUNTIF('N-A Profundizacion'!AG:AG,A120)+COUNTIF('N-A Profundizacion'!AM:AM,A120)+COUNTIF('N-A Investigación'!AN:AN,A120)+COUNTIF('N-A Investigación'!AT:AT,A120)</f>
        <v>0</v>
      </c>
      <c r="E120" s="60"/>
      <c r="F120" s="54" t="s">
        <v>1121</v>
      </c>
      <c r="G120" s="733" t="s">
        <v>1122</v>
      </c>
      <c r="H120" s="734"/>
      <c r="I120" s="735"/>
    </row>
    <row r="121" spans="1:9" ht="15">
      <c r="A121" s="81" t="s">
        <v>1123</v>
      </c>
      <c r="B121" s="35">
        <f>COUNTIF('Acuerdo Antiguo'!BD:BD,A121)+COUNTIF('N-A Profundizacion'!BC:BC,A121)+COUNTIF('N-A Investigación'!BF:BF,A121)</f>
        <v>0</v>
      </c>
      <c r="C121" s="33">
        <f>COUNTIF('Acuerdo Antiguo'!BE:BF,A121)</f>
        <v>0</v>
      </c>
      <c r="D121" s="84">
        <f>COUNTIF('Acuerdo Antiguo'!BG:BH,A121)+COUNTIF('N-A Profundizacion'!AG:AG,A121)+COUNTIF('N-A Profundizacion'!AM:AM,A121)+COUNTIF('N-A Investigación'!AN:AN,A121)+COUNTIF('N-A Investigación'!AT:AT,A121)</f>
        <v>0</v>
      </c>
      <c r="E121" s="60"/>
      <c r="F121" s="54"/>
      <c r="G121" s="85"/>
      <c r="H121" s="88"/>
      <c r="I121" s="89"/>
    </row>
    <row r="122" spans="1:9" ht="15">
      <c r="A122" s="81" t="s">
        <v>446</v>
      </c>
      <c r="B122" s="35">
        <f>COUNTIF('Acuerdo Antiguo'!BD:BD,A122)+COUNTIF('N-A Profundizacion'!BC:BC,A122)+COUNTIF('N-A Investigación'!BF:BF,A122)</f>
        <v>0</v>
      </c>
      <c r="C122" s="33">
        <f>COUNTIF('Acuerdo Antiguo'!BE:BF,A122)</f>
        <v>0</v>
      </c>
      <c r="D122" s="84">
        <f>COUNTIF('Acuerdo Antiguo'!BG:BH,A122)+COUNTIF('N-A Profundizacion'!AG:AG,A122)+COUNTIF('N-A Profundizacion'!AM:AM,A122)+COUNTIF('N-A Investigación'!AN:AN,A122)+COUNTIF('N-A Investigación'!AT:AT,A122)</f>
        <v>0</v>
      </c>
      <c r="E122" s="60"/>
      <c r="F122" s="54" t="s">
        <v>955</v>
      </c>
      <c r="G122" s="733" t="s">
        <v>955</v>
      </c>
      <c r="H122" s="734"/>
      <c r="I122" s="735"/>
    </row>
    <row r="123" spans="1:9" ht="15">
      <c r="A123" s="81" t="s">
        <v>281</v>
      </c>
      <c r="B123" s="35">
        <f>COUNTIF('Acuerdo Antiguo'!BD:BD,A123)+COUNTIF('N-A Profundizacion'!BC:BC,A123)+COUNTIF('N-A Investigación'!BF:BF,A123)</f>
        <v>0</v>
      </c>
      <c r="C123" s="33">
        <f>COUNTIF('Acuerdo Antiguo'!BE:BF,A123)</f>
        <v>0</v>
      </c>
      <c r="D123" s="84">
        <f>COUNTIF('Acuerdo Antiguo'!BG:BH,A123)+COUNTIF('N-A Profundizacion'!AG:AG,A123)+COUNTIF('N-A Profundizacion'!AM:AM,A123)+COUNTIF('N-A Investigación'!AN:AN,A123)+COUNTIF('N-A Investigación'!AT:AT,A123)</f>
        <v>1</v>
      </c>
      <c r="E123" s="60"/>
      <c r="F123" s="53" t="s">
        <v>1124</v>
      </c>
      <c r="G123" s="733" t="s">
        <v>1125</v>
      </c>
      <c r="H123" s="734"/>
      <c r="I123" s="735"/>
    </row>
    <row r="124" spans="1:9" ht="15">
      <c r="A124" s="81" t="s">
        <v>360</v>
      </c>
      <c r="B124" s="35">
        <f>COUNTIF('Acuerdo Antiguo'!BD:BD,A124)+COUNTIF('N-A Profundizacion'!BC:BC,A124)+COUNTIF('N-A Investigación'!BF:BF,A124)</f>
        <v>0</v>
      </c>
      <c r="C124" s="33">
        <f>COUNTIF('Acuerdo Antiguo'!BE:BF,A124)</f>
        <v>0</v>
      </c>
      <c r="D124" s="84">
        <f>COUNTIF('Acuerdo Antiguo'!BG:BH,A124)+COUNTIF('N-A Profundizacion'!AG:AG,A124)+COUNTIF('N-A Profundizacion'!AM:AM,A124)+COUNTIF('N-A Investigación'!AN:AN,A124)+COUNTIF('N-A Investigación'!AT:AT,A124)</f>
        <v>0</v>
      </c>
      <c r="E124" s="60"/>
      <c r="F124" s="53"/>
      <c r="G124" s="85"/>
      <c r="H124" s="88"/>
      <c r="I124" s="89"/>
    </row>
    <row r="125" spans="1:9" ht="15">
      <c r="A125" s="81" t="s">
        <v>310</v>
      </c>
      <c r="B125" s="35">
        <f>COUNTIF('Acuerdo Antiguo'!BD:BD,A125)+COUNTIF('N-A Profundizacion'!BC:BC,A125)+COUNTIF('N-A Investigación'!BF:BF,A125)</f>
        <v>0</v>
      </c>
      <c r="C125" s="33">
        <f>COUNTIF('Acuerdo Antiguo'!BE:BF,A125)</f>
        <v>0</v>
      </c>
      <c r="D125" s="84">
        <f>COUNTIF('Acuerdo Antiguo'!BG:BH,A125)+COUNTIF('N-A Profundizacion'!AG:AG,A125)+COUNTIF('N-A Profundizacion'!AM:AM,A125)+COUNTIF('N-A Investigación'!AN:AN,A125)+COUNTIF('N-A Investigación'!AT:AT,A125)</f>
        <v>2</v>
      </c>
      <c r="E125" s="60"/>
      <c r="F125" s="54" t="s">
        <v>1126</v>
      </c>
      <c r="G125" s="733" t="s">
        <v>963</v>
      </c>
      <c r="H125" s="734"/>
      <c r="I125" s="735"/>
    </row>
    <row r="126" spans="1:9" ht="15">
      <c r="A126" s="81" t="s">
        <v>772</v>
      </c>
      <c r="B126" s="35">
        <f>COUNTIF('Acuerdo Antiguo'!BD:BD,A126)+COUNTIF('N-A Profundizacion'!BC:BC,A126)+COUNTIF('N-A Investigación'!BF:BF,A126)</f>
        <v>0</v>
      </c>
      <c r="C126" s="33">
        <f>COUNTIF('Acuerdo Antiguo'!BE:BF,A126)</f>
        <v>0</v>
      </c>
      <c r="D126" s="84">
        <f>COUNTIF('Acuerdo Antiguo'!BG:BH,A126)+COUNTIF('N-A Profundizacion'!AG:AG,A126)+COUNTIF('N-A Profundizacion'!AM:AM,A126)+COUNTIF('N-A Investigación'!AN:AN,A126)+COUNTIF('N-A Investigación'!AT:AT,A126)</f>
        <v>0</v>
      </c>
      <c r="E126" s="60"/>
      <c r="F126" s="54"/>
      <c r="G126" s="85"/>
      <c r="H126" s="88"/>
      <c r="I126" s="89"/>
    </row>
    <row r="127" spans="1:9" ht="15">
      <c r="A127" s="81" t="s">
        <v>486</v>
      </c>
      <c r="B127" s="35">
        <f>COUNTIF('Acuerdo Antiguo'!BD:BD,A127)+COUNTIF('N-A Profundizacion'!BC:BC,A127)+COUNTIF('N-A Investigación'!BF:BF,A127)</f>
        <v>0</v>
      </c>
      <c r="C127" s="33">
        <f>COUNTIF('Acuerdo Antiguo'!BE:BF,A127)</f>
        <v>0</v>
      </c>
      <c r="D127" s="84">
        <f>COUNTIF('Acuerdo Antiguo'!BG:BH,A127)+COUNTIF('N-A Profundizacion'!AG:AG,A127)+COUNTIF('N-A Profundizacion'!AM:AM,A127)+COUNTIF('N-A Investigación'!AN:AN,A127)+COUNTIF('N-A Investigación'!AT:AT,A127)</f>
        <v>0</v>
      </c>
      <c r="E127" s="60"/>
      <c r="F127" s="54" t="s">
        <v>955</v>
      </c>
      <c r="G127" s="733" t="s">
        <v>955</v>
      </c>
      <c r="H127" s="734"/>
      <c r="I127" s="735"/>
    </row>
    <row r="128" spans="1:9" ht="15">
      <c r="A128" s="81" t="s">
        <v>292</v>
      </c>
      <c r="B128" s="35">
        <f>COUNTIF('Acuerdo Antiguo'!BD:BD,A128)+COUNTIF('N-A Profundizacion'!BC:BC,A128)+COUNTIF('N-A Investigación'!BF:BF,A128)</f>
        <v>1</v>
      </c>
      <c r="C128" s="33">
        <f>COUNTIF('Acuerdo Antiguo'!BE:BF,A128)</f>
        <v>0</v>
      </c>
      <c r="D128" s="84">
        <f>COUNTIF('Acuerdo Antiguo'!BG:BH,A128)+COUNTIF('N-A Profundizacion'!AG:AG,A128)+COUNTIF('N-A Profundizacion'!AM:AM,A128)+COUNTIF('N-A Investigación'!AN:AN,A128)+COUNTIF('N-A Investigación'!AT:AT,A128)</f>
        <v>3</v>
      </c>
      <c r="E128" s="60"/>
      <c r="F128" s="53" t="s">
        <v>1127</v>
      </c>
      <c r="G128" s="733" t="s">
        <v>963</v>
      </c>
      <c r="H128" s="734"/>
      <c r="I128" s="735"/>
    </row>
    <row r="129" spans="1:9" ht="15">
      <c r="A129" s="81" t="s">
        <v>1128</v>
      </c>
      <c r="B129" s="35">
        <f>COUNTIF('Acuerdo Antiguo'!BD:BD,A129)+COUNTIF('N-A Profundizacion'!BC:BC,A129)+COUNTIF('N-A Investigación'!BF:BF,A129)</f>
        <v>0</v>
      </c>
      <c r="C129" s="33">
        <f>COUNTIF('Acuerdo Antiguo'!BE:BF,A129)</f>
        <v>0</v>
      </c>
      <c r="D129" s="84">
        <f>COUNTIF('Acuerdo Antiguo'!BG:BH,A129)+COUNTIF('N-A Profundizacion'!AG:AG,A129)+COUNTIF('N-A Profundizacion'!AM:AM,A129)+COUNTIF('N-A Investigación'!AN:AN,A129)+COUNTIF('N-A Investigación'!AT:AT,A129)</f>
        <v>0</v>
      </c>
      <c r="E129" s="60"/>
      <c r="F129" s="54" t="s">
        <v>1129</v>
      </c>
      <c r="G129" s="733" t="s">
        <v>1039</v>
      </c>
      <c r="H129" s="734"/>
      <c r="I129" s="735"/>
    </row>
    <row r="130" spans="1:9" ht="15">
      <c r="A130" s="81" t="s">
        <v>402</v>
      </c>
      <c r="B130" s="35">
        <f>COUNTIF('Acuerdo Antiguo'!BD:BD,A130)+COUNTIF('N-A Profundizacion'!BC:BC,A130)+COUNTIF('N-A Investigación'!BF:BF,A130)</f>
        <v>1</v>
      </c>
      <c r="C130" s="33">
        <f>COUNTIF('Acuerdo Antiguo'!BE:BF,A130)</f>
        <v>0</v>
      </c>
      <c r="D130" s="84">
        <f>COUNTIF('Acuerdo Antiguo'!BG:BH,A130)+COUNTIF('N-A Profundizacion'!AG:AG,A130)+COUNTIF('N-A Profundizacion'!AM:AM,A130)+COUNTIF('N-A Investigación'!AN:AN,A130)+COUNTIF('N-A Investigación'!AT:AT,A130)</f>
        <v>2</v>
      </c>
      <c r="E130" s="60"/>
      <c r="F130" s="54" t="s">
        <v>1130</v>
      </c>
      <c r="G130" s="733" t="s">
        <v>1022</v>
      </c>
      <c r="H130" s="734"/>
      <c r="I130" s="735"/>
    </row>
    <row r="131" spans="1:9" ht="15">
      <c r="A131" s="81" t="s">
        <v>1131</v>
      </c>
      <c r="B131" s="35">
        <f>COUNTIF('Acuerdo Antiguo'!BD:BD,A131)+COUNTIF('N-A Profundizacion'!BC:BC,A131)+COUNTIF('N-A Investigación'!BF:BF,A131)</f>
        <v>0</v>
      </c>
      <c r="C131" s="33">
        <f>COUNTIF('Acuerdo Antiguo'!BE:BF,A131)</f>
        <v>0</v>
      </c>
      <c r="D131" s="84">
        <f>COUNTIF('Acuerdo Antiguo'!BG:BH,A131)+COUNTIF('N-A Profundizacion'!AG:AG,A131)+COUNTIF('N-A Profundizacion'!AM:AM,A131)+COUNTIF('N-A Investigación'!AN:AN,A131)+COUNTIF('N-A Investigación'!AT:AT,A131)</f>
        <v>0</v>
      </c>
      <c r="E131" s="60"/>
      <c r="F131" s="54" t="s">
        <v>1132</v>
      </c>
      <c r="G131" s="733" t="s">
        <v>1133</v>
      </c>
      <c r="H131" s="734"/>
      <c r="I131" s="735"/>
    </row>
    <row r="132" spans="1:9" ht="15">
      <c r="A132" s="81" t="s">
        <v>260</v>
      </c>
      <c r="B132" s="35">
        <f>COUNTIF('Acuerdo Antiguo'!BD:BD,A132)+COUNTIF('N-A Profundizacion'!BC:BC,A132)+COUNTIF('N-A Investigación'!BF:BF,A132)</f>
        <v>0</v>
      </c>
      <c r="C132" s="33">
        <f>COUNTIF('Acuerdo Antiguo'!BE:BF,A132)</f>
        <v>0</v>
      </c>
      <c r="D132" s="84">
        <f>COUNTIF('Acuerdo Antiguo'!BG:BH,A132)+COUNTIF('N-A Profundizacion'!AG:AG,A132)+COUNTIF('N-A Profundizacion'!AM:AM,A132)+COUNTIF('N-A Investigación'!AN:AN,A132)+COUNTIF('N-A Investigación'!AT:AT,A132)</f>
        <v>0</v>
      </c>
      <c r="E132" s="60"/>
      <c r="F132" s="54" t="s">
        <v>1134</v>
      </c>
      <c r="G132" s="733" t="s">
        <v>993</v>
      </c>
      <c r="H132" s="734"/>
      <c r="I132" s="735"/>
    </row>
    <row r="133" spans="1:9" ht="15">
      <c r="A133" s="81" t="s">
        <v>831</v>
      </c>
      <c r="B133" s="35">
        <f>COUNTIF('Acuerdo Antiguo'!BD:BD,A133)+COUNTIF('N-A Profundizacion'!BC:BC,A133)+COUNTIF('N-A Investigación'!BF:BF,A133)</f>
        <v>0</v>
      </c>
      <c r="C133" s="33">
        <f>COUNTIF('Acuerdo Antiguo'!BE:BF,A133)</f>
        <v>0</v>
      </c>
      <c r="D133" s="84">
        <f>COUNTIF('Acuerdo Antiguo'!BG:BH,A133)+COUNTIF('N-A Profundizacion'!AG:AG,A133)+COUNTIF('N-A Profundizacion'!AM:AM,A133)+COUNTIF('N-A Investigación'!AN:AN,A133)+COUNTIF('N-A Investigación'!AT:AT,A133)</f>
        <v>1</v>
      </c>
      <c r="E133" s="60"/>
      <c r="F133" s="54" t="s">
        <v>1135</v>
      </c>
      <c r="G133" s="733" t="s">
        <v>1136</v>
      </c>
      <c r="H133" s="734"/>
      <c r="I133" s="735"/>
    </row>
    <row r="134" spans="1:9" ht="15">
      <c r="A134" s="81" t="s">
        <v>895</v>
      </c>
      <c r="B134" s="35">
        <f>COUNTIF('Acuerdo Antiguo'!BD:BD,A134)+COUNTIF('N-A Profundizacion'!BC:BC,A134)+COUNTIF('N-A Investigación'!BF:BF,A134)</f>
        <v>0</v>
      </c>
      <c r="C134" s="33">
        <f>COUNTIF('Acuerdo Antiguo'!BE:BF,A134)</f>
        <v>0</v>
      </c>
      <c r="D134" s="84">
        <f>COUNTIF('Acuerdo Antiguo'!BG:BH,A134)+COUNTIF('N-A Profundizacion'!AG:AG,A134)+COUNTIF('N-A Profundizacion'!AM:AM,A134)+COUNTIF('N-A Investigación'!AN:AN,A134)+COUNTIF('N-A Investigación'!AT:AT,A134)</f>
        <v>1</v>
      </c>
      <c r="E134" s="60"/>
      <c r="F134" s="54" t="s">
        <v>1137</v>
      </c>
      <c r="G134" s="733" t="s">
        <v>1047</v>
      </c>
      <c r="H134" s="734"/>
      <c r="I134" s="735"/>
    </row>
    <row r="135" spans="1:9" ht="15">
      <c r="A135" s="81" t="s">
        <v>229</v>
      </c>
      <c r="B135" s="35">
        <f>COUNTIF('Acuerdo Antiguo'!BD:BD,A135)+COUNTIF('N-A Profundizacion'!BC:BC,A135)+COUNTIF('N-A Investigación'!BF:BF,A135)</f>
        <v>0</v>
      </c>
      <c r="C135" s="33">
        <f>COUNTIF('Acuerdo Antiguo'!BE:BF,A135)</f>
        <v>0</v>
      </c>
      <c r="D135" s="84">
        <f>COUNTIF('Acuerdo Antiguo'!BG:BH,A135)+COUNTIF('N-A Profundizacion'!AG:AG,A135)+COUNTIF('N-A Profundizacion'!AM:AM,A135)+COUNTIF('N-A Investigación'!AN:AN,A135)+COUNTIF('N-A Investigación'!AT:AT,A135)</f>
        <v>3</v>
      </c>
      <c r="E135" s="60"/>
      <c r="F135" s="54" t="s">
        <v>1138</v>
      </c>
      <c r="G135" s="733" t="s">
        <v>961</v>
      </c>
      <c r="H135" s="734"/>
      <c r="I135" s="735"/>
    </row>
    <row r="136" spans="1:9" ht="15">
      <c r="A136" s="81" t="s">
        <v>255</v>
      </c>
      <c r="B136" s="35">
        <f>COUNTIF('Acuerdo Antiguo'!BD:BD,A136)+COUNTIF('N-A Profundizacion'!BC:BC,A136)+COUNTIF('N-A Investigación'!BF:BF,A136)</f>
        <v>0</v>
      </c>
      <c r="C136" s="33">
        <f>COUNTIF('Acuerdo Antiguo'!BE:BF,A136)</f>
        <v>0</v>
      </c>
      <c r="D136" s="84">
        <f>COUNTIF('Acuerdo Antiguo'!BG:BH,A136)+COUNTIF('N-A Profundizacion'!AG:AG,A136)+COUNTIF('N-A Profundizacion'!AM:AM,A136)+COUNTIF('N-A Investigación'!AN:AN,A136)+COUNTIF('N-A Investigación'!AT:AT,A136)</f>
        <v>0</v>
      </c>
      <c r="E136" s="60"/>
      <c r="F136" s="54" t="s">
        <v>1010</v>
      </c>
      <c r="G136" s="733" t="s">
        <v>1011</v>
      </c>
      <c r="H136" s="734"/>
      <c r="I136" s="735"/>
    </row>
    <row r="137" spans="1:9" ht="15">
      <c r="A137" s="81" t="s">
        <v>335</v>
      </c>
      <c r="B137" s="35">
        <f>COUNTIF('Acuerdo Antiguo'!BD:BD,A137)+COUNTIF('N-A Profundizacion'!BC:BC,A137)+COUNTIF('N-A Investigación'!BF:BF,A137)</f>
        <v>0</v>
      </c>
      <c r="C137" s="33">
        <f>COUNTIF('Acuerdo Antiguo'!BE:BF,A137)</f>
        <v>0</v>
      </c>
      <c r="D137" s="84">
        <f>COUNTIF('Acuerdo Antiguo'!BG:BH,A137)+COUNTIF('N-A Profundizacion'!AG:AG,A137)+COUNTIF('N-A Profundizacion'!AM:AM,A137)+COUNTIF('N-A Investigación'!AN:AN,A137)+COUNTIF('N-A Investigación'!AT:AT,A137)</f>
        <v>0</v>
      </c>
      <c r="E137" s="60"/>
      <c r="F137" s="54" t="s">
        <v>1139</v>
      </c>
      <c r="G137" s="733" t="s">
        <v>1029</v>
      </c>
      <c r="H137" s="734"/>
      <c r="I137" s="735"/>
    </row>
    <row r="138" spans="1:9" ht="15">
      <c r="A138" s="81" t="s">
        <v>1140</v>
      </c>
      <c r="B138" s="35">
        <f>COUNTIF('Acuerdo Antiguo'!BD:BD,A138)+COUNTIF('N-A Profundizacion'!BC:BC,A138)+COUNTIF('N-A Investigación'!BF:BF,A138)</f>
        <v>0</v>
      </c>
      <c r="C138" s="33">
        <f>COUNTIF('Acuerdo Antiguo'!BE:BF,A138)</f>
        <v>0</v>
      </c>
      <c r="D138" s="84">
        <f>COUNTIF('Acuerdo Antiguo'!BG:BH,A138)+COUNTIF('N-A Profundizacion'!AG:AG,A138)+COUNTIF('N-A Profundizacion'!AM:AM,A138)+COUNTIF('N-A Investigación'!AN:AN,A138)+COUNTIF('N-A Investigación'!AT:AT,A138)</f>
        <v>0</v>
      </c>
      <c r="E138" s="60"/>
      <c r="F138" s="54" t="s">
        <v>1141</v>
      </c>
      <c r="G138" s="733" t="s">
        <v>961</v>
      </c>
      <c r="H138" s="734"/>
      <c r="I138" s="735"/>
    </row>
    <row r="139" spans="1:9" ht="15">
      <c r="A139" s="81" t="s">
        <v>338</v>
      </c>
      <c r="B139" s="35">
        <f>COUNTIF('Acuerdo Antiguo'!BD:BD,A139)+COUNTIF('N-A Profundizacion'!BC:BC,A139)+COUNTIF('N-A Investigación'!BF:BF,A139)</f>
        <v>0</v>
      </c>
      <c r="C139" s="33">
        <f>COUNTIF('Acuerdo Antiguo'!BE:BF,A139)</f>
        <v>0</v>
      </c>
      <c r="D139" s="84">
        <f>COUNTIF('Acuerdo Antiguo'!BG:BH,A139)+COUNTIF('N-A Profundizacion'!AG:AG,A139)+COUNTIF('N-A Profundizacion'!AM:AM,A139)+COUNTIF('N-A Investigación'!AN:AN,A139)+COUNTIF('N-A Investigación'!AT:AT,A139)</f>
        <v>1</v>
      </c>
      <c r="E139" s="60"/>
      <c r="F139" s="54" t="s">
        <v>1142</v>
      </c>
      <c r="G139" s="733" t="s">
        <v>1108</v>
      </c>
      <c r="H139" s="734"/>
      <c r="I139" s="735"/>
    </row>
    <row r="140" spans="1:9" ht="15">
      <c r="A140" s="81" t="s">
        <v>1143</v>
      </c>
      <c r="B140" s="35">
        <f>COUNTIF('Acuerdo Antiguo'!BD:BD,A140)+COUNTIF('N-A Profundizacion'!BC:BC,A140)+COUNTIF('N-A Investigación'!BF:BF,A140)</f>
        <v>0</v>
      </c>
      <c r="C140" s="33">
        <f>COUNTIF('Acuerdo Antiguo'!BE:BF,A140)</f>
        <v>0</v>
      </c>
      <c r="D140" s="84">
        <f>COUNTIF('Acuerdo Antiguo'!BG:BH,A140)+COUNTIF('N-A Profundizacion'!AG:AG,A140)+COUNTIF('N-A Profundizacion'!AM:AM,A140)+COUNTIF('N-A Investigación'!AN:AN,A140)+COUNTIF('N-A Investigación'!AT:AT,A140)</f>
        <v>0</v>
      </c>
      <c r="E140" s="60"/>
      <c r="F140" s="54" t="s">
        <v>955</v>
      </c>
      <c r="G140" s="733" t="s">
        <v>955</v>
      </c>
      <c r="H140" s="734"/>
      <c r="I140" s="735"/>
    </row>
    <row r="141" spans="1:9" ht="15">
      <c r="A141" s="81" t="s">
        <v>1144</v>
      </c>
      <c r="B141" s="35">
        <f>COUNTIF('Acuerdo Antiguo'!BD:BD,A141)+COUNTIF('N-A Profundizacion'!BC:BC,A141)+COUNTIF('N-A Investigación'!BF:BF,A141)</f>
        <v>0</v>
      </c>
      <c r="C141" s="33">
        <f>COUNTIF('Acuerdo Antiguo'!BE:BF,A141)</f>
        <v>0</v>
      </c>
      <c r="D141" s="84">
        <f>COUNTIF('Acuerdo Antiguo'!BG:BH,A141)+COUNTIF('N-A Profundizacion'!AG:AG,A141)+COUNTIF('N-A Profundizacion'!AM:AM,A141)+COUNTIF('N-A Investigación'!AN:AN,A141)+COUNTIF('N-A Investigación'!AT:AT,A141)</f>
        <v>0</v>
      </c>
      <c r="E141" s="60"/>
      <c r="F141" s="54" t="s">
        <v>1141</v>
      </c>
      <c r="G141" s="733" t="s">
        <v>961</v>
      </c>
      <c r="H141" s="734"/>
      <c r="I141" s="735"/>
    </row>
    <row r="142" spans="1:9" ht="15">
      <c r="A142" s="81" t="s">
        <v>251</v>
      </c>
      <c r="B142" s="35">
        <f>COUNTIF('Acuerdo Antiguo'!BD:BD,A142)+COUNTIF('N-A Profundizacion'!BC:BC,A142)+COUNTIF('N-A Investigación'!BF:BF,A142)</f>
        <v>0</v>
      </c>
      <c r="C142" s="33">
        <f>COUNTIF('Acuerdo Antiguo'!BE:BF,A142)</f>
        <v>0</v>
      </c>
      <c r="D142" s="84">
        <f>COUNTIF('Acuerdo Antiguo'!BG:BH,A142)+COUNTIF('N-A Profundizacion'!AG:AG,A142)+COUNTIF('N-A Profundizacion'!AM:AM,A142)+COUNTIF('N-A Investigación'!AN:AN,A142)+COUNTIF('N-A Investigación'!AT:AT,A142)</f>
        <v>0</v>
      </c>
      <c r="E142" s="60"/>
      <c r="F142" s="54" t="s">
        <v>1145</v>
      </c>
      <c r="G142" s="733" t="s">
        <v>961</v>
      </c>
      <c r="H142" s="734"/>
      <c r="I142" s="735"/>
    </row>
    <row r="143" spans="1:9" ht="15">
      <c r="A143" s="81" t="s">
        <v>398</v>
      </c>
      <c r="B143" s="35">
        <f>COUNTIF('Acuerdo Antiguo'!BD:BD,A143)+COUNTIF('N-A Profundizacion'!BC:BC,A143)+COUNTIF('N-A Investigación'!BF:BF,A143)</f>
        <v>0</v>
      </c>
      <c r="C143" s="33">
        <f>COUNTIF('Acuerdo Antiguo'!BE:BF,A143)</f>
        <v>0</v>
      </c>
      <c r="D143" s="84">
        <f>COUNTIF('Acuerdo Antiguo'!BG:BH,A143)+COUNTIF('N-A Profundizacion'!AG:AG,A143)+COUNTIF('N-A Profundizacion'!AM:AM,A143)+COUNTIF('N-A Investigación'!AN:AN,A143)+COUNTIF('N-A Investigación'!AT:AT,A143)</f>
        <v>0</v>
      </c>
      <c r="E143" s="60"/>
      <c r="F143" s="54"/>
      <c r="G143" s="85"/>
      <c r="H143" s="88"/>
      <c r="I143" s="89"/>
    </row>
    <row r="144" spans="1:9" ht="15" customHeight="1">
      <c r="A144" s="81" t="s">
        <v>297</v>
      </c>
      <c r="B144" s="35">
        <f>COUNTIF('Acuerdo Antiguo'!BD:BD,A144)+COUNTIF('N-A Profundizacion'!BC:BC,A144)+COUNTIF('N-A Investigación'!BF:BF,A144)</f>
        <v>0</v>
      </c>
      <c r="C144" s="33">
        <f>COUNTIF('Acuerdo Antiguo'!BE:BF,A144)</f>
        <v>0</v>
      </c>
      <c r="D144" s="84">
        <f>COUNTIF('Acuerdo Antiguo'!BG:BH,A144)+COUNTIF('N-A Profundizacion'!AG:AG,A144)+COUNTIF('N-A Profundizacion'!AM:AM,A144)+COUNTIF('N-A Investigación'!AN:AN,A144)+COUNTIF('N-A Investigación'!AT:AT,A144)</f>
        <v>2</v>
      </c>
      <c r="E144" s="60"/>
      <c r="F144" s="54" t="s">
        <v>1146</v>
      </c>
      <c r="G144" s="733" t="s">
        <v>1036</v>
      </c>
      <c r="H144" s="744"/>
      <c r="I144" s="745"/>
    </row>
    <row r="145" spans="1:9" ht="15">
      <c r="A145" s="81" t="s">
        <v>546</v>
      </c>
      <c r="B145" s="35">
        <f>COUNTIF('Acuerdo Antiguo'!BD:BD,A145)+COUNTIF('N-A Profundizacion'!BC:BC,A145)+COUNTIF('N-A Investigación'!BF:BF,A145)</f>
        <v>0</v>
      </c>
      <c r="C145" s="33">
        <f>COUNTIF('Acuerdo Antiguo'!BE:BF,A145)</f>
        <v>0</v>
      </c>
      <c r="D145" s="84">
        <f>COUNTIF('Acuerdo Antiguo'!BG:BH,A145)+COUNTIF('N-A Profundizacion'!AG:AG,A145)+COUNTIF('N-A Profundizacion'!AM:AM,A145)+COUNTIF('N-A Investigación'!AN:AN,A145)+COUNTIF('N-A Investigación'!AT:AT,A145)</f>
        <v>0</v>
      </c>
      <c r="E145" s="60"/>
      <c r="F145" s="54"/>
      <c r="G145" s="85"/>
      <c r="H145" s="88"/>
      <c r="I145" s="89"/>
    </row>
    <row r="146" spans="1:9" ht="15">
      <c r="A146" s="81" t="s">
        <v>598</v>
      </c>
      <c r="B146" s="35">
        <f>COUNTIF('Acuerdo Antiguo'!BD:BD,A146)+COUNTIF('N-A Profundizacion'!BC:BC,A146)+COUNTIF('N-A Investigación'!BF:BF,A146)</f>
        <v>0</v>
      </c>
      <c r="C146" s="33">
        <f>COUNTIF('Acuerdo Antiguo'!BE:BF,A146)</f>
        <v>0</v>
      </c>
      <c r="D146" s="84">
        <f>COUNTIF('Acuerdo Antiguo'!BG:BH,A146)+COUNTIF('N-A Profundizacion'!AG:AG,A146)+COUNTIF('N-A Profundizacion'!AM:AM,A146)+COUNTIF('N-A Investigación'!AN:AN,A146)+COUNTIF('N-A Investigación'!AT:AT,A146)</f>
        <v>0</v>
      </c>
      <c r="E146" s="60"/>
      <c r="F146" s="54" t="s">
        <v>1147</v>
      </c>
      <c r="G146" s="733" t="s">
        <v>963</v>
      </c>
      <c r="H146" s="734"/>
      <c r="I146" s="735"/>
    </row>
    <row r="147" spans="1:9" ht="15">
      <c r="A147" s="81" t="s">
        <v>1148</v>
      </c>
      <c r="B147" s="35">
        <f>COUNTIF('Acuerdo Antiguo'!BD:BD,A147)+COUNTIF('N-A Profundizacion'!BC:BC,A147)+COUNTIF('N-A Investigación'!BF:BF,A147)</f>
        <v>0</v>
      </c>
      <c r="C147" s="33">
        <f>COUNTIF('Acuerdo Antiguo'!BE:BF,A147)</f>
        <v>0</v>
      </c>
      <c r="D147" s="84">
        <f>COUNTIF('Acuerdo Antiguo'!BG:BH,A147)+COUNTIF('N-A Profundizacion'!AG:AG,A147)+COUNTIF('N-A Profundizacion'!AM:AM,A147)+COUNTIF('N-A Investigación'!AN:AN,A147)+COUNTIF('N-A Investigación'!AT:AT,A147)</f>
        <v>0</v>
      </c>
      <c r="E147" s="60"/>
      <c r="F147" s="54" t="s">
        <v>955</v>
      </c>
      <c r="G147" s="733" t="s">
        <v>955</v>
      </c>
      <c r="H147" s="734"/>
      <c r="I147" s="735"/>
    </row>
    <row r="148" spans="1:9" ht="15">
      <c r="A148" s="81" t="s">
        <v>705</v>
      </c>
      <c r="B148" s="35">
        <f>COUNTIF('Acuerdo Antiguo'!BD:BD,A148)+COUNTIF('N-A Profundizacion'!BC:BC,A148)+COUNTIF('N-A Investigación'!BF:BF,A148)</f>
        <v>0</v>
      </c>
      <c r="C148" s="33">
        <f>COUNTIF('Acuerdo Antiguo'!BE:BF,A148)</f>
        <v>0</v>
      </c>
      <c r="D148" s="84">
        <f>COUNTIF('Acuerdo Antiguo'!BG:BH,A148)+COUNTIF('N-A Profundizacion'!AG:AG,A148)+COUNTIF('N-A Profundizacion'!AM:AM,A148)+COUNTIF('N-A Investigación'!AN:AN,A148)+COUNTIF('N-A Investigación'!AT:AT,A148)</f>
        <v>0</v>
      </c>
      <c r="E148" s="60"/>
      <c r="F148" s="54" t="s">
        <v>1146</v>
      </c>
      <c r="G148" s="733" t="s">
        <v>1036</v>
      </c>
      <c r="H148" s="734"/>
      <c r="I148" s="735"/>
    </row>
    <row r="149" spans="1:9" ht="15">
      <c r="A149" s="81" t="s">
        <v>604</v>
      </c>
      <c r="B149" s="35">
        <f>COUNTIF('Acuerdo Antiguo'!BD:BD,A149)+COUNTIF('N-A Profundizacion'!BC:BC,A149)+COUNTIF('N-A Investigación'!BF:BF,A149)</f>
        <v>0</v>
      </c>
      <c r="C149" s="33">
        <f>COUNTIF('Acuerdo Antiguo'!BE:BF,A149)</f>
        <v>0</v>
      </c>
      <c r="D149" s="84">
        <f>COUNTIF('Acuerdo Antiguo'!BG:BH,A149)+COUNTIF('N-A Profundizacion'!AG:AG,A149)+COUNTIF('N-A Profundizacion'!AM:AM,A149)+COUNTIF('N-A Investigación'!AN:AN,A149)+COUNTIF('N-A Investigación'!AT:AT,A149)</f>
        <v>0</v>
      </c>
      <c r="E149" s="60"/>
      <c r="F149" s="54"/>
      <c r="G149" s="85"/>
      <c r="H149" s="88"/>
      <c r="I149" s="89"/>
    </row>
    <row r="150" spans="1:9" ht="15">
      <c r="A150" s="81" t="s">
        <v>1149</v>
      </c>
      <c r="B150" s="35">
        <f>COUNTIF('Acuerdo Antiguo'!BD:BD,A150)+COUNTIF('N-A Profundizacion'!BC:BC,A150)+COUNTIF('N-A Investigación'!BF:BF,A150)</f>
        <v>0</v>
      </c>
      <c r="C150" s="33">
        <f>COUNTIF('Acuerdo Antiguo'!BE:BF,A150)</f>
        <v>0</v>
      </c>
      <c r="D150" s="84">
        <f>COUNTIF('Acuerdo Antiguo'!BG:BH,A150)+COUNTIF('N-A Profundizacion'!AG:AG,A150)+COUNTIF('N-A Profundizacion'!AM:AM,A150)+COUNTIF('N-A Investigación'!AN:AN,A150)+COUNTIF('N-A Investigación'!AT:AT,A150)</f>
        <v>0</v>
      </c>
      <c r="E150" s="60"/>
      <c r="F150" s="54" t="s">
        <v>955</v>
      </c>
      <c r="G150" s="733" t="s">
        <v>955</v>
      </c>
      <c r="H150" s="734"/>
      <c r="I150" s="735"/>
    </row>
    <row r="151" spans="1:9" ht="15">
      <c r="A151" s="81" t="s">
        <v>329</v>
      </c>
      <c r="B151" s="35">
        <f>COUNTIF('Acuerdo Antiguo'!BD:BD,A151)+COUNTIF('N-A Profundizacion'!BC:BC,A151)+COUNTIF('N-A Investigación'!BF:BF,A151)</f>
        <v>0</v>
      </c>
      <c r="C151" s="33">
        <f>COUNTIF('Acuerdo Antiguo'!BE:BF,A151)</f>
        <v>0</v>
      </c>
      <c r="D151" s="84">
        <f>COUNTIF('Acuerdo Antiguo'!BG:BH,A151)+COUNTIF('N-A Profundizacion'!AG:AG,A151)+COUNTIF('N-A Profundizacion'!AM:AM,A151)+COUNTIF('N-A Investigación'!AN:AN,A151)+COUNTIF('N-A Investigación'!AT:AT,A151)</f>
        <v>0</v>
      </c>
      <c r="E151" s="60"/>
      <c r="F151" s="54" t="s">
        <v>1150</v>
      </c>
      <c r="G151" s="733" t="s">
        <v>1114</v>
      </c>
      <c r="H151" s="734"/>
      <c r="I151" s="735"/>
    </row>
    <row r="152" spans="1:9" ht="15">
      <c r="A152" s="81" t="s">
        <v>232</v>
      </c>
      <c r="B152" s="35">
        <f>COUNTIF('Acuerdo Antiguo'!BD:BD,A152)+COUNTIF('N-A Profundizacion'!BC:BC,A152)+COUNTIF('N-A Investigación'!BF:BF,A152)</f>
        <v>0</v>
      </c>
      <c r="C152" s="33">
        <f>COUNTIF('Acuerdo Antiguo'!BE:BF,A152)</f>
        <v>0</v>
      </c>
      <c r="D152" s="84">
        <f>COUNTIF('Acuerdo Antiguo'!BG:BH,A152)+COUNTIF('N-A Profundizacion'!AG:AG,A152)+COUNTIF('N-A Profundizacion'!AM:AM,A152)+COUNTIF('N-A Investigación'!AN:AN,A152)+COUNTIF('N-A Investigación'!AT:AT,A152)</f>
        <v>0</v>
      </c>
      <c r="E152" s="60"/>
      <c r="F152" s="54" t="s">
        <v>1151</v>
      </c>
      <c r="G152" s="733" t="s">
        <v>948</v>
      </c>
      <c r="H152" s="734"/>
      <c r="I152" s="735"/>
    </row>
    <row r="153" spans="1:9" ht="15">
      <c r="A153" s="81" t="s">
        <v>271</v>
      </c>
      <c r="B153" s="35">
        <f>COUNTIF('Acuerdo Antiguo'!BD:BD,A153)+COUNTIF('N-A Profundizacion'!BC:BC,A153)+COUNTIF('N-A Investigación'!BF:BF,A153)</f>
        <v>1</v>
      </c>
      <c r="C153" s="33">
        <f>COUNTIF('Acuerdo Antiguo'!BE:BF,A153)</f>
        <v>0</v>
      </c>
      <c r="D153" s="84">
        <f>COUNTIF('Acuerdo Antiguo'!BG:BH,A153)+COUNTIF('N-A Profundizacion'!AG:AG,A153)+COUNTIF('N-A Profundizacion'!AM:AM,A153)+COUNTIF('N-A Investigación'!AN:AN,A153)+COUNTIF('N-A Investigación'!AT:AT,A153)</f>
        <v>2</v>
      </c>
      <c r="E153" s="60"/>
      <c r="F153" s="53" t="s">
        <v>1152</v>
      </c>
      <c r="G153" s="733" t="s">
        <v>944</v>
      </c>
      <c r="H153" s="734"/>
      <c r="I153" s="735"/>
    </row>
    <row r="154" spans="1:9" ht="15">
      <c r="A154" s="81" t="s">
        <v>1153</v>
      </c>
      <c r="B154" s="35">
        <f>COUNTIF('Acuerdo Antiguo'!BD:BD,A154)+COUNTIF('N-A Profundizacion'!BC:BC,A154)+COUNTIF('N-A Investigación'!BF:BF,A154)</f>
        <v>0</v>
      </c>
      <c r="C154" s="33">
        <f>COUNTIF('Acuerdo Antiguo'!BE:BF,A154)</f>
        <v>0</v>
      </c>
      <c r="D154" s="84">
        <f>COUNTIF('Acuerdo Antiguo'!BG:BH,A154)+COUNTIF('N-A Profundizacion'!AG:AG,A154)+COUNTIF('N-A Profundizacion'!AM:AM,A154)+COUNTIF('N-A Investigación'!AN:AN,A154)+COUNTIF('N-A Investigación'!AT:AT,A154)</f>
        <v>0</v>
      </c>
      <c r="E154" s="60"/>
      <c r="F154" s="54" t="s">
        <v>955</v>
      </c>
      <c r="G154" s="733" t="s">
        <v>955</v>
      </c>
      <c r="H154" s="734"/>
      <c r="I154" s="735"/>
    </row>
    <row r="155" spans="1:9" ht="15">
      <c r="A155" s="81" t="s">
        <v>309</v>
      </c>
      <c r="B155" s="35">
        <f>COUNTIF('Acuerdo Antiguo'!BD:BD,A155)+COUNTIF('N-A Profundizacion'!BC:BC,A155)+COUNTIF('N-A Investigación'!BF:BF,A155)</f>
        <v>2</v>
      </c>
      <c r="C155" s="33">
        <f>COUNTIF('Acuerdo Antiguo'!BE:BF,A155)</f>
        <v>0</v>
      </c>
      <c r="D155" s="84">
        <f>COUNTIF('Acuerdo Antiguo'!BG:BH,A155)+COUNTIF('N-A Profundizacion'!AG:AG,A155)+COUNTIF('N-A Profundizacion'!AM:AM,A155)+COUNTIF('N-A Investigación'!AN:AN,A155)+COUNTIF('N-A Investigación'!AT:AT,A155)</f>
        <v>1</v>
      </c>
      <c r="E155" s="60"/>
      <c r="F155" s="53" t="s">
        <v>1154</v>
      </c>
      <c r="G155" s="733" t="s">
        <v>993</v>
      </c>
      <c r="H155" s="734"/>
      <c r="I155" s="735"/>
    </row>
    <row r="156" spans="1:9" ht="15">
      <c r="A156" s="81" t="s">
        <v>1155</v>
      </c>
      <c r="B156" s="35">
        <f>COUNTIF('Acuerdo Antiguo'!BD:BD,A156)+COUNTIF('N-A Profundizacion'!BC:BC,A156)+COUNTIF('N-A Investigación'!BF:BF,A156)</f>
        <v>0</v>
      </c>
      <c r="C156" s="33">
        <f>COUNTIF('Acuerdo Antiguo'!BE:BF,A156)</f>
        <v>0</v>
      </c>
      <c r="D156" s="84">
        <f>COUNTIF('Acuerdo Antiguo'!BG:BH,A156)+COUNTIF('N-A Profundizacion'!AG:AG,A156)+COUNTIF('N-A Profundizacion'!AM:AM,A156)+COUNTIF('N-A Investigación'!AN:AN,A156)+COUNTIF('N-A Investigación'!AT:AT,A156)</f>
        <v>0</v>
      </c>
      <c r="E156" s="60"/>
      <c r="F156" s="54" t="s">
        <v>1156</v>
      </c>
      <c r="G156" s="733" t="s">
        <v>1068</v>
      </c>
      <c r="H156" s="734"/>
      <c r="I156" s="735"/>
    </row>
    <row r="157" spans="1:9" ht="15">
      <c r="A157" s="81" t="s">
        <v>1157</v>
      </c>
      <c r="B157" s="35">
        <f>COUNTIF('Acuerdo Antiguo'!BD:BD,A157)+COUNTIF('N-A Profundizacion'!BC:BC,A157)+COUNTIF('N-A Investigación'!BF:BF,A157)</f>
        <v>0</v>
      </c>
      <c r="C157" s="33">
        <f>COUNTIF('Acuerdo Antiguo'!BE:BF,A157)</f>
        <v>0</v>
      </c>
      <c r="D157" s="84">
        <f>COUNTIF('Acuerdo Antiguo'!BG:BH,A157)+COUNTIF('N-A Profundizacion'!AG:AG,A157)+COUNTIF('N-A Profundizacion'!AM:AM,A157)+COUNTIF('N-A Investigación'!AN:AN,A157)+COUNTIF('N-A Investigación'!AT:AT,A157)</f>
        <v>0</v>
      </c>
      <c r="E157" s="60"/>
      <c r="F157" s="54" t="s">
        <v>1158</v>
      </c>
      <c r="G157" s="733" t="s">
        <v>961</v>
      </c>
      <c r="H157" s="734"/>
      <c r="I157" s="735"/>
    </row>
    <row r="158" spans="1:9" ht="15">
      <c r="A158" s="81" t="s">
        <v>595</v>
      </c>
      <c r="B158" s="35">
        <f>COUNTIF('Acuerdo Antiguo'!BD:BD,A158)+COUNTIF('N-A Profundizacion'!BC:BC,A158)+COUNTIF('N-A Investigación'!BF:BF,A158)</f>
        <v>0</v>
      </c>
      <c r="C158" s="33">
        <f>COUNTIF('Acuerdo Antiguo'!BE:BF,A158)</f>
        <v>0</v>
      </c>
      <c r="D158" s="84">
        <f>COUNTIF('Acuerdo Antiguo'!BG:BH,A158)+COUNTIF('N-A Profundizacion'!AG:AG,A158)+COUNTIF('N-A Profundizacion'!AM:AM,A158)+COUNTIF('N-A Investigación'!AN:AN,A158)+COUNTIF('N-A Investigación'!AT:AT,A158)</f>
        <v>0</v>
      </c>
      <c r="E158" s="60"/>
      <c r="F158" s="53" t="s">
        <v>1159</v>
      </c>
      <c r="G158" s="733" t="s">
        <v>972</v>
      </c>
      <c r="H158" s="734"/>
      <c r="I158" s="735"/>
    </row>
    <row r="159" spans="1:9" ht="15">
      <c r="A159" s="81" t="s">
        <v>1160</v>
      </c>
      <c r="B159" s="35">
        <f>COUNTIF('Acuerdo Antiguo'!BD:BD,A159)+COUNTIF('N-A Profundizacion'!BC:BC,A159)+COUNTIF('N-A Investigación'!BF:BF,A159)</f>
        <v>0</v>
      </c>
      <c r="C159" s="33">
        <f>COUNTIF('Acuerdo Antiguo'!BE:BF,A159)</f>
        <v>0</v>
      </c>
      <c r="D159" s="84">
        <f>COUNTIF('Acuerdo Antiguo'!BG:BH,A159)+COUNTIF('N-A Profundizacion'!AG:AG,A159)+COUNTIF('N-A Profundizacion'!AM:AM,A159)+COUNTIF('N-A Investigación'!AN:AN,A159)+COUNTIF('N-A Investigación'!AT:AT,A159)</f>
        <v>0</v>
      </c>
      <c r="E159" s="60"/>
      <c r="F159" s="54" t="s">
        <v>1161</v>
      </c>
      <c r="G159" s="733" t="s">
        <v>991</v>
      </c>
      <c r="H159" s="734"/>
      <c r="I159" s="735"/>
    </row>
    <row r="160" spans="1:9" ht="15">
      <c r="A160" s="81" t="s">
        <v>1162</v>
      </c>
      <c r="B160" s="35">
        <f>COUNTIF('Acuerdo Antiguo'!BD:BD,A160)+COUNTIF('N-A Profundizacion'!BC:BC,A160)+COUNTIF('N-A Investigación'!BF:BF,A160)</f>
        <v>0</v>
      </c>
      <c r="C160" s="33">
        <f>COUNTIF('Acuerdo Antiguo'!BE:BF,A160)</f>
        <v>0</v>
      </c>
      <c r="D160" s="84">
        <f>COUNTIF('Acuerdo Antiguo'!BG:BH,A160)+COUNTIF('N-A Profundizacion'!AG:AG,A160)+COUNTIF('N-A Profundizacion'!AM:AM,A160)+COUNTIF('N-A Investigación'!AN:AN,A160)+COUNTIF('N-A Investigación'!AT:AT,A160)</f>
        <v>0</v>
      </c>
      <c r="E160" s="60"/>
      <c r="F160" s="54" t="s">
        <v>1163</v>
      </c>
      <c r="G160" s="733" t="s">
        <v>1164</v>
      </c>
      <c r="H160" s="734"/>
      <c r="I160" s="735"/>
    </row>
    <row r="161" spans="1:9" ht="15">
      <c r="A161" s="81" t="s">
        <v>418</v>
      </c>
      <c r="B161" s="35">
        <f>COUNTIF('Acuerdo Antiguo'!BD:BD,A161)+COUNTIF('N-A Profundizacion'!BC:BC,A161)+COUNTIF('N-A Investigación'!BF:BF,A161)</f>
        <v>0</v>
      </c>
      <c r="C161" s="33">
        <f>COUNTIF('Acuerdo Antiguo'!BE:BF,A161)</f>
        <v>0</v>
      </c>
      <c r="D161" s="84">
        <f>COUNTIF('Acuerdo Antiguo'!BG:BH,A161)+COUNTIF('N-A Profundizacion'!AG:AG,A161)+COUNTIF('N-A Profundizacion'!AM:AM,A161)+COUNTIF('N-A Investigación'!AN:AN,A161)+COUNTIF('N-A Investigación'!AT:AT,A161)</f>
        <v>0</v>
      </c>
      <c r="E161" s="60"/>
      <c r="F161" s="54" t="s">
        <v>1165</v>
      </c>
      <c r="G161" s="733" t="s">
        <v>1166</v>
      </c>
      <c r="H161" s="734"/>
      <c r="I161" s="735"/>
    </row>
    <row r="162" spans="1:9" ht="15">
      <c r="A162" s="81" t="s">
        <v>323</v>
      </c>
      <c r="B162" s="35">
        <f>COUNTIF('Acuerdo Antiguo'!BD:BD,A162)+COUNTIF('N-A Profundizacion'!BC:BC,A162)+COUNTIF('N-A Investigación'!BF:BF,A162)</f>
        <v>0</v>
      </c>
      <c r="C162" s="33">
        <f>COUNTIF('Acuerdo Antiguo'!BE:BF,A162)</f>
        <v>0</v>
      </c>
      <c r="D162" s="84">
        <f>COUNTIF('Acuerdo Antiguo'!BG:BH,A162)+COUNTIF('N-A Profundizacion'!AG:AG,A162)+COUNTIF('N-A Profundizacion'!AM:AM,A162)+COUNTIF('N-A Investigación'!AN:AN,A162)+COUNTIF('N-A Investigación'!AT:AT,A162)</f>
        <v>1</v>
      </c>
      <c r="E162" s="60"/>
      <c r="F162" s="54" t="s">
        <v>1167</v>
      </c>
      <c r="G162" s="733" t="s">
        <v>1080</v>
      </c>
      <c r="H162" s="734"/>
      <c r="I162" s="735"/>
    </row>
    <row r="163" spans="1:9" ht="15">
      <c r="A163" s="81" t="s">
        <v>298</v>
      </c>
      <c r="B163" s="35">
        <f>COUNTIF('Acuerdo Antiguo'!BD:BD,A163)+COUNTIF('N-A Profundizacion'!BC:BC,A163)+COUNTIF('N-A Investigación'!BF:BF,A163)</f>
        <v>0</v>
      </c>
      <c r="C163" s="33">
        <f>COUNTIF('Acuerdo Antiguo'!BE:BF,A163)</f>
        <v>0</v>
      </c>
      <c r="D163" s="84">
        <f>COUNTIF('Acuerdo Antiguo'!BG:BH,A163)+COUNTIF('N-A Profundizacion'!AG:AG,A163)+COUNTIF('N-A Profundizacion'!AM:AM,A163)+COUNTIF('N-A Investigación'!AN:AN,A163)+COUNTIF('N-A Investigación'!AT:AT,A163)</f>
        <v>1</v>
      </c>
      <c r="E163" s="60"/>
      <c r="F163" s="54" t="s">
        <v>1168</v>
      </c>
      <c r="G163" s="733" t="s">
        <v>1169</v>
      </c>
      <c r="H163" s="734"/>
      <c r="I163" s="735"/>
    </row>
    <row r="164" spans="1:9" ht="15">
      <c r="A164" s="81" t="s">
        <v>1170</v>
      </c>
      <c r="B164" s="35">
        <f>COUNTIF('Acuerdo Antiguo'!BD:BD,A164)+COUNTIF('N-A Profundizacion'!BC:BC,A164)+COUNTIF('N-A Investigación'!BF:BF,A164)</f>
        <v>0</v>
      </c>
      <c r="C164" s="33">
        <f>COUNTIF('Acuerdo Antiguo'!BE:BF,A164)</f>
        <v>0</v>
      </c>
      <c r="D164" s="84">
        <f>COUNTIF('Acuerdo Antiguo'!BG:BH,A164)+COUNTIF('N-A Profundizacion'!AG:AG,A164)+COUNTIF('N-A Profundizacion'!AM:AM,A164)+COUNTIF('N-A Investigación'!AN:AN,A164)+COUNTIF('N-A Investigación'!AT:AT,A164)</f>
        <v>0</v>
      </c>
      <c r="E164" s="60"/>
      <c r="F164" s="54" t="s">
        <v>1171</v>
      </c>
      <c r="G164" s="733" t="s">
        <v>1014</v>
      </c>
      <c r="H164" s="734"/>
      <c r="I164" s="735"/>
    </row>
    <row r="165" spans="1:9" ht="15">
      <c r="A165" s="81" t="s">
        <v>422</v>
      </c>
      <c r="B165" s="35">
        <f>COUNTIF('Acuerdo Antiguo'!BD:BD,A165)+COUNTIF('N-A Profundizacion'!BC:BC,A165)+COUNTIF('N-A Investigación'!BF:BF,A165)</f>
        <v>0</v>
      </c>
      <c r="C165" s="33">
        <f>COUNTIF('Acuerdo Antiguo'!BE:BF,A165)</f>
        <v>0</v>
      </c>
      <c r="D165" s="84">
        <f>COUNTIF('Acuerdo Antiguo'!BG:BH,A165)+COUNTIF('N-A Profundizacion'!AG:AG,A165)+COUNTIF('N-A Profundizacion'!AM:AM,A165)+COUNTIF('N-A Investigación'!AN:AN,A165)+COUNTIF('N-A Investigación'!AT:AT,A165)</f>
        <v>1</v>
      </c>
      <c r="E165" s="60"/>
      <c r="F165" s="53" t="s">
        <v>1172</v>
      </c>
      <c r="G165" s="733" t="s">
        <v>1173</v>
      </c>
      <c r="H165" s="734"/>
      <c r="I165" s="735"/>
    </row>
    <row r="166" spans="1:9" ht="15">
      <c r="A166" s="81" t="s">
        <v>1174</v>
      </c>
      <c r="B166" s="35">
        <f>COUNTIF('Acuerdo Antiguo'!BD:BD,A166)+COUNTIF('N-A Profundizacion'!BC:BC,A166)+COUNTIF('N-A Investigación'!BF:BF,A166)</f>
        <v>0</v>
      </c>
      <c r="C166" s="33">
        <f>COUNTIF('Acuerdo Antiguo'!BE:BF,A166)</f>
        <v>0</v>
      </c>
      <c r="D166" s="84">
        <f>COUNTIF('Acuerdo Antiguo'!BG:BH,A166)+COUNTIF('N-A Profundizacion'!AG:AG,A166)+COUNTIF('N-A Profundizacion'!AM:AM,A166)+COUNTIF('N-A Investigación'!AN:AN,A166)+COUNTIF('N-A Investigación'!AT:AT,A166)</f>
        <v>0</v>
      </c>
      <c r="E166" s="60"/>
      <c r="F166" s="53" t="s">
        <v>1175</v>
      </c>
      <c r="G166" s="733" t="s">
        <v>1176</v>
      </c>
      <c r="H166" s="734"/>
      <c r="I166" s="735"/>
    </row>
    <row r="167" spans="1:9" ht="15">
      <c r="A167" s="81" t="s">
        <v>385</v>
      </c>
      <c r="B167" s="35">
        <f>COUNTIF('Acuerdo Antiguo'!BD:BD,A167)+COUNTIF('N-A Profundizacion'!BC:BC,A167)+COUNTIF('N-A Investigación'!BF:BF,A167)</f>
        <v>1</v>
      </c>
      <c r="C167" s="33">
        <f>COUNTIF('Acuerdo Antiguo'!BE:BF,A167)</f>
        <v>0</v>
      </c>
      <c r="D167" s="84">
        <f>COUNTIF('Acuerdo Antiguo'!BG:BH,A167)+COUNTIF('N-A Profundizacion'!AG:AG,A167)+COUNTIF('N-A Profundizacion'!AM:AM,A167)+COUNTIF('N-A Investigación'!AN:AN,A167)+COUNTIF('N-A Investigación'!AT:AT,A167)</f>
        <v>0</v>
      </c>
      <c r="E167" s="60"/>
      <c r="F167" s="54" t="s">
        <v>1177</v>
      </c>
      <c r="G167" s="733" t="s">
        <v>1014</v>
      </c>
      <c r="H167" s="734"/>
      <c r="I167" s="735"/>
    </row>
    <row r="168" spans="1:9" ht="15">
      <c r="A168" s="81" t="s">
        <v>299</v>
      </c>
      <c r="B168" s="35">
        <f>COUNTIF('Acuerdo Antiguo'!BD:BD,A168)+COUNTIF('N-A Profundizacion'!BC:BC,A168)+COUNTIF('N-A Investigación'!BF:BF,A168)</f>
        <v>0</v>
      </c>
      <c r="C168" s="33">
        <f>COUNTIF('Acuerdo Antiguo'!BE:BF,A168)</f>
        <v>0</v>
      </c>
      <c r="D168" s="84">
        <f>COUNTIF('Acuerdo Antiguo'!BG:BH,A168)+COUNTIF('N-A Profundizacion'!AG:AG,A168)+COUNTIF('N-A Profundizacion'!AM:AM,A168)+COUNTIF('N-A Investigación'!AN:AN,A168)+COUNTIF('N-A Investigación'!AT:AT,A168)</f>
        <v>0</v>
      </c>
      <c r="E168" s="60"/>
      <c r="F168" s="54" t="s">
        <v>1178</v>
      </c>
      <c r="G168" s="733" t="s">
        <v>1009</v>
      </c>
      <c r="H168" s="734"/>
      <c r="I168" s="735"/>
    </row>
    <row r="169" spans="1:9" ht="15">
      <c r="A169" s="81" t="s">
        <v>1179</v>
      </c>
      <c r="B169" s="35">
        <f>COUNTIF('Acuerdo Antiguo'!BD:BD,A169)+COUNTIF('N-A Profundizacion'!BC:BC,A169)+COUNTIF('N-A Investigación'!BF:BF,A169)</f>
        <v>0</v>
      </c>
      <c r="C169" s="33">
        <f>COUNTIF('Acuerdo Antiguo'!BE:BF,A169)</f>
        <v>0</v>
      </c>
      <c r="D169" s="84">
        <f>COUNTIF('Acuerdo Antiguo'!BG:BH,A169)+COUNTIF('N-A Profundizacion'!AG:AG,A169)+COUNTIF('N-A Profundizacion'!AM:AM,A169)+COUNTIF('N-A Investigación'!AN:AN,A169)+COUNTIF('N-A Investigación'!AT:AT,A169)</f>
        <v>0</v>
      </c>
      <c r="E169" s="60"/>
      <c r="F169" s="53" t="s">
        <v>1172</v>
      </c>
      <c r="G169" s="733" t="s">
        <v>1173</v>
      </c>
      <c r="H169" s="734"/>
      <c r="I169" s="735"/>
    </row>
    <row r="170" spans="1:9" ht="15">
      <c r="A170" s="81" t="s">
        <v>749</v>
      </c>
      <c r="B170" s="35">
        <f>COUNTIF('Acuerdo Antiguo'!BD:BD,A170)+COUNTIF('N-A Profundizacion'!BC:BC,A170)+COUNTIF('N-A Investigación'!BF:BF,A170)</f>
        <v>0</v>
      </c>
      <c r="C170" s="33">
        <f>COUNTIF('Acuerdo Antiguo'!BE:BF,A170)</f>
        <v>0</v>
      </c>
      <c r="D170" s="84">
        <f>COUNTIF('Acuerdo Antiguo'!BG:BH,A170)+COUNTIF('N-A Profundizacion'!AG:AG,A170)+COUNTIF('N-A Profundizacion'!AM:AM,A170)+COUNTIF('N-A Investigación'!AN:AN,A170)+COUNTIF('N-A Investigación'!AT:AT,A170)</f>
        <v>1</v>
      </c>
      <c r="E170" s="60"/>
      <c r="F170" s="54" t="s">
        <v>1180</v>
      </c>
      <c r="G170" s="733" t="s">
        <v>1086</v>
      </c>
      <c r="H170" s="734"/>
      <c r="I170" s="735"/>
    </row>
    <row r="171" spans="1:9" ht="15">
      <c r="A171" s="81" t="s">
        <v>1181</v>
      </c>
      <c r="B171" s="35">
        <f>COUNTIF('Acuerdo Antiguo'!BD:BD,A171)+COUNTIF('N-A Profundizacion'!BC:BC,A171)+COUNTIF('N-A Investigación'!BF:BF,A171)</f>
        <v>0</v>
      </c>
      <c r="C171" s="33">
        <f>COUNTIF('Acuerdo Antiguo'!BE:BF,A171)</f>
        <v>0</v>
      </c>
      <c r="D171" s="84">
        <f>COUNTIF('Acuerdo Antiguo'!BG:BH,A171)+COUNTIF('N-A Profundizacion'!AG:AG,A171)+COUNTIF('N-A Profundizacion'!AM:AM,A171)+COUNTIF('N-A Investigación'!AN:AN,A171)+COUNTIF('N-A Investigación'!AT:AT,A171)</f>
        <v>0</v>
      </c>
      <c r="E171" s="60"/>
      <c r="F171" s="54" t="s">
        <v>1182</v>
      </c>
      <c r="G171" s="733" t="s">
        <v>1183</v>
      </c>
      <c r="H171" s="734"/>
      <c r="I171" s="735"/>
    </row>
    <row r="172" spans="1:9" ht="15">
      <c r="A172" s="81" t="s">
        <v>1184</v>
      </c>
      <c r="B172" s="35">
        <f>COUNTIF('Acuerdo Antiguo'!BD:BD,A172)+COUNTIF('N-A Profundizacion'!BC:BC,A172)+COUNTIF('N-A Investigación'!BF:BF,A172)</f>
        <v>0</v>
      </c>
      <c r="C172" s="33">
        <f>COUNTIF('Acuerdo Antiguo'!BE:BF,A172)</f>
        <v>0</v>
      </c>
      <c r="D172" s="84">
        <f>COUNTIF('Acuerdo Antiguo'!BG:BH,A172)+COUNTIF('N-A Profundizacion'!AG:AG,A172)+COUNTIF('N-A Profundizacion'!AM:AM,A172)+COUNTIF('N-A Investigación'!AN:AN,A172)+COUNTIF('N-A Investigación'!AT:AT,A172)</f>
        <v>0</v>
      </c>
      <c r="E172" s="60"/>
      <c r="F172" s="54" t="s">
        <v>1185</v>
      </c>
      <c r="G172" s="733" t="s">
        <v>1051</v>
      </c>
      <c r="H172" s="734"/>
      <c r="I172" s="735"/>
    </row>
    <row r="173" spans="1:9" ht="15">
      <c r="A173" s="81" t="s">
        <v>274</v>
      </c>
      <c r="B173" s="35">
        <f>COUNTIF('Acuerdo Antiguo'!BD:BD,A173)+COUNTIF('N-A Profundizacion'!BC:BC,A173)+COUNTIF('N-A Investigación'!BF:BF,A173)</f>
        <v>0</v>
      </c>
      <c r="C173" s="33">
        <f>COUNTIF('Acuerdo Antiguo'!BE:BF,A173)</f>
        <v>0</v>
      </c>
      <c r="D173" s="84">
        <f>COUNTIF('Acuerdo Antiguo'!BG:BH,A173)+COUNTIF('N-A Profundizacion'!AG:AG,A173)+COUNTIF('N-A Profundizacion'!AM:AM,A173)+COUNTIF('N-A Investigación'!AN:AN,A173)+COUNTIF('N-A Investigación'!AT:AT,A173)</f>
        <v>0</v>
      </c>
      <c r="E173" s="60"/>
      <c r="F173" s="54"/>
      <c r="G173" s="85"/>
      <c r="H173" s="88"/>
      <c r="I173" s="89"/>
    </row>
    <row r="174" spans="1:9" ht="15">
      <c r="A174" s="81" t="s">
        <v>654</v>
      </c>
      <c r="B174" s="35">
        <f>COUNTIF('Acuerdo Antiguo'!BD:BD,A174)+COUNTIF('N-A Profundizacion'!BC:BC,A174)+COUNTIF('N-A Investigación'!BF:BF,A174)</f>
        <v>0</v>
      </c>
      <c r="C174" s="33">
        <f>COUNTIF('Acuerdo Antiguo'!BE:BF,A174)</f>
        <v>0</v>
      </c>
      <c r="D174" s="84">
        <f>COUNTIF('Acuerdo Antiguo'!BG:BH,A174)+COUNTIF('N-A Profundizacion'!AG:AG,A174)+COUNTIF('N-A Profundizacion'!AM:AM,A174)+COUNTIF('N-A Investigación'!AN:AN,A174)+COUNTIF('N-A Investigación'!AT:AT,A174)</f>
        <v>0</v>
      </c>
      <c r="E174" s="60"/>
      <c r="F174" s="54"/>
      <c r="G174" s="85"/>
      <c r="H174" s="88"/>
      <c r="I174" s="89"/>
    </row>
    <row r="175" spans="1:9" ht="15">
      <c r="A175" s="81" t="s">
        <v>270</v>
      </c>
      <c r="B175" s="35">
        <f>COUNTIF('Acuerdo Antiguo'!BD:BD,A175)+COUNTIF('N-A Profundizacion'!BC:BC,A175)+COUNTIF('N-A Investigación'!BF:BF,A175)</f>
        <v>0</v>
      </c>
      <c r="C175" s="33">
        <f>COUNTIF('Acuerdo Antiguo'!BE:BF,A175)</f>
        <v>0</v>
      </c>
      <c r="D175" s="84">
        <f>COUNTIF('Acuerdo Antiguo'!BG:BH,A175)+COUNTIF('N-A Profundizacion'!AG:AG,A175)+COUNTIF('N-A Profundizacion'!AM:AM,A175)+COUNTIF('N-A Investigación'!AN:AN,A175)+COUNTIF('N-A Investigación'!AT:AT,A175)</f>
        <v>3</v>
      </c>
      <c r="E175" s="60"/>
      <c r="F175" s="54" t="s">
        <v>1186</v>
      </c>
      <c r="G175" s="733" t="s">
        <v>1187</v>
      </c>
      <c r="H175" s="734"/>
      <c r="I175" s="735"/>
    </row>
    <row r="176" spans="1:9" ht="15">
      <c r="A176" s="81" t="s">
        <v>1188</v>
      </c>
      <c r="B176" s="35">
        <f>COUNTIF('Acuerdo Antiguo'!BD:BD,A176)+COUNTIF('N-A Profundizacion'!BC:BC,A176)+COUNTIF('N-A Investigación'!BF:BF,A176)</f>
        <v>0</v>
      </c>
      <c r="C176" s="33">
        <f>COUNTIF('Acuerdo Antiguo'!BE:BF,A176)</f>
        <v>0</v>
      </c>
      <c r="D176" s="84">
        <f>COUNTIF('Acuerdo Antiguo'!BG:BH,A176)+COUNTIF('N-A Profundizacion'!AG:AG,A176)+COUNTIF('N-A Profundizacion'!AM:AM,A176)+COUNTIF('N-A Investigación'!AN:AN,A176)+COUNTIF('N-A Investigación'!AT:AT,A176)</f>
        <v>0</v>
      </c>
      <c r="E176" s="60"/>
      <c r="F176" s="54" t="s">
        <v>1189</v>
      </c>
      <c r="G176" s="733" t="s">
        <v>961</v>
      </c>
      <c r="H176" s="734"/>
      <c r="I176" s="735"/>
    </row>
    <row r="177" spans="1:9" ht="15">
      <c r="A177" s="81" t="s">
        <v>1190</v>
      </c>
      <c r="B177" s="35">
        <f>COUNTIF('Acuerdo Antiguo'!BD:BD,A177)+COUNTIF('N-A Profundizacion'!BC:BC,A177)+COUNTIF('N-A Investigación'!BF:BF,A177)</f>
        <v>0</v>
      </c>
      <c r="C177" s="33">
        <f>COUNTIF('Acuerdo Antiguo'!BE:BF,A177)</f>
        <v>0</v>
      </c>
      <c r="D177" s="84">
        <f>COUNTIF('Acuerdo Antiguo'!BG:BH,A177)+COUNTIF('N-A Profundizacion'!AG:AG,A177)+COUNTIF('N-A Profundizacion'!AM:AM,A177)+COUNTIF('N-A Investigación'!AN:AN,A177)+COUNTIF('N-A Investigación'!AT:AT,A177)</f>
        <v>0</v>
      </c>
      <c r="E177" s="60"/>
      <c r="F177" s="54" t="s">
        <v>955</v>
      </c>
      <c r="G177" s="733" t="s">
        <v>955</v>
      </c>
      <c r="H177" s="734"/>
      <c r="I177" s="735"/>
    </row>
    <row r="178" spans="1:9" ht="15">
      <c r="A178" s="81" t="s">
        <v>226</v>
      </c>
      <c r="B178" s="35">
        <f>COUNTIF('Acuerdo Antiguo'!BD:BD,A178)+COUNTIF('N-A Profundizacion'!BC:BC,A178)+COUNTIF('N-A Investigación'!BF:BF,A178)</f>
        <v>0</v>
      </c>
      <c r="C178" s="33">
        <f>COUNTIF('Acuerdo Antiguo'!BE:BF,A178)</f>
        <v>0</v>
      </c>
      <c r="D178" s="84">
        <f>COUNTIF('Acuerdo Antiguo'!BG:BH,A178)+COUNTIF('N-A Profundizacion'!AG:AG,A178)+COUNTIF('N-A Profundizacion'!AM:AM,A178)+COUNTIF('N-A Investigación'!AN:AN,A178)+COUNTIF('N-A Investigación'!AT:AT,A178)</f>
        <v>0</v>
      </c>
      <c r="E178" s="60"/>
      <c r="F178" s="53" t="s">
        <v>1191</v>
      </c>
      <c r="G178" s="733" t="s">
        <v>1192</v>
      </c>
      <c r="H178" s="734"/>
      <c r="I178" s="735"/>
    </row>
    <row r="179" spans="1:9" ht="15">
      <c r="A179" s="81" t="s">
        <v>337</v>
      </c>
      <c r="B179" s="35">
        <f>COUNTIF('Acuerdo Antiguo'!BD:BD,A179)+COUNTIF('N-A Profundizacion'!BC:BC,A179)+COUNTIF('N-A Investigación'!BF:BF,A179)</f>
        <v>0</v>
      </c>
      <c r="C179" s="33">
        <f>COUNTIF('Acuerdo Antiguo'!BE:BF,A179)</f>
        <v>0</v>
      </c>
      <c r="D179" s="84">
        <f>COUNTIF('Acuerdo Antiguo'!BG:BH,A179)+COUNTIF('N-A Profundizacion'!AG:AG,A179)+COUNTIF('N-A Profundizacion'!AM:AM,A179)+COUNTIF('N-A Investigación'!AN:AN,A179)+COUNTIF('N-A Investigación'!AT:AT,A179)</f>
        <v>0</v>
      </c>
      <c r="E179" s="60"/>
      <c r="F179" s="54" t="s">
        <v>955</v>
      </c>
      <c r="G179" s="733" t="s">
        <v>955</v>
      </c>
      <c r="H179" s="734"/>
      <c r="I179" s="735"/>
    </row>
    <row r="180" spans="1:9" ht="15">
      <c r="A180" s="81" t="s">
        <v>478</v>
      </c>
      <c r="B180" s="35">
        <f>COUNTIF('Acuerdo Antiguo'!BD:BD,A180)+COUNTIF('N-A Profundizacion'!BC:BC,A180)+COUNTIF('N-A Investigación'!BF:BF,A180)</f>
        <v>0</v>
      </c>
      <c r="C180" s="33">
        <f>COUNTIF('Acuerdo Antiguo'!BE:BF,A180)</f>
        <v>0</v>
      </c>
      <c r="D180" s="84">
        <f>COUNTIF('Acuerdo Antiguo'!BG:BH,A180)+COUNTIF('N-A Profundizacion'!AG:AG,A180)+COUNTIF('N-A Profundizacion'!AM:AM,A180)+COUNTIF('N-A Investigación'!AN:AN,A180)+COUNTIF('N-A Investigación'!AT:AT,A180)</f>
        <v>1</v>
      </c>
      <c r="E180" s="60"/>
      <c r="F180" s="54"/>
      <c r="G180" s="85"/>
      <c r="H180" s="88"/>
      <c r="I180" s="89"/>
    </row>
    <row r="181" spans="1:9" ht="15">
      <c r="A181" s="81" t="s">
        <v>692</v>
      </c>
      <c r="B181" s="35">
        <f>COUNTIF('Acuerdo Antiguo'!BD:BD,A181)+COUNTIF('N-A Profundizacion'!BC:BC,A181)+COUNTIF('N-A Investigación'!BF:BF,A181)</f>
        <v>0</v>
      </c>
      <c r="C181" s="33">
        <f>COUNTIF('Acuerdo Antiguo'!BE:BF,A181)</f>
        <v>0</v>
      </c>
      <c r="D181" s="84">
        <f>COUNTIF('Acuerdo Antiguo'!BG:BH,A181)+COUNTIF('N-A Profundizacion'!AG:AG,A181)+COUNTIF('N-A Profundizacion'!AM:AM,A181)+COUNTIF('N-A Investigación'!AN:AN,A181)+COUNTIF('N-A Investigación'!AT:AT,A181)</f>
        <v>0</v>
      </c>
      <c r="E181" s="60"/>
      <c r="F181" s="54" t="s">
        <v>955</v>
      </c>
      <c r="G181" s="733" t="s">
        <v>955</v>
      </c>
      <c r="H181" s="734"/>
      <c r="I181" s="735"/>
    </row>
    <row r="182" spans="1:9" ht="15">
      <c r="A182" s="81" t="s">
        <v>411</v>
      </c>
      <c r="B182" s="35">
        <f>COUNTIF('Acuerdo Antiguo'!BD:BD,A182)+COUNTIF('N-A Profundizacion'!BC:BC,A182)+COUNTIF('N-A Investigación'!BF:BF,A182)</f>
        <v>0</v>
      </c>
      <c r="C182" s="33">
        <f>COUNTIF('Acuerdo Antiguo'!BE:BF,A182)</f>
        <v>0</v>
      </c>
      <c r="D182" s="84">
        <f>COUNTIF('Acuerdo Antiguo'!BG:BH,A182)+COUNTIF('N-A Profundizacion'!AG:AG,A182)+COUNTIF('N-A Profundizacion'!AM:AM,A182)+COUNTIF('N-A Investigación'!AN:AN,A182)+COUNTIF('N-A Investigación'!AT:AT,A182)</f>
        <v>0</v>
      </c>
      <c r="E182" s="60"/>
      <c r="F182" s="53" t="s">
        <v>1193</v>
      </c>
      <c r="G182" s="733" t="s">
        <v>966</v>
      </c>
      <c r="H182" s="734"/>
      <c r="I182" s="735"/>
    </row>
    <row r="183" spans="1:9" ht="15">
      <c r="A183" s="81" t="s">
        <v>351</v>
      </c>
      <c r="B183" s="35">
        <f>COUNTIF('Acuerdo Antiguo'!BD:BD,A183)+COUNTIF('N-A Profundizacion'!BC:BC,A183)+COUNTIF('N-A Investigación'!BF:BF,A183)</f>
        <v>0</v>
      </c>
      <c r="C183" s="33">
        <f>COUNTIF('Acuerdo Antiguo'!BE:BF,A183)</f>
        <v>0</v>
      </c>
      <c r="D183" s="84">
        <f>COUNTIF('Acuerdo Antiguo'!BG:BH,A183)+COUNTIF('N-A Profundizacion'!AG:AG,A183)+COUNTIF('N-A Profundizacion'!AM:AM,A183)+COUNTIF('N-A Investigación'!AN:AN,A183)+COUNTIF('N-A Investigación'!AT:AT,A183)</f>
        <v>0</v>
      </c>
      <c r="E183" s="60"/>
      <c r="F183" s="54" t="s">
        <v>1194</v>
      </c>
      <c r="G183" s="733" t="s">
        <v>944</v>
      </c>
      <c r="H183" s="734"/>
      <c r="I183" s="735"/>
    </row>
    <row r="184" spans="1:9" ht="15">
      <c r="A184" s="81" t="s">
        <v>348</v>
      </c>
      <c r="B184" s="35">
        <f>COUNTIF('Acuerdo Antiguo'!BD:BD,A184)+COUNTIF('N-A Profundizacion'!BC:BC,A184)+COUNTIF('N-A Investigación'!BF:BF,A184)</f>
        <v>0</v>
      </c>
      <c r="C184" s="33">
        <f>COUNTIF('Acuerdo Antiguo'!BE:BF,A184)</f>
        <v>0</v>
      </c>
      <c r="D184" s="84">
        <f>COUNTIF('Acuerdo Antiguo'!BG:BH,A184)+COUNTIF('N-A Profundizacion'!AG:AG,A184)+COUNTIF('N-A Profundizacion'!AM:AM,A184)+COUNTIF('N-A Investigación'!AN:AN,A184)+COUNTIF('N-A Investigación'!AT:AT,A184)</f>
        <v>3</v>
      </c>
      <c r="E184" s="60"/>
      <c r="F184" s="54" t="s">
        <v>1195</v>
      </c>
      <c r="G184" s="733" t="s">
        <v>963</v>
      </c>
      <c r="H184" s="734"/>
      <c r="I184" s="735"/>
    </row>
    <row r="185" spans="1:9" ht="15">
      <c r="A185" s="81" t="s">
        <v>503</v>
      </c>
      <c r="B185" s="35">
        <f>COUNTIF('Acuerdo Antiguo'!BD:BD,A185)+COUNTIF('N-A Profundizacion'!BC:BC,A185)+COUNTIF('N-A Investigación'!BF:BF,A185)</f>
        <v>0</v>
      </c>
      <c r="C185" s="33">
        <f>COUNTIF('Acuerdo Antiguo'!BE:BF,A185)</f>
        <v>0</v>
      </c>
      <c r="D185" s="84">
        <f>COUNTIF('Acuerdo Antiguo'!BG:BH,A185)+COUNTIF('N-A Profundizacion'!AG:AG,A185)+COUNTIF('N-A Profundizacion'!AM:AM,A185)+COUNTIF('N-A Investigación'!AN:AN,A185)+COUNTIF('N-A Investigación'!AT:AT,A185)</f>
        <v>1</v>
      </c>
      <c r="E185" s="60"/>
      <c r="F185" s="54" t="s">
        <v>1196</v>
      </c>
      <c r="G185" s="733" t="s">
        <v>1197</v>
      </c>
      <c r="H185" s="734"/>
      <c r="I185" s="735"/>
    </row>
    <row r="186" spans="1:9" ht="15">
      <c r="A186" s="81" t="s">
        <v>1198</v>
      </c>
      <c r="B186" s="35">
        <f>COUNTIF('Acuerdo Antiguo'!BD:BD,A186)+COUNTIF('N-A Profundizacion'!BC:BC,A186)+COUNTIF('N-A Investigación'!BF:BF,A186)</f>
        <v>0</v>
      </c>
      <c r="C186" s="33">
        <f>COUNTIF('Acuerdo Antiguo'!BE:BF,A186)</f>
        <v>0</v>
      </c>
      <c r="D186" s="84">
        <f>COUNTIF('Acuerdo Antiguo'!BG:BH,A186)+COUNTIF('N-A Profundizacion'!AG:AG,A186)+COUNTIF('N-A Profundizacion'!AM:AM,A186)+COUNTIF('N-A Investigación'!AN:AN,A186)+COUNTIF('N-A Investigación'!AT:AT,A186)</f>
        <v>0</v>
      </c>
      <c r="E186" s="60"/>
      <c r="F186" s="54" t="s">
        <v>1199</v>
      </c>
      <c r="G186" s="733" t="s">
        <v>1200</v>
      </c>
      <c r="H186" s="734"/>
      <c r="I186" s="735"/>
    </row>
    <row r="187" spans="1:9" ht="15">
      <c r="A187" s="81" t="s">
        <v>1201</v>
      </c>
      <c r="B187" s="35">
        <f>COUNTIF('Acuerdo Antiguo'!BD:BD,A187)+COUNTIF('N-A Profundizacion'!BC:BC,A187)+COUNTIF('N-A Investigación'!BF:BF,A187)</f>
        <v>0</v>
      </c>
      <c r="C187" s="33">
        <f>COUNTIF('Acuerdo Antiguo'!BE:BF,A187)</f>
        <v>0</v>
      </c>
      <c r="D187" s="84">
        <f>COUNTIF('Acuerdo Antiguo'!BG:BH,A187)+COUNTIF('N-A Profundizacion'!AG:AG,A187)+COUNTIF('N-A Profundizacion'!AM:AM,A187)+COUNTIF('N-A Investigación'!AN:AN,A187)+COUNTIF('N-A Investigación'!AT:AT,A187)</f>
        <v>0</v>
      </c>
      <c r="E187" s="60"/>
      <c r="F187" s="54"/>
      <c r="G187" s="85"/>
      <c r="H187" s="88"/>
      <c r="I187" s="89"/>
    </row>
    <row r="188" spans="1:9" ht="15">
      <c r="A188" s="81" t="s">
        <v>1202</v>
      </c>
      <c r="B188" s="35">
        <f>COUNTIF('Acuerdo Antiguo'!BD:BD,A188)+COUNTIF('N-A Profundizacion'!BC:BC,A188)+COUNTIF('N-A Investigación'!BF:BF,A188)</f>
        <v>0</v>
      </c>
      <c r="C188" s="33">
        <f>COUNTIF('Acuerdo Antiguo'!BE:BF,A188)</f>
        <v>0</v>
      </c>
      <c r="D188" s="84">
        <f>COUNTIF('Acuerdo Antiguo'!BG:BH,A188)+COUNTIF('N-A Profundizacion'!AG:AG,A188)+COUNTIF('N-A Profundizacion'!AM:AM,A188)+COUNTIF('N-A Investigación'!AN:AN,A188)+COUNTIF('N-A Investigación'!AT:AT,A188)</f>
        <v>0</v>
      </c>
      <c r="E188" s="60"/>
      <c r="F188" s="54" t="s">
        <v>1203</v>
      </c>
      <c r="G188" s="733" t="s">
        <v>1204</v>
      </c>
      <c r="H188" s="734"/>
      <c r="I188" s="735"/>
    </row>
    <row r="189" spans="1:9" ht="15">
      <c r="A189" s="81" t="s">
        <v>409</v>
      </c>
      <c r="B189" s="35">
        <f>COUNTIF('Acuerdo Antiguo'!BD:BD,A189)+COUNTIF('N-A Profundizacion'!BC:BC,A189)+COUNTIF('N-A Investigación'!BF:BF,A189)</f>
        <v>0</v>
      </c>
      <c r="C189" s="33">
        <f>COUNTIF('Acuerdo Antiguo'!BE:BF,A189)</f>
        <v>0</v>
      </c>
      <c r="D189" s="84">
        <f>COUNTIF('Acuerdo Antiguo'!BG:BH,A189)+COUNTIF('N-A Profundizacion'!AG:AG,A189)+COUNTIF('N-A Profundizacion'!AM:AM,A189)+COUNTIF('N-A Investigación'!AN:AN,A189)+COUNTIF('N-A Investigación'!AT:AT,A189)</f>
        <v>0</v>
      </c>
      <c r="E189" s="60"/>
      <c r="F189" s="54"/>
      <c r="G189" s="85"/>
      <c r="H189" s="88"/>
      <c r="I189" s="89"/>
    </row>
    <row r="190" spans="1:9" ht="15">
      <c r="A190" s="81" t="s">
        <v>1205</v>
      </c>
      <c r="B190" s="35">
        <f>COUNTIF('Acuerdo Antiguo'!BD:BD,A190)+COUNTIF('N-A Profundizacion'!BC:BC,A190)+COUNTIF('N-A Investigación'!BF:BF,A190)</f>
        <v>0</v>
      </c>
      <c r="C190" s="33">
        <f>COUNTIF('Acuerdo Antiguo'!BE:BF,A190)</f>
        <v>0</v>
      </c>
      <c r="D190" s="84">
        <f>COUNTIF('Acuerdo Antiguo'!BG:BH,A190)+COUNTIF('N-A Profundizacion'!AG:AG,A190)+COUNTIF('N-A Profundizacion'!AM:AM,A190)+COUNTIF('N-A Investigación'!AN:AN,A190)+COUNTIF('N-A Investigación'!AT:AT,A190)</f>
        <v>0</v>
      </c>
      <c r="E190" s="60"/>
      <c r="F190" s="54" t="s">
        <v>955</v>
      </c>
      <c r="G190" s="733" t="s">
        <v>955</v>
      </c>
      <c r="H190" s="734"/>
      <c r="I190" s="735"/>
    </row>
    <row r="191" spans="1:9" ht="15">
      <c r="A191" s="81" t="s">
        <v>1206</v>
      </c>
      <c r="B191" s="35">
        <f>COUNTIF('Acuerdo Antiguo'!BD:BD,A191)+COUNTIF('N-A Profundizacion'!BC:BC,A191)+COUNTIF('N-A Investigación'!BF:BF,A191)</f>
        <v>0</v>
      </c>
      <c r="C191" s="33">
        <f>COUNTIF('Acuerdo Antiguo'!BE:BF,A191)</f>
        <v>0</v>
      </c>
      <c r="D191" s="84">
        <f>COUNTIF('Acuerdo Antiguo'!BG:BH,A191)+COUNTIF('N-A Profundizacion'!AG:AG,A191)+COUNTIF('N-A Profundizacion'!AM:AM,A191)+COUNTIF('N-A Investigación'!AN:AN,A191)+COUNTIF('N-A Investigación'!AT:AT,A191)</f>
        <v>0</v>
      </c>
      <c r="E191" s="60"/>
      <c r="F191" s="54" t="s">
        <v>955</v>
      </c>
      <c r="G191" s="733" t="s">
        <v>955</v>
      </c>
      <c r="H191" s="734"/>
      <c r="I191" s="735"/>
    </row>
    <row r="192" spans="1:9" ht="15">
      <c r="A192" s="81" t="s">
        <v>1207</v>
      </c>
      <c r="B192" s="35">
        <f>COUNTIF('Acuerdo Antiguo'!BD:BD,A192)+COUNTIF('N-A Profundizacion'!BC:BC,A192)+COUNTIF('N-A Investigación'!BF:BF,A192)</f>
        <v>0</v>
      </c>
      <c r="C192" s="33">
        <f>COUNTIF('Acuerdo Antiguo'!BE:BF,A192)</f>
        <v>0</v>
      </c>
      <c r="D192" s="84">
        <f>COUNTIF('Acuerdo Antiguo'!BG:BH,A192)+COUNTIF('N-A Profundizacion'!AG:AG,A192)+COUNTIF('N-A Profundizacion'!AM:AM,A192)+COUNTIF('N-A Investigación'!AN:AN,A192)+COUNTIF('N-A Investigación'!AT:AT,A192)</f>
        <v>0</v>
      </c>
      <c r="E192" s="60"/>
      <c r="F192" s="54"/>
      <c r="G192" s="85"/>
      <c r="H192" s="88"/>
      <c r="I192" s="89"/>
    </row>
    <row r="193" spans="1:9" ht="15">
      <c r="A193" s="81" t="s">
        <v>1208</v>
      </c>
      <c r="B193" s="35">
        <f>COUNTIF('Acuerdo Antiguo'!BD:BD,A193)+COUNTIF('N-A Profundizacion'!BC:BC,A193)+COUNTIF('N-A Investigación'!BF:BF,A193)</f>
        <v>0</v>
      </c>
      <c r="C193" s="33">
        <f>COUNTIF('Acuerdo Antiguo'!BE:BF,A193)</f>
        <v>0</v>
      </c>
      <c r="D193" s="84">
        <f>COUNTIF('Acuerdo Antiguo'!BG:BH,A193)+COUNTIF('N-A Profundizacion'!AG:AG,A193)+COUNTIF('N-A Profundizacion'!AM:AM,A193)+COUNTIF('N-A Investigación'!AN:AN,A193)+COUNTIF('N-A Investigación'!AT:AT,A193)</f>
        <v>0</v>
      </c>
      <c r="E193" s="60"/>
      <c r="F193" s="54"/>
      <c r="G193" s="85"/>
      <c r="H193" s="88"/>
      <c r="I193" s="89"/>
    </row>
    <row r="194" spans="1:9" ht="15">
      <c r="A194" s="81" t="s">
        <v>1209</v>
      </c>
      <c r="B194" s="35">
        <f>COUNTIF('Acuerdo Antiguo'!BD:BD,A194)+COUNTIF('N-A Profundizacion'!BC:BC,A194)+COUNTIF('N-A Investigación'!BF:BF,A194)</f>
        <v>0</v>
      </c>
      <c r="C194" s="33">
        <f>COUNTIF('Acuerdo Antiguo'!BE:BF,A194)</f>
        <v>0</v>
      </c>
      <c r="D194" s="84">
        <f>COUNTIF('Acuerdo Antiguo'!BG:BH,A194)+COUNTIF('N-A Profundizacion'!AG:AG,A194)+COUNTIF('N-A Profundizacion'!AM:AM,A194)+COUNTIF('N-A Investigación'!AN:AN,A194)+COUNTIF('N-A Investigación'!AT:AT,A194)</f>
        <v>0</v>
      </c>
      <c r="E194" s="60"/>
      <c r="F194" s="54" t="s">
        <v>955</v>
      </c>
      <c r="G194" s="733" t="s">
        <v>955</v>
      </c>
      <c r="H194" s="734"/>
      <c r="I194" s="735"/>
    </row>
    <row r="195" spans="1:9" ht="15">
      <c r="A195" s="81" t="s">
        <v>1210</v>
      </c>
      <c r="B195" s="35">
        <f>COUNTIF('Acuerdo Antiguo'!BD:BD,A195)+COUNTIF('N-A Profundizacion'!BC:BC,A195)+COUNTIF('N-A Investigación'!BF:BF,A195)</f>
        <v>0</v>
      </c>
      <c r="C195" s="33">
        <f>COUNTIF('Acuerdo Antiguo'!BE:BF,A195)</f>
        <v>0</v>
      </c>
      <c r="D195" s="84">
        <f>COUNTIF('Acuerdo Antiguo'!BG:BH,A195)+COUNTIF('N-A Profundizacion'!AG:AG,A195)+COUNTIF('N-A Profundizacion'!AM:AM,A195)+COUNTIF('N-A Investigación'!AN:AN,A195)+COUNTIF('N-A Investigación'!AT:AT,A195)</f>
        <v>0</v>
      </c>
      <c r="E195" s="4"/>
      <c r="F195" s="492"/>
      <c r="G195" s="492"/>
      <c r="H195" s="4"/>
      <c r="I195" s="4"/>
    </row>
    <row r="196" spans="1:9" ht="15">
      <c r="A196" s="81" t="s">
        <v>478</v>
      </c>
      <c r="B196" s="35">
        <f>COUNTIF('Acuerdo Antiguo'!BD:BD,A196)+COUNTIF('N-A Profundizacion'!BC:BC,A196)+COUNTIF('N-A Investigación'!BF:BF,A196)</f>
        <v>0</v>
      </c>
      <c r="C196" s="33">
        <f>COUNTIF('Acuerdo Antiguo'!BE:BF,A196)</f>
        <v>0</v>
      </c>
      <c r="D196" s="84">
        <f>COUNTIF('Acuerdo Antiguo'!BG:BH,A196)+COUNTIF('N-A Profundizacion'!AG:AG,A196)+COUNTIF('N-A Profundizacion'!AM:AM,A196)+COUNTIF('N-A Investigación'!AN:AN,A196)+COUNTIF('N-A Investigación'!AT:AT,A196)</f>
        <v>1</v>
      </c>
    </row>
    <row r="197" spans="1:9" ht="15">
      <c r="A197" s="81"/>
      <c r="B197" s="35"/>
      <c r="C197" s="33"/>
      <c r="D197" s="84"/>
    </row>
    <row r="198" spans="1:9" ht="15">
      <c r="B198" s="35"/>
      <c r="C198" s="33"/>
      <c r="D198" s="84"/>
    </row>
  </sheetData>
  <mergeCells count="170">
    <mergeCell ref="G194:I194"/>
    <mergeCell ref="G182:I182"/>
    <mergeCell ref="G183:I183"/>
    <mergeCell ref="G184:I184"/>
    <mergeCell ref="G185:I185"/>
    <mergeCell ref="G186:I186"/>
    <mergeCell ref="G188:I188"/>
    <mergeCell ref="G190:I190"/>
    <mergeCell ref="G135:I135"/>
    <mergeCell ref="G136:I136"/>
    <mergeCell ref="G177:I177"/>
    <mergeCell ref="G178:I178"/>
    <mergeCell ref="G179:I179"/>
    <mergeCell ref="G181:I181"/>
    <mergeCell ref="G166:I166"/>
    <mergeCell ref="G167:I167"/>
    <mergeCell ref="G168:I168"/>
    <mergeCell ref="G169:I169"/>
    <mergeCell ref="G144:I144"/>
    <mergeCell ref="G146:I146"/>
    <mergeCell ref="G147:I147"/>
    <mergeCell ref="G137:I137"/>
    <mergeCell ref="G138:I138"/>
    <mergeCell ref="G139:I139"/>
    <mergeCell ref="G172:I172"/>
    <mergeCell ref="G175:I175"/>
    <mergeCell ref="G176:I176"/>
    <mergeCell ref="G101:I101"/>
    <mergeCell ref="G102:I102"/>
    <mergeCell ref="G103:I103"/>
    <mergeCell ref="G104:I104"/>
    <mergeCell ref="G105:I105"/>
    <mergeCell ref="G191:I191"/>
    <mergeCell ref="G128:I128"/>
    <mergeCell ref="G129:I129"/>
    <mergeCell ref="G130:I130"/>
    <mergeCell ref="G131:I131"/>
    <mergeCell ref="G132:I132"/>
    <mergeCell ref="G133:I133"/>
    <mergeCell ref="G134:I134"/>
    <mergeCell ref="G140:I140"/>
    <mergeCell ref="G141:I141"/>
    <mergeCell ref="G142:I142"/>
    <mergeCell ref="G164:I164"/>
    <mergeCell ref="G148:I148"/>
    <mergeCell ref="G150:I150"/>
    <mergeCell ref="G151:I151"/>
    <mergeCell ref="G152:I152"/>
    <mergeCell ref="G170:I170"/>
    <mergeCell ref="G171:I171"/>
    <mergeCell ref="G153:I153"/>
    <mergeCell ref="G154:I154"/>
    <mergeCell ref="G155:I155"/>
    <mergeCell ref="G156:I156"/>
    <mergeCell ref="G157:I157"/>
    <mergeCell ref="G158:I158"/>
    <mergeCell ref="G159:I159"/>
    <mergeCell ref="G160:I160"/>
    <mergeCell ref="G161:I161"/>
    <mergeCell ref="G162:I162"/>
    <mergeCell ref="G163:I163"/>
    <mergeCell ref="G116:I116"/>
    <mergeCell ref="G117:I117"/>
    <mergeCell ref="G165:I165"/>
    <mergeCell ref="G109:I109"/>
    <mergeCell ref="G110:I110"/>
    <mergeCell ref="G111:I111"/>
    <mergeCell ref="G112:I112"/>
    <mergeCell ref="G114:I114"/>
    <mergeCell ref="G115:I115"/>
    <mergeCell ref="G123:I123"/>
    <mergeCell ref="G125:I125"/>
    <mergeCell ref="G127:I127"/>
    <mergeCell ref="G118:I118"/>
    <mergeCell ref="G119:I119"/>
    <mergeCell ref="G120:I120"/>
    <mergeCell ref="G122:I122"/>
    <mergeCell ref="G106:I106"/>
    <mergeCell ref="G107:I107"/>
    <mergeCell ref="G108:I108"/>
    <mergeCell ref="G98:I98"/>
    <mergeCell ref="G100:I100"/>
    <mergeCell ref="G80:I80"/>
    <mergeCell ref="G81:I81"/>
    <mergeCell ref="G82:I82"/>
    <mergeCell ref="G85:I85"/>
    <mergeCell ref="G86:I86"/>
    <mergeCell ref="G87:I87"/>
    <mergeCell ref="G88:I88"/>
    <mergeCell ref="G89:I89"/>
    <mergeCell ref="G90:I90"/>
    <mergeCell ref="G91:I91"/>
    <mergeCell ref="G92:I92"/>
    <mergeCell ref="G93:I93"/>
    <mergeCell ref="G94:I94"/>
    <mergeCell ref="G95:I95"/>
    <mergeCell ref="G96:I96"/>
    <mergeCell ref="G97:I97"/>
    <mergeCell ref="G71:I71"/>
    <mergeCell ref="G72:I72"/>
    <mergeCell ref="G73:I73"/>
    <mergeCell ref="G74:I74"/>
    <mergeCell ref="G75:I75"/>
    <mergeCell ref="G76:I76"/>
    <mergeCell ref="G77:I77"/>
    <mergeCell ref="G78:I78"/>
    <mergeCell ref="G79:I79"/>
    <mergeCell ref="G68:I68"/>
    <mergeCell ref="G69:I69"/>
    <mergeCell ref="G70:I70"/>
    <mergeCell ref="G53:I53"/>
    <mergeCell ref="G54:I54"/>
    <mergeCell ref="G55:I55"/>
    <mergeCell ref="G56:I56"/>
    <mergeCell ref="G57:I57"/>
    <mergeCell ref="G58:I58"/>
    <mergeCell ref="G59:I59"/>
    <mergeCell ref="G62:I62"/>
    <mergeCell ref="G63:I63"/>
    <mergeCell ref="G64:I64"/>
    <mergeCell ref="G65:I65"/>
    <mergeCell ref="G66:I66"/>
    <mergeCell ref="G67:I67"/>
    <mergeCell ref="G60:I60"/>
    <mergeCell ref="G61:I61"/>
    <mergeCell ref="G42:I42"/>
    <mergeCell ref="G43:I43"/>
    <mergeCell ref="G44:I44"/>
    <mergeCell ref="G45:I45"/>
    <mergeCell ref="G47:I47"/>
    <mergeCell ref="G48:I48"/>
    <mergeCell ref="G49:I49"/>
    <mergeCell ref="G50:I50"/>
    <mergeCell ref="G51:I51"/>
    <mergeCell ref="G33:I33"/>
    <mergeCell ref="G34:I34"/>
    <mergeCell ref="G35:I35"/>
    <mergeCell ref="G36:I36"/>
    <mergeCell ref="G37:I37"/>
    <mergeCell ref="G38:I38"/>
    <mergeCell ref="G39:I39"/>
    <mergeCell ref="G40:I40"/>
    <mergeCell ref="G41:I41"/>
    <mergeCell ref="G30:I30"/>
    <mergeCell ref="G31:I31"/>
    <mergeCell ref="G32:I32"/>
    <mergeCell ref="G12:I12"/>
    <mergeCell ref="G13:I13"/>
    <mergeCell ref="G14:I14"/>
    <mergeCell ref="G15:I15"/>
    <mergeCell ref="G16:I16"/>
    <mergeCell ref="G17:I17"/>
    <mergeCell ref="G19:I19"/>
    <mergeCell ref="G23:I23"/>
    <mergeCell ref="G24:I24"/>
    <mergeCell ref="G25:I25"/>
    <mergeCell ref="G26:I26"/>
    <mergeCell ref="G27:I27"/>
    <mergeCell ref="G28:I28"/>
    <mergeCell ref="G11:I11"/>
    <mergeCell ref="G21:I21"/>
    <mergeCell ref="G22:I22"/>
    <mergeCell ref="A1:D1"/>
    <mergeCell ref="G3:I3"/>
    <mergeCell ref="G4:I4"/>
    <mergeCell ref="G5:I5"/>
    <mergeCell ref="G6:I6"/>
    <mergeCell ref="G7:I7"/>
    <mergeCell ref="G9:I9"/>
    <mergeCell ref="G10:I10"/>
  </mergeCells>
  <hyperlinks>
    <hyperlink ref="F3" r:id="rId1" xr:uid="{00000000-0004-0000-0700-000000000000}"/>
    <hyperlink ref="F31" r:id="rId2" xr:uid="{00000000-0004-0000-0700-000001000000}"/>
    <hyperlink ref="F55" r:id="rId3" xr:uid="{00000000-0004-0000-0700-000002000000}"/>
    <hyperlink ref="F58" r:id="rId4" xr:uid="{00000000-0004-0000-0700-000003000000}"/>
    <hyperlink ref="F70" r:id="rId5" xr:uid="{00000000-0004-0000-0700-000004000000}"/>
    <hyperlink ref="F102" r:id="rId6" xr:uid="{00000000-0004-0000-0700-000005000000}"/>
    <hyperlink ref="F123" r:id="rId7" xr:uid="{00000000-0004-0000-0700-000006000000}"/>
    <hyperlink ref="F128" r:id="rId8" xr:uid="{00000000-0004-0000-0700-000007000000}"/>
    <hyperlink ref="F153" r:id="rId9" xr:uid="{00000000-0004-0000-0700-000008000000}"/>
    <hyperlink ref="F155" r:id="rId10" xr:uid="{00000000-0004-0000-0700-000009000000}"/>
    <hyperlink ref="F158" r:id="rId11" xr:uid="{00000000-0004-0000-0700-00000A000000}"/>
    <hyperlink ref="F165" r:id="rId12" xr:uid="{00000000-0004-0000-0700-00000B000000}"/>
    <hyperlink ref="F166" r:id="rId13" xr:uid="{00000000-0004-0000-0700-00000C000000}"/>
    <hyperlink ref="F169" r:id="rId14" xr:uid="{00000000-0004-0000-0700-00000D000000}"/>
    <hyperlink ref="F178" r:id="rId15" xr:uid="{00000000-0004-0000-0700-00000E000000}"/>
    <hyperlink ref="F182" r:id="rId16" xr:uid="{00000000-0004-0000-0700-00000F000000}"/>
  </hyperlinks>
  <pageMargins left="0.7" right="0.7" top="0.75" bottom="0.75" header="0.3" footer="0.3"/>
  <legacyDrawing r:id="rId17"/>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3B0F1-21FA-4FED-98BF-B7D0E8EBDFE7}">
  <sheetPr>
    <tabColor rgb="FFFFFF00"/>
  </sheetPr>
  <dimension ref="A1:AR61"/>
  <sheetViews>
    <sheetView tabSelected="1" topLeftCell="A31" workbookViewId="0">
      <selection activeCell="A34" sqref="A34"/>
    </sheetView>
  </sheetViews>
  <sheetFormatPr baseColWidth="10" defaultColWidth="51.19921875" defaultRowHeight="14.25"/>
  <cols>
    <col min="1" max="1" width="12" style="322" bestFit="1" customWidth="1"/>
    <col min="2" max="2" width="28.19921875" style="326" bestFit="1" customWidth="1"/>
    <col min="3" max="3" width="11" style="322" customWidth="1"/>
    <col min="4" max="4" width="7.5" style="322" customWidth="1"/>
    <col min="5" max="5" width="25.09765625" style="322" customWidth="1"/>
    <col min="6" max="6" width="24.8984375" style="322" customWidth="1"/>
    <col min="7" max="7" width="15.796875" style="322" customWidth="1"/>
    <col min="8" max="8" width="10.3984375" style="322" customWidth="1"/>
    <col min="9" max="9" width="51.19921875" style="322"/>
    <col min="10" max="10" width="12" style="322" customWidth="1"/>
    <col min="11" max="11" width="10.3984375" style="322" customWidth="1"/>
    <col min="12" max="12" width="20" style="322" customWidth="1"/>
    <col min="13" max="13" width="13.296875" style="322" customWidth="1"/>
    <col min="14" max="14" width="14.296875" style="322" customWidth="1"/>
    <col min="15" max="15" width="14.796875" style="322" customWidth="1"/>
    <col min="16" max="16" width="10" style="322" customWidth="1"/>
    <col min="17" max="17" width="13.19921875" style="322" customWidth="1"/>
    <col min="18" max="18" width="13.3984375" style="327" customWidth="1"/>
    <col min="19" max="19" width="16.3984375" style="322" customWidth="1"/>
    <col min="20" max="20" width="20.59765625" style="322" bestFit="1" customWidth="1"/>
    <col min="21" max="21" width="8.19921875" style="322" bestFit="1" customWidth="1"/>
    <col min="22" max="22" width="8.19921875" style="322" customWidth="1"/>
    <col min="23" max="23" width="17.8984375" style="322" bestFit="1" customWidth="1"/>
    <col min="24" max="24" width="37.59765625" style="322" customWidth="1"/>
    <col min="25" max="25" width="14.19921875" style="322" customWidth="1"/>
    <col min="26" max="26" width="18.8984375" style="322" bestFit="1" customWidth="1"/>
    <col min="27" max="27" width="15.5" style="322" bestFit="1" customWidth="1"/>
    <col min="28" max="28" width="10.8984375" style="322" customWidth="1"/>
    <col min="29" max="29" width="12.5" style="322" bestFit="1" customWidth="1"/>
    <col min="30" max="30" width="14.59765625" style="322" customWidth="1"/>
    <col min="31" max="16384" width="51.19921875" style="322"/>
  </cols>
  <sheetData>
    <row r="1" spans="1:44" ht="28.5">
      <c r="A1" s="503" t="s">
        <v>0</v>
      </c>
      <c r="B1" s="504" t="s">
        <v>166</v>
      </c>
      <c r="C1" s="503" t="s">
        <v>167</v>
      </c>
      <c r="D1" s="503" t="s">
        <v>168</v>
      </c>
      <c r="E1" s="503" t="s">
        <v>7</v>
      </c>
      <c r="F1" s="503" t="s">
        <v>8</v>
      </c>
      <c r="G1" s="505" t="s">
        <v>4</v>
      </c>
      <c r="H1" s="506" t="s">
        <v>170</v>
      </c>
      <c r="I1" s="503" t="s">
        <v>171</v>
      </c>
      <c r="J1" s="503" t="s">
        <v>172</v>
      </c>
      <c r="K1" s="503" t="s">
        <v>173</v>
      </c>
      <c r="L1" s="503" t="s">
        <v>1211</v>
      </c>
      <c r="M1" s="505" t="s">
        <v>1212</v>
      </c>
      <c r="N1" s="506" t="s">
        <v>184</v>
      </c>
      <c r="O1" s="503" t="s">
        <v>185</v>
      </c>
      <c r="P1" s="503" t="s">
        <v>1213</v>
      </c>
      <c r="Q1" s="503" t="s">
        <v>1214</v>
      </c>
      <c r="R1" s="507" t="s">
        <v>188</v>
      </c>
      <c r="S1" s="503" t="s">
        <v>176</v>
      </c>
      <c r="T1" s="503" t="s">
        <v>1215</v>
      </c>
      <c r="U1" s="503" t="s">
        <v>1216</v>
      </c>
      <c r="V1" s="503" t="s">
        <v>1217</v>
      </c>
      <c r="W1" s="503" t="s">
        <v>1218</v>
      </c>
      <c r="X1" s="503" t="s">
        <v>726</v>
      </c>
      <c r="Y1" s="503" t="s">
        <v>727</v>
      </c>
      <c r="Z1" s="503" t="s">
        <v>728</v>
      </c>
      <c r="AA1" s="503" t="s">
        <v>729</v>
      </c>
      <c r="AB1" s="503" t="s">
        <v>217</v>
      </c>
      <c r="AC1" s="530" t="s">
        <v>1219</v>
      </c>
      <c r="AD1" s="531" t="s">
        <v>1220</v>
      </c>
    </row>
    <row r="2" spans="1:44" customFormat="1" ht="30">
      <c r="A2" s="532">
        <v>20051195015</v>
      </c>
      <c r="B2" s="312" t="str">
        <f>VLOOKUP($A2,'Datos Personales'!A:B,2,FALSE)</f>
        <v>NUVAN HURTADO JAIRO ANTONIO</v>
      </c>
      <c r="C2" s="479">
        <f>VLOOKUP(A2,'ESTADOS ESTUDIANTES'!B:L,11,0)</f>
        <v>9396968</v>
      </c>
      <c r="D2" s="479">
        <f>VLOOKUP(A2,'Datos Personales'!$A$2:$M$1188,3,FALSE)</f>
        <v>195</v>
      </c>
      <c r="E2" s="476" t="str">
        <f>VLOOKUP(A2,'ESTADOS ESTUDIANTES'!B:L,8,0)</f>
        <v>januvanh@udistrital.edu.co</v>
      </c>
      <c r="F2" s="476" t="str">
        <f>VLOOKUP(A2,'ESTADOS ESTUDIANTES'!B:L,9,0)</f>
        <v>januvan@hotmail.com</v>
      </c>
      <c r="G2" s="476" t="s">
        <v>1221</v>
      </c>
      <c r="H2" s="534" t="s">
        <v>46</v>
      </c>
      <c r="I2" s="476" t="s">
        <v>1222</v>
      </c>
      <c r="J2" s="476" t="s">
        <v>385</v>
      </c>
      <c r="K2" s="535"/>
      <c r="L2" s="536" t="s">
        <v>1223</v>
      </c>
      <c r="M2" s="533" t="s">
        <v>1224</v>
      </c>
      <c r="N2" s="537"/>
      <c r="O2" s="538"/>
      <c r="P2" s="539">
        <v>44153</v>
      </c>
      <c r="Q2" s="536" t="s">
        <v>1225</v>
      </c>
      <c r="R2" s="536" t="s">
        <v>79</v>
      </c>
      <c r="S2" s="536" t="s">
        <v>140</v>
      </c>
      <c r="T2" s="476" t="s">
        <v>385</v>
      </c>
      <c r="U2" s="536" t="s">
        <v>1226</v>
      </c>
      <c r="V2" s="536"/>
      <c r="W2" s="536" t="s">
        <v>1227</v>
      </c>
      <c r="X2" s="535"/>
      <c r="Y2" s="535"/>
      <c r="Z2" s="490"/>
      <c r="AA2" s="490"/>
      <c r="AB2" s="540"/>
      <c r="AC2" s="541">
        <v>44866</v>
      </c>
      <c r="AD2" s="542"/>
      <c r="AE2" s="259"/>
      <c r="AF2" s="260"/>
      <c r="AG2" s="260"/>
      <c r="AH2" s="260"/>
      <c r="AI2" s="260"/>
      <c r="AJ2" s="260"/>
      <c r="AK2" s="260"/>
      <c r="AL2" s="260"/>
      <c r="AM2" s="260"/>
      <c r="AN2" s="260"/>
      <c r="AO2" s="260"/>
      <c r="AP2" s="260"/>
      <c r="AQ2" s="260"/>
      <c r="AR2" s="260"/>
    </row>
    <row r="3" spans="1:44" s="223" customFormat="1" ht="30">
      <c r="A3" s="532">
        <v>20061195014</v>
      </c>
      <c r="B3" s="312" t="str">
        <f>VLOOKUP($A3,'Datos Personales'!A:B,2,FALSE)</f>
        <v>RODRIGUEZ COSSIO HANS</v>
      </c>
      <c r="C3" s="479">
        <f>VLOOKUP(A3,'ESTADOS ESTUDIANTES'!B:L,11,0)</f>
        <v>79999284</v>
      </c>
      <c r="D3" s="479">
        <f>VLOOKUP(A3,'Datos Personales'!$A$2:$M$1188,3,FALSE)</f>
        <v>195</v>
      </c>
      <c r="E3" s="476" t="str">
        <f>VLOOKUP(A3,'ESTADOS ESTUDIANTES'!B:L,8,0)</f>
        <v>hrodriguezc@correo.udistrital.edu.co</v>
      </c>
      <c r="F3" s="476" t="str">
        <f>VLOOKUP(A3,'ESTADOS ESTUDIANTES'!B:L,9,0)</f>
        <v>hansrodriguez@gmail.com</v>
      </c>
      <c r="G3" s="533" t="s">
        <v>1228</v>
      </c>
      <c r="H3" s="534" t="s">
        <v>46</v>
      </c>
      <c r="I3" s="536" t="s">
        <v>1229</v>
      </c>
      <c r="J3" s="536" t="s">
        <v>385</v>
      </c>
      <c r="K3" s="535"/>
      <c r="L3" s="543">
        <v>44197</v>
      </c>
      <c r="M3" s="533" t="s">
        <v>1224</v>
      </c>
      <c r="N3" s="539"/>
      <c r="O3" s="538"/>
      <c r="P3" s="539">
        <v>44097</v>
      </c>
      <c r="Q3" s="536" t="s">
        <v>1230</v>
      </c>
      <c r="R3" s="536" t="s">
        <v>79</v>
      </c>
      <c r="S3" s="536" t="s">
        <v>140</v>
      </c>
      <c r="T3" s="536" t="s">
        <v>385</v>
      </c>
      <c r="U3" s="536" t="s">
        <v>1226</v>
      </c>
      <c r="V3" s="536"/>
      <c r="W3" s="544">
        <v>44228</v>
      </c>
      <c r="X3" s="544"/>
      <c r="Y3" s="544"/>
      <c r="Z3" s="490"/>
      <c r="AA3" s="490"/>
      <c r="AB3" s="545"/>
      <c r="AC3" s="541">
        <v>44866</v>
      </c>
      <c r="AD3" s="542"/>
      <c r="AE3" s="259"/>
      <c r="AF3" s="260"/>
      <c r="AG3" s="260"/>
      <c r="AH3" s="260"/>
      <c r="AI3" s="260"/>
      <c r="AJ3" s="260"/>
      <c r="AK3" s="260"/>
      <c r="AL3" s="260"/>
      <c r="AM3" s="260"/>
      <c r="AN3" s="260"/>
      <c r="AO3" s="260"/>
      <c r="AP3" s="260"/>
      <c r="AQ3" s="260"/>
      <c r="AR3" s="260"/>
    </row>
    <row r="4" spans="1:44" customFormat="1" ht="60">
      <c r="A4" s="532">
        <v>20062295048</v>
      </c>
      <c r="B4" s="312" t="str">
        <f>VLOOKUP($A4,'Datos Personales'!A:B,2,FALSE)</f>
        <v>RODRIGUEZ MORENO JOSE JULIAN</v>
      </c>
      <c r="C4" s="479">
        <f>VLOOKUP(A4,'ESTADOS ESTUDIANTES'!B:L,11,0)</f>
        <v>79925864</v>
      </c>
      <c r="D4" s="479">
        <f>VLOOKUP(A4,'Datos Personales'!$A$2:$M$1188,3,FALSE)</f>
        <v>295</v>
      </c>
      <c r="E4" s="476" t="str">
        <f>VLOOKUP(A4,'ESTADOS ESTUDIANTES'!B:L,8,0)</f>
        <v>jjrodriguezm@udistrital.edu.co</v>
      </c>
      <c r="F4" s="476" t="str">
        <f>VLOOKUP(A4,'ESTADOS ESTUDIANTES'!B:L,9,0)</f>
        <v>julian.rodriguez.moreno@gmail.com</v>
      </c>
      <c r="G4" s="533" t="s">
        <v>1228</v>
      </c>
      <c r="H4" s="534" t="s">
        <v>46</v>
      </c>
      <c r="I4" s="536" t="s">
        <v>1231</v>
      </c>
      <c r="J4" s="536" t="s">
        <v>222</v>
      </c>
      <c r="K4" s="536" t="s">
        <v>968</v>
      </c>
      <c r="L4" s="543">
        <v>43525</v>
      </c>
      <c r="M4" s="546" t="s">
        <v>1232</v>
      </c>
      <c r="N4" s="537"/>
      <c r="O4" s="538"/>
      <c r="P4" s="539">
        <v>43809</v>
      </c>
      <c r="Q4" s="538">
        <v>84.35</v>
      </c>
      <c r="R4" s="536" t="s">
        <v>79</v>
      </c>
      <c r="S4" s="535"/>
      <c r="T4" s="536" t="s">
        <v>1233</v>
      </c>
      <c r="U4" s="536" t="s">
        <v>1226</v>
      </c>
      <c r="V4" s="536"/>
      <c r="W4" s="547">
        <v>44228</v>
      </c>
      <c r="X4" s="535"/>
      <c r="Y4" s="535"/>
      <c r="Z4" s="490"/>
      <c r="AA4" s="490"/>
      <c r="AB4" s="540"/>
      <c r="AC4" s="548"/>
      <c r="AD4" s="542"/>
      <c r="AE4" s="259"/>
      <c r="AF4" s="260"/>
      <c r="AG4" s="260"/>
      <c r="AH4" s="260"/>
      <c r="AI4" s="260"/>
      <c r="AJ4" s="260"/>
      <c r="AK4" s="260"/>
      <c r="AL4" s="260"/>
      <c r="AM4" s="260"/>
      <c r="AN4" s="260"/>
      <c r="AO4" s="260"/>
      <c r="AP4" s="260"/>
      <c r="AQ4" s="260"/>
      <c r="AR4" s="260"/>
    </row>
    <row r="5" spans="1:44" customFormat="1" ht="45">
      <c r="A5" s="549">
        <v>20122195005</v>
      </c>
      <c r="B5" s="312" t="str">
        <f>VLOOKUP($A5,'Datos Personales'!A:B,2,FALSE)</f>
        <v>REYES BONILLA LUZ YAMILE</v>
      </c>
      <c r="C5" s="479">
        <f>VLOOKUP(A5,'ESTADOS ESTUDIANTES'!B:L,11,0)</f>
        <v>30230686</v>
      </c>
      <c r="D5" s="479">
        <f>VLOOKUP(A5,'Datos Personales'!$A$2:$M$1188,3,FALSE)</f>
        <v>195</v>
      </c>
      <c r="E5" s="476">
        <f>VLOOKUP(A5,'ESTADOS ESTUDIANTES'!B:L,8,0)</f>
        <v>0</v>
      </c>
      <c r="F5" s="476" t="str">
        <f>VLOOKUP(A5,'ESTADOS ESTUDIANTES'!B:L,9,0)</f>
        <v>luzyare@gmail.com</v>
      </c>
      <c r="G5" s="533" t="s">
        <v>1228</v>
      </c>
      <c r="H5" s="534" t="s">
        <v>46</v>
      </c>
      <c r="I5" s="476" t="s">
        <v>1234</v>
      </c>
      <c r="J5" s="476" t="s">
        <v>385</v>
      </c>
      <c r="K5" s="476" t="s">
        <v>1111</v>
      </c>
      <c r="L5" s="543">
        <v>43891</v>
      </c>
      <c r="M5" s="533" t="s">
        <v>1235</v>
      </c>
      <c r="N5" s="537"/>
      <c r="O5" s="538"/>
      <c r="P5" s="550">
        <v>44097</v>
      </c>
      <c r="Q5" s="551" t="s">
        <v>1225</v>
      </c>
      <c r="R5" s="551" t="s">
        <v>93</v>
      </c>
      <c r="S5" s="551" t="s">
        <v>140</v>
      </c>
      <c r="T5" s="552" t="s">
        <v>385</v>
      </c>
      <c r="U5" s="551" t="s">
        <v>1226</v>
      </c>
      <c r="V5" s="551"/>
      <c r="W5" s="553">
        <v>44107</v>
      </c>
      <c r="X5" s="554"/>
      <c r="Y5" s="554"/>
      <c r="Z5" s="555"/>
      <c r="AA5" s="555"/>
      <c r="AB5" s="556" t="s">
        <v>240</v>
      </c>
      <c r="AC5" s="557"/>
      <c r="AD5" s="542"/>
      <c r="AE5" s="259"/>
      <c r="AF5" s="260"/>
      <c r="AG5" s="260"/>
      <c r="AH5" s="260"/>
      <c r="AI5" s="260"/>
      <c r="AJ5" s="260"/>
      <c r="AK5" s="260"/>
      <c r="AL5" s="260"/>
      <c r="AM5" s="260"/>
      <c r="AN5" s="260"/>
      <c r="AO5" s="260"/>
      <c r="AP5" s="260"/>
      <c r="AQ5" s="260"/>
      <c r="AR5" s="260"/>
    </row>
    <row r="6" spans="1:44" ht="60">
      <c r="A6" s="301">
        <v>20122395003</v>
      </c>
      <c r="B6" s="312" t="str">
        <f>VLOOKUP($A6,'Datos Personales'!A:B,2,FALSE)</f>
        <v>BENAVIDES GONZÁLEZ ÁNGEL MANUEL</v>
      </c>
      <c r="C6" s="302">
        <f>VLOOKUP(A6,'ESTADOS ESTUDIANTES'!B:L,11,0)</f>
        <v>80760880</v>
      </c>
      <c r="D6" s="302">
        <f>VLOOKUP(A6,'Datos Personales'!$A$2:$M$1188,3,FALSE)</f>
        <v>395</v>
      </c>
      <c r="E6" s="303">
        <f>VLOOKUP(A6,'ESTADOS ESTUDIANTES'!B:L,8,0)</f>
        <v>0</v>
      </c>
      <c r="F6" s="303" t="str">
        <f>VLOOKUP(A6,'ESTADOS ESTUDIANTES'!B:L,9,0)</f>
        <v>ambenavidesg@gmail.com</v>
      </c>
      <c r="G6" s="533" t="s">
        <v>1228</v>
      </c>
      <c r="H6" s="305" t="s">
        <v>46</v>
      </c>
      <c r="I6" s="303" t="s">
        <v>1236</v>
      </c>
      <c r="J6" s="303" t="s">
        <v>503</v>
      </c>
      <c r="K6" s="306"/>
      <c r="L6" s="303" t="s">
        <v>1237</v>
      </c>
      <c r="M6" s="304" t="s">
        <v>1238</v>
      </c>
      <c r="N6" s="307"/>
      <c r="O6" s="320"/>
      <c r="P6" s="313">
        <v>44097</v>
      </c>
      <c r="Q6" s="277" t="s">
        <v>1239</v>
      </c>
      <c r="R6" s="277" t="s">
        <v>93</v>
      </c>
      <c r="S6" s="277" t="s">
        <v>1238</v>
      </c>
      <c r="T6" s="277" t="s">
        <v>503</v>
      </c>
      <c r="U6" s="277" t="s">
        <v>1240</v>
      </c>
      <c r="V6" s="277"/>
      <c r="W6" s="277" t="s">
        <v>1241</v>
      </c>
      <c r="X6" s="298"/>
      <c r="Y6" s="298"/>
      <c r="Z6" s="298"/>
      <c r="AA6" s="298"/>
      <c r="AB6" s="523"/>
      <c r="AC6" s="298"/>
      <c r="AD6" s="527"/>
      <c r="AE6" s="324"/>
      <c r="AF6" s="325"/>
      <c r="AG6" s="325"/>
      <c r="AH6" s="325"/>
      <c r="AI6" s="325"/>
      <c r="AJ6" s="325"/>
      <c r="AK6" s="325"/>
      <c r="AL6" s="325"/>
      <c r="AM6" s="325"/>
      <c r="AN6" s="325"/>
      <c r="AO6" s="325"/>
      <c r="AP6" s="325"/>
      <c r="AQ6" s="325"/>
      <c r="AR6" s="325"/>
    </row>
    <row r="7" spans="1:44" customFormat="1" ht="75">
      <c r="A7" s="532">
        <v>20131395007</v>
      </c>
      <c r="B7" s="312" t="str">
        <f>VLOOKUP($A7,'Datos Personales'!A:B,2,FALSE)</f>
        <v>LOPEZ LOPEZ JHON FREDY</v>
      </c>
      <c r="C7" s="479">
        <f>VLOOKUP(A7,'ESTADOS ESTUDIANTES'!B:L,11,0)</f>
        <v>1023863636</v>
      </c>
      <c r="D7" s="479">
        <f>VLOOKUP(A7,'Datos Personales'!$A$2:$M$1188,3,FALSE)</f>
        <v>395</v>
      </c>
      <c r="E7" s="476" t="str">
        <f>VLOOKUP(A7,'ESTADOS ESTUDIANTES'!B:L,8,0)</f>
        <v>jflopezl@correo.udistrital.edu.co</v>
      </c>
      <c r="F7" s="476" t="str">
        <f>VLOOKUP(A7,'ESTADOS ESTUDIANTES'!B:L,9,0)</f>
        <v>jfredyl@gmail.com</v>
      </c>
      <c r="G7" s="533" t="s">
        <v>1228</v>
      </c>
      <c r="H7" s="534" t="s">
        <v>46</v>
      </c>
      <c r="I7" s="536" t="s">
        <v>1242</v>
      </c>
      <c r="J7" s="536" t="s">
        <v>348</v>
      </c>
      <c r="K7" s="536" t="s">
        <v>954</v>
      </c>
      <c r="L7" s="543">
        <v>43891</v>
      </c>
      <c r="M7" s="533" t="s">
        <v>1243</v>
      </c>
      <c r="N7" s="537"/>
      <c r="O7" s="538"/>
      <c r="P7" s="558">
        <v>44097</v>
      </c>
      <c r="Q7" s="559" t="s">
        <v>1244</v>
      </c>
      <c r="R7" s="560" t="s">
        <v>93</v>
      </c>
      <c r="S7" s="561" t="s">
        <v>1245</v>
      </c>
      <c r="T7" s="559" t="s">
        <v>1246</v>
      </c>
      <c r="U7" s="559" t="s">
        <v>1226</v>
      </c>
      <c r="V7" s="559"/>
      <c r="W7" s="559" t="s">
        <v>1247</v>
      </c>
      <c r="X7" s="562"/>
      <c r="Y7" s="562"/>
      <c r="Z7" s="563"/>
      <c r="AA7" s="563"/>
      <c r="AB7" s="564" t="s">
        <v>240</v>
      </c>
      <c r="AC7" s="194" t="s">
        <v>1248</v>
      </c>
      <c r="AD7" s="542"/>
      <c r="AE7" s="259"/>
      <c r="AF7" s="260"/>
      <c r="AG7" s="260"/>
      <c r="AH7" s="260"/>
      <c r="AI7" s="260"/>
      <c r="AJ7" s="260"/>
      <c r="AK7" s="260"/>
      <c r="AL7" s="260"/>
      <c r="AM7" s="260"/>
      <c r="AN7" s="260"/>
      <c r="AO7" s="260"/>
      <c r="AP7" s="260"/>
      <c r="AQ7" s="260"/>
      <c r="AR7" s="260"/>
    </row>
    <row r="8" spans="1:44" customFormat="1" ht="30">
      <c r="A8" s="532">
        <v>20142195001</v>
      </c>
      <c r="B8" s="312" t="str">
        <f>VLOOKUP($A8,'Datos Personales'!A:B,2,FALSE)</f>
        <v>JUAN CARLOS DELGADILLO BELTRAN</v>
      </c>
      <c r="C8" s="479">
        <f>VLOOKUP(A8,'ESTADOS ESTUDIANTES'!B:L,11,0)</f>
        <v>79576961</v>
      </c>
      <c r="D8" s="479">
        <f>VLOOKUP(A8,'Datos Personales'!$A$2:$M$1188,3,FALSE)</f>
        <v>195</v>
      </c>
      <c r="E8" s="476">
        <f>VLOOKUP(A8,'ESTADOS ESTUDIANTES'!B:L,8,0)</f>
        <v>0</v>
      </c>
      <c r="F8" s="476" t="str">
        <f>VLOOKUP(A8,'ESTADOS ESTUDIANTES'!B:L,9,0)</f>
        <v>ingjuandel@gmail.com</v>
      </c>
      <c r="G8" s="533" t="s">
        <v>1228</v>
      </c>
      <c r="H8" s="534" t="s">
        <v>46</v>
      </c>
      <c r="I8" s="476" t="s">
        <v>1249</v>
      </c>
      <c r="J8" s="476" t="s">
        <v>385</v>
      </c>
      <c r="K8" s="535"/>
      <c r="L8" s="543">
        <v>43891</v>
      </c>
      <c r="M8" s="533" t="s">
        <v>1250</v>
      </c>
      <c r="N8" s="537"/>
      <c r="O8" s="538"/>
      <c r="P8" s="539">
        <v>44097</v>
      </c>
      <c r="Q8" s="536" t="s">
        <v>1251</v>
      </c>
      <c r="R8" s="536" t="s">
        <v>93</v>
      </c>
      <c r="S8" s="536" t="s">
        <v>140</v>
      </c>
      <c r="T8" s="476" t="s">
        <v>385</v>
      </c>
      <c r="U8" s="536" t="s">
        <v>1226</v>
      </c>
      <c r="V8" s="536"/>
      <c r="W8" s="544">
        <v>44136</v>
      </c>
      <c r="X8" s="535"/>
      <c r="Y8" s="535"/>
      <c r="Z8" s="490"/>
      <c r="AA8" s="490"/>
      <c r="AB8" s="565" t="s">
        <v>240</v>
      </c>
      <c r="AC8" s="557"/>
      <c r="AD8" s="542"/>
      <c r="AE8" s="259"/>
      <c r="AF8" s="260"/>
      <c r="AG8" s="260"/>
      <c r="AH8" s="260"/>
      <c r="AI8" s="260"/>
      <c r="AJ8" s="260"/>
      <c r="AK8" s="260"/>
      <c r="AL8" s="260"/>
      <c r="AM8" s="260"/>
      <c r="AN8" s="260"/>
      <c r="AO8" s="260"/>
      <c r="AP8" s="260"/>
      <c r="AQ8" s="260"/>
      <c r="AR8" s="260"/>
    </row>
    <row r="9" spans="1:44" customFormat="1" ht="75">
      <c r="A9" s="549">
        <v>20152395002</v>
      </c>
      <c r="B9" s="312" t="str">
        <f>VLOOKUP($A9,'Datos Personales'!A:B,2,FALSE)</f>
        <v>BENAVIDES GODOY JEISSON ENRIQUE</v>
      </c>
      <c r="C9" s="479">
        <f>VLOOKUP(A9,'ESTADOS ESTUDIANTES'!B:L,11,0)</f>
        <v>1016034010</v>
      </c>
      <c r="D9" s="479">
        <f>VLOOKUP(A9,'Datos Personales'!$A$2:$M$1188,3,FALSE)</f>
        <v>395</v>
      </c>
      <c r="E9" s="476" t="str">
        <f>VLOOKUP(A9,'ESTADOS ESTUDIANTES'!B:L,8,0)</f>
        <v>jebenavidesg@correo.udistrital.edu.co</v>
      </c>
      <c r="F9" s="476" t="str">
        <f>VLOOKUP(A9,'ESTADOS ESTUDIANTES'!B:L,9,0)</f>
        <v>jeissonbenavides@hotmail.com</v>
      </c>
      <c r="G9" s="533" t="s">
        <v>1228</v>
      </c>
      <c r="H9" s="534" t="s">
        <v>46</v>
      </c>
      <c r="I9" s="476" t="s">
        <v>1252</v>
      </c>
      <c r="J9" s="476" t="s">
        <v>229</v>
      </c>
      <c r="K9" s="536" t="s">
        <v>1083</v>
      </c>
      <c r="L9" s="543">
        <v>43891</v>
      </c>
      <c r="M9" s="533" t="s">
        <v>1253</v>
      </c>
      <c r="N9" s="537">
        <v>43888</v>
      </c>
      <c r="O9" s="538">
        <v>40</v>
      </c>
      <c r="P9" s="539">
        <v>43964</v>
      </c>
      <c r="Q9" s="538">
        <v>76.52</v>
      </c>
      <c r="R9" s="536" t="s">
        <v>79</v>
      </c>
      <c r="S9" s="536" t="s">
        <v>146</v>
      </c>
      <c r="T9" s="476" t="s">
        <v>229</v>
      </c>
      <c r="U9" s="536" t="s">
        <v>1226</v>
      </c>
      <c r="V9" s="536"/>
      <c r="W9" s="544">
        <v>44136</v>
      </c>
      <c r="X9" s="535"/>
      <c r="Y9" s="535"/>
      <c r="Z9" s="490"/>
      <c r="AA9" s="490"/>
      <c r="AB9" s="565" t="s">
        <v>240</v>
      </c>
      <c r="AC9" s="557"/>
      <c r="AD9" s="542"/>
      <c r="AE9" s="259"/>
      <c r="AF9" s="260"/>
      <c r="AG9" s="260"/>
      <c r="AH9" s="260"/>
      <c r="AI9" s="260"/>
      <c r="AJ9" s="260"/>
      <c r="AK9" s="260"/>
      <c r="AL9" s="260"/>
      <c r="AM9" s="260"/>
      <c r="AN9" s="260"/>
      <c r="AO9" s="260"/>
      <c r="AP9" s="260"/>
      <c r="AQ9" s="260"/>
      <c r="AR9" s="260"/>
    </row>
    <row r="10" spans="1:44" customFormat="1" ht="60">
      <c r="A10" s="532">
        <v>20152495003</v>
      </c>
      <c r="B10" s="312" t="str">
        <f>VLOOKUP($A10,'Datos Personales'!A:B,2,FALSE)</f>
        <v>BUITRAGO CASTELLANOS RAUL ALEJANDRO</v>
      </c>
      <c r="C10" s="479">
        <f>VLOOKUP(A10,'ESTADOS ESTUDIANTES'!B:L,11,0)</f>
        <v>1018441667</v>
      </c>
      <c r="D10" s="479">
        <f>VLOOKUP(A10,'Datos Personales'!$A$2:$M$1188,3,FALSE)</f>
        <v>495</v>
      </c>
      <c r="E10" s="476" t="str">
        <f>VLOOKUP(A10,'ESTADOS ESTUDIANTES'!B:L,8,0)</f>
        <v>rabuitragoc@correo.udistrital.edu.co</v>
      </c>
      <c r="F10" s="476" t="str">
        <f>VLOOKUP(A10,'ESTADOS ESTUDIANTES'!B:L,9,0)</f>
        <v>raulhabits@gmail.com</v>
      </c>
      <c r="G10" s="533" t="s">
        <v>1228</v>
      </c>
      <c r="H10" s="534" t="s">
        <v>46</v>
      </c>
      <c r="I10" s="476" t="s">
        <v>1254</v>
      </c>
      <c r="J10" s="476" t="s">
        <v>303</v>
      </c>
      <c r="K10" s="535"/>
      <c r="L10" s="543">
        <v>43891</v>
      </c>
      <c r="M10" s="533" t="s">
        <v>1255</v>
      </c>
      <c r="N10" s="537"/>
      <c r="O10" s="538"/>
      <c r="P10" s="539">
        <v>43888</v>
      </c>
      <c r="Q10" s="538">
        <v>80.87</v>
      </c>
      <c r="R10" s="536" t="s">
        <v>79</v>
      </c>
      <c r="S10" s="536" t="s">
        <v>137</v>
      </c>
      <c r="T10" s="476" t="s">
        <v>932</v>
      </c>
      <c r="U10" s="536" t="s">
        <v>1226</v>
      </c>
      <c r="V10" s="536"/>
      <c r="W10" s="536" t="s">
        <v>1256</v>
      </c>
      <c r="X10" s="535"/>
      <c r="Y10" s="535"/>
      <c r="Z10" s="490"/>
      <c r="AA10" s="490"/>
      <c r="AB10" s="565" t="s">
        <v>240</v>
      </c>
      <c r="AC10" s="194" t="s">
        <v>745</v>
      </c>
      <c r="AD10" s="542"/>
      <c r="AE10" s="259"/>
      <c r="AF10" s="260"/>
      <c r="AG10" s="260"/>
      <c r="AH10" s="260"/>
      <c r="AI10" s="260"/>
      <c r="AJ10" s="260"/>
      <c r="AK10" s="260"/>
      <c r="AL10" s="260"/>
      <c r="AM10" s="260"/>
      <c r="AN10" s="260"/>
      <c r="AO10" s="260"/>
      <c r="AP10" s="260"/>
      <c r="AQ10" s="260"/>
      <c r="AR10" s="260"/>
    </row>
    <row r="11" spans="1:44" customFormat="1" ht="45">
      <c r="A11" s="532">
        <v>20161195009</v>
      </c>
      <c r="B11" s="312" t="str">
        <f>VLOOKUP($A11,'Datos Personales'!A:B,2,FALSE)</f>
        <v>GOMEZ ACERO JAIRO CESAR</v>
      </c>
      <c r="C11" s="479">
        <f>VLOOKUP(A11,'ESTADOS ESTUDIANTES'!B:L,11,0)</f>
        <v>79049409</v>
      </c>
      <c r="D11" s="479">
        <f>VLOOKUP(A11,'Datos Personales'!$A$2:$M$1188,3,FALSE)</f>
        <v>195</v>
      </c>
      <c r="E11" s="476" t="str">
        <f>VLOOKUP(A11,'ESTADOS ESTUDIANTES'!B:L,8,0)</f>
        <v>jcgomeza@correo.udistrital.edu.co</v>
      </c>
      <c r="F11" s="476" t="str">
        <f>VLOOKUP(A11,'ESTADOS ESTUDIANTES'!B:L,9,0)</f>
        <v>jacegom@gmail.com</v>
      </c>
      <c r="G11" s="533" t="s">
        <v>1228</v>
      </c>
      <c r="H11" s="534" t="s">
        <v>46</v>
      </c>
      <c r="I11" s="476" t="s">
        <v>1257</v>
      </c>
      <c r="J11" s="476" t="s">
        <v>1258</v>
      </c>
      <c r="K11" s="476" t="s">
        <v>1153</v>
      </c>
      <c r="L11" s="543">
        <v>43831</v>
      </c>
      <c r="M11" s="533" t="s">
        <v>1259</v>
      </c>
      <c r="N11" s="537"/>
      <c r="O11" s="538"/>
      <c r="P11" s="550">
        <v>44097</v>
      </c>
      <c r="Q11" s="551" t="s">
        <v>1260</v>
      </c>
      <c r="R11" s="551" t="s">
        <v>93</v>
      </c>
      <c r="S11" s="551" t="s">
        <v>118</v>
      </c>
      <c r="T11" s="552" t="s">
        <v>1261</v>
      </c>
      <c r="U11" s="551" t="s">
        <v>1226</v>
      </c>
      <c r="V11" s="551"/>
      <c r="W11" s="566">
        <v>43891</v>
      </c>
      <c r="X11" s="554"/>
      <c r="Y11" s="554"/>
      <c r="Z11" s="555"/>
      <c r="AA11" s="555"/>
      <c r="AB11" s="556" t="s">
        <v>240</v>
      </c>
      <c r="AC11" s="567"/>
      <c r="AD11" s="542"/>
      <c r="AE11" s="259"/>
      <c r="AF11" s="260"/>
      <c r="AG11" s="260"/>
      <c r="AH11" s="260"/>
      <c r="AI11" s="260"/>
      <c r="AJ11" s="260"/>
      <c r="AK11" s="260"/>
      <c r="AL11" s="260"/>
      <c r="AM11" s="260"/>
      <c r="AN11" s="260"/>
      <c r="AO11" s="260"/>
      <c r="AP11" s="260"/>
      <c r="AQ11" s="260"/>
      <c r="AR11" s="260"/>
    </row>
    <row r="12" spans="1:44" customFormat="1" ht="60">
      <c r="A12" s="532">
        <v>20162195008</v>
      </c>
      <c r="B12" s="312" t="str">
        <f>VLOOKUP($A12,'Datos Personales'!A:B,2,FALSE)</f>
        <v>RODRIGUEZ RODRÍGUEZ GUSTAVO ALONSO</v>
      </c>
      <c r="C12" s="479">
        <f>VLOOKUP(A12,'ESTADOS ESTUDIANTES'!B:L,11,0)</f>
        <v>79797927</v>
      </c>
      <c r="D12" s="479">
        <f>VLOOKUP(A12,'Datos Personales'!$A$2:$M$1188,3,FALSE)</f>
        <v>195</v>
      </c>
      <c r="E12" s="476" t="str">
        <f>VLOOKUP(A12,'ESTADOS ESTUDIANTES'!B:L,8,0)</f>
        <v>garodriguezr@correo.udistrital.edu.co</v>
      </c>
      <c r="F12" s="476" t="str">
        <f>VLOOKUP(A12,'ESTADOS ESTUDIANTES'!B:L,9,0)</f>
        <v>garcaj@hotmail.com</v>
      </c>
      <c r="G12" s="533" t="s">
        <v>1228</v>
      </c>
      <c r="H12" s="534" t="s">
        <v>46</v>
      </c>
      <c r="I12" s="536" t="s">
        <v>1262</v>
      </c>
      <c r="J12" s="536" t="s">
        <v>289</v>
      </c>
      <c r="K12" s="535"/>
      <c r="L12" s="543">
        <v>43891</v>
      </c>
      <c r="M12" s="533" t="s">
        <v>1255</v>
      </c>
      <c r="N12" s="537"/>
      <c r="O12" s="538"/>
      <c r="P12" s="568">
        <v>44097</v>
      </c>
      <c r="Q12" s="569" t="s">
        <v>1263</v>
      </c>
      <c r="R12" s="569" t="s">
        <v>93</v>
      </c>
      <c r="S12" s="569" t="s">
        <v>137</v>
      </c>
      <c r="T12" s="569" t="s">
        <v>932</v>
      </c>
      <c r="U12" s="569" t="s">
        <v>1226</v>
      </c>
      <c r="V12" s="569"/>
      <c r="W12" s="569" t="s">
        <v>1256</v>
      </c>
      <c r="X12" s="570"/>
      <c r="Y12" s="570"/>
      <c r="Z12" s="571"/>
      <c r="AA12" s="571"/>
      <c r="AB12" s="572"/>
      <c r="AC12" s="573">
        <v>44713</v>
      </c>
      <c r="AD12" s="542"/>
      <c r="AE12" s="259"/>
      <c r="AF12" s="260"/>
      <c r="AG12" s="260"/>
      <c r="AH12" s="260"/>
      <c r="AI12" s="260"/>
      <c r="AJ12" s="260"/>
      <c r="AK12" s="260"/>
      <c r="AL12" s="260"/>
      <c r="AM12" s="260"/>
      <c r="AN12" s="260"/>
      <c r="AO12" s="260"/>
      <c r="AP12" s="260"/>
      <c r="AQ12" s="260"/>
      <c r="AR12" s="260"/>
    </row>
    <row r="13" spans="1:44" ht="60">
      <c r="A13" s="301">
        <v>20162395003</v>
      </c>
      <c r="B13" s="312" t="str">
        <f>VLOOKUP($A13,'Datos Personales'!A:B,2,FALSE)</f>
        <v>CASTILLO CASTELLANOS OSCAR JAVIER</v>
      </c>
      <c r="C13" s="302">
        <f>VLOOKUP(A13,'ESTADOS ESTUDIANTES'!B:L,11,0)</f>
        <v>80734025</v>
      </c>
      <c r="D13" s="302">
        <v>495</v>
      </c>
      <c r="E13" s="303" t="str">
        <f>VLOOKUP(A13,'ESTADOS ESTUDIANTES'!B:L,8,0)</f>
        <v>ojcastilloc@udistrital.edu.co</v>
      </c>
      <c r="F13" s="303" t="str">
        <f>VLOOKUP(A13,'ESTADOS ESTUDIANTES'!B:L,9,0)</f>
        <v>rakzocast@gmail.com</v>
      </c>
      <c r="G13" s="533" t="s">
        <v>1228</v>
      </c>
      <c r="H13" s="305" t="s">
        <v>46</v>
      </c>
      <c r="I13" s="303" t="s">
        <v>1264</v>
      </c>
      <c r="J13" s="303" t="s">
        <v>402</v>
      </c>
      <c r="K13" s="303" t="s">
        <v>1265</v>
      </c>
      <c r="L13" s="308">
        <v>44622</v>
      </c>
      <c r="M13" s="304" t="s">
        <v>1266</v>
      </c>
      <c r="N13" s="307"/>
      <c r="O13" s="320"/>
      <c r="P13" s="313">
        <v>45071</v>
      </c>
      <c r="Q13" s="299">
        <v>136</v>
      </c>
      <c r="R13" s="298" t="s">
        <v>79</v>
      </c>
      <c r="S13" s="298"/>
      <c r="T13" s="277"/>
      <c r="U13" s="277" t="s">
        <v>45</v>
      </c>
      <c r="V13" s="277"/>
      <c r="W13" s="277" t="s">
        <v>1267</v>
      </c>
      <c r="X13" s="314" t="s">
        <v>1268</v>
      </c>
      <c r="Y13" s="314" t="s">
        <v>1269</v>
      </c>
      <c r="Z13" s="298" t="s">
        <v>47</v>
      </c>
      <c r="AA13" s="298"/>
      <c r="AB13" s="528" t="s">
        <v>1270</v>
      </c>
      <c r="AC13" s="237" t="s">
        <v>331</v>
      </c>
      <c r="AD13" s="314" t="s">
        <v>1271</v>
      </c>
      <c r="AE13" s="324"/>
      <c r="AF13" s="325"/>
      <c r="AG13" s="325"/>
      <c r="AH13" s="325"/>
      <c r="AI13" s="325"/>
      <c r="AJ13" s="325"/>
      <c r="AK13" s="325"/>
      <c r="AL13" s="325"/>
      <c r="AM13" s="325"/>
      <c r="AN13" s="325"/>
      <c r="AO13" s="325"/>
      <c r="AP13" s="325"/>
      <c r="AQ13" s="325"/>
      <c r="AR13" s="325"/>
    </row>
    <row r="14" spans="1:44" customFormat="1" ht="45">
      <c r="A14" s="532">
        <v>20162395009</v>
      </c>
      <c r="B14" s="312" t="str">
        <f>VLOOKUP($A14,'Datos Personales'!A:B,2,FALSE)</f>
        <v>OCHOA TORRES SINDY NATALI</v>
      </c>
      <c r="C14" s="479">
        <f>VLOOKUP(A14,'ESTADOS ESTUDIANTES'!B:L,11,0)</f>
        <v>1010191974</v>
      </c>
      <c r="D14" s="479">
        <f>VLOOKUP(A14,'Datos Personales'!$A$2:$M$1188,3,FALSE)</f>
        <v>395</v>
      </c>
      <c r="E14" s="476" t="str">
        <f>VLOOKUP(A14,'ESTADOS ESTUDIANTES'!B:L,8,0)</f>
        <v>snochoat@correo.udistrital.edu.co</v>
      </c>
      <c r="F14" s="476" t="str">
        <f>VLOOKUP(A14,'ESTADOS ESTUDIANTES'!B:L,9,0)</f>
        <v>nathaliochoa@gmail.com</v>
      </c>
      <c r="G14" s="533" t="s">
        <v>1228</v>
      </c>
      <c r="H14" s="534" t="s">
        <v>46</v>
      </c>
      <c r="I14" s="536" t="s">
        <v>1272</v>
      </c>
      <c r="J14" s="536" t="s">
        <v>512</v>
      </c>
      <c r="K14" s="536" t="s">
        <v>977</v>
      </c>
      <c r="L14" s="543">
        <v>44200</v>
      </c>
      <c r="M14" s="533" t="s">
        <v>1273</v>
      </c>
      <c r="N14" s="537">
        <v>43964</v>
      </c>
      <c r="O14" s="538">
        <v>76.52</v>
      </c>
      <c r="P14" s="558">
        <v>44153</v>
      </c>
      <c r="Q14" s="559" t="s">
        <v>1274</v>
      </c>
      <c r="R14" s="559" t="s">
        <v>79</v>
      </c>
      <c r="S14" s="559" t="s">
        <v>83</v>
      </c>
      <c r="T14" s="559" t="s">
        <v>512</v>
      </c>
      <c r="U14" s="559" t="s">
        <v>1226</v>
      </c>
      <c r="V14" s="559"/>
      <c r="W14" s="574">
        <v>44256</v>
      </c>
      <c r="X14" s="575"/>
      <c r="Y14" s="575"/>
      <c r="Z14" s="563"/>
      <c r="AA14" s="563"/>
      <c r="AB14" s="564" t="s">
        <v>240</v>
      </c>
      <c r="AC14" s="557"/>
      <c r="AD14" s="542"/>
      <c r="AE14" s="259"/>
      <c r="AF14" s="260"/>
      <c r="AG14" s="260"/>
      <c r="AH14" s="260"/>
      <c r="AI14" s="260"/>
      <c r="AJ14" s="260"/>
      <c r="AK14" s="260"/>
      <c r="AL14" s="260"/>
      <c r="AM14" s="260"/>
      <c r="AN14" s="260"/>
      <c r="AO14" s="260"/>
      <c r="AP14" s="260"/>
      <c r="AQ14" s="260"/>
      <c r="AR14" s="260"/>
    </row>
    <row r="15" spans="1:44" customFormat="1" ht="45">
      <c r="A15" s="532">
        <v>20171395002</v>
      </c>
      <c r="B15" s="312" t="str">
        <f>VLOOKUP($A15,'Datos Personales'!A:B,2,FALSE)</f>
        <v>CABALLERO MODERA NICOLS ERNESTO</v>
      </c>
      <c r="C15" s="479">
        <f>VLOOKUP(A15,'ESTADOS ESTUDIANTES'!B:L,11,0)</f>
        <v>1026285580</v>
      </c>
      <c r="D15" s="479">
        <v>195</v>
      </c>
      <c r="E15" s="476" t="str">
        <f>VLOOKUP(A15,'ESTADOS ESTUDIANTES'!B:L,8,0)</f>
        <v>necaballerom@udistrital.edu.co</v>
      </c>
      <c r="F15" s="476" t="str">
        <f>VLOOKUP(A15,'ESTADOS ESTUDIANTES'!B:L,9,0)</f>
        <v>necaballerom@gmail.com</v>
      </c>
      <c r="G15" s="533" t="s">
        <v>1228</v>
      </c>
      <c r="H15" s="534" t="s">
        <v>46</v>
      </c>
      <c r="I15" s="536" t="s">
        <v>1275</v>
      </c>
      <c r="J15" s="476" t="s">
        <v>309</v>
      </c>
      <c r="K15" s="536" t="s">
        <v>1276</v>
      </c>
      <c r="L15" s="543">
        <v>44621</v>
      </c>
      <c r="M15" s="533" t="s">
        <v>1277</v>
      </c>
      <c r="N15" s="576">
        <v>44097</v>
      </c>
      <c r="O15" s="482">
        <v>84.11</v>
      </c>
      <c r="P15" s="478">
        <v>44981</v>
      </c>
      <c r="Q15" s="482">
        <v>131</v>
      </c>
      <c r="R15" s="536" t="s">
        <v>79</v>
      </c>
      <c r="S15" s="536" t="s">
        <v>1278</v>
      </c>
      <c r="T15" s="476" t="s">
        <v>309</v>
      </c>
      <c r="U15" s="536" t="s">
        <v>45</v>
      </c>
      <c r="V15" s="536"/>
      <c r="W15" s="536" t="s">
        <v>1279</v>
      </c>
      <c r="X15" s="547"/>
      <c r="Y15" s="547"/>
      <c r="Z15" s="490"/>
      <c r="AA15" s="490"/>
      <c r="AB15" s="577"/>
      <c r="AC15" s="567"/>
      <c r="AD15" s="542"/>
      <c r="AE15" s="259"/>
      <c r="AF15" s="260"/>
      <c r="AG15" s="260"/>
      <c r="AH15" s="260"/>
      <c r="AI15" s="260"/>
      <c r="AJ15" s="260"/>
      <c r="AK15" s="260"/>
      <c r="AL15" s="260"/>
      <c r="AM15" s="260"/>
      <c r="AN15" s="260"/>
      <c r="AO15" s="260"/>
      <c r="AP15" s="260"/>
      <c r="AQ15" s="260"/>
      <c r="AR15" s="260"/>
    </row>
    <row r="16" spans="1:44" customFormat="1" ht="45">
      <c r="A16" s="532">
        <v>20171395007</v>
      </c>
      <c r="B16" s="312" t="str">
        <f>VLOOKUP($A16,'Datos Personales'!A:B,2,FALSE)</f>
        <v>CORTES BUITRAGO OMAR</v>
      </c>
      <c r="C16" s="479">
        <f>VLOOKUP(A16,'ESTADOS ESTUDIANTES'!B:L,11,0)</f>
        <v>19486872</v>
      </c>
      <c r="D16" s="479">
        <f>VLOOKUP(A16,'Datos Personales'!$A$2:$M$1188,3,FALSE)</f>
        <v>395</v>
      </c>
      <c r="E16" s="476" t="str">
        <f>VLOOKUP(A16,'ESTADOS ESTUDIANTES'!B:L,8,0)</f>
        <v>ocortesb@udistrital.edu.co</v>
      </c>
      <c r="F16" s="476" t="str">
        <f>VLOOKUP(A16,'ESTADOS ESTUDIANTES'!B:L,9,0)</f>
        <v>omar.cortes@wgsltda.com.co</v>
      </c>
      <c r="G16" s="533" t="s">
        <v>1228</v>
      </c>
      <c r="H16" s="534" t="s">
        <v>46</v>
      </c>
      <c r="I16" s="536" t="s">
        <v>1280</v>
      </c>
      <c r="J16" s="536" t="s">
        <v>452</v>
      </c>
      <c r="K16" s="536" t="s">
        <v>977</v>
      </c>
      <c r="L16" s="543">
        <v>44202</v>
      </c>
      <c r="M16" s="533" t="s">
        <v>1273</v>
      </c>
      <c r="N16" s="537">
        <v>44342</v>
      </c>
      <c r="O16" s="538">
        <v>68.7</v>
      </c>
      <c r="P16" s="539">
        <v>44468</v>
      </c>
      <c r="Q16" s="538">
        <v>129</v>
      </c>
      <c r="R16" s="536" t="s">
        <v>79</v>
      </c>
      <c r="S16" s="536" t="s">
        <v>146</v>
      </c>
      <c r="T16" s="536" t="s">
        <v>229</v>
      </c>
      <c r="U16" s="536" t="s">
        <v>1226</v>
      </c>
      <c r="V16" s="536"/>
      <c r="W16" s="578">
        <v>44256</v>
      </c>
      <c r="X16" s="535"/>
      <c r="Y16" s="535"/>
      <c r="Z16" s="490"/>
      <c r="AA16" s="490"/>
      <c r="AB16" s="565" t="s">
        <v>240</v>
      </c>
      <c r="AC16" s="194" t="s">
        <v>1281</v>
      </c>
      <c r="AD16" s="542"/>
      <c r="AE16" s="259"/>
      <c r="AF16" s="260"/>
      <c r="AG16" s="260"/>
      <c r="AH16" s="260"/>
      <c r="AI16" s="260"/>
      <c r="AJ16" s="260"/>
      <c r="AK16" s="260"/>
      <c r="AL16" s="260"/>
      <c r="AM16" s="260"/>
      <c r="AN16" s="260"/>
      <c r="AO16" s="260"/>
      <c r="AP16" s="260"/>
      <c r="AQ16" s="260"/>
      <c r="AR16" s="260"/>
    </row>
    <row r="17" spans="1:44" customFormat="1" ht="75">
      <c r="A17" s="532">
        <v>20171395010</v>
      </c>
      <c r="B17" s="312" t="str">
        <f>VLOOKUP($A17,'Datos Personales'!A:B,2,FALSE)</f>
        <v>NUÑEZ EGUIS EMILY DAYANA</v>
      </c>
      <c r="C17" s="479">
        <f>VLOOKUP(A17,'ESTADOS ESTUDIANTES'!B:L,11,0)</f>
        <v>1026267632</v>
      </c>
      <c r="D17" s="479">
        <f>VLOOKUP(A17,'Datos Personales'!$A$2:$M$1188,3,FALSE)</f>
        <v>395</v>
      </c>
      <c r="E17" s="476" t="str">
        <f>VLOOKUP(A17,'ESTADOS ESTUDIANTES'!B:L,8,0)</f>
        <v>ednuneze@correo.udistrital.edu.co</v>
      </c>
      <c r="F17" s="476" t="str">
        <f>VLOOKUP(A17,'ESTADOS ESTUDIANTES'!B:L,9,0)</f>
        <v>emilyda9@gmail.com</v>
      </c>
      <c r="G17" s="533" t="s">
        <v>1228</v>
      </c>
      <c r="H17" s="534" t="s">
        <v>46</v>
      </c>
      <c r="I17" s="536" t="s">
        <v>1282</v>
      </c>
      <c r="J17" s="536" t="s">
        <v>348</v>
      </c>
      <c r="K17" s="536" t="s">
        <v>954</v>
      </c>
      <c r="L17" s="543">
        <v>43891</v>
      </c>
      <c r="M17" s="533" t="s">
        <v>1243</v>
      </c>
      <c r="N17" s="537"/>
      <c r="O17" s="538"/>
      <c r="P17" s="539">
        <v>44097</v>
      </c>
      <c r="Q17" s="536" t="s">
        <v>1283</v>
      </c>
      <c r="R17" s="536" t="s">
        <v>93</v>
      </c>
      <c r="S17" s="536" t="s">
        <v>1245</v>
      </c>
      <c r="T17" s="536" t="s">
        <v>1246</v>
      </c>
      <c r="U17" s="536" t="s">
        <v>1226</v>
      </c>
      <c r="V17" s="536"/>
      <c r="W17" s="536" t="s">
        <v>1247</v>
      </c>
      <c r="X17" s="535"/>
      <c r="Y17" s="535"/>
      <c r="Z17" s="490"/>
      <c r="AA17" s="490"/>
      <c r="AB17" s="565" t="s">
        <v>240</v>
      </c>
      <c r="AC17" s="194" t="s">
        <v>1284</v>
      </c>
      <c r="AD17" s="542"/>
      <c r="AE17" s="259"/>
      <c r="AF17" s="260"/>
      <c r="AG17" s="260"/>
      <c r="AH17" s="260"/>
      <c r="AI17" s="260"/>
      <c r="AJ17" s="260"/>
      <c r="AK17" s="260"/>
      <c r="AL17" s="260"/>
      <c r="AM17" s="260"/>
      <c r="AN17" s="260"/>
      <c r="AO17" s="260"/>
      <c r="AP17" s="260"/>
      <c r="AQ17" s="260"/>
      <c r="AR17" s="260"/>
    </row>
    <row r="18" spans="1:44" customFormat="1" ht="60">
      <c r="A18" s="532">
        <v>20171495014</v>
      </c>
      <c r="B18" s="312" t="str">
        <f>VLOOKUP($A18,'Datos Personales'!A:B,2,FALSE)</f>
        <v>NARIÑO NIÑO CRISTIAN</v>
      </c>
      <c r="C18" s="479">
        <f>VLOOKUP(A18,'ESTADOS ESTUDIANTES'!B:L,11,0)</f>
        <v>79909021</v>
      </c>
      <c r="D18" s="479">
        <f>VLOOKUP(A18,'Datos Personales'!$A$2:$M$1188,3,FALSE)</f>
        <v>495</v>
      </c>
      <c r="E18" s="476" t="str">
        <f>VLOOKUP(A18,'ESTADOS ESTUDIANTES'!B:L,8,0)</f>
        <v>cnarinon@udistrital.edu.co</v>
      </c>
      <c r="F18" s="476" t="str">
        <f>VLOOKUP(A18,'ESTADOS ESTUDIANTES'!B:L,9,0)</f>
        <v>cristian.narino@credibanco.com</v>
      </c>
      <c r="G18" s="533" t="s">
        <v>1228</v>
      </c>
      <c r="H18" s="534" t="s">
        <v>46</v>
      </c>
      <c r="I18" s="536" t="s">
        <v>1285</v>
      </c>
      <c r="J18" s="536" t="s">
        <v>1286</v>
      </c>
      <c r="K18" s="536" t="s">
        <v>973</v>
      </c>
      <c r="L18" s="543">
        <v>43525</v>
      </c>
      <c r="M18" s="533" t="s">
        <v>1287</v>
      </c>
      <c r="N18" s="537">
        <v>44097</v>
      </c>
      <c r="O18" s="538">
        <v>90.65</v>
      </c>
      <c r="P18" s="539">
        <v>44887</v>
      </c>
      <c r="Q18" s="538">
        <v>113</v>
      </c>
      <c r="R18" s="536" t="s">
        <v>79</v>
      </c>
      <c r="S18" s="536" t="s">
        <v>131</v>
      </c>
      <c r="T18" s="536" t="s">
        <v>1286</v>
      </c>
      <c r="U18" s="536" t="s">
        <v>1226</v>
      </c>
      <c r="V18" s="536"/>
      <c r="W18" s="536" t="s">
        <v>379</v>
      </c>
      <c r="X18" s="535" t="s">
        <v>1288</v>
      </c>
      <c r="Y18" s="535" t="s">
        <v>1289</v>
      </c>
      <c r="Z18" s="490" t="s">
        <v>47</v>
      </c>
      <c r="AA18" s="490" t="s">
        <v>80</v>
      </c>
      <c r="AB18" s="540"/>
      <c r="AC18" s="557" t="s">
        <v>1290</v>
      </c>
      <c r="AD18" s="542"/>
      <c r="AE18" s="259"/>
      <c r="AF18" s="260"/>
      <c r="AG18" s="260"/>
      <c r="AH18" s="260"/>
      <c r="AI18" s="260"/>
      <c r="AJ18" s="260"/>
      <c r="AK18" s="260"/>
      <c r="AL18" s="260"/>
      <c r="AM18" s="260"/>
      <c r="AN18" s="260"/>
      <c r="AO18" s="260"/>
      <c r="AP18" s="260"/>
      <c r="AQ18" s="260"/>
      <c r="AR18" s="260"/>
    </row>
    <row r="19" spans="1:44" customFormat="1" ht="45">
      <c r="A19" s="532">
        <v>20171495015</v>
      </c>
      <c r="B19" s="312" t="str">
        <f>VLOOKUP($A19,'Datos Personales'!A:B,2,FALSE)</f>
        <v>PEÑA MENESES JOSE DANIEL</v>
      </c>
      <c r="C19" s="479">
        <f>VLOOKUP(A19,'ESTADOS ESTUDIANTES'!B:L,11,0)</f>
        <v>80111613</v>
      </c>
      <c r="D19" s="479">
        <f>VLOOKUP(A19,'Datos Personales'!$A$2:$M$1188,3,FALSE)</f>
        <v>495</v>
      </c>
      <c r="E19" s="476" t="str">
        <f>VLOOKUP(A19,'ESTADOS ESTUDIANTES'!B:L,8,0)</f>
        <v>jdpenam@udistrital.edu.co</v>
      </c>
      <c r="F19" s="476" t="str">
        <f>VLOOKUP(A19,'ESTADOS ESTUDIANTES'!B:L,9,0)</f>
        <v>temp2010@msn.com</v>
      </c>
      <c r="G19" s="533" t="s">
        <v>1228</v>
      </c>
      <c r="H19" s="534" t="s">
        <v>46</v>
      </c>
      <c r="I19" s="536" t="s">
        <v>1291</v>
      </c>
      <c r="J19" s="536" t="s">
        <v>1246</v>
      </c>
      <c r="K19" s="536" t="s">
        <v>1078</v>
      </c>
      <c r="L19" s="543">
        <v>43525</v>
      </c>
      <c r="M19" s="533" t="s">
        <v>1292</v>
      </c>
      <c r="N19" s="537">
        <v>43809</v>
      </c>
      <c r="O19" s="538">
        <v>51.3</v>
      </c>
      <c r="P19" s="539">
        <v>44873</v>
      </c>
      <c r="Q19" s="538">
        <v>141</v>
      </c>
      <c r="R19" s="536" t="s">
        <v>79</v>
      </c>
      <c r="S19" s="536" t="s">
        <v>1245</v>
      </c>
      <c r="T19" s="536" t="s">
        <v>1246</v>
      </c>
      <c r="U19" s="536" t="s">
        <v>1226</v>
      </c>
      <c r="V19" s="536"/>
      <c r="W19" s="536" t="s">
        <v>263</v>
      </c>
      <c r="X19" s="476" t="s">
        <v>1293</v>
      </c>
      <c r="Y19" s="476" t="s">
        <v>1294</v>
      </c>
      <c r="Z19" s="476" t="s">
        <v>47</v>
      </c>
      <c r="AA19" s="476" t="s">
        <v>104</v>
      </c>
      <c r="AB19" s="565" t="s">
        <v>240</v>
      </c>
      <c r="AC19" s="194" t="s">
        <v>1295</v>
      </c>
      <c r="AD19" s="542"/>
      <c r="AE19" s="259"/>
      <c r="AF19" s="260"/>
      <c r="AG19" s="260"/>
      <c r="AH19" s="260"/>
      <c r="AI19" s="260"/>
      <c r="AJ19" s="260"/>
      <c r="AK19" s="260"/>
      <c r="AL19" s="260"/>
      <c r="AM19" s="260"/>
      <c r="AN19" s="260"/>
      <c r="AO19" s="260"/>
      <c r="AP19" s="260"/>
      <c r="AQ19" s="260"/>
      <c r="AR19" s="260"/>
    </row>
    <row r="20" spans="1:44" customFormat="1" ht="30">
      <c r="A20" s="532">
        <v>20171495022</v>
      </c>
      <c r="B20" s="312" t="str">
        <f>VLOOKUP($A20,'Datos Personales'!A:B,2,FALSE)</f>
        <v>VACA VILLAMIL TANIA ALEXANDRA</v>
      </c>
      <c r="C20" s="479">
        <f>VLOOKUP(A20,'ESTADOS ESTUDIANTES'!B:L,11,0)</f>
        <v>1032390922</v>
      </c>
      <c r="D20" s="479">
        <v>495</v>
      </c>
      <c r="E20" s="476" t="str">
        <f>VLOOKUP(A20,'ESTADOS ESTUDIANTES'!B:L,8,0)</f>
        <v>tavacav@udistrital.edu.co</v>
      </c>
      <c r="F20" s="476" t="str">
        <f>VLOOKUP(A20,'ESTADOS ESTUDIANTES'!B:L,9,0)</f>
        <v>alexandra0512sys@gmail.com</v>
      </c>
      <c r="G20" s="533" t="s">
        <v>1228</v>
      </c>
      <c r="H20" s="534" t="s">
        <v>46</v>
      </c>
      <c r="I20" s="536" t="s">
        <v>1296</v>
      </c>
      <c r="J20" s="476" t="s">
        <v>247</v>
      </c>
      <c r="K20" s="536" t="s">
        <v>1297</v>
      </c>
      <c r="L20" s="543">
        <v>44622</v>
      </c>
      <c r="M20" s="579"/>
      <c r="N20" s="537"/>
      <c r="O20" s="538"/>
      <c r="P20" s="580">
        <v>44981</v>
      </c>
      <c r="Q20" s="581">
        <v>135</v>
      </c>
      <c r="R20" s="551" t="s">
        <v>79</v>
      </c>
      <c r="S20" s="551" t="s">
        <v>1298</v>
      </c>
      <c r="T20" s="555"/>
      <c r="U20" s="551" t="s">
        <v>45</v>
      </c>
      <c r="V20" s="551"/>
      <c r="W20" s="551" t="s">
        <v>1279</v>
      </c>
      <c r="X20" s="566"/>
      <c r="Y20" s="566"/>
      <c r="Z20" s="555"/>
      <c r="AA20" s="555"/>
      <c r="AB20" s="582"/>
      <c r="AC20" s="567"/>
      <c r="AD20" s="542"/>
      <c r="AE20" s="259"/>
      <c r="AF20" s="260"/>
      <c r="AG20" s="260"/>
      <c r="AH20" s="260"/>
      <c r="AI20" s="260"/>
      <c r="AJ20" s="260"/>
      <c r="AK20" s="260"/>
      <c r="AL20" s="260"/>
      <c r="AM20" s="260"/>
      <c r="AN20" s="260"/>
      <c r="AO20" s="260"/>
      <c r="AP20" s="260"/>
      <c r="AQ20" s="260"/>
      <c r="AR20" s="260"/>
    </row>
    <row r="21" spans="1:44" s="260" customFormat="1" ht="30">
      <c r="A21" s="532">
        <v>20181195002</v>
      </c>
      <c r="B21" s="312" t="str">
        <f>VLOOKUP($A21,'Datos Personales'!A:B,2,FALSE)</f>
        <v>ARIAS FORERO JUAN DAVID</v>
      </c>
      <c r="C21" s="479">
        <f>VLOOKUP(A21,'ESTADOS ESTUDIANTES'!B:L,11,0)</f>
        <v>1022374793</v>
      </c>
      <c r="D21" s="479">
        <f>VLOOKUP(A21,'Datos Personales'!$A$2:$M$1188,3,FALSE)</f>
        <v>195</v>
      </c>
      <c r="E21" s="476">
        <f>VLOOKUP(A21,'ESTADOS ESTUDIANTES'!B:L,8,0)</f>
        <v>0</v>
      </c>
      <c r="F21" s="476" t="str">
        <f>VLOOKUP(A21,'ESTADOS ESTUDIANTES'!B:L,9,0)</f>
        <v>jdariasforero2008@gmail.com</v>
      </c>
      <c r="G21" s="533" t="s">
        <v>1228</v>
      </c>
      <c r="H21" s="534" t="s">
        <v>46</v>
      </c>
      <c r="I21" s="536" t="s">
        <v>1299</v>
      </c>
      <c r="J21" s="536" t="s">
        <v>1300</v>
      </c>
      <c r="K21" s="536" t="s">
        <v>1301</v>
      </c>
      <c r="L21" s="543">
        <v>44256</v>
      </c>
      <c r="M21" s="533" t="s">
        <v>1302</v>
      </c>
      <c r="N21" s="537"/>
      <c r="O21" s="538"/>
      <c r="P21" s="558">
        <v>44153</v>
      </c>
      <c r="Q21" s="559" t="s">
        <v>1303</v>
      </c>
      <c r="R21" s="564" t="s">
        <v>93</v>
      </c>
      <c r="S21" s="194" t="s">
        <v>121</v>
      </c>
      <c r="T21" s="194" t="s">
        <v>1304</v>
      </c>
      <c r="U21" s="194" t="s">
        <v>45</v>
      </c>
      <c r="V21" s="194"/>
      <c r="W21" s="583">
        <v>44440</v>
      </c>
      <c r="X21" s="583"/>
      <c r="Y21" s="584"/>
      <c r="Z21" s="563"/>
      <c r="AA21" s="563"/>
      <c r="AB21" s="585"/>
      <c r="AC21" s="194" t="s">
        <v>1305</v>
      </c>
      <c r="AD21" s="542"/>
      <c r="AE21" s="259"/>
    </row>
    <row r="22" spans="1:44" customFormat="1" ht="45">
      <c r="A22" s="532">
        <v>20181195012</v>
      </c>
      <c r="B22" s="312" t="str">
        <f>VLOOKUP($A22,'Datos Personales'!A:B,2,FALSE)</f>
        <v>SUAREZ ROLDAN MARCO ALEXANDER</v>
      </c>
      <c r="C22" s="479">
        <f>VLOOKUP(A22,'ESTADOS ESTUDIANTES'!B:L,11,0)</f>
        <v>1110505909</v>
      </c>
      <c r="D22" s="479">
        <f>VLOOKUP(A22,'Datos Personales'!$A$2:$M$1188,3,FALSE)</f>
        <v>195</v>
      </c>
      <c r="E22" s="476" t="str">
        <f>VLOOKUP(A22,'ESTADOS ESTUDIANTES'!B:L,8,0)</f>
        <v>maasuarezr@correo.udistrital.edu.co</v>
      </c>
      <c r="F22" s="476" t="str">
        <f>VLOOKUP(A22,'ESTADOS ESTUDIANTES'!B:L,9,0)</f>
        <v>masuarez90@misena.edu.co</v>
      </c>
      <c r="G22" s="533" t="s">
        <v>1228</v>
      </c>
      <c r="H22" s="534" t="s">
        <v>46</v>
      </c>
      <c r="I22" s="536" t="s">
        <v>1306</v>
      </c>
      <c r="J22" s="536" t="s">
        <v>483</v>
      </c>
      <c r="K22" s="536" t="s">
        <v>1044</v>
      </c>
      <c r="L22" s="543">
        <v>43831</v>
      </c>
      <c r="M22" s="533" t="s">
        <v>1307</v>
      </c>
      <c r="N22" s="537"/>
      <c r="O22" s="538"/>
      <c r="P22" s="539">
        <v>44097</v>
      </c>
      <c r="Q22" s="536" t="s">
        <v>1225</v>
      </c>
      <c r="R22" s="565" t="s">
        <v>93</v>
      </c>
      <c r="S22" s="194" t="s">
        <v>131</v>
      </c>
      <c r="T22" s="194" t="s">
        <v>1286</v>
      </c>
      <c r="U22" s="194" t="s">
        <v>1226</v>
      </c>
      <c r="V22" s="194"/>
      <c r="W22" s="583">
        <v>43831</v>
      </c>
      <c r="X22" s="557"/>
      <c r="Y22" s="586"/>
      <c r="Z22" s="490"/>
      <c r="AA22" s="490"/>
      <c r="AB22" s="565" t="s">
        <v>240</v>
      </c>
      <c r="AC22" s="557"/>
      <c r="AD22" s="542"/>
      <c r="AE22" s="259"/>
      <c r="AF22" s="260"/>
      <c r="AG22" s="260"/>
      <c r="AH22" s="260"/>
      <c r="AI22" s="260"/>
      <c r="AJ22" s="260"/>
      <c r="AK22" s="260"/>
      <c r="AL22" s="260"/>
      <c r="AM22" s="260"/>
      <c r="AN22" s="260"/>
      <c r="AO22" s="260"/>
      <c r="AP22" s="260"/>
      <c r="AQ22" s="260"/>
      <c r="AR22" s="260"/>
    </row>
    <row r="23" spans="1:44" customFormat="1" ht="30">
      <c r="A23" s="532">
        <v>20181195013</v>
      </c>
      <c r="B23" s="312" t="str">
        <f>VLOOKUP($A23,'Datos Personales'!A:B,2,FALSE)</f>
        <v>SUAREZ ROLDAN JUAN SEBASTIAN</v>
      </c>
      <c r="C23" s="479">
        <f>VLOOKUP(A23,'ESTADOS ESTUDIANTES'!B:L,11,0)</f>
        <v>1110505907</v>
      </c>
      <c r="D23" s="479">
        <f>VLOOKUP(A23,'Datos Personales'!$A$2:$M$1188,3,FALSE)</f>
        <v>195</v>
      </c>
      <c r="E23" s="476" t="str">
        <f>VLOOKUP(A23,'ESTADOS ESTUDIANTES'!B:L,8,0)</f>
        <v>jssuarezr@udistrital.edu.co</v>
      </c>
      <c r="F23" s="476" t="str">
        <f>VLOOKUP(A23,'ESTADOS ESTUDIANTES'!B:L,9,0)</f>
        <v>sebas.suarez.roldan@gmail.com</v>
      </c>
      <c r="G23" s="533" t="s">
        <v>1228</v>
      </c>
      <c r="H23" s="534" t="s">
        <v>46</v>
      </c>
      <c r="I23" s="476" t="s">
        <v>1308</v>
      </c>
      <c r="J23" s="476" t="s">
        <v>483</v>
      </c>
      <c r="K23" s="536" t="s">
        <v>1044</v>
      </c>
      <c r="L23" s="543">
        <v>43831</v>
      </c>
      <c r="M23" s="533" t="s">
        <v>1307</v>
      </c>
      <c r="N23" s="537"/>
      <c r="O23" s="538"/>
      <c r="P23" s="539">
        <v>44097</v>
      </c>
      <c r="Q23" s="536" t="s">
        <v>1283</v>
      </c>
      <c r="R23" s="565" t="s">
        <v>93</v>
      </c>
      <c r="S23" s="194" t="s">
        <v>131</v>
      </c>
      <c r="T23" s="171" t="s">
        <v>1286</v>
      </c>
      <c r="U23" s="194" t="s">
        <v>1226</v>
      </c>
      <c r="V23" s="194"/>
      <c r="W23" s="583">
        <v>43891</v>
      </c>
      <c r="X23" s="557"/>
      <c r="Y23" s="586"/>
      <c r="Z23" s="490"/>
      <c r="AA23" s="490"/>
      <c r="AB23" s="565" t="s">
        <v>240</v>
      </c>
      <c r="AC23" s="557"/>
      <c r="AD23" s="542"/>
      <c r="AE23" s="259"/>
      <c r="AF23" s="260"/>
      <c r="AG23" s="260"/>
      <c r="AH23" s="260"/>
      <c r="AI23" s="260"/>
      <c r="AJ23" s="260"/>
      <c r="AK23" s="260"/>
      <c r="AL23" s="260"/>
      <c r="AM23" s="260"/>
      <c r="AN23" s="260"/>
      <c r="AO23" s="260"/>
      <c r="AP23" s="260"/>
      <c r="AQ23" s="260"/>
      <c r="AR23" s="260"/>
    </row>
    <row r="24" spans="1:44" customFormat="1" ht="45">
      <c r="A24" s="532">
        <v>20181395003</v>
      </c>
      <c r="B24" s="312" t="str">
        <f>VLOOKUP($A24,'Datos Personales'!A:B,2,FALSE)</f>
        <v>DIAZ CARRETERO EDUARDO ALFONSO</v>
      </c>
      <c r="C24" s="479">
        <f>VLOOKUP(A24,'ESTADOS ESTUDIANTES'!B:L,11,0)</f>
        <v>1022386838</v>
      </c>
      <c r="D24" s="479">
        <f>VLOOKUP(A24,'Datos Personales'!$A$2:$M$1188,3,FALSE)</f>
        <v>195</v>
      </c>
      <c r="E24" s="476" t="str">
        <f>VLOOKUP(A24,'ESTADOS ESTUDIANTES'!B:L,8,0)</f>
        <v>edadiazc@correo.udistrital.edu.co</v>
      </c>
      <c r="F24" s="476" t="str">
        <f>VLOOKUP(A24,'ESTADOS ESTUDIANTES'!B:L,9,0)</f>
        <v>eadiaz96@gmail.com</v>
      </c>
      <c r="G24" s="533" t="s">
        <v>1228</v>
      </c>
      <c r="H24" s="534" t="s">
        <v>46</v>
      </c>
      <c r="I24" s="536" t="s">
        <v>1309</v>
      </c>
      <c r="J24" s="536" t="s">
        <v>1310</v>
      </c>
      <c r="K24" s="536" t="s">
        <v>261</v>
      </c>
      <c r="L24" s="543">
        <v>43525</v>
      </c>
      <c r="M24" s="546" t="s">
        <v>1311</v>
      </c>
      <c r="N24" s="539">
        <v>43888</v>
      </c>
      <c r="O24" s="538">
        <v>56.52</v>
      </c>
      <c r="P24" s="539">
        <v>43964</v>
      </c>
      <c r="Q24" s="538">
        <v>89.57</v>
      </c>
      <c r="R24" s="565" t="s">
        <v>79</v>
      </c>
      <c r="S24" s="194" t="s">
        <v>140</v>
      </c>
      <c r="T24" s="194" t="s">
        <v>1310</v>
      </c>
      <c r="U24" s="194" t="s">
        <v>1226</v>
      </c>
      <c r="V24" s="194"/>
      <c r="W24" s="194" t="s">
        <v>263</v>
      </c>
      <c r="X24" s="557"/>
      <c r="Y24" s="587"/>
      <c r="Z24" s="490"/>
      <c r="AA24" s="490"/>
      <c r="AB24" s="540"/>
      <c r="AC24" s="557"/>
      <c r="AD24" s="542"/>
      <c r="AE24" s="259"/>
      <c r="AF24" s="260"/>
      <c r="AG24" s="260"/>
      <c r="AH24" s="260"/>
      <c r="AI24" s="260"/>
      <c r="AJ24" s="260"/>
      <c r="AK24" s="260"/>
      <c r="AL24" s="260"/>
      <c r="AM24" s="260"/>
      <c r="AN24" s="260"/>
      <c r="AO24" s="260"/>
      <c r="AP24" s="260"/>
      <c r="AQ24" s="260"/>
      <c r="AR24" s="260"/>
    </row>
    <row r="25" spans="1:44" customFormat="1" ht="75">
      <c r="A25" s="532">
        <v>20181495003</v>
      </c>
      <c r="B25" s="312" t="str">
        <f>VLOOKUP($A25,'Datos Personales'!A:B,2,FALSE)</f>
        <v>CARDONA TABORDA CARLOS HERNAN</v>
      </c>
      <c r="C25" s="479">
        <f>VLOOKUP(A25,'ESTADOS ESTUDIANTES'!B:L,11,0)</f>
        <v>1018462268</v>
      </c>
      <c r="D25" s="479">
        <f>VLOOKUP(A25,'Datos Personales'!$A$2:$M$1188,3,FALSE)</f>
        <v>495</v>
      </c>
      <c r="E25" s="476">
        <f>VLOOKUP(A25,'ESTADOS ESTUDIANTES'!B:L,8,0)</f>
        <v>0</v>
      </c>
      <c r="F25" s="476" t="str">
        <f>VLOOKUP(A25,'ESTADOS ESTUDIANTES'!B:L,9,0)</f>
        <v>chcardonat@gmail.com</v>
      </c>
      <c r="G25" s="533" t="s">
        <v>1228</v>
      </c>
      <c r="H25" s="534" t="s">
        <v>46</v>
      </c>
      <c r="I25" s="476" t="s">
        <v>1312</v>
      </c>
      <c r="J25" s="536" t="s">
        <v>222</v>
      </c>
      <c r="K25" s="536" t="s">
        <v>1198</v>
      </c>
      <c r="L25" s="543">
        <v>43891</v>
      </c>
      <c r="M25" s="533" t="s">
        <v>1313</v>
      </c>
      <c r="N25" s="537"/>
      <c r="O25" s="538"/>
      <c r="P25" s="539">
        <v>43888</v>
      </c>
      <c r="Q25" s="538">
        <v>71.3</v>
      </c>
      <c r="R25" s="565" t="s">
        <v>79</v>
      </c>
      <c r="S25" s="194" t="s">
        <v>112</v>
      </c>
      <c r="T25" s="194" t="s">
        <v>1314</v>
      </c>
      <c r="U25" s="194" t="s">
        <v>1226</v>
      </c>
      <c r="V25" s="194"/>
      <c r="W25" s="588">
        <v>44136</v>
      </c>
      <c r="X25" s="557"/>
      <c r="Y25" s="586"/>
      <c r="Z25" s="490"/>
      <c r="AA25" s="490"/>
      <c r="AB25" s="565" t="s">
        <v>240</v>
      </c>
      <c r="AC25" s="557"/>
      <c r="AD25" s="542"/>
      <c r="AE25" s="259"/>
      <c r="AF25" s="260"/>
      <c r="AG25" s="260"/>
      <c r="AH25" s="260"/>
      <c r="AI25" s="260"/>
      <c r="AJ25" s="260"/>
      <c r="AK25" s="260"/>
      <c r="AL25" s="260"/>
      <c r="AM25" s="260"/>
      <c r="AN25" s="260"/>
      <c r="AO25" s="260"/>
      <c r="AP25" s="260"/>
      <c r="AQ25" s="260"/>
      <c r="AR25" s="260"/>
    </row>
    <row r="26" spans="1:44" customFormat="1" ht="30">
      <c r="A26" s="532">
        <v>20181495005</v>
      </c>
      <c r="B26" s="312" t="str">
        <f>VLOOKUP($A26,'Datos Personales'!A:B,2,FALSE)</f>
        <v>CIFUENTES SANCHEZ JOSE WILLIAM</v>
      </c>
      <c r="C26" s="479">
        <f>VLOOKUP(A26,'ESTADOS ESTUDIANTES'!B:L,11,0)</f>
        <v>80813753</v>
      </c>
      <c r="D26" s="479">
        <f>VLOOKUP(A26,'Datos Personales'!$A$2:$M$1188,3,FALSE)</f>
        <v>495</v>
      </c>
      <c r="E26" s="476" t="str">
        <f>VLOOKUP(A26,'ESTADOS ESTUDIANTES'!B:L,8,0)</f>
        <v>jwcifuentess@correo.udistrital.edu.co</v>
      </c>
      <c r="F26" s="476" t="str">
        <f>VLOOKUP(A26,'ESTADOS ESTUDIANTES'!B:L,9,0)</f>
        <v>jwcifuentes@gmail.com</v>
      </c>
      <c r="G26" s="533" t="s">
        <v>1228</v>
      </c>
      <c r="H26" s="534" t="s">
        <v>46</v>
      </c>
      <c r="I26" s="476" t="s">
        <v>1315</v>
      </c>
      <c r="J26" s="476" t="s">
        <v>1316</v>
      </c>
      <c r="K26" s="536" t="s">
        <v>1317</v>
      </c>
      <c r="L26" s="543">
        <v>44197</v>
      </c>
      <c r="M26" s="533" t="s">
        <v>1318</v>
      </c>
      <c r="N26" s="537"/>
      <c r="O26" s="538"/>
      <c r="P26" s="539">
        <v>43888</v>
      </c>
      <c r="Q26" s="538">
        <v>79.13</v>
      </c>
      <c r="R26" s="565" t="s">
        <v>79</v>
      </c>
      <c r="S26" s="194" t="s">
        <v>137</v>
      </c>
      <c r="T26" s="171" t="s">
        <v>932</v>
      </c>
      <c r="U26" s="194" t="s">
        <v>1226</v>
      </c>
      <c r="V26" s="194"/>
      <c r="W26" s="589">
        <v>44228</v>
      </c>
      <c r="X26" s="557"/>
      <c r="Y26" s="586"/>
      <c r="Z26" s="490"/>
      <c r="AA26" s="490"/>
      <c r="AB26" s="565" t="s">
        <v>240</v>
      </c>
      <c r="AC26" s="567"/>
      <c r="AD26" s="542"/>
      <c r="AE26" s="259"/>
      <c r="AF26" s="260"/>
      <c r="AG26" s="260"/>
      <c r="AH26" s="260"/>
      <c r="AI26" s="260"/>
      <c r="AJ26" s="260"/>
      <c r="AK26" s="260"/>
      <c r="AL26" s="260"/>
      <c r="AM26" s="260"/>
      <c r="AN26" s="260"/>
      <c r="AO26" s="260"/>
      <c r="AP26" s="260"/>
      <c r="AQ26" s="260"/>
      <c r="AR26" s="260"/>
    </row>
    <row r="27" spans="1:44" s="260" customFormat="1" ht="60">
      <c r="A27" s="532">
        <v>20182195005</v>
      </c>
      <c r="B27" s="312" t="str">
        <f>VLOOKUP($A27,'Datos Personales'!A:B,2,FALSE)</f>
        <v>BERMÚDEZ BUCURÚ BRAYAN ANDRÉS</v>
      </c>
      <c r="C27" s="479">
        <f>VLOOKUP(A27,'ESTADOS ESTUDIANTES'!B:L,11,0)</f>
        <v>1010221959</v>
      </c>
      <c r="D27" s="479">
        <v>495</v>
      </c>
      <c r="E27" s="476" t="str">
        <f>VLOOKUP(A27,'ESTADOS ESTUDIANTES'!B:L,8,0)</f>
        <v>babermudezb@udistrital.edu.co</v>
      </c>
      <c r="F27" s="476" t="str">
        <f>VLOOKUP(A27,'ESTADOS ESTUDIANTES'!B:L,9,0)</f>
        <v>babermudezb1@gmail.com</v>
      </c>
      <c r="G27" s="533" t="s">
        <v>1228</v>
      </c>
      <c r="H27" s="534" t="s">
        <v>46</v>
      </c>
      <c r="I27" s="536" t="s">
        <v>1319</v>
      </c>
      <c r="J27" s="476" t="s">
        <v>303</v>
      </c>
      <c r="K27" s="536" t="s">
        <v>1320</v>
      </c>
      <c r="L27" s="543">
        <v>44622</v>
      </c>
      <c r="M27" s="590"/>
      <c r="N27" s="591"/>
      <c r="O27" s="592"/>
      <c r="P27" s="478">
        <v>44981</v>
      </c>
      <c r="Q27" s="482">
        <v>138</v>
      </c>
      <c r="R27" s="565" t="s">
        <v>79</v>
      </c>
      <c r="S27" s="194" t="s">
        <v>137</v>
      </c>
      <c r="T27" s="171" t="s">
        <v>369</v>
      </c>
      <c r="U27" s="194" t="s">
        <v>45</v>
      </c>
      <c r="V27" s="194"/>
      <c r="W27" s="194" t="s">
        <v>1267</v>
      </c>
      <c r="X27" s="593"/>
      <c r="Y27" s="594"/>
      <c r="Z27" s="490"/>
      <c r="AA27" s="490"/>
      <c r="AB27" s="595"/>
      <c r="AC27" s="593"/>
      <c r="AD27" s="542"/>
      <c r="AE27" s="259"/>
    </row>
    <row r="28" spans="1:44" customFormat="1" ht="45">
      <c r="A28" s="532">
        <v>20182495005</v>
      </c>
      <c r="B28" s="312" t="str">
        <f>VLOOKUP($A28,'Datos Personales'!A:B,2,FALSE)</f>
        <v>CAÑÓN CLAVIJO RUBÉN ENRIQUE</v>
      </c>
      <c r="C28" s="479">
        <f>VLOOKUP(A28,'ESTADOS ESTUDIANTES'!B:L,11,0)</f>
        <v>81754742</v>
      </c>
      <c r="D28" s="479">
        <f>VLOOKUP(A28,'Datos Personales'!$A$2:$M$1188,3,FALSE)</f>
        <v>495</v>
      </c>
      <c r="E28" s="476" t="str">
        <f>VLOOKUP(A28,'ESTADOS ESTUDIANTES'!B:L,8,0)</f>
        <v>recanonc@udistrital.edu.co</v>
      </c>
      <c r="F28" s="476" t="str">
        <f>VLOOKUP(A28,'ESTADOS ESTUDIANTES'!B:L,9,0)</f>
        <v>rubendreamteam@hotmail.com</v>
      </c>
      <c r="G28" s="533" t="s">
        <v>1228</v>
      </c>
      <c r="H28" s="534" t="s">
        <v>46</v>
      </c>
      <c r="I28" s="536" t="s">
        <v>1321</v>
      </c>
      <c r="J28" s="536" t="s">
        <v>222</v>
      </c>
      <c r="K28" s="536" t="s">
        <v>1322</v>
      </c>
      <c r="L28" s="543">
        <v>44256</v>
      </c>
      <c r="M28" s="533" t="s">
        <v>1323</v>
      </c>
      <c r="N28" s="537">
        <v>43964</v>
      </c>
      <c r="O28" s="536" t="s">
        <v>1324</v>
      </c>
      <c r="P28" s="539">
        <v>44981</v>
      </c>
      <c r="Q28" s="536">
        <v>130</v>
      </c>
      <c r="R28" s="565" t="s">
        <v>79</v>
      </c>
      <c r="S28" s="194" t="s">
        <v>112</v>
      </c>
      <c r="T28" s="194" t="s">
        <v>1314</v>
      </c>
      <c r="U28" s="194" t="s">
        <v>45</v>
      </c>
      <c r="V28" s="194"/>
      <c r="W28" s="583">
        <v>44440</v>
      </c>
      <c r="X28" s="583" t="s">
        <v>1325</v>
      </c>
      <c r="Y28" s="596" t="s">
        <v>1326</v>
      </c>
      <c r="Z28" s="490" t="s">
        <v>61</v>
      </c>
      <c r="AA28" s="490" t="s">
        <v>58</v>
      </c>
      <c r="AB28" s="577" t="s">
        <v>48</v>
      </c>
      <c r="AC28" s="567" t="s">
        <v>278</v>
      </c>
      <c r="AD28" s="542"/>
      <c r="AE28" s="259"/>
      <c r="AF28" s="260"/>
      <c r="AG28" s="260"/>
      <c r="AH28" s="260"/>
      <c r="AI28" s="260"/>
      <c r="AJ28" s="260"/>
      <c r="AK28" s="260"/>
      <c r="AL28" s="260"/>
      <c r="AM28" s="260"/>
      <c r="AN28" s="260"/>
      <c r="AO28" s="260"/>
      <c r="AP28" s="260"/>
      <c r="AQ28" s="260"/>
      <c r="AR28" s="260"/>
    </row>
    <row r="29" spans="1:44" s="260" customFormat="1" ht="75">
      <c r="A29" s="532">
        <v>20191395003</v>
      </c>
      <c r="B29" s="312" t="str">
        <f>VLOOKUP($A29,'Datos Personales'!A:B,2,FALSE)</f>
        <v>GONZALEZ HERREÑO DAVID EDUARDO</v>
      </c>
      <c r="C29" s="479">
        <f>VLOOKUP(A29,'ESTADOS ESTUDIANTES'!B:L,11,0)</f>
        <v>1032469491</v>
      </c>
      <c r="D29" s="479">
        <f>VLOOKUP(A29,'Datos Personales'!$A$2:$M$1188,3,FALSE)</f>
        <v>395</v>
      </c>
      <c r="E29" s="476" t="str">
        <f>VLOOKUP(A29,'ESTADOS ESTUDIANTES'!B:L,8,0)</f>
        <v>degonzalezh@correo.udistrital.edu.co</v>
      </c>
      <c r="F29" s="476" t="str">
        <f>VLOOKUP(A29,'ESTADOS ESTUDIANTES'!B:L,9,0)</f>
        <v>davide_245@hotmail.com</v>
      </c>
      <c r="G29" s="533" t="s">
        <v>1228</v>
      </c>
      <c r="H29" s="534" t="s">
        <v>46</v>
      </c>
      <c r="I29" s="536" t="s">
        <v>1327</v>
      </c>
      <c r="J29" s="536" t="s">
        <v>1328</v>
      </c>
      <c r="K29" s="536" t="s">
        <v>977</v>
      </c>
      <c r="L29" s="543">
        <v>44198</v>
      </c>
      <c r="M29" s="533" t="s">
        <v>1273</v>
      </c>
      <c r="N29" s="537"/>
      <c r="O29" s="538"/>
      <c r="P29" s="539">
        <v>44153</v>
      </c>
      <c r="Q29" s="536" t="s">
        <v>1230</v>
      </c>
      <c r="R29" s="565" t="s">
        <v>93</v>
      </c>
      <c r="S29" s="194" t="s">
        <v>83</v>
      </c>
      <c r="T29" s="194" t="s">
        <v>512</v>
      </c>
      <c r="U29" s="194" t="s">
        <v>1226</v>
      </c>
      <c r="V29" s="194"/>
      <c r="W29" s="588">
        <v>44228</v>
      </c>
      <c r="X29" s="557"/>
      <c r="Y29" s="586"/>
      <c r="Z29" s="490"/>
      <c r="AA29" s="490"/>
      <c r="AB29" s="565" t="s">
        <v>240</v>
      </c>
      <c r="AC29" s="194" t="s">
        <v>1284</v>
      </c>
      <c r="AD29" s="542"/>
      <c r="AE29" s="259"/>
    </row>
    <row r="30" spans="1:44" customFormat="1" ht="60">
      <c r="A30" s="532">
        <v>20191395006</v>
      </c>
      <c r="B30" s="312" t="str">
        <f>VLOOKUP($A30,'Datos Personales'!A:B,2,FALSE)</f>
        <v>MONTOYA QUINTERO GERMAN DAVID</v>
      </c>
      <c r="C30" s="479">
        <f>VLOOKUP(A30,'ESTADOS ESTUDIANTES'!B:L,11,0)</f>
        <v>1069304778</v>
      </c>
      <c r="D30" s="479">
        <f>VLOOKUP(A30,'Datos Personales'!$A$2:$M$1188,3,FALSE)</f>
        <v>395</v>
      </c>
      <c r="E30" s="476" t="str">
        <f>VLOOKUP(A30,'ESTADOS ESTUDIANTES'!B:L,8,0)</f>
        <v>gdmontoyaq@correo.udistrital.edu.co</v>
      </c>
      <c r="F30" s="476" t="str">
        <f>VLOOKUP(A30,'ESTADOS ESTUDIANTES'!B:L,9,0)</f>
        <v>gdmontoyaq@gmail.com</v>
      </c>
      <c r="G30" s="533" t="s">
        <v>1228</v>
      </c>
      <c r="H30" s="534" t="s">
        <v>46</v>
      </c>
      <c r="I30" s="536" t="s">
        <v>1329</v>
      </c>
      <c r="J30" s="536" t="s">
        <v>1328</v>
      </c>
      <c r="K30" s="536" t="s">
        <v>1330</v>
      </c>
      <c r="L30" s="543">
        <v>44199</v>
      </c>
      <c r="M30" s="533" t="s">
        <v>1331</v>
      </c>
      <c r="N30" s="537"/>
      <c r="O30" s="538"/>
      <c r="P30" s="550">
        <v>44510</v>
      </c>
      <c r="Q30" s="597">
        <v>130</v>
      </c>
      <c r="R30" s="556" t="s">
        <v>79</v>
      </c>
      <c r="S30" s="194" t="s">
        <v>83</v>
      </c>
      <c r="T30" s="194" t="s">
        <v>512</v>
      </c>
      <c r="U30" s="194" t="s">
        <v>1226</v>
      </c>
      <c r="V30" s="194"/>
      <c r="W30" s="588">
        <v>44228</v>
      </c>
      <c r="X30" s="588"/>
      <c r="Y30" s="598"/>
      <c r="Z30" s="555"/>
      <c r="AA30" s="555"/>
      <c r="AB30" s="599"/>
      <c r="AC30" s="541">
        <v>44835</v>
      </c>
      <c r="AD30" s="542"/>
      <c r="AE30" s="259"/>
      <c r="AF30" s="260"/>
      <c r="AG30" s="260"/>
      <c r="AH30" s="260"/>
      <c r="AI30" s="260"/>
      <c r="AJ30" s="260"/>
      <c r="AK30" s="260"/>
      <c r="AL30" s="260"/>
      <c r="AM30" s="260"/>
      <c r="AN30" s="260"/>
      <c r="AO30" s="260"/>
      <c r="AP30" s="260"/>
      <c r="AQ30" s="260"/>
      <c r="AR30" s="260"/>
    </row>
    <row r="31" spans="1:44" ht="47.25">
      <c r="A31" s="301">
        <v>20191495019</v>
      </c>
      <c r="B31" s="312" t="str">
        <f>VLOOKUP($A31,'Datos Personales'!A:B,2,FALSE)</f>
        <v>ORJUELA VELÁSQUEZ SERGIO DAVID</v>
      </c>
      <c r="C31" s="302">
        <f>VLOOKUP(A31,'ESTADOS ESTUDIANTES'!B:L,11,0)</f>
        <v>1071167689</v>
      </c>
      <c r="D31" s="302">
        <f>VLOOKUP(A31,'ESTADOS ESTUDIANTES'!B:L,3,0)</f>
        <v>495</v>
      </c>
      <c r="E31" s="303" t="str">
        <f>VLOOKUP(A31,'ESTADOS ESTUDIANTES'!B:L,8,0)</f>
        <v>sdorjuelav@udistrital.edu.co</v>
      </c>
      <c r="F31" s="303" t="str">
        <f>VLOOKUP(A31,'ESTADOS ESTUDIANTES'!B:L,9,0)</f>
        <v>sergiorjuela940@gmail.com</v>
      </c>
      <c r="G31" s="533" t="s">
        <v>1228</v>
      </c>
      <c r="H31" s="309" t="s">
        <v>46</v>
      </c>
      <c r="I31" s="310" t="s">
        <v>1332</v>
      </c>
      <c r="J31" s="310" t="s">
        <v>323</v>
      </c>
      <c r="K31" s="303" t="s">
        <v>1333</v>
      </c>
      <c r="L31" s="308" t="s">
        <v>1334</v>
      </c>
      <c r="M31" s="304" t="s">
        <v>1335</v>
      </c>
      <c r="N31" s="311">
        <v>44468</v>
      </c>
      <c r="O31" s="321">
        <v>141</v>
      </c>
      <c r="P31" s="315">
        <v>45323</v>
      </c>
      <c r="Q31" s="316">
        <v>143</v>
      </c>
      <c r="R31" s="522" t="s">
        <v>68</v>
      </c>
      <c r="S31" s="317" t="s">
        <v>460</v>
      </c>
      <c r="T31" s="277" t="s">
        <v>323</v>
      </c>
      <c r="U31" s="277" t="s">
        <v>45</v>
      </c>
      <c r="V31" s="277"/>
      <c r="W31" s="277"/>
      <c r="X31" s="314" t="s">
        <v>1336</v>
      </c>
      <c r="Y31" s="525" t="s">
        <v>1337</v>
      </c>
      <c r="Z31" s="298" t="s">
        <v>61</v>
      </c>
      <c r="AA31" s="298"/>
      <c r="AB31" s="528" t="s">
        <v>842</v>
      </c>
      <c r="AC31" s="237" t="s">
        <v>812</v>
      </c>
      <c r="AD31" s="527" t="s">
        <v>1338</v>
      </c>
      <c r="AE31" s="324"/>
      <c r="AF31" s="325"/>
      <c r="AG31" s="325"/>
      <c r="AH31" s="325"/>
      <c r="AI31" s="325"/>
      <c r="AJ31" s="325"/>
      <c r="AK31" s="325"/>
      <c r="AL31" s="325"/>
      <c r="AM31" s="325"/>
      <c r="AN31" s="325"/>
      <c r="AO31" s="325"/>
      <c r="AP31" s="325"/>
      <c r="AQ31" s="325"/>
      <c r="AR31" s="325"/>
    </row>
    <row r="32" spans="1:44" customFormat="1" ht="75">
      <c r="A32" s="600">
        <v>20191495029</v>
      </c>
      <c r="B32" s="312" t="str">
        <f>VLOOKUP($A32,'Datos Personales'!A:B,2,FALSE)</f>
        <v>VARGAS ANZOLA MANUEL ANTONIO</v>
      </c>
      <c r="C32" s="601">
        <f>VLOOKUP(A32,'ESTADOS ESTUDIANTES'!B:L,11,0)</f>
        <v>79810570</v>
      </c>
      <c r="D32" s="601">
        <f>VLOOKUP(A32,'Datos Personales'!$A$2:$M$1188,3,FALSE)</f>
        <v>495</v>
      </c>
      <c r="E32" s="552" t="str">
        <f>VLOOKUP(A32,'ESTADOS ESTUDIANTES'!B:L,8,0)</f>
        <v>mavargasa@correo.udistrital.edu.co</v>
      </c>
      <c r="F32" s="552" t="str">
        <f>VLOOKUP(A32,'ESTADOS ESTUDIANTES'!B:L,9,0)</f>
        <v>wanuel@gmail.com</v>
      </c>
      <c r="G32" s="602" t="s">
        <v>1228</v>
      </c>
      <c r="H32" s="603" t="s">
        <v>46</v>
      </c>
      <c r="I32" s="552" t="s">
        <v>1339</v>
      </c>
      <c r="J32" s="552" t="s">
        <v>483</v>
      </c>
      <c r="K32" s="551" t="s">
        <v>1198</v>
      </c>
      <c r="L32" s="604">
        <v>44197</v>
      </c>
      <c r="M32" s="602" t="s">
        <v>1313</v>
      </c>
      <c r="N32" s="605">
        <v>43964</v>
      </c>
      <c r="O32" s="551" t="s">
        <v>1340</v>
      </c>
      <c r="P32" s="568">
        <v>44701</v>
      </c>
      <c r="Q32" s="606">
        <v>114</v>
      </c>
      <c r="R32" s="607" t="s">
        <v>79</v>
      </c>
      <c r="S32" s="194" t="s">
        <v>131</v>
      </c>
      <c r="T32" s="171" t="s">
        <v>1286</v>
      </c>
      <c r="U32" s="194" t="s">
        <v>1226</v>
      </c>
      <c r="V32" s="194"/>
      <c r="W32" s="588">
        <v>44228</v>
      </c>
      <c r="X32" s="588"/>
      <c r="Y32" s="608"/>
      <c r="Z32" s="563"/>
      <c r="AA32" s="563"/>
      <c r="AB32" s="609"/>
      <c r="AC32" s="541">
        <v>44866</v>
      </c>
      <c r="AD32" s="542"/>
      <c r="AE32" s="259"/>
      <c r="AF32" s="260"/>
      <c r="AG32" s="260"/>
      <c r="AH32" s="260"/>
      <c r="AI32" s="260"/>
      <c r="AJ32" s="260"/>
      <c r="AK32" s="260"/>
      <c r="AL32" s="260"/>
      <c r="AM32" s="260"/>
      <c r="AN32" s="260"/>
      <c r="AO32" s="260"/>
      <c r="AP32" s="260"/>
      <c r="AQ32" s="260"/>
      <c r="AR32" s="260"/>
    </row>
    <row r="33" spans="1:44" s="260" customFormat="1" ht="30">
      <c r="A33" s="187">
        <v>20192395001</v>
      </c>
      <c r="B33" s="295" t="str">
        <f>VLOOKUP($A33,'Datos Personales'!A:B,2,FALSE)</f>
        <v>MORALES ESCOBAR ANA ALEXANDRA</v>
      </c>
      <c r="C33" s="188">
        <f>VLOOKUP(A33,'ESTADOS ESTUDIANTES'!B:L,11,0)</f>
        <v>52897032</v>
      </c>
      <c r="D33" s="188">
        <f>VLOOKUP(A33,'Datos Personales'!$A$2:$M$1188,3,FALSE)</f>
        <v>395</v>
      </c>
      <c r="E33" s="171" t="str">
        <f>VLOOKUP(A33,'ESTADOS ESTUDIANTES'!B:L,8,0)</f>
        <v>meanaa@udistrital.edu.co</v>
      </c>
      <c r="F33" s="171" t="str">
        <f>VLOOKUP(A33,'ESTADOS ESTUDIANTES'!B:L,9,0)</f>
        <v>analexandra.morales@gmail.com</v>
      </c>
      <c r="G33" s="194" t="s">
        <v>1228</v>
      </c>
      <c r="H33" s="194" t="s">
        <v>46</v>
      </c>
      <c r="I33" s="194" t="s">
        <v>1341</v>
      </c>
      <c r="J33" s="194" t="s">
        <v>1328</v>
      </c>
      <c r="K33" s="194" t="s">
        <v>1342</v>
      </c>
      <c r="L33" s="610">
        <v>44201</v>
      </c>
      <c r="M33" s="194" t="s">
        <v>1273</v>
      </c>
      <c r="N33" s="611"/>
      <c r="O33" s="612"/>
      <c r="P33" s="611">
        <v>44342</v>
      </c>
      <c r="Q33" s="194" t="s">
        <v>1340</v>
      </c>
      <c r="R33" s="234" t="s">
        <v>93</v>
      </c>
      <c r="S33" s="194" t="s">
        <v>83</v>
      </c>
      <c r="T33" s="194" t="s">
        <v>512</v>
      </c>
      <c r="U33" s="194" t="s">
        <v>1226</v>
      </c>
      <c r="V33" s="194"/>
      <c r="W33" s="589">
        <v>44256</v>
      </c>
      <c r="X33" s="557"/>
      <c r="Y33" s="586"/>
      <c r="Z33" s="490"/>
      <c r="AA33" s="490"/>
      <c r="AB33" s="565" t="s">
        <v>240</v>
      </c>
      <c r="AC33" s="557"/>
      <c r="AD33" s="542"/>
      <c r="AE33" s="259"/>
    </row>
    <row r="34" spans="1:44" customFormat="1" ht="30">
      <c r="A34" s="187">
        <v>20202195002</v>
      </c>
      <c r="B34" s="295" t="str">
        <f>VLOOKUP($A34,'Datos Personales'!A:B,2,FALSE)</f>
        <v>CASTILLO CRUZ JUAN DIEGO</v>
      </c>
      <c r="C34" s="188">
        <f>VLOOKUP(A34,'ESTADOS ESTUDIANTES'!B:L,11,0)</f>
        <v>1101759682</v>
      </c>
      <c r="D34" s="188">
        <v>195</v>
      </c>
      <c r="E34" s="171">
        <f>VLOOKUP(A34,'ESTADOS ESTUDIANTES'!B:L,8,0)</f>
        <v>0</v>
      </c>
      <c r="F34" s="171" t="str">
        <f>VLOOKUP(A34,'ESTADOS ESTUDIANTES'!B:L,9,0)</f>
        <v>judcastilloc@correo.udistrital.edu.co</v>
      </c>
      <c r="G34" s="194" t="s">
        <v>1228</v>
      </c>
      <c r="H34" s="194" t="s">
        <v>46</v>
      </c>
      <c r="I34" s="194" t="s">
        <v>1343</v>
      </c>
      <c r="J34" s="171" t="s">
        <v>303</v>
      </c>
      <c r="K34" s="557"/>
      <c r="L34" s="610">
        <v>44562</v>
      </c>
      <c r="M34" s="194" t="s">
        <v>1344</v>
      </c>
      <c r="N34" s="611"/>
      <c r="O34" s="612"/>
      <c r="P34" s="611"/>
      <c r="Q34" s="612"/>
      <c r="R34" s="613"/>
      <c r="S34" s="194" t="s">
        <v>137</v>
      </c>
      <c r="T34" s="194" t="s">
        <v>932</v>
      </c>
      <c r="U34" s="194" t="s">
        <v>45</v>
      </c>
      <c r="V34" s="194"/>
      <c r="W34" s="194" t="s">
        <v>1345</v>
      </c>
      <c r="X34" s="583"/>
      <c r="Y34" s="614"/>
      <c r="Z34" s="555"/>
      <c r="AA34" s="555"/>
      <c r="AB34" s="582"/>
      <c r="AC34" s="567"/>
      <c r="AD34" s="542"/>
      <c r="AE34" s="259"/>
      <c r="AF34" s="260"/>
      <c r="AG34" s="260"/>
      <c r="AH34" s="260"/>
      <c r="AI34" s="260"/>
      <c r="AJ34" s="260"/>
      <c r="AK34" s="260"/>
      <c r="AL34" s="260"/>
      <c r="AM34" s="260"/>
      <c r="AN34" s="260"/>
      <c r="AO34" s="260"/>
      <c r="AP34" s="260"/>
      <c r="AQ34" s="260"/>
      <c r="AR34" s="260"/>
    </row>
    <row r="35" spans="1:44" s="325" customFormat="1" ht="30">
      <c r="A35" s="294">
        <v>20202395016</v>
      </c>
      <c r="B35" s="295" t="str">
        <f>VLOOKUP($A35,'Datos Personales'!A:B,2,FALSE)</f>
        <v>ZAPATA CASTRO SINDY ALEJANDRA</v>
      </c>
      <c r="C35" s="295">
        <f>VLOOKUP(A35,'ESTADOS ESTUDIANTES'!B:L,11,0)</f>
        <v>1032431801</v>
      </c>
      <c r="D35" s="295">
        <f>VLOOKUP(A35,'Datos Personales'!$A$2:$M$1188,3,FALSE)</f>
        <v>395</v>
      </c>
      <c r="E35" s="277" t="str">
        <f>VLOOKUP(A35,'ESTADOS ESTUDIANTES'!B:L,8,0)</f>
        <v>sazapatac@udistrital.edu.co</v>
      </c>
      <c r="F35" s="277" t="str">
        <f>VLOOKUP(A35,'ESTADOS ESTUDIANTES'!B:L,9,0)</f>
        <v>ingeniera.alejandrazapata@gmail.com</v>
      </c>
      <c r="G35" s="194" t="s">
        <v>1228</v>
      </c>
      <c r="H35" s="277" t="s">
        <v>46</v>
      </c>
      <c r="I35" s="277" t="s">
        <v>1346</v>
      </c>
      <c r="J35" s="277" t="s">
        <v>1286</v>
      </c>
      <c r="K35" s="277" t="s">
        <v>977</v>
      </c>
      <c r="L35" s="509">
        <v>44203</v>
      </c>
      <c r="M35" s="277" t="s">
        <v>1273</v>
      </c>
      <c r="N35" s="313"/>
      <c r="O35" s="299"/>
      <c r="P35" s="611">
        <v>45768</v>
      </c>
      <c r="Q35" s="299">
        <v>59</v>
      </c>
      <c r="R35" s="523" t="s">
        <v>87</v>
      </c>
      <c r="S35" s="277" t="s">
        <v>1278</v>
      </c>
      <c r="T35" s="277" t="s">
        <v>1286</v>
      </c>
      <c r="U35" s="277" t="s">
        <v>81</v>
      </c>
      <c r="V35" s="277"/>
      <c r="W35" s="318">
        <v>44256</v>
      </c>
      <c r="X35" s="318"/>
      <c r="Y35" s="526"/>
      <c r="Z35" s="298"/>
      <c r="AA35" s="298"/>
      <c r="AB35" s="529"/>
      <c r="AC35" s="298"/>
      <c r="AD35" s="527"/>
      <c r="AE35" s="324"/>
    </row>
    <row r="36" spans="1:44" ht="60">
      <c r="A36" s="294">
        <v>20181495006</v>
      </c>
      <c r="B36" s="295" t="e">
        <f>VLOOKUP($A36,'Datos Personales'!A:B,2,FALSE)</f>
        <v>#N/A</v>
      </c>
      <c r="C36" s="295">
        <f>VLOOKUP(A36,'ESTADOS ESTUDIANTES'!B:L,11,0)</f>
        <v>1014197348</v>
      </c>
      <c r="D36" s="295">
        <v>495</v>
      </c>
      <c r="E36" s="277" t="str">
        <f>VLOOKUP(A36,'ESTADOS ESTUDIANTES'!B:L,8,0)</f>
        <v>secolmenaresg@udistrital.edu.co</v>
      </c>
      <c r="F36" s="277" t="str">
        <f>VLOOKUP(A36,'ESTADOS ESTUDIANTES'!B:L,9,0)</f>
        <v>azuresynchro@gmail.com</v>
      </c>
      <c r="G36" s="194" t="s">
        <v>1228</v>
      </c>
      <c r="H36" s="277" t="s">
        <v>46</v>
      </c>
      <c r="I36" s="277" t="s">
        <v>1347</v>
      </c>
      <c r="J36" s="277" t="s">
        <v>816</v>
      </c>
      <c r="K36" s="277"/>
      <c r="L36" s="509" t="s">
        <v>1348</v>
      </c>
      <c r="M36" s="527" t="s">
        <v>164</v>
      </c>
      <c r="N36" s="189">
        <v>43964</v>
      </c>
      <c r="O36" s="191">
        <v>91.3</v>
      </c>
      <c r="P36" s="189">
        <v>45323</v>
      </c>
      <c r="Q36" s="191">
        <v>146</v>
      </c>
      <c r="R36" s="615" t="s">
        <v>68</v>
      </c>
      <c r="S36" s="277" t="s">
        <v>164</v>
      </c>
      <c r="T36" s="277" t="s">
        <v>816</v>
      </c>
      <c r="U36" s="277" t="s">
        <v>45</v>
      </c>
      <c r="V36" s="277"/>
      <c r="W36" s="277" t="s">
        <v>1349</v>
      </c>
      <c r="X36" s="314" t="s">
        <v>1350</v>
      </c>
      <c r="Y36" s="525" t="s">
        <v>1351</v>
      </c>
      <c r="Z36" s="298" t="s">
        <v>47</v>
      </c>
      <c r="AA36" s="298"/>
      <c r="AB36" s="528"/>
      <c r="AC36" s="237" t="s">
        <v>844</v>
      </c>
      <c r="AD36" s="616" t="s">
        <v>1352</v>
      </c>
      <c r="AE36" s="324"/>
      <c r="AF36" s="325"/>
      <c r="AG36" s="325"/>
      <c r="AH36" s="325"/>
      <c r="AI36" s="325"/>
      <c r="AJ36" s="325"/>
      <c r="AK36" s="325"/>
      <c r="AL36" s="325"/>
      <c r="AM36" s="325"/>
      <c r="AN36" s="325"/>
      <c r="AO36" s="325"/>
      <c r="AP36" s="325"/>
      <c r="AQ36" s="325"/>
      <c r="AR36" s="325"/>
    </row>
    <row r="37" spans="1:44" ht="105">
      <c r="A37" s="294">
        <v>20202495009</v>
      </c>
      <c r="B37" s="295" t="str">
        <f>VLOOKUP($A37,'Datos Personales'!A:B,2,FALSE)</f>
        <v>GONZALEZ ANGARITA BREITNER ENRIQUE</v>
      </c>
      <c r="C37" s="295">
        <f>VLOOKUP(A37,'ESTADOS ESTUDIANTES'!B:L,11,0)</f>
        <v>1065581118</v>
      </c>
      <c r="D37" s="295">
        <v>495</v>
      </c>
      <c r="E37" s="277" t="str">
        <f>VLOOKUP(A37,'ESTADOS ESTUDIANTES'!B:L,8,0)</f>
        <v>begonzaleza@udistrital.edu.co</v>
      </c>
      <c r="F37" s="277" t="str">
        <f>VLOOKUP(A37,'ESTADOS ESTUDIANTES'!B:L,9,0)</f>
        <v>breinergonza@hotmail.com</v>
      </c>
      <c r="G37" s="194" t="s">
        <v>1228</v>
      </c>
      <c r="H37" s="277" t="s">
        <v>46</v>
      </c>
      <c r="I37" s="277" t="s">
        <v>1353</v>
      </c>
      <c r="J37" s="277" t="s">
        <v>1354</v>
      </c>
      <c r="K37" s="277" t="s">
        <v>1355</v>
      </c>
      <c r="L37" s="509" t="s">
        <v>1356</v>
      </c>
      <c r="M37" s="617" t="s">
        <v>1357</v>
      </c>
      <c r="N37" s="313"/>
      <c r="O37" s="299"/>
      <c r="P37" s="618">
        <v>44959</v>
      </c>
      <c r="Q37" s="527">
        <v>116</v>
      </c>
      <c r="R37" s="523" t="s">
        <v>79</v>
      </c>
      <c r="S37" s="277" t="s">
        <v>112</v>
      </c>
      <c r="T37" s="527" t="s">
        <v>1314</v>
      </c>
      <c r="U37" s="277" t="s">
        <v>45</v>
      </c>
      <c r="V37" s="277" t="s">
        <v>1358</v>
      </c>
      <c r="W37" s="277" t="s">
        <v>355</v>
      </c>
      <c r="X37" s="314" t="s">
        <v>1359</v>
      </c>
      <c r="Y37" s="619" t="s">
        <v>1360</v>
      </c>
      <c r="Z37" s="620"/>
      <c r="AA37" s="620" t="s">
        <v>99</v>
      </c>
      <c r="AB37" s="621"/>
      <c r="AC37" s="237"/>
      <c r="AD37" s="527" t="s">
        <v>1361</v>
      </c>
      <c r="AE37" s="324"/>
      <c r="AF37" s="325"/>
      <c r="AG37" s="325"/>
      <c r="AH37" s="325"/>
      <c r="AI37" s="325"/>
      <c r="AJ37" s="325"/>
      <c r="AK37" s="325"/>
      <c r="AL37" s="325"/>
      <c r="AM37" s="325"/>
      <c r="AN37" s="325"/>
      <c r="AO37" s="325"/>
      <c r="AP37" s="325"/>
      <c r="AQ37" s="325"/>
      <c r="AR37" s="325"/>
    </row>
    <row r="38" spans="1:44" ht="30">
      <c r="A38" s="187">
        <v>20221495012</v>
      </c>
      <c r="B38" s="295" t="str">
        <f>VLOOKUP($A38,'Datos Personales'!A:B,2,FALSE)</f>
        <v>SALAZAR ORTIZ JAIVER ESTIVEN</v>
      </c>
      <c r="C38" s="188">
        <f>VLOOKUP(A38,'ESTADOS ESTUDIANTES'!B:L,11,0)</f>
        <v>1010226431</v>
      </c>
      <c r="D38" s="188">
        <v>495</v>
      </c>
      <c r="E38" s="171" t="str">
        <f>VLOOKUP(A38,'ESTADOS ESTUDIANTES'!B:L,8,0)</f>
        <v>jesalazaro@udistrital.edu.co</v>
      </c>
      <c r="F38" s="277" t="str">
        <f>VLOOKUP(A38,'ESTADOS ESTUDIANTES'!B:L,9,0)</f>
        <v>salazar_64@live.com</v>
      </c>
      <c r="G38" s="194" t="s">
        <v>1228</v>
      </c>
      <c r="H38" s="194" t="s">
        <v>46</v>
      </c>
      <c r="I38" s="194" t="s">
        <v>1362</v>
      </c>
      <c r="J38" s="171" t="s">
        <v>1363</v>
      </c>
      <c r="K38" s="194" t="s">
        <v>917</v>
      </c>
      <c r="L38" s="610" t="s">
        <v>1364</v>
      </c>
      <c r="M38" s="527"/>
      <c r="N38" s="241">
        <v>45323</v>
      </c>
      <c r="O38" s="243">
        <v>142</v>
      </c>
      <c r="P38" s="241">
        <v>45870</v>
      </c>
      <c r="Q38" s="243">
        <v>149</v>
      </c>
      <c r="R38" s="524" t="s">
        <v>68</v>
      </c>
      <c r="S38" s="194" t="s">
        <v>143</v>
      </c>
      <c r="T38" s="527" t="s">
        <v>1365</v>
      </c>
      <c r="U38" s="194" t="s">
        <v>59</v>
      </c>
      <c r="V38" s="527"/>
      <c r="W38" s="194"/>
      <c r="X38" s="583"/>
      <c r="Y38" s="614"/>
      <c r="Z38" s="555"/>
      <c r="AA38" s="555"/>
      <c r="AB38" s="582"/>
      <c r="AC38" s="567"/>
      <c r="AD38" s="527"/>
      <c r="AE38" s="324"/>
      <c r="AF38" s="325"/>
      <c r="AG38" s="325"/>
      <c r="AH38" s="325"/>
      <c r="AI38" s="325"/>
      <c r="AJ38" s="325"/>
      <c r="AK38" s="325"/>
      <c r="AL38" s="325"/>
      <c r="AM38" s="325"/>
      <c r="AN38" s="325"/>
      <c r="AO38" s="325"/>
      <c r="AP38" s="325"/>
      <c r="AQ38" s="325"/>
      <c r="AR38" s="325"/>
    </row>
    <row r="39" spans="1:44" ht="30">
      <c r="A39" s="187">
        <v>20221495005</v>
      </c>
      <c r="B39" s="295" t="str">
        <f>VLOOKUP($A39,'Datos Personales'!A:B,2,FALSE)</f>
        <v>FORERO CASTRO DIEGO DANIEL</v>
      </c>
      <c r="C39" s="188">
        <f>VLOOKUP(A39,'ESTADOS ESTUDIANTES'!B:L,11,0)</f>
        <v>1010219920</v>
      </c>
      <c r="D39" s="188"/>
      <c r="E39" s="171" t="str">
        <f>VLOOKUP(A39,'ESTADOS ESTUDIANTES'!B:L,8,0)</f>
        <v>ddforeroc@udistrital.edu.co</v>
      </c>
      <c r="F39" s="171" t="str">
        <f>VLOOKUP(A39,'ESTADOS ESTUDIANTES'!B:L,9,0)</f>
        <v>ddforeroc@gmail.com</v>
      </c>
      <c r="G39" s="194" t="s">
        <v>1228</v>
      </c>
      <c r="H39" s="194" t="s">
        <v>46</v>
      </c>
      <c r="I39" s="194" t="s">
        <v>1366</v>
      </c>
      <c r="J39" s="171" t="s">
        <v>1363</v>
      </c>
      <c r="K39" s="194" t="s">
        <v>917</v>
      </c>
      <c r="L39" s="610" t="s">
        <v>1364</v>
      </c>
      <c r="M39" s="527"/>
      <c r="N39" s="611"/>
      <c r="O39" s="612"/>
      <c r="P39" s="241">
        <v>45870</v>
      </c>
      <c r="Q39" s="243">
        <v>80</v>
      </c>
      <c r="R39" s="524" t="s">
        <v>79</v>
      </c>
      <c r="S39" s="194" t="s">
        <v>143</v>
      </c>
      <c r="T39" s="527" t="s">
        <v>1365</v>
      </c>
      <c r="U39" s="194" t="s">
        <v>59</v>
      </c>
      <c r="V39" s="527"/>
      <c r="W39" s="194"/>
      <c r="X39" s="583"/>
      <c r="Y39" s="622"/>
      <c r="Z39" s="490"/>
      <c r="AA39" s="490"/>
      <c r="AB39" s="577"/>
      <c r="AC39" s="567"/>
      <c r="AD39" s="527"/>
      <c r="AE39" s="324"/>
      <c r="AF39" s="325"/>
      <c r="AG39" s="325"/>
      <c r="AH39" s="325"/>
      <c r="AI39" s="325"/>
      <c r="AJ39" s="325"/>
      <c r="AK39" s="325"/>
      <c r="AL39" s="325"/>
      <c r="AM39" s="325"/>
      <c r="AN39" s="325"/>
      <c r="AO39" s="325"/>
      <c r="AP39" s="325"/>
      <c r="AQ39" s="325"/>
      <c r="AR39" s="325"/>
    </row>
    <row r="40" spans="1:44">
      <c r="A40" s="323"/>
      <c r="B40" s="510"/>
      <c r="C40" s="323"/>
      <c r="D40" s="323"/>
      <c r="E40" s="323"/>
      <c r="F40" s="323"/>
      <c r="G40" s="323"/>
      <c r="H40" s="323"/>
      <c r="I40" s="323"/>
      <c r="J40" s="323"/>
      <c r="K40" s="323"/>
      <c r="L40" s="323"/>
      <c r="M40" s="323"/>
      <c r="N40" s="323"/>
      <c r="O40" s="323"/>
      <c r="P40" s="323"/>
      <c r="Q40" s="323"/>
      <c r="R40" s="323"/>
      <c r="S40" s="323"/>
      <c r="T40" s="323"/>
      <c r="U40" s="323"/>
      <c r="V40" s="323"/>
      <c r="W40" s="323"/>
      <c r="X40" s="323"/>
      <c r="AC40" s="323"/>
      <c r="AD40" s="323"/>
    </row>
    <row r="41" spans="1:44">
      <c r="R41" s="322"/>
    </row>
    <row r="42" spans="1:44">
      <c r="R42" s="322"/>
    </row>
    <row r="43" spans="1:44">
      <c r="R43" s="322"/>
    </row>
    <row r="44" spans="1:44">
      <c r="R44" s="322"/>
    </row>
    <row r="45" spans="1:44">
      <c r="R45" s="322"/>
    </row>
    <row r="46" spans="1:44">
      <c r="R46" s="322"/>
    </row>
    <row r="47" spans="1:44">
      <c r="R47" s="322"/>
    </row>
    <row r="48" spans="1:44">
      <c r="R48" s="322"/>
    </row>
    <row r="49" spans="18:18">
      <c r="R49" s="322"/>
    </row>
    <row r="50" spans="18:18">
      <c r="R50" s="322"/>
    </row>
    <row r="51" spans="18:18">
      <c r="R51" s="322"/>
    </row>
    <row r="52" spans="18:18">
      <c r="R52" s="322"/>
    </row>
    <row r="53" spans="18:18">
      <c r="R53" s="322"/>
    </row>
    <row r="54" spans="18:18">
      <c r="R54" s="322"/>
    </row>
    <row r="55" spans="18:18">
      <c r="R55" s="322"/>
    </row>
    <row r="56" spans="18:18">
      <c r="R56" s="322"/>
    </row>
    <row r="57" spans="18:18">
      <c r="R57" s="322"/>
    </row>
    <row r="58" spans="18:18">
      <c r="R58" s="322"/>
    </row>
    <row r="59" spans="18:18">
      <c r="R59" s="322"/>
    </row>
    <row r="60" spans="18:18">
      <c r="R60" s="322"/>
    </row>
    <row r="61" spans="18:18">
      <c r="R61" s="322"/>
    </row>
  </sheetData>
  <autoFilter ref="A1:AE1" xr:uid="{0093B0F1-21FA-4FED-98BF-B7D0E8EBDFE7}"/>
  <dataValidations count="6">
    <dataValidation type="list" allowBlank="1" showInputMessage="1" showErrorMessage="1" sqref="J30:J34 T31:T35 J2:K29 T2:T29" xr:uid="{00000000-0002-0000-0200-000001000000}">
      <formula1>"Abel Antonio Navarrete,Adolfo Jaramillo,Adriana Vega,Alberto Acosta,Alberto Sarcina Brigada,Alejandro Paolo Daza Corredor,Alexandra Abuchar,Alvaro Enrique Ortiz Davila,Alvaro Espinel Ortega,Alvaro Ortiz,Alvaro Sanabria Duque,Ana Maria Peña Reyes"</formula1>
    </dataValidation>
    <dataValidation type="list" allowBlank="1" showInputMessage="1" showErrorMessage="1" sqref="R36 R38" xr:uid="{2BCFEF61-55A2-4939-8FB8-FB1763F6A04E}">
      <formula1>"C2,C1,B2,B1,A2,A1"</formula1>
    </dataValidation>
    <dataValidation type="list" allowBlank="1" showInputMessage="1" showErrorMessage="1" sqref="AA2:AA39" xr:uid="{00000000-0002-0000-0200-000005000000}">
      <formula1>"Revista A1,Revista A2,Libro de investigación,Revista B,capítulo de un libro,Revista C,Ponencia,N/A"</formula1>
    </dataValidation>
    <dataValidation type="list" allowBlank="1" showInputMessage="1" showErrorMessage="1" sqref="Z2:Z39" xr:uid="{00000000-0002-0000-0200-000004000000}">
      <formula1>"Enviado,Publicado,Por publicar"</formula1>
    </dataValidation>
    <dataValidation type="list" allowBlank="1" showInputMessage="1" showErrorMessage="1" sqref="H2:H39" xr:uid="{00000000-0002-0000-0200-000000000000}">
      <formula1>"Profundización,Investigación"</formula1>
    </dataValidation>
    <dataValidation allowBlank="1" showInputMessage="1" showErrorMessage="1" sqref="V1:V1048576" xr:uid="{B187EBEB-709B-4CBD-A8EE-9087151E3DEF}"/>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19B2F4EE-216A-4926-AE38-AE3ECB75504E}">
          <x14:formula1>
            <xm:f>Listas!$N$2:$N$5</xm:f>
          </x14:formula1>
          <xm:sqref>U1:U1048576</xm:sqref>
        </x14:dataValidation>
        <x14:dataValidation type="list" allowBlank="1" showInputMessage="1" showErrorMessage="1" xr:uid="{37E71AE3-3B54-44D9-9B5E-0F021166DB68}">
          <x14:formula1>
            <xm:f>'DIRECTOR - REVISOR - JURADO'!$A$3:$A$194</xm:f>
          </x14:formula1>
          <xm:sqref>J35</xm:sqref>
        </x14:dataValidation>
        <x14:dataValidation type="list" allowBlank="1" showInputMessage="1" showErrorMessage="1" xr:uid="{9B54078F-8629-41D5-A423-9446C27EF6D2}">
          <x14:formula1>
            <xm:f>Listas!$A:$A</xm:f>
          </x14:formula1>
          <xm:sqref>S62:S1048576 S1:S39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BI339"/>
  <sheetViews>
    <sheetView showGridLines="0" workbookViewId="0">
      <pane ySplit="1" topLeftCell="A119" activePane="bottomLeft" state="frozen"/>
      <selection pane="bottomLeft" activeCell="A133" sqref="A133"/>
    </sheetView>
  </sheetViews>
  <sheetFormatPr baseColWidth="10" defaultColWidth="11.296875" defaultRowHeight="15"/>
  <cols>
    <col min="1" max="1" width="12" style="2" bestFit="1" customWidth="1"/>
    <col min="2" max="2" width="23.8984375" style="2" customWidth="1"/>
    <col min="3" max="3" width="8.296875" style="2" bestFit="1" customWidth="1"/>
    <col min="4" max="4" width="7.3984375" style="2" bestFit="1" customWidth="1"/>
    <col min="5" max="5" width="26.19921875" style="2" bestFit="1" customWidth="1"/>
    <col min="6" max="6" width="28.296875" style="2" customWidth="1"/>
    <col min="7" max="7" width="7.296875" style="2" bestFit="1" customWidth="1"/>
    <col min="8" max="8" width="10.19921875" style="2" bestFit="1" customWidth="1"/>
    <col min="9" max="9" width="37.09765625" style="2" customWidth="1"/>
    <col min="10" max="11" width="14.69921875" style="2" customWidth="1"/>
    <col min="12" max="12" width="10.796875" style="2" bestFit="1" customWidth="1"/>
    <col min="13" max="13" width="12.8984375" style="2" bestFit="1" customWidth="1"/>
    <col min="14" max="14" width="10.796875" style="2" bestFit="1" customWidth="1"/>
    <col min="15" max="15" width="12.796875" style="2" bestFit="1" customWidth="1"/>
    <col min="16" max="16" width="11.796875" style="77" bestFit="1" customWidth="1"/>
    <col min="17" max="17" width="11" style="2" bestFit="1" customWidth="1"/>
    <col min="18" max="18" width="13.59765625" style="2" bestFit="1" customWidth="1"/>
    <col min="19" max="19" width="5.19921875" style="2" bestFit="1" customWidth="1"/>
    <col min="20" max="21" width="16.09765625" style="2" bestFit="1" customWidth="1"/>
    <col min="22" max="22" width="17.796875" style="2" bestFit="1" customWidth="1"/>
    <col min="23" max="23" width="13.8984375" style="6" bestFit="1" customWidth="1"/>
    <col min="24" max="24" width="8.59765625" style="92" customWidth="1"/>
    <col min="25" max="25" width="14.5" style="2" bestFit="1" customWidth="1"/>
    <col min="26" max="26" width="16.09765625" style="2" bestFit="1" customWidth="1"/>
    <col min="27" max="27" width="19.19921875" style="2" customWidth="1"/>
    <col min="28" max="28" width="19.796875" style="2" customWidth="1"/>
    <col min="29" max="29" width="8.59765625" style="2" customWidth="1"/>
    <col min="30" max="30" width="10.5" style="2" customWidth="1"/>
    <col min="31" max="31" width="14.5" style="2" bestFit="1" customWidth="1"/>
    <col min="32" max="32" width="14.69921875" style="2" bestFit="1" customWidth="1"/>
    <col min="33" max="33" width="14.69921875" style="2" customWidth="1"/>
    <col min="34" max="34" width="8.59765625" style="2" customWidth="1"/>
    <col min="35" max="35" width="8.69921875" style="2" customWidth="1"/>
    <col min="36" max="36" width="7.296875" style="2" customWidth="1"/>
    <col min="37" max="37" width="7.8984375" style="23" customWidth="1"/>
    <col min="38" max="38" width="13.19921875" style="2" bestFit="1" customWidth="1"/>
    <col min="39" max="39" width="14.69921875" style="2" customWidth="1"/>
    <col min="40" max="42" width="12.8984375" style="2" bestFit="1" customWidth="1"/>
    <col min="43" max="43" width="9.796875" style="168" customWidth="1"/>
    <col min="44" max="44" width="12.8984375" style="2" bestFit="1" customWidth="1"/>
    <col min="45" max="45" width="7.5" style="2" bestFit="1" customWidth="1"/>
    <col min="46" max="46" width="12.8984375" style="2" bestFit="1" customWidth="1"/>
    <col min="47" max="47" width="12.5" style="2" bestFit="1" customWidth="1"/>
    <col min="48" max="49" width="12.8984375" style="2" bestFit="1" customWidth="1"/>
    <col min="50" max="50" width="12.19921875" style="2" bestFit="1" customWidth="1"/>
    <col min="51" max="51" width="12.59765625" style="2" bestFit="1" customWidth="1"/>
    <col min="52" max="52" width="7.8984375" style="2" bestFit="1" customWidth="1"/>
    <col min="53" max="53" width="15.69921875" style="2" customWidth="1"/>
    <col min="54" max="54" width="14.69921875" style="2" customWidth="1"/>
    <col min="55" max="55" width="12.8984375" style="2" bestFit="1" customWidth="1"/>
    <col min="56" max="60" width="11.296875" style="2" customWidth="1"/>
    <col min="61" max="61" width="15.69921875" style="2" bestFit="1" customWidth="1"/>
    <col min="62" max="62" width="11.296875" style="2" customWidth="1"/>
    <col min="63" max="16384" width="11.296875" style="2"/>
  </cols>
  <sheetData>
    <row r="1" spans="1:61" s="95" customFormat="1" ht="71.25">
      <c r="A1" s="90" t="s">
        <v>0</v>
      </c>
      <c r="B1" s="93" t="s">
        <v>166</v>
      </c>
      <c r="C1" s="90" t="s">
        <v>167</v>
      </c>
      <c r="D1" s="90" t="s">
        <v>168</v>
      </c>
      <c r="E1" s="93" t="s">
        <v>7</v>
      </c>
      <c r="F1" s="93" t="s">
        <v>8</v>
      </c>
      <c r="G1" s="93" t="s">
        <v>4</v>
      </c>
      <c r="H1" s="90" t="s">
        <v>170</v>
      </c>
      <c r="I1" s="90" t="s">
        <v>171</v>
      </c>
      <c r="J1" s="90" t="s">
        <v>172</v>
      </c>
      <c r="K1" s="90" t="s">
        <v>173</v>
      </c>
      <c r="L1" s="90" t="s">
        <v>184</v>
      </c>
      <c r="M1" s="90" t="s">
        <v>185</v>
      </c>
      <c r="N1" s="90" t="s">
        <v>186</v>
      </c>
      <c r="O1" s="90" t="s">
        <v>187</v>
      </c>
      <c r="P1" s="94" t="s">
        <v>188</v>
      </c>
      <c r="Q1" s="90" t="s">
        <v>1367</v>
      </c>
      <c r="R1" s="90" t="s">
        <v>1368</v>
      </c>
      <c r="S1" s="90" t="s">
        <v>175</v>
      </c>
      <c r="T1" s="90" t="s">
        <v>1369</v>
      </c>
      <c r="U1" s="90" t="s">
        <v>1370</v>
      </c>
      <c r="V1" s="90" t="s">
        <v>1371</v>
      </c>
      <c r="W1" s="90" t="s">
        <v>1372</v>
      </c>
      <c r="X1" s="90" t="s">
        <v>1373</v>
      </c>
      <c r="Y1" s="90" t="s">
        <v>1374</v>
      </c>
      <c r="Z1" s="90" t="s">
        <v>1375</v>
      </c>
      <c r="AA1" s="90" t="s">
        <v>1376</v>
      </c>
      <c r="AB1" s="90" t="s">
        <v>1377</v>
      </c>
      <c r="AC1" s="90" t="s">
        <v>1378</v>
      </c>
      <c r="AD1" s="90" t="s">
        <v>1379</v>
      </c>
      <c r="AE1" s="90" t="s">
        <v>1380</v>
      </c>
      <c r="AF1" s="90" t="s">
        <v>1381</v>
      </c>
      <c r="AG1" s="90" t="s">
        <v>1382</v>
      </c>
      <c r="AH1" s="90" t="s">
        <v>1383</v>
      </c>
      <c r="AI1" s="90" t="s">
        <v>1384</v>
      </c>
      <c r="AJ1" s="90" t="s">
        <v>1385</v>
      </c>
      <c r="AK1" s="90" t="s">
        <v>1386</v>
      </c>
      <c r="AL1" s="90" t="s">
        <v>205</v>
      </c>
      <c r="AM1" s="90" t="s">
        <v>1387</v>
      </c>
      <c r="AN1" s="90" t="s">
        <v>1388</v>
      </c>
      <c r="AO1" s="90" t="s">
        <v>1389</v>
      </c>
      <c r="AP1" s="90" t="s">
        <v>1390</v>
      </c>
      <c r="AQ1" s="38" t="s">
        <v>1391</v>
      </c>
      <c r="AR1" s="38" t="s">
        <v>211</v>
      </c>
      <c r="AS1" s="90" t="s">
        <v>1392</v>
      </c>
      <c r="AT1" s="90" t="s">
        <v>213</v>
      </c>
      <c r="AU1" s="90" t="s">
        <v>1393</v>
      </c>
      <c r="AV1" s="90" t="s">
        <v>1394</v>
      </c>
      <c r="AW1" s="90" t="s">
        <v>1395</v>
      </c>
      <c r="AX1" s="90" t="s">
        <v>1396</v>
      </c>
      <c r="AY1" s="90" t="s">
        <v>1397</v>
      </c>
      <c r="AZ1" s="90" t="s">
        <v>1398</v>
      </c>
      <c r="BA1" s="90" t="s">
        <v>1399</v>
      </c>
      <c r="BB1" s="90" t="s">
        <v>1400</v>
      </c>
      <c r="BC1" s="90" t="s">
        <v>217</v>
      </c>
      <c r="BD1" s="90" t="s">
        <v>1401</v>
      </c>
      <c r="BE1" s="90" t="s">
        <v>1402</v>
      </c>
      <c r="BF1" s="90" t="s">
        <v>1403</v>
      </c>
      <c r="BG1" s="90" t="s">
        <v>200</v>
      </c>
      <c r="BH1" s="90" t="s">
        <v>1404</v>
      </c>
      <c r="BI1" s="90" t="s">
        <v>216</v>
      </c>
    </row>
    <row r="2" spans="1:61" s="95" customFormat="1" ht="30">
      <c r="A2" s="195">
        <v>20092295001</v>
      </c>
      <c r="B2" s="19" t="str">
        <f>VLOOKUP(A2,'ESTADOS ESTUDIANTES'!B:L,2,0)</f>
        <v>ARANGO BRICENO MANUEL IGNACIO</v>
      </c>
      <c r="C2" s="19">
        <f>VLOOKUP(A2,'ESTADOS ESTUDIANTES'!B:L,11,0)</f>
        <v>80834138</v>
      </c>
      <c r="D2" s="23">
        <f>VLOOKUP(A2,'ESTADOS ESTUDIANTES'!B:L,3,0)</f>
        <v>295</v>
      </c>
      <c r="E2" s="19" t="str">
        <f>VLOOKUP(A2,'ESTADOS ESTUDIANTES'!B:L,8,0)</f>
        <v>miarangob@correo.udistrital.edu.co</v>
      </c>
      <c r="F2" s="19" t="str">
        <f>VLOOKUP(A2,'ESTADOS ESTUDIANTES'!B:L,9,0)</f>
        <v>miarangob@gmail.com</v>
      </c>
      <c r="G2" s="19" t="str">
        <f>VLOOKUP(A2,'ESTADOS ESTUDIANTES'!B:L,5,0)</f>
        <v>X</v>
      </c>
      <c r="H2" s="18" t="s">
        <v>60</v>
      </c>
      <c r="I2" s="23"/>
      <c r="J2" s="210" t="s">
        <v>422</v>
      </c>
      <c r="K2" s="23"/>
      <c r="L2" s="96"/>
      <c r="M2" s="97"/>
      <c r="N2" s="96">
        <v>44097</v>
      </c>
      <c r="O2" s="97">
        <v>85.05</v>
      </c>
      <c r="P2" s="98" t="s">
        <v>79</v>
      </c>
      <c r="Q2" s="18"/>
      <c r="R2" s="96"/>
      <c r="S2" s="23"/>
      <c r="T2" s="23"/>
      <c r="U2" s="96"/>
      <c r="V2" s="96"/>
      <c r="W2" s="23"/>
      <c r="X2" s="91">
        <f t="shared" ref="X2:X33" ca="1" si="0">IF(U2="",NETWORKDAYS.INTL(Y2,TODAY(),1),0)</f>
        <v>33055</v>
      </c>
      <c r="Y2" s="99"/>
      <c r="Z2" s="23"/>
      <c r="AA2" s="96"/>
      <c r="AB2" s="96"/>
      <c r="AC2" s="23"/>
      <c r="AD2" s="21">
        <f t="shared" ref="AD2:AD33" ca="1" si="1">IF(AA2="",NETWORKDAYS.INTL(AE2,TODAY(),1),0)</f>
        <v>33055</v>
      </c>
      <c r="AE2" s="99"/>
      <c r="AF2" s="96"/>
      <c r="AG2" s="23"/>
      <c r="AH2" s="96"/>
      <c r="AI2" s="96"/>
      <c r="AJ2" s="19">
        <v>0</v>
      </c>
      <c r="AK2" s="23">
        <f ca="1">IF(AH2="",NETWORKDAYS.INTL(AL2,TODAY(),1),0)</f>
        <v>33055</v>
      </c>
      <c r="AL2" s="23"/>
      <c r="AM2" s="23"/>
      <c r="AN2" s="96"/>
      <c r="AO2" s="96"/>
      <c r="AP2" s="23"/>
      <c r="AQ2" s="162">
        <f t="shared" ref="AQ2:AQ33" ca="1" si="2">IF(AN2="",NETWORKDAYS.INTL(AR2,TODAY(),1),0)</f>
        <v>33055</v>
      </c>
      <c r="AR2" s="161"/>
      <c r="AS2" s="18"/>
      <c r="AT2" s="21"/>
      <c r="AU2" s="23"/>
      <c r="AV2" s="23"/>
      <c r="AW2" s="23"/>
      <c r="AX2" s="23"/>
      <c r="AY2" s="23"/>
      <c r="AZ2" s="23"/>
      <c r="BA2" s="23"/>
      <c r="BB2" s="23"/>
      <c r="BC2" s="23"/>
      <c r="BD2" s="100" t="str">
        <f t="shared" ref="BD2:BD65" si="3">IF(OR($G2="A",$G2="D",$G2="P",$G2="V"),J2,"")</f>
        <v/>
      </c>
      <c r="BE2" s="100" t="str">
        <f t="shared" ref="BE2:BE65" si="4">IF(OR($G2="A",$G2="D",$G2="P",$G2="V"),T2,"")</f>
        <v/>
      </c>
      <c r="BF2" s="100" t="str">
        <f t="shared" ref="BF2:BF65" si="5">IF(OR($G2="A",$G2="D",$G2="P",$G2="V"),Z2,"")</f>
        <v/>
      </c>
      <c r="BG2" s="100" t="str">
        <f t="shared" ref="BG2:BG65" si="6">IF(OR($G2="A",$G2="D",$G2="P",$G2="V"),AM2,"")</f>
        <v/>
      </c>
      <c r="BH2" s="100" t="str">
        <f t="shared" ref="BH2:BH65" si="7">IF(OR($G2="A",$G2="D",$G2="P",$G2="V"),AG2,"")</f>
        <v/>
      </c>
      <c r="BI2" s="23"/>
    </row>
    <row r="3" spans="1:61" s="95" customFormat="1">
      <c r="A3" s="195">
        <v>20101295015</v>
      </c>
      <c r="B3" s="19" t="str">
        <f>VLOOKUP(A3,'ESTADOS ESTUDIANTES'!B:L,2,0)</f>
        <v>SIERRA PALACIOS EDGAR AUGUSTO</v>
      </c>
      <c r="C3" s="19">
        <f>VLOOKUP(A3,'ESTADOS ESTUDIANTES'!B:L,11,0)</f>
        <v>79880563</v>
      </c>
      <c r="D3" s="23">
        <f>VLOOKUP(A3,'ESTADOS ESTUDIANTES'!B:L,3,0)</f>
        <v>295</v>
      </c>
      <c r="E3" s="19" t="str">
        <f>VLOOKUP(A3,'ESTADOS ESTUDIANTES'!B:L,8,0)</f>
        <v>edasierrap@correo.udistrital.edu.co</v>
      </c>
      <c r="F3" s="19" t="str">
        <f>VLOOKUP(A3,'ESTADOS ESTUDIANTES'!B:L,9,0)</f>
        <v>easierrap@yahoo.es</v>
      </c>
      <c r="G3" s="19" t="str">
        <f>VLOOKUP(A3,'ESTADOS ESTUDIANTES'!B:L,5,0)</f>
        <v>X</v>
      </c>
      <c r="H3" s="18" t="s">
        <v>60</v>
      </c>
      <c r="I3" s="23"/>
      <c r="J3" s="23"/>
      <c r="K3" s="23"/>
      <c r="L3" s="96"/>
      <c r="M3" s="97"/>
      <c r="N3" s="96">
        <v>43964</v>
      </c>
      <c r="O3" s="97">
        <v>76.52</v>
      </c>
      <c r="P3" s="98" t="s">
        <v>79</v>
      </c>
      <c r="Q3" s="18"/>
      <c r="R3" s="96"/>
      <c r="S3" s="23"/>
      <c r="T3" s="23"/>
      <c r="U3" s="96"/>
      <c r="V3" s="96"/>
      <c r="W3" s="23"/>
      <c r="X3" s="91">
        <f t="shared" ca="1" si="0"/>
        <v>33055</v>
      </c>
      <c r="Y3" s="99"/>
      <c r="Z3" s="23"/>
      <c r="AA3" s="96"/>
      <c r="AB3" s="96"/>
      <c r="AC3" s="23"/>
      <c r="AD3" s="21">
        <f t="shared" ca="1" si="1"/>
        <v>33055</v>
      </c>
      <c r="AE3" s="99"/>
      <c r="AF3" s="96"/>
      <c r="AG3" s="23"/>
      <c r="AH3" s="96"/>
      <c r="AI3" s="96"/>
      <c r="AJ3" s="19">
        <v>0</v>
      </c>
      <c r="AK3" s="23">
        <f ca="1">IF(AH3="",NETWORKDAYS.INTL(AL3,TODAY(),1),0)</f>
        <v>33055</v>
      </c>
      <c r="AL3" s="23"/>
      <c r="AM3" s="23"/>
      <c r="AN3" s="96"/>
      <c r="AO3" s="96"/>
      <c r="AP3" s="23"/>
      <c r="AQ3" s="163">
        <f t="shared" ca="1" si="2"/>
        <v>33055</v>
      </c>
      <c r="AR3" s="161"/>
      <c r="AS3" s="18"/>
      <c r="AT3" s="21"/>
      <c r="AU3" s="23"/>
      <c r="AV3" s="23"/>
      <c r="AW3" s="23"/>
      <c r="AX3" s="23"/>
      <c r="AY3" s="23"/>
      <c r="AZ3" s="23"/>
      <c r="BA3" s="23"/>
      <c r="BB3" s="23"/>
      <c r="BC3" s="23"/>
      <c r="BD3" s="100" t="str">
        <f t="shared" si="3"/>
        <v/>
      </c>
      <c r="BE3" s="100" t="str">
        <f t="shared" si="4"/>
        <v/>
      </c>
      <c r="BF3" s="100" t="str">
        <f t="shared" si="5"/>
        <v/>
      </c>
      <c r="BG3" s="100" t="str">
        <f t="shared" si="6"/>
        <v/>
      </c>
      <c r="BH3" s="100" t="str">
        <f t="shared" si="7"/>
        <v/>
      </c>
      <c r="BI3" s="23"/>
    </row>
    <row r="4" spans="1:61" s="95" customFormat="1" ht="60">
      <c r="A4" s="101">
        <v>20111295007</v>
      </c>
      <c r="B4" s="19" t="str">
        <f>VLOOKUP(A4,'ESTADOS ESTUDIANTES'!B:L,2,0)</f>
        <v>RAMIREZ AREVALO HELIO HENRY</v>
      </c>
      <c r="C4" s="102">
        <f>VLOOKUP(A4,'ESTADOS ESTUDIANTES'!B:L,11,0)</f>
        <v>80238298</v>
      </c>
      <c r="D4" s="23">
        <f>VLOOKUP(A4,'ESTADOS ESTUDIANTES'!B:L,3,0)</f>
        <v>295</v>
      </c>
      <c r="E4" s="102" t="str">
        <f>VLOOKUP(A4,'ESTADOS ESTUDIANTES'!B:L,8,0)</f>
        <v>hhramireza@udistrital.edu.co</v>
      </c>
      <c r="F4" s="102" t="str">
        <f>VLOOKUP(A4,'ESTADOS ESTUDIANTES'!B:L,9,0)</f>
        <v>helio.ramirez@gmail.com</v>
      </c>
      <c r="G4" s="19" t="str">
        <f>VLOOKUP(A4,'ESTADOS ESTUDIANTES'!B:L,5,0)</f>
        <v>E</v>
      </c>
      <c r="H4" s="103"/>
      <c r="I4" s="100" t="s">
        <v>1405</v>
      </c>
      <c r="J4" s="104"/>
      <c r="K4" s="103"/>
      <c r="L4" s="105"/>
      <c r="M4" s="106"/>
      <c r="N4" s="105">
        <v>43964</v>
      </c>
      <c r="O4" s="106">
        <v>51.3</v>
      </c>
      <c r="P4" s="112" t="s">
        <v>87</v>
      </c>
      <c r="Q4" s="102">
        <v>43709</v>
      </c>
      <c r="R4" s="105">
        <v>43616</v>
      </c>
      <c r="S4" s="102">
        <v>2019</v>
      </c>
      <c r="T4" s="100" t="s">
        <v>784</v>
      </c>
      <c r="U4" s="105"/>
      <c r="V4" s="105">
        <v>43676</v>
      </c>
      <c r="W4" s="103"/>
      <c r="X4" s="91" t="e">
        <f t="shared" ca="1" si="0"/>
        <v>#VALUE!</v>
      </c>
      <c r="Y4" s="18" t="s">
        <v>43</v>
      </c>
      <c r="Z4" s="100" t="s">
        <v>1406</v>
      </c>
      <c r="AA4" s="105">
        <v>43648</v>
      </c>
      <c r="AB4" s="105"/>
      <c r="AC4" s="103"/>
      <c r="AD4" s="21">
        <f t="shared" ca="1" si="1"/>
        <v>0</v>
      </c>
      <c r="AE4" s="18" t="s">
        <v>43</v>
      </c>
      <c r="AF4" s="105">
        <v>43936</v>
      </c>
      <c r="AG4" s="100" t="s">
        <v>784</v>
      </c>
      <c r="AH4" s="105">
        <v>43941</v>
      </c>
      <c r="AI4" s="105">
        <v>43950</v>
      </c>
      <c r="AJ4" s="102">
        <v>0</v>
      </c>
      <c r="AK4" s="23">
        <f ca="1">IF(AH4="",NETWORKDAYS.INTL(AL4,TODAY(),1),0)</f>
        <v>0</v>
      </c>
      <c r="AL4" s="100" t="s">
        <v>42</v>
      </c>
      <c r="AM4" s="100" t="s">
        <v>1406</v>
      </c>
      <c r="AN4" s="105">
        <v>43941</v>
      </c>
      <c r="AO4" s="105">
        <v>43955</v>
      </c>
      <c r="AP4" s="103"/>
      <c r="AQ4" s="161">
        <f t="shared" ca="1" si="2"/>
        <v>0</v>
      </c>
      <c r="AR4" s="162" t="s">
        <v>42</v>
      </c>
      <c r="AS4" s="115">
        <v>43952</v>
      </c>
      <c r="AT4" s="100" t="s">
        <v>1407</v>
      </c>
      <c r="AU4" s="100" t="s">
        <v>55</v>
      </c>
      <c r="AV4" s="117">
        <v>43965</v>
      </c>
      <c r="AW4" s="103"/>
      <c r="AX4" s="103"/>
      <c r="AY4" s="103"/>
      <c r="AZ4" s="103"/>
      <c r="BA4" s="103"/>
      <c r="BB4" s="103"/>
      <c r="BC4" s="103"/>
      <c r="BD4" s="100" t="str">
        <f t="shared" si="3"/>
        <v/>
      </c>
      <c r="BE4" s="100" t="str">
        <f t="shared" si="4"/>
        <v/>
      </c>
      <c r="BF4" s="100" t="str">
        <f t="shared" si="5"/>
        <v/>
      </c>
      <c r="BG4" s="100" t="str">
        <f t="shared" si="6"/>
        <v/>
      </c>
      <c r="BH4" s="100" t="str">
        <f t="shared" si="7"/>
        <v/>
      </c>
      <c r="BI4" s="103"/>
    </row>
    <row r="5" spans="1:61" s="95" customFormat="1" ht="45">
      <c r="A5" s="101">
        <v>20121195001</v>
      </c>
      <c r="B5" s="19" t="str">
        <f>VLOOKUP(A5,'ESTADOS ESTUDIANTES'!B:L,2,0)</f>
        <v>ANGULO MORALES VICTOR DANIEL</v>
      </c>
      <c r="C5" s="102">
        <f>VLOOKUP(A5,'ESTADOS ESTUDIANTES'!B:L,11,0)</f>
        <v>1018419891</v>
      </c>
      <c r="D5" s="23">
        <f>VLOOKUP(A5,'ESTADOS ESTUDIANTES'!B:L,3,0)</f>
        <v>195</v>
      </c>
      <c r="E5" s="102">
        <f>VLOOKUP(A5,'ESTADOS ESTUDIANTES'!B:L,8,0)</f>
        <v>0</v>
      </c>
      <c r="F5" s="102" t="str">
        <f>VLOOKUP(A5,'ESTADOS ESTUDIANTES'!B:L,9,0)</f>
        <v>vdangulom@correo.udistrital.edu.co</v>
      </c>
      <c r="G5" s="19" t="str">
        <f>VLOOKUP(A5,'ESTADOS ESTUDIANTES'!B:L,5,0)</f>
        <v>E</v>
      </c>
      <c r="H5" s="103"/>
      <c r="I5" s="100" t="s">
        <v>1408</v>
      </c>
      <c r="J5" s="104"/>
      <c r="K5" s="103"/>
      <c r="L5" s="105"/>
      <c r="M5" s="106"/>
      <c r="N5" s="105"/>
      <c r="O5" s="106"/>
      <c r="P5" s="107"/>
      <c r="Q5" s="100" t="s">
        <v>1409</v>
      </c>
      <c r="R5" s="105">
        <v>2013</v>
      </c>
      <c r="S5" s="101">
        <v>2013</v>
      </c>
      <c r="T5" s="100" t="s">
        <v>1410</v>
      </c>
      <c r="U5" s="105"/>
      <c r="V5" s="105"/>
      <c r="W5" s="103"/>
      <c r="X5" s="91" t="e">
        <f t="shared" ca="1" si="0"/>
        <v>#VALUE!</v>
      </c>
      <c r="Y5" s="18" t="s">
        <v>43</v>
      </c>
      <c r="Z5" s="100" t="s">
        <v>1411</v>
      </c>
      <c r="AA5" s="105"/>
      <c r="AB5" s="105"/>
      <c r="AC5" s="103"/>
      <c r="AD5" s="21" t="e">
        <f t="shared" ca="1" si="1"/>
        <v>#VALUE!</v>
      </c>
      <c r="AE5" s="18" t="s">
        <v>43</v>
      </c>
      <c r="AF5" s="105"/>
      <c r="AG5" s="100" t="s">
        <v>1411</v>
      </c>
      <c r="AH5" s="105"/>
      <c r="AI5" s="105">
        <v>42887</v>
      </c>
      <c r="AJ5" s="102">
        <v>0</v>
      </c>
      <c r="AK5" s="23">
        <f ca="1">IF(AL5="",NETWORKDAYS.INTL(AH5,TODAY(),1),0)</f>
        <v>0</v>
      </c>
      <c r="AL5" s="100" t="s">
        <v>42</v>
      </c>
      <c r="AM5" s="100" t="s">
        <v>1412</v>
      </c>
      <c r="AN5" s="105">
        <v>42887</v>
      </c>
      <c r="AO5" s="105">
        <v>42894</v>
      </c>
      <c r="AP5" s="103"/>
      <c r="AQ5" s="162">
        <f t="shared" ca="1" si="2"/>
        <v>0</v>
      </c>
      <c r="AR5" s="162" t="s">
        <v>42</v>
      </c>
      <c r="AS5" s="101">
        <v>32017</v>
      </c>
      <c r="AT5" s="101">
        <v>5</v>
      </c>
      <c r="AU5" s="100" t="s">
        <v>69</v>
      </c>
      <c r="AV5" s="102">
        <v>42902</v>
      </c>
      <c r="AW5" s="102">
        <v>2017</v>
      </c>
      <c r="AX5" s="102">
        <v>2017</v>
      </c>
      <c r="AY5" s="103"/>
      <c r="AZ5" s="103"/>
      <c r="BA5" s="103"/>
      <c r="BB5" s="103"/>
      <c r="BC5" s="103"/>
      <c r="BD5" s="100" t="str">
        <f t="shared" si="3"/>
        <v/>
      </c>
      <c r="BE5" s="100" t="str">
        <f t="shared" si="4"/>
        <v/>
      </c>
      <c r="BF5" s="100" t="str">
        <f t="shared" si="5"/>
        <v/>
      </c>
      <c r="BG5" s="100" t="str">
        <f t="shared" si="6"/>
        <v/>
      </c>
      <c r="BH5" s="100" t="str">
        <f t="shared" si="7"/>
        <v/>
      </c>
      <c r="BI5" s="103"/>
    </row>
    <row r="6" spans="1:61" s="95" customFormat="1" ht="30">
      <c r="A6" s="101">
        <v>20121195004</v>
      </c>
      <c r="B6" s="19" t="str">
        <f>VLOOKUP(A6,'ESTADOS ESTUDIANTES'!B:L,2,0)</f>
        <v>CARILLO GUIZA AMALIA EMELDA</v>
      </c>
      <c r="C6" s="102">
        <f>VLOOKUP(A6,'ESTADOS ESTUDIANTES'!B:L,11,0)</f>
        <v>28192336</v>
      </c>
      <c r="D6" s="23">
        <f>VLOOKUP(A6,'ESTADOS ESTUDIANTES'!B:L,3,0)</f>
        <v>195</v>
      </c>
      <c r="E6" s="102">
        <f>VLOOKUP(A6,'ESTADOS ESTUDIANTES'!B:L,8,0)</f>
        <v>0</v>
      </c>
      <c r="F6" s="102" t="str">
        <f>VLOOKUP(A6,'ESTADOS ESTUDIANTES'!B:L,9,0)</f>
        <v>amaliacargui@gmail.com</v>
      </c>
      <c r="G6" s="19" t="str">
        <f>VLOOKUP(A6,'ESTADOS ESTUDIANTES'!B:L,5,0)</f>
        <v>X</v>
      </c>
      <c r="H6" s="103"/>
      <c r="I6" s="100" t="s">
        <v>1413</v>
      </c>
      <c r="J6" s="100" t="s">
        <v>385</v>
      </c>
      <c r="K6" s="103"/>
      <c r="L6" s="105"/>
      <c r="M6" s="106"/>
      <c r="N6" s="105"/>
      <c r="O6" s="106"/>
      <c r="P6" s="107"/>
      <c r="Q6" s="100" t="s">
        <v>1414</v>
      </c>
      <c r="R6" s="105">
        <v>2013</v>
      </c>
      <c r="S6" s="102">
        <v>2013</v>
      </c>
      <c r="T6" s="100" t="s">
        <v>1415</v>
      </c>
      <c r="U6" s="105"/>
      <c r="V6" s="105"/>
      <c r="W6" s="103"/>
      <c r="X6" s="91">
        <f t="shared" ca="1" si="0"/>
        <v>33055</v>
      </c>
      <c r="Y6" s="103"/>
      <c r="Z6" s="103"/>
      <c r="AA6" s="105"/>
      <c r="AB6" s="105"/>
      <c r="AC6" s="103"/>
      <c r="AD6" s="21">
        <f t="shared" ca="1" si="1"/>
        <v>33055</v>
      </c>
      <c r="AE6" s="103"/>
      <c r="AF6" s="105"/>
      <c r="AG6" s="103"/>
      <c r="AH6" s="105"/>
      <c r="AI6" s="105"/>
      <c r="AJ6" s="103"/>
      <c r="AK6" s="23">
        <f t="shared" ref="AK6:AK39" ca="1" si="8">IF(AH6="",NETWORKDAYS.INTL(AL6,TODAY(),1),0)</f>
        <v>33055</v>
      </c>
      <c r="AL6" s="103"/>
      <c r="AM6" s="103"/>
      <c r="AN6" s="105"/>
      <c r="AO6" s="105"/>
      <c r="AP6" s="103"/>
      <c r="AQ6" s="162">
        <f t="shared" ca="1" si="2"/>
        <v>33055</v>
      </c>
      <c r="AR6" s="163"/>
      <c r="AS6" s="101"/>
      <c r="AT6" s="101"/>
      <c r="AU6" s="103"/>
      <c r="AV6" s="103"/>
      <c r="AW6" s="103"/>
      <c r="AX6" s="103"/>
      <c r="AY6" s="103"/>
      <c r="AZ6" s="103"/>
      <c r="BA6" s="103"/>
      <c r="BB6" s="103"/>
      <c r="BC6" s="103"/>
      <c r="BD6" s="100" t="str">
        <f t="shared" si="3"/>
        <v/>
      </c>
      <c r="BE6" s="100" t="str">
        <f t="shared" si="4"/>
        <v/>
      </c>
      <c r="BF6" s="100" t="str">
        <f t="shared" si="5"/>
        <v/>
      </c>
      <c r="BG6" s="100" t="str">
        <f t="shared" si="6"/>
        <v/>
      </c>
      <c r="BH6" s="100" t="str">
        <f t="shared" si="7"/>
        <v/>
      </c>
      <c r="BI6" s="103"/>
    </row>
    <row r="7" spans="1:61" s="95" customFormat="1">
      <c r="A7" s="101">
        <v>20121195005</v>
      </c>
      <c r="B7" s="19" t="str">
        <f>VLOOKUP(A7,'ESTADOS ESTUDIANTES'!B:L,2,0)</f>
        <v>CASTELLANOS MORA EIDA MARCELA</v>
      </c>
      <c r="C7" s="102">
        <f>VLOOKUP(A7,'ESTADOS ESTUDIANTES'!B:L,11,0)</f>
        <v>20824818</v>
      </c>
      <c r="D7" s="23">
        <f>VLOOKUP(A7,'ESTADOS ESTUDIANTES'!B:L,3,0)</f>
        <v>195</v>
      </c>
      <c r="E7" s="102">
        <f>VLOOKUP(A7,'ESTADOS ESTUDIANTES'!B:L,8,0)</f>
        <v>0</v>
      </c>
      <c r="F7" s="102" t="str">
        <f>VLOOKUP(A7,'ESTADOS ESTUDIANTES'!B:L,9,0)</f>
        <v>emcmis@hotmail.com</v>
      </c>
      <c r="G7" s="19" t="str">
        <f>VLOOKUP(A7,'ESTADOS ESTUDIANTES'!B:L,5,0)</f>
        <v>X</v>
      </c>
      <c r="H7" s="103"/>
      <c r="I7" s="103"/>
      <c r="J7" s="103"/>
      <c r="K7" s="103"/>
      <c r="L7" s="105"/>
      <c r="M7" s="106"/>
      <c r="N7" s="105"/>
      <c r="O7" s="106"/>
      <c r="P7" s="107"/>
      <c r="Q7" s="100"/>
      <c r="R7" s="105"/>
      <c r="S7" s="103"/>
      <c r="T7" s="103"/>
      <c r="U7" s="105"/>
      <c r="V7" s="105"/>
      <c r="W7" s="103"/>
      <c r="X7" s="91">
        <f t="shared" ca="1" si="0"/>
        <v>33055</v>
      </c>
      <c r="Y7" s="99"/>
      <c r="Z7" s="103"/>
      <c r="AA7" s="105"/>
      <c r="AB7" s="105"/>
      <c r="AC7" s="103"/>
      <c r="AD7" s="21">
        <f t="shared" ca="1" si="1"/>
        <v>33055</v>
      </c>
      <c r="AE7" s="99"/>
      <c r="AF7" s="105"/>
      <c r="AG7" s="103"/>
      <c r="AH7" s="105"/>
      <c r="AI7" s="105"/>
      <c r="AJ7" s="103"/>
      <c r="AK7" s="23">
        <f t="shared" ca="1" si="8"/>
        <v>33055</v>
      </c>
      <c r="AL7" s="103"/>
      <c r="AM7" s="103"/>
      <c r="AN7" s="105"/>
      <c r="AO7" s="105"/>
      <c r="AP7" s="103"/>
      <c r="AQ7" s="163">
        <f t="shared" ca="1" si="2"/>
        <v>33055</v>
      </c>
      <c r="AR7" s="163"/>
      <c r="AS7" s="101"/>
      <c r="AT7" s="101"/>
      <c r="AU7" s="103"/>
      <c r="AV7" s="103"/>
      <c r="AW7" s="103"/>
      <c r="AX7" s="103"/>
      <c r="AY7" s="103"/>
      <c r="AZ7" s="103"/>
      <c r="BA7" s="103"/>
      <c r="BB7" s="103"/>
      <c r="BC7" s="103"/>
      <c r="BD7" s="100" t="str">
        <f t="shared" si="3"/>
        <v/>
      </c>
      <c r="BE7" s="100" t="str">
        <f t="shared" si="4"/>
        <v/>
      </c>
      <c r="BF7" s="100" t="str">
        <f t="shared" si="5"/>
        <v/>
      </c>
      <c r="BG7" s="100" t="str">
        <f t="shared" si="6"/>
        <v/>
      </c>
      <c r="BH7" s="100" t="str">
        <f t="shared" si="7"/>
        <v/>
      </c>
      <c r="BI7" s="103"/>
    </row>
    <row r="8" spans="1:61" s="95" customFormat="1" ht="30">
      <c r="A8" s="101">
        <v>20121195006</v>
      </c>
      <c r="B8" s="19" t="str">
        <f>VLOOKUP(A8,'ESTADOS ESTUDIANTES'!B:L,2,0)</f>
        <v>CISNEROS ROSERO ALVARO HUMBERTO</v>
      </c>
      <c r="C8" s="102">
        <f>VLOOKUP(A8,'ESTADOS ESTUDIANTES'!B:L,11,0)</f>
        <v>80735300</v>
      </c>
      <c r="D8" s="23">
        <f>VLOOKUP(A8,'ESTADOS ESTUDIANTES'!B:L,3,0)</f>
        <v>195</v>
      </c>
      <c r="E8" s="102">
        <f>VLOOKUP(A8,'ESTADOS ESTUDIANTES'!B:L,8,0)</f>
        <v>0</v>
      </c>
      <c r="F8" s="102" t="str">
        <f>VLOOKUP(A8,'ESTADOS ESTUDIANTES'!B:L,9,0)</f>
        <v>humcis@gmail.com</v>
      </c>
      <c r="G8" s="19" t="str">
        <f>VLOOKUP(A8,'ESTADOS ESTUDIANTES'!B:L,5,0)</f>
        <v>X</v>
      </c>
      <c r="H8" s="103"/>
      <c r="I8" s="103"/>
      <c r="J8" s="103"/>
      <c r="K8" s="103"/>
      <c r="L8" s="105"/>
      <c r="M8" s="106"/>
      <c r="N8" s="105"/>
      <c r="O8" s="106"/>
      <c r="P8" s="107"/>
      <c r="Q8" s="100"/>
      <c r="R8" s="105"/>
      <c r="S8" s="103"/>
      <c r="T8" s="103"/>
      <c r="U8" s="105"/>
      <c r="V8" s="105"/>
      <c r="W8" s="103"/>
      <c r="X8" s="91">
        <f t="shared" ca="1" si="0"/>
        <v>33055</v>
      </c>
      <c r="Y8" s="99"/>
      <c r="Z8" s="103"/>
      <c r="AA8" s="105"/>
      <c r="AB8" s="105"/>
      <c r="AC8" s="103"/>
      <c r="AD8" s="21">
        <f t="shared" ca="1" si="1"/>
        <v>33055</v>
      </c>
      <c r="AE8" s="99"/>
      <c r="AF8" s="105"/>
      <c r="AG8" s="103"/>
      <c r="AH8" s="105"/>
      <c r="AI8" s="105"/>
      <c r="AJ8" s="103"/>
      <c r="AK8" s="23">
        <f t="shared" ca="1" si="8"/>
        <v>33055</v>
      </c>
      <c r="AL8" s="103"/>
      <c r="AM8" s="103"/>
      <c r="AN8" s="105"/>
      <c r="AO8" s="105"/>
      <c r="AP8" s="103"/>
      <c r="AQ8" s="163">
        <f t="shared" ca="1" si="2"/>
        <v>33055</v>
      </c>
      <c r="AR8" s="163"/>
      <c r="AS8" s="101"/>
      <c r="AT8" s="101"/>
      <c r="AU8" s="103"/>
      <c r="AV8" s="103"/>
      <c r="AW8" s="103"/>
      <c r="AX8" s="103"/>
      <c r="AY8" s="103"/>
      <c r="AZ8" s="103"/>
      <c r="BA8" s="103"/>
      <c r="BB8" s="103"/>
      <c r="BC8" s="103"/>
      <c r="BD8" s="100" t="str">
        <f t="shared" si="3"/>
        <v/>
      </c>
      <c r="BE8" s="100" t="str">
        <f t="shared" si="4"/>
        <v/>
      </c>
      <c r="BF8" s="100" t="str">
        <f t="shared" si="5"/>
        <v/>
      </c>
      <c r="BG8" s="100" t="str">
        <f t="shared" si="6"/>
        <v/>
      </c>
      <c r="BH8" s="100" t="str">
        <f t="shared" si="7"/>
        <v/>
      </c>
      <c r="BI8" s="103"/>
    </row>
    <row r="9" spans="1:61" s="95" customFormat="1">
      <c r="A9" s="101">
        <v>20121195007</v>
      </c>
      <c r="B9" s="19" t="str">
        <f>VLOOKUP(A9,'ESTADOS ESTUDIANTES'!B:L,2,0)</f>
        <v>CRUZ GARCIA MANUEL ALEJANDRO</v>
      </c>
      <c r="C9" s="102">
        <f>VLOOKUP(A9,'ESTADOS ESTUDIANTES'!B:L,11,0)</f>
        <v>80138072</v>
      </c>
      <c r="D9" s="23">
        <f>VLOOKUP(A9,'ESTADOS ESTUDIANTES'!B:L,3,0)</f>
        <v>195</v>
      </c>
      <c r="E9" s="102">
        <f>VLOOKUP(A9,'ESTADOS ESTUDIANTES'!B:L,8,0)</f>
        <v>0</v>
      </c>
      <c r="F9" s="102" t="str">
        <f>VLOOKUP(A9,'ESTADOS ESTUDIANTES'!B:L,9,0)</f>
        <v>macruga@gmail.com</v>
      </c>
      <c r="G9" s="19" t="str">
        <f>VLOOKUP(A9,'ESTADOS ESTUDIANTES'!B:L,5,0)</f>
        <v>X</v>
      </c>
      <c r="H9" s="103"/>
      <c r="I9" s="103"/>
      <c r="J9" s="103"/>
      <c r="K9" s="103"/>
      <c r="L9" s="105"/>
      <c r="M9" s="106"/>
      <c r="N9" s="105"/>
      <c r="O9" s="106"/>
      <c r="P9" s="107"/>
      <c r="Q9" s="100"/>
      <c r="R9" s="105"/>
      <c r="S9" s="103"/>
      <c r="T9" s="103"/>
      <c r="U9" s="105"/>
      <c r="V9" s="105"/>
      <c r="W9" s="103"/>
      <c r="X9" s="91">
        <f t="shared" ca="1" si="0"/>
        <v>33055</v>
      </c>
      <c r="Y9" s="99"/>
      <c r="Z9" s="103"/>
      <c r="AA9" s="105"/>
      <c r="AB9" s="105"/>
      <c r="AC9" s="103"/>
      <c r="AD9" s="21">
        <f t="shared" ca="1" si="1"/>
        <v>33055</v>
      </c>
      <c r="AE9" s="99"/>
      <c r="AF9" s="105"/>
      <c r="AG9" s="103"/>
      <c r="AH9" s="105"/>
      <c r="AI9" s="105"/>
      <c r="AJ9" s="103"/>
      <c r="AK9" s="23">
        <f t="shared" ca="1" si="8"/>
        <v>33055</v>
      </c>
      <c r="AL9" s="103"/>
      <c r="AM9" s="103"/>
      <c r="AN9" s="105"/>
      <c r="AO9" s="105"/>
      <c r="AP9" s="103"/>
      <c r="AQ9" s="163">
        <f t="shared" ca="1" si="2"/>
        <v>33055</v>
      </c>
      <c r="AR9" s="163"/>
      <c r="AS9" s="101"/>
      <c r="AT9" s="101"/>
      <c r="AU9" s="103"/>
      <c r="AV9" s="103"/>
      <c r="AW9" s="103"/>
      <c r="AX9" s="103"/>
      <c r="AY9" s="103"/>
      <c r="AZ9" s="103"/>
      <c r="BA9" s="103"/>
      <c r="BB9" s="103"/>
      <c r="BC9" s="103"/>
      <c r="BD9" s="100" t="str">
        <f t="shared" si="3"/>
        <v/>
      </c>
      <c r="BE9" s="100" t="str">
        <f t="shared" si="4"/>
        <v/>
      </c>
      <c r="BF9" s="100" t="str">
        <f t="shared" si="5"/>
        <v/>
      </c>
      <c r="BG9" s="100" t="str">
        <f t="shared" si="6"/>
        <v/>
      </c>
      <c r="BH9" s="100" t="str">
        <f t="shared" si="7"/>
        <v/>
      </c>
      <c r="BI9" s="103"/>
    </row>
    <row r="10" spans="1:61" s="95" customFormat="1" ht="30">
      <c r="A10" s="101">
        <v>20121195008</v>
      </c>
      <c r="B10" s="19" t="str">
        <f>VLOOKUP(A10,'ESTADOS ESTUDIANTES'!B:L,2,0)</f>
        <v>GAMBOA QUIROGA FAUSTO ALEXANDER</v>
      </c>
      <c r="C10" s="102">
        <f>VLOOKUP(A10,'ESTADOS ESTUDIANTES'!B:L,11,0)</f>
        <v>1032419237</v>
      </c>
      <c r="D10" s="23">
        <f>VLOOKUP(A10,'ESTADOS ESTUDIANTES'!B:L,3,0)</f>
        <v>195</v>
      </c>
      <c r="E10" s="102">
        <f>VLOOKUP(A10,'ESTADOS ESTUDIANTES'!B:L,8,0)</f>
        <v>0</v>
      </c>
      <c r="F10" s="102" t="str">
        <f>VLOOKUP(A10,'ESTADOS ESTUDIANTES'!B:L,9,0)</f>
        <v>leadhfg@gmail.com</v>
      </c>
      <c r="G10" s="19" t="str">
        <f>VLOOKUP(A10,'ESTADOS ESTUDIANTES'!B:L,5,0)</f>
        <v>X</v>
      </c>
      <c r="H10" s="103"/>
      <c r="I10" s="103"/>
      <c r="J10" s="103"/>
      <c r="K10" s="103"/>
      <c r="L10" s="105"/>
      <c r="M10" s="106"/>
      <c r="N10" s="105"/>
      <c r="O10" s="106"/>
      <c r="P10" s="107"/>
      <c r="Q10" s="100"/>
      <c r="R10" s="105"/>
      <c r="S10" s="103"/>
      <c r="T10" s="103"/>
      <c r="U10" s="105"/>
      <c r="V10" s="105"/>
      <c r="W10" s="103"/>
      <c r="X10" s="91">
        <f t="shared" ca="1" si="0"/>
        <v>33055</v>
      </c>
      <c r="Y10" s="99"/>
      <c r="Z10" s="103"/>
      <c r="AA10" s="105"/>
      <c r="AB10" s="105"/>
      <c r="AC10" s="103"/>
      <c r="AD10" s="21">
        <f t="shared" ca="1" si="1"/>
        <v>33055</v>
      </c>
      <c r="AE10" s="99"/>
      <c r="AF10" s="105"/>
      <c r="AG10" s="103"/>
      <c r="AH10" s="105"/>
      <c r="AI10" s="105"/>
      <c r="AJ10" s="103"/>
      <c r="AK10" s="23">
        <f t="shared" ca="1" si="8"/>
        <v>33055</v>
      </c>
      <c r="AL10" s="103"/>
      <c r="AM10" s="103"/>
      <c r="AN10" s="105"/>
      <c r="AO10" s="105"/>
      <c r="AP10" s="103"/>
      <c r="AQ10" s="163">
        <f t="shared" ca="1" si="2"/>
        <v>33055</v>
      </c>
      <c r="AR10" s="163"/>
      <c r="AS10" s="101"/>
      <c r="AT10" s="101"/>
      <c r="AU10" s="103"/>
      <c r="AV10" s="103"/>
      <c r="AW10" s="103"/>
      <c r="AX10" s="103"/>
      <c r="AY10" s="103"/>
      <c r="AZ10" s="103"/>
      <c r="BA10" s="103"/>
      <c r="BB10" s="103"/>
      <c r="BC10" s="103"/>
      <c r="BD10" s="100" t="str">
        <f t="shared" si="3"/>
        <v/>
      </c>
      <c r="BE10" s="100" t="str">
        <f t="shared" si="4"/>
        <v/>
      </c>
      <c r="BF10" s="100" t="str">
        <f t="shared" si="5"/>
        <v/>
      </c>
      <c r="BG10" s="100" t="str">
        <f t="shared" si="6"/>
        <v/>
      </c>
      <c r="BH10" s="100" t="str">
        <f t="shared" si="7"/>
        <v/>
      </c>
      <c r="BI10" s="103"/>
    </row>
    <row r="11" spans="1:61" s="95" customFormat="1">
      <c r="A11" s="101">
        <v>20121195009</v>
      </c>
      <c r="B11" s="19" t="str">
        <f>VLOOKUP(A11,'ESTADOS ESTUDIANTES'!B:L,2,0)</f>
        <v>GUZMAN CUESTA OSCAR EDUARDO</v>
      </c>
      <c r="C11" s="102">
        <f>VLOOKUP(A11,'ESTADOS ESTUDIANTES'!B:L,11,0)</f>
        <v>11276234</v>
      </c>
      <c r="D11" s="23">
        <f>VLOOKUP(A11,'ESTADOS ESTUDIANTES'!B:L,3,0)</f>
        <v>195</v>
      </c>
      <c r="E11" s="102">
        <f>VLOOKUP(A11,'ESTADOS ESTUDIANTES'!B:L,8,0)</f>
        <v>0</v>
      </c>
      <c r="F11" s="102" t="str">
        <f>VLOOKUP(A11,'ESTADOS ESTUDIANTES'!B:L,9,0)</f>
        <v>oscarguzman@ieee.org</v>
      </c>
      <c r="G11" s="19" t="str">
        <f>VLOOKUP(A11,'ESTADOS ESTUDIANTES'!B:L,5,0)</f>
        <v>X</v>
      </c>
      <c r="H11" s="103"/>
      <c r="I11" s="103"/>
      <c r="J11" s="103"/>
      <c r="K11" s="103"/>
      <c r="L11" s="105"/>
      <c r="M11" s="106"/>
      <c r="N11" s="105"/>
      <c r="O11" s="106"/>
      <c r="P11" s="107"/>
      <c r="Q11" s="100"/>
      <c r="R11" s="105"/>
      <c r="S11" s="103"/>
      <c r="T11" s="103"/>
      <c r="U11" s="105"/>
      <c r="V11" s="105"/>
      <c r="W11" s="103"/>
      <c r="X11" s="91">
        <f t="shared" ca="1" si="0"/>
        <v>33055</v>
      </c>
      <c r="Y11" s="99"/>
      <c r="Z11" s="103"/>
      <c r="AA11" s="105"/>
      <c r="AB11" s="105"/>
      <c r="AC11" s="103"/>
      <c r="AD11" s="21">
        <f t="shared" ca="1" si="1"/>
        <v>33055</v>
      </c>
      <c r="AE11" s="99"/>
      <c r="AF11" s="105"/>
      <c r="AG11" s="103"/>
      <c r="AH11" s="105"/>
      <c r="AI11" s="105"/>
      <c r="AJ11" s="103"/>
      <c r="AK11" s="23">
        <f t="shared" ca="1" si="8"/>
        <v>33055</v>
      </c>
      <c r="AL11" s="103"/>
      <c r="AM11" s="103"/>
      <c r="AN11" s="105"/>
      <c r="AO11" s="105"/>
      <c r="AP11" s="103"/>
      <c r="AQ11" s="163">
        <f t="shared" ca="1" si="2"/>
        <v>33055</v>
      </c>
      <c r="AR11" s="163"/>
      <c r="AS11" s="101"/>
      <c r="AT11" s="101"/>
      <c r="AU11" s="103"/>
      <c r="AV11" s="103"/>
      <c r="AW11" s="103"/>
      <c r="AX11" s="103"/>
      <c r="AY11" s="103"/>
      <c r="AZ11" s="103"/>
      <c r="BA11" s="103"/>
      <c r="BB11" s="103"/>
      <c r="BC11" s="103"/>
      <c r="BD11" s="100" t="str">
        <f t="shared" si="3"/>
        <v/>
      </c>
      <c r="BE11" s="100" t="str">
        <f t="shared" si="4"/>
        <v/>
      </c>
      <c r="BF11" s="100" t="str">
        <f t="shared" si="5"/>
        <v/>
      </c>
      <c r="BG11" s="100" t="str">
        <f t="shared" si="6"/>
        <v/>
      </c>
      <c r="BH11" s="100" t="str">
        <f t="shared" si="7"/>
        <v/>
      </c>
      <c r="BI11" s="103"/>
    </row>
    <row r="12" spans="1:61" s="95" customFormat="1" ht="30">
      <c r="A12" s="101">
        <v>20121195010</v>
      </c>
      <c r="B12" s="19" t="str">
        <f>VLOOKUP(A12,'ESTADOS ESTUDIANTES'!B:L,2,0)</f>
        <v>MONTAÑA CARPINTERO JAVIER ALBERTO</v>
      </c>
      <c r="C12" s="102">
        <f>VLOOKUP(A12,'ESTADOS ESTUDIANTES'!B:L,11,0)</f>
        <v>79790907</v>
      </c>
      <c r="D12" s="23">
        <f>VLOOKUP(A12,'ESTADOS ESTUDIANTES'!B:L,3,0)</f>
        <v>195</v>
      </c>
      <c r="E12" s="102">
        <f>VLOOKUP(A12,'ESTADOS ESTUDIANTES'!B:L,8,0)</f>
        <v>0</v>
      </c>
      <c r="F12" s="102" t="str">
        <f>VLOOKUP(A12,'ESTADOS ESTUDIANTES'!B:L,9,0)</f>
        <v>javmon@cable.net.co</v>
      </c>
      <c r="G12" s="19" t="str">
        <f>VLOOKUP(A12,'ESTADOS ESTUDIANTES'!B:L,5,0)</f>
        <v>X</v>
      </c>
      <c r="H12" s="103"/>
      <c r="I12" s="100" t="s">
        <v>1416</v>
      </c>
      <c r="J12" s="100" t="s">
        <v>292</v>
      </c>
      <c r="K12" s="103"/>
      <c r="L12" s="105"/>
      <c r="M12" s="106"/>
      <c r="N12" s="105"/>
      <c r="O12" s="106"/>
      <c r="P12" s="107"/>
      <c r="Q12" s="100"/>
      <c r="R12" s="105">
        <v>25</v>
      </c>
      <c r="S12" s="101">
        <v>2013</v>
      </c>
      <c r="T12" s="100" t="s">
        <v>1417</v>
      </c>
      <c r="U12" s="123"/>
      <c r="V12" s="105"/>
      <c r="W12" s="103"/>
      <c r="X12" s="91" t="e">
        <f t="shared" ca="1" si="0"/>
        <v>#VALUE!</v>
      </c>
      <c r="Y12" s="100" t="s">
        <v>56</v>
      </c>
      <c r="Z12" s="103"/>
      <c r="AA12" s="105"/>
      <c r="AB12" s="105"/>
      <c r="AC12" s="103"/>
      <c r="AD12" s="21">
        <f t="shared" ca="1" si="1"/>
        <v>33055</v>
      </c>
      <c r="AE12" s="103"/>
      <c r="AF12" s="105"/>
      <c r="AG12" s="103"/>
      <c r="AH12" s="105"/>
      <c r="AI12" s="105"/>
      <c r="AJ12" s="103"/>
      <c r="AK12" s="23">
        <f t="shared" ca="1" si="8"/>
        <v>33055</v>
      </c>
      <c r="AL12" s="103"/>
      <c r="AM12" s="103"/>
      <c r="AN12" s="105"/>
      <c r="AO12" s="105"/>
      <c r="AP12" s="103"/>
      <c r="AQ12" s="162">
        <f t="shared" ca="1" si="2"/>
        <v>33055</v>
      </c>
      <c r="AR12" s="163"/>
      <c r="AS12" s="101"/>
      <c r="AT12" s="101"/>
      <c r="AU12" s="103"/>
      <c r="AV12" s="103"/>
      <c r="AW12" s="103"/>
      <c r="AX12" s="103"/>
      <c r="AY12" s="103"/>
      <c r="AZ12" s="103"/>
      <c r="BA12" s="103"/>
      <c r="BB12" s="103"/>
      <c r="BC12" s="103"/>
      <c r="BD12" s="100" t="str">
        <f t="shared" si="3"/>
        <v/>
      </c>
      <c r="BE12" s="100" t="str">
        <f t="shared" si="4"/>
        <v/>
      </c>
      <c r="BF12" s="100" t="str">
        <f t="shared" si="5"/>
        <v/>
      </c>
      <c r="BG12" s="100" t="str">
        <f t="shared" si="6"/>
        <v/>
      </c>
      <c r="BH12" s="100" t="str">
        <f t="shared" si="7"/>
        <v/>
      </c>
      <c r="BI12" s="103"/>
    </row>
    <row r="13" spans="1:61" s="95" customFormat="1">
      <c r="A13" s="101">
        <v>20121195011</v>
      </c>
      <c r="B13" s="19" t="str">
        <f>VLOOKUP(A13,'ESTADOS ESTUDIANTES'!B:L,2,0)</f>
        <v>MORA RODRIGUEZ CARLOS EDUARDO</v>
      </c>
      <c r="C13" s="102">
        <f>VLOOKUP(A13,'ESTADOS ESTUDIANTES'!B:L,11,0)</f>
        <v>1018409737</v>
      </c>
      <c r="D13" s="23">
        <f>VLOOKUP(A13,'ESTADOS ESTUDIANTES'!B:L,3,0)</f>
        <v>195</v>
      </c>
      <c r="E13" s="102">
        <f>VLOOKUP(A13,'ESTADOS ESTUDIANTES'!B:L,8,0)</f>
        <v>0</v>
      </c>
      <c r="F13" s="102" t="str">
        <f>VLOOKUP(A13,'ESTADOS ESTUDIANTES'!B:L,9,0)</f>
        <v>cemorar@gmail.com</v>
      </c>
      <c r="G13" s="19" t="str">
        <f>VLOOKUP(A13,'ESTADOS ESTUDIANTES'!B:L,5,0)</f>
        <v>X</v>
      </c>
      <c r="H13" s="103"/>
      <c r="I13" s="103"/>
      <c r="J13" s="103"/>
      <c r="K13" s="103"/>
      <c r="L13" s="105"/>
      <c r="M13" s="106"/>
      <c r="N13" s="105"/>
      <c r="O13" s="106"/>
      <c r="P13" s="107"/>
      <c r="Q13" s="100"/>
      <c r="R13" s="105"/>
      <c r="S13" s="103"/>
      <c r="T13" s="103"/>
      <c r="U13" s="105"/>
      <c r="V13" s="105"/>
      <c r="W13" s="103"/>
      <c r="X13" s="91">
        <f t="shared" ca="1" si="0"/>
        <v>33055</v>
      </c>
      <c r="Y13" s="99"/>
      <c r="Z13" s="103"/>
      <c r="AA13" s="105"/>
      <c r="AB13" s="105"/>
      <c r="AC13" s="103"/>
      <c r="AD13" s="21">
        <f t="shared" ca="1" si="1"/>
        <v>33055</v>
      </c>
      <c r="AE13" s="99"/>
      <c r="AF13" s="105"/>
      <c r="AG13" s="103"/>
      <c r="AH13" s="105"/>
      <c r="AI13" s="105"/>
      <c r="AJ13" s="103"/>
      <c r="AK13" s="23">
        <f t="shared" ca="1" si="8"/>
        <v>33055</v>
      </c>
      <c r="AL13" s="103"/>
      <c r="AM13" s="103"/>
      <c r="AN13" s="105"/>
      <c r="AO13" s="105"/>
      <c r="AP13" s="103"/>
      <c r="AQ13" s="163">
        <f t="shared" ca="1" si="2"/>
        <v>33055</v>
      </c>
      <c r="AR13" s="163"/>
      <c r="AS13" s="101"/>
      <c r="AT13" s="101"/>
      <c r="AU13" s="103"/>
      <c r="AV13" s="103"/>
      <c r="AW13" s="103"/>
      <c r="AX13" s="103"/>
      <c r="AY13" s="103"/>
      <c r="AZ13" s="103"/>
      <c r="BA13" s="103"/>
      <c r="BB13" s="103"/>
      <c r="BC13" s="103"/>
      <c r="BD13" s="100" t="str">
        <f t="shared" si="3"/>
        <v/>
      </c>
      <c r="BE13" s="100" t="str">
        <f t="shared" si="4"/>
        <v/>
      </c>
      <c r="BF13" s="100" t="str">
        <f t="shared" si="5"/>
        <v/>
      </c>
      <c r="BG13" s="100" t="str">
        <f t="shared" si="6"/>
        <v/>
      </c>
      <c r="BH13" s="100" t="str">
        <f t="shared" si="7"/>
        <v/>
      </c>
      <c r="BI13" s="103"/>
    </row>
    <row r="14" spans="1:61" s="95" customFormat="1">
      <c r="A14" s="101">
        <v>20121195012</v>
      </c>
      <c r="B14" s="19" t="str">
        <f>VLOOKUP(A14,'ESTADOS ESTUDIANTES'!B:L,2,0)</f>
        <v>ROJAS HERNANDEZ JOSE ANDRES</v>
      </c>
      <c r="C14" s="102">
        <f>VLOOKUP(A14,'ESTADOS ESTUDIANTES'!B:L,11,0)</f>
        <v>86069620</v>
      </c>
      <c r="D14" s="23">
        <f>VLOOKUP(A14,'ESTADOS ESTUDIANTES'!B:L,3,0)</f>
        <v>195</v>
      </c>
      <c r="E14" s="102">
        <f>VLOOKUP(A14,'ESTADOS ESTUDIANTES'!B:L,8,0)</f>
        <v>0</v>
      </c>
      <c r="F14" s="102" t="str">
        <f>VLOOKUP(A14,'ESTADOS ESTUDIANTES'!B:L,9,0)</f>
        <v>jar-hernandez@hotmail.com</v>
      </c>
      <c r="G14" s="19" t="str">
        <f>VLOOKUP(A14,'ESTADOS ESTUDIANTES'!B:L,5,0)</f>
        <v>X</v>
      </c>
      <c r="H14" s="103"/>
      <c r="I14" s="103"/>
      <c r="J14" s="103"/>
      <c r="K14" s="103"/>
      <c r="L14" s="105"/>
      <c r="M14" s="106"/>
      <c r="N14" s="105"/>
      <c r="O14" s="106"/>
      <c r="P14" s="107"/>
      <c r="Q14" s="100"/>
      <c r="R14" s="105"/>
      <c r="S14" s="103"/>
      <c r="T14" s="103"/>
      <c r="U14" s="105"/>
      <c r="V14" s="105"/>
      <c r="W14" s="103"/>
      <c r="X14" s="91">
        <f t="shared" ca="1" si="0"/>
        <v>33055</v>
      </c>
      <c r="Y14" s="99"/>
      <c r="Z14" s="103"/>
      <c r="AA14" s="105"/>
      <c r="AB14" s="105"/>
      <c r="AC14" s="103"/>
      <c r="AD14" s="21">
        <f t="shared" ca="1" si="1"/>
        <v>33055</v>
      </c>
      <c r="AE14" s="99"/>
      <c r="AF14" s="105"/>
      <c r="AG14" s="103"/>
      <c r="AH14" s="105"/>
      <c r="AI14" s="105"/>
      <c r="AJ14" s="103"/>
      <c r="AK14" s="23">
        <f t="shared" ca="1" si="8"/>
        <v>33055</v>
      </c>
      <c r="AL14" s="103"/>
      <c r="AM14" s="103"/>
      <c r="AN14" s="105"/>
      <c r="AO14" s="105"/>
      <c r="AP14" s="103"/>
      <c r="AQ14" s="163">
        <f t="shared" ca="1" si="2"/>
        <v>33055</v>
      </c>
      <c r="AR14" s="163"/>
      <c r="AS14" s="101"/>
      <c r="AT14" s="101"/>
      <c r="AU14" s="103"/>
      <c r="AV14" s="103"/>
      <c r="AW14" s="103"/>
      <c r="AX14" s="103"/>
      <c r="AY14" s="103"/>
      <c r="AZ14" s="103"/>
      <c r="BA14" s="103"/>
      <c r="BB14" s="103"/>
      <c r="BC14" s="103"/>
      <c r="BD14" s="100" t="str">
        <f t="shared" si="3"/>
        <v/>
      </c>
      <c r="BE14" s="100" t="str">
        <f t="shared" si="4"/>
        <v/>
      </c>
      <c r="BF14" s="100" t="str">
        <f t="shared" si="5"/>
        <v/>
      </c>
      <c r="BG14" s="100" t="str">
        <f t="shared" si="6"/>
        <v/>
      </c>
      <c r="BH14" s="100" t="str">
        <f t="shared" si="7"/>
        <v/>
      </c>
      <c r="BI14" s="103"/>
    </row>
    <row r="15" spans="1:61" s="95" customFormat="1" ht="30">
      <c r="A15" s="101">
        <v>20121195013</v>
      </c>
      <c r="B15" s="19" t="str">
        <f>VLOOKUP(A15,'ESTADOS ESTUDIANTES'!B:L,2,0)</f>
        <v>SEPULVEDA NUÑEZ DANIEL ALEJANDRO</v>
      </c>
      <c r="C15" s="102">
        <f>VLOOKUP(A15,'ESTADOS ESTUDIANTES'!B:L,11,0)</f>
        <v>7188239</v>
      </c>
      <c r="D15" s="23">
        <f>VLOOKUP(A15,'ESTADOS ESTUDIANTES'!B:L,3,0)</f>
        <v>195</v>
      </c>
      <c r="E15" s="102">
        <f>VLOOKUP(A15,'ESTADOS ESTUDIANTES'!B:L,8,0)</f>
        <v>0</v>
      </c>
      <c r="F15" s="102" t="str">
        <f>VLOOKUP(A15,'ESTADOS ESTUDIANTES'!B:L,9,0)</f>
        <v>daniel.sepulvedanunez@gmail.com</v>
      </c>
      <c r="G15" s="19" t="str">
        <f>VLOOKUP(A15,'ESTADOS ESTUDIANTES'!B:L,5,0)</f>
        <v>X</v>
      </c>
      <c r="H15" s="103"/>
      <c r="I15" s="103"/>
      <c r="J15" s="103"/>
      <c r="K15" s="103"/>
      <c r="L15" s="105"/>
      <c r="M15" s="106"/>
      <c r="N15" s="105"/>
      <c r="O15" s="106"/>
      <c r="P15" s="107"/>
      <c r="Q15" s="100"/>
      <c r="R15" s="105"/>
      <c r="S15" s="103"/>
      <c r="T15" s="103"/>
      <c r="U15" s="105"/>
      <c r="V15" s="105"/>
      <c r="W15" s="103"/>
      <c r="X15" s="91">
        <f t="shared" ca="1" si="0"/>
        <v>33055</v>
      </c>
      <c r="Y15" s="99"/>
      <c r="Z15" s="103"/>
      <c r="AA15" s="105"/>
      <c r="AB15" s="105"/>
      <c r="AC15" s="103"/>
      <c r="AD15" s="21">
        <f t="shared" ca="1" si="1"/>
        <v>33055</v>
      </c>
      <c r="AE15" s="99"/>
      <c r="AF15" s="105"/>
      <c r="AG15" s="103"/>
      <c r="AH15" s="105"/>
      <c r="AI15" s="105"/>
      <c r="AJ15" s="103"/>
      <c r="AK15" s="23">
        <f t="shared" ca="1" si="8"/>
        <v>33055</v>
      </c>
      <c r="AL15" s="103"/>
      <c r="AM15" s="103"/>
      <c r="AN15" s="105"/>
      <c r="AO15" s="105"/>
      <c r="AP15" s="103"/>
      <c r="AQ15" s="163">
        <f t="shared" ca="1" si="2"/>
        <v>33055</v>
      </c>
      <c r="AR15" s="163"/>
      <c r="AS15" s="101"/>
      <c r="AT15" s="101"/>
      <c r="AU15" s="103"/>
      <c r="AV15" s="103"/>
      <c r="AW15" s="103"/>
      <c r="AX15" s="103"/>
      <c r="AY15" s="103"/>
      <c r="AZ15" s="103"/>
      <c r="BA15" s="103"/>
      <c r="BB15" s="103"/>
      <c r="BC15" s="103"/>
      <c r="BD15" s="100" t="str">
        <f t="shared" si="3"/>
        <v/>
      </c>
      <c r="BE15" s="100" t="str">
        <f t="shared" si="4"/>
        <v/>
      </c>
      <c r="BF15" s="100" t="str">
        <f t="shared" si="5"/>
        <v/>
      </c>
      <c r="BG15" s="100" t="str">
        <f t="shared" si="6"/>
        <v/>
      </c>
      <c r="BH15" s="100" t="str">
        <f t="shared" si="7"/>
        <v/>
      </c>
      <c r="BI15" s="103"/>
    </row>
    <row r="16" spans="1:61" s="95" customFormat="1" ht="45">
      <c r="A16" s="101">
        <v>20121195014</v>
      </c>
      <c r="B16" s="19" t="str">
        <f>VLOOKUP(A16,'ESTADOS ESTUDIANTES'!B:L,2,0)</f>
        <v>SOTO CONDE DIEGO FELIPE</v>
      </c>
      <c r="C16" s="102">
        <f>VLOOKUP(A16,'ESTADOS ESTUDIANTES'!B:L,11,0)</f>
        <v>93453664</v>
      </c>
      <c r="D16" s="23">
        <f>VLOOKUP(A16,'ESTADOS ESTUDIANTES'!B:L,3,0)</f>
        <v>195</v>
      </c>
      <c r="E16" s="102" t="str">
        <f>VLOOKUP(A16,'ESTADOS ESTUDIANTES'!B:L,8,0)</f>
        <v>scdiegof@correo.udistrital.edu.co</v>
      </c>
      <c r="F16" s="102" t="str">
        <f>VLOOKUP(A16,'ESTADOS ESTUDIANTES'!B:L,9,0)</f>
        <v>difeso@gmail.com</v>
      </c>
      <c r="G16" s="19" t="str">
        <f>VLOOKUP(A16,'ESTADOS ESTUDIANTES'!B:L,5,0)</f>
        <v>E</v>
      </c>
      <c r="H16" s="100" t="s">
        <v>46</v>
      </c>
      <c r="I16" s="100" t="s">
        <v>1418</v>
      </c>
      <c r="J16" s="104"/>
      <c r="K16" s="103"/>
      <c r="L16" s="105"/>
      <c r="M16" s="106"/>
      <c r="N16" s="105"/>
      <c r="O16" s="106"/>
      <c r="P16" s="107"/>
      <c r="Q16" s="100" t="s">
        <v>1419</v>
      </c>
      <c r="R16" s="105">
        <v>41544</v>
      </c>
      <c r="S16" s="101">
        <v>2013</v>
      </c>
      <c r="T16" s="100" t="s">
        <v>1420</v>
      </c>
      <c r="U16" s="105">
        <v>41584</v>
      </c>
      <c r="V16" s="105">
        <v>41596</v>
      </c>
      <c r="W16" s="102">
        <v>1</v>
      </c>
      <c r="X16" s="91">
        <f t="shared" ca="1" si="0"/>
        <v>0</v>
      </c>
      <c r="Y16" s="100" t="s">
        <v>43</v>
      </c>
      <c r="Z16" s="100" t="s">
        <v>1421</v>
      </c>
      <c r="AA16" s="105">
        <v>42878</v>
      </c>
      <c r="AB16" s="100" t="s">
        <v>1422</v>
      </c>
      <c r="AC16" s="102">
        <v>2</v>
      </c>
      <c r="AD16" s="21">
        <f t="shared" ca="1" si="1"/>
        <v>0</v>
      </c>
      <c r="AE16" s="100" t="s">
        <v>43</v>
      </c>
      <c r="AF16" s="105">
        <v>43046</v>
      </c>
      <c r="AG16" s="100" t="s">
        <v>1420</v>
      </c>
      <c r="AH16" s="105">
        <v>43054</v>
      </c>
      <c r="AI16" s="105">
        <v>43055</v>
      </c>
      <c r="AJ16" s="102">
        <v>1</v>
      </c>
      <c r="AK16" s="23">
        <f t="shared" ca="1" si="8"/>
        <v>0</v>
      </c>
      <c r="AL16" s="100" t="s">
        <v>42</v>
      </c>
      <c r="AM16" s="100" t="s">
        <v>1406</v>
      </c>
      <c r="AN16" s="105">
        <v>43054</v>
      </c>
      <c r="AO16" s="105">
        <v>43061</v>
      </c>
      <c r="AP16" s="102">
        <v>1</v>
      </c>
      <c r="AQ16" s="162">
        <f t="shared" ca="1" si="2"/>
        <v>0</v>
      </c>
      <c r="AR16" s="162" t="s">
        <v>42</v>
      </c>
      <c r="AS16" s="101">
        <v>43061</v>
      </c>
      <c r="AT16" s="101">
        <v>4.3</v>
      </c>
      <c r="AU16" s="100" t="s">
        <v>41</v>
      </c>
      <c r="AV16" s="103"/>
      <c r="AW16" s="103"/>
      <c r="AX16" s="103"/>
      <c r="AY16" s="103"/>
      <c r="AZ16" s="103"/>
      <c r="BA16" s="103"/>
      <c r="BB16" s="103"/>
      <c r="BC16" s="103"/>
      <c r="BD16" s="100" t="str">
        <f t="shared" si="3"/>
        <v/>
      </c>
      <c r="BE16" s="100" t="str">
        <f t="shared" si="4"/>
        <v/>
      </c>
      <c r="BF16" s="100" t="str">
        <f t="shared" si="5"/>
        <v/>
      </c>
      <c r="BG16" s="100" t="str">
        <f t="shared" si="6"/>
        <v/>
      </c>
      <c r="BH16" s="100" t="str">
        <f t="shared" si="7"/>
        <v/>
      </c>
      <c r="BI16" s="103"/>
    </row>
    <row r="17" spans="1:61" s="95" customFormat="1" ht="60">
      <c r="A17" s="101">
        <v>20121195015</v>
      </c>
      <c r="B17" s="19" t="str">
        <f>VLOOKUP(A17,'ESTADOS ESTUDIANTES'!B:L,2,0)</f>
        <v>VILLANUEVA OCAMPO BAYRON FABIO</v>
      </c>
      <c r="C17" s="102">
        <f>VLOOKUP(A17,'ESTADOS ESTUDIANTES'!B:L,11,0)</f>
        <v>1110468388</v>
      </c>
      <c r="D17" s="23">
        <f>VLOOKUP(A17,'ESTADOS ESTUDIANTES'!B:L,3,0)</f>
        <v>195</v>
      </c>
      <c r="E17" s="102">
        <f>VLOOKUP(A17,'ESTADOS ESTUDIANTES'!B:L,8,0)</f>
        <v>0</v>
      </c>
      <c r="F17" s="102" t="str">
        <f>VLOOKUP(A17,'ESTADOS ESTUDIANTES'!B:L,9,0)</f>
        <v>bfv88@hotmail.com</v>
      </c>
      <c r="G17" s="19" t="str">
        <f>VLOOKUP(A17,'ESTADOS ESTUDIANTES'!B:L,5,0)</f>
        <v>X</v>
      </c>
      <c r="H17" s="103"/>
      <c r="I17" s="100" t="s">
        <v>1423</v>
      </c>
      <c r="J17" s="100" t="s">
        <v>874</v>
      </c>
      <c r="K17" s="103"/>
      <c r="L17" s="105"/>
      <c r="M17" s="106"/>
      <c r="N17" s="105"/>
      <c r="O17" s="106"/>
      <c r="P17" s="107"/>
      <c r="Q17" s="100" t="s">
        <v>1424</v>
      </c>
      <c r="R17" s="105">
        <v>2015</v>
      </c>
      <c r="S17" s="102">
        <v>2015</v>
      </c>
      <c r="T17" s="108" t="s">
        <v>568</v>
      </c>
      <c r="U17" s="105"/>
      <c r="V17" s="113">
        <v>42258</v>
      </c>
      <c r="W17" s="113"/>
      <c r="X17" s="91" t="e">
        <f t="shared" ca="1" si="0"/>
        <v>#VALUE!</v>
      </c>
      <c r="Y17" s="100" t="s">
        <v>56</v>
      </c>
      <c r="Z17" s="103"/>
      <c r="AA17" s="105"/>
      <c r="AB17" s="105"/>
      <c r="AC17" s="113"/>
      <c r="AD17" s="21">
        <f t="shared" ca="1" si="1"/>
        <v>33055</v>
      </c>
      <c r="AE17" s="103"/>
      <c r="AF17" s="105"/>
      <c r="AG17" s="103"/>
      <c r="AH17" s="105"/>
      <c r="AI17" s="105"/>
      <c r="AJ17" s="103"/>
      <c r="AK17" s="23">
        <f t="shared" ca="1" si="8"/>
        <v>33055</v>
      </c>
      <c r="AL17" s="103"/>
      <c r="AM17" s="103"/>
      <c r="AN17" s="105"/>
      <c r="AO17" s="86"/>
      <c r="AP17" s="103"/>
      <c r="AQ17" s="161">
        <f t="shared" ca="1" si="2"/>
        <v>33055</v>
      </c>
      <c r="AR17" s="163"/>
      <c r="AS17" s="101"/>
      <c r="AT17" s="101"/>
      <c r="AU17" s="103"/>
      <c r="AV17" s="103"/>
      <c r="AW17" s="103"/>
      <c r="AX17" s="103"/>
      <c r="AY17" s="103"/>
      <c r="AZ17" s="103"/>
      <c r="BA17" s="103"/>
      <c r="BB17" s="103"/>
      <c r="BC17" s="103"/>
      <c r="BD17" s="100" t="str">
        <f t="shared" si="3"/>
        <v/>
      </c>
      <c r="BE17" s="100" t="str">
        <f t="shared" si="4"/>
        <v/>
      </c>
      <c r="BF17" s="100" t="str">
        <f t="shared" si="5"/>
        <v/>
      </c>
      <c r="BG17" s="100" t="str">
        <f t="shared" si="6"/>
        <v/>
      </c>
      <c r="BH17" s="100" t="str">
        <f t="shared" si="7"/>
        <v/>
      </c>
      <c r="BI17" s="103"/>
    </row>
    <row r="18" spans="1:61" s="95" customFormat="1" ht="30">
      <c r="A18" s="101">
        <v>20121295001</v>
      </c>
      <c r="B18" s="19" t="str">
        <f>VLOOKUP(A18,'ESTADOS ESTUDIANTES'!B:L,2,0)</f>
        <v>ARANGO BUITRAGO CARLOS ALBERTO</v>
      </c>
      <c r="C18" s="102">
        <f>VLOOKUP(A18,'ESTADOS ESTUDIANTES'!B:L,11,0)</f>
        <v>16077914</v>
      </c>
      <c r="D18" s="23">
        <f>VLOOKUP(A18,'ESTADOS ESTUDIANTES'!B:L,3,0)</f>
        <v>295</v>
      </c>
      <c r="E18" s="102">
        <f>VLOOKUP(A18,'ESTADOS ESTUDIANTES'!B:L,8,0)</f>
        <v>0</v>
      </c>
      <c r="F18" s="102" t="str">
        <f>VLOOKUP(A18,'ESTADOS ESTUDIANTES'!B:L,9,0)</f>
        <v>carlosarangob@hotmail.com</v>
      </c>
      <c r="G18" s="19" t="str">
        <f>VLOOKUP(A18,'ESTADOS ESTUDIANTES'!B:L,5,0)</f>
        <v>X</v>
      </c>
      <c r="H18" s="103"/>
      <c r="I18" s="103"/>
      <c r="J18" s="103"/>
      <c r="K18" s="103"/>
      <c r="L18" s="105"/>
      <c r="M18" s="106"/>
      <c r="N18" s="105"/>
      <c r="O18" s="106"/>
      <c r="P18" s="107"/>
      <c r="Q18" s="100"/>
      <c r="R18" s="105"/>
      <c r="S18" s="103"/>
      <c r="T18" s="103"/>
      <c r="U18" s="105"/>
      <c r="V18" s="105"/>
      <c r="W18" s="103"/>
      <c r="X18" s="91">
        <f t="shared" ca="1" si="0"/>
        <v>33055</v>
      </c>
      <c r="Y18" s="99"/>
      <c r="Z18" s="103"/>
      <c r="AA18" s="105"/>
      <c r="AB18" s="105"/>
      <c r="AC18" s="103"/>
      <c r="AD18" s="21">
        <f t="shared" ca="1" si="1"/>
        <v>33055</v>
      </c>
      <c r="AE18" s="99"/>
      <c r="AF18" s="105"/>
      <c r="AG18" s="103"/>
      <c r="AH18" s="105"/>
      <c r="AI18" s="105"/>
      <c r="AJ18" s="103"/>
      <c r="AK18" s="23">
        <f t="shared" ca="1" si="8"/>
        <v>33055</v>
      </c>
      <c r="AL18" s="103"/>
      <c r="AM18" s="103"/>
      <c r="AN18" s="105"/>
      <c r="AO18" s="105"/>
      <c r="AP18" s="103"/>
      <c r="AQ18" s="163">
        <f t="shared" ca="1" si="2"/>
        <v>33055</v>
      </c>
      <c r="AR18" s="163"/>
      <c r="AS18" s="101"/>
      <c r="AT18" s="101"/>
      <c r="AU18" s="103"/>
      <c r="AV18" s="103"/>
      <c r="AW18" s="103"/>
      <c r="AX18" s="103"/>
      <c r="AY18" s="103"/>
      <c r="AZ18" s="103"/>
      <c r="BA18" s="103"/>
      <c r="BB18" s="103"/>
      <c r="BC18" s="103"/>
      <c r="BD18" s="100" t="str">
        <f t="shared" si="3"/>
        <v/>
      </c>
      <c r="BE18" s="100" t="str">
        <f t="shared" si="4"/>
        <v/>
      </c>
      <c r="BF18" s="100" t="str">
        <f t="shared" si="5"/>
        <v/>
      </c>
      <c r="BG18" s="100" t="str">
        <f t="shared" si="6"/>
        <v/>
      </c>
      <c r="BH18" s="100" t="str">
        <f t="shared" si="7"/>
        <v/>
      </c>
      <c r="BI18" s="103"/>
    </row>
    <row r="19" spans="1:61" s="95" customFormat="1" ht="30">
      <c r="A19" s="101">
        <v>20121295002</v>
      </c>
      <c r="B19" s="19" t="str">
        <f>VLOOKUP(A19,'ESTADOS ESTUDIANTES'!B:L,2,0)</f>
        <v>AYALA LEON ALEXANDER</v>
      </c>
      <c r="C19" s="102">
        <f>VLOOKUP(A19,'ESTADOS ESTUDIANTES'!B:L,11,0)</f>
        <v>79556501</v>
      </c>
      <c r="D19" s="23">
        <f>VLOOKUP(A19,'ESTADOS ESTUDIANTES'!B:L,3,0)</f>
        <v>295</v>
      </c>
      <c r="E19" s="102">
        <f>VLOOKUP(A19,'ESTADOS ESTUDIANTES'!B:L,8,0)</f>
        <v>0</v>
      </c>
      <c r="F19" s="102" t="str">
        <f>VLOOKUP(A19,'ESTADOS ESTUDIANTES'!B:L,9,0)</f>
        <v>alexander.ayala.leon@gmail.com</v>
      </c>
      <c r="G19" s="19" t="str">
        <f>VLOOKUP(A19,'ESTADOS ESTUDIANTES'!B:L,5,0)</f>
        <v>I</v>
      </c>
      <c r="H19" s="103"/>
      <c r="I19" s="103"/>
      <c r="J19" s="108" t="s">
        <v>348</v>
      </c>
      <c r="K19" s="103"/>
      <c r="L19" s="105"/>
      <c r="M19" s="106"/>
      <c r="N19" s="105"/>
      <c r="O19" s="106"/>
      <c r="P19" s="107"/>
      <c r="Q19" s="100"/>
      <c r="R19" s="105"/>
      <c r="S19" s="103"/>
      <c r="T19" s="103"/>
      <c r="U19" s="105"/>
      <c r="V19" s="105"/>
      <c r="W19" s="103"/>
      <c r="X19" s="91">
        <f t="shared" ca="1" si="0"/>
        <v>33055</v>
      </c>
      <c r="Y19" s="99"/>
      <c r="Z19" s="103"/>
      <c r="AA19" s="105"/>
      <c r="AB19" s="105"/>
      <c r="AC19" s="103"/>
      <c r="AD19" s="21">
        <f t="shared" ca="1" si="1"/>
        <v>33055</v>
      </c>
      <c r="AE19" s="99"/>
      <c r="AF19" s="105"/>
      <c r="AG19" s="103"/>
      <c r="AH19" s="105"/>
      <c r="AI19" s="105"/>
      <c r="AJ19" s="103"/>
      <c r="AK19" s="23">
        <f t="shared" ca="1" si="8"/>
        <v>33055</v>
      </c>
      <c r="AL19" s="103"/>
      <c r="AM19" s="103"/>
      <c r="AN19" s="105"/>
      <c r="AO19" s="105"/>
      <c r="AP19" s="103"/>
      <c r="AQ19" s="161">
        <f t="shared" ca="1" si="2"/>
        <v>33055</v>
      </c>
      <c r="AR19" s="163"/>
      <c r="AS19" s="100"/>
      <c r="AT19" s="101"/>
      <c r="AU19" s="103"/>
      <c r="AV19" s="103"/>
      <c r="AW19" s="103"/>
      <c r="AX19" s="103"/>
      <c r="AY19" s="103"/>
      <c r="AZ19" s="103"/>
      <c r="BA19" s="103"/>
      <c r="BB19" s="103"/>
      <c r="BC19" s="103"/>
      <c r="BD19" s="100" t="str">
        <f t="shared" si="3"/>
        <v/>
      </c>
      <c r="BE19" s="100" t="str">
        <f t="shared" si="4"/>
        <v/>
      </c>
      <c r="BF19" s="100" t="str">
        <f t="shared" si="5"/>
        <v/>
      </c>
      <c r="BG19" s="100" t="str">
        <f t="shared" si="6"/>
        <v/>
      </c>
      <c r="BH19" s="100" t="str">
        <f t="shared" si="7"/>
        <v/>
      </c>
      <c r="BI19" s="103"/>
    </row>
    <row r="20" spans="1:61" s="95" customFormat="1" ht="30">
      <c r="A20" s="101">
        <v>20121295003</v>
      </c>
      <c r="B20" s="19" t="str">
        <f>VLOOKUP(A20,'ESTADOS ESTUDIANTES'!B:L,2,0)</f>
        <v>BAEZ ALBA ANDRES IGNACIO</v>
      </c>
      <c r="C20" s="102">
        <f>VLOOKUP(A20,'ESTADOS ESTUDIANTES'!B:L,11,0)</f>
        <v>80849753</v>
      </c>
      <c r="D20" s="23">
        <f>VLOOKUP(A20,'ESTADOS ESTUDIANTES'!B:L,3,0)</f>
        <v>295</v>
      </c>
      <c r="E20" s="102">
        <f>VLOOKUP(A20,'ESTADOS ESTUDIANTES'!B:L,8,0)</f>
        <v>0</v>
      </c>
      <c r="F20" s="102" t="str">
        <f>VLOOKUP(A20,'ESTADOS ESTUDIANTES'!B:L,9,0)</f>
        <v>andresignaciob@gmail.com</v>
      </c>
      <c r="G20" s="19" t="str">
        <f>VLOOKUP(A20,'ESTADOS ESTUDIANTES'!B:L,5,0)</f>
        <v>X</v>
      </c>
      <c r="H20" s="103"/>
      <c r="I20" s="100" t="s">
        <v>1425</v>
      </c>
      <c r="J20" s="100" t="s">
        <v>369</v>
      </c>
      <c r="K20" s="100" t="s">
        <v>1140</v>
      </c>
      <c r="L20" s="105"/>
      <c r="M20" s="106"/>
      <c r="N20" s="105"/>
      <c r="O20" s="106"/>
      <c r="P20" s="107"/>
      <c r="Q20" s="100" t="s">
        <v>1426</v>
      </c>
      <c r="R20" s="105">
        <v>43039</v>
      </c>
      <c r="S20" s="102">
        <f>YEAR(R20)</f>
        <v>2017</v>
      </c>
      <c r="T20" s="100" t="s">
        <v>1427</v>
      </c>
      <c r="U20" s="105">
        <v>43014</v>
      </c>
      <c r="V20" s="105">
        <v>43038</v>
      </c>
      <c r="W20" s="102">
        <v>1</v>
      </c>
      <c r="X20" s="91">
        <f t="shared" ca="1" si="0"/>
        <v>0</v>
      </c>
      <c r="Y20" s="18" t="s">
        <v>56</v>
      </c>
      <c r="Z20" s="100" t="s">
        <v>356</v>
      </c>
      <c r="AA20" s="105">
        <v>43040</v>
      </c>
      <c r="AB20" s="105">
        <v>43046</v>
      </c>
      <c r="AC20" s="102">
        <v>1</v>
      </c>
      <c r="AD20" s="21">
        <f t="shared" ca="1" si="1"/>
        <v>0</v>
      </c>
      <c r="AE20" s="18" t="s">
        <v>43</v>
      </c>
      <c r="AF20" s="105"/>
      <c r="AG20" s="103"/>
      <c r="AH20" s="105"/>
      <c r="AI20" s="105"/>
      <c r="AJ20" s="103"/>
      <c r="AK20" s="23">
        <f t="shared" ca="1" si="8"/>
        <v>33055</v>
      </c>
      <c r="AL20" s="103"/>
      <c r="AM20" s="103"/>
      <c r="AN20" s="105"/>
      <c r="AO20" s="105"/>
      <c r="AP20" s="103"/>
      <c r="AQ20" s="161">
        <f t="shared" ca="1" si="2"/>
        <v>33055</v>
      </c>
      <c r="AR20" s="163"/>
      <c r="AS20" s="101"/>
      <c r="AT20" s="101"/>
      <c r="AU20" s="103"/>
      <c r="AV20" s="103"/>
      <c r="AW20" s="103"/>
      <c r="AX20" s="103"/>
      <c r="AY20" s="103"/>
      <c r="AZ20" s="103"/>
      <c r="BA20" s="103"/>
      <c r="BB20" s="103"/>
      <c r="BC20" s="103"/>
      <c r="BD20" s="100" t="str">
        <f t="shared" si="3"/>
        <v/>
      </c>
      <c r="BE20" s="100" t="str">
        <f t="shared" si="4"/>
        <v/>
      </c>
      <c r="BF20" s="100" t="str">
        <f t="shared" si="5"/>
        <v/>
      </c>
      <c r="BG20" s="100" t="str">
        <f t="shared" si="6"/>
        <v/>
      </c>
      <c r="BH20" s="100" t="str">
        <f t="shared" si="7"/>
        <v/>
      </c>
      <c r="BI20" s="103"/>
    </row>
    <row r="21" spans="1:61" s="95" customFormat="1">
      <c r="A21" s="101">
        <v>20121295004</v>
      </c>
      <c r="B21" s="19" t="str">
        <f>VLOOKUP(A21,'ESTADOS ESTUDIANTES'!B:L,2,0)</f>
        <v>BUITRAGO GIRLESA MARIA</v>
      </c>
      <c r="C21" s="102">
        <f>VLOOKUP(A21,'ESTADOS ESTUDIANTES'!B:L,11,0)</f>
        <v>51983082</v>
      </c>
      <c r="D21" s="23">
        <f>VLOOKUP(A21,'ESTADOS ESTUDIANTES'!B:L,3,0)</f>
        <v>295</v>
      </c>
      <c r="E21" s="102">
        <f>VLOOKUP(A21,'ESTADOS ESTUDIANTES'!B:L,8,0)</f>
        <v>0</v>
      </c>
      <c r="F21" s="102" t="str">
        <f>VLOOKUP(A21,'ESTADOS ESTUDIANTES'!B:L,9,0)</f>
        <v>girlesa@gmail.com</v>
      </c>
      <c r="G21" s="19" t="str">
        <f>VLOOKUP(A21,'ESTADOS ESTUDIANTES'!B:L,5,0)</f>
        <v>X</v>
      </c>
      <c r="H21" s="103"/>
      <c r="I21" s="103"/>
      <c r="J21" s="103"/>
      <c r="K21" s="103"/>
      <c r="L21" s="105"/>
      <c r="M21" s="106"/>
      <c r="N21" s="105"/>
      <c r="O21" s="106"/>
      <c r="P21" s="107"/>
      <c r="Q21" s="100"/>
      <c r="R21" s="105"/>
      <c r="S21" s="103"/>
      <c r="T21" s="103"/>
      <c r="U21" s="105"/>
      <c r="V21" s="105"/>
      <c r="W21" s="103"/>
      <c r="X21" s="91">
        <f t="shared" ca="1" si="0"/>
        <v>33055</v>
      </c>
      <c r="Y21" s="99"/>
      <c r="Z21" s="103"/>
      <c r="AA21" s="105"/>
      <c r="AB21" s="105"/>
      <c r="AC21" s="103"/>
      <c r="AD21" s="21">
        <f t="shared" ca="1" si="1"/>
        <v>33055</v>
      </c>
      <c r="AE21" s="99"/>
      <c r="AF21" s="105"/>
      <c r="AG21" s="103"/>
      <c r="AH21" s="105"/>
      <c r="AI21" s="105"/>
      <c r="AJ21" s="103"/>
      <c r="AK21" s="23">
        <f t="shared" ca="1" si="8"/>
        <v>33055</v>
      </c>
      <c r="AL21" s="103"/>
      <c r="AM21" s="103"/>
      <c r="AN21" s="105"/>
      <c r="AO21" s="105"/>
      <c r="AP21" s="103"/>
      <c r="AQ21" s="163">
        <f t="shared" ca="1" si="2"/>
        <v>33055</v>
      </c>
      <c r="AR21" s="163"/>
      <c r="AS21" s="101"/>
      <c r="AT21" s="101"/>
      <c r="AU21" s="103"/>
      <c r="AV21" s="103"/>
      <c r="AW21" s="103"/>
      <c r="AX21" s="103"/>
      <c r="AY21" s="103"/>
      <c r="AZ21" s="103"/>
      <c r="BA21" s="103"/>
      <c r="BB21" s="103"/>
      <c r="BC21" s="103"/>
      <c r="BD21" s="100" t="str">
        <f t="shared" si="3"/>
        <v/>
      </c>
      <c r="BE21" s="100" t="str">
        <f t="shared" si="4"/>
        <v/>
      </c>
      <c r="BF21" s="100" t="str">
        <f t="shared" si="5"/>
        <v/>
      </c>
      <c r="BG21" s="100" t="str">
        <f t="shared" si="6"/>
        <v/>
      </c>
      <c r="BH21" s="100" t="str">
        <f t="shared" si="7"/>
        <v/>
      </c>
      <c r="BI21" s="103"/>
    </row>
    <row r="22" spans="1:61" s="95" customFormat="1" ht="75">
      <c r="A22" s="101">
        <v>20121295005</v>
      </c>
      <c r="B22" s="19" t="str">
        <f>VLOOKUP(A22,'ESTADOS ESTUDIANTES'!B:L,2,0)</f>
        <v>CAJAMARCA MONTOYA YEISON JAVIER</v>
      </c>
      <c r="C22" s="102">
        <f>VLOOKUP(A22,'ESTADOS ESTUDIANTES'!B:L,11,0)</f>
        <v>1032377088</v>
      </c>
      <c r="D22" s="23">
        <f>VLOOKUP(A22,'ESTADOS ESTUDIANTES'!B:L,3,0)</f>
        <v>295</v>
      </c>
      <c r="E22" s="102">
        <f>VLOOKUP(A22,'ESTADOS ESTUDIANTES'!B:L,8,0)</f>
        <v>0</v>
      </c>
      <c r="F22" s="102" t="str">
        <f>VLOOKUP(A22,'ESTADOS ESTUDIANTES'!B:L,9,0)</f>
        <v>yeison_290@hotmail.com</v>
      </c>
      <c r="G22" s="19" t="str">
        <f>VLOOKUP(A22,'ESTADOS ESTUDIANTES'!B:L,5,0)</f>
        <v>E</v>
      </c>
      <c r="H22" s="103"/>
      <c r="I22" s="100" t="s">
        <v>1428</v>
      </c>
      <c r="J22" s="104"/>
      <c r="K22" s="103"/>
      <c r="L22" s="105"/>
      <c r="M22" s="106"/>
      <c r="N22" s="105"/>
      <c r="O22" s="106"/>
      <c r="P22" s="107"/>
      <c r="Q22" s="102">
        <v>3</v>
      </c>
      <c r="R22" s="105">
        <v>42036</v>
      </c>
      <c r="S22" s="102">
        <v>2015</v>
      </c>
      <c r="T22" s="100" t="s">
        <v>1429</v>
      </c>
      <c r="U22" s="105">
        <v>42061</v>
      </c>
      <c r="V22" s="105"/>
      <c r="W22" s="103"/>
      <c r="X22" s="91">
        <f t="shared" ca="1" si="0"/>
        <v>0</v>
      </c>
      <c r="Y22" s="18" t="s">
        <v>43</v>
      </c>
      <c r="Z22" s="100" t="s">
        <v>1430</v>
      </c>
      <c r="AA22" s="105">
        <v>42047</v>
      </c>
      <c r="AB22" s="105"/>
      <c r="AC22" s="103"/>
      <c r="AD22" s="21">
        <f t="shared" ca="1" si="1"/>
        <v>0</v>
      </c>
      <c r="AE22" s="18" t="s">
        <v>43</v>
      </c>
      <c r="AF22" s="105">
        <v>42606</v>
      </c>
      <c r="AG22" s="100" t="s">
        <v>1427</v>
      </c>
      <c r="AH22" s="105">
        <v>42634</v>
      </c>
      <c r="AI22" s="105">
        <v>42705</v>
      </c>
      <c r="AJ22" s="102">
        <v>1</v>
      </c>
      <c r="AK22" s="23">
        <f t="shared" ca="1" si="8"/>
        <v>0</v>
      </c>
      <c r="AL22" s="100" t="s">
        <v>1431</v>
      </c>
      <c r="AM22" s="100" t="s">
        <v>1430</v>
      </c>
      <c r="AN22" s="105">
        <v>42606</v>
      </c>
      <c r="AO22" s="105">
        <v>42634</v>
      </c>
      <c r="AP22" s="102">
        <v>0</v>
      </c>
      <c r="AQ22" s="162">
        <f t="shared" ca="1" si="2"/>
        <v>0</v>
      </c>
      <c r="AR22" s="162" t="s">
        <v>42</v>
      </c>
      <c r="AS22" s="101">
        <v>242016</v>
      </c>
      <c r="AT22" s="101">
        <v>4.7</v>
      </c>
      <c r="AU22" s="100" t="s">
        <v>41</v>
      </c>
      <c r="AV22" s="113">
        <v>42716</v>
      </c>
      <c r="AW22" s="103"/>
      <c r="AX22" s="103"/>
      <c r="AY22" s="103"/>
      <c r="AZ22" s="103"/>
      <c r="BA22" s="103"/>
      <c r="BB22" s="103"/>
      <c r="BC22" s="103"/>
      <c r="BD22" s="100" t="str">
        <f t="shared" si="3"/>
        <v/>
      </c>
      <c r="BE22" s="100" t="str">
        <f t="shared" si="4"/>
        <v/>
      </c>
      <c r="BF22" s="100" t="str">
        <f t="shared" si="5"/>
        <v/>
      </c>
      <c r="BG22" s="100" t="str">
        <f t="shared" si="6"/>
        <v/>
      </c>
      <c r="BH22" s="100" t="str">
        <f t="shared" si="7"/>
        <v/>
      </c>
      <c r="BI22" s="103"/>
    </row>
    <row r="23" spans="1:61" s="95" customFormat="1" ht="30">
      <c r="A23" s="101">
        <v>20121295006</v>
      </c>
      <c r="B23" s="19" t="str">
        <f>VLOOKUP(A23,'ESTADOS ESTUDIANTES'!B:L,2,0)</f>
        <v>TRIANA DOMINGUEZ DIEGO HUMBERTO</v>
      </c>
      <c r="C23" s="102">
        <f>VLOOKUP(A23,'ESTADOS ESTUDIANTES'!B:L,11,0)</f>
        <v>80224179</v>
      </c>
      <c r="D23" s="23">
        <f>VLOOKUP(A23,'ESTADOS ESTUDIANTES'!B:L,3,0)</f>
        <v>295</v>
      </c>
      <c r="E23" s="102">
        <f>VLOOKUP(A23,'ESTADOS ESTUDIANTES'!B:L,8,0)</f>
        <v>0</v>
      </c>
      <c r="F23" s="102" t="str">
        <f>VLOOKUP(A23,'ESTADOS ESTUDIANTES'!B:L,9,0)</f>
        <v>diegohtriana@gmail.com</v>
      </c>
      <c r="G23" s="19" t="str">
        <f>VLOOKUP(A23,'ESTADOS ESTUDIANTES'!B:L,5,0)</f>
        <v>X</v>
      </c>
      <c r="H23" s="103"/>
      <c r="I23" s="103"/>
      <c r="J23" s="103"/>
      <c r="K23" s="103"/>
      <c r="L23" s="105"/>
      <c r="M23" s="106"/>
      <c r="N23" s="105"/>
      <c r="O23" s="106"/>
      <c r="P23" s="107"/>
      <c r="Q23" s="100"/>
      <c r="R23" s="105"/>
      <c r="S23" s="103"/>
      <c r="T23" s="103"/>
      <c r="U23" s="105"/>
      <c r="V23" s="105"/>
      <c r="W23" s="103"/>
      <c r="X23" s="91">
        <f t="shared" ca="1" si="0"/>
        <v>33055</v>
      </c>
      <c r="Y23" s="99"/>
      <c r="Z23" s="103"/>
      <c r="AA23" s="105"/>
      <c r="AB23" s="105"/>
      <c r="AC23" s="103"/>
      <c r="AD23" s="21">
        <f t="shared" ca="1" si="1"/>
        <v>33055</v>
      </c>
      <c r="AE23" s="99"/>
      <c r="AF23" s="105"/>
      <c r="AG23" s="103"/>
      <c r="AH23" s="105"/>
      <c r="AI23" s="105"/>
      <c r="AJ23" s="103"/>
      <c r="AK23" s="23">
        <f t="shared" ca="1" si="8"/>
        <v>33055</v>
      </c>
      <c r="AL23" s="103"/>
      <c r="AM23" s="103"/>
      <c r="AN23" s="105"/>
      <c r="AO23" s="105"/>
      <c r="AP23" s="103"/>
      <c r="AQ23" s="163">
        <f t="shared" ca="1" si="2"/>
        <v>33055</v>
      </c>
      <c r="AR23" s="163"/>
      <c r="AS23" s="101"/>
      <c r="AT23" s="101"/>
      <c r="AU23" s="103"/>
      <c r="AV23" s="103"/>
      <c r="AW23" s="103"/>
      <c r="AX23" s="103"/>
      <c r="AY23" s="103"/>
      <c r="AZ23" s="103"/>
      <c r="BA23" s="103"/>
      <c r="BB23" s="103"/>
      <c r="BC23" s="103"/>
      <c r="BD23" s="100" t="str">
        <f t="shared" si="3"/>
        <v/>
      </c>
      <c r="BE23" s="100" t="str">
        <f t="shared" si="4"/>
        <v/>
      </c>
      <c r="BF23" s="100" t="str">
        <f t="shared" si="5"/>
        <v/>
      </c>
      <c r="BG23" s="100" t="str">
        <f t="shared" si="6"/>
        <v/>
      </c>
      <c r="BH23" s="100" t="str">
        <f t="shared" si="7"/>
        <v/>
      </c>
      <c r="BI23" s="103"/>
    </row>
    <row r="24" spans="1:61" s="95" customFormat="1">
      <c r="A24" s="101">
        <v>20121295007</v>
      </c>
      <c r="B24" s="19" t="str">
        <f>VLOOKUP(A24,'ESTADOS ESTUDIANTES'!B:L,2,0)</f>
        <v>VARGAS MERCHAN MILTON SARETH</v>
      </c>
      <c r="C24" s="102">
        <f>VLOOKUP(A24,'ESTADOS ESTUDIANTES'!B:L,11,0)</f>
        <v>80017826</v>
      </c>
      <c r="D24" s="23">
        <f>VLOOKUP(A24,'ESTADOS ESTUDIANTES'!B:L,3,0)</f>
        <v>295</v>
      </c>
      <c r="E24" s="102">
        <f>VLOOKUP(A24,'ESTADOS ESTUDIANTES'!B:L,8,0)</f>
        <v>0</v>
      </c>
      <c r="F24" s="102" t="str">
        <f>VLOOKUP(A24,'ESTADOS ESTUDIANTES'!B:L,9,0)</f>
        <v>sarethsareth@gmail.com</v>
      </c>
      <c r="G24" s="19" t="str">
        <f>VLOOKUP(A24,'ESTADOS ESTUDIANTES'!B:L,5,0)</f>
        <v>X</v>
      </c>
      <c r="H24" s="103"/>
      <c r="I24" s="103"/>
      <c r="J24" s="103"/>
      <c r="K24" s="103"/>
      <c r="L24" s="105"/>
      <c r="M24" s="106"/>
      <c r="N24" s="105"/>
      <c r="O24" s="106"/>
      <c r="P24" s="107"/>
      <c r="Q24" s="100"/>
      <c r="R24" s="105"/>
      <c r="S24" s="103"/>
      <c r="T24" s="103"/>
      <c r="U24" s="105"/>
      <c r="V24" s="105"/>
      <c r="W24" s="103"/>
      <c r="X24" s="91">
        <f t="shared" ca="1" si="0"/>
        <v>33055</v>
      </c>
      <c r="Y24" s="99"/>
      <c r="Z24" s="103"/>
      <c r="AA24" s="105"/>
      <c r="AB24" s="105"/>
      <c r="AC24" s="103"/>
      <c r="AD24" s="21">
        <f t="shared" ca="1" si="1"/>
        <v>33055</v>
      </c>
      <c r="AE24" s="99"/>
      <c r="AF24" s="105"/>
      <c r="AG24" s="103"/>
      <c r="AH24" s="105"/>
      <c r="AI24" s="105"/>
      <c r="AJ24" s="103"/>
      <c r="AK24" s="23">
        <f t="shared" ca="1" si="8"/>
        <v>33055</v>
      </c>
      <c r="AL24" s="103"/>
      <c r="AM24" s="103"/>
      <c r="AN24" s="105"/>
      <c r="AO24" s="105"/>
      <c r="AP24" s="103"/>
      <c r="AQ24" s="163">
        <f t="shared" ca="1" si="2"/>
        <v>33055</v>
      </c>
      <c r="AR24" s="163"/>
      <c r="AS24" s="101"/>
      <c r="AT24" s="101"/>
      <c r="AU24" s="103"/>
      <c r="AV24" s="103"/>
      <c r="AW24" s="103"/>
      <c r="AX24" s="103"/>
      <c r="AY24" s="103"/>
      <c r="AZ24" s="103"/>
      <c r="BA24" s="103"/>
      <c r="BB24" s="103"/>
      <c r="BC24" s="103"/>
      <c r="BD24" s="100" t="str">
        <f t="shared" si="3"/>
        <v/>
      </c>
      <c r="BE24" s="100" t="str">
        <f t="shared" si="4"/>
        <v/>
      </c>
      <c r="BF24" s="100" t="str">
        <f t="shared" si="5"/>
        <v/>
      </c>
      <c r="BG24" s="100" t="str">
        <f t="shared" si="6"/>
        <v/>
      </c>
      <c r="BH24" s="100" t="str">
        <f t="shared" si="7"/>
        <v/>
      </c>
      <c r="BI24" s="103"/>
    </row>
    <row r="25" spans="1:61" s="207" customFormat="1" ht="30">
      <c r="A25" s="101">
        <v>20121395001</v>
      </c>
      <c r="B25" s="19" t="str">
        <f>VLOOKUP(A25,'ESTADOS ESTUDIANTES'!B:L,2,0)</f>
        <v>AGUDELO VELASQUEZ WILSON GERMAN</v>
      </c>
      <c r="C25" s="102">
        <f>VLOOKUP(A25,'ESTADOS ESTUDIANTES'!B:L,11,0)</f>
        <v>80244451</v>
      </c>
      <c r="D25" s="23">
        <f>VLOOKUP(A25,'ESTADOS ESTUDIANTES'!B:L,3,0)</f>
        <v>395</v>
      </c>
      <c r="E25" s="102">
        <f>VLOOKUP(A25,'ESTADOS ESTUDIANTES'!B:L,8,0)</f>
        <v>0</v>
      </c>
      <c r="F25" s="102" t="str">
        <f>VLOOKUP(A25,'ESTADOS ESTUDIANTES'!B:L,9,0)</f>
        <v>germagu@live.com</v>
      </c>
      <c r="G25" s="19" t="str">
        <f>VLOOKUP(A25,'ESTADOS ESTUDIANTES'!B:L,5,0)</f>
        <v>X</v>
      </c>
      <c r="H25" s="103"/>
      <c r="I25" s="103"/>
      <c r="J25" s="103"/>
      <c r="K25" s="108" t="s">
        <v>303</v>
      </c>
      <c r="L25" s="105"/>
      <c r="M25" s="106"/>
      <c r="N25" s="105"/>
      <c r="O25" s="106"/>
      <c r="P25" s="107"/>
      <c r="Q25" s="100"/>
      <c r="R25" s="105"/>
      <c r="S25" s="103"/>
      <c r="T25" s="103"/>
      <c r="U25" s="105"/>
      <c r="V25" s="105"/>
      <c r="W25" s="103"/>
      <c r="X25" s="91">
        <f t="shared" ca="1" si="0"/>
        <v>33055</v>
      </c>
      <c r="Y25" s="99"/>
      <c r="Z25" s="103"/>
      <c r="AA25" s="105"/>
      <c r="AB25" s="105"/>
      <c r="AC25" s="103"/>
      <c r="AD25" s="21">
        <f t="shared" ca="1" si="1"/>
        <v>33055</v>
      </c>
      <c r="AE25" s="99"/>
      <c r="AF25" s="105"/>
      <c r="AG25" s="103"/>
      <c r="AH25" s="105"/>
      <c r="AI25" s="105"/>
      <c r="AJ25" s="103"/>
      <c r="AK25" s="23">
        <f t="shared" ca="1" si="8"/>
        <v>33055</v>
      </c>
      <c r="AL25" s="103"/>
      <c r="AM25" s="103"/>
      <c r="AN25" s="105"/>
      <c r="AO25" s="105"/>
      <c r="AP25" s="103"/>
      <c r="AQ25" s="163">
        <f t="shared" ca="1" si="2"/>
        <v>33055</v>
      </c>
      <c r="AR25" s="163"/>
      <c r="AS25" s="101"/>
      <c r="AT25" s="101"/>
      <c r="AU25" s="103"/>
      <c r="AV25" s="103"/>
      <c r="AW25" s="103"/>
      <c r="AX25" s="103"/>
      <c r="AY25" s="103"/>
      <c r="AZ25" s="103"/>
      <c r="BA25" s="103"/>
      <c r="BB25" s="103"/>
      <c r="BC25" s="103"/>
      <c r="BD25" s="100" t="str">
        <f t="shared" si="3"/>
        <v/>
      </c>
      <c r="BE25" s="100" t="str">
        <f t="shared" si="4"/>
        <v/>
      </c>
      <c r="BF25" s="100" t="str">
        <f t="shared" si="5"/>
        <v/>
      </c>
      <c r="BG25" s="100" t="str">
        <f t="shared" si="6"/>
        <v/>
      </c>
      <c r="BH25" s="100" t="str">
        <f t="shared" si="7"/>
        <v/>
      </c>
      <c r="BI25" s="103"/>
    </row>
    <row r="26" spans="1:61" s="95" customFormat="1">
      <c r="A26" s="101">
        <v>20121395002</v>
      </c>
      <c r="B26" s="19" t="str">
        <f>VLOOKUP(A26,'ESTADOS ESTUDIANTES'!B:L,2,0)</f>
        <v>ARIAS VARGAS DIEGO ELEXANDER</v>
      </c>
      <c r="C26" s="102">
        <f>VLOOKUP(A26,'ESTADOS ESTUDIANTES'!B:L,11,0)</f>
        <v>80002671</v>
      </c>
      <c r="D26" s="23">
        <f>VLOOKUP(A26,'ESTADOS ESTUDIANTES'!B:L,3,0)</f>
        <v>395</v>
      </c>
      <c r="E26" s="102">
        <f>VLOOKUP(A26,'ESTADOS ESTUDIANTES'!B:L,8,0)</f>
        <v>0</v>
      </c>
      <c r="F26" s="102" t="str">
        <f>VLOOKUP(A26,'ESTADOS ESTUDIANTES'!B:L,9,0)</f>
        <v>diegoariasvargas@gmail.com</v>
      </c>
      <c r="G26" s="19" t="str">
        <f>VLOOKUP(A26,'ESTADOS ESTUDIANTES'!B:L,5,0)</f>
        <v>X</v>
      </c>
      <c r="H26" s="103"/>
      <c r="I26" s="103"/>
      <c r="J26" s="103"/>
      <c r="K26" s="103"/>
      <c r="L26" s="105"/>
      <c r="M26" s="106"/>
      <c r="N26" s="105"/>
      <c r="O26" s="106"/>
      <c r="P26" s="107"/>
      <c r="Q26" s="100"/>
      <c r="R26" s="105"/>
      <c r="S26" s="103"/>
      <c r="T26" s="103"/>
      <c r="U26" s="105"/>
      <c r="V26" s="105"/>
      <c r="W26" s="103"/>
      <c r="X26" s="91">
        <f t="shared" ca="1" si="0"/>
        <v>33055</v>
      </c>
      <c r="Y26" s="99"/>
      <c r="Z26" s="103"/>
      <c r="AA26" s="105"/>
      <c r="AB26" s="105"/>
      <c r="AC26" s="103"/>
      <c r="AD26" s="21">
        <f t="shared" ca="1" si="1"/>
        <v>33055</v>
      </c>
      <c r="AE26" s="99"/>
      <c r="AF26" s="105"/>
      <c r="AG26" s="103"/>
      <c r="AH26" s="105"/>
      <c r="AI26" s="105"/>
      <c r="AJ26" s="103"/>
      <c r="AK26" s="23">
        <f t="shared" ca="1" si="8"/>
        <v>33055</v>
      </c>
      <c r="AL26" s="103"/>
      <c r="AM26" s="103"/>
      <c r="AN26" s="105"/>
      <c r="AO26" s="105"/>
      <c r="AP26" s="103"/>
      <c r="AQ26" s="163">
        <f t="shared" ca="1" si="2"/>
        <v>33055</v>
      </c>
      <c r="AR26" s="163"/>
      <c r="AS26" s="101"/>
      <c r="AT26" s="101"/>
      <c r="AU26" s="103"/>
      <c r="AV26" s="103"/>
      <c r="AW26" s="103"/>
      <c r="AX26" s="103"/>
      <c r="AY26" s="103"/>
      <c r="AZ26" s="103"/>
      <c r="BA26" s="103"/>
      <c r="BB26" s="103"/>
      <c r="BC26" s="103"/>
      <c r="BD26" s="100" t="str">
        <f t="shared" si="3"/>
        <v/>
      </c>
      <c r="BE26" s="100" t="str">
        <f t="shared" si="4"/>
        <v/>
      </c>
      <c r="BF26" s="100" t="str">
        <f t="shared" si="5"/>
        <v/>
      </c>
      <c r="BG26" s="100" t="str">
        <f t="shared" si="6"/>
        <v/>
      </c>
      <c r="BH26" s="100" t="str">
        <f t="shared" si="7"/>
        <v/>
      </c>
      <c r="BI26" s="103"/>
    </row>
    <row r="27" spans="1:61" s="95" customFormat="1" ht="45">
      <c r="A27" s="101">
        <v>20121395003</v>
      </c>
      <c r="B27" s="19" t="str">
        <f>VLOOKUP(A27,'ESTADOS ESTUDIANTES'!B:L,2,0)</f>
        <v>DONCEL BALLEN DAVID</v>
      </c>
      <c r="C27" s="102">
        <f>VLOOKUP(A27,'ESTADOS ESTUDIANTES'!B:L,11,0)</f>
        <v>80202521</v>
      </c>
      <c r="D27" s="23">
        <f>VLOOKUP(A27,'ESTADOS ESTUDIANTES'!B:L,3,0)</f>
        <v>395</v>
      </c>
      <c r="E27" s="102">
        <f>VLOOKUP(A27,'ESTADOS ESTUDIANTES'!B:L,8,0)</f>
        <v>0</v>
      </c>
      <c r="F27" s="102" t="str">
        <f>VLOOKUP(A27,'ESTADOS ESTUDIANTES'!B:L,9,0)</f>
        <v>ddoncelb@gmail.com</v>
      </c>
      <c r="G27" s="19" t="str">
        <f>VLOOKUP(A27,'ESTADOS ESTUDIANTES'!B:L,5,0)</f>
        <v>E</v>
      </c>
      <c r="H27" s="103"/>
      <c r="I27" s="100" t="s">
        <v>1432</v>
      </c>
      <c r="J27" s="104"/>
      <c r="K27" s="103"/>
      <c r="L27" s="105"/>
      <c r="M27" s="106"/>
      <c r="N27" s="105"/>
      <c r="O27" s="106"/>
      <c r="P27" s="107"/>
      <c r="Q27" s="100" t="s">
        <v>1433</v>
      </c>
      <c r="R27" s="105">
        <v>41424</v>
      </c>
      <c r="S27" s="102">
        <f>YEAR(R27)</f>
        <v>2013</v>
      </c>
      <c r="T27" s="100" t="s">
        <v>1434</v>
      </c>
      <c r="U27" s="105">
        <v>41442</v>
      </c>
      <c r="V27" s="105">
        <v>41521</v>
      </c>
      <c r="W27" s="102">
        <v>1</v>
      </c>
      <c r="X27" s="91">
        <f t="shared" ca="1" si="0"/>
        <v>0</v>
      </c>
      <c r="Y27" s="100" t="s">
        <v>43</v>
      </c>
      <c r="Z27" s="100" t="s">
        <v>356</v>
      </c>
      <c r="AA27" s="105">
        <v>42426</v>
      </c>
      <c r="AB27" s="105">
        <v>42442</v>
      </c>
      <c r="AC27" s="102">
        <v>1</v>
      </c>
      <c r="AD27" s="21">
        <f t="shared" ca="1" si="1"/>
        <v>0</v>
      </c>
      <c r="AE27" s="100" t="s">
        <v>43</v>
      </c>
      <c r="AF27" s="105">
        <v>43084</v>
      </c>
      <c r="AG27" s="100" t="s">
        <v>1434</v>
      </c>
      <c r="AH27" s="105">
        <v>43146</v>
      </c>
      <c r="AI27" s="105">
        <v>43152</v>
      </c>
      <c r="AJ27" s="102">
        <v>1</v>
      </c>
      <c r="AK27" s="23">
        <f t="shared" ca="1" si="8"/>
        <v>0</v>
      </c>
      <c r="AL27" s="100" t="s">
        <v>42</v>
      </c>
      <c r="AM27" s="100" t="s">
        <v>356</v>
      </c>
      <c r="AN27" s="105">
        <v>43143</v>
      </c>
      <c r="AO27" s="105"/>
      <c r="AP27" s="103"/>
      <c r="AQ27" s="162">
        <f t="shared" ca="1" si="2"/>
        <v>0</v>
      </c>
      <c r="AR27" s="162" t="s">
        <v>42</v>
      </c>
      <c r="AS27" s="101"/>
      <c r="AT27" s="101"/>
      <c r="AU27" s="103"/>
      <c r="AV27" s="103"/>
      <c r="AW27" s="103"/>
      <c r="AX27" s="103"/>
      <c r="AY27" s="103"/>
      <c r="AZ27" s="103"/>
      <c r="BA27" s="103"/>
      <c r="BB27" s="103"/>
      <c r="BC27" s="103"/>
      <c r="BD27" s="100" t="str">
        <f t="shared" si="3"/>
        <v/>
      </c>
      <c r="BE27" s="100" t="str">
        <f t="shared" si="4"/>
        <v/>
      </c>
      <c r="BF27" s="100" t="str">
        <f t="shared" si="5"/>
        <v/>
      </c>
      <c r="BG27" s="100" t="str">
        <f t="shared" si="6"/>
        <v/>
      </c>
      <c r="BH27" s="100" t="str">
        <f t="shared" si="7"/>
        <v/>
      </c>
      <c r="BI27" s="103"/>
    </row>
    <row r="28" spans="1:61" s="95" customFormat="1" ht="75">
      <c r="A28" s="101">
        <v>20121395004</v>
      </c>
      <c r="B28" s="19" t="str">
        <f>VLOOKUP(A28,'ESTADOS ESTUDIANTES'!B:L,2,0)</f>
        <v>FIGUEROA CEFERINO DIANA CAROLINA</v>
      </c>
      <c r="C28" s="102">
        <f>VLOOKUP(A28,'ESTADOS ESTUDIANTES'!B:L,11,0)</f>
        <v>52884117</v>
      </c>
      <c r="D28" s="23">
        <f>VLOOKUP(A28,'ESTADOS ESTUDIANTES'!B:L,3,0)</f>
        <v>395</v>
      </c>
      <c r="E28" s="102">
        <f>VLOOKUP(A28,'ESTADOS ESTUDIANTES'!B:L,8,0)</f>
        <v>0</v>
      </c>
      <c r="F28" s="102" t="str">
        <f>VLOOKUP(A28,'ESTADOS ESTUDIANTES'!B:L,9,0)</f>
        <v>carofc@gmail.com</v>
      </c>
      <c r="G28" s="19" t="str">
        <f>VLOOKUP(A28,'ESTADOS ESTUDIANTES'!B:L,5,0)</f>
        <v>E</v>
      </c>
      <c r="H28" s="103"/>
      <c r="I28" s="100" t="s">
        <v>1435</v>
      </c>
      <c r="J28" s="104"/>
      <c r="K28" s="103"/>
      <c r="L28" s="105"/>
      <c r="M28" s="106"/>
      <c r="N28" s="105"/>
      <c r="O28" s="106"/>
      <c r="P28" s="107"/>
      <c r="Q28" s="102">
        <v>43525</v>
      </c>
      <c r="R28" s="105"/>
      <c r="S28" s="102">
        <v>1899</v>
      </c>
      <c r="T28" s="100" t="s">
        <v>1354</v>
      </c>
      <c r="U28" s="105">
        <v>43522</v>
      </c>
      <c r="V28" s="105">
        <v>43532</v>
      </c>
      <c r="W28" s="103"/>
      <c r="X28" s="91">
        <f t="shared" ca="1" si="0"/>
        <v>0</v>
      </c>
      <c r="Y28" s="100" t="s">
        <v>43</v>
      </c>
      <c r="Z28" s="100" t="s">
        <v>1436</v>
      </c>
      <c r="AA28" s="105">
        <v>43522</v>
      </c>
      <c r="AB28" s="105">
        <v>43564</v>
      </c>
      <c r="AC28" s="103"/>
      <c r="AD28" s="21">
        <f t="shared" ca="1" si="1"/>
        <v>0</v>
      </c>
      <c r="AE28" s="100" t="s">
        <v>43</v>
      </c>
      <c r="AF28" s="105">
        <v>43626</v>
      </c>
      <c r="AG28" s="100" t="s">
        <v>1436</v>
      </c>
      <c r="AH28" s="105">
        <v>43649</v>
      </c>
      <c r="AI28" s="105"/>
      <c r="AJ28" s="102">
        <v>43647</v>
      </c>
      <c r="AK28" s="23">
        <f t="shared" ca="1" si="8"/>
        <v>0</v>
      </c>
      <c r="AL28" s="100" t="s">
        <v>42</v>
      </c>
      <c r="AM28" s="100" t="s">
        <v>323</v>
      </c>
      <c r="AN28" s="105">
        <v>43648</v>
      </c>
      <c r="AO28" s="105">
        <v>43656</v>
      </c>
      <c r="AP28" s="103"/>
      <c r="AQ28" s="162">
        <f t="shared" ca="1" si="2"/>
        <v>0</v>
      </c>
      <c r="AR28" s="162" t="s">
        <v>42</v>
      </c>
      <c r="AS28" s="101"/>
      <c r="AT28" s="101"/>
      <c r="AU28" s="103"/>
      <c r="AV28" s="103"/>
      <c r="AW28" s="103"/>
      <c r="AX28" s="103"/>
      <c r="AY28" s="103"/>
      <c r="AZ28" s="103"/>
      <c r="BA28" s="103"/>
      <c r="BB28" s="103"/>
      <c r="BC28" s="103"/>
      <c r="BD28" s="100" t="str">
        <f t="shared" si="3"/>
        <v/>
      </c>
      <c r="BE28" s="100" t="str">
        <f t="shared" si="4"/>
        <v/>
      </c>
      <c r="BF28" s="100" t="str">
        <f t="shared" si="5"/>
        <v/>
      </c>
      <c r="BG28" s="100" t="str">
        <f t="shared" si="6"/>
        <v/>
      </c>
      <c r="BH28" s="100" t="str">
        <f t="shared" si="7"/>
        <v/>
      </c>
      <c r="BI28" s="103"/>
    </row>
    <row r="29" spans="1:61" s="95" customFormat="1" ht="60">
      <c r="A29" s="101">
        <v>20121395005</v>
      </c>
      <c r="B29" s="19" t="str">
        <f>VLOOKUP(A29,'ESTADOS ESTUDIANTES'!B:L,2,0)</f>
        <v>JARAMILLO GUTIERREZ ANTONIO JOSE</v>
      </c>
      <c r="C29" s="102">
        <f>VLOOKUP(A29,'ESTADOS ESTUDIANTES'!B:L,11,0)</f>
        <v>89002983</v>
      </c>
      <c r="D29" s="23">
        <f>VLOOKUP(A29,'ESTADOS ESTUDIANTES'!B:L,3,0)</f>
        <v>395</v>
      </c>
      <c r="E29" s="102">
        <f>VLOOKUP(A29,'ESTADOS ESTUDIANTES'!B:L,8,0)</f>
        <v>0</v>
      </c>
      <c r="F29" s="102" t="str">
        <f>VLOOKUP(A29,'ESTADOS ESTUDIANTES'!B:L,9,0)</f>
        <v>antoniojaramillo2002@gmail.com</v>
      </c>
      <c r="G29" s="19" t="str">
        <f>VLOOKUP(A29,'ESTADOS ESTUDIANTES'!B:L,5,0)</f>
        <v>X</v>
      </c>
      <c r="H29" s="103"/>
      <c r="I29" s="100" t="s">
        <v>1437</v>
      </c>
      <c r="J29" s="100" t="s">
        <v>225</v>
      </c>
      <c r="K29" s="103"/>
      <c r="L29" s="105"/>
      <c r="M29" s="106"/>
      <c r="N29" s="105"/>
      <c r="O29" s="106"/>
      <c r="P29" s="107"/>
      <c r="Q29" s="102">
        <v>6</v>
      </c>
      <c r="R29" s="105">
        <v>2016</v>
      </c>
      <c r="S29" s="102">
        <v>2016</v>
      </c>
      <c r="T29" s="100" t="s">
        <v>1417</v>
      </c>
      <c r="U29" s="105">
        <v>42478</v>
      </c>
      <c r="V29" s="105">
        <v>42466</v>
      </c>
      <c r="W29" s="102">
        <v>1</v>
      </c>
      <c r="X29" s="91">
        <f t="shared" ca="1" si="0"/>
        <v>0</v>
      </c>
      <c r="Y29" s="100" t="s">
        <v>43</v>
      </c>
      <c r="Z29" s="103"/>
      <c r="AA29" s="105"/>
      <c r="AB29" s="105"/>
      <c r="AC29" s="103"/>
      <c r="AD29" s="21">
        <f t="shared" ca="1" si="1"/>
        <v>33055</v>
      </c>
      <c r="AE29" s="103"/>
      <c r="AF29" s="105"/>
      <c r="AG29" s="103"/>
      <c r="AH29" s="105"/>
      <c r="AI29" s="105"/>
      <c r="AJ29" s="103"/>
      <c r="AK29" s="23">
        <f t="shared" ca="1" si="8"/>
        <v>33055</v>
      </c>
      <c r="AL29" s="103"/>
      <c r="AM29" s="103"/>
      <c r="AN29" s="105"/>
      <c r="AO29" s="105"/>
      <c r="AP29" s="103"/>
      <c r="AQ29" s="163">
        <f t="shared" ca="1" si="2"/>
        <v>33055</v>
      </c>
      <c r="AR29" s="163"/>
      <c r="AS29" s="101"/>
      <c r="AT29" s="101"/>
      <c r="AU29" s="103"/>
      <c r="AV29" s="103"/>
      <c r="AW29" s="103"/>
      <c r="AX29" s="103"/>
      <c r="AY29" s="103"/>
      <c r="AZ29" s="103"/>
      <c r="BA29" s="103"/>
      <c r="BB29" s="103"/>
      <c r="BC29" s="103"/>
      <c r="BD29" s="100" t="str">
        <f t="shared" si="3"/>
        <v/>
      </c>
      <c r="BE29" s="100" t="str">
        <f t="shared" si="4"/>
        <v/>
      </c>
      <c r="BF29" s="100" t="str">
        <f t="shared" si="5"/>
        <v/>
      </c>
      <c r="BG29" s="100" t="str">
        <f t="shared" si="6"/>
        <v/>
      </c>
      <c r="BH29" s="100" t="str">
        <f t="shared" si="7"/>
        <v/>
      </c>
      <c r="BI29" s="103"/>
    </row>
    <row r="30" spans="1:61" s="95" customFormat="1">
      <c r="A30" s="101">
        <v>20121395006</v>
      </c>
      <c r="B30" s="19" t="str">
        <f>VLOOKUP(A30,'ESTADOS ESTUDIANTES'!B:L,2,0)</f>
        <v>LARA VALENCIA SONIA JANNETH</v>
      </c>
      <c r="C30" s="102">
        <f>VLOOKUP(A30,'ESTADOS ESTUDIANTES'!B:L,11,0)</f>
        <v>53154453</v>
      </c>
      <c r="D30" s="23">
        <f>VLOOKUP(A30,'ESTADOS ESTUDIANTES'!B:L,3,0)</f>
        <v>395</v>
      </c>
      <c r="E30" s="102">
        <f>VLOOKUP(A30,'ESTADOS ESTUDIANTES'!B:L,8,0)</f>
        <v>0</v>
      </c>
      <c r="F30" s="102" t="str">
        <f>VLOOKUP(A30,'ESTADOS ESTUDIANTES'!B:L,9,0)</f>
        <v>ingsonialara@yahoo.es</v>
      </c>
      <c r="G30" s="19" t="str">
        <f>VLOOKUP(A30,'ESTADOS ESTUDIANTES'!B:L,5,0)</f>
        <v>X</v>
      </c>
      <c r="H30" s="103"/>
      <c r="I30" s="103"/>
      <c r="J30" s="103"/>
      <c r="K30" s="103"/>
      <c r="L30" s="105"/>
      <c r="M30" s="106"/>
      <c r="N30" s="105"/>
      <c r="O30" s="106"/>
      <c r="P30" s="107"/>
      <c r="Q30" s="100"/>
      <c r="R30" s="105"/>
      <c r="S30" s="103"/>
      <c r="T30" s="103"/>
      <c r="U30" s="105"/>
      <c r="V30" s="105"/>
      <c r="W30" s="103"/>
      <c r="X30" s="91">
        <f t="shared" ca="1" si="0"/>
        <v>33055</v>
      </c>
      <c r="Y30" s="99"/>
      <c r="Z30" s="103"/>
      <c r="AA30" s="105"/>
      <c r="AB30" s="105"/>
      <c r="AC30" s="103"/>
      <c r="AD30" s="21">
        <f t="shared" ca="1" si="1"/>
        <v>33055</v>
      </c>
      <c r="AE30" s="99"/>
      <c r="AF30" s="105"/>
      <c r="AG30" s="103"/>
      <c r="AH30" s="105"/>
      <c r="AI30" s="105"/>
      <c r="AJ30" s="103"/>
      <c r="AK30" s="23">
        <f t="shared" ca="1" si="8"/>
        <v>33055</v>
      </c>
      <c r="AL30" s="103"/>
      <c r="AM30" s="103"/>
      <c r="AN30" s="105"/>
      <c r="AO30" s="105"/>
      <c r="AP30" s="103"/>
      <c r="AQ30" s="163">
        <f t="shared" ca="1" si="2"/>
        <v>33055</v>
      </c>
      <c r="AR30" s="163"/>
      <c r="AS30" s="101"/>
      <c r="AT30" s="101"/>
      <c r="AU30" s="103"/>
      <c r="AV30" s="103"/>
      <c r="AW30" s="103"/>
      <c r="AX30" s="103"/>
      <c r="AY30" s="103"/>
      <c r="AZ30" s="103"/>
      <c r="BA30" s="103"/>
      <c r="BB30" s="103"/>
      <c r="BC30" s="103"/>
      <c r="BD30" s="100" t="str">
        <f t="shared" si="3"/>
        <v/>
      </c>
      <c r="BE30" s="100" t="str">
        <f t="shared" si="4"/>
        <v/>
      </c>
      <c r="BF30" s="100" t="str">
        <f t="shared" si="5"/>
        <v/>
      </c>
      <c r="BG30" s="100" t="str">
        <f t="shared" si="6"/>
        <v/>
      </c>
      <c r="BH30" s="100" t="str">
        <f t="shared" si="7"/>
        <v/>
      </c>
      <c r="BI30" s="103"/>
    </row>
    <row r="31" spans="1:61" s="95" customFormat="1">
      <c r="A31" s="101">
        <v>20121395007</v>
      </c>
      <c r="B31" s="19" t="str">
        <f>VLOOKUP(A31,'ESTADOS ESTUDIANTES'!B:L,2,0)</f>
        <v>LOPEZ BARBOSA ISRAEL ALEJANDRO</v>
      </c>
      <c r="C31" s="102">
        <f>VLOOKUP(A31,'ESTADOS ESTUDIANTES'!B:L,11,0)</f>
        <v>1013581826</v>
      </c>
      <c r="D31" s="23">
        <f>VLOOKUP(A31,'ESTADOS ESTUDIANTES'!B:L,3,0)</f>
        <v>395</v>
      </c>
      <c r="E31" s="102" t="str">
        <f>VLOOKUP(A31,'ESTADOS ESTUDIANTES'!B:L,8,0)</f>
        <v>ialopezb@udistrital.edu.co</v>
      </c>
      <c r="F31" s="102" t="str">
        <f>VLOOKUP(A31,'ESTADOS ESTUDIANTES'!B:L,9,0)</f>
        <v>alejandro3781@gmail.com</v>
      </c>
      <c r="G31" s="19" t="str">
        <f>VLOOKUP(A31,'ESTADOS ESTUDIANTES'!B:L,5,0)</f>
        <v>X</v>
      </c>
      <c r="H31" s="103"/>
      <c r="I31" s="103"/>
      <c r="J31" s="103"/>
      <c r="K31" s="103"/>
      <c r="L31" s="105"/>
      <c r="M31" s="106"/>
      <c r="N31" s="105"/>
      <c r="O31" s="106"/>
      <c r="P31" s="107"/>
      <c r="Q31" s="100"/>
      <c r="R31" s="105"/>
      <c r="S31" s="103"/>
      <c r="T31" s="103"/>
      <c r="U31" s="105"/>
      <c r="V31" s="105"/>
      <c r="W31" s="103"/>
      <c r="X31" s="91">
        <f t="shared" ca="1" si="0"/>
        <v>33055</v>
      </c>
      <c r="Y31" s="99"/>
      <c r="Z31" s="103"/>
      <c r="AA31" s="105"/>
      <c r="AB31" s="105"/>
      <c r="AC31" s="103"/>
      <c r="AD31" s="21">
        <f t="shared" ca="1" si="1"/>
        <v>33055</v>
      </c>
      <c r="AE31" s="99"/>
      <c r="AF31" s="105"/>
      <c r="AG31" s="103"/>
      <c r="AH31" s="105"/>
      <c r="AI31" s="105"/>
      <c r="AJ31" s="103"/>
      <c r="AK31" s="23">
        <f t="shared" ca="1" si="8"/>
        <v>33055</v>
      </c>
      <c r="AL31" s="103"/>
      <c r="AM31" s="103"/>
      <c r="AN31" s="105"/>
      <c r="AO31" s="105"/>
      <c r="AP31" s="103"/>
      <c r="AQ31" s="163">
        <f t="shared" ca="1" si="2"/>
        <v>33055</v>
      </c>
      <c r="AR31" s="163"/>
      <c r="AS31" s="101"/>
      <c r="AT31" s="101"/>
      <c r="AU31" s="103"/>
      <c r="AV31" s="103"/>
      <c r="AW31" s="103"/>
      <c r="AX31" s="103"/>
      <c r="AY31" s="103"/>
      <c r="AZ31" s="103"/>
      <c r="BA31" s="103"/>
      <c r="BB31" s="103"/>
      <c r="BC31" s="103"/>
      <c r="BD31" s="100" t="str">
        <f t="shared" si="3"/>
        <v/>
      </c>
      <c r="BE31" s="100" t="str">
        <f t="shared" si="4"/>
        <v/>
      </c>
      <c r="BF31" s="100" t="str">
        <f t="shared" si="5"/>
        <v/>
      </c>
      <c r="BG31" s="100" t="str">
        <f t="shared" si="6"/>
        <v/>
      </c>
      <c r="BH31" s="100" t="str">
        <f t="shared" si="7"/>
        <v/>
      </c>
      <c r="BI31" s="103"/>
    </row>
    <row r="32" spans="1:61" s="95" customFormat="1" ht="30">
      <c r="A32" s="101">
        <v>20121395008</v>
      </c>
      <c r="B32" s="19" t="str">
        <f>VLOOKUP(A32,'ESTADOS ESTUDIANTES'!B:L,2,0)</f>
        <v>MONTENEGRO SANTAFE MARCO AURELIO</v>
      </c>
      <c r="C32" s="102">
        <f>VLOOKUP(A32,'ESTADOS ESTUDIANTES'!B:L,11,0)</f>
        <v>80067157</v>
      </c>
      <c r="D32" s="23">
        <f>VLOOKUP(A32,'ESTADOS ESTUDIANTES'!B:L,3,0)</f>
        <v>395</v>
      </c>
      <c r="E32" s="102">
        <f>VLOOKUP(A32,'ESTADOS ESTUDIANTES'!B:L,8,0)</f>
        <v>0</v>
      </c>
      <c r="F32" s="102" t="str">
        <f>VLOOKUP(A32,'ESTADOS ESTUDIANTES'!B:L,9,0)</f>
        <v>montemarau@hotmail.com</v>
      </c>
      <c r="G32" s="19" t="str">
        <f>VLOOKUP(A32,'ESTADOS ESTUDIANTES'!B:L,5,0)</f>
        <v>X</v>
      </c>
      <c r="H32" s="103"/>
      <c r="I32" s="103"/>
      <c r="J32" s="103"/>
      <c r="K32" s="103"/>
      <c r="L32" s="105"/>
      <c r="M32" s="106"/>
      <c r="N32" s="105"/>
      <c r="O32" s="106"/>
      <c r="P32" s="107"/>
      <c r="Q32" s="100"/>
      <c r="R32" s="105"/>
      <c r="S32" s="103"/>
      <c r="T32" s="103"/>
      <c r="U32" s="105"/>
      <c r="V32" s="105"/>
      <c r="W32" s="103"/>
      <c r="X32" s="91">
        <f t="shared" ca="1" si="0"/>
        <v>33055</v>
      </c>
      <c r="Y32" s="99"/>
      <c r="Z32" s="103"/>
      <c r="AA32" s="105"/>
      <c r="AB32" s="105"/>
      <c r="AC32" s="103"/>
      <c r="AD32" s="21">
        <f t="shared" ca="1" si="1"/>
        <v>33055</v>
      </c>
      <c r="AE32" s="99"/>
      <c r="AF32" s="105"/>
      <c r="AG32" s="103"/>
      <c r="AH32" s="105"/>
      <c r="AI32" s="105"/>
      <c r="AJ32" s="103"/>
      <c r="AK32" s="23">
        <f t="shared" ca="1" si="8"/>
        <v>33055</v>
      </c>
      <c r="AL32" s="103"/>
      <c r="AM32" s="103"/>
      <c r="AN32" s="105"/>
      <c r="AO32" s="105"/>
      <c r="AP32" s="103"/>
      <c r="AQ32" s="163">
        <f t="shared" ca="1" si="2"/>
        <v>33055</v>
      </c>
      <c r="AR32" s="163"/>
      <c r="AS32" s="101"/>
      <c r="AT32" s="101"/>
      <c r="AU32" s="103"/>
      <c r="AV32" s="103"/>
      <c r="AW32" s="103"/>
      <c r="AX32" s="103"/>
      <c r="AY32" s="103"/>
      <c r="AZ32" s="103"/>
      <c r="BA32" s="103"/>
      <c r="BB32" s="103"/>
      <c r="BC32" s="103"/>
      <c r="BD32" s="100" t="str">
        <f t="shared" si="3"/>
        <v/>
      </c>
      <c r="BE32" s="100" t="str">
        <f t="shared" si="4"/>
        <v/>
      </c>
      <c r="BF32" s="100" t="str">
        <f t="shared" si="5"/>
        <v/>
      </c>
      <c r="BG32" s="100" t="str">
        <f t="shared" si="6"/>
        <v/>
      </c>
      <c r="BH32" s="100" t="str">
        <f t="shared" si="7"/>
        <v/>
      </c>
      <c r="BI32" s="103"/>
    </row>
    <row r="33" spans="1:61" s="95" customFormat="1">
      <c r="A33" s="101">
        <v>20121395009</v>
      </c>
      <c r="B33" s="19" t="str">
        <f>VLOOKUP(A33,'ESTADOS ESTUDIANTES'!B:L,2,0)</f>
        <v>MORENO SEGURA JHON ERVIN</v>
      </c>
      <c r="C33" s="102">
        <f>VLOOKUP(A33,'ESTADOS ESTUDIANTES'!B:L,11,0)</f>
        <v>79901357</v>
      </c>
      <c r="D33" s="23">
        <f>VLOOKUP(A33,'ESTADOS ESTUDIANTES'!B:L,3,0)</f>
        <v>395</v>
      </c>
      <c r="E33" s="102">
        <f>VLOOKUP(A33,'ESTADOS ESTUDIANTES'!B:L,8,0)</f>
        <v>0</v>
      </c>
      <c r="F33" s="102" t="str">
        <f>VLOOKUP(A33,'ESTADOS ESTUDIANTES'!B:L,9,0)</f>
        <v>jmoreno370@yahoo.es</v>
      </c>
      <c r="G33" s="19" t="str">
        <f>VLOOKUP(A33,'ESTADOS ESTUDIANTES'!B:L,5,0)</f>
        <v>X</v>
      </c>
      <c r="H33" s="103"/>
      <c r="I33" s="103"/>
      <c r="J33" s="103"/>
      <c r="K33" s="103"/>
      <c r="L33" s="105"/>
      <c r="M33" s="106"/>
      <c r="N33" s="105"/>
      <c r="O33" s="106"/>
      <c r="P33" s="107"/>
      <c r="Q33" s="100"/>
      <c r="R33" s="105"/>
      <c r="S33" s="103"/>
      <c r="T33" s="103"/>
      <c r="U33" s="105"/>
      <c r="V33" s="105"/>
      <c r="W33" s="103"/>
      <c r="X33" s="91">
        <f t="shared" ca="1" si="0"/>
        <v>33055</v>
      </c>
      <c r="Y33" s="99"/>
      <c r="Z33" s="103"/>
      <c r="AA33" s="105"/>
      <c r="AB33" s="105"/>
      <c r="AC33" s="103"/>
      <c r="AD33" s="21">
        <f t="shared" ca="1" si="1"/>
        <v>33055</v>
      </c>
      <c r="AE33" s="99"/>
      <c r="AF33" s="105"/>
      <c r="AG33" s="103"/>
      <c r="AH33" s="105"/>
      <c r="AI33" s="105"/>
      <c r="AJ33" s="103"/>
      <c r="AK33" s="23">
        <f t="shared" ca="1" si="8"/>
        <v>33055</v>
      </c>
      <c r="AL33" s="103"/>
      <c r="AM33" s="103"/>
      <c r="AN33" s="105"/>
      <c r="AO33" s="105"/>
      <c r="AP33" s="103"/>
      <c r="AQ33" s="163">
        <f t="shared" ca="1" si="2"/>
        <v>33055</v>
      </c>
      <c r="AR33" s="163"/>
      <c r="AS33" s="101"/>
      <c r="AT33" s="101"/>
      <c r="AU33" s="103"/>
      <c r="AV33" s="103"/>
      <c r="AW33" s="103"/>
      <c r="AX33" s="103"/>
      <c r="AY33" s="103"/>
      <c r="AZ33" s="103"/>
      <c r="BA33" s="103"/>
      <c r="BB33" s="103"/>
      <c r="BC33" s="103"/>
      <c r="BD33" s="100" t="str">
        <f t="shared" si="3"/>
        <v/>
      </c>
      <c r="BE33" s="100" t="str">
        <f t="shared" si="4"/>
        <v/>
      </c>
      <c r="BF33" s="100" t="str">
        <f t="shared" si="5"/>
        <v/>
      </c>
      <c r="BG33" s="100" t="str">
        <f t="shared" si="6"/>
        <v/>
      </c>
      <c r="BH33" s="100" t="str">
        <f t="shared" si="7"/>
        <v/>
      </c>
      <c r="BI33" s="103"/>
    </row>
    <row r="34" spans="1:61" s="95" customFormat="1" ht="45">
      <c r="A34" s="101">
        <v>20121395010</v>
      </c>
      <c r="B34" s="19" t="str">
        <f>VLOOKUP(A34,'ESTADOS ESTUDIANTES'!B:L,2,0)</f>
        <v>MORON RINCONES JOSÉ ENRIQUE</v>
      </c>
      <c r="C34" s="102">
        <f>VLOOKUP(A34,'ESTADOS ESTUDIANTES'!B:L,11,0)</f>
        <v>77159265</v>
      </c>
      <c r="D34" s="23">
        <f>VLOOKUP(A34,'ESTADOS ESTUDIANTES'!B:L,3,0)</f>
        <v>395</v>
      </c>
      <c r="E34" s="102">
        <f>VLOOKUP(A34,'ESTADOS ESTUDIANTES'!B:L,8,0)</f>
        <v>0</v>
      </c>
      <c r="F34" s="102" t="str">
        <f>VLOOKUP(A34,'ESTADOS ESTUDIANTES'!B:L,9,0)</f>
        <v>josemoron_9@hotmail.com</v>
      </c>
      <c r="G34" s="19" t="str">
        <f>VLOOKUP(A34,'ESTADOS ESTUDIANTES'!B:L,5,0)</f>
        <v>X</v>
      </c>
      <c r="H34" s="103"/>
      <c r="I34" s="100" t="s">
        <v>1438</v>
      </c>
      <c r="J34" s="100" t="s">
        <v>402</v>
      </c>
      <c r="K34" s="103"/>
      <c r="L34" s="105"/>
      <c r="M34" s="106"/>
      <c r="N34" s="105"/>
      <c r="O34" s="106"/>
      <c r="P34" s="107"/>
      <c r="Q34" s="100" t="s">
        <v>1439</v>
      </c>
      <c r="R34" s="105">
        <v>41934</v>
      </c>
      <c r="S34" s="102">
        <f>YEAR(R34)</f>
        <v>2014</v>
      </c>
      <c r="T34" s="100" t="s">
        <v>1440</v>
      </c>
      <c r="U34" s="105">
        <v>42991</v>
      </c>
      <c r="V34" s="105">
        <v>43046</v>
      </c>
      <c r="W34" s="102">
        <v>1</v>
      </c>
      <c r="X34" s="91">
        <f t="shared" ref="X34:X65" ca="1" si="9">IF(U34="",NETWORKDAYS.INTL(Y34,TODAY(),1),0)</f>
        <v>0</v>
      </c>
      <c r="Y34" s="100" t="s">
        <v>56</v>
      </c>
      <c r="Z34" s="100" t="s">
        <v>1441</v>
      </c>
      <c r="AA34" s="105">
        <v>41957</v>
      </c>
      <c r="AB34" s="105">
        <v>41975</v>
      </c>
      <c r="AC34" s="102">
        <v>1</v>
      </c>
      <c r="AD34" s="21">
        <f t="shared" ref="AD34:AD65" ca="1" si="10">IF(AA34="",NETWORKDAYS.INTL(AE34,TODAY(),1),0)</f>
        <v>0</v>
      </c>
      <c r="AE34" s="100" t="s">
        <v>43</v>
      </c>
      <c r="AF34" s="105"/>
      <c r="AG34" s="103"/>
      <c r="AH34" s="105"/>
      <c r="AI34" s="105"/>
      <c r="AJ34" s="103"/>
      <c r="AK34" s="23">
        <f t="shared" ca="1" si="8"/>
        <v>33055</v>
      </c>
      <c r="AL34" s="103"/>
      <c r="AM34" s="103"/>
      <c r="AN34" s="105"/>
      <c r="AO34" s="105"/>
      <c r="AP34" s="103"/>
      <c r="AQ34" s="162">
        <f t="shared" ref="AQ34:AQ65" ca="1" si="11">IF(AN34="",NETWORKDAYS.INTL(AR34,TODAY(),1),0)</f>
        <v>33055</v>
      </c>
      <c r="AR34" s="163"/>
      <c r="AS34" s="101"/>
      <c r="AT34" s="101"/>
      <c r="AU34" s="103"/>
      <c r="AV34" s="103"/>
      <c r="AW34" s="103"/>
      <c r="AX34" s="103"/>
      <c r="AY34" s="103"/>
      <c r="AZ34" s="103"/>
      <c r="BA34" s="103"/>
      <c r="BB34" s="103"/>
      <c r="BC34" s="103"/>
      <c r="BD34" s="100" t="str">
        <f t="shared" si="3"/>
        <v/>
      </c>
      <c r="BE34" s="100" t="str">
        <f t="shared" si="4"/>
        <v/>
      </c>
      <c r="BF34" s="100" t="str">
        <f t="shared" si="5"/>
        <v/>
      </c>
      <c r="BG34" s="100" t="str">
        <f t="shared" si="6"/>
        <v/>
      </c>
      <c r="BH34" s="100" t="str">
        <f t="shared" si="7"/>
        <v/>
      </c>
      <c r="BI34" s="103"/>
    </row>
    <row r="35" spans="1:61" s="95" customFormat="1" ht="45">
      <c r="A35" s="101">
        <v>20121395011</v>
      </c>
      <c r="B35" s="19" t="str">
        <f>VLOOKUP(A35,'ESTADOS ESTUDIANTES'!B:L,2,0)</f>
        <v>OSORIO BAQUERO ISMAEL</v>
      </c>
      <c r="C35" s="102">
        <f>VLOOKUP(A35,'ESTADOS ESTUDIANTES'!B:L,11,0)</f>
        <v>14235383</v>
      </c>
      <c r="D35" s="23">
        <f>VLOOKUP(A35,'ESTADOS ESTUDIANTES'!B:L,3,0)</f>
        <v>395</v>
      </c>
      <c r="E35" s="102">
        <f>VLOOKUP(A35,'ESTADOS ESTUDIANTES'!B:L,8,0)</f>
        <v>0</v>
      </c>
      <c r="F35" s="102" t="str">
        <f>VLOOKUP(A35,'ESTADOS ESTUDIANTES'!B:L,9,0)</f>
        <v>iosoriob@udistrital.edu.co</v>
      </c>
      <c r="G35" s="19" t="str">
        <f>VLOOKUP(A35,'ESTADOS ESTUDIANTES'!B:L,5,0)</f>
        <v>E</v>
      </c>
      <c r="H35" s="103"/>
      <c r="I35" s="100" t="s">
        <v>1442</v>
      </c>
      <c r="J35" s="108" t="s">
        <v>1202</v>
      </c>
      <c r="K35" s="103"/>
      <c r="L35" s="105"/>
      <c r="M35" s="106"/>
      <c r="N35" s="105"/>
      <c r="O35" s="106"/>
      <c r="P35" s="107"/>
      <c r="Q35" s="100"/>
      <c r="R35" s="105">
        <v>43056</v>
      </c>
      <c r="S35" s="102">
        <v>2017</v>
      </c>
      <c r="T35" s="100" t="s">
        <v>1443</v>
      </c>
      <c r="U35" s="105">
        <v>41436</v>
      </c>
      <c r="V35" s="105">
        <v>41395</v>
      </c>
      <c r="W35" s="103"/>
      <c r="X35" s="91">
        <f t="shared" ca="1" si="9"/>
        <v>0</v>
      </c>
      <c r="Y35" s="114" t="s">
        <v>43</v>
      </c>
      <c r="Z35" s="100" t="s">
        <v>1444</v>
      </c>
      <c r="AA35" s="105"/>
      <c r="AB35" s="105"/>
      <c r="AC35" s="103"/>
      <c r="AD35" s="21" t="e">
        <f t="shared" ca="1" si="10"/>
        <v>#VALUE!</v>
      </c>
      <c r="AE35" s="114" t="s">
        <v>43</v>
      </c>
      <c r="AF35" s="105"/>
      <c r="AG35" s="100" t="s">
        <v>1445</v>
      </c>
      <c r="AH35" s="105">
        <v>42410</v>
      </c>
      <c r="AI35" s="105"/>
      <c r="AJ35" s="103"/>
      <c r="AK35" s="23">
        <f t="shared" ca="1" si="8"/>
        <v>0</v>
      </c>
      <c r="AL35" s="100" t="s">
        <v>1431</v>
      </c>
      <c r="AM35" s="100" t="s">
        <v>1443</v>
      </c>
      <c r="AN35" s="105">
        <v>42412</v>
      </c>
      <c r="AO35" s="105">
        <v>41835</v>
      </c>
      <c r="AP35" s="103"/>
      <c r="AQ35" s="162">
        <f t="shared" ca="1" si="11"/>
        <v>0</v>
      </c>
      <c r="AR35" s="162" t="s">
        <v>42</v>
      </c>
      <c r="AS35" s="101">
        <v>42415</v>
      </c>
      <c r="AT35" s="101">
        <v>4.5</v>
      </c>
      <c r="AU35" s="100" t="s">
        <v>41</v>
      </c>
      <c r="AV35" s="102">
        <v>42415</v>
      </c>
      <c r="AW35" s="102">
        <v>2016</v>
      </c>
      <c r="AX35" s="102">
        <v>2016</v>
      </c>
      <c r="AY35" s="103"/>
      <c r="AZ35" s="103"/>
      <c r="BA35" s="103"/>
      <c r="BB35" s="103"/>
      <c r="BC35" s="103"/>
      <c r="BD35" s="100" t="str">
        <f t="shared" si="3"/>
        <v/>
      </c>
      <c r="BE35" s="100" t="str">
        <f t="shared" si="4"/>
        <v/>
      </c>
      <c r="BF35" s="100" t="str">
        <f t="shared" si="5"/>
        <v/>
      </c>
      <c r="BG35" s="100" t="str">
        <f t="shared" si="6"/>
        <v/>
      </c>
      <c r="BH35" s="100" t="str">
        <f t="shared" si="7"/>
        <v/>
      </c>
      <c r="BI35" s="103"/>
    </row>
    <row r="36" spans="1:61" s="95" customFormat="1" ht="60">
      <c r="A36" s="101">
        <v>20121395012</v>
      </c>
      <c r="B36" s="19" t="str">
        <f>VLOOKUP(A36,'ESTADOS ESTUDIANTES'!B:L,2,0)</f>
        <v>PACHON CENDALES INDIRA PAOLA</v>
      </c>
      <c r="C36" s="102">
        <f>VLOOKUP(A36,'ESTADOS ESTUDIANTES'!B:L,11,0)</f>
        <v>53091016</v>
      </c>
      <c r="D36" s="23">
        <f>VLOOKUP(A36,'ESTADOS ESTUDIANTES'!B:L,3,0)</f>
        <v>395</v>
      </c>
      <c r="E36" s="102">
        <f>VLOOKUP(A36,'ESTADOS ESTUDIANTES'!B:L,8,0)</f>
        <v>0</v>
      </c>
      <c r="F36" s="102" t="str">
        <f>VLOOKUP(A36,'ESTADOS ESTUDIANTES'!B:L,9,0)</f>
        <v>indira197@gmail.com</v>
      </c>
      <c r="G36" s="19" t="str">
        <f>VLOOKUP(A36,'ESTADOS ESTUDIANTES'!B:L,5,0)</f>
        <v>E</v>
      </c>
      <c r="H36" s="103"/>
      <c r="I36" s="100" t="s">
        <v>1446</v>
      </c>
      <c r="J36" s="104"/>
      <c r="K36" s="103"/>
      <c r="L36" s="105"/>
      <c r="M36" s="106"/>
      <c r="N36" s="105"/>
      <c r="O36" s="106"/>
      <c r="P36" s="107"/>
      <c r="Q36" s="102">
        <v>3</v>
      </c>
      <c r="R36" s="105">
        <v>2016</v>
      </c>
      <c r="S36" s="102">
        <v>2016</v>
      </c>
      <c r="T36" s="100" t="s">
        <v>270</v>
      </c>
      <c r="U36" s="105">
        <v>41870</v>
      </c>
      <c r="V36" s="105"/>
      <c r="W36" s="103"/>
      <c r="X36" s="91">
        <f t="shared" ca="1" si="9"/>
        <v>0</v>
      </c>
      <c r="Y36" s="100" t="s">
        <v>43</v>
      </c>
      <c r="Z36" s="100" t="s">
        <v>1444</v>
      </c>
      <c r="AA36" s="105">
        <v>41871</v>
      </c>
      <c r="AB36" s="105"/>
      <c r="AC36" s="103"/>
      <c r="AD36" s="21">
        <f t="shared" ca="1" si="10"/>
        <v>0</v>
      </c>
      <c r="AE36" s="100" t="s">
        <v>43</v>
      </c>
      <c r="AF36" s="105"/>
      <c r="AG36" s="100" t="s">
        <v>270</v>
      </c>
      <c r="AH36" s="105">
        <v>42424</v>
      </c>
      <c r="AI36" s="105"/>
      <c r="AJ36" s="102">
        <v>1</v>
      </c>
      <c r="AK36" s="23">
        <f t="shared" ca="1" si="8"/>
        <v>0</v>
      </c>
      <c r="AL36" s="100" t="s">
        <v>42</v>
      </c>
      <c r="AM36" s="100" t="s">
        <v>1447</v>
      </c>
      <c r="AN36" s="105">
        <v>42425</v>
      </c>
      <c r="AO36" s="105"/>
      <c r="AP36" s="102">
        <v>1</v>
      </c>
      <c r="AQ36" s="161">
        <f t="shared" ca="1" si="11"/>
        <v>0</v>
      </c>
      <c r="AR36" s="162" t="s">
        <v>42</v>
      </c>
      <c r="AS36" s="101">
        <v>42523</v>
      </c>
      <c r="AT36" s="101">
        <v>5</v>
      </c>
      <c r="AU36" s="100" t="s">
        <v>41</v>
      </c>
      <c r="AV36" s="100" t="s">
        <v>1448</v>
      </c>
      <c r="AW36" s="103"/>
      <c r="AX36" s="102">
        <v>2016</v>
      </c>
      <c r="AY36" s="103"/>
      <c r="AZ36" s="103"/>
      <c r="BA36" s="103"/>
      <c r="BB36" s="103"/>
      <c r="BC36" s="103"/>
      <c r="BD36" s="100" t="str">
        <f t="shared" si="3"/>
        <v/>
      </c>
      <c r="BE36" s="100" t="str">
        <f t="shared" si="4"/>
        <v/>
      </c>
      <c r="BF36" s="100" t="str">
        <f t="shared" si="5"/>
        <v/>
      </c>
      <c r="BG36" s="100" t="str">
        <f t="shared" si="6"/>
        <v/>
      </c>
      <c r="BH36" s="100" t="str">
        <f t="shared" si="7"/>
        <v/>
      </c>
      <c r="BI36" s="103"/>
    </row>
    <row r="37" spans="1:61" s="95" customFormat="1" ht="60">
      <c r="A37" s="101">
        <v>20121395013</v>
      </c>
      <c r="B37" s="19" t="str">
        <f>VLOOKUP(A37,'ESTADOS ESTUDIANTES'!B:L,2,0)</f>
        <v>RAMIREZ FERNANDEZ SALOMON EISTEIN</v>
      </c>
      <c r="C37" s="102">
        <f>VLOOKUP(A37,'ESTADOS ESTUDIANTES'!B:L,11,0)</f>
        <v>80052918</v>
      </c>
      <c r="D37" s="23">
        <f>VLOOKUP(A37,'ESTADOS ESTUDIANTES'!B:L,3,0)</f>
        <v>395</v>
      </c>
      <c r="E37" s="102">
        <f>VLOOKUP(A37,'ESTADOS ESTUDIANTES'!B:L,8,0)</f>
        <v>0</v>
      </c>
      <c r="F37" s="102" t="str">
        <f>VLOOKUP(A37,'ESTADOS ESTUDIANTES'!B:L,9,0)</f>
        <v>salomon.einstein@gmail.com</v>
      </c>
      <c r="G37" s="19" t="str">
        <f>VLOOKUP(A37,'ESTADOS ESTUDIANTES'!B:L,5,0)</f>
        <v>E</v>
      </c>
      <c r="H37" s="103"/>
      <c r="I37" s="100" t="s">
        <v>1449</v>
      </c>
      <c r="J37" s="108" t="s">
        <v>1157</v>
      </c>
      <c r="K37" s="100" t="s">
        <v>1069</v>
      </c>
      <c r="L37" s="105"/>
      <c r="M37" s="106"/>
      <c r="N37" s="105"/>
      <c r="O37" s="106"/>
      <c r="P37" s="107"/>
      <c r="Q37" s="100"/>
      <c r="R37" s="105">
        <v>2014</v>
      </c>
      <c r="S37" s="102">
        <f>YEAR(R37)</f>
        <v>1905</v>
      </c>
      <c r="T37" s="100" t="s">
        <v>1450</v>
      </c>
      <c r="U37" s="105">
        <v>41710</v>
      </c>
      <c r="V37" s="105"/>
      <c r="W37" s="103"/>
      <c r="X37" s="91">
        <f t="shared" ca="1" si="9"/>
        <v>0</v>
      </c>
      <c r="Y37" s="100" t="s">
        <v>43</v>
      </c>
      <c r="Z37" s="100" t="s">
        <v>1443</v>
      </c>
      <c r="AA37" s="105"/>
      <c r="AB37" s="105"/>
      <c r="AC37" s="103"/>
      <c r="AD37" s="21" t="e">
        <f t="shared" ca="1" si="10"/>
        <v>#VALUE!</v>
      </c>
      <c r="AE37" s="100" t="s">
        <v>1451</v>
      </c>
      <c r="AF37" s="105">
        <v>42065</v>
      </c>
      <c r="AG37" s="100" t="s">
        <v>1452</v>
      </c>
      <c r="AH37" s="105">
        <v>41694</v>
      </c>
      <c r="AI37" s="105"/>
      <c r="AJ37" s="103"/>
      <c r="AK37" s="23">
        <f t="shared" ca="1" si="8"/>
        <v>0</v>
      </c>
      <c r="AL37" s="100" t="s">
        <v>1431</v>
      </c>
      <c r="AM37" s="100" t="s">
        <v>1450</v>
      </c>
      <c r="AN37" s="105">
        <v>42059</v>
      </c>
      <c r="AO37" s="105"/>
      <c r="AP37" s="103"/>
      <c r="AQ37" s="161">
        <f t="shared" ca="1" si="11"/>
        <v>0</v>
      </c>
      <c r="AR37" s="162" t="s">
        <v>42</v>
      </c>
      <c r="AS37" s="101"/>
      <c r="AT37" s="101"/>
      <c r="AU37" s="103"/>
      <c r="AV37" s="102">
        <v>2015</v>
      </c>
      <c r="AW37" s="103"/>
      <c r="AX37" s="102">
        <v>2015</v>
      </c>
      <c r="AY37" s="103"/>
      <c r="AZ37" s="103"/>
      <c r="BA37" s="103"/>
      <c r="BB37" s="103"/>
      <c r="BC37" s="103"/>
      <c r="BD37" s="100" t="str">
        <f t="shared" si="3"/>
        <v/>
      </c>
      <c r="BE37" s="100" t="str">
        <f t="shared" si="4"/>
        <v/>
      </c>
      <c r="BF37" s="100" t="str">
        <f t="shared" si="5"/>
        <v/>
      </c>
      <c r="BG37" s="100" t="str">
        <f t="shared" si="6"/>
        <v/>
      </c>
      <c r="BH37" s="100" t="str">
        <f t="shared" si="7"/>
        <v/>
      </c>
      <c r="BI37" s="103"/>
    </row>
    <row r="38" spans="1:61" s="95" customFormat="1" ht="75">
      <c r="A38" s="101">
        <v>20121395014</v>
      </c>
      <c r="B38" s="19" t="str">
        <f>VLOOKUP(A38,'ESTADOS ESTUDIANTES'!B:L,2,0)</f>
        <v>RIVAS DIAZGRANADOS MARIAM</v>
      </c>
      <c r="C38" s="102">
        <f>VLOOKUP(A38,'ESTADOS ESTUDIANTES'!B:L,11,0)</f>
        <v>53107576</v>
      </c>
      <c r="D38" s="23">
        <f>VLOOKUP(A38,'ESTADOS ESTUDIANTES'!B:L,3,0)</f>
        <v>395</v>
      </c>
      <c r="E38" s="102" t="str">
        <f>VLOOKUP(A38,'ESTADOS ESTUDIANTES'!B:L,8,0)</f>
        <v>mrivasd@correo.udistrital.edu.co</v>
      </c>
      <c r="F38" s="102" t="str">
        <f>VLOOKUP(A38,'ESTADOS ESTUDIANTES'!B:L,9,0)</f>
        <v>mariam_rivas@hotmail.com</v>
      </c>
      <c r="G38" s="19" t="str">
        <f>VLOOKUP(A38,'ESTADOS ESTUDIANTES'!B:L,5,0)</f>
        <v>E</v>
      </c>
      <c r="H38" s="103"/>
      <c r="I38" s="100" t="s">
        <v>1453</v>
      </c>
      <c r="J38" s="104"/>
      <c r="K38" s="103"/>
      <c r="L38" s="105"/>
      <c r="M38" s="106"/>
      <c r="N38" s="105"/>
      <c r="O38" s="106"/>
      <c r="P38" s="107"/>
      <c r="Q38" s="100" t="s">
        <v>1454</v>
      </c>
      <c r="R38" s="100" t="s">
        <v>1455</v>
      </c>
      <c r="S38" s="102">
        <v>2016</v>
      </c>
      <c r="T38" s="100" t="s">
        <v>1443</v>
      </c>
      <c r="U38" s="105">
        <v>42545</v>
      </c>
      <c r="V38" s="105">
        <v>42563</v>
      </c>
      <c r="W38" s="102">
        <v>1</v>
      </c>
      <c r="X38" s="91">
        <f t="shared" ca="1" si="9"/>
        <v>0</v>
      </c>
      <c r="Y38" s="114" t="s">
        <v>43</v>
      </c>
      <c r="Z38" s="100" t="s">
        <v>270</v>
      </c>
      <c r="AA38" s="100" t="s">
        <v>1456</v>
      </c>
      <c r="AB38" s="105">
        <v>42641</v>
      </c>
      <c r="AC38" s="102">
        <v>2</v>
      </c>
      <c r="AD38" s="21">
        <f t="shared" ca="1" si="10"/>
        <v>0</v>
      </c>
      <c r="AE38" s="114" t="s">
        <v>43</v>
      </c>
      <c r="AF38" s="105">
        <v>42871</v>
      </c>
      <c r="AG38" s="100" t="s">
        <v>1443</v>
      </c>
      <c r="AH38" s="105">
        <v>43040</v>
      </c>
      <c r="AI38" s="105">
        <v>43059</v>
      </c>
      <c r="AJ38" s="102">
        <v>2</v>
      </c>
      <c r="AK38" s="23">
        <f t="shared" ca="1" si="8"/>
        <v>0</v>
      </c>
      <c r="AL38" s="100" t="s">
        <v>42</v>
      </c>
      <c r="AM38" s="100" t="s">
        <v>270</v>
      </c>
      <c r="AN38" s="100" t="s">
        <v>1457</v>
      </c>
      <c r="AO38" s="100" t="s">
        <v>1458</v>
      </c>
      <c r="AP38" s="102">
        <v>2</v>
      </c>
      <c r="AQ38" s="162">
        <f t="shared" ca="1" si="11"/>
        <v>0</v>
      </c>
      <c r="AR38" s="162" t="s">
        <v>42</v>
      </c>
      <c r="AS38" s="100" t="s">
        <v>1459</v>
      </c>
      <c r="AT38" s="101">
        <v>5</v>
      </c>
      <c r="AU38" s="100" t="s">
        <v>41</v>
      </c>
      <c r="AV38" s="102">
        <v>43081</v>
      </c>
      <c r="AW38" s="102">
        <v>43182</v>
      </c>
      <c r="AX38" s="102">
        <v>2018</v>
      </c>
      <c r="AY38" s="103"/>
      <c r="AZ38" s="103"/>
      <c r="BA38" s="103"/>
      <c r="BB38" s="103"/>
      <c r="BC38" s="103"/>
      <c r="BD38" s="100" t="str">
        <f t="shared" si="3"/>
        <v/>
      </c>
      <c r="BE38" s="100" t="str">
        <f t="shared" si="4"/>
        <v/>
      </c>
      <c r="BF38" s="100" t="str">
        <f t="shared" si="5"/>
        <v/>
      </c>
      <c r="BG38" s="100" t="str">
        <f t="shared" si="6"/>
        <v/>
      </c>
      <c r="BH38" s="100" t="str">
        <f t="shared" si="7"/>
        <v/>
      </c>
      <c r="BI38" s="103"/>
    </row>
    <row r="39" spans="1:61" s="95" customFormat="1">
      <c r="A39" s="101">
        <v>20121395016</v>
      </c>
      <c r="B39" s="19" t="str">
        <f>VLOOKUP(A39,'ESTADOS ESTUDIANTES'!B:L,2,0)</f>
        <v>ROMERO MENDEZ YOULIN FARIDY</v>
      </c>
      <c r="C39" s="102">
        <f>VLOOKUP(A39,'ESTADOS ESTUDIANTES'!B:L,11,0)</f>
        <v>1014195384</v>
      </c>
      <c r="D39" s="23">
        <f>VLOOKUP(A39,'ESTADOS ESTUDIANTES'!B:L,3,0)</f>
        <v>395</v>
      </c>
      <c r="E39" s="102">
        <f>VLOOKUP(A39,'ESTADOS ESTUDIANTES'!B:L,8,0)</f>
        <v>0</v>
      </c>
      <c r="F39" s="102" t="str">
        <f>VLOOKUP(A39,'ESTADOS ESTUDIANTES'!B:L,9,0)</f>
        <v>ingyoulinromero@gmail.com</v>
      </c>
      <c r="G39" s="19" t="str">
        <f>VLOOKUP(A39,'ESTADOS ESTUDIANTES'!B:L,5,0)</f>
        <v>X</v>
      </c>
      <c r="H39" s="103"/>
      <c r="I39" s="103"/>
      <c r="J39" s="103"/>
      <c r="K39" s="103"/>
      <c r="L39" s="105"/>
      <c r="M39" s="106"/>
      <c r="N39" s="105"/>
      <c r="O39" s="106"/>
      <c r="P39" s="107"/>
      <c r="Q39" s="100"/>
      <c r="R39" s="105"/>
      <c r="S39" s="103"/>
      <c r="T39" s="103"/>
      <c r="U39" s="105"/>
      <c r="V39" s="105"/>
      <c r="W39" s="103"/>
      <c r="X39" s="91">
        <f t="shared" ca="1" si="9"/>
        <v>33055</v>
      </c>
      <c r="Y39" s="99"/>
      <c r="Z39" s="103"/>
      <c r="AA39" s="105"/>
      <c r="AB39" s="105"/>
      <c r="AC39" s="103"/>
      <c r="AD39" s="21">
        <f t="shared" ca="1" si="10"/>
        <v>33055</v>
      </c>
      <c r="AE39" s="99"/>
      <c r="AF39" s="105"/>
      <c r="AG39" s="103"/>
      <c r="AH39" s="105"/>
      <c r="AI39" s="105"/>
      <c r="AJ39" s="103"/>
      <c r="AK39" s="23">
        <f t="shared" ca="1" si="8"/>
        <v>33055</v>
      </c>
      <c r="AL39" s="103"/>
      <c r="AM39" s="103"/>
      <c r="AN39" s="105"/>
      <c r="AO39" s="105"/>
      <c r="AP39" s="103"/>
      <c r="AQ39" s="163">
        <f t="shared" ca="1" si="11"/>
        <v>33055</v>
      </c>
      <c r="AR39" s="163"/>
      <c r="AS39" s="101"/>
      <c r="AT39" s="101"/>
      <c r="AU39" s="103"/>
      <c r="AV39" s="103"/>
      <c r="AW39" s="103"/>
      <c r="AX39" s="103"/>
      <c r="AY39" s="103"/>
      <c r="AZ39" s="103"/>
      <c r="BA39" s="103"/>
      <c r="BB39" s="103"/>
      <c r="BC39" s="103"/>
      <c r="BD39" s="100" t="str">
        <f t="shared" si="3"/>
        <v/>
      </c>
      <c r="BE39" s="100" t="str">
        <f t="shared" si="4"/>
        <v/>
      </c>
      <c r="BF39" s="100" t="str">
        <f t="shared" si="5"/>
        <v/>
      </c>
      <c r="BG39" s="100" t="str">
        <f t="shared" si="6"/>
        <v/>
      </c>
      <c r="BH39" s="100" t="str">
        <f t="shared" si="7"/>
        <v/>
      </c>
      <c r="BI39" s="103"/>
    </row>
    <row r="40" spans="1:61" s="95" customFormat="1" ht="30">
      <c r="A40" s="101">
        <v>20121395017</v>
      </c>
      <c r="B40" s="19" t="str">
        <f>VLOOKUP(A40,'ESTADOS ESTUDIANTES'!B:L,2,0)</f>
        <v>REYES GOMEZ IVAN ANDRES</v>
      </c>
      <c r="C40" s="102">
        <f>VLOOKUP(A40,'ESTADOS ESTUDIANTES'!B:L,11,0)</f>
        <v>80803723</v>
      </c>
      <c r="D40" s="23">
        <f>VLOOKUP(A40,'ESTADOS ESTUDIANTES'!B:L,3,0)</f>
        <v>395</v>
      </c>
      <c r="E40" s="102">
        <f>VLOOKUP(A40,'ESTADOS ESTUDIANTES'!B:L,8,0)</f>
        <v>0</v>
      </c>
      <c r="F40" s="102" t="str">
        <f>VLOOKUP(A40,'ESTADOS ESTUDIANTES'!B:L,9,0)</f>
        <v>iareyesgomez@gmail.com</v>
      </c>
      <c r="G40" s="19" t="str">
        <f>VLOOKUP(A40,'ESTADOS ESTUDIANTES'!B:L,5,0)</f>
        <v>E</v>
      </c>
      <c r="H40" s="103"/>
      <c r="I40" s="100" t="s">
        <v>1460</v>
      </c>
      <c r="J40" s="108" t="s">
        <v>1461</v>
      </c>
      <c r="K40" s="103"/>
      <c r="L40" s="105"/>
      <c r="M40" s="106"/>
      <c r="N40" s="105"/>
      <c r="O40" s="106"/>
      <c r="P40" s="107"/>
      <c r="Q40" s="102">
        <v>22</v>
      </c>
      <c r="R40" s="105">
        <v>2013</v>
      </c>
      <c r="S40" s="101">
        <v>2013</v>
      </c>
      <c r="T40" s="100" t="s">
        <v>1462</v>
      </c>
      <c r="U40" s="105"/>
      <c r="V40" s="105"/>
      <c r="W40" s="103"/>
      <c r="X40" s="91" t="e">
        <f t="shared" ca="1" si="9"/>
        <v>#VALUE!</v>
      </c>
      <c r="Y40" s="100" t="s">
        <v>43</v>
      </c>
      <c r="Z40" s="100" t="s">
        <v>1463</v>
      </c>
      <c r="AA40" s="105"/>
      <c r="AB40" s="105"/>
      <c r="AC40" s="103"/>
      <c r="AD40" s="21" t="e">
        <f t="shared" ca="1" si="10"/>
        <v>#VALUE!</v>
      </c>
      <c r="AE40" s="100" t="s">
        <v>43</v>
      </c>
      <c r="AF40" s="105"/>
      <c r="AG40" s="100" t="s">
        <v>1462</v>
      </c>
      <c r="AH40" s="105"/>
      <c r="AI40" s="105"/>
      <c r="AJ40" s="103"/>
      <c r="AK40" s="23">
        <f ca="1">IF(AL40="",NETWORKDAYS.INTL(AH40,TODAY(),1),0)</f>
        <v>0</v>
      </c>
      <c r="AL40" s="100" t="s">
        <v>42</v>
      </c>
      <c r="AM40" s="100" t="s">
        <v>270</v>
      </c>
      <c r="AN40" s="105">
        <v>42629</v>
      </c>
      <c r="AO40" s="105"/>
      <c r="AP40" s="100" t="s">
        <v>1463</v>
      </c>
      <c r="AQ40" s="163">
        <f t="shared" ca="1" si="11"/>
        <v>0</v>
      </c>
      <c r="AR40" s="162" t="s">
        <v>42</v>
      </c>
      <c r="AS40" s="101">
        <v>42678</v>
      </c>
      <c r="AT40" s="101">
        <v>5</v>
      </c>
      <c r="AU40" s="100" t="s">
        <v>41</v>
      </c>
      <c r="AV40" s="100" t="s">
        <v>1464</v>
      </c>
      <c r="AW40" s="103"/>
      <c r="AX40" s="103"/>
      <c r="AY40" s="103"/>
      <c r="AZ40" s="103"/>
      <c r="BA40" s="103"/>
      <c r="BB40" s="103"/>
      <c r="BC40" s="103"/>
      <c r="BD40" s="100" t="str">
        <f t="shared" si="3"/>
        <v/>
      </c>
      <c r="BE40" s="100" t="str">
        <f t="shared" si="4"/>
        <v/>
      </c>
      <c r="BF40" s="100" t="str">
        <f t="shared" si="5"/>
        <v/>
      </c>
      <c r="BG40" s="100" t="str">
        <f t="shared" si="6"/>
        <v/>
      </c>
      <c r="BH40" s="100" t="str">
        <f t="shared" si="7"/>
        <v/>
      </c>
      <c r="BI40" s="103"/>
    </row>
    <row r="41" spans="1:61" s="95" customFormat="1" ht="30">
      <c r="A41" s="101">
        <v>20122195001</v>
      </c>
      <c r="B41" s="19" t="str">
        <f>VLOOKUP(A41,'ESTADOS ESTUDIANTES'!B:L,2,0)</f>
        <v>FERREIRA ANGARITA FABIO ALEXANDER</v>
      </c>
      <c r="C41" s="102">
        <f>VLOOKUP(A41,'ESTADOS ESTUDIANTES'!B:L,11,0)</f>
        <v>72288901</v>
      </c>
      <c r="D41" s="23">
        <f>VLOOKUP(A41,'ESTADOS ESTUDIANTES'!B:L,3,0)</f>
        <v>195</v>
      </c>
      <c r="E41" s="102">
        <f>VLOOKUP(A41,'ESTADOS ESTUDIANTES'!B:L,8,0)</f>
        <v>0</v>
      </c>
      <c r="F41" s="102" t="str">
        <f>VLOOKUP(A41,'ESTADOS ESTUDIANTES'!B:L,9,0)</f>
        <v>fabiorov@gmail.com</v>
      </c>
      <c r="G41" s="19" t="str">
        <f>VLOOKUP(A41,'ESTADOS ESTUDIANTES'!B:L,5,0)</f>
        <v>X</v>
      </c>
      <c r="H41" s="103"/>
      <c r="I41" s="103"/>
      <c r="J41" s="103"/>
      <c r="K41" s="103"/>
      <c r="L41" s="105"/>
      <c r="M41" s="106"/>
      <c r="N41" s="105"/>
      <c r="O41" s="106"/>
      <c r="P41" s="107"/>
      <c r="Q41" s="100"/>
      <c r="R41" s="105"/>
      <c r="S41" s="103"/>
      <c r="T41" s="103"/>
      <c r="U41" s="105"/>
      <c r="V41" s="105"/>
      <c r="W41" s="103"/>
      <c r="X41" s="91">
        <f t="shared" ca="1" si="9"/>
        <v>33055</v>
      </c>
      <c r="Y41" s="99"/>
      <c r="Z41" s="103"/>
      <c r="AA41" s="105"/>
      <c r="AB41" s="105"/>
      <c r="AC41" s="103"/>
      <c r="AD41" s="21">
        <f t="shared" ca="1" si="10"/>
        <v>33055</v>
      </c>
      <c r="AE41" s="99"/>
      <c r="AF41" s="105"/>
      <c r="AG41" s="103"/>
      <c r="AH41" s="105"/>
      <c r="AI41" s="105"/>
      <c r="AJ41" s="103"/>
      <c r="AK41" s="23">
        <f ca="1">IF(AH41="",NETWORKDAYS.INTL(AL41,TODAY(),1),0)</f>
        <v>33055</v>
      </c>
      <c r="AL41" s="103"/>
      <c r="AM41" s="103"/>
      <c r="AN41" s="105"/>
      <c r="AO41" s="105"/>
      <c r="AP41" s="103"/>
      <c r="AQ41" s="163">
        <f t="shared" ca="1" si="11"/>
        <v>33055</v>
      </c>
      <c r="AR41" s="163"/>
      <c r="AS41" s="101"/>
      <c r="AT41" s="101"/>
      <c r="AU41" s="103"/>
      <c r="AV41" s="103"/>
      <c r="AW41" s="103"/>
      <c r="AX41" s="103"/>
      <c r="AY41" s="103"/>
      <c r="AZ41" s="103"/>
      <c r="BA41" s="103"/>
      <c r="BB41" s="103"/>
      <c r="BC41" s="103"/>
      <c r="BD41" s="100" t="str">
        <f t="shared" si="3"/>
        <v/>
      </c>
      <c r="BE41" s="100" t="str">
        <f t="shared" si="4"/>
        <v/>
      </c>
      <c r="BF41" s="100" t="str">
        <f t="shared" si="5"/>
        <v/>
      </c>
      <c r="BG41" s="100" t="str">
        <f t="shared" si="6"/>
        <v/>
      </c>
      <c r="BH41" s="100" t="str">
        <f t="shared" si="7"/>
        <v/>
      </c>
      <c r="BI41" s="103"/>
    </row>
    <row r="42" spans="1:61" s="95" customFormat="1" ht="30">
      <c r="A42" s="21">
        <v>20122195002</v>
      </c>
      <c r="B42" s="19" t="str">
        <f>VLOOKUP(A42,'ESTADOS ESTUDIANTES'!B:L,2,0)</f>
        <v>FUENMAYOR RIVADENEIRA GERALD BREEK</v>
      </c>
      <c r="C42" s="19">
        <f>VLOOKUP(A42,'ESTADOS ESTUDIANTES'!B:L,11,0)</f>
        <v>79723380</v>
      </c>
      <c r="D42" s="23">
        <f>VLOOKUP(A42,'ESTADOS ESTUDIANTES'!B:L,3,0)</f>
        <v>195</v>
      </c>
      <c r="E42" s="19">
        <f>VLOOKUP(A42,'ESTADOS ESTUDIANTES'!B:L,8,0)</f>
        <v>0</v>
      </c>
      <c r="F42" s="19" t="str">
        <f>VLOOKUP(A42,'ESTADOS ESTUDIANTES'!B:L,9,0)</f>
        <v>gbfuenmayorr@udistrital.edu.co</v>
      </c>
      <c r="G42" s="19" t="str">
        <f>VLOOKUP(A42,'ESTADOS ESTUDIANTES'!B:L,5,0)</f>
        <v>X</v>
      </c>
      <c r="H42" s="18" t="s">
        <v>46</v>
      </c>
      <c r="I42" s="23"/>
      <c r="J42" s="23"/>
      <c r="K42" s="23"/>
      <c r="L42" s="96"/>
      <c r="M42" s="97"/>
      <c r="N42" s="96">
        <v>44097</v>
      </c>
      <c r="O42" s="97">
        <v>71.959999999999994</v>
      </c>
      <c r="P42" s="98" t="s">
        <v>79</v>
      </c>
      <c r="Q42" s="18"/>
      <c r="R42" s="96"/>
      <c r="S42" s="23"/>
      <c r="T42" s="23"/>
      <c r="U42" s="96"/>
      <c r="V42" s="96"/>
      <c r="W42" s="23"/>
      <c r="X42" s="91">
        <f t="shared" ca="1" si="9"/>
        <v>33055</v>
      </c>
      <c r="Y42" s="99"/>
      <c r="Z42" s="23"/>
      <c r="AA42" s="96"/>
      <c r="AB42" s="96"/>
      <c r="AC42" s="23"/>
      <c r="AD42" s="21">
        <f t="shared" ca="1" si="10"/>
        <v>33055</v>
      </c>
      <c r="AE42" s="99"/>
      <c r="AF42" s="96"/>
      <c r="AG42" s="23"/>
      <c r="AH42" s="96"/>
      <c r="AI42" s="96"/>
      <c r="AJ42" s="19">
        <v>0</v>
      </c>
      <c r="AK42" s="23">
        <f ca="1">IF(AH42="",NETWORKDAYS.INTL(AL42,TODAY(),1),0)</f>
        <v>33055</v>
      </c>
      <c r="AL42" s="23"/>
      <c r="AM42" s="23"/>
      <c r="AN42" s="96"/>
      <c r="AO42" s="96"/>
      <c r="AP42" s="23"/>
      <c r="AQ42" s="163">
        <f t="shared" ca="1" si="11"/>
        <v>33055</v>
      </c>
      <c r="AR42" s="161"/>
      <c r="AS42" s="18"/>
      <c r="AT42" s="21"/>
      <c r="AU42" s="23"/>
      <c r="AV42" s="23"/>
      <c r="AW42" s="23"/>
      <c r="AX42" s="23"/>
      <c r="AY42" s="23"/>
      <c r="AZ42" s="23"/>
      <c r="BA42" s="23"/>
      <c r="BB42" s="23"/>
      <c r="BC42" s="23"/>
      <c r="BD42" s="100" t="str">
        <f t="shared" si="3"/>
        <v/>
      </c>
      <c r="BE42" s="100" t="str">
        <f t="shared" si="4"/>
        <v/>
      </c>
      <c r="BF42" s="100" t="str">
        <f t="shared" si="5"/>
        <v/>
      </c>
      <c r="BG42" s="100" t="str">
        <f t="shared" si="6"/>
        <v/>
      </c>
      <c r="BH42" s="100" t="str">
        <f t="shared" si="7"/>
        <v/>
      </c>
      <c r="BI42" s="23"/>
    </row>
    <row r="43" spans="1:61" s="95" customFormat="1" ht="45">
      <c r="A43" s="101">
        <v>20122195003</v>
      </c>
      <c r="B43" s="19" t="str">
        <f>VLOOKUP(A43,'ESTADOS ESTUDIANTES'!B:L,2,0)</f>
        <v>GUEVARA RIVEROS ADRIANA YOLANDA</v>
      </c>
      <c r="C43" s="102">
        <f>VLOOKUP(A43,'ESTADOS ESTUDIANTES'!B:L,11,0)</f>
        <v>52147162</v>
      </c>
      <c r="D43" s="23">
        <f>VLOOKUP(A43,'ESTADOS ESTUDIANTES'!B:L,3,0)</f>
        <v>195</v>
      </c>
      <c r="E43" s="102" t="str">
        <f>VLOOKUP(A43,'ESTADOS ESTUDIANTES'!B:L,8,0)</f>
        <v>ayguevarar@udistrital.edu.co</v>
      </c>
      <c r="F43" s="102" t="str">
        <f>VLOOKUP(A43,'ESTADOS ESTUDIANTES'!B:L,9,0)</f>
        <v>adriveros2006@hotmail.com</v>
      </c>
      <c r="G43" s="19" t="str">
        <f>VLOOKUP(A43,'ESTADOS ESTUDIANTES'!B:L,5,0)</f>
        <v>E</v>
      </c>
      <c r="H43" s="103"/>
      <c r="I43" s="100" t="s">
        <v>1465</v>
      </c>
      <c r="J43" s="108" t="s">
        <v>247</v>
      </c>
      <c r="K43" s="103"/>
      <c r="L43" s="105"/>
      <c r="M43" s="106"/>
      <c r="N43" s="105"/>
      <c r="O43" s="106"/>
      <c r="P43" s="107"/>
      <c r="Q43" s="100" t="s">
        <v>1466</v>
      </c>
      <c r="R43" s="105">
        <v>42264</v>
      </c>
      <c r="S43" s="102">
        <v>2015</v>
      </c>
      <c r="T43" s="100" t="s">
        <v>1467</v>
      </c>
      <c r="U43" s="100" t="s">
        <v>1468</v>
      </c>
      <c r="V43" s="100" t="s">
        <v>1469</v>
      </c>
      <c r="W43" s="102">
        <v>3</v>
      </c>
      <c r="X43" s="91">
        <f t="shared" ca="1" si="9"/>
        <v>0</v>
      </c>
      <c r="Y43" s="18" t="s">
        <v>43</v>
      </c>
      <c r="Z43" s="100" t="s">
        <v>1470</v>
      </c>
      <c r="AA43" s="100" t="s">
        <v>1471</v>
      </c>
      <c r="AB43" s="105">
        <v>43063</v>
      </c>
      <c r="AC43" s="102">
        <v>3</v>
      </c>
      <c r="AD43" s="21">
        <f t="shared" ca="1" si="10"/>
        <v>0</v>
      </c>
      <c r="AE43" s="18" t="s">
        <v>43</v>
      </c>
      <c r="AF43" s="105">
        <v>43389</v>
      </c>
      <c r="AG43" s="100" t="s">
        <v>1472</v>
      </c>
      <c r="AH43" s="105"/>
      <c r="AI43" s="105">
        <v>43446</v>
      </c>
      <c r="AJ43" s="103"/>
      <c r="AK43" s="23">
        <f ca="1">IF(AL43="",NETWORKDAYS.INTL(AH43,TODAY(),1),0)</f>
        <v>0</v>
      </c>
      <c r="AL43" s="100" t="s">
        <v>42</v>
      </c>
      <c r="AM43" s="100" t="s">
        <v>1470</v>
      </c>
      <c r="AN43" s="105"/>
      <c r="AO43" s="105">
        <v>43446</v>
      </c>
      <c r="AP43" s="103"/>
      <c r="AQ43" s="161" t="e">
        <f t="shared" ca="1" si="11"/>
        <v>#VALUE!</v>
      </c>
      <c r="AR43" s="162" t="s">
        <v>42</v>
      </c>
      <c r="AS43" s="101"/>
      <c r="AT43" s="101"/>
      <c r="AU43" s="103"/>
      <c r="AV43" s="103"/>
      <c r="AW43" s="103"/>
      <c r="AX43" s="103"/>
      <c r="AY43" s="103"/>
      <c r="AZ43" s="103"/>
      <c r="BA43" s="103"/>
      <c r="BB43" s="103"/>
      <c r="BC43" s="103"/>
      <c r="BD43" s="100" t="str">
        <f t="shared" si="3"/>
        <v/>
      </c>
      <c r="BE43" s="100" t="str">
        <f t="shared" si="4"/>
        <v/>
      </c>
      <c r="BF43" s="100" t="str">
        <f t="shared" si="5"/>
        <v/>
      </c>
      <c r="BG43" s="100" t="str">
        <f t="shared" si="6"/>
        <v/>
      </c>
      <c r="BH43" s="100" t="str">
        <f t="shared" si="7"/>
        <v/>
      </c>
      <c r="BI43" s="103"/>
    </row>
    <row r="44" spans="1:61" s="95" customFormat="1" ht="30">
      <c r="A44" s="101">
        <v>20122195004</v>
      </c>
      <c r="B44" s="19" t="str">
        <f>VLOOKUP(A44,'ESTADOS ESTUDIANTES'!B:L,2,0)</f>
        <v>MONCALEANO OSPINA ARIEL RICARDO</v>
      </c>
      <c r="C44" s="102">
        <f>VLOOKUP(A44,'ESTADOS ESTUDIANTES'!B:L,11,0)</f>
        <v>1032387826</v>
      </c>
      <c r="D44" s="23">
        <f>VLOOKUP(A44,'ESTADOS ESTUDIANTES'!B:L,3,0)</f>
        <v>195</v>
      </c>
      <c r="E44" s="102">
        <f>VLOOKUP(A44,'ESTADOS ESTUDIANTES'!B:L,8,0)</f>
        <v>0</v>
      </c>
      <c r="F44" s="102" t="str">
        <f>VLOOKUP(A44,'ESTADOS ESTUDIANTES'!B:L,9,0)</f>
        <v>richardoe66@hotmail.com</v>
      </c>
      <c r="G44" s="19" t="str">
        <f>VLOOKUP(A44,'ESTADOS ESTUDIANTES'!B:L,5,0)</f>
        <v>X</v>
      </c>
      <c r="H44" s="103"/>
      <c r="I44" s="103"/>
      <c r="J44" s="103"/>
      <c r="K44" s="103"/>
      <c r="L44" s="105"/>
      <c r="M44" s="106"/>
      <c r="N44" s="105"/>
      <c r="O44" s="106"/>
      <c r="P44" s="107"/>
      <c r="Q44" s="100"/>
      <c r="R44" s="105"/>
      <c r="S44" s="103"/>
      <c r="T44" s="103"/>
      <c r="U44" s="105"/>
      <c r="V44" s="105"/>
      <c r="W44" s="103"/>
      <c r="X44" s="91">
        <f t="shared" ca="1" si="9"/>
        <v>33055</v>
      </c>
      <c r="Y44" s="99"/>
      <c r="Z44" s="103"/>
      <c r="AA44" s="105"/>
      <c r="AB44" s="105"/>
      <c r="AC44" s="103"/>
      <c r="AD44" s="21">
        <f t="shared" ca="1" si="10"/>
        <v>33055</v>
      </c>
      <c r="AE44" s="99"/>
      <c r="AF44" s="105"/>
      <c r="AG44" s="103"/>
      <c r="AH44" s="105"/>
      <c r="AI44" s="105"/>
      <c r="AJ44" s="103"/>
      <c r="AK44" s="23">
        <f t="shared" ref="AK44:AK54" ca="1" si="12">IF(AH44="",NETWORKDAYS.INTL(AL44,TODAY(),1),0)</f>
        <v>33055</v>
      </c>
      <c r="AL44" s="103"/>
      <c r="AM44" s="103"/>
      <c r="AN44" s="105"/>
      <c r="AO44" s="105"/>
      <c r="AP44" s="103"/>
      <c r="AQ44" s="163">
        <f t="shared" ca="1" si="11"/>
        <v>33055</v>
      </c>
      <c r="AR44" s="163"/>
      <c r="AS44" s="101"/>
      <c r="AT44" s="101"/>
      <c r="AU44" s="103"/>
      <c r="AV44" s="103"/>
      <c r="AW44" s="103"/>
      <c r="AX44" s="103"/>
      <c r="AY44" s="103"/>
      <c r="AZ44" s="103"/>
      <c r="BA44" s="103"/>
      <c r="BB44" s="103"/>
      <c r="BC44" s="103"/>
      <c r="BD44" s="100" t="str">
        <f t="shared" si="3"/>
        <v/>
      </c>
      <c r="BE44" s="100" t="str">
        <f t="shared" si="4"/>
        <v/>
      </c>
      <c r="BF44" s="100" t="str">
        <f t="shared" si="5"/>
        <v/>
      </c>
      <c r="BG44" s="100" t="str">
        <f t="shared" si="6"/>
        <v/>
      </c>
      <c r="BH44" s="100" t="str">
        <f t="shared" si="7"/>
        <v/>
      </c>
      <c r="BI44" s="103"/>
    </row>
    <row r="45" spans="1:61" s="95" customFormat="1">
      <c r="A45" s="101">
        <v>20122195007</v>
      </c>
      <c r="B45" s="19" t="str">
        <f>VLOOKUP(A45,'ESTADOS ESTUDIANTES'!B:L,2,0)</f>
        <v>SALGADO FRANCO LIZET CAMILA</v>
      </c>
      <c r="C45" s="102">
        <f>VLOOKUP(A45,'ESTADOS ESTUDIANTES'!B:L,11,0)</f>
        <v>1030550149</v>
      </c>
      <c r="D45" s="23">
        <f>VLOOKUP(A45,'ESTADOS ESTUDIANTES'!B:L,3,0)</f>
        <v>195</v>
      </c>
      <c r="E45" s="102">
        <f>VLOOKUP(A45,'ESTADOS ESTUDIANTES'!B:L,8,0)</f>
        <v>0</v>
      </c>
      <c r="F45" s="102" t="str">
        <f>VLOOKUP(A45,'ESTADOS ESTUDIANTES'!B:L,9,0)</f>
        <v>camila.salgadof@gmail.com</v>
      </c>
      <c r="G45" s="19" t="str">
        <f>VLOOKUP(A45,'ESTADOS ESTUDIANTES'!B:L,5,0)</f>
        <v>E</v>
      </c>
      <c r="H45" s="103"/>
      <c r="I45" s="103"/>
      <c r="J45" s="103"/>
      <c r="K45" s="103"/>
      <c r="L45" s="105"/>
      <c r="M45" s="106"/>
      <c r="N45" s="105"/>
      <c r="O45" s="106"/>
      <c r="P45" s="107"/>
      <c r="Q45" s="100"/>
      <c r="R45" s="105"/>
      <c r="S45" s="103"/>
      <c r="T45" s="103"/>
      <c r="U45" s="105"/>
      <c r="V45" s="105"/>
      <c r="W45" s="103"/>
      <c r="X45" s="91">
        <f t="shared" ca="1" si="9"/>
        <v>33055</v>
      </c>
      <c r="Y45" s="99"/>
      <c r="Z45" s="103"/>
      <c r="AA45" s="105"/>
      <c r="AB45" s="105"/>
      <c r="AC45" s="103"/>
      <c r="AD45" s="21">
        <f t="shared" ca="1" si="10"/>
        <v>33055</v>
      </c>
      <c r="AE45" s="99"/>
      <c r="AF45" s="105"/>
      <c r="AG45" s="103"/>
      <c r="AH45" s="105"/>
      <c r="AI45" s="105"/>
      <c r="AJ45" s="103"/>
      <c r="AK45" s="23">
        <f t="shared" ca="1" si="12"/>
        <v>33055</v>
      </c>
      <c r="AL45" s="103"/>
      <c r="AM45" s="103"/>
      <c r="AN45" s="105"/>
      <c r="AO45" s="105"/>
      <c r="AP45" s="103"/>
      <c r="AQ45" s="163">
        <f t="shared" ca="1" si="11"/>
        <v>33055</v>
      </c>
      <c r="AR45" s="163"/>
      <c r="AS45" s="101"/>
      <c r="AT45" s="101"/>
      <c r="AU45" s="103"/>
      <c r="AV45" s="103"/>
      <c r="AW45" s="103"/>
      <c r="AX45" s="103"/>
      <c r="AY45" s="103"/>
      <c r="AZ45" s="103"/>
      <c r="BA45" s="103"/>
      <c r="BB45" s="103"/>
      <c r="BC45" s="103"/>
      <c r="BD45" s="100" t="str">
        <f t="shared" si="3"/>
        <v/>
      </c>
      <c r="BE45" s="100" t="str">
        <f t="shared" si="4"/>
        <v/>
      </c>
      <c r="BF45" s="100" t="str">
        <f t="shared" si="5"/>
        <v/>
      </c>
      <c r="BG45" s="100" t="str">
        <f t="shared" si="6"/>
        <v/>
      </c>
      <c r="BH45" s="100" t="str">
        <f t="shared" si="7"/>
        <v/>
      </c>
      <c r="BI45" s="103"/>
    </row>
    <row r="46" spans="1:61" s="95" customFormat="1" ht="45">
      <c r="A46" s="101">
        <v>20122195008</v>
      </c>
      <c r="B46" s="19" t="str">
        <f>VLOOKUP(A46,'ESTADOS ESTUDIANTES'!B:L,2,0)</f>
        <v>VASQUEZ SUAREZ HAROLD ANDREY</v>
      </c>
      <c r="C46" s="102">
        <f>VLOOKUP(A46,'ESTADOS ESTUDIANTES'!B:L,11,0)</f>
        <v>1026258511</v>
      </c>
      <c r="D46" s="23">
        <f>VLOOKUP(A46,'ESTADOS ESTUDIANTES'!B:L,3,0)</f>
        <v>195</v>
      </c>
      <c r="E46" s="102">
        <f>VLOOKUP(A46,'ESTADOS ESTUDIANTES'!B:L,8,0)</f>
        <v>0</v>
      </c>
      <c r="F46" s="102" t="str">
        <f>VLOOKUP(A46,'ESTADOS ESTUDIANTES'!B:L,9,0)</f>
        <v>harold869@hotmail.com</v>
      </c>
      <c r="G46" s="19" t="str">
        <f>VLOOKUP(A46,'ESTADOS ESTUDIANTES'!B:L,5,0)</f>
        <v>E</v>
      </c>
      <c r="H46" s="103"/>
      <c r="I46" s="100" t="s">
        <v>1473</v>
      </c>
      <c r="J46" s="108" t="s">
        <v>225</v>
      </c>
      <c r="K46" s="103"/>
      <c r="L46" s="105"/>
      <c r="M46" s="106"/>
      <c r="N46" s="105"/>
      <c r="O46" s="106"/>
      <c r="P46" s="107"/>
      <c r="Q46" s="100" t="s">
        <v>1474</v>
      </c>
      <c r="R46" s="105">
        <v>41947</v>
      </c>
      <c r="S46" s="102">
        <v>2014</v>
      </c>
      <c r="T46" s="100" t="s">
        <v>1300</v>
      </c>
      <c r="U46" s="105">
        <v>42048</v>
      </c>
      <c r="V46" s="105">
        <v>42080</v>
      </c>
      <c r="W46" s="102">
        <v>1</v>
      </c>
      <c r="X46" s="91">
        <f t="shared" ca="1" si="9"/>
        <v>0</v>
      </c>
      <c r="Y46" s="100" t="s">
        <v>43</v>
      </c>
      <c r="Z46" s="100" t="s">
        <v>341</v>
      </c>
      <c r="AA46" s="105">
        <v>42048</v>
      </c>
      <c r="AB46" s="105">
        <v>42110</v>
      </c>
      <c r="AC46" s="102">
        <v>1</v>
      </c>
      <c r="AD46" s="21">
        <f t="shared" ca="1" si="10"/>
        <v>0</v>
      </c>
      <c r="AE46" s="100" t="s">
        <v>43</v>
      </c>
      <c r="AF46" s="105">
        <v>42843</v>
      </c>
      <c r="AG46" s="100" t="s">
        <v>1300</v>
      </c>
      <c r="AH46" s="105">
        <v>42863</v>
      </c>
      <c r="AI46" s="105">
        <v>42879</v>
      </c>
      <c r="AJ46" s="102">
        <v>2</v>
      </c>
      <c r="AK46" s="23">
        <f t="shared" ca="1" si="12"/>
        <v>0</v>
      </c>
      <c r="AL46" s="100" t="s">
        <v>42</v>
      </c>
      <c r="AM46" s="100" t="s">
        <v>341</v>
      </c>
      <c r="AN46" s="105">
        <v>42857</v>
      </c>
      <c r="AO46" s="105">
        <v>42958</v>
      </c>
      <c r="AP46" s="102">
        <v>1</v>
      </c>
      <c r="AQ46" s="162">
        <f t="shared" ca="1" si="11"/>
        <v>0</v>
      </c>
      <c r="AR46" s="162" t="s">
        <v>42</v>
      </c>
      <c r="AS46" s="100" t="s">
        <v>1475</v>
      </c>
      <c r="AT46" s="101">
        <v>5</v>
      </c>
      <c r="AU46" s="100" t="s">
        <v>41</v>
      </c>
      <c r="AV46" s="113">
        <v>43070</v>
      </c>
      <c r="AW46" s="103"/>
      <c r="AX46" s="103"/>
      <c r="AY46" s="103"/>
      <c r="AZ46" s="103"/>
      <c r="BA46" s="103"/>
      <c r="BB46" s="103"/>
      <c r="BC46" s="103"/>
      <c r="BD46" s="100" t="str">
        <f t="shared" si="3"/>
        <v/>
      </c>
      <c r="BE46" s="100" t="str">
        <f t="shared" si="4"/>
        <v/>
      </c>
      <c r="BF46" s="100" t="str">
        <f t="shared" si="5"/>
        <v/>
      </c>
      <c r="BG46" s="100" t="str">
        <f t="shared" si="6"/>
        <v/>
      </c>
      <c r="BH46" s="100" t="str">
        <f t="shared" si="7"/>
        <v/>
      </c>
      <c r="BI46" s="103"/>
    </row>
    <row r="47" spans="1:61" s="95" customFormat="1">
      <c r="A47" s="109">
        <v>20122295001</v>
      </c>
      <c r="B47" s="19" t="str">
        <f>VLOOKUP(A47,'ESTADOS ESTUDIANTES'!B:L,2,0)</f>
        <v>AYALA PÁEZ DANIEL ALEXANDER</v>
      </c>
      <c r="C47" s="102">
        <f>VLOOKUP(A47,'ESTADOS ESTUDIANTES'!B:L,11,0)</f>
        <v>80727294</v>
      </c>
      <c r="D47" s="23">
        <f>VLOOKUP(A47,'ESTADOS ESTUDIANTES'!B:L,3,0)</f>
        <v>295</v>
      </c>
      <c r="E47" s="102">
        <f>VLOOKUP(A47,'ESTADOS ESTUDIANTES'!B:L,8,0)</f>
        <v>0</v>
      </c>
      <c r="F47" s="102" t="str">
        <f>VLOOKUP(A47,'ESTADOS ESTUDIANTES'!B:L,9,0)</f>
        <v>danielbit2000@yahoo.es</v>
      </c>
      <c r="G47" s="19" t="str">
        <f>VLOOKUP(A47,'ESTADOS ESTUDIANTES'!B:L,5,0)</f>
        <v>X</v>
      </c>
      <c r="H47" s="103"/>
      <c r="I47" s="103"/>
      <c r="J47" s="103"/>
      <c r="K47" s="103"/>
      <c r="L47" s="105"/>
      <c r="M47" s="106"/>
      <c r="N47" s="105"/>
      <c r="O47" s="106"/>
      <c r="P47" s="107"/>
      <c r="Q47" s="100"/>
      <c r="R47" s="105"/>
      <c r="S47" s="103"/>
      <c r="T47" s="103"/>
      <c r="U47" s="105"/>
      <c r="V47" s="105"/>
      <c r="W47" s="103"/>
      <c r="X47" s="91">
        <f t="shared" ca="1" si="9"/>
        <v>33055</v>
      </c>
      <c r="Y47" s="99"/>
      <c r="Z47" s="103"/>
      <c r="AA47" s="105"/>
      <c r="AB47" s="105"/>
      <c r="AC47" s="103"/>
      <c r="AD47" s="21">
        <f t="shared" ca="1" si="10"/>
        <v>33055</v>
      </c>
      <c r="AE47" s="99"/>
      <c r="AF47" s="105"/>
      <c r="AG47" s="103"/>
      <c r="AH47" s="105"/>
      <c r="AI47" s="105"/>
      <c r="AJ47" s="103"/>
      <c r="AK47" s="23">
        <f t="shared" ca="1" si="12"/>
        <v>33055</v>
      </c>
      <c r="AL47" s="103"/>
      <c r="AM47" s="103"/>
      <c r="AN47" s="105"/>
      <c r="AO47" s="105"/>
      <c r="AP47" s="103"/>
      <c r="AQ47" s="161">
        <f t="shared" ca="1" si="11"/>
        <v>33055</v>
      </c>
      <c r="AR47" s="163"/>
      <c r="AS47" s="100"/>
      <c r="AT47" s="101"/>
      <c r="AU47" s="103"/>
      <c r="AV47" s="103"/>
      <c r="AW47" s="103"/>
      <c r="AX47" s="103"/>
      <c r="AY47" s="103"/>
      <c r="AZ47" s="103"/>
      <c r="BA47" s="103"/>
      <c r="BB47" s="103"/>
      <c r="BC47" s="103"/>
      <c r="BD47" s="100" t="str">
        <f t="shared" si="3"/>
        <v/>
      </c>
      <c r="BE47" s="100" t="str">
        <f t="shared" si="4"/>
        <v/>
      </c>
      <c r="BF47" s="100" t="str">
        <f t="shared" si="5"/>
        <v/>
      </c>
      <c r="BG47" s="100" t="str">
        <f t="shared" si="6"/>
        <v/>
      </c>
      <c r="BH47" s="100" t="str">
        <f t="shared" si="7"/>
        <v/>
      </c>
      <c r="BI47" s="103"/>
    </row>
    <row r="48" spans="1:61" s="95" customFormat="1" ht="30">
      <c r="A48" s="101">
        <v>20122295002</v>
      </c>
      <c r="B48" s="19" t="str">
        <f>VLOOKUP(A48,'ESTADOS ESTUDIANTES'!B:L,2,0)</f>
        <v>BURBANO MORENO JHONNY MAURICIO</v>
      </c>
      <c r="C48" s="102">
        <f>VLOOKUP(A48,'ESTADOS ESTUDIANTES'!B:L,11,0)</f>
        <v>80034881</v>
      </c>
      <c r="D48" s="23">
        <f>VLOOKUP(A48,'ESTADOS ESTUDIANTES'!B:L,3,0)</f>
        <v>295</v>
      </c>
      <c r="E48" s="102">
        <f>VLOOKUP(A48,'ESTADOS ESTUDIANTES'!B:L,8,0)</f>
        <v>0</v>
      </c>
      <c r="F48" s="102" t="str">
        <f>VLOOKUP(A48,'ESTADOS ESTUDIANTES'!B:L,9,0)</f>
        <v>hogoblinj@gmail.com</v>
      </c>
      <c r="G48" s="19" t="str">
        <f>VLOOKUP(A48,'ESTADOS ESTUDIANTES'!B:L,5,0)</f>
        <v>X</v>
      </c>
      <c r="H48" s="103"/>
      <c r="I48" s="103"/>
      <c r="J48" s="103"/>
      <c r="K48" s="103"/>
      <c r="L48" s="105"/>
      <c r="M48" s="106"/>
      <c r="N48" s="105"/>
      <c r="O48" s="106"/>
      <c r="P48" s="107"/>
      <c r="Q48" s="100"/>
      <c r="R48" s="105"/>
      <c r="S48" s="103"/>
      <c r="T48" s="103"/>
      <c r="U48" s="105"/>
      <c r="V48" s="105"/>
      <c r="W48" s="103"/>
      <c r="X48" s="91">
        <f t="shared" ca="1" si="9"/>
        <v>33055</v>
      </c>
      <c r="Y48" s="99"/>
      <c r="Z48" s="103"/>
      <c r="AA48" s="105"/>
      <c r="AB48" s="105"/>
      <c r="AC48" s="103"/>
      <c r="AD48" s="21">
        <f t="shared" ca="1" si="10"/>
        <v>33055</v>
      </c>
      <c r="AE48" s="99"/>
      <c r="AF48" s="105"/>
      <c r="AG48" s="103"/>
      <c r="AH48" s="105"/>
      <c r="AI48" s="105"/>
      <c r="AJ48" s="103"/>
      <c r="AK48" s="23">
        <f t="shared" ca="1" si="12"/>
        <v>33055</v>
      </c>
      <c r="AL48" s="103"/>
      <c r="AM48" s="103"/>
      <c r="AN48" s="105"/>
      <c r="AO48" s="105"/>
      <c r="AP48" s="103"/>
      <c r="AQ48" s="163">
        <f t="shared" ca="1" si="11"/>
        <v>33055</v>
      </c>
      <c r="AR48" s="163"/>
      <c r="AS48" s="101"/>
      <c r="AT48" s="101"/>
      <c r="AU48" s="103"/>
      <c r="AV48" s="103"/>
      <c r="AW48" s="103"/>
      <c r="AX48" s="103"/>
      <c r="AY48" s="103"/>
      <c r="AZ48" s="103"/>
      <c r="BA48" s="103"/>
      <c r="BB48" s="103"/>
      <c r="BC48" s="103"/>
      <c r="BD48" s="100" t="str">
        <f t="shared" si="3"/>
        <v/>
      </c>
      <c r="BE48" s="100" t="str">
        <f t="shared" si="4"/>
        <v/>
      </c>
      <c r="BF48" s="100" t="str">
        <f t="shared" si="5"/>
        <v/>
      </c>
      <c r="BG48" s="100" t="str">
        <f t="shared" si="6"/>
        <v/>
      </c>
      <c r="BH48" s="100" t="str">
        <f t="shared" si="7"/>
        <v/>
      </c>
      <c r="BI48" s="103"/>
    </row>
    <row r="49" spans="1:61" s="95" customFormat="1" ht="60">
      <c r="A49" s="101">
        <v>20122295003</v>
      </c>
      <c r="B49" s="19" t="str">
        <f>VLOOKUP(A49,'ESTADOS ESTUDIANTES'!B:L,2,0)</f>
        <v>DÍAZ HERNÁNDEZ MARÍA FERNANDA</v>
      </c>
      <c r="C49" s="102">
        <f>VLOOKUP(A49,'ESTADOS ESTUDIANTES'!B:L,11,0)</f>
        <v>51661990</v>
      </c>
      <c r="D49" s="23">
        <f>VLOOKUP(A49,'ESTADOS ESTUDIANTES'!B:L,3,0)</f>
        <v>295</v>
      </c>
      <c r="E49" s="102" t="str">
        <f>VLOOKUP(A49,'ESTADOS ESTUDIANTES'!B:L,8,0)</f>
        <v>mfdiazh@udistrital.edu.co</v>
      </c>
      <c r="F49" s="102" t="str">
        <f>VLOOKUP(A49,'ESTADOS ESTUDIANTES'!B:L,9,0)</f>
        <v>mafediazh77@gmail.com</v>
      </c>
      <c r="G49" s="19" t="str">
        <f>VLOOKUP(A49,'ESTADOS ESTUDIANTES'!B:L,5,0)</f>
        <v>E</v>
      </c>
      <c r="H49" s="100" t="s">
        <v>60</v>
      </c>
      <c r="I49" s="100" t="s">
        <v>1476</v>
      </c>
      <c r="J49" s="104"/>
      <c r="K49" s="103"/>
      <c r="L49" s="105"/>
      <c r="M49" s="106"/>
      <c r="N49" s="105"/>
      <c r="O49" s="106"/>
      <c r="P49" s="107"/>
      <c r="Q49" s="100" t="s">
        <v>1477</v>
      </c>
      <c r="R49" s="105">
        <v>42579</v>
      </c>
      <c r="S49" s="102">
        <v>2016</v>
      </c>
      <c r="T49" s="100" t="s">
        <v>1478</v>
      </c>
      <c r="U49" s="105">
        <v>42591</v>
      </c>
      <c r="V49" s="105">
        <v>42653</v>
      </c>
      <c r="W49" s="102">
        <v>1</v>
      </c>
      <c r="X49" s="91">
        <f t="shared" ca="1" si="9"/>
        <v>0</v>
      </c>
      <c r="Y49" s="100" t="s">
        <v>43</v>
      </c>
      <c r="Z49" s="100" t="s">
        <v>1441</v>
      </c>
      <c r="AA49" s="105">
        <v>42592</v>
      </c>
      <c r="AB49" s="105">
        <v>42613</v>
      </c>
      <c r="AC49" s="102">
        <v>1</v>
      </c>
      <c r="AD49" s="21">
        <f t="shared" ca="1" si="10"/>
        <v>0</v>
      </c>
      <c r="AE49" s="100" t="s">
        <v>43</v>
      </c>
      <c r="AF49" s="105">
        <v>42891</v>
      </c>
      <c r="AG49" s="100" t="s">
        <v>1479</v>
      </c>
      <c r="AH49" s="100" t="s">
        <v>1480</v>
      </c>
      <c r="AI49" s="105">
        <v>42961</v>
      </c>
      <c r="AJ49" s="102">
        <v>2</v>
      </c>
      <c r="AK49" s="23">
        <f t="shared" ca="1" si="12"/>
        <v>0</v>
      </c>
      <c r="AL49" s="100" t="s">
        <v>42</v>
      </c>
      <c r="AM49" s="100" t="s">
        <v>1441</v>
      </c>
      <c r="AN49" s="100" t="s">
        <v>1480</v>
      </c>
      <c r="AO49" s="100" t="s">
        <v>1481</v>
      </c>
      <c r="AP49" s="102">
        <v>2</v>
      </c>
      <c r="AQ49" s="162">
        <f t="shared" ca="1" si="11"/>
        <v>0</v>
      </c>
      <c r="AR49" s="162" t="s">
        <v>42</v>
      </c>
      <c r="AS49" s="100" t="s">
        <v>1482</v>
      </c>
      <c r="AT49" s="101">
        <v>4.5999999999999996</v>
      </c>
      <c r="AU49" s="100" t="s">
        <v>41</v>
      </c>
      <c r="AV49" s="113">
        <v>43081</v>
      </c>
      <c r="AW49" s="103"/>
      <c r="AX49" s="103"/>
      <c r="AY49" s="103"/>
      <c r="AZ49" s="103"/>
      <c r="BA49" s="103"/>
      <c r="BB49" s="103"/>
      <c r="BC49" s="103"/>
      <c r="BD49" s="100" t="str">
        <f t="shared" si="3"/>
        <v/>
      </c>
      <c r="BE49" s="100" t="str">
        <f t="shared" si="4"/>
        <v/>
      </c>
      <c r="BF49" s="100" t="str">
        <f t="shared" si="5"/>
        <v/>
      </c>
      <c r="BG49" s="100" t="str">
        <f t="shared" si="6"/>
        <v/>
      </c>
      <c r="BH49" s="100" t="str">
        <f t="shared" si="7"/>
        <v/>
      </c>
      <c r="BI49" s="103"/>
    </row>
    <row r="50" spans="1:61" s="95" customFormat="1" ht="30">
      <c r="A50" s="21">
        <v>20122295004</v>
      </c>
      <c r="B50" s="19" t="str">
        <f>VLOOKUP(A50,'ESTADOS ESTUDIANTES'!B:L,2,0)</f>
        <v>FERNÁNDEZ DOMÍNGUEZ JULÍAN ANDRÉS</v>
      </c>
      <c r="C50" s="19">
        <f>VLOOKUP(A50,'ESTADOS ESTUDIANTES'!B:L,11,0)</f>
        <v>16837611</v>
      </c>
      <c r="D50" s="23">
        <f>VLOOKUP(A50,'ESTADOS ESTUDIANTES'!B:L,3,0)</f>
        <v>295</v>
      </c>
      <c r="E50" s="19">
        <f>VLOOKUP(A50,'ESTADOS ESTUDIANTES'!B:L,8,0)</f>
        <v>0</v>
      </c>
      <c r="F50" s="19" t="str">
        <f>VLOOKUP(A50,'ESTADOS ESTUDIANTES'!B:L,9,0)</f>
        <v>juanfedo@gmail.com</v>
      </c>
      <c r="G50" s="19" t="str">
        <f>VLOOKUP(A50,'ESTADOS ESTUDIANTES'!B:L,5,0)</f>
        <v>X</v>
      </c>
      <c r="H50" s="18" t="s">
        <v>46</v>
      </c>
      <c r="I50" s="23"/>
      <c r="J50" s="23"/>
      <c r="K50" s="23"/>
      <c r="L50" s="96"/>
      <c r="M50" s="97"/>
      <c r="N50" s="96"/>
      <c r="O50" s="97"/>
      <c r="P50" s="110"/>
      <c r="Q50" s="18"/>
      <c r="R50" s="96"/>
      <c r="S50" s="23"/>
      <c r="T50" s="23"/>
      <c r="U50" s="96"/>
      <c r="V50" s="96"/>
      <c r="W50" s="23"/>
      <c r="X50" s="91">
        <f t="shared" ca="1" si="9"/>
        <v>33055</v>
      </c>
      <c r="Y50" s="99"/>
      <c r="Z50" s="23"/>
      <c r="AA50" s="96"/>
      <c r="AB50" s="96"/>
      <c r="AC50" s="23"/>
      <c r="AD50" s="21">
        <f t="shared" ca="1" si="10"/>
        <v>33055</v>
      </c>
      <c r="AE50" s="99"/>
      <c r="AF50" s="96"/>
      <c r="AG50" s="23"/>
      <c r="AH50" s="96"/>
      <c r="AI50" s="96"/>
      <c r="AJ50" s="19">
        <v>0</v>
      </c>
      <c r="AK50" s="23">
        <f t="shared" ca="1" si="12"/>
        <v>33055</v>
      </c>
      <c r="AL50" s="23"/>
      <c r="AM50" s="23"/>
      <c r="AN50" s="96"/>
      <c r="AO50" s="96"/>
      <c r="AP50" s="23"/>
      <c r="AQ50" s="163">
        <f t="shared" ca="1" si="11"/>
        <v>33055</v>
      </c>
      <c r="AR50" s="23"/>
      <c r="AS50" s="18"/>
      <c r="AT50" s="21"/>
      <c r="AU50" s="23"/>
      <c r="AV50" s="23"/>
      <c r="AW50" s="23"/>
      <c r="AX50" s="23"/>
      <c r="AY50" s="23"/>
      <c r="AZ50" s="23"/>
      <c r="BA50" s="23"/>
      <c r="BB50" s="23"/>
      <c r="BC50" s="23"/>
      <c r="BD50" s="100" t="str">
        <f t="shared" si="3"/>
        <v/>
      </c>
      <c r="BE50" s="100" t="str">
        <f t="shared" si="4"/>
        <v/>
      </c>
      <c r="BF50" s="100" t="str">
        <f t="shared" si="5"/>
        <v/>
      </c>
      <c r="BG50" s="100" t="str">
        <f t="shared" si="6"/>
        <v/>
      </c>
      <c r="BH50" s="100" t="str">
        <f t="shared" si="7"/>
        <v/>
      </c>
      <c r="BI50" s="23"/>
    </row>
    <row r="51" spans="1:61" s="95" customFormat="1">
      <c r="A51" s="101">
        <v>20122295005</v>
      </c>
      <c r="B51" s="19" t="str">
        <f>VLOOKUP(A51,'ESTADOS ESTUDIANTES'!B:L,2,0)</f>
        <v>FERNÁNDEZ NIETO GLORIA MILENA</v>
      </c>
      <c r="C51" s="102">
        <f>VLOOKUP(A51,'ESTADOS ESTUDIANTES'!B:L,11,0)</f>
        <v>1022342164</v>
      </c>
      <c r="D51" s="23">
        <f>VLOOKUP(A51,'ESTADOS ESTUDIANTES'!B:L,3,0)</f>
        <v>295</v>
      </c>
      <c r="E51" s="102">
        <f>VLOOKUP(A51,'ESTADOS ESTUDIANTES'!B:L,8,0)</f>
        <v>0</v>
      </c>
      <c r="F51" s="102" t="str">
        <f>VLOOKUP(A51,'ESTADOS ESTUDIANTES'!B:L,9,0)</f>
        <v>gmfernandezn@correo.udistrital.edu.co</v>
      </c>
      <c r="G51" s="19" t="str">
        <f>VLOOKUP(A51,'ESTADOS ESTUDIANTES'!B:L,5,0)</f>
        <v>X</v>
      </c>
      <c r="H51" s="103"/>
      <c r="I51" s="103"/>
      <c r="J51" s="103"/>
      <c r="K51" s="103"/>
      <c r="L51" s="105"/>
      <c r="M51" s="106"/>
      <c r="N51" s="105"/>
      <c r="O51" s="106"/>
      <c r="P51" s="107"/>
      <c r="Q51" s="100"/>
      <c r="R51" s="105"/>
      <c r="S51" s="103"/>
      <c r="T51" s="103"/>
      <c r="U51" s="105"/>
      <c r="V51" s="105"/>
      <c r="W51" s="103"/>
      <c r="X51" s="91">
        <f t="shared" ca="1" si="9"/>
        <v>33055</v>
      </c>
      <c r="Y51" s="99"/>
      <c r="Z51" s="103"/>
      <c r="AA51" s="105"/>
      <c r="AB51" s="105"/>
      <c r="AC51" s="103"/>
      <c r="AD51" s="21">
        <f t="shared" ca="1" si="10"/>
        <v>33055</v>
      </c>
      <c r="AE51" s="99"/>
      <c r="AF51" s="105"/>
      <c r="AG51" s="103"/>
      <c r="AH51" s="105"/>
      <c r="AI51" s="105"/>
      <c r="AJ51" s="103"/>
      <c r="AK51" s="23">
        <f t="shared" ca="1" si="12"/>
        <v>33055</v>
      </c>
      <c r="AL51" s="103"/>
      <c r="AM51" s="103"/>
      <c r="AN51" s="105"/>
      <c r="AO51" s="105"/>
      <c r="AP51" s="103"/>
      <c r="AQ51" s="163">
        <f t="shared" ca="1" si="11"/>
        <v>33055</v>
      </c>
      <c r="AR51" s="163"/>
      <c r="AS51" s="101"/>
      <c r="AT51" s="101"/>
      <c r="AU51" s="103"/>
      <c r="AV51" s="103"/>
      <c r="AW51" s="103"/>
      <c r="AX51" s="103"/>
      <c r="AY51" s="103"/>
      <c r="AZ51" s="103"/>
      <c r="BA51" s="103"/>
      <c r="BB51" s="103"/>
      <c r="BC51" s="103"/>
      <c r="BD51" s="100" t="str">
        <f t="shared" si="3"/>
        <v/>
      </c>
      <c r="BE51" s="100" t="str">
        <f t="shared" si="4"/>
        <v/>
      </c>
      <c r="BF51" s="100" t="str">
        <f t="shared" si="5"/>
        <v/>
      </c>
      <c r="BG51" s="100" t="str">
        <f t="shared" si="6"/>
        <v/>
      </c>
      <c r="BH51" s="100" t="str">
        <f t="shared" si="7"/>
        <v/>
      </c>
      <c r="BI51" s="103"/>
    </row>
    <row r="52" spans="1:61" s="207" customFormat="1">
      <c r="A52" s="101">
        <v>20122295006</v>
      </c>
      <c r="B52" s="19" t="str">
        <f>VLOOKUP(A52,'ESTADOS ESTUDIANTES'!B:L,2,0)</f>
        <v>MORENO REY YESID ARTURO</v>
      </c>
      <c r="C52" s="102">
        <f>VLOOKUP(A52,'ESTADOS ESTUDIANTES'!B:L,11,0)</f>
        <v>79712706</v>
      </c>
      <c r="D52" s="23">
        <f>VLOOKUP(A52,'ESTADOS ESTUDIANTES'!B:L,3,0)</f>
        <v>295</v>
      </c>
      <c r="E52" s="102">
        <f>VLOOKUP(A52,'ESTADOS ESTUDIANTES'!B:L,8,0)</f>
        <v>0</v>
      </c>
      <c r="F52" s="102" t="str">
        <f>VLOOKUP(A52,'ESTADOS ESTUDIANTES'!B:L,9,0)</f>
        <v>ymorenor@gmail.com</v>
      </c>
      <c r="G52" s="19" t="str">
        <f>VLOOKUP(A52,'ESTADOS ESTUDIANTES'!B:L,5,0)</f>
        <v>X</v>
      </c>
      <c r="H52" s="103"/>
      <c r="I52" s="103"/>
      <c r="J52" s="103"/>
      <c r="K52" s="103"/>
      <c r="L52" s="105"/>
      <c r="M52" s="106"/>
      <c r="N52" s="105"/>
      <c r="O52" s="106"/>
      <c r="P52" s="107"/>
      <c r="Q52" s="100"/>
      <c r="R52" s="105"/>
      <c r="S52" s="103"/>
      <c r="T52" s="103"/>
      <c r="U52" s="105"/>
      <c r="V52" s="105"/>
      <c r="W52" s="103"/>
      <c r="X52" s="91">
        <f t="shared" ca="1" si="9"/>
        <v>33055</v>
      </c>
      <c r="Y52" s="99"/>
      <c r="Z52" s="103"/>
      <c r="AA52" s="105"/>
      <c r="AB52" s="105"/>
      <c r="AC52" s="103"/>
      <c r="AD52" s="21">
        <f t="shared" ca="1" si="10"/>
        <v>33055</v>
      </c>
      <c r="AE52" s="99"/>
      <c r="AF52" s="105"/>
      <c r="AG52" s="103"/>
      <c r="AH52" s="105"/>
      <c r="AI52" s="105"/>
      <c r="AJ52" s="103"/>
      <c r="AK52" s="23">
        <f t="shared" ca="1" si="12"/>
        <v>33055</v>
      </c>
      <c r="AL52" s="103"/>
      <c r="AM52" s="103"/>
      <c r="AN52" s="105"/>
      <c r="AO52" s="105"/>
      <c r="AP52" s="103"/>
      <c r="AQ52" s="163">
        <f t="shared" ca="1" si="11"/>
        <v>33055</v>
      </c>
      <c r="AR52" s="163"/>
      <c r="AS52" s="101"/>
      <c r="AT52" s="101"/>
      <c r="AU52" s="103"/>
      <c r="AV52" s="103"/>
      <c r="AW52" s="103"/>
      <c r="AX52" s="103"/>
      <c r="AY52" s="103"/>
      <c r="AZ52" s="103"/>
      <c r="BA52" s="103"/>
      <c r="BB52" s="103"/>
      <c r="BC52" s="103"/>
      <c r="BD52" s="100" t="str">
        <f t="shared" si="3"/>
        <v/>
      </c>
      <c r="BE52" s="100" t="str">
        <f t="shared" si="4"/>
        <v/>
      </c>
      <c r="BF52" s="100" t="str">
        <f t="shared" si="5"/>
        <v/>
      </c>
      <c r="BG52" s="100" t="str">
        <f t="shared" si="6"/>
        <v/>
      </c>
      <c r="BH52" s="100" t="str">
        <f t="shared" si="7"/>
        <v/>
      </c>
      <c r="BI52" s="103"/>
    </row>
    <row r="53" spans="1:61" s="95" customFormat="1">
      <c r="A53" s="101">
        <v>20122395001</v>
      </c>
      <c r="B53" s="19" t="str">
        <f>VLOOKUP(A53,'ESTADOS ESTUDIANTES'!B:L,2,0)</f>
        <v>AYALA LEÓN ALEXANDER</v>
      </c>
      <c r="C53" s="102">
        <f>VLOOKUP(A53,'ESTADOS ESTUDIANTES'!B:L,11,0)</f>
        <v>79556501</v>
      </c>
      <c r="D53" s="23">
        <f>VLOOKUP(A53,'ESTADOS ESTUDIANTES'!B:L,3,0)</f>
        <v>395</v>
      </c>
      <c r="E53" s="102">
        <f>VLOOKUP(A53,'ESTADOS ESTUDIANTES'!B:L,8,0)</f>
        <v>0</v>
      </c>
      <c r="F53" s="102" t="str">
        <f>VLOOKUP(A53,'ESTADOS ESTUDIANTES'!B:L,9,0)</f>
        <v>alexander.ayala.leon@gmail.com</v>
      </c>
      <c r="G53" s="19" t="str">
        <f>VLOOKUP(A53,'ESTADOS ESTUDIANTES'!B:L,5,0)</f>
        <v>X</v>
      </c>
      <c r="H53" s="103"/>
      <c r="I53" s="103"/>
      <c r="J53" s="103"/>
      <c r="K53" s="103"/>
      <c r="L53" s="105"/>
      <c r="M53" s="106"/>
      <c r="N53" s="105"/>
      <c r="O53" s="106"/>
      <c r="P53" s="107"/>
      <c r="Q53" s="100"/>
      <c r="R53" s="105"/>
      <c r="S53" s="103"/>
      <c r="T53" s="103"/>
      <c r="U53" s="105"/>
      <c r="V53" s="105"/>
      <c r="W53" s="103"/>
      <c r="X53" s="91">
        <f t="shared" ca="1" si="9"/>
        <v>33055</v>
      </c>
      <c r="Y53" s="99"/>
      <c r="Z53" s="103"/>
      <c r="AA53" s="105"/>
      <c r="AB53" s="105"/>
      <c r="AC53" s="103"/>
      <c r="AD53" s="21">
        <f t="shared" ca="1" si="10"/>
        <v>33055</v>
      </c>
      <c r="AE53" s="99"/>
      <c r="AF53" s="105"/>
      <c r="AG53" s="103"/>
      <c r="AH53" s="105"/>
      <c r="AI53" s="105"/>
      <c r="AJ53" s="100" t="s">
        <v>136</v>
      </c>
      <c r="AK53" s="23">
        <f t="shared" ca="1" si="12"/>
        <v>33055</v>
      </c>
      <c r="AL53" s="103"/>
      <c r="AM53" s="103"/>
      <c r="AN53" s="105"/>
      <c r="AO53" s="105"/>
      <c r="AP53" s="103"/>
      <c r="AQ53" s="163">
        <f t="shared" ca="1" si="11"/>
        <v>33055</v>
      </c>
      <c r="AR53" s="163"/>
      <c r="AS53" s="101"/>
      <c r="AT53" s="101"/>
      <c r="AU53" s="103"/>
      <c r="AV53" s="103"/>
      <c r="AW53" s="103"/>
      <c r="AX53" s="103"/>
      <c r="AY53" s="103"/>
      <c r="AZ53" s="103"/>
      <c r="BA53" s="103"/>
      <c r="BB53" s="103"/>
      <c r="BC53" s="103"/>
      <c r="BD53" s="100" t="str">
        <f t="shared" si="3"/>
        <v/>
      </c>
      <c r="BE53" s="100" t="str">
        <f t="shared" si="4"/>
        <v/>
      </c>
      <c r="BF53" s="100" t="str">
        <f t="shared" si="5"/>
        <v/>
      </c>
      <c r="BG53" s="100" t="str">
        <f t="shared" si="6"/>
        <v/>
      </c>
      <c r="BH53" s="100" t="str">
        <f t="shared" si="7"/>
        <v/>
      </c>
      <c r="BI53" s="103"/>
    </row>
    <row r="54" spans="1:61" s="95" customFormat="1">
      <c r="A54" s="101">
        <v>20122395002</v>
      </c>
      <c r="B54" s="19" t="str">
        <f>VLOOKUP(A54,'ESTADOS ESTUDIANTES'!B:L,2,0)</f>
        <v>BERNAL REYES GERMÁN ORLANDO</v>
      </c>
      <c r="C54" s="102">
        <f>VLOOKUP(A54,'ESTADOS ESTUDIANTES'!B:L,11,0)</f>
        <v>79382169</v>
      </c>
      <c r="D54" s="23">
        <f>VLOOKUP(A54,'ESTADOS ESTUDIANTES'!B:L,3,0)</f>
        <v>395</v>
      </c>
      <c r="E54" s="102">
        <f>VLOOKUP(A54,'ESTADOS ESTUDIANTES'!B:L,8,0)</f>
        <v>0</v>
      </c>
      <c r="F54" s="102" t="str">
        <f>VLOOKUP(A54,'ESTADOS ESTUDIANTES'!B:L,9,0)</f>
        <v>gobernal@gmail.com</v>
      </c>
      <c r="G54" s="19" t="str">
        <f>VLOOKUP(A54,'ESTADOS ESTUDIANTES'!B:L,5,0)</f>
        <v>X</v>
      </c>
      <c r="H54" s="100" t="s">
        <v>60</v>
      </c>
      <c r="I54" s="103"/>
      <c r="J54" s="103"/>
      <c r="K54" s="103"/>
      <c r="L54" s="105"/>
      <c r="M54" s="106"/>
      <c r="N54" s="105"/>
      <c r="O54" s="106"/>
      <c r="P54" s="107"/>
      <c r="Q54" s="100"/>
      <c r="R54" s="105"/>
      <c r="S54" s="103"/>
      <c r="T54" s="103"/>
      <c r="U54" s="105"/>
      <c r="V54" s="105"/>
      <c r="W54" s="103"/>
      <c r="X54" s="91">
        <f t="shared" ca="1" si="9"/>
        <v>33055</v>
      </c>
      <c r="Y54" s="99"/>
      <c r="Z54" s="103"/>
      <c r="AA54" s="105"/>
      <c r="AB54" s="105"/>
      <c r="AC54" s="103"/>
      <c r="AD54" s="21">
        <f t="shared" ca="1" si="10"/>
        <v>33055</v>
      </c>
      <c r="AE54" s="99"/>
      <c r="AF54" s="105"/>
      <c r="AG54" s="103"/>
      <c r="AH54" s="105"/>
      <c r="AI54" s="105"/>
      <c r="AJ54" s="103"/>
      <c r="AK54" s="23">
        <f t="shared" ca="1" si="12"/>
        <v>33055</v>
      </c>
      <c r="AL54" s="103"/>
      <c r="AM54" s="103"/>
      <c r="AN54" s="105"/>
      <c r="AO54" s="105"/>
      <c r="AP54" s="103"/>
      <c r="AQ54" s="163">
        <f t="shared" ca="1" si="11"/>
        <v>33055</v>
      </c>
      <c r="AR54" s="163"/>
      <c r="AS54" s="101"/>
      <c r="AT54" s="101"/>
      <c r="AU54" s="103"/>
      <c r="AV54" s="103"/>
      <c r="AW54" s="103"/>
      <c r="AX54" s="103"/>
      <c r="AY54" s="103"/>
      <c r="AZ54" s="103"/>
      <c r="BA54" s="103"/>
      <c r="BB54" s="103"/>
      <c r="BC54" s="103"/>
      <c r="BD54" s="100" t="str">
        <f t="shared" si="3"/>
        <v/>
      </c>
      <c r="BE54" s="100" t="str">
        <f t="shared" si="4"/>
        <v/>
      </c>
      <c r="BF54" s="100" t="str">
        <f t="shared" si="5"/>
        <v/>
      </c>
      <c r="BG54" s="100" t="str">
        <f t="shared" si="6"/>
        <v/>
      </c>
      <c r="BH54" s="100" t="str">
        <f t="shared" si="7"/>
        <v/>
      </c>
      <c r="BI54" s="103"/>
    </row>
    <row r="55" spans="1:61" s="222" customFormat="1" ht="60">
      <c r="A55" s="101">
        <v>20122395004</v>
      </c>
      <c r="B55" s="19" t="str">
        <f>VLOOKUP(A55,'ESTADOS ESTUDIANTES'!B:L,2,0)</f>
        <v>ESPEJO VALERO OSCAR JAVIER</v>
      </c>
      <c r="C55" s="102">
        <f>VLOOKUP(A55,'ESTADOS ESTUDIANTES'!B:L,11,0)</f>
        <v>80725497</v>
      </c>
      <c r="D55" s="23">
        <f>VLOOKUP(A55,'ESTADOS ESTUDIANTES'!B:L,3,0)</f>
        <v>395</v>
      </c>
      <c r="E55" s="102">
        <f>VLOOKUP(A55,'ESTADOS ESTUDIANTES'!B:L,8,0)</f>
        <v>0</v>
      </c>
      <c r="F55" s="102" t="str">
        <f>VLOOKUP(A55,'ESTADOS ESTUDIANTES'!B:L,9,0)</f>
        <v>ojespejo@gmail.com</v>
      </c>
      <c r="G55" s="19" t="str">
        <f>VLOOKUP(A55,'ESTADOS ESTUDIANTES'!B:L,5,0)</f>
        <v>E</v>
      </c>
      <c r="H55" s="100" t="s">
        <v>46</v>
      </c>
      <c r="I55" s="100" t="s">
        <v>1483</v>
      </c>
      <c r="J55" s="108" t="s">
        <v>222</v>
      </c>
      <c r="K55" s="103"/>
      <c r="L55" s="105"/>
      <c r="M55" s="106"/>
      <c r="N55" s="105"/>
      <c r="O55" s="106"/>
      <c r="P55" s="107"/>
      <c r="Q55" s="102">
        <v>12</v>
      </c>
      <c r="R55" s="105">
        <v>42192</v>
      </c>
      <c r="S55" s="102">
        <v>2015</v>
      </c>
      <c r="T55" s="100" t="s">
        <v>1484</v>
      </c>
      <c r="U55" s="105">
        <v>42153</v>
      </c>
      <c r="V55" s="105"/>
      <c r="W55" s="103"/>
      <c r="X55" s="91">
        <f t="shared" ca="1" si="9"/>
        <v>0</v>
      </c>
      <c r="Y55" s="100" t="s">
        <v>43</v>
      </c>
      <c r="Z55" s="100" t="s">
        <v>270</v>
      </c>
      <c r="AA55" s="105">
        <v>42195</v>
      </c>
      <c r="AB55" s="105"/>
      <c r="AC55" s="103"/>
      <c r="AD55" s="21">
        <f t="shared" ca="1" si="10"/>
        <v>0</v>
      </c>
      <c r="AE55" s="100" t="s">
        <v>43</v>
      </c>
      <c r="AF55" s="105"/>
      <c r="AG55" s="100" t="s">
        <v>356</v>
      </c>
      <c r="AH55" s="105"/>
      <c r="AI55" s="105"/>
      <c r="AJ55" s="103"/>
      <c r="AK55" s="23">
        <f ca="1">IF(AL55="",NETWORKDAYS.INTL(AH55,TODAY(),1),0)</f>
        <v>0</v>
      </c>
      <c r="AL55" s="100" t="s">
        <v>42</v>
      </c>
      <c r="AM55" s="100" t="s">
        <v>270</v>
      </c>
      <c r="AN55" s="105"/>
      <c r="AO55" s="105"/>
      <c r="AP55" s="103"/>
      <c r="AQ55" s="161" t="e">
        <f t="shared" ca="1" si="11"/>
        <v>#VALUE!</v>
      </c>
      <c r="AR55" s="162" t="s">
        <v>42</v>
      </c>
      <c r="AS55" s="101"/>
      <c r="AT55" s="101">
        <v>5</v>
      </c>
      <c r="AU55" s="100" t="s">
        <v>41</v>
      </c>
      <c r="AV55" s="103"/>
      <c r="AW55" s="102">
        <v>2017</v>
      </c>
      <c r="AX55" s="103"/>
      <c r="AY55" s="103"/>
      <c r="AZ55" s="103"/>
      <c r="BA55" s="103"/>
      <c r="BB55" s="103"/>
      <c r="BC55" s="103"/>
      <c r="BD55" s="100" t="str">
        <f t="shared" si="3"/>
        <v/>
      </c>
      <c r="BE55" s="100" t="str">
        <f t="shared" si="4"/>
        <v/>
      </c>
      <c r="BF55" s="100" t="str">
        <f t="shared" si="5"/>
        <v/>
      </c>
      <c r="BG55" s="100" t="str">
        <f t="shared" si="6"/>
        <v/>
      </c>
      <c r="BH55" s="100" t="str">
        <f t="shared" si="7"/>
        <v/>
      </c>
      <c r="BI55" s="103"/>
    </row>
    <row r="56" spans="1:61" s="95" customFormat="1" ht="75">
      <c r="A56" s="101">
        <v>20122395005</v>
      </c>
      <c r="B56" s="19" t="str">
        <f>VLOOKUP(A56,'ESTADOS ESTUDIANTES'!B:L,2,0)</f>
        <v>ESPINOSA GOMEZ YENNY</v>
      </c>
      <c r="C56" s="102">
        <f>VLOOKUP(A56,'ESTADOS ESTUDIANTES'!B:L,11,0)</f>
        <v>52379603</v>
      </c>
      <c r="D56" s="23">
        <f>VLOOKUP(A56,'ESTADOS ESTUDIANTES'!B:L,3,0)</f>
        <v>395</v>
      </c>
      <c r="E56" s="102">
        <f>VLOOKUP(A56,'ESTADOS ESTUDIANTES'!B:L,8,0)</f>
        <v>0</v>
      </c>
      <c r="F56" s="102" t="str">
        <f>VLOOKUP(A56,'ESTADOS ESTUDIANTES'!B:L,9,0)</f>
        <v>yespinosa@udistrital.edu.co</v>
      </c>
      <c r="G56" s="19" t="str">
        <f>VLOOKUP(A56,'ESTADOS ESTUDIANTES'!B:L,5,0)</f>
        <v>E</v>
      </c>
      <c r="H56" s="103"/>
      <c r="I56" s="100" t="s">
        <v>1485</v>
      </c>
      <c r="J56" s="108" t="s">
        <v>344</v>
      </c>
      <c r="K56" s="122" t="s">
        <v>375</v>
      </c>
      <c r="L56" s="105"/>
      <c r="M56" s="106"/>
      <c r="N56" s="105"/>
      <c r="O56" s="106"/>
      <c r="P56" s="107"/>
      <c r="Q56" s="100" t="s">
        <v>1486</v>
      </c>
      <c r="R56" s="105">
        <v>43390</v>
      </c>
      <c r="S56" s="102">
        <v>2018</v>
      </c>
      <c r="T56" s="100" t="s">
        <v>1411</v>
      </c>
      <c r="U56" s="105">
        <v>43427</v>
      </c>
      <c r="V56" s="105"/>
      <c r="W56" s="103"/>
      <c r="X56" s="91">
        <f t="shared" ca="1" si="9"/>
        <v>0</v>
      </c>
      <c r="Y56" s="100" t="s">
        <v>43</v>
      </c>
      <c r="Z56" s="100" t="s">
        <v>1487</v>
      </c>
      <c r="AA56" s="105">
        <v>43410</v>
      </c>
      <c r="AB56" s="105"/>
      <c r="AC56" s="103"/>
      <c r="AD56" s="21">
        <f t="shared" ca="1" si="10"/>
        <v>0</v>
      </c>
      <c r="AE56" s="100" t="s">
        <v>43</v>
      </c>
      <c r="AF56" s="105"/>
      <c r="AG56" s="100" t="s">
        <v>1233</v>
      </c>
      <c r="AH56" s="105">
        <v>43449</v>
      </c>
      <c r="AI56" s="105">
        <v>43452</v>
      </c>
      <c r="AJ56" s="103"/>
      <c r="AK56" s="23">
        <f t="shared" ref="AK56:AK71" ca="1" si="13">IF(AH56="",NETWORKDAYS.INTL(AL56,TODAY(),1),0)</f>
        <v>0</v>
      </c>
      <c r="AL56" s="100" t="s">
        <v>42</v>
      </c>
      <c r="AM56" s="100" t="s">
        <v>476</v>
      </c>
      <c r="AN56" s="105">
        <v>43474</v>
      </c>
      <c r="AO56" s="105">
        <v>43502</v>
      </c>
      <c r="AP56" s="103"/>
      <c r="AQ56" s="161">
        <f t="shared" ca="1" si="11"/>
        <v>0</v>
      </c>
      <c r="AR56" s="162" t="s">
        <v>42</v>
      </c>
      <c r="AS56" s="101"/>
      <c r="AT56" s="101"/>
      <c r="AU56" s="103"/>
      <c r="AV56" s="103"/>
      <c r="AW56" s="103"/>
      <c r="AX56" s="103"/>
      <c r="AY56" s="103"/>
      <c r="AZ56" s="103"/>
      <c r="BA56" s="103"/>
      <c r="BB56" s="103"/>
      <c r="BC56" s="103"/>
      <c r="BD56" s="100" t="str">
        <f t="shared" si="3"/>
        <v/>
      </c>
      <c r="BE56" s="100" t="str">
        <f t="shared" si="4"/>
        <v/>
      </c>
      <c r="BF56" s="100" t="str">
        <f t="shared" si="5"/>
        <v/>
      </c>
      <c r="BG56" s="100" t="str">
        <f t="shared" si="6"/>
        <v/>
      </c>
      <c r="BH56" s="100" t="str">
        <f t="shared" si="7"/>
        <v/>
      </c>
      <c r="BI56" s="103"/>
    </row>
    <row r="57" spans="1:61" s="95" customFormat="1" ht="30">
      <c r="A57" s="101">
        <v>20122395006</v>
      </c>
      <c r="B57" s="19" t="str">
        <f>VLOOKUP(A57,'ESTADOS ESTUDIANTES'!B:L,2,0)</f>
        <v>HERRERA DE LA ROSA LORENA LIZETH</v>
      </c>
      <c r="C57" s="102">
        <f>VLOOKUP(A57,'ESTADOS ESTUDIANTES'!B:L,11,0)</f>
        <v>1026274281</v>
      </c>
      <c r="D57" s="23">
        <f>VLOOKUP(A57,'ESTADOS ESTUDIANTES'!B:L,3,0)</f>
        <v>395</v>
      </c>
      <c r="E57" s="102">
        <f>VLOOKUP(A57,'ESTADOS ESTUDIANTES'!B:L,8,0)</f>
        <v>0</v>
      </c>
      <c r="F57" s="102" t="str">
        <f>VLOOKUP(A57,'ESTADOS ESTUDIANTES'!B:L,9,0)</f>
        <v>lorenadelarosa2@hotmail.com</v>
      </c>
      <c r="G57" s="19" t="str">
        <f>VLOOKUP(A57,'ESTADOS ESTUDIANTES'!B:L,5,0)</f>
        <v>E</v>
      </c>
      <c r="H57" s="100" t="s">
        <v>60</v>
      </c>
      <c r="I57" s="100" t="s">
        <v>1488</v>
      </c>
      <c r="J57" s="104"/>
      <c r="K57" s="103"/>
      <c r="L57" s="105"/>
      <c r="M57" s="106"/>
      <c r="N57" s="105"/>
      <c r="O57" s="106"/>
      <c r="P57" s="107"/>
      <c r="Q57" s="100" t="s">
        <v>1489</v>
      </c>
      <c r="R57" s="105">
        <v>41424</v>
      </c>
      <c r="S57" s="101">
        <v>2013</v>
      </c>
      <c r="T57" s="100" t="s">
        <v>1490</v>
      </c>
      <c r="U57" s="105">
        <v>41431</v>
      </c>
      <c r="V57" s="105">
        <v>41822</v>
      </c>
      <c r="W57" s="102">
        <v>1</v>
      </c>
      <c r="X57" s="91">
        <f t="shared" ca="1" si="9"/>
        <v>0</v>
      </c>
      <c r="Y57" s="100" t="s">
        <v>43</v>
      </c>
      <c r="Z57" s="100" t="s">
        <v>1444</v>
      </c>
      <c r="AA57" s="105">
        <v>41437</v>
      </c>
      <c r="AB57" s="105">
        <v>41442</v>
      </c>
      <c r="AC57" s="102">
        <v>1</v>
      </c>
      <c r="AD57" s="21">
        <f t="shared" ca="1" si="10"/>
        <v>0</v>
      </c>
      <c r="AE57" s="100" t="s">
        <v>43</v>
      </c>
      <c r="AF57" s="105">
        <v>43039</v>
      </c>
      <c r="AG57" s="100" t="s">
        <v>1491</v>
      </c>
      <c r="AH57" s="105">
        <v>43209</v>
      </c>
      <c r="AI57" s="100" t="s">
        <v>1492</v>
      </c>
      <c r="AJ57" s="102">
        <v>2</v>
      </c>
      <c r="AK57" s="23">
        <f t="shared" ca="1" si="13"/>
        <v>0</v>
      </c>
      <c r="AL57" s="100" t="s">
        <v>42</v>
      </c>
      <c r="AM57" s="100" t="s">
        <v>1427</v>
      </c>
      <c r="AN57" s="105">
        <v>43060</v>
      </c>
      <c r="AO57" s="105">
        <v>43084</v>
      </c>
      <c r="AP57" s="102">
        <v>1</v>
      </c>
      <c r="AQ57" s="162">
        <f t="shared" ca="1" si="11"/>
        <v>0</v>
      </c>
      <c r="AR57" s="162" t="s">
        <v>42</v>
      </c>
      <c r="AS57" s="101"/>
      <c r="AT57" s="101"/>
      <c r="AU57" s="103"/>
      <c r="AV57" s="103"/>
      <c r="AW57" s="103"/>
      <c r="AX57" s="103"/>
      <c r="AY57" s="103"/>
      <c r="AZ57" s="103"/>
      <c r="BA57" s="103"/>
      <c r="BB57" s="103"/>
      <c r="BC57" s="103"/>
      <c r="BD57" s="100" t="str">
        <f t="shared" si="3"/>
        <v/>
      </c>
      <c r="BE57" s="100" t="str">
        <f t="shared" si="4"/>
        <v/>
      </c>
      <c r="BF57" s="100" t="str">
        <f t="shared" si="5"/>
        <v/>
      </c>
      <c r="BG57" s="100" t="str">
        <f t="shared" si="6"/>
        <v/>
      </c>
      <c r="BH57" s="100" t="str">
        <f t="shared" si="7"/>
        <v/>
      </c>
      <c r="BI57" s="103"/>
    </row>
    <row r="58" spans="1:61" s="95" customFormat="1" ht="60">
      <c r="A58" s="101">
        <v>20122395007</v>
      </c>
      <c r="B58" s="19" t="str">
        <f>VLOOKUP(A58,'ESTADOS ESTUDIANTES'!B:L,2,0)</f>
        <v>MONCADA SANCHEZ JAVIER FELIPE</v>
      </c>
      <c r="C58" s="102">
        <f>VLOOKUP(A58,'ESTADOS ESTUDIANTES'!B:L,11,0)</f>
        <v>79754586</v>
      </c>
      <c r="D58" s="23">
        <f>VLOOKUP(A58,'ESTADOS ESTUDIANTES'!B:L,3,0)</f>
        <v>395</v>
      </c>
      <c r="E58" s="102">
        <f>VLOOKUP(A58,'ESTADOS ESTUDIANTES'!B:L,8,0)</f>
        <v>0</v>
      </c>
      <c r="F58" s="102" t="str">
        <f>VLOOKUP(A58,'ESTADOS ESTUDIANTES'!B:L,9,0)</f>
        <v>jfmoncadas@gmail.com</v>
      </c>
      <c r="G58" s="19" t="str">
        <f>VLOOKUP(A58,'ESTADOS ESTUDIANTES'!B:L,5,0)</f>
        <v>E</v>
      </c>
      <c r="H58" s="103"/>
      <c r="I58" s="100" t="s">
        <v>1493</v>
      </c>
      <c r="J58" s="104"/>
      <c r="K58" s="103"/>
      <c r="L58" s="105"/>
      <c r="M58" s="106"/>
      <c r="N58" s="105"/>
      <c r="O58" s="106"/>
      <c r="P58" s="107"/>
      <c r="Q58" s="100" t="s">
        <v>1494</v>
      </c>
      <c r="R58" s="105">
        <v>42062</v>
      </c>
      <c r="S58" s="102">
        <v>2015</v>
      </c>
      <c r="T58" s="100" t="s">
        <v>1421</v>
      </c>
      <c r="U58" s="105">
        <v>42072</v>
      </c>
      <c r="V58" s="105">
        <v>42041</v>
      </c>
      <c r="W58" s="102">
        <v>1</v>
      </c>
      <c r="X58" s="91">
        <f t="shared" ca="1" si="9"/>
        <v>0</v>
      </c>
      <c r="Y58" s="100" t="s">
        <v>43</v>
      </c>
      <c r="Z58" s="100" t="s">
        <v>356</v>
      </c>
      <c r="AA58" s="105">
        <v>42076</v>
      </c>
      <c r="AB58" s="100" t="s">
        <v>1495</v>
      </c>
      <c r="AC58" s="102">
        <v>2</v>
      </c>
      <c r="AD58" s="21">
        <f t="shared" ca="1" si="10"/>
        <v>0</v>
      </c>
      <c r="AE58" s="100" t="s">
        <v>43</v>
      </c>
      <c r="AF58" s="105">
        <v>43066</v>
      </c>
      <c r="AG58" s="100" t="s">
        <v>1421</v>
      </c>
      <c r="AH58" s="105">
        <v>43080</v>
      </c>
      <c r="AI58" s="105">
        <v>43109</v>
      </c>
      <c r="AJ58" s="102">
        <v>1</v>
      </c>
      <c r="AK58" s="23">
        <f t="shared" ca="1" si="13"/>
        <v>0</v>
      </c>
      <c r="AL58" s="100" t="s">
        <v>42</v>
      </c>
      <c r="AM58" s="100" t="s">
        <v>356</v>
      </c>
      <c r="AN58" s="105">
        <v>43075</v>
      </c>
      <c r="AO58" s="105">
        <v>43133</v>
      </c>
      <c r="AP58" s="102">
        <v>1</v>
      </c>
      <c r="AQ58" s="163">
        <f t="shared" ca="1" si="11"/>
        <v>0</v>
      </c>
      <c r="AR58" s="162" t="s">
        <v>42</v>
      </c>
      <c r="AS58" s="101"/>
      <c r="AT58" s="101"/>
      <c r="AU58" s="103"/>
      <c r="AV58" s="103"/>
      <c r="AW58" s="103"/>
      <c r="AX58" s="103"/>
      <c r="AY58" s="103"/>
      <c r="AZ58" s="103"/>
      <c r="BA58" s="103"/>
      <c r="BB58" s="103"/>
      <c r="BC58" s="103"/>
      <c r="BD58" s="100" t="str">
        <f t="shared" si="3"/>
        <v/>
      </c>
      <c r="BE58" s="100" t="str">
        <f t="shared" si="4"/>
        <v/>
      </c>
      <c r="BF58" s="100" t="str">
        <f t="shared" si="5"/>
        <v/>
      </c>
      <c r="BG58" s="100" t="str">
        <f t="shared" si="6"/>
        <v/>
      </c>
      <c r="BH58" s="100" t="str">
        <f t="shared" si="7"/>
        <v/>
      </c>
      <c r="BI58" s="103"/>
    </row>
    <row r="59" spans="1:61" s="95" customFormat="1" ht="45">
      <c r="A59" s="101">
        <v>20122395008</v>
      </c>
      <c r="B59" s="19" t="str">
        <f>VLOOKUP(A59,'ESTADOS ESTUDIANTES'!B:L,2,0)</f>
        <v>ROCHA SALAMANCA MAURICIO FERNANDO</v>
      </c>
      <c r="C59" s="102">
        <f>VLOOKUP(A59,'ESTADOS ESTUDIANTES'!B:L,11,0)</f>
        <v>79625956</v>
      </c>
      <c r="D59" s="23">
        <f>VLOOKUP(A59,'ESTADOS ESTUDIANTES'!B:L,3,0)</f>
        <v>395</v>
      </c>
      <c r="E59" s="102">
        <f>VLOOKUP(A59,'ESTADOS ESTUDIANTES'!B:L,8,0)</f>
        <v>0</v>
      </c>
      <c r="F59" s="102" t="str">
        <f>VLOOKUP(A59,'ESTADOS ESTUDIANTES'!B:L,9,0)</f>
        <v>mrocha73@gmail.com</v>
      </c>
      <c r="G59" s="19" t="str">
        <f>VLOOKUP(A59,'ESTADOS ESTUDIANTES'!B:L,5,0)</f>
        <v>E</v>
      </c>
      <c r="H59" s="103"/>
      <c r="I59" s="100" t="s">
        <v>1496</v>
      </c>
      <c r="J59" s="104"/>
      <c r="K59" s="103"/>
      <c r="L59" s="105"/>
      <c r="M59" s="106"/>
      <c r="N59" s="105"/>
      <c r="O59" s="106"/>
      <c r="P59" s="107"/>
      <c r="Q59" s="102">
        <v>24</v>
      </c>
      <c r="R59" s="105">
        <v>2013</v>
      </c>
      <c r="S59" s="101">
        <v>2013</v>
      </c>
      <c r="T59" s="100" t="s">
        <v>1497</v>
      </c>
      <c r="U59" s="105">
        <v>42038</v>
      </c>
      <c r="V59" s="105"/>
      <c r="W59" s="103"/>
      <c r="X59" s="91">
        <f t="shared" ca="1" si="9"/>
        <v>0</v>
      </c>
      <c r="Y59" s="100" t="s">
        <v>43</v>
      </c>
      <c r="Z59" s="100" t="s">
        <v>1498</v>
      </c>
      <c r="AA59" s="105">
        <v>42073</v>
      </c>
      <c r="AB59" s="105"/>
      <c r="AC59" s="103"/>
      <c r="AD59" s="21">
        <f t="shared" ca="1" si="10"/>
        <v>0</v>
      </c>
      <c r="AE59" s="100" t="s">
        <v>43</v>
      </c>
      <c r="AF59" s="105"/>
      <c r="AG59" s="100" t="s">
        <v>1497</v>
      </c>
      <c r="AH59" s="105">
        <v>42543</v>
      </c>
      <c r="AI59" s="105">
        <v>42580</v>
      </c>
      <c r="AJ59" s="102">
        <v>0</v>
      </c>
      <c r="AK59" s="23">
        <f t="shared" ca="1" si="13"/>
        <v>0</v>
      </c>
      <c r="AL59" s="100" t="s">
        <v>42</v>
      </c>
      <c r="AM59" s="100" t="s">
        <v>1498</v>
      </c>
      <c r="AN59" s="105">
        <v>42543</v>
      </c>
      <c r="AO59" s="105"/>
      <c r="AP59" s="103"/>
      <c r="AQ59" s="162">
        <f t="shared" ca="1" si="11"/>
        <v>0</v>
      </c>
      <c r="AR59" s="162" t="s">
        <v>42</v>
      </c>
      <c r="AS59" s="101">
        <v>192016</v>
      </c>
      <c r="AT59" s="101">
        <v>5</v>
      </c>
      <c r="AU59" s="100" t="s">
        <v>41</v>
      </c>
      <c r="AV59" s="102">
        <v>42585</v>
      </c>
      <c r="AW59" s="103"/>
      <c r="AX59" s="102">
        <v>2016</v>
      </c>
      <c r="AY59" s="103"/>
      <c r="AZ59" s="103"/>
      <c r="BA59" s="103"/>
      <c r="BB59" s="103"/>
      <c r="BC59" s="103"/>
      <c r="BD59" s="100" t="str">
        <f t="shared" si="3"/>
        <v/>
      </c>
      <c r="BE59" s="100" t="str">
        <f t="shared" si="4"/>
        <v/>
      </c>
      <c r="BF59" s="100" t="str">
        <f t="shared" si="5"/>
        <v/>
      </c>
      <c r="BG59" s="100" t="str">
        <f t="shared" si="6"/>
        <v/>
      </c>
      <c r="BH59" s="100" t="str">
        <f t="shared" si="7"/>
        <v/>
      </c>
      <c r="BI59" s="103"/>
    </row>
    <row r="60" spans="1:61" s="95" customFormat="1">
      <c r="A60" s="101">
        <v>20131195001</v>
      </c>
      <c r="B60" s="19" t="str">
        <f>VLOOKUP(A60,'ESTADOS ESTUDIANTES'!B:L,2,0)</f>
        <v>BERMUDEZ QUINTERO SERGIO LUIS</v>
      </c>
      <c r="C60" s="102">
        <f>VLOOKUP(A60,'ESTADOS ESTUDIANTES'!B:L,11,0)</f>
        <v>7633964</v>
      </c>
      <c r="D60" s="23">
        <f>VLOOKUP(A60,'ESTADOS ESTUDIANTES'!B:L,3,0)</f>
        <v>195</v>
      </c>
      <c r="E60" s="102" t="str">
        <f>VLOOKUP(A60,'ESTADOS ESTUDIANTES'!B:L,8,0)</f>
        <v>slbermudezq@correo.udistrital.edu.co</v>
      </c>
      <c r="F60" s="102" t="str">
        <f>VLOOKUP(A60,'ESTADOS ESTUDIANTES'!B:L,9,0)</f>
        <v>ser1028@hotmail.com</v>
      </c>
      <c r="G60" s="19" t="str">
        <f>VLOOKUP(A60,'ESTADOS ESTUDIANTES'!B:L,5,0)</f>
        <v>X</v>
      </c>
      <c r="H60" s="100" t="s">
        <v>60</v>
      </c>
      <c r="I60" s="103"/>
      <c r="J60" s="103"/>
      <c r="K60" s="103"/>
      <c r="L60" s="105"/>
      <c r="M60" s="106"/>
      <c r="N60" s="105"/>
      <c r="O60" s="106"/>
      <c r="P60" s="107"/>
      <c r="Q60" s="100"/>
      <c r="R60" s="105"/>
      <c r="S60" s="103"/>
      <c r="T60" s="103"/>
      <c r="U60" s="105"/>
      <c r="V60" s="105"/>
      <c r="W60" s="103"/>
      <c r="X60" s="91">
        <f t="shared" ca="1" si="9"/>
        <v>33055</v>
      </c>
      <c r="Y60" s="99"/>
      <c r="Z60" s="103"/>
      <c r="AA60" s="105"/>
      <c r="AB60" s="105"/>
      <c r="AC60" s="103"/>
      <c r="AD60" s="21">
        <f t="shared" ca="1" si="10"/>
        <v>33055</v>
      </c>
      <c r="AE60" s="99"/>
      <c r="AF60" s="105"/>
      <c r="AG60" s="103"/>
      <c r="AH60" s="105"/>
      <c r="AI60" s="105"/>
      <c r="AJ60" s="103"/>
      <c r="AK60" s="23">
        <f t="shared" ca="1" si="13"/>
        <v>33055</v>
      </c>
      <c r="AL60" s="103"/>
      <c r="AM60" s="103"/>
      <c r="AN60" s="105"/>
      <c r="AO60" s="105"/>
      <c r="AP60" s="103"/>
      <c r="AQ60" s="163">
        <f t="shared" ca="1" si="11"/>
        <v>33055</v>
      </c>
      <c r="AR60" s="163"/>
      <c r="AS60" s="101"/>
      <c r="AT60" s="101"/>
      <c r="AU60" s="103"/>
      <c r="AV60" s="103"/>
      <c r="AW60" s="103"/>
      <c r="AX60" s="103"/>
      <c r="AY60" s="103"/>
      <c r="AZ60" s="103"/>
      <c r="BA60" s="103"/>
      <c r="BB60" s="103"/>
      <c r="BC60" s="103"/>
      <c r="BD60" s="100" t="str">
        <f t="shared" si="3"/>
        <v/>
      </c>
      <c r="BE60" s="100" t="str">
        <f t="shared" si="4"/>
        <v/>
      </c>
      <c r="BF60" s="100" t="str">
        <f t="shared" si="5"/>
        <v/>
      </c>
      <c r="BG60" s="100" t="str">
        <f t="shared" si="6"/>
        <v/>
      </c>
      <c r="BH60" s="100" t="str">
        <f t="shared" si="7"/>
        <v/>
      </c>
      <c r="BI60" s="103"/>
    </row>
    <row r="61" spans="1:61" s="95" customFormat="1">
      <c r="A61" s="101">
        <v>20131195002</v>
      </c>
      <c r="B61" s="19" t="str">
        <f>VLOOKUP(A61,'ESTADOS ESTUDIANTES'!B:L,2,0)</f>
        <v>CORTES LOZANO OSBALDO</v>
      </c>
      <c r="C61" s="102">
        <f>VLOOKUP(A61,'ESTADOS ESTUDIANTES'!B:L,11,0)</f>
        <v>79670056</v>
      </c>
      <c r="D61" s="23">
        <f>VLOOKUP(A61,'ESTADOS ESTUDIANTES'!B:L,3,0)</f>
        <v>195</v>
      </c>
      <c r="E61" s="102" t="str">
        <f>VLOOKUP(A61,'ESTADOS ESTUDIANTES'!B:L,8,0)</f>
        <v>ocortesl@correo.udistrital.edu.co</v>
      </c>
      <c r="F61" s="102" t="str">
        <f>VLOOKUP(A61,'ESTADOS ESTUDIANTES'!B:L,9,0)</f>
        <v>oscolo@yahoo.com</v>
      </c>
      <c r="G61" s="19" t="str">
        <f>VLOOKUP(A61,'ESTADOS ESTUDIANTES'!B:L,5,0)</f>
        <v>X</v>
      </c>
      <c r="H61" s="100" t="s">
        <v>60</v>
      </c>
      <c r="I61" s="103"/>
      <c r="J61" s="103"/>
      <c r="K61" s="103"/>
      <c r="L61" s="105"/>
      <c r="M61" s="106"/>
      <c r="N61" s="105"/>
      <c r="O61" s="106"/>
      <c r="P61" s="107"/>
      <c r="Q61" s="100"/>
      <c r="R61" s="105"/>
      <c r="S61" s="103"/>
      <c r="T61" s="103"/>
      <c r="U61" s="105"/>
      <c r="V61" s="105"/>
      <c r="W61" s="103"/>
      <c r="X61" s="91">
        <f t="shared" ca="1" si="9"/>
        <v>33055</v>
      </c>
      <c r="Y61" s="99"/>
      <c r="Z61" s="103"/>
      <c r="AA61" s="105"/>
      <c r="AB61" s="105"/>
      <c r="AC61" s="103"/>
      <c r="AD61" s="21">
        <f t="shared" ca="1" si="10"/>
        <v>33055</v>
      </c>
      <c r="AE61" s="99"/>
      <c r="AF61" s="105"/>
      <c r="AG61" s="103"/>
      <c r="AH61" s="105"/>
      <c r="AI61" s="105"/>
      <c r="AJ61" s="103"/>
      <c r="AK61" s="23">
        <f t="shared" ca="1" si="13"/>
        <v>33055</v>
      </c>
      <c r="AL61" s="103"/>
      <c r="AM61" s="103"/>
      <c r="AN61" s="105"/>
      <c r="AO61" s="105"/>
      <c r="AP61" s="103"/>
      <c r="AQ61" s="163">
        <f t="shared" ca="1" si="11"/>
        <v>33055</v>
      </c>
      <c r="AR61" s="163"/>
      <c r="AS61" s="101"/>
      <c r="AT61" s="101"/>
      <c r="AU61" s="103"/>
      <c r="AV61" s="103"/>
      <c r="AW61" s="103"/>
      <c r="AX61" s="103"/>
      <c r="AY61" s="103"/>
      <c r="AZ61" s="103"/>
      <c r="BA61" s="103"/>
      <c r="BB61" s="103"/>
      <c r="BC61" s="103"/>
      <c r="BD61" s="100" t="str">
        <f t="shared" si="3"/>
        <v/>
      </c>
      <c r="BE61" s="100" t="str">
        <f t="shared" si="4"/>
        <v/>
      </c>
      <c r="BF61" s="100" t="str">
        <f t="shared" si="5"/>
        <v/>
      </c>
      <c r="BG61" s="100" t="str">
        <f t="shared" si="6"/>
        <v/>
      </c>
      <c r="BH61" s="100" t="str">
        <f t="shared" si="7"/>
        <v/>
      </c>
      <c r="BI61" s="103"/>
    </row>
    <row r="62" spans="1:61" s="138" customFormat="1">
      <c r="A62" s="101">
        <v>20131195003</v>
      </c>
      <c r="B62" s="19" t="str">
        <f>VLOOKUP(A62,'ESTADOS ESTUDIANTES'!B:L,2,0)</f>
        <v>CHAVEZ SANCHEZ RODOLFO ENRIQUE</v>
      </c>
      <c r="C62" s="102">
        <f>VLOOKUP(A62,'ESTADOS ESTUDIANTES'!B:L,11,0)</f>
        <v>1032374162</v>
      </c>
      <c r="D62" s="23">
        <f>VLOOKUP(A62,'ESTADOS ESTUDIANTES'!B:L,3,0)</f>
        <v>195</v>
      </c>
      <c r="E62" s="102" t="str">
        <f>VLOOKUP(A62,'ESTADOS ESTUDIANTES'!B:L,8,0)</f>
        <v>rechavezs@udistrital.edu.co</v>
      </c>
      <c r="F62" s="102" t="str">
        <f>VLOOKUP(A62,'ESTADOS ESTUDIANTES'!B:L,9,0)</f>
        <v>rechavezs@correo.udistrital.edu.co</v>
      </c>
      <c r="G62" s="19" t="str">
        <f>VLOOKUP(A62,'ESTADOS ESTUDIANTES'!B:L,5,0)</f>
        <v>E</v>
      </c>
      <c r="H62" s="103"/>
      <c r="I62" s="103"/>
      <c r="J62" s="103"/>
      <c r="K62" s="103"/>
      <c r="L62" s="105"/>
      <c r="M62" s="106"/>
      <c r="N62" s="105"/>
      <c r="O62" s="106"/>
      <c r="P62" s="107"/>
      <c r="Q62" s="100"/>
      <c r="R62" s="105"/>
      <c r="S62" s="102">
        <v>2013</v>
      </c>
      <c r="T62" s="103"/>
      <c r="U62" s="105"/>
      <c r="V62" s="105"/>
      <c r="W62" s="103"/>
      <c r="X62" s="91">
        <f t="shared" ca="1" si="9"/>
        <v>33055</v>
      </c>
      <c r="Y62" s="99"/>
      <c r="Z62" s="103"/>
      <c r="AA62" s="105"/>
      <c r="AB62" s="105"/>
      <c r="AC62" s="103"/>
      <c r="AD62" s="21">
        <f t="shared" ca="1" si="10"/>
        <v>33055</v>
      </c>
      <c r="AE62" s="99"/>
      <c r="AF62" s="105"/>
      <c r="AG62" s="103"/>
      <c r="AH62" s="105"/>
      <c r="AI62" s="105"/>
      <c r="AJ62" s="103"/>
      <c r="AK62" s="23">
        <f t="shared" ca="1" si="13"/>
        <v>33055</v>
      </c>
      <c r="AL62" s="103"/>
      <c r="AM62" s="103"/>
      <c r="AN62" s="105"/>
      <c r="AO62" s="105"/>
      <c r="AP62" s="103"/>
      <c r="AQ62" s="163">
        <f t="shared" ca="1" si="11"/>
        <v>33055</v>
      </c>
      <c r="AR62" s="163"/>
      <c r="AS62" s="101"/>
      <c r="AT62" s="101"/>
      <c r="AU62" s="103"/>
      <c r="AV62" s="103"/>
      <c r="AW62" s="103"/>
      <c r="AX62" s="103"/>
      <c r="AY62" s="103"/>
      <c r="AZ62" s="103"/>
      <c r="BA62" s="103"/>
      <c r="BB62" s="103"/>
      <c r="BC62" s="103"/>
      <c r="BD62" s="100" t="str">
        <f t="shared" si="3"/>
        <v/>
      </c>
      <c r="BE62" s="100" t="str">
        <f t="shared" si="4"/>
        <v/>
      </c>
      <c r="BF62" s="100" t="str">
        <f t="shared" si="5"/>
        <v/>
      </c>
      <c r="BG62" s="100" t="str">
        <f t="shared" si="6"/>
        <v/>
      </c>
      <c r="BH62" s="100" t="str">
        <f t="shared" si="7"/>
        <v/>
      </c>
      <c r="BI62" s="103"/>
    </row>
    <row r="63" spans="1:61" s="95" customFormat="1" ht="30">
      <c r="A63" s="101">
        <v>20131195004</v>
      </c>
      <c r="B63" s="19" t="str">
        <f>VLOOKUP(A63,'ESTADOS ESTUDIANTES'!B:L,2,0)</f>
        <v>GALEANO ROMERO KATHERINE JOHANNA</v>
      </c>
      <c r="C63" s="102">
        <f>VLOOKUP(A63,'ESTADOS ESTUDIANTES'!B:L,11,0)</f>
        <v>1032432530</v>
      </c>
      <c r="D63" s="23">
        <f>VLOOKUP(A63,'ESTADOS ESTUDIANTES'!B:L,3,0)</f>
        <v>195</v>
      </c>
      <c r="E63" s="102" t="str">
        <f>VLOOKUP(A63,'ESTADOS ESTUDIANTES'!B:L,8,0)</f>
        <v>kjgaleanor@udistrital.edu.co</v>
      </c>
      <c r="F63" s="102" t="str">
        <f>VLOOKUP(A63,'ESTADOS ESTUDIANTES'!B:L,9,0)</f>
        <v>kjgr89@gmail.com</v>
      </c>
      <c r="G63" s="19" t="str">
        <f>VLOOKUP(A63,'ESTADOS ESTUDIANTES'!B:L,5,0)</f>
        <v>E</v>
      </c>
      <c r="H63" s="103"/>
      <c r="I63" s="103"/>
      <c r="J63" s="103"/>
      <c r="K63" s="103"/>
      <c r="L63" s="105"/>
      <c r="M63" s="106"/>
      <c r="N63" s="105"/>
      <c r="O63" s="106"/>
      <c r="P63" s="107"/>
      <c r="Q63" s="100"/>
      <c r="R63" s="105"/>
      <c r="S63" s="102">
        <v>2013</v>
      </c>
      <c r="T63" s="103"/>
      <c r="U63" s="105"/>
      <c r="V63" s="105"/>
      <c r="W63" s="103"/>
      <c r="X63" s="91">
        <f t="shared" ca="1" si="9"/>
        <v>33055</v>
      </c>
      <c r="Y63" s="99"/>
      <c r="Z63" s="103"/>
      <c r="AA63" s="105"/>
      <c r="AB63" s="105"/>
      <c r="AC63" s="103"/>
      <c r="AD63" s="21">
        <f t="shared" ca="1" si="10"/>
        <v>33055</v>
      </c>
      <c r="AE63" s="99"/>
      <c r="AF63" s="105"/>
      <c r="AG63" s="103"/>
      <c r="AH63" s="105"/>
      <c r="AI63" s="105"/>
      <c r="AJ63" s="103"/>
      <c r="AK63" s="23">
        <f t="shared" ca="1" si="13"/>
        <v>33055</v>
      </c>
      <c r="AL63" s="103"/>
      <c r="AM63" s="103"/>
      <c r="AN63" s="105"/>
      <c r="AO63" s="105"/>
      <c r="AP63" s="103"/>
      <c r="AQ63" s="163">
        <f t="shared" ca="1" si="11"/>
        <v>33055</v>
      </c>
      <c r="AR63" s="163"/>
      <c r="AS63" s="101"/>
      <c r="AT63" s="101"/>
      <c r="AU63" s="103"/>
      <c r="AV63" s="103"/>
      <c r="AW63" s="103"/>
      <c r="AX63" s="103"/>
      <c r="AY63" s="103"/>
      <c r="AZ63" s="103"/>
      <c r="BA63" s="103"/>
      <c r="BB63" s="103"/>
      <c r="BC63" s="103"/>
      <c r="BD63" s="100" t="str">
        <f t="shared" si="3"/>
        <v/>
      </c>
      <c r="BE63" s="100" t="str">
        <f t="shared" si="4"/>
        <v/>
      </c>
      <c r="BF63" s="100" t="str">
        <f t="shared" si="5"/>
        <v/>
      </c>
      <c r="BG63" s="100" t="str">
        <f t="shared" si="6"/>
        <v/>
      </c>
      <c r="BH63" s="100" t="str">
        <f t="shared" si="7"/>
        <v/>
      </c>
      <c r="BI63" s="103"/>
    </row>
    <row r="64" spans="1:61" s="95" customFormat="1" ht="30">
      <c r="A64" s="101">
        <v>20131195005</v>
      </c>
      <c r="B64" s="19" t="str">
        <f>VLOOKUP(A64,'ESTADOS ESTUDIANTES'!B:L,2,0)</f>
        <v>GUEVARA RIVEROS ANDRES MAURICIO</v>
      </c>
      <c r="C64" s="102">
        <f>VLOOKUP(A64,'ESTADOS ESTUDIANTES'!B:L,11,0)</f>
        <v>79689221</v>
      </c>
      <c r="D64" s="23">
        <f>VLOOKUP(A64,'ESTADOS ESTUDIANTES'!B:L,3,0)</f>
        <v>195</v>
      </c>
      <c r="E64" s="102" t="str">
        <f>VLOOKUP(A64,'ESTADOS ESTUDIANTES'!B:L,8,0)</f>
        <v>anmguevarar@correo.udistrital.edu.co</v>
      </c>
      <c r="F64" s="102" t="str">
        <f>VLOOKUP(A64,'ESTADOS ESTUDIANTES'!B:L,9,0)</f>
        <v>amauric@hotmail.com</v>
      </c>
      <c r="G64" s="19" t="str">
        <f>VLOOKUP(A64,'ESTADOS ESTUDIANTES'!B:L,5,0)</f>
        <v>X</v>
      </c>
      <c r="H64" s="103"/>
      <c r="I64" s="103"/>
      <c r="J64" s="103"/>
      <c r="K64" s="103"/>
      <c r="L64" s="105"/>
      <c r="M64" s="106"/>
      <c r="N64" s="105"/>
      <c r="O64" s="106"/>
      <c r="P64" s="107"/>
      <c r="Q64" s="100"/>
      <c r="R64" s="105"/>
      <c r="S64" s="103"/>
      <c r="T64" s="103"/>
      <c r="U64" s="105"/>
      <c r="V64" s="105"/>
      <c r="W64" s="103"/>
      <c r="X64" s="91">
        <f t="shared" ca="1" si="9"/>
        <v>33055</v>
      </c>
      <c r="Y64" s="99"/>
      <c r="Z64" s="103"/>
      <c r="AA64" s="105"/>
      <c r="AB64" s="105"/>
      <c r="AC64" s="103"/>
      <c r="AD64" s="21">
        <f t="shared" ca="1" si="10"/>
        <v>33055</v>
      </c>
      <c r="AE64" s="99"/>
      <c r="AF64" s="105"/>
      <c r="AG64" s="103"/>
      <c r="AH64" s="105"/>
      <c r="AI64" s="105"/>
      <c r="AJ64" s="103"/>
      <c r="AK64" s="23">
        <f t="shared" ca="1" si="13"/>
        <v>33055</v>
      </c>
      <c r="AL64" s="103"/>
      <c r="AM64" s="103"/>
      <c r="AN64" s="105"/>
      <c r="AO64" s="105"/>
      <c r="AP64" s="103"/>
      <c r="AQ64" s="163">
        <f t="shared" ca="1" si="11"/>
        <v>33055</v>
      </c>
      <c r="AR64" s="163"/>
      <c r="AS64" s="101"/>
      <c r="AT64" s="101"/>
      <c r="AU64" s="103"/>
      <c r="AV64" s="103"/>
      <c r="AW64" s="103"/>
      <c r="AX64" s="103"/>
      <c r="AY64" s="103"/>
      <c r="AZ64" s="103"/>
      <c r="BA64" s="103"/>
      <c r="BB64" s="103"/>
      <c r="BC64" s="103"/>
      <c r="BD64" s="100" t="str">
        <f t="shared" si="3"/>
        <v/>
      </c>
      <c r="BE64" s="100" t="str">
        <f t="shared" si="4"/>
        <v/>
      </c>
      <c r="BF64" s="100" t="str">
        <f t="shared" si="5"/>
        <v/>
      </c>
      <c r="BG64" s="100" t="str">
        <f t="shared" si="6"/>
        <v/>
      </c>
      <c r="BH64" s="100" t="str">
        <f t="shared" si="7"/>
        <v/>
      </c>
      <c r="BI64" s="103"/>
    </row>
    <row r="65" spans="1:61" s="95" customFormat="1" ht="30">
      <c r="A65" s="101">
        <v>20131195006</v>
      </c>
      <c r="B65" s="19" t="str">
        <f>VLOOKUP(A65,'ESTADOS ESTUDIANTES'!B:L,2,0)</f>
        <v>RAMIREZ CANO ANGELICA MARIA</v>
      </c>
      <c r="C65" s="102">
        <f>VLOOKUP(A65,'ESTADOS ESTUDIANTES'!B:L,11,0)</f>
        <v>35199495</v>
      </c>
      <c r="D65" s="23">
        <f>VLOOKUP(A65,'ESTADOS ESTUDIANTES'!B:L,3,0)</f>
        <v>195</v>
      </c>
      <c r="E65" s="102" t="str">
        <f>VLOOKUP(A65,'ESTADOS ESTUDIANTES'!B:L,8,0)</f>
        <v>anmramirezc@correo.udistrital.edu.co</v>
      </c>
      <c r="F65" s="102" t="str">
        <f>VLOOKUP(A65,'ESTADOS ESTUDIANTES'!B:L,9,0)</f>
        <v>angeltbu@gmail.com</v>
      </c>
      <c r="G65" s="19" t="str">
        <f>VLOOKUP(A65,'ESTADOS ESTUDIANTES'!B:L,5,0)</f>
        <v>X</v>
      </c>
      <c r="H65" s="103"/>
      <c r="I65" s="103"/>
      <c r="J65" s="100" t="s">
        <v>255</v>
      </c>
      <c r="K65" s="103"/>
      <c r="L65" s="105"/>
      <c r="M65" s="106"/>
      <c r="N65" s="105"/>
      <c r="O65" s="106"/>
      <c r="P65" s="107"/>
      <c r="Q65" s="100"/>
      <c r="R65" s="105"/>
      <c r="S65" s="103"/>
      <c r="T65" s="103"/>
      <c r="U65" s="105"/>
      <c r="V65" s="105"/>
      <c r="W65" s="103"/>
      <c r="X65" s="91">
        <f t="shared" ca="1" si="9"/>
        <v>33055</v>
      </c>
      <c r="Y65" s="99"/>
      <c r="Z65" s="103"/>
      <c r="AA65" s="105"/>
      <c r="AB65" s="105"/>
      <c r="AC65" s="103"/>
      <c r="AD65" s="21">
        <f t="shared" ca="1" si="10"/>
        <v>33055</v>
      </c>
      <c r="AE65" s="99"/>
      <c r="AF65" s="105"/>
      <c r="AG65" s="103"/>
      <c r="AH65" s="105"/>
      <c r="AI65" s="105"/>
      <c r="AJ65" s="103"/>
      <c r="AK65" s="23">
        <f t="shared" ca="1" si="13"/>
        <v>33055</v>
      </c>
      <c r="AL65" s="103"/>
      <c r="AM65" s="103"/>
      <c r="AN65" s="105"/>
      <c r="AO65" s="105"/>
      <c r="AP65" s="103"/>
      <c r="AQ65" s="163">
        <f t="shared" ca="1" si="11"/>
        <v>33055</v>
      </c>
      <c r="AR65" s="163"/>
      <c r="AS65" s="101"/>
      <c r="AT65" s="101"/>
      <c r="AU65" s="103"/>
      <c r="AV65" s="103"/>
      <c r="AW65" s="103"/>
      <c r="AX65" s="103"/>
      <c r="AY65" s="103"/>
      <c r="AZ65" s="103"/>
      <c r="BA65" s="103"/>
      <c r="BB65" s="103"/>
      <c r="BC65" s="103"/>
      <c r="BD65" s="100" t="str">
        <f t="shared" si="3"/>
        <v/>
      </c>
      <c r="BE65" s="100" t="str">
        <f t="shared" si="4"/>
        <v/>
      </c>
      <c r="BF65" s="100" t="str">
        <f t="shared" si="5"/>
        <v/>
      </c>
      <c r="BG65" s="100" t="str">
        <f t="shared" si="6"/>
        <v/>
      </c>
      <c r="BH65" s="100" t="str">
        <f t="shared" si="7"/>
        <v/>
      </c>
      <c r="BI65" s="103"/>
    </row>
    <row r="66" spans="1:61" s="95" customFormat="1">
      <c r="A66" s="101">
        <v>20131195007</v>
      </c>
      <c r="B66" s="19" t="str">
        <f>VLOOKUP(A66,'ESTADOS ESTUDIANTES'!B:L,2,0)</f>
        <v>RESTREPO CRIOLLO CARLOS MARIO</v>
      </c>
      <c r="C66" s="102">
        <f>VLOOKUP(A66,'ESTADOS ESTUDIANTES'!B:L,11,0)</f>
        <v>16845913</v>
      </c>
      <c r="D66" s="23">
        <f>VLOOKUP(A66,'ESTADOS ESTUDIANTES'!B:L,3,0)</f>
        <v>195</v>
      </c>
      <c r="E66" s="102" t="str">
        <f>VLOOKUP(A66,'ESTADOS ESTUDIANTES'!B:L,8,0)</f>
        <v>cmrestrepoc@correo.udistrital.edu.co</v>
      </c>
      <c r="F66" s="102" t="str">
        <f>VLOOKUP(A66,'ESTADOS ESTUDIANTES'!B:L,9,0)</f>
        <v>aramirez@sic.gov.co</v>
      </c>
      <c r="G66" s="19" t="str">
        <f>VLOOKUP(A66,'ESTADOS ESTUDIANTES'!B:L,5,0)</f>
        <v>N</v>
      </c>
      <c r="H66" s="103"/>
      <c r="I66" s="103"/>
      <c r="J66" s="103"/>
      <c r="K66" s="103"/>
      <c r="L66" s="105"/>
      <c r="M66" s="106"/>
      <c r="N66" s="105"/>
      <c r="O66" s="106"/>
      <c r="P66" s="107"/>
      <c r="Q66" s="100"/>
      <c r="R66" s="105"/>
      <c r="S66" s="103"/>
      <c r="T66" s="103"/>
      <c r="U66" s="105"/>
      <c r="V66" s="105"/>
      <c r="W66" s="103"/>
      <c r="X66" s="91">
        <f t="shared" ref="X66:X97" ca="1" si="14">IF(U66="",NETWORKDAYS.INTL(Y66,TODAY(),1),0)</f>
        <v>33055</v>
      </c>
      <c r="Y66" s="99"/>
      <c r="Z66" s="103"/>
      <c r="AA66" s="105"/>
      <c r="AB66" s="105"/>
      <c r="AC66" s="103"/>
      <c r="AD66" s="21">
        <f t="shared" ref="AD66:AD97" ca="1" si="15">IF(AA66="",NETWORKDAYS.INTL(AE66,TODAY(),1),0)</f>
        <v>33055</v>
      </c>
      <c r="AE66" s="99"/>
      <c r="AF66" s="105"/>
      <c r="AG66" s="103"/>
      <c r="AH66" s="105"/>
      <c r="AI66" s="105"/>
      <c r="AJ66" s="103"/>
      <c r="AK66" s="23">
        <f t="shared" ca="1" si="13"/>
        <v>33055</v>
      </c>
      <c r="AL66" s="103"/>
      <c r="AM66" s="103"/>
      <c r="AN66" s="105"/>
      <c r="AO66" s="105"/>
      <c r="AP66" s="103"/>
      <c r="AQ66" s="163">
        <f t="shared" ref="AQ66:AQ97" ca="1" si="16">IF(AN66="",NETWORKDAYS.INTL(AR66,TODAY(),1),0)</f>
        <v>33055</v>
      </c>
      <c r="AR66" s="163"/>
      <c r="AS66" s="101"/>
      <c r="AT66" s="101"/>
      <c r="AU66" s="103"/>
      <c r="AV66" s="103"/>
      <c r="AW66" s="103"/>
      <c r="AX66" s="103"/>
      <c r="AY66" s="103"/>
      <c r="AZ66" s="103"/>
      <c r="BA66" s="103"/>
      <c r="BB66" s="103"/>
      <c r="BC66" s="103"/>
      <c r="BD66" s="100" t="str">
        <f t="shared" ref="BD66:BD126" si="17">IF(OR($G66="A",$G66="D",$G66="P",$G66="V"),J66,"")</f>
        <v/>
      </c>
      <c r="BE66" s="100" t="str">
        <f t="shared" ref="BE66:BE126" si="18">IF(OR($G66="A",$G66="D",$G66="P",$G66="V"),T66,"")</f>
        <v/>
      </c>
      <c r="BF66" s="100" t="str">
        <f t="shared" ref="BF66:BF126" si="19">IF(OR($G66="A",$G66="D",$G66="P",$G66="V"),Z66,"")</f>
        <v/>
      </c>
      <c r="BG66" s="100" t="str">
        <f t="shared" ref="BG66:BG126" si="20">IF(OR($G66="A",$G66="D",$G66="P",$G66="V"),AM66,"")</f>
        <v/>
      </c>
      <c r="BH66" s="100" t="str">
        <f t="shared" ref="BH66:BH126" si="21">IF(OR($G66="A",$G66="D",$G66="P",$G66="V"),AG66,"")</f>
        <v/>
      </c>
      <c r="BI66" s="103"/>
    </row>
    <row r="67" spans="1:61" s="95" customFormat="1">
      <c r="A67" s="101">
        <v>20131295001</v>
      </c>
      <c r="B67" s="19" t="str">
        <f>VLOOKUP(A67,'ESTADOS ESTUDIANTES'!B:L,2,0)</f>
        <v>AVELLA GUTIERREZ MAURICIO</v>
      </c>
      <c r="C67" s="102">
        <f>VLOOKUP(A67,'ESTADOS ESTUDIANTES'!B:L,11,0)</f>
        <v>79047792</v>
      </c>
      <c r="D67" s="23">
        <f>VLOOKUP(A67,'ESTADOS ESTUDIANTES'!B:L,3,0)</f>
        <v>295</v>
      </c>
      <c r="E67" s="102" t="str">
        <f>VLOOKUP(A67,'ESTADOS ESTUDIANTES'!B:L,8,0)</f>
        <v>mavellag@correo.udistrital.edu.co</v>
      </c>
      <c r="F67" s="102" t="str">
        <f>VLOOKUP(A67,'ESTADOS ESTUDIANTES'!B:L,9,0)</f>
        <v>mauricioavellag@yahoo.com</v>
      </c>
      <c r="G67" s="19" t="str">
        <f>VLOOKUP(A67,'ESTADOS ESTUDIANTES'!B:L,5,0)</f>
        <v>X</v>
      </c>
      <c r="H67" s="103"/>
      <c r="I67" s="103"/>
      <c r="J67" s="103"/>
      <c r="K67" s="103"/>
      <c r="L67" s="105"/>
      <c r="M67" s="106"/>
      <c r="N67" s="105"/>
      <c r="O67" s="106"/>
      <c r="P67" s="107"/>
      <c r="Q67" s="100"/>
      <c r="R67" s="105"/>
      <c r="S67" s="103"/>
      <c r="T67" s="103"/>
      <c r="U67" s="105"/>
      <c r="V67" s="105"/>
      <c r="W67" s="103"/>
      <c r="X67" s="91">
        <f t="shared" ca="1" si="14"/>
        <v>33055</v>
      </c>
      <c r="Y67" s="99"/>
      <c r="Z67" s="103"/>
      <c r="AA67" s="105"/>
      <c r="AB67" s="105"/>
      <c r="AC67" s="103"/>
      <c r="AD67" s="21">
        <f t="shared" ca="1" si="15"/>
        <v>33055</v>
      </c>
      <c r="AE67" s="99"/>
      <c r="AF67" s="105"/>
      <c r="AG67" s="103"/>
      <c r="AH67" s="105"/>
      <c r="AI67" s="105"/>
      <c r="AJ67" s="103"/>
      <c r="AK67" s="23">
        <f t="shared" ca="1" si="13"/>
        <v>33055</v>
      </c>
      <c r="AL67" s="103"/>
      <c r="AM67" s="103"/>
      <c r="AN67" s="105"/>
      <c r="AO67" s="105"/>
      <c r="AP67" s="103"/>
      <c r="AQ67" s="163">
        <f t="shared" ca="1" si="16"/>
        <v>33055</v>
      </c>
      <c r="AR67" s="163"/>
      <c r="AS67" s="101"/>
      <c r="AT67" s="101"/>
      <c r="AU67" s="103"/>
      <c r="AV67" s="103"/>
      <c r="AW67" s="103"/>
      <c r="AX67" s="103"/>
      <c r="AY67" s="103"/>
      <c r="AZ67" s="103"/>
      <c r="BA67" s="103"/>
      <c r="BB67" s="103"/>
      <c r="BC67" s="103"/>
      <c r="BD67" s="100" t="str">
        <f t="shared" si="17"/>
        <v/>
      </c>
      <c r="BE67" s="100" t="str">
        <f t="shared" si="18"/>
        <v/>
      </c>
      <c r="BF67" s="100" t="str">
        <f t="shared" si="19"/>
        <v/>
      </c>
      <c r="BG67" s="100" t="str">
        <f t="shared" si="20"/>
        <v/>
      </c>
      <c r="BH67" s="100" t="str">
        <f t="shared" si="21"/>
        <v/>
      </c>
      <c r="BI67" s="103"/>
    </row>
    <row r="68" spans="1:61" s="95" customFormat="1" ht="45">
      <c r="A68" s="101">
        <v>20131295002</v>
      </c>
      <c r="B68" s="19" t="str">
        <f>VLOOKUP(A68,'ESTADOS ESTUDIANTES'!B:L,2,0)</f>
        <v>CASTELLANOS ROJAS MARTHA CARMENZA</v>
      </c>
      <c r="C68" s="102">
        <f>VLOOKUP(A68,'ESTADOS ESTUDIANTES'!B:L,11,0)</f>
        <v>51839772</v>
      </c>
      <c r="D68" s="23">
        <f>VLOOKUP(A68,'ESTADOS ESTUDIANTES'!B:L,3,0)</f>
        <v>295</v>
      </c>
      <c r="E68" s="102" t="str">
        <f>VLOOKUP(A68,'ESTADOS ESTUDIANTES'!B:L,8,0)</f>
        <v>mccastellanosr@udistrital.edu.co</v>
      </c>
      <c r="F68" s="102" t="str">
        <f>VLOOKUP(A68,'ESTADOS ESTUDIANTES'!B:L,9,0)</f>
        <v>martha.castellanos@gmail.com</v>
      </c>
      <c r="G68" s="19" t="str">
        <f>VLOOKUP(A68,'ESTADOS ESTUDIANTES'!B:L,5,0)</f>
        <v>E</v>
      </c>
      <c r="H68" s="103"/>
      <c r="I68" s="100" t="s">
        <v>1499</v>
      </c>
      <c r="J68" s="103"/>
      <c r="K68" s="103"/>
      <c r="L68" s="105"/>
      <c r="M68" s="106"/>
      <c r="N68" s="105"/>
      <c r="O68" s="106"/>
      <c r="P68" s="107"/>
      <c r="Q68" s="100" t="s">
        <v>1500</v>
      </c>
      <c r="R68" s="105">
        <v>41984</v>
      </c>
      <c r="S68" s="102">
        <v>2014</v>
      </c>
      <c r="T68" s="100" t="s">
        <v>1501</v>
      </c>
      <c r="U68" s="105">
        <v>42044</v>
      </c>
      <c r="V68" s="105">
        <v>42131</v>
      </c>
      <c r="W68" s="102">
        <v>1</v>
      </c>
      <c r="X68" s="91">
        <f t="shared" ca="1" si="14"/>
        <v>0</v>
      </c>
      <c r="Y68" s="100" t="s">
        <v>43</v>
      </c>
      <c r="Z68" s="100" t="s">
        <v>1502</v>
      </c>
      <c r="AA68" s="105">
        <v>42058</v>
      </c>
      <c r="AB68" s="100" t="s">
        <v>1503</v>
      </c>
      <c r="AC68" s="100" t="s">
        <v>863</v>
      </c>
      <c r="AD68" s="21">
        <f t="shared" ca="1" si="15"/>
        <v>0</v>
      </c>
      <c r="AE68" s="100" t="s">
        <v>43</v>
      </c>
      <c r="AF68" s="105"/>
      <c r="AG68" s="100" t="s">
        <v>1501</v>
      </c>
      <c r="AH68" s="105">
        <v>43432</v>
      </c>
      <c r="AI68" s="105">
        <v>43439</v>
      </c>
      <c r="AJ68" s="103"/>
      <c r="AK68" s="23">
        <f t="shared" ca="1" si="13"/>
        <v>0</v>
      </c>
      <c r="AL68" s="100" t="s">
        <v>56</v>
      </c>
      <c r="AM68" s="100" t="s">
        <v>1502</v>
      </c>
      <c r="AN68" s="105"/>
      <c r="AO68" s="105"/>
      <c r="AP68" s="103"/>
      <c r="AQ68" s="161">
        <f t="shared" ca="1" si="16"/>
        <v>33055</v>
      </c>
      <c r="AR68" s="163"/>
      <c r="AS68" s="101"/>
      <c r="AT68" s="101"/>
      <c r="AU68" s="103"/>
      <c r="AV68" s="103"/>
      <c r="AW68" s="103"/>
      <c r="AX68" s="103"/>
      <c r="AY68" s="103"/>
      <c r="AZ68" s="103"/>
      <c r="BA68" s="103"/>
      <c r="BB68" s="103"/>
      <c r="BC68" s="103"/>
      <c r="BD68" s="100" t="str">
        <f t="shared" si="17"/>
        <v/>
      </c>
      <c r="BE68" s="100" t="str">
        <f t="shared" si="18"/>
        <v/>
      </c>
      <c r="BF68" s="100" t="str">
        <f t="shared" si="19"/>
        <v/>
      </c>
      <c r="BG68" s="100" t="str">
        <f t="shared" si="20"/>
        <v/>
      </c>
      <c r="BH68" s="100" t="str">
        <f t="shared" si="21"/>
        <v/>
      </c>
      <c r="BI68" s="103"/>
    </row>
    <row r="69" spans="1:61" s="95" customFormat="1">
      <c r="A69" s="101">
        <v>20131295003</v>
      </c>
      <c r="B69" s="19" t="str">
        <f>VLOOKUP(A69,'ESTADOS ESTUDIANTES'!B:L,2,0)</f>
        <v>FARFAN PINZON RONALD DANILO</v>
      </c>
      <c r="C69" s="102">
        <f>VLOOKUP(A69,'ESTADOS ESTUDIANTES'!B:L,11,0)</f>
        <v>1075651472</v>
      </c>
      <c r="D69" s="23">
        <f>VLOOKUP(A69,'ESTADOS ESTUDIANTES'!B:L,3,0)</f>
        <v>295</v>
      </c>
      <c r="E69" s="102" t="str">
        <f>VLOOKUP(A69,'ESTADOS ESTUDIANTES'!B:L,8,0)</f>
        <v>rdfarfanp@correo.udistrital.edu.co</v>
      </c>
      <c r="F69" s="102" t="str">
        <f>VLOOKUP(A69,'ESTADOS ESTUDIANTES'!B:L,9,0)</f>
        <v>ronalddanilo@hotmail.com</v>
      </c>
      <c r="G69" s="19" t="str">
        <f>VLOOKUP(A69,'ESTADOS ESTUDIANTES'!B:L,5,0)</f>
        <v>X</v>
      </c>
      <c r="H69" s="103"/>
      <c r="I69" s="103"/>
      <c r="J69" s="103"/>
      <c r="K69" s="103"/>
      <c r="L69" s="105"/>
      <c r="M69" s="106"/>
      <c r="N69" s="105">
        <v>43964</v>
      </c>
      <c r="O69" s="106">
        <v>72.17</v>
      </c>
      <c r="P69" s="112" t="s">
        <v>79</v>
      </c>
      <c r="Q69" s="100"/>
      <c r="R69" s="105"/>
      <c r="S69" s="103"/>
      <c r="T69" s="103"/>
      <c r="U69" s="105"/>
      <c r="V69" s="105"/>
      <c r="W69" s="103"/>
      <c r="X69" s="91">
        <f t="shared" ca="1" si="14"/>
        <v>33055</v>
      </c>
      <c r="Y69" s="99"/>
      <c r="Z69" s="103"/>
      <c r="AA69" s="105"/>
      <c r="AB69" s="105"/>
      <c r="AC69" s="103"/>
      <c r="AD69" s="21">
        <f t="shared" ca="1" si="15"/>
        <v>33055</v>
      </c>
      <c r="AE69" s="99"/>
      <c r="AF69" s="105"/>
      <c r="AG69" s="103"/>
      <c r="AH69" s="105"/>
      <c r="AI69" s="105"/>
      <c r="AJ69" s="103"/>
      <c r="AK69" s="23">
        <f t="shared" ca="1" si="13"/>
        <v>33055</v>
      </c>
      <c r="AL69" s="103"/>
      <c r="AM69" s="103"/>
      <c r="AN69" s="105"/>
      <c r="AO69" s="105"/>
      <c r="AP69" s="103"/>
      <c r="AQ69" s="163">
        <f t="shared" ca="1" si="16"/>
        <v>33055</v>
      </c>
      <c r="AR69" s="163"/>
      <c r="AS69" s="101"/>
      <c r="AT69" s="101"/>
      <c r="AU69" s="103"/>
      <c r="AV69" s="103"/>
      <c r="AW69" s="103"/>
      <c r="AX69" s="103"/>
      <c r="AY69" s="103"/>
      <c r="AZ69" s="103"/>
      <c r="BA69" s="103"/>
      <c r="BB69" s="103"/>
      <c r="BC69" s="103"/>
      <c r="BD69" s="100" t="str">
        <f t="shared" si="17"/>
        <v/>
      </c>
      <c r="BE69" s="100" t="str">
        <f t="shared" si="18"/>
        <v/>
      </c>
      <c r="BF69" s="100" t="str">
        <f t="shared" si="19"/>
        <v/>
      </c>
      <c r="BG69" s="100" t="str">
        <f t="shared" si="20"/>
        <v/>
      </c>
      <c r="BH69" s="100" t="str">
        <f t="shared" si="21"/>
        <v/>
      </c>
      <c r="BI69" s="103"/>
    </row>
    <row r="70" spans="1:61" s="95" customFormat="1">
      <c r="A70" s="101">
        <v>20131295004</v>
      </c>
      <c r="B70" s="19" t="str">
        <f>VLOOKUP(A70,'ESTADOS ESTUDIANTES'!B:L,2,0)</f>
        <v>GUERRERO DIAZ MARIO FERNANDO</v>
      </c>
      <c r="C70" s="102">
        <f>VLOOKUP(A70,'ESTADOS ESTUDIANTES'!B:L,11,0)</f>
        <v>13072389</v>
      </c>
      <c r="D70" s="23">
        <f>VLOOKUP(A70,'ESTADOS ESTUDIANTES'!B:L,3,0)</f>
        <v>295</v>
      </c>
      <c r="E70" s="102" t="str">
        <f>VLOOKUP(A70,'ESTADOS ESTUDIANTES'!B:L,8,0)</f>
        <v>mfguerrerod@correo.udistrital.edu.co</v>
      </c>
      <c r="F70" s="102" t="str">
        <f>VLOOKUP(A70,'ESTADOS ESTUDIANTES'!B:L,9,0)</f>
        <v>mfguerrero@hotmail.com</v>
      </c>
      <c r="G70" s="19" t="str">
        <f>VLOOKUP(A70,'ESTADOS ESTUDIANTES'!B:L,5,0)</f>
        <v>X</v>
      </c>
      <c r="H70" s="100" t="s">
        <v>46</v>
      </c>
      <c r="I70" s="103"/>
      <c r="J70" s="103"/>
      <c r="K70" s="103"/>
      <c r="L70" s="105"/>
      <c r="M70" s="106"/>
      <c r="N70" s="105"/>
      <c r="O70" s="106"/>
      <c r="P70" s="107"/>
      <c r="Q70" s="100"/>
      <c r="R70" s="105"/>
      <c r="S70" s="103"/>
      <c r="T70" s="103"/>
      <c r="U70" s="105"/>
      <c r="V70" s="105"/>
      <c r="W70" s="103"/>
      <c r="X70" s="91">
        <f t="shared" ca="1" si="14"/>
        <v>33055</v>
      </c>
      <c r="Y70" s="99"/>
      <c r="Z70" s="103"/>
      <c r="AA70" s="105"/>
      <c r="AB70" s="105"/>
      <c r="AC70" s="103"/>
      <c r="AD70" s="21">
        <f t="shared" ca="1" si="15"/>
        <v>33055</v>
      </c>
      <c r="AE70" s="99"/>
      <c r="AF70" s="105"/>
      <c r="AG70" s="103"/>
      <c r="AH70" s="105"/>
      <c r="AI70" s="105"/>
      <c r="AJ70" s="103"/>
      <c r="AK70" s="23">
        <f t="shared" ca="1" si="13"/>
        <v>33055</v>
      </c>
      <c r="AL70" s="103"/>
      <c r="AM70" s="103"/>
      <c r="AN70" s="105"/>
      <c r="AO70" s="105"/>
      <c r="AP70" s="103"/>
      <c r="AQ70" s="163">
        <f t="shared" ca="1" si="16"/>
        <v>33055</v>
      </c>
      <c r="AR70" s="163"/>
      <c r="AS70" s="101"/>
      <c r="AT70" s="101"/>
      <c r="AU70" s="103"/>
      <c r="AV70" s="103"/>
      <c r="AW70" s="103"/>
      <c r="AX70" s="103"/>
      <c r="AY70" s="103"/>
      <c r="AZ70" s="103"/>
      <c r="BA70" s="103"/>
      <c r="BB70" s="103"/>
      <c r="BC70" s="103"/>
      <c r="BD70" s="100" t="str">
        <f t="shared" si="17"/>
        <v/>
      </c>
      <c r="BE70" s="100" t="str">
        <f t="shared" si="18"/>
        <v/>
      </c>
      <c r="BF70" s="100" t="str">
        <f t="shared" si="19"/>
        <v/>
      </c>
      <c r="BG70" s="100" t="str">
        <f t="shared" si="20"/>
        <v/>
      </c>
      <c r="BH70" s="100" t="str">
        <f t="shared" si="21"/>
        <v/>
      </c>
      <c r="BI70" s="103"/>
    </row>
    <row r="71" spans="1:61" s="95" customFormat="1">
      <c r="A71" s="101">
        <v>20131295005</v>
      </c>
      <c r="B71" s="19" t="str">
        <f>VLOOKUP(A71,'ESTADOS ESTUDIANTES'!B:L,2,0)</f>
        <v>MORENO PINILLA ALEJANDRO</v>
      </c>
      <c r="C71" s="102">
        <f>VLOOKUP(A71,'ESTADOS ESTUDIANTES'!B:L,11,0)</f>
        <v>80030579</v>
      </c>
      <c r="D71" s="23">
        <f>VLOOKUP(A71,'ESTADOS ESTUDIANTES'!B:L,3,0)</f>
        <v>295</v>
      </c>
      <c r="E71" s="102" t="str">
        <f>VLOOKUP(A71,'ESTADOS ESTUDIANTES'!B:L,8,0)</f>
        <v>almorenop@correo.udistrital.edu.co</v>
      </c>
      <c r="F71" s="102" t="str">
        <f>VLOOKUP(A71,'ESTADOS ESTUDIANTES'!B:L,9,0)</f>
        <v>amoreno@dataglobal.com.co</v>
      </c>
      <c r="G71" s="19" t="str">
        <f>VLOOKUP(A71,'ESTADOS ESTUDIANTES'!B:L,5,0)</f>
        <v>X</v>
      </c>
      <c r="H71" s="103"/>
      <c r="I71" s="103"/>
      <c r="J71" s="103"/>
      <c r="K71" s="103"/>
      <c r="L71" s="105"/>
      <c r="M71" s="106"/>
      <c r="N71" s="105"/>
      <c r="O71" s="106"/>
      <c r="P71" s="107"/>
      <c r="Q71" s="100"/>
      <c r="R71" s="105"/>
      <c r="S71" s="103"/>
      <c r="T71" s="103"/>
      <c r="U71" s="105"/>
      <c r="V71" s="105"/>
      <c r="W71" s="103"/>
      <c r="X71" s="91">
        <f t="shared" ca="1" si="14"/>
        <v>33055</v>
      </c>
      <c r="Y71" s="99"/>
      <c r="Z71" s="103"/>
      <c r="AA71" s="105"/>
      <c r="AB71" s="105"/>
      <c r="AC71" s="103"/>
      <c r="AD71" s="21">
        <f t="shared" ca="1" si="15"/>
        <v>33055</v>
      </c>
      <c r="AE71" s="99"/>
      <c r="AF71" s="105"/>
      <c r="AG71" s="103"/>
      <c r="AH71" s="105"/>
      <c r="AI71" s="105"/>
      <c r="AJ71" s="103"/>
      <c r="AK71" s="23">
        <f t="shared" ca="1" si="13"/>
        <v>33055</v>
      </c>
      <c r="AL71" s="103"/>
      <c r="AM71" s="103"/>
      <c r="AN71" s="105"/>
      <c r="AO71" s="105"/>
      <c r="AP71" s="103"/>
      <c r="AQ71" s="163">
        <f t="shared" ca="1" si="16"/>
        <v>33055</v>
      </c>
      <c r="AR71" s="163"/>
      <c r="AS71" s="101"/>
      <c r="AT71" s="101"/>
      <c r="AU71" s="103"/>
      <c r="AV71" s="103"/>
      <c r="AW71" s="103"/>
      <c r="AX71" s="103"/>
      <c r="AY71" s="103"/>
      <c r="AZ71" s="103"/>
      <c r="BA71" s="103"/>
      <c r="BB71" s="103"/>
      <c r="BC71" s="103"/>
      <c r="BD71" s="100" t="str">
        <f t="shared" si="17"/>
        <v/>
      </c>
      <c r="BE71" s="100" t="str">
        <f t="shared" si="18"/>
        <v/>
      </c>
      <c r="BF71" s="100" t="str">
        <f t="shared" si="19"/>
        <v/>
      </c>
      <c r="BG71" s="100" t="str">
        <f t="shared" si="20"/>
        <v/>
      </c>
      <c r="BH71" s="100" t="str">
        <f t="shared" si="21"/>
        <v/>
      </c>
      <c r="BI71" s="103"/>
    </row>
    <row r="72" spans="1:61" s="95" customFormat="1" ht="45">
      <c r="A72" s="101">
        <v>20131295006</v>
      </c>
      <c r="B72" s="19" t="str">
        <f>VLOOKUP(A72,'ESTADOS ESTUDIANTES'!B:L,2,0)</f>
        <v>PINILLA AVILA EDWIN GUSTAVO</v>
      </c>
      <c r="C72" s="102">
        <f>VLOOKUP(A72,'ESTADOS ESTUDIANTES'!B:L,11,0)</f>
        <v>80746790</v>
      </c>
      <c r="D72" s="23">
        <f>VLOOKUP(A72,'ESTADOS ESTUDIANTES'!B:L,3,0)</f>
        <v>295</v>
      </c>
      <c r="E72" s="102" t="str">
        <f>VLOOKUP(A72,'ESTADOS ESTUDIANTES'!B:L,8,0)</f>
        <v>egpinillaa@correo.udistrital.edu.co</v>
      </c>
      <c r="F72" s="102" t="str">
        <f>VLOOKUP(A72,'ESTADOS ESTUDIANTES'!B:L,9,0)</f>
        <v>egpinilla@gmail.com</v>
      </c>
      <c r="G72" s="19" t="str">
        <f>VLOOKUP(A72,'ESTADOS ESTUDIANTES'!B:L,5,0)</f>
        <v>E</v>
      </c>
      <c r="H72" s="100" t="s">
        <v>46</v>
      </c>
      <c r="I72" s="100" t="s">
        <v>1504</v>
      </c>
      <c r="J72" s="108" t="s">
        <v>229</v>
      </c>
      <c r="K72" s="103"/>
      <c r="L72" s="105"/>
      <c r="M72" s="106"/>
      <c r="N72" s="105"/>
      <c r="O72" s="106"/>
      <c r="P72" s="107"/>
      <c r="Q72" s="100" t="s">
        <v>1505</v>
      </c>
      <c r="R72" s="105">
        <v>42048</v>
      </c>
      <c r="S72" s="102">
        <v>2015</v>
      </c>
      <c r="T72" s="100" t="s">
        <v>1420</v>
      </c>
      <c r="U72" s="105">
        <v>42486</v>
      </c>
      <c r="V72" s="105">
        <v>42578</v>
      </c>
      <c r="W72" s="102">
        <v>1</v>
      </c>
      <c r="X72" s="91">
        <f t="shared" ca="1" si="14"/>
        <v>0</v>
      </c>
      <c r="Y72" s="100" t="s">
        <v>43</v>
      </c>
      <c r="Z72" s="100" t="s">
        <v>1479</v>
      </c>
      <c r="AA72" s="105">
        <v>42683</v>
      </c>
      <c r="AB72" s="105">
        <v>42765</v>
      </c>
      <c r="AC72" s="102">
        <v>1</v>
      </c>
      <c r="AD72" s="21">
        <f t="shared" ca="1" si="15"/>
        <v>0</v>
      </c>
      <c r="AE72" s="100" t="s">
        <v>43</v>
      </c>
      <c r="AF72" s="105"/>
      <c r="AG72" s="100" t="s">
        <v>1479</v>
      </c>
      <c r="AH72" s="105"/>
      <c r="AI72" s="105">
        <v>43446</v>
      </c>
      <c r="AJ72" s="103"/>
      <c r="AK72" s="23">
        <f ca="1">IF(AL72="",NETWORKDAYS.INTL(AH72,TODAY(),1),0)</f>
        <v>0</v>
      </c>
      <c r="AL72" s="100" t="s">
        <v>42</v>
      </c>
      <c r="AM72" s="100" t="s">
        <v>1506</v>
      </c>
      <c r="AN72" s="105"/>
      <c r="AO72" s="105">
        <v>43446</v>
      </c>
      <c r="AP72" s="103"/>
      <c r="AQ72" s="162" t="e">
        <f t="shared" ca="1" si="16"/>
        <v>#VALUE!</v>
      </c>
      <c r="AR72" s="162" t="s">
        <v>42</v>
      </c>
      <c r="AS72" s="101"/>
      <c r="AT72" s="101"/>
      <c r="AU72" s="103"/>
      <c r="AV72" s="103"/>
      <c r="AW72" s="103"/>
      <c r="AX72" s="103"/>
      <c r="AY72" s="103"/>
      <c r="AZ72" s="103"/>
      <c r="BA72" s="103"/>
      <c r="BB72" s="103"/>
      <c r="BC72" s="103"/>
      <c r="BD72" s="100" t="str">
        <f t="shared" si="17"/>
        <v/>
      </c>
      <c r="BE72" s="100" t="str">
        <f t="shared" si="18"/>
        <v/>
      </c>
      <c r="BF72" s="100" t="str">
        <f t="shared" si="19"/>
        <v/>
      </c>
      <c r="BG72" s="100" t="str">
        <f t="shared" si="20"/>
        <v/>
      </c>
      <c r="BH72" s="100" t="str">
        <f t="shared" si="21"/>
        <v/>
      </c>
      <c r="BI72" s="103"/>
    </row>
    <row r="73" spans="1:61" s="95" customFormat="1">
      <c r="A73" s="109">
        <v>20131295007</v>
      </c>
      <c r="B73" s="19" t="str">
        <f>VLOOKUP(A73,'ESTADOS ESTUDIANTES'!B:L,2,0)</f>
        <v>PRIETO SANCHEZ FREDY LEONARDO</v>
      </c>
      <c r="C73" s="102">
        <f>VLOOKUP(A73,'ESTADOS ESTUDIANTES'!B:L,11,0)</f>
        <v>80035066</v>
      </c>
      <c r="D73" s="23">
        <f>VLOOKUP(A73,'ESTADOS ESTUDIANTES'!B:L,3,0)</f>
        <v>295</v>
      </c>
      <c r="E73" s="102" t="str">
        <f>VLOOKUP(A73,'ESTADOS ESTUDIANTES'!B:L,8,0)</f>
        <v>flprietos@correo.udistrital.edu.co</v>
      </c>
      <c r="F73" s="102" t="str">
        <f>VLOOKUP(A73,'ESTADOS ESTUDIANTES'!B:L,9,0)</f>
        <v>flps2182@gmail.com</v>
      </c>
      <c r="G73" s="19" t="str">
        <f>VLOOKUP(A73,'ESTADOS ESTUDIANTES'!B:L,5,0)</f>
        <v>I</v>
      </c>
      <c r="H73" s="103"/>
      <c r="I73" s="103"/>
      <c r="J73" s="103"/>
      <c r="K73" s="103"/>
      <c r="L73" s="105"/>
      <c r="M73" s="106"/>
      <c r="N73" s="105"/>
      <c r="O73" s="106"/>
      <c r="P73" s="107"/>
      <c r="Q73" s="100"/>
      <c r="R73" s="105"/>
      <c r="S73" s="103"/>
      <c r="T73" s="103"/>
      <c r="U73" s="105"/>
      <c r="V73" s="105"/>
      <c r="W73" s="103"/>
      <c r="X73" s="91">
        <f t="shared" ca="1" si="14"/>
        <v>33055</v>
      </c>
      <c r="Y73" s="99"/>
      <c r="Z73" s="103"/>
      <c r="AA73" s="105"/>
      <c r="AB73" s="105"/>
      <c r="AC73" s="103"/>
      <c r="AD73" s="21">
        <f t="shared" ca="1" si="15"/>
        <v>33055</v>
      </c>
      <c r="AE73" s="99"/>
      <c r="AF73" s="105"/>
      <c r="AG73" s="103"/>
      <c r="AH73" s="105"/>
      <c r="AI73" s="105"/>
      <c r="AJ73" s="103"/>
      <c r="AK73" s="23">
        <f t="shared" ref="AK73:AK83" ca="1" si="22">IF(AH73="",NETWORKDAYS.INTL(AL73,TODAY(),1),0)</f>
        <v>33055</v>
      </c>
      <c r="AL73" s="103"/>
      <c r="AM73" s="103"/>
      <c r="AN73" s="105"/>
      <c r="AO73" s="105"/>
      <c r="AP73" s="103"/>
      <c r="AQ73" s="161">
        <f t="shared" ca="1" si="16"/>
        <v>33055</v>
      </c>
      <c r="AR73" s="163"/>
      <c r="AS73" s="100"/>
      <c r="AT73" s="101"/>
      <c r="AU73" s="103"/>
      <c r="AV73" s="103"/>
      <c r="AW73" s="103"/>
      <c r="AX73" s="103"/>
      <c r="AY73" s="103"/>
      <c r="AZ73" s="103"/>
      <c r="BA73" s="103"/>
      <c r="BB73" s="103"/>
      <c r="BC73" s="103"/>
      <c r="BD73" s="100" t="str">
        <f t="shared" si="17"/>
        <v/>
      </c>
      <c r="BE73" s="100" t="str">
        <f t="shared" si="18"/>
        <v/>
      </c>
      <c r="BF73" s="100" t="str">
        <f t="shared" si="19"/>
        <v/>
      </c>
      <c r="BG73" s="100" t="str">
        <f t="shared" si="20"/>
        <v/>
      </c>
      <c r="BH73" s="100" t="str">
        <f t="shared" si="21"/>
        <v/>
      </c>
      <c r="BI73" s="103"/>
    </row>
    <row r="74" spans="1:61" s="95" customFormat="1">
      <c r="A74" s="101">
        <v>20131395001</v>
      </c>
      <c r="B74" s="19" t="str">
        <f>VLOOKUP(A74,'ESTADOS ESTUDIANTES'!B:L,2,0)</f>
        <v>ACERO PATIÑO NATALIA</v>
      </c>
      <c r="C74" s="102">
        <f>VLOOKUP(A74,'ESTADOS ESTUDIANTES'!B:L,11,0)</f>
        <v>30238482</v>
      </c>
      <c r="D74" s="23">
        <f>VLOOKUP(A74,'ESTADOS ESTUDIANTES'!B:L,3,0)</f>
        <v>395</v>
      </c>
      <c r="E74" s="102" t="str">
        <f>VLOOKUP(A74,'ESTADOS ESTUDIANTES'!B:L,8,0)</f>
        <v>nacerop@correo.udistrital.edu.co</v>
      </c>
      <c r="F74" s="102" t="str">
        <f>VLOOKUP(A74,'ESTADOS ESTUDIANTES'!B:L,9,0)</f>
        <v>natalitaap@gmail.com</v>
      </c>
      <c r="G74" s="19" t="str">
        <f>VLOOKUP(A74,'ESTADOS ESTUDIANTES'!B:L,5,0)</f>
        <v>X</v>
      </c>
      <c r="H74" s="103"/>
      <c r="I74" s="103"/>
      <c r="J74" s="103"/>
      <c r="K74" s="103"/>
      <c r="L74" s="105"/>
      <c r="M74" s="106"/>
      <c r="N74" s="105"/>
      <c r="O74" s="106"/>
      <c r="P74" s="107"/>
      <c r="Q74" s="100"/>
      <c r="R74" s="105"/>
      <c r="S74" s="103"/>
      <c r="T74" s="103"/>
      <c r="U74" s="105"/>
      <c r="V74" s="105"/>
      <c r="W74" s="103"/>
      <c r="X74" s="91">
        <f t="shared" ca="1" si="14"/>
        <v>33055</v>
      </c>
      <c r="Y74" s="99"/>
      <c r="Z74" s="103"/>
      <c r="AA74" s="105"/>
      <c r="AB74" s="105"/>
      <c r="AC74" s="103"/>
      <c r="AD74" s="21">
        <f t="shared" ca="1" si="15"/>
        <v>33055</v>
      </c>
      <c r="AE74" s="99"/>
      <c r="AF74" s="105"/>
      <c r="AG74" s="103"/>
      <c r="AH74" s="105"/>
      <c r="AI74" s="105"/>
      <c r="AJ74" s="103"/>
      <c r="AK74" s="23">
        <f t="shared" ca="1" si="22"/>
        <v>33055</v>
      </c>
      <c r="AL74" s="103"/>
      <c r="AM74" s="103"/>
      <c r="AN74" s="105"/>
      <c r="AO74" s="105"/>
      <c r="AP74" s="103"/>
      <c r="AQ74" s="163">
        <f t="shared" ca="1" si="16"/>
        <v>33055</v>
      </c>
      <c r="AR74" s="163"/>
      <c r="AS74" s="101"/>
      <c r="AT74" s="101"/>
      <c r="AU74" s="103"/>
      <c r="AV74" s="103"/>
      <c r="AW74" s="103"/>
      <c r="AX74" s="103"/>
      <c r="AY74" s="103"/>
      <c r="AZ74" s="103"/>
      <c r="BA74" s="103"/>
      <c r="BB74" s="103"/>
      <c r="BC74" s="103"/>
      <c r="BD74" s="100" t="str">
        <f t="shared" si="17"/>
        <v/>
      </c>
      <c r="BE74" s="100" t="str">
        <f t="shared" si="18"/>
        <v/>
      </c>
      <c r="BF74" s="100" t="str">
        <f t="shared" si="19"/>
        <v/>
      </c>
      <c r="BG74" s="100" t="str">
        <f t="shared" si="20"/>
        <v/>
      </c>
      <c r="BH74" s="100" t="str">
        <f t="shared" si="21"/>
        <v/>
      </c>
      <c r="BI74" s="103"/>
    </row>
    <row r="75" spans="1:61" s="95" customFormat="1" ht="45">
      <c r="A75" s="101">
        <v>20131395002</v>
      </c>
      <c r="B75" s="19" t="str">
        <f>VLOOKUP(A75,'ESTADOS ESTUDIANTES'!B:L,2,0)</f>
        <v>CASTRILLON OSORIO OMAR</v>
      </c>
      <c r="C75" s="102">
        <f>VLOOKUP(A75,'ESTADOS ESTUDIANTES'!B:L,11,0)</f>
        <v>75107270</v>
      </c>
      <c r="D75" s="23">
        <f>VLOOKUP(A75,'ESTADOS ESTUDIANTES'!B:L,3,0)</f>
        <v>395</v>
      </c>
      <c r="E75" s="102" t="str">
        <f>VLOOKUP(A75,'ESTADOS ESTUDIANTES'!B:L,8,0)</f>
        <v>ocastrillono@correo.udistrital.edu.co</v>
      </c>
      <c r="F75" s="102" t="str">
        <f>VLOOKUP(A75,'ESTADOS ESTUDIANTES'!B:L,9,0)</f>
        <v>oco1117@gmail.com</v>
      </c>
      <c r="G75" s="19" t="str">
        <f>VLOOKUP(A75,'ESTADOS ESTUDIANTES'!B:L,5,0)</f>
        <v>E</v>
      </c>
      <c r="H75" s="103"/>
      <c r="I75" s="100" t="s">
        <v>1507</v>
      </c>
      <c r="J75" s="104"/>
      <c r="K75" s="103"/>
      <c r="L75" s="105"/>
      <c r="M75" s="106"/>
      <c r="N75" s="105"/>
      <c r="O75" s="106"/>
      <c r="P75" s="107"/>
      <c r="Q75" s="100" t="s">
        <v>1508</v>
      </c>
      <c r="R75" s="100" t="s">
        <v>1509</v>
      </c>
      <c r="S75" s="101">
        <v>2013</v>
      </c>
      <c r="T75" s="100" t="s">
        <v>1510</v>
      </c>
      <c r="U75" s="105">
        <v>42428</v>
      </c>
      <c r="V75" s="105">
        <v>42507</v>
      </c>
      <c r="W75" s="102">
        <v>1</v>
      </c>
      <c r="X75" s="91">
        <f t="shared" ca="1" si="14"/>
        <v>0</v>
      </c>
      <c r="Y75" s="100" t="s">
        <v>43</v>
      </c>
      <c r="Z75" s="100" t="s">
        <v>270</v>
      </c>
      <c r="AA75" s="105">
        <v>42410</v>
      </c>
      <c r="AB75" s="105">
        <v>42501</v>
      </c>
      <c r="AC75" s="102">
        <v>1</v>
      </c>
      <c r="AD75" s="21">
        <f t="shared" ca="1" si="15"/>
        <v>0</v>
      </c>
      <c r="AE75" s="100" t="s">
        <v>43</v>
      </c>
      <c r="AF75" s="105">
        <v>42858</v>
      </c>
      <c r="AG75" s="100" t="s">
        <v>270</v>
      </c>
      <c r="AH75" s="100" t="s">
        <v>1511</v>
      </c>
      <c r="AI75" s="100" t="s">
        <v>1512</v>
      </c>
      <c r="AJ75" s="102">
        <v>2</v>
      </c>
      <c r="AK75" s="23">
        <f t="shared" ca="1" si="22"/>
        <v>0</v>
      </c>
      <c r="AL75" s="100" t="s">
        <v>42</v>
      </c>
      <c r="AM75" s="100" t="s">
        <v>1427</v>
      </c>
      <c r="AN75" s="105">
        <v>43069</v>
      </c>
      <c r="AO75" s="105">
        <v>43069</v>
      </c>
      <c r="AP75" s="103"/>
      <c r="AQ75" s="163">
        <f t="shared" ca="1" si="16"/>
        <v>0</v>
      </c>
      <c r="AR75" s="162" t="s">
        <v>42</v>
      </c>
      <c r="AS75" s="100" t="s">
        <v>1513</v>
      </c>
      <c r="AT75" s="101">
        <v>5</v>
      </c>
      <c r="AU75" s="100" t="s">
        <v>41</v>
      </c>
      <c r="AV75" s="113">
        <v>42736</v>
      </c>
      <c r="AW75" s="103"/>
      <c r="AX75" s="103"/>
      <c r="AY75" s="103"/>
      <c r="AZ75" s="103"/>
      <c r="BA75" s="103"/>
      <c r="BB75" s="103"/>
      <c r="BC75" s="103"/>
      <c r="BD75" s="100" t="str">
        <f t="shared" si="17"/>
        <v/>
      </c>
      <c r="BE75" s="100" t="str">
        <f t="shared" si="18"/>
        <v/>
      </c>
      <c r="BF75" s="100" t="str">
        <f t="shared" si="19"/>
        <v/>
      </c>
      <c r="BG75" s="100" t="str">
        <f t="shared" si="20"/>
        <v/>
      </c>
      <c r="BH75" s="100" t="str">
        <f t="shared" si="21"/>
        <v/>
      </c>
      <c r="BI75" s="103"/>
    </row>
    <row r="76" spans="1:61" s="95" customFormat="1">
      <c r="A76" s="101">
        <v>20131395003</v>
      </c>
      <c r="B76" s="19" t="str">
        <f>VLOOKUP(A76,'ESTADOS ESTUDIANTES'!B:L,2,0)</f>
        <v>CORTES CERON EDWIN ALVARO</v>
      </c>
      <c r="C76" s="102">
        <f>VLOOKUP(A76,'ESTADOS ESTUDIANTES'!B:L,11,0)</f>
        <v>80213350</v>
      </c>
      <c r="D76" s="23">
        <f>VLOOKUP(A76,'ESTADOS ESTUDIANTES'!B:L,3,0)</f>
        <v>395</v>
      </c>
      <c r="E76" s="102" t="str">
        <f>VLOOKUP(A76,'ESTADOS ESTUDIANTES'!B:L,8,0)</f>
        <v>eacortesc@correo.udistrital.edu.co</v>
      </c>
      <c r="F76" s="102" t="str">
        <f>VLOOKUP(A76,'ESTADOS ESTUDIANTES'!B:L,9,0)</f>
        <v>edwincorts@gmail.com</v>
      </c>
      <c r="G76" s="19" t="str">
        <f>VLOOKUP(A76,'ESTADOS ESTUDIANTES'!B:L,5,0)</f>
        <v>X</v>
      </c>
      <c r="H76" s="103"/>
      <c r="I76" s="103"/>
      <c r="J76" s="103"/>
      <c r="K76" s="103"/>
      <c r="L76" s="105"/>
      <c r="M76" s="106"/>
      <c r="N76" s="105"/>
      <c r="O76" s="106"/>
      <c r="P76" s="107"/>
      <c r="Q76" s="100"/>
      <c r="R76" s="105"/>
      <c r="S76" s="103"/>
      <c r="T76" s="103"/>
      <c r="U76" s="105"/>
      <c r="V76" s="105"/>
      <c r="W76" s="103"/>
      <c r="X76" s="91">
        <f t="shared" ca="1" si="14"/>
        <v>33055</v>
      </c>
      <c r="Y76" s="99"/>
      <c r="Z76" s="103"/>
      <c r="AA76" s="105"/>
      <c r="AB76" s="105"/>
      <c r="AC76" s="103"/>
      <c r="AD76" s="21">
        <f t="shared" ca="1" si="15"/>
        <v>33055</v>
      </c>
      <c r="AE76" s="99"/>
      <c r="AF76" s="105"/>
      <c r="AG76" s="103"/>
      <c r="AH76" s="105"/>
      <c r="AI76" s="105"/>
      <c r="AJ76" s="103"/>
      <c r="AK76" s="23">
        <f t="shared" ca="1" si="22"/>
        <v>33055</v>
      </c>
      <c r="AL76" s="103"/>
      <c r="AM76" s="103"/>
      <c r="AN76" s="105"/>
      <c r="AO76" s="105"/>
      <c r="AP76" s="103"/>
      <c r="AQ76" s="163">
        <f t="shared" ca="1" si="16"/>
        <v>33055</v>
      </c>
      <c r="AR76" s="163"/>
      <c r="AS76" s="101"/>
      <c r="AT76" s="101"/>
      <c r="AU76" s="103"/>
      <c r="AV76" s="103"/>
      <c r="AW76" s="103"/>
      <c r="AX76" s="103"/>
      <c r="AY76" s="103"/>
      <c r="AZ76" s="103"/>
      <c r="BA76" s="103"/>
      <c r="BB76" s="103"/>
      <c r="BC76" s="103"/>
      <c r="BD76" s="100" t="str">
        <f t="shared" si="17"/>
        <v/>
      </c>
      <c r="BE76" s="100" t="str">
        <f t="shared" si="18"/>
        <v/>
      </c>
      <c r="BF76" s="100" t="str">
        <f t="shared" si="19"/>
        <v/>
      </c>
      <c r="BG76" s="100" t="str">
        <f t="shared" si="20"/>
        <v/>
      </c>
      <c r="BH76" s="100" t="str">
        <f t="shared" si="21"/>
        <v/>
      </c>
      <c r="BI76" s="103"/>
    </row>
    <row r="77" spans="1:61" s="95" customFormat="1">
      <c r="A77" s="101">
        <v>20131395004</v>
      </c>
      <c r="B77" s="19" t="str">
        <f>VLOOKUP(A77,'ESTADOS ESTUDIANTES'!B:L,2,0)</f>
        <v>DUITAMA GUIO ASTRID YADIRA</v>
      </c>
      <c r="C77" s="102">
        <f>VLOOKUP(A77,'ESTADOS ESTUDIANTES'!B:L,11,0)</f>
        <v>53139795</v>
      </c>
      <c r="D77" s="23">
        <f>VLOOKUP(A77,'ESTADOS ESTUDIANTES'!B:L,3,0)</f>
        <v>395</v>
      </c>
      <c r="E77" s="102" t="str">
        <f>VLOOKUP(A77,'ESTADOS ESTUDIANTES'!B:L,8,0)</f>
        <v>ayduitamag@correo.udistrital.edu.co</v>
      </c>
      <c r="F77" s="102" t="str">
        <f>VLOOKUP(A77,'ESTADOS ESTUDIANTES'!B:L,9,0)</f>
        <v>yadugui@gmail.com</v>
      </c>
      <c r="G77" s="19" t="str">
        <f>VLOOKUP(A77,'ESTADOS ESTUDIANTES'!B:L,5,0)</f>
        <v>X</v>
      </c>
      <c r="H77" s="100" t="s">
        <v>60</v>
      </c>
      <c r="I77" s="103"/>
      <c r="J77" s="103"/>
      <c r="K77" s="103"/>
      <c r="L77" s="105"/>
      <c r="M77" s="106"/>
      <c r="N77" s="105"/>
      <c r="O77" s="106"/>
      <c r="P77" s="107"/>
      <c r="Q77" s="100"/>
      <c r="R77" s="105"/>
      <c r="S77" s="103"/>
      <c r="T77" s="103"/>
      <c r="U77" s="105"/>
      <c r="V77" s="105"/>
      <c r="W77" s="103"/>
      <c r="X77" s="91">
        <f t="shared" ca="1" si="14"/>
        <v>33055</v>
      </c>
      <c r="Y77" s="99"/>
      <c r="Z77" s="103"/>
      <c r="AA77" s="105"/>
      <c r="AB77" s="105"/>
      <c r="AC77" s="103"/>
      <c r="AD77" s="21">
        <f t="shared" ca="1" si="15"/>
        <v>33055</v>
      </c>
      <c r="AE77" s="99"/>
      <c r="AF77" s="105"/>
      <c r="AG77" s="103"/>
      <c r="AH77" s="105"/>
      <c r="AI77" s="105"/>
      <c r="AJ77" s="103"/>
      <c r="AK77" s="23">
        <f t="shared" ca="1" si="22"/>
        <v>33055</v>
      </c>
      <c r="AL77" s="103"/>
      <c r="AM77" s="103"/>
      <c r="AN77" s="105"/>
      <c r="AO77" s="105"/>
      <c r="AP77" s="103"/>
      <c r="AQ77" s="163">
        <f t="shared" ca="1" si="16"/>
        <v>33055</v>
      </c>
      <c r="AR77" s="163"/>
      <c r="AS77" s="101"/>
      <c r="AT77" s="101"/>
      <c r="AU77" s="103"/>
      <c r="AV77" s="103"/>
      <c r="AW77" s="103"/>
      <c r="AX77" s="103"/>
      <c r="AY77" s="103"/>
      <c r="AZ77" s="103"/>
      <c r="BA77" s="103"/>
      <c r="BB77" s="103"/>
      <c r="BC77" s="103"/>
      <c r="BD77" s="100" t="str">
        <f t="shared" si="17"/>
        <v/>
      </c>
      <c r="BE77" s="100" t="str">
        <f t="shared" si="18"/>
        <v/>
      </c>
      <c r="BF77" s="100" t="str">
        <f t="shared" si="19"/>
        <v/>
      </c>
      <c r="BG77" s="100" t="str">
        <f t="shared" si="20"/>
        <v/>
      </c>
      <c r="BH77" s="100" t="str">
        <f t="shared" si="21"/>
        <v/>
      </c>
      <c r="BI77" s="103"/>
    </row>
    <row r="78" spans="1:61" s="95" customFormat="1">
      <c r="A78" s="101">
        <v>20131395005</v>
      </c>
      <c r="B78" s="19" t="str">
        <f>VLOOKUP(A78,'ESTADOS ESTUDIANTES'!B:L,2,0)</f>
        <v>GIRALDO RODRIGUEZ PAOLA BORITA</v>
      </c>
      <c r="C78" s="102">
        <f>VLOOKUP(A78,'ESTADOS ESTUDIANTES'!B:L,11,0)</f>
        <v>53098264</v>
      </c>
      <c r="D78" s="23">
        <f>VLOOKUP(A78,'ESTADOS ESTUDIANTES'!B:L,3,0)</f>
        <v>395</v>
      </c>
      <c r="E78" s="102" t="str">
        <f>VLOOKUP(A78,'ESTADOS ESTUDIANTES'!B:L,8,0)</f>
        <v>pbgiraldor@correo.udistrital.edu.co</v>
      </c>
      <c r="F78" s="102" t="str">
        <f>VLOOKUP(A78,'ESTADOS ESTUDIANTES'!B:L,9,0)</f>
        <v>polisgiraldo@gmail.com</v>
      </c>
      <c r="G78" s="19" t="str">
        <f>VLOOKUP(A78,'ESTADOS ESTUDIANTES'!B:L,5,0)</f>
        <v>X</v>
      </c>
      <c r="H78" s="103"/>
      <c r="I78" s="103"/>
      <c r="J78" s="103"/>
      <c r="K78" s="103"/>
      <c r="L78" s="105"/>
      <c r="M78" s="106"/>
      <c r="N78" s="105"/>
      <c r="O78" s="106"/>
      <c r="P78" s="107"/>
      <c r="Q78" s="100"/>
      <c r="R78" s="105"/>
      <c r="S78" s="103"/>
      <c r="T78" s="103"/>
      <c r="U78" s="105"/>
      <c r="V78" s="105"/>
      <c r="W78" s="103"/>
      <c r="X78" s="91">
        <f t="shared" ca="1" si="14"/>
        <v>33055</v>
      </c>
      <c r="Y78" s="99"/>
      <c r="Z78" s="103"/>
      <c r="AA78" s="105"/>
      <c r="AB78" s="105"/>
      <c r="AC78" s="103"/>
      <c r="AD78" s="21">
        <f t="shared" ca="1" si="15"/>
        <v>33055</v>
      </c>
      <c r="AE78" s="99"/>
      <c r="AF78" s="105"/>
      <c r="AG78" s="103"/>
      <c r="AH78" s="105"/>
      <c r="AI78" s="105"/>
      <c r="AJ78" s="103"/>
      <c r="AK78" s="23">
        <f t="shared" ca="1" si="22"/>
        <v>33055</v>
      </c>
      <c r="AL78" s="103"/>
      <c r="AM78" s="103"/>
      <c r="AN78" s="105"/>
      <c r="AO78" s="105"/>
      <c r="AP78" s="103"/>
      <c r="AQ78" s="163">
        <f t="shared" ca="1" si="16"/>
        <v>33055</v>
      </c>
      <c r="AR78" s="103"/>
      <c r="AS78" s="101"/>
      <c r="AT78" s="101"/>
      <c r="AU78" s="103"/>
      <c r="AV78" s="103"/>
      <c r="AW78" s="103"/>
      <c r="AX78" s="103"/>
      <c r="AY78" s="103"/>
      <c r="AZ78" s="103"/>
      <c r="BA78" s="103"/>
      <c r="BB78" s="103"/>
      <c r="BC78" s="103"/>
      <c r="BD78" s="100" t="str">
        <f t="shared" si="17"/>
        <v/>
      </c>
      <c r="BE78" s="100" t="str">
        <f t="shared" si="18"/>
        <v/>
      </c>
      <c r="BF78" s="100" t="str">
        <f t="shared" si="19"/>
        <v/>
      </c>
      <c r="BG78" s="100" t="str">
        <f t="shared" si="20"/>
        <v/>
      </c>
      <c r="BH78" s="100" t="str">
        <f t="shared" si="21"/>
        <v/>
      </c>
      <c r="BI78" s="103"/>
    </row>
    <row r="79" spans="1:61" s="95" customFormat="1" ht="90">
      <c r="A79" s="101">
        <v>20131395006</v>
      </c>
      <c r="B79" s="19" t="str">
        <f>VLOOKUP(A79,'ESTADOS ESTUDIANTES'!B:L,2,0)</f>
        <v>LAZARO MENDEZ DIEGO FERNANDO</v>
      </c>
      <c r="C79" s="102">
        <f>VLOOKUP(A79,'ESTADOS ESTUDIANTES'!B:L,11,0)</f>
        <v>80075712</v>
      </c>
      <c r="D79" s="23">
        <f>VLOOKUP(A79,'ESTADOS ESTUDIANTES'!B:L,3,0)</f>
        <v>395</v>
      </c>
      <c r="E79" s="102" t="str">
        <f>VLOOKUP(A79,'ESTADOS ESTUDIANTES'!B:L,8,0)</f>
        <v>dflazarom@correo.udistrital.edu.co</v>
      </c>
      <c r="F79" s="102" t="str">
        <f>VLOOKUP(A79,'ESTADOS ESTUDIANTES'!B:L,9,0)</f>
        <v>diego23444@hotmail.com</v>
      </c>
      <c r="G79" s="19" t="str">
        <f>VLOOKUP(A79,'ESTADOS ESTUDIANTES'!B:L,5,0)</f>
        <v>X</v>
      </c>
      <c r="H79" s="103"/>
      <c r="I79" s="100" t="s">
        <v>1514</v>
      </c>
      <c r="J79" s="100" t="s">
        <v>458</v>
      </c>
      <c r="K79" s="103"/>
      <c r="L79" s="105"/>
      <c r="M79" s="106"/>
      <c r="N79" s="105"/>
      <c r="O79" s="106"/>
      <c r="P79" s="107"/>
      <c r="Q79" s="102">
        <v>11</v>
      </c>
      <c r="R79" s="105">
        <v>2017</v>
      </c>
      <c r="S79" s="102">
        <v>2017</v>
      </c>
      <c r="T79" s="100" t="s">
        <v>1430</v>
      </c>
      <c r="U79" s="105"/>
      <c r="V79" s="105"/>
      <c r="W79" s="103"/>
      <c r="X79" s="91">
        <f t="shared" ca="1" si="14"/>
        <v>33055</v>
      </c>
      <c r="Y79" s="103"/>
      <c r="Z79" s="103"/>
      <c r="AA79" s="105"/>
      <c r="AB79" s="105"/>
      <c r="AC79" s="103"/>
      <c r="AD79" s="21">
        <f t="shared" ca="1" si="15"/>
        <v>33055</v>
      </c>
      <c r="AE79" s="103"/>
      <c r="AF79" s="105"/>
      <c r="AG79" s="103"/>
      <c r="AH79" s="105"/>
      <c r="AI79" s="105"/>
      <c r="AJ79" s="103"/>
      <c r="AK79" s="23">
        <f t="shared" ca="1" si="22"/>
        <v>33055</v>
      </c>
      <c r="AL79" s="103"/>
      <c r="AM79" s="103"/>
      <c r="AN79" s="105"/>
      <c r="AO79" s="105"/>
      <c r="AP79" s="103"/>
      <c r="AQ79" s="162">
        <f t="shared" ca="1" si="16"/>
        <v>33055</v>
      </c>
      <c r="AR79" s="163"/>
      <c r="AS79" s="101"/>
      <c r="AT79" s="101"/>
      <c r="AU79" s="103"/>
      <c r="AV79" s="103"/>
      <c r="AW79" s="103"/>
      <c r="AX79" s="103"/>
      <c r="AY79" s="103"/>
      <c r="AZ79" s="103"/>
      <c r="BA79" s="103"/>
      <c r="BB79" s="103"/>
      <c r="BC79" s="103"/>
      <c r="BD79" s="100" t="str">
        <f t="shared" si="17"/>
        <v/>
      </c>
      <c r="BE79" s="100" t="str">
        <f t="shared" si="18"/>
        <v/>
      </c>
      <c r="BF79" s="100" t="str">
        <f t="shared" si="19"/>
        <v/>
      </c>
      <c r="BG79" s="100" t="str">
        <f t="shared" si="20"/>
        <v/>
      </c>
      <c r="BH79" s="100" t="str">
        <f t="shared" si="21"/>
        <v/>
      </c>
      <c r="BI79" s="103"/>
    </row>
    <row r="80" spans="1:61" s="95" customFormat="1">
      <c r="A80" s="101">
        <v>20131395008</v>
      </c>
      <c r="B80" s="19" t="str">
        <f>VLOOKUP(A80,'ESTADOS ESTUDIANTES'!B:L,2,0)</f>
        <v>MARTINEZ DIAZ GINA PATRICIA</v>
      </c>
      <c r="C80" s="102">
        <f>VLOOKUP(A80,'ESTADOS ESTUDIANTES'!B:L,11,0)</f>
        <v>39819208</v>
      </c>
      <c r="D80" s="23">
        <f>VLOOKUP(A80,'ESTADOS ESTUDIANTES'!B:L,3,0)</f>
        <v>395</v>
      </c>
      <c r="E80" s="102" t="str">
        <f>VLOOKUP(A80,'ESTADOS ESTUDIANTES'!B:L,8,0)</f>
        <v>gpmartinezd@correo.udistrital.edu.co</v>
      </c>
      <c r="F80" s="102" t="str">
        <f>VLOOKUP(A80,'ESTADOS ESTUDIANTES'!B:L,9,0)</f>
        <v>ginamartinezd2@gmail.com</v>
      </c>
      <c r="G80" s="19" t="str">
        <f>VLOOKUP(A80,'ESTADOS ESTUDIANTES'!B:L,5,0)</f>
        <v>X</v>
      </c>
      <c r="H80" s="103"/>
      <c r="I80" s="103"/>
      <c r="J80" s="103"/>
      <c r="K80" s="103"/>
      <c r="L80" s="105"/>
      <c r="M80" s="106"/>
      <c r="N80" s="105"/>
      <c r="O80" s="106"/>
      <c r="P80" s="107"/>
      <c r="Q80" s="100"/>
      <c r="R80" s="105"/>
      <c r="S80" s="103"/>
      <c r="T80" s="103"/>
      <c r="U80" s="105"/>
      <c r="V80" s="105"/>
      <c r="W80" s="103"/>
      <c r="X80" s="91">
        <f t="shared" ca="1" si="14"/>
        <v>33055</v>
      </c>
      <c r="Y80" s="99"/>
      <c r="Z80" s="103"/>
      <c r="AA80" s="105"/>
      <c r="AB80" s="105"/>
      <c r="AC80" s="103"/>
      <c r="AD80" s="21">
        <f t="shared" ca="1" si="15"/>
        <v>33055</v>
      </c>
      <c r="AE80" s="99"/>
      <c r="AF80" s="105"/>
      <c r="AG80" s="103"/>
      <c r="AH80" s="105"/>
      <c r="AI80" s="105"/>
      <c r="AJ80" s="103"/>
      <c r="AK80" s="23">
        <f t="shared" ca="1" si="22"/>
        <v>33055</v>
      </c>
      <c r="AL80" s="103"/>
      <c r="AM80" s="103"/>
      <c r="AN80" s="105"/>
      <c r="AO80" s="105"/>
      <c r="AP80" s="103"/>
      <c r="AQ80" s="163">
        <f t="shared" ca="1" si="16"/>
        <v>33055</v>
      </c>
      <c r="AR80" s="163"/>
      <c r="AS80" s="101"/>
      <c r="AT80" s="101"/>
      <c r="AU80" s="103"/>
      <c r="AV80" s="103"/>
      <c r="AW80" s="103"/>
      <c r="AX80" s="103"/>
      <c r="AY80" s="103"/>
      <c r="AZ80" s="103"/>
      <c r="BA80" s="103"/>
      <c r="BB80" s="103"/>
      <c r="BC80" s="103"/>
      <c r="BD80" s="100" t="str">
        <f t="shared" si="17"/>
        <v/>
      </c>
      <c r="BE80" s="100" t="str">
        <f t="shared" si="18"/>
        <v/>
      </c>
      <c r="BF80" s="100" t="str">
        <f t="shared" si="19"/>
        <v/>
      </c>
      <c r="BG80" s="100" t="str">
        <f t="shared" si="20"/>
        <v/>
      </c>
      <c r="BH80" s="100" t="str">
        <f t="shared" si="21"/>
        <v/>
      </c>
      <c r="BI80" s="103"/>
    </row>
    <row r="81" spans="1:61" s="95" customFormat="1" ht="30">
      <c r="A81" s="101">
        <v>20131395010</v>
      </c>
      <c r="B81" s="19" t="str">
        <f>VLOOKUP(A81,'ESTADOS ESTUDIANTES'!B:L,2,0)</f>
        <v>ROJAS NAVARRO JORGE ELIECER</v>
      </c>
      <c r="C81" s="102">
        <f>VLOOKUP(A81,'ESTADOS ESTUDIANTES'!B:L,11,0)</f>
        <v>80903757</v>
      </c>
      <c r="D81" s="23">
        <f>VLOOKUP(A81,'ESTADOS ESTUDIANTES'!B:L,3,0)</f>
        <v>395</v>
      </c>
      <c r="E81" s="102" t="str">
        <f>VLOOKUP(A81,'ESTADOS ESTUDIANTES'!B:L,8,0)</f>
        <v>jorerojasn@udistrital.edu.co</v>
      </c>
      <c r="F81" s="102" t="str">
        <f>VLOOKUP(A81,'ESTADOS ESTUDIANTES'!B:L,9,0)</f>
        <v>jerojas@gmail.com</v>
      </c>
      <c r="G81" s="19" t="str">
        <f>VLOOKUP(A81,'ESTADOS ESTUDIANTES'!B:L,5,0)</f>
        <v>X</v>
      </c>
      <c r="H81" s="103"/>
      <c r="I81" s="103"/>
      <c r="J81" s="100" t="s">
        <v>323</v>
      </c>
      <c r="K81" s="103"/>
      <c r="L81" s="105"/>
      <c r="M81" s="106"/>
      <c r="N81" s="105"/>
      <c r="O81" s="106"/>
      <c r="P81" s="107"/>
      <c r="Q81" s="100"/>
      <c r="R81" s="105"/>
      <c r="S81" s="103"/>
      <c r="T81" s="103"/>
      <c r="U81" s="105"/>
      <c r="V81" s="105"/>
      <c r="W81" s="103"/>
      <c r="X81" s="91">
        <f t="shared" ca="1" si="14"/>
        <v>33055</v>
      </c>
      <c r="Y81" s="99"/>
      <c r="Z81" s="103"/>
      <c r="AA81" s="105"/>
      <c r="AB81" s="105"/>
      <c r="AC81" s="103"/>
      <c r="AD81" s="21">
        <f t="shared" ca="1" si="15"/>
        <v>33055</v>
      </c>
      <c r="AE81" s="99"/>
      <c r="AF81" s="105"/>
      <c r="AG81" s="103"/>
      <c r="AH81" s="105"/>
      <c r="AI81" s="105"/>
      <c r="AJ81" s="103"/>
      <c r="AK81" s="23">
        <f t="shared" ca="1" si="22"/>
        <v>33055</v>
      </c>
      <c r="AL81" s="103"/>
      <c r="AM81" s="103"/>
      <c r="AN81" s="105"/>
      <c r="AO81" s="105"/>
      <c r="AP81" s="103"/>
      <c r="AQ81" s="163">
        <f t="shared" ca="1" si="16"/>
        <v>33055</v>
      </c>
      <c r="AR81" s="163"/>
      <c r="AS81" s="101"/>
      <c r="AT81" s="101"/>
      <c r="AU81" s="103"/>
      <c r="AV81" s="103"/>
      <c r="AW81" s="103"/>
      <c r="AX81" s="103"/>
      <c r="AY81" s="103"/>
      <c r="AZ81" s="103"/>
      <c r="BA81" s="103"/>
      <c r="BB81" s="103"/>
      <c r="BC81" s="103"/>
      <c r="BD81" s="100" t="str">
        <f t="shared" si="17"/>
        <v/>
      </c>
      <c r="BE81" s="100" t="str">
        <f t="shared" si="18"/>
        <v/>
      </c>
      <c r="BF81" s="100" t="str">
        <f t="shared" si="19"/>
        <v/>
      </c>
      <c r="BG81" s="100" t="str">
        <f t="shared" si="20"/>
        <v/>
      </c>
      <c r="BH81" s="100" t="str">
        <f t="shared" si="21"/>
        <v/>
      </c>
      <c r="BI81" s="103"/>
    </row>
    <row r="82" spans="1:61" s="95" customFormat="1" ht="45">
      <c r="A82" s="101">
        <v>20131395011</v>
      </c>
      <c r="B82" s="19" t="str">
        <f>VLOOKUP(A82,'ESTADOS ESTUDIANTES'!B:L,2,0)</f>
        <v>SANCHEZ PEREZ DANIA LORENA</v>
      </c>
      <c r="C82" s="102">
        <f>VLOOKUP(A82,'ESTADOS ESTUDIANTES'!B:L,11,0)</f>
        <v>1019026671</v>
      </c>
      <c r="D82" s="23">
        <f>VLOOKUP(A82,'ESTADOS ESTUDIANTES'!B:L,3,0)</f>
        <v>395</v>
      </c>
      <c r="E82" s="102" t="str">
        <f>VLOOKUP(A82,'ESTADOS ESTUDIANTES'!B:L,8,0)</f>
        <v>dlsanchezp@correo.udistrital.edu.co</v>
      </c>
      <c r="F82" s="102" t="str">
        <f>VLOOKUP(A82,'ESTADOS ESTUDIANTES'!B:L,9,0)</f>
        <v>dlorena01@gmail.com</v>
      </c>
      <c r="G82" s="19" t="str">
        <f>VLOOKUP(A82,'ESTADOS ESTUDIANTES'!B:L,5,0)</f>
        <v>X</v>
      </c>
      <c r="H82" s="100" t="s">
        <v>60</v>
      </c>
      <c r="I82" s="100" t="s">
        <v>1515</v>
      </c>
      <c r="J82" s="100" t="s">
        <v>323</v>
      </c>
      <c r="K82" s="103"/>
      <c r="L82" s="105"/>
      <c r="M82" s="106"/>
      <c r="N82" s="105"/>
      <c r="O82" s="106"/>
      <c r="P82" s="107"/>
      <c r="Q82" s="100" t="s">
        <v>1516</v>
      </c>
      <c r="R82" s="105">
        <v>2013</v>
      </c>
      <c r="S82" s="102">
        <v>2013</v>
      </c>
      <c r="T82" s="103"/>
      <c r="U82" s="105"/>
      <c r="V82" s="105"/>
      <c r="W82" s="103"/>
      <c r="X82" s="91">
        <f t="shared" ca="1" si="14"/>
        <v>33055</v>
      </c>
      <c r="Y82" s="99"/>
      <c r="Z82" s="103"/>
      <c r="AA82" s="105"/>
      <c r="AB82" s="105"/>
      <c r="AC82" s="103"/>
      <c r="AD82" s="21">
        <f t="shared" ca="1" si="15"/>
        <v>33055</v>
      </c>
      <c r="AE82" s="99"/>
      <c r="AF82" s="105"/>
      <c r="AG82" s="103"/>
      <c r="AH82" s="105"/>
      <c r="AI82" s="105"/>
      <c r="AJ82" s="103"/>
      <c r="AK82" s="23">
        <f t="shared" ca="1" si="22"/>
        <v>33055</v>
      </c>
      <c r="AL82" s="103"/>
      <c r="AM82" s="103"/>
      <c r="AN82" s="105"/>
      <c r="AO82" s="105"/>
      <c r="AP82" s="103"/>
      <c r="AQ82" s="162">
        <f t="shared" ca="1" si="16"/>
        <v>33055</v>
      </c>
      <c r="AR82" s="163"/>
      <c r="AS82" s="101"/>
      <c r="AT82" s="101"/>
      <c r="AU82" s="103"/>
      <c r="AV82" s="103"/>
      <c r="AW82" s="103"/>
      <c r="AX82" s="103"/>
      <c r="AY82" s="103"/>
      <c r="AZ82" s="103"/>
      <c r="BA82" s="103"/>
      <c r="BB82" s="103"/>
      <c r="BC82" s="103"/>
      <c r="BD82" s="100" t="str">
        <f t="shared" si="17"/>
        <v/>
      </c>
      <c r="BE82" s="100" t="str">
        <f t="shared" si="18"/>
        <v/>
      </c>
      <c r="BF82" s="100" t="str">
        <f t="shared" si="19"/>
        <v/>
      </c>
      <c r="BG82" s="100" t="str">
        <f t="shared" si="20"/>
        <v/>
      </c>
      <c r="BH82" s="100" t="str">
        <f t="shared" si="21"/>
        <v/>
      </c>
      <c r="BI82" s="103"/>
    </row>
    <row r="83" spans="1:61" s="207" customFormat="1">
      <c r="A83" s="101">
        <v>20131395012</v>
      </c>
      <c r="B83" s="19" t="str">
        <f>VLOOKUP(A83,'ESTADOS ESTUDIANTES'!B:L,2,0)</f>
        <v>WILCHES ROJAS HERNAN DARIO</v>
      </c>
      <c r="C83" s="102">
        <f>VLOOKUP(A83,'ESTADOS ESTUDIANTES'!B:L,11,0)</f>
        <v>1032376431</v>
      </c>
      <c r="D83" s="23">
        <f>VLOOKUP(A83,'ESTADOS ESTUDIANTES'!B:L,3,0)</f>
        <v>395</v>
      </c>
      <c r="E83" s="102" t="str">
        <f>VLOOKUP(A83,'ESTADOS ESTUDIANTES'!B:L,8,0)</f>
        <v>hdwilchesr@correo.udistrital.edu.co</v>
      </c>
      <c r="F83" s="102" t="str">
        <f>VLOOKUP(A83,'ESTADOS ESTUDIANTES'!B:L,9,0)</f>
        <v>hernanw500@hotmail.com</v>
      </c>
      <c r="G83" s="19" t="str">
        <f>VLOOKUP(A83,'ESTADOS ESTUDIANTES'!B:L,5,0)</f>
        <v>X</v>
      </c>
      <c r="H83" s="103"/>
      <c r="I83" s="103"/>
      <c r="J83" s="103"/>
      <c r="K83" s="103"/>
      <c r="L83" s="105"/>
      <c r="M83" s="106"/>
      <c r="N83" s="105"/>
      <c r="O83" s="106"/>
      <c r="P83" s="107"/>
      <c r="Q83" s="100"/>
      <c r="R83" s="105"/>
      <c r="S83" s="103"/>
      <c r="T83" s="103"/>
      <c r="U83" s="105"/>
      <c r="V83" s="105"/>
      <c r="W83" s="103"/>
      <c r="X83" s="91">
        <f t="shared" ca="1" si="14"/>
        <v>33055</v>
      </c>
      <c r="Y83" s="99"/>
      <c r="Z83" s="103"/>
      <c r="AA83" s="105"/>
      <c r="AB83" s="105"/>
      <c r="AC83" s="103"/>
      <c r="AD83" s="21">
        <f t="shared" ca="1" si="15"/>
        <v>33055</v>
      </c>
      <c r="AE83" s="99"/>
      <c r="AF83" s="105"/>
      <c r="AG83" s="103"/>
      <c r="AH83" s="105"/>
      <c r="AI83" s="105"/>
      <c r="AJ83" s="103"/>
      <c r="AK83" s="23">
        <f t="shared" ca="1" si="22"/>
        <v>33055</v>
      </c>
      <c r="AL83" s="103"/>
      <c r="AM83" s="103"/>
      <c r="AN83" s="105"/>
      <c r="AO83" s="105"/>
      <c r="AP83" s="103"/>
      <c r="AQ83" s="163">
        <f t="shared" ca="1" si="16"/>
        <v>33055</v>
      </c>
      <c r="AR83" s="163"/>
      <c r="AS83" s="101"/>
      <c r="AT83" s="101"/>
      <c r="AU83" s="103"/>
      <c r="AV83" s="103"/>
      <c r="AW83" s="103"/>
      <c r="AX83" s="103"/>
      <c r="AY83" s="103"/>
      <c r="AZ83" s="103"/>
      <c r="BA83" s="103"/>
      <c r="BB83" s="103"/>
      <c r="BC83" s="103"/>
      <c r="BD83" s="100" t="str">
        <f t="shared" si="17"/>
        <v/>
      </c>
      <c r="BE83" s="100" t="str">
        <f t="shared" si="18"/>
        <v/>
      </c>
      <c r="BF83" s="100" t="str">
        <f t="shared" si="19"/>
        <v/>
      </c>
      <c r="BG83" s="100" t="str">
        <f t="shared" si="20"/>
        <v/>
      </c>
      <c r="BH83" s="100" t="str">
        <f t="shared" si="21"/>
        <v/>
      </c>
      <c r="BI83" s="103"/>
    </row>
    <row r="84" spans="1:61" s="95" customFormat="1" ht="45">
      <c r="A84" s="101">
        <v>20132295001</v>
      </c>
      <c r="B84" s="19" t="str">
        <f>VLOOKUP(A84,'ESTADOS ESTUDIANTES'!B:L,2,0)</f>
        <v>ALBADAN ROMERO JAVIER</v>
      </c>
      <c r="C84" s="102">
        <f>VLOOKUP(A84,'ESTADOS ESTUDIANTES'!B:L,11,0)</f>
        <v>1020739994</v>
      </c>
      <c r="D84" s="23">
        <f>VLOOKUP(A84,'ESTADOS ESTUDIANTES'!B:L,3,0)</f>
        <v>295</v>
      </c>
      <c r="E84" s="102">
        <f>VLOOKUP(A84,'ESTADOS ESTUDIANTES'!B:L,8,0)</f>
        <v>0</v>
      </c>
      <c r="F84" s="102" t="str">
        <f>VLOOKUP(A84,'ESTADOS ESTUDIANTES'!B:L,9,0)</f>
        <v>javier.albadan@gmail.com</v>
      </c>
      <c r="G84" s="19" t="str">
        <f>VLOOKUP(A84,'ESTADOS ESTUDIANTES'!B:L,5,0)</f>
        <v>E</v>
      </c>
      <c r="H84" s="103"/>
      <c r="I84" s="100" t="s">
        <v>1517</v>
      </c>
      <c r="J84" s="104"/>
      <c r="K84" s="103"/>
      <c r="L84" s="105"/>
      <c r="M84" s="106"/>
      <c r="N84" s="105"/>
      <c r="O84" s="106"/>
      <c r="P84" s="107"/>
      <c r="Q84" s="102">
        <v>1</v>
      </c>
      <c r="R84" s="105">
        <v>42020</v>
      </c>
      <c r="S84" s="102">
        <v>2015</v>
      </c>
      <c r="T84" s="100" t="s">
        <v>1478</v>
      </c>
      <c r="U84" s="105">
        <v>42033</v>
      </c>
      <c r="V84" s="105"/>
      <c r="W84" s="103"/>
      <c r="X84" s="91">
        <f t="shared" ca="1" si="14"/>
        <v>0</v>
      </c>
      <c r="Y84" s="100" t="s">
        <v>43</v>
      </c>
      <c r="Z84" s="100" t="s">
        <v>1518</v>
      </c>
      <c r="AA84" s="105">
        <v>42033</v>
      </c>
      <c r="AB84" s="105"/>
      <c r="AC84" s="103"/>
      <c r="AD84" s="21">
        <f t="shared" ca="1" si="15"/>
        <v>0</v>
      </c>
      <c r="AE84" s="100" t="s">
        <v>43</v>
      </c>
      <c r="AF84" s="105">
        <v>42493</v>
      </c>
      <c r="AG84" s="100" t="s">
        <v>1479</v>
      </c>
      <c r="AH84" s="105"/>
      <c r="AI84" s="105">
        <v>42515</v>
      </c>
      <c r="AJ84" s="102">
        <v>0</v>
      </c>
      <c r="AK84" s="23">
        <f ca="1">IF(AL84="",NETWORKDAYS.INTL(AH84,TODAY(),1),0)</f>
        <v>0</v>
      </c>
      <c r="AL84" s="100" t="s">
        <v>42</v>
      </c>
      <c r="AM84" s="100" t="s">
        <v>1518</v>
      </c>
      <c r="AN84" s="105">
        <v>42503</v>
      </c>
      <c r="AO84" s="105">
        <v>42524</v>
      </c>
      <c r="AP84" s="102">
        <v>0</v>
      </c>
      <c r="AQ84" s="161">
        <f t="shared" ca="1" si="16"/>
        <v>0</v>
      </c>
      <c r="AR84" s="162" t="s">
        <v>42</v>
      </c>
      <c r="AS84" s="101">
        <v>102016</v>
      </c>
      <c r="AT84" s="101">
        <v>5</v>
      </c>
      <c r="AU84" s="100" t="s">
        <v>55</v>
      </c>
      <c r="AV84" s="102">
        <v>42537</v>
      </c>
      <c r="AW84" s="103"/>
      <c r="AX84" s="103"/>
      <c r="AY84" s="103"/>
      <c r="AZ84" s="103"/>
      <c r="BA84" s="103"/>
      <c r="BB84" s="103"/>
      <c r="BC84" s="103"/>
      <c r="BD84" s="100" t="str">
        <f t="shared" si="17"/>
        <v/>
      </c>
      <c r="BE84" s="100" t="str">
        <f t="shared" si="18"/>
        <v/>
      </c>
      <c r="BF84" s="100" t="str">
        <f t="shared" si="19"/>
        <v/>
      </c>
      <c r="BG84" s="100" t="str">
        <f t="shared" si="20"/>
        <v/>
      </c>
      <c r="BH84" s="100" t="str">
        <f t="shared" si="21"/>
        <v/>
      </c>
      <c r="BI84" s="103"/>
    </row>
    <row r="85" spans="1:61" s="95" customFormat="1" ht="30">
      <c r="A85" s="101">
        <v>20132295002</v>
      </c>
      <c r="B85" s="19" t="str">
        <f>VLOOKUP(A85,'ESTADOS ESTUDIANTES'!B:L,2,0)</f>
        <v>ACOSTA AGUDELO EIBIN FABIAN</v>
      </c>
      <c r="C85" s="102">
        <f>VLOOKUP(A85,'ESTADOS ESTUDIANTES'!B:L,11,0)</f>
        <v>1016008566</v>
      </c>
      <c r="D85" s="23">
        <f>VLOOKUP(A85,'ESTADOS ESTUDIANTES'!B:L,3,0)</f>
        <v>295</v>
      </c>
      <c r="E85" s="102">
        <f>VLOOKUP(A85,'ESTADOS ESTUDIANTES'!B:L,8,0)</f>
        <v>0</v>
      </c>
      <c r="F85" s="102" t="str">
        <f>VLOOKUP(A85,'ESTADOS ESTUDIANTES'!B:L,9,0)</f>
        <v>eibinfabian@gmail.com</v>
      </c>
      <c r="G85" s="19" t="str">
        <f>VLOOKUP(A85,'ESTADOS ESTUDIANTES'!B:L,5,0)</f>
        <v>X</v>
      </c>
      <c r="H85" s="103"/>
      <c r="I85" s="100" t="s">
        <v>1519</v>
      </c>
      <c r="J85" s="100" t="s">
        <v>292</v>
      </c>
      <c r="K85" s="103"/>
      <c r="L85" s="105"/>
      <c r="M85" s="106"/>
      <c r="N85" s="105"/>
      <c r="O85" s="106"/>
      <c r="P85" s="107"/>
      <c r="Q85" s="100" t="s">
        <v>1520</v>
      </c>
      <c r="R85" s="105">
        <v>41751</v>
      </c>
      <c r="S85" s="102">
        <v>2014</v>
      </c>
      <c r="T85" s="100" t="s">
        <v>1421</v>
      </c>
      <c r="U85" s="105">
        <v>41781</v>
      </c>
      <c r="V85" s="105">
        <v>41792</v>
      </c>
      <c r="W85" s="102">
        <v>1</v>
      </c>
      <c r="X85" s="91">
        <f t="shared" ca="1" si="14"/>
        <v>0</v>
      </c>
      <c r="Y85" s="100" t="s">
        <v>56</v>
      </c>
      <c r="Z85" s="100" t="s">
        <v>1521</v>
      </c>
      <c r="AA85" s="105">
        <v>42467</v>
      </c>
      <c r="AB85" s="105">
        <v>42506</v>
      </c>
      <c r="AC85" s="102">
        <v>1</v>
      </c>
      <c r="AD85" s="21">
        <f t="shared" ca="1" si="15"/>
        <v>0</v>
      </c>
      <c r="AE85" s="100" t="s">
        <v>56</v>
      </c>
      <c r="AF85" s="105"/>
      <c r="AG85" s="103"/>
      <c r="AH85" s="105"/>
      <c r="AI85" s="105"/>
      <c r="AJ85" s="103"/>
      <c r="AK85" s="23">
        <f t="shared" ref="AK85:AK94" ca="1" si="23">IF(AH85="",NETWORKDAYS.INTL(AL85,TODAY(),1),0)</f>
        <v>33055</v>
      </c>
      <c r="AL85" s="103"/>
      <c r="AM85" s="103"/>
      <c r="AN85" s="105"/>
      <c r="AO85" s="105"/>
      <c r="AP85" s="103"/>
      <c r="AQ85" s="162">
        <f t="shared" ca="1" si="16"/>
        <v>33055</v>
      </c>
      <c r="AR85" s="163"/>
      <c r="AS85" s="101"/>
      <c r="AT85" s="101"/>
      <c r="AU85" s="103"/>
      <c r="AV85" s="103"/>
      <c r="AW85" s="103"/>
      <c r="AX85" s="103"/>
      <c r="AY85" s="103"/>
      <c r="AZ85" s="103"/>
      <c r="BA85" s="103"/>
      <c r="BB85" s="103"/>
      <c r="BC85" s="103"/>
      <c r="BD85" s="100" t="str">
        <f t="shared" si="17"/>
        <v/>
      </c>
      <c r="BE85" s="100" t="str">
        <f t="shared" si="18"/>
        <v/>
      </c>
      <c r="BF85" s="100" t="str">
        <f t="shared" si="19"/>
        <v/>
      </c>
      <c r="BG85" s="100" t="str">
        <f t="shared" si="20"/>
        <v/>
      </c>
      <c r="BH85" s="100" t="str">
        <f t="shared" si="21"/>
        <v/>
      </c>
      <c r="BI85" s="103"/>
    </row>
    <row r="86" spans="1:61" s="95" customFormat="1">
      <c r="A86" s="101">
        <v>20132295003</v>
      </c>
      <c r="B86" s="19" t="str">
        <f>VLOOKUP(A86,'ESTADOS ESTUDIANTES'!B:L,2,0)</f>
        <v>BERNAL COLLAZO MOISES</v>
      </c>
      <c r="C86" s="102">
        <f>VLOOKUP(A86,'ESTADOS ESTUDIANTES'!B:L,11,0)</f>
        <v>79138654</v>
      </c>
      <c r="D86" s="23">
        <f>VLOOKUP(A86,'ESTADOS ESTUDIANTES'!B:L,3,0)</f>
        <v>295</v>
      </c>
      <c r="E86" s="102">
        <f>VLOOKUP(A86,'ESTADOS ESTUDIANTES'!B:L,8,0)</f>
        <v>0</v>
      </c>
      <c r="F86" s="102" t="str">
        <f>VLOOKUP(A86,'ESTADOS ESTUDIANTES'!B:L,9,0)</f>
        <v>thepower777@starmedia.com</v>
      </c>
      <c r="G86" s="19" t="str">
        <f>VLOOKUP(A86,'ESTADOS ESTUDIANTES'!B:L,5,0)</f>
        <v>X</v>
      </c>
      <c r="H86" s="103"/>
      <c r="I86" s="103"/>
      <c r="J86" s="103"/>
      <c r="K86" s="103"/>
      <c r="L86" s="105"/>
      <c r="M86" s="106"/>
      <c r="N86" s="105"/>
      <c r="O86" s="106"/>
      <c r="P86" s="107"/>
      <c r="Q86" s="100"/>
      <c r="R86" s="105"/>
      <c r="S86" s="103"/>
      <c r="T86" s="103"/>
      <c r="U86" s="105"/>
      <c r="V86" s="105"/>
      <c r="W86" s="103"/>
      <c r="X86" s="91">
        <f t="shared" ca="1" si="14"/>
        <v>33055</v>
      </c>
      <c r="Y86" s="99"/>
      <c r="Z86" s="103"/>
      <c r="AA86" s="105"/>
      <c r="AB86" s="105"/>
      <c r="AC86" s="103"/>
      <c r="AD86" s="21">
        <f t="shared" ca="1" si="15"/>
        <v>33055</v>
      </c>
      <c r="AE86" s="99"/>
      <c r="AF86" s="105"/>
      <c r="AG86" s="103"/>
      <c r="AH86" s="105"/>
      <c r="AI86" s="105"/>
      <c r="AJ86" s="103"/>
      <c r="AK86" s="23">
        <f t="shared" ca="1" si="23"/>
        <v>33055</v>
      </c>
      <c r="AL86" s="103"/>
      <c r="AM86" s="103"/>
      <c r="AN86" s="105"/>
      <c r="AO86" s="105"/>
      <c r="AP86" s="103"/>
      <c r="AQ86" s="163">
        <f t="shared" ca="1" si="16"/>
        <v>33055</v>
      </c>
      <c r="AR86" s="163"/>
      <c r="AS86" s="101"/>
      <c r="AT86" s="101"/>
      <c r="AU86" s="103"/>
      <c r="AV86" s="103"/>
      <c r="AW86" s="103"/>
      <c r="AX86" s="103"/>
      <c r="AY86" s="103"/>
      <c r="AZ86" s="103"/>
      <c r="BA86" s="103"/>
      <c r="BB86" s="103"/>
      <c r="BC86" s="103"/>
      <c r="BD86" s="100" t="str">
        <f t="shared" si="17"/>
        <v/>
      </c>
      <c r="BE86" s="100" t="str">
        <f t="shared" si="18"/>
        <v/>
      </c>
      <c r="BF86" s="100" t="str">
        <f t="shared" si="19"/>
        <v/>
      </c>
      <c r="BG86" s="100" t="str">
        <f t="shared" si="20"/>
        <v/>
      </c>
      <c r="BH86" s="100" t="str">
        <f t="shared" si="21"/>
        <v/>
      </c>
      <c r="BI86" s="103"/>
    </row>
    <row r="87" spans="1:61" s="95" customFormat="1">
      <c r="A87" s="101">
        <v>20132295004</v>
      </c>
      <c r="B87" s="19" t="str">
        <f>VLOOKUP(A87,'ESTADOS ESTUDIANTES'!B:L,2,0)</f>
        <v>BLANCO RODRIGUEZ HECTOR IVAN</v>
      </c>
      <c r="C87" s="102">
        <f>VLOOKUP(A87,'ESTADOS ESTUDIANTES'!B:L,11,0)</f>
        <v>1014190638</v>
      </c>
      <c r="D87" s="23">
        <f>VLOOKUP(A87,'ESTADOS ESTUDIANTES'!B:L,3,0)</f>
        <v>295</v>
      </c>
      <c r="E87" s="102">
        <f>VLOOKUP(A87,'ESTADOS ESTUDIANTES'!B:L,8,0)</f>
        <v>0</v>
      </c>
      <c r="F87" s="102" t="str">
        <f>VLOOKUP(A87,'ESTADOS ESTUDIANTES'!B:L,9,0)</f>
        <v>blancor.hectori@gmail.com</v>
      </c>
      <c r="G87" s="19" t="str">
        <f>VLOOKUP(A87,'ESTADOS ESTUDIANTES'!B:L,5,0)</f>
        <v>X</v>
      </c>
      <c r="H87" s="103"/>
      <c r="I87" s="103"/>
      <c r="J87" s="103"/>
      <c r="K87" s="103"/>
      <c r="L87" s="105"/>
      <c r="M87" s="106"/>
      <c r="N87" s="105"/>
      <c r="O87" s="106"/>
      <c r="P87" s="107"/>
      <c r="Q87" s="100"/>
      <c r="R87" s="105"/>
      <c r="S87" s="103"/>
      <c r="T87" s="103"/>
      <c r="U87" s="105"/>
      <c r="V87" s="105"/>
      <c r="W87" s="103"/>
      <c r="X87" s="91">
        <f t="shared" ca="1" si="14"/>
        <v>33055</v>
      </c>
      <c r="Y87" s="99"/>
      <c r="Z87" s="103"/>
      <c r="AA87" s="105"/>
      <c r="AB87" s="105"/>
      <c r="AC87" s="103"/>
      <c r="AD87" s="21">
        <f t="shared" ca="1" si="15"/>
        <v>33055</v>
      </c>
      <c r="AE87" s="99"/>
      <c r="AF87" s="105"/>
      <c r="AG87" s="103"/>
      <c r="AH87" s="105"/>
      <c r="AI87" s="105"/>
      <c r="AJ87" s="103"/>
      <c r="AK87" s="23">
        <f t="shared" ca="1" si="23"/>
        <v>33055</v>
      </c>
      <c r="AL87" s="103"/>
      <c r="AM87" s="103"/>
      <c r="AN87" s="105"/>
      <c r="AO87" s="105"/>
      <c r="AP87" s="103"/>
      <c r="AQ87" s="163">
        <f t="shared" ca="1" si="16"/>
        <v>33055</v>
      </c>
      <c r="AR87" s="163"/>
      <c r="AS87" s="101"/>
      <c r="AT87" s="101"/>
      <c r="AU87" s="103"/>
      <c r="AV87" s="103"/>
      <c r="AW87" s="103"/>
      <c r="AX87" s="103"/>
      <c r="AY87" s="103"/>
      <c r="AZ87" s="103"/>
      <c r="BA87" s="103"/>
      <c r="BB87" s="103"/>
      <c r="BC87" s="103"/>
      <c r="BD87" s="100" t="str">
        <f t="shared" si="17"/>
        <v/>
      </c>
      <c r="BE87" s="100" t="str">
        <f t="shared" si="18"/>
        <v/>
      </c>
      <c r="BF87" s="100" t="str">
        <f t="shared" si="19"/>
        <v/>
      </c>
      <c r="BG87" s="100" t="str">
        <f t="shared" si="20"/>
        <v/>
      </c>
      <c r="BH87" s="100" t="str">
        <f t="shared" si="21"/>
        <v/>
      </c>
      <c r="BI87" s="103"/>
    </row>
    <row r="88" spans="1:61" s="95" customFormat="1" ht="30">
      <c r="A88" s="101">
        <v>20132295005</v>
      </c>
      <c r="B88" s="19" t="str">
        <f>VLOOKUP(A88,'ESTADOS ESTUDIANTES'!B:L,2,0)</f>
        <v>BUSTOS MOLINA JOSE RICARDO</v>
      </c>
      <c r="C88" s="102">
        <f>VLOOKUP(A88,'ESTADOS ESTUDIANTES'!B:L,11,0)</f>
        <v>2235404</v>
      </c>
      <c r="D88" s="23">
        <f>VLOOKUP(A88,'ESTADOS ESTUDIANTES'!B:L,3,0)</f>
        <v>295</v>
      </c>
      <c r="E88" s="102">
        <f>VLOOKUP(A88,'ESTADOS ESTUDIANTES'!B:L,8,0)</f>
        <v>0</v>
      </c>
      <c r="F88" s="102" t="str">
        <f>VLOOKUP(A88,'ESTADOS ESTUDIANTES'!B:L,9,0)</f>
        <v>jrbustosm@gmail.com</v>
      </c>
      <c r="G88" s="19" t="str">
        <f>VLOOKUP(A88,'ESTADOS ESTUDIANTES'!B:L,5,0)</f>
        <v>X</v>
      </c>
      <c r="H88" s="100" t="s">
        <v>46</v>
      </c>
      <c r="I88" s="100" t="s">
        <v>1522</v>
      </c>
      <c r="J88" s="210" t="s">
        <v>422</v>
      </c>
      <c r="K88" s="103"/>
      <c r="L88" s="105"/>
      <c r="M88" s="106"/>
      <c r="N88" s="105"/>
      <c r="O88" s="106"/>
      <c r="P88" s="107"/>
      <c r="Q88" s="102">
        <v>42125</v>
      </c>
      <c r="R88" s="105">
        <v>2015</v>
      </c>
      <c r="S88" s="102">
        <v>2015</v>
      </c>
      <c r="T88" s="100" t="s">
        <v>1506</v>
      </c>
      <c r="U88" s="100" t="s">
        <v>1421</v>
      </c>
      <c r="V88" s="105">
        <v>42072</v>
      </c>
      <c r="W88" s="113">
        <v>42072</v>
      </c>
      <c r="X88" s="91">
        <f t="shared" ca="1" si="14"/>
        <v>0</v>
      </c>
      <c r="Y88" s="100" t="s">
        <v>56</v>
      </c>
      <c r="Z88" s="103"/>
      <c r="AA88" s="105"/>
      <c r="AB88" s="105"/>
      <c r="AC88" s="113"/>
      <c r="AD88" s="21">
        <f t="shared" ca="1" si="15"/>
        <v>33055</v>
      </c>
      <c r="AE88" s="103"/>
      <c r="AF88" s="105"/>
      <c r="AG88" s="103"/>
      <c r="AH88" s="105"/>
      <c r="AI88" s="105"/>
      <c r="AJ88" s="103"/>
      <c r="AK88" s="23">
        <f t="shared" ca="1" si="23"/>
        <v>33055</v>
      </c>
      <c r="AL88" s="103"/>
      <c r="AM88" s="103"/>
      <c r="AN88" s="105"/>
      <c r="AO88" s="105"/>
      <c r="AP88" s="103"/>
      <c r="AQ88" s="162">
        <f t="shared" ca="1" si="16"/>
        <v>33055</v>
      </c>
      <c r="AR88" s="163"/>
      <c r="AS88" s="101"/>
      <c r="AT88" s="101"/>
      <c r="AU88" s="103"/>
      <c r="AV88" s="103"/>
      <c r="AW88" s="103"/>
      <c r="AX88" s="103"/>
      <c r="AY88" s="103"/>
      <c r="AZ88" s="103"/>
      <c r="BA88" s="103"/>
      <c r="BB88" s="103"/>
      <c r="BC88" s="103"/>
      <c r="BD88" s="100" t="str">
        <f t="shared" si="17"/>
        <v/>
      </c>
      <c r="BE88" s="100" t="str">
        <f t="shared" si="18"/>
        <v/>
      </c>
      <c r="BF88" s="100" t="str">
        <f t="shared" si="19"/>
        <v/>
      </c>
      <c r="BG88" s="100" t="str">
        <f t="shared" si="20"/>
        <v/>
      </c>
      <c r="BH88" s="100" t="str">
        <f t="shared" si="21"/>
        <v/>
      </c>
      <c r="BI88" s="103"/>
    </row>
    <row r="89" spans="1:61" s="95" customFormat="1" ht="45">
      <c r="A89" s="101">
        <v>20132295006</v>
      </c>
      <c r="B89" s="19" t="str">
        <f>VLOOKUP(A89,'ESTADOS ESTUDIANTES'!B:L,2,0)</f>
        <v>DALLOS BUSTOS CRISTIAN DAVID</v>
      </c>
      <c r="C89" s="102">
        <f>VLOOKUP(A89,'ESTADOS ESTUDIANTES'!B:L,11,0)</f>
        <v>1032430399</v>
      </c>
      <c r="D89" s="23">
        <f>VLOOKUP(A89,'ESTADOS ESTUDIANTES'!B:L,3,0)</f>
        <v>295</v>
      </c>
      <c r="E89" s="102">
        <f>VLOOKUP(A89,'ESTADOS ESTUDIANTES'!B:L,8,0)</f>
        <v>0</v>
      </c>
      <c r="F89" s="102" t="str">
        <f>VLOOKUP(A89,'ESTADOS ESTUDIANTES'!B:L,9,0)</f>
        <v>cristiandaviddallosbustos@gmail.com</v>
      </c>
      <c r="G89" s="19" t="str">
        <f>VLOOKUP(A89,'ESTADOS ESTUDIANTES'!B:L,5,0)</f>
        <v>E</v>
      </c>
      <c r="H89" s="103"/>
      <c r="I89" s="100" t="s">
        <v>1523</v>
      </c>
      <c r="J89" s="104"/>
      <c r="K89" s="103"/>
      <c r="L89" s="105"/>
      <c r="M89" s="106"/>
      <c r="N89" s="105"/>
      <c r="O89" s="106"/>
      <c r="P89" s="107"/>
      <c r="Q89" s="102">
        <v>16</v>
      </c>
      <c r="R89" s="105">
        <v>2014</v>
      </c>
      <c r="S89" s="102">
        <v>2014</v>
      </c>
      <c r="T89" s="100" t="s">
        <v>1524</v>
      </c>
      <c r="U89" s="105">
        <v>41843</v>
      </c>
      <c r="V89" s="105"/>
      <c r="W89" s="103"/>
      <c r="X89" s="91">
        <f t="shared" ca="1" si="14"/>
        <v>0</v>
      </c>
      <c r="Y89" s="100" t="s">
        <v>43</v>
      </c>
      <c r="Z89" s="100" t="s">
        <v>270</v>
      </c>
      <c r="AA89" s="100" t="s">
        <v>1525</v>
      </c>
      <c r="AB89" s="105"/>
      <c r="AC89" s="103"/>
      <c r="AD89" s="21">
        <f t="shared" ca="1" si="15"/>
        <v>0</v>
      </c>
      <c r="AE89" s="100" t="s">
        <v>43</v>
      </c>
      <c r="AF89" s="105"/>
      <c r="AG89" s="100" t="s">
        <v>738</v>
      </c>
      <c r="AH89" s="105"/>
      <c r="AI89" s="105"/>
      <c r="AJ89" s="103"/>
      <c r="AK89" s="23">
        <f t="shared" ca="1" si="23"/>
        <v>33055</v>
      </c>
      <c r="AL89" s="103"/>
      <c r="AM89" s="103"/>
      <c r="AN89" s="100" t="s">
        <v>270</v>
      </c>
      <c r="AO89" s="105"/>
      <c r="AP89" s="103"/>
      <c r="AQ89" s="162">
        <f t="shared" ca="1" si="16"/>
        <v>0</v>
      </c>
      <c r="AR89" s="163"/>
      <c r="AS89" s="101"/>
      <c r="AT89" s="101"/>
      <c r="AU89" s="103"/>
      <c r="AV89" s="103"/>
      <c r="AW89" s="103"/>
      <c r="AX89" s="103"/>
      <c r="AY89" s="103"/>
      <c r="AZ89" s="103"/>
      <c r="BA89" s="103"/>
      <c r="BB89" s="103"/>
      <c r="BC89" s="103"/>
      <c r="BD89" s="100" t="str">
        <f t="shared" si="17"/>
        <v/>
      </c>
      <c r="BE89" s="100" t="str">
        <f t="shared" si="18"/>
        <v/>
      </c>
      <c r="BF89" s="100" t="str">
        <f t="shared" si="19"/>
        <v/>
      </c>
      <c r="BG89" s="100" t="str">
        <f t="shared" si="20"/>
        <v/>
      </c>
      <c r="BH89" s="100" t="str">
        <f t="shared" si="21"/>
        <v/>
      </c>
      <c r="BI89" s="103"/>
    </row>
    <row r="90" spans="1:61" s="95" customFormat="1" ht="60">
      <c r="A90" s="101">
        <v>20132295007</v>
      </c>
      <c r="B90" s="19" t="str">
        <f>VLOOKUP(A90,'ESTADOS ESTUDIANTES'!B:L,2,0)</f>
        <v>MARTINEZ PEREZ LUCY PAOLA</v>
      </c>
      <c r="C90" s="102">
        <f>VLOOKUP(A90,'ESTADOS ESTUDIANTES'!B:L,11,0)</f>
        <v>1032421209</v>
      </c>
      <c r="D90" s="23">
        <f>VLOOKUP(A90,'ESTADOS ESTUDIANTES'!B:L,3,0)</f>
        <v>295</v>
      </c>
      <c r="E90" s="102">
        <f>VLOOKUP(A90,'ESTADOS ESTUDIANTES'!B:L,8,0)</f>
        <v>0</v>
      </c>
      <c r="F90" s="102" t="str">
        <f>VLOOKUP(A90,'ESTADOS ESTUDIANTES'!B:L,9,0)</f>
        <v>paola928@hotmail.com</v>
      </c>
      <c r="G90" s="19" t="str">
        <f>VLOOKUP(A90,'ESTADOS ESTUDIANTES'!B:L,5,0)</f>
        <v>X</v>
      </c>
      <c r="H90" s="103"/>
      <c r="I90" s="100" t="s">
        <v>1526</v>
      </c>
      <c r="J90" s="100" t="s">
        <v>323</v>
      </c>
      <c r="K90" s="103"/>
      <c r="L90" s="105"/>
      <c r="M90" s="106"/>
      <c r="N90" s="105"/>
      <c r="O90" s="106"/>
      <c r="P90" s="107"/>
      <c r="Q90" s="100" t="s">
        <v>1527</v>
      </c>
      <c r="R90" s="105">
        <v>42479</v>
      </c>
      <c r="S90" s="102">
        <v>2016</v>
      </c>
      <c r="T90" s="100" t="s">
        <v>1528</v>
      </c>
      <c r="U90" s="105">
        <v>42480</v>
      </c>
      <c r="V90" s="105">
        <v>42501</v>
      </c>
      <c r="W90" s="102">
        <v>1</v>
      </c>
      <c r="X90" s="91">
        <f t="shared" ca="1" si="14"/>
        <v>0</v>
      </c>
      <c r="Y90" s="100" t="s">
        <v>56</v>
      </c>
      <c r="Z90" s="100" t="s">
        <v>1529</v>
      </c>
      <c r="AA90" s="105">
        <v>42486</v>
      </c>
      <c r="AB90" s="105">
        <v>42550</v>
      </c>
      <c r="AC90" s="102">
        <v>1</v>
      </c>
      <c r="AD90" s="21">
        <f t="shared" ca="1" si="15"/>
        <v>0</v>
      </c>
      <c r="AE90" s="100" t="s">
        <v>43</v>
      </c>
      <c r="AF90" s="105"/>
      <c r="AG90" s="103"/>
      <c r="AH90" s="105"/>
      <c r="AI90" s="105"/>
      <c r="AJ90" s="103"/>
      <c r="AK90" s="23">
        <f t="shared" ca="1" si="23"/>
        <v>33055</v>
      </c>
      <c r="AL90" s="103"/>
      <c r="AM90" s="103"/>
      <c r="AN90" s="105"/>
      <c r="AO90" s="105"/>
      <c r="AP90" s="103"/>
      <c r="AQ90" s="163">
        <f t="shared" ca="1" si="16"/>
        <v>33055</v>
      </c>
      <c r="AR90" s="163"/>
      <c r="AS90" s="101"/>
      <c r="AT90" s="101"/>
      <c r="AU90" s="103"/>
      <c r="AV90" s="103"/>
      <c r="AW90" s="103"/>
      <c r="AX90" s="103"/>
      <c r="AY90" s="103"/>
      <c r="AZ90" s="103"/>
      <c r="BA90" s="103"/>
      <c r="BB90" s="103"/>
      <c r="BC90" s="103"/>
      <c r="BD90" s="100" t="str">
        <f t="shared" si="17"/>
        <v/>
      </c>
      <c r="BE90" s="100" t="str">
        <f t="shared" si="18"/>
        <v/>
      </c>
      <c r="BF90" s="100" t="str">
        <f t="shared" si="19"/>
        <v/>
      </c>
      <c r="BG90" s="100" t="str">
        <f t="shared" si="20"/>
        <v/>
      </c>
      <c r="BH90" s="100" t="str">
        <f t="shared" si="21"/>
        <v/>
      </c>
      <c r="BI90" s="103"/>
    </row>
    <row r="91" spans="1:61" s="95" customFormat="1">
      <c r="A91" s="101">
        <v>20132295008</v>
      </c>
      <c r="B91" s="19" t="str">
        <f>VLOOKUP(A91,'ESTADOS ESTUDIANTES'!B:L,2,0)</f>
        <v>MONCADA VEGA DIEGO ANDRES</v>
      </c>
      <c r="C91" s="102">
        <f>VLOOKUP(A91,'ESTADOS ESTUDIANTES'!B:L,11,0)</f>
        <v>80777868</v>
      </c>
      <c r="D91" s="23">
        <f>VLOOKUP(A91,'ESTADOS ESTUDIANTES'!B:L,3,0)</f>
        <v>295</v>
      </c>
      <c r="E91" s="102" t="str">
        <f>VLOOKUP(A91,'ESTADOS ESTUDIANTES'!B:L,8,0)</f>
        <v>damoncadav@udistrital.edu.co</v>
      </c>
      <c r="F91" s="102" t="str">
        <f>VLOOKUP(A91,'ESTADOS ESTUDIANTES'!B:L,9,0)</f>
        <v>dandresmv@yahoo.com</v>
      </c>
      <c r="G91" s="19" t="str">
        <f>VLOOKUP(A91,'ESTADOS ESTUDIANTES'!B:L,5,0)</f>
        <v>X</v>
      </c>
      <c r="H91" s="100" t="s">
        <v>60</v>
      </c>
      <c r="I91" s="103"/>
      <c r="J91" s="103"/>
      <c r="K91" s="103"/>
      <c r="L91" s="105"/>
      <c r="M91" s="106"/>
      <c r="N91" s="105"/>
      <c r="O91" s="106"/>
      <c r="P91" s="107"/>
      <c r="Q91" s="100"/>
      <c r="R91" s="105"/>
      <c r="S91" s="103"/>
      <c r="T91" s="103"/>
      <c r="U91" s="105"/>
      <c r="V91" s="105"/>
      <c r="W91" s="103"/>
      <c r="X91" s="91">
        <f t="shared" ca="1" si="14"/>
        <v>33055</v>
      </c>
      <c r="Y91" s="99"/>
      <c r="Z91" s="103"/>
      <c r="AA91" s="105"/>
      <c r="AB91" s="105"/>
      <c r="AC91" s="103"/>
      <c r="AD91" s="21">
        <f t="shared" ca="1" si="15"/>
        <v>33055</v>
      </c>
      <c r="AE91" s="99"/>
      <c r="AF91" s="105"/>
      <c r="AG91" s="103"/>
      <c r="AH91" s="105"/>
      <c r="AI91" s="105"/>
      <c r="AJ91" s="103"/>
      <c r="AK91" s="23">
        <f t="shared" ca="1" si="23"/>
        <v>33055</v>
      </c>
      <c r="AL91" s="103"/>
      <c r="AM91" s="103"/>
      <c r="AN91" s="105"/>
      <c r="AO91" s="105"/>
      <c r="AP91" s="103"/>
      <c r="AQ91" s="163">
        <f t="shared" ca="1" si="16"/>
        <v>33055</v>
      </c>
      <c r="AR91" s="163"/>
      <c r="AS91" s="101"/>
      <c r="AT91" s="101"/>
      <c r="AU91" s="103"/>
      <c r="AV91" s="103"/>
      <c r="AW91" s="103"/>
      <c r="AX91" s="103"/>
      <c r="AY91" s="103"/>
      <c r="AZ91" s="103"/>
      <c r="BA91" s="103"/>
      <c r="BB91" s="103"/>
      <c r="BC91" s="103"/>
      <c r="BD91" s="100" t="str">
        <f t="shared" si="17"/>
        <v/>
      </c>
      <c r="BE91" s="100" t="str">
        <f t="shared" si="18"/>
        <v/>
      </c>
      <c r="BF91" s="100" t="str">
        <f t="shared" si="19"/>
        <v/>
      </c>
      <c r="BG91" s="100" t="str">
        <f t="shared" si="20"/>
        <v/>
      </c>
      <c r="BH91" s="100" t="str">
        <f t="shared" si="21"/>
        <v/>
      </c>
      <c r="BI91" s="103"/>
    </row>
    <row r="92" spans="1:61" s="95" customFormat="1">
      <c r="A92" s="101">
        <v>20132295009</v>
      </c>
      <c r="B92" s="19" t="str">
        <f>VLOOKUP(A92,'ESTADOS ESTUDIANTES'!B:L,2,0)</f>
        <v>NIETO ACEVEDO YURI VANESSA</v>
      </c>
      <c r="C92" s="102">
        <f>VLOOKUP(A92,'ESTADOS ESTUDIANTES'!B:L,11,0)</f>
        <v>1026561910</v>
      </c>
      <c r="D92" s="23">
        <f>VLOOKUP(A92,'ESTADOS ESTUDIANTES'!B:L,3,0)</f>
        <v>295</v>
      </c>
      <c r="E92" s="102">
        <f>VLOOKUP(A92,'ESTADOS ESTUDIANTES'!B:L,8,0)</f>
        <v>0</v>
      </c>
      <c r="F92" s="102" t="str">
        <f>VLOOKUP(A92,'ESTADOS ESTUDIANTES'!B:L,9,0)</f>
        <v>yurivane89@hotmail.com</v>
      </c>
      <c r="G92" s="19" t="str">
        <f>VLOOKUP(A92,'ESTADOS ESTUDIANTES'!B:L,5,0)</f>
        <v>E</v>
      </c>
      <c r="H92" s="100" t="s">
        <v>60</v>
      </c>
      <c r="I92" s="103"/>
      <c r="J92" s="108" t="s">
        <v>385</v>
      </c>
      <c r="K92" s="103"/>
      <c r="L92" s="105"/>
      <c r="M92" s="106"/>
      <c r="N92" s="105"/>
      <c r="O92" s="106"/>
      <c r="P92" s="107"/>
      <c r="Q92" s="100"/>
      <c r="R92" s="105"/>
      <c r="S92" s="103"/>
      <c r="T92" s="103"/>
      <c r="U92" s="105"/>
      <c r="V92" s="105"/>
      <c r="W92" s="103"/>
      <c r="X92" s="91">
        <f t="shared" ca="1" si="14"/>
        <v>33055</v>
      </c>
      <c r="Y92" s="99"/>
      <c r="Z92" s="103"/>
      <c r="AA92" s="105"/>
      <c r="AB92" s="105"/>
      <c r="AC92" s="103"/>
      <c r="AD92" s="21" t="e">
        <f t="shared" ca="1" si="15"/>
        <v>#VALUE!</v>
      </c>
      <c r="AE92" s="114" t="s">
        <v>1530</v>
      </c>
      <c r="AF92" s="105"/>
      <c r="AG92" s="103"/>
      <c r="AH92" s="105"/>
      <c r="AI92" s="105"/>
      <c r="AJ92" s="103"/>
      <c r="AK92" s="23">
        <f t="shared" ca="1" si="23"/>
        <v>33055</v>
      </c>
      <c r="AL92" s="103"/>
      <c r="AM92" s="103"/>
      <c r="AN92" s="105"/>
      <c r="AO92" s="105"/>
      <c r="AP92" s="103"/>
      <c r="AQ92" s="163">
        <f t="shared" ca="1" si="16"/>
        <v>33055</v>
      </c>
      <c r="AR92" s="163"/>
      <c r="AS92" s="101"/>
      <c r="AT92" s="101"/>
      <c r="AU92" s="103"/>
      <c r="AV92" s="103"/>
      <c r="AW92" s="103"/>
      <c r="AX92" s="103"/>
      <c r="AY92" s="103"/>
      <c r="AZ92" s="103"/>
      <c r="BA92" s="103"/>
      <c r="BB92" s="103"/>
      <c r="BC92" s="103"/>
      <c r="BD92" s="100" t="str">
        <f t="shared" si="17"/>
        <v/>
      </c>
      <c r="BE92" s="100" t="str">
        <f t="shared" si="18"/>
        <v/>
      </c>
      <c r="BF92" s="100" t="str">
        <f t="shared" si="19"/>
        <v/>
      </c>
      <c r="BG92" s="100" t="str">
        <f t="shared" si="20"/>
        <v/>
      </c>
      <c r="BH92" s="100" t="str">
        <f t="shared" si="21"/>
        <v/>
      </c>
      <c r="BI92" s="103"/>
    </row>
    <row r="93" spans="1:61" s="95" customFormat="1">
      <c r="A93" s="101">
        <v>20132295010</v>
      </c>
      <c r="B93" s="19" t="str">
        <f>VLOOKUP(A93,'ESTADOS ESTUDIANTES'!B:L,2,0)</f>
        <v>ROJAS POLANIA FABIAN ANDRES</v>
      </c>
      <c r="C93" s="102">
        <f>VLOOKUP(A93,'ESTADOS ESTUDIANTES'!B:L,11,0)</f>
        <v>79912427</v>
      </c>
      <c r="D93" s="23">
        <f>VLOOKUP(A93,'ESTADOS ESTUDIANTES'!B:L,3,0)</f>
        <v>295</v>
      </c>
      <c r="E93" s="102">
        <f>VLOOKUP(A93,'ESTADOS ESTUDIANTES'!B:L,8,0)</f>
        <v>0</v>
      </c>
      <c r="F93" s="102" t="str">
        <f>VLOOKUP(A93,'ESTADOS ESTUDIANTES'!B:L,9,0)</f>
        <v>faropo@gmail.com</v>
      </c>
      <c r="G93" s="19" t="str">
        <f>VLOOKUP(A93,'ESTADOS ESTUDIANTES'!B:L,5,0)</f>
        <v>X</v>
      </c>
      <c r="H93" s="103"/>
      <c r="I93" s="103"/>
      <c r="J93" s="103"/>
      <c r="K93" s="103"/>
      <c r="L93" s="105"/>
      <c r="M93" s="106"/>
      <c r="N93" s="105">
        <v>43964</v>
      </c>
      <c r="O93" s="106">
        <v>76.52</v>
      </c>
      <c r="P93" s="112" t="s">
        <v>79</v>
      </c>
      <c r="Q93" s="100"/>
      <c r="R93" s="105"/>
      <c r="S93" s="103"/>
      <c r="T93" s="103"/>
      <c r="U93" s="105"/>
      <c r="V93" s="105"/>
      <c r="W93" s="103"/>
      <c r="X93" s="91">
        <f t="shared" ca="1" si="14"/>
        <v>33055</v>
      </c>
      <c r="Y93" s="99"/>
      <c r="Z93" s="103"/>
      <c r="AA93" s="105"/>
      <c r="AB93" s="105"/>
      <c r="AC93" s="103"/>
      <c r="AD93" s="21">
        <f t="shared" ca="1" si="15"/>
        <v>33055</v>
      </c>
      <c r="AE93" s="99"/>
      <c r="AF93" s="105"/>
      <c r="AG93" s="103"/>
      <c r="AH93" s="105"/>
      <c r="AI93" s="105"/>
      <c r="AJ93" s="103"/>
      <c r="AK93" s="23">
        <f t="shared" ca="1" si="23"/>
        <v>33055</v>
      </c>
      <c r="AL93" s="103"/>
      <c r="AM93" s="103"/>
      <c r="AN93" s="105"/>
      <c r="AO93" s="105"/>
      <c r="AP93" s="103"/>
      <c r="AQ93" s="163">
        <f t="shared" ca="1" si="16"/>
        <v>33055</v>
      </c>
      <c r="AR93" s="163"/>
      <c r="AS93" s="101"/>
      <c r="AT93" s="101"/>
      <c r="AU93" s="103"/>
      <c r="AV93" s="103"/>
      <c r="AW93" s="103"/>
      <c r="AX93" s="103"/>
      <c r="AY93" s="103"/>
      <c r="AZ93" s="103"/>
      <c r="BA93" s="103"/>
      <c r="BB93" s="103"/>
      <c r="BC93" s="103"/>
      <c r="BD93" s="100" t="str">
        <f t="shared" si="17"/>
        <v/>
      </c>
      <c r="BE93" s="100" t="str">
        <f t="shared" si="18"/>
        <v/>
      </c>
      <c r="BF93" s="100" t="str">
        <f t="shared" si="19"/>
        <v/>
      </c>
      <c r="BG93" s="100" t="str">
        <f t="shared" si="20"/>
        <v/>
      </c>
      <c r="BH93" s="100" t="str">
        <f t="shared" si="21"/>
        <v/>
      </c>
      <c r="BI93" s="103"/>
    </row>
    <row r="94" spans="1:61" s="95" customFormat="1">
      <c r="A94" s="101">
        <v>20132295011</v>
      </c>
      <c r="B94" s="19" t="str">
        <f>VLOOKUP(A94,'ESTADOS ESTUDIANTES'!B:L,2,0)</f>
        <v>RUBIANO ACOSTA MARY LUZ</v>
      </c>
      <c r="C94" s="102">
        <f>VLOOKUP(A94,'ESTADOS ESTUDIANTES'!B:L,11,0)</f>
        <v>35196512</v>
      </c>
      <c r="D94" s="23">
        <f>VLOOKUP(A94,'ESTADOS ESTUDIANTES'!B:L,3,0)</f>
        <v>295</v>
      </c>
      <c r="E94" s="102">
        <f>VLOOKUP(A94,'ESTADOS ESTUDIANTES'!B:L,8,0)</f>
        <v>0</v>
      </c>
      <c r="F94" s="102" t="str">
        <f>VLOOKUP(A94,'ESTADOS ESTUDIANTES'!B:L,9,0)</f>
        <v>ingmaryr@gmail.com</v>
      </c>
      <c r="G94" s="19" t="str">
        <f>VLOOKUP(A94,'ESTADOS ESTUDIANTES'!B:L,5,0)</f>
        <v>X</v>
      </c>
      <c r="H94" s="103"/>
      <c r="I94" s="103"/>
      <c r="J94" s="103"/>
      <c r="K94" s="103"/>
      <c r="L94" s="105"/>
      <c r="M94" s="106"/>
      <c r="N94" s="105"/>
      <c r="O94" s="106"/>
      <c r="P94" s="107"/>
      <c r="Q94" s="100"/>
      <c r="R94" s="105"/>
      <c r="S94" s="103"/>
      <c r="T94" s="103"/>
      <c r="U94" s="105"/>
      <c r="V94" s="105"/>
      <c r="W94" s="103"/>
      <c r="X94" s="91">
        <f t="shared" ca="1" si="14"/>
        <v>33055</v>
      </c>
      <c r="Y94" s="99"/>
      <c r="Z94" s="103"/>
      <c r="AA94" s="105"/>
      <c r="AB94" s="105"/>
      <c r="AC94" s="103"/>
      <c r="AD94" s="21">
        <f t="shared" ca="1" si="15"/>
        <v>33055</v>
      </c>
      <c r="AE94" s="99"/>
      <c r="AF94" s="105"/>
      <c r="AG94" s="103"/>
      <c r="AH94" s="105"/>
      <c r="AI94" s="105"/>
      <c r="AJ94" s="103"/>
      <c r="AK94" s="23">
        <f t="shared" ca="1" si="23"/>
        <v>33055</v>
      </c>
      <c r="AL94" s="103"/>
      <c r="AM94" s="103"/>
      <c r="AN94" s="105"/>
      <c r="AO94" s="105"/>
      <c r="AP94" s="103"/>
      <c r="AQ94" s="163">
        <f t="shared" ca="1" si="16"/>
        <v>33055</v>
      </c>
      <c r="AR94" s="163"/>
      <c r="AS94" s="101"/>
      <c r="AT94" s="101"/>
      <c r="AU94" s="103"/>
      <c r="AV94" s="103"/>
      <c r="AW94" s="103"/>
      <c r="AX94" s="103"/>
      <c r="AY94" s="103"/>
      <c r="AZ94" s="103"/>
      <c r="BA94" s="103"/>
      <c r="BB94" s="103"/>
      <c r="BC94" s="103"/>
      <c r="BD94" s="100" t="str">
        <f t="shared" si="17"/>
        <v/>
      </c>
      <c r="BE94" s="100" t="str">
        <f t="shared" si="18"/>
        <v/>
      </c>
      <c r="BF94" s="100" t="str">
        <f t="shared" si="19"/>
        <v/>
      </c>
      <c r="BG94" s="100" t="str">
        <f t="shared" si="20"/>
        <v/>
      </c>
      <c r="BH94" s="100" t="str">
        <f t="shared" si="21"/>
        <v/>
      </c>
      <c r="BI94" s="103"/>
    </row>
    <row r="95" spans="1:61" s="95" customFormat="1" ht="45">
      <c r="A95" s="101">
        <v>20141195001</v>
      </c>
      <c r="B95" s="19" t="str">
        <f>VLOOKUP(A95,'ESTADOS ESTUDIANTES'!B:L,2,0)</f>
        <v>GOMEZ SUAREZ RICARDO ALFONSO</v>
      </c>
      <c r="C95" s="102">
        <f>VLOOKUP(A95,'ESTADOS ESTUDIANTES'!B:L,11,0)</f>
        <v>79430383</v>
      </c>
      <c r="D95" s="23">
        <f>VLOOKUP(A95,'ESTADOS ESTUDIANTES'!B:L,3,0)</f>
        <v>195</v>
      </c>
      <c r="E95" s="102" t="str">
        <f>VLOOKUP(A95,'ESTADOS ESTUDIANTES'!B:L,8,0)</f>
        <v>ragomezs@correo.udistrital.edu.co</v>
      </c>
      <c r="F95" s="102" t="str">
        <f>VLOOKUP(A95,'ESTADOS ESTUDIANTES'!B:L,9,0)</f>
        <v>ragomezs@udistrital.edu.co</v>
      </c>
      <c r="G95" s="19" t="str">
        <f>VLOOKUP(A95,'ESTADOS ESTUDIANTES'!B:L,5,0)</f>
        <v>E</v>
      </c>
      <c r="H95" s="103"/>
      <c r="I95" s="100" t="s">
        <v>1531</v>
      </c>
      <c r="J95" s="104"/>
      <c r="K95" s="103"/>
      <c r="L95" s="105"/>
      <c r="M95" s="106"/>
      <c r="N95" s="105"/>
      <c r="O95" s="106"/>
      <c r="P95" s="107"/>
      <c r="Q95" s="102">
        <v>1</v>
      </c>
      <c r="R95" s="105">
        <v>2015</v>
      </c>
      <c r="S95" s="102">
        <v>2015</v>
      </c>
      <c r="T95" s="100" t="s">
        <v>341</v>
      </c>
      <c r="U95" s="105"/>
      <c r="V95" s="105"/>
      <c r="W95" s="103"/>
      <c r="X95" s="91" t="e">
        <f t="shared" ca="1" si="14"/>
        <v>#VALUE!</v>
      </c>
      <c r="Y95" s="100" t="s">
        <v>43</v>
      </c>
      <c r="Z95" s="100" t="s">
        <v>1518</v>
      </c>
      <c r="AA95" s="105"/>
      <c r="AB95" s="105"/>
      <c r="AC95" s="103"/>
      <c r="AD95" s="21" t="e">
        <f t="shared" ca="1" si="15"/>
        <v>#VALUE!</v>
      </c>
      <c r="AE95" s="100" t="s">
        <v>43</v>
      </c>
      <c r="AF95" s="105"/>
      <c r="AG95" s="100" t="s">
        <v>341</v>
      </c>
      <c r="AH95" s="105"/>
      <c r="AI95" s="105"/>
      <c r="AJ95" s="103"/>
      <c r="AK95" s="23">
        <f ca="1">IF(AL95="",NETWORKDAYS.INTL(AH95,TODAY(),1),0)</f>
        <v>0</v>
      </c>
      <c r="AL95" s="100" t="s">
        <v>42</v>
      </c>
      <c r="AM95" s="100" t="s">
        <v>1518</v>
      </c>
      <c r="AN95" s="105"/>
      <c r="AO95" s="105"/>
      <c r="AP95" s="103"/>
      <c r="AQ95" s="162">
        <f t="shared" ca="1" si="16"/>
        <v>33055</v>
      </c>
      <c r="AR95" s="163"/>
      <c r="AS95" s="101"/>
      <c r="AT95" s="101"/>
      <c r="AU95" s="103"/>
      <c r="AV95" s="103"/>
      <c r="AW95" s="103"/>
      <c r="AX95" s="103"/>
      <c r="AY95" s="103"/>
      <c r="AZ95" s="103"/>
      <c r="BA95" s="103"/>
      <c r="BB95" s="103"/>
      <c r="BC95" s="103"/>
      <c r="BD95" s="100" t="str">
        <f t="shared" si="17"/>
        <v/>
      </c>
      <c r="BE95" s="100" t="str">
        <f t="shared" si="18"/>
        <v/>
      </c>
      <c r="BF95" s="100" t="str">
        <f t="shared" si="19"/>
        <v/>
      </c>
      <c r="BG95" s="100" t="str">
        <f t="shared" si="20"/>
        <v/>
      </c>
      <c r="BH95" s="100" t="str">
        <f t="shared" si="21"/>
        <v/>
      </c>
      <c r="BI95" s="103"/>
    </row>
    <row r="96" spans="1:61" s="95" customFormat="1">
      <c r="A96" s="101">
        <v>20141195002</v>
      </c>
      <c r="B96" s="19" t="str">
        <f>VLOOKUP(A96,'ESTADOS ESTUDIANTES'!B:L,2,0)</f>
        <v>HENAO PILPUD RAUL GEOVANI</v>
      </c>
      <c r="C96" s="102">
        <f>VLOOKUP(A96,'ESTADOS ESTUDIANTES'!B:L,11,0)</f>
        <v>79483930</v>
      </c>
      <c r="D96" s="23">
        <f>VLOOKUP(A96,'ESTADOS ESTUDIANTES'!B:L,3,0)</f>
        <v>195</v>
      </c>
      <c r="E96" s="102">
        <f>VLOOKUP(A96,'ESTADOS ESTUDIANTES'!B:L,8,0)</f>
        <v>0</v>
      </c>
      <c r="F96" s="102" t="str">
        <f>VLOOKUP(A96,'ESTADOS ESTUDIANTES'!B:L,9,0)</f>
        <v>ge_henao@hotmail.com</v>
      </c>
      <c r="G96" s="19" t="str">
        <f>VLOOKUP(A96,'ESTADOS ESTUDIANTES'!B:L,5,0)</f>
        <v>X</v>
      </c>
      <c r="H96" s="100" t="s">
        <v>60</v>
      </c>
      <c r="I96" s="103"/>
      <c r="J96" s="103"/>
      <c r="K96" s="103"/>
      <c r="L96" s="105"/>
      <c r="M96" s="106"/>
      <c r="N96" s="105"/>
      <c r="O96" s="106"/>
      <c r="P96" s="107"/>
      <c r="Q96" s="100"/>
      <c r="R96" s="105"/>
      <c r="S96" s="103"/>
      <c r="T96" s="103"/>
      <c r="U96" s="105"/>
      <c r="V96" s="105"/>
      <c r="W96" s="103"/>
      <c r="X96" s="91">
        <f t="shared" ca="1" si="14"/>
        <v>33055</v>
      </c>
      <c r="Y96" s="99"/>
      <c r="Z96" s="103"/>
      <c r="AA96" s="105"/>
      <c r="AB96" s="105"/>
      <c r="AC96" s="103"/>
      <c r="AD96" s="21">
        <f t="shared" ca="1" si="15"/>
        <v>33055</v>
      </c>
      <c r="AE96" s="99"/>
      <c r="AF96" s="105"/>
      <c r="AG96" s="103"/>
      <c r="AH96" s="105"/>
      <c r="AI96" s="105"/>
      <c r="AJ96" s="103"/>
      <c r="AK96" s="23">
        <f t="shared" ref="AK96:AK112" ca="1" si="24">IF(AH96="",NETWORKDAYS.INTL(AL96,TODAY(),1),0)</f>
        <v>33055</v>
      </c>
      <c r="AL96" s="103"/>
      <c r="AM96" s="103"/>
      <c r="AN96" s="105"/>
      <c r="AO96" s="105"/>
      <c r="AP96" s="103"/>
      <c r="AQ96" s="163">
        <f t="shared" ca="1" si="16"/>
        <v>33055</v>
      </c>
      <c r="AR96" s="163"/>
      <c r="AS96" s="101"/>
      <c r="AT96" s="101"/>
      <c r="AU96" s="103"/>
      <c r="AV96" s="103"/>
      <c r="AW96" s="103"/>
      <c r="AX96" s="103"/>
      <c r="AY96" s="103"/>
      <c r="AZ96" s="103"/>
      <c r="BA96" s="103"/>
      <c r="BB96" s="103"/>
      <c r="BC96" s="103"/>
      <c r="BD96" s="100" t="str">
        <f t="shared" si="17"/>
        <v/>
      </c>
      <c r="BE96" s="100" t="str">
        <f t="shared" si="18"/>
        <v/>
      </c>
      <c r="BF96" s="100" t="str">
        <f t="shared" si="19"/>
        <v/>
      </c>
      <c r="BG96" s="100" t="str">
        <f t="shared" si="20"/>
        <v/>
      </c>
      <c r="BH96" s="100" t="str">
        <f t="shared" si="21"/>
        <v/>
      </c>
      <c r="BI96" s="103"/>
    </row>
    <row r="97" spans="1:61" s="95" customFormat="1">
      <c r="A97" s="101">
        <v>20141195003</v>
      </c>
      <c r="B97" s="19" t="str">
        <f>VLOOKUP(A97,'ESTADOS ESTUDIANTES'!B:L,2,0)</f>
        <v>MORALES VEGA TATIANA</v>
      </c>
      <c r="C97" s="102">
        <f>VLOOKUP(A97,'ESTADOS ESTUDIANTES'!B:L,11,0)</f>
        <v>52779302</v>
      </c>
      <c r="D97" s="23">
        <f>VLOOKUP(A97,'ESTADOS ESTUDIANTES'!B:L,3,0)</f>
        <v>195</v>
      </c>
      <c r="E97" s="102">
        <f>VLOOKUP(A97,'ESTADOS ESTUDIANTES'!B:L,8,0)</f>
        <v>0</v>
      </c>
      <c r="F97" s="102" t="str">
        <f>VLOOKUP(A97,'ESTADOS ESTUDIANTES'!B:L,9,0)</f>
        <v>tatymove@gmail.com</v>
      </c>
      <c r="G97" s="19" t="str">
        <f>VLOOKUP(A97,'ESTADOS ESTUDIANTES'!B:L,5,0)</f>
        <v>N</v>
      </c>
      <c r="H97" s="100" t="s">
        <v>60</v>
      </c>
      <c r="I97" s="103"/>
      <c r="J97" s="103"/>
      <c r="K97" s="103"/>
      <c r="L97" s="105"/>
      <c r="M97" s="106"/>
      <c r="N97" s="105"/>
      <c r="O97" s="106"/>
      <c r="P97" s="107"/>
      <c r="Q97" s="100"/>
      <c r="R97" s="105"/>
      <c r="S97" s="103"/>
      <c r="T97" s="103"/>
      <c r="U97" s="105"/>
      <c r="V97" s="105"/>
      <c r="W97" s="103"/>
      <c r="X97" s="91">
        <f t="shared" ca="1" si="14"/>
        <v>33055</v>
      </c>
      <c r="Y97" s="99"/>
      <c r="Z97" s="103"/>
      <c r="AA97" s="105"/>
      <c r="AB97" s="105"/>
      <c r="AC97" s="103"/>
      <c r="AD97" s="21">
        <f t="shared" ca="1" si="15"/>
        <v>33055</v>
      </c>
      <c r="AE97" s="99"/>
      <c r="AF97" s="105"/>
      <c r="AG97" s="103"/>
      <c r="AH97" s="105"/>
      <c r="AI97" s="105"/>
      <c r="AJ97" s="103"/>
      <c r="AK97" s="23">
        <f t="shared" ca="1" si="24"/>
        <v>33055</v>
      </c>
      <c r="AL97" s="103"/>
      <c r="AM97" s="103"/>
      <c r="AN97" s="105"/>
      <c r="AO97" s="105"/>
      <c r="AP97" s="103"/>
      <c r="AQ97" s="163">
        <f t="shared" ca="1" si="16"/>
        <v>33055</v>
      </c>
      <c r="AR97" s="163"/>
      <c r="AS97" s="100"/>
      <c r="AT97" s="101"/>
      <c r="AU97" s="103"/>
      <c r="AV97" s="103"/>
      <c r="AW97" s="103"/>
      <c r="AX97" s="103"/>
      <c r="AY97" s="103"/>
      <c r="AZ97" s="103"/>
      <c r="BA97" s="103"/>
      <c r="BB97" s="103"/>
      <c r="BC97" s="103"/>
      <c r="BD97" s="100" t="str">
        <f t="shared" si="17"/>
        <v/>
      </c>
      <c r="BE97" s="100" t="str">
        <f t="shared" si="18"/>
        <v/>
      </c>
      <c r="BF97" s="100" t="str">
        <f t="shared" si="19"/>
        <v/>
      </c>
      <c r="BG97" s="100" t="str">
        <f t="shared" si="20"/>
        <v/>
      </c>
      <c r="BH97" s="100" t="str">
        <f t="shared" si="21"/>
        <v/>
      </c>
      <c r="BI97" s="103"/>
    </row>
    <row r="98" spans="1:61" s="95" customFormat="1" ht="30">
      <c r="A98" s="101">
        <v>20141195004</v>
      </c>
      <c r="B98" s="19" t="str">
        <f>VLOOKUP(A98,'ESTADOS ESTUDIANTES'!B:L,2,0)</f>
        <v>PIÑEROS MORA GIOVANNY JAVIER RICARDO</v>
      </c>
      <c r="C98" s="102">
        <f>VLOOKUP(A98,'ESTADOS ESTUDIANTES'!B:L,11,0)</f>
        <v>80773695</v>
      </c>
      <c r="D98" s="23">
        <f>VLOOKUP(A98,'ESTADOS ESTUDIANTES'!B:L,3,0)</f>
        <v>195</v>
      </c>
      <c r="E98" s="102">
        <f>VLOOKUP(A98,'ESTADOS ESTUDIANTES'!B:L,8,0)</f>
        <v>0</v>
      </c>
      <c r="F98" s="102" t="str">
        <f>VLOOKUP(A98,'ESTADOS ESTUDIANTES'!B:L,9,0)</f>
        <v>gjpinerosm@gmail.com</v>
      </c>
      <c r="G98" s="19" t="str">
        <f>VLOOKUP(A98,'ESTADOS ESTUDIANTES'!B:L,5,0)</f>
        <v>X</v>
      </c>
      <c r="H98" s="103"/>
      <c r="I98" s="103"/>
      <c r="J98" s="103"/>
      <c r="K98" s="103"/>
      <c r="L98" s="105"/>
      <c r="M98" s="106"/>
      <c r="N98" s="105"/>
      <c r="O98" s="106"/>
      <c r="P98" s="107"/>
      <c r="Q98" s="100"/>
      <c r="R98" s="105"/>
      <c r="S98" s="103"/>
      <c r="T98" s="103"/>
      <c r="U98" s="105"/>
      <c r="V98" s="105"/>
      <c r="W98" s="103"/>
      <c r="X98" s="91">
        <f t="shared" ref="X98:X115" ca="1" si="25">IF(U98="",NETWORKDAYS.INTL(Y98,TODAY(),1),0)</f>
        <v>33055</v>
      </c>
      <c r="Y98" s="99"/>
      <c r="Z98" s="103"/>
      <c r="AA98" s="105"/>
      <c r="AB98" s="105"/>
      <c r="AC98" s="103"/>
      <c r="AD98" s="21">
        <f t="shared" ref="AD98:AD115" ca="1" si="26">IF(AA98="",NETWORKDAYS.INTL(AE98,TODAY(),1),0)</f>
        <v>33055</v>
      </c>
      <c r="AE98" s="99"/>
      <c r="AF98" s="105"/>
      <c r="AG98" s="103"/>
      <c r="AH98" s="105"/>
      <c r="AI98" s="105"/>
      <c r="AJ98" s="103"/>
      <c r="AK98" s="23">
        <f t="shared" ca="1" si="24"/>
        <v>33055</v>
      </c>
      <c r="AL98" s="103"/>
      <c r="AM98" s="103"/>
      <c r="AN98" s="105"/>
      <c r="AO98" s="105"/>
      <c r="AP98" s="103"/>
      <c r="AQ98" s="163">
        <f t="shared" ref="AQ98:AQ115" ca="1" si="27">IF(AN98="",NETWORKDAYS.INTL(AR98,TODAY(),1),0)</f>
        <v>33055</v>
      </c>
      <c r="AR98" s="163"/>
      <c r="AS98" s="101"/>
      <c r="AT98" s="101"/>
      <c r="AU98" s="103"/>
      <c r="AV98" s="103"/>
      <c r="AW98" s="103"/>
      <c r="AX98" s="103"/>
      <c r="AY98" s="103"/>
      <c r="AZ98" s="103"/>
      <c r="BA98" s="103"/>
      <c r="BB98" s="103"/>
      <c r="BC98" s="103"/>
      <c r="BD98" s="100" t="str">
        <f t="shared" si="17"/>
        <v/>
      </c>
      <c r="BE98" s="100" t="str">
        <f t="shared" si="18"/>
        <v/>
      </c>
      <c r="BF98" s="100" t="str">
        <f t="shared" si="19"/>
        <v/>
      </c>
      <c r="BG98" s="100" t="str">
        <f t="shared" si="20"/>
        <v/>
      </c>
      <c r="BH98" s="100" t="str">
        <f t="shared" si="21"/>
        <v/>
      </c>
      <c r="BI98" s="103"/>
    </row>
    <row r="99" spans="1:61" s="95" customFormat="1" ht="30">
      <c r="A99" s="101">
        <v>20141195005</v>
      </c>
      <c r="B99" s="19" t="str">
        <f>VLOOKUP(A99,'ESTADOS ESTUDIANTES'!B:L,2,0)</f>
        <v>QUIROZ LUIS ALEJANDRO</v>
      </c>
      <c r="C99" s="102">
        <f>VLOOKUP(A99,'ESTADOS ESTUDIANTES'!B:L,11,0)</f>
        <v>79562545</v>
      </c>
      <c r="D99" s="23">
        <f>VLOOKUP(A99,'ESTADOS ESTUDIANTES'!B:L,3,0)</f>
        <v>195</v>
      </c>
      <c r="E99" s="102">
        <f>VLOOKUP(A99,'ESTADOS ESTUDIANTES'!B:L,8,0)</f>
        <v>0</v>
      </c>
      <c r="F99" s="102" t="str">
        <f>VLOOKUP(A99,'ESTADOS ESTUDIANTES'!B:L,9,0)</f>
        <v>luis.alejandro.quiroz@gmail.com</v>
      </c>
      <c r="G99" s="19" t="str">
        <f>VLOOKUP(A99,'ESTADOS ESTUDIANTES'!B:L,5,0)</f>
        <v>E</v>
      </c>
      <c r="H99" s="103"/>
      <c r="I99" s="100" t="s">
        <v>1532</v>
      </c>
      <c r="J99" s="108" t="s">
        <v>270</v>
      </c>
      <c r="K99" s="103"/>
      <c r="L99" s="105"/>
      <c r="M99" s="106"/>
      <c r="N99" s="105"/>
      <c r="O99" s="106"/>
      <c r="P99" s="107"/>
      <c r="Q99" s="100"/>
      <c r="R99" s="105">
        <v>42192</v>
      </c>
      <c r="S99" s="102">
        <f>YEAR(R99)</f>
        <v>2015</v>
      </c>
      <c r="T99" s="103"/>
      <c r="U99" s="100" t="s">
        <v>1445</v>
      </c>
      <c r="V99" s="105"/>
      <c r="W99" s="103"/>
      <c r="X99" s="91">
        <f t="shared" ca="1" si="25"/>
        <v>0</v>
      </c>
      <c r="Y99" s="114" t="s">
        <v>43</v>
      </c>
      <c r="Z99" s="103"/>
      <c r="AA99" s="100" t="s">
        <v>1518</v>
      </c>
      <c r="AB99" s="105"/>
      <c r="AC99" s="103"/>
      <c r="AD99" s="21">
        <f t="shared" ca="1" si="26"/>
        <v>0</v>
      </c>
      <c r="AE99" s="114" t="s">
        <v>43</v>
      </c>
      <c r="AF99" s="105"/>
      <c r="AG99" s="103"/>
      <c r="AH99" s="100" t="s">
        <v>1447</v>
      </c>
      <c r="AI99" s="105">
        <v>42478</v>
      </c>
      <c r="AJ99" s="103"/>
      <c r="AK99" s="23">
        <f t="shared" ca="1" si="24"/>
        <v>0</v>
      </c>
      <c r="AL99" s="100" t="s">
        <v>42</v>
      </c>
      <c r="AM99" s="100" t="s">
        <v>1533</v>
      </c>
      <c r="AN99" s="105"/>
      <c r="AO99" s="105">
        <v>42489</v>
      </c>
      <c r="AP99" s="103"/>
      <c r="AQ99" s="163">
        <f t="shared" ca="1" si="27"/>
        <v>33055</v>
      </c>
      <c r="AR99" s="163"/>
      <c r="AS99" s="101"/>
      <c r="AT99" s="101"/>
      <c r="AU99" s="103"/>
      <c r="AV99" s="103"/>
      <c r="AW99" s="103"/>
      <c r="AX99" s="103"/>
      <c r="AY99" s="103"/>
      <c r="AZ99" s="103"/>
      <c r="BA99" s="103"/>
      <c r="BB99" s="103"/>
      <c r="BC99" s="103"/>
      <c r="BD99" s="100" t="str">
        <f t="shared" si="17"/>
        <v/>
      </c>
      <c r="BE99" s="100" t="str">
        <f t="shared" si="18"/>
        <v/>
      </c>
      <c r="BF99" s="100" t="str">
        <f t="shared" si="19"/>
        <v/>
      </c>
      <c r="BG99" s="100" t="str">
        <f t="shared" si="20"/>
        <v/>
      </c>
      <c r="BH99" s="100" t="str">
        <f t="shared" si="21"/>
        <v/>
      </c>
      <c r="BI99" s="103"/>
    </row>
    <row r="100" spans="1:61" s="95" customFormat="1">
      <c r="A100" s="101">
        <v>20141195006</v>
      </c>
      <c r="B100" s="19" t="str">
        <f>VLOOKUP(A100,'ESTADOS ESTUDIANTES'!B:L,2,0)</f>
        <v>RODRIGUEZ RINCON MIGUEL YAMPOL</v>
      </c>
      <c r="C100" s="102">
        <f>VLOOKUP(A100,'ESTADOS ESTUDIANTES'!B:L,11,0)</f>
        <v>80097092</v>
      </c>
      <c r="D100" s="23">
        <f>VLOOKUP(A100,'ESTADOS ESTUDIANTES'!B:L,3,0)</f>
        <v>195</v>
      </c>
      <c r="E100" s="102">
        <f>VLOOKUP(A100,'ESTADOS ESTUDIANTES'!B:L,8,0)</f>
        <v>0</v>
      </c>
      <c r="F100" s="102" t="str">
        <f>VLOOKUP(A100,'ESTADOS ESTUDIANTES'!B:L,9,0)</f>
        <v>myr.rod@gmail.com</v>
      </c>
      <c r="G100" s="19" t="str">
        <f>VLOOKUP(A100,'ESTADOS ESTUDIANTES'!B:L,5,0)</f>
        <v>X</v>
      </c>
      <c r="H100" s="103"/>
      <c r="I100" s="103"/>
      <c r="J100" s="103"/>
      <c r="K100" s="103"/>
      <c r="L100" s="105"/>
      <c r="M100" s="106"/>
      <c r="N100" s="105"/>
      <c r="O100" s="106"/>
      <c r="P100" s="107"/>
      <c r="Q100" s="100"/>
      <c r="R100" s="105"/>
      <c r="S100" s="103"/>
      <c r="T100" s="103"/>
      <c r="U100" s="105"/>
      <c r="V100" s="105"/>
      <c r="W100" s="103"/>
      <c r="X100" s="91">
        <f t="shared" ca="1" si="25"/>
        <v>33055</v>
      </c>
      <c r="Y100" s="99"/>
      <c r="Z100" s="103"/>
      <c r="AA100" s="105"/>
      <c r="AB100" s="105"/>
      <c r="AC100" s="103"/>
      <c r="AD100" s="21">
        <f t="shared" ca="1" si="26"/>
        <v>33055</v>
      </c>
      <c r="AE100" s="99"/>
      <c r="AF100" s="105"/>
      <c r="AG100" s="103"/>
      <c r="AH100" s="105"/>
      <c r="AI100" s="105"/>
      <c r="AJ100" s="103"/>
      <c r="AK100" s="23">
        <f t="shared" ca="1" si="24"/>
        <v>33055</v>
      </c>
      <c r="AL100" s="103"/>
      <c r="AM100" s="103"/>
      <c r="AN100" s="105"/>
      <c r="AO100" s="105"/>
      <c r="AP100" s="103"/>
      <c r="AQ100" s="163">
        <f t="shared" ca="1" si="27"/>
        <v>33055</v>
      </c>
      <c r="AR100" s="163"/>
      <c r="AS100" s="101"/>
      <c r="AT100" s="101"/>
      <c r="AU100" s="103"/>
      <c r="AV100" s="103"/>
      <c r="AW100" s="103"/>
      <c r="AX100" s="103"/>
      <c r="AY100" s="103"/>
      <c r="AZ100" s="103"/>
      <c r="BA100" s="103"/>
      <c r="BB100" s="103"/>
      <c r="BC100" s="103"/>
      <c r="BD100" s="100" t="str">
        <f t="shared" si="17"/>
        <v/>
      </c>
      <c r="BE100" s="100" t="str">
        <f t="shared" si="18"/>
        <v/>
      </c>
      <c r="BF100" s="100" t="str">
        <f t="shared" si="19"/>
        <v/>
      </c>
      <c r="BG100" s="100" t="str">
        <f t="shared" si="20"/>
        <v/>
      </c>
      <c r="BH100" s="100" t="str">
        <f t="shared" si="21"/>
        <v/>
      </c>
      <c r="BI100" s="103"/>
    </row>
    <row r="101" spans="1:61" s="95" customFormat="1" ht="30">
      <c r="A101" s="101">
        <v>20141295001</v>
      </c>
      <c r="B101" s="19" t="str">
        <f>VLOOKUP(A101,'ESTADOS ESTUDIANTES'!B:L,2,0)</f>
        <v>BALLESTEROS MUÑOZ EDUARDO ISAAC</v>
      </c>
      <c r="C101" s="103">
        <f>VLOOKUP(A101,'ESTADOS ESTUDIANTES'!B:L,11,0)</f>
        <v>1026250325</v>
      </c>
      <c r="D101" s="23">
        <f>VLOOKUP(A101,'ESTADOS ESTUDIANTES'!B:L,3,0)</f>
        <v>495</v>
      </c>
      <c r="E101" s="102">
        <f>VLOOKUP(A101,'ESTADOS ESTUDIANTES'!B:L,8,0)</f>
        <v>0</v>
      </c>
      <c r="F101" s="102" t="str">
        <f>VLOOKUP(A101,'ESTADOS ESTUDIANTES'!B:L,9,0)</f>
        <v>eduballesteros@yahoo.com</v>
      </c>
      <c r="G101" s="19" t="str">
        <f>VLOOKUP(A101,'ESTADOS ESTUDIANTES'!B:L,5,0)</f>
        <v>X</v>
      </c>
      <c r="H101" s="100" t="s">
        <v>46</v>
      </c>
      <c r="I101" s="103"/>
      <c r="J101" s="103"/>
      <c r="K101" s="103"/>
      <c r="L101" s="105"/>
      <c r="M101" s="106"/>
      <c r="N101" s="105"/>
      <c r="O101" s="106"/>
      <c r="P101" s="107"/>
      <c r="Q101" s="100"/>
      <c r="R101" s="105"/>
      <c r="S101" s="103"/>
      <c r="T101" s="103"/>
      <c r="U101" s="105"/>
      <c r="V101" s="105"/>
      <c r="W101" s="103"/>
      <c r="X101" s="91">
        <f t="shared" ca="1" si="25"/>
        <v>33055</v>
      </c>
      <c r="Y101" s="99"/>
      <c r="Z101" s="103"/>
      <c r="AA101" s="105"/>
      <c r="AB101" s="105"/>
      <c r="AC101" s="103"/>
      <c r="AD101" s="21">
        <f t="shared" ca="1" si="26"/>
        <v>33055</v>
      </c>
      <c r="AE101" s="99"/>
      <c r="AF101" s="105"/>
      <c r="AG101" s="103"/>
      <c r="AH101" s="105"/>
      <c r="AI101" s="105"/>
      <c r="AJ101" s="103"/>
      <c r="AK101" s="23">
        <f t="shared" ca="1" si="24"/>
        <v>33055</v>
      </c>
      <c r="AL101" s="103"/>
      <c r="AM101" s="103"/>
      <c r="AN101" s="105"/>
      <c r="AO101" s="105"/>
      <c r="AP101" s="103"/>
      <c r="AQ101" s="163">
        <f t="shared" ca="1" si="27"/>
        <v>33055</v>
      </c>
      <c r="AR101" s="163"/>
      <c r="AS101" s="101"/>
      <c r="AT101" s="101"/>
      <c r="AU101" s="103"/>
      <c r="AV101" s="103"/>
      <c r="AW101" s="103"/>
      <c r="AX101" s="103"/>
      <c r="AY101" s="103"/>
      <c r="AZ101" s="103"/>
      <c r="BA101" s="103"/>
      <c r="BB101" s="103"/>
      <c r="BC101" s="103"/>
      <c r="BD101" s="100" t="str">
        <f t="shared" si="17"/>
        <v/>
      </c>
      <c r="BE101" s="100" t="str">
        <f t="shared" si="18"/>
        <v/>
      </c>
      <c r="BF101" s="100" t="str">
        <f t="shared" si="19"/>
        <v/>
      </c>
      <c r="BG101" s="100" t="str">
        <f t="shared" si="20"/>
        <v/>
      </c>
      <c r="BH101" s="100" t="str">
        <f t="shared" si="21"/>
        <v/>
      </c>
      <c r="BI101" s="103"/>
    </row>
    <row r="102" spans="1:61" s="95" customFormat="1" ht="45">
      <c r="A102" s="101">
        <v>20141295002</v>
      </c>
      <c r="B102" s="19" t="str">
        <f>VLOOKUP(A102,'ESTADOS ESTUDIANTES'!B:L,2,0)</f>
        <v>BECERRA GONZALEZ LAURA CRISTINA</v>
      </c>
      <c r="C102" s="102">
        <f>VLOOKUP(A102,'ESTADOS ESTUDIANTES'!B:L,11,0)</f>
        <v>63560187</v>
      </c>
      <c r="D102" s="23">
        <f>VLOOKUP(A102,'ESTADOS ESTUDIANTES'!B:L,3,0)</f>
        <v>295</v>
      </c>
      <c r="E102" s="102">
        <f>VLOOKUP(A102,'ESTADOS ESTUDIANTES'!B:L,8,0)</f>
        <v>0</v>
      </c>
      <c r="F102" s="102" t="str">
        <f>VLOOKUP(A102,'ESTADOS ESTUDIANTES'!B:L,9,0)</f>
        <v>lauracriss@misena.edu.co</v>
      </c>
      <c r="G102" s="19" t="str">
        <f>VLOOKUP(A102,'ESTADOS ESTUDIANTES'!B:L,5,0)</f>
        <v>E</v>
      </c>
      <c r="H102" s="103"/>
      <c r="I102" s="100" t="s">
        <v>1534</v>
      </c>
      <c r="J102" s="104"/>
      <c r="K102" s="100" t="s">
        <v>271</v>
      </c>
      <c r="L102" s="105"/>
      <c r="M102" s="106"/>
      <c r="N102" s="105"/>
      <c r="O102" s="106"/>
      <c r="P102" s="107"/>
      <c r="Q102" s="100" t="s">
        <v>1535</v>
      </c>
      <c r="R102" s="105">
        <v>42171</v>
      </c>
      <c r="S102" s="102">
        <v>2015</v>
      </c>
      <c r="T102" s="100" t="s">
        <v>356</v>
      </c>
      <c r="U102" s="105">
        <v>42902</v>
      </c>
      <c r="V102" s="105">
        <v>42713</v>
      </c>
      <c r="W102" s="102">
        <v>2</v>
      </c>
      <c r="X102" s="91">
        <f t="shared" ca="1" si="25"/>
        <v>0</v>
      </c>
      <c r="Y102" s="100" t="s">
        <v>43</v>
      </c>
      <c r="Z102" s="100" t="s">
        <v>1491</v>
      </c>
      <c r="AA102" s="105">
        <v>42243</v>
      </c>
      <c r="AB102" s="100" t="s">
        <v>1536</v>
      </c>
      <c r="AC102" s="102">
        <v>2</v>
      </c>
      <c r="AD102" s="21">
        <f t="shared" ca="1" si="26"/>
        <v>0</v>
      </c>
      <c r="AE102" s="100" t="s">
        <v>43</v>
      </c>
      <c r="AF102" s="105"/>
      <c r="AG102" s="100" t="s">
        <v>356</v>
      </c>
      <c r="AH102" s="105">
        <v>43384</v>
      </c>
      <c r="AI102" s="105"/>
      <c r="AJ102" s="103"/>
      <c r="AK102" s="23">
        <f t="shared" ca="1" si="24"/>
        <v>0</v>
      </c>
      <c r="AL102" s="100" t="s">
        <v>42</v>
      </c>
      <c r="AM102" s="100" t="s">
        <v>1491</v>
      </c>
      <c r="AN102" s="105">
        <v>43371</v>
      </c>
      <c r="AO102" s="105"/>
      <c r="AP102" s="103"/>
      <c r="AQ102" s="161">
        <f t="shared" ca="1" si="27"/>
        <v>0</v>
      </c>
      <c r="AR102" s="162" t="s">
        <v>42</v>
      </c>
      <c r="AS102" s="101"/>
      <c r="AT102" s="101"/>
      <c r="AU102" s="103"/>
      <c r="AV102" s="103"/>
      <c r="AW102" s="103"/>
      <c r="AX102" s="103"/>
      <c r="AY102" s="103"/>
      <c r="AZ102" s="103"/>
      <c r="BA102" s="103"/>
      <c r="BB102" s="103"/>
      <c r="BC102" s="103"/>
      <c r="BD102" s="100" t="str">
        <f t="shared" si="17"/>
        <v/>
      </c>
      <c r="BE102" s="100" t="str">
        <f t="shared" si="18"/>
        <v/>
      </c>
      <c r="BF102" s="100" t="str">
        <f t="shared" si="19"/>
        <v/>
      </c>
      <c r="BG102" s="100" t="str">
        <f t="shared" si="20"/>
        <v/>
      </c>
      <c r="BH102" s="100" t="str">
        <f t="shared" si="21"/>
        <v/>
      </c>
      <c r="BI102" s="103"/>
    </row>
    <row r="103" spans="1:61" s="95" customFormat="1" ht="60">
      <c r="A103" s="101">
        <v>20141295004</v>
      </c>
      <c r="B103" s="19" t="str">
        <f>VLOOKUP(A103,'ESTADOS ESTUDIANTES'!B:L,2,0)</f>
        <v>MESA TRUJILLO JENNY ANGELICA</v>
      </c>
      <c r="C103" s="102">
        <f>VLOOKUP(A103,'ESTADOS ESTUDIANTES'!B:L,11,0)</f>
        <v>1030539258</v>
      </c>
      <c r="D103" s="23">
        <f>VLOOKUP(A103,'ESTADOS ESTUDIANTES'!B:L,3,0)</f>
        <v>295</v>
      </c>
      <c r="E103" s="102">
        <f>VLOOKUP(A103,'ESTADOS ESTUDIANTES'!B:L,8,0)</f>
        <v>0</v>
      </c>
      <c r="F103" s="102" t="str">
        <f>VLOOKUP(A103,'ESTADOS ESTUDIANTES'!B:L,9,0)</f>
        <v>jenny.mesat@gmail.com</v>
      </c>
      <c r="G103" s="19" t="str">
        <f>VLOOKUP(A103,'ESTADOS ESTUDIANTES'!B:L,5,0)</f>
        <v>E</v>
      </c>
      <c r="H103" s="100" t="s">
        <v>60</v>
      </c>
      <c r="I103" s="100" t="s">
        <v>1537</v>
      </c>
      <c r="J103" s="108" t="s">
        <v>225</v>
      </c>
      <c r="K103" s="103"/>
      <c r="L103" s="105"/>
      <c r="M103" s="106"/>
      <c r="N103" s="105"/>
      <c r="O103" s="106"/>
      <c r="P103" s="107"/>
      <c r="Q103" s="100" t="s">
        <v>1538</v>
      </c>
      <c r="R103" s="105">
        <v>42192</v>
      </c>
      <c r="S103" s="102">
        <v>2015</v>
      </c>
      <c r="T103" s="100" t="s">
        <v>356</v>
      </c>
      <c r="U103" s="105">
        <v>42075</v>
      </c>
      <c r="V103" s="105"/>
      <c r="W103" s="103"/>
      <c r="X103" s="91">
        <f t="shared" ca="1" si="25"/>
        <v>0</v>
      </c>
      <c r="Y103" s="100" t="s">
        <v>43</v>
      </c>
      <c r="Z103" s="100" t="s">
        <v>1539</v>
      </c>
      <c r="AA103" s="105">
        <v>42068</v>
      </c>
      <c r="AB103" s="105"/>
      <c r="AC103" s="103"/>
      <c r="AD103" s="21">
        <f t="shared" ca="1" si="26"/>
        <v>0</v>
      </c>
      <c r="AE103" s="100" t="s">
        <v>43</v>
      </c>
      <c r="AF103" s="105">
        <v>42457</v>
      </c>
      <c r="AG103" s="100" t="s">
        <v>356</v>
      </c>
      <c r="AH103" s="105">
        <v>42466</v>
      </c>
      <c r="AI103" s="105">
        <v>42476</v>
      </c>
      <c r="AJ103" s="102">
        <v>1</v>
      </c>
      <c r="AK103" s="23">
        <f t="shared" ca="1" si="24"/>
        <v>0</v>
      </c>
      <c r="AL103" s="100" t="s">
        <v>42</v>
      </c>
      <c r="AM103" s="100" t="s">
        <v>1412</v>
      </c>
      <c r="AN103" s="105">
        <v>42466</v>
      </c>
      <c r="AO103" s="105">
        <v>42514</v>
      </c>
      <c r="AP103" s="102">
        <v>1</v>
      </c>
      <c r="AQ103" s="162">
        <f t="shared" ca="1" si="27"/>
        <v>0</v>
      </c>
      <c r="AR103" s="162" t="s">
        <v>42</v>
      </c>
      <c r="AS103" s="101">
        <v>132016</v>
      </c>
      <c r="AT103" s="101">
        <v>5</v>
      </c>
      <c r="AU103" s="100" t="s">
        <v>41</v>
      </c>
      <c r="AV103" s="102">
        <v>42559</v>
      </c>
      <c r="AW103" s="103"/>
      <c r="AX103" s="102">
        <v>2016</v>
      </c>
      <c r="AY103" s="103"/>
      <c r="AZ103" s="103"/>
      <c r="BA103" s="103"/>
      <c r="BB103" s="103"/>
      <c r="BC103" s="103"/>
      <c r="BD103" s="100" t="str">
        <f t="shared" si="17"/>
        <v/>
      </c>
      <c r="BE103" s="100" t="str">
        <f t="shared" si="18"/>
        <v/>
      </c>
      <c r="BF103" s="100" t="str">
        <f t="shared" si="19"/>
        <v/>
      </c>
      <c r="BG103" s="100" t="str">
        <f t="shared" si="20"/>
        <v/>
      </c>
      <c r="BH103" s="100" t="str">
        <f t="shared" si="21"/>
        <v/>
      </c>
      <c r="BI103" s="103"/>
    </row>
    <row r="104" spans="1:61" s="207" customFormat="1" ht="45">
      <c r="A104" s="101">
        <v>20141295005</v>
      </c>
      <c r="B104" s="19" t="str">
        <f>VLOOKUP(A104,'ESTADOS ESTUDIANTES'!B:L,2,0)</f>
        <v>MOYA JUTINICO CARLOS JULIO</v>
      </c>
      <c r="C104" s="102">
        <f>VLOOKUP(A104,'ESTADOS ESTUDIANTES'!B:L,11,0)</f>
        <v>80881311</v>
      </c>
      <c r="D104" s="23">
        <f>VLOOKUP(A104,'ESTADOS ESTUDIANTES'!B:L,3,0)</f>
        <v>295</v>
      </c>
      <c r="E104" s="102">
        <f>VLOOKUP(A104,'ESTADOS ESTUDIANTES'!B:L,8,0)</f>
        <v>0</v>
      </c>
      <c r="F104" s="102" t="str">
        <f>VLOOKUP(A104,'ESTADOS ESTUDIANTES'!B:L,9,0)</f>
        <v>ingcarlosmoya@hotmail.com</v>
      </c>
      <c r="G104" s="19" t="str">
        <f>VLOOKUP(A104,'ESTADOS ESTUDIANTES'!B:L,5,0)</f>
        <v>E</v>
      </c>
      <c r="H104" s="100" t="s">
        <v>60</v>
      </c>
      <c r="I104" s="100" t="s">
        <v>1540</v>
      </c>
      <c r="J104" s="108" t="s">
        <v>247</v>
      </c>
      <c r="K104" s="103"/>
      <c r="L104" s="105"/>
      <c r="M104" s="106"/>
      <c r="N104" s="105"/>
      <c r="O104" s="106"/>
      <c r="P104" s="107"/>
      <c r="Q104" s="100" t="s">
        <v>1541</v>
      </c>
      <c r="R104" s="105">
        <v>41982</v>
      </c>
      <c r="S104" s="102">
        <v>2014</v>
      </c>
      <c r="T104" s="100" t="s">
        <v>356</v>
      </c>
      <c r="U104" s="105">
        <v>42027</v>
      </c>
      <c r="V104" s="105">
        <v>42041</v>
      </c>
      <c r="W104" s="102">
        <v>1</v>
      </c>
      <c r="X104" s="91">
        <f t="shared" ca="1" si="25"/>
        <v>0</v>
      </c>
      <c r="Y104" s="100" t="s">
        <v>43</v>
      </c>
      <c r="Z104" s="100" t="s">
        <v>1542</v>
      </c>
      <c r="AA104" s="105">
        <v>42026</v>
      </c>
      <c r="AB104" s="105">
        <v>42144</v>
      </c>
      <c r="AC104" s="102">
        <v>1</v>
      </c>
      <c r="AD104" s="21">
        <f t="shared" ca="1" si="26"/>
        <v>0</v>
      </c>
      <c r="AE104" s="100" t="s">
        <v>43</v>
      </c>
      <c r="AF104" s="105">
        <v>42984</v>
      </c>
      <c r="AG104" s="100" t="s">
        <v>356</v>
      </c>
      <c r="AH104" s="105">
        <v>43000</v>
      </c>
      <c r="AI104" s="105">
        <v>43021</v>
      </c>
      <c r="AJ104" s="102">
        <v>1</v>
      </c>
      <c r="AK104" s="23">
        <f t="shared" ca="1" si="24"/>
        <v>0</v>
      </c>
      <c r="AL104" s="100" t="s">
        <v>1543</v>
      </c>
      <c r="AM104" s="100" t="s">
        <v>1354</v>
      </c>
      <c r="AN104" s="105">
        <v>42998</v>
      </c>
      <c r="AO104" s="105">
        <v>43019</v>
      </c>
      <c r="AP104" s="102">
        <v>1</v>
      </c>
      <c r="AQ104" s="162">
        <f t="shared" ca="1" si="27"/>
        <v>0</v>
      </c>
      <c r="AR104" s="162" t="s">
        <v>42</v>
      </c>
      <c r="AS104" s="100" t="s">
        <v>1544</v>
      </c>
      <c r="AT104" s="101">
        <v>5</v>
      </c>
      <c r="AU104" s="100" t="s">
        <v>55</v>
      </c>
      <c r="AV104" s="113">
        <v>43056</v>
      </c>
      <c r="AW104" s="103"/>
      <c r="AX104" s="103"/>
      <c r="AY104" s="103"/>
      <c r="AZ104" s="103"/>
      <c r="BA104" s="103"/>
      <c r="BB104" s="103"/>
      <c r="BC104" s="103"/>
      <c r="BD104" s="100" t="str">
        <f t="shared" si="17"/>
        <v/>
      </c>
      <c r="BE104" s="100" t="str">
        <f t="shared" si="18"/>
        <v/>
      </c>
      <c r="BF104" s="100" t="str">
        <f t="shared" si="19"/>
        <v/>
      </c>
      <c r="BG104" s="100" t="str">
        <f t="shared" si="20"/>
        <v/>
      </c>
      <c r="BH104" s="100" t="str">
        <f t="shared" si="21"/>
        <v/>
      </c>
      <c r="BI104" s="103"/>
    </row>
    <row r="105" spans="1:61" s="95" customFormat="1">
      <c r="A105" s="101">
        <v>20141295006</v>
      </c>
      <c r="B105" s="19" t="str">
        <f>VLOOKUP(A105,'ESTADOS ESTUDIANTES'!B:L,2,0)</f>
        <v>PEREZ AREVALO JAVIER ALEXANDER</v>
      </c>
      <c r="C105" s="102">
        <f>VLOOKUP(A105,'ESTADOS ESTUDIANTES'!B:L,11,0)</f>
        <v>80248781</v>
      </c>
      <c r="D105" s="23">
        <f>VLOOKUP(A105,'ESTADOS ESTUDIANTES'!B:L,3,0)</f>
        <v>295</v>
      </c>
      <c r="E105" s="102">
        <f>VLOOKUP(A105,'ESTADOS ESTUDIANTES'!B:L,8,0)</f>
        <v>0</v>
      </c>
      <c r="F105" s="102" t="str">
        <f>VLOOKUP(A105,'ESTADOS ESTUDIANTES'!B:L,9,0)</f>
        <v>ing.javier.perez@gmail.com</v>
      </c>
      <c r="G105" s="19" t="str">
        <f>VLOOKUP(A105,'ESTADOS ESTUDIANTES'!B:L,5,0)</f>
        <v>X</v>
      </c>
      <c r="H105" s="100" t="s">
        <v>60</v>
      </c>
      <c r="I105" s="103"/>
      <c r="J105" s="103"/>
      <c r="K105" s="103"/>
      <c r="L105" s="105"/>
      <c r="M105" s="106"/>
      <c r="N105" s="105"/>
      <c r="O105" s="106"/>
      <c r="P105" s="107"/>
      <c r="Q105" s="100"/>
      <c r="R105" s="105"/>
      <c r="S105" s="103"/>
      <c r="T105" s="103"/>
      <c r="U105" s="105"/>
      <c r="V105" s="105"/>
      <c r="W105" s="103"/>
      <c r="X105" s="91">
        <f t="shared" ca="1" si="25"/>
        <v>33055</v>
      </c>
      <c r="Y105" s="99"/>
      <c r="Z105" s="103"/>
      <c r="AA105" s="105"/>
      <c r="AB105" s="105"/>
      <c r="AC105" s="103"/>
      <c r="AD105" s="21">
        <f t="shared" ca="1" si="26"/>
        <v>33055</v>
      </c>
      <c r="AE105" s="99"/>
      <c r="AF105" s="105"/>
      <c r="AG105" s="103"/>
      <c r="AH105" s="105"/>
      <c r="AI105" s="105"/>
      <c r="AJ105" s="103"/>
      <c r="AK105" s="23">
        <f t="shared" ca="1" si="24"/>
        <v>33055</v>
      </c>
      <c r="AL105" s="103"/>
      <c r="AM105" s="103"/>
      <c r="AN105" s="105"/>
      <c r="AO105" s="105"/>
      <c r="AP105" s="103"/>
      <c r="AQ105" s="163">
        <f t="shared" ca="1" si="27"/>
        <v>33055</v>
      </c>
      <c r="AR105" s="163"/>
      <c r="AS105" s="101"/>
      <c r="AT105" s="101"/>
      <c r="AU105" s="103"/>
      <c r="AV105" s="103"/>
      <c r="AW105" s="103"/>
      <c r="AX105" s="103"/>
      <c r="AY105" s="103"/>
      <c r="AZ105" s="103"/>
      <c r="BA105" s="103"/>
      <c r="BB105" s="103"/>
      <c r="BC105" s="103"/>
      <c r="BD105" s="100" t="str">
        <f t="shared" si="17"/>
        <v/>
      </c>
      <c r="BE105" s="100" t="str">
        <f t="shared" si="18"/>
        <v/>
      </c>
      <c r="BF105" s="100" t="str">
        <f t="shared" si="19"/>
        <v/>
      </c>
      <c r="BG105" s="100" t="str">
        <f t="shared" si="20"/>
        <v/>
      </c>
      <c r="BH105" s="100" t="str">
        <f t="shared" si="21"/>
        <v/>
      </c>
      <c r="BI105" s="103"/>
    </row>
    <row r="106" spans="1:61" s="95" customFormat="1" ht="30">
      <c r="A106" s="101">
        <v>20141295007</v>
      </c>
      <c r="B106" s="19" t="str">
        <f>VLOOKUP(A106,'ESTADOS ESTUDIANTES'!B:L,2,0)</f>
        <v>VARGAS BARRIOS PEDRO JULIO</v>
      </c>
      <c r="C106" s="102">
        <f>VLOOKUP(A106,'ESTADOS ESTUDIANTES'!B:L,11,0)</f>
        <v>80192128</v>
      </c>
      <c r="D106" s="23">
        <f>VLOOKUP(A106,'ESTADOS ESTUDIANTES'!B:L,3,0)</f>
        <v>295</v>
      </c>
      <c r="E106" s="102">
        <f>VLOOKUP(A106,'ESTADOS ESTUDIANTES'!B:L,8,0)</f>
        <v>0</v>
      </c>
      <c r="F106" s="102" t="str">
        <f>VLOOKUP(A106,'ESTADOS ESTUDIANTES'!B:L,9,0)</f>
        <v>pedrojvar@gmail.com</v>
      </c>
      <c r="G106" s="19" t="str">
        <f>VLOOKUP(A106,'ESTADOS ESTUDIANTES'!B:L,5,0)</f>
        <v>E</v>
      </c>
      <c r="H106" s="103"/>
      <c r="I106" s="100" t="s">
        <v>1545</v>
      </c>
      <c r="J106" s="104"/>
      <c r="K106" s="103"/>
      <c r="L106" s="105"/>
      <c r="M106" s="106"/>
      <c r="N106" s="105"/>
      <c r="O106" s="106"/>
      <c r="P106" s="107"/>
      <c r="Q106" s="100" t="s">
        <v>1546</v>
      </c>
      <c r="R106" s="105">
        <v>42166</v>
      </c>
      <c r="S106" s="102">
        <v>2015</v>
      </c>
      <c r="T106" s="100" t="s">
        <v>1354</v>
      </c>
      <c r="U106" s="100" t="s">
        <v>1547</v>
      </c>
      <c r="V106" s="100" t="s">
        <v>1548</v>
      </c>
      <c r="W106" s="102">
        <v>2</v>
      </c>
      <c r="X106" s="91">
        <f t="shared" ca="1" si="25"/>
        <v>0</v>
      </c>
      <c r="Y106" s="100" t="s">
        <v>43</v>
      </c>
      <c r="Z106" s="100" t="s">
        <v>1501</v>
      </c>
      <c r="AA106" s="105">
        <v>42241</v>
      </c>
      <c r="AB106" s="105">
        <v>42254</v>
      </c>
      <c r="AC106" s="102">
        <v>1</v>
      </c>
      <c r="AD106" s="21">
        <f t="shared" ca="1" si="26"/>
        <v>0</v>
      </c>
      <c r="AE106" s="100" t="s">
        <v>43</v>
      </c>
      <c r="AF106" s="105">
        <v>43060</v>
      </c>
      <c r="AG106" s="100" t="s">
        <v>1354</v>
      </c>
      <c r="AH106" s="105">
        <v>43066</v>
      </c>
      <c r="AI106" s="105">
        <v>43070</v>
      </c>
      <c r="AJ106" s="102">
        <v>1</v>
      </c>
      <c r="AK106" s="23">
        <f t="shared" ca="1" si="24"/>
        <v>0</v>
      </c>
      <c r="AL106" s="100" t="s">
        <v>42</v>
      </c>
      <c r="AM106" s="100" t="s">
        <v>226</v>
      </c>
      <c r="AN106" s="105">
        <v>43068</v>
      </c>
      <c r="AO106" s="105">
        <v>43075</v>
      </c>
      <c r="AP106" s="102">
        <v>1</v>
      </c>
      <c r="AQ106" s="163">
        <f t="shared" ca="1" si="27"/>
        <v>0</v>
      </c>
      <c r="AR106" s="162" t="s">
        <v>42</v>
      </c>
      <c r="AS106" s="101">
        <v>23</v>
      </c>
      <c r="AT106" s="101">
        <v>5</v>
      </c>
      <c r="AU106" s="100" t="s">
        <v>41</v>
      </c>
      <c r="AV106" s="113">
        <v>43084</v>
      </c>
      <c r="AW106" s="103"/>
      <c r="AX106" s="103"/>
      <c r="AY106" s="103"/>
      <c r="AZ106" s="103"/>
      <c r="BA106" s="103"/>
      <c r="BB106" s="103"/>
      <c r="BC106" s="103"/>
      <c r="BD106" s="100" t="str">
        <f t="shared" si="17"/>
        <v/>
      </c>
      <c r="BE106" s="100" t="str">
        <f t="shared" si="18"/>
        <v/>
      </c>
      <c r="BF106" s="100" t="str">
        <f t="shared" si="19"/>
        <v/>
      </c>
      <c r="BG106" s="100" t="str">
        <f t="shared" si="20"/>
        <v/>
      </c>
      <c r="BH106" s="100" t="str">
        <f t="shared" si="21"/>
        <v/>
      </c>
      <c r="BI106" s="103"/>
    </row>
    <row r="107" spans="1:61" s="95" customFormat="1" ht="30">
      <c r="A107" s="101">
        <v>20141295008</v>
      </c>
      <c r="B107" s="19" t="str">
        <f>VLOOKUP(A107,'ESTADOS ESTUDIANTES'!B:L,2,0)</f>
        <v>MARQUEZ RAMOS HANS RAUL</v>
      </c>
      <c r="C107" s="102">
        <f>VLOOKUP(A107,'ESTADOS ESTUDIANTES'!B:L,11,0)</f>
        <v>1022349988</v>
      </c>
      <c r="D107" s="23">
        <f>VLOOKUP(A107,'ESTADOS ESTUDIANTES'!B:L,3,0)</f>
        <v>295</v>
      </c>
      <c r="E107" s="102">
        <f>VLOOKUP(A107,'ESTADOS ESTUDIANTES'!B:L,8,0)</f>
        <v>0</v>
      </c>
      <c r="F107" s="102" t="str">
        <f>VLOOKUP(A107,'ESTADOS ESTUDIANTES'!B:L,9,0)</f>
        <v>hans.marquez.ramos@gmail.com</v>
      </c>
      <c r="G107" s="19" t="str">
        <f>VLOOKUP(A107,'ESTADOS ESTUDIANTES'!B:L,5,0)</f>
        <v>E</v>
      </c>
      <c r="H107" s="103"/>
      <c r="I107" s="100" t="s">
        <v>1549</v>
      </c>
      <c r="J107" s="108" t="s">
        <v>250</v>
      </c>
      <c r="K107" s="103"/>
      <c r="L107" s="105"/>
      <c r="M107" s="106"/>
      <c r="N107" s="105"/>
      <c r="O107" s="106"/>
      <c r="P107" s="107"/>
      <c r="Q107" s="102">
        <v>24</v>
      </c>
      <c r="R107" s="105">
        <v>2014</v>
      </c>
      <c r="S107" s="102">
        <v>2014</v>
      </c>
      <c r="T107" s="100" t="s">
        <v>341</v>
      </c>
      <c r="U107" s="105">
        <v>42038</v>
      </c>
      <c r="V107" s="105"/>
      <c r="W107" s="103"/>
      <c r="X107" s="91">
        <f t="shared" ca="1" si="25"/>
        <v>0</v>
      </c>
      <c r="Y107" s="100" t="s">
        <v>43</v>
      </c>
      <c r="Z107" s="100" t="s">
        <v>1533</v>
      </c>
      <c r="AA107" s="105">
        <v>42113</v>
      </c>
      <c r="AB107" s="105"/>
      <c r="AC107" s="103"/>
      <c r="AD107" s="21">
        <f t="shared" ca="1" si="26"/>
        <v>0</v>
      </c>
      <c r="AE107" s="100" t="s">
        <v>43</v>
      </c>
      <c r="AF107" s="105"/>
      <c r="AG107" s="100" t="s">
        <v>240</v>
      </c>
      <c r="AH107" s="100" t="s">
        <v>1550</v>
      </c>
      <c r="AI107" s="105"/>
      <c r="AJ107" s="103"/>
      <c r="AK107" s="23">
        <f t="shared" ca="1" si="24"/>
        <v>0</v>
      </c>
      <c r="AL107" s="102">
        <v>42486</v>
      </c>
      <c r="AM107" s="100" t="s">
        <v>1533</v>
      </c>
      <c r="AN107" s="105"/>
      <c r="AO107" s="105"/>
      <c r="AP107" s="103"/>
      <c r="AQ107" s="162" t="e">
        <f t="shared" ca="1" si="27"/>
        <v>#VALUE!</v>
      </c>
      <c r="AR107" s="162" t="s">
        <v>42</v>
      </c>
      <c r="AS107" s="101"/>
      <c r="AT107" s="101">
        <v>5</v>
      </c>
      <c r="AU107" s="100" t="s">
        <v>41</v>
      </c>
      <c r="AV107" s="103"/>
      <c r="AW107" s="103"/>
      <c r="AX107" s="103"/>
      <c r="AY107" s="103"/>
      <c r="AZ107" s="103"/>
      <c r="BA107" s="103"/>
      <c r="BB107" s="103"/>
      <c r="BC107" s="103"/>
      <c r="BD107" s="100" t="str">
        <f t="shared" si="17"/>
        <v/>
      </c>
      <c r="BE107" s="100" t="str">
        <f t="shared" si="18"/>
        <v/>
      </c>
      <c r="BF107" s="100" t="str">
        <f t="shared" si="19"/>
        <v/>
      </c>
      <c r="BG107" s="100" t="str">
        <f t="shared" si="20"/>
        <v/>
      </c>
      <c r="BH107" s="100" t="str">
        <f t="shared" si="21"/>
        <v/>
      </c>
      <c r="BI107" s="103"/>
    </row>
    <row r="108" spans="1:61" s="95" customFormat="1" ht="30">
      <c r="A108" s="101">
        <v>20141395001</v>
      </c>
      <c r="B108" s="19" t="str">
        <f>VLOOKUP(A108,'ESTADOS ESTUDIANTES'!B:L,2,0)</f>
        <v>BLANCO GONZALEZ LUIS STEVENS</v>
      </c>
      <c r="C108" s="102">
        <f>VLOOKUP(A108,'ESTADOS ESTUDIANTES'!B:L,11,0)</f>
        <v>1013611578</v>
      </c>
      <c r="D108" s="23">
        <f>VLOOKUP(A108,'ESTADOS ESTUDIANTES'!B:L,3,0)</f>
        <v>395</v>
      </c>
      <c r="E108" s="102">
        <f>VLOOKUP(A108,'ESTADOS ESTUDIANTES'!B:L,8,0)</f>
        <v>0</v>
      </c>
      <c r="F108" s="102" t="str">
        <f>VLOOKUP(A108,'ESTADOS ESTUDIANTES'!B:L,9,0)</f>
        <v>ing.luisblancogonzalez@gmail.com</v>
      </c>
      <c r="G108" s="19" t="str">
        <f>VLOOKUP(A108,'ESTADOS ESTUDIANTES'!B:L,5,0)</f>
        <v>N</v>
      </c>
      <c r="H108" s="103"/>
      <c r="I108" s="103"/>
      <c r="J108" s="103"/>
      <c r="K108" s="103"/>
      <c r="L108" s="105"/>
      <c r="M108" s="106"/>
      <c r="N108" s="105"/>
      <c r="O108" s="106"/>
      <c r="P108" s="107"/>
      <c r="Q108" s="100"/>
      <c r="R108" s="105"/>
      <c r="S108" s="103"/>
      <c r="T108" s="103"/>
      <c r="U108" s="105"/>
      <c r="V108" s="105"/>
      <c r="W108" s="103"/>
      <c r="X108" s="91">
        <f t="shared" ca="1" si="25"/>
        <v>33055</v>
      </c>
      <c r="Y108" s="99"/>
      <c r="Z108" s="103"/>
      <c r="AA108" s="105"/>
      <c r="AB108" s="105"/>
      <c r="AC108" s="103"/>
      <c r="AD108" s="21">
        <f t="shared" ca="1" si="26"/>
        <v>33055</v>
      </c>
      <c r="AE108" s="99"/>
      <c r="AF108" s="105"/>
      <c r="AG108" s="103"/>
      <c r="AH108" s="105"/>
      <c r="AI108" s="105"/>
      <c r="AJ108" s="100" t="s">
        <v>1551</v>
      </c>
      <c r="AK108" s="23">
        <f t="shared" ca="1" si="24"/>
        <v>33055</v>
      </c>
      <c r="AL108" s="103"/>
      <c r="AM108" s="103"/>
      <c r="AN108" s="105"/>
      <c r="AO108" s="105"/>
      <c r="AP108" s="103"/>
      <c r="AQ108" s="163">
        <f t="shared" ca="1" si="27"/>
        <v>33055</v>
      </c>
      <c r="AR108" s="163"/>
      <c r="AS108" s="101"/>
      <c r="AT108" s="101"/>
      <c r="AU108" s="103"/>
      <c r="AV108" s="103"/>
      <c r="AW108" s="103"/>
      <c r="AX108" s="103"/>
      <c r="AY108" s="103"/>
      <c r="AZ108" s="103"/>
      <c r="BA108" s="103"/>
      <c r="BB108" s="103"/>
      <c r="BC108" s="103"/>
      <c r="BD108" s="100" t="str">
        <f t="shared" si="17"/>
        <v/>
      </c>
      <c r="BE108" s="100" t="str">
        <f t="shared" si="18"/>
        <v/>
      </c>
      <c r="BF108" s="100" t="str">
        <f t="shared" si="19"/>
        <v/>
      </c>
      <c r="BG108" s="100" t="str">
        <f t="shared" si="20"/>
        <v/>
      </c>
      <c r="BH108" s="100" t="str">
        <f t="shared" si="21"/>
        <v/>
      </c>
      <c r="BI108" s="103"/>
    </row>
    <row r="109" spans="1:61" s="95" customFormat="1" ht="30">
      <c r="A109" s="101">
        <v>20141395001</v>
      </c>
      <c r="B109" s="19" t="str">
        <f>VLOOKUP(A109,'ESTADOS ESTUDIANTES'!B:L,2,0)</f>
        <v>BLANCO GONZALEZ LUIS STEVENS</v>
      </c>
      <c r="C109" s="102">
        <f>VLOOKUP(A109,'ESTADOS ESTUDIANTES'!B:L,11,0)</f>
        <v>1013611578</v>
      </c>
      <c r="D109" s="23">
        <f>VLOOKUP(A109,'ESTADOS ESTUDIANTES'!B:L,3,0)</f>
        <v>395</v>
      </c>
      <c r="E109" s="102">
        <f>VLOOKUP(A109,'ESTADOS ESTUDIANTES'!B:L,8,0)</f>
        <v>0</v>
      </c>
      <c r="F109" s="102" t="str">
        <f>VLOOKUP(A109,'ESTADOS ESTUDIANTES'!B:L,9,0)</f>
        <v>ing.luisblancogonzalez@gmail.com</v>
      </c>
      <c r="G109" s="19" t="str">
        <f>VLOOKUP(A109,'ESTADOS ESTUDIANTES'!B:L,5,0)</f>
        <v>N</v>
      </c>
      <c r="H109" s="103"/>
      <c r="I109" s="103"/>
      <c r="J109" s="103"/>
      <c r="K109" s="103"/>
      <c r="L109" s="105"/>
      <c r="M109" s="106"/>
      <c r="N109" s="105"/>
      <c r="O109" s="106"/>
      <c r="P109" s="107"/>
      <c r="Q109" s="100"/>
      <c r="R109" s="105"/>
      <c r="S109" s="103"/>
      <c r="T109" s="103"/>
      <c r="U109" s="105"/>
      <c r="V109" s="105"/>
      <c r="W109" s="103"/>
      <c r="X109" s="91">
        <f t="shared" ca="1" si="25"/>
        <v>33055</v>
      </c>
      <c r="Y109" s="99"/>
      <c r="Z109" s="103"/>
      <c r="AA109" s="105"/>
      <c r="AB109" s="105"/>
      <c r="AC109" s="103"/>
      <c r="AD109" s="21">
        <f t="shared" ca="1" si="26"/>
        <v>33055</v>
      </c>
      <c r="AE109" s="99"/>
      <c r="AF109" s="105"/>
      <c r="AG109" s="103"/>
      <c r="AH109" s="105"/>
      <c r="AI109" s="105"/>
      <c r="AJ109" s="100" t="s">
        <v>1551</v>
      </c>
      <c r="AK109" s="23">
        <f t="shared" ca="1" si="24"/>
        <v>33055</v>
      </c>
      <c r="AL109" s="103"/>
      <c r="AM109" s="103"/>
      <c r="AN109" s="105"/>
      <c r="AO109" s="105"/>
      <c r="AP109" s="103"/>
      <c r="AQ109" s="163">
        <f t="shared" ca="1" si="27"/>
        <v>33055</v>
      </c>
      <c r="AR109" s="163"/>
      <c r="AS109" s="101"/>
      <c r="AT109" s="101"/>
      <c r="AU109" s="103"/>
      <c r="AV109" s="103"/>
      <c r="AW109" s="103"/>
      <c r="AX109" s="103"/>
      <c r="AY109" s="103"/>
      <c r="AZ109" s="103"/>
      <c r="BA109" s="103"/>
      <c r="BB109" s="103"/>
      <c r="BC109" s="103"/>
      <c r="BD109" s="100" t="str">
        <f t="shared" si="17"/>
        <v/>
      </c>
      <c r="BE109" s="100" t="str">
        <f t="shared" si="18"/>
        <v/>
      </c>
      <c r="BF109" s="100" t="str">
        <f t="shared" si="19"/>
        <v/>
      </c>
      <c r="BG109" s="100" t="str">
        <f t="shared" si="20"/>
        <v/>
      </c>
      <c r="BH109" s="100" t="str">
        <f t="shared" si="21"/>
        <v/>
      </c>
      <c r="BI109" s="103"/>
    </row>
    <row r="110" spans="1:61" s="95" customFormat="1" ht="45">
      <c r="A110" s="101">
        <v>20141395003</v>
      </c>
      <c r="B110" s="19" t="str">
        <f>VLOOKUP(A110,'ESTADOS ESTUDIANTES'!B:L,2,0)</f>
        <v>MATIZ LEON JHON CAMILO</v>
      </c>
      <c r="C110" s="102">
        <f>VLOOKUP(A110,'ESTADOS ESTUDIANTES'!B:L,11,0)</f>
        <v>80075955</v>
      </c>
      <c r="D110" s="23">
        <f>VLOOKUP(A110,'ESTADOS ESTUDIANTES'!B:L,3,0)</f>
        <v>395</v>
      </c>
      <c r="E110" s="102">
        <f>VLOOKUP(A110,'ESTADOS ESTUDIANTES'!B:L,8,0)</f>
        <v>0</v>
      </c>
      <c r="F110" s="102" t="str">
        <f>VLOOKUP(A110,'ESTADOS ESTUDIANTES'!B:L,9,0)</f>
        <v>ing.camilo.matiz@gmail.com</v>
      </c>
      <c r="G110" s="19" t="str">
        <f>VLOOKUP(A110,'ESTADOS ESTUDIANTES'!B:L,5,0)</f>
        <v>E</v>
      </c>
      <c r="H110" s="100" t="s">
        <v>46</v>
      </c>
      <c r="I110" s="100" t="s">
        <v>1552</v>
      </c>
      <c r="J110" s="108" t="s">
        <v>1461</v>
      </c>
      <c r="K110" s="103"/>
      <c r="L110" s="105"/>
      <c r="M110" s="106"/>
      <c r="N110" s="105"/>
      <c r="O110" s="106"/>
      <c r="P110" s="107"/>
      <c r="Q110" s="100" t="s">
        <v>1553</v>
      </c>
      <c r="R110" s="105">
        <v>41982</v>
      </c>
      <c r="S110" s="102">
        <v>2014</v>
      </c>
      <c r="T110" s="100" t="s">
        <v>1497</v>
      </c>
      <c r="U110" s="105">
        <v>42034</v>
      </c>
      <c r="V110" s="105">
        <v>42048</v>
      </c>
      <c r="W110" s="102">
        <v>1</v>
      </c>
      <c r="X110" s="91">
        <f t="shared" ca="1" si="25"/>
        <v>0</v>
      </c>
      <c r="Y110" s="122" t="s">
        <v>43</v>
      </c>
      <c r="Z110" s="100" t="s">
        <v>1554</v>
      </c>
      <c r="AA110" s="100" t="s">
        <v>1555</v>
      </c>
      <c r="AB110" s="100" t="s">
        <v>1556</v>
      </c>
      <c r="AC110" s="102">
        <v>2</v>
      </c>
      <c r="AD110" s="21">
        <f t="shared" ca="1" si="26"/>
        <v>0</v>
      </c>
      <c r="AE110" s="122" t="s">
        <v>43</v>
      </c>
      <c r="AF110" s="105">
        <v>43007</v>
      </c>
      <c r="AG110" s="100" t="s">
        <v>1497</v>
      </c>
      <c r="AH110" s="100" t="s">
        <v>1557</v>
      </c>
      <c r="AI110" s="100" t="s">
        <v>1558</v>
      </c>
      <c r="AJ110" s="102">
        <v>2</v>
      </c>
      <c r="AK110" s="23">
        <f t="shared" ca="1" si="24"/>
        <v>0</v>
      </c>
      <c r="AL110" s="100" t="s">
        <v>42</v>
      </c>
      <c r="AM110" s="100" t="s">
        <v>253</v>
      </c>
      <c r="AN110" s="105">
        <v>43019</v>
      </c>
      <c r="AO110" s="105">
        <v>43060</v>
      </c>
      <c r="AP110" s="102">
        <v>1</v>
      </c>
      <c r="AQ110" s="162">
        <f t="shared" ca="1" si="27"/>
        <v>0</v>
      </c>
      <c r="AR110" s="162" t="s">
        <v>42</v>
      </c>
      <c r="AS110" s="101"/>
      <c r="AT110" s="101"/>
      <c r="AU110" s="103"/>
      <c r="AV110" s="103"/>
      <c r="AW110" s="103"/>
      <c r="AX110" s="103"/>
      <c r="AY110" s="103"/>
      <c r="AZ110" s="103"/>
      <c r="BA110" s="103"/>
      <c r="BB110" s="103"/>
      <c r="BC110" s="103"/>
      <c r="BD110" s="100" t="str">
        <f t="shared" si="17"/>
        <v/>
      </c>
      <c r="BE110" s="100" t="str">
        <f t="shared" si="18"/>
        <v/>
      </c>
      <c r="BF110" s="100" t="str">
        <f t="shared" si="19"/>
        <v/>
      </c>
      <c r="BG110" s="100" t="str">
        <f t="shared" si="20"/>
        <v/>
      </c>
      <c r="BH110" s="100" t="str">
        <f t="shared" si="21"/>
        <v/>
      </c>
      <c r="BI110" s="103"/>
    </row>
    <row r="111" spans="1:61" s="95" customFormat="1" ht="30">
      <c r="A111" s="101">
        <v>20141395004</v>
      </c>
      <c r="B111" s="19" t="str">
        <f>VLOOKUP(A111,'ESTADOS ESTUDIANTES'!B:L,2,0)</f>
        <v>MORENO CASTILLO DIEGO ALEXANDER</v>
      </c>
      <c r="C111" s="102">
        <f>VLOOKUP(A111,'ESTADOS ESTUDIANTES'!B:L,11,0)</f>
        <v>80830221</v>
      </c>
      <c r="D111" s="23">
        <f>VLOOKUP(A111,'ESTADOS ESTUDIANTES'!B:L,3,0)</f>
        <v>395</v>
      </c>
      <c r="E111" s="102">
        <f>VLOOKUP(A111,'ESTADOS ESTUDIANTES'!B:L,8,0)</f>
        <v>0</v>
      </c>
      <c r="F111" s="102" t="str">
        <f>VLOOKUP(A111,'ESTADOS ESTUDIANTES'!B:L,9,0)</f>
        <v>ingdiegoalex@hotmail.com</v>
      </c>
      <c r="G111" s="19" t="str">
        <f>VLOOKUP(A111,'ESTADOS ESTUDIANTES'!B:L,5,0)</f>
        <v>X</v>
      </c>
      <c r="H111" s="103"/>
      <c r="I111" s="103"/>
      <c r="J111" s="100" t="s">
        <v>292</v>
      </c>
      <c r="K111" s="103"/>
      <c r="L111" s="105"/>
      <c r="M111" s="106"/>
      <c r="N111" s="105"/>
      <c r="O111" s="106"/>
      <c r="P111" s="107"/>
      <c r="Q111" s="100"/>
      <c r="R111" s="105"/>
      <c r="S111" s="103"/>
      <c r="T111" s="103"/>
      <c r="U111" s="105"/>
      <c r="V111" s="105"/>
      <c r="W111" s="103"/>
      <c r="X111" s="91">
        <f t="shared" ca="1" si="25"/>
        <v>33055</v>
      </c>
      <c r="Y111" s="99"/>
      <c r="Z111" s="103"/>
      <c r="AA111" s="105"/>
      <c r="AB111" s="105"/>
      <c r="AC111" s="103"/>
      <c r="AD111" s="21">
        <f t="shared" ca="1" si="26"/>
        <v>33055</v>
      </c>
      <c r="AE111" s="99"/>
      <c r="AF111" s="105"/>
      <c r="AG111" s="103"/>
      <c r="AH111" s="105"/>
      <c r="AI111" s="105"/>
      <c r="AJ111" s="103"/>
      <c r="AK111" s="23">
        <f t="shared" ca="1" si="24"/>
        <v>33055</v>
      </c>
      <c r="AL111" s="103"/>
      <c r="AM111" s="103"/>
      <c r="AN111" s="105"/>
      <c r="AO111" s="105"/>
      <c r="AP111" s="103"/>
      <c r="AQ111" s="163">
        <f t="shared" ca="1" si="27"/>
        <v>33055</v>
      </c>
      <c r="AR111" s="163"/>
      <c r="AS111" s="101"/>
      <c r="AT111" s="101"/>
      <c r="AU111" s="103"/>
      <c r="AV111" s="103"/>
      <c r="AW111" s="103"/>
      <c r="AX111" s="103"/>
      <c r="AY111" s="103"/>
      <c r="AZ111" s="103"/>
      <c r="BA111" s="103"/>
      <c r="BB111" s="103"/>
      <c r="BC111" s="103"/>
      <c r="BD111" s="100" t="str">
        <f t="shared" si="17"/>
        <v/>
      </c>
      <c r="BE111" s="100" t="str">
        <f t="shared" si="18"/>
        <v/>
      </c>
      <c r="BF111" s="100" t="str">
        <f t="shared" si="19"/>
        <v/>
      </c>
      <c r="BG111" s="100" t="str">
        <f t="shared" si="20"/>
        <v/>
      </c>
      <c r="BH111" s="100" t="str">
        <f t="shared" si="21"/>
        <v/>
      </c>
      <c r="BI111" s="103"/>
    </row>
    <row r="112" spans="1:61" s="95" customFormat="1" ht="75">
      <c r="A112" s="101">
        <v>20142195002</v>
      </c>
      <c r="B112" s="19" t="str">
        <f>VLOOKUP(A112,'ESTADOS ESTUDIANTES'!B:L,2,0)</f>
        <v>WILMER ALBERTO FIGUEREDO RODRIGUEZ</v>
      </c>
      <c r="C112" s="102">
        <f>VLOOKUP(A112,'ESTADOS ESTUDIANTES'!B:L,11,0)</f>
        <v>1010175883</v>
      </c>
      <c r="D112" s="23">
        <f>VLOOKUP(A112,'ESTADOS ESTUDIANTES'!B:L,3,0)</f>
        <v>195</v>
      </c>
      <c r="E112" s="102" t="str">
        <f>VLOOKUP(A112,'ESTADOS ESTUDIANTES'!B:L,8,0)</f>
        <v>wilmerfr@gmail.com</v>
      </c>
      <c r="F112" s="102" t="str">
        <f>VLOOKUP(A112,'ESTADOS ESTUDIANTES'!B:L,9,0)</f>
        <v>wilmerfr@gmail.com</v>
      </c>
      <c r="G112" s="19" t="str">
        <f>VLOOKUP(A112,'ESTADOS ESTUDIANTES'!B:L,5,0)</f>
        <v>E</v>
      </c>
      <c r="H112" s="100" t="s">
        <v>60</v>
      </c>
      <c r="I112" s="100" t="s">
        <v>1559</v>
      </c>
      <c r="J112" s="104"/>
      <c r="K112" s="103"/>
      <c r="L112" s="105"/>
      <c r="M112" s="106"/>
      <c r="N112" s="105">
        <v>43964</v>
      </c>
      <c r="O112" s="106">
        <v>79.13</v>
      </c>
      <c r="P112" s="112" t="s">
        <v>79</v>
      </c>
      <c r="Q112" s="100" t="s">
        <v>1546</v>
      </c>
      <c r="R112" s="105">
        <v>42165</v>
      </c>
      <c r="S112" s="102">
        <v>2015</v>
      </c>
      <c r="T112" s="100" t="s">
        <v>1560</v>
      </c>
      <c r="U112" s="105">
        <v>42292</v>
      </c>
      <c r="V112" s="100" t="s">
        <v>1561</v>
      </c>
      <c r="W112" s="102">
        <v>1</v>
      </c>
      <c r="X112" s="91">
        <f t="shared" ca="1" si="25"/>
        <v>0</v>
      </c>
      <c r="Y112" s="122" t="s">
        <v>43</v>
      </c>
      <c r="Z112" s="100" t="s">
        <v>1479</v>
      </c>
      <c r="AA112" s="105">
        <v>42214</v>
      </c>
      <c r="AB112" s="105">
        <v>42310</v>
      </c>
      <c r="AC112" s="102">
        <v>1</v>
      </c>
      <c r="AD112" s="21">
        <f t="shared" ca="1" si="26"/>
        <v>0</v>
      </c>
      <c r="AE112" s="122" t="s">
        <v>43</v>
      </c>
      <c r="AF112" s="100" t="s">
        <v>1562</v>
      </c>
      <c r="AG112" s="100" t="s">
        <v>1479</v>
      </c>
      <c r="AH112" s="105">
        <v>43710</v>
      </c>
      <c r="AI112" s="105"/>
      <c r="AJ112" s="103"/>
      <c r="AK112" s="23">
        <f t="shared" ca="1" si="24"/>
        <v>0</v>
      </c>
      <c r="AL112" s="100" t="s">
        <v>42</v>
      </c>
      <c r="AM112" s="100" t="s">
        <v>1563</v>
      </c>
      <c r="AN112" s="105">
        <v>43713</v>
      </c>
      <c r="AO112" s="105">
        <v>43747</v>
      </c>
      <c r="AP112" s="102">
        <v>1</v>
      </c>
      <c r="AQ112" s="165">
        <f t="shared" ca="1" si="27"/>
        <v>0</v>
      </c>
      <c r="AR112" s="162" t="s">
        <v>42</v>
      </c>
      <c r="AS112" s="115">
        <v>43831</v>
      </c>
      <c r="AT112" s="116">
        <v>44746</v>
      </c>
      <c r="AU112" s="100" t="s">
        <v>41</v>
      </c>
      <c r="AV112" s="117">
        <v>43889</v>
      </c>
      <c r="AW112" s="103"/>
      <c r="AX112" s="103"/>
      <c r="AY112" s="100" t="s">
        <v>1564</v>
      </c>
      <c r="AZ112" s="113">
        <v>44127</v>
      </c>
      <c r="BA112" s="113"/>
      <c r="BB112" s="100" t="s">
        <v>1565</v>
      </c>
      <c r="BC112" s="100" t="s">
        <v>240</v>
      </c>
      <c r="BD112" s="100" t="str">
        <f t="shared" si="17"/>
        <v/>
      </c>
      <c r="BE112" s="100" t="str">
        <f t="shared" si="18"/>
        <v/>
      </c>
      <c r="BF112" s="100" t="str">
        <f t="shared" si="19"/>
        <v/>
      </c>
      <c r="BG112" s="100" t="str">
        <f t="shared" si="20"/>
        <v/>
      </c>
      <c r="BH112" s="100" t="str">
        <f t="shared" si="21"/>
        <v/>
      </c>
      <c r="BI112" s="103"/>
    </row>
    <row r="113" spans="1:61" s="95" customFormat="1" ht="30">
      <c r="A113" s="101">
        <v>20142195003</v>
      </c>
      <c r="B113" s="19" t="str">
        <f>VLOOKUP(A113,'ESTADOS ESTUDIANTES'!B:L,2,0)</f>
        <v>HECTOR MANUEL HERRERA HERRERA</v>
      </c>
      <c r="C113" s="102">
        <f>VLOOKUP(A113,'ESTADOS ESTUDIANTES'!B:L,11,0)</f>
        <v>1033691855</v>
      </c>
      <c r="D113" s="23">
        <f>VLOOKUP(A113,'ESTADOS ESTUDIANTES'!B:L,3,0)</f>
        <v>195</v>
      </c>
      <c r="E113" s="102">
        <f>VLOOKUP(A113,'ESTADOS ESTUDIANTES'!B:L,8,0)</f>
        <v>0</v>
      </c>
      <c r="F113" s="102" t="str">
        <f>VLOOKUP(A113,'ESTADOS ESTUDIANTES'!B:L,9,0)</f>
        <v>hetorherrera@hotmail.com</v>
      </c>
      <c r="G113" s="19" t="str">
        <f>VLOOKUP(A113,'ESTADOS ESTUDIANTES'!B:L,5,0)</f>
        <v>E</v>
      </c>
      <c r="H113" s="103"/>
      <c r="I113" s="100" t="s">
        <v>1566</v>
      </c>
      <c r="J113" s="108" t="s">
        <v>255</v>
      </c>
      <c r="K113" s="103"/>
      <c r="L113" s="105"/>
      <c r="M113" s="106"/>
      <c r="N113" s="105"/>
      <c r="O113" s="106"/>
      <c r="P113" s="107"/>
      <c r="Q113" s="100" t="s">
        <v>1489</v>
      </c>
      <c r="R113" s="105">
        <v>42349</v>
      </c>
      <c r="S113" s="102">
        <f>YEAR(R113)</f>
        <v>2015</v>
      </c>
      <c r="T113" s="100" t="s">
        <v>1521</v>
      </c>
      <c r="U113" s="105">
        <v>42394</v>
      </c>
      <c r="V113" s="105">
        <v>42429</v>
      </c>
      <c r="W113" s="102">
        <v>1</v>
      </c>
      <c r="X113" s="91">
        <f t="shared" ca="1" si="25"/>
        <v>0</v>
      </c>
      <c r="Y113" s="100" t="s">
        <v>43</v>
      </c>
      <c r="Z113" s="100" t="s">
        <v>1567</v>
      </c>
      <c r="AA113" s="105">
        <v>42384</v>
      </c>
      <c r="AB113" s="105">
        <v>42385</v>
      </c>
      <c r="AC113" s="102">
        <v>1</v>
      </c>
      <c r="AD113" s="21">
        <f t="shared" ca="1" si="26"/>
        <v>0</v>
      </c>
      <c r="AE113" s="100" t="s">
        <v>43</v>
      </c>
      <c r="AF113" s="105"/>
      <c r="AG113" s="100" t="s">
        <v>1568</v>
      </c>
      <c r="AH113" s="105"/>
      <c r="AI113" s="105">
        <v>43437</v>
      </c>
      <c r="AJ113" s="103"/>
      <c r="AK113" s="23">
        <f ca="1">IF(AL113="",NETWORKDAYS.INTL(AH113,TODAY(),1),0)</f>
        <v>0</v>
      </c>
      <c r="AL113" s="100" t="s">
        <v>42</v>
      </c>
      <c r="AM113" s="100" t="s">
        <v>1567</v>
      </c>
      <c r="AN113" s="105"/>
      <c r="AO113" s="105"/>
      <c r="AP113" s="103"/>
      <c r="AQ113" s="162" t="e">
        <f t="shared" ca="1" si="27"/>
        <v>#VALUE!</v>
      </c>
      <c r="AR113" s="162" t="s">
        <v>42</v>
      </c>
      <c r="AS113" s="101"/>
      <c r="AT113" s="101"/>
      <c r="AU113" s="103"/>
      <c r="AV113" s="103"/>
      <c r="AW113" s="103"/>
      <c r="AX113" s="103"/>
      <c r="AY113" s="103"/>
      <c r="AZ113" s="103"/>
      <c r="BA113" s="103"/>
      <c r="BB113" s="103"/>
      <c r="BC113" s="103"/>
      <c r="BD113" s="100" t="str">
        <f t="shared" si="17"/>
        <v/>
      </c>
      <c r="BE113" s="100" t="str">
        <f t="shared" si="18"/>
        <v/>
      </c>
      <c r="BF113" s="100" t="str">
        <f t="shared" si="19"/>
        <v/>
      </c>
      <c r="BG113" s="100" t="str">
        <f t="shared" si="20"/>
        <v/>
      </c>
      <c r="BH113" s="100" t="str">
        <f t="shared" si="21"/>
        <v/>
      </c>
      <c r="BI113" s="103"/>
    </row>
    <row r="114" spans="1:61" s="95" customFormat="1" ht="105">
      <c r="A114" s="101">
        <v>20142195004</v>
      </c>
      <c r="B114" s="19" t="str">
        <f>VLOOKUP(A114,'ESTADOS ESTUDIANTES'!B:L,2,0)</f>
        <v>NESTOR JAVIER RODRIGUEZ GARCIA</v>
      </c>
      <c r="C114" s="102">
        <f>VLOOKUP(A114,'ESTADOS ESTUDIANTES'!B:L,11,0)</f>
        <v>80932160</v>
      </c>
      <c r="D114" s="23">
        <f>VLOOKUP(A114,'ESTADOS ESTUDIANTES'!B:L,3,0)</f>
        <v>195</v>
      </c>
      <c r="E114" s="102" t="str">
        <f>VLOOKUP(A114,'ESTADOS ESTUDIANTES'!B:L,8,0)</f>
        <v>nejrodriguezg@correo.udistrital.edu.co</v>
      </c>
      <c r="F114" s="102" t="str">
        <f>VLOOKUP(A114,'ESTADOS ESTUDIANTES'!B:L,9,0)</f>
        <v>ing.nestor0818@gmail.com</v>
      </c>
      <c r="G114" s="19" t="str">
        <f>VLOOKUP(A114,'ESTADOS ESTUDIANTES'!B:L,5,0)</f>
        <v>E</v>
      </c>
      <c r="H114" s="103"/>
      <c r="I114" s="100" t="s">
        <v>1569</v>
      </c>
      <c r="J114" s="108" t="s">
        <v>225</v>
      </c>
      <c r="K114" s="103"/>
      <c r="L114" s="105"/>
      <c r="M114" s="106"/>
      <c r="N114" s="105"/>
      <c r="O114" s="106"/>
      <c r="P114" s="107"/>
      <c r="Q114" s="100" t="s">
        <v>1570</v>
      </c>
      <c r="R114" s="105">
        <v>42678</v>
      </c>
      <c r="S114" s="102">
        <f>YEAR(R114)</f>
        <v>2016</v>
      </c>
      <c r="T114" s="100" t="s">
        <v>1258</v>
      </c>
      <c r="U114" s="100" t="s">
        <v>1571</v>
      </c>
      <c r="V114" s="100" t="s">
        <v>1572</v>
      </c>
      <c r="W114" s="102">
        <v>2</v>
      </c>
      <c r="X114" s="91">
        <f t="shared" ca="1" si="25"/>
        <v>0</v>
      </c>
      <c r="Y114" s="100" t="s">
        <v>43</v>
      </c>
      <c r="Z114" s="100" t="s">
        <v>1573</v>
      </c>
      <c r="AA114" s="100" t="s">
        <v>1574</v>
      </c>
      <c r="AB114" s="100" t="s">
        <v>1575</v>
      </c>
      <c r="AC114" s="102">
        <v>2</v>
      </c>
      <c r="AD114" s="21">
        <f t="shared" ca="1" si="26"/>
        <v>0</v>
      </c>
      <c r="AE114" s="100" t="s">
        <v>43</v>
      </c>
      <c r="AF114" s="105">
        <v>43608</v>
      </c>
      <c r="AG114" s="100" t="s">
        <v>1258</v>
      </c>
      <c r="AH114" s="105">
        <v>43626</v>
      </c>
      <c r="AI114" s="105">
        <v>43705</v>
      </c>
      <c r="AJ114" s="103"/>
      <c r="AK114" s="23">
        <f t="shared" ref="AK114:AK119" ca="1" si="28">IF(AH114="",NETWORKDAYS.INTL(AL114,TODAY(),1),0)</f>
        <v>0</v>
      </c>
      <c r="AL114" s="100" t="s">
        <v>1576</v>
      </c>
      <c r="AM114" s="100" t="s">
        <v>1577</v>
      </c>
      <c r="AN114" s="105">
        <v>43627</v>
      </c>
      <c r="AO114" s="105">
        <v>43636</v>
      </c>
      <c r="AP114" s="103"/>
      <c r="AQ114" s="162">
        <f t="shared" ca="1" si="27"/>
        <v>0</v>
      </c>
      <c r="AR114" s="162" t="s">
        <v>42</v>
      </c>
      <c r="AS114" s="101"/>
      <c r="AT114" s="101"/>
      <c r="AU114" s="103"/>
      <c r="AV114" s="103"/>
      <c r="AW114" s="103"/>
      <c r="AX114" s="103"/>
      <c r="AY114" s="103"/>
      <c r="AZ114" s="103"/>
      <c r="BA114" s="103"/>
      <c r="BB114" s="103"/>
      <c r="BC114" s="103"/>
      <c r="BD114" s="100" t="str">
        <f t="shared" si="17"/>
        <v/>
      </c>
      <c r="BE114" s="100" t="str">
        <f t="shared" si="18"/>
        <v/>
      </c>
      <c r="BF114" s="100" t="str">
        <f t="shared" si="19"/>
        <v/>
      </c>
      <c r="BG114" s="100" t="str">
        <f t="shared" si="20"/>
        <v/>
      </c>
      <c r="BH114" s="100" t="str">
        <f t="shared" si="21"/>
        <v/>
      </c>
      <c r="BI114" s="103"/>
    </row>
    <row r="115" spans="1:61" s="95" customFormat="1">
      <c r="A115" s="101">
        <v>20142295001</v>
      </c>
      <c r="B115" s="19" t="str">
        <f>VLOOKUP(A115,'ESTADOS ESTUDIANTES'!B:L,2,0)</f>
        <v>DANIEL CAMILO GUARIN MUÑOZ</v>
      </c>
      <c r="C115" s="102">
        <f>VLOOKUP(A115,'ESTADOS ESTUDIANTES'!B:L,11,0)</f>
        <v>80777676</v>
      </c>
      <c r="D115" s="23">
        <f>VLOOKUP(A115,'ESTADOS ESTUDIANTES'!B:L,3,0)</f>
        <v>295</v>
      </c>
      <c r="E115" s="102">
        <f>VLOOKUP(A115,'ESTADOS ESTUDIANTES'!B:L,8,0)</f>
        <v>0</v>
      </c>
      <c r="F115" s="102" t="str">
        <f>VLOOKUP(A115,'ESTADOS ESTUDIANTES'!B:L,9,0)</f>
        <v>dguarin@gmail.com</v>
      </c>
      <c r="G115" s="19" t="str">
        <f>VLOOKUP(A115,'ESTADOS ESTUDIANTES'!B:L,5,0)</f>
        <v>N</v>
      </c>
      <c r="H115" s="103"/>
      <c r="I115" s="103"/>
      <c r="J115" s="103"/>
      <c r="K115" s="103"/>
      <c r="L115" s="105"/>
      <c r="M115" s="106"/>
      <c r="N115" s="105"/>
      <c r="O115" s="106"/>
      <c r="P115" s="107"/>
      <c r="Q115" s="100"/>
      <c r="R115" s="105"/>
      <c r="S115" s="103"/>
      <c r="T115" s="103"/>
      <c r="U115" s="105"/>
      <c r="V115" s="105"/>
      <c r="W115" s="103"/>
      <c r="X115" s="91">
        <f t="shared" ca="1" si="25"/>
        <v>33055</v>
      </c>
      <c r="Y115" s="99"/>
      <c r="Z115" s="103"/>
      <c r="AA115" s="105"/>
      <c r="AB115" s="105"/>
      <c r="AC115" s="103"/>
      <c r="AD115" s="21">
        <f t="shared" ca="1" si="26"/>
        <v>33055</v>
      </c>
      <c r="AE115" s="99"/>
      <c r="AF115" s="105"/>
      <c r="AG115" s="103"/>
      <c r="AH115" s="105"/>
      <c r="AI115" s="105"/>
      <c r="AJ115" s="103"/>
      <c r="AK115" s="23">
        <f t="shared" ca="1" si="28"/>
        <v>33055</v>
      </c>
      <c r="AL115" s="103"/>
      <c r="AM115" s="103"/>
      <c r="AN115" s="105"/>
      <c r="AO115" s="105"/>
      <c r="AP115" s="103"/>
      <c r="AQ115" s="163">
        <f t="shared" ca="1" si="27"/>
        <v>33055</v>
      </c>
      <c r="AR115" s="163"/>
      <c r="AS115" s="101"/>
      <c r="AT115" s="101"/>
      <c r="AU115" s="103"/>
      <c r="AV115" s="103"/>
      <c r="AW115" s="103"/>
      <c r="AX115" s="103"/>
      <c r="AY115" s="103"/>
      <c r="AZ115" s="103"/>
      <c r="BA115" s="103"/>
      <c r="BB115" s="103"/>
      <c r="BC115" s="103"/>
      <c r="BD115" s="100" t="str">
        <f t="shared" si="17"/>
        <v/>
      </c>
      <c r="BE115" s="100" t="str">
        <f t="shared" si="18"/>
        <v/>
      </c>
      <c r="BF115" s="100" t="str">
        <f t="shared" si="19"/>
        <v/>
      </c>
      <c r="BG115" s="100" t="str">
        <f t="shared" si="20"/>
        <v/>
      </c>
      <c r="BH115" s="100" t="str">
        <f t="shared" si="21"/>
        <v/>
      </c>
      <c r="BI115" s="103"/>
    </row>
    <row r="116" spans="1:61" s="95" customFormat="1" ht="90">
      <c r="A116" s="118">
        <v>20142395001</v>
      </c>
      <c r="B116" s="19" t="str">
        <f>VLOOKUP(A116,'ESTADOS ESTUDIANTES'!B:L,2,0)</f>
        <v>AURA CAROLINA ARIAS ZAMORA</v>
      </c>
      <c r="C116" s="19">
        <f>VLOOKUP(A116,'ESTADOS ESTUDIANTES'!B:L,11,0)</f>
        <v>52233650</v>
      </c>
      <c r="D116" s="23">
        <f>VLOOKUP(A116,'ESTADOS ESTUDIANTES'!B:L,3,0)</f>
        <v>395</v>
      </c>
      <c r="E116" s="19">
        <f>VLOOKUP(A116,'ESTADOS ESTUDIANTES'!B:L,8,0)</f>
        <v>0</v>
      </c>
      <c r="F116" s="19" t="str">
        <f>VLOOKUP(A116,'ESTADOS ESTUDIANTES'!B:L,9,0)</f>
        <v>acariasz@hotmail.com</v>
      </c>
      <c r="G116" s="19" t="str">
        <f>VLOOKUP(A116,'ESTADOS ESTUDIANTES'!B:L,5,0)</f>
        <v>X</v>
      </c>
      <c r="H116" s="18" t="s">
        <v>46</v>
      </c>
      <c r="I116" s="18" t="s">
        <v>1578</v>
      </c>
      <c r="J116" s="18" t="s">
        <v>270</v>
      </c>
      <c r="K116" s="23"/>
      <c r="L116" s="96"/>
      <c r="M116" s="97"/>
      <c r="N116" s="96"/>
      <c r="O116" s="97"/>
      <c r="P116" s="110"/>
      <c r="Q116" s="19">
        <v>43739</v>
      </c>
      <c r="R116" s="96">
        <v>43654</v>
      </c>
      <c r="S116" s="19">
        <f>YEAR(R116)</f>
        <v>2019</v>
      </c>
      <c r="T116" s="18" t="s">
        <v>271</v>
      </c>
      <c r="U116" s="96">
        <v>43690</v>
      </c>
      <c r="V116" s="96">
        <v>43693</v>
      </c>
      <c r="W116" s="23"/>
      <c r="X116" s="91">
        <f ca="1">IF(U116="",NETWORKDAYS.INTL(Y116,TODAY(),1),0)</f>
        <v>0</v>
      </c>
      <c r="Y116" s="114" t="s">
        <v>43</v>
      </c>
      <c r="Z116" s="18" t="s">
        <v>1429</v>
      </c>
      <c r="AA116" s="96">
        <v>43676</v>
      </c>
      <c r="AB116" s="96">
        <v>43745</v>
      </c>
      <c r="AC116" s="19">
        <v>1</v>
      </c>
      <c r="AD116" s="21">
        <f ca="1">IF(AA116="",NETWORKDAYS.INTL(AE116,TODAY(),1),0)</f>
        <v>0</v>
      </c>
      <c r="AE116" s="114" t="s">
        <v>56</v>
      </c>
      <c r="AF116" s="96"/>
      <c r="AG116" s="23"/>
      <c r="AH116" s="96"/>
      <c r="AI116" s="96"/>
      <c r="AJ116" s="23"/>
      <c r="AK116" s="23">
        <f t="shared" ca="1" si="28"/>
        <v>33055</v>
      </c>
      <c r="AL116" s="23"/>
      <c r="AM116" s="23"/>
      <c r="AN116" s="96"/>
      <c r="AO116" s="96"/>
      <c r="AP116" s="23"/>
      <c r="AQ116" s="161">
        <f ca="1">IF(AN116="",NETWORKDAYS.INTL(AR116,TODAY(),1),0)</f>
        <v>33055</v>
      </c>
      <c r="AR116" s="161"/>
      <c r="AS116" s="18"/>
      <c r="AT116" s="21"/>
      <c r="AU116" s="23"/>
      <c r="AV116" s="23"/>
      <c r="AW116" s="23"/>
      <c r="AX116" s="23"/>
      <c r="AY116" s="23"/>
      <c r="AZ116" s="23"/>
      <c r="BA116" s="23"/>
      <c r="BB116" s="23"/>
      <c r="BC116" s="23"/>
      <c r="BD116" s="100" t="str">
        <f t="shared" si="17"/>
        <v/>
      </c>
      <c r="BE116" s="100" t="str">
        <f t="shared" si="18"/>
        <v/>
      </c>
      <c r="BF116" s="100" t="str">
        <f t="shared" si="19"/>
        <v/>
      </c>
      <c r="BG116" s="100" t="str">
        <f t="shared" si="20"/>
        <v/>
      </c>
      <c r="BH116" s="100" t="str">
        <f t="shared" si="21"/>
        <v/>
      </c>
      <c r="BI116" s="23"/>
    </row>
    <row r="117" spans="1:61" s="95" customFormat="1" ht="75">
      <c r="A117" s="118">
        <v>20142395002</v>
      </c>
      <c r="B117" s="19" t="str">
        <f>VLOOKUP(A117,'ESTADOS ESTUDIANTES'!B:L,2,0)</f>
        <v>JORGE ALFONSO FONSECA QUIROGA</v>
      </c>
      <c r="C117" s="19">
        <f>VLOOKUP(A117,'ESTADOS ESTUDIANTES'!B:L,11,0)</f>
        <v>79854687</v>
      </c>
      <c r="D117" s="23">
        <f>VLOOKUP(A117,'ESTADOS ESTUDIANTES'!B:L,3,0)</f>
        <v>395</v>
      </c>
      <c r="E117" s="19">
        <f>VLOOKUP(A117,'ESTADOS ESTUDIANTES'!B:L,8,0)</f>
        <v>0</v>
      </c>
      <c r="F117" s="19" t="str">
        <f>VLOOKUP(A117,'ESTADOS ESTUDIANTES'!B:L,9,0)</f>
        <v>phonck@gmail.com</v>
      </c>
      <c r="G117" s="19" t="str">
        <f>VLOOKUP(A117,'ESTADOS ESTUDIANTES'!B:L,5,0)</f>
        <v>X</v>
      </c>
      <c r="H117" s="18" t="s">
        <v>60</v>
      </c>
      <c r="I117" s="18" t="s">
        <v>1579</v>
      </c>
      <c r="J117" s="18" t="s">
        <v>598</v>
      </c>
      <c r="K117" s="23"/>
      <c r="L117" s="96">
        <v>43888</v>
      </c>
      <c r="M117" s="97">
        <v>62.61</v>
      </c>
      <c r="N117" s="96">
        <v>44097</v>
      </c>
      <c r="O117" s="97">
        <v>82.24</v>
      </c>
      <c r="P117" s="98" t="s">
        <v>79</v>
      </c>
      <c r="Q117" s="18" t="s">
        <v>1580</v>
      </c>
      <c r="R117" s="96">
        <v>43244</v>
      </c>
      <c r="S117" s="21">
        <f>YEAR(R117)</f>
        <v>2018</v>
      </c>
      <c r="T117" s="18" t="s">
        <v>250</v>
      </c>
      <c r="U117" s="96">
        <v>43298</v>
      </c>
      <c r="V117" s="96">
        <v>43320</v>
      </c>
      <c r="W117" s="19">
        <v>1</v>
      </c>
      <c r="X117" s="91">
        <f ca="1">IF(U117="",NETWORKDAYS.INTL(Y117,TODAY(),1),0)</f>
        <v>0</v>
      </c>
      <c r="Y117" s="18" t="s">
        <v>43</v>
      </c>
      <c r="Z117" s="18" t="s">
        <v>270</v>
      </c>
      <c r="AA117" s="96">
        <v>44113</v>
      </c>
      <c r="AB117" s="96">
        <v>44132</v>
      </c>
      <c r="AC117" s="18" t="s">
        <v>1581</v>
      </c>
      <c r="AD117" s="21">
        <f ca="1">IF(AA117="",NETWORKDAYS.INTL(AE117,TODAY(),1),0)</f>
        <v>0</v>
      </c>
      <c r="AE117" s="18" t="s">
        <v>43</v>
      </c>
      <c r="AF117" s="96"/>
      <c r="AG117" s="23"/>
      <c r="AH117" s="96"/>
      <c r="AI117" s="96"/>
      <c r="AJ117" s="23"/>
      <c r="AK117" s="23">
        <f t="shared" ca="1" si="28"/>
        <v>33055</v>
      </c>
      <c r="AL117" s="23"/>
      <c r="AM117" s="23"/>
      <c r="AN117" s="96"/>
      <c r="AO117" s="96"/>
      <c r="AP117" s="23"/>
      <c r="AQ117" s="162">
        <f ca="1">IF(AN117="",NETWORKDAYS.INTL(AR117,TODAY(),1),0)</f>
        <v>33055</v>
      </c>
      <c r="AR117" s="161"/>
      <c r="AS117" s="18"/>
      <c r="AT117" s="21"/>
      <c r="AU117" s="23"/>
      <c r="AV117" s="23"/>
      <c r="AW117" s="23"/>
      <c r="AX117" s="23"/>
      <c r="AY117" s="23"/>
      <c r="AZ117" s="23"/>
      <c r="BA117" s="23"/>
      <c r="BB117" s="23"/>
      <c r="BC117" s="23"/>
      <c r="BD117" s="100" t="str">
        <f t="shared" si="17"/>
        <v/>
      </c>
      <c r="BE117" s="100" t="str">
        <f t="shared" si="18"/>
        <v/>
      </c>
      <c r="BF117" s="100" t="str">
        <f t="shared" si="19"/>
        <v/>
      </c>
      <c r="BG117" s="100" t="str">
        <f t="shared" si="20"/>
        <v/>
      </c>
      <c r="BH117" s="100" t="str">
        <f t="shared" si="21"/>
        <v/>
      </c>
      <c r="BI117" s="23"/>
    </row>
    <row r="118" spans="1:61" s="95" customFormat="1" ht="45">
      <c r="A118" s="101">
        <v>20142395003</v>
      </c>
      <c r="B118" s="19" t="str">
        <f>VLOOKUP(A118,'ESTADOS ESTUDIANTES'!B:L,2,0)</f>
        <v>JULIETH MARCELA GARCIA VARGAS</v>
      </c>
      <c r="C118" s="102">
        <f>VLOOKUP(A118,'ESTADOS ESTUDIANTES'!B:L,11,0)</f>
        <v>1030564407</v>
      </c>
      <c r="D118" s="23">
        <f>VLOOKUP(A118,'ESTADOS ESTUDIANTES'!B:L,3,0)</f>
        <v>395</v>
      </c>
      <c r="E118" s="102">
        <f>VLOOKUP(A118,'ESTADOS ESTUDIANTES'!B:L,8,0)</f>
        <v>0</v>
      </c>
      <c r="F118" s="102" t="str">
        <f>VLOOKUP(A118,'ESTADOS ESTUDIANTES'!B:L,9,0)</f>
        <v>julietagarcia89@hotmail.com</v>
      </c>
      <c r="G118" s="19" t="str">
        <f>VLOOKUP(A118,'ESTADOS ESTUDIANTES'!B:L,5,0)</f>
        <v>X</v>
      </c>
      <c r="H118" s="100" t="s">
        <v>46</v>
      </c>
      <c r="I118" s="103"/>
      <c r="J118" s="103"/>
      <c r="K118" s="103"/>
      <c r="L118" s="105"/>
      <c r="M118" s="106"/>
      <c r="N118" s="105"/>
      <c r="O118" s="106"/>
      <c r="P118" s="107"/>
      <c r="Q118" s="100"/>
      <c r="R118" s="105"/>
      <c r="S118" s="103"/>
      <c r="T118" s="103"/>
      <c r="U118" s="105"/>
      <c r="V118" s="105"/>
      <c r="W118" s="103"/>
      <c r="X118" s="91">
        <f ca="1">IF(U118="",NETWORKDAYS.INTL(Y118,TODAY(),1),0)</f>
        <v>33055</v>
      </c>
      <c r="Y118" s="99"/>
      <c r="Z118" s="103"/>
      <c r="AA118" s="105"/>
      <c r="AB118" s="105"/>
      <c r="AC118" s="103"/>
      <c r="AD118" s="21">
        <f ca="1">IF(AA118="",NETWORKDAYS.INTL(AE118,TODAY(),1),0)</f>
        <v>33055</v>
      </c>
      <c r="AE118" s="99"/>
      <c r="AF118" s="105"/>
      <c r="AG118" s="103"/>
      <c r="AH118" s="105"/>
      <c r="AI118" s="105"/>
      <c r="AJ118" s="100" t="s">
        <v>1582</v>
      </c>
      <c r="AK118" s="23">
        <f t="shared" ca="1" si="28"/>
        <v>33055</v>
      </c>
      <c r="AL118" s="103"/>
      <c r="AM118" s="103"/>
      <c r="AN118" s="105"/>
      <c r="AO118" s="105"/>
      <c r="AP118" s="103"/>
      <c r="AQ118" s="163">
        <f ca="1">IF(AN118="",NETWORKDAYS.INTL(AR118,TODAY(),1),0)</f>
        <v>33055</v>
      </c>
      <c r="AR118" s="163"/>
      <c r="AS118" s="101"/>
      <c r="AT118" s="101"/>
      <c r="AU118" s="103"/>
      <c r="AV118" s="103"/>
      <c r="AW118" s="103"/>
      <c r="AX118" s="103"/>
      <c r="AY118" s="103"/>
      <c r="AZ118" s="103"/>
      <c r="BA118" s="103"/>
      <c r="BB118" s="103"/>
      <c r="BC118" s="103"/>
      <c r="BD118" s="100" t="str">
        <f t="shared" si="17"/>
        <v/>
      </c>
      <c r="BE118" s="100" t="str">
        <f t="shared" si="18"/>
        <v/>
      </c>
      <c r="BF118" s="100" t="str">
        <f t="shared" si="19"/>
        <v/>
      </c>
      <c r="BG118" s="100" t="str">
        <f t="shared" si="20"/>
        <v/>
      </c>
      <c r="BH118" s="100" t="str">
        <f t="shared" si="21"/>
        <v/>
      </c>
      <c r="BI118" s="103"/>
    </row>
    <row r="119" spans="1:61" s="95" customFormat="1" ht="105">
      <c r="A119" s="101">
        <v>20142395004</v>
      </c>
      <c r="B119" s="19" t="str">
        <f>VLOOKUP(A119,'ESTADOS ESTUDIANTES'!B:L,2,0)</f>
        <v>SERGIO ALEJANDRO ROJAS BARBOSA</v>
      </c>
      <c r="C119" s="102">
        <f>VLOOKUP(A119,'ESTADOS ESTUDIANTES'!B:L,11,0)</f>
        <v>80896709</v>
      </c>
      <c r="D119" s="23">
        <f>VLOOKUP(A119,'ESTADOS ESTUDIANTES'!B:L,3,0)</f>
        <v>395</v>
      </c>
      <c r="E119" s="102" t="str">
        <f>VLOOKUP(A119,'ESTADOS ESTUDIANTES'!B:L,8,0)</f>
        <v>sarojasb@correo.udistrital.edu.co</v>
      </c>
      <c r="F119" s="102" t="str">
        <f>VLOOKUP(A119,'ESTADOS ESTUDIANTES'!B:L,9,0)</f>
        <v>seralejo2004@gmail.com</v>
      </c>
      <c r="G119" s="19" t="str">
        <f>VLOOKUP(A119,'ESTADOS ESTUDIANTES'!B:L,5,0)</f>
        <v>E</v>
      </c>
      <c r="H119" s="100" t="s">
        <v>46</v>
      </c>
      <c r="I119" s="100" t="s">
        <v>1583</v>
      </c>
      <c r="J119" s="104"/>
      <c r="K119" s="103"/>
      <c r="L119" s="105"/>
      <c r="M119" s="106"/>
      <c r="N119" s="105"/>
      <c r="O119" s="106"/>
      <c r="P119" s="107"/>
      <c r="Q119" s="100" t="s">
        <v>1584</v>
      </c>
      <c r="R119" s="105">
        <v>42159</v>
      </c>
      <c r="S119" s="102">
        <f>YEAR(R119)</f>
        <v>2015</v>
      </c>
      <c r="T119" s="100" t="s">
        <v>341</v>
      </c>
      <c r="U119" s="105">
        <v>42174</v>
      </c>
      <c r="V119" s="105">
        <v>42342</v>
      </c>
      <c r="W119" s="102">
        <v>1</v>
      </c>
      <c r="X119" s="91">
        <f ca="1">IF(U119="",NETWORKDAYS.INTL(Y119,TODAY(),1),0)</f>
        <v>0</v>
      </c>
      <c r="Y119" s="100" t="s">
        <v>43</v>
      </c>
      <c r="Z119" s="100" t="s">
        <v>1491</v>
      </c>
      <c r="AA119" s="105">
        <v>42807</v>
      </c>
      <c r="AB119" s="105">
        <v>42831</v>
      </c>
      <c r="AC119" s="102">
        <v>2</v>
      </c>
      <c r="AD119" s="21">
        <f ca="1">IF(AA119="",NETWORKDAYS.INTL(AE119,TODAY(),1),0)</f>
        <v>0</v>
      </c>
      <c r="AE119" s="100" t="s">
        <v>43</v>
      </c>
      <c r="AF119" s="105">
        <v>43577</v>
      </c>
      <c r="AG119" s="100" t="s">
        <v>1585</v>
      </c>
      <c r="AH119" s="105">
        <v>43581</v>
      </c>
      <c r="AI119" s="105">
        <v>43616</v>
      </c>
      <c r="AJ119" s="103"/>
      <c r="AK119" s="23">
        <f t="shared" ca="1" si="28"/>
        <v>0</v>
      </c>
      <c r="AL119" s="100" t="s">
        <v>42</v>
      </c>
      <c r="AM119" s="100" t="s">
        <v>402</v>
      </c>
      <c r="AN119" s="105">
        <v>43587</v>
      </c>
      <c r="AO119" s="105">
        <v>43608</v>
      </c>
      <c r="AP119" s="103"/>
      <c r="AQ119" s="163">
        <f ca="1">IF(AN119="",NETWORKDAYS.INTL(AR119,TODAY(),1),0)</f>
        <v>0</v>
      </c>
      <c r="AR119" s="162" t="s">
        <v>42</v>
      </c>
      <c r="AS119" s="101"/>
      <c r="AT119" s="101"/>
      <c r="AU119" s="103"/>
      <c r="AV119" s="103"/>
      <c r="AW119" s="103"/>
      <c r="AX119" s="103"/>
      <c r="AY119" s="103"/>
      <c r="AZ119" s="103"/>
      <c r="BA119" s="103"/>
      <c r="BB119" s="103"/>
      <c r="BC119" s="103"/>
      <c r="BD119" s="100" t="str">
        <f t="shared" si="17"/>
        <v/>
      </c>
      <c r="BE119" s="100" t="str">
        <f t="shared" si="18"/>
        <v/>
      </c>
      <c r="BF119" s="100" t="str">
        <f t="shared" si="19"/>
        <v/>
      </c>
      <c r="BG119" s="100" t="str">
        <f t="shared" si="20"/>
        <v/>
      </c>
      <c r="BH119" s="100" t="str">
        <f t="shared" si="21"/>
        <v/>
      </c>
      <c r="BI119" s="103"/>
    </row>
    <row r="120" spans="1:61" s="95" customFormat="1">
      <c r="A120" s="101">
        <v>20151195003</v>
      </c>
      <c r="B120" s="19" t="str">
        <f>VLOOKUP(A120,'ESTADOS ESTUDIANTES'!B:L,2,0)</f>
        <v>COY CHACON JORGE ANDRES</v>
      </c>
      <c r="C120" s="102">
        <f>VLOOKUP(A120,'ESTADOS ESTUDIANTES'!B:L,11,0)</f>
        <v>1022947307</v>
      </c>
      <c r="D120" s="23">
        <f>VLOOKUP(A120,'ESTADOS ESTUDIANTES'!B:L,3,0)</f>
        <v>195</v>
      </c>
      <c r="E120" s="102">
        <f>VLOOKUP(A120,'ESTADOS ESTUDIANTES'!B:L,8,0)</f>
        <v>0</v>
      </c>
      <c r="F120" s="102" t="str">
        <f>VLOOKUP(A120,'ESTADOS ESTUDIANTES'!B:L,9,0)</f>
        <v>andres.coy.math@gmail.com</v>
      </c>
      <c r="G120" s="19" t="str">
        <f>VLOOKUP(A120,'ESTADOS ESTUDIANTES'!B:L,5,0)</f>
        <v>X</v>
      </c>
      <c r="H120" s="103"/>
      <c r="I120" s="103"/>
      <c r="J120" s="103"/>
      <c r="K120" s="103"/>
      <c r="L120" s="105"/>
      <c r="M120" s="106"/>
      <c r="N120" s="105"/>
      <c r="O120" s="106"/>
      <c r="P120" s="107"/>
      <c r="Q120" s="100"/>
      <c r="R120" s="105"/>
      <c r="S120" s="103"/>
      <c r="T120" s="103"/>
      <c r="U120" s="105"/>
      <c r="V120" s="105"/>
      <c r="W120" s="103"/>
      <c r="X120" s="91">
        <f t="shared" ref="X120:X137" ca="1" si="29">IF(U120="",NETWORKDAYS.INTL(Y120,TODAY(),1),0)</f>
        <v>33055</v>
      </c>
      <c r="Y120" s="99"/>
      <c r="Z120" s="103"/>
      <c r="AA120" s="105"/>
      <c r="AB120" s="105"/>
      <c r="AC120" s="103"/>
      <c r="AD120" s="21">
        <f t="shared" ref="AD120:AD137" ca="1" si="30">IF(AA120="",NETWORKDAYS.INTL(AE120,TODAY(),1),0)</f>
        <v>33055</v>
      </c>
      <c r="AE120" s="99"/>
      <c r="AF120" s="105"/>
      <c r="AG120" s="103"/>
      <c r="AH120" s="105"/>
      <c r="AI120" s="105"/>
      <c r="AJ120" s="103"/>
      <c r="AK120" s="23">
        <f t="shared" ref="AK120:AK137" ca="1" si="31">IF(AH120="",NETWORKDAYS.INTL(AL120,TODAY(),1),0)</f>
        <v>33055</v>
      </c>
      <c r="AL120" s="103"/>
      <c r="AM120" s="103"/>
      <c r="AN120" s="105"/>
      <c r="AO120" s="105"/>
      <c r="AP120" s="103"/>
      <c r="AQ120" s="163">
        <f t="shared" ref="AQ120:AQ137" ca="1" si="32">IF(AN120="",NETWORKDAYS.INTL(AR120,TODAY(),1),0)</f>
        <v>33055</v>
      </c>
      <c r="AR120" s="163"/>
      <c r="AS120" s="101"/>
      <c r="AT120" s="101"/>
      <c r="AU120" s="103"/>
      <c r="AV120" s="103"/>
      <c r="AW120" s="103"/>
      <c r="AX120" s="103"/>
      <c r="AY120" s="103"/>
      <c r="AZ120" s="103"/>
      <c r="BA120" s="103"/>
      <c r="BB120" s="103"/>
      <c r="BC120" s="103"/>
      <c r="BD120" s="100" t="str">
        <f t="shared" si="17"/>
        <v/>
      </c>
      <c r="BE120" s="100" t="str">
        <f t="shared" si="18"/>
        <v/>
      </c>
      <c r="BF120" s="100" t="str">
        <f t="shared" si="19"/>
        <v/>
      </c>
      <c r="BG120" s="100" t="str">
        <f t="shared" si="20"/>
        <v/>
      </c>
      <c r="BH120" s="100" t="str">
        <f t="shared" si="21"/>
        <v/>
      </c>
      <c r="BI120" s="103"/>
    </row>
    <row r="121" spans="1:61" s="95" customFormat="1" ht="30">
      <c r="A121" s="129">
        <v>20151195005</v>
      </c>
      <c r="B121" s="130" t="str">
        <f>VLOOKUP(A121,'ESTADOS ESTUDIANTES'!B:L,2,0)</f>
        <v>PATERNINA DURAN JESUS MANUEL</v>
      </c>
      <c r="C121" s="131">
        <f>VLOOKUP(A121,'ESTADOS ESTUDIANTES'!B:L,11,0)</f>
        <v>80095218</v>
      </c>
      <c r="D121" s="132">
        <f>VLOOKUP(A121,'ESTADOS ESTUDIANTES'!B:L,3,0)</f>
        <v>195</v>
      </c>
      <c r="E121" s="131">
        <f>VLOOKUP(A121,'ESTADOS ESTUDIANTES'!B:L,8,0)</f>
        <v>0</v>
      </c>
      <c r="F121" s="131" t="str">
        <f>VLOOKUP(A121,'ESTADOS ESTUDIANTES'!B:L,9,0)</f>
        <v>jesus_p17@yahoo.com.ar</v>
      </c>
      <c r="G121" s="130" t="str">
        <f>VLOOKUP(A121,'ESTADOS ESTUDIANTES'!B:L,5,0)</f>
        <v>E</v>
      </c>
      <c r="H121" s="133"/>
      <c r="I121" s="134" t="s">
        <v>1586</v>
      </c>
      <c r="J121" s="133" t="s">
        <v>309</v>
      </c>
      <c r="K121" s="133"/>
      <c r="L121" s="135"/>
      <c r="M121" s="136"/>
      <c r="N121" s="135"/>
      <c r="O121" s="136"/>
      <c r="P121" s="133"/>
      <c r="Q121" s="131">
        <v>8</v>
      </c>
      <c r="R121" s="135">
        <v>2016</v>
      </c>
      <c r="S121" s="131">
        <v>2016</v>
      </c>
      <c r="T121" s="134" t="s">
        <v>1560</v>
      </c>
      <c r="U121" s="135">
        <v>42478</v>
      </c>
      <c r="V121" s="135"/>
      <c r="W121" s="133"/>
      <c r="X121" s="91">
        <f t="shared" ca="1" si="29"/>
        <v>0</v>
      </c>
      <c r="Y121" s="134" t="s">
        <v>43</v>
      </c>
      <c r="Z121" s="134" t="s">
        <v>1587</v>
      </c>
      <c r="AA121" s="135">
        <v>42474</v>
      </c>
      <c r="AB121" s="135">
        <v>42851</v>
      </c>
      <c r="AC121" s="137">
        <v>42851</v>
      </c>
      <c r="AD121" s="21">
        <f t="shared" ca="1" si="30"/>
        <v>0</v>
      </c>
      <c r="AE121" s="134" t="s">
        <v>42</v>
      </c>
      <c r="AF121" s="135">
        <v>42930</v>
      </c>
      <c r="AG121" s="134" t="s">
        <v>1560</v>
      </c>
      <c r="AH121" s="135">
        <v>42851</v>
      </c>
      <c r="AI121" s="135"/>
      <c r="AJ121" s="133"/>
      <c r="AK121" s="23">
        <f t="shared" ca="1" si="31"/>
        <v>0</v>
      </c>
      <c r="AL121" s="134" t="s">
        <v>42</v>
      </c>
      <c r="AM121" s="134" t="s">
        <v>1587</v>
      </c>
      <c r="AN121" s="135">
        <v>42851</v>
      </c>
      <c r="AO121" s="135"/>
      <c r="AP121" s="133"/>
      <c r="AQ121" s="162">
        <f t="shared" ca="1" si="32"/>
        <v>0</v>
      </c>
      <c r="AR121" s="165" t="s">
        <v>42</v>
      </c>
      <c r="AS121" s="129">
        <v>42930</v>
      </c>
      <c r="AT121" s="129">
        <v>4.8</v>
      </c>
      <c r="AU121" s="134" t="s">
        <v>41</v>
      </c>
      <c r="AV121" s="134" t="s">
        <v>1588</v>
      </c>
      <c r="AW121" s="133"/>
      <c r="AX121" s="133"/>
      <c r="AY121" s="133"/>
      <c r="AZ121" s="133"/>
      <c r="BA121" s="133"/>
      <c r="BB121" s="133"/>
      <c r="BC121" s="133"/>
      <c r="BD121" s="134" t="str">
        <f t="shared" si="17"/>
        <v/>
      </c>
      <c r="BE121" s="134" t="str">
        <f t="shared" si="18"/>
        <v/>
      </c>
      <c r="BF121" s="134" t="str">
        <f t="shared" si="19"/>
        <v/>
      </c>
      <c r="BG121" s="134" t="str">
        <f t="shared" si="20"/>
        <v/>
      </c>
      <c r="BH121" s="134" t="str">
        <f t="shared" si="21"/>
        <v/>
      </c>
      <c r="BI121" s="133"/>
    </row>
    <row r="122" spans="1:61" s="95" customFormat="1" ht="45">
      <c r="A122" s="101">
        <v>20151195006</v>
      </c>
      <c r="B122" s="19" t="str">
        <f>VLOOKUP(A122,'ESTADOS ESTUDIANTES'!B:L,2,0)</f>
        <v>RODRIGUEZ FONSECA ANDRES ALEXANDER</v>
      </c>
      <c r="C122" s="102">
        <f>VLOOKUP(A122,'ESTADOS ESTUDIANTES'!B:L,11,0)</f>
        <v>80185164</v>
      </c>
      <c r="D122" s="23">
        <f>VLOOKUP(A122,'ESTADOS ESTUDIANTES'!B:L,3,0)</f>
        <v>195</v>
      </c>
      <c r="E122" s="102">
        <f>VLOOKUP(A122,'ESTADOS ESTUDIANTES'!B:L,8,0)</f>
        <v>0</v>
      </c>
      <c r="F122" s="102" t="str">
        <f>VLOOKUP(A122,'ESTADOS ESTUDIANTES'!B:L,9,0)</f>
        <v>aarodriguezf@gmail.com</v>
      </c>
      <c r="G122" s="19" t="str">
        <f>VLOOKUP(A122,'ESTADOS ESTUDIANTES'!B:L,5,0)</f>
        <v>E</v>
      </c>
      <c r="H122" s="100" t="s">
        <v>60</v>
      </c>
      <c r="I122" s="100" t="s">
        <v>1589</v>
      </c>
      <c r="J122" s="104"/>
      <c r="K122" s="103"/>
      <c r="L122" s="105"/>
      <c r="M122" s="106"/>
      <c r="N122" s="105"/>
      <c r="O122" s="106"/>
      <c r="P122" s="107"/>
      <c r="Q122" s="102">
        <v>42430</v>
      </c>
      <c r="R122" s="105">
        <v>42412</v>
      </c>
      <c r="S122" s="102">
        <v>2016</v>
      </c>
      <c r="T122" s="100" t="s">
        <v>1560</v>
      </c>
      <c r="U122" s="105">
        <v>42422</v>
      </c>
      <c r="V122" s="105">
        <v>42422</v>
      </c>
      <c r="W122" s="113">
        <v>42422</v>
      </c>
      <c r="X122" s="91">
        <f t="shared" ca="1" si="29"/>
        <v>0</v>
      </c>
      <c r="Y122" s="100" t="s">
        <v>43</v>
      </c>
      <c r="Z122" s="100" t="s">
        <v>1590</v>
      </c>
      <c r="AA122" s="105">
        <v>42457</v>
      </c>
      <c r="AB122" s="105"/>
      <c r="AC122" s="113"/>
      <c r="AD122" s="21">
        <f t="shared" ca="1" si="30"/>
        <v>0</v>
      </c>
      <c r="AE122" s="100" t="s">
        <v>43</v>
      </c>
      <c r="AF122" s="105"/>
      <c r="AG122" s="100" t="s">
        <v>1591</v>
      </c>
      <c r="AH122" s="105">
        <v>42717</v>
      </c>
      <c r="AI122" s="105"/>
      <c r="AJ122" s="102">
        <v>0</v>
      </c>
      <c r="AK122" s="23">
        <f t="shared" ca="1" si="31"/>
        <v>0</v>
      </c>
      <c r="AL122" s="100" t="s">
        <v>43</v>
      </c>
      <c r="AM122" s="100" t="s">
        <v>1592</v>
      </c>
      <c r="AN122" s="105">
        <v>42422</v>
      </c>
      <c r="AO122" s="105">
        <v>42459</v>
      </c>
      <c r="AP122" s="102">
        <v>1</v>
      </c>
      <c r="AQ122" s="162">
        <f t="shared" ca="1" si="32"/>
        <v>0</v>
      </c>
      <c r="AR122" s="162" t="s">
        <v>1593</v>
      </c>
      <c r="AS122" s="101">
        <v>12017</v>
      </c>
      <c r="AT122" s="101">
        <v>4</v>
      </c>
      <c r="AU122" s="100" t="s">
        <v>41</v>
      </c>
      <c r="AV122" s="102">
        <v>42765</v>
      </c>
      <c r="AW122" s="103"/>
      <c r="AX122" s="102">
        <v>2017</v>
      </c>
      <c r="AY122" s="103"/>
      <c r="AZ122" s="103"/>
      <c r="BA122" s="103"/>
      <c r="BB122" s="103"/>
      <c r="BC122" s="103"/>
      <c r="BD122" s="100" t="str">
        <f t="shared" si="17"/>
        <v/>
      </c>
      <c r="BE122" s="100" t="str">
        <f t="shared" si="18"/>
        <v/>
      </c>
      <c r="BF122" s="100" t="str">
        <f t="shared" si="19"/>
        <v/>
      </c>
      <c r="BG122" s="100" t="str">
        <f t="shared" si="20"/>
        <v/>
      </c>
      <c r="BH122" s="100" t="str">
        <f t="shared" si="21"/>
        <v/>
      </c>
      <c r="BI122" s="103"/>
    </row>
    <row r="123" spans="1:61" s="95" customFormat="1" ht="45">
      <c r="A123" s="101">
        <v>20151195006</v>
      </c>
      <c r="B123" s="19" t="str">
        <f>VLOOKUP(A123,'ESTADOS ESTUDIANTES'!B:L,2,0)</f>
        <v>RODRIGUEZ FONSECA ANDRES ALEXANDER</v>
      </c>
      <c r="C123" s="102">
        <f>VLOOKUP(A123,'ESTADOS ESTUDIANTES'!B:L,11,0)</f>
        <v>80185164</v>
      </c>
      <c r="D123" s="23">
        <f>VLOOKUP(A123,'ESTADOS ESTUDIANTES'!B:L,3,0)</f>
        <v>195</v>
      </c>
      <c r="E123" s="102">
        <f>VLOOKUP(A123,'ESTADOS ESTUDIANTES'!B:L,8,0)</f>
        <v>0</v>
      </c>
      <c r="F123" s="102" t="str">
        <f>VLOOKUP(A123,'ESTADOS ESTUDIANTES'!B:L,9,0)</f>
        <v>aarodriguezf@gmail.com</v>
      </c>
      <c r="G123" s="19" t="str">
        <f>VLOOKUP(A123,'ESTADOS ESTUDIANTES'!B:L,5,0)</f>
        <v>E</v>
      </c>
      <c r="H123" s="100" t="s">
        <v>60</v>
      </c>
      <c r="I123" s="100" t="s">
        <v>1589</v>
      </c>
      <c r="J123" s="104"/>
      <c r="K123" s="103"/>
      <c r="L123" s="105"/>
      <c r="M123" s="106"/>
      <c r="N123" s="105"/>
      <c r="O123" s="106"/>
      <c r="P123" s="107"/>
      <c r="Q123" s="102">
        <v>3</v>
      </c>
      <c r="R123" s="105">
        <v>42416</v>
      </c>
      <c r="S123" s="102">
        <v>2016</v>
      </c>
      <c r="T123" s="100" t="s">
        <v>1560</v>
      </c>
      <c r="U123" s="105">
        <v>42422</v>
      </c>
      <c r="V123" s="105"/>
      <c r="W123" s="103"/>
      <c r="X123" s="91">
        <f t="shared" ca="1" si="29"/>
        <v>0</v>
      </c>
      <c r="Y123" s="100" t="s">
        <v>43</v>
      </c>
      <c r="Z123" s="100" t="s">
        <v>1594</v>
      </c>
      <c r="AA123" s="105">
        <v>42422</v>
      </c>
      <c r="AB123" s="105"/>
      <c r="AC123" s="103"/>
      <c r="AD123" s="21">
        <f t="shared" ca="1" si="30"/>
        <v>0</v>
      </c>
      <c r="AE123" s="100" t="s">
        <v>43</v>
      </c>
      <c r="AF123" s="105"/>
      <c r="AG123" s="100" t="s">
        <v>1560</v>
      </c>
      <c r="AH123" s="105">
        <v>42457</v>
      </c>
      <c r="AI123" s="105"/>
      <c r="AJ123" s="103"/>
      <c r="AK123" s="23">
        <f t="shared" ca="1" si="31"/>
        <v>0</v>
      </c>
      <c r="AL123" s="100" t="s">
        <v>42</v>
      </c>
      <c r="AM123" s="100" t="s">
        <v>1594</v>
      </c>
      <c r="AN123" s="105"/>
      <c r="AO123" s="105"/>
      <c r="AP123" s="103"/>
      <c r="AQ123" s="162" t="e">
        <f t="shared" ca="1" si="32"/>
        <v>#VALUE!</v>
      </c>
      <c r="AR123" s="162" t="s">
        <v>1595</v>
      </c>
      <c r="AS123" s="100" t="s">
        <v>1596</v>
      </c>
      <c r="AT123" s="101">
        <v>4</v>
      </c>
      <c r="AU123" s="100" t="s">
        <v>41</v>
      </c>
      <c r="AV123" s="102">
        <v>42765</v>
      </c>
      <c r="AW123" s="102">
        <v>2017</v>
      </c>
      <c r="AX123" s="102">
        <v>2017</v>
      </c>
      <c r="AY123" s="103"/>
      <c r="AZ123" s="103"/>
      <c r="BA123" s="103"/>
      <c r="BB123" s="103"/>
      <c r="BC123" s="103"/>
      <c r="BD123" s="100" t="str">
        <f t="shared" si="17"/>
        <v/>
      </c>
      <c r="BE123" s="100" t="str">
        <f t="shared" si="18"/>
        <v/>
      </c>
      <c r="BF123" s="100" t="str">
        <f t="shared" si="19"/>
        <v/>
      </c>
      <c r="BG123" s="100" t="str">
        <f t="shared" si="20"/>
        <v/>
      </c>
      <c r="BH123" s="100" t="str">
        <f t="shared" si="21"/>
        <v/>
      </c>
      <c r="BI123" s="103"/>
    </row>
    <row r="124" spans="1:61" s="95" customFormat="1">
      <c r="A124" s="101">
        <v>20151295001</v>
      </c>
      <c r="B124" s="19" t="str">
        <f>VLOOKUP(A124,'ESTADOS ESTUDIANTES'!B:L,2,0)</f>
        <v>CANO GARCIA FREDY ENRIQUE</v>
      </c>
      <c r="C124" s="102">
        <f>VLOOKUP(A124,'ESTADOS ESTUDIANTES'!B:L,11,0)</f>
        <v>1014184448</v>
      </c>
      <c r="D124" s="23">
        <f>VLOOKUP(A124,'ESTADOS ESTUDIANTES'!B:L,3,0)</f>
        <v>295</v>
      </c>
      <c r="E124" s="102">
        <f>VLOOKUP(A124,'ESTADOS ESTUDIANTES'!B:L,8,0)</f>
        <v>0</v>
      </c>
      <c r="F124" s="102" t="str">
        <f>VLOOKUP(A124,'ESTADOS ESTUDIANTES'!B:L,9,0)</f>
        <v>frecano@gmail.com</v>
      </c>
      <c r="G124" s="19" t="str">
        <f>VLOOKUP(A124,'ESTADOS ESTUDIANTES'!B:L,5,0)</f>
        <v>X</v>
      </c>
      <c r="H124" s="103"/>
      <c r="I124" s="103"/>
      <c r="J124" s="100" t="s">
        <v>1058</v>
      </c>
      <c r="K124" s="103"/>
      <c r="L124" s="105"/>
      <c r="M124" s="106"/>
      <c r="N124" s="105">
        <v>43964</v>
      </c>
      <c r="O124" s="106">
        <v>76.52</v>
      </c>
      <c r="P124" s="112" t="s">
        <v>79</v>
      </c>
      <c r="Q124" s="100"/>
      <c r="R124" s="105"/>
      <c r="S124" s="103"/>
      <c r="T124" s="103"/>
      <c r="U124" s="105"/>
      <c r="V124" s="105"/>
      <c r="W124" s="103"/>
      <c r="X124" s="91">
        <f t="shared" ca="1" si="29"/>
        <v>33055</v>
      </c>
      <c r="Y124" s="99"/>
      <c r="Z124" s="103"/>
      <c r="AA124" s="105"/>
      <c r="AB124" s="105"/>
      <c r="AC124" s="103"/>
      <c r="AD124" s="21">
        <f t="shared" ca="1" si="30"/>
        <v>33055</v>
      </c>
      <c r="AE124" s="99"/>
      <c r="AF124" s="105"/>
      <c r="AG124" s="103"/>
      <c r="AH124" s="105"/>
      <c r="AI124" s="105"/>
      <c r="AJ124" s="103"/>
      <c r="AK124" s="23">
        <f t="shared" ca="1" si="31"/>
        <v>33055</v>
      </c>
      <c r="AL124" s="103"/>
      <c r="AM124" s="103"/>
      <c r="AN124" s="105"/>
      <c r="AO124" s="105"/>
      <c r="AP124" s="103"/>
      <c r="AQ124" s="163">
        <f t="shared" ca="1" si="32"/>
        <v>33055</v>
      </c>
      <c r="AR124" s="163"/>
      <c r="AS124" s="101"/>
      <c r="AT124" s="101"/>
      <c r="AU124" s="103"/>
      <c r="AV124" s="103"/>
      <c r="AW124" s="103"/>
      <c r="AX124" s="103"/>
      <c r="AY124" s="103"/>
      <c r="AZ124" s="103"/>
      <c r="BA124" s="103"/>
      <c r="BB124" s="103"/>
      <c r="BC124" s="103"/>
      <c r="BD124" s="100" t="str">
        <f t="shared" si="17"/>
        <v/>
      </c>
      <c r="BE124" s="100" t="str">
        <f t="shared" si="18"/>
        <v/>
      </c>
      <c r="BF124" s="100" t="str">
        <f t="shared" si="19"/>
        <v/>
      </c>
      <c r="BG124" s="100" t="str">
        <f t="shared" si="20"/>
        <v/>
      </c>
      <c r="BH124" s="100" t="str">
        <f t="shared" si="21"/>
        <v/>
      </c>
      <c r="BI124" s="103"/>
    </row>
    <row r="125" spans="1:61" s="95" customFormat="1" ht="30">
      <c r="A125" s="101">
        <v>20151295002</v>
      </c>
      <c r="B125" s="19" t="str">
        <f>VLOOKUP(A125,'ESTADOS ESTUDIANTES'!B:L,2,0)</f>
        <v>CASTIBLANCO PALACIOS JULIAN ALBERTO</v>
      </c>
      <c r="C125" s="102">
        <f>VLOOKUP(A125,'ESTADOS ESTUDIANTES'!B:L,11,0)</f>
        <v>80222075</v>
      </c>
      <c r="D125" s="23">
        <f>VLOOKUP(A125,'ESTADOS ESTUDIANTES'!B:L,3,0)</f>
        <v>295</v>
      </c>
      <c r="E125" s="102">
        <f>VLOOKUP(A125,'ESTADOS ESTUDIANTES'!B:L,8,0)</f>
        <v>0</v>
      </c>
      <c r="F125" s="102" t="str">
        <f>VLOOKUP(A125,'ESTADOS ESTUDIANTES'!B:L,9,0)</f>
        <v>julian.castiblanco@ieee.org</v>
      </c>
      <c r="G125" s="19" t="str">
        <f>VLOOKUP(A125,'ESTADOS ESTUDIANTES'!B:L,5,0)</f>
        <v>N</v>
      </c>
      <c r="H125" s="103"/>
      <c r="I125" s="103"/>
      <c r="J125" s="103"/>
      <c r="K125" s="103"/>
      <c r="L125" s="105"/>
      <c r="M125" s="106"/>
      <c r="N125" s="105"/>
      <c r="O125" s="106"/>
      <c r="P125" s="107"/>
      <c r="Q125" s="100"/>
      <c r="R125" s="105"/>
      <c r="S125" s="103"/>
      <c r="T125" s="103"/>
      <c r="U125" s="105"/>
      <c r="V125" s="105"/>
      <c r="W125" s="103"/>
      <c r="X125" s="91">
        <f t="shared" ca="1" si="29"/>
        <v>33055</v>
      </c>
      <c r="Y125" s="99"/>
      <c r="Z125" s="103"/>
      <c r="AA125" s="105"/>
      <c r="AB125" s="105"/>
      <c r="AC125" s="103"/>
      <c r="AD125" s="21">
        <f t="shared" ca="1" si="30"/>
        <v>33055</v>
      </c>
      <c r="AE125" s="99"/>
      <c r="AF125" s="105"/>
      <c r="AG125" s="103"/>
      <c r="AH125" s="105"/>
      <c r="AI125" s="105"/>
      <c r="AJ125" s="103"/>
      <c r="AK125" s="23">
        <f t="shared" ca="1" si="31"/>
        <v>33055</v>
      </c>
      <c r="AL125" s="103"/>
      <c r="AM125" s="103"/>
      <c r="AN125" s="105"/>
      <c r="AO125" s="105"/>
      <c r="AP125" s="103"/>
      <c r="AQ125" s="163">
        <f t="shared" ca="1" si="32"/>
        <v>33055</v>
      </c>
      <c r="AR125" s="163"/>
      <c r="AS125" s="101"/>
      <c r="AT125" s="101"/>
      <c r="AU125" s="103"/>
      <c r="AV125" s="103"/>
      <c r="AW125" s="103"/>
      <c r="AX125" s="103"/>
      <c r="AY125" s="103"/>
      <c r="AZ125" s="103"/>
      <c r="BA125" s="103"/>
      <c r="BB125" s="103"/>
      <c r="BC125" s="103"/>
      <c r="BD125" s="100" t="str">
        <f t="shared" si="17"/>
        <v/>
      </c>
      <c r="BE125" s="100" t="str">
        <f t="shared" si="18"/>
        <v/>
      </c>
      <c r="BF125" s="100" t="str">
        <f t="shared" si="19"/>
        <v/>
      </c>
      <c r="BG125" s="100" t="str">
        <f t="shared" si="20"/>
        <v/>
      </c>
      <c r="BH125" s="100" t="str">
        <f t="shared" si="21"/>
        <v/>
      </c>
      <c r="BI125" s="103"/>
    </row>
    <row r="126" spans="1:61" s="95" customFormat="1">
      <c r="A126" s="101">
        <v>20151295003</v>
      </c>
      <c r="B126" s="19" t="str">
        <f>VLOOKUP(A126,'ESTADOS ESTUDIANTES'!B:L,2,0)</f>
        <v>GAYOTT RAMIREZ UZIEL</v>
      </c>
      <c r="C126" s="102">
        <f>VLOOKUP(A126,'ESTADOS ESTUDIANTES'!B:L,11,0)</f>
        <v>9175536</v>
      </c>
      <c r="D126" s="23">
        <f>VLOOKUP(A126,'ESTADOS ESTUDIANTES'!B:L,3,0)</f>
        <v>295</v>
      </c>
      <c r="E126" s="102">
        <f>VLOOKUP(A126,'ESTADOS ESTUDIANTES'!B:L,8,0)</f>
        <v>0</v>
      </c>
      <c r="F126" s="102" t="str">
        <f>VLOOKUP(A126,'ESTADOS ESTUDIANTES'!B:L,9,0)</f>
        <v>uziel.gayott@live.com</v>
      </c>
      <c r="G126" s="19" t="str">
        <f>VLOOKUP(A126,'ESTADOS ESTUDIANTES'!B:L,5,0)</f>
        <v>N</v>
      </c>
      <c r="H126" s="100" t="s">
        <v>60</v>
      </c>
      <c r="I126" s="103"/>
      <c r="J126" s="103"/>
      <c r="K126" s="103"/>
      <c r="L126" s="105"/>
      <c r="M126" s="106"/>
      <c r="N126" s="105"/>
      <c r="O126" s="106"/>
      <c r="P126" s="107"/>
      <c r="Q126" s="100"/>
      <c r="R126" s="105"/>
      <c r="S126" s="103"/>
      <c r="T126" s="103"/>
      <c r="U126" s="105"/>
      <c r="V126" s="105"/>
      <c r="W126" s="103"/>
      <c r="X126" s="91">
        <f t="shared" ca="1" si="29"/>
        <v>33055</v>
      </c>
      <c r="Y126" s="99"/>
      <c r="Z126" s="103"/>
      <c r="AA126" s="105"/>
      <c r="AB126" s="105"/>
      <c r="AC126" s="103"/>
      <c r="AD126" s="21">
        <f t="shared" ca="1" si="30"/>
        <v>33055</v>
      </c>
      <c r="AE126" s="99"/>
      <c r="AF126" s="105"/>
      <c r="AG126" s="103"/>
      <c r="AH126" s="105"/>
      <c r="AI126" s="105"/>
      <c r="AJ126" s="103"/>
      <c r="AK126" s="23">
        <f t="shared" ca="1" si="31"/>
        <v>33055</v>
      </c>
      <c r="AL126" s="103"/>
      <c r="AM126" s="103"/>
      <c r="AN126" s="105"/>
      <c r="AO126" s="105"/>
      <c r="AP126" s="103"/>
      <c r="AQ126" s="163">
        <f t="shared" ca="1" si="32"/>
        <v>33055</v>
      </c>
      <c r="AR126" s="163"/>
      <c r="AS126" s="100"/>
      <c r="AT126" s="101"/>
      <c r="AU126" s="103"/>
      <c r="AV126" s="103"/>
      <c r="AW126" s="103"/>
      <c r="AX126" s="103"/>
      <c r="AY126" s="103"/>
      <c r="AZ126" s="103"/>
      <c r="BA126" s="103"/>
      <c r="BB126" s="103"/>
      <c r="BC126" s="103"/>
      <c r="BD126" s="100" t="str">
        <f t="shared" si="17"/>
        <v/>
      </c>
      <c r="BE126" s="100" t="str">
        <f t="shared" si="18"/>
        <v/>
      </c>
      <c r="BF126" s="100" t="str">
        <f t="shared" si="19"/>
        <v/>
      </c>
      <c r="BG126" s="100" t="str">
        <f t="shared" si="20"/>
        <v/>
      </c>
      <c r="BH126" s="100" t="str">
        <f t="shared" si="21"/>
        <v/>
      </c>
      <c r="BI126" s="103"/>
    </row>
    <row r="127" spans="1:61" s="95" customFormat="1">
      <c r="A127" s="101">
        <v>20151295005</v>
      </c>
      <c r="B127" s="19" t="str">
        <f>VLOOKUP(A127,'ESTADOS ESTUDIANTES'!B:L,2,0)</f>
        <v>SANTOS TIBADUIZA ARTURO</v>
      </c>
      <c r="C127" s="102">
        <f>VLOOKUP(A127,'ESTADOS ESTUDIANTES'!B:L,11,0)</f>
        <v>1012326669</v>
      </c>
      <c r="D127" s="23">
        <f>VLOOKUP(A127,'ESTADOS ESTUDIANTES'!B:L,3,0)</f>
        <v>295</v>
      </c>
      <c r="E127" s="102">
        <f>VLOOKUP(A127,'ESTADOS ESTUDIANTES'!B:L,8,0)</f>
        <v>0</v>
      </c>
      <c r="F127" s="102" t="str">
        <f>VLOOKUP(A127,'ESTADOS ESTUDIANTES'!B:L,9,0)</f>
        <v>udsantos2015@gmail.com</v>
      </c>
      <c r="G127" s="19" t="str">
        <f>VLOOKUP(A127,'ESTADOS ESTUDIANTES'!B:L,5,0)</f>
        <v>X</v>
      </c>
      <c r="H127" s="103"/>
      <c r="I127" s="103"/>
      <c r="J127" s="103"/>
      <c r="K127" s="103"/>
      <c r="L127" s="105"/>
      <c r="M127" s="106"/>
      <c r="N127" s="105"/>
      <c r="O127" s="106"/>
      <c r="P127" s="107"/>
      <c r="Q127" s="100"/>
      <c r="R127" s="105"/>
      <c r="S127" s="103"/>
      <c r="T127" s="103"/>
      <c r="U127" s="105"/>
      <c r="V127" s="105"/>
      <c r="W127" s="103"/>
      <c r="X127" s="91">
        <f t="shared" ca="1" si="29"/>
        <v>33055</v>
      </c>
      <c r="Y127" s="99"/>
      <c r="Z127" s="103"/>
      <c r="AA127" s="105"/>
      <c r="AB127" s="105"/>
      <c r="AC127" s="103"/>
      <c r="AD127" s="21">
        <f t="shared" ca="1" si="30"/>
        <v>33055</v>
      </c>
      <c r="AE127" s="99"/>
      <c r="AF127" s="105"/>
      <c r="AG127" s="103"/>
      <c r="AH127" s="105"/>
      <c r="AI127" s="105"/>
      <c r="AJ127" s="103"/>
      <c r="AK127" s="23">
        <f t="shared" ca="1" si="31"/>
        <v>33055</v>
      </c>
      <c r="AL127" s="103"/>
      <c r="AM127" s="103"/>
      <c r="AN127" s="105"/>
      <c r="AO127" s="105"/>
      <c r="AP127" s="103"/>
      <c r="AQ127" s="163">
        <f t="shared" ca="1" si="32"/>
        <v>33055</v>
      </c>
      <c r="AR127" s="163"/>
      <c r="AS127" s="101"/>
      <c r="AT127" s="101"/>
      <c r="AU127" s="103"/>
      <c r="AV127" s="103"/>
      <c r="AW127" s="103"/>
      <c r="AX127" s="103"/>
      <c r="AY127" s="103"/>
      <c r="AZ127" s="103"/>
      <c r="BA127" s="103"/>
      <c r="BB127" s="103"/>
      <c r="BC127" s="103"/>
      <c r="BD127" s="100" t="str">
        <f t="shared" ref="BD127:BD187" si="33">IF(OR($G127="A",$G127="D",$G127="P",$G127="V"),J127,"")</f>
        <v/>
      </c>
      <c r="BE127" s="100" t="str">
        <f t="shared" ref="BE127:BE187" si="34">IF(OR($G127="A",$G127="D",$G127="P",$G127="V"),T127,"")</f>
        <v/>
      </c>
      <c r="BF127" s="100" t="str">
        <f t="shared" ref="BF127:BF187" si="35">IF(OR($G127="A",$G127="D",$G127="P",$G127="V"),Z127,"")</f>
        <v/>
      </c>
      <c r="BG127" s="100" t="str">
        <f t="shared" ref="BG127:BG187" si="36">IF(OR($G127="A",$G127="D",$G127="P",$G127="V"),AM127,"")</f>
        <v/>
      </c>
      <c r="BH127" s="100" t="str">
        <f t="shared" ref="BH127:BH187" si="37">IF(OR($G127="A",$G127="D",$G127="P",$G127="V"),AG127,"")</f>
        <v/>
      </c>
      <c r="BI127" s="103"/>
    </row>
    <row r="128" spans="1:61" s="95" customFormat="1" ht="45">
      <c r="A128" s="101">
        <v>20151295007</v>
      </c>
      <c r="B128" s="19" t="str">
        <f>VLOOKUP(A128,'ESTADOS ESTUDIANTES'!B:L,2,0)</f>
        <v>PINZON ORTIZ JESUS EMILSEN</v>
      </c>
      <c r="C128" s="102">
        <f>VLOOKUP(A128,'ESTADOS ESTUDIANTES'!B:L,11,0)</f>
        <v>17311419</v>
      </c>
      <c r="D128" s="23">
        <f>VLOOKUP(A128,'ESTADOS ESTUDIANTES'!B:L,3,0)</f>
        <v>295</v>
      </c>
      <c r="E128" s="102">
        <f>VLOOKUP(A128,'ESTADOS ESTUDIANTES'!B:L,8,0)</f>
        <v>0</v>
      </c>
      <c r="F128" s="102" t="str">
        <f>VLOOKUP(A128,'ESTADOS ESTUDIANTES'!B:L,9,0)</f>
        <v>jesus.pinzon@hotmail.com</v>
      </c>
      <c r="G128" s="19" t="str">
        <f>VLOOKUP(A128,'ESTADOS ESTUDIANTES'!B:L,5,0)</f>
        <v>E</v>
      </c>
      <c r="H128" s="103"/>
      <c r="I128" s="100" t="s">
        <v>1597</v>
      </c>
      <c r="J128" s="108" t="s">
        <v>344</v>
      </c>
      <c r="K128" s="103"/>
      <c r="L128" s="105"/>
      <c r="M128" s="106"/>
      <c r="N128" s="105">
        <v>43964</v>
      </c>
      <c r="O128" s="106">
        <v>47.83</v>
      </c>
      <c r="P128" s="112" t="s">
        <v>87</v>
      </c>
      <c r="Q128" s="100" t="s">
        <v>1598</v>
      </c>
      <c r="R128" s="105">
        <v>42667</v>
      </c>
      <c r="S128" s="102">
        <v>2016</v>
      </c>
      <c r="T128" s="100" t="s">
        <v>1560</v>
      </c>
      <c r="U128" s="105">
        <v>42685</v>
      </c>
      <c r="V128" s="105">
        <v>42695</v>
      </c>
      <c r="W128" s="102">
        <v>1</v>
      </c>
      <c r="X128" s="91">
        <f t="shared" ca="1" si="29"/>
        <v>0</v>
      </c>
      <c r="Y128" s="122" t="s">
        <v>43</v>
      </c>
      <c r="Z128" s="100" t="s">
        <v>1599</v>
      </c>
      <c r="AA128" s="105">
        <v>42685</v>
      </c>
      <c r="AB128" s="105">
        <v>42690</v>
      </c>
      <c r="AC128" s="102">
        <v>1</v>
      </c>
      <c r="AD128" s="21">
        <f t="shared" ca="1" si="30"/>
        <v>0</v>
      </c>
      <c r="AE128" s="122" t="s">
        <v>43</v>
      </c>
      <c r="AF128" s="105"/>
      <c r="AG128" s="100" t="s">
        <v>1560</v>
      </c>
      <c r="AH128" s="105">
        <v>43404</v>
      </c>
      <c r="AI128" s="105">
        <v>43424</v>
      </c>
      <c r="AJ128" s="103"/>
      <c r="AK128" s="23">
        <f t="shared" ca="1" si="31"/>
        <v>0</v>
      </c>
      <c r="AL128" s="100" t="s">
        <v>42</v>
      </c>
      <c r="AM128" s="100" t="s">
        <v>1599</v>
      </c>
      <c r="AN128" s="105">
        <v>43397</v>
      </c>
      <c r="AO128" s="105">
        <v>43444</v>
      </c>
      <c r="AP128" s="103"/>
      <c r="AQ128" s="162">
        <f t="shared" ca="1" si="32"/>
        <v>0</v>
      </c>
      <c r="AR128" s="162" t="s">
        <v>42</v>
      </c>
      <c r="AS128" s="115">
        <v>43466</v>
      </c>
      <c r="AT128" s="100" t="s">
        <v>1407</v>
      </c>
      <c r="AU128" s="100" t="s">
        <v>41</v>
      </c>
      <c r="AV128" s="117">
        <v>43515</v>
      </c>
      <c r="AW128" s="103"/>
      <c r="AX128" s="103"/>
      <c r="AY128" s="103"/>
      <c r="AZ128" s="103"/>
      <c r="BA128" s="103"/>
      <c r="BB128" s="103"/>
      <c r="BC128" s="103"/>
      <c r="BD128" s="100" t="str">
        <f t="shared" si="33"/>
        <v/>
      </c>
      <c r="BE128" s="100" t="str">
        <f t="shared" si="34"/>
        <v/>
      </c>
      <c r="BF128" s="100" t="str">
        <f t="shared" si="35"/>
        <v/>
      </c>
      <c r="BG128" s="100" t="str">
        <f t="shared" si="36"/>
        <v/>
      </c>
      <c r="BH128" s="100" t="str">
        <f t="shared" si="37"/>
        <v/>
      </c>
      <c r="BI128" s="103"/>
    </row>
    <row r="129" spans="1:61" s="95" customFormat="1">
      <c r="A129" s="101">
        <v>20151295008</v>
      </c>
      <c r="B129" s="19" t="str">
        <f>VLOOKUP(A129,'ESTADOS ESTUDIANTES'!B:L,2,0)</f>
        <v>MORA ESCOBAR LUIS MIGUEL</v>
      </c>
      <c r="C129" s="102">
        <f>VLOOKUP(A129,'ESTADOS ESTUDIANTES'!B:L,11,0)</f>
        <v>7186324</v>
      </c>
      <c r="D129" s="23">
        <f>VLOOKUP(A129,'ESTADOS ESTUDIANTES'!B:L,3,0)</f>
        <v>295</v>
      </c>
      <c r="E129" s="102">
        <f>VLOOKUP(A129,'ESTADOS ESTUDIANTES'!B:L,8,0)</f>
        <v>0</v>
      </c>
      <c r="F129" s="102" t="str">
        <f>VLOOKUP(A129,'ESTADOS ESTUDIANTES'!B:L,9,0)</f>
        <v>ceo@ieiti.co</v>
      </c>
      <c r="G129" s="19" t="str">
        <f>VLOOKUP(A129,'ESTADOS ESTUDIANTES'!B:L,5,0)</f>
        <v>X</v>
      </c>
      <c r="H129" s="100" t="s">
        <v>60</v>
      </c>
      <c r="I129" s="103"/>
      <c r="J129" s="103"/>
      <c r="K129" s="103"/>
      <c r="L129" s="105"/>
      <c r="M129" s="106"/>
      <c r="N129" s="278"/>
      <c r="O129" s="106"/>
      <c r="P129" s="107"/>
      <c r="Q129" s="100"/>
      <c r="R129" s="105"/>
      <c r="S129" s="103"/>
      <c r="T129" s="103"/>
      <c r="U129" s="105"/>
      <c r="V129" s="105"/>
      <c r="W129" s="103"/>
      <c r="X129" s="91">
        <f t="shared" ca="1" si="29"/>
        <v>33055</v>
      </c>
      <c r="Y129" s="99"/>
      <c r="Z129" s="103"/>
      <c r="AA129" s="105"/>
      <c r="AB129" s="105"/>
      <c r="AC129" s="103"/>
      <c r="AD129" s="21">
        <f t="shared" ca="1" si="30"/>
        <v>33055</v>
      </c>
      <c r="AE129" s="99"/>
      <c r="AF129" s="105"/>
      <c r="AG129" s="103"/>
      <c r="AH129" s="105"/>
      <c r="AI129" s="105"/>
      <c r="AJ129" s="103"/>
      <c r="AK129" s="23">
        <f t="shared" ca="1" si="31"/>
        <v>33055</v>
      </c>
      <c r="AL129" s="103"/>
      <c r="AM129" s="103"/>
      <c r="AN129" s="105"/>
      <c r="AO129" s="105"/>
      <c r="AP129" s="103"/>
      <c r="AQ129" s="163">
        <f t="shared" ca="1" si="32"/>
        <v>33055</v>
      </c>
      <c r="AR129" s="163"/>
      <c r="AS129" s="101"/>
      <c r="AT129" s="101"/>
      <c r="AU129" s="103"/>
      <c r="AV129" s="103"/>
      <c r="AW129" s="103"/>
      <c r="AX129" s="103"/>
      <c r="AY129" s="103"/>
      <c r="AZ129" s="103"/>
      <c r="BA129" s="103"/>
      <c r="BB129" s="103"/>
      <c r="BC129" s="103"/>
      <c r="BD129" s="100" t="str">
        <f t="shared" si="33"/>
        <v/>
      </c>
      <c r="BE129" s="100" t="str">
        <f t="shared" si="34"/>
        <v/>
      </c>
      <c r="BF129" s="100" t="str">
        <f t="shared" si="35"/>
        <v/>
      </c>
      <c r="BG129" s="100" t="str">
        <f t="shared" si="36"/>
        <v/>
      </c>
      <c r="BH129" s="100" t="str">
        <f t="shared" si="37"/>
        <v/>
      </c>
      <c r="BI129" s="103"/>
    </row>
    <row r="130" spans="1:61" s="95" customFormat="1" ht="60">
      <c r="A130" s="101">
        <v>20151295009</v>
      </c>
      <c r="B130" s="19" t="str">
        <f>VLOOKUP(A130,'ESTADOS ESTUDIANTES'!B:L,2,0)</f>
        <v>MURILLO CASTAÑEDA RAUL ALEJANDRO</v>
      </c>
      <c r="C130" s="102">
        <f>VLOOKUP(A130,'ESTADOS ESTUDIANTES'!B:L,11,0)</f>
        <v>1070951512</v>
      </c>
      <c r="D130" s="23">
        <f>VLOOKUP(A130,'ESTADOS ESTUDIANTES'!B:L,3,0)</f>
        <v>395</v>
      </c>
      <c r="E130" s="102" t="str">
        <f>VLOOKUP(A130,'ESTADOS ESTUDIANTES'!B:L,8,0)</f>
        <v>raamurilloc@correo.udistrital.edu.co</v>
      </c>
      <c r="F130" s="102" t="str">
        <f>VLOOKUP(A130,'ESTADOS ESTUDIANTES'!B:L,9,0)</f>
        <v>alejomurillo7@hotmail.com</v>
      </c>
      <c r="G130" s="19" t="str">
        <f>VLOOKUP(A130,'ESTADOS ESTUDIANTES'!B:L,5,0)</f>
        <v>E</v>
      </c>
      <c r="H130" s="100" t="s">
        <v>60</v>
      </c>
      <c r="I130" s="100" t="s">
        <v>1600</v>
      </c>
      <c r="J130" s="108" t="s">
        <v>385</v>
      </c>
      <c r="K130" s="103"/>
      <c r="L130" s="105"/>
      <c r="M130" s="106"/>
      <c r="N130" s="105"/>
      <c r="O130" s="106"/>
      <c r="P130" s="107"/>
      <c r="Q130" s="100" t="s">
        <v>1601</v>
      </c>
      <c r="R130" s="105">
        <v>42619</v>
      </c>
      <c r="S130" s="102">
        <v>2016</v>
      </c>
      <c r="T130" s="100" t="s">
        <v>1602</v>
      </c>
      <c r="U130" s="105">
        <v>42832</v>
      </c>
      <c r="V130" s="105">
        <v>42849</v>
      </c>
      <c r="W130" s="102">
        <v>2</v>
      </c>
      <c r="X130" s="91">
        <f t="shared" ca="1" si="29"/>
        <v>0</v>
      </c>
      <c r="Y130" s="100" t="s">
        <v>43</v>
      </c>
      <c r="Z130" s="100" t="s">
        <v>1603</v>
      </c>
      <c r="AA130" s="100" t="s">
        <v>1604</v>
      </c>
      <c r="AB130" s="100" t="s">
        <v>1605</v>
      </c>
      <c r="AC130" s="102">
        <v>2</v>
      </c>
      <c r="AD130" s="21">
        <f t="shared" ca="1" si="30"/>
        <v>0</v>
      </c>
      <c r="AE130" s="100" t="s">
        <v>43</v>
      </c>
      <c r="AF130" s="105">
        <v>43129</v>
      </c>
      <c r="AG130" s="100" t="s">
        <v>1602</v>
      </c>
      <c r="AH130" s="105">
        <v>43146</v>
      </c>
      <c r="AI130" s="100" t="s">
        <v>1606</v>
      </c>
      <c r="AJ130" s="103"/>
      <c r="AK130" s="23">
        <f t="shared" ca="1" si="31"/>
        <v>0</v>
      </c>
      <c r="AL130" s="100" t="s">
        <v>1595</v>
      </c>
      <c r="AM130" s="100" t="s">
        <v>1603</v>
      </c>
      <c r="AN130" s="105">
        <v>43146</v>
      </c>
      <c r="AO130" s="105"/>
      <c r="AP130" s="103"/>
      <c r="AQ130" s="162">
        <f t="shared" ca="1" si="32"/>
        <v>0</v>
      </c>
      <c r="AR130" s="162" t="s">
        <v>42</v>
      </c>
      <c r="AS130" s="101"/>
      <c r="AT130" s="101">
        <v>5</v>
      </c>
      <c r="AU130" s="100" t="s">
        <v>41</v>
      </c>
      <c r="AV130" s="103"/>
      <c r="AW130" s="103"/>
      <c r="AX130" s="103"/>
      <c r="AY130" s="103"/>
      <c r="AZ130" s="128">
        <v>44482</v>
      </c>
      <c r="BA130" s="128"/>
      <c r="BB130" s="103"/>
      <c r="BC130" s="103"/>
      <c r="BD130" s="100" t="str">
        <f t="shared" si="33"/>
        <v/>
      </c>
      <c r="BE130" s="100" t="str">
        <f t="shared" si="34"/>
        <v/>
      </c>
      <c r="BF130" s="100" t="str">
        <f t="shared" si="35"/>
        <v/>
      </c>
      <c r="BG130" s="100" t="str">
        <f t="shared" si="36"/>
        <v/>
      </c>
      <c r="BH130" s="100" t="str">
        <f t="shared" si="37"/>
        <v/>
      </c>
      <c r="BI130" s="103"/>
    </row>
    <row r="131" spans="1:61" s="95" customFormat="1" ht="60">
      <c r="A131" s="101">
        <v>20151295009</v>
      </c>
      <c r="B131" s="19" t="str">
        <f>VLOOKUP(A131,'ESTADOS ESTUDIANTES'!B:L,2,0)</f>
        <v>MURILLO CASTAÑEDA RAUL ALEJANDRO</v>
      </c>
      <c r="C131" s="102">
        <f>VLOOKUP(A131,'ESTADOS ESTUDIANTES'!B:L,11,0)</f>
        <v>1070951512</v>
      </c>
      <c r="D131" s="23">
        <f>VLOOKUP(A131,'ESTADOS ESTUDIANTES'!B:L,3,0)</f>
        <v>395</v>
      </c>
      <c r="E131" s="102" t="str">
        <f>VLOOKUP(A131,'ESTADOS ESTUDIANTES'!B:L,8,0)</f>
        <v>raamurilloc@correo.udistrital.edu.co</v>
      </c>
      <c r="F131" s="102" t="str">
        <f>VLOOKUP(A131,'ESTADOS ESTUDIANTES'!B:L,9,0)</f>
        <v>alejomurillo7@hotmail.com</v>
      </c>
      <c r="G131" s="19" t="str">
        <f>VLOOKUP(A131,'ESTADOS ESTUDIANTES'!B:L,5,0)</f>
        <v>E</v>
      </c>
      <c r="H131" s="100" t="s">
        <v>60</v>
      </c>
      <c r="I131" s="100" t="s">
        <v>1607</v>
      </c>
      <c r="J131" s="108" t="s">
        <v>1461</v>
      </c>
      <c r="K131" s="103"/>
      <c r="L131" s="105"/>
      <c r="M131" s="106"/>
      <c r="N131" s="105"/>
      <c r="O131" s="106"/>
      <c r="P131" s="107"/>
      <c r="Q131" s="102">
        <v>43101</v>
      </c>
      <c r="R131" s="105"/>
      <c r="S131" s="102">
        <v>2018</v>
      </c>
      <c r="T131" s="103"/>
      <c r="U131" s="105"/>
      <c r="V131" s="105"/>
      <c r="W131" s="103"/>
      <c r="X131" s="91">
        <f t="shared" ca="1" si="29"/>
        <v>33055</v>
      </c>
      <c r="Y131" s="99"/>
      <c r="Z131" s="103"/>
      <c r="AA131" s="105"/>
      <c r="AB131" s="105"/>
      <c r="AC131" s="103"/>
      <c r="AD131" s="21">
        <f t="shared" ca="1" si="30"/>
        <v>33055</v>
      </c>
      <c r="AE131" s="99"/>
      <c r="AF131" s="105"/>
      <c r="AG131" s="100" t="s">
        <v>1608</v>
      </c>
      <c r="AH131" s="105"/>
      <c r="AI131" s="105"/>
      <c r="AJ131" s="103"/>
      <c r="AK131" s="23">
        <f t="shared" ca="1" si="31"/>
        <v>33055</v>
      </c>
      <c r="AL131" s="103"/>
      <c r="AM131" s="100" t="s">
        <v>1609</v>
      </c>
      <c r="AN131" s="105"/>
      <c r="AO131" s="105"/>
      <c r="AP131" s="103"/>
      <c r="AQ131" s="163">
        <f t="shared" ca="1" si="32"/>
        <v>33055</v>
      </c>
      <c r="AR131" s="163"/>
      <c r="AS131" s="101"/>
      <c r="AT131" s="101"/>
      <c r="AU131" s="103"/>
      <c r="AV131" s="103"/>
      <c r="AW131" s="103"/>
      <c r="AX131" s="103"/>
      <c r="AY131" s="103"/>
      <c r="AZ131" s="103"/>
      <c r="BA131" s="103"/>
      <c r="BB131" s="103"/>
      <c r="BC131" s="103"/>
      <c r="BD131" s="100" t="str">
        <f t="shared" si="33"/>
        <v/>
      </c>
      <c r="BE131" s="100" t="str">
        <f t="shared" si="34"/>
        <v/>
      </c>
      <c r="BF131" s="100" t="str">
        <f t="shared" si="35"/>
        <v/>
      </c>
      <c r="BG131" s="100" t="str">
        <f t="shared" si="36"/>
        <v/>
      </c>
      <c r="BH131" s="100" t="str">
        <f t="shared" si="37"/>
        <v/>
      </c>
      <c r="BI131" s="103"/>
    </row>
    <row r="132" spans="1:61" s="222" customFormat="1">
      <c r="A132" s="101">
        <v>20151295010</v>
      </c>
      <c r="B132" s="19" t="str">
        <f>VLOOKUP(A132,'ESTADOS ESTUDIANTES'!B:L,2,0)</f>
        <v>CRUZ CARDOZO JOSE LAUREANO</v>
      </c>
      <c r="C132" s="102">
        <f>VLOOKUP(A132,'ESTADOS ESTUDIANTES'!B:L,11,0)</f>
        <v>80811240</v>
      </c>
      <c r="D132" s="23">
        <f>VLOOKUP(A132,'ESTADOS ESTUDIANTES'!B:L,3,0)</f>
        <v>295</v>
      </c>
      <c r="E132" s="102">
        <f>VLOOKUP(A132,'ESTADOS ESTUDIANTES'!B:L,8,0)</f>
        <v>0</v>
      </c>
      <c r="F132" s="102" t="str">
        <f>VLOOKUP(A132,'ESTADOS ESTUDIANTES'!B:L,9,0)</f>
        <v>joseph019@gmail.com</v>
      </c>
      <c r="G132" s="19" t="str">
        <f>VLOOKUP(A132,'ESTADOS ESTUDIANTES'!B:L,5,0)</f>
        <v>X</v>
      </c>
      <c r="H132" s="100" t="s">
        <v>60</v>
      </c>
      <c r="I132" s="103"/>
      <c r="J132" s="103"/>
      <c r="K132" s="103"/>
      <c r="L132" s="105"/>
      <c r="M132" s="106"/>
      <c r="N132" s="105"/>
      <c r="O132" s="106"/>
      <c r="P132" s="107"/>
      <c r="Q132" s="100"/>
      <c r="R132" s="105"/>
      <c r="S132" s="103"/>
      <c r="T132" s="103"/>
      <c r="U132" s="105"/>
      <c r="V132" s="105"/>
      <c r="W132" s="103"/>
      <c r="X132" s="91">
        <f t="shared" ca="1" si="29"/>
        <v>33055</v>
      </c>
      <c r="Y132" s="99"/>
      <c r="Z132" s="103"/>
      <c r="AA132" s="105"/>
      <c r="AB132" s="105"/>
      <c r="AC132" s="103"/>
      <c r="AD132" s="21">
        <f t="shared" ca="1" si="30"/>
        <v>33055</v>
      </c>
      <c r="AE132" s="99"/>
      <c r="AF132" s="105"/>
      <c r="AG132" s="103"/>
      <c r="AH132" s="105"/>
      <c r="AI132" s="105"/>
      <c r="AJ132" s="103"/>
      <c r="AK132" s="23">
        <f t="shared" ca="1" si="31"/>
        <v>33055</v>
      </c>
      <c r="AL132" s="103"/>
      <c r="AM132" s="103"/>
      <c r="AN132" s="105"/>
      <c r="AO132" s="105"/>
      <c r="AP132" s="103"/>
      <c r="AQ132" s="163">
        <f t="shared" ca="1" si="32"/>
        <v>33055</v>
      </c>
      <c r="AR132" s="163"/>
      <c r="AS132" s="101"/>
      <c r="AT132" s="101"/>
      <c r="AU132" s="103"/>
      <c r="AV132" s="103"/>
      <c r="AW132" s="103"/>
      <c r="AX132" s="103"/>
      <c r="AY132" s="103"/>
      <c r="AZ132" s="103"/>
      <c r="BA132" s="103"/>
      <c r="BB132" s="103"/>
      <c r="BC132" s="103"/>
      <c r="BD132" s="100" t="str">
        <f t="shared" si="33"/>
        <v/>
      </c>
      <c r="BE132" s="100" t="str">
        <f t="shared" si="34"/>
        <v/>
      </c>
      <c r="BF132" s="100" t="str">
        <f t="shared" si="35"/>
        <v/>
      </c>
      <c r="BG132" s="100" t="str">
        <f t="shared" si="36"/>
        <v/>
      </c>
      <c r="BH132" s="100" t="str">
        <f t="shared" si="37"/>
        <v/>
      </c>
      <c r="BI132" s="103"/>
    </row>
    <row r="133" spans="1:61" s="95" customFormat="1" ht="75">
      <c r="A133" s="21">
        <v>20152195001</v>
      </c>
      <c r="B133" s="19" t="str">
        <f>VLOOKUP(A133,'ESTADOS ESTUDIANTES'!B:L,2,0)</f>
        <v>AGUDELO CRISTANCHO NELSON GIOVANNI</v>
      </c>
      <c r="C133" s="19">
        <f>VLOOKUP(A133,'ESTADOS ESTUDIANTES'!B:L,11,0)</f>
        <v>80051486</v>
      </c>
      <c r="D133" s="23">
        <f>VLOOKUP(A133,'ESTADOS ESTUDIANTES'!B:L,3,0)</f>
        <v>195</v>
      </c>
      <c r="E133" s="19" t="str">
        <f>VLOOKUP(A133,'ESTADOS ESTUDIANTES'!B:L,8,0)</f>
        <v>ngagudeloc@correo.udistrital.edu.co</v>
      </c>
      <c r="F133" s="19" t="str">
        <f>VLOOKUP(A133,'ESTADOS ESTUDIANTES'!B:L,9,0)</f>
        <v>nelsongiovani@gmail.com</v>
      </c>
      <c r="G133" s="19" t="str">
        <f>VLOOKUP(A133,'ESTADOS ESTUDIANTES'!B:L,5,0)</f>
        <v>E</v>
      </c>
      <c r="H133" s="18" t="s">
        <v>60</v>
      </c>
      <c r="I133" s="18" t="s">
        <v>1610</v>
      </c>
      <c r="J133" s="119"/>
      <c r="K133" s="23"/>
      <c r="L133" s="96"/>
      <c r="M133" s="97"/>
      <c r="N133" s="96">
        <v>43964</v>
      </c>
      <c r="O133" s="97">
        <v>53.04</v>
      </c>
      <c r="P133" s="98" t="s">
        <v>87</v>
      </c>
      <c r="Q133" s="18" t="s">
        <v>1611</v>
      </c>
      <c r="R133" s="96">
        <v>42388</v>
      </c>
      <c r="S133" s="19">
        <v>2016</v>
      </c>
      <c r="T133" s="18" t="s">
        <v>310</v>
      </c>
      <c r="U133" s="96">
        <v>42411</v>
      </c>
      <c r="V133" s="96">
        <v>42431</v>
      </c>
      <c r="W133" s="19">
        <v>1</v>
      </c>
      <c r="X133" s="91">
        <f t="shared" ca="1" si="29"/>
        <v>0</v>
      </c>
      <c r="Y133" s="114" t="s">
        <v>43</v>
      </c>
      <c r="Z133" s="18" t="s">
        <v>1521</v>
      </c>
      <c r="AA133" s="18" t="s">
        <v>1612</v>
      </c>
      <c r="AB133" s="18" t="s">
        <v>1613</v>
      </c>
      <c r="AC133" s="19">
        <v>2</v>
      </c>
      <c r="AD133" s="21">
        <f t="shared" ca="1" si="30"/>
        <v>0</v>
      </c>
      <c r="AE133" s="114" t="s">
        <v>43</v>
      </c>
      <c r="AF133" s="96"/>
      <c r="AG133" s="18" t="s">
        <v>1421</v>
      </c>
      <c r="AH133" s="96">
        <v>44131</v>
      </c>
      <c r="AI133" s="96">
        <v>44131</v>
      </c>
      <c r="AJ133" s="23"/>
      <c r="AK133" s="23">
        <f t="shared" ca="1" si="31"/>
        <v>0</v>
      </c>
      <c r="AL133" s="18" t="s">
        <v>42</v>
      </c>
      <c r="AM133" s="18" t="s">
        <v>1614</v>
      </c>
      <c r="AN133" s="96">
        <v>44158</v>
      </c>
      <c r="AO133" s="96">
        <v>44159</v>
      </c>
      <c r="AP133" s="18" t="s">
        <v>1615</v>
      </c>
      <c r="AQ133" s="162">
        <f t="shared" ca="1" si="32"/>
        <v>0</v>
      </c>
      <c r="AR133" s="164" t="s">
        <v>42</v>
      </c>
      <c r="AS133" s="18" t="s">
        <v>565</v>
      </c>
      <c r="AT133" s="18" t="s">
        <v>1407</v>
      </c>
      <c r="AU133" s="18" t="s">
        <v>41</v>
      </c>
      <c r="AV133" s="120">
        <v>44260</v>
      </c>
      <c r="AW133" s="23"/>
      <c r="AX133" s="23"/>
      <c r="AY133" s="19">
        <v>102021</v>
      </c>
      <c r="AZ133" s="121">
        <v>44454</v>
      </c>
      <c r="BA133" s="121"/>
      <c r="BB133" s="23"/>
      <c r="BC133" s="18" t="s">
        <v>240</v>
      </c>
      <c r="BD133" s="100" t="str">
        <f t="shared" si="33"/>
        <v/>
      </c>
      <c r="BE133" s="100" t="str">
        <f t="shared" si="34"/>
        <v/>
      </c>
      <c r="BF133" s="100" t="str">
        <f t="shared" si="35"/>
        <v/>
      </c>
      <c r="BG133" s="100" t="str">
        <f t="shared" si="36"/>
        <v/>
      </c>
      <c r="BH133" s="100" t="str">
        <f t="shared" si="37"/>
        <v/>
      </c>
      <c r="BI133" s="23"/>
    </row>
    <row r="134" spans="1:61" s="95" customFormat="1" ht="30">
      <c r="A134" s="101">
        <v>20152195002</v>
      </c>
      <c r="B134" s="19" t="str">
        <f>VLOOKUP(A134,'ESTADOS ESTUDIANTES'!B:L,2,0)</f>
        <v>AGUIRRE MORENO DIEGO FERNANDO</v>
      </c>
      <c r="C134" s="102">
        <f>VLOOKUP(A134,'ESTADOS ESTUDIANTES'!B:L,11,0)</f>
        <v>3059527</v>
      </c>
      <c r="D134" s="23">
        <f>VLOOKUP(A134,'ESTADOS ESTUDIANTES'!B:L,3,0)</f>
        <v>195</v>
      </c>
      <c r="E134" s="102" t="str">
        <f>VLOOKUP(A134,'ESTADOS ESTUDIANTES'!B:L,8,0)</f>
        <v>dfaguirrem@correo.udistrital.edu.co</v>
      </c>
      <c r="F134" s="102" t="str">
        <f>VLOOKUP(A134,'ESTADOS ESTUDIANTES'!B:L,9,0)</f>
        <v>diego2281@gmail.com</v>
      </c>
      <c r="G134" s="19" t="str">
        <f>VLOOKUP(A134,'ESTADOS ESTUDIANTES'!B:L,5,0)</f>
        <v>E</v>
      </c>
      <c r="H134" s="103"/>
      <c r="I134" s="100" t="s">
        <v>1616</v>
      </c>
      <c r="J134" s="108" t="s">
        <v>369</v>
      </c>
      <c r="K134" s="103"/>
      <c r="L134" s="105"/>
      <c r="M134" s="106"/>
      <c r="N134" s="105"/>
      <c r="O134" s="106"/>
      <c r="P134" s="107"/>
      <c r="Q134" s="102">
        <v>30</v>
      </c>
      <c r="R134" s="105">
        <v>42347</v>
      </c>
      <c r="S134" s="102">
        <v>2015</v>
      </c>
      <c r="T134" s="100" t="s">
        <v>1560</v>
      </c>
      <c r="U134" s="105">
        <v>42387</v>
      </c>
      <c r="V134" s="105"/>
      <c r="W134" s="103"/>
      <c r="X134" s="91">
        <f t="shared" ca="1" si="29"/>
        <v>0</v>
      </c>
      <c r="Y134" s="100" t="s">
        <v>43</v>
      </c>
      <c r="Z134" s="100" t="s">
        <v>1617</v>
      </c>
      <c r="AA134" s="105">
        <v>42417</v>
      </c>
      <c r="AB134" s="105"/>
      <c r="AC134" s="103"/>
      <c r="AD134" s="21">
        <f t="shared" ca="1" si="30"/>
        <v>0</v>
      </c>
      <c r="AE134" s="100" t="s">
        <v>43</v>
      </c>
      <c r="AF134" s="105"/>
      <c r="AG134" s="100" t="s">
        <v>1560</v>
      </c>
      <c r="AH134" s="105">
        <v>42387</v>
      </c>
      <c r="AI134" s="105">
        <v>42411</v>
      </c>
      <c r="AJ134" s="102">
        <v>1</v>
      </c>
      <c r="AK134" s="23">
        <f t="shared" ca="1" si="31"/>
        <v>0</v>
      </c>
      <c r="AL134" s="100" t="s">
        <v>42</v>
      </c>
      <c r="AM134" s="100" t="s">
        <v>1445</v>
      </c>
      <c r="AN134" s="105">
        <v>42415</v>
      </c>
      <c r="AO134" s="105">
        <v>42472</v>
      </c>
      <c r="AP134" s="102">
        <v>0</v>
      </c>
      <c r="AQ134" s="161">
        <f t="shared" ca="1" si="32"/>
        <v>0</v>
      </c>
      <c r="AR134" s="162" t="s">
        <v>42</v>
      </c>
      <c r="AS134" s="101">
        <v>222016</v>
      </c>
      <c r="AT134" s="101">
        <v>4.5</v>
      </c>
      <c r="AU134" s="100" t="s">
        <v>41</v>
      </c>
      <c r="AV134" s="102">
        <v>42680</v>
      </c>
      <c r="AW134" s="103"/>
      <c r="AX134" s="102">
        <v>2017</v>
      </c>
      <c r="AY134" s="103"/>
      <c r="AZ134" s="103"/>
      <c r="BA134" s="103"/>
      <c r="BB134" s="103"/>
      <c r="BC134" s="103"/>
      <c r="BD134" s="100" t="str">
        <f t="shared" si="33"/>
        <v/>
      </c>
      <c r="BE134" s="100" t="str">
        <f t="shared" si="34"/>
        <v/>
      </c>
      <c r="BF134" s="100" t="str">
        <f t="shared" si="35"/>
        <v/>
      </c>
      <c r="BG134" s="100" t="str">
        <f t="shared" si="36"/>
        <v/>
      </c>
      <c r="BH134" s="100" t="str">
        <f t="shared" si="37"/>
        <v/>
      </c>
      <c r="BI134" s="103"/>
    </row>
    <row r="135" spans="1:61" s="95" customFormat="1" ht="30">
      <c r="A135" s="101">
        <v>20152195003</v>
      </c>
      <c r="B135" s="19" t="str">
        <f>VLOOKUP(A135,'ESTADOS ESTUDIANTES'!B:L,2,0)</f>
        <v>ALZATE ACUÑA GABRIEL ANDRES</v>
      </c>
      <c r="C135" s="102">
        <f>VLOOKUP(A135,'ESTADOS ESTUDIANTES'!B:L,11,0)</f>
        <v>80259743</v>
      </c>
      <c r="D135" s="23">
        <f>VLOOKUP(A135,'ESTADOS ESTUDIANTES'!B:L,3,0)</f>
        <v>195</v>
      </c>
      <c r="E135" s="102">
        <f>VLOOKUP(A135,'ESTADOS ESTUDIANTES'!B:L,8,0)</f>
        <v>0</v>
      </c>
      <c r="F135" s="102" t="str">
        <f>VLOOKUP(A135,'ESTADOS ESTUDIANTES'!B:L,9,0)</f>
        <v>gabriel.andres.alzate@gmail.com</v>
      </c>
      <c r="G135" s="19" t="str">
        <f>VLOOKUP(A135,'ESTADOS ESTUDIANTES'!B:L,5,0)</f>
        <v>E</v>
      </c>
      <c r="H135" s="103"/>
      <c r="I135" s="100" t="s">
        <v>1618</v>
      </c>
      <c r="J135" s="104"/>
      <c r="K135" s="103"/>
      <c r="L135" s="105"/>
      <c r="M135" s="106"/>
      <c r="N135" s="105">
        <v>43888</v>
      </c>
      <c r="O135" s="106">
        <v>74.78</v>
      </c>
      <c r="P135" s="112" t="s">
        <v>79</v>
      </c>
      <c r="Q135" s="100" t="s">
        <v>1619</v>
      </c>
      <c r="R135" s="105">
        <v>42347</v>
      </c>
      <c r="S135" s="102">
        <v>2015</v>
      </c>
      <c r="T135" s="100" t="s">
        <v>1599</v>
      </c>
      <c r="U135" s="105"/>
      <c r="V135" s="105">
        <v>43010</v>
      </c>
      <c r="W135" s="102">
        <v>1</v>
      </c>
      <c r="X135" s="91" t="e">
        <f t="shared" ca="1" si="29"/>
        <v>#VALUE!</v>
      </c>
      <c r="Y135" s="100" t="s">
        <v>43</v>
      </c>
      <c r="Z135" s="100" t="s">
        <v>1620</v>
      </c>
      <c r="AA135" s="105"/>
      <c r="AB135" s="105">
        <v>43010</v>
      </c>
      <c r="AC135" s="102">
        <v>1</v>
      </c>
      <c r="AD135" s="21" t="e">
        <f t="shared" ca="1" si="30"/>
        <v>#VALUE!</v>
      </c>
      <c r="AE135" s="100" t="s">
        <v>43</v>
      </c>
      <c r="AF135" s="105"/>
      <c r="AG135" s="100" t="s">
        <v>1599</v>
      </c>
      <c r="AH135" s="105">
        <v>44018</v>
      </c>
      <c r="AI135" s="105">
        <v>44031</v>
      </c>
      <c r="AJ135" s="103"/>
      <c r="AK135" s="23">
        <f t="shared" ca="1" si="31"/>
        <v>0</v>
      </c>
      <c r="AL135" s="100" t="s">
        <v>42</v>
      </c>
      <c r="AM135" s="100" t="s">
        <v>1621</v>
      </c>
      <c r="AN135" s="105">
        <v>44018</v>
      </c>
      <c r="AO135" s="105">
        <v>44022</v>
      </c>
      <c r="AP135" s="102">
        <v>0</v>
      </c>
      <c r="AQ135" s="161">
        <f t="shared" ca="1" si="32"/>
        <v>0</v>
      </c>
      <c r="AR135" s="162" t="s">
        <v>42</v>
      </c>
      <c r="AS135" s="100" t="s">
        <v>1622</v>
      </c>
      <c r="AT135" s="100" t="s">
        <v>1407</v>
      </c>
      <c r="AU135" s="100" t="s">
        <v>55</v>
      </c>
      <c r="AV135" s="113">
        <v>44158</v>
      </c>
      <c r="AW135" s="103"/>
      <c r="AX135" s="103"/>
      <c r="AY135" s="103"/>
      <c r="AZ135" s="103"/>
      <c r="BA135" s="103"/>
      <c r="BB135" s="103"/>
      <c r="BC135" s="103"/>
      <c r="BD135" s="100" t="str">
        <f t="shared" si="33"/>
        <v/>
      </c>
      <c r="BE135" s="100" t="str">
        <f t="shared" si="34"/>
        <v/>
      </c>
      <c r="BF135" s="100" t="str">
        <f t="shared" si="35"/>
        <v/>
      </c>
      <c r="BG135" s="100" t="str">
        <f t="shared" si="36"/>
        <v/>
      </c>
      <c r="BH135" s="100" t="str">
        <f t="shared" si="37"/>
        <v/>
      </c>
      <c r="BI135" s="103"/>
    </row>
    <row r="136" spans="1:61" s="95" customFormat="1" ht="45">
      <c r="A136" s="101">
        <v>20152195005</v>
      </c>
      <c r="B136" s="19" t="str">
        <f>VLOOKUP(A136,'ESTADOS ESTUDIANTES'!B:L,2,0)</f>
        <v>CAMARGO LÓPEZ JULIÁN ROLANDO</v>
      </c>
      <c r="C136" s="102">
        <f>VLOOKUP(A136,'ESTADOS ESTUDIANTES'!B:L,11,0)</f>
        <v>79560853</v>
      </c>
      <c r="D136" s="23">
        <f>VLOOKUP(A136,'ESTADOS ESTUDIANTES'!B:L,3,0)</f>
        <v>195</v>
      </c>
      <c r="E136" s="102" t="str">
        <f>VLOOKUP(A136,'ESTADOS ESTUDIANTES'!B:L,8,0)</f>
        <v>jcamargo@udistrital.edu.co</v>
      </c>
      <c r="F136" s="102" t="str">
        <f>VLOOKUP(A136,'ESTADOS ESTUDIANTES'!B:L,9,0)</f>
        <v>jcamargo@udistrital.edu.co</v>
      </c>
      <c r="G136" s="19" t="str">
        <f>VLOOKUP(A136,'ESTADOS ESTUDIANTES'!B:L,5,0)</f>
        <v>E</v>
      </c>
      <c r="H136" s="103"/>
      <c r="I136" s="100" t="s">
        <v>1623</v>
      </c>
      <c r="J136" s="104"/>
      <c r="K136" s="103"/>
      <c r="L136" s="105"/>
      <c r="M136" s="106"/>
      <c r="N136" s="105"/>
      <c r="O136" s="106"/>
      <c r="P136" s="107"/>
      <c r="Q136" s="100" t="s">
        <v>1624</v>
      </c>
      <c r="R136" s="105">
        <v>42354</v>
      </c>
      <c r="S136" s="102">
        <v>2015</v>
      </c>
      <c r="T136" s="100" t="s">
        <v>356</v>
      </c>
      <c r="U136" s="105">
        <v>42419</v>
      </c>
      <c r="V136" s="105">
        <v>42421</v>
      </c>
      <c r="W136" s="102">
        <v>1</v>
      </c>
      <c r="X136" s="91">
        <f t="shared" ca="1" si="29"/>
        <v>0</v>
      </c>
      <c r="Y136" s="100" t="s">
        <v>43</v>
      </c>
      <c r="Z136" s="100" t="s">
        <v>1625</v>
      </c>
      <c r="AA136" s="105">
        <v>42416</v>
      </c>
      <c r="AB136" s="105">
        <v>42429</v>
      </c>
      <c r="AC136" s="102">
        <v>1</v>
      </c>
      <c r="AD136" s="21">
        <f t="shared" ca="1" si="30"/>
        <v>0</v>
      </c>
      <c r="AE136" s="100" t="s">
        <v>43</v>
      </c>
      <c r="AF136" s="105"/>
      <c r="AG136" s="100" t="s">
        <v>356</v>
      </c>
      <c r="AH136" s="105">
        <v>43115</v>
      </c>
      <c r="AI136" s="105"/>
      <c r="AJ136" s="103"/>
      <c r="AK136" s="23">
        <f t="shared" ca="1" si="31"/>
        <v>0</v>
      </c>
      <c r="AL136" s="100" t="s">
        <v>42</v>
      </c>
      <c r="AM136" s="100" t="s">
        <v>1625</v>
      </c>
      <c r="AN136" s="105">
        <v>43118</v>
      </c>
      <c r="AO136" s="105"/>
      <c r="AP136" s="103"/>
      <c r="AQ136" s="162">
        <f t="shared" ca="1" si="32"/>
        <v>0</v>
      </c>
      <c r="AR136" s="162" t="s">
        <v>42</v>
      </c>
      <c r="AS136" s="100" t="s">
        <v>1596</v>
      </c>
      <c r="AT136" s="101">
        <v>5</v>
      </c>
      <c r="AU136" s="100" t="s">
        <v>41</v>
      </c>
      <c r="AV136" s="113">
        <v>43122</v>
      </c>
      <c r="AW136" s="103"/>
      <c r="AX136" s="103"/>
      <c r="AY136" s="103"/>
      <c r="AZ136" s="103"/>
      <c r="BA136" s="103"/>
      <c r="BB136" s="103"/>
      <c r="BC136" s="103"/>
      <c r="BD136" s="100" t="str">
        <f t="shared" si="33"/>
        <v/>
      </c>
      <c r="BE136" s="100" t="str">
        <f t="shared" si="34"/>
        <v/>
      </c>
      <c r="BF136" s="100" t="str">
        <f t="shared" si="35"/>
        <v/>
      </c>
      <c r="BG136" s="100" t="str">
        <f t="shared" si="36"/>
        <v/>
      </c>
      <c r="BH136" s="100" t="str">
        <f t="shared" si="37"/>
        <v/>
      </c>
      <c r="BI136" s="103"/>
    </row>
    <row r="137" spans="1:61" s="95" customFormat="1">
      <c r="A137" s="101">
        <v>20152195006</v>
      </c>
      <c r="B137" s="19" t="str">
        <f>VLOOKUP(A137,'ESTADOS ESTUDIANTES'!B:L,2,0)</f>
        <v>CRUZ GARCIA MANUEL ALEJANDRO</v>
      </c>
      <c r="C137" s="102">
        <f>VLOOKUP(A137,'ESTADOS ESTUDIANTES'!B:L,11,0)</f>
        <v>80138072</v>
      </c>
      <c r="D137" s="23">
        <f>VLOOKUP(A137,'ESTADOS ESTUDIANTES'!B:L,3,0)</f>
        <v>195</v>
      </c>
      <c r="E137" s="102">
        <f>VLOOKUP(A137,'ESTADOS ESTUDIANTES'!B:L,8,0)</f>
        <v>0</v>
      </c>
      <c r="F137" s="102" t="str">
        <f>VLOOKUP(A137,'ESTADOS ESTUDIANTES'!B:L,9,0)</f>
        <v>macruga@gmail.com</v>
      </c>
      <c r="G137" s="19" t="str">
        <f>VLOOKUP(A137,'ESTADOS ESTUDIANTES'!B:L,5,0)</f>
        <v>X</v>
      </c>
      <c r="H137" s="103"/>
      <c r="I137" s="103"/>
      <c r="J137" s="103"/>
      <c r="K137" s="103"/>
      <c r="L137" s="105"/>
      <c r="M137" s="106"/>
      <c r="N137" s="105"/>
      <c r="O137" s="106"/>
      <c r="P137" s="107"/>
      <c r="Q137" s="100"/>
      <c r="R137" s="105"/>
      <c r="S137" s="103"/>
      <c r="T137" s="103"/>
      <c r="U137" s="105"/>
      <c r="V137" s="105"/>
      <c r="W137" s="103"/>
      <c r="X137" s="91">
        <f t="shared" ca="1" si="29"/>
        <v>33055</v>
      </c>
      <c r="Y137" s="99"/>
      <c r="Z137" s="103"/>
      <c r="AA137" s="105"/>
      <c r="AB137" s="105"/>
      <c r="AC137" s="103"/>
      <c r="AD137" s="21">
        <f t="shared" ca="1" si="30"/>
        <v>33055</v>
      </c>
      <c r="AE137" s="99"/>
      <c r="AF137" s="105"/>
      <c r="AG137" s="103"/>
      <c r="AH137" s="105"/>
      <c r="AI137" s="105"/>
      <c r="AJ137" s="103"/>
      <c r="AK137" s="23">
        <f t="shared" ca="1" si="31"/>
        <v>33055</v>
      </c>
      <c r="AL137" s="103"/>
      <c r="AM137" s="103"/>
      <c r="AN137" s="105"/>
      <c r="AO137" s="105"/>
      <c r="AP137" s="103"/>
      <c r="AQ137" s="163">
        <f t="shared" ca="1" si="32"/>
        <v>33055</v>
      </c>
      <c r="AR137" s="163"/>
      <c r="AS137" s="101"/>
      <c r="AT137" s="101"/>
      <c r="AU137" s="103"/>
      <c r="AV137" s="103"/>
      <c r="AW137" s="103"/>
      <c r="AX137" s="103"/>
      <c r="AY137" s="103"/>
      <c r="AZ137" s="103"/>
      <c r="BA137" s="103"/>
      <c r="BB137" s="103"/>
      <c r="BC137" s="103"/>
      <c r="BD137" s="100" t="str">
        <f t="shared" si="33"/>
        <v/>
      </c>
      <c r="BE137" s="100" t="str">
        <f t="shared" si="34"/>
        <v/>
      </c>
      <c r="BF137" s="100" t="str">
        <f t="shared" si="35"/>
        <v/>
      </c>
      <c r="BG137" s="100" t="str">
        <f t="shared" si="36"/>
        <v/>
      </c>
      <c r="BH137" s="100" t="str">
        <f t="shared" si="37"/>
        <v/>
      </c>
      <c r="BI137" s="103"/>
    </row>
    <row r="138" spans="1:61" s="95" customFormat="1">
      <c r="A138" s="101">
        <v>20152195008</v>
      </c>
      <c r="B138" s="19" t="str">
        <f>VLOOKUP(A138,'ESTADOS ESTUDIANTES'!B:L,2,0)</f>
        <v>GACHARNA TRIVIÑO JUAN EDISON</v>
      </c>
      <c r="C138" s="102">
        <f>VLOOKUP(A138,'ESTADOS ESTUDIANTES'!B:L,11,0)</f>
        <v>1019008949</v>
      </c>
      <c r="D138" s="23">
        <f>VLOOKUP(A138,'ESTADOS ESTUDIANTES'!B:L,3,0)</f>
        <v>195</v>
      </c>
      <c r="E138" s="102">
        <f>VLOOKUP(A138,'ESTADOS ESTUDIANTES'!B:L,8,0)</f>
        <v>0</v>
      </c>
      <c r="F138" s="102" t="str">
        <f>VLOOKUP(A138,'ESTADOS ESTUDIANTES'!B:L,9,0)</f>
        <v>juedgt86@gmail.com</v>
      </c>
      <c r="G138" s="19" t="str">
        <f>VLOOKUP(A138,'ESTADOS ESTUDIANTES'!B:L,5,0)</f>
        <v>X</v>
      </c>
      <c r="H138" s="100" t="s">
        <v>60</v>
      </c>
      <c r="I138" s="103"/>
      <c r="J138" s="103"/>
      <c r="K138" s="103"/>
      <c r="L138" s="105"/>
      <c r="M138" s="106"/>
      <c r="N138" s="105"/>
      <c r="O138" s="106"/>
      <c r="P138" s="107"/>
      <c r="Q138" s="100"/>
      <c r="R138" s="105"/>
      <c r="S138" s="103"/>
      <c r="T138" s="103"/>
      <c r="U138" s="105"/>
      <c r="V138" s="105"/>
      <c r="W138" s="103"/>
      <c r="X138" s="91">
        <f t="shared" ref="X138:X145" ca="1" si="38">IF(U138="",NETWORKDAYS.INTL(Y138,TODAY(),1),0)</f>
        <v>33055</v>
      </c>
      <c r="Y138" s="99"/>
      <c r="Z138" s="103"/>
      <c r="AA138" s="105"/>
      <c r="AB138" s="105"/>
      <c r="AC138" s="103"/>
      <c r="AD138" s="21">
        <f t="shared" ref="AD138:AD145" ca="1" si="39">IF(AA138="",NETWORKDAYS.INTL(AE138,TODAY(),1),0)</f>
        <v>33055</v>
      </c>
      <c r="AE138" s="99"/>
      <c r="AF138" s="105"/>
      <c r="AG138" s="103"/>
      <c r="AH138" s="105"/>
      <c r="AI138" s="105"/>
      <c r="AJ138" s="103"/>
      <c r="AK138" s="23">
        <f t="shared" ref="AK138:AK145" ca="1" si="40">IF(AH138="",NETWORKDAYS.INTL(AL138,TODAY(),1),0)</f>
        <v>33055</v>
      </c>
      <c r="AL138" s="103"/>
      <c r="AM138" s="103"/>
      <c r="AN138" s="105"/>
      <c r="AO138" s="105"/>
      <c r="AP138" s="103"/>
      <c r="AQ138" s="163">
        <f t="shared" ref="AQ138:AQ145" ca="1" si="41">IF(AN138="",NETWORKDAYS.INTL(AR138,TODAY(),1),0)</f>
        <v>33055</v>
      </c>
      <c r="AR138" s="163"/>
      <c r="AS138" s="101"/>
      <c r="AT138" s="101"/>
      <c r="AU138" s="103"/>
      <c r="AV138" s="103"/>
      <c r="AW138" s="103"/>
      <c r="AX138" s="103"/>
      <c r="AY138" s="103"/>
      <c r="AZ138" s="103"/>
      <c r="BA138" s="103"/>
      <c r="BB138" s="103"/>
      <c r="BC138" s="103"/>
      <c r="BD138" s="100" t="str">
        <f t="shared" si="33"/>
        <v/>
      </c>
      <c r="BE138" s="100" t="str">
        <f t="shared" si="34"/>
        <v/>
      </c>
      <c r="BF138" s="100" t="str">
        <f t="shared" si="35"/>
        <v/>
      </c>
      <c r="BG138" s="100" t="str">
        <f t="shared" si="36"/>
        <v/>
      </c>
      <c r="BH138" s="100" t="str">
        <f t="shared" si="37"/>
        <v/>
      </c>
      <c r="BI138" s="103"/>
    </row>
    <row r="139" spans="1:61" s="95" customFormat="1" ht="30">
      <c r="A139" s="101">
        <v>20152195009</v>
      </c>
      <c r="B139" s="19" t="str">
        <f>VLOOKUP(A139,'ESTADOS ESTUDIANTES'!B:L,2,0)</f>
        <v>HERNANDEZ LEON ANDRES FELIPE</v>
      </c>
      <c r="C139" s="102">
        <f>VLOOKUP(A139,'ESTADOS ESTUDIANTES'!B:L,11,0)</f>
        <v>1018424588</v>
      </c>
      <c r="D139" s="23">
        <f>VLOOKUP(A139,'ESTADOS ESTUDIANTES'!B:L,3,0)</f>
        <v>195</v>
      </c>
      <c r="E139" s="102" t="str">
        <f>VLOOKUP(A139,'ESTADOS ESTUDIANTES'!B:L,8,0)</f>
        <v>afhernandezl@udistrital.edu.co</v>
      </c>
      <c r="F139" s="102" t="str">
        <f>VLOOKUP(A139,'ESTADOS ESTUDIANTES'!B:L,9,0)</f>
        <v>anfeherle@hotmail.com</v>
      </c>
      <c r="G139" s="19" t="str">
        <f>VLOOKUP(A139,'ESTADOS ESTUDIANTES'!B:L,5,0)</f>
        <v>E</v>
      </c>
      <c r="H139" s="103"/>
      <c r="I139" s="100" t="s">
        <v>1626</v>
      </c>
      <c r="J139" s="108" t="s">
        <v>220</v>
      </c>
      <c r="K139" s="103"/>
      <c r="L139" s="105"/>
      <c r="M139" s="106"/>
      <c r="N139" s="105"/>
      <c r="O139" s="106"/>
      <c r="P139" s="107"/>
      <c r="Q139" s="100" t="s">
        <v>1627</v>
      </c>
      <c r="R139" s="105">
        <v>42347</v>
      </c>
      <c r="S139" s="102">
        <v>2016</v>
      </c>
      <c r="T139" s="100" t="s">
        <v>1470</v>
      </c>
      <c r="U139" s="105">
        <v>42415</v>
      </c>
      <c r="V139" s="105"/>
      <c r="W139" s="103"/>
      <c r="X139" s="91">
        <f t="shared" ca="1" si="38"/>
        <v>0</v>
      </c>
      <c r="Y139" s="100" t="s">
        <v>43</v>
      </c>
      <c r="Z139" s="100" t="s">
        <v>1479</v>
      </c>
      <c r="AA139" s="105">
        <v>42409</v>
      </c>
      <c r="AB139" s="105"/>
      <c r="AC139" s="103"/>
      <c r="AD139" s="21">
        <f t="shared" ca="1" si="39"/>
        <v>0</v>
      </c>
      <c r="AE139" s="100" t="s">
        <v>43</v>
      </c>
      <c r="AF139" s="105"/>
      <c r="AG139" s="100" t="s">
        <v>1470</v>
      </c>
      <c r="AH139" s="105">
        <v>42384</v>
      </c>
      <c r="AI139" s="105">
        <v>42627</v>
      </c>
      <c r="AJ139" s="102">
        <v>2</v>
      </c>
      <c r="AK139" s="23">
        <f t="shared" ca="1" si="40"/>
        <v>0</v>
      </c>
      <c r="AL139" s="100" t="s">
        <v>42</v>
      </c>
      <c r="AM139" s="100" t="s">
        <v>1479</v>
      </c>
      <c r="AN139" s="105">
        <v>42772</v>
      </c>
      <c r="AO139" s="105">
        <v>42793</v>
      </c>
      <c r="AP139" s="102">
        <v>0</v>
      </c>
      <c r="AQ139" s="162">
        <f t="shared" ca="1" si="41"/>
        <v>0</v>
      </c>
      <c r="AR139" s="162" t="s">
        <v>42</v>
      </c>
      <c r="AS139" s="100" t="s">
        <v>1628</v>
      </c>
      <c r="AT139" s="101">
        <v>4.7</v>
      </c>
      <c r="AU139" s="100" t="s">
        <v>41</v>
      </c>
      <c r="AV139" s="102">
        <v>42935</v>
      </c>
      <c r="AW139" s="103"/>
      <c r="AX139" s="102">
        <v>2017</v>
      </c>
      <c r="AY139" s="103"/>
      <c r="AZ139" s="103"/>
      <c r="BA139" s="103"/>
      <c r="BB139" s="103"/>
      <c r="BC139" s="103"/>
      <c r="BD139" s="100" t="str">
        <f t="shared" si="33"/>
        <v/>
      </c>
      <c r="BE139" s="100" t="str">
        <f t="shared" si="34"/>
        <v/>
      </c>
      <c r="BF139" s="100" t="str">
        <f t="shared" si="35"/>
        <v/>
      </c>
      <c r="BG139" s="100" t="str">
        <f t="shared" si="36"/>
        <v/>
      </c>
      <c r="BH139" s="100" t="str">
        <f t="shared" si="37"/>
        <v/>
      </c>
      <c r="BI139" s="103"/>
    </row>
    <row r="140" spans="1:61" s="95" customFormat="1">
      <c r="A140" s="101">
        <v>20152195010</v>
      </c>
      <c r="B140" s="19" t="str">
        <f>VLOOKUP(A140,'ESTADOS ESTUDIANTES'!B:L,2,0)</f>
        <v>KING LOBO RICARDO JAVIER</v>
      </c>
      <c r="C140" s="102">
        <f>VLOOKUP(A140,'ESTADOS ESTUDIANTES'!B:L,11,0)</f>
        <v>79967910</v>
      </c>
      <c r="D140" s="23">
        <f>VLOOKUP(A140,'ESTADOS ESTUDIANTES'!B:L,3,0)</f>
        <v>195</v>
      </c>
      <c r="E140" s="102">
        <f>VLOOKUP(A140,'ESTADOS ESTUDIANTES'!B:L,8,0)</f>
        <v>0</v>
      </c>
      <c r="F140" s="102" t="str">
        <f>VLOOKUP(A140,'ESTADOS ESTUDIANTES'!B:L,9,0)</f>
        <v>rcdking@yahoo.com</v>
      </c>
      <c r="G140" s="19" t="str">
        <f>VLOOKUP(A140,'ESTADOS ESTUDIANTES'!B:L,5,0)</f>
        <v>I</v>
      </c>
      <c r="H140" s="103"/>
      <c r="I140" s="103"/>
      <c r="J140" s="103"/>
      <c r="K140" s="103"/>
      <c r="L140" s="105"/>
      <c r="M140" s="106"/>
      <c r="N140" s="105"/>
      <c r="O140" s="106"/>
      <c r="P140" s="107"/>
      <c r="Q140" s="100"/>
      <c r="R140" s="105"/>
      <c r="S140" s="103"/>
      <c r="T140" s="103"/>
      <c r="U140" s="105"/>
      <c r="V140" s="105"/>
      <c r="W140" s="103"/>
      <c r="X140" s="91">
        <f t="shared" ca="1" si="38"/>
        <v>33055</v>
      </c>
      <c r="Y140" s="99"/>
      <c r="Z140" s="103"/>
      <c r="AA140" s="105"/>
      <c r="AB140" s="105"/>
      <c r="AC140" s="103"/>
      <c r="AD140" s="21">
        <f t="shared" ca="1" si="39"/>
        <v>33055</v>
      </c>
      <c r="AE140" s="99"/>
      <c r="AF140" s="105"/>
      <c r="AG140" s="103"/>
      <c r="AH140" s="105"/>
      <c r="AI140" s="105"/>
      <c r="AJ140" s="103"/>
      <c r="AK140" s="23">
        <f t="shared" ca="1" si="40"/>
        <v>33055</v>
      </c>
      <c r="AL140" s="103"/>
      <c r="AM140" s="103"/>
      <c r="AN140" s="105"/>
      <c r="AO140" s="105"/>
      <c r="AP140" s="103"/>
      <c r="AQ140" s="163">
        <f t="shared" ca="1" si="41"/>
        <v>33055</v>
      </c>
      <c r="AR140" s="163"/>
      <c r="AS140" s="101"/>
      <c r="AT140" s="101"/>
      <c r="AU140" s="103"/>
      <c r="AV140" s="103"/>
      <c r="AW140" s="103"/>
      <c r="AX140" s="103"/>
      <c r="AY140" s="103"/>
      <c r="AZ140" s="103"/>
      <c r="BA140" s="103"/>
      <c r="BB140" s="103"/>
      <c r="BC140" s="103"/>
      <c r="BD140" s="100" t="str">
        <f t="shared" si="33"/>
        <v/>
      </c>
      <c r="BE140" s="100" t="str">
        <f t="shared" si="34"/>
        <v/>
      </c>
      <c r="BF140" s="100" t="str">
        <f t="shared" si="35"/>
        <v/>
      </c>
      <c r="BG140" s="100" t="str">
        <f t="shared" si="36"/>
        <v/>
      </c>
      <c r="BH140" s="100" t="str">
        <f t="shared" si="37"/>
        <v/>
      </c>
      <c r="BI140" s="103"/>
    </row>
    <row r="141" spans="1:61" s="95" customFormat="1">
      <c r="A141" s="101">
        <v>20152195011</v>
      </c>
      <c r="B141" s="19" t="str">
        <f>VLOOKUP(A141,'ESTADOS ESTUDIANTES'!B:L,2,0)</f>
        <v>LEON CARVAJAL JHON FREDY</v>
      </c>
      <c r="C141" s="102">
        <f>VLOOKUP(A141,'ESTADOS ESTUDIANTES'!B:L,11,0)</f>
        <v>1020762823</v>
      </c>
      <c r="D141" s="23">
        <f>VLOOKUP(A141,'ESTADOS ESTUDIANTES'!B:L,3,0)</f>
        <v>195</v>
      </c>
      <c r="E141" s="102">
        <f>VLOOKUP(A141,'ESTADOS ESTUDIANTES'!B:L,8,0)</f>
        <v>0</v>
      </c>
      <c r="F141" s="102" t="str">
        <f>VLOOKUP(A141,'ESTADOS ESTUDIANTES'!B:L,9,0)</f>
        <v>john_6691@hotmail.com</v>
      </c>
      <c r="G141" s="19" t="str">
        <f>VLOOKUP(A141,'ESTADOS ESTUDIANTES'!B:L,5,0)</f>
        <v>X</v>
      </c>
      <c r="H141" s="100" t="s">
        <v>60</v>
      </c>
      <c r="I141" s="103"/>
      <c r="J141" s="103"/>
      <c r="K141" s="103"/>
      <c r="L141" s="105"/>
      <c r="M141" s="106"/>
      <c r="N141" s="105"/>
      <c r="O141" s="106"/>
      <c r="P141" s="107"/>
      <c r="Q141" s="100"/>
      <c r="R141" s="105"/>
      <c r="S141" s="103"/>
      <c r="T141" s="103"/>
      <c r="U141" s="105"/>
      <c r="V141" s="105"/>
      <c r="W141" s="103"/>
      <c r="X141" s="91">
        <f t="shared" ca="1" si="38"/>
        <v>33055</v>
      </c>
      <c r="Y141" s="99"/>
      <c r="Z141" s="103"/>
      <c r="AA141" s="105"/>
      <c r="AB141" s="105"/>
      <c r="AC141" s="103"/>
      <c r="AD141" s="21">
        <f t="shared" ca="1" si="39"/>
        <v>33055</v>
      </c>
      <c r="AE141" s="99"/>
      <c r="AF141" s="105"/>
      <c r="AG141" s="103"/>
      <c r="AH141" s="105"/>
      <c r="AI141" s="105"/>
      <c r="AJ141" s="103"/>
      <c r="AK141" s="23">
        <f t="shared" ca="1" si="40"/>
        <v>33055</v>
      </c>
      <c r="AL141" s="103"/>
      <c r="AM141" s="103"/>
      <c r="AN141" s="105"/>
      <c r="AO141" s="105"/>
      <c r="AP141" s="103"/>
      <c r="AQ141" s="163">
        <f t="shared" ca="1" si="41"/>
        <v>33055</v>
      </c>
      <c r="AR141" s="163"/>
      <c r="AS141" s="101"/>
      <c r="AT141" s="101"/>
      <c r="AU141" s="103"/>
      <c r="AV141" s="103"/>
      <c r="AW141" s="103"/>
      <c r="AX141" s="103"/>
      <c r="AY141" s="103"/>
      <c r="AZ141" s="103"/>
      <c r="BA141" s="103"/>
      <c r="BB141" s="103"/>
      <c r="BC141" s="103"/>
      <c r="BD141" s="100" t="str">
        <f t="shared" si="33"/>
        <v/>
      </c>
      <c r="BE141" s="100" t="str">
        <f t="shared" si="34"/>
        <v/>
      </c>
      <c r="BF141" s="100" t="str">
        <f t="shared" si="35"/>
        <v/>
      </c>
      <c r="BG141" s="100" t="str">
        <f t="shared" si="36"/>
        <v/>
      </c>
      <c r="BH141" s="100" t="str">
        <f t="shared" si="37"/>
        <v/>
      </c>
      <c r="BI141" s="103"/>
    </row>
    <row r="142" spans="1:61" s="95" customFormat="1" ht="30">
      <c r="A142" s="101">
        <v>20152195012</v>
      </c>
      <c r="B142" s="19" t="str">
        <f>VLOOKUP(A142,'ESTADOS ESTUDIANTES'!B:L,2,0)</f>
        <v>LOPEZ SALAMANCA EDGAR ANDRES</v>
      </c>
      <c r="C142" s="102">
        <f>VLOOKUP(A142,'ESTADOS ESTUDIANTES'!B:L,11,0)</f>
        <v>80843494</v>
      </c>
      <c r="D142" s="23">
        <f>VLOOKUP(A142,'ESTADOS ESTUDIANTES'!B:L,3,0)</f>
        <v>195</v>
      </c>
      <c r="E142" s="102" t="str">
        <f>VLOOKUP(A142,'ESTADOS ESTUDIANTES'!B:L,8,0)</f>
        <v>ealopezs@udistrital.edu.co</v>
      </c>
      <c r="F142" s="102" t="str">
        <f>VLOOKUP(A142,'ESTADOS ESTUDIANTES'!B:L,9,0)</f>
        <v>andres.lopez.salamanca@gmail.com</v>
      </c>
      <c r="G142" s="19" t="str">
        <f>VLOOKUP(A142,'ESTADOS ESTUDIANTES'!B:L,5,0)</f>
        <v>E</v>
      </c>
      <c r="H142" s="100" t="s">
        <v>60</v>
      </c>
      <c r="I142" s="100" t="s">
        <v>1629</v>
      </c>
      <c r="J142" s="108" t="s">
        <v>385</v>
      </c>
      <c r="K142" s="103"/>
      <c r="L142" s="105"/>
      <c r="M142" s="106"/>
      <c r="N142" s="105"/>
      <c r="O142" s="106"/>
      <c r="P142" s="107"/>
      <c r="Q142" s="100" t="s">
        <v>1630</v>
      </c>
      <c r="R142" s="105">
        <v>42348</v>
      </c>
      <c r="S142" s="102">
        <v>2015</v>
      </c>
      <c r="T142" s="100" t="s">
        <v>1300</v>
      </c>
      <c r="U142" s="105">
        <v>42384</v>
      </c>
      <c r="V142" s="105">
        <v>42401</v>
      </c>
      <c r="W142" s="102">
        <v>1</v>
      </c>
      <c r="X142" s="91">
        <f t="shared" ca="1" si="38"/>
        <v>0</v>
      </c>
      <c r="Y142" s="122" t="s">
        <v>43</v>
      </c>
      <c r="Z142" s="100" t="s">
        <v>1258</v>
      </c>
      <c r="AA142" s="105">
        <v>42384</v>
      </c>
      <c r="AB142" s="105">
        <v>42410</v>
      </c>
      <c r="AC142" s="102">
        <v>1</v>
      </c>
      <c r="AD142" s="21">
        <f t="shared" ca="1" si="39"/>
        <v>0</v>
      </c>
      <c r="AE142" s="122" t="s">
        <v>43</v>
      </c>
      <c r="AF142" s="105">
        <v>42898</v>
      </c>
      <c r="AG142" s="100" t="s">
        <v>1300</v>
      </c>
      <c r="AH142" s="105">
        <v>42933</v>
      </c>
      <c r="AI142" s="105">
        <v>42941</v>
      </c>
      <c r="AJ142" s="102">
        <v>1</v>
      </c>
      <c r="AK142" s="23">
        <f t="shared" ca="1" si="40"/>
        <v>0</v>
      </c>
      <c r="AL142" s="100" t="s">
        <v>42</v>
      </c>
      <c r="AM142" s="100" t="s">
        <v>1258</v>
      </c>
      <c r="AN142" s="105">
        <v>42934</v>
      </c>
      <c r="AO142" s="105">
        <v>42940</v>
      </c>
      <c r="AP142" s="102">
        <v>1</v>
      </c>
      <c r="AQ142" s="161">
        <f t="shared" ca="1" si="41"/>
        <v>0</v>
      </c>
      <c r="AR142" s="162" t="s">
        <v>42</v>
      </c>
      <c r="AS142" s="100" t="s">
        <v>1631</v>
      </c>
      <c r="AT142" s="101">
        <v>5</v>
      </c>
      <c r="AU142" s="100" t="s">
        <v>55</v>
      </c>
      <c r="AV142" s="113">
        <v>42943</v>
      </c>
      <c r="AW142" s="113">
        <v>43084</v>
      </c>
      <c r="AX142" s="102">
        <v>2017</v>
      </c>
      <c r="AY142" s="103"/>
      <c r="AZ142" s="103"/>
      <c r="BA142" s="103"/>
      <c r="BB142" s="103"/>
      <c r="BC142" s="103"/>
      <c r="BD142" s="100" t="str">
        <f t="shared" si="33"/>
        <v/>
      </c>
      <c r="BE142" s="100" t="str">
        <f t="shared" si="34"/>
        <v/>
      </c>
      <c r="BF142" s="100" t="str">
        <f t="shared" si="35"/>
        <v/>
      </c>
      <c r="BG142" s="100" t="str">
        <f t="shared" si="36"/>
        <v/>
      </c>
      <c r="BH142" s="100" t="str">
        <f t="shared" si="37"/>
        <v/>
      </c>
      <c r="BI142" s="103"/>
    </row>
    <row r="143" spans="1:61" s="95" customFormat="1" ht="30">
      <c r="A143" s="101">
        <v>20152195013</v>
      </c>
      <c r="B143" s="19" t="str">
        <f>VLOOKUP(A143,'ESTADOS ESTUDIANTES'!B:L,2,0)</f>
        <v>LOPEZ SANCHEZ WILSON RICARDO</v>
      </c>
      <c r="C143" s="102">
        <f>VLOOKUP(A143,'ESTADOS ESTUDIANTES'!B:L,11,0)</f>
        <v>1026268779</v>
      </c>
      <c r="D143" s="23">
        <f>VLOOKUP(A143,'ESTADOS ESTUDIANTES'!B:L,3,0)</f>
        <v>195</v>
      </c>
      <c r="E143" s="102">
        <f>VLOOKUP(A143,'ESTADOS ESTUDIANTES'!B:L,8,0)</f>
        <v>0</v>
      </c>
      <c r="F143" s="102" t="str">
        <f>VLOOKUP(A143,'ESTADOS ESTUDIANTES'!B:L,9,0)</f>
        <v>wilrilo@gmail.com</v>
      </c>
      <c r="G143" s="19" t="str">
        <f>VLOOKUP(A143,'ESTADOS ESTUDIANTES'!B:L,5,0)</f>
        <v>E</v>
      </c>
      <c r="H143" s="100" t="s">
        <v>60</v>
      </c>
      <c r="I143" s="100" t="s">
        <v>1632</v>
      </c>
      <c r="J143" s="100" t="s">
        <v>563</v>
      </c>
      <c r="K143" s="103"/>
      <c r="L143" s="105"/>
      <c r="M143" s="106"/>
      <c r="N143" s="105"/>
      <c r="O143" s="106"/>
      <c r="P143" s="107"/>
      <c r="Q143" s="100" t="s">
        <v>1633</v>
      </c>
      <c r="R143" s="105">
        <v>42347</v>
      </c>
      <c r="S143" s="102">
        <v>2015</v>
      </c>
      <c r="T143" s="100" t="s">
        <v>1603</v>
      </c>
      <c r="U143" s="105">
        <v>42415</v>
      </c>
      <c r="V143" s="105">
        <v>42423</v>
      </c>
      <c r="W143" s="102">
        <v>1</v>
      </c>
      <c r="X143" s="91">
        <f t="shared" ca="1" si="38"/>
        <v>0</v>
      </c>
      <c r="Y143" s="122" t="s">
        <v>43</v>
      </c>
      <c r="Z143" s="100" t="s">
        <v>1634</v>
      </c>
      <c r="AA143" s="105">
        <v>42388</v>
      </c>
      <c r="AB143" s="105">
        <v>41705</v>
      </c>
      <c r="AC143" s="102">
        <v>1</v>
      </c>
      <c r="AD143" s="21">
        <f t="shared" ca="1" si="39"/>
        <v>0</v>
      </c>
      <c r="AE143" s="122" t="s">
        <v>43</v>
      </c>
      <c r="AF143" s="105"/>
      <c r="AG143" s="100" t="s">
        <v>1635</v>
      </c>
      <c r="AH143" s="105"/>
      <c r="AI143" s="105"/>
      <c r="AJ143" s="103"/>
      <c r="AK143" s="23">
        <f t="shared" ca="1" si="40"/>
        <v>33055</v>
      </c>
      <c r="AL143" s="103"/>
      <c r="AM143" s="100" t="s">
        <v>1636</v>
      </c>
      <c r="AN143" s="105"/>
      <c r="AO143" s="105"/>
      <c r="AP143" s="103"/>
      <c r="AQ143" s="161">
        <f t="shared" ca="1" si="41"/>
        <v>33055</v>
      </c>
      <c r="AR143" s="163"/>
      <c r="AS143" s="101"/>
      <c r="AT143" s="101"/>
      <c r="AU143" s="103"/>
      <c r="AV143" s="103"/>
      <c r="AW143" s="103"/>
      <c r="AX143" s="103"/>
      <c r="AY143" s="103"/>
      <c r="AZ143" s="103"/>
      <c r="BA143" s="103"/>
      <c r="BB143" s="103"/>
      <c r="BC143" s="103"/>
      <c r="BD143" s="100" t="str">
        <f t="shared" si="33"/>
        <v/>
      </c>
      <c r="BE143" s="100" t="str">
        <f t="shared" si="34"/>
        <v/>
      </c>
      <c r="BF143" s="100" t="str">
        <f t="shared" si="35"/>
        <v/>
      </c>
      <c r="BG143" s="100" t="str">
        <f t="shared" si="36"/>
        <v/>
      </c>
      <c r="BH143" s="100" t="str">
        <f t="shared" si="37"/>
        <v/>
      </c>
      <c r="BI143" s="103"/>
    </row>
    <row r="144" spans="1:61" s="95" customFormat="1" ht="30">
      <c r="A144" s="101">
        <v>20152195014</v>
      </c>
      <c r="B144" s="19" t="str">
        <f>VLOOKUP(A144,'ESTADOS ESTUDIANTES'!B:L,2,0)</f>
        <v>MORALES VEGA TATIANA</v>
      </c>
      <c r="C144" s="102">
        <f>VLOOKUP(A144,'ESTADOS ESTUDIANTES'!B:L,11,0)</f>
        <v>52779302</v>
      </c>
      <c r="D144" s="23">
        <f>VLOOKUP(A144,'ESTADOS ESTUDIANTES'!B:L,3,0)</f>
        <v>195</v>
      </c>
      <c r="E144" s="102" t="str">
        <f>VLOOKUP(A144,'ESTADOS ESTUDIANTES'!B:L,8,0)</f>
        <v>tmoralesv@correo.udistrital.edu.co</v>
      </c>
      <c r="F144" s="102" t="str">
        <f>VLOOKUP(A144,'ESTADOS ESTUDIANTES'!B:L,9,0)</f>
        <v>tatiana.morales@transmilenio.gov.co</v>
      </c>
      <c r="G144" s="19" t="str">
        <f>VLOOKUP(A144,'ESTADOS ESTUDIANTES'!B:L,5,0)</f>
        <v>E</v>
      </c>
      <c r="H144" s="100" t="s">
        <v>60</v>
      </c>
      <c r="I144" s="100" t="s">
        <v>1637</v>
      </c>
      <c r="J144" s="108" t="s">
        <v>1461</v>
      </c>
      <c r="K144" s="100" t="s">
        <v>999</v>
      </c>
      <c r="L144" s="105"/>
      <c r="M144" s="106"/>
      <c r="N144" s="105"/>
      <c r="O144" s="106"/>
      <c r="P144" s="107"/>
      <c r="Q144" s="100" t="s">
        <v>1448</v>
      </c>
      <c r="R144" s="105">
        <v>42458</v>
      </c>
      <c r="S144" s="102">
        <v>2016</v>
      </c>
      <c r="T144" s="100" t="s">
        <v>1573</v>
      </c>
      <c r="U144" s="105">
        <v>42465</v>
      </c>
      <c r="V144" s="105">
        <v>42472</v>
      </c>
      <c r="W144" s="102">
        <v>1</v>
      </c>
      <c r="X144" s="91">
        <f t="shared" ca="1" si="38"/>
        <v>0</v>
      </c>
      <c r="Y144" s="100" t="s">
        <v>43</v>
      </c>
      <c r="Z144" s="100" t="s">
        <v>356</v>
      </c>
      <c r="AA144" s="105">
        <v>42466</v>
      </c>
      <c r="AB144" s="105">
        <v>42476</v>
      </c>
      <c r="AC144" s="102">
        <v>1</v>
      </c>
      <c r="AD144" s="21">
        <f t="shared" ca="1" si="39"/>
        <v>0</v>
      </c>
      <c r="AE144" s="100" t="s">
        <v>43</v>
      </c>
      <c r="AF144" s="105"/>
      <c r="AG144" s="103"/>
      <c r="AH144" s="105"/>
      <c r="AI144" s="105"/>
      <c r="AJ144" s="103"/>
      <c r="AK144" s="23">
        <f t="shared" ca="1" si="40"/>
        <v>33055</v>
      </c>
      <c r="AL144" s="103"/>
      <c r="AM144" s="103"/>
      <c r="AN144" s="105"/>
      <c r="AO144" s="105"/>
      <c r="AP144" s="103"/>
      <c r="AQ144" s="161">
        <f t="shared" ca="1" si="41"/>
        <v>33055</v>
      </c>
      <c r="AR144" s="163"/>
      <c r="AS144" s="101"/>
      <c r="AT144" s="101"/>
      <c r="AU144" s="103"/>
      <c r="AV144" s="103"/>
      <c r="AW144" s="103"/>
      <c r="AX144" s="103"/>
      <c r="AY144" s="103"/>
      <c r="AZ144" s="103"/>
      <c r="BA144" s="103"/>
      <c r="BB144" s="103"/>
      <c r="BC144" s="103"/>
      <c r="BD144" s="100" t="str">
        <f t="shared" si="33"/>
        <v/>
      </c>
      <c r="BE144" s="100" t="str">
        <f t="shared" si="34"/>
        <v/>
      </c>
      <c r="BF144" s="100" t="str">
        <f t="shared" si="35"/>
        <v/>
      </c>
      <c r="BG144" s="100" t="str">
        <f t="shared" si="36"/>
        <v/>
      </c>
      <c r="BH144" s="100" t="str">
        <f t="shared" si="37"/>
        <v/>
      </c>
      <c r="BI144" s="103"/>
    </row>
    <row r="145" spans="1:61" s="95" customFormat="1" ht="45">
      <c r="A145" s="101">
        <v>20152195015</v>
      </c>
      <c r="B145" s="19" t="str">
        <f>VLOOKUP(A145,'ESTADOS ESTUDIANTES'!B:L,2,0)</f>
        <v>MORENO MORENO ANDRES JULIAN</v>
      </c>
      <c r="C145" s="102">
        <f>VLOOKUP(A145,'ESTADOS ESTUDIANTES'!B:L,11,0)</f>
        <v>1032431630</v>
      </c>
      <c r="D145" s="23">
        <f>VLOOKUP(A145,'ESTADOS ESTUDIANTES'!B:L,3,0)</f>
        <v>195</v>
      </c>
      <c r="E145" s="102">
        <f>VLOOKUP(A145,'ESTADOS ESTUDIANTES'!B:L,8,0)</f>
        <v>0</v>
      </c>
      <c r="F145" s="102" t="str">
        <f>VLOOKUP(A145,'ESTADOS ESTUDIANTES'!B:L,9,0)</f>
        <v>andresm2.xy@gmail.com</v>
      </c>
      <c r="G145" s="19" t="str">
        <f>VLOOKUP(A145,'ESTADOS ESTUDIANTES'!B:L,5,0)</f>
        <v>E</v>
      </c>
      <c r="H145" s="100" t="s">
        <v>60</v>
      </c>
      <c r="I145" s="100" t="s">
        <v>1638</v>
      </c>
      <c r="J145" s="108" t="s">
        <v>303</v>
      </c>
      <c r="K145" s="103"/>
      <c r="L145" s="105"/>
      <c r="M145" s="106"/>
      <c r="N145" s="105">
        <v>43802</v>
      </c>
      <c r="O145" s="106">
        <v>83.42</v>
      </c>
      <c r="P145" s="112" t="s">
        <v>79</v>
      </c>
      <c r="Q145" s="100" t="s">
        <v>1630</v>
      </c>
      <c r="R145" s="105">
        <v>42342</v>
      </c>
      <c r="S145" s="102">
        <v>2015</v>
      </c>
      <c r="T145" s="100" t="s">
        <v>356</v>
      </c>
      <c r="U145" s="105">
        <v>42388</v>
      </c>
      <c r="V145" s="105">
        <v>42398</v>
      </c>
      <c r="W145" s="102">
        <v>1</v>
      </c>
      <c r="X145" s="91">
        <f t="shared" ca="1" si="38"/>
        <v>0</v>
      </c>
      <c r="Y145" s="100" t="s">
        <v>43</v>
      </c>
      <c r="Z145" s="100" t="s">
        <v>1479</v>
      </c>
      <c r="AA145" s="105">
        <v>42388</v>
      </c>
      <c r="AB145" s="105">
        <v>42424</v>
      </c>
      <c r="AC145" s="102">
        <v>1</v>
      </c>
      <c r="AD145" s="21">
        <f t="shared" ca="1" si="39"/>
        <v>0</v>
      </c>
      <c r="AE145" s="100" t="s">
        <v>43</v>
      </c>
      <c r="AF145" s="105">
        <v>43714</v>
      </c>
      <c r="AG145" s="100" t="s">
        <v>1479</v>
      </c>
      <c r="AH145" s="105">
        <v>43732</v>
      </c>
      <c r="AI145" s="105">
        <v>43778</v>
      </c>
      <c r="AJ145" s="103"/>
      <c r="AK145" s="23">
        <f t="shared" ca="1" si="40"/>
        <v>0</v>
      </c>
      <c r="AL145" s="100" t="s">
        <v>42</v>
      </c>
      <c r="AM145" s="100" t="s">
        <v>356</v>
      </c>
      <c r="AN145" s="105">
        <v>43728</v>
      </c>
      <c r="AO145" s="105">
        <v>43800</v>
      </c>
      <c r="AP145" s="103"/>
      <c r="AQ145" s="162">
        <f t="shared" ca="1" si="41"/>
        <v>0</v>
      </c>
      <c r="AR145" s="162" t="s">
        <v>42</v>
      </c>
      <c r="AS145" s="101"/>
      <c r="AT145" s="101"/>
      <c r="AU145" s="103"/>
      <c r="AV145" s="103"/>
      <c r="AW145" s="103"/>
      <c r="AX145" s="103"/>
      <c r="AY145" s="103"/>
      <c r="AZ145" s="103"/>
      <c r="BA145" s="103"/>
      <c r="BB145" s="103"/>
      <c r="BC145" s="103"/>
      <c r="BD145" s="100" t="str">
        <f t="shared" si="33"/>
        <v/>
      </c>
      <c r="BE145" s="100" t="str">
        <f t="shared" si="34"/>
        <v/>
      </c>
      <c r="BF145" s="100" t="str">
        <f t="shared" si="35"/>
        <v/>
      </c>
      <c r="BG145" s="100" t="str">
        <f t="shared" si="36"/>
        <v/>
      </c>
      <c r="BH145" s="100" t="str">
        <f t="shared" si="37"/>
        <v/>
      </c>
      <c r="BI145" s="103"/>
    </row>
    <row r="146" spans="1:61" s="95" customFormat="1" ht="60">
      <c r="A146" s="187">
        <v>20152195016</v>
      </c>
      <c r="B146" s="19" t="str">
        <f>VLOOKUP(A146,'ESTADOS ESTUDIANTES'!B:L,2,0)</f>
        <v>MUÑOZ NUÑEZ YENY KATHERINE</v>
      </c>
      <c r="C146" s="19">
        <f>VLOOKUP(A146,'ESTADOS ESTUDIANTES'!B:L,11,0)</f>
        <v>1032432662</v>
      </c>
      <c r="D146" s="23">
        <f>VLOOKUP(A146,'ESTADOS ESTUDIANTES'!B:L,3,0)</f>
        <v>195</v>
      </c>
      <c r="E146" s="19">
        <f>VLOOKUP(A146,'ESTADOS ESTUDIANTES'!B:L,8,0)</f>
        <v>0</v>
      </c>
      <c r="F146" s="19" t="str">
        <f>VLOOKUP(A146,'ESTADOS ESTUDIANTES'!B:L,9,0)</f>
        <v>yekamunu@gmail.com</v>
      </c>
      <c r="G146" s="19" t="str">
        <f>VLOOKUP(A146,'ESTADOS ESTUDIANTES'!B:L,5,0)</f>
        <v>E</v>
      </c>
      <c r="H146" s="18" t="s">
        <v>60</v>
      </c>
      <c r="I146" s="18" t="s">
        <v>1639</v>
      </c>
      <c r="J146" s="18" t="s">
        <v>563</v>
      </c>
      <c r="K146" s="23"/>
      <c r="L146" s="96">
        <v>43802</v>
      </c>
      <c r="M146" s="97">
        <v>72.17</v>
      </c>
      <c r="N146" s="96">
        <v>44802</v>
      </c>
      <c r="O146" s="97">
        <v>130</v>
      </c>
      <c r="P146" s="98" t="s">
        <v>79</v>
      </c>
      <c r="Q146" s="18" t="s">
        <v>1630</v>
      </c>
      <c r="R146" s="96">
        <v>42342</v>
      </c>
      <c r="S146" s="21">
        <f>YEAR(R146)</f>
        <v>2015</v>
      </c>
      <c r="T146" s="18" t="s">
        <v>568</v>
      </c>
      <c r="U146" s="96">
        <v>42384</v>
      </c>
      <c r="V146" s="96">
        <v>42402</v>
      </c>
      <c r="W146" s="19">
        <v>1</v>
      </c>
      <c r="X146" s="91">
        <f ca="1">IF(Y146="",NETWORKDAYS.INTL(U146,TODAY(),1),0)</f>
        <v>0</v>
      </c>
      <c r="Y146" s="114" t="s">
        <v>43</v>
      </c>
      <c r="Z146" s="18" t="s">
        <v>1573</v>
      </c>
      <c r="AA146" s="96">
        <v>42388</v>
      </c>
      <c r="AB146" s="96">
        <v>42394</v>
      </c>
      <c r="AC146" s="19">
        <v>1</v>
      </c>
      <c r="AD146" s="21">
        <f ca="1">IF(AE146="",NETWORKDAYS.INTL(AA146,TODAY(),1),0)</f>
        <v>0</v>
      </c>
      <c r="AE146" s="114" t="s">
        <v>43</v>
      </c>
      <c r="AF146" s="18" t="s">
        <v>1640</v>
      </c>
      <c r="AG146" s="18" t="s">
        <v>1258</v>
      </c>
      <c r="AH146" s="18" t="s">
        <v>1641</v>
      </c>
      <c r="AI146" s="18" t="s">
        <v>1642</v>
      </c>
      <c r="AJ146" s="19">
        <v>2</v>
      </c>
      <c r="AK146" s="23">
        <f ca="1">IF(AL146="",NETWORKDAYS.INTL(AH146,TODAY(),1),0)</f>
        <v>0</v>
      </c>
      <c r="AL146" s="18" t="s">
        <v>42</v>
      </c>
      <c r="AM146" s="18" t="s">
        <v>1643</v>
      </c>
      <c r="AN146" s="18" t="s">
        <v>1641</v>
      </c>
      <c r="AO146" s="18" t="s">
        <v>1644</v>
      </c>
      <c r="AP146" s="19">
        <v>2</v>
      </c>
      <c r="AQ146" s="163">
        <f ca="1">IF(AR146="",NETWORKDAYS.INTL(AN146,TODAY(),1),0)</f>
        <v>0</v>
      </c>
      <c r="AR146" s="164" t="s">
        <v>42</v>
      </c>
      <c r="AS146" s="18"/>
      <c r="AT146" s="21">
        <v>43</v>
      </c>
      <c r="AU146" s="23" t="s">
        <v>41</v>
      </c>
      <c r="AV146" s="23"/>
      <c r="AW146" s="23"/>
      <c r="AX146" s="23">
        <v>2023</v>
      </c>
      <c r="AY146" s="152" t="s">
        <v>1645</v>
      </c>
      <c r="AZ146" s="120">
        <v>44993</v>
      </c>
      <c r="BA146" s="120"/>
      <c r="BB146" s="23" t="s">
        <v>1646</v>
      </c>
      <c r="BC146" s="23"/>
      <c r="BD146" s="100" t="str">
        <f t="shared" si="33"/>
        <v/>
      </c>
      <c r="BE146" s="100" t="str">
        <f t="shared" si="34"/>
        <v/>
      </c>
      <c r="BF146" s="100" t="str">
        <f t="shared" si="35"/>
        <v/>
      </c>
      <c r="BG146" s="100" t="str">
        <f t="shared" si="36"/>
        <v/>
      </c>
      <c r="BH146" s="100" t="str">
        <f t="shared" si="37"/>
        <v/>
      </c>
      <c r="BI146" s="23"/>
    </row>
    <row r="147" spans="1:61" s="95" customFormat="1" ht="45">
      <c r="A147" s="21">
        <v>20152195017</v>
      </c>
      <c r="B147" s="19" t="str">
        <f>VLOOKUP(A147,'ESTADOS ESTUDIANTES'!B:L,2,0)</f>
        <v>OLIVEROS ROBAYO ORLANDO ENRIQUE</v>
      </c>
      <c r="C147" s="19">
        <f>VLOOKUP(A147,'ESTADOS ESTUDIANTES'!B:L,11,0)</f>
        <v>79795395</v>
      </c>
      <c r="D147" s="23">
        <f>VLOOKUP(A147,'ESTADOS ESTUDIANTES'!B:L,3,0)</f>
        <v>195</v>
      </c>
      <c r="E147" s="19">
        <f>VLOOKUP(A147,'ESTADOS ESTUDIANTES'!B:L,8,0)</f>
        <v>0</v>
      </c>
      <c r="F147" s="19" t="str">
        <f>VLOOKUP(A147,'ESTADOS ESTUDIANTES'!B:L,9,0)</f>
        <v>orlando__ol@hotmail.com</v>
      </c>
      <c r="G147" s="19" t="str">
        <f>VLOOKUP(A147,'ESTADOS ESTUDIANTES'!B:L,5,0)</f>
        <v>X</v>
      </c>
      <c r="H147" s="18" t="s">
        <v>60</v>
      </c>
      <c r="I147" s="18" t="s">
        <v>1647</v>
      </c>
      <c r="J147" s="18" t="s">
        <v>309</v>
      </c>
      <c r="K147" s="23"/>
      <c r="L147" s="96"/>
      <c r="M147" s="97"/>
      <c r="N147" s="96"/>
      <c r="O147" s="97"/>
      <c r="P147" s="110"/>
      <c r="Q147" s="18" t="s">
        <v>1648</v>
      </c>
      <c r="R147" s="96">
        <v>42342</v>
      </c>
      <c r="S147" s="19">
        <v>2015</v>
      </c>
      <c r="T147" s="18" t="s">
        <v>323</v>
      </c>
      <c r="U147" s="18" t="s">
        <v>1649</v>
      </c>
      <c r="V147" s="18" t="s">
        <v>1650</v>
      </c>
      <c r="W147" s="19">
        <v>1</v>
      </c>
      <c r="X147" s="91">
        <f ca="1">IF(U147="",NETWORKDAYS.INTL(Y147,TODAY(),1),0)</f>
        <v>0</v>
      </c>
      <c r="Y147" s="114" t="s">
        <v>43</v>
      </c>
      <c r="Z147" s="18" t="s">
        <v>1518</v>
      </c>
      <c r="AA147" s="96">
        <v>43693</v>
      </c>
      <c r="AB147" s="96">
        <v>43728</v>
      </c>
      <c r="AC147" s="18" t="s">
        <v>1651</v>
      </c>
      <c r="AD147" s="21">
        <f ca="1">IF(AA147="",NETWORKDAYS.INTL(AE147,TODAY(),1),0)</f>
        <v>0</v>
      </c>
      <c r="AE147" s="114" t="s">
        <v>57</v>
      </c>
      <c r="AF147" s="96"/>
      <c r="AG147" s="23"/>
      <c r="AH147" s="96"/>
      <c r="AI147" s="96"/>
      <c r="AJ147" s="23"/>
      <c r="AK147" s="23">
        <f ca="1">IF(AH147="",NETWORKDAYS.INTL(AL147,TODAY(),1),0)</f>
        <v>33055</v>
      </c>
      <c r="AL147" s="23"/>
      <c r="AM147" s="23"/>
      <c r="AN147" s="96"/>
      <c r="AO147" s="96"/>
      <c r="AP147" s="23"/>
      <c r="AQ147" s="163">
        <f ca="1">IF(AN147="",NETWORKDAYS.INTL(AR147,TODAY(),1),0)</f>
        <v>33055</v>
      </c>
      <c r="AR147" s="161"/>
      <c r="AS147" s="18"/>
      <c r="AT147" s="21"/>
      <c r="AU147" s="23"/>
      <c r="AV147" s="23"/>
      <c r="AW147" s="23"/>
      <c r="AX147" s="23"/>
      <c r="AY147" s="23"/>
      <c r="AZ147" s="23"/>
      <c r="BA147" s="23"/>
      <c r="BB147" s="23"/>
      <c r="BC147" s="23"/>
      <c r="BD147" s="100" t="str">
        <f t="shared" si="33"/>
        <v/>
      </c>
      <c r="BE147" s="100" t="str">
        <f t="shared" si="34"/>
        <v/>
      </c>
      <c r="BF147" s="100" t="str">
        <f t="shared" si="35"/>
        <v/>
      </c>
      <c r="BG147" s="100" t="str">
        <f t="shared" si="36"/>
        <v/>
      </c>
      <c r="BH147" s="100" t="str">
        <f t="shared" si="37"/>
        <v/>
      </c>
      <c r="BI147" s="23"/>
    </row>
    <row r="148" spans="1:61" s="95" customFormat="1" ht="45">
      <c r="A148" s="101">
        <v>20152195019</v>
      </c>
      <c r="B148" s="19" t="str">
        <f>VLOOKUP(A148,'ESTADOS ESTUDIANTES'!B:L,2,0)</f>
        <v>PARDO CADENA DUVAN ARLEY</v>
      </c>
      <c r="C148" s="102">
        <f>VLOOKUP(A148,'ESTADOS ESTUDIANTES'!B:L,11,0)</f>
        <v>1018451803</v>
      </c>
      <c r="D148" s="23">
        <f>VLOOKUP(A148,'ESTADOS ESTUDIANTES'!B:L,3,0)</f>
        <v>195</v>
      </c>
      <c r="E148" s="102">
        <f>VLOOKUP(A148,'ESTADOS ESTUDIANTES'!B:L,8,0)</f>
        <v>0</v>
      </c>
      <c r="F148" s="102" t="str">
        <f>VLOOKUP(A148,'ESTADOS ESTUDIANTES'!B:L,9,0)</f>
        <v>dapardoc@gmail.com</v>
      </c>
      <c r="G148" s="19" t="str">
        <f>VLOOKUP(A148,'ESTADOS ESTUDIANTES'!B:L,5,0)</f>
        <v>E</v>
      </c>
      <c r="H148" s="103"/>
      <c r="I148" s="100" t="s">
        <v>1652</v>
      </c>
      <c r="J148" s="108" t="s">
        <v>1461</v>
      </c>
      <c r="K148" s="103"/>
      <c r="L148" s="105"/>
      <c r="M148" s="106"/>
      <c r="N148" s="105"/>
      <c r="O148" s="106"/>
      <c r="P148" s="107"/>
      <c r="Q148" s="100" t="s">
        <v>1627</v>
      </c>
      <c r="R148" s="105">
        <v>42347</v>
      </c>
      <c r="S148" s="102">
        <v>2015</v>
      </c>
      <c r="T148" s="100" t="s">
        <v>1653</v>
      </c>
      <c r="U148" s="105">
        <v>42384</v>
      </c>
      <c r="V148" s="105">
        <v>42408</v>
      </c>
      <c r="W148" s="102">
        <v>1</v>
      </c>
      <c r="X148" s="91">
        <f ca="1">IF(U148="",NETWORKDAYS.INTL(Y148,TODAY(),1),0)</f>
        <v>0</v>
      </c>
      <c r="Y148" s="100" t="s">
        <v>43</v>
      </c>
      <c r="Z148" s="100" t="s">
        <v>1573</v>
      </c>
      <c r="AA148" s="105">
        <v>42389</v>
      </c>
      <c r="AB148" s="105">
        <v>42394</v>
      </c>
      <c r="AC148" s="102">
        <v>1</v>
      </c>
      <c r="AD148" s="21">
        <f ca="1">IF(AA148="",NETWORKDAYS.INTL(AE148,TODAY(),1),0)</f>
        <v>0</v>
      </c>
      <c r="AE148" s="100" t="s">
        <v>43</v>
      </c>
      <c r="AF148" s="105"/>
      <c r="AG148" s="100" t="s">
        <v>1653</v>
      </c>
      <c r="AH148" s="105">
        <v>43119</v>
      </c>
      <c r="AI148" s="105"/>
      <c r="AJ148" s="103"/>
      <c r="AK148" s="23">
        <f ca="1">IF(AH148="",NETWORKDAYS.INTL(AL148,TODAY(),1),0)</f>
        <v>0</v>
      </c>
      <c r="AL148" s="100" t="s">
        <v>42</v>
      </c>
      <c r="AM148" s="100" t="s">
        <v>1573</v>
      </c>
      <c r="AN148" s="100" t="s">
        <v>1654</v>
      </c>
      <c r="AO148" s="105"/>
      <c r="AP148" s="103"/>
      <c r="AQ148" s="162">
        <f ca="1">IF(AN148="",NETWORKDAYS.INTL(AR148,TODAY(),1),0)</f>
        <v>0</v>
      </c>
      <c r="AR148" s="162" t="s">
        <v>42</v>
      </c>
      <c r="AS148" s="100" t="s">
        <v>1628</v>
      </c>
      <c r="AT148" s="101">
        <v>4.3</v>
      </c>
      <c r="AU148" s="100" t="s">
        <v>41</v>
      </c>
      <c r="AV148" s="113">
        <v>43137</v>
      </c>
      <c r="AW148" s="103"/>
      <c r="AX148" s="103"/>
      <c r="AY148" s="103"/>
      <c r="AZ148" s="103"/>
      <c r="BA148" s="103"/>
      <c r="BB148" s="103"/>
      <c r="BC148" s="103"/>
      <c r="BD148" s="100" t="str">
        <f t="shared" si="33"/>
        <v/>
      </c>
      <c r="BE148" s="100" t="str">
        <f t="shared" si="34"/>
        <v/>
      </c>
      <c r="BF148" s="100" t="str">
        <f t="shared" si="35"/>
        <v/>
      </c>
      <c r="BG148" s="100" t="str">
        <f t="shared" si="36"/>
        <v/>
      </c>
      <c r="BH148" s="100" t="str">
        <f t="shared" si="37"/>
        <v/>
      </c>
      <c r="BI148" s="103"/>
    </row>
    <row r="149" spans="1:61" s="95" customFormat="1" ht="45">
      <c r="A149" s="101">
        <v>20152195020</v>
      </c>
      <c r="B149" s="19" t="str">
        <f>VLOOKUP(A149,'ESTADOS ESTUDIANTES'!B:L,2,0)</f>
        <v>PEÑA CARO WILSON JAVIER</v>
      </c>
      <c r="C149" s="102">
        <f>VLOOKUP(A149,'ESTADOS ESTUDIANTES'!B:L,11,0)</f>
        <v>1010175143</v>
      </c>
      <c r="D149" s="23">
        <f>VLOOKUP(A149,'ESTADOS ESTUDIANTES'!B:L,3,0)</f>
        <v>195</v>
      </c>
      <c r="E149" s="102" t="str">
        <f>VLOOKUP(A149,'ESTADOS ESTUDIANTES'!B:L,8,0)</f>
        <v>wjpenac@correo.udistrital.edu.co</v>
      </c>
      <c r="F149" s="102" t="str">
        <f>VLOOKUP(A149,'ESTADOS ESTUDIANTES'!B:L,9,0)</f>
        <v>wiljha@hotmail.com</v>
      </c>
      <c r="G149" s="19" t="str">
        <f>VLOOKUP(A149,'ESTADOS ESTUDIANTES'!B:L,5,0)</f>
        <v>E</v>
      </c>
      <c r="H149" s="100" t="s">
        <v>46</v>
      </c>
      <c r="I149" s="100" t="s">
        <v>1655</v>
      </c>
      <c r="J149" s="108" t="s">
        <v>310</v>
      </c>
      <c r="K149" s="103"/>
      <c r="L149" s="105"/>
      <c r="M149" s="106"/>
      <c r="N149" s="105"/>
      <c r="O149" s="106"/>
      <c r="P149" s="107"/>
      <c r="Q149" s="100" t="s">
        <v>1656</v>
      </c>
      <c r="R149" s="105">
        <v>42562</v>
      </c>
      <c r="S149" s="102">
        <v>2016</v>
      </c>
      <c r="T149" s="100" t="s">
        <v>1657</v>
      </c>
      <c r="U149" s="100" t="s">
        <v>1658</v>
      </c>
      <c r="V149" s="105">
        <v>42578</v>
      </c>
      <c r="W149" s="102">
        <v>1</v>
      </c>
      <c r="X149" s="91">
        <f ca="1">IF(U149="",NETWORKDAYS.INTL(Y149,TODAY(),1),0)</f>
        <v>0</v>
      </c>
      <c r="Y149" s="100" t="s">
        <v>43</v>
      </c>
      <c r="Z149" s="100" t="s">
        <v>1479</v>
      </c>
      <c r="AA149" s="105">
        <v>42570</v>
      </c>
      <c r="AB149" s="100" t="s">
        <v>1659</v>
      </c>
      <c r="AC149" s="102">
        <v>1</v>
      </c>
      <c r="AD149" s="21">
        <f ca="1">IF(AA149="",NETWORKDAYS.INTL(AE149,TODAY(),1),0)</f>
        <v>0</v>
      </c>
      <c r="AE149" s="100" t="s">
        <v>43</v>
      </c>
      <c r="AF149" s="105">
        <v>42969</v>
      </c>
      <c r="AG149" s="100" t="s">
        <v>1657</v>
      </c>
      <c r="AH149" s="105">
        <v>43046</v>
      </c>
      <c r="AI149" s="105">
        <v>43047</v>
      </c>
      <c r="AJ149" s="102">
        <v>1</v>
      </c>
      <c r="AK149" s="23">
        <f ca="1">IF(AH149="",NETWORKDAYS.INTL(AL149,TODAY(),1),0)</f>
        <v>0</v>
      </c>
      <c r="AL149" s="100" t="s">
        <v>42</v>
      </c>
      <c r="AM149" s="100" t="s">
        <v>1479</v>
      </c>
      <c r="AN149" s="105">
        <v>42998</v>
      </c>
      <c r="AO149" s="105">
        <v>43049</v>
      </c>
      <c r="AP149" s="102">
        <v>1</v>
      </c>
      <c r="AQ149" s="164">
        <f ca="1">IF(AN149="",NETWORKDAYS.INTL(AR149,TODAY(),1),0)</f>
        <v>0</v>
      </c>
      <c r="AR149" s="162" t="s">
        <v>42</v>
      </c>
      <c r="AS149" s="100" t="s">
        <v>1660</v>
      </c>
      <c r="AT149" s="101">
        <v>50</v>
      </c>
      <c r="AU149" s="100" t="s">
        <v>41</v>
      </c>
      <c r="AV149" s="113">
        <v>43066</v>
      </c>
      <c r="AW149" s="103"/>
      <c r="AX149" s="103"/>
      <c r="AY149" s="103"/>
      <c r="AZ149" s="103"/>
      <c r="BA149" s="103"/>
      <c r="BB149" s="103"/>
      <c r="BC149" s="103"/>
      <c r="BD149" s="100" t="str">
        <f t="shared" si="33"/>
        <v/>
      </c>
      <c r="BE149" s="100" t="str">
        <f t="shared" si="34"/>
        <v/>
      </c>
      <c r="BF149" s="100" t="str">
        <f t="shared" si="35"/>
        <v/>
      </c>
      <c r="BG149" s="100" t="str">
        <f t="shared" si="36"/>
        <v/>
      </c>
      <c r="BH149" s="100" t="str">
        <f t="shared" si="37"/>
        <v/>
      </c>
      <c r="BI149" s="103"/>
    </row>
    <row r="150" spans="1:61" s="95" customFormat="1" ht="30">
      <c r="A150" s="101">
        <v>20152195021</v>
      </c>
      <c r="B150" s="19" t="str">
        <f>VLOOKUP(A150,'ESTADOS ESTUDIANTES'!B:L,2,0)</f>
        <v>PEREZ ALMEIDA SERGIO ALEJANDRO</v>
      </c>
      <c r="C150" s="102">
        <f>VLOOKUP(A150,'ESTADOS ESTUDIANTES'!B:L,11,0)</f>
        <v>1030584421</v>
      </c>
      <c r="D150" s="23">
        <f>VLOOKUP(A150,'ESTADOS ESTUDIANTES'!B:L,3,0)</f>
        <v>195</v>
      </c>
      <c r="E150" s="102" t="str">
        <f>VLOOKUP(A150,'ESTADOS ESTUDIANTES'!B:L,8,0)</f>
        <v>sapereza@udistrital.edu.co</v>
      </c>
      <c r="F150" s="102" t="str">
        <f>VLOOKUP(A150,'ESTADOS ESTUDIANTES'!B:L,9,0)</f>
        <v>sergio9012@hotmail.com</v>
      </c>
      <c r="G150" s="19" t="str">
        <f>VLOOKUP(A150,'ESTADOS ESTUDIANTES'!B:L,5,0)</f>
        <v>E</v>
      </c>
      <c r="H150" s="103"/>
      <c r="I150" s="100" t="s">
        <v>1661</v>
      </c>
      <c r="J150" s="104"/>
      <c r="K150" s="103"/>
      <c r="L150" s="105"/>
      <c r="M150" s="106"/>
      <c r="N150" s="105">
        <v>43964</v>
      </c>
      <c r="O150" s="106"/>
      <c r="P150" s="107"/>
      <c r="Q150" s="100" t="s">
        <v>1662</v>
      </c>
      <c r="R150" s="105">
        <v>42348</v>
      </c>
      <c r="S150" s="102">
        <v>2015</v>
      </c>
      <c r="T150" s="100" t="s">
        <v>356</v>
      </c>
      <c r="U150" s="105">
        <v>42419</v>
      </c>
      <c r="V150" s="105">
        <v>42543</v>
      </c>
      <c r="W150" s="102">
        <v>1</v>
      </c>
      <c r="X150" s="91">
        <f ca="1">IF(U150="",NETWORKDAYS.INTL(Y150,TODAY(),1),0)</f>
        <v>0</v>
      </c>
      <c r="Y150" s="100" t="s">
        <v>43</v>
      </c>
      <c r="Z150" s="100" t="s">
        <v>1258</v>
      </c>
      <c r="AA150" s="105">
        <v>42410</v>
      </c>
      <c r="AB150" s="105">
        <v>42416</v>
      </c>
      <c r="AC150" s="102">
        <v>1</v>
      </c>
      <c r="AD150" s="21">
        <f ca="1">IF(AA150="",NETWORKDAYS.INTL(AE150,TODAY(),1),0)</f>
        <v>0</v>
      </c>
      <c r="AE150" s="100" t="s">
        <v>43</v>
      </c>
      <c r="AF150" s="105">
        <v>43005</v>
      </c>
      <c r="AG150" s="100" t="s">
        <v>356</v>
      </c>
      <c r="AH150" s="105">
        <v>42998</v>
      </c>
      <c r="AI150" s="105">
        <v>43046</v>
      </c>
      <c r="AJ150" s="102">
        <v>1</v>
      </c>
      <c r="AK150" s="23">
        <f ca="1">IF(AH150="",NETWORKDAYS.INTL(AL150,TODAY(),1),0)</f>
        <v>0</v>
      </c>
      <c r="AL150" s="100" t="s">
        <v>42</v>
      </c>
      <c r="AM150" s="100" t="s">
        <v>1258</v>
      </c>
      <c r="AN150" s="105">
        <v>43027</v>
      </c>
      <c r="AO150" s="105">
        <v>43046</v>
      </c>
      <c r="AP150" s="102">
        <v>1</v>
      </c>
      <c r="AQ150" s="162">
        <f ca="1">IF(AN150="",NETWORKDAYS.INTL(AR150,TODAY(),1),0)</f>
        <v>0</v>
      </c>
      <c r="AR150" s="162" t="s">
        <v>42</v>
      </c>
      <c r="AS150" s="100" t="s">
        <v>1663</v>
      </c>
      <c r="AT150" s="101">
        <v>50</v>
      </c>
      <c r="AU150" s="100" t="s">
        <v>41</v>
      </c>
      <c r="AV150" s="113">
        <v>43066</v>
      </c>
      <c r="AW150" s="103"/>
      <c r="AX150" s="103"/>
      <c r="AY150" s="103"/>
      <c r="AZ150" s="103"/>
      <c r="BA150" s="103"/>
      <c r="BB150" s="103"/>
      <c r="BC150" s="103"/>
      <c r="BD150" s="100" t="str">
        <f t="shared" si="33"/>
        <v/>
      </c>
      <c r="BE150" s="100" t="str">
        <f t="shared" si="34"/>
        <v/>
      </c>
      <c r="BF150" s="100" t="str">
        <f t="shared" si="35"/>
        <v/>
      </c>
      <c r="BG150" s="100" t="str">
        <f t="shared" si="36"/>
        <v/>
      </c>
      <c r="BH150" s="100" t="str">
        <f t="shared" si="37"/>
        <v/>
      </c>
      <c r="BI150" s="103"/>
    </row>
    <row r="151" spans="1:61" s="95" customFormat="1" ht="45">
      <c r="A151" s="111">
        <v>20152195022</v>
      </c>
      <c r="B151" s="19" t="str">
        <f>VLOOKUP(A151,'ESTADOS ESTUDIANTES'!B:L,2,0)</f>
        <v>PICO RODRIGUEZ DIEGO ALEJANDRO</v>
      </c>
      <c r="C151" s="19">
        <f>VLOOKUP(A151,'ESTADOS ESTUDIANTES'!B:L,11,0)</f>
        <v>79947322</v>
      </c>
      <c r="D151" s="23">
        <f>VLOOKUP(A151,'ESTADOS ESTUDIANTES'!B:L,3,0)</f>
        <v>195</v>
      </c>
      <c r="E151" s="19" t="str">
        <f>VLOOKUP(A151,'ESTADOS ESTUDIANTES'!B:L,8,0)</f>
        <v>dapicor@udistrital.edu.co</v>
      </c>
      <c r="F151" s="19" t="str">
        <f>VLOOKUP(A151,'ESTADOS ESTUDIANTES'!B:L,9,0)</f>
        <v>diegoapico@gmail.com</v>
      </c>
      <c r="G151" s="19" t="str">
        <f>VLOOKUP(A151,'ESTADOS ESTUDIANTES'!B:L,5,0)</f>
        <v>X</v>
      </c>
      <c r="H151" s="18" t="s">
        <v>60</v>
      </c>
      <c r="I151" s="18" t="s">
        <v>1664</v>
      </c>
      <c r="J151" s="18" t="s">
        <v>309</v>
      </c>
      <c r="K151" s="23"/>
      <c r="L151" s="96"/>
      <c r="M151" s="97"/>
      <c r="N151" s="96">
        <v>43964</v>
      </c>
      <c r="O151" s="97">
        <v>73.91</v>
      </c>
      <c r="P151" s="98" t="s">
        <v>79</v>
      </c>
      <c r="Q151" s="18" t="s">
        <v>1665</v>
      </c>
      <c r="R151" s="96">
        <v>42388</v>
      </c>
      <c r="S151" s="19">
        <v>2016</v>
      </c>
      <c r="T151" s="18" t="s">
        <v>226</v>
      </c>
      <c r="U151" s="96">
        <v>42502</v>
      </c>
      <c r="V151" s="96">
        <v>42502</v>
      </c>
      <c r="W151" s="19">
        <v>1</v>
      </c>
      <c r="X151" s="91">
        <f ca="1">IF(Y151="",NETWORKDAYS.INTL(U151,TODAY(),1),0)</f>
        <v>0</v>
      </c>
      <c r="Y151" s="114" t="s">
        <v>43</v>
      </c>
      <c r="Z151" s="18" t="s">
        <v>1599</v>
      </c>
      <c r="AA151" s="96">
        <v>42419</v>
      </c>
      <c r="AB151" s="96">
        <v>42471</v>
      </c>
      <c r="AC151" s="19">
        <v>1</v>
      </c>
      <c r="AD151" s="21">
        <f ca="1">IF(AE151="",NETWORKDAYS.INTL(AA151,TODAY(),1),0)</f>
        <v>0</v>
      </c>
      <c r="AE151" s="114" t="s">
        <v>43</v>
      </c>
      <c r="AF151" s="96"/>
      <c r="AG151" s="23"/>
      <c r="AH151" s="96"/>
      <c r="AI151" s="96"/>
      <c r="AJ151" s="23"/>
      <c r="AK151" s="23">
        <f ca="1">IF(AL151="",NETWORKDAYS.INTL(AH151,TODAY(),1),0)</f>
        <v>33055</v>
      </c>
      <c r="AL151" s="23"/>
      <c r="AM151" s="23"/>
      <c r="AN151" s="96"/>
      <c r="AO151" s="96"/>
      <c r="AP151" s="23"/>
      <c r="AQ151" s="163">
        <f ca="1">IF(AR151="",NETWORKDAYS.INTL(AN151,TODAY(),1),0)</f>
        <v>33055</v>
      </c>
      <c r="AR151" s="161"/>
      <c r="AS151" s="18"/>
      <c r="AT151" s="21"/>
      <c r="AU151" s="23"/>
      <c r="AV151" s="23"/>
      <c r="AW151" s="23"/>
      <c r="AX151" s="23"/>
      <c r="AY151" s="23"/>
      <c r="AZ151" s="23"/>
      <c r="BA151" s="23"/>
      <c r="BB151" s="23"/>
      <c r="BC151" s="23"/>
      <c r="BD151" s="100" t="str">
        <f t="shared" si="33"/>
        <v/>
      </c>
      <c r="BE151" s="100" t="str">
        <f t="shared" si="34"/>
        <v/>
      </c>
      <c r="BF151" s="100" t="str">
        <f t="shared" si="35"/>
        <v/>
      </c>
      <c r="BG151" s="102" t="str">
        <f t="shared" si="36"/>
        <v/>
      </c>
      <c r="BH151" s="102" t="str">
        <f t="shared" si="37"/>
        <v/>
      </c>
      <c r="BI151" s="23"/>
    </row>
    <row r="152" spans="1:61" s="95" customFormat="1">
      <c r="A152" s="101">
        <v>20152195024</v>
      </c>
      <c r="B152" s="19" t="str">
        <f>VLOOKUP(A152,'ESTADOS ESTUDIANTES'!B:L,2,0)</f>
        <v>TRIANA ESPINOSA JHON JAIRO</v>
      </c>
      <c r="C152" s="102">
        <f>VLOOKUP(A152,'ESTADOS ESTUDIANTES'!B:L,11,0)</f>
        <v>9398443</v>
      </c>
      <c r="D152" s="23">
        <f>VLOOKUP(A152,'ESTADOS ESTUDIANTES'!B:L,3,0)</f>
        <v>195</v>
      </c>
      <c r="E152" s="102" t="str">
        <f>VLOOKUP(A152,'ESTADOS ESTUDIANTES'!B:L,8,0)</f>
        <v>jjtrianae@correo.udistrital.edu.co</v>
      </c>
      <c r="F152" s="102" t="str">
        <f>VLOOKUP(A152,'ESTADOS ESTUDIANTES'!B:L,9,0)</f>
        <v>jjairo.triana@gmail.com</v>
      </c>
      <c r="G152" s="19" t="str">
        <f>VLOOKUP(A152,'ESTADOS ESTUDIANTES'!B:L,5,0)</f>
        <v>X</v>
      </c>
      <c r="H152" s="103"/>
      <c r="I152" s="103"/>
      <c r="J152" s="103"/>
      <c r="K152" s="103"/>
      <c r="L152" s="105"/>
      <c r="M152" s="106"/>
      <c r="N152" s="105"/>
      <c r="O152" s="106"/>
      <c r="P152" s="107"/>
      <c r="Q152" s="100"/>
      <c r="R152" s="105"/>
      <c r="S152" s="103"/>
      <c r="T152" s="103"/>
      <c r="U152" s="105"/>
      <c r="V152" s="105"/>
      <c r="W152" s="103"/>
      <c r="X152" s="91">
        <f t="shared" ref="X152:X171" ca="1" si="42">IF(U152="",NETWORKDAYS.INTL(Y152,TODAY(),1),0)</f>
        <v>33055</v>
      </c>
      <c r="Y152" s="99"/>
      <c r="Z152" s="103"/>
      <c r="AA152" s="105"/>
      <c r="AB152" s="105"/>
      <c r="AC152" s="103"/>
      <c r="AD152" s="21">
        <f t="shared" ref="AD152:AD171" ca="1" si="43">IF(AA152="",NETWORKDAYS.INTL(AE152,TODAY(),1),0)</f>
        <v>33055</v>
      </c>
      <c r="AE152" s="99"/>
      <c r="AF152" s="105"/>
      <c r="AG152" s="103"/>
      <c r="AH152" s="105"/>
      <c r="AI152" s="105"/>
      <c r="AJ152" s="103"/>
      <c r="AK152" s="23">
        <f t="shared" ref="AK152:AK171" ca="1" si="44">IF(AH152="",NETWORKDAYS.INTL(AL152,TODAY(),1),0)</f>
        <v>33055</v>
      </c>
      <c r="AL152" s="103"/>
      <c r="AM152" s="103"/>
      <c r="AN152" s="105"/>
      <c r="AO152" s="105"/>
      <c r="AP152" s="103"/>
      <c r="AQ152" s="163">
        <f t="shared" ref="AQ152:AQ171" ca="1" si="45">IF(AN152="",NETWORKDAYS.INTL(AR152,TODAY(),1),0)</f>
        <v>33055</v>
      </c>
      <c r="AR152" s="163"/>
      <c r="AS152" s="101"/>
      <c r="AT152" s="101"/>
      <c r="AU152" s="103"/>
      <c r="AV152" s="103"/>
      <c r="AW152" s="103"/>
      <c r="AX152" s="103"/>
      <c r="AY152" s="103"/>
      <c r="AZ152" s="103"/>
      <c r="BA152" s="103"/>
      <c r="BB152" s="103"/>
      <c r="BC152" s="103"/>
      <c r="BD152" s="100" t="str">
        <f t="shared" si="33"/>
        <v/>
      </c>
      <c r="BE152" s="100" t="str">
        <f t="shared" si="34"/>
        <v/>
      </c>
      <c r="BF152" s="100" t="str">
        <f t="shared" si="35"/>
        <v/>
      </c>
      <c r="BG152" s="100" t="str">
        <f t="shared" si="36"/>
        <v/>
      </c>
      <c r="BH152" s="100" t="str">
        <f t="shared" si="37"/>
        <v/>
      </c>
      <c r="BI152" s="103"/>
    </row>
    <row r="153" spans="1:61" s="95" customFormat="1" ht="30">
      <c r="A153" s="101">
        <v>20152195025</v>
      </c>
      <c r="B153" s="19" t="str">
        <f>VLOOKUP(A153,'ESTADOS ESTUDIANTES'!B:L,2,0)</f>
        <v>VARGAS HERNANDEZ ASTRID JOHANNA</v>
      </c>
      <c r="C153" s="102">
        <f>VLOOKUP(A153,'ESTADOS ESTUDIANTES'!B:L,11,0)</f>
        <v>52827261</v>
      </c>
      <c r="D153" s="23">
        <f>VLOOKUP(A153,'ESTADOS ESTUDIANTES'!B:L,3,0)</f>
        <v>195</v>
      </c>
      <c r="E153" s="102">
        <f>VLOOKUP(A153,'ESTADOS ESTUDIANTES'!B:L,8,0)</f>
        <v>0</v>
      </c>
      <c r="F153" s="102" t="str">
        <f>VLOOKUP(A153,'ESTADOS ESTUDIANTES'!B:L,9,0)</f>
        <v>johannavha@gmail.com</v>
      </c>
      <c r="G153" s="19" t="str">
        <f>VLOOKUP(A153,'ESTADOS ESTUDIANTES'!B:L,5,0)</f>
        <v>X</v>
      </c>
      <c r="H153" s="100" t="s">
        <v>60</v>
      </c>
      <c r="I153" s="103"/>
      <c r="J153" s="103"/>
      <c r="K153" s="103"/>
      <c r="L153" s="105"/>
      <c r="M153" s="106"/>
      <c r="N153" s="105"/>
      <c r="O153" s="106"/>
      <c r="P153" s="107"/>
      <c r="Q153" s="100"/>
      <c r="R153" s="105"/>
      <c r="S153" s="103"/>
      <c r="T153" s="103"/>
      <c r="U153" s="105"/>
      <c r="V153" s="105"/>
      <c r="W153" s="103"/>
      <c r="X153" s="91">
        <f t="shared" ca="1" si="42"/>
        <v>33055</v>
      </c>
      <c r="Y153" s="99"/>
      <c r="Z153" s="103"/>
      <c r="AA153" s="105"/>
      <c r="AB153" s="105"/>
      <c r="AC153" s="103"/>
      <c r="AD153" s="21">
        <f t="shared" ca="1" si="43"/>
        <v>33055</v>
      </c>
      <c r="AE153" s="99"/>
      <c r="AF153" s="105"/>
      <c r="AG153" s="103"/>
      <c r="AH153" s="105"/>
      <c r="AI153" s="105"/>
      <c r="AJ153" s="103"/>
      <c r="AK153" s="23">
        <f t="shared" ca="1" si="44"/>
        <v>33055</v>
      </c>
      <c r="AL153" s="103"/>
      <c r="AM153" s="103"/>
      <c r="AN153" s="105"/>
      <c r="AO153" s="105"/>
      <c r="AP153" s="103"/>
      <c r="AQ153" s="163">
        <f t="shared" ca="1" si="45"/>
        <v>33055</v>
      </c>
      <c r="AR153" s="163"/>
      <c r="AS153" s="101"/>
      <c r="AT153" s="101"/>
      <c r="AU153" s="103"/>
      <c r="AV153" s="103"/>
      <c r="AW153" s="103"/>
      <c r="AX153" s="103"/>
      <c r="AY153" s="103"/>
      <c r="AZ153" s="103"/>
      <c r="BA153" s="103"/>
      <c r="BB153" s="103"/>
      <c r="BC153" s="103"/>
      <c r="BD153" s="100" t="str">
        <f t="shared" si="33"/>
        <v/>
      </c>
      <c r="BE153" s="100" t="str">
        <f t="shared" si="34"/>
        <v/>
      </c>
      <c r="BF153" s="100" t="str">
        <f t="shared" si="35"/>
        <v/>
      </c>
      <c r="BG153" s="100" t="str">
        <f t="shared" si="36"/>
        <v/>
      </c>
      <c r="BH153" s="100" t="str">
        <f t="shared" si="37"/>
        <v/>
      </c>
      <c r="BI153" s="103"/>
    </row>
    <row r="154" spans="1:61" s="222" customFormat="1" ht="45">
      <c r="A154" s="101">
        <v>20152195026</v>
      </c>
      <c r="B154" s="19" t="str">
        <f>VLOOKUP(A154,'ESTADOS ESTUDIANTES'!B:L,2,0)</f>
        <v>ZARTA ESCOBAR FELIPE ANDRES</v>
      </c>
      <c r="C154" s="102">
        <f>VLOOKUP(A154,'ESTADOS ESTUDIANTES'!B:L,11,0)</f>
        <v>1075650800</v>
      </c>
      <c r="D154" s="23">
        <f>VLOOKUP(A154,'ESTADOS ESTUDIANTES'!B:L,3,0)</f>
        <v>195</v>
      </c>
      <c r="E154" s="102" t="str">
        <f>VLOOKUP(A154,'ESTADOS ESTUDIANTES'!B:L,8,0)</f>
        <v>fazartae@correo.udistrital.edu.co</v>
      </c>
      <c r="F154" s="102" t="str">
        <f>VLOOKUP(A154,'ESTADOS ESTUDIANTES'!B:L,9,0)</f>
        <v>felipe.zarta@gmail.com</v>
      </c>
      <c r="G154" s="19" t="str">
        <f>VLOOKUP(A154,'ESTADOS ESTUDIANTES'!B:L,5,0)</f>
        <v>E</v>
      </c>
      <c r="H154" s="103"/>
      <c r="I154" s="100" t="s">
        <v>1666</v>
      </c>
      <c r="J154" s="108" t="s">
        <v>402</v>
      </c>
      <c r="K154" s="103"/>
      <c r="L154" s="105"/>
      <c r="M154" s="106"/>
      <c r="N154" s="105"/>
      <c r="O154" s="106"/>
      <c r="P154" s="107"/>
      <c r="Q154" s="102">
        <v>42583</v>
      </c>
      <c r="R154" s="105"/>
      <c r="S154" s="102">
        <v>2016</v>
      </c>
      <c r="T154" s="100" t="s">
        <v>1258</v>
      </c>
      <c r="U154" s="105">
        <v>42473</v>
      </c>
      <c r="V154" s="105"/>
      <c r="W154" s="103"/>
      <c r="X154" s="91">
        <f t="shared" ca="1" si="42"/>
        <v>0</v>
      </c>
      <c r="Y154" s="122" t="s">
        <v>43</v>
      </c>
      <c r="Z154" s="100" t="s">
        <v>1300</v>
      </c>
      <c r="AA154" s="105">
        <v>42485</v>
      </c>
      <c r="AB154" s="105"/>
      <c r="AC154" s="103"/>
      <c r="AD154" s="21">
        <f t="shared" ca="1" si="43"/>
        <v>0</v>
      </c>
      <c r="AE154" s="122" t="s">
        <v>43</v>
      </c>
      <c r="AF154" s="105"/>
      <c r="AG154" s="100" t="s">
        <v>1258</v>
      </c>
      <c r="AH154" s="105">
        <v>43040</v>
      </c>
      <c r="AI154" s="105"/>
      <c r="AJ154" s="103"/>
      <c r="AK154" s="23">
        <f t="shared" ca="1" si="44"/>
        <v>0</v>
      </c>
      <c r="AL154" s="100" t="s">
        <v>42</v>
      </c>
      <c r="AM154" s="100" t="s">
        <v>1300</v>
      </c>
      <c r="AN154" s="105"/>
      <c r="AO154" s="105">
        <v>42934</v>
      </c>
      <c r="AP154" s="103"/>
      <c r="AQ154" s="162" t="e">
        <f t="shared" ca="1" si="45"/>
        <v>#VALUE!</v>
      </c>
      <c r="AR154" s="162" t="s">
        <v>42</v>
      </c>
      <c r="AS154" s="101">
        <v>42933</v>
      </c>
      <c r="AT154" s="101">
        <v>4.2</v>
      </c>
      <c r="AU154" s="100" t="s">
        <v>41</v>
      </c>
      <c r="AV154" s="100" t="s">
        <v>1667</v>
      </c>
      <c r="AW154" s="113">
        <v>43084</v>
      </c>
      <c r="AX154" s="102">
        <v>2017</v>
      </c>
      <c r="AY154" s="103"/>
      <c r="AZ154" s="103"/>
      <c r="BA154" s="103"/>
      <c r="BB154" s="103"/>
      <c r="BC154" s="103"/>
      <c r="BD154" s="100" t="str">
        <f t="shared" si="33"/>
        <v/>
      </c>
      <c r="BE154" s="100" t="str">
        <f t="shared" si="34"/>
        <v/>
      </c>
      <c r="BF154" s="100" t="str">
        <f t="shared" si="35"/>
        <v/>
      </c>
      <c r="BG154" s="100" t="str">
        <f t="shared" si="36"/>
        <v/>
      </c>
      <c r="BH154" s="100" t="str">
        <f t="shared" si="37"/>
        <v/>
      </c>
      <c r="BI154" s="103"/>
    </row>
    <row r="155" spans="1:61" s="95" customFormat="1">
      <c r="A155" s="101">
        <v>20152395003</v>
      </c>
      <c r="B155" s="19" t="str">
        <f>VLOOKUP(A155,'ESTADOS ESTUDIANTES'!B:L,2,0)</f>
        <v>LADINO ROJAS EDITH JOHANA</v>
      </c>
      <c r="C155" s="102">
        <f>VLOOKUP(A155,'ESTADOS ESTUDIANTES'!B:L,11,0)</f>
        <v>1022359431</v>
      </c>
      <c r="D155" s="23">
        <f>VLOOKUP(A155,'ESTADOS ESTUDIANTES'!B:L,3,0)</f>
        <v>395</v>
      </c>
      <c r="E155" s="102">
        <f>VLOOKUP(A155,'ESTADOS ESTUDIANTES'!B:L,8,0)</f>
        <v>0</v>
      </c>
      <c r="F155" s="102" t="str">
        <f>VLOOKUP(A155,'ESTADOS ESTUDIANTES'!B:L,9,0)</f>
        <v>edjolaro@gmail.com</v>
      </c>
      <c r="G155" s="19" t="str">
        <f>VLOOKUP(A155,'ESTADOS ESTUDIANTES'!B:L,5,0)</f>
        <v>X</v>
      </c>
      <c r="H155" s="100" t="s">
        <v>60</v>
      </c>
      <c r="I155" s="103"/>
      <c r="J155" s="103"/>
      <c r="K155" s="103"/>
      <c r="L155" s="105"/>
      <c r="M155" s="106"/>
      <c r="N155" s="105"/>
      <c r="O155" s="106"/>
      <c r="P155" s="107"/>
      <c r="Q155" s="100"/>
      <c r="R155" s="105"/>
      <c r="S155" s="103"/>
      <c r="T155" s="103"/>
      <c r="U155" s="105"/>
      <c r="V155" s="105"/>
      <c r="W155" s="103"/>
      <c r="X155" s="91">
        <f t="shared" ca="1" si="42"/>
        <v>33055</v>
      </c>
      <c r="Y155" s="99"/>
      <c r="Z155" s="103"/>
      <c r="AA155" s="105"/>
      <c r="AB155" s="105"/>
      <c r="AC155" s="103"/>
      <c r="AD155" s="21">
        <f t="shared" ca="1" si="43"/>
        <v>33055</v>
      </c>
      <c r="AE155" s="99"/>
      <c r="AF155" s="105"/>
      <c r="AG155" s="103"/>
      <c r="AH155" s="105"/>
      <c r="AI155" s="105"/>
      <c r="AJ155" s="103"/>
      <c r="AK155" s="23">
        <f t="shared" ca="1" si="44"/>
        <v>33055</v>
      </c>
      <c r="AL155" s="103"/>
      <c r="AM155" s="103"/>
      <c r="AN155" s="105"/>
      <c r="AO155" s="105"/>
      <c r="AP155" s="103"/>
      <c r="AQ155" s="163">
        <f t="shared" ca="1" si="45"/>
        <v>33055</v>
      </c>
      <c r="AR155" s="163"/>
      <c r="AS155" s="101"/>
      <c r="AT155" s="101"/>
      <c r="AU155" s="103"/>
      <c r="AV155" s="103"/>
      <c r="AW155" s="103"/>
      <c r="AX155" s="103"/>
      <c r="AY155" s="103"/>
      <c r="AZ155" s="103"/>
      <c r="BA155" s="103"/>
      <c r="BB155" s="103"/>
      <c r="BC155" s="103"/>
      <c r="BD155" s="100" t="str">
        <f t="shared" si="33"/>
        <v/>
      </c>
      <c r="BE155" s="100" t="str">
        <f t="shared" si="34"/>
        <v/>
      </c>
      <c r="BF155" s="100" t="str">
        <f t="shared" si="35"/>
        <v/>
      </c>
      <c r="BG155" s="100" t="str">
        <f t="shared" si="36"/>
        <v/>
      </c>
      <c r="BH155" s="100" t="str">
        <f t="shared" si="37"/>
        <v/>
      </c>
      <c r="BI155" s="103"/>
    </row>
    <row r="156" spans="1:61" s="222" customFormat="1">
      <c r="A156" s="21">
        <v>20152395004</v>
      </c>
      <c r="B156" s="19" t="str">
        <f>VLOOKUP(A156,'ESTADOS ESTUDIANTES'!B:L,2,0)</f>
        <v>SANCHEZ MIRA LEIDI YESENIA</v>
      </c>
      <c r="C156" s="19">
        <f>VLOOKUP(A156,'ESTADOS ESTUDIANTES'!B:L,11,0)</f>
        <v>1024499165</v>
      </c>
      <c r="D156" s="23">
        <f>VLOOKUP(A156,'ESTADOS ESTUDIANTES'!B:L,3,0)</f>
        <v>395</v>
      </c>
      <c r="E156" s="19" t="str">
        <f>VLOOKUP(A156,'ESTADOS ESTUDIANTES'!B:L,8,0)</f>
        <v>lysanchezm@correo.udistrital.edu.co</v>
      </c>
      <c r="F156" s="19" t="str">
        <f>VLOOKUP(A156,'ESTADOS ESTUDIANTES'!B:L,9,0)</f>
        <v>mirayesenia@gmail.com</v>
      </c>
      <c r="G156" s="19" t="str">
        <f>VLOOKUP(A156,'ESTADOS ESTUDIANTES'!B:L,5,0)</f>
        <v>X</v>
      </c>
      <c r="H156" s="18" t="s">
        <v>60</v>
      </c>
      <c r="I156" s="23"/>
      <c r="J156" s="23"/>
      <c r="K156" s="23"/>
      <c r="L156" s="96"/>
      <c r="M156" s="97"/>
      <c r="N156" s="96">
        <v>43964</v>
      </c>
      <c r="O156" s="97">
        <v>37.29</v>
      </c>
      <c r="P156" s="98" t="s">
        <v>93</v>
      </c>
      <c r="Q156" s="18"/>
      <c r="R156" s="96"/>
      <c r="S156" s="23"/>
      <c r="T156" s="23"/>
      <c r="U156" s="96"/>
      <c r="V156" s="96"/>
      <c r="W156" s="23"/>
      <c r="X156" s="91">
        <f t="shared" ca="1" si="42"/>
        <v>33055</v>
      </c>
      <c r="Y156" s="99"/>
      <c r="Z156" s="23"/>
      <c r="AA156" s="96"/>
      <c r="AB156" s="96"/>
      <c r="AC156" s="23"/>
      <c r="AD156" s="21">
        <f t="shared" ca="1" si="43"/>
        <v>33055</v>
      </c>
      <c r="AE156" s="99"/>
      <c r="AF156" s="96"/>
      <c r="AG156" s="23"/>
      <c r="AH156" s="96"/>
      <c r="AI156" s="96"/>
      <c r="AJ156" s="23"/>
      <c r="AK156" s="23">
        <f t="shared" ca="1" si="44"/>
        <v>33055</v>
      </c>
      <c r="AL156" s="23"/>
      <c r="AM156" s="23"/>
      <c r="AN156" s="96"/>
      <c r="AO156" s="96"/>
      <c r="AP156" s="23"/>
      <c r="AQ156" s="161">
        <f t="shared" ca="1" si="45"/>
        <v>33055</v>
      </c>
      <c r="AR156" s="161"/>
      <c r="AS156" s="18"/>
      <c r="AT156" s="21"/>
      <c r="AU156" s="23"/>
      <c r="AV156" s="23"/>
      <c r="AW156" s="23"/>
      <c r="AX156" s="23"/>
      <c r="AY156" s="23"/>
      <c r="AZ156" s="23"/>
      <c r="BA156" s="23"/>
      <c r="BB156" s="23"/>
      <c r="BC156" s="23"/>
      <c r="BD156" s="100" t="str">
        <f t="shared" si="33"/>
        <v/>
      </c>
      <c r="BE156" s="100" t="str">
        <f t="shared" si="34"/>
        <v/>
      </c>
      <c r="BF156" s="100" t="str">
        <f t="shared" si="35"/>
        <v/>
      </c>
      <c r="BG156" s="100" t="str">
        <f t="shared" si="36"/>
        <v/>
      </c>
      <c r="BH156" s="100" t="str">
        <f t="shared" si="37"/>
        <v/>
      </c>
      <c r="BI156" s="23"/>
    </row>
    <row r="157" spans="1:61" s="95" customFormat="1" ht="30">
      <c r="A157" s="21">
        <v>20152395005</v>
      </c>
      <c r="B157" s="19" t="str">
        <f>VLOOKUP(A157,'ESTADOS ESTUDIANTES'!B:L,2,0)</f>
        <v>TORRES ESQUIVEL JORGE ENRIQUE</v>
      </c>
      <c r="C157" s="19">
        <f>VLOOKUP(A157,'ESTADOS ESTUDIANTES'!B:L,11,0)</f>
        <v>1049606086</v>
      </c>
      <c r="D157" s="23">
        <f>VLOOKUP(A157,'ESTADOS ESTUDIANTES'!B:L,3,0)</f>
        <v>395</v>
      </c>
      <c r="E157" s="19" t="str">
        <f>VLOOKUP(A157,'ESTADOS ESTUDIANTES'!B:L,8,0)</f>
        <v>jetorrese@correo.udistrital.edu.co</v>
      </c>
      <c r="F157" s="19" t="str">
        <f>VLOOKUP(A157,'ESTADOS ESTUDIANTES'!B:L,9,0)</f>
        <v>ing.jorgetorres87@gmail.com</v>
      </c>
      <c r="G157" s="19" t="str">
        <f>VLOOKUP(A157,'ESTADOS ESTUDIANTES'!B:L,5,0)</f>
        <v>X</v>
      </c>
      <c r="H157" s="18" t="s">
        <v>60</v>
      </c>
      <c r="I157" s="18" t="s">
        <v>1668</v>
      </c>
      <c r="J157" s="18" t="s">
        <v>402</v>
      </c>
      <c r="K157" s="23"/>
      <c r="L157" s="96"/>
      <c r="M157" s="97"/>
      <c r="N157" s="96">
        <v>43888</v>
      </c>
      <c r="O157" s="97">
        <v>78.260000000000005</v>
      </c>
      <c r="P157" s="98" t="s">
        <v>79</v>
      </c>
      <c r="Q157" s="19">
        <v>43206</v>
      </c>
      <c r="R157" s="96">
        <v>42423</v>
      </c>
      <c r="S157" s="21">
        <f>YEAR(R157)</f>
        <v>2016</v>
      </c>
      <c r="T157" s="18" t="s">
        <v>755</v>
      </c>
      <c r="U157" s="96">
        <v>42426</v>
      </c>
      <c r="V157" s="96">
        <v>42676</v>
      </c>
      <c r="W157" s="19">
        <v>1</v>
      </c>
      <c r="X157" s="91">
        <f t="shared" ca="1" si="42"/>
        <v>0</v>
      </c>
      <c r="Y157" s="18" t="s">
        <v>56</v>
      </c>
      <c r="Z157" s="18" t="s">
        <v>270</v>
      </c>
      <c r="AA157" s="96">
        <v>42423</v>
      </c>
      <c r="AB157" s="96">
        <v>42436</v>
      </c>
      <c r="AC157" s="19">
        <v>1</v>
      </c>
      <c r="AD157" s="21">
        <f t="shared" ca="1" si="43"/>
        <v>0</v>
      </c>
      <c r="AE157" s="18" t="s">
        <v>56</v>
      </c>
      <c r="AF157" s="96"/>
      <c r="AG157" s="23"/>
      <c r="AH157" s="96"/>
      <c r="AI157" s="96"/>
      <c r="AJ157" s="23"/>
      <c r="AK157" s="23">
        <f t="shared" ca="1" si="44"/>
        <v>33055</v>
      </c>
      <c r="AL157" s="23"/>
      <c r="AM157" s="23"/>
      <c r="AN157" s="96"/>
      <c r="AO157" s="96"/>
      <c r="AP157" s="23"/>
      <c r="AQ157" s="164">
        <f t="shared" ca="1" si="45"/>
        <v>33055</v>
      </c>
      <c r="AR157" s="161"/>
      <c r="AS157" s="18"/>
      <c r="AT157" s="21"/>
      <c r="AU157" s="23"/>
      <c r="AV157" s="23"/>
      <c r="AW157" s="23"/>
      <c r="AX157" s="23"/>
      <c r="AY157" s="23"/>
      <c r="AZ157" s="23"/>
      <c r="BA157" s="23"/>
      <c r="BB157" s="23"/>
      <c r="BC157" s="23"/>
      <c r="BD157" s="100" t="str">
        <f t="shared" si="33"/>
        <v/>
      </c>
      <c r="BE157" s="100" t="str">
        <f t="shared" si="34"/>
        <v/>
      </c>
      <c r="BF157" s="100" t="str">
        <f t="shared" si="35"/>
        <v/>
      </c>
      <c r="BG157" s="100" t="str">
        <f t="shared" si="36"/>
        <v/>
      </c>
      <c r="BH157" s="100" t="str">
        <f t="shared" si="37"/>
        <v/>
      </c>
      <c r="BI157" s="23"/>
    </row>
    <row r="158" spans="1:61" s="95" customFormat="1" ht="45">
      <c r="A158" s="21">
        <v>20152495001</v>
      </c>
      <c r="B158" s="19" t="str">
        <f>VLOOKUP(A158,'ESTADOS ESTUDIANTES'!B:L,2,0)</f>
        <v>BERMUDEZ AMAYA MAURICIO ORLANDO</v>
      </c>
      <c r="C158" s="19">
        <f>VLOOKUP(A158,'ESTADOS ESTUDIANTES'!B:L,11,0)</f>
        <v>79498689</v>
      </c>
      <c r="D158" s="23">
        <f>VLOOKUP(A158,'ESTADOS ESTUDIANTES'!B:L,3,0)</f>
        <v>495</v>
      </c>
      <c r="E158" s="19">
        <f>VLOOKUP(A158,'ESTADOS ESTUDIANTES'!B:L,8,0)</f>
        <v>0</v>
      </c>
      <c r="F158" s="19" t="str">
        <f>VLOOKUP(A158,'ESTADOS ESTUDIANTES'!B:L,9,0)</f>
        <v>mbermudez.amaya@gmail.com</v>
      </c>
      <c r="G158" s="19" t="str">
        <f>VLOOKUP(A158,'ESTADOS ESTUDIANTES'!B:L,5,0)</f>
        <v>E</v>
      </c>
      <c r="H158" s="18" t="s">
        <v>60</v>
      </c>
      <c r="I158" s="18" t="s">
        <v>1669</v>
      </c>
      <c r="J158" s="18" t="s">
        <v>309</v>
      </c>
      <c r="K158" s="23"/>
      <c r="L158" s="96"/>
      <c r="M158" s="97"/>
      <c r="N158" s="96">
        <v>44312</v>
      </c>
      <c r="O158" s="97">
        <v>80</v>
      </c>
      <c r="P158" s="98" t="s">
        <v>79</v>
      </c>
      <c r="Q158" s="18" t="s">
        <v>1670</v>
      </c>
      <c r="R158" s="96">
        <v>42471</v>
      </c>
      <c r="S158" s="21">
        <f>YEAR(R158)</f>
        <v>2016</v>
      </c>
      <c r="T158" s="18" t="s">
        <v>356</v>
      </c>
      <c r="U158" s="96">
        <v>42478</v>
      </c>
      <c r="V158" s="96">
        <v>42493</v>
      </c>
      <c r="W158" s="19">
        <v>1</v>
      </c>
      <c r="X158" s="91">
        <f t="shared" ca="1" si="42"/>
        <v>0</v>
      </c>
      <c r="Y158" s="18" t="s">
        <v>43</v>
      </c>
      <c r="Z158" s="18" t="s">
        <v>1599</v>
      </c>
      <c r="AA158" s="96">
        <v>42478</v>
      </c>
      <c r="AB158" s="96">
        <v>42486</v>
      </c>
      <c r="AC158" s="19">
        <v>1</v>
      </c>
      <c r="AD158" s="21">
        <f t="shared" ca="1" si="43"/>
        <v>0</v>
      </c>
      <c r="AE158" s="18" t="s">
        <v>43</v>
      </c>
      <c r="AF158" s="96">
        <v>44629</v>
      </c>
      <c r="AG158" s="18" t="s">
        <v>226</v>
      </c>
      <c r="AH158" s="96">
        <v>44630</v>
      </c>
      <c r="AI158" s="96">
        <v>44757</v>
      </c>
      <c r="AJ158" s="19">
        <v>4</v>
      </c>
      <c r="AK158" s="23">
        <f t="shared" ca="1" si="44"/>
        <v>0</v>
      </c>
      <c r="AL158" s="100" t="s">
        <v>42</v>
      </c>
      <c r="AM158" s="18" t="s">
        <v>874</v>
      </c>
      <c r="AN158" s="96">
        <v>44630</v>
      </c>
      <c r="AO158" s="96">
        <v>44637</v>
      </c>
      <c r="AP158" s="23"/>
      <c r="AQ158" s="161">
        <f t="shared" ca="1" si="45"/>
        <v>0</v>
      </c>
      <c r="AR158" s="164" t="s">
        <v>42</v>
      </c>
      <c r="AS158" s="18" t="s">
        <v>1671</v>
      </c>
      <c r="AT158" s="21">
        <v>5</v>
      </c>
      <c r="AU158" s="18" t="s">
        <v>41</v>
      </c>
      <c r="AV158" s="124">
        <v>44834</v>
      </c>
      <c r="AW158" s="23"/>
      <c r="AX158" s="23"/>
      <c r="AY158" s="18" t="s">
        <v>819</v>
      </c>
      <c r="AZ158" s="120">
        <v>44629</v>
      </c>
      <c r="BA158" s="120"/>
      <c r="BB158" s="18" t="s">
        <v>51</v>
      </c>
      <c r="BC158" s="23"/>
      <c r="BD158" s="100" t="str">
        <f t="shared" si="33"/>
        <v/>
      </c>
      <c r="BE158" s="100" t="str">
        <f t="shared" si="34"/>
        <v/>
      </c>
      <c r="BF158" s="100" t="str">
        <f t="shared" si="35"/>
        <v/>
      </c>
      <c r="BG158" s="100" t="str">
        <f t="shared" si="36"/>
        <v/>
      </c>
      <c r="BH158" s="100" t="str">
        <f t="shared" si="37"/>
        <v/>
      </c>
      <c r="BI158" s="23"/>
    </row>
    <row r="159" spans="1:61" s="95" customFormat="1" ht="60">
      <c r="A159" s="101">
        <v>20152495002</v>
      </c>
      <c r="B159" s="19" t="str">
        <f>VLOOKUP(A159,'ESTADOS ESTUDIANTES'!B:L,2,0)</f>
        <v>BUITRAGO ALVARADO ELISEO FERNANDO</v>
      </c>
      <c r="C159" s="102">
        <f>VLOOKUP(A159,'ESTADOS ESTUDIANTES'!B:L,11,0)</f>
        <v>79703994</v>
      </c>
      <c r="D159" s="23">
        <f>VLOOKUP(A159,'ESTADOS ESTUDIANTES'!B:L,3,0)</f>
        <v>495</v>
      </c>
      <c r="E159" s="102" t="str">
        <f>VLOOKUP(A159,'ESTADOS ESTUDIANTES'!B:L,8,0)</f>
        <v>efbuitragoa@correo.udistrital.edu.co</v>
      </c>
      <c r="F159" s="102" t="str">
        <f>VLOOKUP(A159,'ESTADOS ESTUDIANTES'!B:L,9,0)</f>
        <v>ebuitrago@kpmg.com</v>
      </c>
      <c r="G159" s="19" t="str">
        <f>VLOOKUP(A159,'ESTADOS ESTUDIANTES'!B:L,5,0)</f>
        <v>E</v>
      </c>
      <c r="H159" s="103"/>
      <c r="I159" s="100" t="s">
        <v>1672</v>
      </c>
      <c r="J159" s="104"/>
      <c r="K159" s="103"/>
      <c r="L159" s="105"/>
      <c r="M159" s="106"/>
      <c r="N159" s="105">
        <v>43964</v>
      </c>
      <c r="O159" s="106">
        <v>83.48</v>
      </c>
      <c r="P159" s="112" t="s">
        <v>79</v>
      </c>
      <c r="Q159" s="100" t="s">
        <v>1673</v>
      </c>
      <c r="R159" s="105">
        <v>42402</v>
      </c>
      <c r="S159" s="102">
        <v>2016</v>
      </c>
      <c r="T159" s="100" t="s">
        <v>1502</v>
      </c>
      <c r="U159" s="105">
        <v>42411</v>
      </c>
      <c r="V159" s="100" t="s">
        <v>1674</v>
      </c>
      <c r="W159" s="102">
        <v>2</v>
      </c>
      <c r="X159" s="91">
        <f t="shared" ca="1" si="42"/>
        <v>0</v>
      </c>
      <c r="Y159" s="100" t="s">
        <v>43</v>
      </c>
      <c r="Z159" s="100" t="s">
        <v>1599</v>
      </c>
      <c r="AA159" s="105">
        <v>42419</v>
      </c>
      <c r="AB159" s="105">
        <v>42440</v>
      </c>
      <c r="AC159" s="102">
        <v>1</v>
      </c>
      <c r="AD159" s="21">
        <f t="shared" ca="1" si="43"/>
        <v>0</v>
      </c>
      <c r="AE159" s="100" t="s">
        <v>43</v>
      </c>
      <c r="AF159" s="105">
        <v>43831</v>
      </c>
      <c r="AG159" s="100" t="s">
        <v>1502</v>
      </c>
      <c r="AH159" s="105">
        <v>43889</v>
      </c>
      <c r="AI159" s="105">
        <v>43936</v>
      </c>
      <c r="AJ159" s="103"/>
      <c r="AK159" s="23">
        <f t="shared" ca="1" si="44"/>
        <v>0</v>
      </c>
      <c r="AL159" s="100" t="s">
        <v>42</v>
      </c>
      <c r="AM159" s="100" t="s">
        <v>1599</v>
      </c>
      <c r="AN159" s="105">
        <v>43882</v>
      </c>
      <c r="AO159" s="105">
        <v>43923</v>
      </c>
      <c r="AP159" s="103"/>
      <c r="AQ159" s="163">
        <f t="shared" ca="1" si="45"/>
        <v>0</v>
      </c>
      <c r="AR159" s="162" t="s">
        <v>42</v>
      </c>
      <c r="AS159" s="115">
        <v>43983</v>
      </c>
      <c r="AT159" s="116">
        <v>44685</v>
      </c>
      <c r="AU159" s="100" t="s">
        <v>41</v>
      </c>
      <c r="AV159" s="117">
        <v>43980</v>
      </c>
      <c r="AW159" s="103"/>
      <c r="AX159" s="103"/>
      <c r="AY159" s="103"/>
      <c r="AZ159" s="103"/>
      <c r="BA159" s="103"/>
      <c r="BB159" s="103"/>
      <c r="BC159" s="103"/>
      <c r="BD159" s="100" t="str">
        <f t="shared" si="33"/>
        <v/>
      </c>
      <c r="BE159" s="100" t="str">
        <f t="shared" si="34"/>
        <v/>
      </c>
      <c r="BF159" s="100" t="str">
        <f t="shared" si="35"/>
        <v/>
      </c>
      <c r="BG159" s="100" t="str">
        <f t="shared" si="36"/>
        <v/>
      </c>
      <c r="BH159" s="100" t="str">
        <f t="shared" si="37"/>
        <v/>
      </c>
      <c r="BI159" s="103"/>
    </row>
    <row r="160" spans="1:61" s="95" customFormat="1">
      <c r="A160" s="101">
        <v>20152495004</v>
      </c>
      <c r="B160" s="19" t="str">
        <f>VLOOKUP(A160,'ESTADOS ESTUDIANTES'!B:L,2,0)</f>
        <v>CAÑON MOZO EDWIN PARMENIO</v>
      </c>
      <c r="C160" s="102">
        <f>VLOOKUP(A160,'ESTADOS ESTUDIANTES'!B:L,11,0)</f>
        <v>79990854</v>
      </c>
      <c r="D160" s="23">
        <f>VLOOKUP(A160,'ESTADOS ESTUDIANTES'!B:L,3,0)</f>
        <v>495</v>
      </c>
      <c r="E160" s="102">
        <f>VLOOKUP(A160,'ESTADOS ESTUDIANTES'!B:L,8,0)</f>
        <v>0</v>
      </c>
      <c r="F160" s="102" t="str">
        <f>VLOOKUP(A160,'ESTADOS ESTUDIANTES'!B:L,9,0)</f>
        <v>edwinpcm@gmail.com</v>
      </c>
      <c r="G160" s="19" t="str">
        <f>VLOOKUP(A160,'ESTADOS ESTUDIANTES'!B:L,5,0)</f>
        <v>N</v>
      </c>
      <c r="H160" s="103"/>
      <c r="I160" s="103"/>
      <c r="J160" s="103"/>
      <c r="K160" s="103"/>
      <c r="L160" s="105"/>
      <c r="M160" s="106"/>
      <c r="N160" s="105"/>
      <c r="O160" s="106"/>
      <c r="P160" s="107"/>
      <c r="Q160" s="100"/>
      <c r="R160" s="105"/>
      <c r="S160" s="103"/>
      <c r="T160" s="103"/>
      <c r="U160" s="105"/>
      <c r="V160" s="105"/>
      <c r="W160" s="103"/>
      <c r="X160" s="91">
        <f t="shared" ca="1" si="42"/>
        <v>33055</v>
      </c>
      <c r="Y160" s="99"/>
      <c r="Z160" s="103"/>
      <c r="AA160" s="105"/>
      <c r="AB160" s="105"/>
      <c r="AC160" s="103"/>
      <c r="AD160" s="21">
        <f t="shared" ca="1" si="43"/>
        <v>33055</v>
      </c>
      <c r="AE160" s="99"/>
      <c r="AF160" s="105"/>
      <c r="AG160" s="103"/>
      <c r="AH160" s="105"/>
      <c r="AI160" s="105"/>
      <c r="AJ160" s="103"/>
      <c r="AK160" s="23">
        <f t="shared" ca="1" si="44"/>
        <v>33055</v>
      </c>
      <c r="AL160" s="103"/>
      <c r="AM160" s="103"/>
      <c r="AN160" s="105"/>
      <c r="AO160" s="105"/>
      <c r="AP160" s="103"/>
      <c r="AQ160" s="163">
        <f t="shared" ca="1" si="45"/>
        <v>33055</v>
      </c>
      <c r="AR160" s="163"/>
      <c r="AS160" s="101"/>
      <c r="AT160" s="101"/>
      <c r="AU160" s="103"/>
      <c r="AV160" s="103"/>
      <c r="AW160" s="103"/>
      <c r="AX160" s="103"/>
      <c r="AY160" s="103"/>
      <c r="AZ160" s="103"/>
      <c r="BA160" s="103"/>
      <c r="BB160" s="103"/>
      <c r="BC160" s="103"/>
      <c r="BD160" s="100" t="str">
        <f t="shared" si="33"/>
        <v/>
      </c>
      <c r="BE160" s="100" t="str">
        <f t="shared" si="34"/>
        <v/>
      </c>
      <c r="BF160" s="100" t="str">
        <f t="shared" si="35"/>
        <v/>
      </c>
      <c r="BG160" s="100" t="str">
        <f t="shared" si="36"/>
        <v/>
      </c>
      <c r="BH160" s="100" t="str">
        <f t="shared" si="37"/>
        <v/>
      </c>
      <c r="BI160" s="103"/>
    </row>
    <row r="161" spans="1:61" s="95" customFormat="1" ht="75">
      <c r="A161" s="21">
        <v>20152495006</v>
      </c>
      <c r="B161" s="19" t="str">
        <f>VLOOKUP(A161,'ESTADOS ESTUDIANTES'!B:L,2,0)</f>
        <v>DIAZ RODRIGUEZ WILMAR</v>
      </c>
      <c r="C161" s="19">
        <f>VLOOKUP(A161,'ESTADOS ESTUDIANTES'!B:L,11,0)</f>
        <v>80854925</v>
      </c>
      <c r="D161" s="23">
        <f>VLOOKUP(A161,'ESTADOS ESTUDIANTES'!B:L,3,0)</f>
        <v>495</v>
      </c>
      <c r="E161" s="19" t="str">
        <f>VLOOKUP(A161,'ESTADOS ESTUDIANTES'!B:L,8,0)</f>
        <v>wdiazr@correo.udistrital.edu.co</v>
      </c>
      <c r="F161" s="19" t="str">
        <f>VLOOKUP(A161,'ESTADOS ESTUDIANTES'!B:L,9,0)</f>
        <v>wilmardiazr@gmail.com</v>
      </c>
      <c r="G161" s="19" t="str">
        <f>VLOOKUP(A161,'ESTADOS ESTUDIANTES'!B:L,5,0)</f>
        <v>X</v>
      </c>
      <c r="H161" s="18" t="s">
        <v>60</v>
      </c>
      <c r="I161" s="18" t="s">
        <v>1675</v>
      </c>
      <c r="J161" s="23"/>
      <c r="K161" s="23"/>
      <c r="L161" s="96"/>
      <c r="M161" s="97"/>
      <c r="N161" s="96"/>
      <c r="O161" s="97"/>
      <c r="P161" s="110"/>
      <c r="Q161" s="18" t="s">
        <v>1676</v>
      </c>
      <c r="R161" s="96">
        <v>42342</v>
      </c>
      <c r="S161" s="21">
        <v>2015</v>
      </c>
      <c r="T161" s="18" t="s">
        <v>356</v>
      </c>
      <c r="U161" s="96">
        <v>43208</v>
      </c>
      <c r="V161" s="96">
        <v>43250</v>
      </c>
      <c r="W161" s="23"/>
      <c r="X161" s="91">
        <f t="shared" ca="1" si="42"/>
        <v>0</v>
      </c>
      <c r="Y161" s="18" t="s">
        <v>43</v>
      </c>
      <c r="Z161" s="18" t="s">
        <v>1501</v>
      </c>
      <c r="AA161" s="96">
        <v>43622</v>
      </c>
      <c r="AB161" s="96">
        <v>43263</v>
      </c>
      <c r="AC161" s="18" t="s">
        <v>1677</v>
      </c>
      <c r="AD161" s="21">
        <f t="shared" ca="1" si="43"/>
        <v>0</v>
      </c>
      <c r="AE161" s="18" t="s">
        <v>43</v>
      </c>
      <c r="AF161" s="96"/>
      <c r="AG161" s="23"/>
      <c r="AH161" s="96"/>
      <c r="AI161" s="96"/>
      <c r="AJ161" s="23"/>
      <c r="AK161" s="23">
        <f t="shared" ca="1" si="44"/>
        <v>33055</v>
      </c>
      <c r="AL161" s="23"/>
      <c r="AM161" s="23"/>
      <c r="AN161" s="96"/>
      <c r="AO161" s="96"/>
      <c r="AP161" s="23"/>
      <c r="AQ161" s="162">
        <f t="shared" ca="1" si="45"/>
        <v>33055</v>
      </c>
      <c r="AR161" s="161"/>
      <c r="AS161" s="18"/>
      <c r="AT161" s="21"/>
      <c r="AU161" s="23"/>
      <c r="AV161" s="23"/>
      <c r="AW161" s="23"/>
      <c r="AX161" s="23"/>
      <c r="AY161" s="23"/>
      <c r="AZ161" s="23"/>
      <c r="BA161" s="23"/>
      <c r="BB161" s="23"/>
      <c r="BC161" s="23"/>
      <c r="BD161" s="100" t="str">
        <f t="shared" si="33"/>
        <v/>
      </c>
      <c r="BE161" s="100" t="str">
        <f t="shared" si="34"/>
        <v/>
      </c>
      <c r="BF161" s="100" t="str">
        <f t="shared" si="35"/>
        <v/>
      </c>
      <c r="BG161" s="100" t="str">
        <f t="shared" si="36"/>
        <v/>
      </c>
      <c r="BH161" s="100" t="str">
        <f t="shared" si="37"/>
        <v/>
      </c>
      <c r="BI161" s="23"/>
    </row>
    <row r="162" spans="1:61" s="95" customFormat="1">
      <c r="A162" s="101">
        <v>20152495007</v>
      </c>
      <c r="B162" s="19" t="str">
        <f>VLOOKUP(A162,'ESTADOS ESTUDIANTES'!B:L,2,0)</f>
        <v>GARCIA OLAYA DIANA MERCEDES</v>
      </c>
      <c r="C162" s="103">
        <f>VLOOKUP(A162,'ESTADOS ESTUDIANTES'!B:L,11,0)</f>
        <v>53075321</v>
      </c>
      <c r="D162" s="23">
        <f>VLOOKUP(A162,'ESTADOS ESTUDIANTES'!B:L,3,0)</f>
        <v>495</v>
      </c>
      <c r="E162" s="102">
        <f>VLOOKUP(A162,'ESTADOS ESTUDIANTES'!B:L,8,0)</f>
        <v>0</v>
      </c>
      <c r="F162" s="102" t="str">
        <f>VLOOKUP(A162,'ESTADOS ESTUDIANTES'!B:L,9,0)</f>
        <v>dimegarcia5@gmail.com</v>
      </c>
      <c r="G162" s="19" t="str">
        <f>VLOOKUP(A162,'ESTADOS ESTUDIANTES'!B:L,5,0)</f>
        <v>X</v>
      </c>
      <c r="H162" s="100" t="s">
        <v>60</v>
      </c>
      <c r="I162" s="103"/>
      <c r="J162" s="103"/>
      <c r="K162" s="103"/>
      <c r="L162" s="105"/>
      <c r="M162" s="106"/>
      <c r="N162" s="105"/>
      <c r="O162" s="106"/>
      <c r="P162" s="107"/>
      <c r="Q162" s="100"/>
      <c r="R162" s="105"/>
      <c r="S162" s="103"/>
      <c r="T162" s="103"/>
      <c r="U162" s="105"/>
      <c r="V162" s="105"/>
      <c r="W162" s="103"/>
      <c r="X162" s="91">
        <f t="shared" ca="1" si="42"/>
        <v>33055</v>
      </c>
      <c r="Y162" s="99"/>
      <c r="Z162" s="103"/>
      <c r="AA162" s="105"/>
      <c r="AB162" s="105"/>
      <c r="AC162" s="103"/>
      <c r="AD162" s="21">
        <f t="shared" ca="1" si="43"/>
        <v>33055</v>
      </c>
      <c r="AE162" s="99"/>
      <c r="AF162" s="105"/>
      <c r="AG162" s="103"/>
      <c r="AH162" s="105"/>
      <c r="AI162" s="105"/>
      <c r="AJ162" s="103"/>
      <c r="AK162" s="23">
        <f t="shared" ca="1" si="44"/>
        <v>33055</v>
      </c>
      <c r="AL162" s="103"/>
      <c r="AM162" s="103"/>
      <c r="AN162" s="105"/>
      <c r="AO162" s="105"/>
      <c r="AP162" s="103"/>
      <c r="AQ162" s="163">
        <f t="shared" ca="1" si="45"/>
        <v>33055</v>
      </c>
      <c r="AR162" s="163"/>
      <c r="AS162" s="101"/>
      <c r="AT162" s="101"/>
      <c r="AU162" s="103"/>
      <c r="AV162" s="103"/>
      <c r="AW162" s="103"/>
      <c r="AX162" s="103"/>
      <c r="AY162" s="103"/>
      <c r="AZ162" s="103"/>
      <c r="BA162" s="103"/>
      <c r="BB162" s="103"/>
      <c r="BC162" s="103"/>
      <c r="BD162" s="100" t="str">
        <f t="shared" si="33"/>
        <v/>
      </c>
      <c r="BE162" s="100" t="str">
        <f t="shared" si="34"/>
        <v/>
      </c>
      <c r="BF162" s="100" t="str">
        <f t="shared" si="35"/>
        <v/>
      </c>
      <c r="BG162" s="100" t="str">
        <f t="shared" si="36"/>
        <v/>
      </c>
      <c r="BH162" s="100" t="str">
        <f t="shared" si="37"/>
        <v/>
      </c>
      <c r="BI162" s="103"/>
    </row>
    <row r="163" spans="1:61" s="95" customFormat="1" ht="30">
      <c r="A163" s="101">
        <v>20152495008</v>
      </c>
      <c r="B163" s="19" t="str">
        <f>VLOOKUP(A163,'ESTADOS ESTUDIANTES'!B:L,2,0)</f>
        <v>RAMIREZ OCHOA JHON JAIME</v>
      </c>
      <c r="C163" s="102">
        <f>VLOOKUP(A163,'ESTADOS ESTUDIANTES'!B:L,11,0)</f>
        <v>1032437478</v>
      </c>
      <c r="D163" s="23">
        <f>VLOOKUP(A163,'ESTADOS ESTUDIANTES'!B:L,3,0)</f>
        <v>495</v>
      </c>
      <c r="E163" s="102" t="str">
        <f>VLOOKUP(A163,'ESTADOS ESTUDIANTES'!B:L,8,0)</f>
        <v>jjramirezo@correo.udistrital.edu.co</v>
      </c>
      <c r="F163" s="102" t="str">
        <f>VLOOKUP(A163,'ESTADOS ESTUDIANTES'!B:L,9,0)</f>
        <v>jjramirezochoa@gmail.com</v>
      </c>
      <c r="G163" s="19" t="str">
        <f>VLOOKUP(A163,'ESTADOS ESTUDIANTES'!B:L,5,0)</f>
        <v>E</v>
      </c>
      <c r="H163" s="100" t="s">
        <v>46</v>
      </c>
      <c r="I163" s="100" t="s">
        <v>1678</v>
      </c>
      <c r="J163" s="104"/>
      <c r="K163" s="103"/>
      <c r="L163" s="105"/>
      <c r="M163" s="106"/>
      <c r="N163" s="105">
        <v>43888</v>
      </c>
      <c r="O163" s="106">
        <v>84.35</v>
      </c>
      <c r="P163" s="112" t="s">
        <v>79</v>
      </c>
      <c r="Q163" s="100" t="s">
        <v>1679</v>
      </c>
      <c r="R163" s="105">
        <v>42341</v>
      </c>
      <c r="S163" s="102">
        <v>2015</v>
      </c>
      <c r="T163" s="100" t="s">
        <v>1258</v>
      </c>
      <c r="U163" s="105">
        <v>42384</v>
      </c>
      <c r="V163" s="105">
        <v>42401</v>
      </c>
      <c r="W163" s="102">
        <v>1</v>
      </c>
      <c r="X163" s="91">
        <f t="shared" ca="1" si="42"/>
        <v>0</v>
      </c>
      <c r="Y163" s="100" t="s">
        <v>43</v>
      </c>
      <c r="Z163" s="100" t="s">
        <v>1620</v>
      </c>
      <c r="AA163" s="105">
        <v>42402</v>
      </c>
      <c r="AB163" s="105">
        <v>42435</v>
      </c>
      <c r="AC163" s="102">
        <v>1</v>
      </c>
      <c r="AD163" s="21">
        <f t="shared" ca="1" si="43"/>
        <v>0</v>
      </c>
      <c r="AE163" s="100" t="s">
        <v>43</v>
      </c>
      <c r="AF163" s="105">
        <v>43952</v>
      </c>
      <c r="AG163" s="100" t="s">
        <v>1258</v>
      </c>
      <c r="AH163" s="105">
        <v>43971</v>
      </c>
      <c r="AI163" s="105">
        <v>44007</v>
      </c>
      <c r="AJ163" s="103"/>
      <c r="AK163" s="23">
        <f t="shared" ca="1" si="44"/>
        <v>0</v>
      </c>
      <c r="AL163" s="100" t="s">
        <v>42</v>
      </c>
      <c r="AM163" s="100" t="s">
        <v>1621</v>
      </c>
      <c r="AN163" s="105">
        <v>43971</v>
      </c>
      <c r="AO163" s="105">
        <v>44007</v>
      </c>
      <c r="AP163" s="103"/>
      <c r="AQ163" s="162">
        <f t="shared" ca="1" si="45"/>
        <v>0</v>
      </c>
      <c r="AR163" s="162" t="s">
        <v>42</v>
      </c>
      <c r="AS163" s="100" t="s">
        <v>1680</v>
      </c>
      <c r="AT163" s="100" t="s">
        <v>1407</v>
      </c>
      <c r="AU163" s="100" t="s">
        <v>55</v>
      </c>
      <c r="AV163" s="113">
        <v>44146</v>
      </c>
      <c r="AW163" s="103"/>
      <c r="AX163" s="103"/>
      <c r="AY163" s="100" t="s">
        <v>1681</v>
      </c>
      <c r="AZ163" s="102">
        <v>44263</v>
      </c>
      <c r="BA163" s="102"/>
      <c r="BB163" s="103"/>
      <c r="BC163" s="100" t="s">
        <v>240</v>
      </c>
      <c r="BD163" s="100" t="str">
        <f t="shared" si="33"/>
        <v/>
      </c>
      <c r="BE163" s="100" t="str">
        <f t="shared" si="34"/>
        <v/>
      </c>
      <c r="BF163" s="100" t="str">
        <f t="shared" si="35"/>
        <v/>
      </c>
      <c r="BG163" s="100" t="str">
        <f t="shared" si="36"/>
        <v/>
      </c>
      <c r="BH163" s="100" t="str">
        <f t="shared" si="37"/>
        <v/>
      </c>
      <c r="BI163" s="103"/>
    </row>
    <row r="164" spans="1:61" s="95" customFormat="1" ht="30">
      <c r="A164" s="101">
        <v>20152495009</v>
      </c>
      <c r="B164" s="19" t="str">
        <f>VLOOKUP(A164,'ESTADOS ESTUDIANTES'!B:L,2,0)</f>
        <v>RODRIGUEZ JHONSON MANUEL ALEJANDRO</v>
      </c>
      <c r="C164" s="102">
        <f>VLOOKUP(A164,'ESTADOS ESTUDIANTES'!B:L,11,0)</f>
        <v>80075588</v>
      </c>
      <c r="D164" s="23">
        <f>VLOOKUP(A164,'ESTADOS ESTUDIANTES'!B:L,3,0)</f>
        <v>495</v>
      </c>
      <c r="E164" s="102">
        <f>VLOOKUP(A164,'ESTADOS ESTUDIANTES'!B:L,8,0)</f>
        <v>0</v>
      </c>
      <c r="F164" s="102" t="str">
        <f>VLOOKUP(A164,'ESTADOS ESTUDIANTES'!B:L,9,0)</f>
        <v>ing.marodriguezjo@gmail.com</v>
      </c>
      <c r="G164" s="19" t="str">
        <f>VLOOKUP(A164,'ESTADOS ESTUDIANTES'!B:L,5,0)</f>
        <v>N</v>
      </c>
      <c r="H164" s="103"/>
      <c r="I164" s="103"/>
      <c r="J164" s="103"/>
      <c r="K164" s="103"/>
      <c r="L164" s="105"/>
      <c r="M164" s="106"/>
      <c r="N164" s="105"/>
      <c r="O164" s="106"/>
      <c r="P164" s="107"/>
      <c r="Q164" s="100"/>
      <c r="R164" s="105"/>
      <c r="S164" s="103"/>
      <c r="T164" s="103"/>
      <c r="U164" s="105"/>
      <c r="V164" s="105"/>
      <c r="W164" s="103"/>
      <c r="X164" s="91">
        <f t="shared" ca="1" si="42"/>
        <v>33055</v>
      </c>
      <c r="Y164" s="99"/>
      <c r="Z164" s="103"/>
      <c r="AA164" s="105"/>
      <c r="AB164" s="105"/>
      <c r="AC164" s="103"/>
      <c r="AD164" s="21">
        <f t="shared" ca="1" si="43"/>
        <v>33055</v>
      </c>
      <c r="AE164" s="99"/>
      <c r="AF164" s="105"/>
      <c r="AG164" s="103"/>
      <c r="AH164" s="105"/>
      <c r="AI164" s="105"/>
      <c r="AJ164" s="103"/>
      <c r="AK164" s="23">
        <f t="shared" ca="1" si="44"/>
        <v>33055</v>
      </c>
      <c r="AL164" s="103"/>
      <c r="AM164" s="103"/>
      <c r="AN164" s="105"/>
      <c r="AO164" s="105"/>
      <c r="AP164" s="103"/>
      <c r="AQ164" s="163">
        <f t="shared" ca="1" si="45"/>
        <v>33055</v>
      </c>
      <c r="AR164" s="163"/>
      <c r="AS164" s="101"/>
      <c r="AT164" s="101"/>
      <c r="AU164" s="103"/>
      <c r="AV164" s="103"/>
      <c r="AW164" s="103"/>
      <c r="AX164" s="103"/>
      <c r="AY164" s="103"/>
      <c r="AZ164" s="103"/>
      <c r="BA164" s="103"/>
      <c r="BB164" s="103"/>
      <c r="BC164" s="103"/>
      <c r="BD164" s="100" t="str">
        <f t="shared" si="33"/>
        <v/>
      </c>
      <c r="BE164" s="100" t="str">
        <f t="shared" si="34"/>
        <v/>
      </c>
      <c r="BF164" s="100" t="str">
        <f t="shared" si="35"/>
        <v/>
      </c>
      <c r="BG164" s="100" t="str">
        <f t="shared" si="36"/>
        <v/>
      </c>
      <c r="BH164" s="100" t="str">
        <f t="shared" si="37"/>
        <v/>
      </c>
      <c r="BI164" s="103"/>
    </row>
    <row r="165" spans="1:61" s="222" customFormat="1">
      <c r="A165" s="101">
        <v>20152495010</v>
      </c>
      <c r="B165" s="19" t="str">
        <f>VLOOKUP(A165,'ESTADOS ESTUDIANTES'!B:L,2,0)</f>
        <v>ROMERO ARDILA LUIS FERNANDO</v>
      </c>
      <c r="C165" s="103">
        <f>VLOOKUP(A165,'ESTADOS ESTUDIANTES'!B:L,11,0)</f>
        <v>80074513</v>
      </c>
      <c r="D165" s="23">
        <f>VLOOKUP(A165,'ESTADOS ESTUDIANTES'!B:L,3,0)</f>
        <v>495</v>
      </c>
      <c r="E165" s="102">
        <f>VLOOKUP(A165,'ESTADOS ESTUDIANTES'!B:L,8,0)</f>
        <v>0</v>
      </c>
      <c r="F165" s="102" t="str">
        <f>VLOOKUP(A165,'ESTADOS ESTUDIANTES'!B:L,9,0)</f>
        <v>lucien.luisromero@gmail.com</v>
      </c>
      <c r="G165" s="19" t="str">
        <f>VLOOKUP(A165,'ESTADOS ESTUDIANTES'!B:L,5,0)</f>
        <v>X</v>
      </c>
      <c r="H165" s="103"/>
      <c r="I165" s="103"/>
      <c r="J165" s="103"/>
      <c r="K165" s="103"/>
      <c r="L165" s="105"/>
      <c r="M165" s="106"/>
      <c r="N165" s="105"/>
      <c r="O165" s="106"/>
      <c r="P165" s="107"/>
      <c r="Q165" s="100"/>
      <c r="R165" s="105"/>
      <c r="S165" s="103"/>
      <c r="T165" s="103"/>
      <c r="U165" s="105"/>
      <c r="V165" s="105"/>
      <c r="W165" s="103"/>
      <c r="X165" s="91">
        <f t="shared" ca="1" si="42"/>
        <v>33055</v>
      </c>
      <c r="Y165" s="99"/>
      <c r="Z165" s="103"/>
      <c r="AA165" s="105"/>
      <c r="AB165" s="105"/>
      <c r="AC165" s="103"/>
      <c r="AD165" s="21">
        <f t="shared" ca="1" si="43"/>
        <v>33055</v>
      </c>
      <c r="AE165" s="99"/>
      <c r="AF165" s="105"/>
      <c r="AG165" s="103"/>
      <c r="AH165" s="105"/>
      <c r="AI165" s="105"/>
      <c r="AJ165" s="103"/>
      <c r="AK165" s="23">
        <f t="shared" ca="1" si="44"/>
        <v>33055</v>
      </c>
      <c r="AL165" s="103"/>
      <c r="AM165" s="103"/>
      <c r="AN165" s="105"/>
      <c r="AO165" s="105"/>
      <c r="AP165" s="103"/>
      <c r="AQ165" s="163">
        <f t="shared" ca="1" si="45"/>
        <v>33055</v>
      </c>
      <c r="AR165" s="163"/>
      <c r="AS165" s="101"/>
      <c r="AT165" s="101"/>
      <c r="AU165" s="103"/>
      <c r="AV165" s="103"/>
      <c r="AW165" s="103"/>
      <c r="AX165" s="103"/>
      <c r="AY165" s="103"/>
      <c r="AZ165" s="103"/>
      <c r="BA165" s="103"/>
      <c r="BB165" s="103"/>
      <c r="BC165" s="103"/>
      <c r="BD165" s="100" t="str">
        <f t="shared" si="33"/>
        <v/>
      </c>
      <c r="BE165" s="100" t="str">
        <f t="shared" si="34"/>
        <v/>
      </c>
      <c r="BF165" s="100" t="str">
        <f t="shared" si="35"/>
        <v/>
      </c>
      <c r="BG165" s="100" t="str">
        <f t="shared" si="36"/>
        <v/>
      </c>
      <c r="BH165" s="100" t="str">
        <f t="shared" si="37"/>
        <v/>
      </c>
      <c r="BI165" s="103"/>
    </row>
    <row r="166" spans="1:61" s="222" customFormat="1">
      <c r="A166" s="101">
        <v>20152495011</v>
      </c>
      <c r="B166" s="19" t="str">
        <f>VLOOKUP(A166,'ESTADOS ESTUDIANTES'!B:L,2,0)</f>
        <v>EDGAR PALACINO ANTIA</v>
      </c>
      <c r="C166" s="103">
        <f>VLOOKUP(A166,'ESTADOS ESTUDIANTES'!B:L,11,0)</f>
        <v>19344689</v>
      </c>
      <c r="D166" s="23">
        <f>VLOOKUP(A166,'ESTADOS ESTUDIANTES'!B:L,3,0)</f>
        <v>495</v>
      </c>
      <c r="E166" s="102">
        <f>VLOOKUP(A166,'ESTADOS ESTUDIANTES'!B:L,8,0)</f>
        <v>0</v>
      </c>
      <c r="F166" s="102" t="str">
        <f>VLOOKUP(A166,'ESTADOS ESTUDIANTES'!B:L,9,0)</f>
        <v>heonpinos@gmail.com</v>
      </c>
      <c r="G166" s="19" t="str">
        <f>VLOOKUP(A166,'ESTADOS ESTUDIANTES'!B:L,5,0)</f>
        <v>X</v>
      </c>
      <c r="H166" s="103"/>
      <c r="I166" s="103"/>
      <c r="J166" s="103"/>
      <c r="K166" s="103"/>
      <c r="L166" s="105"/>
      <c r="M166" s="106"/>
      <c r="N166" s="105"/>
      <c r="O166" s="106"/>
      <c r="P166" s="107"/>
      <c r="Q166" s="100"/>
      <c r="R166" s="105"/>
      <c r="S166" s="103"/>
      <c r="T166" s="103"/>
      <c r="U166" s="105"/>
      <c r="V166" s="105"/>
      <c r="W166" s="103"/>
      <c r="X166" s="91">
        <f t="shared" ca="1" si="42"/>
        <v>33055</v>
      </c>
      <c r="Y166" s="99"/>
      <c r="Z166" s="103"/>
      <c r="AA166" s="105"/>
      <c r="AB166" s="105"/>
      <c r="AC166" s="103"/>
      <c r="AD166" s="21">
        <f t="shared" ca="1" si="43"/>
        <v>33055</v>
      </c>
      <c r="AE166" s="99"/>
      <c r="AF166" s="105"/>
      <c r="AG166" s="103"/>
      <c r="AH166" s="105"/>
      <c r="AI166" s="105"/>
      <c r="AJ166" s="103"/>
      <c r="AK166" s="23">
        <f t="shared" ca="1" si="44"/>
        <v>33055</v>
      </c>
      <c r="AL166" s="103"/>
      <c r="AM166" s="103"/>
      <c r="AN166" s="105"/>
      <c r="AO166" s="105"/>
      <c r="AP166" s="103"/>
      <c r="AQ166" s="163">
        <f t="shared" ca="1" si="45"/>
        <v>33055</v>
      </c>
      <c r="AR166" s="163"/>
      <c r="AS166" s="101"/>
      <c r="AT166" s="101"/>
      <c r="AU166" s="103"/>
      <c r="AV166" s="103"/>
      <c r="AW166" s="103"/>
      <c r="AX166" s="103"/>
      <c r="AY166" s="103"/>
      <c r="AZ166" s="103"/>
      <c r="BA166" s="103"/>
      <c r="BB166" s="103"/>
      <c r="BC166" s="103"/>
      <c r="BD166" s="100" t="str">
        <f t="shared" si="33"/>
        <v/>
      </c>
      <c r="BE166" s="100" t="str">
        <f t="shared" si="34"/>
        <v/>
      </c>
      <c r="BF166" s="100" t="str">
        <f t="shared" si="35"/>
        <v/>
      </c>
      <c r="BG166" s="100" t="str">
        <f t="shared" si="36"/>
        <v/>
      </c>
      <c r="BH166" s="100" t="str">
        <f t="shared" si="37"/>
        <v/>
      </c>
      <c r="BI166" s="103"/>
    </row>
    <row r="167" spans="1:61" s="95" customFormat="1" ht="30">
      <c r="A167" s="101">
        <v>20161195001</v>
      </c>
      <c r="B167" s="19" t="str">
        <f>VLOOKUP(A167,'ESTADOS ESTUDIANTES'!B:L,2,0)</f>
        <v>BERNAL ARIZA CRISTIAN CAMILO</v>
      </c>
      <c r="C167" s="102">
        <f>VLOOKUP(A167,'ESTADOS ESTUDIANTES'!B:L,11,0)</f>
        <v>1016015011</v>
      </c>
      <c r="D167" s="23">
        <f>VLOOKUP(A167,'ESTADOS ESTUDIANTES'!B:L,3,0)</f>
        <v>195</v>
      </c>
      <c r="E167" s="102" t="str">
        <f>VLOOKUP(A167,'ESTADOS ESTUDIANTES'!B:L,8,0)</f>
        <v>ccbernala@correo.udistrital.edu.co</v>
      </c>
      <c r="F167" s="102" t="str">
        <f>VLOOKUP(A167,'ESTADOS ESTUDIANTES'!B:L,9,0)</f>
        <v>cristianbariza@gmail.com</v>
      </c>
      <c r="G167" s="19" t="str">
        <f>VLOOKUP(A167,'ESTADOS ESTUDIANTES'!B:L,5,0)</f>
        <v>E</v>
      </c>
      <c r="H167" s="103"/>
      <c r="I167" s="100" t="s">
        <v>1682</v>
      </c>
      <c r="J167" s="108" t="s">
        <v>999</v>
      </c>
      <c r="K167" s="103"/>
      <c r="L167" s="105"/>
      <c r="M167" s="106"/>
      <c r="N167" s="105"/>
      <c r="O167" s="106"/>
      <c r="P167" s="107"/>
      <c r="Q167" s="100" t="s">
        <v>1683</v>
      </c>
      <c r="R167" s="105">
        <v>42556</v>
      </c>
      <c r="S167" s="102">
        <v>2016</v>
      </c>
      <c r="T167" s="100" t="s">
        <v>1518</v>
      </c>
      <c r="U167" s="105">
        <v>42591</v>
      </c>
      <c r="V167" s="105">
        <v>42636</v>
      </c>
      <c r="W167" s="102">
        <v>1</v>
      </c>
      <c r="X167" s="91">
        <f t="shared" ca="1" si="42"/>
        <v>0</v>
      </c>
      <c r="Y167" s="100" t="s">
        <v>43</v>
      </c>
      <c r="Z167" s="100" t="s">
        <v>341</v>
      </c>
      <c r="AA167" s="105">
        <v>42572</v>
      </c>
      <c r="AB167" s="105">
        <v>42664</v>
      </c>
      <c r="AC167" s="102">
        <v>1</v>
      </c>
      <c r="AD167" s="21">
        <f t="shared" ca="1" si="43"/>
        <v>0</v>
      </c>
      <c r="AE167" s="100" t="s">
        <v>43</v>
      </c>
      <c r="AF167" s="105">
        <v>43076</v>
      </c>
      <c r="AG167" s="100" t="s">
        <v>1518</v>
      </c>
      <c r="AH167" s="105">
        <v>43139</v>
      </c>
      <c r="AI167" s="105"/>
      <c r="AJ167" s="103"/>
      <c r="AK167" s="23">
        <f t="shared" ca="1" si="44"/>
        <v>0</v>
      </c>
      <c r="AL167" s="100" t="s">
        <v>42</v>
      </c>
      <c r="AM167" s="100" t="s">
        <v>341</v>
      </c>
      <c r="AN167" s="105">
        <v>43122</v>
      </c>
      <c r="AO167" s="105"/>
      <c r="AP167" s="103"/>
      <c r="AQ167" s="161">
        <f t="shared" ca="1" si="45"/>
        <v>0</v>
      </c>
      <c r="AR167" s="162" t="s">
        <v>42</v>
      </c>
      <c r="AS167" s="101"/>
      <c r="AT167" s="101"/>
      <c r="AU167" s="103"/>
      <c r="AV167" s="103"/>
      <c r="AW167" s="103"/>
      <c r="AX167" s="103"/>
      <c r="AY167" s="103"/>
      <c r="AZ167" s="103"/>
      <c r="BA167" s="103"/>
      <c r="BB167" s="103"/>
      <c r="BC167" s="103"/>
      <c r="BD167" s="100" t="str">
        <f t="shared" si="33"/>
        <v/>
      </c>
      <c r="BE167" s="100" t="str">
        <f t="shared" si="34"/>
        <v/>
      </c>
      <c r="BF167" s="100" t="str">
        <f t="shared" si="35"/>
        <v/>
      </c>
      <c r="BG167" s="100" t="str">
        <f t="shared" si="36"/>
        <v/>
      </c>
      <c r="BH167" s="100" t="str">
        <f t="shared" si="37"/>
        <v/>
      </c>
      <c r="BI167" s="103"/>
    </row>
    <row r="168" spans="1:61" s="95" customFormat="1" ht="120">
      <c r="A168" s="101">
        <v>20161195002</v>
      </c>
      <c r="B168" s="19" t="str">
        <f>VLOOKUP(A168,'ESTADOS ESTUDIANTES'!B:L,2,0)</f>
        <v>CARREÑO PEREZ JUAN CARLOS</v>
      </c>
      <c r="C168" s="102">
        <f>VLOOKUP(A168,'ESTADOS ESTUDIANTES'!B:L,11,0)</f>
        <v>80215759</v>
      </c>
      <c r="D168" s="23">
        <f>VLOOKUP(A168,'ESTADOS ESTUDIANTES'!B:L,3,0)</f>
        <v>195</v>
      </c>
      <c r="E168" s="102" t="str">
        <f>VLOOKUP(A168,'ESTADOS ESTUDIANTES'!B:L,8,0)</f>
        <v>jccarrenop@correo.udistrital.edu.co</v>
      </c>
      <c r="F168" s="102" t="str">
        <f>VLOOKUP(A168,'ESTADOS ESTUDIANTES'!B:L,9,0)</f>
        <v>juan_carlos_carreno@hotmail.com</v>
      </c>
      <c r="G168" s="19" t="str">
        <f>VLOOKUP(A168,'ESTADOS ESTUDIANTES'!B:L,5,0)</f>
        <v>E</v>
      </c>
      <c r="H168" s="100" t="s">
        <v>60</v>
      </c>
      <c r="I168" s="100" t="s">
        <v>1684</v>
      </c>
      <c r="J168" s="108" t="s">
        <v>1461</v>
      </c>
      <c r="K168" s="103"/>
      <c r="L168" s="105"/>
      <c r="M168" s="106">
        <v>71</v>
      </c>
      <c r="N168" s="105">
        <v>43964</v>
      </c>
      <c r="O168" s="106">
        <v>66.959999999999994</v>
      </c>
      <c r="P168" s="112" t="s">
        <v>79</v>
      </c>
      <c r="Q168" s="100" t="s">
        <v>1685</v>
      </c>
      <c r="R168" s="105">
        <v>42585</v>
      </c>
      <c r="S168" s="102">
        <v>2016</v>
      </c>
      <c r="T168" s="100" t="s">
        <v>1620</v>
      </c>
      <c r="U168" s="105">
        <v>42622</v>
      </c>
      <c r="V168" s="100" t="s">
        <v>1686</v>
      </c>
      <c r="W168" s="102">
        <v>1</v>
      </c>
      <c r="X168" s="91">
        <f t="shared" ca="1" si="42"/>
        <v>0</v>
      </c>
      <c r="Y168" s="100" t="s">
        <v>43</v>
      </c>
      <c r="Z168" s="100" t="s">
        <v>1687</v>
      </c>
      <c r="AA168" s="105">
        <v>42625</v>
      </c>
      <c r="AB168" s="100" t="s">
        <v>1688</v>
      </c>
      <c r="AC168" s="102">
        <v>1</v>
      </c>
      <c r="AD168" s="21">
        <f t="shared" ca="1" si="43"/>
        <v>0</v>
      </c>
      <c r="AE168" s="100" t="s">
        <v>43</v>
      </c>
      <c r="AF168" s="105">
        <v>43564</v>
      </c>
      <c r="AG168" s="100" t="s">
        <v>1687</v>
      </c>
      <c r="AH168" s="105">
        <v>43579</v>
      </c>
      <c r="AI168" s="105">
        <v>43609</v>
      </c>
      <c r="AJ168" s="103"/>
      <c r="AK168" s="23">
        <f t="shared" ca="1" si="44"/>
        <v>0</v>
      </c>
      <c r="AL168" s="100" t="s">
        <v>42</v>
      </c>
      <c r="AM168" s="100" t="s">
        <v>309</v>
      </c>
      <c r="AN168" s="105">
        <v>43580</v>
      </c>
      <c r="AO168" s="105">
        <v>43600</v>
      </c>
      <c r="AP168" s="103"/>
      <c r="AQ168" s="161">
        <f t="shared" ca="1" si="45"/>
        <v>0</v>
      </c>
      <c r="AR168" s="162" t="s">
        <v>42</v>
      </c>
      <c r="AS168" s="115">
        <v>43586</v>
      </c>
      <c r="AT168" s="100" t="s">
        <v>1407</v>
      </c>
      <c r="AU168" s="100" t="s">
        <v>41</v>
      </c>
      <c r="AV168" s="117">
        <v>43637</v>
      </c>
      <c r="AW168" s="103"/>
      <c r="AX168" s="103"/>
      <c r="AY168" s="103"/>
      <c r="AZ168" s="103"/>
      <c r="BA168" s="103"/>
      <c r="BB168" s="103"/>
      <c r="BC168" s="103"/>
      <c r="BD168" s="100" t="str">
        <f t="shared" si="33"/>
        <v/>
      </c>
      <c r="BE168" s="100" t="str">
        <f t="shared" si="34"/>
        <v/>
      </c>
      <c r="BF168" s="100" t="str">
        <f t="shared" si="35"/>
        <v/>
      </c>
      <c r="BG168" s="100" t="str">
        <f t="shared" si="36"/>
        <v/>
      </c>
      <c r="BH168" s="100" t="str">
        <f t="shared" si="37"/>
        <v/>
      </c>
      <c r="BI168" s="103"/>
    </row>
    <row r="169" spans="1:61" s="95" customFormat="1" ht="120">
      <c r="A169" s="101">
        <v>20161195003</v>
      </c>
      <c r="B169" s="19" t="str">
        <f>VLOOKUP(A169,'ESTADOS ESTUDIANTES'!B:L,2,0)</f>
        <v>CORREA SANCHEZ LEWYS</v>
      </c>
      <c r="C169" s="102">
        <f>VLOOKUP(A169,'ESTADOS ESTUDIANTES'!B:L,11,0)</f>
        <v>1067906153</v>
      </c>
      <c r="D169" s="23">
        <f>VLOOKUP(A169,'ESTADOS ESTUDIANTES'!B:L,3,0)</f>
        <v>195</v>
      </c>
      <c r="E169" s="102" t="str">
        <f>VLOOKUP(A169,'ESTADOS ESTUDIANTES'!B:L,8,0)</f>
        <v>lcorreas@udistrital.edu.co</v>
      </c>
      <c r="F169" s="102" t="str">
        <f>VLOOKUP(A169,'ESTADOS ESTUDIANTES'!B:L,9,0)</f>
        <v>lew.correa@gmail.com</v>
      </c>
      <c r="G169" s="19" t="str">
        <f>VLOOKUP(A169,'ESTADOS ESTUDIANTES'!B:L,5,0)</f>
        <v>E</v>
      </c>
      <c r="H169" s="103"/>
      <c r="I169" s="100" t="s">
        <v>1689</v>
      </c>
      <c r="J169" s="100" t="s">
        <v>1461</v>
      </c>
      <c r="K169" s="103"/>
      <c r="L169" s="105"/>
      <c r="M169" s="106"/>
      <c r="N169" s="105">
        <v>43888</v>
      </c>
      <c r="O169" s="106">
        <v>73.91</v>
      </c>
      <c r="P169" s="112" t="s">
        <v>79</v>
      </c>
      <c r="Q169" s="100" t="s">
        <v>1690</v>
      </c>
      <c r="R169" s="105">
        <v>42557</v>
      </c>
      <c r="S169" s="102">
        <v>2016</v>
      </c>
      <c r="T169" s="100" t="s">
        <v>1521</v>
      </c>
      <c r="U169" s="105">
        <v>43577</v>
      </c>
      <c r="V169" s="105">
        <v>43607</v>
      </c>
      <c r="W169" s="100" t="s">
        <v>1691</v>
      </c>
      <c r="X169" s="91">
        <f t="shared" ca="1" si="42"/>
        <v>0</v>
      </c>
      <c r="Y169" s="100" t="s">
        <v>43</v>
      </c>
      <c r="Z169" s="100" t="s">
        <v>1692</v>
      </c>
      <c r="AA169" s="105">
        <v>43579</v>
      </c>
      <c r="AB169" s="105">
        <v>43592</v>
      </c>
      <c r="AC169" s="100" t="s">
        <v>1693</v>
      </c>
      <c r="AD169" s="21">
        <f t="shared" ca="1" si="43"/>
        <v>0</v>
      </c>
      <c r="AE169" s="100" t="s">
        <v>43</v>
      </c>
      <c r="AF169" s="105">
        <v>43862</v>
      </c>
      <c r="AG169" s="100" t="s">
        <v>1568</v>
      </c>
      <c r="AH169" s="105">
        <v>43914</v>
      </c>
      <c r="AI169" s="105">
        <v>43938</v>
      </c>
      <c r="AJ169" s="103"/>
      <c r="AK169" s="23">
        <f t="shared" ca="1" si="44"/>
        <v>0</v>
      </c>
      <c r="AL169" s="100" t="s">
        <v>42</v>
      </c>
      <c r="AM169" s="100" t="s">
        <v>1694</v>
      </c>
      <c r="AN169" s="105">
        <v>43920</v>
      </c>
      <c r="AO169" s="105">
        <v>43941</v>
      </c>
      <c r="AP169" s="103"/>
      <c r="AQ169" s="161">
        <f t="shared" ca="1" si="45"/>
        <v>0</v>
      </c>
      <c r="AR169" s="162" t="s">
        <v>42</v>
      </c>
      <c r="AS169" s="157">
        <v>44013</v>
      </c>
      <c r="AT169" s="101">
        <v>5</v>
      </c>
      <c r="AU169" s="100" t="s">
        <v>41</v>
      </c>
      <c r="AV169" s="117">
        <v>43987</v>
      </c>
      <c r="AW169" s="103"/>
      <c r="AX169" s="103"/>
      <c r="AY169" s="103"/>
      <c r="AZ169" s="103"/>
      <c r="BA169" s="103"/>
      <c r="BB169" s="103"/>
      <c r="BC169" s="103"/>
      <c r="BD169" s="100" t="str">
        <f t="shared" si="33"/>
        <v/>
      </c>
      <c r="BE169" s="100" t="str">
        <f t="shared" si="34"/>
        <v/>
      </c>
      <c r="BF169" s="100" t="str">
        <f t="shared" si="35"/>
        <v/>
      </c>
      <c r="BG169" s="100" t="str">
        <f t="shared" si="36"/>
        <v/>
      </c>
      <c r="BH169" s="100" t="str">
        <f t="shared" si="37"/>
        <v/>
      </c>
      <c r="BI169" s="103"/>
    </row>
    <row r="170" spans="1:61" s="222" customFormat="1" ht="135">
      <c r="A170" s="21">
        <v>20161195005</v>
      </c>
      <c r="B170" s="19" t="str">
        <f>VLOOKUP(A170,'ESTADOS ESTUDIANTES'!B:L,2,0)</f>
        <v>DAVILA ROJAS MIGUEL ANGEL</v>
      </c>
      <c r="C170" s="19">
        <f>VLOOKUP(A170,'ESTADOS ESTUDIANTES'!B:L,11,0)</f>
        <v>1018436623</v>
      </c>
      <c r="D170" s="23">
        <f>VLOOKUP(A170,'ESTADOS ESTUDIANTES'!B:L,3,0)</f>
        <v>195</v>
      </c>
      <c r="E170" s="19">
        <f>VLOOKUP(A170,'ESTADOS ESTUDIANTES'!B:L,8,0)</f>
        <v>0</v>
      </c>
      <c r="F170" s="19" t="str">
        <f>VLOOKUP(A170,'ESTADOS ESTUDIANTES'!B:L,9,0)</f>
        <v>miadavilar@correo.udistrital.edu.co</v>
      </c>
      <c r="G170" s="19" t="str">
        <f>VLOOKUP(A170,'ESTADOS ESTUDIANTES'!B:L,5,0)</f>
        <v>E</v>
      </c>
      <c r="H170" s="18" t="s">
        <v>60</v>
      </c>
      <c r="I170" s="18" t="s">
        <v>1695</v>
      </c>
      <c r="J170" s="125" t="s">
        <v>1461</v>
      </c>
      <c r="K170" s="18" t="s">
        <v>220</v>
      </c>
      <c r="L170" s="96"/>
      <c r="M170" s="97"/>
      <c r="N170" s="96">
        <v>43888</v>
      </c>
      <c r="O170" s="97">
        <v>92.17</v>
      </c>
      <c r="P170" s="98" t="s">
        <v>79</v>
      </c>
      <c r="Q170" s="18" t="s">
        <v>1696</v>
      </c>
      <c r="R170" s="96">
        <v>42564</v>
      </c>
      <c r="S170" s="21">
        <f>YEAR(R170)</f>
        <v>2016</v>
      </c>
      <c r="T170" s="18" t="s">
        <v>356</v>
      </c>
      <c r="U170" s="96">
        <v>42705</v>
      </c>
      <c r="V170" s="96">
        <v>42709</v>
      </c>
      <c r="W170" s="18" t="s">
        <v>1697</v>
      </c>
      <c r="X170" s="91">
        <f t="shared" ca="1" si="42"/>
        <v>0</v>
      </c>
      <c r="Y170" s="18" t="s">
        <v>43</v>
      </c>
      <c r="Z170" s="18" t="s">
        <v>1698</v>
      </c>
      <c r="AA170" s="96">
        <v>42705</v>
      </c>
      <c r="AB170" s="96">
        <v>42711</v>
      </c>
      <c r="AC170" s="18" t="s">
        <v>1699</v>
      </c>
      <c r="AD170" s="21">
        <f t="shared" ca="1" si="43"/>
        <v>0</v>
      </c>
      <c r="AE170" s="18" t="s">
        <v>43</v>
      </c>
      <c r="AF170" s="96"/>
      <c r="AG170" s="18" t="s">
        <v>1700</v>
      </c>
      <c r="AH170" s="96">
        <v>44483</v>
      </c>
      <c r="AI170" s="96">
        <v>44504</v>
      </c>
      <c r="AJ170" s="23"/>
      <c r="AK170" s="23">
        <f t="shared" ca="1" si="44"/>
        <v>0</v>
      </c>
      <c r="AL170" s="18" t="s">
        <v>42</v>
      </c>
      <c r="AM170" s="18" t="s">
        <v>1701</v>
      </c>
      <c r="AN170" s="96">
        <v>44483</v>
      </c>
      <c r="AO170" s="96">
        <v>44504</v>
      </c>
      <c r="AP170" s="23"/>
      <c r="AQ170" s="161">
        <f t="shared" ca="1" si="45"/>
        <v>0</v>
      </c>
      <c r="AR170" s="164" t="s">
        <v>42</v>
      </c>
      <c r="AS170" s="18" t="s">
        <v>1702</v>
      </c>
      <c r="AT170" s="18" t="s">
        <v>1407</v>
      </c>
      <c r="AU170" s="18" t="s">
        <v>55</v>
      </c>
      <c r="AV170" s="120">
        <v>44508</v>
      </c>
      <c r="AW170" s="23"/>
      <c r="AX170" s="23"/>
      <c r="AY170" s="18" t="s">
        <v>1703</v>
      </c>
      <c r="AZ170" s="124">
        <v>44496</v>
      </c>
      <c r="BA170" s="124"/>
      <c r="BB170" s="18" t="s">
        <v>51</v>
      </c>
      <c r="BC170" s="18" t="s">
        <v>240</v>
      </c>
      <c r="BD170" s="100" t="str">
        <f t="shared" si="33"/>
        <v/>
      </c>
      <c r="BE170" s="100" t="str">
        <f t="shared" si="34"/>
        <v/>
      </c>
      <c r="BF170" s="100" t="str">
        <f t="shared" si="35"/>
        <v/>
      </c>
      <c r="BG170" s="100" t="str">
        <f t="shared" si="36"/>
        <v/>
      </c>
      <c r="BH170" s="100" t="str">
        <f t="shared" si="37"/>
        <v/>
      </c>
      <c r="BI170" s="23"/>
    </row>
    <row r="171" spans="1:61" s="95" customFormat="1" ht="30">
      <c r="A171" s="21">
        <v>20161195006</v>
      </c>
      <c r="B171" s="19" t="str">
        <f>VLOOKUP(A171,'ESTADOS ESTUDIANTES'!B:L,2,0)</f>
        <v>FORERO RAMOS JEISSON ALBERTO</v>
      </c>
      <c r="C171" s="19">
        <f>VLOOKUP(A171,'ESTADOS ESTUDIANTES'!B:L,11,0)</f>
        <v>1031124825</v>
      </c>
      <c r="D171" s="23">
        <f>VLOOKUP(A171,'ESTADOS ESTUDIANTES'!B:L,3,0)</f>
        <v>195</v>
      </c>
      <c r="E171" s="19">
        <f>VLOOKUP(A171,'ESTADOS ESTUDIANTES'!B:L,8,0)</f>
        <v>0</v>
      </c>
      <c r="F171" s="19" t="str">
        <f>VLOOKUP(A171,'ESTADOS ESTUDIANTES'!B:L,9,0)</f>
        <v>jeaforeror@correo.udistrital.edu.co</v>
      </c>
      <c r="G171" s="19" t="str">
        <f>VLOOKUP(A171,'ESTADOS ESTUDIANTES'!B:L,5,0)</f>
        <v>X</v>
      </c>
      <c r="H171" s="18" t="s">
        <v>46</v>
      </c>
      <c r="I171" s="18" t="s">
        <v>1704</v>
      </c>
      <c r="J171" s="18" t="s">
        <v>309</v>
      </c>
      <c r="K171" s="23"/>
      <c r="L171" s="96"/>
      <c r="M171" s="97"/>
      <c r="N171" s="96">
        <v>43964</v>
      </c>
      <c r="O171" s="97">
        <v>93.91</v>
      </c>
      <c r="P171" s="98" t="s">
        <v>79</v>
      </c>
      <c r="Q171" s="18" t="s">
        <v>1705</v>
      </c>
      <c r="R171" s="96">
        <v>42972</v>
      </c>
      <c r="S171" s="21">
        <f>YEAR(R171)</f>
        <v>2017</v>
      </c>
      <c r="T171" s="18" t="s">
        <v>874</v>
      </c>
      <c r="U171" s="96">
        <v>42998</v>
      </c>
      <c r="V171" s="96">
        <v>43020</v>
      </c>
      <c r="W171" s="19">
        <v>1</v>
      </c>
      <c r="X171" s="91">
        <f t="shared" ca="1" si="42"/>
        <v>0</v>
      </c>
      <c r="Y171" s="18" t="s">
        <v>43</v>
      </c>
      <c r="Z171" s="18" t="s">
        <v>1706</v>
      </c>
      <c r="AA171" s="96">
        <v>43020</v>
      </c>
      <c r="AB171" s="96">
        <v>43039</v>
      </c>
      <c r="AC171" s="19">
        <v>1</v>
      </c>
      <c r="AD171" s="21">
        <f t="shared" ca="1" si="43"/>
        <v>0</v>
      </c>
      <c r="AE171" s="18" t="s">
        <v>1707</v>
      </c>
      <c r="AF171" s="96"/>
      <c r="AG171" s="23"/>
      <c r="AH171" s="96"/>
      <c r="AI171" s="96"/>
      <c r="AJ171" s="23"/>
      <c r="AK171" s="23">
        <f t="shared" ca="1" si="44"/>
        <v>33055</v>
      </c>
      <c r="AL171" s="23"/>
      <c r="AM171" s="23"/>
      <c r="AN171" s="96"/>
      <c r="AO171" s="96"/>
      <c r="AP171" s="23"/>
      <c r="AQ171" s="161">
        <f t="shared" ca="1" si="45"/>
        <v>33055</v>
      </c>
      <c r="AR171" s="161"/>
      <c r="AS171" s="18"/>
      <c r="AT171" s="21"/>
      <c r="AU171" s="23"/>
      <c r="AV171" s="23"/>
      <c r="AW171" s="23"/>
      <c r="AX171" s="23"/>
      <c r="AY171" s="23"/>
      <c r="AZ171" s="23"/>
      <c r="BA171" s="23"/>
      <c r="BB171" s="23"/>
      <c r="BC171" s="23"/>
      <c r="BD171" s="100" t="str">
        <f t="shared" si="33"/>
        <v/>
      </c>
      <c r="BE171" s="100" t="str">
        <f t="shared" si="34"/>
        <v/>
      </c>
      <c r="BF171" s="100" t="str">
        <f t="shared" si="35"/>
        <v/>
      </c>
      <c r="BG171" s="100" t="str">
        <f t="shared" si="36"/>
        <v/>
      </c>
      <c r="BH171" s="100" t="str">
        <f t="shared" si="37"/>
        <v/>
      </c>
      <c r="BI171" s="23"/>
    </row>
    <row r="172" spans="1:61" s="95" customFormat="1" ht="45">
      <c r="A172" s="187">
        <v>20161195008</v>
      </c>
      <c r="B172" s="19" t="str">
        <f>VLOOKUP(A172,'ESTADOS ESTUDIANTES'!B:L,2,0)</f>
        <v>GONZALEZ PRIETO FREDY ALEXANDER</v>
      </c>
      <c r="C172" s="19">
        <f>VLOOKUP(A172,'ESTADOS ESTUDIANTES'!B:L,11,0)</f>
        <v>1049612843</v>
      </c>
      <c r="D172" s="23">
        <f>VLOOKUP(A172,'ESTADOS ESTUDIANTES'!B:L,3,0)</f>
        <v>195</v>
      </c>
      <c r="E172" s="19" t="str">
        <f>VLOOKUP(A172,'ESTADOS ESTUDIANTES'!B:L,8,0)</f>
        <v>freagonzalezp@udistrital.edu.co</v>
      </c>
      <c r="F172" s="19" t="str">
        <f>VLOOKUP(A172,'ESTADOS ESTUDIANTES'!B:L,9,0)</f>
        <v>fredyagonzalez@hotmail.com</v>
      </c>
      <c r="G172" s="19" t="str">
        <f>VLOOKUP(A172,'ESTADOS ESTUDIANTES'!B:L,5,0)</f>
        <v>E</v>
      </c>
      <c r="H172" s="18" t="s">
        <v>46</v>
      </c>
      <c r="I172" s="18" t="s">
        <v>1708</v>
      </c>
      <c r="J172" s="18" t="s">
        <v>309</v>
      </c>
      <c r="K172" s="23"/>
      <c r="L172" s="96"/>
      <c r="M172" s="97"/>
      <c r="N172" s="96">
        <v>45059</v>
      </c>
      <c r="O172" s="97">
        <v>120</v>
      </c>
      <c r="P172" s="98" t="s">
        <v>79</v>
      </c>
      <c r="Q172" s="18" t="s">
        <v>1709</v>
      </c>
      <c r="R172" s="96"/>
      <c r="S172" s="21">
        <v>2016</v>
      </c>
      <c r="T172" s="18" t="s">
        <v>500</v>
      </c>
      <c r="U172" s="96">
        <v>43228</v>
      </c>
      <c r="V172" s="96">
        <v>43264</v>
      </c>
      <c r="W172" s="23"/>
      <c r="X172" s="91">
        <f ca="1">IF(Y172="",NETWORKDAYS.INTL(U172,TODAY(),1),0)</f>
        <v>0</v>
      </c>
      <c r="Y172" s="18" t="s">
        <v>43</v>
      </c>
      <c r="Z172" s="18" t="s">
        <v>356</v>
      </c>
      <c r="AA172" s="96">
        <v>43413</v>
      </c>
      <c r="AB172" s="96">
        <v>43425</v>
      </c>
      <c r="AC172" s="19">
        <v>1</v>
      </c>
      <c r="AD172" s="21">
        <f ca="1">IF(AE172="",NETWORKDAYS.INTL(AA172,TODAY(),1),0)</f>
        <v>0</v>
      </c>
      <c r="AE172" s="18" t="s">
        <v>43</v>
      </c>
      <c r="AF172" s="96">
        <v>44985</v>
      </c>
      <c r="AG172" s="23" t="s">
        <v>1118</v>
      </c>
      <c r="AH172" s="96">
        <v>44980</v>
      </c>
      <c r="AI172" s="96">
        <v>45006</v>
      </c>
      <c r="AJ172" s="23">
        <v>1</v>
      </c>
      <c r="AK172" s="23">
        <f ca="1">IF(AL172="",NETWORKDAYS.INTL(AH172,TODAY(),1),0)</f>
        <v>0</v>
      </c>
      <c r="AL172" s="18" t="s">
        <v>42</v>
      </c>
      <c r="AM172" s="23" t="s">
        <v>356</v>
      </c>
      <c r="AN172" s="96">
        <v>44985</v>
      </c>
      <c r="AO172" s="96">
        <v>45008</v>
      </c>
      <c r="AP172" s="23">
        <v>1</v>
      </c>
      <c r="AQ172" s="163">
        <f ca="1">IF(AR172="",NETWORKDAYS.INTL(AN172,TODAY(),1),0)</f>
        <v>0</v>
      </c>
      <c r="AR172" s="164" t="s">
        <v>42</v>
      </c>
      <c r="AS172" s="18" t="s">
        <v>1710</v>
      </c>
      <c r="AT172" s="21">
        <v>5</v>
      </c>
      <c r="AU172" s="23" t="s">
        <v>41</v>
      </c>
      <c r="AV172" s="120">
        <v>45069</v>
      </c>
      <c r="AW172" s="23"/>
      <c r="AX172" s="23">
        <v>2023</v>
      </c>
      <c r="AY172" s="152" t="s">
        <v>1645</v>
      </c>
      <c r="AZ172" s="120">
        <v>44993</v>
      </c>
      <c r="BA172" s="120"/>
      <c r="BB172" s="23" t="s">
        <v>1711</v>
      </c>
      <c r="BC172" s="23" t="s">
        <v>48</v>
      </c>
      <c r="BD172" s="100" t="str">
        <f t="shared" si="33"/>
        <v/>
      </c>
      <c r="BE172" s="100" t="str">
        <f t="shared" si="34"/>
        <v/>
      </c>
      <c r="BF172" s="100" t="str">
        <f t="shared" si="35"/>
        <v/>
      </c>
      <c r="BG172" s="102" t="str">
        <f t="shared" si="36"/>
        <v/>
      </c>
      <c r="BH172" s="102" t="str">
        <f t="shared" si="37"/>
        <v/>
      </c>
      <c r="BI172" s="23"/>
    </row>
    <row r="173" spans="1:61" s="95" customFormat="1">
      <c r="A173" s="101">
        <v>20161195012</v>
      </c>
      <c r="B173" s="19" t="str">
        <f>VLOOKUP(A173,'ESTADOS ESTUDIANTES'!B:L,2,0)</f>
        <v>RAMIREZ CANO ANGELICA MARIA</v>
      </c>
      <c r="C173" s="102">
        <f>VLOOKUP(A173,'ESTADOS ESTUDIANTES'!B:L,11,0)</f>
        <v>35199495</v>
      </c>
      <c r="D173" s="23">
        <f>VLOOKUP(A173,'ESTADOS ESTUDIANTES'!B:L,3,0)</f>
        <v>195</v>
      </c>
      <c r="E173" s="102">
        <f>VLOOKUP(A173,'ESTADOS ESTUDIANTES'!B:L,8,0)</f>
        <v>0</v>
      </c>
      <c r="F173" s="102" t="str">
        <f>VLOOKUP(A173,'ESTADOS ESTUDIANTES'!B:L,9,0)</f>
        <v>angeltbu@gmail.com</v>
      </c>
      <c r="G173" s="19" t="str">
        <f>VLOOKUP(A173,'ESTADOS ESTUDIANTES'!B:L,5,0)</f>
        <v>X</v>
      </c>
      <c r="H173" s="100" t="s">
        <v>46</v>
      </c>
      <c r="I173" s="103"/>
      <c r="J173" s="103"/>
      <c r="K173" s="103"/>
      <c r="L173" s="105"/>
      <c r="M173" s="106"/>
      <c r="N173" s="105"/>
      <c r="O173" s="106"/>
      <c r="P173" s="107"/>
      <c r="Q173" s="100"/>
      <c r="R173" s="105"/>
      <c r="S173" s="103"/>
      <c r="T173" s="103"/>
      <c r="U173" s="105"/>
      <c r="V173" s="105"/>
      <c r="W173" s="103"/>
      <c r="X173" s="91">
        <f ca="1">IF(U173="",NETWORKDAYS.INTL(Y173,TODAY(),1),0)</f>
        <v>33055</v>
      </c>
      <c r="Y173" s="99"/>
      <c r="Z173" s="103"/>
      <c r="AA173" s="105"/>
      <c r="AB173" s="105"/>
      <c r="AC173" s="103"/>
      <c r="AD173" s="21">
        <f ca="1">IF(AA173="",NETWORKDAYS.INTL(AE173,TODAY(),1),0)</f>
        <v>33055</v>
      </c>
      <c r="AE173" s="99"/>
      <c r="AF173" s="105"/>
      <c r="AG173" s="103"/>
      <c r="AH173" s="105"/>
      <c r="AI173" s="105"/>
      <c r="AJ173" s="103"/>
      <c r="AK173" s="23">
        <f ca="1">IF(AH173="",NETWORKDAYS.INTL(AL173,TODAY(),1),0)</f>
        <v>33055</v>
      </c>
      <c r="AL173" s="103"/>
      <c r="AM173" s="103"/>
      <c r="AN173" s="105"/>
      <c r="AO173" s="105"/>
      <c r="AP173" s="103"/>
      <c r="AQ173" s="163">
        <f ca="1">IF(AN173="",NETWORKDAYS.INTL(AR173,TODAY(),1),0)</f>
        <v>33055</v>
      </c>
      <c r="AR173" s="163"/>
      <c r="AS173" s="101"/>
      <c r="AT173" s="101"/>
      <c r="AU173" s="103"/>
      <c r="AV173" s="103"/>
      <c r="AW173" s="103"/>
      <c r="AX173" s="103"/>
      <c r="AY173" s="103"/>
      <c r="AZ173" s="103"/>
      <c r="BA173" s="103"/>
      <c r="BB173" s="103"/>
      <c r="BC173" s="103"/>
      <c r="BD173" s="100" t="str">
        <f t="shared" si="33"/>
        <v/>
      </c>
      <c r="BE173" s="100" t="str">
        <f t="shared" si="34"/>
        <v/>
      </c>
      <c r="BF173" s="100" t="str">
        <f t="shared" si="35"/>
        <v/>
      </c>
      <c r="BG173" s="100" t="str">
        <f t="shared" si="36"/>
        <v/>
      </c>
      <c r="BH173" s="100" t="str">
        <f t="shared" si="37"/>
        <v/>
      </c>
      <c r="BI173" s="103"/>
    </row>
    <row r="174" spans="1:61" s="95" customFormat="1" ht="75">
      <c r="A174" s="196">
        <v>20161195013</v>
      </c>
      <c r="B174" s="197" t="str">
        <f>VLOOKUP(A174,'ESTADOS ESTUDIANTES'!B:L,2,0)</f>
        <v>ROJAS PULIDO STIVEN ORLANDO</v>
      </c>
      <c r="C174" s="197">
        <f>VLOOKUP(A174,'ESTADOS ESTUDIANTES'!B:L,11,0)</f>
        <v>80865137</v>
      </c>
      <c r="D174" s="198">
        <f>VLOOKUP(A174,'ESTADOS ESTUDIANTES'!B:L,3,0)</f>
        <v>195</v>
      </c>
      <c r="E174" s="197" t="str">
        <f>VLOOKUP(A174,'ESTADOS ESTUDIANTES'!B:L,8,0)</f>
        <v>sorojasp@udistrital.edu.co</v>
      </c>
      <c r="F174" s="197" t="str">
        <f>VLOOKUP(A174,'ESTADOS ESTUDIANTES'!B:L,9,0)</f>
        <v>sorojasp@udistrital.edu.co</v>
      </c>
      <c r="G174" s="197" t="str">
        <f>VLOOKUP(A174,'ESTADOS ESTUDIANTES'!B:L,5,0)</f>
        <v>E</v>
      </c>
      <c r="H174" s="199" t="s">
        <v>46</v>
      </c>
      <c r="I174" s="199" t="s">
        <v>1712</v>
      </c>
      <c r="J174" s="199" t="s">
        <v>356</v>
      </c>
      <c r="K174" s="198"/>
      <c r="L174" s="200"/>
      <c r="M174" s="201"/>
      <c r="N174" s="200">
        <v>45057</v>
      </c>
      <c r="O174" s="201">
        <v>93</v>
      </c>
      <c r="P174" s="198" t="s">
        <v>79</v>
      </c>
      <c r="Q174" s="199" t="s">
        <v>1713</v>
      </c>
      <c r="R174" s="200">
        <v>42592</v>
      </c>
      <c r="S174" s="196">
        <f>YEAR(R174)</f>
        <v>2016</v>
      </c>
      <c r="T174" s="199" t="s">
        <v>239</v>
      </c>
      <c r="U174" s="200">
        <v>42614</v>
      </c>
      <c r="V174" s="199" t="s">
        <v>1714</v>
      </c>
      <c r="W174" s="197">
        <v>2</v>
      </c>
      <c r="X174" s="202">
        <f ca="1">IF(Y174="",NETWORKDAYS.INTL(U174,TODAY(),1),0)</f>
        <v>0</v>
      </c>
      <c r="Y174" s="199" t="s">
        <v>43</v>
      </c>
      <c r="Z174" s="199" t="s">
        <v>1599</v>
      </c>
      <c r="AA174" s="200">
        <v>42620</v>
      </c>
      <c r="AB174" s="200">
        <v>42601</v>
      </c>
      <c r="AC174" s="197">
        <v>1</v>
      </c>
      <c r="AD174" s="196">
        <f ca="1">IF(AE174="",NETWORKDAYS.INTL(AA174,TODAY(),1),0)</f>
        <v>0</v>
      </c>
      <c r="AE174" s="199" t="s">
        <v>43</v>
      </c>
      <c r="AF174" s="200">
        <v>44904</v>
      </c>
      <c r="AG174" s="198" t="s">
        <v>344</v>
      </c>
      <c r="AH174" s="200">
        <v>45198</v>
      </c>
      <c r="AI174" s="200">
        <v>45218</v>
      </c>
      <c r="AJ174" s="198">
        <v>1</v>
      </c>
      <c r="AK174" s="198">
        <f ca="1">IF(AL174="",NETWORKDAYS.INTL(AH174,TODAY(),1),0)</f>
        <v>0</v>
      </c>
      <c r="AL174" s="198" t="s">
        <v>56</v>
      </c>
      <c r="AM174" s="198" t="s">
        <v>310</v>
      </c>
      <c r="AN174" s="200">
        <v>45082</v>
      </c>
      <c r="AO174" s="200" t="s">
        <v>1715</v>
      </c>
      <c r="AP174" s="198">
        <v>1</v>
      </c>
      <c r="AQ174" s="203">
        <f ca="1">IF(AR174="",NETWORKDAYS.INTL(AN174,TODAY(),1),0)</f>
        <v>0</v>
      </c>
      <c r="AR174" s="204" t="s">
        <v>42</v>
      </c>
      <c r="AS174" s="199"/>
      <c r="AT174" s="196"/>
      <c r="AU174" s="198"/>
      <c r="AV174" s="198"/>
      <c r="AW174" s="198"/>
      <c r="AX174" s="198"/>
      <c r="AY174" s="198"/>
      <c r="AZ174" s="198"/>
      <c r="BA174" s="198"/>
      <c r="BB174" s="198"/>
      <c r="BC174" s="198"/>
      <c r="BD174" s="205" t="str">
        <f t="shared" si="33"/>
        <v/>
      </c>
      <c r="BE174" s="205" t="str">
        <f t="shared" si="34"/>
        <v/>
      </c>
      <c r="BF174" s="205" t="str">
        <f t="shared" si="35"/>
        <v/>
      </c>
      <c r="BG174" s="206" t="str">
        <f t="shared" si="36"/>
        <v/>
      </c>
      <c r="BH174" s="206" t="str">
        <f t="shared" si="37"/>
        <v/>
      </c>
      <c r="BI174" s="198"/>
    </row>
    <row r="175" spans="1:61" s="95" customFormat="1" ht="90">
      <c r="A175" s="101">
        <v>20161195015</v>
      </c>
      <c r="B175" s="19" t="str">
        <f>VLOOKUP(A175,'ESTADOS ESTUDIANTES'!B:L,2,0)</f>
        <v>SERRANO MOLINA YOHEL RENE</v>
      </c>
      <c r="C175" s="102">
        <f>VLOOKUP(A175,'ESTADOS ESTUDIANTES'!B:L,11,0)</f>
        <v>14013612</v>
      </c>
      <c r="D175" s="23">
        <f>VLOOKUP(A175,'ESTADOS ESTUDIANTES'!B:L,3,0)</f>
        <v>195</v>
      </c>
      <c r="E175" s="102" t="str">
        <f>VLOOKUP(A175,'ESTADOS ESTUDIANTES'!B:L,8,0)</f>
        <v>yrserranom@correo.udistrital.edu.co</v>
      </c>
      <c r="F175" s="102" t="str">
        <f>VLOOKUP(A175,'ESTADOS ESTUDIANTES'!B:L,9,0)</f>
        <v>yorry_12@hotmail.com</v>
      </c>
      <c r="G175" s="19" t="str">
        <f>VLOOKUP(A175,'ESTADOS ESTUDIANTES'!B:L,5,0)</f>
        <v>E</v>
      </c>
      <c r="H175" s="103"/>
      <c r="I175" s="100" t="s">
        <v>1716</v>
      </c>
      <c r="J175" s="108" t="s">
        <v>402</v>
      </c>
      <c r="K175" s="103"/>
      <c r="L175" s="105">
        <v>43964</v>
      </c>
      <c r="M175" s="106">
        <v>88.7</v>
      </c>
      <c r="N175" s="105">
        <v>43964</v>
      </c>
      <c r="O175" s="106">
        <v>34.78</v>
      </c>
      <c r="P175" s="112" t="s">
        <v>79</v>
      </c>
      <c r="Q175" s="100" t="s">
        <v>1717</v>
      </c>
      <c r="R175" s="105">
        <v>42991</v>
      </c>
      <c r="S175" s="102">
        <v>2017</v>
      </c>
      <c r="T175" s="100" t="s">
        <v>1521</v>
      </c>
      <c r="U175" s="100" t="s">
        <v>1718</v>
      </c>
      <c r="V175" s="105">
        <v>43082</v>
      </c>
      <c r="W175" s="102">
        <v>2</v>
      </c>
      <c r="X175" s="91">
        <f ca="1">IF(U175="",NETWORKDAYS.INTL(Y175,TODAY(),1),0)</f>
        <v>0</v>
      </c>
      <c r="Y175" s="100" t="s">
        <v>43</v>
      </c>
      <c r="Z175" s="100" t="s">
        <v>1719</v>
      </c>
      <c r="AA175" s="105">
        <v>43174</v>
      </c>
      <c r="AB175" s="105">
        <v>43197</v>
      </c>
      <c r="AC175" s="102">
        <v>2</v>
      </c>
      <c r="AD175" s="21">
        <f ca="1">IF(AA175="",NETWORKDAYS.INTL(AE175,TODAY(),1),0)</f>
        <v>0</v>
      </c>
      <c r="AE175" s="100" t="s">
        <v>43</v>
      </c>
      <c r="AF175" s="105">
        <v>43341</v>
      </c>
      <c r="AG175" s="100" t="s">
        <v>1521</v>
      </c>
      <c r="AH175" s="105">
        <v>43539</v>
      </c>
      <c r="AI175" s="105">
        <v>43602</v>
      </c>
      <c r="AJ175" s="100" t="s">
        <v>1720</v>
      </c>
      <c r="AK175" s="23">
        <f ca="1">IF(AH175="",NETWORKDAYS.INTL(AL175,TODAY(),1),0)</f>
        <v>0</v>
      </c>
      <c r="AL175" s="100" t="s">
        <v>42</v>
      </c>
      <c r="AM175" s="100" t="s">
        <v>1721</v>
      </c>
      <c r="AN175" s="105">
        <v>43536</v>
      </c>
      <c r="AO175" s="105">
        <v>43541</v>
      </c>
      <c r="AP175" s="100" t="s">
        <v>1722</v>
      </c>
      <c r="AQ175" s="162">
        <f ca="1">IF(AN175="",NETWORKDAYS.INTL(AR175,TODAY(),1),0)</f>
        <v>0</v>
      </c>
      <c r="AR175" s="162" t="s">
        <v>42</v>
      </c>
      <c r="AS175" s="115">
        <v>43678</v>
      </c>
      <c r="AT175" s="116">
        <v>44624</v>
      </c>
      <c r="AU175" s="100" t="s">
        <v>41</v>
      </c>
      <c r="AV175" s="117">
        <v>43707</v>
      </c>
      <c r="AW175" s="103"/>
      <c r="AX175" s="103"/>
      <c r="AY175" s="103"/>
      <c r="AZ175" s="103"/>
      <c r="BA175" s="103"/>
      <c r="BB175" s="103"/>
      <c r="BC175" s="103"/>
      <c r="BD175" s="100" t="str">
        <f t="shared" si="33"/>
        <v/>
      </c>
      <c r="BE175" s="100" t="str">
        <f t="shared" si="34"/>
        <v/>
      </c>
      <c r="BF175" s="100" t="str">
        <f t="shared" si="35"/>
        <v/>
      </c>
      <c r="BG175" s="100" t="str">
        <f t="shared" si="36"/>
        <v/>
      </c>
      <c r="BH175" s="100" t="str">
        <f t="shared" si="37"/>
        <v/>
      </c>
      <c r="BI175" s="103"/>
    </row>
    <row r="176" spans="1:61" s="95" customFormat="1" ht="30">
      <c r="A176" s="101">
        <v>20161195016</v>
      </c>
      <c r="B176" s="19" t="str">
        <f>VLOOKUP(A176,'ESTADOS ESTUDIANTES'!B:L,2,0)</f>
        <v>MUESES CUCHALA NELLY DEL ROSARIO</v>
      </c>
      <c r="C176" s="102">
        <f>VLOOKUP(A176,'ESTADOS ESTUDIANTES'!B:L,11,0)</f>
        <v>27381579</v>
      </c>
      <c r="D176" s="23">
        <f>VLOOKUP(A176,'ESTADOS ESTUDIANTES'!B:L,3,0)</f>
        <v>195</v>
      </c>
      <c r="E176" s="102">
        <f>VLOOKUP(A176,'ESTADOS ESTUDIANTES'!B:L,8,0)</f>
        <v>0</v>
      </c>
      <c r="F176" s="102" t="str">
        <f>VLOOKUP(A176,'ESTADOS ESTUDIANTES'!B:L,9,0)</f>
        <v>nellyrmuesesc@gmail.com</v>
      </c>
      <c r="G176" s="19" t="str">
        <f>VLOOKUP(A176,'ESTADOS ESTUDIANTES'!B:L,5,0)</f>
        <v>X</v>
      </c>
      <c r="H176" s="103"/>
      <c r="I176" s="103"/>
      <c r="J176" s="103"/>
      <c r="K176" s="103"/>
      <c r="L176" s="105"/>
      <c r="M176" s="106"/>
      <c r="N176" s="105"/>
      <c r="O176" s="106"/>
      <c r="P176" s="107"/>
      <c r="Q176" s="100"/>
      <c r="R176" s="105"/>
      <c r="S176" s="103"/>
      <c r="T176" s="103"/>
      <c r="U176" s="105"/>
      <c r="V176" s="105"/>
      <c r="W176" s="103"/>
      <c r="X176" s="91">
        <f ca="1">IF(U176="",NETWORKDAYS.INTL(Y176,TODAY(),1),0)</f>
        <v>33055</v>
      </c>
      <c r="Y176" s="99"/>
      <c r="Z176" s="103"/>
      <c r="AA176" s="105"/>
      <c r="AB176" s="105"/>
      <c r="AC176" s="103"/>
      <c r="AD176" s="21">
        <f ca="1">IF(AA176="",NETWORKDAYS.INTL(AE176,TODAY(),1),0)</f>
        <v>33055</v>
      </c>
      <c r="AE176" s="99"/>
      <c r="AF176" s="105"/>
      <c r="AG176" s="103"/>
      <c r="AH176" s="105"/>
      <c r="AI176" s="105"/>
      <c r="AJ176" s="103"/>
      <c r="AK176" s="23">
        <f ca="1">IF(AH176="",NETWORKDAYS.INTL(AL176,TODAY(),1),0)</f>
        <v>33055</v>
      </c>
      <c r="AL176" s="103"/>
      <c r="AM176" s="103"/>
      <c r="AN176" s="105"/>
      <c r="AO176" s="105"/>
      <c r="AP176" s="103"/>
      <c r="AQ176" s="163">
        <f ca="1">IF(AN176="",NETWORKDAYS.INTL(AR176,TODAY(),1),0)</f>
        <v>33055</v>
      </c>
      <c r="AR176" s="163"/>
      <c r="AS176" s="101"/>
      <c r="AT176" s="101"/>
      <c r="AU176" s="103"/>
      <c r="AV176" s="103"/>
      <c r="AW176" s="103"/>
      <c r="AX176" s="103"/>
      <c r="AY176" s="103"/>
      <c r="AZ176" s="103"/>
      <c r="BA176" s="103"/>
      <c r="BB176" s="103"/>
      <c r="BC176" s="103"/>
      <c r="BD176" s="100" t="str">
        <f t="shared" si="33"/>
        <v/>
      </c>
      <c r="BE176" s="100" t="str">
        <f t="shared" si="34"/>
        <v/>
      </c>
      <c r="BF176" s="100" t="str">
        <f t="shared" si="35"/>
        <v/>
      </c>
      <c r="BG176" s="100" t="str">
        <f t="shared" si="36"/>
        <v/>
      </c>
      <c r="BH176" s="100" t="str">
        <f t="shared" si="37"/>
        <v/>
      </c>
      <c r="BI176" s="103"/>
    </row>
    <row r="177" spans="1:61" s="207" customFormat="1" ht="30">
      <c r="A177" s="101">
        <v>20161395001</v>
      </c>
      <c r="B177" s="19" t="str">
        <f>VLOOKUP(A177,'ESTADOS ESTUDIANTES'!B:L,2,0)</f>
        <v>BUSTACARA SALAZAR NATALIA ESPERANZA</v>
      </c>
      <c r="C177" s="102">
        <f>VLOOKUP(A177,'ESTADOS ESTUDIANTES'!B:L,11,0)</f>
        <v>1018449895</v>
      </c>
      <c r="D177" s="23">
        <f>VLOOKUP(A177,'ESTADOS ESTUDIANTES'!B:L,3,0)</f>
        <v>395</v>
      </c>
      <c r="E177" s="102">
        <f>VLOOKUP(A177,'ESTADOS ESTUDIANTES'!B:L,8,0)</f>
        <v>0</v>
      </c>
      <c r="F177" s="102" t="str">
        <f>VLOOKUP(A177,'ESTADOS ESTUDIANTES'!B:L,9,0)</f>
        <v>natabustacara@gmail.com</v>
      </c>
      <c r="G177" s="19" t="str">
        <f>VLOOKUP(A177,'ESTADOS ESTUDIANTES'!B:L,5,0)</f>
        <v>N</v>
      </c>
      <c r="H177" s="100" t="s">
        <v>60</v>
      </c>
      <c r="I177" s="103"/>
      <c r="J177" s="103"/>
      <c r="K177" s="103"/>
      <c r="L177" s="105"/>
      <c r="M177" s="106"/>
      <c r="N177" s="105"/>
      <c r="O177" s="106"/>
      <c r="P177" s="107"/>
      <c r="Q177" s="100"/>
      <c r="R177" s="105"/>
      <c r="S177" s="103"/>
      <c r="T177" s="103"/>
      <c r="U177" s="105"/>
      <c r="V177" s="105"/>
      <c r="W177" s="103"/>
      <c r="X177" s="91">
        <f ca="1">IF(U177="",NETWORKDAYS.INTL(Y177,TODAY(),1),0)</f>
        <v>33055</v>
      </c>
      <c r="Y177" s="99"/>
      <c r="Z177" s="103"/>
      <c r="AA177" s="105"/>
      <c r="AB177" s="105"/>
      <c r="AC177" s="103"/>
      <c r="AD177" s="21">
        <f ca="1">IF(AA177="",NETWORKDAYS.INTL(AE177,TODAY(),1),0)</f>
        <v>33055</v>
      </c>
      <c r="AE177" s="99"/>
      <c r="AF177" s="105"/>
      <c r="AG177" s="103"/>
      <c r="AH177" s="105"/>
      <c r="AI177" s="105"/>
      <c r="AJ177" s="103"/>
      <c r="AK177" s="23">
        <f ca="1">IF(AH177="",NETWORKDAYS.INTL(AL177,TODAY(),1),0)</f>
        <v>33055</v>
      </c>
      <c r="AL177" s="103"/>
      <c r="AM177" s="103"/>
      <c r="AN177" s="105"/>
      <c r="AO177" s="105"/>
      <c r="AP177" s="103"/>
      <c r="AQ177" s="163">
        <f ca="1">IF(AN177="",NETWORKDAYS.INTL(AR177,TODAY(),1),0)</f>
        <v>33055</v>
      </c>
      <c r="AR177" s="163"/>
      <c r="AS177" s="100"/>
      <c r="AT177" s="101"/>
      <c r="AU177" s="103"/>
      <c r="AV177" s="103"/>
      <c r="AW177" s="103"/>
      <c r="AX177" s="103"/>
      <c r="AY177" s="103"/>
      <c r="AZ177" s="103"/>
      <c r="BA177" s="103"/>
      <c r="BB177" s="103"/>
      <c r="BC177" s="103"/>
      <c r="BD177" s="100" t="str">
        <f t="shared" si="33"/>
        <v/>
      </c>
      <c r="BE177" s="100" t="str">
        <f t="shared" si="34"/>
        <v/>
      </c>
      <c r="BF177" s="100" t="str">
        <f t="shared" si="35"/>
        <v/>
      </c>
      <c r="BG177" s="100" t="str">
        <f t="shared" si="36"/>
        <v/>
      </c>
      <c r="BH177" s="100" t="str">
        <f t="shared" si="37"/>
        <v/>
      </c>
      <c r="BI177" s="103"/>
    </row>
    <row r="178" spans="1:61" s="207" customFormat="1" ht="45">
      <c r="A178" s="111">
        <v>20161395002</v>
      </c>
      <c r="B178" s="19" t="str">
        <f>VLOOKUP(A178,'ESTADOS ESTUDIANTES'!B:L,2,0)</f>
        <v>CABIATIVA SANCHEZ OSCAR ABRAHAM</v>
      </c>
      <c r="C178" s="19">
        <f>VLOOKUP(A178,'ESTADOS ESTUDIANTES'!B:L,11,0)</f>
        <v>1019040864</v>
      </c>
      <c r="D178" s="23">
        <f>VLOOKUP(A178,'ESTADOS ESTUDIANTES'!B:L,3,0)</f>
        <v>395</v>
      </c>
      <c r="E178" s="19" t="str">
        <f>VLOOKUP(A178,'ESTADOS ESTUDIANTES'!B:L,8,0)</f>
        <v>oacabiativas@udistrital.edu.co</v>
      </c>
      <c r="F178" s="19" t="str">
        <f>VLOOKUP(A178,'ESTADOS ESTUDIANTES'!B:L,9,0)</f>
        <v>cabiato90@gmail.com</v>
      </c>
      <c r="G178" s="19" t="str">
        <f>VLOOKUP(A178,'ESTADOS ESTUDIANTES'!B:L,5,0)</f>
        <v>E</v>
      </c>
      <c r="H178" s="18" t="s">
        <v>60</v>
      </c>
      <c r="I178" s="18" t="s">
        <v>1723</v>
      </c>
      <c r="J178" s="18" t="s">
        <v>402</v>
      </c>
      <c r="K178" s="23"/>
      <c r="L178" s="96"/>
      <c r="M178" s="97"/>
      <c r="N178" s="96">
        <v>44342</v>
      </c>
      <c r="O178" s="97">
        <v>79.13</v>
      </c>
      <c r="P178" s="98" t="s">
        <v>79</v>
      </c>
      <c r="Q178" s="18" t="s">
        <v>1724</v>
      </c>
      <c r="R178" s="96">
        <v>42793</v>
      </c>
      <c r="S178" s="19">
        <v>2017</v>
      </c>
      <c r="T178" s="18" t="s">
        <v>270</v>
      </c>
      <c r="U178" s="96">
        <v>42803</v>
      </c>
      <c r="V178" s="18" t="s">
        <v>1725</v>
      </c>
      <c r="W178" s="19">
        <v>2</v>
      </c>
      <c r="X178" s="91">
        <f ca="1">IF(Y178="",NETWORKDAYS.INTL(U178,TODAY(),1),0)</f>
        <v>0</v>
      </c>
      <c r="Y178" s="114" t="s">
        <v>43</v>
      </c>
      <c r="Z178" s="18" t="s">
        <v>738</v>
      </c>
      <c r="AA178" s="96">
        <v>43220</v>
      </c>
      <c r="AB178" s="96">
        <v>43246</v>
      </c>
      <c r="AC178" s="19">
        <v>1</v>
      </c>
      <c r="AD178" s="21">
        <f ca="1">IF(AE178="",NETWORKDAYS.INTL(AA178,TODAY(),1),0)</f>
        <v>0</v>
      </c>
      <c r="AE178" s="114" t="s">
        <v>43</v>
      </c>
      <c r="AF178" s="96">
        <v>44469</v>
      </c>
      <c r="AG178" s="18" t="s">
        <v>270</v>
      </c>
      <c r="AH178" s="96">
        <v>44483</v>
      </c>
      <c r="AI178" s="96">
        <v>44520</v>
      </c>
      <c r="AJ178" s="23">
        <v>1</v>
      </c>
      <c r="AK178" s="23">
        <f ca="1">IF(AL178="",NETWORKDAYS.INTL(AH178,TODAY(),1),0)</f>
        <v>0</v>
      </c>
      <c r="AL178" s="18" t="s">
        <v>42</v>
      </c>
      <c r="AM178" s="18" t="s">
        <v>738</v>
      </c>
      <c r="AN178" s="96">
        <v>44483</v>
      </c>
      <c r="AO178" s="96">
        <v>44516</v>
      </c>
      <c r="AP178" s="23">
        <v>1</v>
      </c>
      <c r="AQ178" s="163">
        <f ca="1">IF(AR178="",NETWORKDAYS.INTL(AN178,TODAY(),1),0)</f>
        <v>0</v>
      </c>
      <c r="AR178" s="164" t="s">
        <v>42</v>
      </c>
      <c r="AS178" s="18" t="s">
        <v>1726</v>
      </c>
      <c r="AT178" s="126">
        <v>44777</v>
      </c>
      <c r="AU178" s="18" t="s">
        <v>41</v>
      </c>
      <c r="AV178" s="120">
        <v>44634</v>
      </c>
      <c r="AW178" s="120">
        <v>45016</v>
      </c>
      <c r="AX178" s="23">
        <v>2023</v>
      </c>
      <c r="AY178" s="127">
        <v>44958</v>
      </c>
      <c r="AZ178" s="124">
        <v>44979</v>
      </c>
      <c r="BA178" s="124"/>
      <c r="BB178" s="18" t="s">
        <v>1727</v>
      </c>
      <c r="BC178" s="23" t="s">
        <v>240</v>
      </c>
      <c r="BD178" s="100" t="str">
        <f t="shared" si="33"/>
        <v/>
      </c>
      <c r="BE178" s="100" t="str">
        <f t="shared" si="34"/>
        <v/>
      </c>
      <c r="BF178" s="100" t="str">
        <f t="shared" si="35"/>
        <v/>
      </c>
      <c r="BG178" s="100" t="str">
        <f t="shared" si="36"/>
        <v/>
      </c>
      <c r="BH178" s="100" t="str">
        <f t="shared" si="37"/>
        <v/>
      </c>
      <c r="BI178" s="23"/>
    </row>
    <row r="179" spans="1:61" s="222" customFormat="1" ht="105">
      <c r="A179" s="101">
        <v>20161395004</v>
      </c>
      <c r="B179" s="19" t="str">
        <f>VLOOKUP(A179,'ESTADOS ESTUDIANTES'!B:L,2,0)</f>
        <v>CORTES BUITRAGO WALTER ANDRES</v>
      </c>
      <c r="C179" s="102">
        <f>VLOOKUP(A179,'ESTADOS ESTUDIANTES'!B:L,11,0)</f>
        <v>1032408256</v>
      </c>
      <c r="D179" s="23">
        <f>VLOOKUP(A179,'ESTADOS ESTUDIANTES'!B:L,3,0)</f>
        <v>395</v>
      </c>
      <c r="E179" s="102" t="str">
        <f>VLOOKUP(A179,'ESTADOS ESTUDIANTES'!B:L,8,0)</f>
        <v>wacortesb@correo.udistrital.edu.co</v>
      </c>
      <c r="F179" s="102" t="str">
        <f>VLOOKUP(A179,'ESTADOS ESTUDIANTES'!B:L,9,0)</f>
        <v>wacortes88@gmail.com</v>
      </c>
      <c r="G179" s="19" t="str">
        <f>VLOOKUP(A179,'ESTADOS ESTUDIANTES'!B:L,5,0)</f>
        <v>E</v>
      </c>
      <c r="H179" s="100" t="s">
        <v>46</v>
      </c>
      <c r="I179" s="100" t="s">
        <v>1728</v>
      </c>
      <c r="J179" s="108" t="s">
        <v>344</v>
      </c>
      <c r="K179" s="103"/>
      <c r="L179" s="105"/>
      <c r="M179" s="106"/>
      <c r="N179" s="105">
        <v>44097</v>
      </c>
      <c r="O179" s="106">
        <v>80.37</v>
      </c>
      <c r="P179" s="112" t="s">
        <v>79</v>
      </c>
      <c r="Q179" s="100" t="s">
        <v>1513</v>
      </c>
      <c r="R179" s="105">
        <v>43053</v>
      </c>
      <c r="S179" s="102">
        <v>2017</v>
      </c>
      <c r="T179" s="100" t="s">
        <v>738</v>
      </c>
      <c r="U179" s="105">
        <v>43592</v>
      </c>
      <c r="V179" s="105">
        <v>43635</v>
      </c>
      <c r="W179" s="100" t="s">
        <v>1729</v>
      </c>
      <c r="X179" s="91">
        <f t="shared" ref="X179:X184" ca="1" si="46">IF(U179="",NETWORKDAYS.INTL(Y179,TODAY(),1),0)</f>
        <v>0</v>
      </c>
      <c r="Y179" s="100" t="s">
        <v>43</v>
      </c>
      <c r="Z179" s="100" t="s">
        <v>1436</v>
      </c>
      <c r="AA179" s="105">
        <v>43069</v>
      </c>
      <c r="AB179" s="105">
        <v>43137</v>
      </c>
      <c r="AC179" s="103"/>
      <c r="AD179" s="21">
        <f t="shared" ref="AD179:AD184" ca="1" si="47">IF(AA179="",NETWORKDAYS.INTL(AE179,TODAY(),1),0)</f>
        <v>0</v>
      </c>
      <c r="AE179" s="100" t="s">
        <v>43</v>
      </c>
      <c r="AF179" s="105">
        <v>44242</v>
      </c>
      <c r="AG179" s="100" t="s">
        <v>738</v>
      </c>
      <c r="AH179" s="105">
        <v>44308</v>
      </c>
      <c r="AI179" s="105">
        <v>44319</v>
      </c>
      <c r="AJ179" s="100" t="s">
        <v>1730</v>
      </c>
      <c r="AK179" s="23">
        <f t="shared" ref="AK179:AK184" ca="1" si="48">IF(AH179="",NETWORKDAYS.INTL(AL179,TODAY(),1),0)</f>
        <v>0</v>
      </c>
      <c r="AL179" s="100" t="s">
        <v>42</v>
      </c>
      <c r="AM179" s="100" t="s">
        <v>1436</v>
      </c>
      <c r="AN179" s="105">
        <v>44242</v>
      </c>
      <c r="AO179" s="105">
        <v>44271</v>
      </c>
      <c r="AP179" s="103"/>
      <c r="AQ179" s="163">
        <f t="shared" ref="AQ179:AQ184" ca="1" si="49">IF(AN179="",NETWORKDAYS.INTL(AR179,TODAY(),1),0)</f>
        <v>0</v>
      </c>
      <c r="AR179" s="162" t="s">
        <v>42</v>
      </c>
      <c r="AS179" s="115">
        <v>44409</v>
      </c>
      <c r="AT179" s="116">
        <v>44685</v>
      </c>
      <c r="AU179" s="100" t="s">
        <v>41</v>
      </c>
      <c r="AV179" s="117">
        <v>44351</v>
      </c>
      <c r="AW179" s="103"/>
      <c r="AX179" s="103"/>
      <c r="AY179" s="100" t="s">
        <v>1731</v>
      </c>
      <c r="AZ179" s="113">
        <v>44186</v>
      </c>
      <c r="BA179" s="113"/>
      <c r="BB179" s="103"/>
      <c r="BC179" s="100" t="s">
        <v>240</v>
      </c>
      <c r="BD179" s="100" t="str">
        <f t="shared" si="33"/>
        <v/>
      </c>
      <c r="BE179" s="100" t="str">
        <f t="shared" si="34"/>
        <v/>
      </c>
      <c r="BF179" s="100" t="str">
        <f t="shared" si="35"/>
        <v/>
      </c>
      <c r="BG179" s="100" t="str">
        <f t="shared" si="36"/>
        <v/>
      </c>
      <c r="BH179" s="100" t="str">
        <f t="shared" si="37"/>
        <v/>
      </c>
      <c r="BI179" s="103"/>
    </row>
    <row r="180" spans="1:61" s="95" customFormat="1" ht="105">
      <c r="A180" s="101">
        <v>20161395006</v>
      </c>
      <c r="B180" s="19" t="str">
        <f>VLOOKUP(A180,'ESTADOS ESTUDIANTES'!B:L,2,0)</f>
        <v>FLOREZ GARCIA ANDRES CAMILO</v>
      </c>
      <c r="C180" s="102">
        <f>VLOOKUP(A180,'ESTADOS ESTUDIANTES'!B:L,11,0)</f>
        <v>1018454644</v>
      </c>
      <c r="D180" s="23">
        <f>VLOOKUP(A180,'ESTADOS ESTUDIANTES'!B:L,3,0)</f>
        <v>395</v>
      </c>
      <c r="E180" s="102">
        <f>VLOOKUP(A180,'ESTADOS ESTUDIANTES'!B:L,8,0)</f>
        <v>0</v>
      </c>
      <c r="F180" s="102" t="str">
        <f>VLOOKUP(A180,'ESTADOS ESTUDIANTES'!B:L,9,0)</f>
        <v>andrescfg@gmail.com</v>
      </c>
      <c r="G180" s="19" t="str">
        <f>VLOOKUP(A180,'ESTADOS ESTUDIANTES'!B:L,5,0)</f>
        <v>E</v>
      </c>
      <c r="H180" s="100" t="s">
        <v>60</v>
      </c>
      <c r="I180" s="100" t="s">
        <v>1732</v>
      </c>
      <c r="J180" s="104"/>
      <c r="K180" s="103"/>
      <c r="L180" s="105"/>
      <c r="M180" s="106"/>
      <c r="N180" s="105">
        <v>44097</v>
      </c>
      <c r="O180" s="106">
        <v>89.72</v>
      </c>
      <c r="P180" s="112" t="s">
        <v>79</v>
      </c>
      <c r="Q180" s="100" t="s">
        <v>1733</v>
      </c>
      <c r="R180" s="105">
        <v>42786</v>
      </c>
      <c r="S180" s="102">
        <v>2017</v>
      </c>
      <c r="T180" s="100" t="s">
        <v>1427</v>
      </c>
      <c r="U180" s="105"/>
      <c r="V180" s="105">
        <v>44057</v>
      </c>
      <c r="W180" s="100" t="s">
        <v>1734</v>
      </c>
      <c r="X180" s="91" t="e">
        <f t="shared" ca="1" si="46"/>
        <v>#VALUE!</v>
      </c>
      <c r="Y180" s="100" t="s">
        <v>43</v>
      </c>
      <c r="Z180" s="100" t="s">
        <v>1479</v>
      </c>
      <c r="AA180" s="100" t="s">
        <v>1735</v>
      </c>
      <c r="AB180" s="100" t="s">
        <v>1736</v>
      </c>
      <c r="AC180" s="102">
        <v>2</v>
      </c>
      <c r="AD180" s="21">
        <f t="shared" ca="1" si="47"/>
        <v>0</v>
      </c>
      <c r="AE180" s="100" t="s">
        <v>43</v>
      </c>
      <c r="AF180" s="105">
        <v>44064</v>
      </c>
      <c r="AG180" s="100" t="s">
        <v>1427</v>
      </c>
      <c r="AH180" s="105">
        <v>44070</v>
      </c>
      <c r="AI180" s="105">
        <v>44095</v>
      </c>
      <c r="AJ180" s="103"/>
      <c r="AK180" s="23">
        <f t="shared" ca="1" si="48"/>
        <v>0</v>
      </c>
      <c r="AL180" s="100" t="s">
        <v>42</v>
      </c>
      <c r="AM180" s="100" t="s">
        <v>1479</v>
      </c>
      <c r="AN180" s="105">
        <v>44070</v>
      </c>
      <c r="AO180" s="105">
        <v>44104</v>
      </c>
      <c r="AP180" s="103"/>
      <c r="AQ180" s="161">
        <f t="shared" ca="1" si="49"/>
        <v>0</v>
      </c>
      <c r="AR180" s="162" t="s">
        <v>42</v>
      </c>
      <c r="AS180" s="100" t="s">
        <v>485</v>
      </c>
      <c r="AT180" s="116">
        <v>44777</v>
      </c>
      <c r="AU180" s="100" t="s">
        <v>41</v>
      </c>
      <c r="AV180" s="117">
        <v>44140</v>
      </c>
      <c r="AW180" s="103"/>
      <c r="AX180" s="103"/>
      <c r="AY180" s="103"/>
      <c r="AZ180" s="103"/>
      <c r="BA180" s="103"/>
      <c r="BB180" s="103"/>
      <c r="BC180" s="103"/>
      <c r="BD180" s="100" t="str">
        <f t="shared" si="33"/>
        <v/>
      </c>
      <c r="BE180" s="100" t="str">
        <f t="shared" si="34"/>
        <v/>
      </c>
      <c r="BF180" s="100" t="str">
        <f t="shared" si="35"/>
        <v/>
      </c>
      <c r="BG180" s="100" t="str">
        <f t="shared" si="36"/>
        <v/>
      </c>
      <c r="BH180" s="100" t="str">
        <f t="shared" si="37"/>
        <v/>
      </c>
      <c r="BI180" s="103"/>
    </row>
    <row r="181" spans="1:61" s="207" customFormat="1">
      <c r="A181" s="101">
        <v>20161395007</v>
      </c>
      <c r="B181" s="19" t="str">
        <f>VLOOKUP(A181,'ESTADOS ESTUDIANTES'!B:L,2,0)</f>
        <v>LOPEZ ROJAS ANGELA PATRICIA</v>
      </c>
      <c r="C181" s="102">
        <f>VLOOKUP(A181,'ESTADOS ESTUDIANTES'!B:L,11,0)</f>
        <v>1015417822</v>
      </c>
      <c r="D181" s="23">
        <f>VLOOKUP(A181,'ESTADOS ESTUDIANTES'!B:L,3,0)</f>
        <v>395</v>
      </c>
      <c r="E181" s="102">
        <f>VLOOKUP(A181,'ESTADOS ESTUDIANTES'!B:L,8,0)</f>
        <v>0</v>
      </c>
      <c r="F181" s="102" t="str">
        <f>VLOOKUP(A181,'ESTADOS ESTUDIANTES'!B:L,9,0)</f>
        <v>angelalopez80@hotmail.com</v>
      </c>
      <c r="G181" s="19" t="str">
        <f>VLOOKUP(A181,'ESTADOS ESTUDIANTES'!B:L,5,0)</f>
        <v>X</v>
      </c>
      <c r="H181" s="103"/>
      <c r="I181" s="103"/>
      <c r="J181" s="103"/>
      <c r="K181" s="103"/>
      <c r="L181" s="105"/>
      <c r="M181" s="106"/>
      <c r="N181" s="105"/>
      <c r="O181" s="106"/>
      <c r="P181" s="107"/>
      <c r="Q181" s="100"/>
      <c r="R181" s="105"/>
      <c r="S181" s="103"/>
      <c r="T181" s="103"/>
      <c r="U181" s="105"/>
      <c r="V181" s="105"/>
      <c r="W181" s="103"/>
      <c r="X181" s="91">
        <f t="shared" ca="1" si="46"/>
        <v>33055</v>
      </c>
      <c r="Y181" s="99"/>
      <c r="Z181" s="103"/>
      <c r="AA181" s="105"/>
      <c r="AB181" s="105"/>
      <c r="AC181" s="103"/>
      <c r="AD181" s="21">
        <f t="shared" ca="1" si="47"/>
        <v>33055</v>
      </c>
      <c r="AE181" s="99"/>
      <c r="AF181" s="105"/>
      <c r="AG181" s="103"/>
      <c r="AH181" s="105"/>
      <c r="AI181" s="105"/>
      <c r="AJ181" s="103"/>
      <c r="AK181" s="23">
        <f t="shared" ca="1" si="48"/>
        <v>33055</v>
      </c>
      <c r="AL181" s="103"/>
      <c r="AM181" s="103"/>
      <c r="AN181" s="105"/>
      <c r="AO181" s="105"/>
      <c r="AP181" s="103"/>
      <c r="AQ181" s="163">
        <f t="shared" ca="1" si="49"/>
        <v>33055</v>
      </c>
      <c r="AR181" s="163"/>
      <c r="AS181" s="101"/>
      <c r="AT181" s="101"/>
      <c r="AU181" s="103"/>
      <c r="AV181" s="103"/>
      <c r="AW181" s="103"/>
      <c r="AX181" s="103"/>
      <c r="AY181" s="103"/>
      <c r="AZ181" s="103"/>
      <c r="BA181" s="103"/>
      <c r="BB181" s="103"/>
      <c r="BC181" s="103"/>
      <c r="BD181" s="100" t="str">
        <f t="shared" si="33"/>
        <v/>
      </c>
      <c r="BE181" s="100" t="str">
        <f t="shared" si="34"/>
        <v/>
      </c>
      <c r="BF181" s="100" t="str">
        <f t="shared" si="35"/>
        <v/>
      </c>
      <c r="BG181" s="100" t="str">
        <f t="shared" si="36"/>
        <v/>
      </c>
      <c r="BH181" s="100" t="str">
        <f t="shared" si="37"/>
        <v/>
      </c>
      <c r="BI181" s="103"/>
    </row>
    <row r="182" spans="1:61" s="95" customFormat="1" ht="105">
      <c r="A182" s="21">
        <v>20161395008</v>
      </c>
      <c r="B182" s="19" t="str">
        <f>VLOOKUP(A182,'ESTADOS ESTUDIANTES'!B:L,2,0)</f>
        <v>MARTINEZ AGUIRRE NELSON DAVID</v>
      </c>
      <c r="C182" s="19">
        <f>VLOOKUP(A182,'ESTADOS ESTUDIANTES'!B:L,11,0)</f>
        <v>1019008786</v>
      </c>
      <c r="D182" s="23">
        <f>VLOOKUP(A182,'ESTADOS ESTUDIANTES'!B:L,3,0)</f>
        <v>395</v>
      </c>
      <c r="E182" s="19" t="str">
        <f>VLOOKUP(A182,'ESTADOS ESTUDIANTES'!B:L,8,0)</f>
        <v>ndmartineza@udistrital.edu.co</v>
      </c>
      <c r="F182" s="19" t="str">
        <f>VLOOKUP(A182,'ESTADOS ESTUDIANTES'!B:L,9,0)</f>
        <v>davidmartinezaguirre@hotmail.com</v>
      </c>
      <c r="G182" s="19" t="str">
        <f>VLOOKUP(A182,'ESTADOS ESTUDIANTES'!B:L,5,0)</f>
        <v>E</v>
      </c>
      <c r="H182" s="18" t="s">
        <v>60</v>
      </c>
      <c r="I182" s="18" t="s">
        <v>1737</v>
      </c>
      <c r="J182" s="18" t="s">
        <v>344</v>
      </c>
      <c r="K182" s="23"/>
      <c r="L182" s="96"/>
      <c r="M182" s="97"/>
      <c r="N182" s="96">
        <v>44887</v>
      </c>
      <c r="O182" s="97">
        <v>73</v>
      </c>
      <c r="P182" s="98" t="s">
        <v>79</v>
      </c>
      <c r="Q182" s="18" t="s">
        <v>1738</v>
      </c>
      <c r="R182" s="96">
        <v>42753</v>
      </c>
      <c r="S182" s="21">
        <f>YEAR(R182)</f>
        <v>2017</v>
      </c>
      <c r="T182" s="18" t="s">
        <v>272</v>
      </c>
      <c r="U182" s="18" t="s">
        <v>1739</v>
      </c>
      <c r="V182" s="18" t="s">
        <v>1740</v>
      </c>
      <c r="W182" s="19">
        <v>2</v>
      </c>
      <c r="X182" s="91">
        <f t="shared" ca="1" si="46"/>
        <v>0</v>
      </c>
      <c r="Y182" s="18" t="s">
        <v>43</v>
      </c>
      <c r="Z182" s="18" t="s">
        <v>1498</v>
      </c>
      <c r="AA182" s="18" t="s">
        <v>1741</v>
      </c>
      <c r="AB182" s="18" t="s">
        <v>1742</v>
      </c>
      <c r="AC182" s="19">
        <v>2</v>
      </c>
      <c r="AD182" s="21">
        <f t="shared" ca="1" si="47"/>
        <v>0</v>
      </c>
      <c r="AE182" s="18" t="s">
        <v>43</v>
      </c>
      <c r="AF182" s="96"/>
      <c r="AG182" s="18" t="s">
        <v>1743</v>
      </c>
      <c r="AH182" s="96">
        <v>44460</v>
      </c>
      <c r="AI182" s="96">
        <v>44490</v>
      </c>
      <c r="AJ182" s="18" t="s">
        <v>1744</v>
      </c>
      <c r="AK182" s="23">
        <f t="shared" ca="1" si="48"/>
        <v>0</v>
      </c>
      <c r="AL182" s="18" t="s">
        <v>42</v>
      </c>
      <c r="AM182" s="18" t="s">
        <v>1745</v>
      </c>
      <c r="AN182" s="96">
        <v>44460</v>
      </c>
      <c r="AO182" s="96">
        <v>44488</v>
      </c>
      <c r="AP182" s="18" t="s">
        <v>1746</v>
      </c>
      <c r="AQ182" s="161">
        <f t="shared" ca="1" si="49"/>
        <v>0</v>
      </c>
      <c r="AR182" s="164" t="s">
        <v>42</v>
      </c>
      <c r="AS182" s="18" t="s">
        <v>1747</v>
      </c>
      <c r="AT182" s="126">
        <v>44777</v>
      </c>
      <c r="AU182" s="18" t="s">
        <v>41</v>
      </c>
      <c r="AV182" s="120">
        <v>44539</v>
      </c>
      <c r="AW182" s="23"/>
      <c r="AX182" s="23"/>
      <c r="AY182" s="127">
        <v>44531</v>
      </c>
      <c r="AZ182" s="124">
        <v>44496</v>
      </c>
      <c r="BA182" s="124"/>
      <c r="BB182" s="18" t="s">
        <v>65</v>
      </c>
      <c r="BC182" s="18" t="s">
        <v>240</v>
      </c>
      <c r="BD182" s="100" t="str">
        <f t="shared" si="33"/>
        <v/>
      </c>
      <c r="BE182" s="100" t="str">
        <f t="shared" si="34"/>
        <v/>
      </c>
      <c r="BF182" s="100" t="str">
        <f t="shared" si="35"/>
        <v/>
      </c>
      <c r="BG182" s="100" t="str">
        <f t="shared" si="36"/>
        <v/>
      </c>
      <c r="BH182" s="100" t="str">
        <f t="shared" si="37"/>
        <v/>
      </c>
      <c r="BI182" s="23"/>
    </row>
    <row r="183" spans="1:61" s="95" customFormat="1">
      <c r="A183" s="101">
        <v>20161395009</v>
      </c>
      <c r="B183" s="19" t="str">
        <f>VLOOKUP(A183,'ESTADOS ESTUDIANTES'!B:L,2,0)</f>
        <v>PAEZ LEGUIZAMON EDGAR MAURICIO</v>
      </c>
      <c r="C183" s="102">
        <f>VLOOKUP(A183,'ESTADOS ESTUDIANTES'!B:L,11,0)</f>
        <v>1015996221</v>
      </c>
      <c r="D183" s="23">
        <f>VLOOKUP(A183,'ESTADOS ESTUDIANTES'!B:L,3,0)</f>
        <v>395</v>
      </c>
      <c r="E183" s="102">
        <f>VLOOKUP(A183,'ESTADOS ESTUDIANTES'!B:L,8,0)</f>
        <v>0</v>
      </c>
      <c r="F183" s="102" t="str">
        <f>VLOOKUP(A183,'ESTADOS ESTUDIANTES'!B:L,9,0)</f>
        <v>maopaez13@gmail.com</v>
      </c>
      <c r="G183" s="19" t="str">
        <f>VLOOKUP(A183,'ESTADOS ESTUDIANTES'!B:L,5,0)</f>
        <v>X</v>
      </c>
      <c r="H183" s="103"/>
      <c r="I183" s="103"/>
      <c r="J183" s="103"/>
      <c r="K183" s="103"/>
      <c r="L183" s="105"/>
      <c r="M183" s="106"/>
      <c r="N183" s="105"/>
      <c r="O183" s="106"/>
      <c r="P183" s="107"/>
      <c r="Q183" s="100"/>
      <c r="R183" s="105"/>
      <c r="S183" s="103"/>
      <c r="T183" s="103"/>
      <c r="U183" s="105"/>
      <c r="V183" s="105"/>
      <c r="W183" s="103"/>
      <c r="X183" s="91">
        <f t="shared" ca="1" si="46"/>
        <v>33055</v>
      </c>
      <c r="Y183" s="99"/>
      <c r="Z183" s="103"/>
      <c r="AA183" s="105"/>
      <c r="AB183" s="105"/>
      <c r="AC183" s="103"/>
      <c r="AD183" s="21">
        <f t="shared" ca="1" si="47"/>
        <v>33055</v>
      </c>
      <c r="AE183" s="99"/>
      <c r="AF183" s="105"/>
      <c r="AG183" s="103"/>
      <c r="AH183" s="105"/>
      <c r="AI183" s="105"/>
      <c r="AJ183" s="103"/>
      <c r="AK183" s="23">
        <f t="shared" ca="1" si="48"/>
        <v>33055</v>
      </c>
      <c r="AL183" s="103"/>
      <c r="AM183" s="103"/>
      <c r="AN183" s="105"/>
      <c r="AO183" s="105"/>
      <c r="AP183" s="103"/>
      <c r="AQ183" s="163">
        <f t="shared" ca="1" si="49"/>
        <v>33055</v>
      </c>
      <c r="AR183" s="163"/>
      <c r="AS183" s="101"/>
      <c r="AT183" s="101"/>
      <c r="AU183" s="103"/>
      <c r="AV183" s="103"/>
      <c r="AW183" s="103"/>
      <c r="AX183" s="103"/>
      <c r="AY183" s="103"/>
      <c r="AZ183" s="103"/>
      <c r="BA183" s="103"/>
      <c r="BB183" s="103"/>
      <c r="BC183" s="103"/>
      <c r="BD183" s="100" t="str">
        <f t="shared" si="33"/>
        <v/>
      </c>
      <c r="BE183" s="100" t="str">
        <f t="shared" si="34"/>
        <v/>
      </c>
      <c r="BF183" s="100" t="str">
        <f t="shared" si="35"/>
        <v/>
      </c>
      <c r="BG183" s="100" t="str">
        <f t="shared" si="36"/>
        <v/>
      </c>
      <c r="BH183" s="100" t="str">
        <f t="shared" si="37"/>
        <v/>
      </c>
      <c r="BI183" s="103"/>
    </row>
    <row r="184" spans="1:61" s="95" customFormat="1">
      <c r="A184" s="101">
        <v>20161395010</v>
      </c>
      <c r="B184" s="19" t="str">
        <f>VLOOKUP(A184,'ESTADOS ESTUDIANTES'!B:L,2,0)</f>
        <v>ROZO VANEGAS OSCAR ARMANDO</v>
      </c>
      <c r="C184" s="102">
        <f>VLOOKUP(A184,'ESTADOS ESTUDIANTES'!B:L,11,0)</f>
        <v>79734019</v>
      </c>
      <c r="D184" s="23">
        <f>VLOOKUP(A184,'ESTADOS ESTUDIANTES'!B:L,3,0)</f>
        <v>395</v>
      </c>
      <c r="E184" s="102">
        <f>VLOOKUP(A184,'ESTADOS ESTUDIANTES'!B:L,8,0)</f>
        <v>0</v>
      </c>
      <c r="F184" s="102" t="str">
        <f>VLOOKUP(A184,'ESTADOS ESTUDIANTES'!B:L,9,0)</f>
        <v>oscarciencia@hotmail.com</v>
      </c>
      <c r="G184" s="19" t="str">
        <f>VLOOKUP(A184,'ESTADOS ESTUDIANTES'!B:L,5,0)</f>
        <v>X</v>
      </c>
      <c r="H184" s="100" t="s">
        <v>46</v>
      </c>
      <c r="I184" s="103"/>
      <c r="J184" s="103"/>
      <c r="K184" s="103"/>
      <c r="L184" s="105"/>
      <c r="M184" s="106"/>
      <c r="N184" s="105"/>
      <c r="O184" s="106"/>
      <c r="P184" s="107"/>
      <c r="Q184" s="100"/>
      <c r="R184" s="105"/>
      <c r="S184" s="103"/>
      <c r="T184" s="103"/>
      <c r="U184" s="105"/>
      <c r="V184" s="105"/>
      <c r="W184" s="103"/>
      <c r="X184" s="91">
        <f t="shared" ca="1" si="46"/>
        <v>33055</v>
      </c>
      <c r="Y184" s="99"/>
      <c r="Z184" s="103"/>
      <c r="AA184" s="105"/>
      <c r="AB184" s="105"/>
      <c r="AC184" s="103"/>
      <c r="AD184" s="21">
        <f t="shared" ca="1" si="47"/>
        <v>33055</v>
      </c>
      <c r="AE184" s="99"/>
      <c r="AF184" s="105"/>
      <c r="AG184" s="103"/>
      <c r="AH184" s="105"/>
      <c r="AI184" s="105"/>
      <c r="AJ184" s="103"/>
      <c r="AK184" s="23">
        <f t="shared" ca="1" si="48"/>
        <v>33055</v>
      </c>
      <c r="AL184" s="103"/>
      <c r="AM184" s="103"/>
      <c r="AN184" s="105"/>
      <c r="AO184" s="105"/>
      <c r="AP184" s="103"/>
      <c r="AQ184" s="163">
        <f t="shared" ca="1" si="49"/>
        <v>33055</v>
      </c>
      <c r="AR184" s="163"/>
      <c r="AS184" s="101"/>
      <c r="AT184" s="101"/>
      <c r="AU184" s="103"/>
      <c r="AV184" s="103"/>
      <c r="AW184" s="103"/>
      <c r="AX184" s="103"/>
      <c r="AY184" s="103"/>
      <c r="AZ184" s="103"/>
      <c r="BA184" s="103"/>
      <c r="BB184" s="103"/>
      <c r="BC184" s="103"/>
      <c r="BD184" s="100" t="str">
        <f t="shared" si="33"/>
        <v/>
      </c>
      <c r="BE184" s="100" t="str">
        <f t="shared" si="34"/>
        <v/>
      </c>
      <c r="BF184" s="100" t="str">
        <f t="shared" si="35"/>
        <v/>
      </c>
      <c r="BG184" s="100" t="str">
        <f t="shared" si="36"/>
        <v/>
      </c>
      <c r="BH184" s="100" t="str">
        <f t="shared" si="37"/>
        <v/>
      </c>
      <c r="BI184" s="103"/>
    </row>
    <row r="185" spans="1:61" s="95" customFormat="1" ht="45">
      <c r="A185" s="187">
        <v>20161395011</v>
      </c>
      <c r="B185" s="19" t="str">
        <f>VLOOKUP(A185,'ESTADOS ESTUDIANTES'!B:L,2,0)</f>
        <v>SANDOVAL LAGOS JONATHAN SAID</v>
      </c>
      <c r="C185" s="19">
        <f>VLOOKUP(A185,'ESTADOS ESTUDIANTES'!B:L,11,0)</f>
        <v>1030576910</v>
      </c>
      <c r="D185" s="23">
        <f>VLOOKUP(A185,'ESTADOS ESTUDIANTES'!B:L,3,0)</f>
        <v>395</v>
      </c>
      <c r="E185" s="19">
        <f>VLOOKUP(A185,'ESTADOS ESTUDIANTES'!B:L,8,0)</f>
        <v>0</v>
      </c>
      <c r="F185" s="19" t="str">
        <f>VLOOKUP(A185,'ESTADOS ESTUDIANTES'!B:L,9,0)</f>
        <v>jssandovall@udistrital.edu.co</v>
      </c>
      <c r="G185" s="19" t="str">
        <f>VLOOKUP(A185,'ESTADOS ESTUDIANTES'!B:L,5,0)</f>
        <v>E</v>
      </c>
      <c r="H185" s="18" t="s">
        <v>60</v>
      </c>
      <c r="I185" s="18" t="s">
        <v>1748</v>
      </c>
      <c r="J185" s="18" t="s">
        <v>402</v>
      </c>
      <c r="K185" s="18" t="s">
        <v>272</v>
      </c>
      <c r="L185" s="96">
        <v>44097</v>
      </c>
      <c r="M185" s="97">
        <v>94.39</v>
      </c>
      <c r="N185" s="96">
        <v>44994</v>
      </c>
      <c r="O185" s="97">
        <v>165</v>
      </c>
      <c r="P185" s="98" t="s">
        <v>79</v>
      </c>
      <c r="Q185" s="18" t="s">
        <v>1749</v>
      </c>
      <c r="R185" s="96">
        <v>42502</v>
      </c>
      <c r="S185" s="21">
        <f>YEAR(R185)</f>
        <v>2016</v>
      </c>
      <c r="T185" s="18" t="s">
        <v>755</v>
      </c>
      <c r="U185" s="96">
        <v>42543</v>
      </c>
      <c r="V185" s="96">
        <v>42564</v>
      </c>
      <c r="W185" s="19">
        <v>1</v>
      </c>
      <c r="X185" s="91">
        <f ca="1">IF(Y185="",NETWORKDAYS.INTL(U185,TODAY(),1),0)</f>
        <v>0</v>
      </c>
      <c r="Y185" s="18" t="s">
        <v>56</v>
      </c>
      <c r="Z185" s="18" t="s">
        <v>1560</v>
      </c>
      <c r="AA185" s="96">
        <v>42916</v>
      </c>
      <c r="AB185" s="18" t="s">
        <v>1750</v>
      </c>
      <c r="AC185" s="19">
        <v>2</v>
      </c>
      <c r="AD185" s="21">
        <f ca="1">IF(AE185="",NETWORKDAYS.INTL(AA185,TODAY(),1),0)</f>
        <v>0</v>
      </c>
      <c r="AE185" s="18" t="s">
        <v>1751</v>
      </c>
      <c r="AF185" s="96">
        <v>44897</v>
      </c>
      <c r="AG185" s="18" t="s">
        <v>369</v>
      </c>
      <c r="AH185" s="96">
        <v>44958</v>
      </c>
      <c r="AI185" s="96">
        <v>44977</v>
      </c>
      <c r="AJ185" s="23">
        <v>1</v>
      </c>
      <c r="AK185" s="23">
        <f ca="1">IF(AL185="",NETWORKDAYS.INTL(AH185,TODAY(),1),0)</f>
        <v>0</v>
      </c>
      <c r="AL185" s="100" t="s">
        <v>42</v>
      </c>
      <c r="AM185" s="18" t="s">
        <v>755</v>
      </c>
      <c r="AN185" s="96">
        <v>44959</v>
      </c>
      <c r="AO185" s="96">
        <v>45048</v>
      </c>
      <c r="AP185" s="23">
        <v>1</v>
      </c>
      <c r="AQ185" s="163">
        <f ca="1">IF(AR185="",NETWORKDAYS.INTL(AN185,TODAY(),1),0)</f>
        <v>0</v>
      </c>
      <c r="AR185" s="161" t="s">
        <v>42</v>
      </c>
      <c r="AS185" s="18" t="s">
        <v>1752</v>
      </c>
      <c r="AT185" s="21">
        <v>4</v>
      </c>
      <c r="AU185" s="23" t="s">
        <v>41</v>
      </c>
      <c r="AV185" s="120">
        <v>45061</v>
      </c>
      <c r="AW185" s="23"/>
      <c r="AX185" s="23"/>
      <c r="AY185" s="18" t="s">
        <v>1753</v>
      </c>
      <c r="AZ185" s="20">
        <v>44867</v>
      </c>
      <c r="BA185" s="20"/>
      <c r="BB185" s="18" t="s">
        <v>65</v>
      </c>
      <c r="BC185" s="23" t="s">
        <v>240</v>
      </c>
      <c r="BD185" s="100" t="str">
        <f t="shared" si="33"/>
        <v/>
      </c>
      <c r="BE185" s="100" t="str">
        <f t="shared" si="34"/>
        <v/>
      </c>
      <c r="BF185" s="100" t="str">
        <f t="shared" si="35"/>
        <v/>
      </c>
      <c r="BG185" s="100" t="str">
        <f t="shared" si="36"/>
        <v/>
      </c>
      <c r="BH185" s="100" t="str">
        <f t="shared" si="37"/>
        <v/>
      </c>
      <c r="BI185" s="23"/>
    </row>
    <row r="186" spans="1:61" s="95" customFormat="1">
      <c r="A186" s="101">
        <v>20161395012</v>
      </c>
      <c r="B186" s="19" t="str">
        <f>VLOOKUP(A186,'ESTADOS ESTUDIANTES'!B:L,2,0)</f>
        <v>VARGAS MERCHAN MILTON SARETH</v>
      </c>
      <c r="C186" s="102">
        <f>VLOOKUP(A186,'ESTADOS ESTUDIANTES'!B:L,11,0)</f>
        <v>80017826</v>
      </c>
      <c r="D186" s="23">
        <f>VLOOKUP(A186,'ESTADOS ESTUDIANTES'!B:L,3,0)</f>
        <v>395</v>
      </c>
      <c r="E186" s="102">
        <f>VLOOKUP(A186,'ESTADOS ESTUDIANTES'!B:L,8,0)</f>
        <v>0</v>
      </c>
      <c r="F186" s="102" t="str">
        <f>VLOOKUP(A186,'ESTADOS ESTUDIANTES'!B:L,9,0)</f>
        <v>sarethsareth@gmail.com</v>
      </c>
      <c r="G186" s="19" t="str">
        <f>VLOOKUP(A186,'ESTADOS ESTUDIANTES'!B:L,5,0)</f>
        <v>X</v>
      </c>
      <c r="H186" s="100" t="s">
        <v>60</v>
      </c>
      <c r="I186" s="103"/>
      <c r="J186" s="103"/>
      <c r="K186" s="103"/>
      <c r="L186" s="105"/>
      <c r="M186" s="106"/>
      <c r="N186" s="105"/>
      <c r="O186" s="106"/>
      <c r="P186" s="107"/>
      <c r="Q186" s="100"/>
      <c r="R186" s="105"/>
      <c r="S186" s="103"/>
      <c r="T186" s="103"/>
      <c r="U186" s="105"/>
      <c r="V186" s="105"/>
      <c r="W186" s="103"/>
      <c r="X186" s="91">
        <f t="shared" ref="X186:X196" ca="1" si="50">IF(U186="",NETWORKDAYS.INTL(Y186,TODAY(),1),0)</f>
        <v>33055</v>
      </c>
      <c r="Y186" s="99"/>
      <c r="Z186" s="103"/>
      <c r="AA186" s="105"/>
      <c r="AB186" s="105"/>
      <c r="AC186" s="103"/>
      <c r="AD186" s="21">
        <f t="shared" ref="AD186:AD196" ca="1" si="51">IF(AA186="",NETWORKDAYS.INTL(AE186,TODAY(),1),0)</f>
        <v>33055</v>
      </c>
      <c r="AE186" s="99"/>
      <c r="AF186" s="105"/>
      <c r="AG186" s="103"/>
      <c r="AH186" s="105"/>
      <c r="AI186" s="105"/>
      <c r="AJ186" s="103"/>
      <c r="AK186" s="23">
        <f t="shared" ref="AK186:AK196" ca="1" si="52">IF(AH186="",NETWORKDAYS.INTL(AL186,TODAY(),1),0)</f>
        <v>33055</v>
      </c>
      <c r="AL186" s="103"/>
      <c r="AM186" s="103"/>
      <c r="AN186" s="105"/>
      <c r="AO186" s="105"/>
      <c r="AP186" s="103"/>
      <c r="AQ186" s="163">
        <f t="shared" ref="AQ186:AQ196" ca="1" si="53">IF(AN186="",NETWORKDAYS.INTL(AR186,TODAY(),1),0)</f>
        <v>33055</v>
      </c>
      <c r="AR186" s="163"/>
      <c r="AS186" s="101"/>
      <c r="AT186" s="101"/>
      <c r="AU186" s="103"/>
      <c r="AV186" s="103"/>
      <c r="AW186" s="103"/>
      <c r="AX186" s="103"/>
      <c r="AY186" s="103"/>
      <c r="AZ186" s="103"/>
      <c r="BA186" s="103"/>
      <c r="BB186" s="103"/>
      <c r="BC186" s="103"/>
      <c r="BD186" s="100" t="str">
        <f t="shared" si="33"/>
        <v/>
      </c>
      <c r="BE186" s="100" t="str">
        <f t="shared" si="34"/>
        <v/>
      </c>
      <c r="BF186" s="100" t="str">
        <f t="shared" si="35"/>
        <v/>
      </c>
      <c r="BG186" s="100" t="str">
        <f t="shared" si="36"/>
        <v/>
      </c>
      <c r="BH186" s="100" t="str">
        <f t="shared" si="37"/>
        <v/>
      </c>
      <c r="BI186" s="103"/>
    </row>
    <row r="187" spans="1:61" s="95" customFormat="1" ht="30">
      <c r="A187" s="21">
        <v>20161495002</v>
      </c>
      <c r="B187" s="19" t="str">
        <f>VLOOKUP(A187,'ESTADOS ESTUDIANTES'!B:L,2,0)</f>
        <v>BECERRA TORRES DANNY FERNANDO</v>
      </c>
      <c r="C187" s="19">
        <f>VLOOKUP(A187,'ESTADOS ESTUDIANTES'!B:L,11,0)</f>
        <v>80027500</v>
      </c>
      <c r="D187" s="23">
        <f>VLOOKUP(A187,'ESTADOS ESTUDIANTES'!B:L,3,0)</f>
        <v>495</v>
      </c>
      <c r="E187" s="19" t="str">
        <f>VLOOKUP(A187,'ESTADOS ESTUDIANTES'!B:L,8,0)</f>
        <v>dfbecerrat@udistrital.edu.co</v>
      </c>
      <c r="F187" s="19" t="str">
        <f>VLOOKUP(A187,'ESTADOS ESTUDIANTES'!B:L,9,0)</f>
        <v>dfbecerrat@correo.udistrital.edu.co</v>
      </c>
      <c r="G187" s="19" t="str">
        <f>VLOOKUP(A187,'ESTADOS ESTUDIANTES'!B:L,5,0)</f>
        <v>X</v>
      </c>
      <c r="H187" s="18" t="s">
        <v>60</v>
      </c>
      <c r="I187" s="18" t="s">
        <v>1754</v>
      </c>
      <c r="J187" s="18" t="s">
        <v>705</v>
      </c>
      <c r="K187" s="23"/>
      <c r="L187" s="96"/>
      <c r="M187" s="97"/>
      <c r="N187" s="96">
        <v>43964</v>
      </c>
      <c r="O187" s="97">
        <v>84.35</v>
      </c>
      <c r="P187" s="98" t="s">
        <v>79</v>
      </c>
      <c r="Q187" s="18" t="s">
        <v>1696</v>
      </c>
      <c r="R187" s="96">
        <v>42586</v>
      </c>
      <c r="S187" s="19">
        <v>2016</v>
      </c>
      <c r="T187" s="18" t="s">
        <v>402</v>
      </c>
      <c r="U187" s="96"/>
      <c r="V187" s="96">
        <v>42725</v>
      </c>
      <c r="W187" s="18" t="s">
        <v>1755</v>
      </c>
      <c r="X187" s="91" t="e">
        <f t="shared" ca="1" si="50"/>
        <v>#VALUE!</v>
      </c>
      <c r="Y187" s="114" t="s">
        <v>56</v>
      </c>
      <c r="Z187" s="18" t="s">
        <v>1756</v>
      </c>
      <c r="AA187" s="96">
        <v>42613</v>
      </c>
      <c r="AB187" s="96">
        <v>42649</v>
      </c>
      <c r="AC187" s="19">
        <v>1</v>
      </c>
      <c r="AD187" s="21">
        <f t="shared" ca="1" si="51"/>
        <v>0</v>
      </c>
      <c r="AE187" s="114" t="s">
        <v>43</v>
      </c>
      <c r="AF187" s="96"/>
      <c r="AG187" s="23"/>
      <c r="AH187" s="96"/>
      <c r="AI187" s="96"/>
      <c r="AJ187" s="23"/>
      <c r="AK187" s="23">
        <f t="shared" ca="1" si="52"/>
        <v>33055</v>
      </c>
      <c r="AL187" s="23"/>
      <c r="AM187" s="23"/>
      <c r="AN187" s="96"/>
      <c r="AO187" s="96"/>
      <c r="AP187" s="23"/>
      <c r="AQ187" s="162">
        <f t="shared" ca="1" si="53"/>
        <v>33055</v>
      </c>
      <c r="AR187" s="161"/>
      <c r="AS187" s="18"/>
      <c r="AT187" s="21"/>
      <c r="AU187" s="23"/>
      <c r="AV187" s="23"/>
      <c r="AW187" s="23"/>
      <c r="AX187" s="23"/>
      <c r="AY187" s="23"/>
      <c r="AZ187" s="23"/>
      <c r="BA187" s="23"/>
      <c r="BB187" s="23"/>
      <c r="BC187" s="23"/>
      <c r="BD187" s="100" t="str">
        <f t="shared" si="33"/>
        <v/>
      </c>
      <c r="BE187" s="100" t="str">
        <f t="shared" si="34"/>
        <v/>
      </c>
      <c r="BF187" s="100" t="str">
        <f t="shared" si="35"/>
        <v/>
      </c>
      <c r="BG187" s="100" t="str">
        <f t="shared" si="36"/>
        <v/>
      </c>
      <c r="BH187" s="100" t="str">
        <f t="shared" si="37"/>
        <v/>
      </c>
      <c r="BI187" s="23"/>
    </row>
    <row r="188" spans="1:61" s="95" customFormat="1" ht="30">
      <c r="A188" s="21">
        <v>20161495004</v>
      </c>
      <c r="B188" s="19" t="str">
        <f>VLOOKUP(A188,'ESTADOS ESTUDIANTES'!B:L,2,0)</f>
        <v>CRISTANCHO SASTOQUE NELSON JAVIER</v>
      </c>
      <c r="C188" s="19">
        <f>VLOOKUP(A188,'ESTADOS ESTUDIANTES'!B:L,11,0)</f>
        <v>1023912985</v>
      </c>
      <c r="D188" s="23">
        <f>VLOOKUP(A188,'ESTADOS ESTUDIANTES'!B:L,3,0)</f>
        <v>495</v>
      </c>
      <c r="E188" s="19">
        <f>VLOOKUP(A188,'ESTADOS ESTUDIANTES'!B:L,8,0)</f>
        <v>0</v>
      </c>
      <c r="F188" s="19" t="str">
        <f>VLOOKUP(A188,'ESTADOS ESTUDIANTES'!B:L,9,0)</f>
        <v>nelsonjcristancho@gmail.com</v>
      </c>
      <c r="G188" s="19" t="str">
        <f>VLOOKUP(A188,'ESTADOS ESTUDIANTES'!B:L,5,0)</f>
        <v>X</v>
      </c>
      <c r="H188" s="18" t="s">
        <v>60</v>
      </c>
      <c r="I188" s="23"/>
      <c r="J188" s="23"/>
      <c r="K188" s="23"/>
      <c r="L188" s="96"/>
      <c r="M188" s="97"/>
      <c r="N188" s="96"/>
      <c r="O188" s="97"/>
      <c r="P188" s="110"/>
      <c r="Q188" s="18"/>
      <c r="R188" s="96"/>
      <c r="S188" s="23"/>
      <c r="T188" s="23"/>
      <c r="U188" s="96"/>
      <c r="V188" s="96"/>
      <c r="W188" s="23"/>
      <c r="X188" s="91">
        <f t="shared" ca="1" si="50"/>
        <v>33055</v>
      </c>
      <c r="Y188" s="99"/>
      <c r="Z188" s="23"/>
      <c r="AA188" s="96"/>
      <c r="AB188" s="96"/>
      <c r="AC188" s="23"/>
      <c r="AD188" s="21">
        <f t="shared" ca="1" si="51"/>
        <v>33055</v>
      </c>
      <c r="AE188" s="99"/>
      <c r="AF188" s="96"/>
      <c r="AG188" s="23"/>
      <c r="AH188" s="96"/>
      <c r="AI188" s="96"/>
      <c r="AJ188" s="23"/>
      <c r="AK188" s="23">
        <f t="shared" ca="1" si="52"/>
        <v>33055</v>
      </c>
      <c r="AL188" s="23"/>
      <c r="AM188" s="23"/>
      <c r="AN188" s="96"/>
      <c r="AO188" s="96"/>
      <c r="AP188" s="23"/>
      <c r="AQ188" s="161">
        <f t="shared" ca="1" si="53"/>
        <v>33055</v>
      </c>
      <c r="AR188" s="161"/>
      <c r="AS188" s="18"/>
      <c r="AT188" s="21"/>
      <c r="AU188" s="23"/>
      <c r="AV188" s="23"/>
      <c r="AW188" s="23"/>
      <c r="AX188" s="23"/>
      <c r="AY188" s="23"/>
      <c r="AZ188" s="23"/>
      <c r="BA188" s="23"/>
      <c r="BB188" s="23"/>
      <c r="BC188" s="23"/>
      <c r="BD188" s="100" t="str">
        <f t="shared" ref="BD188:BD244" si="54">IF(OR($G188="A",$G188="D",$G188="P",$G188="V"),J188,"")</f>
        <v/>
      </c>
      <c r="BE188" s="100" t="str">
        <f t="shared" ref="BE188:BE244" si="55">IF(OR($G188="A",$G188="D",$G188="P",$G188="V"),T188,"")</f>
        <v/>
      </c>
      <c r="BF188" s="100" t="str">
        <f t="shared" ref="BF188:BF244" si="56">IF(OR($G188="A",$G188="D",$G188="P",$G188="V"),Z188,"")</f>
        <v/>
      </c>
      <c r="BG188" s="100" t="str">
        <f t="shared" ref="BG188:BG244" si="57">IF(OR($G188="A",$G188="D",$G188="P",$G188="V"),AM188,"")</f>
        <v/>
      </c>
      <c r="BH188" s="100" t="str">
        <f t="shared" ref="BH188:BH244" si="58">IF(OR($G188="A",$G188="D",$G188="P",$G188="V"),AG188,"")</f>
        <v/>
      </c>
      <c r="BI188" s="23"/>
    </row>
    <row r="189" spans="1:61" s="95" customFormat="1" ht="45">
      <c r="A189" s="21">
        <v>20161495005</v>
      </c>
      <c r="B189" s="19" t="str">
        <f>VLOOKUP(A189,'ESTADOS ESTUDIANTES'!B:L,2,0)</f>
        <v>CUSPOCA RUIZ JONATHAN ENRIQUE</v>
      </c>
      <c r="C189" s="19">
        <f>VLOOKUP(A189,'ESTADOS ESTUDIANTES'!B:L,11,0)</f>
        <v>1032455933</v>
      </c>
      <c r="D189" s="23">
        <f>VLOOKUP(A189,'ESTADOS ESTUDIANTES'!B:L,3,0)</f>
        <v>495</v>
      </c>
      <c r="E189" s="19">
        <f>VLOOKUP(A189,'ESTADOS ESTUDIANTES'!B:L,8,0)</f>
        <v>0</v>
      </c>
      <c r="F189" s="19" t="str">
        <f>VLOOKUP(A189,'ESTADOS ESTUDIANTES'!B:L,9,0)</f>
        <v>jonath1032@gmail.com</v>
      </c>
      <c r="G189" s="19" t="str">
        <f>VLOOKUP(A189,'ESTADOS ESTUDIANTES'!B:L,5,0)</f>
        <v>X</v>
      </c>
      <c r="H189" s="18" t="s">
        <v>60</v>
      </c>
      <c r="I189" s="18" t="s">
        <v>1757</v>
      </c>
      <c r="J189" s="18" t="s">
        <v>463</v>
      </c>
      <c r="K189" s="18" t="s">
        <v>323</v>
      </c>
      <c r="L189" s="96"/>
      <c r="M189" s="97"/>
      <c r="N189" s="96"/>
      <c r="O189" s="97"/>
      <c r="P189" s="110"/>
      <c r="Q189" s="18" t="s">
        <v>1758</v>
      </c>
      <c r="R189" s="96">
        <v>2018</v>
      </c>
      <c r="S189" s="21">
        <f>YEAR(R189)</f>
        <v>1905</v>
      </c>
      <c r="T189" s="18" t="s">
        <v>281</v>
      </c>
      <c r="U189" s="96">
        <v>43272</v>
      </c>
      <c r="V189" s="96">
        <v>43315</v>
      </c>
      <c r="W189" s="23"/>
      <c r="X189" s="91">
        <f t="shared" ca="1" si="50"/>
        <v>0</v>
      </c>
      <c r="Y189" s="114" t="s">
        <v>43</v>
      </c>
      <c r="Z189" s="18" t="s">
        <v>1759</v>
      </c>
      <c r="AA189" s="96">
        <v>43173</v>
      </c>
      <c r="AB189" s="96">
        <v>43179</v>
      </c>
      <c r="AC189" s="23"/>
      <c r="AD189" s="21">
        <f t="shared" ca="1" si="51"/>
        <v>0</v>
      </c>
      <c r="AE189" s="114" t="s">
        <v>43</v>
      </c>
      <c r="AF189" s="96"/>
      <c r="AG189" s="23"/>
      <c r="AH189" s="96"/>
      <c r="AI189" s="96"/>
      <c r="AJ189" s="23"/>
      <c r="AK189" s="23">
        <f t="shared" ca="1" si="52"/>
        <v>33055</v>
      </c>
      <c r="AL189" s="23"/>
      <c r="AM189" s="23"/>
      <c r="AN189" s="96"/>
      <c r="AO189" s="96"/>
      <c r="AP189" s="23"/>
      <c r="AQ189" s="162">
        <f t="shared" ca="1" si="53"/>
        <v>33055</v>
      </c>
      <c r="AR189" s="161"/>
      <c r="AS189" s="18"/>
      <c r="AT189" s="21"/>
      <c r="AU189" s="23"/>
      <c r="AV189" s="23"/>
      <c r="AW189" s="23"/>
      <c r="AX189" s="23"/>
      <c r="AY189" s="23"/>
      <c r="AZ189" s="23"/>
      <c r="BA189" s="23"/>
      <c r="BB189" s="23"/>
      <c r="BC189" s="23"/>
      <c r="BD189" s="100" t="str">
        <f t="shared" si="54"/>
        <v/>
      </c>
      <c r="BE189" s="100" t="str">
        <f t="shared" si="55"/>
        <v/>
      </c>
      <c r="BF189" s="100" t="str">
        <f t="shared" si="56"/>
        <v/>
      </c>
      <c r="BG189" s="100" t="str">
        <f t="shared" si="57"/>
        <v/>
      </c>
      <c r="BH189" s="100" t="str">
        <f t="shared" si="58"/>
        <v/>
      </c>
      <c r="BI189" s="23"/>
    </row>
    <row r="190" spans="1:61" s="95" customFormat="1">
      <c r="A190" s="21">
        <v>20161495006</v>
      </c>
      <c r="B190" s="19" t="str">
        <f>VLOOKUP(A190,'ESTADOS ESTUDIANTES'!B:L,2,0)</f>
        <v>ESCOBAR NAVARRO JULIAN CAMILO</v>
      </c>
      <c r="C190" s="19">
        <f>VLOOKUP(A190,'ESTADOS ESTUDIANTES'!B:L,11,0)</f>
        <v>1032400717</v>
      </c>
      <c r="D190" s="23">
        <f>VLOOKUP(A190,'ESTADOS ESTUDIANTES'!B:L,3,0)</f>
        <v>495</v>
      </c>
      <c r="E190" s="19">
        <f>VLOOKUP(A190,'ESTADOS ESTUDIANTES'!B:L,8,0)</f>
        <v>0</v>
      </c>
      <c r="F190" s="19" t="str">
        <f>VLOOKUP(A190,'ESTADOS ESTUDIANTES'!B:L,9,0)</f>
        <v>juliancaescobar@gmail.com</v>
      </c>
      <c r="G190" s="19" t="str">
        <f>VLOOKUP(A190,'ESTADOS ESTUDIANTES'!B:L,5,0)</f>
        <v>X</v>
      </c>
      <c r="H190" s="18" t="s">
        <v>46</v>
      </c>
      <c r="I190" s="23"/>
      <c r="J190" s="23"/>
      <c r="K190" s="23"/>
      <c r="L190" s="96"/>
      <c r="M190" s="97"/>
      <c r="N190" s="96"/>
      <c r="O190" s="97"/>
      <c r="P190" s="110"/>
      <c r="Q190" s="18"/>
      <c r="R190" s="96"/>
      <c r="S190" s="23"/>
      <c r="T190" s="23"/>
      <c r="U190" s="96"/>
      <c r="V190" s="96"/>
      <c r="W190" s="23"/>
      <c r="X190" s="91">
        <f t="shared" ca="1" si="50"/>
        <v>33055</v>
      </c>
      <c r="Y190" s="99"/>
      <c r="Z190" s="23"/>
      <c r="AA190" s="96"/>
      <c r="AB190" s="96"/>
      <c r="AC190" s="23"/>
      <c r="AD190" s="21">
        <f t="shared" ca="1" si="51"/>
        <v>33055</v>
      </c>
      <c r="AE190" s="99"/>
      <c r="AF190" s="96"/>
      <c r="AG190" s="23"/>
      <c r="AH190" s="96"/>
      <c r="AI190" s="96"/>
      <c r="AJ190" s="23"/>
      <c r="AK190" s="23">
        <f t="shared" ca="1" si="52"/>
        <v>33055</v>
      </c>
      <c r="AL190" s="23"/>
      <c r="AM190" s="23"/>
      <c r="AN190" s="96"/>
      <c r="AO190" s="96"/>
      <c r="AP190" s="23"/>
      <c r="AQ190" s="161">
        <f t="shared" ca="1" si="53"/>
        <v>33055</v>
      </c>
      <c r="AR190" s="161"/>
      <c r="AS190" s="18"/>
      <c r="AT190" s="21"/>
      <c r="AU190" s="23"/>
      <c r="AV190" s="23"/>
      <c r="AW190" s="23"/>
      <c r="AX190" s="23"/>
      <c r="AY190" s="23"/>
      <c r="AZ190" s="23"/>
      <c r="BA190" s="23"/>
      <c r="BB190" s="23"/>
      <c r="BC190" s="23"/>
      <c r="BD190" s="100" t="str">
        <f t="shared" si="54"/>
        <v/>
      </c>
      <c r="BE190" s="100" t="str">
        <f t="shared" si="55"/>
        <v/>
      </c>
      <c r="BF190" s="100" t="str">
        <f t="shared" si="56"/>
        <v/>
      </c>
      <c r="BG190" s="100" t="str">
        <f t="shared" si="57"/>
        <v/>
      </c>
      <c r="BH190" s="100" t="str">
        <f t="shared" si="58"/>
        <v/>
      </c>
      <c r="BI190" s="23"/>
    </row>
    <row r="191" spans="1:61" s="222" customFormat="1">
      <c r="A191" s="21">
        <v>20161495007</v>
      </c>
      <c r="B191" s="19" t="str">
        <f>VLOOKUP(A191,'ESTADOS ESTUDIANTES'!B:L,2,0)</f>
        <v>FLÓREZ LLANOS CINDY ALEJANDRA</v>
      </c>
      <c r="C191" s="19">
        <f>VLOOKUP(A191,'ESTADOS ESTUDIANTES'!B:L,11,0)</f>
        <v>1026567710</v>
      </c>
      <c r="D191" s="23">
        <f>VLOOKUP(A191,'ESTADOS ESTUDIANTES'!B:L,3,0)</f>
        <v>495</v>
      </c>
      <c r="E191" s="19">
        <f>VLOOKUP(A191,'ESTADOS ESTUDIANTES'!B:L,8,0)</f>
        <v>0</v>
      </c>
      <c r="F191" s="19" t="str">
        <f>VLOOKUP(A191,'ESTADOS ESTUDIANTES'!B:L,9,0)</f>
        <v>cindy2133@gmail.com</v>
      </c>
      <c r="G191" s="19" t="str">
        <f>VLOOKUP(A191,'ESTADOS ESTUDIANTES'!B:L,5,0)</f>
        <v>X</v>
      </c>
      <c r="H191" s="18" t="s">
        <v>60</v>
      </c>
      <c r="I191" s="23"/>
      <c r="J191" s="23"/>
      <c r="K191" s="23"/>
      <c r="L191" s="96"/>
      <c r="M191" s="97"/>
      <c r="N191" s="96"/>
      <c r="O191" s="97"/>
      <c r="P191" s="110"/>
      <c r="Q191" s="18"/>
      <c r="R191" s="96"/>
      <c r="S191" s="23"/>
      <c r="T191" s="23"/>
      <c r="U191" s="96"/>
      <c r="V191" s="96"/>
      <c r="W191" s="23"/>
      <c r="X191" s="91">
        <f t="shared" ca="1" si="50"/>
        <v>33055</v>
      </c>
      <c r="Y191" s="99"/>
      <c r="Z191" s="23"/>
      <c r="AA191" s="96"/>
      <c r="AB191" s="96"/>
      <c r="AC191" s="23"/>
      <c r="AD191" s="21">
        <f t="shared" ca="1" si="51"/>
        <v>33055</v>
      </c>
      <c r="AE191" s="99"/>
      <c r="AF191" s="96"/>
      <c r="AG191" s="23"/>
      <c r="AH191" s="96"/>
      <c r="AI191" s="96"/>
      <c r="AJ191" s="23"/>
      <c r="AK191" s="23">
        <f t="shared" ca="1" si="52"/>
        <v>33055</v>
      </c>
      <c r="AL191" s="23"/>
      <c r="AM191" s="23"/>
      <c r="AN191" s="96"/>
      <c r="AO191" s="96"/>
      <c r="AP191" s="23"/>
      <c r="AQ191" s="161">
        <f t="shared" ca="1" si="53"/>
        <v>33055</v>
      </c>
      <c r="AR191" s="161"/>
      <c r="AS191" s="18"/>
      <c r="AT191" s="21"/>
      <c r="AU191" s="23"/>
      <c r="AV191" s="23"/>
      <c r="AW191" s="23"/>
      <c r="AX191" s="23"/>
      <c r="AY191" s="23"/>
      <c r="AZ191" s="23"/>
      <c r="BA191" s="23"/>
      <c r="BB191" s="23"/>
      <c r="BC191" s="23"/>
      <c r="BD191" s="100" t="str">
        <f t="shared" si="54"/>
        <v/>
      </c>
      <c r="BE191" s="100" t="str">
        <f t="shared" si="55"/>
        <v/>
      </c>
      <c r="BF191" s="100" t="str">
        <f t="shared" si="56"/>
        <v/>
      </c>
      <c r="BG191" s="100" t="str">
        <f t="shared" si="57"/>
        <v/>
      </c>
      <c r="BH191" s="100" t="str">
        <f t="shared" si="58"/>
        <v/>
      </c>
      <c r="BI191" s="23"/>
    </row>
    <row r="192" spans="1:61" s="95" customFormat="1" ht="30">
      <c r="A192" s="101">
        <v>20161495008</v>
      </c>
      <c r="B192" s="19" t="str">
        <f>VLOOKUP(A192,'ESTADOS ESTUDIANTES'!B:L,2,0)</f>
        <v>GONZÁLEZ SEPULVEDA JUAN RICARDO</v>
      </c>
      <c r="C192" s="103">
        <f>VLOOKUP(A192,'ESTADOS ESTUDIANTES'!B:L,11,0)</f>
        <v>16073312</v>
      </c>
      <c r="D192" s="23">
        <f>VLOOKUP(A192,'ESTADOS ESTUDIANTES'!B:L,3,0)</f>
        <v>495</v>
      </c>
      <c r="E192" s="102">
        <f>VLOOKUP(A192,'ESTADOS ESTUDIANTES'!B:L,8,0)</f>
        <v>0</v>
      </c>
      <c r="F192" s="102" t="str">
        <f>VLOOKUP(A192,'ESTADOS ESTUDIANTES'!B:L,9,0)</f>
        <v>jrgonzalezsepulveda@gmail.com</v>
      </c>
      <c r="G192" s="19" t="str">
        <f>VLOOKUP(A192,'ESTADOS ESTUDIANTES'!B:L,5,0)</f>
        <v>I</v>
      </c>
      <c r="H192" s="100" t="s">
        <v>46</v>
      </c>
      <c r="I192" s="103"/>
      <c r="J192" s="103"/>
      <c r="K192" s="103"/>
      <c r="L192" s="105"/>
      <c r="M192" s="106"/>
      <c r="N192" s="105"/>
      <c r="O192" s="106"/>
      <c r="P192" s="107"/>
      <c r="Q192" s="100"/>
      <c r="R192" s="105"/>
      <c r="S192" s="103"/>
      <c r="T192" s="103"/>
      <c r="U192" s="105"/>
      <c r="V192" s="105"/>
      <c r="W192" s="103"/>
      <c r="X192" s="91">
        <f t="shared" ca="1" si="50"/>
        <v>33055</v>
      </c>
      <c r="Y192" s="99"/>
      <c r="Z192" s="103"/>
      <c r="AA192" s="105"/>
      <c r="AB192" s="105"/>
      <c r="AC192" s="103"/>
      <c r="AD192" s="21">
        <f t="shared" ca="1" si="51"/>
        <v>33055</v>
      </c>
      <c r="AE192" s="99"/>
      <c r="AF192" s="105"/>
      <c r="AG192" s="103"/>
      <c r="AH192" s="105"/>
      <c r="AI192" s="105"/>
      <c r="AJ192" s="103"/>
      <c r="AK192" s="23">
        <f t="shared" ca="1" si="52"/>
        <v>33055</v>
      </c>
      <c r="AL192" s="103"/>
      <c r="AM192" s="103"/>
      <c r="AN192" s="105"/>
      <c r="AO192" s="105"/>
      <c r="AP192" s="103"/>
      <c r="AQ192" s="163">
        <f t="shared" ca="1" si="53"/>
        <v>33055</v>
      </c>
      <c r="AR192" s="163"/>
      <c r="AS192" s="101"/>
      <c r="AT192" s="101"/>
      <c r="AU192" s="103"/>
      <c r="AV192" s="103"/>
      <c r="AW192" s="103"/>
      <c r="AX192" s="103"/>
      <c r="AY192" s="103"/>
      <c r="AZ192" s="103"/>
      <c r="BA192" s="103"/>
      <c r="BB192" s="103"/>
      <c r="BC192" s="103"/>
      <c r="BD192" s="100" t="str">
        <f t="shared" si="54"/>
        <v/>
      </c>
      <c r="BE192" s="100" t="str">
        <f t="shared" si="55"/>
        <v/>
      </c>
      <c r="BF192" s="100" t="str">
        <f t="shared" si="56"/>
        <v/>
      </c>
      <c r="BG192" s="100" t="str">
        <f t="shared" si="57"/>
        <v/>
      </c>
      <c r="BH192" s="100" t="str">
        <f t="shared" si="58"/>
        <v/>
      </c>
      <c r="BI192" s="103"/>
    </row>
    <row r="193" spans="1:61" s="95" customFormat="1" ht="45">
      <c r="A193" s="101">
        <v>20161495011</v>
      </c>
      <c r="B193" s="19" t="str">
        <f>VLOOKUP(A193,'ESTADOS ESTUDIANTES'!B:L,2,0)</f>
        <v>KATZ DELGADO JUAN ESTEBAN</v>
      </c>
      <c r="C193" s="102">
        <f>VLOOKUP(A193,'ESTADOS ESTUDIANTES'!B:L,11,0)</f>
        <v>1018442453</v>
      </c>
      <c r="D193" s="23">
        <f>VLOOKUP(A193,'ESTADOS ESTUDIANTES'!B:L,3,0)</f>
        <v>495</v>
      </c>
      <c r="E193" s="102">
        <f>VLOOKUP(A193,'ESTADOS ESTUDIANTES'!B:L,8,0)</f>
        <v>0</v>
      </c>
      <c r="F193" s="102" t="str">
        <f>VLOOKUP(A193,'ESTADOS ESTUDIANTES'!B:L,9,0)</f>
        <v>jesteban.katz@gmail.com</v>
      </c>
      <c r="G193" s="19" t="str">
        <f>VLOOKUP(A193,'ESTADOS ESTUDIANTES'!B:L,5,0)</f>
        <v>E</v>
      </c>
      <c r="H193" s="100" t="s">
        <v>46</v>
      </c>
      <c r="I193" s="100" t="s">
        <v>1760</v>
      </c>
      <c r="J193" s="108" t="s">
        <v>281</v>
      </c>
      <c r="K193" s="103"/>
      <c r="L193" s="105"/>
      <c r="M193" s="106"/>
      <c r="N193" s="105">
        <v>43775</v>
      </c>
      <c r="O193" s="106">
        <v>83.48</v>
      </c>
      <c r="P193" s="112" t="s">
        <v>79</v>
      </c>
      <c r="Q193" s="100" t="s">
        <v>1761</v>
      </c>
      <c r="R193" s="105">
        <v>42586</v>
      </c>
      <c r="S193" s="102">
        <f>YEAR(R193)</f>
        <v>2016</v>
      </c>
      <c r="T193" s="100" t="s">
        <v>1560</v>
      </c>
      <c r="U193" s="105">
        <v>42605</v>
      </c>
      <c r="V193" s="105">
        <v>42692</v>
      </c>
      <c r="W193" s="102">
        <v>1</v>
      </c>
      <c r="X193" s="91">
        <f t="shared" ca="1" si="50"/>
        <v>0</v>
      </c>
      <c r="Y193" s="100" t="s">
        <v>43</v>
      </c>
      <c r="Z193" s="100" t="s">
        <v>1599</v>
      </c>
      <c r="AA193" s="105">
        <v>42600</v>
      </c>
      <c r="AB193" s="105">
        <v>42601</v>
      </c>
      <c r="AC193" s="102">
        <v>1</v>
      </c>
      <c r="AD193" s="21">
        <f t="shared" ca="1" si="51"/>
        <v>0</v>
      </c>
      <c r="AE193" s="100" t="s">
        <v>43</v>
      </c>
      <c r="AF193" s="105">
        <v>43936</v>
      </c>
      <c r="AG193" s="100" t="s">
        <v>932</v>
      </c>
      <c r="AH193" s="105">
        <v>43941</v>
      </c>
      <c r="AI193" s="105">
        <v>43964</v>
      </c>
      <c r="AJ193" s="103"/>
      <c r="AK193" s="23">
        <f t="shared" ca="1" si="52"/>
        <v>0</v>
      </c>
      <c r="AL193" s="100" t="s">
        <v>42</v>
      </c>
      <c r="AM193" s="100" t="s">
        <v>225</v>
      </c>
      <c r="AN193" s="105">
        <v>43941</v>
      </c>
      <c r="AO193" s="105">
        <v>43969</v>
      </c>
      <c r="AP193" s="103"/>
      <c r="AQ193" s="162">
        <f t="shared" ca="1" si="53"/>
        <v>0</v>
      </c>
      <c r="AR193" s="162" t="s">
        <v>42</v>
      </c>
      <c r="AS193" s="115">
        <v>44044</v>
      </c>
      <c r="AT193" s="100" t="s">
        <v>1407</v>
      </c>
      <c r="AU193" s="100" t="s">
        <v>41</v>
      </c>
      <c r="AV193" s="117">
        <v>43999</v>
      </c>
      <c r="AW193" s="103"/>
      <c r="AX193" s="103"/>
      <c r="AY193" s="100" t="s">
        <v>1762</v>
      </c>
      <c r="AZ193" s="102">
        <v>44357</v>
      </c>
      <c r="BA193" s="102"/>
      <c r="BB193" s="103"/>
      <c r="BC193" s="100" t="s">
        <v>240</v>
      </c>
      <c r="BD193" s="100" t="str">
        <f t="shared" si="54"/>
        <v/>
      </c>
      <c r="BE193" s="100" t="str">
        <f t="shared" si="55"/>
        <v/>
      </c>
      <c r="BF193" s="100" t="str">
        <f t="shared" si="56"/>
        <v/>
      </c>
      <c r="BG193" s="100" t="str">
        <f t="shared" si="57"/>
        <v/>
      </c>
      <c r="BH193" s="100" t="str">
        <f t="shared" si="58"/>
        <v/>
      </c>
      <c r="BI193" s="103"/>
    </row>
    <row r="194" spans="1:61" s="95" customFormat="1">
      <c r="A194" s="101">
        <v>20161495012</v>
      </c>
      <c r="B194" s="19" t="str">
        <f>VLOOKUP(A194,'ESTADOS ESTUDIANTES'!B:L,2,0)</f>
        <v>MARTIN ANGELA CAROLINA</v>
      </c>
      <c r="C194" s="103">
        <f>VLOOKUP(A194,'ESTADOS ESTUDIANTES'!B:L,11,0)</f>
        <v>1022334127</v>
      </c>
      <c r="D194" s="23">
        <f>VLOOKUP(A194,'ESTADOS ESTUDIANTES'!B:L,3,0)</f>
        <v>495</v>
      </c>
      <c r="E194" s="102" t="str">
        <f>VLOOKUP(A194,'ESTADOS ESTUDIANTES'!B:L,8,0)</f>
        <v>acmartin@correo.udistrital.edu.co</v>
      </c>
      <c r="F194" s="102" t="str">
        <f>VLOOKUP(A194,'ESTADOS ESTUDIANTES'!B:L,9,0)</f>
        <v>ing.angelamartin@gmail.com</v>
      </c>
      <c r="G194" s="19" t="str">
        <f>VLOOKUP(A194,'ESTADOS ESTUDIANTES'!B:L,5,0)</f>
        <v>X</v>
      </c>
      <c r="H194" s="100" t="s">
        <v>60</v>
      </c>
      <c r="I194" s="103"/>
      <c r="J194" s="103"/>
      <c r="K194" s="103"/>
      <c r="L194" s="105"/>
      <c r="M194" s="106"/>
      <c r="N194" s="105"/>
      <c r="O194" s="106"/>
      <c r="P194" s="107"/>
      <c r="Q194" s="100"/>
      <c r="R194" s="105"/>
      <c r="S194" s="103"/>
      <c r="T194" s="103"/>
      <c r="U194" s="105"/>
      <c r="V194" s="105"/>
      <c r="W194" s="103"/>
      <c r="X194" s="91">
        <f t="shared" ca="1" si="50"/>
        <v>33055</v>
      </c>
      <c r="Y194" s="99"/>
      <c r="Z194" s="103"/>
      <c r="AA194" s="105"/>
      <c r="AB194" s="105"/>
      <c r="AC194" s="103"/>
      <c r="AD194" s="21">
        <f t="shared" ca="1" si="51"/>
        <v>33055</v>
      </c>
      <c r="AE194" s="99"/>
      <c r="AF194" s="105"/>
      <c r="AG194" s="103"/>
      <c r="AH194" s="105"/>
      <c r="AI194" s="105"/>
      <c r="AJ194" s="103"/>
      <c r="AK194" s="23">
        <f t="shared" ca="1" si="52"/>
        <v>33055</v>
      </c>
      <c r="AL194" s="103"/>
      <c r="AM194" s="103"/>
      <c r="AN194" s="105"/>
      <c r="AO194" s="105"/>
      <c r="AP194" s="103"/>
      <c r="AQ194" s="163">
        <f t="shared" ca="1" si="53"/>
        <v>33055</v>
      </c>
      <c r="AR194" s="163"/>
      <c r="AS194" s="101"/>
      <c r="AT194" s="101"/>
      <c r="AU194" s="103"/>
      <c r="AV194" s="103"/>
      <c r="AW194" s="103"/>
      <c r="AX194" s="103"/>
      <c r="AY194" s="103"/>
      <c r="AZ194" s="103"/>
      <c r="BA194" s="103"/>
      <c r="BB194" s="103"/>
      <c r="BC194" s="103"/>
      <c r="BD194" s="100" t="str">
        <f t="shared" si="54"/>
        <v/>
      </c>
      <c r="BE194" s="100" t="str">
        <f t="shared" si="55"/>
        <v/>
      </c>
      <c r="BF194" s="100" t="str">
        <f t="shared" si="56"/>
        <v/>
      </c>
      <c r="BG194" s="100" t="str">
        <f t="shared" si="57"/>
        <v/>
      </c>
      <c r="BH194" s="100" t="str">
        <f t="shared" si="58"/>
        <v/>
      </c>
      <c r="BI194" s="103"/>
    </row>
    <row r="195" spans="1:61" s="222" customFormat="1" ht="30">
      <c r="A195" s="101">
        <v>20161495014</v>
      </c>
      <c r="B195" s="19" t="str">
        <f>VLOOKUP(A195,'ESTADOS ESTUDIANTES'!B:L,2,0)</f>
        <v>OREJUELA VILLANUEVA EDISON ALEXANDER</v>
      </c>
      <c r="C195" s="103">
        <f>VLOOKUP(A195,'ESTADOS ESTUDIANTES'!B:L,11,0)</f>
        <v>1077851478</v>
      </c>
      <c r="D195" s="23">
        <f>VLOOKUP(A195,'ESTADOS ESTUDIANTES'!B:L,3,0)</f>
        <v>495</v>
      </c>
      <c r="E195" s="102">
        <f>VLOOKUP(A195,'ESTADOS ESTUDIANTES'!B:L,8,0)</f>
        <v>0</v>
      </c>
      <c r="F195" s="102" t="str">
        <f>VLOOKUP(A195,'ESTADOS ESTUDIANTES'!B:L,9,0)</f>
        <v>edisonorejuela@gmail.com</v>
      </c>
      <c r="G195" s="19" t="str">
        <f>VLOOKUP(A195,'ESTADOS ESTUDIANTES'!B:L,5,0)</f>
        <v>X</v>
      </c>
      <c r="H195" s="100" t="s">
        <v>60</v>
      </c>
      <c r="I195" s="103"/>
      <c r="J195" s="103"/>
      <c r="K195" s="103"/>
      <c r="L195" s="105"/>
      <c r="M195" s="106"/>
      <c r="N195" s="105"/>
      <c r="O195" s="106"/>
      <c r="P195" s="107"/>
      <c r="Q195" s="100"/>
      <c r="R195" s="105"/>
      <c r="S195" s="103"/>
      <c r="T195" s="103"/>
      <c r="U195" s="105"/>
      <c r="V195" s="105"/>
      <c r="W195" s="103"/>
      <c r="X195" s="91">
        <f t="shared" ca="1" si="50"/>
        <v>33055</v>
      </c>
      <c r="Y195" s="99"/>
      <c r="Z195" s="103"/>
      <c r="AA195" s="105"/>
      <c r="AB195" s="105"/>
      <c r="AC195" s="103"/>
      <c r="AD195" s="21">
        <f t="shared" ca="1" si="51"/>
        <v>33055</v>
      </c>
      <c r="AE195" s="99"/>
      <c r="AF195" s="105"/>
      <c r="AG195" s="103"/>
      <c r="AH195" s="105"/>
      <c r="AI195" s="105"/>
      <c r="AJ195" s="103"/>
      <c r="AK195" s="23">
        <f t="shared" ca="1" si="52"/>
        <v>33055</v>
      </c>
      <c r="AL195" s="103"/>
      <c r="AM195" s="103"/>
      <c r="AN195" s="105"/>
      <c r="AO195" s="105"/>
      <c r="AP195" s="103"/>
      <c r="AQ195" s="163">
        <f t="shared" ca="1" si="53"/>
        <v>33055</v>
      </c>
      <c r="AR195" s="163"/>
      <c r="AS195" s="101"/>
      <c r="AT195" s="101"/>
      <c r="AU195" s="103"/>
      <c r="AV195" s="103"/>
      <c r="AW195" s="103"/>
      <c r="AX195" s="103"/>
      <c r="AY195" s="103"/>
      <c r="AZ195" s="103"/>
      <c r="BA195" s="103"/>
      <c r="BB195" s="103"/>
      <c r="BC195" s="103"/>
      <c r="BD195" s="100" t="str">
        <f t="shared" si="54"/>
        <v/>
      </c>
      <c r="BE195" s="100" t="str">
        <f t="shared" si="55"/>
        <v/>
      </c>
      <c r="BF195" s="100" t="str">
        <f t="shared" si="56"/>
        <v/>
      </c>
      <c r="BG195" s="100" t="str">
        <f t="shared" si="57"/>
        <v/>
      </c>
      <c r="BH195" s="100" t="str">
        <f t="shared" si="58"/>
        <v/>
      </c>
      <c r="BI195" s="103"/>
    </row>
    <row r="196" spans="1:61" s="95" customFormat="1" ht="105">
      <c r="A196" s="21">
        <v>20161495015</v>
      </c>
      <c r="B196" s="19" t="str">
        <f>VLOOKUP(A196,'ESTADOS ESTUDIANTES'!B:L,2,0)</f>
        <v>ORTIZ GARZÓN LEONARDO JULIÁN</v>
      </c>
      <c r="C196" s="19">
        <f>VLOOKUP(A196,'ESTADOS ESTUDIANTES'!B:L,11,0)</f>
        <v>94326504</v>
      </c>
      <c r="D196" s="23">
        <f>VLOOKUP(A196,'ESTADOS ESTUDIANTES'!B:L,3,0)</f>
        <v>495</v>
      </c>
      <c r="E196" s="19" t="str">
        <f>VLOOKUP(A196,'ESTADOS ESTUDIANTES'!B:L,8,0)</f>
        <v>ljortizg@correo.udistrital.edu.co</v>
      </c>
      <c r="F196" s="19" t="str">
        <f>VLOOKUP(A196,'ESTADOS ESTUDIANTES'!B:L,9,0)</f>
        <v>leonorti@gmail.com</v>
      </c>
      <c r="G196" s="19" t="str">
        <f>VLOOKUP(A196,'ESTADOS ESTUDIANTES'!B:L,5,0)</f>
        <v>X</v>
      </c>
      <c r="H196" s="18" t="s">
        <v>60</v>
      </c>
      <c r="I196" s="18" t="s">
        <v>1763</v>
      </c>
      <c r="J196" s="18" t="s">
        <v>281</v>
      </c>
      <c r="K196" s="23"/>
      <c r="L196" s="96">
        <v>43964</v>
      </c>
      <c r="M196" s="97">
        <v>42.61</v>
      </c>
      <c r="N196" s="96">
        <v>44097</v>
      </c>
      <c r="O196" s="97">
        <v>57.94</v>
      </c>
      <c r="P196" s="98" t="s">
        <v>87</v>
      </c>
      <c r="Q196" s="18" t="s">
        <v>1764</v>
      </c>
      <c r="R196" s="96">
        <v>42559</v>
      </c>
      <c r="S196" s="21">
        <f>YEAR(R196)</f>
        <v>2016</v>
      </c>
      <c r="T196" s="18" t="s">
        <v>316</v>
      </c>
      <c r="U196" s="18" t="s">
        <v>1765</v>
      </c>
      <c r="V196" s="18" t="s">
        <v>1766</v>
      </c>
      <c r="W196" s="19">
        <v>1</v>
      </c>
      <c r="X196" s="91">
        <f t="shared" ca="1" si="50"/>
        <v>0</v>
      </c>
      <c r="Y196" s="18" t="s">
        <v>56</v>
      </c>
      <c r="Z196" s="18" t="s">
        <v>1501</v>
      </c>
      <c r="AA196" s="96">
        <v>42599</v>
      </c>
      <c r="AB196" s="96">
        <v>42635</v>
      </c>
      <c r="AC196" s="19">
        <v>1</v>
      </c>
      <c r="AD196" s="21">
        <f t="shared" ca="1" si="51"/>
        <v>0</v>
      </c>
      <c r="AE196" s="18" t="s">
        <v>43</v>
      </c>
      <c r="AF196" s="96"/>
      <c r="AG196" s="23"/>
      <c r="AH196" s="96"/>
      <c r="AI196" s="96"/>
      <c r="AJ196" s="23"/>
      <c r="AK196" s="23">
        <f t="shared" ca="1" si="52"/>
        <v>33055</v>
      </c>
      <c r="AL196" s="23"/>
      <c r="AM196" s="23"/>
      <c r="AN196" s="96"/>
      <c r="AO196" s="96"/>
      <c r="AP196" s="23"/>
      <c r="AQ196" s="162">
        <f t="shared" ca="1" si="53"/>
        <v>33055</v>
      </c>
      <c r="AR196" s="161"/>
      <c r="AS196" s="18"/>
      <c r="AT196" s="21"/>
      <c r="AU196" s="23"/>
      <c r="AV196" s="23"/>
      <c r="AW196" s="23"/>
      <c r="AX196" s="23"/>
      <c r="AY196" s="23"/>
      <c r="AZ196" s="23"/>
      <c r="BA196" s="23"/>
      <c r="BB196" s="23"/>
      <c r="BC196" s="23"/>
      <c r="BD196" s="100" t="str">
        <f t="shared" si="54"/>
        <v/>
      </c>
      <c r="BE196" s="100" t="str">
        <f t="shared" si="55"/>
        <v/>
      </c>
      <c r="BF196" s="100" t="str">
        <f t="shared" si="56"/>
        <v/>
      </c>
      <c r="BG196" s="100" t="str">
        <f t="shared" si="57"/>
        <v/>
      </c>
      <c r="BH196" s="100" t="str">
        <f t="shared" si="58"/>
        <v/>
      </c>
      <c r="BI196" s="23"/>
    </row>
    <row r="197" spans="1:61" s="95" customFormat="1" ht="90">
      <c r="A197" s="111">
        <v>20161495016</v>
      </c>
      <c r="B197" s="19" t="str">
        <f>VLOOKUP(A197,'ESTADOS ESTUDIANTES'!B:L,2,0)</f>
        <v>PUPIALES ARÉVALO ANDRÉS</v>
      </c>
      <c r="C197" s="19">
        <f>VLOOKUP(A197,'ESTADOS ESTUDIANTES'!B:L,11,0)</f>
        <v>1018413339</v>
      </c>
      <c r="D197" s="23">
        <f>VLOOKUP(A197,'ESTADOS ESTUDIANTES'!B:L,3,0)</f>
        <v>495</v>
      </c>
      <c r="E197" s="19" t="str">
        <f>VLOOKUP(A197,'ESTADOS ESTUDIANTES'!B:L,8,0)</f>
        <v>anpupialesa@udistrital.edu.co</v>
      </c>
      <c r="F197" s="19" t="str">
        <f>VLOOKUP(A197,'ESTADOS ESTUDIANTES'!B:L,9,0)</f>
        <v>apupiales@gmail.com</v>
      </c>
      <c r="G197" s="19" t="str">
        <f>VLOOKUP(A197,'ESTADOS ESTUDIANTES'!B:L,5,0)</f>
        <v>E</v>
      </c>
      <c r="H197" s="18" t="s">
        <v>60</v>
      </c>
      <c r="I197" s="18" t="s">
        <v>1767</v>
      </c>
      <c r="J197" s="18" t="s">
        <v>299</v>
      </c>
      <c r="K197" s="23"/>
      <c r="L197" s="96">
        <v>43888</v>
      </c>
      <c r="M197" s="97">
        <v>86.09</v>
      </c>
      <c r="N197" s="96">
        <v>44873</v>
      </c>
      <c r="O197" s="97">
        <v>140</v>
      </c>
      <c r="P197" s="98" t="s">
        <v>79</v>
      </c>
      <c r="Q197" s="19">
        <v>43709</v>
      </c>
      <c r="R197" s="96">
        <v>43594</v>
      </c>
      <c r="S197" s="19">
        <v>2019</v>
      </c>
      <c r="T197" s="18" t="s">
        <v>271</v>
      </c>
      <c r="U197" s="96"/>
      <c r="V197" s="96">
        <v>43641</v>
      </c>
      <c r="W197" s="18" t="s">
        <v>1768</v>
      </c>
      <c r="X197" s="91">
        <f ca="1">IF(Y197="",NETWORKDAYS.INTL(U197,TODAY(),1),0)</f>
        <v>0</v>
      </c>
      <c r="Y197" s="114" t="s">
        <v>43</v>
      </c>
      <c r="Z197" s="18" t="s">
        <v>1769</v>
      </c>
      <c r="AA197" s="96">
        <v>43921</v>
      </c>
      <c r="AB197" s="96">
        <v>43923</v>
      </c>
      <c r="AC197" s="18" t="s">
        <v>1770</v>
      </c>
      <c r="AD197" s="21">
        <f ca="1">IF(AE197="",NETWORKDAYS.INTL(AA197,TODAY(),1),0)</f>
        <v>0</v>
      </c>
      <c r="AE197" s="114" t="s">
        <v>43</v>
      </c>
      <c r="AF197" s="96">
        <v>44833</v>
      </c>
      <c r="AG197" s="18" t="s">
        <v>303</v>
      </c>
      <c r="AH197" s="96">
        <v>44869</v>
      </c>
      <c r="AI197" s="96">
        <v>44882</v>
      </c>
      <c r="AJ197" s="19">
        <v>1</v>
      </c>
      <c r="AK197" s="23">
        <f ca="1">IF(AL197="",NETWORKDAYS.INTL(AH197,TODAY(),1),0)</f>
        <v>0</v>
      </c>
      <c r="AL197" s="100" t="s">
        <v>42</v>
      </c>
      <c r="AM197" s="18" t="s">
        <v>302</v>
      </c>
      <c r="AN197" s="96">
        <v>44874</v>
      </c>
      <c r="AO197" s="96">
        <v>44886</v>
      </c>
      <c r="AP197" s="19">
        <v>1</v>
      </c>
      <c r="AQ197" s="163">
        <f ca="1">IF(AR197="",NETWORKDAYS.INTL(AN197,TODAY(),1),0)</f>
        <v>0</v>
      </c>
      <c r="AR197" s="162" t="s">
        <v>42</v>
      </c>
      <c r="AS197" s="18" t="s">
        <v>431</v>
      </c>
      <c r="AT197" s="21">
        <v>5</v>
      </c>
      <c r="AU197" s="18" t="s">
        <v>41</v>
      </c>
      <c r="AV197" s="120">
        <v>44977</v>
      </c>
      <c r="AW197" s="120">
        <v>45016</v>
      </c>
      <c r="AX197" s="23">
        <v>2023</v>
      </c>
      <c r="AY197" s="18" t="s">
        <v>1753</v>
      </c>
      <c r="AZ197" s="20">
        <v>44867</v>
      </c>
      <c r="BA197" s="20"/>
      <c r="BB197" s="23" t="s">
        <v>1771</v>
      </c>
      <c r="BC197" s="23" t="s">
        <v>240</v>
      </c>
      <c r="BD197" s="100" t="str">
        <f t="shared" si="54"/>
        <v/>
      </c>
      <c r="BE197" s="100" t="str">
        <f t="shared" si="55"/>
        <v/>
      </c>
      <c r="BF197" s="100" t="str">
        <f t="shared" si="56"/>
        <v/>
      </c>
      <c r="BG197" s="100" t="str">
        <f t="shared" si="57"/>
        <v/>
      </c>
      <c r="BH197" s="100" t="str">
        <f t="shared" si="58"/>
        <v/>
      </c>
      <c r="BI197" s="23"/>
    </row>
    <row r="198" spans="1:61" s="95" customFormat="1">
      <c r="A198" s="101">
        <v>20161495017</v>
      </c>
      <c r="B198" s="19" t="str">
        <f>VLOOKUP(A198,'ESTADOS ESTUDIANTES'!B:L,2,0)</f>
        <v>ROJAS JIMÉNEZ JUÁN DAVID</v>
      </c>
      <c r="C198" s="102">
        <f>VLOOKUP(A198,'ESTADOS ESTUDIANTES'!B:L,11,0)</f>
        <v>80096119</v>
      </c>
      <c r="D198" s="23">
        <f>VLOOKUP(A198,'ESTADOS ESTUDIANTES'!B:L,3,0)</f>
        <v>495</v>
      </c>
      <c r="E198" s="102">
        <f>VLOOKUP(A198,'ESTADOS ESTUDIANTES'!B:L,8,0)</f>
        <v>0</v>
      </c>
      <c r="F198" s="102" t="str">
        <f>VLOOKUP(A198,'ESTADOS ESTUDIANTES'!B:L,9,0)</f>
        <v>juliandrj@gmail.com</v>
      </c>
      <c r="G198" s="19" t="str">
        <f>VLOOKUP(A198,'ESTADOS ESTUDIANTES'!B:L,5,0)</f>
        <v>N</v>
      </c>
      <c r="H198" s="100" t="s">
        <v>60</v>
      </c>
      <c r="I198" s="103"/>
      <c r="J198" s="103"/>
      <c r="K198" s="103"/>
      <c r="L198" s="105"/>
      <c r="M198" s="106"/>
      <c r="N198" s="105"/>
      <c r="O198" s="106"/>
      <c r="P198" s="107"/>
      <c r="Q198" s="100"/>
      <c r="R198" s="105"/>
      <c r="S198" s="103"/>
      <c r="T198" s="103"/>
      <c r="U198" s="105"/>
      <c r="V198" s="105"/>
      <c r="W198" s="103"/>
      <c r="X198" s="91">
        <f ca="1">IF(U198="",NETWORKDAYS.INTL(Y198,TODAY(),1),0)</f>
        <v>33055</v>
      </c>
      <c r="Y198" s="99"/>
      <c r="Z198" s="103"/>
      <c r="AA198" s="105"/>
      <c r="AB198" s="105"/>
      <c r="AC198" s="103"/>
      <c r="AD198" s="21">
        <f ca="1">IF(AA198="",NETWORKDAYS.INTL(AE198,TODAY(),1),0)</f>
        <v>33055</v>
      </c>
      <c r="AE198" s="99"/>
      <c r="AF198" s="105"/>
      <c r="AG198" s="103"/>
      <c r="AH198" s="105"/>
      <c r="AI198" s="105"/>
      <c r="AJ198" s="103"/>
      <c r="AK198" s="23">
        <f ca="1">IF(AH198="",NETWORKDAYS.INTL(AL198,TODAY(),1),0)</f>
        <v>33055</v>
      </c>
      <c r="AL198" s="103"/>
      <c r="AM198" s="103"/>
      <c r="AN198" s="105"/>
      <c r="AO198" s="105"/>
      <c r="AP198" s="103"/>
      <c r="AQ198" s="163">
        <f ca="1">IF(AN198="",NETWORKDAYS.INTL(AR198,TODAY(),1),0)</f>
        <v>33055</v>
      </c>
      <c r="AR198" s="163"/>
      <c r="AS198" s="100"/>
      <c r="AT198" s="101"/>
      <c r="AU198" s="103"/>
      <c r="AV198" s="103"/>
      <c r="AW198" s="103"/>
      <c r="AX198" s="103"/>
      <c r="AY198" s="103"/>
      <c r="AZ198" s="103"/>
      <c r="BA198" s="103"/>
      <c r="BB198" s="103"/>
      <c r="BC198" s="103"/>
      <c r="BD198" s="100" t="str">
        <f t="shared" si="54"/>
        <v/>
      </c>
      <c r="BE198" s="100" t="str">
        <f t="shared" si="55"/>
        <v/>
      </c>
      <c r="BF198" s="100" t="str">
        <f t="shared" si="56"/>
        <v/>
      </c>
      <c r="BG198" s="100" t="str">
        <f t="shared" si="57"/>
        <v/>
      </c>
      <c r="BH198" s="100" t="str">
        <f t="shared" si="58"/>
        <v/>
      </c>
      <c r="BI198" s="103"/>
    </row>
    <row r="199" spans="1:61" s="95" customFormat="1" ht="45">
      <c r="A199" s="101">
        <v>20161495018</v>
      </c>
      <c r="B199" s="19" t="str">
        <f>VLOOKUP(A199,'ESTADOS ESTUDIANTES'!B:L,2,0)</f>
        <v>ROJAS QUINTERO CRISTIAN ALEJANDRO</v>
      </c>
      <c r="C199" s="102">
        <f>VLOOKUP(A199,'ESTADOS ESTUDIANTES'!B:L,11,0)</f>
        <v>1033743011</v>
      </c>
      <c r="D199" s="23">
        <f>VLOOKUP(A199,'ESTADOS ESTUDIANTES'!B:L,3,0)</f>
        <v>495</v>
      </c>
      <c r="E199" s="102">
        <f>VLOOKUP(A199,'ESTADOS ESTUDIANTES'!B:L,8,0)</f>
        <v>0</v>
      </c>
      <c r="F199" s="102" t="str">
        <f>VLOOKUP(A199,'ESTADOS ESTUDIANTES'!B:L,9,0)</f>
        <v>alejandro.0317@gmail.com</v>
      </c>
      <c r="G199" s="19" t="str">
        <f>VLOOKUP(A199,'ESTADOS ESTUDIANTES'!B:L,5,0)</f>
        <v>E</v>
      </c>
      <c r="H199" s="100" t="s">
        <v>60</v>
      </c>
      <c r="I199" s="100" t="s">
        <v>1772</v>
      </c>
      <c r="J199" s="108" t="s">
        <v>500</v>
      </c>
      <c r="K199" s="103"/>
      <c r="L199" s="105"/>
      <c r="M199" s="106"/>
      <c r="N199" s="105"/>
      <c r="O199" s="106"/>
      <c r="P199" s="107"/>
      <c r="Q199" s="100" t="s">
        <v>1773</v>
      </c>
      <c r="R199" s="105">
        <v>42587</v>
      </c>
      <c r="S199" s="102">
        <v>2016</v>
      </c>
      <c r="T199" s="100" t="s">
        <v>1560</v>
      </c>
      <c r="U199" s="105">
        <v>42648</v>
      </c>
      <c r="V199" s="105">
        <v>42653</v>
      </c>
      <c r="W199" s="102">
        <v>1</v>
      </c>
      <c r="X199" s="91">
        <f ca="1">IF(U199="",NETWORKDAYS.INTL(Y199,TODAY(),1),0)</f>
        <v>0</v>
      </c>
      <c r="Y199" s="100" t="s">
        <v>43</v>
      </c>
      <c r="Z199" s="100" t="s">
        <v>1491</v>
      </c>
      <c r="AA199" s="105">
        <v>42656</v>
      </c>
      <c r="AB199" s="100" t="s">
        <v>1774</v>
      </c>
      <c r="AC199" s="102">
        <v>2</v>
      </c>
      <c r="AD199" s="21">
        <f ca="1">IF(AA199="",NETWORKDAYS.INTL(AE199,TODAY(),1),0)</f>
        <v>0</v>
      </c>
      <c r="AE199" s="100" t="s">
        <v>43</v>
      </c>
      <c r="AF199" s="105">
        <v>43445</v>
      </c>
      <c r="AG199" s="100" t="s">
        <v>512</v>
      </c>
      <c r="AH199" s="105">
        <v>43489</v>
      </c>
      <c r="AI199" s="105">
        <v>43515</v>
      </c>
      <c r="AJ199" s="103"/>
      <c r="AK199" s="23">
        <f ca="1">IF(AH199="",NETWORKDAYS.INTL(AL199,TODAY(),1),0)</f>
        <v>0</v>
      </c>
      <c r="AL199" s="100" t="s">
        <v>42</v>
      </c>
      <c r="AM199" s="100" t="s">
        <v>932</v>
      </c>
      <c r="AN199" s="105">
        <v>43489</v>
      </c>
      <c r="AO199" s="105">
        <v>43514</v>
      </c>
      <c r="AP199" s="103"/>
      <c r="AQ199" s="161">
        <f ca="1">IF(AN199="",NETWORKDAYS.INTL(AR199,TODAY(),1),0)</f>
        <v>0</v>
      </c>
      <c r="AR199" s="162" t="s">
        <v>42</v>
      </c>
      <c r="AS199" s="101"/>
      <c r="AT199" s="101"/>
      <c r="AU199" s="103"/>
      <c r="AV199" s="103"/>
      <c r="AW199" s="103"/>
      <c r="AX199" s="103"/>
      <c r="AY199" s="103"/>
      <c r="AZ199" s="103"/>
      <c r="BA199" s="103"/>
      <c r="BB199" s="103"/>
      <c r="BC199" s="103"/>
      <c r="BD199" s="100" t="str">
        <f t="shared" si="54"/>
        <v/>
      </c>
      <c r="BE199" s="100" t="str">
        <f t="shared" si="55"/>
        <v/>
      </c>
      <c r="BF199" s="100" t="str">
        <f t="shared" si="56"/>
        <v/>
      </c>
      <c r="BG199" s="100" t="str">
        <f t="shared" si="57"/>
        <v/>
      </c>
      <c r="BH199" s="100" t="str">
        <f t="shared" si="58"/>
        <v/>
      </c>
      <c r="BI199" s="103"/>
    </row>
    <row r="200" spans="1:61" s="95" customFormat="1" ht="75">
      <c r="A200" s="208">
        <v>20161495019</v>
      </c>
      <c r="B200" s="209" t="str">
        <f>VLOOKUP(A200,'ESTADOS ESTUDIANTES'!B:L,2,0)</f>
        <v>ROMERO RAMIREZ JOHAN ALFREDO</v>
      </c>
      <c r="C200" s="209">
        <f>VLOOKUP(A200,'ESTADOS ESTUDIANTES'!B:L,11,0)</f>
        <v>1022325102</v>
      </c>
      <c r="D200" s="211">
        <f>VLOOKUP(A200,'ESTADOS ESTUDIANTES'!B:L,3,0)</f>
        <v>495</v>
      </c>
      <c r="E200" s="209" t="str">
        <f>VLOOKUP(A200,'ESTADOS ESTUDIANTES'!B:L,8,0)</f>
        <v>jaromeror@udistrital.edu.co</v>
      </c>
      <c r="F200" s="209" t="str">
        <f>VLOOKUP(A200,'ESTADOS ESTUDIANTES'!B:L,9,0)</f>
        <v>jaromerora@gmail.com</v>
      </c>
      <c r="G200" s="209" t="str">
        <f>VLOOKUP(A200,'ESTADOS ESTUDIANTES'!B:L,5,0)</f>
        <v>E</v>
      </c>
      <c r="H200" s="210" t="s">
        <v>60</v>
      </c>
      <c r="I200" s="210" t="s">
        <v>1775</v>
      </c>
      <c r="J200" s="210" t="s">
        <v>292</v>
      </c>
      <c r="K200" s="211"/>
      <c r="L200" s="212"/>
      <c r="M200" s="214"/>
      <c r="N200" s="212">
        <v>45057</v>
      </c>
      <c r="O200" s="214">
        <v>86.96</v>
      </c>
      <c r="P200" s="210" t="s">
        <v>79</v>
      </c>
      <c r="Q200" s="209">
        <v>132019</v>
      </c>
      <c r="R200" s="212">
        <v>43650</v>
      </c>
      <c r="S200" s="209">
        <v>2019</v>
      </c>
      <c r="T200" s="210" t="s">
        <v>226</v>
      </c>
      <c r="U200" s="212">
        <v>43670</v>
      </c>
      <c r="V200" s="212">
        <v>43672</v>
      </c>
      <c r="W200" s="209">
        <v>1</v>
      </c>
      <c r="X200" s="217">
        <f ca="1">IF(Y200="",NETWORKDAYS.INTL(U200,TODAY(),1),0)</f>
        <v>0</v>
      </c>
      <c r="Y200" s="218" t="s">
        <v>43</v>
      </c>
      <c r="Z200" s="210" t="s">
        <v>1745</v>
      </c>
      <c r="AA200" s="212">
        <v>43717</v>
      </c>
      <c r="AB200" s="212">
        <v>43731</v>
      </c>
      <c r="AC200" s="211"/>
      <c r="AD200" s="208">
        <f ca="1">IF(AE200="",NETWORKDAYS.INTL(AA200,TODAY(),1),0)</f>
        <v>0</v>
      </c>
      <c r="AE200" s="218" t="s">
        <v>43</v>
      </c>
      <c r="AF200" s="212">
        <v>45269</v>
      </c>
      <c r="AG200" s="211" t="s">
        <v>356</v>
      </c>
      <c r="AH200" s="212">
        <v>45043</v>
      </c>
      <c r="AI200" s="228">
        <v>45146</v>
      </c>
      <c r="AJ200" s="211">
        <v>1</v>
      </c>
      <c r="AK200" s="211">
        <f ca="1">IF(AL200="",NETWORKDAYS.INTL(AH200,TODAY(),1),0)</f>
        <v>0</v>
      </c>
      <c r="AL200" s="216" t="s">
        <v>42</v>
      </c>
      <c r="AM200" s="211" t="s">
        <v>312</v>
      </c>
      <c r="AN200" s="212">
        <v>45057</v>
      </c>
      <c r="AO200" s="228">
        <v>45146</v>
      </c>
      <c r="AP200" s="211">
        <v>1</v>
      </c>
      <c r="AQ200" s="219">
        <f ca="1">IF(AR200="",NETWORKDAYS.INTL(AN200,TODAY(),1),0)</f>
        <v>0</v>
      </c>
      <c r="AR200" s="224" t="s">
        <v>42</v>
      </c>
      <c r="AS200" s="210" t="s">
        <v>1776</v>
      </c>
      <c r="AT200" s="208">
        <v>45</v>
      </c>
      <c r="AU200" s="211" t="s">
        <v>41</v>
      </c>
      <c r="AV200" s="226">
        <v>45203</v>
      </c>
      <c r="AW200" s="211"/>
      <c r="AX200" s="211"/>
      <c r="AY200" s="110" t="s">
        <v>1777</v>
      </c>
      <c r="AZ200" s="211"/>
      <c r="BA200" s="211"/>
      <c r="BB200" s="211"/>
      <c r="BC200" s="211"/>
      <c r="BD200" s="216" t="str">
        <f t="shared" si="54"/>
        <v/>
      </c>
      <c r="BE200" s="216" t="str">
        <f t="shared" si="55"/>
        <v/>
      </c>
      <c r="BF200" s="216" t="str">
        <f t="shared" si="56"/>
        <v/>
      </c>
      <c r="BG200" s="221" t="str">
        <f t="shared" si="57"/>
        <v/>
      </c>
      <c r="BH200" s="221" t="str">
        <f t="shared" si="58"/>
        <v/>
      </c>
      <c r="BI200" s="211"/>
    </row>
    <row r="201" spans="1:61" s="222" customFormat="1" ht="45">
      <c r="A201" s="21">
        <v>20161495020</v>
      </c>
      <c r="B201" s="19" t="str">
        <f>VLOOKUP(A201,'ESTADOS ESTUDIANTES'!B:L,2,0)</f>
        <v>TARAZONA ROMERO WILLIAM ANDRÉS</v>
      </c>
      <c r="C201" s="19">
        <f>VLOOKUP(A201,'ESTADOS ESTUDIANTES'!B:L,11,0)</f>
        <v>80239286</v>
      </c>
      <c r="D201" s="23">
        <f>VLOOKUP(A201,'ESTADOS ESTUDIANTES'!B:L,3,0)</f>
        <v>495</v>
      </c>
      <c r="E201" s="19" t="str">
        <f>VLOOKUP(A201,'ESTADOS ESTUDIANTES'!B:L,8,0)</f>
        <v>watarazonar@correo.udistrital.edu.co</v>
      </c>
      <c r="F201" s="19" t="str">
        <f>VLOOKUP(A201,'ESTADOS ESTUDIANTES'!B:L,9,0)</f>
        <v>willtarazona@gmail.com</v>
      </c>
      <c r="G201" s="19" t="str">
        <f>VLOOKUP(A201,'ESTADOS ESTUDIANTES'!B:L,5,0)</f>
        <v>X</v>
      </c>
      <c r="H201" s="18" t="s">
        <v>60</v>
      </c>
      <c r="I201" s="18" t="s">
        <v>1778</v>
      </c>
      <c r="J201" s="18" t="s">
        <v>1128</v>
      </c>
      <c r="K201" s="23"/>
      <c r="L201" s="96"/>
      <c r="M201" s="97"/>
      <c r="N201" s="96"/>
      <c r="O201" s="97"/>
      <c r="P201" s="110"/>
      <c r="Q201" s="18" t="s">
        <v>1779</v>
      </c>
      <c r="R201" s="96">
        <v>42583</v>
      </c>
      <c r="S201" s="19">
        <v>2016</v>
      </c>
      <c r="T201" s="18" t="s">
        <v>338</v>
      </c>
      <c r="U201" s="96">
        <v>42621</v>
      </c>
      <c r="V201" s="96">
        <v>42664</v>
      </c>
      <c r="W201" s="19">
        <v>1</v>
      </c>
      <c r="X201" s="91">
        <f ca="1">IF(U201="",NETWORKDAYS.INTL(Y201,TODAY(),1),0)</f>
        <v>0</v>
      </c>
      <c r="Y201" s="114" t="s">
        <v>43</v>
      </c>
      <c r="Z201" s="18" t="s">
        <v>1479</v>
      </c>
      <c r="AA201" s="96">
        <v>42621</v>
      </c>
      <c r="AB201" s="96">
        <v>42674</v>
      </c>
      <c r="AC201" s="19">
        <v>1</v>
      </c>
      <c r="AD201" s="21">
        <f ca="1">IF(AA201="",NETWORKDAYS.INTL(AE201,TODAY(),1),0)</f>
        <v>0</v>
      </c>
      <c r="AE201" s="114" t="s">
        <v>43</v>
      </c>
      <c r="AF201" s="96"/>
      <c r="AG201" s="23"/>
      <c r="AH201" s="96"/>
      <c r="AI201" s="96"/>
      <c r="AJ201" s="23"/>
      <c r="AK201" s="23">
        <f ca="1">IF(AH201="",NETWORKDAYS.INTL(AL201,TODAY(),1),0)</f>
        <v>33055</v>
      </c>
      <c r="AL201" s="23"/>
      <c r="AM201" s="23"/>
      <c r="AN201" s="96"/>
      <c r="AO201" s="96"/>
      <c r="AP201" s="23"/>
      <c r="AQ201" s="161">
        <f ca="1">IF(AN201="",NETWORKDAYS.INTL(AR201,TODAY(),1),0)</f>
        <v>33055</v>
      </c>
      <c r="AR201" s="161"/>
      <c r="AS201" s="18"/>
      <c r="AT201" s="21"/>
      <c r="AU201" s="23"/>
      <c r="AV201" s="23"/>
      <c r="AW201" s="23"/>
      <c r="AX201" s="23"/>
      <c r="AY201" s="23"/>
      <c r="AZ201" s="23"/>
      <c r="BA201" s="23"/>
      <c r="BB201" s="23"/>
      <c r="BC201" s="23"/>
      <c r="BD201" s="100" t="str">
        <f t="shared" si="54"/>
        <v/>
      </c>
      <c r="BE201" s="100" t="str">
        <f t="shared" si="55"/>
        <v/>
      </c>
      <c r="BF201" s="100" t="str">
        <f t="shared" si="56"/>
        <v/>
      </c>
      <c r="BG201" s="100" t="str">
        <f t="shared" si="57"/>
        <v/>
      </c>
      <c r="BH201" s="100" t="str">
        <f t="shared" si="58"/>
        <v/>
      </c>
      <c r="BI201" s="23"/>
    </row>
    <row r="202" spans="1:61" s="95" customFormat="1" ht="45">
      <c r="A202" s="21">
        <v>20161495022</v>
      </c>
      <c r="B202" s="19" t="str">
        <f>VLOOKUP(A202,'ESTADOS ESTUDIANTES'!B:L,2,0)</f>
        <v>VERGARA ROMERO MARGARETTE</v>
      </c>
      <c r="C202" s="19">
        <f>VLOOKUP(A202,'ESTADOS ESTUDIANTES'!B:L,11,0)</f>
        <v>52529192</v>
      </c>
      <c r="D202" s="23">
        <f>VLOOKUP(A202,'ESTADOS ESTUDIANTES'!B:L,3,0)</f>
        <v>495</v>
      </c>
      <c r="E202" s="19" t="str">
        <f>VLOOKUP(A202,'ESTADOS ESTUDIANTES'!B:L,8,0)</f>
        <v>mvergarar@correo.udistrital.edu.co</v>
      </c>
      <c r="F202" s="19" t="str">
        <f>VLOOKUP(A202,'ESTADOS ESTUDIANTES'!B:L,9,0)</f>
        <v>akmargie30@hotmail.com</v>
      </c>
      <c r="G202" s="19" t="str">
        <f>VLOOKUP(A202,'ESTADOS ESTUDIANTES'!B:L,5,0)</f>
        <v>X</v>
      </c>
      <c r="H202" s="18" t="s">
        <v>60</v>
      </c>
      <c r="I202" s="18" t="s">
        <v>1780</v>
      </c>
      <c r="J202" s="18" t="s">
        <v>500</v>
      </c>
      <c r="K202" s="23"/>
      <c r="L202" s="96"/>
      <c r="M202" s="97"/>
      <c r="N202" s="96"/>
      <c r="O202" s="97"/>
      <c r="P202" s="110"/>
      <c r="Q202" s="18" t="s">
        <v>1781</v>
      </c>
      <c r="R202" s="96">
        <v>42753</v>
      </c>
      <c r="S202" s="21">
        <f>YEAR(R202)</f>
        <v>2017</v>
      </c>
      <c r="T202" s="18" t="s">
        <v>356</v>
      </c>
      <c r="U202" s="96">
        <v>42782</v>
      </c>
      <c r="V202" s="96">
        <v>42877</v>
      </c>
      <c r="W202" s="19">
        <v>1</v>
      </c>
      <c r="X202" s="91">
        <f ca="1">IF(U202="",NETWORKDAYS.INTL(Y202,TODAY(),1),0)</f>
        <v>0</v>
      </c>
      <c r="Y202" s="18" t="s">
        <v>43</v>
      </c>
      <c r="Z202" s="18" t="s">
        <v>1719</v>
      </c>
      <c r="AA202" s="96">
        <v>42789</v>
      </c>
      <c r="AB202" s="96">
        <v>42804</v>
      </c>
      <c r="AC202" s="19">
        <v>1</v>
      </c>
      <c r="AD202" s="21">
        <f ca="1">IF(AA202="",NETWORKDAYS.INTL(AE202,TODAY(),1),0)</f>
        <v>0</v>
      </c>
      <c r="AE202" s="18" t="s">
        <v>56</v>
      </c>
      <c r="AF202" s="96"/>
      <c r="AG202" s="23"/>
      <c r="AH202" s="96"/>
      <c r="AI202" s="96"/>
      <c r="AJ202" s="23"/>
      <c r="AK202" s="23">
        <f ca="1">IF(AH202="",NETWORKDAYS.INTL(AL202,TODAY(),1),0)</f>
        <v>33055</v>
      </c>
      <c r="AL202" s="23"/>
      <c r="AM202" s="23"/>
      <c r="AN202" s="96"/>
      <c r="AO202" s="96"/>
      <c r="AP202" s="23"/>
      <c r="AQ202" s="161">
        <f ca="1">IF(AN202="",NETWORKDAYS.INTL(AR202,TODAY(),1),0)</f>
        <v>33055</v>
      </c>
      <c r="AR202" s="161"/>
      <c r="AS202" s="18"/>
      <c r="AT202" s="21"/>
      <c r="AU202" s="23"/>
      <c r="AV202" s="23"/>
      <c r="AW202" s="23"/>
      <c r="AX202" s="23"/>
      <c r="AY202" s="23"/>
      <c r="AZ202" s="23"/>
      <c r="BA202" s="23"/>
      <c r="BB202" s="23"/>
      <c r="BC202" s="23"/>
      <c r="BD202" s="100" t="str">
        <f t="shared" si="54"/>
        <v/>
      </c>
      <c r="BE202" s="100" t="str">
        <f t="shared" si="55"/>
        <v/>
      </c>
      <c r="BF202" s="100" t="str">
        <f t="shared" si="56"/>
        <v/>
      </c>
      <c r="BG202" s="100" t="str">
        <f t="shared" si="57"/>
        <v/>
      </c>
      <c r="BH202" s="100" t="str">
        <f t="shared" si="58"/>
        <v/>
      </c>
      <c r="BI202" s="23"/>
    </row>
    <row r="203" spans="1:61" s="95" customFormat="1" ht="135">
      <c r="A203" s="187">
        <v>20161495023</v>
      </c>
      <c r="B203" s="19" t="str">
        <f>VLOOKUP(A203,'ESTADOS ESTUDIANTES'!B:L,2,0)</f>
        <v>WISK CEBALLOS SEBASTIAN</v>
      </c>
      <c r="C203" s="19">
        <f>VLOOKUP(A203,'ESTADOS ESTUDIANTES'!B:L,11,0)</f>
        <v>1032373444</v>
      </c>
      <c r="D203" s="23">
        <f>VLOOKUP(A203,'ESTADOS ESTUDIANTES'!B:L,3,0)</f>
        <v>495</v>
      </c>
      <c r="E203" s="19" t="str">
        <f>VLOOKUP(A203,'ESTADOS ESTUDIANTES'!B:L,8,0)</f>
        <v>swiskc@udistrital.edu.co</v>
      </c>
      <c r="F203" s="19" t="str">
        <f>VLOOKUP(A203,'ESTADOS ESTUDIANTES'!B:L,9,0)</f>
        <v>sebastianwc@hotmail.com</v>
      </c>
      <c r="G203" s="19" t="str">
        <f>VLOOKUP(A203,'ESTADOS ESTUDIANTES'!B:L,5,0)</f>
        <v>E</v>
      </c>
      <c r="H203" s="18" t="s">
        <v>60</v>
      </c>
      <c r="I203" s="18" t="s">
        <v>1782</v>
      </c>
      <c r="J203" s="18" t="s">
        <v>299</v>
      </c>
      <c r="K203" s="23"/>
      <c r="L203" s="96"/>
      <c r="M203" s="97"/>
      <c r="N203" s="96">
        <v>44153</v>
      </c>
      <c r="O203" s="97">
        <v>80.37</v>
      </c>
      <c r="P203" s="98" t="s">
        <v>79</v>
      </c>
      <c r="Q203" s="19">
        <v>43709</v>
      </c>
      <c r="R203" s="96">
        <v>43594</v>
      </c>
      <c r="S203" s="19">
        <v>2019</v>
      </c>
      <c r="T203" s="18" t="s">
        <v>271</v>
      </c>
      <c r="U203" s="96">
        <v>43648</v>
      </c>
      <c r="V203" s="96">
        <v>43503</v>
      </c>
      <c r="W203" s="18" t="s">
        <v>1783</v>
      </c>
      <c r="X203" s="91">
        <f ca="1">IF(Y203="",NETWORKDAYS.INTL(U203,TODAY(),1),0)</f>
        <v>0</v>
      </c>
      <c r="Y203" s="114" t="s">
        <v>43</v>
      </c>
      <c r="Z203" s="18" t="s">
        <v>1769</v>
      </c>
      <c r="AA203" s="96">
        <v>44034</v>
      </c>
      <c r="AB203" s="96">
        <v>44035</v>
      </c>
      <c r="AC203" s="18" t="s">
        <v>1784</v>
      </c>
      <c r="AD203" s="21">
        <f ca="1">IF(AE203="",NETWORKDAYS.INTL(AA203,TODAY(),1),0)</f>
        <v>0</v>
      </c>
      <c r="AE203" s="114" t="s">
        <v>43</v>
      </c>
      <c r="AF203" s="96">
        <v>44903</v>
      </c>
      <c r="AG203" s="23" t="s">
        <v>297</v>
      </c>
      <c r="AH203" s="96">
        <v>45043</v>
      </c>
      <c r="AI203" s="96">
        <v>45049</v>
      </c>
      <c r="AJ203" s="23">
        <v>2</v>
      </c>
      <c r="AK203" s="23">
        <f ca="1">IF(AL203="",NETWORKDAYS.INTL(AH203,TODAY(),1),0)</f>
        <v>0</v>
      </c>
      <c r="AL203" s="23" t="s">
        <v>42</v>
      </c>
      <c r="AM203" s="23" t="s">
        <v>1201</v>
      </c>
      <c r="AN203" s="96">
        <v>45043</v>
      </c>
      <c r="AO203" s="96">
        <v>45055</v>
      </c>
      <c r="AP203" s="23">
        <v>2</v>
      </c>
      <c r="AQ203" s="163">
        <f ca="1">IF(AR203="",NETWORKDAYS.INTL(AN203,TODAY(),1),0)</f>
        <v>0</v>
      </c>
      <c r="AR203" s="161" t="s">
        <v>42</v>
      </c>
      <c r="AS203" s="18"/>
      <c r="AT203" s="21"/>
      <c r="AU203" s="23"/>
      <c r="AV203" s="23"/>
      <c r="AW203" s="23"/>
      <c r="AX203" s="23"/>
      <c r="AY203" s="110" t="s">
        <v>1785</v>
      </c>
      <c r="AZ203" s="120">
        <v>45084</v>
      </c>
      <c r="BA203" s="120" t="s">
        <v>1786</v>
      </c>
      <c r="BB203" s="23" t="s">
        <v>1787</v>
      </c>
      <c r="BC203" s="23"/>
      <c r="BD203" s="100" t="str">
        <f t="shared" si="54"/>
        <v/>
      </c>
      <c r="BE203" s="100" t="str">
        <f t="shared" si="55"/>
        <v/>
      </c>
      <c r="BF203" s="100" t="str">
        <f t="shared" si="56"/>
        <v/>
      </c>
      <c r="BG203" s="102" t="str">
        <f t="shared" si="57"/>
        <v/>
      </c>
      <c r="BH203" s="102" t="str">
        <f t="shared" si="58"/>
        <v/>
      </c>
      <c r="BI203" s="23"/>
    </row>
    <row r="204" spans="1:61" s="95" customFormat="1" ht="30">
      <c r="A204" s="101">
        <v>20162195002</v>
      </c>
      <c r="B204" s="19" t="str">
        <f>VLOOKUP(A204,'ESTADOS ESTUDIANTES'!B:L,2,0)</f>
        <v>BEDOYA CASTAÑO CARLOS MAURICIO</v>
      </c>
      <c r="C204" s="102">
        <f>VLOOKUP(A204,'ESTADOS ESTUDIANTES'!B:L,11,0)</f>
        <v>80220725</v>
      </c>
      <c r="D204" s="23">
        <f>VLOOKUP(A204,'ESTADOS ESTUDIANTES'!B:L,3,0)</f>
        <v>195</v>
      </c>
      <c r="E204" s="102">
        <f>VLOOKUP(A204,'ESTADOS ESTUDIANTES'!B:L,8,0)</f>
        <v>0</v>
      </c>
      <c r="F204" s="102" t="str">
        <f>VLOOKUP(A204,'ESTADOS ESTUDIANTES'!B:L,9,0)</f>
        <v>carlosm.bedoya@gmail.com</v>
      </c>
      <c r="G204" s="19" t="str">
        <f>VLOOKUP(A204,'ESTADOS ESTUDIANTES'!B:L,5,0)</f>
        <v>X</v>
      </c>
      <c r="H204" s="103"/>
      <c r="I204" s="103"/>
      <c r="J204" s="103"/>
      <c r="K204" s="103"/>
      <c r="L204" s="105"/>
      <c r="M204" s="106"/>
      <c r="N204" s="105"/>
      <c r="O204" s="106"/>
      <c r="P204" s="107"/>
      <c r="Q204" s="100"/>
      <c r="R204" s="105"/>
      <c r="S204" s="103"/>
      <c r="T204" s="103"/>
      <c r="U204" s="105"/>
      <c r="V204" s="105"/>
      <c r="W204" s="103"/>
      <c r="X204" s="91">
        <f t="shared" ref="X204:X232" ca="1" si="59">IF(U204="",NETWORKDAYS.INTL(Y204,TODAY(),1),0)</f>
        <v>33055</v>
      </c>
      <c r="Y204" s="99"/>
      <c r="Z204" s="103"/>
      <c r="AA204" s="105"/>
      <c r="AB204" s="105"/>
      <c r="AC204" s="103"/>
      <c r="AD204" s="21">
        <f t="shared" ref="AD204:AD232" ca="1" si="60">IF(AA204="",NETWORKDAYS.INTL(AE204,TODAY(),1),0)</f>
        <v>33055</v>
      </c>
      <c r="AE204" s="99"/>
      <c r="AF204" s="105"/>
      <c r="AG204" s="103"/>
      <c r="AH204" s="105"/>
      <c r="AI204" s="105"/>
      <c r="AJ204" s="103"/>
      <c r="AK204" s="23">
        <f ca="1">IF(AH204="",NETWORKDAYS.INTL(AL204,TODAY(),1),0)</f>
        <v>33055</v>
      </c>
      <c r="AL204" s="103"/>
      <c r="AM204" s="103"/>
      <c r="AN204" s="105"/>
      <c r="AO204" s="105"/>
      <c r="AP204" s="103"/>
      <c r="AQ204" s="163">
        <f t="shared" ref="AQ204:AQ232" ca="1" si="61">IF(AN204="",NETWORKDAYS.INTL(AR204,TODAY(),1),0)</f>
        <v>33055</v>
      </c>
      <c r="AR204" s="163"/>
      <c r="AS204" s="101"/>
      <c r="AT204" s="101"/>
      <c r="AU204" s="103"/>
      <c r="AV204" s="103"/>
      <c r="AW204" s="103"/>
      <c r="AX204" s="103"/>
      <c r="AY204" s="103"/>
      <c r="AZ204" s="103"/>
      <c r="BA204" s="103"/>
      <c r="BB204" s="103"/>
      <c r="BC204" s="103"/>
      <c r="BD204" s="100" t="str">
        <f t="shared" si="54"/>
        <v/>
      </c>
      <c r="BE204" s="100" t="str">
        <f t="shared" si="55"/>
        <v/>
      </c>
      <c r="BF204" s="100" t="str">
        <f t="shared" si="56"/>
        <v/>
      </c>
      <c r="BG204" s="100" t="str">
        <f t="shared" si="57"/>
        <v/>
      </c>
      <c r="BH204" s="100" t="str">
        <f t="shared" si="58"/>
        <v/>
      </c>
      <c r="BI204" s="103"/>
    </row>
    <row r="205" spans="1:61" s="95" customFormat="1" ht="75">
      <c r="A205" s="101">
        <v>20162195004</v>
      </c>
      <c r="B205" s="19" t="str">
        <f>VLOOKUP(A205,'ESTADOS ESTUDIANTES'!B:L,2,0)</f>
        <v>CUBILLOS SÁNCHEZ RAFAEL ORLANDO</v>
      </c>
      <c r="C205" s="102">
        <f>VLOOKUP(A205,'ESTADOS ESTUDIANTES'!B:L,11,0)</f>
        <v>79578336</v>
      </c>
      <c r="D205" s="23">
        <f>VLOOKUP(A205,'ESTADOS ESTUDIANTES'!B:L,3,0)</f>
        <v>195</v>
      </c>
      <c r="E205" s="102" t="str">
        <f>VLOOKUP(A205,'ESTADOS ESTUDIANTES'!B:L,8,0)</f>
        <v>rocubilloss@udistrital.edu.co</v>
      </c>
      <c r="F205" s="102" t="str">
        <f>VLOOKUP(A205,'ESTADOS ESTUDIANTES'!B:L,9,0)</f>
        <v>rafacubillos@gmail.com</v>
      </c>
      <c r="G205" s="19" t="str">
        <f>VLOOKUP(A205,'ESTADOS ESTUDIANTES'!B:L,5,0)</f>
        <v>E</v>
      </c>
      <c r="H205" s="100" t="s">
        <v>46</v>
      </c>
      <c r="I205" s="100" t="s">
        <v>1788</v>
      </c>
      <c r="J205" s="100" t="s">
        <v>369</v>
      </c>
      <c r="K205" s="103"/>
      <c r="L205" s="105"/>
      <c r="M205" s="106"/>
      <c r="N205" s="105">
        <v>44097</v>
      </c>
      <c r="O205" s="106">
        <v>88.79</v>
      </c>
      <c r="P205" s="112" t="s">
        <v>79</v>
      </c>
      <c r="Q205" s="100" t="s">
        <v>1789</v>
      </c>
      <c r="R205" s="105">
        <v>42533</v>
      </c>
      <c r="S205" s="102">
        <v>2016</v>
      </c>
      <c r="T205" s="100" t="s">
        <v>1625</v>
      </c>
      <c r="U205" s="105">
        <v>42970</v>
      </c>
      <c r="V205" s="105">
        <v>43035</v>
      </c>
      <c r="W205" s="102">
        <v>1</v>
      </c>
      <c r="X205" s="91">
        <f t="shared" ca="1" si="59"/>
        <v>0</v>
      </c>
      <c r="Y205" s="100" t="s">
        <v>43</v>
      </c>
      <c r="Z205" s="100" t="s">
        <v>1479</v>
      </c>
      <c r="AA205" s="105">
        <v>42934</v>
      </c>
      <c r="AB205" s="105">
        <v>43025</v>
      </c>
      <c r="AC205" s="102">
        <v>1</v>
      </c>
      <c r="AD205" s="21">
        <f t="shared" ca="1" si="60"/>
        <v>0</v>
      </c>
      <c r="AE205" s="100" t="s">
        <v>43</v>
      </c>
      <c r="AF205" s="105"/>
      <c r="AG205" s="100" t="s">
        <v>1479</v>
      </c>
      <c r="AH205" s="105">
        <v>43648</v>
      </c>
      <c r="AI205" s="105">
        <v>43704</v>
      </c>
      <c r="AJ205" s="103"/>
      <c r="AK205" s="23">
        <f ca="1">IF(AH205="",NETWORKDAYS.INTL(AL205,TODAY(),1),0)</f>
        <v>0</v>
      </c>
      <c r="AL205" s="100" t="s">
        <v>42</v>
      </c>
      <c r="AM205" s="100" t="s">
        <v>1625</v>
      </c>
      <c r="AN205" s="105">
        <v>43675</v>
      </c>
      <c r="AO205" s="105">
        <v>43731</v>
      </c>
      <c r="AP205" s="103"/>
      <c r="AQ205" s="163">
        <f t="shared" ca="1" si="61"/>
        <v>0</v>
      </c>
      <c r="AR205" s="162" t="s">
        <v>42</v>
      </c>
      <c r="AS205" s="101"/>
      <c r="AT205" s="101"/>
      <c r="AU205" s="103"/>
      <c r="AV205" s="103"/>
      <c r="AW205" s="103"/>
      <c r="AX205" s="103"/>
      <c r="AY205" s="103"/>
      <c r="AZ205" s="103"/>
      <c r="BA205" s="103"/>
      <c r="BB205" s="103"/>
      <c r="BC205" s="103"/>
      <c r="BD205" s="100" t="str">
        <f t="shared" si="54"/>
        <v/>
      </c>
      <c r="BE205" s="100" t="str">
        <f t="shared" si="55"/>
        <v/>
      </c>
      <c r="BF205" s="100" t="str">
        <f t="shared" si="56"/>
        <v/>
      </c>
      <c r="BG205" s="100" t="str">
        <f t="shared" si="57"/>
        <v/>
      </c>
      <c r="BH205" s="100" t="str">
        <f t="shared" si="58"/>
        <v/>
      </c>
      <c r="BI205" s="103"/>
    </row>
    <row r="206" spans="1:61" s="222" customFormat="1" ht="60">
      <c r="A206" s="101">
        <v>20162195006</v>
      </c>
      <c r="B206" s="19" t="str">
        <f>VLOOKUP(A206,'ESTADOS ESTUDIANTES'!B:L,2,0)</f>
        <v>OTALORA RIVERO GEOVANNY RENE</v>
      </c>
      <c r="C206" s="102">
        <f>VLOOKUP(A206,'ESTADOS ESTUDIANTES'!B:L,11,0)</f>
        <v>79531717</v>
      </c>
      <c r="D206" s="23">
        <f>VLOOKUP(A206,'ESTADOS ESTUDIANTES'!B:L,3,0)</f>
        <v>195</v>
      </c>
      <c r="E206" s="102" t="str">
        <f>VLOOKUP(A206,'ESTADOS ESTUDIANTES'!B:L,8,0)</f>
        <v>grotalorar@correo.udistrital.edu.co</v>
      </c>
      <c r="F206" s="102" t="str">
        <f>VLOOKUP(A206,'ESTADOS ESTUDIANTES'!B:L,9,0)</f>
        <v>gotalora68@gmail.com</v>
      </c>
      <c r="G206" s="19" t="str">
        <f>VLOOKUP(A206,'ESTADOS ESTUDIANTES'!B:L,5,0)</f>
        <v>E</v>
      </c>
      <c r="H206" s="103"/>
      <c r="I206" s="100" t="s">
        <v>1790</v>
      </c>
      <c r="J206" s="108" t="s">
        <v>564</v>
      </c>
      <c r="K206" s="103"/>
      <c r="L206" s="105"/>
      <c r="M206" s="106"/>
      <c r="N206" s="105">
        <v>43775</v>
      </c>
      <c r="O206" s="106">
        <v>83.48</v>
      </c>
      <c r="P206" s="112" t="s">
        <v>79</v>
      </c>
      <c r="Q206" s="100" t="s">
        <v>1717</v>
      </c>
      <c r="R206" s="105"/>
      <c r="S206" s="102">
        <v>1899</v>
      </c>
      <c r="T206" s="100" t="s">
        <v>1577</v>
      </c>
      <c r="U206" s="105">
        <v>43580</v>
      </c>
      <c r="V206" s="105">
        <v>43594</v>
      </c>
      <c r="W206" s="100" t="s">
        <v>1791</v>
      </c>
      <c r="X206" s="91">
        <f t="shared" ca="1" si="59"/>
        <v>0</v>
      </c>
      <c r="Y206" s="100" t="s">
        <v>43</v>
      </c>
      <c r="Z206" s="100" t="s">
        <v>1587</v>
      </c>
      <c r="AA206" s="105">
        <v>43580</v>
      </c>
      <c r="AB206" s="105">
        <v>43580</v>
      </c>
      <c r="AC206" s="100" t="s">
        <v>1792</v>
      </c>
      <c r="AD206" s="21">
        <f t="shared" ca="1" si="60"/>
        <v>0</v>
      </c>
      <c r="AE206" s="100" t="s">
        <v>43</v>
      </c>
      <c r="AF206" s="105"/>
      <c r="AG206" s="100" t="s">
        <v>1261</v>
      </c>
      <c r="AH206" s="105">
        <v>43698</v>
      </c>
      <c r="AI206" s="105">
        <v>43721</v>
      </c>
      <c r="AJ206" s="103"/>
      <c r="AK206" s="23">
        <f ca="1">IF(AH206="",NETWORKDAYS.INTL(AL206,TODAY(),1),0)</f>
        <v>0</v>
      </c>
      <c r="AL206" s="100" t="s">
        <v>42</v>
      </c>
      <c r="AM206" s="100" t="s">
        <v>1793</v>
      </c>
      <c r="AN206" s="105">
        <v>43697</v>
      </c>
      <c r="AO206" s="105">
        <v>43710</v>
      </c>
      <c r="AP206" s="103"/>
      <c r="AQ206" s="163">
        <f t="shared" ca="1" si="61"/>
        <v>0</v>
      </c>
      <c r="AR206" s="162" t="s">
        <v>42</v>
      </c>
      <c r="AS206" s="101"/>
      <c r="AT206" s="101"/>
      <c r="AU206" s="103"/>
      <c r="AV206" s="103"/>
      <c r="AW206" s="103"/>
      <c r="AX206" s="103"/>
      <c r="AY206" s="103"/>
      <c r="AZ206" s="103"/>
      <c r="BA206" s="103"/>
      <c r="BB206" s="103"/>
      <c r="BC206" s="103"/>
      <c r="BD206" s="100" t="str">
        <f t="shared" si="54"/>
        <v/>
      </c>
      <c r="BE206" s="100" t="str">
        <f t="shared" si="55"/>
        <v/>
      </c>
      <c r="BF206" s="100" t="str">
        <f t="shared" si="56"/>
        <v/>
      </c>
      <c r="BG206" s="100" t="str">
        <f t="shared" si="57"/>
        <v/>
      </c>
      <c r="BH206" s="100" t="str">
        <f t="shared" si="58"/>
        <v/>
      </c>
      <c r="BI206" s="103"/>
    </row>
    <row r="207" spans="1:61" s="95" customFormat="1" ht="30">
      <c r="A207" s="101">
        <v>20162195007</v>
      </c>
      <c r="B207" s="19" t="str">
        <f>VLOOKUP(A207,'ESTADOS ESTUDIANTES'!B:L,2,0)</f>
        <v>RODRÍGUEZ CEDIEL ANA CAROLINA</v>
      </c>
      <c r="C207" s="102">
        <f>VLOOKUP(A207,'ESTADOS ESTUDIANTES'!B:L,11,0)</f>
        <v>1014199332</v>
      </c>
      <c r="D207" s="23">
        <f>VLOOKUP(A207,'ESTADOS ESTUDIANTES'!B:L,3,0)</f>
        <v>195</v>
      </c>
      <c r="E207" s="102" t="str">
        <f>VLOOKUP(A207,'ESTADOS ESTUDIANTES'!B:L,8,0)</f>
        <v>ancrodriguezc@udistrital.edu.co</v>
      </c>
      <c r="F207" s="102" t="str">
        <f>VLOOKUP(A207,'ESTADOS ESTUDIANTES'!B:L,9,0)</f>
        <v>anacarolinarodriguezcediel@gmail.com</v>
      </c>
      <c r="G207" s="19" t="str">
        <f>VLOOKUP(A207,'ESTADOS ESTUDIANTES'!B:L,5,0)</f>
        <v>E</v>
      </c>
      <c r="H207" s="100" t="s">
        <v>60</v>
      </c>
      <c r="I207" s="100" t="s">
        <v>1794</v>
      </c>
      <c r="J207" s="108" t="s">
        <v>1461</v>
      </c>
      <c r="K207" s="103"/>
      <c r="L207" s="105"/>
      <c r="M207" s="106"/>
      <c r="N207" s="105"/>
      <c r="O207" s="106"/>
      <c r="P207" s="107"/>
      <c r="Q207" s="100" t="s">
        <v>1795</v>
      </c>
      <c r="R207" s="105">
        <v>42719</v>
      </c>
      <c r="S207" s="102">
        <v>2016</v>
      </c>
      <c r="T207" s="100" t="s">
        <v>356</v>
      </c>
      <c r="U207" s="105">
        <v>42768</v>
      </c>
      <c r="V207" s="105">
        <v>42784</v>
      </c>
      <c r="W207" s="102">
        <v>1</v>
      </c>
      <c r="X207" s="91">
        <f t="shared" ca="1" si="59"/>
        <v>0</v>
      </c>
      <c r="Y207" s="100" t="s">
        <v>43</v>
      </c>
      <c r="Z207" s="100" t="s">
        <v>1518</v>
      </c>
      <c r="AA207" s="105">
        <v>42773</v>
      </c>
      <c r="AB207" s="100" t="s">
        <v>1796</v>
      </c>
      <c r="AC207" s="102">
        <v>2</v>
      </c>
      <c r="AD207" s="21">
        <f t="shared" ca="1" si="60"/>
        <v>0</v>
      </c>
      <c r="AE207" s="100" t="s">
        <v>43</v>
      </c>
      <c r="AF207" s="105"/>
      <c r="AG207" s="100" t="s">
        <v>356</v>
      </c>
      <c r="AH207" s="105"/>
      <c r="AI207" s="105"/>
      <c r="AJ207" s="102">
        <v>1</v>
      </c>
      <c r="AK207" s="23">
        <f ca="1">IF(AL207="",NETWORKDAYS.INTL(AH207,TODAY(),1),0)</f>
        <v>0</v>
      </c>
      <c r="AL207" s="100" t="s">
        <v>42</v>
      </c>
      <c r="AM207" s="100" t="s">
        <v>1518</v>
      </c>
      <c r="AN207" s="105"/>
      <c r="AO207" s="105"/>
      <c r="AP207" s="102">
        <v>2</v>
      </c>
      <c r="AQ207" s="162" t="e">
        <f t="shared" ca="1" si="61"/>
        <v>#VALUE!</v>
      </c>
      <c r="AR207" s="162" t="s">
        <v>42</v>
      </c>
      <c r="AS207" s="100" t="s">
        <v>1588</v>
      </c>
      <c r="AT207" s="101">
        <v>5</v>
      </c>
      <c r="AU207" s="100" t="s">
        <v>41</v>
      </c>
      <c r="AV207" s="113">
        <v>43136</v>
      </c>
      <c r="AW207" s="103"/>
      <c r="AX207" s="103"/>
      <c r="AY207" s="103"/>
      <c r="AZ207" s="103"/>
      <c r="BA207" s="103"/>
      <c r="BB207" s="103"/>
      <c r="BC207" s="103"/>
      <c r="BD207" s="100" t="str">
        <f t="shared" si="54"/>
        <v/>
      </c>
      <c r="BE207" s="100" t="str">
        <f t="shared" si="55"/>
        <v/>
      </c>
      <c r="BF207" s="100" t="str">
        <f t="shared" si="56"/>
        <v/>
      </c>
      <c r="BG207" s="100" t="str">
        <f t="shared" si="57"/>
        <v/>
      </c>
      <c r="BH207" s="100" t="str">
        <f t="shared" si="58"/>
        <v/>
      </c>
      <c r="BI207" s="103"/>
    </row>
    <row r="208" spans="1:61" s="207" customFormat="1" ht="30">
      <c r="A208" s="101">
        <v>20162195009</v>
      </c>
      <c r="B208" s="19" t="str">
        <f>VLOOKUP(A208,'ESTADOS ESTUDIANTES'!B:L,2,0)</f>
        <v>ROMERO VILLANUEVA OSCAR FERNANDO</v>
      </c>
      <c r="C208" s="102">
        <f>VLOOKUP(A208,'ESTADOS ESTUDIANTES'!B:L,11,0)</f>
        <v>1110454571</v>
      </c>
      <c r="D208" s="23">
        <f>VLOOKUP(A208,'ESTADOS ESTUDIANTES'!B:L,3,0)</f>
        <v>195</v>
      </c>
      <c r="E208" s="102">
        <f>VLOOKUP(A208,'ESTADOS ESTUDIANTES'!B:L,8,0)</f>
        <v>0</v>
      </c>
      <c r="F208" s="102" t="str">
        <f>VLOOKUP(A208,'ESTADOS ESTUDIANTES'!B:L,9,0)</f>
        <v>oscar.romero.villa@gmail.com</v>
      </c>
      <c r="G208" s="19" t="str">
        <f>VLOOKUP(A208,'ESTADOS ESTUDIANTES'!B:L,5,0)</f>
        <v>X</v>
      </c>
      <c r="H208" s="100" t="s">
        <v>60</v>
      </c>
      <c r="I208" s="103"/>
      <c r="J208" s="103"/>
      <c r="K208" s="103"/>
      <c r="L208" s="105"/>
      <c r="M208" s="106"/>
      <c r="N208" s="105"/>
      <c r="O208" s="106"/>
      <c r="P208" s="107"/>
      <c r="Q208" s="100"/>
      <c r="R208" s="105"/>
      <c r="S208" s="103"/>
      <c r="T208" s="103"/>
      <c r="U208" s="105"/>
      <c r="V208" s="105"/>
      <c r="W208" s="103"/>
      <c r="X208" s="91">
        <f t="shared" ca="1" si="59"/>
        <v>33055</v>
      </c>
      <c r="Y208" s="99"/>
      <c r="Z208" s="103"/>
      <c r="AA208" s="105"/>
      <c r="AB208" s="105"/>
      <c r="AC208" s="103"/>
      <c r="AD208" s="21">
        <f t="shared" ca="1" si="60"/>
        <v>33055</v>
      </c>
      <c r="AE208" s="99"/>
      <c r="AF208" s="105"/>
      <c r="AG208" s="103"/>
      <c r="AH208" s="105"/>
      <c r="AI208" s="105"/>
      <c r="AJ208" s="103"/>
      <c r="AK208" s="23">
        <f t="shared" ref="AK208:AK228" ca="1" si="62">IF(AH208="",NETWORKDAYS.INTL(AL208,TODAY(),1),0)</f>
        <v>33055</v>
      </c>
      <c r="AL208" s="103"/>
      <c r="AM208" s="103"/>
      <c r="AN208" s="105"/>
      <c r="AO208" s="105"/>
      <c r="AP208" s="103"/>
      <c r="AQ208" s="163">
        <f t="shared" ca="1" si="61"/>
        <v>33055</v>
      </c>
      <c r="AR208" s="163"/>
      <c r="AS208" s="101"/>
      <c r="AT208" s="101"/>
      <c r="AU208" s="103"/>
      <c r="AV208" s="103"/>
      <c r="AW208" s="103"/>
      <c r="AX208" s="103"/>
      <c r="AY208" s="103"/>
      <c r="AZ208" s="103"/>
      <c r="BA208" s="103"/>
      <c r="BB208" s="103"/>
      <c r="BC208" s="103"/>
      <c r="BD208" s="100" t="str">
        <f t="shared" si="54"/>
        <v/>
      </c>
      <c r="BE208" s="100" t="str">
        <f t="shared" si="55"/>
        <v/>
      </c>
      <c r="BF208" s="100" t="str">
        <f t="shared" si="56"/>
        <v/>
      </c>
      <c r="BG208" s="100" t="str">
        <f t="shared" si="57"/>
        <v/>
      </c>
      <c r="BH208" s="100" t="str">
        <f t="shared" si="58"/>
        <v/>
      </c>
      <c r="BI208" s="103"/>
    </row>
    <row r="209" spans="1:61" s="95" customFormat="1" ht="60">
      <c r="A209" s="101">
        <v>20162195010</v>
      </c>
      <c r="B209" s="19" t="str">
        <f>VLOOKUP(A209,'ESTADOS ESTUDIANTES'!B:L,2,0)</f>
        <v>TORRES CASTILLO CAMILO ANDRÉS</v>
      </c>
      <c r="C209" s="102">
        <f>VLOOKUP(A209,'ESTADOS ESTUDIANTES'!B:L,11,0)</f>
        <v>1072640773</v>
      </c>
      <c r="D209" s="23">
        <f>VLOOKUP(A209,'ESTADOS ESTUDIANTES'!B:L,3,0)</f>
        <v>195</v>
      </c>
      <c r="E209" s="102">
        <f>VLOOKUP(A209,'ESTADOS ESTUDIANTES'!B:L,8,0)</f>
        <v>0</v>
      </c>
      <c r="F209" s="102" t="s">
        <v>863</v>
      </c>
      <c r="G209" s="19" t="str">
        <f>VLOOKUP(A209,'ESTADOS ESTUDIANTES'!B:L,5,0)</f>
        <v>E</v>
      </c>
      <c r="H209" s="103"/>
      <c r="I209" s="100" t="s">
        <v>1797</v>
      </c>
      <c r="J209" s="108" t="s">
        <v>369</v>
      </c>
      <c r="K209" s="103"/>
      <c r="L209" s="105"/>
      <c r="M209" s="106"/>
      <c r="N209" s="105">
        <v>43964</v>
      </c>
      <c r="O209" s="106">
        <v>72.17</v>
      </c>
      <c r="P209" s="112" t="s">
        <v>79</v>
      </c>
      <c r="Q209" s="100" t="s">
        <v>1633</v>
      </c>
      <c r="R209" s="105">
        <v>42716</v>
      </c>
      <c r="S209" s="102">
        <v>2016</v>
      </c>
      <c r="T209" s="100" t="s">
        <v>1258</v>
      </c>
      <c r="U209" s="105">
        <v>42768</v>
      </c>
      <c r="V209" s="105">
        <v>42775</v>
      </c>
      <c r="W209" s="102">
        <v>1</v>
      </c>
      <c r="X209" s="91">
        <f t="shared" ca="1" si="59"/>
        <v>0</v>
      </c>
      <c r="Y209" s="100" t="s">
        <v>43</v>
      </c>
      <c r="Z209" s="100" t="s">
        <v>1560</v>
      </c>
      <c r="AA209" s="105">
        <v>42768</v>
      </c>
      <c r="AB209" s="100" t="s">
        <v>1798</v>
      </c>
      <c r="AC209" s="102">
        <v>1</v>
      </c>
      <c r="AD209" s="21">
        <f t="shared" ca="1" si="60"/>
        <v>0</v>
      </c>
      <c r="AE209" s="100" t="s">
        <v>43</v>
      </c>
      <c r="AF209" s="105">
        <v>43294</v>
      </c>
      <c r="AG209" s="100" t="s">
        <v>1799</v>
      </c>
      <c r="AH209" s="105">
        <v>43315</v>
      </c>
      <c r="AI209" s="105"/>
      <c r="AJ209" s="103"/>
      <c r="AK209" s="23">
        <f t="shared" ca="1" si="62"/>
        <v>0</v>
      </c>
      <c r="AL209" s="100" t="s">
        <v>42</v>
      </c>
      <c r="AM209" s="100" t="s">
        <v>932</v>
      </c>
      <c r="AN209" s="105">
        <v>43315</v>
      </c>
      <c r="AO209" s="105"/>
      <c r="AP209" s="103"/>
      <c r="AQ209" s="161">
        <f t="shared" ca="1" si="61"/>
        <v>0</v>
      </c>
      <c r="AR209" s="162" t="s">
        <v>42</v>
      </c>
      <c r="AS209" s="101"/>
      <c r="AT209" s="101"/>
      <c r="AU209" s="103"/>
      <c r="AV209" s="103"/>
      <c r="AW209" s="103"/>
      <c r="AX209" s="103"/>
      <c r="AY209" s="103"/>
      <c r="AZ209" s="103"/>
      <c r="BA209" s="103"/>
      <c r="BB209" s="103"/>
      <c r="BC209" s="103"/>
      <c r="BD209" s="100" t="str">
        <f t="shared" si="54"/>
        <v/>
      </c>
      <c r="BE209" s="100" t="str">
        <f t="shared" si="55"/>
        <v/>
      </c>
      <c r="BF209" s="100" t="str">
        <f t="shared" si="56"/>
        <v/>
      </c>
      <c r="BG209" s="100" t="str">
        <f t="shared" si="57"/>
        <v/>
      </c>
      <c r="BH209" s="100" t="str">
        <f t="shared" si="58"/>
        <v/>
      </c>
      <c r="BI209" s="103"/>
    </row>
    <row r="210" spans="1:61" s="95" customFormat="1" ht="30">
      <c r="A210" s="21">
        <v>20162195011</v>
      </c>
      <c r="B210" s="19" t="str">
        <f>VLOOKUP(A210,'ESTADOS ESTUDIANTES'!B:L,2,0)</f>
        <v>VELASCO ROMERO LAURA JINETH</v>
      </c>
      <c r="C210" s="19">
        <f>VLOOKUP(A210,'ESTADOS ESTUDIANTES'!B:L,11,0)</f>
        <v>52957410</v>
      </c>
      <c r="D210" s="23">
        <f>VLOOKUP(A210,'ESTADOS ESTUDIANTES'!B:L,3,0)</f>
        <v>195</v>
      </c>
      <c r="E210" s="19" t="str">
        <f>VLOOKUP(A210,'ESTADOS ESTUDIANTES'!B:L,8,0)</f>
        <v>lvelascor@correo.udistrital.edu.co</v>
      </c>
      <c r="F210" s="19" t="str">
        <f>VLOOKUP(A210,'ESTADOS ESTUDIANTES'!B:L,9,0)</f>
        <v>velasco.laura@outlook.com</v>
      </c>
      <c r="G210" s="19" t="str">
        <f>VLOOKUP(A210,'ESTADOS ESTUDIANTES'!B:L,5,0)</f>
        <v>X</v>
      </c>
      <c r="H210" s="18" t="s">
        <v>60</v>
      </c>
      <c r="I210" s="18" t="s">
        <v>1800</v>
      </c>
      <c r="J210" s="18" t="s">
        <v>309</v>
      </c>
      <c r="K210" s="23"/>
      <c r="L210" s="96"/>
      <c r="M210" s="97"/>
      <c r="N210" s="96"/>
      <c r="O210" s="97"/>
      <c r="P210" s="110"/>
      <c r="Q210" s="18" t="s">
        <v>1801</v>
      </c>
      <c r="R210" s="96">
        <v>42717</v>
      </c>
      <c r="S210" s="21">
        <f>YEAR(R210)</f>
        <v>2016</v>
      </c>
      <c r="T210" s="18" t="s">
        <v>656</v>
      </c>
      <c r="U210" s="96">
        <v>42794</v>
      </c>
      <c r="V210" s="96">
        <v>42860</v>
      </c>
      <c r="W210" s="19">
        <v>1</v>
      </c>
      <c r="X210" s="91">
        <f t="shared" ca="1" si="59"/>
        <v>0</v>
      </c>
      <c r="Y210" s="18" t="s">
        <v>43</v>
      </c>
      <c r="Z210" s="18" t="s">
        <v>1421</v>
      </c>
      <c r="AA210" s="96">
        <v>42815</v>
      </c>
      <c r="AB210" s="96">
        <v>42892</v>
      </c>
      <c r="AC210" s="19">
        <v>1</v>
      </c>
      <c r="AD210" s="21">
        <f t="shared" ca="1" si="60"/>
        <v>0</v>
      </c>
      <c r="AE210" s="18" t="s">
        <v>43</v>
      </c>
      <c r="AF210" s="96"/>
      <c r="AG210" s="23"/>
      <c r="AH210" s="96"/>
      <c r="AI210" s="96"/>
      <c r="AJ210" s="23"/>
      <c r="AK210" s="23">
        <f t="shared" ca="1" si="62"/>
        <v>33055</v>
      </c>
      <c r="AL210" s="23"/>
      <c r="AM210" s="23"/>
      <c r="AN210" s="96"/>
      <c r="AO210" s="96"/>
      <c r="AP210" s="23"/>
      <c r="AQ210" s="161">
        <f t="shared" ca="1" si="61"/>
        <v>33055</v>
      </c>
      <c r="AR210" s="161"/>
      <c r="AS210" s="18"/>
      <c r="AT210" s="21"/>
      <c r="AU210" s="23"/>
      <c r="AV210" s="23"/>
      <c r="AW210" s="23"/>
      <c r="AX210" s="23"/>
      <c r="AY210" s="23"/>
      <c r="AZ210" s="23"/>
      <c r="BA210" s="23"/>
      <c r="BB210" s="23"/>
      <c r="BC210" s="23"/>
      <c r="BD210" s="100" t="str">
        <f t="shared" si="54"/>
        <v/>
      </c>
      <c r="BE210" s="100" t="str">
        <f t="shared" si="55"/>
        <v/>
      </c>
      <c r="BF210" s="100" t="str">
        <f t="shared" si="56"/>
        <v/>
      </c>
      <c r="BG210" s="100" t="str">
        <f t="shared" si="57"/>
        <v/>
      </c>
      <c r="BH210" s="100" t="str">
        <f t="shared" si="58"/>
        <v/>
      </c>
      <c r="BI210" s="23"/>
    </row>
    <row r="211" spans="1:61" s="95" customFormat="1" ht="30">
      <c r="A211" s="101">
        <v>20162395001</v>
      </c>
      <c r="B211" s="19" t="str">
        <f>VLOOKUP(A211,'ESTADOS ESTUDIANTES'!B:L,2,0)</f>
        <v>CABALLERO MODERA NICOLS ERNESTO</v>
      </c>
      <c r="C211" s="102">
        <f>VLOOKUP(A211,'ESTADOS ESTUDIANTES'!B:L,11,0)</f>
        <v>1026285580</v>
      </c>
      <c r="D211" s="23">
        <f>VLOOKUP(A211,'ESTADOS ESTUDIANTES'!B:L,3,0)</f>
        <v>395</v>
      </c>
      <c r="E211" s="102">
        <f>VLOOKUP(A211,'ESTADOS ESTUDIANTES'!B:L,8,0)</f>
        <v>0</v>
      </c>
      <c r="F211" s="102" t="str">
        <f>VLOOKUP(A211,'ESTADOS ESTUDIANTES'!B:L,9,0)</f>
        <v>necaballerom@gmail.com</v>
      </c>
      <c r="G211" s="19" t="str">
        <f>VLOOKUP(A211,'ESTADOS ESTUDIANTES'!B:L,5,0)</f>
        <v>N</v>
      </c>
      <c r="H211" s="103"/>
      <c r="I211" s="100" t="s">
        <v>1802</v>
      </c>
      <c r="J211" s="100" t="s">
        <v>292</v>
      </c>
      <c r="K211" s="103"/>
      <c r="L211" s="105"/>
      <c r="M211" s="106"/>
      <c r="N211" s="105"/>
      <c r="O211" s="106"/>
      <c r="P211" s="107"/>
      <c r="Q211" s="100"/>
      <c r="R211" s="105"/>
      <c r="S211" s="103"/>
      <c r="T211" s="103"/>
      <c r="U211" s="105"/>
      <c r="V211" s="105"/>
      <c r="W211" s="103"/>
      <c r="X211" s="91">
        <f t="shared" ca="1" si="59"/>
        <v>33055</v>
      </c>
      <c r="Y211" s="99"/>
      <c r="Z211" s="103"/>
      <c r="AA211" s="105"/>
      <c r="AB211" s="105"/>
      <c r="AC211" s="103"/>
      <c r="AD211" s="21">
        <f t="shared" ca="1" si="60"/>
        <v>33055</v>
      </c>
      <c r="AE211" s="99"/>
      <c r="AF211" s="105"/>
      <c r="AG211" s="103"/>
      <c r="AH211" s="105"/>
      <c r="AI211" s="105"/>
      <c r="AJ211" s="103"/>
      <c r="AK211" s="23">
        <f t="shared" ca="1" si="62"/>
        <v>33055</v>
      </c>
      <c r="AL211" s="103"/>
      <c r="AM211" s="103"/>
      <c r="AN211" s="105"/>
      <c r="AO211" s="105"/>
      <c r="AP211" s="103"/>
      <c r="AQ211" s="163">
        <f t="shared" ca="1" si="61"/>
        <v>33055</v>
      </c>
      <c r="AR211" s="163"/>
      <c r="AS211" s="101"/>
      <c r="AT211" s="101"/>
      <c r="AU211" s="103"/>
      <c r="AV211" s="103"/>
      <c r="AW211" s="103"/>
      <c r="AX211" s="103"/>
      <c r="AY211" s="103"/>
      <c r="AZ211" s="103"/>
      <c r="BA211" s="103"/>
      <c r="BB211" s="103"/>
      <c r="BC211" s="103"/>
      <c r="BD211" s="100" t="str">
        <f t="shared" si="54"/>
        <v/>
      </c>
      <c r="BE211" s="100" t="str">
        <f t="shared" si="55"/>
        <v/>
      </c>
      <c r="BF211" s="100" t="str">
        <f t="shared" si="56"/>
        <v/>
      </c>
      <c r="BG211" s="100" t="str">
        <f t="shared" si="57"/>
        <v/>
      </c>
      <c r="BH211" s="100" t="str">
        <f t="shared" si="58"/>
        <v/>
      </c>
      <c r="BI211" s="103"/>
    </row>
    <row r="212" spans="1:61" s="95" customFormat="1" ht="45">
      <c r="A212" s="101">
        <v>20162395002</v>
      </c>
      <c r="B212" s="19" t="str">
        <f>VLOOKUP(A212,'ESTADOS ESTUDIANTES'!B:L,2,0)</f>
        <v>CADENA CONTRERAS LAURA ANGÉLICA</v>
      </c>
      <c r="C212" s="102">
        <f>VLOOKUP(A212,'ESTADOS ESTUDIANTES'!B:L,11,0)</f>
        <v>1013648575</v>
      </c>
      <c r="D212" s="23">
        <f>VLOOKUP(A212,'ESTADOS ESTUDIANTES'!B:L,3,0)</f>
        <v>395</v>
      </c>
      <c r="E212" s="102" t="str">
        <f>VLOOKUP(A212,'ESTADOS ESTUDIANTES'!B:L,8,0)</f>
        <v>lacadenac@udistrital.edu.co</v>
      </c>
      <c r="F212" s="102" t="str">
        <f>VLOOKUP(A212,'ESTADOS ESTUDIANTES'!B:L,9,0)</f>
        <v>lacadenacontreras@gmail.com</v>
      </c>
      <c r="G212" s="19" t="str">
        <f>VLOOKUP(A212,'ESTADOS ESTUDIANTES'!B:L,5,0)</f>
        <v>E</v>
      </c>
      <c r="H212" s="103"/>
      <c r="I212" s="100" t="s">
        <v>1803</v>
      </c>
      <c r="J212" s="108" t="s">
        <v>229</v>
      </c>
      <c r="K212" s="103"/>
      <c r="L212" s="105"/>
      <c r="M212" s="106"/>
      <c r="N212" s="105"/>
      <c r="O212" s="106"/>
      <c r="P212" s="107"/>
      <c r="Q212" s="100" t="s">
        <v>1804</v>
      </c>
      <c r="R212" s="105">
        <v>42809</v>
      </c>
      <c r="S212" s="102">
        <v>2017</v>
      </c>
      <c r="T212" s="100" t="s">
        <v>356</v>
      </c>
      <c r="U212" s="100" t="s">
        <v>1805</v>
      </c>
      <c r="V212" s="105">
        <v>42872</v>
      </c>
      <c r="W212" s="102">
        <v>1</v>
      </c>
      <c r="X212" s="91">
        <f t="shared" ca="1" si="59"/>
        <v>0</v>
      </c>
      <c r="Y212" s="100" t="s">
        <v>43</v>
      </c>
      <c r="Z212" s="100" t="s">
        <v>1625</v>
      </c>
      <c r="AA212" s="105">
        <v>42817</v>
      </c>
      <c r="AB212" s="105">
        <v>42817</v>
      </c>
      <c r="AC212" s="103"/>
      <c r="AD212" s="21">
        <f t="shared" ca="1" si="60"/>
        <v>0</v>
      </c>
      <c r="AE212" s="100" t="s">
        <v>43</v>
      </c>
      <c r="AF212" s="105"/>
      <c r="AG212" s="100" t="s">
        <v>1806</v>
      </c>
      <c r="AH212" s="105">
        <v>43123</v>
      </c>
      <c r="AI212" s="105"/>
      <c r="AJ212" s="102">
        <v>1</v>
      </c>
      <c r="AK212" s="23">
        <f t="shared" ca="1" si="62"/>
        <v>0</v>
      </c>
      <c r="AL212" s="100" t="s">
        <v>42</v>
      </c>
      <c r="AM212" s="100" t="s">
        <v>1625</v>
      </c>
      <c r="AN212" s="105">
        <v>43123</v>
      </c>
      <c r="AO212" s="105"/>
      <c r="AP212" s="102">
        <v>1</v>
      </c>
      <c r="AQ212" s="162">
        <f t="shared" ca="1" si="61"/>
        <v>0</v>
      </c>
      <c r="AR212" s="162" t="s">
        <v>42</v>
      </c>
      <c r="AS212" s="100" t="s">
        <v>1807</v>
      </c>
      <c r="AT212" s="101">
        <v>5</v>
      </c>
      <c r="AU212" s="100" t="s">
        <v>41</v>
      </c>
      <c r="AV212" s="113">
        <v>43132</v>
      </c>
      <c r="AW212" s="103"/>
      <c r="AX212" s="103"/>
      <c r="AY212" s="103"/>
      <c r="AZ212" s="103"/>
      <c r="BA212" s="103"/>
      <c r="BB212" s="103"/>
      <c r="BC212" s="103"/>
      <c r="BD212" s="100" t="str">
        <f t="shared" si="54"/>
        <v/>
      </c>
      <c r="BE212" s="100" t="str">
        <f t="shared" si="55"/>
        <v/>
      </c>
      <c r="BF212" s="100" t="str">
        <f t="shared" si="56"/>
        <v/>
      </c>
      <c r="BG212" s="100" t="str">
        <f t="shared" si="57"/>
        <v/>
      </c>
      <c r="BH212" s="100" t="str">
        <f t="shared" si="58"/>
        <v/>
      </c>
      <c r="BI212" s="103"/>
    </row>
    <row r="213" spans="1:61" s="95" customFormat="1" ht="75">
      <c r="A213" s="101">
        <v>20162395005</v>
      </c>
      <c r="B213" s="19" t="str">
        <f>VLOOKUP(A213,'ESTADOS ESTUDIANTES'!B:L,2,0)</f>
        <v>GIRALDO PEREZ RUBINEL</v>
      </c>
      <c r="C213" s="102">
        <f>VLOOKUP(A213,'ESTADOS ESTUDIANTES'!B:L,11,0)</f>
        <v>79540779</v>
      </c>
      <c r="D213" s="23">
        <f>VLOOKUP(A213,'ESTADOS ESTUDIANTES'!B:L,3,0)</f>
        <v>395</v>
      </c>
      <c r="E213" s="102" t="str">
        <f>VLOOKUP(A213,'ESTADOS ESTUDIANTES'!B:L,8,0)</f>
        <v>rgiraldop@correo.udistrital.edu.co</v>
      </c>
      <c r="F213" s="102" t="str">
        <f>VLOOKUP(A213,'ESTADOS ESTUDIANTES'!B:L,9,0)</f>
        <v>rubinelgiraldo@itga.com.co</v>
      </c>
      <c r="G213" s="19" t="str">
        <f>VLOOKUP(A213,'ESTADOS ESTUDIANTES'!B:L,5,0)</f>
        <v>X</v>
      </c>
      <c r="H213" s="100" t="s">
        <v>46</v>
      </c>
      <c r="I213" s="100" t="s">
        <v>1808</v>
      </c>
      <c r="J213" s="100" t="s">
        <v>292</v>
      </c>
      <c r="K213" s="103"/>
      <c r="L213" s="105"/>
      <c r="M213" s="106"/>
      <c r="N213" s="105"/>
      <c r="O213" s="106"/>
      <c r="P213" s="107"/>
      <c r="Q213" s="100" t="s">
        <v>1809</v>
      </c>
      <c r="R213" s="105">
        <v>42719</v>
      </c>
      <c r="S213" s="102">
        <v>2016</v>
      </c>
      <c r="T213" s="100" t="s">
        <v>738</v>
      </c>
      <c r="U213" s="105">
        <v>42781</v>
      </c>
      <c r="V213" s="105">
        <v>42800</v>
      </c>
      <c r="W213" s="102">
        <v>1</v>
      </c>
      <c r="X213" s="91">
        <f t="shared" ca="1" si="59"/>
        <v>0</v>
      </c>
      <c r="Y213" s="100" t="s">
        <v>57</v>
      </c>
      <c r="Z213" s="100" t="s">
        <v>1429</v>
      </c>
      <c r="AA213" s="105">
        <v>42815</v>
      </c>
      <c r="AB213" s="105">
        <v>42930</v>
      </c>
      <c r="AC213" s="103"/>
      <c r="AD213" s="21">
        <f t="shared" ca="1" si="60"/>
        <v>0</v>
      </c>
      <c r="AE213" s="100" t="s">
        <v>43</v>
      </c>
      <c r="AF213" s="105"/>
      <c r="AG213" s="103"/>
      <c r="AH213" s="105"/>
      <c r="AI213" s="105"/>
      <c r="AJ213" s="103"/>
      <c r="AK213" s="23">
        <f t="shared" ca="1" si="62"/>
        <v>33055</v>
      </c>
      <c r="AL213" s="103"/>
      <c r="AM213" s="103"/>
      <c r="AN213" s="105"/>
      <c r="AO213" s="105"/>
      <c r="AP213" s="103"/>
      <c r="AQ213" s="163">
        <f t="shared" ca="1" si="61"/>
        <v>33055</v>
      </c>
      <c r="AR213" s="163"/>
      <c r="AS213" s="101"/>
      <c r="AT213" s="101"/>
      <c r="AU213" s="103"/>
      <c r="AV213" s="103"/>
      <c r="AW213" s="103"/>
      <c r="AX213" s="103"/>
      <c r="AY213" s="103"/>
      <c r="AZ213" s="103"/>
      <c r="BA213" s="103"/>
      <c r="BB213" s="103"/>
      <c r="BC213" s="103"/>
      <c r="BD213" s="100" t="str">
        <f t="shared" si="54"/>
        <v/>
      </c>
      <c r="BE213" s="100" t="str">
        <f t="shared" si="55"/>
        <v/>
      </c>
      <c r="BF213" s="100" t="str">
        <f t="shared" si="56"/>
        <v/>
      </c>
      <c r="BG213" s="100" t="str">
        <f t="shared" si="57"/>
        <v/>
      </c>
      <c r="BH213" s="100" t="str">
        <f t="shared" si="58"/>
        <v/>
      </c>
      <c r="BI213" s="103"/>
    </row>
    <row r="214" spans="1:61" s="222" customFormat="1" ht="45">
      <c r="A214" s="101">
        <v>20162395006</v>
      </c>
      <c r="B214" s="19" t="str">
        <f>VLOOKUP(A214,'ESTADOS ESTUDIANTES'!B:L,2,0)</f>
        <v>GUTIERREZ GUERRERO HELBER LEONARDO</v>
      </c>
      <c r="C214" s="102">
        <f>VLOOKUP(A214,'ESTADOS ESTUDIANTES'!B:L,11,0)</f>
        <v>1121838201</v>
      </c>
      <c r="D214" s="23">
        <f>VLOOKUP(A214,'ESTADOS ESTUDIANTES'!B:L,3,0)</f>
        <v>395</v>
      </c>
      <c r="E214" s="102" t="str">
        <f>VLOOKUP(A214,'ESTADOS ESTUDIANTES'!B:L,8,0)</f>
        <v>hlgutierrezg@udistrital.edu.co</v>
      </c>
      <c r="F214" s="102" t="str">
        <f>VLOOKUP(A214,'ESTADOS ESTUDIANTES'!B:L,9,0)</f>
        <v>leonardoh12@gmail.com</v>
      </c>
      <c r="G214" s="19" t="str">
        <f>VLOOKUP(A214,'ESTADOS ESTUDIANTES'!B:L,5,0)</f>
        <v>E</v>
      </c>
      <c r="H214" s="100" t="s">
        <v>60</v>
      </c>
      <c r="I214" s="100" t="s">
        <v>1810</v>
      </c>
      <c r="J214" s="104"/>
      <c r="K214" s="103"/>
      <c r="L214" s="105"/>
      <c r="M214" s="106"/>
      <c r="N214" s="105">
        <v>43964</v>
      </c>
      <c r="O214" s="106">
        <v>86.09</v>
      </c>
      <c r="P214" s="112" t="s">
        <v>79</v>
      </c>
      <c r="Q214" s="100" t="s">
        <v>1811</v>
      </c>
      <c r="R214" s="105">
        <v>43046</v>
      </c>
      <c r="S214" s="102">
        <v>2017</v>
      </c>
      <c r="T214" s="100" t="s">
        <v>1812</v>
      </c>
      <c r="U214" s="105">
        <v>43133</v>
      </c>
      <c r="V214" s="105">
        <v>43171</v>
      </c>
      <c r="W214" s="102">
        <v>1</v>
      </c>
      <c r="X214" s="91">
        <f t="shared" ca="1" si="59"/>
        <v>0</v>
      </c>
      <c r="Y214" s="100" t="s">
        <v>43</v>
      </c>
      <c r="Z214" s="100" t="s">
        <v>1427</v>
      </c>
      <c r="AA214" s="105">
        <v>43243</v>
      </c>
      <c r="AB214" s="105">
        <v>43248</v>
      </c>
      <c r="AC214" s="103"/>
      <c r="AD214" s="21">
        <f t="shared" ca="1" si="60"/>
        <v>0</v>
      </c>
      <c r="AE214" s="100" t="s">
        <v>43</v>
      </c>
      <c r="AF214" s="105">
        <v>44008</v>
      </c>
      <c r="AG214" s="100" t="s">
        <v>1144</v>
      </c>
      <c r="AH214" s="105">
        <v>44015</v>
      </c>
      <c r="AI214" s="105">
        <v>44046</v>
      </c>
      <c r="AJ214" s="103"/>
      <c r="AK214" s="23">
        <f t="shared" ca="1" si="62"/>
        <v>0</v>
      </c>
      <c r="AL214" s="100" t="s">
        <v>42</v>
      </c>
      <c r="AM214" s="100" t="s">
        <v>755</v>
      </c>
      <c r="AN214" s="105">
        <v>44358</v>
      </c>
      <c r="AO214" s="100" t="s">
        <v>1813</v>
      </c>
      <c r="AP214" s="100" t="s">
        <v>1814</v>
      </c>
      <c r="AQ214" s="161">
        <f t="shared" ca="1" si="61"/>
        <v>0</v>
      </c>
      <c r="AR214" s="162" t="s">
        <v>42</v>
      </c>
      <c r="AS214" s="154">
        <v>44531</v>
      </c>
      <c r="AT214" s="116">
        <v>44624</v>
      </c>
      <c r="AU214" s="100" t="s">
        <v>41</v>
      </c>
      <c r="AV214" s="117">
        <v>44427</v>
      </c>
      <c r="AW214" s="103"/>
      <c r="AX214" s="103"/>
      <c r="AY214" s="100" t="s">
        <v>1815</v>
      </c>
      <c r="AZ214" s="102">
        <v>44375</v>
      </c>
      <c r="BA214" s="102"/>
      <c r="BB214" s="100" t="s">
        <v>1816</v>
      </c>
      <c r="BC214" s="100" t="s">
        <v>240</v>
      </c>
      <c r="BD214" s="100" t="str">
        <f t="shared" si="54"/>
        <v/>
      </c>
      <c r="BE214" s="100" t="str">
        <f t="shared" si="55"/>
        <v/>
      </c>
      <c r="BF214" s="100" t="str">
        <f t="shared" si="56"/>
        <v/>
      </c>
      <c r="BG214" s="100" t="str">
        <f t="shared" si="57"/>
        <v/>
      </c>
      <c r="BH214" s="100" t="str">
        <f t="shared" si="58"/>
        <v/>
      </c>
      <c r="BI214" s="103"/>
    </row>
    <row r="215" spans="1:61" s="95" customFormat="1" ht="60">
      <c r="A215" s="21">
        <v>20162395007</v>
      </c>
      <c r="B215" s="19" t="str">
        <f>VLOOKUP(A215,'ESTADOS ESTUDIANTES'!B:L,2,0)</f>
        <v>LUNA AREVALO FABIO NICOLAS</v>
      </c>
      <c r="C215" s="19">
        <f>VLOOKUP(A215,'ESTADOS ESTUDIANTES'!B:L,11,0)</f>
        <v>1026258763</v>
      </c>
      <c r="D215" s="23">
        <f>VLOOKUP(A215,'ESTADOS ESTUDIANTES'!B:L,3,0)</f>
        <v>395</v>
      </c>
      <c r="E215" s="19">
        <f>VLOOKUP(A215,'ESTADOS ESTUDIANTES'!B:L,8,0)</f>
        <v>0</v>
      </c>
      <c r="F215" s="19" t="str">
        <f>VLOOKUP(A215,'ESTADOS ESTUDIANTES'!B:L,9,0)</f>
        <v>nicolaslunageo2@gmail.com</v>
      </c>
      <c r="G215" s="19" t="str">
        <f>VLOOKUP(A215,'ESTADOS ESTUDIANTES'!B:L,5,0)</f>
        <v>E</v>
      </c>
      <c r="H215" s="18" t="s">
        <v>60</v>
      </c>
      <c r="I215" s="18" t="s">
        <v>1817</v>
      </c>
      <c r="J215" s="18" t="s">
        <v>270</v>
      </c>
      <c r="K215" s="23"/>
      <c r="L215" s="96"/>
      <c r="M215" s="97"/>
      <c r="N215" s="96">
        <v>44701</v>
      </c>
      <c r="O215" s="97">
        <v>126</v>
      </c>
      <c r="P215" s="98" t="s">
        <v>79</v>
      </c>
      <c r="Q215" s="18" t="s">
        <v>1818</v>
      </c>
      <c r="R215" s="96">
        <v>42768</v>
      </c>
      <c r="S215" s="21">
        <f>YEAR(R215)</f>
        <v>2017</v>
      </c>
      <c r="T215" s="18" t="s">
        <v>988</v>
      </c>
      <c r="U215" s="18" t="s">
        <v>1819</v>
      </c>
      <c r="V215" s="96">
        <v>42815</v>
      </c>
      <c r="W215" s="19">
        <v>1</v>
      </c>
      <c r="X215" s="91">
        <f t="shared" ca="1" si="59"/>
        <v>0</v>
      </c>
      <c r="Y215" s="18" t="s">
        <v>43</v>
      </c>
      <c r="Z215" s="18" t="s">
        <v>1443</v>
      </c>
      <c r="AA215" s="18" t="s">
        <v>1819</v>
      </c>
      <c r="AB215" s="96">
        <v>42870</v>
      </c>
      <c r="AC215" s="23"/>
      <c r="AD215" s="21">
        <f t="shared" ca="1" si="60"/>
        <v>0</v>
      </c>
      <c r="AE215" s="18" t="s">
        <v>43</v>
      </c>
      <c r="AF215" s="96"/>
      <c r="AG215" s="18" t="s">
        <v>988</v>
      </c>
      <c r="AH215" s="96">
        <v>44659</v>
      </c>
      <c r="AI215" s="96">
        <v>44670</v>
      </c>
      <c r="AJ215" s="23"/>
      <c r="AK215" s="23">
        <f t="shared" ca="1" si="62"/>
        <v>0</v>
      </c>
      <c r="AL215" s="18" t="s">
        <v>42</v>
      </c>
      <c r="AM215" s="18" t="s">
        <v>348</v>
      </c>
      <c r="AN215" s="96">
        <v>44659</v>
      </c>
      <c r="AO215" s="96">
        <v>44673</v>
      </c>
      <c r="AP215" s="23"/>
      <c r="AQ215" s="161">
        <f t="shared" ca="1" si="61"/>
        <v>0</v>
      </c>
      <c r="AR215" s="164" t="s">
        <v>42</v>
      </c>
      <c r="AS215" s="18"/>
      <c r="AT215" s="21">
        <v>50</v>
      </c>
      <c r="AU215" s="18" t="s">
        <v>41</v>
      </c>
      <c r="AV215" s="120">
        <v>44679</v>
      </c>
      <c r="AW215" s="23"/>
      <c r="AX215" s="23"/>
      <c r="AY215" s="18" t="s">
        <v>1820</v>
      </c>
      <c r="AZ215" s="19">
        <v>44172</v>
      </c>
      <c r="BA215" s="19"/>
      <c r="BB215" s="18" t="s">
        <v>51</v>
      </c>
      <c r="BC215" s="23"/>
      <c r="BD215" s="100" t="str">
        <f t="shared" si="54"/>
        <v/>
      </c>
      <c r="BE215" s="100" t="str">
        <f t="shared" si="55"/>
        <v/>
      </c>
      <c r="BF215" s="100" t="str">
        <f t="shared" si="56"/>
        <v/>
      </c>
      <c r="BG215" s="100" t="str">
        <f t="shared" si="57"/>
        <v/>
      </c>
      <c r="BH215" s="100" t="str">
        <f t="shared" si="58"/>
        <v/>
      </c>
      <c r="BI215" s="23"/>
    </row>
    <row r="216" spans="1:61" s="95" customFormat="1">
      <c r="A216" s="101">
        <v>20162395008</v>
      </c>
      <c r="B216" s="19" t="str">
        <f>VLOOKUP(A216,'ESTADOS ESTUDIANTES'!B:L,2,0)</f>
        <v>MELO ACOSTA FREDY</v>
      </c>
      <c r="C216" s="102">
        <f>VLOOKUP(A216,'ESTADOS ESTUDIANTES'!B:L,11,0)</f>
        <v>72125171</v>
      </c>
      <c r="D216" s="23">
        <f>VLOOKUP(A216,'ESTADOS ESTUDIANTES'!B:L,3,0)</f>
        <v>395</v>
      </c>
      <c r="E216" s="102">
        <f>VLOOKUP(A216,'ESTADOS ESTUDIANTES'!B:L,8,0)</f>
        <v>0</v>
      </c>
      <c r="F216" s="102" t="str">
        <f>VLOOKUP(A216,'ESTADOS ESTUDIANTES'!B:L,9,0)</f>
        <v>f_melo_acosta@hotmail.com</v>
      </c>
      <c r="G216" s="19" t="str">
        <f>VLOOKUP(A216,'ESTADOS ESTUDIANTES'!B:L,5,0)</f>
        <v>X</v>
      </c>
      <c r="H216" s="103"/>
      <c r="I216" s="103"/>
      <c r="J216" s="103"/>
      <c r="K216" s="103"/>
      <c r="L216" s="105"/>
      <c r="M216" s="106"/>
      <c r="N216" s="105"/>
      <c r="O216" s="106"/>
      <c r="P216" s="107"/>
      <c r="Q216" s="100"/>
      <c r="R216" s="105"/>
      <c r="S216" s="103"/>
      <c r="T216" s="103"/>
      <c r="U216" s="105"/>
      <c r="V216" s="105"/>
      <c r="W216" s="103"/>
      <c r="X216" s="91">
        <f t="shared" ca="1" si="59"/>
        <v>33055</v>
      </c>
      <c r="Y216" s="99"/>
      <c r="Z216" s="103"/>
      <c r="AA216" s="105"/>
      <c r="AB216" s="105"/>
      <c r="AC216" s="103"/>
      <c r="AD216" s="21" t="e">
        <f t="shared" ca="1" si="60"/>
        <v>#VALUE!</v>
      </c>
      <c r="AE216" s="114" t="s">
        <v>57</v>
      </c>
      <c r="AF216" s="105"/>
      <c r="AG216" s="103"/>
      <c r="AH216" s="105"/>
      <c r="AI216" s="105"/>
      <c r="AJ216" s="103"/>
      <c r="AK216" s="23">
        <f t="shared" ca="1" si="62"/>
        <v>33055</v>
      </c>
      <c r="AL216" s="103"/>
      <c r="AM216" s="103"/>
      <c r="AN216" s="105"/>
      <c r="AO216" s="105"/>
      <c r="AP216" s="103"/>
      <c r="AQ216" s="163">
        <f t="shared" ca="1" si="61"/>
        <v>33055</v>
      </c>
      <c r="AR216" s="163"/>
      <c r="AS216" s="101"/>
      <c r="AT216" s="101"/>
      <c r="AU216" s="103"/>
      <c r="AV216" s="103"/>
      <c r="AW216" s="103"/>
      <c r="AX216" s="103"/>
      <c r="AY216" s="103"/>
      <c r="AZ216" s="103"/>
      <c r="BA216" s="103"/>
      <c r="BB216" s="103"/>
      <c r="BC216" s="103"/>
      <c r="BD216" s="100" t="str">
        <f t="shared" si="54"/>
        <v/>
      </c>
      <c r="BE216" s="100" t="str">
        <f t="shared" si="55"/>
        <v/>
      </c>
      <c r="BF216" s="100" t="str">
        <f t="shared" si="56"/>
        <v/>
      </c>
      <c r="BG216" s="100" t="str">
        <f t="shared" si="57"/>
        <v/>
      </c>
      <c r="BH216" s="100" t="str">
        <f t="shared" si="58"/>
        <v/>
      </c>
      <c r="BI216" s="103"/>
    </row>
    <row r="217" spans="1:61" s="95" customFormat="1" ht="30">
      <c r="A217" s="101">
        <v>20162395010</v>
      </c>
      <c r="B217" s="19" t="str">
        <f>VLOOKUP(A217,'ESTADOS ESTUDIANTES'!B:L,2,0)</f>
        <v>RODRIGUEZ LAMUS DIEGO FERNANDO</v>
      </c>
      <c r="C217" s="102">
        <f>VLOOKUP(A217,'ESTADOS ESTUDIANTES'!B:L,11,0)</f>
        <v>1018469957</v>
      </c>
      <c r="D217" s="23">
        <f>VLOOKUP(A217,'ESTADOS ESTUDIANTES'!B:L,3,0)</f>
        <v>395</v>
      </c>
      <c r="E217" s="102">
        <f>VLOOKUP(A217,'ESTADOS ESTUDIANTES'!B:L,8,0)</f>
        <v>0</v>
      </c>
      <c r="F217" s="102" t="str">
        <f>VLOOKUP(A217,'ESTADOS ESTUDIANTES'!B:L,9,0)</f>
        <v>dfrofriguezlf94@gmail.com</v>
      </c>
      <c r="G217" s="19" t="str">
        <f>VLOOKUP(A217,'ESTADOS ESTUDIANTES'!B:L,5,0)</f>
        <v>N</v>
      </c>
      <c r="H217" s="100" t="s">
        <v>60</v>
      </c>
      <c r="I217" s="100" t="s">
        <v>1802</v>
      </c>
      <c r="J217" s="100" t="s">
        <v>312</v>
      </c>
      <c r="K217" s="103"/>
      <c r="L217" s="105"/>
      <c r="M217" s="106"/>
      <c r="N217" s="105"/>
      <c r="O217" s="106"/>
      <c r="P217" s="107"/>
      <c r="Q217" s="100"/>
      <c r="R217" s="105"/>
      <c r="S217" s="103"/>
      <c r="T217" s="103"/>
      <c r="U217" s="105"/>
      <c r="V217" s="105"/>
      <c r="W217" s="103"/>
      <c r="X217" s="91">
        <f t="shared" ca="1" si="59"/>
        <v>33055</v>
      </c>
      <c r="Y217" s="99"/>
      <c r="Z217" s="103"/>
      <c r="AA217" s="105"/>
      <c r="AB217" s="105"/>
      <c r="AC217" s="103"/>
      <c r="AD217" s="21">
        <f t="shared" ca="1" si="60"/>
        <v>33055</v>
      </c>
      <c r="AE217" s="99"/>
      <c r="AF217" s="105"/>
      <c r="AG217" s="103"/>
      <c r="AH217" s="105"/>
      <c r="AI217" s="105"/>
      <c r="AJ217" s="103"/>
      <c r="AK217" s="23">
        <f t="shared" ca="1" si="62"/>
        <v>33055</v>
      </c>
      <c r="AL217" s="103"/>
      <c r="AM217" s="103"/>
      <c r="AN217" s="105"/>
      <c r="AO217" s="105"/>
      <c r="AP217" s="103"/>
      <c r="AQ217" s="163">
        <f t="shared" ca="1" si="61"/>
        <v>33055</v>
      </c>
      <c r="AR217" s="163"/>
      <c r="AS217" s="100"/>
      <c r="AT217" s="101"/>
      <c r="AU217" s="103"/>
      <c r="AV217" s="103"/>
      <c r="AW217" s="103"/>
      <c r="AX217" s="103"/>
      <c r="AY217" s="103"/>
      <c r="AZ217" s="103"/>
      <c r="BA217" s="103"/>
      <c r="BB217" s="103"/>
      <c r="BC217" s="103"/>
      <c r="BD217" s="100" t="str">
        <f t="shared" si="54"/>
        <v/>
      </c>
      <c r="BE217" s="100" t="str">
        <f t="shared" si="55"/>
        <v/>
      </c>
      <c r="BF217" s="100" t="str">
        <f t="shared" si="56"/>
        <v/>
      </c>
      <c r="BG217" s="100" t="str">
        <f t="shared" si="57"/>
        <v/>
      </c>
      <c r="BH217" s="100" t="str">
        <f t="shared" si="58"/>
        <v/>
      </c>
      <c r="BI217" s="103"/>
    </row>
    <row r="218" spans="1:61" s="207" customFormat="1" ht="30">
      <c r="A218" s="21">
        <v>20162395011</v>
      </c>
      <c r="B218" s="19" t="str">
        <f>VLOOKUP(A218,'ESTADOS ESTUDIANTES'!B:L,2,0)</f>
        <v>SÁNCHEZ GAITÁN OSCAR</v>
      </c>
      <c r="C218" s="19">
        <f>VLOOKUP(A218,'ESTADOS ESTUDIANTES'!B:L,11,0)</f>
        <v>79394142</v>
      </c>
      <c r="D218" s="23">
        <f>VLOOKUP(A218,'ESTADOS ESTUDIANTES'!B:L,3,0)</f>
        <v>395</v>
      </c>
      <c r="E218" s="19" t="str">
        <f>VLOOKUP(A218,'ESTADOS ESTUDIANTES'!B:L,8,0)</f>
        <v>osanchezg@correo.udistrital.edu.co</v>
      </c>
      <c r="F218" s="19" t="str">
        <f>VLOOKUP(A218,'ESTADOS ESTUDIANTES'!B:L,9,0)</f>
        <v>osaga40@gmail.com</v>
      </c>
      <c r="G218" s="19" t="str">
        <f>VLOOKUP(A218,'ESTADOS ESTUDIANTES'!B:L,5,0)</f>
        <v>X</v>
      </c>
      <c r="H218" s="18" t="s">
        <v>60</v>
      </c>
      <c r="I218" s="18" t="s">
        <v>1821</v>
      </c>
      <c r="J218" s="18" t="s">
        <v>309</v>
      </c>
      <c r="K218" s="23"/>
      <c r="L218" s="96"/>
      <c r="M218" s="97"/>
      <c r="N218" s="96">
        <v>44510</v>
      </c>
      <c r="O218" s="97">
        <v>143</v>
      </c>
      <c r="P218" s="98" t="s">
        <v>79</v>
      </c>
      <c r="Q218" s="18" t="s">
        <v>1822</v>
      </c>
      <c r="R218" s="96">
        <v>43056</v>
      </c>
      <c r="S218" s="19">
        <f>YEAR(R218)</f>
        <v>2017</v>
      </c>
      <c r="T218" s="18" t="s">
        <v>270</v>
      </c>
      <c r="U218" s="96">
        <v>43073</v>
      </c>
      <c r="V218" s="96">
        <v>43087</v>
      </c>
      <c r="W218" s="23"/>
      <c r="X218" s="91">
        <f t="shared" ca="1" si="59"/>
        <v>0</v>
      </c>
      <c r="Y218" s="114" t="s">
        <v>56</v>
      </c>
      <c r="Z218" s="18" t="s">
        <v>1427</v>
      </c>
      <c r="AA218" s="96">
        <v>43069</v>
      </c>
      <c r="AB218" s="96">
        <v>43083</v>
      </c>
      <c r="AC218" s="23"/>
      <c r="AD218" s="21">
        <f t="shared" ca="1" si="60"/>
        <v>0</v>
      </c>
      <c r="AE218" s="114" t="s">
        <v>1707</v>
      </c>
      <c r="AF218" s="96"/>
      <c r="AG218" s="23"/>
      <c r="AH218" s="96"/>
      <c r="AI218" s="96"/>
      <c r="AJ218" s="23"/>
      <c r="AK218" s="23">
        <f t="shared" ca="1" si="62"/>
        <v>33055</v>
      </c>
      <c r="AL218" s="23"/>
      <c r="AM218" s="23"/>
      <c r="AN218" s="96"/>
      <c r="AO218" s="96"/>
      <c r="AP218" s="23"/>
      <c r="AQ218" s="164">
        <f t="shared" ca="1" si="61"/>
        <v>33055</v>
      </c>
      <c r="AR218" s="161"/>
      <c r="AS218" s="18"/>
      <c r="AT218" s="21"/>
      <c r="AU218" s="23"/>
      <c r="AV218" s="23"/>
      <c r="AW218" s="23"/>
      <c r="AX218" s="23"/>
      <c r="AY218" s="23"/>
      <c r="AZ218" s="23"/>
      <c r="BA218" s="23"/>
      <c r="BB218" s="23"/>
      <c r="BC218" s="23"/>
      <c r="BD218" s="100" t="str">
        <f t="shared" si="54"/>
        <v/>
      </c>
      <c r="BE218" s="100" t="str">
        <f t="shared" si="55"/>
        <v/>
      </c>
      <c r="BF218" s="100" t="str">
        <f t="shared" si="56"/>
        <v/>
      </c>
      <c r="BG218" s="100" t="str">
        <f t="shared" si="57"/>
        <v/>
      </c>
      <c r="BH218" s="100" t="str">
        <f t="shared" si="58"/>
        <v/>
      </c>
      <c r="BI218" s="23"/>
    </row>
    <row r="219" spans="1:61" s="95" customFormat="1" ht="90">
      <c r="A219" s="21">
        <v>20162395012</v>
      </c>
      <c r="B219" s="19" t="str">
        <f>VLOOKUP(A219,'ESTADOS ESTUDIANTES'!B:L,2,0)</f>
        <v>ZARATE AREVALO HERNAN DARIO</v>
      </c>
      <c r="C219" s="19">
        <f>VLOOKUP(A219,'ESTADOS ESTUDIANTES'!B:L,11,0)</f>
        <v>79992153</v>
      </c>
      <c r="D219" s="23">
        <f>VLOOKUP(A219,'ESTADOS ESTUDIANTES'!B:L,3,0)</f>
        <v>395</v>
      </c>
      <c r="E219" s="19" t="str">
        <f>VLOOKUP(A219,'ESTADOS ESTUDIANTES'!B:L,8,0)</f>
        <v>hdzaratea@correo.udistrital.edu.co</v>
      </c>
      <c r="F219" s="19" t="str">
        <f>VLOOKUP(A219,'ESTADOS ESTUDIANTES'!B:L,9,0)</f>
        <v>hzaratepot2013@gmail.com</v>
      </c>
      <c r="G219" s="19" t="str">
        <f>VLOOKUP(A219,'ESTADOS ESTUDIANTES'!B:L,5,0)</f>
        <v>E</v>
      </c>
      <c r="H219" s="18" t="s">
        <v>60</v>
      </c>
      <c r="I219" s="18" t="s">
        <v>1823</v>
      </c>
      <c r="J219" s="125" t="s">
        <v>550</v>
      </c>
      <c r="K219" s="23"/>
      <c r="L219" s="96"/>
      <c r="M219" s="97"/>
      <c r="N219" s="96">
        <v>44097</v>
      </c>
      <c r="O219" s="97">
        <v>55.65</v>
      </c>
      <c r="P219" s="98" t="s">
        <v>87</v>
      </c>
      <c r="Q219" s="18" t="s">
        <v>1795</v>
      </c>
      <c r="R219" s="96">
        <v>42951</v>
      </c>
      <c r="S219" s="21">
        <f>YEAR(R219)</f>
        <v>2017</v>
      </c>
      <c r="T219" s="18" t="s">
        <v>755</v>
      </c>
      <c r="U219" s="18" t="s">
        <v>1824</v>
      </c>
      <c r="V219" s="96">
        <v>43243</v>
      </c>
      <c r="W219" s="18" t="s">
        <v>1825</v>
      </c>
      <c r="X219" s="91">
        <f t="shared" ca="1" si="59"/>
        <v>0</v>
      </c>
      <c r="Y219" s="18" t="s">
        <v>43</v>
      </c>
      <c r="Z219" s="18" t="s">
        <v>356</v>
      </c>
      <c r="AA219" s="96">
        <v>42768</v>
      </c>
      <c r="AB219" s="96">
        <v>42784</v>
      </c>
      <c r="AC219" s="23"/>
      <c r="AD219" s="21">
        <f t="shared" ca="1" si="60"/>
        <v>0</v>
      </c>
      <c r="AE219" s="18" t="s">
        <v>43</v>
      </c>
      <c r="AF219" s="96"/>
      <c r="AG219" s="18" t="s">
        <v>356</v>
      </c>
      <c r="AH219" s="96">
        <v>44386</v>
      </c>
      <c r="AI219" s="96">
        <v>44445</v>
      </c>
      <c r="AJ219" s="18" t="s">
        <v>1826</v>
      </c>
      <c r="AK219" s="23">
        <f t="shared" ca="1" si="62"/>
        <v>0</v>
      </c>
      <c r="AL219" s="18" t="s">
        <v>42</v>
      </c>
      <c r="AM219" s="18" t="s">
        <v>1827</v>
      </c>
      <c r="AN219" s="96">
        <v>44386</v>
      </c>
      <c r="AO219" s="96">
        <v>44398</v>
      </c>
      <c r="AP219" s="18" t="s">
        <v>1828</v>
      </c>
      <c r="AQ219" s="163">
        <f t="shared" ca="1" si="61"/>
        <v>0</v>
      </c>
      <c r="AR219" s="164" t="s">
        <v>42</v>
      </c>
      <c r="AS219" s="18" t="s">
        <v>1829</v>
      </c>
      <c r="AT219" s="21">
        <v>48</v>
      </c>
      <c r="AU219" s="18" t="s">
        <v>41</v>
      </c>
      <c r="AV219" s="124">
        <v>44459</v>
      </c>
      <c r="AW219" s="23"/>
      <c r="AX219" s="23"/>
      <c r="AY219" s="18" t="s">
        <v>522</v>
      </c>
      <c r="AZ219" s="124">
        <v>44545</v>
      </c>
      <c r="BA219" s="124"/>
      <c r="BB219" s="18" t="s">
        <v>51</v>
      </c>
      <c r="BC219" s="18" t="s">
        <v>240</v>
      </c>
      <c r="BD219" s="100" t="str">
        <f t="shared" si="54"/>
        <v/>
      </c>
      <c r="BE219" s="100" t="str">
        <f t="shared" si="55"/>
        <v/>
      </c>
      <c r="BF219" s="100" t="str">
        <f t="shared" si="56"/>
        <v/>
      </c>
      <c r="BG219" s="100" t="str">
        <f t="shared" si="57"/>
        <v/>
      </c>
      <c r="BH219" s="100" t="str">
        <f t="shared" si="58"/>
        <v/>
      </c>
      <c r="BI219" s="23"/>
    </row>
    <row r="220" spans="1:61" s="95" customFormat="1" ht="30">
      <c r="A220" s="101">
        <v>20162495002</v>
      </c>
      <c r="B220" s="19" t="str">
        <f>VLOOKUP(A220,'ESTADOS ESTUDIANTES'!B:L,2,0)</f>
        <v>CALDERON GUERRERO FABER ALEXANDER</v>
      </c>
      <c r="C220" s="103">
        <f>VLOOKUP(A220,'ESTADOS ESTUDIANTES'!B:L,11,0)</f>
        <v>80137363</v>
      </c>
      <c r="D220" s="23">
        <f>VLOOKUP(A220,'ESTADOS ESTUDIANTES'!B:L,3,0)</f>
        <v>495</v>
      </c>
      <c r="E220" s="102">
        <f>VLOOKUP(A220,'ESTADOS ESTUDIANTES'!B:L,8,0)</f>
        <v>0</v>
      </c>
      <c r="F220" s="102" t="str">
        <f>VLOOKUP(A220,'ESTADOS ESTUDIANTES'!B:L,9,0)</f>
        <v>facalderong@outlook.com</v>
      </c>
      <c r="G220" s="19" t="str">
        <f>VLOOKUP(A220,'ESTADOS ESTUDIANTES'!B:L,5,0)</f>
        <v>X</v>
      </c>
      <c r="H220" s="103"/>
      <c r="I220" s="103"/>
      <c r="J220" s="103"/>
      <c r="K220" s="103"/>
      <c r="L220" s="105"/>
      <c r="M220" s="106"/>
      <c r="N220" s="105"/>
      <c r="O220" s="106"/>
      <c r="P220" s="107"/>
      <c r="Q220" s="100"/>
      <c r="R220" s="105"/>
      <c r="S220" s="103"/>
      <c r="T220" s="103"/>
      <c r="U220" s="105"/>
      <c r="V220" s="105"/>
      <c r="W220" s="103"/>
      <c r="X220" s="91">
        <f t="shared" ca="1" si="59"/>
        <v>33055</v>
      </c>
      <c r="Y220" s="99"/>
      <c r="Z220" s="103"/>
      <c r="AA220" s="105"/>
      <c r="AB220" s="105"/>
      <c r="AC220" s="103"/>
      <c r="AD220" s="21">
        <f t="shared" ca="1" si="60"/>
        <v>33055</v>
      </c>
      <c r="AE220" s="99"/>
      <c r="AF220" s="105"/>
      <c r="AG220" s="103"/>
      <c r="AH220" s="105"/>
      <c r="AI220" s="105"/>
      <c r="AJ220" s="103"/>
      <c r="AK220" s="23">
        <f t="shared" ca="1" si="62"/>
        <v>33055</v>
      </c>
      <c r="AL220" s="103"/>
      <c r="AM220" s="103"/>
      <c r="AN220" s="105"/>
      <c r="AO220" s="105"/>
      <c r="AP220" s="103"/>
      <c r="AQ220" s="163">
        <f t="shared" ca="1" si="61"/>
        <v>33055</v>
      </c>
      <c r="AR220" s="163"/>
      <c r="AS220" s="101"/>
      <c r="AT220" s="101"/>
      <c r="AU220" s="103"/>
      <c r="AV220" s="103"/>
      <c r="AW220" s="103"/>
      <c r="AX220" s="103"/>
      <c r="AY220" s="103"/>
      <c r="AZ220" s="103"/>
      <c r="BA220" s="103"/>
      <c r="BB220" s="103"/>
      <c r="BC220" s="103"/>
      <c r="BD220" s="100" t="str">
        <f t="shared" si="54"/>
        <v/>
      </c>
      <c r="BE220" s="100" t="str">
        <f t="shared" si="55"/>
        <v/>
      </c>
      <c r="BF220" s="100" t="str">
        <f t="shared" si="56"/>
        <v/>
      </c>
      <c r="BG220" s="100" t="str">
        <f t="shared" si="57"/>
        <v/>
      </c>
      <c r="BH220" s="100" t="str">
        <f t="shared" si="58"/>
        <v/>
      </c>
      <c r="BI220" s="103"/>
    </row>
    <row r="221" spans="1:61" s="95" customFormat="1" ht="30">
      <c r="A221" s="101">
        <v>20162495003</v>
      </c>
      <c r="B221" s="19" t="str">
        <f>VLOOKUP(A221,'ESTADOS ESTUDIANTES'!B:L,2,0)</f>
        <v>CANASTO QUECANO GIOVANNY ANDRÉS</v>
      </c>
      <c r="C221" s="103">
        <f>VLOOKUP(A221,'ESTADOS ESTUDIANTES'!B:L,11,0)</f>
        <v>80544412</v>
      </c>
      <c r="D221" s="23">
        <f>VLOOKUP(A221,'ESTADOS ESTUDIANTES'!B:L,3,0)</f>
        <v>495</v>
      </c>
      <c r="E221" s="102" t="str">
        <f>VLOOKUP(A221,'ESTADOS ESTUDIANTES'!B:L,8,0)</f>
        <v>gacanastoq@correo.udistrital.edu.co</v>
      </c>
      <c r="F221" s="102" t="str">
        <f>VLOOKUP(A221,'ESTADOS ESTUDIANTES'!B:L,9,0)</f>
        <v>giovanny.canasto@hotmail.com</v>
      </c>
      <c r="G221" s="19" t="str">
        <f>VLOOKUP(A221,'ESTADOS ESTUDIANTES'!B:L,5,0)</f>
        <v>X</v>
      </c>
      <c r="H221" s="100" t="s">
        <v>60</v>
      </c>
      <c r="I221" s="100" t="s">
        <v>1830</v>
      </c>
      <c r="J221" s="100" t="s">
        <v>1174</v>
      </c>
      <c r="K221" s="103"/>
      <c r="L221" s="105"/>
      <c r="M221" s="106"/>
      <c r="N221" s="105"/>
      <c r="O221" s="106"/>
      <c r="P221" s="107"/>
      <c r="Q221" s="100" t="s">
        <v>1807</v>
      </c>
      <c r="R221" s="105">
        <v>42786</v>
      </c>
      <c r="S221" s="102">
        <v>2017</v>
      </c>
      <c r="T221" s="100" t="s">
        <v>341</v>
      </c>
      <c r="U221" s="105">
        <v>42828</v>
      </c>
      <c r="V221" s="105">
        <v>42849</v>
      </c>
      <c r="W221" s="102">
        <v>1</v>
      </c>
      <c r="X221" s="91">
        <f t="shared" ca="1" si="59"/>
        <v>0</v>
      </c>
      <c r="Y221" s="100" t="s">
        <v>56</v>
      </c>
      <c r="Z221" s="100" t="s">
        <v>1518</v>
      </c>
      <c r="AA221" s="105">
        <v>42809</v>
      </c>
      <c r="AB221" s="105">
        <v>42872</v>
      </c>
      <c r="AC221" s="102">
        <v>1</v>
      </c>
      <c r="AD221" s="21">
        <f t="shared" ca="1" si="60"/>
        <v>0</v>
      </c>
      <c r="AE221" s="100" t="s">
        <v>56</v>
      </c>
      <c r="AF221" s="105"/>
      <c r="AG221" s="103"/>
      <c r="AH221" s="105"/>
      <c r="AI221" s="105"/>
      <c r="AJ221" s="103"/>
      <c r="AK221" s="23">
        <f t="shared" ca="1" si="62"/>
        <v>33055</v>
      </c>
      <c r="AL221" s="103"/>
      <c r="AM221" s="103"/>
      <c r="AN221" s="105"/>
      <c r="AO221" s="105"/>
      <c r="AP221" s="103"/>
      <c r="AQ221" s="162">
        <f t="shared" ca="1" si="61"/>
        <v>33055</v>
      </c>
      <c r="AR221" s="163"/>
      <c r="AS221" s="101"/>
      <c r="AT221" s="101"/>
      <c r="AU221" s="103"/>
      <c r="AV221" s="103"/>
      <c r="AW221" s="103"/>
      <c r="AX221" s="103"/>
      <c r="AY221" s="103"/>
      <c r="AZ221" s="103"/>
      <c r="BA221" s="103"/>
      <c r="BB221" s="103"/>
      <c r="BC221" s="103"/>
      <c r="BD221" s="100" t="str">
        <f t="shared" si="54"/>
        <v/>
      </c>
      <c r="BE221" s="100" t="str">
        <f t="shared" si="55"/>
        <v/>
      </c>
      <c r="BF221" s="100" t="str">
        <f t="shared" si="56"/>
        <v/>
      </c>
      <c r="BG221" s="100" t="str">
        <f t="shared" si="57"/>
        <v/>
      </c>
      <c r="BH221" s="100" t="str">
        <f t="shared" si="58"/>
        <v/>
      </c>
      <c r="BI221" s="103"/>
    </row>
    <row r="222" spans="1:61" s="95" customFormat="1" ht="105">
      <c r="A222" s="101">
        <v>20162495004</v>
      </c>
      <c r="B222" s="19" t="str">
        <f>VLOOKUP(A222,'ESTADOS ESTUDIANTES'!B:L,2,0)</f>
        <v>CASTRO MUNAR VERONICA</v>
      </c>
      <c r="C222" s="102">
        <f>VLOOKUP(A222,'ESTADOS ESTUDIANTES'!B:L,11,0)</f>
        <v>1012352548</v>
      </c>
      <c r="D222" s="23">
        <f>VLOOKUP(A222,'ESTADOS ESTUDIANTES'!B:L,3,0)</f>
        <v>495</v>
      </c>
      <c r="E222" s="102" t="str">
        <f>VLOOKUP(A222,'ESTADOS ESTUDIANTES'!B:L,8,0)</f>
        <v>vcastrom@udistrital.edu.co</v>
      </c>
      <c r="F222" s="102" t="str">
        <f>VLOOKUP(A222,'ESTADOS ESTUDIANTES'!B:L,9,0)</f>
        <v>vkasmunar@gmail.com</v>
      </c>
      <c r="G222" s="19" t="str">
        <f>VLOOKUP(A222,'ESTADOS ESTUDIANTES'!B:L,5,0)</f>
        <v>E</v>
      </c>
      <c r="H222" s="103"/>
      <c r="I222" s="100" t="s">
        <v>1831</v>
      </c>
      <c r="J222" s="104"/>
      <c r="K222" s="103"/>
      <c r="L222" s="105"/>
      <c r="M222" s="106"/>
      <c r="N222" s="105">
        <v>43964</v>
      </c>
      <c r="O222" s="106">
        <v>89.57</v>
      </c>
      <c r="P222" s="112" t="s">
        <v>79</v>
      </c>
      <c r="Q222" s="100" t="s">
        <v>1628</v>
      </c>
      <c r="R222" s="105">
        <v>42748</v>
      </c>
      <c r="S222" s="102">
        <v>2017</v>
      </c>
      <c r="T222" s="100" t="s">
        <v>1560</v>
      </c>
      <c r="U222" s="105">
        <v>43774</v>
      </c>
      <c r="V222" s="105">
        <v>43802</v>
      </c>
      <c r="W222" s="100" t="s">
        <v>1832</v>
      </c>
      <c r="X222" s="91">
        <f t="shared" ca="1" si="59"/>
        <v>0</v>
      </c>
      <c r="Y222" s="100" t="s">
        <v>43</v>
      </c>
      <c r="Z222" s="100" t="s">
        <v>1529</v>
      </c>
      <c r="AA222" s="105">
        <v>42863</v>
      </c>
      <c r="AB222" s="105">
        <v>42863</v>
      </c>
      <c r="AC222" s="102">
        <v>1</v>
      </c>
      <c r="AD222" s="21">
        <f t="shared" ca="1" si="60"/>
        <v>0</v>
      </c>
      <c r="AE222" s="100" t="s">
        <v>43</v>
      </c>
      <c r="AF222" s="105">
        <v>44092</v>
      </c>
      <c r="AG222" s="100" t="s">
        <v>1590</v>
      </c>
      <c r="AH222" s="105">
        <v>44095</v>
      </c>
      <c r="AI222" s="105">
        <v>44118</v>
      </c>
      <c r="AJ222" s="103"/>
      <c r="AK222" s="23">
        <f t="shared" ca="1" si="62"/>
        <v>0</v>
      </c>
      <c r="AL222" s="100" t="s">
        <v>42</v>
      </c>
      <c r="AM222" s="100" t="s">
        <v>1529</v>
      </c>
      <c r="AN222" s="105">
        <v>44095</v>
      </c>
      <c r="AO222" s="105">
        <v>44103</v>
      </c>
      <c r="AP222" s="103"/>
      <c r="AQ222" s="161">
        <f t="shared" ca="1" si="61"/>
        <v>0</v>
      </c>
      <c r="AR222" s="162" t="s">
        <v>42</v>
      </c>
      <c r="AS222" s="100" t="s">
        <v>529</v>
      </c>
      <c r="AT222" s="116">
        <v>44655</v>
      </c>
      <c r="AU222" s="100" t="s">
        <v>41</v>
      </c>
      <c r="AV222" s="117">
        <v>44140</v>
      </c>
      <c r="AW222" s="103"/>
      <c r="AX222" s="103"/>
      <c r="AY222" s="103"/>
      <c r="AZ222" s="103"/>
      <c r="BA222" s="103"/>
      <c r="BB222" s="103"/>
      <c r="BC222" s="103"/>
      <c r="BD222" s="100" t="str">
        <f t="shared" si="54"/>
        <v/>
      </c>
      <c r="BE222" s="100" t="str">
        <f t="shared" si="55"/>
        <v/>
      </c>
      <c r="BF222" s="100" t="str">
        <f t="shared" si="56"/>
        <v/>
      </c>
      <c r="BG222" s="100" t="str">
        <f t="shared" si="57"/>
        <v/>
      </c>
      <c r="BH222" s="100" t="str">
        <f t="shared" si="58"/>
        <v/>
      </c>
      <c r="BI222" s="103"/>
    </row>
    <row r="223" spans="1:61" s="95" customFormat="1" ht="30">
      <c r="A223" s="101">
        <v>20162495005</v>
      </c>
      <c r="B223" s="19" t="str">
        <f>VLOOKUP(A223,'ESTADOS ESTUDIANTES'!B:L,2,0)</f>
        <v>CÓRDOBA AGUILAR RHOSBEN ADHIER</v>
      </c>
      <c r="C223" s="102">
        <f>VLOOKUP(A223,'ESTADOS ESTUDIANTES'!B:L,11,0)</f>
        <v>12023405</v>
      </c>
      <c r="D223" s="23">
        <f>VLOOKUP(A223,'ESTADOS ESTUDIANTES'!B:L,3,0)</f>
        <v>495</v>
      </c>
      <c r="E223" s="102" t="str">
        <f>VLOOKUP(A223,'ESTADOS ESTUDIANTES'!B:L,8,0)</f>
        <v>racordobaa@correo.udistrital.edu.co</v>
      </c>
      <c r="F223" s="102" t="str">
        <f>VLOOKUP(A223,'ESTADOS ESTUDIANTES'!B:L,9,0)</f>
        <v>rosben2@gmail.com</v>
      </c>
      <c r="G223" s="19" t="str">
        <f>VLOOKUP(A223,'ESTADOS ESTUDIANTES'!B:L,5,0)</f>
        <v>N</v>
      </c>
      <c r="H223" s="103"/>
      <c r="I223" s="103"/>
      <c r="J223" s="103"/>
      <c r="K223" s="100" t="s">
        <v>271</v>
      </c>
      <c r="L223" s="105"/>
      <c r="M223" s="106"/>
      <c r="N223" s="105"/>
      <c r="O223" s="106"/>
      <c r="P223" s="107"/>
      <c r="Q223" s="100"/>
      <c r="R223" s="105"/>
      <c r="S223" s="103"/>
      <c r="T223" s="103"/>
      <c r="U223" s="105"/>
      <c r="V223" s="105"/>
      <c r="W223" s="103"/>
      <c r="X223" s="91">
        <f t="shared" ca="1" si="59"/>
        <v>33055</v>
      </c>
      <c r="Y223" s="99"/>
      <c r="Z223" s="103"/>
      <c r="AA223" s="105"/>
      <c r="AB223" s="105"/>
      <c r="AC223" s="103"/>
      <c r="AD223" s="21">
        <f t="shared" ca="1" si="60"/>
        <v>33055</v>
      </c>
      <c r="AE223" s="99"/>
      <c r="AF223" s="105"/>
      <c r="AG223" s="103"/>
      <c r="AH223" s="105"/>
      <c r="AI223" s="105"/>
      <c r="AJ223" s="103"/>
      <c r="AK223" s="23">
        <f t="shared" ca="1" si="62"/>
        <v>33055</v>
      </c>
      <c r="AL223" s="103"/>
      <c r="AM223" s="103"/>
      <c r="AN223" s="105"/>
      <c r="AO223" s="105"/>
      <c r="AP223" s="103"/>
      <c r="AQ223" s="163">
        <f t="shared" ca="1" si="61"/>
        <v>33055</v>
      </c>
      <c r="AR223" s="163"/>
      <c r="AS223" s="101"/>
      <c r="AT223" s="101"/>
      <c r="AU223" s="103"/>
      <c r="AV223" s="103"/>
      <c r="AW223" s="103"/>
      <c r="AX223" s="103"/>
      <c r="AY223" s="103"/>
      <c r="AZ223" s="103"/>
      <c r="BA223" s="103"/>
      <c r="BB223" s="103"/>
      <c r="BC223" s="103"/>
      <c r="BD223" s="100" t="str">
        <f t="shared" si="54"/>
        <v/>
      </c>
      <c r="BE223" s="100" t="str">
        <f t="shared" si="55"/>
        <v/>
      </c>
      <c r="BF223" s="100" t="str">
        <f t="shared" si="56"/>
        <v/>
      </c>
      <c r="BG223" s="100" t="str">
        <f t="shared" si="57"/>
        <v/>
      </c>
      <c r="BH223" s="100" t="str">
        <f t="shared" si="58"/>
        <v/>
      </c>
      <c r="BI223" s="103"/>
    </row>
    <row r="224" spans="1:61" s="95" customFormat="1">
      <c r="A224" s="101">
        <v>20162495007</v>
      </c>
      <c r="B224" s="19" t="str">
        <f>VLOOKUP(A224,'ESTADOS ESTUDIANTES'!B:L,2,0)</f>
        <v>GUTIERRÉZ RAMÍREZ LUIS MIGUEL</v>
      </c>
      <c r="C224" s="103">
        <f>VLOOKUP(A224,'ESTADOS ESTUDIANTES'!B:L,11,0)</f>
        <v>1026569840</v>
      </c>
      <c r="D224" s="23">
        <f>VLOOKUP(A224,'ESTADOS ESTUDIANTES'!B:L,3,0)</f>
        <v>495</v>
      </c>
      <c r="E224" s="102">
        <f>VLOOKUP(A224,'ESTADOS ESTUDIANTES'!B:L,8,0)</f>
        <v>0</v>
      </c>
      <c r="F224" s="102" t="str">
        <f>VLOOKUP(A224,'ESTADOS ESTUDIANTES'!B:L,9,0)</f>
        <v>nazkter@gmail.com</v>
      </c>
      <c r="G224" s="19" t="str">
        <f>VLOOKUP(A224,'ESTADOS ESTUDIANTES'!B:L,5,0)</f>
        <v>X</v>
      </c>
      <c r="H224" s="100" t="s">
        <v>60</v>
      </c>
      <c r="I224" s="103"/>
      <c r="J224" s="103"/>
      <c r="K224" s="103"/>
      <c r="L224" s="105"/>
      <c r="M224" s="106"/>
      <c r="N224" s="105"/>
      <c r="O224" s="106"/>
      <c r="P224" s="107"/>
      <c r="Q224" s="100"/>
      <c r="R224" s="105"/>
      <c r="S224" s="103"/>
      <c r="T224" s="103"/>
      <c r="U224" s="105"/>
      <c r="V224" s="105"/>
      <c r="W224" s="103"/>
      <c r="X224" s="91">
        <f t="shared" ca="1" si="59"/>
        <v>33055</v>
      </c>
      <c r="Y224" s="99"/>
      <c r="Z224" s="103"/>
      <c r="AA224" s="105"/>
      <c r="AB224" s="105"/>
      <c r="AC224" s="103"/>
      <c r="AD224" s="21">
        <f t="shared" ca="1" si="60"/>
        <v>33055</v>
      </c>
      <c r="AE224" s="99"/>
      <c r="AF224" s="105"/>
      <c r="AG224" s="103"/>
      <c r="AH224" s="105"/>
      <c r="AI224" s="105"/>
      <c r="AJ224" s="103"/>
      <c r="AK224" s="23">
        <f t="shared" ca="1" si="62"/>
        <v>33055</v>
      </c>
      <c r="AL224" s="103"/>
      <c r="AM224" s="103"/>
      <c r="AN224" s="105"/>
      <c r="AO224" s="105"/>
      <c r="AP224" s="103"/>
      <c r="AQ224" s="163">
        <f t="shared" ca="1" si="61"/>
        <v>33055</v>
      </c>
      <c r="AR224" s="163"/>
      <c r="AS224" s="101"/>
      <c r="AT224" s="101"/>
      <c r="AU224" s="103"/>
      <c r="AV224" s="103"/>
      <c r="AW224" s="103"/>
      <c r="AX224" s="103"/>
      <c r="AY224" s="103"/>
      <c r="AZ224" s="103"/>
      <c r="BA224" s="103"/>
      <c r="BB224" s="103"/>
      <c r="BC224" s="103"/>
      <c r="BD224" s="100" t="str">
        <f t="shared" si="54"/>
        <v/>
      </c>
      <c r="BE224" s="100" t="str">
        <f t="shared" si="55"/>
        <v/>
      </c>
      <c r="BF224" s="100" t="str">
        <f t="shared" si="56"/>
        <v/>
      </c>
      <c r="BG224" s="100" t="str">
        <f t="shared" si="57"/>
        <v/>
      </c>
      <c r="BH224" s="100" t="str">
        <f t="shared" si="58"/>
        <v/>
      </c>
      <c r="BI224" s="103"/>
    </row>
    <row r="225" spans="1:61" s="95" customFormat="1" ht="75">
      <c r="A225" s="21">
        <v>20162495008</v>
      </c>
      <c r="B225" s="19" t="str">
        <f>VLOOKUP(A225,'ESTADOS ESTUDIANTES'!B:L,2,0)</f>
        <v>GUZMÁN CASTILLO NANCI MILENA</v>
      </c>
      <c r="C225" s="19">
        <f>VLOOKUP(A225,'ESTADOS ESTUDIANTES'!B:L,11,0)</f>
        <v>52859033</v>
      </c>
      <c r="D225" s="23">
        <f>VLOOKUP(A225,'ESTADOS ESTUDIANTES'!B:L,3,0)</f>
        <v>495</v>
      </c>
      <c r="E225" s="19">
        <f>VLOOKUP(A225,'ESTADOS ESTUDIANTES'!B:L,8,0)</f>
        <v>0</v>
      </c>
      <c r="F225" s="19" t="str">
        <f>VLOOKUP(A225,'ESTADOS ESTUDIANTES'!B:L,9,0)</f>
        <v>guzmanmiller02@gmail.com</v>
      </c>
      <c r="G225" s="19" t="str">
        <f>VLOOKUP(A225,'ESTADOS ESTUDIANTES'!B:L,5,0)</f>
        <v>E</v>
      </c>
      <c r="H225" s="18" t="s">
        <v>60</v>
      </c>
      <c r="I225" s="18" t="s">
        <v>1833</v>
      </c>
      <c r="J225" s="125" t="s">
        <v>356</v>
      </c>
      <c r="K225" s="23"/>
      <c r="L225" s="96">
        <v>43977</v>
      </c>
      <c r="M225" s="97">
        <v>67.290000000000006</v>
      </c>
      <c r="N225" s="96">
        <v>44342</v>
      </c>
      <c r="O225" s="97">
        <v>85.09</v>
      </c>
      <c r="P225" s="98" t="s">
        <v>79</v>
      </c>
      <c r="Q225" s="18" t="s">
        <v>1834</v>
      </c>
      <c r="R225" s="96">
        <v>42842</v>
      </c>
      <c r="S225" s="21">
        <f>YEAR(R225)</f>
        <v>2017</v>
      </c>
      <c r="T225" s="18" t="s">
        <v>382</v>
      </c>
      <c r="U225" s="96"/>
      <c r="V225" s="96">
        <v>43495</v>
      </c>
      <c r="W225" s="23"/>
      <c r="X225" s="91" t="e">
        <f t="shared" ca="1" si="59"/>
        <v>#VALUE!</v>
      </c>
      <c r="Y225" s="18" t="s">
        <v>43</v>
      </c>
      <c r="Z225" s="18" t="s">
        <v>1835</v>
      </c>
      <c r="AA225" s="96">
        <v>43508</v>
      </c>
      <c r="AB225" s="96">
        <v>43524</v>
      </c>
      <c r="AC225" s="19">
        <v>1</v>
      </c>
      <c r="AD225" s="21">
        <f t="shared" ca="1" si="60"/>
        <v>0</v>
      </c>
      <c r="AE225" s="18" t="s">
        <v>43</v>
      </c>
      <c r="AF225" s="96"/>
      <c r="AG225" s="18" t="s">
        <v>1529</v>
      </c>
      <c r="AH225" s="96">
        <v>44445</v>
      </c>
      <c r="AI225" s="96">
        <v>44455</v>
      </c>
      <c r="AJ225" s="18" t="s">
        <v>1836</v>
      </c>
      <c r="AK225" s="23">
        <f t="shared" ca="1" si="62"/>
        <v>0</v>
      </c>
      <c r="AL225" s="18" t="s">
        <v>42</v>
      </c>
      <c r="AM225" s="18" t="s">
        <v>1427</v>
      </c>
      <c r="AN225" s="96">
        <v>44445</v>
      </c>
      <c r="AO225" s="96">
        <v>44471</v>
      </c>
      <c r="AP225" s="18" t="s">
        <v>1837</v>
      </c>
      <c r="AQ225" s="161">
        <f t="shared" ca="1" si="61"/>
        <v>0</v>
      </c>
      <c r="AR225" s="164" t="s">
        <v>42</v>
      </c>
      <c r="AS225" s="18" t="s">
        <v>677</v>
      </c>
      <c r="AT225" s="21">
        <v>35</v>
      </c>
      <c r="AU225" s="18" t="s">
        <v>41</v>
      </c>
      <c r="AV225" s="124">
        <v>44497</v>
      </c>
      <c r="AW225" s="23"/>
      <c r="AX225" s="23"/>
      <c r="AY225" s="139">
        <v>44866</v>
      </c>
      <c r="AZ225" s="120">
        <v>44692</v>
      </c>
      <c r="BA225" s="120"/>
      <c r="BB225" s="18" t="s">
        <v>65</v>
      </c>
      <c r="BC225" s="23"/>
      <c r="BD225" s="100" t="str">
        <f t="shared" si="54"/>
        <v/>
      </c>
      <c r="BE225" s="100" t="str">
        <f t="shared" si="55"/>
        <v/>
      </c>
      <c r="BF225" s="100" t="str">
        <f t="shared" si="56"/>
        <v/>
      </c>
      <c r="BG225" s="100" t="str">
        <f t="shared" si="57"/>
        <v/>
      </c>
      <c r="BH225" s="100" t="str">
        <f t="shared" si="58"/>
        <v/>
      </c>
      <c r="BI225" s="23"/>
    </row>
    <row r="226" spans="1:61" s="95" customFormat="1" ht="45">
      <c r="A226" s="21">
        <v>20162495011</v>
      </c>
      <c r="B226" s="19" t="str">
        <f>VLOOKUP(A226,'ESTADOS ESTUDIANTES'!B:L,2,0)</f>
        <v>PASTRANA BONILLA JESSICA NATALIA</v>
      </c>
      <c r="C226" s="19">
        <f>VLOOKUP(A226,'ESTADOS ESTUDIANTES'!B:L,11,0)</f>
        <v>53124778</v>
      </c>
      <c r="D226" s="23">
        <f>VLOOKUP(A226,'ESTADOS ESTUDIANTES'!B:L,3,0)</f>
        <v>495</v>
      </c>
      <c r="E226" s="19" t="str">
        <f>VLOOKUP(A226,'ESTADOS ESTUDIANTES'!B:L,8,0)</f>
        <v>jnpastranab@correo.udistrital.edu.co</v>
      </c>
      <c r="F226" s="19" t="str">
        <f>VLOOKUP(A226,'ESTADOS ESTUDIANTES'!B:L,9,0)</f>
        <v>nataliapastranab@gmail.com</v>
      </c>
      <c r="G226" s="19" t="str">
        <f>VLOOKUP(A226,'ESTADOS ESTUDIANTES'!B:L,5,0)</f>
        <v>X</v>
      </c>
      <c r="H226" s="18" t="s">
        <v>60</v>
      </c>
      <c r="I226" s="18" t="s">
        <v>1838</v>
      </c>
      <c r="J226" s="18" t="s">
        <v>356</v>
      </c>
      <c r="K226" s="23"/>
      <c r="L226" s="96"/>
      <c r="M226" s="97"/>
      <c r="N226" s="96"/>
      <c r="O226" s="97"/>
      <c r="P226" s="110"/>
      <c r="Q226" s="18" t="s">
        <v>1801</v>
      </c>
      <c r="R226" s="96">
        <v>42776</v>
      </c>
      <c r="S226" s="21">
        <f>YEAR(R226)</f>
        <v>2017</v>
      </c>
      <c r="T226" s="18" t="s">
        <v>369</v>
      </c>
      <c r="U226" s="96">
        <v>42807</v>
      </c>
      <c r="V226" s="96">
        <v>42814</v>
      </c>
      <c r="W226" s="19">
        <v>1</v>
      </c>
      <c r="X226" s="91">
        <f t="shared" ca="1" si="59"/>
        <v>0</v>
      </c>
      <c r="Y226" s="18" t="s">
        <v>43</v>
      </c>
      <c r="Z226" s="18" t="s">
        <v>1599</v>
      </c>
      <c r="AA226" s="96">
        <v>42803</v>
      </c>
      <c r="AB226" s="96">
        <v>42807</v>
      </c>
      <c r="AC226" s="19">
        <v>1</v>
      </c>
      <c r="AD226" s="21">
        <f t="shared" ca="1" si="60"/>
        <v>0</v>
      </c>
      <c r="AE226" s="18" t="s">
        <v>43</v>
      </c>
      <c r="AF226" s="96"/>
      <c r="AG226" s="23"/>
      <c r="AH226" s="96"/>
      <c r="AI226" s="96"/>
      <c r="AJ226" s="23"/>
      <c r="AK226" s="23">
        <f t="shared" ca="1" si="62"/>
        <v>33055</v>
      </c>
      <c r="AL226" s="23"/>
      <c r="AM226" s="23"/>
      <c r="AN226" s="96"/>
      <c r="AO226" s="96"/>
      <c r="AP226" s="23"/>
      <c r="AQ226" s="162">
        <f t="shared" ca="1" si="61"/>
        <v>33055</v>
      </c>
      <c r="AR226" s="161"/>
      <c r="AS226" s="18"/>
      <c r="AT226" s="21"/>
      <c r="AU226" s="23"/>
      <c r="AV226" s="23"/>
      <c r="AW226" s="23"/>
      <c r="AX226" s="23"/>
      <c r="AY226" s="23"/>
      <c r="AZ226" s="23"/>
      <c r="BA226" s="23"/>
      <c r="BB226" s="23"/>
      <c r="BC226" s="23"/>
      <c r="BD226" s="100" t="str">
        <f t="shared" si="54"/>
        <v/>
      </c>
      <c r="BE226" s="100" t="str">
        <f t="shared" si="55"/>
        <v/>
      </c>
      <c r="BF226" s="100" t="str">
        <f t="shared" si="56"/>
        <v/>
      </c>
      <c r="BG226" s="100" t="str">
        <f t="shared" si="57"/>
        <v/>
      </c>
      <c r="BH226" s="100" t="str">
        <f t="shared" si="58"/>
        <v/>
      </c>
      <c r="BI226" s="23"/>
    </row>
    <row r="227" spans="1:61" s="95" customFormat="1">
      <c r="A227" s="101">
        <v>20162495012</v>
      </c>
      <c r="B227" s="19" t="str">
        <f>VLOOKUP(A227,'ESTADOS ESTUDIANTES'!B:L,2,0)</f>
        <v>RAMOS FERNÁNDEZ JOSE LUIS</v>
      </c>
      <c r="C227" s="102">
        <f>VLOOKUP(A227,'ESTADOS ESTUDIANTES'!B:L,11,0)</f>
        <v>1122648771</v>
      </c>
      <c r="D227" s="23">
        <f>VLOOKUP(A227,'ESTADOS ESTUDIANTES'!B:L,3,0)</f>
        <v>495</v>
      </c>
      <c r="E227" s="102">
        <f>VLOOKUP(A227,'ESTADOS ESTUDIANTES'!B:L,8,0)</f>
        <v>0</v>
      </c>
      <c r="F227" s="102" t="str">
        <f>VLOOKUP(A227,'ESTADOS ESTUDIANTES'!B:L,9,0)</f>
        <v>joselorf@gmail.com</v>
      </c>
      <c r="G227" s="19" t="str">
        <f>VLOOKUP(A227,'ESTADOS ESTUDIANTES'!B:L,5,0)</f>
        <v>N</v>
      </c>
      <c r="H227" s="100" t="s">
        <v>60</v>
      </c>
      <c r="I227" s="103"/>
      <c r="J227" s="103"/>
      <c r="K227" s="103"/>
      <c r="L227" s="105"/>
      <c r="M227" s="106"/>
      <c r="N227" s="105"/>
      <c r="O227" s="106"/>
      <c r="P227" s="107"/>
      <c r="Q227" s="100"/>
      <c r="R227" s="105"/>
      <c r="S227" s="103"/>
      <c r="T227" s="103"/>
      <c r="U227" s="105"/>
      <c r="V227" s="105"/>
      <c r="W227" s="103"/>
      <c r="X227" s="91">
        <f t="shared" ca="1" si="59"/>
        <v>33055</v>
      </c>
      <c r="Y227" s="99"/>
      <c r="Z227" s="103"/>
      <c r="AA227" s="105"/>
      <c r="AB227" s="105"/>
      <c r="AC227" s="103"/>
      <c r="AD227" s="21">
        <f t="shared" ca="1" si="60"/>
        <v>33055</v>
      </c>
      <c r="AE227" s="99"/>
      <c r="AF227" s="105"/>
      <c r="AG227" s="103"/>
      <c r="AH227" s="105"/>
      <c r="AI227" s="105"/>
      <c r="AJ227" s="103"/>
      <c r="AK227" s="23">
        <f t="shared" ca="1" si="62"/>
        <v>33055</v>
      </c>
      <c r="AL227" s="103"/>
      <c r="AM227" s="103"/>
      <c r="AN227" s="105"/>
      <c r="AO227" s="105"/>
      <c r="AP227" s="103"/>
      <c r="AQ227" s="163">
        <f t="shared" ca="1" si="61"/>
        <v>33055</v>
      </c>
      <c r="AR227" s="163"/>
      <c r="AS227" s="100"/>
      <c r="AT227" s="101"/>
      <c r="AU227" s="103"/>
      <c r="AV227" s="103"/>
      <c r="AW227" s="103"/>
      <c r="AX227" s="103"/>
      <c r="AY227" s="103"/>
      <c r="AZ227" s="103"/>
      <c r="BA227" s="103"/>
      <c r="BB227" s="103"/>
      <c r="BC227" s="103"/>
      <c r="BD227" s="100" t="str">
        <f t="shared" si="54"/>
        <v/>
      </c>
      <c r="BE227" s="100" t="str">
        <f t="shared" si="55"/>
        <v/>
      </c>
      <c r="BF227" s="100" t="str">
        <f t="shared" si="56"/>
        <v/>
      </c>
      <c r="BG227" s="100" t="str">
        <f t="shared" si="57"/>
        <v/>
      </c>
      <c r="BH227" s="100" t="str">
        <f t="shared" si="58"/>
        <v/>
      </c>
      <c r="BI227" s="103"/>
    </row>
    <row r="228" spans="1:61" s="95" customFormat="1" ht="30">
      <c r="A228" s="21">
        <v>20162495014</v>
      </c>
      <c r="B228" s="19" t="str">
        <f>VLOOKUP(A228,'ESTADOS ESTUDIANTES'!B:L,2,0)</f>
        <v>REYES DAZA BRAYAN STEVEN</v>
      </c>
      <c r="C228" s="23">
        <f>VLOOKUP(A228,'ESTADOS ESTUDIANTES'!B:L,11,0)</f>
        <v>1018462073</v>
      </c>
      <c r="D228" s="23">
        <f>VLOOKUP(A228,'ESTADOS ESTUDIANTES'!B:L,3,0)</f>
        <v>495</v>
      </c>
      <c r="E228" s="19">
        <f>VLOOKUP(A228,'ESTADOS ESTUDIANTES'!B:L,8,0)</f>
        <v>0</v>
      </c>
      <c r="F228" s="19" t="str">
        <f>VLOOKUP(A228,'ESTADOS ESTUDIANTES'!B:L,9,0)</f>
        <v>ing.brayan.reyes@gmail.com</v>
      </c>
      <c r="G228" s="19" t="str">
        <f>VLOOKUP(A228,'ESTADOS ESTUDIANTES'!B:L,5,0)</f>
        <v>X</v>
      </c>
      <c r="H228" s="18" t="s">
        <v>60</v>
      </c>
      <c r="I228" s="18" t="s">
        <v>1839</v>
      </c>
      <c r="J228" s="18" t="s">
        <v>309</v>
      </c>
      <c r="K228" s="23"/>
      <c r="L228" s="96"/>
      <c r="M228" s="97"/>
      <c r="N228" s="96">
        <v>44153</v>
      </c>
      <c r="O228" s="97">
        <v>93.46</v>
      </c>
      <c r="P228" s="98" t="s">
        <v>79</v>
      </c>
      <c r="Q228" s="18" t="s">
        <v>1801</v>
      </c>
      <c r="R228" s="96">
        <v>42773</v>
      </c>
      <c r="S228" s="19">
        <f>YEAR(R228)</f>
        <v>2017</v>
      </c>
      <c r="T228" s="18" t="s">
        <v>310</v>
      </c>
      <c r="U228" s="96">
        <v>42807</v>
      </c>
      <c r="V228" s="18" t="s">
        <v>1840</v>
      </c>
      <c r="W228" s="19">
        <v>1</v>
      </c>
      <c r="X228" s="91">
        <f t="shared" ca="1" si="59"/>
        <v>0</v>
      </c>
      <c r="Y228" s="114" t="s">
        <v>43</v>
      </c>
      <c r="Z228" s="18" t="s">
        <v>1420</v>
      </c>
      <c r="AA228" s="96">
        <v>42801</v>
      </c>
      <c r="AB228" s="96">
        <v>42802</v>
      </c>
      <c r="AC228" s="19">
        <v>1</v>
      </c>
      <c r="AD228" s="21">
        <f t="shared" ca="1" si="60"/>
        <v>0</v>
      </c>
      <c r="AE228" s="114" t="s">
        <v>1751</v>
      </c>
      <c r="AF228" s="96"/>
      <c r="AG228" s="23"/>
      <c r="AH228" s="96"/>
      <c r="AI228" s="96"/>
      <c r="AJ228" s="23"/>
      <c r="AK228" s="23">
        <f t="shared" ca="1" si="62"/>
        <v>33055</v>
      </c>
      <c r="AL228" s="23"/>
      <c r="AM228" s="23"/>
      <c r="AN228" s="96"/>
      <c r="AO228" s="96"/>
      <c r="AP228" s="23"/>
      <c r="AQ228" s="166">
        <f t="shared" ca="1" si="61"/>
        <v>33055</v>
      </c>
      <c r="AR228" s="161"/>
      <c r="AS228" s="18"/>
      <c r="AT228" s="21"/>
      <c r="AU228" s="23"/>
      <c r="AV228" s="23"/>
      <c r="AW228" s="23"/>
      <c r="AX228" s="23"/>
      <c r="AY228" s="23"/>
      <c r="AZ228" s="23"/>
      <c r="BA228" s="23"/>
      <c r="BB228" s="23"/>
      <c r="BC228" s="23"/>
      <c r="BD228" s="100" t="str">
        <f t="shared" si="54"/>
        <v/>
      </c>
      <c r="BE228" s="100" t="str">
        <f t="shared" si="55"/>
        <v/>
      </c>
      <c r="BF228" s="100" t="str">
        <f t="shared" si="56"/>
        <v/>
      </c>
      <c r="BG228" s="100" t="str">
        <f t="shared" si="57"/>
        <v/>
      </c>
      <c r="BH228" s="100" t="str">
        <f t="shared" si="58"/>
        <v/>
      </c>
      <c r="BI228" s="23"/>
    </row>
    <row r="229" spans="1:61" s="95" customFormat="1" ht="45">
      <c r="A229" s="101">
        <v>20162495015</v>
      </c>
      <c r="B229" s="19" t="str">
        <f>VLOOKUP(A229,'ESTADOS ESTUDIANTES'!B:L,2,0)</f>
        <v>ROJAS MORENO JUAN FERNANDO</v>
      </c>
      <c r="C229" s="102">
        <f>VLOOKUP(A229,'ESTADOS ESTUDIANTES'!B:L,11,0)</f>
        <v>1014193564</v>
      </c>
      <c r="D229" s="23">
        <f>VLOOKUP(A229,'ESTADOS ESTUDIANTES'!B:L,3,0)</f>
        <v>495</v>
      </c>
      <c r="E229" s="102" t="str">
        <f>VLOOKUP(A229,'ESTADOS ESTUDIANTES'!B:L,8,0)</f>
        <v>jufrojasm@correo.udistrital.edu.co</v>
      </c>
      <c r="F229" s="102" t="str">
        <f>VLOOKUP(A229,'ESTADOS ESTUDIANTES'!B:L,9,0)</f>
        <v>egeda9@gmail.com</v>
      </c>
      <c r="G229" s="19" t="str">
        <f>VLOOKUP(A229,'ESTADOS ESTUDIANTES'!B:L,5,0)</f>
        <v>E</v>
      </c>
      <c r="H229" s="100" t="s">
        <v>46</v>
      </c>
      <c r="I229" s="100" t="s">
        <v>1841</v>
      </c>
      <c r="J229" s="108" t="s">
        <v>463</v>
      </c>
      <c r="K229" s="103"/>
      <c r="L229" s="105"/>
      <c r="M229" s="106"/>
      <c r="N229" s="105"/>
      <c r="O229" s="106"/>
      <c r="P229" s="107" t="s">
        <v>68</v>
      </c>
      <c r="Q229" s="100" t="s">
        <v>1842</v>
      </c>
      <c r="R229" s="105">
        <v>42711</v>
      </c>
      <c r="S229" s="102">
        <v>2016</v>
      </c>
      <c r="T229" s="100" t="s">
        <v>1599</v>
      </c>
      <c r="U229" s="105">
        <v>42767</v>
      </c>
      <c r="V229" s="105">
        <v>42786</v>
      </c>
      <c r="W229" s="102">
        <v>1</v>
      </c>
      <c r="X229" s="91">
        <f t="shared" ca="1" si="59"/>
        <v>0</v>
      </c>
      <c r="Y229" s="114" t="s">
        <v>43</v>
      </c>
      <c r="Z229" s="100" t="s">
        <v>1501</v>
      </c>
      <c r="AA229" s="105">
        <v>42793</v>
      </c>
      <c r="AB229" s="105">
        <v>42822</v>
      </c>
      <c r="AC229" s="102">
        <v>1</v>
      </c>
      <c r="AD229" s="21">
        <f t="shared" ca="1" si="60"/>
        <v>0</v>
      </c>
      <c r="AE229" s="114" t="s">
        <v>43</v>
      </c>
      <c r="AF229" s="105"/>
      <c r="AG229" s="100" t="s">
        <v>1599</v>
      </c>
      <c r="AH229" s="105"/>
      <c r="AI229" s="105"/>
      <c r="AJ229" s="103"/>
      <c r="AK229" s="23">
        <f ca="1">IF(AL229="",NETWORKDAYS.INTL(AH229,TODAY(),1),0)</f>
        <v>0</v>
      </c>
      <c r="AL229" s="100" t="s">
        <v>42</v>
      </c>
      <c r="AM229" s="100" t="s">
        <v>1501</v>
      </c>
      <c r="AN229" s="105"/>
      <c r="AO229" s="105"/>
      <c r="AP229" s="103"/>
      <c r="AQ229" s="161" t="e">
        <f t="shared" ca="1" si="61"/>
        <v>#VALUE!</v>
      </c>
      <c r="AR229" s="162" t="s">
        <v>42</v>
      </c>
      <c r="AS229" s="100" t="s">
        <v>1843</v>
      </c>
      <c r="AT229" s="100" t="s">
        <v>1407</v>
      </c>
      <c r="AU229" s="100" t="s">
        <v>55</v>
      </c>
      <c r="AV229" s="103"/>
      <c r="AW229" s="103"/>
      <c r="AX229" s="103"/>
      <c r="AY229" s="103"/>
      <c r="AZ229" s="103"/>
      <c r="BA229" s="103"/>
      <c r="BB229" s="103"/>
      <c r="BC229" s="103"/>
      <c r="BD229" s="100" t="str">
        <f t="shared" si="54"/>
        <v/>
      </c>
      <c r="BE229" s="100" t="str">
        <f t="shared" si="55"/>
        <v/>
      </c>
      <c r="BF229" s="100" t="str">
        <f t="shared" si="56"/>
        <v/>
      </c>
      <c r="BG229" s="100" t="str">
        <f t="shared" si="57"/>
        <v/>
      </c>
      <c r="BH229" s="100" t="str">
        <f t="shared" si="58"/>
        <v/>
      </c>
      <c r="BI229" s="103"/>
    </row>
    <row r="230" spans="1:61" s="95" customFormat="1" ht="45">
      <c r="A230" s="101">
        <v>20162495016</v>
      </c>
      <c r="B230" s="19" t="str">
        <f>VLOOKUP(A230,'ESTADOS ESTUDIANTES'!B:L,2,0)</f>
        <v>ROMERO MORENO FREDY YARNEY</v>
      </c>
      <c r="C230" s="102">
        <f>VLOOKUP(A230,'ESTADOS ESTUDIANTES'!B:L,11,0)</f>
        <v>7170018</v>
      </c>
      <c r="D230" s="23">
        <f>VLOOKUP(A230,'ESTADOS ESTUDIANTES'!B:L,3,0)</f>
        <v>495</v>
      </c>
      <c r="E230" s="102" t="str">
        <f>VLOOKUP(A230,'ESTADOS ESTUDIANTES'!B:L,8,0)</f>
        <v>fyromerom@correo.udistrital.edu.co</v>
      </c>
      <c r="F230" s="102" t="str">
        <f>VLOOKUP(A230,'ESTADOS ESTUDIANTES'!B:L,9,0)</f>
        <v>fredyromero1975@gmail.com</v>
      </c>
      <c r="G230" s="19" t="str">
        <f>VLOOKUP(A230,'ESTADOS ESTUDIANTES'!B:L,5,0)</f>
        <v>E</v>
      </c>
      <c r="H230" s="100" t="s">
        <v>60</v>
      </c>
      <c r="I230" s="100" t="s">
        <v>1844</v>
      </c>
      <c r="J230" s="108" t="s">
        <v>402</v>
      </c>
      <c r="K230" s="103"/>
      <c r="L230" s="105"/>
      <c r="M230" s="106"/>
      <c r="N230" s="100" t="s">
        <v>1845</v>
      </c>
      <c r="O230" s="106">
        <v>54.78</v>
      </c>
      <c r="P230" s="112" t="s">
        <v>87</v>
      </c>
      <c r="Q230" s="100" t="s">
        <v>1795</v>
      </c>
      <c r="R230" s="105">
        <v>42713</v>
      </c>
      <c r="S230" s="102">
        <v>2016</v>
      </c>
      <c r="T230" s="100" t="s">
        <v>356</v>
      </c>
      <c r="U230" s="105">
        <v>42768</v>
      </c>
      <c r="V230" s="100" t="s">
        <v>1686</v>
      </c>
      <c r="W230" s="102">
        <v>1</v>
      </c>
      <c r="X230" s="91">
        <f t="shared" ca="1" si="59"/>
        <v>0</v>
      </c>
      <c r="Y230" s="114" t="s">
        <v>43</v>
      </c>
      <c r="Z230" s="100" t="s">
        <v>1567</v>
      </c>
      <c r="AA230" s="100" t="s">
        <v>1846</v>
      </c>
      <c r="AB230" s="100" t="s">
        <v>1847</v>
      </c>
      <c r="AC230" s="102">
        <v>2</v>
      </c>
      <c r="AD230" s="21">
        <f t="shared" ca="1" si="60"/>
        <v>0</v>
      </c>
      <c r="AE230" s="114" t="s">
        <v>43</v>
      </c>
      <c r="AF230" s="105">
        <v>43567</v>
      </c>
      <c r="AG230" s="100" t="s">
        <v>1848</v>
      </c>
      <c r="AH230" s="105">
        <v>43578</v>
      </c>
      <c r="AI230" s="105">
        <v>43593</v>
      </c>
      <c r="AJ230" s="103"/>
      <c r="AK230" s="23">
        <f ca="1">IF(AH230="",NETWORKDAYS.INTL(AL230,TODAY(),1),0)</f>
        <v>0</v>
      </c>
      <c r="AL230" s="100" t="s">
        <v>42</v>
      </c>
      <c r="AM230" s="100" t="s">
        <v>356</v>
      </c>
      <c r="AN230" s="105">
        <v>43587</v>
      </c>
      <c r="AO230" s="105">
        <v>43591</v>
      </c>
      <c r="AP230" s="103"/>
      <c r="AQ230" s="162">
        <f t="shared" ca="1" si="61"/>
        <v>0</v>
      </c>
      <c r="AR230" s="162" t="s">
        <v>42</v>
      </c>
      <c r="AS230" s="101"/>
      <c r="AT230" s="101"/>
      <c r="AU230" s="103"/>
      <c r="AV230" s="103"/>
      <c r="AW230" s="103"/>
      <c r="AX230" s="103"/>
      <c r="AY230" s="103"/>
      <c r="AZ230" s="103"/>
      <c r="BA230" s="103"/>
      <c r="BB230" s="103"/>
      <c r="BC230" s="103"/>
      <c r="BD230" s="100" t="str">
        <f t="shared" si="54"/>
        <v/>
      </c>
      <c r="BE230" s="100" t="str">
        <f t="shared" si="55"/>
        <v/>
      </c>
      <c r="BF230" s="100" t="str">
        <f t="shared" si="56"/>
        <v/>
      </c>
      <c r="BG230" s="100" t="str">
        <f t="shared" si="57"/>
        <v/>
      </c>
      <c r="BH230" s="100" t="str">
        <f t="shared" si="58"/>
        <v/>
      </c>
      <c r="BI230" s="103"/>
    </row>
    <row r="231" spans="1:61" s="95" customFormat="1" ht="45">
      <c r="A231" s="21">
        <v>20162495017</v>
      </c>
      <c r="B231" s="19" t="str">
        <f>VLOOKUP(A231,'ESTADOS ESTUDIANTES'!B:L,2,0)</f>
        <v>SANCHEZ RODRIGUEZ DANIEL ESTEBAN</v>
      </c>
      <c r="C231" s="19">
        <f>VLOOKUP(A231,'ESTADOS ESTUDIANTES'!B:L,11,0)</f>
        <v>1032417886</v>
      </c>
      <c r="D231" s="23">
        <f>VLOOKUP(A231,'ESTADOS ESTUDIANTES'!B:L,3,0)</f>
        <v>495</v>
      </c>
      <c r="E231" s="19">
        <f>VLOOKUP(A231,'ESTADOS ESTUDIANTES'!B:L,8,0)</f>
        <v>0</v>
      </c>
      <c r="F231" s="19" t="str">
        <f>VLOOKUP(A231,'ESTADOS ESTUDIANTES'!B:L,9,0)</f>
        <v>danielssj88@gmail.com</v>
      </c>
      <c r="G231" s="19" t="str">
        <f>VLOOKUP(A231,'ESTADOS ESTUDIANTES'!B:L,5,0)</f>
        <v>E</v>
      </c>
      <c r="H231" s="18" t="s">
        <v>60</v>
      </c>
      <c r="I231" s="18" t="s">
        <v>1849</v>
      </c>
      <c r="J231" s="18" t="s">
        <v>312</v>
      </c>
      <c r="K231" s="23"/>
      <c r="L231" s="96"/>
      <c r="M231" s="97"/>
      <c r="N231" s="96">
        <v>44153</v>
      </c>
      <c r="O231" s="97">
        <v>93.46</v>
      </c>
      <c r="P231" s="98" t="s">
        <v>79</v>
      </c>
      <c r="Q231" s="18" t="s">
        <v>1795</v>
      </c>
      <c r="R231" s="96">
        <v>43076</v>
      </c>
      <c r="S231" s="21">
        <f>YEAR(R231)</f>
        <v>2017</v>
      </c>
      <c r="T231" s="18" t="s">
        <v>1058</v>
      </c>
      <c r="U231" s="96">
        <v>42781</v>
      </c>
      <c r="V231" s="96">
        <v>42802</v>
      </c>
      <c r="W231" s="19">
        <v>1</v>
      </c>
      <c r="X231" s="91">
        <f t="shared" ca="1" si="59"/>
        <v>0</v>
      </c>
      <c r="Y231" s="18" t="s">
        <v>43</v>
      </c>
      <c r="Z231" s="18" t="s">
        <v>1501</v>
      </c>
      <c r="AA231" s="96">
        <v>43123</v>
      </c>
      <c r="AB231" s="96">
        <v>43133</v>
      </c>
      <c r="AC231" s="19">
        <v>1</v>
      </c>
      <c r="AD231" s="21">
        <f t="shared" ca="1" si="60"/>
        <v>0</v>
      </c>
      <c r="AE231" s="18" t="s">
        <v>1751</v>
      </c>
      <c r="AF231" s="96">
        <v>44629</v>
      </c>
      <c r="AG231" s="18" t="s">
        <v>1058</v>
      </c>
      <c r="AH231" s="96">
        <v>44826</v>
      </c>
      <c r="AI231" s="96">
        <v>44841</v>
      </c>
      <c r="AJ231" s="19">
        <v>2</v>
      </c>
      <c r="AK231" s="23">
        <f ca="1">IF(AH231="",NETWORKDAYS.INTL(AL231,TODAY(),1),0)</f>
        <v>0</v>
      </c>
      <c r="AL231" s="140" t="s">
        <v>42</v>
      </c>
      <c r="AM231" s="18" t="s">
        <v>226</v>
      </c>
      <c r="AN231" s="96">
        <v>44826</v>
      </c>
      <c r="AO231" s="96">
        <v>44841</v>
      </c>
      <c r="AP231" s="19">
        <v>2</v>
      </c>
      <c r="AQ231" s="161">
        <f t="shared" ca="1" si="61"/>
        <v>0</v>
      </c>
      <c r="AR231" s="166" t="s">
        <v>42</v>
      </c>
      <c r="AS231" s="18" t="s">
        <v>1850</v>
      </c>
      <c r="AT231" s="18" t="s">
        <v>1407</v>
      </c>
      <c r="AU231" s="18" t="s">
        <v>55</v>
      </c>
      <c r="AV231" s="141">
        <v>44876</v>
      </c>
      <c r="AW231" s="23"/>
      <c r="AX231" s="23"/>
      <c r="AY231" s="18" t="s">
        <v>1851</v>
      </c>
      <c r="AZ231" s="120">
        <v>44825</v>
      </c>
      <c r="BA231" s="120"/>
      <c r="BB231" s="18" t="s">
        <v>1852</v>
      </c>
      <c r="BC231" s="18" t="s">
        <v>240</v>
      </c>
      <c r="BD231" s="100" t="str">
        <f t="shared" si="54"/>
        <v/>
      </c>
      <c r="BE231" s="100" t="str">
        <f t="shared" si="55"/>
        <v/>
      </c>
      <c r="BF231" s="100" t="str">
        <f t="shared" si="56"/>
        <v/>
      </c>
      <c r="BG231" s="100" t="str">
        <f t="shared" si="57"/>
        <v/>
      </c>
      <c r="BH231" s="100" t="str">
        <f t="shared" si="58"/>
        <v/>
      </c>
      <c r="BI231" s="23"/>
    </row>
    <row r="232" spans="1:61" s="95" customFormat="1" ht="45">
      <c r="A232" s="101">
        <v>20171195002</v>
      </c>
      <c r="B232" s="19" t="str">
        <f>VLOOKUP(A232,'ESTADOS ESTUDIANTES'!B:L,2,0)</f>
        <v>CASTELLANOS ALVARO ANDRES</v>
      </c>
      <c r="C232" s="102">
        <f>VLOOKUP(A232,'ESTADOS ESTUDIANTES'!B:L,11,0)</f>
        <v>1018412331</v>
      </c>
      <c r="D232" s="23">
        <f>VLOOKUP(A232,'ESTADOS ESTUDIANTES'!B:L,3,0)</f>
        <v>195</v>
      </c>
      <c r="E232" s="102" t="str">
        <f>VLOOKUP(A232,'ESTADOS ESTUDIANTES'!B:L,8,0)</f>
        <v>aacastellanos@correo.udistrital.edu.co</v>
      </c>
      <c r="F232" s="102" t="str">
        <f>VLOOKUP(A232,'ESTADOS ESTUDIANTES'!B:L,9,0)</f>
        <v>monosony_101@hotmail.com</v>
      </c>
      <c r="G232" s="19" t="str">
        <f>VLOOKUP(A232,'ESTADOS ESTUDIANTES'!B:L,5,0)</f>
        <v>X</v>
      </c>
      <c r="H232" s="100" t="s">
        <v>60</v>
      </c>
      <c r="I232" s="100" t="s">
        <v>1853</v>
      </c>
      <c r="J232" s="100" t="s">
        <v>356</v>
      </c>
      <c r="K232" s="103"/>
      <c r="L232" s="105"/>
      <c r="M232" s="106"/>
      <c r="N232" s="105"/>
      <c r="O232" s="106"/>
      <c r="P232" s="107"/>
      <c r="Q232" s="100" t="s">
        <v>1854</v>
      </c>
      <c r="R232" s="105">
        <v>42898</v>
      </c>
      <c r="S232" s="102">
        <v>2017</v>
      </c>
      <c r="T232" s="100" t="s">
        <v>1354</v>
      </c>
      <c r="U232" s="105">
        <v>42933</v>
      </c>
      <c r="V232" s="105">
        <v>42957</v>
      </c>
      <c r="W232" s="103"/>
      <c r="X232" s="91">
        <f t="shared" ca="1" si="59"/>
        <v>0</v>
      </c>
      <c r="Y232" s="114" t="s">
        <v>56</v>
      </c>
      <c r="Z232" s="100" t="s">
        <v>1560</v>
      </c>
      <c r="AA232" s="105">
        <v>42933</v>
      </c>
      <c r="AB232" s="105">
        <v>42951</v>
      </c>
      <c r="AC232" s="103"/>
      <c r="AD232" s="21">
        <f t="shared" ca="1" si="60"/>
        <v>0</v>
      </c>
      <c r="AE232" s="114" t="s">
        <v>56</v>
      </c>
      <c r="AF232" s="105"/>
      <c r="AG232" s="103"/>
      <c r="AH232" s="105"/>
      <c r="AI232" s="105"/>
      <c r="AJ232" s="103"/>
      <c r="AK232" s="23">
        <f ca="1">IF(AH232="",NETWORKDAYS.INTL(AL232,TODAY(),1),0)</f>
        <v>33055</v>
      </c>
      <c r="AL232" s="103"/>
      <c r="AM232" s="103"/>
      <c r="AN232" s="105"/>
      <c r="AO232" s="105"/>
      <c r="AP232" s="103"/>
      <c r="AQ232" s="161">
        <f t="shared" ca="1" si="61"/>
        <v>33055</v>
      </c>
      <c r="AR232" s="163"/>
      <c r="AS232" s="101"/>
      <c r="AT232" s="101"/>
      <c r="AU232" s="103"/>
      <c r="AV232" s="103"/>
      <c r="AW232" s="103"/>
      <c r="AX232" s="103"/>
      <c r="AY232" s="103"/>
      <c r="AZ232" s="103"/>
      <c r="BA232" s="103"/>
      <c r="BB232" s="103"/>
      <c r="BC232" s="103"/>
      <c r="BD232" s="100" t="str">
        <f t="shared" si="54"/>
        <v/>
      </c>
      <c r="BE232" s="100" t="str">
        <f t="shared" si="55"/>
        <v/>
      </c>
      <c r="BF232" s="100" t="str">
        <f t="shared" si="56"/>
        <v/>
      </c>
      <c r="BG232" s="100" t="str">
        <f t="shared" si="57"/>
        <v/>
      </c>
      <c r="BH232" s="100" t="str">
        <f t="shared" si="58"/>
        <v/>
      </c>
      <c r="BI232" s="103"/>
    </row>
    <row r="233" spans="1:61" s="95" customFormat="1" ht="45">
      <c r="A233" s="101">
        <v>20171195004</v>
      </c>
      <c r="B233" s="19" t="str">
        <f>VLOOKUP(A233,'ESTADOS ESTUDIANTES'!B:L,2,0)</f>
        <v>PINEDA TORRES DIEGO EDUARDO</v>
      </c>
      <c r="C233" s="102">
        <f>VLOOKUP(A233,'ESTADOS ESTUDIANTES'!B:L,11,0)</f>
        <v>1033712950</v>
      </c>
      <c r="D233" s="23">
        <f>VLOOKUP(A233,'ESTADOS ESTUDIANTES'!B:L,3,0)</f>
        <v>195</v>
      </c>
      <c r="E233" s="102" t="str">
        <f>VLOOKUP(A233,'ESTADOS ESTUDIANTES'!B:L,8,0)</f>
        <v>depinedat@correo.udistrital.edu.co</v>
      </c>
      <c r="F233" s="102" t="str">
        <f>VLOOKUP(A233,'ESTADOS ESTUDIANTES'!B:L,9,0)</f>
        <v>deduardopineda@gmail.com</v>
      </c>
      <c r="G233" s="19" t="str">
        <f>VLOOKUP(A233,'ESTADOS ESTUDIANTES'!B:L,5,0)</f>
        <v>E</v>
      </c>
      <c r="H233" s="103"/>
      <c r="I233" s="100" t="s">
        <v>1855</v>
      </c>
      <c r="J233" s="108" t="s">
        <v>270</v>
      </c>
      <c r="K233" s="103"/>
      <c r="L233" s="105"/>
      <c r="M233" s="106"/>
      <c r="N233" s="105"/>
      <c r="O233" s="106"/>
      <c r="P233" s="107"/>
      <c r="Q233" s="100" t="s">
        <v>1854</v>
      </c>
      <c r="R233" s="105">
        <v>42898</v>
      </c>
      <c r="S233" s="102">
        <v>2017</v>
      </c>
      <c r="T233" s="100" t="s">
        <v>309</v>
      </c>
      <c r="U233" s="105">
        <v>42935</v>
      </c>
      <c r="V233" s="105">
        <v>42997</v>
      </c>
      <c r="W233" s="103"/>
      <c r="X233" s="91">
        <f ca="1">IF(U233="",NETWORKDAYS.INTL(Y233,TODAY(),1),0)</f>
        <v>0</v>
      </c>
      <c r="Y233" s="114" t="s">
        <v>43</v>
      </c>
      <c r="Z233" s="100" t="s">
        <v>260</v>
      </c>
      <c r="AA233" s="100" t="s">
        <v>1819</v>
      </c>
      <c r="AB233" s="105">
        <v>42999</v>
      </c>
      <c r="AC233" s="103"/>
      <c r="AD233" s="21">
        <f ca="1">IF(AA233="",NETWORKDAYS.INTL(AE233,TODAY(),1),0)</f>
        <v>0</v>
      </c>
      <c r="AE233" s="114" t="s">
        <v>43</v>
      </c>
      <c r="AF233" s="105">
        <v>43717</v>
      </c>
      <c r="AG233" s="100" t="s">
        <v>260</v>
      </c>
      <c r="AH233" s="105">
        <v>43728</v>
      </c>
      <c r="AI233" s="105">
        <v>43754</v>
      </c>
      <c r="AJ233" s="102">
        <v>1</v>
      </c>
      <c r="AK233" s="23">
        <f ca="1">IF(AH233="",NETWORKDAYS.INTL(AL233,TODAY(),1),0)</f>
        <v>0</v>
      </c>
      <c r="AL233" s="100" t="s">
        <v>42</v>
      </c>
      <c r="AM233" s="100" t="s">
        <v>874</v>
      </c>
      <c r="AN233" s="105">
        <v>43738</v>
      </c>
      <c r="AO233" s="105">
        <v>43753</v>
      </c>
      <c r="AP233" s="103"/>
      <c r="AQ233" s="162">
        <f ca="1">IF(AN233="",NETWORKDAYS.INTL(AR233,TODAY(),1),0)</f>
        <v>0</v>
      </c>
      <c r="AR233" s="162" t="s">
        <v>42</v>
      </c>
      <c r="AS233" s="101"/>
      <c r="AT233" s="101"/>
      <c r="AU233" s="103"/>
      <c r="AV233" s="103"/>
      <c r="AW233" s="103"/>
      <c r="AX233" s="103"/>
      <c r="AY233" s="103"/>
      <c r="AZ233" s="103"/>
      <c r="BA233" s="103"/>
      <c r="BB233" s="103"/>
      <c r="BC233" s="103"/>
      <c r="BD233" s="100" t="str">
        <f t="shared" si="54"/>
        <v/>
      </c>
      <c r="BE233" s="100" t="str">
        <f t="shared" si="55"/>
        <v/>
      </c>
      <c r="BF233" s="100" t="str">
        <f t="shared" si="56"/>
        <v/>
      </c>
      <c r="BG233" s="100" t="str">
        <f t="shared" si="57"/>
        <v/>
      </c>
      <c r="BH233" s="100" t="str">
        <f t="shared" si="58"/>
        <v/>
      </c>
      <c r="BI233" s="103"/>
    </row>
    <row r="234" spans="1:61" s="95" customFormat="1" ht="45">
      <c r="A234" s="142">
        <v>20171195006</v>
      </c>
      <c r="B234" s="19" t="str">
        <f>VLOOKUP(A234,'ESTADOS ESTUDIANTES'!B:L,2,0)</f>
        <v>ROBAYO MENDEZ GUSTAVO ALEJANDRO</v>
      </c>
      <c r="C234" s="143">
        <f>VLOOKUP(A234,'ESTADOS ESTUDIANTES'!B:L,11,0)</f>
        <v>1026251289</v>
      </c>
      <c r="D234" s="23">
        <f>VLOOKUP(A234,'ESTADOS ESTUDIANTES'!B:L,3,0)</f>
        <v>195</v>
      </c>
      <c r="E234" s="143" t="str">
        <f>VLOOKUP(A234,'ESTADOS ESTUDIANTES'!B:L,8,0)</f>
        <v>garobayom@udistrital.edu.co</v>
      </c>
      <c r="F234" s="143" t="str">
        <f>VLOOKUP(A234,'ESTADOS ESTUDIANTES'!B:L,9,0)</f>
        <v>tavoalejo@gmail.com</v>
      </c>
      <c r="G234" s="19" t="str">
        <f>VLOOKUP(A234,'ESTADOS ESTUDIANTES'!B:L,5,0)</f>
        <v>E</v>
      </c>
      <c r="H234" s="144" t="s">
        <v>46</v>
      </c>
      <c r="I234" s="144" t="s">
        <v>1856</v>
      </c>
      <c r="J234" s="144" t="s">
        <v>369</v>
      </c>
      <c r="K234" s="144" t="s">
        <v>1140</v>
      </c>
      <c r="L234" s="145">
        <v>43888</v>
      </c>
      <c r="M234" s="146">
        <v>98.26</v>
      </c>
      <c r="N234" s="145">
        <v>44802</v>
      </c>
      <c r="O234" s="146">
        <v>151</v>
      </c>
      <c r="P234" s="98" t="s">
        <v>68</v>
      </c>
      <c r="Q234" s="144" t="s">
        <v>1857</v>
      </c>
      <c r="R234" s="145">
        <v>42907</v>
      </c>
      <c r="S234" s="142">
        <f>YEAR(R234)</f>
        <v>2017</v>
      </c>
      <c r="T234" s="144" t="s">
        <v>303</v>
      </c>
      <c r="U234" s="145">
        <v>42934</v>
      </c>
      <c r="V234" s="145">
        <v>43025</v>
      </c>
      <c r="W234" s="147"/>
      <c r="X234" s="91">
        <f ca="1">IF(U234="",NETWORKDAYS.INTL(Y234,TODAY(),1),0)</f>
        <v>0</v>
      </c>
      <c r="Y234" s="144" t="s">
        <v>43</v>
      </c>
      <c r="Z234" s="144" t="s">
        <v>356</v>
      </c>
      <c r="AA234" s="145">
        <v>42948</v>
      </c>
      <c r="AB234" s="145">
        <v>42983</v>
      </c>
      <c r="AC234" s="147"/>
      <c r="AD234" s="21">
        <f ca="1">IF(AA234="",NETWORKDAYS.INTL(AE234,TODAY(),1),0)</f>
        <v>0</v>
      </c>
      <c r="AE234" s="144" t="s">
        <v>1751</v>
      </c>
      <c r="AF234" s="145">
        <v>44616</v>
      </c>
      <c r="AG234" s="144" t="s">
        <v>303</v>
      </c>
      <c r="AH234" s="145">
        <v>44616</v>
      </c>
      <c r="AI234" s="145">
        <v>44620</v>
      </c>
      <c r="AJ234" s="147"/>
      <c r="AK234" s="23">
        <f ca="1">IF(AH234="",NETWORKDAYS.INTL(AL234,TODAY(),1),0)</f>
        <v>0</v>
      </c>
      <c r="AL234" s="148" t="s">
        <v>42</v>
      </c>
      <c r="AM234" s="144" t="s">
        <v>458</v>
      </c>
      <c r="AN234" s="145">
        <v>44616</v>
      </c>
      <c r="AO234" s="145">
        <v>44642</v>
      </c>
      <c r="AP234" s="143">
        <v>6</v>
      </c>
      <c r="AQ234" s="163">
        <f ca="1">IF(AN234="",NETWORKDAYS.INTL(AR234,TODAY(),1),0)</f>
        <v>0</v>
      </c>
      <c r="AR234" s="167" t="s">
        <v>42</v>
      </c>
      <c r="AS234" s="144" t="s">
        <v>1858</v>
      </c>
      <c r="AT234" s="149">
        <v>44685</v>
      </c>
      <c r="AU234" s="144" t="s">
        <v>41</v>
      </c>
      <c r="AV234" s="150">
        <v>44755</v>
      </c>
      <c r="AW234" s="147"/>
      <c r="AX234" s="143">
        <v>2022</v>
      </c>
      <c r="AY234" s="144" t="s">
        <v>1859</v>
      </c>
      <c r="AZ234" s="143">
        <v>43655</v>
      </c>
      <c r="BA234" s="143"/>
      <c r="BB234" s="144" t="s">
        <v>1727</v>
      </c>
      <c r="BC234" s="147"/>
      <c r="BD234" s="100" t="str">
        <f t="shared" si="54"/>
        <v/>
      </c>
      <c r="BE234" s="100" t="str">
        <f t="shared" si="55"/>
        <v/>
      </c>
      <c r="BF234" s="100" t="str">
        <f t="shared" si="56"/>
        <v/>
      </c>
      <c r="BG234" s="100" t="str">
        <f t="shared" si="57"/>
        <v/>
      </c>
      <c r="BH234" s="100" t="str">
        <f t="shared" si="58"/>
        <v/>
      </c>
      <c r="BI234" s="147"/>
    </row>
    <row r="235" spans="1:61" s="95" customFormat="1">
      <c r="A235" s="101">
        <v>20171395003</v>
      </c>
      <c r="B235" s="19" t="str">
        <f>VLOOKUP(A235,'ESTADOS ESTUDIANTES'!B:L,2,0)</f>
        <v>CAICEDO TIVABIJA EDGAR JAVIER</v>
      </c>
      <c r="C235" s="102">
        <f>VLOOKUP(A235,'ESTADOS ESTUDIANTES'!B:L,11,0)</f>
        <v>79791274</v>
      </c>
      <c r="D235" s="23">
        <f>VLOOKUP(A235,'ESTADOS ESTUDIANTES'!B:L,3,0)</f>
        <v>395</v>
      </c>
      <c r="E235" s="102" t="str">
        <f>VLOOKUP(A235,'ESTADOS ESTUDIANTES'!B:L,8,0)</f>
        <v>ejcaicedot@correo.udistrital.edu.co</v>
      </c>
      <c r="F235" s="102" t="str">
        <f>VLOOKUP(A235,'ESTADOS ESTUDIANTES'!B:L,9,0)</f>
        <v>javiercaicedo007@gmail.com</v>
      </c>
      <c r="G235" s="19" t="str">
        <f>VLOOKUP(A235,'ESTADOS ESTUDIANTES'!B:L,5,0)</f>
        <v>N</v>
      </c>
      <c r="H235" s="100" t="s">
        <v>60</v>
      </c>
      <c r="I235" s="103"/>
      <c r="J235" s="103"/>
      <c r="K235" s="103"/>
      <c r="L235" s="105"/>
      <c r="M235" s="106"/>
      <c r="N235" s="105"/>
      <c r="O235" s="106"/>
      <c r="P235" s="107"/>
      <c r="Q235" s="100"/>
      <c r="R235" s="105"/>
      <c r="S235" s="103"/>
      <c r="T235" s="103"/>
      <c r="U235" s="105"/>
      <c r="V235" s="105"/>
      <c r="W235" s="103"/>
      <c r="X235" s="91">
        <f t="shared" ref="X235:X244" ca="1" si="63">IF(U235="",NETWORKDAYS.INTL(Y235,TODAY(),1),0)</f>
        <v>33055</v>
      </c>
      <c r="Y235" s="99"/>
      <c r="Z235" s="103"/>
      <c r="AA235" s="105"/>
      <c r="AB235" s="105"/>
      <c r="AC235" s="103"/>
      <c r="AD235" s="21">
        <f t="shared" ref="AD235:AD244" ca="1" si="64">IF(AA235="",NETWORKDAYS.INTL(AE235,TODAY(),1),0)</f>
        <v>33055</v>
      </c>
      <c r="AE235" s="99"/>
      <c r="AF235" s="105"/>
      <c r="AG235" s="103"/>
      <c r="AH235" s="105"/>
      <c r="AI235" s="105"/>
      <c r="AJ235" s="103"/>
      <c r="AK235" s="23">
        <f t="shared" ref="AK235:AK244" ca="1" si="65">IF(AH235="",NETWORKDAYS.INTL(AL235,TODAY(),1),0)</f>
        <v>33055</v>
      </c>
      <c r="AL235" s="103"/>
      <c r="AM235" s="103"/>
      <c r="AN235" s="105"/>
      <c r="AO235" s="105"/>
      <c r="AP235" s="103"/>
      <c r="AQ235" s="163">
        <f t="shared" ref="AQ235:AQ244" ca="1" si="66">IF(AN235="",NETWORKDAYS.INTL(AR235,TODAY(),1),0)</f>
        <v>33055</v>
      </c>
      <c r="AR235" s="163"/>
      <c r="AS235" s="100"/>
      <c r="AT235" s="101"/>
      <c r="AU235" s="103"/>
      <c r="AV235" s="103"/>
      <c r="AW235" s="103"/>
      <c r="AX235" s="103"/>
      <c r="AY235" s="103"/>
      <c r="AZ235" s="103"/>
      <c r="BA235" s="103"/>
      <c r="BB235" s="103"/>
      <c r="BC235" s="103"/>
      <c r="BD235" s="100" t="str">
        <f t="shared" si="54"/>
        <v/>
      </c>
      <c r="BE235" s="100" t="str">
        <f t="shared" si="55"/>
        <v/>
      </c>
      <c r="BF235" s="100" t="str">
        <f t="shared" si="56"/>
        <v/>
      </c>
      <c r="BG235" s="100" t="str">
        <f t="shared" si="57"/>
        <v/>
      </c>
      <c r="BH235" s="100" t="str">
        <f t="shared" si="58"/>
        <v/>
      </c>
      <c r="BI235" s="103"/>
    </row>
    <row r="236" spans="1:61" s="95" customFormat="1" ht="75">
      <c r="A236" s="21">
        <v>20171395004</v>
      </c>
      <c r="B236" s="19" t="str">
        <f>VLOOKUP(A236,'ESTADOS ESTUDIANTES'!B:L,2,0)</f>
        <v>CARDONA PIEDRAHITA LEONARDO ALEXANDER</v>
      </c>
      <c r="C236" s="19">
        <f>VLOOKUP(A236,'ESTADOS ESTUDIANTES'!B:L,11,0)</f>
        <v>1032433743</v>
      </c>
      <c r="D236" s="23">
        <f>VLOOKUP(A236,'ESTADOS ESTUDIANTES'!B:L,3,0)</f>
        <v>395</v>
      </c>
      <c r="E236" s="19" t="str">
        <f>VLOOKUP(A236,'ESTADOS ESTUDIANTES'!B:L,8,0)</f>
        <v>lacardonap@correo.udistrital.edu.co</v>
      </c>
      <c r="F236" s="19" t="str">
        <f>VLOOKUP(A236,'ESTADOS ESTUDIANTES'!B:L,9,0)</f>
        <v>leocardonapiedrahita@gmail.com</v>
      </c>
      <c r="G236" s="19" t="str">
        <f>VLOOKUP(A236,'ESTADOS ESTUDIANTES'!B:L,5,0)</f>
        <v>E</v>
      </c>
      <c r="H236" s="18" t="s">
        <v>46</v>
      </c>
      <c r="I236" s="18" t="s">
        <v>1860</v>
      </c>
      <c r="J236" s="125" t="s">
        <v>272</v>
      </c>
      <c r="K236" s="114" t="s">
        <v>1055</v>
      </c>
      <c r="L236" s="96"/>
      <c r="M236" s="97"/>
      <c r="N236" s="96">
        <v>43964</v>
      </c>
      <c r="O236" s="97">
        <v>86.09</v>
      </c>
      <c r="P236" s="98" t="s">
        <v>79</v>
      </c>
      <c r="Q236" s="18" t="s">
        <v>1861</v>
      </c>
      <c r="R236" s="96">
        <v>42894</v>
      </c>
      <c r="S236" s="21">
        <f>YEAR(R236)</f>
        <v>2017</v>
      </c>
      <c r="T236" s="18" t="s">
        <v>369</v>
      </c>
      <c r="U236" s="96">
        <v>43019</v>
      </c>
      <c r="V236" s="96">
        <v>43028</v>
      </c>
      <c r="W236" s="23"/>
      <c r="X236" s="91">
        <f t="shared" ca="1" si="63"/>
        <v>0</v>
      </c>
      <c r="Y236" s="18" t="s">
        <v>43</v>
      </c>
      <c r="Z236" s="18" t="s">
        <v>738</v>
      </c>
      <c r="AA236" s="96">
        <v>42933</v>
      </c>
      <c r="AB236" s="96">
        <v>42958</v>
      </c>
      <c r="AC236" s="23"/>
      <c r="AD236" s="21">
        <f t="shared" ca="1" si="64"/>
        <v>0</v>
      </c>
      <c r="AE236" s="18" t="s">
        <v>43</v>
      </c>
      <c r="AF236" s="96"/>
      <c r="AG236" s="18" t="s">
        <v>738</v>
      </c>
      <c r="AH236" s="96">
        <v>44446</v>
      </c>
      <c r="AI236" s="96">
        <v>44306</v>
      </c>
      <c r="AJ236" s="18" t="s">
        <v>1862</v>
      </c>
      <c r="AK236" s="23">
        <f t="shared" ca="1" si="65"/>
        <v>0</v>
      </c>
      <c r="AL236" s="18" t="s">
        <v>42</v>
      </c>
      <c r="AM236" s="18" t="s">
        <v>1590</v>
      </c>
      <c r="AN236" s="96">
        <v>44210</v>
      </c>
      <c r="AO236" s="96">
        <v>44232</v>
      </c>
      <c r="AP236" s="23"/>
      <c r="AQ236" s="164">
        <f t="shared" ca="1" si="66"/>
        <v>0</v>
      </c>
      <c r="AR236" s="164" t="s">
        <v>42</v>
      </c>
      <c r="AS236" s="18" t="s">
        <v>1863</v>
      </c>
      <c r="AT236" s="18" t="s">
        <v>1407</v>
      </c>
      <c r="AU236" s="18" t="s">
        <v>55</v>
      </c>
      <c r="AV236" s="124">
        <v>44483</v>
      </c>
      <c r="AW236" s="23"/>
      <c r="AX236" s="23"/>
      <c r="AY236" s="23"/>
      <c r="AZ236" s="23"/>
      <c r="BA236" s="23"/>
      <c r="BB236" s="23"/>
      <c r="BC236" s="18" t="s">
        <v>240</v>
      </c>
      <c r="BD236" s="100" t="str">
        <f t="shared" si="54"/>
        <v/>
      </c>
      <c r="BE236" s="100" t="str">
        <f t="shared" si="55"/>
        <v/>
      </c>
      <c r="BF236" s="100" t="str">
        <f t="shared" si="56"/>
        <v/>
      </c>
      <c r="BG236" s="100" t="str">
        <f t="shared" si="57"/>
        <v/>
      </c>
      <c r="BH236" s="100" t="str">
        <f t="shared" si="58"/>
        <v/>
      </c>
      <c r="BI236" s="23"/>
    </row>
    <row r="237" spans="1:61" s="95" customFormat="1" ht="105">
      <c r="A237" s="101">
        <v>20171395005</v>
      </c>
      <c r="B237" s="19" t="str">
        <f>VLOOKUP(A237,'ESTADOS ESTUDIANTES'!B:L,2,0)</f>
        <v>CARRILLO DURAN IVAN DARIO</v>
      </c>
      <c r="C237" s="102">
        <f>VLOOKUP(A237,'ESTADOS ESTUDIANTES'!B:L,11,0)</f>
        <v>1002021534</v>
      </c>
      <c r="D237" s="23">
        <f>VLOOKUP(A237,'ESTADOS ESTUDIANTES'!B:L,3,0)</f>
        <v>395</v>
      </c>
      <c r="E237" s="102" t="str">
        <f>VLOOKUP(A237,'ESTADOS ESTUDIANTES'!B:L,8,0)</f>
        <v>idcarrillod@correo.udistrital.edu.co</v>
      </c>
      <c r="F237" s="102" t="str">
        <f>VLOOKUP(A237,'ESTADOS ESTUDIANTES'!B:L,9,0)</f>
        <v>ivancho4321@hotmail.com</v>
      </c>
      <c r="G237" s="19" t="str">
        <f>VLOOKUP(A237,'ESTADOS ESTUDIANTES'!B:L,5,0)</f>
        <v>E</v>
      </c>
      <c r="H237" s="100" t="s">
        <v>60</v>
      </c>
      <c r="I237" s="100" t="s">
        <v>1864</v>
      </c>
      <c r="J237" s="108" t="s">
        <v>1181</v>
      </c>
      <c r="K237" s="103"/>
      <c r="L237" s="105"/>
      <c r="M237" s="106"/>
      <c r="N237" s="105">
        <v>43888</v>
      </c>
      <c r="O237" s="106">
        <v>88.7</v>
      </c>
      <c r="P237" s="112" t="s">
        <v>79</v>
      </c>
      <c r="Q237" s="100" t="s">
        <v>1854</v>
      </c>
      <c r="R237" s="105">
        <v>42888</v>
      </c>
      <c r="S237" s="102">
        <v>2017</v>
      </c>
      <c r="T237" s="100" t="s">
        <v>1443</v>
      </c>
      <c r="U237" s="105">
        <v>42950</v>
      </c>
      <c r="V237" s="105">
        <v>43023</v>
      </c>
      <c r="W237" s="103"/>
      <c r="X237" s="91">
        <f t="shared" ca="1" si="63"/>
        <v>0</v>
      </c>
      <c r="Y237" s="114" t="s">
        <v>43</v>
      </c>
      <c r="Z237" s="100" t="s">
        <v>1429</v>
      </c>
      <c r="AA237" s="105">
        <v>43556</v>
      </c>
      <c r="AB237" s="105">
        <v>43588</v>
      </c>
      <c r="AC237" s="100" t="s">
        <v>1865</v>
      </c>
      <c r="AD237" s="21">
        <f t="shared" ca="1" si="64"/>
        <v>0</v>
      </c>
      <c r="AE237" s="114" t="s">
        <v>43</v>
      </c>
      <c r="AF237" s="105">
        <v>44008</v>
      </c>
      <c r="AG237" s="100" t="s">
        <v>1429</v>
      </c>
      <c r="AH237" s="105">
        <v>44015</v>
      </c>
      <c r="AI237" s="105">
        <v>44063</v>
      </c>
      <c r="AJ237" s="103"/>
      <c r="AK237" s="23">
        <f t="shared" ca="1" si="65"/>
        <v>0</v>
      </c>
      <c r="AL237" s="100" t="s">
        <v>42</v>
      </c>
      <c r="AM237" s="100" t="s">
        <v>1443</v>
      </c>
      <c r="AN237" s="105">
        <v>44015</v>
      </c>
      <c r="AO237" s="105">
        <v>44064</v>
      </c>
      <c r="AP237" s="103"/>
      <c r="AQ237" s="162">
        <f t="shared" ca="1" si="66"/>
        <v>0</v>
      </c>
      <c r="AR237" s="162" t="s">
        <v>42</v>
      </c>
      <c r="AS237" s="100" t="s">
        <v>767</v>
      </c>
      <c r="AT237" s="100" t="s">
        <v>1407</v>
      </c>
      <c r="AU237" s="100" t="s">
        <v>41</v>
      </c>
      <c r="AV237" s="117">
        <v>44071</v>
      </c>
      <c r="AW237" s="103"/>
      <c r="AX237" s="103"/>
      <c r="AY237" s="103"/>
      <c r="AZ237" s="103"/>
      <c r="BA237" s="103"/>
      <c r="BB237" s="103"/>
      <c r="BC237" s="103"/>
      <c r="BD237" s="100" t="str">
        <f t="shared" si="54"/>
        <v/>
      </c>
      <c r="BE237" s="100" t="str">
        <f t="shared" si="55"/>
        <v/>
      </c>
      <c r="BF237" s="100" t="str">
        <f t="shared" si="56"/>
        <v/>
      </c>
      <c r="BG237" s="100" t="str">
        <f t="shared" si="57"/>
        <v/>
      </c>
      <c r="BH237" s="100" t="str">
        <f t="shared" si="58"/>
        <v/>
      </c>
      <c r="BI237" s="103"/>
    </row>
    <row r="238" spans="1:61" s="95" customFormat="1">
      <c r="A238" s="101">
        <v>20171395006</v>
      </c>
      <c r="B238" s="19" t="str">
        <f>VLOOKUP(A238,'ESTADOS ESTUDIANTES'!B:L,2,0)</f>
        <v>CARO MARTINEZ LAURA CONSUELO</v>
      </c>
      <c r="C238" s="102">
        <f>VLOOKUP(A238,'ESTADOS ESTUDIANTES'!B:L,11,0)</f>
        <v>33377617</v>
      </c>
      <c r="D238" s="23">
        <f>VLOOKUP(A238,'ESTADOS ESTUDIANTES'!B:L,3,0)</f>
        <v>395</v>
      </c>
      <c r="E238" s="102" t="str">
        <f>VLOOKUP(A238,'ESTADOS ESTUDIANTES'!B:L,8,0)</f>
        <v>lccarom@correo.udistrital.edu.co</v>
      </c>
      <c r="F238" s="102" t="str">
        <f>VLOOKUP(A238,'ESTADOS ESTUDIANTES'!B:L,9,0)</f>
        <v>conylaura@gmail.com</v>
      </c>
      <c r="G238" s="19" t="str">
        <f>VLOOKUP(A238,'ESTADOS ESTUDIANTES'!B:L,5,0)</f>
        <v>X</v>
      </c>
      <c r="H238" s="103"/>
      <c r="I238" s="103"/>
      <c r="J238" s="103"/>
      <c r="K238" s="103"/>
      <c r="L238" s="105"/>
      <c r="M238" s="106"/>
      <c r="N238" s="105"/>
      <c r="O238" s="106"/>
      <c r="P238" s="107"/>
      <c r="Q238" s="100"/>
      <c r="R238" s="105"/>
      <c r="S238" s="103"/>
      <c r="T238" s="103"/>
      <c r="U238" s="105"/>
      <c r="V238" s="105"/>
      <c r="W238" s="103"/>
      <c r="X238" s="91">
        <f t="shared" ca="1" si="63"/>
        <v>33055</v>
      </c>
      <c r="Y238" s="99"/>
      <c r="Z238" s="103"/>
      <c r="AA238" s="105"/>
      <c r="AB238" s="105"/>
      <c r="AC238" s="103"/>
      <c r="AD238" s="21">
        <f t="shared" ca="1" si="64"/>
        <v>33055</v>
      </c>
      <c r="AE238" s="99"/>
      <c r="AF238" s="105"/>
      <c r="AG238" s="103"/>
      <c r="AH238" s="105"/>
      <c r="AI238" s="105"/>
      <c r="AJ238" s="103"/>
      <c r="AK238" s="23">
        <f t="shared" ca="1" si="65"/>
        <v>33055</v>
      </c>
      <c r="AL238" s="103"/>
      <c r="AM238" s="103"/>
      <c r="AN238" s="105"/>
      <c r="AO238" s="105"/>
      <c r="AP238" s="103"/>
      <c r="AQ238" s="163">
        <f t="shared" ca="1" si="66"/>
        <v>33055</v>
      </c>
      <c r="AR238" s="163"/>
      <c r="AS238" s="101"/>
      <c r="AT238" s="101"/>
      <c r="AU238" s="103"/>
      <c r="AV238" s="103"/>
      <c r="AW238" s="103"/>
      <c r="AX238" s="103"/>
      <c r="AY238" s="103"/>
      <c r="AZ238" s="103"/>
      <c r="BA238" s="103"/>
      <c r="BB238" s="103"/>
      <c r="BC238" s="103"/>
      <c r="BD238" s="100" t="str">
        <f t="shared" si="54"/>
        <v/>
      </c>
      <c r="BE238" s="100" t="str">
        <f t="shared" si="55"/>
        <v/>
      </c>
      <c r="BF238" s="100" t="str">
        <f t="shared" si="56"/>
        <v/>
      </c>
      <c r="BG238" s="100" t="str">
        <f t="shared" si="57"/>
        <v/>
      </c>
      <c r="BH238" s="100" t="str">
        <f t="shared" si="58"/>
        <v/>
      </c>
      <c r="BI238" s="103"/>
    </row>
    <row r="239" spans="1:61" s="95" customFormat="1" ht="45">
      <c r="A239" s="101">
        <v>20171395008</v>
      </c>
      <c r="B239" s="19" t="str">
        <f>VLOOKUP(A239,'ESTADOS ESTUDIANTES'!B:L,2,0)</f>
        <v>GARZON MARTINEZ SONIA CONSTANZA</v>
      </c>
      <c r="C239" s="102">
        <f>VLOOKUP(A239,'ESTADOS ESTUDIANTES'!B:L,11,0)</f>
        <v>52546320</v>
      </c>
      <c r="D239" s="23">
        <f>VLOOKUP(A239,'ESTADOS ESTUDIANTES'!B:L,3,0)</f>
        <v>395</v>
      </c>
      <c r="E239" s="102" t="str">
        <f>VLOOKUP(A239,'ESTADOS ESTUDIANTES'!B:L,8,0)</f>
        <v>scgarzonm@correo.udistrital.edu.co</v>
      </c>
      <c r="F239" s="102" t="str">
        <f>VLOOKUP(A239,'ESTADOS ESTUDIANTES'!B:L,9,0)</f>
        <v>garzonsonia@gmail.com</v>
      </c>
      <c r="G239" s="19" t="str">
        <f>VLOOKUP(A239,'ESTADOS ESTUDIANTES'!B:L,5,0)</f>
        <v>E</v>
      </c>
      <c r="H239" s="100" t="s">
        <v>46</v>
      </c>
      <c r="I239" s="100" t="s">
        <v>1866</v>
      </c>
      <c r="J239" s="108" t="s">
        <v>1066</v>
      </c>
      <c r="K239" s="103"/>
      <c r="L239" s="105"/>
      <c r="M239" s="106"/>
      <c r="N239" s="105">
        <v>43888</v>
      </c>
      <c r="O239" s="106">
        <v>72.17</v>
      </c>
      <c r="P239" s="112" t="s">
        <v>79</v>
      </c>
      <c r="Q239" s="100" t="s">
        <v>1854</v>
      </c>
      <c r="R239" s="105">
        <v>42878</v>
      </c>
      <c r="S239" s="102">
        <v>2017</v>
      </c>
      <c r="T239" s="100" t="s">
        <v>1443</v>
      </c>
      <c r="U239" s="105">
        <v>42950</v>
      </c>
      <c r="V239" s="105">
        <v>42978</v>
      </c>
      <c r="W239" s="103"/>
      <c r="X239" s="91">
        <f t="shared" ca="1" si="63"/>
        <v>0</v>
      </c>
      <c r="Y239" s="114" t="s">
        <v>43</v>
      </c>
      <c r="Z239" s="100" t="s">
        <v>1427</v>
      </c>
      <c r="AA239" s="105">
        <v>43062</v>
      </c>
      <c r="AB239" s="105">
        <v>43081</v>
      </c>
      <c r="AC239" s="103"/>
      <c r="AD239" s="21">
        <f t="shared" ca="1" si="64"/>
        <v>0</v>
      </c>
      <c r="AE239" s="114" t="s">
        <v>43</v>
      </c>
      <c r="AF239" s="105"/>
      <c r="AG239" s="100" t="s">
        <v>1427</v>
      </c>
      <c r="AH239" s="105">
        <v>44210</v>
      </c>
      <c r="AI239" s="105">
        <v>44235</v>
      </c>
      <c r="AJ239" s="103"/>
      <c r="AK239" s="23">
        <f t="shared" ca="1" si="65"/>
        <v>0</v>
      </c>
      <c r="AL239" s="100" t="s">
        <v>42</v>
      </c>
      <c r="AM239" s="100" t="s">
        <v>1443</v>
      </c>
      <c r="AN239" s="105">
        <v>44210</v>
      </c>
      <c r="AO239" s="105">
        <v>44257</v>
      </c>
      <c r="AP239" s="103"/>
      <c r="AQ239" s="163">
        <f t="shared" ca="1" si="66"/>
        <v>0</v>
      </c>
      <c r="AR239" s="162" t="s">
        <v>42</v>
      </c>
      <c r="AS239" s="115">
        <v>44317</v>
      </c>
      <c r="AT239" s="116">
        <v>44777</v>
      </c>
      <c r="AU239" s="100" t="s">
        <v>41</v>
      </c>
      <c r="AV239" s="117">
        <v>44291</v>
      </c>
      <c r="AW239" s="103"/>
      <c r="AX239" s="103"/>
      <c r="AY239" s="103"/>
      <c r="AZ239" s="103"/>
      <c r="BA239" s="103"/>
      <c r="BB239" s="103"/>
      <c r="BC239" s="100" t="s">
        <v>240</v>
      </c>
      <c r="BD239" s="100" t="str">
        <f t="shared" si="54"/>
        <v/>
      </c>
      <c r="BE239" s="100" t="str">
        <f t="shared" si="55"/>
        <v/>
      </c>
      <c r="BF239" s="100" t="str">
        <f t="shared" si="56"/>
        <v/>
      </c>
      <c r="BG239" s="100" t="str">
        <f t="shared" si="57"/>
        <v/>
      </c>
      <c r="BH239" s="100" t="str">
        <f t="shared" si="58"/>
        <v/>
      </c>
      <c r="BI239" s="103"/>
    </row>
    <row r="240" spans="1:61" s="95" customFormat="1" ht="45">
      <c r="A240" s="101">
        <v>20171395009</v>
      </c>
      <c r="B240" s="19" t="str">
        <f>VLOOKUP(A240,'ESTADOS ESTUDIANTES'!B:L,2,0)</f>
        <v>GONZALEZ PARRA CAMILO ANDRES</v>
      </c>
      <c r="C240" s="102">
        <f>VLOOKUP(A240,'ESTADOS ESTUDIANTES'!B:L,11,0)</f>
        <v>1023910593</v>
      </c>
      <c r="D240" s="23">
        <f>VLOOKUP(A240,'ESTADOS ESTUDIANTES'!B:L,3,0)</f>
        <v>395</v>
      </c>
      <c r="E240" s="102" t="str">
        <f>VLOOKUP(A240,'ESTADOS ESTUDIANTES'!B:L,8,0)</f>
        <v>cagonzalezp@correo.udistrital.edu.co</v>
      </c>
      <c r="F240" s="102" t="str">
        <f>VLOOKUP(A240,'ESTADOS ESTUDIANTES'!B:L,9,0)</f>
        <v>camiloandresgonzalezp@gmail.com</v>
      </c>
      <c r="G240" s="19" t="str">
        <f>VLOOKUP(A240,'ESTADOS ESTUDIANTES'!B:L,5,0)</f>
        <v>E</v>
      </c>
      <c r="H240" s="100" t="s">
        <v>60</v>
      </c>
      <c r="I240" s="100" t="s">
        <v>1867</v>
      </c>
      <c r="J240" s="104"/>
      <c r="K240" s="103"/>
      <c r="L240" s="105"/>
      <c r="M240" s="106"/>
      <c r="N240" s="105">
        <v>44097</v>
      </c>
      <c r="O240" s="106">
        <v>56.52</v>
      </c>
      <c r="P240" s="112" t="s">
        <v>87</v>
      </c>
      <c r="Q240" s="100" t="s">
        <v>1868</v>
      </c>
      <c r="R240" s="105">
        <v>42860</v>
      </c>
      <c r="S240" s="102">
        <v>2017</v>
      </c>
      <c r="T240" s="100" t="s">
        <v>356</v>
      </c>
      <c r="U240" s="105">
        <v>43353</v>
      </c>
      <c r="V240" s="105">
        <v>43049</v>
      </c>
      <c r="W240" s="102">
        <v>2</v>
      </c>
      <c r="X240" s="91">
        <f t="shared" ca="1" si="63"/>
        <v>0</v>
      </c>
      <c r="Y240" s="114" t="s">
        <v>43</v>
      </c>
      <c r="Z240" s="100" t="s">
        <v>1869</v>
      </c>
      <c r="AA240" s="105">
        <v>42894</v>
      </c>
      <c r="AB240" s="105">
        <v>42902</v>
      </c>
      <c r="AC240" s="103"/>
      <c r="AD240" s="21">
        <f t="shared" ca="1" si="64"/>
        <v>0</v>
      </c>
      <c r="AE240" s="114" t="s">
        <v>43</v>
      </c>
      <c r="AF240" s="105">
        <v>43431</v>
      </c>
      <c r="AG240" s="100" t="s">
        <v>1869</v>
      </c>
      <c r="AH240" s="105">
        <v>43490</v>
      </c>
      <c r="AI240" s="105">
        <v>43502</v>
      </c>
      <c r="AJ240" s="103"/>
      <c r="AK240" s="23">
        <f t="shared" ca="1" si="65"/>
        <v>0</v>
      </c>
      <c r="AL240" s="100" t="s">
        <v>42</v>
      </c>
      <c r="AM240" s="100" t="s">
        <v>1870</v>
      </c>
      <c r="AN240" s="105">
        <v>44253</v>
      </c>
      <c r="AO240" s="105">
        <v>44260</v>
      </c>
      <c r="AP240" s="100" t="s">
        <v>1871</v>
      </c>
      <c r="AQ240" s="163">
        <f t="shared" ca="1" si="66"/>
        <v>0</v>
      </c>
      <c r="AR240" s="162" t="s">
        <v>42</v>
      </c>
      <c r="AS240" s="115">
        <v>44348</v>
      </c>
      <c r="AT240" s="116">
        <v>44746</v>
      </c>
      <c r="AU240" s="100" t="s">
        <v>41</v>
      </c>
      <c r="AV240" s="117">
        <v>44302</v>
      </c>
      <c r="AW240" s="103"/>
      <c r="AX240" s="103"/>
      <c r="AY240" s="100" t="s">
        <v>1872</v>
      </c>
      <c r="AZ240" s="102">
        <v>44110</v>
      </c>
      <c r="BA240" s="102"/>
      <c r="BB240" s="103"/>
      <c r="BC240" s="100" t="s">
        <v>240</v>
      </c>
      <c r="BD240" s="100" t="str">
        <f t="shared" si="54"/>
        <v/>
      </c>
      <c r="BE240" s="100" t="str">
        <f t="shared" si="55"/>
        <v/>
      </c>
      <c r="BF240" s="100" t="str">
        <f t="shared" si="56"/>
        <v/>
      </c>
      <c r="BG240" s="100" t="str">
        <f t="shared" si="57"/>
        <v/>
      </c>
      <c r="BH240" s="100" t="str">
        <f t="shared" si="58"/>
        <v/>
      </c>
      <c r="BI240" s="103"/>
    </row>
    <row r="241" spans="1:61" s="95" customFormat="1" ht="75">
      <c r="A241" s="21">
        <v>20171395011</v>
      </c>
      <c r="B241" s="19" t="str">
        <f>VLOOKUP(A241,'ESTADOS ESTUDIANTES'!B:L,2,0)</f>
        <v>RODRIGUEZ LAMUS DIEGO FERNANDO</v>
      </c>
      <c r="C241" s="19">
        <f>VLOOKUP(A241,'ESTADOS ESTUDIANTES'!B:L,11,0)</f>
        <v>1018469957</v>
      </c>
      <c r="D241" s="23">
        <f>VLOOKUP(A241,'ESTADOS ESTUDIANTES'!B:L,3,0)</f>
        <v>395</v>
      </c>
      <c r="E241" s="19" t="str">
        <f>VLOOKUP(A241,'ESTADOS ESTUDIANTES'!B:L,8,0)</f>
        <v>dfrodriguezl@correo.udistrital.edu.co</v>
      </c>
      <c r="F241" s="19" t="str">
        <f>VLOOKUP(A241,'ESTADOS ESTUDIANTES'!B:L,9,0)</f>
        <v>dfrodriguezl94@gmail.com</v>
      </c>
      <c r="G241" s="19" t="str">
        <f>VLOOKUP(A241,'ESTADOS ESTUDIANTES'!B:L,5,0)</f>
        <v>E</v>
      </c>
      <c r="H241" s="18" t="s">
        <v>60</v>
      </c>
      <c r="I241" s="18" t="s">
        <v>1873</v>
      </c>
      <c r="J241" s="125" t="s">
        <v>1061</v>
      </c>
      <c r="K241" s="23"/>
      <c r="L241" s="96"/>
      <c r="M241" s="97"/>
      <c r="N241" s="96">
        <v>43888</v>
      </c>
      <c r="O241" s="97">
        <v>70</v>
      </c>
      <c r="P241" s="98" t="s">
        <v>79</v>
      </c>
      <c r="Q241" s="18" t="s">
        <v>1861</v>
      </c>
      <c r="R241" s="96">
        <v>43018</v>
      </c>
      <c r="S241" s="21">
        <f>YEAR(R241)</f>
        <v>2017</v>
      </c>
      <c r="T241" s="18" t="s">
        <v>1103</v>
      </c>
      <c r="U241" s="96">
        <v>43038</v>
      </c>
      <c r="V241" s="96">
        <v>43087</v>
      </c>
      <c r="W241" s="23"/>
      <c r="X241" s="91">
        <f t="shared" ca="1" si="63"/>
        <v>0</v>
      </c>
      <c r="Y241" s="114" t="s">
        <v>43</v>
      </c>
      <c r="Z241" s="18" t="s">
        <v>270</v>
      </c>
      <c r="AA241" s="96">
        <v>43025</v>
      </c>
      <c r="AB241" s="96">
        <v>43038</v>
      </c>
      <c r="AC241" s="23"/>
      <c r="AD241" s="21">
        <f t="shared" ca="1" si="64"/>
        <v>0</v>
      </c>
      <c r="AE241" s="114" t="s">
        <v>43</v>
      </c>
      <c r="AF241" s="96">
        <v>43983</v>
      </c>
      <c r="AG241" s="18" t="s">
        <v>270</v>
      </c>
      <c r="AH241" s="96">
        <v>44319</v>
      </c>
      <c r="AI241" s="96">
        <v>44368</v>
      </c>
      <c r="AJ241" s="18" t="s">
        <v>1874</v>
      </c>
      <c r="AK241" s="23">
        <f t="shared" ca="1" si="65"/>
        <v>0</v>
      </c>
      <c r="AL241" s="18" t="s">
        <v>42</v>
      </c>
      <c r="AM241" s="18" t="s">
        <v>1091</v>
      </c>
      <c r="AN241" s="96">
        <v>44319</v>
      </c>
      <c r="AO241" s="96">
        <v>44351</v>
      </c>
      <c r="AP241" s="18" t="s">
        <v>1875</v>
      </c>
      <c r="AQ241" s="164">
        <f t="shared" ca="1" si="66"/>
        <v>0</v>
      </c>
      <c r="AR241" s="164" t="s">
        <v>42</v>
      </c>
      <c r="AS241" s="18" t="s">
        <v>1876</v>
      </c>
      <c r="AT241" s="126">
        <v>44624</v>
      </c>
      <c r="AU241" s="18" t="s">
        <v>41</v>
      </c>
      <c r="AV241" s="120">
        <v>44504</v>
      </c>
      <c r="AW241" s="23"/>
      <c r="AX241" s="23"/>
      <c r="AY241" s="18" t="s">
        <v>1877</v>
      </c>
      <c r="AZ241" s="19">
        <v>44425</v>
      </c>
      <c r="BA241" s="19"/>
      <c r="BB241" s="18" t="s">
        <v>1878</v>
      </c>
      <c r="BC241" s="18" t="s">
        <v>240</v>
      </c>
      <c r="BD241" s="100" t="str">
        <f t="shared" si="54"/>
        <v/>
      </c>
      <c r="BE241" s="100" t="str">
        <f t="shared" si="55"/>
        <v/>
      </c>
      <c r="BF241" s="100" t="str">
        <f t="shared" si="56"/>
        <v/>
      </c>
      <c r="BG241" s="100" t="str">
        <f t="shared" si="57"/>
        <v/>
      </c>
      <c r="BH241" s="100" t="str">
        <f t="shared" si="58"/>
        <v/>
      </c>
      <c r="BI241" s="23"/>
    </row>
    <row r="242" spans="1:61" s="95" customFormat="1" ht="45">
      <c r="A242" s="101">
        <v>20171395012</v>
      </c>
      <c r="B242" s="19" t="str">
        <f>VLOOKUP(A242,'ESTADOS ESTUDIANTES'!B:L,2,0)</f>
        <v>ORDUÑA DIAZ JOHN ALEXANDER</v>
      </c>
      <c r="C242" s="102">
        <f>VLOOKUP(A242,'ESTADOS ESTUDIANTES'!B:L,11,0)</f>
        <v>80778345</v>
      </c>
      <c r="D242" s="23">
        <f>VLOOKUP(A242,'ESTADOS ESTUDIANTES'!B:L,3,0)</f>
        <v>395</v>
      </c>
      <c r="E242" s="102" t="str">
        <f>VLOOKUP(A242,'ESTADOS ESTUDIANTES'!B:L,8,0)</f>
        <v>jaordunad@correo.udistrital.edu.co</v>
      </c>
      <c r="F242" s="102" t="str">
        <f>VLOOKUP(A242,'ESTADOS ESTUDIANTES'!B:L,9,0)</f>
        <v>jalexorduna@gmail.com</v>
      </c>
      <c r="G242" s="19" t="str">
        <f>VLOOKUP(A242,'ESTADOS ESTUDIANTES'!B:L,5,0)</f>
        <v>X</v>
      </c>
      <c r="H242" s="100" t="s">
        <v>60</v>
      </c>
      <c r="I242" s="100" t="s">
        <v>1879</v>
      </c>
      <c r="J242" s="100" t="s">
        <v>1066</v>
      </c>
      <c r="K242" s="103"/>
      <c r="L242" s="105"/>
      <c r="M242" s="106"/>
      <c r="N242" s="105"/>
      <c r="O242" s="106"/>
      <c r="P242" s="107"/>
      <c r="Q242" s="100" t="s">
        <v>1854</v>
      </c>
      <c r="R242" s="105">
        <v>42887</v>
      </c>
      <c r="S242" s="102">
        <v>2017</v>
      </c>
      <c r="T242" s="100" t="s">
        <v>1880</v>
      </c>
      <c r="U242" s="105">
        <v>42970</v>
      </c>
      <c r="V242" s="105">
        <v>43003</v>
      </c>
      <c r="W242" s="103"/>
      <c r="X242" s="91">
        <f t="shared" ca="1" si="63"/>
        <v>0</v>
      </c>
      <c r="Y242" s="114" t="s">
        <v>56</v>
      </c>
      <c r="Z242" s="100" t="s">
        <v>738</v>
      </c>
      <c r="AA242" s="105">
        <v>42930</v>
      </c>
      <c r="AB242" s="105">
        <v>42958</v>
      </c>
      <c r="AC242" s="103"/>
      <c r="AD242" s="21">
        <f t="shared" ca="1" si="64"/>
        <v>0</v>
      </c>
      <c r="AE242" s="114" t="s">
        <v>56</v>
      </c>
      <c r="AF242" s="105"/>
      <c r="AG242" s="103"/>
      <c r="AH242" s="105"/>
      <c r="AI242" s="105"/>
      <c r="AJ242" s="103"/>
      <c r="AK242" s="23">
        <f t="shared" ca="1" si="65"/>
        <v>33055</v>
      </c>
      <c r="AL242" s="103"/>
      <c r="AM242" s="103"/>
      <c r="AN242" s="105"/>
      <c r="AO242" s="105"/>
      <c r="AP242" s="103"/>
      <c r="AQ242" s="162">
        <f t="shared" ca="1" si="66"/>
        <v>33055</v>
      </c>
      <c r="AR242" s="163"/>
      <c r="AS242" s="101"/>
      <c r="AT242" s="101"/>
      <c r="AU242" s="103"/>
      <c r="AV242" s="103"/>
      <c r="AW242" s="103"/>
      <c r="AX242" s="103"/>
      <c r="AY242" s="103"/>
      <c r="AZ242" s="103"/>
      <c r="BA242" s="103"/>
      <c r="BB242" s="103"/>
      <c r="BC242" s="103"/>
      <c r="BD242" s="100" t="str">
        <f t="shared" si="54"/>
        <v/>
      </c>
      <c r="BE242" s="100" t="str">
        <f t="shared" si="55"/>
        <v/>
      </c>
      <c r="BF242" s="100" t="str">
        <f t="shared" si="56"/>
        <v/>
      </c>
      <c r="BG242" s="100" t="str">
        <f t="shared" si="57"/>
        <v/>
      </c>
      <c r="BH242" s="100" t="str">
        <f t="shared" si="58"/>
        <v/>
      </c>
      <c r="BI242" s="103"/>
    </row>
    <row r="243" spans="1:61" s="95" customFormat="1">
      <c r="A243" s="101">
        <v>20171395013</v>
      </c>
      <c r="B243" s="19" t="str">
        <f>VLOOKUP(A243,'ESTADOS ESTUDIANTES'!B:L,2,0)</f>
        <v>DEAZA CASTILLO DIEGO ALBERTO</v>
      </c>
      <c r="C243" s="102">
        <f>VLOOKUP(A243,'ESTADOS ESTUDIANTES'!B:L,11,0)</f>
        <v>79708519</v>
      </c>
      <c r="D243" s="23">
        <f>VLOOKUP(A243,'ESTADOS ESTUDIANTES'!B:L,3,0)</f>
        <v>395</v>
      </c>
      <c r="E243" s="102" t="str">
        <f>VLOOKUP(A243,'ESTADOS ESTUDIANTES'!B:L,8,0)</f>
        <v>dadeazac@correo.udistrital.edu.co</v>
      </c>
      <c r="F243" s="102" t="str">
        <f>VLOOKUP(A243,'ESTADOS ESTUDIANTES'!B:L,9,0)</f>
        <v>dadeaza@gmail.com</v>
      </c>
      <c r="G243" s="19" t="str">
        <f>VLOOKUP(A243,'ESTADOS ESTUDIANTES'!B:L,5,0)</f>
        <v>X</v>
      </c>
      <c r="H243" s="100" t="s">
        <v>46</v>
      </c>
      <c r="I243" s="103"/>
      <c r="J243" s="103"/>
      <c r="K243" s="103"/>
      <c r="L243" s="105"/>
      <c r="M243" s="106"/>
      <c r="N243" s="105"/>
      <c r="O243" s="106"/>
      <c r="P243" s="107"/>
      <c r="Q243" s="100"/>
      <c r="R243" s="105"/>
      <c r="S243" s="103"/>
      <c r="T243" s="103"/>
      <c r="U243" s="105"/>
      <c r="V243" s="105"/>
      <c r="W243" s="103"/>
      <c r="X243" s="91">
        <f t="shared" ca="1" si="63"/>
        <v>33055</v>
      </c>
      <c r="Y243" s="99"/>
      <c r="Z243" s="103"/>
      <c r="AA243" s="105"/>
      <c r="AB243" s="105"/>
      <c r="AC243" s="103"/>
      <c r="AD243" s="21">
        <f t="shared" ca="1" si="64"/>
        <v>33055</v>
      </c>
      <c r="AE243" s="99"/>
      <c r="AF243" s="105"/>
      <c r="AG243" s="103"/>
      <c r="AH243" s="105"/>
      <c r="AI243" s="105"/>
      <c r="AJ243" s="103"/>
      <c r="AK243" s="23">
        <f t="shared" ca="1" si="65"/>
        <v>33055</v>
      </c>
      <c r="AL243" s="103"/>
      <c r="AM243" s="103"/>
      <c r="AN243" s="105"/>
      <c r="AO243" s="105"/>
      <c r="AP243" s="103"/>
      <c r="AQ243" s="161">
        <f t="shared" ca="1" si="66"/>
        <v>33055</v>
      </c>
      <c r="AR243" s="163"/>
      <c r="AS243" s="101"/>
      <c r="AT243" s="101"/>
      <c r="AU243" s="103"/>
      <c r="AV243" s="103"/>
      <c r="AW243" s="103"/>
      <c r="AX243" s="103"/>
      <c r="AY243" s="103"/>
      <c r="AZ243" s="103"/>
      <c r="BA243" s="103"/>
      <c r="BB243" s="103"/>
      <c r="BC243" s="103"/>
      <c r="BD243" s="100" t="str">
        <f t="shared" si="54"/>
        <v/>
      </c>
      <c r="BE243" s="100" t="str">
        <f t="shared" si="55"/>
        <v/>
      </c>
      <c r="BF243" s="100" t="str">
        <f t="shared" si="56"/>
        <v/>
      </c>
      <c r="BG243" s="100" t="str">
        <f t="shared" si="57"/>
        <v/>
      </c>
      <c r="BH243" s="100" t="str">
        <f t="shared" si="58"/>
        <v/>
      </c>
      <c r="BI243" s="103"/>
    </row>
    <row r="244" spans="1:61" s="95" customFormat="1" ht="75">
      <c r="A244" s="21">
        <v>20171495001</v>
      </c>
      <c r="B244" s="19" t="str">
        <f>VLOOKUP(A244,'ESTADOS ESTUDIANTES'!B:L,2,0)</f>
        <v>AMEZQUITA TOVAR JUAN CARLOS</v>
      </c>
      <c r="C244" s="19">
        <f>VLOOKUP(A244,'ESTADOS ESTUDIANTES'!B:L,11,0)</f>
        <v>80124664</v>
      </c>
      <c r="D244" s="23">
        <f>VLOOKUP(A244,'ESTADOS ESTUDIANTES'!B:L,3,0)</f>
        <v>495</v>
      </c>
      <c r="E244" s="19" t="str">
        <f>VLOOKUP(A244,'ESTADOS ESTUDIANTES'!B:L,8,0)</f>
        <v>jucamezquitat@correo.udistrital.edu.co</v>
      </c>
      <c r="F244" s="19" t="str">
        <f>VLOOKUP(A244,'ESTADOS ESTUDIANTES'!B:L,9,0)</f>
        <v>t.amezquita.juancarlos@gmail.com</v>
      </c>
      <c r="G244" s="19" t="str">
        <f>VLOOKUP(A244,'ESTADOS ESTUDIANTES'!B:L,5,0)</f>
        <v>E</v>
      </c>
      <c r="H244" s="18" t="s">
        <v>60</v>
      </c>
      <c r="I244" s="18" t="s">
        <v>1881</v>
      </c>
      <c r="J244" s="18" t="s">
        <v>1061</v>
      </c>
      <c r="K244" s="23"/>
      <c r="L244" s="96"/>
      <c r="M244" s="97"/>
      <c r="N244" s="96">
        <v>43964</v>
      </c>
      <c r="O244" s="97">
        <v>82.61</v>
      </c>
      <c r="P244" s="98" t="s">
        <v>79</v>
      </c>
      <c r="Q244" s="18" t="s">
        <v>1882</v>
      </c>
      <c r="R244" s="18" t="s">
        <v>1883</v>
      </c>
      <c r="S244" s="21">
        <v>2018</v>
      </c>
      <c r="T244" s="18" t="s">
        <v>303</v>
      </c>
      <c r="U244" s="96">
        <v>43577</v>
      </c>
      <c r="V244" s="96">
        <v>43622</v>
      </c>
      <c r="W244" s="18" t="s">
        <v>1884</v>
      </c>
      <c r="X244" s="91">
        <f t="shared" ca="1" si="63"/>
        <v>0</v>
      </c>
      <c r="Y244" s="18" t="s">
        <v>43</v>
      </c>
      <c r="Z244" s="18" t="s">
        <v>382</v>
      </c>
      <c r="AA244" s="96">
        <v>43500</v>
      </c>
      <c r="AB244" s="96">
        <v>43522</v>
      </c>
      <c r="AC244" s="23"/>
      <c r="AD244" s="21">
        <f t="shared" ca="1" si="64"/>
        <v>0</v>
      </c>
      <c r="AE244" s="18" t="s">
        <v>43</v>
      </c>
      <c r="AF244" s="96"/>
      <c r="AG244" s="18" t="s">
        <v>1479</v>
      </c>
      <c r="AH244" s="96">
        <v>44160</v>
      </c>
      <c r="AI244" s="96">
        <v>44232</v>
      </c>
      <c r="AJ244" s="23"/>
      <c r="AK244" s="23">
        <f t="shared" ca="1" si="65"/>
        <v>0</v>
      </c>
      <c r="AL244" s="18" t="s">
        <v>42</v>
      </c>
      <c r="AM244" s="18" t="s">
        <v>1529</v>
      </c>
      <c r="AN244" s="96">
        <v>44160</v>
      </c>
      <c r="AO244" s="96">
        <v>44165</v>
      </c>
      <c r="AP244" s="99"/>
      <c r="AQ244" s="162">
        <f t="shared" ca="1" si="66"/>
        <v>0</v>
      </c>
      <c r="AR244" s="164" t="s">
        <v>42</v>
      </c>
      <c r="AS244" s="151">
        <v>44228</v>
      </c>
      <c r="AT244" s="18" t="s">
        <v>1407</v>
      </c>
      <c r="AU244" s="18" t="s">
        <v>41</v>
      </c>
      <c r="AV244" s="120">
        <v>44258</v>
      </c>
      <c r="AW244" s="23"/>
      <c r="AX244" s="23"/>
      <c r="AY244" s="18" t="s">
        <v>522</v>
      </c>
      <c r="AZ244" s="124">
        <v>44545</v>
      </c>
      <c r="BA244" s="124"/>
      <c r="BB244" s="18" t="s">
        <v>51</v>
      </c>
      <c r="BC244" s="18" t="s">
        <v>240</v>
      </c>
      <c r="BD244" s="100" t="str">
        <f t="shared" si="54"/>
        <v/>
      </c>
      <c r="BE244" s="100" t="str">
        <f t="shared" si="55"/>
        <v/>
      </c>
      <c r="BF244" s="100" t="str">
        <f t="shared" si="56"/>
        <v/>
      </c>
      <c r="BG244" s="100" t="str">
        <f t="shared" si="57"/>
        <v/>
      </c>
      <c r="BH244" s="100" t="str">
        <f t="shared" si="58"/>
        <v/>
      </c>
      <c r="BI244" s="23"/>
    </row>
    <row r="245" spans="1:61" s="95" customFormat="1">
      <c r="A245" s="101">
        <v>20171495004</v>
      </c>
      <c r="B245" s="19" t="str">
        <f>VLOOKUP(A245,'ESTADOS ESTUDIANTES'!B:L,2,0)</f>
        <v>BECERRA RUIZ JEFFER IVAN</v>
      </c>
      <c r="C245" s="102">
        <f>VLOOKUP(A245,'ESTADOS ESTUDIANTES'!B:L,11,0)</f>
        <v>1049627823</v>
      </c>
      <c r="D245" s="23">
        <f>VLOOKUP(A245,'ESTADOS ESTUDIANTES'!B:L,3,0)</f>
        <v>495</v>
      </c>
      <c r="E245" s="102" t="str">
        <f>VLOOKUP(A245,'ESTADOS ESTUDIANTES'!B:L,8,0)</f>
        <v>jibecerrar@udistrital.edu.co</v>
      </c>
      <c r="F245" s="102" t="str">
        <f>VLOOKUP(A245,'ESTADOS ESTUDIANTES'!B:L,9,0)</f>
        <v>jeffer.becerra@uptc.edu.co</v>
      </c>
      <c r="G245" s="19" t="str">
        <f>VLOOKUP(A245,'ESTADOS ESTUDIANTES'!B:L,5,0)</f>
        <v>N</v>
      </c>
      <c r="H245" s="100" t="s">
        <v>46</v>
      </c>
      <c r="I245" s="103"/>
      <c r="J245" s="103"/>
      <c r="K245" s="103"/>
      <c r="L245" s="105"/>
      <c r="M245" s="106"/>
      <c r="N245" s="105"/>
      <c r="O245" s="106"/>
      <c r="P245" s="107"/>
      <c r="Q245" s="100"/>
      <c r="R245" s="105"/>
      <c r="S245" s="103"/>
      <c r="T245" s="100" t="s">
        <v>281</v>
      </c>
      <c r="U245" s="105"/>
      <c r="V245" s="105"/>
      <c r="W245" s="103"/>
      <c r="X245" s="91">
        <f t="shared" ref="X245:X254" ca="1" si="67">IF(U245="",NETWORKDAYS.INTL(Y245,TODAY(),1),0)</f>
        <v>33055</v>
      </c>
      <c r="Y245" s="99"/>
      <c r="Z245" s="103"/>
      <c r="AA245" s="105"/>
      <c r="AB245" s="105"/>
      <c r="AC245" s="103"/>
      <c r="AD245" s="21">
        <f t="shared" ref="AD245:AD254" ca="1" si="68">IF(AA245="",NETWORKDAYS.INTL(AE245,TODAY(),1),0)</f>
        <v>33055</v>
      </c>
      <c r="AE245" s="99"/>
      <c r="AF245" s="105"/>
      <c r="AG245" s="103"/>
      <c r="AH245" s="105"/>
      <c r="AI245" s="105"/>
      <c r="AJ245" s="103"/>
      <c r="AK245" s="23">
        <f t="shared" ref="AK245:AK254" ca="1" si="69">IF(AH245="",NETWORKDAYS.INTL(AL245,TODAY(),1),0)</f>
        <v>33055</v>
      </c>
      <c r="AL245" s="103"/>
      <c r="AM245" s="103"/>
      <c r="AN245" s="105"/>
      <c r="AO245" s="105"/>
      <c r="AP245" s="103"/>
      <c r="AQ245" s="163">
        <f t="shared" ref="AQ245:AQ254" ca="1" si="70">IF(AN245="",NETWORKDAYS.INTL(AR245,TODAY(),1),0)</f>
        <v>33055</v>
      </c>
      <c r="AR245" s="163"/>
      <c r="AS245" s="100"/>
      <c r="AT245" s="101"/>
      <c r="AU245" s="103"/>
      <c r="AV245" s="103"/>
      <c r="AW245" s="103"/>
      <c r="AX245" s="103"/>
      <c r="AY245" s="103"/>
      <c r="AZ245" s="103"/>
      <c r="BA245" s="103"/>
      <c r="BB245" s="103"/>
      <c r="BC245" s="103"/>
      <c r="BD245" s="100" t="str">
        <f t="shared" ref="BD245:BD296" si="71">IF(OR($G245="A",$G245="D",$G245="P",$G245="V"),J245,"")</f>
        <v/>
      </c>
      <c r="BE245" s="100" t="str">
        <f t="shared" ref="BE245:BE296" si="72">IF(OR($G245="A",$G245="D",$G245="P",$G245="V"),T245,"")</f>
        <v/>
      </c>
      <c r="BF245" s="100" t="str">
        <f t="shared" ref="BF245:BF296" si="73">IF(OR($G245="A",$G245="D",$G245="P",$G245="V"),Z245,"")</f>
        <v/>
      </c>
      <c r="BG245" s="100" t="str">
        <f t="shared" ref="BG245:BG296" si="74">IF(OR($G245="A",$G245="D",$G245="P",$G245="V"),AM245,"")</f>
        <v/>
      </c>
      <c r="BH245" s="100" t="str">
        <f t="shared" ref="BH245:BH296" si="75">IF(OR($G245="A",$G245="D",$G245="P",$G245="V"),AG245,"")</f>
        <v/>
      </c>
      <c r="BI245" s="103"/>
    </row>
    <row r="246" spans="1:61" s="95" customFormat="1">
      <c r="A246" s="101">
        <v>20171495005</v>
      </c>
      <c r="B246" s="19" t="str">
        <f>VLOOKUP(A246,'ESTADOS ESTUDIANTES'!B:L,2,0)</f>
        <v>CAPERA NOMELIN EINER FABIAN</v>
      </c>
      <c r="C246" s="103">
        <f>VLOOKUP(A246,'ESTADOS ESTUDIANTES'!B:L,11,0)</f>
        <v>1030558261</v>
      </c>
      <c r="D246" s="23">
        <f>VLOOKUP(A246,'ESTADOS ESTUDIANTES'!B:L,3,0)</f>
        <v>495</v>
      </c>
      <c r="E246" s="102" t="str">
        <f>VLOOKUP(A246,'ESTADOS ESTUDIANTES'!B:L,8,0)</f>
        <v>efcaperan@correo.udistrital.edu.co</v>
      </c>
      <c r="F246" s="102" t="str">
        <f>VLOOKUP(A246,'ESTADOS ESTUDIANTES'!B:L,9,0)</f>
        <v>einer58@gmail.com</v>
      </c>
      <c r="G246" s="19" t="str">
        <f>VLOOKUP(A246,'ESTADOS ESTUDIANTES'!B:L,5,0)</f>
        <v>X</v>
      </c>
      <c r="H246" s="103"/>
      <c r="I246" s="103"/>
      <c r="J246" s="103"/>
      <c r="K246" s="103"/>
      <c r="L246" s="105"/>
      <c r="M246" s="106"/>
      <c r="N246" s="105"/>
      <c r="O246" s="106"/>
      <c r="P246" s="107"/>
      <c r="Q246" s="100"/>
      <c r="R246" s="105"/>
      <c r="S246" s="103"/>
      <c r="T246" s="100" t="s">
        <v>281</v>
      </c>
      <c r="U246" s="105"/>
      <c r="V246" s="105"/>
      <c r="W246" s="103"/>
      <c r="X246" s="91">
        <f t="shared" ca="1" si="67"/>
        <v>33055</v>
      </c>
      <c r="Y246" s="99"/>
      <c r="Z246" s="103"/>
      <c r="AA246" s="105"/>
      <c r="AB246" s="105"/>
      <c r="AC246" s="103"/>
      <c r="AD246" s="21">
        <f t="shared" ca="1" si="68"/>
        <v>33055</v>
      </c>
      <c r="AE246" s="99"/>
      <c r="AF246" s="105"/>
      <c r="AG246" s="103"/>
      <c r="AH246" s="105"/>
      <c r="AI246" s="105"/>
      <c r="AJ246" s="103"/>
      <c r="AK246" s="23">
        <f t="shared" ca="1" si="69"/>
        <v>33055</v>
      </c>
      <c r="AL246" s="103"/>
      <c r="AM246" s="103"/>
      <c r="AN246" s="105"/>
      <c r="AO246" s="105"/>
      <c r="AP246" s="103"/>
      <c r="AQ246" s="163">
        <f t="shared" ca="1" si="70"/>
        <v>33055</v>
      </c>
      <c r="AR246" s="163"/>
      <c r="AS246" s="101"/>
      <c r="AT246" s="101"/>
      <c r="AU246" s="103"/>
      <c r="AV246" s="103"/>
      <c r="AW246" s="103"/>
      <c r="AX246" s="103"/>
      <c r="AY246" s="103"/>
      <c r="AZ246" s="103"/>
      <c r="BA246" s="103"/>
      <c r="BB246" s="103"/>
      <c r="BC246" s="103"/>
      <c r="BD246" s="100" t="str">
        <f t="shared" si="71"/>
        <v/>
      </c>
      <c r="BE246" s="100" t="str">
        <f t="shared" si="72"/>
        <v/>
      </c>
      <c r="BF246" s="100" t="str">
        <f t="shared" si="73"/>
        <v/>
      </c>
      <c r="BG246" s="100" t="str">
        <f t="shared" si="74"/>
        <v/>
      </c>
      <c r="BH246" s="100" t="str">
        <f t="shared" si="75"/>
        <v/>
      </c>
      <c r="BI246" s="103"/>
    </row>
    <row r="247" spans="1:61" s="95" customFormat="1">
      <c r="A247" s="101">
        <v>20171495006</v>
      </c>
      <c r="B247" s="19" t="str">
        <f>VLOOKUP(A247,'ESTADOS ESTUDIANTES'!B:L,2,0)</f>
        <v>CARDENAS DIAZ JHON ANDERSON</v>
      </c>
      <c r="C247" s="103">
        <f>VLOOKUP(A247,'ESTADOS ESTUDIANTES'!B:L,11,0)</f>
        <v>1144050548</v>
      </c>
      <c r="D247" s="23">
        <f>VLOOKUP(A247,'ESTADOS ESTUDIANTES'!B:L,3,0)</f>
        <v>495</v>
      </c>
      <c r="E247" s="102" t="str">
        <f>VLOOKUP(A247,'ESTADOS ESTUDIANTES'!B:L,8,0)</f>
        <v>jacardenasd@correo.udistrital.edu.co</v>
      </c>
      <c r="F247" s="102" t="str">
        <f>VLOOKUP(A247,'ESTADOS ESTUDIANTES'!B:L,9,0)</f>
        <v>Jhonderson2007@gmail.com</v>
      </c>
      <c r="G247" s="19" t="str">
        <f>VLOOKUP(A247,'ESTADOS ESTUDIANTES'!B:L,5,0)</f>
        <v>X</v>
      </c>
      <c r="H247" s="100" t="s">
        <v>46</v>
      </c>
      <c r="I247" s="103"/>
      <c r="J247" s="103"/>
      <c r="K247" s="103"/>
      <c r="L247" s="105"/>
      <c r="M247" s="106"/>
      <c r="N247" s="105"/>
      <c r="O247" s="106"/>
      <c r="P247" s="107"/>
      <c r="Q247" s="100"/>
      <c r="R247" s="105"/>
      <c r="S247" s="103"/>
      <c r="T247" s="100" t="s">
        <v>281</v>
      </c>
      <c r="U247" s="105"/>
      <c r="V247" s="105"/>
      <c r="W247" s="103"/>
      <c r="X247" s="91">
        <f t="shared" ca="1" si="67"/>
        <v>33055</v>
      </c>
      <c r="Y247" s="99"/>
      <c r="Z247" s="103"/>
      <c r="AA247" s="105"/>
      <c r="AB247" s="105"/>
      <c r="AC247" s="103"/>
      <c r="AD247" s="21">
        <f t="shared" ca="1" si="68"/>
        <v>33055</v>
      </c>
      <c r="AE247" s="99"/>
      <c r="AF247" s="105"/>
      <c r="AG247" s="103"/>
      <c r="AH247" s="105"/>
      <c r="AI247" s="105"/>
      <c r="AJ247" s="103"/>
      <c r="AK247" s="23">
        <f t="shared" ca="1" si="69"/>
        <v>33055</v>
      </c>
      <c r="AL247" s="103"/>
      <c r="AM247" s="103"/>
      <c r="AN247" s="105"/>
      <c r="AO247" s="105"/>
      <c r="AP247" s="103"/>
      <c r="AQ247" s="163">
        <f t="shared" ca="1" si="70"/>
        <v>33055</v>
      </c>
      <c r="AR247" s="163"/>
      <c r="AS247" s="101"/>
      <c r="AT247" s="101"/>
      <c r="AU247" s="103"/>
      <c r="AV247" s="103"/>
      <c r="AW247" s="103"/>
      <c r="AX247" s="103"/>
      <c r="AY247" s="103"/>
      <c r="AZ247" s="103"/>
      <c r="BA247" s="103"/>
      <c r="BB247" s="103"/>
      <c r="BC247" s="103"/>
      <c r="BD247" s="100" t="str">
        <f t="shared" si="71"/>
        <v/>
      </c>
      <c r="BE247" s="100" t="str">
        <f t="shared" si="72"/>
        <v/>
      </c>
      <c r="BF247" s="100" t="str">
        <f t="shared" si="73"/>
        <v/>
      </c>
      <c r="BG247" s="100" t="str">
        <f t="shared" si="74"/>
        <v/>
      </c>
      <c r="BH247" s="100" t="str">
        <f t="shared" si="75"/>
        <v/>
      </c>
      <c r="BI247" s="103"/>
    </row>
    <row r="248" spans="1:61" s="95" customFormat="1">
      <c r="A248" s="101">
        <v>20171495008</v>
      </c>
      <c r="B248" s="19" t="str">
        <f>VLOOKUP(A248,'ESTADOS ESTUDIANTES'!B:L,2,0)</f>
        <v>CASALLAS VELOZA ANDRES</v>
      </c>
      <c r="C248" s="102">
        <f>VLOOKUP(A248,'ESTADOS ESTUDIANTES'!B:L,11,0)</f>
        <v>1013619683</v>
      </c>
      <c r="D248" s="23">
        <f>VLOOKUP(A248,'ESTADOS ESTUDIANTES'!B:L,3,0)</f>
        <v>495</v>
      </c>
      <c r="E248" s="102" t="str">
        <f>VLOOKUP(A248,'ESTADOS ESTUDIANTES'!B:L,8,0)</f>
        <v>acasallasv@correo.udistrital.edu.co</v>
      </c>
      <c r="F248" s="102" t="str">
        <f>VLOOKUP(A248,'ESTADOS ESTUDIANTES'!B:L,9,0)</f>
        <v>andres.cv07@gmail.com</v>
      </c>
      <c r="G248" s="19" t="str">
        <f>VLOOKUP(A248,'ESTADOS ESTUDIANTES'!B:L,5,0)</f>
        <v>N</v>
      </c>
      <c r="H248" s="100" t="s">
        <v>60</v>
      </c>
      <c r="I248" s="103"/>
      <c r="J248" s="103"/>
      <c r="K248" s="103"/>
      <c r="L248" s="105"/>
      <c r="M248" s="106"/>
      <c r="N248" s="105"/>
      <c r="O248" s="106"/>
      <c r="P248" s="107"/>
      <c r="Q248" s="100"/>
      <c r="R248" s="105"/>
      <c r="S248" s="103"/>
      <c r="T248" s="100" t="s">
        <v>281</v>
      </c>
      <c r="U248" s="105"/>
      <c r="V248" s="105"/>
      <c r="W248" s="103"/>
      <c r="X248" s="91">
        <f t="shared" ca="1" si="67"/>
        <v>33055</v>
      </c>
      <c r="Y248" s="99"/>
      <c r="Z248" s="103"/>
      <c r="AA248" s="105"/>
      <c r="AB248" s="105"/>
      <c r="AC248" s="103"/>
      <c r="AD248" s="21">
        <f t="shared" ca="1" si="68"/>
        <v>33055</v>
      </c>
      <c r="AE248" s="99"/>
      <c r="AF248" s="105"/>
      <c r="AG248" s="103"/>
      <c r="AH248" s="105"/>
      <c r="AI248" s="105"/>
      <c r="AJ248" s="103"/>
      <c r="AK248" s="23">
        <f t="shared" ca="1" si="69"/>
        <v>33055</v>
      </c>
      <c r="AL248" s="103"/>
      <c r="AM248" s="103"/>
      <c r="AN248" s="105"/>
      <c r="AO248" s="105"/>
      <c r="AP248" s="103"/>
      <c r="AQ248" s="163">
        <f t="shared" ca="1" si="70"/>
        <v>33055</v>
      </c>
      <c r="AR248" s="163"/>
      <c r="AS248" s="100"/>
      <c r="AT248" s="101"/>
      <c r="AU248" s="103"/>
      <c r="AV248" s="103"/>
      <c r="AW248" s="103"/>
      <c r="AX248" s="103"/>
      <c r="AY248" s="103"/>
      <c r="AZ248" s="103"/>
      <c r="BA248" s="103"/>
      <c r="BB248" s="103"/>
      <c r="BC248" s="103"/>
      <c r="BD248" s="100" t="str">
        <f t="shared" si="71"/>
        <v/>
      </c>
      <c r="BE248" s="100" t="str">
        <f t="shared" si="72"/>
        <v/>
      </c>
      <c r="BF248" s="100" t="str">
        <f t="shared" si="73"/>
        <v/>
      </c>
      <c r="BG248" s="100" t="str">
        <f t="shared" si="74"/>
        <v/>
      </c>
      <c r="BH248" s="100" t="str">
        <f t="shared" si="75"/>
        <v/>
      </c>
      <c r="BI248" s="103"/>
    </row>
    <row r="249" spans="1:61" s="95" customFormat="1">
      <c r="A249" s="101">
        <v>20171495009</v>
      </c>
      <c r="B249" s="19" t="str">
        <f>VLOOKUP(A249,'ESTADOS ESTUDIANTES'!B:L,2,0)</f>
        <v>COBOS PRADA ANDRES HAMIR</v>
      </c>
      <c r="C249" s="103">
        <f>VLOOKUP(A249,'ESTADOS ESTUDIANTES'!B:L,11,0)</f>
        <v>1026276742</v>
      </c>
      <c r="D249" s="23">
        <f>VLOOKUP(A249,'ESTADOS ESTUDIANTES'!B:L,3,0)</f>
        <v>495</v>
      </c>
      <c r="E249" s="102" t="str">
        <f>VLOOKUP(A249,'ESTADOS ESTUDIANTES'!B:L,8,0)</f>
        <v>ahcobosp@correo.udistrital.edu.co</v>
      </c>
      <c r="F249" s="102" t="str">
        <f>VLOOKUP(A249,'ESTADOS ESTUDIANTES'!B:L,9,0)</f>
        <v>Andresc1125@gmail.com</v>
      </c>
      <c r="G249" s="19" t="str">
        <f>VLOOKUP(A249,'ESTADOS ESTUDIANTES'!B:L,5,0)</f>
        <v>X</v>
      </c>
      <c r="H249" s="100" t="s">
        <v>60</v>
      </c>
      <c r="I249" s="103"/>
      <c r="J249" s="103"/>
      <c r="K249" s="103"/>
      <c r="L249" s="105"/>
      <c r="M249" s="106"/>
      <c r="N249" s="105"/>
      <c r="O249" s="106"/>
      <c r="P249" s="107"/>
      <c r="Q249" s="100"/>
      <c r="R249" s="105"/>
      <c r="S249" s="103"/>
      <c r="T249" s="100" t="s">
        <v>281</v>
      </c>
      <c r="U249" s="105"/>
      <c r="V249" s="105"/>
      <c r="W249" s="103"/>
      <c r="X249" s="91">
        <f t="shared" ca="1" si="67"/>
        <v>33055</v>
      </c>
      <c r="Y249" s="99"/>
      <c r="Z249" s="103"/>
      <c r="AA249" s="105"/>
      <c r="AB249" s="105"/>
      <c r="AC249" s="103"/>
      <c r="AD249" s="21">
        <f t="shared" ca="1" si="68"/>
        <v>33055</v>
      </c>
      <c r="AE249" s="99"/>
      <c r="AF249" s="105"/>
      <c r="AG249" s="103"/>
      <c r="AH249" s="105"/>
      <c r="AI249" s="105"/>
      <c r="AJ249" s="103"/>
      <c r="AK249" s="23">
        <f t="shared" ca="1" si="69"/>
        <v>33055</v>
      </c>
      <c r="AL249" s="103"/>
      <c r="AM249" s="103"/>
      <c r="AN249" s="105"/>
      <c r="AO249" s="105"/>
      <c r="AP249" s="103"/>
      <c r="AQ249" s="163">
        <f t="shared" ca="1" si="70"/>
        <v>33055</v>
      </c>
      <c r="AR249" s="163"/>
      <c r="AS249" s="101"/>
      <c r="AT249" s="101"/>
      <c r="AU249" s="103"/>
      <c r="AV249" s="103"/>
      <c r="AW249" s="103"/>
      <c r="AX249" s="103"/>
      <c r="AY249" s="103"/>
      <c r="AZ249" s="103"/>
      <c r="BA249" s="103"/>
      <c r="BB249" s="103"/>
      <c r="BC249" s="103"/>
      <c r="BD249" s="100" t="str">
        <f t="shared" si="71"/>
        <v/>
      </c>
      <c r="BE249" s="100" t="str">
        <f t="shared" si="72"/>
        <v/>
      </c>
      <c r="BF249" s="100" t="str">
        <f t="shared" si="73"/>
        <v/>
      </c>
      <c r="BG249" s="100" t="str">
        <f t="shared" si="74"/>
        <v/>
      </c>
      <c r="BH249" s="100" t="str">
        <f t="shared" si="75"/>
        <v/>
      </c>
      <c r="BI249" s="103"/>
    </row>
    <row r="250" spans="1:61" s="95" customFormat="1" ht="45">
      <c r="A250" s="101">
        <v>20171495010</v>
      </c>
      <c r="B250" s="19" t="str">
        <f>VLOOKUP(A250,'ESTADOS ESTUDIANTES'!B:L,2,0)</f>
        <v>GALINDO VARGAS ANDRES JAVIER</v>
      </c>
      <c r="C250" s="103">
        <f>VLOOKUP(A250,'ESTADOS ESTUDIANTES'!B:L,11,0)</f>
        <v>1014184735</v>
      </c>
      <c r="D250" s="23">
        <f>VLOOKUP(A250,'ESTADOS ESTUDIANTES'!B:L,3,0)</f>
        <v>495</v>
      </c>
      <c r="E250" s="102" t="str">
        <f>VLOOKUP(A250,'ESTADOS ESTUDIANTES'!B:L,8,0)</f>
        <v>ajgalindov@correo.udistrital.edu.co</v>
      </c>
      <c r="F250" s="102" t="str">
        <f>VLOOKUP(A250,'ESTADOS ESTUDIANTES'!B:L,9,0)</f>
        <v>Agalinvar9@gmail.com</v>
      </c>
      <c r="G250" s="19" t="str">
        <f>VLOOKUP(A250,'ESTADOS ESTUDIANTES'!B:L,5,0)</f>
        <v>X</v>
      </c>
      <c r="H250" s="103"/>
      <c r="I250" s="100" t="s">
        <v>1885</v>
      </c>
      <c r="J250" s="100" t="s">
        <v>323</v>
      </c>
      <c r="K250" s="103"/>
      <c r="L250" s="105"/>
      <c r="M250" s="106"/>
      <c r="N250" s="105">
        <v>43964</v>
      </c>
      <c r="O250" s="106">
        <v>76.52</v>
      </c>
      <c r="P250" s="112" t="s">
        <v>79</v>
      </c>
      <c r="Q250" s="100" t="s">
        <v>1854</v>
      </c>
      <c r="R250" s="105">
        <v>42895</v>
      </c>
      <c r="S250" s="102">
        <v>2017</v>
      </c>
      <c r="T250" s="100" t="s">
        <v>281</v>
      </c>
      <c r="U250" s="105">
        <v>42935</v>
      </c>
      <c r="V250" s="105">
        <v>42942</v>
      </c>
      <c r="W250" s="103"/>
      <c r="X250" s="91">
        <f t="shared" ca="1" si="67"/>
        <v>0</v>
      </c>
      <c r="Y250" s="114" t="s">
        <v>43</v>
      </c>
      <c r="Z250" s="100" t="s">
        <v>356</v>
      </c>
      <c r="AA250" s="105">
        <v>42948</v>
      </c>
      <c r="AB250" s="105">
        <v>42983</v>
      </c>
      <c r="AC250" s="103"/>
      <c r="AD250" s="21">
        <f t="shared" ca="1" si="68"/>
        <v>0</v>
      </c>
      <c r="AE250" s="114" t="s">
        <v>43</v>
      </c>
      <c r="AF250" s="105"/>
      <c r="AG250" s="103"/>
      <c r="AH250" s="105"/>
      <c r="AI250" s="105"/>
      <c r="AJ250" s="103"/>
      <c r="AK250" s="23">
        <f t="shared" ca="1" si="69"/>
        <v>33055</v>
      </c>
      <c r="AL250" s="103"/>
      <c r="AM250" s="103"/>
      <c r="AN250" s="105"/>
      <c r="AO250" s="105"/>
      <c r="AP250" s="103"/>
      <c r="AQ250" s="162">
        <f t="shared" ca="1" si="70"/>
        <v>33055</v>
      </c>
      <c r="AR250" s="163"/>
      <c r="AS250" s="101"/>
      <c r="AT250" s="101"/>
      <c r="AU250" s="103"/>
      <c r="AV250" s="103"/>
      <c r="AW250" s="103"/>
      <c r="AX250" s="103"/>
      <c r="AY250" s="103"/>
      <c r="AZ250" s="103"/>
      <c r="BA250" s="103"/>
      <c r="BB250" s="103"/>
      <c r="BC250" s="103"/>
      <c r="BD250" s="100" t="str">
        <f t="shared" si="71"/>
        <v/>
      </c>
      <c r="BE250" s="100" t="str">
        <f t="shared" si="72"/>
        <v/>
      </c>
      <c r="BF250" s="100" t="str">
        <f t="shared" si="73"/>
        <v/>
      </c>
      <c r="BG250" s="100" t="str">
        <f t="shared" si="74"/>
        <v/>
      </c>
      <c r="BH250" s="100" t="str">
        <f t="shared" si="75"/>
        <v/>
      </c>
      <c r="BI250" s="103"/>
    </row>
    <row r="251" spans="1:61" s="95" customFormat="1" ht="90">
      <c r="A251" s="101">
        <v>20171495011</v>
      </c>
      <c r="B251" s="19" t="str">
        <f>VLOOKUP(A251,'ESTADOS ESTUDIANTES'!B:L,2,0)</f>
        <v>GOMEZ RODRIGUEZ JOSE IGNACIO</v>
      </c>
      <c r="C251" s="102">
        <f>VLOOKUP(A251,'ESTADOS ESTUDIANTES'!B:L,11,0)</f>
        <v>79221631</v>
      </c>
      <c r="D251" s="23">
        <f>VLOOKUP(A251,'ESTADOS ESTUDIANTES'!B:L,3,0)</f>
        <v>495</v>
      </c>
      <c r="E251" s="102" t="str">
        <f>VLOOKUP(A251,'ESTADOS ESTUDIANTES'!B:L,8,0)</f>
        <v>jigomezr@correo.udistrital.edu.co</v>
      </c>
      <c r="F251" s="102" t="str">
        <f>VLOOKUP(A251,'ESTADOS ESTUDIANTES'!B:L,9,0)</f>
        <v>jignaciogomezr@gmail.com</v>
      </c>
      <c r="G251" s="19" t="str">
        <f>VLOOKUP(A251,'ESTADOS ESTUDIANTES'!B:L,5,0)</f>
        <v>E</v>
      </c>
      <c r="H251" s="100" t="s">
        <v>46</v>
      </c>
      <c r="I251" s="100" t="s">
        <v>1886</v>
      </c>
      <c r="J251" s="104"/>
      <c r="K251" s="103"/>
      <c r="L251" s="105"/>
      <c r="M251" s="106"/>
      <c r="N251" s="105">
        <v>43888</v>
      </c>
      <c r="O251" s="106">
        <v>80</v>
      </c>
      <c r="P251" s="112" t="s">
        <v>79</v>
      </c>
      <c r="Q251" s="100" t="s">
        <v>1486</v>
      </c>
      <c r="R251" s="105">
        <v>42909</v>
      </c>
      <c r="S251" s="102">
        <v>2017</v>
      </c>
      <c r="T251" s="100" t="s">
        <v>281</v>
      </c>
      <c r="U251" s="100" t="s">
        <v>1819</v>
      </c>
      <c r="V251" s="100" t="s">
        <v>1887</v>
      </c>
      <c r="W251" s="102">
        <v>2</v>
      </c>
      <c r="X251" s="91">
        <f t="shared" ca="1" si="67"/>
        <v>0</v>
      </c>
      <c r="Y251" s="114" t="s">
        <v>43</v>
      </c>
      <c r="Z251" s="100" t="s">
        <v>1421</v>
      </c>
      <c r="AA251" s="105">
        <v>43501</v>
      </c>
      <c r="AB251" s="105">
        <v>43506</v>
      </c>
      <c r="AC251" s="100" t="s">
        <v>1888</v>
      </c>
      <c r="AD251" s="21">
        <f t="shared" ca="1" si="68"/>
        <v>0</v>
      </c>
      <c r="AE251" s="114" t="s">
        <v>43</v>
      </c>
      <c r="AF251" s="105">
        <v>44008</v>
      </c>
      <c r="AG251" s="100" t="s">
        <v>1889</v>
      </c>
      <c r="AH251" s="105">
        <v>44015</v>
      </c>
      <c r="AI251" s="105">
        <v>44052</v>
      </c>
      <c r="AJ251" s="103"/>
      <c r="AK251" s="23">
        <f t="shared" ca="1" si="69"/>
        <v>0</v>
      </c>
      <c r="AL251" s="100" t="s">
        <v>42</v>
      </c>
      <c r="AM251" s="100" t="s">
        <v>1406</v>
      </c>
      <c r="AN251" s="105">
        <v>44160</v>
      </c>
      <c r="AO251" s="105">
        <v>44187</v>
      </c>
      <c r="AP251" s="100" t="s">
        <v>1890</v>
      </c>
      <c r="AQ251" s="163">
        <f t="shared" ca="1" si="70"/>
        <v>0</v>
      </c>
      <c r="AR251" s="162" t="s">
        <v>42</v>
      </c>
      <c r="AS251" s="115">
        <v>44287</v>
      </c>
      <c r="AT251" s="100" t="s">
        <v>1407</v>
      </c>
      <c r="AU251" s="100" t="s">
        <v>41</v>
      </c>
      <c r="AV251" s="117">
        <v>44267</v>
      </c>
      <c r="AW251" s="103"/>
      <c r="AX251" s="103"/>
      <c r="AY251" s="103"/>
      <c r="AZ251" s="103"/>
      <c r="BA251" s="103"/>
      <c r="BB251" s="103"/>
      <c r="BC251" s="100" t="s">
        <v>240</v>
      </c>
      <c r="BD251" s="100" t="str">
        <f t="shared" si="71"/>
        <v/>
      </c>
      <c r="BE251" s="100" t="str">
        <f t="shared" si="72"/>
        <v/>
      </c>
      <c r="BF251" s="100" t="str">
        <f t="shared" si="73"/>
        <v/>
      </c>
      <c r="BG251" s="100" t="str">
        <f t="shared" si="74"/>
        <v/>
      </c>
      <c r="BH251" s="100" t="str">
        <f t="shared" si="75"/>
        <v/>
      </c>
      <c r="BI251" s="103"/>
    </row>
    <row r="252" spans="1:61" s="95" customFormat="1" ht="45">
      <c r="A252" s="21">
        <v>20171495013</v>
      </c>
      <c r="B252" s="19" t="str">
        <f>VLOOKUP(A252,'ESTADOS ESTUDIANTES'!B:L,2,0)</f>
        <v>MORALES COTES IVAN ALBERTO</v>
      </c>
      <c r="C252" s="19">
        <f>VLOOKUP(A252,'ESTADOS ESTUDIANTES'!B:L,11,0)</f>
        <v>72343919</v>
      </c>
      <c r="D252" s="23">
        <f>VLOOKUP(A252,'ESTADOS ESTUDIANTES'!B:L,3,0)</f>
        <v>495</v>
      </c>
      <c r="E252" s="19" t="str">
        <f>VLOOKUP(A252,'ESTADOS ESTUDIANTES'!B:L,8,0)</f>
        <v>iamoralesc@correo.udistrital.edu.co</v>
      </c>
      <c r="F252" s="19" t="str">
        <f>VLOOKUP(A252,'ESTADOS ESTUDIANTES'!B:L,9,0)</f>
        <v>ivanmoralescotes@gmail.com</v>
      </c>
      <c r="G252" s="19" t="str">
        <f>VLOOKUP(A252,'ESTADOS ESTUDIANTES'!B:L,5,0)</f>
        <v>X</v>
      </c>
      <c r="H252" s="18" t="s">
        <v>46</v>
      </c>
      <c r="I252" s="18" t="s">
        <v>1891</v>
      </c>
      <c r="J252" s="18" t="s">
        <v>503</v>
      </c>
      <c r="K252" s="23"/>
      <c r="L252" s="96"/>
      <c r="M252" s="97"/>
      <c r="N252" s="96"/>
      <c r="O252" s="97"/>
      <c r="P252" s="110"/>
      <c r="Q252" s="18" t="s">
        <v>1857</v>
      </c>
      <c r="R252" s="96">
        <v>42898</v>
      </c>
      <c r="S252" s="19">
        <v>2017</v>
      </c>
      <c r="T252" s="18" t="s">
        <v>270</v>
      </c>
      <c r="U252" s="96">
        <v>41865</v>
      </c>
      <c r="V252" s="96">
        <v>42986</v>
      </c>
      <c r="W252" s="23"/>
      <c r="X252" s="91">
        <f t="shared" ca="1" si="67"/>
        <v>0</v>
      </c>
      <c r="Y252" s="114" t="s">
        <v>56</v>
      </c>
      <c r="Z252" s="18" t="s">
        <v>1427</v>
      </c>
      <c r="AA252" s="96">
        <v>42958</v>
      </c>
      <c r="AB252" s="18" t="s">
        <v>1819</v>
      </c>
      <c r="AC252" s="23"/>
      <c r="AD252" s="21">
        <f t="shared" ca="1" si="68"/>
        <v>0</v>
      </c>
      <c r="AE252" s="114" t="s">
        <v>56</v>
      </c>
      <c r="AF252" s="96"/>
      <c r="AG252" s="23"/>
      <c r="AH252" s="96"/>
      <c r="AI252" s="96"/>
      <c r="AJ252" s="23"/>
      <c r="AK252" s="23">
        <f t="shared" ca="1" si="69"/>
        <v>33055</v>
      </c>
      <c r="AL252" s="23"/>
      <c r="AM252" s="23"/>
      <c r="AN252" s="96"/>
      <c r="AO252" s="96"/>
      <c r="AP252" s="23"/>
      <c r="AQ252" s="163">
        <f t="shared" ca="1" si="70"/>
        <v>33055</v>
      </c>
      <c r="AR252" s="161"/>
      <c r="AS252" s="18"/>
      <c r="AT252" s="21"/>
      <c r="AU252" s="23"/>
      <c r="AV252" s="23"/>
      <c r="AW252" s="23"/>
      <c r="AX252" s="23"/>
      <c r="AY252" s="23"/>
      <c r="AZ252" s="23"/>
      <c r="BA252" s="23"/>
      <c r="BB252" s="23"/>
      <c r="BC252" s="23"/>
      <c r="BD252" s="100" t="str">
        <f t="shared" si="71"/>
        <v/>
      </c>
      <c r="BE252" s="100" t="str">
        <f t="shared" si="72"/>
        <v/>
      </c>
      <c r="BF252" s="100" t="str">
        <f t="shared" si="73"/>
        <v/>
      </c>
      <c r="BG252" s="100" t="str">
        <f t="shared" si="74"/>
        <v/>
      </c>
      <c r="BH252" s="100" t="str">
        <f t="shared" si="75"/>
        <v/>
      </c>
      <c r="BI252" s="23"/>
    </row>
    <row r="253" spans="1:61" s="95" customFormat="1">
      <c r="A253" s="101">
        <v>20171495016</v>
      </c>
      <c r="B253" s="19" t="str">
        <f>VLOOKUP(A253,'ESTADOS ESTUDIANTES'!B:L,2,0)</f>
        <v>PICON ACOSTA LAURA JULIANA</v>
      </c>
      <c r="C253" s="103">
        <f>VLOOKUP(A253,'ESTADOS ESTUDIANTES'!B:L,11,0)</f>
        <v>37900122</v>
      </c>
      <c r="D253" s="23">
        <f>VLOOKUP(A253,'ESTADOS ESTUDIANTES'!B:L,3,0)</f>
        <v>495</v>
      </c>
      <c r="E253" s="102" t="str">
        <f>VLOOKUP(A253,'ESTADOS ESTUDIANTES'!B:L,8,0)</f>
        <v>ljpicona@correo.udistrital.edu.co</v>
      </c>
      <c r="F253" s="102" t="str">
        <f>VLOOKUP(A253,'ESTADOS ESTUDIANTES'!B:L,9,0)</f>
        <v>julianapicon@gmail.com</v>
      </c>
      <c r="G253" s="19" t="str">
        <f>VLOOKUP(A253,'ESTADOS ESTUDIANTES'!B:L,5,0)</f>
        <v>X</v>
      </c>
      <c r="H253" s="103"/>
      <c r="I253" s="103"/>
      <c r="J253" s="103"/>
      <c r="K253" s="103"/>
      <c r="L253" s="105"/>
      <c r="M253" s="106"/>
      <c r="N253" s="105"/>
      <c r="O253" s="106"/>
      <c r="P253" s="107"/>
      <c r="Q253" s="100"/>
      <c r="R253" s="105"/>
      <c r="S253" s="103"/>
      <c r="T253" s="100" t="s">
        <v>281</v>
      </c>
      <c r="U253" s="105"/>
      <c r="V253" s="105"/>
      <c r="W253" s="103"/>
      <c r="X253" s="91">
        <f t="shared" ca="1" si="67"/>
        <v>33055</v>
      </c>
      <c r="Y253" s="99"/>
      <c r="Z253" s="103"/>
      <c r="AA253" s="105"/>
      <c r="AB253" s="105"/>
      <c r="AC253" s="103"/>
      <c r="AD253" s="21">
        <f t="shared" ca="1" si="68"/>
        <v>33055</v>
      </c>
      <c r="AE253" s="99"/>
      <c r="AF253" s="105"/>
      <c r="AG253" s="103"/>
      <c r="AH253" s="105"/>
      <c r="AI253" s="105"/>
      <c r="AJ253" s="103"/>
      <c r="AK253" s="23">
        <f t="shared" ca="1" si="69"/>
        <v>33055</v>
      </c>
      <c r="AL253" s="103"/>
      <c r="AM253" s="103"/>
      <c r="AN253" s="105"/>
      <c r="AO253" s="105"/>
      <c r="AP253" s="103"/>
      <c r="AQ253" s="163">
        <f t="shared" ca="1" si="70"/>
        <v>33055</v>
      </c>
      <c r="AR253" s="163"/>
      <c r="AS253" s="101"/>
      <c r="AT253" s="101"/>
      <c r="AU253" s="103"/>
      <c r="AV253" s="103"/>
      <c r="AW253" s="103"/>
      <c r="AX253" s="103"/>
      <c r="AY253" s="103"/>
      <c r="AZ253" s="103"/>
      <c r="BA253" s="103"/>
      <c r="BB253" s="103"/>
      <c r="BC253" s="103"/>
      <c r="BD253" s="100" t="str">
        <f t="shared" si="71"/>
        <v/>
      </c>
      <c r="BE253" s="100" t="str">
        <f t="shared" si="72"/>
        <v/>
      </c>
      <c r="BF253" s="100" t="str">
        <f t="shared" si="73"/>
        <v/>
      </c>
      <c r="BG253" s="100" t="str">
        <f t="shared" si="74"/>
        <v/>
      </c>
      <c r="BH253" s="100" t="str">
        <f t="shared" si="75"/>
        <v/>
      </c>
      <c r="BI253" s="103"/>
    </row>
    <row r="254" spans="1:61" s="95" customFormat="1">
      <c r="A254" s="101">
        <v>20171495017</v>
      </c>
      <c r="B254" s="19" t="str">
        <f>VLOOKUP(A254,'ESTADOS ESTUDIANTES'!B:L,2,0)</f>
        <v>REY CASADIEGO CRISTHIAN ANDRES</v>
      </c>
      <c r="C254" s="103">
        <f>VLOOKUP(A254,'ESTADOS ESTUDIANTES'!B:L,11,0)</f>
        <v>1032428759</v>
      </c>
      <c r="D254" s="23">
        <f>VLOOKUP(A254,'ESTADOS ESTUDIANTES'!B:L,3,0)</f>
        <v>495</v>
      </c>
      <c r="E254" s="102" t="str">
        <f>VLOOKUP(A254,'ESTADOS ESTUDIANTES'!B:L,8,0)</f>
        <v>crareyc@correo.udistrital.edu.co</v>
      </c>
      <c r="F254" s="102" t="str">
        <f>VLOOKUP(A254,'ESTADOS ESTUDIANTES'!B:L,9,0)</f>
        <v>crisandrey35@gmail.com</v>
      </c>
      <c r="G254" s="19" t="str">
        <f>VLOOKUP(A254,'ESTADOS ESTUDIANTES'!B:L,5,0)</f>
        <v>X</v>
      </c>
      <c r="H254" s="100" t="s">
        <v>60</v>
      </c>
      <c r="I254" s="103"/>
      <c r="J254" s="103"/>
      <c r="K254" s="103"/>
      <c r="L254" s="105"/>
      <c r="M254" s="106"/>
      <c r="N254" s="105"/>
      <c r="O254" s="106"/>
      <c r="P254" s="107"/>
      <c r="Q254" s="100"/>
      <c r="R254" s="105"/>
      <c r="S254" s="103"/>
      <c r="T254" s="100" t="s">
        <v>281</v>
      </c>
      <c r="U254" s="105"/>
      <c r="V254" s="105"/>
      <c r="W254" s="103"/>
      <c r="X254" s="91">
        <f t="shared" ca="1" si="67"/>
        <v>33055</v>
      </c>
      <c r="Y254" s="99"/>
      <c r="Z254" s="103"/>
      <c r="AA254" s="105"/>
      <c r="AB254" s="105"/>
      <c r="AC254" s="103"/>
      <c r="AD254" s="21">
        <f t="shared" ca="1" si="68"/>
        <v>33055</v>
      </c>
      <c r="AE254" s="99"/>
      <c r="AF254" s="105"/>
      <c r="AG254" s="103"/>
      <c r="AH254" s="105"/>
      <c r="AI254" s="105"/>
      <c r="AJ254" s="103"/>
      <c r="AK254" s="23">
        <f t="shared" ca="1" si="69"/>
        <v>33055</v>
      </c>
      <c r="AL254" s="103"/>
      <c r="AM254" s="103"/>
      <c r="AN254" s="105"/>
      <c r="AO254" s="105"/>
      <c r="AP254" s="103"/>
      <c r="AQ254" s="164">
        <f t="shared" ca="1" si="70"/>
        <v>33055</v>
      </c>
      <c r="AR254" s="163"/>
      <c r="AS254" s="101"/>
      <c r="AT254" s="101"/>
      <c r="AU254" s="103"/>
      <c r="AV254" s="103"/>
      <c r="AW254" s="103"/>
      <c r="AX254" s="103"/>
      <c r="AY254" s="103"/>
      <c r="AZ254" s="103"/>
      <c r="BA254" s="103"/>
      <c r="BB254" s="103"/>
      <c r="BC254" s="103"/>
      <c r="BD254" s="100" t="str">
        <f t="shared" si="71"/>
        <v/>
      </c>
      <c r="BE254" s="100" t="str">
        <f t="shared" si="72"/>
        <v/>
      </c>
      <c r="BF254" s="100" t="str">
        <f t="shared" si="73"/>
        <v/>
      </c>
      <c r="BG254" s="100" t="str">
        <f t="shared" si="74"/>
        <v/>
      </c>
      <c r="BH254" s="100" t="str">
        <f t="shared" si="75"/>
        <v/>
      </c>
      <c r="BI254" s="103"/>
    </row>
    <row r="255" spans="1:61" s="95" customFormat="1" ht="135">
      <c r="A255" s="101">
        <v>20171495021</v>
      </c>
      <c r="B255" s="19" t="str">
        <f>VLOOKUP(A255,'ESTADOS ESTUDIANTES'!B:L,2,0)</f>
        <v>SOLER LOPEZ JORGE FERNANDO</v>
      </c>
      <c r="C255" s="102">
        <f>VLOOKUP(A255,'ESTADOS ESTUDIANTES'!B:L,11,0)</f>
        <v>74085494</v>
      </c>
      <c r="D255" s="23">
        <f>VLOOKUP(A255,'ESTADOS ESTUDIANTES'!B:L,3,0)</f>
        <v>495</v>
      </c>
      <c r="E255" s="102" t="str">
        <f>VLOOKUP(A255,'ESTADOS ESTUDIANTES'!B:L,8,0)</f>
        <v>jofsolerl@correo.udistrital.edu.co</v>
      </c>
      <c r="F255" s="102" t="str">
        <f>VLOOKUP(A255,'ESTADOS ESTUDIANTES'!B:L,9,0)</f>
        <v>jorgesoler1@gmail.com</v>
      </c>
      <c r="G255" s="19" t="str">
        <f>VLOOKUP(A255,'ESTADOS ESTUDIANTES'!B:L,5,0)</f>
        <v>E</v>
      </c>
      <c r="H255" s="103"/>
      <c r="I255" s="100" t="s">
        <v>1892</v>
      </c>
      <c r="J255" s="104"/>
      <c r="K255" s="103"/>
      <c r="L255" s="105"/>
      <c r="M255" s="106"/>
      <c r="N255" s="105">
        <v>44097</v>
      </c>
      <c r="O255" s="106">
        <v>86.92</v>
      </c>
      <c r="P255" s="112" t="s">
        <v>79</v>
      </c>
      <c r="Q255" s="100" t="s">
        <v>1893</v>
      </c>
      <c r="R255" s="105">
        <v>42895</v>
      </c>
      <c r="S255" s="102">
        <v>2017</v>
      </c>
      <c r="T255" s="100" t="s">
        <v>1653</v>
      </c>
      <c r="U255" s="105">
        <v>43322</v>
      </c>
      <c r="V255" s="105">
        <v>42961</v>
      </c>
      <c r="W255" s="102">
        <v>3</v>
      </c>
      <c r="X255" s="91">
        <f t="shared" ref="X255:X264" ca="1" si="76">IF(U255="",NETWORKDAYS.INTL(Y255,TODAY(),1),0)</f>
        <v>0</v>
      </c>
      <c r="Y255" s="114" t="s">
        <v>43</v>
      </c>
      <c r="Z255" s="100" t="s">
        <v>356</v>
      </c>
      <c r="AA255" s="105">
        <v>43269</v>
      </c>
      <c r="AB255" s="100" t="s">
        <v>1894</v>
      </c>
      <c r="AC255" s="102">
        <v>3</v>
      </c>
      <c r="AD255" s="21">
        <f t="shared" ref="AD255:AD264" ca="1" si="77">IF(AA255="",NETWORKDAYS.INTL(AE255,TODAY(),1),0)</f>
        <v>0</v>
      </c>
      <c r="AE255" s="114" t="s">
        <v>43</v>
      </c>
      <c r="AF255" s="105">
        <v>44008</v>
      </c>
      <c r="AG255" s="100" t="s">
        <v>784</v>
      </c>
      <c r="AH255" s="105">
        <v>44015</v>
      </c>
      <c r="AI255" s="105">
        <v>44039</v>
      </c>
      <c r="AJ255" s="103"/>
      <c r="AK255" s="23">
        <f t="shared" ref="AK255:AK264" ca="1" si="78">IF(AH255="",NETWORKDAYS.INTL(AL255,TODAY(),1),0)</f>
        <v>0</v>
      </c>
      <c r="AL255" s="100" t="s">
        <v>42</v>
      </c>
      <c r="AM255" s="100" t="s">
        <v>350</v>
      </c>
      <c r="AN255" s="105">
        <v>44042</v>
      </c>
      <c r="AO255" s="105">
        <v>44055</v>
      </c>
      <c r="AP255" s="100" t="s">
        <v>1895</v>
      </c>
      <c r="AQ255" s="162">
        <f t="shared" ref="AQ255:AQ264" ca="1" si="79">IF(AN255="",NETWORKDAYS.INTL(AR255,TODAY(),1),0)</f>
        <v>0</v>
      </c>
      <c r="AR255" s="162" t="s">
        <v>1576</v>
      </c>
      <c r="AS255" s="100" t="s">
        <v>1896</v>
      </c>
      <c r="AT255" s="116">
        <v>44716</v>
      </c>
      <c r="AU255" s="100" t="s">
        <v>41</v>
      </c>
      <c r="AV255" s="117">
        <v>44062</v>
      </c>
      <c r="AW255" s="103"/>
      <c r="AX255" s="103"/>
      <c r="AY255" s="103"/>
      <c r="AZ255" s="103"/>
      <c r="BA255" s="103"/>
      <c r="BB255" s="103"/>
      <c r="BC255" s="103"/>
      <c r="BD255" s="100" t="str">
        <f t="shared" si="71"/>
        <v/>
      </c>
      <c r="BE255" s="100" t="str">
        <f t="shared" si="72"/>
        <v/>
      </c>
      <c r="BF255" s="100" t="str">
        <f t="shared" si="73"/>
        <v/>
      </c>
      <c r="BG255" s="100" t="str">
        <f t="shared" si="74"/>
        <v/>
      </c>
      <c r="BH255" s="100" t="str">
        <f t="shared" si="75"/>
        <v/>
      </c>
      <c r="BI255" s="103"/>
    </row>
    <row r="256" spans="1:61" s="95" customFormat="1">
      <c r="A256" s="101">
        <v>20172195002</v>
      </c>
      <c r="B256" s="19" t="str">
        <f>VLOOKUP(A256,'ESTADOS ESTUDIANTES'!B:L,2,0)</f>
        <v>OSORIO GOMEZ HENRY MAURICIO</v>
      </c>
      <c r="C256" s="102">
        <f>VLOOKUP(A256,'ESTADOS ESTUDIANTES'!B:L,11,0)</f>
        <v>1121838394</v>
      </c>
      <c r="D256" s="23">
        <f>VLOOKUP(A256,'ESTADOS ESTUDIANTES'!B:L,3,0)</f>
        <v>195</v>
      </c>
      <c r="E256" s="102" t="str">
        <f>VLOOKUP(A256,'ESTADOS ESTUDIANTES'!B:L,8,0)</f>
        <v>hmosoriog@correo.udistrital.edu.co</v>
      </c>
      <c r="F256" s="102" t="str">
        <f>VLOOKUP(A256,'ESTADOS ESTUDIANTES'!B:L,9,0)</f>
        <v>ing.mauricio.187@hotmail.com</v>
      </c>
      <c r="G256" s="19" t="str">
        <f>VLOOKUP(A256,'ESTADOS ESTUDIANTES'!B:L,5,0)</f>
        <v>N</v>
      </c>
      <c r="H256" s="100" t="s">
        <v>60</v>
      </c>
      <c r="I256" s="103"/>
      <c r="J256" s="103"/>
      <c r="K256" s="103"/>
      <c r="L256" s="105"/>
      <c r="M256" s="106"/>
      <c r="N256" s="105"/>
      <c r="O256" s="106"/>
      <c r="P256" s="107"/>
      <c r="Q256" s="100"/>
      <c r="R256" s="105"/>
      <c r="S256" s="103"/>
      <c r="T256" s="103"/>
      <c r="U256" s="105"/>
      <c r="V256" s="105"/>
      <c r="W256" s="103"/>
      <c r="X256" s="91">
        <f t="shared" ca="1" si="76"/>
        <v>33055</v>
      </c>
      <c r="Y256" s="99"/>
      <c r="Z256" s="103"/>
      <c r="AA256" s="105"/>
      <c r="AB256" s="105"/>
      <c r="AC256" s="103"/>
      <c r="AD256" s="21">
        <f t="shared" ca="1" si="77"/>
        <v>33055</v>
      </c>
      <c r="AE256" s="99"/>
      <c r="AF256" s="105"/>
      <c r="AG256" s="103"/>
      <c r="AH256" s="105"/>
      <c r="AI256" s="105"/>
      <c r="AJ256" s="103"/>
      <c r="AK256" s="23">
        <f t="shared" ca="1" si="78"/>
        <v>33055</v>
      </c>
      <c r="AL256" s="103"/>
      <c r="AM256" s="103"/>
      <c r="AN256" s="105"/>
      <c r="AO256" s="105"/>
      <c r="AP256" s="103"/>
      <c r="AQ256" s="161">
        <f t="shared" ca="1" si="79"/>
        <v>33055</v>
      </c>
      <c r="AR256" s="163"/>
      <c r="AS256" s="100"/>
      <c r="AT256" s="101"/>
      <c r="AU256" s="103"/>
      <c r="AV256" s="103"/>
      <c r="AW256" s="103"/>
      <c r="AX256" s="103"/>
      <c r="AY256" s="103"/>
      <c r="AZ256" s="103"/>
      <c r="BA256" s="103"/>
      <c r="BB256" s="103"/>
      <c r="BC256" s="103"/>
      <c r="BD256" s="100" t="str">
        <f t="shared" si="71"/>
        <v/>
      </c>
      <c r="BE256" s="100" t="str">
        <f t="shared" si="72"/>
        <v/>
      </c>
      <c r="BF256" s="100" t="str">
        <f t="shared" si="73"/>
        <v/>
      </c>
      <c r="BG256" s="100" t="str">
        <f t="shared" si="74"/>
        <v/>
      </c>
      <c r="BH256" s="100" t="str">
        <f t="shared" si="75"/>
        <v/>
      </c>
      <c r="BI256" s="103"/>
    </row>
    <row r="257" spans="1:61" s="95" customFormat="1" ht="30">
      <c r="A257" s="101">
        <v>20172195003</v>
      </c>
      <c r="B257" s="19" t="str">
        <f>VLOOKUP(A257,'ESTADOS ESTUDIANTES'!B:L,2,0)</f>
        <v>BARRAGÁN VELASCO JAIME GONZALO</v>
      </c>
      <c r="C257" s="102">
        <f>VLOOKUP(A257,'ESTADOS ESTUDIANTES'!B:L,11,0)</f>
        <v>79399312</v>
      </c>
      <c r="D257" s="23">
        <f>VLOOKUP(A257,'ESTADOS ESTUDIANTES'!B:L,3,0)</f>
        <v>195</v>
      </c>
      <c r="E257" s="102" t="str">
        <f>VLOOKUP(A257,'ESTADOS ESTUDIANTES'!B:L,8,0)</f>
        <v>jgbarraganv@correo.udistrital.edu.co</v>
      </c>
      <c r="F257" s="102" t="str">
        <f>VLOOKUP(A257,'ESTADOS ESTUDIANTES'!B:L,9,0)</f>
        <v>jaime.barragan.velasco@gmail.com</v>
      </c>
      <c r="G257" s="19" t="str">
        <f>VLOOKUP(A257,'ESTADOS ESTUDIANTES'!B:L,5,0)</f>
        <v>X</v>
      </c>
      <c r="H257" s="100" t="s">
        <v>46</v>
      </c>
      <c r="I257" s="103"/>
      <c r="J257" s="103"/>
      <c r="K257" s="103"/>
      <c r="L257" s="105"/>
      <c r="M257" s="106"/>
      <c r="N257" s="105"/>
      <c r="O257" s="106"/>
      <c r="P257" s="107"/>
      <c r="Q257" s="100"/>
      <c r="R257" s="105"/>
      <c r="S257" s="103"/>
      <c r="T257" s="103"/>
      <c r="U257" s="105"/>
      <c r="V257" s="105"/>
      <c r="W257" s="103"/>
      <c r="X257" s="91">
        <f t="shared" ca="1" si="76"/>
        <v>33055</v>
      </c>
      <c r="Y257" s="99"/>
      <c r="Z257" s="103"/>
      <c r="AA257" s="105"/>
      <c r="AB257" s="105"/>
      <c r="AC257" s="103"/>
      <c r="AD257" s="21">
        <f t="shared" ca="1" si="77"/>
        <v>33055</v>
      </c>
      <c r="AE257" s="99"/>
      <c r="AF257" s="105"/>
      <c r="AG257" s="103"/>
      <c r="AH257" s="105"/>
      <c r="AI257" s="105"/>
      <c r="AJ257" s="103"/>
      <c r="AK257" s="23">
        <f t="shared" ca="1" si="78"/>
        <v>33055</v>
      </c>
      <c r="AL257" s="103"/>
      <c r="AM257" s="103"/>
      <c r="AN257" s="105"/>
      <c r="AO257" s="105"/>
      <c r="AP257" s="103"/>
      <c r="AQ257" s="164">
        <f t="shared" ca="1" si="79"/>
        <v>33055</v>
      </c>
      <c r="AR257" s="163"/>
      <c r="AS257" s="101"/>
      <c r="AT257" s="101"/>
      <c r="AU257" s="103"/>
      <c r="AV257" s="103"/>
      <c r="AW257" s="103"/>
      <c r="AX257" s="103"/>
      <c r="AY257" s="103"/>
      <c r="AZ257" s="103"/>
      <c r="BA257" s="103"/>
      <c r="BB257" s="103"/>
      <c r="BC257" s="103"/>
      <c r="BD257" s="100" t="str">
        <f t="shared" si="71"/>
        <v/>
      </c>
      <c r="BE257" s="100" t="str">
        <f t="shared" si="72"/>
        <v/>
      </c>
      <c r="BF257" s="100" t="str">
        <f t="shared" si="73"/>
        <v/>
      </c>
      <c r="BG257" s="100" t="str">
        <f t="shared" si="74"/>
        <v/>
      </c>
      <c r="BH257" s="100" t="str">
        <f t="shared" si="75"/>
        <v/>
      </c>
      <c r="BI257" s="103"/>
    </row>
    <row r="258" spans="1:61" s="95" customFormat="1" ht="75">
      <c r="A258" s="21">
        <v>20172195005</v>
      </c>
      <c r="B258" s="19" t="str">
        <f>VLOOKUP(A258,'ESTADOS ESTUDIANTES'!B:L,2,0)</f>
        <v>CASTAÑEDA MOSCOSO EDWARD LENIN</v>
      </c>
      <c r="C258" s="19">
        <f>VLOOKUP(A258,'ESTADOS ESTUDIANTES'!B:L,11,0)</f>
        <v>80007028</v>
      </c>
      <c r="D258" s="23">
        <f>VLOOKUP(A258,'ESTADOS ESTUDIANTES'!B:L,3,0)</f>
        <v>195</v>
      </c>
      <c r="E258" s="19" t="str">
        <f>VLOOKUP(A258,'ESTADOS ESTUDIANTES'!B:L,8,0)</f>
        <v>elcastanedam@correo.udistrital.edu.co</v>
      </c>
      <c r="F258" s="19" t="str">
        <f>VLOOKUP(A258,'ESTADOS ESTUDIANTES'!B:L,9,0)</f>
        <v>boogiedca@gmail.com</v>
      </c>
      <c r="G258" s="19" t="str">
        <f>VLOOKUP(A258,'ESTADOS ESTUDIANTES'!B:L,5,0)</f>
        <v>E</v>
      </c>
      <c r="H258" s="18" t="s">
        <v>46</v>
      </c>
      <c r="I258" s="18" t="s">
        <v>1897</v>
      </c>
      <c r="J258" s="18" t="s">
        <v>309</v>
      </c>
      <c r="K258" s="23"/>
      <c r="L258" s="96"/>
      <c r="M258" s="97"/>
      <c r="N258" s="96">
        <v>44299</v>
      </c>
      <c r="O258" s="97">
        <v>96.52</v>
      </c>
      <c r="P258" s="98" t="s">
        <v>79</v>
      </c>
      <c r="Q258" s="18" t="s">
        <v>1898</v>
      </c>
      <c r="R258" s="96">
        <v>42927</v>
      </c>
      <c r="S258" s="21">
        <f>YEAR(R258)</f>
        <v>2017</v>
      </c>
      <c r="T258" s="18" t="s">
        <v>225</v>
      </c>
      <c r="U258" s="96"/>
      <c r="V258" s="96">
        <v>43150</v>
      </c>
      <c r="W258" s="23"/>
      <c r="X258" s="91" t="e">
        <f t="shared" ca="1" si="76"/>
        <v>#VALUE!</v>
      </c>
      <c r="Y258" s="114" t="s">
        <v>43</v>
      </c>
      <c r="Z258" s="18" t="s">
        <v>1411</v>
      </c>
      <c r="AA258" s="96">
        <v>43146</v>
      </c>
      <c r="AB258" s="96">
        <v>43161</v>
      </c>
      <c r="AC258" s="23"/>
      <c r="AD258" s="21">
        <f t="shared" ca="1" si="77"/>
        <v>0</v>
      </c>
      <c r="AE258" s="114" t="s">
        <v>1751</v>
      </c>
      <c r="AF258" s="18" t="s">
        <v>1899</v>
      </c>
      <c r="AG258" s="18" t="s">
        <v>225</v>
      </c>
      <c r="AH258" s="96">
        <v>43990</v>
      </c>
      <c r="AI258" s="96">
        <v>44000</v>
      </c>
      <c r="AJ258" s="18" t="s">
        <v>1900</v>
      </c>
      <c r="AK258" s="23">
        <f t="shared" ca="1" si="78"/>
        <v>0</v>
      </c>
      <c r="AL258" s="18" t="s">
        <v>42</v>
      </c>
      <c r="AM258" s="18" t="s">
        <v>1233</v>
      </c>
      <c r="AN258" s="96">
        <v>43990</v>
      </c>
      <c r="AO258" s="96">
        <v>43992</v>
      </c>
      <c r="AP258" s="18" t="s">
        <v>1901</v>
      </c>
      <c r="AQ258" s="163">
        <f t="shared" ca="1" si="79"/>
        <v>0</v>
      </c>
      <c r="AR258" s="164" t="s">
        <v>42</v>
      </c>
      <c r="AS258" s="42" t="s">
        <v>340</v>
      </c>
      <c r="AT258" s="126">
        <v>44685</v>
      </c>
      <c r="AU258" s="18" t="s">
        <v>41</v>
      </c>
      <c r="AV258" s="124">
        <v>44125</v>
      </c>
      <c r="AW258" s="23"/>
      <c r="AX258" s="23"/>
      <c r="AY258" s="18" t="s">
        <v>677</v>
      </c>
      <c r="AZ258" s="124">
        <v>44545</v>
      </c>
      <c r="BA258" s="124"/>
      <c r="BB258" s="23"/>
      <c r="BC258" s="23"/>
      <c r="BD258" s="100" t="str">
        <f t="shared" si="71"/>
        <v/>
      </c>
      <c r="BE258" s="100" t="str">
        <f t="shared" si="72"/>
        <v/>
      </c>
      <c r="BF258" s="100" t="str">
        <f t="shared" si="73"/>
        <v/>
      </c>
      <c r="BG258" s="100" t="str">
        <f t="shared" si="74"/>
        <v/>
      </c>
      <c r="BH258" s="100" t="str">
        <f t="shared" si="75"/>
        <v/>
      </c>
      <c r="BI258" s="23"/>
    </row>
    <row r="259" spans="1:61" s="95" customFormat="1">
      <c r="A259" s="101">
        <v>20172195006</v>
      </c>
      <c r="B259" s="19" t="str">
        <f>VLOOKUP(A259,'ESTADOS ESTUDIANTES'!B:L,2,0)</f>
        <v>CASTILLO JOHAN SEBASTIAN</v>
      </c>
      <c r="C259" s="102">
        <f>VLOOKUP(A259,'ESTADOS ESTUDIANTES'!B:L,11,0)</f>
        <v>1023883737</v>
      </c>
      <c r="D259" s="23">
        <f>VLOOKUP(A259,'ESTADOS ESTUDIANTES'!B:L,3,0)</f>
        <v>195</v>
      </c>
      <c r="E259" s="102" t="str">
        <f>VLOOKUP(A259,'ESTADOS ESTUDIANTES'!B:L,8,0)</f>
        <v>secastilloj@correo.udistrital.edu.co</v>
      </c>
      <c r="F259" s="102" t="str">
        <f>VLOOKUP(A259,'ESTADOS ESTUDIANTES'!B:L,9,0)</f>
        <v>jhoanc17@gmail.com</v>
      </c>
      <c r="G259" s="19" t="str">
        <f>VLOOKUP(A259,'ESTADOS ESTUDIANTES'!B:L,5,0)</f>
        <v>N</v>
      </c>
      <c r="H259" s="100" t="s">
        <v>46</v>
      </c>
      <c r="I259" s="103"/>
      <c r="J259" s="103"/>
      <c r="K259" s="103"/>
      <c r="L259" s="105"/>
      <c r="M259" s="106"/>
      <c r="N259" s="105"/>
      <c r="O259" s="106"/>
      <c r="P259" s="107"/>
      <c r="Q259" s="100"/>
      <c r="R259" s="105"/>
      <c r="S259" s="103"/>
      <c r="T259" s="103"/>
      <c r="U259" s="105"/>
      <c r="V259" s="105"/>
      <c r="W259" s="103"/>
      <c r="X259" s="91">
        <f t="shared" ca="1" si="76"/>
        <v>33055</v>
      </c>
      <c r="Y259" s="99"/>
      <c r="Z259" s="103"/>
      <c r="AA259" s="105"/>
      <c r="AB259" s="105"/>
      <c r="AC259" s="103"/>
      <c r="AD259" s="21">
        <f t="shared" ca="1" si="77"/>
        <v>33055</v>
      </c>
      <c r="AE259" s="99"/>
      <c r="AF259" s="105"/>
      <c r="AG259" s="103"/>
      <c r="AH259" s="105"/>
      <c r="AI259" s="105"/>
      <c r="AJ259" s="103"/>
      <c r="AK259" s="23">
        <f t="shared" ca="1" si="78"/>
        <v>33055</v>
      </c>
      <c r="AL259" s="103"/>
      <c r="AM259" s="103"/>
      <c r="AN259" s="105"/>
      <c r="AO259" s="105"/>
      <c r="AP259" s="103"/>
      <c r="AQ259" s="163">
        <f t="shared" ca="1" si="79"/>
        <v>33055</v>
      </c>
      <c r="AR259" s="163"/>
      <c r="AS259" s="100"/>
      <c r="AT259" s="101"/>
      <c r="AU259" s="103"/>
      <c r="AV259" s="103"/>
      <c r="AW259" s="103"/>
      <c r="AX259" s="103"/>
      <c r="AY259" s="103"/>
      <c r="AZ259" s="103"/>
      <c r="BA259" s="103"/>
      <c r="BB259" s="103"/>
      <c r="BC259" s="103"/>
      <c r="BD259" s="100" t="str">
        <f t="shared" si="71"/>
        <v/>
      </c>
      <c r="BE259" s="100" t="str">
        <f t="shared" si="72"/>
        <v/>
      </c>
      <c r="BF259" s="100" t="str">
        <f t="shared" si="73"/>
        <v/>
      </c>
      <c r="BG259" s="100" t="str">
        <f t="shared" si="74"/>
        <v/>
      </c>
      <c r="BH259" s="100" t="str">
        <f t="shared" si="75"/>
        <v/>
      </c>
      <c r="BI259" s="103"/>
    </row>
    <row r="260" spans="1:61" s="95" customFormat="1">
      <c r="A260" s="101">
        <v>20172195008</v>
      </c>
      <c r="B260" s="19" t="str">
        <f>VLOOKUP(A260,'ESTADOS ESTUDIANTES'!B:L,2,0)</f>
        <v>FRANCO PAMPLONA JOSÉ MAURICIO</v>
      </c>
      <c r="C260" s="102">
        <f>VLOOKUP(A260,'ESTADOS ESTUDIANTES'!B:L,11,0)</f>
        <v>79887636</v>
      </c>
      <c r="D260" s="23">
        <f>VLOOKUP(A260,'ESTADOS ESTUDIANTES'!B:L,3,0)</f>
        <v>195</v>
      </c>
      <c r="E260" s="102" t="str">
        <f>VLOOKUP(A260,'ESTADOS ESTUDIANTES'!B:L,8,0)</f>
        <v>jmfrancop@correo.udistrital.edu.co</v>
      </c>
      <c r="F260" s="102" t="str">
        <f>VLOOKUP(A260,'ESTADOS ESTUDIANTES'!B:L,9,0)</f>
        <v>maofrancop@hotmail.com</v>
      </c>
      <c r="G260" s="19" t="str">
        <f>VLOOKUP(A260,'ESTADOS ESTUDIANTES'!B:L,5,0)</f>
        <v>X</v>
      </c>
      <c r="H260" s="103"/>
      <c r="I260" s="103"/>
      <c r="J260" s="103"/>
      <c r="K260" s="103"/>
      <c r="L260" s="105"/>
      <c r="M260" s="106"/>
      <c r="N260" s="105"/>
      <c r="O260" s="106"/>
      <c r="P260" s="107"/>
      <c r="Q260" s="100"/>
      <c r="R260" s="105"/>
      <c r="S260" s="103"/>
      <c r="T260" s="103"/>
      <c r="U260" s="105"/>
      <c r="V260" s="105"/>
      <c r="W260" s="103"/>
      <c r="X260" s="91">
        <f t="shared" ca="1" si="76"/>
        <v>33055</v>
      </c>
      <c r="Y260" s="99"/>
      <c r="Z260" s="103"/>
      <c r="AA260" s="105"/>
      <c r="AB260" s="105"/>
      <c r="AC260" s="103"/>
      <c r="AD260" s="21">
        <f t="shared" ca="1" si="77"/>
        <v>33055</v>
      </c>
      <c r="AE260" s="99"/>
      <c r="AF260" s="105"/>
      <c r="AG260" s="103"/>
      <c r="AH260" s="105"/>
      <c r="AI260" s="105"/>
      <c r="AJ260" s="103"/>
      <c r="AK260" s="23">
        <f t="shared" ca="1" si="78"/>
        <v>33055</v>
      </c>
      <c r="AL260" s="103"/>
      <c r="AM260" s="103"/>
      <c r="AN260" s="105"/>
      <c r="AO260" s="105"/>
      <c r="AP260" s="103"/>
      <c r="AQ260" s="163">
        <f t="shared" ca="1" si="79"/>
        <v>33055</v>
      </c>
      <c r="AR260" s="163"/>
      <c r="AS260" s="101"/>
      <c r="AT260" s="101"/>
      <c r="AU260" s="103"/>
      <c r="AV260" s="103"/>
      <c r="AW260" s="103"/>
      <c r="AX260" s="103"/>
      <c r="AY260" s="103"/>
      <c r="AZ260" s="103"/>
      <c r="BA260" s="103"/>
      <c r="BB260" s="103"/>
      <c r="BC260" s="103"/>
      <c r="BD260" s="100" t="str">
        <f t="shared" si="71"/>
        <v/>
      </c>
      <c r="BE260" s="100" t="str">
        <f t="shared" si="72"/>
        <v/>
      </c>
      <c r="BF260" s="100" t="str">
        <f t="shared" si="73"/>
        <v/>
      </c>
      <c r="BG260" s="100" t="str">
        <f t="shared" si="74"/>
        <v/>
      </c>
      <c r="BH260" s="100" t="str">
        <f t="shared" si="75"/>
        <v/>
      </c>
      <c r="BI260" s="103"/>
    </row>
    <row r="261" spans="1:61" s="95" customFormat="1">
      <c r="A261" s="101">
        <v>20172195010</v>
      </c>
      <c r="B261" s="19" t="str">
        <f>VLOOKUP(A261,'ESTADOS ESTUDIANTES'!B:L,2,0)</f>
        <v>GUERRERO CASTRO JUAN DAVID</v>
      </c>
      <c r="C261" s="102">
        <f>VLOOKUP(A261,'ESTADOS ESTUDIANTES'!B:L,11,0)</f>
        <v>1090448755</v>
      </c>
      <c r="D261" s="23">
        <f>VLOOKUP(A261,'ESTADOS ESTUDIANTES'!B:L,3,0)</f>
        <v>195</v>
      </c>
      <c r="E261" s="102" t="str">
        <f>VLOOKUP(A261,'ESTADOS ESTUDIANTES'!B:L,8,0)</f>
        <v>jdguerreroc@correo.udistrital.edu.co</v>
      </c>
      <c r="F261" s="102" t="str">
        <f>VLOOKUP(A261,'ESTADOS ESTUDIANTES'!B:L,9,0)</f>
        <v>jdavidguerrerocas@gmail.com</v>
      </c>
      <c r="G261" s="19" t="str">
        <f>VLOOKUP(A261,'ESTADOS ESTUDIANTES'!B:L,5,0)</f>
        <v>N</v>
      </c>
      <c r="H261" s="100" t="s">
        <v>60</v>
      </c>
      <c r="I261" s="103"/>
      <c r="J261" s="103"/>
      <c r="K261" s="103"/>
      <c r="L261" s="105"/>
      <c r="M261" s="106"/>
      <c r="N261" s="105"/>
      <c r="O261" s="106"/>
      <c r="P261" s="107"/>
      <c r="Q261" s="100"/>
      <c r="R261" s="105"/>
      <c r="S261" s="103"/>
      <c r="T261" s="103"/>
      <c r="U261" s="105"/>
      <c r="V261" s="105"/>
      <c r="W261" s="103"/>
      <c r="X261" s="91">
        <f t="shared" ca="1" si="76"/>
        <v>33055</v>
      </c>
      <c r="Y261" s="99"/>
      <c r="Z261" s="103"/>
      <c r="AA261" s="105"/>
      <c r="AB261" s="105"/>
      <c r="AC261" s="103"/>
      <c r="AD261" s="21">
        <f t="shared" ca="1" si="77"/>
        <v>33055</v>
      </c>
      <c r="AE261" s="99"/>
      <c r="AF261" s="105"/>
      <c r="AG261" s="103"/>
      <c r="AH261" s="105"/>
      <c r="AI261" s="105"/>
      <c r="AJ261" s="103"/>
      <c r="AK261" s="23">
        <f t="shared" ca="1" si="78"/>
        <v>33055</v>
      </c>
      <c r="AL261" s="103"/>
      <c r="AM261" s="103"/>
      <c r="AN261" s="105"/>
      <c r="AO261" s="105"/>
      <c r="AP261" s="103"/>
      <c r="AQ261" s="163">
        <f t="shared" ca="1" si="79"/>
        <v>33055</v>
      </c>
      <c r="AR261" s="163"/>
      <c r="AS261" s="100"/>
      <c r="AT261" s="101"/>
      <c r="AU261" s="103"/>
      <c r="AV261" s="103"/>
      <c r="AW261" s="103"/>
      <c r="AX261" s="103"/>
      <c r="AY261" s="103"/>
      <c r="AZ261" s="103"/>
      <c r="BA261" s="103"/>
      <c r="BB261" s="103"/>
      <c r="BC261" s="103"/>
      <c r="BD261" s="100" t="str">
        <f t="shared" si="71"/>
        <v/>
      </c>
      <c r="BE261" s="100" t="str">
        <f t="shared" si="72"/>
        <v/>
      </c>
      <c r="BF261" s="100" t="str">
        <f t="shared" si="73"/>
        <v/>
      </c>
      <c r="BG261" s="100" t="str">
        <f t="shared" si="74"/>
        <v/>
      </c>
      <c r="BH261" s="100" t="str">
        <f t="shared" si="75"/>
        <v/>
      </c>
      <c r="BI261" s="103"/>
    </row>
    <row r="262" spans="1:61" s="95" customFormat="1">
      <c r="A262" s="101">
        <v>20172195011</v>
      </c>
      <c r="B262" s="19" t="str">
        <f>VLOOKUP(A262,'ESTADOS ESTUDIANTES'!B:L,2,0)</f>
        <v>MONROY MACHADO DAVID</v>
      </c>
      <c r="C262" s="102">
        <f>VLOOKUP(A262,'ESTADOS ESTUDIANTES'!B:L,11,0)</f>
        <v>79854643</v>
      </c>
      <c r="D262" s="23">
        <f>VLOOKUP(A262,'ESTADOS ESTUDIANTES'!B:L,3,0)</f>
        <v>195</v>
      </c>
      <c r="E262" s="102" t="str">
        <f>VLOOKUP(A262,'ESTADOS ESTUDIANTES'!B:L,8,0)</f>
        <v>dmonroym@udistrital.edu.co</v>
      </c>
      <c r="F262" s="102" t="str">
        <f>VLOOKUP(A262,'ESTADOS ESTUDIANTES'!B:L,9,0)</f>
        <v>david.monroy.machado@gmail.com</v>
      </c>
      <c r="G262" s="19" t="str">
        <f>VLOOKUP(A262,'ESTADOS ESTUDIANTES'!B:L,5,0)</f>
        <v>N</v>
      </c>
      <c r="H262" s="103"/>
      <c r="I262" s="103"/>
      <c r="J262" s="103"/>
      <c r="K262" s="103"/>
      <c r="L262" s="105"/>
      <c r="M262" s="106"/>
      <c r="N262" s="105"/>
      <c r="O262" s="106"/>
      <c r="P262" s="107"/>
      <c r="Q262" s="100"/>
      <c r="R262" s="105"/>
      <c r="S262" s="103"/>
      <c r="T262" s="103"/>
      <c r="U262" s="105"/>
      <c r="V262" s="105"/>
      <c r="W262" s="103"/>
      <c r="X262" s="91">
        <f t="shared" ca="1" si="76"/>
        <v>33055</v>
      </c>
      <c r="Y262" s="99"/>
      <c r="Z262" s="103"/>
      <c r="AA262" s="105"/>
      <c r="AB262" s="105"/>
      <c r="AC262" s="103"/>
      <c r="AD262" s="21">
        <f t="shared" ca="1" si="77"/>
        <v>33055</v>
      </c>
      <c r="AE262" s="99"/>
      <c r="AF262" s="105"/>
      <c r="AG262" s="103"/>
      <c r="AH262" s="105"/>
      <c r="AI262" s="105"/>
      <c r="AJ262" s="103"/>
      <c r="AK262" s="23">
        <f t="shared" ca="1" si="78"/>
        <v>33055</v>
      </c>
      <c r="AL262" s="103"/>
      <c r="AM262" s="103"/>
      <c r="AN262" s="105"/>
      <c r="AO262" s="105"/>
      <c r="AP262" s="103"/>
      <c r="AQ262" s="161">
        <f t="shared" ca="1" si="79"/>
        <v>33055</v>
      </c>
      <c r="AR262" s="163"/>
      <c r="AS262" s="101"/>
      <c r="AT262" s="101"/>
      <c r="AU262" s="103"/>
      <c r="AV262" s="103"/>
      <c r="AW262" s="103"/>
      <c r="AX262" s="103"/>
      <c r="AY262" s="103"/>
      <c r="AZ262" s="103"/>
      <c r="BA262" s="103"/>
      <c r="BB262" s="103"/>
      <c r="BC262" s="103"/>
      <c r="BD262" s="100" t="str">
        <f t="shared" si="71"/>
        <v/>
      </c>
      <c r="BE262" s="100" t="str">
        <f t="shared" si="72"/>
        <v/>
      </c>
      <c r="BF262" s="100" t="str">
        <f t="shared" si="73"/>
        <v/>
      </c>
      <c r="BG262" s="100" t="str">
        <f t="shared" si="74"/>
        <v/>
      </c>
      <c r="BH262" s="100" t="str">
        <f t="shared" si="75"/>
        <v/>
      </c>
      <c r="BI262" s="103"/>
    </row>
    <row r="263" spans="1:61" s="95" customFormat="1" ht="45">
      <c r="A263" s="21">
        <v>20172195012</v>
      </c>
      <c r="B263" s="19" t="str">
        <f>VLOOKUP(A263,'ESTADOS ESTUDIANTES'!B:L,2,0)</f>
        <v>MONTAÑEZ SÁENZ DIEGO ANTONIO</v>
      </c>
      <c r="C263" s="19">
        <f>VLOOKUP(A263,'ESTADOS ESTUDIANTES'!B:L,11,0)</f>
        <v>1049630401</v>
      </c>
      <c r="D263" s="23">
        <f>VLOOKUP(A263,'ESTADOS ESTUDIANTES'!B:L,3,0)</f>
        <v>195</v>
      </c>
      <c r="E263" s="19" t="str">
        <f>VLOOKUP(A263,'ESTADOS ESTUDIANTES'!B:L,8,0)</f>
        <v>damontanezs@udistrital.edu.co</v>
      </c>
      <c r="F263" s="19" t="str">
        <f>VLOOKUP(A263,'ESTADOS ESTUDIANTES'!B:L,9,0)</f>
        <v>diego_m_saenz@hotmail.com</v>
      </c>
      <c r="G263" s="19" t="str">
        <f>VLOOKUP(A263,'ESTADOS ESTUDIANTES'!B:L,5,0)</f>
        <v>X</v>
      </c>
      <c r="H263" s="18" t="s">
        <v>46</v>
      </c>
      <c r="I263" s="18" t="s">
        <v>1902</v>
      </c>
      <c r="J263" s="18" t="s">
        <v>309</v>
      </c>
      <c r="K263" s="23"/>
      <c r="L263" s="96"/>
      <c r="M263" s="97"/>
      <c r="N263" s="96"/>
      <c r="O263" s="97"/>
      <c r="P263" s="110"/>
      <c r="Q263" s="19">
        <v>43101</v>
      </c>
      <c r="R263" s="96">
        <v>43120</v>
      </c>
      <c r="S263" s="21">
        <f>YEAR(R263)</f>
        <v>2018</v>
      </c>
      <c r="T263" s="18" t="s">
        <v>874</v>
      </c>
      <c r="U263" s="96">
        <v>43137</v>
      </c>
      <c r="V263" s="96"/>
      <c r="W263" s="23"/>
      <c r="X263" s="91">
        <f t="shared" ca="1" si="76"/>
        <v>0</v>
      </c>
      <c r="Y263" s="18" t="s">
        <v>43</v>
      </c>
      <c r="Z263" s="18" t="s">
        <v>1706</v>
      </c>
      <c r="AA263" s="96">
        <v>43144</v>
      </c>
      <c r="AB263" s="96">
        <v>43147</v>
      </c>
      <c r="AC263" s="23"/>
      <c r="AD263" s="21">
        <f t="shared" ca="1" si="77"/>
        <v>0</v>
      </c>
      <c r="AE263" s="18" t="s">
        <v>56</v>
      </c>
      <c r="AF263" s="96"/>
      <c r="AG263" s="23"/>
      <c r="AH263" s="96"/>
      <c r="AI263" s="96"/>
      <c r="AJ263" s="23"/>
      <c r="AK263" s="23">
        <f t="shared" ca="1" si="78"/>
        <v>33055</v>
      </c>
      <c r="AL263" s="23"/>
      <c r="AM263" s="23"/>
      <c r="AN263" s="96"/>
      <c r="AO263" s="96"/>
      <c r="AP263" s="23"/>
      <c r="AQ263" s="163">
        <f t="shared" ca="1" si="79"/>
        <v>33055</v>
      </c>
      <c r="AR263" s="161"/>
      <c r="AS263" s="18"/>
      <c r="AT263" s="21"/>
      <c r="AU263" s="23"/>
      <c r="AV263" s="23"/>
      <c r="AW263" s="23"/>
      <c r="AX263" s="23"/>
      <c r="AY263" s="23"/>
      <c r="AZ263" s="23"/>
      <c r="BA263" s="23"/>
      <c r="BB263" s="23"/>
      <c r="BC263" s="23"/>
      <c r="BD263" s="100" t="str">
        <f t="shared" si="71"/>
        <v/>
      </c>
      <c r="BE263" s="100" t="str">
        <f t="shared" si="72"/>
        <v/>
      </c>
      <c r="BF263" s="100" t="str">
        <f t="shared" si="73"/>
        <v/>
      </c>
      <c r="BG263" s="100" t="str">
        <f t="shared" si="74"/>
        <v/>
      </c>
      <c r="BH263" s="100" t="str">
        <f t="shared" si="75"/>
        <v/>
      </c>
      <c r="BI263" s="23"/>
    </row>
    <row r="264" spans="1:61" s="95" customFormat="1">
      <c r="A264" s="101">
        <v>20172195013</v>
      </c>
      <c r="B264" s="19" t="str">
        <f>VLOOKUP(A264,'ESTADOS ESTUDIANTES'!B:L,2,0)</f>
        <v>NEUTA PALACIOS LORENA MARITZA</v>
      </c>
      <c r="C264" s="102">
        <f>VLOOKUP(A264,'ESTADOS ESTUDIANTES'!B:L,11,0)</f>
        <v>1022353006</v>
      </c>
      <c r="D264" s="23">
        <f>VLOOKUP(A264,'ESTADOS ESTUDIANTES'!B:L,3,0)</f>
        <v>195</v>
      </c>
      <c r="E264" s="102" t="str">
        <f>VLOOKUP(A264,'ESTADOS ESTUDIANTES'!B:L,8,0)</f>
        <v>lmneutap@correo.udistrital.edu.co</v>
      </c>
      <c r="F264" s="102" t="str">
        <f>VLOOKUP(A264,'ESTADOS ESTUDIANTES'!B:L,9,0)</f>
        <v>loremach@gmail.com</v>
      </c>
      <c r="G264" s="19" t="str">
        <f>VLOOKUP(A264,'ESTADOS ESTUDIANTES'!B:L,5,0)</f>
        <v>X</v>
      </c>
      <c r="H264" s="103"/>
      <c r="I264" s="103"/>
      <c r="J264" s="103"/>
      <c r="K264" s="103"/>
      <c r="L264" s="105"/>
      <c r="M264" s="106"/>
      <c r="N264" s="105"/>
      <c r="O264" s="106"/>
      <c r="P264" s="107"/>
      <c r="Q264" s="100"/>
      <c r="R264" s="105"/>
      <c r="S264" s="103"/>
      <c r="T264" s="103"/>
      <c r="U264" s="105"/>
      <c r="V264" s="105"/>
      <c r="W264" s="103"/>
      <c r="X264" s="91">
        <f t="shared" ca="1" si="76"/>
        <v>33055</v>
      </c>
      <c r="Y264" s="99"/>
      <c r="Z264" s="103"/>
      <c r="AA264" s="105"/>
      <c r="AB264" s="105"/>
      <c r="AC264" s="103"/>
      <c r="AD264" s="21">
        <f t="shared" ca="1" si="77"/>
        <v>33055</v>
      </c>
      <c r="AE264" s="99"/>
      <c r="AF264" s="105"/>
      <c r="AG264" s="103"/>
      <c r="AH264" s="105"/>
      <c r="AI264" s="105"/>
      <c r="AJ264" s="103"/>
      <c r="AK264" s="23">
        <f t="shared" ca="1" si="78"/>
        <v>33055</v>
      </c>
      <c r="AL264" s="103"/>
      <c r="AM264" s="103"/>
      <c r="AN264" s="105"/>
      <c r="AO264" s="105"/>
      <c r="AP264" s="103"/>
      <c r="AQ264" s="162">
        <f t="shared" ca="1" si="79"/>
        <v>33055</v>
      </c>
      <c r="AR264" s="163"/>
      <c r="AS264" s="101"/>
      <c r="AT264" s="101"/>
      <c r="AU264" s="103"/>
      <c r="AV264" s="103"/>
      <c r="AW264" s="103"/>
      <c r="AX264" s="103"/>
      <c r="AY264" s="103"/>
      <c r="AZ264" s="103"/>
      <c r="BA264" s="103"/>
      <c r="BB264" s="103"/>
      <c r="BC264" s="103"/>
      <c r="BD264" s="100" t="str">
        <f t="shared" si="71"/>
        <v/>
      </c>
      <c r="BE264" s="100" t="str">
        <f t="shared" si="72"/>
        <v/>
      </c>
      <c r="BF264" s="100" t="str">
        <f t="shared" si="73"/>
        <v/>
      </c>
      <c r="BG264" s="100" t="str">
        <f t="shared" si="74"/>
        <v/>
      </c>
      <c r="BH264" s="100" t="str">
        <f t="shared" si="75"/>
        <v/>
      </c>
      <c r="BI264" s="103"/>
    </row>
    <row r="265" spans="1:61" s="281" customFormat="1" ht="90">
      <c r="A265" s="187">
        <v>20172195014</v>
      </c>
      <c r="B265" s="188" t="str">
        <f>VLOOKUP(A265,'ESTADOS ESTUDIANTES'!B:L,2,0)</f>
        <v>QUEVEDO VERA MARÍA ALEJANDRA</v>
      </c>
      <c r="C265" s="188">
        <f>VLOOKUP(A265,'ESTADOS ESTUDIANTES'!B:L,11,0)</f>
        <v>1032358776</v>
      </c>
      <c r="D265" s="169">
        <f>VLOOKUP(A265,'ESTADOS ESTUDIANTES'!B:L,3,0)</f>
        <v>195</v>
      </c>
      <c r="E265" s="188" t="str">
        <f>VLOOKUP(A265,'ESTADOS ESTUDIANTES'!B:L,8,0)</f>
        <v>maquevedov@udistrital.edu.co</v>
      </c>
      <c r="F265" s="188" t="str">
        <f>VLOOKUP(A265,'ESTADOS ESTUDIANTES'!B:L,9,0)</f>
        <v>alejandra.quevedo85@gmail.com</v>
      </c>
      <c r="G265" s="188" t="str">
        <f>VLOOKUP(A265,'ESTADOS ESTUDIANTES'!B:L,5,0)</f>
        <v>E</v>
      </c>
      <c r="H265" s="171" t="s">
        <v>60</v>
      </c>
      <c r="I265" s="171" t="s">
        <v>1903</v>
      </c>
      <c r="J265" s="171" t="s">
        <v>385</v>
      </c>
      <c r="K265" s="169"/>
      <c r="L265" s="189"/>
      <c r="M265" s="191"/>
      <c r="N265" s="189">
        <v>44097</v>
      </c>
      <c r="O265" s="191">
        <v>87.85</v>
      </c>
      <c r="P265" s="171" t="s">
        <v>79</v>
      </c>
      <c r="Q265" s="171" t="s">
        <v>1758</v>
      </c>
      <c r="R265" s="189">
        <v>43263</v>
      </c>
      <c r="S265" s="187">
        <f>YEAR(R265)</f>
        <v>2018</v>
      </c>
      <c r="T265" s="171" t="s">
        <v>225</v>
      </c>
      <c r="U265" s="189">
        <v>43271</v>
      </c>
      <c r="V265" s="189">
        <v>43272</v>
      </c>
      <c r="W265" s="169"/>
      <c r="X265" s="279">
        <f ca="1">IF(Y265="",NETWORKDAYS.INTL(U265,TODAY(),1),0)</f>
        <v>0</v>
      </c>
      <c r="Y265" s="282" t="s">
        <v>43</v>
      </c>
      <c r="Z265" s="171" t="s">
        <v>1560</v>
      </c>
      <c r="AA265" s="189">
        <v>43273</v>
      </c>
      <c r="AB265" s="189">
        <v>43284</v>
      </c>
      <c r="AC265" s="169"/>
      <c r="AD265" s="187">
        <f ca="1">IF(AE265="",NETWORKDAYS.INTL(AA265,TODAY(),1),0)</f>
        <v>0</v>
      </c>
      <c r="AE265" s="282" t="s">
        <v>56</v>
      </c>
      <c r="AF265" s="286">
        <v>45434</v>
      </c>
      <c r="AG265" s="169" t="s">
        <v>310</v>
      </c>
      <c r="AH265" s="189"/>
      <c r="AI265" s="189"/>
      <c r="AJ265" s="169"/>
      <c r="AK265" s="169">
        <f ca="1">IF(AL265="",NETWORKDAYS.INTL(AH265,TODAY(),1),0)</f>
        <v>0</v>
      </c>
      <c r="AL265" s="169" t="s">
        <v>42</v>
      </c>
      <c r="AM265" s="169" t="s">
        <v>656</v>
      </c>
      <c r="AN265" s="189"/>
      <c r="AO265" s="189"/>
      <c r="AP265" s="169"/>
      <c r="AQ265" s="283">
        <f ca="1">IF(AR265="",NETWORKDAYS.INTL(AN265,TODAY(),1),0)</f>
        <v>0</v>
      </c>
      <c r="AR265" s="280" t="s">
        <v>42</v>
      </c>
      <c r="AS265" s="171" t="s">
        <v>1352</v>
      </c>
      <c r="AT265" s="187">
        <v>50</v>
      </c>
      <c r="AU265" s="169" t="s">
        <v>41</v>
      </c>
      <c r="AV265" s="286">
        <v>45495</v>
      </c>
      <c r="AW265" s="169"/>
      <c r="AX265" s="169"/>
      <c r="AY265" s="169" t="s">
        <v>1904</v>
      </c>
      <c r="AZ265" s="286">
        <v>45434</v>
      </c>
      <c r="BA265" s="169" t="s">
        <v>1905</v>
      </c>
      <c r="BB265" s="169" t="s">
        <v>1816</v>
      </c>
      <c r="BC265" s="169"/>
      <c r="BD265" s="194" t="str">
        <f t="shared" si="71"/>
        <v/>
      </c>
      <c r="BE265" s="194" t="str">
        <f t="shared" si="72"/>
        <v/>
      </c>
      <c r="BF265" s="194" t="str">
        <f t="shared" si="73"/>
        <v/>
      </c>
      <c r="BG265" s="233" t="str">
        <f t="shared" si="74"/>
        <v/>
      </c>
      <c r="BH265" s="233" t="str">
        <f t="shared" si="75"/>
        <v/>
      </c>
      <c r="BI265" s="169"/>
    </row>
    <row r="266" spans="1:61" s="95" customFormat="1">
      <c r="A266" s="101">
        <v>20172195015</v>
      </c>
      <c r="B266" s="19" t="str">
        <f>VLOOKUP(A266,'ESTADOS ESTUDIANTES'!B:L,2,0)</f>
        <v>SUAREZ MURCIA NESTOR LEONARDO</v>
      </c>
      <c r="C266" s="102">
        <f>VLOOKUP(A266,'ESTADOS ESTUDIANTES'!B:L,11,0)</f>
        <v>79744128</v>
      </c>
      <c r="D266" s="23">
        <f>VLOOKUP(A266,'ESTADOS ESTUDIANTES'!B:L,3,0)</f>
        <v>195</v>
      </c>
      <c r="E266" s="102" t="str">
        <f>VLOOKUP(A266,'ESTADOS ESTUDIANTES'!B:L,8,0)</f>
        <v>nlsuarezm@correo.udistrital.edu.co</v>
      </c>
      <c r="F266" s="102" t="str">
        <f>VLOOKUP(A266,'ESTADOS ESTUDIANTES'!B:L,9,0)</f>
        <v>ing.leonardo.suarez@gmail.com</v>
      </c>
      <c r="G266" s="19" t="str">
        <f>VLOOKUP(A266,'ESTADOS ESTUDIANTES'!B:L,5,0)</f>
        <v>N</v>
      </c>
      <c r="H266" s="100" t="s">
        <v>60</v>
      </c>
      <c r="I266" s="103"/>
      <c r="J266" s="103"/>
      <c r="K266" s="103"/>
      <c r="L266" s="105"/>
      <c r="M266" s="106"/>
      <c r="N266" s="105"/>
      <c r="O266" s="106"/>
      <c r="P266" s="107"/>
      <c r="Q266" s="100"/>
      <c r="R266" s="105"/>
      <c r="S266" s="103"/>
      <c r="T266" s="103"/>
      <c r="U266" s="105"/>
      <c r="V266" s="105"/>
      <c r="W266" s="103"/>
      <c r="X266" s="91">
        <f ca="1">IF(U266="",NETWORKDAYS.INTL(Y266,TODAY(),1),0)</f>
        <v>33055</v>
      </c>
      <c r="Y266" s="99"/>
      <c r="Z266" s="103"/>
      <c r="AA266" s="105"/>
      <c r="AB266" s="105"/>
      <c r="AC266" s="103"/>
      <c r="AD266" s="21">
        <f ca="1">IF(AA266="",NETWORKDAYS.INTL(AE266,TODAY(),1),0)</f>
        <v>33055</v>
      </c>
      <c r="AE266" s="99"/>
      <c r="AF266" s="105"/>
      <c r="AG266" s="103"/>
      <c r="AH266" s="105"/>
      <c r="AI266" s="105"/>
      <c r="AJ266" s="103"/>
      <c r="AK266" s="23">
        <f ca="1">IF(AH266="",NETWORKDAYS.INTL(AL266,TODAY(),1),0)</f>
        <v>33055</v>
      </c>
      <c r="AL266" s="103"/>
      <c r="AM266" s="103"/>
      <c r="AN266" s="105"/>
      <c r="AO266" s="105"/>
      <c r="AP266" s="103"/>
      <c r="AQ266" s="163">
        <f ca="1">IF(AN266="",NETWORKDAYS.INTL(AR266,TODAY(),1),0)</f>
        <v>33055</v>
      </c>
      <c r="AR266" s="163"/>
      <c r="AS266" s="100"/>
      <c r="AT266" s="101"/>
      <c r="AU266" s="103"/>
      <c r="AV266" s="103"/>
      <c r="AW266" s="103"/>
      <c r="AX266" s="103"/>
      <c r="AY266" s="103"/>
      <c r="AZ266" s="103"/>
      <c r="BA266" s="103"/>
      <c r="BB266" s="103"/>
      <c r="BC266" s="103"/>
      <c r="BD266" s="100" t="str">
        <f t="shared" si="71"/>
        <v/>
      </c>
      <c r="BE266" s="100" t="str">
        <f t="shared" si="72"/>
        <v/>
      </c>
      <c r="BF266" s="100" t="str">
        <f t="shared" si="73"/>
        <v/>
      </c>
      <c r="BG266" s="100" t="str">
        <f t="shared" si="74"/>
        <v/>
      </c>
      <c r="BH266" s="100" t="str">
        <f t="shared" si="75"/>
        <v/>
      </c>
      <c r="BI266" s="103"/>
    </row>
    <row r="267" spans="1:61" s="95" customFormat="1" ht="30">
      <c r="A267" s="101">
        <v>20172195016</v>
      </c>
      <c r="B267" s="19" t="str">
        <f>VLOOKUP(A267,'ESTADOS ESTUDIANTES'!B:L,2,0)</f>
        <v>TORRES SÁNCHEZ JHONATAN LEONARDO</v>
      </c>
      <c r="C267" s="102">
        <f>VLOOKUP(A267,'ESTADOS ESTUDIANTES'!B:L,11,0)</f>
        <v>1018465594</v>
      </c>
      <c r="D267" s="23">
        <f>VLOOKUP(A267,'ESTADOS ESTUDIANTES'!B:L,3,0)</f>
        <v>195</v>
      </c>
      <c r="E267" s="102" t="str">
        <f>VLOOKUP(A267,'ESTADOS ESTUDIANTES'!B:L,8,0)</f>
        <v>jltorress@correo.udistrital.edu.co</v>
      </c>
      <c r="F267" s="102" t="str">
        <f>VLOOKUP(A267,'ESTADOS ESTUDIANTES'!B:L,9,0)</f>
        <v>leonard_2103@hotmail.com</v>
      </c>
      <c r="G267" s="19" t="str">
        <f>VLOOKUP(A267,'ESTADOS ESTUDIANTES'!B:L,5,0)</f>
        <v>X</v>
      </c>
      <c r="H267" s="100" t="s">
        <v>60</v>
      </c>
      <c r="I267" s="100" t="s">
        <v>1906</v>
      </c>
      <c r="J267" s="100" t="s">
        <v>309</v>
      </c>
      <c r="K267" s="103"/>
      <c r="L267" s="105"/>
      <c r="M267" s="106"/>
      <c r="N267" s="105"/>
      <c r="O267" s="106"/>
      <c r="P267" s="107"/>
      <c r="Q267" s="100" t="s">
        <v>1907</v>
      </c>
      <c r="R267" s="105">
        <v>43070</v>
      </c>
      <c r="S267" s="102">
        <v>2017</v>
      </c>
      <c r="T267" s="100" t="s">
        <v>1599</v>
      </c>
      <c r="U267" s="105">
        <v>43081</v>
      </c>
      <c r="V267" s="105">
        <v>43192</v>
      </c>
      <c r="W267" s="103"/>
      <c r="X267" s="91">
        <f ca="1">IF(U267="",NETWORKDAYS.INTL(Y267,TODAY(),1),0)</f>
        <v>0</v>
      </c>
      <c r="Y267" s="114" t="s">
        <v>43</v>
      </c>
      <c r="Z267" s="100" t="s">
        <v>1467</v>
      </c>
      <c r="AA267" s="105">
        <v>43080</v>
      </c>
      <c r="AB267" s="105">
        <v>43168</v>
      </c>
      <c r="AC267" s="103"/>
      <c r="AD267" s="21">
        <f ca="1">IF(AA267="",NETWORKDAYS.INTL(AE267,TODAY(),1),0)</f>
        <v>0</v>
      </c>
      <c r="AE267" s="114" t="s">
        <v>56</v>
      </c>
      <c r="AF267" s="105"/>
      <c r="AG267" s="103"/>
      <c r="AH267" s="105"/>
      <c r="AI267" s="105"/>
      <c r="AJ267" s="103"/>
      <c r="AK267" s="23">
        <f ca="1">IF(AH267="",NETWORKDAYS.INTL(AL267,TODAY(),1),0)</f>
        <v>33055</v>
      </c>
      <c r="AL267" s="103"/>
      <c r="AM267" s="103"/>
      <c r="AN267" s="105"/>
      <c r="AO267" s="105"/>
      <c r="AP267" s="103"/>
      <c r="AQ267" s="161">
        <f ca="1">IF(AN267="",NETWORKDAYS.INTL(AR267,TODAY(),1),0)</f>
        <v>33055</v>
      </c>
      <c r="AR267" s="163"/>
      <c r="AS267" s="101"/>
      <c r="AT267" s="101"/>
      <c r="AU267" s="103"/>
      <c r="AV267" s="103"/>
      <c r="AW267" s="103"/>
      <c r="AX267" s="103"/>
      <c r="AY267" s="103"/>
      <c r="AZ267" s="103"/>
      <c r="BA267" s="103"/>
      <c r="BB267" s="103"/>
      <c r="BC267" s="103"/>
      <c r="BD267" s="100" t="str">
        <f t="shared" si="71"/>
        <v/>
      </c>
      <c r="BE267" s="100" t="str">
        <f t="shared" si="72"/>
        <v/>
      </c>
      <c r="BF267" s="100" t="str">
        <f t="shared" si="73"/>
        <v/>
      </c>
      <c r="BG267" s="100" t="str">
        <f t="shared" si="74"/>
        <v/>
      </c>
      <c r="BH267" s="100" t="str">
        <f t="shared" si="75"/>
        <v/>
      </c>
      <c r="BI267" s="103"/>
    </row>
    <row r="268" spans="1:61" s="95" customFormat="1" ht="120">
      <c r="A268" s="21">
        <v>20172395002</v>
      </c>
      <c r="B268" s="19" t="str">
        <f>VLOOKUP(A268,'ESTADOS ESTUDIANTES'!B:L,2,0)</f>
        <v>BECERRA GARCÍA LAURA JUANITA</v>
      </c>
      <c r="C268" s="19">
        <f>VLOOKUP(A268,'ESTADOS ESTUDIANTES'!B:L,11,0)</f>
        <v>1024554082</v>
      </c>
      <c r="D268" s="23">
        <f>VLOOKUP(A268,'ESTADOS ESTUDIANTES'!B:L,3,0)</f>
        <v>395</v>
      </c>
      <c r="E268" s="19" t="str">
        <f>VLOOKUP(A268,'ESTADOS ESTUDIANTES'!B:L,8,0)</f>
        <v>ljbecerrag@udistrital.edu.co</v>
      </c>
      <c r="F268" s="19" t="str">
        <f>VLOOKUP(A268,'ESTADOS ESTUDIANTES'!B:L,9,0)</f>
        <v>ljbecerrag@gmail.com</v>
      </c>
      <c r="G268" s="19" t="str">
        <f>VLOOKUP(A268,'ESTADOS ESTUDIANTES'!B:L,5,0)</f>
        <v>E</v>
      </c>
      <c r="H268" s="18" t="s">
        <v>60</v>
      </c>
      <c r="I268" s="18" t="s">
        <v>1908</v>
      </c>
      <c r="J268" s="18" t="s">
        <v>458</v>
      </c>
      <c r="K268" s="23"/>
      <c r="L268" s="96">
        <v>44153</v>
      </c>
      <c r="M268" s="97">
        <v>87.85</v>
      </c>
      <c r="N268" s="96">
        <v>44981</v>
      </c>
      <c r="O268" s="97">
        <v>147</v>
      </c>
      <c r="P268" s="98" t="s">
        <v>68</v>
      </c>
      <c r="Q268" s="18" t="s">
        <v>1909</v>
      </c>
      <c r="R268" s="96">
        <v>43129</v>
      </c>
      <c r="S268" s="19">
        <v>2018</v>
      </c>
      <c r="T268" s="18" t="s">
        <v>1144</v>
      </c>
      <c r="U268" s="96">
        <v>43313</v>
      </c>
      <c r="V268" s="96">
        <v>43319</v>
      </c>
      <c r="W268" s="19">
        <v>1</v>
      </c>
      <c r="X268" s="91">
        <f ca="1">IF(Y268="",NETWORKDAYS.INTL(U268,TODAY(),1),0)</f>
        <v>0</v>
      </c>
      <c r="Y268" s="114" t="s">
        <v>43</v>
      </c>
      <c r="Z268" s="18" t="s">
        <v>738</v>
      </c>
      <c r="AA268" s="96">
        <v>43315</v>
      </c>
      <c r="AB268" s="96">
        <v>43315</v>
      </c>
      <c r="AC268" s="19">
        <v>2</v>
      </c>
      <c r="AD268" s="21">
        <f ca="1">IF(AE268="",NETWORKDAYS.INTL(AA268,TODAY(),1),0)</f>
        <v>0</v>
      </c>
      <c r="AE268" s="114" t="s">
        <v>43</v>
      </c>
      <c r="AF268" s="96"/>
      <c r="AG268" s="18" t="s">
        <v>229</v>
      </c>
      <c r="AH268" s="96">
        <v>44894</v>
      </c>
      <c r="AI268" s="96"/>
      <c r="AJ268" s="19">
        <v>1</v>
      </c>
      <c r="AK268" s="23">
        <f ca="1">IF(AL268="",NETWORKDAYS.INTL(AH268,TODAY(),1),0)</f>
        <v>0</v>
      </c>
      <c r="AL268" s="18" t="s">
        <v>42</v>
      </c>
      <c r="AM268" s="18" t="s">
        <v>831</v>
      </c>
      <c r="AN268" s="96">
        <v>44721</v>
      </c>
      <c r="AO268" s="96">
        <v>44792</v>
      </c>
      <c r="AP268" s="23"/>
      <c r="AQ268" s="163">
        <f ca="1">IF(AR268="",NETWORKDAYS.INTL(AN268,TODAY(),1),0)</f>
        <v>0</v>
      </c>
      <c r="AR268" s="164" t="s">
        <v>42</v>
      </c>
      <c r="AS268" s="18" t="s">
        <v>1910</v>
      </c>
      <c r="AT268" s="21">
        <v>5</v>
      </c>
      <c r="AU268" s="18" t="s">
        <v>41</v>
      </c>
      <c r="AV268" s="124">
        <v>44911</v>
      </c>
      <c r="AW268" s="120">
        <v>45016</v>
      </c>
      <c r="AX268" s="23">
        <v>2023</v>
      </c>
      <c r="AY268" s="18" t="s">
        <v>1911</v>
      </c>
      <c r="AZ268" s="120">
        <v>44425</v>
      </c>
      <c r="BA268" s="120"/>
      <c r="BB268" s="18" t="s">
        <v>1912</v>
      </c>
      <c r="BC268" s="23"/>
      <c r="BD268" s="100" t="str">
        <f t="shared" si="71"/>
        <v/>
      </c>
      <c r="BE268" s="100" t="str">
        <f t="shared" si="72"/>
        <v/>
      </c>
      <c r="BF268" s="100" t="str">
        <f t="shared" si="73"/>
        <v/>
      </c>
      <c r="BG268" s="100" t="str">
        <f t="shared" si="74"/>
        <v/>
      </c>
      <c r="BH268" s="100" t="str">
        <f t="shared" si="75"/>
        <v/>
      </c>
      <c r="BI268" s="23"/>
    </row>
    <row r="269" spans="1:61" s="95" customFormat="1">
      <c r="A269" s="101">
        <v>20172395003</v>
      </c>
      <c r="B269" s="19" t="str">
        <f>VLOOKUP(A269,'ESTADOS ESTUDIANTES'!B:L,2,0)</f>
        <v>BECERRA MARTINEZ YURI LORENA</v>
      </c>
      <c r="C269" s="102">
        <f>VLOOKUP(A269,'ESTADOS ESTUDIANTES'!B:L,11,0)</f>
        <v>1023904261</v>
      </c>
      <c r="D269" s="23">
        <f>VLOOKUP(A269,'ESTADOS ESTUDIANTES'!B:L,3,0)</f>
        <v>395</v>
      </c>
      <c r="E269" s="102" t="str">
        <f>VLOOKUP(A269,'ESTADOS ESTUDIANTES'!B:L,8,0)</f>
        <v>ylbecerram@correo.udistrital.edu.co</v>
      </c>
      <c r="F269" s="102" t="str">
        <f>VLOOKUP(A269,'ESTADOS ESTUDIANTES'!B:L,9,0)</f>
        <v>lorebm05@gmail.com</v>
      </c>
      <c r="G269" s="19" t="str">
        <f>VLOOKUP(A269,'ESTADOS ESTUDIANTES'!B:L,5,0)</f>
        <v>N</v>
      </c>
      <c r="H269" s="100" t="s">
        <v>60</v>
      </c>
      <c r="I269" s="103"/>
      <c r="J269" s="103"/>
      <c r="K269" s="103"/>
      <c r="L269" s="105"/>
      <c r="M269" s="106"/>
      <c r="N269" s="105"/>
      <c r="O269" s="106"/>
      <c r="P269" s="107"/>
      <c r="Q269" s="100"/>
      <c r="R269" s="105"/>
      <c r="S269" s="103"/>
      <c r="T269" s="103"/>
      <c r="U269" s="105"/>
      <c r="V269" s="105"/>
      <c r="W269" s="103"/>
      <c r="X269" s="91">
        <f ca="1">IF(U269="",NETWORKDAYS.INTL(Y269,TODAY(),1),0)</f>
        <v>33055</v>
      </c>
      <c r="Y269" s="99"/>
      <c r="Z269" s="103"/>
      <c r="AA269" s="105"/>
      <c r="AB269" s="105"/>
      <c r="AC269" s="103"/>
      <c r="AD269" s="21">
        <f ca="1">IF(AA269="",NETWORKDAYS.INTL(AE269,TODAY(),1),0)</f>
        <v>33055</v>
      </c>
      <c r="AE269" s="99"/>
      <c r="AF269" s="105"/>
      <c r="AG269" s="103"/>
      <c r="AH269" s="105"/>
      <c r="AI269" s="105"/>
      <c r="AJ269" s="103"/>
      <c r="AK269" s="23">
        <f ca="1">IF(AH269="",NETWORKDAYS.INTL(AL269,TODAY(),1),0)</f>
        <v>33055</v>
      </c>
      <c r="AL269" s="103"/>
      <c r="AM269" s="103"/>
      <c r="AN269" s="105"/>
      <c r="AO269" s="105"/>
      <c r="AP269" s="103"/>
      <c r="AQ269" s="161">
        <f ca="1">IF(AN269="",NETWORKDAYS.INTL(AR269,TODAY(),1),0)</f>
        <v>33055</v>
      </c>
      <c r="AR269" s="163"/>
      <c r="AS269" s="100"/>
      <c r="AT269" s="101"/>
      <c r="AU269" s="103"/>
      <c r="AV269" s="103"/>
      <c r="AW269" s="103"/>
      <c r="AX269" s="103"/>
      <c r="AY269" s="103"/>
      <c r="AZ269" s="103"/>
      <c r="BA269" s="103"/>
      <c r="BB269" s="103"/>
      <c r="BC269" s="103"/>
      <c r="BD269" s="100" t="str">
        <f t="shared" si="71"/>
        <v/>
      </c>
      <c r="BE269" s="100" t="str">
        <f t="shared" si="72"/>
        <v/>
      </c>
      <c r="BF269" s="100" t="str">
        <f t="shared" si="73"/>
        <v/>
      </c>
      <c r="BG269" s="100" t="str">
        <f t="shared" si="74"/>
        <v/>
      </c>
      <c r="BH269" s="100" t="str">
        <f t="shared" si="75"/>
        <v/>
      </c>
      <c r="BI269" s="103"/>
    </row>
    <row r="270" spans="1:61" s="95" customFormat="1" ht="30">
      <c r="A270" s="208">
        <v>20172395004</v>
      </c>
      <c r="B270" s="209" t="str">
        <f>VLOOKUP(A270,'ESTADOS ESTUDIANTES'!B:L,2,0)</f>
        <v>CASTILLO RAMÍREZ CARLOS ANDRÉS</v>
      </c>
      <c r="C270" s="209">
        <f>VLOOKUP(A270,'ESTADOS ESTUDIANTES'!B:L,11,0)</f>
        <v>1013609700</v>
      </c>
      <c r="D270" s="211">
        <f>VLOOKUP(A270,'ESTADOS ESTUDIANTES'!B:L,3,0)</f>
        <v>395</v>
      </c>
      <c r="E270" s="209" t="str">
        <f>VLOOKUP(A270,'ESTADOS ESTUDIANTES'!B:L,8,0)</f>
        <v>caacastillor@udistrital.edu.co</v>
      </c>
      <c r="F270" s="209" t="str">
        <f>VLOOKUP(A270,'ESTADOS ESTUDIANTES'!B:L,9,0)</f>
        <v>karloanca@gmail.com</v>
      </c>
      <c r="G270" s="209" t="str">
        <f>VLOOKUP(A270,'ESTADOS ESTUDIANTES'!B:L,5,0)</f>
        <v>X</v>
      </c>
      <c r="H270" s="210" t="s">
        <v>46</v>
      </c>
      <c r="I270" s="210" t="s">
        <v>1913</v>
      </c>
      <c r="J270" s="210" t="s">
        <v>356</v>
      </c>
      <c r="K270" s="210" t="s">
        <v>1140</v>
      </c>
      <c r="L270" s="212"/>
      <c r="M270" s="214"/>
      <c r="N270" s="212">
        <v>43964</v>
      </c>
      <c r="O270" s="214">
        <v>77.39</v>
      </c>
      <c r="P270" s="210" t="s">
        <v>79</v>
      </c>
      <c r="Q270" s="210" t="s">
        <v>1914</v>
      </c>
      <c r="R270" s="212">
        <v>43259</v>
      </c>
      <c r="S270" s="208">
        <f>YEAR(R270)</f>
        <v>2018</v>
      </c>
      <c r="T270" s="210" t="s">
        <v>369</v>
      </c>
      <c r="U270" s="212">
        <v>43173</v>
      </c>
      <c r="V270" s="212">
        <v>43174</v>
      </c>
      <c r="W270" s="209">
        <v>1</v>
      </c>
      <c r="X270" s="217">
        <f ca="1">IF(Y270="",NETWORKDAYS.INTL(U270,TODAY(),1),0)</f>
        <v>0</v>
      </c>
      <c r="Y270" s="210" t="s">
        <v>43</v>
      </c>
      <c r="Z270" s="210" t="s">
        <v>1915</v>
      </c>
      <c r="AA270" s="212">
        <v>43385</v>
      </c>
      <c r="AB270" s="212">
        <v>43410</v>
      </c>
      <c r="AC270" s="209">
        <v>1</v>
      </c>
      <c r="AD270" s="208">
        <f ca="1">IF(AE270="",NETWORKDAYS.INTL(AA270,TODAY(),1),0)</f>
        <v>0</v>
      </c>
      <c r="AE270" s="210" t="s">
        <v>43</v>
      </c>
      <c r="AF270" s="212"/>
      <c r="AG270" s="211"/>
      <c r="AH270" s="212"/>
      <c r="AI270" s="212"/>
      <c r="AJ270" s="211"/>
      <c r="AK270" s="211">
        <f ca="1">IF(AL270="",NETWORKDAYS.INTL(AH270,TODAY(),1),0)</f>
        <v>33055</v>
      </c>
      <c r="AL270" s="211"/>
      <c r="AM270" s="211"/>
      <c r="AN270" s="212"/>
      <c r="AO270" s="212"/>
      <c r="AP270" s="211"/>
      <c r="AQ270" s="219">
        <f ca="1">IF(AR270="",NETWORKDAYS.INTL(AN270,TODAY(),1),0)</f>
        <v>33055</v>
      </c>
      <c r="AR270" s="220"/>
      <c r="AS270" s="210"/>
      <c r="AT270" s="208"/>
      <c r="AU270" s="211"/>
      <c r="AV270" s="211"/>
      <c r="AW270" s="211"/>
      <c r="AX270" s="211"/>
      <c r="AY270" s="211"/>
      <c r="AZ270" s="211"/>
      <c r="BA270" s="211"/>
      <c r="BB270" s="211"/>
      <c r="BC270" s="211"/>
      <c r="BD270" s="216" t="str">
        <f t="shared" si="71"/>
        <v/>
      </c>
      <c r="BE270" s="216" t="str">
        <f t="shared" si="72"/>
        <v/>
      </c>
      <c r="BF270" s="216" t="str">
        <f t="shared" si="73"/>
        <v/>
      </c>
      <c r="BG270" s="221" t="str">
        <f t="shared" si="74"/>
        <v/>
      </c>
      <c r="BH270" s="221" t="str">
        <f t="shared" si="75"/>
        <v/>
      </c>
      <c r="BI270" s="211"/>
    </row>
    <row r="271" spans="1:61" s="95" customFormat="1" ht="30">
      <c r="A271" s="101">
        <v>20172395005</v>
      </c>
      <c r="B271" s="19" t="str">
        <f>VLOOKUP(A271,'ESTADOS ESTUDIANTES'!B:L,2,0)</f>
        <v>CEPEDA QUINTERO RICARDO EDILBERTO</v>
      </c>
      <c r="C271" s="102">
        <f>VLOOKUP(A271,'ESTADOS ESTUDIANTES'!B:L,11,0)</f>
        <v>1015432056</v>
      </c>
      <c r="D271" s="23">
        <f>VLOOKUP(A271,'ESTADOS ESTUDIANTES'!B:L,3,0)</f>
        <v>395</v>
      </c>
      <c r="E271" s="102" t="str">
        <f>VLOOKUP(A271,'ESTADOS ESTUDIANTES'!B:L,8,0)</f>
        <v>recepedaq@correo.udistrital.edu.co</v>
      </c>
      <c r="F271" s="102" t="str">
        <f>VLOOKUP(A271,'ESTADOS ESTUDIANTES'!B:L,9,0)</f>
        <v>ricardocepeda27@hotmail.com</v>
      </c>
      <c r="G271" s="19" t="str">
        <f>VLOOKUP(A271,'ESTADOS ESTUDIANTES'!B:L,5,0)</f>
        <v>N</v>
      </c>
      <c r="H271" s="103"/>
      <c r="I271" s="103"/>
      <c r="J271" s="103"/>
      <c r="K271" s="103"/>
      <c r="L271" s="105"/>
      <c r="M271" s="106"/>
      <c r="N271" s="105"/>
      <c r="O271" s="106"/>
      <c r="P271" s="107"/>
      <c r="Q271" s="100"/>
      <c r="R271" s="105"/>
      <c r="S271" s="103"/>
      <c r="T271" s="103"/>
      <c r="U271" s="105"/>
      <c r="V271" s="105"/>
      <c r="W271" s="103"/>
      <c r="X271" s="91">
        <f t="shared" ref="X271:X276" ca="1" si="80">IF(U271="",NETWORKDAYS.INTL(Y271,TODAY(),1),0)</f>
        <v>33055</v>
      </c>
      <c r="Y271" s="99"/>
      <c r="Z271" s="103"/>
      <c r="AA271" s="105"/>
      <c r="AB271" s="105"/>
      <c r="AC271" s="103"/>
      <c r="AD271" s="21">
        <f t="shared" ref="AD271:AD276" ca="1" si="81">IF(AA271="",NETWORKDAYS.INTL(AE271,TODAY(),1),0)</f>
        <v>33055</v>
      </c>
      <c r="AE271" s="99"/>
      <c r="AF271" s="105"/>
      <c r="AG271" s="103"/>
      <c r="AH271" s="105"/>
      <c r="AI271" s="105"/>
      <c r="AJ271" s="103"/>
      <c r="AK271" s="23">
        <f t="shared" ref="AK271:AK276" ca="1" si="82">IF(AH271="",NETWORKDAYS.INTL(AL271,TODAY(),1),0)</f>
        <v>33055</v>
      </c>
      <c r="AL271" s="103"/>
      <c r="AM271" s="103"/>
      <c r="AN271" s="105"/>
      <c r="AO271" s="105"/>
      <c r="AP271" s="103"/>
      <c r="AQ271" s="163">
        <f t="shared" ref="AQ271:AQ276" ca="1" si="83">IF(AN271="",NETWORKDAYS.INTL(AR271,TODAY(),1),0)</f>
        <v>33055</v>
      </c>
      <c r="AR271" s="163"/>
      <c r="AS271" s="101"/>
      <c r="AT271" s="101"/>
      <c r="AU271" s="103"/>
      <c r="AV271" s="103"/>
      <c r="AW271" s="103"/>
      <c r="AX271" s="103"/>
      <c r="AY271" s="103"/>
      <c r="AZ271" s="103"/>
      <c r="BA271" s="103"/>
      <c r="BB271" s="103"/>
      <c r="BC271" s="103"/>
      <c r="BD271" s="100" t="str">
        <f t="shared" si="71"/>
        <v/>
      </c>
      <c r="BE271" s="100" t="str">
        <f t="shared" si="72"/>
        <v/>
      </c>
      <c r="BF271" s="100" t="str">
        <f t="shared" si="73"/>
        <v/>
      </c>
      <c r="BG271" s="100" t="str">
        <f t="shared" si="74"/>
        <v/>
      </c>
      <c r="BH271" s="100" t="str">
        <f t="shared" si="75"/>
        <v/>
      </c>
      <c r="BI271" s="103"/>
    </row>
    <row r="272" spans="1:61" s="95" customFormat="1" ht="45">
      <c r="A272" s="101">
        <v>20172395006</v>
      </c>
      <c r="B272" s="19" t="str">
        <f>VLOOKUP(A272,'ESTADOS ESTUDIANTES'!B:L,2,0)</f>
        <v>LEÓN CAROLINA GIRÓN</v>
      </c>
      <c r="C272" s="102">
        <f>VLOOKUP(A272,'ESTADOS ESTUDIANTES'!B:L,11,0)</f>
        <v>53014101</v>
      </c>
      <c r="D272" s="23">
        <f>VLOOKUP(A272,'ESTADOS ESTUDIANTES'!B:L,3,0)</f>
        <v>395</v>
      </c>
      <c r="E272" s="102" t="str">
        <f>VLOOKUP(A272,'ESTADOS ESTUDIANTES'!B:L,8,0)</f>
        <v>cleong@correo.udistrital.edu.co</v>
      </c>
      <c r="F272" s="102" t="str">
        <f>VLOOKUP(A272,'ESTADOS ESTUDIANTES'!B:L,9,0)</f>
        <v>cleongiron@gmail.com</v>
      </c>
      <c r="G272" s="19" t="str">
        <f>VLOOKUP(A272,'ESTADOS ESTUDIANTES'!B:L,5,0)</f>
        <v>E</v>
      </c>
      <c r="H272" s="100" t="s">
        <v>46</v>
      </c>
      <c r="I272" s="100" t="s">
        <v>1916</v>
      </c>
      <c r="J272" s="108" t="s">
        <v>402</v>
      </c>
      <c r="K272" s="103"/>
      <c r="L272" s="105"/>
      <c r="M272" s="106"/>
      <c r="N272" s="105">
        <v>43964</v>
      </c>
      <c r="O272" s="106">
        <v>61.74</v>
      </c>
      <c r="P272" s="112" t="s">
        <v>87</v>
      </c>
      <c r="Q272" s="100" t="s">
        <v>1907</v>
      </c>
      <c r="R272" s="105">
        <v>43074</v>
      </c>
      <c r="S272" s="102">
        <v>2017</v>
      </c>
      <c r="T272" s="100" t="s">
        <v>1429</v>
      </c>
      <c r="U272" s="105">
        <v>43481</v>
      </c>
      <c r="V272" s="105">
        <v>43515</v>
      </c>
      <c r="W272" s="103"/>
      <c r="X272" s="91">
        <f t="shared" ca="1" si="80"/>
        <v>0</v>
      </c>
      <c r="Y272" s="114" t="s">
        <v>43</v>
      </c>
      <c r="Z272" s="100" t="s">
        <v>1501</v>
      </c>
      <c r="AA272" s="105">
        <v>43123</v>
      </c>
      <c r="AB272" s="105">
        <v>43135</v>
      </c>
      <c r="AC272" s="103"/>
      <c r="AD272" s="21">
        <f t="shared" ca="1" si="81"/>
        <v>0</v>
      </c>
      <c r="AE272" s="114" t="s">
        <v>43</v>
      </c>
      <c r="AF272" s="105">
        <v>43868</v>
      </c>
      <c r="AG272" s="100" t="s">
        <v>228</v>
      </c>
      <c r="AH272" s="105">
        <v>43882</v>
      </c>
      <c r="AI272" s="105"/>
      <c r="AJ272" s="103"/>
      <c r="AK272" s="23">
        <f t="shared" ca="1" si="82"/>
        <v>0</v>
      </c>
      <c r="AL272" s="100" t="s">
        <v>42</v>
      </c>
      <c r="AM272" s="18" t="s">
        <v>458</v>
      </c>
      <c r="AN272" s="105">
        <v>43888</v>
      </c>
      <c r="AO272" s="105">
        <v>43935</v>
      </c>
      <c r="AP272" s="103"/>
      <c r="AQ272" s="161">
        <f t="shared" ca="1" si="83"/>
        <v>0</v>
      </c>
      <c r="AR272" s="162" t="s">
        <v>42</v>
      </c>
      <c r="AS272" s="115">
        <v>43891</v>
      </c>
      <c r="AT272" s="100" t="s">
        <v>1407</v>
      </c>
      <c r="AU272" s="100" t="s">
        <v>41</v>
      </c>
      <c r="AV272" s="117">
        <v>43958</v>
      </c>
      <c r="AW272" s="103"/>
      <c r="AX272" s="103"/>
      <c r="AY272" s="103"/>
      <c r="AZ272" s="103"/>
      <c r="BA272" s="103"/>
      <c r="BB272" s="103"/>
      <c r="BC272" s="103"/>
      <c r="BD272" s="100" t="str">
        <f t="shared" si="71"/>
        <v/>
      </c>
      <c r="BE272" s="100" t="str">
        <f t="shared" si="72"/>
        <v/>
      </c>
      <c r="BF272" s="100" t="str">
        <f t="shared" si="73"/>
        <v/>
      </c>
      <c r="BG272" s="100" t="str">
        <f t="shared" si="74"/>
        <v/>
      </c>
      <c r="BH272" s="100" t="str">
        <f t="shared" si="75"/>
        <v/>
      </c>
      <c r="BI272" s="103"/>
    </row>
    <row r="273" spans="1:61" s="95" customFormat="1">
      <c r="A273" s="101">
        <v>20172395008</v>
      </c>
      <c r="B273" s="19" t="str">
        <f>VLOOKUP(A273,'ESTADOS ESTUDIANTES'!B:L,2,0)</f>
        <v>GONZÁLEZ TRIANA LEYDI ANDREA</v>
      </c>
      <c r="C273" s="102">
        <f>VLOOKUP(A273,'ESTADOS ESTUDIANTES'!B:L,11,0)</f>
        <v>1070961137</v>
      </c>
      <c r="D273" s="23">
        <f>VLOOKUP(A273,'ESTADOS ESTUDIANTES'!B:L,3,0)</f>
        <v>395</v>
      </c>
      <c r="E273" s="102" t="str">
        <f>VLOOKUP(A273,'ESTADOS ESTUDIANTES'!B:L,8,0)</f>
        <v>lagonzalezt@correo.udistrital.edu.co</v>
      </c>
      <c r="F273" s="102" t="str">
        <f>VLOOKUP(A273,'ESTADOS ESTUDIANTES'!B:L,9,0)</f>
        <v>leidygnzalez@gmail.com</v>
      </c>
      <c r="G273" s="19" t="str">
        <f>VLOOKUP(A273,'ESTADOS ESTUDIANTES'!B:L,5,0)</f>
        <v>X</v>
      </c>
      <c r="H273" s="100" t="s">
        <v>60</v>
      </c>
      <c r="I273" s="103"/>
      <c r="J273" s="103"/>
      <c r="K273" s="103"/>
      <c r="L273" s="105"/>
      <c r="M273" s="106"/>
      <c r="N273" s="105"/>
      <c r="O273" s="106"/>
      <c r="P273" s="107"/>
      <c r="Q273" s="100"/>
      <c r="R273" s="105"/>
      <c r="S273" s="103"/>
      <c r="T273" s="103"/>
      <c r="U273" s="105"/>
      <c r="V273" s="105"/>
      <c r="W273" s="103"/>
      <c r="X273" s="91">
        <f t="shared" ca="1" si="80"/>
        <v>33055</v>
      </c>
      <c r="Y273" s="99"/>
      <c r="Z273" s="103"/>
      <c r="AA273" s="105"/>
      <c r="AB273" s="105"/>
      <c r="AC273" s="103"/>
      <c r="AD273" s="21">
        <f t="shared" ca="1" si="81"/>
        <v>33055</v>
      </c>
      <c r="AE273" s="99"/>
      <c r="AF273" s="105"/>
      <c r="AG273" s="103"/>
      <c r="AH273" s="105"/>
      <c r="AI273" s="105"/>
      <c r="AJ273" s="103"/>
      <c r="AK273" s="23">
        <f t="shared" ca="1" si="82"/>
        <v>33055</v>
      </c>
      <c r="AL273" s="103"/>
      <c r="AM273" s="103"/>
      <c r="AN273" s="105"/>
      <c r="AO273" s="105"/>
      <c r="AP273" s="103"/>
      <c r="AQ273" s="163">
        <f t="shared" ca="1" si="83"/>
        <v>33055</v>
      </c>
      <c r="AR273" s="163"/>
      <c r="AS273" s="101"/>
      <c r="AT273" s="101"/>
      <c r="AU273" s="103"/>
      <c r="AV273" s="103"/>
      <c r="AW273" s="103"/>
      <c r="AX273" s="103"/>
      <c r="AY273" s="103"/>
      <c r="AZ273" s="103"/>
      <c r="BA273" s="103"/>
      <c r="BB273" s="103"/>
      <c r="BC273" s="103"/>
      <c r="BD273" s="100" t="str">
        <f t="shared" si="71"/>
        <v/>
      </c>
      <c r="BE273" s="100" t="str">
        <f t="shared" si="72"/>
        <v/>
      </c>
      <c r="BF273" s="100" t="str">
        <f t="shared" si="73"/>
        <v/>
      </c>
      <c r="BG273" s="100" t="str">
        <f t="shared" si="74"/>
        <v/>
      </c>
      <c r="BH273" s="100" t="str">
        <f t="shared" si="75"/>
        <v/>
      </c>
      <c r="BI273" s="103"/>
    </row>
    <row r="274" spans="1:61" s="95" customFormat="1" ht="75">
      <c r="A274" s="101">
        <v>20172395011</v>
      </c>
      <c r="B274" s="19" t="str">
        <f>VLOOKUP(A274,'ESTADOS ESTUDIANTES'!B:L,2,0)</f>
        <v>NIETO VERA YENI ANDREA</v>
      </c>
      <c r="C274" s="102">
        <f>VLOOKUP(A274,'ESTADOS ESTUDIANTES'!B:L,11,0)</f>
        <v>1014248221</v>
      </c>
      <c r="D274" s="23">
        <f>VLOOKUP(A274,'ESTADOS ESTUDIANTES'!B:L,3,0)</f>
        <v>395</v>
      </c>
      <c r="E274" s="102" t="str">
        <f>VLOOKUP(A274,'ESTADOS ESTUDIANTES'!B:L,8,0)</f>
        <v>yeanietov@correo.udistrital.edu.co</v>
      </c>
      <c r="F274" s="102" t="str">
        <f>VLOOKUP(A274,'ESTADOS ESTUDIANTES'!B:L,9,0)</f>
        <v>yennynieto01@gmail.com</v>
      </c>
      <c r="G274" s="19" t="str">
        <f>VLOOKUP(A274,'ESTADOS ESTUDIANTES'!B:L,5,0)</f>
        <v>E</v>
      </c>
      <c r="H274" s="100" t="s">
        <v>60</v>
      </c>
      <c r="I274" s="100" t="s">
        <v>1917</v>
      </c>
      <c r="J274" s="108" t="s">
        <v>344</v>
      </c>
      <c r="K274" s="103"/>
      <c r="L274" s="105"/>
      <c r="M274" s="106"/>
      <c r="N274" s="105">
        <v>43964</v>
      </c>
      <c r="O274" s="106">
        <v>85.22</v>
      </c>
      <c r="P274" s="112" t="s">
        <v>79</v>
      </c>
      <c r="Q274" s="102">
        <v>43101</v>
      </c>
      <c r="R274" s="105">
        <v>43140</v>
      </c>
      <c r="S274" s="102">
        <v>2018</v>
      </c>
      <c r="T274" s="100" t="s">
        <v>1440</v>
      </c>
      <c r="U274" s="105">
        <v>43153</v>
      </c>
      <c r="V274" s="105">
        <v>43201</v>
      </c>
      <c r="W274" s="103"/>
      <c r="X274" s="91">
        <f t="shared" ca="1" si="80"/>
        <v>0</v>
      </c>
      <c r="Y274" s="114" t="s">
        <v>43</v>
      </c>
      <c r="Z274" s="100" t="s">
        <v>1918</v>
      </c>
      <c r="AA274" s="105">
        <v>43244</v>
      </c>
      <c r="AB274" s="105">
        <v>43320</v>
      </c>
      <c r="AC274" s="100" t="s">
        <v>1919</v>
      </c>
      <c r="AD274" s="21">
        <f t="shared" ca="1" si="81"/>
        <v>0</v>
      </c>
      <c r="AE274" s="114" t="s">
        <v>43</v>
      </c>
      <c r="AF274" s="105"/>
      <c r="AG274" s="100" t="s">
        <v>1920</v>
      </c>
      <c r="AH274" s="105">
        <v>44268</v>
      </c>
      <c r="AI274" s="105">
        <v>44298</v>
      </c>
      <c r="AJ274" s="100" t="s">
        <v>1921</v>
      </c>
      <c r="AK274" s="23">
        <f t="shared" ca="1" si="82"/>
        <v>0</v>
      </c>
      <c r="AL274" s="100" t="s">
        <v>1576</v>
      </c>
      <c r="AM274" s="100" t="s">
        <v>1621</v>
      </c>
      <c r="AN274" s="105">
        <v>44268</v>
      </c>
      <c r="AO274" s="105">
        <v>44305</v>
      </c>
      <c r="AP274" s="100" t="s">
        <v>1922</v>
      </c>
      <c r="AQ274" s="162">
        <f t="shared" ca="1" si="83"/>
        <v>0</v>
      </c>
      <c r="AR274" s="162" t="s">
        <v>1576</v>
      </c>
      <c r="AS274" s="115">
        <v>44378</v>
      </c>
      <c r="AT274" s="116">
        <v>44685</v>
      </c>
      <c r="AU274" s="100" t="s">
        <v>41</v>
      </c>
      <c r="AV274" s="117">
        <v>44330</v>
      </c>
      <c r="AW274" s="103"/>
      <c r="AX274" s="103"/>
      <c r="AY274" s="100" t="s">
        <v>1923</v>
      </c>
      <c r="AZ274" s="102">
        <v>44172</v>
      </c>
      <c r="BA274" s="102"/>
      <c r="BB274" s="100" t="s">
        <v>1924</v>
      </c>
      <c r="BC274" s="100" t="s">
        <v>240</v>
      </c>
      <c r="BD274" s="100" t="str">
        <f t="shared" si="71"/>
        <v/>
      </c>
      <c r="BE274" s="100" t="str">
        <f t="shared" si="72"/>
        <v/>
      </c>
      <c r="BF274" s="100" t="str">
        <f t="shared" si="73"/>
        <v/>
      </c>
      <c r="BG274" s="100" t="str">
        <f t="shared" si="74"/>
        <v/>
      </c>
      <c r="BH274" s="100" t="str">
        <f t="shared" si="75"/>
        <v/>
      </c>
      <c r="BI274" s="103"/>
    </row>
    <row r="275" spans="1:61" s="95" customFormat="1" ht="60">
      <c r="A275" s="21">
        <v>20172395012</v>
      </c>
      <c r="B275" s="19" t="str">
        <f>VLOOKUP(A275,'ESTADOS ESTUDIANTES'!B:L,2,0)</f>
        <v>NOSSA CALDERÓN JAVIER ANDRÉS</v>
      </c>
      <c r="C275" s="19">
        <f>VLOOKUP(A275,'ESTADOS ESTUDIANTES'!B:L,11,0)</f>
        <v>1020745698</v>
      </c>
      <c r="D275" s="23">
        <f>VLOOKUP(A275,'ESTADOS ESTUDIANTES'!B:L,3,0)</f>
        <v>395</v>
      </c>
      <c r="E275" s="19" t="str">
        <f>VLOOKUP(A275,'ESTADOS ESTUDIANTES'!B:L,8,0)</f>
        <v>janossac@correo.udistrital.edu.co</v>
      </c>
      <c r="F275" s="19" t="str">
        <f>VLOOKUP(A275,'ESTADOS ESTUDIANTES'!B:L,9,0)</f>
        <v>andresnossac@gmail.com</v>
      </c>
      <c r="G275" s="19" t="str">
        <f>VLOOKUP(A275,'ESTADOS ESTUDIANTES'!B:L,5,0)</f>
        <v>X</v>
      </c>
      <c r="H275" s="18" t="s">
        <v>60</v>
      </c>
      <c r="I275" s="18" t="s">
        <v>1925</v>
      </c>
      <c r="J275" s="18" t="s">
        <v>229</v>
      </c>
      <c r="K275" s="23"/>
      <c r="L275" s="96"/>
      <c r="M275" s="97"/>
      <c r="N275" s="96"/>
      <c r="O275" s="97"/>
      <c r="P275" s="110"/>
      <c r="Q275" s="18" t="s">
        <v>1914</v>
      </c>
      <c r="R275" s="96">
        <v>43129</v>
      </c>
      <c r="S275" s="19">
        <v>2018</v>
      </c>
      <c r="T275" s="18" t="s">
        <v>1206</v>
      </c>
      <c r="U275" s="96">
        <v>43536</v>
      </c>
      <c r="V275" s="96">
        <v>43553</v>
      </c>
      <c r="W275" s="18" t="s">
        <v>1926</v>
      </c>
      <c r="X275" s="91">
        <f t="shared" ca="1" si="80"/>
        <v>0</v>
      </c>
      <c r="Y275" s="114" t="s">
        <v>43</v>
      </c>
      <c r="Z275" s="18" t="s">
        <v>1429</v>
      </c>
      <c r="AA275" s="96">
        <v>43158</v>
      </c>
      <c r="AB275" s="96">
        <v>43192</v>
      </c>
      <c r="AC275" s="18" t="s">
        <v>1927</v>
      </c>
      <c r="AD275" s="21">
        <f t="shared" ca="1" si="81"/>
        <v>0</v>
      </c>
      <c r="AE275" s="114" t="s">
        <v>43</v>
      </c>
      <c r="AF275" s="96"/>
      <c r="AG275" s="23"/>
      <c r="AH275" s="96"/>
      <c r="AI275" s="96"/>
      <c r="AJ275" s="23"/>
      <c r="AK275" s="23">
        <f t="shared" ca="1" si="82"/>
        <v>33055</v>
      </c>
      <c r="AL275" s="23"/>
      <c r="AM275" s="23"/>
      <c r="AN275" s="96"/>
      <c r="AO275" s="96"/>
      <c r="AP275" s="23"/>
      <c r="AQ275" s="162">
        <f t="shared" ca="1" si="83"/>
        <v>33055</v>
      </c>
      <c r="AR275" s="161"/>
      <c r="AS275" s="18"/>
      <c r="AT275" s="21"/>
      <c r="AU275" s="23"/>
      <c r="AV275" s="23"/>
      <c r="AW275" s="23"/>
      <c r="AX275" s="23"/>
      <c r="AY275" s="23"/>
      <c r="AZ275" s="23"/>
      <c r="BA275" s="23"/>
      <c r="BB275" s="23"/>
      <c r="BC275" s="23"/>
      <c r="BD275" s="100" t="str">
        <f t="shared" si="71"/>
        <v/>
      </c>
      <c r="BE275" s="100" t="str">
        <f t="shared" si="72"/>
        <v/>
      </c>
      <c r="BF275" s="100" t="str">
        <f t="shared" si="73"/>
        <v/>
      </c>
      <c r="BG275" s="100" t="str">
        <f t="shared" si="74"/>
        <v/>
      </c>
      <c r="BH275" s="100" t="str">
        <f t="shared" si="75"/>
        <v/>
      </c>
      <c r="BI275" s="23"/>
    </row>
    <row r="276" spans="1:61" s="95" customFormat="1">
      <c r="A276" s="101">
        <v>20172395013</v>
      </c>
      <c r="B276" s="19" t="str">
        <f>VLOOKUP(A276,'ESTADOS ESTUDIANTES'!B:L,2,0)</f>
        <v>ORTIZ RUIZ STEVEN OSWALDO</v>
      </c>
      <c r="C276" s="102">
        <f>VLOOKUP(A276,'ESTADOS ESTUDIANTES'!B:L,11,0)</f>
        <v>1014214639</v>
      </c>
      <c r="D276" s="23">
        <f>VLOOKUP(A276,'ESTADOS ESTUDIANTES'!B:L,3,0)</f>
        <v>395</v>
      </c>
      <c r="E276" s="102" t="str">
        <f>VLOOKUP(A276,'ESTADOS ESTUDIANTES'!B:L,8,0)</f>
        <v>soortizr@correo.udistrital.edu.co</v>
      </c>
      <c r="F276" s="102" t="str">
        <f>VLOOKUP(A276,'ESTADOS ESTUDIANTES'!B:L,9,0)</f>
        <v>ingsortizr90@gmail.com</v>
      </c>
      <c r="G276" s="19" t="str">
        <f>VLOOKUP(A276,'ESTADOS ESTUDIANTES'!B:L,5,0)</f>
        <v>X</v>
      </c>
      <c r="H276" s="100" t="s">
        <v>46</v>
      </c>
      <c r="I276" s="103"/>
      <c r="J276" s="103"/>
      <c r="K276" s="103"/>
      <c r="L276" s="105"/>
      <c r="M276" s="106"/>
      <c r="N276" s="105"/>
      <c r="O276" s="106"/>
      <c r="P276" s="107"/>
      <c r="Q276" s="100"/>
      <c r="R276" s="105"/>
      <c r="S276" s="103"/>
      <c r="T276" s="103"/>
      <c r="U276" s="105"/>
      <c r="V276" s="105"/>
      <c r="W276" s="103"/>
      <c r="X276" s="91">
        <f t="shared" ca="1" si="80"/>
        <v>33055</v>
      </c>
      <c r="Y276" s="99"/>
      <c r="Z276" s="103"/>
      <c r="AA276" s="105"/>
      <c r="AB276" s="105"/>
      <c r="AC276" s="103"/>
      <c r="AD276" s="21">
        <f t="shared" ca="1" si="81"/>
        <v>33055</v>
      </c>
      <c r="AE276" s="99"/>
      <c r="AF276" s="105"/>
      <c r="AG276" s="103"/>
      <c r="AH276" s="105"/>
      <c r="AI276" s="105"/>
      <c r="AJ276" s="103"/>
      <c r="AK276" s="23">
        <f t="shared" ca="1" si="82"/>
        <v>33055</v>
      </c>
      <c r="AL276" s="103"/>
      <c r="AM276" s="103"/>
      <c r="AN276" s="105"/>
      <c r="AO276" s="105"/>
      <c r="AP276" s="103"/>
      <c r="AQ276" s="163">
        <f t="shared" ca="1" si="83"/>
        <v>33055</v>
      </c>
      <c r="AR276" s="163"/>
      <c r="AS276" s="101"/>
      <c r="AT276" s="101"/>
      <c r="AU276" s="103"/>
      <c r="AV276" s="103"/>
      <c r="AW276" s="103"/>
      <c r="AX276" s="103"/>
      <c r="AY276" s="103"/>
      <c r="AZ276" s="103"/>
      <c r="BA276" s="103"/>
      <c r="BB276" s="103"/>
      <c r="BC276" s="103"/>
      <c r="BD276" s="100" t="str">
        <f t="shared" si="71"/>
        <v/>
      </c>
      <c r="BE276" s="100" t="str">
        <f t="shared" si="72"/>
        <v/>
      </c>
      <c r="BF276" s="100" t="str">
        <f t="shared" si="73"/>
        <v/>
      </c>
      <c r="BG276" s="100" t="str">
        <f t="shared" si="74"/>
        <v/>
      </c>
      <c r="BH276" s="100" t="str">
        <f t="shared" si="75"/>
        <v/>
      </c>
      <c r="BI276" s="103"/>
    </row>
    <row r="277" spans="1:61" s="95" customFormat="1" ht="60">
      <c r="A277" s="208">
        <v>20172395015</v>
      </c>
      <c r="B277" s="209" t="str">
        <f>VLOOKUP(A277,'ESTADOS ESTUDIANTES'!B:L,2,0)</f>
        <v>PORRAS MARTÍN CAMILO ANDRÉS</v>
      </c>
      <c r="C277" s="209">
        <f>VLOOKUP(A277,'ESTADOS ESTUDIANTES'!B:L,11,0)</f>
        <v>1018454307</v>
      </c>
      <c r="D277" s="211">
        <f>VLOOKUP(A277,'ESTADOS ESTUDIANTES'!B:L,3,0)</f>
        <v>395</v>
      </c>
      <c r="E277" s="209" t="str">
        <f>VLOOKUP(A277,'ESTADOS ESTUDIANTES'!B:L,8,0)</f>
        <v>caporrasm@udistrital.edu.co</v>
      </c>
      <c r="F277" s="209" t="str">
        <f>VLOOKUP(A277,'ESTADOS ESTUDIANTES'!B:L,9,0)</f>
        <v>milo1409@gmail.com</v>
      </c>
      <c r="G277" s="209" t="str">
        <f>VLOOKUP(A277,'ESTADOS ESTUDIANTES'!B:L,5,0)</f>
        <v>E</v>
      </c>
      <c r="H277" s="210" t="s">
        <v>60</v>
      </c>
      <c r="I277" s="210" t="s">
        <v>1928</v>
      </c>
      <c r="J277" s="210" t="s">
        <v>344</v>
      </c>
      <c r="K277" s="211"/>
      <c r="L277" s="212"/>
      <c r="M277" s="214"/>
      <c r="N277" s="212">
        <v>44153</v>
      </c>
      <c r="O277" s="214">
        <v>86.92</v>
      </c>
      <c r="P277" s="210" t="s">
        <v>79</v>
      </c>
      <c r="Q277" s="209">
        <v>43101</v>
      </c>
      <c r="R277" s="212">
        <v>43123</v>
      </c>
      <c r="S277" s="209">
        <v>2018</v>
      </c>
      <c r="T277" s="210" t="s">
        <v>229</v>
      </c>
      <c r="U277" s="212">
        <v>43150</v>
      </c>
      <c r="V277" s="212">
        <v>43171</v>
      </c>
      <c r="W277" s="211"/>
      <c r="X277" s="217">
        <f ca="1">IF(Y277="",NETWORKDAYS.INTL(U277,TODAY(),1),0)</f>
        <v>0</v>
      </c>
      <c r="Y277" s="218" t="s">
        <v>43</v>
      </c>
      <c r="Z277" s="210" t="s">
        <v>270</v>
      </c>
      <c r="AA277" s="212">
        <v>43244</v>
      </c>
      <c r="AB277" s="212">
        <v>43256</v>
      </c>
      <c r="AC277" s="211"/>
      <c r="AD277" s="208">
        <f ca="1">IF(AE277="",NETWORKDAYS.INTL(AA277,TODAY(),1),0)</f>
        <v>0</v>
      </c>
      <c r="AE277" s="218" t="s">
        <v>43</v>
      </c>
      <c r="AF277" s="212">
        <v>44678</v>
      </c>
      <c r="AG277" s="210" t="s">
        <v>229</v>
      </c>
      <c r="AH277" s="212">
        <v>44680</v>
      </c>
      <c r="AI277" s="212">
        <v>44700</v>
      </c>
      <c r="AJ277" s="211">
        <v>1</v>
      </c>
      <c r="AK277" s="211">
        <f ca="1">IF(AL277="",NETWORKDAYS.INTL(AH277,TODAY(),1),0)</f>
        <v>0</v>
      </c>
      <c r="AL277" s="210" t="s">
        <v>42</v>
      </c>
      <c r="AM277" s="210" t="s">
        <v>270</v>
      </c>
      <c r="AN277" s="212">
        <v>45161</v>
      </c>
      <c r="AO277" s="212">
        <v>45192</v>
      </c>
      <c r="AP277" s="211">
        <v>1</v>
      </c>
      <c r="AQ277" s="219">
        <f ca="1">IF(AR277="",NETWORKDAYS.INTL(AN277,TODAY(),1),0)</f>
        <v>0</v>
      </c>
      <c r="AR277" s="224" t="s">
        <v>42</v>
      </c>
      <c r="AS277" s="210" t="s">
        <v>1929</v>
      </c>
      <c r="AT277" s="208">
        <v>50</v>
      </c>
      <c r="AU277" s="211" t="s">
        <v>41</v>
      </c>
      <c r="AV277" s="226">
        <v>45231</v>
      </c>
      <c r="AW277" s="211"/>
      <c r="AX277" s="211">
        <v>2023</v>
      </c>
      <c r="AY277" s="225">
        <v>44835</v>
      </c>
      <c r="AZ277" s="226">
        <v>44678</v>
      </c>
      <c r="BA277" s="226"/>
      <c r="BB277" s="210" t="s">
        <v>1816</v>
      </c>
      <c r="BC277" s="211"/>
      <c r="BD277" s="216" t="str">
        <f t="shared" si="71"/>
        <v/>
      </c>
      <c r="BE277" s="216" t="str">
        <f t="shared" si="72"/>
        <v/>
      </c>
      <c r="BF277" s="216" t="str">
        <f t="shared" si="73"/>
        <v/>
      </c>
      <c r="BG277" s="216" t="str">
        <f t="shared" si="74"/>
        <v/>
      </c>
      <c r="BH277" s="216" t="str">
        <f t="shared" si="75"/>
        <v/>
      </c>
      <c r="BI277" s="211"/>
    </row>
    <row r="278" spans="1:61" s="281" customFormat="1" ht="120">
      <c r="A278" s="187">
        <v>20172395016</v>
      </c>
      <c r="B278" s="188" t="str">
        <f>VLOOKUP(A278,'ESTADOS ESTUDIANTES'!B:L,2,0)</f>
        <v>PULIDO ARIAS ROBERT ANDRÉS</v>
      </c>
      <c r="C278" s="188">
        <f>VLOOKUP(A278,'ESTADOS ESTUDIANTES'!B:L,11,0)</f>
        <v>1030612608</v>
      </c>
      <c r="D278" s="169">
        <f>VLOOKUP(A278,'ESTADOS ESTUDIANTES'!B:L,3,0)</f>
        <v>395</v>
      </c>
      <c r="E278" s="188" t="str">
        <f>VLOOKUP(A278,'ESTADOS ESTUDIANTES'!B:L,8,0)</f>
        <v>rapulidoa@udistrital.edu.co</v>
      </c>
      <c r="F278" s="188" t="str">
        <f>VLOOKUP(A278,'ESTADOS ESTUDIANTES'!B:L,9,0)</f>
        <v>ingrobertpulido@gmail.com</v>
      </c>
      <c r="G278" s="188" t="str">
        <f>VLOOKUP(A278,'ESTADOS ESTUDIANTES'!B:L,5,0)</f>
        <v>E</v>
      </c>
      <c r="H278" s="171" t="s">
        <v>60</v>
      </c>
      <c r="I278" s="171" t="s">
        <v>1930</v>
      </c>
      <c r="J278" s="171" t="s">
        <v>229</v>
      </c>
      <c r="K278" s="169"/>
      <c r="L278" s="284">
        <v>44342</v>
      </c>
      <c r="M278" s="191">
        <v>74.78</v>
      </c>
      <c r="N278" s="86">
        <v>45531</v>
      </c>
      <c r="O278" s="160">
        <v>144</v>
      </c>
      <c r="P278" s="171" t="s">
        <v>68</v>
      </c>
      <c r="Q278" s="171" t="s">
        <v>1882</v>
      </c>
      <c r="R278" s="189">
        <v>43129</v>
      </c>
      <c r="S278" s="187">
        <f>YEAR(R278)</f>
        <v>2018</v>
      </c>
      <c r="T278" s="171" t="s">
        <v>1103</v>
      </c>
      <c r="U278" s="189">
        <v>43577</v>
      </c>
      <c r="V278" s="189">
        <v>43591</v>
      </c>
      <c r="W278" s="169"/>
      <c r="X278" s="279">
        <f ca="1">IF(Y278="",NETWORKDAYS.INTL(U278,TODAY(),1),0)</f>
        <v>0</v>
      </c>
      <c r="Y278" s="282" t="s">
        <v>43</v>
      </c>
      <c r="Z278" s="171" t="s">
        <v>1429</v>
      </c>
      <c r="AA278" s="189"/>
      <c r="AB278" s="189">
        <v>43515</v>
      </c>
      <c r="AC278" s="171" t="s">
        <v>1931</v>
      </c>
      <c r="AD278" s="187">
        <f ca="1">IF(AE278="",NETWORKDAYS.INTL(AA278,TODAY(),1),0)</f>
        <v>0</v>
      </c>
      <c r="AE278" s="282" t="s">
        <v>43</v>
      </c>
      <c r="AF278" s="189">
        <v>45051</v>
      </c>
      <c r="AG278" s="169" t="s">
        <v>458</v>
      </c>
      <c r="AH278" s="189">
        <v>45061</v>
      </c>
      <c r="AI278" s="189">
        <v>45194</v>
      </c>
      <c r="AJ278" s="169">
        <v>1</v>
      </c>
      <c r="AK278" s="169">
        <f ca="1">IF(AL278="",NETWORKDAYS.INTL(AH278,TODAY(),1),0)</f>
        <v>0</v>
      </c>
      <c r="AL278" s="169" t="s">
        <v>70</v>
      </c>
      <c r="AM278" s="169" t="s">
        <v>452</v>
      </c>
      <c r="AN278" s="189">
        <v>45272</v>
      </c>
      <c r="AO278" s="189">
        <v>45321</v>
      </c>
      <c r="AP278" s="169">
        <v>2</v>
      </c>
      <c r="AQ278" s="283">
        <f ca="1">IF(AR278="",NETWORKDAYS.INTL(AN278,TODAY(),1),0)</f>
        <v>0</v>
      </c>
      <c r="AR278" s="285" t="s">
        <v>42</v>
      </c>
      <c r="AS278" s="171" t="s">
        <v>1932</v>
      </c>
      <c r="AT278" s="187">
        <v>49</v>
      </c>
      <c r="AU278" s="169" t="s">
        <v>41</v>
      </c>
      <c r="AV278" s="286">
        <v>45448</v>
      </c>
      <c r="AW278" s="169"/>
      <c r="AX278" s="169"/>
      <c r="AY278" s="337">
        <v>45444</v>
      </c>
      <c r="AZ278" s="286">
        <v>45056</v>
      </c>
      <c r="BA278" s="169" t="s">
        <v>1933</v>
      </c>
      <c r="BB278" s="169"/>
      <c r="BC278" s="169" t="s">
        <v>1934</v>
      </c>
      <c r="BD278" s="194" t="str">
        <f t="shared" si="71"/>
        <v/>
      </c>
      <c r="BE278" s="194" t="str">
        <f t="shared" si="72"/>
        <v/>
      </c>
      <c r="BF278" s="194" t="str">
        <f t="shared" si="73"/>
        <v/>
      </c>
      <c r="BG278" s="233" t="str">
        <f t="shared" si="74"/>
        <v/>
      </c>
      <c r="BH278" s="233" t="str">
        <f t="shared" si="75"/>
        <v/>
      </c>
      <c r="BI278" s="169"/>
    </row>
    <row r="279" spans="1:61" s="95" customFormat="1">
      <c r="A279" s="101">
        <v>20172395017</v>
      </c>
      <c r="B279" s="19" t="str">
        <f>VLOOKUP(A279,'ESTADOS ESTUDIANTES'!B:L,2,0)</f>
        <v>ALFÉREZ RUIZ GUILLERMO</v>
      </c>
      <c r="C279" s="102">
        <f>VLOOKUP(A279,'ESTADOS ESTUDIANTES'!B:L,11,0)</f>
        <v>79808306</v>
      </c>
      <c r="D279" s="23">
        <f>VLOOKUP(A279,'ESTADOS ESTUDIANTES'!B:L,3,0)</f>
        <v>395</v>
      </c>
      <c r="E279" s="102" t="str">
        <f>VLOOKUP(A279,'ESTADOS ESTUDIANTES'!B:L,8,0)</f>
        <v>galferezr@correo.udistrital.edu.co</v>
      </c>
      <c r="F279" s="102" t="str">
        <f>VLOOKUP(A279,'ESTADOS ESTUDIANTES'!B:L,9,0)</f>
        <v>ingalferez@gmail.com</v>
      </c>
      <c r="G279" s="19" t="str">
        <f>VLOOKUP(A279,'ESTADOS ESTUDIANTES'!B:L,5,0)</f>
        <v>X</v>
      </c>
      <c r="H279" s="100" t="s">
        <v>60</v>
      </c>
      <c r="I279" s="103"/>
      <c r="J279" s="103"/>
      <c r="K279" s="103"/>
      <c r="L279" s="105"/>
      <c r="M279" s="106"/>
      <c r="N279" s="105"/>
      <c r="O279" s="106"/>
      <c r="P279" s="107"/>
      <c r="Q279" s="100"/>
      <c r="R279" s="105"/>
      <c r="S279" s="103"/>
      <c r="T279" s="103"/>
      <c r="U279" s="105"/>
      <c r="V279" s="105"/>
      <c r="W279" s="103"/>
      <c r="X279" s="91">
        <f ca="1">IF(U279="",NETWORKDAYS.INTL(Y279,TODAY(),1),0)</f>
        <v>33055</v>
      </c>
      <c r="Y279" s="99"/>
      <c r="Z279" s="103"/>
      <c r="AA279" s="105"/>
      <c r="AB279" s="105"/>
      <c r="AC279" s="103"/>
      <c r="AD279" s="21">
        <f ca="1">IF(AA279="",NETWORKDAYS.INTL(AE279,TODAY(),1),0)</f>
        <v>33055</v>
      </c>
      <c r="AE279" s="99"/>
      <c r="AF279" s="105"/>
      <c r="AG279" s="103"/>
      <c r="AH279" s="105"/>
      <c r="AI279" s="105"/>
      <c r="AJ279" s="103"/>
      <c r="AK279" s="23">
        <f ca="1">IF(AH279="",NETWORKDAYS.INTL(AL279,TODAY(),1),0)</f>
        <v>33055</v>
      </c>
      <c r="AL279" s="103"/>
      <c r="AM279" s="103"/>
      <c r="AN279" s="105"/>
      <c r="AO279" s="105"/>
      <c r="AP279" s="103"/>
      <c r="AQ279" s="163">
        <f ca="1">IF(AN279="",NETWORKDAYS.INTL(AR279,TODAY(),1),0)</f>
        <v>33055</v>
      </c>
      <c r="AR279" s="163"/>
      <c r="AS279" s="101"/>
      <c r="AT279" s="101"/>
      <c r="AU279" s="103"/>
      <c r="AV279" s="103"/>
      <c r="AW279" s="103"/>
      <c r="AX279" s="103"/>
      <c r="AY279" s="103"/>
      <c r="AZ279" s="103"/>
      <c r="BA279" s="103"/>
      <c r="BB279" s="103"/>
      <c r="BC279" s="103"/>
      <c r="BD279" s="100" t="str">
        <f t="shared" si="71"/>
        <v/>
      </c>
      <c r="BE279" s="100" t="str">
        <f t="shared" si="72"/>
        <v/>
      </c>
      <c r="BF279" s="100" t="str">
        <f t="shared" si="73"/>
        <v/>
      </c>
      <c r="BG279" s="100" t="str">
        <f t="shared" si="74"/>
        <v/>
      </c>
      <c r="BH279" s="100" t="str">
        <f t="shared" si="75"/>
        <v/>
      </c>
      <c r="BI279" s="103"/>
    </row>
    <row r="280" spans="1:61" s="95" customFormat="1">
      <c r="A280" s="101">
        <v>20172395018</v>
      </c>
      <c r="B280" s="19" t="str">
        <f>VLOOKUP(A280,'ESTADOS ESTUDIANTES'!B:L,2,0)</f>
        <v>CCAMA TICONA ULISES</v>
      </c>
      <c r="C280" s="102">
        <f>VLOOKUP(A280,'ESTADOS ESTUDIANTES'!B:L,11,0)</f>
        <v>41042251</v>
      </c>
      <c r="D280" s="23">
        <f>VLOOKUP(A280,'ESTADOS ESTUDIANTES'!B:L,3,0)</f>
        <v>395</v>
      </c>
      <c r="E280" s="102" t="str">
        <f>VLOOKUP(A280,'ESTADOS ESTUDIANTES'!B:L,8,0)</f>
        <v>ulccamat@correo.udistrital.edu.co</v>
      </c>
      <c r="F280" s="102" t="str">
        <f>VLOOKUP(A280,'ESTADOS ESTUDIANTES'!B:L,9,0)</f>
        <v>uccamat@gmail.com</v>
      </c>
      <c r="G280" s="19" t="str">
        <f>VLOOKUP(A280,'ESTADOS ESTUDIANTES'!B:L,5,0)</f>
        <v>N</v>
      </c>
      <c r="H280" s="100" t="s">
        <v>60</v>
      </c>
      <c r="I280" s="103"/>
      <c r="J280" s="103"/>
      <c r="K280" s="103"/>
      <c r="L280" s="105"/>
      <c r="M280" s="106"/>
      <c r="N280" s="105"/>
      <c r="O280" s="106"/>
      <c r="P280" s="107"/>
      <c r="Q280" s="100"/>
      <c r="R280" s="105"/>
      <c r="S280" s="103"/>
      <c r="T280" s="103"/>
      <c r="U280" s="105"/>
      <c r="V280" s="105"/>
      <c r="W280" s="103"/>
      <c r="X280" s="91">
        <f ca="1">IF(U280="",NETWORKDAYS.INTL(Y280,TODAY(),1),0)</f>
        <v>33055</v>
      </c>
      <c r="Y280" s="99"/>
      <c r="Z280" s="103"/>
      <c r="AA280" s="105"/>
      <c r="AB280" s="105"/>
      <c r="AC280" s="103"/>
      <c r="AD280" s="21">
        <f ca="1">IF(AA280="",NETWORKDAYS.INTL(AE280,TODAY(),1),0)</f>
        <v>33055</v>
      </c>
      <c r="AE280" s="99"/>
      <c r="AF280" s="105"/>
      <c r="AG280" s="103"/>
      <c r="AH280" s="105"/>
      <c r="AI280" s="105"/>
      <c r="AJ280" s="103"/>
      <c r="AK280" s="23">
        <f ca="1">IF(AH280="",NETWORKDAYS.INTL(AL280,TODAY(),1),0)</f>
        <v>33055</v>
      </c>
      <c r="AL280" s="103"/>
      <c r="AM280" s="103"/>
      <c r="AN280" s="105"/>
      <c r="AO280" s="105"/>
      <c r="AP280" s="103"/>
      <c r="AQ280" s="162">
        <f ca="1">IF(AN280="",NETWORKDAYS.INTL(AR280,TODAY(),1),0)</f>
        <v>33055</v>
      </c>
      <c r="AR280" s="163"/>
      <c r="AS280" s="100"/>
      <c r="AT280" s="101"/>
      <c r="AU280" s="103"/>
      <c r="AV280" s="103"/>
      <c r="AW280" s="103"/>
      <c r="AX280" s="103"/>
      <c r="AY280" s="103"/>
      <c r="AZ280" s="103"/>
      <c r="BA280" s="103"/>
      <c r="BB280" s="103"/>
      <c r="BC280" s="103"/>
      <c r="BD280" s="100" t="str">
        <f t="shared" si="71"/>
        <v/>
      </c>
      <c r="BE280" s="100" t="str">
        <f t="shared" si="72"/>
        <v/>
      </c>
      <c r="BF280" s="100" t="str">
        <f t="shared" si="73"/>
        <v/>
      </c>
      <c r="BG280" s="100" t="str">
        <f t="shared" si="74"/>
        <v/>
      </c>
      <c r="BH280" s="100" t="str">
        <f t="shared" si="75"/>
        <v/>
      </c>
      <c r="BI280" s="103"/>
    </row>
    <row r="281" spans="1:61" s="95" customFormat="1" ht="45">
      <c r="A281" s="101">
        <v>20172395019</v>
      </c>
      <c r="B281" s="19" t="str">
        <f>VLOOKUP(A281,'ESTADOS ESTUDIANTES'!B:L,2,0)</f>
        <v>TORO GARAY GISELLE HELENA</v>
      </c>
      <c r="C281" s="102">
        <f>VLOOKUP(A281,'ESTADOS ESTUDIANTES'!B:L,11,0)</f>
        <v>1030586151</v>
      </c>
      <c r="D281" s="23">
        <f>VLOOKUP(A281,'ESTADOS ESTUDIANTES'!B:L,3,0)</f>
        <v>395</v>
      </c>
      <c r="E281" s="102" t="str">
        <f>VLOOKUP(A281,'ESTADOS ESTUDIANTES'!B:L,8,0)</f>
        <v>ghtorog@correo.udistrital.edu.co</v>
      </c>
      <c r="F281" s="102" t="str">
        <f>VLOOKUP(A281,'ESTADOS ESTUDIANTES'!B:L,9,0)</f>
        <v>gisetoga@live.com</v>
      </c>
      <c r="G281" s="19" t="str">
        <f>VLOOKUP(A281,'ESTADOS ESTUDIANTES'!B:L,5,0)</f>
        <v>E</v>
      </c>
      <c r="H281" s="100" t="s">
        <v>46</v>
      </c>
      <c r="I281" s="100" t="s">
        <v>1935</v>
      </c>
      <c r="J281" s="108" t="s">
        <v>1461</v>
      </c>
      <c r="K281" s="103"/>
      <c r="L281" s="105"/>
      <c r="M281" s="106"/>
      <c r="N281" s="105">
        <v>43888</v>
      </c>
      <c r="O281" s="106">
        <v>73.040000000000006</v>
      </c>
      <c r="P281" s="112" t="s">
        <v>79</v>
      </c>
      <c r="Q281" s="100" t="s">
        <v>1936</v>
      </c>
      <c r="R281" s="105">
        <v>43118</v>
      </c>
      <c r="S281" s="102">
        <v>2018</v>
      </c>
      <c r="T281" s="100" t="s">
        <v>341</v>
      </c>
      <c r="U281" s="105">
        <v>43174</v>
      </c>
      <c r="V281" s="105">
        <v>43214</v>
      </c>
      <c r="W281" s="103"/>
      <c r="X281" s="91">
        <f ca="1">IF(U281="",NETWORKDAYS.INTL(Y281,TODAY(),1),0)</f>
        <v>0</v>
      </c>
      <c r="Y281" s="114" t="s">
        <v>43</v>
      </c>
      <c r="Z281" s="100" t="s">
        <v>1937</v>
      </c>
      <c r="AA281" s="105">
        <v>43140</v>
      </c>
      <c r="AB281" s="105">
        <v>43291</v>
      </c>
      <c r="AC281" s="103"/>
      <c r="AD281" s="21">
        <f ca="1">IF(AA281="",NETWORKDAYS.INTL(AE281,TODAY(),1),0)</f>
        <v>0</v>
      </c>
      <c r="AE281" s="114" t="s">
        <v>43</v>
      </c>
      <c r="AF281" s="105">
        <v>44110</v>
      </c>
      <c r="AG281" s="100" t="s">
        <v>341</v>
      </c>
      <c r="AH281" s="105">
        <v>44118</v>
      </c>
      <c r="AI281" s="105">
        <v>44168</v>
      </c>
      <c r="AJ281" s="103"/>
      <c r="AK281" s="23">
        <f ca="1">IF(AH281="",NETWORKDAYS.INTL(AL281,TODAY(),1),0)</f>
        <v>0</v>
      </c>
      <c r="AL281" s="100" t="s">
        <v>42</v>
      </c>
      <c r="AM281" s="100" t="s">
        <v>1938</v>
      </c>
      <c r="AN281" s="105">
        <v>44118</v>
      </c>
      <c r="AO281" s="105">
        <v>44168</v>
      </c>
      <c r="AP281" s="103"/>
      <c r="AQ281" s="161">
        <f ca="1">IF(AN281="",NETWORKDAYS.INTL(AR281,TODAY(),1),0)</f>
        <v>0</v>
      </c>
      <c r="AR281" s="162" t="s">
        <v>42</v>
      </c>
      <c r="AS281" s="100" t="s">
        <v>1939</v>
      </c>
      <c r="AT281" s="100" t="s">
        <v>1407</v>
      </c>
      <c r="AU281" s="100" t="s">
        <v>41</v>
      </c>
      <c r="AV281" s="113">
        <v>44176</v>
      </c>
      <c r="AW281" s="103"/>
      <c r="AX281" s="103"/>
      <c r="AY281" s="103"/>
      <c r="AZ281" s="103"/>
      <c r="BA281" s="103"/>
      <c r="BB281" s="103"/>
      <c r="BC281" s="100" t="s">
        <v>240</v>
      </c>
      <c r="BD281" s="100" t="str">
        <f t="shared" si="71"/>
        <v/>
      </c>
      <c r="BE281" s="100" t="str">
        <f t="shared" si="72"/>
        <v/>
      </c>
      <c r="BF281" s="100" t="str">
        <f t="shared" si="73"/>
        <v/>
      </c>
      <c r="BG281" s="100" t="str">
        <f t="shared" si="74"/>
        <v/>
      </c>
      <c r="BH281" s="100" t="str">
        <f t="shared" si="75"/>
        <v/>
      </c>
      <c r="BI281" s="103"/>
    </row>
    <row r="282" spans="1:61" s="95" customFormat="1" ht="75">
      <c r="A282" s="101">
        <v>20172395020</v>
      </c>
      <c r="B282" s="19" t="str">
        <f>VLOOKUP(A282,'ESTADOS ESTUDIANTES'!B:L,2,0)</f>
        <v>VALLEJO ARÉVALO WILMER HARVEY</v>
      </c>
      <c r="C282" s="102">
        <f>VLOOKUP(A282,'ESTADOS ESTUDIANTES'!B:L,11,0)</f>
        <v>1018442787</v>
      </c>
      <c r="D282" s="23">
        <f>VLOOKUP(A282,'ESTADOS ESTUDIANTES'!B:L,3,0)</f>
        <v>395</v>
      </c>
      <c r="E282" s="102" t="str">
        <f>VLOOKUP(A282,'ESTADOS ESTUDIANTES'!B:L,8,0)</f>
        <v>whvallejoa@correo.udistrital.edu.co</v>
      </c>
      <c r="F282" s="102" t="str">
        <f>VLOOKUP(A282,'ESTADOS ESTUDIANTES'!B:L,9,0)</f>
        <v>whvallejoa@gmail.com</v>
      </c>
      <c r="G282" s="19" t="str">
        <f>VLOOKUP(A282,'ESTADOS ESTUDIANTES'!B:L,5,0)</f>
        <v>E</v>
      </c>
      <c r="H282" s="100" t="s">
        <v>46</v>
      </c>
      <c r="I282" s="100" t="s">
        <v>1940</v>
      </c>
      <c r="J282" s="108" t="s">
        <v>463</v>
      </c>
      <c r="K282" s="103"/>
      <c r="L282" s="105"/>
      <c r="M282" s="106"/>
      <c r="N282" s="105">
        <v>43888</v>
      </c>
      <c r="O282" s="106">
        <v>86.09</v>
      </c>
      <c r="P282" s="112" t="s">
        <v>79</v>
      </c>
      <c r="Q282" s="102">
        <v>43101</v>
      </c>
      <c r="R282" s="105">
        <v>43117</v>
      </c>
      <c r="S282" s="102">
        <v>2018</v>
      </c>
      <c r="T282" s="100" t="s">
        <v>1430</v>
      </c>
      <c r="U282" s="105">
        <v>43140</v>
      </c>
      <c r="V282" s="105">
        <v>43155</v>
      </c>
      <c r="W282" s="103"/>
      <c r="X282" s="91">
        <f ca="1">IF(U282="",NETWORKDAYS.INTL(Y282,TODAY(),1),0)</f>
        <v>0</v>
      </c>
      <c r="Y282" s="114" t="s">
        <v>43</v>
      </c>
      <c r="Z282" s="100" t="s">
        <v>253</v>
      </c>
      <c r="AA282" s="105">
        <v>43158</v>
      </c>
      <c r="AB282" s="105">
        <v>43182</v>
      </c>
      <c r="AC282" s="103"/>
      <c r="AD282" s="21">
        <f ca="1">IF(AA282="",NETWORKDAYS.INTL(AE282,TODAY(),1),0)</f>
        <v>0</v>
      </c>
      <c r="AE282" s="114" t="s">
        <v>43</v>
      </c>
      <c r="AF282" s="105">
        <v>43862</v>
      </c>
      <c r="AG282" s="100" t="s">
        <v>1430</v>
      </c>
      <c r="AH282" s="105">
        <v>43914</v>
      </c>
      <c r="AI282" s="105">
        <v>43923</v>
      </c>
      <c r="AJ282" s="103"/>
      <c r="AK282" s="23">
        <f ca="1">IF(AH282="",NETWORKDAYS.INTL(AL282,TODAY(),1),0)</f>
        <v>0</v>
      </c>
      <c r="AL282" s="100" t="s">
        <v>42</v>
      </c>
      <c r="AM282" s="100" t="s">
        <v>253</v>
      </c>
      <c r="AN282" s="105">
        <v>43914</v>
      </c>
      <c r="AO282" s="105">
        <v>43948</v>
      </c>
      <c r="AP282" s="103"/>
      <c r="AQ282" s="161">
        <f ca="1">IF(AN282="",NETWORKDAYS.INTL(AR282,TODAY(),1),0)</f>
        <v>0</v>
      </c>
      <c r="AR282" s="162" t="s">
        <v>42</v>
      </c>
      <c r="AS282" s="115">
        <v>43922</v>
      </c>
      <c r="AT282" s="101">
        <v>5</v>
      </c>
      <c r="AU282" s="100" t="s">
        <v>41</v>
      </c>
      <c r="AV282" s="117">
        <v>43965</v>
      </c>
      <c r="AW282" s="103"/>
      <c r="AX282" s="103"/>
      <c r="AY282" s="103"/>
      <c r="AZ282" s="103"/>
      <c r="BA282" s="103"/>
      <c r="BB282" s="103"/>
      <c r="BC282" s="103"/>
      <c r="BD282" s="100" t="str">
        <f t="shared" si="71"/>
        <v/>
      </c>
      <c r="BE282" s="100" t="str">
        <f t="shared" si="72"/>
        <v/>
      </c>
      <c r="BF282" s="100" t="str">
        <f t="shared" si="73"/>
        <v/>
      </c>
      <c r="BG282" s="100" t="str">
        <f t="shared" si="74"/>
        <v/>
      </c>
      <c r="BH282" s="100" t="str">
        <f t="shared" si="75"/>
        <v/>
      </c>
      <c r="BI282" s="103"/>
    </row>
    <row r="283" spans="1:61" s="95" customFormat="1">
      <c r="A283" s="101">
        <v>20172495001</v>
      </c>
      <c r="B283" s="19" t="str">
        <f>VLOOKUP(A283,'ESTADOS ESTUDIANTES'!B:L,2,0)</f>
        <v>GALINDO CALDERON CATALINA</v>
      </c>
      <c r="C283" s="103">
        <f>VLOOKUP(A283,'ESTADOS ESTUDIANTES'!B:L,11,0)</f>
        <v>1015431562</v>
      </c>
      <c r="D283" s="23">
        <f>VLOOKUP(A283,'ESTADOS ESTUDIANTES'!B:L,3,0)</f>
        <v>495</v>
      </c>
      <c r="E283" s="102" t="str">
        <f>VLOOKUP(A283,'ESTADOS ESTUDIANTES'!B:L,8,0)</f>
        <v>cagalindoc@correo.udistrital.edu.co</v>
      </c>
      <c r="F283" s="102" t="str">
        <f>VLOOKUP(A283,'ESTADOS ESTUDIANTES'!B:L,9,0)</f>
        <v>catalina.galindoc@gmail.com</v>
      </c>
      <c r="G283" s="19" t="str">
        <f>VLOOKUP(A283,'ESTADOS ESTUDIANTES'!B:L,5,0)</f>
        <v>X</v>
      </c>
      <c r="H283" s="103"/>
      <c r="I283" s="103"/>
      <c r="J283" s="103"/>
      <c r="K283" s="103"/>
      <c r="L283" s="105"/>
      <c r="M283" s="106"/>
      <c r="N283" s="105"/>
      <c r="O283" s="106"/>
      <c r="P283" s="107"/>
      <c r="Q283" s="100"/>
      <c r="R283" s="105"/>
      <c r="S283" s="103"/>
      <c r="T283" s="103"/>
      <c r="U283" s="105"/>
      <c r="V283" s="105"/>
      <c r="W283" s="103"/>
      <c r="X283" s="91">
        <f ca="1">IF(U283="",NETWORKDAYS.INTL(Y283,TODAY(),1),0)</f>
        <v>33055</v>
      </c>
      <c r="Y283" s="99"/>
      <c r="Z283" s="103"/>
      <c r="AA283" s="105"/>
      <c r="AB283" s="105"/>
      <c r="AC283" s="103"/>
      <c r="AD283" s="21">
        <f ca="1">IF(AA283="",NETWORKDAYS.INTL(AE283,TODAY(),1),0)</f>
        <v>33055</v>
      </c>
      <c r="AE283" s="99"/>
      <c r="AF283" s="105"/>
      <c r="AG283" s="103"/>
      <c r="AH283" s="105"/>
      <c r="AI283" s="105"/>
      <c r="AJ283" s="103"/>
      <c r="AK283" s="23">
        <f ca="1">IF(AH283="",NETWORKDAYS.INTL(AL283,TODAY(),1),0)</f>
        <v>33055</v>
      </c>
      <c r="AL283" s="103"/>
      <c r="AM283" s="103"/>
      <c r="AN283" s="105"/>
      <c r="AO283" s="105"/>
      <c r="AP283" s="103"/>
      <c r="AQ283" s="161">
        <f ca="1">IF(AN283="",NETWORKDAYS.INTL(AR283,TODAY(),1),0)</f>
        <v>33055</v>
      </c>
      <c r="AR283" s="163"/>
      <c r="AS283" s="101"/>
      <c r="AT283" s="101"/>
      <c r="AU283" s="103"/>
      <c r="AV283" s="103"/>
      <c r="AW283" s="103"/>
      <c r="AX283" s="103"/>
      <c r="AY283" s="103"/>
      <c r="AZ283" s="103"/>
      <c r="BA283" s="103"/>
      <c r="BB283" s="103"/>
      <c r="BC283" s="103"/>
      <c r="BD283" s="100" t="str">
        <f t="shared" si="71"/>
        <v/>
      </c>
      <c r="BE283" s="100" t="str">
        <f t="shared" si="72"/>
        <v/>
      </c>
      <c r="BF283" s="100" t="str">
        <f t="shared" si="73"/>
        <v/>
      </c>
      <c r="BG283" s="100" t="str">
        <f t="shared" si="74"/>
        <v/>
      </c>
      <c r="BH283" s="100" t="str">
        <f t="shared" si="75"/>
        <v/>
      </c>
      <c r="BI283" s="103"/>
    </row>
    <row r="284" spans="1:61" s="281" customFormat="1" ht="45">
      <c r="A284" s="187">
        <v>20172495002</v>
      </c>
      <c r="B284" s="188" t="str">
        <f>VLOOKUP(A284,'ESTADOS ESTUDIANTES'!B:L,2,0)</f>
        <v>CELY GRANADOS OSCAR LEONARDO</v>
      </c>
      <c r="C284" s="188">
        <f>VLOOKUP(A284,'ESTADOS ESTUDIANTES'!B:L,11,0)</f>
        <v>81720933</v>
      </c>
      <c r="D284" s="169">
        <f>VLOOKUP(A284,'ESTADOS ESTUDIANTES'!B:L,3,0)</f>
        <v>495</v>
      </c>
      <c r="E284" s="188" t="str">
        <f>VLOOKUP(A284,'ESTADOS ESTUDIANTES'!B:L,8,0)</f>
        <v>olcelyg@udistrital.edu.co</v>
      </c>
      <c r="F284" s="188" t="str">
        <f>VLOOKUP(A284,'ESTADOS ESTUDIANTES'!B:L,9,0)</f>
        <v>ing.oscar.dba@gmail.com</v>
      </c>
      <c r="G284" s="188" t="str">
        <f>VLOOKUP(A284,'ESTADOS ESTUDIANTES'!B:L,5,0)</f>
        <v>E</v>
      </c>
      <c r="H284" s="171" t="s">
        <v>60</v>
      </c>
      <c r="I284" s="171" t="s">
        <v>1941</v>
      </c>
      <c r="J284" s="171" t="s">
        <v>309</v>
      </c>
      <c r="K284" s="169"/>
      <c r="L284" s="189">
        <v>44887</v>
      </c>
      <c r="M284" s="191">
        <v>79</v>
      </c>
      <c r="N284" s="86">
        <v>45870</v>
      </c>
      <c r="O284" s="160">
        <v>84</v>
      </c>
      <c r="P284" s="169" t="s">
        <v>79</v>
      </c>
      <c r="Q284" s="171" t="s">
        <v>1942</v>
      </c>
      <c r="R284" s="189">
        <v>43070</v>
      </c>
      <c r="S284" s="188">
        <v>2017</v>
      </c>
      <c r="T284" s="171" t="s">
        <v>351</v>
      </c>
      <c r="U284" s="189"/>
      <c r="V284" s="189">
        <v>43563</v>
      </c>
      <c r="W284" s="171" t="s">
        <v>1943</v>
      </c>
      <c r="X284" s="279">
        <f ca="1">IF(Y284="",NETWORKDAYS.INTL(U284,TODAY(),1),0)</f>
        <v>0</v>
      </c>
      <c r="Y284" s="282" t="s">
        <v>43</v>
      </c>
      <c r="Z284" s="171" t="s">
        <v>1420</v>
      </c>
      <c r="AA284" s="189">
        <v>43529</v>
      </c>
      <c r="AB284" s="189">
        <v>43529</v>
      </c>
      <c r="AC284" s="171" t="s">
        <v>1944</v>
      </c>
      <c r="AD284" s="187">
        <f ca="1">IF(AE284="",NETWORKDAYS.INTL(AA284,TODAY(),1),0)</f>
        <v>0</v>
      </c>
      <c r="AE284" s="282" t="s">
        <v>43</v>
      </c>
      <c r="AF284" s="189">
        <v>45782</v>
      </c>
      <c r="AG284" s="169" t="s">
        <v>292</v>
      </c>
      <c r="AH284" s="189">
        <v>45782</v>
      </c>
      <c r="AI284" s="189">
        <v>45799</v>
      </c>
      <c r="AJ284" s="169">
        <v>1</v>
      </c>
      <c r="AK284" s="169">
        <f ca="1">IF(AL284="",NETWORKDAYS.INTL(AH284,TODAY(),1),0)</f>
        <v>0</v>
      </c>
      <c r="AL284" s="169" t="s">
        <v>42</v>
      </c>
      <c r="AM284" s="169" t="s">
        <v>297</v>
      </c>
      <c r="AN284" s="189">
        <v>45782</v>
      </c>
      <c r="AO284" s="189">
        <v>45805</v>
      </c>
      <c r="AP284" s="169">
        <v>1</v>
      </c>
      <c r="AQ284" s="283">
        <f ca="1">IF(AR284="",NETWORKDAYS.INTL(AN284,TODAY(),1),0)</f>
        <v>0</v>
      </c>
      <c r="AR284" s="280" t="s">
        <v>42</v>
      </c>
      <c r="AS284" s="171"/>
      <c r="AT284" s="187">
        <v>48</v>
      </c>
      <c r="AU284" s="169" t="s">
        <v>41</v>
      </c>
      <c r="AV284" s="286">
        <v>45820</v>
      </c>
      <c r="AW284" s="169"/>
      <c r="AX284" s="169"/>
      <c r="AY284" s="171" t="s">
        <v>1945</v>
      </c>
      <c r="AZ284" s="286">
        <v>44783</v>
      </c>
      <c r="BA284" s="286"/>
      <c r="BB284" s="169"/>
      <c r="BC284" s="169"/>
      <c r="BD284" s="194" t="str">
        <f t="shared" si="71"/>
        <v/>
      </c>
      <c r="BE284" s="194" t="str">
        <f t="shared" si="72"/>
        <v/>
      </c>
      <c r="BF284" s="194" t="str">
        <f t="shared" si="73"/>
        <v/>
      </c>
      <c r="BG284" s="233" t="str">
        <f t="shared" si="74"/>
        <v/>
      </c>
      <c r="BH284" s="233" t="str">
        <f t="shared" si="75"/>
        <v/>
      </c>
      <c r="BI284" s="169"/>
    </row>
    <row r="285" spans="1:61" s="95" customFormat="1" ht="45">
      <c r="A285" s="21">
        <v>20172495003</v>
      </c>
      <c r="B285" s="19" t="str">
        <f>VLOOKUP(A285,'ESTADOS ESTUDIANTES'!B:L,2,0)</f>
        <v>CELI VALERO DIEGO FERNANDO</v>
      </c>
      <c r="C285" s="19">
        <f>VLOOKUP(A285,'ESTADOS ESTUDIANTES'!B:L,11,0)</f>
        <v>1018458364</v>
      </c>
      <c r="D285" s="23">
        <f>VLOOKUP(A285,'ESTADOS ESTUDIANTES'!B:L,3,0)</f>
        <v>495</v>
      </c>
      <c r="E285" s="19" t="str">
        <f>VLOOKUP(A285,'ESTADOS ESTUDIANTES'!B:L,8,0)</f>
        <v>dfceliv@udistrital.edu.co</v>
      </c>
      <c r="F285" s="19" t="str">
        <f>VLOOKUP(A285,'ESTADOS ESTUDIANTES'!B:L,9,0)</f>
        <v>fernando.dfcv@gmail.com</v>
      </c>
      <c r="G285" s="19" t="str">
        <f>VLOOKUP(A285,'ESTADOS ESTUDIANTES'!B:L,5,0)</f>
        <v>X</v>
      </c>
      <c r="H285" s="18" t="s">
        <v>46</v>
      </c>
      <c r="I285" s="18" t="s">
        <v>1946</v>
      </c>
      <c r="J285" s="18" t="s">
        <v>463</v>
      </c>
      <c r="K285" s="18" t="s">
        <v>323</v>
      </c>
      <c r="L285" s="96"/>
      <c r="M285" s="97"/>
      <c r="N285" s="96">
        <v>44153</v>
      </c>
      <c r="O285" s="97">
        <v>83.18</v>
      </c>
      <c r="P285" s="98" t="s">
        <v>79</v>
      </c>
      <c r="Q285" s="18" t="s">
        <v>1942</v>
      </c>
      <c r="R285" s="96">
        <v>43073</v>
      </c>
      <c r="S285" s="21">
        <f>YEAR(R285)</f>
        <v>2017</v>
      </c>
      <c r="T285" s="18" t="s">
        <v>281</v>
      </c>
      <c r="U285" s="96"/>
      <c r="V285" s="155">
        <v>44761</v>
      </c>
      <c r="W285" s="23"/>
      <c r="X285" s="91">
        <f ca="1">IF(Y285="",NETWORKDAYS.INTL(U285,TODAY(),1),0)</f>
        <v>0</v>
      </c>
      <c r="Y285" s="114" t="s">
        <v>43</v>
      </c>
      <c r="Z285" s="18" t="s">
        <v>222</v>
      </c>
      <c r="AA285" s="96">
        <v>43115</v>
      </c>
      <c r="AB285" s="96">
        <v>43138</v>
      </c>
      <c r="AC285" s="23"/>
      <c r="AD285" s="21">
        <f ca="1">IF(AE285="",NETWORKDAYS.INTL(AA285,TODAY(),1),0)</f>
        <v>0</v>
      </c>
      <c r="AE285" s="114" t="s">
        <v>43</v>
      </c>
      <c r="AF285" s="96"/>
      <c r="AG285" s="23"/>
      <c r="AH285" s="96"/>
      <c r="AI285" s="96"/>
      <c r="AJ285" s="23"/>
      <c r="AK285" s="23">
        <f ca="1">IF(AL285="",NETWORKDAYS.INTL(AH285,TODAY(),1),0)</f>
        <v>33055</v>
      </c>
      <c r="AL285" s="23"/>
      <c r="AM285" s="23"/>
      <c r="AN285" s="96"/>
      <c r="AO285" s="96"/>
      <c r="AP285" s="23"/>
      <c r="AQ285" s="163">
        <f ca="1">IF(AR285="",NETWORKDAYS.INTL(AN285,TODAY(),1),0)</f>
        <v>33055</v>
      </c>
      <c r="AR285" s="161"/>
      <c r="AS285" s="18"/>
      <c r="AT285" s="21"/>
      <c r="AU285" s="23"/>
      <c r="AV285" s="23"/>
      <c r="AW285" s="23"/>
      <c r="AX285" s="23"/>
      <c r="AY285" s="23"/>
      <c r="AZ285" s="23"/>
      <c r="BA285" s="23"/>
      <c r="BB285" s="23"/>
      <c r="BC285" s="23"/>
      <c r="BD285" s="100" t="str">
        <f t="shared" si="71"/>
        <v/>
      </c>
      <c r="BE285" s="100" t="str">
        <f t="shared" si="72"/>
        <v/>
      </c>
      <c r="BF285" s="100" t="str">
        <f t="shared" si="73"/>
        <v/>
      </c>
      <c r="BG285" s="102" t="str">
        <f t="shared" si="74"/>
        <v/>
      </c>
      <c r="BH285" s="102" t="str">
        <f t="shared" si="75"/>
        <v/>
      </c>
      <c r="BI285" s="23"/>
    </row>
    <row r="286" spans="1:61" s="95" customFormat="1" ht="30">
      <c r="A286" s="101">
        <v>20172495005</v>
      </c>
      <c r="B286" s="19" t="str">
        <f>VLOOKUP(A286,'ESTADOS ESTUDIANTES'!B:L,2,0)</f>
        <v>DUARTE TORRES OSCAR IVÁN</v>
      </c>
      <c r="C286" s="103">
        <f>VLOOKUP(A286,'ESTADOS ESTUDIANTES'!B:L,11,0)</f>
        <v>1015438743</v>
      </c>
      <c r="D286" s="23">
        <f>VLOOKUP(A286,'ESTADOS ESTUDIANTES'!B:L,3,0)</f>
        <v>495</v>
      </c>
      <c r="E286" s="102" t="str">
        <f>VLOOKUP(A286,'ESTADOS ESTUDIANTES'!B:L,8,0)</f>
        <v>oiduartet@correo.udistrital.edu.co</v>
      </c>
      <c r="F286" s="102" t="str">
        <f>VLOOKUP(A286,'ESTADOS ESTUDIANTES'!B:L,9,0)</f>
        <v>o.duarte7@gmail.com</v>
      </c>
      <c r="G286" s="19" t="str">
        <f>VLOOKUP(A286,'ESTADOS ESTUDIANTES'!B:L,5,0)</f>
        <v>X</v>
      </c>
      <c r="H286" s="100" t="s">
        <v>60</v>
      </c>
      <c r="I286" s="100" t="s">
        <v>1947</v>
      </c>
      <c r="J286" s="100" t="s">
        <v>323</v>
      </c>
      <c r="K286" s="103"/>
      <c r="L286" s="105"/>
      <c r="M286" s="106"/>
      <c r="N286" s="105"/>
      <c r="O286" s="106"/>
      <c r="P286" s="107"/>
      <c r="Q286" s="100" t="s">
        <v>1942</v>
      </c>
      <c r="R286" s="105">
        <v>43073</v>
      </c>
      <c r="S286" s="102">
        <v>2017</v>
      </c>
      <c r="T286" s="100" t="s">
        <v>356</v>
      </c>
      <c r="U286" s="105">
        <v>43115</v>
      </c>
      <c r="V286" s="105">
        <v>43132</v>
      </c>
      <c r="W286" s="103"/>
      <c r="X286" s="91">
        <f ca="1">IF(U286="",NETWORKDAYS.INTL(Y286,TODAY(),1),0)</f>
        <v>0</v>
      </c>
      <c r="Y286" s="114" t="s">
        <v>43</v>
      </c>
      <c r="Z286" s="100" t="s">
        <v>1411</v>
      </c>
      <c r="AA286" s="105">
        <v>43117</v>
      </c>
      <c r="AB286" s="105">
        <v>43138</v>
      </c>
      <c r="AC286" s="103"/>
      <c r="AD286" s="21">
        <f ca="1">IF(AA286="",NETWORKDAYS.INTL(AE286,TODAY(),1),0)</f>
        <v>0</v>
      </c>
      <c r="AE286" s="114" t="s">
        <v>43</v>
      </c>
      <c r="AF286" s="105"/>
      <c r="AG286" s="103"/>
      <c r="AH286" s="105"/>
      <c r="AI286" s="105"/>
      <c r="AJ286" s="103"/>
      <c r="AK286" s="23">
        <f ca="1">IF(AH286="",NETWORKDAYS.INTL(AL286,TODAY(),1),0)</f>
        <v>33055</v>
      </c>
      <c r="AL286" s="103"/>
      <c r="AM286" s="103"/>
      <c r="AN286" s="105"/>
      <c r="AO286" s="105"/>
      <c r="AP286" s="103"/>
      <c r="AQ286" s="161">
        <f ca="1">IF(AN286="",NETWORKDAYS.INTL(AR286,TODAY(),1),0)</f>
        <v>33055</v>
      </c>
      <c r="AR286" s="163"/>
      <c r="AS286" s="101"/>
      <c r="AT286" s="101"/>
      <c r="AU286" s="103"/>
      <c r="AV286" s="103"/>
      <c r="AW286" s="103"/>
      <c r="AX286" s="103"/>
      <c r="AY286" s="103"/>
      <c r="AZ286" s="103"/>
      <c r="BA286" s="103"/>
      <c r="BB286" s="103"/>
      <c r="BC286" s="103"/>
      <c r="BD286" s="100" t="str">
        <f t="shared" si="71"/>
        <v/>
      </c>
      <c r="BE286" s="100" t="str">
        <f t="shared" si="72"/>
        <v/>
      </c>
      <c r="BF286" s="100" t="str">
        <f t="shared" si="73"/>
        <v/>
      </c>
      <c r="BG286" s="100" t="str">
        <f t="shared" si="74"/>
        <v/>
      </c>
      <c r="BH286" s="100" t="str">
        <f t="shared" si="75"/>
        <v/>
      </c>
      <c r="BI286" s="103"/>
    </row>
    <row r="287" spans="1:61" s="95" customFormat="1" ht="45">
      <c r="A287" s="208">
        <v>20172495006</v>
      </c>
      <c r="B287" s="209" t="str">
        <f>VLOOKUP(A287,'ESTADOS ESTUDIANTES'!B:L,2,0)</f>
        <v>TRUJILLO GARCIA EDGAR</v>
      </c>
      <c r="C287" s="209">
        <f>VLOOKUP(A287,'ESTADOS ESTUDIANTES'!B:L,11,0)</f>
        <v>91478822</v>
      </c>
      <c r="D287" s="211">
        <f>VLOOKUP(A287,'ESTADOS ESTUDIANTES'!B:L,3,0)</f>
        <v>495</v>
      </c>
      <c r="E287" s="209" t="str">
        <f>VLOOKUP(A287,'ESTADOS ESTUDIANTES'!B:L,8,0)</f>
        <v>etrujillog@udistrital.edu.co</v>
      </c>
      <c r="F287" s="209" t="str">
        <f>VLOOKUP(A287,'ESTADOS ESTUDIANTES'!B:L,9,0)</f>
        <v>etrujillo1@gmail.com</v>
      </c>
      <c r="G287" s="209" t="str">
        <f>VLOOKUP(A287,'ESTADOS ESTUDIANTES'!B:L,5,0)</f>
        <v>X</v>
      </c>
      <c r="H287" s="210" t="s">
        <v>46</v>
      </c>
      <c r="I287" s="210" t="s">
        <v>1948</v>
      </c>
      <c r="J287" s="210" t="s">
        <v>422</v>
      </c>
      <c r="K287" s="211"/>
      <c r="L287" s="212"/>
      <c r="M287" s="214"/>
      <c r="N287" s="212"/>
      <c r="O287" s="214"/>
      <c r="P287" s="211"/>
      <c r="Q287" s="210" t="s">
        <v>1758</v>
      </c>
      <c r="R287" s="212">
        <v>43252</v>
      </c>
      <c r="S287" s="208">
        <f>YEAR(R287)</f>
        <v>2018</v>
      </c>
      <c r="T287" s="210" t="s">
        <v>1058</v>
      </c>
      <c r="U287" s="212">
        <v>43334</v>
      </c>
      <c r="V287" s="212">
        <v>43348</v>
      </c>
      <c r="W287" s="211"/>
      <c r="X287" s="217">
        <f ca="1">IF(Y287="",NETWORKDAYS.INTL(U287,TODAY(),1),0)</f>
        <v>0</v>
      </c>
      <c r="Y287" s="210" t="s">
        <v>57</v>
      </c>
      <c r="Z287" s="210" t="s">
        <v>356</v>
      </c>
      <c r="AA287" s="212">
        <v>43268</v>
      </c>
      <c r="AB287" s="212">
        <v>43269</v>
      </c>
      <c r="AC287" s="211"/>
      <c r="AD287" s="208">
        <f ca="1">IF(AE287="",NETWORKDAYS.INTL(AA287,TODAY(),1),0)</f>
        <v>0</v>
      </c>
      <c r="AE287" s="210" t="s">
        <v>56</v>
      </c>
      <c r="AF287" s="212"/>
      <c r="AG287" s="211"/>
      <c r="AH287" s="212"/>
      <c r="AI287" s="212"/>
      <c r="AJ287" s="211"/>
      <c r="AK287" s="211">
        <f ca="1">IF(AL287="",NETWORKDAYS.INTL(AH287,TODAY(),1),0)</f>
        <v>33055</v>
      </c>
      <c r="AL287" s="211"/>
      <c r="AM287" s="211"/>
      <c r="AN287" s="212"/>
      <c r="AO287" s="212"/>
      <c r="AP287" s="211"/>
      <c r="AQ287" s="219">
        <f ca="1">IF(AR287="",NETWORKDAYS.INTL(AN287,TODAY(),1),0)</f>
        <v>33055</v>
      </c>
      <c r="AR287" s="220"/>
      <c r="AS287" s="210"/>
      <c r="AT287" s="208"/>
      <c r="AU287" s="211"/>
      <c r="AV287" s="211"/>
      <c r="AW287" s="211"/>
      <c r="AX287" s="211"/>
      <c r="AY287" s="211"/>
      <c r="AZ287" s="211"/>
      <c r="BA287" s="211"/>
      <c r="BB287" s="211"/>
      <c r="BC287" s="211"/>
      <c r="BD287" s="216" t="str">
        <f t="shared" si="71"/>
        <v/>
      </c>
      <c r="BE287" s="216" t="str">
        <f t="shared" si="72"/>
        <v/>
      </c>
      <c r="BF287" s="216" t="str">
        <f t="shared" si="73"/>
        <v/>
      </c>
      <c r="BG287" s="221" t="str">
        <f t="shared" si="74"/>
        <v/>
      </c>
      <c r="BH287" s="221" t="str">
        <f t="shared" si="75"/>
        <v/>
      </c>
      <c r="BI287" s="211"/>
    </row>
    <row r="288" spans="1:61" s="95" customFormat="1" ht="90">
      <c r="A288" s="101">
        <v>20172495010</v>
      </c>
      <c r="B288" s="19" t="str">
        <f>VLOOKUP(A288,'ESTADOS ESTUDIANTES'!B:L,2,0)</f>
        <v>MORENO MARIN JOHN EDISON</v>
      </c>
      <c r="C288" s="102">
        <f>VLOOKUP(A288,'ESTADOS ESTUDIANTES'!B:L,11,0)</f>
        <v>1031124274</v>
      </c>
      <c r="D288" s="23">
        <f>VLOOKUP(A288,'ESTADOS ESTUDIANTES'!B:L,3,0)</f>
        <v>495</v>
      </c>
      <c r="E288" s="102" t="str">
        <f>VLOOKUP(A288,'ESTADOS ESTUDIANTES'!B:L,8,0)</f>
        <v>jemorenom@correo.udistrital.edu.co</v>
      </c>
      <c r="F288" s="102" t="str">
        <f>VLOOKUP(A288,'ESTADOS ESTUDIANTES'!B:L,9,0)</f>
        <v>johnmoreno333@gmail.com</v>
      </c>
      <c r="G288" s="19" t="str">
        <f>VLOOKUP(A288,'ESTADOS ESTUDIANTES'!B:L,5,0)</f>
        <v>E</v>
      </c>
      <c r="H288" s="100" t="s">
        <v>60</v>
      </c>
      <c r="I288" s="100" t="s">
        <v>1949</v>
      </c>
      <c r="J288" s="108" t="s">
        <v>323</v>
      </c>
      <c r="K288" s="103"/>
      <c r="L288" s="105"/>
      <c r="M288" s="106"/>
      <c r="N288" s="105">
        <v>43888</v>
      </c>
      <c r="O288" s="106">
        <v>75.650000000000006</v>
      </c>
      <c r="P288" s="112" t="s">
        <v>79</v>
      </c>
      <c r="Q288" s="100" t="s">
        <v>1950</v>
      </c>
      <c r="R288" s="105">
        <v>43059</v>
      </c>
      <c r="S288" s="102">
        <v>2017</v>
      </c>
      <c r="T288" s="100" t="s">
        <v>1421</v>
      </c>
      <c r="U288" s="105">
        <v>43076</v>
      </c>
      <c r="V288" s="105">
        <v>43179</v>
      </c>
      <c r="W288" s="103"/>
      <c r="X288" s="91">
        <f t="shared" ref="X288:X294" ca="1" si="84">IF(U288="",NETWORKDAYS.INTL(Y288,TODAY(),1),0)</f>
        <v>0</v>
      </c>
      <c r="Y288" s="114" t="s">
        <v>43</v>
      </c>
      <c r="Z288" s="100" t="s">
        <v>1420</v>
      </c>
      <c r="AA288" s="105">
        <v>43036</v>
      </c>
      <c r="AB288" s="105">
        <v>43068</v>
      </c>
      <c r="AC288" s="103"/>
      <c r="AD288" s="21">
        <f t="shared" ref="AD288:AD294" ca="1" si="85">IF(AA288="",NETWORKDAYS.INTL(AE288,TODAY(),1),0)</f>
        <v>0</v>
      </c>
      <c r="AE288" s="114" t="s">
        <v>43</v>
      </c>
      <c r="AF288" s="105">
        <v>43766</v>
      </c>
      <c r="AG288" s="100" t="s">
        <v>1421</v>
      </c>
      <c r="AH288" s="105">
        <v>43778</v>
      </c>
      <c r="AI288" s="105">
        <v>43788</v>
      </c>
      <c r="AJ288" s="103"/>
      <c r="AK288" s="23">
        <f t="shared" ref="AK288:AK294" ca="1" si="86">IF(AH288="",NETWORKDAYS.INTL(AL288,TODAY(),1),0)</f>
        <v>0</v>
      </c>
      <c r="AL288" s="100" t="s">
        <v>42</v>
      </c>
      <c r="AM288" s="100" t="s">
        <v>1506</v>
      </c>
      <c r="AN288" s="105">
        <v>43781</v>
      </c>
      <c r="AO288" s="105">
        <v>43788</v>
      </c>
      <c r="AP288" s="103"/>
      <c r="AQ288" s="161">
        <f t="shared" ref="AQ288:AQ294" ca="1" si="87">IF(AN288="",NETWORKDAYS.INTL(AR288,TODAY(),1),0)</f>
        <v>0</v>
      </c>
      <c r="AR288" s="162" t="s">
        <v>42</v>
      </c>
      <c r="AS288" s="100" t="s">
        <v>1951</v>
      </c>
      <c r="AT288" s="100" t="s">
        <v>1407</v>
      </c>
      <c r="AU288" s="100" t="s">
        <v>41</v>
      </c>
      <c r="AV288" s="113">
        <v>43816</v>
      </c>
      <c r="AW288" s="103"/>
      <c r="AX288" s="103"/>
      <c r="AY288" s="103"/>
      <c r="AZ288" s="103"/>
      <c r="BA288" s="103"/>
      <c r="BB288" s="103"/>
      <c r="BC288" s="103"/>
      <c r="BD288" s="100" t="str">
        <f t="shared" si="71"/>
        <v/>
      </c>
      <c r="BE288" s="100" t="str">
        <f t="shared" si="72"/>
        <v/>
      </c>
      <c r="BF288" s="100" t="str">
        <f t="shared" si="73"/>
        <v/>
      </c>
      <c r="BG288" s="100" t="str">
        <f t="shared" si="74"/>
        <v/>
      </c>
      <c r="BH288" s="100" t="str">
        <f t="shared" si="75"/>
        <v/>
      </c>
      <c r="BI288" s="103"/>
    </row>
    <row r="289" spans="1:61" s="95" customFormat="1" ht="45">
      <c r="A289" s="21">
        <v>20172495014</v>
      </c>
      <c r="B289" s="19" t="str">
        <f>VLOOKUP(A289,'ESTADOS ESTUDIANTES'!B:L,2,0)</f>
        <v>ROMERO PARRA DANIEL ALEJANDRO</v>
      </c>
      <c r="C289" s="23">
        <f>VLOOKUP(A289,'ESTADOS ESTUDIANTES'!B:L,11,0)</f>
        <v>1012409108</v>
      </c>
      <c r="D289" s="23">
        <f>VLOOKUP(A289,'ESTADOS ESTUDIANTES'!B:L,3,0)</f>
        <v>495</v>
      </c>
      <c r="E289" s="19" t="str">
        <f>VLOOKUP(A289,'ESTADOS ESTUDIANTES'!B:L,8,0)</f>
        <v>daromerop@correo.udistrital.edu.co</v>
      </c>
      <c r="F289" s="19" t="str">
        <f>VLOOKUP(A289,'ESTADOS ESTUDIANTES'!B:L,9,0)</f>
        <v>danielrparra77@hotmail.com</v>
      </c>
      <c r="G289" s="19" t="str">
        <f>VLOOKUP(A289,'ESTADOS ESTUDIANTES'!B:L,5,0)</f>
        <v>X</v>
      </c>
      <c r="H289" s="18" t="s">
        <v>46</v>
      </c>
      <c r="I289" s="18" t="s">
        <v>1952</v>
      </c>
      <c r="J289" s="18" t="s">
        <v>411</v>
      </c>
      <c r="K289" s="23"/>
      <c r="L289" s="96"/>
      <c r="M289" s="97"/>
      <c r="N289" s="96">
        <v>43888</v>
      </c>
      <c r="O289" s="97">
        <v>77.39</v>
      </c>
      <c r="P289" s="98" t="s">
        <v>79</v>
      </c>
      <c r="Q289" s="18" t="s">
        <v>1953</v>
      </c>
      <c r="R289" s="96">
        <v>43074</v>
      </c>
      <c r="S289" s="21">
        <f>YEAR(R289)</f>
        <v>2017</v>
      </c>
      <c r="T289" s="18" t="s">
        <v>755</v>
      </c>
      <c r="U289" s="96">
        <v>43347</v>
      </c>
      <c r="V289" s="96"/>
      <c r="W289" s="23"/>
      <c r="X289" s="91">
        <f t="shared" ca="1" si="84"/>
        <v>0</v>
      </c>
      <c r="Y289" s="18" t="s">
        <v>43</v>
      </c>
      <c r="Z289" s="18" t="s">
        <v>1954</v>
      </c>
      <c r="AA289" s="18" t="s">
        <v>1955</v>
      </c>
      <c r="AB289" s="18" t="s">
        <v>1956</v>
      </c>
      <c r="AC289" s="19">
        <v>2</v>
      </c>
      <c r="AD289" s="21">
        <f t="shared" ca="1" si="85"/>
        <v>0</v>
      </c>
      <c r="AE289" s="18" t="s">
        <v>43</v>
      </c>
      <c r="AF289" s="96"/>
      <c r="AG289" s="23"/>
      <c r="AH289" s="96"/>
      <c r="AI289" s="96"/>
      <c r="AJ289" s="23"/>
      <c r="AK289" s="23">
        <f t="shared" ca="1" si="86"/>
        <v>33055</v>
      </c>
      <c r="AL289" s="23"/>
      <c r="AM289" s="23"/>
      <c r="AN289" s="96"/>
      <c r="AO289" s="96"/>
      <c r="AP289" s="23"/>
      <c r="AQ289" s="162">
        <f t="shared" ca="1" si="87"/>
        <v>33055</v>
      </c>
      <c r="AR289" s="161"/>
      <c r="AS289" s="18"/>
      <c r="AT289" s="21"/>
      <c r="AU289" s="23"/>
      <c r="AV289" s="23"/>
      <c r="AW289" s="23"/>
      <c r="AX289" s="23"/>
      <c r="AY289" s="23"/>
      <c r="AZ289" s="23"/>
      <c r="BA289" s="23"/>
      <c r="BB289" s="23"/>
      <c r="BC289" s="23"/>
      <c r="BD289" s="100" t="str">
        <f t="shared" si="71"/>
        <v/>
      </c>
      <c r="BE289" s="100" t="str">
        <f t="shared" si="72"/>
        <v/>
      </c>
      <c r="BF289" s="100" t="str">
        <f t="shared" si="73"/>
        <v/>
      </c>
      <c r="BG289" s="100" t="str">
        <f t="shared" si="74"/>
        <v/>
      </c>
      <c r="BH289" s="100" t="str">
        <f t="shared" si="75"/>
        <v/>
      </c>
      <c r="BI289" s="23"/>
    </row>
    <row r="290" spans="1:61" s="95" customFormat="1" ht="45">
      <c r="A290" s="101">
        <v>20172495015</v>
      </c>
      <c r="B290" s="19" t="str">
        <f>VLOOKUP(A290,'ESTADOS ESTUDIANTES'!B:L,2,0)</f>
        <v>SALCEDO SALGADO GEINER ALEXIS</v>
      </c>
      <c r="C290" s="102">
        <f>VLOOKUP(A290,'ESTADOS ESTUDIANTES'!B:L,11,0)</f>
        <v>1030603923</v>
      </c>
      <c r="D290" s="23">
        <f>VLOOKUP(A290,'ESTADOS ESTUDIANTES'!B:L,3,0)</f>
        <v>495</v>
      </c>
      <c r="E290" s="102" t="str">
        <f>VLOOKUP(A290,'ESTADOS ESTUDIANTES'!B:L,8,0)</f>
        <v>gasalcedos@correo.udistrital.edu.co</v>
      </c>
      <c r="F290" s="102" t="str">
        <f>VLOOKUP(A290,'ESTADOS ESTUDIANTES'!B:L,9,0)</f>
        <v>geiner.salcedo.ppc0111@gmail.com</v>
      </c>
      <c r="G290" s="19" t="str">
        <f>VLOOKUP(A290,'ESTADOS ESTUDIANTES'!B:L,5,0)</f>
        <v>E</v>
      </c>
      <c r="H290" s="103"/>
      <c r="I290" s="100" t="s">
        <v>1957</v>
      </c>
      <c r="J290" s="104"/>
      <c r="K290" s="103"/>
      <c r="L290" s="105"/>
      <c r="M290" s="106"/>
      <c r="N290" s="105">
        <v>43888</v>
      </c>
      <c r="O290" s="106">
        <v>72.17</v>
      </c>
      <c r="P290" s="112" t="s">
        <v>79</v>
      </c>
      <c r="Q290" s="100" t="s">
        <v>1907</v>
      </c>
      <c r="R290" s="105">
        <v>43073</v>
      </c>
      <c r="S290" s="102">
        <v>2017</v>
      </c>
      <c r="T290" s="100" t="s">
        <v>1620</v>
      </c>
      <c r="U290" s="105">
        <v>43087</v>
      </c>
      <c r="V290" s="105">
        <v>43164</v>
      </c>
      <c r="W290" s="103"/>
      <c r="X290" s="91">
        <f t="shared" ca="1" si="84"/>
        <v>0</v>
      </c>
      <c r="Y290" s="114" t="s">
        <v>43</v>
      </c>
      <c r="Z290" s="100" t="s">
        <v>1869</v>
      </c>
      <c r="AA290" s="105">
        <v>43081</v>
      </c>
      <c r="AB290" s="105">
        <v>43084</v>
      </c>
      <c r="AC290" s="103"/>
      <c r="AD290" s="21">
        <f t="shared" ca="1" si="85"/>
        <v>0</v>
      </c>
      <c r="AE290" s="114" t="s">
        <v>43</v>
      </c>
      <c r="AF290" s="105"/>
      <c r="AG290" s="100" t="s">
        <v>1621</v>
      </c>
      <c r="AH290" s="105">
        <v>43886</v>
      </c>
      <c r="AI290" s="105">
        <v>43886</v>
      </c>
      <c r="AJ290" s="103"/>
      <c r="AK290" s="23">
        <f t="shared" ca="1" si="86"/>
        <v>0</v>
      </c>
      <c r="AL290" s="100" t="s">
        <v>42</v>
      </c>
      <c r="AM290" s="100" t="s">
        <v>1869</v>
      </c>
      <c r="AN290" s="105">
        <v>43882</v>
      </c>
      <c r="AO290" s="105"/>
      <c r="AP290" s="103"/>
      <c r="AQ290" s="163">
        <f t="shared" ca="1" si="87"/>
        <v>0</v>
      </c>
      <c r="AR290" s="162" t="s">
        <v>42</v>
      </c>
      <c r="AS290" s="115">
        <v>43862</v>
      </c>
      <c r="AT290" s="100" t="s">
        <v>1407</v>
      </c>
      <c r="AU290" s="100" t="s">
        <v>41</v>
      </c>
      <c r="AV290" s="117">
        <v>43908</v>
      </c>
      <c r="AW290" s="103"/>
      <c r="AX290" s="103"/>
      <c r="AY290" s="103"/>
      <c r="AZ290" s="103"/>
      <c r="BA290" s="103"/>
      <c r="BB290" s="103"/>
      <c r="BC290" s="103"/>
      <c r="BD290" s="100" t="str">
        <f t="shared" si="71"/>
        <v/>
      </c>
      <c r="BE290" s="100" t="str">
        <f t="shared" si="72"/>
        <v/>
      </c>
      <c r="BF290" s="100" t="str">
        <f t="shared" si="73"/>
        <v/>
      </c>
      <c r="BG290" s="100" t="str">
        <f t="shared" si="74"/>
        <v/>
      </c>
      <c r="BH290" s="100" t="str">
        <f t="shared" si="75"/>
        <v/>
      </c>
      <c r="BI290" s="103"/>
    </row>
    <row r="291" spans="1:61" s="95" customFormat="1">
      <c r="A291" s="101">
        <v>20181195001</v>
      </c>
      <c r="B291" s="19" t="str">
        <f>VLOOKUP(A291,'ESTADOS ESTUDIANTES'!B:L,2,0)</f>
        <v>APONTE BERMUDEZ DIANA MILENA</v>
      </c>
      <c r="C291" s="102">
        <f>VLOOKUP(A291,'ESTADOS ESTUDIANTES'!B:L,11,0)</f>
        <v>1030558345</v>
      </c>
      <c r="D291" s="23">
        <f>VLOOKUP(A291,'ESTADOS ESTUDIANTES'!B:L,3,0)</f>
        <v>195</v>
      </c>
      <c r="E291" s="102">
        <f>VLOOKUP(A291,'ESTADOS ESTUDIANTES'!B:L,8,0)</f>
        <v>0</v>
      </c>
      <c r="F291" s="102" t="str">
        <f>VLOOKUP(A291,'ESTADOS ESTUDIANTES'!B:L,9,0)</f>
        <v>anaid1202@hotmail.com</v>
      </c>
      <c r="G291" s="19" t="str">
        <f>VLOOKUP(A291,'ESTADOS ESTUDIANTES'!B:L,5,0)</f>
        <v>N</v>
      </c>
      <c r="H291" s="103"/>
      <c r="I291" s="103"/>
      <c r="J291" s="103"/>
      <c r="K291" s="103"/>
      <c r="L291" s="105"/>
      <c r="M291" s="106"/>
      <c r="N291" s="105"/>
      <c r="O291" s="106"/>
      <c r="P291" s="107"/>
      <c r="Q291" s="100"/>
      <c r="R291" s="105"/>
      <c r="S291" s="103"/>
      <c r="T291" s="103"/>
      <c r="U291" s="105"/>
      <c r="V291" s="105"/>
      <c r="W291" s="103"/>
      <c r="X291" s="91">
        <f t="shared" ca="1" si="84"/>
        <v>33055</v>
      </c>
      <c r="Y291" s="99"/>
      <c r="Z291" s="103"/>
      <c r="AA291" s="105"/>
      <c r="AB291" s="105"/>
      <c r="AC291" s="103"/>
      <c r="AD291" s="21">
        <f t="shared" ca="1" si="85"/>
        <v>33055</v>
      </c>
      <c r="AE291" s="99"/>
      <c r="AF291" s="105"/>
      <c r="AG291" s="103"/>
      <c r="AH291" s="105"/>
      <c r="AI291" s="105"/>
      <c r="AJ291" s="103"/>
      <c r="AK291" s="23">
        <f t="shared" ca="1" si="86"/>
        <v>33055</v>
      </c>
      <c r="AL291" s="103"/>
      <c r="AM291" s="103"/>
      <c r="AN291" s="105"/>
      <c r="AO291" s="105"/>
      <c r="AP291" s="103"/>
      <c r="AQ291" s="164">
        <f t="shared" ca="1" si="87"/>
        <v>33055</v>
      </c>
      <c r="AR291" s="163"/>
      <c r="AS291" s="101"/>
      <c r="AT291" s="101"/>
      <c r="AU291" s="103"/>
      <c r="AV291" s="103"/>
      <c r="AW291" s="103"/>
      <c r="AX291" s="103"/>
      <c r="AY291" s="103"/>
      <c r="AZ291" s="103"/>
      <c r="BA291" s="103"/>
      <c r="BB291" s="103"/>
      <c r="BC291" s="103"/>
      <c r="BD291" s="100" t="str">
        <f t="shared" si="71"/>
        <v/>
      </c>
      <c r="BE291" s="100" t="str">
        <f t="shared" si="72"/>
        <v/>
      </c>
      <c r="BF291" s="100" t="str">
        <f t="shared" si="73"/>
        <v/>
      </c>
      <c r="BG291" s="100" t="str">
        <f t="shared" si="74"/>
        <v/>
      </c>
      <c r="BH291" s="100" t="str">
        <f t="shared" si="75"/>
        <v/>
      </c>
      <c r="BI291" s="103"/>
    </row>
    <row r="292" spans="1:61" s="95" customFormat="1">
      <c r="A292" s="101">
        <v>20181195006</v>
      </c>
      <c r="B292" s="19" t="str">
        <f>VLOOKUP(A292,'ESTADOS ESTUDIANTES'!B:L,2,0)</f>
        <v>MUÑOZ CHAVEZ DAVID</v>
      </c>
      <c r="C292" s="102">
        <f>VLOOKUP(A292,'ESTADOS ESTUDIANTES'!B:L,11,0)</f>
        <v>97611542</v>
      </c>
      <c r="D292" s="23">
        <f>VLOOKUP(A292,'ESTADOS ESTUDIANTES'!B:L,3,0)</f>
        <v>195</v>
      </c>
      <c r="E292" s="102">
        <f>VLOOKUP(A292,'ESTADOS ESTUDIANTES'!B:L,8,0)</f>
        <v>0</v>
      </c>
      <c r="F292" s="102" t="str">
        <f>VLOOKUP(A292,'ESTADOS ESTUDIANTES'!B:L,9,0)</f>
        <v>davidmuoz@gmail.com</v>
      </c>
      <c r="G292" s="19" t="str">
        <f>VLOOKUP(A292,'ESTADOS ESTUDIANTES'!B:L,5,0)</f>
        <v>N</v>
      </c>
      <c r="H292" s="103"/>
      <c r="I292" s="103"/>
      <c r="J292" s="103"/>
      <c r="K292" s="103"/>
      <c r="L292" s="105"/>
      <c r="M292" s="106"/>
      <c r="N292" s="105"/>
      <c r="O292" s="106"/>
      <c r="P292" s="107"/>
      <c r="Q292" s="100"/>
      <c r="R292" s="105"/>
      <c r="S292" s="103"/>
      <c r="T292" s="103"/>
      <c r="U292" s="105"/>
      <c r="V292" s="105"/>
      <c r="W292" s="103"/>
      <c r="X292" s="91">
        <f t="shared" ca="1" si="84"/>
        <v>33055</v>
      </c>
      <c r="Y292" s="99"/>
      <c r="Z292" s="103"/>
      <c r="AA292" s="105"/>
      <c r="AB292" s="105"/>
      <c r="AC292" s="103"/>
      <c r="AD292" s="21">
        <f t="shared" ca="1" si="85"/>
        <v>33055</v>
      </c>
      <c r="AE292" s="99"/>
      <c r="AF292" s="105"/>
      <c r="AG292" s="103"/>
      <c r="AH292" s="105"/>
      <c r="AI292" s="105"/>
      <c r="AJ292" s="103"/>
      <c r="AK292" s="23">
        <f t="shared" ca="1" si="86"/>
        <v>33055</v>
      </c>
      <c r="AL292" s="103"/>
      <c r="AM292" s="103"/>
      <c r="AN292" s="105"/>
      <c r="AO292" s="105"/>
      <c r="AP292" s="103"/>
      <c r="AQ292" s="161">
        <f t="shared" ca="1" si="87"/>
        <v>33055</v>
      </c>
      <c r="AR292" s="163"/>
      <c r="AS292" s="101"/>
      <c r="AT292" s="101"/>
      <c r="AU292" s="103"/>
      <c r="AV292" s="103"/>
      <c r="AW292" s="103"/>
      <c r="AX292" s="103"/>
      <c r="AY292" s="103"/>
      <c r="AZ292" s="103"/>
      <c r="BA292" s="103"/>
      <c r="BB292" s="103"/>
      <c r="BC292" s="103"/>
      <c r="BD292" s="100" t="str">
        <f t="shared" si="71"/>
        <v/>
      </c>
      <c r="BE292" s="100" t="str">
        <f t="shared" si="72"/>
        <v/>
      </c>
      <c r="BF292" s="100" t="str">
        <f t="shared" si="73"/>
        <v/>
      </c>
      <c r="BG292" s="100" t="str">
        <f t="shared" si="74"/>
        <v/>
      </c>
      <c r="BH292" s="100" t="str">
        <f t="shared" si="75"/>
        <v/>
      </c>
      <c r="BI292" s="103"/>
    </row>
    <row r="293" spans="1:61" s="95" customFormat="1" ht="45">
      <c r="A293" s="142">
        <v>20181195007</v>
      </c>
      <c r="B293" s="19" t="str">
        <f>VLOOKUP(A293,'ESTADOS ESTUDIANTES'!B:L,2,0)</f>
        <v>LUIS ALFREDO NARVAEZ JARAMILLO</v>
      </c>
      <c r="C293" s="143">
        <f>VLOOKUP(A293,'ESTADOS ESTUDIANTES'!B:L,11,0)</f>
        <v>1030597409</v>
      </c>
      <c r="D293" s="23">
        <f>VLOOKUP(A293,'ESTADOS ESTUDIANTES'!B:L,3,0)</f>
        <v>195</v>
      </c>
      <c r="E293" s="143">
        <f>VLOOKUP(A293,'ESTADOS ESTUDIANTES'!B:L,8,0)</f>
        <v>0</v>
      </c>
      <c r="F293" s="143" t="str">
        <f>VLOOKUP(A293,'ESTADOS ESTUDIANTES'!B:L,9,0)</f>
        <v>lnarvaezj@hotmail.com</v>
      </c>
      <c r="G293" s="19" t="str">
        <f>VLOOKUP(A293,'ESTADOS ESTUDIANTES'!B:L,5,0)</f>
        <v>E</v>
      </c>
      <c r="H293" s="144" t="s">
        <v>60</v>
      </c>
      <c r="I293" s="144" t="s">
        <v>1958</v>
      </c>
      <c r="J293" s="144" t="s">
        <v>309</v>
      </c>
      <c r="K293" s="147"/>
      <c r="L293" s="145"/>
      <c r="M293" s="146"/>
      <c r="N293" s="145">
        <v>44153</v>
      </c>
      <c r="O293" s="146">
        <v>85.98</v>
      </c>
      <c r="P293" s="98" t="s">
        <v>79</v>
      </c>
      <c r="Q293" s="143">
        <v>182019</v>
      </c>
      <c r="R293" s="145">
        <v>43798</v>
      </c>
      <c r="S293" s="142">
        <f>YEAR(R293)</f>
        <v>2019</v>
      </c>
      <c r="T293" s="144" t="s">
        <v>874</v>
      </c>
      <c r="U293" s="145">
        <v>43846</v>
      </c>
      <c r="V293" s="145">
        <v>43865</v>
      </c>
      <c r="W293" s="147"/>
      <c r="X293" s="91">
        <f t="shared" ca="1" si="84"/>
        <v>0</v>
      </c>
      <c r="Y293" s="144" t="s">
        <v>43</v>
      </c>
      <c r="Z293" s="144" t="s">
        <v>1258</v>
      </c>
      <c r="AA293" s="145">
        <v>43812</v>
      </c>
      <c r="AB293" s="145">
        <v>43880</v>
      </c>
      <c r="AC293" s="147"/>
      <c r="AD293" s="21">
        <f t="shared" ca="1" si="85"/>
        <v>0</v>
      </c>
      <c r="AE293" s="144" t="s">
        <v>43</v>
      </c>
      <c r="AF293" s="145">
        <v>44678</v>
      </c>
      <c r="AG293" s="144" t="s">
        <v>874</v>
      </c>
      <c r="AH293" s="145">
        <v>44680</v>
      </c>
      <c r="AI293" s="145">
        <v>44699</v>
      </c>
      <c r="AJ293" s="147"/>
      <c r="AK293" s="23">
        <f t="shared" ca="1" si="86"/>
        <v>0</v>
      </c>
      <c r="AL293" s="144" t="s">
        <v>42</v>
      </c>
      <c r="AM293" s="144" t="s">
        <v>568</v>
      </c>
      <c r="AN293" s="145">
        <v>44680</v>
      </c>
      <c r="AO293" s="145">
        <v>44698</v>
      </c>
      <c r="AP293" s="143">
        <v>1</v>
      </c>
      <c r="AQ293" s="163">
        <f t="shared" ca="1" si="87"/>
        <v>0</v>
      </c>
      <c r="AR293" s="167" t="s">
        <v>42</v>
      </c>
      <c r="AS293" s="144" t="s">
        <v>1959</v>
      </c>
      <c r="AT293" s="142">
        <v>48</v>
      </c>
      <c r="AU293" s="144" t="s">
        <v>41</v>
      </c>
      <c r="AV293" s="156">
        <v>44726</v>
      </c>
      <c r="AW293" s="147"/>
      <c r="AX293" s="147"/>
      <c r="AY293" s="144" t="s">
        <v>907</v>
      </c>
      <c r="AZ293" s="150">
        <v>44734</v>
      </c>
      <c r="BA293" s="150"/>
      <c r="BB293" s="144" t="s">
        <v>1960</v>
      </c>
      <c r="BC293" s="147"/>
      <c r="BD293" s="100" t="str">
        <f t="shared" si="71"/>
        <v/>
      </c>
      <c r="BE293" s="100" t="str">
        <f t="shared" si="72"/>
        <v/>
      </c>
      <c r="BF293" s="100" t="str">
        <f t="shared" si="73"/>
        <v/>
      </c>
      <c r="BG293" s="100" t="str">
        <f t="shared" si="74"/>
        <v/>
      </c>
      <c r="BH293" s="100" t="str">
        <f t="shared" si="75"/>
        <v/>
      </c>
      <c r="BI293" s="147"/>
    </row>
    <row r="294" spans="1:61" s="95" customFormat="1" ht="75">
      <c r="A294" s="101">
        <v>20181195009</v>
      </c>
      <c r="B294" s="19" t="str">
        <f>VLOOKUP(A294,'ESTADOS ESTUDIANTES'!B:L,2,0)</f>
        <v>RAMIREZ PÉREZ NATALIA ANDREA</v>
      </c>
      <c r="C294" s="102">
        <f>VLOOKUP(A294,'ESTADOS ESTUDIANTES'!B:L,11,0)</f>
        <v>1015443760</v>
      </c>
      <c r="D294" s="23">
        <f>VLOOKUP(A294,'ESTADOS ESTUDIANTES'!B:L,3,0)</f>
        <v>195</v>
      </c>
      <c r="E294" s="19">
        <f>VLOOKUP(A294,'ESTADOS ESTUDIANTES'!B:L,8,0)</f>
        <v>0</v>
      </c>
      <c r="F294" s="102" t="str">
        <f>VLOOKUP(A294,'ESTADOS ESTUDIANTES'!B:L,9,0)</f>
        <v>nata.r_1212@hotmail.com</v>
      </c>
      <c r="G294" s="19" t="str">
        <f>VLOOKUP(A294,'ESTADOS ESTUDIANTES'!B:L,5,0)</f>
        <v>E</v>
      </c>
      <c r="H294" s="103"/>
      <c r="I294" s="100" t="s">
        <v>1961</v>
      </c>
      <c r="J294" s="108" t="s">
        <v>272</v>
      </c>
      <c r="K294" s="100" t="s">
        <v>369</v>
      </c>
      <c r="L294" s="105"/>
      <c r="M294" s="106"/>
      <c r="N294" s="105">
        <v>43964</v>
      </c>
      <c r="O294" s="106">
        <v>56.52</v>
      </c>
      <c r="P294" s="112" t="s">
        <v>87</v>
      </c>
      <c r="Q294" s="102">
        <v>43586</v>
      </c>
      <c r="R294" s="100" t="s">
        <v>1962</v>
      </c>
      <c r="S294" s="101">
        <v>2019</v>
      </c>
      <c r="T294" s="100" t="s">
        <v>1963</v>
      </c>
      <c r="U294" s="105">
        <v>43567</v>
      </c>
      <c r="V294" s="105">
        <v>43578</v>
      </c>
      <c r="W294" s="103"/>
      <c r="X294" s="91">
        <f t="shared" ca="1" si="84"/>
        <v>0</v>
      </c>
      <c r="Y294" s="114" t="s">
        <v>43</v>
      </c>
      <c r="Z294" s="100" t="s">
        <v>1964</v>
      </c>
      <c r="AA294" s="105">
        <v>43563</v>
      </c>
      <c r="AB294" s="105">
        <v>43579</v>
      </c>
      <c r="AC294" s="103"/>
      <c r="AD294" s="21">
        <f t="shared" ca="1" si="85"/>
        <v>0</v>
      </c>
      <c r="AE294" s="114" t="s">
        <v>43</v>
      </c>
      <c r="AF294" s="105">
        <v>43831</v>
      </c>
      <c r="AG294" s="100" t="s">
        <v>1421</v>
      </c>
      <c r="AH294" s="105">
        <v>43964</v>
      </c>
      <c r="AI294" s="105">
        <v>43984</v>
      </c>
      <c r="AJ294" s="100" t="s">
        <v>1965</v>
      </c>
      <c r="AK294" s="23">
        <f t="shared" ca="1" si="86"/>
        <v>0</v>
      </c>
      <c r="AL294" s="100" t="s">
        <v>42</v>
      </c>
      <c r="AM294" s="100" t="s">
        <v>998</v>
      </c>
      <c r="AN294" s="105">
        <v>43883</v>
      </c>
      <c r="AO294" s="105">
        <v>43892</v>
      </c>
      <c r="AP294" s="103"/>
      <c r="AQ294" s="164">
        <f t="shared" ca="1" si="87"/>
        <v>0</v>
      </c>
      <c r="AR294" s="162" t="s">
        <v>42</v>
      </c>
      <c r="AS294" s="101">
        <v>9</v>
      </c>
      <c r="AT294" s="101">
        <v>5</v>
      </c>
      <c r="AU294" s="100" t="s">
        <v>41</v>
      </c>
      <c r="AV294" s="117">
        <v>44014</v>
      </c>
      <c r="AW294" s="103"/>
      <c r="AX294" s="103"/>
      <c r="AY294" s="103"/>
      <c r="AZ294" s="103"/>
      <c r="BA294" s="103"/>
      <c r="BB294" s="103"/>
      <c r="BC294" s="103"/>
      <c r="BD294" s="100" t="str">
        <f t="shared" si="71"/>
        <v/>
      </c>
      <c r="BE294" s="100" t="str">
        <f t="shared" si="72"/>
        <v/>
      </c>
      <c r="BF294" s="100" t="str">
        <f t="shared" si="73"/>
        <v/>
      </c>
      <c r="BG294" s="100" t="str">
        <f t="shared" si="74"/>
        <v/>
      </c>
      <c r="BH294" s="100" t="str">
        <f t="shared" si="75"/>
        <v/>
      </c>
      <c r="BI294" s="103"/>
    </row>
    <row r="295" spans="1:61" s="281" customFormat="1" ht="60">
      <c r="A295" s="187">
        <v>20181195010</v>
      </c>
      <c r="B295" s="188" t="str">
        <f>VLOOKUP(A295,'ESTADOS ESTUDIANTES'!B:L,2,0)</f>
        <v>ROMERO ORTEGA RAUL</v>
      </c>
      <c r="C295" s="188">
        <f>VLOOKUP(A295,'ESTADOS ESTUDIANTES'!B:L,11,0)</f>
        <v>80205440</v>
      </c>
      <c r="D295" s="169">
        <f>VLOOKUP(A295,'ESTADOS ESTUDIANTES'!B:L,3,0)</f>
        <v>195</v>
      </c>
      <c r="E295" s="188" t="str">
        <f>VLOOKUP(A295,'ESTADOS ESTUDIANTES'!B:L,8,0)</f>
        <v>rromeroo@udistrital.edu.co</v>
      </c>
      <c r="F295" s="188" t="str">
        <f>VLOOKUP(A295,'ESTADOS ESTUDIANTES'!B:L,9,0)</f>
        <v>rromeroo7519@gmail.com</v>
      </c>
      <c r="G295" s="188" t="str">
        <f>VLOOKUP(A295,'ESTADOS ESTUDIANTES'!B:L,5,0)</f>
        <v>E</v>
      </c>
      <c r="H295" s="171" t="s">
        <v>60</v>
      </c>
      <c r="I295" s="171" t="s">
        <v>1966</v>
      </c>
      <c r="J295" s="171" t="s">
        <v>303</v>
      </c>
      <c r="K295" s="169"/>
      <c r="L295" s="189"/>
      <c r="M295" s="191"/>
      <c r="N295" s="189">
        <v>43809</v>
      </c>
      <c r="O295" s="191">
        <v>85.22</v>
      </c>
      <c r="P295" s="171" t="s">
        <v>79</v>
      </c>
      <c r="Q295" s="171" t="s">
        <v>1758</v>
      </c>
      <c r="R295" s="189">
        <v>43258</v>
      </c>
      <c r="S295" s="187">
        <f>YEAR(R295)</f>
        <v>2018</v>
      </c>
      <c r="T295" s="171" t="s">
        <v>433</v>
      </c>
      <c r="U295" s="189">
        <v>43298</v>
      </c>
      <c r="V295" s="189">
        <v>43325</v>
      </c>
      <c r="W295" s="169"/>
      <c r="X295" s="279">
        <f ca="1">IF(Y295="",NETWORKDAYS.INTL(U295,TODAY(),1),0)</f>
        <v>0</v>
      </c>
      <c r="Y295" s="282" t="s">
        <v>43</v>
      </c>
      <c r="Z295" s="171" t="s">
        <v>1625</v>
      </c>
      <c r="AA295" s="189">
        <v>43335</v>
      </c>
      <c r="AB295" s="189">
        <v>43362</v>
      </c>
      <c r="AC295" s="169"/>
      <c r="AD295" s="187">
        <f ca="1">IF(AE295="",NETWORKDAYS.INTL(AA295,TODAY(),1),0)</f>
        <v>0</v>
      </c>
      <c r="AE295" s="282" t="s">
        <v>43</v>
      </c>
      <c r="AF295" s="189"/>
      <c r="AG295" s="169"/>
      <c r="AH295" s="189"/>
      <c r="AI295" s="189"/>
      <c r="AJ295" s="169"/>
      <c r="AK295" s="169">
        <f ca="1">IF(AL295="",NETWORKDAYS.INTL(AH295,TODAY(),1),0)</f>
        <v>33055</v>
      </c>
      <c r="AL295" s="169"/>
      <c r="AM295" s="169"/>
      <c r="AN295" s="189"/>
      <c r="AO295" s="189"/>
      <c r="AP295" s="169"/>
      <c r="AQ295" s="283">
        <f ca="1">IF(AR295="",NETWORKDAYS.INTL(AN295,TODAY(),1),0)</f>
        <v>33055</v>
      </c>
      <c r="AR295" s="280"/>
      <c r="AS295" s="171"/>
      <c r="AT295" s="187"/>
      <c r="AU295" s="169"/>
      <c r="AV295" s="169"/>
      <c r="AW295" s="169"/>
      <c r="AX295" s="169"/>
      <c r="AY295" s="169"/>
      <c r="AZ295" s="169"/>
      <c r="BA295" s="169"/>
      <c r="BB295" s="169"/>
      <c r="BC295" s="169"/>
      <c r="BD295" s="194" t="str">
        <f t="shared" si="71"/>
        <v/>
      </c>
      <c r="BE295" s="194" t="str">
        <f t="shared" si="72"/>
        <v/>
      </c>
      <c r="BF295" s="194" t="str">
        <f t="shared" si="73"/>
        <v/>
      </c>
      <c r="BG295" s="233" t="str">
        <f t="shared" si="74"/>
        <v/>
      </c>
      <c r="BH295" s="233" t="str">
        <f t="shared" si="75"/>
        <v/>
      </c>
      <c r="BI295" s="169"/>
    </row>
    <row r="296" spans="1:61" s="95" customFormat="1">
      <c r="A296" s="101">
        <v>20181395002</v>
      </c>
      <c r="B296" s="19" t="str">
        <f>VLOOKUP(A296,'ESTADOS ESTUDIANTES'!B:L,2,0)</f>
        <v>CAICEDO TIBAVIJA EDGAR JAVIER</v>
      </c>
      <c r="C296" s="102">
        <f>VLOOKUP(A296,'ESTADOS ESTUDIANTES'!B:L,11,0)</f>
        <v>79791274</v>
      </c>
      <c r="D296" s="23">
        <f>VLOOKUP(A296,'ESTADOS ESTUDIANTES'!B:L,3,0)</f>
        <v>395</v>
      </c>
      <c r="E296" s="102" t="str">
        <f>VLOOKUP(A296,'ESTADOS ESTUDIANTES'!B:L,8,0)</f>
        <v>ejcaicedot@correo.udistrital.edu.co</v>
      </c>
      <c r="F296" s="102" t="str">
        <f>VLOOKUP(A296,'ESTADOS ESTUDIANTES'!B:L,9,0)</f>
        <v>javiercaicedo007@gmail.com</v>
      </c>
      <c r="G296" s="19" t="str">
        <f>VLOOKUP(A296,'ESTADOS ESTUDIANTES'!B:L,5,0)</f>
        <v>X</v>
      </c>
      <c r="H296" s="103"/>
      <c r="I296" s="103"/>
      <c r="J296" s="103"/>
      <c r="K296" s="103"/>
      <c r="L296" s="105"/>
      <c r="M296" s="106"/>
      <c r="N296" s="105"/>
      <c r="O296" s="106"/>
      <c r="P296" s="107"/>
      <c r="Q296" s="100"/>
      <c r="R296" s="105"/>
      <c r="S296" s="103"/>
      <c r="T296" s="103"/>
      <c r="U296" s="105"/>
      <c r="V296" s="105"/>
      <c r="W296" s="103"/>
      <c r="X296" s="91">
        <f ca="1">IF(U296="",NETWORKDAYS.INTL(Y296,TODAY(),1),0)</f>
        <v>33055</v>
      </c>
      <c r="Y296" s="99"/>
      <c r="Z296" s="103"/>
      <c r="AA296" s="105"/>
      <c r="AB296" s="105"/>
      <c r="AC296" s="103"/>
      <c r="AD296" s="21">
        <f ca="1">IF(AA296="",NETWORKDAYS.INTL(AE296,TODAY(),1),0)</f>
        <v>33055</v>
      </c>
      <c r="AE296" s="99"/>
      <c r="AF296" s="105"/>
      <c r="AG296" s="103"/>
      <c r="AH296" s="105"/>
      <c r="AI296" s="105"/>
      <c r="AJ296" s="103"/>
      <c r="AK296" s="23">
        <f ca="1">IF(AH296="",NETWORKDAYS.INTL(AL296,TODAY(),1),0)</f>
        <v>33055</v>
      </c>
      <c r="AL296" s="103"/>
      <c r="AM296" s="103"/>
      <c r="AN296" s="105"/>
      <c r="AO296" s="105"/>
      <c r="AP296" s="103"/>
      <c r="AQ296" s="162">
        <f ca="1">IF(AN296="",NETWORKDAYS.INTL(AR296,TODAY(),1),0)</f>
        <v>33055</v>
      </c>
      <c r="AR296" s="163"/>
      <c r="AS296" s="101"/>
      <c r="AT296" s="101"/>
      <c r="AU296" s="103"/>
      <c r="AV296" s="103"/>
      <c r="AW296" s="103"/>
      <c r="AX296" s="103"/>
      <c r="AY296" s="103"/>
      <c r="AZ296" s="103"/>
      <c r="BA296" s="103"/>
      <c r="BB296" s="103"/>
      <c r="BC296" s="103"/>
      <c r="BD296" s="100" t="str">
        <f t="shared" si="71"/>
        <v/>
      </c>
      <c r="BE296" s="100" t="str">
        <f t="shared" si="72"/>
        <v/>
      </c>
      <c r="BF296" s="100" t="str">
        <f t="shared" si="73"/>
        <v/>
      </c>
      <c r="BG296" s="100" t="str">
        <f t="shared" si="74"/>
        <v/>
      </c>
      <c r="BH296" s="100" t="str">
        <f t="shared" si="75"/>
        <v/>
      </c>
      <c r="BI296" s="103"/>
    </row>
    <row r="297" spans="1:61" s="95" customFormat="1" ht="45">
      <c r="A297" s="21">
        <v>20181395004</v>
      </c>
      <c r="B297" s="19" t="str">
        <f>VLOOKUP(A297,'ESTADOS ESTUDIANTES'!B:L,2,0)</f>
        <v>GUERRERO BUELVAS LUIS MANUEL</v>
      </c>
      <c r="C297" s="19">
        <f>VLOOKUP(A297,'ESTADOS ESTUDIANTES'!B:L,11,0)</f>
        <v>1018454765</v>
      </c>
      <c r="D297" s="23">
        <f>VLOOKUP(A297,'ESTADOS ESTUDIANTES'!B:L,3,0)</f>
        <v>395</v>
      </c>
      <c r="E297" s="19" t="str">
        <f>VLOOKUP(A297,'ESTADOS ESTUDIANTES'!B:L,8,0)</f>
        <v>lmguerrerob@udistrital.edu.co</v>
      </c>
      <c r="F297" s="19" t="str">
        <f>VLOOKUP(A297,'ESTADOS ESTUDIANTES'!B:L,9,0)</f>
        <v>lmguerrerob@correo.udistrital.edu.co</v>
      </c>
      <c r="G297" s="19" t="str">
        <f>VLOOKUP(A297,'ESTADOS ESTUDIANTES'!B:L,5,0)</f>
        <v>E</v>
      </c>
      <c r="H297" s="18" t="s">
        <v>60</v>
      </c>
      <c r="I297" s="18" t="s">
        <v>1967</v>
      </c>
      <c r="J297" s="125" t="s">
        <v>229</v>
      </c>
      <c r="K297" s="23"/>
      <c r="L297" s="96"/>
      <c r="M297" s="97"/>
      <c r="N297" s="96">
        <v>44153</v>
      </c>
      <c r="O297" s="97">
        <v>85.05</v>
      </c>
      <c r="P297" s="98" t="s">
        <v>79</v>
      </c>
      <c r="Q297" s="18"/>
      <c r="R297" s="96">
        <v>43264</v>
      </c>
      <c r="S297" s="21">
        <f>YEAR(R297)</f>
        <v>2018</v>
      </c>
      <c r="T297" s="18" t="s">
        <v>1099</v>
      </c>
      <c r="U297" s="96">
        <v>43322</v>
      </c>
      <c r="V297" s="96">
        <v>43327</v>
      </c>
      <c r="W297" s="23"/>
      <c r="X297" s="91">
        <f ca="1">IF(U297="",NETWORKDAYS.INTL(Y297,TODAY(),1),0)</f>
        <v>0</v>
      </c>
      <c r="Y297" s="114" t="s">
        <v>43</v>
      </c>
      <c r="Z297" s="18" t="s">
        <v>270</v>
      </c>
      <c r="AA297" s="96">
        <v>43690</v>
      </c>
      <c r="AB297" s="96">
        <v>43697</v>
      </c>
      <c r="AC297" s="18" t="s">
        <v>1968</v>
      </c>
      <c r="AD297" s="21">
        <f ca="1">IF(AA297="",NETWORKDAYS.INTL(AE297,TODAY(),1),0)</f>
        <v>0</v>
      </c>
      <c r="AE297" s="114" t="s">
        <v>43</v>
      </c>
      <c r="AF297" s="96">
        <v>44616</v>
      </c>
      <c r="AG297" s="18" t="s">
        <v>270</v>
      </c>
      <c r="AH297" s="96">
        <v>44616</v>
      </c>
      <c r="AI297" s="96">
        <v>44624</v>
      </c>
      <c r="AJ297" s="23"/>
      <c r="AK297" s="23">
        <f ca="1">IF(AH297="",NETWORKDAYS.INTL(AL297,TODAY(),1),0)</f>
        <v>0</v>
      </c>
      <c r="AL297" s="100" t="s">
        <v>42</v>
      </c>
      <c r="AM297" s="18" t="s">
        <v>1099</v>
      </c>
      <c r="AN297" s="96">
        <v>44616</v>
      </c>
      <c r="AO297" s="96">
        <v>44634</v>
      </c>
      <c r="AP297" s="23"/>
      <c r="AQ297" s="162">
        <f ca="1">IF(AN297="",NETWORKDAYS.INTL(AR297,TODAY(),1),0)</f>
        <v>0</v>
      </c>
      <c r="AR297" s="162" t="s">
        <v>42</v>
      </c>
      <c r="AS297" s="18" t="s">
        <v>1969</v>
      </c>
      <c r="AT297" s="21">
        <v>50</v>
      </c>
      <c r="AU297" s="18" t="s">
        <v>55</v>
      </c>
      <c r="AV297" s="120">
        <v>44657</v>
      </c>
      <c r="AW297" s="23"/>
      <c r="AX297" s="23"/>
      <c r="AY297" s="18" t="s">
        <v>1970</v>
      </c>
      <c r="AZ297" s="19">
        <v>44263</v>
      </c>
      <c r="BA297" s="19"/>
      <c r="BB297" s="23"/>
      <c r="BC297" s="23"/>
      <c r="BD297" s="100" t="str">
        <f t="shared" ref="BD297:BD327" si="88">IF(OR($G297="A",$G297="D",$G297="P",$G297="V"),J297,"")</f>
        <v/>
      </c>
      <c r="BE297" s="100" t="str">
        <f t="shared" ref="BE297:BE327" si="89">IF(OR($G297="A",$G297="D",$G297="P",$G297="V"),T297,"")</f>
        <v/>
      </c>
      <c r="BF297" s="100" t="str">
        <f t="shared" ref="BF297:BF327" si="90">IF(OR($G297="A",$G297="D",$G297="P",$G297="V"),Z297,"")</f>
        <v/>
      </c>
      <c r="BG297" s="100" t="str">
        <f t="shared" ref="BG297:BG327" si="91">IF(OR($G297="A",$G297="D",$G297="P",$G297="V"),AM297,"")</f>
        <v/>
      </c>
      <c r="BH297" s="100" t="str">
        <f t="shared" ref="BH297:BH327" si="92">IF(OR($G297="A",$G297="D",$G297="P",$G297="V"),AG297,"")</f>
        <v/>
      </c>
      <c r="BI297" s="23"/>
    </row>
    <row r="298" spans="1:61" s="281" customFormat="1" ht="45">
      <c r="A298" s="187">
        <v>20181395007</v>
      </c>
      <c r="B298" s="188" t="str">
        <f>VLOOKUP(A298,'ESTADOS ESTUDIANTES'!B:L,2,0)</f>
        <v>RUEDA RODRIGUEZ DAVID ALONSO</v>
      </c>
      <c r="C298" s="188">
        <f>VLOOKUP(A298,'ESTADOS ESTUDIANTES'!B:L,11,0)</f>
        <v>80795672</v>
      </c>
      <c r="D298" s="169">
        <f>VLOOKUP(A298,'ESTADOS ESTUDIANTES'!B:L,3,0)</f>
        <v>395</v>
      </c>
      <c r="E298" s="188" t="str">
        <f>VLOOKUP(A298,'ESTADOS ESTUDIANTES'!B:L,8,0)</f>
        <v>daruedar@udistrital.edu.co</v>
      </c>
      <c r="F298" s="188" t="str">
        <f>VLOOKUP(A298,'ESTADOS ESTUDIANTES'!B:L,9,0)</f>
        <v>rueda.david@gmail.com</v>
      </c>
      <c r="G298" s="188" t="str">
        <f>VLOOKUP(A298,'ESTADOS ESTUDIANTES'!B:L,5,0)</f>
        <v>X</v>
      </c>
      <c r="H298" s="171" t="s">
        <v>46</v>
      </c>
      <c r="I298" s="171" t="s">
        <v>1971</v>
      </c>
      <c r="J298" s="171" t="s">
        <v>250</v>
      </c>
      <c r="K298" s="169"/>
      <c r="L298" s="189"/>
      <c r="M298" s="191"/>
      <c r="N298" s="189"/>
      <c r="O298" s="191"/>
      <c r="P298" s="169"/>
      <c r="Q298" s="188">
        <v>43466</v>
      </c>
      <c r="R298" s="189"/>
      <c r="S298" s="187">
        <v>1899</v>
      </c>
      <c r="T298" s="171" t="s">
        <v>1103</v>
      </c>
      <c r="U298" s="189">
        <v>43510</v>
      </c>
      <c r="V298" s="189">
        <v>43538</v>
      </c>
      <c r="W298" s="169"/>
      <c r="X298" s="279">
        <f ca="1">IF(Y298="",NETWORKDAYS.INTL(U298,TODAY(),1),0)</f>
        <v>0</v>
      </c>
      <c r="Y298" s="282" t="s">
        <v>43</v>
      </c>
      <c r="Z298" s="171" t="s">
        <v>1131</v>
      </c>
      <c r="AA298" s="189">
        <v>43509</v>
      </c>
      <c r="AB298" s="189">
        <v>43674</v>
      </c>
      <c r="AC298" s="169"/>
      <c r="AD298" s="187">
        <f ca="1">IF(AE298="",NETWORKDAYS.INTL(AA298,TODAY(),1),0)</f>
        <v>0</v>
      </c>
      <c r="AE298" s="282" t="s">
        <v>43</v>
      </c>
      <c r="AF298" s="189"/>
      <c r="AG298" s="169"/>
      <c r="AH298" s="189"/>
      <c r="AI298" s="189"/>
      <c r="AJ298" s="169"/>
      <c r="AK298" s="169">
        <f ca="1">IF(AL298="",NETWORKDAYS.INTL(AH298,TODAY(),1),0)</f>
        <v>33055</v>
      </c>
      <c r="AL298" s="169"/>
      <c r="AM298" s="169"/>
      <c r="AN298" s="189"/>
      <c r="AO298" s="189"/>
      <c r="AP298" s="169"/>
      <c r="AQ298" s="283">
        <f ca="1">IF(AR298="",NETWORKDAYS.INTL(AN298,TODAY(),1),0)</f>
        <v>33055</v>
      </c>
      <c r="AR298" s="280"/>
      <c r="AS298" s="171"/>
      <c r="AT298" s="187"/>
      <c r="AU298" s="169"/>
      <c r="AV298" s="169"/>
      <c r="AW298" s="169"/>
      <c r="AX298" s="169"/>
      <c r="AY298" s="169"/>
      <c r="AZ298" s="169"/>
      <c r="BA298" s="169"/>
      <c r="BB298" s="169"/>
      <c r="BC298" s="169"/>
      <c r="BD298" s="194" t="str">
        <f t="shared" si="88"/>
        <v/>
      </c>
      <c r="BE298" s="194" t="str">
        <f t="shared" si="89"/>
        <v/>
      </c>
      <c r="BF298" s="194" t="str">
        <f t="shared" si="90"/>
        <v/>
      </c>
      <c r="BG298" s="233" t="str">
        <f t="shared" si="91"/>
        <v/>
      </c>
      <c r="BH298" s="233" t="str">
        <f t="shared" si="92"/>
        <v/>
      </c>
      <c r="BI298" s="169"/>
    </row>
    <row r="299" spans="1:61" s="95" customFormat="1" ht="45">
      <c r="A299" s="101">
        <v>20181495004</v>
      </c>
      <c r="B299" s="19" t="str">
        <f>VLOOKUP(A299,'ESTADOS ESTUDIANTES'!B:L,2,0)</f>
        <v>CARVAJAL CHAVEZ LUIS FERNANDO</v>
      </c>
      <c r="C299" s="103">
        <f>VLOOKUP(A299,'ESTADOS ESTUDIANTES'!B:L,11,0)</f>
        <v>1061729487</v>
      </c>
      <c r="D299" s="23">
        <f>VLOOKUP(A299,'ESTADOS ESTUDIANTES'!B:L,3,0)</f>
        <v>495</v>
      </c>
      <c r="E299" s="102">
        <f>VLOOKUP(A299,'ESTADOS ESTUDIANTES'!B:L,8,0)</f>
        <v>0</v>
      </c>
      <c r="F299" s="102" t="str">
        <f>VLOOKUP(A299,'ESTADOS ESTUDIANTES'!B:L,9,0)</f>
        <v>compucarvajal@gmail.com</v>
      </c>
      <c r="G299" s="19" t="str">
        <f>VLOOKUP(A299,'ESTADOS ESTUDIANTES'!B:L,5,0)</f>
        <v>X</v>
      </c>
      <c r="H299" s="103"/>
      <c r="I299" s="100" t="s">
        <v>1972</v>
      </c>
      <c r="J299" s="100" t="s">
        <v>292</v>
      </c>
      <c r="K299" s="103"/>
      <c r="L299" s="105"/>
      <c r="M299" s="106"/>
      <c r="N299" s="105">
        <v>43964</v>
      </c>
      <c r="O299" s="106">
        <v>76.52</v>
      </c>
      <c r="P299" s="112" t="s">
        <v>79</v>
      </c>
      <c r="Q299" s="100" t="s">
        <v>1633</v>
      </c>
      <c r="R299" s="105">
        <v>43270</v>
      </c>
      <c r="S299" s="101">
        <v>2018</v>
      </c>
      <c r="T299" s="100" t="s">
        <v>1415</v>
      </c>
      <c r="U299" s="105">
        <v>43267</v>
      </c>
      <c r="V299" s="105">
        <v>43377</v>
      </c>
      <c r="W299" s="103"/>
      <c r="X299" s="91">
        <f ca="1">IF(U299="",NETWORKDAYS.INTL(Y299,TODAY(),1),0)</f>
        <v>0</v>
      </c>
      <c r="Y299" s="114" t="s">
        <v>43</v>
      </c>
      <c r="Z299" s="100" t="s">
        <v>1521</v>
      </c>
      <c r="AA299" s="105">
        <v>43264</v>
      </c>
      <c r="AB299" s="105"/>
      <c r="AC299" s="103"/>
      <c r="AD299" s="21">
        <f ca="1">IF(AA299="",NETWORKDAYS.INTL(AE299,TODAY(),1),0)</f>
        <v>0</v>
      </c>
      <c r="AE299" s="114" t="s">
        <v>56</v>
      </c>
      <c r="AF299" s="105"/>
      <c r="AG299" s="103"/>
      <c r="AH299" s="105"/>
      <c r="AI299" s="105"/>
      <c r="AJ299" s="103"/>
      <c r="AK299" s="23">
        <f ca="1">IF(AH299="",NETWORKDAYS.INTL(AL299,TODAY(),1),0)</f>
        <v>33055</v>
      </c>
      <c r="AL299" s="103"/>
      <c r="AM299" s="103"/>
      <c r="AN299" s="105"/>
      <c r="AO299" s="105"/>
      <c r="AP299" s="103"/>
      <c r="AQ299" s="163">
        <f ca="1">IF(AN299="",NETWORKDAYS.INTL(AR299,TODAY(),1),0)</f>
        <v>33055</v>
      </c>
      <c r="AR299" s="163"/>
      <c r="AS299" s="101"/>
      <c r="AT299" s="101"/>
      <c r="AU299" s="103"/>
      <c r="AV299" s="103"/>
      <c r="AW299" s="103"/>
      <c r="AX299" s="103"/>
      <c r="AY299" s="103"/>
      <c r="AZ299" s="103"/>
      <c r="BA299" s="103"/>
      <c r="BB299" s="103"/>
      <c r="BC299" s="103"/>
      <c r="BD299" s="100" t="str">
        <f t="shared" si="88"/>
        <v/>
      </c>
      <c r="BE299" s="100" t="str">
        <f t="shared" si="89"/>
        <v/>
      </c>
      <c r="BF299" s="100" t="str">
        <f t="shared" si="90"/>
        <v/>
      </c>
      <c r="BG299" s="100" t="str">
        <f t="shared" si="91"/>
        <v/>
      </c>
      <c r="BH299" s="100" t="str">
        <f t="shared" si="92"/>
        <v/>
      </c>
      <c r="BI299" s="103"/>
    </row>
    <row r="300" spans="1:61" s="95" customFormat="1" ht="30">
      <c r="A300" s="101">
        <v>20181495007</v>
      </c>
      <c r="B300" s="19" t="str">
        <f>VLOOKUP(A300,'ESTADOS ESTUDIANTES'!B:L,2,0)</f>
        <v>CONTRERAS TORRES DANIEL OSWALDO</v>
      </c>
      <c r="C300" s="102">
        <f>VLOOKUP(A300,'ESTADOS ESTUDIANTES'!B:L,11,0)</f>
        <v>80221408</v>
      </c>
      <c r="D300" s="23">
        <f>VLOOKUP(A300,'ESTADOS ESTUDIANTES'!B:L,3,0)</f>
        <v>495</v>
      </c>
      <c r="E300" s="102">
        <f>VLOOKUP(A300,'ESTADOS ESTUDIANTES'!B:L,8,0)</f>
        <v>0</v>
      </c>
      <c r="F300" s="102" t="str">
        <f>VLOOKUP(A300,'ESTADOS ESTUDIANTES'!B:L,9,0)</f>
        <v>danieltorres1982@gmail.com</v>
      </c>
      <c r="G300" s="19" t="str">
        <f>VLOOKUP(A300,'ESTADOS ESTUDIANTES'!B:L,5,0)</f>
        <v>N</v>
      </c>
      <c r="H300" s="103"/>
      <c r="I300" s="103"/>
      <c r="J300" s="103"/>
      <c r="K300" s="103"/>
      <c r="L300" s="105"/>
      <c r="M300" s="106"/>
      <c r="N300" s="105"/>
      <c r="O300" s="106"/>
      <c r="P300" s="107"/>
      <c r="Q300" s="100"/>
      <c r="R300" s="105"/>
      <c r="S300" s="103"/>
      <c r="T300" s="103"/>
      <c r="U300" s="105"/>
      <c r="V300" s="105"/>
      <c r="W300" s="103"/>
      <c r="X300" s="91">
        <f ca="1">IF(U300="",NETWORKDAYS.INTL(Y300,TODAY(),1),0)</f>
        <v>33055</v>
      </c>
      <c r="Y300" s="99"/>
      <c r="Z300" s="103"/>
      <c r="AA300" s="105"/>
      <c r="AB300" s="105"/>
      <c r="AC300" s="103"/>
      <c r="AD300" s="21">
        <f ca="1">IF(AA300="",NETWORKDAYS.INTL(AE300,TODAY(),1),0)</f>
        <v>33055</v>
      </c>
      <c r="AE300" s="99"/>
      <c r="AF300" s="105"/>
      <c r="AG300" s="103"/>
      <c r="AH300" s="105"/>
      <c r="AI300" s="105"/>
      <c r="AJ300" s="103"/>
      <c r="AK300" s="23">
        <f ca="1">IF(AH300="",NETWORKDAYS.INTL(AL300,TODAY(),1),0)</f>
        <v>33055</v>
      </c>
      <c r="AL300" s="103"/>
      <c r="AM300" s="103"/>
      <c r="AN300" s="105"/>
      <c r="AO300" s="105"/>
      <c r="AP300" s="103"/>
      <c r="AQ300" s="162">
        <f ca="1">IF(AN300="",NETWORKDAYS.INTL(AR300,TODAY(),1),0)</f>
        <v>33055</v>
      </c>
      <c r="AR300" s="163"/>
      <c r="AS300" s="101"/>
      <c r="AT300" s="101"/>
      <c r="AU300" s="103"/>
      <c r="AV300" s="103"/>
      <c r="AW300" s="103"/>
      <c r="AX300" s="103"/>
      <c r="AY300" s="103"/>
      <c r="AZ300" s="103"/>
      <c r="BA300" s="103"/>
      <c r="BB300" s="103"/>
      <c r="BC300" s="103"/>
      <c r="BD300" s="100" t="str">
        <f t="shared" si="88"/>
        <v/>
      </c>
      <c r="BE300" s="100" t="str">
        <f t="shared" si="89"/>
        <v/>
      </c>
      <c r="BF300" s="100" t="str">
        <f t="shared" si="90"/>
        <v/>
      </c>
      <c r="BG300" s="100" t="str">
        <f t="shared" si="91"/>
        <v/>
      </c>
      <c r="BH300" s="100" t="str">
        <f t="shared" si="92"/>
        <v/>
      </c>
      <c r="BI300" s="103"/>
    </row>
    <row r="301" spans="1:61" s="95" customFormat="1" ht="60">
      <c r="A301" s="21">
        <v>20181495010</v>
      </c>
      <c r="B301" s="19" t="str">
        <f>VLOOKUP(A301,'ESTADOS ESTUDIANTES'!B:L,2,0)</f>
        <v>GONZALEZ RODRIGUEZ NASLY ANDREA</v>
      </c>
      <c r="C301" s="19">
        <f>VLOOKUP(A301,'ESTADOS ESTUDIANTES'!B:L,11,0)</f>
        <v>1013616905</v>
      </c>
      <c r="D301" s="23">
        <f>VLOOKUP(A301,'ESTADOS ESTUDIANTES'!B:L,3,0)</f>
        <v>495</v>
      </c>
      <c r="E301" s="19" t="str">
        <f>VLOOKUP(A301,'ESTADOS ESTUDIANTES'!B:L,8,0)</f>
        <v>nagonzalezr@correo.udistrital.edu.co</v>
      </c>
      <c r="F301" s="19" t="str">
        <f>VLOOKUP(A301,'ESTADOS ESTUDIANTES'!B:L,9,0)</f>
        <v>nasly.ud@gmail.com</v>
      </c>
      <c r="G301" s="19" t="str">
        <f>VLOOKUP(A301,'ESTADOS ESTUDIANTES'!B:L,5,0)</f>
        <v>X</v>
      </c>
      <c r="H301" s="18" t="s">
        <v>60</v>
      </c>
      <c r="I301" s="18" t="s">
        <v>1973</v>
      </c>
      <c r="J301" s="18" t="s">
        <v>225</v>
      </c>
      <c r="K301" s="23"/>
      <c r="L301" s="96"/>
      <c r="M301" s="97"/>
      <c r="N301" s="96"/>
      <c r="O301" s="97"/>
      <c r="P301" s="110"/>
      <c r="Q301" s="18" t="s">
        <v>1758</v>
      </c>
      <c r="R301" s="96">
        <v>43250</v>
      </c>
      <c r="S301" s="21">
        <f>YEAR(R301)</f>
        <v>2018</v>
      </c>
      <c r="T301" s="18" t="s">
        <v>281</v>
      </c>
      <c r="U301" s="96">
        <v>43321</v>
      </c>
      <c r="V301" s="18" t="s">
        <v>1974</v>
      </c>
      <c r="W301" s="23"/>
      <c r="X301" s="91">
        <f ca="1">IF(U301="",NETWORKDAYS.INTL(Y301,TODAY(),1),0)</f>
        <v>0</v>
      </c>
      <c r="Y301" s="114" t="s">
        <v>43</v>
      </c>
      <c r="Z301" s="18" t="s">
        <v>1417</v>
      </c>
      <c r="AA301" s="96">
        <v>43598</v>
      </c>
      <c r="AB301" s="96">
        <v>43612</v>
      </c>
      <c r="AC301" s="18" t="s">
        <v>1975</v>
      </c>
      <c r="AD301" s="21">
        <f ca="1">IF(AA301="",NETWORKDAYS.INTL(AE301,TODAY(),1),0)</f>
        <v>0</v>
      </c>
      <c r="AE301" s="114" t="s">
        <v>43</v>
      </c>
      <c r="AF301" s="96"/>
      <c r="AG301" s="23"/>
      <c r="AH301" s="96"/>
      <c r="AI301" s="96"/>
      <c r="AJ301" s="23"/>
      <c r="AK301" s="23">
        <f ca="1">IF(AH301="",NETWORKDAYS.INTL(AL301,TODAY(),1),0)</f>
        <v>33055</v>
      </c>
      <c r="AL301" s="23"/>
      <c r="AM301" s="23"/>
      <c r="AN301" s="96"/>
      <c r="AO301" s="96"/>
      <c r="AP301" s="23"/>
      <c r="AQ301" s="163">
        <f ca="1">IF(AN301="",NETWORKDAYS.INTL(AR301,TODAY(),1),0)</f>
        <v>33055</v>
      </c>
      <c r="AR301" s="161"/>
      <c r="AS301" s="18"/>
      <c r="AT301" s="21"/>
      <c r="AU301" s="23"/>
      <c r="AV301" s="23"/>
      <c r="AW301" s="23"/>
      <c r="AX301" s="23"/>
      <c r="AY301" s="23"/>
      <c r="AZ301" s="23"/>
      <c r="BA301" s="23"/>
      <c r="BB301" s="23"/>
      <c r="BC301" s="23"/>
      <c r="BD301" s="100" t="str">
        <f t="shared" si="88"/>
        <v/>
      </c>
      <c r="BE301" s="100" t="str">
        <f t="shared" si="89"/>
        <v/>
      </c>
      <c r="BF301" s="100" t="str">
        <f t="shared" si="90"/>
        <v/>
      </c>
      <c r="BG301" s="100" t="str">
        <f t="shared" si="91"/>
        <v/>
      </c>
      <c r="BH301" s="100" t="str">
        <f t="shared" si="92"/>
        <v/>
      </c>
      <c r="BI301" s="23"/>
    </row>
    <row r="302" spans="1:61" s="222" customFormat="1" ht="30">
      <c r="A302" s="101">
        <v>20181495012</v>
      </c>
      <c r="B302" s="19" t="str">
        <f>VLOOKUP(A302,'ESTADOS ESTUDIANTES'!B:L,2,0)</f>
        <v>GOMEZ ORTIZ ANDRES LEONARDO</v>
      </c>
      <c r="C302" s="102">
        <f>VLOOKUP(A302,'ESTADOS ESTUDIANTES'!B:L,11,0)</f>
        <v>1026280933</v>
      </c>
      <c r="D302" s="23">
        <f>VLOOKUP(A302,'ESTADOS ESTUDIANTES'!B:L,3,0)</f>
        <v>495</v>
      </c>
      <c r="E302" s="102">
        <f>VLOOKUP(A302,'ESTADOS ESTUDIANTES'!B:L,8,0)</f>
        <v>0</v>
      </c>
      <c r="F302" s="102" t="str">
        <f>VLOOKUP(A302,'ESTADOS ESTUDIANTES'!B:L,9,0)</f>
        <v>andreslgomezo@gmail.com</v>
      </c>
      <c r="G302" s="19" t="str">
        <f>VLOOKUP(A302,'ESTADOS ESTUDIANTES'!B:L,5,0)</f>
        <v>X</v>
      </c>
      <c r="H302" s="103"/>
      <c r="I302" s="100" t="s">
        <v>1976</v>
      </c>
      <c r="J302" s="100" t="s">
        <v>298</v>
      </c>
      <c r="K302" s="103"/>
      <c r="L302" s="105"/>
      <c r="M302" s="106"/>
      <c r="N302" s="105"/>
      <c r="O302" s="106"/>
      <c r="P302" s="107"/>
      <c r="Q302" s="100" t="s">
        <v>1893</v>
      </c>
      <c r="R302" s="105"/>
      <c r="S302" s="101">
        <v>2018</v>
      </c>
      <c r="T302" s="100" t="s">
        <v>1954</v>
      </c>
      <c r="U302" s="105">
        <v>43360</v>
      </c>
      <c r="V302" s="105"/>
      <c r="W302" s="103"/>
      <c r="X302" s="91">
        <f ca="1">IF(U302="",NETWORKDAYS.INTL(Y302,TODAY(),1),0)</f>
        <v>0</v>
      </c>
      <c r="Y302" s="114" t="s">
        <v>57</v>
      </c>
      <c r="Z302" s="100" t="s">
        <v>1759</v>
      </c>
      <c r="AA302" s="105">
        <v>43270</v>
      </c>
      <c r="AB302" s="105">
        <v>43298</v>
      </c>
      <c r="AC302" s="103"/>
      <c r="AD302" s="21">
        <f ca="1">IF(AA302="",NETWORKDAYS.INTL(AE302,TODAY(),1),0)</f>
        <v>0</v>
      </c>
      <c r="AE302" s="114" t="s">
        <v>57</v>
      </c>
      <c r="AF302" s="105"/>
      <c r="AG302" s="103"/>
      <c r="AH302" s="105"/>
      <c r="AI302" s="105"/>
      <c r="AJ302" s="103"/>
      <c r="AK302" s="23">
        <f ca="1">IF(AH302="",NETWORKDAYS.INTL(AL302,TODAY(),1),0)</f>
        <v>33055</v>
      </c>
      <c r="AL302" s="103"/>
      <c r="AM302" s="103"/>
      <c r="AN302" s="105"/>
      <c r="AO302" s="105"/>
      <c r="AP302" s="103"/>
      <c r="AQ302" s="161">
        <f ca="1">IF(AN302="",NETWORKDAYS.INTL(AR302,TODAY(),1),0)</f>
        <v>33055</v>
      </c>
      <c r="AR302" s="163"/>
      <c r="AS302" s="101"/>
      <c r="AT302" s="101"/>
      <c r="AU302" s="103"/>
      <c r="AV302" s="103"/>
      <c r="AW302" s="103"/>
      <c r="AX302" s="103"/>
      <c r="AY302" s="103"/>
      <c r="AZ302" s="103"/>
      <c r="BA302" s="103"/>
      <c r="BB302" s="103"/>
      <c r="BC302" s="103"/>
      <c r="BD302" s="100" t="str">
        <f t="shared" si="88"/>
        <v/>
      </c>
      <c r="BE302" s="100" t="str">
        <f t="shared" si="89"/>
        <v/>
      </c>
      <c r="BF302" s="100" t="str">
        <f t="shared" si="90"/>
        <v/>
      </c>
      <c r="BG302" s="100" t="str">
        <f t="shared" si="91"/>
        <v/>
      </c>
      <c r="BH302" s="100" t="str">
        <f t="shared" si="92"/>
        <v/>
      </c>
      <c r="BI302" s="103"/>
    </row>
    <row r="303" spans="1:61" s="95" customFormat="1" ht="60">
      <c r="A303" s="208">
        <v>20181495016</v>
      </c>
      <c r="B303" s="209" t="str">
        <f>VLOOKUP(A303,'ESTADOS ESTUDIANTES'!B:L,2,0)</f>
        <v>QUICENO OROZCO JHON ALEXANDER</v>
      </c>
      <c r="C303" s="209">
        <f>VLOOKUP(A303,'ESTADOS ESTUDIANTES'!B:L,11,0)</f>
        <v>1019095988</v>
      </c>
      <c r="D303" s="211">
        <f>VLOOKUP(A303,'ESTADOS ESTUDIANTES'!B:L,3,0)</f>
        <v>495</v>
      </c>
      <c r="E303" s="209" t="str">
        <f>VLOOKUP(A303,'ESTADOS ESTUDIANTES'!B:L,8,0)</f>
        <v>jaquicenoo@udistrital.edu.co</v>
      </c>
      <c r="F303" s="209" t="str">
        <f>VLOOKUP(A303,'ESTADOS ESTUDIANTES'!B:L,9,0)</f>
        <v>jonasquiceno@gmail.com</v>
      </c>
      <c r="G303" s="209" t="str">
        <f>VLOOKUP(A303,'ESTADOS ESTUDIANTES'!B:L,5,0)</f>
        <v>X</v>
      </c>
      <c r="H303" s="210" t="s">
        <v>46</v>
      </c>
      <c r="I303" s="210" t="s">
        <v>1977</v>
      </c>
      <c r="J303" s="210" t="s">
        <v>225</v>
      </c>
      <c r="K303" s="211"/>
      <c r="L303" s="212"/>
      <c r="M303" s="214"/>
      <c r="N303" s="212">
        <v>43964</v>
      </c>
      <c r="O303" s="214">
        <v>80</v>
      </c>
      <c r="P303" s="210" t="s">
        <v>79</v>
      </c>
      <c r="Q303" s="210" t="s">
        <v>1758</v>
      </c>
      <c r="R303" s="212">
        <v>43257</v>
      </c>
      <c r="S303" s="208">
        <f>YEAR(R303)</f>
        <v>2018</v>
      </c>
      <c r="T303" s="210" t="s">
        <v>382</v>
      </c>
      <c r="U303" s="212">
        <v>43305</v>
      </c>
      <c r="V303" s="212"/>
      <c r="W303" s="211"/>
      <c r="X303" s="217">
        <f ca="1">IF(Y303="",NETWORKDAYS.INTL(U303,TODAY(),1),0)</f>
        <v>0</v>
      </c>
      <c r="Y303" s="218" t="s">
        <v>43</v>
      </c>
      <c r="Z303" s="210" t="s">
        <v>1978</v>
      </c>
      <c r="AA303" s="212">
        <v>43305</v>
      </c>
      <c r="AB303" s="212">
        <v>43350</v>
      </c>
      <c r="AC303" s="211"/>
      <c r="AD303" s="208">
        <f ca="1">IF(AE303="",NETWORKDAYS.INTL(AA303,TODAY(),1),0)</f>
        <v>0</v>
      </c>
      <c r="AE303" s="218" t="s">
        <v>43</v>
      </c>
      <c r="AF303" s="212"/>
      <c r="AG303" s="211"/>
      <c r="AH303" s="212"/>
      <c r="AI303" s="212"/>
      <c r="AJ303" s="211"/>
      <c r="AK303" s="211">
        <f ca="1">IF(AL303="",NETWORKDAYS.INTL(AH303,TODAY(),1),0)</f>
        <v>33055</v>
      </c>
      <c r="AL303" s="211"/>
      <c r="AM303" s="211"/>
      <c r="AN303" s="212"/>
      <c r="AO303" s="212"/>
      <c r="AP303" s="211"/>
      <c r="AQ303" s="219">
        <f ca="1">IF(AR303="",NETWORKDAYS.INTL(AN303,TODAY(),1),0)</f>
        <v>33055</v>
      </c>
      <c r="AR303" s="220"/>
      <c r="AS303" s="210"/>
      <c r="AT303" s="208"/>
      <c r="AU303" s="211"/>
      <c r="AV303" s="211"/>
      <c r="AW303" s="211"/>
      <c r="AX303" s="211"/>
      <c r="AY303" s="211"/>
      <c r="AZ303" s="211"/>
      <c r="BA303" s="211"/>
      <c r="BB303" s="211"/>
      <c r="BC303" s="211"/>
      <c r="BD303" s="216" t="str">
        <f t="shared" si="88"/>
        <v/>
      </c>
      <c r="BE303" s="216" t="str">
        <f t="shared" si="89"/>
        <v/>
      </c>
      <c r="BF303" s="216" t="str">
        <f t="shared" si="90"/>
        <v/>
      </c>
      <c r="BG303" s="221" t="str">
        <f t="shared" si="91"/>
        <v/>
      </c>
      <c r="BH303" s="221" t="str">
        <f t="shared" si="92"/>
        <v/>
      </c>
      <c r="BI303" s="211"/>
    </row>
    <row r="304" spans="1:61" s="95" customFormat="1" ht="45">
      <c r="A304" s="101">
        <v>20181495017</v>
      </c>
      <c r="B304" s="19" t="str">
        <f>VLOOKUP(A304,'ESTADOS ESTUDIANTES'!B:L,2,0)</f>
        <v>RODRIGUEZ SIATAMA BRYAN</v>
      </c>
      <c r="C304" s="103">
        <f>VLOOKUP(A304,'ESTADOS ESTUDIANTES'!B:L,11,0)</f>
        <v>1033732002</v>
      </c>
      <c r="D304" s="23">
        <f>VLOOKUP(A304,'ESTADOS ESTUDIANTES'!B:L,3,0)</f>
        <v>495</v>
      </c>
      <c r="E304" s="102">
        <f>VLOOKUP(A304,'ESTADOS ESTUDIANTES'!B:L,8,0)</f>
        <v>0</v>
      </c>
      <c r="F304" s="102" t="str">
        <f>VLOOKUP(A304,'ESTADOS ESTUDIANTES'!B:L,9,0)</f>
        <v>rodriguezbryan03@gmail.com</v>
      </c>
      <c r="G304" s="19" t="str">
        <f>VLOOKUP(A304,'ESTADOS ESTUDIANTES'!B:L,5,0)</f>
        <v>X</v>
      </c>
      <c r="H304" s="103"/>
      <c r="I304" s="100" t="s">
        <v>1979</v>
      </c>
      <c r="J304" s="100" t="s">
        <v>1097</v>
      </c>
      <c r="K304" s="103"/>
      <c r="L304" s="105"/>
      <c r="M304" s="106"/>
      <c r="N304" s="105">
        <v>43964</v>
      </c>
      <c r="O304" s="106">
        <v>76.52</v>
      </c>
      <c r="P304" s="112" t="s">
        <v>79</v>
      </c>
      <c r="Q304" s="100" t="s">
        <v>1893</v>
      </c>
      <c r="R304" s="105">
        <v>43256</v>
      </c>
      <c r="S304" s="101">
        <v>2018</v>
      </c>
      <c r="T304" s="100" t="s">
        <v>1980</v>
      </c>
      <c r="U304" s="105">
        <v>43294</v>
      </c>
      <c r="V304" s="105">
        <v>43334</v>
      </c>
      <c r="W304" s="103"/>
      <c r="X304" s="91">
        <f ca="1">IF(U304="",NETWORKDAYS.INTL(Y304,TODAY(),1),0)</f>
        <v>0</v>
      </c>
      <c r="Y304" s="114" t="s">
        <v>43</v>
      </c>
      <c r="Z304" s="100" t="s">
        <v>341</v>
      </c>
      <c r="AA304" s="105">
        <v>43272</v>
      </c>
      <c r="AB304" s="105"/>
      <c r="AC304" s="103"/>
      <c r="AD304" s="21">
        <f ca="1">IF(AA304="",NETWORKDAYS.INTL(AE304,TODAY(),1),0)</f>
        <v>0</v>
      </c>
      <c r="AE304" s="114" t="s">
        <v>43</v>
      </c>
      <c r="AF304" s="105"/>
      <c r="AG304" s="103"/>
      <c r="AH304" s="105"/>
      <c r="AI304" s="105"/>
      <c r="AJ304" s="103"/>
      <c r="AK304" s="23">
        <f ca="1">IF(AH304="",NETWORKDAYS.INTL(AL304,TODAY(),1),0)</f>
        <v>33055</v>
      </c>
      <c r="AL304" s="103"/>
      <c r="AM304" s="103"/>
      <c r="AN304" s="105"/>
      <c r="AO304" s="105"/>
      <c r="AP304" s="103"/>
      <c r="AQ304" s="163">
        <f ca="1">IF(AN304="",NETWORKDAYS.INTL(AR304,TODAY(),1),0)</f>
        <v>33055</v>
      </c>
      <c r="AR304" s="163"/>
      <c r="AS304" s="101"/>
      <c r="AT304" s="101"/>
      <c r="AU304" s="103"/>
      <c r="AV304" s="103"/>
      <c r="AW304" s="103"/>
      <c r="AX304" s="103"/>
      <c r="AY304" s="103"/>
      <c r="AZ304" s="103"/>
      <c r="BA304" s="103"/>
      <c r="BB304" s="103"/>
      <c r="BC304" s="103"/>
      <c r="BD304" s="100" t="str">
        <f t="shared" si="88"/>
        <v/>
      </c>
      <c r="BE304" s="100" t="str">
        <f t="shared" si="89"/>
        <v/>
      </c>
      <c r="BF304" s="100" t="str">
        <f t="shared" si="90"/>
        <v/>
      </c>
      <c r="BG304" s="100" t="str">
        <f t="shared" si="91"/>
        <v/>
      </c>
      <c r="BH304" s="100" t="str">
        <f t="shared" si="92"/>
        <v/>
      </c>
      <c r="BI304" s="103"/>
    </row>
    <row r="305" spans="1:61" s="95" customFormat="1" ht="30">
      <c r="A305" s="208">
        <v>20181495019</v>
      </c>
      <c r="B305" s="209" t="str">
        <f>VLOOKUP(A305,'ESTADOS ESTUDIANTES'!B:L,2,0)</f>
        <v>VILLABONA SUAREZ RAUL</v>
      </c>
      <c r="C305" s="209">
        <f>VLOOKUP(A305,'ESTADOS ESTUDIANTES'!B:L,11,0)</f>
        <v>80542985</v>
      </c>
      <c r="D305" s="211">
        <f>VLOOKUP(A305,'ESTADOS ESTUDIANTES'!B:L,3,0)</f>
        <v>495</v>
      </c>
      <c r="E305" s="209" t="str">
        <f>VLOOKUP(A305,'ESTADOS ESTUDIANTES'!B:L,8,0)</f>
        <v>rvillabonas@udistrital.edu.co</v>
      </c>
      <c r="F305" s="209" t="str">
        <f>VLOOKUP(A305,'ESTADOS ESTUDIANTES'!B:L,9,0)</f>
        <v>rvillabonas@gmail.com</v>
      </c>
      <c r="G305" s="209" t="str">
        <f>VLOOKUP(A305,'ESTADOS ESTUDIANTES'!B:L,5,0)</f>
        <v>X</v>
      </c>
      <c r="H305" s="210" t="s">
        <v>60</v>
      </c>
      <c r="I305" s="210" t="s">
        <v>1981</v>
      </c>
      <c r="J305" s="210" t="s">
        <v>350</v>
      </c>
      <c r="K305" s="211"/>
      <c r="L305" s="212"/>
      <c r="M305" s="214"/>
      <c r="N305" s="212"/>
      <c r="O305" s="214"/>
      <c r="P305" s="211"/>
      <c r="Q305" s="210" t="s">
        <v>1758</v>
      </c>
      <c r="R305" s="212">
        <v>43259</v>
      </c>
      <c r="S305" s="208">
        <f>YEAR(R305)</f>
        <v>2018</v>
      </c>
      <c r="T305" s="210" t="s">
        <v>225</v>
      </c>
      <c r="U305" s="212">
        <v>43271</v>
      </c>
      <c r="V305" s="212">
        <v>43312</v>
      </c>
      <c r="W305" s="211"/>
      <c r="X305" s="217">
        <f ca="1">IF(Y305="",NETWORKDAYS.INTL(U305,TODAY(),1),0)</f>
        <v>0</v>
      </c>
      <c r="Y305" s="218" t="s">
        <v>43</v>
      </c>
      <c r="Z305" s="210" t="s">
        <v>1869</v>
      </c>
      <c r="AA305" s="212">
        <v>43271</v>
      </c>
      <c r="AB305" s="212"/>
      <c r="AC305" s="211"/>
      <c r="AD305" s="208">
        <f ca="1">IF(AE305="",NETWORKDAYS.INTL(AA305,TODAY(),1),0)</f>
        <v>0</v>
      </c>
      <c r="AE305" s="218" t="s">
        <v>43</v>
      </c>
      <c r="AF305" s="212"/>
      <c r="AG305" s="211"/>
      <c r="AH305" s="212"/>
      <c r="AI305" s="212"/>
      <c r="AJ305" s="211"/>
      <c r="AK305" s="211">
        <f ca="1">IF(AL305="",NETWORKDAYS.INTL(AH305,TODAY(),1),0)</f>
        <v>33055</v>
      </c>
      <c r="AL305" s="211"/>
      <c r="AM305" s="211"/>
      <c r="AN305" s="212"/>
      <c r="AO305" s="212"/>
      <c r="AP305" s="211"/>
      <c r="AQ305" s="219">
        <f ca="1">IF(AR305="",NETWORKDAYS.INTL(AN305,TODAY(),1),0)</f>
        <v>33055</v>
      </c>
      <c r="AR305" s="220"/>
      <c r="AS305" s="210"/>
      <c r="AT305" s="208"/>
      <c r="AU305" s="211"/>
      <c r="AV305" s="211"/>
      <c r="AW305" s="211"/>
      <c r="AX305" s="211"/>
      <c r="AY305" s="211"/>
      <c r="AZ305" s="211"/>
      <c r="BA305" s="211"/>
      <c r="BB305" s="211"/>
      <c r="BC305" s="211"/>
      <c r="BD305" s="216" t="str">
        <f t="shared" si="88"/>
        <v/>
      </c>
      <c r="BE305" s="216" t="str">
        <f t="shared" si="89"/>
        <v/>
      </c>
      <c r="BF305" s="216" t="str">
        <f t="shared" si="90"/>
        <v/>
      </c>
      <c r="BG305" s="221" t="str">
        <f t="shared" si="91"/>
        <v/>
      </c>
      <c r="BH305" s="221" t="str">
        <f t="shared" si="92"/>
        <v/>
      </c>
      <c r="BI305" s="211"/>
    </row>
    <row r="306" spans="1:61" s="281" customFormat="1" ht="45">
      <c r="A306" s="187">
        <v>20182195001</v>
      </c>
      <c r="B306" s="188" t="str">
        <f>VLOOKUP(A306,'ESTADOS ESTUDIANTES'!B:L,2,0)</f>
        <v>AGUILAR VELÁSQUEZ WILSON JAVIER</v>
      </c>
      <c r="C306" s="188">
        <f>VLOOKUP(A306,'ESTADOS ESTUDIANTES'!B:L,11,0)</f>
        <v>79169210</v>
      </c>
      <c r="D306" s="169">
        <f>VLOOKUP(A306,'ESTADOS ESTUDIANTES'!B:L,3,0)</f>
        <v>195</v>
      </c>
      <c r="E306" s="188" t="str">
        <f>VLOOKUP(A306,'ESTADOS ESTUDIANTES'!B:L,8,0)</f>
        <v>wjaguilarv@udistrital.edu.co</v>
      </c>
      <c r="F306" s="188" t="str">
        <f>VLOOKUP(A306,'ESTADOS ESTUDIANTES'!B:L,9,0)</f>
        <v>waguilarv@ucundinamarca.edu.co</v>
      </c>
      <c r="G306" s="188" t="str">
        <f>VLOOKUP(A306,'ESTADOS ESTUDIANTES'!B:L,5,0)</f>
        <v>X</v>
      </c>
      <c r="H306" s="171" t="s">
        <v>60</v>
      </c>
      <c r="I306" s="171" t="s">
        <v>1982</v>
      </c>
      <c r="J306" s="171" t="s">
        <v>356</v>
      </c>
      <c r="K306" s="171" t="s">
        <v>740</v>
      </c>
      <c r="L306" s="189"/>
      <c r="M306" s="191"/>
      <c r="N306" s="189"/>
      <c r="O306" s="191"/>
      <c r="P306" s="169"/>
      <c r="Q306" s="188">
        <v>43466</v>
      </c>
      <c r="R306" s="189">
        <v>43453</v>
      </c>
      <c r="S306" s="187">
        <f>YEAR(R306)</f>
        <v>2018</v>
      </c>
      <c r="T306" s="171" t="s">
        <v>382</v>
      </c>
      <c r="U306" s="189">
        <v>43522</v>
      </c>
      <c r="V306" s="189">
        <v>43556</v>
      </c>
      <c r="W306" s="169"/>
      <c r="X306" s="279">
        <f ca="1">IF(Y306="",NETWORKDAYS.INTL(U306,TODAY(),1),0)</f>
        <v>0</v>
      </c>
      <c r="Y306" s="171" t="s">
        <v>57</v>
      </c>
      <c r="Z306" s="171" t="s">
        <v>1983</v>
      </c>
      <c r="AA306" s="189">
        <v>43507</v>
      </c>
      <c r="AB306" s="189">
        <v>43509</v>
      </c>
      <c r="AC306" s="169"/>
      <c r="AD306" s="187">
        <f ca="1">IF(AE306="",NETWORKDAYS.INTL(AA306,TODAY(),1),0)</f>
        <v>0</v>
      </c>
      <c r="AE306" s="171" t="s">
        <v>56</v>
      </c>
      <c r="AF306" s="189"/>
      <c r="AG306" s="169"/>
      <c r="AH306" s="189"/>
      <c r="AI306" s="189"/>
      <c r="AJ306" s="169"/>
      <c r="AK306" s="169">
        <f ca="1">IF(AL306="",NETWORKDAYS.INTL(AH306,TODAY(),1),0)</f>
        <v>33055</v>
      </c>
      <c r="AL306" s="169"/>
      <c r="AM306" s="169"/>
      <c r="AN306" s="189"/>
      <c r="AO306" s="189"/>
      <c r="AP306" s="169"/>
      <c r="AQ306" s="283">
        <f ca="1">IF(AR306="",NETWORKDAYS.INTL(AN306,TODAY(),1),0)</f>
        <v>33055</v>
      </c>
      <c r="AR306" s="280"/>
      <c r="AS306" s="171"/>
      <c r="AT306" s="187"/>
      <c r="AU306" s="169"/>
      <c r="AV306" s="169"/>
      <c r="AW306" s="169"/>
      <c r="AX306" s="169"/>
      <c r="AY306" s="169"/>
      <c r="AZ306" s="169"/>
      <c r="BA306" s="169"/>
      <c r="BB306" s="169"/>
      <c r="BC306" s="169"/>
      <c r="BD306" s="194" t="str">
        <f t="shared" si="88"/>
        <v/>
      </c>
      <c r="BE306" s="194" t="str">
        <f t="shared" si="89"/>
        <v/>
      </c>
      <c r="BF306" s="194" t="str">
        <f t="shared" si="90"/>
        <v/>
      </c>
      <c r="BG306" s="233" t="str">
        <f t="shared" si="91"/>
        <v/>
      </c>
      <c r="BH306" s="233" t="str">
        <f t="shared" si="92"/>
        <v/>
      </c>
      <c r="BI306" s="169"/>
    </row>
    <row r="307" spans="1:61" s="95" customFormat="1" ht="120">
      <c r="A307" s="21">
        <v>20182195002</v>
      </c>
      <c r="B307" s="19" t="str">
        <f>VLOOKUP(A307,'ESTADOS ESTUDIANTES'!B:L,2,0)</f>
        <v>BARRETO SÁNCHEZ FABIAN DAVID</v>
      </c>
      <c r="C307" s="19">
        <f>VLOOKUP(A307,'ESTADOS ESTUDIANTES'!B:L,11,0)</f>
        <v>1118559031</v>
      </c>
      <c r="D307" s="23">
        <f>VLOOKUP(A307,'ESTADOS ESTUDIANTES'!B:L,3,0)</f>
        <v>195</v>
      </c>
      <c r="E307" s="19" t="str">
        <f>VLOOKUP(A307,'ESTADOS ESTUDIANTES'!B:L,8,0)</f>
        <v>fdbarretos@correo.udistrital.edu.co</v>
      </c>
      <c r="F307" s="19" t="str">
        <f>VLOOKUP(A307,'ESTADOS ESTUDIANTES'!B:L,9,0)</f>
        <v>fabibeto11@hotmail.com</v>
      </c>
      <c r="G307" s="19" t="str">
        <f>VLOOKUP(A307,'ESTADOS ESTUDIANTES'!B:L,5,0)</f>
        <v>E</v>
      </c>
      <c r="H307" s="18" t="s">
        <v>60</v>
      </c>
      <c r="I307" s="18" t="s">
        <v>1984</v>
      </c>
      <c r="J307" s="18" t="s">
        <v>303</v>
      </c>
      <c r="K307" s="18" t="s">
        <v>1160</v>
      </c>
      <c r="L307" s="96"/>
      <c r="M307" s="97"/>
      <c r="N307" s="96">
        <v>43809</v>
      </c>
      <c r="O307" s="97">
        <v>85.22</v>
      </c>
      <c r="P307" s="98" t="s">
        <v>79</v>
      </c>
      <c r="Q307" s="18" t="s">
        <v>1882</v>
      </c>
      <c r="R307" s="96"/>
      <c r="S307" s="21">
        <v>1899</v>
      </c>
      <c r="T307" s="18" t="s">
        <v>1049</v>
      </c>
      <c r="U307" s="96">
        <v>43607</v>
      </c>
      <c r="V307" s="96">
        <v>43620</v>
      </c>
      <c r="W307" s="23"/>
      <c r="X307" s="91">
        <f ca="1">IF(U307="",NETWORKDAYS.INTL(Y307,TODAY(),1),0)</f>
        <v>0</v>
      </c>
      <c r="Y307" s="18" t="s">
        <v>43</v>
      </c>
      <c r="Z307" s="18" t="s">
        <v>786</v>
      </c>
      <c r="AA307" s="96">
        <v>43507</v>
      </c>
      <c r="AB307" s="96">
        <v>43515</v>
      </c>
      <c r="AC307" s="18" t="s">
        <v>1985</v>
      </c>
      <c r="AD307" s="21">
        <f ca="1">IF(AA307="",NETWORKDAYS.INTL(AE307,TODAY(),1),0)</f>
        <v>0</v>
      </c>
      <c r="AE307" s="18" t="s">
        <v>43</v>
      </c>
      <c r="AF307" s="96">
        <v>44494</v>
      </c>
      <c r="AG307" s="18" t="s">
        <v>1986</v>
      </c>
      <c r="AH307" s="96">
        <v>44497</v>
      </c>
      <c r="AI307" s="96">
        <v>44518</v>
      </c>
      <c r="AJ307" s="23"/>
      <c r="AK307" s="23">
        <f ca="1">IF(AH307="",NETWORKDAYS.INTL(AL307,TODAY(),1),0)</f>
        <v>0</v>
      </c>
      <c r="AL307" s="18" t="s">
        <v>42</v>
      </c>
      <c r="AM307" s="18" t="s">
        <v>1987</v>
      </c>
      <c r="AN307" s="96">
        <v>44497</v>
      </c>
      <c r="AO307" s="96">
        <v>44526</v>
      </c>
      <c r="AP307" s="23"/>
      <c r="AQ307" s="161">
        <f ca="1">IF(AN307="",NETWORKDAYS.INTL(AR307,TODAY(),1),0)</f>
        <v>0</v>
      </c>
      <c r="AR307" s="164" t="s">
        <v>42</v>
      </c>
      <c r="AS307" s="18" t="s">
        <v>1988</v>
      </c>
      <c r="AT307" s="21">
        <v>50</v>
      </c>
      <c r="AU307" s="18" t="s">
        <v>69</v>
      </c>
      <c r="AV307" s="124">
        <v>44532</v>
      </c>
      <c r="AW307" s="23"/>
      <c r="AX307" s="23"/>
      <c r="AY307" s="18" t="s">
        <v>1989</v>
      </c>
      <c r="AZ307" s="19">
        <v>44242</v>
      </c>
      <c r="BA307" s="19"/>
      <c r="BB307" s="23"/>
      <c r="BC307" s="18" t="s">
        <v>240</v>
      </c>
      <c r="BD307" s="100" t="str">
        <f t="shared" si="88"/>
        <v/>
      </c>
      <c r="BE307" s="100" t="str">
        <f t="shared" si="89"/>
        <v/>
      </c>
      <c r="BF307" s="100" t="str">
        <f t="shared" si="90"/>
        <v/>
      </c>
      <c r="BG307" s="100" t="str">
        <f t="shared" si="91"/>
        <v/>
      </c>
      <c r="BH307" s="100" t="str">
        <f t="shared" si="92"/>
        <v/>
      </c>
      <c r="BI307" s="23"/>
    </row>
    <row r="308" spans="1:61" s="281" customFormat="1" ht="75">
      <c r="A308" s="187">
        <v>20182195003</v>
      </c>
      <c r="B308" s="188" t="str">
        <f>VLOOKUP(A308,'ESTADOS ESTUDIANTES'!B:L,2,0)</f>
        <v>MILLAN ORDUZ DAVID ANTONIO</v>
      </c>
      <c r="C308" s="188">
        <f>VLOOKUP(A308,'ESTADOS ESTUDIANTES'!B:L,11,0)</f>
        <v>1032458403</v>
      </c>
      <c r="D308" s="169">
        <f>VLOOKUP(A308,'ESTADOS ESTUDIANTES'!B:L,3,0)</f>
        <v>195</v>
      </c>
      <c r="E308" s="188" t="str">
        <f>VLOOKUP(A308,'ESTADOS ESTUDIANTES'!B:L,8,0)</f>
        <v>damillano@udistrital.edu.co</v>
      </c>
      <c r="F308" s="188" t="str">
        <f>VLOOKUP(A308,'ESTADOS ESTUDIANTES'!B:L,9,0)</f>
        <v>damillano93@gmail.com</v>
      </c>
      <c r="G308" s="188" t="str">
        <f>VLOOKUP(A308,'ESTADOS ESTUDIANTES'!B:L,5,0)</f>
        <v>X</v>
      </c>
      <c r="H308" s="171" t="s">
        <v>60</v>
      </c>
      <c r="I308" s="171" t="s">
        <v>1990</v>
      </c>
      <c r="J308" s="171" t="s">
        <v>303</v>
      </c>
      <c r="K308" s="169"/>
      <c r="L308" s="189">
        <v>43964</v>
      </c>
      <c r="M308" s="191">
        <v>53.04</v>
      </c>
      <c r="N308" s="189">
        <v>45323</v>
      </c>
      <c r="O308" s="191">
        <v>93</v>
      </c>
      <c r="P308" s="171" t="s">
        <v>79</v>
      </c>
      <c r="Q308" s="171" t="s">
        <v>1882</v>
      </c>
      <c r="R308" s="189">
        <v>43445</v>
      </c>
      <c r="S308" s="187">
        <f>YEAR(R308)</f>
        <v>2018</v>
      </c>
      <c r="T308" s="171" t="s">
        <v>369</v>
      </c>
      <c r="U308" s="189">
        <v>43489</v>
      </c>
      <c r="V308" s="189">
        <v>43515</v>
      </c>
      <c r="W308" s="169"/>
      <c r="X308" s="279">
        <f ca="1">IF(Y308="",NETWORKDAYS.INTL(U308,TODAY(),1),0)</f>
        <v>0</v>
      </c>
      <c r="Y308" s="171" t="s">
        <v>43</v>
      </c>
      <c r="Z308" s="171" t="s">
        <v>1991</v>
      </c>
      <c r="AA308" s="189">
        <v>43665</v>
      </c>
      <c r="AB308" s="189">
        <v>43677</v>
      </c>
      <c r="AC308" s="171" t="s">
        <v>1992</v>
      </c>
      <c r="AD308" s="187">
        <f ca="1">IF(AE308="",NETWORKDAYS.INTL(AA308,TODAY(),1),0)</f>
        <v>0</v>
      </c>
      <c r="AE308" s="171" t="s">
        <v>43</v>
      </c>
      <c r="AF308" s="189"/>
      <c r="AG308" s="169"/>
      <c r="AH308" s="189"/>
      <c r="AI308" s="189"/>
      <c r="AJ308" s="169"/>
      <c r="AK308" s="169">
        <f ca="1">IF(AL308="",NETWORKDAYS.INTL(AH308,TODAY(),1),0)</f>
        <v>33055</v>
      </c>
      <c r="AL308" s="169"/>
      <c r="AM308" s="169"/>
      <c r="AN308" s="189"/>
      <c r="AO308" s="189"/>
      <c r="AP308" s="169"/>
      <c r="AQ308" s="283">
        <f ca="1">IF(AR308="",NETWORKDAYS.INTL(AN308,TODAY(),1),0)</f>
        <v>33055</v>
      </c>
      <c r="AR308" s="280"/>
      <c r="AS308" s="171"/>
      <c r="AT308" s="187"/>
      <c r="AU308" s="169"/>
      <c r="AV308" s="169"/>
      <c r="AW308" s="169"/>
      <c r="AX308" s="169"/>
      <c r="AY308" s="169"/>
      <c r="AZ308" s="169"/>
      <c r="BA308" s="169"/>
      <c r="BB308" s="169"/>
      <c r="BC308" s="169"/>
      <c r="BD308" s="194" t="str">
        <f t="shared" si="88"/>
        <v/>
      </c>
      <c r="BE308" s="194" t="str">
        <f t="shared" si="89"/>
        <v/>
      </c>
      <c r="BF308" s="194" t="str">
        <f t="shared" si="90"/>
        <v/>
      </c>
      <c r="BG308" s="233" t="str">
        <f t="shared" si="91"/>
        <v/>
      </c>
      <c r="BH308" s="233" t="str">
        <f t="shared" si="92"/>
        <v/>
      </c>
      <c r="BI308" s="169"/>
    </row>
    <row r="309" spans="1:61" s="95" customFormat="1">
      <c r="A309" s="101">
        <v>20182395001</v>
      </c>
      <c r="B309" s="19" t="str">
        <f>VLOOKUP(A309,'ESTADOS ESTUDIANTES'!B:L,2,0)</f>
        <v>AYALA RICO JAIRO ALEJANDRO</v>
      </c>
      <c r="C309" s="102">
        <f>VLOOKUP(A309,'ESTADOS ESTUDIANTES'!B:L,11,0)</f>
        <v>1020782617</v>
      </c>
      <c r="D309" s="23">
        <f>VLOOKUP(A309,'ESTADOS ESTUDIANTES'!B:L,3,0)</f>
        <v>395</v>
      </c>
      <c r="E309" s="102" t="str">
        <f>VLOOKUP(A309,'ESTADOS ESTUDIANTES'!B:L,8,0)</f>
        <v>jaayalar@udistrital.edu.co</v>
      </c>
      <c r="F309" s="102" t="str">
        <f>VLOOKUP(A309,'ESTADOS ESTUDIANTES'!B:L,9,0)</f>
        <v>jaayalar@hotmail.com</v>
      </c>
      <c r="G309" s="19" t="str">
        <f>VLOOKUP(A309,'ESTADOS ESTUDIANTES'!B:L,5,0)</f>
        <v>N</v>
      </c>
      <c r="H309" s="103"/>
      <c r="I309" s="103"/>
      <c r="J309" s="103"/>
      <c r="K309" s="103"/>
      <c r="L309" s="105"/>
      <c r="M309" s="106"/>
      <c r="N309" s="105"/>
      <c r="O309" s="106"/>
      <c r="P309" s="107"/>
      <c r="Q309" s="100"/>
      <c r="R309" s="105"/>
      <c r="S309" s="103"/>
      <c r="T309" s="103"/>
      <c r="U309" s="105"/>
      <c r="V309" s="105"/>
      <c r="W309" s="103"/>
      <c r="X309" s="91">
        <f ca="1">IF(U309="",NETWORKDAYS.INTL(Y309,TODAY(),1),0)</f>
        <v>33055</v>
      </c>
      <c r="Y309" s="99"/>
      <c r="Z309" s="103"/>
      <c r="AA309" s="105"/>
      <c r="AB309" s="105"/>
      <c r="AC309" s="103"/>
      <c r="AD309" s="21">
        <f ca="1">IF(AA309="",NETWORKDAYS.INTL(AE309,TODAY(),1),0)</f>
        <v>33055</v>
      </c>
      <c r="AE309" s="99"/>
      <c r="AF309" s="105"/>
      <c r="AG309" s="103"/>
      <c r="AH309" s="105"/>
      <c r="AI309" s="105"/>
      <c r="AJ309" s="103"/>
      <c r="AK309" s="23">
        <f ca="1">IF(AH309="",NETWORKDAYS.INTL(AL309,TODAY(),1),0)</f>
        <v>33055</v>
      </c>
      <c r="AL309" s="103"/>
      <c r="AM309" s="103"/>
      <c r="AN309" s="105"/>
      <c r="AO309" s="105"/>
      <c r="AP309" s="103"/>
      <c r="AQ309" s="161">
        <f ca="1">IF(AN309="",NETWORKDAYS.INTL(AR309,TODAY(),1),0)</f>
        <v>33055</v>
      </c>
      <c r="AR309" s="163"/>
      <c r="AS309" s="101"/>
      <c r="AT309" s="101"/>
      <c r="AU309" s="103"/>
      <c r="AV309" s="103"/>
      <c r="AW309" s="103"/>
      <c r="AX309" s="103"/>
      <c r="AY309" s="103"/>
      <c r="AZ309" s="103"/>
      <c r="BA309" s="103"/>
      <c r="BB309" s="103"/>
      <c r="BC309" s="103"/>
      <c r="BD309" s="100" t="str">
        <f t="shared" si="88"/>
        <v/>
      </c>
      <c r="BE309" s="100" t="str">
        <f t="shared" si="89"/>
        <v/>
      </c>
      <c r="BF309" s="100" t="str">
        <f t="shared" si="90"/>
        <v/>
      </c>
      <c r="BG309" s="100" t="str">
        <f t="shared" si="91"/>
        <v/>
      </c>
      <c r="BH309" s="100" t="str">
        <f t="shared" si="92"/>
        <v/>
      </c>
      <c r="BI309" s="103"/>
    </row>
    <row r="310" spans="1:61" s="95" customFormat="1" ht="30">
      <c r="A310" s="101">
        <v>20182395002</v>
      </c>
      <c r="B310" s="19" t="str">
        <f>VLOOKUP(A310,'ESTADOS ESTUDIANTES'!B:L,2,0)</f>
        <v>BOCANEGRA PATAQUIVA DIANA ALEJANDRA</v>
      </c>
      <c r="C310" s="102">
        <f>VLOOKUP(A310,'ESTADOS ESTUDIANTES'!B:L,11,0)</f>
        <v>1012411066</v>
      </c>
      <c r="D310" s="23">
        <f>VLOOKUP(A310,'ESTADOS ESTUDIANTES'!B:L,3,0)</f>
        <v>395</v>
      </c>
      <c r="E310" s="102" t="str">
        <f>VLOOKUP(A310,'ESTADOS ESTUDIANTES'!B:L,8,0)</f>
        <v>dabocanegrap@correo.udistrital.edu.co</v>
      </c>
      <c r="F310" s="102" t="str">
        <f>VLOOKUP(A310,'ESTADOS ESTUDIANTES'!B:L,9,0)</f>
        <v>diana02aleja@hotmail.com</v>
      </c>
      <c r="G310" s="19" t="str">
        <f>VLOOKUP(A310,'ESTADOS ESTUDIANTES'!B:L,5,0)</f>
        <v>N</v>
      </c>
      <c r="H310" s="103"/>
      <c r="I310" s="103"/>
      <c r="J310" s="103"/>
      <c r="K310" s="103"/>
      <c r="L310" s="105"/>
      <c r="M310" s="106"/>
      <c r="N310" s="105"/>
      <c r="O310" s="106"/>
      <c r="P310" s="107"/>
      <c r="Q310" s="100"/>
      <c r="R310" s="105"/>
      <c r="S310" s="103"/>
      <c r="T310" s="103"/>
      <c r="U310" s="105"/>
      <c r="V310" s="105"/>
      <c r="W310" s="103"/>
      <c r="X310" s="91">
        <f ca="1">IF(U310="",NETWORKDAYS.INTL(Y310,TODAY(),1),0)</f>
        <v>33055</v>
      </c>
      <c r="Y310" s="99"/>
      <c r="Z310" s="103"/>
      <c r="AA310" s="105"/>
      <c r="AB310" s="105"/>
      <c r="AC310" s="103"/>
      <c r="AD310" s="21">
        <f ca="1">IF(AA310="",NETWORKDAYS.INTL(AE310,TODAY(),1),0)</f>
        <v>33055</v>
      </c>
      <c r="AE310" s="99"/>
      <c r="AF310" s="105"/>
      <c r="AG310" s="103"/>
      <c r="AH310" s="105"/>
      <c r="AI310" s="105"/>
      <c r="AJ310" s="103"/>
      <c r="AK310" s="23">
        <f ca="1">IF(AH310="",NETWORKDAYS.INTL(AL310,TODAY(),1),0)</f>
        <v>33055</v>
      </c>
      <c r="AL310" s="103"/>
      <c r="AM310" s="103"/>
      <c r="AN310" s="105"/>
      <c r="AO310" s="105"/>
      <c r="AP310" s="103"/>
      <c r="AQ310" s="161">
        <f ca="1">IF(AN310="",NETWORKDAYS.INTL(AR310,TODAY(),1),0)</f>
        <v>33055</v>
      </c>
      <c r="AR310" s="163"/>
      <c r="AS310" s="101"/>
      <c r="AT310" s="101"/>
      <c r="AU310" s="103"/>
      <c r="AV310" s="103"/>
      <c r="AW310" s="103"/>
      <c r="AX310" s="103"/>
      <c r="AY310" s="103"/>
      <c r="AZ310" s="103"/>
      <c r="BA310" s="103"/>
      <c r="BB310" s="103"/>
      <c r="BC310" s="103"/>
      <c r="BD310" s="100" t="str">
        <f t="shared" si="88"/>
        <v/>
      </c>
      <c r="BE310" s="100" t="str">
        <f t="shared" si="89"/>
        <v/>
      </c>
      <c r="BF310" s="100" t="str">
        <f t="shared" si="90"/>
        <v/>
      </c>
      <c r="BG310" s="100" t="str">
        <f t="shared" si="91"/>
        <v/>
      </c>
      <c r="BH310" s="100" t="str">
        <f t="shared" si="92"/>
        <v/>
      </c>
      <c r="BI310" s="103"/>
    </row>
    <row r="311" spans="1:61" s="95" customFormat="1" ht="30">
      <c r="A311" s="101">
        <v>20182395004</v>
      </c>
      <c r="B311" s="19" t="str">
        <f>VLOOKUP(A311,'ESTADOS ESTUDIANTES'!B:L,2,0)</f>
        <v>DUQUE GIRALDO ALEJANDRO</v>
      </c>
      <c r="C311" s="102">
        <f>VLOOKUP(A311,'ESTADOS ESTUDIANTES'!B:L,11,0)</f>
        <v>1094939426</v>
      </c>
      <c r="D311" s="23">
        <f>VLOOKUP(A311,'ESTADOS ESTUDIANTES'!B:L,3,0)</f>
        <v>395</v>
      </c>
      <c r="E311" s="102" t="str">
        <f>VLOOKUP(A311,'ESTADOS ESTUDIANTES'!B:L,8,0)</f>
        <v>aduqueg@correo.udistrital.edu.co</v>
      </c>
      <c r="F311" s="102" t="str">
        <f>VLOOKUP(A311,'ESTADOS ESTUDIANTES'!B:L,9,0)</f>
        <v>duque_694@hotmail.com</v>
      </c>
      <c r="G311" s="19" t="str">
        <f>VLOOKUP(A311,'ESTADOS ESTUDIANTES'!B:L,5,0)</f>
        <v>X</v>
      </c>
      <c r="H311" s="103"/>
      <c r="I311" s="100" t="s">
        <v>1993</v>
      </c>
      <c r="J311" s="100" t="s">
        <v>303</v>
      </c>
      <c r="K311" s="103"/>
      <c r="L311" s="105"/>
      <c r="M311" s="106"/>
      <c r="N311" s="105"/>
      <c r="O311" s="106"/>
      <c r="P311" s="107"/>
      <c r="Q311" s="102">
        <v>43466</v>
      </c>
      <c r="R311" s="105"/>
      <c r="S311" s="101">
        <v>2019</v>
      </c>
      <c r="T311" s="100" t="s">
        <v>1310</v>
      </c>
      <c r="U311" s="105">
        <v>43510</v>
      </c>
      <c r="V311" s="105">
        <v>43536</v>
      </c>
      <c r="W311" s="103"/>
      <c r="X311" s="91">
        <f ca="1">IF(U311="",NETWORKDAYS.INTL(Y311,TODAY(),1),0)</f>
        <v>0</v>
      </c>
      <c r="Y311" s="114" t="s">
        <v>43</v>
      </c>
      <c r="Z311" s="100" t="s">
        <v>1994</v>
      </c>
      <c r="AA311" s="105">
        <v>43508</v>
      </c>
      <c r="AB311" s="105">
        <v>43515</v>
      </c>
      <c r="AC311" s="103"/>
      <c r="AD311" s="21">
        <f ca="1">IF(AA311="",NETWORKDAYS.INTL(AE311,TODAY(),1),0)</f>
        <v>0</v>
      </c>
      <c r="AE311" s="114" t="s">
        <v>56</v>
      </c>
      <c r="AF311" s="105"/>
      <c r="AG311" s="103"/>
      <c r="AH311" s="105"/>
      <c r="AI311" s="105"/>
      <c r="AJ311" s="103"/>
      <c r="AK311" s="23">
        <f ca="1">IF(AH311="",NETWORKDAYS.INTL(AL311,TODAY(),1),0)</f>
        <v>33055</v>
      </c>
      <c r="AL311" s="103"/>
      <c r="AM311" s="103"/>
      <c r="AN311" s="105"/>
      <c r="AO311" s="105"/>
      <c r="AP311" s="103"/>
      <c r="AQ311" s="161">
        <f ca="1">IF(AN311="",NETWORKDAYS.INTL(AR311,TODAY(),1),0)</f>
        <v>33055</v>
      </c>
      <c r="AR311" s="163"/>
      <c r="AS311" s="101"/>
      <c r="AT311" s="101"/>
      <c r="AU311" s="103"/>
      <c r="AV311" s="103"/>
      <c r="AW311" s="103"/>
      <c r="AX311" s="103"/>
      <c r="AY311" s="103"/>
      <c r="AZ311" s="103"/>
      <c r="BA311" s="103"/>
      <c r="BB311" s="103"/>
      <c r="BC311" s="103"/>
      <c r="BD311" s="100" t="str">
        <f t="shared" si="88"/>
        <v/>
      </c>
      <c r="BE311" s="100" t="str">
        <f t="shared" si="89"/>
        <v/>
      </c>
      <c r="BF311" s="100" t="str">
        <f t="shared" si="90"/>
        <v/>
      </c>
      <c r="BG311" s="100" t="str">
        <f t="shared" si="91"/>
        <v/>
      </c>
      <c r="BH311" s="100" t="str">
        <f t="shared" si="92"/>
        <v/>
      </c>
      <c r="BI311" s="103"/>
    </row>
    <row r="312" spans="1:61" s="281" customFormat="1" ht="45">
      <c r="A312" s="187">
        <v>20182395005</v>
      </c>
      <c r="B312" s="188" t="str">
        <f>VLOOKUP(A312,'ESTADOS ESTUDIANTES'!B:L,2,0)</f>
        <v>GALINDO AMBUILA JHON ALEXANDER</v>
      </c>
      <c r="C312" s="188">
        <f>VLOOKUP(A312,'ESTADOS ESTUDIANTES'!B:L,11,0)</f>
        <v>1010208668</v>
      </c>
      <c r="D312" s="169">
        <f>VLOOKUP(A312,'ESTADOS ESTUDIANTES'!B:L,3,0)</f>
        <v>395</v>
      </c>
      <c r="E312" s="188" t="str">
        <f>VLOOKUP(A312,'ESTADOS ESTUDIANTES'!B:L,8,0)</f>
        <v>jagalindoa@udistrital.edu.co</v>
      </c>
      <c r="F312" s="188" t="str">
        <f>VLOOKUP(A312,'ESTADOS ESTUDIANTES'!B:L,9,0)</f>
        <v>jagalindoa@correo.udistrital.edu.co</v>
      </c>
      <c r="G312" s="188" t="str">
        <f>VLOOKUP(A312,'ESTADOS ESTUDIANTES'!B:L,5,0)</f>
        <v>E</v>
      </c>
      <c r="H312" s="171" t="s">
        <v>60</v>
      </c>
      <c r="I312" s="171" t="s">
        <v>1995</v>
      </c>
      <c r="J312" s="171" t="s">
        <v>344</v>
      </c>
      <c r="K312" s="169"/>
      <c r="L312" s="189"/>
      <c r="M312" s="191"/>
      <c r="N312" s="189"/>
      <c r="O312" s="191"/>
      <c r="P312" s="169"/>
      <c r="Q312" s="171" t="s">
        <v>1882</v>
      </c>
      <c r="R312" s="189">
        <v>43445</v>
      </c>
      <c r="S312" s="187">
        <v>2018</v>
      </c>
      <c r="T312" s="171" t="s">
        <v>310</v>
      </c>
      <c r="U312" s="189">
        <v>43662</v>
      </c>
      <c r="V312" s="189">
        <v>43664</v>
      </c>
      <c r="W312" s="171" t="s">
        <v>1996</v>
      </c>
      <c r="X312" s="279">
        <f ca="1">IF(Y312="",NETWORKDAYS.INTL(U312,TODAY(),1),0)</f>
        <v>0</v>
      </c>
      <c r="Y312" s="282" t="s">
        <v>43</v>
      </c>
      <c r="Z312" s="171" t="s">
        <v>1991</v>
      </c>
      <c r="AA312" s="189">
        <v>43665</v>
      </c>
      <c r="AB312" s="189">
        <v>43675</v>
      </c>
      <c r="AC312" s="171" t="s">
        <v>1997</v>
      </c>
      <c r="AD312" s="187">
        <f ca="1">IF(AE312="",NETWORKDAYS.INTL(AA312,TODAY(),1),0)</f>
        <v>0</v>
      </c>
      <c r="AE312" s="282" t="s">
        <v>43</v>
      </c>
      <c r="AF312" s="189"/>
      <c r="AG312" s="169"/>
      <c r="AH312" s="189"/>
      <c r="AI312" s="189"/>
      <c r="AJ312" s="169"/>
      <c r="AK312" s="169">
        <f ca="1">IF(AL312="",NETWORKDAYS.INTL(AH312,TODAY(),1),0)</f>
        <v>33055</v>
      </c>
      <c r="AL312" s="169"/>
      <c r="AM312" s="169"/>
      <c r="AN312" s="189"/>
      <c r="AO312" s="189"/>
      <c r="AP312" s="169"/>
      <c r="AQ312" s="283">
        <f ca="1">IF(AR312="",NETWORKDAYS.INTL(AN312,TODAY(),1),0)</f>
        <v>33055</v>
      </c>
      <c r="AR312" s="280"/>
      <c r="AS312" s="171"/>
      <c r="AT312" s="187"/>
      <c r="AU312" s="169"/>
      <c r="AV312" s="169"/>
      <c r="AW312" s="169"/>
      <c r="AX312" s="169"/>
      <c r="AY312" s="169"/>
      <c r="AZ312" s="169"/>
      <c r="BA312" s="169"/>
      <c r="BB312" s="169"/>
      <c r="BC312" s="169"/>
      <c r="BD312" s="194" t="str">
        <f t="shared" si="88"/>
        <v/>
      </c>
      <c r="BE312" s="194" t="str">
        <f t="shared" si="89"/>
        <v/>
      </c>
      <c r="BF312" s="194" t="str">
        <f t="shared" si="90"/>
        <v/>
      </c>
      <c r="BG312" s="233" t="str">
        <f t="shared" si="91"/>
        <v/>
      </c>
      <c r="BH312" s="233" t="str">
        <f t="shared" si="92"/>
        <v/>
      </c>
      <c r="BI312" s="169"/>
    </row>
    <row r="313" spans="1:61" s="207" customFormat="1" ht="75">
      <c r="A313" s="21">
        <v>20182395006</v>
      </c>
      <c r="B313" s="19" t="str">
        <f>VLOOKUP(A313,'ESTADOS ESTUDIANTES'!B:L,2,0)</f>
        <v>GONZALEZ BUITRAGO GABRIEL HERNAN</v>
      </c>
      <c r="C313" s="19">
        <f>VLOOKUP(A313,'ESTADOS ESTUDIANTES'!B:L,11,0)</f>
        <v>1016083013</v>
      </c>
      <c r="D313" s="23">
        <f>VLOOKUP(A313,'ESTADOS ESTUDIANTES'!B:L,3,0)</f>
        <v>395</v>
      </c>
      <c r="E313" s="19" t="str">
        <f>VLOOKUP(A313,'ESTADOS ESTUDIANTES'!B:L,8,0)</f>
        <v>ghgonzalezb@correo.udistrital.edu.co</v>
      </c>
      <c r="F313" s="19" t="str">
        <f>VLOOKUP(A313,'ESTADOS ESTUDIANTES'!B:L,9,0)</f>
        <v>ghgonzalezb@correo.udistrital.edu.co</v>
      </c>
      <c r="G313" s="19" t="str">
        <f>VLOOKUP(A313,'ESTADOS ESTUDIANTES'!B:L,5,0)</f>
        <v>E</v>
      </c>
      <c r="H313" s="18" t="s">
        <v>60</v>
      </c>
      <c r="I313" s="125" t="s">
        <v>1998</v>
      </c>
      <c r="J313" s="18" t="s">
        <v>402</v>
      </c>
      <c r="K313" s="23"/>
      <c r="L313" s="96">
        <v>43964</v>
      </c>
      <c r="M313" s="97">
        <v>93.91</v>
      </c>
      <c r="N313" s="96">
        <v>44701</v>
      </c>
      <c r="O313" s="97">
        <v>151</v>
      </c>
      <c r="P313" s="98" t="s">
        <v>68</v>
      </c>
      <c r="Q313" s="18" t="s">
        <v>1882</v>
      </c>
      <c r="R313" s="96">
        <v>43430</v>
      </c>
      <c r="S313" s="19">
        <v>2018</v>
      </c>
      <c r="T313" s="18" t="s">
        <v>270</v>
      </c>
      <c r="U313" s="96">
        <v>43494</v>
      </c>
      <c r="V313" s="96">
        <v>43521</v>
      </c>
      <c r="W313" s="23"/>
      <c r="X313" s="91">
        <f ca="1">IF(U313="",NETWORKDAYS.INTL(Y313,TODAY(),1),0)</f>
        <v>0</v>
      </c>
      <c r="Y313" s="114" t="s">
        <v>43</v>
      </c>
      <c r="Z313" s="18" t="s">
        <v>1635</v>
      </c>
      <c r="AA313" s="96">
        <v>43599</v>
      </c>
      <c r="AB313" s="96">
        <v>43623</v>
      </c>
      <c r="AC313" s="18" t="s">
        <v>1999</v>
      </c>
      <c r="AD313" s="21">
        <f ca="1">IF(AA313="",NETWORKDAYS.INTL(AE313,TODAY(),1),0)</f>
        <v>0</v>
      </c>
      <c r="AE313" s="114" t="s">
        <v>1751</v>
      </c>
      <c r="AF313" s="96">
        <v>44580</v>
      </c>
      <c r="AG313" s="18" t="s">
        <v>270</v>
      </c>
      <c r="AH313" s="96">
        <v>44588</v>
      </c>
      <c r="AI313" s="96">
        <v>44615</v>
      </c>
      <c r="AJ313" s="23"/>
      <c r="AK313" s="23">
        <f ca="1">IF(AH313="",NETWORKDAYS.INTL(AL313,TODAY(),1),0)</f>
        <v>0</v>
      </c>
      <c r="AL313" s="100" t="s">
        <v>42</v>
      </c>
      <c r="AM313" s="18" t="s">
        <v>302</v>
      </c>
      <c r="AN313" s="96">
        <v>44588</v>
      </c>
      <c r="AO313" s="96">
        <v>44616</v>
      </c>
      <c r="AP313" s="19">
        <v>5</v>
      </c>
      <c r="AQ313" s="163">
        <f ca="1">IF(AN313="",NETWORKDAYS.INTL(AR313,TODAY(),1),0)</f>
        <v>0</v>
      </c>
      <c r="AR313" s="162" t="s">
        <v>42</v>
      </c>
      <c r="AS313" s="18"/>
      <c r="AT313" s="126">
        <v>44777</v>
      </c>
      <c r="AU313" s="18" t="s">
        <v>41</v>
      </c>
      <c r="AV313" s="120">
        <v>44644</v>
      </c>
      <c r="AW313" s="23"/>
      <c r="AX313" s="23"/>
      <c r="AY313" s="18" t="s">
        <v>2000</v>
      </c>
      <c r="AZ313" s="124">
        <v>44582</v>
      </c>
      <c r="BA313" s="124"/>
      <c r="BB313" s="18" t="s">
        <v>65</v>
      </c>
      <c r="BC313" s="23"/>
      <c r="BD313" s="100" t="str">
        <f t="shared" si="88"/>
        <v/>
      </c>
      <c r="BE313" s="100" t="str">
        <f t="shared" si="89"/>
        <v/>
      </c>
      <c r="BF313" s="100" t="str">
        <f t="shared" si="90"/>
        <v/>
      </c>
      <c r="BG313" s="100" t="str">
        <f t="shared" si="91"/>
        <v/>
      </c>
      <c r="BH313" s="100" t="str">
        <f t="shared" si="92"/>
        <v/>
      </c>
      <c r="BI313" s="23"/>
    </row>
    <row r="314" spans="1:61" s="95" customFormat="1" ht="135">
      <c r="A314" s="21">
        <v>20182395009</v>
      </c>
      <c r="B314" s="19" t="str">
        <f>VLOOKUP(A314,'ESTADOS ESTUDIANTES'!B:L,2,0)</f>
        <v>MANRIQUE CHACON LAURA MELISSA</v>
      </c>
      <c r="C314" s="19">
        <f>VLOOKUP(A314,'ESTADOS ESTUDIANTES'!B:L,11,0)</f>
        <v>1031159767</v>
      </c>
      <c r="D314" s="23">
        <f>VLOOKUP(A314,'ESTADOS ESTUDIANTES'!B:L,3,0)</f>
        <v>395</v>
      </c>
      <c r="E314" s="19" t="str">
        <f>VLOOKUP(A314,'ESTADOS ESTUDIANTES'!B:L,8,0)</f>
        <v>lmmanriquec@correo.udistrital.edu.co</v>
      </c>
      <c r="F314" s="19" t="str">
        <f>VLOOKUP(A314,'ESTADOS ESTUDIANTES'!B:L,9,0)</f>
        <v>manriquelaura31@gmail.com</v>
      </c>
      <c r="G314" s="19" t="str">
        <f>VLOOKUP(A314,'ESTADOS ESTUDIANTES'!B:L,5,0)</f>
        <v>E</v>
      </c>
      <c r="H314" s="18" t="s">
        <v>60</v>
      </c>
      <c r="I314" s="18" t="s">
        <v>2001</v>
      </c>
      <c r="J314" s="18" t="s">
        <v>229</v>
      </c>
      <c r="K314" s="18" t="s">
        <v>1149</v>
      </c>
      <c r="L314" s="96">
        <v>43964</v>
      </c>
      <c r="M314" s="97">
        <v>89.57</v>
      </c>
      <c r="N314" s="96">
        <v>44701</v>
      </c>
      <c r="O314" s="97">
        <v>126</v>
      </c>
      <c r="P314" s="98" t="s">
        <v>79</v>
      </c>
      <c r="Q314" s="19">
        <v>43466</v>
      </c>
      <c r="R314" s="96">
        <v>43447</v>
      </c>
      <c r="S314" s="21">
        <f>YEAR(R314)</f>
        <v>2018</v>
      </c>
      <c r="T314" s="18" t="s">
        <v>458</v>
      </c>
      <c r="U314" s="96">
        <v>43651</v>
      </c>
      <c r="V314" s="96">
        <v>43675</v>
      </c>
      <c r="W314" s="18" t="s">
        <v>2002</v>
      </c>
      <c r="X314" s="91">
        <f ca="1">IF(U314="",NETWORKDAYS.INTL(Y314,TODAY(),1),0)</f>
        <v>0</v>
      </c>
      <c r="Y314" s="114" t="s">
        <v>43</v>
      </c>
      <c r="Z314" s="18" t="s">
        <v>2003</v>
      </c>
      <c r="AA314" s="96">
        <v>43600</v>
      </c>
      <c r="AB314" s="96">
        <v>43650</v>
      </c>
      <c r="AC314" s="18" t="s">
        <v>2004</v>
      </c>
      <c r="AD314" s="21">
        <f ca="1">IF(AA314="",NETWORKDAYS.INTL(AE314,TODAY(),1),0)</f>
        <v>0</v>
      </c>
      <c r="AE314" s="114" t="s">
        <v>43</v>
      </c>
      <c r="AF314" s="96">
        <v>44678</v>
      </c>
      <c r="AG314" s="18" t="s">
        <v>458</v>
      </c>
      <c r="AH314" s="96">
        <v>44680</v>
      </c>
      <c r="AI314" s="96">
        <v>44712</v>
      </c>
      <c r="AJ314" s="23"/>
      <c r="AK314" s="23">
        <f ca="1">IF(AH314="",NETWORKDAYS.INTL(AL314,TODAY(),1),0)</f>
        <v>0</v>
      </c>
      <c r="AL314" s="18" t="s">
        <v>42</v>
      </c>
      <c r="AM314" s="18" t="s">
        <v>831</v>
      </c>
      <c r="AN314" s="96">
        <v>44683</v>
      </c>
      <c r="AO314" s="96">
        <v>44708</v>
      </c>
      <c r="AP314" s="19">
        <v>1</v>
      </c>
      <c r="AQ314" s="161">
        <f ca="1">IF(AN314="",NETWORKDAYS.INTL(AR314,TODAY(),1),0)</f>
        <v>0</v>
      </c>
      <c r="AR314" s="162" t="s">
        <v>42</v>
      </c>
      <c r="AS314" s="18"/>
      <c r="AT314" s="21"/>
      <c r="AU314" s="23"/>
      <c r="AV314" s="23"/>
      <c r="AW314" s="23"/>
      <c r="AX314" s="23"/>
      <c r="AY314" s="139">
        <v>44835</v>
      </c>
      <c r="AZ314" s="120">
        <v>44678</v>
      </c>
      <c r="BA314" s="120"/>
      <c r="BB314" s="18" t="s">
        <v>65</v>
      </c>
      <c r="BC314" s="23"/>
      <c r="BD314" s="100" t="str">
        <f t="shared" si="88"/>
        <v/>
      </c>
      <c r="BE314" s="100" t="str">
        <f t="shared" si="89"/>
        <v/>
      </c>
      <c r="BF314" s="100" t="str">
        <f t="shared" si="90"/>
        <v/>
      </c>
      <c r="BG314" s="100" t="str">
        <f t="shared" si="91"/>
        <v/>
      </c>
      <c r="BH314" s="100" t="str">
        <f t="shared" si="92"/>
        <v/>
      </c>
      <c r="BI314" s="23"/>
    </row>
    <row r="315" spans="1:61" s="95" customFormat="1" ht="60">
      <c r="A315" s="208">
        <v>20182395010</v>
      </c>
      <c r="B315" s="209" t="str">
        <f>VLOOKUP(A315,'ESTADOS ESTUDIANTES'!B:L,2,0)</f>
        <v>MESA OSPINA ANDRES DAVID</v>
      </c>
      <c r="C315" s="209">
        <f>VLOOKUP(A315,'ESTADOS ESTUDIANTES'!B:L,11,0)</f>
        <v>1032483850</v>
      </c>
      <c r="D315" s="211">
        <f>VLOOKUP(A315,'ESTADOS ESTUDIANTES'!B:L,3,0)</f>
        <v>395</v>
      </c>
      <c r="E315" s="209" t="str">
        <f>VLOOKUP(A315,'ESTADOS ESTUDIANTES'!B:L,8,0)</f>
        <v>andmesao@udistrital.edu.co</v>
      </c>
      <c r="F315" s="209" t="str">
        <f>VLOOKUP(A315,'ESTADOS ESTUDIANTES'!B:L,9,0)</f>
        <v>admesao96@gmail.com</v>
      </c>
      <c r="G315" s="209" t="str">
        <f>VLOOKUP(A315,'ESTADOS ESTUDIANTES'!B:L,5,0)</f>
        <v>E</v>
      </c>
      <c r="H315" s="210" t="s">
        <v>60</v>
      </c>
      <c r="I315" s="210" t="s">
        <v>2005</v>
      </c>
      <c r="J315" s="216" t="s">
        <v>395</v>
      </c>
      <c r="K315" s="211"/>
      <c r="L315" s="212">
        <v>44299</v>
      </c>
      <c r="M315" s="214">
        <v>90.43</v>
      </c>
      <c r="N315" s="86">
        <v>45194</v>
      </c>
      <c r="O315" s="160">
        <v>133</v>
      </c>
      <c r="P315" s="210" t="s">
        <v>79</v>
      </c>
      <c r="Q315" s="210" t="s">
        <v>1882</v>
      </c>
      <c r="R315" s="212">
        <v>43445</v>
      </c>
      <c r="S315" s="208">
        <v>2018</v>
      </c>
      <c r="T315" s="210" t="s">
        <v>402</v>
      </c>
      <c r="U315" s="212">
        <v>43489</v>
      </c>
      <c r="V315" s="212">
        <v>43515</v>
      </c>
      <c r="W315" s="211">
        <v>1</v>
      </c>
      <c r="X315" s="217">
        <f ca="1">IF(Y315="",NETWORKDAYS.INTL(U315,TODAY(),1),0)</f>
        <v>0</v>
      </c>
      <c r="Y315" s="218" t="s">
        <v>43</v>
      </c>
      <c r="Z315" s="210" t="s">
        <v>755</v>
      </c>
      <c r="AA315" s="212">
        <v>43488</v>
      </c>
      <c r="AB315" s="212">
        <v>43502</v>
      </c>
      <c r="AC315" s="211">
        <v>1</v>
      </c>
      <c r="AD315" s="208">
        <f ca="1">IF(AE315="",NETWORKDAYS.INTL(AA315,TODAY(),1),0)</f>
        <v>0</v>
      </c>
      <c r="AE315" s="218" t="s">
        <v>43</v>
      </c>
      <c r="AF315" s="212">
        <v>45017</v>
      </c>
      <c r="AG315" s="210" t="s">
        <v>402</v>
      </c>
      <c r="AH315" s="212">
        <v>45055</v>
      </c>
      <c r="AI315" s="212">
        <v>45079</v>
      </c>
      <c r="AJ315" s="211">
        <v>2</v>
      </c>
      <c r="AK315" s="211">
        <f ca="1">IF(AL315="",NETWORKDAYS.INTL(AH315,TODAY(),1),0)</f>
        <v>0</v>
      </c>
      <c r="AL315" s="210" t="s">
        <v>42</v>
      </c>
      <c r="AM315" s="210" t="s">
        <v>755</v>
      </c>
      <c r="AN315" s="212">
        <v>45055</v>
      </c>
      <c r="AO315" s="212">
        <v>45083</v>
      </c>
      <c r="AP315" s="209">
        <v>2</v>
      </c>
      <c r="AQ315" s="219">
        <f ca="1">IF(AR315="",NETWORKDAYS.INTL(AN315,TODAY(),1),0)</f>
        <v>0</v>
      </c>
      <c r="AR315" s="227" t="s">
        <v>42</v>
      </c>
      <c r="AS315" s="210" t="s">
        <v>776</v>
      </c>
      <c r="AT315" s="208">
        <v>43</v>
      </c>
      <c r="AU315" s="211" t="s">
        <v>41</v>
      </c>
      <c r="AV315" s="226">
        <v>45124</v>
      </c>
      <c r="AW315" s="211"/>
      <c r="AX315" s="211"/>
      <c r="AY315" s="229" t="s">
        <v>2006</v>
      </c>
      <c r="AZ315" s="211"/>
      <c r="BA315" s="211" t="s">
        <v>2007</v>
      </c>
      <c r="BB315" s="211" t="s">
        <v>51</v>
      </c>
      <c r="BC315" s="211"/>
      <c r="BD315" s="216" t="str">
        <f t="shared" si="88"/>
        <v/>
      </c>
      <c r="BE315" s="216" t="str">
        <f t="shared" si="89"/>
        <v/>
      </c>
      <c r="BF315" s="216" t="str">
        <f t="shared" si="90"/>
        <v/>
      </c>
      <c r="BG315" s="216" t="str">
        <f t="shared" si="91"/>
        <v/>
      </c>
      <c r="BH315" s="216" t="str">
        <f t="shared" si="92"/>
        <v/>
      </c>
      <c r="BI315" s="211"/>
    </row>
    <row r="316" spans="1:61" s="222" customFormat="1" ht="45">
      <c r="A316" s="21">
        <v>20182395012</v>
      </c>
      <c r="B316" s="19" t="str">
        <f>VLOOKUP(A316,'ESTADOS ESTUDIANTES'!B:L,2,0)</f>
        <v>PARRA GARZÓN JUAN CARLOS</v>
      </c>
      <c r="C316" s="19">
        <f>VLOOKUP(A316,'ESTADOS ESTUDIANTES'!B:L,11,0)</f>
        <v>79499302</v>
      </c>
      <c r="D316" s="23">
        <f>VLOOKUP(A316,'ESTADOS ESTUDIANTES'!B:L,3,0)</f>
        <v>395</v>
      </c>
      <c r="E316" s="19" t="str">
        <f>VLOOKUP(A316,'ESTADOS ESTUDIANTES'!B:L,8,0)</f>
        <v>jcparrag@udistrital.edu.co</v>
      </c>
      <c r="F316" s="19" t="str">
        <f>VLOOKUP(A316,'ESTADOS ESTUDIANTES'!B:L,9,0)</f>
        <v>Jcparrag2000@gmail.com</v>
      </c>
      <c r="G316" s="19" t="str">
        <f>VLOOKUP(A316,'ESTADOS ESTUDIANTES'!B:L,5,0)</f>
        <v>E</v>
      </c>
      <c r="H316" s="18" t="s">
        <v>46</v>
      </c>
      <c r="I316" s="18" t="s">
        <v>2008</v>
      </c>
      <c r="J316" s="18" t="s">
        <v>458</v>
      </c>
      <c r="K316" s="23"/>
      <c r="L316" s="96"/>
      <c r="M316" s="97"/>
      <c r="N316" s="96">
        <v>44299</v>
      </c>
      <c r="O316" s="97">
        <v>85.22</v>
      </c>
      <c r="P316" s="98" t="s">
        <v>79</v>
      </c>
      <c r="Q316" s="18" t="s">
        <v>1882</v>
      </c>
      <c r="R316" s="96">
        <v>43430</v>
      </c>
      <c r="S316" s="21">
        <v>2018</v>
      </c>
      <c r="T316" s="18" t="s">
        <v>270</v>
      </c>
      <c r="U316" s="96">
        <v>43494</v>
      </c>
      <c r="V316" s="96">
        <v>43521</v>
      </c>
      <c r="W316" s="23"/>
      <c r="X316" s="91">
        <f ca="1">IF(U316="",NETWORKDAYS.INTL(Y316,TODAY(),1),0)</f>
        <v>0</v>
      </c>
      <c r="Y316" s="114" t="s">
        <v>43</v>
      </c>
      <c r="Z316" s="18" t="s">
        <v>2009</v>
      </c>
      <c r="AA316" s="96">
        <v>43494</v>
      </c>
      <c r="AB316" s="96">
        <v>43511</v>
      </c>
      <c r="AC316" s="23"/>
      <c r="AD316" s="21">
        <f ca="1">IF(AA316="",NETWORKDAYS.INTL(AE316,TODAY(),1),0)</f>
        <v>0</v>
      </c>
      <c r="AE316" s="114" t="s">
        <v>43</v>
      </c>
      <c r="AF316" s="96">
        <v>44616</v>
      </c>
      <c r="AG316" s="18" t="s">
        <v>270</v>
      </c>
      <c r="AH316" s="96">
        <v>44616</v>
      </c>
      <c r="AI316" s="96">
        <v>44629</v>
      </c>
      <c r="AJ316" s="23"/>
      <c r="AK316" s="23">
        <f ca="1">IF(AH316="",NETWORKDAYS.INTL(AL316,TODAY(),1),0)</f>
        <v>0</v>
      </c>
      <c r="AL316" s="100" t="s">
        <v>42</v>
      </c>
      <c r="AM316" s="18" t="s">
        <v>517</v>
      </c>
      <c r="AN316" s="96">
        <v>44616</v>
      </c>
      <c r="AO316" s="96">
        <v>44648</v>
      </c>
      <c r="AP316" s="23"/>
      <c r="AQ316" s="161">
        <f ca="1">IF(AN316="",NETWORKDAYS.INTL(AR316,TODAY(),1),0)</f>
        <v>0</v>
      </c>
      <c r="AR316" s="162" t="s">
        <v>42</v>
      </c>
      <c r="AS316" s="18"/>
      <c r="AT316" s="21">
        <v>45</v>
      </c>
      <c r="AU316" s="18" t="s">
        <v>41</v>
      </c>
      <c r="AV316" s="120">
        <v>44658</v>
      </c>
      <c r="AW316" s="23"/>
      <c r="AX316" s="23"/>
      <c r="AY316" s="139">
        <v>44896</v>
      </c>
      <c r="AZ316" s="120">
        <v>44706</v>
      </c>
      <c r="BA316" s="120"/>
      <c r="BB316" s="18" t="s">
        <v>65</v>
      </c>
      <c r="BC316" s="23"/>
      <c r="BD316" s="100" t="str">
        <f t="shared" si="88"/>
        <v/>
      </c>
      <c r="BE316" s="100" t="str">
        <f t="shared" si="89"/>
        <v/>
      </c>
      <c r="BF316" s="100" t="str">
        <f t="shared" si="90"/>
        <v/>
      </c>
      <c r="BG316" s="100" t="str">
        <f t="shared" si="91"/>
        <v/>
      </c>
      <c r="BH316" s="100" t="str">
        <f t="shared" si="92"/>
        <v/>
      </c>
      <c r="BI316" s="23"/>
    </row>
    <row r="317" spans="1:61" s="222" customFormat="1" ht="45">
      <c r="A317" s="21">
        <v>20182495001</v>
      </c>
      <c r="B317" s="19" t="str">
        <f>VLOOKUP(A317,'ESTADOS ESTUDIANTES'!B:L,2,0)</f>
        <v>AMAYA GIRALDO ANGÉLICA MARÍA</v>
      </c>
      <c r="C317" s="23">
        <f>VLOOKUP(A317,'ESTADOS ESTUDIANTES'!B:L,11,0)</f>
        <v>37551404</v>
      </c>
      <c r="D317" s="23">
        <f>VLOOKUP(A317,'ESTADOS ESTUDIANTES'!B:L,3,0)</f>
        <v>495</v>
      </c>
      <c r="E317" s="19" t="str">
        <f>VLOOKUP(A317,'ESTADOS ESTUDIANTES'!B:L,8,0)</f>
        <v>amamayag@correo.udistrital.edu.co</v>
      </c>
      <c r="F317" s="19" t="str">
        <f>VLOOKUP(A317,'ESTADOS ESTUDIANTES'!B:L,9,0)</f>
        <v>angelik.mag@gmail.com</v>
      </c>
      <c r="G317" s="19" t="str">
        <f>VLOOKUP(A317,'ESTADOS ESTUDIANTES'!B:L,5,0)</f>
        <v>X</v>
      </c>
      <c r="H317" s="18" t="s">
        <v>60</v>
      </c>
      <c r="I317" s="18" t="s">
        <v>2010</v>
      </c>
      <c r="J317" s="210" t="s">
        <v>422</v>
      </c>
      <c r="K317" s="23"/>
      <c r="L317" s="96"/>
      <c r="M317" s="97"/>
      <c r="N317" s="96"/>
      <c r="O317" s="97"/>
      <c r="P317" s="110"/>
      <c r="Q317" s="19">
        <v>43497</v>
      </c>
      <c r="R317" s="96"/>
      <c r="S317" s="21">
        <v>1899</v>
      </c>
      <c r="T317" s="18" t="s">
        <v>220</v>
      </c>
      <c r="U317" s="96">
        <v>43812</v>
      </c>
      <c r="V317" s="96">
        <v>43874</v>
      </c>
      <c r="W317" s="18" t="s">
        <v>2011</v>
      </c>
      <c r="X317" s="91">
        <f ca="1">IF(U317="",NETWORKDAYS.INTL(Y317,TODAY(),1),0)</f>
        <v>0</v>
      </c>
      <c r="Y317" s="18" t="s">
        <v>43</v>
      </c>
      <c r="Z317" s="18" t="s">
        <v>2012</v>
      </c>
      <c r="AA317" s="96">
        <v>43528</v>
      </c>
      <c r="AB317" s="96">
        <v>43567</v>
      </c>
      <c r="AC317" s="23"/>
      <c r="AD317" s="21">
        <f ca="1">IF(AA317="",NETWORKDAYS.INTL(AE317,TODAY(),1),0)</f>
        <v>0</v>
      </c>
      <c r="AE317" s="18" t="s">
        <v>43</v>
      </c>
      <c r="AF317" s="96"/>
      <c r="AG317" s="23"/>
      <c r="AH317" s="96"/>
      <c r="AI317" s="96"/>
      <c r="AJ317" s="23"/>
      <c r="AK317" s="23">
        <f ca="1">IF(AH317="",NETWORKDAYS.INTL(AL317,TODAY(),1),0)</f>
        <v>33055</v>
      </c>
      <c r="AL317" s="23"/>
      <c r="AM317" s="23"/>
      <c r="AN317" s="96"/>
      <c r="AO317" s="96"/>
      <c r="AP317" s="23"/>
      <c r="AQ317" s="162">
        <f ca="1">IF(AN317="",NETWORKDAYS.INTL(AR317,TODAY(),1),0)</f>
        <v>33055</v>
      </c>
      <c r="AR317" s="161"/>
      <c r="AS317" s="18"/>
      <c r="AT317" s="21"/>
      <c r="AU317" s="23"/>
      <c r="AV317" s="23"/>
      <c r="AW317" s="23"/>
      <c r="AX317" s="23"/>
      <c r="AY317" s="23"/>
      <c r="AZ317" s="23"/>
      <c r="BA317" s="23"/>
      <c r="BB317" s="23"/>
      <c r="BC317" s="23"/>
      <c r="BD317" s="100" t="str">
        <f t="shared" si="88"/>
        <v/>
      </c>
      <c r="BE317" s="100" t="str">
        <f t="shared" si="89"/>
        <v/>
      </c>
      <c r="BF317" s="100" t="str">
        <f t="shared" si="90"/>
        <v/>
      </c>
      <c r="BG317" s="100" t="str">
        <f t="shared" si="91"/>
        <v/>
      </c>
      <c r="BH317" s="100" t="str">
        <f t="shared" si="92"/>
        <v/>
      </c>
      <c r="BI317" s="23"/>
    </row>
    <row r="318" spans="1:61" s="222" customFormat="1" ht="30">
      <c r="A318" s="101">
        <v>20182495002</v>
      </c>
      <c r="B318" s="19" t="str">
        <f>VLOOKUP(A318,'ESTADOS ESTUDIANTES'!B:L,2,0)</f>
        <v>ANZOLA PAEZ JENNIFFER</v>
      </c>
      <c r="C318" s="103">
        <f>VLOOKUP(A318,'ESTADOS ESTUDIANTES'!B:L,11,0)</f>
        <v>1010180835</v>
      </c>
      <c r="D318" s="23">
        <f>VLOOKUP(A318,'ESTADOS ESTUDIANTES'!B:L,3,0)</f>
        <v>495</v>
      </c>
      <c r="E318" s="102" t="str">
        <f>VLOOKUP(A318,'ESTADOS ESTUDIANTES'!B:L,8,0)</f>
        <v>janzolap@correo.udistrital.edu.co</v>
      </c>
      <c r="F318" s="102" t="str">
        <f>VLOOKUP(A318,'ESTADOS ESTUDIANTES'!B:L,9,0)</f>
        <v>japtheb@gmail.com</v>
      </c>
      <c r="G318" s="19" t="str">
        <f>VLOOKUP(A318,'ESTADOS ESTUDIANTES'!B:L,5,0)</f>
        <v>X</v>
      </c>
      <c r="H318" s="103"/>
      <c r="I318" s="100" t="s">
        <v>2013</v>
      </c>
      <c r="J318" s="100" t="s">
        <v>801</v>
      </c>
      <c r="K318" s="103"/>
      <c r="L318" s="105"/>
      <c r="M318" s="106"/>
      <c r="N318" s="105"/>
      <c r="O318" s="106"/>
      <c r="P318" s="107"/>
      <c r="Q318" s="102">
        <v>43466</v>
      </c>
      <c r="R318" s="105">
        <v>43812</v>
      </c>
      <c r="S318" s="101">
        <v>2018</v>
      </c>
      <c r="T318" s="100" t="s">
        <v>2014</v>
      </c>
      <c r="U318" s="105">
        <v>43515</v>
      </c>
      <c r="V318" s="105">
        <v>43552</v>
      </c>
      <c r="W318" s="103"/>
      <c r="X318" s="91">
        <f ca="1">IF(U318="",NETWORKDAYS.INTL(Y318,TODAY(),1),0)</f>
        <v>0</v>
      </c>
      <c r="Y318" s="114" t="s">
        <v>57</v>
      </c>
      <c r="Z318" s="100" t="s">
        <v>1317</v>
      </c>
      <c r="AA318" s="105">
        <v>43510</v>
      </c>
      <c r="AB318" s="105">
        <v>43551</v>
      </c>
      <c r="AC318" s="103"/>
      <c r="AD318" s="21">
        <f ca="1">IF(AA318="",NETWORKDAYS.INTL(AE318,TODAY(),1),0)</f>
        <v>0</v>
      </c>
      <c r="AE318" s="114" t="s">
        <v>56</v>
      </c>
      <c r="AF318" s="105"/>
      <c r="AG318" s="103"/>
      <c r="AH318" s="105"/>
      <c r="AI318" s="105"/>
      <c r="AJ318" s="103"/>
      <c r="AK318" s="23">
        <f ca="1">IF(AH318="",NETWORKDAYS.INTL(AL318,TODAY(),1),0)</f>
        <v>33055</v>
      </c>
      <c r="AL318" s="103"/>
      <c r="AM318" s="103"/>
      <c r="AN318" s="105"/>
      <c r="AO318" s="105"/>
      <c r="AP318" s="103"/>
      <c r="AQ318" s="161">
        <f ca="1">IF(AN318="",NETWORKDAYS.INTL(AR318,TODAY(),1),0)</f>
        <v>33055</v>
      </c>
      <c r="AR318" s="163"/>
      <c r="AS318" s="101"/>
      <c r="AT318" s="101"/>
      <c r="AU318" s="103"/>
      <c r="AV318" s="103"/>
      <c r="AW318" s="103"/>
      <c r="AX318" s="103"/>
      <c r="AY318" s="103"/>
      <c r="AZ318" s="103"/>
      <c r="BA318" s="103"/>
      <c r="BB318" s="103"/>
      <c r="BC318" s="103"/>
      <c r="BD318" s="100" t="str">
        <f t="shared" si="88"/>
        <v/>
      </c>
      <c r="BE318" s="100" t="str">
        <f t="shared" si="89"/>
        <v/>
      </c>
      <c r="BF318" s="100" t="str">
        <f t="shared" si="90"/>
        <v/>
      </c>
      <c r="BG318" s="100" t="str">
        <f t="shared" si="91"/>
        <v/>
      </c>
      <c r="BH318" s="100" t="str">
        <f t="shared" si="92"/>
        <v/>
      </c>
      <c r="BI318" s="103"/>
    </row>
    <row r="319" spans="1:61" s="281" customFormat="1" ht="90">
      <c r="A319" s="187">
        <v>20182495003</v>
      </c>
      <c r="B319" s="188" t="str">
        <f>VLOOKUP(A319,'ESTADOS ESTUDIANTES'!B:L,2,0)</f>
        <v>AVENDAÑO ABRIL JOHON FREDY</v>
      </c>
      <c r="C319" s="188">
        <f>VLOOKUP(A319,'ESTADOS ESTUDIANTES'!B:L,11,0)</f>
        <v>1030567773</v>
      </c>
      <c r="D319" s="169">
        <f>VLOOKUP(A319,'ESTADOS ESTUDIANTES'!B:L,3,0)</f>
        <v>495</v>
      </c>
      <c r="E319" s="188" t="str">
        <f>VLOOKUP(A319,'ESTADOS ESTUDIANTES'!B:L,8,0)</f>
        <v>jfavendanoa@udistrital.edu.co</v>
      </c>
      <c r="F319" s="188" t="str">
        <f>VLOOKUP(A319,'ESTADOS ESTUDIANTES'!B:L,9,0)</f>
        <v>jhonavendanoabril@gmail.com</v>
      </c>
      <c r="G319" s="188" t="str">
        <f>VLOOKUP(A319,'ESTADOS ESTUDIANTES'!B:L,5,0)</f>
        <v>X</v>
      </c>
      <c r="H319" s="171" t="s">
        <v>60</v>
      </c>
      <c r="I319" s="171" t="s">
        <v>2015</v>
      </c>
      <c r="J319" s="171" t="s">
        <v>422</v>
      </c>
      <c r="K319" s="169"/>
      <c r="L319" s="189"/>
      <c r="M319" s="191"/>
      <c r="N319" s="189"/>
      <c r="O319" s="191"/>
      <c r="P319" s="169"/>
      <c r="Q319" s="188">
        <v>43466</v>
      </c>
      <c r="R319" s="189">
        <v>43446</v>
      </c>
      <c r="S319" s="187">
        <v>2018</v>
      </c>
      <c r="T319" s="171" t="s">
        <v>1461</v>
      </c>
      <c r="U319" s="189">
        <v>43515</v>
      </c>
      <c r="V319" s="189">
        <v>43552</v>
      </c>
      <c r="W319" s="169"/>
      <c r="X319" s="279">
        <f ca="1">IF(Y319="",NETWORKDAYS.INTL(U319,TODAY(),1),0)</f>
        <v>0</v>
      </c>
      <c r="Y319" s="282" t="s">
        <v>43</v>
      </c>
      <c r="Z319" s="171" t="s">
        <v>2016</v>
      </c>
      <c r="AA319" s="189">
        <v>44041</v>
      </c>
      <c r="AB319" s="171" t="s">
        <v>2017</v>
      </c>
      <c r="AC319" s="171" t="s">
        <v>2018</v>
      </c>
      <c r="AD319" s="187">
        <f ca="1">IF(AE319="",NETWORKDAYS.INTL(AA319,TODAY(),1),0)</f>
        <v>0</v>
      </c>
      <c r="AE319" s="282" t="s">
        <v>43</v>
      </c>
      <c r="AF319" s="189"/>
      <c r="AG319" s="169"/>
      <c r="AH319" s="189"/>
      <c r="AI319" s="189"/>
      <c r="AJ319" s="169"/>
      <c r="AK319" s="169">
        <f ca="1">IF(AL319="",NETWORKDAYS.INTL(AH319,TODAY(),1),0)</f>
        <v>33055</v>
      </c>
      <c r="AL319" s="169"/>
      <c r="AM319" s="169"/>
      <c r="AN319" s="189"/>
      <c r="AO319" s="189"/>
      <c r="AP319" s="169"/>
      <c r="AQ319" s="283">
        <f ca="1">IF(AR319="",NETWORKDAYS.INTL(AN319,TODAY(),1),0)</f>
        <v>33055</v>
      </c>
      <c r="AR319" s="280"/>
      <c r="AS319" s="171"/>
      <c r="AT319" s="187"/>
      <c r="AU319" s="169"/>
      <c r="AV319" s="169"/>
      <c r="AW319" s="169"/>
      <c r="AX319" s="169"/>
      <c r="AY319" s="169"/>
      <c r="AZ319" s="169"/>
      <c r="BA319" s="169"/>
      <c r="BB319" s="169"/>
      <c r="BC319" s="169"/>
      <c r="BD319" s="194" t="str">
        <f t="shared" si="88"/>
        <v/>
      </c>
      <c r="BE319" s="194" t="str">
        <f t="shared" si="89"/>
        <v/>
      </c>
      <c r="BF319" s="194" t="str">
        <f t="shared" si="90"/>
        <v/>
      </c>
      <c r="BG319" s="233" t="str">
        <f t="shared" si="91"/>
        <v/>
      </c>
      <c r="BH319" s="233" t="str">
        <f t="shared" si="92"/>
        <v/>
      </c>
      <c r="BI319" s="169"/>
    </row>
    <row r="320" spans="1:61" s="222" customFormat="1" ht="75">
      <c r="A320" s="21">
        <v>20182495007</v>
      </c>
      <c r="B320" s="19" t="str">
        <f>VLOOKUP(A320,'ESTADOS ESTUDIANTES'!B:L,2,0)</f>
        <v>GARNICA PARADA WILLIAM ALBERTO</v>
      </c>
      <c r="C320" s="19">
        <f>VLOOKUP(A320,'ESTADOS ESTUDIANTES'!B:L,11,0)</f>
        <v>1094161993</v>
      </c>
      <c r="D320" s="23">
        <f>VLOOKUP(A320,'ESTADOS ESTUDIANTES'!B:L,3,0)</f>
        <v>495</v>
      </c>
      <c r="E320" s="19" t="str">
        <f>VLOOKUP(A320,'ESTADOS ESTUDIANTES'!B:L,8,0)</f>
        <v>wagarnicap@correo.udistrital.edu.co</v>
      </c>
      <c r="F320" s="19" t="str">
        <f>VLOOKUP(A320,'ESTADOS ESTUDIANTES'!B:L,9,0)</f>
        <v>williamgarnica@ingenieros.com</v>
      </c>
      <c r="G320" s="19" t="str">
        <f>VLOOKUP(A320,'ESTADOS ESTUDIANTES'!B:L,5,0)</f>
        <v>X</v>
      </c>
      <c r="H320" s="18" t="s">
        <v>60</v>
      </c>
      <c r="I320" s="18" t="s">
        <v>2019</v>
      </c>
      <c r="J320" s="18" t="s">
        <v>411</v>
      </c>
      <c r="K320" s="23"/>
      <c r="L320" s="96"/>
      <c r="M320" s="97"/>
      <c r="N320" s="96">
        <v>44097</v>
      </c>
      <c r="O320" s="97">
        <v>92.52</v>
      </c>
      <c r="P320" s="98" t="s">
        <v>79</v>
      </c>
      <c r="Q320" s="18" t="s">
        <v>2020</v>
      </c>
      <c r="R320" s="96">
        <v>44533</v>
      </c>
      <c r="S320" s="21">
        <f>YEAR(R320)</f>
        <v>2021</v>
      </c>
      <c r="T320" s="18" t="s">
        <v>1058</v>
      </c>
      <c r="U320" s="96">
        <v>44547</v>
      </c>
      <c r="V320" s="96">
        <v>44599</v>
      </c>
      <c r="W320" s="23"/>
      <c r="X320" s="91">
        <f ca="1">IF(U320="",NETWORKDAYS.INTL(Y320,TODAY(),1),0)</f>
        <v>0</v>
      </c>
      <c r="Y320" s="99"/>
      <c r="Z320" s="18" t="s">
        <v>382</v>
      </c>
      <c r="AA320" s="96">
        <v>44547</v>
      </c>
      <c r="AB320" s="96">
        <v>44547</v>
      </c>
      <c r="AC320" s="18" t="s">
        <v>2021</v>
      </c>
      <c r="AD320" s="21">
        <f ca="1">IF(AA320="",NETWORKDAYS.INTL(AE320,TODAY(),1),0)</f>
        <v>0</v>
      </c>
      <c r="AE320" s="114" t="s">
        <v>43</v>
      </c>
      <c r="AF320" s="96"/>
      <c r="AG320" s="23"/>
      <c r="AH320" s="96"/>
      <c r="AI320" s="96"/>
      <c r="AJ320" s="23"/>
      <c r="AK320" s="23">
        <f ca="1">IF(AH320="",NETWORKDAYS.INTL(AL320,TODAY(),1),0)</f>
        <v>33055</v>
      </c>
      <c r="AL320" s="23"/>
      <c r="AM320" s="23"/>
      <c r="AN320" s="96"/>
      <c r="AO320" s="96"/>
      <c r="AP320" s="23"/>
      <c r="AQ320" s="161">
        <f ca="1">IF(AN320="",NETWORKDAYS.INTL(AR320,TODAY(),1),0)</f>
        <v>33055</v>
      </c>
      <c r="AR320" s="161"/>
      <c r="AS320" s="18"/>
      <c r="AT320" s="21"/>
      <c r="AU320" s="23"/>
      <c r="AV320" s="23"/>
      <c r="AW320" s="23"/>
      <c r="AX320" s="23"/>
      <c r="AY320" s="23"/>
      <c r="AZ320" s="23"/>
      <c r="BA320" s="23"/>
      <c r="BB320" s="23"/>
      <c r="BC320" s="23"/>
      <c r="BD320" s="100" t="str">
        <f t="shared" si="88"/>
        <v/>
      </c>
      <c r="BE320" s="100" t="str">
        <f t="shared" si="89"/>
        <v/>
      </c>
      <c r="BF320" s="100" t="str">
        <f t="shared" si="90"/>
        <v/>
      </c>
      <c r="BG320" s="100" t="str">
        <f t="shared" si="91"/>
        <v/>
      </c>
      <c r="BH320" s="100" t="str">
        <f t="shared" si="92"/>
        <v/>
      </c>
      <c r="BI320" s="23"/>
    </row>
    <row r="321" spans="1:61" s="95" customFormat="1" ht="45">
      <c r="A321" s="21">
        <v>20182495009</v>
      </c>
      <c r="B321" s="19" t="str">
        <f>VLOOKUP(A321,'ESTADOS ESTUDIANTES'!B:L,2,0)</f>
        <v>PEÑALOZA MARTINEZ HARVEY RICARDO</v>
      </c>
      <c r="C321" s="19">
        <f>VLOOKUP(A321,'ESTADOS ESTUDIANTES'!B:L,11,0)</f>
        <v>1012398041</v>
      </c>
      <c r="D321" s="23">
        <f>VLOOKUP(A321,'ESTADOS ESTUDIANTES'!B:L,3,0)</f>
        <v>495</v>
      </c>
      <c r="E321" s="19" t="str">
        <f>VLOOKUP(A321,'ESTADOS ESTUDIANTES'!B:L,8,0)</f>
        <v>hrpenalozam@correo.udistrital.edu.co</v>
      </c>
      <c r="F321" s="19" t="str">
        <f>VLOOKUP(A321,'ESTADOS ESTUDIANTES'!B:L,9,0)</f>
        <v>hrpenalozam@gmail.com</v>
      </c>
      <c r="G321" s="19" t="str">
        <f>VLOOKUP(A321,'ESTADOS ESTUDIANTES'!B:L,5,0)</f>
        <v>X</v>
      </c>
      <c r="H321" s="18" t="s">
        <v>46</v>
      </c>
      <c r="I321" s="18" t="s">
        <v>2022</v>
      </c>
      <c r="J321" s="18" t="s">
        <v>290</v>
      </c>
      <c r="K321" s="23"/>
      <c r="L321" s="96"/>
      <c r="M321" s="97"/>
      <c r="N321" s="96"/>
      <c r="O321" s="97"/>
      <c r="P321" s="110"/>
      <c r="Q321" s="18" t="s">
        <v>1882</v>
      </c>
      <c r="R321" s="96">
        <v>43445</v>
      </c>
      <c r="S321" s="21">
        <v>2018</v>
      </c>
      <c r="T321" s="18" t="s">
        <v>281</v>
      </c>
      <c r="U321" s="96">
        <v>43501</v>
      </c>
      <c r="V321" s="96">
        <v>43536</v>
      </c>
      <c r="W321" s="23"/>
      <c r="X321" s="91">
        <f ca="1">IF(U321="",NETWORKDAYS.INTL(Y321,TODAY(),1),0)</f>
        <v>0</v>
      </c>
      <c r="Y321" s="114" t="s">
        <v>43</v>
      </c>
      <c r="Z321" s="18" t="s">
        <v>1112</v>
      </c>
      <c r="AA321" s="96">
        <v>43490</v>
      </c>
      <c r="AB321" s="96">
        <v>43501</v>
      </c>
      <c r="AC321" s="23"/>
      <c r="AD321" s="21">
        <f ca="1">IF(AA321="",NETWORKDAYS.INTL(AE321,TODAY(),1),0)</f>
        <v>0</v>
      </c>
      <c r="AE321" s="114" t="s">
        <v>43</v>
      </c>
      <c r="AF321" s="96"/>
      <c r="AG321" s="23"/>
      <c r="AH321" s="96"/>
      <c r="AI321" s="96"/>
      <c r="AJ321" s="23"/>
      <c r="AK321" s="23">
        <f ca="1">IF(AH321="",NETWORKDAYS.INTL(AL321,TODAY(),1),0)</f>
        <v>33055</v>
      </c>
      <c r="AL321" s="23"/>
      <c r="AM321" s="23"/>
      <c r="AN321" s="96"/>
      <c r="AO321" s="96"/>
      <c r="AP321" s="23"/>
      <c r="AQ321" s="161">
        <f ca="1">IF(AN321="",NETWORKDAYS.INTL(AR321,TODAY(),1),0)</f>
        <v>33055</v>
      </c>
      <c r="AR321" s="161"/>
      <c r="AS321" s="18"/>
      <c r="AT321" s="21"/>
      <c r="AU321" s="23"/>
      <c r="AV321" s="23"/>
      <c r="AW321" s="23"/>
      <c r="AX321" s="23"/>
      <c r="AY321" s="23"/>
      <c r="AZ321" s="23"/>
      <c r="BA321" s="23"/>
      <c r="BB321" s="23"/>
      <c r="BC321" s="23"/>
      <c r="BD321" s="100" t="str">
        <f t="shared" si="88"/>
        <v/>
      </c>
      <c r="BE321" s="100" t="str">
        <f t="shared" si="89"/>
        <v/>
      </c>
      <c r="BF321" s="100" t="str">
        <f t="shared" si="90"/>
        <v/>
      </c>
      <c r="BG321" s="100" t="str">
        <f t="shared" si="91"/>
        <v/>
      </c>
      <c r="BH321" s="100" t="str">
        <f t="shared" si="92"/>
        <v/>
      </c>
      <c r="BI321" s="23"/>
    </row>
    <row r="322" spans="1:61" s="222" customFormat="1">
      <c r="A322" s="21">
        <v>20182495010</v>
      </c>
      <c r="B322" s="19" t="str">
        <f>VLOOKUP(A322,'ESTADOS ESTUDIANTES'!B:L,2,0)</f>
        <v>PINZÓN BERDUGOPABLO ANDRÉS</v>
      </c>
      <c r="C322" s="19">
        <f>VLOOKUP(A322,'ESTADOS ESTUDIANTES'!B:L,11,0)</f>
        <v>1033728797</v>
      </c>
      <c r="D322" s="23">
        <f>VLOOKUP(A322,'ESTADOS ESTUDIANTES'!B:L,3,0)</f>
        <v>495</v>
      </c>
      <c r="E322" s="19" t="str">
        <f>VLOOKUP(A322,'ESTADOS ESTUDIANTES'!B:L,8,0)</f>
        <v>paapinzonb@correo.udistrital.edu.co</v>
      </c>
      <c r="F322" s="19" t="str">
        <f>VLOOKUP(A322,'ESTADOS ESTUDIANTES'!B:L,9,0)</f>
        <v>ingpablopinzon@hotmail.com</v>
      </c>
      <c r="G322" s="19" t="str">
        <f>VLOOKUP(A322,'ESTADOS ESTUDIANTES'!B:L,5,0)</f>
        <v>X</v>
      </c>
      <c r="H322" s="18" t="s">
        <v>46</v>
      </c>
      <c r="I322" s="23"/>
      <c r="J322" s="23"/>
      <c r="K322" s="23"/>
      <c r="L322" s="96"/>
      <c r="M322" s="97"/>
      <c r="N322" s="96">
        <v>43888</v>
      </c>
      <c r="O322" s="97">
        <v>76.52</v>
      </c>
      <c r="P322" s="98" t="s">
        <v>79</v>
      </c>
      <c r="Q322" s="18"/>
      <c r="R322" s="96"/>
      <c r="S322" s="23"/>
      <c r="T322" s="23"/>
      <c r="U322" s="96"/>
      <c r="V322" s="96"/>
      <c r="W322" s="23"/>
      <c r="X322" s="91">
        <f ca="1">IF(U322="",NETWORKDAYS.INTL(Y322,TODAY(),1),0)</f>
        <v>33055</v>
      </c>
      <c r="Y322" s="99"/>
      <c r="Z322" s="23"/>
      <c r="AA322" s="96"/>
      <c r="AB322" s="96"/>
      <c r="AC322" s="23"/>
      <c r="AD322" s="21">
        <f ca="1">IF(AA322="",NETWORKDAYS.INTL(AE322,TODAY(),1),0)</f>
        <v>33055</v>
      </c>
      <c r="AE322" s="99"/>
      <c r="AF322" s="96"/>
      <c r="AG322" s="23"/>
      <c r="AH322" s="96"/>
      <c r="AI322" s="96"/>
      <c r="AJ322" s="23"/>
      <c r="AK322" s="23">
        <f ca="1">IF(AH322="",NETWORKDAYS.INTL(AL322,TODAY(),1),0)</f>
        <v>33055</v>
      </c>
      <c r="AL322" s="23"/>
      <c r="AM322" s="23"/>
      <c r="AN322" s="96"/>
      <c r="AO322" s="96"/>
      <c r="AP322" s="23"/>
      <c r="AQ322" s="161">
        <f ca="1">IF(AN322="",NETWORKDAYS.INTL(AR322,TODAY(),1),0)</f>
        <v>33055</v>
      </c>
      <c r="AR322" s="161"/>
      <c r="AS322" s="18"/>
      <c r="AT322" s="21"/>
      <c r="AU322" s="23"/>
      <c r="AV322" s="23"/>
      <c r="AW322" s="23"/>
      <c r="AX322" s="23"/>
      <c r="AY322" s="23"/>
      <c r="AZ322" s="23"/>
      <c r="BA322" s="23"/>
      <c r="BB322" s="23"/>
      <c r="BC322" s="23"/>
      <c r="BD322" s="100" t="str">
        <f t="shared" si="88"/>
        <v/>
      </c>
      <c r="BE322" s="100" t="str">
        <f t="shared" si="89"/>
        <v/>
      </c>
      <c r="BF322" s="100" t="str">
        <f t="shared" si="90"/>
        <v/>
      </c>
      <c r="BG322" s="100" t="str">
        <f t="shared" si="91"/>
        <v/>
      </c>
      <c r="BH322" s="100" t="str">
        <f t="shared" si="92"/>
        <v/>
      </c>
      <c r="BI322" s="23"/>
    </row>
    <row r="323" spans="1:61" s="95" customFormat="1" ht="30">
      <c r="A323" s="101">
        <v>20182495012</v>
      </c>
      <c r="B323" s="19" t="str">
        <f>VLOOKUP(A323,'ESTADOS ESTUDIANTES'!B:L,2,0)</f>
        <v>REINA CABREJO CRISTHIAM STICK</v>
      </c>
      <c r="C323" s="103">
        <f>VLOOKUP(A323,'ESTADOS ESTUDIANTES'!B:L,11,0)</f>
        <v>80876562</v>
      </c>
      <c r="D323" s="23">
        <f>VLOOKUP(A323,'ESTADOS ESTUDIANTES'!B:L,3,0)</f>
        <v>495</v>
      </c>
      <c r="E323" s="102" t="str">
        <f>VLOOKUP(A323,'ESTADOS ESTUDIANTES'!B:L,8,0)</f>
        <v>csreinac@correo.udistrital.edu.co</v>
      </c>
      <c r="F323" s="102" t="str">
        <f>VLOOKUP(A323,'ESTADOS ESTUDIANTES'!B:L,9,0)</f>
        <v>csreinac@correo.udistrital.edu.co</v>
      </c>
      <c r="G323" s="19" t="str">
        <f>VLOOKUP(A323,'ESTADOS ESTUDIANTES'!B:L,5,0)</f>
        <v>X</v>
      </c>
      <c r="H323" s="103"/>
      <c r="I323" s="100" t="s">
        <v>2023</v>
      </c>
      <c r="J323" s="100" t="s">
        <v>356</v>
      </c>
      <c r="K323" s="100" t="s">
        <v>740</v>
      </c>
      <c r="L323" s="105"/>
      <c r="M323" s="106"/>
      <c r="N323" s="105">
        <v>43964</v>
      </c>
      <c r="O323" s="106">
        <v>76.52</v>
      </c>
      <c r="P323" s="112" t="s">
        <v>79</v>
      </c>
      <c r="Q323" s="102">
        <v>43466</v>
      </c>
      <c r="R323" s="105">
        <v>43447</v>
      </c>
      <c r="S323" s="101">
        <v>2018</v>
      </c>
      <c r="T323" s="100" t="s">
        <v>323</v>
      </c>
      <c r="U323" s="105">
        <v>43514</v>
      </c>
      <c r="V323" s="105">
        <v>43532</v>
      </c>
      <c r="W323" s="103"/>
      <c r="X323" s="91">
        <f ca="1">IF(U323="",NETWORKDAYS.INTL(Y323,TODAY(),1),0)</f>
        <v>0</v>
      </c>
      <c r="Y323" s="114" t="s">
        <v>56</v>
      </c>
      <c r="Z323" s="100" t="s">
        <v>270</v>
      </c>
      <c r="AA323" s="105">
        <v>43509</v>
      </c>
      <c r="AB323" s="105">
        <v>43521</v>
      </c>
      <c r="AC323" s="103"/>
      <c r="AD323" s="21">
        <f ca="1">IF(AA323="",NETWORKDAYS.INTL(AE323,TODAY(),1),0)</f>
        <v>0</v>
      </c>
      <c r="AE323" s="114" t="s">
        <v>43</v>
      </c>
      <c r="AF323" s="105"/>
      <c r="AG323" s="103"/>
      <c r="AH323" s="105"/>
      <c r="AI323" s="105"/>
      <c r="AJ323" s="103"/>
      <c r="AK323" s="23">
        <f ca="1">IF(AH323="",NETWORKDAYS.INTL(AL323,TODAY(),1),0)</f>
        <v>33055</v>
      </c>
      <c r="AL323" s="103"/>
      <c r="AM323" s="103"/>
      <c r="AN323" s="105"/>
      <c r="AO323" s="105"/>
      <c r="AP323" s="103"/>
      <c r="AQ323" s="161">
        <f ca="1">IF(AN323="",NETWORKDAYS.INTL(AR323,TODAY(),1),0)</f>
        <v>33055</v>
      </c>
      <c r="AR323" s="163"/>
      <c r="AS323" s="101"/>
      <c r="AT323" s="101"/>
      <c r="AU323" s="103"/>
      <c r="AV323" s="103"/>
      <c r="AW323" s="103"/>
      <c r="AX323" s="103"/>
      <c r="AY323" s="103"/>
      <c r="AZ323" s="103"/>
      <c r="BA323" s="103"/>
      <c r="BB323" s="103"/>
      <c r="BC323" s="103"/>
      <c r="BD323" s="100" t="str">
        <f t="shared" si="88"/>
        <v/>
      </c>
      <c r="BE323" s="100" t="str">
        <f t="shared" si="89"/>
        <v/>
      </c>
      <c r="BF323" s="100" t="str">
        <f t="shared" si="90"/>
        <v/>
      </c>
      <c r="BG323" s="100" t="str">
        <f t="shared" si="91"/>
        <v/>
      </c>
      <c r="BH323" s="100" t="str">
        <f t="shared" si="92"/>
        <v/>
      </c>
      <c r="BI323" s="103"/>
    </row>
    <row r="324" spans="1:61" s="281" customFormat="1" ht="30">
      <c r="A324" s="187">
        <v>20182495013</v>
      </c>
      <c r="B324" s="188" t="str">
        <f>VLOOKUP(A324,'ESTADOS ESTUDIANTES'!B:L,2,0)</f>
        <v>ROJAS SUAREZ LAURA PATRICIA</v>
      </c>
      <c r="C324" s="188">
        <f>VLOOKUP(A324,'ESTADOS ESTUDIANTES'!B:L,11,0)</f>
        <v>63537101</v>
      </c>
      <c r="D324" s="169">
        <f>VLOOKUP(A324,'ESTADOS ESTUDIANTES'!B:L,3,0)</f>
        <v>495</v>
      </c>
      <c r="E324" s="188" t="str">
        <f>VLOOKUP(A324,'ESTADOS ESTUDIANTES'!B:L,8,0)</f>
        <v>lprojass@udistrital.edu.co</v>
      </c>
      <c r="F324" s="188" t="str">
        <f>VLOOKUP(A324,'ESTADOS ESTUDIANTES'!B:L,9,0)</f>
        <v>laupatri27@gmail.com</v>
      </c>
      <c r="G324" s="188" t="str">
        <f>VLOOKUP(A324,'ESTADOS ESTUDIANTES'!B:L,5,0)</f>
        <v>X</v>
      </c>
      <c r="H324" s="171" t="s">
        <v>46</v>
      </c>
      <c r="I324" s="171" t="s">
        <v>2024</v>
      </c>
      <c r="J324" s="171" t="s">
        <v>302</v>
      </c>
      <c r="K324" s="169"/>
      <c r="L324" s="189"/>
      <c r="M324" s="191"/>
      <c r="N324" s="189"/>
      <c r="O324" s="191"/>
      <c r="P324" s="169"/>
      <c r="Q324" s="188">
        <v>43586</v>
      </c>
      <c r="R324" s="189"/>
      <c r="S324" s="188">
        <v>2019</v>
      </c>
      <c r="T324" s="169"/>
      <c r="U324" s="189">
        <v>43556</v>
      </c>
      <c r="V324" s="189">
        <v>43585</v>
      </c>
      <c r="W324" s="169"/>
      <c r="X324" s="279">
        <f ca="1">IF(Y324="",NETWORKDAYS.INTL(U324,TODAY(),1),0)</f>
        <v>0</v>
      </c>
      <c r="Y324" s="282" t="s">
        <v>56</v>
      </c>
      <c r="Z324" s="171" t="s">
        <v>382</v>
      </c>
      <c r="AA324" s="189">
        <v>43522</v>
      </c>
      <c r="AB324" s="189">
        <v>43581</v>
      </c>
      <c r="AC324" s="169"/>
      <c r="AD324" s="187">
        <f ca="1">IF(AE324="",NETWORKDAYS.INTL(AA324,TODAY(),1),0)</f>
        <v>0</v>
      </c>
      <c r="AE324" s="282" t="s">
        <v>43</v>
      </c>
      <c r="AF324" s="189"/>
      <c r="AG324" s="169"/>
      <c r="AH324" s="189"/>
      <c r="AI324" s="189"/>
      <c r="AJ324" s="169"/>
      <c r="AK324" s="169">
        <f ca="1">IF(AL324="",NETWORKDAYS.INTL(AH324,TODAY(),1),0)</f>
        <v>33055</v>
      </c>
      <c r="AL324" s="169"/>
      <c r="AM324" s="169"/>
      <c r="AN324" s="189"/>
      <c r="AO324" s="189"/>
      <c r="AP324" s="169"/>
      <c r="AQ324" s="283">
        <f ca="1">IF(AR324="",NETWORKDAYS.INTL(AN324,TODAY(),1),0)</f>
        <v>33055</v>
      </c>
      <c r="AR324" s="280"/>
      <c r="AS324" s="171"/>
      <c r="AT324" s="187"/>
      <c r="AU324" s="169"/>
      <c r="AV324" s="169"/>
      <c r="AW324" s="169"/>
      <c r="AX324" s="169"/>
      <c r="AY324" s="169"/>
      <c r="AZ324" s="169"/>
      <c r="BA324" s="169"/>
      <c r="BB324" s="169"/>
      <c r="BC324" s="169"/>
      <c r="BD324" s="194" t="str">
        <f t="shared" si="88"/>
        <v/>
      </c>
      <c r="BE324" s="233" t="str">
        <f t="shared" si="89"/>
        <v/>
      </c>
      <c r="BF324" s="194" t="str">
        <f t="shared" si="90"/>
        <v/>
      </c>
      <c r="BG324" s="233" t="str">
        <f t="shared" si="91"/>
        <v/>
      </c>
      <c r="BH324" s="233" t="str">
        <f t="shared" si="92"/>
        <v/>
      </c>
      <c r="BI324" s="169"/>
    </row>
    <row r="325" spans="1:61" s="95" customFormat="1" ht="45">
      <c r="A325" s="21">
        <v>20182495015</v>
      </c>
      <c r="B325" s="19" t="str">
        <f>VLOOKUP(A325,'ESTADOS ESTUDIANTES'!B:L,2,0)</f>
        <v>TAFUR CANTE YEISON EFRAIN</v>
      </c>
      <c r="C325" s="19">
        <f>VLOOKUP(A325,'ESTADOS ESTUDIANTES'!B:L,11,0)</f>
        <v>80248572</v>
      </c>
      <c r="D325" s="23">
        <f>VLOOKUP(A325,'ESTADOS ESTUDIANTES'!B:L,3,0)</f>
        <v>495</v>
      </c>
      <c r="E325" s="19" t="str">
        <f>VLOOKUP(A325,'ESTADOS ESTUDIANTES'!B:L,8,0)</f>
        <v>yetafurc@correo.udistrital.edu.co</v>
      </c>
      <c r="F325" s="19" t="str">
        <f>VLOOKUP(A325,'ESTADOS ESTUDIANTES'!B:L,9,0)</f>
        <v>yeisontafurc@gmail.com</v>
      </c>
      <c r="G325" s="19" t="str">
        <f>VLOOKUP(A325,'ESTADOS ESTUDIANTES'!B:L,5,0)</f>
        <v>X</v>
      </c>
      <c r="H325" s="18" t="s">
        <v>46</v>
      </c>
      <c r="I325" s="18" t="s">
        <v>2025</v>
      </c>
      <c r="J325" s="18" t="s">
        <v>290</v>
      </c>
      <c r="K325" s="23"/>
      <c r="L325" s="96"/>
      <c r="M325" s="97"/>
      <c r="N325" s="96">
        <v>44510</v>
      </c>
      <c r="O325" s="97">
        <v>58.26</v>
      </c>
      <c r="P325" s="98" t="s">
        <v>87</v>
      </c>
      <c r="Q325" s="18" t="s">
        <v>1882</v>
      </c>
      <c r="R325" s="96">
        <v>43445</v>
      </c>
      <c r="S325" s="21">
        <f>YEAR(R325)</f>
        <v>2018</v>
      </c>
      <c r="T325" s="18" t="s">
        <v>222</v>
      </c>
      <c r="U325" s="96">
        <v>43490</v>
      </c>
      <c r="V325" s="96">
        <v>43494</v>
      </c>
      <c r="W325" s="23"/>
      <c r="X325" s="91">
        <f ca="1">IF(U325="",NETWORKDAYS.INTL(Y325,TODAY(),1),0)</f>
        <v>0</v>
      </c>
      <c r="Y325" s="18" t="s">
        <v>43</v>
      </c>
      <c r="Z325" s="18" t="s">
        <v>228</v>
      </c>
      <c r="AA325" s="96">
        <v>43497</v>
      </c>
      <c r="AB325" s="96">
        <v>43511</v>
      </c>
      <c r="AC325" s="23"/>
      <c r="AD325" s="21">
        <f ca="1">IF(AA325="",NETWORKDAYS.INTL(AE325,TODAY(),1),0)</f>
        <v>0</v>
      </c>
      <c r="AE325" s="18" t="s">
        <v>43</v>
      </c>
      <c r="AF325" s="96"/>
      <c r="AG325" s="23"/>
      <c r="AH325" s="96"/>
      <c r="AI325" s="96"/>
      <c r="AJ325" s="23"/>
      <c r="AK325" s="23">
        <f ca="1">IF(AH325="",NETWORKDAYS.INTL(AL325,TODAY(),1),0)</f>
        <v>33055</v>
      </c>
      <c r="AL325" s="23"/>
      <c r="AM325" s="23"/>
      <c r="AN325" s="96"/>
      <c r="AO325" s="96"/>
      <c r="AP325" s="23"/>
      <c r="AQ325" s="161">
        <f ca="1">IF(AN325="",NETWORKDAYS.INTL(AR325,TODAY(),1),0)</f>
        <v>33055</v>
      </c>
      <c r="AR325" s="161"/>
      <c r="AS325" s="18"/>
      <c r="AT325" s="21"/>
      <c r="AU325" s="23"/>
      <c r="AV325" s="23"/>
      <c r="AW325" s="23"/>
      <c r="AX325" s="23"/>
      <c r="AY325" s="23"/>
      <c r="AZ325" s="23"/>
      <c r="BA325" s="23"/>
      <c r="BB325" s="23"/>
      <c r="BC325" s="23"/>
      <c r="BD325" s="100" t="str">
        <f t="shared" si="88"/>
        <v/>
      </c>
      <c r="BE325" s="100" t="str">
        <f t="shared" si="89"/>
        <v/>
      </c>
      <c r="BF325" s="100" t="str">
        <f t="shared" si="90"/>
        <v/>
      </c>
      <c r="BG325" s="100" t="str">
        <f t="shared" si="91"/>
        <v/>
      </c>
      <c r="BH325" s="100" t="str">
        <f t="shared" si="92"/>
        <v/>
      </c>
      <c r="BI325" s="23"/>
    </row>
    <row r="326" spans="1:61" s="222" customFormat="1" ht="90">
      <c r="A326" s="21">
        <v>20182495016</v>
      </c>
      <c r="B326" s="19" t="str">
        <f>VLOOKUP(A326,'ESTADOS ESTUDIANTES'!B:L,2,0)</f>
        <v>VARGAS PEÑA FRANCISCO ALEJANDRO</v>
      </c>
      <c r="C326" s="19">
        <f>VLOOKUP(A326,'ESTADOS ESTUDIANTES'!B:L,11,0)</f>
        <v>1018428147</v>
      </c>
      <c r="D326" s="23">
        <f>VLOOKUP(A326,'ESTADOS ESTUDIANTES'!B:L,3,0)</f>
        <v>495</v>
      </c>
      <c r="E326" s="19" t="str">
        <f>VLOOKUP(A326,'ESTADOS ESTUDIANTES'!B:L,8,0)</f>
        <v>fravargasp@correo.udistrital.edu.co</v>
      </c>
      <c r="F326" s="19" t="str">
        <f>VLOOKUP(A326,'ESTADOS ESTUDIANTES'!B:L,9,0)</f>
        <v>francisco.a.vargas@gmail.com</v>
      </c>
      <c r="G326" s="19" t="str">
        <f>VLOOKUP(A326,'ESTADOS ESTUDIANTES'!B:L,5,0)</f>
        <v>X</v>
      </c>
      <c r="H326" s="18" t="s">
        <v>60</v>
      </c>
      <c r="I326" s="18" t="s">
        <v>2026</v>
      </c>
      <c r="J326" s="18" t="s">
        <v>222</v>
      </c>
      <c r="K326" s="23"/>
      <c r="L326" s="96"/>
      <c r="M326" s="97"/>
      <c r="N326" s="96"/>
      <c r="O326" s="97"/>
      <c r="P326" s="110"/>
      <c r="Q326" s="18" t="s">
        <v>1882</v>
      </c>
      <c r="R326" s="96">
        <v>43445</v>
      </c>
      <c r="S326" s="21">
        <v>2018</v>
      </c>
      <c r="T326" s="18" t="s">
        <v>310</v>
      </c>
      <c r="U326" s="96">
        <v>43670</v>
      </c>
      <c r="V326" s="96">
        <v>43677</v>
      </c>
      <c r="W326" s="18" t="s">
        <v>2027</v>
      </c>
      <c r="X326" s="91">
        <f ca="1">IF(U326="",NETWORKDAYS.INTL(Y326,TODAY(),1),0)</f>
        <v>0</v>
      </c>
      <c r="Y326" s="114" t="s">
        <v>43</v>
      </c>
      <c r="Z326" s="18" t="s">
        <v>2028</v>
      </c>
      <c r="AA326" s="96">
        <v>43656</v>
      </c>
      <c r="AB326" s="18" t="s">
        <v>2029</v>
      </c>
      <c r="AC326" s="18" t="s">
        <v>2030</v>
      </c>
      <c r="AD326" s="21">
        <f ca="1">IF(AA326="",NETWORKDAYS.INTL(AE326,TODAY(),1),0)</f>
        <v>0</v>
      </c>
      <c r="AE326" s="114" t="s">
        <v>43</v>
      </c>
      <c r="AF326" s="96"/>
      <c r="AG326" s="23"/>
      <c r="AH326" s="96"/>
      <c r="AI326" s="96"/>
      <c r="AJ326" s="23"/>
      <c r="AK326" s="23">
        <f ca="1">IF(AH326="",NETWORKDAYS.INTL(AL326,TODAY(),1),0)</f>
        <v>33055</v>
      </c>
      <c r="AL326" s="23"/>
      <c r="AM326" s="23"/>
      <c r="AN326" s="96"/>
      <c r="AO326" s="96"/>
      <c r="AP326" s="23"/>
      <c r="AQ326" s="163">
        <f ca="1">IF(AN326="",NETWORKDAYS.INTL(AR326,TODAY(),1),0)</f>
        <v>33055</v>
      </c>
      <c r="AR326" s="161"/>
      <c r="AS326" s="18"/>
      <c r="AT326" s="21"/>
      <c r="AU326" s="23"/>
      <c r="AV326" s="23"/>
      <c r="AW326" s="23"/>
      <c r="AX326" s="23"/>
      <c r="AY326" s="23"/>
      <c r="AZ326" s="23"/>
      <c r="BA326" s="23"/>
      <c r="BB326" s="23"/>
      <c r="BC326" s="23"/>
      <c r="BD326" s="100" t="str">
        <f t="shared" si="88"/>
        <v/>
      </c>
      <c r="BE326" s="100" t="str">
        <f t="shared" si="89"/>
        <v/>
      </c>
      <c r="BF326" s="100" t="str">
        <f t="shared" si="90"/>
        <v/>
      </c>
      <c r="BG326" s="100" t="str">
        <f t="shared" si="91"/>
        <v/>
      </c>
      <c r="BH326" s="100" t="str">
        <f t="shared" si="92"/>
        <v/>
      </c>
      <c r="BI326" s="23"/>
    </row>
    <row r="327" spans="1:61" s="95" customFormat="1">
      <c r="A327" s="101">
        <v>20191395009</v>
      </c>
      <c r="B327" s="19" t="str">
        <f>VLOOKUP(A327,'ESTADOS ESTUDIANTES'!B:L,2,0)</f>
        <v>NIÑO VILLAMIZAR IVAN DARIO</v>
      </c>
      <c r="C327" s="102">
        <f>VLOOKUP(A327,'ESTADOS ESTUDIANTES'!B:L,11,0)</f>
        <v>1020796840</v>
      </c>
      <c r="D327" s="23">
        <f>VLOOKUP(A327,'ESTADOS ESTUDIANTES'!B:L,3,0)</f>
        <v>395</v>
      </c>
      <c r="E327" s="102" t="str">
        <f>VLOOKUP(A327,'ESTADOS ESTUDIANTES'!B:L,8,0)</f>
        <v>idninov@correo.udistrital.edu.co</v>
      </c>
      <c r="F327" s="102" t="str">
        <f>VLOOKUP(A327,'ESTADOS ESTUDIANTES'!B:L,9,0)</f>
        <v>idninov@correo.udistrital.edu.co</v>
      </c>
      <c r="G327" s="19" t="str">
        <f>VLOOKUP(A327,'ESTADOS ESTUDIANTES'!B:L,5,0)</f>
        <v>X</v>
      </c>
      <c r="H327" s="103"/>
      <c r="I327" s="100" t="s">
        <v>2031</v>
      </c>
      <c r="J327" s="100" t="s">
        <v>1174</v>
      </c>
      <c r="K327" s="103"/>
      <c r="L327" s="105"/>
      <c r="M327" s="106"/>
      <c r="N327" s="105"/>
      <c r="O327" s="106"/>
      <c r="P327" s="107"/>
      <c r="Q327" s="102">
        <v>43467</v>
      </c>
      <c r="R327" s="105">
        <v>43629</v>
      </c>
      <c r="S327" s="102">
        <v>2019</v>
      </c>
      <c r="T327" s="100" t="s">
        <v>521</v>
      </c>
      <c r="U327" s="105">
        <v>43648</v>
      </c>
      <c r="V327" s="105">
        <v>43712</v>
      </c>
      <c r="W327" s="103"/>
      <c r="X327" s="91">
        <f ca="1">IF(U327="",NETWORKDAYS.INTL(Y327,TODAY(),1),0)</f>
        <v>0</v>
      </c>
      <c r="Y327" s="114" t="s">
        <v>57</v>
      </c>
      <c r="Z327" s="100" t="s">
        <v>2032</v>
      </c>
      <c r="AA327" s="105">
        <v>43654</v>
      </c>
      <c r="AB327" s="105">
        <v>43678</v>
      </c>
      <c r="AC327" s="103"/>
      <c r="AD327" s="21">
        <f ca="1">IF(AA327="",NETWORKDAYS.INTL(AE327,TODAY(),1),0)</f>
        <v>0</v>
      </c>
      <c r="AE327" s="114" t="s">
        <v>56</v>
      </c>
      <c r="AF327" s="105"/>
      <c r="AG327" s="103"/>
      <c r="AH327" s="105"/>
      <c r="AI327" s="105"/>
      <c r="AJ327" s="103"/>
      <c r="AK327" s="23">
        <f ca="1">IF(AH327="",NETWORKDAYS.INTL(AL327,TODAY(),1),0)</f>
        <v>33055</v>
      </c>
      <c r="AL327" s="103"/>
      <c r="AM327" s="103"/>
      <c r="AN327" s="105"/>
      <c r="AO327" s="105"/>
      <c r="AP327" s="103"/>
      <c r="AQ327" s="162">
        <f ca="1">IF(AN327="",NETWORKDAYS.INTL(AR327,TODAY(),1),0)</f>
        <v>33055</v>
      </c>
      <c r="AR327" s="163"/>
      <c r="AS327" s="101"/>
      <c r="AT327" s="101"/>
      <c r="AU327" s="103"/>
      <c r="AV327" s="103"/>
      <c r="AW327" s="103"/>
      <c r="AX327" s="103"/>
      <c r="AY327" s="103"/>
      <c r="AZ327" s="103"/>
      <c r="BA327" s="103"/>
      <c r="BB327" s="103"/>
      <c r="BC327" s="103"/>
      <c r="BD327" s="100" t="str">
        <f t="shared" si="88"/>
        <v/>
      </c>
      <c r="BE327" s="100" t="str">
        <f t="shared" si="89"/>
        <v/>
      </c>
      <c r="BF327" s="100" t="str">
        <f t="shared" si="90"/>
        <v/>
      </c>
      <c r="BG327" s="100" t="str">
        <f t="shared" si="91"/>
        <v/>
      </c>
      <c r="BH327" s="100" t="str">
        <f t="shared" si="92"/>
        <v/>
      </c>
      <c r="BI327" s="103"/>
    </row>
    <row r="328" spans="1:61" s="281" customFormat="1">
      <c r="A328" s="187"/>
      <c r="B328" s="188"/>
      <c r="C328" s="188"/>
      <c r="D328" s="169"/>
      <c r="E328" s="188"/>
      <c r="F328" s="188"/>
      <c r="G328" s="188"/>
      <c r="H328" s="171"/>
      <c r="I328" s="171"/>
      <c r="J328" s="171"/>
      <c r="K328" s="169"/>
      <c r="L328" s="189"/>
      <c r="M328" s="191"/>
      <c r="N328" s="189"/>
      <c r="O328" s="191"/>
      <c r="P328" s="171"/>
      <c r="Q328" s="171"/>
      <c r="R328" s="189"/>
      <c r="S328" s="187"/>
      <c r="T328" s="171"/>
      <c r="U328" s="189"/>
      <c r="V328" s="189"/>
      <c r="W328" s="169"/>
      <c r="X328" s="279"/>
      <c r="Y328" s="282"/>
      <c r="Z328" s="171"/>
      <c r="AA328" s="189"/>
      <c r="AB328" s="189"/>
      <c r="AC328" s="171"/>
      <c r="AD328" s="187"/>
      <c r="AE328" s="282"/>
      <c r="AF328" s="189"/>
      <c r="AG328" s="169"/>
      <c r="AH328" s="189"/>
      <c r="AI328" s="189"/>
      <c r="AJ328" s="169"/>
      <c r="AK328" s="169"/>
      <c r="AL328" s="169"/>
      <c r="AM328" s="169"/>
      <c r="AN328" s="189"/>
      <c r="AO328" s="189"/>
      <c r="AP328" s="169"/>
      <c r="AQ328" s="283"/>
      <c r="AR328" s="280"/>
      <c r="AS328" s="171"/>
      <c r="AT328" s="187"/>
      <c r="AU328" s="169"/>
      <c r="AV328" s="169"/>
      <c r="AW328" s="169"/>
      <c r="AX328" s="169"/>
      <c r="AY328" s="169"/>
      <c r="AZ328" s="169"/>
      <c r="BA328" s="169"/>
      <c r="BB328" s="169"/>
      <c r="BC328" s="169"/>
      <c r="BD328" s="194"/>
      <c r="BE328" s="194"/>
      <c r="BF328" s="194"/>
      <c r="BG328" s="233"/>
      <c r="BH328" s="233"/>
      <c r="BI328" s="169"/>
    </row>
    <row r="329" spans="1:61" s="287" customFormat="1">
      <c r="A329" s="9"/>
      <c r="B329" s="9"/>
      <c r="C329" s="9"/>
      <c r="D329" s="9"/>
      <c r="E329" s="9"/>
      <c r="F329" s="9"/>
      <c r="G329" s="9"/>
      <c r="H329" s="9"/>
      <c r="I329" s="9"/>
      <c r="J329" s="9"/>
      <c r="K329" s="9"/>
      <c r="L329" s="9"/>
      <c r="M329" s="9"/>
      <c r="N329" s="9"/>
      <c r="O329" s="9"/>
      <c r="P329" s="9"/>
      <c r="Q329" s="9"/>
      <c r="R329" s="9"/>
      <c r="S329" s="9"/>
      <c r="T329" s="9"/>
      <c r="U329" s="9"/>
      <c r="V329" s="9"/>
      <c r="W329" s="9"/>
      <c r="X329" s="288"/>
      <c r="Y329" s="9"/>
      <c r="Z329" s="9"/>
      <c r="AA329" s="9"/>
      <c r="AB329" s="9"/>
      <c r="AC329" s="9"/>
      <c r="AD329" s="9"/>
      <c r="AE329" s="9"/>
      <c r="AF329" s="9"/>
      <c r="AG329" s="9"/>
      <c r="AH329" s="9"/>
      <c r="AI329" s="9"/>
      <c r="AJ329" s="9"/>
      <c r="AK329" s="249"/>
      <c r="AL329" s="9"/>
      <c r="AM329" s="9"/>
      <c r="AN329" s="9"/>
      <c r="AO329" s="9"/>
      <c r="AP329" s="9"/>
      <c r="AQ329" s="289"/>
      <c r="AR329" s="9"/>
      <c r="AS329" s="9"/>
      <c r="AT329" s="9"/>
      <c r="AU329" s="9"/>
      <c r="AV329" s="9"/>
      <c r="AW329" s="9"/>
      <c r="AX329" s="9"/>
      <c r="AY329" s="9"/>
      <c r="AZ329" s="9"/>
      <c r="BA329" s="9"/>
      <c r="BB329" s="9"/>
      <c r="BC329" s="9"/>
      <c r="BD329" s="9"/>
      <c r="BE329" s="9"/>
      <c r="BF329" s="9"/>
      <c r="BG329" s="9"/>
      <c r="BH329" s="9"/>
      <c r="BI329" s="9"/>
    </row>
    <row r="330" spans="1:61" s="287" customFormat="1">
      <c r="W330" s="9"/>
      <c r="X330" s="290"/>
      <c r="AK330" s="169"/>
      <c r="AQ330" s="291"/>
    </row>
    <row r="331" spans="1:61" s="287" customFormat="1">
      <c r="E331" s="287" t="s">
        <v>863</v>
      </c>
      <c r="W331" s="9"/>
      <c r="X331" s="290"/>
      <c r="AK331" s="169"/>
      <c r="AQ331" s="291"/>
    </row>
    <row r="332" spans="1:61" s="287" customFormat="1">
      <c r="W332" s="9"/>
      <c r="X332" s="290"/>
      <c r="AK332" s="169"/>
      <c r="AQ332" s="291"/>
    </row>
    <row r="333" spans="1:61" s="287" customFormat="1">
      <c r="W333" s="9"/>
      <c r="X333" s="290"/>
      <c r="AK333" s="169"/>
      <c r="AQ333" s="291"/>
    </row>
    <row r="334" spans="1:61" s="287" customFormat="1">
      <c r="W334" s="9"/>
      <c r="X334" s="290"/>
      <c r="AK334" s="169"/>
      <c r="AQ334" s="291"/>
    </row>
    <row r="335" spans="1:61" s="287" customFormat="1">
      <c r="W335" s="9"/>
      <c r="X335" s="290"/>
      <c r="AK335" s="169"/>
      <c r="AQ335" s="291"/>
    </row>
    <row r="336" spans="1:61" s="287" customFormat="1">
      <c r="W336" s="9"/>
      <c r="X336" s="290"/>
      <c r="AK336" s="169"/>
      <c r="AQ336" s="291"/>
    </row>
    <row r="337" spans="23:43" s="287" customFormat="1">
      <c r="W337" s="9"/>
      <c r="X337" s="290"/>
      <c r="AK337" s="169"/>
      <c r="AQ337" s="291"/>
    </row>
    <row r="338" spans="23:43" s="287" customFormat="1">
      <c r="W338" s="9"/>
      <c r="X338" s="290"/>
      <c r="AK338" s="169"/>
      <c r="AQ338" s="291"/>
    </row>
    <row r="339" spans="23:43" s="287" customFormat="1">
      <c r="W339" s="9"/>
      <c r="X339" s="290"/>
      <c r="AK339" s="169"/>
      <c r="AQ339" s="291"/>
    </row>
  </sheetData>
  <conditionalFormatting sqref="D2:D328">
    <cfRule type="cellIs" dxfId="3" priority="1" operator="equal">
      <formula>195</formula>
    </cfRule>
    <cfRule type="cellIs" dxfId="2" priority="2" operator="equal">
      <formula>295</formula>
    </cfRule>
    <cfRule type="cellIs" dxfId="1" priority="3" operator="equal">
      <formula>395</formula>
    </cfRule>
    <cfRule type="cellIs" dxfId="0" priority="4" operator="equal">
      <formula>495</formula>
    </cfRule>
  </conditionalFormatting>
  <dataValidations count="6">
    <dataValidation type="list" allowBlank="1" showInputMessage="1" showErrorMessage="1" sqref="Z2:Z177 T2:T177 K2:K177 T179:T328 Z179:Z328 K179:K328" xr:uid="{00000000-0002-0000-0600-000002000000}">
      <formula1>"Abel Antonio Navarrete,Adolfo Jaramillo,Adriana Vega,Alberto Acosta,Alberto Sarcina Brigada,Alejandro Paolo Daza Corredor,Alexandra Abuchar,Alvaro Enrique Ortiz Davila,Alvaro Espinel Ortega,Alvaro Ortiz,Alvaro Sanabria Duque,Ana Maria Peña Reyes"</formula1>
    </dataValidation>
    <dataValidation type="list" allowBlank="1" showInputMessage="1" showErrorMessage="1" sqref="P2:P177 P179:P328" xr:uid="{00000000-0002-0000-0600-000003000000}">
      <formula1>"C2,C1,B2,B1,A2,A1"</formula1>
    </dataValidation>
    <dataValidation type="list" allowBlank="1" showInputMessage="1" showErrorMessage="1" sqref="AU2:AU177 AU179:AU328" xr:uid="{00000000-0002-0000-0600-000004000000}">
      <formula1>"Aprobado,Meritorio,Laureado"</formula1>
    </dataValidation>
    <dataValidation allowBlank="1" showInputMessage="1" showErrorMessage="1" sqref="AL1 AR1" xr:uid="{DFFDBEF1-92AB-47DF-B4A6-D2DCD2FB76A5}"/>
    <dataValidation type="list" allowBlank="1" showInputMessage="1" showErrorMessage="1" sqref="D2:D328" xr:uid="{00000000-0002-0000-0600-000000000000}">
      <formula1>"195,295,395,495"</formula1>
    </dataValidation>
    <dataValidation type="list" allowBlank="1" showInputMessage="1" showErrorMessage="1" sqref="H2:H328" xr:uid="{00000000-0002-0000-0600-000001000000}">
      <formula1>"Profundización,Investigación"</formula1>
    </dataValidation>
  </dataValidations>
  <pageMargins left="0.7" right="0.7" top="0.75" bottom="0.75" header="0" footer="0"/>
  <pageSetup orientation="landscape"/>
  <headerFooter>
    <oddFooter>&amp;C&amp;"Helvetica Neue,Regular"&amp;12&amp;K000000&amp;P</oddFooter>
  </headerFooter>
  <legacy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ED0B6D06-AF91-403A-9B5E-6A037CCC3FB6}">
          <x14:formula1>
            <xm:f>Listas!$J$2:$J$4</xm:f>
          </x14:formula1>
          <xm:sqref>Y1:Y1048576</xm:sqref>
        </x14:dataValidation>
        <x14:dataValidation type="list" allowBlank="1" showInputMessage="1" showErrorMessage="1" xr:uid="{42BE8124-2295-45D3-B02E-9FD0A2D66F13}">
          <x14:formula1>
            <xm:f>Listas!$I$2:$I$4</xm:f>
          </x14:formula1>
          <xm:sqref>AL2:AL1048576 AR2:AR1048576</xm:sqref>
        </x14:dataValidation>
        <x14:dataValidation type="list" allowBlank="1" showInputMessage="1" showErrorMessage="1" xr:uid="{02B428E6-11F1-4F5F-AC55-069FCD0C7AF2}">
          <x14:formula1>
            <xm:f>'DIRECTOR - REVISOR - JURADO'!$A$3:$A$194</xm:f>
          </x14:formula1>
          <xm:sqref>AG1:AG1048576 J1:J1048576 AM1:AM1048576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E378C-40B7-42EC-9599-C812256D8BD4}">
  <sheetPr>
    <tabColor rgb="FF70AD47"/>
  </sheetPr>
  <dimension ref="A1:S2066"/>
  <sheetViews>
    <sheetView topLeftCell="A2014" workbookViewId="0">
      <selection activeCell="B2050" sqref="B2050"/>
    </sheetView>
  </sheetViews>
  <sheetFormatPr baseColWidth="10" defaultColWidth="54.69921875" defaultRowHeight="14.25"/>
  <cols>
    <col min="1" max="1" width="17.3984375" style="623" bestFit="1" customWidth="1"/>
    <col min="2" max="2" width="19.296875" style="623" customWidth="1"/>
    <col min="3" max="3" width="33" style="623" bestFit="1" customWidth="1"/>
    <col min="4" max="4" width="11.796875" style="623" bestFit="1" customWidth="1"/>
    <col min="5" max="5" width="54" style="623" customWidth="1"/>
    <col min="6" max="6" width="6.296875" style="623" bestFit="1" customWidth="1"/>
    <col min="7" max="7" width="25.796875" style="623" bestFit="1" customWidth="1"/>
    <col min="8" max="8" width="9.8984375" style="623" bestFit="1" customWidth="1"/>
    <col min="9" max="9" width="25.296875" style="623" bestFit="1" customWidth="1"/>
    <col min="10" max="10" width="27.69921875" style="623" bestFit="1" customWidth="1"/>
    <col min="11" max="11" width="6.796875" style="623" bestFit="1" customWidth="1"/>
    <col min="12" max="12" width="9.3984375" style="623" bestFit="1" customWidth="1"/>
    <col min="13" max="13" width="14.19921875" style="623" bestFit="1" customWidth="1"/>
    <col min="14" max="26" width="11.3984375" style="623" customWidth="1"/>
    <col min="27" max="16384" width="54.69921875" style="623"/>
  </cols>
  <sheetData>
    <row r="1" spans="1:19" ht="27.75" customHeight="1">
      <c r="A1" s="719" t="s">
        <v>2033</v>
      </c>
      <c r="B1" s="719" t="s">
        <v>2034</v>
      </c>
      <c r="C1"/>
      <c r="D1"/>
      <c r="E1"/>
      <c r="F1"/>
      <c r="G1"/>
      <c r="H1"/>
      <c r="I1"/>
      <c r="J1"/>
      <c r="K1"/>
      <c r="L1"/>
      <c r="M1"/>
      <c r="N1" s="747"/>
      <c r="O1" s="747"/>
      <c r="P1" s="747"/>
      <c r="Q1" s="747"/>
      <c r="R1" s="521"/>
      <c r="S1" s="521"/>
    </row>
    <row r="2" spans="1:19" ht="27.75" customHeight="1">
      <c r="A2" s="719" t="s">
        <v>3</v>
      </c>
      <c r="B2" s="719" t="s">
        <v>49</v>
      </c>
      <c r="C2"/>
      <c r="D2"/>
      <c r="E2"/>
      <c r="F2"/>
      <c r="G2"/>
      <c r="H2"/>
      <c r="I2"/>
      <c r="J2"/>
      <c r="K2"/>
      <c r="L2"/>
      <c r="M2"/>
      <c r="N2" s="726"/>
      <c r="O2" s="726"/>
      <c r="P2" s="726"/>
      <c r="Q2" s="726"/>
      <c r="R2" s="521"/>
      <c r="S2" s="521"/>
    </row>
    <row r="3" spans="1:19" ht="25.5">
      <c r="A3" s="720" t="s">
        <v>2035</v>
      </c>
      <c r="B3" s="720" t="s">
        <v>2036</v>
      </c>
      <c r="C3" s="720" t="s">
        <v>1</v>
      </c>
      <c r="D3" s="720" t="s">
        <v>2037</v>
      </c>
      <c r="E3" s="720" t="s">
        <v>3</v>
      </c>
      <c r="F3" s="720" t="s">
        <v>4</v>
      </c>
      <c r="G3" s="720" t="s">
        <v>2038</v>
      </c>
      <c r="H3" s="720" t="s">
        <v>6</v>
      </c>
      <c r="I3" s="720" t="s">
        <v>7</v>
      </c>
      <c r="J3" s="720" t="s">
        <v>8</v>
      </c>
      <c r="K3" s="720" t="s">
        <v>2039</v>
      </c>
      <c r="L3" s="720" t="s">
        <v>10</v>
      </c>
      <c r="M3" s="720" t="s">
        <v>2040</v>
      </c>
      <c r="N3" s="746"/>
      <c r="O3" s="746"/>
      <c r="P3" s="746"/>
      <c r="Q3" s="746"/>
      <c r="R3" s="521"/>
      <c r="S3" s="521"/>
    </row>
    <row r="4" spans="1:19">
      <c r="A4" s="721">
        <v>1</v>
      </c>
      <c r="B4" s="721">
        <v>8929519</v>
      </c>
      <c r="C4" s="721" t="s">
        <v>2041</v>
      </c>
      <c r="D4" s="721">
        <v>95</v>
      </c>
      <c r="E4" s="721" t="s">
        <v>49</v>
      </c>
      <c r="F4" s="721" t="s">
        <v>84</v>
      </c>
      <c r="G4" s="721" t="s">
        <v>2042</v>
      </c>
      <c r="H4" s="721" t="s">
        <v>2043</v>
      </c>
      <c r="I4" s="721"/>
      <c r="J4" s="721"/>
      <c r="K4" s="721" t="s">
        <v>2044</v>
      </c>
      <c r="L4" s="721">
        <v>19056999</v>
      </c>
      <c r="M4" s="722" t="s">
        <v>955</v>
      </c>
      <c r="N4" s="746"/>
      <c r="O4" s="746"/>
      <c r="P4" s="746"/>
      <c r="Q4" s="746"/>
      <c r="R4" s="521"/>
      <c r="S4" s="521"/>
    </row>
    <row r="5" spans="1:19">
      <c r="A5" s="723">
        <v>2</v>
      </c>
      <c r="B5" s="723">
        <v>8939501</v>
      </c>
      <c r="C5" s="723" t="s">
        <v>2045</v>
      </c>
      <c r="D5" s="723">
        <v>95</v>
      </c>
      <c r="E5" s="723" t="s">
        <v>49</v>
      </c>
      <c r="F5" s="723" t="s">
        <v>84</v>
      </c>
      <c r="G5" s="723" t="s">
        <v>2042</v>
      </c>
      <c r="H5" s="723" t="s">
        <v>2043</v>
      </c>
      <c r="I5" s="723"/>
      <c r="J5" s="723"/>
      <c r="K5" s="723" t="s">
        <v>2044</v>
      </c>
      <c r="L5" s="723">
        <v>19073527</v>
      </c>
      <c r="M5" s="724" t="s">
        <v>955</v>
      </c>
      <c r="N5" s="746"/>
      <c r="O5" s="746"/>
      <c r="P5" s="746"/>
      <c r="Q5" s="746"/>
      <c r="R5" s="521"/>
      <c r="S5" s="521"/>
    </row>
    <row r="6" spans="1:19">
      <c r="A6" s="721">
        <v>3</v>
      </c>
      <c r="B6" s="721">
        <v>8939503</v>
      </c>
      <c r="C6" s="721" t="s">
        <v>2046</v>
      </c>
      <c r="D6" s="721">
        <v>95</v>
      </c>
      <c r="E6" s="721" t="s">
        <v>49</v>
      </c>
      <c r="F6" s="721" t="s">
        <v>84</v>
      </c>
      <c r="G6" s="721" t="s">
        <v>2042</v>
      </c>
      <c r="H6" s="721" t="s">
        <v>2043</v>
      </c>
      <c r="I6" s="721"/>
      <c r="J6" s="721" t="s">
        <v>2047</v>
      </c>
      <c r="K6" s="721" t="s">
        <v>2044</v>
      </c>
      <c r="L6" s="721">
        <v>51703985</v>
      </c>
      <c r="M6" s="722" t="s">
        <v>955</v>
      </c>
      <c r="N6" s="746"/>
      <c r="O6" s="746"/>
      <c r="P6" s="746"/>
      <c r="Q6" s="746"/>
      <c r="R6" s="521"/>
      <c r="S6" s="521"/>
    </row>
    <row r="7" spans="1:19">
      <c r="A7" s="723">
        <v>4</v>
      </c>
      <c r="B7" s="723">
        <v>8939504</v>
      </c>
      <c r="C7" s="723" t="s">
        <v>2048</v>
      </c>
      <c r="D7" s="723">
        <v>95</v>
      </c>
      <c r="E7" s="723" t="s">
        <v>49</v>
      </c>
      <c r="F7" s="723" t="s">
        <v>84</v>
      </c>
      <c r="G7" s="723" t="s">
        <v>2042</v>
      </c>
      <c r="H7" s="723" t="s">
        <v>2043</v>
      </c>
      <c r="I7" s="723"/>
      <c r="J7" s="723"/>
      <c r="K7" s="723" t="s">
        <v>2044</v>
      </c>
      <c r="L7" s="723">
        <v>19082081</v>
      </c>
      <c r="M7" s="724" t="s">
        <v>955</v>
      </c>
      <c r="N7" s="746"/>
      <c r="O7" s="746"/>
      <c r="P7" s="746"/>
      <c r="Q7" s="746"/>
      <c r="R7" s="521"/>
      <c r="S7" s="521"/>
    </row>
    <row r="8" spans="1:19">
      <c r="A8" s="721">
        <v>5</v>
      </c>
      <c r="B8" s="721">
        <v>8939506</v>
      </c>
      <c r="C8" s="721" t="s">
        <v>2049</v>
      </c>
      <c r="D8" s="721">
        <v>95</v>
      </c>
      <c r="E8" s="721" t="s">
        <v>49</v>
      </c>
      <c r="F8" s="721" t="s">
        <v>84</v>
      </c>
      <c r="G8" s="721" t="s">
        <v>2042</v>
      </c>
      <c r="H8" s="721" t="s">
        <v>2043</v>
      </c>
      <c r="I8" s="721"/>
      <c r="J8" s="721"/>
      <c r="K8" s="721" t="s">
        <v>2044</v>
      </c>
      <c r="L8" s="721">
        <v>7464009</v>
      </c>
      <c r="M8" s="722" t="s">
        <v>955</v>
      </c>
      <c r="N8" s="746"/>
      <c r="O8" s="746"/>
      <c r="P8" s="746"/>
      <c r="Q8" s="746"/>
      <c r="R8" s="521"/>
      <c r="S8" s="521"/>
    </row>
    <row r="9" spans="1:19">
      <c r="A9" s="723">
        <v>6</v>
      </c>
      <c r="B9" s="723">
        <v>8939507</v>
      </c>
      <c r="C9" s="723" t="s">
        <v>2050</v>
      </c>
      <c r="D9" s="723">
        <v>95</v>
      </c>
      <c r="E9" s="723" t="s">
        <v>49</v>
      </c>
      <c r="F9" s="723" t="s">
        <v>84</v>
      </c>
      <c r="G9" s="723" t="s">
        <v>2042</v>
      </c>
      <c r="H9" s="723" t="s">
        <v>2043</v>
      </c>
      <c r="I9" s="723"/>
      <c r="J9" s="723"/>
      <c r="K9" s="723" t="s">
        <v>2044</v>
      </c>
      <c r="L9" s="723">
        <v>19289020</v>
      </c>
      <c r="M9" s="724" t="s">
        <v>955</v>
      </c>
      <c r="N9" s="746"/>
      <c r="O9" s="746"/>
      <c r="P9" s="746"/>
      <c r="Q9" s="746"/>
      <c r="R9" s="521"/>
      <c r="S9" s="521"/>
    </row>
    <row r="10" spans="1:19">
      <c r="A10" s="721">
        <v>7</v>
      </c>
      <c r="B10" s="721">
        <v>8939511</v>
      </c>
      <c r="C10" s="721" t="s">
        <v>2051</v>
      </c>
      <c r="D10" s="721">
        <v>95</v>
      </c>
      <c r="E10" s="721" t="s">
        <v>49</v>
      </c>
      <c r="F10" s="721" t="s">
        <v>84</v>
      </c>
      <c r="G10" s="721" t="s">
        <v>2042</v>
      </c>
      <c r="H10" s="721" t="s">
        <v>2043</v>
      </c>
      <c r="I10" s="721"/>
      <c r="J10" s="721"/>
      <c r="K10" s="721" t="s">
        <v>2044</v>
      </c>
      <c r="L10" s="721">
        <v>19085510</v>
      </c>
      <c r="M10" s="722" t="s">
        <v>955</v>
      </c>
      <c r="N10" s="746"/>
      <c r="O10" s="746"/>
      <c r="P10" s="746"/>
      <c r="Q10" s="746"/>
      <c r="R10" s="521"/>
      <c r="S10" s="521"/>
    </row>
    <row r="11" spans="1:19">
      <c r="A11" s="723">
        <v>8</v>
      </c>
      <c r="B11" s="723">
        <v>8939512</v>
      </c>
      <c r="C11" s="723" t="s">
        <v>2052</v>
      </c>
      <c r="D11" s="723">
        <v>95</v>
      </c>
      <c r="E11" s="723" t="s">
        <v>49</v>
      </c>
      <c r="F11" s="723" t="s">
        <v>84</v>
      </c>
      <c r="G11" s="723" t="s">
        <v>2042</v>
      </c>
      <c r="H11" s="723" t="s">
        <v>2043</v>
      </c>
      <c r="I11" s="723"/>
      <c r="J11" s="723"/>
      <c r="K11" s="723" t="s">
        <v>2044</v>
      </c>
      <c r="L11" s="723">
        <v>51764305</v>
      </c>
      <c r="M11" s="724" t="s">
        <v>955</v>
      </c>
      <c r="N11" s="746"/>
      <c r="O11" s="746"/>
      <c r="P11" s="746"/>
      <c r="Q11" s="746"/>
      <c r="R11" s="521"/>
      <c r="S11" s="521"/>
    </row>
    <row r="12" spans="1:19">
      <c r="A12" s="721">
        <v>9</v>
      </c>
      <c r="B12" s="721">
        <v>8939513</v>
      </c>
      <c r="C12" s="721" t="s">
        <v>2053</v>
      </c>
      <c r="D12" s="721">
        <v>95</v>
      </c>
      <c r="E12" s="721" t="s">
        <v>49</v>
      </c>
      <c r="F12" s="721" t="s">
        <v>84</v>
      </c>
      <c r="G12" s="721" t="s">
        <v>2042</v>
      </c>
      <c r="H12" s="721" t="s">
        <v>2043</v>
      </c>
      <c r="I12" s="721" t="s">
        <v>2054</v>
      </c>
      <c r="J12" s="721" t="s">
        <v>2054</v>
      </c>
      <c r="K12" s="721" t="s">
        <v>2044</v>
      </c>
      <c r="L12" s="721">
        <v>19257223</v>
      </c>
      <c r="M12" s="722" t="s">
        <v>955</v>
      </c>
      <c r="N12" s="746"/>
      <c r="O12" s="746"/>
      <c r="P12" s="746"/>
      <c r="Q12" s="746"/>
      <c r="R12" s="521"/>
      <c r="S12" s="521"/>
    </row>
    <row r="13" spans="1:19">
      <c r="A13" s="723">
        <v>10</v>
      </c>
      <c r="B13" s="723">
        <v>8939514</v>
      </c>
      <c r="C13" s="723" t="s">
        <v>2055</v>
      </c>
      <c r="D13" s="723">
        <v>95</v>
      </c>
      <c r="E13" s="723" t="s">
        <v>49</v>
      </c>
      <c r="F13" s="723" t="s">
        <v>84</v>
      </c>
      <c r="G13" s="723" t="s">
        <v>2042</v>
      </c>
      <c r="H13" s="723" t="s">
        <v>2043</v>
      </c>
      <c r="I13" s="723"/>
      <c r="J13" s="723"/>
      <c r="K13" s="723" t="s">
        <v>2044</v>
      </c>
      <c r="L13" s="723">
        <v>197019</v>
      </c>
      <c r="M13" s="724" t="s">
        <v>955</v>
      </c>
      <c r="N13" s="746"/>
      <c r="O13" s="746"/>
      <c r="P13" s="746"/>
      <c r="Q13" s="746"/>
      <c r="R13" s="521"/>
      <c r="S13" s="521"/>
    </row>
    <row r="14" spans="1:19">
      <c r="A14" s="721">
        <v>11</v>
      </c>
      <c r="B14" s="721">
        <v>8939517</v>
      </c>
      <c r="C14" s="721" t="s">
        <v>2056</v>
      </c>
      <c r="D14" s="721">
        <v>95</v>
      </c>
      <c r="E14" s="721" t="s">
        <v>49</v>
      </c>
      <c r="F14" s="721" t="s">
        <v>84</v>
      </c>
      <c r="G14" s="721" t="s">
        <v>2042</v>
      </c>
      <c r="H14" s="721" t="s">
        <v>2043</v>
      </c>
      <c r="I14" s="721"/>
      <c r="J14" s="721"/>
      <c r="K14" s="721" t="s">
        <v>2044</v>
      </c>
      <c r="L14" s="721">
        <v>17153528</v>
      </c>
      <c r="M14" s="722" t="s">
        <v>955</v>
      </c>
      <c r="N14" s="746"/>
      <c r="O14" s="746"/>
      <c r="P14" s="746"/>
      <c r="Q14" s="746"/>
      <c r="R14" s="521"/>
      <c r="S14" s="521"/>
    </row>
    <row r="15" spans="1:19">
      <c r="A15" s="723">
        <v>12</v>
      </c>
      <c r="B15" s="723">
        <v>8939518</v>
      </c>
      <c r="C15" s="723" t="s">
        <v>2057</v>
      </c>
      <c r="D15" s="723">
        <v>95</v>
      </c>
      <c r="E15" s="723" t="s">
        <v>49</v>
      </c>
      <c r="F15" s="723" t="s">
        <v>84</v>
      </c>
      <c r="G15" s="723" t="s">
        <v>2042</v>
      </c>
      <c r="H15" s="723" t="s">
        <v>2043</v>
      </c>
      <c r="I15" s="723"/>
      <c r="J15" s="723"/>
      <c r="K15" s="723" t="s">
        <v>2044</v>
      </c>
      <c r="L15" s="723">
        <v>51765701</v>
      </c>
      <c r="M15" s="724" t="s">
        <v>955</v>
      </c>
      <c r="N15" s="746"/>
      <c r="O15" s="746"/>
      <c r="P15" s="746"/>
      <c r="Q15" s="746"/>
      <c r="R15" s="521"/>
      <c r="S15" s="521"/>
    </row>
    <row r="16" spans="1:19">
      <c r="A16" s="721">
        <v>13</v>
      </c>
      <c r="B16" s="721">
        <v>8939520</v>
      </c>
      <c r="C16" s="721" t="s">
        <v>2058</v>
      </c>
      <c r="D16" s="721">
        <v>95</v>
      </c>
      <c r="E16" s="721" t="s">
        <v>49</v>
      </c>
      <c r="F16" s="721" t="s">
        <v>84</v>
      </c>
      <c r="G16" s="721" t="s">
        <v>2042</v>
      </c>
      <c r="H16" s="721" t="s">
        <v>2043</v>
      </c>
      <c r="I16" s="721" t="s">
        <v>2059</v>
      </c>
      <c r="J16" s="721" t="s">
        <v>2059</v>
      </c>
      <c r="K16" s="721" t="s">
        <v>2044</v>
      </c>
      <c r="L16" s="721">
        <v>79343019</v>
      </c>
      <c r="M16" s="722" t="s">
        <v>955</v>
      </c>
      <c r="N16" s="746"/>
      <c r="O16" s="746"/>
      <c r="P16" s="746"/>
      <c r="Q16" s="746"/>
      <c r="R16" s="521"/>
      <c r="S16" s="521"/>
    </row>
    <row r="17" spans="1:19">
      <c r="A17" s="723">
        <v>14</v>
      </c>
      <c r="B17" s="723">
        <v>8939521</v>
      </c>
      <c r="C17" s="723" t="s">
        <v>2060</v>
      </c>
      <c r="D17" s="723">
        <v>95</v>
      </c>
      <c r="E17" s="723" t="s">
        <v>49</v>
      </c>
      <c r="F17" s="723" t="s">
        <v>84</v>
      </c>
      <c r="G17" s="723" t="s">
        <v>2042</v>
      </c>
      <c r="H17" s="723" t="s">
        <v>2043</v>
      </c>
      <c r="I17" s="723"/>
      <c r="J17" s="723"/>
      <c r="K17" s="723" t="s">
        <v>2044</v>
      </c>
      <c r="L17" s="723">
        <v>2945746</v>
      </c>
      <c r="M17" s="724" t="s">
        <v>955</v>
      </c>
      <c r="N17" s="746"/>
      <c r="O17" s="746"/>
      <c r="P17" s="746"/>
      <c r="Q17" s="746"/>
      <c r="R17" s="521"/>
      <c r="S17" s="521"/>
    </row>
    <row r="18" spans="1:19">
      <c r="A18" s="721">
        <v>15</v>
      </c>
      <c r="B18" s="721">
        <v>8939522</v>
      </c>
      <c r="C18" s="721" t="s">
        <v>2061</v>
      </c>
      <c r="D18" s="721">
        <v>95</v>
      </c>
      <c r="E18" s="721" t="s">
        <v>49</v>
      </c>
      <c r="F18" s="721" t="s">
        <v>84</v>
      </c>
      <c r="G18" s="721" t="s">
        <v>2042</v>
      </c>
      <c r="H18" s="721" t="s">
        <v>2043</v>
      </c>
      <c r="I18" s="721"/>
      <c r="J18" s="721"/>
      <c r="K18" s="721" t="s">
        <v>2044</v>
      </c>
      <c r="L18" s="721">
        <v>41715029</v>
      </c>
      <c r="M18" s="722" t="s">
        <v>955</v>
      </c>
      <c r="N18" s="746"/>
      <c r="O18" s="746"/>
      <c r="P18" s="746"/>
      <c r="Q18" s="746"/>
      <c r="R18" s="521"/>
      <c r="S18" s="521"/>
    </row>
    <row r="19" spans="1:19">
      <c r="A19" s="723">
        <v>16</v>
      </c>
      <c r="B19" s="723">
        <v>8939523</v>
      </c>
      <c r="C19" s="723" t="s">
        <v>2062</v>
      </c>
      <c r="D19" s="723">
        <v>95</v>
      </c>
      <c r="E19" s="723" t="s">
        <v>49</v>
      </c>
      <c r="F19" s="723" t="s">
        <v>84</v>
      </c>
      <c r="G19" s="723" t="s">
        <v>2042</v>
      </c>
      <c r="H19" s="723" t="s">
        <v>2043</v>
      </c>
      <c r="I19" s="723"/>
      <c r="J19" s="723" t="s">
        <v>2063</v>
      </c>
      <c r="K19" s="723" t="s">
        <v>2044</v>
      </c>
      <c r="L19" s="723">
        <v>79383764</v>
      </c>
      <c r="M19" s="724" t="s">
        <v>955</v>
      </c>
      <c r="N19" s="746"/>
      <c r="O19" s="746"/>
      <c r="P19" s="746"/>
      <c r="Q19" s="746"/>
      <c r="R19" s="521"/>
      <c r="S19" s="521"/>
    </row>
    <row r="20" spans="1:19">
      <c r="A20" s="721">
        <v>17</v>
      </c>
      <c r="B20" s="721">
        <v>8949507</v>
      </c>
      <c r="C20" s="721" t="s">
        <v>2064</v>
      </c>
      <c r="D20" s="721">
        <v>95</v>
      </c>
      <c r="E20" s="721" t="s">
        <v>49</v>
      </c>
      <c r="F20" s="721" t="s">
        <v>84</v>
      </c>
      <c r="G20" s="721" t="s">
        <v>2042</v>
      </c>
      <c r="H20" s="721" t="s">
        <v>2043</v>
      </c>
      <c r="I20" s="721"/>
      <c r="J20" s="721"/>
      <c r="K20" s="721" t="s">
        <v>2044</v>
      </c>
      <c r="L20" s="721">
        <v>19188812</v>
      </c>
      <c r="M20" s="722" t="s">
        <v>955</v>
      </c>
      <c r="N20" s="746"/>
      <c r="O20" s="746"/>
      <c r="P20" s="746"/>
      <c r="Q20" s="746"/>
      <c r="R20" s="521"/>
      <c r="S20" s="521"/>
    </row>
    <row r="21" spans="1:19">
      <c r="A21" s="723">
        <v>18</v>
      </c>
      <c r="B21" s="723">
        <v>9019511</v>
      </c>
      <c r="C21" s="723" t="s">
        <v>2065</v>
      </c>
      <c r="D21" s="723">
        <v>95</v>
      </c>
      <c r="E21" s="723" t="s">
        <v>49</v>
      </c>
      <c r="F21" s="723" t="s">
        <v>84</v>
      </c>
      <c r="G21" s="723" t="s">
        <v>2042</v>
      </c>
      <c r="H21" s="723" t="s">
        <v>2043</v>
      </c>
      <c r="I21" s="723"/>
      <c r="J21" s="723"/>
      <c r="K21" s="723" t="s">
        <v>2044</v>
      </c>
      <c r="L21" s="723">
        <v>51765224</v>
      </c>
      <c r="M21" s="724" t="s">
        <v>955</v>
      </c>
      <c r="N21" s="746"/>
      <c r="O21" s="746"/>
      <c r="P21" s="746"/>
      <c r="Q21" s="746"/>
      <c r="R21" s="521"/>
      <c r="S21" s="521"/>
    </row>
    <row r="22" spans="1:19">
      <c r="A22" s="721">
        <v>19</v>
      </c>
      <c r="B22" s="721">
        <v>9019512</v>
      </c>
      <c r="C22" s="721" t="s">
        <v>2066</v>
      </c>
      <c r="D22" s="721">
        <v>95</v>
      </c>
      <c r="E22" s="721" t="s">
        <v>49</v>
      </c>
      <c r="F22" s="721" t="s">
        <v>84</v>
      </c>
      <c r="G22" s="721" t="s">
        <v>2042</v>
      </c>
      <c r="H22" s="721" t="s">
        <v>2043</v>
      </c>
      <c r="I22" s="721"/>
      <c r="J22" s="721"/>
      <c r="K22" s="721" t="s">
        <v>2044</v>
      </c>
      <c r="L22" s="721">
        <v>17322117</v>
      </c>
      <c r="M22" s="722" t="s">
        <v>955</v>
      </c>
      <c r="N22" s="746"/>
      <c r="O22" s="746"/>
      <c r="P22" s="746"/>
      <c r="Q22" s="746"/>
      <c r="R22" s="521"/>
      <c r="S22" s="521"/>
    </row>
    <row r="23" spans="1:19">
      <c r="A23" s="723">
        <v>20</v>
      </c>
      <c r="B23" s="723">
        <v>9019519</v>
      </c>
      <c r="C23" s="723" t="s">
        <v>2067</v>
      </c>
      <c r="D23" s="723">
        <v>95</v>
      </c>
      <c r="E23" s="723" t="s">
        <v>49</v>
      </c>
      <c r="F23" s="723" t="s">
        <v>84</v>
      </c>
      <c r="G23" s="723" t="s">
        <v>2042</v>
      </c>
      <c r="H23" s="723" t="s">
        <v>2043</v>
      </c>
      <c r="I23" s="723"/>
      <c r="J23" s="723"/>
      <c r="K23" s="723" t="s">
        <v>2044</v>
      </c>
      <c r="L23" s="723">
        <v>19220073</v>
      </c>
      <c r="M23" s="724" t="s">
        <v>955</v>
      </c>
      <c r="N23" s="746"/>
      <c r="O23" s="746"/>
      <c r="P23" s="746"/>
      <c r="Q23" s="746"/>
      <c r="R23" s="521"/>
      <c r="S23" s="521"/>
    </row>
    <row r="24" spans="1:19">
      <c r="A24" s="721">
        <v>21</v>
      </c>
      <c r="B24" s="721">
        <v>9019526</v>
      </c>
      <c r="C24" s="721" t="s">
        <v>2068</v>
      </c>
      <c r="D24" s="721">
        <v>95</v>
      </c>
      <c r="E24" s="721" t="s">
        <v>49</v>
      </c>
      <c r="F24" s="721" t="s">
        <v>84</v>
      </c>
      <c r="G24" s="721" t="s">
        <v>2042</v>
      </c>
      <c r="H24" s="721" t="s">
        <v>2043</v>
      </c>
      <c r="I24" s="721"/>
      <c r="J24" s="721"/>
      <c r="K24" s="721" t="s">
        <v>2044</v>
      </c>
      <c r="L24" s="721">
        <v>79292064</v>
      </c>
      <c r="M24" s="722" t="s">
        <v>955</v>
      </c>
      <c r="N24" s="746"/>
      <c r="O24" s="746"/>
      <c r="P24" s="746"/>
      <c r="Q24" s="746"/>
      <c r="R24" s="521"/>
      <c r="S24" s="521"/>
    </row>
    <row r="25" spans="1:19">
      <c r="A25" s="723">
        <v>22</v>
      </c>
      <c r="B25" s="723">
        <v>9019527</v>
      </c>
      <c r="C25" s="723" t="s">
        <v>2069</v>
      </c>
      <c r="D25" s="723">
        <v>95</v>
      </c>
      <c r="E25" s="723" t="s">
        <v>49</v>
      </c>
      <c r="F25" s="723" t="s">
        <v>84</v>
      </c>
      <c r="G25" s="723" t="s">
        <v>2042</v>
      </c>
      <c r="H25" s="723" t="s">
        <v>2043</v>
      </c>
      <c r="I25" s="723"/>
      <c r="J25" s="723"/>
      <c r="K25" s="723" t="s">
        <v>2044</v>
      </c>
      <c r="L25" s="723">
        <v>65496815</v>
      </c>
      <c r="M25" s="724" t="s">
        <v>955</v>
      </c>
      <c r="N25" s="746"/>
      <c r="O25" s="746"/>
      <c r="P25" s="746"/>
      <c r="Q25" s="746"/>
      <c r="R25" s="521"/>
      <c r="S25" s="521"/>
    </row>
    <row r="26" spans="1:19">
      <c r="A26" s="721">
        <v>23</v>
      </c>
      <c r="B26" s="721">
        <v>9029506</v>
      </c>
      <c r="C26" s="721" t="s">
        <v>2070</v>
      </c>
      <c r="D26" s="721">
        <v>95</v>
      </c>
      <c r="E26" s="721" t="s">
        <v>49</v>
      </c>
      <c r="F26" s="721" t="s">
        <v>84</v>
      </c>
      <c r="G26" s="721" t="s">
        <v>2042</v>
      </c>
      <c r="H26" s="721" t="s">
        <v>2043</v>
      </c>
      <c r="I26" s="721"/>
      <c r="J26" s="721"/>
      <c r="K26" s="721" t="s">
        <v>2044</v>
      </c>
      <c r="L26" s="721">
        <v>79261374</v>
      </c>
      <c r="M26" s="722" t="s">
        <v>955</v>
      </c>
      <c r="N26" s="746"/>
      <c r="O26" s="746"/>
      <c r="P26" s="746"/>
      <c r="Q26" s="746"/>
      <c r="R26" s="521"/>
      <c r="S26" s="521"/>
    </row>
    <row r="27" spans="1:19">
      <c r="A27" s="723">
        <v>24</v>
      </c>
      <c r="B27" s="723">
        <v>9039503</v>
      </c>
      <c r="C27" s="723" t="s">
        <v>2071</v>
      </c>
      <c r="D27" s="723">
        <v>95</v>
      </c>
      <c r="E27" s="723" t="s">
        <v>49</v>
      </c>
      <c r="F27" s="723" t="s">
        <v>84</v>
      </c>
      <c r="G27" s="723" t="s">
        <v>2042</v>
      </c>
      <c r="H27" s="723" t="s">
        <v>2043</v>
      </c>
      <c r="I27" s="723"/>
      <c r="J27" s="723"/>
      <c r="K27" s="723" t="s">
        <v>2044</v>
      </c>
      <c r="L27" s="723">
        <v>73110505</v>
      </c>
      <c r="M27" s="724" t="s">
        <v>955</v>
      </c>
      <c r="N27" s="746"/>
      <c r="O27" s="746"/>
      <c r="P27" s="746"/>
      <c r="Q27" s="746"/>
      <c r="R27" s="521"/>
      <c r="S27" s="521"/>
    </row>
    <row r="28" spans="1:19">
      <c r="A28" s="721">
        <v>25</v>
      </c>
      <c r="B28" s="721">
        <v>9119514</v>
      </c>
      <c r="C28" s="721" t="s">
        <v>2072</v>
      </c>
      <c r="D28" s="721">
        <v>95</v>
      </c>
      <c r="E28" s="721" t="s">
        <v>49</v>
      </c>
      <c r="F28" s="721" t="s">
        <v>84</v>
      </c>
      <c r="G28" s="721" t="s">
        <v>2042</v>
      </c>
      <c r="H28" s="721" t="s">
        <v>2043</v>
      </c>
      <c r="I28" s="721"/>
      <c r="J28" s="721"/>
      <c r="K28" s="721" t="s">
        <v>2044</v>
      </c>
      <c r="L28" s="721">
        <v>79390069</v>
      </c>
      <c r="M28" s="722" t="s">
        <v>955</v>
      </c>
      <c r="N28" s="746"/>
      <c r="O28" s="746"/>
      <c r="P28" s="746"/>
      <c r="Q28" s="746"/>
      <c r="R28" s="521"/>
      <c r="S28" s="521"/>
    </row>
    <row r="29" spans="1:19">
      <c r="A29" s="723">
        <v>26</v>
      </c>
      <c r="B29" s="723">
        <v>9139509</v>
      </c>
      <c r="C29" s="723" t="s">
        <v>2073</v>
      </c>
      <c r="D29" s="723">
        <v>95</v>
      </c>
      <c r="E29" s="723" t="s">
        <v>49</v>
      </c>
      <c r="F29" s="723" t="s">
        <v>84</v>
      </c>
      <c r="G29" s="723" t="s">
        <v>2042</v>
      </c>
      <c r="H29" s="723" t="s">
        <v>2043</v>
      </c>
      <c r="I29" s="723"/>
      <c r="J29" s="723"/>
      <c r="K29" s="723" t="s">
        <v>2044</v>
      </c>
      <c r="L29" s="723">
        <v>35404784</v>
      </c>
      <c r="M29" s="724" t="s">
        <v>955</v>
      </c>
      <c r="N29" s="746"/>
      <c r="O29" s="746"/>
      <c r="P29" s="746"/>
      <c r="Q29" s="746"/>
      <c r="R29" s="521"/>
      <c r="S29" s="521"/>
    </row>
    <row r="30" spans="1:19">
      <c r="A30" s="721">
        <v>27</v>
      </c>
      <c r="B30" s="721">
        <v>9219501</v>
      </c>
      <c r="C30" s="721" t="s">
        <v>2074</v>
      </c>
      <c r="D30" s="721">
        <v>95</v>
      </c>
      <c r="E30" s="721" t="s">
        <v>49</v>
      </c>
      <c r="F30" s="721" t="s">
        <v>84</v>
      </c>
      <c r="G30" s="721" t="s">
        <v>2042</v>
      </c>
      <c r="H30" s="721" t="s">
        <v>2043</v>
      </c>
      <c r="I30" s="721"/>
      <c r="J30" s="721"/>
      <c r="K30" s="721" t="s">
        <v>2044</v>
      </c>
      <c r="L30" s="721">
        <v>19483959</v>
      </c>
      <c r="M30" s="722" t="s">
        <v>955</v>
      </c>
      <c r="N30" s="746"/>
      <c r="O30" s="746"/>
      <c r="P30" s="746"/>
      <c r="Q30" s="746"/>
      <c r="R30" s="521"/>
      <c r="S30" s="521"/>
    </row>
    <row r="31" spans="1:19">
      <c r="A31" s="723">
        <v>28</v>
      </c>
      <c r="B31" s="723">
        <v>9219504</v>
      </c>
      <c r="C31" s="723" t="s">
        <v>2075</v>
      </c>
      <c r="D31" s="723">
        <v>95</v>
      </c>
      <c r="E31" s="723" t="s">
        <v>49</v>
      </c>
      <c r="F31" s="723" t="s">
        <v>84</v>
      </c>
      <c r="G31" s="723" t="s">
        <v>2042</v>
      </c>
      <c r="H31" s="723" t="s">
        <v>2043</v>
      </c>
      <c r="I31" s="723"/>
      <c r="J31" s="723"/>
      <c r="K31" s="723" t="s">
        <v>2044</v>
      </c>
      <c r="L31" s="723">
        <v>19447443</v>
      </c>
      <c r="M31" s="724" t="s">
        <v>955</v>
      </c>
      <c r="N31" s="746"/>
      <c r="O31" s="746"/>
      <c r="P31" s="746"/>
      <c r="Q31" s="746"/>
      <c r="R31" s="521"/>
      <c r="S31" s="521"/>
    </row>
    <row r="32" spans="1:19">
      <c r="A32" s="721">
        <v>29</v>
      </c>
      <c r="B32" s="721">
        <v>9229505</v>
      </c>
      <c r="C32" s="721" t="s">
        <v>2076</v>
      </c>
      <c r="D32" s="721">
        <v>95</v>
      </c>
      <c r="E32" s="721" t="s">
        <v>49</v>
      </c>
      <c r="F32" s="721" t="s">
        <v>84</v>
      </c>
      <c r="G32" s="721" t="s">
        <v>2042</v>
      </c>
      <c r="H32" s="721" t="s">
        <v>2043</v>
      </c>
      <c r="I32" s="721"/>
      <c r="J32" s="721"/>
      <c r="K32" s="721" t="s">
        <v>2044</v>
      </c>
      <c r="L32" s="721">
        <v>39562551</v>
      </c>
      <c r="M32" s="722" t="s">
        <v>955</v>
      </c>
      <c r="N32" s="746"/>
      <c r="O32" s="746"/>
      <c r="P32" s="746"/>
      <c r="Q32" s="746"/>
      <c r="R32" s="521"/>
      <c r="S32" s="521"/>
    </row>
    <row r="33" spans="1:19">
      <c r="A33" s="723">
        <v>30</v>
      </c>
      <c r="B33" s="723">
        <v>9239505</v>
      </c>
      <c r="C33" s="723" t="s">
        <v>2077</v>
      </c>
      <c r="D33" s="723">
        <v>95</v>
      </c>
      <c r="E33" s="723" t="s">
        <v>49</v>
      </c>
      <c r="F33" s="723" t="s">
        <v>84</v>
      </c>
      <c r="G33" s="723" t="s">
        <v>2042</v>
      </c>
      <c r="H33" s="723" t="s">
        <v>2043</v>
      </c>
      <c r="I33" s="723"/>
      <c r="J33" s="723"/>
      <c r="K33" s="723" t="s">
        <v>2044</v>
      </c>
      <c r="L33" s="723">
        <v>79472452</v>
      </c>
      <c r="M33" s="724" t="s">
        <v>955</v>
      </c>
      <c r="N33" s="746"/>
      <c r="O33" s="746"/>
      <c r="P33" s="746"/>
      <c r="Q33" s="746"/>
      <c r="R33" s="521"/>
      <c r="S33" s="521"/>
    </row>
    <row r="34" spans="1:19">
      <c r="A34" s="721">
        <v>31</v>
      </c>
      <c r="B34" s="721">
        <v>9319508</v>
      </c>
      <c r="C34" s="721" t="s">
        <v>2078</v>
      </c>
      <c r="D34" s="721">
        <v>95</v>
      </c>
      <c r="E34" s="721" t="s">
        <v>49</v>
      </c>
      <c r="F34" s="721" t="s">
        <v>84</v>
      </c>
      <c r="G34" s="721" t="s">
        <v>2042</v>
      </c>
      <c r="H34" s="721" t="s">
        <v>2043</v>
      </c>
      <c r="I34" s="721"/>
      <c r="J34" s="721"/>
      <c r="K34" s="721" t="s">
        <v>2044</v>
      </c>
      <c r="L34" s="721">
        <v>19316812</v>
      </c>
      <c r="M34" s="722" t="s">
        <v>955</v>
      </c>
      <c r="N34" s="746"/>
      <c r="O34" s="746"/>
      <c r="P34" s="746"/>
      <c r="Q34" s="746"/>
      <c r="R34" s="521"/>
      <c r="S34" s="521"/>
    </row>
    <row r="35" spans="1:19">
      <c r="A35" s="723">
        <v>32</v>
      </c>
      <c r="B35" s="723">
        <v>9329503</v>
      </c>
      <c r="C35" s="723" t="s">
        <v>2079</v>
      </c>
      <c r="D35" s="723">
        <v>95</v>
      </c>
      <c r="E35" s="723" t="s">
        <v>49</v>
      </c>
      <c r="F35" s="723" t="s">
        <v>84</v>
      </c>
      <c r="G35" s="723" t="s">
        <v>2042</v>
      </c>
      <c r="H35" s="723" t="s">
        <v>2043</v>
      </c>
      <c r="I35" s="723" t="s">
        <v>2080</v>
      </c>
      <c r="J35" s="723" t="s">
        <v>2081</v>
      </c>
      <c r="K35" s="723" t="s">
        <v>2044</v>
      </c>
      <c r="L35" s="723">
        <v>51866543</v>
      </c>
      <c r="M35" s="723" t="s">
        <v>2082</v>
      </c>
      <c r="N35" s="746"/>
      <c r="O35" s="746"/>
      <c r="P35" s="746"/>
      <c r="Q35" s="746"/>
      <c r="R35" s="521"/>
      <c r="S35" s="521"/>
    </row>
    <row r="36" spans="1:19">
      <c r="A36" s="721">
        <v>33</v>
      </c>
      <c r="B36" s="721">
        <v>9329505</v>
      </c>
      <c r="C36" s="721" t="s">
        <v>2083</v>
      </c>
      <c r="D36" s="721">
        <v>95</v>
      </c>
      <c r="E36" s="721" t="s">
        <v>49</v>
      </c>
      <c r="F36" s="721" t="s">
        <v>84</v>
      </c>
      <c r="G36" s="721" t="s">
        <v>2042</v>
      </c>
      <c r="H36" s="721" t="s">
        <v>2043</v>
      </c>
      <c r="I36" s="721"/>
      <c r="J36" s="721"/>
      <c r="K36" s="721" t="s">
        <v>2044</v>
      </c>
      <c r="L36" s="721">
        <v>12109273</v>
      </c>
      <c r="M36" s="722" t="s">
        <v>955</v>
      </c>
      <c r="N36" s="746"/>
      <c r="O36" s="746"/>
      <c r="P36" s="746"/>
      <c r="Q36" s="746"/>
      <c r="R36" s="521"/>
      <c r="S36" s="521"/>
    </row>
    <row r="37" spans="1:19">
      <c r="A37" s="723">
        <v>34</v>
      </c>
      <c r="B37" s="723">
        <v>9329509</v>
      </c>
      <c r="C37" s="723" t="s">
        <v>2084</v>
      </c>
      <c r="D37" s="723">
        <v>95</v>
      </c>
      <c r="E37" s="723" t="s">
        <v>49</v>
      </c>
      <c r="F37" s="723" t="s">
        <v>84</v>
      </c>
      <c r="G37" s="723" t="s">
        <v>2042</v>
      </c>
      <c r="H37" s="723" t="s">
        <v>2043</v>
      </c>
      <c r="I37" s="723"/>
      <c r="J37" s="723"/>
      <c r="K37" s="723" t="s">
        <v>2044</v>
      </c>
      <c r="L37" s="723">
        <v>80264735</v>
      </c>
      <c r="M37" s="724" t="s">
        <v>955</v>
      </c>
      <c r="N37" s="746"/>
      <c r="O37" s="746"/>
      <c r="P37" s="746"/>
      <c r="Q37" s="746"/>
      <c r="R37" s="521"/>
      <c r="S37" s="521"/>
    </row>
    <row r="38" spans="1:19">
      <c r="A38" s="721">
        <v>35</v>
      </c>
      <c r="B38" s="721">
        <v>9329517</v>
      </c>
      <c r="C38" s="721" t="s">
        <v>2085</v>
      </c>
      <c r="D38" s="721">
        <v>95</v>
      </c>
      <c r="E38" s="721" t="s">
        <v>49</v>
      </c>
      <c r="F38" s="721" t="s">
        <v>84</v>
      </c>
      <c r="G38" s="721" t="s">
        <v>2042</v>
      </c>
      <c r="H38" s="721" t="s">
        <v>2043</v>
      </c>
      <c r="I38" s="721"/>
      <c r="J38" s="721"/>
      <c r="K38" s="721" t="s">
        <v>2044</v>
      </c>
      <c r="L38" s="721">
        <v>79367799</v>
      </c>
      <c r="M38" s="722" t="s">
        <v>955</v>
      </c>
      <c r="N38" s="746"/>
      <c r="O38" s="746"/>
      <c r="P38" s="746"/>
      <c r="Q38" s="746"/>
      <c r="R38" s="521"/>
      <c r="S38" s="521"/>
    </row>
    <row r="39" spans="1:19">
      <c r="A39" s="723">
        <v>36</v>
      </c>
      <c r="B39" s="723">
        <v>9329518</v>
      </c>
      <c r="C39" s="723" t="s">
        <v>2086</v>
      </c>
      <c r="D39" s="723">
        <v>95</v>
      </c>
      <c r="E39" s="723" t="s">
        <v>49</v>
      </c>
      <c r="F39" s="723" t="s">
        <v>84</v>
      </c>
      <c r="G39" s="723" t="s">
        <v>2042</v>
      </c>
      <c r="H39" s="723" t="s">
        <v>2043</v>
      </c>
      <c r="I39" s="723"/>
      <c r="J39" s="723"/>
      <c r="K39" s="723" t="s">
        <v>2044</v>
      </c>
      <c r="L39" s="723">
        <v>79428567</v>
      </c>
      <c r="M39" s="724" t="s">
        <v>955</v>
      </c>
      <c r="N39" s="746"/>
      <c r="O39" s="746"/>
      <c r="P39" s="746"/>
      <c r="Q39" s="746"/>
      <c r="R39" s="521"/>
      <c r="S39" s="521"/>
    </row>
    <row r="40" spans="1:19">
      <c r="A40" s="721">
        <v>37</v>
      </c>
      <c r="B40" s="721">
        <v>9329521</v>
      </c>
      <c r="C40" s="721" t="s">
        <v>2087</v>
      </c>
      <c r="D40" s="721">
        <v>95</v>
      </c>
      <c r="E40" s="721" t="s">
        <v>49</v>
      </c>
      <c r="F40" s="721" t="s">
        <v>84</v>
      </c>
      <c r="G40" s="721" t="s">
        <v>2042</v>
      </c>
      <c r="H40" s="721" t="s">
        <v>2043</v>
      </c>
      <c r="I40" s="721" t="s">
        <v>2088</v>
      </c>
      <c r="J40" s="721" t="s">
        <v>2089</v>
      </c>
      <c r="K40" s="721" t="s">
        <v>2044</v>
      </c>
      <c r="L40" s="721">
        <v>19422855</v>
      </c>
      <c r="M40" s="721" t="s">
        <v>2082</v>
      </c>
      <c r="N40" s="746"/>
      <c r="O40" s="746"/>
      <c r="P40" s="746"/>
      <c r="Q40" s="746"/>
      <c r="R40" s="521"/>
      <c r="S40" s="521"/>
    </row>
    <row r="41" spans="1:19">
      <c r="A41" s="723">
        <v>38</v>
      </c>
      <c r="B41" s="723">
        <v>9519504</v>
      </c>
      <c r="C41" s="723" t="s">
        <v>2090</v>
      </c>
      <c r="D41" s="723">
        <v>95</v>
      </c>
      <c r="E41" s="723" t="s">
        <v>49</v>
      </c>
      <c r="F41" s="723" t="s">
        <v>84</v>
      </c>
      <c r="G41" s="723" t="s">
        <v>2042</v>
      </c>
      <c r="H41" s="723" t="s">
        <v>2043</v>
      </c>
      <c r="I41" s="723" t="s">
        <v>2091</v>
      </c>
      <c r="J41" s="723" t="s">
        <v>2092</v>
      </c>
      <c r="K41" s="723" t="s">
        <v>2044</v>
      </c>
      <c r="L41" s="723">
        <v>51911517</v>
      </c>
      <c r="M41" s="723" t="s">
        <v>2093</v>
      </c>
      <c r="N41" s="746"/>
      <c r="O41" s="746"/>
      <c r="P41" s="746"/>
      <c r="Q41" s="746"/>
      <c r="R41" s="521"/>
      <c r="S41" s="521"/>
    </row>
    <row r="42" spans="1:19">
      <c r="A42" s="721">
        <v>39</v>
      </c>
      <c r="B42" s="721">
        <v>9519509</v>
      </c>
      <c r="C42" s="721" t="s">
        <v>2094</v>
      </c>
      <c r="D42" s="721">
        <v>95</v>
      </c>
      <c r="E42" s="721" t="s">
        <v>49</v>
      </c>
      <c r="F42" s="721" t="s">
        <v>84</v>
      </c>
      <c r="G42" s="721" t="s">
        <v>2042</v>
      </c>
      <c r="H42" s="721" t="s">
        <v>2043</v>
      </c>
      <c r="I42" s="721"/>
      <c r="J42" s="721"/>
      <c r="K42" s="721" t="s">
        <v>2044</v>
      </c>
      <c r="L42" s="721">
        <v>52005831</v>
      </c>
      <c r="M42" s="722" t="s">
        <v>955</v>
      </c>
      <c r="N42" s="746"/>
      <c r="O42" s="746"/>
      <c r="P42" s="746"/>
      <c r="Q42" s="746"/>
      <c r="R42" s="521"/>
      <c r="S42" s="521"/>
    </row>
    <row r="43" spans="1:19">
      <c r="A43" s="723">
        <v>40</v>
      </c>
      <c r="B43" s="723">
        <v>9519510</v>
      </c>
      <c r="C43" s="723" t="s">
        <v>2095</v>
      </c>
      <c r="D43" s="723">
        <v>95</v>
      </c>
      <c r="E43" s="723" t="s">
        <v>49</v>
      </c>
      <c r="F43" s="723" t="s">
        <v>84</v>
      </c>
      <c r="G43" s="723" t="s">
        <v>2042</v>
      </c>
      <c r="H43" s="723" t="s">
        <v>2043</v>
      </c>
      <c r="I43" s="723" t="s">
        <v>2096</v>
      </c>
      <c r="J43" s="723" t="s">
        <v>2097</v>
      </c>
      <c r="K43" s="723" t="s">
        <v>2044</v>
      </c>
      <c r="L43" s="723">
        <v>93355909</v>
      </c>
      <c r="M43" s="724" t="s">
        <v>955</v>
      </c>
      <c r="N43" s="746"/>
      <c r="O43" s="746"/>
      <c r="P43" s="746"/>
      <c r="Q43" s="746"/>
      <c r="R43" s="521"/>
      <c r="S43" s="521"/>
    </row>
    <row r="44" spans="1:19">
      <c r="A44" s="721">
        <v>41</v>
      </c>
      <c r="B44" s="721">
        <v>9519519</v>
      </c>
      <c r="C44" s="721" t="s">
        <v>2098</v>
      </c>
      <c r="D44" s="721">
        <v>95</v>
      </c>
      <c r="E44" s="721" t="s">
        <v>49</v>
      </c>
      <c r="F44" s="721" t="s">
        <v>84</v>
      </c>
      <c r="G44" s="721" t="s">
        <v>2042</v>
      </c>
      <c r="H44" s="721" t="s">
        <v>2043</v>
      </c>
      <c r="I44" s="721"/>
      <c r="J44" s="721"/>
      <c r="K44" s="721" t="s">
        <v>2044</v>
      </c>
      <c r="L44" s="721">
        <v>79508767</v>
      </c>
      <c r="M44" s="722" t="s">
        <v>955</v>
      </c>
      <c r="N44" s="746"/>
      <c r="O44" s="746"/>
      <c r="P44" s="746"/>
      <c r="Q44" s="746"/>
      <c r="R44" s="521"/>
      <c r="S44" s="521"/>
    </row>
    <row r="45" spans="1:19">
      <c r="A45" s="723">
        <v>42</v>
      </c>
      <c r="B45" s="723">
        <v>9519520</v>
      </c>
      <c r="C45" s="723" t="s">
        <v>2099</v>
      </c>
      <c r="D45" s="723">
        <v>95</v>
      </c>
      <c r="E45" s="723" t="s">
        <v>49</v>
      </c>
      <c r="F45" s="723" t="s">
        <v>84</v>
      </c>
      <c r="G45" s="723" t="s">
        <v>2042</v>
      </c>
      <c r="H45" s="723" t="s">
        <v>2043</v>
      </c>
      <c r="I45" s="723"/>
      <c r="J45" s="723"/>
      <c r="K45" s="723" t="s">
        <v>2044</v>
      </c>
      <c r="L45" s="723">
        <v>51594578</v>
      </c>
      <c r="M45" s="724" t="s">
        <v>955</v>
      </c>
      <c r="N45" s="746"/>
      <c r="O45" s="746"/>
      <c r="P45" s="746"/>
      <c r="Q45" s="746"/>
      <c r="R45" s="521"/>
      <c r="S45" s="521"/>
    </row>
    <row r="46" spans="1:19">
      <c r="A46" s="721">
        <v>43</v>
      </c>
      <c r="B46" s="721">
        <v>9619508</v>
      </c>
      <c r="C46" s="721" t="s">
        <v>2100</v>
      </c>
      <c r="D46" s="721">
        <v>95</v>
      </c>
      <c r="E46" s="721" t="s">
        <v>49</v>
      </c>
      <c r="F46" s="721" t="s">
        <v>84</v>
      </c>
      <c r="G46" s="721" t="s">
        <v>2042</v>
      </c>
      <c r="H46" s="721" t="s">
        <v>2043</v>
      </c>
      <c r="I46" s="721"/>
      <c r="J46" s="721"/>
      <c r="K46" s="721" t="s">
        <v>2044</v>
      </c>
      <c r="L46" s="721">
        <v>79456915</v>
      </c>
      <c r="M46" s="722" t="s">
        <v>955</v>
      </c>
      <c r="N46" s="746"/>
      <c r="O46" s="746"/>
      <c r="P46" s="746"/>
      <c r="Q46" s="746"/>
      <c r="R46" s="521"/>
      <c r="S46" s="521"/>
    </row>
    <row r="47" spans="1:19">
      <c r="A47" s="723">
        <v>44</v>
      </c>
      <c r="B47" s="723">
        <v>9629507</v>
      </c>
      <c r="C47" s="723" t="s">
        <v>2101</v>
      </c>
      <c r="D47" s="723">
        <v>95</v>
      </c>
      <c r="E47" s="723" t="s">
        <v>49</v>
      </c>
      <c r="F47" s="723" t="s">
        <v>84</v>
      </c>
      <c r="G47" s="723" t="s">
        <v>2042</v>
      </c>
      <c r="H47" s="723" t="s">
        <v>2043</v>
      </c>
      <c r="I47" s="723"/>
      <c r="J47" s="723"/>
      <c r="K47" s="723" t="s">
        <v>2044</v>
      </c>
      <c r="L47" s="723">
        <v>52046061</v>
      </c>
      <c r="M47" s="724" t="s">
        <v>955</v>
      </c>
      <c r="N47" s="746"/>
      <c r="O47" s="746"/>
      <c r="P47" s="746"/>
      <c r="Q47" s="746"/>
      <c r="R47" s="521"/>
      <c r="S47" s="521"/>
    </row>
    <row r="48" spans="1:19">
      <c r="A48" s="721">
        <v>45</v>
      </c>
      <c r="B48" s="721">
        <v>9629508</v>
      </c>
      <c r="C48" s="721" t="s">
        <v>2102</v>
      </c>
      <c r="D48" s="721">
        <v>95</v>
      </c>
      <c r="E48" s="721" t="s">
        <v>49</v>
      </c>
      <c r="F48" s="721" t="s">
        <v>84</v>
      </c>
      <c r="G48" s="721" t="s">
        <v>2042</v>
      </c>
      <c r="H48" s="721" t="s">
        <v>2043</v>
      </c>
      <c r="I48" s="721"/>
      <c r="J48" s="721"/>
      <c r="K48" s="721" t="s">
        <v>2044</v>
      </c>
      <c r="L48" s="721">
        <v>79615199</v>
      </c>
      <c r="M48" s="721" t="s">
        <v>2082</v>
      </c>
      <c r="N48" s="746"/>
      <c r="O48" s="746"/>
      <c r="P48" s="746"/>
      <c r="Q48" s="746"/>
      <c r="R48" s="521"/>
      <c r="S48" s="521"/>
    </row>
    <row r="49" spans="1:19">
      <c r="A49" s="723">
        <v>46</v>
      </c>
      <c r="B49" s="723">
        <v>9629510</v>
      </c>
      <c r="C49" s="723" t="s">
        <v>2103</v>
      </c>
      <c r="D49" s="723">
        <v>95</v>
      </c>
      <c r="E49" s="723" t="s">
        <v>49</v>
      </c>
      <c r="F49" s="723" t="s">
        <v>84</v>
      </c>
      <c r="G49" s="723" t="s">
        <v>2042</v>
      </c>
      <c r="H49" s="723" t="s">
        <v>2043</v>
      </c>
      <c r="I49" s="723"/>
      <c r="J49" s="723"/>
      <c r="K49" s="723" t="s">
        <v>2044</v>
      </c>
      <c r="L49" s="723">
        <v>499769060</v>
      </c>
      <c r="M49" s="724" t="s">
        <v>955</v>
      </c>
      <c r="N49" s="746"/>
      <c r="O49" s="746"/>
      <c r="P49" s="746"/>
      <c r="Q49" s="746"/>
      <c r="R49" s="521"/>
      <c r="S49" s="521"/>
    </row>
    <row r="50" spans="1:19">
      <c r="A50" s="721">
        <v>47</v>
      </c>
      <c r="B50" s="721">
        <v>9629516</v>
      </c>
      <c r="C50" s="721" t="s">
        <v>2104</v>
      </c>
      <c r="D50" s="721">
        <v>95</v>
      </c>
      <c r="E50" s="721" t="s">
        <v>49</v>
      </c>
      <c r="F50" s="721" t="s">
        <v>84</v>
      </c>
      <c r="G50" s="721" t="s">
        <v>2042</v>
      </c>
      <c r="H50" s="721" t="s">
        <v>2043</v>
      </c>
      <c r="I50" s="721"/>
      <c r="J50" s="721"/>
      <c r="K50" s="721" t="s">
        <v>2044</v>
      </c>
      <c r="L50" s="721">
        <v>79290893</v>
      </c>
      <c r="M50" s="721" t="s">
        <v>2082</v>
      </c>
      <c r="N50" s="746"/>
      <c r="O50" s="746"/>
      <c r="P50" s="746"/>
      <c r="Q50" s="746"/>
      <c r="R50" s="521"/>
      <c r="S50" s="521"/>
    </row>
    <row r="51" spans="1:19">
      <c r="A51" s="723">
        <v>48</v>
      </c>
      <c r="B51" s="723">
        <v>9719507</v>
      </c>
      <c r="C51" s="723" t="s">
        <v>2105</v>
      </c>
      <c r="D51" s="723">
        <v>95</v>
      </c>
      <c r="E51" s="723" t="s">
        <v>49</v>
      </c>
      <c r="F51" s="723" t="s">
        <v>84</v>
      </c>
      <c r="G51" s="723" t="s">
        <v>2042</v>
      </c>
      <c r="H51" s="723" t="s">
        <v>2043</v>
      </c>
      <c r="I51" s="723"/>
      <c r="J51" s="723"/>
      <c r="K51" s="723" t="s">
        <v>2044</v>
      </c>
      <c r="L51" s="723">
        <v>79054250</v>
      </c>
      <c r="M51" s="724" t="s">
        <v>955</v>
      </c>
      <c r="N51" s="746"/>
      <c r="O51" s="746"/>
      <c r="P51" s="746"/>
      <c r="Q51" s="746"/>
      <c r="R51" s="521"/>
      <c r="S51" s="521"/>
    </row>
    <row r="52" spans="1:19">
      <c r="A52" s="721">
        <v>49</v>
      </c>
      <c r="B52" s="721">
        <v>9719510</v>
      </c>
      <c r="C52" s="721" t="s">
        <v>2106</v>
      </c>
      <c r="D52" s="721">
        <v>95</v>
      </c>
      <c r="E52" s="721" t="s">
        <v>49</v>
      </c>
      <c r="F52" s="721" t="s">
        <v>84</v>
      </c>
      <c r="G52" s="721" t="s">
        <v>2042</v>
      </c>
      <c r="H52" s="721" t="s">
        <v>2043</v>
      </c>
      <c r="I52" s="721"/>
      <c r="J52" s="721"/>
      <c r="K52" s="721" t="s">
        <v>2044</v>
      </c>
      <c r="L52" s="721">
        <v>4258816</v>
      </c>
      <c r="M52" s="722" t="s">
        <v>955</v>
      </c>
      <c r="N52" s="746"/>
      <c r="O52" s="746"/>
      <c r="P52" s="746"/>
      <c r="Q52" s="746"/>
      <c r="R52" s="521"/>
      <c r="S52" s="521"/>
    </row>
    <row r="53" spans="1:19">
      <c r="A53" s="723">
        <v>50</v>
      </c>
      <c r="B53" s="723">
        <v>9719517</v>
      </c>
      <c r="C53" s="723" t="s">
        <v>2107</v>
      </c>
      <c r="D53" s="723">
        <v>95</v>
      </c>
      <c r="E53" s="723" t="s">
        <v>49</v>
      </c>
      <c r="F53" s="723" t="s">
        <v>84</v>
      </c>
      <c r="G53" s="723" t="s">
        <v>2042</v>
      </c>
      <c r="H53" s="723" t="s">
        <v>2043</v>
      </c>
      <c r="I53" s="723"/>
      <c r="J53" s="723"/>
      <c r="K53" s="723" t="s">
        <v>2108</v>
      </c>
      <c r="L53" s="723">
        <v>183204</v>
      </c>
      <c r="M53" s="724" t="s">
        <v>955</v>
      </c>
      <c r="N53" s="746"/>
      <c r="O53" s="746"/>
      <c r="P53" s="746"/>
      <c r="Q53" s="746"/>
      <c r="R53" s="521"/>
      <c r="S53" s="521"/>
    </row>
    <row r="54" spans="1:19">
      <c r="A54" s="721">
        <v>51</v>
      </c>
      <c r="B54" s="721">
        <v>9729504</v>
      </c>
      <c r="C54" s="721" t="s">
        <v>2109</v>
      </c>
      <c r="D54" s="721">
        <v>95</v>
      </c>
      <c r="E54" s="721" t="s">
        <v>49</v>
      </c>
      <c r="F54" s="721" t="s">
        <v>84</v>
      </c>
      <c r="G54" s="721" t="s">
        <v>2042</v>
      </c>
      <c r="H54" s="721" t="s">
        <v>2043</v>
      </c>
      <c r="I54" s="721"/>
      <c r="J54" s="721"/>
      <c r="K54" s="721" t="s">
        <v>2044</v>
      </c>
      <c r="L54" s="721">
        <v>11315064</v>
      </c>
      <c r="M54" s="722" t="s">
        <v>955</v>
      </c>
      <c r="N54" s="746"/>
      <c r="O54" s="746"/>
      <c r="P54" s="746"/>
      <c r="Q54" s="746"/>
      <c r="R54" s="521"/>
      <c r="S54" s="521"/>
    </row>
    <row r="55" spans="1:19">
      <c r="A55" s="723">
        <v>52</v>
      </c>
      <c r="B55" s="723">
        <v>9729507</v>
      </c>
      <c r="C55" s="723" t="s">
        <v>2110</v>
      </c>
      <c r="D55" s="723">
        <v>95</v>
      </c>
      <c r="E55" s="723" t="s">
        <v>49</v>
      </c>
      <c r="F55" s="723" t="s">
        <v>84</v>
      </c>
      <c r="G55" s="723" t="s">
        <v>2042</v>
      </c>
      <c r="H55" s="723" t="s">
        <v>2043</v>
      </c>
      <c r="I55" s="723" t="s">
        <v>2111</v>
      </c>
      <c r="J55" s="723" t="s">
        <v>2112</v>
      </c>
      <c r="K55" s="723" t="s">
        <v>2044</v>
      </c>
      <c r="L55" s="723">
        <v>9397924</v>
      </c>
      <c r="M55" s="723" t="s">
        <v>2113</v>
      </c>
      <c r="N55" s="746"/>
      <c r="O55" s="746"/>
      <c r="P55" s="746"/>
      <c r="Q55" s="746"/>
      <c r="R55" s="521"/>
      <c r="S55" s="521"/>
    </row>
    <row r="56" spans="1:19">
      <c r="A56" s="721">
        <v>53</v>
      </c>
      <c r="B56" s="721">
        <v>9729515</v>
      </c>
      <c r="C56" s="721" t="s">
        <v>2114</v>
      </c>
      <c r="D56" s="721">
        <v>95</v>
      </c>
      <c r="E56" s="721" t="s">
        <v>49</v>
      </c>
      <c r="F56" s="721" t="s">
        <v>84</v>
      </c>
      <c r="G56" s="721" t="s">
        <v>2042</v>
      </c>
      <c r="H56" s="721" t="s">
        <v>2043</v>
      </c>
      <c r="I56" s="721"/>
      <c r="J56" s="721"/>
      <c r="K56" s="721" t="s">
        <v>2044</v>
      </c>
      <c r="L56" s="721">
        <v>19194712</v>
      </c>
      <c r="M56" s="722" t="s">
        <v>955</v>
      </c>
      <c r="N56" s="746"/>
      <c r="O56" s="746"/>
      <c r="P56" s="746"/>
      <c r="Q56" s="746"/>
      <c r="R56" s="521"/>
      <c r="S56" s="521"/>
    </row>
    <row r="57" spans="1:19">
      <c r="A57" s="723">
        <v>54</v>
      </c>
      <c r="B57" s="723">
        <v>9729517</v>
      </c>
      <c r="C57" s="723" t="s">
        <v>2115</v>
      </c>
      <c r="D57" s="723">
        <v>95</v>
      </c>
      <c r="E57" s="723" t="s">
        <v>49</v>
      </c>
      <c r="F57" s="723" t="s">
        <v>84</v>
      </c>
      <c r="G57" s="723" t="s">
        <v>2042</v>
      </c>
      <c r="H57" s="723" t="s">
        <v>2043</v>
      </c>
      <c r="I57" s="723"/>
      <c r="J57" s="723"/>
      <c r="K57" s="723" t="s">
        <v>2044</v>
      </c>
      <c r="L57" s="723">
        <v>74301090</v>
      </c>
      <c r="M57" s="724" t="s">
        <v>955</v>
      </c>
      <c r="N57" s="746"/>
      <c r="O57" s="746"/>
      <c r="P57" s="746"/>
      <c r="Q57" s="746"/>
      <c r="R57" s="521"/>
      <c r="S57" s="521"/>
    </row>
    <row r="58" spans="1:19">
      <c r="A58" s="721">
        <v>55</v>
      </c>
      <c r="B58" s="721">
        <v>9729518</v>
      </c>
      <c r="C58" s="721" t="s">
        <v>2116</v>
      </c>
      <c r="D58" s="721">
        <v>95</v>
      </c>
      <c r="E58" s="721" t="s">
        <v>49</v>
      </c>
      <c r="F58" s="721" t="s">
        <v>84</v>
      </c>
      <c r="G58" s="721" t="s">
        <v>2042</v>
      </c>
      <c r="H58" s="721" t="s">
        <v>2043</v>
      </c>
      <c r="I58" s="721" t="s">
        <v>2117</v>
      </c>
      <c r="J58" s="721" t="s">
        <v>2118</v>
      </c>
      <c r="K58" s="721" t="s">
        <v>2044</v>
      </c>
      <c r="L58" s="721">
        <v>19242921</v>
      </c>
      <c r="M58" s="721" t="s">
        <v>2119</v>
      </c>
      <c r="N58" s="746"/>
      <c r="O58" s="746"/>
      <c r="P58" s="746"/>
      <c r="Q58" s="746"/>
      <c r="R58" s="521"/>
      <c r="S58" s="521"/>
    </row>
    <row r="59" spans="1:19">
      <c r="A59" s="723">
        <v>56</v>
      </c>
      <c r="B59" s="723">
        <v>9729520</v>
      </c>
      <c r="C59" s="723" t="s">
        <v>2120</v>
      </c>
      <c r="D59" s="723">
        <v>95</v>
      </c>
      <c r="E59" s="723" t="s">
        <v>49</v>
      </c>
      <c r="F59" s="723" t="s">
        <v>84</v>
      </c>
      <c r="G59" s="723" t="s">
        <v>2042</v>
      </c>
      <c r="H59" s="723" t="s">
        <v>2043</v>
      </c>
      <c r="I59" s="723" t="s">
        <v>2121</v>
      </c>
      <c r="J59" s="723" t="s">
        <v>2122</v>
      </c>
      <c r="K59" s="723" t="s">
        <v>2044</v>
      </c>
      <c r="L59" s="723">
        <v>79418086</v>
      </c>
      <c r="M59" s="723" t="s">
        <v>2082</v>
      </c>
      <c r="N59" s="746"/>
      <c r="O59" s="746"/>
      <c r="P59" s="746"/>
      <c r="Q59" s="746"/>
      <c r="R59" s="521"/>
      <c r="S59" s="521"/>
    </row>
    <row r="60" spans="1:19">
      <c r="A60" s="721">
        <v>57</v>
      </c>
      <c r="B60" s="721">
        <v>9819501</v>
      </c>
      <c r="C60" s="721" t="s">
        <v>2123</v>
      </c>
      <c r="D60" s="721">
        <v>95</v>
      </c>
      <c r="E60" s="721" t="s">
        <v>49</v>
      </c>
      <c r="F60" s="721" t="s">
        <v>84</v>
      </c>
      <c r="G60" s="721" t="s">
        <v>2042</v>
      </c>
      <c r="H60" s="721" t="s">
        <v>2043</v>
      </c>
      <c r="I60" s="721" t="s">
        <v>2124</v>
      </c>
      <c r="J60" s="721" t="s">
        <v>2125</v>
      </c>
      <c r="K60" s="721" t="s">
        <v>2044</v>
      </c>
      <c r="L60" s="721">
        <v>3015842</v>
      </c>
      <c r="M60" s="721" t="s">
        <v>2126</v>
      </c>
      <c r="N60" s="746"/>
      <c r="O60" s="746"/>
      <c r="P60" s="746"/>
      <c r="Q60" s="746"/>
      <c r="R60" s="521"/>
      <c r="S60" s="521"/>
    </row>
    <row r="61" spans="1:19">
      <c r="A61" s="723">
        <v>58</v>
      </c>
      <c r="B61" s="723">
        <v>9819506</v>
      </c>
      <c r="C61" s="723" t="s">
        <v>2127</v>
      </c>
      <c r="D61" s="723">
        <v>95</v>
      </c>
      <c r="E61" s="723" t="s">
        <v>49</v>
      </c>
      <c r="F61" s="723" t="s">
        <v>84</v>
      </c>
      <c r="G61" s="723" t="s">
        <v>2042</v>
      </c>
      <c r="H61" s="723" t="s">
        <v>2043</v>
      </c>
      <c r="I61" s="723"/>
      <c r="J61" s="723" t="s">
        <v>2128</v>
      </c>
      <c r="K61" s="723" t="s">
        <v>2044</v>
      </c>
      <c r="L61" s="723">
        <v>91291853</v>
      </c>
      <c r="M61" s="724" t="s">
        <v>955</v>
      </c>
      <c r="N61" s="746"/>
      <c r="O61" s="746"/>
      <c r="P61" s="746"/>
      <c r="Q61" s="746"/>
      <c r="R61" s="521"/>
      <c r="S61" s="521"/>
    </row>
    <row r="62" spans="1:19">
      <c r="A62" s="721">
        <v>59</v>
      </c>
      <c r="B62" s="721">
        <v>9819510</v>
      </c>
      <c r="C62" s="721" t="s">
        <v>2129</v>
      </c>
      <c r="D62" s="721">
        <v>95</v>
      </c>
      <c r="E62" s="721" t="s">
        <v>49</v>
      </c>
      <c r="F62" s="721" t="s">
        <v>84</v>
      </c>
      <c r="G62" s="721" t="s">
        <v>2042</v>
      </c>
      <c r="H62" s="721" t="s">
        <v>2043</v>
      </c>
      <c r="I62" s="721" t="s">
        <v>2130</v>
      </c>
      <c r="J62" s="721" t="s">
        <v>975</v>
      </c>
      <c r="K62" s="721" t="s">
        <v>2044</v>
      </c>
      <c r="L62" s="721">
        <v>52204982</v>
      </c>
      <c r="M62" s="721" t="s">
        <v>2131</v>
      </c>
      <c r="N62" s="746"/>
      <c r="O62" s="746"/>
      <c r="P62" s="746"/>
      <c r="Q62" s="746"/>
      <c r="R62" s="521"/>
      <c r="S62" s="521"/>
    </row>
    <row r="63" spans="1:19">
      <c r="A63" s="723">
        <v>60</v>
      </c>
      <c r="B63" s="723">
        <v>9819512</v>
      </c>
      <c r="C63" s="723" t="s">
        <v>2132</v>
      </c>
      <c r="D63" s="723">
        <v>95</v>
      </c>
      <c r="E63" s="723" t="s">
        <v>49</v>
      </c>
      <c r="F63" s="723" t="s">
        <v>84</v>
      </c>
      <c r="G63" s="723" t="s">
        <v>2042</v>
      </c>
      <c r="H63" s="723" t="s">
        <v>2043</v>
      </c>
      <c r="I63" s="723" t="s">
        <v>2133</v>
      </c>
      <c r="J63" s="723" t="s">
        <v>2134</v>
      </c>
      <c r="K63" s="723" t="s">
        <v>2044</v>
      </c>
      <c r="L63" s="723">
        <v>19483215</v>
      </c>
      <c r="M63" s="724" t="s">
        <v>955</v>
      </c>
      <c r="N63" s="746"/>
      <c r="O63" s="746"/>
      <c r="P63" s="746"/>
      <c r="Q63" s="746"/>
      <c r="R63" s="521"/>
      <c r="S63" s="521"/>
    </row>
    <row r="64" spans="1:19">
      <c r="A64" s="721">
        <v>61</v>
      </c>
      <c r="B64" s="721">
        <v>9819513</v>
      </c>
      <c r="C64" s="721" t="s">
        <v>2135</v>
      </c>
      <c r="D64" s="721">
        <v>95</v>
      </c>
      <c r="E64" s="721" t="s">
        <v>49</v>
      </c>
      <c r="F64" s="721" t="s">
        <v>84</v>
      </c>
      <c r="G64" s="721" t="s">
        <v>2042</v>
      </c>
      <c r="H64" s="721" t="s">
        <v>2043</v>
      </c>
      <c r="I64" s="721"/>
      <c r="J64" s="721"/>
      <c r="K64" s="721" t="s">
        <v>2044</v>
      </c>
      <c r="L64" s="721">
        <v>79555268</v>
      </c>
      <c r="M64" s="722" t="s">
        <v>955</v>
      </c>
      <c r="N64" s="746"/>
      <c r="O64" s="746"/>
      <c r="P64" s="746"/>
      <c r="Q64" s="746"/>
      <c r="R64" s="521"/>
      <c r="S64" s="521"/>
    </row>
    <row r="65" spans="1:19">
      <c r="A65" s="723">
        <v>62</v>
      </c>
      <c r="B65" s="723">
        <v>9819522</v>
      </c>
      <c r="C65" s="723" t="s">
        <v>2136</v>
      </c>
      <c r="D65" s="723">
        <v>95</v>
      </c>
      <c r="E65" s="723" t="s">
        <v>49</v>
      </c>
      <c r="F65" s="723" t="s">
        <v>84</v>
      </c>
      <c r="G65" s="723" t="s">
        <v>2042</v>
      </c>
      <c r="H65" s="723" t="s">
        <v>2043</v>
      </c>
      <c r="I65" s="723" t="s">
        <v>2137</v>
      </c>
      <c r="J65" s="723" t="s">
        <v>2138</v>
      </c>
      <c r="K65" s="723" t="s">
        <v>2044</v>
      </c>
      <c r="L65" s="723">
        <v>79602747</v>
      </c>
      <c r="M65" s="723" t="s">
        <v>2139</v>
      </c>
      <c r="N65" s="746"/>
      <c r="O65" s="746"/>
      <c r="P65" s="746"/>
      <c r="Q65" s="746"/>
      <c r="R65" s="521"/>
      <c r="S65" s="521"/>
    </row>
    <row r="66" spans="1:19">
      <c r="A66" s="721">
        <v>63</v>
      </c>
      <c r="B66" s="721">
        <v>9819523</v>
      </c>
      <c r="C66" s="721" t="s">
        <v>2140</v>
      </c>
      <c r="D66" s="721">
        <v>95</v>
      </c>
      <c r="E66" s="721" t="s">
        <v>49</v>
      </c>
      <c r="F66" s="721" t="s">
        <v>84</v>
      </c>
      <c r="G66" s="721" t="s">
        <v>2042</v>
      </c>
      <c r="H66" s="721" t="s">
        <v>2043</v>
      </c>
      <c r="I66" s="721" t="s">
        <v>1191</v>
      </c>
      <c r="J66" s="721" t="s">
        <v>1191</v>
      </c>
      <c r="K66" s="721" t="s">
        <v>2044</v>
      </c>
      <c r="L66" s="721">
        <v>12237136</v>
      </c>
      <c r="M66" s="722" t="s">
        <v>955</v>
      </c>
      <c r="N66" s="746"/>
      <c r="O66" s="746"/>
      <c r="P66" s="746"/>
      <c r="Q66" s="746"/>
      <c r="R66" s="521"/>
      <c r="S66" s="521"/>
    </row>
    <row r="67" spans="1:19">
      <c r="A67" s="723">
        <v>64</v>
      </c>
      <c r="B67" s="723">
        <v>9819530</v>
      </c>
      <c r="C67" s="723" t="s">
        <v>2141</v>
      </c>
      <c r="D67" s="723">
        <v>95</v>
      </c>
      <c r="E67" s="723" t="s">
        <v>49</v>
      </c>
      <c r="F67" s="723" t="s">
        <v>84</v>
      </c>
      <c r="G67" s="723" t="s">
        <v>2042</v>
      </c>
      <c r="H67" s="723" t="s">
        <v>2043</v>
      </c>
      <c r="I67" s="723"/>
      <c r="J67" s="723"/>
      <c r="K67" s="723" t="s">
        <v>2044</v>
      </c>
      <c r="L67" s="723">
        <v>19308520</v>
      </c>
      <c r="M67" s="724" t="s">
        <v>955</v>
      </c>
      <c r="N67" s="746"/>
      <c r="O67" s="746"/>
      <c r="P67" s="746"/>
      <c r="Q67" s="746"/>
      <c r="R67" s="521"/>
      <c r="S67" s="521"/>
    </row>
    <row r="68" spans="1:19">
      <c r="A68" s="721">
        <v>65</v>
      </c>
      <c r="B68" s="721">
        <v>9819548</v>
      </c>
      <c r="C68" s="721" t="s">
        <v>2142</v>
      </c>
      <c r="D68" s="721">
        <v>95</v>
      </c>
      <c r="E68" s="721" t="s">
        <v>49</v>
      </c>
      <c r="F68" s="721" t="s">
        <v>84</v>
      </c>
      <c r="G68" s="721" t="s">
        <v>2042</v>
      </c>
      <c r="H68" s="721" t="s">
        <v>2043</v>
      </c>
      <c r="I68" s="721"/>
      <c r="J68" s="721" t="s">
        <v>1030</v>
      </c>
      <c r="K68" s="721" t="s">
        <v>2044</v>
      </c>
      <c r="L68" s="721">
        <v>79471198</v>
      </c>
      <c r="M68" s="721" t="s">
        <v>2143</v>
      </c>
      <c r="N68" s="746"/>
      <c r="O68" s="746"/>
      <c r="P68" s="746"/>
      <c r="Q68" s="746"/>
      <c r="R68" s="521"/>
      <c r="S68" s="521"/>
    </row>
    <row r="69" spans="1:19">
      <c r="A69" s="723">
        <v>66</v>
      </c>
      <c r="B69" s="723">
        <v>9829503</v>
      </c>
      <c r="C69" s="723" t="s">
        <v>2144</v>
      </c>
      <c r="D69" s="723">
        <v>95</v>
      </c>
      <c r="E69" s="723" t="s">
        <v>49</v>
      </c>
      <c r="F69" s="723" t="s">
        <v>84</v>
      </c>
      <c r="G69" s="723" t="s">
        <v>2042</v>
      </c>
      <c r="H69" s="723" t="s">
        <v>2043</v>
      </c>
      <c r="I69" s="723"/>
      <c r="J69" s="723"/>
      <c r="K69" s="723" t="s">
        <v>2044</v>
      </c>
      <c r="L69" s="723">
        <v>79369589</v>
      </c>
      <c r="M69" s="723" t="s">
        <v>2093</v>
      </c>
      <c r="N69" s="746"/>
      <c r="O69" s="746"/>
      <c r="P69" s="746"/>
      <c r="Q69" s="746"/>
      <c r="R69" s="521"/>
      <c r="S69" s="521"/>
    </row>
    <row r="70" spans="1:19">
      <c r="A70" s="721">
        <v>67</v>
      </c>
      <c r="B70" s="721">
        <v>9829513</v>
      </c>
      <c r="C70" s="721" t="s">
        <v>2145</v>
      </c>
      <c r="D70" s="721">
        <v>95</v>
      </c>
      <c r="E70" s="721" t="s">
        <v>49</v>
      </c>
      <c r="F70" s="721" t="s">
        <v>84</v>
      </c>
      <c r="G70" s="721" t="s">
        <v>2042</v>
      </c>
      <c r="H70" s="721" t="s">
        <v>2043</v>
      </c>
      <c r="I70" s="721" t="s">
        <v>2146</v>
      </c>
      <c r="J70" s="721" t="s">
        <v>2146</v>
      </c>
      <c r="K70" s="721" t="s">
        <v>2044</v>
      </c>
      <c r="L70" s="721">
        <v>79516670</v>
      </c>
      <c r="M70" s="722" t="s">
        <v>955</v>
      </c>
      <c r="N70" s="746"/>
      <c r="O70" s="746"/>
      <c r="P70" s="746"/>
      <c r="Q70" s="746"/>
      <c r="R70" s="521"/>
      <c r="S70" s="521"/>
    </row>
    <row r="71" spans="1:19">
      <c r="A71" s="723">
        <v>68</v>
      </c>
      <c r="B71" s="723">
        <v>9829516</v>
      </c>
      <c r="C71" s="723" t="s">
        <v>2147</v>
      </c>
      <c r="D71" s="723">
        <v>95</v>
      </c>
      <c r="E71" s="723" t="s">
        <v>49</v>
      </c>
      <c r="F71" s="723" t="s">
        <v>84</v>
      </c>
      <c r="G71" s="723" t="s">
        <v>2042</v>
      </c>
      <c r="H71" s="723" t="s">
        <v>2043</v>
      </c>
      <c r="I71" s="723"/>
      <c r="J71" s="723"/>
      <c r="K71" s="723" t="s">
        <v>2044</v>
      </c>
      <c r="L71" s="723">
        <v>79610220</v>
      </c>
      <c r="M71" s="724" t="s">
        <v>955</v>
      </c>
      <c r="N71" s="746"/>
      <c r="O71" s="746"/>
      <c r="P71" s="746"/>
      <c r="Q71" s="746"/>
      <c r="R71" s="521"/>
      <c r="S71" s="521"/>
    </row>
    <row r="72" spans="1:19">
      <c r="A72" s="721">
        <v>69</v>
      </c>
      <c r="B72" s="721">
        <v>9829519</v>
      </c>
      <c r="C72" s="721" t="s">
        <v>2148</v>
      </c>
      <c r="D72" s="721">
        <v>95</v>
      </c>
      <c r="E72" s="721" t="s">
        <v>49</v>
      </c>
      <c r="F72" s="721" t="s">
        <v>84</v>
      </c>
      <c r="G72" s="721" t="s">
        <v>2042</v>
      </c>
      <c r="H72" s="721" t="s">
        <v>2043</v>
      </c>
      <c r="I72" s="721"/>
      <c r="J72" s="721"/>
      <c r="K72" s="721" t="s">
        <v>2044</v>
      </c>
      <c r="L72" s="721">
        <v>79572003</v>
      </c>
      <c r="M72" s="722" t="s">
        <v>955</v>
      </c>
      <c r="N72" s="746"/>
      <c r="O72" s="746"/>
      <c r="P72" s="746"/>
      <c r="Q72" s="746"/>
      <c r="R72" s="521"/>
      <c r="S72" s="521"/>
    </row>
    <row r="73" spans="1:19">
      <c r="A73" s="723">
        <v>70</v>
      </c>
      <c r="B73" s="723">
        <v>9829522</v>
      </c>
      <c r="C73" s="723" t="s">
        <v>2149</v>
      </c>
      <c r="D73" s="723">
        <v>95</v>
      </c>
      <c r="E73" s="723" t="s">
        <v>49</v>
      </c>
      <c r="F73" s="723" t="s">
        <v>84</v>
      </c>
      <c r="G73" s="723" t="s">
        <v>2042</v>
      </c>
      <c r="H73" s="723" t="s">
        <v>2043</v>
      </c>
      <c r="I73" s="723"/>
      <c r="J73" s="723"/>
      <c r="K73" s="723" t="s">
        <v>2044</v>
      </c>
      <c r="L73" s="723">
        <v>79488800</v>
      </c>
      <c r="M73" s="723" t="s">
        <v>2093</v>
      </c>
      <c r="N73" s="746"/>
      <c r="O73" s="746"/>
      <c r="P73" s="746"/>
      <c r="Q73" s="746"/>
      <c r="R73" s="521"/>
      <c r="S73" s="521"/>
    </row>
    <row r="74" spans="1:19">
      <c r="A74" s="721">
        <v>71</v>
      </c>
      <c r="B74" s="721">
        <v>9829529</v>
      </c>
      <c r="C74" s="721" t="s">
        <v>2150</v>
      </c>
      <c r="D74" s="721">
        <v>95</v>
      </c>
      <c r="E74" s="721" t="s">
        <v>49</v>
      </c>
      <c r="F74" s="721" t="s">
        <v>84</v>
      </c>
      <c r="G74" s="721" t="s">
        <v>2042</v>
      </c>
      <c r="H74" s="721" t="s">
        <v>2043</v>
      </c>
      <c r="I74" s="721"/>
      <c r="J74" s="721"/>
      <c r="K74" s="721" t="s">
        <v>2044</v>
      </c>
      <c r="L74" s="721">
        <v>79459303</v>
      </c>
      <c r="M74" s="722" t="s">
        <v>955</v>
      </c>
      <c r="N74" s="746"/>
      <c r="O74" s="746"/>
      <c r="P74" s="746"/>
      <c r="Q74" s="746"/>
      <c r="R74" s="521"/>
      <c r="S74" s="521"/>
    </row>
    <row r="75" spans="1:19">
      <c r="A75" s="723">
        <v>72</v>
      </c>
      <c r="B75" s="723">
        <v>9919510</v>
      </c>
      <c r="C75" s="723" t="s">
        <v>2151</v>
      </c>
      <c r="D75" s="723">
        <v>95</v>
      </c>
      <c r="E75" s="723" t="s">
        <v>49</v>
      </c>
      <c r="F75" s="723" t="s">
        <v>84</v>
      </c>
      <c r="G75" s="723" t="s">
        <v>2042</v>
      </c>
      <c r="H75" s="723" t="s">
        <v>2043</v>
      </c>
      <c r="I75" s="723" t="s">
        <v>2152</v>
      </c>
      <c r="J75" s="723" t="s">
        <v>2153</v>
      </c>
      <c r="K75" s="723" t="s">
        <v>2044</v>
      </c>
      <c r="L75" s="723">
        <v>79400101</v>
      </c>
      <c r="M75" s="723" t="s">
        <v>2143</v>
      </c>
      <c r="N75" s="746"/>
      <c r="O75" s="746"/>
      <c r="P75" s="746"/>
      <c r="Q75" s="746"/>
      <c r="R75" s="521"/>
      <c r="S75" s="521"/>
    </row>
    <row r="76" spans="1:19">
      <c r="A76" s="721">
        <v>73</v>
      </c>
      <c r="B76" s="721">
        <v>9919525</v>
      </c>
      <c r="C76" s="721" t="s">
        <v>2154</v>
      </c>
      <c r="D76" s="721">
        <v>95</v>
      </c>
      <c r="E76" s="721" t="s">
        <v>49</v>
      </c>
      <c r="F76" s="721" t="s">
        <v>84</v>
      </c>
      <c r="G76" s="721" t="s">
        <v>2042</v>
      </c>
      <c r="H76" s="721" t="s">
        <v>2043</v>
      </c>
      <c r="I76" s="721" t="s">
        <v>2155</v>
      </c>
      <c r="J76" s="721" t="s">
        <v>2156</v>
      </c>
      <c r="K76" s="721" t="s">
        <v>2044</v>
      </c>
      <c r="L76" s="721">
        <v>93202793</v>
      </c>
      <c r="M76" s="721" t="s">
        <v>2131</v>
      </c>
      <c r="N76" s="746"/>
      <c r="O76" s="746"/>
      <c r="P76" s="746"/>
      <c r="Q76" s="746"/>
      <c r="R76" s="521"/>
      <c r="S76" s="521"/>
    </row>
    <row r="77" spans="1:19">
      <c r="A77" s="723">
        <v>74</v>
      </c>
      <c r="B77" s="723">
        <v>9919527</v>
      </c>
      <c r="C77" s="723" t="s">
        <v>2157</v>
      </c>
      <c r="D77" s="723">
        <v>95</v>
      </c>
      <c r="E77" s="723" t="s">
        <v>49</v>
      </c>
      <c r="F77" s="723" t="s">
        <v>84</v>
      </c>
      <c r="G77" s="723" t="s">
        <v>2042</v>
      </c>
      <c r="H77" s="723" t="s">
        <v>2043</v>
      </c>
      <c r="I77" s="723"/>
      <c r="J77" s="723"/>
      <c r="K77" s="723" t="s">
        <v>2044</v>
      </c>
      <c r="L77" s="723">
        <v>80422803</v>
      </c>
      <c r="M77" s="723" t="s">
        <v>2093</v>
      </c>
      <c r="N77" s="746"/>
      <c r="O77" s="746"/>
      <c r="P77" s="746"/>
      <c r="Q77" s="746"/>
      <c r="R77" s="521"/>
      <c r="S77" s="521"/>
    </row>
    <row r="78" spans="1:19">
      <c r="A78" s="721">
        <v>75</v>
      </c>
      <c r="B78" s="721">
        <v>9919530</v>
      </c>
      <c r="C78" s="721" t="s">
        <v>2158</v>
      </c>
      <c r="D78" s="721">
        <v>95</v>
      </c>
      <c r="E78" s="721" t="s">
        <v>49</v>
      </c>
      <c r="F78" s="721" t="s">
        <v>84</v>
      </c>
      <c r="G78" s="721" t="s">
        <v>2042</v>
      </c>
      <c r="H78" s="721" t="s">
        <v>2043</v>
      </c>
      <c r="I78" s="721" t="s">
        <v>2159</v>
      </c>
      <c r="J78" s="721" t="s">
        <v>2160</v>
      </c>
      <c r="K78" s="721" t="s">
        <v>2044</v>
      </c>
      <c r="L78" s="721">
        <v>79661721</v>
      </c>
      <c r="M78" s="721" t="s">
        <v>2093</v>
      </c>
      <c r="N78" s="746"/>
      <c r="O78" s="746"/>
      <c r="P78" s="746"/>
      <c r="Q78" s="746"/>
      <c r="R78" s="521"/>
      <c r="S78" s="521"/>
    </row>
    <row r="79" spans="1:19">
      <c r="A79" s="723">
        <v>76</v>
      </c>
      <c r="B79" s="723">
        <v>9929505</v>
      </c>
      <c r="C79" s="723" t="s">
        <v>2161</v>
      </c>
      <c r="D79" s="723">
        <v>95</v>
      </c>
      <c r="E79" s="723" t="s">
        <v>49</v>
      </c>
      <c r="F79" s="723" t="s">
        <v>84</v>
      </c>
      <c r="G79" s="723" t="s">
        <v>2042</v>
      </c>
      <c r="H79" s="723" t="s">
        <v>2043</v>
      </c>
      <c r="I79" s="723"/>
      <c r="J79" s="723"/>
      <c r="K79" s="723" t="s">
        <v>2044</v>
      </c>
      <c r="L79" s="723">
        <v>9399093</v>
      </c>
      <c r="M79" s="723" t="s">
        <v>2093</v>
      </c>
      <c r="N79" s="746"/>
      <c r="O79" s="746"/>
      <c r="P79" s="746"/>
      <c r="Q79" s="746"/>
      <c r="R79" s="521"/>
      <c r="S79" s="521"/>
    </row>
    <row r="80" spans="1:19">
      <c r="A80" s="721">
        <v>77</v>
      </c>
      <c r="B80" s="721">
        <v>9929507</v>
      </c>
      <c r="C80" s="721" t="s">
        <v>2162</v>
      </c>
      <c r="D80" s="721">
        <v>95</v>
      </c>
      <c r="E80" s="721" t="s">
        <v>49</v>
      </c>
      <c r="F80" s="721" t="s">
        <v>84</v>
      </c>
      <c r="G80" s="721" t="s">
        <v>2042</v>
      </c>
      <c r="H80" s="721" t="s">
        <v>2043</v>
      </c>
      <c r="I80" s="721"/>
      <c r="J80" s="721" t="s">
        <v>2163</v>
      </c>
      <c r="K80" s="721" t="s">
        <v>2044</v>
      </c>
      <c r="L80" s="721">
        <v>79657603</v>
      </c>
      <c r="M80" s="721" t="s">
        <v>2093</v>
      </c>
      <c r="N80" s="746"/>
      <c r="O80" s="746"/>
      <c r="P80" s="746"/>
      <c r="Q80" s="746"/>
      <c r="R80" s="521"/>
      <c r="S80" s="521"/>
    </row>
    <row r="81" spans="1:19">
      <c r="A81" s="723">
        <v>78</v>
      </c>
      <c r="B81" s="723">
        <v>9929508</v>
      </c>
      <c r="C81" s="723" t="s">
        <v>2164</v>
      </c>
      <c r="D81" s="723">
        <v>95</v>
      </c>
      <c r="E81" s="723" t="s">
        <v>49</v>
      </c>
      <c r="F81" s="723" t="s">
        <v>84</v>
      </c>
      <c r="G81" s="723" t="s">
        <v>2042</v>
      </c>
      <c r="H81" s="723" t="s">
        <v>2043</v>
      </c>
      <c r="I81" s="723" t="s">
        <v>2165</v>
      </c>
      <c r="J81" s="723" t="s">
        <v>2166</v>
      </c>
      <c r="K81" s="723" t="s">
        <v>2044</v>
      </c>
      <c r="L81" s="723">
        <v>79714942</v>
      </c>
      <c r="M81" s="723" t="s">
        <v>2167</v>
      </c>
      <c r="N81" s="746"/>
      <c r="O81" s="746"/>
      <c r="P81" s="746"/>
      <c r="Q81" s="746"/>
      <c r="R81" s="521"/>
      <c r="S81" s="521"/>
    </row>
    <row r="82" spans="1:19">
      <c r="A82" s="721">
        <v>79</v>
      </c>
      <c r="B82" s="721">
        <v>9929509</v>
      </c>
      <c r="C82" s="721" t="s">
        <v>2168</v>
      </c>
      <c r="D82" s="721">
        <v>95</v>
      </c>
      <c r="E82" s="721" t="s">
        <v>49</v>
      </c>
      <c r="F82" s="721" t="s">
        <v>84</v>
      </c>
      <c r="G82" s="721" t="s">
        <v>2042</v>
      </c>
      <c r="H82" s="721" t="s">
        <v>2043</v>
      </c>
      <c r="I82" s="721" t="s">
        <v>2169</v>
      </c>
      <c r="J82" s="721" t="s">
        <v>2170</v>
      </c>
      <c r="K82" s="721" t="s">
        <v>2044</v>
      </c>
      <c r="L82" s="721">
        <v>79643855</v>
      </c>
      <c r="M82" s="722" t="s">
        <v>955</v>
      </c>
      <c r="N82" s="746"/>
      <c r="O82" s="746"/>
      <c r="P82" s="746"/>
      <c r="Q82" s="746"/>
      <c r="R82" s="521"/>
      <c r="S82" s="521"/>
    </row>
    <row r="83" spans="1:19">
      <c r="A83" s="723">
        <v>80</v>
      </c>
      <c r="B83" s="723">
        <v>9929517</v>
      </c>
      <c r="C83" s="723" t="s">
        <v>2171</v>
      </c>
      <c r="D83" s="723">
        <v>95</v>
      </c>
      <c r="E83" s="723" t="s">
        <v>49</v>
      </c>
      <c r="F83" s="723" t="s">
        <v>84</v>
      </c>
      <c r="G83" s="723" t="s">
        <v>2042</v>
      </c>
      <c r="H83" s="723" t="s">
        <v>2043</v>
      </c>
      <c r="I83" s="723" t="s">
        <v>2172</v>
      </c>
      <c r="J83" s="723" t="s">
        <v>2173</v>
      </c>
      <c r="K83" s="723" t="s">
        <v>2044</v>
      </c>
      <c r="L83" s="723">
        <v>19335124</v>
      </c>
      <c r="M83" s="724" t="s">
        <v>955</v>
      </c>
      <c r="N83" s="746"/>
      <c r="O83" s="746"/>
      <c r="P83" s="746"/>
      <c r="Q83" s="746"/>
      <c r="R83" s="521"/>
      <c r="S83" s="521"/>
    </row>
    <row r="84" spans="1:19">
      <c r="A84" s="721">
        <v>81</v>
      </c>
      <c r="B84" s="721">
        <v>9929519</v>
      </c>
      <c r="C84" s="721" t="s">
        <v>2174</v>
      </c>
      <c r="D84" s="721">
        <v>95</v>
      </c>
      <c r="E84" s="721" t="s">
        <v>49</v>
      </c>
      <c r="F84" s="721" t="s">
        <v>84</v>
      </c>
      <c r="G84" s="721" t="s">
        <v>2042</v>
      </c>
      <c r="H84" s="721" t="s">
        <v>2043</v>
      </c>
      <c r="I84" s="721" t="s">
        <v>2175</v>
      </c>
      <c r="J84" s="721" t="s">
        <v>2176</v>
      </c>
      <c r="K84" s="721" t="s">
        <v>2044</v>
      </c>
      <c r="L84" s="721">
        <v>60341094</v>
      </c>
      <c r="M84" s="722" t="s">
        <v>955</v>
      </c>
      <c r="N84" s="746"/>
      <c r="O84" s="746"/>
      <c r="P84" s="746"/>
      <c r="Q84" s="746"/>
      <c r="R84" s="521"/>
      <c r="S84" s="521"/>
    </row>
    <row r="85" spans="1:19">
      <c r="A85" s="723">
        <v>82</v>
      </c>
      <c r="B85" s="723">
        <v>9929524</v>
      </c>
      <c r="C85" s="723" t="s">
        <v>2177</v>
      </c>
      <c r="D85" s="723">
        <v>95</v>
      </c>
      <c r="E85" s="723" t="s">
        <v>49</v>
      </c>
      <c r="F85" s="723" t="s">
        <v>84</v>
      </c>
      <c r="G85" s="723" t="s">
        <v>2042</v>
      </c>
      <c r="H85" s="723" t="s">
        <v>2043</v>
      </c>
      <c r="I85" s="723" t="s">
        <v>2178</v>
      </c>
      <c r="J85" s="723" t="s">
        <v>2179</v>
      </c>
      <c r="K85" s="723" t="s">
        <v>2044</v>
      </c>
      <c r="L85" s="723">
        <v>52348279</v>
      </c>
      <c r="M85" s="723" t="s">
        <v>2143</v>
      </c>
      <c r="N85" s="746"/>
      <c r="O85" s="746"/>
      <c r="P85" s="746"/>
      <c r="Q85" s="746"/>
      <c r="R85" s="521"/>
      <c r="S85" s="521"/>
    </row>
    <row r="86" spans="1:19">
      <c r="A86" s="721">
        <v>83</v>
      </c>
      <c r="B86" s="721">
        <v>9929532</v>
      </c>
      <c r="C86" s="721" t="s">
        <v>2180</v>
      </c>
      <c r="D86" s="721">
        <v>95</v>
      </c>
      <c r="E86" s="721" t="s">
        <v>49</v>
      </c>
      <c r="F86" s="721" t="s">
        <v>84</v>
      </c>
      <c r="G86" s="721" t="s">
        <v>2042</v>
      </c>
      <c r="H86" s="721" t="s">
        <v>2043</v>
      </c>
      <c r="I86" s="721"/>
      <c r="J86" s="721"/>
      <c r="K86" s="721" t="s">
        <v>2044</v>
      </c>
      <c r="L86" s="721">
        <v>10484025</v>
      </c>
      <c r="M86" s="722" t="s">
        <v>955</v>
      </c>
      <c r="N86" s="746"/>
      <c r="O86" s="746"/>
      <c r="P86" s="746"/>
      <c r="Q86" s="746"/>
      <c r="R86" s="521"/>
      <c r="S86" s="521"/>
    </row>
    <row r="87" spans="1:19">
      <c r="A87" s="723">
        <v>84</v>
      </c>
      <c r="B87" s="723">
        <v>9969503</v>
      </c>
      <c r="C87" s="723" t="s">
        <v>2181</v>
      </c>
      <c r="D87" s="723">
        <v>95</v>
      </c>
      <c r="E87" s="723" t="s">
        <v>49</v>
      </c>
      <c r="F87" s="723" t="s">
        <v>84</v>
      </c>
      <c r="G87" s="723" t="s">
        <v>2042</v>
      </c>
      <c r="H87" s="723" t="s">
        <v>2043</v>
      </c>
      <c r="I87" s="723" t="s">
        <v>2182</v>
      </c>
      <c r="J87" s="723" t="s">
        <v>2183</v>
      </c>
      <c r="K87" s="723" t="s">
        <v>2044</v>
      </c>
      <c r="L87" s="723">
        <v>79494853</v>
      </c>
      <c r="M87" s="723" t="s">
        <v>2184</v>
      </c>
      <c r="N87" s="746"/>
      <c r="O87" s="746"/>
      <c r="P87" s="746"/>
      <c r="Q87" s="746"/>
      <c r="R87" s="521"/>
      <c r="S87" s="521"/>
    </row>
    <row r="88" spans="1:19">
      <c r="A88" s="721">
        <v>85</v>
      </c>
      <c r="B88" s="721">
        <v>9969504</v>
      </c>
      <c r="C88" s="721" t="s">
        <v>2185</v>
      </c>
      <c r="D88" s="721">
        <v>95</v>
      </c>
      <c r="E88" s="721" t="s">
        <v>49</v>
      </c>
      <c r="F88" s="721" t="s">
        <v>84</v>
      </c>
      <c r="G88" s="721" t="s">
        <v>2042</v>
      </c>
      <c r="H88" s="721" t="s">
        <v>2043</v>
      </c>
      <c r="I88" s="721" t="s">
        <v>2186</v>
      </c>
      <c r="J88" s="721" t="s">
        <v>2187</v>
      </c>
      <c r="K88" s="721" t="s">
        <v>2044</v>
      </c>
      <c r="L88" s="721">
        <v>74180565</v>
      </c>
      <c r="M88" s="721" t="s">
        <v>2093</v>
      </c>
      <c r="N88" s="746"/>
      <c r="O88" s="746"/>
      <c r="P88" s="746"/>
      <c r="Q88" s="746"/>
      <c r="R88" s="521"/>
      <c r="S88" s="521"/>
    </row>
    <row r="89" spans="1:19">
      <c r="A89" s="723">
        <v>86</v>
      </c>
      <c r="B89" s="723">
        <v>9969508</v>
      </c>
      <c r="C89" s="723" t="s">
        <v>2188</v>
      </c>
      <c r="D89" s="723">
        <v>95</v>
      </c>
      <c r="E89" s="723" t="s">
        <v>49</v>
      </c>
      <c r="F89" s="723" t="s">
        <v>84</v>
      </c>
      <c r="G89" s="723" t="s">
        <v>2042</v>
      </c>
      <c r="H89" s="723" t="s">
        <v>2043</v>
      </c>
      <c r="I89" s="723"/>
      <c r="J89" s="723"/>
      <c r="K89" s="723" t="s">
        <v>2044</v>
      </c>
      <c r="L89" s="723">
        <v>19483708</v>
      </c>
      <c r="M89" s="723" t="s">
        <v>2093</v>
      </c>
      <c r="N89" s="746"/>
      <c r="O89" s="746"/>
      <c r="P89" s="746"/>
      <c r="Q89" s="746"/>
      <c r="R89" s="521"/>
      <c r="S89" s="521"/>
    </row>
    <row r="90" spans="1:19">
      <c r="A90" s="721">
        <v>87</v>
      </c>
      <c r="B90" s="721">
        <v>9969514</v>
      </c>
      <c r="C90" s="721" t="s">
        <v>2189</v>
      </c>
      <c r="D90" s="721">
        <v>95</v>
      </c>
      <c r="E90" s="721" t="s">
        <v>49</v>
      </c>
      <c r="F90" s="721" t="s">
        <v>84</v>
      </c>
      <c r="G90" s="721" t="s">
        <v>2042</v>
      </c>
      <c r="H90" s="721" t="s">
        <v>2043</v>
      </c>
      <c r="I90" s="721" t="s">
        <v>2190</v>
      </c>
      <c r="J90" s="721" t="s">
        <v>2191</v>
      </c>
      <c r="K90" s="721" t="s">
        <v>2044</v>
      </c>
      <c r="L90" s="721">
        <v>79866835</v>
      </c>
      <c r="M90" s="721" t="s">
        <v>2192</v>
      </c>
      <c r="N90" s="746"/>
      <c r="O90" s="746"/>
      <c r="P90" s="746"/>
      <c r="Q90" s="746"/>
      <c r="R90" s="521"/>
      <c r="S90" s="521"/>
    </row>
    <row r="91" spans="1:19">
      <c r="A91" s="723">
        <v>88</v>
      </c>
      <c r="B91" s="723">
        <v>9969516</v>
      </c>
      <c r="C91" s="723" t="s">
        <v>2193</v>
      </c>
      <c r="D91" s="723">
        <v>95</v>
      </c>
      <c r="E91" s="723" t="s">
        <v>49</v>
      </c>
      <c r="F91" s="723" t="s">
        <v>84</v>
      </c>
      <c r="G91" s="723" t="s">
        <v>2042</v>
      </c>
      <c r="H91" s="723" t="s">
        <v>2043</v>
      </c>
      <c r="I91" s="723" t="s">
        <v>2194</v>
      </c>
      <c r="J91" s="723" t="s">
        <v>2195</v>
      </c>
      <c r="K91" s="723" t="s">
        <v>2044</v>
      </c>
      <c r="L91" s="723">
        <v>79526297</v>
      </c>
      <c r="M91" s="723" t="s">
        <v>2093</v>
      </c>
      <c r="N91" s="746"/>
      <c r="O91" s="746"/>
      <c r="P91" s="746"/>
      <c r="Q91" s="746"/>
      <c r="R91" s="521"/>
      <c r="S91" s="521"/>
    </row>
    <row r="92" spans="1:19">
      <c r="A92" s="721">
        <v>89</v>
      </c>
      <c r="B92" s="721">
        <v>9969525</v>
      </c>
      <c r="C92" s="721" t="s">
        <v>2196</v>
      </c>
      <c r="D92" s="721">
        <v>95</v>
      </c>
      <c r="E92" s="721" t="s">
        <v>49</v>
      </c>
      <c r="F92" s="721" t="s">
        <v>84</v>
      </c>
      <c r="G92" s="721" t="s">
        <v>2042</v>
      </c>
      <c r="H92" s="721" t="s">
        <v>2043</v>
      </c>
      <c r="I92" s="721" t="s">
        <v>2197</v>
      </c>
      <c r="J92" s="721" t="s">
        <v>2198</v>
      </c>
      <c r="K92" s="721" t="s">
        <v>2044</v>
      </c>
      <c r="L92" s="721">
        <v>79803278</v>
      </c>
      <c r="M92" s="721" t="s">
        <v>2093</v>
      </c>
      <c r="N92" s="746"/>
      <c r="O92" s="746"/>
      <c r="P92" s="746"/>
      <c r="Q92" s="746"/>
      <c r="R92" s="521"/>
      <c r="S92" s="521"/>
    </row>
    <row r="93" spans="1:19">
      <c r="A93" s="723">
        <v>90</v>
      </c>
      <c r="B93" s="723">
        <v>9969531</v>
      </c>
      <c r="C93" s="723" t="s">
        <v>2199</v>
      </c>
      <c r="D93" s="723">
        <v>95</v>
      </c>
      <c r="E93" s="723" t="s">
        <v>49</v>
      </c>
      <c r="F93" s="723" t="s">
        <v>84</v>
      </c>
      <c r="G93" s="723" t="s">
        <v>2042</v>
      </c>
      <c r="H93" s="723" t="s">
        <v>2043</v>
      </c>
      <c r="I93" s="723" t="s">
        <v>2200</v>
      </c>
      <c r="J93" s="723" t="s">
        <v>2200</v>
      </c>
      <c r="K93" s="723" t="s">
        <v>2044</v>
      </c>
      <c r="L93" s="723">
        <v>19242769</v>
      </c>
      <c r="M93" s="723" t="s">
        <v>2093</v>
      </c>
      <c r="N93" s="746"/>
      <c r="O93" s="746"/>
      <c r="P93" s="746"/>
      <c r="Q93" s="746"/>
      <c r="R93" s="521"/>
      <c r="S93" s="521"/>
    </row>
    <row r="94" spans="1:19">
      <c r="A94" s="721">
        <v>91</v>
      </c>
      <c r="B94" s="721">
        <v>20002095003</v>
      </c>
      <c r="C94" s="721" t="s">
        <v>2201</v>
      </c>
      <c r="D94" s="721">
        <v>95</v>
      </c>
      <c r="E94" s="721" t="s">
        <v>49</v>
      </c>
      <c r="F94" s="721" t="s">
        <v>84</v>
      </c>
      <c r="G94" s="721" t="s">
        <v>2042</v>
      </c>
      <c r="H94" s="721" t="s">
        <v>2043</v>
      </c>
      <c r="I94" s="721" t="s">
        <v>2202</v>
      </c>
      <c r="J94" s="721" t="s">
        <v>2203</v>
      </c>
      <c r="K94" s="721" t="s">
        <v>2044</v>
      </c>
      <c r="L94" s="721">
        <v>17312219</v>
      </c>
      <c r="M94" s="721" t="s">
        <v>2204</v>
      </c>
      <c r="N94" s="746"/>
      <c r="O94" s="746"/>
      <c r="P94" s="746"/>
      <c r="Q94" s="746"/>
      <c r="R94" s="521"/>
      <c r="S94" s="521"/>
    </row>
    <row r="95" spans="1:19">
      <c r="A95" s="723">
        <v>92</v>
      </c>
      <c r="B95" s="723">
        <v>20002095006</v>
      </c>
      <c r="C95" s="723" t="s">
        <v>2205</v>
      </c>
      <c r="D95" s="723">
        <v>95</v>
      </c>
      <c r="E95" s="723" t="s">
        <v>49</v>
      </c>
      <c r="F95" s="723" t="s">
        <v>84</v>
      </c>
      <c r="G95" s="723" t="s">
        <v>2042</v>
      </c>
      <c r="H95" s="723" t="s">
        <v>2043</v>
      </c>
      <c r="I95" s="723" t="s">
        <v>2206</v>
      </c>
      <c r="J95" s="723" t="s">
        <v>2207</v>
      </c>
      <c r="K95" s="723" t="s">
        <v>2044</v>
      </c>
      <c r="L95" s="723">
        <v>79799595</v>
      </c>
      <c r="M95" s="723" t="s">
        <v>2139</v>
      </c>
      <c r="N95" s="746"/>
      <c r="O95" s="746"/>
      <c r="P95" s="746"/>
      <c r="Q95" s="746"/>
      <c r="R95" s="521"/>
      <c r="S95" s="521"/>
    </row>
    <row r="96" spans="1:19">
      <c r="A96" s="721">
        <v>93</v>
      </c>
      <c r="B96" s="721">
        <v>20002095011</v>
      </c>
      <c r="C96" s="721" t="s">
        <v>2208</v>
      </c>
      <c r="D96" s="721">
        <v>95</v>
      </c>
      <c r="E96" s="721" t="s">
        <v>49</v>
      </c>
      <c r="F96" s="721" t="s">
        <v>84</v>
      </c>
      <c r="G96" s="721" t="s">
        <v>2042</v>
      </c>
      <c r="H96" s="721" t="s">
        <v>2043</v>
      </c>
      <c r="I96" s="721" t="s">
        <v>2209</v>
      </c>
      <c r="J96" s="721" t="s">
        <v>2210</v>
      </c>
      <c r="K96" s="721" t="s">
        <v>2044</v>
      </c>
      <c r="L96" s="721">
        <v>51936731</v>
      </c>
      <c r="M96" s="721" t="s">
        <v>2204</v>
      </c>
      <c r="N96" s="746"/>
      <c r="O96" s="746"/>
      <c r="P96" s="746"/>
      <c r="Q96" s="746"/>
      <c r="R96" s="521"/>
      <c r="S96" s="521"/>
    </row>
    <row r="97" spans="1:19">
      <c r="A97" s="723">
        <v>94</v>
      </c>
      <c r="B97" s="723">
        <v>20002095016</v>
      </c>
      <c r="C97" s="723" t="s">
        <v>2211</v>
      </c>
      <c r="D97" s="723">
        <v>95</v>
      </c>
      <c r="E97" s="723" t="s">
        <v>49</v>
      </c>
      <c r="F97" s="723" t="s">
        <v>84</v>
      </c>
      <c r="G97" s="723" t="s">
        <v>2042</v>
      </c>
      <c r="H97" s="723" t="s">
        <v>2043</v>
      </c>
      <c r="I97" s="723" t="s">
        <v>2212</v>
      </c>
      <c r="J97" s="723" t="s">
        <v>2213</v>
      </c>
      <c r="K97" s="723" t="s">
        <v>2044</v>
      </c>
      <c r="L97" s="723">
        <v>79944644</v>
      </c>
      <c r="M97" s="723" t="s">
        <v>2204</v>
      </c>
      <c r="N97" s="746"/>
      <c r="O97" s="746"/>
      <c r="P97" s="746"/>
      <c r="Q97" s="746"/>
      <c r="R97" s="521"/>
      <c r="S97" s="521"/>
    </row>
    <row r="98" spans="1:19">
      <c r="A98" s="721">
        <v>95</v>
      </c>
      <c r="B98" s="721">
        <v>20011095004</v>
      </c>
      <c r="C98" s="721" t="s">
        <v>2214</v>
      </c>
      <c r="D98" s="721">
        <v>95</v>
      </c>
      <c r="E98" s="721" t="s">
        <v>49</v>
      </c>
      <c r="F98" s="721" t="s">
        <v>84</v>
      </c>
      <c r="G98" s="721" t="s">
        <v>2042</v>
      </c>
      <c r="H98" s="721" t="s">
        <v>2043</v>
      </c>
      <c r="I98" s="721"/>
      <c r="J98" s="721"/>
      <c r="K98" s="721" t="s">
        <v>2044</v>
      </c>
      <c r="L98" s="721">
        <v>52420706</v>
      </c>
      <c r="M98" s="721" t="s">
        <v>2204</v>
      </c>
      <c r="N98" s="746"/>
      <c r="O98" s="746"/>
      <c r="P98" s="746"/>
      <c r="Q98" s="746"/>
      <c r="R98" s="521"/>
      <c r="S98" s="521"/>
    </row>
    <row r="99" spans="1:19">
      <c r="A99" s="723">
        <v>96</v>
      </c>
      <c r="B99" s="723">
        <v>20011095005</v>
      </c>
      <c r="C99" s="723" t="s">
        <v>2215</v>
      </c>
      <c r="D99" s="723">
        <v>95</v>
      </c>
      <c r="E99" s="723" t="s">
        <v>49</v>
      </c>
      <c r="F99" s="723" t="s">
        <v>84</v>
      </c>
      <c r="G99" s="723" t="s">
        <v>2042</v>
      </c>
      <c r="H99" s="723" t="s">
        <v>2043</v>
      </c>
      <c r="I99" s="723" t="s">
        <v>2216</v>
      </c>
      <c r="J99" s="723" t="s">
        <v>2217</v>
      </c>
      <c r="K99" s="723" t="s">
        <v>2044</v>
      </c>
      <c r="L99" s="723">
        <v>79624214</v>
      </c>
      <c r="M99" s="723" t="s">
        <v>2218</v>
      </c>
      <c r="N99" s="746"/>
      <c r="O99" s="746"/>
      <c r="P99" s="746"/>
      <c r="Q99" s="746"/>
      <c r="R99" s="521"/>
      <c r="S99" s="521"/>
    </row>
    <row r="100" spans="1:19">
      <c r="A100" s="721">
        <v>97</v>
      </c>
      <c r="B100" s="721">
        <v>20011095006</v>
      </c>
      <c r="C100" s="721" t="s">
        <v>2219</v>
      </c>
      <c r="D100" s="721">
        <v>95</v>
      </c>
      <c r="E100" s="721" t="s">
        <v>49</v>
      </c>
      <c r="F100" s="721" t="s">
        <v>84</v>
      </c>
      <c r="G100" s="721" t="s">
        <v>2042</v>
      </c>
      <c r="H100" s="721" t="s">
        <v>2043</v>
      </c>
      <c r="I100" s="721"/>
      <c r="J100" s="721"/>
      <c r="K100" s="721" t="s">
        <v>2044</v>
      </c>
      <c r="L100" s="721">
        <v>79375917</v>
      </c>
      <c r="M100" s="721" t="s">
        <v>2082</v>
      </c>
      <c r="N100" s="746"/>
      <c r="O100" s="746"/>
      <c r="P100" s="746"/>
      <c r="Q100" s="746"/>
      <c r="R100" s="521"/>
      <c r="S100" s="521"/>
    </row>
    <row r="101" spans="1:19">
      <c r="A101" s="723">
        <v>98</v>
      </c>
      <c r="B101" s="723">
        <v>20011095028</v>
      </c>
      <c r="C101" s="723" t="s">
        <v>2220</v>
      </c>
      <c r="D101" s="723">
        <v>95</v>
      </c>
      <c r="E101" s="723" t="s">
        <v>49</v>
      </c>
      <c r="F101" s="723" t="s">
        <v>84</v>
      </c>
      <c r="G101" s="723" t="s">
        <v>2042</v>
      </c>
      <c r="H101" s="723" t="s">
        <v>2043</v>
      </c>
      <c r="I101" s="723" t="s">
        <v>2221</v>
      </c>
      <c r="J101" s="723" t="s">
        <v>2222</v>
      </c>
      <c r="K101" s="723" t="s">
        <v>2044</v>
      </c>
      <c r="L101" s="723">
        <v>79569346</v>
      </c>
      <c r="M101" s="723" t="s">
        <v>2082</v>
      </c>
      <c r="N101" s="746"/>
      <c r="O101" s="746"/>
      <c r="P101" s="746"/>
      <c r="Q101" s="746"/>
      <c r="R101" s="521"/>
      <c r="S101" s="521"/>
    </row>
    <row r="102" spans="1:19">
      <c r="A102" s="721">
        <v>99</v>
      </c>
      <c r="B102" s="721">
        <v>20012095001</v>
      </c>
      <c r="C102" s="721" t="s">
        <v>2223</v>
      </c>
      <c r="D102" s="721">
        <v>95</v>
      </c>
      <c r="E102" s="721" t="s">
        <v>49</v>
      </c>
      <c r="F102" s="721" t="s">
        <v>84</v>
      </c>
      <c r="G102" s="721" t="s">
        <v>2042</v>
      </c>
      <c r="H102" s="721" t="s">
        <v>2043</v>
      </c>
      <c r="I102" s="721" t="s">
        <v>2224</v>
      </c>
      <c r="J102" s="721" t="s">
        <v>2225</v>
      </c>
      <c r="K102" s="721" t="s">
        <v>2044</v>
      </c>
      <c r="L102" s="721">
        <v>4287757</v>
      </c>
      <c r="M102" s="721" t="s">
        <v>2126</v>
      </c>
      <c r="N102" s="746"/>
      <c r="O102" s="746"/>
      <c r="P102" s="746"/>
      <c r="Q102" s="746"/>
      <c r="R102" s="521"/>
      <c r="S102" s="521"/>
    </row>
    <row r="103" spans="1:19">
      <c r="A103" s="723">
        <v>100</v>
      </c>
      <c r="B103" s="723">
        <v>20012095003</v>
      </c>
      <c r="C103" s="723" t="s">
        <v>2226</v>
      </c>
      <c r="D103" s="723">
        <v>95</v>
      </c>
      <c r="E103" s="723" t="s">
        <v>49</v>
      </c>
      <c r="F103" s="723" t="s">
        <v>84</v>
      </c>
      <c r="G103" s="723" t="s">
        <v>2042</v>
      </c>
      <c r="H103" s="723" t="s">
        <v>2043</v>
      </c>
      <c r="I103" s="723" t="s">
        <v>2227</v>
      </c>
      <c r="J103" s="723" t="s">
        <v>2228</v>
      </c>
      <c r="K103" s="723" t="s">
        <v>2044</v>
      </c>
      <c r="L103" s="723">
        <v>94460645</v>
      </c>
      <c r="M103" s="723" t="s">
        <v>2229</v>
      </c>
      <c r="N103" s="746"/>
      <c r="O103" s="746"/>
      <c r="P103" s="746"/>
      <c r="Q103" s="746"/>
      <c r="R103" s="521"/>
      <c r="S103" s="521"/>
    </row>
    <row r="104" spans="1:19">
      <c r="A104" s="721">
        <v>101</v>
      </c>
      <c r="B104" s="721">
        <v>20012095007</v>
      </c>
      <c r="C104" s="721" t="s">
        <v>2230</v>
      </c>
      <c r="D104" s="721">
        <v>95</v>
      </c>
      <c r="E104" s="721" t="s">
        <v>49</v>
      </c>
      <c r="F104" s="721" t="s">
        <v>84</v>
      </c>
      <c r="G104" s="721" t="s">
        <v>2042</v>
      </c>
      <c r="H104" s="721" t="s">
        <v>2043</v>
      </c>
      <c r="I104" s="721" t="s">
        <v>2231</v>
      </c>
      <c r="J104" s="721" t="s">
        <v>2232</v>
      </c>
      <c r="K104" s="721" t="s">
        <v>2044</v>
      </c>
      <c r="L104" s="721">
        <v>52150071</v>
      </c>
      <c r="M104" s="721" t="s">
        <v>2131</v>
      </c>
      <c r="N104" s="746"/>
      <c r="O104" s="746"/>
      <c r="P104" s="746"/>
      <c r="Q104" s="746"/>
      <c r="R104" s="521"/>
      <c r="S104" s="521"/>
    </row>
    <row r="105" spans="1:19">
      <c r="A105" s="723">
        <v>102</v>
      </c>
      <c r="B105" s="723">
        <v>20012095008</v>
      </c>
      <c r="C105" s="723" t="s">
        <v>2233</v>
      </c>
      <c r="D105" s="723">
        <v>95</v>
      </c>
      <c r="E105" s="723" t="s">
        <v>49</v>
      </c>
      <c r="F105" s="723" t="s">
        <v>84</v>
      </c>
      <c r="G105" s="723" t="s">
        <v>2042</v>
      </c>
      <c r="H105" s="723" t="s">
        <v>2043</v>
      </c>
      <c r="I105" s="723"/>
      <c r="J105" s="723"/>
      <c r="K105" s="723" t="s">
        <v>2044</v>
      </c>
      <c r="L105" s="723">
        <v>19062915</v>
      </c>
      <c r="M105" s="723" t="s">
        <v>2082</v>
      </c>
      <c r="N105" s="746"/>
      <c r="O105" s="746"/>
      <c r="P105" s="746"/>
      <c r="Q105" s="746"/>
      <c r="R105" s="521"/>
      <c r="S105" s="521"/>
    </row>
    <row r="106" spans="1:19">
      <c r="A106" s="721">
        <v>103</v>
      </c>
      <c r="B106" s="721">
        <v>20012095012</v>
      </c>
      <c r="C106" s="721" t="s">
        <v>2234</v>
      </c>
      <c r="D106" s="721">
        <v>95</v>
      </c>
      <c r="E106" s="721" t="s">
        <v>49</v>
      </c>
      <c r="F106" s="721" t="s">
        <v>84</v>
      </c>
      <c r="G106" s="721" t="s">
        <v>2042</v>
      </c>
      <c r="H106" s="721" t="s">
        <v>2043</v>
      </c>
      <c r="I106" s="721" t="s">
        <v>2235</v>
      </c>
      <c r="J106" s="721" t="s">
        <v>2236</v>
      </c>
      <c r="K106" s="721" t="s">
        <v>2044</v>
      </c>
      <c r="L106" s="721">
        <v>79698280</v>
      </c>
      <c r="M106" s="721" t="s">
        <v>2082</v>
      </c>
      <c r="N106" s="746"/>
      <c r="O106" s="746"/>
      <c r="P106" s="746"/>
      <c r="Q106" s="746"/>
      <c r="R106" s="521"/>
      <c r="S106" s="521"/>
    </row>
    <row r="107" spans="1:19">
      <c r="A107" s="723">
        <v>104</v>
      </c>
      <c r="B107" s="723">
        <v>20012095013</v>
      </c>
      <c r="C107" s="723" t="s">
        <v>2237</v>
      </c>
      <c r="D107" s="723">
        <v>95</v>
      </c>
      <c r="E107" s="723" t="s">
        <v>49</v>
      </c>
      <c r="F107" s="723" t="s">
        <v>84</v>
      </c>
      <c r="G107" s="723" t="s">
        <v>2042</v>
      </c>
      <c r="H107" s="723" t="s">
        <v>2043</v>
      </c>
      <c r="I107" s="723" t="s">
        <v>2238</v>
      </c>
      <c r="J107" s="723" t="s">
        <v>2239</v>
      </c>
      <c r="K107" s="723" t="s">
        <v>2044</v>
      </c>
      <c r="L107" s="723">
        <v>3038833</v>
      </c>
      <c r="M107" s="723" t="s">
        <v>2082</v>
      </c>
      <c r="N107" s="746"/>
      <c r="O107" s="746"/>
      <c r="P107" s="746"/>
      <c r="Q107" s="746"/>
      <c r="R107" s="521"/>
      <c r="S107" s="521"/>
    </row>
    <row r="108" spans="1:19">
      <c r="A108" s="721">
        <v>105</v>
      </c>
      <c r="B108" s="721">
        <v>20012095018</v>
      </c>
      <c r="C108" s="721" t="s">
        <v>2240</v>
      </c>
      <c r="D108" s="721">
        <v>95</v>
      </c>
      <c r="E108" s="721" t="s">
        <v>49</v>
      </c>
      <c r="F108" s="721" t="s">
        <v>84</v>
      </c>
      <c r="G108" s="721" t="s">
        <v>2042</v>
      </c>
      <c r="H108" s="721" t="s">
        <v>2043</v>
      </c>
      <c r="I108" s="721" t="s">
        <v>2241</v>
      </c>
      <c r="J108" s="721" t="s">
        <v>2242</v>
      </c>
      <c r="K108" s="721" t="s">
        <v>2044</v>
      </c>
      <c r="L108" s="721">
        <v>79562905</v>
      </c>
      <c r="M108" s="721" t="s">
        <v>2082</v>
      </c>
      <c r="N108" s="746"/>
      <c r="O108" s="746"/>
      <c r="P108" s="746"/>
      <c r="Q108" s="746"/>
      <c r="R108" s="521"/>
      <c r="S108" s="521"/>
    </row>
    <row r="109" spans="1:19">
      <c r="A109" s="723">
        <v>106</v>
      </c>
      <c r="B109" s="723">
        <v>20012095019</v>
      </c>
      <c r="C109" s="723" t="s">
        <v>2243</v>
      </c>
      <c r="D109" s="723">
        <v>95</v>
      </c>
      <c r="E109" s="723" t="s">
        <v>49</v>
      </c>
      <c r="F109" s="723" t="s">
        <v>84</v>
      </c>
      <c r="G109" s="723" t="s">
        <v>2042</v>
      </c>
      <c r="H109" s="723" t="s">
        <v>2043</v>
      </c>
      <c r="I109" s="723" t="s">
        <v>2244</v>
      </c>
      <c r="J109" s="723" t="s">
        <v>2245</v>
      </c>
      <c r="K109" s="723" t="s">
        <v>2044</v>
      </c>
      <c r="L109" s="723">
        <v>46369881</v>
      </c>
      <c r="M109" s="723" t="s">
        <v>2082</v>
      </c>
      <c r="N109" s="746"/>
      <c r="O109" s="746"/>
      <c r="P109" s="746"/>
      <c r="Q109" s="746"/>
      <c r="R109" s="521"/>
      <c r="S109" s="521"/>
    </row>
    <row r="110" spans="1:19">
      <c r="A110" s="721">
        <v>107</v>
      </c>
      <c r="B110" s="721">
        <v>20012095020</v>
      </c>
      <c r="C110" s="721" t="s">
        <v>2246</v>
      </c>
      <c r="D110" s="721">
        <v>95</v>
      </c>
      <c r="E110" s="721" t="s">
        <v>49</v>
      </c>
      <c r="F110" s="721" t="s">
        <v>84</v>
      </c>
      <c r="G110" s="721" t="s">
        <v>2042</v>
      </c>
      <c r="H110" s="721" t="s">
        <v>2043</v>
      </c>
      <c r="I110" s="721" t="s">
        <v>2247</v>
      </c>
      <c r="J110" s="721" t="s">
        <v>2248</v>
      </c>
      <c r="K110" s="721" t="s">
        <v>2044</v>
      </c>
      <c r="L110" s="721">
        <v>19165408</v>
      </c>
      <c r="M110" s="721" t="s">
        <v>2139</v>
      </c>
      <c r="N110" s="746"/>
      <c r="O110" s="746"/>
      <c r="P110" s="746"/>
      <c r="Q110" s="746"/>
      <c r="R110" s="521"/>
      <c r="S110" s="521"/>
    </row>
    <row r="111" spans="1:19">
      <c r="A111" s="723">
        <v>108</v>
      </c>
      <c r="B111" s="723">
        <v>20021095001</v>
      </c>
      <c r="C111" s="723" t="s">
        <v>2249</v>
      </c>
      <c r="D111" s="723">
        <v>95</v>
      </c>
      <c r="E111" s="723" t="s">
        <v>49</v>
      </c>
      <c r="F111" s="723" t="s">
        <v>84</v>
      </c>
      <c r="G111" s="723" t="s">
        <v>2042</v>
      </c>
      <c r="H111" s="723" t="s">
        <v>2043</v>
      </c>
      <c r="I111" s="723" t="s">
        <v>2250</v>
      </c>
      <c r="J111" s="723" t="s">
        <v>2251</v>
      </c>
      <c r="K111" s="723" t="s">
        <v>2044</v>
      </c>
      <c r="L111" s="723">
        <v>79411431</v>
      </c>
      <c r="M111" s="723" t="s">
        <v>2252</v>
      </c>
      <c r="N111" s="746"/>
      <c r="O111" s="746"/>
      <c r="P111" s="746"/>
      <c r="Q111" s="746"/>
      <c r="R111" s="521"/>
      <c r="S111" s="521"/>
    </row>
    <row r="112" spans="1:19">
      <c r="A112" s="721">
        <v>109</v>
      </c>
      <c r="B112" s="721">
        <v>20021095002</v>
      </c>
      <c r="C112" s="721" t="s">
        <v>2253</v>
      </c>
      <c r="D112" s="721">
        <v>95</v>
      </c>
      <c r="E112" s="721" t="s">
        <v>49</v>
      </c>
      <c r="F112" s="721" t="s">
        <v>84</v>
      </c>
      <c r="G112" s="721" t="s">
        <v>2042</v>
      </c>
      <c r="H112" s="721" t="s">
        <v>2043</v>
      </c>
      <c r="I112" s="721" t="s">
        <v>2254</v>
      </c>
      <c r="J112" s="721" t="s">
        <v>2255</v>
      </c>
      <c r="K112" s="721" t="s">
        <v>2044</v>
      </c>
      <c r="L112" s="721">
        <v>79671859</v>
      </c>
      <c r="M112" s="721" t="s">
        <v>2252</v>
      </c>
      <c r="N112" s="746"/>
      <c r="O112" s="746"/>
      <c r="P112" s="746"/>
      <c r="Q112" s="746"/>
      <c r="R112" s="521"/>
      <c r="S112" s="521"/>
    </row>
    <row r="113" spans="1:19">
      <c r="A113" s="723">
        <v>110</v>
      </c>
      <c r="B113" s="723">
        <v>20021095008</v>
      </c>
      <c r="C113" s="723" t="s">
        <v>2256</v>
      </c>
      <c r="D113" s="723">
        <v>95</v>
      </c>
      <c r="E113" s="723" t="s">
        <v>49</v>
      </c>
      <c r="F113" s="723" t="s">
        <v>84</v>
      </c>
      <c r="G113" s="723" t="s">
        <v>2042</v>
      </c>
      <c r="H113" s="723" t="s">
        <v>2043</v>
      </c>
      <c r="I113" s="723" t="s">
        <v>2257</v>
      </c>
      <c r="J113" s="723" t="s">
        <v>2258</v>
      </c>
      <c r="K113" s="723" t="s">
        <v>2044</v>
      </c>
      <c r="L113" s="723">
        <v>11343316</v>
      </c>
      <c r="M113" s="723" t="s">
        <v>2167</v>
      </c>
      <c r="N113" s="746"/>
      <c r="O113" s="746"/>
      <c r="P113" s="746"/>
      <c r="Q113" s="746"/>
      <c r="R113" s="521"/>
      <c r="S113" s="521"/>
    </row>
    <row r="114" spans="1:19">
      <c r="A114" s="721">
        <v>111</v>
      </c>
      <c r="B114" s="721">
        <v>20021095009</v>
      </c>
      <c r="C114" s="721" t="s">
        <v>2259</v>
      </c>
      <c r="D114" s="721">
        <v>95</v>
      </c>
      <c r="E114" s="721" t="s">
        <v>49</v>
      </c>
      <c r="F114" s="721" t="s">
        <v>84</v>
      </c>
      <c r="G114" s="721" t="s">
        <v>2042</v>
      </c>
      <c r="H114" s="721" t="s">
        <v>2043</v>
      </c>
      <c r="I114" s="721" t="s">
        <v>2260</v>
      </c>
      <c r="J114" s="721" t="s">
        <v>2261</v>
      </c>
      <c r="K114" s="721" t="s">
        <v>2044</v>
      </c>
      <c r="L114" s="721">
        <v>52268449</v>
      </c>
      <c r="M114" s="721" t="s">
        <v>2184</v>
      </c>
      <c r="N114" s="746"/>
      <c r="O114" s="746"/>
      <c r="P114" s="746"/>
      <c r="Q114" s="746"/>
      <c r="R114" s="521"/>
      <c r="S114" s="521"/>
    </row>
    <row r="115" spans="1:19">
      <c r="A115" s="723">
        <v>112</v>
      </c>
      <c r="B115" s="723">
        <v>20021095013</v>
      </c>
      <c r="C115" s="723" t="s">
        <v>2262</v>
      </c>
      <c r="D115" s="723">
        <v>95</v>
      </c>
      <c r="E115" s="723" t="s">
        <v>49</v>
      </c>
      <c r="F115" s="723" t="s">
        <v>84</v>
      </c>
      <c r="G115" s="723" t="s">
        <v>2042</v>
      </c>
      <c r="H115" s="723" t="s">
        <v>2043</v>
      </c>
      <c r="I115" s="723" t="s">
        <v>2263</v>
      </c>
      <c r="J115" s="723" t="s">
        <v>2264</v>
      </c>
      <c r="K115" s="723" t="s">
        <v>2044</v>
      </c>
      <c r="L115" s="723">
        <v>3080332</v>
      </c>
      <c r="M115" s="723" t="s">
        <v>2131</v>
      </c>
      <c r="N115" s="746"/>
      <c r="O115" s="746"/>
      <c r="P115" s="746"/>
      <c r="Q115" s="746"/>
      <c r="R115" s="521"/>
      <c r="S115" s="521"/>
    </row>
    <row r="116" spans="1:19">
      <c r="A116" s="721">
        <v>113</v>
      </c>
      <c r="B116" s="721">
        <v>20021095015</v>
      </c>
      <c r="C116" s="721" t="s">
        <v>2265</v>
      </c>
      <c r="D116" s="721">
        <v>95</v>
      </c>
      <c r="E116" s="721" t="s">
        <v>49</v>
      </c>
      <c r="F116" s="721" t="s">
        <v>84</v>
      </c>
      <c r="G116" s="721" t="s">
        <v>2042</v>
      </c>
      <c r="H116" s="721" t="s">
        <v>2043</v>
      </c>
      <c r="I116" s="721" t="s">
        <v>2266</v>
      </c>
      <c r="J116" s="721" t="s">
        <v>2267</v>
      </c>
      <c r="K116" s="721" t="s">
        <v>2044</v>
      </c>
      <c r="L116" s="721">
        <v>51977588</v>
      </c>
      <c r="M116" s="721" t="s">
        <v>2252</v>
      </c>
      <c r="N116" s="746"/>
      <c r="O116" s="746"/>
      <c r="P116" s="746"/>
      <c r="Q116" s="746"/>
      <c r="R116" s="521"/>
      <c r="S116" s="521"/>
    </row>
    <row r="117" spans="1:19">
      <c r="A117" s="723">
        <v>114</v>
      </c>
      <c r="B117" s="723">
        <v>20021095024</v>
      </c>
      <c r="C117" s="723" t="s">
        <v>2268</v>
      </c>
      <c r="D117" s="723">
        <v>95</v>
      </c>
      <c r="E117" s="723" t="s">
        <v>49</v>
      </c>
      <c r="F117" s="723" t="s">
        <v>84</v>
      </c>
      <c r="G117" s="723" t="s">
        <v>2042</v>
      </c>
      <c r="H117" s="723" t="s">
        <v>2043</v>
      </c>
      <c r="I117" s="723" t="s">
        <v>2269</v>
      </c>
      <c r="J117" s="723" t="s">
        <v>2270</v>
      </c>
      <c r="K117" s="723" t="s">
        <v>2044</v>
      </c>
      <c r="L117" s="723">
        <v>79691058</v>
      </c>
      <c r="M117" s="723" t="s">
        <v>2082</v>
      </c>
      <c r="N117" s="746"/>
      <c r="O117" s="746"/>
      <c r="P117" s="746"/>
      <c r="Q117" s="746"/>
      <c r="R117" s="521"/>
      <c r="S117" s="521"/>
    </row>
    <row r="118" spans="1:19">
      <c r="A118" s="721">
        <v>115</v>
      </c>
      <c r="B118" s="721">
        <v>20021095030</v>
      </c>
      <c r="C118" s="721" t="s">
        <v>2271</v>
      </c>
      <c r="D118" s="721">
        <v>95</v>
      </c>
      <c r="E118" s="721" t="s">
        <v>49</v>
      </c>
      <c r="F118" s="721" t="s">
        <v>84</v>
      </c>
      <c r="G118" s="721" t="s">
        <v>2042</v>
      </c>
      <c r="H118" s="721" t="s">
        <v>2043</v>
      </c>
      <c r="I118" s="721" t="s">
        <v>2272</v>
      </c>
      <c r="J118" s="721" t="s">
        <v>2273</v>
      </c>
      <c r="K118" s="721" t="s">
        <v>2044</v>
      </c>
      <c r="L118" s="721">
        <v>41574857</v>
      </c>
      <c r="M118" s="721" t="s">
        <v>2126</v>
      </c>
      <c r="N118" s="746"/>
      <c r="O118" s="746"/>
      <c r="P118" s="746"/>
      <c r="Q118" s="746"/>
      <c r="R118" s="521"/>
      <c r="S118" s="521"/>
    </row>
    <row r="119" spans="1:19">
      <c r="A119" s="723">
        <v>116</v>
      </c>
      <c r="B119" s="723">
        <v>20022095004</v>
      </c>
      <c r="C119" s="723" t="s">
        <v>2274</v>
      </c>
      <c r="D119" s="723">
        <v>95</v>
      </c>
      <c r="E119" s="723" t="s">
        <v>49</v>
      </c>
      <c r="F119" s="723" t="s">
        <v>84</v>
      </c>
      <c r="G119" s="723" t="s">
        <v>2042</v>
      </c>
      <c r="H119" s="723" t="s">
        <v>2043</v>
      </c>
      <c r="I119" s="723" t="s">
        <v>2275</v>
      </c>
      <c r="J119" s="723" t="s">
        <v>2276</v>
      </c>
      <c r="K119" s="723" t="s">
        <v>2044</v>
      </c>
      <c r="L119" s="723">
        <v>79797084</v>
      </c>
      <c r="M119" s="723" t="s">
        <v>2218</v>
      </c>
      <c r="N119" s="746"/>
      <c r="O119" s="746"/>
      <c r="P119" s="746"/>
      <c r="Q119" s="746"/>
      <c r="R119" s="521"/>
      <c r="S119" s="521"/>
    </row>
    <row r="120" spans="1:19">
      <c r="A120" s="721">
        <v>117</v>
      </c>
      <c r="B120" s="721">
        <v>20022095008</v>
      </c>
      <c r="C120" s="721" t="s">
        <v>2277</v>
      </c>
      <c r="D120" s="721">
        <v>95</v>
      </c>
      <c r="E120" s="721" t="s">
        <v>49</v>
      </c>
      <c r="F120" s="721" t="s">
        <v>84</v>
      </c>
      <c r="G120" s="721" t="s">
        <v>2042</v>
      </c>
      <c r="H120" s="721" t="s">
        <v>2043</v>
      </c>
      <c r="I120" s="721" t="s">
        <v>2278</v>
      </c>
      <c r="J120" s="721" t="s">
        <v>2279</v>
      </c>
      <c r="K120" s="721" t="s">
        <v>2044</v>
      </c>
      <c r="L120" s="721">
        <v>79480545</v>
      </c>
      <c r="M120" s="721" t="s">
        <v>2113</v>
      </c>
      <c r="N120" s="746"/>
      <c r="O120" s="746"/>
      <c r="P120" s="746"/>
      <c r="Q120" s="746"/>
      <c r="R120" s="521"/>
      <c r="S120" s="521"/>
    </row>
    <row r="121" spans="1:19">
      <c r="A121" s="723">
        <v>118</v>
      </c>
      <c r="B121" s="723">
        <v>20022095017</v>
      </c>
      <c r="C121" s="723" t="s">
        <v>2280</v>
      </c>
      <c r="D121" s="723">
        <v>95</v>
      </c>
      <c r="E121" s="723" t="s">
        <v>49</v>
      </c>
      <c r="F121" s="723" t="s">
        <v>84</v>
      </c>
      <c r="G121" s="723" t="s">
        <v>2042</v>
      </c>
      <c r="H121" s="723" t="s">
        <v>2043</v>
      </c>
      <c r="I121" s="723" t="s">
        <v>2281</v>
      </c>
      <c r="J121" s="723" t="s">
        <v>2282</v>
      </c>
      <c r="K121" s="723" t="s">
        <v>2044</v>
      </c>
      <c r="L121" s="723">
        <v>6199403</v>
      </c>
      <c r="M121" s="723" t="s">
        <v>2126</v>
      </c>
      <c r="N121" s="746"/>
      <c r="O121" s="746"/>
      <c r="P121" s="746"/>
      <c r="Q121" s="746"/>
      <c r="R121" s="521"/>
      <c r="S121" s="521"/>
    </row>
    <row r="122" spans="1:19">
      <c r="A122" s="721">
        <v>119</v>
      </c>
      <c r="B122" s="721">
        <v>20031095003</v>
      </c>
      <c r="C122" s="721" t="s">
        <v>2283</v>
      </c>
      <c r="D122" s="721">
        <v>95</v>
      </c>
      <c r="E122" s="721" t="s">
        <v>49</v>
      </c>
      <c r="F122" s="721" t="s">
        <v>84</v>
      </c>
      <c r="G122" s="721" t="s">
        <v>2042</v>
      </c>
      <c r="H122" s="721" t="s">
        <v>2043</v>
      </c>
      <c r="I122" s="721" t="s">
        <v>2284</v>
      </c>
      <c r="J122" s="721" t="s">
        <v>2285</v>
      </c>
      <c r="K122" s="721" t="s">
        <v>2044</v>
      </c>
      <c r="L122" s="721">
        <v>52655082</v>
      </c>
      <c r="M122" s="721" t="s">
        <v>2286</v>
      </c>
      <c r="N122" s="746"/>
      <c r="O122" s="746"/>
      <c r="P122" s="746"/>
      <c r="Q122" s="746"/>
      <c r="R122" s="521"/>
      <c r="S122" s="521"/>
    </row>
    <row r="123" spans="1:19">
      <c r="A123" s="723">
        <v>120</v>
      </c>
      <c r="B123" s="723">
        <v>20031095016</v>
      </c>
      <c r="C123" s="723" t="s">
        <v>2287</v>
      </c>
      <c r="D123" s="723">
        <v>95</v>
      </c>
      <c r="E123" s="723" t="s">
        <v>49</v>
      </c>
      <c r="F123" s="723" t="s">
        <v>84</v>
      </c>
      <c r="G123" s="723" t="s">
        <v>2042</v>
      </c>
      <c r="H123" s="723" t="s">
        <v>2043</v>
      </c>
      <c r="I123" s="723" t="s">
        <v>2288</v>
      </c>
      <c r="J123" s="723" t="s">
        <v>2289</v>
      </c>
      <c r="K123" s="723" t="s">
        <v>2044</v>
      </c>
      <c r="L123" s="723">
        <v>79671550</v>
      </c>
      <c r="M123" s="723" t="s">
        <v>2126</v>
      </c>
      <c r="N123" s="746"/>
      <c r="O123" s="746"/>
      <c r="P123" s="746"/>
      <c r="Q123" s="746"/>
      <c r="R123" s="521"/>
      <c r="S123" s="521"/>
    </row>
    <row r="124" spans="1:19">
      <c r="A124" s="721">
        <v>121</v>
      </c>
      <c r="B124" s="721">
        <v>20031095020</v>
      </c>
      <c r="C124" s="721" t="s">
        <v>2290</v>
      </c>
      <c r="D124" s="721">
        <v>95</v>
      </c>
      <c r="E124" s="721" t="s">
        <v>49</v>
      </c>
      <c r="F124" s="721" t="s">
        <v>84</v>
      </c>
      <c r="G124" s="721" t="s">
        <v>2042</v>
      </c>
      <c r="H124" s="721" t="s">
        <v>2043</v>
      </c>
      <c r="I124" s="721" t="s">
        <v>2291</v>
      </c>
      <c r="J124" s="721" t="s">
        <v>1023</v>
      </c>
      <c r="K124" s="721" t="s">
        <v>2044</v>
      </c>
      <c r="L124" s="721">
        <v>4373175</v>
      </c>
      <c r="M124" s="721" t="s">
        <v>2126</v>
      </c>
      <c r="N124" s="746"/>
      <c r="O124" s="746"/>
      <c r="P124" s="746"/>
      <c r="Q124" s="746"/>
      <c r="R124" s="521"/>
      <c r="S124" s="521"/>
    </row>
    <row r="125" spans="1:19" ht="14.25" customHeight="1">
      <c r="A125" s="725" t="s">
        <v>2292</v>
      </c>
      <c r="B125" s="725" t="s">
        <v>2292</v>
      </c>
      <c r="C125" s="725" t="s">
        <v>2292</v>
      </c>
      <c r="D125" s="725" t="s">
        <v>2292</v>
      </c>
      <c r="E125" s="725" t="s">
        <v>2292</v>
      </c>
      <c r="F125" s="725" t="s">
        <v>2292</v>
      </c>
      <c r="G125" s="725" t="s">
        <v>2292</v>
      </c>
      <c r="H125" s="725" t="s">
        <v>2292</v>
      </c>
      <c r="I125" s="725" t="s">
        <v>2292</v>
      </c>
      <c r="J125" s="725" t="s">
        <v>2292</v>
      </c>
      <c r="K125" s="725" t="s">
        <v>2292</v>
      </c>
      <c r="L125" s="725" t="s">
        <v>2292</v>
      </c>
      <c r="M125" s="725" t="s">
        <v>2292</v>
      </c>
      <c r="N125" s="746"/>
      <c r="O125" s="746"/>
      <c r="P125" s="746"/>
      <c r="Q125" s="746"/>
      <c r="R125" s="521"/>
      <c r="S125" s="521"/>
    </row>
    <row r="126" spans="1:19">
      <c r="A126" s="719" t="s">
        <v>2033</v>
      </c>
      <c r="B126" s="719" t="s">
        <v>2293</v>
      </c>
      <c r="C126"/>
      <c r="D126"/>
      <c r="E126"/>
      <c r="F126"/>
      <c r="G126"/>
      <c r="H126"/>
      <c r="I126"/>
      <c r="J126"/>
      <c r="K126"/>
      <c r="L126"/>
      <c r="M126"/>
      <c r="N126" s="746"/>
      <c r="O126" s="746"/>
      <c r="P126" s="746"/>
      <c r="Q126" s="746"/>
      <c r="R126" s="521"/>
      <c r="S126" s="521"/>
    </row>
    <row r="127" spans="1:19" ht="25.5">
      <c r="A127" s="720" t="s">
        <v>2035</v>
      </c>
      <c r="B127" s="720" t="s">
        <v>2036</v>
      </c>
      <c r="C127" s="720" t="s">
        <v>1</v>
      </c>
      <c r="D127" s="720" t="s">
        <v>2037</v>
      </c>
      <c r="E127" s="720" t="s">
        <v>3</v>
      </c>
      <c r="F127" s="720" t="s">
        <v>4</v>
      </c>
      <c r="G127" s="720" t="s">
        <v>2038</v>
      </c>
      <c r="H127" s="720" t="s">
        <v>6</v>
      </c>
      <c r="I127" s="720" t="s">
        <v>7</v>
      </c>
      <c r="J127" s="720" t="s">
        <v>8</v>
      </c>
      <c r="K127" s="720" t="s">
        <v>2039</v>
      </c>
      <c r="L127" s="720" t="s">
        <v>10</v>
      </c>
      <c r="M127" s="720" t="s">
        <v>2040</v>
      </c>
      <c r="N127" s="746"/>
      <c r="O127" s="746"/>
      <c r="P127" s="746"/>
      <c r="Q127" s="746"/>
      <c r="R127" s="521"/>
      <c r="S127" s="521"/>
    </row>
    <row r="128" spans="1:19">
      <c r="A128" s="721">
        <v>122</v>
      </c>
      <c r="B128" s="721">
        <v>8939502</v>
      </c>
      <c r="C128" s="721" t="s">
        <v>2294</v>
      </c>
      <c r="D128" s="721">
        <v>95</v>
      </c>
      <c r="E128" s="721" t="s">
        <v>49</v>
      </c>
      <c r="F128" s="721" t="s">
        <v>107</v>
      </c>
      <c r="G128" s="721" t="s">
        <v>108</v>
      </c>
      <c r="H128" s="721" t="s">
        <v>2043</v>
      </c>
      <c r="I128" s="721"/>
      <c r="J128" s="721"/>
      <c r="K128" s="721" t="s">
        <v>2044</v>
      </c>
      <c r="L128" s="721">
        <v>101</v>
      </c>
      <c r="M128" s="722" t="s">
        <v>955</v>
      </c>
      <c r="N128" s="746"/>
      <c r="O128" s="746"/>
      <c r="P128" s="746"/>
      <c r="Q128" s="746"/>
      <c r="R128" s="521"/>
      <c r="S128" s="521"/>
    </row>
    <row r="129" spans="1:19">
      <c r="A129" s="723">
        <v>123</v>
      </c>
      <c r="B129" s="723">
        <v>8939505</v>
      </c>
      <c r="C129" s="723" t="s">
        <v>2295</v>
      </c>
      <c r="D129" s="723">
        <v>95</v>
      </c>
      <c r="E129" s="723" t="s">
        <v>49</v>
      </c>
      <c r="F129" s="723" t="s">
        <v>107</v>
      </c>
      <c r="G129" s="723" t="s">
        <v>108</v>
      </c>
      <c r="H129" s="723" t="s">
        <v>2043</v>
      </c>
      <c r="I129" s="723"/>
      <c r="J129" s="723"/>
      <c r="K129" s="723" t="s">
        <v>2044</v>
      </c>
      <c r="L129" s="723">
        <v>101</v>
      </c>
      <c r="M129" s="724" t="s">
        <v>955</v>
      </c>
      <c r="N129" s="746"/>
      <c r="O129" s="746"/>
      <c r="P129" s="746"/>
      <c r="Q129" s="746"/>
      <c r="R129" s="521"/>
      <c r="S129" s="521"/>
    </row>
    <row r="130" spans="1:19">
      <c r="A130" s="721">
        <v>124</v>
      </c>
      <c r="B130" s="721">
        <v>8939508</v>
      </c>
      <c r="C130" s="721" t="s">
        <v>2296</v>
      </c>
      <c r="D130" s="721">
        <v>95</v>
      </c>
      <c r="E130" s="721" t="s">
        <v>49</v>
      </c>
      <c r="F130" s="721" t="s">
        <v>107</v>
      </c>
      <c r="G130" s="721" t="s">
        <v>108</v>
      </c>
      <c r="H130" s="721" t="s">
        <v>2043</v>
      </c>
      <c r="I130" s="721"/>
      <c r="J130" s="721"/>
      <c r="K130" s="721" t="s">
        <v>2044</v>
      </c>
      <c r="L130" s="721">
        <v>101</v>
      </c>
      <c r="M130" s="722" t="s">
        <v>955</v>
      </c>
      <c r="N130" s="746"/>
      <c r="O130" s="746"/>
      <c r="P130" s="746"/>
      <c r="Q130" s="746"/>
      <c r="R130" s="521"/>
      <c r="S130" s="521"/>
    </row>
    <row r="131" spans="1:19">
      <c r="A131" s="723">
        <v>125</v>
      </c>
      <c r="B131" s="723">
        <v>8939509</v>
      </c>
      <c r="C131" s="723" t="s">
        <v>2297</v>
      </c>
      <c r="D131" s="723">
        <v>95</v>
      </c>
      <c r="E131" s="723" t="s">
        <v>49</v>
      </c>
      <c r="F131" s="723" t="s">
        <v>107</v>
      </c>
      <c r="G131" s="723" t="s">
        <v>108</v>
      </c>
      <c r="H131" s="723" t="s">
        <v>2043</v>
      </c>
      <c r="I131" s="723"/>
      <c r="J131" s="723"/>
      <c r="K131" s="723" t="s">
        <v>2044</v>
      </c>
      <c r="L131" s="723">
        <v>101</v>
      </c>
      <c r="M131" s="724" t="s">
        <v>955</v>
      </c>
      <c r="N131" s="746"/>
      <c r="O131" s="746"/>
      <c r="P131" s="746"/>
      <c r="Q131" s="746"/>
      <c r="R131" s="521"/>
      <c r="S131" s="521"/>
    </row>
    <row r="132" spans="1:19">
      <c r="A132" s="721">
        <v>126</v>
      </c>
      <c r="B132" s="721">
        <v>8939510</v>
      </c>
      <c r="C132" s="721" t="s">
        <v>2298</v>
      </c>
      <c r="D132" s="721">
        <v>95</v>
      </c>
      <c r="E132" s="721" t="s">
        <v>49</v>
      </c>
      <c r="F132" s="721" t="s">
        <v>107</v>
      </c>
      <c r="G132" s="721" t="s">
        <v>108</v>
      </c>
      <c r="H132" s="721" t="s">
        <v>2043</v>
      </c>
      <c r="I132" s="721"/>
      <c r="J132" s="721"/>
      <c r="K132" s="721" t="s">
        <v>2044</v>
      </c>
      <c r="L132" s="721">
        <v>101</v>
      </c>
      <c r="M132" s="722" t="s">
        <v>955</v>
      </c>
      <c r="N132" s="746"/>
      <c r="O132" s="746"/>
      <c r="P132" s="746"/>
      <c r="Q132" s="746"/>
      <c r="R132" s="521"/>
      <c r="S132" s="521"/>
    </row>
    <row r="133" spans="1:19">
      <c r="A133" s="723">
        <v>127</v>
      </c>
      <c r="B133" s="723">
        <v>8939515</v>
      </c>
      <c r="C133" s="723" t="s">
        <v>2299</v>
      </c>
      <c r="D133" s="723">
        <v>95</v>
      </c>
      <c r="E133" s="723" t="s">
        <v>49</v>
      </c>
      <c r="F133" s="723" t="s">
        <v>107</v>
      </c>
      <c r="G133" s="723" t="s">
        <v>108</v>
      </c>
      <c r="H133" s="723" t="s">
        <v>2043</v>
      </c>
      <c r="I133" s="723"/>
      <c r="J133" s="723"/>
      <c r="K133" s="723" t="s">
        <v>2044</v>
      </c>
      <c r="L133" s="723">
        <v>101</v>
      </c>
      <c r="M133" s="724" t="s">
        <v>955</v>
      </c>
      <c r="N133" s="746"/>
      <c r="O133" s="746"/>
      <c r="P133" s="746"/>
      <c r="Q133" s="746"/>
      <c r="R133" s="521"/>
      <c r="S133" s="521"/>
    </row>
    <row r="134" spans="1:19">
      <c r="A134" s="721">
        <v>128</v>
      </c>
      <c r="B134" s="721">
        <v>8939516</v>
      </c>
      <c r="C134" s="721" t="s">
        <v>2300</v>
      </c>
      <c r="D134" s="721">
        <v>95</v>
      </c>
      <c r="E134" s="721" t="s">
        <v>49</v>
      </c>
      <c r="F134" s="721" t="s">
        <v>107</v>
      </c>
      <c r="G134" s="721" t="s">
        <v>108</v>
      </c>
      <c r="H134" s="721" t="s">
        <v>2043</v>
      </c>
      <c r="I134" s="721"/>
      <c r="J134" s="721"/>
      <c r="K134" s="721" t="s">
        <v>2044</v>
      </c>
      <c r="L134" s="721">
        <v>16269954</v>
      </c>
      <c r="M134" s="722" t="s">
        <v>955</v>
      </c>
      <c r="N134" s="746"/>
      <c r="O134" s="746"/>
      <c r="P134" s="746"/>
      <c r="Q134" s="746"/>
      <c r="R134" s="521"/>
      <c r="S134" s="521"/>
    </row>
    <row r="135" spans="1:19">
      <c r="A135" s="723">
        <v>129</v>
      </c>
      <c r="B135" s="723">
        <v>8939519</v>
      </c>
      <c r="C135" s="723" t="s">
        <v>2301</v>
      </c>
      <c r="D135" s="723">
        <v>95</v>
      </c>
      <c r="E135" s="723" t="s">
        <v>49</v>
      </c>
      <c r="F135" s="723" t="s">
        <v>107</v>
      </c>
      <c r="G135" s="723" t="s">
        <v>108</v>
      </c>
      <c r="H135" s="723" t="s">
        <v>2043</v>
      </c>
      <c r="I135" s="723"/>
      <c r="J135" s="723"/>
      <c r="K135" s="723" t="s">
        <v>2044</v>
      </c>
      <c r="L135" s="723">
        <v>101</v>
      </c>
      <c r="M135" s="724" t="s">
        <v>955</v>
      </c>
      <c r="N135" s="746"/>
      <c r="O135" s="746"/>
      <c r="P135" s="746"/>
      <c r="Q135" s="746"/>
      <c r="R135" s="521"/>
      <c r="S135" s="521"/>
    </row>
    <row r="136" spans="1:19">
      <c r="A136" s="721">
        <v>130</v>
      </c>
      <c r="B136" s="721">
        <v>8939524</v>
      </c>
      <c r="C136" s="721" t="s">
        <v>2302</v>
      </c>
      <c r="D136" s="721">
        <v>95</v>
      </c>
      <c r="E136" s="721" t="s">
        <v>49</v>
      </c>
      <c r="F136" s="721" t="s">
        <v>107</v>
      </c>
      <c r="G136" s="721" t="s">
        <v>108</v>
      </c>
      <c r="H136" s="721" t="s">
        <v>2043</v>
      </c>
      <c r="I136" s="721"/>
      <c r="J136" s="721"/>
      <c r="K136" s="721" t="s">
        <v>2044</v>
      </c>
      <c r="L136" s="721">
        <v>101</v>
      </c>
      <c r="M136" s="722" t="s">
        <v>955</v>
      </c>
      <c r="N136" s="746"/>
      <c r="O136" s="746"/>
      <c r="P136" s="746"/>
      <c r="Q136" s="746"/>
      <c r="R136" s="521"/>
      <c r="S136" s="521"/>
    </row>
    <row r="137" spans="1:19">
      <c r="A137" s="723">
        <v>131</v>
      </c>
      <c r="B137" s="723">
        <v>8939525</v>
      </c>
      <c r="C137" s="723" t="s">
        <v>2303</v>
      </c>
      <c r="D137" s="723">
        <v>95</v>
      </c>
      <c r="E137" s="723" t="s">
        <v>49</v>
      </c>
      <c r="F137" s="723" t="s">
        <v>107</v>
      </c>
      <c r="G137" s="723" t="s">
        <v>108</v>
      </c>
      <c r="H137" s="723" t="s">
        <v>2043</v>
      </c>
      <c r="I137" s="723"/>
      <c r="J137" s="723"/>
      <c r="K137" s="723" t="s">
        <v>2044</v>
      </c>
      <c r="L137" s="723">
        <v>101</v>
      </c>
      <c r="M137" s="724" t="s">
        <v>955</v>
      </c>
      <c r="N137" s="746"/>
      <c r="O137" s="746"/>
      <c r="P137" s="746"/>
      <c r="Q137" s="746"/>
      <c r="R137" s="521"/>
      <c r="S137" s="521"/>
    </row>
    <row r="138" spans="1:19">
      <c r="A138" s="721">
        <v>132</v>
      </c>
      <c r="B138" s="721">
        <v>8939527</v>
      </c>
      <c r="C138" s="721" t="s">
        <v>2304</v>
      </c>
      <c r="D138" s="721">
        <v>95</v>
      </c>
      <c r="E138" s="721" t="s">
        <v>49</v>
      </c>
      <c r="F138" s="721" t="s">
        <v>107</v>
      </c>
      <c r="G138" s="721" t="s">
        <v>108</v>
      </c>
      <c r="H138" s="721" t="s">
        <v>2043</v>
      </c>
      <c r="I138" s="721"/>
      <c r="J138" s="721"/>
      <c r="K138" s="721" t="s">
        <v>2044</v>
      </c>
      <c r="L138" s="721">
        <v>101</v>
      </c>
      <c r="M138" s="722" t="s">
        <v>955</v>
      </c>
      <c r="N138" s="746"/>
      <c r="O138" s="746"/>
      <c r="P138" s="746"/>
      <c r="Q138" s="746"/>
      <c r="R138" s="521"/>
      <c r="S138" s="521"/>
    </row>
    <row r="139" spans="1:19">
      <c r="A139" s="723">
        <v>133</v>
      </c>
      <c r="B139" s="723">
        <v>8939528</v>
      </c>
      <c r="C139" s="723" t="s">
        <v>2305</v>
      </c>
      <c r="D139" s="723">
        <v>95</v>
      </c>
      <c r="E139" s="723" t="s">
        <v>49</v>
      </c>
      <c r="F139" s="723" t="s">
        <v>107</v>
      </c>
      <c r="G139" s="723" t="s">
        <v>108</v>
      </c>
      <c r="H139" s="723" t="s">
        <v>2043</v>
      </c>
      <c r="I139" s="723"/>
      <c r="J139" s="723"/>
      <c r="K139" s="723" t="s">
        <v>2044</v>
      </c>
      <c r="L139" s="723">
        <v>101</v>
      </c>
      <c r="M139" s="724" t="s">
        <v>955</v>
      </c>
      <c r="N139" s="746"/>
      <c r="O139" s="746"/>
      <c r="P139" s="746"/>
      <c r="Q139" s="746"/>
      <c r="R139" s="521"/>
      <c r="S139" s="521"/>
    </row>
    <row r="140" spans="1:19">
      <c r="A140" s="721">
        <v>134</v>
      </c>
      <c r="B140" s="721">
        <v>8949503</v>
      </c>
      <c r="C140" s="721" t="s">
        <v>2306</v>
      </c>
      <c r="D140" s="721">
        <v>95</v>
      </c>
      <c r="E140" s="721" t="s">
        <v>49</v>
      </c>
      <c r="F140" s="721" t="s">
        <v>107</v>
      </c>
      <c r="G140" s="721" t="s">
        <v>108</v>
      </c>
      <c r="H140" s="721" t="s">
        <v>2043</v>
      </c>
      <c r="I140" s="721"/>
      <c r="J140" s="721"/>
      <c r="K140" s="721" t="s">
        <v>2044</v>
      </c>
      <c r="L140" s="721">
        <v>101</v>
      </c>
      <c r="M140" s="722" t="s">
        <v>955</v>
      </c>
      <c r="N140" s="746"/>
      <c r="O140" s="746"/>
      <c r="P140" s="746"/>
      <c r="Q140" s="746"/>
      <c r="R140" s="521"/>
      <c r="S140" s="521"/>
    </row>
    <row r="141" spans="1:19">
      <c r="A141" s="723">
        <v>135</v>
      </c>
      <c r="B141" s="723">
        <v>8949504</v>
      </c>
      <c r="C141" s="723" t="s">
        <v>2307</v>
      </c>
      <c r="D141" s="723">
        <v>95</v>
      </c>
      <c r="E141" s="723" t="s">
        <v>49</v>
      </c>
      <c r="F141" s="723" t="s">
        <v>107</v>
      </c>
      <c r="G141" s="723" t="s">
        <v>108</v>
      </c>
      <c r="H141" s="723" t="s">
        <v>2043</v>
      </c>
      <c r="I141" s="723"/>
      <c r="J141" s="723"/>
      <c r="K141" s="723" t="s">
        <v>2044</v>
      </c>
      <c r="L141" s="723">
        <v>101</v>
      </c>
      <c r="M141" s="724" t="s">
        <v>955</v>
      </c>
      <c r="N141" s="746"/>
      <c r="O141" s="746"/>
      <c r="P141" s="746"/>
      <c r="Q141" s="746"/>
      <c r="R141" s="521"/>
      <c r="S141" s="521"/>
    </row>
    <row r="142" spans="1:19">
      <c r="A142" s="721">
        <v>136</v>
      </c>
      <c r="B142" s="721">
        <v>8949505</v>
      </c>
      <c r="C142" s="721" t="s">
        <v>2308</v>
      </c>
      <c r="D142" s="721">
        <v>95</v>
      </c>
      <c r="E142" s="721" t="s">
        <v>49</v>
      </c>
      <c r="F142" s="721" t="s">
        <v>107</v>
      </c>
      <c r="G142" s="721" t="s">
        <v>108</v>
      </c>
      <c r="H142" s="721" t="s">
        <v>2043</v>
      </c>
      <c r="I142" s="721"/>
      <c r="J142" s="721"/>
      <c r="K142" s="721" t="s">
        <v>2044</v>
      </c>
      <c r="L142" s="721">
        <v>101</v>
      </c>
      <c r="M142" s="722" t="s">
        <v>955</v>
      </c>
      <c r="N142" s="746"/>
      <c r="O142" s="746"/>
      <c r="P142" s="746"/>
      <c r="Q142" s="746"/>
      <c r="R142" s="521"/>
      <c r="S142" s="521"/>
    </row>
    <row r="143" spans="1:19">
      <c r="A143" s="723">
        <v>137</v>
      </c>
      <c r="B143" s="723">
        <v>8949508</v>
      </c>
      <c r="C143" s="723" t="s">
        <v>2309</v>
      </c>
      <c r="D143" s="723">
        <v>95</v>
      </c>
      <c r="E143" s="723" t="s">
        <v>49</v>
      </c>
      <c r="F143" s="723" t="s">
        <v>107</v>
      </c>
      <c r="G143" s="723" t="s">
        <v>108</v>
      </c>
      <c r="H143" s="723" t="s">
        <v>2043</v>
      </c>
      <c r="I143" s="723"/>
      <c r="J143" s="723"/>
      <c r="K143" s="723" t="s">
        <v>2044</v>
      </c>
      <c r="L143" s="723">
        <v>101</v>
      </c>
      <c r="M143" s="724" t="s">
        <v>955</v>
      </c>
      <c r="N143" s="746"/>
      <c r="O143" s="746"/>
      <c r="P143" s="746"/>
      <c r="Q143" s="746"/>
      <c r="R143" s="521"/>
      <c r="S143" s="521"/>
    </row>
    <row r="144" spans="1:19">
      <c r="A144" s="721">
        <v>138</v>
      </c>
      <c r="B144" s="721">
        <v>8949509</v>
      </c>
      <c r="C144" s="721" t="s">
        <v>2310</v>
      </c>
      <c r="D144" s="721">
        <v>95</v>
      </c>
      <c r="E144" s="721" t="s">
        <v>49</v>
      </c>
      <c r="F144" s="721" t="s">
        <v>107</v>
      </c>
      <c r="G144" s="721" t="s">
        <v>108</v>
      </c>
      <c r="H144" s="721" t="s">
        <v>2043</v>
      </c>
      <c r="I144" s="721"/>
      <c r="J144" s="721"/>
      <c r="K144" s="721" t="s">
        <v>2044</v>
      </c>
      <c r="L144" s="721">
        <v>101</v>
      </c>
      <c r="M144" s="722" t="s">
        <v>955</v>
      </c>
      <c r="N144" s="746"/>
      <c r="O144" s="746"/>
      <c r="P144" s="746"/>
      <c r="Q144" s="746"/>
      <c r="R144" s="521"/>
      <c r="S144" s="521"/>
    </row>
    <row r="145" spans="1:19">
      <c r="A145" s="723">
        <v>139</v>
      </c>
      <c r="B145" s="723">
        <v>9019503</v>
      </c>
      <c r="C145" s="723" t="s">
        <v>2311</v>
      </c>
      <c r="D145" s="723">
        <v>95</v>
      </c>
      <c r="E145" s="723" t="s">
        <v>49</v>
      </c>
      <c r="F145" s="723" t="s">
        <v>107</v>
      </c>
      <c r="G145" s="723" t="s">
        <v>108</v>
      </c>
      <c r="H145" s="723" t="s">
        <v>2043</v>
      </c>
      <c r="I145" s="723"/>
      <c r="J145" s="723"/>
      <c r="K145" s="723" t="s">
        <v>2044</v>
      </c>
      <c r="L145" s="723">
        <v>101</v>
      </c>
      <c r="M145" s="724" t="s">
        <v>955</v>
      </c>
      <c r="N145" s="746"/>
      <c r="O145" s="746"/>
      <c r="P145" s="746"/>
      <c r="Q145" s="746"/>
      <c r="R145" s="521"/>
      <c r="S145" s="521"/>
    </row>
    <row r="146" spans="1:19">
      <c r="A146" s="721">
        <v>140</v>
      </c>
      <c r="B146" s="721">
        <v>9019505</v>
      </c>
      <c r="C146" s="721" t="s">
        <v>2312</v>
      </c>
      <c r="D146" s="721">
        <v>95</v>
      </c>
      <c r="E146" s="721" t="s">
        <v>49</v>
      </c>
      <c r="F146" s="721" t="s">
        <v>107</v>
      </c>
      <c r="G146" s="721" t="s">
        <v>108</v>
      </c>
      <c r="H146" s="721" t="s">
        <v>2043</v>
      </c>
      <c r="I146" s="721"/>
      <c r="J146" s="721"/>
      <c r="K146" s="721" t="s">
        <v>2044</v>
      </c>
      <c r="L146" s="721">
        <v>101</v>
      </c>
      <c r="M146" s="722" t="s">
        <v>955</v>
      </c>
      <c r="N146" s="746"/>
      <c r="O146" s="746"/>
      <c r="P146" s="746"/>
      <c r="Q146" s="746"/>
      <c r="R146" s="521"/>
      <c r="S146" s="521"/>
    </row>
    <row r="147" spans="1:19">
      <c r="A147" s="723">
        <v>141</v>
      </c>
      <c r="B147" s="723">
        <v>9019508</v>
      </c>
      <c r="C147" s="723" t="s">
        <v>2313</v>
      </c>
      <c r="D147" s="723">
        <v>95</v>
      </c>
      <c r="E147" s="723" t="s">
        <v>49</v>
      </c>
      <c r="F147" s="723" t="s">
        <v>107</v>
      </c>
      <c r="G147" s="723" t="s">
        <v>108</v>
      </c>
      <c r="H147" s="723" t="s">
        <v>2043</v>
      </c>
      <c r="I147" s="723"/>
      <c r="J147" s="723"/>
      <c r="K147" s="723" t="s">
        <v>2044</v>
      </c>
      <c r="L147" s="723">
        <v>101</v>
      </c>
      <c r="M147" s="724" t="s">
        <v>955</v>
      </c>
      <c r="N147" s="746"/>
      <c r="O147" s="746"/>
      <c r="P147" s="746"/>
      <c r="Q147" s="746"/>
      <c r="R147" s="521"/>
      <c r="S147" s="521"/>
    </row>
    <row r="148" spans="1:19">
      <c r="A148" s="721">
        <v>142</v>
      </c>
      <c r="B148" s="721">
        <v>9019515</v>
      </c>
      <c r="C148" s="721" t="s">
        <v>2314</v>
      </c>
      <c r="D148" s="721">
        <v>95</v>
      </c>
      <c r="E148" s="721" t="s">
        <v>49</v>
      </c>
      <c r="F148" s="721" t="s">
        <v>107</v>
      </c>
      <c r="G148" s="721" t="s">
        <v>108</v>
      </c>
      <c r="H148" s="721" t="s">
        <v>2043</v>
      </c>
      <c r="I148" s="721"/>
      <c r="J148" s="721"/>
      <c r="K148" s="721" t="s">
        <v>2044</v>
      </c>
      <c r="L148" s="721">
        <v>19309977</v>
      </c>
      <c r="M148" s="722" t="s">
        <v>955</v>
      </c>
      <c r="N148" s="746"/>
      <c r="O148" s="746"/>
      <c r="P148" s="746"/>
      <c r="Q148" s="746"/>
      <c r="R148" s="521"/>
      <c r="S148" s="521"/>
    </row>
    <row r="149" spans="1:19">
      <c r="A149" s="723">
        <v>143</v>
      </c>
      <c r="B149" s="723">
        <v>9019516</v>
      </c>
      <c r="C149" s="723" t="s">
        <v>2315</v>
      </c>
      <c r="D149" s="723">
        <v>95</v>
      </c>
      <c r="E149" s="723" t="s">
        <v>49</v>
      </c>
      <c r="F149" s="723" t="s">
        <v>107</v>
      </c>
      <c r="G149" s="723" t="s">
        <v>108</v>
      </c>
      <c r="H149" s="723" t="s">
        <v>2043</v>
      </c>
      <c r="I149" s="723"/>
      <c r="J149" s="723"/>
      <c r="K149" s="723" t="s">
        <v>2044</v>
      </c>
      <c r="L149" s="723">
        <v>101</v>
      </c>
      <c r="M149" s="724" t="s">
        <v>955</v>
      </c>
      <c r="N149" s="746"/>
      <c r="O149" s="746"/>
      <c r="P149" s="746"/>
      <c r="Q149" s="746"/>
      <c r="R149" s="521"/>
      <c r="S149" s="521"/>
    </row>
    <row r="150" spans="1:19">
      <c r="A150" s="721">
        <v>144</v>
      </c>
      <c r="B150" s="721">
        <v>9019517</v>
      </c>
      <c r="C150" s="721" t="s">
        <v>2316</v>
      </c>
      <c r="D150" s="721">
        <v>95</v>
      </c>
      <c r="E150" s="721" t="s">
        <v>49</v>
      </c>
      <c r="F150" s="721" t="s">
        <v>107</v>
      </c>
      <c r="G150" s="721" t="s">
        <v>108</v>
      </c>
      <c r="H150" s="721" t="s">
        <v>2043</v>
      </c>
      <c r="I150" s="721"/>
      <c r="J150" s="721"/>
      <c r="K150" s="721" t="s">
        <v>2044</v>
      </c>
      <c r="L150" s="721">
        <v>101</v>
      </c>
      <c r="M150" s="722" t="s">
        <v>955</v>
      </c>
      <c r="N150" s="746"/>
      <c r="O150" s="746"/>
      <c r="P150" s="746"/>
      <c r="Q150" s="746"/>
      <c r="R150" s="521"/>
      <c r="S150" s="521"/>
    </row>
    <row r="151" spans="1:19">
      <c r="A151" s="723">
        <v>145</v>
      </c>
      <c r="B151" s="723">
        <v>9019518</v>
      </c>
      <c r="C151" s="723" t="s">
        <v>2068</v>
      </c>
      <c r="D151" s="723">
        <v>95</v>
      </c>
      <c r="E151" s="723" t="s">
        <v>49</v>
      </c>
      <c r="F151" s="723" t="s">
        <v>107</v>
      </c>
      <c r="G151" s="723" t="s">
        <v>108</v>
      </c>
      <c r="H151" s="723" t="s">
        <v>2043</v>
      </c>
      <c r="I151" s="723"/>
      <c r="J151" s="723"/>
      <c r="K151" s="723" t="s">
        <v>2044</v>
      </c>
      <c r="L151" s="723">
        <v>79292064</v>
      </c>
      <c r="M151" s="724" t="s">
        <v>955</v>
      </c>
      <c r="N151" s="746"/>
      <c r="O151" s="746"/>
      <c r="P151" s="746"/>
      <c r="Q151" s="746"/>
      <c r="R151" s="521"/>
      <c r="S151" s="521"/>
    </row>
    <row r="152" spans="1:19">
      <c r="A152" s="721">
        <v>146</v>
      </c>
      <c r="B152" s="721">
        <v>9019523</v>
      </c>
      <c r="C152" s="721" t="s">
        <v>2317</v>
      </c>
      <c r="D152" s="721">
        <v>95</v>
      </c>
      <c r="E152" s="721" t="s">
        <v>49</v>
      </c>
      <c r="F152" s="721" t="s">
        <v>107</v>
      </c>
      <c r="G152" s="721" t="s">
        <v>108</v>
      </c>
      <c r="H152" s="721" t="s">
        <v>2043</v>
      </c>
      <c r="I152" s="721"/>
      <c r="J152" s="721"/>
      <c r="K152" s="721" t="s">
        <v>2044</v>
      </c>
      <c r="L152" s="721">
        <v>101</v>
      </c>
      <c r="M152" s="722" t="s">
        <v>955</v>
      </c>
      <c r="N152" s="746"/>
      <c r="O152" s="746"/>
      <c r="P152" s="746"/>
      <c r="Q152" s="746"/>
      <c r="R152" s="521"/>
      <c r="S152" s="521"/>
    </row>
    <row r="153" spans="1:19">
      <c r="A153" s="723">
        <v>147</v>
      </c>
      <c r="B153" s="723">
        <v>9019525</v>
      </c>
      <c r="C153" s="723" t="s">
        <v>2318</v>
      </c>
      <c r="D153" s="723">
        <v>95</v>
      </c>
      <c r="E153" s="723" t="s">
        <v>49</v>
      </c>
      <c r="F153" s="723" t="s">
        <v>107</v>
      </c>
      <c r="G153" s="723" t="s">
        <v>108</v>
      </c>
      <c r="H153" s="723" t="s">
        <v>2043</v>
      </c>
      <c r="I153" s="723"/>
      <c r="J153" s="723"/>
      <c r="K153" s="723" t="s">
        <v>2044</v>
      </c>
      <c r="L153" s="723">
        <v>101</v>
      </c>
      <c r="M153" s="724" t="s">
        <v>955</v>
      </c>
      <c r="N153" s="746"/>
      <c r="O153" s="746"/>
      <c r="P153" s="746"/>
      <c r="Q153" s="746"/>
      <c r="R153" s="521"/>
      <c r="S153" s="521"/>
    </row>
    <row r="154" spans="1:19">
      <c r="A154" s="721">
        <v>148</v>
      </c>
      <c r="B154" s="721">
        <v>9019528</v>
      </c>
      <c r="C154" s="721" t="s">
        <v>2319</v>
      </c>
      <c r="D154" s="721">
        <v>95</v>
      </c>
      <c r="E154" s="721" t="s">
        <v>49</v>
      </c>
      <c r="F154" s="721" t="s">
        <v>107</v>
      </c>
      <c r="G154" s="721" t="s">
        <v>108</v>
      </c>
      <c r="H154" s="721" t="s">
        <v>2043</v>
      </c>
      <c r="I154" s="721"/>
      <c r="J154" s="721"/>
      <c r="K154" s="721" t="s">
        <v>2044</v>
      </c>
      <c r="L154" s="721">
        <v>101</v>
      </c>
      <c r="M154" s="722" t="s">
        <v>955</v>
      </c>
      <c r="N154" s="746"/>
      <c r="O154" s="746"/>
      <c r="P154" s="746"/>
      <c r="Q154" s="746"/>
      <c r="R154" s="521"/>
      <c r="S154" s="521"/>
    </row>
    <row r="155" spans="1:19">
      <c r="A155" s="723">
        <v>149</v>
      </c>
      <c r="B155" s="723">
        <v>9019529</v>
      </c>
      <c r="C155" s="723" t="s">
        <v>2320</v>
      </c>
      <c r="D155" s="723">
        <v>95</v>
      </c>
      <c r="E155" s="723" t="s">
        <v>49</v>
      </c>
      <c r="F155" s="723" t="s">
        <v>107</v>
      </c>
      <c r="G155" s="723" t="s">
        <v>108</v>
      </c>
      <c r="H155" s="723" t="s">
        <v>2043</v>
      </c>
      <c r="I155" s="723"/>
      <c r="J155" s="723"/>
      <c r="K155" s="723" t="s">
        <v>2044</v>
      </c>
      <c r="L155" s="723">
        <v>79293687</v>
      </c>
      <c r="M155" s="724" t="s">
        <v>955</v>
      </c>
      <c r="N155" s="746"/>
      <c r="O155" s="746"/>
      <c r="P155" s="746"/>
      <c r="Q155" s="746"/>
      <c r="R155" s="521"/>
      <c r="S155" s="521"/>
    </row>
    <row r="156" spans="1:19">
      <c r="A156" s="721">
        <v>150</v>
      </c>
      <c r="B156" s="721">
        <v>9019531</v>
      </c>
      <c r="C156" s="721" t="s">
        <v>2321</v>
      </c>
      <c r="D156" s="721">
        <v>95</v>
      </c>
      <c r="E156" s="721" t="s">
        <v>49</v>
      </c>
      <c r="F156" s="721" t="s">
        <v>107</v>
      </c>
      <c r="G156" s="721" t="s">
        <v>108</v>
      </c>
      <c r="H156" s="721" t="s">
        <v>2043</v>
      </c>
      <c r="I156" s="721"/>
      <c r="J156" s="721"/>
      <c r="K156" s="721" t="s">
        <v>2044</v>
      </c>
      <c r="L156" s="721">
        <v>101</v>
      </c>
      <c r="M156" s="722" t="s">
        <v>955</v>
      </c>
      <c r="N156" s="746"/>
      <c r="O156" s="746"/>
      <c r="P156" s="746"/>
      <c r="Q156" s="746"/>
      <c r="R156" s="521"/>
      <c r="S156" s="521"/>
    </row>
    <row r="157" spans="1:19">
      <c r="A157" s="723">
        <v>151</v>
      </c>
      <c r="B157" s="723">
        <v>9019532</v>
      </c>
      <c r="C157" s="723" t="s">
        <v>2322</v>
      </c>
      <c r="D157" s="723">
        <v>95</v>
      </c>
      <c r="E157" s="723" t="s">
        <v>49</v>
      </c>
      <c r="F157" s="723" t="s">
        <v>107</v>
      </c>
      <c r="G157" s="723" t="s">
        <v>108</v>
      </c>
      <c r="H157" s="723" t="s">
        <v>2043</v>
      </c>
      <c r="I157" s="723"/>
      <c r="J157" s="723"/>
      <c r="K157" s="723" t="s">
        <v>2044</v>
      </c>
      <c r="L157" s="723">
        <v>101</v>
      </c>
      <c r="M157" s="724" t="s">
        <v>955</v>
      </c>
      <c r="N157" s="746"/>
      <c r="O157" s="746"/>
      <c r="P157" s="746"/>
      <c r="Q157" s="746"/>
      <c r="R157" s="521"/>
      <c r="S157" s="521"/>
    </row>
    <row r="158" spans="1:19">
      <c r="A158" s="721">
        <v>152</v>
      </c>
      <c r="B158" s="721">
        <v>9019533</v>
      </c>
      <c r="C158" s="721" t="s">
        <v>2323</v>
      </c>
      <c r="D158" s="721">
        <v>95</v>
      </c>
      <c r="E158" s="721" t="s">
        <v>49</v>
      </c>
      <c r="F158" s="721" t="s">
        <v>107</v>
      </c>
      <c r="G158" s="721" t="s">
        <v>108</v>
      </c>
      <c r="H158" s="721" t="s">
        <v>2043</v>
      </c>
      <c r="I158" s="721"/>
      <c r="J158" s="721"/>
      <c r="K158" s="721" t="s">
        <v>2044</v>
      </c>
      <c r="L158" s="721">
        <v>101</v>
      </c>
      <c r="M158" s="722" t="s">
        <v>955</v>
      </c>
      <c r="N158" s="746"/>
      <c r="O158" s="746"/>
      <c r="P158" s="746"/>
      <c r="Q158" s="746"/>
      <c r="R158" s="521"/>
      <c r="S158" s="521"/>
    </row>
    <row r="159" spans="1:19">
      <c r="A159" s="723">
        <v>153</v>
      </c>
      <c r="B159" s="723">
        <v>9029502</v>
      </c>
      <c r="C159" s="723" t="s">
        <v>2324</v>
      </c>
      <c r="D159" s="723">
        <v>95</v>
      </c>
      <c r="E159" s="723" t="s">
        <v>49</v>
      </c>
      <c r="F159" s="723" t="s">
        <v>107</v>
      </c>
      <c r="G159" s="723" t="s">
        <v>108</v>
      </c>
      <c r="H159" s="723" t="s">
        <v>2043</v>
      </c>
      <c r="I159" s="723"/>
      <c r="J159" s="723"/>
      <c r="K159" s="723" t="s">
        <v>2044</v>
      </c>
      <c r="L159" s="723">
        <v>101</v>
      </c>
      <c r="M159" s="724" t="s">
        <v>955</v>
      </c>
      <c r="N159" s="746"/>
      <c r="O159" s="746"/>
      <c r="P159" s="746"/>
      <c r="Q159" s="746"/>
      <c r="R159" s="521"/>
      <c r="S159" s="521"/>
    </row>
    <row r="160" spans="1:19">
      <c r="A160" s="721">
        <v>154</v>
      </c>
      <c r="B160" s="721">
        <v>9029508</v>
      </c>
      <c r="C160" s="721" t="s">
        <v>2325</v>
      </c>
      <c r="D160" s="721">
        <v>95</v>
      </c>
      <c r="E160" s="721" t="s">
        <v>49</v>
      </c>
      <c r="F160" s="721" t="s">
        <v>107</v>
      </c>
      <c r="G160" s="721" t="s">
        <v>108</v>
      </c>
      <c r="H160" s="721" t="s">
        <v>2043</v>
      </c>
      <c r="I160" s="721"/>
      <c r="J160" s="721"/>
      <c r="K160" s="721" t="s">
        <v>2044</v>
      </c>
      <c r="L160" s="721">
        <v>101</v>
      </c>
      <c r="M160" s="722" t="s">
        <v>955</v>
      </c>
      <c r="N160" s="746"/>
      <c r="O160" s="746"/>
      <c r="P160" s="746"/>
      <c r="Q160" s="746"/>
      <c r="R160" s="521"/>
      <c r="S160" s="521"/>
    </row>
    <row r="161" spans="1:19">
      <c r="A161" s="723">
        <v>155</v>
      </c>
      <c r="B161" s="723">
        <v>9039501</v>
      </c>
      <c r="C161" s="723" t="s">
        <v>2326</v>
      </c>
      <c r="D161" s="723">
        <v>95</v>
      </c>
      <c r="E161" s="723" t="s">
        <v>49</v>
      </c>
      <c r="F161" s="723" t="s">
        <v>107</v>
      </c>
      <c r="G161" s="723" t="s">
        <v>108</v>
      </c>
      <c r="H161" s="723" t="s">
        <v>2043</v>
      </c>
      <c r="I161" s="723"/>
      <c r="J161" s="723"/>
      <c r="K161" s="723" t="s">
        <v>2044</v>
      </c>
      <c r="L161" s="723">
        <v>19149055</v>
      </c>
      <c r="M161" s="724" t="s">
        <v>955</v>
      </c>
      <c r="N161" s="746"/>
      <c r="O161" s="746"/>
      <c r="P161" s="746"/>
      <c r="Q161" s="746"/>
      <c r="R161" s="521"/>
      <c r="S161" s="521"/>
    </row>
    <row r="162" spans="1:19">
      <c r="A162" s="721">
        <v>156</v>
      </c>
      <c r="B162" s="721">
        <v>9039504</v>
      </c>
      <c r="C162" s="721" t="s">
        <v>2327</v>
      </c>
      <c r="D162" s="721">
        <v>95</v>
      </c>
      <c r="E162" s="721" t="s">
        <v>49</v>
      </c>
      <c r="F162" s="721" t="s">
        <v>107</v>
      </c>
      <c r="G162" s="721" t="s">
        <v>108</v>
      </c>
      <c r="H162" s="721" t="s">
        <v>2043</v>
      </c>
      <c r="I162" s="721"/>
      <c r="J162" s="721"/>
      <c r="K162" s="721" t="s">
        <v>2044</v>
      </c>
      <c r="L162" s="721">
        <v>37814899</v>
      </c>
      <c r="M162" s="722" t="s">
        <v>955</v>
      </c>
      <c r="N162" s="746"/>
      <c r="O162" s="746"/>
      <c r="P162" s="746"/>
      <c r="Q162" s="746"/>
      <c r="R162" s="521"/>
      <c r="S162" s="521"/>
    </row>
    <row r="163" spans="1:19">
      <c r="A163" s="723">
        <v>157</v>
      </c>
      <c r="B163" s="723">
        <v>9039507</v>
      </c>
      <c r="C163" s="723" t="s">
        <v>2328</v>
      </c>
      <c r="D163" s="723">
        <v>95</v>
      </c>
      <c r="E163" s="723" t="s">
        <v>49</v>
      </c>
      <c r="F163" s="723" t="s">
        <v>107</v>
      </c>
      <c r="G163" s="723" t="s">
        <v>108</v>
      </c>
      <c r="H163" s="723" t="s">
        <v>2043</v>
      </c>
      <c r="I163" s="723"/>
      <c r="J163" s="723"/>
      <c r="K163" s="723" t="s">
        <v>2044</v>
      </c>
      <c r="L163" s="723">
        <v>101</v>
      </c>
      <c r="M163" s="724" t="s">
        <v>955</v>
      </c>
      <c r="N163" s="746"/>
      <c r="O163" s="746"/>
      <c r="P163" s="746"/>
      <c r="Q163" s="746"/>
      <c r="R163" s="521"/>
      <c r="S163" s="521"/>
    </row>
    <row r="164" spans="1:19">
      <c r="A164" s="721">
        <v>158</v>
      </c>
      <c r="B164" s="721">
        <v>9119503</v>
      </c>
      <c r="C164" s="721" t="s">
        <v>2329</v>
      </c>
      <c r="D164" s="721">
        <v>95</v>
      </c>
      <c r="E164" s="721" t="s">
        <v>49</v>
      </c>
      <c r="F164" s="721" t="s">
        <v>107</v>
      </c>
      <c r="G164" s="721" t="s">
        <v>108</v>
      </c>
      <c r="H164" s="721" t="s">
        <v>2043</v>
      </c>
      <c r="I164" s="721"/>
      <c r="J164" s="721"/>
      <c r="K164" s="721" t="s">
        <v>2044</v>
      </c>
      <c r="L164" s="721">
        <v>101</v>
      </c>
      <c r="M164" s="722" t="s">
        <v>955</v>
      </c>
      <c r="N164" s="746"/>
      <c r="O164" s="746"/>
      <c r="P164" s="746"/>
      <c r="Q164" s="746"/>
      <c r="R164" s="521"/>
      <c r="S164" s="521"/>
    </row>
    <row r="165" spans="1:19">
      <c r="A165" s="723">
        <v>159</v>
      </c>
      <c r="B165" s="723">
        <v>9119504</v>
      </c>
      <c r="C165" s="723" t="s">
        <v>2330</v>
      </c>
      <c r="D165" s="723">
        <v>95</v>
      </c>
      <c r="E165" s="723" t="s">
        <v>49</v>
      </c>
      <c r="F165" s="723" t="s">
        <v>107</v>
      </c>
      <c r="G165" s="723" t="s">
        <v>108</v>
      </c>
      <c r="H165" s="723" t="s">
        <v>2043</v>
      </c>
      <c r="I165" s="723"/>
      <c r="J165" s="723"/>
      <c r="K165" s="723" t="s">
        <v>2044</v>
      </c>
      <c r="L165" s="723">
        <v>70568777</v>
      </c>
      <c r="M165" s="724" t="s">
        <v>955</v>
      </c>
      <c r="N165" s="746"/>
      <c r="O165" s="746"/>
      <c r="P165" s="746"/>
      <c r="Q165" s="746"/>
      <c r="R165" s="521"/>
      <c r="S165" s="521"/>
    </row>
    <row r="166" spans="1:19">
      <c r="A166" s="721">
        <v>160</v>
      </c>
      <c r="B166" s="721">
        <v>9119507</v>
      </c>
      <c r="C166" s="721" t="s">
        <v>2331</v>
      </c>
      <c r="D166" s="721">
        <v>95</v>
      </c>
      <c r="E166" s="721" t="s">
        <v>49</v>
      </c>
      <c r="F166" s="721" t="s">
        <v>107</v>
      </c>
      <c r="G166" s="721" t="s">
        <v>108</v>
      </c>
      <c r="H166" s="721" t="s">
        <v>2043</v>
      </c>
      <c r="I166" s="721"/>
      <c r="J166" s="721"/>
      <c r="K166" s="721" t="s">
        <v>2044</v>
      </c>
      <c r="L166" s="721">
        <v>101</v>
      </c>
      <c r="M166" s="722" t="s">
        <v>955</v>
      </c>
      <c r="N166" s="746"/>
      <c r="O166" s="746"/>
      <c r="P166" s="746"/>
      <c r="Q166" s="746"/>
      <c r="R166" s="521"/>
      <c r="S166" s="521"/>
    </row>
    <row r="167" spans="1:19">
      <c r="A167" s="723">
        <v>161</v>
      </c>
      <c r="B167" s="723">
        <v>9119508</v>
      </c>
      <c r="C167" s="723" t="s">
        <v>2332</v>
      </c>
      <c r="D167" s="723">
        <v>95</v>
      </c>
      <c r="E167" s="723" t="s">
        <v>49</v>
      </c>
      <c r="F167" s="723" t="s">
        <v>107</v>
      </c>
      <c r="G167" s="723" t="s">
        <v>108</v>
      </c>
      <c r="H167" s="723" t="s">
        <v>2043</v>
      </c>
      <c r="I167" s="723"/>
      <c r="J167" s="723"/>
      <c r="K167" s="723" t="s">
        <v>2044</v>
      </c>
      <c r="L167" s="723">
        <v>19480307</v>
      </c>
      <c r="M167" s="724" t="s">
        <v>955</v>
      </c>
      <c r="N167" s="746"/>
      <c r="O167" s="746"/>
      <c r="P167" s="746"/>
      <c r="Q167" s="746"/>
      <c r="R167" s="521"/>
      <c r="S167" s="521"/>
    </row>
    <row r="168" spans="1:19">
      <c r="A168" s="721">
        <v>162</v>
      </c>
      <c r="B168" s="721">
        <v>9119509</v>
      </c>
      <c r="C168" s="721" t="s">
        <v>2333</v>
      </c>
      <c r="D168" s="721">
        <v>95</v>
      </c>
      <c r="E168" s="721" t="s">
        <v>49</v>
      </c>
      <c r="F168" s="721" t="s">
        <v>107</v>
      </c>
      <c r="G168" s="721" t="s">
        <v>108</v>
      </c>
      <c r="H168" s="721" t="s">
        <v>2043</v>
      </c>
      <c r="I168" s="721"/>
      <c r="J168" s="721"/>
      <c r="K168" s="721" t="s">
        <v>2044</v>
      </c>
      <c r="L168" s="721">
        <v>101</v>
      </c>
      <c r="M168" s="722" t="s">
        <v>955</v>
      </c>
      <c r="N168" s="746"/>
      <c r="O168" s="746"/>
      <c r="P168" s="746"/>
      <c r="Q168" s="746"/>
      <c r="R168" s="521"/>
      <c r="S168" s="521"/>
    </row>
    <row r="169" spans="1:19">
      <c r="A169" s="723">
        <v>163</v>
      </c>
      <c r="B169" s="723">
        <v>9119516</v>
      </c>
      <c r="C169" s="723" t="s">
        <v>2334</v>
      </c>
      <c r="D169" s="723">
        <v>95</v>
      </c>
      <c r="E169" s="723" t="s">
        <v>49</v>
      </c>
      <c r="F169" s="723" t="s">
        <v>107</v>
      </c>
      <c r="G169" s="723" t="s">
        <v>108</v>
      </c>
      <c r="H169" s="723" t="s">
        <v>2043</v>
      </c>
      <c r="I169" s="723"/>
      <c r="J169" s="723"/>
      <c r="K169" s="723" t="s">
        <v>2044</v>
      </c>
      <c r="L169" s="723">
        <v>51747132</v>
      </c>
      <c r="M169" s="724" t="s">
        <v>955</v>
      </c>
      <c r="N169" s="746"/>
      <c r="O169" s="746"/>
      <c r="P169" s="746"/>
      <c r="Q169" s="746"/>
      <c r="R169" s="521"/>
      <c r="S169" s="521"/>
    </row>
    <row r="170" spans="1:19">
      <c r="A170" s="721">
        <v>164</v>
      </c>
      <c r="B170" s="721">
        <v>9129507</v>
      </c>
      <c r="C170" s="721" t="s">
        <v>2335</v>
      </c>
      <c r="D170" s="721">
        <v>95</v>
      </c>
      <c r="E170" s="721" t="s">
        <v>49</v>
      </c>
      <c r="F170" s="721" t="s">
        <v>107</v>
      </c>
      <c r="G170" s="721" t="s">
        <v>108</v>
      </c>
      <c r="H170" s="721" t="s">
        <v>2043</v>
      </c>
      <c r="I170" s="721"/>
      <c r="J170" s="721"/>
      <c r="K170" s="721" t="s">
        <v>2044</v>
      </c>
      <c r="L170" s="721">
        <v>101</v>
      </c>
      <c r="M170" s="722" t="s">
        <v>955</v>
      </c>
      <c r="N170" s="746"/>
      <c r="O170" s="746"/>
      <c r="P170" s="746"/>
      <c r="Q170" s="746"/>
      <c r="R170" s="521"/>
      <c r="S170" s="521"/>
    </row>
    <row r="171" spans="1:19">
      <c r="A171" s="723">
        <v>165</v>
      </c>
      <c r="B171" s="723">
        <v>9129508</v>
      </c>
      <c r="C171" s="723" t="s">
        <v>2335</v>
      </c>
      <c r="D171" s="723">
        <v>95</v>
      </c>
      <c r="E171" s="723" t="s">
        <v>49</v>
      </c>
      <c r="F171" s="723" t="s">
        <v>107</v>
      </c>
      <c r="G171" s="723" t="s">
        <v>108</v>
      </c>
      <c r="H171" s="723" t="s">
        <v>2043</v>
      </c>
      <c r="I171" s="723"/>
      <c r="J171" s="723"/>
      <c r="K171" s="723" t="s">
        <v>2044</v>
      </c>
      <c r="L171" s="723">
        <v>101</v>
      </c>
      <c r="M171" s="724" t="s">
        <v>955</v>
      </c>
      <c r="N171" s="746"/>
      <c r="O171" s="746"/>
      <c r="P171" s="746"/>
      <c r="Q171" s="746"/>
      <c r="R171" s="521"/>
      <c r="S171" s="521"/>
    </row>
    <row r="172" spans="1:19">
      <c r="A172" s="721">
        <v>166</v>
      </c>
      <c r="B172" s="721">
        <v>9139501</v>
      </c>
      <c r="C172" s="721" t="s">
        <v>2336</v>
      </c>
      <c r="D172" s="721">
        <v>95</v>
      </c>
      <c r="E172" s="721" t="s">
        <v>49</v>
      </c>
      <c r="F172" s="721" t="s">
        <v>107</v>
      </c>
      <c r="G172" s="721" t="s">
        <v>108</v>
      </c>
      <c r="H172" s="721" t="s">
        <v>2043</v>
      </c>
      <c r="I172" s="721"/>
      <c r="J172" s="721"/>
      <c r="K172" s="721" t="s">
        <v>2044</v>
      </c>
      <c r="L172" s="721">
        <v>79285331</v>
      </c>
      <c r="M172" s="722" t="s">
        <v>955</v>
      </c>
      <c r="N172" s="746"/>
      <c r="O172" s="746"/>
      <c r="P172" s="746"/>
      <c r="Q172" s="746"/>
      <c r="R172" s="521"/>
      <c r="S172" s="521"/>
    </row>
    <row r="173" spans="1:19">
      <c r="A173" s="723">
        <v>167</v>
      </c>
      <c r="B173" s="723">
        <v>9219502</v>
      </c>
      <c r="C173" s="723" t="s">
        <v>2337</v>
      </c>
      <c r="D173" s="723">
        <v>95</v>
      </c>
      <c r="E173" s="723" t="s">
        <v>49</v>
      </c>
      <c r="F173" s="723" t="s">
        <v>107</v>
      </c>
      <c r="G173" s="723" t="s">
        <v>108</v>
      </c>
      <c r="H173" s="723" t="s">
        <v>2043</v>
      </c>
      <c r="I173" s="723"/>
      <c r="J173" s="723"/>
      <c r="K173" s="723" t="s">
        <v>2044</v>
      </c>
      <c r="L173" s="723">
        <v>39539375</v>
      </c>
      <c r="M173" s="724" t="s">
        <v>955</v>
      </c>
      <c r="N173" s="746"/>
      <c r="O173" s="746"/>
      <c r="P173" s="746"/>
      <c r="Q173" s="746"/>
      <c r="R173" s="521"/>
      <c r="S173" s="521"/>
    </row>
    <row r="174" spans="1:19">
      <c r="A174" s="721">
        <v>168</v>
      </c>
      <c r="B174" s="721">
        <v>9219505</v>
      </c>
      <c r="C174" s="721" t="s">
        <v>2338</v>
      </c>
      <c r="D174" s="721">
        <v>95</v>
      </c>
      <c r="E174" s="721" t="s">
        <v>49</v>
      </c>
      <c r="F174" s="721" t="s">
        <v>107</v>
      </c>
      <c r="G174" s="721" t="s">
        <v>108</v>
      </c>
      <c r="H174" s="721" t="s">
        <v>2043</v>
      </c>
      <c r="I174" s="721"/>
      <c r="J174" s="721"/>
      <c r="K174" s="721" t="s">
        <v>2044</v>
      </c>
      <c r="L174" s="721">
        <v>79279513</v>
      </c>
      <c r="M174" s="722" t="s">
        <v>955</v>
      </c>
      <c r="N174" s="746"/>
      <c r="O174" s="746"/>
      <c r="P174" s="746"/>
      <c r="Q174" s="746"/>
      <c r="R174" s="521"/>
      <c r="S174" s="521"/>
    </row>
    <row r="175" spans="1:19">
      <c r="A175" s="723">
        <v>169</v>
      </c>
      <c r="B175" s="723">
        <v>9219508</v>
      </c>
      <c r="C175" s="723" t="s">
        <v>2339</v>
      </c>
      <c r="D175" s="723">
        <v>95</v>
      </c>
      <c r="E175" s="723" t="s">
        <v>49</v>
      </c>
      <c r="F175" s="723" t="s">
        <v>107</v>
      </c>
      <c r="G175" s="723" t="s">
        <v>108</v>
      </c>
      <c r="H175" s="723" t="s">
        <v>2043</v>
      </c>
      <c r="I175" s="723"/>
      <c r="J175" s="723"/>
      <c r="K175" s="723" t="s">
        <v>2044</v>
      </c>
      <c r="L175" s="723">
        <v>41717044</v>
      </c>
      <c r="M175" s="724" t="s">
        <v>955</v>
      </c>
      <c r="N175" s="746"/>
      <c r="O175" s="746"/>
      <c r="P175" s="746"/>
      <c r="Q175" s="746"/>
      <c r="R175" s="521"/>
      <c r="S175" s="521"/>
    </row>
    <row r="176" spans="1:19">
      <c r="A176" s="721">
        <v>170</v>
      </c>
      <c r="B176" s="721">
        <v>9229501</v>
      </c>
      <c r="C176" s="721" t="s">
        <v>2340</v>
      </c>
      <c r="D176" s="721">
        <v>95</v>
      </c>
      <c r="E176" s="721" t="s">
        <v>49</v>
      </c>
      <c r="F176" s="721" t="s">
        <v>107</v>
      </c>
      <c r="G176" s="721" t="s">
        <v>108</v>
      </c>
      <c r="H176" s="721" t="s">
        <v>2043</v>
      </c>
      <c r="I176" s="721"/>
      <c r="J176" s="721"/>
      <c r="K176" s="721" t="s">
        <v>2044</v>
      </c>
      <c r="L176" s="721">
        <v>51975519</v>
      </c>
      <c r="M176" s="722" t="s">
        <v>955</v>
      </c>
      <c r="N176" s="746"/>
      <c r="O176" s="746"/>
      <c r="P176" s="746"/>
      <c r="Q176" s="746"/>
      <c r="R176" s="521"/>
      <c r="S176" s="521"/>
    </row>
    <row r="177" spans="1:19">
      <c r="A177" s="723">
        <v>171</v>
      </c>
      <c r="B177" s="723">
        <v>9239501</v>
      </c>
      <c r="C177" s="723" t="s">
        <v>2341</v>
      </c>
      <c r="D177" s="723">
        <v>95</v>
      </c>
      <c r="E177" s="723" t="s">
        <v>49</v>
      </c>
      <c r="F177" s="723" t="s">
        <v>107</v>
      </c>
      <c r="G177" s="723" t="s">
        <v>108</v>
      </c>
      <c r="H177" s="723" t="s">
        <v>2043</v>
      </c>
      <c r="I177" s="723"/>
      <c r="J177" s="723"/>
      <c r="K177" s="723" t="s">
        <v>2044</v>
      </c>
      <c r="L177" s="723">
        <v>35411503</v>
      </c>
      <c r="M177" s="724" t="s">
        <v>955</v>
      </c>
      <c r="N177" s="746"/>
      <c r="O177" s="746"/>
      <c r="P177" s="746"/>
      <c r="Q177" s="746"/>
      <c r="R177" s="521"/>
      <c r="S177" s="521"/>
    </row>
    <row r="178" spans="1:19">
      <c r="A178" s="721">
        <v>172</v>
      </c>
      <c r="B178" s="721">
        <v>9239502</v>
      </c>
      <c r="C178" s="721" t="s">
        <v>2342</v>
      </c>
      <c r="D178" s="721">
        <v>95</v>
      </c>
      <c r="E178" s="721" t="s">
        <v>49</v>
      </c>
      <c r="F178" s="721" t="s">
        <v>107</v>
      </c>
      <c r="G178" s="721" t="s">
        <v>108</v>
      </c>
      <c r="H178" s="721" t="s">
        <v>2043</v>
      </c>
      <c r="I178" s="721"/>
      <c r="J178" s="721"/>
      <c r="K178" s="721" t="s">
        <v>2044</v>
      </c>
      <c r="L178" s="721">
        <v>19164949</v>
      </c>
      <c r="M178" s="722" t="s">
        <v>955</v>
      </c>
      <c r="N178" s="746"/>
      <c r="O178" s="746"/>
      <c r="P178" s="746"/>
      <c r="Q178" s="746"/>
      <c r="R178" s="521"/>
      <c r="S178" s="521"/>
    </row>
    <row r="179" spans="1:19">
      <c r="A179" s="723">
        <v>173</v>
      </c>
      <c r="B179" s="723">
        <v>9239503</v>
      </c>
      <c r="C179" s="723" t="s">
        <v>2343</v>
      </c>
      <c r="D179" s="723">
        <v>95</v>
      </c>
      <c r="E179" s="723" t="s">
        <v>49</v>
      </c>
      <c r="F179" s="723" t="s">
        <v>107</v>
      </c>
      <c r="G179" s="723" t="s">
        <v>108</v>
      </c>
      <c r="H179" s="723" t="s">
        <v>2043</v>
      </c>
      <c r="I179" s="723"/>
      <c r="J179" s="723"/>
      <c r="K179" s="723" t="s">
        <v>2044</v>
      </c>
      <c r="L179" s="723">
        <v>11314392</v>
      </c>
      <c r="M179" s="724" t="s">
        <v>955</v>
      </c>
      <c r="N179" s="746"/>
      <c r="O179" s="746"/>
      <c r="P179" s="746"/>
      <c r="Q179" s="746"/>
      <c r="R179" s="521"/>
      <c r="S179" s="521"/>
    </row>
    <row r="180" spans="1:19">
      <c r="A180" s="721">
        <v>174</v>
      </c>
      <c r="B180" s="721">
        <v>9239504</v>
      </c>
      <c r="C180" s="721" t="s">
        <v>2095</v>
      </c>
      <c r="D180" s="721">
        <v>95</v>
      </c>
      <c r="E180" s="721" t="s">
        <v>49</v>
      </c>
      <c r="F180" s="721" t="s">
        <v>107</v>
      </c>
      <c r="G180" s="721" t="s">
        <v>108</v>
      </c>
      <c r="H180" s="721" t="s">
        <v>2043</v>
      </c>
      <c r="I180" s="721"/>
      <c r="J180" s="721" t="s">
        <v>2097</v>
      </c>
      <c r="K180" s="721" t="s">
        <v>2044</v>
      </c>
      <c r="L180" s="721">
        <v>93355909</v>
      </c>
      <c r="M180" s="722" t="s">
        <v>955</v>
      </c>
      <c r="N180" s="746"/>
      <c r="O180" s="746"/>
      <c r="P180" s="746"/>
      <c r="Q180" s="746"/>
      <c r="R180" s="521"/>
      <c r="S180" s="521"/>
    </row>
    <row r="181" spans="1:19">
      <c r="A181" s="723">
        <v>175</v>
      </c>
      <c r="B181" s="723">
        <v>9239506</v>
      </c>
      <c r="C181" s="723" t="s">
        <v>2344</v>
      </c>
      <c r="D181" s="723">
        <v>95</v>
      </c>
      <c r="E181" s="723" t="s">
        <v>49</v>
      </c>
      <c r="F181" s="723" t="s">
        <v>107</v>
      </c>
      <c r="G181" s="723" t="s">
        <v>108</v>
      </c>
      <c r="H181" s="723" t="s">
        <v>2043</v>
      </c>
      <c r="I181" s="723"/>
      <c r="J181" s="723"/>
      <c r="K181" s="723" t="s">
        <v>2044</v>
      </c>
      <c r="L181" s="723">
        <v>39646763</v>
      </c>
      <c r="M181" s="724" t="s">
        <v>955</v>
      </c>
      <c r="N181" s="746"/>
      <c r="O181" s="746"/>
      <c r="P181" s="746"/>
      <c r="Q181" s="746"/>
      <c r="R181" s="521"/>
      <c r="S181" s="521"/>
    </row>
    <row r="182" spans="1:19">
      <c r="A182" s="721">
        <v>176</v>
      </c>
      <c r="B182" s="721">
        <v>9239507</v>
      </c>
      <c r="C182" s="721" t="s">
        <v>2345</v>
      </c>
      <c r="D182" s="721">
        <v>95</v>
      </c>
      <c r="E182" s="721" t="s">
        <v>49</v>
      </c>
      <c r="F182" s="721" t="s">
        <v>107</v>
      </c>
      <c r="G182" s="721" t="s">
        <v>108</v>
      </c>
      <c r="H182" s="721" t="s">
        <v>2043</v>
      </c>
      <c r="I182" s="721"/>
      <c r="J182" s="721"/>
      <c r="K182" s="721" t="s">
        <v>2044</v>
      </c>
      <c r="L182" s="721">
        <v>51775222</v>
      </c>
      <c r="M182" s="722" t="s">
        <v>955</v>
      </c>
      <c r="N182" s="746"/>
      <c r="O182" s="746"/>
      <c r="P182" s="746"/>
      <c r="Q182" s="746"/>
      <c r="R182" s="521"/>
      <c r="S182" s="521"/>
    </row>
    <row r="183" spans="1:19">
      <c r="A183" s="723">
        <v>177</v>
      </c>
      <c r="B183" s="723">
        <v>9239509</v>
      </c>
      <c r="C183" s="723" t="s">
        <v>2346</v>
      </c>
      <c r="D183" s="723">
        <v>95</v>
      </c>
      <c r="E183" s="723" t="s">
        <v>49</v>
      </c>
      <c r="F183" s="723" t="s">
        <v>107</v>
      </c>
      <c r="G183" s="723" t="s">
        <v>108</v>
      </c>
      <c r="H183" s="723" t="s">
        <v>2043</v>
      </c>
      <c r="I183" s="723"/>
      <c r="J183" s="723"/>
      <c r="K183" s="723" t="s">
        <v>2044</v>
      </c>
      <c r="L183" s="723">
        <v>10129358</v>
      </c>
      <c r="M183" s="724" t="s">
        <v>955</v>
      </c>
      <c r="N183" s="746"/>
      <c r="O183" s="746"/>
      <c r="P183" s="746"/>
      <c r="Q183" s="746"/>
      <c r="R183" s="521"/>
      <c r="S183" s="521"/>
    </row>
    <row r="184" spans="1:19">
      <c r="A184" s="721">
        <v>178</v>
      </c>
      <c r="B184" s="721">
        <v>9239510</v>
      </c>
      <c r="C184" s="721" t="s">
        <v>2347</v>
      </c>
      <c r="D184" s="721">
        <v>95</v>
      </c>
      <c r="E184" s="721" t="s">
        <v>49</v>
      </c>
      <c r="F184" s="721" t="s">
        <v>107</v>
      </c>
      <c r="G184" s="721" t="s">
        <v>108</v>
      </c>
      <c r="H184" s="721" t="s">
        <v>2043</v>
      </c>
      <c r="I184" s="721"/>
      <c r="J184" s="721"/>
      <c r="K184" s="721" t="s">
        <v>2044</v>
      </c>
      <c r="L184" s="721">
        <v>19477569</v>
      </c>
      <c r="M184" s="722" t="s">
        <v>955</v>
      </c>
      <c r="N184" s="746"/>
      <c r="O184" s="746"/>
      <c r="P184" s="746"/>
      <c r="Q184" s="746"/>
      <c r="R184" s="521"/>
      <c r="S184" s="521"/>
    </row>
    <row r="185" spans="1:19">
      <c r="A185" s="723">
        <v>179</v>
      </c>
      <c r="B185" s="723">
        <v>9319501</v>
      </c>
      <c r="C185" s="723" t="s">
        <v>2348</v>
      </c>
      <c r="D185" s="723">
        <v>95</v>
      </c>
      <c r="E185" s="723" t="s">
        <v>49</v>
      </c>
      <c r="F185" s="723" t="s">
        <v>107</v>
      </c>
      <c r="G185" s="723" t="s">
        <v>108</v>
      </c>
      <c r="H185" s="723" t="s">
        <v>2043</v>
      </c>
      <c r="I185" s="723"/>
      <c r="J185" s="723"/>
      <c r="K185" s="723" t="s">
        <v>2044</v>
      </c>
      <c r="L185" s="723">
        <v>101</v>
      </c>
      <c r="M185" s="724" t="s">
        <v>955</v>
      </c>
      <c r="N185" s="746"/>
      <c r="O185" s="746"/>
      <c r="P185" s="746"/>
      <c r="Q185" s="746"/>
      <c r="R185" s="521"/>
      <c r="S185" s="521"/>
    </row>
    <row r="186" spans="1:19">
      <c r="A186" s="721">
        <v>180</v>
      </c>
      <c r="B186" s="721">
        <v>9319502</v>
      </c>
      <c r="C186" s="721" t="s">
        <v>2349</v>
      </c>
      <c r="D186" s="721">
        <v>95</v>
      </c>
      <c r="E186" s="721" t="s">
        <v>49</v>
      </c>
      <c r="F186" s="721" t="s">
        <v>107</v>
      </c>
      <c r="G186" s="721" t="s">
        <v>108</v>
      </c>
      <c r="H186" s="721" t="s">
        <v>2043</v>
      </c>
      <c r="I186" s="721"/>
      <c r="J186" s="721"/>
      <c r="K186" s="721" t="s">
        <v>2044</v>
      </c>
      <c r="L186" s="721">
        <v>101</v>
      </c>
      <c r="M186" s="722" t="s">
        <v>955</v>
      </c>
      <c r="N186" s="746"/>
      <c r="O186" s="746"/>
      <c r="P186" s="746"/>
      <c r="Q186" s="746"/>
      <c r="R186" s="521"/>
      <c r="S186" s="521"/>
    </row>
    <row r="187" spans="1:19">
      <c r="A187" s="723">
        <v>181</v>
      </c>
      <c r="B187" s="723">
        <v>9319505</v>
      </c>
      <c r="C187" s="723" t="s">
        <v>2350</v>
      </c>
      <c r="D187" s="723">
        <v>95</v>
      </c>
      <c r="E187" s="723" t="s">
        <v>49</v>
      </c>
      <c r="F187" s="723" t="s">
        <v>107</v>
      </c>
      <c r="G187" s="723" t="s">
        <v>108</v>
      </c>
      <c r="H187" s="723" t="s">
        <v>2043</v>
      </c>
      <c r="I187" s="723"/>
      <c r="J187" s="723"/>
      <c r="K187" s="723" t="s">
        <v>2044</v>
      </c>
      <c r="L187" s="723">
        <v>5787608</v>
      </c>
      <c r="M187" s="724" t="s">
        <v>955</v>
      </c>
      <c r="N187" s="746"/>
      <c r="O187" s="746"/>
      <c r="P187" s="746"/>
      <c r="Q187" s="746"/>
      <c r="R187" s="521"/>
      <c r="S187" s="521"/>
    </row>
    <row r="188" spans="1:19">
      <c r="A188" s="721">
        <v>182</v>
      </c>
      <c r="B188" s="721">
        <v>9319507</v>
      </c>
      <c r="C188" s="721" t="s">
        <v>2351</v>
      </c>
      <c r="D188" s="721">
        <v>95</v>
      </c>
      <c r="E188" s="721" t="s">
        <v>49</v>
      </c>
      <c r="F188" s="721" t="s">
        <v>107</v>
      </c>
      <c r="G188" s="721" t="s">
        <v>108</v>
      </c>
      <c r="H188" s="721" t="s">
        <v>2043</v>
      </c>
      <c r="I188" s="721"/>
      <c r="J188" s="721"/>
      <c r="K188" s="721" t="s">
        <v>2044</v>
      </c>
      <c r="L188" s="721">
        <v>101</v>
      </c>
      <c r="M188" s="722" t="s">
        <v>955</v>
      </c>
      <c r="N188" s="746"/>
      <c r="O188" s="746"/>
      <c r="P188" s="746"/>
      <c r="Q188" s="746"/>
      <c r="R188" s="521"/>
      <c r="S188" s="521"/>
    </row>
    <row r="189" spans="1:19">
      <c r="A189" s="723">
        <v>183</v>
      </c>
      <c r="B189" s="723">
        <v>9319509</v>
      </c>
      <c r="C189" s="723" t="s">
        <v>2352</v>
      </c>
      <c r="D189" s="723">
        <v>95</v>
      </c>
      <c r="E189" s="723" t="s">
        <v>49</v>
      </c>
      <c r="F189" s="723" t="s">
        <v>107</v>
      </c>
      <c r="G189" s="723" t="s">
        <v>108</v>
      </c>
      <c r="H189" s="723" t="s">
        <v>2043</v>
      </c>
      <c r="I189" s="723"/>
      <c r="J189" s="723"/>
      <c r="K189" s="723" t="s">
        <v>2044</v>
      </c>
      <c r="L189" s="723">
        <v>101</v>
      </c>
      <c r="M189" s="724" t="s">
        <v>955</v>
      </c>
      <c r="N189" s="746"/>
      <c r="O189" s="746"/>
      <c r="P189" s="746"/>
      <c r="Q189" s="746"/>
      <c r="R189" s="521"/>
      <c r="S189" s="521"/>
    </row>
    <row r="190" spans="1:19">
      <c r="A190" s="721">
        <v>184</v>
      </c>
      <c r="B190" s="721">
        <v>9319511</v>
      </c>
      <c r="C190" s="721" t="s">
        <v>2353</v>
      </c>
      <c r="D190" s="721">
        <v>95</v>
      </c>
      <c r="E190" s="721" t="s">
        <v>49</v>
      </c>
      <c r="F190" s="721" t="s">
        <v>107</v>
      </c>
      <c r="G190" s="721" t="s">
        <v>108</v>
      </c>
      <c r="H190" s="721" t="s">
        <v>2043</v>
      </c>
      <c r="I190" s="721"/>
      <c r="J190" s="721"/>
      <c r="K190" s="721" t="s">
        <v>2044</v>
      </c>
      <c r="L190" s="721">
        <v>101</v>
      </c>
      <c r="M190" s="722" t="s">
        <v>955</v>
      </c>
      <c r="N190" s="746"/>
      <c r="O190" s="746"/>
      <c r="P190" s="746"/>
      <c r="Q190" s="746"/>
      <c r="R190" s="521"/>
      <c r="S190" s="521"/>
    </row>
    <row r="191" spans="1:19">
      <c r="A191" s="723">
        <v>185</v>
      </c>
      <c r="B191" s="723">
        <v>9319512</v>
      </c>
      <c r="C191" s="723" t="s">
        <v>2354</v>
      </c>
      <c r="D191" s="723">
        <v>95</v>
      </c>
      <c r="E191" s="723" t="s">
        <v>49</v>
      </c>
      <c r="F191" s="723" t="s">
        <v>107</v>
      </c>
      <c r="G191" s="723" t="s">
        <v>108</v>
      </c>
      <c r="H191" s="723" t="s">
        <v>2043</v>
      </c>
      <c r="I191" s="723"/>
      <c r="J191" s="723"/>
      <c r="K191" s="723" t="s">
        <v>2044</v>
      </c>
      <c r="L191" s="723">
        <v>101</v>
      </c>
      <c r="M191" s="724" t="s">
        <v>955</v>
      </c>
      <c r="N191" s="746"/>
      <c r="O191" s="746"/>
      <c r="P191" s="746"/>
      <c r="Q191" s="746"/>
      <c r="R191" s="521"/>
      <c r="S191" s="521"/>
    </row>
    <row r="192" spans="1:19">
      <c r="A192" s="721">
        <v>186</v>
      </c>
      <c r="B192" s="721">
        <v>9319513</v>
      </c>
      <c r="C192" s="721" t="s">
        <v>2355</v>
      </c>
      <c r="D192" s="721">
        <v>95</v>
      </c>
      <c r="E192" s="721" t="s">
        <v>49</v>
      </c>
      <c r="F192" s="721" t="s">
        <v>107</v>
      </c>
      <c r="G192" s="721" t="s">
        <v>108</v>
      </c>
      <c r="H192" s="721" t="s">
        <v>2043</v>
      </c>
      <c r="I192" s="721"/>
      <c r="J192" s="721"/>
      <c r="K192" s="721" t="s">
        <v>2044</v>
      </c>
      <c r="L192" s="721">
        <v>101</v>
      </c>
      <c r="M192" s="722" t="s">
        <v>955</v>
      </c>
      <c r="N192" s="746"/>
      <c r="O192" s="746"/>
      <c r="P192" s="746"/>
      <c r="Q192" s="746"/>
      <c r="R192" s="521"/>
      <c r="S192" s="521"/>
    </row>
    <row r="193" spans="1:19">
      <c r="A193" s="723">
        <v>187</v>
      </c>
      <c r="B193" s="723">
        <v>9319516</v>
      </c>
      <c r="C193" s="723" t="s">
        <v>2356</v>
      </c>
      <c r="D193" s="723">
        <v>95</v>
      </c>
      <c r="E193" s="723" t="s">
        <v>49</v>
      </c>
      <c r="F193" s="723" t="s">
        <v>107</v>
      </c>
      <c r="G193" s="723" t="s">
        <v>108</v>
      </c>
      <c r="H193" s="723" t="s">
        <v>2043</v>
      </c>
      <c r="I193" s="723"/>
      <c r="J193" s="723"/>
      <c r="K193" s="723" t="s">
        <v>2044</v>
      </c>
      <c r="L193" s="723">
        <v>101</v>
      </c>
      <c r="M193" s="724" t="s">
        <v>955</v>
      </c>
      <c r="N193" s="746"/>
      <c r="O193" s="746"/>
      <c r="P193" s="746"/>
      <c r="Q193" s="746"/>
      <c r="R193" s="521"/>
      <c r="S193" s="521"/>
    </row>
    <row r="194" spans="1:19">
      <c r="A194" s="721">
        <v>188</v>
      </c>
      <c r="B194" s="721">
        <v>9319518</v>
      </c>
      <c r="C194" s="721" t="s">
        <v>2357</v>
      </c>
      <c r="D194" s="721">
        <v>95</v>
      </c>
      <c r="E194" s="721" t="s">
        <v>49</v>
      </c>
      <c r="F194" s="721" t="s">
        <v>107</v>
      </c>
      <c r="G194" s="721" t="s">
        <v>108</v>
      </c>
      <c r="H194" s="721" t="s">
        <v>2043</v>
      </c>
      <c r="I194" s="721"/>
      <c r="J194" s="721"/>
      <c r="K194" s="721" t="s">
        <v>2044</v>
      </c>
      <c r="L194" s="721">
        <v>101</v>
      </c>
      <c r="M194" s="722" t="s">
        <v>955</v>
      </c>
      <c r="N194" s="746"/>
      <c r="O194" s="746"/>
      <c r="P194" s="746"/>
      <c r="Q194" s="746"/>
      <c r="R194" s="521"/>
      <c r="S194" s="521"/>
    </row>
    <row r="195" spans="1:19">
      <c r="A195" s="723">
        <v>189</v>
      </c>
      <c r="B195" s="723">
        <v>9319519</v>
      </c>
      <c r="C195" s="723" t="s">
        <v>2358</v>
      </c>
      <c r="D195" s="723">
        <v>95</v>
      </c>
      <c r="E195" s="723" t="s">
        <v>49</v>
      </c>
      <c r="F195" s="723" t="s">
        <v>107</v>
      </c>
      <c r="G195" s="723" t="s">
        <v>108</v>
      </c>
      <c r="H195" s="723" t="s">
        <v>2043</v>
      </c>
      <c r="I195" s="723"/>
      <c r="J195" s="723"/>
      <c r="K195" s="723" t="s">
        <v>2044</v>
      </c>
      <c r="L195" s="723">
        <v>101</v>
      </c>
      <c r="M195" s="724" t="s">
        <v>955</v>
      </c>
      <c r="N195" s="746"/>
      <c r="O195" s="746"/>
      <c r="P195" s="746"/>
      <c r="Q195" s="746"/>
      <c r="R195" s="521"/>
      <c r="S195" s="521"/>
    </row>
    <row r="196" spans="1:19">
      <c r="A196" s="721">
        <v>190</v>
      </c>
      <c r="B196" s="721">
        <v>9319521</v>
      </c>
      <c r="C196" s="721" t="s">
        <v>2359</v>
      </c>
      <c r="D196" s="721">
        <v>95</v>
      </c>
      <c r="E196" s="721" t="s">
        <v>49</v>
      </c>
      <c r="F196" s="721" t="s">
        <v>107</v>
      </c>
      <c r="G196" s="721" t="s">
        <v>108</v>
      </c>
      <c r="H196" s="721" t="s">
        <v>2043</v>
      </c>
      <c r="I196" s="721"/>
      <c r="J196" s="721"/>
      <c r="K196" s="721" t="s">
        <v>2044</v>
      </c>
      <c r="L196" s="721">
        <v>101</v>
      </c>
      <c r="M196" s="722" t="s">
        <v>955</v>
      </c>
      <c r="N196" s="746"/>
      <c r="O196" s="746"/>
      <c r="P196" s="746"/>
      <c r="Q196" s="746"/>
      <c r="R196" s="521"/>
      <c r="S196" s="521"/>
    </row>
    <row r="197" spans="1:19">
      <c r="A197" s="723">
        <v>191</v>
      </c>
      <c r="B197" s="723">
        <v>9319522</v>
      </c>
      <c r="C197" s="723" t="s">
        <v>2360</v>
      </c>
      <c r="D197" s="723">
        <v>95</v>
      </c>
      <c r="E197" s="723" t="s">
        <v>49</v>
      </c>
      <c r="F197" s="723" t="s">
        <v>107</v>
      </c>
      <c r="G197" s="723" t="s">
        <v>108</v>
      </c>
      <c r="H197" s="723" t="s">
        <v>2043</v>
      </c>
      <c r="I197" s="723"/>
      <c r="J197" s="723"/>
      <c r="K197" s="723" t="s">
        <v>2044</v>
      </c>
      <c r="L197" s="723">
        <v>101</v>
      </c>
      <c r="M197" s="724" t="s">
        <v>955</v>
      </c>
      <c r="N197" s="746"/>
      <c r="O197" s="746"/>
      <c r="P197" s="746"/>
      <c r="Q197" s="746"/>
      <c r="R197" s="521"/>
      <c r="S197" s="521"/>
    </row>
    <row r="198" spans="1:19">
      <c r="A198" s="721">
        <v>192</v>
      </c>
      <c r="B198" s="721">
        <v>9329502</v>
      </c>
      <c r="C198" s="721" t="s">
        <v>2361</v>
      </c>
      <c r="D198" s="721">
        <v>95</v>
      </c>
      <c r="E198" s="721" t="s">
        <v>49</v>
      </c>
      <c r="F198" s="721" t="s">
        <v>107</v>
      </c>
      <c r="G198" s="721" t="s">
        <v>108</v>
      </c>
      <c r="H198" s="721" t="s">
        <v>2043</v>
      </c>
      <c r="I198" s="721"/>
      <c r="J198" s="721"/>
      <c r="K198" s="721" t="s">
        <v>2044</v>
      </c>
      <c r="L198" s="721">
        <v>101</v>
      </c>
      <c r="M198" s="722" t="s">
        <v>955</v>
      </c>
      <c r="N198" s="746"/>
      <c r="O198" s="746"/>
      <c r="P198" s="746"/>
      <c r="Q198" s="746"/>
      <c r="R198" s="521"/>
      <c r="S198" s="521"/>
    </row>
    <row r="199" spans="1:19">
      <c r="A199" s="723">
        <v>193</v>
      </c>
      <c r="B199" s="723">
        <v>9329504</v>
      </c>
      <c r="C199" s="723" t="s">
        <v>2362</v>
      </c>
      <c r="D199" s="723">
        <v>95</v>
      </c>
      <c r="E199" s="723" t="s">
        <v>49</v>
      </c>
      <c r="F199" s="723" t="s">
        <v>107</v>
      </c>
      <c r="G199" s="723" t="s">
        <v>108</v>
      </c>
      <c r="H199" s="723" t="s">
        <v>2043</v>
      </c>
      <c r="I199" s="723"/>
      <c r="J199" s="723"/>
      <c r="K199" s="723" t="s">
        <v>2044</v>
      </c>
      <c r="L199" s="723">
        <v>101</v>
      </c>
      <c r="M199" s="724" t="s">
        <v>955</v>
      </c>
      <c r="N199" s="746"/>
      <c r="O199" s="746"/>
      <c r="P199" s="746"/>
      <c r="Q199" s="746"/>
      <c r="R199" s="521"/>
      <c r="S199" s="521"/>
    </row>
    <row r="200" spans="1:19">
      <c r="A200" s="721">
        <v>194</v>
      </c>
      <c r="B200" s="721">
        <v>9329507</v>
      </c>
      <c r="C200" s="721" t="s">
        <v>2363</v>
      </c>
      <c r="D200" s="721">
        <v>95</v>
      </c>
      <c r="E200" s="721" t="s">
        <v>49</v>
      </c>
      <c r="F200" s="721" t="s">
        <v>107</v>
      </c>
      <c r="G200" s="721" t="s">
        <v>108</v>
      </c>
      <c r="H200" s="721" t="s">
        <v>2043</v>
      </c>
      <c r="I200" s="721"/>
      <c r="J200" s="721"/>
      <c r="K200" s="721" t="s">
        <v>2044</v>
      </c>
      <c r="L200" s="721">
        <v>51643368</v>
      </c>
      <c r="M200" s="722" t="s">
        <v>955</v>
      </c>
      <c r="N200" s="746"/>
      <c r="O200" s="746"/>
      <c r="P200" s="746"/>
      <c r="Q200" s="746"/>
      <c r="R200" s="521"/>
      <c r="S200" s="521"/>
    </row>
    <row r="201" spans="1:19">
      <c r="A201" s="723">
        <v>195</v>
      </c>
      <c r="B201" s="723">
        <v>9329510</v>
      </c>
      <c r="C201" s="723" t="s">
        <v>2364</v>
      </c>
      <c r="D201" s="723">
        <v>95</v>
      </c>
      <c r="E201" s="723" t="s">
        <v>49</v>
      </c>
      <c r="F201" s="723" t="s">
        <v>107</v>
      </c>
      <c r="G201" s="723" t="s">
        <v>108</v>
      </c>
      <c r="H201" s="723" t="s">
        <v>2043</v>
      </c>
      <c r="I201" s="723"/>
      <c r="J201" s="723"/>
      <c r="K201" s="723" t="s">
        <v>2044</v>
      </c>
      <c r="L201" s="723">
        <v>101</v>
      </c>
      <c r="M201" s="724" t="s">
        <v>955</v>
      </c>
      <c r="N201" s="746"/>
      <c r="O201" s="746"/>
      <c r="P201" s="746"/>
      <c r="Q201" s="746"/>
      <c r="R201" s="521"/>
      <c r="S201" s="521"/>
    </row>
    <row r="202" spans="1:19">
      <c r="A202" s="721">
        <v>196</v>
      </c>
      <c r="B202" s="721">
        <v>9329511</v>
      </c>
      <c r="C202" s="721" t="s">
        <v>2365</v>
      </c>
      <c r="D202" s="721">
        <v>95</v>
      </c>
      <c r="E202" s="721" t="s">
        <v>49</v>
      </c>
      <c r="F202" s="721" t="s">
        <v>107</v>
      </c>
      <c r="G202" s="721" t="s">
        <v>108</v>
      </c>
      <c r="H202" s="721" t="s">
        <v>2043</v>
      </c>
      <c r="I202" s="721"/>
      <c r="J202" s="721"/>
      <c r="K202" s="721" t="s">
        <v>2044</v>
      </c>
      <c r="L202" s="721">
        <v>101</v>
      </c>
      <c r="M202" s="722" t="s">
        <v>955</v>
      </c>
      <c r="N202" s="746"/>
      <c r="O202" s="746"/>
      <c r="P202" s="746"/>
      <c r="Q202" s="746"/>
      <c r="R202" s="521"/>
      <c r="S202" s="521"/>
    </row>
    <row r="203" spans="1:19">
      <c r="A203" s="723">
        <v>197</v>
      </c>
      <c r="B203" s="723">
        <v>9329514</v>
      </c>
      <c r="C203" s="723" t="s">
        <v>2366</v>
      </c>
      <c r="D203" s="723">
        <v>95</v>
      </c>
      <c r="E203" s="723" t="s">
        <v>49</v>
      </c>
      <c r="F203" s="723" t="s">
        <v>107</v>
      </c>
      <c r="G203" s="723" t="s">
        <v>108</v>
      </c>
      <c r="H203" s="723" t="s">
        <v>2043</v>
      </c>
      <c r="I203" s="723"/>
      <c r="J203" s="723"/>
      <c r="K203" s="723" t="s">
        <v>2044</v>
      </c>
      <c r="L203" s="723">
        <v>79279935</v>
      </c>
      <c r="M203" s="724" t="s">
        <v>955</v>
      </c>
      <c r="N203" s="746"/>
      <c r="O203" s="746"/>
      <c r="P203" s="746"/>
      <c r="Q203" s="746"/>
      <c r="R203" s="521"/>
      <c r="S203" s="521"/>
    </row>
    <row r="204" spans="1:19">
      <c r="A204" s="721">
        <v>198</v>
      </c>
      <c r="B204" s="721">
        <v>9329515</v>
      </c>
      <c r="C204" s="721" t="s">
        <v>2367</v>
      </c>
      <c r="D204" s="721">
        <v>95</v>
      </c>
      <c r="E204" s="721" t="s">
        <v>49</v>
      </c>
      <c r="F204" s="721" t="s">
        <v>107</v>
      </c>
      <c r="G204" s="721" t="s">
        <v>108</v>
      </c>
      <c r="H204" s="721" t="s">
        <v>2043</v>
      </c>
      <c r="I204" s="721"/>
      <c r="J204" s="721"/>
      <c r="K204" s="721" t="s">
        <v>2044</v>
      </c>
      <c r="L204" s="721">
        <v>101</v>
      </c>
      <c r="M204" s="722" t="s">
        <v>955</v>
      </c>
      <c r="N204" s="746"/>
      <c r="O204" s="746"/>
      <c r="P204" s="746"/>
      <c r="Q204" s="746"/>
      <c r="R204" s="521"/>
      <c r="S204" s="521"/>
    </row>
    <row r="205" spans="1:19">
      <c r="A205" s="723">
        <v>199</v>
      </c>
      <c r="B205" s="723">
        <v>9329520</v>
      </c>
      <c r="C205" s="723" t="s">
        <v>2368</v>
      </c>
      <c r="D205" s="723">
        <v>95</v>
      </c>
      <c r="E205" s="723" t="s">
        <v>49</v>
      </c>
      <c r="F205" s="723" t="s">
        <v>107</v>
      </c>
      <c r="G205" s="723" t="s">
        <v>108</v>
      </c>
      <c r="H205" s="723" t="s">
        <v>2043</v>
      </c>
      <c r="I205" s="723"/>
      <c r="J205" s="723"/>
      <c r="K205" s="723" t="s">
        <v>2044</v>
      </c>
      <c r="L205" s="723">
        <v>101</v>
      </c>
      <c r="M205" s="724" t="s">
        <v>955</v>
      </c>
      <c r="N205" s="746"/>
      <c r="O205" s="746"/>
      <c r="P205" s="746"/>
      <c r="Q205" s="746"/>
      <c r="R205" s="521"/>
      <c r="S205" s="521"/>
    </row>
    <row r="206" spans="1:19">
      <c r="A206" s="721">
        <v>200</v>
      </c>
      <c r="B206" s="721">
        <v>9419502</v>
      </c>
      <c r="C206" s="721" t="s">
        <v>2369</v>
      </c>
      <c r="D206" s="721">
        <v>95</v>
      </c>
      <c r="E206" s="721" t="s">
        <v>49</v>
      </c>
      <c r="F206" s="721" t="s">
        <v>107</v>
      </c>
      <c r="G206" s="721" t="s">
        <v>108</v>
      </c>
      <c r="H206" s="721" t="s">
        <v>2043</v>
      </c>
      <c r="I206" s="721"/>
      <c r="J206" s="721"/>
      <c r="K206" s="721" t="s">
        <v>2044</v>
      </c>
      <c r="L206" s="721">
        <v>101</v>
      </c>
      <c r="M206" s="722" t="s">
        <v>955</v>
      </c>
      <c r="N206" s="746"/>
      <c r="O206" s="746"/>
      <c r="P206" s="746"/>
      <c r="Q206" s="746"/>
      <c r="R206" s="521"/>
      <c r="S206" s="521"/>
    </row>
    <row r="207" spans="1:19">
      <c r="A207" s="723">
        <v>201</v>
      </c>
      <c r="B207" s="723">
        <v>9419503</v>
      </c>
      <c r="C207" s="723" t="s">
        <v>2370</v>
      </c>
      <c r="D207" s="723">
        <v>95</v>
      </c>
      <c r="E207" s="723" t="s">
        <v>49</v>
      </c>
      <c r="F207" s="723" t="s">
        <v>107</v>
      </c>
      <c r="G207" s="723" t="s">
        <v>108</v>
      </c>
      <c r="H207" s="723" t="s">
        <v>2043</v>
      </c>
      <c r="I207" s="723"/>
      <c r="J207" s="723"/>
      <c r="K207" s="723" t="s">
        <v>2044</v>
      </c>
      <c r="L207" s="723">
        <v>101</v>
      </c>
      <c r="M207" s="724" t="s">
        <v>955</v>
      </c>
      <c r="N207" s="746"/>
      <c r="O207" s="746"/>
      <c r="P207" s="746"/>
      <c r="Q207" s="746"/>
      <c r="R207" s="521"/>
      <c r="S207" s="521"/>
    </row>
    <row r="208" spans="1:19">
      <c r="A208" s="721">
        <v>202</v>
      </c>
      <c r="B208" s="721">
        <v>9419504</v>
      </c>
      <c r="C208" s="721" t="s">
        <v>2371</v>
      </c>
      <c r="D208" s="721">
        <v>95</v>
      </c>
      <c r="E208" s="721" t="s">
        <v>49</v>
      </c>
      <c r="F208" s="721" t="s">
        <v>107</v>
      </c>
      <c r="G208" s="721" t="s">
        <v>108</v>
      </c>
      <c r="H208" s="721" t="s">
        <v>2043</v>
      </c>
      <c r="I208" s="721"/>
      <c r="J208" s="721"/>
      <c r="K208" s="721" t="s">
        <v>2044</v>
      </c>
      <c r="L208" s="721">
        <v>101</v>
      </c>
      <c r="M208" s="722" t="s">
        <v>955</v>
      </c>
      <c r="N208" s="746"/>
      <c r="O208" s="746"/>
      <c r="P208" s="746"/>
      <c r="Q208" s="746"/>
      <c r="R208" s="521"/>
      <c r="S208" s="521"/>
    </row>
    <row r="209" spans="1:19">
      <c r="A209" s="723">
        <v>203</v>
      </c>
      <c r="B209" s="723">
        <v>9419505</v>
      </c>
      <c r="C209" s="723" t="s">
        <v>2372</v>
      </c>
      <c r="D209" s="723">
        <v>95</v>
      </c>
      <c r="E209" s="723" t="s">
        <v>49</v>
      </c>
      <c r="F209" s="723" t="s">
        <v>107</v>
      </c>
      <c r="G209" s="723" t="s">
        <v>108</v>
      </c>
      <c r="H209" s="723" t="s">
        <v>2043</v>
      </c>
      <c r="I209" s="723"/>
      <c r="J209" s="723"/>
      <c r="K209" s="723" t="s">
        <v>2044</v>
      </c>
      <c r="L209" s="723">
        <v>101</v>
      </c>
      <c r="M209" s="724" t="s">
        <v>955</v>
      </c>
      <c r="N209" s="746"/>
      <c r="O209" s="746"/>
      <c r="P209" s="746"/>
      <c r="Q209" s="746"/>
      <c r="R209" s="521"/>
      <c r="S209" s="521"/>
    </row>
    <row r="210" spans="1:19">
      <c r="A210" s="721">
        <v>204</v>
      </c>
      <c r="B210" s="721">
        <v>9419506</v>
      </c>
      <c r="C210" s="721" t="s">
        <v>2373</v>
      </c>
      <c r="D210" s="721">
        <v>95</v>
      </c>
      <c r="E210" s="721" t="s">
        <v>49</v>
      </c>
      <c r="F210" s="721" t="s">
        <v>107</v>
      </c>
      <c r="G210" s="721" t="s">
        <v>108</v>
      </c>
      <c r="H210" s="721" t="s">
        <v>2043</v>
      </c>
      <c r="I210" s="721"/>
      <c r="J210" s="721"/>
      <c r="K210" s="721" t="s">
        <v>2044</v>
      </c>
      <c r="L210" s="721">
        <v>101</v>
      </c>
      <c r="M210" s="722" t="s">
        <v>955</v>
      </c>
      <c r="N210" s="746"/>
      <c r="O210" s="746"/>
      <c r="P210" s="746"/>
      <c r="Q210" s="746"/>
      <c r="R210" s="521"/>
      <c r="S210" s="521"/>
    </row>
    <row r="211" spans="1:19">
      <c r="A211" s="723">
        <v>205</v>
      </c>
      <c r="B211" s="723">
        <v>9419507</v>
      </c>
      <c r="C211" s="723" t="s">
        <v>2374</v>
      </c>
      <c r="D211" s="723">
        <v>95</v>
      </c>
      <c r="E211" s="723" t="s">
        <v>49</v>
      </c>
      <c r="F211" s="723" t="s">
        <v>107</v>
      </c>
      <c r="G211" s="723" t="s">
        <v>108</v>
      </c>
      <c r="H211" s="723" t="s">
        <v>2043</v>
      </c>
      <c r="I211" s="723"/>
      <c r="J211" s="723"/>
      <c r="K211" s="723" t="s">
        <v>2044</v>
      </c>
      <c r="L211" s="723">
        <v>101</v>
      </c>
      <c r="M211" s="724" t="s">
        <v>955</v>
      </c>
      <c r="N211" s="746"/>
      <c r="O211" s="746"/>
      <c r="P211" s="746"/>
      <c r="Q211" s="746"/>
      <c r="R211" s="521"/>
      <c r="S211" s="521"/>
    </row>
    <row r="212" spans="1:19">
      <c r="A212" s="721">
        <v>206</v>
      </c>
      <c r="B212" s="721">
        <v>9419508</v>
      </c>
      <c r="C212" s="721" t="s">
        <v>2375</v>
      </c>
      <c r="D212" s="721">
        <v>95</v>
      </c>
      <c r="E212" s="721" t="s">
        <v>49</v>
      </c>
      <c r="F212" s="721" t="s">
        <v>107</v>
      </c>
      <c r="G212" s="721" t="s">
        <v>108</v>
      </c>
      <c r="H212" s="721" t="s">
        <v>2043</v>
      </c>
      <c r="I212" s="721"/>
      <c r="J212" s="721"/>
      <c r="K212" s="721" t="s">
        <v>2044</v>
      </c>
      <c r="L212" s="721">
        <v>101</v>
      </c>
      <c r="M212" s="722" t="s">
        <v>955</v>
      </c>
      <c r="N212" s="746"/>
      <c r="O212" s="746"/>
      <c r="P212" s="746"/>
      <c r="Q212" s="746"/>
      <c r="R212" s="521"/>
      <c r="S212" s="521"/>
    </row>
    <row r="213" spans="1:19">
      <c r="A213" s="723">
        <v>207</v>
      </c>
      <c r="B213" s="723">
        <v>9419509</v>
      </c>
      <c r="C213" s="723" t="s">
        <v>2376</v>
      </c>
      <c r="D213" s="723">
        <v>95</v>
      </c>
      <c r="E213" s="723" t="s">
        <v>49</v>
      </c>
      <c r="F213" s="723" t="s">
        <v>107</v>
      </c>
      <c r="G213" s="723" t="s">
        <v>108</v>
      </c>
      <c r="H213" s="723" t="s">
        <v>2043</v>
      </c>
      <c r="I213" s="723"/>
      <c r="J213" s="723"/>
      <c r="K213" s="723" t="s">
        <v>2044</v>
      </c>
      <c r="L213" s="723">
        <v>101</v>
      </c>
      <c r="M213" s="724" t="s">
        <v>955</v>
      </c>
      <c r="N213" s="746"/>
      <c r="O213" s="746"/>
      <c r="P213" s="746"/>
      <c r="Q213" s="746"/>
      <c r="R213" s="521"/>
      <c r="S213" s="521"/>
    </row>
    <row r="214" spans="1:19">
      <c r="A214" s="721">
        <v>208</v>
      </c>
      <c r="B214" s="721">
        <v>9419510</v>
      </c>
      <c r="C214" s="721" t="s">
        <v>2377</v>
      </c>
      <c r="D214" s="721">
        <v>95</v>
      </c>
      <c r="E214" s="721" t="s">
        <v>49</v>
      </c>
      <c r="F214" s="721" t="s">
        <v>107</v>
      </c>
      <c r="G214" s="721" t="s">
        <v>108</v>
      </c>
      <c r="H214" s="721" t="s">
        <v>2043</v>
      </c>
      <c r="I214" s="721"/>
      <c r="J214" s="721"/>
      <c r="K214" s="721" t="s">
        <v>2044</v>
      </c>
      <c r="L214" s="721">
        <v>101</v>
      </c>
      <c r="M214" s="722" t="s">
        <v>955</v>
      </c>
      <c r="N214" s="746"/>
      <c r="O214" s="746"/>
      <c r="P214" s="746"/>
      <c r="Q214" s="746"/>
      <c r="R214" s="521"/>
      <c r="S214" s="521"/>
    </row>
    <row r="215" spans="1:19">
      <c r="A215" s="723">
        <v>209</v>
      </c>
      <c r="B215" s="723">
        <v>9429502</v>
      </c>
      <c r="C215" s="723" t="s">
        <v>2378</v>
      </c>
      <c r="D215" s="723">
        <v>95</v>
      </c>
      <c r="E215" s="723" t="s">
        <v>49</v>
      </c>
      <c r="F215" s="723" t="s">
        <v>107</v>
      </c>
      <c r="G215" s="723" t="s">
        <v>108</v>
      </c>
      <c r="H215" s="723" t="s">
        <v>2043</v>
      </c>
      <c r="I215" s="723"/>
      <c r="J215" s="723"/>
      <c r="K215" s="723" t="s">
        <v>2044</v>
      </c>
      <c r="L215" s="723">
        <v>101</v>
      </c>
      <c r="M215" s="724" t="s">
        <v>955</v>
      </c>
      <c r="N215" s="746"/>
      <c r="O215" s="746"/>
      <c r="P215" s="746"/>
      <c r="Q215" s="746"/>
      <c r="R215" s="521"/>
      <c r="S215" s="521"/>
    </row>
    <row r="216" spans="1:19">
      <c r="A216" s="721">
        <v>210</v>
      </c>
      <c r="B216" s="721">
        <v>9429503</v>
      </c>
      <c r="C216" s="721" t="s">
        <v>2379</v>
      </c>
      <c r="D216" s="721">
        <v>95</v>
      </c>
      <c r="E216" s="721" t="s">
        <v>49</v>
      </c>
      <c r="F216" s="721" t="s">
        <v>107</v>
      </c>
      <c r="G216" s="721" t="s">
        <v>108</v>
      </c>
      <c r="H216" s="721" t="s">
        <v>2043</v>
      </c>
      <c r="I216" s="721"/>
      <c r="J216" s="721"/>
      <c r="K216" s="721" t="s">
        <v>2044</v>
      </c>
      <c r="L216" s="721">
        <v>101</v>
      </c>
      <c r="M216" s="722" t="s">
        <v>955</v>
      </c>
      <c r="N216" s="746"/>
      <c r="O216" s="746"/>
      <c r="P216" s="746"/>
      <c r="Q216" s="746"/>
      <c r="R216" s="521"/>
      <c r="S216" s="521"/>
    </row>
    <row r="217" spans="1:19">
      <c r="A217" s="723">
        <v>211</v>
      </c>
      <c r="B217" s="723">
        <v>9429505</v>
      </c>
      <c r="C217" s="723" t="s">
        <v>2380</v>
      </c>
      <c r="D217" s="723">
        <v>95</v>
      </c>
      <c r="E217" s="723" t="s">
        <v>49</v>
      </c>
      <c r="F217" s="723" t="s">
        <v>107</v>
      </c>
      <c r="G217" s="723" t="s">
        <v>108</v>
      </c>
      <c r="H217" s="723" t="s">
        <v>2043</v>
      </c>
      <c r="I217" s="723"/>
      <c r="J217" s="723"/>
      <c r="K217" s="723" t="s">
        <v>2044</v>
      </c>
      <c r="L217" s="723">
        <v>101</v>
      </c>
      <c r="M217" s="724" t="s">
        <v>955</v>
      </c>
      <c r="N217" s="746"/>
      <c r="O217" s="746"/>
      <c r="P217" s="746"/>
      <c r="Q217" s="746"/>
      <c r="R217" s="521"/>
      <c r="S217" s="521"/>
    </row>
    <row r="218" spans="1:19">
      <c r="A218" s="721">
        <v>212</v>
      </c>
      <c r="B218" s="721">
        <v>9429506</v>
      </c>
      <c r="C218" s="721" t="s">
        <v>2381</v>
      </c>
      <c r="D218" s="721">
        <v>95</v>
      </c>
      <c r="E218" s="721" t="s">
        <v>49</v>
      </c>
      <c r="F218" s="721" t="s">
        <v>107</v>
      </c>
      <c r="G218" s="721" t="s">
        <v>108</v>
      </c>
      <c r="H218" s="721" t="s">
        <v>2043</v>
      </c>
      <c r="I218" s="721"/>
      <c r="J218" s="721"/>
      <c r="K218" s="721" t="s">
        <v>2044</v>
      </c>
      <c r="L218" s="721">
        <v>101</v>
      </c>
      <c r="M218" s="722" t="s">
        <v>955</v>
      </c>
      <c r="N218" s="746"/>
      <c r="O218" s="746"/>
      <c r="P218" s="746"/>
      <c r="Q218" s="746"/>
      <c r="R218" s="521"/>
      <c r="S218" s="521"/>
    </row>
    <row r="219" spans="1:19">
      <c r="A219" s="723">
        <v>213</v>
      </c>
      <c r="B219" s="723">
        <v>9429507</v>
      </c>
      <c r="C219" s="723" t="s">
        <v>2382</v>
      </c>
      <c r="D219" s="723">
        <v>95</v>
      </c>
      <c r="E219" s="723" t="s">
        <v>49</v>
      </c>
      <c r="F219" s="723" t="s">
        <v>107</v>
      </c>
      <c r="G219" s="723" t="s">
        <v>108</v>
      </c>
      <c r="H219" s="723" t="s">
        <v>2043</v>
      </c>
      <c r="I219" s="723"/>
      <c r="J219" s="723"/>
      <c r="K219" s="723" t="s">
        <v>2044</v>
      </c>
      <c r="L219" s="723">
        <v>101</v>
      </c>
      <c r="M219" s="724" t="s">
        <v>955</v>
      </c>
      <c r="N219" s="746"/>
      <c r="O219" s="746"/>
      <c r="P219" s="746"/>
      <c r="Q219" s="746"/>
      <c r="R219" s="521"/>
      <c r="S219" s="521"/>
    </row>
    <row r="220" spans="1:19">
      <c r="A220" s="721">
        <v>214</v>
      </c>
      <c r="B220" s="721">
        <v>9429508</v>
      </c>
      <c r="C220" s="721" t="s">
        <v>2383</v>
      </c>
      <c r="D220" s="721">
        <v>95</v>
      </c>
      <c r="E220" s="721" t="s">
        <v>49</v>
      </c>
      <c r="F220" s="721" t="s">
        <v>107</v>
      </c>
      <c r="G220" s="721" t="s">
        <v>108</v>
      </c>
      <c r="H220" s="721" t="s">
        <v>2043</v>
      </c>
      <c r="I220" s="721"/>
      <c r="J220" s="721"/>
      <c r="K220" s="721" t="s">
        <v>2044</v>
      </c>
      <c r="L220" s="721">
        <v>101</v>
      </c>
      <c r="M220" s="722" t="s">
        <v>955</v>
      </c>
      <c r="N220" s="746"/>
      <c r="O220" s="746"/>
      <c r="P220" s="746"/>
      <c r="Q220" s="746"/>
      <c r="R220" s="521"/>
      <c r="S220" s="521"/>
    </row>
    <row r="221" spans="1:19">
      <c r="A221" s="723">
        <v>215</v>
      </c>
      <c r="B221" s="723">
        <v>9429509</v>
      </c>
      <c r="C221" s="723" t="s">
        <v>2384</v>
      </c>
      <c r="D221" s="723">
        <v>95</v>
      </c>
      <c r="E221" s="723" t="s">
        <v>49</v>
      </c>
      <c r="F221" s="723" t="s">
        <v>107</v>
      </c>
      <c r="G221" s="723" t="s">
        <v>108</v>
      </c>
      <c r="H221" s="723" t="s">
        <v>2043</v>
      </c>
      <c r="I221" s="723"/>
      <c r="J221" s="723"/>
      <c r="K221" s="723" t="s">
        <v>2044</v>
      </c>
      <c r="L221" s="723">
        <v>101</v>
      </c>
      <c r="M221" s="724" t="s">
        <v>955</v>
      </c>
      <c r="N221" s="746"/>
      <c r="O221" s="746"/>
      <c r="P221" s="746"/>
      <c r="Q221" s="746"/>
      <c r="R221" s="521"/>
      <c r="S221" s="521"/>
    </row>
    <row r="222" spans="1:19">
      <c r="A222" s="721">
        <v>216</v>
      </c>
      <c r="B222" s="721">
        <v>9429510</v>
      </c>
      <c r="C222" s="721" t="s">
        <v>2385</v>
      </c>
      <c r="D222" s="721">
        <v>95</v>
      </c>
      <c r="E222" s="721" t="s">
        <v>49</v>
      </c>
      <c r="F222" s="721" t="s">
        <v>107</v>
      </c>
      <c r="G222" s="721" t="s">
        <v>108</v>
      </c>
      <c r="H222" s="721" t="s">
        <v>2043</v>
      </c>
      <c r="I222" s="721"/>
      <c r="J222" s="721"/>
      <c r="K222" s="721" t="s">
        <v>2044</v>
      </c>
      <c r="L222" s="721">
        <v>101</v>
      </c>
      <c r="M222" s="722" t="s">
        <v>955</v>
      </c>
      <c r="N222" s="746"/>
      <c r="O222" s="746"/>
      <c r="P222" s="746"/>
      <c r="Q222" s="746"/>
      <c r="R222" s="521"/>
      <c r="S222" s="521"/>
    </row>
    <row r="223" spans="1:19">
      <c r="A223" s="723">
        <v>217</v>
      </c>
      <c r="B223" s="723">
        <v>9429511</v>
      </c>
      <c r="C223" s="723" t="s">
        <v>2386</v>
      </c>
      <c r="D223" s="723">
        <v>95</v>
      </c>
      <c r="E223" s="723" t="s">
        <v>49</v>
      </c>
      <c r="F223" s="723" t="s">
        <v>107</v>
      </c>
      <c r="G223" s="723" t="s">
        <v>108</v>
      </c>
      <c r="H223" s="723" t="s">
        <v>2043</v>
      </c>
      <c r="I223" s="723"/>
      <c r="J223" s="723"/>
      <c r="K223" s="723" t="s">
        <v>2044</v>
      </c>
      <c r="L223" s="723">
        <v>101</v>
      </c>
      <c r="M223" s="724" t="s">
        <v>955</v>
      </c>
      <c r="N223" s="746"/>
      <c r="O223" s="746"/>
      <c r="P223" s="746"/>
      <c r="Q223" s="746"/>
      <c r="R223" s="521"/>
      <c r="S223" s="521"/>
    </row>
    <row r="224" spans="1:19">
      <c r="A224" s="721">
        <v>218</v>
      </c>
      <c r="B224" s="721">
        <v>9429512</v>
      </c>
      <c r="C224" s="721" t="s">
        <v>2387</v>
      </c>
      <c r="D224" s="721">
        <v>95</v>
      </c>
      <c r="E224" s="721" t="s">
        <v>49</v>
      </c>
      <c r="F224" s="721" t="s">
        <v>107</v>
      </c>
      <c r="G224" s="721" t="s">
        <v>108</v>
      </c>
      <c r="H224" s="721" t="s">
        <v>2043</v>
      </c>
      <c r="I224" s="721"/>
      <c r="J224" s="721"/>
      <c r="K224" s="721" t="s">
        <v>2044</v>
      </c>
      <c r="L224" s="721">
        <v>101</v>
      </c>
      <c r="M224" s="722" t="s">
        <v>955</v>
      </c>
      <c r="N224" s="746"/>
      <c r="O224" s="746"/>
      <c r="P224" s="746"/>
      <c r="Q224" s="746"/>
      <c r="R224" s="521"/>
      <c r="S224" s="521"/>
    </row>
    <row r="225" spans="1:19">
      <c r="A225" s="723">
        <v>219</v>
      </c>
      <c r="B225" s="723">
        <v>9429514</v>
      </c>
      <c r="C225" s="723" t="s">
        <v>2388</v>
      </c>
      <c r="D225" s="723">
        <v>95</v>
      </c>
      <c r="E225" s="723" t="s">
        <v>49</v>
      </c>
      <c r="F225" s="723" t="s">
        <v>107</v>
      </c>
      <c r="G225" s="723" t="s">
        <v>108</v>
      </c>
      <c r="H225" s="723" t="s">
        <v>2043</v>
      </c>
      <c r="I225" s="723"/>
      <c r="J225" s="723"/>
      <c r="K225" s="723" t="s">
        <v>2044</v>
      </c>
      <c r="L225" s="723">
        <v>101</v>
      </c>
      <c r="M225" s="724" t="s">
        <v>955</v>
      </c>
      <c r="N225" s="746"/>
      <c r="O225" s="746"/>
      <c r="P225" s="746"/>
      <c r="Q225" s="746"/>
      <c r="R225" s="521"/>
      <c r="S225" s="521"/>
    </row>
    <row r="226" spans="1:19">
      <c r="A226" s="721">
        <v>220</v>
      </c>
      <c r="B226" s="721">
        <v>9429515</v>
      </c>
      <c r="C226" s="721" t="s">
        <v>2389</v>
      </c>
      <c r="D226" s="721">
        <v>95</v>
      </c>
      <c r="E226" s="721" t="s">
        <v>49</v>
      </c>
      <c r="F226" s="721" t="s">
        <v>107</v>
      </c>
      <c r="G226" s="721" t="s">
        <v>108</v>
      </c>
      <c r="H226" s="721" t="s">
        <v>2043</v>
      </c>
      <c r="I226" s="721"/>
      <c r="J226" s="721"/>
      <c r="K226" s="721" t="s">
        <v>2044</v>
      </c>
      <c r="L226" s="721">
        <v>19376467</v>
      </c>
      <c r="M226" s="722" t="s">
        <v>955</v>
      </c>
      <c r="N226" s="746"/>
      <c r="O226" s="746"/>
      <c r="P226" s="746"/>
      <c r="Q226" s="746"/>
      <c r="R226" s="521"/>
      <c r="S226" s="521"/>
    </row>
    <row r="227" spans="1:19">
      <c r="A227" s="723">
        <v>221</v>
      </c>
      <c r="B227" s="723">
        <v>9429521</v>
      </c>
      <c r="C227" s="723" t="s">
        <v>2087</v>
      </c>
      <c r="D227" s="723">
        <v>95</v>
      </c>
      <c r="E227" s="723" t="s">
        <v>49</v>
      </c>
      <c r="F227" s="723" t="s">
        <v>107</v>
      </c>
      <c r="G227" s="723" t="s">
        <v>108</v>
      </c>
      <c r="H227" s="723" t="s">
        <v>2043</v>
      </c>
      <c r="I227" s="723" t="s">
        <v>2390</v>
      </c>
      <c r="J227" s="723" t="s">
        <v>2391</v>
      </c>
      <c r="K227" s="723" t="s">
        <v>2044</v>
      </c>
      <c r="L227" s="723">
        <v>101</v>
      </c>
      <c r="M227" s="724" t="s">
        <v>955</v>
      </c>
      <c r="N227" s="746"/>
      <c r="O227" s="746"/>
      <c r="P227" s="746"/>
      <c r="Q227" s="746"/>
      <c r="R227" s="521"/>
      <c r="S227" s="521"/>
    </row>
    <row r="228" spans="1:19">
      <c r="A228" s="721">
        <v>222</v>
      </c>
      <c r="B228" s="721">
        <v>9519501</v>
      </c>
      <c r="C228" s="721" t="s">
        <v>2392</v>
      </c>
      <c r="D228" s="721">
        <v>95</v>
      </c>
      <c r="E228" s="721" t="s">
        <v>49</v>
      </c>
      <c r="F228" s="721" t="s">
        <v>107</v>
      </c>
      <c r="G228" s="721" t="s">
        <v>108</v>
      </c>
      <c r="H228" s="721" t="s">
        <v>2043</v>
      </c>
      <c r="I228" s="721"/>
      <c r="J228" s="721"/>
      <c r="K228" s="721" t="s">
        <v>2044</v>
      </c>
      <c r="L228" s="721">
        <v>101</v>
      </c>
      <c r="M228" s="722" t="s">
        <v>955</v>
      </c>
      <c r="N228" s="746"/>
      <c r="O228" s="746"/>
      <c r="P228" s="746"/>
      <c r="Q228" s="746"/>
      <c r="R228" s="521"/>
      <c r="S228" s="521"/>
    </row>
    <row r="229" spans="1:19">
      <c r="A229" s="723">
        <v>223</v>
      </c>
      <c r="B229" s="723">
        <v>9519502</v>
      </c>
      <c r="C229" s="723" t="s">
        <v>2393</v>
      </c>
      <c r="D229" s="723">
        <v>95</v>
      </c>
      <c r="E229" s="723" t="s">
        <v>49</v>
      </c>
      <c r="F229" s="723" t="s">
        <v>107</v>
      </c>
      <c r="G229" s="723" t="s">
        <v>108</v>
      </c>
      <c r="H229" s="723" t="s">
        <v>2043</v>
      </c>
      <c r="I229" s="723"/>
      <c r="J229" s="723"/>
      <c r="K229" s="723" t="s">
        <v>2044</v>
      </c>
      <c r="L229" s="723">
        <v>101</v>
      </c>
      <c r="M229" s="724" t="s">
        <v>955</v>
      </c>
      <c r="N229" s="746"/>
      <c r="O229" s="746"/>
      <c r="P229" s="746"/>
      <c r="Q229" s="746"/>
      <c r="R229" s="521"/>
      <c r="S229" s="521"/>
    </row>
    <row r="230" spans="1:19">
      <c r="A230" s="721">
        <v>224</v>
      </c>
      <c r="B230" s="721">
        <v>9519503</v>
      </c>
      <c r="C230" s="721" t="s">
        <v>2394</v>
      </c>
      <c r="D230" s="721">
        <v>95</v>
      </c>
      <c r="E230" s="721" t="s">
        <v>49</v>
      </c>
      <c r="F230" s="721" t="s">
        <v>107</v>
      </c>
      <c r="G230" s="721" t="s">
        <v>108</v>
      </c>
      <c r="H230" s="721" t="s">
        <v>2043</v>
      </c>
      <c r="I230" s="721"/>
      <c r="J230" s="721"/>
      <c r="K230" s="721" t="s">
        <v>2044</v>
      </c>
      <c r="L230" s="721">
        <v>79361628</v>
      </c>
      <c r="M230" s="722" t="s">
        <v>955</v>
      </c>
      <c r="N230" s="746"/>
      <c r="O230" s="746"/>
      <c r="P230" s="746"/>
      <c r="Q230" s="746"/>
      <c r="R230" s="521"/>
      <c r="S230" s="521"/>
    </row>
    <row r="231" spans="1:19">
      <c r="A231" s="723">
        <v>225</v>
      </c>
      <c r="B231" s="723">
        <v>9519505</v>
      </c>
      <c r="C231" s="723" t="s">
        <v>2395</v>
      </c>
      <c r="D231" s="723">
        <v>95</v>
      </c>
      <c r="E231" s="723" t="s">
        <v>49</v>
      </c>
      <c r="F231" s="723" t="s">
        <v>107</v>
      </c>
      <c r="G231" s="723" t="s">
        <v>108</v>
      </c>
      <c r="H231" s="723" t="s">
        <v>2043</v>
      </c>
      <c r="I231" s="723"/>
      <c r="J231" s="723"/>
      <c r="K231" s="723" t="s">
        <v>2044</v>
      </c>
      <c r="L231" s="723">
        <v>101</v>
      </c>
      <c r="M231" s="724" t="s">
        <v>955</v>
      </c>
      <c r="N231" s="746"/>
      <c r="O231" s="746"/>
      <c r="P231" s="746"/>
      <c r="Q231" s="746"/>
      <c r="R231" s="521"/>
      <c r="S231" s="521"/>
    </row>
    <row r="232" spans="1:19">
      <c r="A232" s="721">
        <v>226</v>
      </c>
      <c r="B232" s="721">
        <v>9519506</v>
      </c>
      <c r="C232" s="721" t="s">
        <v>2396</v>
      </c>
      <c r="D232" s="721">
        <v>95</v>
      </c>
      <c r="E232" s="721" t="s">
        <v>49</v>
      </c>
      <c r="F232" s="721" t="s">
        <v>107</v>
      </c>
      <c r="G232" s="721" t="s">
        <v>108</v>
      </c>
      <c r="H232" s="721" t="s">
        <v>2043</v>
      </c>
      <c r="I232" s="721"/>
      <c r="J232" s="721"/>
      <c r="K232" s="721" t="s">
        <v>2044</v>
      </c>
      <c r="L232" s="721">
        <v>79357680</v>
      </c>
      <c r="M232" s="722" t="s">
        <v>955</v>
      </c>
      <c r="N232" s="746"/>
      <c r="O232" s="746"/>
      <c r="P232" s="746"/>
      <c r="Q232" s="746"/>
      <c r="R232" s="521"/>
      <c r="S232" s="521"/>
    </row>
    <row r="233" spans="1:19">
      <c r="A233" s="723">
        <v>227</v>
      </c>
      <c r="B233" s="723">
        <v>9519508</v>
      </c>
      <c r="C233" s="723" t="s">
        <v>2397</v>
      </c>
      <c r="D233" s="723">
        <v>95</v>
      </c>
      <c r="E233" s="723" t="s">
        <v>49</v>
      </c>
      <c r="F233" s="723" t="s">
        <v>107</v>
      </c>
      <c r="G233" s="723" t="s">
        <v>108</v>
      </c>
      <c r="H233" s="723" t="s">
        <v>2043</v>
      </c>
      <c r="I233" s="723"/>
      <c r="J233" s="723"/>
      <c r="K233" s="723" t="s">
        <v>2044</v>
      </c>
      <c r="L233" s="723">
        <v>101</v>
      </c>
      <c r="M233" s="724" t="s">
        <v>955</v>
      </c>
      <c r="N233" s="746"/>
      <c r="O233" s="746"/>
      <c r="P233" s="746"/>
      <c r="Q233" s="746"/>
      <c r="R233" s="521"/>
      <c r="S233" s="521"/>
    </row>
    <row r="234" spans="1:19">
      <c r="A234" s="721">
        <v>228</v>
      </c>
      <c r="B234" s="721">
        <v>9519514</v>
      </c>
      <c r="C234" s="721" t="s">
        <v>2398</v>
      </c>
      <c r="D234" s="721">
        <v>95</v>
      </c>
      <c r="E234" s="721" t="s">
        <v>49</v>
      </c>
      <c r="F234" s="721" t="s">
        <v>107</v>
      </c>
      <c r="G234" s="721" t="s">
        <v>108</v>
      </c>
      <c r="H234" s="721" t="s">
        <v>2043</v>
      </c>
      <c r="I234" s="721"/>
      <c r="J234" s="721"/>
      <c r="K234" s="721" t="s">
        <v>2044</v>
      </c>
      <c r="L234" s="721">
        <v>101</v>
      </c>
      <c r="M234" s="722" t="s">
        <v>955</v>
      </c>
      <c r="N234" s="746"/>
      <c r="O234" s="746"/>
      <c r="P234" s="746"/>
      <c r="Q234" s="746"/>
      <c r="R234" s="521"/>
      <c r="S234" s="521"/>
    </row>
    <row r="235" spans="1:19">
      <c r="A235" s="723">
        <v>229</v>
      </c>
      <c r="B235" s="723">
        <v>9519516</v>
      </c>
      <c r="C235" s="723" t="s">
        <v>2399</v>
      </c>
      <c r="D235" s="723">
        <v>95</v>
      </c>
      <c r="E235" s="723" t="s">
        <v>49</v>
      </c>
      <c r="F235" s="723" t="s">
        <v>107</v>
      </c>
      <c r="G235" s="723" t="s">
        <v>108</v>
      </c>
      <c r="H235" s="723" t="s">
        <v>2043</v>
      </c>
      <c r="I235" s="723"/>
      <c r="J235" s="723"/>
      <c r="K235" s="723" t="s">
        <v>2044</v>
      </c>
      <c r="L235" s="723">
        <v>101</v>
      </c>
      <c r="M235" s="724" t="s">
        <v>955</v>
      </c>
      <c r="N235" s="746"/>
      <c r="O235" s="746"/>
      <c r="P235" s="746"/>
      <c r="Q235" s="746"/>
      <c r="R235" s="521"/>
      <c r="S235" s="521"/>
    </row>
    <row r="236" spans="1:19">
      <c r="A236" s="721">
        <v>230</v>
      </c>
      <c r="B236" s="721">
        <v>9519518</v>
      </c>
      <c r="C236" s="721" t="s">
        <v>2400</v>
      </c>
      <c r="D236" s="721">
        <v>95</v>
      </c>
      <c r="E236" s="721" t="s">
        <v>49</v>
      </c>
      <c r="F236" s="721" t="s">
        <v>107</v>
      </c>
      <c r="G236" s="721" t="s">
        <v>108</v>
      </c>
      <c r="H236" s="721" t="s">
        <v>2043</v>
      </c>
      <c r="I236" s="721"/>
      <c r="J236" s="721"/>
      <c r="K236" s="721" t="s">
        <v>2044</v>
      </c>
      <c r="L236" s="721">
        <v>79591031</v>
      </c>
      <c r="M236" s="722" t="s">
        <v>955</v>
      </c>
      <c r="N236" s="746"/>
      <c r="O236" s="746"/>
      <c r="P236" s="746"/>
      <c r="Q236" s="746"/>
      <c r="R236" s="521"/>
      <c r="S236" s="521"/>
    </row>
    <row r="237" spans="1:19">
      <c r="A237" s="723">
        <v>231</v>
      </c>
      <c r="B237" s="723">
        <v>9519532</v>
      </c>
      <c r="C237" s="723" t="s">
        <v>2401</v>
      </c>
      <c r="D237" s="723">
        <v>95</v>
      </c>
      <c r="E237" s="723" t="s">
        <v>49</v>
      </c>
      <c r="F237" s="723" t="s">
        <v>107</v>
      </c>
      <c r="G237" s="723" t="s">
        <v>108</v>
      </c>
      <c r="H237" s="723" t="s">
        <v>2043</v>
      </c>
      <c r="I237" s="723"/>
      <c r="J237" s="723"/>
      <c r="K237" s="723" t="s">
        <v>2044</v>
      </c>
      <c r="L237" s="723">
        <v>101</v>
      </c>
      <c r="M237" s="724" t="s">
        <v>955</v>
      </c>
      <c r="N237" s="746"/>
      <c r="O237" s="746"/>
      <c r="P237" s="746"/>
      <c r="Q237" s="746"/>
      <c r="R237" s="521"/>
      <c r="S237" s="521"/>
    </row>
    <row r="238" spans="1:19">
      <c r="A238" s="721">
        <v>232</v>
      </c>
      <c r="B238" s="721">
        <v>9529505</v>
      </c>
      <c r="C238" s="721" t="s">
        <v>2402</v>
      </c>
      <c r="D238" s="721">
        <v>95</v>
      </c>
      <c r="E238" s="721" t="s">
        <v>49</v>
      </c>
      <c r="F238" s="721" t="s">
        <v>107</v>
      </c>
      <c r="G238" s="721" t="s">
        <v>108</v>
      </c>
      <c r="H238" s="721" t="s">
        <v>2043</v>
      </c>
      <c r="I238" s="721"/>
      <c r="J238" s="721"/>
      <c r="K238" s="721" t="s">
        <v>2044</v>
      </c>
      <c r="L238" s="721">
        <v>101</v>
      </c>
      <c r="M238" s="722" t="s">
        <v>955</v>
      </c>
      <c r="N238" s="746"/>
      <c r="O238" s="746"/>
      <c r="P238" s="746"/>
      <c r="Q238" s="746"/>
      <c r="R238" s="521"/>
      <c r="S238" s="521"/>
    </row>
    <row r="239" spans="1:19">
      <c r="A239" s="723">
        <v>233</v>
      </c>
      <c r="B239" s="723">
        <v>9619301</v>
      </c>
      <c r="C239" s="723" t="s">
        <v>2403</v>
      </c>
      <c r="D239" s="723">
        <v>95</v>
      </c>
      <c r="E239" s="723" t="s">
        <v>49</v>
      </c>
      <c r="F239" s="723" t="s">
        <v>107</v>
      </c>
      <c r="G239" s="723" t="s">
        <v>108</v>
      </c>
      <c r="H239" s="723" t="s">
        <v>2043</v>
      </c>
      <c r="I239" s="723"/>
      <c r="J239" s="723"/>
      <c r="K239" s="723" t="s">
        <v>2044</v>
      </c>
      <c r="L239" s="723">
        <v>12987943</v>
      </c>
      <c r="M239" s="724" t="s">
        <v>955</v>
      </c>
      <c r="N239" s="746"/>
      <c r="O239" s="746"/>
      <c r="P239" s="746"/>
      <c r="Q239" s="746"/>
      <c r="R239" s="521"/>
      <c r="S239" s="521"/>
    </row>
    <row r="240" spans="1:19">
      <c r="A240" s="721">
        <v>234</v>
      </c>
      <c r="B240" s="721">
        <v>9619502</v>
      </c>
      <c r="C240" s="721" t="s">
        <v>2404</v>
      </c>
      <c r="D240" s="721">
        <v>95</v>
      </c>
      <c r="E240" s="721" t="s">
        <v>49</v>
      </c>
      <c r="F240" s="721" t="s">
        <v>107</v>
      </c>
      <c r="G240" s="721" t="s">
        <v>108</v>
      </c>
      <c r="H240" s="721" t="s">
        <v>2043</v>
      </c>
      <c r="I240" s="721"/>
      <c r="J240" s="721"/>
      <c r="K240" s="721" t="s">
        <v>2044</v>
      </c>
      <c r="L240" s="721">
        <v>79370276</v>
      </c>
      <c r="M240" s="722" t="s">
        <v>955</v>
      </c>
      <c r="N240" s="746"/>
      <c r="O240" s="746"/>
      <c r="P240" s="746"/>
      <c r="Q240" s="746"/>
      <c r="R240" s="521"/>
      <c r="S240" s="521"/>
    </row>
    <row r="241" spans="1:19">
      <c r="A241" s="723">
        <v>235</v>
      </c>
      <c r="B241" s="723">
        <v>9619503</v>
      </c>
      <c r="C241" s="723" t="s">
        <v>2405</v>
      </c>
      <c r="D241" s="723">
        <v>95</v>
      </c>
      <c r="E241" s="723" t="s">
        <v>49</v>
      </c>
      <c r="F241" s="723" t="s">
        <v>107</v>
      </c>
      <c r="G241" s="723" t="s">
        <v>108</v>
      </c>
      <c r="H241" s="723" t="s">
        <v>2043</v>
      </c>
      <c r="I241" s="723"/>
      <c r="J241" s="723"/>
      <c r="K241" s="723" t="s">
        <v>2044</v>
      </c>
      <c r="L241" s="723">
        <v>13840311</v>
      </c>
      <c r="M241" s="724" t="s">
        <v>955</v>
      </c>
      <c r="N241" s="746"/>
      <c r="O241" s="746"/>
      <c r="P241" s="746"/>
      <c r="Q241" s="746"/>
      <c r="R241" s="521"/>
      <c r="S241" s="521"/>
    </row>
    <row r="242" spans="1:19">
      <c r="A242" s="721">
        <v>236</v>
      </c>
      <c r="B242" s="721">
        <v>9619504</v>
      </c>
      <c r="C242" s="721" t="s">
        <v>2406</v>
      </c>
      <c r="D242" s="721">
        <v>95</v>
      </c>
      <c r="E242" s="721" t="s">
        <v>49</v>
      </c>
      <c r="F242" s="721" t="s">
        <v>107</v>
      </c>
      <c r="G242" s="721" t="s">
        <v>108</v>
      </c>
      <c r="H242" s="721" t="s">
        <v>2043</v>
      </c>
      <c r="I242" s="721"/>
      <c r="J242" s="721"/>
      <c r="K242" s="721" t="s">
        <v>2044</v>
      </c>
      <c r="L242" s="721">
        <v>19125126</v>
      </c>
      <c r="M242" s="722" t="s">
        <v>955</v>
      </c>
      <c r="N242" s="746"/>
      <c r="O242" s="746"/>
      <c r="P242" s="746"/>
      <c r="Q242" s="746"/>
      <c r="R242" s="521"/>
      <c r="S242" s="521"/>
    </row>
    <row r="243" spans="1:19">
      <c r="A243" s="723">
        <v>237</v>
      </c>
      <c r="B243" s="723">
        <v>9619505</v>
      </c>
      <c r="C243" s="723" t="s">
        <v>2407</v>
      </c>
      <c r="D243" s="723">
        <v>95</v>
      </c>
      <c r="E243" s="723" t="s">
        <v>49</v>
      </c>
      <c r="F243" s="723" t="s">
        <v>107</v>
      </c>
      <c r="G243" s="723" t="s">
        <v>108</v>
      </c>
      <c r="H243" s="723" t="s">
        <v>2043</v>
      </c>
      <c r="I243" s="723"/>
      <c r="J243" s="723"/>
      <c r="K243" s="723" t="s">
        <v>2044</v>
      </c>
      <c r="L243" s="723">
        <v>12128520</v>
      </c>
      <c r="M243" s="724" t="s">
        <v>955</v>
      </c>
      <c r="N243" s="746"/>
      <c r="O243" s="746"/>
      <c r="P243" s="746"/>
      <c r="Q243" s="746"/>
      <c r="R243" s="521"/>
      <c r="S243" s="521"/>
    </row>
    <row r="244" spans="1:19">
      <c r="A244" s="721">
        <v>238</v>
      </c>
      <c r="B244" s="721">
        <v>9619506</v>
      </c>
      <c r="C244" s="721" t="s">
        <v>2408</v>
      </c>
      <c r="D244" s="721">
        <v>95</v>
      </c>
      <c r="E244" s="721" t="s">
        <v>49</v>
      </c>
      <c r="F244" s="721" t="s">
        <v>107</v>
      </c>
      <c r="G244" s="721" t="s">
        <v>108</v>
      </c>
      <c r="H244" s="721" t="s">
        <v>2043</v>
      </c>
      <c r="I244" s="721"/>
      <c r="J244" s="721"/>
      <c r="K244" s="721" t="s">
        <v>2044</v>
      </c>
      <c r="L244" s="721">
        <v>51882482</v>
      </c>
      <c r="M244" s="722" t="s">
        <v>955</v>
      </c>
      <c r="N244" s="746"/>
      <c r="O244" s="746"/>
      <c r="P244" s="746"/>
      <c r="Q244" s="746"/>
      <c r="R244" s="521"/>
      <c r="S244" s="521"/>
    </row>
    <row r="245" spans="1:19">
      <c r="A245" s="723">
        <v>239</v>
      </c>
      <c r="B245" s="723">
        <v>9619507</v>
      </c>
      <c r="C245" s="723" t="s">
        <v>2409</v>
      </c>
      <c r="D245" s="723">
        <v>95</v>
      </c>
      <c r="E245" s="723" t="s">
        <v>49</v>
      </c>
      <c r="F245" s="723" t="s">
        <v>107</v>
      </c>
      <c r="G245" s="723" t="s">
        <v>108</v>
      </c>
      <c r="H245" s="723" t="s">
        <v>2043</v>
      </c>
      <c r="I245" s="723"/>
      <c r="J245" s="723"/>
      <c r="K245" s="723" t="s">
        <v>2044</v>
      </c>
      <c r="L245" s="723">
        <v>11344302</v>
      </c>
      <c r="M245" s="724" t="s">
        <v>955</v>
      </c>
      <c r="N245" s="746"/>
      <c r="O245" s="746"/>
      <c r="P245" s="746"/>
      <c r="Q245" s="746"/>
      <c r="R245" s="521"/>
      <c r="S245" s="521"/>
    </row>
    <row r="246" spans="1:19">
      <c r="A246" s="721">
        <v>240</v>
      </c>
      <c r="B246" s="721">
        <v>9619509</v>
      </c>
      <c r="C246" s="721" t="s">
        <v>2410</v>
      </c>
      <c r="D246" s="721">
        <v>95</v>
      </c>
      <c r="E246" s="721" t="s">
        <v>49</v>
      </c>
      <c r="F246" s="721" t="s">
        <v>107</v>
      </c>
      <c r="G246" s="721" t="s">
        <v>108</v>
      </c>
      <c r="H246" s="721" t="s">
        <v>2043</v>
      </c>
      <c r="I246" s="721"/>
      <c r="J246" s="721"/>
      <c r="K246" s="721" t="s">
        <v>2044</v>
      </c>
      <c r="L246" s="721">
        <v>12981259</v>
      </c>
      <c r="M246" s="722" t="s">
        <v>955</v>
      </c>
      <c r="N246" s="746"/>
      <c r="O246" s="746"/>
      <c r="P246" s="746"/>
      <c r="Q246" s="746"/>
      <c r="R246" s="521"/>
      <c r="S246" s="521"/>
    </row>
    <row r="247" spans="1:19">
      <c r="A247" s="723">
        <v>241</v>
      </c>
      <c r="B247" s="723">
        <v>9619510</v>
      </c>
      <c r="C247" s="723" t="s">
        <v>2411</v>
      </c>
      <c r="D247" s="723">
        <v>95</v>
      </c>
      <c r="E247" s="723" t="s">
        <v>49</v>
      </c>
      <c r="F247" s="723" t="s">
        <v>107</v>
      </c>
      <c r="G247" s="723" t="s">
        <v>108</v>
      </c>
      <c r="H247" s="723" t="s">
        <v>2043</v>
      </c>
      <c r="I247" s="723"/>
      <c r="J247" s="723"/>
      <c r="K247" s="723" t="s">
        <v>2044</v>
      </c>
      <c r="L247" s="723">
        <v>12541070</v>
      </c>
      <c r="M247" s="724" t="s">
        <v>955</v>
      </c>
      <c r="N247" s="746"/>
      <c r="O247" s="746"/>
      <c r="P247" s="746"/>
      <c r="Q247" s="746"/>
      <c r="R247" s="521"/>
      <c r="S247" s="521"/>
    </row>
    <row r="248" spans="1:19">
      <c r="A248" s="721">
        <v>242</v>
      </c>
      <c r="B248" s="721">
        <v>9619511</v>
      </c>
      <c r="C248" s="721" t="s">
        <v>2412</v>
      </c>
      <c r="D248" s="721">
        <v>95</v>
      </c>
      <c r="E248" s="721" t="s">
        <v>49</v>
      </c>
      <c r="F248" s="721" t="s">
        <v>107</v>
      </c>
      <c r="G248" s="721" t="s">
        <v>108</v>
      </c>
      <c r="H248" s="721" t="s">
        <v>2043</v>
      </c>
      <c r="I248" s="721"/>
      <c r="J248" s="721"/>
      <c r="K248" s="721" t="s">
        <v>2044</v>
      </c>
      <c r="L248" s="721">
        <v>93368651</v>
      </c>
      <c r="M248" s="722" t="s">
        <v>955</v>
      </c>
      <c r="N248" s="746"/>
      <c r="O248" s="746"/>
      <c r="P248" s="746"/>
      <c r="Q248" s="746"/>
      <c r="R248" s="521"/>
      <c r="S248" s="521"/>
    </row>
    <row r="249" spans="1:19">
      <c r="A249" s="723">
        <v>243</v>
      </c>
      <c r="B249" s="723">
        <v>9619513</v>
      </c>
      <c r="C249" s="723" t="s">
        <v>2413</v>
      </c>
      <c r="D249" s="723">
        <v>95</v>
      </c>
      <c r="E249" s="723" t="s">
        <v>49</v>
      </c>
      <c r="F249" s="723" t="s">
        <v>107</v>
      </c>
      <c r="G249" s="723" t="s">
        <v>108</v>
      </c>
      <c r="H249" s="723" t="s">
        <v>2043</v>
      </c>
      <c r="I249" s="723"/>
      <c r="J249" s="723"/>
      <c r="K249" s="723" t="s">
        <v>2044</v>
      </c>
      <c r="L249" s="723">
        <v>51941610</v>
      </c>
      <c r="M249" s="724" t="s">
        <v>955</v>
      </c>
      <c r="N249" s="746"/>
      <c r="O249" s="746"/>
      <c r="P249" s="746"/>
      <c r="Q249" s="746"/>
      <c r="R249" s="521"/>
      <c r="S249" s="521"/>
    </row>
    <row r="250" spans="1:19">
      <c r="A250" s="721">
        <v>244</v>
      </c>
      <c r="B250" s="721">
        <v>9619516</v>
      </c>
      <c r="C250" s="721" t="s">
        <v>2414</v>
      </c>
      <c r="D250" s="721">
        <v>95</v>
      </c>
      <c r="E250" s="721" t="s">
        <v>49</v>
      </c>
      <c r="F250" s="721" t="s">
        <v>107</v>
      </c>
      <c r="G250" s="721" t="s">
        <v>108</v>
      </c>
      <c r="H250" s="721" t="s">
        <v>2043</v>
      </c>
      <c r="I250" s="721"/>
      <c r="J250" s="721"/>
      <c r="K250" s="721" t="s">
        <v>2044</v>
      </c>
      <c r="L250" s="721">
        <v>79442383</v>
      </c>
      <c r="M250" s="722" t="s">
        <v>955</v>
      </c>
      <c r="N250" s="746"/>
      <c r="O250" s="746"/>
      <c r="P250" s="746"/>
      <c r="Q250" s="746"/>
      <c r="R250" s="521"/>
      <c r="S250" s="521"/>
    </row>
    <row r="251" spans="1:19">
      <c r="A251" s="723">
        <v>245</v>
      </c>
      <c r="B251" s="723">
        <v>9619517</v>
      </c>
      <c r="C251" s="723" t="s">
        <v>2415</v>
      </c>
      <c r="D251" s="723">
        <v>95</v>
      </c>
      <c r="E251" s="723" t="s">
        <v>49</v>
      </c>
      <c r="F251" s="723" t="s">
        <v>107</v>
      </c>
      <c r="G251" s="723" t="s">
        <v>108</v>
      </c>
      <c r="H251" s="723" t="s">
        <v>2043</v>
      </c>
      <c r="I251" s="723"/>
      <c r="J251" s="723"/>
      <c r="K251" s="723" t="s">
        <v>2044</v>
      </c>
      <c r="L251" s="723">
        <v>19490548</v>
      </c>
      <c r="M251" s="724" t="s">
        <v>955</v>
      </c>
      <c r="N251" s="746"/>
      <c r="O251" s="746"/>
      <c r="P251" s="746"/>
      <c r="Q251" s="746"/>
      <c r="R251" s="521"/>
      <c r="S251" s="521"/>
    </row>
    <row r="252" spans="1:19">
      <c r="A252" s="721">
        <v>246</v>
      </c>
      <c r="B252" s="721">
        <v>9619518</v>
      </c>
      <c r="C252" s="721" t="s">
        <v>2416</v>
      </c>
      <c r="D252" s="721">
        <v>95</v>
      </c>
      <c r="E252" s="721" t="s">
        <v>49</v>
      </c>
      <c r="F252" s="721" t="s">
        <v>107</v>
      </c>
      <c r="G252" s="721" t="s">
        <v>108</v>
      </c>
      <c r="H252" s="721" t="s">
        <v>2043</v>
      </c>
      <c r="I252" s="721"/>
      <c r="J252" s="721"/>
      <c r="K252" s="721" t="s">
        <v>2044</v>
      </c>
      <c r="L252" s="721">
        <v>79428563</v>
      </c>
      <c r="M252" s="722" t="s">
        <v>955</v>
      </c>
      <c r="N252" s="746"/>
      <c r="O252" s="746"/>
      <c r="P252" s="746"/>
      <c r="Q252" s="746"/>
      <c r="R252" s="521"/>
      <c r="S252" s="521"/>
    </row>
    <row r="253" spans="1:19">
      <c r="A253" s="723">
        <v>247</v>
      </c>
      <c r="B253" s="723">
        <v>9619519</v>
      </c>
      <c r="C253" s="723" t="s">
        <v>2417</v>
      </c>
      <c r="D253" s="723">
        <v>95</v>
      </c>
      <c r="E253" s="723" t="s">
        <v>49</v>
      </c>
      <c r="F253" s="723" t="s">
        <v>107</v>
      </c>
      <c r="G253" s="723" t="s">
        <v>108</v>
      </c>
      <c r="H253" s="723" t="s">
        <v>2043</v>
      </c>
      <c r="I253" s="723"/>
      <c r="J253" s="723"/>
      <c r="K253" s="723" t="s">
        <v>2044</v>
      </c>
      <c r="L253" s="723">
        <v>23555410</v>
      </c>
      <c r="M253" s="724" t="s">
        <v>955</v>
      </c>
      <c r="N253" s="746"/>
      <c r="O253" s="746"/>
      <c r="P253" s="746"/>
      <c r="Q253" s="746"/>
      <c r="R253" s="521"/>
      <c r="S253" s="521"/>
    </row>
    <row r="254" spans="1:19">
      <c r="A254" s="721">
        <v>248</v>
      </c>
      <c r="B254" s="721">
        <v>9619520</v>
      </c>
      <c r="C254" s="721" t="s">
        <v>2418</v>
      </c>
      <c r="D254" s="721">
        <v>95</v>
      </c>
      <c r="E254" s="721" t="s">
        <v>49</v>
      </c>
      <c r="F254" s="721" t="s">
        <v>107</v>
      </c>
      <c r="G254" s="721" t="s">
        <v>108</v>
      </c>
      <c r="H254" s="721" t="s">
        <v>2043</v>
      </c>
      <c r="I254" s="721"/>
      <c r="J254" s="721"/>
      <c r="K254" s="721" t="s">
        <v>2044</v>
      </c>
      <c r="L254" s="721">
        <v>101</v>
      </c>
      <c r="M254" s="722" t="s">
        <v>955</v>
      </c>
      <c r="N254" s="746"/>
      <c r="O254" s="746"/>
      <c r="P254" s="746"/>
      <c r="Q254" s="746"/>
      <c r="R254" s="521"/>
      <c r="S254" s="521"/>
    </row>
    <row r="255" spans="1:19">
      <c r="A255" s="723">
        <v>249</v>
      </c>
      <c r="B255" s="723">
        <v>9629501</v>
      </c>
      <c r="C255" s="723" t="s">
        <v>2419</v>
      </c>
      <c r="D255" s="723">
        <v>95</v>
      </c>
      <c r="E255" s="723" t="s">
        <v>49</v>
      </c>
      <c r="F255" s="723" t="s">
        <v>107</v>
      </c>
      <c r="G255" s="723" t="s">
        <v>108</v>
      </c>
      <c r="H255" s="723" t="s">
        <v>2043</v>
      </c>
      <c r="I255" s="723"/>
      <c r="J255" s="723"/>
      <c r="K255" s="723" t="s">
        <v>2044</v>
      </c>
      <c r="L255" s="723">
        <v>79046998</v>
      </c>
      <c r="M255" s="724" t="s">
        <v>955</v>
      </c>
      <c r="N255" s="746"/>
      <c r="O255" s="746"/>
      <c r="P255" s="746"/>
      <c r="Q255" s="746"/>
      <c r="R255" s="521"/>
      <c r="S255" s="521"/>
    </row>
    <row r="256" spans="1:19">
      <c r="A256" s="721">
        <v>250</v>
      </c>
      <c r="B256" s="721">
        <v>9629503</v>
      </c>
      <c r="C256" s="721" t="s">
        <v>2420</v>
      </c>
      <c r="D256" s="721">
        <v>95</v>
      </c>
      <c r="E256" s="721" t="s">
        <v>49</v>
      </c>
      <c r="F256" s="721" t="s">
        <v>107</v>
      </c>
      <c r="G256" s="721" t="s">
        <v>108</v>
      </c>
      <c r="H256" s="721" t="s">
        <v>2043</v>
      </c>
      <c r="I256" s="721"/>
      <c r="J256" s="721"/>
      <c r="K256" s="721" t="s">
        <v>2044</v>
      </c>
      <c r="L256" s="721">
        <v>101</v>
      </c>
      <c r="M256" s="722" t="s">
        <v>955</v>
      </c>
      <c r="N256" s="746"/>
      <c r="O256" s="746"/>
      <c r="P256" s="746"/>
      <c r="Q256" s="746"/>
      <c r="R256" s="521"/>
      <c r="S256" s="521"/>
    </row>
    <row r="257" spans="1:19">
      <c r="A257" s="723">
        <v>251</v>
      </c>
      <c r="B257" s="723">
        <v>9629504</v>
      </c>
      <c r="C257" s="723" t="s">
        <v>2421</v>
      </c>
      <c r="D257" s="723">
        <v>95</v>
      </c>
      <c r="E257" s="723" t="s">
        <v>49</v>
      </c>
      <c r="F257" s="723" t="s">
        <v>107</v>
      </c>
      <c r="G257" s="723" t="s">
        <v>108</v>
      </c>
      <c r="H257" s="723" t="s">
        <v>2043</v>
      </c>
      <c r="I257" s="723"/>
      <c r="J257" s="723"/>
      <c r="K257" s="723" t="s">
        <v>2044</v>
      </c>
      <c r="L257" s="723">
        <v>101</v>
      </c>
      <c r="M257" s="724" t="s">
        <v>955</v>
      </c>
      <c r="N257" s="746"/>
      <c r="O257" s="746"/>
      <c r="P257" s="746"/>
      <c r="Q257" s="746"/>
      <c r="R257" s="521"/>
      <c r="S257" s="521"/>
    </row>
    <row r="258" spans="1:19">
      <c r="A258" s="721">
        <v>252</v>
      </c>
      <c r="B258" s="721">
        <v>9629505</v>
      </c>
      <c r="C258" s="721" t="s">
        <v>2422</v>
      </c>
      <c r="D258" s="721">
        <v>95</v>
      </c>
      <c r="E258" s="721" t="s">
        <v>49</v>
      </c>
      <c r="F258" s="721" t="s">
        <v>107</v>
      </c>
      <c r="G258" s="721" t="s">
        <v>108</v>
      </c>
      <c r="H258" s="721" t="s">
        <v>2043</v>
      </c>
      <c r="I258" s="721"/>
      <c r="J258" s="721"/>
      <c r="K258" s="721" t="s">
        <v>2044</v>
      </c>
      <c r="L258" s="721">
        <v>79532025</v>
      </c>
      <c r="M258" s="722" t="s">
        <v>955</v>
      </c>
      <c r="N258" s="746"/>
      <c r="O258" s="746"/>
      <c r="P258" s="746"/>
      <c r="Q258" s="746"/>
      <c r="R258" s="521"/>
      <c r="S258" s="521"/>
    </row>
    <row r="259" spans="1:19">
      <c r="A259" s="723">
        <v>253</v>
      </c>
      <c r="B259" s="723">
        <v>9629509</v>
      </c>
      <c r="C259" s="723" t="s">
        <v>2423</v>
      </c>
      <c r="D259" s="723">
        <v>95</v>
      </c>
      <c r="E259" s="723" t="s">
        <v>49</v>
      </c>
      <c r="F259" s="723" t="s">
        <v>107</v>
      </c>
      <c r="G259" s="723" t="s">
        <v>108</v>
      </c>
      <c r="H259" s="723" t="s">
        <v>2043</v>
      </c>
      <c r="I259" s="723"/>
      <c r="J259" s="723"/>
      <c r="K259" s="723" t="s">
        <v>2044</v>
      </c>
      <c r="L259" s="723">
        <v>19320736</v>
      </c>
      <c r="M259" s="724" t="s">
        <v>955</v>
      </c>
      <c r="N259" s="746"/>
      <c r="O259" s="746"/>
      <c r="P259" s="746"/>
      <c r="Q259" s="746"/>
      <c r="R259" s="521"/>
      <c r="S259" s="521"/>
    </row>
    <row r="260" spans="1:19">
      <c r="A260" s="721">
        <v>254</v>
      </c>
      <c r="B260" s="721">
        <v>9629511</v>
      </c>
      <c r="C260" s="721" t="s">
        <v>2424</v>
      </c>
      <c r="D260" s="721">
        <v>95</v>
      </c>
      <c r="E260" s="721" t="s">
        <v>49</v>
      </c>
      <c r="F260" s="721" t="s">
        <v>107</v>
      </c>
      <c r="G260" s="721" t="s">
        <v>108</v>
      </c>
      <c r="H260" s="721" t="s">
        <v>2043</v>
      </c>
      <c r="I260" s="721"/>
      <c r="J260" s="721"/>
      <c r="K260" s="721" t="s">
        <v>2044</v>
      </c>
      <c r="L260" s="721">
        <v>101</v>
      </c>
      <c r="M260" s="722" t="s">
        <v>955</v>
      </c>
      <c r="N260" s="746"/>
      <c r="O260" s="746"/>
      <c r="P260" s="746"/>
      <c r="Q260" s="746"/>
      <c r="R260" s="521"/>
      <c r="S260" s="521"/>
    </row>
    <row r="261" spans="1:19">
      <c r="A261" s="723">
        <v>255</v>
      </c>
      <c r="B261" s="723">
        <v>9629512</v>
      </c>
      <c r="C261" s="723" t="s">
        <v>2425</v>
      </c>
      <c r="D261" s="723">
        <v>95</v>
      </c>
      <c r="E261" s="723" t="s">
        <v>49</v>
      </c>
      <c r="F261" s="723" t="s">
        <v>107</v>
      </c>
      <c r="G261" s="723" t="s">
        <v>108</v>
      </c>
      <c r="H261" s="723" t="s">
        <v>2043</v>
      </c>
      <c r="I261" s="723"/>
      <c r="J261" s="723"/>
      <c r="K261" s="723" t="s">
        <v>2044</v>
      </c>
      <c r="L261" s="723">
        <v>101</v>
      </c>
      <c r="M261" s="724" t="s">
        <v>955</v>
      </c>
      <c r="N261" s="746"/>
      <c r="O261" s="746"/>
      <c r="P261" s="746"/>
      <c r="Q261" s="746"/>
      <c r="R261" s="521"/>
      <c r="S261" s="521"/>
    </row>
    <row r="262" spans="1:19">
      <c r="A262" s="721">
        <v>256</v>
      </c>
      <c r="B262" s="721">
        <v>9629513</v>
      </c>
      <c r="C262" s="721" t="s">
        <v>2426</v>
      </c>
      <c r="D262" s="721">
        <v>95</v>
      </c>
      <c r="E262" s="721" t="s">
        <v>49</v>
      </c>
      <c r="F262" s="721" t="s">
        <v>107</v>
      </c>
      <c r="G262" s="721" t="s">
        <v>108</v>
      </c>
      <c r="H262" s="721" t="s">
        <v>2043</v>
      </c>
      <c r="I262" s="721"/>
      <c r="J262" s="721"/>
      <c r="K262" s="721" t="s">
        <v>2044</v>
      </c>
      <c r="L262" s="721">
        <v>52023933</v>
      </c>
      <c r="M262" s="722" t="s">
        <v>955</v>
      </c>
      <c r="N262" s="746"/>
      <c r="O262" s="746"/>
      <c r="P262" s="746"/>
      <c r="Q262" s="746"/>
      <c r="R262" s="521"/>
      <c r="S262" s="521"/>
    </row>
    <row r="263" spans="1:19">
      <c r="A263" s="723">
        <v>257</v>
      </c>
      <c r="B263" s="723">
        <v>9629514</v>
      </c>
      <c r="C263" s="723" t="s">
        <v>2427</v>
      </c>
      <c r="D263" s="723">
        <v>95</v>
      </c>
      <c r="E263" s="723" t="s">
        <v>49</v>
      </c>
      <c r="F263" s="723" t="s">
        <v>107</v>
      </c>
      <c r="G263" s="723" t="s">
        <v>108</v>
      </c>
      <c r="H263" s="723" t="s">
        <v>2043</v>
      </c>
      <c r="I263" s="723"/>
      <c r="J263" s="723"/>
      <c r="K263" s="723" t="s">
        <v>2044</v>
      </c>
      <c r="L263" s="723">
        <v>51898007</v>
      </c>
      <c r="M263" s="724" t="s">
        <v>955</v>
      </c>
      <c r="N263" s="746"/>
      <c r="O263" s="746"/>
      <c r="P263" s="746"/>
      <c r="Q263" s="746"/>
      <c r="R263" s="521"/>
      <c r="S263" s="521"/>
    </row>
    <row r="264" spans="1:19">
      <c r="A264" s="721">
        <v>258</v>
      </c>
      <c r="B264" s="721">
        <v>9629515</v>
      </c>
      <c r="C264" s="721" t="s">
        <v>2428</v>
      </c>
      <c r="D264" s="721">
        <v>95</v>
      </c>
      <c r="E264" s="721" t="s">
        <v>49</v>
      </c>
      <c r="F264" s="721" t="s">
        <v>107</v>
      </c>
      <c r="G264" s="721" t="s">
        <v>108</v>
      </c>
      <c r="H264" s="721" t="s">
        <v>2043</v>
      </c>
      <c r="I264" s="721"/>
      <c r="J264" s="721"/>
      <c r="K264" s="721" t="s">
        <v>2044</v>
      </c>
      <c r="L264" s="721">
        <v>79267863</v>
      </c>
      <c r="M264" s="722" t="s">
        <v>955</v>
      </c>
      <c r="N264" s="746"/>
      <c r="O264" s="746"/>
      <c r="P264" s="746"/>
      <c r="Q264" s="746"/>
      <c r="R264" s="521"/>
      <c r="S264" s="521"/>
    </row>
    <row r="265" spans="1:19">
      <c r="A265" s="723">
        <v>259</v>
      </c>
      <c r="B265" s="723">
        <v>9629517</v>
      </c>
      <c r="C265" s="723" t="s">
        <v>2429</v>
      </c>
      <c r="D265" s="723">
        <v>95</v>
      </c>
      <c r="E265" s="723" t="s">
        <v>49</v>
      </c>
      <c r="F265" s="723" t="s">
        <v>107</v>
      </c>
      <c r="G265" s="723" t="s">
        <v>108</v>
      </c>
      <c r="H265" s="723" t="s">
        <v>2043</v>
      </c>
      <c r="I265" s="723"/>
      <c r="J265" s="723"/>
      <c r="K265" s="723" t="s">
        <v>2044</v>
      </c>
      <c r="L265" s="723">
        <v>101</v>
      </c>
      <c r="M265" s="724" t="s">
        <v>955</v>
      </c>
      <c r="N265" s="746"/>
      <c r="O265" s="746"/>
      <c r="P265" s="746"/>
      <c r="Q265" s="746"/>
      <c r="R265" s="521"/>
      <c r="S265" s="521"/>
    </row>
    <row r="266" spans="1:19">
      <c r="A266" s="721">
        <v>260</v>
      </c>
      <c r="B266" s="721">
        <v>9629518</v>
      </c>
      <c r="C266" s="721" t="s">
        <v>2430</v>
      </c>
      <c r="D266" s="721">
        <v>95</v>
      </c>
      <c r="E266" s="721" t="s">
        <v>49</v>
      </c>
      <c r="F266" s="721" t="s">
        <v>107</v>
      </c>
      <c r="G266" s="721" t="s">
        <v>108</v>
      </c>
      <c r="H266" s="721" t="s">
        <v>2043</v>
      </c>
      <c r="I266" s="721"/>
      <c r="J266" s="721"/>
      <c r="K266" s="721" t="s">
        <v>2044</v>
      </c>
      <c r="L266" s="721">
        <v>7220956</v>
      </c>
      <c r="M266" s="722" t="s">
        <v>955</v>
      </c>
      <c r="N266" s="746"/>
      <c r="O266" s="746"/>
      <c r="P266" s="746"/>
      <c r="Q266" s="746"/>
      <c r="R266" s="521"/>
      <c r="S266" s="521"/>
    </row>
    <row r="267" spans="1:19">
      <c r="A267" s="723">
        <v>261</v>
      </c>
      <c r="B267" s="723">
        <v>9629520</v>
      </c>
      <c r="C267" s="723" t="s">
        <v>2120</v>
      </c>
      <c r="D267" s="723">
        <v>95</v>
      </c>
      <c r="E267" s="723" t="s">
        <v>49</v>
      </c>
      <c r="F267" s="723" t="s">
        <v>107</v>
      </c>
      <c r="G267" s="723" t="s">
        <v>108</v>
      </c>
      <c r="H267" s="723" t="s">
        <v>2043</v>
      </c>
      <c r="I267" s="723"/>
      <c r="J267" s="723"/>
      <c r="K267" s="723" t="s">
        <v>2044</v>
      </c>
      <c r="L267" s="723">
        <v>101</v>
      </c>
      <c r="M267" s="724" t="s">
        <v>955</v>
      </c>
      <c r="N267" s="746"/>
      <c r="O267" s="746"/>
      <c r="P267" s="746"/>
      <c r="Q267" s="746"/>
      <c r="R267" s="521"/>
      <c r="S267" s="521"/>
    </row>
    <row r="268" spans="1:19">
      <c r="A268" s="721">
        <v>262</v>
      </c>
      <c r="B268" s="721">
        <v>9719319</v>
      </c>
      <c r="C268" s="721" t="s">
        <v>2431</v>
      </c>
      <c r="D268" s="721">
        <v>95</v>
      </c>
      <c r="E268" s="721" t="s">
        <v>49</v>
      </c>
      <c r="F268" s="721" t="s">
        <v>107</v>
      </c>
      <c r="G268" s="721" t="s">
        <v>108</v>
      </c>
      <c r="H268" s="721" t="s">
        <v>2043</v>
      </c>
      <c r="I268" s="721"/>
      <c r="J268" s="721"/>
      <c r="K268" s="721" t="s">
        <v>2044</v>
      </c>
      <c r="L268" s="721">
        <v>101</v>
      </c>
      <c r="M268" s="722" t="s">
        <v>955</v>
      </c>
      <c r="N268" s="746"/>
      <c r="O268" s="746"/>
      <c r="P268" s="746"/>
      <c r="Q268" s="746"/>
      <c r="R268" s="521"/>
      <c r="S268" s="521"/>
    </row>
    <row r="269" spans="1:19">
      <c r="A269" s="723">
        <v>263</v>
      </c>
      <c r="B269" s="723">
        <v>9719501</v>
      </c>
      <c r="C269" s="723" t="s">
        <v>2432</v>
      </c>
      <c r="D269" s="723">
        <v>95</v>
      </c>
      <c r="E269" s="723" t="s">
        <v>49</v>
      </c>
      <c r="F269" s="723" t="s">
        <v>107</v>
      </c>
      <c r="G269" s="723" t="s">
        <v>108</v>
      </c>
      <c r="H269" s="723" t="s">
        <v>2043</v>
      </c>
      <c r="I269" s="723"/>
      <c r="J269" s="723"/>
      <c r="K269" s="723" t="s">
        <v>2044</v>
      </c>
      <c r="L269" s="723">
        <v>101</v>
      </c>
      <c r="M269" s="724" t="s">
        <v>955</v>
      </c>
      <c r="N269" s="746"/>
      <c r="O269" s="746"/>
      <c r="P269" s="746"/>
      <c r="Q269" s="746"/>
      <c r="R269" s="521"/>
      <c r="S269" s="521"/>
    </row>
    <row r="270" spans="1:19">
      <c r="A270" s="721">
        <v>264</v>
      </c>
      <c r="B270" s="721">
        <v>9719502</v>
      </c>
      <c r="C270" s="721" t="s">
        <v>2433</v>
      </c>
      <c r="D270" s="721">
        <v>95</v>
      </c>
      <c r="E270" s="721" t="s">
        <v>49</v>
      </c>
      <c r="F270" s="721" t="s">
        <v>107</v>
      </c>
      <c r="G270" s="721" t="s">
        <v>108</v>
      </c>
      <c r="H270" s="721" t="s">
        <v>2043</v>
      </c>
      <c r="I270" s="721"/>
      <c r="J270" s="721"/>
      <c r="K270" s="721" t="s">
        <v>2044</v>
      </c>
      <c r="L270" s="721">
        <v>101</v>
      </c>
      <c r="M270" s="722" t="s">
        <v>955</v>
      </c>
      <c r="N270" s="746"/>
      <c r="O270" s="746"/>
      <c r="P270" s="746"/>
      <c r="Q270" s="746"/>
      <c r="R270" s="521"/>
      <c r="S270" s="521"/>
    </row>
    <row r="271" spans="1:19">
      <c r="A271" s="723">
        <v>265</v>
      </c>
      <c r="B271" s="723">
        <v>9719504</v>
      </c>
      <c r="C271" s="723" t="s">
        <v>2434</v>
      </c>
      <c r="D271" s="723">
        <v>95</v>
      </c>
      <c r="E271" s="723" t="s">
        <v>49</v>
      </c>
      <c r="F271" s="723" t="s">
        <v>107</v>
      </c>
      <c r="G271" s="723" t="s">
        <v>108</v>
      </c>
      <c r="H271" s="723" t="s">
        <v>2043</v>
      </c>
      <c r="I271" s="723"/>
      <c r="J271" s="723"/>
      <c r="K271" s="723" t="s">
        <v>2044</v>
      </c>
      <c r="L271" s="723">
        <v>101</v>
      </c>
      <c r="M271" s="724" t="s">
        <v>955</v>
      </c>
      <c r="N271" s="746"/>
      <c r="O271" s="746"/>
      <c r="P271" s="746"/>
      <c r="Q271" s="746"/>
      <c r="R271" s="521"/>
      <c r="S271" s="521"/>
    </row>
    <row r="272" spans="1:19">
      <c r="A272" s="721">
        <v>266</v>
      </c>
      <c r="B272" s="721">
        <v>9719506</v>
      </c>
      <c r="C272" s="721" t="s">
        <v>2435</v>
      </c>
      <c r="D272" s="721">
        <v>95</v>
      </c>
      <c r="E272" s="721" t="s">
        <v>49</v>
      </c>
      <c r="F272" s="721" t="s">
        <v>107</v>
      </c>
      <c r="G272" s="721" t="s">
        <v>108</v>
      </c>
      <c r="H272" s="721" t="s">
        <v>2043</v>
      </c>
      <c r="I272" s="721"/>
      <c r="J272" s="721"/>
      <c r="K272" s="721" t="s">
        <v>2044</v>
      </c>
      <c r="L272" s="721">
        <v>101</v>
      </c>
      <c r="M272" s="722" t="s">
        <v>955</v>
      </c>
      <c r="N272" s="746"/>
      <c r="O272" s="746"/>
      <c r="P272" s="746"/>
      <c r="Q272" s="746"/>
      <c r="R272" s="521"/>
      <c r="S272" s="521"/>
    </row>
    <row r="273" spans="1:19">
      <c r="A273" s="723">
        <v>267</v>
      </c>
      <c r="B273" s="723">
        <v>9719509</v>
      </c>
      <c r="C273" s="723" t="s">
        <v>2436</v>
      </c>
      <c r="D273" s="723">
        <v>95</v>
      </c>
      <c r="E273" s="723" t="s">
        <v>49</v>
      </c>
      <c r="F273" s="723" t="s">
        <v>107</v>
      </c>
      <c r="G273" s="723" t="s">
        <v>108</v>
      </c>
      <c r="H273" s="723" t="s">
        <v>2043</v>
      </c>
      <c r="I273" s="723"/>
      <c r="J273" s="723"/>
      <c r="K273" s="723" t="s">
        <v>2044</v>
      </c>
      <c r="L273" s="723">
        <v>101</v>
      </c>
      <c r="M273" s="724" t="s">
        <v>955</v>
      </c>
      <c r="N273" s="746"/>
      <c r="O273" s="746"/>
      <c r="P273" s="746"/>
      <c r="Q273" s="746"/>
      <c r="R273" s="521"/>
      <c r="S273" s="521"/>
    </row>
    <row r="274" spans="1:19">
      <c r="A274" s="721">
        <v>268</v>
      </c>
      <c r="B274" s="721">
        <v>9719511</v>
      </c>
      <c r="C274" s="721" t="s">
        <v>2437</v>
      </c>
      <c r="D274" s="721">
        <v>95</v>
      </c>
      <c r="E274" s="721" t="s">
        <v>49</v>
      </c>
      <c r="F274" s="721" t="s">
        <v>107</v>
      </c>
      <c r="G274" s="721" t="s">
        <v>108</v>
      </c>
      <c r="H274" s="721" t="s">
        <v>2043</v>
      </c>
      <c r="I274" s="721"/>
      <c r="J274" s="721"/>
      <c r="K274" s="721" t="s">
        <v>2044</v>
      </c>
      <c r="L274" s="721">
        <v>101</v>
      </c>
      <c r="M274" s="722" t="s">
        <v>955</v>
      </c>
      <c r="N274" s="746"/>
      <c r="O274" s="746"/>
      <c r="P274" s="746"/>
      <c r="Q274" s="746"/>
      <c r="R274" s="521"/>
      <c r="S274" s="521"/>
    </row>
    <row r="275" spans="1:19">
      <c r="A275" s="723">
        <v>269</v>
      </c>
      <c r="B275" s="723">
        <v>9719515</v>
      </c>
      <c r="C275" s="723" t="s">
        <v>2438</v>
      </c>
      <c r="D275" s="723">
        <v>95</v>
      </c>
      <c r="E275" s="723" t="s">
        <v>49</v>
      </c>
      <c r="F275" s="723" t="s">
        <v>107</v>
      </c>
      <c r="G275" s="723" t="s">
        <v>108</v>
      </c>
      <c r="H275" s="723" t="s">
        <v>2043</v>
      </c>
      <c r="I275" s="723"/>
      <c r="J275" s="723"/>
      <c r="K275" s="723" t="s">
        <v>2044</v>
      </c>
      <c r="L275" s="723">
        <v>101</v>
      </c>
      <c r="M275" s="724" t="s">
        <v>955</v>
      </c>
      <c r="N275" s="746"/>
      <c r="O275" s="746"/>
      <c r="P275" s="746"/>
      <c r="Q275" s="746"/>
      <c r="R275" s="521"/>
      <c r="S275" s="521"/>
    </row>
    <row r="276" spans="1:19">
      <c r="A276" s="721">
        <v>270</v>
      </c>
      <c r="B276" s="721">
        <v>9719516</v>
      </c>
      <c r="C276" s="721" t="s">
        <v>2439</v>
      </c>
      <c r="D276" s="721">
        <v>95</v>
      </c>
      <c r="E276" s="721" t="s">
        <v>49</v>
      </c>
      <c r="F276" s="721" t="s">
        <v>107</v>
      </c>
      <c r="G276" s="721" t="s">
        <v>108</v>
      </c>
      <c r="H276" s="721" t="s">
        <v>2043</v>
      </c>
      <c r="I276" s="721"/>
      <c r="J276" s="721"/>
      <c r="K276" s="721" t="s">
        <v>2044</v>
      </c>
      <c r="L276" s="721">
        <v>79290893</v>
      </c>
      <c r="M276" s="722" t="s">
        <v>955</v>
      </c>
      <c r="N276" s="746"/>
      <c r="O276" s="746"/>
      <c r="P276" s="746"/>
      <c r="Q276" s="746"/>
      <c r="R276" s="521"/>
      <c r="S276" s="521"/>
    </row>
    <row r="277" spans="1:19">
      <c r="A277" s="723">
        <v>271</v>
      </c>
      <c r="B277" s="723">
        <v>9729501</v>
      </c>
      <c r="C277" s="723" t="s">
        <v>2440</v>
      </c>
      <c r="D277" s="723">
        <v>95</v>
      </c>
      <c r="E277" s="723" t="s">
        <v>49</v>
      </c>
      <c r="F277" s="723" t="s">
        <v>107</v>
      </c>
      <c r="G277" s="723" t="s">
        <v>108</v>
      </c>
      <c r="H277" s="723" t="s">
        <v>2043</v>
      </c>
      <c r="I277" s="723"/>
      <c r="J277" s="723"/>
      <c r="K277" s="723" t="s">
        <v>2044</v>
      </c>
      <c r="L277" s="723">
        <v>79539414</v>
      </c>
      <c r="M277" s="724" t="s">
        <v>955</v>
      </c>
      <c r="N277" s="746"/>
      <c r="O277" s="746"/>
      <c r="P277" s="746"/>
      <c r="Q277" s="746"/>
      <c r="R277" s="521"/>
      <c r="S277" s="521"/>
    </row>
    <row r="278" spans="1:19">
      <c r="A278" s="721">
        <v>272</v>
      </c>
      <c r="B278" s="721">
        <v>9729502</v>
      </c>
      <c r="C278" s="721" t="s">
        <v>2441</v>
      </c>
      <c r="D278" s="721">
        <v>95</v>
      </c>
      <c r="E278" s="721" t="s">
        <v>49</v>
      </c>
      <c r="F278" s="721" t="s">
        <v>107</v>
      </c>
      <c r="G278" s="721" t="s">
        <v>108</v>
      </c>
      <c r="H278" s="721" t="s">
        <v>2043</v>
      </c>
      <c r="I278" s="721"/>
      <c r="J278" s="721"/>
      <c r="K278" s="721" t="s">
        <v>2044</v>
      </c>
      <c r="L278" s="721">
        <v>80268089</v>
      </c>
      <c r="M278" s="722" t="s">
        <v>955</v>
      </c>
      <c r="N278" s="746"/>
      <c r="O278" s="746"/>
      <c r="P278" s="746"/>
      <c r="Q278" s="746"/>
      <c r="R278" s="521"/>
      <c r="S278" s="521"/>
    </row>
    <row r="279" spans="1:19">
      <c r="A279" s="723">
        <v>273</v>
      </c>
      <c r="B279" s="723">
        <v>9729505</v>
      </c>
      <c r="C279" s="723" t="s">
        <v>2442</v>
      </c>
      <c r="D279" s="723">
        <v>95</v>
      </c>
      <c r="E279" s="723" t="s">
        <v>49</v>
      </c>
      <c r="F279" s="723" t="s">
        <v>107</v>
      </c>
      <c r="G279" s="723" t="s">
        <v>108</v>
      </c>
      <c r="H279" s="723" t="s">
        <v>2043</v>
      </c>
      <c r="I279" s="723"/>
      <c r="J279" s="723"/>
      <c r="K279" s="723" t="s">
        <v>2044</v>
      </c>
      <c r="L279" s="723">
        <v>51993231</v>
      </c>
      <c r="M279" s="724" t="s">
        <v>955</v>
      </c>
      <c r="N279" s="746"/>
      <c r="O279" s="746"/>
      <c r="P279" s="746"/>
      <c r="Q279" s="746"/>
      <c r="R279" s="521"/>
      <c r="S279" s="521"/>
    </row>
    <row r="280" spans="1:19">
      <c r="A280" s="721">
        <v>274</v>
      </c>
      <c r="B280" s="721">
        <v>9729509</v>
      </c>
      <c r="C280" s="721" t="s">
        <v>2443</v>
      </c>
      <c r="D280" s="721">
        <v>95</v>
      </c>
      <c r="E280" s="721" t="s">
        <v>49</v>
      </c>
      <c r="F280" s="721" t="s">
        <v>107</v>
      </c>
      <c r="G280" s="721" t="s">
        <v>108</v>
      </c>
      <c r="H280" s="721" t="s">
        <v>2043</v>
      </c>
      <c r="I280" s="721"/>
      <c r="J280" s="721"/>
      <c r="K280" s="721" t="s">
        <v>2044</v>
      </c>
      <c r="L280" s="721">
        <v>52178154</v>
      </c>
      <c r="M280" s="722" t="s">
        <v>955</v>
      </c>
      <c r="N280" s="746"/>
      <c r="O280" s="746"/>
      <c r="P280" s="746"/>
      <c r="Q280" s="746"/>
      <c r="R280" s="521"/>
      <c r="S280" s="521"/>
    </row>
    <row r="281" spans="1:19">
      <c r="A281" s="723">
        <v>275</v>
      </c>
      <c r="B281" s="723">
        <v>9729510</v>
      </c>
      <c r="C281" s="723" t="s">
        <v>2444</v>
      </c>
      <c r="D281" s="723">
        <v>95</v>
      </c>
      <c r="E281" s="723" t="s">
        <v>49</v>
      </c>
      <c r="F281" s="723" t="s">
        <v>107</v>
      </c>
      <c r="G281" s="723" t="s">
        <v>108</v>
      </c>
      <c r="H281" s="723" t="s">
        <v>2043</v>
      </c>
      <c r="I281" s="723"/>
      <c r="J281" s="723"/>
      <c r="K281" s="723" t="s">
        <v>2044</v>
      </c>
      <c r="L281" s="723">
        <v>52148769</v>
      </c>
      <c r="M281" s="724" t="s">
        <v>955</v>
      </c>
      <c r="N281" s="746"/>
      <c r="O281" s="746"/>
      <c r="P281" s="746"/>
      <c r="Q281" s="746"/>
      <c r="R281" s="521"/>
      <c r="S281" s="521"/>
    </row>
    <row r="282" spans="1:19">
      <c r="A282" s="721">
        <v>276</v>
      </c>
      <c r="B282" s="721">
        <v>9729511</v>
      </c>
      <c r="C282" s="721" t="s">
        <v>2445</v>
      </c>
      <c r="D282" s="721">
        <v>95</v>
      </c>
      <c r="E282" s="721" t="s">
        <v>49</v>
      </c>
      <c r="F282" s="721" t="s">
        <v>107</v>
      </c>
      <c r="G282" s="721" t="s">
        <v>108</v>
      </c>
      <c r="H282" s="721" t="s">
        <v>2043</v>
      </c>
      <c r="I282" s="721"/>
      <c r="J282" s="721"/>
      <c r="K282" s="721" t="s">
        <v>2044</v>
      </c>
      <c r="L282" s="721">
        <v>79461906</v>
      </c>
      <c r="M282" s="722" t="s">
        <v>955</v>
      </c>
      <c r="N282" s="746"/>
      <c r="O282" s="746"/>
      <c r="P282" s="746"/>
      <c r="Q282" s="746"/>
      <c r="R282" s="521"/>
      <c r="S282" s="521"/>
    </row>
    <row r="283" spans="1:19">
      <c r="A283" s="723">
        <v>277</v>
      </c>
      <c r="B283" s="723">
        <v>9729514</v>
      </c>
      <c r="C283" s="723" t="s">
        <v>2446</v>
      </c>
      <c r="D283" s="723">
        <v>95</v>
      </c>
      <c r="E283" s="723" t="s">
        <v>49</v>
      </c>
      <c r="F283" s="723" t="s">
        <v>107</v>
      </c>
      <c r="G283" s="723" t="s">
        <v>108</v>
      </c>
      <c r="H283" s="723" t="s">
        <v>2043</v>
      </c>
      <c r="I283" s="723"/>
      <c r="J283" s="723"/>
      <c r="K283" s="723" t="s">
        <v>2044</v>
      </c>
      <c r="L283" s="723">
        <v>19073064</v>
      </c>
      <c r="M283" s="724" t="s">
        <v>955</v>
      </c>
      <c r="N283" s="746"/>
      <c r="O283" s="746"/>
      <c r="P283" s="746"/>
      <c r="Q283" s="746"/>
      <c r="R283" s="521"/>
      <c r="S283" s="521"/>
    </row>
    <row r="284" spans="1:19">
      <c r="A284" s="721">
        <v>278</v>
      </c>
      <c r="B284" s="721">
        <v>9729519</v>
      </c>
      <c r="C284" s="721" t="s">
        <v>2447</v>
      </c>
      <c r="D284" s="721">
        <v>95</v>
      </c>
      <c r="E284" s="721" t="s">
        <v>49</v>
      </c>
      <c r="F284" s="721" t="s">
        <v>107</v>
      </c>
      <c r="G284" s="721" t="s">
        <v>108</v>
      </c>
      <c r="H284" s="721" t="s">
        <v>2043</v>
      </c>
      <c r="I284" s="721"/>
      <c r="J284" s="721"/>
      <c r="K284" s="721" t="s">
        <v>2044</v>
      </c>
      <c r="L284" s="721">
        <v>19494494</v>
      </c>
      <c r="M284" s="722" t="s">
        <v>955</v>
      </c>
      <c r="N284" s="746"/>
      <c r="O284" s="746"/>
      <c r="P284" s="746"/>
      <c r="Q284" s="746"/>
      <c r="R284" s="521"/>
      <c r="S284" s="521"/>
    </row>
    <row r="285" spans="1:19">
      <c r="A285" s="723">
        <v>279</v>
      </c>
      <c r="B285" s="723">
        <v>9819502</v>
      </c>
      <c r="C285" s="723" t="s">
        <v>2448</v>
      </c>
      <c r="D285" s="723">
        <v>95</v>
      </c>
      <c r="E285" s="723" t="s">
        <v>49</v>
      </c>
      <c r="F285" s="723" t="s">
        <v>107</v>
      </c>
      <c r="G285" s="723" t="s">
        <v>108</v>
      </c>
      <c r="H285" s="723" t="s">
        <v>2043</v>
      </c>
      <c r="I285" s="723"/>
      <c r="J285" s="723"/>
      <c r="K285" s="723" t="s">
        <v>2044</v>
      </c>
      <c r="L285" s="723">
        <v>7308659</v>
      </c>
      <c r="M285" s="724" t="s">
        <v>955</v>
      </c>
      <c r="N285" s="746"/>
      <c r="O285" s="746"/>
      <c r="P285" s="746"/>
      <c r="Q285" s="746"/>
      <c r="R285" s="521"/>
      <c r="S285" s="521"/>
    </row>
    <row r="286" spans="1:19">
      <c r="A286" s="721">
        <v>280</v>
      </c>
      <c r="B286" s="721">
        <v>9819503</v>
      </c>
      <c r="C286" s="721" t="s">
        <v>2449</v>
      </c>
      <c r="D286" s="721">
        <v>95</v>
      </c>
      <c r="E286" s="721" t="s">
        <v>49</v>
      </c>
      <c r="F286" s="721" t="s">
        <v>107</v>
      </c>
      <c r="G286" s="721" t="s">
        <v>108</v>
      </c>
      <c r="H286" s="721" t="s">
        <v>2043</v>
      </c>
      <c r="I286" s="721"/>
      <c r="J286" s="721"/>
      <c r="K286" s="721" t="s">
        <v>2044</v>
      </c>
      <c r="L286" s="721">
        <v>79624304</v>
      </c>
      <c r="M286" s="722" t="s">
        <v>955</v>
      </c>
      <c r="N286" s="746"/>
      <c r="O286" s="746"/>
      <c r="P286" s="746"/>
      <c r="Q286" s="746"/>
      <c r="R286" s="521"/>
      <c r="S286" s="521"/>
    </row>
    <row r="287" spans="1:19">
      <c r="A287" s="723">
        <v>281</v>
      </c>
      <c r="B287" s="723">
        <v>9819504</v>
      </c>
      <c r="C287" s="723" t="s">
        <v>2450</v>
      </c>
      <c r="D287" s="723">
        <v>95</v>
      </c>
      <c r="E287" s="723" t="s">
        <v>49</v>
      </c>
      <c r="F287" s="723" t="s">
        <v>107</v>
      </c>
      <c r="G287" s="723" t="s">
        <v>108</v>
      </c>
      <c r="H287" s="723" t="s">
        <v>2043</v>
      </c>
      <c r="I287" s="723"/>
      <c r="J287" s="723"/>
      <c r="K287" s="723" t="s">
        <v>2044</v>
      </c>
      <c r="L287" s="723">
        <v>6618711</v>
      </c>
      <c r="M287" s="724" t="s">
        <v>955</v>
      </c>
      <c r="N287" s="746"/>
      <c r="O287" s="746"/>
      <c r="P287" s="746"/>
      <c r="Q287" s="746"/>
      <c r="R287" s="521"/>
      <c r="S287" s="521"/>
    </row>
    <row r="288" spans="1:19">
      <c r="A288" s="721">
        <v>282</v>
      </c>
      <c r="B288" s="721">
        <v>9819508</v>
      </c>
      <c r="C288" s="721" t="s">
        <v>2451</v>
      </c>
      <c r="D288" s="721">
        <v>95</v>
      </c>
      <c r="E288" s="721" t="s">
        <v>49</v>
      </c>
      <c r="F288" s="721" t="s">
        <v>107</v>
      </c>
      <c r="G288" s="721" t="s">
        <v>108</v>
      </c>
      <c r="H288" s="721" t="s">
        <v>2043</v>
      </c>
      <c r="I288" s="721"/>
      <c r="J288" s="721"/>
      <c r="K288" s="721" t="s">
        <v>2044</v>
      </c>
      <c r="L288" s="721">
        <v>80470961</v>
      </c>
      <c r="M288" s="722" t="s">
        <v>955</v>
      </c>
      <c r="N288" s="746"/>
      <c r="O288" s="746"/>
      <c r="P288" s="746"/>
      <c r="Q288" s="746"/>
      <c r="R288" s="521"/>
      <c r="S288" s="521"/>
    </row>
    <row r="289" spans="1:19">
      <c r="A289" s="723">
        <v>283</v>
      </c>
      <c r="B289" s="723">
        <v>9819509</v>
      </c>
      <c r="C289" s="723" t="s">
        <v>2452</v>
      </c>
      <c r="D289" s="723">
        <v>95</v>
      </c>
      <c r="E289" s="723" t="s">
        <v>49</v>
      </c>
      <c r="F289" s="723" t="s">
        <v>107</v>
      </c>
      <c r="G289" s="723" t="s">
        <v>108</v>
      </c>
      <c r="H289" s="723" t="s">
        <v>2043</v>
      </c>
      <c r="I289" s="723"/>
      <c r="J289" s="723"/>
      <c r="K289" s="723" t="s">
        <v>2044</v>
      </c>
      <c r="L289" s="723">
        <v>80438895</v>
      </c>
      <c r="M289" s="724" t="s">
        <v>955</v>
      </c>
      <c r="N289" s="746"/>
      <c r="O289" s="746"/>
      <c r="P289" s="746"/>
      <c r="Q289" s="746"/>
      <c r="R289" s="521"/>
      <c r="S289" s="521"/>
    </row>
    <row r="290" spans="1:19">
      <c r="A290" s="721">
        <v>284</v>
      </c>
      <c r="B290" s="721">
        <v>9819511</v>
      </c>
      <c r="C290" s="721" t="s">
        <v>2453</v>
      </c>
      <c r="D290" s="721">
        <v>95</v>
      </c>
      <c r="E290" s="721" t="s">
        <v>49</v>
      </c>
      <c r="F290" s="721" t="s">
        <v>107</v>
      </c>
      <c r="G290" s="721" t="s">
        <v>108</v>
      </c>
      <c r="H290" s="721" t="s">
        <v>2043</v>
      </c>
      <c r="I290" s="721"/>
      <c r="J290" s="721"/>
      <c r="K290" s="721" t="s">
        <v>2044</v>
      </c>
      <c r="L290" s="721">
        <v>79565032</v>
      </c>
      <c r="M290" s="722" t="s">
        <v>955</v>
      </c>
      <c r="N290" s="746"/>
      <c r="O290" s="746"/>
      <c r="P290" s="746"/>
      <c r="Q290" s="746"/>
      <c r="R290" s="521"/>
      <c r="S290" s="521"/>
    </row>
    <row r="291" spans="1:19">
      <c r="A291" s="723">
        <v>285</v>
      </c>
      <c r="B291" s="723">
        <v>9819514</v>
      </c>
      <c r="C291" s="723" t="s">
        <v>2454</v>
      </c>
      <c r="D291" s="723">
        <v>95</v>
      </c>
      <c r="E291" s="723" t="s">
        <v>49</v>
      </c>
      <c r="F291" s="723" t="s">
        <v>107</v>
      </c>
      <c r="G291" s="723" t="s">
        <v>108</v>
      </c>
      <c r="H291" s="723" t="s">
        <v>2043</v>
      </c>
      <c r="I291" s="723"/>
      <c r="J291" s="723"/>
      <c r="K291" s="723" t="s">
        <v>2044</v>
      </c>
      <c r="L291" s="723">
        <v>79572003</v>
      </c>
      <c r="M291" s="724" t="s">
        <v>955</v>
      </c>
      <c r="N291" s="746"/>
      <c r="O291" s="746"/>
      <c r="P291" s="746"/>
      <c r="Q291" s="746"/>
      <c r="R291" s="521"/>
      <c r="S291" s="521"/>
    </row>
    <row r="292" spans="1:19">
      <c r="A292" s="721">
        <v>286</v>
      </c>
      <c r="B292" s="721">
        <v>9819515</v>
      </c>
      <c r="C292" s="721" t="s">
        <v>2455</v>
      </c>
      <c r="D292" s="721">
        <v>95</v>
      </c>
      <c r="E292" s="721" t="s">
        <v>49</v>
      </c>
      <c r="F292" s="721" t="s">
        <v>107</v>
      </c>
      <c r="G292" s="721" t="s">
        <v>108</v>
      </c>
      <c r="H292" s="721" t="s">
        <v>2043</v>
      </c>
      <c r="I292" s="721"/>
      <c r="J292" s="721"/>
      <c r="K292" s="721" t="s">
        <v>2044</v>
      </c>
      <c r="L292" s="721">
        <v>79638176</v>
      </c>
      <c r="M292" s="722" t="s">
        <v>955</v>
      </c>
      <c r="N292" s="746"/>
      <c r="O292" s="746"/>
      <c r="P292" s="746"/>
      <c r="Q292" s="746"/>
      <c r="R292" s="521"/>
      <c r="S292" s="521"/>
    </row>
    <row r="293" spans="1:19">
      <c r="A293" s="723">
        <v>287</v>
      </c>
      <c r="B293" s="723">
        <v>9819516</v>
      </c>
      <c r="C293" s="723" t="s">
        <v>2456</v>
      </c>
      <c r="D293" s="723">
        <v>95</v>
      </c>
      <c r="E293" s="723" t="s">
        <v>49</v>
      </c>
      <c r="F293" s="723" t="s">
        <v>107</v>
      </c>
      <c r="G293" s="723" t="s">
        <v>108</v>
      </c>
      <c r="H293" s="723" t="s">
        <v>2043</v>
      </c>
      <c r="I293" s="723"/>
      <c r="J293" s="723"/>
      <c r="K293" s="723" t="s">
        <v>2044</v>
      </c>
      <c r="L293" s="723">
        <v>51733411</v>
      </c>
      <c r="M293" s="724" t="s">
        <v>955</v>
      </c>
      <c r="N293" s="746"/>
      <c r="O293" s="746"/>
      <c r="P293" s="746"/>
      <c r="Q293" s="746"/>
      <c r="R293" s="521"/>
      <c r="S293" s="521"/>
    </row>
    <row r="294" spans="1:19">
      <c r="A294" s="721">
        <v>288</v>
      </c>
      <c r="B294" s="721">
        <v>9819518</v>
      </c>
      <c r="C294" s="721" t="s">
        <v>2457</v>
      </c>
      <c r="D294" s="721">
        <v>95</v>
      </c>
      <c r="E294" s="721" t="s">
        <v>49</v>
      </c>
      <c r="F294" s="721" t="s">
        <v>107</v>
      </c>
      <c r="G294" s="721" t="s">
        <v>108</v>
      </c>
      <c r="H294" s="721" t="s">
        <v>2043</v>
      </c>
      <c r="I294" s="721"/>
      <c r="J294" s="721"/>
      <c r="K294" s="721" t="s">
        <v>2044</v>
      </c>
      <c r="L294" s="721">
        <v>79506001</v>
      </c>
      <c r="M294" s="722" t="s">
        <v>955</v>
      </c>
      <c r="N294" s="746"/>
      <c r="O294" s="746"/>
      <c r="P294" s="746"/>
      <c r="Q294" s="746"/>
      <c r="R294" s="521"/>
      <c r="S294" s="521"/>
    </row>
    <row r="295" spans="1:19">
      <c r="A295" s="723">
        <v>289</v>
      </c>
      <c r="B295" s="723">
        <v>9819520</v>
      </c>
      <c r="C295" s="723" t="s">
        <v>2458</v>
      </c>
      <c r="D295" s="723">
        <v>95</v>
      </c>
      <c r="E295" s="723" t="s">
        <v>49</v>
      </c>
      <c r="F295" s="723" t="s">
        <v>107</v>
      </c>
      <c r="G295" s="723" t="s">
        <v>108</v>
      </c>
      <c r="H295" s="723" t="s">
        <v>2043</v>
      </c>
      <c r="I295" s="723"/>
      <c r="J295" s="723"/>
      <c r="K295" s="723" t="s">
        <v>2044</v>
      </c>
      <c r="L295" s="723">
        <v>19124794</v>
      </c>
      <c r="M295" s="724" t="s">
        <v>955</v>
      </c>
      <c r="N295" s="746"/>
      <c r="O295" s="746"/>
      <c r="P295" s="746"/>
      <c r="Q295" s="746"/>
      <c r="R295" s="521"/>
      <c r="S295" s="521"/>
    </row>
    <row r="296" spans="1:19">
      <c r="A296" s="721">
        <v>290</v>
      </c>
      <c r="B296" s="721">
        <v>9819521</v>
      </c>
      <c r="C296" s="721" t="s">
        <v>2459</v>
      </c>
      <c r="D296" s="721">
        <v>95</v>
      </c>
      <c r="E296" s="721" t="s">
        <v>49</v>
      </c>
      <c r="F296" s="721" t="s">
        <v>107</v>
      </c>
      <c r="G296" s="721" t="s">
        <v>108</v>
      </c>
      <c r="H296" s="721" t="s">
        <v>2043</v>
      </c>
      <c r="I296" s="721"/>
      <c r="J296" s="721"/>
      <c r="K296" s="721" t="s">
        <v>2044</v>
      </c>
      <c r="L296" s="721">
        <v>79563801</v>
      </c>
      <c r="M296" s="722" t="s">
        <v>955</v>
      </c>
      <c r="N296" s="746"/>
      <c r="O296" s="746"/>
      <c r="P296" s="746"/>
      <c r="Q296" s="746"/>
      <c r="R296" s="521"/>
      <c r="S296" s="521"/>
    </row>
    <row r="297" spans="1:19">
      <c r="A297" s="723">
        <v>291</v>
      </c>
      <c r="B297" s="723">
        <v>9819527</v>
      </c>
      <c r="C297" s="723" t="s">
        <v>2460</v>
      </c>
      <c r="D297" s="723">
        <v>95</v>
      </c>
      <c r="E297" s="723" t="s">
        <v>49</v>
      </c>
      <c r="F297" s="723" t="s">
        <v>107</v>
      </c>
      <c r="G297" s="723" t="s">
        <v>108</v>
      </c>
      <c r="H297" s="723" t="s">
        <v>2043</v>
      </c>
      <c r="I297" s="723"/>
      <c r="J297" s="723"/>
      <c r="K297" s="723" t="s">
        <v>2044</v>
      </c>
      <c r="L297" s="723">
        <v>75064567</v>
      </c>
      <c r="M297" s="724" t="s">
        <v>955</v>
      </c>
      <c r="N297" s="746"/>
      <c r="O297" s="746"/>
      <c r="P297" s="746"/>
      <c r="Q297" s="746"/>
      <c r="R297" s="521"/>
      <c r="S297" s="521"/>
    </row>
    <row r="298" spans="1:19">
      <c r="A298" s="721">
        <v>292</v>
      </c>
      <c r="B298" s="721">
        <v>9819529</v>
      </c>
      <c r="C298" s="721" t="s">
        <v>2461</v>
      </c>
      <c r="D298" s="721">
        <v>95</v>
      </c>
      <c r="E298" s="721" t="s">
        <v>49</v>
      </c>
      <c r="F298" s="721" t="s">
        <v>107</v>
      </c>
      <c r="G298" s="721" t="s">
        <v>108</v>
      </c>
      <c r="H298" s="721" t="s">
        <v>2043</v>
      </c>
      <c r="I298" s="721"/>
      <c r="J298" s="721"/>
      <c r="K298" s="721" t="s">
        <v>2044</v>
      </c>
      <c r="L298" s="721">
        <v>39809116</v>
      </c>
      <c r="M298" s="722" t="s">
        <v>955</v>
      </c>
      <c r="N298" s="746"/>
      <c r="O298" s="746"/>
      <c r="P298" s="746"/>
      <c r="Q298" s="746"/>
      <c r="R298" s="521"/>
      <c r="S298" s="521"/>
    </row>
    <row r="299" spans="1:19">
      <c r="A299" s="723">
        <v>293</v>
      </c>
      <c r="B299" s="723">
        <v>9819532</v>
      </c>
      <c r="C299" s="723" t="s">
        <v>2462</v>
      </c>
      <c r="D299" s="723">
        <v>95</v>
      </c>
      <c r="E299" s="723" t="s">
        <v>49</v>
      </c>
      <c r="F299" s="723" t="s">
        <v>107</v>
      </c>
      <c r="G299" s="723" t="s">
        <v>108</v>
      </c>
      <c r="H299" s="723" t="s">
        <v>2043</v>
      </c>
      <c r="I299" s="723"/>
      <c r="J299" s="723"/>
      <c r="K299" s="723" t="s">
        <v>2044</v>
      </c>
      <c r="L299" s="723">
        <v>79309556</v>
      </c>
      <c r="M299" s="724" t="s">
        <v>955</v>
      </c>
      <c r="N299" s="746"/>
      <c r="O299" s="746"/>
      <c r="P299" s="746"/>
      <c r="Q299" s="746"/>
      <c r="R299" s="521"/>
      <c r="S299" s="521"/>
    </row>
    <row r="300" spans="1:19">
      <c r="A300" s="721">
        <v>294</v>
      </c>
      <c r="B300" s="721">
        <v>9819533</v>
      </c>
      <c r="C300" s="721" t="s">
        <v>2463</v>
      </c>
      <c r="D300" s="721">
        <v>95</v>
      </c>
      <c r="E300" s="721" t="s">
        <v>49</v>
      </c>
      <c r="F300" s="721" t="s">
        <v>107</v>
      </c>
      <c r="G300" s="721" t="s">
        <v>108</v>
      </c>
      <c r="H300" s="721" t="s">
        <v>2043</v>
      </c>
      <c r="I300" s="721"/>
      <c r="J300" s="721"/>
      <c r="K300" s="721" t="s">
        <v>2044</v>
      </c>
      <c r="L300" s="721">
        <v>5884743</v>
      </c>
      <c r="M300" s="722" t="s">
        <v>955</v>
      </c>
      <c r="N300" s="746"/>
      <c r="O300" s="746"/>
      <c r="P300" s="746"/>
      <c r="Q300" s="746"/>
      <c r="R300" s="521"/>
      <c r="S300" s="521"/>
    </row>
    <row r="301" spans="1:19">
      <c r="A301" s="723">
        <v>295</v>
      </c>
      <c r="B301" s="723">
        <v>9819534</v>
      </c>
      <c r="C301" s="723" t="s">
        <v>2464</v>
      </c>
      <c r="D301" s="723">
        <v>95</v>
      </c>
      <c r="E301" s="723" t="s">
        <v>49</v>
      </c>
      <c r="F301" s="723" t="s">
        <v>107</v>
      </c>
      <c r="G301" s="723" t="s">
        <v>108</v>
      </c>
      <c r="H301" s="723" t="s">
        <v>2043</v>
      </c>
      <c r="I301" s="723"/>
      <c r="J301" s="723"/>
      <c r="K301" s="723" t="s">
        <v>2044</v>
      </c>
      <c r="L301" s="723">
        <v>52219024</v>
      </c>
      <c r="M301" s="724" t="s">
        <v>955</v>
      </c>
      <c r="N301" s="746"/>
      <c r="O301" s="746"/>
      <c r="P301" s="746"/>
      <c r="Q301" s="746"/>
      <c r="R301" s="521"/>
      <c r="S301" s="521"/>
    </row>
    <row r="302" spans="1:19">
      <c r="A302" s="721">
        <v>296</v>
      </c>
      <c r="B302" s="721">
        <v>9819535</v>
      </c>
      <c r="C302" s="721" t="s">
        <v>2465</v>
      </c>
      <c r="D302" s="721">
        <v>95</v>
      </c>
      <c r="E302" s="721" t="s">
        <v>49</v>
      </c>
      <c r="F302" s="721" t="s">
        <v>107</v>
      </c>
      <c r="G302" s="721" t="s">
        <v>108</v>
      </c>
      <c r="H302" s="721" t="s">
        <v>2043</v>
      </c>
      <c r="I302" s="721"/>
      <c r="J302" s="721"/>
      <c r="K302" s="721" t="s">
        <v>2044</v>
      </c>
      <c r="L302" s="721">
        <v>91269499</v>
      </c>
      <c r="M302" s="722" t="s">
        <v>955</v>
      </c>
      <c r="N302" s="746"/>
      <c r="O302" s="746"/>
      <c r="P302" s="746"/>
      <c r="Q302" s="746"/>
      <c r="R302" s="521"/>
      <c r="S302" s="521"/>
    </row>
    <row r="303" spans="1:19">
      <c r="A303" s="723">
        <v>297</v>
      </c>
      <c r="B303" s="723">
        <v>9819537</v>
      </c>
      <c r="C303" s="723" t="s">
        <v>2466</v>
      </c>
      <c r="D303" s="723">
        <v>95</v>
      </c>
      <c r="E303" s="723" t="s">
        <v>49</v>
      </c>
      <c r="F303" s="723" t="s">
        <v>107</v>
      </c>
      <c r="G303" s="723" t="s">
        <v>108</v>
      </c>
      <c r="H303" s="723" t="s">
        <v>2043</v>
      </c>
      <c r="I303" s="723"/>
      <c r="J303" s="723"/>
      <c r="K303" s="723" t="s">
        <v>2044</v>
      </c>
      <c r="L303" s="723">
        <v>79847059</v>
      </c>
      <c r="M303" s="724" t="s">
        <v>955</v>
      </c>
      <c r="N303" s="746"/>
      <c r="O303" s="746"/>
      <c r="P303" s="746"/>
      <c r="Q303" s="746"/>
      <c r="R303" s="521"/>
      <c r="S303" s="521"/>
    </row>
    <row r="304" spans="1:19">
      <c r="A304" s="721">
        <v>298</v>
      </c>
      <c r="B304" s="721">
        <v>9819538</v>
      </c>
      <c r="C304" s="721" t="s">
        <v>2467</v>
      </c>
      <c r="D304" s="721">
        <v>95</v>
      </c>
      <c r="E304" s="721" t="s">
        <v>49</v>
      </c>
      <c r="F304" s="721" t="s">
        <v>107</v>
      </c>
      <c r="G304" s="721" t="s">
        <v>108</v>
      </c>
      <c r="H304" s="721" t="s">
        <v>2043</v>
      </c>
      <c r="I304" s="721"/>
      <c r="J304" s="721"/>
      <c r="K304" s="721" t="s">
        <v>2044</v>
      </c>
      <c r="L304" s="721">
        <v>79367453</v>
      </c>
      <c r="M304" s="722" t="s">
        <v>955</v>
      </c>
      <c r="N304" s="746"/>
      <c r="O304" s="746"/>
      <c r="P304" s="746"/>
      <c r="Q304" s="746"/>
      <c r="R304" s="521"/>
      <c r="S304" s="521"/>
    </row>
    <row r="305" spans="1:19">
      <c r="A305" s="723">
        <v>299</v>
      </c>
      <c r="B305" s="723">
        <v>9819543</v>
      </c>
      <c r="C305" s="723" t="s">
        <v>2468</v>
      </c>
      <c r="D305" s="723">
        <v>95</v>
      </c>
      <c r="E305" s="723" t="s">
        <v>49</v>
      </c>
      <c r="F305" s="723" t="s">
        <v>107</v>
      </c>
      <c r="G305" s="723" t="s">
        <v>108</v>
      </c>
      <c r="H305" s="723" t="s">
        <v>2043</v>
      </c>
      <c r="I305" s="723"/>
      <c r="J305" s="723"/>
      <c r="K305" s="723" t="s">
        <v>2044</v>
      </c>
      <c r="L305" s="723">
        <v>7226288</v>
      </c>
      <c r="M305" s="724" t="s">
        <v>955</v>
      </c>
      <c r="N305" s="746"/>
      <c r="O305" s="746"/>
      <c r="P305" s="746"/>
      <c r="Q305" s="746"/>
      <c r="R305" s="521"/>
      <c r="S305" s="521"/>
    </row>
    <row r="306" spans="1:19">
      <c r="A306" s="721">
        <v>300</v>
      </c>
      <c r="B306" s="721">
        <v>9819545</v>
      </c>
      <c r="C306" s="721" t="s">
        <v>2469</v>
      </c>
      <c r="D306" s="721">
        <v>95</v>
      </c>
      <c r="E306" s="721" t="s">
        <v>49</v>
      </c>
      <c r="F306" s="721" t="s">
        <v>107</v>
      </c>
      <c r="G306" s="721" t="s">
        <v>108</v>
      </c>
      <c r="H306" s="721" t="s">
        <v>2043</v>
      </c>
      <c r="I306" s="721"/>
      <c r="J306" s="721"/>
      <c r="K306" s="721" t="s">
        <v>2044</v>
      </c>
      <c r="L306" s="721">
        <v>79040203</v>
      </c>
      <c r="M306" s="722" t="s">
        <v>955</v>
      </c>
      <c r="N306" s="746"/>
      <c r="O306" s="746"/>
      <c r="P306" s="746"/>
      <c r="Q306" s="746"/>
      <c r="R306" s="521"/>
      <c r="S306" s="521"/>
    </row>
    <row r="307" spans="1:19">
      <c r="A307" s="723">
        <v>301</v>
      </c>
      <c r="B307" s="723">
        <v>9819547</v>
      </c>
      <c r="C307" s="723" t="s">
        <v>2470</v>
      </c>
      <c r="D307" s="723">
        <v>95</v>
      </c>
      <c r="E307" s="723" t="s">
        <v>49</v>
      </c>
      <c r="F307" s="723" t="s">
        <v>107</v>
      </c>
      <c r="G307" s="723" t="s">
        <v>108</v>
      </c>
      <c r="H307" s="723" t="s">
        <v>2043</v>
      </c>
      <c r="I307" s="723" t="s">
        <v>2471</v>
      </c>
      <c r="J307" s="723" t="s">
        <v>2471</v>
      </c>
      <c r="K307" s="723" t="s">
        <v>2044</v>
      </c>
      <c r="L307" s="723">
        <v>79378127</v>
      </c>
      <c r="M307" s="724" t="s">
        <v>955</v>
      </c>
      <c r="N307" s="746"/>
      <c r="O307" s="746"/>
      <c r="P307" s="746"/>
      <c r="Q307" s="746"/>
      <c r="R307" s="521"/>
      <c r="S307" s="521"/>
    </row>
    <row r="308" spans="1:19">
      <c r="A308" s="721">
        <v>302</v>
      </c>
      <c r="B308" s="721">
        <v>9829501</v>
      </c>
      <c r="C308" s="721" t="s">
        <v>2472</v>
      </c>
      <c r="D308" s="721">
        <v>95</v>
      </c>
      <c r="E308" s="721" t="s">
        <v>49</v>
      </c>
      <c r="F308" s="721" t="s">
        <v>107</v>
      </c>
      <c r="G308" s="721" t="s">
        <v>108</v>
      </c>
      <c r="H308" s="721" t="s">
        <v>2043</v>
      </c>
      <c r="I308" s="721"/>
      <c r="J308" s="721"/>
      <c r="K308" s="721" t="s">
        <v>2044</v>
      </c>
      <c r="L308" s="721">
        <v>79614923</v>
      </c>
      <c r="M308" s="722" t="s">
        <v>955</v>
      </c>
      <c r="N308" s="746"/>
      <c r="O308" s="746"/>
      <c r="P308" s="746"/>
      <c r="Q308" s="746"/>
      <c r="R308" s="521"/>
      <c r="S308" s="521"/>
    </row>
    <row r="309" spans="1:19">
      <c r="A309" s="723">
        <v>303</v>
      </c>
      <c r="B309" s="723">
        <v>9829505</v>
      </c>
      <c r="C309" s="723" t="s">
        <v>2473</v>
      </c>
      <c r="D309" s="723">
        <v>95</v>
      </c>
      <c r="E309" s="723" t="s">
        <v>49</v>
      </c>
      <c r="F309" s="723" t="s">
        <v>107</v>
      </c>
      <c r="G309" s="723" t="s">
        <v>108</v>
      </c>
      <c r="H309" s="723" t="s">
        <v>2043</v>
      </c>
      <c r="I309" s="723"/>
      <c r="J309" s="723"/>
      <c r="K309" s="723" t="s">
        <v>2044</v>
      </c>
      <c r="L309" s="723">
        <v>79641802</v>
      </c>
      <c r="M309" s="724" t="s">
        <v>955</v>
      </c>
      <c r="N309" s="746"/>
      <c r="O309" s="746"/>
      <c r="P309" s="746"/>
      <c r="Q309" s="746"/>
      <c r="R309" s="521"/>
      <c r="S309" s="521"/>
    </row>
    <row r="310" spans="1:19">
      <c r="A310" s="721">
        <v>304</v>
      </c>
      <c r="B310" s="721">
        <v>9829507</v>
      </c>
      <c r="C310" s="721" t="s">
        <v>2474</v>
      </c>
      <c r="D310" s="721">
        <v>95</v>
      </c>
      <c r="E310" s="721" t="s">
        <v>49</v>
      </c>
      <c r="F310" s="721" t="s">
        <v>107</v>
      </c>
      <c r="G310" s="721" t="s">
        <v>108</v>
      </c>
      <c r="H310" s="721" t="s">
        <v>2043</v>
      </c>
      <c r="I310" s="721"/>
      <c r="J310" s="721"/>
      <c r="K310" s="721" t="s">
        <v>2044</v>
      </c>
      <c r="L310" s="721">
        <v>77034629</v>
      </c>
      <c r="M310" s="722" t="s">
        <v>955</v>
      </c>
      <c r="N310" s="746"/>
      <c r="O310" s="746"/>
      <c r="P310" s="746"/>
      <c r="Q310" s="746"/>
      <c r="R310" s="521"/>
      <c r="S310" s="521"/>
    </row>
    <row r="311" spans="1:19">
      <c r="A311" s="723">
        <v>305</v>
      </c>
      <c r="B311" s="723">
        <v>9829508</v>
      </c>
      <c r="C311" s="723" t="s">
        <v>2475</v>
      </c>
      <c r="D311" s="723">
        <v>95</v>
      </c>
      <c r="E311" s="723" t="s">
        <v>49</v>
      </c>
      <c r="F311" s="723" t="s">
        <v>107</v>
      </c>
      <c r="G311" s="723" t="s">
        <v>108</v>
      </c>
      <c r="H311" s="723" t="s">
        <v>2043</v>
      </c>
      <c r="I311" s="723"/>
      <c r="J311" s="723"/>
      <c r="K311" s="723" t="s">
        <v>2044</v>
      </c>
      <c r="L311" s="723">
        <v>51703747</v>
      </c>
      <c r="M311" s="724" t="s">
        <v>955</v>
      </c>
      <c r="N311" s="746"/>
      <c r="O311" s="746"/>
      <c r="P311" s="746"/>
      <c r="Q311" s="746"/>
      <c r="R311" s="521"/>
      <c r="S311" s="521"/>
    </row>
    <row r="312" spans="1:19">
      <c r="A312" s="721">
        <v>306</v>
      </c>
      <c r="B312" s="721">
        <v>9829509</v>
      </c>
      <c r="C312" s="721" t="s">
        <v>2476</v>
      </c>
      <c r="D312" s="721">
        <v>95</v>
      </c>
      <c r="E312" s="721" t="s">
        <v>49</v>
      </c>
      <c r="F312" s="721" t="s">
        <v>107</v>
      </c>
      <c r="G312" s="721" t="s">
        <v>108</v>
      </c>
      <c r="H312" s="721" t="s">
        <v>2043</v>
      </c>
      <c r="I312" s="721"/>
      <c r="J312" s="721"/>
      <c r="K312" s="721" t="s">
        <v>2044</v>
      </c>
      <c r="L312" s="721">
        <v>52204302</v>
      </c>
      <c r="M312" s="722" t="s">
        <v>955</v>
      </c>
      <c r="N312" s="746"/>
      <c r="O312" s="746"/>
      <c r="P312" s="746"/>
      <c r="Q312" s="746"/>
      <c r="R312" s="521"/>
      <c r="S312" s="521"/>
    </row>
    <row r="313" spans="1:19">
      <c r="A313" s="723">
        <v>307</v>
      </c>
      <c r="B313" s="723">
        <v>9829510</v>
      </c>
      <c r="C313" s="723" t="s">
        <v>2477</v>
      </c>
      <c r="D313" s="723">
        <v>95</v>
      </c>
      <c r="E313" s="723" t="s">
        <v>49</v>
      </c>
      <c r="F313" s="723" t="s">
        <v>107</v>
      </c>
      <c r="G313" s="723" t="s">
        <v>108</v>
      </c>
      <c r="H313" s="723" t="s">
        <v>2043</v>
      </c>
      <c r="I313" s="723"/>
      <c r="J313" s="723"/>
      <c r="K313" s="723" t="s">
        <v>2044</v>
      </c>
      <c r="L313" s="723">
        <v>79750124</v>
      </c>
      <c r="M313" s="724" t="s">
        <v>955</v>
      </c>
      <c r="N313" s="746"/>
      <c r="O313" s="746"/>
      <c r="P313" s="746"/>
      <c r="Q313" s="746"/>
      <c r="R313" s="521"/>
      <c r="S313" s="521"/>
    </row>
    <row r="314" spans="1:19">
      <c r="A314" s="721">
        <v>308</v>
      </c>
      <c r="B314" s="721">
        <v>9829511</v>
      </c>
      <c r="C314" s="721" t="s">
        <v>2478</v>
      </c>
      <c r="D314" s="721">
        <v>95</v>
      </c>
      <c r="E314" s="721" t="s">
        <v>49</v>
      </c>
      <c r="F314" s="721" t="s">
        <v>107</v>
      </c>
      <c r="G314" s="721" t="s">
        <v>108</v>
      </c>
      <c r="H314" s="721" t="s">
        <v>2043</v>
      </c>
      <c r="I314" s="721"/>
      <c r="J314" s="721"/>
      <c r="K314" s="721" t="s">
        <v>2044</v>
      </c>
      <c r="L314" s="721">
        <v>75062602</v>
      </c>
      <c r="M314" s="722" t="s">
        <v>955</v>
      </c>
      <c r="N314" s="746"/>
      <c r="O314" s="746"/>
      <c r="P314" s="746"/>
      <c r="Q314" s="746"/>
      <c r="R314" s="521"/>
      <c r="S314" s="521"/>
    </row>
    <row r="315" spans="1:19">
      <c r="A315" s="723">
        <v>309</v>
      </c>
      <c r="B315" s="723">
        <v>9829523</v>
      </c>
      <c r="C315" s="723" t="s">
        <v>2479</v>
      </c>
      <c r="D315" s="723">
        <v>95</v>
      </c>
      <c r="E315" s="723" t="s">
        <v>49</v>
      </c>
      <c r="F315" s="723" t="s">
        <v>107</v>
      </c>
      <c r="G315" s="723" t="s">
        <v>108</v>
      </c>
      <c r="H315" s="723" t="s">
        <v>2043</v>
      </c>
      <c r="I315" s="723"/>
      <c r="J315" s="723"/>
      <c r="K315" s="723" t="s">
        <v>2044</v>
      </c>
      <c r="L315" s="723">
        <v>42078129</v>
      </c>
      <c r="M315" s="724" t="s">
        <v>955</v>
      </c>
      <c r="N315" s="746"/>
      <c r="O315" s="746"/>
      <c r="P315" s="746"/>
      <c r="Q315" s="746"/>
      <c r="R315" s="521"/>
      <c r="S315" s="521"/>
    </row>
    <row r="316" spans="1:19">
      <c r="A316" s="721">
        <v>310</v>
      </c>
      <c r="B316" s="721">
        <v>9829526</v>
      </c>
      <c r="C316" s="721" t="s">
        <v>2480</v>
      </c>
      <c r="D316" s="721">
        <v>95</v>
      </c>
      <c r="E316" s="721" t="s">
        <v>49</v>
      </c>
      <c r="F316" s="721" t="s">
        <v>107</v>
      </c>
      <c r="G316" s="721" t="s">
        <v>108</v>
      </c>
      <c r="H316" s="721" t="s">
        <v>2043</v>
      </c>
      <c r="I316" s="721"/>
      <c r="J316" s="721"/>
      <c r="K316" s="721" t="s">
        <v>2044</v>
      </c>
      <c r="L316" s="721">
        <v>91100199</v>
      </c>
      <c r="M316" s="722" t="s">
        <v>955</v>
      </c>
      <c r="N316" s="746"/>
      <c r="O316" s="746"/>
      <c r="P316" s="746"/>
      <c r="Q316" s="746"/>
      <c r="R316" s="521"/>
      <c r="S316" s="521"/>
    </row>
    <row r="317" spans="1:19">
      <c r="A317" s="723">
        <v>311</v>
      </c>
      <c r="B317" s="723">
        <v>9829527</v>
      </c>
      <c r="C317" s="723" t="s">
        <v>2481</v>
      </c>
      <c r="D317" s="723">
        <v>95</v>
      </c>
      <c r="E317" s="723" t="s">
        <v>49</v>
      </c>
      <c r="F317" s="723" t="s">
        <v>107</v>
      </c>
      <c r="G317" s="723" t="s">
        <v>108</v>
      </c>
      <c r="H317" s="723" t="s">
        <v>2043</v>
      </c>
      <c r="I317" s="723"/>
      <c r="J317" s="723"/>
      <c r="K317" s="723" t="s">
        <v>2044</v>
      </c>
      <c r="L317" s="723">
        <v>79489918</v>
      </c>
      <c r="M317" s="724" t="s">
        <v>955</v>
      </c>
      <c r="N317" s="746"/>
      <c r="O317" s="746"/>
      <c r="P317" s="746"/>
      <c r="Q317" s="746"/>
      <c r="R317" s="521"/>
      <c r="S317" s="521"/>
    </row>
    <row r="318" spans="1:19">
      <c r="A318" s="721">
        <v>312</v>
      </c>
      <c r="B318" s="721">
        <v>9829528</v>
      </c>
      <c r="C318" s="721" t="s">
        <v>2482</v>
      </c>
      <c r="D318" s="721">
        <v>95</v>
      </c>
      <c r="E318" s="721" t="s">
        <v>49</v>
      </c>
      <c r="F318" s="721" t="s">
        <v>107</v>
      </c>
      <c r="G318" s="721" t="s">
        <v>108</v>
      </c>
      <c r="H318" s="721" t="s">
        <v>2043</v>
      </c>
      <c r="I318" s="721"/>
      <c r="J318" s="721"/>
      <c r="K318" s="721" t="s">
        <v>2044</v>
      </c>
      <c r="L318" s="721">
        <v>19332090</v>
      </c>
      <c r="M318" s="722" t="s">
        <v>955</v>
      </c>
      <c r="N318" s="746"/>
      <c r="O318" s="746"/>
      <c r="P318" s="746"/>
      <c r="Q318" s="746"/>
      <c r="R318" s="521"/>
      <c r="S318" s="521"/>
    </row>
    <row r="319" spans="1:19">
      <c r="A319" s="723">
        <v>313</v>
      </c>
      <c r="B319" s="723">
        <v>9919010</v>
      </c>
      <c r="C319" s="723" t="s">
        <v>2483</v>
      </c>
      <c r="D319" s="723">
        <v>95</v>
      </c>
      <c r="E319" s="723" t="s">
        <v>49</v>
      </c>
      <c r="F319" s="723" t="s">
        <v>107</v>
      </c>
      <c r="G319" s="723" t="s">
        <v>108</v>
      </c>
      <c r="H319" s="723" t="s">
        <v>2043</v>
      </c>
      <c r="I319" s="723"/>
      <c r="J319" s="723"/>
      <c r="K319" s="723" t="s">
        <v>2044</v>
      </c>
      <c r="L319" s="723">
        <v>79654163</v>
      </c>
      <c r="M319" s="724" t="s">
        <v>955</v>
      </c>
      <c r="N319" s="746"/>
      <c r="O319" s="746"/>
      <c r="P319" s="746"/>
      <c r="Q319" s="746"/>
      <c r="R319" s="521"/>
      <c r="S319" s="521"/>
    </row>
    <row r="320" spans="1:19">
      <c r="A320" s="721">
        <v>314</v>
      </c>
      <c r="B320" s="721">
        <v>9919504</v>
      </c>
      <c r="C320" s="721" t="s">
        <v>2484</v>
      </c>
      <c r="D320" s="721">
        <v>95</v>
      </c>
      <c r="E320" s="721" t="s">
        <v>49</v>
      </c>
      <c r="F320" s="721" t="s">
        <v>107</v>
      </c>
      <c r="G320" s="721" t="s">
        <v>108</v>
      </c>
      <c r="H320" s="721" t="s">
        <v>2043</v>
      </c>
      <c r="I320" s="721"/>
      <c r="J320" s="721"/>
      <c r="K320" s="721" t="s">
        <v>2044</v>
      </c>
      <c r="L320" s="721">
        <v>79577628</v>
      </c>
      <c r="M320" s="722" t="s">
        <v>955</v>
      </c>
      <c r="N320" s="746"/>
      <c r="O320" s="746"/>
      <c r="P320" s="746"/>
      <c r="Q320" s="746"/>
      <c r="R320" s="521"/>
      <c r="S320" s="521"/>
    </row>
    <row r="321" spans="1:19">
      <c r="A321" s="723">
        <v>315</v>
      </c>
      <c r="B321" s="723">
        <v>9919506</v>
      </c>
      <c r="C321" s="723" t="s">
        <v>2485</v>
      </c>
      <c r="D321" s="723">
        <v>95</v>
      </c>
      <c r="E321" s="723" t="s">
        <v>49</v>
      </c>
      <c r="F321" s="723" t="s">
        <v>107</v>
      </c>
      <c r="G321" s="723" t="s">
        <v>108</v>
      </c>
      <c r="H321" s="723" t="s">
        <v>2043</v>
      </c>
      <c r="I321" s="723"/>
      <c r="J321" s="723"/>
      <c r="K321" s="723" t="s">
        <v>2044</v>
      </c>
      <c r="L321" s="723">
        <v>101</v>
      </c>
      <c r="M321" s="724" t="s">
        <v>955</v>
      </c>
      <c r="N321" s="746"/>
      <c r="O321" s="746"/>
      <c r="P321" s="746"/>
      <c r="Q321" s="746"/>
      <c r="R321" s="521"/>
      <c r="S321" s="521"/>
    </row>
    <row r="322" spans="1:19">
      <c r="A322" s="721">
        <v>316</v>
      </c>
      <c r="B322" s="721">
        <v>9919508</v>
      </c>
      <c r="C322" s="721" t="s">
        <v>2486</v>
      </c>
      <c r="D322" s="721">
        <v>95</v>
      </c>
      <c r="E322" s="721" t="s">
        <v>49</v>
      </c>
      <c r="F322" s="721" t="s">
        <v>107</v>
      </c>
      <c r="G322" s="721" t="s">
        <v>108</v>
      </c>
      <c r="H322" s="721" t="s">
        <v>2043</v>
      </c>
      <c r="I322" s="721"/>
      <c r="J322" s="721"/>
      <c r="K322" s="721" t="s">
        <v>2044</v>
      </c>
      <c r="L322" s="721">
        <v>101</v>
      </c>
      <c r="M322" s="722" t="s">
        <v>955</v>
      </c>
      <c r="N322" s="746"/>
      <c r="O322" s="746"/>
      <c r="P322" s="746"/>
      <c r="Q322" s="746"/>
      <c r="R322" s="521"/>
      <c r="S322" s="521"/>
    </row>
    <row r="323" spans="1:19">
      <c r="A323" s="723">
        <v>317</v>
      </c>
      <c r="B323" s="723">
        <v>9919509</v>
      </c>
      <c r="C323" s="723" t="s">
        <v>2487</v>
      </c>
      <c r="D323" s="723">
        <v>95</v>
      </c>
      <c r="E323" s="723" t="s">
        <v>49</v>
      </c>
      <c r="F323" s="723" t="s">
        <v>107</v>
      </c>
      <c r="G323" s="723" t="s">
        <v>108</v>
      </c>
      <c r="H323" s="723" t="s">
        <v>2043</v>
      </c>
      <c r="I323" s="723"/>
      <c r="J323" s="723"/>
      <c r="K323" s="723" t="s">
        <v>2044</v>
      </c>
      <c r="L323" s="723">
        <v>101</v>
      </c>
      <c r="M323" s="724" t="s">
        <v>955</v>
      </c>
      <c r="N323" s="746"/>
      <c r="O323" s="746"/>
      <c r="P323" s="746"/>
      <c r="Q323" s="746"/>
      <c r="R323" s="521"/>
      <c r="S323" s="521"/>
    </row>
    <row r="324" spans="1:19">
      <c r="A324" s="721">
        <v>318</v>
      </c>
      <c r="B324" s="721">
        <v>9919512</v>
      </c>
      <c r="C324" s="721" t="s">
        <v>2488</v>
      </c>
      <c r="D324" s="721">
        <v>95</v>
      </c>
      <c r="E324" s="721" t="s">
        <v>49</v>
      </c>
      <c r="F324" s="721" t="s">
        <v>107</v>
      </c>
      <c r="G324" s="721" t="s">
        <v>108</v>
      </c>
      <c r="H324" s="721" t="s">
        <v>2043</v>
      </c>
      <c r="I324" s="721"/>
      <c r="J324" s="721"/>
      <c r="K324" s="721" t="s">
        <v>2044</v>
      </c>
      <c r="L324" s="721">
        <v>51991464</v>
      </c>
      <c r="M324" s="722" t="s">
        <v>955</v>
      </c>
      <c r="N324" s="746"/>
      <c r="O324" s="746"/>
      <c r="P324" s="746"/>
      <c r="Q324" s="746"/>
      <c r="R324" s="521"/>
      <c r="S324" s="521"/>
    </row>
    <row r="325" spans="1:19">
      <c r="A325" s="723">
        <v>319</v>
      </c>
      <c r="B325" s="723">
        <v>9919513</v>
      </c>
      <c r="C325" s="723" t="s">
        <v>2489</v>
      </c>
      <c r="D325" s="723">
        <v>95</v>
      </c>
      <c r="E325" s="723" t="s">
        <v>49</v>
      </c>
      <c r="F325" s="723" t="s">
        <v>107</v>
      </c>
      <c r="G325" s="723" t="s">
        <v>108</v>
      </c>
      <c r="H325" s="723" t="s">
        <v>2043</v>
      </c>
      <c r="I325" s="723"/>
      <c r="J325" s="723"/>
      <c r="K325" s="723" t="s">
        <v>2044</v>
      </c>
      <c r="L325" s="723">
        <v>101</v>
      </c>
      <c r="M325" s="724" t="s">
        <v>955</v>
      </c>
      <c r="N325" s="746"/>
      <c r="O325" s="746"/>
      <c r="P325" s="746"/>
      <c r="Q325" s="746"/>
      <c r="R325" s="521"/>
      <c r="S325" s="521"/>
    </row>
    <row r="326" spans="1:19">
      <c r="A326" s="721">
        <v>320</v>
      </c>
      <c r="B326" s="721">
        <v>9919517</v>
      </c>
      <c r="C326" s="721" t="s">
        <v>2490</v>
      </c>
      <c r="D326" s="721">
        <v>95</v>
      </c>
      <c r="E326" s="721" t="s">
        <v>49</v>
      </c>
      <c r="F326" s="721" t="s">
        <v>107</v>
      </c>
      <c r="G326" s="721" t="s">
        <v>108</v>
      </c>
      <c r="H326" s="721" t="s">
        <v>2043</v>
      </c>
      <c r="I326" s="721"/>
      <c r="J326" s="721"/>
      <c r="K326" s="721" t="s">
        <v>2044</v>
      </c>
      <c r="L326" s="721">
        <v>79577294</v>
      </c>
      <c r="M326" s="722" t="s">
        <v>955</v>
      </c>
      <c r="N326" s="746"/>
      <c r="O326" s="746"/>
      <c r="P326" s="746"/>
      <c r="Q326" s="746"/>
      <c r="R326" s="521"/>
      <c r="S326" s="521"/>
    </row>
    <row r="327" spans="1:19">
      <c r="A327" s="723">
        <v>321</v>
      </c>
      <c r="B327" s="723">
        <v>9919519</v>
      </c>
      <c r="C327" s="723" t="s">
        <v>2491</v>
      </c>
      <c r="D327" s="723">
        <v>95</v>
      </c>
      <c r="E327" s="723" t="s">
        <v>49</v>
      </c>
      <c r="F327" s="723" t="s">
        <v>107</v>
      </c>
      <c r="G327" s="723" t="s">
        <v>108</v>
      </c>
      <c r="H327" s="723" t="s">
        <v>2043</v>
      </c>
      <c r="I327" s="723"/>
      <c r="J327" s="723"/>
      <c r="K327" s="723" t="s">
        <v>2044</v>
      </c>
      <c r="L327" s="723">
        <v>101</v>
      </c>
      <c r="M327" s="724" t="s">
        <v>955</v>
      </c>
      <c r="N327" s="746"/>
      <c r="O327" s="746"/>
      <c r="P327" s="746"/>
      <c r="Q327" s="746"/>
      <c r="R327" s="521"/>
      <c r="S327" s="521"/>
    </row>
    <row r="328" spans="1:19">
      <c r="A328" s="721">
        <v>322</v>
      </c>
      <c r="B328" s="721">
        <v>9919522</v>
      </c>
      <c r="C328" s="721" t="s">
        <v>2492</v>
      </c>
      <c r="D328" s="721">
        <v>95</v>
      </c>
      <c r="E328" s="721" t="s">
        <v>49</v>
      </c>
      <c r="F328" s="721" t="s">
        <v>107</v>
      </c>
      <c r="G328" s="721" t="s">
        <v>108</v>
      </c>
      <c r="H328" s="721" t="s">
        <v>2043</v>
      </c>
      <c r="I328" s="721"/>
      <c r="J328" s="721"/>
      <c r="K328" s="721" t="s">
        <v>2044</v>
      </c>
      <c r="L328" s="721">
        <v>79506989</v>
      </c>
      <c r="M328" s="722" t="s">
        <v>955</v>
      </c>
      <c r="N328" s="746"/>
      <c r="O328" s="746"/>
      <c r="P328" s="746"/>
      <c r="Q328" s="746"/>
      <c r="R328" s="521"/>
      <c r="S328" s="521"/>
    </row>
    <row r="329" spans="1:19">
      <c r="A329" s="723">
        <v>323</v>
      </c>
      <c r="B329" s="723">
        <v>9919524</v>
      </c>
      <c r="C329" s="723" t="s">
        <v>2493</v>
      </c>
      <c r="D329" s="723">
        <v>95</v>
      </c>
      <c r="E329" s="723" t="s">
        <v>49</v>
      </c>
      <c r="F329" s="723" t="s">
        <v>107</v>
      </c>
      <c r="G329" s="723" t="s">
        <v>108</v>
      </c>
      <c r="H329" s="723" t="s">
        <v>2043</v>
      </c>
      <c r="I329" s="723"/>
      <c r="J329" s="723"/>
      <c r="K329" s="723" t="s">
        <v>2044</v>
      </c>
      <c r="L329" s="723">
        <v>101</v>
      </c>
      <c r="M329" s="724" t="s">
        <v>955</v>
      </c>
      <c r="N329" s="746"/>
      <c r="O329" s="746"/>
      <c r="P329" s="746"/>
      <c r="Q329" s="746"/>
      <c r="R329" s="521"/>
      <c r="S329" s="521"/>
    </row>
    <row r="330" spans="1:19">
      <c r="A330" s="721">
        <v>324</v>
      </c>
      <c r="B330" s="721">
        <v>9919526</v>
      </c>
      <c r="C330" s="721" t="s">
        <v>2494</v>
      </c>
      <c r="D330" s="721">
        <v>95</v>
      </c>
      <c r="E330" s="721" t="s">
        <v>49</v>
      </c>
      <c r="F330" s="721" t="s">
        <v>107</v>
      </c>
      <c r="G330" s="721" t="s">
        <v>108</v>
      </c>
      <c r="H330" s="721" t="s">
        <v>2043</v>
      </c>
      <c r="I330" s="721"/>
      <c r="J330" s="721"/>
      <c r="K330" s="721" t="s">
        <v>2044</v>
      </c>
      <c r="L330" s="721">
        <v>79639069</v>
      </c>
      <c r="M330" s="722" t="s">
        <v>955</v>
      </c>
      <c r="N330" s="746"/>
      <c r="O330" s="746"/>
      <c r="P330" s="746"/>
      <c r="Q330" s="746"/>
      <c r="R330" s="521"/>
      <c r="S330" s="521"/>
    </row>
    <row r="331" spans="1:19">
      <c r="A331" s="723">
        <v>325</v>
      </c>
      <c r="B331" s="723">
        <v>9919534</v>
      </c>
      <c r="C331" s="723" t="s">
        <v>2495</v>
      </c>
      <c r="D331" s="723">
        <v>95</v>
      </c>
      <c r="E331" s="723" t="s">
        <v>49</v>
      </c>
      <c r="F331" s="723" t="s">
        <v>107</v>
      </c>
      <c r="G331" s="723" t="s">
        <v>108</v>
      </c>
      <c r="H331" s="723" t="s">
        <v>2043</v>
      </c>
      <c r="I331" s="723"/>
      <c r="J331" s="723"/>
      <c r="K331" s="723" t="s">
        <v>2044</v>
      </c>
      <c r="L331" s="723">
        <v>101</v>
      </c>
      <c r="M331" s="724" t="s">
        <v>955</v>
      </c>
      <c r="N331" s="746"/>
      <c r="O331" s="746"/>
      <c r="P331" s="746"/>
      <c r="Q331" s="746"/>
      <c r="R331" s="521"/>
      <c r="S331" s="521"/>
    </row>
    <row r="332" spans="1:19">
      <c r="A332" s="721">
        <v>326</v>
      </c>
      <c r="B332" s="721">
        <v>9919538</v>
      </c>
      <c r="C332" s="721" t="s">
        <v>2496</v>
      </c>
      <c r="D332" s="721">
        <v>95</v>
      </c>
      <c r="E332" s="721" t="s">
        <v>49</v>
      </c>
      <c r="F332" s="721" t="s">
        <v>107</v>
      </c>
      <c r="G332" s="721" t="s">
        <v>108</v>
      </c>
      <c r="H332" s="721" t="s">
        <v>2043</v>
      </c>
      <c r="I332" s="721"/>
      <c r="J332" s="721"/>
      <c r="K332" s="721" t="s">
        <v>2044</v>
      </c>
      <c r="L332" s="721">
        <v>101</v>
      </c>
      <c r="M332" s="722" t="s">
        <v>955</v>
      </c>
      <c r="N332" s="746"/>
      <c r="O332" s="746"/>
      <c r="P332" s="746"/>
      <c r="Q332" s="746"/>
      <c r="R332" s="521"/>
      <c r="S332" s="521"/>
    </row>
    <row r="333" spans="1:19">
      <c r="A333" s="723">
        <v>327</v>
      </c>
      <c r="B333" s="723">
        <v>9929501</v>
      </c>
      <c r="C333" s="723" t="s">
        <v>2497</v>
      </c>
      <c r="D333" s="723">
        <v>95</v>
      </c>
      <c r="E333" s="723" t="s">
        <v>49</v>
      </c>
      <c r="F333" s="723" t="s">
        <v>107</v>
      </c>
      <c r="G333" s="723" t="s">
        <v>108</v>
      </c>
      <c r="H333" s="723" t="s">
        <v>2043</v>
      </c>
      <c r="I333" s="723"/>
      <c r="J333" s="723"/>
      <c r="K333" s="723" t="s">
        <v>2044</v>
      </c>
      <c r="L333" s="723">
        <v>79429610</v>
      </c>
      <c r="M333" s="724" t="s">
        <v>955</v>
      </c>
      <c r="N333" s="746"/>
      <c r="O333" s="746"/>
      <c r="P333" s="746"/>
      <c r="Q333" s="746"/>
      <c r="R333" s="521"/>
      <c r="S333" s="521"/>
    </row>
    <row r="334" spans="1:19">
      <c r="A334" s="721">
        <v>328</v>
      </c>
      <c r="B334" s="721">
        <v>9929504</v>
      </c>
      <c r="C334" s="721" t="s">
        <v>2498</v>
      </c>
      <c r="D334" s="721">
        <v>95</v>
      </c>
      <c r="E334" s="721" t="s">
        <v>49</v>
      </c>
      <c r="F334" s="721" t="s">
        <v>107</v>
      </c>
      <c r="G334" s="721" t="s">
        <v>108</v>
      </c>
      <c r="H334" s="721" t="s">
        <v>2043</v>
      </c>
      <c r="I334" s="721"/>
      <c r="J334" s="721"/>
      <c r="K334" s="721" t="s">
        <v>2044</v>
      </c>
      <c r="L334" s="721">
        <v>79960571</v>
      </c>
      <c r="M334" s="722" t="s">
        <v>955</v>
      </c>
      <c r="N334" s="746"/>
      <c r="O334" s="746"/>
      <c r="P334" s="746"/>
      <c r="Q334" s="746"/>
      <c r="R334" s="521"/>
      <c r="S334" s="521"/>
    </row>
    <row r="335" spans="1:19">
      <c r="A335" s="723">
        <v>329</v>
      </c>
      <c r="B335" s="723">
        <v>9929506</v>
      </c>
      <c r="C335" s="723" t="s">
        <v>2499</v>
      </c>
      <c r="D335" s="723">
        <v>95</v>
      </c>
      <c r="E335" s="723" t="s">
        <v>49</v>
      </c>
      <c r="F335" s="723" t="s">
        <v>107</v>
      </c>
      <c r="G335" s="723" t="s">
        <v>108</v>
      </c>
      <c r="H335" s="723" t="s">
        <v>2043</v>
      </c>
      <c r="I335" s="723"/>
      <c r="J335" s="723"/>
      <c r="K335" s="723" t="s">
        <v>2044</v>
      </c>
      <c r="L335" s="723">
        <v>80492511</v>
      </c>
      <c r="M335" s="724" t="s">
        <v>955</v>
      </c>
      <c r="N335" s="746"/>
      <c r="O335" s="746"/>
      <c r="P335" s="746"/>
      <c r="Q335" s="746"/>
      <c r="R335" s="521"/>
      <c r="S335" s="521"/>
    </row>
    <row r="336" spans="1:19">
      <c r="A336" s="721">
        <v>330</v>
      </c>
      <c r="B336" s="721">
        <v>9929510</v>
      </c>
      <c r="C336" s="721" t="s">
        <v>2500</v>
      </c>
      <c r="D336" s="721">
        <v>95</v>
      </c>
      <c r="E336" s="721" t="s">
        <v>49</v>
      </c>
      <c r="F336" s="721" t="s">
        <v>107</v>
      </c>
      <c r="G336" s="721" t="s">
        <v>108</v>
      </c>
      <c r="H336" s="721" t="s">
        <v>2043</v>
      </c>
      <c r="I336" s="721"/>
      <c r="J336" s="721"/>
      <c r="K336" s="721" t="s">
        <v>2044</v>
      </c>
      <c r="L336" s="721">
        <v>21240486</v>
      </c>
      <c r="M336" s="722" t="s">
        <v>955</v>
      </c>
      <c r="N336" s="746"/>
      <c r="O336" s="746"/>
      <c r="P336" s="746"/>
      <c r="Q336" s="746"/>
      <c r="R336" s="521"/>
      <c r="S336" s="521"/>
    </row>
    <row r="337" spans="1:19">
      <c r="A337" s="723">
        <v>331</v>
      </c>
      <c r="B337" s="723">
        <v>9929515</v>
      </c>
      <c r="C337" s="723" t="s">
        <v>2501</v>
      </c>
      <c r="D337" s="723">
        <v>95</v>
      </c>
      <c r="E337" s="723" t="s">
        <v>49</v>
      </c>
      <c r="F337" s="723" t="s">
        <v>107</v>
      </c>
      <c r="G337" s="723" t="s">
        <v>108</v>
      </c>
      <c r="H337" s="723" t="s">
        <v>2043</v>
      </c>
      <c r="I337" s="723"/>
      <c r="J337" s="723"/>
      <c r="K337" s="723" t="s">
        <v>2044</v>
      </c>
      <c r="L337" s="723">
        <v>39746074</v>
      </c>
      <c r="M337" s="724" t="s">
        <v>955</v>
      </c>
      <c r="N337" s="746"/>
      <c r="O337" s="746"/>
      <c r="P337" s="746"/>
      <c r="Q337" s="746"/>
      <c r="R337" s="521"/>
      <c r="S337" s="521"/>
    </row>
    <row r="338" spans="1:19">
      <c r="A338" s="721">
        <v>332</v>
      </c>
      <c r="B338" s="721">
        <v>9929520</v>
      </c>
      <c r="C338" s="721" t="s">
        <v>2502</v>
      </c>
      <c r="D338" s="721">
        <v>95</v>
      </c>
      <c r="E338" s="721" t="s">
        <v>49</v>
      </c>
      <c r="F338" s="721" t="s">
        <v>107</v>
      </c>
      <c r="G338" s="721" t="s">
        <v>108</v>
      </c>
      <c r="H338" s="721" t="s">
        <v>2043</v>
      </c>
      <c r="I338" s="721"/>
      <c r="J338" s="721"/>
      <c r="K338" s="721" t="s">
        <v>2044</v>
      </c>
      <c r="L338" s="721">
        <v>6773083</v>
      </c>
      <c r="M338" s="722" t="s">
        <v>955</v>
      </c>
      <c r="N338" s="746"/>
      <c r="O338" s="746"/>
      <c r="P338" s="746"/>
      <c r="Q338" s="746"/>
      <c r="R338" s="521"/>
      <c r="S338" s="521"/>
    </row>
    <row r="339" spans="1:19">
      <c r="A339" s="723">
        <v>333</v>
      </c>
      <c r="B339" s="723">
        <v>9929521</v>
      </c>
      <c r="C339" s="723" t="s">
        <v>2503</v>
      </c>
      <c r="D339" s="723">
        <v>95</v>
      </c>
      <c r="E339" s="723" t="s">
        <v>49</v>
      </c>
      <c r="F339" s="723" t="s">
        <v>107</v>
      </c>
      <c r="G339" s="723" t="s">
        <v>108</v>
      </c>
      <c r="H339" s="723" t="s">
        <v>2043</v>
      </c>
      <c r="I339" s="723"/>
      <c r="J339" s="723"/>
      <c r="K339" s="723" t="s">
        <v>2044</v>
      </c>
      <c r="L339" s="723">
        <v>79398430</v>
      </c>
      <c r="M339" s="724" t="s">
        <v>955</v>
      </c>
      <c r="N339" s="746"/>
      <c r="O339" s="746"/>
      <c r="P339" s="746"/>
      <c r="Q339" s="746"/>
      <c r="R339" s="521"/>
      <c r="S339" s="521"/>
    </row>
    <row r="340" spans="1:19">
      <c r="A340" s="721">
        <v>334</v>
      </c>
      <c r="B340" s="721">
        <v>9929522</v>
      </c>
      <c r="C340" s="721" t="s">
        <v>2504</v>
      </c>
      <c r="D340" s="721">
        <v>95</v>
      </c>
      <c r="E340" s="721" t="s">
        <v>49</v>
      </c>
      <c r="F340" s="721" t="s">
        <v>107</v>
      </c>
      <c r="G340" s="721" t="s">
        <v>108</v>
      </c>
      <c r="H340" s="721" t="s">
        <v>2043</v>
      </c>
      <c r="I340" s="721"/>
      <c r="J340" s="721"/>
      <c r="K340" s="721" t="s">
        <v>2044</v>
      </c>
      <c r="L340" s="721">
        <v>79570565</v>
      </c>
      <c r="M340" s="722" t="s">
        <v>955</v>
      </c>
      <c r="N340" s="746"/>
      <c r="O340" s="746"/>
      <c r="P340" s="746"/>
      <c r="Q340" s="746"/>
      <c r="R340" s="521"/>
      <c r="S340" s="521"/>
    </row>
    <row r="341" spans="1:19">
      <c r="A341" s="723">
        <v>335</v>
      </c>
      <c r="B341" s="723">
        <v>9929523</v>
      </c>
      <c r="C341" s="723" t="s">
        <v>2505</v>
      </c>
      <c r="D341" s="723">
        <v>95</v>
      </c>
      <c r="E341" s="723" t="s">
        <v>49</v>
      </c>
      <c r="F341" s="723" t="s">
        <v>107</v>
      </c>
      <c r="G341" s="723" t="s">
        <v>108</v>
      </c>
      <c r="H341" s="723" t="s">
        <v>2043</v>
      </c>
      <c r="I341" s="723"/>
      <c r="J341" s="723"/>
      <c r="K341" s="723" t="s">
        <v>2044</v>
      </c>
      <c r="L341" s="723">
        <v>79566465</v>
      </c>
      <c r="M341" s="724" t="s">
        <v>955</v>
      </c>
      <c r="N341" s="746"/>
      <c r="O341" s="746"/>
      <c r="P341" s="746"/>
      <c r="Q341" s="746"/>
      <c r="R341" s="521"/>
      <c r="S341" s="521"/>
    </row>
    <row r="342" spans="1:19">
      <c r="A342" s="721">
        <v>336</v>
      </c>
      <c r="B342" s="721">
        <v>9929527</v>
      </c>
      <c r="C342" s="721" t="s">
        <v>2506</v>
      </c>
      <c r="D342" s="721">
        <v>95</v>
      </c>
      <c r="E342" s="721" t="s">
        <v>49</v>
      </c>
      <c r="F342" s="721" t="s">
        <v>107</v>
      </c>
      <c r="G342" s="721" t="s">
        <v>108</v>
      </c>
      <c r="H342" s="721" t="s">
        <v>2043</v>
      </c>
      <c r="I342" s="721"/>
      <c r="J342" s="721"/>
      <c r="K342" s="721" t="s">
        <v>2044</v>
      </c>
      <c r="L342" s="721">
        <v>4179029</v>
      </c>
      <c r="M342" s="722" t="s">
        <v>955</v>
      </c>
      <c r="N342" s="746"/>
      <c r="O342" s="746"/>
      <c r="P342" s="746"/>
      <c r="Q342" s="746"/>
      <c r="R342" s="521"/>
      <c r="S342" s="521"/>
    </row>
    <row r="343" spans="1:19">
      <c r="A343" s="723">
        <v>337</v>
      </c>
      <c r="B343" s="723">
        <v>9929528</v>
      </c>
      <c r="C343" s="723" t="s">
        <v>2507</v>
      </c>
      <c r="D343" s="723">
        <v>95</v>
      </c>
      <c r="E343" s="723" t="s">
        <v>49</v>
      </c>
      <c r="F343" s="723" t="s">
        <v>107</v>
      </c>
      <c r="G343" s="723" t="s">
        <v>108</v>
      </c>
      <c r="H343" s="723" t="s">
        <v>2043</v>
      </c>
      <c r="I343" s="723"/>
      <c r="J343" s="723"/>
      <c r="K343" s="723" t="s">
        <v>2044</v>
      </c>
      <c r="L343" s="723">
        <v>79670100</v>
      </c>
      <c r="M343" s="724" t="s">
        <v>955</v>
      </c>
      <c r="N343" s="746"/>
      <c r="O343" s="746"/>
      <c r="P343" s="746"/>
      <c r="Q343" s="746"/>
      <c r="R343" s="521"/>
      <c r="S343" s="521"/>
    </row>
    <row r="344" spans="1:19">
      <c r="A344" s="721">
        <v>338</v>
      </c>
      <c r="B344" s="721">
        <v>9929530</v>
      </c>
      <c r="C344" s="721" t="s">
        <v>2508</v>
      </c>
      <c r="D344" s="721">
        <v>95</v>
      </c>
      <c r="E344" s="721" t="s">
        <v>49</v>
      </c>
      <c r="F344" s="721" t="s">
        <v>107</v>
      </c>
      <c r="G344" s="721" t="s">
        <v>108</v>
      </c>
      <c r="H344" s="721" t="s">
        <v>2043</v>
      </c>
      <c r="I344" s="721"/>
      <c r="J344" s="721"/>
      <c r="K344" s="721" t="s">
        <v>2044</v>
      </c>
      <c r="L344" s="721">
        <v>79694031</v>
      </c>
      <c r="M344" s="722" t="s">
        <v>955</v>
      </c>
      <c r="N344" s="746"/>
      <c r="O344" s="746"/>
      <c r="P344" s="746"/>
      <c r="Q344" s="746"/>
      <c r="R344" s="521"/>
      <c r="S344" s="521"/>
    </row>
    <row r="345" spans="1:19">
      <c r="A345" s="723">
        <v>339</v>
      </c>
      <c r="B345" s="723">
        <v>9929534</v>
      </c>
      <c r="C345" s="723" t="s">
        <v>2509</v>
      </c>
      <c r="D345" s="723">
        <v>95</v>
      </c>
      <c r="E345" s="723" t="s">
        <v>49</v>
      </c>
      <c r="F345" s="723" t="s">
        <v>107</v>
      </c>
      <c r="G345" s="723" t="s">
        <v>108</v>
      </c>
      <c r="H345" s="723" t="s">
        <v>2043</v>
      </c>
      <c r="I345" s="723"/>
      <c r="J345" s="723"/>
      <c r="K345" s="723" t="s">
        <v>2044</v>
      </c>
      <c r="L345" s="723">
        <v>17312124</v>
      </c>
      <c r="M345" s="724" t="s">
        <v>955</v>
      </c>
      <c r="N345" s="746"/>
      <c r="O345" s="746"/>
      <c r="P345" s="746"/>
      <c r="Q345" s="746"/>
      <c r="R345" s="521"/>
      <c r="S345" s="521"/>
    </row>
    <row r="346" spans="1:19">
      <c r="A346" s="721">
        <v>340</v>
      </c>
      <c r="B346" s="721">
        <v>9929535</v>
      </c>
      <c r="C346" s="721" t="s">
        <v>2510</v>
      </c>
      <c r="D346" s="721">
        <v>95</v>
      </c>
      <c r="E346" s="721" t="s">
        <v>49</v>
      </c>
      <c r="F346" s="721" t="s">
        <v>107</v>
      </c>
      <c r="G346" s="721" t="s">
        <v>108</v>
      </c>
      <c r="H346" s="721" t="s">
        <v>2043</v>
      </c>
      <c r="I346" s="721"/>
      <c r="J346" s="721"/>
      <c r="K346" s="721" t="s">
        <v>2044</v>
      </c>
      <c r="L346" s="721">
        <v>51993334</v>
      </c>
      <c r="M346" s="722" t="s">
        <v>955</v>
      </c>
      <c r="N346" s="746"/>
      <c r="O346" s="746"/>
      <c r="P346" s="746"/>
      <c r="Q346" s="746"/>
      <c r="R346" s="521"/>
      <c r="S346" s="521"/>
    </row>
    <row r="347" spans="1:19">
      <c r="A347" s="723">
        <v>341</v>
      </c>
      <c r="B347" s="723">
        <v>9929536</v>
      </c>
      <c r="C347" s="723" t="s">
        <v>2493</v>
      </c>
      <c r="D347" s="723">
        <v>95</v>
      </c>
      <c r="E347" s="723" t="s">
        <v>49</v>
      </c>
      <c r="F347" s="723" t="s">
        <v>107</v>
      </c>
      <c r="G347" s="723" t="s">
        <v>108</v>
      </c>
      <c r="H347" s="723" t="s">
        <v>2043</v>
      </c>
      <c r="I347" s="723"/>
      <c r="J347" s="723"/>
      <c r="K347" s="723" t="s">
        <v>2044</v>
      </c>
      <c r="L347" s="723">
        <v>98380998</v>
      </c>
      <c r="M347" s="724" t="s">
        <v>955</v>
      </c>
      <c r="N347" s="746"/>
      <c r="O347" s="746"/>
      <c r="P347" s="746"/>
      <c r="Q347" s="746"/>
      <c r="R347" s="521"/>
      <c r="S347" s="521"/>
    </row>
    <row r="348" spans="1:19">
      <c r="A348" s="721">
        <v>342</v>
      </c>
      <c r="B348" s="721">
        <v>9929537</v>
      </c>
      <c r="C348" s="721" t="s">
        <v>2511</v>
      </c>
      <c r="D348" s="721">
        <v>95</v>
      </c>
      <c r="E348" s="721" t="s">
        <v>49</v>
      </c>
      <c r="F348" s="721" t="s">
        <v>107</v>
      </c>
      <c r="G348" s="721" t="s">
        <v>108</v>
      </c>
      <c r="H348" s="721" t="s">
        <v>2043</v>
      </c>
      <c r="I348" s="721"/>
      <c r="J348" s="721"/>
      <c r="K348" s="721" t="s">
        <v>2044</v>
      </c>
      <c r="L348" s="721">
        <v>79542746</v>
      </c>
      <c r="M348" s="722" t="s">
        <v>955</v>
      </c>
      <c r="N348" s="746"/>
      <c r="O348" s="746"/>
      <c r="P348" s="746"/>
      <c r="Q348" s="746"/>
      <c r="R348" s="521"/>
      <c r="S348" s="521"/>
    </row>
    <row r="349" spans="1:19">
      <c r="A349" s="723">
        <v>343</v>
      </c>
      <c r="B349" s="723">
        <v>9929540</v>
      </c>
      <c r="C349" s="723" t="s">
        <v>2512</v>
      </c>
      <c r="D349" s="723">
        <v>95</v>
      </c>
      <c r="E349" s="723" t="s">
        <v>49</v>
      </c>
      <c r="F349" s="723" t="s">
        <v>107</v>
      </c>
      <c r="G349" s="723" t="s">
        <v>108</v>
      </c>
      <c r="H349" s="723" t="s">
        <v>2043</v>
      </c>
      <c r="I349" s="723"/>
      <c r="J349" s="723"/>
      <c r="K349" s="723" t="s">
        <v>2044</v>
      </c>
      <c r="L349" s="723">
        <v>101</v>
      </c>
      <c r="M349" s="724" t="s">
        <v>955</v>
      </c>
      <c r="N349" s="746"/>
      <c r="O349" s="746"/>
      <c r="P349" s="746"/>
      <c r="Q349" s="746"/>
      <c r="R349" s="521"/>
      <c r="S349" s="521"/>
    </row>
    <row r="350" spans="1:19">
      <c r="A350" s="721">
        <v>344</v>
      </c>
      <c r="B350" s="721">
        <v>9929541</v>
      </c>
      <c r="C350" s="721" t="s">
        <v>2513</v>
      </c>
      <c r="D350" s="721">
        <v>95</v>
      </c>
      <c r="E350" s="721" t="s">
        <v>49</v>
      </c>
      <c r="F350" s="721" t="s">
        <v>107</v>
      </c>
      <c r="G350" s="721" t="s">
        <v>108</v>
      </c>
      <c r="H350" s="721" t="s">
        <v>2043</v>
      </c>
      <c r="I350" s="721"/>
      <c r="J350" s="721"/>
      <c r="K350" s="721" t="s">
        <v>2044</v>
      </c>
      <c r="L350" s="721">
        <v>39541648</v>
      </c>
      <c r="M350" s="722" t="s">
        <v>955</v>
      </c>
      <c r="N350" s="746"/>
      <c r="O350" s="746"/>
      <c r="P350" s="746"/>
      <c r="Q350" s="746"/>
      <c r="R350" s="521"/>
      <c r="S350" s="521"/>
    </row>
    <row r="351" spans="1:19">
      <c r="A351" s="723">
        <v>345</v>
      </c>
      <c r="B351" s="723">
        <v>9929542</v>
      </c>
      <c r="C351" s="723" t="s">
        <v>2514</v>
      </c>
      <c r="D351" s="723">
        <v>95</v>
      </c>
      <c r="E351" s="723" t="s">
        <v>49</v>
      </c>
      <c r="F351" s="723" t="s">
        <v>107</v>
      </c>
      <c r="G351" s="723" t="s">
        <v>108</v>
      </c>
      <c r="H351" s="723" t="s">
        <v>2043</v>
      </c>
      <c r="I351" s="723"/>
      <c r="J351" s="723"/>
      <c r="K351" s="723" t="s">
        <v>2044</v>
      </c>
      <c r="L351" s="723">
        <v>79577612</v>
      </c>
      <c r="M351" s="724" t="s">
        <v>955</v>
      </c>
      <c r="N351" s="746"/>
      <c r="O351" s="746"/>
      <c r="P351" s="746"/>
      <c r="Q351" s="746"/>
      <c r="R351" s="521"/>
      <c r="S351" s="521"/>
    </row>
    <row r="352" spans="1:19">
      <c r="A352" s="721">
        <v>346</v>
      </c>
      <c r="B352" s="721">
        <v>9969502</v>
      </c>
      <c r="C352" s="721" t="s">
        <v>2515</v>
      </c>
      <c r="D352" s="721">
        <v>95</v>
      </c>
      <c r="E352" s="721" t="s">
        <v>49</v>
      </c>
      <c r="F352" s="721" t="s">
        <v>107</v>
      </c>
      <c r="G352" s="721" t="s">
        <v>108</v>
      </c>
      <c r="H352" s="721" t="s">
        <v>2043</v>
      </c>
      <c r="I352" s="721"/>
      <c r="J352" s="721"/>
      <c r="K352" s="721" t="s">
        <v>2044</v>
      </c>
      <c r="L352" s="721">
        <v>79275935</v>
      </c>
      <c r="M352" s="722" t="s">
        <v>955</v>
      </c>
      <c r="N352" s="746"/>
      <c r="O352" s="746"/>
      <c r="P352" s="746"/>
      <c r="Q352" s="746"/>
      <c r="R352" s="521"/>
      <c r="S352" s="521"/>
    </row>
    <row r="353" spans="1:19">
      <c r="A353" s="723">
        <v>347</v>
      </c>
      <c r="B353" s="723">
        <v>9969506</v>
      </c>
      <c r="C353" s="723" t="s">
        <v>2516</v>
      </c>
      <c r="D353" s="723">
        <v>95</v>
      </c>
      <c r="E353" s="723" t="s">
        <v>49</v>
      </c>
      <c r="F353" s="723" t="s">
        <v>107</v>
      </c>
      <c r="G353" s="723" t="s">
        <v>108</v>
      </c>
      <c r="H353" s="723" t="s">
        <v>2043</v>
      </c>
      <c r="I353" s="723"/>
      <c r="J353" s="723"/>
      <c r="K353" s="723" t="s">
        <v>2044</v>
      </c>
      <c r="L353" s="723">
        <v>79599865</v>
      </c>
      <c r="M353" s="724" t="s">
        <v>955</v>
      </c>
      <c r="N353" s="746"/>
      <c r="O353" s="746"/>
      <c r="P353" s="746"/>
      <c r="Q353" s="746"/>
      <c r="R353" s="521"/>
      <c r="S353" s="521"/>
    </row>
    <row r="354" spans="1:19">
      <c r="A354" s="721">
        <v>348</v>
      </c>
      <c r="B354" s="721">
        <v>9969507</v>
      </c>
      <c r="C354" s="721" t="s">
        <v>2517</v>
      </c>
      <c r="D354" s="721">
        <v>95</v>
      </c>
      <c r="E354" s="721" t="s">
        <v>49</v>
      </c>
      <c r="F354" s="721" t="s">
        <v>107</v>
      </c>
      <c r="G354" s="721" t="s">
        <v>108</v>
      </c>
      <c r="H354" s="721" t="s">
        <v>2043</v>
      </c>
      <c r="I354" s="721"/>
      <c r="J354" s="721"/>
      <c r="K354" s="721" t="s">
        <v>2044</v>
      </c>
      <c r="L354" s="721">
        <v>11251653</v>
      </c>
      <c r="M354" s="722" t="s">
        <v>955</v>
      </c>
      <c r="N354" s="746"/>
      <c r="O354" s="746"/>
      <c r="P354" s="746"/>
      <c r="Q354" s="746"/>
      <c r="R354" s="521"/>
      <c r="S354" s="521"/>
    </row>
    <row r="355" spans="1:19">
      <c r="A355" s="723">
        <v>349</v>
      </c>
      <c r="B355" s="723">
        <v>9969510</v>
      </c>
      <c r="C355" s="723" t="s">
        <v>2518</v>
      </c>
      <c r="D355" s="723">
        <v>95</v>
      </c>
      <c r="E355" s="723" t="s">
        <v>49</v>
      </c>
      <c r="F355" s="723" t="s">
        <v>107</v>
      </c>
      <c r="G355" s="723" t="s">
        <v>108</v>
      </c>
      <c r="H355" s="723" t="s">
        <v>2043</v>
      </c>
      <c r="I355" s="723"/>
      <c r="J355" s="723"/>
      <c r="K355" s="723" t="s">
        <v>2044</v>
      </c>
      <c r="L355" s="723">
        <v>79548212</v>
      </c>
      <c r="M355" s="724" t="s">
        <v>955</v>
      </c>
      <c r="N355" s="746"/>
      <c r="O355" s="746"/>
      <c r="P355" s="746"/>
      <c r="Q355" s="746"/>
      <c r="R355" s="521"/>
      <c r="S355" s="521"/>
    </row>
    <row r="356" spans="1:19">
      <c r="A356" s="721">
        <v>350</v>
      </c>
      <c r="B356" s="721">
        <v>9969511</v>
      </c>
      <c r="C356" s="721" t="s">
        <v>2519</v>
      </c>
      <c r="D356" s="721">
        <v>95</v>
      </c>
      <c r="E356" s="721" t="s">
        <v>49</v>
      </c>
      <c r="F356" s="721" t="s">
        <v>107</v>
      </c>
      <c r="G356" s="721" t="s">
        <v>108</v>
      </c>
      <c r="H356" s="721" t="s">
        <v>2043</v>
      </c>
      <c r="I356" s="721"/>
      <c r="J356" s="721"/>
      <c r="K356" s="721" t="s">
        <v>2044</v>
      </c>
      <c r="L356" s="721">
        <v>79625941</v>
      </c>
      <c r="M356" s="722" t="s">
        <v>955</v>
      </c>
      <c r="N356" s="746"/>
      <c r="O356" s="746"/>
      <c r="P356" s="746"/>
      <c r="Q356" s="746"/>
      <c r="R356" s="521"/>
      <c r="S356" s="521"/>
    </row>
    <row r="357" spans="1:19">
      <c r="A357" s="723">
        <v>351</v>
      </c>
      <c r="B357" s="723">
        <v>9969513</v>
      </c>
      <c r="C357" s="723" t="s">
        <v>2520</v>
      </c>
      <c r="D357" s="723">
        <v>95</v>
      </c>
      <c r="E357" s="723" t="s">
        <v>49</v>
      </c>
      <c r="F357" s="723" t="s">
        <v>107</v>
      </c>
      <c r="G357" s="723" t="s">
        <v>108</v>
      </c>
      <c r="H357" s="723" t="s">
        <v>2043</v>
      </c>
      <c r="I357" s="723"/>
      <c r="J357" s="723"/>
      <c r="K357" s="723" t="s">
        <v>2044</v>
      </c>
      <c r="L357" s="723">
        <v>79275935</v>
      </c>
      <c r="M357" s="724" t="s">
        <v>955</v>
      </c>
      <c r="N357" s="746"/>
      <c r="O357" s="746"/>
      <c r="P357" s="746"/>
      <c r="Q357" s="746"/>
      <c r="R357" s="521"/>
      <c r="S357" s="521"/>
    </row>
    <row r="358" spans="1:19">
      <c r="A358" s="721">
        <v>352</v>
      </c>
      <c r="B358" s="721">
        <v>9969515</v>
      </c>
      <c r="C358" s="721" t="s">
        <v>2521</v>
      </c>
      <c r="D358" s="721">
        <v>95</v>
      </c>
      <c r="E358" s="721" t="s">
        <v>49</v>
      </c>
      <c r="F358" s="721" t="s">
        <v>107</v>
      </c>
      <c r="G358" s="721" t="s">
        <v>108</v>
      </c>
      <c r="H358" s="721" t="s">
        <v>2043</v>
      </c>
      <c r="I358" s="721"/>
      <c r="J358" s="721"/>
      <c r="K358" s="721" t="s">
        <v>2044</v>
      </c>
      <c r="L358" s="721">
        <v>52147181</v>
      </c>
      <c r="M358" s="722" t="s">
        <v>955</v>
      </c>
      <c r="N358" s="746"/>
      <c r="O358" s="746"/>
      <c r="P358" s="746"/>
      <c r="Q358" s="746"/>
      <c r="R358" s="521"/>
      <c r="S358" s="521"/>
    </row>
    <row r="359" spans="1:19">
      <c r="A359" s="723">
        <v>353</v>
      </c>
      <c r="B359" s="723">
        <v>9969520</v>
      </c>
      <c r="C359" s="723" t="s">
        <v>2522</v>
      </c>
      <c r="D359" s="723">
        <v>95</v>
      </c>
      <c r="E359" s="723" t="s">
        <v>49</v>
      </c>
      <c r="F359" s="723" t="s">
        <v>107</v>
      </c>
      <c r="G359" s="723" t="s">
        <v>108</v>
      </c>
      <c r="H359" s="723" t="s">
        <v>2043</v>
      </c>
      <c r="I359" s="723"/>
      <c r="J359" s="723"/>
      <c r="K359" s="723" t="s">
        <v>2044</v>
      </c>
      <c r="L359" s="723">
        <v>79311687</v>
      </c>
      <c r="M359" s="724" t="s">
        <v>955</v>
      </c>
      <c r="N359" s="746"/>
      <c r="O359" s="746"/>
      <c r="P359" s="746"/>
      <c r="Q359" s="746"/>
      <c r="R359" s="521"/>
      <c r="S359" s="521"/>
    </row>
    <row r="360" spans="1:19">
      <c r="A360" s="721">
        <v>354</v>
      </c>
      <c r="B360" s="721">
        <v>9969521</v>
      </c>
      <c r="C360" s="721" t="s">
        <v>2523</v>
      </c>
      <c r="D360" s="721">
        <v>95</v>
      </c>
      <c r="E360" s="721" t="s">
        <v>49</v>
      </c>
      <c r="F360" s="721" t="s">
        <v>107</v>
      </c>
      <c r="G360" s="721" t="s">
        <v>108</v>
      </c>
      <c r="H360" s="721" t="s">
        <v>2043</v>
      </c>
      <c r="I360" s="721"/>
      <c r="J360" s="721"/>
      <c r="K360" s="721" t="s">
        <v>2044</v>
      </c>
      <c r="L360" s="721">
        <v>79618127</v>
      </c>
      <c r="M360" s="722" t="s">
        <v>955</v>
      </c>
      <c r="N360" s="746"/>
      <c r="O360" s="746"/>
      <c r="P360" s="746"/>
      <c r="Q360" s="746"/>
      <c r="R360" s="521"/>
      <c r="S360" s="521"/>
    </row>
    <row r="361" spans="1:19">
      <c r="A361" s="723">
        <v>355</v>
      </c>
      <c r="B361" s="723">
        <v>9969527</v>
      </c>
      <c r="C361" s="723" t="s">
        <v>2524</v>
      </c>
      <c r="D361" s="723">
        <v>95</v>
      </c>
      <c r="E361" s="723" t="s">
        <v>49</v>
      </c>
      <c r="F361" s="723" t="s">
        <v>107</v>
      </c>
      <c r="G361" s="723" t="s">
        <v>108</v>
      </c>
      <c r="H361" s="723" t="s">
        <v>2043</v>
      </c>
      <c r="I361" s="723"/>
      <c r="J361" s="723"/>
      <c r="K361" s="723" t="s">
        <v>2044</v>
      </c>
      <c r="L361" s="723">
        <v>19062915</v>
      </c>
      <c r="M361" s="724" t="s">
        <v>955</v>
      </c>
      <c r="N361" s="746"/>
      <c r="O361" s="746"/>
      <c r="P361" s="746"/>
      <c r="Q361" s="746"/>
      <c r="R361" s="521"/>
      <c r="S361" s="521"/>
    </row>
    <row r="362" spans="1:19">
      <c r="A362" s="721">
        <v>356</v>
      </c>
      <c r="B362" s="721">
        <v>9969530</v>
      </c>
      <c r="C362" s="721" t="s">
        <v>2525</v>
      </c>
      <c r="D362" s="721">
        <v>95</v>
      </c>
      <c r="E362" s="721" t="s">
        <v>49</v>
      </c>
      <c r="F362" s="721" t="s">
        <v>107</v>
      </c>
      <c r="G362" s="721" t="s">
        <v>108</v>
      </c>
      <c r="H362" s="721" t="s">
        <v>2043</v>
      </c>
      <c r="I362" s="721"/>
      <c r="J362" s="721"/>
      <c r="K362" s="721" t="s">
        <v>2044</v>
      </c>
      <c r="L362" s="721">
        <v>52381487</v>
      </c>
      <c r="M362" s="722" t="s">
        <v>955</v>
      </c>
      <c r="N362" s="746"/>
      <c r="O362" s="746"/>
      <c r="P362" s="746"/>
      <c r="Q362" s="746"/>
      <c r="R362" s="521"/>
      <c r="S362" s="521"/>
    </row>
    <row r="363" spans="1:19">
      <c r="A363" s="723">
        <v>357</v>
      </c>
      <c r="B363" s="723">
        <v>2000209009</v>
      </c>
      <c r="C363" s="723" t="s">
        <v>2526</v>
      </c>
      <c r="D363" s="723">
        <v>95</v>
      </c>
      <c r="E363" s="723" t="s">
        <v>49</v>
      </c>
      <c r="F363" s="723" t="s">
        <v>107</v>
      </c>
      <c r="G363" s="723" t="s">
        <v>108</v>
      </c>
      <c r="H363" s="723" t="s">
        <v>2043</v>
      </c>
      <c r="I363" s="723"/>
      <c r="J363" s="723"/>
      <c r="K363" s="723" t="s">
        <v>2044</v>
      </c>
      <c r="L363" s="723">
        <v>74370563</v>
      </c>
      <c r="M363" s="724" t="s">
        <v>955</v>
      </c>
      <c r="N363" s="746"/>
      <c r="O363" s="746"/>
      <c r="P363" s="746"/>
      <c r="Q363" s="746"/>
      <c r="R363" s="521"/>
      <c r="S363" s="521"/>
    </row>
    <row r="364" spans="1:19">
      <c r="A364" s="721">
        <v>358</v>
      </c>
      <c r="B364" s="721">
        <v>20011095013</v>
      </c>
      <c r="C364" s="721" t="s">
        <v>2527</v>
      </c>
      <c r="D364" s="721">
        <v>95</v>
      </c>
      <c r="E364" s="721" t="s">
        <v>49</v>
      </c>
      <c r="F364" s="721" t="s">
        <v>107</v>
      </c>
      <c r="G364" s="721" t="s">
        <v>108</v>
      </c>
      <c r="H364" s="721" t="s">
        <v>2043</v>
      </c>
      <c r="I364" s="721"/>
      <c r="J364" s="721"/>
      <c r="K364" s="721" t="s">
        <v>2044</v>
      </c>
      <c r="L364" s="721">
        <v>79634604</v>
      </c>
      <c r="M364" s="721" t="s">
        <v>2204</v>
      </c>
      <c r="N364" s="746"/>
      <c r="O364" s="746"/>
      <c r="P364" s="746"/>
      <c r="Q364" s="746"/>
      <c r="R364" s="521"/>
      <c r="S364" s="521"/>
    </row>
    <row r="365" spans="1:19">
      <c r="A365" s="723">
        <v>359</v>
      </c>
      <c r="B365" s="723">
        <v>20011095032</v>
      </c>
      <c r="C365" s="723" t="s">
        <v>2528</v>
      </c>
      <c r="D365" s="723">
        <v>95</v>
      </c>
      <c r="E365" s="723" t="s">
        <v>49</v>
      </c>
      <c r="F365" s="723" t="s">
        <v>107</v>
      </c>
      <c r="G365" s="723" t="s">
        <v>108</v>
      </c>
      <c r="H365" s="723" t="s">
        <v>2043</v>
      </c>
      <c r="I365" s="723"/>
      <c r="J365" s="723"/>
      <c r="K365" s="723" t="s">
        <v>2044</v>
      </c>
      <c r="L365" s="723">
        <v>46367076</v>
      </c>
      <c r="M365" s="724" t="s">
        <v>955</v>
      </c>
      <c r="N365" s="746"/>
      <c r="O365" s="746"/>
      <c r="P365" s="746"/>
      <c r="Q365" s="746"/>
      <c r="R365" s="521"/>
      <c r="S365" s="521"/>
    </row>
    <row r="366" spans="1:19" ht="14.25" customHeight="1">
      <c r="A366" s="725" t="s">
        <v>2292</v>
      </c>
      <c r="B366" s="725" t="s">
        <v>2292</v>
      </c>
      <c r="C366" s="725" t="s">
        <v>2292</v>
      </c>
      <c r="D366" s="725" t="s">
        <v>2292</v>
      </c>
      <c r="E366" s="725" t="s">
        <v>2292</v>
      </c>
      <c r="F366" s="725" t="s">
        <v>2292</v>
      </c>
      <c r="G366" s="725" t="s">
        <v>2292</v>
      </c>
      <c r="H366" s="725" t="s">
        <v>2292</v>
      </c>
      <c r="I366" s="725" t="s">
        <v>2292</v>
      </c>
      <c r="J366" s="725" t="s">
        <v>2292</v>
      </c>
      <c r="K366" s="725" t="s">
        <v>2292</v>
      </c>
      <c r="L366" s="725" t="s">
        <v>2292</v>
      </c>
      <c r="M366" s="725" t="s">
        <v>2292</v>
      </c>
      <c r="N366" s="746"/>
      <c r="O366" s="746"/>
      <c r="P366" s="746"/>
      <c r="Q366" s="746"/>
      <c r="R366" s="521"/>
      <c r="S366" s="521"/>
    </row>
    <row r="367" spans="1:19">
      <c r="A367" s="719" t="s">
        <v>2033</v>
      </c>
      <c r="B367" s="719" t="s">
        <v>2529</v>
      </c>
      <c r="C367"/>
      <c r="D367"/>
      <c r="E367"/>
      <c r="F367"/>
      <c r="G367"/>
      <c r="H367"/>
      <c r="I367"/>
      <c r="J367"/>
      <c r="K367"/>
      <c r="L367"/>
      <c r="M367"/>
      <c r="N367" s="746"/>
      <c r="O367" s="746"/>
      <c r="P367" s="746"/>
      <c r="Q367" s="746"/>
      <c r="R367" s="521"/>
      <c r="S367" s="521"/>
    </row>
    <row r="368" spans="1:19" ht="25.5">
      <c r="A368" s="720" t="s">
        <v>2035</v>
      </c>
      <c r="B368" s="720" t="s">
        <v>2036</v>
      </c>
      <c r="C368" s="720" t="s">
        <v>1</v>
      </c>
      <c r="D368" s="720" t="s">
        <v>2037</v>
      </c>
      <c r="E368" s="720" t="s">
        <v>3</v>
      </c>
      <c r="F368" s="720" t="s">
        <v>4</v>
      </c>
      <c r="G368" s="720" t="s">
        <v>2038</v>
      </c>
      <c r="H368" s="720" t="s">
        <v>6</v>
      </c>
      <c r="I368" s="720" t="s">
        <v>7</v>
      </c>
      <c r="J368" s="720" t="s">
        <v>8</v>
      </c>
      <c r="K368" s="720" t="s">
        <v>2039</v>
      </c>
      <c r="L368" s="720" t="s">
        <v>10</v>
      </c>
      <c r="M368" s="720" t="s">
        <v>2040</v>
      </c>
      <c r="N368" s="746"/>
      <c r="O368" s="746"/>
      <c r="P368" s="746"/>
      <c r="Q368" s="746"/>
      <c r="R368" s="521"/>
      <c r="S368" s="521"/>
    </row>
    <row r="369" spans="1:19">
      <c r="A369" s="721">
        <v>360</v>
      </c>
      <c r="B369" s="721">
        <v>9959520</v>
      </c>
      <c r="C369" s="721" t="s">
        <v>2502</v>
      </c>
      <c r="D369" s="721">
        <v>95</v>
      </c>
      <c r="E369" s="721" t="s">
        <v>49</v>
      </c>
      <c r="F369" s="721" t="s">
        <v>122</v>
      </c>
      <c r="G369" s="721" t="s">
        <v>108</v>
      </c>
      <c r="H369" s="721" t="s">
        <v>2043</v>
      </c>
      <c r="I369" s="721"/>
      <c r="J369" s="721"/>
      <c r="K369" s="721" t="s">
        <v>2044</v>
      </c>
      <c r="L369" s="721">
        <v>6773083</v>
      </c>
      <c r="M369" s="722" t="s">
        <v>955</v>
      </c>
      <c r="N369" s="746"/>
      <c r="O369" s="746"/>
      <c r="P369" s="746"/>
      <c r="Q369" s="746"/>
      <c r="R369" s="521"/>
      <c r="S369" s="521"/>
    </row>
    <row r="370" spans="1:19">
      <c r="A370" s="723">
        <v>361</v>
      </c>
      <c r="B370" s="723">
        <v>2002095004</v>
      </c>
      <c r="C370" s="723" t="s">
        <v>2530</v>
      </c>
      <c r="D370" s="723">
        <v>95</v>
      </c>
      <c r="E370" s="723" t="s">
        <v>49</v>
      </c>
      <c r="F370" s="723" t="s">
        <v>122</v>
      </c>
      <c r="G370" s="723" t="s">
        <v>108</v>
      </c>
      <c r="H370" s="723" t="s">
        <v>2043</v>
      </c>
      <c r="I370" s="723"/>
      <c r="J370" s="723"/>
      <c r="K370" s="723" t="s">
        <v>2044</v>
      </c>
      <c r="L370" s="723">
        <v>79698119</v>
      </c>
      <c r="M370" s="724" t="s">
        <v>955</v>
      </c>
      <c r="N370" s="746"/>
      <c r="O370" s="746"/>
      <c r="P370" s="746"/>
      <c r="Q370" s="746"/>
      <c r="R370" s="521"/>
      <c r="S370" s="521"/>
    </row>
    <row r="371" spans="1:19">
      <c r="A371" s="721">
        <v>362</v>
      </c>
      <c r="B371" s="721">
        <v>2002095015</v>
      </c>
      <c r="C371" s="721" t="s">
        <v>2531</v>
      </c>
      <c r="D371" s="721">
        <v>95</v>
      </c>
      <c r="E371" s="721" t="s">
        <v>49</v>
      </c>
      <c r="F371" s="721" t="s">
        <v>122</v>
      </c>
      <c r="G371" s="721" t="s">
        <v>108</v>
      </c>
      <c r="H371" s="721" t="s">
        <v>2043</v>
      </c>
      <c r="I371" s="721"/>
      <c r="J371" s="721"/>
      <c r="K371" s="721" t="s">
        <v>2044</v>
      </c>
      <c r="L371" s="721">
        <v>80442360</v>
      </c>
      <c r="M371" s="722" t="s">
        <v>955</v>
      </c>
      <c r="N371" s="746"/>
      <c r="O371" s="746"/>
      <c r="P371" s="746"/>
      <c r="Q371" s="746"/>
      <c r="R371" s="521"/>
      <c r="S371" s="521"/>
    </row>
    <row r="372" spans="1:19">
      <c r="A372" s="723">
        <v>363</v>
      </c>
      <c r="B372" s="723">
        <v>20002095012</v>
      </c>
      <c r="C372" s="723" t="s">
        <v>2532</v>
      </c>
      <c r="D372" s="723">
        <v>95</v>
      </c>
      <c r="E372" s="723" t="s">
        <v>49</v>
      </c>
      <c r="F372" s="723" t="s">
        <v>122</v>
      </c>
      <c r="G372" s="723" t="s">
        <v>108</v>
      </c>
      <c r="H372" s="723" t="s">
        <v>2043</v>
      </c>
      <c r="I372" s="723"/>
      <c r="J372" s="723"/>
      <c r="K372" s="723" t="s">
        <v>2044</v>
      </c>
      <c r="L372" s="723">
        <v>79634304</v>
      </c>
      <c r="M372" s="724" t="s">
        <v>955</v>
      </c>
      <c r="N372" s="746"/>
      <c r="O372" s="746"/>
      <c r="P372" s="746"/>
      <c r="Q372" s="746"/>
      <c r="R372" s="521"/>
      <c r="S372" s="521"/>
    </row>
    <row r="373" spans="1:19">
      <c r="A373" s="721">
        <v>364</v>
      </c>
      <c r="B373" s="721">
        <v>20011095026</v>
      </c>
      <c r="C373" s="721" t="s">
        <v>2533</v>
      </c>
      <c r="D373" s="721">
        <v>95</v>
      </c>
      <c r="E373" s="721" t="s">
        <v>49</v>
      </c>
      <c r="F373" s="721" t="s">
        <v>122</v>
      </c>
      <c r="G373" s="721" t="s">
        <v>108</v>
      </c>
      <c r="H373" s="721" t="s">
        <v>2043</v>
      </c>
      <c r="I373" s="721"/>
      <c r="J373" s="721"/>
      <c r="K373" s="721" t="s">
        <v>2044</v>
      </c>
      <c r="L373" s="721">
        <v>52037177</v>
      </c>
      <c r="M373" s="722" t="s">
        <v>955</v>
      </c>
      <c r="N373" s="746"/>
      <c r="O373" s="746"/>
      <c r="P373" s="746"/>
      <c r="Q373" s="746"/>
      <c r="R373" s="521"/>
      <c r="S373" s="521"/>
    </row>
    <row r="374" spans="1:19">
      <c r="A374" s="723">
        <v>365</v>
      </c>
      <c r="B374" s="723">
        <v>20021095025</v>
      </c>
      <c r="C374" s="723" t="s">
        <v>2534</v>
      </c>
      <c r="D374" s="723">
        <v>95</v>
      </c>
      <c r="E374" s="723" t="s">
        <v>49</v>
      </c>
      <c r="F374" s="723" t="s">
        <v>122</v>
      </c>
      <c r="G374" s="723" t="s">
        <v>108</v>
      </c>
      <c r="H374" s="723" t="s">
        <v>2043</v>
      </c>
      <c r="I374" s="723"/>
      <c r="J374" s="723"/>
      <c r="K374" s="723" t="s">
        <v>2044</v>
      </c>
      <c r="L374" s="723">
        <v>79755068</v>
      </c>
      <c r="M374" s="723" t="s">
        <v>2093</v>
      </c>
      <c r="N374" s="746"/>
      <c r="O374" s="746"/>
      <c r="P374" s="746"/>
      <c r="Q374" s="746"/>
      <c r="R374" s="521"/>
      <c r="S374" s="521"/>
    </row>
    <row r="375" spans="1:19">
      <c r="A375" s="721">
        <v>366</v>
      </c>
      <c r="B375" s="721">
        <v>20021095026</v>
      </c>
      <c r="C375" s="721" t="s">
        <v>2535</v>
      </c>
      <c r="D375" s="721">
        <v>95</v>
      </c>
      <c r="E375" s="721" t="s">
        <v>49</v>
      </c>
      <c r="F375" s="721" t="s">
        <v>122</v>
      </c>
      <c r="G375" s="721" t="s">
        <v>108</v>
      </c>
      <c r="H375" s="721" t="s">
        <v>2043</v>
      </c>
      <c r="I375" s="721"/>
      <c r="J375" s="721"/>
      <c r="K375" s="721" t="s">
        <v>2044</v>
      </c>
      <c r="L375" s="721">
        <v>80410518</v>
      </c>
      <c r="M375" s="721" t="s">
        <v>2093</v>
      </c>
      <c r="N375" s="746"/>
      <c r="O375" s="746"/>
      <c r="P375" s="746"/>
      <c r="Q375" s="746"/>
      <c r="R375" s="521"/>
      <c r="S375" s="521"/>
    </row>
    <row r="376" spans="1:19">
      <c r="A376" s="723">
        <v>367</v>
      </c>
      <c r="B376" s="723">
        <v>20021095028</v>
      </c>
      <c r="C376" s="723" t="s">
        <v>2536</v>
      </c>
      <c r="D376" s="723">
        <v>95</v>
      </c>
      <c r="E376" s="723" t="s">
        <v>49</v>
      </c>
      <c r="F376" s="723" t="s">
        <v>122</v>
      </c>
      <c r="G376" s="723" t="s">
        <v>108</v>
      </c>
      <c r="H376" s="723" t="s">
        <v>2043</v>
      </c>
      <c r="I376" s="723"/>
      <c r="J376" s="723"/>
      <c r="K376" s="723" t="s">
        <v>2044</v>
      </c>
      <c r="L376" s="723">
        <v>79652046</v>
      </c>
      <c r="M376" s="723" t="s">
        <v>2093</v>
      </c>
      <c r="N376" s="746"/>
      <c r="O376" s="746"/>
      <c r="P376" s="746"/>
      <c r="Q376" s="746"/>
      <c r="R376" s="521"/>
      <c r="S376" s="521"/>
    </row>
    <row r="377" spans="1:19">
      <c r="A377" s="721">
        <v>368</v>
      </c>
      <c r="B377" s="721">
        <v>20022095010</v>
      </c>
      <c r="C377" s="721" t="s">
        <v>2537</v>
      </c>
      <c r="D377" s="721">
        <v>95</v>
      </c>
      <c r="E377" s="721" t="s">
        <v>49</v>
      </c>
      <c r="F377" s="721" t="s">
        <v>122</v>
      </c>
      <c r="G377" s="721" t="s">
        <v>108</v>
      </c>
      <c r="H377" s="721" t="s">
        <v>2043</v>
      </c>
      <c r="I377" s="721"/>
      <c r="J377" s="721"/>
      <c r="K377" s="721" t="s">
        <v>2044</v>
      </c>
      <c r="L377" s="721">
        <v>78674082</v>
      </c>
      <c r="M377" s="722" t="s">
        <v>955</v>
      </c>
      <c r="N377" s="746"/>
      <c r="O377" s="746"/>
      <c r="P377" s="746"/>
      <c r="Q377" s="746"/>
      <c r="R377" s="521"/>
      <c r="S377" s="521"/>
    </row>
    <row r="378" spans="1:19" ht="14.25" customHeight="1">
      <c r="A378" s="725" t="s">
        <v>2292</v>
      </c>
      <c r="B378" s="725" t="s">
        <v>2292</v>
      </c>
      <c r="C378" s="725" t="s">
        <v>2292</v>
      </c>
      <c r="D378" s="725" t="s">
        <v>2292</v>
      </c>
      <c r="E378" s="725" t="s">
        <v>2292</v>
      </c>
      <c r="F378" s="725" t="s">
        <v>2292</v>
      </c>
      <c r="G378" s="725" t="s">
        <v>2292</v>
      </c>
      <c r="H378" s="725" t="s">
        <v>2292</v>
      </c>
      <c r="I378" s="725" t="s">
        <v>2292</v>
      </c>
      <c r="J378" s="725" t="s">
        <v>2292</v>
      </c>
      <c r="K378" s="725" t="s">
        <v>2292</v>
      </c>
      <c r="L378" s="725" t="s">
        <v>2292</v>
      </c>
      <c r="M378" s="725" t="s">
        <v>2292</v>
      </c>
      <c r="N378" s="746"/>
      <c r="O378" s="746"/>
      <c r="P378" s="746"/>
      <c r="Q378" s="746"/>
      <c r="R378" s="521"/>
      <c r="S378" s="521"/>
    </row>
    <row r="379" spans="1:19">
      <c r="A379" s="719" t="s">
        <v>2033</v>
      </c>
      <c r="B379" s="719" t="s">
        <v>2538</v>
      </c>
      <c r="C379"/>
      <c r="D379"/>
      <c r="E379"/>
      <c r="F379"/>
      <c r="G379"/>
      <c r="H379"/>
      <c r="I379"/>
      <c r="J379"/>
      <c r="K379"/>
      <c r="L379"/>
      <c r="M379"/>
      <c r="N379" s="746"/>
      <c r="O379" s="746"/>
      <c r="P379" s="746"/>
      <c r="Q379" s="746"/>
      <c r="R379" s="521"/>
      <c r="S379" s="521"/>
    </row>
    <row r="380" spans="1:19" ht="25.5">
      <c r="A380" s="720" t="s">
        <v>2035</v>
      </c>
      <c r="B380" s="720" t="s">
        <v>2036</v>
      </c>
      <c r="C380" s="720" t="s">
        <v>1</v>
      </c>
      <c r="D380" s="720" t="s">
        <v>2037</v>
      </c>
      <c r="E380" s="720" t="s">
        <v>3</v>
      </c>
      <c r="F380" s="720" t="s">
        <v>4</v>
      </c>
      <c r="G380" s="720" t="s">
        <v>2038</v>
      </c>
      <c r="H380" s="720" t="s">
        <v>6</v>
      </c>
      <c r="I380" s="720" t="s">
        <v>7</v>
      </c>
      <c r="J380" s="720" t="s">
        <v>8</v>
      </c>
      <c r="K380" s="720" t="s">
        <v>2039</v>
      </c>
      <c r="L380" s="720" t="s">
        <v>10</v>
      </c>
      <c r="M380" s="720" t="s">
        <v>2040</v>
      </c>
      <c r="N380" s="746"/>
      <c r="O380" s="746"/>
      <c r="P380" s="746"/>
      <c r="Q380" s="746"/>
      <c r="R380" s="521"/>
      <c r="S380" s="521"/>
    </row>
    <row r="381" spans="1:19">
      <c r="A381" s="721">
        <v>369</v>
      </c>
      <c r="B381" s="721">
        <v>20021095031</v>
      </c>
      <c r="C381" s="721" t="s">
        <v>2539</v>
      </c>
      <c r="D381" s="721">
        <v>95</v>
      </c>
      <c r="E381" s="721" t="s">
        <v>49</v>
      </c>
      <c r="F381" s="721" t="s">
        <v>150</v>
      </c>
      <c r="G381" s="721" t="s">
        <v>2540</v>
      </c>
      <c r="H381" s="721">
        <v>1</v>
      </c>
      <c r="I381" s="721" t="s">
        <v>2541</v>
      </c>
      <c r="J381" s="721" t="s">
        <v>2542</v>
      </c>
      <c r="K381" s="721" t="s">
        <v>2044</v>
      </c>
      <c r="L381" s="721">
        <v>19313922</v>
      </c>
      <c r="M381" s="721" t="s">
        <v>2543</v>
      </c>
      <c r="N381" s="746"/>
      <c r="O381" s="746"/>
      <c r="P381" s="746"/>
      <c r="Q381" s="746"/>
      <c r="R381" s="521"/>
      <c r="S381" s="521"/>
    </row>
    <row r="382" spans="1:19" ht="14.25" customHeight="1">
      <c r="A382" s="725" t="s">
        <v>2292</v>
      </c>
      <c r="B382" s="725" t="s">
        <v>2292</v>
      </c>
      <c r="C382" s="725" t="s">
        <v>2292</v>
      </c>
      <c r="D382" s="725" t="s">
        <v>2292</v>
      </c>
      <c r="E382" s="725" t="s">
        <v>2292</v>
      </c>
      <c r="F382" s="725" t="s">
        <v>2292</v>
      </c>
      <c r="G382" s="725" t="s">
        <v>2292</v>
      </c>
      <c r="H382" s="725" t="s">
        <v>2292</v>
      </c>
      <c r="I382" s="725" t="s">
        <v>2292</v>
      </c>
      <c r="J382" s="725" t="s">
        <v>2292</v>
      </c>
      <c r="K382" s="725" t="s">
        <v>2292</v>
      </c>
      <c r="L382" s="725" t="s">
        <v>2292</v>
      </c>
      <c r="M382" s="725" t="s">
        <v>2292</v>
      </c>
      <c r="N382" s="746"/>
      <c r="O382" s="746"/>
      <c r="P382" s="746"/>
      <c r="Q382" s="746"/>
      <c r="R382" s="521"/>
      <c r="S382" s="521"/>
    </row>
    <row r="383" spans="1:19" ht="25.5">
      <c r="A383" s="719" t="s">
        <v>2033</v>
      </c>
      <c r="B383" s="719" t="s">
        <v>2544</v>
      </c>
      <c r="C383"/>
      <c r="D383"/>
      <c r="E383"/>
      <c r="F383"/>
      <c r="G383"/>
      <c r="H383"/>
      <c r="I383"/>
      <c r="J383"/>
      <c r="K383"/>
      <c r="L383"/>
      <c r="M383"/>
      <c r="N383" s="746"/>
      <c r="O383" s="746"/>
      <c r="P383" s="746"/>
      <c r="Q383" s="746"/>
      <c r="R383" s="521"/>
      <c r="S383" s="521"/>
    </row>
    <row r="384" spans="1:19" ht="25.5">
      <c r="A384" s="720" t="s">
        <v>2035</v>
      </c>
      <c r="B384" s="720" t="s">
        <v>2036</v>
      </c>
      <c r="C384" s="720" t="s">
        <v>1</v>
      </c>
      <c r="D384" s="720" t="s">
        <v>2037</v>
      </c>
      <c r="E384" s="720" t="s">
        <v>3</v>
      </c>
      <c r="F384" s="720" t="s">
        <v>4</v>
      </c>
      <c r="G384" s="720" t="s">
        <v>2038</v>
      </c>
      <c r="H384" s="720" t="s">
        <v>6</v>
      </c>
      <c r="I384" s="720" t="s">
        <v>7</v>
      </c>
      <c r="J384" s="720" t="s">
        <v>8</v>
      </c>
      <c r="K384" s="720" t="s">
        <v>2039</v>
      </c>
      <c r="L384" s="720" t="s">
        <v>10</v>
      </c>
      <c r="M384" s="720" t="s">
        <v>2040</v>
      </c>
      <c r="N384" s="746"/>
      <c r="O384" s="746"/>
      <c r="P384" s="746"/>
      <c r="Q384" s="746"/>
      <c r="R384" s="521"/>
      <c r="S384" s="521"/>
    </row>
    <row r="385" spans="1:19" ht="25.5">
      <c r="A385" s="721">
        <v>370</v>
      </c>
      <c r="B385" s="721">
        <v>9029510</v>
      </c>
      <c r="C385" s="721" t="s">
        <v>2545</v>
      </c>
      <c r="D385" s="721">
        <v>95</v>
      </c>
      <c r="E385" s="721" t="s">
        <v>49</v>
      </c>
      <c r="F385" s="721" t="s">
        <v>154</v>
      </c>
      <c r="G385" s="721" t="s">
        <v>2546</v>
      </c>
      <c r="H385" s="721" t="s">
        <v>2043</v>
      </c>
      <c r="I385" s="721" t="s">
        <v>2547</v>
      </c>
      <c r="J385" s="721" t="s">
        <v>2548</v>
      </c>
      <c r="K385" s="721" t="s">
        <v>2044</v>
      </c>
      <c r="L385" s="721">
        <v>79154416</v>
      </c>
      <c r="M385" s="722" t="s">
        <v>955</v>
      </c>
      <c r="N385" s="746"/>
      <c r="O385" s="746"/>
      <c r="P385" s="746"/>
      <c r="Q385" s="746"/>
      <c r="R385" s="521"/>
      <c r="S385" s="521"/>
    </row>
    <row r="386" spans="1:19" ht="25.5">
      <c r="A386" s="723">
        <v>371</v>
      </c>
      <c r="B386" s="723">
        <v>9039502</v>
      </c>
      <c r="C386" s="723" t="s">
        <v>2549</v>
      </c>
      <c r="D386" s="723">
        <v>95</v>
      </c>
      <c r="E386" s="723" t="s">
        <v>49</v>
      </c>
      <c r="F386" s="723" t="s">
        <v>154</v>
      </c>
      <c r="G386" s="723" t="s">
        <v>2546</v>
      </c>
      <c r="H386" s="723" t="s">
        <v>2043</v>
      </c>
      <c r="I386" s="723" t="s">
        <v>2550</v>
      </c>
      <c r="J386" s="723" t="s">
        <v>2551</v>
      </c>
      <c r="K386" s="723" t="s">
        <v>2044</v>
      </c>
      <c r="L386" s="723">
        <v>19271274</v>
      </c>
      <c r="M386" s="723" t="s">
        <v>2139</v>
      </c>
      <c r="N386" s="746"/>
      <c r="O386" s="746"/>
      <c r="P386" s="746"/>
      <c r="Q386" s="746"/>
      <c r="R386" s="521"/>
      <c r="S386" s="521"/>
    </row>
    <row r="387" spans="1:19" ht="25.5">
      <c r="A387" s="721">
        <v>372</v>
      </c>
      <c r="B387" s="721">
        <v>9319503</v>
      </c>
      <c r="C387" s="721" t="s">
        <v>2552</v>
      </c>
      <c r="D387" s="721">
        <v>95</v>
      </c>
      <c r="E387" s="721" t="s">
        <v>49</v>
      </c>
      <c r="F387" s="721" t="s">
        <v>154</v>
      </c>
      <c r="G387" s="721" t="s">
        <v>2546</v>
      </c>
      <c r="H387" s="721" t="s">
        <v>2043</v>
      </c>
      <c r="I387" s="721"/>
      <c r="J387" s="721"/>
      <c r="K387" s="721" t="s">
        <v>2044</v>
      </c>
      <c r="L387" s="721">
        <v>19109274</v>
      </c>
      <c r="M387" s="722" t="s">
        <v>955</v>
      </c>
      <c r="N387" s="746"/>
      <c r="O387" s="746"/>
      <c r="P387" s="746"/>
      <c r="Q387" s="746"/>
      <c r="R387" s="521"/>
      <c r="S387" s="521"/>
    </row>
    <row r="388" spans="1:19" ht="25.5">
      <c r="A388" s="723">
        <v>373</v>
      </c>
      <c r="B388" s="723">
        <v>9319514</v>
      </c>
      <c r="C388" s="723" t="s">
        <v>2553</v>
      </c>
      <c r="D388" s="723">
        <v>95</v>
      </c>
      <c r="E388" s="723" t="s">
        <v>49</v>
      </c>
      <c r="F388" s="723" t="s">
        <v>154</v>
      </c>
      <c r="G388" s="723" t="s">
        <v>2546</v>
      </c>
      <c r="H388" s="723" t="s">
        <v>2043</v>
      </c>
      <c r="I388" s="723"/>
      <c r="J388" s="723"/>
      <c r="K388" s="723" t="s">
        <v>2044</v>
      </c>
      <c r="L388" s="723">
        <v>101</v>
      </c>
      <c r="M388" s="724" t="s">
        <v>955</v>
      </c>
      <c r="N388" s="746"/>
      <c r="O388" s="746"/>
      <c r="P388" s="746"/>
      <c r="Q388" s="746"/>
      <c r="R388" s="521"/>
      <c r="S388" s="521"/>
    </row>
    <row r="389" spans="1:19" ht="25.5">
      <c r="A389" s="721">
        <v>374</v>
      </c>
      <c r="B389" s="721">
        <v>9319517</v>
      </c>
      <c r="C389" s="721" t="s">
        <v>2554</v>
      </c>
      <c r="D389" s="721">
        <v>95</v>
      </c>
      <c r="E389" s="721" t="s">
        <v>49</v>
      </c>
      <c r="F389" s="721" t="s">
        <v>154</v>
      </c>
      <c r="G389" s="721" t="s">
        <v>2546</v>
      </c>
      <c r="H389" s="721" t="s">
        <v>2043</v>
      </c>
      <c r="I389" s="721"/>
      <c r="J389" s="721"/>
      <c r="K389" s="721" t="s">
        <v>2044</v>
      </c>
      <c r="L389" s="721">
        <v>51753789</v>
      </c>
      <c r="M389" s="722" t="s">
        <v>955</v>
      </c>
      <c r="N389" s="746"/>
      <c r="O389" s="746"/>
      <c r="P389" s="746"/>
      <c r="Q389" s="746"/>
      <c r="R389" s="521"/>
      <c r="S389" s="521"/>
    </row>
    <row r="390" spans="1:19" ht="25.5">
      <c r="A390" s="723">
        <v>375</v>
      </c>
      <c r="B390" s="723">
        <v>9329501</v>
      </c>
      <c r="C390" s="723" t="s">
        <v>2555</v>
      </c>
      <c r="D390" s="723">
        <v>95</v>
      </c>
      <c r="E390" s="723" t="s">
        <v>49</v>
      </c>
      <c r="F390" s="723" t="s">
        <v>154</v>
      </c>
      <c r="G390" s="723" t="s">
        <v>2546</v>
      </c>
      <c r="H390" s="723" t="s">
        <v>2043</v>
      </c>
      <c r="I390" s="723"/>
      <c r="J390" s="723" t="s">
        <v>2556</v>
      </c>
      <c r="K390" s="723" t="s">
        <v>2044</v>
      </c>
      <c r="L390" s="723">
        <v>19498325</v>
      </c>
      <c r="M390" s="723" t="s">
        <v>2218</v>
      </c>
      <c r="N390" s="746"/>
      <c r="O390" s="746"/>
      <c r="P390" s="746"/>
      <c r="Q390" s="746"/>
      <c r="R390" s="521"/>
      <c r="S390" s="521"/>
    </row>
    <row r="391" spans="1:19" ht="25.5">
      <c r="A391" s="721">
        <v>376</v>
      </c>
      <c r="B391" s="721">
        <v>9329506</v>
      </c>
      <c r="C391" s="721" t="s">
        <v>2557</v>
      </c>
      <c r="D391" s="721">
        <v>95</v>
      </c>
      <c r="E391" s="721" t="s">
        <v>49</v>
      </c>
      <c r="F391" s="721" t="s">
        <v>154</v>
      </c>
      <c r="G391" s="721" t="s">
        <v>2546</v>
      </c>
      <c r="H391" s="721" t="s">
        <v>2043</v>
      </c>
      <c r="I391" s="721" t="s">
        <v>2558</v>
      </c>
      <c r="J391" s="721" t="s">
        <v>2559</v>
      </c>
      <c r="K391" s="721" t="s">
        <v>2044</v>
      </c>
      <c r="L391" s="721">
        <v>79330694</v>
      </c>
      <c r="M391" s="722" t="s">
        <v>955</v>
      </c>
      <c r="N391" s="746"/>
      <c r="O391" s="746"/>
      <c r="P391" s="746"/>
      <c r="Q391" s="746"/>
      <c r="R391" s="521"/>
      <c r="S391" s="521"/>
    </row>
    <row r="392" spans="1:19" ht="25.5">
      <c r="A392" s="723">
        <v>377</v>
      </c>
      <c r="B392" s="723">
        <v>9329508</v>
      </c>
      <c r="C392" s="723" t="s">
        <v>2560</v>
      </c>
      <c r="D392" s="723">
        <v>95</v>
      </c>
      <c r="E392" s="723" t="s">
        <v>49</v>
      </c>
      <c r="F392" s="723" t="s">
        <v>154</v>
      </c>
      <c r="G392" s="723" t="s">
        <v>2546</v>
      </c>
      <c r="H392" s="723">
        <v>3</v>
      </c>
      <c r="I392" s="723"/>
      <c r="J392" s="723" t="s">
        <v>2561</v>
      </c>
      <c r="K392" s="723" t="s">
        <v>2044</v>
      </c>
      <c r="L392" s="723">
        <v>12563301</v>
      </c>
      <c r="M392" s="723" t="s">
        <v>2218</v>
      </c>
      <c r="N392" s="746"/>
      <c r="O392" s="746"/>
      <c r="P392" s="746"/>
      <c r="Q392" s="746"/>
      <c r="R392" s="521"/>
      <c r="S392" s="521"/>
    </row>
    <row r="393" spans="1:19" ht="25.5">
      <c r="A393" s="721">
        <v>378</v>
      </c>
      <c r="B393" s="721">
        <v>9329519</v>
      </c>
      <c r="C393" s="721" t="s">
        <v>2562</v>
      </c>
      <c r="D393" s="721">
        <v>95</v>
      </c>
      <c r="E393" s="721" t="s">
        <v>49</v>
      </c>
      <c r="F393" s="721" t="s">
        <v>154</v>
      </c>
      <c r="G393" s="721" t="s">
        <v>2546</v>
      </c>
      <c r="H393" s="721" t="s">
        <v>2043</v>
      </c>
      <c r="I393" s="721"/>
      <c r="J393" s="721"/>
      <c r="K393" s="721" t="s">
        <v>2044</v>
      </c>
      <c r="L393" s="721">
        <v>19469496</v>
      </c>
      <c r="M393" s="722" t="s">
        <v>955</v>
      </c>
      <c r="N393" s="746"/>
      <c r="O393" s="746"/>
      <c r="P393" s="746"/>
      <c r="Q393" s="746"/>
      <c r="R393" s="521"/>
      <c r="S393" s="521"/>
    </row>
    <row r="394" spans="1:19" ht="25.5">
      <c r="A394" s="723">
        <v>379</v>
      </c>
      <c r="B394" s="723">
        <v>9419501</v>
      </c>
      <c r="C394" s="723" t="s">
        <v>2563</v>
      </c>
      <c r="D394" s="723">
        <v>95</v>
      </c>
      <c r="E394" s="723" t="s">
        <v>49</v>
      </c>
      <c r="F394" s="723" t="s">
        <v>154</v>
      </c>
      <c r="G394" s="723" t="s">
        <v>2546</v>
      </c>
      <c r="H394" s="723" t="s">
        <v>2043</v>
      </c>
      <c r="I394" s="723"/>
      <c r="J394" s="723" t="s">
        <v>2564</v>
      </c>
      <c r="K394" s="723" t="s">
        <v>2044</v>
      </c>
      <c r="L394" s="723">
        <v>101</v>
      </c>
      <c r="M394" s="724" t="s">
        <v>955</v>
      </c>
      <c r="N394" s="746"/>
      <c r="O394" s="746"/>
      <c r="P394" s="746"/>
      <c r="Q394" s="746"/>
      <c r="R394" s="521"/>
      <c r="S394" s="521"/>
    </row>
    <row r="395" spans="1:19" ht="25.5">
      <c r="A395" s="721">
        <v>380</v>
      </c>
      <c r="B395" s="721">
        <v>9419511</v>
      </c>
      <c r="C395" s="721" t="s">
        <v>2565</v>
      </c>
      <c r="D395" s="721">
        <v>95</v>
      </c>
      <c r="E395" s="721" t="s">
        <v>49</v>
      </c>
      <c r="F395" s="721" t="s">
        <v>154</v>
      </c>
      <c r="G395" s="721" t="s">
        <v>2546</v>
      </c>
      <c r="H395" s="721" t="s">
        <v>2043</v>
      </c>
      <c r="I395" s="721"/>
      <c r="J395" s="721" t="s">
        <v>2566</v>
      </c>
      <c r="K395" s="721" t="s">
        <v>2044</v>
      </c>
      <c r="L395" s="721">
        <v>101</v>
      </c>
      <c r="M395" s="722" t="s">
        <v>955</v>
      </c>
      <c r="N395" s="746"/>
      <c r="O395" s="746"/>
      <c r="P395" s="746"/>
      <c r="Q395" s="746"/>
      <c r="R395" s="521"/>
      <c r="S395" s="521"/>
    </row>
    <row r="396" spans="1:19" ht="25.5">
      <c r="A396" s="723">
        <v>381</v>
      </c>
      <c r="B396" s="723">
        <v>9429513</v>
      </c>
      <c r="C396" s="723" t="s">
        <v>2567</v>
      </c>
      <c r="D396" s="723">
        <v>95</v>
      </c>
      <c r="E396" s="723" t="s">
        <v>49</v>
      </c>
      <c r="F396" s="723" t="s">
        <v>154</v>
      </c>
      <c r="G396" s="723" t="s">
        <v>2546</v>
      </c>
      <c r="H396" s="723" t="s">
        <v>2043</v>
      </c>
      <c r="I396" s="723" t="s">
        <v>2568</v>
      </c>
      <c r="J396" s="723" t="s">
        <v>2569</v>
      </c>
      <c r="K396" s="723" t="s">
        <v>2044</v>
      </c>
      <c r="L396" s="723">
        <v>79299652</v>
      </c>
      <c r="M396" s="723" t="s">
        <v>2082</v>
      </c>
      <c r="N396" s="746"/>
      <c r="O396" s="746"/>
      <c r="P396" s="746"/>
      <c r="Q396" s="746"/>
      <c r="R396" s="521"/>
      <c r="S396" s="521"/>
    </row>
    <row r="397" spans="1:19" ht="25.5">
      <c r="A397" s="721">
        <v>382</v>
      </c>
      <c r="B397" s="721">
        <v>9519513</v>
      </c>
      <c r="C397" s="721" t="s">
        <v>2570</v>
      </c>
      <c r="D397" s="721">
        <v>95</v>
      </c>
      <c r="E397" s="721" t="s">
        <v>49</v>
      </c>
      <c r="F397" s="721" t="s">
        <v>154</v>
      </c>
      <c r="G397" s="721" t="s">
        <v>2546</v>
      </c>
      <c r="H397" s="721" t="s">
        <v>2043</v>
      </c>
      <c r="I397" s="721" t="s">
        <v>2571</v>
      </c>
      <c r="J397" s="721" t="s">
        <v>2572</v>
      </c>
      <c r="K397" s="721" t="s">
        <v>2044</v>
      </c>
      <c r="L397" s="721">
        <v>17325906</v>
      </c>
      <c r="M397" s="721" t="s">
        <v>2192</v>
      </c>
      <c r="N397" s="746"/>
      <c r="O397" s="746"/>
      <c r="P397" s="746"/>
      <c r="Q397" s="746"/>
      <c r="R397" s="521"/>
      <c r="S397" s="521"/>
    </row>
    <row r="398" spans="1:19" ht="25.5">
      <c r="A398" s="723">
        <v>383</v>
      </c>
      <c r="B398" s="723">
        <v>9619514</v>
      </c>
      <c r="C398" s="723" t="s">
        <v>2374</v>
      </c>
      <c r="D398" s="723">
        <v>95</v>
      </c>
      <c r="E398" s="723" t="s">
        <v>49</v>
      </c>
      <c r="F398" s="723" t="s">
        <v>154</v>
      </c>
      <c r="G398" s="723" t="s">
        <v>2546</v>
      </c>
      <c r="H398" s="723" t="s">
        <v>2043</v>
      </c>
      <c r="I398" s="723" t="s">
        <v>2573</v>
      </c>
      <c r="J398" s="723" t="s">
        <v>2574</v>
      </c>
      <c r="K398" s="723" t="s">
        <v>2044</v>
      </c>
      <c r="L398" s="723">
        <v>79318535</v>
      </c>
      <c r="M398" s="723" t="s">
        <v>2119</v>
      </c>
      <c r="N398" s="746"/>
      <c r="O398" s="746"/>
      <c r="P398" s="746"/>
      <c r="Q398" s="746"/>
      <c r="R398" s="521"/>
      <c r="S398" s="521"/>
    </row>
    <row r="399" spans="1:19" ht="25.5">
      <c r="A399" s="721">
        <v>384</v>
      </c>
      <c r="B399" s="721">
        <v>9619515</v>
      </c>
      <c r="C399" s="721" t="s">
        <v>2575</v>
      </c>
      <c r="D399" s="721">
        <v>95</v>
      </c>
      <c r="E399" s="721" t="s">
        <v>49</v>
      </c>
      <c r="F399" s="721" t="s">
        <v>154</v>
      </c>
      <c r="G399" s="721" t="s">
        <v>2546</v>
      </c>
      <c r="H399" s="721" t="s">
        <v>2043</v>
      </c>
      <c r="I399" s="721"/>
      <c r="J399" s="721"/>
      <c r="K399" s="721" t="s">
        <v>2044</v>
      </c>
      <c r="L399" s="721">
        <v>79307606</v>
      </c>
      <c r="M399" s="722" t="s">
        <v>955</v>
      </c>
      <c r="N399" s="746"/>
      <c r="O399" s="746"/>
      <c r="P399" s="746"/>
      <c r="Q399" s="746"/>
      <c r="R399" s="521"/>
      <c r="S399" s="521"/>
    </row>
    <row r="400" spans="1:19" ht="25.5">
      <c r="A400" s="723">
        <v>385</v>
      </c>
      <c r="B400" s="723">
        <v>9619521</v>
      </c>
      <c r="C400" s="723" t="s">
        <v>2576</v>
      </c>
      <c r="D400" s="723">
        <v>95</v>
      </c>
      <c r="E400" s="723" t="s">
        <v>49</v>
      </c>
      <c r="F400" s="723" t="s">
        <v>154</v>
      </c>
      <c r="G400" s="723" t="s">
        <v>2546</v>
      </c>
      <c r="H400" s="723" t="s">
        <v>2043</v>
      </c>
      <c r="I400" s="723"/>
      <c r="J400" s="723" t="s">
        <v>2577</v>
      </c>
      <c r="K400" s="723" t="s">
        <v>2044</v>
      </c>
      <c r="L400" s="723">
        <v>88152829</v>
      </c>
      <c r="M400" s="724" t="s">
        <v>955</v>
      </c>
      <c r="N400" s="746"/>
      <c r="O400" s="746"/>
      <c r="P400" s="746"/>
      <c r="Q400" s="746"/>
      <c r="R400" s="521"/>
      <c r="S400" s="521"/>
    </row>
    <row r="401" spans="1:19" ht="25.5">
      <c r="A401" s="721">
        <v>386</v>
      </c>
      <c r="B401" s="721">
        <v>9629502</v>
      </c>
      <c r="C401" s="721" t="s">
        <v>2578</v>
      </c>
      <c r="D401" s="721">
        <v>95</v>
      </c>
      <c r="E401" s="721" t="s">
        <v>49</v>
      </c>
      <c r="F401" s="721" t="s">
        <v>154</v>
      </c>
      <c r="G401" s="721" t="s">
        <v>2546</v>
      </c>
      <c r="H401" s="721" t="s">
        <v>2043</v>
      </c>
      <c r="I401" s="721"/>
      <c r="J401" s="721"/>
      <c r="K401" s="721" t="s">
        <v>2044</v>
      </c>
      <c r="L401" s="721">
        <v>52015771</v>
      </c>
      <c r="M401" s="722" t="s">
        <v>955</v>
      </c>
      <c r="N401" s="746"/>
      <c r="O401" s="746"/>
      <c r="P401" s="746"/>
      <c r="Q401" s="746"/>
      <c r="R401" s="521"/>
      <c r="S401" s="521"/>
    </row>
    <row r="402" spans="1:19" ht="25.5">
      <c r="A402" s="723">
        <v>387</v>
      </c>
      <c r="B402" s="723">
        <v>9629519</v>
      </c>
      <c r="C402" s="723" t="s">
        <v>2579</v>
      </c>
      <c r="D402" s="723">
        <v>95</v>
      </c>
      <c r="E402" s="723" t="s">
        <v>49</v>
      </c>
      <c r="F402" s="723" t="s">
        <v>154</v>
      </c>
      <c r="G402" s="723" t="s">
        <v>2546</v>
      </c>
      <c r="H402" s="723" t="s">
        <v>2043</v>
      </c>
      <c r="I402" s="723" t="s">
        <v>2580</v>
      </c>
      <c r="J402" s="723" t="s">
        <v>2581</v>
      </c>
      <c r="K402" s="723" t="s">
        <v>2044</v>
      </c>
      <c r="L402" s="723">
        <v>51635122</v>
      </c>
      <c r="M402" s="723" t="s">
        <v>2093</v>
      </c>
      <c r="N402" s="746"/>
      <c r="O402" s="746"/>
      <c r="P402" s="746"/>
      <c r="Q402" s="746"/>
      <c r="R402" s="521"/>
      <c r="S402" s="521"/>
    </row>
    <row r="403" spans="1:19" ht="25.5">
      <c r="A403" s="721">
        <v>388</v>
      </c>
      <c r="B403" s="721">
        <v>9719503</v>
      </c>
      <c r="C403" s="721" t="s">
        <v>2582</v>
      </c>
      <c r="D403" s="721">
        <v>95</v>
      </c>
      <c r="E403" s="721" t="s">
        <v>49</v>
      </c>
      <c r="F403" s="721" t="s">
        <v>154</v>
      </c>
      <c r="G403" s="721" t="s">
        <v>2546</v>
      </c>
      <c r="H403" s="721" t="s">
        <v>2043</v>
      </c>
      <c r="I403" s="721" t="s">
        <v>2583</v>
      </c>
      <c r="J403" s="721" t="s">
        <v>2584</v>
      </c>
      <c r="K403" s="721" t="s">
        <v>2044</v>
      </c>
      <c r="L403" s="721">
        <v>79514755</v>
      </c>
      <c r="M403" s="721" t="s">
        <v>2184</v>
      </c>
      <c r="N403" s="746"/>
      <c r="O403" s="746"/>
      <c r="P403" s="746"/>
      <c r="Q403" s="746"/>
      <c r="R403" s="521"/>
      <c r="S403" s="521"/>
    </row>
    <row r="404" spans="1:19" ht="25.5">
      <c r="A404" s="723">
        <v>389</v>
      </c>
      <c r="B404" s="723">
        <v>9719505</v>
      </c>
      <c r="C404" s="723" t="s">
        <v>2585</v>
      </c>
      <c r="D404" s="723">
        <v>95</v>
      </c>
      <c r="E404" s="723" t="s">
        <v>49</v>
      </c>
      <c r="F404" s="723" t="s">
        <v>154</v>
      </c>
      <c r="G404" s="723" t="s">
        <v>2546</v>
      </c>
      <c r="H404" s="723" t="s">
        <v>2043</v>
      </c>
      <c r="I404" s="723"/>
      <c r="J404" s="723"/>
      <c r="K404" s="723" t="s">
        <v>2044</v>
      </c>
      <c r="L404" s="723">
        <v>79488598</v>
      </c>
      <c r="M404" s="724" t="s">
        <v>955</v>
      </c>
      <c r="N404" s="746"/>
      <c r="O404" s="746"/>
      <c r="P404" s="746"/>
      <c r="Q404" s="746"/>
      <c r="R404" s="521"/>
      <c r="S404" s="521"/>
    </row>
    <row r="405" spans="1:19" ht="25.5">
      <c r="A405" s="721">
        <v>390</v>
      </c>
      <c r="B405" s="721">
        <v>9719508</v>
      </c>
      <c r="C405" s="721" t="s">
        <v>2586</v>
      </c>
      <c r="D405" s="721">
        <v>95</v>
      </c>
      <c r="E405" s="721" t="s">
        <v>49</v>
      </c>
      <c r="F405" s="721" t="s">
        <v>154</v>
      </c>
      <c r="G405" s="721" t="s">
        <v>2546</v>
      </c>
      <c r="H405" s="721" t="s">
        <v>2043</v>
      </c>
      <c r="I405" s="721"/>
      <c r="J405" s="721"/>
      <c r="K405" s="721" t="s">
        <v>2044</v>
      </c>
      <c r="L405" s="721">
        <v>28296934</v>
      </c>
      <c r="M405" s="721" t="s">
        <v>2082</v>
      </c>
      <c r="N405" s="746"/>
      <c r="O405" s="746"/>
      <c r="P405" s="746"/>
      <c r="Q405" s="746"/>
      <c r="R405" s="521"/>
      <c r="S405" s="521"/>
    </row>
    <row r="406" spans="1:19" ht="25.5">
      <c r="A406" s="723">
        <v>391</v>
      </c>
      <c r="B406" s="723">
        <v>9719512</v>
      </c>
      <c r="C406" s="723" t="s">
        <v>2587</v>
      </c>
      <c r="D406" s="723">
        <v>95</v>
      </c>
      <c r="E406" s="723" t="s">
        <v>49</v>
      </c>
      <c r="F406" s="723" t="s">
        <v>154</v>
      </c>
      <c r="G406" s="723" t="s">
        <v>2546</v>
      </c>
      <c r="H406" s="723" t="s">
        <v>2043</v>
      </c>
      <c r="I406" s="723"/>
      <c r="J406" s="723"/>
      <c r="K406" s="723" t="s">
        <v>2044</v>
      </c>
      <c r="L406" s="723">
        <v>101</v>
      </c>
      <c r="M406" s="724" t="s">
        <v>955</v>
      </c>
      <c r="N406" s="746"/>
      <c r="O406" s="746"/>
      <c r="P406" s="746"/>
      <c r="Q406" s="746"/>
      <c r="R406" s="521"/>
      <c r="S406" s="521"/>
    </row>
    <row r="407" spans="1:19" ht="25.5">
      <c r="A407" s="721">
        <v>392</v>
      </c>
      <c r="B407" s="721">
        <v>9729503</v>
      </c>
      <c r="C407" s="721" t="s">
        <v>2588</v>
      </c>
      <c r="D407" s="721">
        <v>95</v>
      </c>
      <c r="E407" s="721" t="s">
        <v>49</v>
      </c>
      <c r="F407" s="721" t="s">
        <v>154</v>
      </c>
      <c r="G407" s="721" t="s">
        <v>2546</v>
      </c>
      <c r="H407" s="721" t="s">
        <v>2043</v>
      </c>
      <c r="I407" s="721"/>
      <c r="J407" s="721"/>
      <c r="K407" s="721" t="s">
        <v>2044</v>
      </c>
      <c r="L407" s="721">
        <v>52107593</v>
      </c>
      <c r="M407" s="722" t="s">
        <v>955</v>
      </c>
      <c r="N407" s="746"/>
      <c r="O407" s="746"/>
      <c r="P407" s="746"/>
      <c r="Q407" s="746"/>
      <c r="R407" s="521"/>
      <c r="S407" s="521"/>
    </row>
    <row r="408" spans="1:19" ht="25.5">
      <c r="A408" s="723">
        <v>393</v>
      </c>
      <c r="B408" s="723">
        <v>9729508</v>
      </c>
      <c r="C408" s="723" t="s">
        <v>2589</v>
      </c>
      <c r="D408" s="723">
        <v>95</v>
      </c>
      <c r="E408" s="723" t="s">
        <v>49</v>
      </c>
      <c r="F408" s="723" t="s">
        <v>154</v>
      </c>
      <c r="G408" s="723" t="s">
        <v>2546</v>
      </c>
      <c r="H408" s="723" t="s">
        <v>2043</v>
      </c>
      <c r="I408" s="723" t="s">
        <v>2590</v>
      </c>
      <c r="J408" s="723" t="s">
        <v>2591</v>
      </c>
      <c r="K408" s="723" t="s">
        <v>2044</v>
      </c>
      <c r="L408" s="723">
        <v>19486608</v>
      </c>
      <c r="M408" s="723" t="s">
        <v>2082</v>
      </c>
      <c r="N408" s="746"/>
      <c r="O408" s="746"/>
      <c r="P408" s="746"/>
      <c r="Q408" s="746"/>
      <c r="R408" s="521"/>
      <c r="S408" s="521"/>
    </row>
    <row r="409" spans="1:19" ht="25.5">
      <c r="A409" s="721">
        <v>394</v>
      </c>
      <c r="B409" s="721">
        <v>9729516</v>
      </c>
      <c r="C409" s="721" t="s">
        <v>2592</v>
      </c>
      <c r="D409" s="721">
        <v>95</v>
      </c>
      <c r="E409" s="721" t="s">
        <v>49</v>
      </c>
      <c r="F409" s="721" t="s">
        <v>154</v>
      </c>
      <c r="G409" s="721" t="s">
        <v>2546</v>
      </c>
      <c r="H409" s="721" t="s">
        <v>2043</v>
      </c>
      <c r="I409" s="721" t="s">
        <v>2593</v>
      </c>
      <c r="J409" s="721" t="s">
        <v>2594</v>
      </c>
      <c r="K409" s="721" t="s">
        <v>2044</v>
      </c>
      <c r="L409" s="721">
        <v>42071744</v>
      </c>
      <c r="M409" s="721" t="s">
        <v>2139</v>
      </c>
      <c r="N409" s="746"/>
      <c r="O409" s="746"/>
      <c r="P409" s="746"/>
      <c r="Q409" s="746"/>
      <c r="R409" s="521"/>
      <c r="S409" s="521"/>
    </row>
    <row r="410" spans="1:19" ht="25.5">
      <c r="A410" s="723">
        <v>395</v>
      </c>
      <c r="B410" s="723">
        <v>9819505</v>
      </c>
      <c r="C410" s="723" t="s">
        <v>2595</v>
      </c>
      <c r="D410" s="723">
        <v>95</v>
      </c>
      <c r="E410" s="723" t="s">
        <v>49</v>
      </c>
      <c r="F410" s="723" t="s">
        <v>154</v>
      </c>
      <c r="G410" s="723" t="s">
        <v>2546</v>
      </c>
      <c r="H410" s="723" t="s">
        <v>2043</v>
      </c>
      <c r="I410" s="723"/>
      <c r="J410" s="723"/>
      <c r="K410" s="723" t="s">
        <v>2044</v>
      </c>
      <c r="L410" s="723">
        <v>50177065</v>
      </c>
      <c r="M410" s="724" t="s">
        <v>955</v>
      </c>
      <c r="N410" s="746"/>
      <c r="O410" s="746"/>
      <c r="P410" s="746"/>
      <c r="Q410" s="746"/>
      <c r="R410" s="521"/>
      <c r="S410" s="521"/>
    </row>
    <row r="411" spans="1:19" ht="25.5">
      <c r="A411" s="721">
        <v>396</v>
      </c>
      <c r="B411" s="721">
        <v>9819525</v>
      </c>
      <c r="C411" s="721" t="s">
        <v>2596</v>
      </c>
      <c r="D411" s="721">
        <v>95</v>
      </c>
      <c r="E411" s="721" t="s">
        <v>49</v>
      </c>
      <c r="F411" s="721" t="s">
        <v>154</v>
      </c>
      <c r="G411" s="721" t="s">
        <v>2546</v>
      </c>
      <c r="H411" s="721" t="s">
        <v>2043</v>
      </c>
      <c r="I411" s="721" t="s">
        <v>2597</v>
      </c>
      <c r="J411" s="721" t="s">
        <v>2598</v>
      </c>
      <c r="K411" s="721" t="s">
        <v>2044</v>
      </c>
      <c r="L411" s="721">
        <v>92516256</v>
      </c>
      <c r="M411" s="721" t="s">
        <v>2599</v>
      </c>
      <c r="N411" s="746"/>
      <c r="O411" s="746"/>
      <c r="P411" s="746"/>
      <c r="Q411" s="746"/>
      <c r="R411" s="521"/>
      <c r="S411" s="521"/>
    </row>
    <row r="412" spans="1:19" ht="25.5">
      <c r="A412" s="723">
        <v>397</v>
      </c>
      <c r="B412" s="723">
        <v>9819526</v>
      </c>
      <c r="C412" s="723" t="s">
        <v>2600</v>
      </c>
      <c r="D412" s="723">
        <v>95</v>
      </c>
      <c r="E412" s="723" t="s">
        <v>49</v>
      </c>
      <c r="F412" s="723" t="s">
        <v>154</v>
      </c>
      <c r="G412" s="723" t="s">
        <v>2546</v>
      </c>
      <c r="H412" s="723" t="s">
        <v>2043</v>
      </c>
      <c r="I412" s="723"/>
      <c r="J412" s="723"/>
      <c r="K412" s="723" t="s">
        <v>2044</v>
      </c>
      <c r="L412" s="723">
        <v>93373973</v>
      </c>
      <c r="M412" s="724" t="s">
        <v>955</v>
      </c>
      <c r="N412" s="746"/>
      <c r="O412" s="746"/>
      <c r="P412" s="746"/>
      <c r="Q412" s="746"/>
      <c r="R412" s="521"/>
      <c r="S412" s="521"/>
    </row>
    <row r="413" spans="1:19" ht="25.5">
      <c r="A413" s="721">
        <v>398</v>
      </c>
      <c r="B413" s="721">
        <v>9819528</v>
      </c>
      <c r="C413" s="721" t="s">
        <v>2601</v>
      </c>
      <c r="D413" s="721">
        <v>95</v>
      </c>
      <c r="E413" s="721" t="s">
        <v>49</v>
      </c>
      <c r="F413" s="721" t="s">
        <v>154</v>
      </c>
      <c r="G413" s="721" t="s">
        <v>2546</v>
      </c>
      <c r="H413" s="721" t="s">
        <v>2043</v>
      </c>
      <c r="I413" s="721" t="s">
        <v>2602</v>
      </c>
      <c r="J413" s="721" t="s">
        <v>2603</v>
      </c>
      <c r="K413" s="721" t="s">
        <v>2044</v>
      </c>
      <c r="L413" s="721">
        <v>25682805</v>
      </c>
      <c r="M413" s="721" t="s">
        <v>2082</v>
      </c>
      <c r="N413" s="746"/>
      <c r="O413" s="746"/>
      <c r="P413" s="746"/>
      <c r="Q413" s="746"/>
      <c r="R413" s="521"/>
      <c r="S413" s="521"/>
    </row>
    <row r="414" spans="1:19" ht="25.5">
      <c r="A414" s="723">
        <v>399</v>
      </c>
      <c r="B414" s="723">
        <v>9819536</v>
      </c>
      <c r="C414" s="723" t="s">
        <v>2604</v>
      </c>
      <c r="D414" s="723">
        <v>95</v>
      </c>
      <c r="E414" s="723" t="s">
        <v>49</v>
      </c>
      <c r="F414" s="723" t="s">
        <v>154</v>
      </c>
      <c r="G414" s="723" t="s">
        <v>2546</v>
      </c>
      <c r="H414" s="723" t="s">
        <v>2043</v>
      </c>
      <c r="I414" s="723"/>
      <c r="J414" s="723"/>
      <c r="K414" s="723" t="s">
        <v>2044</v>
      </c>
      <c r="L414" s="723">
        <v>19315420</v>
      </c>
      <c r="M414" s="724" t="s">
        <v>955</v>
      </c>
      <c r="N414" s="746"/>
      <c r="O414" s="746"/>
      <c r="P414" s="746"/>
      <c r="Q414" s="746"/>
      <c r="R414" s="521"/>
      <c r="S414" s="521"/>
    </row>
    <row r="415" spans="1:19" ht="25.5">
      <c r="A415" s="721">
        <v>400</v>
      </c>
      <c r="B415" s="721">
        <v>9819542</v>
      </c>
      <c r="C415" s="721" t="s">
        <v>2605</v>
      </c>
      <c r="D415" s="721">
        <v>95</v>
      </c>
      <c r="E415" s="721" t="s">
        <v>49</v>
      </c>
      <c r="F415" s="721" t="s">
        <v>154</v>
      </c>
      <c r="G415" s="721" t="s">
        <v>2546</v>
      </c>
      <c r="H415" s="721" t="s">
        <v>2043</v>
      </c>
      <c r="I415" s="721"/>
      <c r="J415" s="721"/>
      <c r="K415" s="721" t="s">
        <v>2044</v>
      </c>
      <c r="L415" s="721">
        <v>79567245</v>
      </c>
      <c r="M415" s="722" t="s">
        <v>955</v>
      </c>
      <c r="N415" s="746"/>
      <c r="O415" s="746"/>
      <c r="P415" s="746"/>
      <c r="Q415" s="746"/>
      <c r="R415" s="521"/>
      <c r="S415" s="521"/>
    </row>
    <row r="416" spans="1:19" ht="25.5">
      <c r="A416" s="723">
        <v>401</v>
      </c>
      <c r="B416" s="723">
        <v>9819544</v>
      </c>
      <c r="C416" s="723" t="s">
        <v>2606</v>
      </c>
      <c r="D416" s="723">
        <v>95</v>
      </c>
      <c r="E416" s="723" t="s">
        <v>49</v>
      </c>
      <c r="F416" s="723" t="s">
        <v>154</v>
      </c>
      <c r="G416" s="723" t="s">
        <v>2546</v>
      </c>
      <c r="H416" s="723" t="s">
        <v>2043</v>
      </c>
      <c r="I416" s="723"/>
      <c r="J416" s="723"/>
      <c r="K416" s="723" t="s">
        <v>2044</v>
      </c>
      <c r="L416" s="723">
        <v>93367591</v>
      </c>
      <c r="M416" s="724" t="s">
        <v>955</v>
      </c>
      <c r="N416" s="746"/>
      <c r="O416" s="746"/>
      <c r="P416" s="746"/>
      <c r="Q416" s="746"/>
      <c r="R416" s="521"/>
      <c r="S416" s="521"/>
    </row>
    <row r="417" spans="1:19" ht="25.5">
      <c r="A417" s="721">
        <v>402</v>
      </c>
      <c r="B417" s="721">
        <v>9819549</v>
      </c>
      <c r="C417" s="721" t="s">
        <v>2607</v>
      </c>
      <c r="D417" s="721">
        <v>95</v>
      </c>
      <c r="E417" s="721" t="s">
        <v>49</v>
      </c>
      <c r="F417" s="721" t="s">
        <v>154</v>
      </c>
      <c r="G417" s="721" t="s">
        <v>2546</v>
      </c>
      <c r="H417" s="721" t="s">
        <v>2043</v>
      </c>
      <c r="I417" s="721"/>
      <c r="J417" s="721"/>
      <c r="K417" s="721" t="s">
        <v>2044</v>
      </c>
      <c r="L417" s="721">
        <v>79450784</v>
      </c>
      <c r="M417" s="722" t="s">
        <v>955</v>
      </c>
      <c r="N417" s="746"/>
      <c r="O417" s="746"/>
      <c r="P417" s="746"/>
      <c r="Q417" s="746"/>
      <c r="R417" s="521"/>
      <c r="S417" s="521"/>
    </row>
    <row r="418" spans="1:19" ht="25.5">
      <c r="A418" s="723">
        <v>403</v>
      </c>
      <c r="B418" s="723">
        <v>9829502</v>
      </c>
      <c r="C418" s="723" t="s">
        <v>2608</v>
      </c>
      <c r="D418" s="723">
        <v>95</v>
      </c>
      <c r="E418" s="723" t="s">
        <v>49</v>
      </c>
      <c r="F418" s="723" t="s">
        <v>154</v>
      </c>
      <c r="G418" s="723" t="s">
        <v>2546</v>
      </c>
      <c r="H418" s="723" t="s">
        <v>2043</v>
      </c>
      <c r="I418" s="723"/>
      <c r="J418" s="723"/>
      <c r="K418" s="723" t="s">
        <v>2044</v>
      </c>
      <c r="L418" s="723">
        <v>79531664</v>
      </c>
      <c r="M418" s="724" t="s">
        <v>955</v>
      </c>
      <c r="N418" s="746"/>
      <c r="O418" s="746"/>
      <c r="P418" s="746"/>
      <c r="Q418" s="746"/>
      <c r="R418" s="521"/>
      <c r="S418" s="521"/>
    </row>
    <row r="419" spans="1:19" ht="25.5">
      <c r="A419" s="721">
        <v>404</v>
      </c>
      <c r="B419" s="721">
        <v>9829506</v>
      </c>
      <c r="C419" s="721" t="s">
        <v>2609</v>
      </c>
      <c r="D419" s="721">
        <v>95</v>
      </c>
      <c r="E419" s="721" t="s">
        <v>49</v>
      </c>
      <c r="F419" s="721" t="s">
        <v>154</v>
      </c>
      <c r="G419" s="721" t="s">
        <v>2546</v>
      </c>
      <c r="H419" s="721" t="s">
        <v>2043</v>
      </c>
      <c r="I419" s="721" t="s">
        <v>2610</v>
      </c>
      <c r="J419" s="721" t="s">
        <v>2611</v>
      </c>
      <c r="K419" s="721" t="s">
        <v>2044</v>
      </c>
      <c r="L419" s="721">
        <v>79520844</v>
      </c>
      <c r="M419" s="721" t="s">
        <v>2612</v>
      </c>
      <c r="N419" s="746"/>
      <c r="O419" s="746"/>
      <c r="P419" s="746"/>
      <c r="Q419" s="746"/>
      <c r="R419" s="521"/>
      <c r="S419" s="521"/>
    </row>
    <row r="420" spans="1:19" ht="25.5">
      <c r="A420" s="723">
        <v>405</v>
      </c>
      <c r="B420" s="723">
        <v>9829512</v>
      </c>
      <c r="C420" s="723" t="s">
        <v>2613</v>
      </c>
      <c r="D420" s="723">
        <v>95</v>
      </c>
      <c r="E420" s="723" t="s">
        <v>49</v>
      </c>
      <c r="F420" s="723" t="s">
        <v>154</v>
      </c>
      <c r="G420" s="723" t="s">
        <v>2546</v>
      </c>
      <c r="H420" s="723" t="s">
        <v>2043</v>
      </c>
      <c r="I420" s="723"/>
      <c r="J420" s="723"/>
      <c r="K420" s="723" t="s">
        <v>2044</v>
      </c>
      <c r="L420" s="723">
        <v>79132721</v>
      </c>
      <c r="M420" s="724" t="s">
        <v>955</v>
      </c>
      <c r="N420" s="746"/>
      <c r="O420" s="746"/>
      <c r="P420" s="746"/>
      <c r="Q420" s="746"/>
      <c r="R420" s="521"/>
      <c r="S420" s="521"/>
    </row>
    <row r="421" spans="1:19" ht="25.5">
      <c r="A421" s="721">
        <v>406</v>
      </c>
      <c r="B421" s="721">
        <v>9829520</v>
      </c>
      <c r="C421" s="721" t="s">
        <v>2614</v>
      </c>
      <c r="D421" s="721">
        <v>95</v>
      </c>
      <c r="E421" s="721" t="s">
        <v>49</v>
      </c>
      <c r="F421" s="721" t="s">
        <v>154</v>
      </c>
      <c r="G421" s="721" t="s">
        <v>2546</v>
      </c>
      <c r="H421" s="721" t="s">
        <v>2043</v>
      </c>
      <c r="I421" s="721" t="s">
        <v>2615</v>
      </c>
      <c r="J421" s="721" t="s">
        <v>2616</v>
      </c>
      <c r="K421" s="721" t="s">
        <v>2044</v>
      </c>
      <c r="L421" s="721">
        <v>83116152</v>
      </c>
      <c r="M421" s="721" t="s">
        <v>2082</v>
      </c>
      <c r="N421" s="746"/>
      <c r="O421" s="746"/>
      <c r="P421" s="746"/>
      <c r="Q421" s="746"/>
      <c r="R421" s="521"/>
      <c r="S421" s="521"/>
    </row>
    <row r="422" spans="1:19" ht="25.5">
      <c r="A422" s="723">
        <v>407</v>
      </c>
      <c r="B422" s="723">
        <v>9829521</v>
      </c>
      <c r="C422" s="723" t="s">
        <v>2617</v>
      </c>
      <c r="D422" s="723">
        <v>95</v>
      </c>
      <c r="E422" s="723" t="s">
        <v>49</v>
      </c>
      <c r="F422" s="723" t="s">
        <v>154</v>
      </c>
      <c r="G422" s="723" t="s">
        <v>2546</v>
      </c>
      <c r="H422" s="723" t="s">
        <v>2043</v>
      </c>
      <c r="I422" s="723"/>
      <c r="J422" s="723"/>
      <c r="K422" s="723" t="s">
        <v>2044</v>
      </c>
      <c r="L422" s="723">
        <v>52148641</v>
      </c>
      <c r="M422" s="724" t="s">
        <v>955</v>
      </c>
      <c r="N422" s="746"/>
      <c r="O422" s="746"/>
      <c r="P422" s="746"/>
      <c r="Q422" s="746"/>
      <c r="R422" s="521"/>
      <c r="S422" s="521"/>
    </row>
    <row r="423" spans="1:19" ht="25.5">
      <c r="A423" s="721">
        <v>408</v>
      </c>
      <c r="B423" s="721">
        <v>9829525</v>
      </c>
      <c r="C423" s="721" t="s">
        <v>2618</v>
      </c>
      <c r="D423" s="721">
        <v>95</v>
      </c>
      <c r="E423" s="721" t="s">
        <v>49</v>
      </c>
      <c r="F423" s="721" t="s">
        <v>154</v>
      </c>
      <c r="G423" s="721" t="s">
        <v>2546</v>
      </c>
      <c r="H423" s="721" t="s">
        <v>2043</v>
      </c>
      <c r="I423" s="721" t="s">
        <v>2619</v>
      </c>
      <c r="J423" s="721" t="s">
        <v>2620</v>
      </c>
      <c r="K423" s="721" t="s">
        <v>2044</v>
      </c>
      <c r="L423" s="721">
        <v>13195914</v>
      </c>
      <c r="M423" s="722" t="s">
        <v>955</v>
      </c>
      <c r="N423" s="746"/>
      <c r="O423" s="746"/>
      <c r="P423" s="746"/>
      <c r="Q423" s="746"/>
      <c r="R423" s="521"/>
      <c r="S423" s="521"/>
    </row>
    <row r="424" spans="1:19" ht="25.5">
      <c r="A424" s="723">
        <v>409</v>
      </c>
      <c r="B424" s="723">
        <v>9919502</v>
      </c>
      <c r="C424" s="723" t="s">
        <v>2621</v>
      </c>
      <c r="D424" s="723">
        <v>95</v>
      </c>
      <c r="E424" s="723" t="s">
        <v>49</v>
      </c>
      <c r="F424" s="723" t="s">
        <v>154</v>
      </c>
      <c r="G424" s="723" t="s">
        <v>2546</v>
      </c>
      <c r="H424" s="723" t="s">
        <v>2043</v>
      </c>
      <c r="I424" s="723"/>
      <c r="J424" s="723"/>
      <c r="K424" s="723" t="s">
        <v>2044</v>
      </c>
      <c r="L424" s="723">
        <v>79554125</v>
      </c>
      <c r="M424" s="724" t="s">
        <v>955</v>
      </c>
      <c r="N424" s="746"/>
      <c r="O424" s="746"/>
      <c r="P424" s="746"/>
      <c r="Q424" s="746"/>
      <c r="R424" s="521"/>
      <c r="S424" s="521"/>
    </row>
    <row r="425" spans="1:19" ht="25.5">
      <c r="A425" s="721">
        <v>410</v>
      </c>
      <c r="B425" s="721">
        <v>9919507</v>
      </c>
      <c r="C425" s="721" t="s">
        <v>2622</v>
      </c>
      <c r="D425" s="721">
        <v>95</v>
      </c>
      <c r="E425" s="721" t="s">
        <v>49</v>
      </c>
      <c r="F425" s="721" t="s">
        <v>154</v>
      </c>
      <c r="G425" s="721" t="s">
        <v>2546</v>
      </c>
      <c r="H425" s="721" t="s">
        <v>2043</v>
      </c>
      <c r="I425" s="721"/>
      <c r="J425" s="721"/>
      <c r="K425" s="721" t="s">
        <v>2044</v>
      </c>
      <c r="L425" s="721">
        <v>79509549</v>
      </c>
      <c r="M425" s="722" t="s">
        <v>955</v>
      </c>
      <c r="N425" s="746"/>
      <c r="O425" s="746"/>
      <c r="P425" s="746"/>
      <c r="Q425" s="746"/>
      <c r="R425" s="521"/>
      <c r="S425" s="521"/>
    </row>
    <row r="426" spans="1:19" ht="25.5">
      <c r="A426" s="723">
        <v>411</v>
      </c>
      <c r="B426" s="723">
        <v>9919514</v>
      </c>
      <c r="C426" s="723" t="s">
        <v>2623</v>
      </c>
      <c r="D426" s="723">
        <v>95</v>
      </c>
      <c r="E426" s="723" t="s">
        <v>49</v>
      </c>
      <c r="F426" s="723" t="s">
        <v>154</v>
      </c>
      <c r="G426" s="723" t="s">
        <v>2546</v>
      </c>
      <c r="H426" s="723" t="s">
        <v>2043</v>
      </c>
      <c r="I426" s="723"/>
      <c r="J426" s="723"/>
      <c r="K426" s="723" t="s">
        <v>2044</v>
      </c>
      <c r="L426" s="723">
        <v>52077570</v>
      </c>
      <c r="M426" s="724" t="s">
        <v>955</v>
      </c>
      <c r="N426" s="746"/>
      <c r="O426" s="746"/>
      <c r="P426" s="746"/>
      <c r="Q426" s="746"/>
      <c r="R426" s="521"/>
      <c r="S426" s="521"/>
    </row>
    <row r="427" spans="1:19" ht="25.5">
      <c r="A427" s="721">
        <v>412</v>
      </c>
      <c r="B427" s="721">
        <v>9919515</v>
      </c>
      <c r="C427" s="721" t="s">
        <v>2475</v>
      </c>
      <c r="D427" s="721">
        <v>95</v>
      </c>
      <c r="E427" s="721" t="s">
        <v>49</v>
      </c>
      <c r="F427" s="721" t="s">
        <v>154</v>
      </c>
      <c r="G427" s="721" t="s">
        <v>2546</v>
      </c>
      <c r="H427" s="721" t="s">
        <v>2043</v>
      </c>
      <c r="I427" s="721"/>
      <c r="J427" s="721"/>
      <c r="K427" s="721" t="s">
        <v>2044</v>
      </c>
      <c r="L427" s="721">
        <v>51703747</v>
      </c>
      <c r="M427" s="722" t="s">
        <v>955</v>
      </c>
      <c r="N427" s="746"/>
      <c r="O427" s="746"/>
      <c r="P427" s="746"/>
      <c r="Q427" s="746"/>
      <c r="R427" s="521"/>
      <c r="S427" s="521"/>
    </row>
    <row r="428" spans="1:19" ht="25.5">
      <c r="A428" s="723">
        <v>413</v>
      </c>
      <c r="B428" s="723">
        <v>9919521</v>
      </c>
      <c r="C428" s="723" t="s">
        <v>2624</v>
      </c>
      <c r="D428" s="723">
        <v>95</v>
      </c>
      <c r="E428" s="723" t="s">
        <v>49</v>
      </c>
      <c r="F428" s="723" t="s">
        <v>154</v>
      </c>
      <c r="G428" s="723" t="s">
        <v>2546</v>
      </c>
      <c r="H428" s="723" t="s">
        <v>2043</v>
      </c>
      <c r="I428" s="723"/>
      <c r="J428" s="723"/>
      <c r="K428" s="723" t="s">
        <v>2044</v>
      </c>
      <c r="L428" s="723">
        <v>19279196</v>
      </c>
      <c r="M428" s="724" t="s">
        <v>955</v>
      </c>
      <c r="N428" s="746"/>
      <c r="O428" s="746"/>
      <c r="P428" s="746"/>
      <c r="Q428" s="746"/>
      <c r="R428" s="521"/>
      <c r="S428" s="521"/>
    </row>
    <row r="429" spans="1:19" ht="25.5">
      <c r="A429" s="721">
        <v>414</v>
      </c>
      <c r="B429" s="721">
        <v>9919523</v>
      </c>
      <c r="C429" s="721" t="s">
        <v>2625</v>
      </c>
      <c r="D429" s="721">
        <v>95</v>
      </c>
      <c r="E429" s="721" t="s">
        <v>49</v>
      </c>
      <c r="F429" s="721" t="s">
        <v>154</v>
      </c>
      <c r="G429" s="721" t="s">
        <v>2546</v>
      </c>
      <c r="H429" s="721" t="s">
        <v>2043</v>
      </c>
      <c r="I429" s="721"/>
      <c r="J429" s="721"/>
      <c r="K429" s="721" t="s">
        <v>2044</v>
      </c>
      <c r="L429" s="721">
        <v>79693246</v>
      </c>
      <c r="M429" s="722" t="s">
        <v>955</v>
      </c>
      <c r="N429" s="746"/>
      <c r="O429" s="746"/>
      <c r="P429" s="746"/>
      <c r="Q429" s="746"/>
      <c r="R429" s="521"/>
      <c r="S429" s="521"/>
    </row>
    <row r="430" spans="1:19" ht="25.5">
      <c r="A430" s="723">
        <v>415</v>
      </c>
      <c r="B430" s="723">
        <v>9919528</v>
      </c>
      <c r="C430" s="723" t="s">
        <v>2626</v>
      </c>
      <c r="D430" s="723">
        <v>95</v>
      </c>
      <c r="E430" s="723" t="s">
        <v>49</v>
      </c>
      <c r="F430" s="723" t="s">
        <v>154</v>
      </c>
      <c r="G430" s="723" t="s">
        <v>2546</v>
      </c>
      <c r="H430" s="723" t="s">
        <v>2043</v>
      </c>
      <c r="I430" s="723"/>
      <c r="J430" s="723"/>
      <c r="K430" s="723" t="s">
        <v>2044</v>
      </c>
      <c r="L430" s="723">
        <v>79359749</v>
      </c>
      <c r="M430" s="724" t="s">
        <v>955</v>
      </c>
      <c r="N430" s="746"/>
      <c r="O430" s="746"/>
      <c r="P430" s="746"/>
      <c r="Q430" s="746"/>
      <c r="R430" s="521"/>
      <c r="S430" s="521"/>
    </row>
    <row r="431" spans="1:19" ht="25.5">
      <c r="A431" s="721">
        <v>416</v>
      </c>
      <c r="B431" s="721">
        <v>9919529</v>
      </c>
      <c r="C431" s="721" t="s">
        <v>2627</v>
      </c>
      <c r="D431" s="721">
        <v>95</v>
      </c>
      <c r="E431" s="721" t="s">
        <v>49</v>
      </c>
      <c r="F431" s="721" t="s">
        <v>154</v>
      </c>
      <c r="G431" s="721" t="s">
        <v>2546</v>
      </c>
      <c r="H431" s="721" t="s">
        <v>2043</v>
      </c>
      <c r="I431" s="721" t="s">
        <v>2628</v>
      </c>
      <c r="J431" s="721" t="s">
        <v>2629</v>
      </c>
      <c r="K431" s="721" t="s">
        <v>2044</v>
      </c>
      <c r="L431" s="721">
        <v>93202793</v>
      </c>
      <c r="M431" s="721" t="s">
        <v>2286</v>
      </c>
      <c r="N431" s="746"/>
      <c r="O431" s="746"/>
      <c r="P431" s="746"/>
      <c r="Q431" s="746"/>
      <c r="R431" s="521"/>
      <c r="S431" s="521"/>
    </row>
    <row r="432" spans="1:19" ht="25.5">
      <c r="A432" s="723">
        <v>417</v>
      </c>
      <c r="B432" s="723">
        <v>9919535</v>
      </c>
      <c r="C432" s="723" t="s">
        <v>2630</v>
      </c>
      <c r="D432" s="723">
        <v>95</v>
      </c>
      <c r="E432" s="723" t="s">
        <v>49</v>
      </c>
      <c r="F432" s="723" t="s">
        <v>154</v>
      </c>
      <c r="G432" s="723" t="s">
        <v>2546</v>
      </c>
      <c r="H432" s="723" t="s">
        <v>2043</v>
      </c>
      <c r="I432" s="723"/>
      <c r="J432" s="723"/>
      <c r="K432" s="723" t="s">
        <v>2044</v>
      </c>
      <c r="L432" s="723">
        <v>12129127</v>
      </c>
      <c r="M432" s="724" t="s">
        <v>955</v>
      </c>
      <c r="N432" s="746"/>
      <c r="O432" s="746"/>
      <c r="P432" s="746"/>
      <c r="Q432" s="746"/>
      <c r="R432" s="521"/>
      <c r="S432" s="521"/>
    </row>
    <row r="433" spans="1:19" ht="25.5">
      <c r="A433" s="721">
        <v>418</v>
      </c>
      <c r="B433" s="721">
        <v>9919536</v>
      </c>
      <c r="C433" s="721" t="s">
        <v>2631</v>
      </c>
      <c r="D433" s="721">
        <v>95</v>
      </c>
      <c r="E433" s="721" t="s">
        <v>49</v>
      </c>
      <c r="F433" s="721" t="s">
        <v>154</v>
      </c>
      <c r="G433" s="721" t="s">
        <v>2546</v>
      </c>
      <c r="H433" s="721" t="s">
        <v>2043</v>
      </c>
      <c r="I433" s="721"/>
      <c r="J433" s="721"/>
      <c r="K433" s="721" t="s">
        <v>2044</v>
      </c>
      <c r="L433" s="721">
        <v>51921981</v>
      </c>
      <c r="M433" s="722" t="s">
        <v>955</v>
      </c>
      <c r="N433" s="746"/>
      <c r="O433" s="746"/>
      <c r="P433" s="746"/>
      <c r="Q433" s="746"/>
      <c r="R433" s="521"/>
      <c r="S433" s="521"/>
    </row>
    <row r="434" spans="1:19" ht="25.5">
      <c r="A434" s="723">
        <v>419</v>
      </c>
      <c r="B434" s="723">
        <v>9929502</v>
      </c>
      <c r="C434" s="723" t="s">
        <v>2632</v>
      </c>
      <c r="D434" s="723">
        <v>95</v>
      </c>
      <c r="E434" s="723" t="s">
        <v>49</v>
      </c>
      <c r="F434" s="723" t="s">
        <v>154</v>
      </c>
      <c r="G434" s="723" t="s">
        <v>2546</v>
      </c>
      <c r="H434" s="723" t="s">
        <v>2043</v>
      </c>
      <c r="I434" s="723"/>
      <c r="J434" s="723"/>
      <c r="K434" s="723" t="s">
        <v>2044</v>
      </c>
      <c r="L434" s="723">
        <v>52174590</v>
      </c>
      <c r="M434" s="724" t="s">
        <v>955</v>
      </c>
      <c r="N434" s="746"/>
      <c r="O434" s="746"/>
      <c r="P434" s="746"/>
      <c r="Q434" s="746"/>
      <c r="R434" s="521"/>
      <c r="S434" s="521"/>
    </row>
    <row r="435" spans="1:19" ht="25.5">
      <c r="A435" s="721">
        <v>420</v>
      </c>
      <c r="B435" s="721">
        <v>9929503</v>
      </c>
      <c r="C435" s="721" t="s">
        <v>2633</v>
      </c>
      <c r="D435" s="721">
        <v>95</v>
      </c>
      <c r="E435" s="721" t="s">
        <v>49</v>
      </c>
      <c r="F435" s="721" t="s">
        <v>154</v>
      </c>
      <c r="G435" s="721" t="s">
        <v>2546</v>
      </c>
      <c r="H435" s="721" t="s">
        <v>2043</v>
      </c>
      <c r="I435" s="721"/>
      <c r="J435" s="721"/>
      <c r="K435" s="721" t="s">
        <v>2044</v>
      </c>
      <c r="L435" s="721">
        <v>79687687</v>
      </c>
      <c r="M435" s="722" t="s">
        <v>955</v>
      </c>
      <c r="N435" s="746"/>
      <c r="O435" s="746"/>
      <c r="P435" s="746"/>
      <c r="Q435" s="746"/>
      <c r="R435" s="521"/>
      <c r="S435" s="521"/>
    </row>
    <row r="436" spans="1:19" ht="25.5">
      <c r="A436" s="723">
        <v>421</v>
      </c>
      <c r="B436" s="723">
        <v>9929511</v>
      </c>
      <c r="C436" s="723" t="s">
        <v>2634</v>
      </c>
      <c r="D436" s="723">
        <v>95</v>
      </c>
      <c r="E436" s="723" t="s">
        <v>49</v>
      </c>
      <c r="F436" s="723" t="s">
        <v>154</v>
      </c>
      <c r="G436" s="723" t="s">
        <v>2546</v>
      </c>
      <c r="H436" s="723" t="s">
        <v>2043</v>
      </c>
      <c r="I436" s="723"/>
      <c r="J436" s="723"/>
      <c r="K436" s="723" t="s">
        <v>2044</v>
      </c>
      <c r="L436" s="723">
        <v>65703328</v>
      </c>
      <c r="M436" s="724" t="s">
        <v>955</v>
      </c>
      <c r="N436" s="746"/>
      <c r="O436" s="746"/>
      <c r="P436" s="746"/>
      <c r="Q436" s="746"/>
      <c r="R436" s="521"/>
      <c r="S436" s="521"/>
    </row>
    <row r="437" spans="1:19" ht="25.5">
      <c r="A437" s="721">
        <v>422</v>
      </c>
      <c r="B437" s="721">
        <v>9929512</v>
      </c>
      <c r="C437" s="721" t="s">
        <v>2635</v>
      </c>
      <c r="D437" s="721">
        <v>95</v>
      </c>
      <c r="E437" s="721" t="s">
        <v>49</v>
      </c>
      <c r="F437" s="721" t="s">
        <v>154</v>
      </c>
      <c r="G437" s="721" t="s">
        <v>2546</v>
      </c>
      <c r="H437" s="721" t="s">
        <v>2043</v>
      </c>
      <c r="I437" s="721"/>
      <c r="J437" s="721"/>
      <c r="K437" s="721" t="s">
        <v>2044</v>
      </c>
      <c r="L437" s="721">
        <v>79696619</v>
      </c>
      <c r="M437" s="722" t="s">
        <v>955</v>
      </c>
      <c r="N437" s="746"/>
      <c r="O437" s="746"/>
      <c r="P437" s="746"/>
      <c r="Q437" s="746"/>
      <c r="R437" s="521"/>
      <c r="S437" s="521"/>
    </row>
    <row r="438" spans="1:19" ht="25.5">
      <c r="A438" s="723">
        <v>423</v>
      </c>
      <c r="B438" s="723">
        <v>9929513</v>
      </c>
      <c r="C438" s="723" t="s">
        <v>2636</v>
      </c>
      <c r="D438" s="723">
        <v>95</v>
      </c>
      <c r="E438" s="723" t="s">
        <v>49</v>
      </c>
      <c r="F438" s="723" t="s">
        <v>154</v>
      </c>
      <c r="G438" s="723" t="s">
        <v>2546</v>
      </c>
      <c r="H438" s="723" t="s">
        <v>2043</v>
      </c>
      <c r="I438" s="723"/>
      <c r="J438" s="723"/>
      <c r="K438" s="723" t="s">
        <v>2044</v>
      </c>
      <c r="L438" s="723">
        <v>40404289</v>
      </c>
      <c r="M438" s="724" t="s">
        <v>955</v>
      </c>
      <c r="N438" s="746"/>
      <c r="O438" s="746"/>
      <c r="P438" s="746"/>
      <c r="Q438" s="746"/>
      <c r="R438" s="521"/>
      <c r="S438" s="521"/>
    </row>
    <row r="439" spans="1:19" ht="25.5">
      <c r="A439" s="721">
        <v>424</v>
      </c>
      <c r="B439" s="721">
        <v>9929514</v>
      </c>
      <c r="C439" s="721" t="s">
        <v>2637</v>
      </c>
      <c r="D439" s="721">
        <v>95</v>
      </c>
      <c r="E439" s="721" t="s">
        <v>49</v>
      </c>
      <c r="F439" s="721" t="s">
        <v>154</v>
      </c>
      <c r="G439" s="721" t="s">
        <v>2546</v>
      </c>
      <c r="H439" s="721" t="s">
        <v>2043</v>
      </c>
      <c r="I439" s="721"/>
      <c r="J439" s="721" t="s">
        <v>2638</v>
      </c>
      <c r="K439" s="721" t="s">
        <v>2044</v>
      </c>
      <c r="L439" s="721">
        <v>52119437</v>
      </c>
      <c r="M439" s="721" t="s">
        <v>2599</v>
      </c>
      <c r="N439" s="746"/>
      <c r="O439" s="746"/>
      <c r="P439" s="746"/>
      <c r="Q439" s="746"/>
      <c r="R439" s="521"/>
      <c r="S439" s="521"/>
    </row>
    <row r="440" spans="1:19" ht="25.5">
      <c r="A440" s="723">
        <v>425</v>
      </c>
      <c r="B440" s="723">
        <v>9929516</v>
      </c>
      <c r="C440" s="723" t="s">
        <v>2639</v>
      </c>
      <c r="D440" s="723">
        <v>95</v>
      </c>
      <c r="E440" s="723" t="s">
        <v>49</v>
      </c>
      <c r="F440" s="723" t="s">
        <v>154</v>
      </c>
      <c r="G440" s="723" t="s">
        <v>2546</v>
      </c>
      <c r="H440" s="723" t="s">
        <v>2043</v>
      </c>
      <c r="I440" s="723"/>
      <c r="J440" s="723"/>
      <c r="K440" s="723" t="s">
        <v>2044</v>
      </c>
      <c r="L440" s="723">
        <v>79238372</v>
      </c>
      <c r="M440" s="723" t="s">
        <v>2139</v>
      </c>
      <c r="N440" s="746"/>
      <c r="O440" s="746"/>
      <c r="P440" s="746"/>
      <c r="Q440" s="746"/>
      <c r="R440" s="521"/>
      <c r="S440" s="521"/>
    </row>
    <row r="441" spans="1:19" ht="25.5">
      <c r="A441" s="721">
        <v>426</v>
      </c>
      <c r="B441" s="721">
        <v>9929518</v>
      </c>
      <c r="C441" s="721" t="s">
        <v>2640</v>
      </c>
      <c r="D441" s="721">
        <v>95</v>
      </c>
      <c r="E441" s="721" t="s">
        <v>49</v>
      </c>
      <c r="F441" s="721" t="s">
        <v>154</v>
      </c>
      <c r="G441" s="721" t="s">
        <v>2546</v>
      </c>
      <c r="H441" s="721" t="s">
        <v>2043</v>
      </c>
      <c r="I441" s="721"/>
      <c r="J441" s="721" t="s">
        <v>2641</v>
      </c>
      <c r="K441" s="721" t="s">
        <v>2044</v>
      </c>
      <c r="L441" s="721">
        <v>3172547</v>
      </c>
      <c r="M441" s="722" t="s">
        <v>955</v>
      </c>
      <c r="N441" s="746"/>
      <c r="O441" s="746"/>
      <c r="P441" s="746"/>
      <c r="Q441" s="746"/>
      <c r="R441" s="521"/>
      <c r="S441" s="521"/>
    </row>
    <row r="442" spans="1:19" ht="25.5">
      <c r="A442" s="723">
        <v>427</v>
      </c>
      <c r="B442" s="723">
        <v>9929525</v>
      </c>
      <c r="C442" s="723" t="s">
        <v>2642</v>
      </c>
      <c r="D442" s="723">
        <v>95</v>
      </c>
      <c r="E442" s="723" t="s">
        <v>49</v>
      </c>
      <c r="F442" s="723" t="s">
        <v>154</v>
      </c>
      <c r="G442" s="723" t="s">
        <v>2546</v>
      </c>
      <c r="H442" s="723" t="s">
        <v>2043</v>
      </c>
      <c r="I442" s="723" t="s">
        <v>2643</v>
      </c>
      <c r="J442" s="723" t="s">
        <v>2644</v>
      </c>
      <c r="K442" s="723" t="s">
        <v>2044</v>
      </c>
      <c r="L442" s="723">
        <v>19332932</v>
      </c>
      <c r="M442" s="723" t="s">
        <v>2612</v>
      </c>
      <c r="N442" s="746"/>
      <c r="O442" s="746"/>
      <c r="P442" s="746"/>
      <c r="Q442" s="746"/>
      <c r="R442" s="521"/>
      <c r="S442" s="521"/>
    </row>
    <row r="443" spans="1:19" ht="25.5">
      <c r="A443" s="721">
        <v>428</v>
      </c>
      <c r="B443" s="721">
        <v>9929529</v>
      </c>
      <c r="C443" s="721" t="s">
        <v>2645</v>
      </c>
      <c r="D443" s="721">
        <v>95</v>
      </c>
      <c r="E443" s="721" t="s">
        <v>49</v>
      </c>
      <c r="F443" s="721" t="s">
        <v>154</v>
      </c>
      <c r="G443" s="721" t="s">
        <v>2546</v>
      </c>
      <c r="H443" s="721" t="s">
        <v>2043</v>
      </c>
      <c r="I443" s="721"/>
      <c r="J443" s="721"/>
      <c r="K443" s="721" t="s">
        <v>2044</v>
      </c>
      <c r="L443" s="721">
        <v>79051283</v>
      </c>
      <c r="M443" s="722" t="s">
        <v>955</v>
      </c>
      <c r="N443" s="746"/>
      <c r="O443" s="746"/>
      <c r="P443" s="746"/>
      <c r="Q443" s="746"/>
      <c r="R443" s="521"/>
      <c r="S443" s="521"/>
    </row>
    <row r="444" spans="1:19" ht="25.5">
      <c r="A444" s="723">
        <v>429</v>
      </c>
      <c r="B444" s="723">
        <v>9929533</v>
      </c>
      <c r="C444" s="723" t="s">
        <v>2646</v>
      </c>
      <c r="D444" s="723">
        <v>95</v>
      </c>
      <c r="E444" s="723" t="s">
        <v>49</v>
      </c>
      <c r="F444" s="723" t="s">
        <v>154</v>
      </c>
      <c r="G444" s="723" t="s">
        <v>2546</v>
      </c>
      <c r="H444" s="723" t="s">
        <v>2043</v>
      </c>
      <c r="I444" s="723"/>
      <c r="J444" s="723"/>
      <c r="K444" s="723" t="s">
        <v>2044</v>
      </c>
      <c r="L444" s="723">
        <v>93381725</v>
      </c>
      <c r="M444" s="724" t="s">
        <v>955</v>
      </c>
      <c r="N444" s="746"/>
      <c r="O444" s="746"/>
      <c r="P444" s="746"/>
      <c r="Q444" s="746"/>
      <c r="R444" s="521"/>
      <c r="S444" s="521"/>
    </row>
    <row r="445" spans="1:19" ht="25.5">
      <c r="A445" s="721">
        <v>430</v>
      </c>
      <c r="B445" s="721">
        <v>9969517</v>
      </c>
      <c r="C445" s="721" t="s">
        <v>2647</v>
      </c>
      <c r="D445" s="721">
        <v>95</v>
      </c>
      <c r="E445" s="721" t="s">
        <v>49</v>
      </c>
      <c r="F445" s="721" t="s">
        <v>154</v>
      </c>
      <c r="G445" s="721" t="s">
        <v>2546</v>
      </c>
      <c r="H445" s="721" t="s">
        <v>2043</v>
      </c>
      <c r="I445" s="721"/>
      <c r="J445" s="721"/>
      <c r="K445" s="721" t="s">
        <v>2044</v>
      </c>
      <c r="L445" s="721">
        <v>97470859</v>
      </c>
      <c r="M445" s="722" t="s">
        <v>955</v>
      </c>
      <c r="N445" s="746"/>
      <c r="O445" s="746"/>
      <c r="P445" s="746"/>
      <c r="Q445" s="746"/>
      <c r="R445" s="521"/>
      <c r="S445" s="521"/>
    </row>
    <row r="446" spans="1:19" ht="25.5">
      <c r="A446" s="723">
        <v>431</v>
      </c>
      <c r="B446" s="723">
        <v>9969518</v>
      </c>
      <c r="C446" s="723" t="s">
        <v>2648</v>
      </c>
      <c r="D446" s="723">
        <v>95</v>
      </c>
      <c r="E446" s="723" t="s">
        <v>49</v>
      </c>
      <c r="F446" s="723" t="s">
        <v>154</v>
      </c>
      <c r="G446" s="723" t="s">
        <v>2546</v>
      </c>
      <c r="H446" s="723" t="s">
        <v>2043</v>
      </c>
      <c r="I446" s="723"/>
      <c r="J446" s="723"/>
      <c r="K446" s="723" t="s">
        <v>2044</v>
      </c>
      <c r="L446" s="723">
        <v>92028250</v>
      </c>
      <c r="M446" s="724" t="s">
        <v>955</v>
      </c>
      <c r="N446" s="746"/>
      <c r="O446" s="746"/>
      <c r="P446" s="746"/>
      <c r="Q446" s="746"/>
      <c r="R446" s="521"/>
      <c r="S446" s="521"/>
    </row>
    <row r="447" spans="1:19" ht="25.5">
      <c r="A447" s="721">
        <v>432</v>
      </c>
      <c r="B447" s="721">
        <v>9969519</v>
      </c>
      <c r="C447" s="721" t="s">
        <v>2649</v>
      </c>
      <c r="D447" s="721">
        <v>95</v>
      </c>
      <c r="E447" s="721" t="s">
        <v>49</v>
      </c>
      <c r="F447" s="721" t="s">
        <v>154</v>
      </c>
      <c r="G447" s="721" t="s">
        <v>2546</v>
      </c>
      <c r="H447" s="721" t="s">
        <v>2043</v>
      </c>
      <c r="I447" s="721"/>
      <c r="J447" s="721"/>
      <c r="K447" s="721" t="s">
        <v>2044</v>
      </c>
      <c r="L447" s="721">
        <v>52052851</v>
      </c>
      <c r="M447" s="722" t="s">
        <v>955</v>
      </c>
      <c r="N447" s="746"/>
      <c r="O447" s="746"/>
      <c r="P447" s="746"/>
      <c r="Q447" s="746"/>
      <c r="R447" s="521"/>
      <c r="S447" s="521"/>
    </row>
    <row r="448" spans="1:19" ht="25.5">
      <c r="A448" s="723">
        <v>433</v>
      </c>
      <c r="B448" s="723">
        <v>9969522</v>
      </c>
      <c r="C448" s="723" t="s">
        <v>2650</v>
      </c>
      <c r="D448" s="723">
        <v>95</v>
      </c>
      <c r="E448" s="723" t="s">
        <v>49</v>
      </c>
      <c r="F448" s="723" t="s">
        <v>154</v>
      </c>
      <c r="G448" s="723" t="s">
        <v>2546</v>
      </c>
      <c r="H448" s="723" t="s">
        <v>2043</v>
      </c>
      <c r="I448" s="723"/>
      <c r="J448" s="723"/>
      <c r="K448" s="723" t="s">
        <v>2044</v>
      </c>
      <c r="L448" s="723">
        <v>79514599</v>
      </c>
      <c r="M448" s="724" t="s">
        <v>955</v>
      </c>
      <c r="N448" s="746"/>
      <c r="O448" s="746"/>
      <c r="P448" s="746"/>
      <c r="Q448" s="746"/>
      <c r="R448" s="521"/>
      <c r="S448" s="521"/>
    </row>
    <row r="449" spans="1:19" ht="25.5">
      <c r="A449" s="721">
        <v>434</v>
      </c>
      <c r="B449" s="721">
        <v>20002095001</v>
      </c>
      <c r="C449" s="721" t="s">
        <v>2651</v>
      </c>
      <c r="D449" s="721">
        <v>95</v>
      </c>
      <c r="E449" s="721" t="s">
        <v>49</v>
      </c>
      <c r="F449" s="721" t="s">
        <v>154</v>
      </c>
      <c r="G449" s="721" t="s">
        <v>2546</v>
      </c>
      <c r="H449" s="721" t="s">
        <v>2043</v>
      </c>
      <c r="I449" s="721" t="s">
        <v>2652</v>
      </c>
      <c r="J449" s="721" t="s">
        <v>2653</v>
      </c>
      <c r="K449" s="721" t="s">
        <v>2044</v>
      </c>
      <c r="L449" s="721">
        <v>11349090</v>
      </c>
      <c r="M449" s="721" t="s">
        <v>2229</v>
      </c>
      <c r="N449" s="746"/>
      <c r="O449" s="746"/>
      <c r="P449" s="746"/>
      <c r="Q449" s="746"/>
      <c r="R449" s="521"/>
      <c r="S449" s="521"/>
    </row>
    <row r="450" spans="1:19" ht="25.5">
      <c r="A450" s="723">
        <v>435</v>
      </c>
      <c r="B450" s="723">
        <v>20002095002</v>
      </c>
      <c r="C450" s="723" t="s">
        <v>2654</v>
      </c>
      <c r="D450" s="723">
        <v>95</v>
      </c>
      <c r="E450" s="723" t="s">
        <v>49</v>
      </c>
      <c r="F450" s="723" t="s">
        <v>154</v>
      </c>
      <c r="G450" s="723" t="s">
        <v>2546</v>
      </c>
      <c r="H450" s="723" t="s">
        <v>2043</v>
      </c>
      <c r="I450" s="723"/>
      <c r="J450" s="723"/>
      <c r="K450" s="723" t="s">
        <v>2044</v>
      </c>
      <c r="L450" s="723">
        <v>19276282</v>
      </c>
      <c r="M450" s="724" t="s">
        <v>955</v>
      </c>
      <c r="N450" s="746"/>
      <c r="O450" s="746"/>
      <c r="P450" s="746"/>
      <c r="Q450" s="746"/>
      <c r="R450" s="521"/>
      <c r="S450" s="521"/>
    </row>
    <row r="451" spans="1:19" ht="25.5">
      <c r="A451" s="721">
        <v>436</v>
      </c>
      <c r="B451" s="721">
        <v>20002095005</v>
      </c>
      <c r="C451" s="721" t="s">
        <v>2655</v>
      </c>
      <c r="D451" s="721">
        <v>95</v>
      </c>
      <c r="E451" s="721" t="s">
        <v>49</v>
      </c>
      <c r="F451" s="721" t="s">
        <v>154</v>
      </c>
      <c r="G451" s="721" t="s">
        <v>2546</v>
      </c>
      <c r="H451" s="721" t="s">
        <v>2043</v>
      </c>
      <c r="I451" s="721"/>
      <c r="J451" s="721"/>
      <c r="K451" s="721" t="s">
        <v>2044</v>
      </c>
      <c r="L451" s="721">
        <v>52071482</v>
      </c>
      <c r="M451" s="722" t="s">
        <v>955</v>
      </c>
      <c r="N451" s="746"/>
      <c r="O451" s="746"/>
      <c r="P451" s="746"/>
      <c r="Q451" s="746"/>
      <c r="R451" s="521"/>
      <c r="S451" s="521"/>
    </row>
    <row r="452" spans="1:19" ht="25.5">
      <c r="A452" s="723">
        <v>437</v>
      </c>
      <c r="B452" s="723">
        <v>20002095007</v>
      </c>
      <c r="C452" s="723" t="s">
        <v>2656</v>
      </c>
      <c r="D452" s="723">
        <v>95</v>
      </c>
      <c r="E452" s="723" t="s">
        <v>49</v>
      </c>
      <c r="F452" s="723" t="s">
        <v>154</v>
      </c>
      <c r="G452" s="723" t="s">
        <v>2546</v>
      </c>
      <c r="H452" s="723" t="s">
        <v>2043</v>
      </c>
      <c r="I452" s="723"/>
      <c r="J452" s="723"/>
      <c r="K452" s="723" t="s">
        <v>2044</v>
      </c>
      <c r="L452" s="723">
        <v>79746146</v>
      </c>
      <c r="M452" s="723" t="s">
        <v>2204</v>
      </c>
      <c r="N452" s="746"/>
      <c r="O452" s="746"/>
      <c r="P452" s="746"/>
      <c r="Q452" s="746"/>
      <c r="R452" s="521"/>
      <c r="S452" s="521"/>
    </row>
    <row r="453" spans="1:19" ht="25.5">
      <c r="A453" s="721">
        <v>438</v>
      </c>
      <c r="B453" s="721">
        <v>20002095008</v>
      </c>
      <c r="C453" s="721" t="s">
        <v>2657</v>
      </c>
      <c r="D453" s="721">
        <v>95</v>
      </c>
      <c r="E453" s="721" t="s">
        <v>49</v>
      </c>
      <c r="F453" s="721" t="s">
        <v>154</v>
      </c>
      <c r="G453" s="721" t="s">
        <v>2546</v>
      </c>
      <c r="H453" s="721" t="s">
        <v>2043</v>
      </c>
      <c r="I453" s="721" t="s">
        <v>2658</v>
      </c>
      <c r="J453" s="721" t="s">
        <v>2658</v>
      </c>
      <c r="K453" s="721" t="s">
        <v>2044</v>
      </c>
      <c r="L453" s="721">
        <v>51974018</v>
      </c>
      <c r="M453" s="722" t="s">
        <v>955</v>
      </c>
      <c r="N453" s="746"/>
      <c r="O453" s="746"/>
      <c r="P453" s="746"/>
      <c r="Q453" s="746"/>
      <c r="R453" s="521"/>
      <c r="S453" s="521"/>
    </row>
    <row r="454" spans="1:19" ht="25.5">
      <c r="A454" s="723">
        <v>439</v>
      </c>
      <c r="B454" s="723">
        <v>20002095009</v>
      </c>
      <c r="C454" s="723" t="s">
        <v>2526</v>
      </c>
      <c r="D454" s="723">
        <v>95</v>
      </c>
      <c r="E454" s="723" t="s">
        <v>49</v>
      </c>
      <c r="F454" s="723" t="s">
        <v>154</v>
      </c>
      <c r="G454" s="723" t="s">
        <v>2546</v>
      </c>
      <c r="H454" s="723" t="s">
        <v>2043</v>
      </c>
      <c r="I454" s="723"/>
      <c r="J454" s="723"/>
      <c r="K454" s="723" t="s">
        <v>2044</v>
      </c>
      <c r="L454" s="723">
        <v>74370563</v>
      </c>
      <c r="M454" s="723" t="s">
        <v>2204</v>
      </c>
      <c r="N454" s="746"/>
      <c r="O454" s="746"/>
      <c r="P454" s="746"/>
      <c r="Q454" s="746"/>
      <c r="R454" s="521"/>
      <c r="S454" s="521"/>
    </row>
    <row r="455" spans="1:19" ht="25.5">
      <c r="A455" s="721">
        <v>440</v>
      </c>
      <c r="B455" s="721">
        <v>20002095010</v>
      </c>
      <c r="C455" s="721" t="s">
        <v>2659</v>
      </c>
      <c r="D455" s="721">
        <v>95</v>
      </c>
      <c r="E455" s="721" t="s">
        <v>49</v>
      </c>
      <c r="F455" s="721" t="s">
        <v>154</v>
      </c>
      <c r="G455" s="721" t="s">
        <v>2546</v>
      </c>
      <c r="H455" s="721" t="s">
        <v>2043</v>
      </c>
      <c r="I455" s="721"/>
      <c r="J455" s="721"/>
      <c r="K455" s="721" t="s">
        <v>2044</v>
      </c>
      <c r="L455" s="721">
        <v>79379804</v>
      </c>
      <c r="M455" s="722" t="s">
        <v>955</v>
      </c>
      <c r="N455" s="746"/>
      <c r="O455" s="746"/>
      <c r="P455" s="746"/>
      <c r="Q455" s="746"/>
      <c r="R455" s="521"/>
      <c r="S455" s="521"/>
    </row>
    <row r="456" spans="1:19" ht="25.5">
      <c r="A456" s="723">
        <v>441</v>
      </c>
      <c r="B456" s="723">
        <v>20002095013</v>
      </c>
      <c r="C456" s="723" t="s">
        <v>2660</v>
      </c>
      <c r="D456" s="723">
        <v>95</v>
      </c>
      <c r="E456" s="723" t="s">
        <v>49</v>
      </c>
      <c r="F456" s="723" t="s">
        <v>154</v>
      </c>
      <c r="G456" s="723" t="s">
        <v>2546</v>
      </c>
      <c r="H456" s="723" t="s">
        <v>2043</v>
      </c>
      <c r="I456" s="723" t="s">
        <v>2661</v>
      </c>
      <c r="J456" s="723" t="s">
        <v>2662</v>
      </c>
      <c r="K456" s="723" t="s">
        <v>2044</v>
      </c>
      <c r="L456" s="723">
        <v>79625941</v>
      </c>
      <c r="M456" s="723" t="s">
        <v>2229</v>
      </c>
      <c r="N456" s="746"/>
      <c r="O456" s="746"/>
      <c r="P456" s="746"/>
      <c r="Q456" s="746"/>
      <c r="R456" s="521"/>
      <c r="S456" s="521"/>
    </row>
    <row r="457" spans="1:19" ht="25.5">
      <c r="A457" s="721">
        <v>442</v>
      </c>
      <c r="B457" s="721">
        <v>20002095014</v>
      </c>
      <c r="C457" s="721" t="s">
        <v>2663</v>
      </c>
      <c r="D457" s="721">
        <v>95</v>
      </c>
      <c r="E457" s="721" t="s">
        <v>49</v>
      </c>
      <c r="F457" s="721" t="s">
        <v>154</v>
      </c>
      <c r="G457" s="721" t="s">
        <v>2546</v>
      </c>
      <c r="H457" s="721" t="s">
        <v>2043</v>
      </c>
      <c r="I457" s="721"/>
      <c r="J457" s="721"/>
      <c r="K457" s="721" t="s">
        <v>2044</v>
      </c>
      <c r="L457" s="721">
        <v>77029255</v>
      </c>
      <c r="M457" s="722" t="s">
        <v>955</v>
      </c>
      <c r="N457" s="746"/>
      <c r="O457" s="746"/>
      <c r="P457" s="746"/>
      <c r="Q457" s="746"/>
      <c r="R457" s="521"/>
      <c r="S457" s="521"/>
    </row>
    <row r="458" spans="1:19" ht="25.5">
      <c r="A458" s="723">
        <v>443</v>
      </c>
      <c r="B458" s="723">
        <v>20002095015</v>
      </c>
      <c r="C458" s="723" t="s">
        <v>2531</v>
      </c>
      <c r="D458" s="723">
        <v>95</v>
      </c>
      <c r="E458" s="723" t="s">
        <v>49</v>
      </c>
      <c r="F458" s="723" t="s">
        <v>154</v>
      </c>
      <c r="G458" s="723" t="s">
        <v>2546</v>
      </c>
      <c r="H458" s="723" t="s">
        <v>2043</v>
      </c>
      <c r="I458" s="723"/>
      <c r="J458" s="723"/>
      <c r="K458" s="723" t="s">
        <v>2044</v>
      </c>
      <c r="L458" s="723">
        <v>80442360</v>
      </c>
      <c r="M458" s="724" t="s">
        <v>955</v>
      </c>
      <c r="N458" s="746"/>
      <c r="O458" s="746"/>
      <c r="P458" s="746"/>
      <c r="Q458" s="746"/>
      <c r="R458" s="521"/>
      <c r="S458" s="521"/>
    </row>
    <row r="459" spans="1:19" ht="25.5">
      <c r="A459" s="721">
        <v>444</v>
      </c>
      <c r="B459" s="721">
        <v>20002095017</v>
      </c>
      <c r="C459" s="721" t="s">
        <v>2664</v>
      </c>
      <c r="D459" s="721">
        <v>95</v>
      </c>
      <c r="E459" s="721" t="s">
        <v>49</v>
      </c>
      <c r="F459" s="721" t="s">
        <v>154</v>
      </c>
      <c r="G459" s="721" t="s">
        <v>2546</v>
      </c>
      <c r="H459" s="721" t="s">
        <v>2043</v>
      </c>
      <c r="I459" s="721"/>
      <c r="J459" s="721"/>
      <c r="K459" s="721" t="s">
        <v>2044</v>
      </c>
      <c r="L459" s="721">
        <v>93394789</v>
      </c>
      <c r="M459" s="722" t="s">
        <v>955</v>
      </c>
      <c r="N459" s="746"/>
      <c r="O459" s="746"/>
      <c r="P459" s="746"/>
      <c r="Q459" s="746"/>
      <c r="R459" s="521"/>
      <c r="S459" s="521"/>
    </row>
    <row r="460" spans="1:19" ht="25.5">
      <c r="A460" s="723">
        <v>445</v>
      </c>
      <c r="B460" s="723">
        <v>20002095019</v>
      </c>
      <c r="C460" s="723" t="s">
        <v>2665</v>
      </c>
      <c r="D460" s="723">
        <v>95</v>
      </c>
      <c r="E460" s="723" t="s">
        <v>49</v>
      </c>
      <c r="F460" s="723" t="s">
        <v>154</v>
      </c>
      <c r="G460" s="723" t="s">
        <v>2546</v>
      </c>
      <c r="H460" s="723" t="s">
        <v>2043</v>
      </c>
      <c r="I460" s="723" t="s">
        <v>2666</v>
      </c>
      <c r="J460" s="723" t="s">
        <v>2667</v>
      </c>
      <c r="K460" s="723" t="s">
        <v>2044</v>
      </c>
      <c r="L460" s="723">
        <v>35527496</v>
      </c>
      <c r="M460" s="723" t="s">
        <v>2113</v>
      </c>
      <c r="N460" s="746"/>
      <c r="O460" s="746"/>
      <c r="P460" s="746"/>
      <c r="Q460" s="746"/>
      <c r="R460" s="521"/>
      <c r="S460" s="521"/>
    </row>
    <row r="461" spans="1:19" ht="25.5">
      <c r="A461" s="721">
        <v>446</v>
      </c>
      <c r="B461" s="721">
        <v>20002095020</v>
      </c>
      <c r="C461" s="721" t="s">
        <v>2668</v>
      </c>
      <c r="D461" s="721">
        <v>95</v>
      </c>
      <c r="E461" s="721" t="s">
        <v>49</v>
      </c>
      <c r="F461" s="721" t="s">
        <v>154</v>
      </c>
      <c r="G461" s="721" t="s">
        <v>2546</v>
      </c>
      <c r="H461" s="721" t="s">
        <v>2043</v>
      </c>
      <c r="I461" s="721"/>
      <c r="J461" s="721"/>
      <c r="K461" s="721" t="s">
        <v>2044</v>
      </c>
      <c r="L461" s="721">
        <v>79538137</v>
      </c>
      <c r="M461" s="722" t="s">
        <v>955</v>
      </c>
      <c r="N461" s="746"/>
      <c r="O461" s="746"/>
      <c r="P461" s="746"/>
      <c r="Q461" s="746"/>
      <c r="R461" s="521"/>
      <c r="S461" s="521"/>
    </row>
    <row r="462" spans="1:19" ht="25.5">
      <c r="A462" s="723">
        <v>447</v>
      </c>
      <c r="B462" s="723">
        <v>20002095021</v>
      </c>
      <c r="C462" s="723" t="s">
        <v>2669</v>
      </c>
      <c r="D462" s="723">
        <v>95</v>
      </c>
      <c r="E462" s="723" t="s">
        <v>49</v>
      </c>
      <c r="F462" s="723" t="s">
        <v>154</v>
      </c>
      <c r="G462" s="723" t="s">
        <v>2546</v>
      </c>
      <c r="H462" s="723" t="s">
        <v>2043</v>
      </c>
      <c r="I462" s="723"/>
      <c r="J462" s="723"/>
      <c r="K462" s="723" t="s">
        <v>2044</v>
      </c>
      <c r="L462" s="723">
        <v>79863628</v>
      </c>
      <c r="M462" s="724" t="s">
        <v>955</v>
      </c>
      <c r="N462" s="746"/>
      <c r="O462" s="746"/>
      <c r="P462" s="746"/>
      <c r="Q462" s="746"/>
      <c r="R462" s="521"/>
      <c r="S462" s="521"/>
    </row>
    <row r="463" spans="1:19" ht="25.5">
      <c r="A463" s="721">
        <v>448</v>
      </c>
      <c r="B463" s="721">
        <v>20011095002</v>
      </c>
      <c r="C463" s="721" t="s">
        <v>2670</v>
      </c>
      <c r="D463" s="721">
        <v>95</v>
      </c>
      <c r="E463" s="721" t="s">
        <v>49</v>
      </c>
      <c r="F463" s="721" t="s">
        <v>154</v>
      </c>
      <c r="G463" s="721" t="s">
        <v>2546</v>
      </c>
      <c r="H463" s="721" t="s">
        <v>2043</v>
      </c>
      <c r="I463" s="721" t="s">
        <v>2671</v>
      </c>
      <c r="J463" s="721" t="s">
        <v>2672</v>
      </c>
      <c r="K463" s="721" t="s">
        <v>2044</v>
      </c>
      <c r="L463" s="721">
        <v>79795616</v>
      </c>
      <c r="M463" s="721" t="s">
        <v>2139</v>
      </c>
      <c r="N463" s="746"/>
      <c r="O463" s="746"/>
      <c r="P463" s="746"/>
      <c r="Q463" s="746"/>
      <c r="R463" s="521"/>
      <c r="S463" s="521"/>
    </row>
    <row r="464" spans="1:19" ht="25.5">
      <c r="A464" s="723">
        <v>449</v>
      </c>
      <c r="B464" s="723">
        <v>20011095009</v>
      </c>
      <c r="C464" s="723" t="s">
        <v>2673</v>
      </c>
      <c r="D464" s="723">
        <v>95</v>
      </c>
      <c r="E464" s="723" t="s">
        <v>49</v>
      </c>
      <c r="F464" s="723" t="s">
        <v>154</v>
      </c>
      <c r="G464" s="723" t="s">
        <v>2546</v>
      </c>
      <c r="H464" s="723" t="s">
        <v>2043</v>
      </c>
      <c r="I464" s="723" t="s">
        <v>2674</v>
      </c>
      <c r="J464" s="723" t="s">
        <v>2675</v>
      </c>
      <c r="K464" s="723" t="s">
        <v>2044</v>
      </c>
      <c r="L464" s="723">
        <v>79125668</v>
      </c>
      <c r="M464" s="723" t="s">
        <v>2252</v>
      </c>
      <c r="N464" s="746"/>
      <c r="O464" s="746"/>
      <c r="P464" s="746"/>
      <c r="Q464" s="746"/>
      <c r="R464" s="521"/>
      <c r="S464" s="521"/>
    </row>
    <row r="465" spans="1:19" ht="25.5">
      <c r="A465" s="721">
        <v>450</v>
      </c>
      <c r="B465" s="721">
        <v>20011095010</v>
      </c>
      <c r="C465" s="721" t="s">
        <v>2676</v>
      </c>
      <c r="D465" s="721">
        <v>95</v>
      </c>
      <c r="E465" s="721" t="s">
        <v>49</v>
      </c>
      <c r="F465" s="721" t="s">
        <v>154</v>
      </c>
      <c r="G465" s="721" t="s">
        <v>2546</v>
      </c>
      <c r="H465" s="721" t="s">
        <v>2043</v>
      </c>
      <c r="I465" s="721"/>
      <c r="J465" s="721"/>
      <c r="K465" s="721" t="s">
        <v>2044</v>
      </c>
      <c r="L465" s="721">
        <v>52425132</v>
      </c>
      <c r="M465" s="722" t="s">
        <v>955</v>
      </c>
      <c r="N465" s="746"/>
      <c r="O465" s="746"/>
      <c r="P465" s="746"/>
      <c r="Q465" s="746"/>
      <c r="R465" s="521"/>
      <c r="S465" s="521"/>
    </row>
    <row r="466" spans="1:19" ht="25.5">
      <c r="A466" s="723">
        <v>451</v>
      </c>
      <c r="B466" s="723">
        <v>20011095011</v>
      </c>
      <c r="C466" s="723" t="s">
        <v>2677</v>
      </c>
      <c r="D466" s="723">
        <v>95</v>
      </c>
      <c r="E466" s="723" t="s">
        <v>49</v>
      </c>
      <c r="F466" s="723" t="s">
        <v>154</v>
      </c>
      <c r="G466" s="723" t="s">
        <v>2546</v>
      </c>
      <c r="H466" s="723" t="s">
        <v>2043</v>
      </c>
      <c r="I466" s="723"/>
      <c r="J466" s="723"/>
      <c r="K466" s="723" t="s">
        <v>2044</v>
      </c>
      <c r="L466" s="723">
        <v>13924480</v>
      </c>
      <c r="M466" s="724" t="s">
        <v>955</v>
      </c>
      <c r="N466" s="746"/>
      <c r="O466" s="746"/>
      <c r="P466" s="746"/>
      <c r="Q466" s="746"/>
      <c r="R466" s="521"/>
      <c r="S466" s="521"/>
    </row>
    <row r="467" spans="1:19" ht="25.5">
      <c r="A467" s="721">
        <v>452</v>
      </c>
      <c r="B467" s="721">
        <v>20011095012</v>
      </c>
      <c r="C467" s="721" t="s">
        <v>2234</v>
      </c>
      <c r="D467" s="721">
        <v>95</v>
      </c>
      <c r="E467" s="721" t="s">
        <v>49</v>
      </c>
      <c r="F467" s="721" t="s">
        <v>154</v>
      </c>
      <c r="G467" s="721" t="s">
        <v>2546</v>
      </c>
      <c r="H467" s="721" t="s">
        <v>2043</v>
      </c>
      <c r="I467" s="721"/>
      <c r="J467" s="721"/>
      <c r="K467" s="721" t="s">
        <v>2044</v>
      </c>
      <c r="L467" s="721">
        <v>79698280</v>
      </c>
      <c r="M467" s="722" t="s">
        <v>955</v>
      </c>
      <c r="N467" s="746"/>
      <c r="O467" s="746"/>
      <c r="P467" s="746"/>
      <c r="Q467" s="746"/>
      <c r="R467" s="521"/>
      <c r="S467" s="521"/>
    </row>
    <row r="468" spans="1:19" ht="25.5">
      <c r="A468" s="723">
        <v>453</v>
      </c>
      <c r="B468" s="723">
        <v>20011095014</v>
      </c>
      <c r="C468" s="723" t="s">
        <v>2678</v>
      </c>
      <c r="D468" s="723">
        <v>95</v>
      </c>
      <c r="E468" s="723" t="s">
        <v>49</v>
      </c>
      <c r="F468" s="723" t="s">
        <v>154</v>
      </c>
      <c r="G468" s="723" t="s">
        <v>2546</v>
      </c>
      <c r="H468" s="723" t="s">
        <v>2043</v>
      </c>
      <c r="I468" s="723"/>
      <c r="J468" s="723"/>
      <c r="K468" s="723" t="s">
        <v>2044</v>
      </c>
      <c r="L468" s="723">
        <v>12988709</v>
      </c>
      <c r="M468" s="723" t="s">
        <v>2093</v>
      </c>
      <c r="N468" s="746"/>
      <c r="O468" s="746"/>
      <c r="P468" s="746"/>
      <c r="Q468" s="746"/>
      <c r="R468" s="521"/>
      <c r="S468" s="521"/>
    </row>
    <row r="469" spans="1:19" ht="25.5">
      <c r="A469" s="721">
        <v>454</v>
      </c>
      <c r="B469" s="721">
        <v>20011095015</v>
      </c>
      <c r="C469" s="721" t="s">
        <v>2679</v>
      </c>
      <c r="D469" s="721">
        <v>95</v>
      </c>
      <c r="E469" s="721" t="s">
        <v>49</v>
      </c>
      <c r="F469" s="721" t="s">
        <v>154</v>
      </c>
      <c r="G469" s="721" t="s">
        <v>2546</v>
      </c>
      <c r="H469" s="721" t="s">
        <v>2043</v>
      </c>
      <c r="I469" s="721"/>
      <c r="J469" s="721"/>
      <c r="K469" s="721" t="s">
        <v>2044</v>
      </c>
      <c r="L469" s="721">
        <v>79638148</v>
      </c>
      <c r="M469" s="721" t="s">
        <v>2093</v>
      </c>
      <c r="N469" s="746"/>
      <c r="O469" s="746"/>
      <c r="P469" s="746"/>
      <c r="Q469" s="746"/>
      <c r="R469" s="521"/>
      <c r="S469" s="521"/>
    </row>
    <row r="470" spans="1:19" ht="25.5">
      <c r="A470" s="723">
        <v>455</v>
      </c>
      <c r="B470" s="723">
        <v>20011095016</v>
      </c>
      <c r="C470" s="723" t="s">
        <v>2680</v>
      </c>
      <c r="D470" s="723">
        <v>95</v>
      </c>
      <c r="E470" s="723" t="s">
        <v>49</v>
      </c>
      <c r="F470" s="723" t="s">
        <v>154</v>
      </c>
      <c r="G470" s="723" t="s">
        <v>2546</v>
      </c>
      <c r="H470" s="723" t="s">
        <v>2043</v>
      </c>
      <c r="I470" s="723" t="s">
        <v>2681</v>
      </c>
      <c r="J470" s="723" t="s">
        <v>2682</v>
      </c>
      <c r="K470" s="723" t="s">
        <v>2044</v>
      </c>
      <c r="L470" s="723">
        <v>79780688</v>
      </c>
      <c r="M470" s="723" t="s">
        <v>2139</v>
      </c>
      <c r="N470" s="746"/>
      <c r="O470" s="746"/>
      <c r="P470" s="746"/>
      <c r="Q470" s="746"/>
      <c r="R470" s="521"/>
      <c r="S470" s="521"/>
    </row>
    <row r="471" spans="1:19" ht="25.5">
      <c r="A471" s="721">
        <v>456</v>
      </c>
      <c r="B471" s="721">
        <v>20011095017</v>
      </c>
      <c r="C471" s="721" t="s">
        <v>2683</v>
      </c>
      <c r="D471" s="721">
        <v>95</v>
      </c>
      <c r="E471" s="721" t="s">
        <v>49</v>
      </c>
      <c r="F471" s="721" t="s">
        <v>154</v>
      </c>
      <c r="G471" s="721" t="s">
        <v>2546</v>
      </c>
      <c r="H471" s="721" t="s">
        <v>2043</v>
      </c>
      <c r="I471" s="721" t="s">
        <v>2684</v>
      </c>
      <c r="J471" s="721" t="s">
        <v>2685</v>
      </c>
      <c r="K471" s="721" t="s">
        <v>2044</v>
      </c>
      <c r="L471" s="721">
        <v>79704820</v>
      </c>
      <c r="M471" s="721" t="s">
        <v>2229</v>
      </c>
      <c r="N471" s="746"/>
      <c r="O471" s="746"/>
      <c r="P471" s="746"/>
      <c r="Q471" s="746"/>
      <c r="R471" s="521"/>
      <c r="S471" s="521"/>
    </row>
    <row r="472" spans="1:19" ht="25.5">
      <c r="A472" s="723">
        <v>457</v>
      </c>
      <c r="B472" s="723">
        <v>20011095018</v>
      </c>
      <c r="C472" s="723" t="s">
        <v>2686</v>
      </c>
      <c r="D472" s="723">
        <v>95</v>
      </c>
      <c r="E472" s="723" t="s">
        <v>49</v>
      </c>
      <c r="F472" s="723" t="s">
        <v>154</v>
      </c>
      <c r="G472" s="723" t="s">
        <v>2546</v>
      </c>
      <c r="H472" s="723" t="s">
        <v>2043</v>
      </c>
      <c r="I472" s="723"/>
      <c r="J472" s="723"/>
      <c r="K472" s="723" t="s">
        <v>2044</v>
      </c>
      <c r="L472" s="723">
        <v>79290853</v>
      </c>
      <c r="M472" s="724" t="s">
        <v>955</v>
      </c>
      <c r="N472" s="746"/>
      <c r="O472" s="746"/>
      <c r="P472" s="746"/>
      <c r="Q472" s="746"/>
      <c r="R472" s="521"/>
      <c r="S472" s="521"/>
    </row>
    <row r="473" spans="1:19" ht="25.5">
      <c r="A473" s="721">
        <v>458</v>
      </c>
      <c r="B473" s="721">
        <v>20011095019</v>
      </c>
      <c r="C473" s="721" t="s">
        <v>2687</v>
      </c>
      <c r="D473" s="721">
        <v>95</v>
      </c>
      <c r="E473" s="721" t="s">
        <v>49</v>
      </c>
      <c r="F473" s="721" t="s">
        <v>154</v>
      </c>
      <c r="G473" s="721" t="s">
        <v>2546</v>
      </c>
      <c r="H473" s="721" t="s">
        <v>2043</v>
      </c>
      <c r="I473" s="721"/>
      <c r="J473" s="721"/>
      <c r="K473" s="721" t="s">
        <v>2044</v>
      </c>
      <c r="L473" s="721">
        <v>74370310</v>
      </c>
      <c r="M473" s="722" t="s">
        <v>955</v>
      </c>
      <c r="N473" s="746"/>
      <c r="O473" s="746"/>
      <c r="P473" s="746"/>
      <c r="Q473" s="746"/>
      <c r="R473" s="521"/>
      <c r="S473" s="521"/>
    </row>
    <row r="474" spans="1:19" ht="25.5">
      <c r="A474" s="723">
        <v>459</v>
      </c>
      <c r="B474" s="723">
        <v>20011095021</v>
      </c>
      <c r="C474" s="723" t="s">
        <v>2688</v>
      </c>
      <c r="D474" s="723">
        <v>95</v>
      </c>
      <c r="E474" s="723" t="s">
        <v>49</v>
      </c>
      <c r="F474" s="723" t="s">
        <v>154</v>
      </c>
      <c r="G474" s="723" t="s">
        <v>2546</v>
      </c>
      <c r="H474" s="723" t="s">
        <v>2043</v>
      </c>
      <c r="I474" s="723"/>
      <c r="J474" s="723"/>
      <c r="K474" s="723" t="s">
        <v>2044</v>
      </c>
      <c r="L474" s="723">
        <v>79844792</v>
      </c>
      <c r="M474" s="724" t="s">
        <v>955</v>
      </c>
      <c r="N474" s="746"/>
      <c r="O474" s="746"/>
      <c r="P474" s="746"/>
      <c r="Q474" s="746"/>
      <c r="R474" s="521"/>
      <c r="S474" s="521"/>
    </row>
    <row r="475" spans="1:19" ht="25.5">
      <c r="A475" s="721">
        <v>460</v>
      </c>
      <c r="B475" s="721">
        <v>20011095022</v>
      </c>
      <c r="C475" s="721" t="s">
        <v>2689</v>
      </c>
      <c r="D475" s="721">
        <v>95</v>
      </c>
      <c r="E475" s="721" t="s">
        <v>49</v>
      </c>
      <c r="F475" s="721" t="s">
        <v>154</v>
      </c>
      <c r="G475" s="721" t="s">
        <v>2546</v>
      </c>
      <c r="H475" s="721" t="s">
        <v>2043</v>
      </c>
      <c r="I475" s="721"/>
      <c r="J475" s="721"/>
      <c r="K475" s="721" t="s">
        <v>2044</v>
      </c>
      <c r="L475" s="721">
        <v>19279196</v>
      </c>
      <c r="M475" s="722" t="s">
        <v>955</v>
      </c>
      <c r="N475" s="746"/>
      <c r="O475" s="746"/>
      <c r="P475" s="746"/>
      <c r="Q475" s="746"/>
      <c r="R475" s="521"/>
      <c r="S475" s="521"/>
    </row>
    <row r="476" spans="1:19" ht="25.5">
      <c r="A476" s="723">
        <v>461</v>
      </c>
      <c r="B476" s="723">
        <v>20011095024</v>
      </c>
      <c r="C476" s="723" t="s">
        <v>2439</v>
      </c>
      <c r="D476" s="723">
        <v>95</v>
      </c>
      <c r="E476" s="723" t="s">
        <v>49</v>
      </c>
      <c r="F476" s="723" t="s">
        <v>154</v>
      </c>
      <c r="G476" s="723" t="s">
        <v>2546</v>
      </c>
      <c r="H476" s="723" t="s">
        <v>2043</v>
      </c>
      <c r="I476" s="723"/>
      <c r="J476" s="723"/>
      <c r="K476" s="723" t="s">
        <v>2044</v>
      </c>
      <c r="L476" s="723">
        <v>80411698</v>
      </c>
      <c r="M476" s="724" t="s">
        <v>955</v>
      </c>
      <c r="N476" s="746"/>
      <c r="O476" s="746"/>
      <c r="P476" s="746"/>
      <c r="Q476" s="746"/>
      <c r="R476" s="521"/>
      <c r="S476" s="521"/>
    </row>
    <row r="477" spans="1:19" ht="25.5">
      <c r="A477" s="721">
        <v>462</v>
      </c>
      <c r="B477" s="721">
        <v>20011095025</v>
      </c>
      <c r="C477" s="721" t="s">
        <v>2690</v>
      </c>
      <c r="D477" s="721">
        <v>95</v>
      </c>
      <c r="E477" s="721" t="s">
        <v>49</v>
      </c>
      <c r="F477" s="721" t="s">
        <v>154</v>
      </c>
      <c r="G477" s="721" t="s">
        <v>2546</v>
      </c>
      <c r="H477" s="721" t="s">
        <v>2043</v>
      </c>
      <c r="I477" s="721"/>
      <c r="J477" s="721"/>
      <c r="K477" s="721" t="s">
        <v>2044</v>
      </c>
      <c r="L477" s="721">
        <v>79650761</v>
      </c>
      <c r="M477" s="722" t="s">
        <v>955</v>
      </c>
      <c r="N477" s="746"/>
      <c r="O477" s="746"/>
      <c r="P477" s="746"/>
      <c r="Q477" s="746"/>
      <c r="R477" s="521"/>
      <c r="S477" s="521"/>
    </row>
    <row r="478" spans="1:19" ht="25.5">
      <c r="A478" s="723">
        <v>463</v>
      </c>
      <c r="B478" s="723">
        <v>20011095027</v>
      </c>
      <c r="C478" s="723" t="s">
        <v>2691</v>
      </c>
      <c r="D478" s="723">
        <v>95</v>
      </c>
      <c r="E478" s="723" t="s">
        <v>49</v>
      </c>
      <c r="F478" s="723" t="s">
        <v>154</v>
      </c>
      <c r="G478" s="723" t="s">
        <v>2546</v>
      </c>
      <c r="H478" s="723" t="s">
        <v>2043</v>
      </c>
      <c r="I478" s="723" t="s">
        <v>2692</v>
      </c>
      <c r="J478" s="723" t="s">
        <v>2693</v>
      </c>
      <c r="K478" s="723" t="s">
        <v>2044</v>
      </c>
      <c r="L478" s="723">
        <v>52352951</v>
      </c>
      <c r="M478" s="723" t="s">
        <v>2139</v>
      </c>
      <c r="N478" s="746"/>
      <c r="O478" s="746"/>
      <c r="P478" s="746"/>
      <c r="Q478" s="746"/>
      <c r="R478" s="521"/>
      <c r="S478" s="521"/>
    </row>
    <row r="479" spans="1:19" ht="25.5">
      <c r="A479" s="721">
        <v>464</v>
      </c>
      <c r="B479" s="721">
        <v>20011095033</v>
      </c>
      <c r="C479" s="721" t="s">
        <v>2694</v>
      </c>
      <c r="D479" s="721">
        <v>95</v>
      </c>
      <c r="E479" s="721" t="s">
        <v>49</v>
      </c>
      <c r="F479" s="721" t="s">
        <v>154</v>
      </c>
      <c r="G479" s="721" t="s">
        <v>2546</v>
      </c>
      <c r="H479" s="721" t="s">
        <v>2043</v>
      </c>
      <c r="I479" s="721" t="s">
        <v>2695</v>
      </c>
      <c r="J479" s="721" t="s">
        <v>2696</v>
      </c>
      <c r="K479" s="721" t="s">
        <v>2044</v>
      </c>
      <c r="L479" s="721">
        <v>80503475</v>
      </c>
      <c r="M479" s="721" t="s">
        <v>2131</v>
      </c>
      <c r="N479" s="746"/>
      <c r="O479" s="746"/>
      <c r="P479" s="746"/>
      <c r="Q479" s="746"/>
      <c r="R479" s="521"/>
      <c r="S479" s="521"/>
    </row>
    <row r="480" spans="1:19" ht="25.5">
      <c r="A480" s="723">
        <v>465</v>
      </c>
      <c r="B480" s="723">
        <v>20012095006</v>
      </c>
      <c r="C480" s="723" t="s">
        <v>2697</v>
      </c>
      <c r="D480" s="723">
        <v>95</v>
      </c>
      <c r="E480" s="723" t="s">
        <v>49</v>
      </c>
      <c r="F480" s="723" t="s">
        <v>154</v>
      </c>
      <c r="G480" s="723" t="s">
        <v>2546</v>
      </c>
      <c r="H480" s="723" t="s">
        <v>2043</v>
      </c>
      <c r="I480" s="723"/>
      <c r="J480" s="723"/>
      <c r="K480" s="723" t="s">
        <v>2044</v>
      </c>
      <c r="L480" s="723">
        <v>73577072</v>
      </c>
      <c r="M480" s="723" t="s">
        <v>2082</v>
      </c>
      <c r="N480" s="746"/>
      <c r="O480" s="746"/>
      <c r="P480" s="746"/>
      <c r="Q480" s="746"/>
      <c r="R480" s="521"/>
      <c r="S480" s="521"/>
    </row>
    <row r="481" spans="1:19" ht="25.5">
      <c r="A481" s="721">
        <v>466</v>
      </c>
      <c r="B481" s="721">
        <v>20012095009</v>
      </c>
      <c r="C481" s="721" t="s">
        <v>2698</v>
      </c>
      <c r="D481" s="721">
        <v>95</v>
      </c>
      <c r="E481" s="721" t="s">
        <v>49</v>
      </c>
      <c r="F481" s="721" t="s">
        <v>154</v>
      </c>
      <c r="G481" s="721" t="s">
        <v>2546</v>
      </c>
      <c r="H481" s="721" t="s">
        <v>2043</v>
      </c>
      <c r="I481" s="721"/>
      <c r="J481" s="721"/>
      <c r="K481" s="721" t="s">
        <v>2044</v>
      </c>
      <c r="L481" s="721">
        <v>19450201</v>
      </c>
      <c r="M481" s="721" t="s">
        <v>2093</v>
      </c>
      <c r="N481" s="746"/>
      <c r="O481" s="746"/>
      <c r="P481" s="746"/>
      <c r="Q481" s="746"/>
      <c r="R481" s="521"/>
      <c r="S481" s="521"/>
    </row>
    <row r="482" spans="1:19" ht="25.5">
      <c r="A482" s="723">
        <v>467</v>
      </c>
      <c r="B482" s="723">
        <v>20012095010</v>
      </c>
      <c r="C482" s="723" t="s">
        <v>2699</v>
      </c>
      <c r="D482" s="723">
        <v>95</v>
      </c>
      <c r="E482" s="723" t="s">
        <v>49</v>
      </c>
      <c r="F482" s="723" t="s">
        <v>154</v>
      </c>
      <c r="G482" s="723" t="s">
        <v>2546</v>
      </c>
      <c r="H482" s="723" t="s">
        <v>2043</v>
      </c>
      <c r="I482" s="723"/>
      <c r="J482" s="723"/>
      <c r="K482" s="723" t="s">
        <v>2044</v>
      </c>
      <c r="L482" s="723">
        <v>79622096</v>
      </c>
      <c r="M482" s="724" t="s">
        <v>955</v>
      </c>
      <c r="N482" s="746"/>
      <c r="O482" s="746"/>
      <c r="P482" s="746"/>
      <c r="Q482" s="746"/>
      <c r="R482" s="521"/>
      <c r="S482" s="521"/>
    </row>
    <row r="483" spans="1:19" ht="25.5">
      <c r="A483" s="721">
        <v>468</v>
      </c>
      <c r="B483" s="721">
        <v>20012095011</v>
      </c>
      <c r="C483" s="721" t="s">
        <v>2700</v>
      </c>
      <c r="D483" s="721">
        <v>95</v>
      </c>
      <c r="E483" s="721" t="s">
        <v>49</v>
      </c>
      <c r="F483" s="721" t="s">
        <v>154</v>
      </c>
      <c r="G483" s="721" t="s">
        <v>2546</v>
      </c>
      <c r="H483" s="721" t="s">
        <v>2043</v>
      </c>
      <c r="I483" s="721" t="s">
        <v>2701</v>
      </c>
      <c r="J483" s="721" t="s">
        <v>2702</v>
      </c>
      <c r="K483" s="721" t="s">
        <v>2044</v>
      </c>
      <c r="L483" s="721">
        <v>52147181</v>
      </c>
      <c r="M483" s="721" t="s">
        <v>2082</v>
      </c>
      <c r="N483" s="746"/>
      <c r="O483" s="746"/>
      <c r="P483" s="746"/>
      <c r="Q483" s="746"/>
      <c r="R483" s="521"/>
      <c r="S483" s="521"/>
    </row>
    <row r="484" spans="1:19" ht="25.5">
      <c r="A484" s="723">
        <v>469</v>
      </c>
      <c r="B484" s="723">
        <v>20012095015</v>
      </c>
      <c r="C484" s="723" t="s">
        <v>2703</v>
      </c>
      <c r="D484" s="723">
        <v>95</v>
      </c>
      <c r="E484" s="723" t="s">
        <v>49</v>
      </c>
      <c r="F484" s="723" t="s">
        <v>154</v>
      </c>
      <c r="G484" s="723" t="s">
        <v>2546</v>
      </c>
      <c r="H484" s="723" t="s">
        <v>2043</v>
      </c>
      <c r="I484" s="723"/>
      <c r="J484" s="723"/>
      <c r="K484" s="723" t="s">
        <v>2044</v>
      </c>
      <c r="L484" s="723">
        <v>7162134</v>
      </c>
      <c r="M484" s="724" t="s">
        <v>955</v>
      </c>
      <c r="N484" s="746"/>
      <c r="O484" s="746"/>
      <c r="P484" s="746"/>
      <c r="Q484" s="746"/>
      <c r="R484" s="521"/>
      <c r="S484" s="521"/>
    </row>
    <row r="485" spans="1:19" ht="25.5">
      <c r="A485" s="721">
        <v>470</v>
      </c>
      <c r="B485" s="721">
        <v>20012095016</v>
      </c>
      <c r="C485" s="721" t="s">
        <v>2704</v>
      </c>
      <c r="D485" s="721">
        <v>95</v>
      </c>
      <c r="E485" s="721" t="s">
        <v>49</v>
      </c>
      <c r="F485" s="721" t="s">
        <v>154</v>
      </c>
      <c r="G485" s="721" t="s">
        <v>2546</v>
      </c>
      <c r="H485" s="721" t="s">
        <v>2043</v>
      </c>
      <c r="I485" s="721" t="s">
        <v>2705</v>
      </c>
      <c r="J485" s="721" t="s">
        <v>2706</v>
      </c>
      <c r="K485" s="721" t="s">
        <v>2044</v>
      </c>
      <c r="L485" s="721">
        <v>7173156</v>
      </c>
      <c r="M485" s="721" t="s">
        <v>2131</v>
      </c>
      <c r="N485" s="746"/>
      <c r="O485" s="746"/>
      <c r="P485" s="746"/>
      <c r="Q485" s="746"/>
      <c r="R485" s="521"/>
      <c r="S485" s="521"/>
    </row>
    <row r="486" spans="1:19" ht="25.5">
      <c r="A486" s="723">
        <v>471</v>
      </c>
      <c r="B486" s="723">
        <v>20012095017</v>
      </c>
      <c r="C486" s="723" t="s">
        <v>2707</v>
      </c>
      <c r="D486" s="723">
        <v>95</v>
      </c>
      <c r="E486" s="723" t="s">
        <v>49</v>
      </c>
      <c r="F486" s="723" t="s">
        <v>154</v>
      </c>
      <c r="G486" s="723" t="s">
        <v>2546</v>
      </c>
      <c r="H486" s="723" t="s">
        <v>2043</v>
      </c>
      <c r="I486" s="723"/>
      <c r="J486" s="723"/>
      <c r="K486" s="723" t="s">
        <v>2044</v>
      </c>
      <c r="L486" s="723">
        <v>79339938</v>
      </c>
      <c r="M486" s="724" t="s">
        <v>955</v>
      </c>
      <c r="N486" s="746"/>
      <c r="O486" s="746"/>
      <c r="P486" s="746"/>
      <c r="Q486" s="746"/>
      <c r="R486" s="521"/>
      <c r="S486" s="521"/>
    </row>
    <row r="487" spans="1:19" ht="25.5">
      <c r="A487" s="721">
        <v>472</v>
      </c>
      <c r="B487" s="721">
        <v>20012095021</v>
      </c>
      <c r="C487" s="721" t="s">
        <v>2708</v>
      </c>
      <c r="D487" s="721">
        <v>95</v>
      </c>
      <c r="E487" s="721" t="s">
        <v>49</v>
      </c>
      <c r="F487" s="721" t="s">
        <v>154</v>
      </c>
      <c r="G487" s="721" t="s">
        <v>2546</v>
      </c>
      <c r="H487" s="721" t="s">
        <v>2043</v>
      </c>
      <c r="I487" s="721" t="s">
        <v>2709</v>
      </c>
      <c r="J487" s="721" t="s">
        <v>2710</v>
      </c>
      <c r="K487" s="721" t="s">
        <v>2044</v>
      </c>
      <c r="L487" s="721">
        <v>12123321</v>
      </c>
      <c r="M487" s="721" t="s">
        <v>2139</v>
      </c>
      <c r="N487" s="746"/>
      <c r="O487" s="746"/>
      <c r="P487" s="746"/>
      <c r="Q487" s="746"/>
      <c r="R487" s="521"/>
      <c r="S487" s="521"/>
    </row>
    <row r="488" spans="1:19" ht="25.5">
      <c r="A488" s="723">
        <v>473</v>
      </c>
      <c r="B488" s="723">
        <v>20012095022</v>
      </c>
      <c r="C488" s="723" t="s">
        <v>2711</v>
      </c>
      <c r="D488" s="723">
        <v>95</v>
      </c>
      <c r="E488" s="723" t="s">
        <v>49</v>
      </c>
      <c r="F488" s="723" t="s">
        <v>154</v>
      </c>
      <c r="G488" s="723" t="s">
        <v>2546</v>
      </c>
      <c r="H488" s="723" t="s">
        <v>2043</v>
      </c>
      <c r="I488" s="723"/>
      <c r="J488" s="723"/>
      <c r="K488" s="723" t="s">
        <v>2044</v>
      </c>
      <c r="L488" s="723">
        <v>79702248</v>
      </c>
      <c r="M488" s="723" t="s">
        <v>2093</v>
      </c>
      <c r="N488" s="746"/>
      <c r="O488" s="746"/>
      <c r="P488" s="746"/>
      <c r="Q488" s="746"/>
      <c r="R488" s="521"/>
      <c r="S488" s="521"/>
    </row>
    <row r="489" spans="1:19" ht="25.5">
      <c r="A489" s="721">
        <v>474</v>
      </c>
      <c r="B489" s="721">
        <v>20012095023</v>
      </c>
      <c r="C489" s="721" t="s">
        <v>2712</v>
      </c>
      <c r="D489" s="721">
        <v>95</v>
      </c>
      <c r="E489" s="721" t="s">
        <v>49</v>
      </c>
      <c r="F489" s="721" t="s">
        <v>154</v>
      </c>
      <c r="G489" s="721" t="s">
        <v>2546</v>
      </c>
      <c r="H489" s="721" t="s">
        <v>2043</v>
      </c>
      <c r="I489" s="721"/>
      <c r="J489" s="721"/>
      <c r="K489" s="721" t="s">
        <v>2044</v>
      </c>
      <c r="L489" s="721">
        <v>79601557</v>
      </c>
      <c r="M489" s="722" t="s">
        <v>955</v>
      </c>
      <c r="N489" s="746"/>
      <c r="O489" s="746"/>
      <c r="P489" s="746"/>
      <c r="Q489" s="746"/>
      <c r="R489" s="521"/>
      <c r="S489" s="521"/>
    </row>
    <row r="490" spans="1:19" ht="25.5">
      <c r="A490" s="723">
        <v>475</v>
      </c>
      <c r="B490" s="723">
        <v>20012095024</v>
      </c>
      <c r="C490" s="723" t="s">
        <v>2713</v>
      </c>
      <c r="D490" s="723">
        <v>95</v>
      </c>
      <c r="E490" s="723" t="s">
        <v>49</v>
      </c>
      <c r="F490" s="723" t="s">
        <v>154</v>
      </c>
      <c r="G490" s="723" t="s">
        <v>2546</v>
      </c>
      <c r="H490" s="723" t="s">
        <v>2043</v>
      </c>
      <c r="I490" s="723"/>
      <c r="J490" s="723"/>
      <c r="K490" s="723" t="s">
        <v>2044</v>
      </c>
      <c r="L490" s="723">
        <v>101</v>
      </c>
      <c r="M490" s="724" t="s">
        <v>955</v>
      </c>
      <c r="N490" s="746"/>
      <c r="O490" s="746"/>
      <c r="P490" s="746"/>
      <c r="Q490" s="746"/>
      <c r="R490" s="521"/>
      <c r="S490" s="521"/>
    </row>
    <row r="491" spans="1:19" ht="25.5">
      <c r="A491" s="721">
        <v>476</v>
      </c>
      <c r="B491" s="721">
        <v>20012095026</v>
      </c>
      <c r="C491" s="721" t="s">
        <v>2714</v>
      </c>
      <c r="D491" s="721">
        <v>95</v>
      </c>
      <c r="E491" s="721" t="s">
        <v>49</v>
      </c>
      <c r="F491" s="721" t="s">
        <v>154</v>
      </c>
      <c r="G491" s="721" t="s">
        <v>2546</v>
      </c>
      <c r="H491" s="721" t="s">
        <v>2043</v>
      </c>
      <c r="I491" s="721"/>
      <c r="J491" s="721"/>
      <c r="K491" s="721" t="s">
        <v>2044</v>
      </c>
      <c r="L491" s="721">
        <v>52550325</v>
      </c>
      <c r="M491" s="722" t="s">
        <v>955</v>
      </c>
      <c r="N491" s="746"/>
      <c r="O491" s="746"/>
      <c r="P491" s="746"/>
      <c r="Q491" s="746"/>
      <c r="R491" s="521"/>
      <c r="S491" s="521"/>
    </row>
    <row r="492" spans="1:19" ht="25.5">
      <c r="A492" s="723">
        <v>477</v>
      </c>
      <c r="B492" s="723">
        <v>20021095003</v>
      </c>
      <c r="C492" s="723" t="s">
        <v>2715</v>
      </c>
      <c r="D492" s="723">
        <v>95</v>
      </c>
      <c r="E492" s="723" t="s">
        <v>49</v>
      </c>
      <c r="F492" s="723" t="s">
        <v>154</v>
      </c>
      <c r="G492" s="723" t="s">
        <v>2546</v>
      </c>
      <c r="H492" s="723" t="s">
        <v>2043</v>
      </c>
      <c r="I492" s="723"/>
      <c r="J492" s="723"/>
      <c r="K492" s="723" t="s">
        <v>2044</v>
      </c>
      <c r="L492" s="723">
        <v>79757381</v>
      </c>
      <c r="M492" s="723" t="s">
        <v>2093</v>
      </c>
      <c r="N492" s="746"/>
      <c r="O492" s="746"/>
      <c r="P492" s="746"/>
      <c r="Q492" s="746"/>
      <c r="R492" s="521"/>
      <c r="S492" s="521"/>
    </row>
    <row r="493" spans="1:19" ht="25.5">
      <c r="A493" s="721">
        <v>478</v>
      </c>
      <c r="B493" s="721">
        <v>20021095004</v>
      </c>
      <c r="C493" s="721" t="s">
        <v>2716</v>
      </c>
      <c r="D493" s="721">
        <v>95</v>
      </c>
      <c r="E493" s="721" t="s">
        <v>49</v>
      </c>
      <c r="F493" s="721" t="s">
        <v>154</v>
      </c>
      <c r="G493" s="721" t="s">
        <v>2546</v>
      </c>
      <c r="H493" s="721" t="s">
        <v>2043</v>
      </c>
      <c r="I493" s="721"/>
      <c r="J493" s="721"/>
      <c r="K493" s="721" t="s">
        <v>2044</v>
      </c>
      <c r="L493" s="721">
        <v>79801900</v>
      </c>
      <c r="M493" s="721" t="s">
        <v>2093</v>
      </c>
      <c r="N493" s="746"/>
      <c r="O493" s="746"/>
      <c r="P493" s="746"/>
      <c r="Q493" s="746"/>
      <c r="R493" s="521"/>
      <c r="S493" s="521"/>
    </row>
    <row r="494" spans="1:19" ht="25.5">
      <c r="A494" s="723">
        <v>479</v>
      </c>
      <c r="B494" s="723">
        <v>20021095005</v>
      </c>
      <c r="C494" s="723" t="s">
        <v>2717</v>
      </c>
      <c r="D494" s="723">
        <v>95</v>
      </c>
      <c r="E494" s="723" t="s">
        <v>49</v>
      </c>
      <c r="F494" s="723" t="s">
        <v>154</v>
      </c>
      <c r="G494" s="723" t="s">
        <v>2546</v>
      </c>
      <c r="H494" s="723" t="s">
        <v>2043</v>
      </c>
      <c r="I494" s="723"/>
      <c r="J494" s="723"/>
      <c r="K494" s="723" t="s">
        <v>2044</v>
      </c>
      <c r="L494" s="723">
        <v>41571094</v>
      </c>
      <c r="M494" s="724" t="s">
        <v>955</v>
      </c>
      <c r="N494" s="746"/>
      <c r="O494" s="746"/>
      <c r="P494" s="746"/>
      <c r="Q494" s="746"/>
      <c r="R494" s="521"/>
      <c r="S494" s="521"/>
    </row>
    <row r="495" spans="1:19" ht="25.5">
      <c r="A495" s="721">
        <v>480</v>
      </c>
      <c r="B495" s="721">
        <v>20021095006</v>
      </c>
      <c r="C495" s="721" t="s">
        <v>2718</v>
      </c>
      <c r="D495" s="721">
        <v>95</v>
      </c>
      <c r="E495" s="721" t="s">
        <v>49</v>
      </c>
      <c r="F495" s="721" t="s">
        <v>154</v>
      </c>
      <c r="G495" s="721" t="s">
        <v>2546</v>
      </c>
      <c r="H495" s="721" t="s">
        <v>2043</v>
      </c>
      <c r="I495" s="721"/>
      <c r="J495" s="721"/>
      <c r="K495" s="721" t="s">
        <v>2044</v>
      </c>
      <c r="L495" s="721">
        <v>79358199</v>
      </c>
      <c r="M495" s="721" t="s">
        <v>2093</v>
      </c>
      <c r="N495" s="746"/>
      <c r="O495" s="746"/>
      <c r="P495" s="746"/>
      <c r="Q495" s="746"/>
      <c r="R495" s="521"/>
      <c r="S495" s="521"/>
    </row>
    <row r="496" spans="1:19" ht="25.5">
      <c r="A496" s="723">
        <v>481</v>
      </c>
      <c r="B496" s="723">
        <v>20021095007</v>
      </c>
      <c r="C496" s="723" t="s">
        <v>2719</v>
      </c>
      <c r="D496" s="723">
        <v>95</v>
      </c>
      <c r="E496" s="723" t="s">
        <v>49</v>
      </c>
      <c r="F496" s="723" t="s">
        <v>154</v>
      </c>
      <c r="G496" s="723" t="s">
        <v>2546</v>
      </c>
      <c r="H496" s="723" t="s">
        <v>2043</v>
      </c>
      <c r="I496" s="723"/>
      <c r="J496" s="723"/>
      <c r="K496" s="723" t="s">
        <v>2044</v>
      </c>
      <c r="L496" s="723">
        <v>79890883</v>
      </c>
      <c r="M496" s="723" t="s">
        <v>2093</v>
      </c>
      <c r="N496" s="746"/>
      <c r="O496" s="746"/>
      <c r="P496" s="746"/>
      <c r="Q496" s="746"/>
      <c r="R496" s="521"/>
      <c r="S496" s="521"/>
    </row>
    <row r="497" spans="1:19" ht="25.5">
      <c r="A497" s="721">
        <v>482</v>
      </c>
      <c r="B497" s="721">
        <v>20021095010</v>
      </c>
      <c r="C497" s="721" t="s">
        <v>2720</v>
      </c>
      <c r="D497" s="721">
        <v>95</v>
      </c>
      <c r="E497" s="721" t="s">
        <v>49</v>
      </c>
      <c r="F497" s="721" t="s">
        <v>154</v>
      </c>
      <c r="G497" s="721" t="s">
        <v>2546</v>
      </c>
      <c r="H497" s="721" t="s">
        <v>2043</v>
      </c>
      <c r="I497" s="721"/>
      <c r="J497" s="721"/>
      <c r="K497" s="721" t="s">
        <v>2044</v>
      </c>
      <c r="L497" s="721">
        <v>79619485</v>
      </c>
      <c r="M497" s="721" t="s">
        <v>2093</v>
      </c>
      <c r="N497" s="746"/>
      <c r="O497" s="746"/>
      <c r="P497" s="746"/>
      <c r="Q497" s="746"/>
      <c r="R497" s="521"/>
      <c r="S497" s="521"/>
    </row>
    <row r="498" spans="1:19" ht="25.5">
      <c r="A498" s="723">
        <v>483</v>
      </c>
      <c r="B498" s="723">
        <v>20021095012</v>
      </c>
      <c r="C498" s="723" t="s">
        <v>2721</v>
      </c>
      <c r="D498" s="723">
        <v>95</v>
      </c>
      <c r="E498" s="723" t="s">
        <v>49</v>
      </c>
      <c r="F498" s="723" t="s">
        <v>154</v>
      </c>
      <c r="G498" s="723" t="s">
        <v>2546</v>
      </c>
      <c r="H498" s="723" t="s">
        <v>2043</v>
      </c>
      <c r="I498" s="723"/>
      <c r="J498" s="723"/>
      <c r="K498" s="723" t="s">
        <v>2044</v>
      </c>
      <c r="L498" s="723">
        <v>52383429</v>
      </c>
      <c r="M498" s="723" t="s">
        <v>2093</v>
      </c>
      <c r="N498" s="746"/>
      <c r="O498" s="746"/>
      <c r="P498" s="746"/>
      <c r="Q498" s="746"/>
      <c r="R498" s="521"/>
      <c r="S498" s="521"/>
    </row>
    <row r="499" spans="1:19" ht="25.5">
      <c r="A499" s="721">
        <v>484</v>
      </c>
      <c r="B499" s="721">
        <v>20021095014</v>
      </c>
      <c r="C499" s="721" t="s">
        <v>2722</v>
      </c>
      <c r="D499" s="721">
        <v>95</v>
      </c>
      <c r="E499" s="721" t="s">
        <v>49</v>
      </c>
      <c r="F499" s="721" t="s">
        <v>154</v>
      </c>
      <c r="G499" s="721" t="s">
        <v>2546</v>
      </c>
      <c r="H499" s="721" t="s">
        <v>2043</v>
      </c>
      <c r="I499" s="721"/>
      <c r="J499" s="721"/>
      <c r="K499" s="721" t="s">
        <v>2044</v>
      </c>
      <c r="L499" s="721">
        <v>52103956</v>
      </c>
      <c r="M499" s="721" t="s">
        <v>2093</v>
      </c>
      <c r="N499" s="746"/>
      <c r="O499" s="746"/>
      <c r="P499" s="746"/>
      <c r="Q499" s="746"/>
      <c r="R499" s="521"/>
      <c r="S499" s="521"/>
    </row>
    <row r="500" spans="1:19" ht="25.5">
      <c r="A500" s="723">
        <v>485</v>
      </c>
      <c r="B500" s="723">
        <v>20021095016</v>
      </c>
      <c r="C500" s="723" t="s">
        <v>2723</v>
      </c>
      <c r="D500" s="723">
        <v>95</v>
      </c>
      <c r="E500" s="723" t="s">
        <v>49</v>
      </c>
      <c r="F500" s="723" t="s">
        <v>154</v>
      </c>
      <c r="G500" s="723" t="s">
        <v>2546</v>
      </c>
      <c r="H500" s="723" t="s">
        <v>2043</v>
      </c>
      <c r="I500" s="723" t="s">
        <v>2724</v>
      </c>
      <c r="J500" s="723" t="s">
        <v>2725</v>
      </c>
      <c r="K500" s="723" t="s">
        <v>2044</v>
      </c>
      <c r="L500" s="723">
        <v>79493529</v>
      </c>
      <c r="M500" s="723" t="s">
        <v>2218</v>
      </c>
      <c r="N500" s="746"/>
      <c r="O500" s="746"/>
      <c r="P500" s="746"/>
      <c r="Q500" s="746"/>
      <c r="R500" s="521"/>
      <c r="S500" s="521"/>
    </row>
    <row r="501" spans="1:19" ht="25.5">
      <c r="A501" s="721">
        <v>486</v>
      </c>
      <c r="B501" s="721">
        <v>20021095017</v>
      </c>
      <c r="C501" s="721" t="s">
        <v>2726</v>
      </c>
      <c r="D501" s="721">
        <v>95</v>
      </c>
      <c r="E501" s="721" t="s">
        <v>49</v>
      </c>
      <c r="F501" s="721" t="s">
        <v>154</v>
      </c>
      <c r="G501" s="721" t="s">
        <v>2546</v>
      </c>
      <c r="H501" s="721" t="s">
        <v>2043</v>
      </c>
      <c r="I501" s="721" t="s">
        <v>2727</v>
      </c>
      <c r="J501" s="721" t="s">
        <v>2728</v>
      </c>
      <c r="K501" s="721" t="s">
        <v>2044</v>
      </c>
      <c r="L501" s="721">
        <v>51945800</v>
      </c>
      <c r="M501" s="721" t="s">
        <v>2184</v>
      </c>
      <c r="N501" s="746"/>
      <c r="O501" s="746"/>
      <c r="P501" s="746"/>
      <c r="Q501" s="746"/>
      <c r="R501" s="521"/>
      <c r="S501" s="521"/>
    </row>
    <row r="502" spans="1:19" ht="25.5">
      <c r="A502" s="723">
        <v>487</v>
      </c>
      <c r="B502" s="723">
        <v>20021095018</v>
      </c>
      <c r="C502" s="723" t="s">
        <v>2729</v>
      </c>
      <c r="D502" s="723">
        <v>95</v>
      </c>
      <c r="E502" s="723" t="s">
        <v>49</v>
      </c>
      <c r="F502" s="723" t="s">
        <v>154</v>
      </c>
      <c r="G502" s="723" t="s">
        <v>2546</v>
      </c>
      <c r="H502" s="723" t="s">
        <v>2043</v>
      </c>
      <c r="I502" s="723"/>
      <c r="J502" s="723"/>
      <c r="K502" s="723" t="s">
        <v>2044</v>
      </c>
      <c r="L502" s="723">
        <v>12236481</v>
      </c>
      <c r="M502" s="723" t="s">
        <v>2093</v>
      </c>
      <c r="N502" s="746"/>
      <c r="O502" s="746"/>
      <c r="P502" s="746"/>
      <c r="Q502" s="746"/>
      <c r="R502" s="521"/>
      <c r="S502" s="521"/>
    </row>
    <row r="503" spans="1:19" ht="25.5">
      <c r="A503" s="721">
        <v>488</v>
      </c>
      <c r="B503" s="721">
        <v>20021095019</v>
      </c>
      <c r="C503" s="721" t="s">
        <v>2730</v>
      </c>
      <c r="D503" s="721">
        <v>95</v>
      </c>
      <c r="E503" s="721" t="s">
        <v>49</v>
      </c>
      <c r="F503" s="721" t="s">
        <v>154</v>
      </c>
      <c r="G503" s="721" t="s">
        <v>2546</v>
      </c>
      <c r="H503" s="721" t="s">
        <v>2043</v>
      </c>
      <c r="I503" s="721"/>
      <c r="J503" s="721"/>
      <c r="K503" s="721" t="s">
        <v>2044</v>
      </c>
      <c r="L503" s="721">
        <v>19378504</v>
      </c>
      <c r="M503" s="721" t="s">
        <v>2093</v>
      </c>
      <c r="N503" s="746"/>
      <c r="O503" s="746"/>
      <c r="P503" s="746"/>
      <c r="Q503" s="746"/>
      <c r="R503" s="521"/>
      <c r="S503" s="521"/>
    </row>
    <row r="504" spans="1:19" ht="25.5">
      <c r="A504" s="723">
        <v>489</v>
      </c>
      <c r="B504" s="723">
        <v>20021095021</v>
      </c>
      <c r="C504" s="723" t="s">
        <v>2731</v>
      </c>
      <c r="D504" s="723">
        <v>95</v>
      </c>
      <c r="E504" s="723" t="s">
        <v>49</v>
      </c>
      <c r="F504" s="723" t="s">
        <v>154</v>
      </c>
      <c r="G504" s="723" t="s">
        <v>2546</v>
      </c>
      <c r="H504" s="723" t="s">
        <v>2043</v>
      </c>
      <c r="I504" s="723"/>
      <c r="J504" s="723"/>
      <c r="K504" s="723" t="s">
        <v>2044</v>
      </c>
      <c r="L504" s="723">
        <v>8410518</v>
      </c>
      <c r="M504" s="723" t="s">
        <v>2093</v>
      </c>
      <c r="N504" s="746"/>
      <c r="O504" s="746"/>
      <c r="P504" s="746"/>
      <c r="Q504" s="746"/>
      <c r="R504" s="521"/>
      <c r="S504" s="521"/>
    </row>
    <row r="505" spans="1:19" ht="25.5">
      <c r="A505" s="721">
        <v>490</v>
      </c>
      <c r="B505" s="721">
        <v>20021095022</v>
      </c>
      <c r="C505" s="721" t="s">
        <v>2536</v>
      </c>
      <c r="D505" s="721">
        <v>95</v>
      </c>
      <c r="E505" s="721" t="s">
        <v>49</v>
      </c>
      <c r="F505" s="721" t="s">
        <v>154</v>
      </c>
      <c r="G505" s="721" t="s">
        <v>2546</v>
      </c>
      <c r="H505" s="721" t="s">
        <v>2043</v>
      </c>
      <c r="I505" s="721"/>
      <c r="J505" s="721"/>
      <c r="K505" s="721" t="s">
        <v>2044</v>
      </c>
      <c r="L505" s="721">
        <v>79755058</v>
      </c>
      <c r="M505" s="722" t="s">
        <v>955</v>
      </c>
      <c r="N505" s="746"/>
      <c r="O505" s="746"/>
      <c r="P505" s="746"/>
      <c r="Q505" s="746"/>
      <c r="R505" s="521"/>
      <c r="S505" s="521"/>
    </row>
    <row r="506" spans="1:19" ht="25.5">
      <c r="A506" s="723">
        <v>491</v>
      </c>
      <c r="B506" s="723">
        <v>20021095023</v>
      </c>
      <c r="C506" s="723" t="s">
        <v>2534</v>
      </c>
      <c r="D506" s="723">
        <v>95</v>
      </c>
      <c r="E506" s="723" t="s">
        <v>49</v>
      </c>
      <c r="F506" s="723" t="s">
        <v>154</v>
      </c>
      <c r="G506" s="723" t="s">
        <v>2546</v>
      </c>
      <c r="H506" s="723" t="s">
        <v>2043</v>
      </c>
      <c r="I506" s="723"/>
      <c r="J506" s="723"/>
      <c r="K506" s="723" t="s">
        <v>2044</v>
      </c>
      <c r="L506" s="723">
        <v>79652046</v>
      </c>
      <c r="M506" s="724" t="s">
        <v>955</v>
      </c>
      <c r="N506" s="746"/>
      <c r="O506" s="746"/>
      <c r="P506" s="746"/>
      <c r="Q506" s="746"/>
      <c r="R506" s="521"/>
      <c r="S506" s="521"/>
    </row>
    <row r="507" spans="1:19" ht="25.5">
      <c r="A507" s="721">
        <v>492</v>
      </c>
      <c r="B507" s="721">
        <v>20021095027</v>
      </c>
      <c r="C507" s="721" t="s">
        <v>2732</v>
      </c>
      <c r="D507" s="721">
        <v>95</v>
      </c>
      <c r="E507" s="721" t="s">
        <v>49</v>
      </c>
      <c r="F507" s="721" t="s">
        <v>154</v>
      </c>
      <c r="G507" s="721" t="s">
        <v>2546</v>
      </c>
      <c r="H507" s="721" t="s">
        <v>2043</v>
      </c>
      <c r="I507" s="721" t="s">
        <v>2733</v>
      </c>
      <c r="J507" s="721" t="s">
        <v>2734</v>
      </c>
      <c r="K507" s="721" t="s">
        <v>2044</v>
      </c>
      <c r="L507" s="721">
        <v>19388543</v>
      </c>
      <c r="M507" s="721" t="s">
        <v>2082</v>
      </c>
      <c r="N507" s="746"/>
      <c r="O507" s="746"/>
      <c r="P507" s="746"/>
      <c r="Q507" s="746"/>
      <c r="R507" s="521"/>
      <c r="S507" s="521"/>
    </row>
    <row r="508" spans="1:19" ht="25.5">
      <c r="A508" s="723">
        <v>493</v>
      </c>
      <c r="B508" s="723">
        <v>20021095029</v>
      </c>
      <c r="C508" s="723" t="s">
        <v>2735</v>
      </c>
      <c r="D508" s="723">
        <v>95</v>
      </c>
      <c r="E508" s="723" t="s">
        <v>49</v>
      </c>
      <c r="F508" s="723" t="s">
        <v>154</v>
      </c>
      <c r="G508" s="723" t="s">
        <v>2546</v>
      </c>
      <c r="H508" s="723" t="s">
        <v>2043</v>
      </c>
      <c r="I508" s="723"/>
      <c r="J508" s="723"/>
      <c r="K508" s="723" t="s">
        <v>2044</v>
      </c>
      <c r="L508" s="723">
        <v>79938144</v>
      </c>
      <c r="M508" s="724" t="s">
        <v>955</v>
      </c>
      <c r="N508" s="746"/>
      <c r="O508" s="746"/>
      <c r="P508" s="746"/>
      <c r="Q508" s="746"/>
      <c r="R508" s="521"/>
      <c r="S508" s="521"/>
    </row>
    <row r="509" spans="1:19" ht="25.5">
      <c r="A509" s="721">
        <v>494</v>
      </c>
      <c r="B509" s="721">
        <v>20022095001</v>
      </c>
      <c r="C509" s="721" t="s">
        <v>2736</v>
      </c>
      <c r="D509" s="721">
        <v>95</v>
      </c>
      <c r="E509" s="721" t="s">
        <v>49</v>
      </c>
      <c r="F509" s="721" t="s">
        <v>154</v>
      </c>
      <c r="G509" s="721" t="s">
        <v>2546</v>
      </c>
      <c r="H509" s="721" t="s">
        <v>2043</v>
      </c>
      <c r="I509" s="721" t="s">
        <v>2737</v>
      </c>
      <c r="J509" s="721" t="s">
        <v>2738</v>
      </c>
      <c r="K509" s="721" t="s">
        <v>2044</v>
      </c>
      <c r="L509" s="721">
        <v>79520984</v>
      </c>
      <c r="M509" s="721" t="s">
        <v>2599</v>
      </c>
      <c r="N509" s="746"/>
      <c r="O509" s="746"/>
      <c r="P509" s="746"/>
      <c r="Q509" s="746"/>
      <c r="R509" s="521"/>
      <c r="S509" s="521"/>
    </row>
    <row r="510" spans="1:19" ht="25.5">
      <c r="A510" s="723">
        <v>495</v>
      </c>
      <c r="B510" s="723">
        <v>20022095002</v>
      </c>
      <c r="C510" s="723" t="s">
        <v>2739</v>
      </c>
      <c r="D510" s="723">
        <v>95</v>
      </c>
      <c r="E510" s="723" t="s">
        <v>49</v>
      </c>
      <c r="F510" s="723" t="s">
        <v>154</v>
      </c>
      <c r="G510" s="723" t="s">
        <v>2546</v>
      </c>
      <c r="H510" s="723" t="s">
        <v>2043</v>
      </c>
      <c r="I510" s="723" t="s">
        <v>2740</v>
      </c>
      <c r="J510" s="723" t="s">
        <v>2741</v>
      </c>
      <c r="K510" s="723" t="s">
        <v>2044</v>
      </c>
      <c r="L510" s="723">
        <v>88226473</v>
      </c>
      <c r="M510" s="723" t="s">
        <v>2119</v>
      </c>
      <c r="N510" s="746"/>
      <c r="O510" s="746"/>
      <c r="P510" s="746"/>
      <c r="Q510" s="746"/>
      <c r="R510" s="521"/>
      <c r="S510" s="521"/>
    </row>
    <row r="511" spans="1:19" ht="25.5">
      <c r="A511" s="721">
        <v>496</v>
      </c>
      <c r="B511" s="721">
        <v>20022095003</v>
      </c>
      <c r="C511" s="721" t="s">
        <v>2742</v>
      </c>
      <c r="D511" s="721">
        <v>95</v>
      </c>
      <c r="E511" s="721" t="s">
        <v>49</v>
      </c>
      <c r="F511" s="721" t="s">
        <v>154</v>
      </c>
      <c r="G511" s="721" t="s">
        <v>2546</v>
      </c>
      <c r="H511" s="721" t="s">
        <v>2043</v>
      </c>
      <c r="I511" s="721" t="s">
        <v>2743</v>
      </c>
      <c r="J511" s="721" t="s">
        <v>2744</v>
      </c>
      <c r="K511" s="721" t="s">
        <v>2044</v>
      </c>
      <c r="L511" s="721">
        <v>79537978</v>
      </c>
      <c r="M511" s="721" t="s">
        <v>2252</v>
      </c>
      <c r="N511" s="746"/>
      <c r="O511" s="746"/>
      <c r="P511" s="746"/>
      <c r="Q511" s="746"/>
      <c r="R511" s="521"/>
      <c r="S511" s="521"/>
    </row>
    <row r="512" spans="1:19" ht="25.5">
      <c r="A512" s="723">
        <v>497</v>
      </c>
      <c r="B512" s="723">
        <v>20022095005</v>
      </c>
      <c r="C512" s="723" t="s">
        <v>2745</v>
      </c>
      <c r="D512" s="723">
        <v>95</v>
      </c>
      <c r="E512" s="723" t="s">
        <v>49</v>
      </c>
      <c r="F512" s="723" t="s">
        <v>154</v>
      </c>
      <c r="G512" s="723" t="s">
        <v>2546</v>
      </c>
      <c r="H512" s="723" t="s">
        <v>2043</v>
      </c>
      <c r="I512" s="723" t="s">
        <v>2746</v>
      </c>
      <c r="J512" s="723" t="s">
        <v>2747</v>
      </c>
      <c r="K512" s="723" t="s">
        <v>2044</v>
      </c>
      <c r="L512" s="723">
        <v>79646151</v>
      </c>
      <c r="M512" s="723" t="s">
        <v>2139</v>
      </c>
      <c r="N512" s="746"/>
      <c r="O512" s="746"/>
      <c r="P512" s="746"/>
      <c r="Q512" s="746"/>
      <c r="R512" s="521"/>
      <c r="S512" s="521"/>
    </row>
    <row r="513" spans="1:19" ht="25.5">
      <c r="A513" s="721">
        <v>498</v>
      </c>
      <c r="B513" s="721">
        <v>20022095006</v>
      </c>
      <c r="C513" s="721" t="s">
        <v>2748</v>
      </c>
      <c r="D513" s="721">
        <v>95</v>
      </c>
      <c r="E513" s="721" t="s">
        <v>49</v>
      </c>
      <c r="F513" s="721" t="s">
        <v>154</v>
      </c>
      <c r="G513" s="721" t="s">
        <v>2546</v>
      </c>
      <c r="H513" s="721" t="s">
        <v>2043</v>
      </c>
      <c r="I513" s="721"/>
      <c r="J513" s="721"/>
      <c r="K513" s="721" t="s">
        <v>2044</v>
      </c>
      <c r="L513" s="721">
        <v>79521425</v>
      </c>
      <c r="M513" s="721" t="s">
        <v>2204</v>
      </c>
      <c r="N513" s="746"/>
      <c r="O513" s="746"/>
      <c r="P513" s="746"/>
      <c r="Q513" s="746"/>
      <c r="R513" s="521"/>
      <c r="S513" s="521"/>
    </row>
    <row r="514" spans="1:19" ht="25.5">
      <c r="A514" s="723">
        <v>499</v>
      </c>
      <c r="B514" s="723">
        <v>20022095007</v>
      </c>
      <c r="C514" s="723" t="s">
        <v>2749</v>
      </c>
      <c r="D514" s="723">
        <v>95</v>
      </c>
      <c r="E514" s="723" t="s">
        <v>49</v>
      </c>
      <c r="F514" s="723" t="s">
        <v>154</v>
      </c>
      <c r="G514" s="723" t="s">
        <v>2546</v>
      </c>
      <c r="H514" s="723" t="s">
        <v>2043</v>
      </c>
      <c r="I514" s="723"/>
      <c r="J514" s="723"/>
      <c r="K514" s="723" t="s">
        <v>2044</v>
      </c>
      <c r="L514" s="723">
        <v>79693659</v>
      </c>
      <c r="M514" s="724" t="s">
        <v>955</v>
      </c>
      <c r="N514" s="746"/>
      <c r="O514" s="746"/>
      <c r="P514" s="746"/>
      <c r="Q514" s="746"/>
      <c r="R514" s="521"/>
      <c r="S514" s="521"/>
    </row>
    <row r="515" spans="1:19" ht="25.5">
      <c r="A515" s="721">
        <v>500</v>
      </c>
      <c r="B515" s="721">
        <v>20022095009</v>
      </c>
      <c r="C515" s="721" t="s">
        <v>2750</v>
      </c>
      <c r="D515" s="721">
        <v>95</v>
      </c>
      <c r="E515" s="721" t="s">
        <v>49</v>
      </c>
      <c r="F515" s="721" t="s">
        <v>154</v>
      </c>
      <c r="G515" s="721" t="s">
        <v>2546</v>
      </c>
      <c r="H515" s="721" t="s">
        <v>2043</v>
      </c>
      <c r="I515" s="721"/>
      <c r="J515" s="721"/>
      <c r="K515" s="721" t="s">
        <v>2044</v>
      </c>
      <c r="L515" s="721">
        <v>79597538</v>
      </c>
      <c r="M515" s="722" t="s">
        <v>955</v>
      </c>
      <c r="N515" s="746"/>
      <c r="O515" s="746"/>
      <c r="P515" s="746"/>
      <c r="Q515" s="746"/>
      <c r="R515" s="521"/>
      <c r="S515" s="521"/>
    </row>
    <row r="516" spans="1:19" ht="25.5">
      <c r="A516" s="723">
        <v>501</v>
      </c>
      <c r="B516" s="723">
        <v>20022095011</v>
      </c>
      <c r="C516" s="723" t="s">
        <v>2751</v>
      </c>
      <c r="D516" s="723">
        <v>95</v>
      </c>
      <c r="E516" s="723" t="s">
        <v>49</v>
      </c>
      <c r="F516" s="723" t="s">
        <v>154</v>
      </c>
      <c r="G516" s="723" t="s">
        <v>2546</v>
      </c>
      <c r="H516" s="723" t="s">
        <v>2043</v>
      </c>
      <c r="I516" s="723" t="s">
        <v>2752</v>
      </c>
      <c r="J516" s="723" t="s">
        <v>2753</v>
      </c>
      <c r="K516" s="723" t="s">
        <v>2044</v>
      </c>
      <c r="L516" s="723">
        <v>66781874</v>
      </c>
      <c r="M516" s="723" t="s">
        <v>2119</v>
      </c>
      <c r="N516" s="746"/>
      <c r="O516" s="746"/>
      <c r="P516" s="746"/>
      <c r="Q516" s="746"/>
      <c r="R516" s="521"/>
      <c r="S516" s="521"/>
    </row>
    <row r="517" spans="1:19" ht="25.5">
      <c r="A517" s="721">
        <v>502</v>
      </c>
      <c r="B517" s="721">
        <v>20022095012</v>
      </c>
      <c r="C517" s="721" t="s">
        <v>2754</v>
      </c>
      <c r="D517" s="721">
        <v>95</v>
      </c>
      <c r="E517" s="721" t="s">
        <v>49</v>
      </c>
      <c r="F517" s="721" t="s">
        <v>154</v>
      </c>
      <c r="G517" s="721" t="s">
        <v>2546</v>
      </c>
      <c r="H517" s="721" t="s">
        <v>2043</v>
      </c>
      <c r="I517" s="721"/>
      <c r="J517" s="721"/>
      <c r="K517" s="721" t="s">
        <v>2044</v>
      </c>
      <c r="L517" s="721">
        <v>59833302</v>
      </c>
      <c r="M517" s="721" t="s">
        <v>2204</v>
      </c>
      <c r="N517" s="746"/>
      <c r="O517" s="746"/>
      <c r="P517" s="746"/>
      <c r="Q517" s="746"/>
      <c r="R517" s="521"/>
      <c r="S517" s="521"/>
    </row>
    <row r="518" spans="1:19" ht="25.5">
      <c r="A518" s="723">
        <v>503</v>
      </c>
      <c r="B518" s="723">
        <v>20022095013</v>
      </c>
      <c r="C518" s="723" t="s">
        <v>2755</v>
      </c>
      <c r="D518" s="723">
        <v>95</v>
      </c>
      <c r="E518" s="723" t="s">
        <v>49</v>
      </c>
      <c r="F518" s="723" t="s">
        <v>154</v>
      </c>
      <c r="G518" s="723" t="s">
        <v>2546</v>
      </c>
      <c r="H518" s="723" t="s">
        <v>2043</v>
      </c>
      <c r="I518" s="723" t="s">
        <v>2756</v>
      </c>
      <c r="J518" s="723" t="s">
        <v>2757</v>
      </c>
      <c r="K518" s="723" t="s">
        <v>2044</v>
      </c>
      <c r="L518" s="723">
        <v>88161341</v>
      </c>
      <c r="M518" s="723" t="s">
        <v>2599</v>
      </c>
      <c r="N518" s="746"/>
      <c r="O518" s="746"/>
      <c r="P518" s="746"/>
      <c r="Q518" s="746"/>
      <c r="R518" s="521"/>
      <c r="S518" s="521"/>
    </row>
    <row r="519" spans="1:19" ht="25.5">
      <c r="A519" s="721">
        <v>504</v>
      </c>
      <c r="B519" s="721">
        <v>20022095014</v>
      </c>
      <c r="C519" s="721" t="s">
        <v>2690</v>
      </c>
      <c r="D519" s="721">
        <v>95</v>
      </c>
      <c r="E519" s="721" t="s">
        <v>49</v>
      </c>
      <c r="F519" s="721" t="s">
        <v>154</v>
      </c>
      <c r="G519" s="721" t="s">
        <v>2546</v>
      </c>
      <c r="H519" s="721" t="s">
        <v>2043</v>
      </c>
      <c r="I519" s="721"/>
      <c r="J519" s="721"/>
      <c r="K519" s="721" t="s">
        <v>2044</v>
      </c>
      <c r="L519" s="721">
        <v>79650761</v>
      </c>
      <c r="M519" s="722" t="s">
        <v>955</v>
      </c>
      <c r="N519" s="746"/>
      <c r="O519" s="746"/>
      <c r="P519" s="746"/>
      <c r="Q519" s="746"/>
      <c r="R519" s="521"/>
      <c r="S519" s="521"/>
    </row>
    <row r="520" spans="1:19" ht="25.5">
      <c r="A520" s="723">
        <v>505</v>
      </c>
      <c r="B520" s="723">
        <v>20022095015</v>
      </c>
      <c r="C520" s="723" t="s">
        <v>2758</v>
      </c>
      <c r="D520" s="723">
        <v>95</v>
      </c>
      <c r="E520" s="723" t="s">
        <v>49</v>
      </c>
      <c r="F520" s="723" t="s">
        <v>154</v>
      </c>
      <c r="G520" s="723" t="s">
        <v>2546</v>
      </c>
      <c r="H520" s="723" t="s">
        <v>2043</v>
      </c>
      <c r="I520" s="723"/>
      <c r="J520" s="723"/>
      <c r="K520" s="723" t="s">
        <v>2044</v>
      </c>
      <c r="L520" s="723">
        <v>46374903</v>
      </c>
      <c r="M520" s="724" t="s">
        <v>955</v>
      </c>
      <c r="N520" s="746"/>
      <c r="O520" s="746"/>
      <c r="P520" s="746"/>
      <c r="Q520" s="746"/>
      <c r="R520" s="521"/>
      <c r="S520" s="521"/>
    </row>
    <row r="521" spans="1:19" ht="25.5">
      <c r="A521" s="721">
        <v>506</v>
      </c>
      <c r="B521" s="721">
        <v>20022095018</v>
      </c>
      <c r="C521" s="721" t="s">
        <v>2759</v>
      </c>
      <c r="D521" s="721">
        <v>95</v>
      </c>
      <c r="E521" s="721" t="s">
        <v>49</v>
      </c>
      <c r="F521" s="721" t="s">
        <v>154</v>
      </c>
      <c r="G521" s="721" t="s">
        <v>2546</v>
      </c>
      <c r="H521" s="721" t="s">
        <v>2043</v>
      </c>
      <c r="I521" s="721" t="s">
        <v>2760</v>
      </c>
      <c r="J521" s="721" t="s">
        <v>2761</v>
      </c>
      <c r="K521" s="721" t="s">
        <v>2044</v>
      </c>
      <c r="L521" s="721">
        <v>80271377</v>
      </c>
      <c r="M521" s="721" t="s">
        <v>2184</v>
      </c>
      <c r="N521" s="746"/>
      <c r="O521" s="746"/>
      <c r="P521" s="746"/>
      <c r="Q521" s="746"/>
      <c r="R521" s="521"/>
      <c r="S521" s="521"/>
    </row>
    <row r="522" spans="1:19" ht="25.5">
      <c r="A522" s="723">
        <v>507</v>
      </c>
      <c r="B522" s="723">
        <v>20022095019</v>
      </c>
      <c r="C522" s="723" t="s">
        <v>2512</v>
      </c>
      <c r="D522" s="723">
        <v>95</v>
      </c>
      <c r="E522" s="723" t="s">
        <v>49</v>
      </c>
      <c r="F522" s="723" t="s">
        <v>154</v>
      </c>
      <c r="G522" s="723" t="s">
        <v>2546</v>
      </c>
      <c r="H522" s="723" t="s">
        <v>2043</v>
      </c>
      <c r="I522" s="723"/>
      <c r="J522" s="723"/>
      <c r="K522" s="723" t="s">
        <v>2044</v>
      </c>
      <c r="L522" s="723">
        <v>11187517</v>
      </c>
      <c r="M522" s="724" t="s">
        <v>955</v>
      </c>
      <c r="N522" s="746"/>
      <c r="O522" s="746"/>
      <c r="P522" s="746"/>
      <c r="Q522" s="746"/>
      <c r="R522" s="521"/>
      <c r="S522" s="521"/>
    </row>
    <row r="523" spans="1:19" ht="25.5">
      <c r="A523" s="721">
        <v>508</v>
      </c>
      <c r="B523" s="721">
        <v>20022095020</v>
      </c>
      <c r="C523" s="721" t="s">
        <v>2762</v>
      </c>
      <c r="D523" s="721">
        <v>95</v>
      </c>
      <c r="E523" s="721" t="s">
        <v>49</v>
      </c>
      <c r="F523" s="721" t="s">
        <v>154</v>
      </c>
      <c r="G523" s="721" t="s">
        <v>2546</v>
      </c>
      <c r="H523" s="721" t="s">
        <v>2043</v>
      </c>
      <c r="I523" s="721"/>
      <c r="J523" s="721"/>
      <c r="K523" s="721" t="s">
        <v>2044</v>
      </c>
      <c r="L523" s="721">
        <v>12129165</v>
      </c>
      <c r="M523" s="722" t="s">
        <v>955</v>
      </c>
      <c r="N523" s="746"/>
      <c r="O523" s="746"/>
      <c r="P523" s="746"/>
      <c r="Q523" s="746"/>
      <c r="R523" s="521"/>
      <c r="S523" s="521"/>
    </row>
    <row r="524" spans="1:19" ht="25.5">
      <c r="A524" s="723">
        <v>509</v>
      </c>
      <c r="B524" s="723">
        <v>20031095001</v>
      </c>
      <c r="C524" s="723" t="s">
        <v>2763</v>
      </c>
      <c r="D524" s="723">
        <v>95</v>
      </c>
      <c r="E524" s="723" t="s">
        <v>49</v>
      </c>
      <c r="F524" s="723" t="s">
        <v>154</v>
      </c>
      <c r="G524" s="723" t="s">
        <v>2546</v>
      </c>
      <c r="H524" s="723" t="s">
        <v>2043</v>
      </c>
      <c r="I524" s="723" t="s">
        <v>2764</v>
      </c>
      <c r="J524" s="723" t="s">
        <v>2765</v>
      </c>
      <c r="K524" s="723" t="s">
        <v>2044</v>
      </c>
      <c r="L524" s="723">
        <v>11438802</v>
      </c>
      <c r="M524" s="724" t="s">
        <v>955</v>
      </c>
      <c r="N524" s="746"/>
      <c r="O524" s="746"/>
      <c r="P524" s="746"/>
      <c r="Q524" s="746"/>
      <c r="R524" s="521"/>
      <c r="S524" s="521"/>
    </row>
    <row r="525" spans="1:19" ht="25.5">
      <c r="A525" s="721">
        <v>510</v>
      </c>
      <c r="B525" s="721">
        <v>20031095002</v>
      </c>
      <c r="C525" s="721" t="s">
        <v>2766</v>
      </c>
      <c r="D525" s="721">
        <v>95</v>
      </c>
      <c r="E525" s="721" t="s">
        <v>49</v>
      </c>
      <c r="F525" s="721" t="s">
        <v>154</v>
      </c>
      <c r="G525" s="721" t="s">
        <v>2546</v>
      </c>
      <c r="H525" s="721" t="s">
        <v>2043</v>
      </c>
      <c r="I525" s="721" t="s">
        <v>2767</v>
      </c>
      <c r="J525" s="721" t="s">
        <v>2768</v>
      </c>
      <c r="K525" s="721" t="s">
        <v>2044</v>
      </c>
      <c r="L525" s="721">
        <v>73577875</v>
      </c>
      <c r="M525" s="722" t="s">
        <v>955</v>
      </c>
      <c r="N525" s="746"/>
      <c r="O525" s="746"/>
      <c r="P525" s="746"/>
      <c r="Q525" s="746"/>
      <c r="R525" s="521"/>
      <c r="S525" s="521"/>
    </row>
    <row r="526" spans="1:19" ht="25.5">
      <c r="A526" s="723">
        <v>511</v>
      </c>
      <c r="B526" s="723">
        <v>20031095004</v>
      </c>
      <c r="C526" s="723" t="s">
        <v>2769</v>
      </c>
      <c r="D526" s="723">
        <v>95</v>
      </c>
      <c r="E526" s="723" t="s">
        <v>49</v>
      </c>
      <c r="F526" s="723" t="s">
        <v>154</v>
      </c>
      <c r="G526" s="723" t="s">
        <v>2546</v>
      </c>
      <c r="H526" s="723" t="s">
        <v>2043</v>
      </c>
      <c r="I526" s="723" t="s">
        <v>2770</v>
      </c>
      <c r="J526" s="723" t="s">
        <v>2771</v>
      </c>
      <c r="K526" s="723" t="s">
        <v>2044</v>
      </c>
      <c r="L526" s="723">
        <v>79342408</v>
      </c>
      <c r="M526" s="724" t="s">
        <v>955</v>
      </c>
      <c r="N526" s="746"/>
      <c r="O526" s="746"/>
      <c r="P526" s="746"/>
      <c r="Q526" s="746"/>
      <c r="R526" s="521"/>
      <c r="S526" s="521"/>
    </row>
    <row r="527" spans="1:19" ht="25.5">
      <c r="A527" s="721">
        <v>512</v>
      </c>
      <c r="B527" s="721">
        <v>20031095005</v>
      </c>
      <c r="C527" s="721" t="s">
        <v>2772</v>
      </c>
      <c r="D527" s="721">
        <v>95</v>
      </c>
      <c r="E527" s="721" t="s">
        <v>49</v>
      </c>
      <c r="F527" s="721" t="s">
        <v>154</v>
      </c>
      <c r="G527" s="721" t="s">
        <v>2546</v>
      </c>
      <c r="H527" s="721" t="s">
        <v>2043</v>
      </c>
      <c r="I527" s="721" t="s">
        <v>2773</v>
      </c>
      <c r="J527" s="721" t="s">
        <v>2774</v>
      </c>
      <c r="K527" s="721" t="s">
        <v>2044</v>
      </c>
      <c r="L527" s="721">
        <v>2350886</v>
      </c>
      <c r="M527" s="722" t="s">
        <v>955</v>
      </c>
      <c r="N527" s="746"/>
      <c r="O527" s="746"/>
      <c r="P527" s="746"/>
      <c r="Q527" s="746"/>
      <c r="R527" s="521"/>
      <c r="S527" s="521"/>
    </row>
    <row r="528" spans="1:19" ht="25.5">
      <c r="A528" s="723">
        <v>513</v>
      </c>
      <c r="B528" s="723">
        <v>20031095006</v>
      </c>
      <c r="C528" s="723" t="s">
        <v>2775</v>
      </c>
      <c r="D528" s="723">
        <v>95</v>
      </c>
      <c r="E528" s="723" t="s">
        <v>49</v>
      </c>
      <c r="F528" s="723" t="s">
        <v>154</v>
      </c>
      <c r="G528" s="723" t="s">
        <v>2546</v>
      </c>
      <c r="H528" s="723" t="s">
        <v>2043</v>
      </c>
      <c r="I528" s="723" t="s">
        <v>2776</v>
      </c>
      <c r="J528" s="723" t="s">
        <v>2777</v>
      </c>
      <c r="K528" s="723" t="s">
        <v>2044</v>
      </c>
      <c r="L528" s="723">
        <v>51804642</v>
      </c>
      <c r="M528" s="723" t="s">
        <v>2252</v>
      </c>
      <c r="N528" s="746"/>
      <c r="O528" s="746"/>
      <c r="P528" s="746"/>
      <c r="Q528" s="746"/>
      <c r="R528" s="521"/>
      <c r="S528" s="521"/>
    </row>
    <row r="529" spans="1:19" ht="25.5">
      <c r="A529" s="721">
        <v>514</v>
      </c>
      <c r="B529" s="721">
        <v>20031095007</v>
      </c>
      <c r="C529" s="721" t="s">
        <v>2778</v>
      </c>
      <c r="D529" s="721">
        <v>95</v>
      </c>
      <c r="E529" s="721" t="s">
        <v>49</v>
      </c>
      <c r="F529" s="721" t="s">
        <v>154</v>
      </c>
      <c r="G529" s="721" t="s">
        <v>2546</v>
      </c>
      <c r="H529" s="721" t="s">
        <v>2043</v>
      </c>
      <c r="I529" s="721" t="s">
        <v>2779</v>
      </c>
      <c r="J529" s="721" t="s">
        <v>2780</v>
      </c>
      <c r="K529" s="721" t="s">
        <v>2044</v>
      </c>
      <c r="L529" s="721">
        <v>52702779</v>
      </c>
      <c r="M529" s="721" t="s">
        <v>2612</v>
      </c>
      <c r="N529" s="746"/>
      <c r="O529" s="746"/>
      <c r="P529" s="746"/>
      <c r="Q529" s="746"/>
      <c r="R529" s="521"/>
      <c r="S529" s="521"/>
    </row>
    <row r="530" spans="1:19" ht="25.5">
      <c r="A530" s="723">
        <v>515</v>
      </c>
      <c r="B530" s="723">
        <v>20031095008</v>
      </c>
      <c r="C530" s="723" t="s">
        <v>2781</v>
      </c>
      <c r="D530" s="723">
        <v>95</v>
      </c>
      <c r="E530" s="723" t="s">
        <v>49</v>
      </c>
      <c r="F530" s="723" t="s">
        <v>154</v>
      </c>
      <c r="G530" s="723" t="s">
        <v>2546</v>
      </c>
      <c r="H530" s="723" t="s">
        <v>2043</v>
      </c>
      <c r="I530" s="723" t="s">
        <v>2782</v>
      </c>
      <c r="J530" s="723" t="s">
        <v>2783</v>
      </c>
      <c r="K530" s="723" t="s">
        <v>2044</v>
      </c>
      <c r="L530" s="723">
        <v>75090976</v>
      </c>
      <c r="M530" s="724" t="s">
        <v>955</v>
      </c>
      <c r="N530" s="746"/>
      <c r="O530" s="746"/>
      <c r="P530" s="746"/>
      <c r="Q530" s="746"/>
      <c r="R530" s="521"/>
      <c r="S530" s="521"/>
    </row>
    <row r="531" spans="1:19" ht="25.5">
      <c r="A531" s="721">
        <v>516</v>
      </c>
      <c r="B531" s="721">
        <v>20031095009</v>
      </c>
      <c r="C531" s="721" t="s">
        <v>2784</v>
      </c>
      <c r="D531" s="721">
        <v>95</v>
      </c>
      <c r="E531" s="721" t="s">
        <v>49</v>
      </c>
      <c r="F531" s="721" t="s">
        <v>154</v>
      </c>
      <c r="G531" s="721" t="s">
        <v>2546</v>
      </c>
      <c r="H531" s="721" t="s">
        <v>2043</v>
      </c>
      <c r="I531" s="721" t="s">
        <v>2785</v>
      </c>
      <c r="J531" s="721" t="s">
        <v>2786</v>
      </c>
      <c r="K531" s="721" t="s">
        <v>2044</v>
      </c>
      <c r="L531" s="721">
        <v>23690324</v>
      </c>
      <c r="M531" s="722" t="s">
        <v>955</v>
      </c>
      <c r="N531" s="746"/>
      <c r="O531" s="746"/>
      <c r="P531" s="746"/>
      <c r="Q531" s="746"/>
      <c r="R531" s="521"/>
      <c r="S531" s="521"/>
    </row>
    <row r="532" spans="1:19" ht="25.5">
      <c r="A532" s="723">
        <v>517</v>
      </c>
      <c r="B532" s="723">
        <v>20031095011</v>
      </c>
      <c r="C532" s="723" t="s">
        <v>2787</v>
      </c>
      <c r="D532" s="723">
        <v>95</v>
      </c>
      <c r="E532" s="723" t="s">
        <v>49</v>
      </c>
      <c r="F532" s="723" t="s">
        <v>154</v>
      </c>
      <c r="G532" s="723" t="s">
        <v>2546</v>
      </c>
      <c r="H532" s="723">
        <v>1</v>
      </c>
      <c r="I532" s="723" t="s">
        <v>2788</v>
      </c>
      <c r="J532" s="723" t="s">
        <v>2789</v>
      </c>
      <c r="K532" s="723" t="s">
        <v>2044</v>
      </c>
      <c r="L532" s="723">
        <v>79684488</v>
      </c>
      <c r="M532" s="723" t="s">
        <v>2113</v>
      </c>
      <c r="N532" s="746"/>
      <c r="O532" s="746"/>
      <c r="P532" s="746"/>
      <c r="Q532" s="746"/>
      <c r="R532" s="521"/>
      <c r="S532" s="521"/>
    </row>
    <row r="533" spans="1:19" ht="25.5">
      <c r="A533" s="721">
        <v>518</v>
      </c>
      <c r="B533" s="721">
        <v>20031095012</v>
      </c>
      <c r="C533" s="721" t="s">
        <v>2790</v>
      </c>
      <c r="D533" s="721">
        <v>95</v>
      </c>
      <c r="E533" s="721" t="s">
        <v>49</v>
      </c>
      <c r="F533" s="721" t="s">
        <v>154</v>
      </c>
      <c r="G533" s="721" t="s">
        <v>2546</v>
      </c>
      <c r="H533" s="721" t="s">
        <v>2043</v>
      </c>
      <c r="I533" s="721"/>
      <c r="J533" s="721"/>
      <c r="K533" s="721" t="s">
        <v>2044</v>
      </c>
      <c r="L533" s="721">
        <v>6771708</v>
      </c>
      <c r="M533" s="722" t="s">
        <v>955</v>
      </c>
      <c r="N533" s="746"/>
      <c r="O533" s="746"/>
      <c r="P533" s="746"/>
      <c r="Q533" s="746"/>
      <c r="R533" s="521"/>
      <c r="S533" s="521"/>
    </row>
    <row r="534" spans="1:19" ht="25.5">
      <c r="A534" s="723">
        <v>519</v>
      </c>
      <c r="B534" s="723">
        <v>20031095013</v>
      </c>
      <c r="C534" s="723" t="s">
        <v>2791</v>
      </c>
      <c r="D534" s="723">
        <v>95</v>
      </c>
      <c r="E534" s="723" t="s">
        <v>49</v>
      </c>
      <c r="F534" s="723" t="s">
        <v>154</v>
      </c>
      <c r="G534" s="723" t="s">
        <v>2546</v>
      </c>
      <c r="H534" s="723" t="s">
        <v>2043</v>
      </c>
      <c r="I534" s="723" t="s">
        <v>2792</v>
      </c>
      <c r="J534" s="723" t="s">
        <v>2793</v>
      </c>
      <c r="K534" s="723" t="s">
        <v>2044</v>
      </c>
      <c r="L534" s="723">
        <v>79435106</v>
      </c>
      <c r="M534" s="724" t="s">
        <v>955</v>
      </c>
      <c r="N534" s="746"/>
      <c r="O534" s="746"/>
      <c r="P534" s="746"/>
      <c r="Q534" s="746"/>
      <c r="R534" s="521"/>
      <c r="S534" s="521"/>
    </row>
    <row r="535" spans="1:19" ht="25.5">
      <c r="A535" s="721">
        <v>520</v>
      </c>
      <c r="B535" s="721">
        <v>20031095014</v>
      </c>
      <c r="C535" s="721" t="s">
        <v>2794</v>
      </c>
      <c r="D535" s="721">
        <v>95</v>
      </c>
      <c r="E535" s="721" t="s">
        <v>49</v>
      </c>
      <c r="F535" s="721" t="s">
        <v>154</v>
      </c>
      <c r="G535" s="721" t="s">
        <v>2546</v>
      </c>
      <c r="H535" s="721" t="s">
        <v>2043</v>
      </c>
      <c r="I535" s="721" t="s">
        <v>2795</v>
      </c>
      <c r="J535" s="721" t="s">
        <v>2796</v>
      </c>
      <c r="K535" s="721" t="s">
        <v>2044</v>
      </c>
      <c r="L535" s="721">
        <v>79863209</v>
      </c>
      <c r="M535" s="721" t="s">
        <v>2119</v>
      </c>
      <c r="N535" s="746"/>
      <c r="O535" s="746"/>
      <c r="P535" s="746"/>
      <c r="Q535" s="746"/>
      <c r="R535" s="521"/>
      <c r="S535" s="521"/>
    </row>
    <row r="536" spans="1:19" ht="25.5">
      <c r="A536" s="723">
        <v>521</v>
      </c>
      <c r="B536" s="723">
        <v>20031095015</v>
      </c>
      <c r="C536" s="723" t="s">
        <v>2797</v>
      </c>
      <c r="D536" s="723">
        <v>95</v>
      </c>
      <c r="E536" s="723" t="s">
        <v>49</v>
      </c>
      <c r="F536" s="723" t="s">
        <v>154</v>
      </c>
      <c r="G536" s="723" t="s">
        <v>2546</v>
      </c>
      <c r="H536" s="723" t="s">
        <v>2043</v>
      </c>
      <c r="I536" s="723"/>
      <c r="J536" s="723"/>
      <c r="K536" s="723" t="s">
        <v>2044</v>
      </c>
      <c r="L536" s="723">
        <v>40033332</v>
      </c>
      <c r="M536" s="724" t="s">
        <v>955</v>
      </c>
      <c r="N536" s="746"/>
      <c r="O536" s="746"/>
      <c r="P536" s="746"/>
      <c r="Q536" s="746"/>
      <c r="R536" s="521"/>
      <c r="S536" s="521"/>
    </row>
    <row r="537" spans="1:19" ht="25.5">
      <c r="A537" s="721">
        <v>522</v>
      </c>
      <c r="B537" s="721">
        <v>20031095017</v>
      </c>
      <c r="C537" s="721" t="s">
        <v>2798</v>
      </c>
      <c r="D537" s="721">
        <v>95</v>
      </c>
      <c r="E537" s="721" t="s">
        <v>49</v>
      </c>
      <c r="F537" s="721" t="s">
        <v>154</v>
      </c>
      <c r="G537" s="721" t="s">
        <v>2546</v>
      </c>
      <c r="H537" s="721" t="s">
        <v>2043</v>
      </c>
      <c r="I537" s="721" t="s">
        <v>2799</v>
      </c>
      <c r="J537" s="721" t="s">
        <v>2800</v>
      </c>
      <c r="K537" s="721" t="s">
        <v>2044</v>
      </c>
      <c r="L537" s="721">
        <v>17419165</v>
      </c>
      <c r="M537" s="721" t="s">
        <v>2139</v>
      </c>
      <c r="N537" s="746"/>
      <c r="O537" s="746"/>
      <c r="P537" s="746"/>
      <c r="Q537" s="746"/>
      <c r="R537" s="521"/>
      <c r="S537" s="521"/>
    </row>
    <row r="538" spans="1:19" ht="25.5">
      <c r="A538" s="723">
        <v>523</v>
      </c>
      <c r="B538" s="723">
        <v>20031095018</v>
      </c>
      <c r="C538" s="723" t="s">
        <v>2801</v>
      </c>
      <c r="D538" s="723">
        <v>95</v>
      </c>
      <c r="E538" s="723" t="s">
        <v>49</v>
      </c>
      <c r="F538" s="723" t="s">
        <v>154</v>
      </c>
      <c r="G538" s="723" t="s">
        <v>2546</v>
      </c>
      <c r="H538" s="723" t="s">
        <v>2043</v>
      </c>
      <c r="I538" s="723" t="s">
        <v>2802</v>
      </c>
      <c r="J538" s="723" t="s">
        <v>2803</v>
      </c>
      <c r="K538" s="723" t="s">
        <v>2044</v>
      </c>
      <c r="L538" s="723">
        <v>79660246</v>
      </c>
      <c r="M538" s="723" t="s">
        <v>2082</v>
      </c>
      <c r="N538" s="746"/>
      <c r="O538" s="746"/>
      <c r="P538" s="746"/>
      <c r="Q538" s="746"/>
      <c r="R538" s="521"/>
      <c r="S538" s="521"/>
    </row>
    <row r="539" spans="1:19" ht="25.5">
      <c r="A539" s="721">
        <v>524</v>
      </c>
      <c r="B539" s="721">
        <v>20032095002</v>
      </c>
      <c r="C539" s="721" t="s">
        <v>2804</v>
      </c>
      <c r="D539" s="721">
        <v>95</v>
      </c>
      <c r="E539" s="721" t="s">
        <v>49</v>
      </c>
      <c r="F539" s="721" t="s">
        <v>154</v>
      </c>
      <c r="G539" s="721" t="s">
        <v>2546</v>
      </c>
      <c r="H539" s="721" t="s">
        <v>2043</v>
      </c>
      <c r="I539" s="721" t="s">
        <v>2805</v>
      </c>
      <c r="J539" s="721" t="s">
        <v>2806</v>
      </c>
      <c r="K539" s="721" t="s">
        <v>2044</v>
      </c>
      <c r="L539" s="721">
        <v>79964417</v>
      </c>
      <c r="M539" s="722" t="s">
        <v>955</v>
      </c>
      <c r="N539" s="746"/>
      <c r="O539" s="746"/>
      <c r="P539" s="746"/>
      <c r="Q539" s="746"/>
      <c r="R539" s="521"/>
      <c r="S539" s="521"/>
    </row>
    <row r="540" spans="1:19" ht="25.5">
      <c r="A540" s="723">
        <v>525</v>
      </c>
      <c r="B540" s="723">
        <v>20032095003</v>
      </c>
      <c r="C540" s="723" t="s">
        <v>2807</v>
      </c>
      <c r="D540" s="723">
        <v>95</v>
      </c>
      <c r="E540" s="723" t="s">
        <v>49</v>
      </c>
      <c r="F540" s="723" t="s">
        <v>154</v>
      </c>
      <c r="G540" s="723" t="s">
        <v>2546</v>
      </c>
      <c r="H540" s="723" t="s">
        <v>2043</v>
      </c>
      <c r="I540" s="723" t="s">
        <v>2808</v>
      </c>
      <c r="J540" s="723" t="s">
        <v>2809</v>
      </c>
      <c r="K540" s="723" t="s">
        <v>2044</v>
      </c>
      <c r="L540" s="723">
        <v>79745067</v>
      </c>
      <c r="M540" s="724" t="s">
        <v>955</v>
      </c>
      <c r="N540" s="746"/>
      <c r="O540" s="746"/>
      <c r="P540" s="746"/>
      <c r="Q540" s="746"/>
      <c r="R540" s="521"/>
      <c r="S540" s="521"/>
    </row>
    <row r="541" spans="1:19" ht="25.5">
      <c r="A541" s="721">
        <v>526</v>
      </c>
      <c r="B541" s="721">
        <v>20032095005</v>
      </c>
      <c r="C541" s="721" t="s">
        <v>2810</v>
      </c>
      <c r="D541" s="721">
        <v>95</v>
      </c>
      <c r="E541" s="721" t="s">
        <v>49</v>
      </c>
      <c r="F541" s="721" t="s">
        <v>154</v>
      </c>
      <c r="G541" s="721" t="s">
        <v>2546</v>
      </c>
      <c r="H541" s="721" t="s">
        <v>2043</v>
      </c>
      <c r="I541" s="721" t="s">
        <v>2811</v>
      </c>
      <c r="J541" s="721" t="s">
        <v>2812</v>
      </c>
      <c r="K541" s="721" t="s">
        <v>2044</v>
      </c>
      <c r="L541" s="721">
        <v>7217748</v>
      </c>
      <c r="M541" s="722" t="s">
        <v>955</v>
      </c>
      <c r="N541" s="746"/>
      <c r="O541" s="746"/>
      <c r="P541" s="746"/>
      <c r="Q541" s="746"/>
      <c r="R541" s="521"/>
      <c r="S541" s="521"/>
    </row>
    <row r="542" spans="1:19" ht="25.5">
      <c r="A542" s="723">
        <v>527</v>
      </c>
      <c r="B542" s="723">
        <v>20032095011</v>
      </c>
      <c r="C542" s="723" t="s">
        <v>2813</v>
      </c>
      <c r="D542" s="723">
        <v>95</v>
      </c>
      <c r="E542" s="723" t="s">
        <v>49</v>
      </c>
      <c r="F542" s="723" t="s">
        <v>154</v>
      </c>
      <c r="G542" s="723" t="s">
        <v>2546</v>
      </c>
      <c r="H542" s="723" t="s">
        <v>2043</v>
      </c>
      <c r="I542" s="723" t="s">
        <v>2814</v>
      </c>
      <c r="J542" s="723" t="s">
        <v>2815</v>
      </c>
      <c r="K542" s="723" t="s">
        <v>2044</v>
      </c>
      <c r="L542" s="723">
        <v>79960879</v>
      </c>
      <c r="M542" s="724" t="s">
        <v>955</v>
      </c>
      <c r="N542" s="746"/>
      <c r="O542" s="746"/>
      <c r="P542" s="746"/>
      <c r="Q542" s="746"/>
      <c r="R542" s="521"/>
      <c r="S542" s="521"/>
    </row>
    <row r="543" spans="1:19" ht="25.5">
      <c r="A543" s="721">
        <v>528</v>
      </c>
      <c r="B543" s="721">
        <v>20032095015</v>
      </c>
      <c r="C543" s="721" t="s">
        <v>2816</v>
      </c>
      <c r="D543" s="721">
        <v>95</v>
      </c>
      <c r="E543" s="721" t="s">
        <v>49</v>
      </c>
      <c r="F543" s="721" t="s">
        <v>154</v>
      </c>
      <c r="G543" s="721" t="s">
        <v>2546</v>
      </c>
      <c r="H543" s="721" t="s">
        <v>2043</v>
      </c>
      <c r="I543" s="721" t="s">
        <v>2817</v>
      </c>
      <c r="J543" s="721" t="s">
        <v>2818</v>
      </c>
      <c r="K543" s="721" t="s">
        <v>2044</v>
      </c>
      <c r="L543" s="721">
        <v>79706105</v>
      </c>
      <c r="M543" s="722" t="s">
        <v>955</v>
      </c>
      <c r="N543" s="746"/>
      <c r="O543" s="746"/>
      <c r="P543" s="746"/>
      <c r="Q543" s="746"/>
      <c r="R543" s="521"/>
      <c r="S543" s="521"/>
    </row>
    <row r="544" spans="1:19">
      <c r="A544" s="725" t="s">
        <v>2292</v>
      </c>
      <c r="B544" s="725" t="s">
        <v>2292</v>
      </c>
      <c r="C544" s="725" t="s">
        <v>2292</v>
      </c>
      <c r="D544" s="725" t="s">
        <v>2292</v>
      </c>
      <c r="E544" s="725" t="s">
        <v>2292</v>
      </c>
      <c r="F544" s="725" t="s">
        <v>2292</v>
      </c>
      <c r="G544" s="725" t="s">
        <v>2292</v>
      </c>
      <c r="H544" s="725" t="s">
        <v>2292</v>
      </c>
      <c r="I544" s="725" t="s">
        <v>2292</v>
      </c>
      <c r="J544" s="725" t="s">
        <v>2292</v>
      </c>
      <c r="K544" s="725" t="s">
        <v>2292</v>
      </c>
      <c r="L544" s="725" t="s">
        <v>2292</v>
      </c>
      <c r="M544" s="725" t="s">
        <v>2292</v>
      </c>
      <c r="N544" s="746"/>
      <c r="O544" s="746"/>
      <c r="P544" s="746"/>
      <c r="Q544" s="746"/>
      <c r="R544" s="521"/>
      <c r="S544" s="521"/>
    </row>
    <row r="545" spans="1:19" ht="14.25" customHeight="1">
      <c r="A545" s="719" t="s">
        <v>2033</v>
      </c>
      <c r="B545" s="719" t="s">
        <v>2819</v>
      </c>
      <c r="C545"/>
      <c r="D545"/>
      <c r="E545"/>
      <c r="F545"/>
      <c r="G545"/>
      <c r="H545"/>
      <c r="I545"/>
      <c r="J545"/>
      <c r="K545"/>
      <c r="L545"/>
      <c r="M545"/>
      <c r="N545" s="746"/>
      <c r="O545" s="746"/>
      <c r="P545" s="746"/>
      <c r="Q545" s="746"/>
      <c r="R545" s="521"/>
      <c r="S545" s="521"/>
    </row>
    <row r="546" spans="1:19" ht="25.5">
      <c r="A546" s="720" t="s">
        <v>2035</v>
      </c>
      <c r="B546" s="720" t="s">
        <v>2036</v>
      </c>
      <c r="C546" s="720" t="s">
        <v>1</v>
      </c>
      <c r="D546" s="720" t="s">
        <v>2037</v>
      </c>
      <c r="E546" s="720" t="s">
        <v>3</v>
      </c>
      <c r="F546" s="720" t="s">
        <v>4</v>
      </c>
      <c r="G546" s="720" t="s">
        <v>2038</v>
      </c>
      <c r="H546" s="720" t="s">
        <v>6</v>
      </c>
      <c r="I546" s="720" t="s">
        <v>7</v>
      </c>
      <c r="J546" s="720" t="s">
        <v>8</v>
      </c>
      <c r="K546" s="720" t="s">
        <v>2039</v>
      </c>
      <c r="L546" s="720" t="s">
        <v>10</v>
      </c>
      <c r="M546" s="720" t="s">
        <v>2040</v>
      </c>
      <c r="N546" s="746"/>
      <c r="O546" s="746"/>
      <c r="P546" s="746"/>
      <c r="Q546" s="746"/>
      <c r="R546" s="521"/>
      <c r="S546" s="521"/>
    </row>
    <row r="547" spans="1:19" ht="25.5">
      <c r="A547" s="721">
        <v>529</v>
      </c>
      <c r="B547" s="721">
        <v>9969501</v>
      </c>
      <c r="C547" s="721" t="s">
        <v>2791</v>
      </c>
      <c r="D547" s="721">
        <v>95</v>
      </c>
      <c r="E547" s="721" t="s">
        <v>49</v>
      </c>
      <c r="F547" s="721" t="s">
        <v>158</v>
      </c>
      <c r="G547" s="721" t="s">
        <v>2820</v>
      </c>
      <c r="H547" s="721" t="s">
        <v>2043</v>
      </c>
      <c r="I547" s="721"/>
      <c r="J547" s="721"/>
      <c r="K547" s="721" t="s">
        <v>2044</v>
      </c>
      <c r="L547" s="721">
        <v>79435106</v>
      </c>
      <c r="M547" s="722" t="s">
        <v>955</v>
      </c>
      <c r="N547" s="746"/>
      <c r="O547" s="746"/>
      <c r="P547" s="746"/>
      <c r="Q547" s="746"/>
      <c r="R547" s="521"/>
      <c r="S547" s="521"/>
    </row>
    <row r="548" spans="1:19" ht="25.5">
      <c r="A548" s="723">
        <v>530</v>
      </c>
      <c r="B548" s="723">
        <v>20011095001</v>
      </c>
      <c r="C548" s="723" t="s">
        <v>2821</v>
      </c>
      <c r="D548" s="723">
        <v>95</v>
      </c>
      <c r="E548" s="723" t="s">
        <v>49</v>
      </c>
      <c r="F548" s="723" t="s">
        <v>158</v>
      </c>
      <c r="G548" s="723" t="s">
        <v>2820</v>
      </c>
      <c r="H548" s="723" t="s">
        <v>2043</v>
      </c>
      <c r="I548" s="723"/>
      <c r="J548" s="723"/>
      <c r="K548" s="723" t="s">
        <v>2044</v>
      </c>
      <c r="L548" s="723">
        <v>52421974</v>
      </c>
      <c r="M548" s="724" t="s">
        <v>955</v>
      </c>
      <c r="N548" s="746"/>
      <c r="O548" s="746"/>
      <c r="P548" s="746"/>
      <c r="Q548" s="746"/>
      <c r="R548" s="521"/>
      <c r="S548" s="521"/>
    </row>
    <row r="549" spans="1:19" ht="25.5">
      <c r="A549" s="721">
        <v>531</v>
      </c>
      <c r="B549" s="721">
        <v>20011095007</v>
      </c>
      <c r="C549" s="721" t="s">
        <v>2822</v>
      </c>
      <c r="D549" s="721">
        <v>95</v>
      </c>
      <c r="E549" s="721" t="s">
        <v>49</v>
      </c>
      <c r="F549" s="721" t="s">
        <v>158</v>
      </c>
      <c r="G549" s="721" t="s">
        <v>2820</v>
      </c>
      <c r="H549" s="721" t="s">
        <v>2043</v>
      </c>
      <c r="I549" s="721"/>
      <c r="J549" s="721"/>
      <c r="K549" s="721" t="s">
        <v>2044</v>
      </c>
      <c r="L549" s="721">
        <v>51964766</v>
      </c>
      <c r="M549" s="722" t="s">
        <v>955</v>
      </c>
      <c r="N549" s="746"/>
      <c r="O549" s="746"/>
      <c r="P549" s="746"/>
      <c r="Q549" s="746"/>
      <c r="R549" s="521"/>
      <c r="S549" s="521"/>
    </row>
    <row r="550" spans="1:19" ht="25.5">
      <c r="A550" s="723">
        <v>532</v>
      </c>
      <c r="B550" s="723">
        <v>20011095020</v>
      </c>
      <c r="C550" s="723" t="s">
        <v>2823</v>
      </c>
      <c r="D550" s="723">
        <v>95</v>
      </c>
      <c r="E550" s="723" t="s">
        <v>49</v>
      </c>
      <c r="F550" s="723" t="s">
        <v>158</v>
      </c>
      <c r="G550" s="723" t="s">
        <v>2820</v>
      </c>
      <c r="H550" s="723" t="s">
        <v>2043</v>
      </c>
      <c r="I550" s="723"/>
      <c r="J550" s="723"/>
      <c r="K550" s="723" t="s">
        <v>2044</v>
      </c>
      <c r="L550" s="723">
        <v>79942779</v>
      </c>
      <c r="M550" s="724" t="s">
        <v>955</v>
      </c>
      <c r="N550" s="746"/>
      <c r="O550" s="746"/>
      <c r="P550" s="746"/>
      <c r="Q550" s="746"/>
      <c r="R550" s="521"/>
      <c r="S550" s="521"/>
    </row>
    <row r="551" spans="1:19" ht="25.5">
      <c r="A551" s="721">
        <v>533</v>
      </c>
      <c r="B551" s="721">
        <v>20011095023</v>
      </c>
      <c r="C551" s="721" t="s">
        <v>2824</v>
      </c>
      <c r="D551" s="721">
        <v>95</v>
      </c>
      <c r="E551" s="721" t="s">
        <v>49</v>
      </c>
      <c r="F551" s="721" t="s">
        <v>158</v>
      </c>
      <c r="G551" s="721" t="s">
        <v>2820</v>
      </c>
      <c r="H551" s="721" t="s">
        <v>2043</v>
      </c>
      <c r="I551" s="721"/>
      <c r="J551" s="721"/>
      <c r="K551" s="721" t="s">
        <v>2044</v>
      </c>
      <c r="L551" s="721">
        <v>79636349</v>
      </c>
      <c r="M551" s="722" t="s">
        <v>955</v>
      </c>
      <c r="N551" s="746"/>
      <c r="O551" s="746"/>
      <c r="P551" s="746"/>
      <c r="Q551" s="746"/>
      <c r="R551" s="521"/>
      <c r="S551" s="521"/>
    </row>
    <row r="552" spans="1:19" ht="25.5">
      <c r="A552" s="723">
        <v>534</v>
      </c>
      <c r="B552" s="723">
        <v>20011095031</v>
      </c>
      <c r="C552" s="723" t="s">
        <v>2825</v>
      </c>
      <c r="D552" s="723">
        <v>95</v>
      </c>
      <c r="E552" s="723" t="s">
        <v>49</v>
      </c>
      <c r="F552" s="723" t="s">
        <v>158</v>
      </c>
      <c r="G552" s="723" t="s">
        <v>2820</v>
      </c>
      <c r="H552" s="723" t="s">
        <v>2043</v>
      </c>
      <c r="I552" s="723"/>
      <c r="J552" s="723"/>
      <c r="K552" s="723" t="s">
        <v>2044</v>
      </c>
      <c r="L552" s="723">
        <v>52430185</v>
      </c>
      <c r="M552" s="724" t="s">
        <v>955</v>
      </c>
      <c r="N552" s="746"/>
      <c r="O552" s="746"/>
      <c r="P552" s="746"/>
      <c r="Q552" s="746"/>
      <c r="R552" s="521"/>
      <c r="S552" s="521"/>
    </row>
    <row r="553" spans="1:19" ht="25.5">
      <c r="A553" s="721">
        <v>535</v>
      </c>
      <c r="B553" s="721">
        <v>20011095035</v>
      </c>
      <c r="C553" s="721" t="s">
        <v>2826</v>
      </c>
      <c r="D553" s="721">
        <v>95</v>
      </c>
      <c r="E553" s="721" t="s">
        <v>49</v>
      </c>
      <c r="F553" s="721" t="s">
        <v>158</v>
      </c>
      <c r="G553" s="721" t="s">
        <v>2820</v>
      </c>
      <c r="H553" s="721" t="s">
        <v>2043</v>
      </c>
      <c r="I553" s="721"/>
      <c r="J553" s="721"/>
      <c r="K553" s="721" t="s">
        <v>2044</v>
      </c>
      <c r="L553" s="721">
        <v>60259798</v>
      </c>
      <c r="M553" s="722" t="s">
        <v>955</v>
      </c>
      <c r="N553" s="746"/>
      <c r="O553" s="746"/>
      <c r="P553" s="746"/>
      <c r="Q553" s="746"/>
      <c r="R553" s="521"/>
      <c r="S553" s="521"/>
    </row>
    <row r="554" spans="1:19" ht="25.5">
      <c r="A554" s="723">
        <v>536</v>
      </c>
      <c r="B554" s="723">
        <v>20031095019</v>
      </c>
      <c r="C554" s="723" t="s">
        <v>2827</v>
      </c>
      <c r="D554" s="723">
        <v>95</v>
      </c>
      <c r="E554" s="723" t="s">
        <v>49</v>
      </c>
      <c r="F554" s="723" t="s">
        <v>158</v>
      </c>
      <c r="G554" s="723" t="s">
        <v>2820</v>
      </c>
      <c r="H554" s="723" t="s">
        <v>2043</v>
      </c>
      <c r="I554" s="723" t="s">
        <v>2828</v>
      </c>
      <c r="J554" s="723" t="s">
        <v>2829</v>
      </c>
      <c r="K554" s="723" t="s">
        <v>2044</v>
      </c>
      <c r="L554" s="723">
        <v>79294157</v>
      </c>
      <c r="M554" s="723" t="s">
        <v>2830</v>
      </c>
      <c r="N554" s="746"/>
      <c r="O554" s="746"/>
      <c r="P554" s="746"/>
      <c r="Q554" s="746"/>
      <c r="R554" s="521"/>
      <c r="S554" s="521"/>
    </row>
    <row r="555" spans="1:19">
      <c r="A555" s="727"/>
      <c r="B555" s="727"/>
      <c r="C555" s="727"/>
      <c r="D555" s="727"/>
      <c r="E555" s="728"/>
      <c r="F555" s="727"/>
      <c r="G555" s="727"/>
      <c r="H555" s="727"/>
      <c r="I555" s="727"/>
      <c r="J555" s="727"/>
      <c r="K555" s="727"/>
      <c r="L555" s="727"/>
      <c r="M555" s="727"/>
      <c r="N555" s="521"/>
      <c r="O555" s="521"/>
      <c r="P555" s="521"/>
      <c r="Q555" s="521"/>
      <c r="R555" s="521"/>
      <c r="S555" s="521"/>
    </row>
    <row r="556" spans="1:19">
      <c r="A556" s="719" t="s">
        <v>2033</v>
      </c>
      <c r="B556" s="719" t="s">
        <v>2831</v>
      </c>
      <c r="C556"/>
      <c r="D556"/>
      <c r="E556"/>
      <c r="F556"/>
      <c r="G556"/>
      <c r="H556"/>
      <c r="I556"/>
      <c r="J556"/>
      <c r="K556"/>
      <c r="L556"/>
      <c r="M556"/>
      <c r="N556" s="521"/>
      <c r="O556" s="521"/>
      <c r="P556" s="521"/>
      <c r="Q556" s="521"/>
      <c r="R556" s="521"/>
      <c r="S556" s="521"/>
    </row>
    <row r="557" spans="1:19" ht="42.75" customHeight="1">
      <c r="A557" s="719" t="s">
        <v>3</v>
      </c>
      <c r="B557" s="719" t="s">
        <v>2832</v>
      </c>
      <c r="C557"/>
      <c r="D557"/>
      <c r="E557"/>
      <c r="F557"/>
      <c r="G557"/>
      <c r="H557"/>
      <c r="I557"/>
      <c r="J557"/>
      <c r="K557"/>
      <c r="L557"/>
      <c r="M557"/>
      <c r="N557" s="746"/>
      <c r="O557" s="746"/>
      <c r="P557" s="746"/>
      <c r="Q557" s="746"/>
      <c r="R557" s="521"/>
      <c r="S557" s="521"/>
    </row>
    <row r="558" spans="1:19" ht="14.25" customHeight="1">
      <c r="A558" s="720" t="s">
        <v>2035</v>
      </c>
      <c r="B558" s="720" t="s">
        <v>2036</v>
      </c>
      <c r="C558" s="720" t="s">
        <v>1</v>
      </c>
      <c r="D558" s="720" t="s">
        <v>2037</v>
      </c>
      <c r="E558" s="720" t="s">
        <v>3</v>
      </c>
      <c r="F558" s="720" t="s">
        <v>4</v>
      </c>
      <c r="G558" s="720" t="s">
        <v>2038</v>
      </c>
      <c r="H558" s="720" t="s">
        <v>6</v>
      </c>
      <c r="I558" s="720" t="s">
        <v>7</v>
      </c>
      <c r="J558" s="720" t="s">
        <v>8</v>
      </c>
      <c r="K558" s="720" t="s">
        <v>2039</v>
      </c>
      <c r="L558" s="720" t="s">
        <v>10</v>
      </c>
      <c r="M558" s="720" t="s">
        <v>2040</v>
      </c>
      <c r="N558" s="746"/>
      <c r="O558" s="746"/>
      <c r="P558" s="746"/>
      <c r="Q558" s="746"/>
      <c r="R558" s="521"/>
      <c r="S558" s="521"/>
    </row>
    <row r="559" spans="1:19">
      <c r="A559" s="721">
        <v>1</v>
      </c>
      <c r="B559" s="721">
        <v>20201195002</v>
      </c>
      <c r="C559" s="721" t="s">
        <v>2833</v>
      </c>
      <c r="D559" s="721">
        <v>195</v>
      </c>
      <c r="E559" s="721" t="s">
        <v>2832</v>
      </c>
      <c r="F559" s="721" t="s">
        <v>37</v>
      </c>
      <c r="G559" s="721" t="s">
        <v>2834</v>
      </c>
      <c r="H559" s="721">
        <v>4</v>
      </c>
      <c r="I559" s="721" t="s">
        <v>2835</v>
      </c>
      <c r="J559" s="721" t="s">
        <v>2836</v>
      </c>
      <c r="K559" s="721" t="s">
        <v>2044</v>
      </c>
      <c r="L559" s="721">
        <v>80829526</v>
      </c>
      <c r="M559" s="721" t="s">
        <v>2837</v>
      </c>
      <c r="N559" s="746"/>
      <c r="O559" s="746"/>
      <c r="P559" s="746"/>
      <c r="Q559" s="746"/>
      <c r="R559" s="521"/>
      <c r="S559" s="521"/>
    </row>
    <row r="560" spans="1:19">
      <c r="A560" s="723">
        <v>2</v>
      </c>
      <c r="B560" s="723">
        <v>20201195006</v>
      </c>
      <c r="C560" s="723" t="s">
        <v>2838</v>
      </c>
      <c r="D560" s="723">
        <v>195</v>
      </c>
      <c r="E560" s="723" t="s">
        <v>2832</v>
      </c>
      <c r="F560" s="723" t="s">
        <v>37</v>
      </c>
      <c r="G560" s="723" t="s">
        <v>2834</v>
      </c>
      <c r="H560" s="723">
        <v>3</v>
      </c>
      <c r="I560" s="723" t="s">
        <v>2839</v>
      </c>
      <c r="J560" s="723" t="s">
        <v>2840</v>
      </c>
      <c r="K560" s="723" t="s">
        <v>2044</v>
      </c>
      <c r="L560" s="723">
        <v>1013625770</v>
      </c>
      <c r="M560" s="723" t="s">
        <v>2837</v>
      </c>
      <c r="N560" s="746"/>
      <c r="O560" s="746"/>
      <c r="P560" s="746"/>
      <c r="Q560" s="746"/>
      <c r="R560" s="521"/>
      <c r="S560" s="521"/>
    </row>
    <row r="561" spans="1:19">
      <c r="A561" s="721">
        <v>3</v>
      </c>
      <c r="B561" s="721">
        <v>20202195001</v>
      </c>
      <c r="C561" s="721" t="s">
        <v>2841</v>
      </c>
      <c r="D561" s="721">
        <v>195</v>
      </c>
      <c r="E561" s="721" t="s">
        <v>2832</v>
      </c>
      <c r="F561" s="721" t="s">
        <v>37</v>
      </c>
      <c r="G561" s="721" t="s">
        <v>2834</v>
      </c>
      <c r="H561" s="721">
        <v>2</v>
      </c>
      <c r="I561" s="721" t="s">
        <v>2842</v>
      </c>
      <c r="J561" s="721" t="s">
        <v>2843</v>
      </c>
      <c r="K561" s="721" t="s">
        <v>2044</v>
      </c>
      <c r="L561" s="721">
        <v>80757660</v>
      </c>
      <c r="M561" s="721" t="s">
        <v>2837</v>
      </c>
      <c r="N561" s="746"/>
      <c r="O561" s="746"/>
      <c r="P561" s="746"/>
      <c r="Q561" s="746"/>
      <c r="R561" s="521"/>
      <c r="S561" s="521"/>
    </row>
    <row r="562" spans="1:19">
      <c r="A562" s="723">
        <v>4</v>
      </c>
      <c r="B562" s="723">
        <v>20211195006</v>
      </c>
      <c r="C562" s="723" t="s">
        <v>2844</v>
      </c>
      <c r="D562" s="723">
        <v>195</v>
      </c>
      <c r="E562" s="723" t="s">
        <v>2832</v>
      </c>
      <c r="F562" s="723" t="s">
        <v>37</v>
      </c>
      <c r="G562" s="723" t="s">
        <v>2834</v>
      </c>
      <c r="H562" s="723">
        <v>3</v>
      </c>
      <c r="I562" s="723" t="s">
        <v>2845</v>
      </c>
      <c r="J562" s="723" t="s">
        <v>2846</v>
      </c>
      <c r="K562" s="723" t="s">
        <v>2044</v>
      </c>
      <c r="L562" s="723">
        <v>1075212647</v>
      </c>
      <c r="M562" s="723" t="s">
        <v>2837</v>
      </c>
      <c r="N562" s="746"/>
      <c r="O562" s="746"/>
      <c r="P562" s="746"/>
      <c r="Q562" s="746"/>
      <c r="R562" s="521"/>
      <c r="S562" s="521"/>
    </row>
    <row r="563" spans="1:19">
      <c r="A563" s="721">
        <v>5</v>
      </c>
      <c r="B563" s="721">
        <v>20212195005</v>
      </c>
      <c r="C563" s="721" t="s">
        <v>2847</v>
      </c>
      <c r="D563" s="721">
        <v>195</v>
      </c>
      <c r="E563" s="721" t="s">
        <v>2832</v>
      </c>
      <c r="F563" s="721" t="s">
        <v>37</v>
      </c>
      <c r="G563" s="721" t="s">
        <v>2834</v>
      </c>
      <c r="H563" s="721">
        <v>3</v>
      </c>
      <c r="I563" s="721" t="s">
        <v>2848</v>
      </c>
      <c r="J563" s="721" t="s">
        <v>2849</v>
      </c>
      <c r="K563" s="721" t="s">
        <v>2044</v>
      </c>
      <c r="L563" s="721">
        <v>1030603000</v>
      </c>
      <c r="M563" s="721" t="s">
        <v>2837</v>
      </c>
      <c r="N563" s="746"/>
      <c r="O563" s="746"/>
      <c r="P563" s="746"/>
      <c r="Q563" s="746"/>
      <c r="R563" s="521"/>
      <c r="S563" s="521"/>
    </row>
    <row r="564" spans="1:19">
      <c r="A564" s="723">
        <v>6</v>
      </c>
      <c r="B564" s="723">
        <v>20221195001</v>
      </c>
      <c r="C564" s="723" t="s">
        <v>2850</v>
      </c>
      <c r="D564" s="723">
        <v>195</v>
      </c>
      <c r="E564" s="723" t="s">
        <v>2832</v>
      </c>
      <c r="F564" s="723" t="s">
        <v>37</v>
      </c>
      <c r="G564" s="723" t="s">
        <v>2834</v>
      </c>
      <c r="H564" s="723">
        <v>2</v>
      </c>
      <c r="I564" s="723" t="s">
        <v>2851</v>
      </c>
      <c r="J564" s="723" t="s">
        <v>2852</v>
      </c>
      <c r="K564" s="723" t="s">
        <v>2044</v>
      </c>
      <c r="L564" s="723">
        <v>1023935057</v>
      </c>
      <c r="M564" s="723" t="s">
        <v>2837</v>
      </c>
      <c r="N564" s="746"/>
      <c r="O564" s="746"/>
      <c r="P564" s="746"/>
      <c r="Q564" s="746"/>
      <c r="R564" s="521"/>
      <c r="S564" s="521"/>
    </row>
    <row r="565" spans="1:19">
      <c r="A565" s="725" t="s">
        <v>2292</v>
      </c>
      <c r="B565" s="725" t="s">
        <v>2292</v>
      </c>
      <c r="C565" s="725" t="s">
        <v>2292</v>
      </c>
      <c r="D565" s="725" t="s">
        <v>2292</v>
      </c>
      <c r="E565" s="725" t="s">
        <v>2292</v>
      </c>
      <c r="F565" s="725" t="s">
        <v>2292</v>
      </c>
      <c r="G565" s="725" t="s">
        <v>2292</v>
      </c>
      <c r="H565" s="725" t="s">
        <v>2292</v>
      </c>
      <c r="I565" s="725" t="s">
        <v>2292</v>
      </c>
      <c r="J565" s="725" t="s">
        <v>2292</v>
      </c>
      <c r="K565" s="725" t="s">
        <v>2292</v>
      </c>
      <c r="L565" s="725" t="s">
        <v>2292</v>
      </c>
      <c r="M565" s="725" t="s">
        <v>2292</v>
      </c>
      <c r="N565" s="746"/>
      <c r="O565" s="746"/>
      <c r="P565" s="746"/>
      <c r="Q565" s="746"/>
      <c r="R565" s="521"/>
      <c r="S565" s="521"/>
    </row>
    <row r="566" spans="1:19">
      <c r="A566" s="719" t="s">
        <v>2033</v>
      </c>
      <c r="B566" s="719" t="s">
        <v>2034</v>
      </c>
      <c r="C566"/>
      <c r="D566"/>
      <c r="E566"/>
      <c r="F566"/>
      <c r="G566"/>
      <c r="H566"/>
      <c r="I566"/>
      <c r="J566"/>
      <c r="K566"/>
      <c r="L566"/>
      <c r="M566"/>
      <c r="N566" s="746"/>
      <c r="O566" s="746"/>
      <c r="P566" s="746"/>
      <c r="Q566" s="746"/>
      <c r="R566" s="521"/>
      <c r="S566" s="521"/>
    </row>
    <row r="567" spans="1:19" ht="25.5">
      <c r="A567" s="720" t="s">
        <v>2035</v>
      </c>
      <c r="B567" s="720" t="s">
        <v>2036</v>
      </c>
      <c r="C567" s="720" t="s">
        <v>1</v>
      </c>
      <c r="D567" s="720" t="s">
        <v>2037</v>
      </c>
      <c r="E567" s="720" t="s">
        <v>3</v>
      </c>
      <c r="F567" s="720" t="s">
        <v>4</v>
      </c>
      <c r="G567" s="720" t="s">
        <v>2038</v>
      </c>
      <c r="H567" s="720" t="s">
        <v>6</v>
      </c>
      <c r="I567" s="720" t="s">
        <v>7</v>
      </c>
      <c r="J567" s="720" t="s">
        <v>8</v>
      </c>
      <c r="K567" s="720" t="s">
        <v>2039</v>
      </c>
      <c r="L567" s="720" t="s">
        <v>10</v>
      </c>
      <c r="M567" s="720" t="s">
        <v>2040</v>
      </c>
      <c r="N567" s="746"/>
      <c r="O567" s="746"/>
      <c r="P567" s="746"/>
      <c r="Q567" s="746"/>
      <c r="R567" s="521"/>
      <c r="S567" s="521"/>
    </row>
    <row r="568" spans="1:19">
      <c r="A568" s="721">
        <v>7</v>
      </c>
      <c r="B568" s="721">
        <v>20032095004</v>
      </c>
      <c r="C568" s="721" t="s">
        <v>2853</v>
      </c>
      <c r="D568" s="721">
        <v>195</v>
      </c>
      <c r="E568" s="721" t="s">
        <v>2832</v>
      </c>
      <c r="F568" s="721" t="s">
        <v>84</v>
      </c>
      <c r="G568" s="721" t="s">
        <v>2042</v>
      </c>
      <c r="H568" s="721">
        <v>1</v>
      </c>
      <c r="I568" s="721" t="s">
        <v>2854</v>
      </c>
      <c r="J568" s="721" t="s">
        <v>2855</v>
      </c>
      <c r="K568" s="721" t="s">
        <v>2044</v>
      </c>
      <c r="L568" s="721">
        <v>51960945</v>
      </c>
      <c r="M568" s="721" t="s">
        <v>2856</v>
      </c>
      <c r="N568" s="746"/>
      <c r="O568" s="746"/>
      <c r="P568" s="746"/>
      <c r="Q568" s="746"/>
      <c r="R568" s="521"/>
      <c r="S568" s="521"/>
    </row>
    <row r="569" spans="1:19">
      <c r="A569" s="723">
        <v>8</v>
      </c>
      <c r="B569" s="723">
        <v>20032095008</v>
      </c>
      <c r="C569" s="723" t="s">
        <v>2857</v>
      </c>
      <c r="D569" s="723">
        <v>195</v>
      </c>
      <c r="E569" s="723" t="s">
        <v>2832</v>
      </c>
      <c r="F569" s="723" t="s">
        <v>84</v>
      </c>
      <c r="G569" s="723" t="s">
        <v>2042</v>
      </c>
      <c r="H569" s="723">
        <v>1</v>
      </c>
      <c r="I569" s="723" t="s">
        <v>2858</v>
      </c>
      <c r="J569" s="723" t="s">
        <v>2859</v>
      </c>
      <c r="K569" s="723" t="s">
        <v>2044</v>
      </c>
      <c r="L569" s="723">
        <v>13957351</v>
      </c>
      <c r="M569" s="723" t="s">
        <v>2860</v>
      </c>
      <c r="N569" s="746"/>
      <c r="O569" s="746"/>
      <c r="P569" s="746"/>
      <c r="Q569" s="746"/>
      <c r="R569" s="521"/>
      <c r="S569" s="521"/>
    </row>
    <row r="570" spans="1:19">
      <c r="A570" s="721">
        <v>9</v>
      </c>
      <c r="B570" s="721">
        <v>20032095012</v>
      </c>
      <c r="C570" s="721" t="s">
        <v>2861</v>
      </c>
      <c r="D570" s="721">
        <v>195</v>
      </c>
      <c r="E570" s="721" t="s">
        <v>2832</v>
      </c>
      <c r="F570" s="721" t="s">
        <v>84</v>
      </c>
      <c r="G570" s="721" t="s">
        <v>2042</v>
      </c>
      <c r="H570" s="721">
        <v>3</v>
      </c>
      <c r="I570" s="721" t="s">
        <v>2862</v>
      </c>
      <c r="J570" s="721" t="s">
        <v>2863</v>
      </c>
      <c r="K570" s="721" t="s">
        <v>2044</v>
      </c>
      <c r="L570" s="721">
        <v>22546893</v>
      </c>
      <c r="M570" s="721" t="s">
        <v>2218</v>
      </c>
      <c r="N570" s="746"/>
      <c r="O570" s="746"/>
      <c r="P570" s="746"/>
      <c r="Q570" s="746"/>
      <c r="R570" s="521"/>
      <c r="S570" s="521"/>
    </row>
    <row r="571" spans="1:19">
      <c r="A571" s="723">
        <v>10</v>
      </c>
      <c r="B571" s="723">
        <v>20041195003</v>
      </c>
      <c r="C571" s="723" t="s">
        <v>2864</v>
      </c>
      <c r="D571" s="723">
        <v>195</v>
      </c>
      <c r="E571" s="723" t="s">
        <v>2832</v>
      </c>
      <c r="F571" s="723" t="s">
        <v>84</v>
      </c>
      <c r="G571" s="723" t="s">
        <v>2042</v>
      </c>
      <c r="H571" s="723" t="s">
        <v>2043</v>
      </c>
      <c r="I571" s="723" t="s">
        <v>2865</v>
      </c>
      <c r="J571" s="723" t="s">
        <v>2866</v>
      </c>
      <c r="K571" s="723" t="s">
        <v>2044</v>
      </c>
      <c r="L571" s="723">
        <v>80269115</v>
      </c>
      <c r="M571" s="723" t="s">
        <v>2113</v>
      </c>
      <c r="N571" s="746"/>
      <c r="O571" s="746"/>
      <c r="P571" s="746"/>
      <c r="Q571" s="746"/>
      <c r="R571" s="521"/>
      <c r="S571" s="521"/>
    </row>
    <row r="572" spans="1:19">
      <c r="A572" s="721">
        <v>11</v>
      </c>
      <c r="B572" s="721">
        <v>20041195004</v>
      </c>
      <c r="C572" s="721" t="s">
        <v>2867</v>
      </c>
      <c r="D572" s="721">
        <v>195</v>
      </c>
      <c r="E572" s="721" t="s">
        <v>2832</v>
      </c>
      <c r="F572" s="721" t="s">
        <v>84</v>
      </c>
      <c r="G572" s="721" t="s">
        <v>2042</v>
      </c>
      <c r="H572" s="721" t="s">
        <v>2043</v>
      </c>
      <c r="I572" s="721" t="s">
        <v>2868</v>
      </c>
      <c r="J572" s="721" t="s">
        <v>2869</v>
      </c>
      <c r="K572" s="721" t="s">
        <v>2044</v>
      </c>
      <c r="L572" s="721">
        <v>79796071</v>
      </c>
      <c r="M572" s="721" t="s">
        <v>2143</v>
      </c>
      <c r="N572" s="746"/>
      <c r="O572" s="746"/>
      <c r="P572" s="746"/>
      <c r="Q572" s="746"/>
      <c r="R572" s="521"/>
      <c r="S572" s="521"/>
    </row>
    <row r="573" spans="1:19">
      <c r="A573" s="723">
        <v>12</v>
      </c>
      <c r="B573" s="723">
        <v>20041195007</v>
      </c>
      <c r="C573" s="723" t="s">
        <v>2870</v>
      </c>
      <c r="D573" s="723">
        <v>195</v>
      </c>
      <c r="E573" s="723" t="s">
        <v>2832</v>
      </c>
      <c r="F573" s="723" t="s">
        <v>84</v>
      </c>
      <c r="G573" s="723" t="s">
        <v>2042</v>
      </c>
      <c r="H573" s="723" t="s">
        <v>2043</v>
      </c>
      <c r="I573" s="723" t="s">
        <v>2871</v>
      </c>
      <c r="J573" s="723" t="s">
        <v>2872</v>
      </c>
      <c r="K573" s="723" t="s">
        <v>2044</v>
      </c>
      <c r="L573" s="723">
        <v>72270879</v>
      </c>
      <c r="M573" s="723" t="s">
        <v>2131</v>
      </c>
      <c r="N573" s="746"/>
      <c r="O573" s="746"/>
      <c r="P573" s="746"/>
      <c r="Q573" s="746"/>
      <c r="R573" s="521"/>
      <c r="S573" s="521"/>
    </row>
    <row r="574" spans="1:19">
      <c r="A574" s="721">
        <v>13</v>
      </c>
      <c r="B574" s="721">
        <v>20041195008</v>
      </c>
      <c r="C574" s="721" t="s">
        <v>2873</v>
      </c>
      <c r="D574" s="721">
        <v>195</v>
      </c>
      <c r="E574" s="721" t="s">
        <v>2832</v>
      </c>
      <c r="F574" s="721" t="s">
        <v>84</v>
      </c>
      <c r="G574" s="721" t="s">
        <v>2042</v>
      </c>
      <c r="H574" s="721" t="s">
        <v>2043</v>
      </c>
      <c r="I574" s="721" t="s">
        <v>2874</v>
      </c>
      <c r="J574" s="721" t="s">
        <v>1019</v>
      </c>
      <c r="K574" s="721" t="s">
        <v>2044</v>
      </c>
      <c r="L574" s="721">
        <v>79950025</v>
      </c>
      <c r="M574" s="721" t="s">
        <v>2286</v>
      </c>
      <c r="N574" s="746"/>
      <c r="O574" s="746"/>
      <c r="P574" s="746"/>
      <c r="Q574" s="746"/>
      <c r="R574" s="521"/>
      <c r="S574" s="521"/>
    </row>
    <row r="575" spans="1:19">
      <c r="A575" s="723">
        <v>14</v>
      </c>
      <c r="B575" s="723">
        <v>20041195009</v>
      </c>
      <c r="C575" s="723" t="s">
        <v>2875</v>
      </c>
      <c r="D575" s="723">
        <v>195</v>
      </c>
      <c r="E575" s="723" t="s">
        <v>2832</v>
      </c>
      <c r="F575" s="723" t="s">
        <v>84</v>
      </c>
      <c r="G575" s="723" t="s">
        <v>2042</v>
      </c>
      <c r="H575" s="723" t="s">
        <v>2043</v>
      </c>
      <c r="I575" s="723" t="s">
        <v>2876</v>
      </c>
      <c r="J575" s="723" t="s">
        <v>2877</v>
      </c>
      <c r="K575" s="723" t="s">
        <v>2044</v>
      </c>
      <c r="L575" s="723">
        <v>80092512</v>
      </c>
      <c r="M575" s="723" t="s">
        <v>2830</v>
      </c>
      <c r="N575" s="746"/>
      <c r="O575" s="746"/>
      <c r="P575" s="746"/>
      <c r="Q575" s="746"/>
      <c r="R575" s="521"/>
      <c r="S575" s="521"/>
    </row>
    <row r="576" spans="1:19">
      <c r="A576" s="721">
        <v>15</v>
      </c>
      <c r="B576" s="721">
        <v>20041195011</v>
      </c>
      <c r="C576" s="721" t="s">
        <v>2878</v>
      </c>
      <c r="D576" s="721">
        <v>195</v>
      </c>
      <c r="E576" s="721" t="s">
        <v>2832</v>
      </c>
      <c r="F576" s="721" t="s">
        <v>84</v>
      </c>
      <c r="G576" s="721" t="s">
        <v>2042</v>
      </c>
      <c r="H576" s="721" t="s">
        <v>2043</v>
      </c>
      <c r="I576" s="721" t="s">
        <v>2879</v>
      </c>
      <c r="J576" s="721" t="s">
        <v>2880</v>
      </c>
      <c r="K576" s="721" t="s">
        <v>2044</v>
      </c>
      <c r="L576" s="721">
        <v>79453519</v>
      </c>
      <c r="M576" s="721" t="s">
        <v>2167</v>
      </c>
      <c r="N576" s="746"/>
      <c r="O576" s="746"/>
      <c r="P576" s="746"/>
      <c r="Q576" s="746"/>
      <c r="R576" s="521"/>
      <c r="S576" s="521"/>
    </row>
    <row r="577" spans="1:19">
      <c r="A577" s="723">
        <v>16</v>
      </c>
      <c r="B577" s="723">
        <v>20041195013</v>
      </c>
      <c r="C577" s="723" t="s">
        <v>2881</v>
      </c>
      <c r="D577" s="723">
        <v>195</v>
      </c>
      <c r="E577" s="723" t="s">
        <v>2832</v>
      </c>
      <c r="F577" s="723" t="s">
        <v>84</v>
      </c>
      <c r="G577" s="723" t="s">
        <v>2042</v>
      </c>
      <c r="H577" s="723" t="s">
        <v>2043</v>
      </c>
      <c r="I577" s="723" t="s">
        <v>2882</v>
      </c>
      <c r="J577" s="723" t="s">
        <v>2883</v>
      </c>
      <c r="K577" s="723" t="s">
        <v>2044</v>
      </c>
      <c r="L577" s="723">
        <v>80093200</v>
      </c>
      <c r="M577" s="723" t="s">
        <v>2830</v>
      </c>
      <c r="N577" s="746"/>
      <c r="O577" s="746"/>
      <c r="P577" s="746"/>
      <c r="Q577" s="746"/>
      <c r="R577" s="521"/>
      <c r="S577" s="521"/>
    </row>
    <row r="578" spans="1:19">
      <c r="A578" s="721">
        <v>17</v>
      </c>
      <c r="B578" s="721">
        <v>20041195018</v>
      </c>
      <c r="C578" s="721" t="s">
        <v>2884</v>
      </c>
      <c r="D578" s="721">
        <v>195</v>
      </c>
      <c r="E578" s="721" t="s">
        <v>2832</v>
      </c>
      <c r="F578" s="721" t="s">
        <v>84</v>
      </c>
      <c r="G578" s="721" t="s">
        <v>2042</v>
      </c>
      <c r="H578" s="721" t="s">
        <v>2043</v>
      </c>
      <c r="I578" s="721" t="s">
        <v>2885</v>
      </c>
      <c r="J578" s="721" t="s">
        <v>2886</v>
      </c>
      <c r="K578" s="721" t="s">
        <v>2044</v>
      </c>
      <c r="L578" s="721">
        <v>80084469</v>
      </c>
      <c r="M578" s="721" t="s">
        <v>2131</v>
      </c>
      <c r="N578" s="746"/>
      <c r="O578" s="746"/>
      <c r="P578" s="746"/>
      <c r="Q578" s="746"/>
      <c r="R578" s="521"/>
      <c r="S578" s="521"/>
    </row>
    <row r="579" spans="1:19">
      <c r="A579" s="723">
        <v>18</v>
      </c>
      <c r="B579" s="723">
        <v>20041195019</v>
      </c>
      <c r="C579" s="723" t="s">
        <v>2887</v>
      </c>
      <c r="D579" s="723">
        <v>195</v>
      </c>
      <c r="E579" s="723" t="s">
        <v>2832</v>
      </c>
      <c r="F579" s="723" t="s">
        <v>84</v>
      </c>
      <c r="G579" s="723" t="s">
        <v>2042</v>
      </c>
      <c r="H579" s="723" t="s">
        <v>2043</v>
      </c>
      <c r="I579" s="723" t="s">
        <v>2888</v>
      </c>
      <c r="J579" s="723" t="s">
        <v>2889</v>
      </c>
      <c r="K579" s="723" t="s">
        <v>2044</v>
      </c>
      <c r="L579" s="723">
        <v>79965521</v>
      </c>
      <c r="M579" s="723" t="s">
        <v>2113</v>
      </c>
      <c r="N579" s="746"/>
      <c r="O579" s="746"/>
      <c r="P579" s="746"/>
      <c r="Q579" s="746"/>
      <c r="R579" s="521"/>
      <c r="S579" s="521"/>
    </row>
    <row r="580" spans="1:19">
      <c r="A580" s="721">
        <v>19</v>
      </c>
      <c r="B580" s="721">
        <v>20041195027</v>
      </c>
      <c r="C580" s="721" t="s">
        <v>2890</v>
      </c>
      <c r="D580" s="721">
        <v>195</v>
      </c>
      <c r="E580" s="721" t="s">
        <v>2832</v>
      </c>
      <c r="F580" s="721" t="s">
        <v>84</v>
      </c>
      <c r="G580" s="721" t="s">
        <v>2042</v>
      </c>
      <c r="H580" s="721" t="s">
        <v>2043</v>
      </c>
      <c r="I580" s="721" t="s">
        <v>2891</v>
      </c>
      <c r="J580" s="721" t="s">
        <v>2892</v>
      </c>
      <c r="K580" s="721" t="s">
        <v>2044</v>
      </c>
      <c r="L580" s="721">
        <v>79363308</v>
      </c>
      <c r="M580" s="721" t="s">
        <v>2830</v>
      </c>
      <c r="N580" s="746"/>
      <c r="O580" s="746"/>
      <c r="P580" s="746"/>
      <c r="Q580" s="746"/>
      <c r="R580" s="521"/>
      <c r="S580" s="521"/>
    </row>
    <row r="581" spans="1:19">
      <c r="A581" s="723">
        <v>20</v>
      </c>
      <c r="B581" s="723">
        <v>20041195028</v>
      </c>
      <c r="C581" s="723" t="s">
        <v>2893</v>
      </c>
      <c r="D581" s="723">
        <v>195</v>
      </c>
      <c r="E581" s="723" t="s">
        <v>2832</v>
      </c>
      <c r="F581" s="723" t="s">
        <v>84</v>
      </c>
      <c r="G581" s="723" t="s">
        <v>2042</v>
      </c>
      <c r="H581" s="723" t="s">
        <v>2043</v>
      </c>
      <c r="I581" s="723" t="s">
        <v>2894</v>
      </c>
      <c r="J581" s="723" t="s">
        <v>2895</v>
      </c>
      <c r="K581" s="723" t="s">
        <v>2044</v>
      </c>
      <c r="L581" s="723">
        <v>80033827</v>
      </c>
      <c r="M581" s="723" t="s">
        <v>2896</v>
      </c>
      <c r="N581" s="746"/>
      <c r="O581" s="746"/>
      <c r="P581" s="746"/>
      <c r="Q581" s="746"/>
      <c r="R581" s="521"/>
      <c r="S581" s="521"/>
    </row>
    <row r="582" spans="1:19">
      <c r="A582" s="721">
        <v>21</v>
      </c>
      <c r="B582" s="721">
        <v>20042195001</v>
      </c>
      <c r="C582" s="721" t="s">
        <v>2897</v>
      </c>
      <c r="D582" s="721">
        <v>195</v>
      </c>
      <c r="E582" s="721" t="s">
        <v>2832</v>
      </c>
      <c r="F582" s="721" t="s">
        <v>84</v>
      </c>
      <c r="G582" s="721" t="s">
        <v>2042</v>
      </c>
      <c r="H582" s="721" t="s">
        <v>2043</v>
      </c>
      <c r="I582" s="721" t="s">
        <v>2898</v>
      </c>
      <c r="J582" s="721" t="s">
        <v>2899</v>
      </c>
      <c r="K582" s="721" t="s">
        <v>2044</v>
      </c>
      <c r="L582" s="721">
        <v>98398037</v>
      </c>
      <c r="M582" s="721" t="s">
        <v>2900</v>
      </c>
      <c r="N582" s="746"/>
      <c r="O582" s="746"/>
      <c r="P582" s="746"/>
      <c r="Q582" s="746"/>
      <c r="R582" s="521"/>
      <c r="S582" s="521"/>
    </row>
    <row r="583" spans="1:19">
      <c r="A583" s="723">
        <v>22</v>
      </c>
      <c r="B583" s="723">
        <v>20042195002</v>
      </c>
      <c r="C583" s="723" t="s">
        <v>2901</v>
      </c>
      <c r="D583" s="723">
        <v>195</v>
      </c>
      <c r="E583" s="723" t="s">
        <v>2832</v>
      </c>
      <c r="F583" s="723" t="s">
        <v>84</v>
      </c>
      <c r="G583" s="723" t="s">
        <v>2042</v>
      </c>
      <c r="H583" s="723">
        <v>1</v>
      </c>
      <c r="I583" s="723" t="s">
        <v>2902</v>
      </c>
      <c r="J583" s="723" t="s">
        <v>2903</v>
      </c>
      <c r="K583" s="723" t="s">
        <v>2044</v>
      </c>
      <c r="L583" s="723">
        <v>80083236</v>
      </c>
      <c r="M583" s="723" t="s">
        <v>2896</v>
      </c>
      <c r="N583" s="746"/>
      <c r="O583" s="746"/>
      <c r="P583" s="746"/>
      <c r="Q583" s="746"/>
      <c r="R583" s="521"/>
      <c r="S583" s="521"/>
    </row>
    <row r="584" spans="1:19">
      <c r="A584" s="721">
        <v>23</v>
      </c>
      <c r="B584" s="721">
        <v>20042195006</v>
      </c>
      <c r="C584" s="721" t="s">
        <v>2904</v>
      </c>
      <c r="D584" s="721">
        <v>195</v>
      </c>
      <c r="E584" s="721" t="s">
        <v>2832</v>
      </c>
      <c r="F584" s="721" t="s">
        <v>84</v>
      </c>
      <c r="G584" s="721" t="s">
        <v>2042</v>
      </c>
      <c r="H584" s="721" t="s">
        <v>2043</v>
      </c>
      <c r="I584" s="721" t="s">
        <v>2905</v>
      </c>
      <c r="J584" s="721" t="s">
        <v>2906</v>
      </c>
      <c r="K584" s="721" t="s">
        <v>2044</v>
      </c>
      <c r="L584" s="721">
        <v>88244208</v>
      </c>
      <c r="M584" s="721" t="s">
        <v>2229</v>
      </c>
      <c r="N584" s="746"/>
      <c r="O584" s="746"/>
      <c r="P584" s="746"/>
      <c r="Q584" s="746"/>
      <c r="R584" s="521"/>
      <c r="S584" s="521"/>
    </row>
    <row r="585" spans="1:19">
      <c r="A585" s="723">
        <v>24</v>
      </c>
      <c r="B585" s="723">
        <v>20042195008</v>
      </c>
      <c r="C585" s="723" t="s">
        <v>2907</v>
      </c>
      <c r="D585" s="723">
        <v>195</v>
      </c>
      <c r="E585" s="723" t="s">
        <v>2832</v>
      </c>
      <c r="F585" s="723" t="s">
        <v>84</v>
      </c>
      <c r="G585" s="723" t="s">
        <v>2042</v>
      </c>
      <c r="H585" s="723" t="s">
        <v>2043</v>
      </c>
      <c r="I585" s="723" t="s">
        <v>2908</v>
      </c>
      <c r="J585" s="723" t="s">
        <v>2909</v>
      </c>
      <c r="K585" s="723" t="s">
        <v>2044</v>
      </c>
      <c r="L585" s="723">
        <v>79330024</v>
      </c>
      <c r="M585" s="723" t="s">
        <v>2910</v>
      </c>
      <c r="N585" s="746"/>
      <c r="O585" s="746"/>
      <c r="P585" s="746"/>
      <c r="Q585" s="746"/>
      <c r="R585" s="521"/>
      <c r="S585" s="521"/>
    </row>
    <row r="586" spans="1:19">
      <c r="A586" s="721">
        <v>25</v>
      </c>
      <c r="B586" s="721">
        <v>20042195009</v>
      </c>
      <c r="C586" s="721" t="s">
        <v>2911</v>
      </c>
      <c r="D586" s="721">
        <v>195</v>
      </c>
      <c r="E586" s="721" t="s">
        <v>2832</v>
      </c>
      <c r="F586" s="721" t="s">
        <v>84</v>
      </c>
      <c r="G586" s="721" t="s">
        <v>2042</v>
      </c>
      <c r="H586" s="721">
        <v>1</v>
      </c>
      <c r="I586" s="721" t="s">
        <v>2912</v>
      </c>
      <c r="J586" s="721" t="s">
        <v>2913</v>
      </c>
      <c r="K586" s="721" t="s">
        <v>2044</v>
      </c>
      <c r="L586" s="721">
        <v>9728027</v>
      </c>
      <c r="M586" s="721" t="s">
        <v>2914</v>
      </c>
      <c r="N586" s="746"/>
      <c r="O586" s="746"/>
      <c r="P586" s="746"/>
      <c r="Q586" s="746"/>
      <c r="R586" s="521"/>
      <c r="S586" s="521"/>
    </row>
    <row r="587" spans="1:19">
      <c r="A587" s="723">
        <v>26</v>
      </c>
      <c r="B587" s="723">
        <v>20042195012</v>
      </c>
      <c r="C587" s="723" t="s">
        <v>2915</v>
      </c>
      <c r="D587" s="723">
        <v>195</v>
      </c>
      <c r="E587" s="723" t="s">
        <v>2832</v>
      </c>
      <c r="F587" s="723" t="s">
        <v>84</v>
      </c>
      <c r="G587" s="723" t="s">
        <v>2042</v>
      </c>
      <c r="H587" s="723" t="s">
        <v>2043</v>
      </c>
      <c r="I587" s="723" t="s">
        <v>2916</v>
      </c>
      <c r="J587" s="723" t="s">
        <v>2917</v>
      </c>
      <c r="K587" s="723" t="s">
        <v>2044</v>
      </c>
      <c r="L587" s="723">
        <v>86062285</v>
      </c>
      <c r="M587" s="723" t="s">
        <v>2286</v>
      </c>
      <c r="N587" s="746"/>
      <c r="O587" s="746"/>
      <c r="P587" s="746"/>
      <c r="Q587" s="746"/>
      <c r="R587" s="521"/>
      <c r="S587" s="521"/>
    </row>
    <row r="588" spans="1:19">
      <c r="A588" s="721">
        <v>27</v>
      </c>
      <c r="B588" s="721">
        <v>20042195018</v>
      </c>
      <c r="C588" s="721" t="s">
        <v>2918</v>
      </c>
      <c r="D588" s="721">
        <v>195</v>
      </c>
      <c r="E588" s="721" t="s">
        <v>2832</v>
      </c>
      <c r="F588" s="721" t="s">
        <v>84</v>
      </c>
      <c r="G588" s="721" t="s">
        <v>2042</v>
      </c>
      <c r="H588" s="721" t="s">
        <v>2043</v>
      </c>
      <c r="I588" s="721" t="s">
        <v>2919</v>
      </c>
      <c r="J588" s="721" t="s">
        <v>2920</v>
      </c>
      <c r="K588" s="721" t="s">
        <v>2044</v>
      </c>
      <c r="L588" s="721">
        <v>79880251</v>
      </c>
      <c r="M588" s="721" t="s">
        <v>2286</v>
      </c>
      <c r="N588" s="746"/>
      <c r="O588" s="746"/>
      <c r="P588" s="746"/>
      <c r="Q588" s="746"/>
      <c r="R588" s="521"/>
      <c r="S588" s="521"/>
    </row>
    <row r="589" spans="1:19">
      <c r="A589" s="723">
        <v>28</v>
      </c>
      <c r="B589" s="723">
        <v>20042195019</v>
      </c>
      <c r="C589" s="723" t="s">
        <v>2921</v>
      </c>
      <c r="D589" s="723">
        <v>195</v>
      </c>
      <c r="E589" s="723" t="s">
        <v>2832</v>
      </c>
      <c r="F589" s="723" t="s">
        <v>84</v>
      </c>
      <c r="G589" s="723" t="s">
        <v>2042</v>
      </c>
      <c r="H589" s="723" t="s">
        <v>2043</v>
      </c>
      <c r="I589" s="723" t="s">
        <v>2922</v>
      </c>
      <c r="J589" s="723" t="s">
        <v>2923</v>
      </c>
      <c r="K589" s="723" t="s">
        <v>2044</v>
      </c>
      <c r="L589" s="723">
        <v>19055103</v>
      </c>
      <c r="M589" s="723" t="s">
        <v>2896</v>
      </c>
      <c r="N589" s="746"/>
      <c r="O589" s="746"/>
      <c r="P589" s="746"/>
      <c r="Q589" s="746"/>
      <c r="R589" s="521"/>
      <c r="S589" s="521"/>
    </row>
    <row r="590" spans="1:19">
      <c r="A590" s="721">
        <v>29</v>
      </c>
      <c r="B590" s="721">
        <v>20042195021</v>
      </c>
      <c r="C590" s="721" t="s">
        <v>2924</v>
      </c>
      <c r="D590" s="721">
        <v>195</v>
      </c>
      <c r="E590" s="721" t="s">
        <v>2832</v>
      </c>
      <c r="F590" s="721" t="s">
        <v>84</v>
      </c>
      <c r="G590" s="721" t="s">
        <v>2042</v>
      </c>
      <c r="H590" s="721">
        <v>1</v>
      </c>
      <c r="I590" s="721" t="s">
        <v>2925</v>
      </c>
      <c r="J590" s="721" t="s">
        <v>2926</v>
      </c>
      <c r="K590" s="721" t="s">
        <v>2044</v>
      </c>
      <c r="L590" s="721">
        <v>19052013</v>
      </c>
      <c r="M590" s="721" t="s">
        <v>2896</v>
      </c>
      <c r="N590" s="746"/>
      <c r="O590" s="746"/>
      <c r="P590" s="746"/>
      <c r="Q590" s="746"/>
      <c r="R590" s="521"/>
      <c r="S590" s="521"/>
    </row>
    <row r="591" spans="1:19">
      <c r="A591" s="723">
        <v>30</v>
      </c>
      <c r="B591" s="723">
        <v>20051195006</v>
      </c>
      <c r="C591" s="723" t="s">
        <v>2927</v>
      </c>
      <c r="D591" s="723">
        <v>195</v>
      </c>
      <c r="E591" s="723" t="s">
        <v>2832</v>
      </c>
      <c r="F591" s="723" t="s">
        <v>84</v>
      </c>
      <c r="G591" s="723" t="s">
        <v>2042</v>
      </c>
      <c r="H591" s="723" t="s">
        <v>2043</v>
      </c>
      <c r="I591" s="723" t="s">
        <v>2928</v>
      </c>
      <c r="J591" s="723" t="s">
        <v>2929</v>
      </c>
      <c r="K591" s="723" t="s">
        <v>2044</v>
      </c>
      <c r="L591" s="723">
        <v>79708124</v>
      </c>
      <c r="M591" s="723" t="s">
        <v>2286</v>
      </c>
      <c r="N591" s="746"/>
      <c r="O591" s="746"/>
      <c r="P591" s="746"/>
      <c r="Q591" s="746"/>
      <c r="R591" s="521"/>
      <c r="S591" s="521"/>
    </row>
    <row r="592" spans="1:19">
      <c r="A592" s="721">
        <v>31</v>
      </c>
      <c r="B592" s="721">
        <v>20051195013</v>
      </c>
      <c r="C592" s="721" t="s">
        <v>2930</v>
      </c>
      <c r="D592" s="721">
        <v>195</v>
      </c>
      <c r="E592" s="721" t="s">
        <v>2832</v>
      </c>
      <c r="F592" s="721" t="s">
        <v>84</v>
      </c>
      <c r="G592" s="721" t="s">
        <v>2042</v>
      </c>
      <c r="H592" s="721" t="s">
        <v>2043</v>
      </c>
      <c r="I592" s="721" t="s">
        <v>2931</v>
      </c>
      <c r="J592" s="721" t="s">
        <v>2932</v>
      </c>
      <c r="K592" s="721" t="s">
        <v>2044</v>
      </c>
      <c r="L592" s="721">
        <v>80108466</v>
      </c>
      <c r="M592" s="721" t="s">
        <v>2113</v>
      </c>
      <c r="N592" s="746"/>
      <c r="O592" s="746"/>
      <c r="P592" s="746"/>
      <c r="Q592" s="746"/>
      <c r="R592" s="521"/>
      <c r="S592" s="521"/>
    </row>
    <row r="593" spans="1:19">
      <c r="A593" s="723">
        <v>32</v>
      </c>
      <c r="B593" s="723">
        <v>20051195015</v>
      </c>
      <c r="C593" s="723" t="s">
        <v>2933</v>
      </c>
      <c r="D593" s="723">
        <v>195</v>
      </c>
      <c r="E593" s="723" t="s">
        <v>2832</v>
      </c>
      <c r="F593" s="723" t="s">
        <v>84</v>
      </c>
      <c r="G593" s="723" t="s">
        <v>2042</v>
      </c>
      <c r="H593" s="723">
        <v>4</v>
      </c>
      <c r="I593" s="723" t="s">
        <v>2934</v>
      </c>
      <c r="J593" s="723" t="s">
        <v>2935</v>
      </c>
      <c r="K593" s="723" t="s">
        <v>2044</v>
      </c>
      <c r="L593" s="723">
        <v>9396968</v>
      </c>
      <c r="M593" s="723" t="s">
        <v>2936</v>
      </c>
      <c r="N593" s="746"/>
      <c r="O593" s="746"/>
      <c r="P593" s="746"/>
      <c r="Q593" s="746"/>
      <c r="R593" s="521"/>
      <c r="S593" s="521"/>
    </row>
    <row r="594" spans="1:19">
      <c r="A594" s="721">
        <v>33</v>
      </c>
      <c r="B594" s="721">
        <v>20051195016</v>
      </c>
      <c r="C594" s="721" t="s">
        <v>2937</v>
      </c>
      <c r="D594" s="721">
        <v>195</v>
      </c>
      <c r="E594" s="721" t="s">
        <v>2832</v>
      </c>
      <c r="F594" s="721" t="s">
        <v>84</v>
      </c>
      <c r="G594" s="721" t="s">
        <v>2042</v>
      </c>
      <c r="H594" s="721" t="s">
        <v>2043</v>
      </c>
      <c r="I594" s="721" t="s">
        <v>2938</v>
      </c>
      <c r="J594" s="721" t="s">
        <v>2939</v>
      </c>
      <c r="K594" s="721" t="s">
        <v>2044</v>
      </c>
      <c r="L594" s="721">
        <v>9395122</v>
      </c>
      <c r="M594" s="721" t="s">
        <v>2113</v>
      </c>
      <c r="N594" s="746"/>
      <c r="O594" s="746"/>
      <c r="P594" s="746"/>
      <c r="Q594" s="746"/>
      <c r="R594" s="521"/>
      <c r="S594" s="521"/>
    </row>
    <row r="595" spans="1:19">
      <c r="A595" s="723">
        <v>34</v>
      </c>
      <c r="B595" s="723">
        <v>20051195020</v>
      </c>
      <c r="C595" s="723" t="s">
        <v>2940</v>
      </c>
      <c r="D595" s="723">
        <v>195</v>
      </c>
      <c r="E595" s="723" t="s">
        <v>2832</v>
      </c>
      <c r="F595" s="723" t="s">
        <v>84</v>
      </c>
      <c r="G595" s="723" t="s">
        <v>2042</v>
      </c>
      <c r="H595" s="723" t="s">
        <v>2043</v>
      </c>
      <c r="I595" s="723" t="s">
        <v>2941</v>
      </c>
      <c r="J595" s="723" t="s">
        <v>2942</v>
      </c>
      <c r="K595" s="723" t="s">
        <v>2044</v>
      </c>
      <c r="L595" s="723">
        <v>88154191</v>
      </c>
      <c r="M595" s="723" t="s">
        <v>2860</v>
      </c>
      <c r="N595" s="746"/>
      <c r="O595" s="746"/>
      <c r="P595" s="746"/>
      <c r="Q595" s="746"/>
      <c r="R595" s="521"/>
      <c r="S595" s="521"/>
    </row>
    <row r="596" spans="1:19">
      <c r="A596" s="721">
        <v>35</v>
      </c>
      <c r="B596" s="721">
        <v>20051195021</v>
      </c>
      <c r="C596" s="721" t="s">
        <v>2943</v>
      </c>
      <c r="D596" s="721">
        <v>195</v>
      </c>
      <c r="E596" s="721" t="s">
        <v>2832</v>
      </c>
      <c r="F596" s="721" t="s">
        <v>84</v>
      </c>
      <c r="G596" s="721" t="s">
        <v>2042</v>
      </c>
      <c r="H596" s="721" t="s">
        <v>2043</v>
      </c>
      <c r="I596" s="721" t="s">
        <v>2944</v>
      </c>
      <c r="J596" s="721" t="s">
        <v>2945</v>
      </c>
      <c r="K596" s="721" t="s">
        <v>2044</v>
      </c>
      <c r="L596" s="721">
        <v>79425787</v>
      </c>
      <c r="M596" s="721" t="s">
        <v>2113</v>
      </c>
      <c r="N596" s="746"/>
      <c r="O596" s="746"/>
      <c r="P596" s="746"/>
      <c r="Q596" s="746"/>
      <c r="R596" s="521"/>
      <c r="S596" s="521"/>
    </row>
    <row r="597" spans="1:19">
      <c r="A597" s="723">
        <v>36</v>
      </c>
      <c r="B597" s="723">
        <v>20051195022</v>
      </c>
      <c r="C597" s="723" t="s">
        <v>2946</v>
      </c>
      <c r="D597" s="723">
        <v>195</v>
      </c>
      <c r="E597" s="723" t="s">
        <v>2832</v>
      </c>
      <c r="F597" s="723" t="s">
        <v>84</v>
      </c>
      <c r="G597" s="723" t="s">
        <v>2042</v>
      </c>
      <c r="H597" s="723" t="s">
        <v>2043</v>
      </c>
      <c r="I597" s="723" t="s">
        <v>2947</v>
      </c>
      <c r="J597" s="723" t="s">
        <v>2948</v>
      </c>
      <c r="K597" s="723" t="s">
        <v>2044</v>
      </c>
      <c r="L597" s="723">
        <v>79370039</v>
      </c>
      <c r="M597" s="723" t="s">
        <v>2113</v>
      </c>
      <c r="N597" s="746"/>
      <c r="O597" s="746"/>
      <c r="P597" s="746"/>
      <c r="Q597" s="746"/>
      <c r="R597" s="521"/>
      <c r="S597" s="521"/>
    </row>
    <row r="598" spans="1:19">
      <c r="A598" s="721">
        <v>37</v>
      </c>
      <c r="B598" s="721">
        <v>20052195008</v>
      </c>
      <c r="C598" s="721" t="s">
        <v>2949</v>
      </c>
      <c r="D598" s="721">
        <v>195</v>
      </c>
      <c r="E598" s="721" t="s">
        <v>2832</v>
      </c>
      <c r="F598" s="721" t="s">
        <v>84</v>
      </c>
      <c r="G598" s="721" t="s">
        <v>2042</v>
      </c>
      <c r="H598" s="721" t="s">
        <v>2043</v>
      </c>
      <c r="I598" s="721" t="s">
        <v>2950</v>
      </c>
      <c r="J598" s="721" t="s">
        <v>2951</v>
      </c>
      <c r="K598" s="721" t="s">
        <v>2044</v>
      </c>
      <c r="L598" s="721">
        <v>7724669</v>
      </c>
      <c r="M598" s="721" t="s">
        <v>2113</v>
      </c>
      <c r="N598" s="746"/>
      <c r="O598" s="746"/>
      <c r="P598" s="746"/>
      <c r="Q598" s="746"/>
      <c r="R598" s="521"/>
      <c r="S598" s="521"/>
    </row>
    <row r="599" spans="1:19">
      <c r="A599" s="723">
        <v>38</v>
      </c>
      <c r="B599" s="723">
        <v>20052195012</v>
      </c>
      <c r="C599" s="723" t="s">
        <v>2952</v>
      </c>
      <c r="D599" s="723">
        <v>195</v>
      </c>
      <c r="E599" s="723" t="s">
        <v>2832</v>
      </c>
      <c r="F599" s="723" t="s">
        <v>84</v>
      </c>
      <c r="G599" s="723" t="s">
        <v>2042</v>
      </c>
      <c r="H599" s="723">
        <v>1</v>
      </c>
      <c r="I599" s="723" t="s">
        <v>2953</v>
      </c>
      <c r="J599" s="723" t="s">
        <v>2954</v>
      </c>
      <c r="K599" s="723" t="s">
        <v>2044</v>
      </c>
      <c r="L599" s="723">
        <v>40048134</v>
      </c>
      <c r="M599" s="723" t="s">
        <v>2910</v>
      </c>
      <c r="N599" s="746"/>
      <c r="O599" s="746"/>
      <c r="P599" s="746"/>
      <c r="Q599" s="746"/>
      <c r="R599" s="521"/>
      <c r="S599" s="521"/>
    </row>
    <row r="600" spans="1:19">
      <c r="A600" s="721">
        <v>39</v>
      </c>
      <c r="B600" s="721">
        <v>20061195002</v>
      </c>
      <c r="C600" s="721" t="s">
        <v>2955</v>
      </c>
      <c r="D600" s="721">
        <v>195</v>
      </c>
      <c r="E600" s="721" t="s">
        <v>2832</v>
      </c>
      <c r="F600" s="721" t="s">
        <v>84</v>
      </c>
      <c r="G600" s="721" t="s">
        <v>2042</v>
      </c>
      <c r="H600" s="721" t="s">
        <v>2043</v>
      </c>
      <c r="I600" s="721" t="s">
        <v>2956</v>
      </c>
      <c r="J600" s="721" t="s">
        <v>2957</v>
      </c>
      <c r="K600" s="721" t="s">
        <v>2044</v>
      </c>
      <c r="L600" s="721">
        <v>10178313</v>
      </c>
      <c r="M600" s="721" t="s">
        <v>2958</v>
      </c>
      <c r="N600" s="746"/>
      <c r="O600" s="746"/>
      <c r="P600" s="746"/>
      <c r="Q600" s="746"/>
      <c r="R600" s="521"/>
      <c r="S600" s="521"/>
    </row>
    <row r="601" spans="1:19">
      <c r="A601" s="723">
        <v>40</v>
      </c>
      <c r="B601" s="723">
        <v>20061195003</v>
      </c>
      <c r="C601" s="723" t="s">
        <v>2959</v>
      </c>
      <c r="D601" s="723">
        <v>195</v>
      </c>
      <c r="E601" s="723" t="s">
        <v>2832</v>
      </c>
      <c r="F601" s="723" t="s">
        <v>84</v>
      </c>
      <c r="G601" s="723" t="s">
        <v>2042</v>
      </c>
      <c r="H601" s="723">
        <v>1</v>
      </c>
      <c r="I601" s="723" t="s">
        <v>2960</v>
      </c>
      <c r="J601" s="723" t="s">
        <v>2961</v>
      </c>
      <c r="K601" s="723" t="s">
        <v>2044</v>
      </c>
      <c r="L601" s="723">
        <v>79397454</v>
      </c>
      <c r="M601" s="723" t="s">
        <v>2856</v>
      </c>
      <c r="N601" s="746"/>
      <c r="O601" s="746"/>
      <c r="P601" s="746"/>
      <c r="Q601" s="746"/>
      <c r="R601" s="521"/>
      <c r="S601" s="521"/>
    </row>
    <row r="602" spans="1:19">
      <c r="A602" s="721">
        <v>41</v>
      </c>
      <c r="B602" s="721">
        <v>20061195004</v>
      </c>
      <c r="C602" s="721" t="s">
        <v>2962</v>
      </c>
      <c r="D602" s="721">
        <v>195</v>
      </c>
      <c r="E602" s="721" t="s">
        <v>2832</v>
      </c>
      <c r="F602" s="721" t="s">
        <v>84</v>
      </c>
      <c r="G602" s="721" t="s">
        <v>2042</v>
      </c>
      <c r="H602" s="721">
        <v>1</v>
      </c>
      <c r="I602" s="721" t="s">
        <v>2963</v>
      </c>
      <c r="J602" s="721" t="s">
        <v>2964</v>
      </c>
      <c r="K602" s="721" t="s">
        <v>2044</v>
      </c>
      <c r="L602" s="721">
        <v>8645703</v>
      </c>
      <c r="M602" s="721" t="s">
        <v>2896</v>
      </c>
      <c r="N602" s="746"/>
      <c r="O602" s="746"/>
      <c r="P602" s="746"/>
      <c r="Q602" s="746"/>
      <c r="R602" s="521"/>
      <c r="S602" s="521"/>
    </row>
    <row r="603" spans="1:19">
      <c r="A603" s="723">
        <v>42</v>
      </c>
      <c r="B603" s="723">
        <v>20061195011</v>
      </c>
      <c r="C603" s="723" t="s">
        <v>2965</v>
      </c>
      <c r="D603" s="723">
        <v>195</v>
      </c>
      <c r="E603" s="723" t="s">
        <v>2832</v>
      </c>
      <c r="F603" s="723" t="s">
        <v>84</v>
      </c>
      <c r="G603" s="723" t="s">
        <v>2042</v>
      </c>
      <c r="H603" s="723">
        <v>3</v>
      </c>
      <c r="I603" s="723" t="s">
        <v>2966</v>
      </c>
      <c r="J603" s="723" t="s">
        <v>2967</v>
      </c>
      <c r="K603" s="723" t="s">
        <v>2044</v>
      </c>
      <c r="L603" s="723">
        <v>74181088</v>
      </c>
      <c r="M603" s="723" t="s">
        <v>2896</v>
      </c>
      <c r="N603" s="746"/>
      <c r="O603" s="746"/>
      <c r="P603" s="746"/>
      <c r="Q603" s="746"/>
      <c r="R603" s="521"/>
      <c r="S603" s="521"/>
    </row>
    <row r="604" spans="1:19">
      <c r="A604" s="721">
        <v>43</v>
      </c>
      <c r="B604" s="721">
        <v>20061195013</v>
      </c>
      <c r="C604" s="721" t="s">
        <v>2968</v>
      </c>
      <c r="D604" s="721">
        <v>195</v>
      </c>
      <c r="E604" s="721" t="s">
        <v>2832</v>
      </c>
      <c r="F604" s="721" t="s">
        <v>84</v>
      </c>
      <c r="G604" s="721" t="s">
        <v>2042</v>
      </c>
      <c r="H604" s="721" t="s">
        <v>2043</v>
      </c>
      <c r="I604" s="721" t="s">
        <v>2969</v>
      </c>
      <c r="J604" s="721" t="s">
        <v>2970</v>
      </c>
      <c r="K604" s="721" t="s">
        <v>2044</v>
      </c>
      <c r="L604" s="721">
        <v>79481416</v>
      </c>
      <c r="M604" s="721" t="s">
        <v>2218</v>
      </c>
      <c r="N604" s="746"/>
      <c r="O604" s="746"/>
      <c r="P604" s="746"/>
      <c r="Q604" s="746"/>
      <c r="R604" s="521"/>
      <c r="S604" s="521"/>
    </row>
    <row r="605" spans="1:19">
      <c r="A605" s="723">
        <v>44</v>
      </c>
      <c r="B605" s="723">
        <v>20061195014</v>
      </c>
      <c r="C605" s="723" t="s">
        <v>2971</v>
      </c>
      <c r="D605" s="723">
        <v>195</v>
      </c>
      <c r="E605" s="723" t="s">
        <v>2832</v>
      </c>
      <c r="F605" s="723" t="s">
        <v>84</v>
      </c>
      <c r="G605" s="723" t="s">
        <v>2042</v>
      </c>
      <c r="H605" s="723">
        <v>3</v>
      </c>
      <c r="I605" s="723" t="s">
        <v>2972</v>
      </c>
      <c r="J605" s="723" t="s">
        <v>2973</v>
      </c>
      <c r="K605" s="723" t="s">
        <v>2044</v>
      </c>
      <c r="L605" s="723">
        <v>79999284</v>
      </c>
      <c r="M605" s="723" t="s">
        <v>2936</v>
      </c>
      <c r="N605" s="746"/>
      <c r="O605" s="746"/>
      <c r="P605" s="746"/>
      <c r="Q605" s="746"/>
      <c r="R605" s="521"/>
      <c r="S605" s="521"/>
    </row>
    <row r="606" spans="1:19">
      <c r="A606" s="721">
        <v>45</v>
      </c>
      <c r="B606" s="721">
        <v>20061195015</v>
      </c>
      <c r="C606" s="721" t="s">
        <v>2974</v>
      </c>
      <c r="D606" s="721">
        <v>195</v>
      </c>
      <c r="E606" s="721" t="s">
        <v>2832</v>
      </c>
      <c r="F606" s="721" t="s">
        <v>84</v>
      </c>
      <c r="G606" s="721" t="s">
        <v>2042</v>
      </c>
      <c r="H606" s="721" t="s">
        <v>2043</v>
      </c>
      <c r="I606" s="721" t="s">
        <v>2975</v>
      </c>
      <c r="J606" s="721" t="s">
        <v>2976</v>
      </c>
      <c r="K606" s="721" t="s">
        <v>2044</v>
      </c>
      <c r="L606" s="721">
        <v>15174216</v>
      </c>
      <c r="M606" s="721" t="s">
        <v>2229</v>
      </c>
      <c r="N606" s="746"/>
      <c r="O606" s="746"/>
      <c r="P606" s="746"/>
      <c r="Q606" s="746"/>
      <c r="R606" s="521"/>
      <c r="S606" s="521"/>
    </row>
    <row r="607" spans="1:19">
      <c r="A607" s="723">
        <v>46</v>
      </c>
      <c r="B607" s="723">
        <v>20062195002</v>
      </c>
      <c r="C607" s="723" t="s">
        <v>2977</v>
      </c>
      <c r="D607" s="723">
        <v>195</v>
      </c>
      <c r="E607" s="723" t="s">
        <v>2832</v>
      </c>
      <c r="F607" s="723" t="s">
        <v>84</v>
      </c>
      <c r="G607" s="723" t="s">
        <v>2042</v>
      </c>
      <c r="H607" s="723" t="s">
        <v>2043</v>
      </c>
      <c r="I607" s="723" t="s">
        <v>2978</v>
      </c>
      <c r="J607" s="723" t="s">
        <v>2978</v>
      </c>
      <c r="K607" s="723" t="s">
        <v>2044</v>
      </c>
      <c r="L607" s="723">
        <v>52529975</v>
      </c>
      <c r="M607" s="723" t="s">
        <v>2910</v>
      </c>
      <c r="N607" s="746"/>
      <c r="O607" s="746"/>
      <c r="P607" s="746"/>
      <c r="Q607" s="746"/>
      <c r="R607" s="521"/>
      <c r="S607" s="521"/>
    </row>
    <row r="608" spans="1:19">
      <c r="A608" s="721">
        <v>47</v>
      </c>
      <c r="B608" s="721">
        <v>20062195003</v>
      </c>
      <c r="C608" s="721" t="s">
        <v>2979</v>
      </c>
      <c r="D608" s="721">
        <v>195</v>
      </c>
      <c r="E608" s="721" t="s">
        <v>2832</v>
      </c>
      <c r="F608" s="721" t="s">
        <v>84</v>
      </c>
      <c r="G608" s="721" t="s">
        <v>2042</v>
      </c>
      <c r="H608" s="721" t="s">
        <v>2043</v>
      </c>
      <c r="I608" s="721" t="s">
        <v>2980</v>
      </c>
      <c r="J608" s="721" t="s">
        <v>2981</v>
      </c>
      <c r="K608" s="721" t="s">
        <v>2044</v>
      </c>
      <c r="L608" s="721">
        <v>79333839</v>
      </c>
      <c r="M608" s="721" t="s">
        <v>2856</v>
      </c>
      <c r="N608" s="746"/>
      <c r="O608" s="746"/>
      <c r="P608" s="746"/>
      <c r="Q608" s="746"/>
      <c r="R608" s="521"/>
      <c r="S608" s="521"/>
    </row>
    <row r="609" spans="1:19">
      <c r="A609" s="723">
        <v>48</v>
      </c>
      <c r="B609" s="723">
        <v>20062195006</v>
      </c>
      <c r="C609" s="723" t="s">
        <v>2982</v>
      </c>
      <c r="D609" s="723">
        <v>195</v>
      </c>
      <c r="E609" s="723" t="s">
        <v>2832</v>
      </c>
      <c r="F609" s="723" t="s">
        <v>84</v>
      </c>
      <c r="G609" s="723" t="s">
        <v>2042</v>
      </c>
      <c r="H609" s="723" t="s">
        <v>2043</v>
      </c>
      <c r="I609" s="723" t="s">
        <v>2983</v>
      </c>
      <c r="J609" s="723" t="s">
        <v>2984</v>
      </c>
      <c r="K609" s="723" t="s">
        <v>2044</v>
      </c>
      <c r="L609" s="723">
        <v>52156500</v>
      </c>
      <c r="M609" s="723" t="s">
        <v>2958</v>
      </c>
      <c r="N609" s="746"/>
      <c r="O609" s="746"/>
      <c r="P609" s="746"/>
      <c r="Q609" s="746"/>
      <c r="R609" s="521"/>
      <c r="S609" s="521"/>
    </row>
    <row r="610" spans="1:19">
      <c r="A610" s="721">
        <v>49</v>
      </c>
      <c r="B610" s="721">
        <v>20062195011</v>
      </c>
      <c r="C610" s="721" t="s">
        <v>2985</v>
      </c>
      <c r="D610" s="721">
        <v>195</v>
      </c>
      <c r="E610" s="721" t="s">
        <v>2832</v>
      </c>
      <c r="F610" s="721" t="s">
        <v>84</v>
      </c>
      <c r="G610" s="721" t="s">
        <v>2042</v>
      </c>
      <c r="H610" s="721" t="s">
        <v>2043</v>
      </c>
      <c r="I610" s="721"/>
      <c r="J610" s="721" t="s">
        <v>2986</v>
      </c>
      <c r="K610" s="721" t="s">
        <v>2044</v>
      </c>
      <c r="L610" s="721">
        <v>10025092</v>
      </c>
      <c r="M610" s="721" t="s">
        <v>2958</v>
      </c>
      <c r="N610" s="746"/>
      <c r="O610" s="746"/>
      <c r="P610" s="746"/>
      <c r="Q610" s="746"/>
      <c r="R610" s="521"/>
      <c r="S610" s="521"/>
    </row>
    <row r="611" spans="1:19">
      <c r="A611" s="723">
        <v>50</v>
      </c>
      <c r="B611" s="723">
        <v>20062195018</v>
      </c>
      <c r="C611" s="723" t="s">
        <v>2987</v>
      </c>
      <c r="D611" s="723">
        <v>195</v>
      </c>
      <c r="E611" s="723" t="s">
        <v>2832</v>
      </c>
      <c r="F611" s="723" t="s">
        <v>84</v>
      </c>
      <c r="G611" s="723" t="s">
        <v>2042</v>
      </c>
      <c r="H611" s="723" t="s">
        <v>2043</v>
      </c>
      <c r="I611" s="723"/>
      <c r="J611" s="723" t="s">
        <v>2988</v>
      </c>
      <c r="K611" s="723" t="s">
        <v>2044</v>
      </c>
      <c r="L611" s="723">
        <v>52783069</v>
      </c>
      <c r="M611" s="723" t="s">
        <v>2958</v>
      </c>
      <c r="N611" s="746"/>
      <c r="O611" s="746"/>
      <c r="P611" s="746"/>
      <c r="Q611" s="746"/>
      <c r="R611" s="521"/>
      <c r="S611" s="521"/>
    </row>
    <row r="612" spans="1:19">
      <c r="A612" s="721">
        <v>51</v>
      </c>
      <c r="B612" s="721">
        <v>20062195020</v>
      </c>
      <c r="C612" s="721" t="s">
        <v>2989</v>
      </c>
      <c r="D612" s="721">
        <v>195</v>
      </c>
      <c r="E612" s="721" t="s">
        <v>2832</v>
      </c>
      <c r="F612" s="721" t="s">
        <v>84</v>
      </c>
      <c r="G612" s="721" t="s">
        <v>2042</v>
      </c>
      <c r="H612" s="721" t="s">
        <v>2043</v>
      </c>
      <c r="I612" s="721" t="s">
        <v>2990</v>
      </c>
      <c r="J612" s="721" t="s">
        <v>2991</v>
      </c>
      <c r="K612" s="721" t="s">
        <v>2044</v>
      </c>
      <c r="L612" s="721">
        <v>17625270</v>
      </c>
      <c r="M612" s="721" t="s">
        <v>2860</v>
      </c>
      <c r="N612" s="746"/>
      <c r="O612" s="746"/>
      <c r="P612" s="746"/>
      <c r="Q612" s="746"/>
      <c r="R612" s="521"/>
      <c r="S612" s="521"/>
    </row>
    <row r="613" spans="1:19">
      <c r="A613" s="723">
        <v>52</v>
      </c>
      <c r="B613" s="723">
        <v>20062195022</v>
      </c>
      <c r="C613" s="723" t="s">
        <v>2992</v>
      </c>
      <c r="D613" s="723">
        <v>195</v>
      </c>
      <c r="E613" s="723" t="s">
        <v>2832</v>
      </c>
      <c r="F613" s="723" t="s">
        <v>84</v>
      </c>
      <c r="G613" s="723" t="s">
        <v>2042</v>
      </c>
      <c r="H613" s="723" t="s">
        <v>2043</v>
      </c>
      <c r="I613" s="723" t="s">
        <v>2993</v>
      </c>
      <c r="J613" s="723" t="s">
        <v>2994</v>
      </c>
      <c r="K613" s="723" t="s">
        <v>2044</v>
      </c>
      <c r="L613" s="723">
        <v>17656203</v>
      </c>
      <c r="M613" s="723" t="s">
        <v>2229</v>
      </c>
      <c r="N613" s="746"/>
      <c r="O613" s="746"/>
      <c r="P613" s="746"/>
      <c r="Q613" s="746"/>
      <c r="R613" s="521"/>
      <c r="S613" s="521"/>
    </row>
    <row r="614" spans="1:19">
      <c r="A614" s="721">
        <v>53</v>
      </c>
      <c r="B614" s="721">
        <v>20062195023</v>
      </c>
      <c r="C614" s="721" t="s">
        <v>2995</v>
      </c>
      <c r="D614" s="721">
        <v>195</v>
      </c>
      <c r="E614" s="721" t="s">
        <v>2832</v>
      </c>
      <c r="F614" s="721" t="s">
        <v>84</v>
      </c>
      <c r="G614" s="721" t="s">
        <v>2042</v>
      </c>
      <c r="H614" s="721">
        <v>1</v>
      </c>
      <c r="I614" s="721" t="s">
        <v>2996</v>
      </c>
      <c r="J614" s="721" t="s">
        <v>2997</v>
      </c>
      <c r="K614" s="721" t="s">
        <v>2044</v>
      </c>
      <c r="L614" s="721">
        <v>17657933</v>
      </c>
      <c r="M614" s="721" t="s">
        <v>2910</v>
      </c>
      <c r="N614" s="746"/>
      <c r="O614" s="746"/>
      <c r="P614" s="746"/>
      <c r="Q614" s="746"/>
      <c r="R614" s="521"/>
      <c r="S614" s="521"/>
    </row>
    <row r="615" spans="1:19">
      <c r="A615" s="723">
        <v>54</v>
      </c>
      <c r="B615" s="723">
        <v>20062195032</v>
      </c>
      <c r="C615" s="723" t="s">
        <v>2998</v>
      </c>
      <c r="D615" s="723">
        <v>195</v>
      </c>
      <c r="E615" s="723" t="s">
        <v>2832</v>
      </c>
      <c r="F615" s="723" t="s">
        <v>84</v>
      </c>
      <c r="G615" s="723" t="s">
        <v>2042</v>
      </c>
      <c r="H615" s="723">
        <v>1</v>
      </c>
      <c r="I615" s="723" t="s">
        <v>2999</v>
      </c>
      <c r="J615" s="723" t="s">
        <v>3000</v>
      </c>
      <c r="K615" s="723" t="s">
        <v>2044</v>
      </c>
      <c r="L615" s="723">
        <v>74320537</v>
      </c>
      <c r="M615" s="723" t="s">
        <v>2229</v>
      </c>
      <c r="N615" s="746"/>
      <c r="O615" s="746"/>
      <c r="P615" s="746"/>
      <c r="Q615" s="746"/>
      <c r="R615" s="521"/>
      <c r="S615" s="521"/>
    </row>
    <row r="616" spans="1:19">
      <c r="A616" s="721">
        <v>55</v>
      </c>
      <c r="B616" s="721">
        <v>20062195033</v>
      </c>
      <c r="C616" s="721" t="s">
        <v>3001</v>
      </c>
      <c r="D616" s="721">
        <v>195</v>
      </c>
      <c r="E616" s="721" t="s">
        <v>2832</v>
      </c>
      <c r="F616" s="721" t="s">
        <v>84</v>
      </c>
      <c r="G616" s="721" t="s">
        <v>2042</v>
      </c>
      <c r="H616" s="721" t="s">
        <v>2043</v>
      </c>
      <c r="I616" s="721" t="s">
        <v>3002</v>
      </c>
      <c r="J616" s="721" t="s">
        <v>3003</v>
      </c>
      <c r="K616" s="721" t="s">
        <v>2044</v>
      </c>
      <c r="L616" s="721">
        <v>4251414</v>
      </c>
      <c r="M616" s="721" t="s">
        <v>2612</v>
      </c>
      <c r="N616" s="746"/>
      <c r="O616" s="746"/>
      <c r="P616" s="746"/>
      <c r="Q616" s="746"/>
      <c r="R616" s="521"/>
      <c r="S616" s="521"/>
    </row>
    <row r="617" spans="1:19">
      <c r="A617" s="723">
        <v>56</v>
      </c>
      <c r="B617" s="723">
        <v>20062195034</v>
      </c>
      <c r="C617" s="723" t="s">
        <v>3004</v>
      </c>
      <c r="D617" s="723">
        <v>195</v>
      </c>
      <c r="E617" s="723" t="s">
        <v>2832</v>
      </c>
      <c r="F617" s="723" t="s">
        <v>84</v>
      </c>
      <c r="G617" s="723" t="s">
        <v>2042</v>
      </c>
      <c r="H617" s="723" t="s">
        <v>2043</v>
      </c>
      <c r="I617" s="723" t="s">
        <v>3005</v>
      </c>
      <c r="J617" s="723" t="s">
        <v>3006</v>
      </c>
      <c r="K617" s="723" t="s">
        <v>2044</v>
      </c>
      <c r="L617" s="723">
        <v>74324049</v>
      </c>
      <c r="M617" s="723" t="s">
        <v>2167</v>
      </c>
      <c r="N617" s="746"/>
      <c r="O617" s="746"/>
      <c r="P617" s="746"/>
      <c r="Q617" s="746"/>
      <c r="R617" s="521"/>
      <c r="S617" s="521"/>
    </row>
    <row r="618" spans="1:19">
      <c r="A618" s="721">
        <v>57</v>
      </c>
      <c r="B618" s="721">
        <v>20062195035</v>
      </c>
      <c r="C618" s="721" t="s">
        <v>3007</v>
      </c>
      <c r="D618" s="721">
        <v>195</v>
      </c>
      <c r="E618" s="721" t="s">
        <v>2832</v>
      </c>
      <c r="F618" s="721" t="s">
        <v>84</v>
      </c>
      <c r="G618" s="721" t="s">
        <v>2042</v>
      </c>
      <c r="H618" s="721" t="s">
        <v>2043</v>
      </c>
      <c r="I618" s="721" t="s">
        <v>3008</v>
      </c>
      <c r="J618" s="721" t="s">
        <v>3009</v>
      </c>
      <c r="K618" s="721" t="s">
        <v>2044</v>
      </c>
      <c r="L618" s="721">
        <v>7169907</v>
      </c>
      <c r="M618" s="721" t="s">
        <v>2229</v>
      </c>
      <c r="N618" s="746"/>
      <c r="O618" s="746"/>
      <c r="P618" s="746"/>
      <c r="Q618" s="746"/>
      <c r="R618" s="521"/>
      <c r="S618" s="521"/>
    </row>
    <row r="619" spans="1:19">
      <c r="A619" s="723">
        <v>58</v>
      </c>
      <c r="B619" s="723">
        <v>20062195037</v>
      </c>
      <c r="C619" s="723" t="s">
        <v>3010</v>
      </c>
      <c r="D619" s="723">
        <v>195</v>
      </c>
      <c r="E619" s="723" t="s">
        <v>2832</v>
      </c>
      <c r="F619" s="723" t="s">
        <v>84</v>
      </c>
      <c r="G619" s="723" t="s">
        <v>2042</v>
      </c>
      <c r="H619" s="723" t="s">
        <v>2043</v>
      </c>
      <c r="I619" s="723" t="s">
        <v>3011</v>
      </c>
      <c r="J619" s="723" t="s">
        <v>3012</v>
      </c>
      <c r="K619" s="723" t="s">
        <v>2044</v>
      </c>
      <c r="L619" s="723">
        <v>40035165</v>
      </c>
      <c r="M619" s="723" t="s">
        <v>2131</v>
      </c>
      <c r="N619" s="746"/>
      <c r="O619" s="746"/>
      <c r="P619" s="746"/>
      <c r="Q619" s="746"/>
      <c r="R619" s="521"/>
      <c r="S619" s="521"/>
    </row>
    <row r="620" spans="1:19">
      <c r="A620" s="721">
        <v>59</v>
      </c>
      <c r="B620" s="721">
        <v>20062195038</v>
      </c>
      <c r="C620" s="721" t="s">
        <v>3013</v>
      </c>
      <c r="D620" s="721">
        <v>195</v>
      </c>
      <c r="E620" s="721" t="s">
        <v>2832</v>
      </c>
      <c r="F620" s="721" t="s">
        <v>84</v>
      </c>
      <c r="G620" s="721" t="s">
        <v>2042</v>
      </c>
      <c r="H620" s="721" t="s">
        <v>2043</v>
      </c>
      <c r="I620" s="721"/>
      <c r="J620" s="721" t="s">
        <v>3014</v>
      </c>
      <c r="K620" s="721" t="s">
        <v>2044</v>
      </c>
      <c r="L620" s="721">
        <v>4252942</v>
      </c>
      <c r="M620" s="721" t="s">
        <v>2910</v>
      </c>
      <c r="N620" s="746"/>
      <c r="O620" s="746"/>
      <c r="P620" s="746"/>
      <c r="Q620" s="746"/>
      <c r="R620" s="521"/>
      <c r="S620" s="521"/>
    </row>
    <row r="621" spans="1:19">
      <c r="A621" s="723">
        <v>60</v>
      </c>
      <c r="B621" s="723">
        <v>20062195039</v>
      </c>
      <c r="C621" s="723" t="s">
        <v>3015</v>
      </c>
      <c r="D621" s="723">
        <v>195</v>
      </c>
      <c r="E621" s="723" t="s">
        <v>2832</v>
      </c>
      <c r="F621" s="723" t="s">
        <v>84</v>
      </c>
      <c r="G621" s="723" t="s">
        <v>2042</v>
      </c>
      <c r="H621" s="723">
        <v>1</v>
      </c>
      <c r="I621" s="723" t="s">
        <v>3016</v>
      </c>
      <c r="J621" s="723" t="s">
        <v>3017</v>
      </c>
      <c r="K621" s="723" t="s">
        <v>2044</v>
      </c>
      <c r="L621" s="723">
        <v>9399175</v>
      </c>
      <c r="M621" s="723" t="s">
        <v>2896</v>
      </c>
      <c r="N621" s="746"/>
      <c r="O621" s="746"/>
      <c r="P621" s="746"/>
      <c r="Q621" s="746"/>
      <c r="R621" s="521"/>
      <c r="S621" s="521"/>
    </row>
    <row r="622" spans="1:19">
      <c r="A622" s="721">
        <v>61</v>
      </c>
      <c r="B622" s="721">
        <v>20062195040</v>
      </c>
      <c r="C622" s="721" t="s">
        <v>3018</v>
      </c>
      <c r="D622" s="721">
        <v>195</v>
      </c>
      <c r="E622" s="721" t="s">
        <v>2832</v>
      </c>
      <c r="F622" s="721" t="s">
        <v>84</v>
      </c>
      <c r="G622" s="721" t="s">
        <v>2042</v>
      </c>
      <c r="H622" s="721" t="s">
        <v>2043</v>
      </c>
      <c r="I622" s="721"/>
      <c r="J622" s="721" t="s">
        <v>3019</v>
      </c>
      <c r="K622" s="721" t="s">
        <v>2044</v>
      </c>
      <c r="L622" s="721">
        <v>46378864</v>
      </c>
      <c r="M622" s="721" t="s">
        <v>2113</v>
      </c>
      <c r="N622" s="746"/>
      <c r="O622" s="746"/>
      <c r="P622" s="746"/>
      <c r="Q622" s="746"/>
      <c r="R622" s="521"/>
      <c r="S622" s="521"/>
    </row>
    <row r="623" spans="1:19">
      <c r="A623" s="723">
        <v>62</v>
      </c>
      <c r="B623" s="723">
        <v>20071195001</v>
      </c>
      <c r="C623" s="723" t="s">
        <v>3020</v>
      </c>
      <c r="D623" s="723">
        <v>195</v>
      </c>
      <c r="E623" s="723" t="s">
        <v>2832</v>
      </c>
      <c r="F623" s="723" t="s">
        <v>84</v>
      </c>
      <c r="G623" s="723" t="s">
        <v>2042</v>
      </c>
      <c r="H623" s="723" t="s">
        <v>2043</v>
      </c>
      <c r="I623" s="723" t="s">
        <v>3021</v>
      </c>
      <c r="J623" s="723" t="s">
        <v>3022</v>
      </c>
      <c r="K623" s="723" t="s">
        <v>2044</v>
      </c>
      <c r="L623" s="723">
        <v>86077886</v>
      </c>
      <c r="M623" s="723" t="s">
        <v>3023</v>
      </c>
      <c r="N623" s="746"/>
      <c r="O623" s="746"/>
      <c r="P623" s="746"/>
      <c r="Q623" s="746"/>
      <c r="R623" s="521"/>
      <c r="S623" s="521"/>
    </row>
    <row r="624" spans="1:19">
      <c r="A624" s="721">
        <v>63</v>
      </c>
      <c r="B624" s="721">
        <v>20071195002</v>
      </c>
      <c r="C624" s="721" t="s">
        <v>3024</v>
      </c>
      <c r="D624" s="721">
        <v>195</v>
      </c>
      <c r="E624" s="721" t="s">
        <v>2832</v>
      </c>
      <c r="F624" s="721" t="s">
        <v>84</v>
      </c>
      <c r="G624" s="721" t="s">
        <v>2042</v>
      </c>
      <c r="H624" s="721" t="s">
        <v>2043</v>
      </c>
      <c r="I624" s="721" t="s">
        <v>3025</v>
      </c>
      <c r="J624" s="721" t="s">
        <v>3026</v>
      </c>
      <c r="K624" s="721" t="s">
        <v>2044</v>
      </c>
      <c r="L624" s="721">
        <v>19226685</v>
      </c>
      <c r="M624" s="721" t="s">
        <v>2910</v>
      </c>
      <c r="N624" s="746"/>
      <c r="O624" s="746"/>
      <c r="P624" s="746"/>
      <c r="Q624" s="746"/>
      <c r="R624" s="521"/>
      <c r="S624" s="521"/>
    </row>
    <row r="625" spans="1:19">
      <c r="A625" s="723">
        <v>64</v>
      </c>
      <c r="B625" s="723">
        <v>20071195007</v>
      </c>
      <c r="C625" s="723" t="s">
        <v>3027</v>
      </c>
      <c r="D625" s="723">
        <v>195</v>
      </c>
      <c r="E625" s="723" t="s">
        <v>2832</v>
      </c>
      <c r="F625" s="723" t="s">
        <v>84</v>
      </c>
      <c r="G625" s="723" t="s">
        <v>2042</v>
      </c>
      <c r="H625" s="723" t="s">
        <v>2043</v>
      </c>
      <c r="I625" s="723" t="s">
        <v>3028</v>
      </c>
      <c r="J625" s="723" t="s">
        <v>3029</v>
      </c>
      <c r="K625" s="723" t="s">
        <v>2044</v>
      </c>
      <c r="L625" s="723">
        <v>52954852</v>
      </c>
      <c r="M625" s="723" t="s">
        <v>2192</v>
      </c>
      <c r="N625" s="746"/>
      <c r="O625" s="746"/>
      <c r="P625" s="746"/>
      <c r="Q625" s="746"/>
      <c r="R625" s="521"/>
      <c r="S625" s="521"/>
    </row>
    <row r="626" spans="1:19">
      <c r="A626" s="721">
        <v>65</v>
      </c>
      <c r="B626" s="721">
        <v>20072195004</v>
      </c>
      <c r="C626" s="721" t="s">
        <v>3030</v>
      </c>
      <c r="D626" s="721">
        <v>195</v>
      </c>
      <c r="E626" s="721" t="s">
        <v>2832</v>
      </c>
      <c r="F626" s="721" t="s">
        <v>84</v>
      </c>
      <c r="G626" s="721" t="s">
        <v>2042</v>
      </c>
      <c r="H626" s="721" t="s">
        <v>2043</v>
      </c>
      <c r="I626" s="721" t="s">
        <v>3031</v>
      </c>
      <c r="J626" s="721" t="s">
        <v>3032</v>
      </c>
      <c r="K626" s="721" t="s">
        <v>2044</v>
      </c>
      <c r="L626" s="721">
        <v>80092690</v>
      </c>
      <c r="M626" s="721" t="s">
        <v>2192</v>
      </c>
      <c r="N626" s="746"/>
      <c r="O626" s="746"/>
      <c r="P626" s="746"/>
      <c r="Q626" s="746"/>
      <c r="R626" s="521"/>
      <c r="S626" s="521"/>
    </row>
    <row r="627" spans="1:19">
      <c r="A627" s="723">
        <v>66</v>
      </c>
      <c r="B627" s="723">
        <v>20072195005</v>
      </c>
      <c r="C627" s="723" t="s">
        <v>3033</v>
      </c>
      <c r="D627" s="723">
        <v>195</v>
      </c>
      <c r="E627" s="723" t="s">
        <v>2832</v>
      </c>
      <c r="F627" s="723" t="s">
        <v>84</v>
      </c>
      <c r="G627" s="723" t="s">
        <v>2042</v>
      </c>
      <c r="H627" s="723" t="s">
        <v>2043</v>
      </c>
      <c r="I627" s="723" t="s">
        <v>3034</v>
      </c>
      <c r="J627" s="723" t="s">
        <v>3035</v>
      </c>
      <c r="K627" s="723" t="s">
        <v>2044</v>
      </c>
      <c r="L627" s="723">
        <v>19373890</v>
      </c>
      <c r="M627" s="723" t="s">
        <v>2900</v>
      </c>
      <c r="N627" s="746"/>
      <c r="O627" s="746"/>
      <c r="P627" s="746"/>
      <c r="Q627" s="746"/>
      <c r="R627" s="521"/>
      <c r="S627" s="521"/>
    </row>
    <row r="628" spans="1:19">
      <c r="A628" s="721">
        <v>67</v>
      </c>
      <c r="B628" s="721">
        <v>20072195012</v>
      </c>
      <c r="C628" s="721" t="s">
        <v>3036</v>
      </c>
      <c r="D628" s="721">
        <v>195</v>
      </c>
      <c r="E628" s="721" t="s">
        <v>2832</v>
      </c>
      <c r="F628" s="721" t="s">
        <v>84</v>
      </c>
      <c r="G628" s="721" t="s">
        <v>2042</v>
      </c>
      <c r="H628" s="721">
        <v>1</v>
      </c>
      <c r="I628" s="721" t="s">
        <v>3037</v>
      </c>
      <c r="J628" s="721" t="s">
        <v>3038</v>
      </c>
      <c r="K628" s="721" t="s">
        <v>2044</v>
      </c>
      <c r="L628" s="721">
        <v>80037224</v>
      </c>
      <c r="M628" s="721" t="s">
        <v>2192</v>
      </c>
      <c r="N628" s="746"/>
      <c r="O628" s="746"/>
      <c r="P628" s="746"/>
      <c r="Q628" s="746"/>
      <c r="R628" s="521"/>
      <c r="S628" s="521"/>
    </row>
    <row r="629" spans="1:19">
      <c r="A629" s="723">
        <v>68</v>
      </c>
      <c r="B629" s="723">
        <v>20081195002</v>
      </c>
      <c r="C629" s="723" t="s">
        <v>3039</v>
      </c>
      <c r="D629" s="723">
        <v>195</v>
      </c>
      <c r="E629" s="723" t="s">
        <v>2832</v>
      </c>
      <c r="F629" s="723" t="s">
        <v>84</v>
      </c>
      <c r="G629" s="723" t="s">
        <v>2042</v>
      </c>
      <c r="H629" s="723" t="s">
        <v>2043</v>
      </c>
      <c r="I629" s="723"/>
      <c r="J629" s="723" t="s">
        <v>3040</v>
      </c>
      <c r="K629" s="723" t="s">
        <v>2044</v>
      </c>
      <c r="L629" s="723">
        <v>8740480</v>
      </c>
      <c r="M629" s="723" t="s">
        <v>2143</v>
      </c>
      <c r="N629" s="746"/>
      <c r="O629" s="746"/>
      <c r="P629" s="746"/>
      <c r="Q629" s="746"/>
      <c r="R629" s="521"/>
      <c r="S629" s="521"/>
    </row>
    <row r="630" spans="1:19">
      <c r="A630" s="721">
        <v>69</v>
      </c>
      <c r="B630" s="721">
        <v>20081195006</v>
      </c>
      <c r="C630" s="721" t="s">
        <v>3041</v>
      </c>
      <c r="D630" s="721">
        <v>195</v>
      </c>
      <c r="E630" s="721" t="s">
        <v>2832</v>
      </c>
      <c r="F630" s="721" t="s">
        <v>84</v>
      </c>
      <c r="G630" s="721" t="s">
        <v>2042</v>
      </c>
      <c r="H630" s="721">
        <v>1</v>
      </c>
      <c r="I630" s="721" t="s">
        <v>3042</v>
      </c>
      <c r="J630" s="721" t="s">
        <v>3043</v>
      </c>
      <c r="K630" s="721" t="s">
        <v>2044</v>
      </c>
      <c r="L630" s="721">
        <v>94063023</v>
      </c>
      <c r="M630" s="721" t="s">
        <v>2914</v>
      </c>
      <c r="N630" s="746"/>
      <c r="O630" s="746"/>
      <c r="P630" s="746"/>
      <c r="Q630" s="746"/>
      <c r="R630" s="521"/>
      <c r="S630" s="521"/>
    </row>
    <row r="631" spans="1:19">
      <c r="A631" s="723">
        <v>70</v>
      </c>
      <c r="B631" s="723">
        <v>20081195009</v>
      </c>
      <c r="C631" s="723" t="s">
        <v>3044</v>
      </c>
      <c r="D631" s="723">
        <v>195</v>
      </c>
      <c r="E631" s="723" t="s">
        <v>2832</v>
      </c>
      <c r="F631" s="723" t="s">
        <v>84</v>
      </c>
      <c r="G631" s="723" t="s">
        <v>2042</v>
      </c>
      <c r="H631" s="723" t="s">
        <v>2043</v>
      </c>
      <c r="I631" s="723" t="s">
        <v>3045</v>
      </c>
      <c r="J631" s="723" t="s">
        <v>3045</v>
      </c>
      <c r="K631" s="723" t="s">
        <v>2044</v>
      </c>
      <c r="L631" s="723">
        <v>79974667</v>
      </c>
      <c r="M631" s="723" t="s">
        <v>2167</v>
      </c>
      <c r="N631" s="746"/>
      <c r="O631" s="746"/>
      <c r="P631" s="746"/>
      <c r="Q631" s="746"/>
      <c r="R631" s="521"/>
      <c r="S631" s="521"/>
    </row>
    <row r="632" spans="1:19">
      <c r="A632" s="721">
        <v>71</v>
      </c>
      <c r="B632" s="721">
        <v>20081195014</v>
      </c>
      <c r="C632" s="721" t="s">
        <v>3046</v>
      </c>
      <c r="D632" s="721">
        <v>195</v>
      </c>
      <c r="E632" s="721" t="s">
        <v>2832</v>
      </c>
      <c r="F632" s="721" t="s">
        <v>84</v>
      </c>
      <c r="G632" s="721" t="s">
        <v>2042</v>
      </c>
      <c r="H632" s="721">
        <v>4</v>
      </c>
      <c r="I632" s="721" t="s">
        <v>3047</v>
      </c>
      <c r="J632" s="721" t="s">
        <v>3048</v>
      </c>
      <c r="K632" s="721" t="s">
        <v>2044</v>
      </c>
      <c r="L632" s="721">
        <v>51942548</v>
      </c>
      <c r="M632" s="721" t="s">
        <v>2856</v>
      </c>
      <c r="N632" s="746"/>
      <c r="O632" s="746"/>
      <c r="P632" s="746"/>
      <c r="Q632" s="746"/>
      <c r="R632" s="521"/>
      <c r="S632" s="521"/>
    </row>
    <row r="633" spans="1:19">
      <c r="A633" s="723">
        <v>72</v>
      </c>
      <c r="B633" s="723">
        <v>20082195002</v>
      </c>
      <c r="C633" s="723" t="s">
        <v>3049</v>
      </c>
      <c r="D633" s="723">
        <v>195</v>
      </c>
      <c r="E633" s="723" t="s">
        <v>2832</v>
      </c>
      <c r="F633" s="723" t="s">
        <v>84</v>
      </c>
      <c r="G633" s="723" t="s">
        <v>2042</v>
      </c>
      <c r="H633" s="723">
        <v>1</v>
      </c>
      <c r="I633" s="723" t="s">
        <v>3050</v>
      </c>
      <c r="J633" s="723" t="s">
        <v>3051</v>
      </c>
      <c r="K633" s="723" t="s">
        <v>2044</v>
      </c>
      <c r="L633" s="723">
        <v>79954590</v>
      </c>
      <c r="M633" s="723" t="s">
        <v>2192</v>
      </c>
      <c r="N633" s="746"/>
      <c r="O633" s="746"/>
      <c r="P633" s="746"/>
      <c r="Q633" s="746"/>
      <c r="R633" s="521"/>
      <c r="S633" s="521"/>
    </row>
    <row r="634" spans="1:19">
      <c r="A634" s="721">
        <v>73</v>
      </c>
      <c r="B634" s="721">
        <v>20082195011</v>
      </c>
      <c r="C634" s="721" t="s">
        <v>3052</v>
      </c>
      <c r="D634" s="721">
        <v>195</v>
      </c>
      <c r="E634" s="721" t="s">
        <v>2832</v>
      </c>
      <c r="F634" s="721" t="s">
        <v>84</v>
      </c>
      <c r="G634" s="721" t="s">
        <v>2042</v>
      </c>
      <c r="H634" s="721">
        <v>1</v>
      </c>
      <c r="I634" s="721"/>
      <c r="J634" s="721" t="s">
        <v>3053</v>
      </c>
      <c r="K634" s="721" t="s">
        <v>2044</v>
      </c>
      <c r="L634" s="721">
        <v>91509715</v>
      </c>
      <c r="M634" s="721" t="s">
        <v>2860</v>
      </c>
      <c r="N634" s="746"/>
      <c r="O634" s="746"/>
      <c r="P634" s="746"/>
      <c r="Q634" s="746"/>
      <c r="R634" s="521"/>
      <c r="S634" s="521"/>
    </row>
    <row r="635" spans="1:19">
      <c r="A635" s="723">
        <v>74</v>
      </c>
      <c r="B635" s="723">
        <v>20082195013</v>
      </c>
      <c r="C635" s="723" t="s">
        <v>3054</v>
      </c>
      <c r="D635" s="723">
        <v>195</v>
      </c>
      <c r="E635" s="723" t="s">
        <v>2832</v>
      </c>
      <c r="F635" s="723" t="s">
        <v>84</v>
      </c>
      <c r="G635" s="723" t="s">
        <v>2042</v>
      </c>
      <c r="H635" s="723">
        <v>1</v>
      </c>
      <c r="I635" s="723" t="s">
        <v>3055</v>
      </c>
      <c r="J635" s="723" t="s">
        <v>3056</v>
      </c>
      <c r="K635" s="723" t="s">
        <v>2044</v>
      </c>
      <c r="L635" s="723">
        <v>17652534</v>
      </c>
      <c r="M635" s="723" t="s">
        <v>2218</v>
      </c>
      <c r="N635" s="746"/>
      <c r="O635" s="746"/>
      <c r="P635" s="746"/>
      <c r="Q635" s="746"/>
      <c r="R635" s="521"/>
      <c r="S635" s="521"/>
    </row>
    <row r="636" spans="1:19">
      <c r="A636" s="721">
        <v>75</v>
      </c>
      <c r="B636" s="721">
        <v>20082195015</v>
      </c>
      <c r="C636" s="721" t="s">
        <v>3057</v>
      </c>
      <c r="D636" s="721">
        <v>195</v>
      </c>
      <c r="E636" s="721" t="s">
        <v>2832</v>
      </c>
      <c r="F636" s="721" t="s">
        <v>84</v>
      </c>
      <c r="G636" s="721" t="s">
        <v>2042</v>
      </c>
      <c r="H636" s="721">
        <v>3</v>
      </c>
      <c r="I636" s="721" t="s">
        <v>3058</v>
      </c>
      <c r="J636" s="721" t="s">
        <v>3059</v>
      </c>
      <c r="K636" s="721" t="s">
        <v>2044</v>
      </c>
      <c r="L636" s="721">
        <v>86084280</v>
      </c>
      <c r="M636" s="721" t="s">
        <v>2612</v>
      </c>
      <c r="N636" s="746"/>
      <c r="O636" s="746"/>
      <c r="P636" s="746"/>
      <c r="Q636" s="746"/>
      <c r="R636" s="521"/>
      <c r="S636" s="521"/>
    </row>
    <row r="637" spans="1:19">
      <c r="A637" s="723">
        <v>76</v>
      </c>
      <c r="B637" s="723">
        <v>20082195017</v>
      </c>
      <c r="C637" s="723" t="s">
        <v>3060</v>
      </c>
      <c r="D637" s="723">
        <v>195</v>
      </c>
      <c r="E637" s="723" t="s">
        <v>2832</v>
      </c>
      <c r="F637" s="723" t="s">
        <v>84</v>
      </c>
      <c r="G637" s="723" t="s">
        <v>2042</v>
      </c>
      <c r="H637" s="723" t="s">
        <v>2043</v>
      </c>
      <c r="I637" s="723" t="s">
        <v>3061</v>
      </c>
      <c r="J637" s="723" t="s">
        <v>3062</v>
      </c>
      <c r="K637" s="723" t="s">
        <v>2044</v>
      </c>
      <c r="L637" s="723">
        <v>84090824</v>
      </c>
      <c r="M637" s="723" t="s">
        <v>2612</v>
      </c>
      <c r="N637" s="746"/>
      <c r="O637" s="746"/>
      <c r="P637" s="746"/>
      <c r="Q637" s="746"/>
      <c r="R637" s="521"/>
      <c r="S637" s="521"/>
    </row>
    <row r="638" spans="1:19">
      <c r="A638" s="721">
        <v>77</v>
      </c>
      <c r="B638" s="721">
        <v>20091195003</v>
      </c>
      <c r="C638" s="721" t="s">
        <v>3063</v>
      </c>
      <c r="D638" s="721">
        <v>195</v>
      </c>
      <c r="E638" s="721" t="s">
        <v>2832</v>
      </c>
      <c r="F638" s="721" t="s">
        <v>84</v>
      </c>
      <c r="G638" s="721" t="s">
        <v>2042</v>
      </c>
      <c r="H638" s="721">
        <v>1</v>
      </c>
      <c r="I638" s="721" t="s">
        <v>3064</v>
      </c>
      <c r="J638" s="721" t="s">
        <v>3065</v>
      </c>
      <c r="K638" s="721" t="s">
        <v>2044</v>
      </c>
      <c r="L638" s="721">
        <v>14139968</v>
      </c>
      <c r="M638" s="721" t="s">
        <v>2192</v>
      </c>
      <c r="N638" s="746"/>
      <c r="O638" s="746"/>
      <c r="P638" s="746"/>
      <c r="Q638" s="746"/>
      <c r="R638" s="521"/>
      <c r="S638" s="521"/>
    </row>
    <row r="639" spans="1:19">
      <c r="A639" s="723">
        <v>78</v>
      </c>
      <c r="B639" s="723">
        <v>20091195005</v>
      </c>
      <c r="C639" s="723" t="s">
        <v>3066</v>
      </c>
      <c r="D639" s="723">
        <v>195</v>
      </c>
      <c r="E639" s="723" t="s">
        <v>2832</v>
      </c>
      <c r="F639" s="723" t="s">
        <v>84</v>
      </c>
      <c r="G639" s="723" t="s">
        <v>2042</v>
      </c>
      <c r="H639" s="723" t="s">
        <v>2043</v>
      </c>
      <c r="I639" s="723" t="s">
        <v>3067</v>
      </c>
      <c r="J639" s="723" t="s">
        <v>3068</v>
      </c>
      <c r="K639" s="723" t="s">
        <v>2044</v>
      </c>
      <c r="L639" s="723">
        <v>79567084</v>
      </c>
      <c r="M639" s="723" t="s">
        <v>2860</v>
      </c>
      <c r="N639" s="746"/>
      <c r="O639" s="746"/>
      <c r="P639" s="746"/>
      <c r="Q639" s="746"/>
      <c r="R639" s="521"/>
      <c r="S639" s="521"/>
    </row>
    <row r="640" spans="1:19">
      <c r="A640" s="721">
        <v>79</v>
      </c>
      <c r="B640" s="721">
        <v>20091195016</v>
      </c>
      <c r="C640" s="721" t="s">
        <v>3069</v>
      </c>
      <c r="D640" s="721">
        <v>195</v>
      </c>
      <c r="E640" s="721" t="s">
        <v>2832</v>
      </c>
      <c r="F640" s="721" t="s">
        <v>84</v>
      </c>
      <c r="G640" s="721" t="s">
        <v>2042</v>
      </c>
      <c r="H640" s="721" t="s">
        <v>2043</v>
      </c>
      <c r="I640" s="721" t="s">
        <v>3070</v>
      </c>
      <c r="J640" s="721" t="s">
        <v>3071</v>
      </c>
      <c r="K640" s="721" t="s">
        <v>2044</v>
      </c>
      <c r="L640" s="721">
        <v>86066413</v>
      </c>
      <c r="M640" s="721" t="s">
        <v>2218</v>
      </c>
      <c r="N640" s="746"/>
      <c r="O640" s="746"/>
      <c r="P640" s="746"/>
      <c r="Q640" s="746"/>
      <c r="R640" s="521"/>
      <c r="S640" s="521"/>
    </row>
    <row r="641" spans="1:19">
      <c r="A641" s="723">
        <v>80</v>
      </c>
      <c r="B641" s="723">
        <v>20092195001</v>
      </c>
      <c r="C641" s="723" t="s">
        <v>3072</v>
      </c>
      <c r="D641" s="723">
        <v>195</v>
      </c>
      <c r="E641" s="723" t="s">
        <v>2832</v>
      </c>
      <c r="F641" s="723" t="s">
        <v>84</v>
      </c>
      <c r="G641" s="723" t="s">
        <v>2042</v>
      </c>
      <c r="H641" s="723" t="s">
        <v>2043</v>
      </c>
      <c r="I641" s="723" t="s">
        <v>1013</v>
      </c>
      <c r="J641" s="723" t="s">
        <v>3073</v>
      </c>
      <c r="K641" s="723" t="s">
        <v>2044</v>
      </c>
      <c r="L641" s="723">
        <v>79946573</v>
      </c>
      <c r="M641" s="723" t="s">
        <v>2218</v>
      </c>
      <c r="N641" s="746"/>
      <c r="O641" s="746"/>
      <c r="P641" s="746"/>
      <c r="Q641" s="746"/>
      <c r="R641" s="521"/>
      <c r="S641" s="521"/>
    </row>
    <row r="642" spans="1:19">
      <c r="A642" s="721">
        <v>81</v>
      </c>
      <c r="B642" s="721">
        <v>20092195002</v>
      </c>
      <c r="C642" s="721" t="s">
        <v>3074</v>
      </c>
      <c r="D642" s="721">
        <v>195</v>
      </c>
      <c r="E642" s="721" t="s">
        <v>2832</v>
      </c>
      <c r="F642" s="721" t="s">
        <v>84</v>
      </c>
      <c r="G642" s="721" t="s">
        <v>2042</v>
      </c>
      <c r="H642" s="721">
        <v>1</v>
      </c>
      <c r="I642" s="721" t="s">
        <v>3075</v>
      </c>
      <c r="J642" s="721" t="s">
        <v>3076</v>
      </c>
      <c r="K642" s="721" t="s">
        <v>2044</v>
      </c>
      <c r="L642" s="721">
        <v>1098605159</v>
      </c>
      <c r="M642" s="721" t="s">
        <v>2218</v>
      </c>
      <c r="N642" s="746"/>
      <c r="O642" s="746"/>
      <c r="P642" s="746"/>
      <c r="Q642" s="746"/>
      <c r="R642" s="521"/>
      <c r="S642" s="521"/>
    </row>
    <row r="643" spans="1:19">
      <c r="A643" s="723">
        <v>82</v>
      </c>
      <c r="B643" s="723">
        <v>20092195004</v>
      </c>
      <c r="C643" s="723" t="s">
        <v>3077</v>
      </c>
      <c r="D643" s="723">
        <v>195</v>
      </c>
      <c r="E643" s="723" t="s">
        <v>2832</v>
      </c>
      <c r="F643" s="723" t="s">
        <v>84</v>
      </c>
      <c r="G643" s="723" t="s">
        <v>2042</v>
      </c>
      <c r="H643" s="723" t="s">
        <v>2043</v>
      </c>
      <c r="I643" s="723" t="s">
        <v>3078</v>
      </c>
      <c r="J643" s="723" t="s">
        <v>3079</v>
      </c>
      <c r="K643" s="723" t="s">
        <v>2044</v>
      </c>
      <c r="L643" s="723">
        <v>4252246</v>
      </c>
      <c r="M643" s="723" t="s">
        <v>2218</v>
      </c>
      <c r="N643" s="746"/>
      <c r="O643" s="746"/>
      <c r="P643" s="746"/>
      <c r="Q643" s="746"/>
      <c r="R643" s="521"/>
      <c r="S643" s="521"/>
    </row>
    <row r="644" spans="1:19">
      <c r="A644" s="721">
        <v>83</v>
      </c>
      <c r="B644" s="721">
        <v>20092195006</v>
      </c>
      <c r="C644" s="721" t="s">
        <v>3080</v>
      </c>
      <c r="D644" s="721">
        <v>195</v>
      </c>
      <c r="E644" s="721" t="s">
        <v>2832</v>
      </c>
      <c r="F644" s="721" t="s">
        <v>84</v>
      </c>
      <c r="G644" s="721" t="s">
        <v>2042</v>
      </c>
      <c r="H644" s="721">
        <v>6</v>
      </c>
      <c r="I644" s="721" t="s">
        <v>3081</v>
      </c>
      <c r="J644" s="721" t="s">
        <v>3082</v>
      </c>
      <c r="K644" s="721" t="s">
        <v>2044</v>
      </c>
      <c r="L644" s="721">
        <v>80236337</v>
      </c>
      <c r="M644" s="721" t="s">
        <v>2599</v>
      </c>
      <c r="N644" s="746"/>
      <c r="O644" s="746"/>
      <c r="P644" s="746"/>
      <c r="Q644" s="746"/>
      <c r="R644" s="521"/>
      <c r="S644" s="521"/>
    </row>
    <row r="645" spans="1:19">
      <c r="A645" s="723">
        <v>84</v>
      </c>
      <c r="B645" s="723">
        <v>20092195007</v>
      </c>
      <c r="C645" s="723" t="s">
        <v>3083</v>
      </c>
      <c r="D645" s="723">
        <v>195</v>
      </c>
      <c r="E645" s="723" t="s">
        <v>2832</v>
      </c>
      <c r="F645" s="723" t="s">
        <v>84</v>
      </c>
      <c r="G645" s="723" t="s">
        <v>2042</v>
      </c>
      <c r="H645" s="723">
        <v>1</v>
      </c>
      <c r="I645" s="723" t="s">
        <v>3084</v>
      </c>
      <c r="J645" s="723" t="s">
        <v>3085</v>
      </c>
      <c r="K645" s="723" t="s">
        <v>2044</v>
      </c>
      <c r="L645" s="723">
        <v>98386141</v>
      </c>
      <c r="M645" s="723" t="s">
        <v>2218</v>
      </c>
      <c r="N645" s="746"/>
      <c r="O645" s="746"/>
      <c r="P645" s="746"/>
      <c r="Q645" s="746"/>
      <c r="R645" s="521"/>
      <c r="S645" s="521"/>
    </row>
    <row r="646" spans="1:19">
      <c r="A646" s="721">
        <v>85</v>
      </c>
      <c r="B646" s="721">
        <v>20092195009</v>
      </c>
      <c r="C646" s="721" t="s">
        <v>3086</v>
      </c>
      <c r="D646" s="721">
        <v>195</v>
      </c>
      <c r="E646" s="721" t="s">
        <v>2832</v>
      </c>
      <c r="F646" s="721" t="s">
        <v>84</v>
      </c>
      <c r="G646" s="721" t="s">
        <v>2042</v>
      </c>
      <c r="H646" s="721" t="s">
        <v>2043</v>
      </c>
      <c r="I646" s="721" t="s">
        <v>3087</v>
      </c>
      <c r="J646" s="721" t="s">
        <v>3088</v>
      </c>
      <c r="K646" s="721" t="s">
        <v>2044</v>
      </c>
      <c r="L646" s="721">
        <v>19196957</v>
      </c>
      <c r="M646" s="721" t="s">
        <v>2192</v>
      </c>
      <c r="N646" s="746"/>
      <c r="O646" s="746"/>
      <c r="P646" s="746"/>
      <c r="Q646" s="746"/>
      <c r="R646" s="521"/>
      <c r="S646" s="521"/>
    </row>
    <row r="647" spans="1:19">
      <c r="A647" s="723">
        <v>86</v>
      </c>
      <c r="B647" s="723">
        <v>20092195013</v>
      </c>
      <c r="C647" s="723" t="s">
        <v>3089</v>
      </c>
      <c r="D647" s="723">
        <v>195</v>
      </c>
      <c r="E647" s="723" t="s">
        <v>2832</v>
      </c>
      <c r="F647" s="723" t="s">
        <v>84</v>
      </c>
      <c r="G647" s="723" t="s">
        <v>2042</v>
      </c>
      <c r="H647" s="723">
        <v>1</v>
      </c>
      <c r="I647" s="723" t="s">
        <v>3090</v>
      </c>
      <c r="J647" s="723" t="s">
        <v>3091</v>
      </c>
      <c r="K647" s="723" t="s">
        <v>2044</v>
      </c>
      <c r="L647" s="723">
        <v>80222306</v>
      </c>
      <c r="M647" s="723" t="s">
        <v>2167</v>
      </c>
      <c r="N647" s="746"/>
      <c r="O647" s="746"/>
      <c r="P647" s="746"/>
      <c r="Q647" s="746"/>
      <c r="R647" s="521"/>
      <c r="S647" s="521"/>
    </row>
    <row r="648" spans="1:19">
      <c r="A648" s="721">
        <v>87</v>
      </c>
      <c r="B648" s="721">
        <v>20092195014</v>
      </c>
      <c r="C648" s="721" t="s">
        <v>3092</v>
      </c>
      <c r="D648" s="721">
        <v>195</v>
      </c>
      <c r="E648" s="721" t="s">
        <v>2832</v>
      </c>
      <c r="F648" s="721" t="s">
        <v>84</v>
      </c>
      <c r="G648" s="721" t="s">
        <v>2042</v>
      </c>
      <c r="H648" s="721">
        <v>1</v>
      </c>
      <c r="I648" s="721" t="s">
        <v>3093</v>
      </c>
      <c r="J648" s="721" t="s">
        <v>3094</v>
      </c>
      <c r="K648" s="721" t="s">
        <v>2044</v>
      </c>
      <c r="L648" s="721">
        <v>80770508</v>
      </c>
      <c r="M648" s="721" t="s">
        <v>2218</v>
      </c>
      <c r="N648" s="746"/>
      <c r="O648" s="746"/>
      <c r="P648" s="746"/>
      <c r="Q648" s="746"/>
      <c r="R648" s="521"/>
      <c r="S648" s="521"/>
    </row>
    <row r="649" spans="1:19">
      <c r="A649" s="723">
        <v>88</v>
      </c>
      <c r="B649" s="723">
        <v>20092195016</v>
      </c>
      <c r="C649" s="723" t="s">
        <v>3095</v>
      </c>
      <c r="D649" s="723">
        <v>195</v>
      </c>
      <c r="E649" s="723" t="s">
        <v>2832</v>
      </c>
      <c r="F649" s="723" t="s">
        <v>84</v>
      </c>
      <c r="G649" s="723" t="s">
        <v>2042</v>
      </c>
      <c r="H649" s="723">
        <v>1</v>
      </c>
      <c r="I649" s="723" t="s">
        <v>3096</v>
      </c>
      <c r="J649" s="723" t="s">
        <v>3097</v>
      </c>
      <c r="K649" s="723" t="s">
        <v>2044</v>
      </c>
      <c r="L649" s="723">
        <v>86065223</v>
      </c>
      <c r="M649" s="723" t="s">
        <v>2218</v>
      </c>
      <c r="N649" s="746"/>
      <c r="O649" s="746"/>
      <c r="P649" s="746"/>
      <c r="Q649" s="746"/>
      <c r="R649" s="521"/>
      <c r="S649" s="521"/>
    </row>
    <row r="650" spans="1:19">
      <c r="A650" s="721">
        <v>89</v>
      </c>
      <c r="B650" s="721">
        <v>20092195017</v>
      </c>
      <c r="C650" s="721" t="s">
        <v>3098</v>
      </c>
      <c r="D650" s="721">
        <v>195</v>
      </c>
      <c r="E650" s="721" t="s">
        <v>2832</v>
      </c>
      <c r="F650" s="721" t="s">
        <v>84</v>
      </c>
      <c r="G650" s="721" t="s">
        <v>2042</v>
      </c>
      <c r="H650" s="721">
        <v>1</v>
      </c>
      <c r="I650" s="721" t="s">
        <v>3099</v>
      </c>
      <c r="J650" s="721" t="s">
        <v>3100</v>
      </c>
      <c r="K650" s="721" t="s">
        <v>2044</v>
      </c>
      <c r="L650" s="721">
        <v>80035198</v>
      </c>
      <c r="M650" s="721" t="s">
        <v>2896</v>
      </c>
      <c r="N650" s="746"/>
      <c r="O650" s="746"/>
      <c r="P650" s="746"/>
      <c r="Q650" s="746"/>
      <c r="R650" s="521"/>
      <c r="S650" s="521"/>
    </row>
    <row r="651" spans="1:19">
      <c r="A651" s="723">
        <v>90</v>
      </c>
      <c r="B651" s="723">
        <v>20092195021</v>
      </c>
      <c r="C651" s="723" t="s">
        <v>3101</v>
      </c>
      <c r="D651" s="723">
        <v>195</v>
      </c>
      <c r="E651" s="723" t="s">
        <v>2832</v>
      </c>
      <c r="F651" s="723" t="s">
        <v>84</v>
      </c>
      <c r="G651" s="723" t="s">
        <v>2042</v>
      </c>
      <c r="H651" s="723">
        <v>1</v>
      </c>
      <c r="I651" s="723" t="s">
        <v>3102</v>
      </c>
      <c r="J651" s="723" t="s">
        <v>3103</v>
      </c>
      <c r="K651" s="723" t="s">
        <v>2044</v>
      </c>
      <c r="L651" s="723">
        <v>80372346</v>
      </c>
      <c r="M651" s="723" t="s">
        <v>3104</v>
      </c>
      <c r="N651" s="746"/>
      <c r="O651" s="746"/>
      <c r="P651" s="746"/>
      <c r="Q651" s="746"/>
      <c r="R651" s="521"/>
      <c r="S651" s="521"/>
    </row>
    <row r="652" spans="1:19">
      <c r="A652" s="721">
        <v>91</v>
      </c>
      <c r="B652" s="721">
        <v>20092195022</v>
      </c>
      <c r="C652" s="721" t="s">
        <v>3105</v>
      </c>
      <c r="D652" s="721">
        <v>195</v>
      </c>
      <c r="E652" s="721" t="s">
        <v>2832</v>
      </c>
      <c r="F652" s="721" t="s">
        <v>84</v>
      </c>
      <c r="G652" s="721" t="s">
        <v>2042</v>
      </c>
      <c r="H652" s="721">
        <v>1</v>
      </c>
      <c r="I652" s="721" t="s">
        <v>3106</v>
      </c>
      <c r="J652" s="721" t="s">
        <v>3107</v>
      </c>
      <c r="K652" s="721" t="s">
        <v>2044</v>
      </c>
      <c r="L652" s="721">
        <v>37270160</v>
      </c>
      <c r="M652" s="721" t="s">
        <v>2218</v>
      </c>
      <c r="N652" s="746"/>
      <c r="O652" s="746"/>
      <c r="P652" s="746"/>
      <c r="Q652" s="746"/>
      <c r="R652" s="521"/>
      <c r="S652" s="521"/>
    </row>
    <row r="653" spans="1:19">
      <c r="A653" s="723">
        <v>92</v>
      </c>
      <c r="B653" s="723">
        <v>20101195006</v>
      </c>
      <c r="C653" s="723" t="s">
        <v>3108</v>
      </c>
      <c r="D653" s="723">
        <v>195</v>
      </c>
      <c r="E653" s="723" t="s">
        <v>2832</v>
      </c>
      <c r="F653" s="723" t="s">
        <v>84</v>
      </c>
      <c r="G653" s="723" t="s">
        <v>2042</v>
      </c>
      <c r="H653" s="723">
        <v>1</v>
      </c>
      <c r="I653" s="723" t="s">
        <v>3109</v>
      </c>
      <c r="J653" s="723" t="s">
        <v>3110</v>
      </c>
      <c r="K653" s="723" t="s">
        <v>2044</v>
      </c>
      <c r="L653" s="723">
        <v>53072316</v>
      </c>
      <c r="M653" s="723" t="s">
        <v>2910</v>
      </c>
      <c r="N653" s="746"/>
      <c r="O653" s="746"/>
      <c r="P653" s="746"/>
      <c r="Q653" s="746"/>
      <c r="R653" s="521"/>
      <c r="S653" s="521"/>
    </row>
    <row r="654" spans="1:19">
      <c r="A654" s="721">
        <v>93</v>
      </c>
      <c r="B654" s="721">
        <v>20101195011</v>
      </c>
      <c r="C654" s="721" t="s">
        <v>3111</v>
      </c>
      <c r="D654" s="721">
        <v>195</v>
      </c>
      <c r="E654" s="721" t="s">
        <v>2832</v>
      </c>
      <c r="F654" s="721" t="s">
        <v>84</v>
      </c>
      <c r="G654" s="721" t="s">
        <v>2042</v>
      </c>
      <c r="H654" s="721" t="s">
        <v>2043</v>
      </c>
      <c r="I654" s="721" t="s">
        <v>3112</v>
      </c>
      <c r="J654" s="721" t="s">
        <v>3113</v>
      </c>
      <c r="K654" s="721" t="s">
        <v>2044</v>
      </c>
      <c r="L654" s="721">
        <v>1022324147</v>
      </c>
      <c r="M654" s="721" t="s">
        <v>2910</v>
      </c>
      <c r="N654" s="746"/>
      <c r="O654" s="746"/>
      <c r="P654" s="746"/>
      <c r="Q654" s="746"/>
      <c r="R654" s="521"/>
      <c r="S654" s="521"/>
    </row>
    <row r="655" spans="1:19">
      <c r="A655" s="723">
        <v>94</v>
      </c>
      <c r="B655" s="723">
        <v>20101195014</v>
      </c>
      <c r="C655" s="723" t="s">
        <v>3114</v>
      </c>
      <c r="D655" s="723">
        <v>195</v>
      </c>
      <c r="E655" s="723" t="s">
        <v>2832</v>
      </c>
      <c r="F655" s="723" t="s">
        <v>84</v>
      </c>
      <c r="G655" s="723" t="s">
        <v>2042</v>
      </c>
      <c r="H655" s="723" t="s">
        <v>2043</v>
      </c>
      <c r="I655" s="723" t="s">
        <v>3115</v>
      </c>
      <c r="J655" s="723" t="s">
        <v>3116</v>
      </c>
      <c r="K655" s="723" t="s">
        <v>2044</v>
      </c>
      <c r="L655" s="723">
        <v>1015397282</v>
      </c>
      <c r="M655" s="723" t="s">
        <v>2192</v>
      </c>
      <c r="N655" s="746"/>
      <c r="O655" s="746"/>
      <c r="P655" s="746"/>
      <c r="Q655" s="746"/>
      <c r="R655" s="521"/>
      <c r="S655" s="521"/>
    </row>
    <row r="656" spans="1:19">
      <c r="A656" s="721">
        <v>95</v>
      </c>
      <c r="B656" s="721">
        <v>20102195003</v>
      </c>
      <c r="C656" s="721" t="s">
        <v>3117</v>
      </c>
      <c r="D656" s="721">
        <v>195</v>
      </c>
      <c r="E656" s="721" t="s">
        <v>2832</v>
      </c>
      <c r="F656" s="721" t="s">
        <v>84</v>
      </c>
      <c r="G656" s="721" t="s">
        <v>2042</v>
      </c>
      <c r="H656" s="721">
        <v>1</v>
      </c>
      <c r="I656" s="721" t="s">
        <v>3118</v>
      </c>
      <c r="J656" s="721" t="s">
        <v>3119</v>
      </c>
      <c r="K656" s="721" t="s">
        <v>2044</v>
      </c>
      <c r="L656" s="721">
        <v>79724520</v>
      </c>
      <c r="M656" s="721" t="s">
        <v>2910</v>
      </c>
      <c r="N656" s="746"/>
      <c r="O656" s="746"/>
      <c r="P656" s="746"/>
      <c r="Q656" s="746"/>
      <c r="R656" s="521"/>
      <c r="S656" s="521"/>
    </row>
    <row r="657" spans="1:19">
      <c r="A657" s="723">
        <v>96</v>
      </c>
      <c r="B657" s="723">
        <v>20111195003</v>
      </c>
      <c r="C657" s="723" t="s">
        <v>3120</v>
      </c>
      <c r="D657" s="723">
        <v>195</v>
      </c>
      <c r="E657" s="723" t="s">
        <v>2832</v>
      </c>
      <c r="F657" s="723" t="s">
        <v>84</v>
      </c>
      <c r="G657" s="723" t="s">
        <v>2042</v>
      </c>
      <c r="H657" s="723">
        <v>1</v>
      </c>
      <c r="I657" s="723" t="s">
        <v>3121</v>
      </c>
      <c r="J657" s="723" t="s">
        <v>3122</v>
      </c>
      <c r="K657" s="723" t="s">
        <v>2044</v>
      </c>
      <c r="L657" s="723">
        <v>1024461077</v>
      </c>
      <c r="M657" s="723" t="s">
        <v>3123</v>
      </c>
      <c r="N657" s="746"/>
      <c r="O657" s="746"/>
      <c r="P657" s="746"/>
      <c r="Q657" s="746"/>
      <c r="R657" s="521"/>
      <c r="S657" s="521"/>
    </row>
    <row r="658" spans="1:19">
      <c r="A658" s="721">
        <v>97</v>
      </c>
      <c r="B658" s="721">
        <v>20111195005</v>
      </c>
      <c r="C658" s="721" t="s">
        <v>3124</v>
      </c>
      <c r="D658" s="721">
        <v>195</v>
      </c>
      <c r="E658" s="721" t="s">
        <v>2832</v>
      </c>
      <c r="F658" s="721" t="s">
        <v>84</v>
      </c>
      <c r="G658" s="721" t="s">
        <v>2042</v>
      </c>
      <c r="H658" s="721">
        <v>1</v>
      </c>
      <c r="I658" s="721" t="s">
        <v>3125</v>
      </c>
      <c r="J658" s="721" t="s">
        <v>3126</v>
      </c>
      <c r="K658" s="721" t="s">
        <v>2044</v>
      </c>
      <c r="L658" s="721">
        <v>11223363</v>
      </c>
      <c r="M658" s="721" t="s">
        <v>2143</v>
      </c>
      <c r="N658" s="746"/>
      <c r="O658" s="746"/>
      <c r="P658" s="746"/>
      <c r="Q658" s="746"/>
      <c r="R658" s="521"/>
      <c r="S658" s="521"/>
    </row>
    <row r="659" spans="1:19">
      <c r="A659" s="723">
        <v>98</v>
      </c>
      <c r="B659" s="723">
        <v>20111195007</v>
      </c>
      <c r="C659" s="723" t="s">
        <v>3127</v>
      </c>
      <c r="D659" s="723">
        <v>195</v>
      </c>
      <c r="E659" s="723" t="s">
        <v>2832</v>
      </c>
      <c r="F659" s="723" t="s">
        <v>84</v>
      </c>
      <c r="G659" s="723" t="s">
        <v>2042</v>
      </c>
      <c r="H659" s="723">
        <v>1</v>
      </c>
      <c r="I659" s="723" t="s">
        <v>3128</v>
      </c>
      <c r="J659" s="723" t="s">
        <v>3129</v>
      </c>
      <c r="K659" s="723" t="s">
        <v>2044</v>
      </c>
      <c r="L659" s="723">
        <v>40340112</v>
      </c>
      <c r="M659" s="723" t="s">
        <v>3130</v>
      </c>
      <c r="N659" s="746"/>
      <c r="O659" s="746"/>
      <c r="P659" s="746"/>
      <c r="Q659" s="746"/>
      <c r="R659" s="521"/>
      <c r="S659" s="521"/>
    </row>
    <row r="660" spans="1:19">
      <c r="A660" s="721">
        <v>99</v>
      </c>
      <c r="B660" s="721">
        <v>20112195002</v>
      </c>
      <c r="C660" s="721" t="s">
        <v>3131</v>
      </c>
      <c r="D660" s="721">
        <v>195</v>
      </c>
      <c r="E660" s="721" t="s">
        <v>2832</v>
      </c>
      <c r="F660" s="721" t="s">
        <v>84</v>
      </c>
      <c r="G660" s="721" t="s">
        <v>2042</v>
      </c>
      <c r="H660" s="721">
        <v>3</v>
      </c>
      <c r="I660" s="721"/>
      <c r="J660" s="721" t="s">
        <v>3132</v>
      </c>
      <c r="K660" s="721" t="s">
        <v>2044</v>
      </c>
      <c r="L660" s="721">
        <v>79283623</v>
      </c>
      <c r="M660" s="721" t="s">
        <v>3123</v>
      </c>
      <c r="N660" s="746"/>
      <c r="O660" s="746"/>
      <c r="P660" s="746"/>
      <c r="Q660" s="746"/>
      <c r="R660" s="521"/>
      <c r="S660" s="521"/>
    </row>
    <row r="661" spans="1:19">
      <c r="A661" s="723">
        <v>100</v>
      </c>
      <c r="B661" s="723">
        <v>20112195004</v>
      </c>
      <c r="C661" s="723" t="s">
        <v>3133</v>
      </c>
      <c r="D661" s="723">
        <v>195</v>
      </c>
      <c r="E661" s="723" t="s">
        <v>2832</v>
      </c>
      <c r="F661" s="723" t="s">
        <v>84</v>
      </c>
      <c r="G661" s="723" t="s">
        <v>2042</v>
      </c>
      <c r="H661" s="723" t="s">
        <v>2043</v>
      </c>
      <c r="I661" s="723"/>
      <c r="J661" s="723" t="s">
        <v>3134</v>
      </c>
      <c r="K661" s="723" t="s">
        <v>2044</v>
      </c>
      <c r="L661" s="723">
        <v>71113015</v>
      </c>
      <c r="M661" s="723" t="s">
        <v>3123</v>
      </c>
      <c r="N661" s="746"/>
      <c r="O661" s="746"/>
      <c r="P661" s="746"/>
      <c r="Q661" s="746"/>
      <c r="R661" s="521"/>
      <c r="S661" s="521"/>
    </row>
    <row r="662" spans="1:19">
      <c r="A662" s="721">
        <v>101</v>
      </c>
      <c r="B662" s="721">
        <v>20112195005</v>
      </c>
      <c r="C662" s="721" t="s">
        <v>3135</v>
      </c>
      <c r="D662" s="721">
        <v>195</v>
      </c>
      <c r="E662" s="721" t="s">
        <v>2832</v>
      </c>
      <c r="F662" s="721" t="s">
        <v>84</v>
      </c>
      <c r="G662" s="721" t="s">
        <v>2042</v>
      </c>
      <c r="H662" s="721" t="s">
        <v>2043</v>
      </c>
      <c r="I662" s="721"/>
      <c r="J662" s="721" t="s">
        <v>3136</v>
      </c>
      <c r="K662" s="721" t="s">
        <v>2044</v>
      </c>
      <c r="L662" s="721">
        <v>88247160</v>
      </c>
      <c r="M662" s="721" t="s">
        <v>3104</v>
      </c>
      <c r="N662" s="746"/>
      <c r="O662" s="746"/>
      <c r="P662" s="746"/>
      <c r="Q662" s="746"/>
      <c r="R662" s="521"/>
      <c r="S662" s="521"/>
    </row>
    <row r="663" spans="1:19">
      <c r="A663" s="723">
        <v>102</v>
      </c>
      <c r="B663" s="723">
        <v>20112195007</v>
      </c>
      <c r="C663" s="723" t="s">
        <v>3137</v>
      </c>
      <c r="D663" s="723">
        <v>195</v>
      </c>
      <c r="E663" s="723" t="s">
        <v>2832</v>
      </c>
      <c r="F663" s="723" t="s">
        <v>84</v>
      </c>
      <c r="G663" s="723" t="s">
        <v>2042</v>
      </c>
      <c r="H663" s="723" t="s">
        <v>2043</v>
      </c>
      <c r="I663" s="723"/>
      <c r="J663" s="723" t="s">
        <v>3138</v>
      </c>
      <c r="K663" s="723" t="s">
        <v>2044</v>
      </c>
      <c r="L663" s="723">
        <v>52128254</v>
      </c>
      <c r="M663" s="723" t="s">
        <v>3139</v>
      </c>
      <c r="N663" s="746"/>
      <c r="O663" s="746"/>
      <c r="P663" s="746"/>
      <c r="Q663" s="746"/>
      <c r="R663" s="521"/>
      <c r="S663" s="521"/>
    </row>
    <row r="664" spans="1:19">
      <c r="A664" s="721">
        <v>103</v>
      </c>
      <c r="B664" s="721">
        <v>20121195001</v>
      </c>
      <c r="C664" s="721" t="s">
        <v>3140</v>
      </c>
      <c r="D664" s="721">
        <v>195</v>
      </c>
      <c r="E664" s="721" t="s">
        <v>2832</v>
      </c>
      <c r="F664" s="721" t="s">
        <v>84</v>
      </c>
      <c r="G664" s="721" t="s">
        <v>2042</v>
      </c>
      <c r="H664" s="721" t="s">
        <v>2043</v>
      </c>
      <c r="I664" s="721"/>
      <c r="J664" s="721" t="s">
        <v>3141</v>
      </c>
      <c r="K664" s="721" t="s">
        <v>2044</v>
      </c>
      <c r="L664" s="721">
        <v>1018419891</v>
      </c>
      <c r="M664" s="721" t="s">
        <v>3104</v>
      </c>
      <c r="N664" s="746"/>
      <c r="O664" s="746"/>
      <c r="P664" s="746"/>
      <c r="Q664" s="746"/>
      <c r="R664" s="521"/>
      <c r="S664" s="521"/>
    </row>
    <row r="665" spans="1:19">
      <c r="A665" s="723">
        <v>104</v>
      </c>
      <c r="B665" s="723">
        <v>20121195003</v>
      </c>
      <c r="C665" s="723" t="s">
        <v>3142</v>
      </c>
      <c r="D665" s="723">
        <v>195</v>
      </c>
      <c r="E665" s="723" t="s">
        <v>2832</v>
      </c>
      <c r="F665" s="723" t="s">
        <v>84</v>
      </c>
      <c r="G665" s="723" t="s">
        <v>2042</v>
      </c>
      <c r="H665" s="723">
        <v>3</v>
      </c>
      <c r="I665" s="723" t="s">
        <v>3143</v>
      </c>
      <c r="J665" s="723" t="s">
        <v>3144</v>
      </c>
      <c r="K665" s="723" t="s">
        <v>2044</v>
      </c>
      <c r="L665" s="723">
        <v>7174732</v>
      </c>
      <c r="M665" s="723" t="s">
        <v>3145</v>
      </c>
      <c r="N665" s="746"/>
      <c r="O665" s="746"/>
      <c r="P665" s="746"/>
      <c r="Q665" s="746"/>
      <c r="R665" s="521"/>
      <c r="S665" s="521"/>
    </row>
    <row r="666" spans="1:19">
      <c r="A666" s="721">
        <v>105</v>
      </c>
      <c r="B666" s="721">
        <v>20121195014</v>
      </c>
      <c r="C666" s="721" t="s">
        <v>3146</v>
      </c>
      <c r="D666" s="721">
        <v>195</v>
      </c>
      <c r="E666" s="721" t="s">
        <v>2832</v>
      </c>
      <c r="F666" s="721" t="s">
        <v>84</v>
      </c>
      <c r="G666" s="721" t="s">
        <v>2042</v>
      </c>
      <c r="H666" s="721" t="s">
        <v>2043</v>
      </c>
      <c r="I666" s="721" t="s">
        <v>3147</v>
      </c>
      <c r="J666" s="721" t="s">
        <v>3148</v>
      </c>
      <c r="K666" s="721" t="s">
        <v>2044</v>
      </c>
      <c r="L666" s="721">
        <v>93453664</v>
      </c>
      <c r="M666" s="721" t="s">
        <v>3149</v>
      </c>
      <c r="N666" s="746"/>
      <c r="O666" s="746"/>
      <c r="P666" s="746"/>
      <c r="Q666" s="746"/>
      <c r="R666" s="521"/>
      <c r="S666" s="521"/>
    </row>
    <row r="667" spans="1:19">
      <c r="A667" s="723">
        <v>106</v>
      </c>
      <c r="B667" s="723">
        <v>20122195003</v>
      </c>
      <c r="C667" s="723" t="s">
        <v>3150</v>
      </c>
      <c r="D667" s="723">
        <v>195</v>
      </c>
      <c r="E667" s="723" t="s">
        <v>2832</v>
      </c>
      <c r="F667" s="723" t="s">
        <v>84</v>
      </c>
      <c r="G667" s="723" t="s">
        <v>2042</v>
      </c>
      <c r="H667" s="723">
        <v>1</v>
      </c>
      <c r="I667" s="723" t="s">
        <v>3151</v>
      </c>
      <c r="J667" s="723" t="s">
        <v>3152</v>
      </c>
      <c r="K667" s="723" t="s">
        <v>2044</v>
      </c>
      <c r="L667" s="723">
        <v>52147162</v>
      </c>
      <c r="M667" s="723" t="s">
        <v>3149</v>
      </c>
      <c r="N667" s="746"/>
      <c r="O667" s="746"/>
      <c r="P667" s="746"/>
      <c r="Q667" s="746"/>
      <c r="R667" s="521"/>
      <c r="S667" s="521"/>
    </row>
    <row r="668" spans="1:19">
      <c r="A668" s="721">
        <v>107</v>
      </c>
      <c r="B668" s="721">
        <v>20122195005</v>
      </c>
      <c r="C668" s="721" t="s">
        <v>3153</v>
      </c>
      <c r="D668" s="721">
        <v>195</v>
      </c>
      <c r="E668" s="721" t="s">
        <v>2832</v>
      </c>
      <c r="F668" s="721" t="s">
        <v>84</v>
      </c>
      <c r="G668" s="721" t="s">
        <v>2042</v>
      </c>
      <c r="H668" s="721">
        <v>1</v>
      </c>
      <c r="I668" s="721"/>
      <c r="J668" s="721" t="s">
        <v>3154</v>
      </c>
      <c r="K668" s="721" t="s">
        <v>2044</v>
      </c>
      <c r="L668" s="721">
        <v>30230686</v>
      </c>
      <c r="M668" s="721" t="s">
        <v>3155</v>
      </c>
      <c r="N668" s="746"/>
      <c r="O668" s="746"/>
      <c r="P668" s="746"/>
      <c r="Q668" s="746"/>
      <c r="R668" s="521"/>
      <c r="S668" s="521"/>
    </row>
    <row r="669" spans="1:19">
      <c r="A669" s="723">
        <v>108</v>
      </c>
      <c r="B669" s="723">
        <v>20122195007</v>
      </c>
      <c r="C669" s="723" t="s">
        <v>3156</v>
      </c>
      <c r="D669" s="723">
        <v>195</v>
      </c>
      <c r="E669" s="723" t="s">
        <v>2832</v>
      </c>
      <c r="F669" s="723" t="s">
        <v>84</v>
      </c>
      <c r="G669" s="723" t="s">
        <v>2042</v>
      </c>
      <c r="H669" s="723" t="s">
        <v>2043</v>
      </c>
      <c r="I669" s="723"/>
      <c r="J669" s="723" t="s">
        <v>3157</v>
      </c>
      <c r="K669" s="723" t="s">
        <v>2044</v>
      </c>
      <c r="L669" s="723">
        <v>1030550149</v>
      </c>
      <c r="M669" s="723" t="s">
        <v>2599</v>
      </c>
      <c r="N669" s="746"/>
      <c r="O669" s="746"/>
      <c r="P669" s="746"/>
      <c r="Q669" s="746"/>
      <c r="R669" s="521"/>
      <c r="S669" s="521"/>
    </row>
    <row r="670" spans="1:19">
      <c r="A670" s="721">
        <v>109</v>
      </c>
      <c r="B670" s="721">
        <v>20122195008</v>
      </c>
      <c r="C670" s="721" t="s">
        <v>3158</v>
      </c>
      <c r="D670" s="721">
        <v>195</v>
      </c>
      <c r="E670" s="721" t="s">
        <v>2832</v>
      </c>
      <c r="F670" s="721" t="s">
        <v>84</v>
      </c>
      <c r="G670" s="721" t="s">
        <v>2042</v>
      </c>
      <c r="H670" s="721" t="s">
        <v>2043</v>
      </c>
      <c r="I670" s="721"/>
      <c r="J670" s="721" t="s">
        <v>3159</v>
      </c>
      <c r="K670" s="721" t="s">
        <v>2044</v>
      </c>
      <c r="L670" s="721">
        <v>1026258511</v>
      </c>
      <c r="M670" s="721" t="s">
        <v>3139</v>
      </c>
      <c r="N670" s="746"/>
      <c r="O670" s="746"/>
      <c r="P670" s="746"/>
      <c r="Q670" s="746"/>
      <c r="R670" s="521"/>
      <c r="S670" s="521"/>
    </row>
    <row r="671" spans="1:19">
      <c r="A671" s="723">
        <v>110</v>
      </c>
      <c r="B671" s="723">
        <v>20131195003</v>
      </c>
      <c r="C671" s="723" t="s">
        <v>3160</v>
      </c>
      <c r="D671" s="723">
        <v>195</v>
      </c>
      <c r="E671" s="723" t="s">
        <v>2832</v>
      </c>
      <c r="F671" s="723" t="s">
        <v>84</v>
      </c>
      <c r="G671" s="723" t="s">
        <v>2042</v>
      </c>
      <c r="H671" s="723" t="s">
        <v>2043</v>
      </c>
      <c r="I671" s="723" t="s">
        <v>3161</v>
      </c>
      <c r="J671" s="723" t="s">
        <v>3162</v>
      </c>
      <c r="K671" s="723" t="s">
        <v>2044</v>
      </c>
      <c r="L671" s="723">
        <v>1032374162</v>
      </c>
      <c r="M671" s="723" t="s">
        <v>2167</v>
      </c>
      <c r="N671" s="746"/>
      <c r="O671" s="746"/>
      <c r="P671" s="746"/>
      <c r="Q671" s="746"/>
      <c r="R671" s="521"/>
      <c r="S671" s="521"/>
    </row>
    <row r="672" spans="1:19">
      <c r="A672" s="721">
        <v>111</v>
      </c>
      <c r="B672" s="721">
        <v>20131195004</v>
      </c>
      <c r="C672" s="721" t="s">
        <v>3163</v>
      </c>
      <c r="D672" s="721">
        <v>195</v>
      </c>
      <c r="E672" s="721" t="s">
        <v>2832</v>
      </c>
      <c r="F672" s="721" t="s">
        <v>84</v>
      </c>
      <c r="G672" s="721" t="s">
        <v>2042</v>
      </c>
      <c r="H672" s="721" t="s">
        <v>2043</v>
      </c>
      <c r="I672" s="721" t="s">
        <v>3164</v>
      </c>
      <c r="J672" s="721" t="s">
        <v>3165</v>
      </c>
      <c r="K672" s="721" t="s">
        <v>2044</v>
      </c>
      <c r="L672" s="721">
        <v>1032432530</v>
      </c>
      <c r="M672" s="721" t="s">
        <v>2167</v>
      </c>
      <c r="N672" s="746"/>
      <c r="O672" s="746"/>
      <c r="P672" s="746"/>
      <c r="Q672" s="746"/>
      <c r="R672" s="521"/>
      <c r="S672" s="521"/>
    </row>
    <row r="673" spans="1:19">
      <c r="A673" s="723">
        <v>112</v>
      </c>
      <c r="B673" s="723">
        <v>20141195001</v>
      </c>
      <c r="C673" s="723" t="s">
        <v>3166</v>
      </c>
      <c r="D673" s="723">
        <v>195</v>
      </c>
      <c r="E673" s="723" t="s">
        <v>2832</v>
      </c>
      <c r="F673" s="723" t="s">
        <v>84</v>
      </c>
      <c r="G673" s="723" t="s">
        <v>2042</v>
      </c>
      <c r="H673" s="723" t="s">
        <v>2043</v>
      </c>
      <c r="I673" s="723" t="s">
        <v>3167</v>
      </c>
      <c r="J673" s="723" t="s">
        <v>3168</v>
      </c>
      <c r="K673" s="723" t="s">
        <v>2044</v>
      </c>
      <c r="L673" s="723">
        <v>79430383</v>
      </c>
      <c r="M673" s="723" t="s">
        <v>3123</v>
      </c>
      <c r="N673" s="746"/>
      <c r="O673" s="746"/>
      <c r="P673" s="746"/>
      <c r="Q673" s="746"/>
      <c r="R673" s="521"/>
      <c r="S673" s="521"/>
    </row>
    <row r="674" spans="1:19">
      <c r="A674" s="721">
        <v>113</v>
      </c>
      <c r="B674" s="721">
        <v>20141195005</v>
      </c>
      <c r="C674" s="721" t="s">
        <v>3169</v>
      </c>
      <c r="D674" s="721">
        <v>195</v>
      </c>
      <c r="E674" s="721" t="s">
        <v>2832</v>
      </c>
      <c r="F674" s="721" t="s">
        <v>84</v>
      </c>
      <c r="G674" s="721" t="s">
        <v>2042</v>
      </c>
      <c r="H674" s="721" t="s">
        <v>2043</v>
      </c>
      <c r="I674" s="721"/>
      <c r="J674" s="721" t="s">
        <v>3170</v>
      </c>
      <c r="K674" s="721" t="s">
        <v>2044</v>
      </c>
      <c r="L674" s="721">
        <v>79562545</v>
      </c>
      <c r="M674" s="721" t="s">
        <v>3123</v>
      </c>
      <c r="N674" s="746"/>
      <c r="O674" s="746"/>
      <c r="P674" s="746"/>
      <c r="Q674" s="746"/>
      <c r="R674" s="521"/>
      <c r="S674" s="521"/>
    </row>
    <row r="675" spans="1:19">
      <c r="A675" s="723">
        <v>114</v>
      </c>
      <c r="B675" s="723">
        <v>20142195001</v>
      </c>
      <c r="C675" s="723" t="s">
        <v>3171</v>
      </c>
      <c r="D675" s="723">
        <v>195</v>
      </c>
      <c r="E675" s="723" t="s">
        <v>2832</v>
      </c>
      <c r="F675" s="723" t="s">
        <v>84</v>
      </c>
      <c r="G675" s="723" t="s">
        <v>2042</v>
      </c>
      <c r="H675" s="723">
        <v>2</v>
      </c>
      <c r="I675" s="723"/>
      <c r="J675" s="723" t="s">
        <v>3172</v>
      </c>
      <c r="K675" s="723" t="s">
        <v>2044</v>
      </c>
      <c r="L675" s="723">
        <v>79576961</v>
      </c>
      <c r="M675" s="723" t="s">
        <v>3155</v>
      </c>
      <c r="N675" s="746"/>
      <c r="O675" s="746"/>
      <c r="P675" s="746"/>
      <c r="Q675" s="746"/>
      <c r="R675" s="521"/>
      <c r="S675" s="521"/>
    </row>
    <row r="676" spans="1:19">
      <c r="A676" s="721">
        <v>115</v>
      </c>
      <c r="B676" s="721">
        <v>20142195002</v>
      </c>
      <c r="C676" s="721" t="s">
        <v>3173</v>
      </c>
      <c r="D676" s="721">
        <v>195</v>
      </c>
      <c r="E676" s="721" t="s">
        <v>2832</v>
      </c>
      <c r="F676" s="721" t="s">
        <v>84</v>
      </c>
      <c r="G676" s="721" t="s">
        <v>2042</v>
      </c>
      <c r="H676" s="721">
        <v>2</v>
      </c>
      <c r="I676" s="721" t="s">
        <v>3174</v>
      </c>
      <c r="J676" s="721" t="s">
        <v>3174</v>
      </c>
      <c r="K676" s="721" t="s">
        <v>2044</v>
      </c>
      <c r="L676" s="721">
        <v>1010175883</v>
      </c>
      <c r="M676" s="721" t="s">
        <v>1237</v>
      </c>
      <c r="N676" s="746"/>
      <c r="O676" s="746"/>
      <c r="P676" s="746"/>
      <c r="Q676" s="746"/>
      <c r="R676" s="521"/>
      <c r="S676" s="521"/>
    </row>
    <row r="677" spans="1:19">
      <c r="A677" s="723">
        <v>116</v>
      </c>
      <c r="B677" s="723">
        <v>20142195003</v>
      </c>
      <c r="C677" s="723" t="s">
        <v>3175</v>
      </c>
      <c r="D677" s="723">
        <v>195</v>
      </c>
      <c r="E677" s="723" t="s">
        <v>2832</v>
      </c>
      <c r="F677" s="723" t="s">
        <v>84</v>
      </c>
      <c r="G677" s="723" t="s">
        <v>2042</v>
      </c>
      <c r="H677" s="723">
        <v>3</v>
      </c>
      <c r="I677" s="723"/>
      <c r="J677" s="723" t="s">
        <v>3176</v>
      </c>
      <c r="K677" s="723" t="s">
        <v>2044</v>
      </c>
      <c r="L677" s="723">
        <v>1033691855</v>
      </c>
      <c r="M677" s="723" t="s">
        <v>3149</v>
      </c>
      <c r="N677" s="746"/>
      <c r="O677" s="746"/>
      <c r="P677" s="746"/>
      <c r="Q677" s="746"/>
      <c r="R677" s="521"/>
      <c r="S677" s="521"/>
    </row>
    <row r="678" spans="1:19">
      <c r="A678" s="721">
        <v>117</v>
      </c>
      <c r="B678" s="721">
        <v>20142195004</v>
      </c>
      <c r="C678" s="721" t="s">
        <v>3177</v>
      </c>
      <c r="D678" s="721">
        <v>195</v>
      </c>
      <c r="E678" s="721" t="s">
        <v>2832</v>
      </c>
      <c r="F678" s="721" t="s">
        <v>84</v>
      </c>
      <c r="G678" s="721" t="s">
        <v>2042</v>
      </c>
      <c r="H678" s="721">
        <v>3</v>
      </c>
      <c r="I678" s="721" t="s">
        <v>3178</v>
      </c>
      <c r="J678" s="721" t="s">
        <v>3179</v>
      </c>
      <c r="K678" s="721" t="s">
        <v>2044</v>
      </c>
      <c r="L678" s="721">
        <v>80932160</v>
      </c>
      <c r="M678" s="721" t="s">
        <v>3180</v>
      </c>
      <c r="N678" s="746"/>
      <c r="O678" s="746"/>
      <c r="P678" s="746"/>
      <c r="Q678" s="746"/>
      <c r="R678" s="521"/>
      <c r="S678" s="521"/>
    </row>
    <row r="679" spans="1:19">
      <c r="A679" s="723">
        <v>118</v>
      </c>
      <c r="B679" s="723">
        <v>20151195005</v>
      </c>
      <c r="C679" s="723" t="s">
        <v>3181</v>
      </c>
      <c r="D679" s="723">
        <v>195</v>
      </c>
      <c r="E679" s="723" t="s">
        <v>2832</v>
      </c>
      <c r="F679" s="723" t="s">
        <v>84</v>
      </c>
      <c r="G679" s="723" t="s">
        <v>2042</v>
      </c>
      <c r="H679" s="723" t="s">
        <v>2043</v>
      </c>
      <c r="I679" s="723"/>
      <c r="J679" s="723" t="s">
        <v>3182</v>
      </c>
      <c r="K679" s="723" t="s">
        <v>2044</v>
      </c>
      <c r="L679" s="723">
        <v>80095218</v>
      </c>
      <c r="M679" s="723" t="s">
        <v>3104</v>
      </c>
      <c r="N679" s="746"/>
      <c r="O679" s="746"/>
      <c r="P679" s="746"/>
      <c r="Q679" s="746"/>
      <c r="R679" s="521"/>
      <c r="S679" s="521"/>
    </row>
    <row r="680" spans="1:19">
      <c r="A680" s="721">
        <v>119</v>
      </c>
      <c r="B680" s="721">
        <v>20151195006</v>
      </c>
      <c r="C680" s="721" t="s">
        <v>3183</v>
      </c>
      <c r="D680" s="721">
        <v>195</v>
      </c>
      <c r="E680" s="721" t="s">
        <v>2832</v>
      </c>
      <c r="F680" s="721" t="s">
        <v>84</v>
      </c>
      <c r="G680" s="721" t="s">
        <v>2042</v>
      </c>
      <c r="H680" s="721" t="s">
        <v>2043</v>
      </c>
      <c r="I680" s="721"/>
      <c r="J680" s="721" t="s">
        <v>3184</v>
      </c>
      <c r="K680" s="721" t="s">
        <v>2044</v>
      </c>
      <c r="L680" s="721">
        <v>80185164</v>
      </c>
      <c r="M680" s="721" t="s">
        <v>3130</v>
      </c>
      <c r="N680" s="746"/>
      <c r="O680" s="746"/>
      <c r="P680" s="746"/>
      <c r="Q680" s="746"/>
      <c r="R680" s="521"/>
      <c r="S680" s="521"/>
    </row>
    <row r="681" spans="1:19">
      <c r="A681" s="723">
        <v>120</v>
      </c>
      <c r="B681" s="723">
        <v>20152195001</v>
      </c>
      <c r="C681" s="723" t="s">
        <v>3185</v>
      </c>
      <c r="D681" s="723">
        <v>195</v>
      </c>
      <c r="E681" s="723" t="s">
        <v>2832</v>
      </c>
      <c r="F681" s="723" t="s">
        <v>84</v>
      </c>
      <c r="G681" s="723" t="s">
        <v>2042</v>
      </c>
      <c r="H681" s="723">
        <v>3</v>
      </c>
      <c r="I681" s="723" t="s">
        <v>3186</v>
      </c>
      <c r="J681" s="723" t="s">
        <v>3187</v>
      </c>
      <c r="K681" s="723" t="s">
        <v>2044</v>
      </c>
      <c r="L681" s="723">
        <v>80051486</v>
      </c>
      <c r="M681" s="723" t="s">
        <v>1237</v>
      </c>
      <c r="N681" s="746"/>
      <c r="O681" s="746"/>
      <c r="P681" s="746"/>
      <c r="Q681" s="746"/>
      <c r="R681" s="521"/>
      <c r="S681" s="521"/>
    </row>
    <row r="682" spans="1:19">
      <c r="A682" s="721">
        <v>121</v>
      </c>
      <c r="B682" s="721">
        <v>20152195002</v>
      </c>
      <c r="C682" s="721" t="s">
        <v>3188</v>
      </c>
      <c r="D682" s="721">
        <v>195</v>
      </c>
      <c r="E682" s="721" t="s">
        <v>2832</v>
      </c>
      <c r="F682" s="721" t="s">
        <v>84</v>
      </c>
      <c r="G682" s="721" t="s">
        <v>2042</v>
      </c>
      <c r="H682" s="721" t="s">
        <v>2043</v>
      </c>
      <c r="I682" s="721" t="s">
        <v>3189</v>
      </c>
      <c r="J682" s="721" t="s">
        <v>3190</v>
      </c>
      <c r="K682" s="721" t="s">
        <v>2044</v>
      </c>
      <c r="L682" s="721">
        <v>3059527</v>
      </c>
      <c r="M682" s="721" t="s">
        <v>3130</v>
      </c>
      <c r="N682" s="746"/>
      <c r="O682" s="746"/>
      <c r="P682" s="746"/>
      <c r="Q682" s="746"/>
      <c r="R682" s="521"/>
      <c r="S682" s="521"/>
    </row>
    <row r="683" spans="1:19">
      <c r="A683" s="723">
        <v>122</v>
      </c>
      <c r="B683" s="723">
        <v>20152195003</v>
      </c>
      <c r="C683" s="723" t="s">
        <v>3191</v>
      </c>
      <c r="D683" s="723">
        <v>195</v>
      </c>
      <c r="E683" s="723" t="s">
        <v>2832</v>
      </c>
      <c r="F683" s="723" t="s">
        <v>84</v>
      </c>
      <c r="G683" s="723" t="s">
        <v>2042</v>
      </c>
      <c r="H683" s="723">
        <v>4</v>
      </c>
      <c r="I683" s="723"/>
      <c r="J683" s="723" t="s">
        <v>3192</v>
      </c>
      <c r="K683" s="723" t="s">
        <v>2044</v>
      </c>
      <c r="L683" s="723">
        <v>80259743</v>
      </c>
      <c r="M683" s="723" t="s">
        <v>1223</v>
      </c>
      <c r="N683" s="746"/>
      <c r="O683" s="746"/>
      <c r="P683" s="746"/>
      <c r="Q683" s="746"/>
      <c r="R683" s="521"/>
      <c r="S683" s="521"/>
    </row>
    <row r="684" spans="1:19">
      <c r="A684" s="721">
        <v>123</v>
      </c>
      <c r="B684" s="721">
        <v>20152195005</v>
      </c>
      <c r="C684" s="721" t="s">
        <v>3193</v>
      </c>
      <c r="D684" s="721">
        <v>195</v>
      </c>
      <c r="E684" s="721" t="s">
        <v>2832</v>
      </c>
      <c r="F684" s="721" t="s">
        <v>84</v>
      </c>
      <c r="G684" s="721" t="s">
        <v>2042</v>
      </c>
      <c r="H684" s="721" t="s">
        <v>2043</v>
      </c>
      <c r="I684" s="721" t="s">
        <v>1119</v>
      </c>
      <c r="J684" s="721" t="s">
        <v>1119</v>
      </c>
      <c r="K684" s="721" t="s">
        <v>2044</v>
      </c>
      <c r="L684" s="721">
        <v>79560853</v>
      </c>
      <c r="M684" s="721" t="s">
        <v>3139</v>
      </c>
      <c r="N684" s="746"/>
      <c r="O684" s="746"/>
      <c r="P684" s="746"/>
      <c r="Q684" s="746"/>
      <c r="R684" s="521"/>
      <c r="S684" s="521"/>
    </row>
    <row r="685" spans="1:19">
      <c r="A685" s="723">
        <v>124</v>
      </c>
      <c r="B685" s="723">
        <v>20152195009</v>
      </c>
      <c r="C685" s="723" t="s">
        <v>3194</v>
      </c>
      <c r="D685" s="723">
        <v>195</v>
      </c>
      <c r="E685" s="723" t="s">
        <v>2832</v>
      </c>
      <c r="F685" s="723" t="s">
        <v>84</v>
      </c>
      <c r="G685" s="723" t="s">
        <v>2042</v>
      </c>
      <c r="H685" s="723" t="s">
        <v>2043</v>
      </c>
      <c r="I685" s="723" t="s">
        <v>3195</v>
      </c>
      <c r="J685" s="723" t="s">
        <v>3196</v>
      </c>
      <c r="K685" s="723" t="s">
        <v>2044</v>
      </c>
      <c r="L685" s="723">
        <v>1018424588</v>
      </c>
      <c r="M685" s="723" t="s">
        <v>3104</v>
      </c>
      <c r="N685" s="746"/>
      <c r="O685" s="746"/>
      <c r="P685" s="746"/>
      <c r="Q685" s="746"/>
      <c r="R685" s="521"/>
      <c r="S685" s="521"/>
    </row>
    <row r="686" spans="1:19">
      <c r="A686" s="721">
        <v>125</v>
      </c>
      <c r="B686" s="721">
        <v>20152195012</v>
      </c>
      <c r="C686" s="721" t="s">
        <v>3197</v>
      </c>
      <c r="D686" s="721">
        <v>195</v>
      </c>
      <c r="E686" s="721" t="s">
        <v>2832</v>
      </c>
      <c r="F686" s="721" t="s">
        <v>84</v>
      </c>
      <c r="G686" s="721" t="s">
        <v>2042</v>
      </c>
      <c r="H686" s="721" t="s">
        <v>2043</v>
      </c>
      <c r="I686" s="721" t="s">
        <v>3198</v>
      </c>
      <c r="J686" s="721" t="s">
        <v>3199</v>
      </c>
      <c r="K686" s="721" t="s">
        <v>2044</v>
      </c>
      <c r="L686" s="721">
        <v>80843494</v>
      </c>
      <c r="M686" s="721" t="s">
        <v>3104</v>
      </c>
      <c r="N686" s="746"/>
      <c r="O686" s="746"/>
      <c r="P686" s="746"/>
      <c r="Q686" s="746"/>
      <c r="R686" s="521"/>
      <c r="S686" s="521"/>
    </row>
    <row r="687" spans="1:19">
      <c r="A687" s="723">
        <v>126</v>
      </c>
      <c r="B687" s="723">
        <v>20152195013</v>
      </c>
      <c r="C687" s="723" t="s">
        <v>3200</v>
      </c>
      <c r="D687" s="723">
        <v>195</v>
      </c>
      <c r="E687" s="723" t="s">
        <v>2832</v>
      </c>
      <c r="F687" s="723" t="s">
        <v>84</v>
      </c>
      <c r="G687" s="723" t="s">
        <v>2042</v>
      </c>
      <c r="H687" s="723" t="s">
        <v>2043</v>
      </c>
      <c r="I687" s="723"/>
      <c r="J687" s="723" t="s">
        <v>3201</v>
      </c>
      <c r="K687" s="723" t="s">
        <v>2044</v>
      </c>
      <c r="L687" s="723">
        <v>1026268779</v>
      </c>
      <c r="M687" s="723" t="s">
        <v>3202</v>
      </c>
      <c r="N687" s="746"/>
      <c r="O687" s="746"/>
      <c r="P687" s="746"/>
      <c r="Q687" s="746"/>
      <c r="R687" s="521"/>
      <c r="S687" s="521"/>
    </row>
    <row r="688" spans="1:19">
      <c r="A688" s="721">
        <v>127</v>
      </c>
      <c r="B688" s="721">
        <v>20152195014</v>
      </c>
      <c r="C688" s="721" t="s">
        <v>3203</v>
      </c>
      <c r="D688" s="721">
        <v>195</v>
      </c>
      <c r="E688" s="721" t="s">
        <v>2832</v>
      </c>
      <c r="F688" s="721" t="s">
        <v>84</v>
      </c>
      <c r="G688" s="721" t="s">
        <v>2042</v>
      </c>
      <c r="H688" s="721" t="s">
        <v>2043</v>
      </c>
      <c r="I688" s="721" t="s">
        <v>3204</v>
      </c>
      <c r="J688" s="721" t="s">
        <v>3205</v>
      </c>
      <c r="K688" s="721" t="s">
        <v>2044</v>
      </c>
      <c r="L688" s="721">
        <v>52779302</v>
      </c>
      <c r="M688" s="721" t="s">
        <v>3139</v>
      </c>
      <c r="N688" s="746"/>
      <c r="O688" s="746"/>
      <c r="P688" s="746"/>
      <c r="Q688" s="746"/>
      <c r="R688" s="521"/>
      <c r="S688" s="521"/>
    </row>
    <row r="689" spans="1:19">
      <c r="A689" s="723">
        <v>128</v>
      </c>
      <c r="B689" s="723">
        <v>20152195015</v>
      </c>
      <c r="C689" s="723" t="s">
        <v>3206</v>
      </c>
      <c r="D689" s="723">
        <v>195</v>
      </c>
      <c r="E689" s="723" t="s">
        <v>2832</v>
      </c>
      <c r="F689" s="723" t="s">
        <v>84</v>
      </c>
      <c r="G689" s="723" t="s">
        <v>2042</v>
      </c>
      <c r="H689" s="723">
        <v>3</v>
      </c>
      <c r="I689" s="723"/>
      <c r="J689" s="723" t="s">
        <v>3207</v>
      </c>
      <c r="K689" s="723" t="s">
        <v>2044</v>
      </c>
      <c r="L689" s="723">
        <v>1032431630</v>
      </c>
      <c r="M689" s="723" t="s">
        <v>3180</v>
      </c>
      <c r="N689" s="746"/>
      <c r="O689" s="746"/>
      <c r="P689" s="746"/>
      <c r="Q689" s="746"/>
      <c r="R689" s="521"/>
      <c r="S689" s="521"/>
    </row>
    <row r="690" spans="1:19">
      <c r="A690" s="721">
        <v>129</v>
      </c>
      <c r="B690" s="721">
        <v>20152195016</v>
      </c>
      <c r="C690" s="721" t="s">
        <v>3208</v>
      </c>
      <c r="D690" s="721">
        <v>195</v>
      </c>
      <c r="E690" s="721" t="s">
        <v>2832</v>
      </c>
      <c r="F690" s="721" t="s">
        <v>84</v>
      </c>
      <c r="G690" s="721" t="s">
        <v>2042</v>
      </c>
      <c r="H690" s="721">
        <v>3</v>
      </c>
      <c r="I690" s="721"/>
      <c r="J690" s="721" t="s">
        <v>3209</v>
      </c>
      <c r="K690" s="721" t="s">
        <v>2044</v>
      </c>
      <c r="L690" s="721">
        <v>1032432662</v>
      </c>
      <c r="M690" s="721" t="s">
        <v>3145</v>
      </c>
      <c r="N690" s="746"/>
      <c r="O690" s="746"/>
      <c r="P690" s="746"/>
      <c r="Q690" s="746"/>
      <c r="R690" s="521"/>
      <c r="S690" s="521"/>
    </row>
    <row r="691" spans="1:19">
      <c r="A691" s="723">
        <v>130</v>
      </c>
      <c r="B691" s="723">
        <v>20152195019</v>
      </c>
      <c r="C691" s="723" t="s">
        <v>3210</v>
      </c>
      <c r="D691" s="723">
        <v>195</v>
      </c>
      <c r="E691" s="723" t="s">
        <v>2832</v>
      </c>
      <c r="F691" s="723" t="s">
        <v>84</v>
      </c>
      <c r="G691" s="723" t="s">
        <v>2042</v>
      </c>
      <c r="H691" s="723" t="s">
        <v>2043</v>
      </c>
      <c r="I691" s="723"/>
      <c r="J691" s="723" t="s">
        <v>3211</v>
      </c>
      <c r="K691" s="723" t="s">
        <v>2044</v>
      </c>
      <c r="L691" s="723">
        <v>1018451803</v>
      </c>
      <c r="M691" s="723" t="s">
        <v>3139</v>
      </c>
      <c r="N691" s="746"/>
      <c r="O691" s="746"/>
      <c r="P691" s="746"/>
      <c r="Q691" s="746"/>
      <c r="R691" s="521"/>
      <c r="S691" s="521"/>
    </row>
    <row r="692" spans="1:19">
      <c r="A692" s="721">
        <v>131</v>
      </c>
      <c r="B692" s="721">
        <v>20152195020</v>
      </c>
      <c r="C692" s="721" t="s">
        <v>3212</v>
      </c>
      <c r="D692" s="721">
        <v>195</v>
      </c>
      <c r="E692" s="721" t="s">
        <v>2832</v>
      </c>
      <c r="F692" s="721" t="s">
        <v>84</v>
      </c>
      <c r="G692" s="721" t="s">
        <v>2042</v>
      </c>
      <c r="H692" s="721" t="s">
        <v>2043</v>
      </c>
      <c r="I692" s="721" t="s">
        <v>3213</v>
      </c>
      <c r="J692" s="721" t="s">
        <v>3214</v>
      </c>
      <c r="K692" s="721" t="s">
        <v>2044</v>
      </c>
      <c r="L692" s="721">
        <v>1010175143</v>
      </c>
      <c r="M692" s="721" t="s">
        <v>3139</v>
      </c>
      <c r="N692" s="746"/>
      <c r="O692" s="746"/>
      <c r="P692" s="746"/>
      <c r="Q692" s="746"/>
      <c r="R692" s="521"/>
      <c r="S692" s="521"/>
    </row>
    <row r="693" spans="1:19">
      <c r="A693" s="723">
        <v>132</v>
      </c>
      <c r="B693" s="723">
        <v>20152195021</v>
      </c>
      <c r="C693" s="723" t="s">
        <v>3215</v>
      </c>
      <c r="D693" s="723">
        <v>195</v>
      </c>
      <c r="E693" s="723" t="s">
        <v>2832</v>
      </c>
      <c r="F693" s="723" t="s">
        <v>84</v>
      </c>
      <c r="G693" s="723" t="s">
        <v>2042</v>
      </c>
      <c r="H693" s="723">
        <v>3</v>
      </c>
      <c r="I693" s="723" t="s">
        <v>3216</v>
      </c>
      <c r="J693" s="723" t="s">
        <v>3217</v>
      </c>
      <c r="K693" s="723" t="s">
        <v>2044</v>
      </c>
      <c r="L693" s="723">
        <v>1030584421</v>
      </c>
      <c r="M693" s="723" t="s">
        <v>3139</v>
      </c>
      <c r="N693" s="746"/>
      <c r="O693" s="746"/>
      <c r="P693" s="746"/>
      <c r="Q693" s="746"/>
      <c r="R693" s="521"/>
      <c r="S693" s="521"/>
    </row>
    <row r="694" spans="1:19">
      <c r="A694" s="721">
        <v>133</v>
      </c>
      <c r="B694" s="721">
        <v>20152195026</v>
      </c>
      <c r="C694" s="721" t="s">
        <v>3218</v>
      </c>
      <c r="D694" s="721">
        <v>195</v>
      </c>
      <c r="E694" s="721" t="s">
        <v>2832</v>
      </c>
      <c r="F694" s="721" t="s">
        <v>84</v>
      </c>
      <c r="G694" s="721" t="s">
        <v>2042</v>
      </c>
      <c r="H694" s="721" t="s">
        <v>2043</v>
      </c>
      <c r="I694" s="721" t="s">
        <v>3219</v>
      </c>
      <c r="J694" s="721" t="s">
        <v>3220</v>
      </c>
      <c r="K694" s="721" t="s">
        <v>2044</v>
      </c>
      <c r="L694" s="721">
        <v>1075650800</v>
      </c>
      <c r="M694" s="721" t="s">
        <v>3104</v>
      </c>
      <c r="N694" s="746"/>
      <c r="O694" s="746"/>
      <c r="P694" s="746"/>
      <c r="Q694" s="746"/>
      <c r="R694" s="521"/>
      <c r="S694" s="521"/>
    </row>
    <row r="695" spans="1:19">
      <c r="A695" s="723">
        <v>134</v>
      </c>
      <c r="B695" s="723">
        <v>20161195001</v>
      </c>
      <c r="C695" s="723" t="s">
        <v>3221</v>
      </c>
      <c r="D695" s="723">
        <v>195</v>
      </c>
      <c r="E695" s="723" t="s">
        <v>2832</v>
      </c>
      <c r="F695" s="723" t="s">
        <v>84</v>
      </c>
      <c r="G695" s="723" t="s">
        <v>2042</v>
      </c>
      <c r="H695" s="723" t="s">
        <v>2043</v>
      </c>
      <c r="I695" s="723" t="s">
        <v>3222</v>
      </c>
      <c r="J695" s="723" t="s">
        <v>3223</v>
      </c>
      <c r="K695" s="723" t="s">
        <v>2044</v>
      </c>
      <c r="L695" s="723">
        <v>1016015011</v>
      </c>
      <c r="M695" s="723" t="s">
        <v>3202</v>
      </c>
      <c r="N695" s="746"/>
      <c r="O695" s="746"/>
      <c r="P695" s="746"/>
      <c r="Q695" s="746"/>
      <c r="R695" s="521"/>
      <c r="S695" s="521"/>
    </row>
    <row r="696" spans="1:19">
      <c r="A696" s="721">
        <v>135</v>
      </c>
      <c r="B696" s="721">
        <v>20161195002</v>
      </c>
      <c r="C696" s="721" t="s">
        <v>3224</v>
      </c>
      <c r="D696" s="721">
        <v>195</v>
      </c>
      <c r="E696" s="721" t="s">
        <v>2832</v>
      </c>
      <c r="F696" s="721" t="s">
        <v>84</v>
      </c>
      <c r="G696" s="721" t="s">
        <v>2042</v>
      </c>
      <c r="H696" s="721">
        <v>3</v>
      </c>
      <c r="I696" s="721" t="s">
        <v>3225</v>
      </c>
      <c r="J696" s="721" t="s">
        <v>3226</v>
      </c>
      <c r="K696" s="721" t="s">
        <v>2044</v>
      </c>
      <c r="L696" s="721">
        <v>80215759</v>
      </c>
      <c r="M696" s="721" t="s">
        <v>2543</v>
      </c>
      <c r="N696" s="746"/>
      <c r="O696" s="746"/>
      <c r="P696" s="746"/>
      <c r="Q696" s="746"/>
      <c r="R696" s="521"/>
      <c r="S696" s="521"/>
    </row>
    <row r="697" spans="1:19">
      <c r="A697" s="723">
        <v>136</v>
      </c>
      <c r="B697" s="723">
        <v>20161195003</v>
      </c>
      <c r="C697" s="723" t="s">
        <v>3227</v>
      </c>
      <c r="D697" s="723">
        <v>195</v>
      </c>
      <c r="E697" s="723" t="s">
        <v>2832</v>
      </c>
      <c r="F697" s="723" t="s">
        <v>84</v>
      </c>
      <c r="G697" s="723" t="s">
        <v>2042</v>
      </c>
      <c r="H697" s="723">
        <v>2</v>
      </c>
      <c r="I697" s="723" t="s">
        <v>3228</v>
      </c>
      <c r="J697" s="723" t="s">
        <v>3229</v>
      </c>
      <c r="K697" s="723" t="s">
        <v>2044</v>
      </c>
      <c r="L697" s="723">
        <v>1067906153</v>
      </c>
      <c r="M697" s="723" t="s">
        <v>2543</v>
      </c>
      <c r="N697" s="746"/>
      <c r="O697" s="746"/>
      <c r="P697" s="746"/>
      <c r="Q697" s="746"/>
      <c r="R697" s="521"/>
      <c r="S697" s="521"/>
    </row>
    <row r="698" spans="1:19">
      <c r="A698" s="721">
        <v>137</v>
      </c>
      <c r="B698" s="721">
        <v>20161195005</v>
      </c>
      <c r="C698" s="721" t="s">
        <v>3230</v>
      </c>
      <c r="D698" s="721">
        <v>195</v>
      </c>
      <c r="E698" s="721" t="s">
        <v>2832</v>
      </c>
      <c r="F698" s="721" t="s">
        <v>84</v>
      </c>
      <c r="G698" s="721" t="s">
        <v>2042</v>
      </c>
      <c r="H698" s="721">
        <v>2</v>
      </c>
      <c r="I698" s="721"/>
      <c r="J698" s="721" t="s">
        <v>3231</v>
      </c>
      <c r="K698" s="721" t="s">
        <v>2044</v>
      </c>
      <c r="L698" s="721">
        <v>1018436623</v>
      </c>
      <c r="M698" s="721" t="s">
        <v>1237</v>
      </c>
      <c r="N698" s="746"/>
      <c r="O698" s="746"/>
      <c r="P698" s="746"/>
      <c r="Q698" s="746"/>
      <c r="R698" s="521"/>
      <c r="S698" s="521"/>
    </row>
    <row r="699" spans="1:19">
      <c r="A699" s="723">
        <v>138</v>
      </c>
      <c r="B699" s="723">
        <v>20161195008</v>
      </c>
      <c r="C699" s="723" t="s">
        <v>3232</v>
      </c>
      <c r="D699" s="723">
        <v>195</v>
      </c>
      <c r="E699" s="723" t="s">
        <v>2832</v>
      </c>
      <c r="F699" s="723" t="s">
        <v>84</v>
      </c>
      <c r="G699" s="723" t="s">
        <v>2042</v>
      </c>
      <c r="H699" s="723">
        <v>3</v>
      </c>
      <c r="I699" s="723" t="s">
        <v>3233</v>
      </c>
      <c r="J699" s="723" t="s">
        <v>3234</v>
      </c>
      <c r="K699" s="723" t="s">
        <v>2044</v>
      </c>
      <c r="L699" s="723">
        <v>1049612843</v>
      </c>
      <c r="M699" s="723" t="s">
        <v>3145</v>
      </c>
      <c r="N699" s="746"/>
      <c r="O699" s="746"/>
      <c r="P699" s="746"/>
      <c r="Q699" s="746"/>
      <c r="R699" s="521"/>
      <c r="S699" s="521"/>
    </row>
    <row r="700" spans="1:19">
      <c r="A700" s="721">
        <v>139</v>
      </c>
      <c r="B700" s="721">
        <v>20161195009</v>
      </c>
      <c r="C700" s="721" t="s">
        <v>3235</v>
      </c>
      <c r="D700" s="721">
        <v>195</v>
      </c>
      <c r="E700" s="721" t="s">
        <v>2832</v>
      </c>
      <c r="F700" s="721" t="s">
        <v>84</v>
      </c>
      <c r="G700" s="721" t="s">
        <v>2042</v>
      </c>
      <c r="H700" s="721">
        <v>4</v>
      </c>
      <c r="I700" s="721" t="s">
        <v>3236</v>
      </c>
      <c r="J700" s="721" t="s">
        <v>3237</v>
      </c>
      <c r="K700" s="721" t="s">
        <v>2044</v>
      </c>
      <c r="L700" s="721">
        <v>79049409</v>
      </c>
      <c r="M700" s="721" t="s">
        <v>3155</v>
      </c>
      <c r="N700" s="746"/>
      <c r="O700" s="746"/>
      <c r="P700" s="746"/>
      <c r="Q700" s="746"/>
      <c r="R700" s="521"/>
      <c r="S700" s="521"/>
    </row>
    <row r="701" spans="1:19">
      <c r="A701" s="723">
        <v>140</v>
      </c>
      <c r="B701" s="723">
        <v>20161195013</v>
      </c>
      <c r="C701" s="723" t="s">
        <v>3238</v>
      </c>
      <c r="D701" s="723">
        <v>195</v>
      </c>
      <c r="E701" s="723" t="s">
        <v>2832</v>
      </c>
      <c r="F701" s="723" t="s">
        <v>84</v>
      </c>
      <c r="G701" s="723" t="s">
        <v>2042</v>
      </c>
      <c r="H701" s="723">
        <v>1</v>
      </c>
      <c r="I701" s="723" t="s">
        <v>3239</v>
      </c>
      <c r="J701" s="723" t="s">
        <v>3239</v>
      </c>
      <c r="K701" s="723" t="s">
        <v>2044</v>
      </c>
      <c r="L701" s="723">
        <v>80865137</v>
      </c>
      <c r="M701" s="723" t="s">
        <v>1348</v>
      </c>
      <c r="N701" s="746"/>
      <c r="O701" s="746"/>
      <c r="P701" s="746"/>
      <c r="Q701" s="746"/>
      <c r="R701" s="521"/>
      <c r="S701" s="521"/>
    </row>
    <row r="702" spans="1:19">
      <c r="A702" s="721">
        <v>141</v>
      </c>
      <c r="B702" s="721">
        <v>20161195015</v>
      </c>
      <c r="C702" s="721" t="s">
        <v>3240</v>
      </c>
      <c r="D702" s="721">
        <v>195</v>
      </c>
      <c r="E702" s="721" t="s">
        <v>2832</v>
      </c>
      <c r="F702" s="721" t="s">
        <v>84</v>
      </c>
      <c r="G702" s="721" t="s">
        <v>2042</v>
      </c>
      <c r="H702" s="721">
        <v>1</v>
      </c>
      <c r="I702" s="721" t="s">
        <v>3241</v>
      </c>
      <c r="J702" s="721" t="s">
        <v>3242</v>
      </c>
      <c r="K702" s="721" t="s">
        <v>2044</v>
      </c>
      <c r="L702" s="721">
        <v>14013612</v>
      </c>
      <c r="M702" s="721" t="s">
        <v>2543</v>
      </c>
      <c r="N702" s="746"/>
      <c r="O702" s="746"/>
      <c r="P702" s="746"/>
      <c r="Q702" s="746"/>
      <c r="R702" s="521"/>
      <c r="S702" s="521"/>
    </row>
    <row r="703" spans="1:19">
      <c r="A703" s="723">
        <v>142</v>
      </c>
      <c r="B703" s="723">
        <v>20162195003</v>
      </c>
      <c r="C703" s="723" t="s">
        <v>3243</v>
      </c>
      <c r="D703" s="723">
        <v>195</v>
      </c>
      <c r="E703" s="723" t="s">
        <v>2832</v>
      </c>
      <c r="F703" s="723" t="s">
        <v>84</v>
      </c>
      <c r="G703" s="723" t="s">
        <v>2042</v>
      </c>
      <c r="H703" s="723">
        <v>1</v>
      </c>
      <c r="I703" s="723" t="s">
        <v>3244</v>
      </c>
      <c r="J703" s="723" t="s">
        <v>3245</v>
      </c>
      <c r="K703" s="723" t="s">
        <v>2044</v>
      </c>
      <c r="L703" s="723">
        <v>11255923</v>
      </c>
      <c r="M703" s="723" t="s">
        <v>1334</v>
      </c>
      <c r="N703" s="746"/>
      <c r="O703" s="746"/>
      <c r="P703" s="746"/>
      <c r="Q703" s="746"/>
      <c r="R703" s="521"/>
      <c r="S703" s="521"/>
    </row>
    <row r="704" spans="1:19">
      <c r="A704" s="721">
        <v>143</v>
      </c>
      <c r="B704" s="721">
        <v>20162195004</v>
      </c>
      <c r="C704" s="721" t="s">
        <v>3246</v>
      </c>
      <c r="D704" s="721">
        <v>195</v>
      </c>
      <c r="E704" s="721" t="s">
        <v>2832</v>
      </c>
      <c r="F704" s="721" t="s">
        <v>84</v>
      </c>
      <c r="G704" s="721" t="s">
        <v>2042</v>
      </c>
      <c r="H704" s="721">
        <v>3</v>
      </c>
      <c r="I704" s="721" t="s">
        <v>3247</v>
      </c>
      <c r="J704" s="721" t="s">
        <v>3248</v>
      </c>
      <c r="K704" s="721" t="s">
        <v>2044</v>
      </c>
      <c r="L704" s="721">
        <v>79578336</v>
      </c>
      <c r="M704" s="721" t="s">
        <v>1223</v>
      </c>
      <c r="N704" s="746"/>
      <c r="O704" s="746"/>
      <c r="P704" s="746"/>
      <c r="Q704" s="746"/>
      <c r="R704" s="521"/>
      <c r="S704" s="521"/>
    </row>
    <row r="705" spans="1:19">
      <c r="A705" s="723">
        <v>144</v>
      </c>
      <c r="B705" s="723">
        <v>20162195006</v>
      </c>
      <c r="C705" s="723" t="s">
        <v>3249</v>
      </c>
      <c r="D705" s="723">
        <v>195</v>
      </c>
      <c r="E705" s="723" t="s">
        <v>2832</v>
      </c>
      <c r="F705" s="723" t="s">
        <v>84</v>
      </c>
      <c r="G705" s="723" t="s">
        <v>2042</v>
      </c>
      <c r="H705" s="723">
        <v>4</v>
      </c>
      <c r="I705" s="723" t="s">
        <v>3250</v>
      </c>
      <c r="J705" s="723" t="s">
        <v>3251</v>
      </c>
      <c r="K705" s="723" t="s">
        <v>2044</v>
      </c>
      <c r="L705" s="723">
        <v>79531717</v>
      </c>
      <c r="M705" s="723" t="s">
        <v>3180</v>
      </c>
      <c r="N705" s="746"/>
      <c r="O705" s="746"/>
      <c r="P705" s="746"/>
      <c r="Q705" s="746"/>
      <c r="R705" s="521"/>
      <c r="S705" s="521"/>
    </row>
    <row r="706" spans="1:19">
      <c r="A706" s="721">
        <v>145</v>
      </c>
      <c r="B706" s="721">
        <v>20162195007</v>
      </c>
      <c r="C706" s="721" t="s">
        <v>3252</v>
      </c>
      <c r="D706" s="721">
        <v>195</v>
      </c>
      <c r="E706" s="721" t="s">
        <v>2832</v>
      </c>
      <c r="F706" s="721" t="s">
        <v>84</v>
      </c>
      <c r="G706" s="721" t="s">
        <v>2042</v>
      </c>
      <c r="H706" s="721" t="s">
        <v>2043</v>
      </c>
      <c r="I706" s="721" t="s">
        <v>3253</v>
      </c>
      <c r="J706" s="721" t="s">
        <v>3254</v>
      </c>
      <c r="K706" s="721" t="s">
        <v>2044</v>
      </c>
      <c r="L706" s="721">
        <v>1014199332</v>
      </c>
      <c r="M706" s="721" t="s">
        <v>3139</v>
      </c>
      <c r="N706" s="746"/>
      <c r="O706" s="746"/>
      <c r="P706" s="746"/>
      <c r="Q706" s="746"/>
      <c r="R706" s="521"/>
      <c r="S706" s="521"/>
    </row>
    <row r="707" spans="1:19">
      <c r="A707" s="723">
        <v>146</v>
      </c>
      <c r="B707" s="723">
        <v>20162195008</v>
      </c>
      <c r="C707" s="723" t="s">
        <v>3255</v>
      </c>
      <c r="D707" s="723">
        <v>195</v>
      </c>
      <c r="E707" s="723" t="s">
        <v>2832</v>
      </c>
      <c r="F707" s="723" t="s">
        <v>84</v>
      </c>
      <c r="G707" s="723" t="s">
        <v>2042</v>
      </c>
      <c r="H707" s="723">
        <v>1</v>
      </c>
      <c r="I707" s="723" t="s">
        <v>3256</v>
      </c>
      <c r="J707" s="723" t="s">
        <v>3257</v>
      </c>
      <c r="K707" s="723" t="s">
        <v>2044</v>
      </c>
      <c r="L707" s="723">
        <v>79797927</v>
      </c>
      <c r="M707" s="723" t="s">
        <v>2936</v>
      </c>
      <c r="N707" s="746"/>
      <c r="O707" s="746"/>
      <c r="P707" s="746"/>
      <c r="Q707" s="746"/>
      <c r="R707" s="521"/>
      <c r="S707" s="521"/>
    </row>
    <row r="708" spans="1:19">
      <c r="A708" s="721">
        <v>147</v>
      </c>
      <c r="B708" s="721">
        <v>20162195010</v>
      </c>
      <c r="C708" s="721" t="s">
        <v>3258</v>
      </c>
      <c r="D708" s="721">
        <v>195</v>
      </c>
      <c r="E708" s="721" t="s">
        <v>2832</v>
      </c>
      <c r="F708" s="721" t="s">
        <v>84</v>
      </c>
      <c r="G708" s="721" t="s">
        <v>2042</v>
      </c>
      <c r="H708" s="721">
        <v>2</v>
      </c>
      <c r="I708" s="721"/>
      <c r="J708" s="721" t="s">
        <v>3259</v>
      </c>
      <c r="K708" s="721" t="s">
        <v>2044</v>
      </c>
      <c r="L708" s="721">
        <v>1072640773</v>
      </c>
      <c r="M708" s="721" t="s">
        <v>1223</v>
      </c>
      <c r="N708" s="746"/>
      <c r="O708" s="746"/>
      <c r="P708" s="746"/>
      <c r="Q708" s="746"/>
      <c r="R708" s="521"/>
      <c r="S708" s="521"/>
    </row>
    <row r="709" spans="1:19">
      <c r="A709" s="723">
        <v>148</v>
      </c>
      <c r="B709" s="723">
        <v>20171195001</v>
      </c>
      <c r="C709" s="723" t="s">
        <v>3260</v>
      </c>
      <c r="D709" s="723">
        <v>195</v>
      </c>
      <c r="E709" s="723" t="s">
        <v>2832</v>
      </c>
      <c r="F709" s="723" t="s">
        <v>84</v>
      </c>
      <c r="G709" s="723" t="s">
        <v>2042</v>
      </c>
      <c r="H709" s="723">
        <v>4</v>
      </c>
      <c r="I709" s="723" t="s">
        <v>3261</v>
      </c>
      <c r="J709" s="723" t="s">
        <v>3262</v>
      </c>
      <c r="K709" s="723" t="s">
        <v>2044</v>
      </c>
      <c r="L709" s="723">
        <v>79956049</v>
      </c>
      <c r="M709" s="723" t="s">
        <v>1348</v>
      </c>
      <c r="N709" s="746"/>
      <c r="O709" s="746"/>
      <c r="P709" s="746"/>
      <c r="Q709" s="746"/>
      <c r="R709" s="521"/>
      <c r="S709" s="521"/>
    </row>
    <row r="710" spans="1:19">
      <c r="A710" s="721">
        <v>149</v>
      </c>
      <c r="B710" s="721">
        <v>20171195004</v>
      </c>
      <c r="C710" s="721" t="s">
        <v>3263</v>
      </c>
      <c r="D710" s="721">
        <v>195</v>
      </c>
      <c r="E710" s="721" t="s">
        <v>2832</v>
      </c>
      <c r="F710" s="721" t="s">
        <v>84</v>
      </c>
      <c r="G710" s="721" t="s">
        <v>2042</v>
      </c>
      <c r="H710" s="721">
        <v>3</v>
      </c>
      <c r="I710" s="721" t="s">
        <v>3264</v>
      </c>
      <c r="J710" s="721" t="s">
        <v>3265</v>
      </c>
      <c r="K710" s="721" t="s">
        <v>2044</v>
      </c>
      <c r="L710" s="721">
        <v>1033712950</v>
      </c>
      <c r="M710" s="721" t="s">
        <v>3180</v>
      </c>
      <c r="N710" s="746"/>
      <c r="O710" s="746"/>
      <c r="P710" s="746"/>
      <c r="Q710" s="746"/>
      <c r="R710" s="521"/>
      <c r="S710" s="521"/>
    </row>
    <row r="711" spans="1:19">
      <c r="A711" s="723">
        <v>150</v>
      </c>
      <c r="B711" s="723">
        <v>20171195006</v>
      </c>
      <c r="C711" s="723" t="s">
        <v>3266</v>
      </c>
      <c r="D711" s="723">
        <v>195</v>
      </c>
      <c r="E711" s="723" t="s">
        <v>2832</v>
      </c>
      <c r="F711" s="723" t="s">
        <v>84</v>
      </c>
      <c r="G711" s="723" t="s">
        <v>2042</v>
      </c>
      <c r="H711" s="723">
        <v>3</v>
      </c>
      <c r="I711" s="723" t="s">
        <v>3267</v>
      </c>
      <c r="J711" s="723" t="s">
        <v>3268</v>
      </c>
      <c r="K711" s="723" t="s">
        <v>2044</v>
      </c>
      <c r="L711" s="723">
        <v>1026251289</v>
      </c>
      <c r="M711" s="723" t="s">
        <v>3269</v>
      </c>
      <c r="N711" s="746"/>
      <c r="O711" s="746"/>
      <c r="P711" s="746"/>
      <c r="Q711" s="746"/>
      <c r="R711" s="521"/>
      <c r="S711" s="521"/>
    </row>
    <row r="712" spans="1:19">
      <c r="A712" s="721">
        <v>151</v>
      </c>
      <c r="B712" s="721">
        <v>20172195005</v>
      </c>
      <c r="C712" s="721" t="s">
        <v>3270</v>
      </c>
      <c r="D712" s="721">
        <v>195</v>
      </c>
      <c r="E712" s="721" t="s">
        <v>2832</v>
      </c>
      <c r="F712" s="721" t="s">
        <v>84</v>
      </c>
      <c r="G712" s="721" t="s">
        <v>2042</v>
      </c>
      <c r="H712" s="721">
        <v>2</v>
      </c>
      <c r="I712" s="721" t="s">
        <v>3271</v>
      </c>
      <c r="J712" s="721" t="s">
        <v>3272</v>
      </c>
      <c r="K712" s="721" t="s">
        <v>2044</v>
      </c>
      <c r="L712" s="721">
        <v>80007028</v>
      </c>
      <c r="M712" s="721" t="s">
        <v>2936</v>
      </c>
      <c r="N712" s="746"/>
      <c r="O712" s="746"/>
      <c r="P712" s="746"/>
      <c r="Q712" s="746"/>
      <c r="R712" s="521"/>
      <c r="S712" s="521"/>
    </row>
    <row r="713" spans="1:19">
      <c r="A713" s="723">
        <v>152</v>
      </c>
      <c r="B713" s="723">
        <v>20172195007</v>
      </c>
      <c r="C713" s="723" t="s">
        <v>3273</v>
      </c>
      <c r="D713" s="723">
        <v>195</v>
      </c>
      <c r="E713" s="723" t="s">
        <v>2832</v>
      </c>
      <c r="F713" s="723" t="s">
        <v>84</v>
      </c>
      <c r="G713" s="723" t="s">
        <v>2042</v>
      </c>
      <c r="H713" s="723">
        <v>1</v>
      </c>
      <c r="I713" s="723" t="s">
        <v>3274</v>
      </c>
      <c r="J713" s="723" t="s">
        <v>3275</v>
      </c>
      <c r="K713" s="723" t="s">
        <v>2044</v>
      </c>
      <c r="L713" s="723">
        <v>1143355214</v>
      </c>
      <c r="M713" s="723" t="s">
        <v>2936</v>
      </c>
      <c r="N713" s="746"/>
      <c r="O713" s="746"/>
      <c r="P713" s="746"/>
      <c r="Q713" s="746"/>
      <c r="R713" s="521"/>
      <c r="S713" s="521"/>
    </row>
    <row r="714" spans="1:19">
      <c r="A714" s="721">
        <v>153</v>
      </c>
      <c r="B714" s="721">
        <v>20172195014</v>
      </c>
      <c r="C714" s="721" t="s">
        <v>3276</v>
      </c>
      <c r="D714" s="721">
        <v>195</v>
      </c>
      <c r="E714" s="721" t="s">
        <v>2832</v>
      </c>
      <c r="F714" s="721" t="s">
        <v>84</v>
      </c>
      <c r="G714" s="721" t="s">
        <v>2042</v>
      </c>
      <c r="H714" s="721">
        <v>5</v>
      </c>
      <c r="I714" s="721" t="s">
        <v>3277</v>
      </c>
      <c r="J714" s="721" t="s">
        <v>3278</v>
      </c>
      <c r="K714" s="721" t="s">
        <v>2044</v>
      </c>
      <c r="L714" s="721">
        <v>1032358776</v>
      </c>
      <c r="M714" s="721" t="s">
        <v>3279</v>
      </c>
      <c r="N714" s="746"/>
      <c r="O714" s="746"/>
      <c r="P714" s="746"/>
      <c r="Q714" s="746"/>
      <c r="R714" s="521"/>
      <c r="S714" s="521"/>
    </row>
    <row r="715" spans="1:19">
      <c r="A715" s="723">
        <v>154</v>
      </c>
      <c r="B715" s="723">
        <v>20181195002</v>
      </c>
      <c r="C715" s="723" t="s">
        <v>3280</v>
      </c>
      <c r="D715" s="723">
        <v>195</v>
      </c>
      <c r="E715" s="723" t="s">
        <v>2832</v>
      </c>
      <c r="F715" s="723" t="s">
        <v>84</v>
      </c>
      <c r="G715" s="723" t="s">
        <v>2042</v>
      </c>
      <c r="H715" s="723">
        <v>3</v>
      </c>
      <c r="I715" s="723"/>
      <c r="J715" s="723" t="s">
        <v>3281</v>
      </c>
      <c r="K715" s="723" t="s">
        <v>2044</v>
      </c>
      <c r="L715" s="723">
        <v>1022374793</v>
      </c>
      <c r="M715" s="723" t="s">
        <v>2936</v>
      </c>
      <c r="N715" s="746"/>
      <c r="O715" s="746"/>
      <c r="P715" s="746"/>
      <c r="Q715" s="746"/>
      <c r="R715" s="521"/>
      <c r="S715" s="521"/>
    </row>
    <row r="716" spans="1:19">
      <c r="A716" s="721">
        <v>155</v>
      </c>
      <c r="B716" s="721">
        <v>20181195003</v>
      </c>
      <c r="C716" s="721" t="s">
        <v>3282</v>
      </c>
      <c r="D716" s="721">
        <v>195</v>
      </c>
      <c r="E716" s="721" t="s">
        <v>2832</v>
      </c>
      <c r="F716" s="721" t="s">
        <v>84</v>
      </c>
      <c r="G716" s="721" t="s">
        <v>2042</v>
      </c>
      <c r="H716" s="721">
        <v>4</v>
      </c>
      <c r="I716" s="721" t="s">
        <v>3283</v>
      </c>
      <c r="J716" s="721" t="s">
        <v>3284</v>
      </c>
      <c r="K716" s="721" t="s">
        <v>2044</v>
      </c>
      <c r="L716" s="721">
        <v>79907126</v>
      </c>
      <c r="M716" s="721" t="s">
        <v>1334</v>
      </c>
      <c r="N716" s="746"/>
      <c r="O716" s="746"/>
      <c r="P716" s="746"/>
      <c r="Q716" s="746"/>
      <c r="R716" s="521"/>
      <c r="S716" s="521"/>
    </row>
    <row r="717" spans="1:19">
      <c r="A717" s="723">
        <v>156</v>
      </c>
      <c r="B717" s="723">
        <v>20181195007</v>
      </c>
      <c r="C717" s="723" t="s">
        <v>3285</v>
      </c>
      <c r="D717" s="723">
        <v>195</v>
      </c>
      <c r="E717" s="723" t="s">
        <v>2832</v>
      </c>
      <c r="F717" s="723" t="s">
        <v>84</v>
      </c>
      <c r="G717" s="723" t="s">
        <v>2042</v>
      </c>
      <c r="H717" s="723">
        <v>3</v>
      </c>
      <c r="I717" s="723"/>
      <c r="J717" s="723" t="s">
        <v>3286</v>
      </c>
      <c r="K717" s="723" t="s">
        <v>2044</v>
      </c>
      <c r="L717" s="723">
        <v>1030597409</v>
      </c>
      <c r="M717" s="723" t="s">
        <v>3269</v>
      </c>
      <c r="N717" s="746"/>
      <c r="O717" s="746"/>
      <c r="P717" s="746"/>
      <c r="Q717" s="746"/>
      <c r="R717" s="521"/>
      <c r="S717" s="521"/>
    </row>
    <row r="718" spans="1:19">
      <c r="A718" s="721">
        <v>157</v>
      </c>
      <c r="B718" s="721">
        <v>20181195008</v>
      </c>
      <c r="C718" s="721" t="s">
        <v>3287</v>
      </c>
      <c r="D718" s="721">
        <v>195</v>
      </c>
      <c r="E718" s="721" t="s">
        <v>2832</v>
      </c>
      <c r="F718" s="721" t="s">
        <v>84</v>
      </c>
      <c r="G718" s="721" t="s">
        <v>2042</v>
      </c>
      <c r="H718" s="721">
        <v>3</v>
      </c>
      <c r="I718" s="721" t="s">
        <v>3288</v>
      </c>
      <c r="J718" s="721" t="s">
        <v>3289</v>
      </c>
      <c r="K718" s="721" t="s">
        <v>2044</v>
      </c>
      <c r="L718" s="721">
        <v>1026284597</v>
      </c>
      <c r="M718" s="721" t="s">
        <v>3279</v>
      </c>
      <c r="N718" s="746"/>
      <c r="O718" s="746"/>
      <c r="P718" s="746"/>
      <c r="Q718" s="746"/>
      <c r="R718" s="521"/>
      <c r="S718" s="521"/>
    </row>
    <row r="719" spans="1:19">
      <c r="A719" s="723">
        <v>158</v>
      </c>
      <c r="B719" s="723">
        <v>20181195009</v>
      </c>
      <c r="C719" s="723" t="s">
        <v>3290</v>
      </c>
      <c r="D719" s="723">
        <v>195</v>
      </c>
      <c r="E719" s="723" t="s">
        <v>2832</v>
      </c>
      <c r="F719" s="723" t="s">
        <v>84</v>
      </c>
      <c r="G719" s="723" t="s">
        <v>2042</v>
      </c>
      <c r="H719" s="723">
        <v>1</v>
      </c>
      <c r="I719" s="723"/>
      <c r="J719" s="723" t="s">
        <v>3291</v>
      </c>
      <c r="K719" s="723" t="s">
        <v>2044</v>
      </c>
      <c r="L719" s="723">
        <v>1015443760</v>
      </c>
      <c r="M719" s="723" t="s">
        <v>2543</v>
      </c>
      <c r="N719" s="746"/>
      <c r="O719" s="746"/>
      <c r="P719" s="746"/>
      <c r="Q719" s="746"/>
      <c r="R719" s="521"/>
      <c r="S719" s="521"/>
    </row>
    <row r="720" spans="1:19">
      <c r="A720" s="721">
        <v>159</v>
      </c>
      <c r="B720" s="721">
        <v>20181195010</v>
      </c>
      <c r="C720" s="721" t="s">
        <v>3292</v>
      </c>
      <c r="D720" s="721">
        <v>195</v>
      </c>
      <c r="E720" s="721" t="s">
        <v>2832</v>
      </c>
      <c r="F720" s="721" t="s">
        <v>84</v>
      </c>
      <c r="G720" s="721" t="s">
        <v>2042</v>
      </c>
      <c r="H720" s="721">
        <v>2</v>
      </c>
      <c r="I720" s="721" t="s">
        <v>3293</v>
      </c>
      <c r="J720" s="721" t="s">
        <v>3294</v>
      </c>
      <c r="K720" s="721" t="s">
        <v>2044</v>
      </c>
      <c r="L720" s="721">
        <v>80205440</v>
      </c>
      <c r="M720" s="721" t="s">
        <v>3279</v>
      </c>
      <c r="N720" s="746"/>
      <c r="O720" s="746"/>
      <c r="P720" s="746"/>
      <c r="Q720" s="746"/>
      <c r="R720" s="521"/>
      <c r="S720" s="521"/>
    </row>
    <row r="721" spans="1:19">
      <c r="A721" s="723">
        <v>160</v>
      </c>
      <c r="B721" s="723">
        <v>20181195012</v>
      </c>
      <c r="C721" s="723" t="s">
        <v>3295</v>
      </c>
      <c r="D721" s="723">
        <v>195</v>
      </c>
      <c r="E721" s="723" t="s">
        <v>2832</v>
      </c>
      <c r="F721" s="723" t="s">
        <v>84</v>
      </c>
      <c r="G721" s="723" t="s">
        <v>2042</v>
      </c>
      <c r="H721" s="723">
        <v>3</v>
      </c>
      <c r="I721" s="723" t="s">
        <v>3296</v>
      </c>
      <c r="J721" s="723" t="s">
        <v>3297</v>
      </c>
      <c r="K721" s="723" t="s">
        <v>2044</v>
      </c>
      <c r="L721" s="723">
        <v>1110505909</v>
      </c>
      <c r="M721" s="723" t="s">
        <v>3155</v>
      </c>
      <c r="N721" s="746"/>
      <c r="O721" s="746"/>
      <c r="P721" s="746"/>
      <c r="Q721" s="746"/>
      <c r="R721" s="521"/>
      <c r="S721" s="521"/>
    </row>
    <row r="722" spans="1:19">
      <c r="A722" s="721">
        <v>161</v>
      </c>
      <c r="B722" s="721">
        <v>20181195013</v>
      </c>
      <c r="C722" s="721" t="s">
        <v>3298</v>
      </c>
      <c r="D722" s="721">
        <v>195</v>
      </c>
      <c r="E722" s="721" t="s">
        <v>2832</v>
      </c>
      <c r="F722" s="721" t="s">
        <v>84</v>
      </c>
      <c r="G722" s="721" t="s">
        <v>2042</v>
      </c>
      <c r="H722" s="721">
        <v>3</v>
      </c>
      <c r="I722" s="721" t="s">
        <v>3299</v>
      </c>
      <c r="J722" s="721" t="s">
        <v>3300</v>
      </c>
      <c r="K722" s="721" t="s">
        <v>2044</v>
      </c>
      <c r="L722" s="721">
        <v>1110505907</v>
      </c>
      <c r="M722" s="721" t="s">
        <v>3155</v>
      </c>
      <c r="N722" s="746"/>
      <c r="O722" s="746"/>
      <c r="P722" s="746"/>
      <c r="Q722" s="746"/>
      <c r="R722" s="521"/>
      <c r="S722" s="521"/>
    </row>
    <row r="723" spans="1:19">
      <c r="A723" s="723">
        <v>162</v>
      </c>
      <c r="B723" s="723">
        <v>20181395003</v>
      </c>
      <c r="C723" s="723" t="s">
        <v>3301</v>
      </c>
      <c r="D723" s="723">
        <v>195</v>
      </c>
      <c r="E723" s="723" t="s">
        <v>2832</v>
      </c>
      <c r="F723" s="723" t="s">
        <v>84</v>
      </c>
      <c r="G723" s="723" t="s">
        <v>2042</v>
      </c>
      <c r="H723" s="723" t="s">
        <v>2043</v>
      </c>
      <c r="I723" s="723" t="s">
        <v>3302</v>
      </c>
      <c r="J723" s="723" t="s">
        <v>3303</v>
      </c>
      <c r="K723" s="723" t="s">
        <v>2044</v>
      </c>
      <c r="L723" s="723">
        <v>1022386838</v>
      </c>
      <c r="M723" s="723" t="s">
        <v>2543</v>
      </c>
      <c r="N723" s="746"/>
      <c r="O723" s="746"/>
      <c r="P723" s="746"/>
      <c r="Q723" s="746"/>
      <c r="R723" s="521"/>
      <c r="S723" s="521"/>
    </row>
    <row r="724" spans="1:19">
      <c r="A724" s="721">
        <v>163</v>
      </c>
      <c r="B724" s="721">
        <v>20182195002</v>
      </c>
      <c r="C724" s="721" t="s">
        <v>3304</v>
      </c>
      <c r="D724" s="721">
        <v>195</v>
      </c>
      <c r="E724" s="721" t="s">
        <v>2832</v>
      </c>
      <c r="F724" s="721" t="s">
        <v>84</v>
      </c>
      <c r="G724" s="721" t="s">
        <v>2042</v>
      </c>
      <c r="H724" s="721">
        <v>3</v>
      </c>
      <c r="I724" s="721" t="s">
        <v>3305</v>
      </c>
      <c r="J724" s="721" t="s">
        <v>3306</v>
      </c>
      <c r="K724" s="721" t="s">
        <v>2044</v>
      </c>
      <c r="L724" s="721">
        <v>1118559031</v>
      </c>
      <c r="M724" s="721" t="s">
        <v>1237</v>
      </c>
      <c r="N724" s="746"/>
      <c r="O724" s="746"/>
      <c r="P724" s="746"/>
      <c r="Q724" s="746"/>
      <c r="R724" s="521"/>
      <c r="S724" s="521"/>
    </row>
    <row r="725" spans="1:19">
      <c r="A725" s="723">
        <v>164</v>
      </c>
      <c r="B725" s="723">
        <v>20182195005</v>
      </c>
      <c r="C725" s="723" t="s">
        <v>3307</v>
      </c>
      <c r="D725" s="723">
        <v>195</v>
      </c>
      <c r="E725" s="723" t="s">
        <v>2832</v>
      </c>
      <c r="F725" s="723" t="s">
        <v>84</v>
      </c>
      <c r="G725" s="723" t="s">
        <v>2042</v>
      </c>
      <c r="H725" s="723">
        <v>1</v>
      </c>
      <c r="I725" s="723" t="s">
        <v>3308</v>
      </c>
      <c r="J725" s="723" t="s">
        <v>3309</v>
      </c>
      <c r="K725" s="723" t="s">
        <v>2044</v>
      </c>
      <c r="L725" s="723">
        <v>1010221959</v>
      </c>
      <c r="M725" s="723" t="s">
        <v>3145</v>
      </c>
      <c r="N725" s="746"/>
      <c r="O725" s="746"/>
      <c r="P725" s="746"/>
      <c r="Q725" s="746"/>
      <c r="R725" s="521"/>
      <c r="S725" s="521"/>
    </row>
    <row r="726" spans="1:19">
      <c r="A726" s="721">
        <v>165</v>
      </c>
      <c r="B726" s="721">
        <v>20191195002</v>
      </c>
      <c r="C726" s="721" t="s">
        <v>3310</v>
      </c>
      <c r="D726" s="721">
        <v>195</v>
      </c>
      <c r="E726" s="721" t="s">
        <v>2832</v>
      </c>
      <c r="F726" s="721" t="s">
        <v>84</v>
      </c>
      <c r="G726" s="721" t="s">
        <v>2042</v>
      </c>
      <c r="H726" s="721">
        <v>3</v>
      </c>
      <c r="I726" s="721" t="s">
        <v>3311</v>
      </c>
      <c r="J726" s="721" t="s">
        <v>3312</v>
      </c>
      <c r="K726" s="721" t="s">
        <v>2044</v>
      </c>
      <c r="L726" s="721">
        <v>1031138497</v>
      </c>
      <c r="M726" s="721" t="s">
        <v>3279</v>
      </c>
      <c r="N726" s="746"/>
      <c r="O726" s="746"/>
      <c r="P726" s="746"/>
      <c r="Q726" s="746"/>
      <c r="R726" s="521"/>
      <c r="S726" s="521"/>
    </row>
    <row r="727" spans="1:19" ht="14.25" customHeight="1">
      <c r="A727" s="723">
        <v>166</v>
      </c>
      <c r="B727" s="723">
        <v>20191195005</v>
      </c>
      <c r="C727" s="723" t="s">
        <v>3313</v>
      </c>
      <c r="D727" s="723">
        <v>195</v>
      </c>
      <c r="E727" s="723" t="s">
        <v>2832</v>
      </c>
      <c r="F727" s="723" t="s">
        <v>84</v>
      </c>
      <c r="G727" s="723" t="s">
        <v>2042</v>
      </c>
      <c r="H727" s="723">
        <v>4</v>
      </c>
      <c r="I727" s="723" t="s">
        <v>3314</v>
      </c>
      <c r="J727" s="723" t="s">
        <v>3315</v>
      </c>
      <c r="K727" s="723" t="s">
        <v>2044</v>
      </c>
      <c r="L727" s="723">
        <v>1022395511</v>
      </c>
      <c r="M727" s="723" t="s">
        <v>3145</v>
      </c>
      <c r="N727" s="746"/>
      <c r="O727" s="746"/>
      <c r="P727" s="746"/>
      <c r="Q727" s="746"/>
      <c r="R727" s="521"/>
      <c r="S727" s="521"/>
    </row>
    <row r="728" spans="1:19">
      <c r="A728" s="721">
        <v>167</v>
      </c>
      <c r="B728" s="721">
        <v>20191195007</v>
      </c>
      <c r="C728" s="721" t="s">
        <v>3316</v>
      </c>
      <c r="D728" s="721">
        <v>195</v>
      </c>
      <c r="E728" s="721" t="s">
        <v>2832</v>
      </c>
      <c r="F728" s="721" t="s">
        <v>84</v>
      </c>
      <c r="G728" s="721" t="s">
        <v>2042</v>
      </c>
      <c r="H728" s="721">
        <v>2</v>
      </c>
      <c r="I728" s="721" t="s">
        <v>3317</v>
      </c>
      <c r="J728" s="721" t="s">
        <v>3318</v>
      </c>
      <c r="K728" s="721" t="s">
        <v>2044</v>
      </c>
      <c r="L728" s="721">
        <v>80248462</v>
      </c>
      <c r="M728" s="721" t="s">
        <v>1356</v>
      </c>
      <c r="N728" s="746"/>
      <c r="O728" s="746"/>
      <c r="P728" s="746"/>
      <c r="Q728" s="746"/>
      <c r="R728" s="521"/>
      <c r="S728" s="521"/>
    </row>
    <row r="729" spans="1:19">
      <c r="A729" s="723">
        <v>168</v>
      </c>
      <c r="B729" s="723">
        <v>20192195003</v>
      </c>
      <c r="C729" s="723" t="s">
        <v>3319</v>
      </c>
      <c r="D729" s="723">
        <v>195</v>
      </c>
      <c r="E729" s="723" t="s">
        <v>2832</v>
      </c>
      <c r="F729" s="723" t="s">
        <v>84</v>
      </c>
      <c r="G729" s="723" t="s">
        <v>2042</v>
      </c>
      <c r="H729" s="723">
        <v>2</v>
      </c>
      <c r="I729" s="723" t="s">
        <v>3320</v>
      </c>
      <c r="J729" s="723" t="s">
        <v>3321</v>
      </c>
      <c r="K729" s="723" t="s">
        <v>2044</v>
      </c>
      <c r="L729" s="723">
        <v>1018470424</v>
      </c>
      <c r="M729" s="723" t="s">
        <v>3322</v>
      </c>
      <c r="N729" s="746"/>
      <c r="O729" s="746"/>
      <c r="P729" s="746"/>
      <c r="Q729" s="746"/>
      <c r="R729" s="521"/>
      <c r="S729" s="521"/>
    </row>
    <row r="730" spans="1:19">
      <c r="A730" s="721">
        <v>169</v>
      </c>
      <c r="B730" s="721">
        <v>20201195007</v>
      </c>
      <c r="C730" s="721" t="s">
        <v>3323</v>
      </c>
      <c r="D730" s="721">
        <v>195</v>
      </c>
      <c r="E730" s="721" t="s">
        <v>2832</v>
      </c>
      <c r="F730" s="721" t="s">
        <v>84</v>
      </c>
      <c r="G730" s="721" t="s">
        <v>2042</v>
      </c>
      <c r="H730" s="721">
        <v>4</v>
      </c>
      <c r="I730" s="721" t="s">
        <v>3324</v>
      </c>
      <c r="J730" s="721" t="s">
        <v>3324</v>
      </c>
      <c r="K730" s="721" t="s">
        <v>2044</v>
      </c>
      <c r="L730" s="721">
        <v>1032484102</v>
      </c>
      <c r="M730" s="721" t="s">
        <v>3279</v>
      </c>
      <c r="N730" s="746"/>
      <c r="O730" s="746"/>
      <c r="P730" s="746"/>
      <c r="Q730" s="746"/>
      <c r="R730" s="521"/>
      <c r="S730" s="521"/>
    </row>
    <row r="731" spans="1:19">
      <c r="A731" s="723">
        <v>170</v>
      </c>
      <c r="B731" s="723">
        <v>20201195009</v>
      </c>
      <c r="C731" s="723" t="s">
        <v>3325</v>
      </c>
      <c r="D731" s="723">
        <v>195</v>
      </c>
      <c r="E731" s="723" t="s">
        <v>2832</v>
      </c>
      <c r="F731" s="723" t="s">
        <v>84</v>
      </c>
      <c r="G731" s="723" t="s">
        <v>2042</v>
      </c>
      <c r="H731" s="723">
        <v>3</v>
      </c>
      <c r="I731" s="723" t="s">
        <v>3326</v>
      </c>
      <c r="J731" s="723" t="s">
        <v>3327</v>
      </c>
      <c r="K731" s="723" t="s">
        <v>2044</v>
      </c>
      <c r="L731" s="723">
        <v>1019112068</v>
      </c>
      <c r="M731" s="723" t="s">
        <v>1348</v>
      </c>
      <c r="N731" s="746"/>
      <c r="O731" s="746"/>
      <c r="P731" s="746"/>
      <c r="Q731" s="746"/>
      <c r="R731" s="521"/>
      <c r="S731" s="521"/>
    </row>
    <row r="732" spans="1:19">
      <c r="A732" s="721">
        <v>171</v>
      </c>
      <c r="B732" s="721">
        <v>20202195002</v>
      </c>
      <c r="C732" s="721" t="s">
        <v>3328</v>
      </c>
      <c r="D732" s="721">
        <v>195</v>
      </c>
      <c r="E732" s="721" t="s">
        <v>2832</v>
      </c>
      <c r="F732" s="721" t="s">
        <v>84</v>
      </c>
      <c r="G732" s="721" t="s">
        <v>2042</v>
      </c>
      <c r="H732" s="721">
        <v>1</v>
      </c>
      <c r="I732" s="721"/>
      <c r="J732" s="721" t="s">
        <v>3329</v>
      </c>
      <c r="K732" s="721" t="s">
        <v>2044</v>
      </c>
      <c r="L732" s="721">
        <v>1101759682</v>
      </c>
      <c r="M732" s="721" t="s">
        <v>3269</v>
      </c>
      <c r="N732" s="746"/>
      <c r="O732" s="746"/>
      <c r="P732" s="746"/>
      <c r="Q732" s="746"/>
      <c r="R732" s="521"/>
      <c r="S732" s="521"/>
    </row>
    <row r="733" spans="1:19">
      <c r="A733" s="723">
        <v>172</v>
      </c>
      <c r="B733" s="723">
        <v>20211195001</v>
      </c>
      <c r="C733" s="723" t="s">
        <v>3330</v>
      </c>
      <c r="D733" s="723">
        <v>195</v>
      </c>
      <c r="E733" s="723" t="s">
        <v>2832</v>
      </c>
      <c r="F733" s="723" t="s">
        <v>84</v>
      </c>
      <c r="G733" s="723" t="s">
        <v>2042</v>
      </c>
      <c r="H733" s="723">
        <v>3</v>
      </c>
      <c r="I733" s="723" t="s">
        <v>3331</v>
      </c>
      <c r="J733" s="723" t="s">
        <v>3332</v>
      </c>
      <c r="K733" s="723" t="s">
        <v>2044</v>
      </c>
      <c r="L733" s="723">
        <v>81720127</v>
      </c>
      <c r="M733" s="723" t="s">
        <v>3279</v>
      </c>
      <c r="N733" s="746"/>
      <c r="O733" s="746"/>
      <c r="P733" s="746"/>
      <c r="Q733" s="746"/>
      <c r="R733" s="521"/>
      <c r="S733" s="521"/>
    </row>
    <row r="734" spans="1:19">
      <c r="A734" s="721">
        <v>173</v>
      </c>
      <c r="B734" s="721">
        <v>20221195003</v>
      </c>
      <c r="C734" s="721" t="s">
        <v>3333</v>
      </c>
      <c r="D734" s="721">
        <v>195</v>
      </c>
      <c r="E734" s="721" t="s">
        <v>2832</v>
      </c>
      <c r="F734" s="721" t="s">
        <v>84</v>
      </c>
      <c r="G734" s="721" t="s">
        <v>2042</v>
      </c>
      <c r="H734" s="721">
        <v>3</v>
      </c>
      <c r="I734" s="721" t="s">
        <v>3334</v>
      </c>
      <c r="J734" s="721" t="s">
        <v>3335</v>
      </c>
      <c r="K734" s="721" t="s">
        <v>2044</v>
      </c>
      <c r="L734" s="721">
        <v>1024541006</v>
      </c>
      <c r="M734" s="721" t="s">
        <v>1364</v>
      </c>
      <c r="N734" s="746"/>
      <c r="O734" s="746"/>
      <c r="P734" s="746"/>
      <c r="Q734" s="746"/>
      <c r="R734" s="521"/>
      <c r="S734" s="521"/>
    </row>
    <row r="735" spans="1:19">
      <c r="A735" s="725" t="s">
        <v>2292</v>
      </c>
      <c r="B735" s="725" t="s">
        <v>2292</v>
      </c>
      <c r="C735" s="725" t="s">
        <v>2292</v>
      </c>
      <c r="D735" s="725" t="s">
        <v>2292</v>
      </c>
      <c r="E735" s="725" t="s">
        <v>2292</v>
      </c>
      <c r="F735" s="725" t="s">
        <v>2292</v>
      </c>
      <c r="G735" s="725" t="s">
        <v>2292</v>
      </c>
      <c r="H735" s="725" t="s">
        <v>2292</v>
      </c>
      <c r="I735" s="725" t="s">
        <v>2292</v>
      </c>
      <c r="J735" s="725" t="s">
        <v>2292</v>
      </c>
      <c r="K735" s="725" t="s">
        <v>2292</v>
      </c>
      <c r="L735" s="725" t="s">
        <v>2292</v>
      </c>
      <c r="M735" s="725" t="s">
        <v>2292</v>
      </c>
      <c r="N735" s="746"/>
      <c r="O735" s="746"/>
      <c r="P735" s="746"/>
      <c r="Q735" s="746"/>
      <c r="R735" s="521"/>
      <c r="S735" s="521"/>
    </row>
    <row r="736" spans="1:19">
      <c r="A736" s="719" t="s">
        <v>2033</v>
      </c>
      <c r="B736" s="719" t="s">
        <v>2293</v>
      </c>
      <c r="C736"/>
      <c r="D736"/>
      <c r="E736"/>
      <c r="F736"/>
      <c r="G736"/>
      <c r="H736"/>
      <c r="I736"/>
      <c r="J736"/>
      <c r="K736"/>
      <c r="L736"/>
      <c r="M736"/>
      <c r="N736" s="746"/>
      <c r="O736" s="746"/>
      <c r="P736" s="746"/>
      <c r="Q736" s="746"/>
      <c r="R736" s="521"/>
      <c r="S736" s="521"/>
    </row>
    <row r="737" spans="1:19" ht="14.25" customHeight="1">
      <c r="A737" s="720" t="s">
        <v>2035</v>
      </c>
      <c r="B737" s="720" t="s">
        <v>2036</v>
      </c>
      <c r="C737" s="720" t="s">
        <v>1</v>
      </c>
      <c r="D737" s="720" t="s">
        <v>2037</v>
      </c>
      <c r="E737" s="720" t="s">
        <v>3</v>
      </c>
      <c r="F737" s="720" t="s">
        <v>4</v>
      </c>
      <c r="G737" s="720" t="s">
        <v>2038</v>
      </c>
      <c r="H737" s="720" t="s">
        <v>6</v>
      </c>
      <c r="I737" s="720" t="s">
        <v>7</v>
      </c>
      <c r="J737" s="720" t="s">
        <v>8</v>
      </c>
      <c r="K737" s="720" t="s">
        <v>2039</v>
      </c>
      <c r="L737" s="720" t="s">
        <v>10</v>
      </c>
      <c r="M737" s="720" t="s">
        <v>2040</v>
      </c>
      <c r="N737" s="746"/>
      <c r="O737" s="746"/>
      <c r="P737" s="746"/>
      <c r="Q737" s="746"/>
      <c r="R737" s="521"/>
      <c r="S737" s="521"/>
    </row>
    <row r="738" spans="1:19">
      <c r="A738" s="721">
        <v>174</v>
      </c>
      <c r="B738" s="721">
        <v>20041195016</v>
      </c>
      <c r="C738" s="721" t="s">
        <v>3336</v>
      </c>
      <c r="D738" s="721">
        <v>195</v>
      </c>
      <c r="E738" s="721" t="s">
        <v>2832</v>
      </c>
      <c r="F738" s="721" t="s">
        <v>107</v>
      </c>
      <c r="G738" s="721" t="s">
        <v>108</v>
      </c>
      <c r="H738" s="721" t="s">
        <v>2043</v>
      </c>
      <c r="I738" s="721"/>
      <c r="J738" s="721"/>
      <c r="K738" s="721" t="s">
        <v>2044</v>
      </c>
      <c r="L738" s="721">
        <v>78674082</v>
      </c>
      <c r="M738" s="722" t="s">
        <v>955</v>
      </c>
      <c r="N738" s="746"/>
      <c r="O738" s="746"/>
      <c r="P738" s="746"/>
      <c r="Q738" s="746"/>
      <c r="R738" s="521"/>
      <c r="S738" s="521"/>
    </row>
    <row r="739" spans="1:19">
      <c r="A739" s="723">
        <v>175</v>
      </c>
      <c r="B739" s="723">
        <v>20041195020</v>
      </c>
      <c r="C739" s="723" t="s">
        <v>3337</v>
      </c>
      <c r="D739" s="723">
        <v>195</v>
      </c>
      <c r="E739" s="723" t="s">
        <v>2832</v>
      </c>
      <c r="F739" s="723" t="s">
        <v>107</v>
      </c>
      <c r="G739" s="723" t="s">
        <v>108</v>
      </c>
      <c r="H739" s="723" t="s">
        <v>2043</v>
      </c>
      <c r="I739" s="723" t="s">
        <v>3338</v>
      </c>
      <c r="J739" s="723" t="s">
        <v>3339</v>
      </c>
      <c r="K739" s="723" t="s">
        <v>2044</v>
      </c>
      <c r="L739" s="723">
        <v>79460726</v>
      </c>
      <c r="M739" s="723" t="s">
        <v>2126</v>
      </c>
      <c r="N739" s="746"/>
      <c r="O739" s="746"/>
      <c r="P739" s="746"/>
      <c r="Q739" s="746"/>
      <c r="R739" s="521"/>
      <c r="S739" s="521"/>
    </row>
    <row r="740" spans="1:19">
      <c r="A740" s="721">
        <v>176</v>
      </c>
      <c r="B740" s="721">
        <v>20041195025</v>
      </c>
      <c r="C740" s="721" t="s">
        <v>3340</v>
      </c>
      <c r="D740" s="721">
        <v>195</v>
      </c>
      <c r="E740" s="721" t="s">
        <v>2832</v>
      </c>
      <c r="F740" s="721" t="s">
        <v>107</v>
      </c>
      <c r="G740" s="721" t="s">
        <v>108</v>
      </c>
      <c r="H740" s="721" t="s">
        <v>2043</v>
      </c>
      <c r="I740" s="721"/>
      <c r="J740" s="721"/>
      <c r="K740" s="721" t="s">
        <v>2044</v>
      </c>
      <c r="L740" s="721">
        <v>36069422</v>
      </c>
      <c r="M740" s="722" t="s">
        <v>955</v>
      </c>
      <c r="N740" s="746"/>
      <c r="O740" s="746"/>
      <c r="P740" s="746"/>
      <c r="Q740" s="746"/>
      <c r="R740" s="521"/>
      <c r="S740" s="521"/>
    </row>
    <row r="741" spans="1:19">
      <c r="A741" s="723">
        <v>177</v>
      </c>
      <c r="B741" s="723">
        <v>20152195010</v>
      </c>
      <c r="C741" s="723" t="s">
        <v>3341</v>
      </c>
      <c r="D741" s="723">
        <v>195</v>
      </c>
      <c r="E741" s="723" t="s">
        <v>2832</v>
      </c>
      <c r="F741" s="723" t="s">
        <v>107</v>
      </c>
      <c r="G741" s="723" t="s">
        <v>108</v>
      </c>
      <c r="H741" s="723" t="s">
        <v>2043</v>
      </c>
      <c r="I741" s="723"/>
      <c r="J741" s="723" t="s">
        <v>3342</v>
      </c>
      <c r="K741" s="723" t="s">
        <v>2044</v>
      </c>
      <c r="L741" s="723">
        <v>79967910</v>
      </c>
      <c r="M741" s="724" t="s">
        <v>955</v>
      </c>
      <c r="N741" s="746"/>
      <c r="O741" s="746"/>
      <c r="P741" s="746"/>
      <c r="Q741" s="746"/>
      <c r="R741" s="521"/>
      <c r="S741" s="521"/>
    </row>
    <row r="742" spans="1:19">
      <c r="A742" s="721">
        <v>178</v>
      </c>
      <c r="B742" s="721">
        <v>20211195004</v>
      </c>
      <c r="C742" s="721" t="s">
        <v>3343</v>
      </c>
      <c r="D742" s="721">
        <v>195</v>
      </c>
      <c r="E742" s="721" t="s">
        <v>2832</v>
      </c>
      <c r="F742" s="721" t="s">
        <v>107</v>
      </c>
      <c r="G742" s="721" t="s">
        <v>108</v>
      </c>
      <c r="H742" s="721" t="s">
        <v>2043</v>
      </c>
      <c r="I742" s="721"/>
      <c r="J742" s="721" t="s">
        <v>3344</v>
      </c>
      <c r="K742" s="721" t="s">
        <v>2044</v>
      </c>
      <c r="L742" s="721">
        <v>1033806084</v>
      </c>
      <c r="M742" s="722" t="s">
        <v>955</v>
      </c>
      <c r="N742" s="746"/>
      <c r="O742" s="746"/>
      <c r="P742" s="746"/>
      <c r="Q742" s="746"/>
      <c r="R742" s="521"/>
      <c r="S742" s="521"/>
    </row>
    <row r="743" spans="1:19">
      <c r="A743" s="723">
        <v>179</v>
      </c>
      <c r="B743" s="723">
        <v>20211195005</v>
      </c>
      <c r="C743" s="723" t="s">
        <v>3345</v>
      </c>
      <c r="D743" s="723">
        <v>195</v>
      </c>
      <c r="E743" s="723" t="s">
        <v>2832</v>
      </c>
      <c r="F743" s="723" t="s">
        <v>107</v>
      </c>
      <c r="G743" s="723" t="s">
        <v>108</v>
      </c>
      <c r="H743" s="723" t="s">
        <v>2043</v>
      </c>
      <c r="I743" s="723"/>
      <c r="J743" s="723" t="s">
        <v>3346</v>
      </c>
      <c r="K743" s="723" t="s">
        <v>2044</v>
      </c>
      <c r="L743" s="723">
        <v>1022429666</v>
      </c>
      <c r="M743" s="724" t="s">
        <v>955</v>
      </c>
      <c r="N743" s="746"/>
      <c r="O743" s="746"/>
      <c r="P743" s="746"/>
      <c r="Q743" s="746"/>
      <c r="R743" s="521"/>
      <c r="S743" s="521"/>
    </row>
    <row r="744" spans="1:19">
      <c r="A744" s="721">
        <v>180</v>
      </c>
      <c r="B744" s="721">
        <v>20211195008</v>
      </c>
      <c r="C744" s="721" t="s">
        <v>3347</v>
      </c>
      <c r="D744" s="721">
        <v>195</v>
      </c>
      <c r="E744" s="721" t="s">
        <v>2832</v>
      </c>
      <c r="F744" s="721" t="s">
        <v>107</v>
      </c>
      <c r="G744" s="721" t="s">
        <v>108</v>
      </c>
      <c r="H744" s="721" t="s">
        <v>2043</v>
      </c>
      <c r="I744" s="721"/>
      <c r="J744" s="721" t="s">
        <v>3348</v>
      </c>
      <c r="K744" s="721" t="s">
        <v>2044</v>
      </c>
      <c r="L744" s="721">
        <v>1018483537</v>
      </c>
      <c r="M744" s="722" t="s">
        <v>955</v>
      </c>
      <c r="N744" s="746"/>
      <c r="O744" s="746"/>
      <c r="P744" s="746"/>
      <c r="Q744" s="746"/>
      <c r="R744" s="521"/>
      <c r="S744" s="521"/>
    </row>
    <row r="745" spans="1:19">
      <c r="A745" s="725" t="s">
        <v>2292</v>
      </c>
      <c r="B745" s="725" t="s">
        <v>2292</v>
      </c>
      <c r="C745" s="725" t="s">
        <v>2292</v>
      </c>
      <c r="D745" s="725" t="s">
        <v>2292</v>
      </c>
      <c r="E745" s="725" t="s">
        <v>2292</v>
      </c>
      <c r="F745" s="725" t="s">
        <v>2292</v>
      </c>
      <c r="G745" s="725" t="s">
        <v>2292</v>
      </c>
      <c r="H745" s="725" t="s">
        <v>2292</v>
      </c>
      <c r="I745" s="725" t="s">
        <v>2292</v>
      </c>
      <c r="J745" s="725" t="s">
        <v>2292</v>
      </c>
      <c r="K745" s="725" t="s">
        <v>2292</v>
      </c>
      <c r="L745" s="725" t="s">
        <v>2292</v>
      </c>
      <c r="M745" s="725" t="s">
        <v>2292</v>
      </c>
      <c r="N745" s="746"/>
      <c r="O745" s="746"/>
      <c r="P745" s="746"/>
      <c r="Q745" s="746"/>
      <c r="R745" s="521"/>
      <c r="S745" s="521"/>
    </row>
    <row r="746" spans="1:19">
      <c r="A746" s="719" t="s">
        <v>2033</v>
      </c>
      <c r="B746" s="719" t="s">
        <v>2529</v>
      </c>
      <c r="C746"/>
      <c r="D746"/>
      <c r="E746"/>
      <c r="F746"/>
      <c r="G746"/>
      <c r="H746"/>
      <c r="I746"/>
      <c r="J746"/>
      <c r="K746"/>
      <c r="L746"/>
      <c r="M746"/>
      <c r="N746" s="746"/>
      <c r="O746" s="746"/>
      <c r="P746" s="746"/>
      <c r="Q746" s="746"/>
      <c r="R746" s="521"/>
      <c r="S746" s="521"/>
    </row>
    <row r="747" spans="1:19" ht="25.5">
      <c r="A747" s="720" t="s">
        <v>2035</v>
      </c>
      <c r="B747" s="720" t="s">
        <v>2036</v>
      </c>
      <c r="C747" s="720" t="s">
        <v>1</v>
      </c>
      <c r="D747" s="720" t="s">
        <v>2037</v>
      </c>
      <c r="E747" s="720" t="s">
        <v>3</v>
      </c>
      <c r="F747" s="720" t="s">
        <v>4</v>
      </c>
      <c r="G747" s="720" t="s">
        <v>2038</v>
      </c>
      <c r="H747" s="720" t="s">
        <v>6</v>
      </c>
      <c r="I747" s="720" t="s">
        <v>7</v>
      </c>
      <c r="J747" s="720" t="s">
        <v>8</v>
      </c>
      <c r="K747" s="720" t="s">
        <v>2039</v>
      </c>
      <c r="L747" s="720" t="s">
        <v>10</v>
      </c>
      <c r="M747" s="720" t="s">
        <v>2040</v>
      </c>
      <c r="N747" s="746"/>
      <c r="O747" s="746"/>
      <c r="P747" s="746"/>
      <c r="Q747" s="746"/>
      <c r="R747" s="521"/>
      <c r="S747" s="521"/>
    </row>
    <row r="748" spans="1:19">
      <c r="A748" s="721">
        <v>181</v>
      </c>
      <c r="B748" s="721">
        <v>20131195007</v>
      </c>
      <c r="C748" s="721" t="s">
        <v>3349</v>
      </c>
      <c r="D748" s="721">
        <v>195</v>
      </c>
      <c r="E748" s="721" t="s">
        <v>2832</v>
      </c>
      <c r="F748" s="721" t="s">
        <v>122</v>
      </c>
      <c r="G748" s="721" t="s">
        <v>108</v>
      </c>
      <c r="H748" s="721" t="s">
        <v>2043</v>
      </c>
      <c r="I748" s="721" t="s">
        <v>3350</v>
      </c>
      <c r="J748" s="721" t="s">
        <v>3351</v>
      </c>
      <c r="K748" s="721" t="s">
        <v>2044</v>
      </c>
      <c r="L748" s="721">
        <v>16845913</v>
      </c>
      <c r="M748" s="722" t="s">
        <v>955</v>
      </c>
      <c r="N748" s="746"/>
      <c r="O748" s="746"/>
      <c r="P748" s="746"/>
      <c r="Q748" s="746"/>
      <c r="R748" s="521"/>
      <c r="S748" s="521"/>
    </row>
    <row r="749" spans="1:19">
      <c r="A749" s="723">
        <v>182</v>
      </c>
      <c r="B749" s="723">
        <v>20141195003</v>
      </c>
      <c r="C749" s="723" t="s">
        <v>3203</v>
      </c>
      <c r="D749" s="723">
        <v>195</v>
      </c>
      <c r="E749" s="723" t="s">
        <v>2832</v>
      </c>
      <c r="F749" s="723" t="s">
        <v>122</v>
      </c>
      <c r="G749" s="723" t="s">
        <v>108</v>
      </c>
      <c r="H749" s="723" t="s">
        <v>2043</v>
      </c>
      <c r="I749" s="723"/>
      <c r="J749" s="723" t="s">
        <v>3352</v>
      </c>
      <c r="K749" s="723" t="s">
        <v>2044</v>
      </c>
      <c r="L749" s="723">
        <v>52779302</v>
      </c>
      <c r="M749" s="723" t="s">
        <v>2612</v>
      </c>
      <c r="N749" s="746"/>
      <c r="O749" s="746"/>
      <c r="P749" s="746"/>
      <c r="Q749" s="746"/>
      <c r="R749" s="521"/>
      <c r="S749" s="521"/>
    </row>
    <row r="750" spans="1:19">
      <c r="A750" s="721">
        <v>183</v>
      </c>
      <c r="B750" s="721">
        <v>20151195001</v>
      </c>
      <c r="C750" s="721" t="s">
        <v>3353</v>
      </c>
      <c r="D750" s="721">
        <v>195</v>
      </c>
      <c r="E750" s="721" t="s">
        <v>2832</v>
      </c>
      <c r="F750" s="721" t="s">
        <v>122</v>
      </c>
      <c r="G750" s="721" t="s">
        <v>108</v>
      </c>
      <c r="H750" s="721" t="s">
        <v>2043</v>
      </c>
      <c r="I750" s="721"/>
      <c r="J750" s="721" t="s">
        <v>3354</v>
      </c>
      <c r="K750" s="721" t="s">
        <v>2044</v>
      </c>
      <c r="L750" s="721">
        <v>80037942</v>
      </c>
      <c r="M750" s="722" t="s">
        <v>955</v>
      </c>
      <c r="N750" s="746"/>
      <c r="O750" s="746"/>
      <c r="P750" s="746"/>
      <c r="Q750" s="746"/>
      <c r="R750" s="521"/>
      <c r="S750" s="521"/>
    </row>
    <row r="751" spans="1:19">
      <c r="A751" s="723">
        <v>184</v>
      </c>
      <c r="B751" s="723">
        <v>20151195004</v>
      </c>
      <c r="C751" s="723" t="s">
        <v>3355</v>
      </c>
      <c r="D751" s="723">
        <v>195</v>
      </c>
      <c r="E751" s="723" t="s">
        <v>2832</v>
      </c>
      <c r="F751" s="723" t="s">
        <v>122</v>
      </c>
      <c r="G751" s="723" t="s">
        <v>108</v>
      </c>
      <c r="H751" s="723" t="s">
        <v>2043</v>
      </c>
      <c r="I751" s="723" t="s">
        <v>3356</v>
      </c>
      <c r="J751" s="723" t="s">
        <v>3357</v>
      </c>
      <c r="K751" s="723" t="s">
        <v>2044</v>
      </c>
      <c r="L751" s="723">
        <v>80854925</v>
      </c>
      <c r="M751" s="724" t="s">
        <v>955</v>
      </c>
      <c r="N751" s="746"/>
      <c r="O751" s="746"/>
      <c r="P751" s="746"/>
      <c r="Q751" s="746"/>
      <c r="R751" s="521"/>
      <c r="S751" s="521"/>
    </row>
    <row r="752" spans="1:19">
      <c r="A752" s="721">
        <v>185</v>
      </c>
      <c r="B752" s="721">
        <v>20152195018</v>
      </c>
      <c r="C752" s="721" t="s">
        <v>3358</v>
      </c>
      <c r="D752" s="721">
        <v>195</v>
      </c>
      <c r="E752" s="721" t="s">
        <v>2832</v>
      </c>
      <c r="F752" s="721" t="s">
        <v>122</v>
      </c>
      <c r="G752" s="721" t="s">
        <v>108</v>
      </c>
      <c r="H752" s="721" t="s">
        <v>2043</v>
      </c>
      <c r="I752" s="721"/>
      <c r="J752" s="721" t="s">
        <v>3359</v>
      </c>
      <c r="K752" s="721" t="s">
        <v>2044</v>
      </c>
      <c r="L752" s="721">
        <v>1075664409</v>
      </c>
      <c r="M752" s="722" t="s">
        <v>955</v>
      </c>
      <c r="N752" s="746"/>
      <c r="O752" s="746"/>
      <c r="P752" s="746"/>
      <c r="Q752" s="746"/>
      <c r="R752" s="521"/>
      <c r="S752" s="521"/>
    </row>
    <row r="753" spans="1:19">
      <c r="A753" s="723">
        <v>186</v>
      </c>
      <c r="B753" s="723">
        <v>20161195010</v>
      </c>
      <c r="C753" s="723" t="s">
        <v>3360</v>
      </c>
      <c r="D753" s="723">
        <v>195</v>
      </c>
      <c r="E753" s="723" t="s">
        <v>2832</v>
      </c>
      <c r="F753" s="723" t="s">
        <v>122</v>
      </c>
      <c r="G753" s="723" t="s">
        <v>108</v>
      </c>
      <c r="H753" s="723" t="s">
        <v>2043</v>
      </c>
      <c r="I753" s="723"/>
      <c r="J753" s="723" t="s">
        <v>3361</v>
      </c>
      <c r="K753" s="723" t="s">
        <v>2044</v>
      </c>
      <c r="L753" s="723">
        <v>1030524737</v>
      </c>
      <c r="M753" s="724" t="s">
        <v>955</v>
      </c>
      <c r="N753" s="746"/>
      <c r="O753" s="746"/>
      <c r="P753" s="746"/>
      <c r="Q753" s="746"/>
      <c r="R753" s="521"/>
      <c r="S753" s="521"/>
    </row>
    <row r="754" spans="1:19">
      <c r="A754" s="721">
        <v>187</v>
      </c>
      <c r="B754" s="721">
        <v>20161195014</v>
      </c>
      <c r="C754" s="721" t="s">
        <v>3362</v>
      </c>
      <c r="D754" s="721">
        <v>195</v>
      </c>
      <c r="E754" s="721" t="s">
        <v>2832</v>
      </c>
      <c r="F754" s="721" t="s">
        <v>122</v>
      </c>
      <c r="G754" s="721" t="s">
        <v>108</v>
      </c>
      <c r="H754" s="721" t="s">
        <v>2043</v>
      </c>
      <c r="I754" s="721"/>
      <c r="J754" s="721" t="s">
        <v>3363</v>
      </c>
      <c r="K754" s="721" t="s">
        <v>2044</v>
      </c>
      <c r="L754" s="721">
        <v>80258062</v>
      </c>
      <c r="M754" s="722" t="s">
        <v>955</v>
      </c>
      <c r="N754" s="746"/>
      <c r="O754" s="746"/>
      <c r="P754" s="746"/>
      <c r="Q754" s="746"/>
      <c r="R754" s="521"/>
      <c r="S754" s="521"/>
    </row>
    <row r="755" spans="1:19">
      <c r="A755" s="723">
        <v>188</v>
      </c>
      <c r="B755" s="723">
        <v>20171195007</v>
      </c>
      <c r="C755" s="723" t="s">
        <v>3364</v>
      </c>
      <c r="D755" s="723">
        <v>195</v>
      </c>
      <c r="E755" s="723" t="s">
        <v>2832</v>
      </c>
      <c r="F755" s="723" t="s">
        <v>122</v>
      </c>
      <c r="G755" s="723" t="s">
        <v>108</v>
      </c>
      <c r="H755" s="723" t="s">
        <v>2043</v>
      </c>
      <c r="I755" s="723" t="s">
        <v>3365</v>
      </c>
      <c r="J755" s="723" t="s">
        <v>3366</v>
      </c>
      <c r="K755" s="723" t="s">
        <v>2044</v>
      </c>
      <c r="L755" s="723">
        <v>13872637</v>
      </c>
      <c r="M755" s="724" t="s">
        <v>955</v>
      </c>
      <c r="N755" s="746"/>
      <c r="O755" s="746"/>
      <c r="P755" s="746"/>
      <c r="Q755" s="746"/>
      <c r="R755" s="521"/>
      <c r="S755" s="521"/>
    </row>
    <row r="756" spans="1:19">
      <c r="A756" s="721">
        <v>189</v>
      </c>
      <c r="B756" s="721">
        <v>20172195001</v>
      </c>
      <c r="C756" s="721" t="s">
        <v>3367</v>
      </c>
      <c r="D756" s="721">
        <v>195</v>
      </c>
      <c r="E756" s="721" t="s">
        <v>2832</v>
      </c>
      <c r="F756" s="721" t="s">
        <v>122</v>
      </c>
      <c r="G756" s="721" t="s">
        <v>108</v>
      </c>
      <c r="H756" s="721" t="s">
        <v>2043</v>
      </c>
      <c r="I756" s="721" t="s">
        <v>3368</v>
      </c>
      <c r="J756" s="721" t="s">
        <v>3369</v>
      </c>
      <c r="K756" s="721" t="s">
        <v>2044</v>
      </c>
      <c r="L756" s="721">
        <v>1015431532</v>
      </c>
      <c r="M756" s="722" t="s">
        <v>955</v>
      </c>
      <c r="N756" s="746"/>
      <c r="O756" s="746"/>
      <c r="P756" s="746"/>
      <c r="Q756" s="746"/>
      <c r="R756" s="521"/>
      <c r="S756" s="521"/>
    </row>
    <row r="757" spans="1:19">
      <c r="A757" s="723">
        <v>190</v>
      </c>
      <c r="B757" s="723">
        <v>20172195002</v>
      </c>
      <c r="C757" s="723" t="s">
        <v>3370</v>
      </c>
      <c r="D757" s="723">
        <v>195</v>
      </c>
      <c r="E757" s="723" t="s">
        <v>2832</v>
      </c>
      <c r="F757" s="723" t="s">
        <v>122</v>
      </c>
      <c r="G757" s="723" t="s">
        <v>108</v>
      </c>
      <c r="H757" s="723" t="s">
        <v>2043</v>
      </c>
      <c r="I757" s="723" t="s">
        <v>3371</v>
      </c>
      <c r="J757" s="723" t="s">
        <v>3372</v>
      </c>
      <c r="K757" s="723" t="s">
        <v>2044</v>
      </c>
      <c r="L757" s="723">
        <v>1121838394</v>
      </c>
      <c r="M757" s="724" t="s">
        <v>955</v>
      </c>
      <c r="N757" s="746"/>
      <c r="O757" s="746"/>
      <c r="P757" s="746"/>
      <c r="Q757" s="746"/>
      <c r="R757" s="521"/>
      <c r="S757" s="521"/>
    </row>
    <row r="758" spans="1:19">
      <c r="A758" s="721">
        <v>191</v>
      </c>
      <c r="B758" s="721">
        <v>20172195006</v>
      </c>
      <c r="C758" s="721" t="s">
        <v>3373</v>
      </c>
      <c r="D758" s="721">
        <v>195</v>
      </c>
      <c r="E758" s="721" t="s">
        <v>2832</v>
      </c>
      <c r="F758" s="721" t="s">
        <v>122</v>
      </c>
      <c r="G758" s="721" t="s">
        <v>108</v>
      </c>
      <c r="H758" s="721" t="s">
        <v>2043</v>
      </c>
      <c r="I758" s="721" t="s">
        <v>3374</v>
      </c>
      <c r="J758" s="721" t="s">
        <v>3375</v>
      </c>
      <c r="K758" s="721" t="s">
        <v>2044</v>
      </c>
      <c r="L758" s="721">
        <v>1023883737</v>
      </c>
      <c r="M758" s="722" t="s">
        <v>955</v>
      </c>
      <c r="N758" s="746"/>
      <c r="O758" s="746"/>
      <c r="P758" s="746"/>
      <c r="Q758" s="746"/>
      <c r="R758" s="521"/>
      <c r="S758" s="521"/>
    </row>
    <row r="759" spans="1:19">
      <c r="A759" s="723">
        <v>192</v>
      </c>
      <c r="B759" s="723">
        <v>20172195010</v>
      </c>
      <c r="C759" s="723" t="s">
        <v>3376</v>
      </c>
      <c r="D759" s="723">
        <v>195</v>
      </c>
      <c r="E759" s="723" t="s">
        <v>2832</v>
      </c>
      <c r="F759" s="723" t="s">
        <v>122</v>
      </c>
      <c r="G759" s="723" t="s">
        <v>108</v>
      </c>
      <c r="H759" s="723" t="s">
        <v>2043</v>
      </c>
      <c r="I759" s="723" t="s">
        <v>3377</v>
      </c>
      <c r="J759" s="723" t="s">
        <v>3378</v>
      </c>
      <c r="K759" s="723" t="s">
        <v>2044</v>
      </c>
      <c r="L759" s="723">
        <v>1090448755</v>
      </c>
      <c r="M759" s="724" t="s">
        <v>955</v>
      </c>
      <c r="N759" s="746"/>
      <c r="O759" s="746"/>
      <c r="P759" s="746"/>
      <c r="Q759" s="746"/>
      <c r="R759" s="521"/>
      <c r="S759" s="521"/>
    </row>
    <row r="760" spans="1:19">
      <c r="A760" s="721">
        <v>193</v>
      </c>
      <c r="B760" s="721">
        <v>20172195011</v>
      </c>
      <c r="C760" s="721" t="s">
        <v>3379</v>
      </c>
      <c r="D760" s="721">
        <v>195</v>
      </c>
      <c r="E760" s="721" t="s">
        <v>2832</v>
      </c>
      <c r="F760" s="721" t="s">
        <v>122</v>
      </c>
      <c r="G760" s="721" t="s">
        <v>108</v>
      </c>
      <c r="H760" s="721" t="s">
        <v>2043</v>
      </c>
      <c r="I760" s="721" t="s">
        <v>3380</v>
      </c>
      <c r="J760" s="721" t="s">
        <v>3381</v>
      </c>
      <c r="K760" s="721" t="s">
        <v>2044</v>
      </c>
      <c r="L760" s="721">
        <v>79854643</v>
      </c>
      <c r="M760" s="722" t="s">
        <v>955</v>
      </c>
      <c r="N760" s="746"/>
      <c r="O760" s="746"/>
      <c r="P760" s="746"/>
      <c r="Q760" s="746"/>
      <c r="R760" s="521"/>
      <c r="S760" s="521"/>
    </row>
    <row r="761" spans="1:19">
      <c r="A761" s="723">
        <v>194</v>
      </c>
      <c r="B761" s="723">
        <v>20172195015</v>
      </c>
      <c r="C761" s="723" t="s">
        <v>3382</v>
      </c>
      <c r="D761" s="723">
        <v>195</v>
      </c>
      <c r="E761" s="723" t="s">
        <v>2832</v>
      </c>
      <c r="F761" s="723" t="s">
        <v>122</v>
      </c>
      <c r="G761" s="723" t="s">
        <v>108</v>
      </c>
      <c r="H761" s="723" t="s">
        <v>2043</v>
      </c>
      <c r="I761" s="723" t="s">
        <v>3383</v>
      </c>
      <c r="J761" s="723" t="s">
        <v>3384</v>
      </c>
      <c r="K761" s="723" t="s">
        <v>2044</v>
      </c>
      <c r="L761" s="723">
        <v>79744128</v>
      </c>
      <c r="M761" s="724" t="s">
        <v>955</v>
      </c>
      <c r="N761" s="746"/>
      <c r="O761" s="746"/>
      <c r="P761" s="746"/>
      <c r="Q761" s="746"/>
      <c r="R761" s="521"/>
      <c r="S761" s="521"/>
    </row>
    <row r="762" spans="1:19">
      <c r="A762" s="721">
        <v>195</v>
      </c>
      <c r="B762" s="721">
        <v>20181195001</v>
      </c>
      <c r="C762" s="721" t="s">
        <v>3385</v>
      </c>
      <c r="D762" s="721">
        <v>195</v>
      </c>
      <c r="E762" s="721" t="s">
        <v>2832</v>
      </c>
      <c r="F762" s="721" t="s">
        <v>122</v>
      </c>
      <c r="G762" s="721" t="s">
        <v>108</v>
      </c>
      <c r="H762" s="721" t="s">
        <v>2043</v>
      </c>
      <c r="I762" s="721"/>
      <c r="J762" s="721" t="s">
        <v>3386</v>
      </c>
      <c r="K762" s="721" t="s">
        <v>2044</v>
      </c>
      <c r="L762" s="721">
        <v>1030558345</v>
      </c>
      <c r="M762" s="722" t="s">
        <v>955</v>
      </c>
      <c r="N762" s="746"/>
      <c r="O762" s="746"/>
      <c r="P762" s="746"/>
      <c r="Q762" s="746"/>
      <c r="R762" s="521"/>
      <c r="S762" s="521"/>
    </row>
    <row r="763" spans="1:19" ht="14.25" customHeight="1">
      <c r="A763" s="723">
        <v>196</v>
      </c>
      <c r="B763" s="723">
        <v>20181195006</v>
      </c>
      <c r="C763" s="723" t="s">
        <v>3387</v>
      </c>
      <c r="D763" s="723">
        <v>195</v>
      </c>
      <c r="E763" s="723" t="s">
        <v>2832</v>
      </c>
      <c r="F763" s="723" t="s">
        <v>122</v>
      </c>
      <c r="G763" s="723" t="s">
        <v>108</v>
      </c>
      <c r="H763" s="723" t="s">
        <v>2043</v>
      </c>
      <c r="I763" s="723"/>
      <c r="J763" s="723" t="s">
        <v>3388</v>
      </c>
      <c r="K763" s="723" t="s">
        <v>2044</v>
      </c>
      <c r="L763" s="723">
        <v>97611542</v>
      </c>
      <c r="M763" s="724" t="s">
        <v>955</v>
      </c>
      <c r="N763" s="746"/>
      <c r="O763" s="746"/>
      <c r="P763" s="746"/>
      <c r="Q763" s="746"/>
      <c r="R763" s="521"/>
      <c r="S763" s="521"/>
    </row>
    <row r="764" spans="1:19">
      <c r="A764" s="721">
        <v>197</v>
      </c>
      <c r="B764" s="721">
        <v>20191195003</v>
      </c>
      <c r="C764" s="721" t="s">
        <v>3319</v>
      </c>
      <c r="D764" s="721">
        <v>195</v>
      </c>
      <c r="E764" s="721" t="s">
        <v>2832</v>
      </c>
      <c r="F764" s="721" t="s">
        <v>122</v>
      </c>
      <c r="G764" s="721" t="s">
        <v>108</v>
      </c>
      <c r="H764" s="721" t="s">
        <v>2043</v>
      </c>
      <c r="I764" s="721" t="s">
        <v>3320</v>
      </c>
      <c r="J764" s="721" t="s">
        <v>3321</v>
      </c>
      <c r="K764" s="721" t="s">
        <v>2044</v>
      </c>
      <c r="L764" s="721">
        <v>1018470424</v>
      </c>
      <c r="M764" s="722" t="s">
        <v>955</v>
      </c>
      <c r="N764" s="746"/>
      <c r="O764" s="746"/>
      <c r="P764" s="746"/>
      <c r="Q764" s="746"/>
      <c r="R764" s="521"/>
      <c r="S764" s="521"/>
    </row>
    <row r="765" spans="1:19">
      <c r="A765" s="723">
        <v>198</v>
      </c>
      <c r="B765" s="723">
        <v>20191195006</v>
      </c>
      <c r="C765" s="723" t="s">
        <v>3389</v>
      </c>
      <c r="D765" s="723">
        <v>195</v>
      </c>
      <c r="E765" s="723" t="s">
        <v>2832</v>
      </c>
      <c r="F765" s="723" t="s">
        <v>122</v>
      </c>
      <c r="G765" s="723" t="s">
        <v>108</v>
      </c>
      <c r="H765" s="723" t="s">
        <v>2043</v>
      </c>
      <c r="I765" s="723" t="s">
        <v>3390</v>
      </c>
      <c r="J765" s="723" t="s">
        <v>3391</v>
      </c>
      <c r="K765" s="723" t="s">
        <v>2044</v>
      </c>
      <c r="L765" s="723">
        <v>79798907</v>
      </c>
      <c r="M765" s="724" t="s">
        <v>955</v>
      </c>
      <c r="N765" s="746"/>
      <c r="O765" s="746"/>
      <c r="P765" s="746"/>
      <c r="Q765" s="746"/>
      <c r="R765" s="521"/>
      <c r="S765" s="521"/>
    </row>
    <row r="766" spans="1:19">
      <c r="A766" s="721">
        <v>199</v>
      </c>
      <c r="B766" s="721">
        <v>20191195008</v>
      </c>
      <c r="C766" s="721" t="s">
        <v>3392</v>
      </c>
      <c r="D766" s="721">
        <v>195</v>
      </c>
      <c r="E766" s="721" t="s">
        <v>2832</v>
      </c>
      <c r="F766" s="721" t="s">
        <v>122</v>
      </c>
      <c r="G766" s="721" t="s">
        <v>108</v>
      </c>
      <c r="H766" s="721" t="s">
        <v>2043</v>
      </c>
      <c r="I766" s="721" t="s">
        <v>3393</v>
      </c>
      <c r="J766" s="721" t="s">
        <v>3394</v>
      </c>
      <c r="K766" s="721" t="s">
        <v>2044</v>
      </c>
      <c r="L766" s="721">
        <v>1012410876</v>
      </c>
      <c r="M766" s="722" t="s">
        <v>955</v>
      </c>
      <c r="N766" s="746"/>
      <c r="O766" s="746"/>
      <c r="P766" s="746"/>
      <c r="Q766" s="746"/>
      <c r="R766" s="521"/>
      <c r="S766" s="521"/>
    </row>
    <row r="767" spans="1:19">
      <c r="A767" s="723">
        <v>200</v>
      </c>
      <c r="B767" s="723">
        <v>20191195009</v>
      </c>
      <c r="C767" s="723" t="s">
        <v>3395</v>
      </c>
      <c r="D767" s="723">
        <v>195</v>
      </c>
      <c r="E767" s="723" t="s">
        <v>2832</v>
      </c>
      <c r="F767" s="723" t="s">
        <v>122</v>
      </c>
      <c r="G767" s="723" t="s">
        <v>108</v>
      </c>
      <c r="H767" s="723" t="s">
        <v>2043</v>
      </c>
      <c r="I767" s="723" t="s">
        <v>3396</v>
      </c>
      <c r="J767" s="723" t="s">
        <v>3397</v>
      </c>
      <c r="K767" s="723" t="s">
        <v>2044</v>
      </c>
      <c r="L767" s="723">
        <v>1023001629</v>
      </c>
      <c r="M767" s="724" t="s">
        <v>955</v>
      </c>
      <c r="N767" s="746"/>
      <c r="O767" s="746"/>
      <c r="P767" s="746"/>
      <c r="Q767" s="746"/>
      <c r="R767" s="521"/>
      <c r="S767" s="521"/>
    </row>
    <row r="768" spans="1:19">
      <c r="A768" s="721">
        <v>201</v>
      </c>
      <c r="B768" s="721">
        <v>20202195007</v>
      </c>
      <c r="C768" s="721" t="s">
        <v>3398</v>
      </c>
      <c r="D768" s="721">
        <v>195</v>
      </c>
      <c r="E768" s="721" t="s">
        <v>2832</v>
      </c>
      <c r="F768" s="721" t="s">
        <v>122</v>
      </c>
      <c r="G768" s="721" t="s">
        <v>108</v>
      </c>
      <c r="H768" s="721" t="s">
        <v>2043</v>
      </c>
      <c r="I768" s="721"/>
      <c r="J768" s="721" t="s">
        <v>3399</v>
      </c>
      <c r="K768" s="721" t="s">
        <v>2044</v>
      </c>
      <c r="L768" s="721">
        <v>1030573693</v>
      </c>
      <c r="M768" s="722" t="s">
        <v>955</v>
      </c>
      <c r="N768" s="746"/>
      <c r="O768" s="746"/>
      <c r="P768" s="746"/>
      <c r="Q768" s="746"/>
      <c r="R768" s="521"/>
      <c r="S768" s="521"/>
    </row>
    <row r="769" spans="1:19">
      <c r="A769" s="723">
        <v>202</v>
      </c>
      <c r="B769" s="723">
        <v>20202195008</v>
      </c>
      <c r="C769" s="723" t="s">
        <v>3400</v>
      </c>
      <c r="D769" s="723">
        <v>195</v>
      </c>
      <c r="E769" s="723" t="s">
        <v>2832</v>
      </c>
      <c r="F769" s="723" t="s">
        <v>122</v>
      </c>
      <c r="G769" s="723" t="s">
        <v>108</v>
      </c>
      <c r="H769" s="723" t="s">
        <v>2043</v>
      </c>
      <c r="I769" s="723"/>
      <c r="J769" s="723" t="s">
        <v>3401</v>
      </c>
      <c r="K769" s="723" t="s">
        <v>2044</v>
      </c>
      <c r="L769" s="723">
        <v>80200751</v>
      </c>
      <c r="M769" s="724" t="s">
        <v>955</v>
      </c>
      <c r="N769" s="746"/>
      <c r="O769" s="746"/>
      <c r="P769" s="746"/>
      <c r="Q769" s="746"/>
      <c r="R769" s="521"/>
      <c r="S769" s="521"/>
    </row>
    <row r="770" spans="1:19">
      <c r="A770" s="721">
        <v>203</v>
      </c>
      <c r="B770" s="721">
        <v>20221195002</v>
      </c>
      <c r="C770" s="721" t="s">
        <v>3402</v>
      </c>
      <c r="D770" s="721">
        <v>195</v>
      </c>
      <c r="E770" s="721" t="s">
        <v>2832</v>
      </c>
      <c r="F770" s="721" t="s">
        <v>122</v>
      </c>
      <c r="G770" s="721" t="s">
        <v>108</v>
      </c>
      <c r="H770" s="721">
        <v>1</v>
      </c>
      <c r="I770" s="721"/>
      <c r="J770" s="721" t="s">
        <v>3403</v>
      </c>
      <c r="K770" s="721" t="s">
        <v>2044</v>
      </c>
      <c r="L770" s="721">
        <v>79628479</v>
      </c>
      <c r="M770" s="722" t="s">
        <v>955</v>
      </c>
      <c r="N770" s="746"/>
      <c r="O770" s="746"/>
      <c r="P770" s="746"/>
      <c r="Q770" s="746"/>
      <c r="R770" s="521"/>
      <c r="S770" s="521"/>
    </row>
    <row r="771" spans="1:19">
      <c r="A771" s="725" t="s">
        <v>2292</v>
      </c>
      <c r="B771" s="725" t="s">
        <v>2292</v>
      </c>
      <c r="C771" s="725" t="s">
        <v>2292</v>
      </c>
      <c r="D771" s="725" t="s">
        <v>2292</v>
      </c>
      <c r="E771" s="725" t="s">
        <v>2292</v>
      </c>
      <c r="F771" s="725" t="s">
        <v>2292</v>
      </c>
      <c r="G771" s="725" t="s">
        <v>2292</v>
      </c>
      <c r="H771" s="725" t="s">
        <v>2292</v>
      </c>
      <c r="I771" s="725" t="s">
        <v>2292</v>
      </c>
      <c r="J771" s="725" t="s">
        <v>2292</v>
      </c>
      <c r="K771" s="725" t="s">
        <v>2292</v>
      </c>
      <c r="L771" s="725" t="s">
        <v>2292</v>
      </c>
      <c r="M771" s="725" t="s">
        <v>2292</v>
      </c>
      <c r="N771" s="746"/>
      <c r="O771" s="746"/>
      <c r="P771" s="746"/>
      <c r="Q771" s="746"/>
      <c r="R771" s="521"/>
      <c r="S771" s="521"/>
    </row>
    <row r="772" spans="1:19" ht="25.5">
      <c r="A772" s="719" t="s">
        <v>2033</v>
      </c>
      <c r="B772" s="719" t="s">
        <v>3404</v>
      </c>
      <c r="C772"/>
      <c r="D772"/>
      <c r="E772"/>
      <c r="F772"/>
      <c r="G772"/>
      <c r="H772"/>
      <c r="I772"/>
      <c r="J772"/>
      <c r="K772"/>
      <c r="L772"/>
      <c r="M772"/>
      <c r="N772" s="746"/>
      <c r="O772" s="746"/>
      <c r="P772" s="746"/>
      <c r="Q772" s="746"/>
      <c r="R772" s="521"/>
      <c r="S772" s="521"/>
    </row>
    <row r="773" spans="1:19" ht="25.5">
      <c r="A773" s="720" t="s">
        <v>2035</v>
      </c>
      <c r="B773" s="720" t="s">
        <v>2036</v>
      </c>
      <c r="C773" s="720" t="s">
        <v>1</v>
      </c>
      <c r="D773" s="720" t="s">
        <v>2037</v>
      </c>
      <c r="E773" s="720" t="s">
        <v>3</v>
      </c>
      <c r="F773" s="720" t="s">
        <v>4</v>
      </c>
      <c r="G773" s="720" t="s">
        <v>2038</v>
      </c>
      <c r="H773" s="720" t="s">
        <v>6</v>
      </c>
      <c r="I773" s="720" t="s">
        <v>7</v>
      </c>
      <c r="J773" s="720" t="s">
        <v>8</v>
      </c>
      <c r="K773" s="720" t="s">
        <v>2039</v>
      </c>
      <c r="L773" s="720" t="s">
        <v>10</v>
      </c>
      <c r="M773" s="720" t="s">
        <v>2040</v>
      </c>
      <c r="N773" s="746"/>
      <c r="O773" s="746"/>
      <c r="P773" s="746"/>
      <c r="Q773" s="746"/>
      <c r="R773" s="521"/>
      <c r="S773" s="521"/>
    </row>
    <row r="774" spans="1:19">
      <c r="A774" s="721">
        <v>204</v>
      </c>
      <c r="B774" s="721">
        <v>20201195005</v>
      </c>
      <c r="C774" s="721" t="s">
        <v>3405</v>
      </c>
      <c r="D774" s="721">
        <v>195</v>
      </c>
      <c r="E774" s="721" t="s">
        <v>2832</v>
      </c>
      <c r="F774" s="721" t="s">
        <v>147</v>
      </c>
      <c r="G774" s="721" t="s">
        <v>3406</v>
      </c>
      <c r="H774" s="721">
        <v>3</v>
      </c>
      <c r="I774" s="721" t="s">
        <v>3407</v>
      </c>
      <c r="J774" s="721" t="s">
        <v>3408</v>
      </c>
      <c r="K774" s="721" t="s">
        <v>2044</v>
      </c>
      <c r="L774" s="721">
        <v>1018438615</v>
      </c>
      <c r="M774" s="721" t="s">
        <v>3322</v>
      </c>
      <c r="N774" s="746"/>
      <c r="O774" s="746"/>
      <c r="P774" s="746"/>
      <c r="Q774" s="746"/>
      <c r="R774" s="521"/>
      <c r="S774" s="521"/>
    </row>
    <row r="775" spans="1:19">
      <c r="A775" s="723">
        <v>205</v>
      </c>
      <c r="B775" s="723">
        <v>20201195010</v>
      </c>
      <c r="C775" s="723" t="s">
        <v>3409</v>
      </c>
      <c r="D775" s="723">
        <v>195</v>
      </c>
      <c r="E775" s="723" t="s">
        <v>2832</v>
      </c>
      <c r="F775" s="723" t="s">
        <v>147</v>
      </c>
      <c r="G775" s="723" t="s">
        <v>3406</v>
      </c>
      <c r="H775" s="723">
        <v>4</v>
      </c>
      <c r="I775" s="723" t="s">
        <v>3410</v>
      </c>
      <c r="J775" s="723" t="s">
        <v>3411</v>
      </c>
      <c r="K775" s="723" t="s">
        <v>2044</v>
      </c>
      <c r="L775" s="723">
        <v>1018463406</v>
      </c>
      <c r="M775" s="723" t="s">
        <v>3322</v>
      </c>
      <c r="N775" s="746"/>
      <c r="O775" s="746"/>
      <c r="P775" s="746"/>
      <c r="Q775" s="746"/>
      <c r="R775" s="521"/>
      <c r="S775" s="521"/>
    </row>
    <row r="776" spans="1:19">
      <c r="A776" s="721">
        <v>206</v>
      </c>
      <c r="B776" s="721">
        <v>20201195011</v>
      </c>
      <c r="C776" s="721" t="s">
        <v>3412</v>
      </c>
      <c r="D776" s="721">
        <v>195</v>
      </c>
      <c r="E776" s="721" t="s">
        <v>2832</v>
      </c>
      <c r="F776" s="721" t="s">
        <v>147</v>
      </c>
      <c r="G776" s="721" t="s">
        <v>3406</v>
      </c>
      <c r="H776" s="721">
        <v>3</v>
      </c>
      <c r="I776" s="721" t="s">
        <v>3413</v>
      </c>
      <c r="J776" s="721" t="s">
        <v>3413</v>
      </c>
      <c r="K776" s="721" t="s">
        <v>2044</v>
      </c>
      <c r="L776" s="721">
        <v>1022409452</v>
      </c>
      <c r="M776" s="721" t="s">
        <v>3322</v>
      </c>
      <c r="N776" s="746"/>
      <c r="O776" s="746"/>
      <c r="P776" s="746"/>
      <c r="Q776" s="746"/>
      <c r="R776" s="521"/>
      <c r="S776" s="521"/>
    </row>
    <row r="777" spans="1:19">
      <c r="A777" s="723">
        <v>207</v>
      </c>
      <c r="B777" s="723">
        <v>20202195004</v>
      </c>
      <c r="C777" s="723" t="s">
        <v>3414</v>
      </c>
      <c r="D777" s="723">
        <v>195</v>
      </c>
      <c r="E777" s="723" t="s">
        <v>2832</v>
      </c>
      <c r="F777" s="723" t="s">
        <v>147</v>
      </c>
      <c r="G777" s="723" t="s">
        <v>3406</v>
      </c>
      <c r="H777" s="723">
        <v>1</v>
      </c>
      <c r="I777" s="723" t="s">
        <v>3415</v>
      </c>
      <c r="J777" s="723" t="s">
        <v>3416</v>
      </c>
      <c r="K777" s="723" t="s">
        <v>2044</v>
      </c>
      <c r="L777" s="723">
        <v>1106397288</v>
      </c>
      <c r="M777" s="723" t="s">
        <v>3322</v>
      </c>
      <c r="N777" s="746"/>
      <c r="O777" s="746"/>
      <c r="P777" s="746"/>
      <c r="Q777" s="746"/>
      <c r="R777" s="521"/>
      <c r="S777" s="521"/>
    </row>
    <row r="778" spans="1:19">
      <c r="A778" s="721">
        <v>208</v>
      </c>
      <c r="B778" s="721">
        <v>20202195006</v>
      </c>
      <c r="C778" s="721" t="s">
        <v>3417</v>
      </c>
      <c r="D778" s="721">
        <v>195</v>
      </c>
      <c r="E778" s="721" t="s">
        <v>2832</v>
      </c>
      <c r="F778" s="721" t="s">
        <v>147</v>
      </c>
      <c r="G778" s="721" t="s">
        <v>3406</v>
      </c>
      <c r="H778" s="721">
        <v>3</v>
      </c>
      <c r="I778" s="721" t="s">
        <v>3418</v>
      </c>
      <c r="J778" s="721" t="s">
        <v>3419</v>
      </c>
      <c r="K778" s="721" t="s">
        <v>2044</v>
      </c>
      <c r="L778" s="721">
        <v>1013596422</v>
      </c>
      <c r="M778" s="721" t="s">
        <v>3322</v>
      </c>
      <c r="N778" s="746"/>
      <c r="O778" s="746"/>
      <c r="P778" s="746"/>
      <c r="Q778" s="746"/>
      <c r="R778" s="521"/>
      <c r="S778" s="521"/>
    </row>
    <row r="779" spans="1:19">
      <c r="A779" s="723">
        <v>209</v>
      </c>
      <c r="B779" s="723">
        <v>20212195003</v>
      </c>
      <c r="C779" s="723" t="s">
        <v>3420</v>
      </c>
      <c r="D779" s="723">
        <v>195</v>
      </c>
      <c r="E779" s="723" t="s">
        <v>2832</v>
      </c>
      <c r="F779" s="723" t="s">
        <v>147</v>
      </c>
      <c r="G779" s="723" t="s">
        <v>3406</v>
      </c>
      <c r="H779" s="723">
        <v>4</v>
      </c>
      <c r="I779" s="723" t="s">
        <v>3421</v>
      </c>
      <c r="J779" s="723" t="s">
        <v>3422</v>
      </c>
      <c r="K779" s="723" t="s">
        <v>2044</v>
      </c>
      <c r="L779" s="723">
        <v>1030558211</v>
      </c>
      <c r="M779" s="723" t="s">
        <v>3322</v>
      </c>
      <c r="N779" s="746"/>
      <c r="O779" s="746"/>
      <c r="P779" s="746"/>
      <c r="Q779" s="746"/>
      <c r="R779" s="521"/>
      <c r="S779" s="521"/>
    </row>
    <row r="780" spans="1:19" ht="14.25" customHeight="1">
      <c r="A780" s="725" t="s">
        <v>2292</v>
      </c>
      <c r="B780" s="725" t="s">
        <v>2292</v>
      </c>
      <c r="C780" s="725" t="s">
        <v>2292</v>
      </c>
      <c r="D780" s="725" t="s">
        <v>2292</v>
      </c>
      <c r="E780" s="725" t="s">
        <v>2292</v>
      </c>
      <c r="F780" s="725" t="s">
        <v>2292</v>
      </c>
      <c r="G780" s="725" t="s">
        <v>2292</v>
      </c>
      <c r="H780" s="725" t="s">
        <v>2292</v>
      </c>
      <c r="I780" s="725" t="s">
        <v>2292</v>
      </c>
      <c r="J780" s="725" t="s">
        <v>2292</v>
      </c>
      <c r="K780" s="725" t="s">
        <v>2292</v>
      </c>
      <c r="L780" s="725" t="s">
        <v>2292</v>
      </c>
      <c r="M780" s="725" t="s">
        <v>2292</v>
      </c>
      <c r="N780" s="746"/>
      <c r="O780" s="746"/>
      <c r="P780" s="746"/>
      <c r="Q780" s="746"/>
      <c r="R780" s="521"/>
      <c r="S780" s="521"/>
    </row>
    <row r="781" spans="1:19" ht="25.5">
      <c r="A781" s="719" t="s">
        <v>2033</v>
      </c>
      <c r="B781" s="719" t="s">
        <v>2544</v>
      </c>
      <c r="C781"/>
      <c r="D781"/>
      <c r="E781"/>
      <c r="F781"/>
      <c r="G781"/>
      <c r="H781"/>
      <c r="I781"/>
      <c r="J781"/>
      <c r="K781"/>
      <c r="L781"/>
      <c r="M781"/>
      <c r="N781" s="746"/>
      <c r="O781" s="746"/>
      <c r="P781" s="746"/>
      <c r="Q781" s="746"/>
      <c r="R781" s="521"/>
      <c r="S781" s="521"/>
    </row>
    <row r="782" spans="1:19" ht="25.5">
      <c r="A782" s="720" t="s">
        <v>2035</v>
      </c>
      <c r="B782" s="720" t="s">
        <v>2036</v>
      </c>
      <c r="C782" s="720" t="s">
        <v>1</v>
      </c>
      <c r="D782" s="720" t="s">
        <v>2037</v>
      </c>
      <c r="E782" s="720" t="s">
        <v>3</v>
      </c>
      <c r="F782" s="720" t="s">
        <v>4</v>
      </c>
      <c r="G782" s="720" t="s">
        <v>2038</v>
      </c>
      <c r="H782" s="720" t="s">
        <v>6</v>
      </c>
      <c r="I782" s="720" t="s">
        <v>7</v>
      </c>
      <c r="J782" s="720" t="s">
        <v>8</v>
      </c>
      <c r="K782" s="720" t="s">
        <v>2039</v>
      </c>
      <c r="L782" s="720" t="s">
        <v>10</v>
      </c>
      <c r="M782" s="720" t="s">
        <v>2040</v>
      </c>
      <c r="N782" s="746"/>
      <c r="O782" s="746"/>
      <c r="P782" s="746"/>
      <c r="Q782" s="746"/>
      <c r="R782" s="521"/>
      <c r="S782" s="521"/>
    </row>
    <row r="783" spans="1:19" ht="14.25" customHeight="1">
      <c r="A783" s="721">
        <v>210</v>
      </c>
      <c r="B783" s="721">
        <v>9929531</v>
      </c>
      <c r="C783" s="721" t="s">
        <v>3423</v>
      </c>
      <c r="D783" s="721">
        <v>195</v>
      </c>
      <c r="E783" s="721" t="s">
        <v>2832</v>
      </c>
      <c r="F783" s="721" t="s">
        <v>154</v>
      </c>
      <c r="G783" s="721" t="s">
        <v>2546</v>
      </c>
      <c r="H783" s="721">
        <v>3</v>
      </c>
      <c r="I783" s="721" t="s">
        <v>3424</v>
      </c>
      <c r="J783" s="721" t="s">
        <v>3425</v>
      </c>
      <c r="K783" s="721" t="s">
        <v>2044</v>
      </c>
      <c r="L783" s="721">
        <v>79472385</v>
      </c>
      <c r="M783" s="721" t="s">
        <v>2936</v>
      </c>
      <c r="N783" s="746"/>
      <c r="O783" s="746"/>
      <c r="P783" s="746"/>
      <c r="Q783" s="746"/>
      <c r="R783" s="521"/>
      <c r="S783" s="521"/>
    </row>
    <row r="784" spans="1:19" ht="25.5">
      <c r="A784" s="723">
        <v>211</v>
      </c>
      <c r="B784" s="723">
        <v>9929539</v>
      </c>
      <c r="C784" s="723" t="s">
        <v>3426</v>
      </c>
      <c r="D784" s="723">
        <v>195</v>
      </c>
      <c r="E784" s="723" t="s">
        <v>2832</v>
      </c>
      <c r="F784" s="723" t="s">
        <v>154</v>
      </c>
      <c r="G784" s="723" t="s">
        <v>2546</v>
      </c>
      <c r="H784" s="723">
        <v>3</v>
      </c>
      <c r="I784" s="723" t="s">
        <v>3427</v>
      </c>
      <c r="J784" s="723" t="s">
        <v>3428</v>
      </c>
      <c r="K784" s="723" t="s">
        <v>2044</v>
      </c>
      <c r="L784" s="723">
        <v>7545588</v>
      </c>
      <c r="M784" s="723" t="s">
        <v>2936</v>
      </c>
      <c r="N784" s="746"/>
      <c r="O784" s="746"/>
      <c r="P784" s="746"/>
      <c r="Q784" s="746"/>
      <c r="R784" s="521"/>
      <c r="S784" s="521"/>
    </row>
    <row r="785" spans="1:19" ht="25.5">
      <c r="A785" s="721">
        <v>212</v>
      </c>
      <c r="B785" s="721">
        <v>20012095004</v>
      </c>
      <c r="C785" s="721" t="s">
        <v>3429</v>
      </c>
      <c r="D785" s="721">
        <v>195</v>
      </c>
      <c r="E785" s="721" t="s">
        <v>2832</v>
      </c>
      <c r="F785" s="721" t="s">
        <v>154</v>
      </c>
      <c r="G785" s="721" t="s">
        <v>2546</v>
      </c>
      <c r="H785" s="721">
        <v>3</v>
      </c>
      <c r="I785" s="721" t="s">
        <v>3430</v>
      </c>
      <c r="J785" s="721" t="s">
        <v>3431</v>
      </c>
      <c r="K785" s="721" t="s">
        <v>2044</v>
      </c>
      <c r="L785" s="721">
        <v>79483121</v>
      </c>
      <c r="M785" s="721" t="s">
        <v>3269</v>
      </c>
      <c r="N785" s="746"/>
      <c r="O785" s="746"/>
      <c r="P785" s="746"/>
      <c r="Q785" s="746"/>
      <c r="R785" s="521"/>
      <c r="S785" s="521"/>
    </row>
    <row r="786" spans="1:19" ht="25.5">
      <c r="A786" s="723">
        <v>213</v>
      </c>
      <c r="B786" s="723">
        <v>20032095009</v>
      </c>
      <c r="C786" s="723" t="s">
        <v>3432</v>
      </c>
      <c r="D786" s="723">
        <v>195</v>
      </c>
      <c r="E786" s="723" t="s">
        <v>2832</v>
      </c>
      <c r="F786" s="723" t="s">
        <v>154</v>
      </c>
      <c r="G786" s="723" t="s">
        <v>2546</v>
      </c>
      <c r="H786" s="723" t="s">
        <v>2043</v>
      </c>
      <c r="I786" s="723"/>
      <c r="J786" s="723"/>
      <c r="K786" s="723" t="s">
        <v>2044</v>
      </c>
      <c r="L786" s="723">
        <v>79414063</v>
      </c>
      <c r="M786" s="723" t="s">
        <v>2830</v>
      </c>
      <c r="N786" s="746"/>
      <c r="O786" s="746"/>
      <c r="P786" s="746"/>
      <c r="Q786" s="746"/>
      <c r="R786" s="521"/>
      <c r="S786" s="521"/>
    </row>
    <row r="787" spans="1:19" ht="25.5">
      <c r="A787" s="721">
        <v>214</v>
      </c>
      <c r="B787" s="721">
        <v>20032095017</v>
      </c>
      <c r="C787" s="721" t="s">
        <v>3433</v>
      </c>
      <c r="D787" s="721">
        <v>195</v>
      </c>
      <c r="E787" s="721" t="s">
        <v>2832</v>
      </c>
      <c r="F787" s="721" t="s">
        <v>154</v>
      </c>
      <c r="G787" s="721" t="s">
        <v>2546</v>
      </c>
      <c r="H787" s="721" t="s">
        <v>2043</v>
      </c>
      <c r="I787" s="721" t="s">
        <v>3434</v>
      </c>
      <c r="J787" s="721" t="s">
        <v>3435</v>
      </c>
      <c r="K787" s="721" t="s">
        <v>2044</v>
      </c>
      <c r="L787" s="721">
        <v>79425695</v>
      </c>
      <c r="M787" s="721" t="s">
        <v>2184</v>
      </c>
      <c r="N787" s="746"/>
      <c r="O787" s="746"/>
      <c r="P787" s="746"/>
      <c r="Q787" s="746"/>
      <c r="R787" s="521"/>
      <c r="S787" s="521"/>
    </row>
    <row r="788" spans="1:19" ht="25.5">
      <c r="A788" s="723">
        <v>215</v>
      </c>
      <c r="B788" s="723">
        <v>20041195001</v>
      </c>
      <c r="C788" s="723" t="s">
        <v>3436</v>
      </c>
      <c r="D788" s="723">
        <v>195</v>
      </c>
      <c r="E788" s="723" t="s">
        <v>2832</v>
      </c>
      <c r="F788" s="723" t="s">
        <v>154</v>
      </c>
      <c r="G788" s="723" t="s">
        <v>2546</v>
      </c>
      <c r="H788" s="723" t="s">
        <v>2043</v>
      </c>
      <c r="I788" s="723" t="s">
        <v>3437</v>
      </c>
      <c r="J788" s="723" t="s">
        <v>3438</v>
      </c>
      <c r="K788" s="723" t="s">
        <v>2044</v>
      </c>
      <c r="L788" s="723">
        <v>79576183</v>
      </c>
      <c r="M788" s="723" t="s">
        <v>2126</v>
      </c>
      <c r="N788" s="746"/>
      <c r="O788" s="746"/>
      <c r="P788" s="746"/>
      <c r="Q788" s="746"/>
      <c r="R788" s="521"/>
      <c r="S788" s="521"/>
    </row>
    <row r="789" spans="1:19" ht="25.5">
      <c r="A789" s="721">
        <v>216</v>
      </c>
      <c r="B789" s="721">
        <v>20041195005</v>
      </c>
      <c r="C789" s="721" t="s">
        <v>3439</v>
      </c>
      <c r="D789" s="721">
        <v>195</v>
      </c>
      <c r="E789" s="721" t="s">
        <v>2832</v>
      </c>
      <c r="F789" s="721" t="s">
        <v>154</v>
      </c>
      <c r="G789" s="721" t="s">
        <v>2546</v>
      </c>
      <c r="H789" s="721" t="s">
        <v>2043</v>
      </c>
      <c r="I789" s="721"/>
      <c r="J789" s="721"/>
      <c r="K789" s="721" t="s">
        <v>2044</v>
      </c>
      <c r="L789" s="721">
        <v>74187327</v>
      </c>
      <c r="M789" s="722" t="s">
        <v>955</v>
      </c>
      <c r="N789" s="746"/>
      <c r="O789" s="746"/>
      <c r="P789" s="746"/>
      <c r="Q789" s="746"/>
      <c r="R789" s="521"/>
      <c r="S789" s="521"/>
    </row>
    <row r="790" spans="1:19" ht="25.5">
      <c r="A790" s="723">
        <v>217</v>
      </c>
      <c r="B790" s="723">
        <v>20041195006</v>
      </c>
      <c r="C790" s="723" t="s">
        <v>3440</v>
      </c>
      <c r="D790" s="723">
        <v>195</v>
      </c>
      <c r="E790" s="723" t="s">
        <v>2832</v>
      </c>
      <c r="F790" s="723" t="s">
        <v>154</v>
      </c>
      <c r="G790" s="723" t="s">
        <v>2546</v>
      </c>
      <c r="H790" s="723" t="s">
        <v>2043</v>
      </c>
      <c r="I790" s="723" t="s">
        <v>3247</v>
      </c>
      <c r="J790" s="723" t="s">
        <v>3441</v>
      </c>
      <c r="K790" s="723" t="s">
        <v>2044</v>
      </c>
      <c r="L790" s="723">
        <v>79578336</v>
      </c>
      <c r="M790" s="723" t="s">
        <v>2830</v>
      </c>
      <c r="N790" s="746"/>
      <c r="O790" s="746"/>
      <c r="P790" s="746"/>
      <c r="Q790" s="746"/>
      <c r="R790" s="521"/>
      <c r="S790" s="521"/>
    </row>
    <row r="791" spans="1:19" ht="25.5">
      <c r="A791" s="721">
        <v>218</v>
      </c>
      <c r="B791" s="721">
        <v>20041195010</v>
      </c>
      <c r="C791" s="721" t="s">
        <v>3442</v>
      </c>
      <c r="D791" s="721">
        <v>195</v>
      </c>
      <c r="E791" s="721" t="s">
        <v>2832</v>
      </c>
      <c r="F791" s="721" t="s">
        <v>154</v>
      </c>
      <c r="G791" s="721" t="s">
        <v>2546</v>
      </c>
      <c r="H791" s="721" t="s">
        <v>2043</v>
      </c>
      <c r="I791" s="721" t="s">
        <v>3443</v>
      </c>
      <c r="J791" s="721" t="s">
        <v>3444</v>
      </c>
      <c r="K791" s="721" t="s">
        <v>2044</v>
      </c>
      <c r="L791" s="721">
        <v>79788244</v>
      </c>
      <c r="M791" s="721" t="s">
        <v>2113</v>
      </c>
      <c r="N791" s="746"/>
      <c r="O791" s="746"/>
      <c r="P791" s="746"/>
      <c r="Q791" s="746"/>
      <c r="R791" s="521"/>
      <c r="S791" s="521"/>
    </row>
    <row r="792" spans="1:19" ht="25.5">
      <c r="A792" s="723">
        <v>219</v>
      </c>
      <c r="B792" s="723">
        <v>20041195012</v>
      </c>
      <c r="C792" s="723" t="s">
        <v>3445</v>
      </c>
      <c r="D792" s="723">
        <v>195</v>
      </c>
      <c r="E792" s="723" t="s">
        <v>2832</v>
      </c>
      <c r="F792" s="723" t="s">
        <v>154</v>
      </c>
      <c r="G792" s="723" t="s">
        <v>2546</v>
      </c>
      <c r="H792" s="723" t="s">
        <v>2043</v>
      </c>
      <c r="I792" s="723" t="s">
        <v>3446</v>
      </c>
      <c r="J792" s="723" t="s">
        <v>3447</v>
      </c>
      <c r="K792" s="723" t="s">
        <v>2044</v>
      </c>
      <c r="L792" s="723">
        <v>74184170</v>
      </c>
      <c r="M792" s="723" t="s">
        <v>2126</v>
      </c>
      <c r="N792" s="746"/>
      <c r="O792" s="746"/>
      <c r="P792" s="746"/>
      <c r="Q792" s="746"/>
      <c r="R792" s="521"/>
      <c r="S792" s="521"/>
    </row>
    <row r="793" spans="1:19" ht="25.5">
      <c r="A793" s="721">
        <v>220</v>
      </c>
      <c r="B793" s="721">
        <v>20041195014</v>
      </c>
      <c r="C793" s="721" t="s">
        <v>3448</v>
      </c>
      <c r="D793" s="721">
        <v>195</v>
      </c>
      <c r="E793" s="721" t="s">
        <v>2832</v>
      </c>
      <c r="F793" s="721" t="s">
        <v>154</v>
      </c>
      <c r="G793" s="721" t="s">
        <v>2546</v>
      </c>
      <c r="H793" s="721" t="s">
        <v>2043</v>
      </c>
      <c r="I793" s="721"/>
      <c r="J793" s="721"/>
      <c r="K793" s="721" t="s">
        <v>2044</v>
      </c>
      <c r="L793" s="721">
        <v>80021637</v>
      </c>
      <c r="M793" s="721" t="s">
        <v>2252</v>
      </c>
      <c r="N793" s="746"/>
      <c r="O793" s="746"/>
      <c r="P793" s="746"/>
      <c r="Q793" s="746"/>
      <c r="R793" s="521"/>
      <c r="S793" s="521"/>
    </row>
    <row r="794" spans="1:19" ht="25.5">
      <c r="A794" s="723">
        <v>221</v>
      </c>
      <c r="B794" s="723">
        <v>20041195015</v>
      </c>
      <c r="C794" s="723" t="s">
        <v>3449</v>
      </c>
      <c r="D794" s="723">
        <v>195</v>
      </c>
      <c r="E794" s="723" t="s">
        <v>2832</v>
      </c>
      <c r="F794" s="723" t="s">
        <v>154</v>
      </c>
      <c r="G794" s="723" t="s">
        <v>2546</v>
      </c>
      <c r="H794" s="723" t="s">
        <v>2043</v>
      </c>
      <c r="I794" s="723"/>
      <c r="J794" s="723"/>
      <c r="K794" s="723" t="s">
        <v>2044</v>
      </c>
      <c r="L794" s="723">
        <v>79943556</v>
      </c>
      <c r="M794" s="724" t="s">
        <v>955</v>
      </c>
      <c r="N794" s="746"/>
      <c r="O794" s="746"/>
      <c r="P794" s="746"/>
      <c r="Q794" s="746"/>
      <c r="R794" s="521"/>
      <c r="S794" s="521"/>
    </row>
    <row r="795" spans="1:19" ht="25.5">
      <c r="A795" s="721">
        <v>222</v>
      </c>
      <c r="B795" s="721">
        <v>20041195017</v>
      </c>
      <c r="C795" s="721" t="s">
        <v>3450</v>
      </c>
      <c r="D795" s="721">
        <v>195</v>
      </c>
      <c r="E795" s="721" t="s">
        <v>2832</v>
      </c>
      <c r="F795" s="721" t="s">
        <v>154</v>
      </c>
      <c r="G795" s="721" t="s">
        <v>2546</v>
      </c>
      <c r="H795" s="721" t="s">
        <v>2043</v>
      </c>
      <c r="I795" s="721" t="s">
        <v>3451</v>
      </c>
      <c r="J795" s="721" t="s">
        <v>3452</v>
      </c>
      <c r="K795" s="721" t="s">
        <v>2044</v>
      </c>
      <c r="L795" s="721">
        <v>79137742</v>
      </c>
      <c r="M795" s="721" t="s">
        <v>2184</v>
      </c>
      <c r="N795" s="746"/>
      <c r="O795" s="746"/>
      <c r="P795" s="746"/>
      <c r="Q795" s="746"/>
      <c r="R795" s="521"/>
      <c r="S795" s="521"/>
    </row>
    <row r="796" spans="1:19" ht="25.5">
      <c r="A796" s="723">
        <v>223</v>
      </c>
      <c r="B796" s="723">
        <v>20041195021</v>
      </c>
      <c r="C796" s="723" t="s">
        <v>3453</v>
      </c>
      <c r="D796" s="723">
        <v>195</v>
      </c>
      <c r="E796" s="723" t="s">
        <v>2832</v>
      </c>
      <c r="F796" s="723" t="s">
        <v>154</v>
      </c>
      <c r="G796" s="723" t="s">
        <v>2546</v>
      </c>
      <c r="H796" s="723" t="s">
        <v>2043</v>
      </c>
      <c r="I796" s="723" t="s">
        <v>3454</v>
      </c>
      <c r="J796" s="723" t="s">
        <v>3455</v>
      </c>
      <c r="K796" s="723" t="s">
        <v>2044</v>
      </c>
      <c r="L796" s="723">
        <v>52530310</v>
      </c>
      <c r="M796" s="723" t="s">
        <v>2830</v>
      </c>
      <c r="N796" s="746"/>
      <c r="O796" s="746"/>
      <c r="P796" s="746"/>
      <c r="Q796" s="746"/>
      <c r="R796" s="521"/>
      <c r="S796" s="521"/>
    </row>
    <row r="797" spans="1:19" ht="25.5">
      <c r="A797" s="721">
        <v>224</v>
      </c>
      <c r="B797" s="721">
        <v>20041195022</v>
      </c>
      <c r="C797" s="721" t="s">
        <v>3456</v>
      </c>
      <c r="D797" s="721">
        <v>195</v>
      </c>
      <c r="E797" s="721" t="s">
        <v>2832</v>
      </c>
      <c r="F797" s="721" t="s">
        <v>154</v>
      </c>
      <c r="G797" s="721" t="s">
        <v>2546</v>
      </c>
      <c r="H797" s="721" t="s">
        <v>2043</v>
      </c>
      <c r="I797" s="721"/>
      <c r="J797" s="721"/>
      <c r="K797" s="721" t="s">
        <v>2044</v>
      </c>
      <c r="L797" s="721">
        <v>19457291</v>
      </c>
      <c r="M797" s="722" t="s">
        <v>955</v>
      </c>
      <c r="N797" s="746"/>
      <c r="O797" s="746"/>
      <c r="P797" s="746"/>
      <c r="Q797" s="746"/>
      <c r="R797" s="521"/>
      <c r="S797" s="521"/>
    </row>
    <row r="798" spans="1:19" ht="25.5">
      <c r="A798" s="723">
        <v>225</v>
      </c>
      <c r="B798" s="723">
        <v>20041195023</v>
      </c>
      <c r="C798" s="723" t="s">
        <v>3457</v>
      </c>
      <c r="D798" s="723">
        <v>195</v>
      </c>
      <c r="E798" s="723" t="s">
        <v>2832</v>
      </c>
      <c r="F798" s="723" t="s">
        <v>154</v>
      </c>
      <c r="G798" s="723" t="s">
        <v>2546</v>
      </c>
      <c r="H798" s="723" t="s">
        <v>2043</v>
      </c>
      <c r="I798" s="723" t="s">
        <v>3458</v>
      </c>
      <c r="J798" s="723" t="s">
        <v>3459</v>
      </c>
      <c r="K798" s="723" t="s">
        <v>2044</v>
      </c>
      <c r="L798" s="723">
        <v>52228374</v>
      </c>
      <c r="M798" s="723" t="s">
        <v>2830</v>
      </c>
      <c r="N798" s="746"/>
      <c r="O798" s="746"/>
      <c r="P798" s="746"/>
      <c r="Q798" s="746"/>
      <c r="R798" s="521"/>
      <c r="S798" s="521"/>
    </row>
    <row r="799" spans="1:19" ht="25.5">
      <c r="A799" s="721">
        <v>226</v>
      </c>
      <c r="B799" s="721">
        <v>20041195024</v>
      </c>
      <c r="C799" s="721" t="s">
        <v>3460</v>
      </c>
      <c r="D799" s="721">
        <v>195</v>
      </c>
      <c r="E799" s="721" t="s">
        <v>2832</v>
      </c>
      <c r="F799" s="721" t="s">
        <v>154</v>
      </c>
      <c r="G799" s="721" t="s">
        <v>2546</v>
      </c>
      <c r="H799" s="721" t="s">
        <v>2043</v>
      </c>
      <c r="I799" s="721"/>
      <c r="J799" s="721"/>
      <c r="K799" s="721" t="s">
        <v>2044</v>
      </c>
      <c r="L799" s="721">
        <v>98384496</v>
      </c>
      <c r="M799" s="722" t="s">
        <v>955</v>
      </c>
      <c r="N799" s="746"/>
      <c r="O799" s="746"/>
      <c r="P799" s="746"/>
      <c r="Q799" s="746"/>
      <c r="R799" s="521"/>
      <c r="S799" s="521"/>
    </row>
    <row r="800" spans="1:19" ht="25.5">
      <c r="A800" s="723">
        <v>227</v>
      </c>
      <c r="B800" s="723">
        <v>20041195026</v>
      </c>
      <c r="C800" s="723" t="s">
        <v>3461</v>
      </c>
      <c r="D800" s="723">
        <v>195</v>
      </c>
      <c r="E800" s="723" t="s">
        <v>2832</v>
      </c>
      <c r="F800" s="723" t="s">
        <v>154</v>
      </c>
      <c r="G800" s="723" t="s">
        <v>2546</v>
      </c>
      <c r="H800" s="723" t="s">
        <v>2043</v>
      </c>
      <c r="I800" s="723"/>
      <c r="J800" s="723"/>
      <c r="K800" s="723" t="s">
        <v>2044</v>
      </c>
      <c r="L800" s="723">
        <v>79650761</v>
      </c>
      <c r="M800" s="724" t="s">
        <v>955</v>
      </c>
      <c r="N800" s="746"/>
      <c r="O800" s="746"/>
      <c r="P800" s="746"/>
      <c r="Q800" s="746"/>
      <c r="R800" s="521"/>
      <c r="S800" s="521"/>
    </row>
    <row r="801" spans="1:19" ht="25.5">
      <c r="A801" s="721">
        <v>228</v>
      </c>
      <c r="B801" s="721">
        <v>20042195003</v>
      </c>
      <c r="C801" s="721" t="s">
        <v>3462</v>
      </c>
      <c r="D801" s="721">
        <v>195</v>
      </c>
      <c r="E801" s="721" t="s">
        <v>2832</v>
      </c>
      <c r="F801" s="721" t="s">
        <v>154</v>
      </c>
      <c r="G801" s="721" t="s">
        <v>2546</v>
      </c>
      <c r="H801" s="721" t="s">
        <v>2043</v>
      </c>
      <c r="I801" s="721" t="s">
        <v>3463</v>
      </c>
      <c r="J801" s="721" t="s">
        <v>3464</v>
      </c>
      <c r="K801" s="721" t="s">
        <v>2044</v>
      </c>
      <c r="L801" s="721">
        <v>79860808</v>
      </c>
      <c r="M801" s="721" t="s">
        <v>2184</v>
      </c>
      <c r="N801" s="746"/>
      <c r="O801" s="746"/>
      <c r="P801" s="746"/>
      <c r="Q801" s="746"/>
      <c r="R801" s="521"/>
      <c r="S801" s="521"/>
    </row>
    <row r="802" spans="1:19" ht="25.5">
      <c r="A802" s="723">
        <v>229</v>
      </c>
      <c r="B802" s="723">
        <v>20042195004</v>
      </c>
      <c r="C802" s="723" t="s">
        <v>3465</v>
      </c>
      <c r="D802" s="723">
        <v>195</v>
      </c>
      <c r="E802" s="723" t="s">
        <v>2832</v>
      </c>
      <c r="F802" s="723" t="s">
        <v>154</v>
      </c>
      <c r="G802" s="723" t="s">
        <v>2546</v>
      </c>
      <c r="H802" s="723" t="s">
        <v>2043</v>
      </c>
      <c r="I802" s="723" t="s">
        <v>3466</v>
      </c>
      <c r="J802" s="723" t="s">
        <v>3467</v>
      </c>
      <c r="K802" s="723" t="s">
        <v>2044</v>
      </c>
      <c r="L802" s="723">
        <v>52856792</v>
      </c>
      <c r="M802" s="723" t="s">
        <v>2286</v>
      </c>
      <c r="N802" s="746"/>
      <c r="O802" s="746"/>
      <c r="P802" s="746"/>
      <c r="Q802" s="746"/>
      <c r="R802" s="521"/>
      <c r="S802" s="521"/>
    </row>
    <row r="803" spans="1:19" ht="25.5">
      <c r="A803" s="721">
        <v>230</v>
      </c>
      <c r="B803" s="721">
        <v>20042195005</v>
      </c>
      <c r="C803" s="721" t="s">
        <v>3468</v>
      </c>
      <c r="D803" s="721">
        <v>195</v>
      </c>
      <c r="E803" s="721" t="s">
        <v>2832</v>
      </c>
      <c r="F803" s="721" t="s">
        <v>154</v>
      </c>
      <c r="G803" s="721" t="s">
        <v>2546</v>
      </c>
      <c r="H803" s="721" t="s">
        <v>2043</v>
      </c>
      <c r="I803" s="721" t="s">
        <v>3469</v>
      </c>
      <c r="J803" s="721" t="s">
        <v>3470</v>
      </c>
      <c r="K803" s="721" t="s">
        <v>2044</v>
      </c>
      <c r="L803" s="721">
        <v>12966163</v>
      </c>
      <c r="M803" s="721" t="s">
        <v>2113</v>
      </c>
      <c r="N803" s="746"/>
      <c r="O803" s="746"/>
      <c r="P803" s="746"/>
      <c r="Q803" s="746"/>
      <c r="R803" s="521"/>
      <c r="S803" s="521"/>
    </row>
    <row r="804" spans="1:19" ht="25.5">
      <c r="A804" s="723">
        <v>231</v>
      </c>
      <c r="B804" s="723">
        <v>20042195007</v>
      </c>
      <c r="C804" s="723" t="s">
        <v>3471</v>
      </c>
      <c r="D804" s="723">
        <v>195</v>
      </c>
      <c r="E804" s="723" t="s">
        <v>2832</v>
      </c>
      <c r="F804" s="723" t="s">
        <v>154</v>
      </c>
      <c r="G804" s="723" t="s">
        <v>2546</v>
      </c>
      <c r="H804" s="723" t="s">
        <v>2043</v>
      </c>
      <c r="I804" s="723" t="s">
        <v>3472</v>
      </c>
      <c r="J804" s="723" t="s">
        <v>3473</v>
      </c>
      <c r="K804" s="723" t="s">
        <v>2044</v>
      </c>
      <c r="L804" s="723">
        <v>79360383</v>
      </c>
      <c r="M804" s="724" t="s">
        <v>955</v>
      </c>
      <c r="N804" s="746"/>
      <c r="O804" s="746"/>
      <c r="P804" s="746"/>
      <c r="Q804" s="746"/>
      <c r="R804" s="521"/>
      <c r="S804" s="521"/>
    </row>
    <row r="805" spans="1:19" ht="25.5">
      <c r="A805" s="721">
        <v>232</v>
      </c>
      <c r="B805" s="721">
        <v>20042195010</v>
      </c>
      <c r="C805" s="721" t="s">
        <v>3474</v>
      </c>
      <c r="D805" s="721">
        <v>195</v>
      </c>
      <c r="E805" s="721" t="s">
        <v>2832</v>
      </c>
      <c r="F805" s="721" t="s">
        <v>154</v>
      </c>
      <c r="G805" s="721" t="s">
        <v>2546</v>
      </c>
      <c r="H805" s="721" t="s">
        <v>2043</v>
      </c>
      <c r="I805" s="721" t="s">
        <v>3475</v>
      </c>
      <c r="J805" s="721" t="s">
        <v>3476</v>
      </c>
      <c r="K805" s="721" t="s">
        <v>2044</v>
      </c>
      <c r="L805" s="721">
        <v>43774216</v>
      </c>
      <c r="M805" s="721" t="s">
        <v>2126</v>
      </c>
      <c r="N805" s="746"/>
      <c r="O805" s="746"/>
      <c r="P805" s="746"/>
      <c r="Q805" s="746"/>
      <c r="R805" s="521"/>
      <c r="S805" s="521"/>
    </row>
    <row r="806" spans="1:19" ht="25.5">
      <c r="A806" s="723">
        <v>233</v>
      </c>
      <c r="B806" s="723">
        <v>20042195011</v>
      </c>
      <c r="C806" s="723" t="s">
        <v>3477</v>
      </c>
      <c r="D806" s="723">
        <v>195</v>
      </c>
      <c r="E806" s="723" t="s">
        <v>2832</v>
      </c>
      <c r="F806" s="723" t="s">
        <v>154</v>
      </c>
      <c r="G806" s="723" t="s">
        <v>2546</v>
      </c>
      <c r="H806" s="723" t="s">
        <v>2043</v>
      </c>
      <c r="I806" s="723" t="s">
        <v>3478</v>
      </c>
      <c r="J806" s="723" t="s">
        <v>3479</v>
      </c>
      <c r="K806" s="723" t="s">
        <v>2044</v>
      </c>
      <c r="L806" s="723">
        <v>52262287</v>
      </c>
      <c r="M806" s="723" t="s">
        <v>2184</v>
      </c>
      <c r="N806" s="746"/>
      <c r="O806" s="746"/>
      <c r="P806" s="746"/>
      <c r="Q806" s="746"/>
      <c r="R806" s="521"/>
      <c r="S806" s="521"/>
    </row>
    <row r="807" spans="1:19" ht="25.5">
      <c r="A807" s="721">
        <v>234</v>
      </c>
      <c r="B807" s="721">
        <v>20042195013</v>
      </c>
      <c r="C807" s="721" t="s">
        <v>3480</v>
      </c>
      <c r="D807" s="721">
        <v>195</v>
      </c>
      <c r="E807" s="721" t="s">
        <v>2832</v>
      </c>
      <c r="F807" s="721" t="s">
        <v>154</v>
      </c>
      <c r="G807" s="721" t="s">
        <v>2546</v>
      </c>
      <c r="H807" s="721" t="s">
        <v>2043</v>
      </c>
      <c r="I807" s="721" t="s">
        <v>3481</v>
      </c>
      <c r="J807" s="721" t="s">
        <v>3482</v>
      </c>
      <c r="K807" s="721" t="s">
        <v>2044</v>
      </c>
      <c r="L807" s="721">
        <v>79756271</v>
      </c>
      <c r="M807" s="721" t="s">
        <v>2830</v>
      </c>
      <c r="N807" s="746"/>
      <c r="O807" s="746"/>
      <c r="P807" s="746"/>
      <c r="Q807" s="746"/>
      <c r="R807" s="521"/>
      <c r="S807" s="521"/>
    </row>
    <row r="808" spans="1:19" ht="25.5">
      <c r="A808" s="723">
        <v>235</v>
      </c>
      <c r="B808" s="723">
        <v>20042195014</v>
      </c>
      <c r="C808" s="723" t="s">
        <v>3483</v>
      </c>
      <c r="D808" s="723">
        <v>195</v>
      </c>
      <c r="E808" s="723" t="s">
        <v>2832</v>
      </c>
      <c r="F808" s="723" t="s">
        <v>154</v>
      </c>
      <c r="G808" s="723" t="s">
        <v>2546</v>
      </c>
      <c r="H808" s="723" t="s">
        <v>2043</v>
      </c>
      <c r="I808" s="723" t="s">
        <v>3484</v>
      </c>
      <c r="J808" s="723" t="s">
        <v>3485</v>
      </c>
      <c r="K808" s="723" t="s">
        <v>2044</v>
      </c>
      <c r="L808" s="723">
        <v>12985822</v>
      </c>
      <c r="M808" s="723" t="s">
        <v>2113</v>
      </c>
      <c r="N808" s="746"/>
      <c r="O808" s="746"/>
      <c r="P808" s="746"/>
      <c r="Q808" s="746"/>
      <c r="R808" s="521"/>
      <c r="S808" s="521"/>
    </row>
    <row r="809" spans="1:19" ht="25.5">
      <c r="A809" s="721">
        <v>236</v>
      </c>
      <c r="B809" s="721">
        <v>20042195015</v>
      </c>
      <c r="C809" s="721" t="s">
        <v>3486</v>
      </c>
      <c r="D809" s="721">
        <v>195</v>
      </c>
      <c r="E809" s="721" t="s">
        <v>2832</v>
      </c>
      <c r="F809" s="721" t="s">
        <v>154</v>
      </c>
      <c r="G809" s="721" t="s">
        <v>2546</v>
      </c>
      <c r="H809" s="721" t="s">
        <v>2043</v>
      </c>
      <c r="I809" s="721" t="s">
        <v>3487</v>
      </c>
      <c r="J809" s="721" t="s">
        <v>3488</v>
      </c>
      <c r="K809" s="721" t="s">
        <v>2044</v>
      </c>
      <c r="L809" s="721">
        <v>19371562</v>
      </c>
      <c r="M809" s="721" t="s">
        <v>2126</v>
      </c>
      <c r="N809" s="746"/>
      <c r="O809" s="746"/>
      <c r="P809" s="746"/>
      <c r="Q809" s="746"/>
      <c r="R809" s="521"/>
      <c r="S809" s="521"/>
    </row>
    <row r="810" spans="1:19" ht="25.5">
      <c r="A810" s="723">
        <v>237</v>
      </c>
      <c r="B810" s="723">
        <v>20042195016</v>
      </c>
      <c r="C810" s="723" t="s">
        <v>3489</v>
      </c>
      <c r="D810" s="723">
        <v>195</v>
      </c>
      <c r="E810" s="723" t="s">
        <v>2832</v>
      </c>
      <c r="F810" s="723" t="s">
        <v>154</v>
      </c>
      <c r="G810" s="723" t="s">
        <v>2546</v>
      </c>
      <c r="H810" s="723" t="s">
        <v>2043</v>
      </c>
      <c r="I810" s="723" t="s">
        <v>3490</v>
      </c>
      <c r="J810" s="723" t="s">
        <v>3491</v>
      </c>
      <c r="K810" s="723" t="s">
        <v>2044</v>
      </c>
      <c r="L810" s="723">
        <v>93411774</v>
      </c>
      <c r="M810" s="723" t="s">
        <v>2113</v>
      </c>
      <c r="N810" s="746"/>
      <c r="O810" s="746"/>
      <c r="P810" s="746"/>
      <c r="Q810" s="746"/>
      <c r="R810" s="521"/>
      <c r="S810" s="521"/>
    </row>
    <row r="811" spans="1:19" ht="25.5">
      <c r="A811" s="721">
        <v>238</v>
      </c>
      <c r="B811" s="721">
        <v>20042195020</v>
      </c>
      <c r="C811" s="721" t="s">
        <v>3492</v>
      </c>
      <c r="D811" s="721">
        <v>195</v>
      </c>
      <c r="E811" s="721" t="s">
        <v>2832</v>
      </c>
      <c r="F811" s="721" t="s">
        <v>154</v>
      </c>
      <c r="G811" s="721" t="s">
        <v>2546</v>
      </c>
      <c r="H811" s="721" t="s">
        <v>2043</v>
      </c>
      <c r="I811" s="721" t="s">
        <v>3493</v>
      </c>
      <c r="J811" s="721" t="s">
        <v>3494</v>
      </c>
      <c r="K811" s="721" t="s">
        <v>2044</v>
      </c>
      <c r="L811" s="721">
        <v>7161428</v>
      </c>
      <c r="M811" s="721" t="s">
        <v>2229</v>
      </c>
      <c r="N811" s="746"/>
      <c r="O811" s="746"/>
      <c r="P811" s="746"/>
      <c r="Q811" s="746"/>
      <c r="R811" s="521"/>
      <c r="S811" s="521"/>
    </row>
    <row r="812" spans="1:19" ht="25.5">
      <c r="A812" s="723">
        <v>239</v>
      </c>
      <c r="B812" s="723">
        <v>20042195022</v>
      </c>
      <c r="C812" s="723" t="s">
        <v>3495</v>
      </c>
      <c r="D812" s="723">
        <v>195</v>
      </c>
      <c r="E812" s="723" t="s">
        <v>2832</v>
      </c>
      <c r="F812" s="723" t="s">
        <v>154</v>
      </c>
      <c r="G812" s="723" t="s">
        <v>2546</v>
      </c>
      <c r="H812" s="723" t="s">
        <v>2043</v>
      </c>
      <c r="I812" s="723" t="s">
        <v>3496</v>
      </c>
      <c r="J812" s="723" t="s">
        <v>3497</v>
      </c>
      <c r="K812" s="723" t="s">
        <v>2044</v>
      </c>
      <c r="L812" s="723">
        <v>76320312</v>
      </c>
      <c r="M812" s="724" t="s">
        <v>955</v>
      </c>
      <c r="N812" s="746"/>
      <c r="O812" s="746"/>
      <c r="P812" s="746"/>
      <c r="Q812" s="746"/>
      <c r="R812" s="521"/>
      <c r="S812" s="521"/>
    </row>
    <row r="813" spans="1:19" ht="25.5">
      <c r="A813" s="721">
        <v>240</v>
      </c>
      <c r="B813" s="721">
        <v>20042195023</v>
      </c>
      <c r="C813" s="721" t="s">
        <v>3498</v>
      </c>
      <c r="D813" s="721">
        <v>195</v>
      </c>
      <c r="E813" s="721" t="s">
        <v>2832</v>
      </c>
      <c r="F813" s="721" t="s">
        <v>154</v>
      </c>
      <c r="G813" s="721" t="s">
        <v>2546</v>
      </c>
      <c r="H813" s="721" t="s">
        <v>2043</v>
      </c>
      <c r="I813" s="721" t="s">
        <v>3499</v>
      </c>
      <c r="J813" s="721" t="s">
        <v>3500</v>
      </c>
      <c r="K813" s="721" t="s">
        <v>2044</v>
      </c>
      <c r="L813" s="721">
        <v>19266719</v>
      </c>
      <c r="M813" s="722" t="s">
        <v>955</v>
      </c>
      <c r="N813" s="746"/>
      <c r="O813" s="746"/>
      <c r="P813" s="746"/>
      <c r="Q813" s="746"/>
      <c r="R813" s="521"/>
      <c r="S813" s="521"/>
    </row>
    <row r="814" spans="1:19" ht="25.5">
      <c r="A814" s="723">
        <v>241</v>
      </c>
      <c r="B814" s="723">
        <v>20051195001</v>
      </c>
      <c r="C814" s="723" t="s">
        <v>3501</v>
      </c>
      <c r="D814" s="723">
        <v>195</v>
      </c>
      <c r="E814" s="723" t="s">
        <v>2832</v>
      </c>
      <c r="F814" s="723" t="s">
        <v>154</v>
      </c>
      <c r="G814" s="723" t="s">
        <v>2546</v>
      </c>
      <c r="H814" s="723" t="s">
        <v>2043</v>
      </c>
      <c r="I814" s="723" t="s">
        <v>3502</v>
      </c>
      <c r="J814" s="723" t="s">
        <v>3503</v>
      </c>
      <c r="K814" s="723" t="s">
        <v>2044</v>
      </c>
      <c r="L814" s="723">
        <v>79618578</v>
      </c>
      <c r="M814" s="723" t="s">
        <v>2830</v>
      </c>
      <c r="N814" s="746"/>
      <c r="O814" s="746"/>
      <c r="P814" s="746"/>
      <c r="Q814" s="746"/>
      <c r="R814" s="521"/>
      <c r="S814" s="521"/>
    </row>
    <row r="815" spans="1:19" ht="25.5">
      <c r="A815" s="721">
        <v>242</v>
      </c>
      <c r="B815" s="721">
        <v>20051195002</v>
      </c>
      <c r="C815" s="721" t="s">
        <v>3504</v>
      </c>
      <c r="D815" s="721">
        <v>195</v>
      </c>
      <c r="E815" s="721" t="s">
        <v>2832</v>
      </c>
      <c r="F815" s="721" t="s">
        <v>154</v>
      </c>
      <c r="G815" s="721" t="s">
        <v>2546</v>
      </c>
      <c r="H815" s="721" t="s">
        <v>2043</v>
      </c>
      <c r="I815" s="721"/>
      <c r="J815" s="721"/>
      <c r="K815" s="721" t="s">
        <v>2044</v>
      </c>
      <c r="L815" s="721">
        <v>79715645</v>
      </c>
      <c r="M815" s="722" t="s">
        <v>955</v>
      </c>
      <c r="N815" s="746"/>
      <c r="O815" s="746"/>
      <c r="P815" s="746"/>
      <c r="Q815" s="746"/>
      <c r="R815" s="521"/>
      <c r="S815" s="521"/>
    </row>
    <row r="816" spans="1:19" ht="25.5">
      <c r="A816" s="723">
        <v>243</v>
      </c>
      <c r="B816" s="723">
        <v>20051195003</v>
      </c>
      <c r="C816" s="723" t="s">
        <v>3505</v>
      </c>
      <c r="D816" s="723">
        <v>195</v>
      </c>
      <c r="E816" s="723" t="s">
        <v>2832</v>
      </c>
      <c r="F816" s="723" t="s">
        <v>154</v>
      </c>
      <c r="G816" s="723" t="s">
        <v>2546</v>
      </c>
      <c r="H816" s="723" t="s">
        <v>2043</v>
      </c>
      <c r="I816" s="723"/>
      <c r="J816" s="723"/>
      <c r="K816" s="723" t="s">
        <v>2044</v>
      </c>
      <c r="L816" s="723">
        <v>79435895</v>
      </c>
      <c r="M816" s="724" t="s">
        <v>955</v>
      </c>
      <c r="N816" s="746"/>
      <c r="O816" s="746"/>
      <c r="P816" s="746"/>
      <c r="Q816" s="746"/>
      <c r="R816" s="521"/>
      <c r="S816" s="521"/>
    </row>
    <row r="817" spans="1:19" ht="25.5">
      <c r="A817" s="721">
        <v>244</v>
      </c>
      <c r="B817" s="721">
        <v>20051195004</v>
      </c>
      <c r="C817" s="721" t="s">
        <v>3506</v>
      </c>
      <c r="D817" s="721">
        <v>195</v>
      </c>
      <c r="E817" s="721" t="s">
        <v>2832</v>
      </c>
      <c r="F817" s="721" t="s">
        <v>154</v>
      </c>
      <c r="G817" s="721" t="s">
        <v>2546</v>
      </c>
      <c r="H817" s="721" t="s">
        <v>2043</v>
      </c>
      <c r="I817" s="721" t="s">
        <v>3507</v>
      </c>
      <c r="J817" s="721" t="s">
        <v>3508</v>
      </c>
      <c r="K817" s="721" t="s">
        <v>2044</v>
      </c>
      <c r="L817" s="721">
        <v>79781420</v>
      </c>
      <c r="M817" s="721" t="s">
        <v>2119</v>
      </c>
      <c r="N817" s="746"/>
      <c r="O817" s="746"/>
      <c r="P817" s="746"/>
      <c r="Q817" s="746"/>
      <c r="R817" s="521"/>
      <c r="S817" s="521"/>
    </row>
    <row r="818" spans="1:19" ht="25.5">
      <c r="A818" s="723">
        <v>245</v>
      </c>
      <c r="B818" s="723">
        <v>20051195005</v>
      </c>
      <c r="C818" s="723" t="s">
        <v>3509</v>
      </c>
      <c r="D818" s="723">
        <v>195</v>
      </c>
      <c r="E818" s="723" t="s">
        <v>2832</v>
      </c>
      <c r="F818" s="723" t="s">
        <v>154</v>
      </c>
      <c r="G818" s="723" t="s">
        <v>2546</v>
      </c>
      <c r="H818" s="723" t="s">
        <v>2043</v>
      </c>
      <c r="I818" s="723" t="s">
        <v>3510</v>
      </c>
      <c r="J818" s="723" t="s">
        <v>3511</v>
      </c>
      <c r="K818" s="723" t="s">
        <v>2044</v>
      </c>
      <c r="L818" s="723">
        <v>80172050</v>
      </c>
      <c r="M818" s="723" t="s">
        <v>2286</v>
      </c>
      <c r="N818" s="746"/>
      <c r="O818" s="746"/>
      <c r="P818" s="746"/>
      <c r="Q818" s="746"/>
      <c r="R818" s="521"/>
      <c r="S818" s="521"/>
    </row>
    <row r="819" spans="1:19" ht="25.5">
      <c r="A819" s="721">
        <v>246</v>
      </c>
      <c r="B819" s="721">
        <v>20051195007</v>
      </c>
      <c r="C819" s="721" t="s">
        <v>3512</v>
      </c>
      <c r="D819" s="721">
        <v>195</v>
      </c>
      <c r="E819" s="721" t="s">
        <v>2832</v>
      </c>
      <c r="F819" s="721" t="s">
        <v>154</v>
      </c>
      <c r="G819" s="721" t="s">
        <v>2546</v>
      </c>
      <c r="H819" s="721" t="s">
        <v>2043</v>
      </c>
      <c r="I819" s="721" t="s">
        <v>3513</v>
      </c>
      <c r="J819" s="721" t="s">
        <v>3514</v>
      </c>
      <c r="K819" s="721" t="s">
        <v>2044</v>
      </c>
      <c r="L819" s="721">
        <v>79761096</v>
      </c>
      <c r="M819" s="721" t="s">
        <v>2184</v>
      </c>
      <c r="N819" s="746"/>
      <c r="O819" s="746"/>
      <c r="P819" s="746"/>
      <c r="Q819" s="746"/>
      <c r="R819" s="521"/>
      <c r="S819" s="521"/>
    </row>
    <row r="820" spans="1:19" ht="25.5">
      <c r="A820" s="723">
        <v>247</v>
      </c>
      <c r="B820" s="723">
        <v>20051195008</v>
      </c>
      <c r="C820" s="723" t="s">
        <v>3515</v>
      </c>
      <c r="D820" s="723">
        <v>195</v>
      </c>
      <c r="E820" s="723" t="s">
        <v>2832</v>
      </c>
      <c r="F820" s="723" t="s">
        <v>154</v>
      </c>
      <c r="G820" s="723" t="s">
        <v>2546</v>
      </c>
      <c r="H820" s="723" t="s">
        <v>2043</v>
      </c>
      <c r="I820" s="723" t="s">
        <v>3516</v>
      </c>
      <c r="J820" s="723" t="s">
        <v>3517</v>
      </c>
      <c r="K820" s="723" t="s">
        <v>2044</v>
      </c>
      <c r="L820" s="723">
        <v>80059179</v>
      </c>
      <c r="M820" s="723" t="s">
        <v>2113</v>
      </c>
      <c r="N820" s="746"/>
      <c r="O820" s="746"/>
      <c r="P820" s="746"/>
      <c r="Q820" s="746"/>
      <c r="R820" s="521"/>
      <c r="S820" s="521"/>
    </row>
    <row r="821" spans="1:19" ht="25.5">
      <c r="A821" s="721">
        <v>248</v>
      </c>
      <c r="B821" s="721">
        <v>20051195009</v>
      </c>
      <c r="C821" s="721" t="s">
        <v>3518</v>
      </c>
      <c r="D821" s="721">
        <v>195</v>
      </c>
      <c r="E821" s="721" t="s">
        <v>2832</v>
      </c>
      <c r="F821" s="721" t="s">
        <v>154</v>
      </c>
      <c r="G821" s="721" t="s">
        <v>2546</v>
      </c>
      <c r="H821" s="721" t="s">
        <v>2043</v>
      </c>
      <c r="I821" s="721" t="s">
        <v>3519</v>
      </c>
      <c r="J821" s="721" t="s">
        <v>3520</v>
      </c>
      <c r="K821" s="721" t="s">
        <v>2044</v>
      </c>
      <c r="L821" s="721">
        <v>79748103</v>
      </c>
      <c r="M821" s="721" t="s">
        <v>2900</v>
      </c>
      <c r="N821" s="746"/>
      <c r="O821" s="746"/>
      <c r="P821" s="746"/>
      <c r="Q821" s="746"/>
      <c r="R821" s="521"/>
      <c r="S821" s="521"/>
    </row>
    <row r="822" spans="1:19" ht="25.5">
      <c r="A822" s="723">
        <v>249</v>
      </c>
      <c r="B822" s="723">
        <v>20051195010</v>
      </c>
      <c r="C822" s="723" t="s">
        <v>3521</v>
      </c>
      <c r="D822" s="723">
        <v>195</v>
      </c>
      <c r="E822" s="723" t="s">
        <v>2832</v>
      </c>
      <c r="F822" s="723" t="s">
        <v>154</v>
      </c>
      <c r="G822" s="723" t="s">
        <v>2546</v>
      </c>
      <c r="H822" s="723" t="s">
        <v>2043</v>
      </c>
      <c r="I822" s="723" t="s">
        <v>3522</v>
      </c>
      <c r="J822" s="723" t="s">
        <v>3522</v>
      </c>
      <c r="K822" s="723" t="s">
        <v>2044</v>
      </c>
      <c r="L822" s="723">
        <v>79877016</v>
      </c>
      <c r="M822" s="724" t="s">
        <v>955</v>
      </c>
      <c r="N822" s="746"/>
      <c r="O822" s="746"/>
      <c r="P822" s="746"/>
      <c r="Q822" s="746"/>
      <c r="R822" s="521"/>
      <c r="S822" s="521"/>
    </row>
    <row r="823" spans="1:19" ht="25.5">
      <c r="A823" s="721">
        <v>250</v>
      </c>
      <c r="B823" s="721">
        <v>20051195011</v>
      </c>
      <c r="C823" s="721" t="s">
        <v>3523</v>
      </c>
      <c r="D823" s="721">
        <v>195</v>
      </c>
      <c r="E823" s="721" t="s">
        <v>2832</v>
      </c>
      <c r="F823" s="721" t="s">
        <v>154</v>
      </c>
      <c r="G823" s="721" t="s">
        <v>2546</v>
      </c>
      <c r="H823" s="721" t="s">
        <v>2043</v>
      </c>
      <c r="I823" s="721" t="s">
        <v>3524</v>
      </c>
      <c r="J823" s="721" t="s">
        <v>3525</v>
      </c>
      <c r="K823" s="721" t="s">
        <v>2044</v>
      </c>
      <c r="L823" s="721">
        <v>52790336</v>
      </c>
      <c r="M823" s="721" t="s">
        <v>2184</v>
      </c>
      <c r="N823" s="746"/>
      <c r="O823" s="746"/>
      <c r="P823" s="746"/>
      <c r="Q823" s="746"/>
      <c r="R823" s="521"/>
      <c r="S823" s="521"/>
    </row>
    <row r="824" spans="1:19" ht="25.5">
      <c r="A824" s="723">
        <v>251</v>
      </c>
      <c r="B824" s="723">
        <v>20051195012</v>
      </c>
      <c r="C824" s="723" t="s">
        <v>3526</v>
      </c>
      <c r="D824" s="723">
        <v>195</v>
      </c>
      <c r="E824" s="723" t="s">
        <v>2832</v>
      </c>
      <c r="F824" s="723" t="s">
        <v>154</v>
      </c>
      <c r="G824" s="723" t="s">
        <v>2546</v>
      </c>
      <c r="H824" s="723" t="s">
        <v>2043</v>
      </c>
      <c r="I824" s="723" t="s">
        <v>3527</v>
      </c>
      <c r="J824" s="723" t="s">
        <v>3528</v>
      </c>
      <c r="K824" s="723" t="s">
        <v>2044</v>
      </c>
      <c r="L824" s="723">
        <v>80092595</v>
      </c>
      <c r="M824" s="724" t="s">
        <v>955</v>
      </c>
      <c r="N824" s="746"/>
      <c r="O824" s="746"/>
      <c r="P824" s="746"/>
      <c r="Q824" s="746"/>
      <c r="R824" s="521"/>
      <c r="S824" s="521"/>
    </row>
    <row r="825" spans="1:19" ht="25.5">
      <c r="A825" s="721">
        <v>252</v>
      </c>
      <c r="B825" s="721">
        <v>20051195014</v>
      </c>
      <c r="C825" s="721" t="s">
        <v>3529</v>
      </c>
      <c r="D825" s="721">
        <v>195</v>
      </c>
      <c r="E825" s="721" t="s">
        <v>2832</v>
      </c>
      <c r="F825" s="721" t="s">
        <v>154</v>
      </c>
      <c r="G825" s="721" t="s">
        <v>2546</v>
      </c>
      <c r="H825" s="721" t="s">
        <v>2043</v>
      </c>
      <c r="I825" s="721" t="s">
        <v>3530</v>
      </c>
      <c r="J825" s="721" t="s">
        <v>3531</v>
      </c>
      <c r="K825" s="721" t="s">
        <v>2044</v>
      </c>
      <c r="L825" s="721">
        <v>19152538</v>
      </c>
      <c r="M825" s="721" t="s">
        <v>2286</v>
      </c>
      <c r="N825" s="746"/>
      <c r="O825" s="746"/>
      <c r="P825" s="746"/>
      <c r="Q825" s="746"/>
      <c r="R825" s="521"/>
      <c r="S825" s="521"/>
    </row>
    <row r="826" spans="1:19" ht="25.5">
      <c r="A826" s="723">
        <v>253</v>
      </c>
      <c r="B826" s="723">
        <v>20051195017</v>
      </c>
      <c r="C826" s="723" t="s">
        <v>3532</v>
      </c>
      <c r="D826" s="723">
        <v>195</v>
      </c>
      <c r="E826" s="723" t="s">
        <v>2832</v>
      </c>
      <c r="F826" s="723" t="s">
        <v>154</v>
      </c>
      <c r="G826" s="723" t="s">
        <v>2546</v>
      </c>
      <c r="H826" s="723" t="s">
        <v>2043</v>
      </c>
      <c r="I826" s="723" t="s">
        <v>3533</v>
      </c>
      <c r="J826" s="723" t="s">
        <v>3534</v>
      </c>
      <c r="K826" s="723" t="s">
        <v>2044</v>
      </c>
      <c r="L826" s="723">
        <v>7179595</v>
      </c>
      <c r="M826" s="723" t="s">
        <v>2113</v>
      </c>
      <c r="N826" s="746"/>
      <c r="O826" s="746"/>
      <c r="P826" s="746"/>
      <c r="Q826" s="746"/>
      <c r="R826" s="521"/>
      <c r="S826" s="521"/>
    </row>
    <row r="827" spans="1:19" ht="25.5">
      <c r="A827" s="721">
        <v>254</v>
      </c>
      <c r="B827" s="721">
        <v>20051195018</v>
      </c>
      <c r="C827" s="721" t="s">
        <v>3535</v>
      </c>
      <c r="D827" s="721">
        <v>195</v>
      </c>
      <c r="E827" s="721" t="s">
        <v>2832</v>
      </c>
      <c r="F827" s="721" t="s">
        <v>154</v>
      </c>
      <c r="G827" s="721" t="s">
        <v>2546</v>
      </c>
      <c r="H827" s="721" t="s">
        <v>2043</v>
      </c>
      <c r="I827" s="721" t="s">
        <v>3536</v>
      </c>
      <c r="J827" s="721" t="s">
        <v>3537</v>
      </c>
      <c r="K827" s="721" t="s">
        <v>2044</v>
      </c>
      <c r="L827" s="721">
        <v>79555750</v>
      </c>
      <c r="M827" s="721" t="s">
        <v>2830</v>
      </c>
      <c r="N827" s="746"/>
      <c r="O827" s="746"/>
      <c r="P827" s="746"/>
      <c r="Q827" s="746"/>
      <c r="R827" s="521"/>
      <c r="S827" s="521"/>
    </row>
    <row r="828" spans="1:19" ht="25.5">
      <c r="A828" s="723">
        <v>255</v>
      </c>
      <c r="B828" s="723">
        <v>20051195019</v>
      </c>
      <c r="C828" s="723" t="s">
        <v>3538</v>
      </c>
      <c r="D828" s="723">
        <v>195</v>
      </c>
      <c r="E828" s="723" t="s">
        <v>2832</v>
      </c>
      <c r="F828" s="723" t="s">
        <v>154</v>
      </c>
      <c r="G828" s="723" t="s">
        <v>2546</v>
      </c>
      <c r="H828" s="723" t="s">
        <v>2043</v>
      </c>
      <c r="I828" s="723"/>
      <c r="J828" s="723"/>
      <c r="K828" s="723" t="s">
        <v>2044</v>
      </c>
      <c r="L828" s="723">
        <v>51896568</v>
      </c>
      <c r="M828" s="724" t="s">
        <v>955</v>
      </c>
      <c r="N828" s="746"/>
      <c r="O828" s="746"/>
      <c r="P828" s="746"/>
      <c r="Q828" s="746"/>
      <c r="R828" s="521"/>
      <c r="S828" s="521"/>
    </row>
    <row r="829" spans="1:19" ht="25.5">
      <c r="A829" s="721">
        <v>256</v>
      </c>
      <c r="B829" s="721">
        <v>20052195001</v>
      </c>
      <c r="C829" s="721" t="s">
        <v>3506</v>
      </c>
      <c r="D829" s="721">
        <v>195</v>
      </c>
      <c r="E829" s="721" t="s">
        <v>2832</v>
      </c>
      <c r="F829" s="721" t="s">
        <v>154</v>
      </c>
      <c r="G829" s="721" t="s">
        <v>2546</v>
      </c>
      <c r="H829" s="721" t="s">
        <v>2043</v>
      </c>
      <c r="I829" s="721"/>
      <c r="J829" s="721"/>
      <c r="K829" s="721" t="s">
        <v>2044</v>
      </c>
      <c r="L829" s="721">
        <v>79781420</v>
      </c>
      <c r="M829" s="722" t="s">
        <v>955</v>
      </c>
      <c r="N829" s="746"/>
      <c r="O829" s="746"/>
      <c r="P829" s="746"/>
      <c r="Q829" s="746"/>
      <c r="R829" s="521"/>
      <c r="S829" s="521"/>
    </row>
    <row r="830" spans="1:19" ht="25.5">
      <c r="A830" s="723">
        <v>257</v>
      </c>
      <c r="B830" s="723">
        <v>20052195002</v>
      </c>
      <c r="C830" s="723" t="s">
        <v>3539</v>
      </c>
      <c r="D830" s="723">
        <v>195</v>
      </c>
      <c r="E830" s="723" t="s">
        <v>2832</v>
      </c>
      <c r="F830" s="723" t="s">
        <v>154</v>
      </c>
      <c r="G830" s="723" t="s">
        <v>2546</v>
      </c>
      <c r="H830" s="723" t="s">
        <v>2043</v>
      </c>
      <c r="I830" s="723" t="s">
        <v>3540</v>
      </c>
      <c r="J830" s="723" t="s">
        <v>3541</v>
      </c>
      <c r="K830" s="723" t="s">
        <v>2044</v>
      </c>
      <c r="L830" s="723">
        <v>79655184</v>
      </c>
      <c r="M830" s="723" t="s">
        <v>2286</v>
      </c>
      <c r="N830" s="746"/>
      <c r="O830" s="746"/>
      <c r="P830" s="746"/>
      <c r="Q830" s="746"/>
      <c r="R830" s="521"/>
      <c r="S830" s="521"/>
    </row>
    <row r="831" spans="1:19" ht="25.5">
      <c r="A831" s="721">
        <v>258</v>
      </c>
      <c r="B831" s="721">
        <v>20052195003</v>
      </c>
      <c r="C831" s="721" t="s">
        <v>3542</v>
      </c>
      <c r="D831" s="721">
        <v>195</v>
      </c>
      <c r="E831" s="721" t="s">
        <v>2832</v>
      </c>
      <c r="F831" s="721" t="s">
        <v>154</v>
      </c>
      <c r="G831" s="721" t="s">
        <v>2546</v>
      </c>
      <c r="H831" s="721" t="s">
        <v>2043</v>
      </c>
      <c r="I831" s="721" t="s">
        <v>3543</v>
      </c>
      <c r="J831" s="721" t="s">
        <v>3544</v>
      </c>
      <c r="K831" s="721" t="s">
        <v>2044</v>
      </c>
      <c r="L831" s="721">
        <v>52737272</v>
      </c>
      <c r="M831" s="722" t="s">
        <v>955</v>
      </c>
      <c r="N831" s="746"/>
      <c r="O831" s="746"/>
      <c r="P831" s="746"/>
      <c r="Q831" s="746"/>
      <c r="R831" s="521"/>
      <c r="S831" s="521"/>
    </row>
    <row r="832" spans="1:19" ht="25.5">
      <c r="A832" s="723">
        <v>259</v>
      </c>
      <c r="B832" s="723">
        <v>20052195004</v>
      </c>
      <c r="C832" s="723" t="s">
        <v>3545</v>
      </c>
      <c r="D832" s="723">
        <v>195</v>
      </c>
      <c r="E832" s="723" t="s">
        <v>2832</v>
      </c>
      <c r="F832" s="723" t="s">
        <v>154</v>
      </c>
      <c r="G832" s="723" t="s">
        <v>2546</v>
      </c>
      <c r="H832" s="723" t="s">
        <v>2043</v>
      </c>
      <c r="I832" s="723" t="s">
        <v>3546</v>
      </c>
      <c r="J832" s="723" t="s">
        <v>3547</v>
      </c>
      <c r="K832" s="723" t="s">
        <v>2044</v>
      </c>
      <c r="L832" s="723">
        <v>79972126</v>
      </c>
      <c r="M832" s="723" t="s">
        <v>2184</v>
      </c>
      <c r="N832" s="746"/>
      <c r="O832" s="746"/>
      <c r="P832" s="746"/>
      <c r="Q832" s="746"/>
      <c r="R832" s="521"/>
      <c r="S832" s="521"/>
    </row>
    <row r="833" spans="1:19" ht="25.5">
      <c r="A833" s="721">
        <v>260</v>
      </c>
      <c r="B833" s="721">
        <v>20052195005</v>
      </c>
      <c r="C833" s="721" t="s">
        <v>3548</v>
      </c>
      <c r="D833" s="721">
        <v>195</v>
      </c>
      <c r="E833" s="721" t="s">
        <v>2832</v>
      </c>
      <c r="F833" s="721" t="s">
        <v>154</v>
      </c>
      <c r="G833" s="721" t="s">
        <v>2546</v>
      </c>
      <c r="H833" s="721" t="s">
        <v>2043</v>
      </c>
      <c r="I833" s="721" t="s">
        <v>3549</v>
      </c>
      <c r="J833" s="721" t="s">
        <v>3550</v>
      </c>
      <c r="K833" s="721" t="s">
        <v>2044</v>
      </c>
      <c r="L833" s="721">
        <v>84089025</v>
      </c>
      <c r="M833" s="721" t="s">
        <v>2113</v>
      </c>
      <c r="N833" s="746"/>
      <c r="O833" s="746"/>
      <c r="P833" s="746"/>
      <c r="Q833" s="746"/>
      <c r="R833" s="521"/>
      <c r="S833" s="521"/>
    </row>
    <row r="834" spans="1:19" ht="25.5">
      <c r="A834" s="723">
        <v>261</v>
      </c>
      <c r="B834" s="723">
        <v>20052195006</v>
      </c>
      <c r="C834" s="723" t="s">
        <v>3551</v>
      </c>
      <c r="D834" s="723">
        <v>195</v>
      </c>
      <c r="E834" s="723" t="s">
        <v>2832</v>
      </c>
      <c r="F834" s="723" t="s">
        <v>154</v>
      </c>
      <c r="G834" s="723" t="s">
        <v>2546</v>
      </c>
      <c r="H834" s="723" t="s">
        <v>2043</v>
      </c>
      <c r="I834" s="723" t="s">
        <v>2674</v>
      </c>
      <c r="J834" s="723" t="s">
        <v>2675</v>
      </c>
      <c r="K834" s="723" t="s">
        <v>2044</v>
      </c>
      <c r="L834" s="723">
        <v>79125668</v>
      </c>
      <c r="M834" s="723" t="s">
        <v>2958</v>
      </c>
      <c r="N834" s="746"/>
      <c r="O834" s="746"/>
      <c r="P834" s="746"/>
      <c r="Q834" s="746"/>
      <c r="R834" s="521"/>
      <c r="S834" s="521"/>
    </row>
    <row r="835" spans="1:19" ht="25.5">
      <c r="A835" s="721">
        <v>262</v>
      </c>
      <c r="B835" s="721">
        <v>20052195007</v>
      </c>
      <c r="C835" s="721" t="s">
        <v>3526</v>
      </c>
      <c r="D835" s="721">
        <v>195</v>
      </c>
      <c r="E835" s="721" t="s">
        <v>2832</v>
      </c>
      <c r="F835" s="721" t="s">
        <v>154</v>
      </c>
      <c r="G835" s="721" t="s">
        <v>2546</v>
      </c>
      <c r="H835" s="721" t="s">
        <v>2043</v>
      </c>
      <c r="I835" s="721" t="s">
        <v>3552</v>
      </c>
      <c r="J835" s="721" t="s">
        <v>3553</v>
      </c>
      <c r="K835" s="721" t="s">
        <v>2044</v>
      </c>
      <c r="L835" s="721">
        <v>80092595</v>
      </c>
      <c r="M835" s="721" t="s">
        <v>2184</v>
      </c>
      <c r="N835" s="746"/>
      <c r="O835" s="746"/>
      <c r="P835" s="746"/>
      <c r="Q835" s="746"/>
      <c r="R835" s="521"/>
      <c r="S835" s="521"/>
    </row>
    <row r="836" spans="1:19" ht="25.5">
      <c r="A836" s="723">
        <v>263</v>
      </c>
      <c r="B836" s="723">
        <v>20052195009</v>
      </c>
      <c r="C836" s="723" t="s">
        <v>3554</v>
      </c>
      <c r="D836" s="723">
        <v>195</v>
      </c>
      <c r="E836" s="723" t="s">
        <v>2832</v>
      </c>
      <c r="F836" s="723" t="s">
        <v>154</v>
      </c>
      <c r="G836" s="723" t="s">
        <v>2546</v>
      </c>
      <c r="H836" s="723" t="s">
        <v>2043</v>
      </c>
      <c r="I836" s="723" t="s">
        <v>3555</v>
      </c>
      <c r="J836" s="723" t="s">
        <v>3556</v>
      </c>
      <c r="K836" s="723" t="s">
        <v>2044</v>
      </c>
      <c r="L836" s="723">
        <v>4148955</v>
      </c>
      <c r="M836" s="723" t="s">
        <v>2184</v>
      </c>
      <c r="N836" s="746"/>
      <c r="O836" s="746"/>
      <c r="P836" s="746"/>
      <c r="Q836" s="746"/>
      <c r="R836" s="521"/>
      <c r="S836" s="521"/>
    </row>
    <row r="837" spans="1:19" ht="25.5">
      <c r="A837" s="721">
        <v>264</v>
      </c>
      <c r="B837" s="721">
        <v>20052195010</v>
      </c>
      <c r="C837" s="721" t="s">
        <v>3557</v>
      </c>
      <c r="D837" s="721">
        <v>195</v>
      </c>
      <c r="E837" s="721" t="s">
        <v>2832</v>
      </c>
      <c r="F837" s="721" t="s">
        <v>154</v>
      </c>
      <c r="G837" s="721" t="s">
        <v>2546</v>
      </c>
      <c r="H837" s="721" t="s">
        <v>2043</v>
      </c>
      <c r="I837" s="721"/>
      <c r="J837" s="721"/>
      <c r="K837" s="721" t="s">
        <v>2044</v>
      </c>
      <c r="L837" s="721">
        <v>80056621</v>
      </c>
      <c r="M837" s="722" t="s">
        <v>955</v>
      </c>
      <c r="N837" s="746"/>
      <c r="O837" s="746"/>
      <c r="P837" s="746"/>
      <c r="Q837" s="746"/>
      <c r="R837" s="521"/>
      <c r="S837" s="521"/>
    </row>
    <row r="838" spans="1:19" ht="25.5">
      <c r="A838" s="723">
        <v>265</v>
      </c>
      <c r="B838" s="723">
        <v>20052195011</v>
      </c>
      <c r="C838" s="723" t="s">
        <v>3558</v>
      </c>
      <c r="D838" s="723">
        <v>195</v>
      </c>
      <c r="E838" s="723" t="s">
        <v>2832</v>
      </c>
      <c r="F838" s="723" t="s">
        <v>154</v>
      </c>
      <c r="G838" s="723" t="s">
        <v>2546</v>
      </c>
      <c r="H838" s="723" t="s">
        <v>2043</v>
      </c>
      <c r="I838" s="723" t="s">
        <v>3559</v>
      </c>
      <c r="J838" s="723" t="s">
        <v>3560</v>
      </c>
      <c r="K838" s="723" t="s">
        <v>2044</v>
      </c>
      <c r="L838" s="723">
        <v>30508698</v>
      </c>
      <c r="M838" s="723" t="s">
        <v>2599</v>
      </c>
      <c r="N838" s="746"/>
      <c r="O838" s="746"/>
      <c r="P838" s="746"/>
      <c r="Q838" s="746"/>
      <c r="R838" s="521"/>
      <c r="S838" s="521"/>
    </row>
    <row r="839" spans="1:19" ht="25.5">
      <c r="A839" s="721">
        <v>266</v>
      </c>
      <c r="B839" s="721">
        <v>20061195001</v>
      </c>
      <c r="C839" s="721" t="s">
        <v>3561</v>
      </c>
      <c r="D839" s="721">
        <v>195</v>
      </c>
      <c r="E839" s="721" t="s">
        <v>2832</v>
      </c>
      <c r="F839" s="721" t="s">
        <v>154</v>
      </c>
      <c r="G839" s="721" t="s">
        <v>2546</v>
      </c>
      <c r="H839" s="721" t="s">
        <v>2043</v>
      </c>
      <c r="I839" s="721" t="s">
        <v>3562</v>
      </c>
      <c r="J839" s="721" t="s">
        <v>3563</v>
      </c>
      <c r="K839" s="721" t="s">
        <v>2044</v>
      </c>
      <c r="L839" s="721">
        <v>86066806</v>
      </c>
      <c r="M839" s="722" t="s">
        <v>955</v>
      </c>
      <c r="N839" s="746"/>
      <c r="O839" s="746"/>
      <c r="P839" s="746"/>
      <c r="Q839" s="746"/>
      <c r="R839" s="521"/>
      <c r="S839" s="521"/>
    </row>
    <row r="840" spans="1:19" ht="25.5">
      <c r="A840" s="723">
        <v>267</v>
      </c>
      <c r="B840" s="723">
        <v>20061195005</v>
      </c>
      <c r="C840" s="723" t="s">
        <v>3564</v>
      </c>
      <c r="D840" s="723">
        <v>195</v>
      </c>
      <c r="E840" s="723" t="s">
        <v>2832</v>
      </c>
      <c r="F840" s="723" t="s">
        <v>154</v>
      </c>
      <c r="G840" s="723" t="s">
        <v>2546</v>
      </c>
      <c r="H840" s="723" t="s">
        <v>2043</v>
      </c>
      <c r="I840" s="723" t="s">
        <v>3565</v>
      </c>
      <c r="J840" s="723" t="s">
        <v>3566</v>
      </c>
      <c r="K840" s="723" t="s">
        <v>2044</v>
      </c>
      <c r="L840" s="723">
        <v>79791942</v>
      </c>
      <c r="M840" s="724" t="s">
        <v>955</v>
      </c>
      <c r="N840" s="746"/>
      <c r="O840" s="746"/>
      <c r="P840" s="746"/>
      <c r="Q840" s="746"/>
      <c r="R840" s="521"/>
      <c r="S840" s="521"/>
    </row>
    <row r="841" spans="1:19" ht="25.5">
      <c r="A841" s="721">
        <v>268</v>
      </c>
      <c r="B841" s="721">
        <v>20061195006</v>
      </c>
      <c r="C841" s="721" t="s">
        <v>3567</v>
      </c>
      <c r="D841" s="721">
        <v>195</v>
      </c>
      <c r="E841" s="721" t="s">
        <v>2832</v>
      </c>
      <c r="F841" s="721" t="s">
        <v>154</v>
      </c>
      <c r="G841" s="721" t="s">
        <v>2546</v>
      </c>
      <c r="H841" s="721" t="s">
        <v>2043</v>
      </c>
      <c r="I841" s="721" t="s">
        <v>3568</v>
      </c>
      <c r="J841" s="721" t="s">
        <v>3569</v>
      </c>
      <c r="K841" s="721" t="s">
        <v>2044</v>
      </c>
      <c r="L841" s="721">
        <v>93385564</v>
      </c>
      <c r="M841" s="721" t="s">
        <v>2218</v>
      </c>
      <c r="N841" s="746"/>
      <c r="O841" s="746"/>
      <c r="P841" s="746"/>
      <c r="Q841" s="746"/>
      <c r="R841" s="521"/>
      <c r="S841" s="521"/>
    </row>
    <row r="842" spans="1:19" ht="25.5">
      <c r="A842" s="723">
        <v>269</v>
      </c>
      <c r="B842" s="723">
        <v>20061195007</v>
      </c>
      <c r="C842" s="723" t="s">
        <v>3570</v>
      </c>
      <c r="D842" s="723">
        <v>195</v>
      </c>
      <c r="E842" s="723" t="s">
        <v>2832</v>
      </c>
      <c r="F842" s="723" t="s">
        <v>154</v>
      </c>
      <c r="G842" s="723" t="s">
        <v>2546</v>
      </c>
      <c r="H842" s="723" t="s">
        <v>2043</v>
      </c>
      <c r="I842" s="723" t="s">
        <v>3571</v>
      </c>
      <c r="J842" s="723" t="s">
        <v>3572</v>
      </c>
      <c r="K842" s="723" t="s">
        <v>2044</v>
      </c>
      <c r="L842" s="723">
        <v>52423352</v>
      </c>
      <c r="M842" s="723" t="s">
        <v>2113</v>
      </c>
      <c r="N842" s="746"/>
      <c r="O842" s="746"/>
      <c r="P842" s="746"/>
      <c r="Q842" s="746"/>
      <c r="R842" s="521"/>
      <c r="S842" s="521"/>
    </row>
    <row r="843" spans="1:19" ht="25.5">
      <c r="A843" s="721">
        <v>270</v>
      </c>
      <c r="B843" s="721">
        <v>20061195008</v>
      </c>
      <c r="C843" s="721" t="s">
        <v>3573</v>
      </c>
      <c r="D843" s="721">
        <v>195</v>
      </c>
      <c r="E843" s="721" t="s">
        <v>2832</v>
      </c>
      <c r="F843" s="721" t="s">
        <v>154</v>
      </c>
      <c r="G843" s="721" t="s">
        <v>2546</v>
      </c>
      <c r="H843" s="721" t="s">
        <v>2043</v>
      </c>
      <c r="I843" s="721" t="s">
        <v>3574</v>
      </c>
      <c r="J843" s="721" t="s">
        <v>3575</v>
      </c>
      <c r="K843" s="721" t="s">
        <v>2044</v>
      </c>
      <c r="L843" s="721">
        <v>79814029</v>
      </c>
      <c r="M843" s="721" t="s">
        <v>2286</v>
      </c>
      <c r="N843" s="746"/>
      <c r="O843" s="746"/>
      <c r="P843" s="746"/>
      <c r="Q843" s="746"/>
      <c r="R843" s="521"/>
      <c r="S843" s="521"/>
    </row>
    <row r="844" spans="1:19" ht="25.5">
      <c r="A844" s="723">
        <v>271</v>
      </c>
      <c r="B844" s="723">
        <v>20061195009</v>
      </c>
      <c r="C844" s="723" t="s">
        <v>3576</v>
      </c>
      <c r="D844" s="723">
        <v>195</v>
      </c>
      <c r="E844" s="723" t="s">
        <v>2832</v>
      </c>
      <c r="F844" s="723" t="s">
        <v>154</v>
      </c>
      <c r="G844" s="723" t="s">
        <v>2546</v>
      </c>
      <c r="H844" s="723" t="s">
        <v>2043</v>
      </c>
      <c r="I844" s="723" t="s">
        <v>3577</v>
      </c>
      <c r="J844" s="723" t="s">
        <v>3578</v>
      </c>
      <c r="K844" s="723" t="s">
        <v>2044</v>
      </c>
      <c r="L844" s="723">
        <v>52021307</v>
      </c>
      <c r="M844" s="723" t="s">
        <v>2856</v>
      </c>
      <c r="N844" s="746"/>
      <c r="O844" s="746"/>
      <c r="P844" s="746"/>
      <c r="Q844" s="746"/>
      <c r="R844" s="521"/>
      <c r="S844" s="521"/>
    </row>
    <row r="845" spans="1:19" ht="25.5">
      <c r="A845" s="721">
        <v>272</v>
      </c>
      <c r="B845" s="721">
        <v>20061195010</v>
      </c>
      <c r="C845" s="721" t="s">
        <v>3579</v>
      </c>
      <c r="D845" s="721">
        <v>195</v>
      </c>
      <c r="E845" s="721" t="s">
        <v>2832</v>
      </c>
      <c r="F845" s="721" t="s">
        <v>154</v>
      </c>
      <c r="G845" s="721" t="s">
        <v>2546</v>
      </c>
      <c r="H845" s="721" t="s">
        <v>2043</v>
      </c>
      <c r="I845" s="721" t="s">
        <v>3580</v>
      </c>
      <c r="J845" s="721" t="s">
        <v>3581</v>
      </c>
      <c r="K845" s="721" t="s">
        <v>2044</v>
      </c>
      <c r="L845" s="721">
        <v>79907472</v>
      </c>
      <c r="M845" s="721" t="s">
        <v>2113</v>
      </c>
      <c r="N845" s="746"/>
      <c r="O845" s="746"/>
      <c r="P845" s="746"/>
      <c r="Q845" s="746"/>
      <c r="R845" s="521"/>
      <c r="S845" s="521"/>
    </row>
    <row r="846" spans="1:19" ht="25.5">
      <c r="A846" s="723">
        <v>273</v>
      </c>
      <c r="B846" s="723">
        <v>20061195012</v>
      </c>
      <c r="C846" s="723" t="s">
        <v>3582</v>
      </c>
      <c r="D846" s="723">
        <v>195</v>
      </c>
      <c r="E846" s="723" t="s">
        <v>2832</v>
      </c>
      <c r="F846" s="723" t="s">
        <v>154</v>
      </c>
      <c r="G846" s="723" t="s">
        <v>2546</v>
      </c>
      <c r="H846" s="723">
        <v>1</v>
      </c>
      <c r="I846" s="723" t="s">
        <v>3583</v>
      </c>
      <c r="J846" s="723" t="s">
        <v>3584</v>
      </c>
      <c r="K846" s="723" t="s">
        <v>2044</v>
      </c>
      <c r="L846" s="723">
        <v>79798784</v>
      </c>
      <c r="M846" s="723" t="s">
        <v>2612</v>
      </c>
      <c r="N846" s="746"/>
      <c r="O846" s="746"/>
      <c r="P846" s="746"/>
      <c r="Q846" s="746"/>
      <c r="R846" s="521"/>
      <c r="S846" s="521"/>
    </row>
    <row r="847" spans="1:19" ht="25.5">
      <c r="A847" s="721">
        <v>274</v>
      </c>
      <c r="B847" s="721">
        <v>20061195016</v>
      </c>
      <c r="C847" s="721" t="s">
        <v>3585</v>
      </c>
      <c r="D847" s="721">
        <v>195</v>
      </c>
      <c r="E847" s="721" t="s">
        <v>2832</v>
      </c>
      <c r="F847" s="721" t="s">
        <v>154</v>
      </c>
      <c r="G847" s="721" t="s">
        <v>2546</v>
      </c>
      <c r="H847" s="721" t="s">
        <v>2043</v>
      </c>
      <c r="I847" s="721"/>
      <c r="J847" s="721"/>
      <c r="K847" s="721" t="s">
        <v>2044</v>
      </c>
      <c r="L847" s="721">
        <v>88157552</v>
      </c>
      <c r="M847" s="721" t="s">
        <v>2599</v>
      </c>
      <c r="N847" s="746"/>
      <c r="O847" s="746"/>
      <c r="P847" s="746"/>
      <c r="Q847" s="746"/>
      <c r="R847" s="521"/>
      <c r="S847" s="521"/>
    </row>
    <row r="848" spans="1:19" ht="25.5">
      <c r="A848" s="723">
        <v>275</v>
      </c>
      <c r="B848" s="723">
        <v>20061195017</v>
      </c>
      <c r="C848" s="723" t="s">
        <v>3586</v>
      </c>
      <c r="D848" s="723">
        <v>195</v>
      </c>
      <c r="E848" s="723" t="s">
        <v>2832</v>
      </c>
      <c r="F848" s="723" t="s">
        <v>154</v>
      </c>
      <c r="G848" s="723" t="s">
        <v>2546</v>
      </c>
      <c r="H848" s="723" t="s">
        <v>2043</v>
      </c>
      <c r="I848" s="723" t="s">
        <v>3587</v>
      </c>
      <c r="J848" s="723" t="s">
        <v>3587</v>
      </c>
      <c r="K848" s="723" t="s">
        <v>2044</v>
      </c>
      <c r="L848" s="723">
        <v>79523497</v>
      </c>
      <c r="M848" s="723" t="s">
        <v>2131</v>
      </c>
      <c r="N848" s="746"/>
      <c r="O848" s="746"/>
      <c r="P848" s="746"/>
      <c r="Q848" s="746"/>
      <c r="R848" s="521"/>
      <c r="S848" s="521"/>
    </row>
    <row r="849" spans="1:19" ht="25.5">
      <c r="A849" s="721">
        <v>276</v>
      </c>
      <c r="B849" s="721">
        <v>20061195018</v>
      </c>
      <c r="C849" s="721" t="s">
        <v>3588</v>
      </c>
      <c r="D849" s="721">
        <v>195</v>
      </c>
      <c r="E849" s="721" t="s">
        <v>2832</v>
      </c>
      <c r="F849" s="721" t="s">
        <v>154</v>
      </c>
      <c r="G849" s="721" t="s">
        <v>2546</v>
      </c>
      <c r="H849" s="721" t="s">
        <v>2043</v>
      </c>
      <c r="I849" s="721"/>
      <c r="J849" s="721"/>
      <c r="K849" s="721" t="s">
        <v>2044</v>
      </c>
      <c r="L849" s="721">
        <v>79760815</v>
      </c>
      <c r="M849" s="722" t="s">
        <v>955</v>
      </c>
      <c r="N849" s="746"/>
      <c r="O849" s="746"/>
      <c r="P849" s="746"/>
      <c r="Q849" s="746"/>
      <c r="R849" s="521"/>
      <c r="S849" s="521"/>
    </row>
    <row r="850" spans="1:19" ht="25.5">
      <c r="A850" s="723">
        <v>277</v>
      </c>
      <c r="B850" s="723">
        <v>20061195019</v>
      </c>
      <c r="C850" s="723" t="s">
        <v>3589</v>
      </c>
      <c r="D850" s="723">
        <v>195</v>
      </c>
      <c r="E850" s="723" t="s">
        <v>2832</v>
      </c>
      <c r="F850" s="723" t="s">
        <v>154</v>
      </c>
      <c r="G850" s="723" t="s">
        <v>2546</v>
      </c>
      <c r="H850" s="723" t="s">
        <v>2043</v>
      </c>
      <c r="I850" s="723" t="s">
        <v>3590</v>
      </c>
      <c r="J850" s="723" t="s">
        <v>3591</v>
      </c>
      <c r="K850" s="723" t="s">
        <v>2044</v>
      </c>
      <c r="L850" s="723">
        <v>19420889</v>
      </c>
      <c r="M850" s="723" t="s">
        <v>2286</v>
      </c>
      <c r="N850" s="746"/>
      <c r="O850" s="746"/>
      <c r="P850" s="746"/>
      <c r="Q850" s="746"/>
      <c r="R850" s="521"/>
      <c r="S850" s="521"/>
    </row>
    <row r="851" spans="1:19" ht="25.5">
      <c r="A851" s="721">
        <v>278</v>
      </c>
      <c r="B851" s="721">
        <v>20062195004</v>
      </c>
      <c r="C851" s="721" t="s">
        <v>3592</v>
      </c>
      <c r="D851" s="721">
        <v>195</v>
      </c>
      <c r="E851" s="721" t="s">
        <v>2832</v>
      </c>
      <c r="F851" s="721" t="s">
        <v>154</v>
      </c>
      <c r="G851" s="721" t="s">
        <v>2546</v>
      </c>
      <c r="H851" s="721" t="s">
        <v>2043</v>
      </c>
      <c r="I851" s="721" t="s">
        <v>3593</v>
      </c>
      <c r="J851" s="721" t="s">
        <v>3594</v>
      </c>
      <c r="K851" s="721" t="s">
        <v>2044</v>
      </c>
      <c r="L851" s="721">
        <v>79947963</v>
      </c>
      <c r="M851" s="721" t="s">
        <v>2113</v>
      </c>
      <c r="N851" s="746"/>
      <c r="O851" s="746"/>
      <c r="P851" s="746"/>
      <c r="Q851" s="746"/>
      <c r="R851" s="521"/>
      <c r="S851" s="521"/>
    </row>
    <row r="852" spans="1:19" ht="25.5">
      <c r="A852" s="723">
        <v>279</v>
      </c>
      <c r="B852" s="723">
        <v>20062195005</v>
      </c>
      <c r="C852" s="723" t="s">
        <v>3595</v>
      </c>
      <c r="D852" s="723">
        <v>195</v>
      </c>
      <c r="E852" s="723" t="s">
        <v>2832</v>
      </c>
      <c r="F852" s="723" t="s">
        <v>154</v>
      </c>
      <c r="G852" s="723" t="s">
        <v>2546</v>
      </c>
      <c r="H852" s="723" t="s">
        <v>2043</v>
      </c>
      <c r="I852" s="723" t="s">
        <v>3596</v>
      </c>
      <c r="J852" s="723" t="s">
        <v>3597</v>
      </c>
      <c r="K852" s="723" t="s">
        <v>2044</v>
      </c>
      <c r="L852" s="723">
        <v>80795877</v>
      </c>
      <c r="M852" s="724" t="s">
        <v>955</v>
      </c>
      <c r="N852" s="746"/>
      <c r="O852" s="746"/>
      <c r="P852" s="746"/>
      <c r="Q852" s="746"/>
      <c r="R852" s="521"/>
      <c r="S852" s="521"/>
    </row>
    <row r="853" spans="1:19" ht="25.5">
      <c r="A853" s="721">
        <v>280</v>
      </c>
      <c r="B853" s="721">
        <v>20062195007</v>
      </c>
      <c r="C853" s="721" t="s">
        <v>3598</v>
      </c>
      <c r="D853" s="721">
        <v>195</v>
      </c>
      <c r="E853" s="721" t="s">
        <v>2832</v>
      </c>
      <c r="F853" s="721" t="s">
        <v>154</v>
      </c>
      <c r="G853" s="721" t="s">
        <v>2546</v>
      </c>
      <c r="H853" s="721" t="s">
        <v>2043</v>
      </c>
      <c r="I853" s="721" t="s">
        <v>3599</v>
      </c>
      <c r="J853" s="721" t="s">
        <v>3600</v>
      </c>
      <c r="K853" s="721" t="s">
        <v>2044</v>
      </c>
      <c r="L853" s="721">
        <v>79968085</v>
      </c>
      <c r="M853" s="721" t="s">
        <v>2286</v>
      </c>
      <c r="N853" s="746"/>
      <c r="O853" s="746"/>
      <c r="P853" s="746"/>
      <c r="Q853" s="746"/>
      <c r="R853" s="521"/>
      <c r="S853" s="521"/>
    </row>
    <row r="854" spans="1:19" ht="25.5">
      <c r="A854" s="723">
        <v>281</v>
      </c>
      <c r="B854" s="723">
        <v>20062195008</v>
      </c>
      <c r="C854" s="723" t="s">
        <v>3601</v>
      </c>
      <c r="D854" s="723">
        <v>195</v>
      </c>
      <c r="E854" s="723" t="s">
        <v>2832</v>
      </c>
      <c r="F854" s="723" t="s">
        <v>154</v>
      </c>
      <c r="G854" s="723" t="s">
        <v>2546</v>
      </c>
      <c r="H854" s="723" t="s">
        <v>2043</v>
      </c>
      <c r="I854" s="723"/>
      <c r="J854" s="723"/>
      <c r="K854" s="723" t="s">
        <v>2044</v>
      </c>
      <c r="L854" s="723">
        <v>73648011</v>
      </c>
      <c r="M854" s="724" t="s">
        <v>955</v>
      </c>
      <c r="N854" s="746"/>
      <c r="O854" s="746"/>
      <c r="P854" s="746"/>
      <c r="Q854" s="746"/>
      <c r="R854" s="521"/>
      <c r="S854" s="521"/>
    </row>
    <row r="855" spans="1:19" ht="25.5">
      <c r="A855" s="721">
        <v>282</v>
      </c>
      <c r="B855" s="721">
        <v>20062195009</v>
      </c>
      <c r="C855" s="721" t="s">
        <v>3602</v>
      </c>
      <c r="D855" s="721">
        <v>195</v>
      </c>
      <c r="E855" s="721" t="s">
        <v>2832</v>
      </c>
      <c r="F855" s="721" t="s">
        <v>154</v>
      </c>
      <c r="G855" s="721" t="s">
        <v>2546</v>
      </c>
      <c r="H855" s="721" t="s">
        <v>2043</v>
      </c>
      <c r="I855" s="721"/>
      <c r="J855" s="721"/>
      <c r="K855" s="721" t="s">
        <v>2044</v>
      </c>
      <c r="L855" s="721">
        <v>52217249</v>
      </c>
      <c r="M855" s="722" t="s">
        <v>955</v>
      </c>
      <c r="N855" s="746"/>
      <c r="O855" s="746"/>
      <c r="P855" s="746"/>
      <c r="Q855" s="746"/>
      <c r="R855" s="521"/>
      <c r="S855" s="521"/>
    </row>
    <row r="856" spans="1:19" ht="25.5">
      <c r="A856" s="723">
        <v>283</v>
      </c>
      <c r="B856" s="723">
        <v>20062195010</v>
      </c>
      <c r="C856" s="723" t="s">
        <v>3603</v>
      </c>
      <c r="D856" s="723">
        <v>195</v>
      </c>
      <c r="E856" s="723" t="s">
        <v>2832</v>
      </c>
      <c r="F856" s="723" t="s">
        <v>154</v>
      </c>
      <c r="G856" s="723" t="s">
        <v>2546</v>
      </c>
      <c r="H856" s="723" t="s">
        <v>2043</v>
      </c>
      <c r="I856" s="723"/>
      <c r="J856" s="723"/>
      <c r="K856" s="723" t="s">
        <v>2044</v>
      </c>
      <c r="L856" s="723">
        <v>79400955</v>
      </c>
      <c r="M856" s="724" t="s">
        <v>955</v>
      </c>
      <c r="N856" s="746"/>
      <c r="O856" s="746"/>
      <c r="P856" s="746"/>
      <c r="Q856" s="746"/>
      <c r="R856" s="521"/>
      <c r="S856" s="521"/>
    </row>
    <row r="857" spans="1:19" ht="25.5">
      <c r="A857" s="721">
        <v>284</v>
      </c>
      <c r="B857" s="721">
        <v>20062195012</v>
      </c>
      <c r="C857" s="721" t="s">
        <v>3604</v>
      </c>
      <c r="D857" s="721">
        <v>195</v>
      </c>
      <c r="E857" s="721" t="s">
        <v>2832</v>
      </c>
      <c r="F857" s="721" t="s">
        <v>154</v>
      </c>
      <c r="G857" s="721" t="s">
        <v>2546</v>
      </c>
      <c r="H857" s="721">
        <v>3</v>
      </c>
      <c r="I857" s="721" t="s">
        <v>3605</v>
      </c>
      <c r="J857" s="721" t="s">
        <v>3606</v>
      </c>
      <c r="K857" s="721" t="s">
        <v>2044</v>
      </c>
      <c r="L857" s="721">
        <v>79792513</v>
      </c>
      <c r="M857" s="721" t="s">
        <v>2229</v>
      </c>
      <c r="N857" s="746"/>
      <c r="O857" s="746"/>
      <c r="P857" s="746"/>
      <c r="Q857" s="746"/>
      <c r="R857" s="521"/>
      <c r="S857" s="521"/>
    </row>
    <row r="858" spans="1:19" ht="25.5">
      <c r="A858" s="723">
        <v>285</v>
      </c>
      <c r="B858" s="723">
        <v>20062195013</v>
      </c>
      <c r="C858" s="723" t="s">
        <v>3607</v>
      </c>
      <c r="D858" s="723">
        <v>195</v>
      </c>
      <c r="E858" s="723" t="s">
        <v>2832</v>
      </c>
      <c r="F858" s="723" t="s">
        <v>154</v>
      </c>
      <c r="G858" s="723" t="s">
        <v>2546</v>
      </c>
      <c r="H858" s="723" t="s">
        <v>2043</v>
      </c>
      <c r="I858" s="723"/>
      <c r="J858" s="723"/>
      <c r="K858" s="723" t="s">
        <v>2044</v>
      </c>
      <c r="L858" s="723">
        <v>52531041</v>
      </c>
      <c r="M858" s="723" t="s">
        <v>2286</v>
      </c>
      <c r="N858" s="746"/>
      <c r="O858" s="746"/>
      <c r="P858" s="746"/>
      <c r="Q858" s="746"/>
      <c r="R858" s="521"/>
      <c r="S858" s="521"/>
    </row>
    <row r="859" spans="1:19" ht="25.5">
      <c r="A859" s="721">
        <v>286</v>
      </c>
      <c r="B859" s="721">
        <v>20062195014</v>
      </c>
      <c r="C859" s="721" t="s">
        <v>3608</v>
      </c>
      <c r="D859" s="721">
        <v>195</v>
      </c>
      <c r="E859" s="721" t="s">
        <v>2832</v>
      </c>
      <c r="F859" s="721" t="s">
        <v>154</v>
      </c>
      <c r="G859" s="721" t="s">
        <v>2546</v>
      </c>
      <c r="H859" s="721" t="s">
        <v>2043</v>
      </c>
      <c r="I859" s="721"/>
      <c r="J859" s="721"/>
      <c r="K859" s="721" t="s">
        <v>2044</v>
      </c>
      <c r="L859" s="721">
        <v>79268143</v>
      </c>
      <c r="M859" s="722" t="s">
        <v>955</v>
      </c>
      <c r="N859" s="746"/>
      <c r="O859" s="746"/>
      <c r="P859" s="746"/>
      <c r="Q859" s="746"/>
      <c r="R859" s="521"/>
      <c r="S859" s="521"/>
    </row>
    <row r="860" spans="1:19" ht="25.5">
      <c r="A860" s="723">
        <v>287</v>
      </c>
      <c r="B860" s="723">
        <v>20062195015</v>
      </c>
      <c r="C860" s="723" t="s">
        <v>3609</v>
      </c>
      <c r="D860" s="723">
        <v>195</v>
      </c>
      <c r="E860" s="723" t="s">
        <v>2832</v>
      </c>
      <c r="F860" s="723" t="s">
        <v>154</v>
      </c>
      <c r="G860" s="723" t="s">
        <v>2546</v>
      </c>
      <c r="H860" s="723" t="s">
        <v>2043</v>
      </c>
      <c r="I860" s="723" t="s">
        <v>3610</v>
      </c>
      <c r="J860" s="723" t="s">
        <v>3611</v>
      </c>
      <c r="K860" s="723" t="s">
        <v>2044</v>
      </c>
      <c r="L860" s="723">
        <v>37751301</v>
      </c>
      <c r="M860" s="723" t="s">
        <v>2599</v>
      </c>
      <c r="N860" s="746"/>
      <c r="O860" s="746"/>
      <c r="P860" s="746"/>
      <c r="Q860" s="746"/>
      <c r="R860" s="521"/>
      <c r="S860" s="521"/>
    </row>
    <row r="861" spans="1:19" ht="25.5">
      <c r="A861" s="721">
        <v>288</v>
      </c>
      <c r="B861" s="721">
        <v>20062195016</v>
      </c>
      <c r="C861" s="721" t="s">
        <v>3612</v>
      </c>
      <c r="D861" s="721">
        <v>195</v>
      </c>
      <c r="E861" s="721" t="s">
        <v>2832</v>
      </c>
      <c r="F861" s="721" t="s">
        <v>154</v>
      </c>
      <c r="G861" s="721" t="s">
        <v>2546</v>
      </c>
      <c r="H861" s="721" t="s">
        <v>2043</v>
      </c>
      <c r="I861" s="721"/>
      <c r="J861" s="721"/>
      <c r="K861" s="721" t="s">
        <v>2044</v>
      </c>
      <c r="L861" s="721">
        <v>30509141</v>
      </c>
      <c r="M861" s="721" t="s">
        <v>2286</v>
      </c>
      <c r="N861" s="746"/>
      <c r="O861" s="746"/>
      <c r="P861" s="746"/>
      <c r="Q861" s="746"/>
      <c r="R861" s="521"/>
      <c r="S861" s="521"/>
    </row>
    <row r="862" spans="1:19" ht="25.5">
      <c r="A862" s="723">
        <v>289</v>
      </c>
      <c r="B862" s="723">
        <v>20062195017</v>
      </c>
      <c r="C862" s="723" t="s">
        <v>3613</v>
      </c>
      <c r="D862" s="723">
        <v>195</v>
      </c>
      <c r="E862" s="723" t="s">
        <v>2832</v>
      </c>
      <c r="F862" s="723" t="s">
        <v>154</v>
      </c>
      <c r="G862" s="723" t="s">
        <v>2546</v>
      </c>
      <c r="H862" s="723" t="s">
        <v>2043</v>
      </c>
      <c r="I862" s="723"/>
      <c r="J862" s="723"/>
      <c r="K862" s="723" t="s">
        <v>2044</v>
      </c>
      <c r="L862" s="723">
        <v>71647703</v>
      </c>
      <c r="M862" s="724" t="s">
        <v>955</v>
      </c>
      <c r="N862" s="746"/>
      <c r="O862" s="746"/>
      <c r="P862" s="746"/>
      <c r="Q862" s="746"/>
      <c r="R862" s="521"/>
      <c r="S862" s="521"/>
    </row>
    <row r="863" spans="1:19" ht="25.5">
      <c r="A863" s="721">
        <v>290</v>
      </c>
      <c r="B863" s="721">
        <v>20062195019</v>
      </c>
      <c r="C863" s="721" t="s">
        <v>3614</v>
      </c>
      <c r="D863" s="721">
        <v>195</v>
      </c>
      <c r="E863" s="721" t="s">
        <v>2832</v>
      </c>
      <c r="F863" s="721" t="s">
        <v>154</v>
      </c>
      <c r="G863" s="721" t="s">
        <v>2546</v>
      </c>
      <c r="H863" s="721" t="s">
        <v>2043</v>
      </c>
      <c r="I863" s="721" t="s">
        <v>3615</v>
      </c>
      <c r="J863" s="721" t="s">
        <v>3616</v>
      </c>
      <c r="K863" s="721" t="s">
        <v>2044</v>
      </c>
      <c r="L863" s="721">
        <v>17655312</v>
      </c>
      <c r="M863" s="721" t="s">
        <v>2856</v>
      </c>
      <c r="N863" s="746"/>
      <c r="O863" s="746"/>
      <c r="P863" s="746"/>
      <c r="Q863" s="746"/>
      <c r="R863" s="521"/>
      <c r="S863" s="521"/>
    </row>
    <row r="864" spans="1:19" ht="25.5">
      <c r="A864" s="723">
        <v>291</v>
      </c>
      <c r="B864" s="723">
        <v>20062195025</v>
      </c>
      <c r="C864" s="723" t="s">
        <v>3617</v>
      </c>
      <c r="D864" s="723">
        <v>195</v>
      </c>
      <c r="E864" s="723" t="s">
        <v>2832</v>
      </c>
      <c r="F864" s="723" t="s">
        <v>154</v>
      </c>
      <c r="G864" s="723" t="s">
        <v>2546</v>
      </c>
      <c r="H864" s="723" t="s">
        <v>2043</v>
      </c>
      <c r="I864" s="723"/>
      <c r="J864" s="723"/>
      <c r="K864" s="723" t="s">
        <v>2044</v>
      </c>
      <c r="L864" s="723">
        <v>17658098</v>
      </c>
      <c r="M864" s="724" t="s">
        <v>955</v>
      </c>
      <c r="N864" s="746"/>
      <c r="O864" s="746"/>
      <c r="P864" s="746"/>
      <c r="Q864" s="746"/>
      <c r="R864" s="521"/>
      <c r="S864" s="521"/>
    </row>
    <row r="865" spans="1:19" ht="25.5">
      <c r="A865" s="721">
        <v>292</v>
      </c>
      <c r="B865" s="721">
        <v>20062195026</v>
      </c>
      <c r="C865" s="721" t="s">
        <v>3618</v>
      </c>
      <c r="D865" s="721">
        <v>195</v>
      </c>
      <c r="E865" s="721" t="s">
        <v>2832</v>
      </c>
      <c r="F865" s="721" t="s">
        <v>154</v>
      </c>
      <c r="G865" s="721" t="s">
        <v>2546</v>
      </c>
      <c r="H865" s="721" t="s">
        <v>2043</v>
      </c>
      <c r="I865" s="721"/>
      <c r="J865" s="721"/>
      <c r="K865" s="721" t="s">
        <v>2044</v>
      </c>
      <c r="L865" s="721">
        <v>17653156</v>
      </c>
      <c r="M865" s="722" t="s">
        <v>955</v>
      </c>
      <c r="N865" s="746"/>
      <c r="O865" s="746"/>
      <c r="P865" s="746"/>
      <c r="Q865" s="746"/>
      <c r="R865" s="521"/>
      <c r="S865" s="521"/>
    </row>
    <row r="866" spans="1:19" ht="25.5">
      <c r="A866" s="723">
        <v>293</v>
      </c>
      <c r="B866" s="723">
        <v>20062195027</v>
      </c>
      <c r="C866" s="723" t="s">
        <v>3619</v>
      </c>
      <c r="D866" s="723">
        <v>195</v>
      </c>
      <c r="E866" s="723" t="s">
        <v>2832</v>
      </c>
      <c r="F866" s="723" t="s">
        <v>154</v>
      </c>
      <c r="G866" s="723" t="s">
        <v>2546</v>
      </c>
      <c r="H866" s="723" t="s">
        <v>2043</v>
      </c>
      <c r="I866" s="723" t="s">
        <v>3620</v>
      </c>
      <c r="J866" s="723" t="s">
        <v>3621</v>
      </c>
      <c r="K866" s="723" t="s">
        <v>2044</v>
      </c>
      <c r="L866" s="723">
        <v>35252552</v>
      </c>
      <c r="M866" s="723" t="s">
        <v>2612</v>
      </c>
      <c r="N866" s="746"/>
      <c r="O866" s="746"/>
      <c r="P866" s="746"/>
      <c r="Q866" s="746"/>
      <c r="R866" s="521"/>
      <c r="S866" s="521"/>
    </row>
    <row r="867" spans="1:19" ht="25.5">
      <c r="A867" s="721">
        <v>294</v>
      </c>
      <c r="B867" s="721">
        <v>20062195028</v>
      </c>
      <c r="C867" s="721" t="s">
        <v>3622</v>
      </c>
      <c r="D867" s="721">
        <v>195</v>
      </c>
      <c r="E867" s="721" t="s">
        <v>2832</v>
      </c>
      <c r="F867" s="721" t="s">
        <v>154</v>
      </c>
      <c r="G867" s="721" t="s">
        <v>2546</v>
      </c>
      <c r="H867" s="721" t="s">
        <v>2043</v>
      </c>
      <c r="I867" s="721"/>
      <c r="J867" s="721"/>
      <c r="K867" s="721" t="s">
        <v>2044</v>
      </c>
      <c r="L867" s="721">
        <v>7226392</v>
      </c>
      <c r="M867" s="721" t="s">
        <v>2286</v>
      </c>
      <c r="N867" s="746"/>
      <c r="O867" s="746"/>
      <c r="P867" s="746"/>
      <c r="Q867" s="746"/>
      <c r="R867" s="521"/>
      <c r="S867" s="521"/>
    </row>
    <row r="868" spans="1:19" ht="25.5">
      <c r="A868" s="723">
        <v>295</v>
      </c>
      <c r="B868" s="723">
        <v>20062195029</v>
      </c>
      <c r="C868" s="723" t="s">
        <v>3623</v>
      </c>
      <c r="D868" s="723">
        <v>195</v>
      </c>
      <c r="E868" s="723" t="s">
        <v>2832</v>
      </c>
      <c r="F868" s="723" t="s">
        <v>154</v>
      </c>
      <c r="G868" s="723" t="s">
        <v>2546</v>
      </c>
      <c r="H868" s="723" t="s">
        <v>2043</v>
      </c>
      <c r="I868" s="723" t="s">
        <v>3624</v>
      </c>
      <c r="J868" s="723" t="s">
        <v>3625</v>
      </c>
      <c r="K868" s="723" t="s">
        <v>2044</v>
      </c>
      <c r="L868" s="723">
        <v>46451632</v>
      </c>
      <c r="M868" s="723" t="s">
        <v>2131</v>
      </c>
      <c r="N868" s="746"/>
      <c r="O868" s="746"/>
      <c r="P868" s="746"/>
      <c r="Q868" s="746"/>
      <c r="R868" s="521"/>
      <c r="S868" s="521"/>
    </row>
    <row r="869" spans="1:19" ht="25.5">
      <c r="A869" s="721">
        <v>296</v>
      </c>
      <c r="B869" s="721">
        <v>20062195030</v>
      </c>
      <c r="C869" s="721" t="s">
        <v>3626</v>
      </c>
      <c r="D869" s="721">
        <v>195</v>
      </c>
      <c r="E869" s="721" t="s">
        <v>2832</v>
      </c>
      <c r="F869" s="721" t="s">
        <v>154</v>
      </c>
      <c r="G869" s="721" t="s">
        <v>2546</v>
      </c>
      <c r="H869" s="721">
        <v>1</v>
      </c>
      <c r="I869" s="721" t="s">
        <v>3627</v>
      </c>
      <c r="J869" s="721" t="s">
        <v>3628</v>
      </c>
      <c r="K869" s="721" t="s">
        <v>2044</v>
      </c>
      <c r="L869" s="721">
        <v>7220685</v>
      </c>
      <c r="M869" s="721" t="s">
        <v>3023</v>
      </c>
      <c r="N869" s="746"/>
      <c r="O869" s="746"/>
      <c r="P869" s="746"/>
      <c r="Q869" s="746"/>
      <c r="R869" s="521"/>
      <c r="S869" s="521"/>
    </row>
    <row r="870" spans="1:19" ht="25.5">
      <c r="A870" s="723">
        <v>297</v>
      </c>
      <c r="B870" s="723">
        <v>20062195031</v>
      </c>
      <c r="C870" s="723" t="s">
        <v>3629</v>
      </c>
      <c r="D870" s="723">
        <v>195</v>
      </c>
      <c r="E870" s="723" t="s">
        <v>2832</v>
      </c>
      <c r="F870" s="723" t="s">
        <v>154</v>
      </c>
      <c r="G870" s="723" t="s">
        <v>2546</v>
      </c>
      <c r="H870" s="723">
        <v>1</v>
      </c>
      <c r="I870" s="723" t="s">
        <v>3630</v>
      </c>
      <c r="J870" s="723" t="s">
        <v>3631</v>
      </c>
      <c r="K870" s="723" t="s">
        <v>2044</v>
      </c>
      <c r="L870" s="723">
        <v>46680969</v>
      </c>
      <c r="M870" s="723" t="s">
        <v>2612</v>
      </c>
      <c r="N870" s="746"/>
      <c r="O870" s="746"/>
      <c r="P870" s="746"/>
      <c r="Q870" s="746"/>
      <c r="R870" s="521"/>
      <c r="S870" s="521"/>
    </row>
    <row r="871" spans="1:19" ht="25.5">
      <c r="A871" s="721">
        <v>298</v>
      </c>
      <c r="B871" s="721">
        <v>20062195036</v>
      </c>
      <c r="C871" s="721" t="s">
        <v>3632</v>
      </c>
      <c r="D871" s="721">
        <v>195</v>
      </c>
      <c r="E871" s="721" t="s">
        <v>2832</v>
      </c>
      <c r="F871" s="721" t="s">
        <v>154</v>
      </c>
      <c r="G871" s="721" t="s">
        <v>2546</v>
      </c>
      <c r="H871" s="721" t="s">
        <v>2043</v>
      </c>
      <c r="I871" s="721" t="s">
        <v>3633</v>
      </c>
      <c r="J871" s="721" t="s">
        <v>3634</v>
      </c>
      <c r="K871" s="721" t="s">
        <v>2044</v>
      </c>
      <c r="L871" s="721">
        <v>9534813</v>
      </c>
      <c r="M871" s="721" t="s">
        <v>2167</v>
      </c>
      <c r="N871" s="746"/>
      <c r="O871" s="746"/>
      <c r="P871" s="746"/>
      <c r="Q871" s="746"/>
      <c r="R871" s="521"/>
      <c r="S871" s="521"/>
    </row>
    <row r="872" spans="1:19" ht="25.5">
      <c r="A872" s="723">
        <v>299</v>
      </c>
      <c r="B872" s="723">
        <v>20062195041</v>
      </c>
      <c r="C872" s="723" t="s">
        <v>3585</v>
      </c>
      <c r="D872" s="723">
        <v>195</v>
      </c>
      <c r="E872" s="723" t="s">
        <v>2832</v>
      </c>
      <c r="F872" s="723" t="s">
        <v>154</v>
      </c>
      <c r="G872" s="723" t="s">
        <v>2546</v>
      </c>
      <c r="H872" s="723" t="s">
        <v>2043</v>
      </c>
      <c r="I872" s="723"/>
      <c r="J872" s="723" t="s">
        <v>3635</v>
      </c>
      <c r="K872" s="723" t="s">
        <v>2044</v>
      </c>
      <c r="L872" s="723">
        <v>88157552</v>
      </c>
      <c r="M872" s="723" t="s">
        <v>2218</v>
      </c>
      <c r="N872" s="746"/>
      <c r="O872" s="746"/>
      <c r="P872" s="746"/>
      <c r="Q872" s="746"/>
      <c r="R872" s="521"/>
      <c r="S872" s="521"/>
    </row>
    <row r="873" spans="1:19" ht="25.5">
      <c r="A873" s="721">
        <v>300</v>
      </c>
      <c r="B873" s="721">
        <v>20062195042</v>
      </c>
      <c r="C873" s="721" t="s">
        <v>3636</v>
      </c>
      <c r="D873" s="721">
        <v>195</v>
      </c>
      <c r="E873" s="721" t="s">
        <v>2832</v>
      </c>
      <c r="F873" s="721" t="s">
        <v>154</v>
      </c>
      <c r="G873" s="721" t="s">
        <v>2546</v>
      </c>
      <c r="H873" s="721" t="s">
        <v>2043</v>
      </c>
      <c r="I873" s="721"/>
      <c r="J873" s="721" t="s">
        <v>3637</v>
      </c>
      <c r="K873" s="721" t="s">
        <v>2044</v>
      </c>
      <c r="L873" s="721">
        <v>80737483</v>
      </c>
      <c r="M873" s="721" t="s">
        <v>2113</v>
      </c>
      <c r="N873" s="746"/>
      <c r="O873" s="746"/>
      <c r="P873" s="746"/>
      <c r="Q873" s="746"/>
      <c r="R873" s="521"/>
      <c r="S873" s="521"/>
    </row>
    <row r="874" spans="1:19" ht="25.5">
      <c r="A874" s="723">
        <v>301</v>
      </c>
      <c r="B874" s="723">
        <v>20062195043</v>
      </c>
      <c r="C874" s="723" t="s">
        <v>3638</v>
      </c>
      <c r="D874" s="723">
        <v>195</v>
      </c>
      <c r="E874" s="723" t="s">
        <v>2832</v>
      </c>
      <c r="F874" s="723" t="s">
        <v>154</v>
      </c>
      <c r="G874" s="723" t="s">
        <v>2546</v>
      </c>
      <c r="H874" s="723" t="s">
        <v>2043</v>
      </c>
      <c r="I874" s="723"/>
      <c r="J874" s="723" t="s">
        <v>3639</v>
      </c>
      <c r="K874" s="723" t="s">
        <v>2044</v>
      </c>
      <c r="L874" s="723">
        <v>79887606</v>
      </c>
      <c r="M874" s="723" t="s">
        <v>2900</v>
      </c>
      <c r="N874" s="746"/>
      <c r="O874" s="746"/>
      <c r="P874" s="746"/>
      <c r="Q874" s="746"/>
      <c r="R874" s="521"/>
      <c r="S874" s="521"/>
    </row>
    <row r="875" spans="1:19" ht="25.5">
      <c r="A875" s="721">
        <v>302</v>
      </c>
      <c r="B875" s="721">
        <v>20071195003</v>
      </c>
      <c r="C875" s="721" t="s">
        <v>3640</v>
      </c>
      <c r="D875" s="721">
        <v>195</v>
      </c>
      <c r="E875" s="721" t="s">
        <v>2832</v>
      </c>
      <c r="F875" s="721" t="s">
        <v>154</v>
      </c>
      <c r="G875" s="721" t="s">
        <v>2546</v>
      </c>
      <c r="H875" s="721" t="s">
        <v>2043</v>
      </c>
      <c r="I875" s="721" t="s">
        <v>3641</v>
      </c>
      <c r="J875" s="721" t="s">
        <v>3642</v>
      </c>
      <c r="K875" s="721" t="s">
        <v>2044</v>
      </c>
      <c r="L875" s="721">
        <v>79788444</v>
      </c>
      <c r="M875" s="721" t="s">
        <v>2113</v>
      </c>
      <c r="N875" s="746"/>
      <c r="O875" s="746"/>
      <c r="P875" s="746"/>
      <c r="Q875" s="746"/>
      <c r="R875" s="521"/>
      <c r="S875" s="521"/>
    </row>
    <row r="876" spans="1:19" ht="25.5">
      <c r="A876" s="723">
        <v>303</v>
      </c>
      <c r="B876" s="723">
        <v>20071195005</v>
      </c>
      <c r="C876" s="723" t="s">
        <v>3643</v>
      </c>
      <c r="D876" s="723">
        <v>195</v>
      </c>
      <c r="E876" s="723" t="s">
        <v>2832</v>
      </c>
      <c r="F876" s="723" t="s">
        <v>154</v>
      </c>
      <c r="G876" s="723" t="s">
        <v>2546</v>
      </c>
      <c r="H876" s="723" t="s">
        <v>2043</v>
      </c>
      <c r="I876" s="723" t="s">
        <v>3644</v>
      </c>
      <c r="J876" s="723" t="s">
        <v>3645</v>
      </c>
      <c r="K876" s="723" t="s">
        <v>2044</v>
      </c>
      <c r="L876" s="723">
        <v>7704386</v>
      </c>
      <c r="M876" s="723" t="s">
        <v>2113</v>
      </c>
      <c r="N876" s="746"/>
      <c r="O876" s="746"/>
      <c r="P876" s="746"/>
      <c r="Q876" s="746"/>
      <c r="R876" s="521"/>
      <c r="S876" s="521"/>
    </row>
    <row r="877" spans="1:19" ht="25.5">
      <c r="A877" s="721">
        <v>304</v>
      </c>
      <c r="B877" s="721">
        <v>20071195006</v>
      </c>
      <c r="C877" s="721" t="s">
        <v>3646</v>
      </c>
      <c r="D877" s="721">
        <v>195</v>
      </c>
      <c r="E877" s="721" t="s">
        <v>2832</v>
      </c>
      <c r="F877" s="721" t="s">
        <v>154</v>
      </c>
      <c r="G877" s="721" t="s">
        <v>2546</v>
      </c>
      <c r="H877" s="721" t="s">
        <v>2043</v>
      </c>
      <c r="I877" s="721"/>
      <c r="J877" s="721"/>
      <c r="K877" s="721" t="s">
        <v>2044</v>
      </c>
      <c r="L877" s="721">
        <v>80230716</v>
      </c>
      <c r="M877" s="721" t="s">
        <v>2113</v>
      </c>
      <c r="N877" s="746"/>
      <c r="O877" s="746"/>
      <c r="P877" s="746"/>
      <c r="Q877" s="746"/>
      <c r="R877" s="521"/>
      <c r="S877" s="521"/>
    </row>
    <row r="878" spans="1:19" ht="25.5">
      <c r="A878" s="723">
        <v>305</v>
      </c>
      <c r="B878" s="723">
        <v>20071195008</v>
      </c>
      <c r="C878" s="723" t="s">
        <v>3647</v>
      </c>
      <c r="D878" s="723">
        <v>195</v>
      </c>
      <c r="E878" s="723" t="s">
        <v>2832</v>
      </c>
      <c r="F878" s="723" t="s">
        <v>154</v>
      </c>
      <c r="G878" s="723" t="s">
        <v>2546</v>
      </c>
      <c r="H878" s="723" t="s">
        <v>2043</v>
      </c>
      <c r="I878" s="723" t="s">
        <v>3648</v>
      </c>
      <c r="J878" s="723" t="s">
        <v>3649</v>
      </c>
      <c r="K878" s="723" t="s">
        <v>2044</v>
      </c>
      <c r="L878" s="723">
        <v>80069873</v>
      </c>
      <c r="M878" s="724" t="s">
        <v>955</v>
      </c>
      <c r="N878" s="746"/>
      <c r="O878" s="746"/>
      <c r="P878" s="746"/>
      <c r="Q878" s="746"/>
      <c r="R878" s="521"/>
      <c r="S878" s="521"/>
    </row>
    <row r="879" spans="1:19" ht="25.5">
      <c r="A879" s="721">
        <v>306</v>
      </c>
      <c r="B879" s="721">
        <v>20071195009</v>
      </c>
      <c r="C879" s="721" t="s">
        <v>3650</v>
      </c>
      <c r="D879" s="721">
        <v>195</v>
      </c>
      <c r="E879" s="721" t="s">
        <v>2832</v>
      </c>
      <c r="F879" s="721" t="s">
        <v>154</v>
      </c>
      <c r="G879" s="721" t="s">
        <v>2546</v>
      </c>
      <c r="H879" s="721" t="s">
        <v>2043</v>
      </c>
      <c r="I879" s="721" t="s">
        <v>3651</v>
      </c>
      <c r="J879" s="721" t="s">
        <v>3651</v>
      </c>
      <c r="K879" s="721" t="s">
        <v>2044</v>
      </c>
      <c r="L879" s="721">
        <v>79956820</v>
      </c>
      <c r="M879" s="722" t="s">
        <v>955</v>
      </c>
      <c r="N879" s="746"/>
      <c r="O879" s="746"/>
      <c r="P879" s="746"/>
      <c r="Q879" s="746"/>
      <c r="R879" s="521"/>
      <c r="S879" s="521"/>
    </row>
    <row r="880" spans="1:19" ht="25.5">
      <c r="A880" s="723">
        <v>307</v>
      </c>
      <c r="B880" s="723">
        <v>20071195010</v>
      </c>
      <c r="C880" s="723" t="s">
        <v>3652</v>
      </c>
      <c r="D880" s="723">
        <v>195</v>
      </c>
      <c r="E880" s="723" t="s">
        <v>2832</v>
      </c>
      <c r="F880" s="723" t="s">
        <v>154</v>
      </c>
      <c r="G880" s="723" t="s">
        <v>2546</v>
      </c>
      <c r="H880" s="723" t="s">
        <v>2043</v>
      </c>
      <c r="I880" s="723"/>
      <c r="J880" s="723"/>
      <c r="K880" s="723" t="s">
        <v>2044</v>
      </c>
      <c r="L880" s="723">
        <v>11227249</v>
      </c>
      <c r="M880" s="724" t="s">
        <v>955</v>
      </c>
      <c r="N880" s="746"/>
      <c r="O880" s="746"/>
      <c r="P880" s="746"/>
      <c r="Q880" s="746"/>
      <c r="R880" s="521"/>
      <c r="S880" s="521"/>
    </row>
    <row r="881" spans="1:19" ht="25.5">
      <c r="A881" s="721">
        <v>308</v>
      </c>
      <c r="B881" s="721">
        <v>20071195011</v>
      </c>
      <c r="C881" s="721" t="s">
        <v>3653</v>
      </c>
      <c r="D881" s="721">
        <v>195</v>
      </c>
      <c r="E881" s="721" t="s">
        <v>2832</v>
      </c>
      <c r="F881" s="721" t="s">
        <v>154</v>
      </c>
      <c r="G881" s="721" t="s">
        <v>2546</v>
      </c>
      <c r="H881" s="721" t="s">
        <v>2043</v>
      </c>
      <c r="I881" s="721" t="s">
        <v>3654</v>
      </c>
      <c r="J881" s="721" t="s">
        <v>3655</v>
      </c>
      <c r="K881" s="721" t="s">
        <v>2044</v>
      </c>
      <c r="L881" s="721">
        <v>79946666</v>
      </c>
      <c r="M881" s="722" t="s">
        <v>955</v>
      </c>
      <c r="N881" s="746"/>
      <c r="O881" s="746"/>
      <c r="P881" s="746"/>
      <c r="Q881" s="746"/>
      <c r="R881" s="521"/>
      <c r="S881" s="521"/>
    </row>
    <row r="882" spans="1:19" ht="25.5">
      <c r="A882" s="723">
        <v>309</v>
      </c>
      <c r="B882" s="723">
        <v>20071195012</v>
      </c>
      <c r="C882" s="723" t="s">
        <v>3656</v>
      </c>
      <c r="D882" s="723">
        <v>195</v>
      </c>
      <c r="E882" s="723" t="s">
        <v>2832</v>
      </c>
      <c r="F882" s="723" t="s">
        <v>154</v>
      </c>
      <c r="G882" s="723" t="s">
        <v>2546</v>
      </c>
      <c r="H882" s="723" t="s">
        <v>2043</v>
      </c>
      <c r="I882" s="723" t="s">
        <v>3657</v>
      </c>
      <c r="J882" s="723" t="s">
        <v>3658</v>
      </c>
      <c r="K882" s="723" t="s">
        <v>2044</v>
      </c>
      <c r="L882" s="723">
        <v>79845166</v>
      </c>
      <c r="M882" s="724" t="s">
        <v>955</v>
      </c>
      <c r="N882" s="746"/>
      <c r="O882" s="746"/>
      <c r="P882" s="746"/>
      <c r="Q882" s="746"/>
      <c r="R882" s="521"/>
      <c r="S882" s="521"/>
    </row>
    <row r="883" spans="1:19" ht="25.5">
      <c r="A883" s="721">
        <v>310</v>
      </c>
      <c r="B883" s="721">
        <v>20071195013</v>
      </c>
      <c r="C883" s="721" t="s">
        <v>3659</v>
      </c>
      <c r="D883" s="721">
        <v>195</v>
      </c>
      <c r="E883" s="721" t="s">
        <v>2832</v>
      </c>
      <c r="F883" s="721" t="s">
        <v>154</v>
      </c>
      <c r="G883" s="721" t="s">
        <v>2546</v>
      </c>
      <c r="H883" s="721" t="s">
        <v>2043</v>
      </c>
      <c r="I883" s="721" t="s">
        <v>3660</v>
      </c>
      <c r="J883" s="721" t="s">
        <v>3661</v>
      </c>
      <c r="K883" s="721" t="s">
        <v>2044</v>
      </c>
      <c r="L883" s="721">
        <v>40428403</v>
      </c>
      <c r="M883" s="721" t="s">
        <v>2914</v>
      </c>
      <c r="N883" s="746"/>
      <c r="O883" s="746"/>
      <c r="P883" s="746"/>
      <c r="Q883" s="746"/>
      <c r="R883" s="521"/>
      <c r="S883" s="521"/>
    </row>
    <row r="884" spans="1:19" ht="25.5">
      <c r="A884" s="723">
        <v>311</v>
      </c>
      <c r="B884" s="723">
        <v>20071195014</v>
      </c>
      <c r="C884" s="723" t="s">
        <v>3662</v>
      </c>
      <c r="D884" s="723">
        <v>195</v>
      </c>
      <c r="E884" s="723" t="s">
        <v>2832</v>
      </c>
      <c r="F884" s="723" t="s">
        <v>154</v>
      </c>
      <c r="G884" s="723" t="s">
        <v>2546</v>
      </c>
      <c r="H884" s="723" t="s">
        <v>2043</v>
      </c>
      <c r="I884" s="723" t="s">
        <v>3663</v>
      </c>
      <c r="J884" s="723" t="s">
        <v>3664</v>
      </c>
      <c r="K884" s="723" t="s">
        <v>2044</v>
      </c>
      <c r="L884" s="723">
        <v>80065381</v>
      </c>
      <c r="M884" s="724" t="s">
        <v>955</v>
      </c>
      <c r="N884" s="746"/>
      <c r="O884" s="746"/>
      <c r="P884" s="746"/>
      <c r="Q884" s="746"/>
      <c r="R884" s="521"/>
      <c r="S884" s="521"/>
    </row>
    <row r="885" spans="1:19" ht="25.5">
      <c r="A885" s="721">
        <v>312</v>
      </c>
      <c r="B885" s="721">
        <v>20071195015</v>
      </c>
      <c r="C885" s="721" t="s">
        <v>3665</v>
      </c>
      <c r="D885" s="721">
        <v>195</v>
      </c>
      <c r="E885" s="721" t="s">
        <v>2832</v>
      </c>
      <c r="F885" s="721" t="s">
        <v>154</v>
      </c>
      <c r="G885" s="721" t="s">
        <v>2546</v>
      </c>
      <c r="H885" s="721" t="s">
        <v>2043</v>
      </c>
      <c r="I885" s="721" t="s">
        <v>3666</v>
      </c>
      <c r="J885" s="721" t="s">
        <v>3667</v>
      </c>
      <c r="K885" s="721" t="s">
        <v>2044</v>
      </c>
      <c r="L885" s="721">
        <v>9268407</v>
      </c>
      <c r="M885" s="721" t="s">
        <v>2218</v>
      </c>
      <c r="N885" s="746"/>
      <c r="O885" s="746"/>
      <c r="P885" s="746"/>
      <c r="Q885" s="746"/>
      <c r="R885" s="521"/>
      <c r="S885" s="521"/>
    </row>
    <row r="886" spans="1:19" ht="25.5">
      <c r="A886" s="723">
        <v>313</v>
      </c>
      <c r="B886" s="723">
        <v>20071195016</v>
      </c>
      <c r="C886" s="723" t="s">
        <v>3668</v>
      </c>
      <c r="D886" s="723">
        <v>195</v>
      </c>
      <c r="E886" s="723" t="s">
        <v>2832</v>
      </c>
      <c r="F886" s="723" t="s">
        <v>154</v>
      </c>
      <c r="G886" s="723" t="s">
        <v>2546</v>
      </c>
      <c r="H886" s="723" t="s">
        <v>2043</v>
      </c>
      <c r="I886" s="723"/>
      <c r="J886" s="723"/>
      <c r="K886" s="723" t="s">
        <v>2044</v>
      </c>
      <c r="L886" s="723">
        <v>79722806</v>
      </c>
      <c r="M886" s="724" t="s">
        <v>955</v>
      </c>
      <c r="N886" s="746"/>
      <c r="O886" s="746"/>
      <c r="P886" s="746"/>
      <c r="Q886" s="746"/>
      <c r="R886" s="521"/>
      <c r="S886" s="521"/>
    </row>
    <row r="887" spans="1:19" ht="25.5">
      <c r="A887" s="721">
        <v>314</v>
      </c>
      <c r="B887" s="721">
        <v>20072195001</v>
      </c>
      <c r="C887" s="721" t="s">
        <v>3669</v>
      </c>
      <c r="D887" s="721">
        <v>195</v>
      </c>
      <c r="E887" s="721" t="s">
        <v>2832</v>
      </c>
      <c r="F887" s="721" t="s">
        <v>154</v>
      </c>
      <c r="G887" s="721" t="s">
        <v>2546</v>
      </c>
      <c r="H887" s="721" t="s">
        <v>2043</v>
      </c>
      <c r="I887" s="721"/>
      <c r="J887" s="721"/>
      <c r="K887" s="721" t="s">
        <v>2044</v>
      </c>
      <c r="L887" s="721">
        <v>93411282</v>
      </c>
      <c r="M887" s="721" t="s">
        <v>2113</v>
      </c>
      <c r="N887" s="746"/>
      <c r="O887" s="746"/>
      <c r="P887" s="746"/>
      <c r="Q887" s="746"/>
      <c r="R887" s="521"/>
      <c r="S887" s="521"/>
    </row>
    <row r="888" spans="1:19" ht="25.5">
      <c r="A888" s="723">
        <v>315</v>
      </c>
      <c r="B888" s="723">
        <v>20072195002</v>
      </c>
      <c r="C888" s="723" t="s">
        <v>3670</v>
      </c>
      <c r="D888" s="723">
        <v>195</v>
      </c>
      <c r="E888" s="723" t="s">
        <v>2832</v>
      </c>
      <c r="F888" s="723" t="s">
        <v>154</v>
      </c>
      <c r="G888" s="723" t="s">
        <v>2546</v>
      </c>
      <c r="H888" s="723" t="s">
        <v>2043</v>
      </c>
      <c r="I888" s="723"/>
      <c r="J888" s="723"/>
      <c r="K888" s="723" t="s">
        <v>2044</v>
      </c>
      <c r="L888" s="723">
        <v>80009886</v>
      </c>
      <c r="M888" s="723" t="s">
        <v>2113</v>
      </c>
      <c r="N888" s="746"/>
      <c r="O888" s="746"/>
      <c r="P888" s="746"/>
      <c r="Q888" s="746"/>
      <c r="R888" s="521"/>
      <c r="S888" s="521"/>
    </row>
    <row r="889" spans="1:19" ht="25.5">
      <c r="A889" s="721">
        <v>316</v>
      </c>
      <c r="B889" s="721">
        <v>20072195003</v>
      </c>
      <c r="C889" s="721" t="s">
        <v>3671</v>
      </c>
      <c r="D889" s="721">
        <v>195</v>
      </c>
      <c r="E889" s="721" t="s">
        <v>2832</v>
      </c>
      <c r="F889" s="721" t="s">
        <v>154</v>
      </c>
      <c r="G889" s="721" t="s">
        <v>2546</v>
      </c>
      <c r="H889" s="721" t="s">
        <v>2043</v>
      </c>
      <c r="I889" s="721"/>
      <c r="J889" s="721"/>
      <c r="K889" s="721" t="s">
        <v>2044</v>
      </c>
      <c r="L889" s="721">
        <v>24347694</v>
      </c>
      <c r="M889" s="722" t="s">
        <v>955</v>
      </c>
      <c r="N889" s="746"/>
      <c r="O889" s="746"/>
      <c r="P889" s="746"/>
      <c r="Q889" s="746"/>
      <c r="R889" s="521"/>
      <c r="S889" s="521"/>
    </row>
    <row r="890" spans="1:19" ht="25.5">
      <c r="A890" s="723">
        <v>317</v>
      </c>
      <c r="B890" s="723">
        <v>20072195006</v>
      </c>
      <c r="C890" s="723" t="s">
        <v>3672</v>
      </c>
      <c r="D890" s="723">
        <v>195</v>
      </c>
      <c r="E890" s="723" t="s">
        <v>2832</v>
      </c>
      <c r="F890" s="723" t="s">
        <v>154</v>
      </c>
      <c r="G890" s="723" t="s">
        <v>2546</v>
      </c>
      <c r="H890" s="723" t="s">
        <v>2043</v>
      </c>
      <c r="I890" s="723"/>
      <c r="J890" s="723"/>
      <c r="K890" s="723" t="s">
        <v>2044</v>
      </c>
      <c r="L890" s="723">
        <v>52426308</v>
      </c>
      <c r="M890" s="723" t="s">
        <v>2113</v>
      </c>
      <c r="N890" s="746"/>
      <c r="O890" s="746"/>
      <c r="P890" s="746"/>
      <c r="Q890" s="746"/>
      <c r="R890" s="521"/>
      <c r="S890" s="521"/>
    </row>
    <row r="891" spans="1:19" ht="25.5">
      <c r="A891" s="721">
        <v>318</v>
      </c>
      <c r="B891" s="721">
        <v>20072195007</v>
      </c>
      <c r="C891" s="721" t="s">
        <v>3673</v>
      </c>
      <c r="D891" s="721">
        <v>195</v>
      </c>
      <c r="E891" s="721" t="s">
        <v>2832</v>
      </c>
      <c r="F891" s="721" t="s">
        <v>154</v>
      </c>
      <c r="G891" s="721" t="s">
        <v>2546</v>
      </c>
      <c r="H891" s="721" t="s">
        <v>2043</v>
      </c>
      <c r="I891" s="721"/>
      <c r="J891" s="721"/>
      <c r="K891" s="721" t="s">
        <v>2044</v>
      </c>
      <c r="L891" s="721">
        <v>52364925</v>
      </c>
      <c r="M891" s="721" t="s">
        <v>2131</v>
      </c>
      <c r="N891" s="746"/>
      <c r="O891" s="746"/>
      <c r="P891" s="746"/>
      <c r="Q891" s="746"/>
      <c r="R891" s="521"/>
      <c r="S891" s="521"/>
    </row>
    <row r="892" spans="1:19" ht="25.5">
      <c r="A892" s="723">
        <v>319</v>
      </c>
      <c r="B892" s="723">
        <v>20072195008</v>
      </c>
      <c r="C892" s="723" t="s">
        <v>3674</v>
      </c>
      <c r="D892" s="723">
        <v>195</v>
      </c>
      <c r="E892" s="723" t="s">
        <v>2832</v>
      </c>
      <c r="F892" s="723" t="s">
        <v>154</v>
      </c>
      <c r="G892" s="723" t="s">
        <v>2546</v>
      </c>
      <c r="H892" s="723" t="s">
        <v>2043</v>
      </c>
      <c r="I892" s="723" t="s">
        <v>3675</v>
      </c>
      <c r="J892" s="723" t="s">
        <v>3676</v>
      </c>
      <c r="K892" s="723" t="s">
        <v>2044</v>
      </c>
      <c r="L892" s="723">
        <v>79957264</v>
      </c>
      <c r="M892" s="723" t="s">
        <v>2113</v>
      </c>
      <c r="N892" s="746"/>
      <c r="O892" s="746"/>
      <c r="P892" s="746"/>
      <c r="Q892" s="746"/>
      <c r="R892" s="521"/>
      <c r="S892" s="521"/>
    </row>
    <row r="893" spans="1:19" ht="25.5">
      <c r="A893" s="721">
        <v>320</v>
      </c>
      <c r="B893" s="721">
        <v>20072195009</v>
      </c>
      <c r="C893" s="721" t="s">
        <v>3677</v>
      </c>
      <c r="D893" s="721">
        <v>195</v>
      </c>
      <c r="E893" s="721" t="s">
        <v>2832</v>
      </c>
      <c r="F893" s="721" t="s">
        <v>154</v>
      </c>
      <c r="G893" s="721" t="s">
        <v>2546</v>
      </c>
      <c r="H893" s="721" t="s">
        <v>2043</v>
      </c>
      <c r="I893" s="721" t="s">
        <v>3678</v>
      </c>
      <c r="J893" s="721" t="s">
        <v>3679</v>
      </c>
      <c r="K893" s="721" t="s">
        <v>2044</v>
      </c>
      <c r="L893" s="721">
        <v>79661847</v>
      </c>
      <c r="M893" s="721" t="s">
        <v>2113</v>
      </c>
      <c r="N893" s="746"/>
      <c r="O893" s="746"/>
      <c r="P893" s="746"/>
      <c r="Q893" s="746"/>
      <c r="R893" s="521"/>
      <c r="S893" s="521"/>
    </row>
    <row r="894" spans="1:19" ht="25.5">
      <c r="A894" s="723">
        <v>321</v>
      </c>
      <c r="B894" s="723">
        <v>20072195010</v>
      </c>
      <c r="C894" s="723" t="s">
        <v>3680</v>
      </c>
      <c r="D894" s="723">
        <v>195</v>
      </c>
      <c r="E894" s="723" t="s">
        <v>2832</v>
      </c>
      <c r="F894" s="723" t="s">
        <v>154</v>
      </c>
      <c r="G894" s="723" t="s">
        <v>2546</v>
      </c>
      <c r="H894" s="723" t="s">
        <v>2043</v>
      </c>
      <c r="I894" s="723"/>
      <c r="J894" s="723"/>
      <c r="K894" s="723" t="s">
        <v>2044</v>
      </c>
      <c r="L894" s="723">
        <v>19336943</v>
      </c>
      <c r="M894" s="724" t="s">
        <v>955</v>
      </c>
      <c r="N894" s="746"/>
      <c r="O894" s="746"/>
      <c r="P894" s="746"/>
      <c r="Q894" s="746"/>
      <c r="R894" s="521"/>
      <c r="S894" s="521"/>
    </row>
    <row r="895" spans="1:19" ht="25.5">
      <c r="A895" s="721">
        <v>322</v>
      </c>
      <c r="B895" s="721">
        <v>20072195011</v>
      </c>
      <c r="C895" s="721" t="s">
        <v>3681</v>
      </c>
      <c r="D895" s="721">
        <v>195</v>
      </c>
      <c r="E895" s="721" t="s">
        <v>2832</v>
      </c>
      <c r="F895" s="721" t="s">
        <v>154</v>
      </c>
      <c r="G895" s="721" t="s">
        <v>2546</v>
      </c>
      <c r="H895" s="721" t="s">
        <v>2043</v>
      </c>
      <c r="I895" s="721"/>
      <c r="J895" s="721"/>
      <c r="K895" s="721" t="s">
        <v>2044</v>
      </c>
      <c r="L895" s="721">
        <v>80028425</v>
      </c>
      <c r="M895" s="721" t="s">
        <v>2113</v>
      </c>
      <c r="N895" s="746"/>
      <c r="O895" s="746"/>
      <c r="P895" s="746"/>
      <c r="Q895" s="746"/>
      <c r="R895" s="521"/>
      <c r="S895" s="521"/>
    </row>
    <row r="896" spans="1:19" ht="25.5">
      <c r="A896" s="723">
        <v>323</v>
      </c>
      <c r="B896" s="723">
        <v>20081195001</v>
      </c>
      <c r="C896" s="723" t="s">
        <v>3682</v>
      </c>
      <c r="D896" s="723">
        <v>195</v>
      </c>
      <c r="E896" s="723" t="s">
        <v>2832</v>
      </c>
      <c r="F896" s="723" t="s">
        <v>154</v>
      </c>
      <c r="G896" s="723" t="s">
        <v>2546</v>
      </c>
      <c r="H896" s="723" t="s">
        <v>2043</v>
      </c>
      <c r="I896" s="723" t="s">
        <v>3683</v>
      </c>
      <c r="J896" s="723" t="s">
        <v>3684</v>
      </c>
      <c r="K896" s="723" t="s">
        <v>2044</v>
      </c>
      <c r="L896" s="723">
        <v>7717787</v>
      </c>
      <c r="M896" s="723" t="s">
        <v>2896</v>
      </c>
      <c r="N896" s="746"/>
      <c r="O896" s="746"/>
      <c r="P896" s="746"/>
      <c r="Q896" s="746"/>
      <c r="R896" s="521"/>
      <c r="S896" s="521"/>
    </row>
    <row r="897" spans="1:19" ht="25.5">
      <c r="A897" s="721">
        <v>324</v>
      </c>
      <c r="B897" s="721">
        <v>20081195003</v>
      </c>
      <c r="C897" s="721" t="s">
        <v>3685</v>
      </c>
      <c r="D897" s="721">
        <v>195</v>
      </c>
      <c r="E897" s="721" t="s">
        <v>2832</v>
      </c>
      <c r="F897" s="721" t="s">
        <v>154</v>
      </c>
      <c r="G897" s="721" t="s">
        <v>2546</v>
      </c>
      <c r="H897" s="721" t="s">
        <v>2043</v>
      </c>
      <c r="I897" s="721"/>
      <c r="J897" s="721" t="s">
        <v>3686</v>
      </c>
      <c r="K897" s="721" t="s">
        <v>2044</v>
      </c>
      <c r="L897" s="721">
        <v>79748066</v>
      </c>
      <c r="M897" s="721" t="s">
        <v>2958</v>
      </c>
      <c r="N897" s="746"/>
      <c r="O897" s="746"/>
      <c r="P897" s="746"/>
      <c r="Q897" s="746"/>
      <c r="R897" s="521"/>
      <c r="S897" s="521"/>
    </row>
    <row r="898" spans="1:19" ht="25.5">
      <c r="A898" s="723">
        <v>325</v>
      </c>
      <c r="B898" s="723">
        <v>20081195004</v>
      </c>
      <c r="C898" s="723" t="s">
        <v>3687</v>
      </c>
      <c r="D898" s="723">
        <v>195</v>
      </c>
      <c r="E898" s="723" t="s">
        <v>2832</v>
      </c>
      <c r="F898" s="723" t="s">
        <v>154</v>
      </c>
      <c r="G898" s="723" t="s">
        <v>2546</v>
      </c>
      <c r="H898" s="723" t="s">
        <v>2043</v>
      </c>
      <c r="I898" s="723"/>
      <c r="J898" s="723"/>
      <c r="K898" s="723" t="s">
        <v>2044</v>
      </c>
      <c r="L898" s="723">
        <v>65776344</v>
      </c>
      <c r="M898" s="724" t="s">
        <v>955</v>
      </c>
      <c r="N898" s="746"/>
      <c r="O898" s="746"/>
      <c r="P898" s="746"/>
      <c r="Q898" s="746"/>
      <c r="R898" s="521"/>
      <c r="S898" s="521"/>
    </row>
    <row r="899" spans="1:19" ht="25.5">
      <c r="A899" s="721">
        <v>326</v>
      </c>
      <c r="B899" s="721">
        <v>20081195005</v>
      </c>
      <c r="C899" s="721" t="s">
        <v>3688</v>
      </c>
      <c r="D899" s="721">
        <v>195</v>
      </c>
      <c r="E899" s="721" t="s">
        <v>2832</v>
      </c>
      <c r="F899" s="721" t="s">
        <v>154</v>
      </c>
      <c r="G899" s="721" t="s">
        <v>2546</v>
      </c>
      <c r="H899" s="721" t="s">
        <v>2043</v>
      </c>
      <c r="I899" s="721"/>
      <c r="J899" s="721" t="s">
        <v>3689</v>
      </c>
      <c r="K899" s="721" t="s">
        <v>2044</v>
      </c>
      <c r="L899" s="721">
        <v>73578827</v>
      </c>
      <c r="M899" s="722" t="s">
        <v>955</v>
      </c>
      <c r="N899" s="746"/>
      <c r="O899" s="746"/>
      <c r="P899" s="746"/>
      <c r="Q899" s="746"/>
      <c r="R899" s="521"/>
      <c r="S899" s="521"/>
    </row>
    <row r="900" spans="1:19" ht="25.5">
      <c r="A900" s="723">
        <v>327</v>
      </c>
      <c r="B900" s="723">
        <v>20081195007</v>
      </c>
      <c r="C900" s="723" t="s">
        <v>3690</v>
      </c>
      <c r="D900" s="723">
        <v>195</v>
      </c>
      <c r="E900" s="723" t="s">
        <v>2832</v>
      </c>
      <c r="F900" s="723" t="s">
        <v>154</v>
      </c>
      <c r="G900" s="723" t="s">
        <v>2546</v>
      </c>
      <c r="H900" s="723" t="s">
        <v>2043</v>
      </c>
      <c r="I900" s="723"/>
      <c r="J900" s="723"/>
      <c r="K900" s="723" t="s">
        <v>2044</v>
      </c>
      <c r="L900" s="723">
        <v>71611357</v>
      </c>
      <c r="M900" s="724" t="s">
        <v>955</v>
      </c>
      <c r="N900" s="746"/>
      <c r="O900" s="746"/>
      <c r="P900" s="746"/>
      <c r="Q900" s="746"/>
      <c r="R900" s="521"/>
      <c r="S900" s="521"/>
    </row>
    <row r="901" spans="1:19" ht="25.5">
      <c r="A901" s="721">
        <v>328</v>
      </c>
      <c r="B901" s="721">
        <v>20081195008</v>
      </c>
      <c r="C901" s="721" t="s">
        <v>3691</v>
      </c>
      <c r="D901" s="721">
        <v>195</v>
      </c>
      <c r="E901" s="721" t="s">
        <v>2832</v>
      </c>
      <c r="F901" s="721" t="s">
        <v>154</v>
      </c>
      <c r="G901" s="721" t="s">
        <v>2546</v>
      </c>
      <c r="H901" s="721" t="s">
        <v>2043</v>
      </c>
      <c r="I901" s="721"/>
      <c r="J901" s="721"/>
      <c r="K901" s="721" t="s">
        <v>2044</v>
      </c>
      <c r="L901" s="721">
        <v>60261576</v>
      </c>
      <c r="M901" s="722" t="s">
        <v>955</v>
      </c>
      <c r="N901" s="746"/>
      <c r="O901" s="746"/>
      <c r="P901" s="746"/>
      <c r="Q901" s="746"/>
      <c r="R901" s="521"/>
      <c r="S901" s="521"/>
    </row>
    <row r="902" spans="1:19" ht="25.5">
      <c r="A902" s="723">
        <v>329</v>
      </c>
      <c r="B902" s="723">
        <v>20081195010</v>
      </c>
      <c r="C902" s="723" t="s">
        <v>3692</v>
      </c>
      <c r="D902" s="723">
        <v>195</v>
      </c>
      <c r="E902" s="723" t="s">
        <v>2832</v>
      </c>
      <c r="F902" s="723" t="s">
        <v>154</v>
      </c>
      <c r="G902" s="723" t="s">
        <v>2546</v>
      </c>
      <c r="H902" s="723" t="s">
        <v>2043</v>
      </c>
      <c r="I902" s="723" t="s">
        <v>3693</v>
      </c>
      <c r="J902" s="723" t="s">
        <v>3694</v>
      </c>
      <c r="K902" s="723" t="s">
        <v>2044</v>
      </c>
      <c r="L902" s="723">
        <v>53932123</v>
      </c>
      <c r="M902" s="723" t="s">
        <v>2167</v>
      </c>
      <c r="N902" s="746"/>
      <c r="O902" s="746"/>
      <c r="P902" s="746"/>
      <c r="Q902" s="746"/>
      <c r="R902" s="521"/>
      <c r="S902" s="521"/>
    </row>
    <row r="903" spans="1:19" ht="25.5">
      <c r="A903" s="721">
        <v>330</v>
      </c>
      <c r="B903" s="721">
        <v>20081195011</v>
      </c>
      <c r="C903" s="721" t="s">
        <v>3695</v>
      </c>
      <c r="D903" s="721">
        <v>195</v>
      </c>
      <c r="E903" s="721" t="s">
        <v>2832</v>
      </c>
      <c r="F903" s="721" t="s">
        <v>154</v>
      </c>
      <c r="G903" s="721" t="s">
        <v>2546</v>
      </c>
      <c r="H903" s="721">
        <v>1</v>
      </c>
      <c r="I903" s="721" t="s">
        <v>3696</v>
      </c>
      <c r="J903" s="721" t="s">
        <v>3697</v>
      </c>
      <c r="K903" s="721" t="s">
        <v>2044</v>
      </c>
      <c r="L903" s="721">
        <v>80056453</v>
      </c>
      <c r="M903" s="721" t="s">
        <v>2612</v>
      </c>
      <c r="N903" s="746"/>
      <c r="O903" s="746"/>
      <c r="P903" s="746"/>
      <c r="Q903" s="746"/>
      <c r="R903" s="521"/>
      <c r="S903" s="521"/>
    </row>
    <row r="904" spans="1:19" ht="25.5">
      <c r="A904" s="723">
        <v>331</v>
      </c>
      <c r="B904" s="723">
        <v>20081195012</v>
      </c>
      <c r="C904" s="723" t="s">
        <v>3698</v>
      </c>
      <c r="D904" s="723">
        <v>195</v>
      </c>
      <c r="E904" s="723" t="s">
        <v>2832</v>
      </c>
      <c r="F904" s="723" t="s">
        <v>154</v>
      </c>
      <c r="G904" s="723" t="s">
        <v>2546</v>
      </c>
      <c r="H904" s="723" t="s">
        <v>2043</v>
      </c>
      <c r="I904" s="723" t="s">
        <v>3699</v>
      </c>
      <c r="J904" s="723" t="s">
        <v>3700</v>
      </c>
      <c r="K904" s="723" t="s">
        <v>2044</v>
      </c>
      <c r="L904" s="723">
        <v>79966414</v>
      </c>
      <c r="M904" s="723" t="s">
        <v>2856</v>
      </c>
      <c r="N904" s="746"/>
      <c r="O904" s="746"/>
      <c r="P904" s="746"/>
      <c r="Q904" s="746"/>
      <c r="R904" s="521"/>
      <c r="S904" s="521"/>
    </row>
    <row r="905" spans="1:19" ht="25.5">
      <c r="A905" s="721">
        <v>332</v>
      </c>
      <c r="B905" s="721">
        <v>20081195013</v>
      </c>
      <c r="C905" s="721" t="s">
        <v>3701</v>
      </c>
      <c r="D905" s="721">
        <v>195</v>
      </c>
      <c r="E905" s="721" t="s">
        <v>2832</v>
      </c>
      <c r="F905" s="721" t="s">
        <v>154</v>
      </c>
      <c r="G905" s="721" t="s">
        <v>2546</v>
      </c>
      <c r="H905" s="721" t="s">
        <v>2043</v>
      </c>
      <c r="I905" s="721"/>
      <c r="J905" s="721" t="s">
        <v>3702</v>
      </c>
      <c r="K905" s="721" t="s">
        <v>2044</v>
      </c>
      <c r="L905" s="721"/>
      <c r="M905" s="722" t="s">
        <v>955</v>
      </c>
      <c r="N905" s="746"/>
      <c r="O905" s="746"/>
      <c r="P905" s="746"/>
      <c r="Q905" s="746"/>
      <c r="R905" s="521"/>
      <c r="S905" s="521"/>
    </row>
    <row r="906" spans="1:19" ht="25.5">
      <c r="A906" s="723">
        <v>333</v>
      </c>
      <c r="B906" s="723">
        <v>20082195001</v>
      </c>
      <c r="C906" s="723" t="s">
        <v>3703</v>
      </c>
      <c r="D906" s="723">
        <v>195</v>
      </c>
      <c r="E906" s="723" t="s">
        <v>2832</v>
      </c>
      <c r="F906" s="723" t="s">
        <v>154</v>
      </c>
      <c r="G906" s="723" t="s">
        <v>2546</v>
      </c>
      <c r="H906" s="723" t="s">
        <v>2043</v>
      </c>
      <c r="I906" s="723" t="s">
        <v>3704</v>
      </c>
      <c r="J906" s="723" t="s">
        <v>3705</v>
      </c>
      <c r="K906" s="723" t="s">
        <v>2044</v>
      </c>
      <c r="L906" s="723">
        <v>79715505</v>
      </c>
      <c r="M906" s="723" t="s">
        <v>2914</v>
      </c>
      <c r="N906" s="746"/>
      <c r="O906" s="746"/>
      <c r="P906" s="746"/>
      <c r="Q906" s="746"/>
      <c r="R906" s="521"/>
      <c r="S906" s="521"/>
    </row>
    <row r="907" spans="1:19" ht="25.5">
      <c r="A907" s="721">
        <v>334</v>
      </c>
      <c r="B907" s="721">
        <v>20082195003</v>
      </c>
      <c r="C907" s="721" t="s">
        <v>3706</v>
      </c>
      <c r="D907" s="721">
        <v>195</v>
      </c>
      <c r="E907" s="721" t="s">
        <v>2832</v>
      </c>
      <c r="F907" s="721" t="s">
        <v>154</v>
      </c>
      <c r="G907" s="721" t="s">
        <v>2546</v>
      </c>
      <c r="H907" s="721" t="s">
        <v>2043</v>
      </c>
      <c r="I907" s="721" t="s">
        <v>3707</v>
      </c>
      <c r="J907" s="721" t="s">
        <v>3708</v>
      </c>
      <c r="K907" s="721" t="s">
        <v>2044</v>
      </c>
      <c r="L907" s="721">
        <v>80210579</v>
      </c>
      <c r="M907" s="721" t="s">
        <v>2900</v>
      </c>
      <c r="N907" s="746"/>
      <c r="O907" s="746"/>
      <c r="P907" s="746"/>
      <c r="Q907" s="746"/>
      <c r="R907" s="521"/>
      <c r="S907" s="521"/>
    </row>
    <row r="908" spans="1:19" ht="25.5">
      <c r="A908" s="723">
        <v>335</v>
      </c>
      <c r="B908" s="723">
        <v>20082195005</v>
      </c>
      <c r="C908" s="723" t="s">
        <v>3709</v>
      </c>
      <c r="D908" s="723">
        <v>195</v>
      </c>
      <c r="E908" s="723" t="s">
        <v>2832</v>
      </c>
      <c r="F908" s="723" t="s">
        <v>154</v>
      </c>
      <c r="G908" s="723" t="s">
        <v>2546</v>
      </c>
      <c r="H908" s="723" t="s">
        <v>2043</v>
      </c>
      <c r="I908" s="723" t="s">
        <v>3710</v>
      </c>
      <c r="J908" s="723" t="s">
        <v>3711</v>
      </c>
      <c r="K908" s="723" t="s">
        <v>2044</v>
      </c>
      <c r="L908" s="723">
        <v>80736220</v>
      </c>
      <c r="M908" s="723" t="s">
        <v>2131</v>
      </c>
      <c r="N908" s="746"/>
      <c r="O908" s="746"/>
      <c r="P908" s="746"/>
      <c r="Q908" s="746"/>
      <c r="R908" s="521"/>
      <c r="S908" s="521"/>
    </row>
    <row r="909" spans="1:19" ht="25.5">
      <c r="A909" s="721">
        <v>336</v>
      </c>
      <c r="B909" s="721">
        <v>20082195006</v>
      </c>
      <c r="C909" s="721" t="s">
        <v>3712</v>
      </c>
      <c r="D909" s="721">
        <v>195</v>
      </c>
      <c r="E909" s="721" t="s">
        <v>2832</v>
      </c>
      <c r="F909" s="721" t="s">
        <v>154</v>
      </c>
      <c r="G909" s="721" t="s">
        <v>2546</v>
      </c>
      <c r="H909" s="721" t="s">
        <v>2043</v>
      </c>
      <c r="I909" s="721" t="s">
        <v>3713</v>
      </c>
      <c r="J909" s="721" t="s">
        <v>3714</v>
      </c>
      <c r="K909" s="721" t="s">
        <v>2044</v>
      </c>
      <c r="L909" s="721">
        <v>79806183</v>
      </c>
      <c r="M909" s="721" t="s">
        <v>2900</v>
      </c>
      <c r="N909" s="746"/>
      <c r="O909" s="746"/>
      <c r="P909" s="746"/>
      <c r="Q909" s="746"/>
      <c r="R909" s="521"/>
      <c r="S909" s="521"/>
    </row>
    <row r="910" spans="1:19" ht="25.5">
      <c r="A910" s="723">
        <v>337</v>
      </c>
      <c r="B910" s="723">
        <v>20082195007</v>
      </c>
      <c r="C910" s="723" t="s">
        <v>3715</v>
      </c>
      <c r="D910" s="723">
        <v>195</v>
      </c>
      <c r="E910" s="723" t="s">
        <v>2832</v>
      </c>
      <c r="F910" s="723" t="s">
        <v>154</v>
      </c>
      <c r="G910" s="723" t="s">
        <v>2546</v>
      </c>
      <c r="H910" s="723" t="s">
        <v>2043</v>
      </c>
      <c r="I910" s="723" t="s">
        <v>3716</v>
      </c>
      <c r="J910" s="723" t="s">
        <v>3717</v>
      </c>
      <c r="K910" s="723" t="s">
        <v>2044</v>
      </c>
      <c r="L910" s="723">
        <v>79745723</v>
      </c>
      <c r="M910" s="723" t="s">
        <v>3023</v>
      </c>
      <c r="N910" s="746"/>
      <c r="O910" s="746"/>
      <c r="P910" s="746"/>
      <c r="Q910" s="746"/>
      <c r="R910" s="521"/>
      <c r="S910" s="521"/>
    </row>
    <row r="911" spans="1:19" ht="25.5">
      <c r="A911" s="721">
        <v>338</v>
      </c>
      <c r="B911" s="721">
        <v>20082195008</v>
      </c>
      <c r="C911" s="721" t="s">
        <v>3718</v>
      </c>
      <c r="D911" s="721">
        <v>195</v>
      </c>
      <c r="E911" s="721" t="s">
        <v>2832</v>
      </c>
      <c r="F911" s="721" t="s">
        <v>154</v>
      </c>
      <c r="G911" s="721" t="s">
        <v>2546</v>
      </c>
      <c r="H911" s="721" t="s">
        <v>2043</v>
      </c>
      <c r="I911" s="721" t="s">
        <v>3719</v>
      </c>
      <c r="J911" s="721" t="s">
        <v>3720</v>
      </c>
      <c r="K911" s="721" t="s">
        <v>2044</v>
      </c>
      <c r="L911" s="721">
        <v>93414174</v>
      </c>
      <c r="M911" s="721" t="s">
        <v>2958</v>
      </c>
      <c r="N911" s="746"/>
      <c r="O911" s="746"/>
      <c r="P911" s="746"/>
      <c r="Q911" s="746"/>
      <c r="R911" s="521"/>
      <c r="S911" s="521"/>
    </row>
    <row r="912" spans="1:19" ht="25.5">
      <c r="A912" s="723">
        <v>339</v>
      </c>
      <c r="B912" s="723">
        <v>20082195009</v>
      </c>
      <c r="C912" s="723" t="s">
        <v>3721</v>
      </c>
      <c r="D912" s="723">
        <v>195</v>
      </c>
      <c r="E912" s="723" t="s">
        <v>2832</v>
      </c>
      <c r="F912" s="723" t="s">
        <v>154</v>
      </c>
      <c r="G912" s="723" t="s">
        <v>2546</v>
      </c>
      <c r="H912" s="723" t="s">
        <v>2043</v>
      </c>
      <c r="I912" s="723" t="s">
        <v>3722</v>
      </c>
      <c r="J912" s="723" t="s">
        <v>3723</v>
      </c>
      <c r="K912" s="723" t="s">
        <v>2044</v>
      </c>
      <c r="L912" s="723">
        <v>1110449571</v>
      </c>
      <c r="M912" s="723" t="s">
        <v>2167</v>
      </c>
      <c r="N912" s="746"/>
      <c r="O912" s="746"/>
      <c r="P912" s="746"/>
      <c r="Q912" s="746"/>
      <c r="R912" s="521"/>
      <c r="S912" s="521"/>
    </row>
    <row r="913" spans="1:19" ht="25.5">
      <c r="A913" s="721">
        <v>340</v>
      </c>
      <c r="B913" s="721">
        <v>20082195012</v>
      </c>
      <c r="C913" s="721" t="s">
        <v>3724</v>
      </c>
      <c r="D913" s="721">
        <v>195</v>
      </c>
      <c r="E913" s="721" t="s">
        <v>2832</v>
      </c>
      <c r="F913" s="721" t="s">
        <v>154</v>
      </c>
      <c r="G913" s="721" t="s">
        <v>2546</v>
      </c>
      <c r="H913" s="721" t="s">
        <v>2043</v>
      </c>
      <c r="I913" s="721" t="s">
        <v>3725</v>
      </c>
      <c r="J913" s="721" t="s">
        <v>3726</v>
      </c>
      <c r="K913" s="721" t="s">
        <v>2044</v>
      </c>
      <c r="L913" s="721">
        <v>7710659</v>
      </c>
      <c r="M913" s="721" t="s">
        <v>2131</v>
      </c>
      <c r="N913" s="746"/>
      <c r="O913" s="746"/>
      <c r="P913" s="746"/>
      <c r="Q913" s="746"/>
      <c r="R913" s="521"/>
      <c r="S913" s="521"/>
    </row>
    <row r="914" spans="1:19" ht="25.5">
      <c r="A914" s="723">
        <v>341</v>
      </c>
      <c r="B914" s="723">
        <v>20082195014</v>
      </c>
      <c r="C914" s="723" t="s">
        <v>3181</v>
      </c>
      <c r="D914" s="723">
        <v>195</v>
      </c>
      <c r="E914" s="723" t="s">
        <v>2832</v>
      </c>
      <c r="F914" s="723" t="s">
        <v>154</v>
      </c>
      <c r="G914" s="723" t="s">
        <v>2546</v>
      </c>
      <c r="H914" s="723" t="s">
        <v>2043</v>
      </c>
      <c r="I914" s="723"/>
      <c r="J914" s="723" t="s">
        <v>3727</v>
      </c>
      <c r="K914" s="723" t="s">
        <v>2044</v>
      </c>
      <c r="L914" s="723">
        <v>80095218</v>
      </c>
      <c r="M914" s="723" t="s">
        <v>2958</v>
      </c>
      <c r="N914" s="746"/>
      <c r="O914" s="746"/>
      <c r="P914" s="746"/>
      <c r="Q914" s="746"/>
      <c r="R914" s="521"/>
      <c r="S914" s="521"/>
    </row>
    <row r="915" spans="1:19" ht="25.5">
      <c r="A915" s="721">
        <v>342</v>
      </c>
      <c r="B915" s="721">
        <v>20082195016</v>
      </c>
      <c r="C915" s="721" t="s">
        <v>3728</v>
      </c>
      <c r="D915" s="721">
        <v>195</v>
      </c>
      <c r="E915" s="721" t="s">
        <v>2832</v>
      </c>
      <c r="F915" s="721" t="s">
        <v>154</v>
      </c>
      <c r="G915" s="721" t="s">
        <v>2546</v>
      </c>
      <c r="H915" s="721" t="s">
        <v>2043</v>
      </c>
      <c r="I915" s="721"/>
      <c r="J915" s="721" t="s">
        <v>3729</v>
      </c>
      <c r="K915" s="721" t="s">
        <v>2044</v>
      </c>
      <c r="L915" s="721">
        <v>19364964</v>
      </c>
      <c r="M915" s="722" t="s">
        <v>955</v>
      </c>
      <c r="N915" s="746"/>
      <c r="O915" s="746"/>
      <c r="P915" s="746"/>
      <c r="Q915" s="746"/>
      <c r="R915" s="521"/>
      <c r="S915" s="521"/>
    </row>
    <row r="916" spans="1:19" ht="25.5">
      <c r="A916" s="723">
        <v>343</v>
      </c>
      <c r="B916" s="723">
        <v>20082195018</v>
      </c>
      <c r="C916" s="723" t="s">
        <v>3730</v>
      </c>
      <c r="D916" s="723">
        <v>195</v>
      </c>
      <c r="E916" s="723" t="s">
        <v>2832</v>
      </c>
      <c r="F916" s="723" t="s">
        <v>154</v>
      </c>
      <c r="G916" s="723" t="s">
        <v>2546</v>
      </c>
      <c r="H916" s="723" t="s">
        <v>2043</v>
      </c>
      <c r="I916" s="723"/>
      <c r="J916" s="723" t="s">
        <v>3731</v>
      </c>
      <c r="K916" s="723" t="s">
        <v>2044</v>
      </c>
      <c r="L916" s="723">
        <v>65771052</v>
      </c>
      <c r="M916" s="724" t="s">
        <v>955</v>
      </c>
      <c r="N916" s="746"/>
      <c r="O916" s="746"/>
      <c r="P916" s="746"/>
      <c r="Q916" s="746"/>
      <c r="R916" s="521"/>
      <c r="S916" s="521"/>
    </row>
    <row r="917" spans="1:19" ht="25.5">
      <c r="A917" s="721">
        <v>344</v>
      </c>
      <c r="B917" s="721">
        <v>20091195001</v>
      </c>
      <c r="C917" s="721" t="s">
        <v>3732</v>
      </c>
      <c r="D917" s="721">
        <v>195</v>
      </c>
      <c r="E917" s="721" t="s">
        <v>2832</v>
      </c>
      <c r="F917" s="721" t="s">
        <v>154</v>
      </c>
      <c r="G917" s="721" t="s">
        <v>2546</v>
      </c>
      <c r="H917" s="721" t="s">
        <v>2043</v>
      </c>
      <c r="I917" s="721" t="s">
        <v>3733</v>
      </c>
      <c r="J917" s="721" t="s">
        <v>3734</v>
      </c>
      <c r="K917" s="721" t="s">
        <v>2044</v>
      </c>
      <c r="L917" s="721">
        <v>79529265</v>
      </c>
      <c r="M917" s="722" t="s">
        <v>955</v>
      </c>
      <c r="N917" s="746"/>
      <c r="O917" s="746"/>
      <c r="P917" s="746"/>
      <c r="Q917" s="746"/>
      <c r="R917" s="521"/>
      <c r="S917" s="521"/>
    </row>
    <row r="918" spans="1:19" ht="25.5">
      <c r="A918" s="723">
        <v>345</v>
      </c>
      <c r="B918" s="723">
        <v>20091195002</v>
      </c>
      <c r="C918" s="723" t="s">
        <v>3735</v>
      </c>
      <c r="D918" s="723">
        <v>195</v>
      </c>
      <c r="E918" s="723" t="s">
        <v>2832</v>
      </c>
      <c r="F918" s="723" t="s">
        <v>154</v>
      </c>
      <c r="G918" s="723" t="s">
        <v>2546</v>
      </c>
      <c r="H918" s="723">
        <v>1</v>
      </c>
      <c r="I918" s="723" t="s">
        <v>3736</v>
      </c>
      <c r="J918" s="723" t="s">
        <v>3737</v>
      </c>
      <c r="K918" s="723" t="s">
        <v>2044</v>
      </c>
      <c r="L918" s="723">
        <v>72333804</v>
      </c>
      <c r="M918" s="723" t="s">
        <v>2599</v>
      </c>
      <c r="N918" s="746"/>
      <c r="O918" s="746"/>
      <c r="P918" s="746"/>
      <c r="Q918" s="746"/>
      <c r="R918" s="521"/>
      <c r="S918" s="521"/>
    </row>
    <row r="919" spans="1:19" ht="25.5">
      <c r="A919" s="721">
        <v>346</v>
      </c>
      <c r="B919" s="721">
        <v>20091195004</v>
      </c>
      <c r="C919" s="721" t="s">
        <v>3738</v>
      </c>
      <c r="D919" s="721">
        <v>195</v>
      </c>
      <c r="E919" s="721" t="s">
        <v>2832</v>
      </c>
      <c r="F919" s="721" t="s">
        <v>154</v>
      </c>
      <c r="G919" s="721" t="s">
        <v>2546</v>
      </c>
      <c r="H919" s="721" t="s">
        <v>2043</v>
      </c>
      <c r="I919" s="721" t="s">
        <v>3739</v>
      </c>
      <c r="J919" s="721" t="s">
        <v>3740</v>
      </c>
      <c r="K919" s="721" t="s">
        <v>2044</v>
      </c>
      <c r="L919" s="721">
        <v>80030169</v>
      </c>
      <c r="M919" s="721" t="s">
        <v>2229</v>
      </c>
      <c r="N919" s="746"/>
      <c r="O919" s="746"/>
      <c r="P919" s="746"/>
      <c r="Q919" s="746"/>
      <c r="R919" s="521"/>
      <c r="S919" s="521"/>
    </row>
    <row r="920" spans="1:19" ht="25.5">
      <c r="A920" s="723">
        <v>347</v>
      </c>
      <c r="B920" s="723">
        <v>20091195006</v>
      </c>
      <c r="C920" s="723" t="s">
        <v>3741</v>
      </c>
      <c r="D920" s="723">
        <v>195</v>
      </c>
      <c r="E920" s="723" t="s">
        <v>2832</v>
      </c>
      <c r="F920" s="723" t="s">
        <v>154</v>
      </c>
      <c r="G920" s="723" t="s">
        <v>2546</v>
      </c>
      <c r="H920" s="723">
        <v>1</v>
      </c>
      <c r="I920" s="723" t="s">
        <v>3742</v>
      </c>
      <c r="J920" s="723" t="s">
        <v>3743</v>
      </c>
      <c r="K920" s="723" t="s">
        <v>2044</v>
      </c>
      <c r="L920" s="723">
        <v>79971376</v>
      </c>
      <c r="M920" s="723" t="s">
        <v>2229</v>
      </c>
      <c r="N920" s="746"/>
      <c r="O920" s="746"/>
      <c r="P920" s="746"/>
      <c r="Q920" s="746"/>
      <c r="R920" s="521"/>
      <c r="S920" s="521"/>
    </row>
    <row r="921" spans="1:19" ht="25.5">
      <c r="A921" s="721">
        <v>348</v>
      </c>
      <c r="B921" s="721">
        <v>20091195007</v>
      </c>
      <c r="C921" s="721" t="s">
        <v>3744</v>
      </c>
      <c r="D921" s="721">
        <v>195</v>
      </c>
      <c r="E921" s="721" t="s">
        <v>2832</v>
      </c>
      <c r="F921" s="721" t="s">
        <v>154</v>
      </c>
      <c r="G921" s="721" t="s">
        <v>2546</v>
      </c>
      <c r="H921" s="721" t="s">
        <v>2043</v>
      </c>
      <c r="I921" s="721" t="s">
        <v>3745</v>
      </c>
      <c r="J921" s="721" t="s">
        <v>3746</v>
      </c>
      <c r="K921" s="721" t="s">
        <v>2044</v>
      </c>
      <c r="L921" s="721">
        <v>80111250</v>
      </c>
      <c r="M921" s="721" t="s">
        <v>2131</v>
      </c>
      <c r="N921" s="746"/>
      <c r="O921" s="746"/>
      <c r="P921" s="746"/>
      <c r="Q921" s="746"/>
      <c r="R921" s="521"/>
      <c r="S921" s="521"/>
    </row>
    <row r="922" spans="1:19" ht="25.5">
      <c r="A922" s="723">
        <v>349</v>
      </c>
      <c r="B922" s="723">
        <v>20091195008</v>
      </c>
      <c r="C922" s="723" t="s">
        <v>3747</v>
      </c>
      <c r="D922" s="723">
        <v>195</v>
      </c>
      <c r="E922" s="723" t="s">
        <v>2832</v>
      </c>
      <c r="F922" s="723" t="s">
        <v>154</v>
      </c>
      <c r="G922" s="723" t="s">
        <v>2546</v>
      </c>
      <c r="H922" s="723" t="s">
        <v>2043</v>
      </c>
      <c r="I922" s="723" t="s">
        <v>3748</v>
      </c>
      <c r="J922" s="723" t="s">
        <v>3749</v>
      </c>
      <c r="K922" s="723" t="s">
        <v>2044</v>
      </c>
      <c r="L922" s="723">
        <v>77035853</v>
      </c>
      <c r="M922" s="723" t="s">
        <v>2131</v>
      </c>
      <c r="N922" s="746"/>
      <c r="O922" s="746"/>
      <c r="P922" s="746"/>
      <c r="Q922" s="746"/>
      <c r="R922" s="521"/>
      <c r="S922" s="521"/>
    </row>
    <row r="923" spans="1:19" ht="25.5">
      <c r="A923" s="721">
        <v>350</v>
      </c>
      <c r="B923" s="721">
        <v>20091195009</v>
      </c>
      <c r="C923" s="721" t="s">
        <v>3750</v>
      </c>
      <c r="D923" s="721">
        <v>195</v>
      </c>
      <c r="E923" s="721" t="s">
        <v>2832</v>
      </c>
      <c r="F923" s="721" t="s">
        <v>154</v>
      </c>
      <c r="G923" s="721" t="s">
        <v>2546</v>
      </c>
      <c r="H923" s="721">
        <v>1</v>
      </c>
      <c r="I923" s="721" t="s">
        <v>3751</v>
      </c>
      <c r="J923" s="721" t="s">
        <v>3752</v>
      </c>
      <c r="K923" s="721" t="s">
        <v>2044</v>
      </c>
      <c r="L923" s="721">
        <v>52776475</v>
      </c>
      <c r="M923" s="721" t="s">
        <v>2229</v>
      </c>
      <c r="N923" s="746"/>
      <c r="O923" s="746"/>
      <c r="P923" s="746"/>
      <c r="Q923" s="746"/>
      <c r="R923" s="521"/>
      <c r="S923" s="521"/>
    </row>
    <row r="924" spans="1:19" ht="25.5">
      <c r="A924" s="723">
        <v>351</v>
      </c>
      <c r="B924" s="723">
        <v>20091195010</v>
      </c>
      <c r="C924" s="723" t="s">
        <v>3753</v>
      </c>
      <c r="D924" s="723">
        <v>195</v>
      </c>
      <c r="E924" s="723" t="s">
        <v>2832</v>
      </c>
      <c r="F924" s="723" t="s">
        <v>154</v>
      </c>
      <c r="G924" s="723" t="s">
        <v>2546</v>
      </c>
      <c r="H924" s="723" t="s">
        <v>2043</v>
      </c>
      <c r="I924" s="723" t="s">
        <v>3754</v>
      </c>
      <c r="J924" s="723" t="s">
        <v>3755</v>
      </c>
      <c r="K924" s="723" t="s">
        <v>2044</v>
      </c>
      <c r="L924" s="723">
        <v>80099999</v>
      </c>
      <c r="M924" s="723" t="s">
        <v>2131</v>
      </c>
      <c r="N924" s="746"/>
      <c r="O924" s="746"/>
      <c r="P924" s="746"/>
      <c r="Q924" s="746"/>
      <c r="R924" s="521"/>
      <c r="S924" s="521"/>
    </row>
    <row r="925" spans="1:19" ht="25.5">
      <c r="A925" s="721">
        <v>352</v>
      </c>
      <c r="B925" s="721">
        <v>20091195011</v>
      </c>
      <c r="C925" s="721" t="s">
        <v>3756</v>
      </c>
      <c r="D925" s="721">
        <v>195</v>
      </c>
      <c r="E925" s="721" t="s">
        <v>2832</v>
      </c>
      <c r="F925" s="721" t="s">
        <v>154</v>
      </c>
      <c r="G925" s="721" t="s">
        <v>2546</v>
      </c>
      <c r="H925" s="721" t="s">
        <v>2043</v>
      </c>
      <c r="I925" s="721" t="s">
        <v>3757</v>
      </c>
      <c r="J925" s="721" t="s">
        <v>3758</v>
      </c>
      <c r="K925" s="721" t="s">
        <v>2044</v>
      </c>
      <c r="L925" s="721">
        <v>80432896</v>
      </c>
      <c r="M925" s="721" t="s">
        <v>2914</v>
      </c>
      <c r="N925" s="746"/>
      <c r="O925" s="746"/>
      <c r="P925" s="746"/>
      <c r="Q925" s="746"/>
      <c r="R925" s="521"/>
      <c r="S925" s="521"/>
    </row>
    <row r="926" spans="1:19" ht="25.5">
      <c r="A926" s="723">
        <v>353</v>
      </c>
      <c r="B926" s="723">
        <v>20091195012</v>
      </c>
      <c r="C926" s="723" t="s">
        <v>3759</v>
      </c>
      <c r="D926" s="723">
        <v>195</v>
      </c>
      <c r="E926" s="723" t="s">
        <v>2832</v>
      </c>
      <c r="F926" s="723" t="s">
        <v>154</v>
      </c>
      <c r="G926" s="723" t="s">
        <v>2546</v>
      </c>
      <c r="H926" s="723" t="s">
        <v>2043</v>
      </c>
      <c r="I926" s="723" t="s">
        <v>3760</v>
      </c>
      <c r="J926" s="723" t="s">
        <v>3761</v>
      </c>
      <c r="K926" s="723" t="s">
        <v>2044</v>
      </c>
      <c r="L926" s="723">
        <v>79594830</v>
      </c>
      <c r="M926" s="723" t="s">
        <v>2192</v>
      </c>
      <c r="N926" s="746"/>
      <c r="O926" s="746"/>
      <c r="P926" s="746"/>
      <c r="Q926" s="746"/>
      <c r="R926" s="521"/>
      <c r="S926" s="521"/>
    </row>
    <row r="927" spans="1:19" ht="25.5">
      <c r="A927" s="721">
        <v>354</v>
      </c>
      <c r="B927" s="721">
        <v>20091195013</v>
      </c>
      <c r="C927" s="721" t="s">
        <v>3762</v>
      </c>
      <c r="D927" s="721">
        <v>195</v>
      </c>
      <c r="E927" s="721" t="s">
        <v>2832</v>
      </c>
      <c r="F927" s="721" t="s">
        <v>154</v>
      </c>
      <c r="G927" s="721" t="s">
        <v>2546</v>
      </c>
      <c r="H927" s="721">
        <v>1</v>
      </c>
      <c r="I927" s="721" t="s">
        <v>3763</v>
      </c>
      <c r="J927" s="721" t="s">
        <v>3764</v>
      </c>
      <c r="K927" s="721" t="s">
        <v>2044</v>
      </c>
      <c r="L927" s="721">
        <v>52546556</v>
      </c>
      <c r="M927" s="721" t="s">
        <v>2229</v>
      </c>
      <c r="N927" s="746"/>
      <c r="O927" s="746"/>
      <c r="P927" s="746"/>
      <c r="Q927" s="746"/>
      <c r="R927" s="521"/>
      <c r="S927" s="521"/>
    </row>
    <row r="928" spans="1:19" ht="25.5">
      <c r="A928" s="723">
        <v>355</v>
      </c>
      <c r="B928" s="723">
        <v>20091195014</v>
      </c>
      <c r="C928" s="723" t="s">
        <v>3765</v>
      </c>
      <c r="D928" s="723">
        <v>195</v>
      </c>
      <c r="E928" s="723" t="s">
        <v>2832</v>
      </c>
      <c r="F928" s="723" t="s">
        <v>154</v>
      </c>
      <c r="G928" s="723" t="s">
        <v>2546</v>
      </c>
      <c r="H928" s="723" t="s">
        <v>2043</v>
      </c>
      <c r="I928" s="723" t="s">
        <v>3766</v>
      </c>
      <c r="J928" s="723" t="s">
        <v>3767</v>
      </c>
      <c r="K928" s="723" t="s">
        <v>2044</v>
      </c>
      <c r="L928" s="723">
        <v>80732748</v>
      </c>
      <c r="M928" s="724" t="s">
        <v>955</v>
      </c>
      <c r="N928" s="746"/>
      <c r="O928" s="746"/>
      <c r="P928" s="746"/>
      <c r="Q928" s="746"/>
      <c r="R928" s="521"/>
      <c r="S928" s="521"/>
    </row>
    <row r="929" spans="1:19" ht="25.5">
      <c r="A929" s="721">
        <v>356</v>
      </c>
      <c r="B929" s="721">
        <v>20091195015</v>
      </c>
      <c r="C929" s="721" t="s">
        <v>3768</v>
      </c>
      <c r="D929" s="721">
        <v>195</v>
      </c>
      <c r="E929" s="721" t="s">
        <v>2832</v>
      </c>
      <c r="F929" s="721" t="s">
        <v>154</v>
      </c>
      <c r="G929" s="721" t="s">
        <v>2546</v>
      </c>
      <c r="H929" s="721" t="s">
        <v>2043</v>
      </c>
      <c r="I929" s="721" t="s">
        <v>3769</v>
      </c>
      <c r="J929" s="721" t="s">
        <v>3770</v>
      </c>
      <c r="K929" s="721" t="s">
        <v>2044</v>
      </c>
      <c r="L929" s="721">
        <v>79346808</v>
      </c>
      <c r="M929" s="721" t="s">
        <v>2599</v>
      </c>
      <c r="N929" s="746"/>
      <c r="O929" s="746"/>
      <c r="P929" s="746"/>
      <c r="Q929" s="746"/>
      <c r="R929" s="521"/>
      <c r="S929" s="521"/>
    </row>
    <row r="930" spans="1:19" ht="25.5">
      <c r="A930" s="723">
        <v>357</v>
      </c>
      <c r="B930" s="723">
        <v>20092195003</v>
      </c>
      <c r="C930" s="723" t="s">
        <v>3771</v>
      </c>
      <c r="D930" s="723">
        <v>195</v>
      </c>
      <c r="E930" s="723" t="s">
        <v>2832</v>
      </c>
      <c r="F930" s="723" t="s">
        <v>154</v>
      </c>
      <c r="G930" s="723" t="s">
        <v>2546</v>
      </c>
      <c r="H930" s="723">
        <v>1</v>
      </c>
      <c r="I930" s="723" t="s">
        <v>3772</v>
      </c>
      <c r="J930" s="723" t="s">
        <v>3773</v>
      </c>
      <c r="K930" s="723" t="s">
        <v>2044</v>
      </c>
      <c r="L930" s="723">
        <v>11707053</v>
      </c>
      <c r="M930" s="723" t="s">
        <v>2910</v>
      </c>
      <c r="N930" s="746"/>
      <c r="O930" s="746"/>
      <c r="P930" s="746"/>
      <c r="Q930" s="746"/>
      <c r="R930" s="521"/>
      <c r="S930" s="521"/>
    </row>
    <row r="931" spans="1:19" ht="25.5">
      <c r="A931" s="721">
        <v>358</v>
      </c>
      <c r="B931" s="721">
        <v>20092195005</v>
      </c>
      <c r="C931" s="721" t="s">
        <v>3774</v>
      </c>
      <c r="D931" s="721">
        <v>195</v>
      </c>
      <c r="E931" s="721" t="s">
        <v>2832</v>
      </c>
      <c r="F931" s="721" t="s">
        <v>154</v>
      </c>
      <c r="G931" s="721" t="s">
        <v>2546</v>
      </c>
      <c r="H931" s="721" t="s">
        <v>2043</v>
      </c>
      <c r="I931" s="721"/>
      <c r="J931" s="721" t="s">
        <v>3775</v>
      </c>
      <c r="K931" s="721" t="s">
        <v>2044</v>
      </c>
      <c r="L931" s="721">
        <v>80070923</v>
      </c>
      <c r="M931" s="722" t="s">
        <v>955</v>
      </c>
      <c r="N931" s="746"/>
      <c r="O931" s="746"/>
      <c r="P931" s="746"/>
      <c r="Q931" s="746"/>
      <c r="R931" s="521"/>
      <c r="S931" s="521"/>
    </row>
    <row r="932" spans="1:19" ht="25.5">
      <c r="A932" s="723">
        <v>359</v>
      </c>
      <c r="B932" s="723">
        <v>20092195008</v>
      </c>
      <c r="C932" s="723" t="s">
        <v>3776</v>
      </c>
      <c r="D932" s="723">
        <v>195</v>
      </c>
      <c r="E932" s="723" t="s">
        <v>2832</v>
      </c>
      <c r="F932" s="723" t="s">
        <v>154</v>
      </c>
      <c r="G932" s="723" t="s">
        <v>2546</v>
      </c>
      <c r="H932" s="723" t="s">
        <v>2043</v>
      </c>
      <c r="I932" s="723"/>
      <c r="J932" s="723" t="s">
        <v>3777</v>
      </c>
      <c r="K932" s="723" t="s">
        <v>2044</v>
      </c>
      <c r="L932" s="723">
        <v>39740428</v>
      </c>
      <c r="M932" s="724" t="s">
        <v>955</v>
      </c>
      <c r="N932" s="746"/>
      <c r="O932" s="746"/>
      <c r="P932" s="746"/>
      <c r="Q932" s="746"/>
      <c r="R932" s="521"/>
      <c r="S932" s="521"/>
    </row>
    <row r="933" spans="1:19" ht="25.5">
      <c r="A933" s="721">
        <v>360</v>
      </c>
      <c r="B933" s="721">
        <v>20092195010</v>
      </c>
      <c r="C933" s="721" t="s">
        <v>3778</v>
      </c>
      <c r="D933" s="721">
        <v>195</v>
      </c>
      <c r="E933" s="721" t="s">
        <v>2832</v>
      </c>
      <c r="F933" s="721" t="s">
        <v>154</v>
      </c>
      <c r="G933" s="721" t="s">
        <v>2546</v>
      </c>
      <c r="H933" s="721">
        <v>1</v>
      </c>
      <c r="I933" s="721" t="s">
        <v>3779</v>
      </c>
      <c r="J933" s="721" t="s">
        <v>3780</v>
      </c>
      <c r="K933" s="721" t="s">
        <v>2044</v>
      </c>
      <c r="L933" s="721">
        <v>7181187</v>
      </c>
      <c r="M933" s="721" t="s">
        <v>2218</v>
      </c>
      <c r="N933" s="746"/>
      <c r="O933" s="746"/>
      <c r="P933" s="746"/>
      <c r="Q933" s="746"/>
      <c r="R933" s="521"/>
      <c r="S933" s="521"/>
    </row>
    <row r="934" spans="1:19" ht="25.5">
      <c r="A934" s="723">
        <v>361</v>
      </c>
      <c r="B934" s="723">
        <v>20092195011</v>
      </c>
      <c r="C934" s="723" t="s">
        <v>3781</v>
      </c>
      <c r="D934" s="723">
        <v>195</v>
      </c>
      <c r="E934" s="723" t="s">
        <v>2832</v>
      </c>
      <c r="F934" s="723" t="s">
        <v>154</v>
      </c>
      <c r="G934" s="723" t="s">
        <v>2546</v>
      </c>
      <c r="H934" s="723">
        <v>3</v>
      </c>
      <c r="I934" s="723" t="s">
        <v>3782</v>
      </c>
      <c r="J934" s="723" t="s">
        <v>3783</v>
      </c>
      <c r="K934" s="723" t="s">
        <v>2044</v>
      </c>
      <c r="L934" s="723">
        <v>79363290</v>
      </c>
      <c r="M934" s="723" t="s">
        <v>2856</v>
      </c>
      <c r="N934" s="746"/>
      <c r="O934" s="746"/>
      <c r="P934" s="746"/>
      <c r="Q934" s="746"/>
      <c r="R934" s="521"/>
      <c r="S934" s="521"/>
    </row>
    <row r="935" spans="1:19" ht="25.5">
      <c r="A935" s="721">
        <v>362</v>
      </c>
      <c r="B935" s="721">
        <v>20092195012</v>
      </c>
      <c r="C935" s="721" t="s">
        <v>3784</v>
      </c>
      <c r="D935" s="721">
        <v>195</v>
      </c>
      <c r="E935" s="721" t="s">
        <v>2832</v>
      </c>
      <c r="F935" s="721" t="s">
        <v>154</v>
      </c>
      <c r="G935" s="721" t="s">
        <v>2546</v>
      </c>
      <c r="H935" s="721">
        <v>1</v>
      </c>
      <c r="I935" s="721" t="s">
        <v>3785</v>
      </c>
      <c r="J935" s="721" t="s">
        <v>3786</v>
      </c>
      <c r="K935" s="721" t="s">
        <v>2044</v>
      </c>
      <c r="L935" s="721">
        <v>93181129</v>
      </c>
      <c r="M935" s="721" t="s">
        <v>2860</v>
      </c>
      <c r="N935" s="746"/>
      <c r="O935" s="746"/>
      <c r="P935" s="746"/>
      <c r="Q935" s="746"/>
      <c r="R935" s="521"/>
      <c r="S935" s="521"/>
    </row>
    <row r="936" spans="1:19" ht="25.5">
      <c r="A936" s="723">
        <v>363</v>
      </c>
      <c r="B936" s="723">
        <v>20092195015</v>
      </c>
      <c r="C936" s="723" t="s">
        <v>3787</v>
      </c>
      <c r="D936" s="723">
        <v>195</v>
      </c>
      <c r="E936" s="723" t="s">
        <v>2832</v>
      </c>
      <c r="F936" s="723" t="s">
        <v>154</v>
      </c>
      <c r="G936" s="723" t="s">
        <v>2546</v>
      </c>
      <c r="H936" s="723" t="s">
        <v>2043</v>
      </c>
      <c r="I936" s="723" t="s">
        <v>3788</v>
      </c>
      <c r="J936" s="723" t="s">
        <v>3789</v>
      </c>
      <c r="K936" s="723" t="s">
        <v>2044</v>
      </c>
      <c r="L936" s="723">
        <v>80222047</v>
      </c>
      <c r="M936" s="723" t="s">
        <v>3023</v>
      </c>
      <c r="N936" s="746"/>
      <c r="O936" s="746"/>
      <c r="P936" s="746"/>
      <c r="Q936" s="746"/>
      <c r="R936" s="521"/>
      <c r="S936" s="521"/>
    </row>
    <row r="937" spans="1:19" ht="25.5">
      <c r="A937" s="721">
        <v>364</v>
      </c>
      <c r="B937" s="721">
        <v>20092195018</v>
      </c>
      <c r="C937" s="721" t="s">
        <v>3790</v>
      </c>
      <c r="D937" s="721">
        <v>195</v>
      </c>
      <c r="E937" s="721" t="s">
        <v>2832</v>
      </c>
      <c r="F937" s="721" t="s">
        <v>154</v>
      </c>
      <c r="G937" s="721" t="s">
        <v>2546</v>
      </c>
      <c r="H937" s="721" t="s">
        <v>2043</v>
      </c>
      <c r="I937" s="721"/>
      <c r="J937" s="721" t="s">
        <v>3116</v>
      </c>
      <c r="K937" s="721" t="s">
        <v>2044</v>
      </c>
      <c r="L937" s="721">
        <v>1015397282</v>
      </c>
      <c r="M937" s="722" t="s">
        <v>955</v>
      </c>
      <c r="N937" s="746"/>
      <c r="O937" s="746"/>
      <c r="P937" s="746"/>
      <c r="Q937" s="746"/>
      <c r="R937" s="521"/>
      <c r="S937" s="521"/>
    </row>
    <row r="938" spans="1:19" ht="25.5">
      <c r="A938" s="723">
        <v>365</v>
      </c>
      <c r="B938" s="723">
        <v>20092195019</v>
      </c>
      <c r="C938" s="723" t="s">
        <v>3791</v>
      </c>
      <c r="D938" s="723">
        <v>195</v>
      </c>
      <c r="E938" s="723" t="s">
        <v>2832</v>
      </c>
      <c r="F938" s="723" t="s">
        <v>154</v>
      </c>
      <c r="G938" s="723" t="s">
        <v>2546</v>
      </c>
      <c r="H938" s="723" t="s">
        <v>2043</v>
      </c>
      <c r="I938" s="723"/>
      <c r="J938" s="723" t="s">
        <v>3792</v>
      </c>
      <c r="K938" s="723" t="s">
        <v>2044</v>
      </c>
      <c r="L938" s="723">
        <v>24338880</v>
      </c>
      <c r="M938" s="724" t="s">
        <v>955</v>
      </c>
      <c r="N938" s="746"/>
      <c r="O938" s="746"/>
      <c r="P938" s="746"/>
      <c r="Q938" s="746"/>
      <c r="R938" s="521"/>
      <c r="S938" s="521"/>
    </row>
    <row r="939" spans="1:19" ht="25.5">
      <c r="A939" s="721">
        <v>366</v>
      </c>
      <c r="B939" s="721">
        <v>20092195020</v>
      </c>
      <c r="C939" s="721" t="s">
        <v>3793</v>
      </c>
      <c r="D939" s="721">
        <v>195</v>
      </c>
      <c r="E939" s="721" t="s">
        <v>2832</v>
      </c>
      <c r="F939" s="721" t="s">
        <v>154</v>
      </c>
      <c r="G939" s="721" t="s">
        <v>2546</v>
      </c>
      <c r="H939" s="721">
        <v>1</v>
      </c>
      <c r="I939" s="721" t="s">
        <v>3794</v>
      </c>
      <c r="J939" s="721" t="s">
        <v>3795</v>
      </c>
      <c r="K939" s="721" t="s">
        <v>2044</v>
      </c>
      <c r="L939" s="721">
        <v>80735236</v>
      </c>
      <c r="M939" s="721" t="s">
        <v>2612</v>
      </c>
      <c r="N939" s="746"/>
      <c r="O939" s="746"/>
      <c r="P939" s="746"/>
      <c r="Q939" s="746"/>
      <c r="R939" s="521"/>
      <c r="S939" s="521"/>
    </row>
    <row r="940" spans="1:19" ht="25.5">
      <c r="A940" s="723">
        <v>367</v>
      </c>
      <c r="B940" s="723">
        <v>20101195001</v>
      </c>
      <c r="C940" s="723" t="s">
        <v>3796</v>
      </c>
      <c r="D940" s="723">
        <v>195</v>
      </c>
      <c r="E940" s="723" t="s">
        <v>2832</v>
      </c>
      <c r="F940" s="723" t="s">
        <v>154</v>
      </c>
      <c r="G940" s="723" t="s">
        <v>2546</v>
      </c>
      <c r="H940" s="723" t="s">
        <v>2043</v>
      </c>
      <c r="I940" s="723" t="s">
        <v>3797</v>
      </c>
      <c r="J940" s="723" t="s">
        <v>3798</v>
      </c>
      <c r="K940" s="723" t="s">
        <v>2044</v>
      </c>
      <c r="L940" s="723">
        <v>88273688</v>
      </c>
      <c r="M940" s="723" t="s">
        <v>2612</v>
      </c>
      <c r="N940" s="746"/>
      <c r="O940" s="746"/>
      <c r="P940" s="746"/>
      <c r="Q940" s="746"/>
      <c r="R940" s="521"/>
      <c r="S940" s="521"/>
    </row>
    <row r="941" spans="1:19" ht="25.5">
      <c r="A941" s="721">
        <v>368</v>
      </c>
      <c r="B941" s="721">
        <v>20101195002</v>
      </c>
      <c r="C941" s="721" t="s">
        <v>3799</v>
      </c>
      <c r="D941" s="721">
        <v>195</v>
      </c>
      <c r="E941" s="721" t="s">
        <v>2832</v>
      </c>
      <c r="F941" s="721" t="s">
        <v>154</v>
      </c>
      <c r="G941" s="721" t="s">
        <v>2546</v>
      </c>
      <c r="H941" s="721" t="s">
        <v>2043</v>
      </c>
      <c r="I941" s="721" t="s">
        <v>3800</v>
      </c>
      <c r="J941" s="721" t="s">
        <v>3801</v>
      </c>
      <c r="K941" s="721" t="s">
        <v>2044</v>
      </c>
      <c r="L941" s="721">
        <v>8025748</v>
      </c>
      <c r="M941" s="721" t="s">
        <v>2612</v>
      </c>
      <c r="N941" s="746"/>
      <c r="O941" s="746"/>
      <c r="P941" s="746"/>
      <c r="Q941" s="746"/>
      <c r="R941" s="521"/>
      <c r="S941" s="521"/>
    </row>
    <row r="942" spans="1:19" ht="25.5">
      <c r="A942" s="723">
        <v>369</v>
      </c>
      <c r="B942" s="723">
        <v>20101195003</v>
      </c>
      <c r="C942" s="723" t="s">
        <v>3802</v>
      </c>
      <c r="D942" s="723">
        <v>195</v>
      </c>
      <c r="E942" s="723" t="s">
        <v>2832</v>
      </c>
      <c r="F942" s="723" t="s">
        <v>154</v>
      </c>
      <c r="G942" s="723" t="s">
        <v>2546</v>
      </c>
      <c r="H942" s="723" t="s">
        <v>2043</v>
      </c>
      <c r="I942" s="723" t="s">
        <v>3803</v>
      </c>
      <c r="J942" s="723" t="s">
        <v>3804</v>
      </c>
      <c r="K942" s="723" t="s">
        <v>2044</v>
      </c>
      <c r="L942" s="723">
        <v>11187209</v>
      </c>
      <c r="M942" s="723" t="s">
        <v>2900</v>
      </c>
      <c r="N942" s="746"/>
      <c r="O942" s="746"/>
      <c r="P942" s="746"/>
      <c r="Q942" s="746"/>
      <c r="R942" s="521"/>
      <c r="S942" s="521"/>
    </row>
    <row r="943" spans="1:19" ht="25.5">
      <c r="A943" s="721">
        <v>370</v>
      </c>
      <c r="B943" s="721">
        <v>20101195004</v>
      </c>
      <c r="C943" s="721" t="s">
        <v>3805</v>
      </c>
      <c r="D943" s="721">
        <v>195</v>
      </c>
      <c r="E943" s="721" t="s">
        <v>2832</v>
      </c>
      <c r="F943" s="721" t="s">
        <v>154</v>
      </c>
      <c r="G943" s="721" t="s">
        <v>2546</v>
      </c>
      <c r="H943" s="721">
        <v>1</v>
      </c>
      <c r="I943" s="721" t="s">
        <v>3806</v>
      </c>
      <c r="J943" s="721" t="s">
        <v>3807</v>
      </c>
      <c r="K943" s="721" t="s">
        <v>2044</v>
      </c>
      <c r="L943" s="721">
        <v>80021455</v>
      </c>
      <c r="M943" s="721" t="s">
        <v>3023</v>
      </c>
      <c r="N943" s="746"/>
      <c r="O943" s="746"/>
      <c r="P943" s="746"/>
      <c r="Q943" s="746"/>
      <c r="R943" s="521"/>
      <c r="S943" s="521"/>
    </row>
    <row r="944" spans="1:19" ht="25.5">
      <c r="A944" s="723">
        <v>371</v>
      </c>
      <c r="B944" s="723">
        <v>20101195005</v>
      </c>
      <c r="C944" s="723" t="s">
        <v>3808</v>
      </c>
      <c r="D944" s="723">
        <v>195</v>
      </c>
      <c r="E944" s="723" t="s">
        <v>2832</v>
      </c>
      <c r="F944" s="723" t="s">
        <v>154</v>
      </c>
      <c r="G944" s="723" t="s">
        <v>2546</v>
      </c>
      <c r="H944" s="723">
        <v>1</v>
      </c>
      <c r="I944" s="723" t="s">
        <v>3809</v>
      </c>
      <c r="J944" s="723" t="s">
        <v>3810</v>
      </c>
      <c r="K944" s="723" t="s">
        <v>2044</v>
      </c>
      <c r="L944" s="723">
        <v>93396424</v>
      </c>
      <c r="M944" s="723" t="s">
        <v>2856</v>
      </c>
      <c r="N944" s="746"/>
      <c r="O944" s="746"/>
      <c r="P944" s="746"/>
      <c r="Q944" s="746"/>
      <c r="R944" s="521"/>
      <c r="S944" s="521"/>
    </row>
    <row r="945" spans="1:19" ht="25.5">
      <c r="A945" s="721">
        <v>372</v>
      </c>
      <c r="B945" s="721">
        <v>20101195007</v>
      </c>
      <c r="C945" s="721" t="s">
        <v>3811</v>
      </c>
      <c r="D945" s="721">
        <v>195</v>
      </c>
      <c r="E945" s="721" t="s">
        <v>2832</v>
      </c>
      <c r="F945" s="721" t="s">
        <v>154</v>
      </c>
      <c r="G945" s="721" t="s">
        <v>2546</v>
      </c>
      <c r="H945" s="721" t="s">
        <v>2043</v>
      </c>
      <c r="I945" s="721" t="s">
        <v>3812</v>
      </c>
      <c r="J945" s="721" t="s">
        <v>3813</v>
      </c>
      <c r="K945" s="721" t="s">
        <v>2044</v>
      </c>
      <c r="L945" s="721">
        <v>80918882</v>
      </c>
      <c r="M945" s="721" t="s">
        <v>3023</v>
      </c>
      <c r="N945" s="746"/>
      <c r="O945" s="746"/>
      <c r="P945" s="746"/>
      <c r="Q945" s="746"/>
      <c r="R945" s="521"/>
      <c r="S945" s="521"/>
    </row>
    <row r="946" spans="1:19" ht="25.5">
      <c r="A946" s="723">
        <v>373</v>
      </c>
      <c r="B946" s="723">
        <v>20101195008</v>
      </c>
      <c r="C946" s="723" t="s">
        <v>3814</v>
      </c>
      <c r="D946" s="723">
        <v>195</v>
      </c>
      <c r="E946" s="723" t="s">
        <v>2832</v>
      </c>
      <c r="F946" s="723" t="s">
        <v>154</v>
      </c>
      <c r="G946" s="723" t="s">
        <v>2546</v>
      </c>
      <c r="H946" s="723" t="s">
        <v>2043</v>
      </c>
      <c r="I946" s="723" t="s">
        <v>3815</v>
      </c>
      <c r="J946" s="723" t="s">
        <v>3816</v>
      </c>
      <c r="K946" s="723" t="s">
        <v>2044</v>
      </c>
      <c r="L946" s="723">
        <v>80874522</v>
      </c>
      <c r="M946" s="723" t="s">
        <v>2612</v>
      </c>
      <c r="N946" s="746"/>
      <c r="O946" s="746"/>
      <c r="P946" s="746"/>
      <c r="Q946" s="746"/>
      <c r="R946" s="521"/>
      <c r="S946" s="521"/>
    </row>
    <row r="947" spans="1:19" ht="25.5">
      <c r="A947" s="721">
        <v>374</v>
      </c>
      <c r="B947" s="721">
        <v>20101195009</v>
      </c>
      <c r="C947" s="721" t="s">
        <v>3817</v>
      </c>
      <c r="D947" s="721">
        <v>195</v>
      </c>
      <c r="E947" s="721" t="s">
        <v>2832</v>
      </c>
      <c r="F947" s="721" t="s">
        <v>154</v>
      </c>
      <c r="G947" s="721" t="s">
        <v>2546</v>
      </c>
      <c r="H947" s="721">
        <v>1</v>
      </c>
      <c r="I947" s="721" t="s">
        <v>3818</v>
      </c>
      <c r="J947" s="721" t="s">
        <v>3819</v>
      </c>
      <c r="K947" s="721" t="s">
        <v>2044</v>
      </c>
      <c r="L947" s="721">
        <v>80219040</v>
      </c>
      <c r="M947" s="721" t="s">
        <v>2910</v>
      </c>
      <c r="N947" s="746"/>
      <c r="O947" s="746"/>
      <c r="P947" s="746"/>
      <c r="Q947" s="746"/>
      <c r="R947" s="521"/>
      <c r="S947" s="521"/>
    </row>
    <row r="948" spans="1:19" ht="25.5">
      <c r="A948" s="723">
        <v>375</v>
      </c>
      <c r="B948" s="723">
        <v>20101195010</v>
      </c>
      <c r="C948" s="723" t="s">
        <v>3820</v>
      </c>
      <c r="D948" s="723">
        <v>195</v>
      </c>
      <c r="E948" s="723" t="s">
        <v>2832</v>
      </c>
      <c r="F948" s="723" t="s">
        <v>154</v>
      </c>
      <c r="G948" s="723" t="s">
        <v>2546</v>
      </c>
      <c r="H948" s="723" t="s">
        <v>2043</v>
      </c>
      <c r="I948" s="723" t="s">
        <v>3821</v>
      </c>
      <c r="J948" s="723" t="s">
        <v>3822</v>
      </c>
      <c r="K948" s="723" t="s">
        <v>2044</v>
      </c>
      <c r="L948" s="723">
        <v>79924187</v>
      </c>
      <c r="M948" s="723" t="s">
        <v>2914</v>
      </c>
      <c r="N948" s="746"/>
      <c r="O948" s="746"/>
      <c r="P948" s="746"/>
      <c r="Q948" s="746"/>
      <c r="R948" s="521"/>
      <c r="S948" s="521"/>
    </row>
    <row r="949" spans="1:19" ht="25.5">
      <c r="A949" s="721">
        <v>376</v>
      </c>
      <c r="B949" s="721">
        <v>20101195012</v>
      </c>
      <c r="C949" s="721" t="s">
        <v>3823</v>
      </c>
      <c r="D949" s="721">
        <v>195</v>
      </c>
      <c r="E949" s="721" t="s">
        <v>2832</v>
      </c>
      <c r="F949" s="721" t="s">
        <v>154</v>
      </c>
      <c r="G949" s="721" t="s">
        <v>2546</v>
      </c>
      <c r="H949" s="721" t="s">
        <v>2043</v>
      </c>
      <c r="I949" s="721" t="s">
        <v>3824</v>
      </c>
      <c r="J949" s="721" t="s">
        <v>3825</v>
      </c>
      <c r="K949" s="721" t="s">
        <v>2044</v>
      </c>
      <c r="L949" s="721">
        <v>52528527</v>
      </c>
      <c r="M949" s="721" t="s">
        <v>2914</v>
      </c>
      <c r="N949" s="746"/>
      <c r="O949" s="746"/>
      <c r="P949" s="746"/>
      <c r="Q949" s="746"/>
      <c r="R949" s="521"/>
      <c r="S949" s="521"/>
    </row>
    <row r="950" spans="1:19" ht="25.5">
      <c r="A950" s="723">
        <v>377</v>
      </c>
      <c r="B950" s="723">
        <v>20101195013</v>
      </c>
      <c r="C950" s="723" t="s">
        <v>3826</v>
      </c>
      <c r="D950" s="723">
        <v>195</v>
      </c>
      <c r="E950" s="723" t="s">
        <v>2832</v>
      </c>
      <c r="F950" s="723" t="s">
        <v>154</v>
      </c>
      <c r="G950" s="723" t="s">
        <v>2546</v>
      </c>
      <c r="H950" s="723" t="s">
        <v>2043</v>
      </c>
      <c r="I950" s="723" t="s">
        <v>3827</v>
      </c>
      <c r="J950" s="723" t="s">
        <v>3828</v>
      </c>
      <c r="K950" s="723" t="s">
        <v>2044</v>
      </c>
      <c r="L950" s="723">
        <v>16075621</v>
      </c>
      <c r="M950" s="724" t="s">
        <v>955</v>
      </c>
      <c r="N950" s="746"/>
      <c r="O950" s="746"/>
      <c r="P950" s="746"/>
      <c r="Q950" s="746"/>
      <c r="R950" s="521"/>
      <c r="S950" s="521"/>
    </row>
    <row r="951" spans="1:19" ht="25.5">
      <c r="A951" s="721">
        <v>378</v>
      </c>
      <c r="B951" s="721">
        <v>20101195015</v>
      </c>
      <c r="C951" s="721" t="s">
        <v>3829</v>
      </c>
      <c r="D951" s="721">
        <v>195</v>
      </c>
      <c r="E951" s="721" t="s">
        <v>2832</v>
      </c>
      <c r="F951" s="721" t="s">
        <v>154</v>
      </c>
      <c r="G951" s="721" t="s">
        <v>2546</v>
      </c>
      <c r="H951" s="721" t="s">
        <v>2043</v>
      </c>
      <c r="I951" s="721" t="s">
        <v>3830</v>
      </c>
      <c r="J951" s="721" t="s">
        <v>3831</v>
      </c>
      <c r="K951" s="721" t="s">
        <v>2044</v>
      </c>
      <c r="L951" s="721">
        <v>80090404</v>
      </c>
      <c r="M951" s="721" t="s">
        <v>3023</v>
      </c>
      <c r="N951" s="746"/>
      <c r="O951" s="746"/>
      <c r="P951" s="746"/>
      <c r="Q951" s="746"/>
      <c r="R951" s="521"/>
      <c r="S951" s="521"/>
    </row>
    <row r="952" spans="1:19" ht="25.5">
      <c r="A952" s="723">
        <v>379</v>
      </c>
      <c r="B952" s="723">
        <v>20102195001</v>
      </c>
      <c r="C952" s="723" t="s">
        <v>3832</v>
      </c>
      <c r="D952" s="723">
        <v>195</v>
      </c>
      <c r="E952" s="723" t="s">
        <v>2832</v>
      </c>
      <c r="F952" s="723" t="s">
        <v>154</v>
      </c>
      <c r="G952" s="723" t="s">
        <v>2546</v>
      </c>
      <c r="H952" s="723" t="s">
        <v>2043</v>
      </c>
      <c r="I952" s="723"/>
      <c r="J952" s="723" t="s">
        <v>3833</v>
      </c>
      <c r="K952" s="723" t="s">
        <v>2044</v>
      </c>
      <c r="L952" s="723">
        <v>79784081</v>
      </c>
      <c r="M952" s="724" t="s">
        <v>955</v>
      </c>
      <c r="N952" s="746"/>
      <c r="O952" s="746"/>
      <c r="P952" s="746"/>
      <c r="Q952" s="746"/>
      <c r="R952" s="521"/>
      <c r="S952" s="521"/>
    </row>
    <row r="953" spans="1:19" ht="25.5">
      <c r="A953" s="721">
        <v>380</v>
      </c>
      <c r="B953" s="721">
        <v>20102195002</v>
      </c>
      <c r="C953" s="721" t="s">
        <v>2613</v>
      </c>
      <c r="D953" s="721">
        <v>195</v>
      </c>
      <c r="E953" s="721" t="s">
        <v>2832</v>
      </c>
      <c r="F953" s="721" t="s">
        <v>154</v>
      </c>
      <c r="G953" s="721" t="s">
        <v>2546</v>
      </c>
      <c r="H953" s="721" t="s">
        <v>2043</v>
      </c>
      <c r="I953" s="721"/>
      <c r="J953" s="721" t="s">
        <v>3834</v>
      </c>
      <c r="K953" s="721" t="s">
        <v>2044</v>
      </c>
      <c r="L953" s="721">
        <v>79132721</v>
      </c>
      <c r="M953" s="722" t="s">
        <v>955</v>
      </c>
      <c r="N953" s="746"/>
      <c r="O953" s="746"/>
      <c r="P953" s="746"/>
      <c r="Q953" s="746"/>
      <c r="R953" s="521"/>
      <c r="S953" s="521"/>
    </row>
    <row r="954" spans="1:19" ht="25.5">
      <c r="A954" s="723">
        <v>381</v>
      </c>
      <c r="B954" s="723">
        <v>20102195004</v>
      </c>
      <c r="C954" s="723" t="s">
        <v>3835</v>
      </c>
      <c r="D954" s="723">
        <v>195</v>
      </c>
      <c r="E954" s="723" t="s">
        <v>2832</v>
      </c>
      <c r="F954" s="723" t="s">
        <v>154</v>
      </c>
      <c r="G954" s="723" t="s">
        <v>2546</v>
      </c>
      <c r="H954" s="723">
        <v>3</v>
      </c>
      <c r="I954" s="723" t="s">
        <v>3836</v>
      </c>
      <c r="J954" s="723" t="s">
        <v>3837</v>
      </c>
      <c r="K954" s="723" t="s">
        <v>2044</v>
      </c>
      <c r="L954" s="723">
        <v>80926416</v>
      </c>
      <c r="M954" s="723" t="s">
        <v>3269</v>
      </c>
      <c r="N954" s="746"/>
      <c r="O954" s="746"/>
      <c r="P954" s="746"/>
      <c r="Q954" s="746"/>
      <c r="R954" s="521"/>
      <c r="S954" s="521"/>
    </row>
    <row r="955" spans="1:19" ht="25.5">
      <c r="A955" s="721">
        <v>382</v>
      </c>
      <c r="B955" s="721">
        <v>20102195005</v>
      </c>
      <c r="C955" s="721" t="s">
        <v>3838</v>
      </c>
      <c r="D955" s="721">
        <v>195</v>
      </c>
      <c r="E955" s="721" t="s">
        <v>2832</v>
      </c>
      <c r="F955" s="721" t="s">
        <v>154</v>
      </c>
      <c r="G955" s="721" t="s">
        <v>2546</v>
      </c>
      <c r="H955" s="721">
        <v>1</v>
      </c>
      <c r="I955" s="721" t="s">
        <v>3839</v>
      </c>
      <c r="J955" s="721" t="s">
        <v>3840</v>
      </c>
      <c r="K955" s="721" t="s">
        <v>2044</v>
      </c>
      <c r="L955" s="721">
        <v>79323429</v>
      </c>
      <c r="M955" s="721" t="s">
        <v>2900</v>
      </c>
      <c r="N955" s="746"/>
      <c r="O955" s="746"/>
      <c r="P955" s="746"/>
      <c r="Q955" s="746"/>
      <c r="R955" s="521"/>
      <c r="S955" s="521"/>
    </row>
    <row r="956" spans="1:19" ht="25.5">
      <c r="A956" s="723">
        <v>383</v>
      </c>
      <c r="B956" s="723">
        <v>20102195006</v>
      </c>
      <c r="C956" s="723" t="s">
        <v>3841</v>
      </c>
      <c r="D956" s="723">
        <v>195</v>
      </c>
      <c r="E956" s="723" t="s">
        <v>2832</v>
      </c>
      <c r="F956" s="723" t="s">
        <v>154</v>
      </c>
      <c r="G956" s="723" t="s">
        <v>2546</v>
      </c>
      <c r="H956" s="723">
        <v>1</v>
      </c>
      <c r="I956" s="723" t="s">
        <v>3842</v>
      </c>
      <c r="J956" s="723" t="s">
        <v>3843</v>
      </c>
      <c r="K956" s="723" t="s">
        <v>2044</v>
      </c>
      <c r="L956" s="723">
        <v>80028934</v>
      </c>
      <c r="M956" s="723" t="s">
        <v>2860</v>
      </c>
      <c r="N956" s="746"/>
      <c r="O956" s="746"/>
      <c r="P956" s="746"/>
      <c r="Q956" s="746"/>
      <c r="R956" s="521"/>
      <c r="S956" s="521"/>
    </row>
    <row r="957" spans="1:19" ht="25.5">
      <c r="A957" s="721">
        <v>384</v>
      </c>
      <c r="B957" s="721">
        <v>20102195007</v>
      </c>
      <c r="C957" s="721" t="s">
        <v>3844</v>
      </c>
      <c r="D957" s="721">
        <v>195</v>
      </c>
      <c r="E957" s="721" t="s">
        <v>2832</v>
      </c>
      <c r="F957" s="721" t="s">
        <v>154</v>
      </c>
      <c r="G957" s="721" t="s">
        <v>2546</v>
      </c>
      <c r="H957" s="721">
        <v>1</v>
      </c>
      <c r="I957" s="721" t="s">
        <v>3845</v>
      </c>
      <c r="J957" s="721" t="s">
        <v>3846</v>
      </c>
      <c r="K957" s="721" t="s">
        <v>2044</v>
      </c>
      <c r="L957" s="721">
        <v>79409295</v>
      </c>
      <c r="M957" s="721" t="s">
        <v>2192</v>
      </c>
      <c r="N957" s="746"/>
      <c r="O957" s="746"/>
      <c r="P957" s="746"/>
      <c r="Q957" s="746"/>
      <c r="R957" s="521"/>
      <c r="S957" s="521"/>
    </row>
    <row r="958" spans="1:19" ht="25.5">
      <c r="A958" s="723">
        <v>385</v>
      </c>
      <c r="B958" s="723">
        <v>20111195001</v>
      </c>
      <c r="C958" s="723" t="s">
        <v>3847</v>
      </c>
      <c r="D958" s="723">
        <v>195</v>
      </c>
      <c r="E958" s="723" t="s">
        <v>2832</v>
      </c>
      <c r="F958" s="723" t="s">
        <v>154</v>
      </c>
      <c r="G958" s="723" t="s">
        <v>2546</v>
      </c>
      <c r="H958" s="723">
        <v>1</v>
      </c>
      <c r="I958" s="723" t="s">
        <v>3848</v>
      </c>
      <c r="J958" s="723" t="s">
        <v>3849</v>
      </c>
      <c r="K958" s="723" t="s">
        <v>2044</v>
      </c>
      <c r="L958" s="723">
        <v>1024464245</v>
      </c>
      <c r="M958" s="723" t="s">
        <v>2896</v>
      </c>
      <c r="N958" s="746"/>
      <c r="O958" s="746"/>
      <c r="P958" s="746"/>
      <c r="Q958" s="746"/>
      <c r="R958" s="521"/>
      <c r="S958" s="521"/>
    </row>
    <row r="959" spans="1:19" ht="25.5">
      <c r="A959" s="721">
        <v>386</v>
      </c>
      <c r="B959" s="721">
        <v>20111195002</v>
      </c>
      <c r="C959" s="721" t="s">
        <v>3850</v>
      </c>
      <c r="D959" s="721">
        <v>195</v>
      </c>
      <c r="E959" s="721" t="s">
        <v>2832</v>
      </c>
      <c r="F959" s="721" t="s">
        <v>154</v>
      </c>
      <c r="G959" s="721" t="s">
        <v>2546</v>
      </c>
      <c r="H959" s="721">
        <v>3</v>
      </c>
      <c r="I959" s="721" t="s">
        <v>3851</v>
      </c>
      <c r="J959" s="721" t="s">
        <v>3852</v>
      </c>
      <c r="K959" s="721" t="s">
        <v>2044</v>
      </c>
      <c r="L959" s="721">
        <v>80802407</v>
      </c>
      <c r="M959" s="721" t="s">
        <v>2896</v>
      </c>
      <c r="N959" s="746"/>
      <c r="O959" s="746"/>
      <c r="P959" s="746"/>
      <c r="Q959" s="746"/>
      <c r="R959" s="521"/>
      <c r="S959" s="521"/>
    </row>
    <row r="960" spans="1:19" ht="25.5">
      <c r="A960" s="723">
        <v>387</v>
      </c>
      <c r="B960" s="723">
        <v>20111195004</v>
      </c>
      <c r="C960" s="723" t="s">
        <v>3853</v>
      </c>
      <c r="D960" s="723">
        <v>195</v>
      </c>
      <c r="E960" s="723" t="s">
        <v>2832</v>
      </c>
      <c r="F960" s="723" t="s">
        <v>154</v>
      </c>
      <c r="G960" s="723" t="s">
        <v>2546</v>
      </c>
      <c r="H960" s="723" t="s">
        <v>2043</v>
      </c>
      <c r="I960" s="723" t="s">
        <v>3854</v>
      </c>
      <c r="J960" s="723" t="s">
        <v>3854</v>
      </c>
      <c r="K960" s="723" t="s">
        <v>2044</v>
      </c>
      <c r="L960" s="723">
        <v>80136877</v>
      </c>
      <c r="M960" s="724" t="s">
        <v>955</v>
      </c>
      <c r="N960" s="746"/>
      <c r="O960" s="746"/>
      <c r="P960" s="746"/>
      <c r="Q960" s="746"/>
      <c r="R960" s="521"/>
      <c r="S960" s="521"/>
    </row>
    <row r="961" spans="1:19" ht="25.5">
      <c r="A961" s="721">
        <v>388</v>
      </c>
      <c r="B961" s="721">
        <v>20111195006</v>
      </c>
      <c r="C961" s="721" t="s">
        <v>3855</v>
      </c>
      <c r="D961" s="721">
        <v>195</v>
      </c>
      <c r="E961" s="721" t="s">
        <v>2832</v>
      </c>
      <c r="F961" s="721" t="s">
        <v>154</v>
      </c>
      <c r="G961" s="721" t="s">
        <v>2546</v>
      </c>
      <c r="H961" s="721" t="s">
        <v>2043</v>
      </c>
      <c r="I961" s="721" t="s">
        <v>3856</v>
      </c>
      <c r="J961" s="721" t="s">
        <v>3856</v>
      </c>
      <c r="K961" s="721" t="s">
        <v>2044</v>
      </c>
      <c r="L961" s="721">
        <v>1110446336</v>
      </c>
      <c r="M961" s="722" t="s">
        <v>955</v>
      </c>
      <c r="N961" s="746"/>
      <c r="O961" s="746"/>
      <c r="P961" s="746"/>
      <c r="Q961" s="746"/>
      <c r="R961" s="521"/>
      <c r="S961" s="521"/>
    </row>
    <row r="962" spans="1:19" ht="25.5">
      <c r="A962" s="723">
        <v>389</v>
      </c>
      <c r="B962" s="723">
        <v>20112195001</v>
      </c>
      <c r="C962" s="723" t="s">
        <v>3857</v>
      </c>
      <c r="D962" s="723">
        <v>195</v>
      </c>
      <c r="E962" s="723" t="s">
        <v>2832</v>
      </c>
      <c r="F962" s="723" t="s">
        <v>154</v>
      </c>
      <c r="G962" s="723" t="s">
        <v>2546</v>
      </c>
      <c r="H962" s="723" t="s">
        <v>2043</v>
      </c>
      <c r="I962" s="723"/>
      <c r="J962" s="723" t="s">
        <v>3858</v>
      </c>
      <c r="K962" s="723" t="s">
        <v>2044</v>
      </c>
      <c r="L962" s="723">
        <v>80727294</v>
      </c>
      <c r="M962" s="724" t="s">
        <v>955</v>
      </c>
      <c r="N962" s="746"/>
      <c r="O962" s="746"/>
      <c r="P962" s="746"/>
      <c r="Q962" s="746"/>
      <c r="R962" s="521"/>
      <c r="S962" s="521"/>
    </row>
    <row r="963" spans="1:19" ht="25.5">
      <c r="A963" s="721">
        <v>390</v>
      </c>
      <c r="B963" s="721">
        <v>20112195003</v>
      </c>
      <c r="C963" s="721" t="s">
        <v>3859</v>
      </c>
      <c r="D963" s="721">
        <v>195</v>
      </c>
      <c r="E963" s="721" t="s">
        <v>2832</v>
      </c>
      <c r="F963" s="721" t="s">
        <v>154</v>
      </c>
      <c r="G963" s="721" t="s">
        <v>2546</v>
      </c>
      <c r="H963" s="721" t="s">
        <v>2043</v>
      </c>
      <c r="I963" s="721"/>
      <c r="J963" s="721" t="s">
        <v>3860</v>
      </c>
      <c r="K963" s="721" t="s">
        <v>2044</v>
      </c>
      <c r="L963" s="721">
        <v>52875092</v>
      </c>
      <c r="M963" s="721" t="s">
        <v>2856</v>
      </c>
      <c r="N963" s="746"/>
      <c r="O963" s="746"/>
      <c r="P963" s="746"/>
      <c r="Q963" s="746"/>
      <c r="R963" s="521"/>
      <c r="S963" s="521"/>
    </row>
    <row r="964" spans="1:19" ht="25.5">
      <c r="A964" s="723">
        <v>391</v>
      </c>
      <c r="B964" s="723">
        <v>20112195006</v>
      </c>
      <c r="C964" s="723" t="s">
        <v>3861</v>
      </c>
      <c r="D964" s="723">
        <v>195</v>
      </c>
      <c r="E964" s="723" t="s">
        <v>2832</v>
      </c>
      <c r="F964" s="723" t="s">
        <v>154</v>
      </c>
      <c r="G964" s="723" t="s">
        <v>2546</v>
      </c>
      <c r="H964" s="723" t="s">
        <v>2043</v>
      </c>
      <c r="I964" s="723"/>
      <c r="J964" s="723" t="s">
        <v>3862</v>
      </c>
      <c r="K964" s="723" t="s">
        <v>2044</v>
      </c>
      <c r="L964" s="723">
        <v>1018405205</v>
      </c>
      <c r="M964" s="723" t="s">
        <v>2856</v>
      </c>
      <c r="N964" s="746"/>
      <c r="O964" s="746"/>
      <c r="P964" s="746"/>
      <c r="Q964" s="746"/>
      <c r="R964" s="521"/>
      <c r="S964" s="521"/>
    </row>
    <row r="965" spans="1:19" ht="25.5">
      <c r="A965" s="721">
        <v>392</v>
      </c>
      <c r="B965" s="721">
        <v>20112195008</v>
      </c>
      <c r="C965" s="721" t="s">
        <v>3218</v>
      </c>
      <c r="D965" s="721">
        <v>195</v>
      </c>
      <c r="E965" s="721" t="s">
        <v>2832</v>
      </c>
      <c r="F965" s="721" t="s">
        <v>154</v>
      </c>
      <c r="G965" s="721" t="s">
        <v>2546</v>
      </c>
      <c r="H965" s="721">
        <v>1</v>
      </c>
      <c r="I965" s="721"/>
      <c r="J965" s="721" t="s">
        <v>3220</v>
      </c>
      <c r="K965" s="721" t="s">
        <v>2044</v>
      </c>
      <c r="L965" s="721">
        <v>1075650800</v>
      </c>
      <c r="M965" s="721" t="s">
        <v>2856</v>
      </c>
      <c r="N965" s="746"/>
      <c r="O965" s="746"/>
      <c r="P965" s="746"/>
      <c r="Q965" s="746"/>
      <c r="R965" s="521"/>
      <c r="S965" s="521"/>
    </row>
    <row r="966" spans="1:19" ht="25.5">
      <c r="A966" s="723">
        <v>393</v>
      </c>
      <c r="B966" s="723">
        <v>20121195002</v>
      </c>
      <c r="C966" s="723" t="s">
        <v>3863</v>
      </c>
      <c r="D966" s="723">
        <v>195</v>
      </c>
      <c r="E966" s="723" t="s">
        <v>2832</v>
      </c>
      <c r="F966" s="723" t="s">
        <v>154</v>
      </c>
      <c r="G966" s="723" t="s">
        <v>2546</v>
      </c>
      <c r="H966" s="723" t="s">
        <v>2043</v>
      </c>
      <c r="I966" s="723"/>
      <c r="J966" s="723" t="s">
        <v>3864</v>
      </c>
      <c r="K966" s="723" t="s">
        <v>2044</v>
      </c>
      <c r="L966" s="723">
        <v>1016007842</v>
      </c>
      <c r="M966" s="723" t="s">
        <v>2896</v>
      </c>
      <c r="N966" s="746"/>
      <c r="O966" s="746"/>
      <c r="P966" s="746"/>
      <c r="Q966" s="746"/>
      <c r="R966" s="521"/>
      <c r="S966" s="521"/>
    </row>
    <row r="967" spans="1:19" ht="25.5">
      <c r="A967" s="721">
        <v>394</v>
      </c>
      <c r="B967" s="721">
        <v>20121195004</v>
      </c>
      <c r="C967" s="721" t="s">
        <v>3865</v>
      </c>
      <c r="D967" s="721">
        <v>195</v>
      </c>
      <c r="E967" s="721" t="s">
        <v>2832</v>
      </c>
      <c r="F967" s="721" t="s">
        <v>154</v>
      </c>
      <c r="G967" s="721" t="s">
        <v>2546</v>
      </c>
      <c r="H967" s="721" t="s">
        <v>2043</v>
      </c>
      <c r="I967" s="721"/>
      <c r="J967" s="721" t="s">
        <v>3866</v>
      </c>
      <c r="K967" s="721" t="s">
        <v>2044</v>
      </c>
      <c r="L967" s="721">
        <v>28192336</v>
      </c>
      <c r="M967" s="721" t="s">
        <v>2192</v>
      </c>
      <c r="N967" s="746"/>
      <c r="O967" s="746"/>
      <c r="P967" s="746"/>
      <c r="Q967" s="746"/>
      <c r="R967" s="521"/>
      <c r="S967" s="521"/>
    </row>
    <row r="968" spans="1:19" ht="25.5">
      <c r="A968" s="723">
        <v>395</v>
      </c>
      <c r="B968" s="723">
        <v>20121195005</v>
      </c>
      <c r="C968" s="723" t="s">
        <v>3867</v>
      </c>
      <c r="D968" s="723">
        <v>195</v>
      </c>
      <c r="E968" s="723" t="s">
        <v>2832</v>
      </c>
      <c r="F968" s="723" t="s">
        <v>154</v>
      </c>
      <c r="G968" s="723" t="s">
        <v>2546</v>
      </c>
      <c r="H968" s="723" t="s">
        <v>2043</v>
      </c>
      <c r="I968" s="723"/>
      <c r="J968" s="723" t="s">
        <v>3868</v>
      </c>
      <c r="K968" s="723" t="s">
        <v>2044</v>
      </c>
      <c r="L968" s="723">
        <v>20824818</v>
      </c>
      <c r="M968" s="723" t="s">
        <v>2896</v>
      </c>
      <c r="N968" s="746"/>
      <c r="O968" s="746"/>
      <c r="P968" s="746"/>
      <c r="Q968" s="746"/>
      <c r="R968" s="521"/>
      <c r="S968" s="521"/>
    </row>
    <row r="969" spans="1:19" ht="25.5">
      <c r="A969" s="721">
        <v>396</v>
      </c>
      <c r="B969" s="721">
        <v>20121195006</v>
      </c>
      <c r="C969" s="721" t="s">
        <v>3869</v>
      </c>
      <c r="D969" s="721">
        <v>195</v>
      </c>
      <c r="E969" s="721" t="s">
        <v>2832</v>
      </c>
      <c r="F969" s="721" t="s">
        <v>154</v>
      </c>
      <c r="G969" s="721" t="s">
        <v>2546</v>
      </c>
      <c r="H969" s="721" t="s">
        <v>2043</v>
      </c>
      <c r="I969" s="721"/>
      <c r="J969" s="721" t="s">
        <v>3870</v>
      </c>
      <c r="K969" s="721" t="s">
        <v>2044</v>
      </c>
      <c r="L969" s="721">
        <v>80735300</v>
      </c>
      <c r="M969" s="721" t="s">
        <v>2860</v>
      </c>
      <c r="N969" s="746"/>
      <c r="O969" s="746"/>
      <c r="P969" s="746"/>
      <c r="Q969" s="746"/>
      <c r="R969" s="521"/>
      <c r="S969" s="521"/>
    </row>
    <row r="970" spans="1:19" ht="25.5">
      <c r="A970" s="723">
        <v>397</v>
      </c>
      <c r="B970" s="723">
        <v>20121195007</v>
      </c>
      <c r="C970" s="723" t="s">
        <v>3871</v>
      </c>
      <c r="D970" s="723">
        <v>195</v>
      </c>
      <c r="E970" s="723" t="s">
        <v>2832</v>
      </c>
      <c r="F970" s="723" t="s">
        <v>154</v>
      </c>
      <c r="G970" s="723" t="s">
        <v>2546</v>
      </c>
      <c r="H970" s="723" t="s">
        <v>2043</v>
      </c>
      <c r="I970" s="723"/>
      <c r="J970" s="723" t="s">
        <v>3872</v>
      </c>
      <c r="K970" s="723" t="s">
        <v>2044</v>
      </c>
      <c r="L970" s="723">
        <v>80138072</v>
      </c>
      <c r="M970" s="723" t="s">
        <v>2896</v>
      </c>
      <c r="N970" s="746"/>
      <c r="O970" s="746"/>
      <c r="P970" s="746"/>
      <c r="Q970" s="746"/>
      <c r="R970" s="521"/>
      <c r="S970" s="521"/>
    </row>
    <row r="971" spans="1:19" ht="25.5">
      <c r="A971" s="721">
        <v>398</v>
      </c>
      <c r="B971" s="721">
        <v>20121195008</v>
      </c>
      <c r="C971" s="721" t="s">
        <v>3873</v>
      </c>
      <c r="D971" s="721">
        <v>195</v>
      </c>
      <c r="E971" s="721" t="s">
        <v>2832</v>
      </c>
      <c r="F971" s="721" t="s">
        <v>154</v>
      </c>
      <c r="G971" s="721" t="s">
        <v>2546</v>
      </c>
      <c r="H971" s="721" t="s">
        <v>2043</v>
      </c>
      <c r="I971" s="721"/>
      <c r="J971" s="721" t="s">
        <v>3874</v>
      </c>
      <c r="K971" s="721" t="s">
        <v>2044</v>
      </c>
      <c r="L971" s="721">
        <v>1032419237</v>
      </c>
      <c r="M971" s="721" t="s">
        <v>2192</v>
      </c>
      <c r="N971" s="746"/>
      <c r="O971" s="746"/>
      <c r="P971" s="746"/>
      <c r="Q971" s="746"/>
      <c r="R971" s="521"/>
      <c r="S971" s="521"/>
    </row>
    <row r="972" spans="1:19" ht="25.5">
      <c r="A972" s="723">
        <v>399</v>
      </c>
      <c r="B972" s="723">
        <v>20121195009</v>
      </c>
      <c r="C972" s="723" t="s">
        <v>3875</v>
      </c>
      <c r="D972" s="723">
        <v>195</v>
      </c>
      <c r="E972" s="723" t="s">
        <v>2832</v>
      </c>
      <c r="F972" s="723" t="s">
        <v>154</v>
      </c>
      <c r="G972" s="723" t="s">
        <v>2546</v>
      </c>
      <c r="H972" s="723" t="s">
        <v>2043</v>
      </c>
      <c r="I972" s="723"/>
      <c r="J972" s="723" t="s">
        <v>3876</v>
      </c>
      <c r="K972" s="723" t="s">
        <v>2044</v>
      </c>
      <c r="L972" s="723">
        <v>11276234</v>
      </c>
      <c r="M972" s="723" t="s">
        <v>2896</v>
      </c>
      <c r="N972" s="746"/>
      <c r="O972" s="746"/>
      <c r="P972" s="746"/>
      <c r="Q972" s="746"/>
      <c r="R972" s="521"/>
      <c r="S972" s="521"/>
    </row>
    <row r="973" spans="1:19" ht="25.5">
      <c r="A973" s="721">
        <v>400</v>
      </c>
      <c r="B973" s="721">
        <v>20121195010</v>
      </c>
      <c r="C973" s="721" t="s">
        <v>3877</v>
      </c>
      <c r="D973" s="721">
        <v>195</v>
      </c>
      <c r="E973" s="721" t="s">
        <v>2832</v>
      </c>
      <c r="F973" s="721" t="s">
        <v>154</v>
      </c>
      <c r="G973" s="721" t="s">
        <v>2546</v>
      </c>
      <c r="H973" s="721" t="s">
        <v>2043</v>
      </c>
      <c r="I973" s="721"/>
      <c r="J973" s="721" t="s">
        <v>3878</v>
      </c>
      <c r="K973" s="721" t="s">
        <v>2044</v>
      </c>
      <c r="L973" s="721">
        <v>79790907</v>
      </c>
      <c r="M973" s="721" t="s">
        <v>2192</v>
      </c>
      <c r="N973" s="746"/>
      <c r="O973" s="746"/>
      <c r="P973" s="746"/>
      <c r="Q973" s="746"/>
      <c r="R973" s="521"/>
      <c r="S973" s="521"/>
    </row>
    <row r="974" spans="1:19" ht="25.5">
      <c r="A974" s="723">
        <v>401</v>
      </c>
      <c r="B974" s="723">
        <v>20121195011</v>
      </c>
      <c r="C974" s="723" t="s">
        <v>3879</v>
      </c>
      <c r="D974" s="723">
        <v>195</v>
      </c>
      <c r="E974" s="723" t="s">
        <v>2832</v>
      </c>
      <c r="F974" s="723" t="s">
        <v>154</v>
      </c>
      <c r="G974" s="723" t="s">
        <v>2546</v>
      </c>
      <c r="H974" s="723">
        <v>3</v>
      </c>
      <c r="I974" s="723"/>
      <c r="J974" s="723" t="s">
        <v>3880</v>
      </c>
      <c r="K974" s="723" t="s">
        <v>2044</v>
      </c>
      <c r="L974" s="723">
        <v>1018409737</v>
      </c>
      <c r="M974" s="723" t="s">
        <v>2192</v>
      </c>
      <c r="N974" s="746"/>
      <c r="O974" s="746"/>
      <c r="P974" s="746"/>
      <c r="Q974" s="746"/>
      <c r="R974" s="521"/>
      <c r="S974" s="521"/>
    </row>
    <row r="975" spans="1:19" ht="25.5">
      <c r="A975" s="721">
        <v>402</v>
      </c>
      <c r="B975" s="721">
        <v>20121195012</v>
      </c>
      <c r="C975" s="721" t="s">
        <v>3881</v>
      </c>
      <c r="D975" s="721">
        <v>195</v>
      </c>
      <c r="E975" s="721" t="s">
        <v>2832</v>
      </c>
      <c r="F975" s="721" t="s">
        <v>154</v>
      </c>
      <c r="G975" s="721" t="s">
        <v>2546</v>
      </c>
      <c r="H975" s="721" t="s">
        <v>2043</v>
      </c>
      <c r="I975" s="721"/>
      <c r="J975" s="721" t="s">
        <v>3882</v>
      </c>
      <c r="K975" s="721" t="s">
        <v>2044</v>
      </c>
      <c r="L975" s="721">
        <v>86069620</v>
      </c>
      <c r="M975" s="721" t="s">
        <v>2860</v>
      </c>
      <c r="N975" s="746"/>
      <c r="O975" s="746"/>
      <c r="P975" s="746"/>
      <c r="Q975" s="746"/>
      <c r="R975" s="521"/>
      <c r="S975" s="521"/>
    </row>
    <row r="976" spans="1:19" ht="25.5">
      <c r="A976" s="723">
        <v>403</v>
      </c>
      <c r="B976" s="723">
        <v>20121195013</v>
      </c>
      <c r="C976" s="723" t="s">
        <v>3883</v>
      </c>
      <c r="D976" s="723">
        <v>195</v>
      </c>
      <c r="E976" s="723" t="s">
        <v>2832</v>
      </c>
      <c r="F976" s="723" t="s">
        <v>154</v>
      </c>
      <c r="G976" s="723" t="s">
        <v>2546</v>
      </c>
      <c r="H976" s="723" t="s">
        <v>2043</v>
      </c>
      <c r="I976" s="723"/>
      <c r="J976" s="723" t="s">
        <v>3884</v>
      </c>
      <c r="K976" s="723" t="s">
        <v>2044</v>
      </c>
      <c r="L976" s="723">
        <v>7188239</v>
      </c>
      <c r="M976" s="723" t="s">
        <v>2910</v>
      </c>
      <c r="N976" s="746"/>
      <c r="O976" s="746"/>
      <c r="P976" s="746"/>
      <c r="Q976" s="746"/>
      <c r="R976" s="521"/>
      <c r="S976" s="521"/>
    </row>
    <row r="977" spans="1:19" ht="25.5">
      <c r="A977" s="721">
        <v>404</v>
      </c>
      <c r="B977" s="721">
        <v>20121195015</v>
      </c>
      <c r="C977" s="721" t="s">
        <v>3885</v>
      </c>
      <c r="D977" s="721">
        <v>195</v>
      </c>
      <c r="E977" s="721" t="s">
        <v>2832</v>
      </c>
      <c r="F977" s="721" t="s">
        <v>154</v>
      </c>
      <c r="G977" s="721" t="s">
        <v>2546</v>
      </c>
      <c r="H977" s="721" t="s">
        <v>2043</v>
      </c>
      <c r="I977" s="721"/>
      <c r="J977" s="721" t="s">
        <v>3886</v>
      </c>
      <c r="K977" s="721" t="s">
        <v>2044</v>
      </c>
      <c r="L977" s="721">
        <v>1110468388</v>
      </c>
      <c r="M977" s="721" t="s">
        <v>2143</v>
      </c>
      <c r="N977" s="746"/>
      <c r="O977" s="746"/>
      <c r="P977" s="746"/>
      <c r="Q977" s="746"/>
      <c r="R977" s="521"/>
      <c r="S977" s="521"/>
    </row>
    <row r="978" spans="1:19" ht="25.5">
      <c r="A978" s="723">
        <v>405</v>
      </c>
      <c r="B978" s="723">
        <v>20121195016</v>
      </c>
      <c r="C978" s="723" t="s">
        <v>3429</v>
      </c>
      <c r="D978" s="723">
        <v>195</v>
      </c>
      <c r="E978" s="723" t="s">
        <v>2832</v>
      </c>
      <c r="F978" s="723" t="s">
        <v>154</v>
      </c>
      <c r="G978" s="723" t="s">
        <v>2546</v>
      </c>
      <c r="H978" s="723" t="s">
        <v>2043</v>
      </c>
      <c r="I978" s="723" t="s">
        <v>3430</v>
      </c>
      <c r="J978" s="723" t="s">
        <v>3431</v>
      </c>
      <c r="K978" s="723" t="s">
        <v>2044</v>
      </c>
      <c r="L978" s="723">
        <v>79483121</v>
      </c>
      <c r="M978" s="723" t="s">
        <v>2192</v>
      </c>
      <c r="N978" s="746"/>
      <c r="O978" s="746"/>
      <c r="P978" s="746"/>
      <c r="Q978" s="746"/>
      <c r="R978" s="521"/>
      <c r="S978" s="521"/>
    </row>
    <row r="979" spans="1:19" ht="25.5">
      <c r="A979" s="721">
        <v>406</v>
      </c>
      <c r="B979" s="721">
        <v>20122195001</v>
      </c>
      <c r="C979" s="721" t="s">
        <v>3887</v>
      </c>
      <c r="D979" s="721">
        <v>195</v>
      </c>
      <c r="E979" s="721" t="s">
        <v>2832</v>
      </c>
      <c r="F979" s="721" t="s">
        <v>154</v>
      </c>
      <c r="G979" s="721" t="s">
        <v>2546</v>
      </c>
      <c r="H979" s="721" t="s">
        <v>2043</v>
      </c>
      <c r="I979" s="721"/>
      <c r="J979" s="721" t="s">
        <v>3888</v>
      </c>
      <c r="K979" s="721" t="s">
        <v>2044</v>
      </c>
      <c r="L979" s="721">
        <v>72288901</v>
      </c>
      <c r="M979" s="721" t="s">
        <v>2910</v>
      </c>
      <c r="N979" s="746"/>
      <c r="O979" s="746"/>
      <c r="P979" s="746"/>
      <c r="Q979" s="746"/>
      <c r="R979" s="521"/>
      <c r="S979" s="521"/>
    </row>
    <row r="980" spans="1:19" ht="25.5">
      <c r="A980" s="723">
        <v>407</v>
      </c>
      <c r="B980" s="723">
        <v>20122195002</v>
      </c>
      <c r="C980" s="723" t="s">
        <v>3889</v>
      </c>
      <c r="D980" s="723">
        <v>195</v>
      </c>
      <c r="E980" s="723" t="s">
        <v>2832</v>
      </c>
      <c r="F980" s="723" t="s">
        <v>154</v>
      </c>
      <c r="G980" s="723" t="s">
        <v>2546</v>
      </c>
      <c r="H980" s="723">
        <v>3</v>
      </c>
      <c r="I980" s="723"/>
      <c r="J980" s="723" t="s">
        <v>3890</v>
      </c>
      <c r="K980" s="723" t="s">
        <v>2044</v>
      </c>
      <c r="L980" s="723">
        <v>79723380</v>
      </c>
      <c r="M980" s="723" t="s">
        <v>2936</v>
      </c>
      <c r="N980" s="746"/>
      <c r="O980" s="746"/>
      <c r="P980" s="746"/>
      <c r="Q980" s="746"/>
      <c r="R980" s="521"/>
      <c r="S980" s="521"/>
    </row>
    <row r="981" spans="1:19" ht="25.5">
      <c r="A981" s="721">
        <v>408</v>
      </c>
      <c r="B981" s="721">
        <v>20122195004</v>
      </c>
      <c r="C981" s="721" t="s">
        <v>3891</v>
      </c>
      <c r="D981" s="721">
        <v>195</v>
      </c>
      <c r="E981" s="721" t="s">
        <v>2832</v>
      </c>
      <c r="F981" s="721" t="s">
        <v>154</v>
      </c>
      <c r="G981" s="721" t="s">
        <v>2546</v>
      </c>
      <c r="H981" s="721" t="s">
        <v>2043</v>
      </c>
      <c r="I981" s="721"/>
      <c r="J981" s="721" t="s">
        <v>3892</v>
      </c>
      <c r="K981" s="721" t="s">
        <v>2044</v>
      </c>
      <c r="L981" s="721">
        <v>1032387826</v>
      </c>
      <c r="M981" s="721" t="s">
        <v>2192</v>
      </c>
      <c r="N981" s="746"/>
      <c r="O981" s="746"/>
      <c r="P981" s="746"/>
      <c r="Q981" s="746"/>
      <c r="R981" s="521"/>
      <c r="S981" s="521"/>
    </row>
    <row r="982" spans="1:19" ht="25.5">
      <c r="A982" s="723">
        <v>409</v>
      </c>
      <c r="B982" s="723">
        <v>20122195006</v>
      </c>
      <c r="C982" s="723" t="s">
        <v>3893</v>
      </c>
      <c r="D982" s="723">
        <v>195</v>
      </c>
      <c r="E982" s="723" t="s">
        <v>2832</v>
      </c>
      <c r="F982" s="723" t="s">
        <v>154</v>
      </c>
      <c r="G982" s="723" t="s">
        <v>2546</v>
      </c>
      <c r="H982" s="723">
        <v>3</v>
      </c>
      <c r="I982" s="723"/>
      <c r="J982" s="723" t="s">
        <v>3894</v>
      </c>
      <c r="K982" s="723" t="s">
        <v>2044</v>
      </c>
      <c r="L982" s="723">
        <v>80124517</v>
      </c>
      <c r="M982" s="723" t="s">
        <v>3269</v>
      </c>
      <c r="N982" s="746"/>
      <c r="O982" s="746"/>
      <c r="P982" s="746"/>
      <c r="Q982" s="746"/>
      <c r="R982" s="521"/>
      <c r="S982" s="521"/>
    </row>
    <row r="983" spans="1:19" ht="25.5">
      <c r="A983" s="721">
        <v>410</v>
      </c>
      <c r="B983" s="721">
        <v>20131195001</v>
      </c>
      <c r="C983" s="721" t="s">
        <v>3895</v>
      </c>
      <c r="D983" s="721">
        <v>195</v>
      </c>
      <c r="E983" s="721" t="s">
        <v>2832</v>
      </c>
      <c r="F983" s="721" t="s">
        <v>154</v>
      </c>
      <c r="G983" s="721" t="s">
        <v>2546</v>
      </c>
      <c r="H983" s="721" t="s">
        <v>2043</v>
      </c>
      <c r="I983" s="721" t="s">
        <v>3896</v>
      </c>
      <c r="J983" s="721" t="s">
        <v>3897</v>
      </c>
      <c r="K983" s="721" t="s">
        <v>2044</v>
      </c>
      <c r="L983" s="721">
        <v>7633964</v>
      </c>
      <c r="M983" s="721" t="s">
        <v>2860</v>
      </c>
      <c r="N983" s="746"/>
      <c r="O983" s="746"/>
      <c r="P983" s="746"/>
      <c r="Q983" s="746"/>
      <c r="R983" s="521"/>
      <c r="S983" s="521"/>
    </row>
    <row r="984" spans="1:19" ht="25.5">
      <c r="A984" s="723">
        <v>411</v>
      </c>
      <c r="B984" s="723">
        <v>20131195002</v>
      </c>
      <c r="C984" s="723" t="s">
        <v>3898</v>
      </c>
      <c r="D984" s="723">
        <v>195</v>
      </c>
      <c r="E984" s="723" t="s">
        <v>2832</v>
      </c>
      <c r="F984" s="723" t="s">
        <v>154</v>
      </c>
      <c r="G984" s="723" t="s">
        <v>2546</v>
      </c>
      <c r="H984" s="723" t="s">
        <v>2043</v>
      </c>
      <c r="I984" s="723" t="s">
        <v>3899</v>
      </c>
      <c r="J984" s="723" t="s">
        <v>3900</v>
      </c>
      <c r="K984" s="723" t="s">
        <v>2044</v>
      </c>
      <c r="L984" s="723">
        <v>79670056</v>
      </c>
      <c r="M984" s="723" t="s">
        <v>2192</v>
      </c>
      <c r="N984" s="746"/>
      <c r="O984" s="746"/>
      <c r="P984" s="746"/>
      <c r="Q984" s="746"/>
      <c r="R984" s="521"/>
      <c r="S984" s="521"/>
    </row>
    <row r="985" spans="1:19" ht="25.5">
      <c r="A985" s="721">
        <v>412</v>
      </c>
      <c r="B985" s="721">
        <v>20131195005</v>
      </c>
      <c r="C985" s="721" t="s">
        <v>3901</v>
      </c>
      <c r="D985" s="721">
        <v>195</v>
      </c>
      <c r="E985" s="721" t="s">
        <v>2832</v>
      </c>
      <c r="F985" s="721" t="s">
        <v>154</v>
      </c>
      <c r="G985" s="721" t="s">
        <v>2546</v>
      </c>
      <c r="H985" s="721" t="s">
        <v>2043</v>
      </c>
      <c r="I985" s="721" t="s">
        <v>3902</v>
      </c>
      <c r="J985" s="721" t="s">
        <v>3903</v>
      </c>
      <c r="K985" s="721" t="s">
        <v>2044</v>
      </c>
      <c r="L985" s="721">
        <v>79689221</v>
      </c>
      <c r="M985" s="721" t="s">
        <v>2192</v>
      </c>
      <c r="N985" s="746"/>
      <c r="O985" s="746"/>
      <c r="P985" s="746"/>
      <c r="Q985" s="746"/>
      <c r="R985" s="521"/>
      <c r="S985" s="521"/>
    </row>
    <row r="986" spans="1:19" ht="25.5">
      <c r="A986" s="723">
        <v>413</v>
      </c>
      <c r="B986" s="723">
        <v>20131195006</v>
      </c>
      <c r="C986" s="723" t="s">
        <v>3904</v>
      </c>
      <c r="D986" s="723">
        <v>195</v>
      </c>
      <c r="E986" s="723" t="s">
        <v>2832</v>
      </c>
      <c r="F986" s="723" t="s">
        <v>154</v>
      </c>
      <c r="G986" s="723" t="s">
        <v>2546</v>
      </c>
      <c r="H986" s="723" t="s">
        <v>2043</v>
      </c>
      <c r="I986" s="723" t="s">
        <v>3905</v>
      </c>
      <c r="J986" s="723" t="s">
        <v>3906</v>
      </c>
      <c r="K986" s="723" t="s">
        <v>2044</v>
      </c>
      <c r="L986" s="723">
        <v>35199495</v>
      </c>
      <c r="M986" s="723" t="s">
        <v>2860</v>
      </c>
      <c r="N986" s="746"/>
      <c r="O986" s="746"/>
      <c r="P986" s="746"/>
      <c r="Q986" s="746"/>
      <c r="R986" s="521"/>
      <c r="S986" s="521"/>
    </row>
    <row r="987" spans="1:19" ht="25.5">
      <c r="A987" s="721">
        <v>414</v>
      </c>
      <c r="B987" s="721">
        <v>20141195002</v>
      </c>
      <c r="C987" s="721" t="s">
        <v>3907</v>
      </c>
      <c r="D987" s="721">
        <v>195</v>
      </c>
      <c r="E987" s="721" t="s">
        <v>2832</v>
      </c>
      <c r="F987" s="721" t="s">
        <v>154</v>
      </c>
      <c r="G987" s="721" t="s">
        <v>2546</v>
      </c>
      <c r="H987" s="721" t="s">
        <v>2043</v>
      </c>
      <c r="I987" s="721"/>
      <c r="J987" s="721" t="s">
        <v>3908</v>
      </c>
      <c r="K987" s="721" t="s">
        <v>2044</v>
      </c>
      <c r="L987" s="721">
        <v>79483930</v>
      </c>
      <c r="M987" s="721" t="s">
        <v>2599</v>
      </c>
      <c r="N987" s="746"/>
      <c r="O987" s="746"/>
      <c r="P987" s="746"/>
      <c r="Q987" s="746"/>
      <c r="R987" s="521"/>
      <c r="S987" s="521"/>
    </row>
    <row r="988" spans="1:19" ht="25.5">
      <c r="A988" s="723">
        <v>415</v>
      </c>
      <c r="B988" s="723">
        <v>20141195004</v>
      </c>
      <c r="C988" s="723" t="s">
        <v>3909</v>
      </c>
      <c r="D988" s="723">
        <v>195</v>
      </c>
      <c r="E988" s="723" t="s">
        <v>2832</v>
      </c>
      <c r="F988" s="723" t="s">
        <v>154</v>
      </c>
      <c r="G988" s="723" t="s">
        <v>2546</v>
      </c>
      <c r="H988" s="723" t="s">
        <v>2043</v>
      </c>
      <c r="I988" s="723"/>
      <c r="J988" s="723" t="s">
        <v>3910</v>
      </c>
      <c r="K988" s="723" t="s">
        <v>2044</v>
      </c>
      <c r="L988" s="723">
        <v>80773695</v>
      </c>
      <c r="M988" s="723" t="s">
        <v>2599</v>
      </c>
      <c r="N988" s="746"/>
      <c r="O988" s="746"/>
      <c r="P988" s="746"/>
      <c r="Q988" s="746"/>
      <c r="R988" s="521"/>
      <c r="S988" s="521"/>
    </row>
    <row r="989" spans="1:19" ht="25.5">
      <c r="A989" s="721">
        <v>416</v>
      </c>
      <c r="B989" s="721">
        <v>20141195006</v>
      </c>
      <c r="C989" s="721" t="s">
        <v>3911</v>
      </c>
      <c r="D989" s="721">
        <v>195</v>
      </c>
      <c r="E989" s="721" t="s">
        <v>2832</v>
      </c>
      <c r="F989" s="721" t="s">
        <v>154</v>
      </c>
      <c r="G989" s="721" t="s">
        <v>2546</v>
      </c>
      <c r="H989" s="721" t="s">
        <v>2043</v>
      </c>
      <c r="I989" s="721"/>
      <c r="J989" s="721" t="s">
        <v>3912</v>
      </c>
      <c r="K989" s="721" t="s">
        <v>2044</v>
      </c>
      <c r="L989" s="721">
        <v>80097092</v>
      </c>
      <c r="M989" s="721" t="s">
        <v>2218</v>
      </c>
      <c r="N989" s="746"/>
      <c r="O989" s="746"/>
      <c r="P989" s="746"/>
      <c r="Q989" s="746"/>
      <c r="R989" s="521"/>
      <c r="S989" s="521"/>
    </row>
    <row r="990" spans="1:19" ht="25.5">
      <c r="A990" s="723">
        <v>417</v>
      </c>
      <c r="B990" s="723">
        <v>20151195003</v>
      </c>
      <c r="C990" s="723" t="s">
        <v>3913</v>
      </c>
      <c r="D990" s="723">
        <v>195</v>
      </c>
      <c r="E990" s="723" t="s">
        <v>2832</v>
      </c>
      <c r="F990" s="723" t="s">
        <v>154</v>
      </c>
      <c r="G990" s="723" t="s">
        <v>2546</v>
      </c>
      <c r="H990" s="723" t="s">
        <v>2043</v>
      </c>
      <c r="I990" s="723"/>
      <c r="J990" s="723" t="s">
        <v>3914</v>
      </c>
      <c r="K990" s="723" t="s">
        <v>2044</v>
      </c>
      <c r="L990" s="723">
        <v>1022947307</v>
      </c>
      <c r="M990" s="723" t="s">
        <v>3104</v>
      </c>
      <c r="N990" s="746"/>
      <c r="O990" s="746"/>
      <c r="P990" s="746"/>
      <c r="Q990" s="746"/>
      <c r="R990" s="521"/>
      <c r="S990" s="521"/>
    </row>
    <row r="991" spans="1:19" ht="25.5">
      <c r="A991" s="721">
        <v>418</v>
      </c>
      <c r="B991" s="721">
        <v>20152195004</v>
      </c>
      <c r="C991" s="721" t="s">
        <v>3915</v>
      </c>
      <c r="D991" s="721">
        <v>195</v>
      </c>
      <c r="E991" s="721" t="s">
        <v>2832</v>
      </c>
      <c r="F991" s="721" t="s">
        <v>154</v>
      </c>
      <c r="G991" s="721" t="s">
        <v>2546</v>
      </c>
      <c r="H991" s="721" t="s">
        <v>2043</v>
      </c>
      <c r="I991" s="721"/>
      <c r="J991" s="721" t="s">
        <v>3916</v>
      </c>
      <c r="K991" s="721" t="s">
        <v>2044</v>
      </c>
      <c r="L991" s="721">
        <v>1067887695</v>
      </c>
      <c r="M991" s="721" t="s">
        <v>2167</v>
      </c>
      <c r="N991" s="746"/>
      <c r="O991" s="746"/>
      <c r="P991" s="746"/>
      <c r="Q991" s="746"/>
      <c r="R991" s="521"/>
      <c r="S991" s="521"/>
    </row>
    <row r="992" spans="1:19" ht="25.5">
      <c r="A992" s="723">
        <v>419</v>
      </c>
      <c r="B992" s="723">
        <v>20152195006</v>
      </c>
      <c r="C992" s="723" t="s">
        <v>3871</v>
      </c>
      <c r="D992" s="723">
        <v>195</v>
      </c>
      <c r="E992" s="723" t="s">
        <v>2832</v>
      </c>
      <c r="F992" s="723" t="s">
        <v>154</v>
      </c>
      <c r="G992" s="723" t="s">
        <v>2546</v>
      </c>
      <c r="H992" s="723" t="s">
        <v>2043</v>
      </c>
      <c r="I992" s="723"/>
      <c r="J992" s="723" t="s">
        <v>3872</v>
      </c>
      <c r="K992" s="723" t="s">
        <v>2044</v>
      </c>
      <c r="L992" s="723">
        <v>80138072</v>
      </c>
      <c r="M992" s="723" t="s">
        <v>2167</v>
      </c>
      <c r="N992" s="746"/>
      <c r="O992" s="746"/>
      <c r="P992" s="746"/>
      <c r="Q992" s="746"/>
      <c r="R992" s="521"/>
      <c r="S992" s="521"/>
    </row>
    <row r="993" spans="1:19" ht="25.5">
      <c r="A993" s="721">
        <v>420</v>
      </c>
      <c r="B993" s="721">
        <v>20152195008</v>
      </c>
      <c r="C993" s="721" t="s">
        <v>3917</v>
      </c>
      <c r="D993" s="721">
        <v>195</v>
      </c>
      <c r="E993" s="721" t="s">
        <v>2832</v>
      </c>
      <c r="F993" s="721" t="s">
        <v>154</v>
      </c>
      <c r="G993" s="721" t="s">
        <v>2546</v>
      </c>
      <c r="H993" s="721" t="s">
        <v>2043</v>
      </c>
      <c r="I993" s="721"/>
      <c r="J993" s="721" t="s">
        <v>3918</v>
      </c>
      <c r="K993" s="721" t="s">
        <v>2044</v>
      </c>
      <c r="L993" s="721">
        <v>1019008949</v>
      </c>
      <c r="M993" s="721" t="s">
        <v>2167</v>
      </c>
      <c r="N993" s="746"/>
      <c r="O993" s="746"/>
      <c r="P993" s="746"/>
      <c r="Q993" s="746"/>
      <c r="R993" s="521"/>
      <c r="S993" s="521"/>
    </row>
    <row r="994" spans="1:19" ht="25.5">
      <c r="A994" s="723">
        <v>421</v>
      </c>
      <c r="B994" s="723">
        <v>20152195011</v>
      </c>
      <c r="C994" s="723" t="s">
        <v>3919</v>
      </c>
      <c r="D994" s="723">
        <v>195</v>
      </c>
      <c r="E994" s="723" t="s">
        <v>2832</v>
      </c>
      <c r="F994" s="723" t="s">
        <v>154</v>
      </c>
      <c r="G994" s="723" t="s">
        <v>2546</v>
      </c>
      <c r="H994" s="723" t="s">
        <v>2043</v>
      </c>
      <c r="I994" s="723"/>
      <c r="J994" s="723" t="s">
        <v>3920</v>
      </c>
      <c r="K994" s="723" t="s">
        <v>2044</v>
      </c>
      <c r="L994" s="723">
        <v>1020762823</v>
      </c>
      <c r="M994" s="723" t="s">
        <v>2167</v>
      </c>
      <c r="N994" s="746"/>
      <c r="O994" s="746"/>
      <c r="P994" s="746"/>
      <c r="Q994" s="746"/>
      <c r="R994" s="521"/>
      <c r="S994" s="521"/>
    </row>
    <row r="995" spans="1:19" ht="25.5">
      <c r="A995" s="721">
        <v>422</v>
      </c>
      <c r="B995" s="721">
        <v>20152195017</v>
      </c>
      <c r="C995" s="721" t="s">
        <v>3921</v>
      </c>
      <c r="D995" s="721">
        <v>195</v>
      </c>
      <c r="E995" s="721" t="s">
        <v>2832</v>
      </c>
      <c r="F995" s="721" t="s">
        <v>154</v>
      </c>
      <c r="G995" s="721" t="s">
        <v>2546</v>
      </c>
      <c r="H995" s="721">
        <v>4</v>
      </c>
      <c r="I995" s="721"/>
      <c r="J995" s="721" t="s">
        <v>3922</v>
      </c>
      <c r="K995" s="721" t="s">
        <v>2044</v>
      </c>
      <c r="L995" s="721">
        <v>79795395</v>
      </c>
      <c r="M995" s="721" t="s">
        <v>2936</v>
      </c>
      <c r="N995" s="746"/>
      <c r="O995" s="746"/>
      <c r="P995" s="746"/>
      <c r="Q995" s="746"/>
      <c r="R995" s="521"/>
      <c r="S995" s="521"/>
    </row>
    <row r="996" spans="1:19" ht="25.5">
      <c r="A996" s="723">
        <v>423</v>
      </c>
      <c r="B996" s="723">
        <v>20152195022</v>
      </c>
      <c r="C996" s="723" t="s">
        <v>3923</v>
      </c>
      <c r="D996" s="723">
        <v>195</v>
      </c>
      <c r="E996" s="723" t="s">
        <v>2832</v>
      </c>
      <c r="F996" s="723" t="s">
        <v>154</v>
      </c>
      <c r="G996" s="723" t="s">
        <v>2546</v>
      </c>
      <c r="H996" s="723" t="s">
        <v>2043</v>
      </c>
      <c r="I996" s="723" t="s">
        <v>3924</v>
      </c>
      <c r="J996" s="723" t="s">
        <v>3925</v>
      </c>
      <c r="K996" s="723" t="s">
        <v>2044</v>
      </c>
      <c r="L996" s="723">
        <v>79947322</v>
      </c>
      <c r="M996" s="723" t="s">
        <v>3145</v>
      </c>
      <c r="N996" s="746"/>
      <c r="O996" s="746"/>
      <c r="P996" s="746"/>
      <c r="Q996" s="746"/>
      <c r="R996" s="521"/>
      <c r="S996" s="521"/>
    </row>
    <row r="997" spans="1:19" ht="25.5">
      <c r="A997" s="721">
        <v>424</v>
      </c>
      <c r="B997" s="721">
        <v>20152195024</v>
      </c>
      <c r="C997" s="721" t="s">
        <v>3926</v>
      </c>
      <c r="D997" s="721">
        <v>195</v>
      </c>
      <c r="E997" s="721" t="s">
        <v>2832</v>
      </c>
      <c r="F997" s="721" t="s">
        <v>154</v>
      </c>
      <c r="G997" s="721" t="s">
        <v>2546</v>
      </c>
      <c r="H997" s="721" t="s">
        <v>2043</v>
      </c>
      <c r="I997" s="721" t="s">
        <v>3927</v>
      </c>
      <c r="J997" s="721" t="s">
        <v>3928</v>
      </c>
      <c r="K997" s="721" t="s">
        <v>2044</v>
      </c>
      <c r="L997" s="721">
        <v>9398443</v>
      </c>
      <c r="M997" s="721" t="s">
        <v>3139</v>
      </c>
      <c r="N997" s="746"/>
      <c r="O997" s="746"/>
      <c r="P997" s="746"/>
      <c r="Q997" s="746"/>
      <c r="R997" s="521"/>
      <c r="S997" s="521"/>
    </row>
    <row r="998" spans="1:19" ht="25.5">
      <c r="A998" s="723">
        <v>425</v>
      </c>
      <c r="B998" s="723">
        <v>20152195025</v>
      </c>
      <c r="C998" s="723" t="s">
        <v>3929</v>
      </c>
      <c r="D998" s="723">
        <v>195</v>
      </c>
      <c r="E998" s="723" t="s">
        <v>2832</v>
      </c>
      <c r="F998" s="723" t="s">
        <v>154</v>
      </c>
      <c r="G998" s="723" t="s">
        <v>2546</v>
      </c>
      <c r="H998" s="723" t="s">
        <v>2043</v>
      </c>
      <c r="I998" s="723"/>
      <c r="J998" s="723" t="s">
        <v>3930</v>
      </c>
      <c r="K998" s="723" t="s">
        <v>2044</v>
      </c>
      <c r="L998" s="723">
        <v>52827261</v>
      </c>
      <c r="M998" s="723" t="s">
        <v>2167</v>
      </c>
      <c r="N998" s="746"/>
      <c r="O998" s="746"/>
      <c r="P998" s="746"/>
      <c r="Q998" s="746"/>
      <c r="R998" s="521"/>
      <c r="S998" s="521"/>
    </row>
    <row r="999" spans="1:19" ht="25.5">
      <c r="A999" s="721">
        <v>426</v>
      </c>
      <c r="B999" s="721">
        <v>20161195004</v>
      </c>
      <c r="C999" s="721" t="s">
        <v>3931</v>
      </c>
      <c r="D999" s="721">
        <v>195</v>
      </c>
      <c r="E999" s="721" t="s">
        <v>2832</v>
      </c>
      <c r="F999" s="721" t="s">
        <v>154</v>
      </c>
      <c r="G999" s="721" t="s">
        <v>2546</v>
      </c>
      <c r="H999" s="721">
        <v>1</v>
      </c>
      <c r="I999" s="721" t="s">
        <v>3932</v>
      </c>
      <c r="J999" s="721" t="s">
        <v>3933</v>
      </c>
      <c r="K999" s="721" t="s">
        <v>2044</v>
      </c>
      <c r="L999" s="721">
        <v>1022953913</v>
      </c>
      <c r="M999" s="721" t="s">
        <v>2936</v>
      </c>
      <c r="N999" s="746"/>
      <c r="O999" s="746"/>
      <c r="P999" s="746"/>
      <c r="Q999" s="746"/>
      <c r="R999" s="521"/>
      <c r="S999" s="521"/>
    </row>
    <row r="1000" spans="1:19" ht="25.5">
      <c r="A1000" s="723">
        <v>427</v>
      </c>
      <c r="B1000" s="723">
        <v>20161195006</v>
      </c>
      <c r="C1000" s="723" t="s">
        <v>3934</v>
      </c>
      <c r="D1000" s="723">
        <v>195</v>
      </c>
      <c r="E1000" s="723" t="s">
        <v>2832</v>
      </c>
      <c r="F1000" s="723" t="s">
        <v>154</v>
      </c>
      <c r="G1000" s="723" t="s">
        <v>2546</v>
      </c>
      <c r="H1000" s="723">
        <v>3</v>
      </c>
      <c r="I1000" s="723"/>
      <c r="J1000" s="723" t="s">
        <v>3935</v>
      </c>
      <c r="K1000" s="723" t="s">
        <v>2044</v>
      </c>
      <c r="L1000" s="723">
        <v>1031124825</v>
      </c>
      <c r="M1000" s="723" t="s">
        <v>2936</v>
      </c>
      <c r="N1000" s="746"/>
      <c r="O1000" s="746"/>
      <c r="P1000" s="746"/>
      <c r="Q1000" s="746"/>
      <c r="R1000" s="521"/>
      <c r="S1000" s="521"/>
    </row>
    <row r="1001" spans="1:19" ht="25.5">
      <c r="A1001" s="721">
        <v>428</v>
      </c>
      <c r="B1001" s="721">
        <v>20161195012</v>
      </c>
      <c r="C1001" s="721" t="s">
        <v>3904</v>
      </c>
      <c r="D1001" s="721">
        <v>195</v>
      </c>
      <c r="E1001" s="721" t="s">
        <v>2832</v>
      </c>
      <c r="F1001" s="721" t="s">
        <v>154</v>
      </c>
      <c r="G1001" s="721" t="s">
        <v>2546</v>
      </c>
      <c r="H1001" s="721">
        <v>3</v>
      </c>
      <c r="I1001" s="721"/>
      <c r="J1001" s="721" t="s">
        <v>3906</v>
      </c>
      <c r="K1001" s="721" t="s">
        <v>2044</v>
      </c>
      <c r="L1001" s="721">
        <v>35199495</v>
      </c>
      <c r="M1001" s="721" t="s">
        <v>3130</v>
      </c>
      <c r="N1001" s="746"/>
      <c r="O1001" s="746"/>
      <c r="P1001" s="746"/>
      <c r="Q1001" s="746"/>
      <c r="R1001" s="521"/>
      <c r="S1001" s="521"/>
    </row>
    <row r="1002" spans="1:19" ht="25.5">
      <c r="A1002" s="723">
        <v>429</v>
      </c>
      <c r="B1002" s="723">
        <v>20161195016</v>
      </c>
      <c r="C1002" s="723" t="s">
        <v>3936</v>
      </c>
      <c r="D1002" s="723">
        <v>195</v>
      </c>
      <c r="E1002" s="723" t="s">
        <v>2832</v>
      </c>
      <c r="F1002" s="723" t="s">
        <v>154</v>
      </c>
      <c r="G1002" s="723" t="s">
        <v>2546</v>
      </c>
      <c r="H1002" s="723" t="s">
        <v>2043</v>
      </c>
      <c r="I1002" s="723"/>
      <c r="J1002" s="723" t="s">
        <v>3937</v>
      </c>
      <c r="K1002" s="723" t="s">
        <v>2044</v>
      </c>
      <c r="L1002" s="723">
        <v>27381579</v>
      </c>
      <c r="M1002" s="723" t="s">
        <v>2143</v>
      </c>
      <c r="N1002" s="746"/>
      <c r="O1002" s="746"/>
      <c r="P1002" s="746"/>
      <c r="Q1002" s="746"/>
      <c r="R1002" s="521"/>
      <c r="S1002" s="521"/>
    </row>
    <row r="1003" spans="1:19" ht="25.5">
      <c r="A1003" s="721">
        <v>430</v>
      </c>
      <c r="B1003" s="721">
        <v>20162195002</v>
      </c>
      <c r="C1003" s="721" t="s">
        <v>3938</v>
      </c>
      <c r="D1003" s="721">
        <v>195</v>
      </c>
      <c r="E1003" s="721" t="s">
        <v>2832</v>
      </c>
      <c r="F1003" s="721" t="s">
        <v>154</v>
      </c>
      <c r="G1003" s="721" t="s">
        <v>2546</v>
      </c>
      <c r="H1003" s="721" t="s">
        <v>2043</v>
      </c>
      <c r="I1003" s="721"/>
      <c r="J1003" s="721" t="s">
        <v>3939</v>
      </c>
      <c r="K1003" s="721" t="s">
        <v>2044</v>
      </c>
      <c r="L1003" s="721">
        <v>80220725</v>
      </c>
      <c r="M1003" s="721" t="s">
        <v>3130</v>
      </c>
      <c r="N1003" s="746"/>
      <c r="O1003" s="746"/>
      <c r="P1003" s="746"/>
      <c r="Q1003" s="746"/>
      <c r="R1003" s="521"/>
      <c r="S1003" s="521"/>
    </row>
    <row r="1004" spans="1:19" ht="25.5">
      <c r="A1004" s="723">
        <v>431</v>
      </c>
      <c r="B1004" s="723">
        <v>20162195009</v>
      </c>
      <c r="C1004" s="723" t="s">
        <v>3940</v>
      </c>
      <c r="D1004" s="723">
        <v>195</v>
      </c>
      <c r="E1004" s="723" t="s">
        <v>2832</v>
      </c>
      <c r="F1004" s="723" t="s">
        <v>154</v>
      </c>
      <c r="G1004" s="723" t="s">
        <v>2546</v>
      </c>
      <c r="H1004" s="723" t="s">
        <v>2043</v>
      </c>
      <c r="I1004" s="723"/>
      <c r="J1004" s="723" t="s">
        <v>3941</v>
      </c>
      <c r="K1004" s="723" t="s">
        <v>2044</v>
      </c>
      <c r="L1004" s="723">
        <v>1110454571</v>
      </c>
      <c r="M1004" s="723" t="s">
        <v>3123</v>
      </c>
      <c r="N1004" s="746"/>
      <c r="O1004" s="746"/>
      <c r="P1004" s="746"/>
      <c r="Q1004" s="746"/>
      <c r="R1004" s="521"/>
      <c r="S1004" s="521"/>
    </row>
    <row r="1005" spans="1:19" ht="25.5">
      <c r="A1005" s="721">
        <v>432</v>
      </c>
      <c r="B1005" s="721">
        <v>20162195011</v>
      </c>
      <c r="C1005" s="721" t="s">
        <v>3942</v>
      </c>
      <c r="D1005" s="721">
        <v>195</v>
      </c>
      <c r="E1005" s="721" t="s">
        <v>2832</v>
      </c>
      <c r="F1005" s="721" t="s">
        <v>154</v>
      </c>
      <c r="G1005" s="721" t="s">
        <v>2546</v>
      </c>
      <c r="H1005" s="721" t="s">
        <v>2043</v>
      </c>
      <c r="I1005" s="721" t="s">
        <v>3943</v>
      </c>
      <c r="J1005" s="721" t="s">
        <v>3944</v>
      </c>
      <c r="K1005" s="721" t="s">
        <v>2044</v>
      </c>
      <c r="L1005" s="721">
        <v>52957410</v>
      </c>
      <c r="M1005" s="721" t="s">
        <v>3269</v>
      </c>
      <c r="N1005" s="746"/>
      <c r="O1005" s="746"/>
      <c r="P1005" s="746"/>
      <c r="Q1005" s="746"/>
      <c r="R1005" s="521"/>
      <c r="S1005" s="521"/>
    </row>
    <row r="1006" spans="1:19" ht="25.5">
      <c r="A1006" s="723">
        <v>433</v>
      </c>
      <c r="B1006" s="723">
        <v>20171195002</v>
      </c>
      <c r="C1006" s="723" t="s">
        <v>3945</v>
      </c>
      <c r="D1006" s="723">
        <v>195</v>
      </c>
      <c r="E1006" s="723" t="s">
        <v>2832</v>
      </c>
      <c r="F1006" s="723" t="s">
        <v>154</v>
      </c>
      <c r="G1006" s="723" t="s">
        <v>2546</v>
      </c>
      <c r="H1006" s="723" t="s">
        <v>2043</v>
      </c>
      <c r="I1006" s="723" t="s">
        <v>3946</v>
      </c>
      <c r="J1006" s="723" t="s">
        <v>3947</v>
      </c>
      <c r="K1006" s="723" t="s">
        <v>2044</v>
      </c>
      <c r="L1006" s="723">
        <v>1018412331</v>
      </c>
      <c r="M1006" s="723" t="s">
        <v>3104</v>
      </c>
      <c r="N1006" s="746"/>
      <c r="O1006" s="746"/>
      <c r="P1006" s="746"/>
      <c r="Q1006" s="746"/>
      <c r="R1006" s="521"/>
      <c r="S1006" s="521"/>
    </row>
    <row r="1007" spans="1:19" ht="25.5">
      <c r="A1007" s="721">
        <v>434</v>
      </c>
      <c r="B1007" s="721">
        <v>20172195003</v>
      </c>
      <c r="C1007" s="721" t="s">
        <v>3948</v>
      </c>
      <c r="D1007" s="721">
        <v>195</v>
      </c>
      <c r="E1007" s="721" t="s">
        <v>2832</v>
      </c>
      <c r="F1007" s="721" t="s">
        <v>154</v>
      </c>
      <c r="G1007" s="721" t="s">
        <v>2546</v>
      </c>
      <c r="H1007" s="721">
        <v>5</v>
      </c>
      <c r="I1007" s="721" t="s">
        <v>3949</v>
      </c>
      <c r="J1007" s="721" t="s">
        <v>3950</v>
      </c>
      <c r="K1007" s="721" t="s">
        <v>2044</v>
      </c>
      <c r="L1007" s="721">
        <v>79399312</v>
      </c>
      <c r="M1007" s="721" t="s">
        <v>3104</v>
      </c>
      <c r="N1007" s="746"/>
      <c r="O1007" s="746"/>
      <c r="P1007" s="746"/>
      <c r="Q1007" s="746"/>
      <c r="R1007" s="521"/>
      <c r="S1007" s="521"/>
    </row>
    <row r="1008" spans="1:19" ht="25.5">
      <c r="A1008" s="723">
        <v>435</v>
      </c>
      <c r="B1008" s="723">
        <v>20172195004</v>
      </c>
      <c r="C1008" s="723" t="s">
        <v>3951</v>
      </c>
      <c r="D1008" s="723">
        <v>195</v>
      </c>
      <c r="E1008" s="723" t="s">
        <v>2832</v>
      </c>
      <c r="F1008" s="723" t="s">
        <v>154</v>
      </c>
      <c r="G1008" s="723" t="s">
        <v>2546</v>
      </c>
      <c r="H1008" s="723">
        <v>1</v>
      </c>
      <c r="I1008" s="723" t="s">
        <v>3952</v>
      </c>
      <c r="J1008" s="723" t="s">
        <v>3953</v>
      </c>
      <c r="K1008" s="723" t="s">
        <v>2044</v>
      </c>
      <c r="L1008" s="723">
        <v>1049627823</v>
      </c>
      <c r="M1008" s="723" t="s">
        <v>3145</v>
      </c>
      <c r="N1008" s="746"/>
      <c r="O1008" s="746"/>
      <c r="P1008" s="746"/>
      <c r="Q1008" s="746"/>
      <c r="R1008" s="521"/>
      <c r="S1008" s="521"/>
    </row>
    <row r="1009" spans="1:19" ht="25.5">
      <c r="A1009" s="721">
        <v>436</v>
      </c>
      <c r="B1009" s="721">
        <v>20172195008</v>
      </c>
      <c r="C1009" s="721" t="s">
        <v>3954</v>
      </c>
      <c r="D1009" s="721">
        <v>195</v>
      </c>
      <c r="E1009" s="721" t="s">
        <v>2832</v>
      </c>
      <c r="F1009" s="721" t="s">
        <v>154</v>
      </c>
      <c r="G1009" s="721" t="s">
        <v>2546</v>
      </c>
      <c r="H1009" s="721" t="s">
        <v>2043</v>
      </c>
      <c r="I1009" s="721" t="s">
        <v>3955</v>
      </c>
      <c r="J1009" s="721" t="s">
        <v>3956</v>
      </c>
      <c r="K1009" s="721" t="s">
        <v>2044</v>
      </c>
      <c r="L1009" s="721">
        <v>79887636</v>
      </c>
      <c r="M1009" s="721" t="s">
        <v>3139</v>
      </c>
      <c r="N1009" s="746"/>
      <c r="O1009" s="746"/>
      <c r="P1009" s="746"/>
      <c r="Q1009" s="746"/>
      <c r="R1009" s="521"/>
      <c r="S1009" s="521"/>
    </row>
    <row r="1010" spans="1:19" ht="25.5">
      <c r="A1010" s="723">
        <v>437</v>
      </c>
      <c r="B1010" s="723">
        <v>20172195012</v>
      </c>
      <c r="C1010" s="723" t="s">
        <v>3957</v>
      </c>
      <c r="D1010" s="723">
        <v>195</v>
      </c>
      <c r="E1010" s="723" t="s">
        <v>2832</v>
      </c>
      <c r="F1010" s="723" t="s">
        <v>154</v>
      </c>
      <c r="G1010" s="723" t="s">
        <v>2546</v>
      </c>
      <c r="H1010" s="723">
        <v>4</v>
      </c>
      <c r="I1010" s="723" t="s">
        <v>3958</v>
      </c>
      <c r="J1010" s="723" t="s">
        <v>3959</v>
      </c>
      <c r="K1010" s="723" t="s">
        <v>2044</v>
      </c>
      <c r="L1010" s="723">
        <v>1049630401</v>
      </c>
      <c r="M1010" s="723" t="s">
        <v>3269</v>
      </c>
      <c r="N1010" s="746"/>
      <c r="O1010" s="746"/>
      <c r="P1010" s="746"/>
      <c r="Q1010" s="746"/>
      <c r="R1010" s="521"/>
      <c r="S1010" s="521"/>
    </row>
    <row r="1011" spans="1:19" ht="25.5">
      <c r="A1011" s="721">
        <v>438</v>
      </c>
      <c r="B1011" s="721">
        <v>20172195013</v>
      </c>
      <c r="C1011" s="721" t="s">
        <v>3960</v>
      </c>
      <c r="D1011" s="721">
        <v>195</v>
      </c>
      <c r="E1011" s="721" t="s">
        <v>2832</v>
      </c>
      <c r="F1011" s="721" t="s">
        <v>154</v>
      </c>
      <c r="G1011" s="721" t="s">
        <v>2546</v>
      </c>
      <c r="H1011" s="721" t="s">
        <v>2043</v>
      </c>
      <c r="I1011" s="721" t="s">
        <v>3961</v>
      </c>
      <c r="J1011" s="721" t="s">
        <v>3962</v>
      </c>
      <c r="K1011" s="721" t="s">
        <v>2044</v>
      </c>
      <c r="L1011" s="721">
        <v>1022353006</v>
      </c>
      <c r="M1011" s="721" t="s">
        <v>3104</v>
      </c>
      <c r="N1011" s="746"/>
      <c r="O1011" s="746"/>
      <c r="P1011" s="746"/>
      <c r="Q1011" s="746"/>
      <c r="R1011" s="521"/>
      <c r="S1011" s="521"/>
    </row>
    <row r="1012" spans="1:19" ht="25.5">
      <c r="A1012" s="723">
        <v>439</v>
      </c>
      <c r="B1012" s="723">
        <v>20172195016</v>
      </c>
      <c r="C1012" s="723" t="s">
        <v>3963</v>
      </c>
      <c r="D1012" s="723">
        <v>195</v>
      </c>
      <c r="E1012" s="723" t="s">
        <v>2832</v>
      </c>
      <c r="F1012" s="723" t="s">
        <v>154</v>
      </c>
      <c r="G1012" s="723" t="s">
        <v>2546</v>
      </c>
      <c r="H1012" s="723">
        <v>3</v>
      </c>
      <c r="I1012" s="723" t="s">
        <v>3964</v>
      </c>
      <c r="J1012" s="723" t="s">
        <v>3965</v>
      </c>
      <c r="K1012" s="723" t="s">
        <v>2044</v>
      </c>
      <c r="L1012" s="723">
        <v>1018465594</v>
      </c>
      <c r="M1012" s="723" t="s">
        <v>3139</v>
      </c>
      <c r="N1012" s="746"/>
      <c r="O1012" s="746"/>
      <c r="P1012" s="746"/>
      <c r="Q1012" s="746"/>
      <c r="R1012" s="521"/>
      <c r="S1012" s="521"/>
    </row>
    <row r="1013" spans="1:19" ht="25.5">
      <c r="A1013" s="721">
        <v>440</v>
      </c>
      <c r="B1013" s="721">
        <v>20182195001</v>
      </c>
      <c r="C1013" s="721" t="s">
        <v>3966</v>
      </c>
      <c r="D1013" s="721">
        <v>195</v>
      </c>
      <c r="E1013" s="721" t="s">
        <v>2832</v>
      </c>
      <c r="F1013" s="721" t="s">
        <v>154</v>
      </c>
      <c r="G1013" s="721" t="s">
        <v>2546</v>
      </c>
      <c r="H1013" s="721">
        <v>2</v>
      </c>
      <c r="I1013" s="721" t="s">
        <v>3967</v>
      </c>
      <c r="J1013" s="721" t="s">
        <v>3968</v>
      </c>
      <c r="K1013" s="721" t="s">
        <v>2044</v>
      </c>
      <c r="L1013" s="721">
        <v>79169210</v>
      </c>
      <c r="M1013" s="721" t="s">
        <v>1348</v>
      </c>
      <c r="N1013" s="746"/>
      <c r="O1013" s="746"/>
      <c r="P1013" s="746"/>
      <c r="Q1013" s="746"/>
      <c r="R1013" s="521"/>
      <c r="S1013" s="521"/>
    </row>
    <row r="1014" spans="1:19" ht="25.5">
      <c r="A1014" s="723">
        <v>441</v>
      </c>
      <c r="B1014" s="723">
        <v>20182195003</v>
      </c>
      <c r="C1014" s="723" t="s">
        <v>3969</v>
      </c>
      <c r="D1014" s="723">
        <v>195</v>
      </c>
      <c r="E1014" s="723" t="s">
        <v>2832</v>
      </c>
      <c r="F1014" s="723" t="s">
        <v>154</v>
      </c>
      <c r="G1014" s="723" t="s">
        <v>2546</v>
      </c>
      <c r="H1014" s="723">
        <v>3</v>
      </c>
      <c r="I1014" s="723" t="s">
        <v>3970</v>
      </c>
      <c r="J1014" s="723" t="s">
        <v>3971</v>
      </c>
      <c r="K1014" s="723" t="s">
        <v>2044</v>
      </c>
      <c r="L1014" s="723">
        <v>1032458403</v>
      </c>
      <c r="M1014" s="723" t="s">
        <v>1348</v>
      </c>
      <c r="N1014" s="746"/>
      <c r="O1014" s="746"/>
      <c r="P1014" s="746"/>
      <c r="Q1014" s="746"/>
      <c r="R1014" s="521"/>
      <c r="S1014" s="521"/>
    </row>
    <row r="1015" spans="1:19" ht="25.5">
      <c r="A1015" s="721">
        <v>442</v>
      </c>
      <c r="B1015" s="721">
        <v>20182195004</v>
      </c>
      <c r="C1015" s="721" t="s">
        <v>3972</v>
      </c>
      <c r="D1015" s="721">
        <v>195</v>
      </c>
      <c r="E1015" s="721" t="s">
        <v>2832</v>
      </c>
      <c r="F1015" s="721" t="s">
        <v>154</v>
      </c>
      <c r="G1015" s="721" t="s">
        <v>2546</v>
      </c>
      <c r="H1015" s="721">
        <v>3</v>
      </c>
      <c r="I1015" s="721" t="s">
        <v>3973</v>
      </c>
      <c r="J1015" s="721" t="s">
        <v>3974</v>
      </c>
      <c r="K1015" s="721" t="s">
        <v>2044</v>
      </c>
      <c r="L1015" s="721">
        <v>1014184238</v>
      </c>
      <c r="M1015" s="721" t="s">
        <v>1348</v>
      </c>
      <c r="N1015" s="746"/>
      <c r="O1015" s="746"/>
      <c r="P1015" s="746"/>
      <c r="Q1015" s="746"/>
      <c r="R1015" s="521"/>
      <c r="S1015" s="521"/>
    </row>
    <row r="1016" spans="1:19" ht="25.5">
      <c r="A1016" s="723">
        <v>443</v>
      </c>
      <c r="B1016" s="723">
        <v>20182195007</v>
      </c>
      <c r="C1016" s="723" t="s">
        <v>3975</v>
      </c>
      <c r="D1016" s="723">
        <v>195</v>
      </c>
      <c r="E1016" s="723" t="s">
        <v>2832</v>
      </c>
      <c r="F1016" s="723" t="s">
        <v>154</v>
      </c>
      <c r="G1016" s="723" t="s">
        <v>2546</v>
      </c>
      <c r="H1016" s="723">
        <v>3</v>
      </c>
      <c r="I1016" s="723" t="s">
        <v>3976</v>
      </c>
      <c r="J1016" s="723" t="s">
        <v>3977</v>
      </c>
      <c r="K1016" s="723" t="s">
        <v>2044</v>
      </c>
      <c r="L1016" s="723">
        <v>45716000</v>
      </c>
      <c r="M1016" s="723" t="s">
        <v>3279</v>
      </c>
      <c r="N1016" s="746"/>
      <c r="O1016" s="746"/>
      <c r="P1016" s="746"/>
      <c r="Q1016" s="746"/>
      <c r="R1016" s="521"/>
      <c r="S1016" s="521"/>
    </row>
    <row r="1017" spans="1:19" ht="25.5">
      <c r="A1017" s="721">
        <v>444</v>
      </c>
      <c r="B1017" s="721">
        <v>20191195001</v>
      </c>
      <c r="C1017" s="721" t="s">
        <v>3978</v>
      </c>
      <c r="D1017" s="721">
        <v>195</v>
      </c>
      <c r="E1017" s="721" t="s">
        <v>2832</v>
      </c>
      <c r="F1017" s="721" t="s">
        <v>154</v>
      </c>
      <c r="G1017" s="721" t="s">
        <v>2546</v>
      </c>
      <c r="H1017" s="721">
        <v>1</v>
      </c>
      <c r="I1017" s="721" t="s">
        <v>3979</v>
      </c>
      <c r="J1017" s="721" t="s">
        <v>3980</v>
      </c>
      <c r="K1017" s="721" t="s">
        <v>2044</v>
      </c>
      <c r="L1017" s="721">
        <v>1015422230</v>
      </c>
      <c r="M1017" s="721" t="s">
        <v>1223</v>
      </c>
      <c r="N1017" s="746"/>
      <c r="O1017" s="746"/>
      <c r="P1017" s="746"/>
      <c r="Q1017" s="746"/>
      <c r="R1017" s="521"/>
      <c r="S1017" s="521"/>
    </row>
    <row r="1018" spans="1:19" ht="25.5">
      <c r="A1018" s="723">
        <v>445</v>
      </c>
      <c r="B1018" s="723">
        <v>20191195004</v>
      </c>
      <c r="C1018" s="723" t="s">
        <v>3981</v>
      </c>
      <c r="D1018" s="723">
        <v>195</v>
      </c>
      <c r="E1018" s="723" t="s">
        <v>2832</v>
      </c>
      <c r="F1018" s="723" t="s">
        <v>154</v>
      </c>
      <c r="G1018" s="723" t="s">
        <v>2546</v>
      </c>
      <c r="H1018" s="723">
        <v>3</v>
      </c>
      <c r="I1018" s="723" t="s">
        <v>3982</v>
      </c>
      <c r="J1018" s="723" t="s">
        <v>3983</v>
      </c>
      <c r="K1018" s="723" t="s">
        <v>2044</v>
      </c>
      <c r="L1018" s="723">
        <v>79327624</v>
      </c>
      <c r="M1018" s="723" t="s">
        <v>3149</v>
      </c>
      <c r="N1018" s="746"/>
      <c r="O1018" s="746"/>
      <c r="P1018" s="746"/>
      <c r="Q1018" s="746"/>
      <c r="R1018" s="521"/>
      <c r="S1018" s="521"/>
    </row>
    <row r="1019" spans="1:19" ht="25.5">
      <c r="A1019" s="721">
        <v>446</v>
      </c>
      <c r="B1019" s="721">
        <v>20192195001</v>
      </c>
      <c r="C1019" s="721" t="s">
        <v>3984</v>
      </c>
      <c r="D1019" s="721">
        <v>195</v>
      </c>
      <c r="E1019" s="721" t="s">
        <v>2832</v>
      </c>
      <c r="F1019" s="721" t="s">
        <v>154</v>
      </c>
      <c r="G1019" s="721" t="s">
        <v>2546</v>
      </c>
      <c r="H1019" s="721">
        <v>3</v>
      </c>
      <c r="I1019" s="721" t="s">
        <v>3985</v>
      </c>
      <c r="J1019" s="721" t="s">
        <v>3986</v>
      </c>
      <c r="K1019" s="721" t="s">
        <v>2044</v>
      </c>
      <c r="L1019" s="721">
        <v>1018469864</v>
      </c>
      <c r="M1019" s="721" t="s">
        <v>1348</v>
      </c>
      <c r="N1019" s="746"/>
      <c r="O1019" s="746"/>
      <c r="P1019" s="746"/>
      <c r="Q1019" s="746"/>
      <c r="R1019" s="521"/>
      <c r="S1019" s="521"/>
    </row>
    <row r="1020" spans="1:19" ht="25.5">
      <c r="A1020" s="723">
        <v>447</v>
      </c>
      <c r="B1020" s="723">
        <v>20192195002</v>
      </c>
      <c r="C1020" s="723" t="s">
        <v>3987</v>
      </c>
      <c r="D1020" s="723">
        <v>195</v>
      </c>
      <c r="E1020" s="723" t="s">
        <v>2832</v>
      </c>
      <c r="F1020" s="723" t="s">
        <v>154</v>
      </c>
      <c r="G1020" s="723" t="s">
        <v>2546</v>
      </c>
      <c r="H1020" s="723">
        <v>2</v>
      </c>
      <c r="I1020" s="723" t="s">
        <v>3988</v>
      </c>
      <c r="J1020" s="723" t="s">
        <v>3989</v>
      </c>
      <c r="K1020" s="723" t="s">
        <v>2044</v>
      </c>
      <c r="L1020" s="723">
        <v>1031153109</v>
      </c>
      <c r="M1020" s="723" t="s">
        <v>1223</v>
      </c>
      <c r="N1020" s="746"/>
      <c r="O1020" s="746"/>
      <c r="P1020" s="746"/>
      <c r="Q1020" s="746"/>
      <c r="R1020" s="521"/>
      <c r="S1020" s="521"/>
    </row>
    <row r="1021" spans="1:19" ht="25.5">
      <c r="A1021" s="721">
        <v>448</v>
      </c>
      <c r="B1021" s="721">
        <v>20192195004</v>
      </c>
      <c r="C1021" s="721" t="s">
        <v>3990</v>
      </c>
      <c r="D1021" s="721">
        <v>195</v>
      </c>
      <c r="E1021" s="721" t="s">
        <v>2832</v>
      </c>
      <c r="F1021" s="721" t="s">
        <v>154</v>
      </c>
      <c r="G1021" s="721" t="s">
        <v>2546</v>
      </c>
      <c r="H1021" s="721">
        <v>3</v>
      </c>
      <c r="I1021" s="721" t="s">
        <v>3991</v>
      </c>
      <c r="J1021" s="721" t="s">
        <v>3992</v>
      </c>
      <c r="K1021" s="721" t="s">
        <v>2044</v>
      </c>
      <c r="L1021" s="721">
        <v>74327152</v>
      </c>
      <c r="M1021" s="721" t="s">
        <v>1364</v>
      </c>
      <c r="N1021" s="746"/>
      <c r="O1021" s="746"/>
      <c r="P1021" s="746"/>
      <c r="Q1021" s="746"/>
      <c r="R1021" s="521"/>
      <c r="S1021" s="521"/>
    </row>
    <row r="1022" spans="1:19" ht="25.5">
      <c r="A1022" s="723">
        <v>449</v>
      </c>
      <c r="B1022" s="723">
        <v>20201195001</v>
      </c>
      <c r="C1022" s="723" t="s">
        <v>3993</v>
      </c>
      <c r="D1022" s="723">
        <v>195</v>
      </c>
      <c r="E1022" s="723" t="s">
        <v>2832</v>
      </c>
      <c r="F1022" s="723" t="s">
        <v>154</v>
      </c>
      <c r="G1022" s="723" t="s">
        <v>2546</v>
      </c>
      <c r="H1022" s="723">
        <v>3</v>
      </c>
      <c r="I1022" s="723" t="s">
        <v>3994</v>
      </c>
      <c r="J1022" s="723" t="s">
        <v>3995</v>
      </c>
      <c r="K1022" s="723" t="s">
        <v>2044</v>
      </c>
      <c r="L1022" s="723">
        <v>1010210647</v>
      </c>
      <c r="M1022" s="723" t="s">
        <v>2543</v>
      </c>
      <c r="N1022" s="746"/>
      <c r="O1022" s="746"/>
      <c r="P1022" s="746"/>
      <c r="Q1022" s="746"/>
      <c r="R1022" s="521"/>
      <c r="S1022" s="521"/>
    </row>
    <row r="1023" spans="1:19" ht="25.5">
      <c r="A1023" s="721">
        <v>450</v>
      </c>
      <c r="B1023" s="721">
        <v>20201195003</v>
      </c>
      <c r="C1023" s="721" t="s">
        <v>3996</v>
      </c>
      <c r="D1023" s="721">
        <v>195</v>
      </c>
      <c r="E1023" s="721" t="s">
        <v>2832</v>
      </c>
      <c r="F1023" s="721" t="s">
        <v>154</v>
      </c>
      <c r="G1023" s="721" t="s">
        <v>2546</v>
      </c>
      <c r="H1023" s="721">
        <v>3</v>
      </c>
      <c r="I1023" s="721"/>
      <c r="J1023" s="721" t="s">
        <v>3997</v>
      </c>
      <c r="K1023" s="721" t="s">
        <v>2044</v>
      </c>
      <c r="L1023" s="721">
        <v>1032459576</v>
      </c>
      <c r="M1023" s="721" t="s">
        <v>1223</v>
      </c>
      <c r="N1023" s="746"/>
      <c r="O1023" s="746"/>
      <c r="P1023" s="746"/>
      <c r="Q1023" s="746"/>
      <c r="R1023" s="521"/>
      <c r="S1023" s="521"/>
    </row>
    <row r="1024" spans="1:19" ht="25.5">
      <c r="A1024" s="723">
        <v>451</v>
      </c>
      <c r="B1024" s="723">
        <v>20201195004</v>
      </c>
      <c r="C1024" s="723" t="s">
        <v>3998</v>
      </c>
      <c r="D1024" s="723">
        <v>195</v>
      </c>
      <c r="E1024" s="723" t="s">
        <v>2832</v>
      </c>
      <c r="F1024" s="723" t="s">
        <v>154</v>
      </c>
      <c r="G1024" s="723" t="s">
        <v>2546</v>
      </c>
      <c r="H1024" s="723">
        <v>3</v>
      </c>
      <c r="I1024" s="723" t="s">
        <v>3999</v>
      </c>
      <c r="J1024" s="723" t="s">
        <v>4000</v>
      </c>
      <c r="K1024" s="723" t="s">
        <v>2044</v>
      </c>
      <c r="L1024" s="723">
        <v>1014204528</v>
      </c>
      <c r="M1024" s="723" t="s">
        <v>3155</v>
      </c>
      <c r="N1024" s="746"/>
      <c r="O1024" s="746"/>
      <c r="P1024" s="746"/>
      <c r="Q1024" s="746"/>
      <c r="R1024" s="521"/>
      <c r="S1024" s="521"/>
    </row>
    <row r="1025" spans="1:19" ht="25.5">
      <c r="A1025" s="721">
        <v>452</v>
      </c>
      <c r="B1025" s="721">
        <v>20201195008</v>
      </c>
      <c r="C1025" s="721" t="s">
        <v>4001</v>
      </c>
      <c r="D1025" s="721">
        <v>195</v>
      </c>
      <c r="E1025" s="721" t="s">
        <v>2832</v>
      </c>
      <c r="F1025" s="721" t="s">
        <v>154</v>
      </c>
      <c r="G1025" s="721" t="s">
        <v>2546</v>
      </c>
      <c r="H1025" s="721" t="s">
        <v>2043</v>
      </c>
      <c r="I1025" s="721" t="s">
        <v>4002</v>
      </c>
      <c r="J1025" s="721" t="s">
        <v>4003</v>
      </c>
      <c r="K1025" s="721" t="s">
        <v>2044</v>
      </c>
      <c r="L1025" s="721">
        <v>11229334</v>
      </c>
      <c r="M1025" s="721" t="s">
        <v>1223</v>
      </c>
      <c r="N1025" s="746"/>
      <c r="O1025" s="746"/>
      <c r="P1025" s="746"/>
      <c r="Q1025" s="746"/>
      <c r="R1025" s="521"/>
      <c r="S1025" s="521"/>
    </row>
    <row r="1026" spans="1:19" ht="25.5">
      <c r="A1026" s="723">
        <v>453</v>
      </c>
      <c r="B1026" s="723">
        <v>20202195003</v>
      </c>
      <c r="C1026" s="723" t="s">
        <v>4004</v>
      </c>
      <c r="D1026" s="723">
        <v>195</v>
      </c>
      <c r="E1026" s="723" t="s">
        <v>2832</v>
      </c>
      <c r="F1026" s="723" t="s">
        <v>154</v>
      </c>
      <c r="G1026" s="723" t="s">
        <v>2546</v>
      </c>
      <c r="H1026" s="723">
        <v>4</v>
      </c>
      <c r="I1026" s="723"/>
      <c r="J1026" s="723" t="s">
        <v>4005</v>
      </c>
      <c r="K1026" s="723" t="s">
        <v>2044</v>
      </c>
      <c r="L1026" s="723">
        <v>79943294</v>
      </c>
      <c r="M1026" s="723" t="s">
        <v>3155</v>
      </c>
      <c r="N1026" s="746"/>
      <c r="O1026" s="746"/>
      <c r="P1026" s="746"/>
      <c r="Q1026" s="746"/>
      <c r="R1026" s="521"/>
      <c r="S1026" s="521"/>
    </row>
    <row r="1027" spans="1:19" ht="25.5">
      <c r="A1027" s="721">
        <v>454</v>
      </c>
      <c r="B1027" s="721">
        <v>20211195002</v>
      </c>
      <c r="C1027" s="721" t="s">
        <v>4006</v>
      </c>
      <c r="D1027" s="721">
        <v>195</v>
      </c>
      <c r="E1027" s="721" t="s">
        <v>2832</v>
      </c>
      <c r="F1027" s="721" t="s">
        <v>154</v>
      </c>
      <c r="G1027" s="721" t="s">
        <v>2546</v>
      </c>
      <c r="H1027" s="721">
        <v>3</v>
      </c>
      <c r="I1027" s="721" t="s">
        <v>4007</v>
      </c>
      <c r="J1027" s="721" t="s">
        <v>4008</v>
      </c>
      <c r="K1027" s="721" t="s">
        <v>2044</v>
      </c>
      <c r="L1027" s="721">
        <v>80151075</v>
      </c>
      <c r="M1027" s="721" t="s">
        <v>3322</v>
      </c>
      <c r="N1027" s="746"/>
      <c r="O1027" s="746"/>
      <c r="P1027" s="746"/>
      <c r="Q1027" s="746"/>
      <c r="R1027" s="521"/>
      <c r="S1027" s="521"/>
    </row>
    <row r="1028" spans="1:19" ht="25.5">
      <c r="A1028" s="723">
        <v>455</v>
      </c>
      <c r="B1028" s="723">
        <v>20211195003</v>
      </c>
      <c r="C1028" s="723" t="s">
        <v>4009</v>
      </c>
      <c r="D1028" s="723">
        <v>195</v>
      </c>
      <c r="E1028" s="723" t="s">
        <v>2832</v>
      </c>
      <c r="F1028" s="723" t="s">
        <v>154</v>
      </c>
      <c r="G1028" s="723" t="s">
        <v>2546</v>
      </c>
      <c r="H1028" s="723">
        <v>3</v>
      </c>
      <c r="I1028" s="723" t="s">
        <v>4010</v>
      </c>
      <c r="J1028" s="723" t="s">
        <v>4011</v>
      </c>
      <c r="K1028" s="723" t="s">
        <v>2044</v>
      </c>
      <c r="L1028" s="723">
        <v>79875938</v>
      </c>
      <c r="M1028" s="723" t="s">
        <v>2936</v>
      </c>
      <c r="N1028" s="746"/>
      <c r="O1028" s="746"/>
      <c r="P1028" s="746"/>
      <c r="Q1028" s="746"/>
      <c r="R1028" s="521"/>
      <c r="S1028" s="521"/>
    </row>
    <row r="1029" spans="1:19" ht="25.5">
      <c r="A1029" s="721">
        <v>456</v>
      </c>
      <c r="B1029" s="721">
        <v>20211195007</v>
      </c>
      <c r="C1029" s="721" t="s">
        <v>4012</v>
      </c>
      <c r="D1029" s="721">
        <v>195</v>
      </c>
      <c r="E1029" s="721" t="s">
        <v>2832</v>
      </c>
      <c r="F1029" s="721" t="s">
        <v>154</v>
      </c>
      <c r="G1029" s="721" t="s">
        <v>2546</v>
      </c>
      <c r="H1029" s="721">
        <v>3</v>
      </c>
      <c r="I1029" s="721" t="s">
        <v>4013</v>
      </c>
      <c r="J1029" s="721" t="s">
        <v>4014</v>
      </c>
      <c r="K1029" s="721" t="s">
        <v>2044</v>
      </c>
      <c r="L1029" s="721">
        <v>1015471512</v>
      </c>
      <c r="M1029" s="721" t="s">
        <v>1334</v>
      </c>
      <c r="N1029" s="746"/>
      <c r="O1029" s="746"/>
      <c r="P1029" s="746"/>
      <c r="Q1029" s="746"/>
      <c r="R1029" s="521"/>
      <c r="S1029" s="521"/>
    </row>
    <row r="1030" spans="1:19" ht="25.5">
      <c r="A1030" s="723">
        <v>457</v>
      </c>
      <c r="B1030" s="723">
        <v>20212195001</v>
      </c>
      <c r="C1030" s="723" t="s">
        <v>4015</v>
      </c>
      <c r="D1030" s="723">
        <v>195</v>
      </c>
      <c r="E1030" s="723" t="s">
        <v>2832</v>
      </c>
      <c r="F1030" s="723" t="s">
        <v>154</v>
      </c>
      <c r="G1030" s="723" t="s">
        <v>2546</v>
      </c>
      <c r="H1030" s="723">
        <v>2</v>
      </c>
      <c r="I1030" s="723" t="s">
        <v>4016</v>
      </c>
      <c r="J1030" s="723" t="s">
        <v>4017</v>
      </c>
      <c r="K1030" s="723" t="s">
        <v>2044</v>
      </c>
      <c r="L1030" s="723">
        <v>1075677231</v>
      </c>
      <c r="M1030" s="723" t="s">
        <v>1348</v>
      </c>
      <c r="N1030" s="746"/>
      <c r="O1030" s="746"/>
      <c r="P1030" s="746"/>
      <c r="Q1030" s="746"/>
      <c r="R1030" s="521"/>
      <c r="S1030" s="521"/>
    </row>
    <row r="1031" spans="1:19" ht="25.5">
      <c r="A1031" s="721">
        <v>458</v>
      </c>
      <c r="B1031" s="721">
        <v>20212195002</v>
      </c>
      <c r="C1031" s="721" t="s">
        <v>4018</v>
      </c>
      <c r="D1031" s="721">
        <v>195</v>
      </c>
      <c r="E1031" s="721" t="s">
        <v>2832</v>
      </c>
      <c r="F1031" s="721" t="s">
        <v>154</v>
      </c>
      <c r="G1031" s="721" t="s">
        <v>2546</v>
      </c>
      <c r="H1031" s="721">
        <v>3</v>
      </c>
      <c r="I1031" s="721" t="s">
        <v>4019</v>
      </c>
      <c r="J1031" s="721" t="s">
        <v>4019</v>
      </c>
      <c r="K1031" s="721" t="s">
        <v>2044</v>
      </c>
      <c r="L1031" s="721">
        <v>1014268906</v>
      </c>
      <c r="M1031" s="721" t="s">
        <v>2936</v>
      </c>
      <c r="N1031" s="746"/>
      <c r="O1031" s="746"/>
      <c r="P1031" s="746"/>
      <c r="Q1031" s="746"/>
      <c r="R1031" s="521"/>
      <c r="S1031" s="521"/>
    </row>
    <row r="1032" spans="1:19" ht="25.5">
      <c r="A1032" s="723">
        <v>459</v>
      </c>
      <c r="B1032" s="723">
        <v>20212195004</v>
      </c>
      <c r="C1032" s="723" t="s">
        <v>4020</v>
      </c>
      <c r="D1032" s="723">
        <v>195</v>
      </c>
      <c r="E1032" s="723" t="s">
        <v>2832</v>
      </c>
      <c r="F1032" s="723" t="s">
        <v>154</v>
      </c>
      <c r="G1032" s="723" t="s">
        <v>2546</v>
      </c>
      <c r="H1032" s="723">
        <v>2</v>
      </c>
      <c r="I1032" s="723" t="s">
        <v>4021</v>
      </c>
      <c r="J1032" s="723" t="s">
        <v>4022</v>
      </c>
      <c r="K1032" s="723" t="s">
        <v>2044</v>
      </c>
      <c r="L1032" s="723">
        <v>1073688511</v>
      </c>
      <c r="M1032" s="723" t="s">
        <v>1237</v>
      </c>
      <c r="N1032" s="746"/>
      <c r="O1032" s="746"/>
      <c r="P1032" s="746"/>
      <c r="Q1032" s="746"/>
      <c r="R1032" s="521"/>
      <c r="S1032" s="521"/>
    </row>
    <row r="1033" spans="1:19" ht="14.25" customHeight="1">
      <c r="A1033" s="725" t="s">
        <v>2292</v>
      </c>
      <c r="B1033" s="725" t="s">
        <v>2292</v>
      </c>
      <c r="C1033" s="725" t="s">
        <v>2292</v>
      </c>
      <c r="D1033" s="725" t="s">
        <v>2292</v>
      </c>
      <c r="E1033" s="725" t="s">
        <v>2292</v>
      </c>
      <c r="F1033" s="725" t="s">
        <v>2292</v>
      </c>
      <c r="G1033" s="725" t="s">
        <v>2292</v>
      </c>
      <c r="H1033" s="725" t="s">
        <v>2292</v>
      </c>
      <c r="I1033" s="725" t="s">
        <v>2292</v>
      </c>
      <c r="J1033" s="725" t="s">
        <v>2292</v>
      </c>
      <c r="K1033" s="725" t="s">
        <v>2292</v>
      </c>
      <c r="L1033" s="725" t="s">
        <v>2292</v>
      </c>
      <c r="M1033" s="725" t="s">
        <v>2292</v>
      </c>
      <c r="N1033" s="746"/>
      <c r="O1033" s="746"/>
      <c r="P1033" s="746"/>
      <c r="Q1033" s="746"/>
      <c r="R1033" s="521"/>
      <c r="S1033" s="521"/>
    </row>
    <row r="1034" spans="1:19" ht="25.5">
      <c r="A1034" s="719" t="s">
        <v>2033</v>
      </c>
      <c r="B1034" s="719" t="s">
        <v>2819</v>
      </c>
      <c r="C1034"/>
      <c r="D1034"/>
      <c r="E1034"/>
      <c r="F1034"/>
      <c r="G1034"/>
      <c r="H1034"/>
      <c r="I1034"/>
      <c r="J1034"/>
      <c r="K1034"/>
      <c r="L1034"/>
      <c r="M1034"/>
      <c r="N1034" s="746"/>
      <c r="O1034" s="746"/>
      <c r="P1034" s="746"/>
      <c r="Q1034" s="746"/>
      <c r="R1034" s="521"/>
      <c r="S1034" s="521"/>
    </row>
    <row r="1035" spans="1:19" ht="25.5">
      <c r="A1035" s="720" t="s">
        <v>2035</v>
      </c>
      <c r="B1035" s="720" t="s">
        <v>2036</v>
      </c>
      <c r="C1035" s="720" t="s">
        <v>1</v>
      </c>
      <c r="D1035" s="720" t="s">
        <v>2037</v>
      </c>
      <c r="E1035" s="720" t="s">
        <v>3</v>
      </c>
      <c r="F1035" s="720" t="s">
        <v>4</v>
      </c>
      <c r="G1035" s="720" t="s">
        <v>2038</v>
      </c>
      <c r="H1035" s="720" t="s">
        <v>6</v>
      </c>
      <c r="I1035" s="720" t="s">
        <v>7</v>
      </c>
      <c r="J1035" s="720" t="s">
        <v>8</v>
      </c>
      <c r="K1035" s="720" t="s">
        <v>2039</v>
      </c>
      <c r="L1035" s="720" t="s">
        <v>10</v>
      </c>
      <c r="M1035" s="720" t="s">
        <v>2040</v>
      </c>
      <c r="N1035" s="746"/>
      <c r="O1035" s="746"/>
      <c r="P1035" s="746"/>
      <c r="Q1035" s="746"/>
      <c r="R1035" s="521"/>
      <c r="S1035" s="521"/>
    </row>
    <row r="1036" spans="1:19" ht="25.5">
      <c r="A1036" s="721">
        <v>460</v>
      </c>
      <c r="B1036" s="721">
        <v>20032095001</v>
      </c>
      <c r="C1036" s="721" t="s">
        <v>4023</v>
      </c>
      <c r="D1036" s="721">
        <v>195</v>
      </c>
      <c r="E1036" s="721" t="s">
        <v>2832</v>
      </c>
      <c r="F1036" s="721" t="s">
        <v>158</v>
      </c>
      <c r="G1036" s="721" t="s">
        <v>2820</v>
      </c>
      <c r="H1036" s="721" t="s">
        <v>2043</v>
      </c>
      <c r="I1036" s="721"/>
      <c r="J1036" s="721"/>
      <c r="K1036" s="721" t="s">
        <v>2044</v>
      </c>
      <c r="L1036" s="721">
        <v>13928471</v>
      </c>
      <c r="M1036" s="721" t="s">
        <v>2252</v>
      </c>
      <c r="N1036" s="746"/>
      <c r="O1036" s="746"/>
      <c r="P1036" s="746"/>
      <c r="Q1036" s="746"/>
      <c r="R1036" s="521"/>
      <c r="S1036" s="521"/>
    </row>
    <row r="1037" spans="1:19" ht="25.5">
      <c r="A1037" s="723">
        <v>461</v>
      </c>
      <c r="B1037" s="723">
        <v>20032095007</v>
      </c>
      <c r="C1037" s="723" t="s">
        <v>4024</v>
      </c>
      <c r="D1037" s="723">
        <v>195</v>
      </c>
      <c r="E1037" s="723" t="s">
        <v>2832</v>
      </c>
      <c r="F1037" s="723" t="s">
        <v>158</v>
      </c>
      <c r="G1037" s="723" t="s">
        <v>2820</v>
      </c>
      <c r="H1037" s="723" t="s">
        <v>2043</v>
      </c>
      <c r="I1037" s="723"/>
      <c r="J1037" s="723"/>
      <c r="K1037" s="723" t="s">
        <v>2044</v>
      </c>
      <c r="L1037" s="723">
        <v>52396642</v>
      </c>
      <c r="M1037" s="723" t="s">
        <v>2082</v>
      </c>
      <c r="N1037" s="746"/>
      <c r="O1037" s="746"/>
      <c r="P1037" s="746"/>
      <c r="Q1037" s="746"/>
      <c r="R1037" s="521"/>
      <c r="S1037" s="521"/>
    </row>
    <row r="1038" spans="1:19" ht="25.5">
      <c r="A1038" s="721">
        <v>462</v>
      </c>
      <c r="B1038" s="721">
        <v>20032095013</v>
      </c>
      <c r="C1038" s="721" t="s">
        <v>4025</v>
      </c>
      <c r="D1038" s="721">
        <v>195</v>
      </c>
      <c r="E1038" s="721" t="s">
        <v>2832</v>
      </c>
      <c r="F1038" s="721" t="s">
        <v>158</v>
      </c>
      <c r="G1038" s="721" t="s">
        <v>2820</v>
      </c>
      <c r="H1038" s="721" t="s">
        <v>2043</v>
      </c>
      <c r="I1038" s="721" t="s">
        <v>4026</v>
      </c>
      <c r="J1038" s="721" t="s">
        <v>4027</v>
      </c>
      <c r="K1038" s="721" t="s">
        <v>2044</v>
      </c>
      <c r="L1038" s="721">
        <v>40031895</v>
      </c>
      <c r="M1038" s="721" t="s">
        <v>2082</v>
      </c>
      <c r="N1038" s="746"/>
      <c r="O1038" s="746"/>
      <c r="P1038" s="746"/>
      <c r="Q1038" s="746"/>
      <c r="R1038" s="521"/>
      <c r="S1038" s="521"/>
    </row>
    <row r="1039" spans="1:19" ht="14.25" customHeight="1">
      <c r="A1039" s="723">
        <v>463</v>
      </c>
      <c r="B1039" s="723">
        <v>20032095014</v>
      </c>
      <c r="C1039" s="723" t="s">
        <v>4028</v>
      </c>
      <c r="D1039" s="723">
        <v>195</v>
      </c>
      <c r="E1039" s="723" t="s">
        <v>2832</v>
      </c>
      <c r="F1039" s="723" t="s">
        <v>158</v>
      </c>
      <c r="G1039" s="723" t="s">
        <v>2820</v>
      </c>
      <c r="H1039" s="723" t="s">
        <v>2043</v>
      </c>
      <c r="I1039" s="723"/>
      <c r="J1039" s="723"/>
      <c r="K1039" s="723" t="s">
        <v>2044</v>
      </c>
      <c r="L1039" s="723">
        <v>79185945</v>
      </c>
      <c r="M1039" s="723" t="s">
        <v>2082</v>
      </c>
      <c r="N1039" s="746"/>
      <c r="O1039" s="746"/>
      <c r="P1039" s="746"/>
      <c r="Q1039" s="746"/>
      <c r="R1039" s="521"/>
      <c r="S1039" s="521"/>
    </row>
    <row r="1040" spans="1:19" ht="25.5">
      <c r="A1040" s="721">
        <v>464</v>
      </c>
      <c r="B1040" s="721">
        <v>20041195002</v>
      </c>
      <c r="C1040" s="721" t="s">
        <v>4029</v>
      </c>
      <c r="D1040" s="721">
        <v>195</v>
      </c>
      <c r="E1040" s="721" t="s">
        <v>2832</v>
      </c>
      <c r="F1040" s="721" t="s">
        <v>158</v>
      </c>
      <c r="G1040" s="721" t="s">
        <v>2820</v>
      </c>
      <c r="H1040" s="721" t="s">
        <v>2043</v>
      </c>
      <c r="I1040" s="721" t="s">
        <v>4030</v>
      </c>
      <c r="J1040" s="721" t="s">
        <v>4031</v>
      </c>
      <c r="K1040" s="721" t="s">
        <v>2044</v>
      </c>
      <c r="L1040" s="721">
        <v>7170256</v>
      </c>
      <c r="M1040" s="721" t="s">
        <v>2119</v>
      </c>
      <c r="N1040" s="746"/>
      <c r="O1040" s="746"/>
      <c r="P1040" s="746"/>
      <c r="Q1040" s="746"/>
      <c r="R1040" s="521"/>
      <c r="S1040" s="521"/>
    </row>
    <row r="1041" spans="1:19" ht="25.5">
      <c r="A1041" s="723">
        <v>465</v>
      </c>
      <c r="B1041" s="723">
        <v>20062195021</v>
      </c>
      <c r="C1041" s="723" t="s">
        <v>4032</v>
      </c>
      <c r="D1041" s="723">
        <v>195</v>
      </c>
      <c r="E1041" s="723" t="s">
        <v>2832</v>
      </c>
      <c r="F1041" s="723" t="s">
        <v>158</v>
      </c>
      <c r="G1041" s="723" t="s">
        <v>2820</v>
      </c>
      <c r="H1041" s="723" t="s">
        <v>2043</v>
      </c>
      <c r="I1041" s="723" t="s">
        <v>4033</v>
      </c>
      <c r="J1041" s="723" t="s">
        <v>4034</v>
      </c>
      <c r="K1041" s="723" t="s">
        <v>2044</v>
      </c>
      <c r="L1041" s="723">
        <v>75090874</v>
      </c>
      <c r="M1041" s="723" t="s">
        <v>3023</v>
      </c>
      <c r="N1041" s="746"/>
      <c r="O1041" s="746"/>
      <c r="P1041" s="746"/>
      <c r="Q1041" s="746"/>
      <c r="R1041" s="521"/>
      <c r="S1041" s="521"/>
    </row>
    <row r="1042" spans="1:19" ht="25.5">
      <c r="A1042" s="721">
        <v>466</v>
      </c>
      <c r="B1042" s="721">
        <v>20062195024</v>
      </c>
      <c r="C1042" s="721" t="s">
        <v>4035</v>
      </c>
      <c r="D1042" s="721">
        <v>195</v>
      </c>
      <c r="E1042" s="721" t="s">
        <v>2832</v>
      </c>
      <c r="F1042" s="721" t="s">
        <v>158</v>
      </c>
      <c r="G1042" s="721" t="s">
        <v>2820</v>
      </c>
      <c r="H1042" s="721" t="s">
        <v>2043</v>
      </c>
      <c r="I1042" s="721"/>
      <c r="J1042" s="721"/>
      <c r="K1042" s="721" t="s">
        <v>2044</v>
      </c>
      <c r="L1042" s="721">
        <v>30519110</v>
      </c>
      <c r="M1042" s="722" t="s">
        <v>955</v>
      </c>
      <c r="N1042" s="746"/>
      <c r="O1042" s="746"/>
      <c r="P1042" s="746"/>
      <c r="Q1042" s="746"/>
      <c r="R1042" s="521"/>
      <c r="S1042" s="521"/>
    </row>
    <row r="1043" spans="1:19">
      <c r="A1043" s="729"/>
      <c r="B1043" s="729"/>
      <c r="C1043" s="729"/>
      <c r="D1043" s="729"/>
      <c r="E1043" s="729"/>
      <c r="F1043" s="729"/>
      <c r="G1043" s="729"/>
      <c r="H1043" s="729"/>
      <c r="I1043" s="729"/>
      <c r="J1043" s="729"/>
      <c r="K1043" s="729"/>
      <c r="L1043" s="729"/>
      <c r="M1043" s="729"/>
      <c r="N1043" s="746"/>
      <c r="O1043" s="746"/>
      <c r="P1043" s="746"/>
      <c r="Q1043" s="746"/>
      <c r="R1043" s="521"/>
      <c r="S1043" s="521"/>
    </row>
    <row r="1044" spans="1:19">
      <c r="A1044" s="719" t="s">
        <v>2033</v>
      </c>
      <c r="B1044" s="719" t="s">
        <v>2034</v>
      </c>
      <c r="C1044"/>
      <c r="D1044"/>
      <c r="E1044"/>
      <c r="F1044"/>
      <c r="G1044"/>
      <c r="H1044"/>
      <c r="I1044"/>
      <c r="J1044"/>
      <c r="K1044"/>
      <c r="L1044"/>
      <c r="M1044"/>
      <c r="N1044" s="746"/>
      <c r="O1044" s="746"/>
      <c r="P1044" s="746"/>
      <c r="Q1044" s="746"/>
      <c r="R1044" s="521"/>
      <c r="S1044" s="521"/>
    </row>
    <row r="1045" spans="1:19" ht="51">
      <c r="A1045" s="719" t="s">
        <v>3</v>
      </c>
      <c r="B1045" s="719" t="s">
        <v>4036</v>
      </c>
      <c r="C1045"/>
      <c r="D1045"/>
      <c r="E1045"/>
      <c r="F1045"/>
      <c r="G1045"/>
      <c r="H1045"/>
      <c r="I1045"/>
      <c r="J1045"/>
      <c r="K1045"/>
      <c r="L1045"/>
      <c r="M1045"/>
      <c r="N1045" s="746"/>
      <c r="O1045" s="746"/>
      <c r="P1045" s="746"/>
      <c r="Q1045" s="746"/>
      <c r="R1045" s="521"/>
      <c r="S1045" s="521"/>
    </row>
    <row r="1046" spans="1:19" ht="25.5">
      <c r="A1046" s="720" t="s">
        <v>2035</v>
      </c>
      <c r="B1046" s="720" t="s">
        <v>2036</v>
      </c>
      <c r="C1046" s="720" t="s">
        <v>1</v>
      </c>
      <c r="D1046" s="720" t="s">
        <v>2037</v>
      </c>
      <c r="E1046" s="720" t="s">
        <v>3</v>
      </c>
      <c r="F1046" s="720" t="s">
        <v>4</v>
      </c>
      <c r="G1046" s="720" t="s">
        <v>2038</v>
      </c>
      <c r="H1046" s="720" t="s">
        <v>6</v>
      </c>
      <c r="I1046" s="720" t="s">
        <v>7</v>
      </c>
      <c r="J1046" s="720" t="s">
        <v>8</v>
      </c>
      <c r="K1046" s="720" t="s">
        <v>2039</v>
      </c>
      <c r="L1046" s="720" t="s">
        <v>10</v>
      </c>
      <c r="M1046" s="720" t="s">
        <v>2040</v>
      </c>
      <c r="N1046" s="746"/>
      <c r="O1046" s="746"/>
      <c r="P1046" s="746"/>
      <c r="Q1046" s="746"/>
      <c r="R1046" s="521"/>
      <c r="S1046" s="521"/>
    </row>
    <row r="1047" spans="1:19" ht="14.25" customHeight="1">
      <c r="A1047" s="721">
        <v>1</v>
      </c>
      <c r="B1047" s="721">
        <v>20032095006</v>
      </c>
      <c r="C1047" s="721" t="s">
        <v>4037</v>
      </c>
      <c r="D1047" s="721">
        <v>295</v>
      </c>
      <c r="E1047" s="721" t="s">
        <v>4036</v>
      </c>
      <c r="F1047" s="721" t="s">
        <v>84</v>
      </c>
      <c r="G1047" s="721" t="s">
        <v>2042</v>
      </c>
      <c r="H1047" s="721">
        <v>1</v>
      </c>
      <c r="I1047" s="721" t="s">
        <v>4038</v>
      </c>
      <c r="J1047" s="721" t="s">
        <v>4039</v>
      </c>
      <c r="K1047" s="721" t="s">
        <v>2044</v>
      </c>
      <c r="L1047" s="721">
        <v>97470859</v>
      </c>
      <c r="M1047" s="721" t="s">
        <v>2900</v>
      </c>
      <c r="N1047" s="746"/>
      <c r="O1047" s="746"/>
      <c r="P1047" s="746"/>
      <c r="Q1047" s="746"/>
      <c r="R1047" s="521"/>
      <c r="S1047" s="521"/>
    </row>
    <row r="1048" spans="1:19" ht="14.25" customHeight="1">
      <c r="A1048" s="723">
        <v>2</v>
      </c>
      <c r="B1048" s="723">
        <v>20032095010</v>
      </c>
      <c r="C1048" s="723" t="s">
        <v>4040</v>
      </c>
      <c r="D1048" s="723">
        <v>295</v>
      </c>
      <c r="E1048" s="723" t="s">
        <v>4036</v>
      </c>
      <c r="F1048" s="723" t="s">
        <v>84</v>
      </c>
      <c r="G1048" s="723" t="s">
        <v>2042</v>
      </c>
      <c r="H1048" s="723" t="s">
        <v>2043</v>
      </c>
      <c r="I1048" s="723" t="s">
        <v>4041</v>
      </c>
      <c r="J1048" s="723" t="s">
        <v>4042</v>
      </c>
      <c r="K1048" s="723" t="s">
        <v>2044</v>
      </c>
      <c r="L1048" s="723">
        <v>79697729</v>
      </c>
      <c r="M1048" s="723" t="s">
        <v>2910</v>
      </c>
      <c r="N1048" s="746"/>
      <c r="O1048" s="746"/>
      <c r="P1048" s="746"/>
      <c r="Q1048" s="746"/>
      <c r="R1048" s="521"/>
      <c r="S1048" s="521"/>
    </row>
    <row r="1049" spans="1:19">
      <c r="A1049" s="721">
        <v>3</v>
      </c>
      <c r="B1049" s="721">
        <v>20041295004</v>
      </c>
      <c r="C1049" s="721" t="s">
        <v>4043</v>
      </c>
      <c r="D1049" s="721">
        <v>295</v>
      </c>
      <c r="E1049" s="721" t="s">
        <v>4036</v>
      </c>
      <c r="F1049" s="721" t="s">
        <v>84</v>
      </c>
      <c r="G1049" s="721" t="s">
        <v>2042</v>
      </c>
      <c r="H1049" s="721" t="s">
        <v>2043</v>
      </c>
      <c r="I1049" s="721" t="s">
        <v>4044</v>
      </c>
      <c r="J1049" s="721" t="s">
        <v>4045</v>
      </c>
      <c r="K1049" s="721" t="s">
        <v>2044</v>
      </c>
      <c r="L1049" s="721">
        <v>19458790</v>
      </c>
      <c r="M1049" s="721" t="s">
        <v>2896</v>
      </c>
      <c r="N1049" s="746"/>
      <c r="O1049" s="746"/>
      <c r="P1049" s="746"/>
      <c r="Q1049" s="746"/>
      <c r="R1049" s="521"/>
      <c r="S1049" s="521"/>
    </row>
    <row r="1050" spans="1:19">
      <c r="A1050" s="723">
        <v>4</v>
      </c>
      <c r="B1050" s="723">
        <v>20041295007</v>
      </c>
      <c r="C1050" s="723" t="s">
        <v>4046</v>
      </c>
      <c r="D1050" s="723">
        <v>295</v>
      </c>
      <c r="E1050" s="723" t="s">
        <v>4036</v>
      </c>
      <c r="F1050" s="723" t="s">
        <v>84</v>
      </c>
      <c r="G1050" s="723" t="s">
        <v>2042</v>
      </c>
      <c r="H1050" s="723" t="s">
        <v>2043</v>
      </c>
      <c r="I1050" s="723" t="s">
        <v>4047</v>
      </c>
      <c r="J1050" s="723" t="s">
        <v>4048</v>
      </c>
      <c r="K1050" s="723" t="s">
        <v>2044</v>
      </c>
      <c r="L1050" s="723">
        <v>80180279</v>
      </c>
      <c r="M1050" s="723" t="s">
        <v>2286</v>
      </c>
      <c r="N1050" s="746"/>
      <c r="O1050" s="746"/>
      <c r="P1050" s="746"/>
      <c r="Q1050" s="746"/>
      <c r="R1050" s="521"/>
      <c r="S1050" s="521"/>
    </row>
    <row r="1051" spans="1:19">
      <c r="A1051" s="721">
        <v>5</v>
      </c>
      <c r="B1051" s="721">
        <v>20041295009</v>
      </c>
      <c r="C1051" s="721" t="s">
        <v>4049</v>
      </c>
      <c r="D1051" s="721">
        <v>295</v>
      </c>
      <c r="E1051" s="721" t="s">
        <v>4036</v>
      </c>
      <c r="F1051" s="721" t="s">
        <v>84</v>
      </c>
      <c r="G1051" s="721" t="s">
        <v>2042</v>
      </c>
      <c r="H1051" s="721" t="s">
        <v>2043</v>
      </c>
      <c r="I1051" s="721" t="s">
        <v>4050</v>
      </c>
      <c r="J1051" s="721" t="s">
        <v>4051</v>
      </c>
      <c r="K1051" s="721" t="s">
        <v>2044</v>
      </c>
      <c r="L1051" s="721">
        <v>79520182</v>
      </c>
      <c r="M1051" s="721" t="s">
        <v>2286</v>
      </c>
      <c r="N1051" s="746"/>
      <c r="O1051" s="746"/>
      <c r="P1051" s="746"/>
      <c r="Q1051" s="746"/>
      <c r="R1051" s="521"/>
      <c r="S1051" s="521"/>
    </row>
    <row r="1052" spans="1:19">
      <c r="A1052" s="723">
        <v>6</v>
      </c>
      <c r="B1052" s="723">
        <v>20041295010</v>
      </c>
      <c r="C1052" s="723" t="s">
        <v>4052</v>
      </c>
      <c r="D1052" s="723">
        <v>295</v>
      </c>
      <c r="E1052" s="723" t="s">
        <v>4036</v>
      </c>
      <c r="F1052" s="723" t="s">
        <v>84</v>
      </c>
      <c r="G1052" s="723" t="s">
        <v>2042</v>
      </c>
      <c r="H1052" s="723" t="s">
        <v>2043</v>
      </c>
      <c r="I1052" s="723" t="s">
        <v>4053</v>
      </c>
      <c r="J1052" s="723" t="s">
        <v>4054</v>
      </c>
      <c r="K1052" s="723" t="s">
        <v>2044</v>
      </c>
      <c r="L1052" s="723">
        <v>79422893</v>
      </c>
      <c r="M1052" s="723" t="s">
        <v>2856</v>
      </c>
      <c r="N1052" s="746"/>
      <c r="O1052" s="746"/>
      <c r="P1052" s="746"/>
      <c r="Q1052" s="746"/>
      <c r="R1052" s="521"/>
      <c r="S1052" s="521"/>
    </row>
    <row r="1053" spans="1:19">
      <c r="A1053" s="721">
        <v>7</v>
      </c>
      <c r="B1053" s="721">
        <v>20041295013</v>
      </c>
      <c r="C1053" s="721" t="s">
        <v>4055</v>
      </c>
      <c r="D1053" s="721">
        <v>295</v>
      </c>
      <c r="E1053" s="721" t="s">
        <v>4036</v>
      </c>
      <c r="F1053" s="721" t="s">
        <v>84</v>
      </c>
      <c r="G1053" s="721" t="s">
        <v>2042</v>
      </c>
      <c r="H1053" s="721" t="s">
        <v>2043</v>
      </c>
      <c r="I1053" s="721" t="s">
        <v>4056</v>
      </c>
      <c r="J1053" s="721" t="s">
        <v>4057</v>
      </c>
      <c r="K1053" s="721" t="s">
        <v>2044</v>
      </c>
      <c r="L1053" s="721">
        <v>79380285</v>
      </c>
      <c r="M1053" s="721" t="s">
        <v>2286</v>
      </c>
      <c r="N1053" s="746"/>
      <c r="O1053" s="746"/>
      <c r="P1053" s="746"/>
      <c r="Q1053" s="746"/>
      <c r="R1053" s="521"/>
      <c r="S1053" s="521"/>
    </row>
    <row r="1054" spans="1:19">
      <c r="A1054" s="723">
        <v>8</v>
      </c>
      <c r="B1054" s="723">
        <v>20041295017</v>
      </c>
      <c r="C1054" s="723" t="s">
        <v>4058</v>
      </c>
      <c r="D1054" s="723">
        <v>295</v>
      </c>
      <c r="E1054" s="723" t="s">
        <v>4036</v>
      </c>
      <c r="F1054" s="723" t="s">
        <v>84</v>
      </c>
      <c r="G1054" s="723" t="s">
        <v>2042</v>
      </c>
      <c r="H1054" s="723" t="s">
        <v>2043</v>
      </c>
      <c r="I1054" s="723" t="s">
        <v>4059</v>
      </c>
      <c r="J1054" s="723" t="s">
        <v>4060</v>
      </c>
      <c r="K1054" s="723" t="s">
        <v>2044</v>
      </c>
      <c r="L1054" s="723">
        <v>79985582</v>
      </c>
      <c r="M1054" s="723" t="s">
        <v>2286</v>
      </c>
      <c r="N1054" s="746"/>
      <c r="O1054" s="746"/>
      <c r="P1054" s="746"/>
      <c r="Q1054" s="746"/>
      <c r="R1054" s="521"/>
      <c r="S1054" s="521"/>
    </row>
    <row r="1055" spans="1:19" ht="14.25" customHeight="1">
      <c r="A1055" s="721">
        <v>9</v>
      </c>
      <c r="B1055" s="721">
        <v>20041295025</v>
      </c>
      <c r="C1055" s="721" t="s">
        <v>4061</v>
      </c>
      <c r="D1055" s="721">
        <v>295</v>
      </c>
      <c r="E1055" s="721" t="s">
        <v>4036</v>
      </c>
      <c r="F1055" s="721" t="s">
        <v>84</v>
      </c>
      <c r="G1055" s="721" t="s">
        <v>2042</v>
      </c>
      <c r="H1055" s="721">
        <v>2</v>
      </c>
      <c r="I1055" s="721" t="s">
        <v>4062</v>
      </c>
      <c r="J1055" s="721" t="s">
        <v>4063</v>
      </c>
      <c r="K1055" s="721" t="s">
        <v>2044</v>
      </c>
      <c r="L1055" s="721">
        <v>52204302</v>
      </c>
      <c r="M1055" s="721" t="s">
        <v>2856</v>
      </c>
      <c r="N1055" s="746"/>
      <c r="O1055" s="746"/>
      <c r="P1055" s="746"/>
      <c r="Q1055" s="746"/>
      <c r="R1055" s="521"/>
      <c r="S1055" s="521"/>
    </row>
    <row r="1056" spans="1:19">
      <c r="A1056" s="723">
        <v>10</v>
      </c>
      <c r="B1056" s="723">
        <v>20042295002</v>
      </c>
      <c r="C1056" s="723" t="s">
        <v>4064</v>
      </c>
      <c r="D1056" s="723">
        <v>295</v>
      </c>
      <c r="E1056" s="723" t="s">
        <v>4036</v>
      </c>
      <c r="F1056" s="723" t="s">
        <v>84</v>
      </c>
      <c r="G1056" s="723" t="s">
        <v>2042</v>
      </c>
      <c r="H1056" s="723">
        <v>1</v>
      </c>
      <c r="I1056" s="723" t="s">
        <v>4065</v>
      </c>
      <c r="J1056" s="723" t="s">
        <v>4066</v>
      </c>
      <c r="K1056" s="723" t="s">
        <v>2044</v>
      </c>
      <c r="L1056" s="723">
        <v>52426307</v>
      </c>
      <c r="M1056" s="723" t="s">
        <v>2192</v>
      </c>
      <c r="N1056" s="746"/>
      <c r="O1056" s="746"/>
      <c r="P1056" s="746"/>
      <c r="Q1056" s="746"/>
      <c r="R1056" s="521"/>
      <c r="S1056" s="521"/>
    </row>
    <row r="1057" spans="1:19">
      <c r="A1057" s="721">
        <v>11</v>
      </c>
      <c r="B1057" s="721">
        <v>20042295004</v>
      </c>
      <c r="C1057" s="721" t="s">
        <v>4067</v>
      </c>
      <c r="D1057" s="721">
        <v>295</v>
      </c>
      <c r="E1057" s="721" t="s">
        <v>4036</v>
      </c>
      <c r="F1057" s="721" t="s">
        <v>84</v>
      </c>
      <c r="G1057" s="721" t="s">
        <v>2042</v>
      </c>
      <c r="H1057" s="721" t="s">
        <v>2043</v>
      </c>
      <c r="I1057" s="721" t="s">
        <v>4068</v>
      </c>
      <c r="J1057" s="721" t="s">
        <v>4069</v>
      </c>
      <c r="K1057" s="721" t="s">
        <v>2044</v>
      </c>
      <c r="L1057" s="721">
        <v>7164610</v>
      </c>
      <c r="M1057" s="721" t="s">
        <v>2113</v>
      </c>
      <c r="N1057" s="746"/>
      <c r="O1057" s="746"/>
      <c r="P1057" s="746"/>
      <c r="Q1057" s="746"/>
      <c r="R1057" s="521"/>
      <c r="S1057" s="521"/>
    </row>
    <row r="1058" spans="1:19">
      <c r="A1058" s="723">
        <v>12</v>
      </c>
      <c r="B1058" s="723">
        <v>20042295009</v>
      </c>
      <c r="C1058" s="723" t="s">
        <v>4070</v>
      </c>
      <c r="D1058" s="723">
        <v>295</v>
      </c>
      <c r="E1058" s="723" t="s">
        <v>4036</v>
      </c>
      <c r="F1058" s="723" t="s">
        <v>84</v>
      </c>
      <c r="G1058" s="723" t="s">
        <v>2042</v>
      </c>
      <c r="H1058" s="723" t="s">
        <v>2043</v>
      </c>
      <c r="I1058" s="723" t="s">
        <v>4071</v>
      </c>
      <c r="J1058" s="723" t="s">
        <v>4072</v>
      </c>
      <c r="K1058" s="723" t="s">
        <v>2044</v>
      </c>
      <c r="L1058" s="723">
        <v>52117438</v>
      </c>
      <c r="M1058" s="723" t="s">
        <v>2131</v>
      </c>
      <c r="N1058" s="746"/>
      <c r="O1058" s="746"/>
      <c r="P1058" s="746"/>
      <c r="Q1058" s="746"/>
      <c r="R1058" s="521"/>
      <c r="S1058" s="521"/>
    </row>
    <row r="1059" spans="1:19">
      <c r="A1059" s="721">
        <v>13</v>
      </c>
      <c r="B1059" s="721">
        <v>20042295013</v>
      </c>
      <c r="C1059" s="721" t="s">
        <v>4073</v>
      </c>
      <c r="D1059" s="721">
        <v>295</v>
      </c>
      <c r="E1059" s="721" t="s">
        <v>4036</v>
      </c>
      <c r="F1059" s="721" t="s">
        <v>84</v>
      </c>
      <c r="G1059" s="721" t="s">
        <v>2042</v>
      </c>
      <c r="H1059" s="721" t="s">
        <v>2043</v>
      </c>
      <c r="I1059" s="721" t="s">
        <v>4074</v>
      </c>
      <c r="J1059" s="721" t="s">
        <v>4075</v>
      </c>
      <c r="K1059" s="721" t="s">
        <v>2044</v>
      </c>
      <c r="L1059" s="721">
        <v>93414617</v>
      </c>
      <c r="M1059" s="721" t="s">
        <v>2113</v>
      </c>
      <c r="N1059" s="746"/>
      <c r="O1059" s="746"/>
      <c r="P1059" s="746"/>
      <c r="Q1059" s="746"/>
      <c r="R1059" s="521"/>
      <c r="S1059" s="521"/>
    </row>
    <row r="1060" spans="1:19">
      <c r="A1060" s="723">
        <v>14</v>
      </c>
      <c r="B1060" s="723">
        <v>20042295015</v>
      </c>
      <c r="C1060" s="723" t="s">
        <v>4076</v>
      </c>
      <c r="D1060" s="723">
        <v>295</v>
      </c>
      <c r="E1060" s="723" t="s">
        <v>4036</v>
      </c>
      <c r="F1060" s="723" t="s">
        <v>84</v>
      </c>
      <c r="G1060" s="723" t="s">
        <v>2042</v>
      </c>
      <c r="H1060" s="723" t="s">
        <v>2043</v>
      </c>
      <c r="I1060" s="723" t="s">
        <v>4077</v>
      </c>
      <c r="J1060" s="723" t="s">
        <v>1096</v>
      </c>
      <c r="K1060" s="723" t="s">
        <v>2044</v>
      </c>
      <c r="L1060" s="723">
        <v>79671115</v>
      </c>
      <c r="M1060" s="723" t="s">
        <v>2896</v>
      </c>
      <c r="N1060" s="746"/>
      <c r="O1060" s="746"/>
      <c r="P1060" s="746"/>
      <c r="Q1060" s="746"/>
      <c r="R1060" s="521"/>
      <c r="S1060" s="521"/>
    </row>
    <row r="1061" spans="1:19">
      <c r="A1061" s="721">
        <v>15</v>
      </c>
      <c r="B1061" s="721">
        <v>20051295002</v>
      </c>
      <c r="C1061" s="721" t="s">
        <v>4078</v>
      </c>
      <c r="D1061" s="721">
        <v>295</v>
      </c>
      <c r="E1061" s="721" t="s">
        <v>4036</v>
      </c>
      <c r="F1061" s="721" t="s">
        <v>84</v>
      </c>
      <c r="G1061" s="721" t="s">
        <v>2042</v>
      </c>
      <c r="H1061" s="721">
        <v>1</v>
      </c>
      <c r="I1061" s="721" t="s">
        <v>4079</v>
      </c>
      <c r="J1061" s="721" t="s">
        <v>4080</v>
      </c>
      <c r="K1061" s="721" t="s">
        <v>2044</v>
      </c>
      <c r="L1061" s="721">
        <v>79962012</v>
      </c>
      <c r="M1061" s="721" t="s">
        <v>2192</v>
      </c>
      <c r="N1061" s="746"/>
      <c r="O1061" s="746"/>
      <c r="P1061" s="746"/>
      <c r="Q1061" s="746"/>
      <c r="R1061" s="521"/>
      <c r="S1061" s="521"/>
    </row>
    <row r="1062" spans="1:19">
      <c r="A1062" s="723">
        <v>16</v>
      </c>
      <c r="B1062" s="723">
        <v>20051295003</v>
      </c>
      <c r="C1062" s="723" t="s">
        <v>4081</v>
      </c>
      <c r="D1062" s="723">
        <v>295</v>
      </c>
      <c r="E1062" s="723" t="s">
        <v>4036</v>
      </c>
      <c r="F1062" s="723" t="s">
        <v>84</v>
      </c>
      <c r="G1062" s="723" t="s">
        <v>2042</v>
      </c>
      <c r="H1062" s="723">
        <v>1</v>
      </c>
      <c r="I1062" s="723" t="s">
        <v>4082</v>
      </c>
      <c r="J1062" s="723" t="s">
        <v>4083</v>
      </c>
      <c r="K1062" s="723" t="s">
        <v>2044</v>
      </c>
      <c r="L1062" s="723">
        <v>52718006</v>
      </c>
      <c r="M1062" s="723" t="s">
        <v>2218</v>
      </c>
      <c r="N1062" s="746"/>
      <c r="O1062" s="746"/>
      <c r="P1062" s="746"/>
      <c r="Q1062" s="746"/>
      <c r="R1062" s="521"/>
      <c r="S1062" s="521"/>
    </row>
    <row r="1063" spans="1:19">
      <c r="A1063" s="721">
        <v>17</v>
      </c>
      <c r="B1063" s="721">
        <v>20051295005</v>
      </c>
      <c r="C1063" s="721" t="s">
        <v>4084</v>
      </c>
      <c r="D1063" s="721">
        <v>295</v>
      </c>
      <c r="E1063" s="721" t="s">
        <v>4036</v>
      </c>
      <c r="F1063" s="721" t="s">
        <v>84</v>
      </c>
      <c r="G1063" s="721" t="s">
        <v>2042</v>
      </c>
      <c r="H1063" s="721" t="s">
        <v>2043</v>
      </c>
      <c r="I1063" s="721" t="s">
        <v>4085</v>
      </c>
      <c r="J1063" s="721" t="s">
        <v>4086</v>
      </c>
      <c r="K1063" s="721" t="s">
        <v>2044</v>
      </c>
      <c r="L1063" s="721">
        <v>79506098</v>
      </c>
      <c r="M1063" s="721" t="s">
        <v>2910</v>
      </c>
      <c r="N1063" s="746"/>
      <c r="O1063" s="746"/>
      <c r="P1063" s="746"/>
      <c r="Q1063" s="746"/>
      <c r="R1063" s="521"/>
      <c r="S1063" s="521"/>
    </row>
    <row r="1064" spans="1:19">
      <c r="A1064" s="723">
        <v>18</v>
      </c>
      <c r="B1064" s="723">
        <v>20051295006</v>
      </c>
      <c r="C1064" s="723" t="s">
        <v>4087</v>
      </c>
      <c r="D1064" s="723">
        <v>295</v>
      </c>
      <c r="E1064" s="723" t="s">
        <v>4036</v>
      </c>
      <c r="F1064" s="723" t="s">
        <v>84</v>
      </c>
      <c r="G1064" s="723" t="s">
        <v>2042</v>
      </c>
      <c r="H1064" s="723">
        <v>1</v>
      </c>
      <c r="I1064" s="723" t="s">
        <v>4088</v>
      </c>
      <c r="J1064" s="723" t="s">
        <v>4089</v>
      </c>
      <c r="K1064" s="723" t="s">
        <v>2044</v>
      </c>
      <c r="L1064" s="723">
        <v>5203755</v>
      </c>
      <c r="M1064" s="723" t="s">
        <v>2896</v>
      </c>
      <c r="N1064" s="746"/>
      <c r="O1064" s="746"/>
      <c r="P1064" s="746"/>
      <c r="Q1064" s="746"/>
      <c r="R1064" s="521"/>
      <c r="S1064" s="521"/>
    </row>
    <row r="1065" spans="1:19">
      <c r="A1065" s="721">
        <v>19</v>
      </c>
      <c r="B1065" s="721">
        <v>20051295007</v>
      </c>
      <c r="C1065" s="721" t="s">
        <v>4090</v>
      </c>
      <c r="D1065" s="721">
        <v>295</v>
      </c>
      <c r="E1065" s="721" t="s">
        <v>4036</v>
      </c>
      <c r="F1065" s="721" t="s">
        <v>84</v>
      </c>
      <c r="G1065" s="721" t="s">
        <v>2042</v>
      </c>
      <c r="H1065" s="721" t="s">
        <v>2043</v>
      </c>
      <c r="I1065" s="721" t="s">
        <v>4091</v>
      </c>
      <c r="J1065" s="721" t="s">
        <v>4092</v>
      </c>
      <c r="K1065" s="721" t="s">
        <v>2044</v>
      </c>
      <c r="L1065" s="721">
        <v>11251679</v>
      </c>
      <c r="M1065" s="721" t="s">
        <v>2910</v>
      </c>
      <c r="N1065" s="746"/>
      <c r="O1065" s="746"/>
      <c r="P1065" s="746"/>
      <c r="Q1065" s="746"/>
      <c r="R1065" s="521"/>
      <c r="S1065" s="521"/>
    </row>
    <row r="1066" spans="1:19">
      <c r="A1066" s="723">
        <v>20</v>
      </c>
      <c r="B1066" s="723">
        <v>20051295009</v>
      </c>
      <c r="C1066" s="723" t="s">
        <v>4093</v>
      </c>
      <c r="D1066" s="723">
        <v>295</v>
      </c>
      <c r="E1066" s="723" t="s">
        <v>4036</v>
      </c>
      <c r="F1066" s="723" t="s">
        <v>84</v>
      </c>
      <c r="G1066" s="723" t="s">
        <v>2042</v>
      </c>
      <c r="H1066" s="723" t="s">
        <v>2043</v>
      </c>
      <c r="I1066" s="723" t="s">
        <v>4094</v>
      </c>
      <c r="J1066" s="723" t="s">
        <v>4095</v>
      </c>
      <c r="K1066" s="723" t="s">
        <v>2044</v>
      </c>
      <c r="L1066" s="723">
        <v>80019759</v>
      </c>
      <c r="M1066" s="723" t="s">
        <v>2286</v>
      </c>
      <c r="N1066" s="746"/>
      <c r="O1066" s="746"/>
      <c r="P1066" s="746"/>
      <c r="Q1066" s="746"/>
      <c r="R1066" s="521"/>
      <c r="S1066" s="521"/>
    </row>
    <row r="1067" spans="1:19">
      <c r="A1067" s="721">
        <v>21</v>
      </c>
      <c r="B1067" s="721">
        <v>20051295010</v>
      </c>
      <c r="C1067" s="721" t="s">
        <v>4096</v>
      </c>
      <c r="D1067" s="721">
        <v>295</v>
      </c>
      <c r="E1067" s="721" t="s">
        <v>4036</v>
      </c>
      <c r="F1067" s="721" t="s">
        <v>84</v>
      </c>
      <c r="G1067" s="721" t="s">
        <v>2042</v>
      </c>
      <c r="H1067" s="721">
        <v>1</v>
      </c>
      <c r="I1067" s="721" t="s">
        <v>4097</v>
      </c>
      <c r="J1067" s="721" t="s">
        <v>4098</v>
      </c>
      <c r="K1067" s="721" t="s">
        <v>2044</v>
      </c>
      <c r="L1067" s="721">
        <v>80028694</v>
      </c>
      <c r="M1067" s="721" t="s">
        <v>2856</v>
      </c>
      <c r="N1067" s="746"/>
      <c r="O1067" s="746"/>
      <c r="P1067" s="746"/>
      <c r="Q1067" s="746"/>
      <c r="R1067" s="521"/>
      <c r="S1067" s="521"/>
    </row>
    <row r="1068" spans="1:19">
      <c r="A1068" s="723">
        <v>22</v>
      </c>
      <c r="B1068" s="723">
        <v>20051295017</v>
      </c>
      <c r="C1068" s="723" t="s">
        <v>4099</v>
      </c>
      <c r="D1068" s="723">
        <v>295</v>
      </c>
      <c r="E1068" s="723" t="s">
        <v>4036</v>
      </c>
      <c r="F1068" s="723" t="s">
        <v>84</v>
      </c>
      <c r="G1068" s="723" t="s">
        <v>2042</v>
      </c>
      <c r="H1068" s="723" t="s">
        <v>2043</v>
      </c>
      <c r="I1068" s="723" t="s">
        <v>4100</v>
      </c>
      <c r="J1068" s="723" t="s">
        <v>4101</v>
      </c>
      <c r="K1068" s="723" t="s">
        <v>2044</v>
      </c>
      <c r="L1068" s="723">
        <v>52260632</v>
      </c>
      <c r="M1068" s="723" t="s">
        <v>2286</v>
      </c>
      <c r="N1068" s="746"/>
      <c r="O1068" s="746"/>
      <c r="P1068" s="746"/>
      <c r="Q1068" s="746"/>
      <c r="R1068" s="521"/>
      <c r="S1068" s="521"/>
    </row>
    <row r="1069" spans="1:19">
      <c r="A1069" s="721">
        <v>23</v>
      </c>
      <c r="B1069" s="721">
        <v>20051295018</v>
      </c>
      <c r="C1069" s="721" t="s">
        <v>4102</v>
      </c>
      <c r="D1069" s="721">
        <v>295</v>
      </c>
      <c r="E1069" s="721" t="s">
        <v>4036</v>
      </c>
      <c r="F1069" s="721" t="s">
        <v>84</v>
      </c>
      <c r="G1069" s="721" t="s">
        <v>2042</v>
      </c>
      <c r="H1069" s="721">
        <v>1</v>
      </c>
      <c r="I1069" s="721" t="s">
        <v>4103</v>
      </c>
      <c r="J1069" s="721" t="s">
        <v>4104</v>
      </c>
      <c r="K1069" s="721" t="s">
        <v>2044</v>
      </c>
      <c r="L1069" s="721">
        <v>79910510</v>
      </c>
      <c r="M1069" s="721" t="s">
        <v>2900</v>
      </c>
      <c r="N1069" s="746"/>
      <c r="O1069" s="746"/>
      <c r="P1069" s="746"/>
      <c r="Q1069" s="746"/>
      <c r="R1069" s="521"/>
      <c r="S1069" s="521"/>
    </row>
    <row r="1070" spans="1:19">
      <c r="A1070" s="723">
        <v>24</v>
      </c>
      <c r="B1070" s="723">
        <v>20051295019</v>
      </c>
      <c r="C1070" s="723" t="s">
        <v>4105</v>
      </c>
      <c r="D1070" s="723">
        <v>295</v>
      </c>
      <c r="E1070" s="723" t="s">
        <v>4036</v>
      </c>
      <c r="F1070" s="723" t="s">
        <v>84</v>
      </c>
      <c r="G1070" s="723" t="s">
        <v>2042</v>
      </c>
      <c r="H1070" s="723" t="s">
        <v>2043</v>
      </c>
      <c r="I1070" s="723" t="s">
        <v>4106</v>
      </c>
      <c r="J1070" s="723" t="s">
        <v>4107</v>
      </c>
      <c r="K1070" s="723" t="s">
        <v>2044</v>
      </c>
      <c r="L1070" s="723">
        <v>80002834</v>
      </c>
      <c r="M1070" s="723" t="s">
        <v>2192</v>
      </c>
      <c r="N1070" s="746"/>
      <c r="O1070" s="746"/>
      <c r="P1070" s="746"/>
      <c r="Q1070" s="746"/>
      <c r="R1070" s="521"/>
      <c r="S1070" s="521"/>
    </row>
    <row r="1071" spans="1:19">
      <c r="A1071" s="721">
        <v>25</v>
      </c>
      <c r="B1071" s="721">
        <v>20052295005</v>
      </c>
      <c r="C1071" s="721" t="s">
        <v>4108</v>
      </c>
      <c r="D1071" s="721">
        <v>295</v>
      </c>
      <c r="E1071" s="721" t="s">
        <v>4036</v>
      </c>
      <c r="F1071" s="721" t="s">
        <v>84</v>
      </c>
      <c r="G1071" s="721" t="s">
        <v>2042</v>
      </c>
      <c r="H1071" s="721" t="s">
        <v>2043</v>
      </c>
      <c r="I1071" s="721" t="s">
        <v>4109</v>
      </c>
      <c r="J1071" s="721" t="s">
        <v>4110</v>
      </c>
      <c r="K1071" s="721" t="s">
        <v>2044</v>
      </c>
      <c r="L1071" s="721">
        <v>9024962</v>
      </c>
      <c r="M1071" s="721" t="s">
        <v>2113</v>
      </c>
      <c r="N1071" s="746"/>
      <c r="O1071" s="746"/>
      <c r="P1071" s="746"/>
      <c r="Q1071" s="746"/>
      <c r="R1071" s="521"/>
      <c r="S1071" s="521"/>
    </row>
    <row r="1072" spans="1:19">
      <c r="A1072" s="723">
        <v>26</v>
      </c>
      <c r="B1072" s="723">
        <v>20052295007</v>
      </c>
      <c r="C1072" s="723" t="s">
        <v>4111</v>
      </c>
      <c r="D1072" s="723">
        <v>295</v>
      </c>
      <c r="E1072" s="723" t="s">
        <v>4036</v>
      </c>
      <c r="F1072" s="723" t="s">
        <v>84</v>
      </c>
      <c r="G1072" s="723" t="s">
        <v>2042</v>
      </c>
      <c r="H1072" s="723" t="s">
        <v>2043</v>
      </c>
      <c r="I1072" s="723" t="s">
        <v>4112</v>
      </c>
      <c r="J1072" s="723" t="s">
        <v>4113</v>
      </c>
      <c r="K1072" s="723" t="s">
        <v>2044</v>
      </c>
      <c r="L1072" s="723">
        <v>17330087</v>
      </c>
      <c r="M1072" s="723" t="s">
        <v>2860</v>
      </c>
      <c r="N1072" s="746"/>
      <c r="O1072" s="746"/>
      <c r="P1072" s="746"/>
      <c r="Q1072" s="746"/>
      <c r="R1072" s="521"/>
      <c r="S1072" s="521"/>
    </row>
    <row r="1073" spans="1:19">
      <c r="A1073" s="721">
        <v>27</v>
      </c>
      <c r="B1073" s="721">
        <v>20052295009</v>
      </c>
      <c r="C1073" s="721" t="s">
        <v>2537</v>
      </c>
      <c r="D1073" s="721">
        <v>295</v>
      </c>
      <c r="E1073" s="721" t="s">
        <v>4036</v>
      </c>
      <c r="F1073" s="721" t="s">
        <v>84</v>
      </c>
      <c r="G1073" s="721" t="s">
        <v>2042</v>
      </c>
      <c r="H1073" s="721" t="s">
        <v>2043</v>
      </c>
      <c r="I1073" s="721" t="s">
        <v>4114</v>
      </c>
      <c r="J1073" s="721" t="s">
        <v>4115</v>
      </c>
      <c r="K1073" s="721" t="s">
        <v>2044</v>
      </c>
      <c r="L1073" s="721">
        <v>78674082</v>
      </c>
      <c r="M1073" s="721" t="s">
        <v>2286</v>
      </c>
      <c r="N1073" s="746"/>
      <c r="O1073" s="746"/>
      <c r="P1073" s="746"/>
      <c r="Q1073" s="746"/>
      <c r="R1073" s="521"/>
      <c r="S1073" s="521"/>
    </row>
    <row r="1074" spans="1:19">
      <c r="A1074" s="723">
        <v>28</v>
      </c>
      <c r="B1074" s="723">
        <v>20052295013</v>
      </c>
      <c r="C1074" s="723" t="s">
        <v>4116</v>
      </c>
      <c r="D1074" s="723">
        <v>295</v>
      </c>
      <c r="E1074" s="723" t="s">
        <v>4036</v>
      </c>
      <c r="F1074" s="723" t="s">
        <v>84</v>
      </c>
      <c r="G1074" s="723" t="s">
        <v>2042</v>
      </c>
      <c r="H1074" s="723" t="s">
        <v>2043</v>
      </c>
      <c r="I1074" s="723" t="s">
        <v>4117</v>
      </c>
      <c r="J1074" s="723" t="s">
        <v>4118</v>
      </c>
      <c r="K1074" s="723" t="s">
        <v>2044</v>
      </c>
      <c r="L1074" s="723">
        <v>94452462</v>
      </c>
      <c r="M1074" s="723" t="s">
        <v>2131</v>
      </c>
      <c r="N1074" s="746"/>
      <c r="O1074" s="746"/>
      <c r="P1074" s="746"/>
      <c r="Q1074" s="746"/>
      <c r="R1074" s="521"/>
      <c r="S1074" s="521"/>
    </row>
    <row r="1075" spans="1:19">
      <c r="A1075" s="721">
        <v>29</v>
      </c>
      <c r="B1075" s="721">
        <v>20061295004</v>
      </c>
      <c r="C1075" s="721" t="s">
        <v>4119</v>
      </c>
      <c r="D1075" s="721">
        <v>295</v>
      </c>
      <c r="E1075" s="721" t="s">
        <v>4036</v>
      </c>
      <c r="F1075" s="721" t="s">
        <v>84</v>
      </c>
      <c r="G1075" s="721" t="s">
        <v>2042</v>
      </c>
      <c r="H1075" s="721">
        <v>1</v>
      </c>
      <c r="I1075" s="721" t="s">
        <v>4120</v>
      </c>
      <c r="J1075" s="721" t="s">
        <v>4121</v>
      </c>
      <c r="K1075" s="721" t="s">
        <v>2044</v>
      </c>
      <c r="L1075" s="721">
        <v>60337274</v>
      </c>
      <c r="M1075" s="721" t="s">
        <v>2896</v>
      </c>
      <c r="N1075" s="746"/>
      <c r="O1075" s="746"/>
      <c r="P1075" s="746"/>
      <c r="Q1075" s="746"/>
      <c r="R1075" s="521"/>
      <c r="S1075" s="521"/>
    </row>
    <row r="1076" spans="1:19">
      <c r="A1076" s="723">
        <v>30</v>
      </c>
      <c r="B1076" s="723">
        <v>20061295010</v>
      </c>
      <c r="C1076" s="723" t="s">
        <v>4122</v>
      </c>
      <c r="D1076" s="723">
        <v>295</v>
      </c>
      <c r="E1076" s="723" t="s">
        <v>4036</v>
      </c>
      <c r="F1076" s="723" t="s">
        <v>84</v>
      </c>
      <c r="G1076" s="723" t="s">
        <v>2042</v>
      </c>
      <c r="H1076" s="723">
        <v>3</v>
      </c>
      <c r="I1076" s="723" t="s">
        <v>4123</v>
      </c>
      <c r="J1076" s="723" t="s">
        <v>4124</v>
      </c>
      <c r="K1076" s="723" t="s">
        <v>2044</v>
      </c>
      <c r="L1076" s="723">
        <v>79623881</v>
      </c>
      <c r="M1076" s="723" t="s">
        <v>2856</v>
      </c>
      <c r="N1076" s="746"/>
      <c r="O1076" s="746"/>
      <c r="P1076" s="746"/>
      <c r="Q1076" s="746"/>
      <c r="R1076" s="521"/>
      <c r="S1076" s="521"/>
    </row>
    <row r="1077" spans="1:19">
      <c r="A1077" s="721">
        <v>31</v>
      </c>
      <c r="B1077" s="721">
        <v>20061295013</v>
      </c>
      <c r="C1077" s="721" t="s">
        <v>4125</v>
      </c>
      <c r="D1077" s="721">
        <v>295</v>
      </c>
      <c r="E1077" s="721" t="s">
        <v>4036</v>
      </c>
      <c r="F1077" s="721" t="s">
        <v>84</v>
      </c>
      <c r="G1077" s="721" t="s">
        <v>2042</v>
      </c>
      <c r="H1077" s="721" t="s">
        <v>2043</v>
      </c>
      <c r="I1077" s="721" t="s">
        <v>4126</v>
      </c>
      <c r="J1077" s="721" t="s">
        <v>4127</v>
      </c>
      <c r="K1077" s="721" t="s">
        <v>2044</v>
      </c>
      <c r="L1077" s="721">
        <v>13844262</v>
      </c>
      <c r="M1077" s="721" t="s">
        <v>2856</v>
      </c>
      <c r="N1077" s="746"/>
      <c r="O1077" s="746"/>
      <c r="P1077" s="746"/>
      <c r="Q1077" s="746"/>
      <c r="R1077" s="521"/>
      <c r="S1077" s="521"/>
    </row>
    <row r="1078" spans="1:19">
      <c r="A1078" s="723">
        <v>32</v>
      </c>
      <c r="B1078" s="723">
        <v>20061295014</v>
      </c>
      <c r="C1078" s="723" t="s">
        <v>4128</v>
      </c>
      <c r="D1078" s="723">
        <v>295</v>
      </c>
      <c r="E1078" s="723" t="s">
        <v>4036</v>
      </c>
      <c r="F1078" s="723" t="s">
        <v>84</v>
      </c>
      <c r="G1078" s="723" t="s">
        <v>2042</v>
      </c>
      <c r="H1078" s="723" t="s">
        <v>2043</v>
      </c>
      <c r="I1078" s="723" t="s">
        <v>4129</v>
      </c>
      <c r="J1078" s="723" t="s">
        <v>4130</v>
      </c>
      <c r="K1078" s="723" t="s">
        <v>2044</v>
      </c>
      <c r="L1078" s="723">
        <v>79786860</v>
      </c>
      <c r="M1078" s="723" t="s">
        <v>2910</v>
      </c>
      <c r="N1078" s="746"/>
      <c r="O1078" s="746"/>
      <c r="P1078" s="746"/>
      <c r="Q1078" s="746"/>
      <c r="R1078" s="521"/>
      <c r="S1078" s="521"/>
    </row>
    <row r="1079" spans="1:19">
      <c r="A1079" s="721">
        <v>33</v>
      </c>
      <c r="B1079" s="721">
        <v>20061295016</v>
      </c>
      <c r="C1079" s="721" t="s">
        <v>4131</v>
      </c>
      <c r="D1079" s="721">
        <v>295</v>
      </c>
      <c r="E1079" s="721" t="s">
        <v>4036</v>
      </c>
      <c r="F1079" s="721" t="s">
        <v>84</v>
      </c>
      <c r="G1079" s="721" t="s">
        <v>2042</v>
      </c>
      <c r="H1079" s="721" t="s">
        <v>2043</v>
      </c>
      <c r="I1079" s="721" t="s">
        <v>4132</v>
      </c>
      <c r="J1079" s="721" t="s">
        <v>4133</v>
      </c>
      <c r="K1079" s="721" t="s">
        <v>2044</v>
      </c>
      <c r="L1079" s="721">
        <v>79457186</v>
      </c>
      <c r="M1079" s="721" t="s">
        <v>2896</v>
      </c>
      <c r="N1079" s="746"/>
      <c r="O1079" s="746"/>
      <c r="P1079" s="746"/>
      <c r="Q1079" s="746"/>
      <c r="R1079" s="521"/>
      <c r="S1079" s="521"/>
    </row>
    <row r="1080" spans="1:19">
      <c r="A1080" s="723">
        <v>34</v>
      </c>
      <c r="B1080" s="723">
        <v>20062295003</v>
      </c>
      <c r="C1080" s="723" t="s">
        <v>4134</v>
      </c>
      <c r="D1080" s="723">
        <v>295</v>
      </c>
      <c r="E1080" s="723" t="s">
        <v>4036</v>
      </c>
      <c r="F1080" s="723" t="s">
        <v>84</v>
      </c>
      <c r="G1080" s="723" t="s">
        <v>2042</v>
      </c>
      <c r="H1080" s="723" t="s">
        <v>2043</v>
      </c>
      <c r="I1080" s="723" t="s">
        <v>4135</v>
      </c>
      <c r="J1080" s="723" t="s">
        <v>4136</v>
      </c>
      <c r="K1080" s="723" t="s">
        <v>2044</v>
      </c>
      <c r="L1080" s="723">
        <v>80237727</v>
      </c>
      <c r="M1080" s="723" t="s">
        <v>2218</v>
      </c>
      <c r="N1080" s="746"/>
      <c r="O1080" s="746"/>
      <c r="P1080" s="746"/>
      <c r="Q1080" s="746"/>
      <c r="R1080" s="521"/>
      <c r="S1080" s="521"/>
    </row>
    <row r="1081" spans="1:19">
      <c r="A1081" s="721">
        <v>35</v>
      </c>
      <c r="B1081" s="721">
        <v>20062295010</v>
      </c>
      <c r="C1081" s="721" t="s">
        <v>4137</v>
      </c>
      <c r="D1081" s="721">
        <v>295</v>
      </c>
      <c r="E1081" s="721" t="s">
        <v>4036</v>
      </c>
      <c r="F1081" s="721" t="s">
        <v>84</v>
      </c>
      <c r="G1081" s="721" t="s">
        <v>2042</v>
      </c>
      <c r="H1081" s="721" t="s">
        <v>2043</v>
      </c>
      <c r="I1081" s="721" t="s">
        <v>4138</v>
      </c>
      <c r="J1081" s="721" t="s">
        <v>4139</v>
      </c>
      <c r="K1081" s="721" t="s">
        <v>2044</v>
      </c>
      <c r="L1081" s="721">
        <v>80777278</v>
      </c>
      <c r="M1081" s="721" t="s">
        <v>2218</v>
      </c>
      <c r="N1081" s="746"/>
      <c r="O1081" s="746"/>
      <c r="P1081" s="746"/>
      <c r="Q1081" s="746"/>
      <c r="R1081" s="521"/>
      <c r="S1081" s="521"/>
    </row>
    <row r="1082" spans="1:19">
      <c r="A1082" s="723">
        <v>36</v>
      </c>
      <c r="B1082" s="723">
        <v>20062295016</v>
      </c>
      <c r="C1082" s="723" t="s">
        <v>4140</v>
      </c>
      <c r="D1082" s="723">
        <v>295</v>
      </c>
      <c r="E1082" s="723" t="s">
        <v>4036</v>
      </c>
      <c r="F1082" s="723" t="s">
        <v>84</v>
      </c>
      <c r="G1082" s="723" t="s">
        <v>2042</v>
      </c>
      <c r="H1082" s="723">
        <v>1</v>
      </c>
      <c r="I1082" s="723"/>
      <c r="J1082" s="723" t="s">
        <v>4141</v>
      </c>
      <c r="K1082" s="723" t="s">
        <v>2044</v>
      </c>
      <c r="L1082" s="723">
        <v>52498619</v>
      </c>
      <c r="M1082" s="723" t="s">
        <v>2143</v>
      </c>
      <c r="N1082" s="746"/>
      <c r="O1082" s="746"/>
      <c r="P1082" s="746"/>
      <c r="Q1082" s="746"/>
      <c r="R1082" s="521"/>
      <c r="S1082" s="521"/>
    </row>
    <row r="1083" spans="1:19">
      <c r="A1083" s="721">
        <v>37</v>
      </c>
      <c r="B1083" s="721">
        <v>20062295017</v>
      </c>
      <c r="C1083" s="721" t="s">
        <v>4142</v>
      </c>
      <c r="D1083" s="721">
        <v>295</v>
      </c>
      <c r="E1083" s="721" t="s">
        <v>4036</v>
      </c>
      <c r="F1083" s="721" t="s">
        <v>84</v>
      </c>
      <c r="G1083" s="721" t="s">
        <v>2042</v>
      </c>
      <c r="H1083" s="721" t="s">
        <v>2043</v>
      </c>
      <c r="I1083" s="721" t="s">
        <v>4143</v>
      </c>
      <c r="J1083" s="721" t="s">
        <v>4144</v>
      </c>
      <c r="K1083" s="721" t="s">
        <v>2044</v>
      </c>
      <c r="L1083" s="721">
        <v>52111472</v>
      </c>
      <c r="M1083" s="721" t="s">
        <v>2143</v>
      </c>
      <c r="N1083" s="746"/>
      <c r="O1083" s="746"/>
      <c r="P1083" s="746"/>
      <c r="Q1083" s="746"/>
      <c r="R1083" s="521"/>
      <c r="S1083" s="521"/>
    </row>
    <row r="1084" spans="1:19">
      <c r="A1084" s="723">
        <v>38</v>
      </c>
      <c r="B1084" s="723">
        <v>20062295020</v>
      </c>
      <c r="C1084" s="723" t="s">
        <v>4145</v>
      </c>
      <c r="D1084" s="723">
        <v>295</v>
      </c>
      <c r="E1084" s="723" t="s">
        <v>4036</v>
      </c>
      <c r="F1084" s="723" t="s">
        <v>84</v>
      </c>
      <c r="G1084" s="723" t="s">
        <v>2042</v>
      </c>
      <c r="H1084" s="723">
        <v>1</v>
      </c>
      <c r="I1084" s="723" t="s">
        <v>4146</v>
      </c>
      <c r="J1084" s="723" t="s">
        <v>4147</v>
      </c>
      <c r="K1084" s="723" t="s">
        <v>2044</v>
      </c>
      <c r="L1084" s="723">
        <v>40775393</v>
      </c>
      <c r="M1084" s="723" t="s">
        <v>2612</v>
      </c>
      <c r="N1084" s="746"/>
      <c r="O1084" s="746"/>
      <c r="P1084" s="746"/>
      <c r="Q1084" s="746"/>
      <c r="R1084" s="521"/>
      <c r="S1084" s="521"/>
    </row>
    <row r="1085" spans="1:19">
      <c r="A1085" s="721">
        <v>39</v>
      </c>
      <c r="B1085" s="721">
        <v>20062295022</v>
      </c>
      <c r="C1085" s="721" t="s">
        <v>4148</v>
      </c>
      <c r="D1085" s="721">
        <v>295</v>
      </c>
      <c r="E1085" s="721" t="s">
        <v>4036</v>
      </c>
      <c r="F1085" s="721" t="s">
        <v>84</v>
      </c>
      <c r="G1085" s="721" t="s">
        <v>2042</v>
      </c>
      <c r="H1085" s="721">
        <v>1</v>
      </c>
      <c r="I1085" s="721" t="s">
        <v>4149</v>
      </c>
      <c r="J1085" s="721" t="s">
        <v>4150</v>
      </c>
      <c r="K1085" s="721" t="s">
        <v>2044</v>
      </c>
      <c r="L1085" s="721">
        <v>79486881</v>
      </c>
      <c r="M1085" s="721" t="s">
        <v>2896</v>
      </c>
      <c r="N1085" s="746"/>
      <c r="O1085" s="746"/>
      <c r="P1085" s="746"/>
      <c r="Q1085" s="746"/>
      <c r="R1085" s="521"/>
      <c r="S1085" s="521"/>
    </row>
    <row r="1086" spans="1:19">
      <c r="A1086" s="723">
        <v>40</v>
      </c>
      <c r="B1086" s="723">
        <v>20062295023</v>
      </c>
      <c r="C1086" s="723" t="s">
        <v>4151</v>
      </c>
      <c r="D1086" s="723">
        <v>295</v>
      </c>
      <c r="E1086" s="723" t="s">
        <v>4036</v>
      </c>
      <c r="F1086" s="723" t="s">
        <v>84</v>
      </c>
      <c r="G1086" s="723" t="s">
        <v>2042</v>
      </c>
      <c r="H1086" s="723">
        <v>1</v>
      </c>
      <c r="I1086" s="723" t="s">
        <v>4152</v>
      </c>
      <c r="J1086" s="723" t="s">
        <v>4153</v>
      </c>
      <c r="K1086" s="723" t="s">
        <v>2044</v>
      </c>
      <c r="L1086" s="723">
        <v>79946475</v>
      </c>
      <c r="M1086" s="723" t="s">
        <v>2896</v>
      </c>
      <c r="N1086" s="746"/>
      <c r="O1086" s="746"/>
      <c r="P1086" s="746"/>
      <c r="Q1086" s="746"/>
      <c r="R1086" s="521"/>
      <c r="S1086" s="521"/>
    </row>
    <row r="1087" spans="1:19">
      <c r="A1087" s="721">
        <v>41</v>
      </c>
      <c r="B1087" s="721">
        <v>20062295024</v>
      </c>
      <c r="C1087" s="721" t="s">
        <v>4154</v>
      </c>
      <c r="D1087" s="721">
        <v>295</v>
      </c>
      <c r="E1087" s="721" t="s">
        <v>4036</v>
      </c>
      <c r="F1087" s="721" t="s">
        <v>84</v>
      </c>
      <c r="G1087" s="721" t="s">
        <v>2042</v>
      </c>
      <c r="H1087" s="721">
        <v>1</v>
      </c>
      <c r="I1087" s="721" t="s">
        <v>4155</v>
      </c>
      <c r="J1087" s="721" t="s">
        <v>4156</v>
      </c>
      <c r="K1087" s="721" t="s">
        <v>2044</v>
      </c>
      <c r="L1087" s="721">
        <v>36314203</v>
      </c>
      <c r="M1087" s="721" t="s">
        <v>2860</v>
      </c>
      <c r="N1087" s="746"/>
      <c r="O1087" s="746"/>
      <c r="P1087" s="746"/>
      <c r="Q1087" s="746"/>
      <c r="R1087" s="521"/>
      <c r="S1087" s="521"/>
    </row>
    <row r="1088" spans="1:19">
      <c r="A1088" s="723">
        <v>42</v>
      </c>
      <c r="B1088" s="723">
        <v>20062295028</v>
      </c>
      <c r="C1088" s="723" t="s">
        <v>4157</v>
      </c>
      <c r="D1088" s="723">
        <v>295</v>
      </c>
      <c r="E1088" s="723" t="s">
        <v>4036</v>
      </c>
      <c r="F1088" s="723" t="s">
        <v>84</v>
      </c>
      <c r="G1088" s="723" t="s">
        <v>2042</v>
      </c>
      <c r="H1088" s="723">
        <v>1</v>
      </c>
      <c r="I1088" s="723" t="s">
        <v>4158</v>
      </c>
      <c r="J1088" s="723" t="s">
        <v>4159</v>
      </c>
      <c r="K1088" s="723" t="s">
        <v>2044</v>
      </c>
      <c r="L1088" s="723">
        <v>79707883</v>
      </c>
      <c r="M1088" s="723" t="s">
        <v>2192</v>
      </c>
      <c r="N1088" s="746"/>
      <c r="O1088" s="746"/>
      <c r="P1088" s="746"/>
      <c r="Q1088" s="746"/>
      <c r="R1088" s="521"/>
      <c r="S1088" s="521"/>
    </row>
    <row r="1089" spans="1:19">
      <c r="A1089" s="721">
        <v>43</v>
      </c>
      <c r="B1089" s="721">
        <v>20062295029</v>
      </c>
      <c r="C1089" s="721" t="s">
        <v>4160</v>
      </c>
      <c r="D1089" s="721">
        <v>295</v>
      </c>
      <c r="E1089" s="721" t="s">
        <v>4036</v>
      </c>
      <c r="F1089" s="721" t="s">
        <v>84</v>
      </c>
      <c r="G1089" s="721" t="s">
        <v>2042</v>
      </c>
      <c r="H1089" s="721">
        <v>1</v>
      </c>
      <c r="I1089" s="721" t="s">
        <v>4161</v>
      </c>
      <c r="J1089" s="721" t="s">
        <v>4162</v>
      </c>
      <c r="K1089" s="721" t="s">
        <v>2044</v>
      </c>
      <c r="L1089" s="721">
        <v>88213248</v>
      </c>
      <c r="M1089" s="721" t="s">
        <v>2612</v>
      </c>
      <c r="N1089" s="746"/>
      <c r="O1089" s="746"/>
      <c r="P1089" s="746"/>
      <c r="Q1089" s="746"/>
      <c r="R1089" s="521"/>
      <c r="S1089" s="521"/>
    </row>
    <row r="1090" spans="1:19">
      <c r="A1090" s="723">
        <v>44</v>
      </c>
      <c r="B1090" s="723">
        <v>20062295030</v>
      </c>
      <c r="C1090" s="723" t="s">
        <v>4163</v>
      </c>
      <c r="D1090" s="723">
        <v>295</v>
      </c>
      <c r="E1090" s="723" t="s">
        <v>4036</v>
      </c>
      <c r="F1090" s="723" t="s">
        <v>84</v>
      </c>
      <c r="G1090" s="723" t="s">
        <v>2042</v>
      </c>
      <c r="H1090" s="723" t="s">
        <v>2043</v>
      </c>
      <c r="I1090" s="723" t="s">
        <v>4164</v>
      </c>
      <c r="J1090" s="723" t="s">
        <v>4165</v>
      </c>
      <c r="K1090" s="723" t="s">
        <v>2044</v>
      </c>
      <c r="L1090" s="723">
        <v>52156247</v>
      </c>
      <c r="M1090" s="723" t="s">
        <v>2896</v>
      </c>
      <c r="N1090" s="746"/>
      <c r="O1090" s="746"/>
      <c r="P1090" s="746"/>
      <c r="Q1090" s="746"/>
      <c r="R1090" s="521"/>
      <c r="S1090" s="521"/>
    </row>
    <row r="1091" spans="1:19">
      <c r="A1091" s="721">
        <v>45</v>
      </c>
      <c r="B1091" s="721">
        <v>20062295035</v>
      </c>
      <c r="C1091" s="721" t="s">
        <v>4166</v>
      </c>
      <c r="D1091" s="721">
        <v>295</v>
      </c>
      <c r="E1091" s="721" t="s">
        <v>4036</v>
      </c>
      <c r="F1091" s="721" t="s">
        <v>84</v>
      </c>
      <c r="G1091" s="721" t="s">
        <v>2042</v>
      </c>
      <c r="H1091" s="721" t="s">
        <v>2043</v>
      </c>
      <c r="I1091" s="721" t="s">
        <v>4167</v>
      </c>
      <c r="J1091" s="721" t="s">
        <v>4168</v>
      </c>
      <c r="K1091" s="721" t="s">
        <v>2044</v>
      </c>
      <c r="L1091" s="721">
        <v>63357179</v>
      </c>
      <c r="M1091" s="721" t="s">
        <v>2131</v>
      </c>
      <c r="N1091" s="746"/>
      <c r="O1091" s="746"/>
      <c r="P1091" s="746"/>
      <c r="Q1091" s="746"/>
      <c r="R1091" s="521"/>
      <c r="S1091" s="521"/>
    </row>
    <row r="1092" spans="1:19">
      <c r="A1092" s="723">
        <v>46</v>
      </c>
      <c r="B1092" s="723">
        <v>20062295037</v>
      </c>
      <c r="C1092" s="723" t="s">
        <v>4169</v>
      </c>
      <c r="D1092" s="723">
        <v>295</v>
      </c>
      <c r="E1092" s="723" t="s">
        <v>4036</v>
      </c>
      <c r="F1092" s="723" t="s">
        <v>84</v>
      </c>
      <c r="G1092" s="723" t="s">
        <v>2042</v>
      </c>
      <c r="H1092" s="723" t="s">
        <v>2043</v>
      </c>
      <c r="I1092" s="723" t="s">
        <v>4170</v>
      </c>
      <c r="J1092" s="723" t="s">
        <v>4171</v>
      </c>
      <c r="K1092" s="723" t="s">
        <v>2044</v>
      </c>
      <c r="L1092" s="723">
        <v>6775483</v>
      </c>
      <c r="M1092" s="723" t="s">
        <v>2131</v>
      </c>
      <c r="N1092" s="746"/>
      <c r="O1092" s="746"/>
      <c r="P1092" s="746"/>
      <c r="Q1092" s="746"/>
      <c r="R1092" s="521"/>
      <c r="S1092" s="521"/>
    </row>
    <row r="1093" spans="1:19">
      <c r="A1093" s="721">
        <v>47</v>
      </c>
      <c r="B1093" s="721">
        <v>20062295038</v>
      </c>
      <c r="C1093" s="721" t="s">
        <v>4172</v>
      </c>
      <c r="D1093" s="721">
        <v>295</v>
      </c>
      <c r="E1093" s="721" t="s">
        <v>4036</v>
      </c>
      <c r="F1093" s="721" t="s">
        <v>84</v>
      </c>
      <c r="G1093" s="721" t="s">
        <v>2042</v>
      </c>
      <c r="H1093" s="721">
        <v>1</v>
      </c>
      <c r="I1093" s="721" t="s">
        <v>4173</v>
      </c>
      <c r="J1093" s="721" t="s">
        <v>4174</v>
      </c>
      <c r="K1093" s="721" t="s">
        <v>2044</v>
      </c>
      <c r="L1093" s="721">
        <v>79350660</v>
      </c>
      <c r="M1093" s="721" t="s">
        <v>2856</v>
      </c>
      <c r="N1093" s="746"/>
      <c r="O1093" s="746"/>
      <c r="P1093" s="746"/>
      <c r="Q1093" s="746"/>
      <c r="R1093" s="521"/>
      <c r="S1093" s="521"/>
    </row>
    <row r="1094" spans="1:19">
      <c r="A1094" s="723">
        <v>48</v>
      </c>
      <c r="B1094" s="723">
        <v>20062295039</v>
      </c>
      <c r="C1094" s="723" t="s">
        <v>4175</v>
      </c>
      <c r="D1094" s="723">
        <v>295</v>
      </c>
      <c r="E1094" s="723" t="s">
        <v>4036</v>
      </c>
      <c r="F1094" s="723" t="s">
        <v>84</v>
      </c>
      <c r="G1094" s="723" t="s">
        <v>2042</v>
      </c>
      <c r="H1094" s="723" t="s">
        <v>2043</v>
      </c>
      <c r="I1094" s="723" t="s">
        <v>4176</v>
      </c>
      <c r="J1094" s="723" t="s">
        <v>4177</v>
      </c>
      <c r="K1094" s="723" t="s">
        <v>2044</v>
      </c>
      <c r="L1094" s="723">
        <v>7168268</v>
      </c>
      <c r="M1094" s="723" t="s">
        <v>2860</v>
      </c>
      <c r="N1094" s="746"/>
      <c r="O1094" s="746"/>
      <c r="P1094" s="746"/>
      <c r="Q1094" s="746"/>
      <c r="R1094" s="521"/>
      <c r="S1094" s="521"/>
    </row>
    <row r="1095" spans="1:19">
      <c r="A1095" s="721">
        <v>49</v>
      </c>
      <c r="B1095" s="721">
        <v>20062295040</v>
      </c>
      <c r="C1095" s="721" t="s">
        <v>4178</v>
      </c>
      <c r="D1095" s="721">
        <v>295</v>
      </c>
      <c r="E1095" s="721" t="s">
        <v>4036</v>
      </c>
      <c r="F1095" s="721" t="s">
        <v>84</v>
      </c>
      <c r="G1095" s="721" t="s">
        <v>2042</v>
      </c>
      <c r="H1095" s="721">
        <v>1</v>
      </c>
      <c r="I1095" s="721" t="s">
        <v>4179</v>
      </c>
      <c r="J1095" s="721" t="s">
        <v>4180</v>
      </c>
      <c r="K1095" s="721" t="s">
        <v>2044</v>
      </c>
      <c r="L1095" s="721">
        <v>40036727</v>
      </c>
      <c r="M1095" s="721" t="s">
        <v>2896</v>
      </c>
      <c r="N1095" s="746"/>
      <c r="O1095" s="746"/>
      <c r="P1095" s="746"/>
      <c r="Q1095" s="746"/>
      <c r="R1095" s="521"/>
      <c r="S1095" s="521"/>
    </row>
    <row r="1096" spans="1:19">
      <c r="A1096" s="723">
        <v>50</v>
      </c>
      <c r="B1096" s="723">
        <v>20062295041</v>
      </c>
      <c r="C1096" s="723" t="s">
        <v>4181</v>
      </c>
      <c r="D1096" s="723">
        <v>295</v>
      </c>
      <c r="E1096" s="723" t="s">
        <v>4036</v>
      </c>
      <c r="F1096" s="723" t="s">
        <v>84</v>
      </c>
      <c r="G1096" s="723" t="s">
        <v>2042</v>
      </c>
      <c r="H1096" s="723" t="s">
        <v>2043</v>
      </c>
      <c r="I1096" s="723" t="s">
        <v>4182</v>
      </c>
      <c r="J1096" s="723" t="s">
        <v>4183</v>
      </c>
      <c r="K1096" s="723" t="s">
        <v>2044</v>
      </c>
      <c r="L1096" s="723">
        <v>7221649</v>
      </c>
      <c r="M1096" s="723" t="s">
        <v>2229</v>
      </c>
      <c r="N1096" s="746"/>
      <c r="O1096" s="746"/>
      <c r="P1096" s="746"/>
      <c r="Q1096" s="746"/>
      <c r="R1096" s="521"/>
      <c r="S1096" s="521"/>
    </row>
    <row r="1097" spans="1:19">
      <c r="A1097" s="721">
        <v>51</v>
      </c>
      <c r="B1097" s="721">
        <v>20062295042</v>
      </c>
      <c r="C1097" s="721" t="s">
        <v>4184</v>
      </c>
      <c r="D1097" s="721">
        <v>295</v>
      </c>
      <c r="E1097" s="721" t="s">
        <v>4036</v>
      </c>
      <c r="F1097" s="721" t="s">
        <v>84</v>
      </c>
      <c r="G1097" s="721" t="s">
        <v>2042</v>
      </c>
      <c r="H1097" s="721">
        <v>1</v>
      </c>
      <c r="I1097" s="721" t="s">
        <v>4185</v>
      </c>
      <c r="J1097" s="721" t="s">
        <v>4186</v>
      </c>
      <c r="K1097" s="721" t="s">
        <v>2044</v>
      </c>
      <c r="L1097" s="721">
        <v>46664981</v>
      </c>
      <c r="M1097" s="721" t="s">
        <v>2896</v>
      </c>
      <c r="N1097" s="746"/>
      <c r="O1097" s="746"/>
      <c r="P1097" s="746"/>
      <c r="Q1097" s="746"/>
      <c r="R1097" s="521"/>
      <c r="S1097" s="521"/>
    </row>
    <row r="1098" spans="1:19">
      <c r="A1098" s="723">
        <v>52</v>
      </c>
      <c r="B1098" s="723">
        <v>20062295044</v>
      </c>
      <c r="C1098" s="723" t="s">
        <v>4187</v>
      </c>
      <c r="D1098" s="723">
        <v>295</v>
      </c>
      <c r="E1098" s="723" t="s">
        <v>4036</v>
      </c>
      <c r="F1098" s="723" t="s">
        <v>84</v>
      </c>
      <c r="G1098" s="723" t="s">
        <v>2042</v>
      </c>
      <c r="H1098" s="723">
        <v>1</v>
      </c>
      <c r="I1098" s="723" t="s">
        <v>4188</v>
      </c>
      <c r="J1098" s="723" t="s">
        <v>4189</v>
      </c>
      <c r="K1098" s="723" t="s">
        <v>2044</v>
      </c>
      <c r="L1098" s="723">
        <v>7171736</v>
      </c>
      <c r="M1098" s="723" t="s">
        <v>2914</v>
      </c>
      <c r="N1098" s="746"/>
      <c r="O1098" s="746"/>
      <c r="P1098" s="746"/>
      <c r="Q1098" s="746"/>
      <c r="R1098" s="521"/>
      <c r="S1098" s="521"/>
    </row>
    <row r="1099" spans="1:19">
      <c r="A1099" s="721">
        <v>53</v>
      </c>
      <c r="B1099" s="721">
        <v>20062295045</v>
      </c>
      <c r="C1099" s="721" t="s">
        <v>4190</v>
      </c>
      <c r="D1099" s="721">
        <v>295</v>
      </c>
      <c r="E1099" s="721" t="s">
        <v>4036</v>
      </c>
      <c r="F1099" s="721" t="s">
        <v>84</v>
      </c>
      <c r="G1099" s="721" t="s">
        <v>2042</v>
      </c>
      <c r="H1099" s="721" t="s">
        <v>2043</v>
      </c>
      <c r="I1099" s="721" t="s">
        <v>4191</v>
      </c>
      <c r="J1099" s="721" t="s">
        <v>4192</v>
      </c>
      <c r="K1099" s="721" t="s">
        <v>2044</v>
      </c>
      <c r="L1099" s="721">
        <v>46670431</v>
      </c>
      <c r="M1099" s="721" t="s">
        <v>2900</v>
      </c>
      <c r="N1099" s="746"/>
      <c r="O1099" s="746"/>
      <c r="P1099" s="746"/>
      <c r="Q1099" s="746"/>
      <c r="R1099" s="521"/>
      <c r="S1099" s="521"/>
    </row>
    <row r="1100" spans="1:19">
      <c r="A1100" s="723">
        <v>54</v>
      </c>
      <c r="B1100" s="723">
        <v>20062295048</v>
      </c>
      <c r="C1100" s="723" t="s">
        <v>4193</v>
      </c>
      <c r="D1100" s="723">
        <v>295</v>
      </c>
      <c r="E1100" s="723" t="s">
        <v>4036</v>
      </c>
      <c r="F1100" s="723" t="s">
        <v>84</v>
      </c>
      <c r="G1100" s="723" t="s">
        <v>2042</v>
      </c>
      <c r="H1100" s="723">
        <v>4</v>
      </c>
      <c r="I1100" s="723" t="s">
        <v>4194</v>
      </c>
      <c r="J1100" s="723" t="s">
        <v>4195</v>
      </c>
      <c r="K1100" s="723" t="s">
        <v>2044</v>
      </c>
      <c r="L1100" s="723">
        <v>79925864</v>
      </c>
      <c r="M1100" s="723" t="s">
        <v>2543</v>
      </c>
      <c r="N1100" s="746"/>
      <c r="O1100" s="746"/>
      <c r="P1100" s="746"/>
      <c r="Q1100" s="746"/>
      <c r="R1100" s="521"/>
      <c r="S1100" s="521"/>
    </row>
    <row r="1101" spans="1:19">
      <c r="A1101" s="721">
        <v>55</v>
      </c>
      <c r="B1101" s="721">
        <v>20071195004</v>
      </c>
      <c r="C1101" s="721" t="s">
        <v>4196</v>
      </c>
      <c r="D1101" s="721">
        <v>295</v>
      </c>
      <c r="E1101" s="721" t="s">
        <v>4036</v>
      </c>
      <c r="F1101" s="721" t="s">
        <v>84</v>
      </c>
      <c r="G1101" s="721" t="s">
        <v>2042</v>
      </c>
      <c r="H1101" s="721">
        <v>1</v>
      </c>
      <c r="I1101" s="721" t="s">
        <v>4197</v>
      </c>
      <c r="J1101" s="721" t="s">
        <v>4198</v>
      </c>
      <c r="K1101" s="721" t="s">
        <v>2044</v>
      </c>
      <c r="L1101" s="721">
        <v>79983829</v>
      </c>
      <c r="M1101" s="721" t="s">
        <v>2167</v>
      </c>
      <c r="N1101" s="746"/>
      <c r="O1101" s="746"/>
      <c r="P1101" s="746"/>
      <c r="Q1101" s="746"/>
      <c r="R1101" s="521"/>
      <c r="S1101" s="521"/>
    </row>
    <row r="1102" spans="1:19">
      <c r="A1102" s="723">
        <v>56</v>
      </c>
      <c r="B1102" s="723">
        <v>20071295002</v>
      </c>
      <c r="C1102" s="723" t="s">
        <v>4199</v>
      </c>
      <c r="D1102" s="723">
        <v>295</v>
      </c>
      <c r="E1102" s="723" t="s">
        <v>4036</v>
      </c>
      <c r="F1102" s="723" t="s">
        <v>84</v>
      </c>
      <c r="G1102" s="723" t="s">
        <v>2042</v>
      </c>
      <c r="H1102" s="723" t="s">
        <v>2043</v>
      </c>
      <c r="I1102" s="723" t="s">
        <v>4200</v>
      </c>
      <c r="J1102" s="723" t="s">
        <v>4201</v>
      </c>
      <c r="K1102" s="723" t="s">
        <v>2044</v>
      </c>
      <c r="L1102" s="723">
        <v>72134209</v>
      </c>
      <c r="M1102" s="723" t="s">
        <v>2860</v>
      </c>
      <c r="N1102" s="746"/>
      <c r="O1102" s="746"/>
      <c r="P1102" s="746"/>
      <c r="Q1102" s="746"/>
      <c r="R1102" s="521"/>
      <c r="S1102" s="521"/>
    </row>
    <row r="1103" spans="1:19">
      <c r="A1103" s="721">
        <v>57</v>
      </c>
      <c r="B1103" s="721">
        <v>20071295005</v>
      </c>
      <c r="C1103" s="721" t="s">
        <v>4202</v>
      </c>
      <c r="D1103" s="721">
        <v>295</v>
      </c>
      <c r="E1103" s="721" t="s">
        <v>4036</v>
      </c>
      <c r="F1103" s="721" t="s">
        <v>84</v>
      </c>
      <c r="G1103" s="721" t="s">
        <v>2042</v>
      </c>
      <c r="H1103" s="721" t="s">
        <v>2043</v>
      </c>
      <c r="I1103" s="721" t="s">
        <v>4203</v>
      </c>
      <c r="J1103" s="721" t="s">
        <v>4204</v>
      </c>
      <c r="K1103" s="721" t="s">
        <v>2044</v>
      </c>
      <c r="L1103" s="721">
        <v>46383192</v>
      </c>
      <c r="M1103" s="721" t="s">
        <v>2896</v>
      </c>
      <c r="N1103" s="746"/>
      <c r="O1103" s="746"/>
      <c r="P1103" s="746"/>
      <c r="Q1103" s="746"/>
      <c r="R1103" s="521"/>
      <c r="S1103" s="521"/>
    </row>
    <row r="1104" spans="1:19">
      <c r="A1104" s="723">
        <v>58</v>
      </c>
      <c r="B1104" s="723">
        <v>20071295008</v>
      </c>
      <c r="C1104" s="723" t="s">
        <v>4205</v>
      </c>
      <c r="D1104" s="723">
        <v>295</v>
      </c>
      <c r="E1104" s="723" t="s">
        <v>4036</v>
      </c>
      <c r="F1104" s="723" t="s">
        <v>84</v>
      </c>
      <c r="G1104" s="723" t="s">
        <v>2042</v>
      </c>
      <c r="H1104" s="723" t="s">
        <v>2043</v>
      </c>
      <c r="I1104" s="723" t="s">
        <v>4206</v>
      </c>
      <c r="J1104" s="723" t="s">
        <v>4207</v>
      </c>
      <c r="K1104" s="723" t="s">
        <v>2044</v>
      </c>
      <c r="L1104" s="723">
        <v>52519622</v>
      </c>
      <c r="M1104" s="723" t="s">
        <v>2910</v>
      </c>
      <c r="N1104" s="746"/>
      <c r="O1104" s="746"/>
      <c r="P1104" s="746"/>
      <c r="Q1104" s="746"/>
      <c r="R1104" s="521"/>
      <c r="S1104" s="521"/>
    </row>
    <row r="1105" spans="1:19">
      <c r="A1105" s="721">
        <v>59</v>
      </c>
      <c r="B1105" s="721">
        <v>20071295010</v>
      </c>
      <c r="C1105" s="721" t="s">
        <v>4208</v>
      </c>
      <c r="D1105" s="721">
        <v>295</v>
      </c>
      <c r="E1105" s="721" t="s">
        <v>4036</v>
      </c>
      <c r="F1105" s="721" t="s">
        <v>84</v>
      </c>
      <c r="G1105" s="721" t="s">
        <v>2042</v>
      </c>
      <c r="H1105" s="721">
        <v>3</v>
      </c>
      <c r="I1105" s="721" t="s">
        <v>4209</v>
      </c>
      <c r="J1105" s="721" t="s">
        <v>4210</v>
      </c>
      <c r="K1105" s="721" t="s">
        <v>2044</v>
      </c>
      <c r="L1105" s="721">
        <v>51882764</v>
      </c>
      <c r="M1105" s="721" t="s">
        <v>2910</v>
      </c>
      <c r="N1105" s="746"/>
      <c r="O1105" s="746"/>
      <c r="P1105" s="746"/>
      <c r="Q1105" s="746"/>
      <c r="R1105" s="521"/>
      <c r="S1105" s="521"/>
    </row>
    <row r="1106" spans="1:19">
      <c r="A1106" s="723">
        <v>60</v>
      </c>
      <c r="B1106" s="723">
        <v>20072295005</v>
      </c>
      <c r="C1106" s="723" t="s">
        <v>4211</v>
      </c>
      <c r="D1106" s="723">
        <v>295</v>
      </c>
      <c r="E1106" s="723" t="s">
        <v>4036</v>
      </c>
      <c r="F1106" s="723" t="s">
        <v>84</v>
      </c>
      <c r="G1106" s="723" t="s">
        <v>2042</v>
      </c>
      <c r="H1106" s="723" t="s">
        <v>2043</v>
      </c>
      <c r="I1106" s="723" t="s">
        <v>4212</v>
      </c>
      <c r="J1106" s="723" t="s">
        <v>4213</v>
      </c>
      <c r="K1106" s="723" t="s">
        <v>2044</v>
      </c>
      <c r="L1106" s="723">
        <v>3251891</v>
      </c>
      <c r="M1106" s="723" t="s">
        <v>2896</v>
      </c>
      <c r="N1106" s="746"/>
      <c r="O1106" s="746"/>
      <c r="P1106" s="746"/>
      <c r="Q1106" s="746"/>
      <c r="R1106" s="521"/>
      <c r="S1106" s="521"/>
    </row>
    <row r="1107" spans="1:19">
      <c r="A1107" s="721">
        <v>61</v>
      </c>
      <c r="B1107" s="721">
        <v>20081295002</v>
      </c>
      <c r="C1107" s="721" t="s">
        <v>4214</v>
      </c>
      <c r="D1107" s="721">
        <v>295</v>
      </c>
      <c r="E1107" s="721" t="s">
        <v>4036</v>
      </c>
      <c r="F1107" s="721" t="s">
        <v>84</v>
      </c>
      <c r="G1107" s="721" t="s">
        <v>2042</v>
      </c>
      <c r="H1107" s="721">
        <v>1</v>
      </c>
      <c r="I1107" s="721" t="s">
        <v>4215</v>
      </c>
      <c r="J1107" s="721" t="s">
        <v>4216</v>
      </c>
      <c r="K1107" s="721" t="s">
        <v>2044</v>
      </c>
      <c r="L1107" s="721">
        <v>80724491</v>
      </c>
      <c r="M1107" s="721" t="s">
        <v>2896</v>
      </c>
      <c r="N1107" s="746"/>
      <c r="O1107" s="746"/>
      <c r="P1107" s="746"/>
      <c r="Q1107" s="746"/>
      <c r="R1107" s="521"/>
      <c r="S1107" s="521"/>
    </row>
    <row r="1108" spans="1:19">
      <c r="A1108" s="723">
        <v>62</v>
      </c>
      <c r="B1108" s="723">
        <v>20081295003</v>
      </c>
      <c r="C1108" s="723" t="s">
        <v>4217</v>
      </c>
      <c r="D1108" s="723">
        <v>295</v>
      </c>
      <c r="E1108" s="723" t="s">
        <v>4036</v>
      </c>
      <c r="F1108" s="723" t="s">
        <v>84</v>
      </c>
      <c r="G1108" s="723" t="s">
        <v>2042</v>
      </c>
      <c r="H1108" s="723" t="s">
        <v>2043</v>
      </c>
      <c r="I1108" s="723" t="s">
        <v>4218</v>
      </c>
      <c r="J1108" s="723" t="s">
        <v>4219</v>
      </c>
      <c r="K1108" s="723" t="s">
        <v>2044</v>
      </c>
      <c r="L1108" s="723">
        <v>7178325</v>
      </c>
      <c r="M1108" s="723" t="s">
        <v>2143</v>
      </c>
      <c r="N1108" s="746"/>
      <c r="O1108" s="746"/>
      <c r="P1108" s="746"/>
      <c r="Q1108" s="746"/>
      <c r="R1108" s="521"/>
      <c r="S1108" s="521"/>
    </row>
    <row r="1109" spans="1:19">
      <c r="A1109" s="721">
        <v>63</v>
      </c>
      <c r="B1109" s="721">
        <v>20081295004</v>
      </c>
      <c r="C1109" s="721" t="s">
        <v>4220</v>
      </c>
      <c r="D1109" s="721">
        <v>295</v>
      </c>
      <c r="E1109" s="721" t="s">
        <v>4036</v>
      </c>
      <c r="F1109" s="721" t="s">
        <v>84</v>
      </c>
      <c r="G1109" s="721" t="s">
        <v>2042</v>
      </c>
      <c r="H1109" s="721">
        <v>1</v>
      </c>
      <c r="I1109" s="721" t="s">
        <v>4221</v>
      </c>
      <c r="J1109" s="721" t="s">
        <v>4222</v>
      </c>
      <c r="K1109" s="721" t="s">
        <v>2044</v>
      </c>
      <c r="L1109" s="721">
        <v>44161192</v>
      </c>
      <c r="M1109" s="721" t="s">
        <v>2192</v>
      </c>
      <c r="N1109" s="746"/>
      <c r="O1109" s="746"/>
      <c r="P1109" s="746"/>
      <c r="Q1109" s="746"/>
      <c r="R1109" s="521"/>
      <c r="S1109" s="521"/>
    </row>
    <row r="1110" spans="1:19">
      <c r="A1110" s="723">
        <v>64</v>
      </c>
      <c r="B1110" s="723">
        <v>20081295006</v>
      </c>
      <c r="C1110" s="723" t="s">
        <v>4223</v>
      </c>
      <c r="D1110" s="723">
        <v>295</v>
      </c>
      <c r="E1110" s="723" t="s">
        <v>4036</v>
      </c>
      <c r="F1110" s="723" t="s">
        <v>84</v>
      </c>
      <c r="G1110" s="723" t="s">
        <v>2042</v>
      </c>
      <c r="H1110" s="723">
        <v>1</v>
      </c>
      <c r="I1110" s="723"/>
      <c r="J1110" s="723" t="s">
        <v>4224</v>
      </c>
      <c r="K1110" s="723" t="s">
        <v>2044</v>
      </c>
      <c r="L1110" s="723">
        <v>11315786</v>
      </c>
      <c r="M1110" s="723" t="s">
        <v>2143</v>
      </c>
      <c r="N1110" s="746"/>
      <c r="O1110" s="746"/>
      <c r="P1110" s="746"/>
      <c r="Q1110" s="746"/>
      <c r="R1110" s="521"/>
      <c r="S1110" s="521"/>
    </row>
    <row r="1111" spans="1:19">
      <c r="A1111" s="721">
        <v>65</v>
      </c>
      <c r="B1111" s="721">
        <v>20081295014</v>
      </c>
      <c r="C1111" s="721" t="s">
        <v>4225</v>
      </c>
      <c r="D1111" s="721">
        <v>295</v>
      </c>
      <c r="E1111" s="721" t="s">
        <v>4036</v>
      </c>
      <c r="F1111" s="721" t="s">
        <v>84</v>
      </c>
      <c r="G1111" s="721" t="s">
        <v>2042</v>
      </c>
      <c r="H1111" s="721">
        <v>1</v>
      </c>
      <c r="I1111" s="721" t="s">
        <v>4226</v>
      </c>
      <c r="J1111" s="721" t="s">
        <v>4227</v>
      </c>
      <c r="K1111" s="721" t="s">
        <v>2044</v>
      </c>
      <c r="L1111" s="721">
        <v>52369898</v>
      </c>
      <c r="M1111" s="721" t="s">
        <v>2167</v>
      </c>
      <c r="N1111" s="746"/>
      <c r="O1111" s="746"/>
      <c r="P1111" s="746"/>
      <c r="Q1111" s="746"/>
      <c r="R1111" s="521"/>
      <c r="S1111" s="521"/>
    </row>
    <row r="1112" spans="1:19">
      <c r="A1112" s="723">
        <v>66</v>
      </c>
      <c r="B1112" s="723">
        <v>20082295001</v>
      </c>
      <c r="C1112" s="723" t="s">
        <v>4228</v>
      </c>
      <c r="D1112" s="723">
        <v>295</v>
      </c>
      <c r="E1112" s="723" t="s">
        <v>4036</v>
      </c>
      <c r="F1112" s="723" t="s">
        <v>84</v>
      </c>
      <c r="G1112" s="723" t="s">
        <v>2042</v>
      </c>
      <c r="H1112" s="723" t="s">
        <v>2043</v>
      </c>
      <c r="I1112" s="723" t="s">
        <v>4229</v>
      </c>
      <c r="J1112" s="723" t="s">
        <v>4230</v>
      </c>
      <c r="K1112" s="723" t="s">
        <v>2044</v>
      </c>
      <c r="L1112" s="723">
        <v>86042004</v>
      </c>
      <c r="M1112" s="723" t="s">
        <v>2896</v>
      </c>
      <c r="N1112" s="746"/>
      <c r="O1112" s="746"/>
      <c r="P1112" s="746"/>
      <c r="Q1112" s="746"/>
      <c r="R1112" s="521"/>
      <c r="S1112" s="521"/>
    </row>
    <row r="1113" spans="1:19">
      <c r="A1113" s="721">
        <v>67</v>
      </c>
      <c r="B1113" s="721">
        <v>20082295002</v>
      </c>
      <c r="C1113" s="721" t="s">
        <v>4231</v>
      </c>
      <c r="D1113" s="721">
        <v>295</v>
      </c>
      <c r="E1113" s="721" t="s">
        <v>4036</v>
      </c>
      <c r="F1113" s="721" t="s">
        <v>84</v>
      </c>
      <c r="G1113" s="721" t="s">
        <v>2042</v>
      </c>
      <c r="H1113" s="721" t="s">
        <v>2043</v>
      </c>
      <c r="I1113" s="721" t="s">
        <v>4232</v>
      </c>
      <c r="J1113" s="721" t="s">
        <v>4233</v>
      </c>
      <c r="K1113" s="721" t="s">
        <v>2044</v>
      </c>
      <c r="L1113" s="721">
        <v>63505871</v>
      </c>
      <c r="M1113" s="721" t="s">
        <v>2910</v>
      </c>
      <c r="N1113" s="746"/>
      <c r="O1113" s="746"/>
      <c r="P1113" s="746"/>
      <c r="Q1113" s="746"/>
      <c r="R1113" s="521"/>
      <c r="S1113" s="521"/>
    </row>
    <row r="1114" spans="1:19">
      <c r="A1114" s="723">
        <v>68</v>
      </c>
      <c r="B1114" s="723">
        <v>20082295004</v>
      </c>
      <c r="C1114" s="723" t="s">
        <v>4234</v>
      </c>
      <c r="D1114" s="723">
        <v>295</v>
      </c>
      <c r="E1114" s="723" t="s">
        <v>4036</v>
      </c>
      <c r="F1114" s="723" t="s">
        <v>84</v>
      </c>
      <c r="G1114" s="723" t="s">
        <v>2042</v>
      </c>
      <c r="H1114" s="723">
        <v>3</v>
      </c>
      <c r="I1114" s="723" t="s">
        <v>4235</v>
      </c>
      <c r="J1114" s="723" t="s">
        <v>4236</v>
      </c>
      <c r="K1114" s="723" t="s">
        <v>2044</v>
      </c>
      <c r="L1114" s="723">
        <v>4238845</v>
      </c>
      <c r="M1114" s="723" t="s">
        <v>2218</v>
      </c>
      <c r="N1114" s="746"/>
      <c r="O1114" s="746"/>
      <c r="P1114" s="746"/>
      <c r="Q1114" s="746"/>
      <c r="R1114" s="521"/>
      <c r="S1114" s="521"/>
    </row>
    <row r="1115" spans="1:19">
      <c r="A1115" s="721">
        <v>69</v>
      </c>
      <c r="B1115" s="721">
        <v>20082295007</v>
      </c>
      <c r="C1115" s="721" t="s">
        <v>4237</v>
      </c>
      <c r="D1115" s="721">
        <v>295</v>
      </c>
      <c r="E1115" s="721" t="s">
        <v>4036</v>
      </c>
      <c r="F1115" s="721" t="s">
        <v>84</v>
      </c>
      <c r="G1115" s="721" t="s">
        <v>2042</v>
      </c>
      <c r="H1115" s="721" t="s">
        <v>2043</v>
      </c>
      <c r="I1115" s="721" t="s">
        <v>4238</v>
      </c>
      <c r="J1115" s="721" t="s">
        <v>4239</v>
      </c>
      <c r="K1115" s="721" t="s">
        <v>2044</v>
      </c>
      <c r="L1115" s="721">
        <v>80167835</v>
      </c>
      <c r="M1115" s="721" t="s">
        <v>2218</v>
      </c>
      <c r="N1115" s="746"/>
      <c r="O1115" s="746"/>
      <c r="P1115" s="746"/>
      <c r="Q1115" s="746"/>
      <c r="R1115" s="521"/>
      <c r="S1115" s="521"/>
    </row>
    <row r="1116" spans="1:19">
      <c r="A1116" s="723">
        <v>70</v>
      </c>
      <c r="B1116" s="723">
        <v>20082295012</v>
      </c>
      <c r="C1116" s="723" t="s">
        <v>4240</v>
      </c>
      <c r="D1116" s="723">
        <v>295</v>
      </c>
      <c r="E1116" s="723" t="s">
        <v>4036</v>
      </c>
      <c r="F1116" s="723" t="s">
        <v>84</v>
      </c>
      <c r="G1116" s="723" t="s">
        <v>2042</v>
      </c>
      <c r="H1116" s="723" t="s">
        <v>2043</v>
      </c>
      <c r="I1116" s="723" t="s">
        <v>4241</v>
      </c>
      <c r="J1116" s="723" t="s">
        <v>4242</v>
      </c>
      <c r="K1116" s="723" t="s">
        <v>2044</v>
      </c>
      <c r="L1116" s="723">
        <v>53050049</v>
      </c>
      <c r="M1116" s="723" t="s">
        <v>3123</v>
      </c>
      <c r="N1116" s="746"/>
      <c r="O1116" s="746"/>
      <c r="P1116" s="746"/>
      <c r="Q1116" s="746"/>
      <c r="R1116" s="521"/>
      <c r="S1116" s="521"/>
    </row>
    <row r="1117" spans="1:19">
      <c r="A1117" s="721">
        <v>71</v>
      </c>
      <c r="B1117" s="721">
        <v>20082295015</v>
      </c>
      <c r="C1117" s="721" t="s">
        <v>4243</v>
      </c>
      <c r="D1117" s="721">
        <v>295</v>
      </c>
      <c r="E1117" s="721" t="s">
        <v>4036</v>
      </c>
      <c r="F1117" s="721" t="s">
        <v>84</v>
      </c>
      <c r="G1117" s="721" t="s">
        <v>2042</v>
      </c>
      <c r="H1117" s="721">
        <v>1</v>
      </c>
      <c r="I1117" s="721" t="s">
        <v>4244</v>
      </c>
      <c r="J1117" s="721" t="s">
        <v>4245</v>
      </c>
      <c r="K1117" s="721" t="s">
        <v>2044</v>
      </c>
      <c r="L1117" s="721">
        <v>80854045</v>
      </c>
      <c r="M1117" s="721" t="s">
        <v>2192</v>
      </c>
      <c r="N1117" s="746"/>
      <c r="O1117" s="746"/>
      <c r="P1117" s="746"/>
      <c r="Q1117" s="746"/>
      <c r="R1117" s="521"/>
      <c r="S1117" s="521"/>
    </row>
    <row r="1118" spans="1:19">
      <c r="A1118" s="723">
        <v>72</v>
      </c>
      <c r="B1118" s="723">
        <v>20082295016</v>
      </c>
      <c r="C1118" s="723" t="s">
        <v>3730</v>
      </c>
      <c r="D1118" s="723">
        <v>295</v>
      </c>
      <c r="E1118" s="723" t="s">
        <v>4036</v>
      </c>
      <c r="F1118" s="723" t="s">
        <v>84</v>
      </c>
      <c r="G1118" s="723" t="s">
        <v>2042</v>
      </c>
      <c r="H1118" s="723">
        <v>1</v>
      </c>
      <c r="I1118" s="723" t="s">
        <v>4246</v>
      </c>
      <c r="J1118" s="723" t="s">
        <v>3731</v>
      </c>
      <c r="K1118" s="723" t="s">
        <v>2044</v>
      </c>
      <c r="L1118" s="723">
        <v>65771052</v>
      </c>
      <c r="M1118" s="723" t="s">
        <v>2143</v>
      </c>
      <c r="N1118" s="746"/>
      <c r="O1118" s="746"/>
      <c r="P1118" s="746"/>
      <c r="Q1118" s="746"/>
      <c r="R1118" s="521"/>
      <c r="S1118" s="521"/>
    </row>
    <row r="1119" spans="1:19">
      <c r="A1119" s="721">
        <v>73</v>
      </c>
      <c r="B1119" s="721">
        <v>20091295006</v>
      </c>
      <c r="C1119" s="721" t="s">
        <v>4247</v>
      </c>
      <c r="D1119" s="721">
        <v>295</v>
      </c>
      <c r="E1119" s="721" t="s">
        <v>4036</v>
      </c>
      <c r="F1119" s="721" t="s">
        <v>84</v>
      </c>
      <c r="G1119" s="721" t="s">
        <v>2042</v>
      </c>
      <c r="H1119" s="721">
        <v>3</v>
      </c>
      <c r="I1119" s="721" t="s">
        <v>4248</v>
      </c>
      <c r="J1119" s="721" t="s">
        <v>4249</v>
      </c>
      <c r="K1119" s="721" t="s">
        <v>2044</v>
      </c>
      <c r="L1119" s="721">
        <v>80489909</v>
      </c>
      <c r="M1119" s="721" t="s">
        <v>2218</v>
      </c>
      <c r="N1119" s="746"/>
      <c r="O1119" s="746"/>
      <c r="P1119" s="746"/>
      <c r="Q1119" s="746"/>
      <c r="R1119" s="521"/>
      <c r="S1119" s="521"/>
    </row>
    <row r="1120" spans="1:19">
      <c r="A1120" s="723">
        <v>74</v>
      </c>
      <c r="B1120" s="723">
        <v>20091295007</v>
      </c>
      <c r="C1120" s="723" t="s">
        <v>4250</v>
      </c>
      <c r="D1120" s="723">
        <v>295</v>
      </c>
      <c r="E1120" s="723" t="s">
        <v>4036</v>
      </c>
      <c r="F1120" s="723" t="s">
        <v>84</v>
      </c>
      <c r="G1120" s="723" t="s">
        <v>2042</v>
      </c>
      <c r="H1120" s="723">
        <v>1</v>
      </c>
      <c r="I1120" s="723" t="s">
        <v>4251</v>
      </c>
      <c r="J1120" s="723" t="s">
        <v>4252</v>
      </c>
      <c r="K1120" s="723" t="s">
        <v>2044</v>
      </c>
      <c r="L1120" s="723">
        <v>52204783</v>
      </c>
      <c r="M1120" s="723" t="s">
        <v>2218</v>
      </c>
      <c r="N1120" s="746"/>
      <c r="O1120" s="746"/>
      <c r="P1120" s="746"/>
      <c r="Q1120" s="746"/>
      <c r="R1120" s="521"/>
      <c r="S1120" s="521"/>
    </row>
    <row r="1121" spans="1:19">
      <c r="A1121" s="721">
        <v>75</v>
      </c>
      <c r="B1121" s="721">
        <v>20091295008</v>
      </c>
      <c r="C1121" s="721" t="s">
        <v>3691</v>
      </c>
      <c r="D1121" s="721">
        <v>295</v>
      </c>
      <c r="E1121" s="721" t="s">
        <v>4036</v>
      </c>
      <c r="F1121" s="721" t="s">
        <v>84</v>
      </c>
      <c r="G1121" s="721" t="s">
        <v>2042</v>
      </c>
      <c r="H1121" s="721" t="s">
        <v>2043</v>
      </c>
      <c r="I1121" s="721" t="s">
        <v>4253</v>
      </c>
      <c r="J1121" s="721" t="s">
        <v>4254</v>
      </c>
      <c r="K1121" s="721" t="s">
        <v>2044</v>
      </c>
      <c r="L1121" s="721">
        <v>60261576</v>
      </c>
      <c r="M1121" s="721" t="s">
        <v>2856</v>
      </c>
      <c r="N1121" s="746"/>
      <c r="O1121" s="746"/>
      <c r="P1121" s="746"/>
      <c r="Q1121" s="746"/>
      <c r="R1121" s="521"/>
      <c r="S1121" s="521"/>
    </row>
    <row r="1122" spans="1:19">
      <c r="A1122" s="723">
        <v>76</v>
      </c>
      <c r="B1122" s="723">
        <v>20091295010</v>
      </c>
      <c r="C1122" s="723" t="s">
        <v>4255</v>
      </c>
      <c r="D1122" s="723">
        <v>295</v>
      </c>
      <c r="E1122" s="723" t="s">
        <v>4036</v>
      </c>
      <c r="F1122" s="723" t="s">
        <v>84</v>
      </c>
      <c r="G1122" s="723" t="s">
        <v>2042</v>
      </c>
      <c r="H1122" s="723">
        <v>2</v>
      </c>
      <c r="I1122" s="723" t="s">
        <v>4256</v>
      </c>
      <c r="J1122" s="723" t="s">
        <v>4257</v>
      </c>
      <c r="K1122" s="723" t="s">
        <v>2044</v>
      </c>
      <c r="L1122" s="723">
        <v>53068852</v>
      </c>
      <c r="M1122" s="723" t="s">
        <v>2218</v>
      </c>
      <c r="N1122" s="746"/>
      <c r="O1122" s="746"/>
      <c r="P1122" s="746"/>
      <c r="Q1122" s="746"/>
      <c r="R1122" s="521"/>
      <c r="S1122" s="521"/>
    </row>
    <row r="1123" spans="1:19">
      <c r="A1123" s="721">
        <v>77</v>
      </c>
      <c r="B1123" s="721">
        <v>20091295011</v>
      </c>
      <c r="C1123" s="721" t="s">
        <v>4258</v>
      </c>
      <c r="D1123" s="721">
        <v>295</v>
      </c>
      <c r="E1123" s="721" t="s">
        <v>4036</v>
      </c>
      <c r="F1123" s="721" t="s">
        <v>84</v>
      </c>
      <c r="G1123" s="721" t="s">
        <v>2042</v>
      </c>
      <c r="H1123" s="721" t="s">
        <v>2043</v>
      </c>
      <c r="I1123" s="721" t="s">
        <v>4259</v>
      </c>
      <c r="J1123" s="721" t="s">
        <v>4260</v>
      </c>
      <c r="K1123" s="721" t="s">
        <v>2044</v>
      </c>
      <c r="L1123" s="721">
        <v>19380272</v>
      </c>
      <c r="M1123" s="721" t="s">
        <v>3123</v>
      </c>
      <c r="N1123" s="746"/>
      <c r="O1123" s="746"/>
      <c r="P1123" s="746"/>
      <c r="Q1123" s="746"/>
      <c r="R1123" s="521"/>
      <c r="S1123" s="521"/>
    </row>
    <row r="1124" spans="1:19">
      <c r="A1124" s="723">
        <v>78</v>
      </c>
      <c r="B1124" s="723">
        <v>20091295012</v>
      </c>
      <c r="C1124" s="723" t="s">
        <v>4261</v>
      </c>
      <c r="D1124" s="723">
        <v>295</v>
      </c>
      <c r="E1124" s="723" t="s">
        <v>4036</v>
      </c>
      <c r="F1124" s="723" t="s">
        <v>84</v>
      </c>
      <c r="G1124" s="723" t="s">
        <v>2042</v>
      </c>
      <c r="H1124" s="723">
        <v>1</v>
      </c>
      <c r="I1124" s="723" t="s">
        <v>4262</v>
      </c>
      <c r="J1124" s="723" t="s">
        <v>4263</v>
      </c>
      <c r="K1124" s="723" t="s">
        <v>2044</v>
      </c>
      <c r="L1124" s="723">
        <v>86072123</v>
      </c>
      <c r="M1124" s="723" t="s">
        <v>2860</v>
      </c>
      <c r="N1124" s="746"/>
      <c r="O1124" s="746"/>
      <c r="P1124" s="746"/>
      <c r="Q1124" s="746"/>
      <c r="R1124" s="521"/>
      <c r="S1124" s="521"/>
    </row>
    <row r="1125" spans="1:19">
      <c r="A1125" s="721">
        <v>79</v>
      </c>
      <c r="B1125" s="721">
        <v>20091295013</v>
      </c>
      <c r="C1125" s="721" t="s">
        <v>4264</v>
      </c>
      <c r="D1125" s="721">
        <v>295</v>
      </c>
      <c r="E1125" s="721" t="s">
        <v>4036</v>
      </c>
      <c r="F1125" s="721" t="s">
        <v>84</v>
      </c>
      <c r="G1125" s="721" t="s">
        <v>2042</v>
      </c>
      <c r="H1125" s="721">
        <v>2</v>
      </c>
      <c r="I1125" s="721" t="s">
        <v>4265</v>
      </c>
      <c r="J1125" s="721" t="s">
        <v>4266</v>
      </c>
      <c r="K1125" s="721" t="s">
        <v>2044</v>
      </c>
      <c r="L1125" s="721">
        <v>80110111</v>
      </c>
      <c r="M1125" s="721" t="s">
        <v>2612</v>
      </c>
      <c r="N1125" s="746"/>
      <c r="O1125" s="746"/>
      <c r="P1125" s="746"/>
      <c r="Q1125" s="746"/>
      <c r="R1125" s="521"/>
      <c r="S1125" s="521"/>
    </row>
    <row r="1126" spans="1:19">
      <c r="A1126" s="723">
        <v>80</v>
      </c>
      <c r="B1126" s="723">
        <v>20091295016</v>
      </c>
      <c r="C1126" s="723" t="s">
        <v>4267</v>
      </c>
      <c r="D1126" s="723">
        <v>295</v>
      </c>
      <c r="E1126" s="723" t="s">
        <v>4036</v>
      </c>
      <c r="F1126" s="723" t="s">
        <v>84</v>
      </c>
      <c r="G1126" s="723" t="s">
        <v>2042</v>
      </c>
      <c r="H1126" s="723" t="s">
        <v>2043</v>
      </c>
      <c r="I1126" s="723" t="s">
        <v>4268</v>
      </c>
      <c r="J1126" s="723" t="s">
        <v>4269</v>
      </c>
      <c r="K1126" s="723" t="s">
        <v>2044</v>
      </c>
      <c r="L1126" s="723">
        <v>79333635</v>
      </c>
      <c r="M1126" s="723" t="s">
        <v>3130</v>
      </c>
      <c r="N1126" s="746"/>
      <c r="O1126" s="746"/>
      <c r="P1126" s="746"/>
      <c r="Q1126" s="746"/>
      <c r="R1126" s="521"/>
      <c r="S1126" s="521"/>
    </row>
    <row r="1127" spans="1:19">
      <c r="A1127" s="721">
        <v>81</v>
      </c>
      <c r="B1127" s="721">
        <v>20092295004</v>
      </c>
      <c r="C1127" s="721" t="s">
        <v>4270</v>
      </c>
      <c r="D1127" s="721">
        <v>295</v>
      </c>
      <c r="E1127" s="721" t="s">
        <v>4036</v>
      </c>
      <c r="F1127" s="721" t="s">
        <v>84</v>
      </c>
      <c r="G1127" s="721" t="s">
        <v>2042</v>
      </c>
      <c r="H1127" s="721" t="s">
        <v>2043</v>
      </c>
      <c r="I1127" s="721" t="s">
        <v>4271</v>
      </c>
      <c r="J1127" s="721" t="s">
        <v>4272</v>
      </c>
      <c r="K1127" s="721" t="s">
        <v>2044</v>
      </c>
      <c r="L1127" s="721">
        <v>19594358</v>
      </c>
      <c r="M1127" s="721" t="s">
        <v>2896</v>
      </c>
      <c r="N1127" s="746"/>
      <c r="O1127" s="746"/>
      <c r="P1127" s="746"/>
      <c r="Q1127" s="746"/>
      <c r="R1127" s="521"/>
      <c r="S1127" s="521"/>
    </row>
    <row r="1128" spans="1:19">
      <c r="A1128" s="723">
        <v>82</v>
      </c>
      <c r="B1128" s="723">
        <v>20092295007</v>
      </c>
      <c r="C1128" s="723" t="s">
        <v>4273</v>
      </c>
      <c r="D1128" s="723">
        <v>295</v>
      </c>
      <c r="E1128" s="723" t="s">
        <v>4036</v>
      </c>
      <c r="F1128" s="723" t="s">
        <v>84</v>
      </c>
      <c r="G1128" s="723" t="s">
        <v>2042</v>
      </c>
      <c r="H1128" s="723">
        <v>3</v>
      </c>
      <c r="I1128" s="723" t="s">
        <v>4274</v>
      </c>
      <c r="J1128" s="723" t="s">
        <v>4275</v>
      </c>
      <c r="K1128" s="723" t="s">
        <v>2044</v>
      </c>
      <c r="L1128" s="723">
        <v>79445380</v>
      </c>
      <c r="M1128" s="723" t="s">
        <v>3123</v>
      </c>
      <c r="N1128" s="746"/>
      <c r="O1128" s="746"/>
      <c r="P1128" s="746"/>
      <c r="Q1128" s="746"/>
      <c r="R1128" s="521"/>
      <c r="S1128" s="521"/>
    </row>
    <row r="1129" spans="1:19">
      <c r="A1129" s="721">
        <v>83</v>
      </c>
      <c r="B1129" s="721">
        <v>20092295010</v>
      </c>
      <c r="C1129" s="721" t="s">
        <v>4276</v>
      </c>
      <c r="D1129" s="721">
        <v>295</v>
      </c>
      <c r="E1129" s="721" t="s">
        <v>4036</v>
      </c>
      <c r="F1129" s="721" t="s">
        <v>84</v>
      </c>
      <c r="G1129" s="721" t="s">
        <v>2042</v>
      </c>
      <c r="H1129" s="721" t="s">
        <v>2043</v>
      </c>
      <c r="I1129" s="721" t="s">
        <v>4277</v>
      </c>
      <c r="J1129" s="721" t="s">
        <v>4278</v>
      </c>
      <c r="K1129" s="721" t="s">
        <v>2044</v>
      </c>
      <c r="L1129" s="721">
        <v>85163854</v>
      </c>
      <c r="M1129" s="721" t="s">
        <v>2218</v>
      </c>
      <c r="N1129" s="746"/>
      <c r="O1129" s="746"/>
      <c r="P1129" s="746"/>
      <c r="Q1129" s="746"/>
      <c r="R1129" s="521"/>
      <c r="S1129" s="521"/>
    </row>
    <row r="1130" spans="1:19">
      <c r="A1130" s="723">
        <v>84</v>
      </c>
      <c r="B1130" s="723">
        <v>20092295011</v>
      </c>
      <c r="C1130" s="723" t="s">
        <v>4279</v>
      </c>
      <c r="D1130" s="723">
        <v>295</v>
      </c>
      <c r="E1130" s="723" t="s">
        <v>4036</v>
      </c>
      <c r="F1130" s="723" t="s">
        <v>84</v>
      </c>
      <c r="G1130" s="723" t="s">
        <v>2042</v>
      </c>
      <c r="H1130" s="723" t="s">
        <v>2043</v>
      </c>
      <c r="I1130" s="723" t="s">
        <v>4280</v>
      </c>
      <c r="J1130" s="723" t="s">
        <v>4281</v>
      </c>
      <c r="K1130" s="723" t="s">
        <v>2044</v>
      </c>
      <c r="L1130" s="723">
        <v>80130797</v>
      </c>
      <c r="M1130" s="723" t="s">
        <v>2218</v>
      </c>
      <c r="N1130" s="746"/>
      <c r="O1130" s="746"/>
      <c r="P1130" s="746"/>
      <c r="Q1130" s="746"/>
      <c r="R1130" s="521"/>
      <c r="S1130" s="521"/>
    </row>
    <row r="1131" spans="1:19">
      <c r="A1131" s="721">
        <v>85</v>
      </c>
      <c r="B1131" s="721">
        <v>20092295015</v>
      </c>
      <c r="C1131" s="721" t="s">
        <v>4282</v>
      </c>
      <c r="D1131" s="721">
        <v>295</v>
      </c>
      <c r="E1131" s="721" t="s">
        <v>4036</v>
      </c>
      <c r="F1131" s="721" t="s">
        <v>84</v>
      </c>
      <c r="G1131" s="721" t="s">
        <v>2042</v>
      </c>
      <c r="H1131" s="721" t="s">
        <v>2043</v>
      </c>
      <c r="I1131" s="721" t="s">
        <v>4283</v>
      </c>
      <c r="J1131" s="721" t="s">
        <v>4284</v>
      </c>
      <c r="K1131" s="721" t="s">
        <v>2044</v>
      </c>
      <c r="L1131" s="721">
        <v>29944479</v>
      </c>
      <c r="M1131" s="721" t="s">
        <v>2218</v>
      </c>
      <c r="N1131" s="746"/>
      <c r="O1131" s="746"/>
      <c r="P1131" s="746"/>
      <c r="Q1131" s="746"/>
      <c r="R1131" s="521"/>
      <c r="S1131" s="521"/>
    </row>
    <row r="1132" spans="1:19">
      <c r="A1132" s="723">
        <v>86</v>
      </c>
      <c r="B1132" s="723">
        <v>20092295017</v>
      </c>
      <c r="C1132" s="723" t="s">
        <v>4285</v>
      </c>
      <c r="D1132" s="723">
        <v>295</v>
      </c>
      <c r="E1132" s="723" t="s">
        <v>4036</v>
      </c>
      <c r="F1132" s="723" t="s">
        <v>84</v>
      </c>
      <c r="G1132" s="723" t="s">
        <v>2042</v>
      </c>
      <c r="H1132" s="723">
        <v>1</v>
      </c>
      <c r="I1132" s="723" t="s">
        <v>4286</v>
      </c>
      <c r="J1132" s="723" t="s">
        <v>4287</v>
      </c>
      <c r="K1132" s="723" t="s">
        <v>2044</v>
      </c>
      <c r="L1132" s="723">
        <v>80802558</v>
      </c>
      <c r="M1132" s="723" t="s">
        <v>2612</v>
      </c>
      <c r="N1132" s="746"/>
      <c r="O1132" s="746"/>
      <c r="P1132" s="746"/>
      <c r="Q1132" s="746"/>
      <c r="R1132" s="521"/>
      <c r="S1132" s="521"/>
    </row>
    <row r="1133" spans="1:19">
      <c r="A1133" s="721">
        <v>87</v>
      </c>
      <c r="B1133" s="721">
        <v>20092295018</v>
      </c>
      <c r="C1133" s="721" t="s">
        <v>4288</v>
      </c>
      <c r="D1133" s="721">
        <v>295</v>
      </c>
      <c r="E1133" s="721" t="s">
        <v>4036</v>
      </c>
      <c r="F1133" s="721" t="s">
        <v>84</v>
      </c>
      <c r="G1133" s="721" t="s">
        <v>2042</v>
      </c>
      <c r="H1133" s="721" t="s">
        <v>2043</v>
      </c>
      <c r="I1133" s="721" t="s">
        <v>4289</v>
      </c>
      <c r="J1133" s="721" t="s">
        <v>4290</v>
      </c>
      <c r="K1133" s="721" t="s">
        <v>2044</v>
      </c>
      <c r="L1133" s="721">
        <v>79950577</v>
      </c>
      <c r="M1133" s="721" t="s">
        <v>2218</v>
      </c>
      <c r="N1133" s="746"/>
      <c r="O1133" s="746"/>
      <c r="P1133" s="746"/>
      <c r="Q1133" s="746"/>
      <c r="R1133" s="521"/>
      <c r="S1133" s="521"/>
    </row>
    <row r="1134" spans="1:19">
      <c r="A1134" s="723">
        <v>88</v>
      </c>
      <c r="B1134" s="723">
        <v>20101295011</v>
      </c>
      <c r="C1134" s="723" t="s">
        <v>4291</v>
      </c>
      <c r="D1134" s="723">
        <v>295</v>
      </c>
      <c r="E1134" s="723" t="s">
        <v>4036</v>
      </c>
      <c r="F1134" s="723" t="s">
        <v>84</v>
      </c>
      <c r="G1134" s="723" t="s">
        <v>2042</v>
      </c>
      <c r="H1134" s="723">
        <v>1</v>
      </c>
      <c r="I1134" s="723" t="s">
        <v>4292</v>
      </c>
      <c r="J1134" s="723" t="s">
        <v>4293</v>
      </c>
      <c r="K1134" s="723" t="s">
        <v>2044</v>
      </c>
      <c r="L1134" s="723">
        <v>80798506</v>
      </c>
      <c r="M1134" s="723" t="s">
        <v>2167</v>
      </c>
      <c r="N1134" s="746"/>
      <c r="O1134" s="746"/>
      <c r="P1134" s="746"/>
      <c r="Q1134" s="746"/>
      <c r="R1134" s="521"/>
      <c r="S1134" s="521"/>
    </row>
    <row r="1135" spans="1:19">
      <c r="A1135" s="721">
        <v>89</v>
      </c>
      <c r="B1135" s="721">
        <v>20101295014</v>
      </c>
      <c r="C1135" s="721" t="s">
        <v>4294</v>
      </c>
      <c r="D1135" s="721">
        <v>295</v>
      </c>
      <c r="E1135" s="721" t="s">
        <v>4036</v>
      </c>
      <c r="F1135" s="721" t="s">
        <v>84</v>
      </c>
      <c r="G1135" s="721" t="s">
        <v>2042</v>
      </c>
      <c r="H1135" s="721">
        <v>3</v>
      </c>
      <c r="I1135" s="721" t="s">
        <v>4295</v>
      </c>
      <c r="J1135" s="721" t="s">
        <v>4296</v>
      </c>
      <c r="K1135" s="721" t="s">
        <v>2044</v>
      </c>
      <c r="L1135" s="721">
        <v>79763774</v>
      </c>
      <c r="M1135" s="721" t="s">
        <v>2936</v>
      </c>
      <c r="N1135" s="746"/>
      <c r="O1135" s="746"/>
      <c r="P1135" s="746"/>
      <c r="Q1135" s="746"/>
      <c r="R1135" s="521"/>
      <c r="S1135" s="521"/>
    </row>
    <row r="1136" spans="1:19">
      <c r="A1136" s="723">
        <v>90</v>
      </c>
      <c r="B1136" s="723">
        <v>20102295002</v>
      </c>
      <c r="C1136" s="723" t="s">
        <v>4297</v>
      </c>
      <c r="D1136" s="723">
        <v>295</v>
      </c>
      <c r="E1136" s="723" t="s">
        <v>4036</v>
      </c>
      <c r="F1136" s="723" t="s">
        <v>84</v>
      </c>
      <c r="G1136" s="723" t="s">
        <v>2042</v>
      </c>
      <c r="H1136" s="723" t="s">
        <v>2043</v>
      </c>
      <c r="I1136" s="723" t="s">
        <v>4298</v>
      </c>
      <c r="J1136" s="723" t="s">
        <v>4299</v>
      </c>
      <c r="K1136" s="723" t="s">
        <v>2044</v>
      </c>
      <c r="L1136" s="723">
        <v>79642558</v>
      </c>
      <c r="M1136" s="723" t="s">
        <v>3130</v>
      </c>
      <c r="N1136" s="746"/>
      <c r="O1136" s="746"/>
      <c r="P1136" s="746"/>
      <c r="Q1136" s="746"/>
      <c r="R1136" s="521"/>
      <c r="S1136" s="521"/>
    </row>
    <row r="1137" spans="1:19">
      <c r="A1137" s="721">
        <v>91</v>
      </c>
      <c r="B1137" s="721">
        <v>20102295006</v>
      </c>
      <c r="C1137" s="721" t="s">
        <v>4300</v>
      </c>
      <c r="D1137" s="721">
        <v>295</v>
      </c>
      <c r="E1137" s="721" t="s">
        <v>4036</v>
      </c>
      <c r="F1137" s="721" t="s">
        <v>84</v>
      </c>
      <c r="G1137" s="721" t="s">
        <v>2042</v>
      </c>
      <c r="H1137" s="721" t="s">
        <v>2043</v>
      </c>
      <c r="I1137" s="721"/>
      <c r="J1137" s="721" t="s">
        <v>4301</v>
      </c>
      <c r="K1137" s="721" t="s">
        <v>2044</v>
      </c>
      <c r="L1137" s="721">
        <v>19325907</v>
      </c>
      <c r="M1137" s="721" t="s">
        <v>3104</v>
      </c>
      <c r="N1137" s="746"/>
      <c r="O1137" s="746"/>
      <c r="P1137" s="746"/>
      <c r="Q1137" s="746"/>
      <c r="R1137" s="521"/>
      <c r="S1137" s="521"/>
    </row>
    <row r="1138" spans="1:19">
      <c r="A1138" s="723">
        <v>92</v>
      </c>
      <c r="B1138" s="723">
        <v>20111295002</v>
      </c>
      <c r="C1138" s="723" t="s">
        <v>4302</v>
      </c>
      <c r="D1138" s="723">
        <v>295</v>
      </c>
      <c r="E1138" s="723" t="s">
        <v>4036</v>
      </c>
      <c r="F1138" s="723" t="s">
        <v>84</v>
      </c>
      <c r="G1138" s="723" t="s">
        <v>2042</v>
      </c>
      <c r="H1138" s="723" t="s">
        <v>2043</v>
      </c>
      <c r="I1138" s="723" t="s">
        <v>4303</v>
      </c>
      <c r="J1138" s="723" t="s">
        <v>4304</v>
      </c>
      <c r="K1138" s="723" t="s">
        <v>2044</v>
      </c>
      <c r="L1138" s="723">
        <v>52984966</v>
      </c>
      <c r="M1138" s="723" t="s">
        <v>3123</v>
      </c>
      <c r="N1138" s="746"/>
      <c r="O1138" s="746"/>
      <c r="P1138" s="746"/>
      <c r="Q1138" s="746"/>
      <c r="R1138" s="521"/>
      <c r="S1138" s="521"/>
    </row>
    <row r="1139" spans="1:19">
      <c r="A1139" s="721">
        <v>93</v>
      </c>
      <c r="B1139" s="721">
        <v>20111295006</v>
      </c>
      <c r="C1139" s="721" t="s">
        <v>4305</v>
      </c>
      <c r="D1139" s="721">
        <v>295</v>
      </c>
      <c r="E1139" s="721" t="s">
        <v>4036</v>
      </c>
      <c r="F1139" s="721" t="s">
        <v>84</v>
      </c>
      <c r="G1139" s="721" t="s">
        <v>2042</v>
      </c>
      <c r="H1139" s="721" t="s">
        <v>2043</v>
      </c>
      <c r="I1139" s="721" t="s">
        <v>4306</v>
      </c>
      <c r="J1139" s="721" t="s">
        <v>4307</v>
      </c>
      <c r="K1139" s="721" t="s">
        <v>2044</v>
      </c>
      <c r="L1139" s="721">
        <v>80074145</v>
      </c>
      <c r="M1139" s="721" t="s">
        <v>3139</v>
      </c>
      <c r="N1139" s="746"/>
      <c r="O1139" s="746"/>
      <c r="P1139" s="746"/>
      <c r="Q1139" s="746"/>
      <c r="R1139" s="521"/>
      <c r="S1139" s="521"/>
    </row>
    <row r="1140" spans="1:19">
      <c r="A1140" s="723">
        <v>94</v>
      </c>
      <c r="B1140" s="723">
        <v>20111295007</v>
      </c>
      <c r="C1140" s="723" t="s">
        <v>4308</v>
      </c>
      <c r="D1140" s="723">
        <v>295</v>
      </c>
      <c r="E1140" s="723" t="s">
        <v>4036</v>
      </c>
      <c r="F1140" s="723" t="s">
        <v>84</v>
      </c>
      <c r="G1140" s="723" t="s">
        <v>2042</v>
      </c>
      <c r="H1140" s="723">
        <v>2</v>
      </c>
      <c r="I1140" s="723" t="s">
        <v>4309</v>
      </c>
      <c r="J1140" s="723" t="s">
        <v>4310</v>
      </c>
      <c r="K1140" s="723" t="s">
        <v>2044</v>
      </c>
      <c r="L1140" s="723">
        <v>80238298</v>
      </c>
      <c r="M1140" s="723" t="s">
        <v>1223</v>
      </c>
      <c r="N1140" s="746"/>
      <c r="O1140" s="746"/>
      <c r="P1140" s="746"/>
      <c r="Q1140" s="746"/>
      <c r="R1140" s="521"/>
      <c r="S1140" s="521"/>
    </row>
    <row r="1141" spans="1:19">
      <c r="A1141" s="721">
        <v>95</v>
      </c>
      <c r="B1141" s="721">
        <v>20112295009</v>
      </c>
      <c r="C1141" s="721" t="s">
        <v>4311</v>
      </c>
      <c r="D1141" s="721">
        <v>295</v>
      </c>
      <c r="E1141" s="721" t="s">
        <v>4036</v>
      </c>
      <c r="F1141" s="721" t="s">
        <v>84</v>
      </c>
      <c r="G1141" s="721" t="s">
        <v>2042</v>
      </c>
      <c r="H1141" s="721" t="s">
        <v>2043</v>
      </c>
      <c r="I1141" s="721"/>
      <c r="J1141" s="721" t="s">
        <v>4312</v>
      </c>
      <c r="K1141" s="721" t="s">
        <v>2044</v>
      </c>
      <c r="L1141" s="721">
        <v>80037717</v>
      </c>
      <c r="M1141" s="721" t="s">
        <v>3139</v>
      </c>
      <c r="N1141" s="746"/>
      <c r="O1141" s="746"/>
      <c r="P1141" s="746"/>
      <c r="Q1141" s="746"/>
      <c r="R1141" s="521"/>
      <c r="S1141" s="521"/>
    </row>
    <row r="1142" spans="1:19">
      <c r="A1142" s="723">
        <v>96</v>
      </c>
      <c r="B1142" s="723">
        <v>20121295005</v>
      </c>
      <c r="C1142" s="723" t="s">
        <v>4313</v>
      </c>
      <c r="D1142" s="723">
        <v>295</v>
      </c>
      <c r="E1142" s="723" t="s">
        <v>4036</v>
      </c>
      <c r="F1142" s="723" t="s">
        <v>84</v>
      </c>
      <c r="G1142" s="723" t="s">
        <v>2042</v>
      </c>
      <c r="H1142" s="723" t="s">
        <v>2043</v>
      </c>
      <c r="I1142" s="723"/>
      <c r="J1142" s="723" t="s">
        <v>4314</v>
      </c>
      <c r="K1142" s="723" t="s">
        <v>2044</v>
      </c>
      <c r="L1142" s="723">
        <v>1032377088</v>
      </c>
      <c r="M1142" s="723" t="s">
        <v>3130</v>
      </c>
      <c r="N1142" s="746"/>
      <c r="O1142" s="746"/>
      <c r="P1142" s="746"/>
      <c r="Q1142" s="746"/>
      <c r="R1142" s="521"/>
      <c r="S1142" s="521"/>
    </row>
    <row r="1143" spans="1:19">
      <c r="A1143" s="721">
        <v>97</v>
      </c>
      <c r="B1143" s="721">
        <v>20122295003</v>
      </c>
      <c r="C1143" s="721" t="s">
        <v>4315</v>
      </c>
      <c r="D1143" s="721">
        <v>295</v>
      </c>
      <c r="E1143" s="721" t="s">
        <v>4036</v>
      </c>
      <c r="F1143" s="721" t="s">
        <v>84</v>
      </c>
      <c r="G1143" s="721" t="s">
        <v>2042</v>
      </c>
      <c r="H1143" s="721" t="s">
        <v>2043</v>
      </c>
      <c r="I1143" s="721" t="s">
        <v>4316</v>
      </c>
      <c r="J1143" s="721" t="s">
        <v>4317</v>
      </c>
      <c r="K1143" s="721" t="s">
        <v>2044</v>
      </c>
      <c r="L1143" s="721">
        <v>51661990</v>
      </c>
      <c r="M1143" s="721" t="s">
        <v>3139</v>
      </c>
      <c r="N1143" s="746"/>
      <c r="O1143" s="746"/>
      <c r="P1143" s="746"/>
      <c r="Q1143" s="746"/>
      <c r="R1143" s="521"/>
      <c r="S1143" s="521"/>
    </row>
    <row r="1144" spans="1:19">
      <c r="A1144" s="723">
        <v>98</v>
      </c>
      <c r="B1144" s="723">
        <v>20131295002</v>
      </c>
      <c r="C1144" s="723" t="s">
        <v>4318</v>
      </c>
      <c r="D1144" s="723">
        <v>295</v>
      </c>
      <c r="E1144" s="723" t="s">
        <v>4036</v>
      </c>
      <c r="F1144" s="723" t="s">
        <v>84</v>
      </c>
      <c r="G1144" s="723" t="s">
        <v>2042</v>
      </c>
      <c r="H1144" s="723" t="s">
        <v>2043</v>
      </c>
      <c r="I1144" s="723" t="s">
        <v>4319</v>
      </c>
      <c r="J1144" s="723" t="s">
        <v>4320</v>
      </c>
      <c r="K1144" s="723" t="s">
        <v>2044</v>
      </c>
      <c r="L1144" s="723">
        <v>51839772</v>
      </c>
      <c r="M1144" s="723" t="s">
        <v>3149</v>
      </c>
      <c r="N1144" s="746"/>
      <c r="O1144" s="746"/>
      <c r="P1144" s="746"/>
      <c r="Q1144" s="746"/>
      <c r="R1144" s="521"/>
      <c r="S1144" s="521"/>
    </row>
    <row r="1145" spans="1:19">
      <c r="A1145" s="721">
        <v>99</v>
      </c>
      <c r="B1145" s="721">
        <v>20131295006</v>
      </c>
      <c r="C1145" s="721" t="s">
        <v>4321</v>
      </c>
      <c r="D1145" s="721">
        <v>295</v>
      </c>
      <c r="E1145" s="721" t="s">
        <v>4036</v>
      </c>
      <c r="F1145" s="721" t="s">
        <v>84</v>
      </c>
      <c r="G1145" s="721" t="s">
        <v>2042</v>
      </c>
      <c r="H1145" s="721">
        <v>3</v>
      </c>
      <c r="I1145" s="721" t="s">
        <v>4322</v>
      </c>
      <c r="J1145" s="721" t="s">
        <v>4323</v>
      </c>
      <c r="K1145" s="721" t="s">
        <v>2044</v>
      </c>
      <c r="L1145" s="721">
        <v>80746790</v>
      </c>
      <c r="M1145" s="721" t="s">
        <v>3149</v>
      </c>
      <c r="N1145" s="746"/>
      <c r="O1145" s="746"/>
      <c r="P1145" s="746"/>
      <c r="Q1145" s="746"/>
      <c r="R1145" s="521"/>
      <c r="S1145" s="521"/>
    </row>
    <row r="1146" spans="1:19">
      <c r="A1146" s="723">
        <v>100</v>
      </c>
      <c r="B1146" s="723">
        <v>20132295001</v>
      </c>
      <c r="C1146" s="723" t="s">
        <v>4324</v>
      </c>
      <c r="D1146" s="723">
        <v>295</v>
      </c>
      <c r="E1146" s="723" t="s">
        <v>4036</v>
      </c>
      <c r="F1146" s="723" t="s">
        <v>84</v>
      </c>
      <c r="G1146" s="723" t="s">
        <v>2042</v>
      </c>
      <c r="H1146" s="723">
        <v>3</v>
      </c>
      <c r="I1146" s="723"/>
      <c r="J1146" s="723" t="s">
        <v>4325</v>
      </c>
      <c r="K1146" s="723" t="s">
        <v>2044</v>
      </c>
      <c r="L1146" s="723">
        <v>1020739994</v>
      </c>
      <c r="M1146" s="723" t="s">
        <v>3123</v>
      </c>
      <c r="N1146" s="746"/>
      <c r="O1146" s="746"/>
      <c r="P1146" s="746"/>
      <c r="Q1146" s="746"/>
      <c r="R1146" s="521"/>
      <c r="S1146" s="521"/>
    </row>
    <row r="1147" spans="1:19">
      <c r="A1147" s="721">
        <v>101</v>
      </c>
      <c r="B1147" s="721">
        <v>20132295006</v>
      </c>
      <c r="C1147" s="721" t="s">
        <v>4326</v>
      </c>
      <c r="D1147" s="721">
        <v>295</v>
      </c>
      <c r="E1147" s="721" t="s">
        <v>4036</v>
      </c>
      <c r="F1147" s="721" t="s">
        <v>84</v>
      </c>
      <c r="G1147" s="721" t="s">
        <v>2042</v>
      </c>
      <c r="H1147" s="721" t="s">
        <v>2043</v>
      </c>
      <c r="I1147" s="721"/>
      <c r="J1147" s="721" t="s">
        <v>4327</v>
      </c>
      <c r="K1147" s="721" t="s">
        <v>2044</v>
      </c>
      <c r="L1147" s="721">
        <v>1032430399</v>
      </c>
      <c r="M1147" s="721" t="s">
        <v>3130</v>
      </c>
      <c r="N1147" s="746"/>
      <c r="O1147" s="746"/>
      <c r="P1147" s="746"/>
      <c r="Q1147" s="746"/>
      <c r="R1147" s="521"/>
      <c r="S1147" s="521"/>
    </row>
    <row r="1148" spans="1:19">
      <c r="A1148" s="723">
        <v>102</v>
      </c>
      <c r="B1148" s="723">
        <v>20132295009</v>
      </c>
      <c r="C1148" s="723" t="s">
        <v>4328</v>
      </c>
      <c r="D1148" s="723">
        <v>295</v>
      </c>
      <c r="E1148" s="723" t="s">
        <v>4036</v>
      </c>
      <c r="F1148" s="723" t="s">
        <v>84</v>
      </c>
      <c r="G1148" s="723" t="s">
        <v>2042</v>
      </c>
      <c r="H1148" s="723" t="s">
        <v>2043</v>
      </c>
      <c r="I1148" s="723"/>
      <c r="J1148" s="723" t="s">
        <v>4329</v>
      </c>
      <c r="K1148" s="723" t="s">
        <v>2044</v>
      </c>
      <c r="L1148" s="723">
        <v>1026561910</v>
      </c>
      <c r="M1148" s="723" t="s">
        <v>2143</v>
      </c>
      <c r="N1148" s="746"/>
      <c r="O1148" s="746"/>
      <c r="P1148" s="746"/>
      <c r="Q1148" s="746"/>
      <c r="R1148" s="521"/>
      <c r="S1148" s="521"/>
    </row>
    <row r="1149" spans="1:19">
      <c r="A1149" s="721">
        <v>103</v>
      </c>
      <c r="B1149" s="721">
        <v>20141295002</v>
      </c>
      <c r="C1149" s="721" t="s">
        <v>4330</v>
      </c>
      <c r="D1149" s="721">
        <v>295</v>
      </c>
      <c r="E1149" s="721" t="s">
        <v>4036</v>
      </c>
      <c r="F1149" s="721" t="s">
        <v>84</v>
      </c>
      <c r="G1149" s="721" t="s">
        <v>2042</v>
      </c>
      <c r="H1149" s="721" t="s">
        <v>2043</v>
      </c>
      <c r="I1149" s="721"/>
      <c r="J1149" s="721" t="s">
        <v>4331</v>
      </c>
      <c r="K1149" s="721" t="s">
        <v>2044</v>
      </c>
      <c r="L1149" s="721">
        <v>63560187</v>
      </c>
      <c r="M1149" s="721" t="s">
        <v>3202</v>
      </c>
      <c r="N1149" s="746"/>
      <c r="O1149" s="746"/>
      <c r="P1149" s="746"/>
      <c r="Q1149" s="746"/>
      <c r="R1149" s="521"/>
      <c r="S1149" s="521"/>
    </row>
    <row r="1150" spans="1:19">
      <c r="A1150" s="723">
        <v>104</v>
      </c>
      <c r="B1150" s="723">
        <v>20141295004</v>
      </c>
      <c r="C1150" s="723" t="s">
        <v>4332</v>
      </c>
      <c r="D1150" s="723">
        <v>295</v>
      </c>
      <c r="E1150" s="723" t="s">
        <v>4036</v>
      </c>
      <c r="F1150" s="723" t="s">
        <v>84</v>
      </c>
      <c r="G1150" s="723" t="s">
        <v>2042</v>
      </c>
      <c r="H1150" s="723" t="s">
        <v>2043</v>
      </c>
      <c r="I1150" s="723"/>
      <c r="J1150" s="723" t="s">
        <v>4333</v>
      </c>
      <c r="K1150" s="723" t="s">
        <v>2044</v>
      </c>
      <c r="L1150" s="723">
        <v>1030539258</v>
      </c>
      <c r="M1150" s="723" t="s">
        <v>3123</v>
      </c>
      <c r="N1150" s="746"/>
      <c r="O1150" s="746"/>
      <c r="P1150" s="746"/>
      <c r="Q1150" s="746"/>
      <c r="R1150" s="521"/>
      <c r="S1150" s="521"/>
    </row>
    <row r="1151" spans="1:19">
      <c r="A1151" s="721">
        <v>105</v>
      </c>
      <c r="B1151" s="721">
        <v>20141295005</v>
      </c>
      <c r="C1151" s="721" t="s">
        <v>4334</v>
      </c>
      <c r="D1151" s="721">
        <v>295</v>
      </c>
      <c r="E1151" s="721" t="s">
        <v>4036</v>
      </c>
      <c r="F1151" s="721" t="s">
        <v>84</v>
      </c>
      <c r="G1151" s="721" t="s">
        <v>2042</v>
      </c>
      <c r="H1151" s="721" t="s">
        <v>2043</v>
      </c>
      <c r="I1151" s="721"/>
      <c r="J1151" s="721" t="s">
        <v>4335</v>
      </c>
      <c r="K1151" s="721" t="s">
        <v>2044</v>
      </c>
      <c r="L1151" s="721">
        <v>80881311</v>
      </c>
      <c r="M1151" s="721" t="s">
        <v>3139</v>
      </c>
      <c r="N1151" s="746"/>
      <c r="O1151" s="746"/>
      <c r="P1151" s="746"/>
      <c r="Q1151" s="746"/>
      <c r="R1151" s="521"/>
      <c r="S1151" s="521"/>
    </row>
    <row r="1152" spans="1:19">
      <c r="A1152" s="723">
        <v>106</v>
      </c>
      <c r="B1152" s="723">
        <v>20141295007</v>
      </c>
      <c r="C1152" s="723" t="s">
        <v>4336</v>
      </c>
      <c r="D1152" s="723">
        <v>295</v>
      </c>
      <c r="E1152" s="723" t="s">
        <v>4036</v>
      </c>
      <c r="F1152" s="723" t="s">
        <v>84</v>
      </c>
      <c r="G1152" s="723" t="s">
        <v>2042</v>
      </c>
      <c r="H1152" s="723" t="s">
        <v>2043</v>
      </c>
      <c r="I1152" s="723"/>
      <c r="J1152" s="723" t="s">
        <v>4337</v>
      </c>
      <c r="K1152" s="723" t="s">
        <v>2044</v>
      </c>
      <c r="L1152" s="723">
        <v>80192128</v>
      </c>
      <c r="M1152" s="723" t="s">
        <v>3139</v>
      </c>
      <c r="N1152" s="746"/>
      <c r="O1152" s="746"/>
      <c r="P1152" s="746"/>
      <c r="Q1152" s="746"/>
      <c r="R1152" s="521"/>
      <c r="S1152" s="521"/>
    </row>
    <row r="1153" spans="1:19">
      <c r="A1153" s="721">
        <v>107</v>
      </c>
      <c r="B1153" s="721">
        <v>20141295008</v>
      </c>
      <c r="C1153" s="721" t="s">
        <v>4338</v>
      </c>
      <c r="D1153" s="721">
        <v>295</v>
      </c>
      <c r="E1153" s="721" t="s">
        <v>4036</v>
      </c>
      <c r="F1153" s="721" t="s">
        <v>84</v>
      </c>
      <c r="G1153" s="721" t="s">
        <v>2042</v>
      </c>
      <c r="H1153" s="721" t="s">
        <v>2043</v>
      </c>
      <c r="I1153" s="721"/>
      <c r="J1153" s="721" t="s">
        <v>4339</v>
      </c>
      <c r="K1153" s="721" t="s">
        <v>2044</v>
      </c>
      <c r="L1153" s="721">
        <v>1022349988</v>
      </c>
      <c r="M1153" s="721" t="s">
        <v>3123</v>
      </c>
      <c r="N1153" s="746"/>
      <c r="O1153" s="746"/>
      <c r="P1153" s="746"/>
      <c r="Q1153" s="746"/>
      <c r="R1153" s="521"/>
      <c r="S1153" s="521"/>
    </row>
    <row r="1154" spans="1:19">
      <c r="A1154" s="723">
        <v>108</v>
      </c>
      <c r="B1154" s="723">
        <v>20142295002</v>
      </c>
      <c r="C1154" s="723" t="s">
        <v>4340</v>
      </c>
      <c r="D1154" s="723">
        <v>295</v>
      </c>
      <c r="E1154" s="723" t="s">
        <v>4036</v>
      </c>
      <c r="F1154" s="723" t="s">
        <v>84</v>
      </c>
      <c r="G1154" s="723" t="s">
        <v>2042</v>
      </c>
      <c r="H1154" s="723">
        <v>3</v>
      </c>
      <c r="I1154" s="723" t="s">
        <v>4341</v>
      </c>
      <c r="J1154" s="723" t="s">
        <v>4342</v>
      </c>
      <c r="K1154" s="723" t="s">
        <v>2044</v>
      </c>
      <c r="L1154" s="723">
        <v>1032379203</v>
      </c>
      <c r="M1154" s="723" t="s">
        <v>1348</v>
      </c>
      <c r="N1154" s="746"/>
      <c r="O1154" s="746"/>
      <c r="P1154" s="746"/>
      <c r="Q1154" s="746"/>
      <c r="R1154" s="521"/>
      <c r="S1154" s="521"/>
    </row>
    <row r="1155" spans="1:19">
      <c r="A1155" s="721">
        <v>109</v>
      </c>
      <c r="B1155" s="721">
        <v>20151295007</v>
      </c>
      <c r="C1155" s="721" t="s">
        <v>4343</v>
      </c>
      <c r="D1155" s="721">
        <v>295</v>
      </c>
      <c r="E1155" s="721" t="s">
        <v>4036</v>
      </c>
      <c r="F1155" s="721" t="s">
        <v>84</v>
      </c>
      <c r="G1155" s="721" t="s">
        <v>2042</v>
      </c>
      <c r="H1155" s="721">
        <v>3</v>
      </c>
      <c r="I1155" s="721"/>
      <c r="J1155" s="721" t="s">
        <v>4344</v>
      </c>
      <c r="K1155" s="721" t="s">
        <v>2044</v>
      </c>
      <c r="L1155" s="721">
        <v>17311419</v>
      </c>
      <c r="M1155" s="721" t="s">
        <v>2543</v>
      </c>
      <c r="N1155" s="746"/>
      <c r="O1155" s="746"/>
      <c r="P1155" s="746"/>
      <c r="Q1155" s="746"/>
      <c r="R1155" s="521"/>
      <c r="S1155" s="521"/>
    </row>
    <row r="1156" spans="1:19">
      <c r="A1156" s="725" t="s">
        <v>2292</v>
      </c>
      <c r="B1156" s="725" t="s">
        <v>2292</v>
      </c>
      <c r="C1156" s="725" t="s">
        <v>2292</v>
      </c>
      <c r="D1156" s="725" t="s">
        <v>2292</v>
      </c>
      <c r="E1156" s="725" t="s">
        <v>2292</v>
      </c>
      <c r="F1156" s="725" t="s">
        <v>2292</v>
      </c>
      <c r="G1156" s="725" t="s">
        <v>2292</v>
      </c>
      <c r="H1156" s="725" t="s">
        <v>2292</v>
      </c>
      <c r="I1156" s="725" t="s">
        <v>2292</v>
      </c>
      <c r="J1156" s="725" t="s">
        <v>2292</v>
      </c>
      <c r="K1156" s="725" t="s">
        <v>2292</v>
      </c>
      <c r="L1156" s="725" t="s">
        <v>2292</v>
      </c>
      <c r="M1156" s="725" t="s">
        <v>2292</v>
      </c>
      <c r="N1156" s="746"/>
      <c r="O1156" s="746"/>
      <c r="P1156" s="746"/>
      <c r="Q1156" s="746"/>
      <c r="R1156" s="521"/>
      <c r="S1156" s="521"/>
    </row>
    <row r="1157" spans="1:19">
      <c r="A1157" s="719" t="s">
        <v>2033</v>
      </c>
      <c r="B1157" s="719" t="s">
        <v>2293</v>
      </c>
      <c r="C1157"/>
      <c r="D1157"/>
      <c r="E1157"/>
      <c r="F1157"/>
      <c r="G1157"/>
      <c r="H1157"/>
      <c r="I1157"/>
      <c r="J1157"/>
      <c r="K1157"/>
      <c r="L1157"/>
      <c r="M1157"/>
      <c r="N1157" s="746"/>
      <c r="O1157" s="746"/>
      <c r="P1157" s="746"/>
      <c r="Q1157" s="746"/>
      <c r="R1157" s="521"/>
      <c r="S1157" s="521"/>
    </row>
    <row r="1158" spans="1:19" ht="25.5">
      <c r="A1158" s="720" t="s">
        <v>2035</v>
      </c>
      <c r="B1158" s="720" t="s">
        <v>2036</v>
      </c>
      <c r="C1158" s="720" t="s">
        <v>1</v>
      </c>
      <c r="D1158" s="720" t="s">
        <v>2037</v>
      </c>
      <c r="E1158" s="720" t="s">
        <v>3</v>
      </c>
      <c r="F1158" s="720" t="s">
        <v>4</v>
      </c>
      <c r="G1158" s="720" t="s">
        <v>2038</v>
      </c>
      <c r="H1158" s="720" t="s">
        <v>6</v>
      </c>
      <c r="I1158" s="720" t="s">
        <v>7</v>
      </c>
      <c r="J1158" s="720" t="s">
        <v>8</v>
      </c>
      <c r="K1158" s="720" t="s">
        <v>2039</v>
      </c>
      <c r="L1158" s="720" t="s">
        <v>10</v>
      </c>
      <c r="M1158" s="720" t="s">
        <v>2040</v>
      </c>
      <c r="N1158" s="746"/>
      <c r="O1158" s="746"/>
      <c r="P1158" s="746"/>
      <c r="Q1158" s="746"/>
      <c r="R1158" s="521"/>
      <c r="S1158" s="521"/>
    </row>
    <row r="1159" spans="1:19">
      <c r="A1159" s="721">
        <v>110</v>
      </c>
      <c r="B1159" s="721">
        <v>20092295002</v>
      </c>
      <c r="C1159" s="721" t="s">
        <v>4345</v>
      </c>
      <c r="D1159" s="721">
        <v>295</v>
      </c>
      <c r="E1159" s="721" t="s">
        <v>4036</v>
      </c>
      <c r="F1159" s="721" t="s">
        <v>107</v>
      </c>
      <c r="G1159" s="721" t="s">
        <v>108</v>
      </c>
      <c r="H1159" s="721" t="s">
        <v>2043</v>
      </c>
      <c r="I1159" s="721" t="s">
        <v>4346</v>
      </c>
      <c r="J1159" s="721" t="s">
        <v>4347</v>
      </c>
      <c r="K1159" s="721" t="s">
        <v>2044</v>
      </c>
      <c r="L1159" s="721">
        <v>81720127</v>
      </c>
      <c r="M1159" s="721" t="s">
        <v>2229</v>
      </c>
      <c r="N1159" s="746"/>
      <c r="O1159" s="746"/>
      <c r="P1159" s="746"/>
      <c r="Q1159" s="746"/>
      <c r="R1159" s="521"/>
      <c r="S1159" s="521"/>
    </row>
    <row r="1160" spans="1:19" ht="14.25" customHeight="1">
      <c r="A1160" s="723">
        <v>111</v>
      </c>
      <c r="B1160" s="723">
        <v>20102295004</v>
      </c>
      <c r="C1160" s="723" t="s">
        <v>4348</v>
      </c>
      <c r="D1160" s="723">
        <v>295</v>
      </c>
      <c r="E1160" s="723" t="s">
        <v>4036</v>
      </c>
      <c r="F1160" s="723" t="s">
        <v>107</v>
      </c>
      <c r="G1160" s="723" t="s">
        <v>108</v>
      </c>
      <c r="H1160" s="723">
        <v>1</v>
      </c>
      <c r="I1160" s="723" t="s">
        <v>4349</v>
      </c>
      <c r="J1160" s="723" t="s">
        <v>4350</v>
      </c>
      <c r="K1160" s="723" t="s">
        <v>2044</v>
      </c>
      <c r="L1160" s="723">
        <v>52737963</v>
      </c>
      <c r="M1160" s="724" t="s">
        <v>955</v>
      </c>
      <c r="N1160" s="746"/>
      <c r="O1160" s="746"/>
      <c r="P1160" s="746"/>
      <c r="Q1160" s="746"/>
      <c r="R1160" s="521"/>
      <c r="S1160" s="521"/>
    </row>
    <row r="1161" spans="1:19">
      <c r="A1161" s="721">
        <v>112</v>
      </c>
      <c r="B1161" s="721">
        <v>20121295002</v>
      </c>
      <c r="C1161" s="721" t="s">
        <v>4351</v>
      </c>
      <c r="D1161" s="721">
        <v>295</v>
      </c>
      <c r="E1161" s="721" t="s">
        <v>4036</v>
      </c>
      <c r="F1161" s="721" t="s">
        <v>107</v>
      </c>
      <c r="G1161" s="721" t="s">
        <v>108</v>
      </c>
      <c r="H1161" s="721" t="s">
        <v>2043</v>
      </c>
      <c r="I1161" s="721"/>
      <c r="J1161" s="721" t="s">
        <v>4352</v>
      </c>
      <c r="K1161" s="721" t="s">
        <v>2044</v>
      </c>
      <c r="L1161" s="721">
        <v>79556501</v>
      </c>
      <c r="M1161" s="722" t="s">
        <v>955</v>
      </c>
      <c r="N1161" s="746"/>
      <c r="O1161" s="746"/>
      <c r="P1161" s="746"/>
      <c r="Q1161" s="746"/>
      <c r="R1161" s="521"/>
      <c r="S1161" s="521"/>
    </row>
    <row r="1162" spans="1:19">
      <c r="A1162" s="723">
        <v>113</v>
      </c>
      <c r="B1162" s="723">
        <v>20131295007</v>
      </c>
      <c r="C1162" s="723" t="s">
        <v>4353</v>
      </c>
      <c r="D1162" s="723">
        <v>295</v>
      </c>
      <c r="E1162" s="723" t="s">
        <v>4036</v>
      </c>
      <c r="F1162" s="723" t="s">
        <v>107</v>
      </c>
      <c r="G1162" s="723" t="s">
        <v>108</v>
      </c>
      <c r="H1162" s="723" t="s">
        <v>2043</v>
      </c>
      <c r="I1162" s="723" t="s">
        <v>4354</v>
      </c>
      <c r="J1162" s="723" t="s">
        <v>4355</v>
      </c>
      <c r="K1162" s="723" t="s">
        <v>2044</v>
      </c>
      <c r="L1162" s="723">
        <v>80035066</v>
      </c>
      <c r="M1162" s="723" t="s">
        <v>2192</v>
      </c>
      <c r="N1162" s="746"/>
      <c r="O1162" s="746"/>
      <c r="P1162" s="746"/>
      <c r="Q1162" s="746"/>
      <c r="R1162" s="521"/>
      <c r="S1162" s="521"/>
    </row>
    <row r="1163" spans="1:19">
      <c r="A1163" s="721">
        <v>114</v>
      </c>
      <c r="B1163" s="721">
        <v>20142295006</v>
      </c>
      <c r="C1163" s="721" t="s">
        <v>3171</v>
      </c>
      <c r="D1163" s="721">
        <v>295</v>
      </c>
      <c r="E1163" s="721" t="s">
        <v>4036</v>
      </c>
      <c r="F1163" s="721" t="s">
        <v>107</v>
      </c>
      <c r="G1163" s="721" t="s">
        <v>108</v>
      </c>
      <c r="H1163" s="721" t="s">
        <v>2043</v>
      </c>
      <c r="I1163" s="721"/>
      <c r="J1163" s="721" t="s">
        <v>3172</v>
      </c>
      <c r="K1163" s="721" t="s">
        <v>2044</v>
      </c>
      <c r="L1163" s="721">
        <v>79576961</v>
      </c>
      <c r="M1163" s="722" t="s">
        <v>955</v>
      </c>
      <c r="N1163" s="746"/>
      <c r="O1163" s="746"/>
      <c r="P1163" s="746"/>
      <c r="Q1163" s="746"/>
      <c r="R1163" s="521"/>
      <c r="S1163" s="521"/>
    </row>
    <row r="1164" spans="1:19">
      <c r="A1164" s="723">
        <v>115</v>
      </c>
      <c r="B1164" s="723">
        <v>20142295007</v>
      </c>
      <c r="C1164" s="723" t="s">
        <v>3173</v>
      </c>
      <c r="D1164" s="723">
        <v>295</v>
      </c>
      <c r="E1164" s="723" t="s">
        <v>4036</v>
      </c>
      <c r="F1164" s="723" t="s">
        <v>107</v>
      </c>
      <c r="G1164" s="723" t="s">
        <v>108</v>
      </c>
      <c r="H1164" s="723" t="s">
        <v>2043</v>
      </c>
      <c r="I1164" s="723"/>
      <c r="J1164" s="723" t="s">
        <v>4342</v>
      </c>
      <c r="K1164" s="723" t="s">
        <v>2044</v>
      </c>
      <c r="L1164" s="723">
        <v>1010175883</v>
      </c>
      <c r="M1164" s="724" t="s">
        <v>955</v>
      </c>
      <c r="N1164" s="746"/>
      <c r="O1164" s="746"/>
      <c r="P1164" s="746"/>
      <c r="Q1164" s="746"/>
      <c r="R1164" s="521"/>
      <c r="S1164" s="521"/>
    </row>
    <row r="1165" spans="1:19">
      <c r="A1165" s="725" t="s">
        <v>2292</v>
      </c>
      <c r="B1165" s="725" t="s">
        <v>2292</v>
      </c>
      <c r="C1165" s="725" t="s">
        <v>2292</v>
      </c>
      <c r="D1165" s="725" t="s">
        <v>2292</v>
      </c>
      <c r="E1165" s="725" t="s">
        <v>2292</v>
      </c>
      <c r="F1165" s="725" t="s">
        <v>2292</v>
      </c>
      <c r="G1165" s="725" t="s">
        <v>2292</v>
      </c>
      <c r="H1165" s="725" t="s">
        <v>2292</v>
      </c>
      <c r="I1165" s="725" t="s">
        <v>2292</v>
      </c>
      <c r="J1165" s="725" t="s">
        <v>2292</v>
      </c>
      <c r="K1165" s="725" t="s">
        <v>2292</v>
      </c>
      <c r="L1165" s="725" t="s">
        <v>2292</v>
      </c>
      <c r="M1165" s="725" t="s">
        <v>2292</v>
      </c>
      <c r="N1165" s="746"/>
      <c r="O1165" s="746"/>
      <c r="P1165" s="746"/>
      <c r="Q1165" s="746"/>
      <c r="R1165" s="521"/>
      <c r="S1165" s="521"/>
    </row>
    <row r="1166" spans="1:19">
      <c r="A1166" s="719" t="s">
        <v>2033</v>
      </c>
      <c r="B1166" s="719" t="s">
        <v>2529</v>
      </c>
      <c r="C1166"/>
      <c r="D1166"/>
      <c r="E1166"/>
      <c r="F1166"/>
      <c r="G1166"/>
      <c r="H1166"/>
      <c r="I1166"/>
      <c r="J1166"/>
      <c r="K1166"/>
      <c r="L1166"/>
      <c r="M1166"/>
      <c r="N1166" s="746"/>
      <c r="O1166" s="746"/>
      <c r="P1166" s="746"/>
      <c r="Q1166" s="746"/>
      <c r="R1166" s="521"/>
      <c r="S1166" s="521"/>
    </row>
    <row r="1167" spans="1:19" ht="25.5">
      <c r="A1167" s="720" t="s">
        <v>2035</v>
      </c>
      <c r="B1167" s="720" t="s">
        <v>2036</v>
      </c>
      <c r="C1167" s="720" t="s">
        <v>1</v>
      </c>
      <c r="D1167" s="720" t="s">
        <v>2037</v>
      </c>
      <c r="E1167" s="720" t="s">
        <v>3</v>
      </c>
      <c r="F1167" s="720" t="s">
        <v>4</v>
      </c>
      <c r="G1167" s="720" t="s">
        <v>2038</v>
      </c>
      <c r="H1167" s="720" t="s">
        <v>6</v>
      </c>
      <c r="I1167" s="720" t="s">
        <v>7</v>
      </c>
      <c r="J1167" s="720" t="s">
        <v>8</v>
      </c>
      <c r="K1167" s="720" t="s">
        <v>2039</v>
      </c>
      <c r="L1167" s="720" t="s">
        <v>10</v>
      </c>
      <c r="M1167" s="720" t="s">
        <v>2040</v>
      </c>
      <c r="N1167" s="746"/>
      <c r="O1167" s="746"/>
      <c r="P1167" s="746"/>
      <c r="Q1167" s="746"/>
      <c r="R1167" s="521"/>
      <c r="S1167" s="521"/>
    </row>
    <row r="1168" spans="1:19">
      <c r="A1168" s="721">
        <v>116</v>
      </c>
      <c r="B1168" s="721">
        <v>20142295001</v>
      </c>
      <c r="C1168" s="721" t="s">
        <v>4356</v>
      </c>
      <c r="D1168" s="721">
        <v>295</v>
      </c>
      <c r="E1168" s="721" t="s">
        <v>4036</v>
      </c>
      <c r="F1168" s="721" t="s">
        <v>122</v>
      </c>
      <c r="G1168" s="721" t="s">
        <v>108</v>
      </c>
      <c r="H1168" s="721" t="s">
        <v>2043</v>
      </c>
      <c r="I1168" s="721"/>
      <c r="J1168" s="721" t="s">
        <v>4357</v>
      </c>
      <c r="K1168" s="721" t="s">
        <v>2044</v>
      </c>
      <c r="L1168" s="721">
        <v>80777676</v>
      </c>
      <c r="M1168" s="722" t="s">
        <v>955</v>
      </c>
      <c r="N1168" s="746"/>
      <c r="O1168" s="746"/>
      <c r="P1168" s="746"/>
      <c r="Q1168" s="746"/>
      <c r="R1168" s="521"/>
      <c r="S1168" s="521"/>
    </row>
    <row r="1169" spans="1:19" ht="14.25" customHeight="1">
      <c r="A1169" s="723">
        <v>117</v>
      </c>
      <c r="B1169" s="723">
        <v>20142295004</v>
      </c>
      <c r="C1169" s="723" t="s">
        <v>4358</v>
      </c>
      <c r="D1169" s="723">
        <v>295</v>
      </c>
      <c r="E1169" s="723" t="s">
        <v>4036</v>
      </c>
      <c r="F1169" s="723" t="s">
        <v>122</v>
      </c>
      <c r="G1169" s="723" t="s">
        <v>108</v>
      </c>
      <c r="H1169" s="723" t="s">
        <v>2043</v>
      </c>
      <c r="I1169" s="723"/>
      <c r="J1169" s="723" t="s">
        <v>4359</v>
      </c>
      <c r="K1169" s="723" t="s">
        <v>2044</v>
      </c>
      <c r="L1169" s="723">
        <v>79899794</v>
      </c>
      <c r="M1169" s="724" t="s">
        <v>955</v>
      </c>
      <c r="N1169" s="746"/>
      <c r="O1169" s="746"/>
      <c r="P1169" s="746"/>
      <c r="Q1169" s="746"/>
      <c r="R1169" s="521"/>
      <c r="S1169" s="521"/>
    </row>
    <row r="1170" spans="1:19">
      <c r="A1170" s="721">
        <v>118</v>
      </c>
      <c r="B1170" s="721">
        <v>20142295005</v>
      </c>
      <c r="C1170" s="721" t="s">
        <v>4360</v>
      </c>
      <c r="D1170" s="721">
        <v>295</v>
      </c>
      <c r="E1170" s="721" t="s">
        <v>4036</v>
      </c>
      <c r="F1170" s="721" t="s">
        <v>122</v>
      </c>
      <c r="G1170" s="721" t="s">
        <v>108</v>
      </c>
      <c r="H1170" s="721" t="s">
        <v>2043</v>
      </c>
      <c r="I1170" s="721"/>
      <c r="J1170" s="721" t="s">
        <v>4361</v>
      </c>
      <c r="K1170" s="721" t="s">
        <v>2044</v>
      </c>
      <c r="L1170" s="721">
        <v>80218882</v>
      </c>
      <c r="M1170" s="722" t="s">
        <v>955</v>
      </c>
      <c r="N1170" s="746"/>
      <c r="O1170" s="746"/>
      <c r="P1170" s="746"/>
      <c r="Q1170" s="746"/>
      <c r="R1170" s="521"/>
      <c r="S1170" s="521"/>
    </row>
    <row r="1171" spans="1:19">
      <c r="A1171" s="723">
        <v>119</v>
      </c>
      <c r="B1171" s="723">
        <v>20151295002</v>
      </c>
      <c r="C1171" s="723" t="s">
        <v>4362</v>
      </c>
      <c r="D1171" s="723">
        <v>295</v>
      </c>
      <c r="E1171" s="723" t="s">
        <v>4036</v>
      </c>
      <c r="F1171" s="723" t="s">
        <v>122</v>
      </c>
      <c r="G1171" s="723" t="s">
        <v>108</v>
      </c>
      <c r="H1171" s="723" t="s">
        <v>2043</v>
      </c>
      <c r="I1171" s="723"/>
      <c r="J1171" s="723" t="s">
        <v>4363</v>
      </c>
      <c r="K1171" s="723" t="s">
        <v>2044</v>
      </c>
      <c r="L1171" s="723">
        <v>80222075</v>
      </c>
      <c r="M1171" s="724" t="s">
        <v>955</v>
      </c>
      <c r="N1171" s="746"/>
      <c r="O1171" s="746"/>
      <c r="P1171" s="746"/>
      <c r="Q1171" s="746"/>
      <c r="R1171" s="521"/>
      <c r="S1171" s="521"/>
    </row>
    <row r="1172" spans="1:19">
      <c r="A1172" s="721">
        <v>120</v>
      </c>
      <c r="B1172" s="721">
        <v>20151295003</v>
      </c>
      <c r="C1172" s="721" t="s">
        <v>4364</v>
      </c>
      <c r="D1172" s="721">
        <v>295</v>
      </c>
      <c r="E1172" s="721" t="s">
        <v>4036</v>
      </c>
      <c r="F1172" s="721" t="s">
        <v>122</v>
      </c>
      <c r="G1172" s="721" t="s">
        <v>108</v>
      </c>
      <c r="H1172" s="721" t="s">
        <v>2043</v>
      </c>
      <c r="I1172" s="721"/>
      <c r="J1172" s="721" t="s">
        <v>4365</v>
      </c>
      <c r="K1172" s="721" t="s">
        <v>2108</v>
      </c>
      <c r="L1172" s="721">
        <v>9175536</v>
      </c>
      <c r="M1172" s="722" t="s">
        <v>955</v>
      </c>
      <c r="N1172" s="746"/>
      <c r="O1172" s="746"/>
      <c r="P1172" s="746"/>
      <c r="Q1172" s="746"/>
      <c r="R1172" s="521"/>
      <c r="S1172" s="521"/>
    </row>
    <row r="1173" spans="1:19">
      <c r="A1173" s="725" t="s">
        <v>2292</v>
      </c>
      <c r="B1173" s="725" t="s">
        <v>2292</v>
      </c>
      <c r="C1173" s="725" t="s">
        <v>2292</v>
      </c>
      <c r="D1173" s="725" t="s">
        <v>2292</v>
      </c>
      <c r="E1173" s="725" t="s">
        <v>2292</v>
      </c>
      <c r="F1173" s="725" t="s">
        <v>2292</v>
      </c>
      <c r="G1173" s="725" t="s">
        <v>2292</v>
      </c>
      <c r="H1173" s="725" t="s">
        <v>2292</v>
      </c>
      <c r="I1173" s="725" t="s">
        <v>2292</v>
      </c>
      <c r="J1173" s="725" t="s">
        <v>2292</v>
      </c>
      <c r="K1173" s="725" t="s">
        <v>2292</v>
      </c>
      <c r="L1173" s="725" t="s">
        <v>2292</v>
      </c>
      <c r="M1173" s="725" t="s">
        <v>2292</v>
      </c>
      <c r="N1173" s="746"/>
      <c r="O1173" s="746"/>
      <c r="P1173" s="746"/>
      <c r="Q1173" s="746"/>
      <c r="R1173" s="521"/>
      <c r="S1173" s="521"/>
    </row>
    <row r="1174" spans="1:19" ht="25.5">
      <c r="A1174" s="719" t="s">
        <v>2033</v>
      </c>
      <c r="B1174" s="719" t="s">
        <v>2544</v>
      </c>
      <c r="C1174"/>
      <c r="D1174"/>
      <c r="E1174"/>
      <c r="F1174"/>
      <c r="G1174"/>
      <c r="H1174"/>
      <c r="I1174"/>
      <c r="J1174"/>
      <c r="K1174"/>
      <c r="L1174"/>
      <c r="M1174"/>
      <c r="N1174" s="746"/>
      <c r="O1174" s="746"/>
      <c r="P1174" s="746"/>
      <c r="Q1174" s="746"/>
      <c r="R1174" s="521"/>
      <c r="S1174" s="521"/>
    </row>
    <row r="1175" spans="1:19" ht="25.5">
      <c r="A1175" s="720" t="s">
        <v>2035</v>
      </c>
      <c r="B1175" s="720" t="s">
        <v>2036</v>
      </c>
      <c r="C1175" s="720" t="s">
        <v>1</v>
      </c>
      <c r="D1175" s="720" t="s">
        <v>2037</v>
      </c>
      <c r="E1175" s="720" t="s">
        <v>3</v>
      </c>
      <c r="F1175" s="720" t="s">
        <v>4</v>
      </c>
      <c r="G1175" s="720" t="s">
        <v>2038</v>
      </c>
      <c r="H1175" s="720" t="s">
        <v>6</v>
      </c>
      <c r="I1175" s="720" t="s">
        <v>7</v>
      </c>
      <c r="J1175" s="720" t="s">
        <v>8</v>
      </c>
      <c r="K1175" s="720" t="s">
        <v>2039</v>
      </c>
      <c r="L1175" s="720" t="s">
        <v>10</v>
      </c>
      <c r="M1175" s="720" t="s">
        <v>2040</v>
      </c>
      <c r="N1175" s="746"/>
      <c r="O1175" s="746"/>
      <c r="P1175" s="746"/>
      <c r="Q1175" s="746"/>
      <c r="R1175" s="521"/>
      <c r="S1175" s="521"/>
    </row>
    <row r="1176" spans="1:19" ht="25.5">
      <c r="A1176" s="721">
        <v>121</v>
      </c>
      <c r="B1176" s="721">
        <v>20022095016</v>
      </c>
      <c r="C1176" s="721" t="s">
        <v>4366</v>
      </c>
      <c r="D1176" s="721">
        <v>295</v>
      </c>
      <c r="E1176" s="721" t="s">
        <v>4036</v>
      </c>
      <c r="F1176" s="721" t="s">
        <v>154</v>
      </c>
      <c r="G1176" s="721" t="s">
        <v>2546</v>
      </c>
      <c r="H1176" s="721" t="s">
        <v>2043</v>
      </c>
      <c r="I1176" s="721" t="s">
        <v>4367</v>
      </c>
      <c r="J1176" s="721" t="s">
        <v>4368</v>
      </c>
      <c r="K1176" s="721" t="s">
        <v>2044</v>
      </c>
      <c r="L1176" s="721">
        <v>4979940</v>
      </c>
      <c r="M1176" s="721" t="s">
        <v>2229</v>
      </c>
      <c r="N1176" s="746"/>
      <c r="O1176" s="746"/>
      <c r="P1176" s="746"/>
      <c r="Q1176" s="746"/>
      <c r="R1176" s="521"/>
      <c r="S1176" s="521"/>
    </row>
    <row r="1177" spans="1:19" ht="14.25" customHeight="1">
      <c r="A1177" s="723">
        <v>122</v>
      </c>
      <c r="B1177" s="723">
        <v>20032095016</v>
      </c>
      <c r="C1177" s="723" t="s">
        <v>4369</v>
      </c>
      <c r="D1177" s="723">
        <v>295</v>
      </c>
      <c r="E1177" s="723" t="s">
        <v>4036</v>
      </c>
      <c r="F1177" s="723" t="s">
        <v>154</v>
      </c>
      <c r="G1177" s="723" t="s">
        <v>2546</v>
      </c>
      <c r="H1177" s="723" t="s">
        <v>2043</v>
      </c>
      <c r="I1177" s="723" t="s">
        <v>4370</v>
      </c>
      <c r="J1177" s="723" t="s">
        <v>4371</v>
      </c>
      <c r="K1177" s="723" t="s">
        <v>2044</v>
      </c>
      <c r="L1177" s="723">
        <v>19359635</v>
      </c>
      <c r="M1177" s="723" t="s">
        <v>2218</v>
      </c>
      <c r="N1177" s="746"/>
      <c r="O1177" s="746"/>
      <c r="P1177" s="746"/>
      <c r="Q1177" s="746"/>
      <c r="R1177" s="521"/>
      <c r="S1177" s="521"/>
    </row>
    <row r="1178" spans="1:19" ht="25.5">
      <c r="A1178" s="721">
        <v>123</v>
      </c>
      <c r="B1178" s="721">
        <v>20041295001</v>
      </c>
      <c r="C1178" s="721" t="s">
        <v>4372</v>
      </c>
      <c r="D1178" s="721">
        <v>295</v>
      </c>
      <c r="E1178" s="721" t="s">
        <v>4036</v>
      </c>
      <c r="F1178" s="721" t="s">
        <v>154</v>
      </c>
      <c r="G1178" s="721" t="s">
        <v>2546</v>
      </c>
      <c r="H1178" s="721" t="s">
        <v>2043</v>
      </c>
      <c r="I1178" s="721"/>
      <c r="J1178" s="721"/>
      <c r="K1178" s="721" t="s">
        <v>2044</v>
      </c>
      <c r="L1178" s="721">
        <v>79788234</v>
      </c>
      <c r="M1178" s="721" t="s">
        <v>2252</v>
      </c>
      <c r="N1178" s="746"/>
      <c r="O1178" s="746"/>
      <c r="P1178" s="746"/>
      <c r="Q1178" s="746"/>
      <c r="R1178" s="521"/>
      <c r="S1178" s="521"/>
    </row>
    <row r="1179" spans="1:19" ht="25.5">
      <c r="A1179" s="723">
        <v>124</v>
      </c>
      <c r="B1179" s="723">
        <v>20041295002</v>
      </c>
      <c r="C1179" s="723" t="s">
        <v>4373</v>
      </c>
      <c r="D1179" s="723">
        <v>295</v>
      </c>
      <c r="E1179" s="723" t="s">
        <v>4036</v>
      </c>
      <c r="F1179" s="723" t="s">
        <v>154</v>
      </c>
      <c r="G1179" s="723" t="s">
        <v>2546</v>
      </c>
      <c r="H1179" s="723" t="s">
        <v>2043</v>
      </c>
      <c r="I1179" s="723"/>
      <c r="J1179" s="723"/>
      <c r="K1179" s="723" t="s">
        <v>2044</v>
      </c>
      <c r="L1179" s="723">
        <v>79755516</v>
      </c>
      <c r="M1179" s="724" t="s">
        <v>955</v>
      </c>
      <c r="N1179" s="746"/>
      <c r="O1179" s="746"/>
      <c r="P1179" s="746"/>
      <c r="Q1179" s="746"/>
      <c r="R1179" s="521"/>
      <c r="S1179" s="521"/>
    </row>
    <row r="1180" spans="1:19" ht="25.5">
      <c r="A1180" s="721">
        <v>125</v>
      </c>
      <c r="B1180" s="721">
        <v>20041295003</v>
      </c>
      <c r="C1180" s="721" t="s">
        <v>4374</v>
      </c>
      <c r="D1180" s="721">
        <v>295</v>
      </c>
      <c r="E1180" s="721" t="s">
        <v>4036</v>
      </c>
      <c r="F1180" s="721" t="s">
        <v>154</v>
      </c>
      <c r="G1180" s="721" t="s">
        <v>2546</v>
      </c>
      <c r="H1180" s="721" t="s">
        <v>2043</v>
      </c>
      <c r="I1180" s="721"/>
      <c r="J1180" s="721"/>
      <c r="K1180" s="721" t="s">
        <v>2044</v>
      </c>
      <c r="L1180" s="721">
        <v>19453135</v>
      </c>
      <c r="M1180" s="722" t="s">
        <v>955</v>
      </c>
      <c r="N1180" s="746"/>
      <c r="O1180" s="746"/>
      <c r="P1180" s="746"/>
      <c r="Q1180" s="746"/>
      <c r="R1180" s="521"/>
      <c r="S1180" s="521"/>
    </row>
    <row r="1181" spans="1:19" ht="25.5">
      <c r="A1181" s="723">
        <v>126</v>
      </c>
      <c r="B1181" s="723">
        <v>20041295005</v>
      </c>
      <c r="C1181" s="723" t="s">
        <v>4375</v>
      </c>
      <c r="D1181" s="723">
        <v>295</v>
      </c>
      <c r="E1181" s="723" t="s">
        <v>4036</v>
      </c>
      <c r="F1181" s="723" t="s">
        <v>154</v>
      </c>
      <c r="G1181" s="723" t="s">
        <v>2546</v>
      </c>
      <c r="H1181" s="723" t="s">
        <v>2043</v>
      </c>
      <c r="I1181" s="723" t="s">
        <v>4376</v>
      </c>
      <c r="J1181" s="723" t="s">
        <v>4377</v>
      </c>
      <c r="K1181" s="723" t="s">
        <v>2044</v>
      </c>
      <c r="L1181" s="723">
        <v>52433428</v>
      </c>
      <c r="M1181" s="723" t="s">
        <v>2252</v>
      </c>
      <c r="N1181" s="746"/>
      <c r="O1181" s="746"/>
      <c r="P1181" s="746"/>
      <c r="Q1181" s="746"/>
      <c r="R1181" s="521"/>
      <c r="S1181" s="521"/>
    </row>
    <row r="1182" spans="1:19" ht="25.5">
      <c r="A1182" s="721">
        <v>127</v>
      </c>
      <c r="B1182" s="721">
        <v>20041295006</v>
      </c>
      <c r="C1182" s="721" t="s">
        <v>4378</v>
      </c>
      <c r="D1182" s="721">
        <v>295</v>
      </c>
      <c r="E1182" s="721" t="s">
        <v>4036</v>
      </c>
      <c r="F1182" s="721" t="s">
        <v>154</v>
      </c>
      <c r="G1182" s="721" t="s">
        <v>2546</v>
      </c>
      <c r="H1182" s="721" t="s">
        <v>2043</v>
      </c>
      <c r="I1182" s="721" t="s">
        <v>4379</v>
      </c>
      <c r="J1182" s="721" t="s">
        <v>4380</v>
      </c>
      <c r="K1182" s="721" t="s">
        <v>2044</v>
      </c>
      <c r="L1182" s="721">
        <v>32785853</v>
      </c>
      <c r="M1182" s="721" t="s">
        <v>2286</v>
      </c>
      <c r="N1182" s="746"/>
      <c r="O1182" s="746"/>
      <c r="P1182" s="746"/>
      <c r="Q1182" s="746"/>
      <c r="R1182" s="521"/>
      <c r="S1182" s="521"/>
    </row>
    <row r="1183" spans="1:19" ht="25.5">
      <c r="A1183" s="723">
        <v>128</v>
      </c>
      <c r="B1183" s="723">
        <v>20041295008</v>
      </c>
      <c r="C1183" s="723" t="s">
        <v>4381</v>
      </c>
      <c r="D1183" s="723">
        <v>295</v>
      </c>
      <c r="E1183" s="723" t="s">
        <v>4036</v>
      </c>
      <c r="F1183" s="723" t="s">
        <v>154</v>
      </c>
      <c r="G1183" s="723" t="s">
        <v>2546</v>
      </c>
      <c r="H1183" s="723" t="s">
        <v>2043</v>
      </c>
      <c r="I1183" s="723"/>
      <c r="J1183" s="723"/>
      <c r="K1183" s="723" t="s">
        <v>2044</v>
      </c>
      <c r="L1183" s="723">
        <v>79601302</v>
      </c>
      <c r="M1183" s="723" t="s">
        <v>2252</v>
      </c>
      <c r="N1183" s="746"/>
      <c r="O1183" s="746"/>
      <c r="P1183" s="746"/>
      <c r="Q1183" s="746"/>
      <c r="R1183" s="521"/>
      <c r="S1183" s="521"/>
    </row>
    <row r="1184" spans="1:19" ht="25.5">
      <c r="A1184" s="721">
        <v>129</v>
      </c>
      <c r="B1184" s="721">
        <v>20041295011</v>
      </c>
      <c r="C1184" s="721" t="s">
        <v>4382</v>
      </c>
      <c r="D1184" s="721">
        <v>295</v>
      </c>
      <c r="E1184" s="721" t="s">
        <v>4036</v>
      </c>
      <c r="F1184" s="721" t="s">
        <v>154</v>
      </c>
      <c r="G1184" s="721" t="s">
        <v>2546</v>
      </c>
      <c r="H1184" s="721" t="s">
        <v>2043</v>
      </c>
      <c r="I1184" s="721" t="s">
        <v>4383</v>
      </c>
      <c r="J1184" s="721" t="s">
        <v>4384</v>
      </c>
      <c r="K1184" s="721" t="s">
        <v>2044</v>
      </c>
      <c r="L1184" s="721">
        <v>79715018</v>
      </c>
      <c r="M1184" s="721" t="s">
        <v>2126</v>
      </c>
      <c r="N1184" s="746"/>
      <c r="O1184" s="746"/>
      <c r="P1184" s="746"/>
      <c r="Q1184" s="746"/>
      <c r="R1184" s="521"/>
      <c r="S1184" s="521"/>
    </row>
    <row r="1185" spans="1:19" ht="25.5">
      <c r="A1185" s="723">
        <v>130</v>
      </c>
      <c r="B1185" s="723">
        <v>20041295012</v>
      </c>
      <c r="C1185" s="723" t="s">
        <v>4385</v>
      </c>
      <c r="D1185" s="723">
        <v>295</v>
      </c>
      <c r="E1185" s="723" t="s">
        <v>4036</v>
      </c>
      <c r="F1185" s="723" t="s">
        <v>154</v>
      </c>
      <c r="G1185" s="723" t="s">
        <v>2546</v>
      </c>
      <c r="H1185" s="723" t="s">
        <v>2043</v>
      </c>
      <c r="I1185" s="723" t="s">
        <v>4386</v>
      </c>
      <c r="J1185" s="723" t="s">
        <v>4387</v>
      </c>
      <c r="K1185" s="723" t="s">
        <v>2044</v>
      </c>
      <c r="L1185" s="723">
        <v>79041180</v>
      </c>
      <c r="M1185" s="723" t="s">
        <v>2126</v>
      </c>
      <c r="N1185" s="746"/>
      <c r="O1185" s="746"/>
      <c r="P1185" s="746"/>
      <c r="Q1185" s="746"/>
      <c r="R1185" s="521"/>
      <c r="S1185" s="521"/>
    </row>
    <row r="1186" spans="1:19" ht="25.5">
      <c r="A1186" s="721">
        <v>131</v>
      </c>
      <c r="B1186" s="721">
        <v>20041295014</v>
      </c>
      <c r="C1186" s="721" t="s">
        <v>4388</v>
      </c>
      <c r="D1186" s="721">
        <v>295</v>
      </c>
      <c r="E1186" s="721" t="s">
        <v>4036</v>
      </c>
      <c r="F1186" s="721" t="s">
        <v>154</v>
      </c>
      <c r="G1186" s="721" t="s">
        <v>2546</v>
      </c>
      <c r="H1186" s="721" t="s">
        <v>2043</v>
      </c>
      <c r="I1186" s="721"/>
      <c r="J1186" s="721"/>
      <c r="K1186" s="721" t="s">
        <v>2044</v>
      </c>
      <c r="L1186" s="721">
        <v>79127925</v>
      </c>
      <c r="M1186" s="722" t="s">
        <v>955</v>
      </c>
      <c r="N1186" s="746"/>
      <c r="O1186" s="746"/>
      <c r="P1186" s="746"/>
      <c r="Q1186" s="746"/>
      <c r="R1186" s="521"/>
      <c r="S1186" s="521"/>
    </row>
    <row r="1187" spans="1:19" ht="25.5">
      <c r="A1187" s="723">
        <v>132</v>
      </c>
      <c r="B1187" s="723">
        <v>20041295015</v>
      </c>
      <c r="C1187" s="723" t="s">
        <v>4389</v>
      </c>
      <c r="D1187" s="723">
        <v>295</v>
      </c>
      <c r="E1187" s="723" t="s">
        <v>4036</v>
      </c>
      <c r="F1187" s="723" t="s">
        <v>154</v>
      </c>
      <c r="G1187" s="723" t="s">
        <v>2546</v>
      </c>
      <c r="H1187" s="723" t="s">
        <v>2043</v>
      </c>
      <c r="I1187" s="723" t="s">
        <v>4390</v>
      </c>
      <c r="J1187" s="723" t="s">
        <v>4391</v>
      </c>
      <c r="K1187" s="723" t="s">
        <v>2044</v>
      </c>
      <c r="L1187" s="723">
        <v>51749112</v>
      </c>
      <c r="M1187" s="723" t="s">
        <v>2286</v>
      </c>
      <c r="N1187" s="746"/>
      <c r="O1187" s="746"/>
      <c r="P1187" s="746"/>
      <c r="Q1187" s="746"/>
      <c r="R1187" s="521"/>
      <c r="S1187" s="521"/>
    </row>
    <row r="1188" spans="1:19" ht="25.5">
      <c r="A1188" s="721">
        <v>133</v>
      </c>
      <c r="B1188" s="721">
        <v>20041295016</v>
      </c>
      <c r="C1188" s="721" t="s">
        <v>4225</v>
      </c>
      <c r="D1188" s="721">
        <v>295</v>
      </c>
      <c r="E1188" s="721" t="s">
        <v>4036</v>
      </c>
      <c r="F1188" s="721" t="s">
        <v>154</v>
      </c>
      <c r="G1188" s="721" t="s">
        <v>2546</v>
      </c>
      <c r="H1188" s="721" t="s">
        <v>2043</v>
      </c>
      <c r="I1188" s="721"/>
      <c r="J1188" s="721"/>
      <c r="K1188" s="721" t="s">
        <v>2044</v>
      </c>
      <c r="L1188" s="721">
        <v>52369898</v>
      </c>
      <c r="M1188" s="722" t="s">
        <v>955</v>
      </c>
      <c r="N1188" s="746"/>
      <c r="O1188" s="746"/>
      <c r="P1188" s="746"/>
      <c r="Q1188" s="746"/>
      <c r="R1188" s="521"/>
      <c r="S1188" s="521"/>
    </row>
    <row r="1189" spans="1:19" ht="25.5">
      <c r="A1189" s="723">
        <v>134</v>
      </c>
      <c r="B1189" s="723">
        <v>20041295018</v>
      </c>
      <c r="C1189" s="723" t="s">
        <v>4392</v>
      </c>
      <c r="D1189" s="723">
        <v>295</v>
      </c>
      <c r="E1189" s="723" t="s">
        <v>4036</v>
      </c>
      <c r="F1189" s="723" t="s">
        <v>154</v>
      </c>
      <c r="G1189" s="723" t="s">
        <v>2546</v>
      </c>
      <c r="H1189" s="723" t="s">
        <v>2043</v>
      </c>
      <c r="I1189" s="723"/>
      <c r="J1189" s="723"/>
      <c r="K1189" s="723" t="s">
        <v>2044</v>
      </c>
      <c r="L1189" s="723">
        <v>80016936</v>
      </c>
      <c r="M1189" s="724" t="s">
        <v>955</v>
      </c>
      <c r="N1189" s="746"/>
      <c r="O1189" s="746"/>
      <c r="P1189" s="746"/>
      <c r="Q1189" s="746"/>
      <c r="R1189" s="521"/>
      <c r="S1189" s="521"/>
    </row>
    <row r="1190" spans="1:19" ht="25.5">
      <c r="A1190" s="721">
        <v>135</v>
      </c>
      <c r="B1190" s="721">
        <v>20041295019</v>
      </c>
      <c r="C1190" s="721" t="s">
        <v>4393</v>
      </c>
      <c r="D1190" s="721">
        <v>295</v>
      </c>
      <c r="E1190" s="721" t="s">
        <v>4036</v>
      </c>
      <c r="F1190" s="721" t="s">
        <v>154</v>
      </c>
      <c r="G1190" s="721" t="s">
        <v>2546</v>
      </c>
      <c r="H1190" s="721" t="s">
        <v>2043</v>
      </c>
      <c r="I1190" s="721"/>
      <c r="J1190" s="721"/>
      <c r="K1190" s="721" t="s">
        <v>2044</v>
      </c>
      <c r="L1190" s="721">
        <v>91298791</v>
      </c>
      <c r="M1190" s="722" t="s">
        <v>955</v>
      </c>
      <c r="N1190" s="746"/>
      <c r="O1190" s="746"/>
      <c r="P1190" s="746"/>
      <c r="Q1190" s="746"/>
      <c r="R1190" s="521"/>
      <c r="S1190" s="521"/>
    </row>
    <row r="1191" spans="1:19" ht="25.5">
      <c r="A1191" s="723">
        <v>136</v>
      </c>
      <c r="B1191" s="723">
        <v>20041295020</v>
      </c>
      <c r="C1191" s="723" t="s">
        <v>2512</v>
      </c>
      <c r="D1191" s="723">
        <v>295</v>
      </c>
      <c r="E1191" s="723" t="s">
        <v>4036</v>
      </c>
      <c r="F1191" s="723" t="s">
        <v>154</v>
      </c>
      <c r="G1191" s="723" t="s">
        <v>2546</v>
      </c>
      <c r="H1191" s="723" t="s">
        <v>2043</v>
      </c>
      <c r="I1191" s="723" t="s">
        <v>4394</v>
      </c>
      <c r="J1191" s="723" t="s">
        <v>4395</v>
      </c>
      <c r="K1191" s="723" t="s">
        <v>2044</v>
      </c>
      <c r="L1191" s="723">
        <v>11187517</v>
      </c>
      <c r="M1191" s="723" t="s">
        <v>2126</v>
      </c>
      <c r="N1191" s="746"/>
      <c r="O1191" s="746"/>
      <c r="P1191" s="746"/>
      <c r="Q1191" s="746"/>
      <c r="R1191" s="521"/>
      <c r="S1191" s="521"/>
    </row>
    <row r="1192" spans="1:19" ht="25.5">
      <c r="A1192" s="721">
        <v>137</v>
      </c>
      <c r="B1192" s="721">
        <v>20041295021</v>
      </c>
      <c r="C1192" s="721" t="s">
        <v>4396</v>
      </c>
      <c r="D1192" s="721">
        <v>295</v>
      </c>
      <c r="E1192" s="721" t="s">
        <v>4036</v>
      </c>
      <c r="F1192" s="721" t="s">
        <v>154</v>
      </c>
      <c r="G1192" s="721" t="s">
        <v>2546</v>
      </c>
      <c r="H1192" s="721" t="s">
        <v>2043</v>
      </c>
      <c r="I1192" s="721"/>
      <c r="J1192" s="721"/>
      <c r="K1192" s="721" t="s">
        <v>2044</v>
      </c>
      <c r="L1192" s="721">
        <v>91013867</v>
      </c>
      <c r="M1192" s="722" t="s">
        <v>955</v>
      </c>
      <c r="N1192" s="746"/>
      <c r="O1192" s="746"/>
      <c r="P1192" s="746"/>
      <c r="Q1192" s="746"/>
      <c r="R1192" s="521"/>
      <c r="S1192" s="521"/>
    </row>
    <row r="1193" spans="1:19" ht="25.5">
      <c r="A1193" s="723">
        <v>138</v>
      </c>
      <c r="B1193" s="723">
        <v>20041295022</v>
      </c>
      <c r="C1193" s="723" t="s">
        <v>4397</v>
      </c>
      <c r="D1193" s="723">
        <v>295</v>
      </c>
      <c r="E1193" s="723" t="s">
        <v>4036</v>
      </c>
      <c r="F1193" s="723" t="s">
        <v>154</v>
      </c>
      <c r="G1193" s="723" t="s">
        <v>2546</v>
      </c>
      <c r="H1193" s="723" t="s">
        <v>2043</v>
      </c>
      <c r="I1193" s="723"/>
      <c r="J1193" s="723"/>
      <c r="K1193" s="723" t="s">
        <v>2044</v>
      </c>
      <c r="L1193" s="723">
        <v>52429104</v>
      </c>
      <c r="M1193" s="724" t="s">
        <v>955</v>
      </c>
      <c r="N1193" s="746"/>
      <c r="O1193" s="746"/>
      <c r="P1193" s="746"/>
      <c r="Q1193" s="746"/>
      <c r="R1193" s="521"/>
      <c r="S1193" s="521"/>
    </row>
    <row r="1194" spans="1:19" ht="25.5">
      <c r="A1194" s="721">
        <v>139</v>
      </c>
      <c r="B1194" s="721">
        <v>20041295023</v>
      </c>
      <c r="C1194" s="721" t="s">
        <v>4398</v>
      </c>
      <c r="D1194" s="721">
        <v>295</v>
      </c>
      <c r="E1194" s="721" t="s">
        <v>4036</v>
      </c>
      <c r="F1194" s="721" t="s">
        <v>154</v>
      </c>
      <c r="G1194" s="721" t="s">
        <v>2546</v>
      </c>
      <c r="H1194" s="721" t="s">
        <v>2043</v>
      </c>
      <c r="I1194" s="721"/>
      <c r="J1194" s="721"/>
      <c r="K1194" s="721" t="s">
        <v>2044</v>
      </c>
      <c r="L1194" s="721">
        <v>79514639</v>
      </c>
      <c r="M1194" s="722" t="s">
        <v>955</v>
      </c>
      <c r="N1194" s="746"/>
      <c r="O1194" s="746"/>
      <c r="P1194" s="746"/>
      <c r="Q1194" s="746"/>
      <c r="R1194" s="521"/>
      <c r="S1194" s="521"/>
    </row>
    <row r="1195" spans="1:19" ht="25.5">
      <c r="A1195" s="723">
        <v>140</v>
      </c>
      <c r="B1195" s="723">
        <v>20041295024</v>
      </c>
      <c r="C1195" s="723" t="s">
        <v>4399</v>
      </c>
      <c r="D1195" s="723">
        <v>295</v>
      </c>
      <c r="E1195" s="723" t="s">
        <v>4036</v>
      </c>
      <c r="F1195" s="723" t="s">
        <v>154</v>
      </c>
      <c r="G1195" s="723" t="s">
        <v>2546</v>
      </c>
      <c r="H1195" s="723" t="s">
        <v>2043</v>
      </c>
      <c r="I1195" s="723" t="s">
        <v>4400</v>
      </c>
      <c r="J1195" s="723" t="s">
        <v>4401</v>
      </c>
      <c r="K1195" s="723" t="s">
        <v>2044</v>
      </c>
      <c r="L1195" s="723">
        <v>19422321</v>
      </c>
      <c r="M1195" s="723" t="s">
        <v>2286</v>
      </c>
      <c r="N1195" s="746"/>
      <c r="O1195" s="746"/>
      <c r="P1195" s="746"/>
      <c r="Q1195" s="746"/>
      <c r="R1195" s="521"/>
      <c r="S1195" s="521"/>
    </row>
    <row r="1196" spans="1:19" ht="25.5">
      <c r="A1196" s="721">
        <v>141</v>
      </c>
      <c r="B1196" s="721">
        <v>20041295026</v>
      </c>
      <c r="C1196" s="721" t="s">
        <v>4402</v>
      </c>
      <c r="D1196" s="721">
        <v>295</v>
      </c>
      <c r="E1196" s="721" t="s">
        <v>4036</v>
      </c>
      <c r="F1196" s="721" t="s">
        <v>154</v>
      </c>
      <c r="G1196" s="721" t="s">
        <v>2546</v>
      </c>
      <c r="H1196" s="721" t="s">
        <v>2043</v>
      </c>
      <c r="I1196" s="721"/>
      <c r="J1196" s="721"/>
      <c r="K1196" s="721" t="s">
        <v>2044</v>
      </c>
      <c r="L1196" s="721">
        <v>52436418</v>
      </c>
      <c r="M1196" s="721" t="s">
        <v>2252</v>
      </c>
      <c r="N1196" s="746"/>
      <c r="O1196" s="746"/>
      <c r="P1196" s="746"/>
      <c r="Q1196" s="746"/>
      <c r="R1196" s="521"/>
      <c r="S1196" s="521"/>
    </row>
    <row r="1197" spans="1:19" ht="25.5">
      <c r="A1197" s="723">
        <v>142</v>
      </c>
      <c r="B1197" s="723">
        <v>20042295001</v>
      </c>
      <c r="C1197" s="723" t="s">
        <v>4403</v>
      </c>
      <c r="D1197" s="723">
        <v>295</v>
      </c>
      <c r="E1197" s="723" t="s">
        <v>4036</v>
      </c>
      <c r="F1197" s="723" t="s">
        <v>154</v>
      </c>
      <c r="G1197" s="723" t="s">
        <v>2546</v>
      </c>
      <c r="H1197" s="723" t="s">
        <v>2043</v>
      </c>
      <c r="I1197" s="723" t="s">
        <v>4404</v>
      </c>
      <c r="J1197" s="723" t="s">
        <v>4405</v>
      </c>
      <c r="K1197" s="723" t="s">
        <v>2044</v>
      </c>
      <c r="L1197" s="723">
        <v>52020395</v>
      </c>
      <c r="M1197" s="723" t="s">
        <v>2126</v>
      </c>
      <c r="N1197" s="746"/>
      <c r="O1197" s="746"/>
      <c r="P1197" s="746"/>
      <c r="Q1197" s="746"/>
      <c r="R1197" s="521"/>
      <c r="S1197" s="521"/>
    </row>
    <row r="1198" spans="1:19" ht="25.5">
      <c r="A1198" s="721">
        <v>143</v>
      </c>
      <c r="B1198" s="721">
        <v>20042295003</v>
      </c>
      <c r="C1198" s="721" t="s">
        <v>4406</v>
      </c>
      <c r="D1198" s="721">
        <v>295</v>
      </c>
      <c r="E1198" s="721" t="s">
        <v>4036</v>
      </c>
      <c r="F1198" s="721" t="s">
        <v>154</v>
      </c>
      <c r="G1198" s="721" t="s">
        <v>2546</v>
      </c>
      <c r="H1198" s="721" t="s">
        <v>2043</v>
      </c>
      <c r="I1198" s="721" t="s">
        <v>4407</v>
      </c>
      <c r="J1198" s="721" t="s">
        <v>4408</v>
      </c>
      <c r="K1198" s="721" t="s">
        <v>2044</v>
      </c>
      <c r="L1198" s="721">
        <v>79514639</v>
      </c>
      <c r="M1198" s="721" t="s">
        <v>2119</v>
      </c>
      <c r="N1198" s="746"/>
      <c r="O1198" s="746"/>
      <c r="P1198" s="746"/>
      <c r="Q1198" s="746"/>
      <c r="R1198" s="521"/>
      <c r="S1198" s="521"/>
    </row>
    <row r="1199" spans="1:19" ht="25.5">
      <c r="A1199" s="723">
        <v>144</v>
      </c>
      <c r="B1199" s="723">
        <v>20042295005</v>
      </c>
      <c r="C1199" s="723" t="s">
        <v>4409</v>
      </c>
      <c r="D1199" s="723">
        <v>295</v>
      </c>
      <c r="E1199" s="723" t="s">
        <v>4036</v>
      </c>
      <c r="F1199" s="723" t="s">
        <v>154</v>
      </c>
      <c r="G1199" s="723" t="s">
        <v>2546</v>
      </c>
      <c r="H1199" s="723" t="s">
        <v>2043</v>
      </c>
      <c r="I1199" s="723" t="s">
        <v>4410</v>
      </c>
      <c r="J1199" s="723" t="s">
        <v>4411</v>
      </c>
      <c r="K1199" s="723" t="s">
        <v>2044</v>
      </c>
      <c r="L1199" s="723">
        <v>52206646</v>
      </c>
      <c r="M1199" s="723" t="s">
        <v>2914</v>
      </c>
      <c r="N1199" s="746"/>
      <c r="O1199" s="746"/>
      <c r="P1199" s="746"/>
      <c r="Q1199" s="746"/>
      <c r="R1199" s="521"/>
      <c r="S1199" s="521"/>
    </row>
    <row r="1200" spans="1:19" ht="25.5">
      <c r="A1200" s="721">
        <v>145</v>
      </c>
      <c r="B1200" s="721">
        <v>20042295006</v>
      </c>
      <c r="C1200" s="721" t="s">
        <v>3512</v>
      </c>
      <c r="D1200" s="721">
        <v>295</v>
      </c>
      <c r="E1200" s="721" t="s">
        <v>4036</v>
      </c>
      <c r="F1200" s="721" t="s">
        <v>154</v>
      </c>
      <c r="G1200" s="721" t="s">
        <v>2546</v>
      </c>
      <c r="H1200" s="721" t="s">
        <v>2043</v>
      </c>
      <c r="I1200" s="721" t="s">
        <v>4412</v>
      </c>
      <c r="J1200" s="721" t="s">
        <v>4413</v>
      </c>
      <c r="K1200" s="721" t="s">
        <v>2044</v>
      </c>
      <c r="L1200" s="721">
        <v>79761096</v>
      </c>
      <c r="M1200" s="722" t="s">
        <v>955</v>
      </c>
      <c r="N1200" s="746"/>
      <c r="O1200" s="746"/>
      <c r="P1200" s="746"/>
      <c r="Q1200" s="746"/>
      <c r="R1200" s="521"/>
      <c r="S1200" s="521"/>
    </row>
    <row r="1201" spans="1:19" ht="25.5">
      <c r="A1201" s="723">
        <v>146</v>
      </c>
      <c r="B1201" s="723">
        <v>20042295007</v>
      </c>
      <c r="C1201" s="723" t="s">
        <v>4414</v>
      </c>
      <c r="D1201" s="723">
        <v>295</v>
      </c>
      <c r="E1201" s="723" t="s">
        <v>4036</v>
      </c>
      <c r="F1201" s="723" t="s">
        <v>154</v>
      </c>
      <c r="G1201" s="723" t="s">
        <v>2546</v>
      </c>
      <c r="H1201" s="723" t="s">
        <v>2043</v>
      </c>
      <c r="I1201" s="723" t="s">
        <v>4415</v>
      </c>
      <c r="J1201" s="723" t="s">
        <v>4416</v>
      </c>
      <c r="K1201" s="723" t="s">
        <v>2044</v>
      </c>
      <c r="L1201" s="723">
        <v>7170907</v>
      </c>
      <c r="M1201" s="723" t="s">
        <v>2896</v>
      </c>
      <c r="N1201" s="746"/>
      <c r="O1201" s="746"/>
      <c r="P1201" s="746"/>
      <c r="Q1201" s="746"/>
      <c r="R1201" s="521"/>
      <c r="S1201" s="521"/>
    </row>
    <row r="1202" spans="1:19" ht="25.5">
      <c r="A1202" s="721">
        <v>147</v>
      </c>
      <c r="B1202" s="721">
        <v>20042295008</v>
      </c>
      <c r="C1202" s="721" t="s">
        <v>4417</v>
      </c>
      <c r="D1202" s="721">
        <v>295</v>
      </c>
      <c r="E1202" s="721" t="s">
        <v>4036</v>
      </c>
      <c r="F1202" s="721" t="s">
        <v>154</v>
      </c>
      <c r="G1202" s="721" t="s">
        <v>2546</v>
      </c>
      <c r="H1202" s="721" t="s">
        <v>2043</v>
      </c>
      <c r="I1202" s="721" t="s">
        <v>4418</v>
      </c>
      <c r="J1202" s="721" t="s">
        <v>4419</v>
      </c>
      <c r="K1202" s="721" t="s">
        <v>2044</v>
      </c>
      <c r="L1202" s="721">
        <v>23690324</v>
      </c>
      <c r="M1202" s="721" t="s">
        <v>2126</v>
      </c>
      <c r="N1202" s="746"/>
      <c r="O1202" s="746"/>
      <c r="P1202" s="746"/>
      <c r="Q1202" s="746"/>
      <c r="R1202" s="521"/>
      <c r="S1202" s="521"/>
    </row>
    <row r="1203" spans="1:19" ht="25.5">
      <c r="A1203" s="723">
        <v>148</v>
      </c>
      <c r="B1203" s="723">
        <v>20042295010</v>
      </c>
      <c r="C1203" s="723" t="s">
        <v>4420</v>
      </c>
      <c r="D1203" s="723">
        <v>295</v>
      </c>
      <c r="E1203" s="723" t="s">
        <v>4036</v>
      </c>
      <c r="F1203" s="723" t="s">
        <v>154</v>
      </c>
      <c r="G1203" s="723" t="s">
        <v>2546</v>
      </c>
      <c r="H1203" s="723" t="s">
        <v>2043</v>
      </c>
      <c r="I1203" s="723" t="s">
        <v>4421</v>
      </c>
      <c r="J1203" s="723" t="s">
        <v>4422</v>
      </c>
      <c r="K1203" s="723" t="s">
        <v>2044</v>
      </c>
      <c r="L1203" s="723">
        <v>93362446</v>
      </c>
      <c r="M1203" s="723" t="s">
        <v>2184</v>
      </c>
      <c r="N1203" s="746"/>
      <c r="O1203" s="746"/>
      <c r="P1203" s="746"/>
      <c r="Q1203" s="746"/>
      <c r="R1203" s="521"/>
      <c r="S1203" s="521"/>
    </row>
    <row r="1204" spans="1:19" ht="25.5">
      <c r="A1204" s="721">
        <v>149</v>
      </c>
      <c r="B1204" s="721">
        <v>20042295011</v>
      </c>
      <c r="C1204" s="721" t="s">
        <v>4423</v>
      </c>
      <c r="D1204" s="721">
        <v>295</v>
      </c>
      <c r="E1204" s="721" t="s">
        <v>4036</v>
      </c>
      <c r="F1204" s="721" t="s">
        <v>154</v>
      </c>
      <c r="G1204" s="721" t="s">
        <v>2546</v>
      </c>
      <c r="H1204" s="721" t="s">
        <v>2043</v>
      </c>
      <c r="I1204" s="721" t="s">
        <v>4424</v>
      </c>
      <c r="J1204" s="721" t="s">
        <v>4425</v>
      </c>
      <c r="K1204" s="721" t="s">
        <v>2044</v>
      </c>
      <c r="L1204" s="721">
        <v>86065236</v>
      </c>
      <c r="M1204" s="722" t="s">
        <v>955</v>
      </c>
      <c r="N1204" s="746"/>
      <c r="O1204" s="746"/>
      <c r="P1204" s="746"/>
      <c r="Q1204" s="746"/>
      <c r="R1204" s="521"/>
      <c r="S1204" s="521"/>
    </row>
    <row r="1205" spans="1:19" ht="25.5">
      <c r="A1205" s="723">
        <v>150</v>
      </c>
      <c r="B1205" s="723">
        <v>20042295012</v>
      </c>
      <c r="C1205" s="723" t="s">
        <v>4426</v>
      </c>
      <c r="D1205" s="723">
        <v>295</v>
      </c>
      <c r="E1205" s="723" t="s">
        <v>4036</v>
      </c>
      <c r="F1205" s="723" t="s">
        <v>154</v>
      </c>
      <c r="G1205" s="723" t="s">
        <v>2546</v>
      </c>
      <c r="H1205" s="723">
        <v>1</v>
      </c>
      <c r="I1205" s="723" t="s">
        <v>4427</v>
      </c>
      <c r="J1205" s="723" t="s">
        <v>4428</v>
      </c>
      <c r="K1205" s="723" t="s">
        <v>2044</v>
      </c>
      <c r="L1205" s="723">
        <v>79406386</v>
      </c>
      <c r="M1205" s="723" t="s">
        <v>2167</v>
      </c>
      <c r="N1205" s="746"/>
      <c r="O1205" s="746"/>
      <c r="P1205" s="746"/>
      <c r="Q1205" s="746"/>
      <c r="R1205" s="521"/>
      <c r="S1205" s="521"/>
    </row>
    <row r="1206" spans="1:19" ht="25.5">
      <c r="A1206" s="721">
        <v>151</v>
      </c>
      <c r="B1206" s="721">
        <v>20042295014</v>
      </c>
      <c r="C1206" s="721" t="s">
        <v>4429</v>
      </c>
      <c r="D1206" s="721">
        <v>295</v>
      </c>
      <c r="E1206" s="721" t="s">
        <v>4036</v>
      </c>
      <c r="F1206" s="721" t="s">
        <v>154</v>
      </c>
      <c r="G1206" s="721" t="s">
        <v>2546</v>
      </c>
      <c r="H1206" s="721" t="s">
        <v>2043</v>
      </c>
      <c r="I1206" s="721" t="s">
        <v>4430</v>
      </c>
      <c r="J1206" s="721" t="s">
        <v>4431</v>
      </c>
      <c r="K1206" s="721" t="s">
        <v>2044</v>
      </c>
      <c r="L1206" s="721">
        <v>79571941</v>
      </c>
      <c r="M1206" s="721" t="s">
        <v>2126</v>
      </c>
      <c r="N1206" s="746"/>
      <c r="O1206" s="746"/>
      <c r="P1206" s="746"/>
      <c r="Q1206" s="746"/>
      <c r="R1206" s="521"/>
      <c r="S1206" s="521"/>
    </row>
    <row r="1207" spans="1:19" ht="25.5">
      <c r="A1207" s="723">
        <v>152</v>
      </c>
      <c r="B1207" s="723">
        <v>20051295001</v>
      </c>
      <c r="C1207" s="723" t="s">
        <v>4432</v>
      </c>
      <c r="D1207" s="723">
        <v>295</v>
      </c>
      <c r="E1207" s="723" t="s">
        <v>4036</v>
      </c>
      <c r="F1207" s="723" t="s">
        <v>154</v>
      </c>
      <c r="G1207" s="723" t="s">
        <v>2546</v>
      </c>
      <c r="H1207" s="723" t="s">
        <v>2043</v>
      </c>
      <c r="I1207" s="723" t="s">
        <v>4433</v>
      </c>
      <c r="J1207" s="723" t="s">
        <v>4434</v>
      </c>
      <c r="K1207" s="723" t="s">
        <v>2044</v>
      </c>
      <c r="L1207" s="723">
        <v>79707100</v>
      </c>
      <c r="M1207" s="723" t="s">
        <v>2229</v>
      </c>
      <c r="N1207" s="746"/>
      <c r="O1207" s="746"/>
      <c r="P1207" s="746"/>
      <c r="Q1207" s="746"/>
      <c r="R1207" s="521"/>
      <c r="S1207" s="521"/>
    </row>
    <row r="1208" spans="1:19" ht="25.5">
      <c r="A1208" s="721">
        <v>153</v>
      </c>
      <c r="B1208" s="721">
        <v>20051295004</v>
      </c>
      <c r="C1208" s="721" t="s">
        <v>4435</v>
      </c>
      <c r="D1208" s="721">
        <v>295</v>
      </c>
      <c r="E1208" s="721" t="s">
        <v>4036</v>
      </c>
      <c r="F1208" s="721" t="s">
        <v>154</v>
      </c>
      <c r="G1208" s="721" t="s">
        <v>2546</v>
      </c>
      <c r="H1208" s="721" t="s">
        <v>2043</v>
      </c>
      <c r="I1208" s="721" t="s">
        <v>4436</v>
      </c>
      <c r="J1208" s="721" t="s">
        <v>4437</v>
      </c>
      <c r="K1208" s="721" t="s">
        <v>2044</v>
      </c>
      <c r="L1208" s="721">
        <v>22492135</v>
      </c>
      <c r="M1208" s="722" t="s">
        <v>955</v>
      </c>
      <c r="N1208" s="746"/>
      <c r="O1208" s="746"/>
      <c r="P1208" s="746"/>
      <c r="Q1208" s="746"/>
      <c r="R1208" s="521"/>
      <c r="S1208" s="521"/>
    </row>
    <row r="1209" spans="1:19" ht="25.5">
      <c r="A1209" s="723">
        <v>154</v>
      </c>
      <c r="B1209" s="723">
        <v>20051295008</v>
      </c>
      <c r="C1209" s="723" t="s">
        <v>4438</v>
      </c>
      <c r="D1209" s="723">
        <v>295</v>
      </c>
      <c r="E1209" s="723" t="s">
        <v>4036</v>
      </c>
      <c r="F1209" s="723" t="s">
        <v>154</v>
      </c>
      <c r="G1209" s="723" t="s">
        <v>2546</v>
      </c>
      <c r="H1209" s="723" t="s">
        <v>2043</v>
      </c>
      <c r="I1209" s="723" t="s">
        <v>4439</v>
      </c>
      <c r="J1209" s="723" t="s">
        <v>4440</v>
      </c>
      <c r="K1209" s="723" t="s">
        <v>2044</v>
      </c>
      <c r="L1209" s="723">
        <v>79801885</v>
      </c>
      <c r="M1209" s="723" t="s">
        <v>2229</v>
      </c>
      <c r="N1209" s="746"/>
      <c r="O1209" s="746"/>
      <c r="P1209" s="746"/>
      <c r="Q1209" s="746"/>
      <c r="R1209" s="521"/>
      <c r="S1209" s="521"/>
    </row>
    <row r="1210" spans="1:19" ht="25.5">
      <c r="A1210" s="721">
        <v>155</v>
      </c>
      <c r="B1210" s="721">
        <v>20051295011</v>
      </c>
      <c r="C1210" s="721" t="s">
        <v>4441</v>
      </c>
      <c r="D1210" s="721">
        <v>295</v>
      </c>
      <c r="E1210" s="721" t="s">
        <v>4036</v>
      </c>
      <c r="F1210" s="721" t="s">
        <v>154</v>
      </c>
      <c r="G1210" s="721" t="s">
        <v>2546</v>
      </c>
      <c r="H1210" s="721" t="s">
        <v>2043</v>
      </c>
      <c r="I1210" s="721" t="s">
        <v>4442</v>
      </c>
      <c r="J1210" s="721" t="s">
        <v>4443</v>
      </c>
      <c r="K1210" s="721" t="s">
        <v>2044</v>
      </c>
      <c r="L1210" s="721">
        <v>35250386</v>
      </c>
      <c r="M1210" s="721" t="s">
        <v>2119</v>
      </c>
      <c r="N1210" s="746"/>
      <c r="O1210" s="746"/>
      <c r="P1210" s="746"/>
      <c r="Q1210" s="746"/>
      <c r="R1210" s="521"/>
      <c r="S1210" s="521"/>
    </row>
    <row r="1211" spans="1:19" ht="25.5">
      <c r="A1211" s="723">
        <v>156</v>
      </c>
      <c r="B1211" s="723">
        <v>20051295012</v>
      </c>
      <c r="C1211" s="723" t="s">
        <v>4444</v>
      </c>
      <c r="D1211" s="723">
        <v>295</v>
      </c>
      <c r="E1211" s="723" t="s">
        <v>4036</v>
      </c>
      <c r="F1211" s="723" t="s">
        <v>154</v>
      </c>
      <c r="G1211" s="723" t="s">
        <v>2546</v>
      </c>
      <c r="H1211" s="723" t="s">
        <v>2043</v>
      </c>
      <c r="I1211" s="723" t="s">
        <v>4445</v>
      </c>
      <c r="J1211" s="723" t="s">
        <v>4446</v>
      </c>
      <c r="K1211" s="723" t="s">
        <v>2044</v>
      </c>
      <c r="L1211" s="723">
        <v>79667413</v>
      </c>
      <c r="M1211" s="723" t="s">
        <v>2119</v>
      </c>
      <c r="N1211" s="746"/>
      <c r="O1211" s="746"/>
      <c r="P1211" s="746"/>
      <c r="Q1211" s="746"/>
      <c r="R1211" s="521"/>
      <c r="S1211" s="521"/>
    </row>
    <row r="1212" spans="1:19" ht="25.5">
      <c r="A1212" s="721">
        <v>157</v>
      </c>
      <c r="B1212" s="721">
        <v>20051295013</v>
      </c>
      <c r="C1212" s="721" t="s">
        <v>4447</v>
      </c>
      <c r="D1212" s="721">
        <v>295</v>
      </c>
      <c r="E1212" s="721" t="s">
        <v>4036</v>
      </c>
      <c r="F1212" s="721" t="s">
        <v>154</v>
      </c>
      <c r="G1212" s="721" t="s">
        <v>2546</v>
      </c>
      <c r="H1212" s="721" t="s">
        <v>2043</v>
      </c>
      <c r="I1212" s="721"/>
      <c r="J1212" s="721"/>
      <c r="K1212" s="721" t="s">
        <v>2044</v>
      </c>
      <c r="L1212" s="721">
        <v>79864731</v>
      </c>
      <c r="M1212" s="722" t="s">
        <v>955</v>
      </c>
      <c r="N1212" s="746"/>
      <c r="O1212" s="746"/>
      <c r="P1212" s="746"/>
      <c r="Q1212" s="746"/>
      <c r="R1212" s="521"/>
      <c r="S1212" s="521"/>
    </row>
    <row r="1213" spans="1:19" ht="25.5">
      <c r="A1213" s="723">
        <v>158</v>
      </c>
      <c r="B1213" s="723">
        <v>20051295014</v>
      </c>
      <c r="C1213" s="723" t="s">
        <v>4448</v>
      </c>
      <c r="D1213" s="723">
        <v>295</v>
      </c>
      <c r="E1213" s="723" t="s">
        <v>4036</v>
      </c>
      <c r="F1213" s="723" t="s">
        <v>154</v>
      </c>
      <c r="G1213" s="723" t="s">
        <v>2546</v>
      </c>
      <c r="H1213" s="723" t="s">
        <v>2043</v>
      </c>
      <c r="I1213" s="723" t="s">
        <v>4449</v>
      </c>
      <c r="J1213" s="723" t="s">
        <v>4450</v>
      </c>
      <c r="K1213" s="723" t="s">
        <v>2044</v>
      </c>
      <c r="L1213" s="723">
        <v>80000584</v>
      </c>
      <c r="M1213" s="723" t="s">
        <v>2286</v>
      </c>
      <c r="N1213" s="746"/>
      <c r="O1213" s="746"/>
      <c r="P1213" s="746"/>
      <c r="Q1213" s="746"/>
      <c r="R1213" s="521"/>
      <c r="S1213" s="521"/>
    </row>
    <row r="1214" spans="1:19" ht="25.5">
      <c r="A1214" s="721">
        <v>159</v>
      </c>
      <c r="B1214" s="721">
        <v>20051295015</v>
      </c>
      <c r="C1214" s="721" t="s">
        <v>4451</v>
      </c>
      <c r="D1214" s="721">
        <v>295</v>
      </c>
      <c r="E1214" s="721" t="s">
        <v>4036</v>
      </c>
      <c r="F1214" s="721" t="s">
        <v>154</v>
      </c>
      <c r="G1214" s="721" t="s">
        <v>2546</v>
      </c>
      <c r="H1214" s="721" t="s">
        <v>2043</v>
      </c>
      <c r="I1214" s="721" t="s">
        <v>4452</v>
      </c>
      <c r="J1214" s="721" t="s">
        <v>4453</v>
      </c>
      <c r="K1214" s="721" t="s">
        <v>2044</v>
      </c>
      <c r="L1214" s="721">
        <v>79404227</v>
      </c>
      <c r="M1214" s="721" t="s">
        <v>2914</v>
      </c>
      <c r="N1214" s="746"/>
      <c r="O1214" s="746"/>
      <c r="P1214" s="746"/>
      <c r="Q1214" s="746"/>
      <c r="R1214" s="521"/>
      <c r="S1214" s="521"/>
    </row>
    <row r="1215" spans="1:19" ht="25.5">
      <c r="A1215" s="723">
        <v>160</v>
      </c>
      <c r="B1215" s="723">
        <v>20051295016</v>
      </c>
      <c r="C1215" s="723" t="s">
        <v>4454</v>
      </c>
      <c r="D1215" s="723">
        <v>295</v>
      </c>
      <c r="E1215" s="723" t="s">
        <v>4036</v>
      </c>
      <c r="F1215" s="723" t="s">
        <v>154</v>
      </c>
      <c r="G1215" s="723" t="s">
        <v>2546</v>
      </c>
      <c r="H1215" s="723" t="s">
        <v>2043</v>
      </c>
      <c r="I1215" s="723"/>
      <c r="J1215" s="723"/>
      <c r="K1215" s="723" t="s">
        <v>2044</v>
      </c>
      <c r="L1215" s="723">
        <v>79797090</v>
      </c>
      <c r="M1215" s="724" t="s">
        <v>955</v>
      </c>
      <c r="N1215" s="746"/>
      <c r="O1215" s="746"/>
      <c r="P1215" s="746"/>
      <c r="Q1215" s="746"/>
      <c r="R1215" s="521"/>
      <c r="S1215" s="521"/>
    </row>
    <row r="1216" spans="1:19" ht="25.5">
      <c r="A1216" s="721">
        <v>161</v>
      </c>
      <c r="B1216" s="721">
        <v>20051295020</v>
      </c>
      <c r="C1216" s="721" t="s">
        <v>4455</v>
      </c>
      <c r="D1216" s="721">
        <v>295</v>
      </c>
      <c r="E1216" s="721" t="s">
        <v>4036</v>
      </c>
      <c r="F1216" s="721" t="s">
        <v>154</v>
      </c>
      <c r="G1216" s="721" t="s">
        <v>2546</v>
      </c>
      <c r="H1216" s="721" t="s">
        <v>2043</v>
      </c>
      <c r="I1216" s="721"/>
      <c r="J1216" s="721"/>
      <c r="K1216" s="721" t="s">
        <v>2044</v>
      </c>
      <c r="L1216" s="721">
        <v>79750363</v>
      </c>
      <c r="M1216" s="722" t="s">
        <v>955</v>
      </c>
      <c r="N1216" s="746"/>
      <c r="O1216" s="746"/>
      <c r="P1216" s="746"/>
      <c r="Q1216" s="746"/>
      <c r="R1216" s="521"/>
      <c r="S1216" s="521"/>
    </row>
    <row r="1217" spans="1:19" ht="25.5">
      <c r="A1217" s="723">
        <v>162</v>
      </c>
      <c r="B1217" s="723">
        <v>20052295001</v>
      </c>
      <c r="C1217" s="723" t="s">
        <v>4456</v>
      </c>
      <c r="D1217" s="723">
        <v>295</v>
      </c>
      <c r="E1217" s="723" t="s">
        <v>4036</v>
      </c>
      <c r="F1217" s="723" t="s">
        <v>154</v>
      </c>
      <c r="G1217" s="723" t="s">
        <v>2546</v>
      </c>
      <c r="H1217" s="723" t="s">
        <v>2043</v>
      </c>
      <c r="I1217" s="723" t="s">
        <v>4457</v>
      </c>
      <c r="J1217" s="723" t="s">
        <v>4458</v>
      </c>
      <c r="K1217" s="723" t="s">
        <v>2044</v>
      </c>
      <c r="L1217" s="723">
        <v>52316031</v>
      </c>
      <c r="M1217" s="723" t="s">
        <v>2958</v>
      </c>
      <c r="N1217" s="746"/>
      <c r="O1217" s="746"/>
      <c r="P1217" s="746"/>
      <c r="Q1217" s="746"/>
      <c r="R1217" s="521"/>
      <c r="S1217" s="521"/>
    </row>
    <row r="1218" spans="1:19" ht="25.5">
      <c r="A1218" s="721">
        <v>163</v>
      </c>
      <c r="B1218" s="721">
        <v>20052295002</v>
      </c>
      <c r="C1218" s="721" t="s">
        <v>4459</v>
      </c>
      <c r="D1218" s="721">
        <v>295</v>
      </c>
      <c r="E1218" s="721" t="s">
        <v>4036</v>
      </c>
      <c r="F1218" s="721" t="s">
        <v>154</v>
      </c>
      <c r="G1218" s="721" t="s">
        <v>2546</v>
      </c>
      <c r="H1218" s="721" t="s">
        <v>2043</v>
      </c>
      <c r="I1218" s="721"/>
      <c r="J1218" s="721"/>
      <c r="K1218" s="721" t="s">
        <v>2044</v>
      </c>
      <c r="L1218" s="721">
        <v>40731600</v>
      </c>
      <c r="M1218" s="722" t="s">
        <v>955</v>
      </c>
      <c r="N1218" s="746"/>
      <c r="O1218" s="746"/>
      <c r="P1218" s="746"/>
      <c r="Q1218" s="746"/>
      <c r="R1218" s="521"/>
      <c r="S1218" s="521"/>
    </row>
    <row r="1219" spans="1:19" ht="25.5">
      <c r="A1219" s="723">
        <v>164</v>
      </c>
      <c r="B1219" s="723">
        <v>20052295003</v>
      </c>
      <c r="C1219" s="723" t="s">
        <v>4460</v>
      </c>
      <c r="D1219" s="723">
        <v>295</v>
      </c>
      <c r="E1219" s="723" t="s">
        <v>4036</v>
      </c>
      <c r="F1219" s="723" t="s">
        <v>154</v>
      </c>
      <c r="G1219" s="723" t="s">
        <v>2546</v>
      </c>
      <c r="H1219" s="723" t="s">
        <v>2043</v>
      </c>
      <c r="I1219" s="723" t="s">
        <v>4461</v>
      </c>
      <c r="J1219" s="723" t="s">
        <v>4462</v>
      </c>
      <c r="K1219" s="723" t="s">
        <v>2044</v>
      </c>
      <c r="L1219" s="723">
        <v>13541405</v>
      </c>
      <c r="M1219" s="723" t="s">
        <v>2830</v>
      </c>
      <c r="N1219" s="746"/>
      <c r="O1219" s="746"/>
      <c r="P1219" s="746"/>
      <c r="Q1219" s="746"/>
      <c r="R1219" s="521"/>
      <c r="S1219" s="521"/>
    </row>
    <row r="1220" spans="1:19" ht="25.5">
      <c r="A1220" s="721">
        <v>165</v>
      </c>
      <c r="B1220" s="721">
        <v>20052295004</v>
      </c>
      <c r="C1220" s="721" t="s">
        <v>4463</v>
      </c>
      <c r="D1220" s="721">
        <v>295</v>
      </c>
      <c r="E1220" s="721" t="s">
        <v>4036</v>
      </c>
      <c r="F1220" s="721" t="s">
        <v>154</v>
      </c>
      <c r="G1220" s="721" t="s">
        <v>2546</v>
      </c>
      <c r="H1220" s="721" t="s">
        <v>2043</v>
      </c>
      <c r="I1220" s="721" t="s">
        <v>4464</v>
      </c>
      <c r="J1220" s="721" t="s">
        <v>4465</v>
      </c>
      <c r="K1220" s="721" t="s">
        <v>2044</v>
      </c>
      <c r="L1220" s="721">
        <v>77029142</v>
      </c>
      <c r="M1220" s="721" t="s">
        <v>2286</v>
      </c>
      <c r="N1220" s="746"/>
      <c r="O1220" s="746"/>
      <c r="P1220" s="746"/>
      <c r="Q1220" s="746"/>
      <c r="R1220" s="521"/>
      <c r="S1220" s="521"/>
    </row>
    <row r="1221" spans="1:19" ht="25.5">
      <c r="A1221" s="723">
        <v>166</v>
      </c>
      <c r="B1221" s="723">
        <v>20052295006</v>
      </c>
      <c r="C1221" s="723" t="s">
        <v>4466</v>
      </c>
      <c r="D1221" s="723">
        <v>295</v>
      </c>
      <c r="E1221" s="723" t="s">
        <v>4036</v>
      </c>
      <c r="F1221" s="723" t="s">
        <v>154</v>
      </c>
      <c r="G1221" s="723" t="s">
        <v>2546</v>
      </c>
      <c r="H1221" s="723" t="s">
        <v>2043</v>
      </c>
      <c r="I1221" s="723" t="s">
        <v>4467</v>
      </c>
      <c r="J1221" s="723" t="s">
        <v>4468</v>
      </c>
      <c r="K1221" s="723" t="s">
        <v>2044</v>
      </c>
      <c r="L1221" s="723">
        <v>52437232</v>
      </c>
      <c r="M1221" s="723" t="s">
        <v>2286</v>
      </c>
      <c r="N1221" s="746"/>
      <c r="O1221" s="746"/>
      <c r="P1221" s="746"/>
      <c r="Q1221" s="746"/>
      <c r="R1221" s="521"/>
      <c r="S1221" s="521"/>
    </row>
    <row r="1222" spans="1:19" ht="25.5">
      <c r="A1222" s="721">
        <v>167</v>
      </c>
      <c r="B1222" s="721">
        <v>20052295008</v>
      </c>
      <c r="C1222" s="721" t="s">
        <v>4469</v>
      </c>
      <c r="D1222" s="721">
        <v>295</v>
      </c>
      <c r="E1222" s="721" t="s">
        <v>4036</v>
      </c>
      <c r="F1222" s="721" t="s">
        <v>154</v>
      </c>
      <c r="G1222" s="721" t="s">
        <v>2546</v>
      </c>
      <c r="H1222" s="721" t="s">
        <v>2043</v>
      </c>
      <c r="I1222" s="721" t="s">
        <v>4470</v>
      </c>
      <c r="J1222" s="721" t="s">
        <v>4471</v>
      </c>
      <c r="K1222" s="721" t="s">
        <v>2044</v>
      </c>
      <c r="L1222" s="721">
        <v>79756903</v>
      </c>
      <c r="M1222" s="721" t="s">
        <v>2286</v>
      </c>
      <c r="N1222" s="746"/>
      <c r="O1222" s="746"/>
      <c r="P1222" s="746"/>
      <c r="Q1222" s="746"/>
      <c r="R1222" s="521"/>
      <c r="S1222" s="521"/>
    </row>
    <row r="1223" spans="1:19" ht="25.5">
      <c r="A1223" s="723">
        <v>168</v>
      </c>
      <c r="B1223" s="723">
        <v>20052295010</v>
      </c>
      <c r="C1223" s="723" t="s">
        <v>4472</v>
      </c>
      <c r="D1223" s="723">
        <v>295</v>
      </c>
      <c r="E1223" s="723" t="s">
        <v>4036</v>
      </c>
      <c r="F1223" s="723" t="s">
        <v>154</v>
      </c>
      <c r="G1223" s="723" t="s">
        <v>2546</v>
      </c>
      <c r="H1223" s="723" t="s">
        <v>2043</v>
      </c>
      <c r="I1223" s="723"/>
      <c r="J1223" s="723"/>
      <c r="K1223" s="723" t="s">
        <v>2044</v>
      </c>
      <c r="L1223" s="723">
        <v>12264767</v>
      </c>
      <c r="M1223" s="724" t="s">
        <v>955</v>
      </c>
      <c r="N1223" s="746"/>
      <c r="O1223" s="746"/>
      <c r="P1223" s="746"/>
      <c r="Q1223" s="746"/>
      <c r="R1223" s="521"/>
      <c r="S1223" s="521"/>
    </row>
    <row r="1224" spans="1:19" ht="25.5">
      <c r="A1224" s="721">
        <v>169</v>
      </c>
      <c r="B1224" s="721">
        <v>20052295011</v>
      </c>
      <c r="C1224" s="721" t="s">
        <v>4473</v>
      </c>
      <c r="D1224" s="721">
        <v>295</v>
      </c>
      <c r="E1224" s="721" t="s">
        <v>4036</v>
      </c>
      <c r="F1224" s="721" t="s">
        <v>154</v>
      </c>
      <c r="G1224" s="721" t="s">
        <v>2546</v>
      </c>
      <c r="H1224" s="721" t="s">
        <v>2043</v>
      </c>
      <c r="I1224" s="721" t="s">
        <v>4474</v>
      </c>
      <c r="J1224" s="721" t="s">
        <v>4475</v>
      </c>
      <c r="K1224" s="721" t="s">
        <v>2044</v>
      </c>
      <c r="L1224" s="721">
        <v>40610741</v>
      </c>
      <c r="M1224" s="721" t="s">
        <v>2184</v>
      </c>
      <c r="N1224" s="746"/>
      <c r="O1224" s="746"/>
      <c r="P1224" s="746"/>
      <c r="Q1224" s="746"/>
      <c r="R1224" s="521"/>
      <c r="S1224" s="521"/>
    </row>
    <row r="1225" spans="1:19" ht="25.5">
      <c r="A1225" s="723">
        <v>170</v>
      </c>
      <c r="B1225" s="723">
        <v>20052295012</v>
      </c>
      <c r="C1225" s="723" t="s">
        <v>4476</v>
      </c>
      <c r="D1225" s="723">
        <v>295</v>
      </c>
      <c r="E1225" s="723" t="s">
        <v>4036</v>
      </c>
      <c r="F1225" s="723" t="s">
        <v>154</v>
      </c>
      <c r="G1225" s="723" t="s">
        <v>2546</v>
      </c>
      <c r="H1225" s="723" t="s">
        <v>2043</v>
      </c>
      <c r="I1225" s="723" t="s">
        <v>4477</v>
      </c>
      <c r="J1225" s="723" t="s">
        <v>4478</v>
      </c>
      <c r="K1225" s="723" t="s">
        <v>2044</v>
      </c>
      <c r="L1225" s="723">
        <v>11791194</v>
      </c>
      <c r="M1225" s="723" t="s">
        <v>2184</v>
      </c>
      <c r="N1225" s="746"/>
      <c r="O1225" s="746"/>
      <c r="P1225" s="746"/>
      <c r="Q1225" s="746"/>
      <c r="R1225" s="521"/>
      <c r="S1225" s="521"/>
    </row>
    <row r="1226" spans="1:19" ht="25.5">
      <c r="A1226" s="721">
        <v>171</v>
      </c>
      <c r="B1226" s="721">
        <v>20052295014</v>
      </c>
      <c r="C1226" s="721" t="s">
        <v>4479</v>
      </c>
      <c r="D1226" s="721">
        <v>295</v>
      </c>
      <c r="E1226" s="721" t="s">
        <v>4036</v>
      </c>
      <c r="F1226" s="721" t="s">
        <v>154</v>
      </c>
      <c r="G1226" s="721" t="s">
        <v>2546</v>
      </c>
      <c r="H1226" s="721" t="s">
        <v>2043</v>
      </c>
      <c r="I1226" s="721" t="s">
        <v>4480</v>
      </c>
      <c r="J1226" s="721" t="s">
        <v>4481</v>
      </c>
      <c r="K1226" s="721" t="s">
        <v>2044</v>
      </c>
      <c r="L1226" s="721">
        <v>19151318</v>
      </c>
      <c r="M1226" s="721" t="s">
        <v>2184</v>
      </c>
      <c r="N1226" s="746"/>
      <c r="O1226" s="746"/>
      <c r="P1226" s="746"/>
      <c r="Q1226" s="746"/>
      <c r="R1226" s="521"/>
      <c r="S1226" s="521"/>
    </row>
    <row r="1227" spans="1:19" ht="25.5">
      <c r="A1227" s="723">
        <v>172</v>
      </c>
      <c r="B1227" s="723">
        <v>20061295001</v>
      </c>
      <c r="C1227" s="723" t="s">
        <v>4482</v>
      </c>
      <c r="D1227" s="723">
        <v>295</v>
      </c>
      <c r="E1227" s="723" t="s">
        <v>4036</v>
      </c>
      <c r="F1227" s="723" t="s">
        <v>154</v>
      </c>
      <c r="G1227" s="723" t="s">
        <v>2546</v>
      </c>
      <c r="H1227" s="723" t="s">
        <v>2043</v>
      </c>
      <c r="I1227" s="723" t="s">
        <v>4483</v>
      </c>
      <c r="J1227" s="723" t="s">
        <v>4484</v>
      </c>
      <c r="K1227" s="723" t="s">
        <v>2044</v>
      </c>
      <c r="L1227" s="723">
        <v>52792484</v>
      </c>
      <c r="M1227" s="723" t="s">
        <v>2286</v>
      </c>
      <c r="N1227" s="746"/>
      <c r="O1227" s="746"/>
      <c r="P1227" s="746"/>
      <c r="Q1227" s="746"/>
      <c r="R1227" s="521"/>
      <c r="S1227" s="521"/>
    </row>
    <row r="1228" spans="1:19" ht="25.5">
      <c r="A1228" s="721">
        <v>173</v>
      </c>
      <c r="B1228" s="721">
        <v>20061295002</v>
      </c>
      <c r="C1228" s="721" t="s">
        <v>4485</v>
      </c>
      <c r="D1228" s="721">
        <v>295</v>
      </c>
      <c r="E1228" s="721" t="s">
        <v>4036</v>
      </c>
      <c r="F1228" s="721" t="s">
        <v>154</v>
      </c>
      <c r="G1228" s="721" t="s">
        <v>2546</v>
      </c>
      <c r="H1228" s="721" t="s">
        <v>2043</v>
      </c>
      <c r="I1228" s="721" t="s">
        <v>4486</v>
      </c>
      <c r="J1228" s="721" t="s">
        <v>4487</v>
      </c>
      <c r="K1228" s="721" t="s">
        <v>2044</v>
      </c>
      <c r="L1228" s="721">
        <v>80492107</v>
      </c>
      <c r="M1228" s="721" t="s">
        <v>2113</v>
      </c>
      <c r="N1228" s="746"/>
      <c r="O1228" s="746"/>
      <c r="P1228" s="746"/>
      <c r="Q1228" s="746"/>
      <c r="R1228" s="521"/>
      <c r="S1228" s="521"/>
    </row>
    <row r="1229" spans="1:19" ht="25.5">
      <c r="A1229" s="723">
        <v>174</v>
      </c>
      <c r="B1229" s="723">
        <v>20061295003</v>
      </c>
      <c r="C1229" s="723" t="s">
        <v>4488</v>
      </c>
      <c r="D1229" s="723">
        <v>295</v>
      </c>
      <c r="E1229" s="723" t="s">
        <v>4036</v>
      </c>
      <c r="F1229" s="723" t="s">
        <v>154</v>
      </c>
      <c r="G1229" s="723" t="s">
        <v>2546</v>
      </c>
      <c r="H1229" s="723" t="s">
        <v>2043</v>
      </c>
      <c r="I1229" s="723" t="s">
        <v>4489</v>
      </c>
      <c r="J1229" s="723" t="s">
        <v>4490</v>
      </c>
      <c r="K1229" s="723" t="s">
        <v>2044</v>
      </c>
      <c r="L1229" s="723">
        <v>52426128</v>
      </c>
      <c r="M1229" s="723" t="s">
        <v>2229</v>
      </c>
      <c r="N1229" s="746"/>
      <c r="O1229" s="746"/>
      <c r="P1229" s="746"/>
      <c r="Q1229" s="746"/>
      <c r="R1229" s="521"/>
      <c r="S1229" s="521"/>
    </row>
    <row r="1230" spans="1:19" ht="25.5">
      <c r="A1230" s="721">
        <v>175</v>
      </c>
      <c r="B1230" s="721">
        <v>20061295005</v>
      </c>
      <c r="C1230" s="721" t="s">
        <v>4491</v>
      </c>
      <c r="D1230" s="721">
        <v>295</v>
      </c>
      <c r="E1230" s="721" t="s">
        <v>4036</v>
      </c>
      <c r="F1230" s="721" t="s">
        <v>154</v>
      </c>
      <c r="G1230" s="721" t="s">
        <v>2546</v>
      </c>
      <c r="H1230" s="721" t="s">
        <v>2043</v>
      </c>
      <c r="I1230" s="721" t="s">
        <v>4492</v>
      </c>
      <c r="J1230" s="721" t="s">
        <v>4493</v>
      </c>
      <c r="K1230" s="721" t="s">
        <v>2044</v>
      </c>
      <c r="L1230" s="721">
        <v>66827649</v>
      </c>
      <c r="M1230" s="722" t="s">
        <v>955</v>
      </c>
      <c r="N1230" s="746"/>
      <c r="O1230" s="746"/>
      <c r="P1230" s="746"/>
      <c r="Q1230" s="746"/>
      <c r="R1230" s="521"/>
      <c r="S1230" s="521"/>
    </row>
    <row r="1231" spans="1:19" ht="25.5">
      <c r="A1231" s="723">
        <v>176</v>
      </c>
      <c r="B1231" s="723">
        <v>20061295006</v>
      </c>
      <c r="C1231" s="723" t="s">
        <v>2822</v>
      </c>
      <c r="D1231" s="723">
        <v>295</v>
      </c>
      <c r="E1231" s="723" t="s">
        <v>4036</v>
      </c>
      <c r="F1231" s="723" t="s">
        <v>154</v>
      </c>
      <c r="G1231" s="723" t="s">
        <v>2546</v>
      </c>
      <c r="H1231" s="723" t="s">
        <v>2043</v>
      </c>
      <c r="I1231" s="723" t="s">
        <v>4494</v>
      </c>
      <c r="J1231" s="723" t="s">
        <v>4495</v>
      </c>
      <c r="K1231" s="723" t="s">
        <v>2044</v>
      </c>
      <c r="L1231" s="723">
        <v>51964766</v>
      </c>
      <c r="M1231" s="723" t="s">
        <v>2113</v>
      </c>
      <c r="N1231" s="746"/>
      <c r="O1231" s="746"/>
      <c r="P1231" s="746"/>
      <c r="Q1231" s="746"/>
      <c r="R1231" s="521"/>
      <c r="S1231" s="521"/>
    </row>
    <row r="1232" spans="1:19" ht="25.5">
      <c r="A1232" s="721">
        <v>177</v>
      </c>
      <c r="B1232" s="721">
        <v>20061295007</v>
      </c>
      <c r="C1232" s="721" t="s">
        <v>4496</v>
      </c>
      <c r="D1232" s="721">
        <v>295</v>
      </c>
      <c r="E1232" s="721" t="s">
        <v>4036</v>
      </c>
      <c r="F1232" s="721" t="s">
        <v>154</v>
      </c>
      <c r="G1232" s="721" t="s">
        <v>2546</v>
      </c>
      <c r="H1232" s="721">
        <v>4</v>
      </c>
      <c r="I1232" s="721" t="s">
        <v>4497</v>
      </c>
      <c r="J1232" s="721" t="s">
        <v>4498</v>
      </c>
      <c r="K1232" s="721" t="s">
        <v>2044</v>
      </c>
      <c r="L1232" s="721">
        <v>79378087</v>
      </c>
      <c r="M1232" s="721" t="s">
        <v>3269</v>
      </c>
      <c r="N1232" s="746"/>
      <c r="O1232" s="746"/>
      <c r="P1232" s="746"/>
      <c r="Q1232" s="746"/>
      <c r="R1232" s="521"/>
      <c r="S1232" s="521"/>
    </row>
    <row r="1233" spans="1:19" ht="25.5">
      <c r="A1233" s="723">
        <v>178</v>
      </c>
      <c r="B1233" s="723">
        <v>20061295008</v>
      </c>
      <c r="C1233" s="723" t="s">
        <v>4499</v>
      </c>
      <c r="D1233" s="723">
        <v>295</v>
      </c>
      <c r="E1233" s="723" t="s">
        <v>4036</v>
      </c>
      <c r="F1233" s="723" t="s">
        <v>154</v>
      </c>
      <c r="G1233" s="723" t="s">
        <v>2546</v>
      </c>
      <c r="H1233" s="723" t="s">
        <v>2043</v>
      </c>
      <c r="I1233" s="723" t="s">
        <v>4500</v>
      </c>
      <c r="J1233" s="723" t="s">
        <v>4501</v>
      </c>
      <c r="K1233" s="723" t="s">
        <v>2044</v>
      </c>
      <c r="L1233" s="723">
        <v>6801457</v>
      </c>
      <c r="M1233" s="724" t="s">
        <v>955</v>
      </c>
      <c r="N1233" s="746"/>
      <c r="O1233" s="746"/>
      <c r="P1233" s="746"/>
      <c r="Q1233" s="746"/>
      <c r="R1233" s="521"/>
      <c r="S1233" s="521"/>
    </row>
    <row r="1234" spans="1:19" ht="25.5">
      <c r="A1234" s="721">
        <v>179</v>
      </c>
      <c r="B1234" s="721">
        <v>20061295009</v>
      </c>
      <c r="C1234" s="721" t="s">
        <v>4502</v>
      </c>
      <c r="D1234" s="721">
        <v>295</v>
      </c>
      <c r="E1234" s="721" t="s">
        <v>4036</v>
      </c>
      <c r="F1234" s="721" t="s">
        <v>154</v>
      </c>
      <c r="G1234" s="721" t="s">
        <v>2546</v>
      </c>
      <c r="H1234" s="721" t="s">
        <v>2043</v>
      </c>
      <c r="I1234" s="721" t="s">
        <v>4503</v>
      </c>
      <c r="J1234" s="721" t="s">
        <v>4504</v>
      </c>
      <c r="K1234" s="721" t="s">
        <v>2044</v>
      </c>
      <c r="L1234" s="721">
        <v>37270135</v>
      </c>
      <c r="M1234" s="722" t="s">
        <v>955</v>
      </c>
      <c r="N1234" s="746"/>
      <c r="O1234" s="746"/>
      <c r="P1234" s="746"/>
      <c r="Q1234" s="746"/>
      <c r="R1234" s="521"/>
      <c r="S1234" s="521"/>
    </row>
    <row r="1235" spans="1:19" ht="25.5">
      <c r="A1235" s="723">
        <v>180</v>
      </c>
      <c r="B1235" s="723">
        <v>20061295011</v>
      </c>
      <c r="C1235" s="723" t="s">
        <v>4505</v>
      </c>
      <c r="D1235" s="723">
        <v>295</v>
      </c>
      <c r="E1235" s="723" t="s">
        <v>4036</v>
      </c>
      <c r="F1235" s="723" t="s">
        <v>154</v>
      </c>
      <c r="G1235" s="723" t="s">
        <v>2546</v>
      </c>
      <c r="H1235" s="723" t="s">
        <v>2043</v>
      </c>
      <c r="I1235" s="723" t="s">
        <v>4506</v>
      </c>
      <c r="J1235" s="723" t="s">
        <v>4507</v>
      </c>
      <c r="K1235" s="723" t="s">
        <v>2044</v>
      </c>
      <c r="L1235" s="723">
        <v>79988689</v>
      </c>
      <c r="M1235" s="723" t="s">
        <v>2830</v>
      </c>
      <c r="N1235" s="746"/>
      <c r="O1235" s="746"/>
      <c r="P1235" s="746"/>
      <c r="Q1235" s="746"/>
      <c r="R1235" s="521"/>
      <c r="S1235" s="521"/>
    </row>
    <row r="1236" spans="1:19" ht="25.5">
      <c r="A1236" s="721">
        <v>181</v>
      </c>
      <c r="B1236" s="721">
        <v>20061295012</v>
      </c>
      <c r="C1236" s="721" t="s">
        <v>4508</v>
      </c>
      <c r="D1236" s="721">
        <v>295</v>
      </c>
      <c r="E1236" s="721" t="s">
        <v>4036</v>
      </c>
      <c r="F1236" s="721" t="s">
        <v>154</v>
      </c>
      <c r="G1236" s="721" t="s">
        <v>2546</v>
      </c>
      <c r="H1236" s="721">
        <v>4</v>
      </c>
      <c r="I1236" s="721" t="s">
        <v>4509</v>
      </c>
      <c r="J1236" s="721" t="s">
        <v>4510</v>
      </c>
      <c r="K1236" s="721" t="s">
        <v>2044</v>
      </c>
      <c r="L1236" s="721">
        <v>79497552</v>
      </c>
      <c r="M1236" s="721" t="s">
        <v>3269</v>
      </c>
      <c r="N1236" s="746"/>
      <c r="O1236" s="746"/>
      <c r="P1236" s="746"/>
      <c r="Q1236" s="746"/>
      <c r="R1236" s="521"/>
      <c r="S1236" s="521"/>
    </row>
    <row r="1237" spans="1:19" ht="25.5">
      <c r="A1237" s="723">
        <v>182</v>
      </c>
      <c r="B1237" s="723">
        <v>20061295015</v>
      </c>
      <c r="C1237" s="723" t="s">
        <v>4511</v>
      </c>
      <c r="D1237" s="723">
        <v>295</v>
      </c>
      <c r="E1237" s="723" t="s">
        <v>4036</v>
      </c>
      <c r="F1237" s="723" t="s">
        <v>154</v>
      </c>
      <c r="G1237" s="723" t="s">
        <v>2546</v>
      </c>
      <c r="H1237" s="723" t="s">
        <v>2043</v>
      </c>
      <c r="I1237" s="723" t="s">
        <v>4512</v>
      </c>
      <c r="J1237" s="723" t="s">
        <v>4513</v>
      </c>
      <c r="K1237" s="723" t="s">
        <v>2044</v>
      </c>
      <c r="L1237" s="723">
        <v>80155443</v>
      </c>
      <c r="M1237" s="724" t="s">
        <v>955</v>
      </c>
      <c r="N1237" s="746"/>
      <c r="O1237" s="746"/>
      <c r="P1237" s="746"/>
      <c r="Q1237" s="746"/>
      <c r="R1237" s="521"/>
      <c r="S1237" s="521"/>
    </row>
    <row r="1238" spans="1:19" ht="25.5">
      <c r="A1238" s="721">
        <v>183</v>
      </c>
      <c r="B1238" s="721">
        <v>20061295017</v>
      </c>
      <c r="C1238" s="721" t="s">
        <v>3579</v>
      </c>
      <c r="D1238" s="721">
        <v>295</v>
      </c>
      <c r="E1238" s="721" t="s">
        <v>4036</v>
      </c>
      <c r="F1238" s="721" t="s">
        <v>154</v>
      </c>
      <c r="G1238" s="721" t="s">
        <v>2546</v>
      </c>
      <c r="H1238" s="721" t="s">
        <v>2043</v>
      </c>
      <c r="I1238" s="721"/>
      <c r="J1238" s="721"/>
      <c r="K1238" s="721" t="s">
        <v>2044</v>
      </c>
      <c r="L1238" s="721">
        <v>79907472</v>
      </c>
      <c r="M1238" s="722" t="s">
        <v>955</v>
      </c>
      <c r="N1238" s="746"/>
      <c r="O1238" s="746"/>
      <c r="P1238" s="746"/>
      <c r="Q1238" s="746"/>
      <c r="R1238" s="521"/>
      <c r="S1238" s="521"/>
    </row>
    <row r="1239" spans="1:19" ht="25.5">
      <c r="A1239" s="723">
        <v>184</v>
      </c>
      <c r="B1239" s="723">
        <v>20061295018</v>
      </c>
      <c r="C1239" s="723" t="s">
        <v>4514</v>
      </c>
      <c r="D1239" s="723">
        <v>295</v>
      </c>
      <c r="E1239" s="723" t="s">
        <v>4036</v>
      </c>
      <c r="F1239" s="723" t="s">
        <v>154</v>
      </c>
      <c r="G1239" s="723" t="s">
        <v>2546</v>
      </c>
      <c r="H1239" s="723" t="s">
        <v>2043</v>
      </c>
      <c r="I1239" s="723"/>
      <c r="J1239" s="723"/>
      <c r="K1239" s="723" t="s">
        <v>2044</v>
      </c>
      <c r="L1239" s="723">
        <v>79457186</v>
      </c>
      <c r="M1239" s="724" t="s">
        <v>955</v>
      </c>
      <c r="N1239" s="746"/>
      <c r="O1239" s="746"/>
      <c r="P1239" s="746"/>
      <c r="Q1239" s="746"/>
      <c r="R1239" s="521"/>
      <c r="S1239" s="521"/>
    </row>
    <row r="1240" spans="1:19" ht="25.5">
      <c r="A1240" s="721">
        <v>185</v>
      </c>
      <c r="B1240" s="721">
        <v>20061295019</v>
      </c>
      <c r="C1240" s="721" t="s">
        <v>4515</v>
      </c>
      <c r="D1240" s="721">
        <v>295</v>
      </c>
      <c r="E1240" s="721" t="s">
        <v>4036</v>
      </c>
      <c r="F1240" s="721" t="s">
        <v>154</v>
      </c>
      <c r="G1240" s="721" t="s">
        <v>2546</v>
      </c>
      <c r="H1240" s="721" t="s">
        <v>2043</v>
      </c>
      <c r="I1240" s="721"/>
      <c r="J1240" s="721"/>
      <c r="K1240" s="721" t="s">
        <v>2044</v>
      </c>
      <c r="L1240" s="721">
        <v>7601769</v>
      </c>
      <c r="M1240" s="722" t="s">
        <v>955</v>
      </c>
      <c r="N1240" s="746"/>
      <c r="O1240" s="746"/>
      <c r="P1240" s="746"/>
      <c r="Q1240" s="746"/>
      <c r="R1240" s="521"/>
      <c r="S1240" s="521"/>
    </row>
    <row r="1241" spans="1:19" ht="25.5">
      <c r="A1241" s="723">
        <v>186</v>
      </c>
      <c r="B1241" s="723">
        <v>20062295001</v>
      </c>
      <c r="C1241" s="723" t="s">
        <v>4516</v>
      </c>
      <c r="D1241" s="723">
        <v>295</v>
      </c>
      <c r="E1241" s="723" t="s">
        <v>4036</v>
      </c>
      <c r="F1241" s="723" t="s">
        <v>154</v>
      </c>
      <c r="G1241" s="723" t="s">
        <v>2546</v>
      </c>
      <c r="H1241" s="723" t="s">
        <v>2043</v>
      </c>
      <c r="I1241" s="723" t="s">
        <v>4517</v>
      </c>
      <c r="J1241" s="723" t="s">
        <v>4518</v>
      </c>
      <c r="K1241" s="723" t="s">
        <v>2044</v>
      </c>
      <c r="L1241" s="723">
        <v>52235186</v>
      </c>
      <c r="M1241" s="723" t="s">
        <v>2218</v>
      </c>
      <c r="N1241" s="746"/>
      <c r="O1241" s="746"/>
      <c r="P1241" s="746"/>
      <c r="Q1241" s="746"/>
      <c r="R1241" s="521"/>
      <c r="S1241" s="521"/>
    </row>
    <row r="1242" spans="1:19" ht="25.5">
      <c r="A1242" s="721">
        <v>187</v>
      </c>
      <c r="B1242" s="721">
        <v>20062295002</v>
      </c>
      <c r="C1242" s="721" t="s">
        <v>4519</v>
      </c>
      <c r="D1242" s="721">
        <v>295</v>
      </c>
      <c r="E1242" s="721" t="s">
        <v>4036</v>
      </c>
      <c r="F1242" s="721" t="s">
        <v>154</v>
      </c>
      <c r="G1242" s="721" t="s">
        <v>2546</v>
      </c>
      <c r="H1242" s="721">
        <v>1</v>
      </c>
      <c r="I1242" s="721" t="s">
        <v>4520</v>
      </c>
      <c r="J1242" s="721" t="s">
        <v>4521</v>
      </c>
      <c r="K1242" s="721" t="s">
        <v>2044</v>
      </c>
      <c r="L1242" s="721">
        <v>79692893</v>
      </c>
      <c r="M1242" s="721" t="s">
        <v>2167</v>
      </c>
      <c r="N1242" s="746"/>
      <c r="O1242" s="746"/>
      <c r="P1242" s="746"/>
      <c r="Q1242" s="746"/>
      <c r="R1242" s="521"/>
      <c r="S1242" s="521"/>
    </row>
    <row r="1243" spans="1:19" ht="25.5">
      <c r="A1243" s="723">
        <v>188</v>
      </c>
      <c r="B1243" s="723">
        <v>20062295004</v>
      </c>
      <c r="C1243" s="723" t="s">
        <v>4522</v>
      </c>
      <c r="D1243" s="723">
        <v>295</v>
      </c>
      <c r="E1243" s="723" t="s">
        <v>4036</v>
      </c>
      <c r="F1243" s="723" t="s">
        <v>154</v>
      </c>
      <c r="G1243" s="723" t="s">
        <v>2546</v>
      </c>
      <c r="H1243" s="723" t="s">
        <v>2043</v>
      </c>
      <c r="I1243" s="723"/>
      <c r="J1243" s="723"/>
      <c r="K1243" s="723" t="s">
        <v>2044</v>
      </c>
      <c r="L1243" s="723">
        <v>80497293</v>
      </c>
      <c r="M1243" s="723" t="s">
        <v>2286</v>
      </c>
      <c r="N1243" s="746"/>
      <c r="O1243" s="746"/>
      <c r="P1243" s="746"/>
      <c r="Q1243" s="746"/>
      <c r="R1243" s="521"/>
      <c r="S1243" s="521"/>
    </row>
    <row r="1244" spans="1:19" ht="25.5">
      <c r="A1244" s="721">
        <v>189</v>
      </c>
      <c r="B1244" s="721">
        <v>20062295005</v>
      </c>
      <c r="C1244" s="721" t="s">
        <v>4523</v>
      </c>
      <c r="D1244" s="721">
        <v>295</v>
      </c>
      <c r="E1244" s="721" t="s">
        <v>4036</v>
      </c>
      <c r="F1244" s="721" t="s">
        <v>154</v>
      </c>
      <c r="G1244" s="721" t="s">
        <v>2546</v>
      </c>
      <c r="H1244" s="721" t="s">
        <v>2043</v>
      </c>
      <c r="I1244" s="721" t="s">
        <v>4524</v>
      </c>
      <c r="J1244" s="721" t="s">
        <v>4525</v>
      </c>
      <c r="K1244" s="721" t="s">
        <v>2044</v>
      </c>
      <c r="L1244" s="721">
        <v>52346045</v>
      </c>
      <c r="M1244" s="721" t="s">
        <v>2860</v>
      </c>
      <c r="N1244" s="746"/>
      <c r="O1244" s="746"/>
      <c r="P1244" s="746"/>
      <c r="Q1244" s="746"/>
      <c r="R1244" s="521"/>
      <c r="S1244" s="521"/>
    </row>
    <row r="1245" spans="1:19" ht="25.5">
      <c r="A1245" s="723">
        <v>190</v>
      </c>
      <c r="B1245" s="723">
        <v>20062295006</v>
      </c>
      <c r="C1245" s="723" t="s">
        <v>4526</v>
      </c>
      <c r="D1245" s="723">
        <v>295</v>
      </c>
      <c r="E1245" s="723" t="s">
        <v>4036</v>
      </c>
      <c r="F1245" s="723" t="s">
        <v>154</v>
      </c>
      <c r="G1245" s="723" t="s">
        <v>2546</v>
      </c>
      <c r="H1245" s="723" t="s">
        <v>2043</v>
      </c>
      <c r="I1245" s="723"/>
      <c r="J1245" s="723"/>
      <c r="K1245" s="723" t="s">
        <v>2044</v>
      </c>
      <c r="L1245" s="723">
        <v>74531844</v>
      </c>
      <c r="M1245" s="724" t="s">
        <v>955</v>
      </c>
      <c r="N1245" s="746"/>
      <c r="O1245" s="746"/>
      <c r="P1245" s="746"/>
      <c r="Q1245" s="746"/>
      <c r="R1245" s="521"/>
      <c r="S1245" s="521"/>
    </row>
    <row r="1246" spans="1:19" ht="25.5">
      <c r="A1246" s="721">
        <v>191</v>
      </c>
      <c r="B1246" s="721">
        <v>20062295007</v>
      </c>
      <c r="C1246" s="721" t="s">
        <v>4527</v>
      </c>
      <c r="D1246" s="721">
        <v>295</v>
      </c>
      <c r="E1246" s="721" t="s">
        <v>4036</v>
      </c>
      <c r="F1246" s="721" t="s">
        <v>154</v>
      </c>
      <c r="G1246" s="721" t="s">
        <v>2546</v>
      </c>
      <c r="H1246" s="721" t="s">
        <v>2043</v>
      </c>
      <c r="I1246" s="721"/>
      <c r="J1246" s="721"/>
      <c r="K1246" s="721" t="s">
        <v>2044</v>
      </c>
      <c r="L1246" s="721">
        <v>17124178</v>
      </c>
      <c r="M1246" s="722" t="s">
        <v>955</v>
      </c>
      <c r="N1246" s="746"/>
      <c r="O1246" s="746"/>
      <c r="P1246" s="746"/>
      <c r="Q1246" s="746"/>
      <c r="R1246" s="521"/>
      <c r="S1246" s="521"/>
    </row>
    <row r="1247" spans="1:19" ht="25.5">
      <c r="A1247" s="723">
        <v>192</v>
      </c>
      <c r="B1247" s="723">
        <v>20062295008</v>
      </c>
      <c r="C1247" s="723" t="s">
        <v>4528</v>
      </c>
      <c r="D1247" s="723">
        <v>295</v>
      </c>
      <c r="E1247" s="723" t="s">
        <v>4036</v>
      </c>
      <c r="F1247" s="723" t="s">
        <v>154</v>
      </c>
      <c r="G1247" s="723" t="s">
        <v>2546</v>
      </c>
      <c r="H1247" s="723" t="s">
        <v>2043</v>
      </c>
      <c r="I1247" s="723"/>
      <c r="J1247" s="723" t="s">
        <v>4529</v>
      </c>
      <c r="K1247" s="723" t="s">
        <v>2044</v>
      </c>
      <c r="L1247" s="723">
        <v>79612962</v>
      </c>
      <c r="M1247" s="723" t="s">
        <v>2856</v>
      </c>
      <c r="N1247" s="746"/>
      <c r="O1247" s="746"/>
      <c r="P1247" s="746"/>
      <c r="Q1247" s="746"/>
      <c r="R1247" s="521"/>
      <c r="S1247" s="521"/>
    </row>
    <row r="1248" spans="1:19" ht="25.5">
      <c r="A1248" s="721">
        <v>193</v>
      </c>
      <c r="B1248" s="721">
        <v>20062295009</v>
      </c>
      <c r="C1248" s="721" t="s">
        <v>4530</v>
      </c>
      <c r="D1248" s="721">
        <v>295</v>
      </c>
      <c r="E1248" s="721" t="s">
        <v>4036</v>
      </c>
      <c r="F1248" s="721" t="s">
        <v>154</v>
      </c>
      <c r="G1248" s="721" t="s">
        <v>2546</v>
      </c>
      <c r="H1248" s="721" t="s">
        <v>2043</v>
      </c>
      <c r="I1248" s="721"/>
      <c r="J1248" s="721"/>
      <c r="K1248" s="721" t="s">
        <v>2044</v>
      </c>
      <c r="L1248" s="721">
        <v>79537982</v>
      </c>
      <c r="M1248" s="722" t="s">
        <v>955</v>
      </c>
      <c r="N1248" s="746"/>
      <c r="O1248" s="746"/>
      <c r="P1248" s="746"/>
      <c r="Q1248" s="746"/>
      <c r="R1248" s="521"/>
      <c r="S1248" s="521"/>
    </row>
    <row r="1249" spans="1:19" ht="25.5">
      <c r="A1249" s="723">
        <v>194</v>
      </c>
      <c r="B1249" s="723">
        <v>20062295011</v>
      </c>
      <c r="C1249" s="723" t="s">
        <v>4531</v>
      </c>
      <c r="D1249" s="723">
        <v>295</v>
      </c>
      <c r="E1249" s="723" t="s">
        <v>4036</v>
      </c>
      <c r="F1249" s="723" t="s">
        <v>154</v>
      </c>
      <c r="G1249" s="723" t="s">
        <v>2546</v>
      </c>
      <c r="H1249" s="723" t="s">
        <v>2043</v>
      </c>
      <c r="I1249" s="723" t="s">
        <v>4532</v>
      </c>
      <c r="J1249" s="723" t="s">
        <v>4533</v>
      </c>
      <c r="K1249" s="723" t="s">
        <v>2044</v>
      </c>
      <c r="L1249" s="723">
        <v>80022939</v>
      </c>
      <c r="M1249" s="723" t="s">
        <v>2167</v>
      </c>
      <c r="N1249" s="746"/>
      <c r="O1249" s="746"/>
      <c r="P1249" s="746"/>
      <c r="Q1249" s="746"/>
      <c r="R1249" s="521"/>
      <c r="S1249" s="521"/>
    </row>
    <row r="1250" spans="1:19" ht="25.5">
      <c r="A1250" s="721">
        <v>195</v>
      </c>
      <c r="B1250" s="721">
        <v>20062295012</v>
      </c>
      <c r="C1250" s="721" t="s">
        <v>4534</v>
      </c>
      <c r="D1250" s="721">
        <v>295</v>
      </c>
      <c r="E1250" s="721" t="s">
        <v>4036</v>
      </c>
      <c r="F1250" s="721" t="s">
        <v>154</v>
      </c>
      <c r="G1250" s="721" t="s">
        <v>2546</v>
      </c>
      <c r="H1250" s="721" t="s">
        <v>2043</v>
      </c>
      <c r="I1250" s="721"/>
      <c r="J1250" s="721"/>
      <c r="K1250" s="721" t="s">
        <v>2044</v>
      </c>
      <c r="L1250" s="721">
        <v>72125171</v>
      </c>
      <c r="M1250" s="721" t="s">
        <v>2286</v>
      </c>
      <c r="N1250" s="746"/>
      <c r="O1250" s="746"/>
      <c r="P1250" s="746"/>
      <c r="Q1250" s="746"/>
      <c r="R1250" s="521"/>
      <c r="S1250" s="521"/>
    </row>
    <row r="1251" spans="1:19" ht="25.5">
      <c r="A1251" s="723">
        <v>196</v>
      </c>
      <c r="B1251" s="723">
        <v>20062295013</v>
      </c>
      <c r="C1251" s="723" t="s">
        <v>4535</v>
      </c>
      <c r="D1251" s="723">
        <v>295</v>
      </c>
      <c r="E1251" s="723" t="s">
        <v>4036</v>
      </c>
      <c r="F1251" s="723" t="s">
        <v>154</v>
      </c>
      <c r="G1251" s="723" t="s">
        <v>2546</v>
      </c>
      <c r="H1251" s="723" t="s">
        <v>2043</v>
      </c>
      <c r="I1251" s="723"/>
      <c r="J1251" s="723"/>
      <c r="K1251" s="723" t="s">
        <v>2044</v>
      </c>
      <c r="L1251" s="723">
        <v>46676633</v>
      </c>
      <c r="M1251" s="723" t="s">
        <v>2286</v>
      </c>
      <c r="N1251" s="746"/>
      <c r="O1251" s="746"/>
      <c r="P1251" s="746"/>
      <c r="Q1251" s="746"/>
      <c r="R1251" s="521"/>
      <c r="S1251" s="521"/>
    </row>
    <row r="1252" spans="1:19" ht="25.5">
      <c r="A1252" s="721">
        <v>197</v>
      </c>
      <c r="B1252" s="721">
        <v>20062295014</v>
      </c>
      <c r="C1252" s="721" t="s">
        <v>4402</v>
      </c>
      <c r="D1252" s="721">
        <v>295</v>
      </c>
      <c r="E1252" s="721" t="s">
        <v>4036</v>
      </c>
      <c r="F1252" s="721" t="s">
        <v>154</v>
      </c>
      <c r="G1252" s="721" t="s">
        <v>2546</v>
      </c>
      <c r="H1252" s="721" t="s">
        <v>2043</v>
      </c>
      <c r="I1252" s="721" t="s">
        <v>4536</v>
      </c>
      <c r="J1252" s="721" t="s">
        <v>4537</v>
      </c>
      <c r="K1252" s="721" t="s">
        <v>2044</v>
      </c>
      <c r="L1252" s="721">
        <v>52436418</v>
      </c>
      <c r="M1252" s="721" t="s">
        <v>3023</v>
      </c>
      <c r="N1252" s="746"/>
      <c r="O1252" s="746"/>
      <c r="P1252" s="746"/>
      <c r="Q1252" s="746"/>
      <c r="R1252" s="521"/>
      <c r="S1252" s="521"/>
    </row>
    <row r="1253" spans="1:19" ht="25.5">
      <c r="A1253" s="723">
        <v>198</v>
      </c>
      <c r="B1253" s="723">
        <v>20062295015</v>
      </c>
      <c r="C1253" s="723" t="s">
        <v>4511</v>
      </c>
      <c r="D1253" s="723">
        <v>295</v>
      </c>
      <c r="E1253" s="723" t="s">
        <v>4036</v>
      </c>
      <c r="F1253" s="723" t="s">
        <v>154</v>
      </c>
      <c r="G1253" s="723" t="s">
        <v>2546</v>
      </c>
      <c r="H1253" s="723" t="s">
        <v>2043</v>
      </c>
      <c r="I1253" s="723"/>
      <c r="J1253" s="723"/>
      <c r="K1253" s="723" t="s">
        <v>2044</v>
      </c>
      <c r="L1253" s="723">
        <v>80155443</v>
      </c>
      <c r="M1253" s="723" t="s">
        <v>2286</v>
      </c>
      <c r="N1253" s="746"/>
      <c r="O1253" s="746"/>
      <c r="P1253" s="746"/>
      <c r="Q1253" s="746"/>
      <c r="R1253" s="521"/>
      <c r="S1253" s="521"/>
    </row>
    <row r="1254" spans="1:19" ht="25.5">
      <c r="A1254" s="721">
        <v>199</v>
      </c>
      <c r="B1254" s="721">
        <v>20062295018</v>
      </c>
      <c r="C1254" s="721" t="s">
        <v>4538</v>
      </c>
      <c r="D1254" s="721">
        <v>295</v>
      </c>
      <c r="E1254" s="721" t="s">
        <v>4036</v>
      </c>
      <c r="F1254" s="721" t="s">
        <v>154</v>
      </c>
      <c r="G1254" s="721" t="s">
        <v>2546</v>
      </c>
      <c r="H1254" s="721" t="s">
        <v>2043</v>
      </c>
      <c r="I1254" s="721"/>
      <c r="J1254" s="721"/>
      <c r="K1254" s="721" t="s">
        <v>2044</v>
      </c>
      <c r="L1254" s="721">
        <v>17337533</v>
      </c>
      <c r="M1254" s="722" t="s">
        <v>955</v>
      </c>
      <c r="N1254" s="746"/>
      <c r="O1254" s="746"/>
      <c r="P1254" s="746"/>
      <c r="Q1254" s="746"/>
      <c r="R1254" s="521"/>
      <c r="S1254" s="521"/>
    </row>
    <row r="1255" spans="1:19" ht="25.5">
      <c r="A1255" s="723">
        <v>200</v>
      </c>
      <c r="B1255" s="723">
        <v>20062295019</v>
      </c>
      <c r="C1255" s="723" t="s">
        <v>4539</v>
      </c>
      <c r="D1255" s="723">
        <v>295</v>
      </c>
      <c r="E1255" s="723" t="s">
        <v>4036</v>
      </c>
      <c r="F1255" s="723" t="s">
        <v>154</v>
      </c>
      <c r="G1255" s="723" t="s">
        <v>2546</v>
      </c>
      <c r="H1255" s="723" t="s">
        <v>2043</v>
      </c>
      <c r="I1255" s="723" t="s">
        <v>4540</v>
      </c>
      <c r="J1255" s="723" t="s">
        <v>4541</v>
      </c>
      <c r="K1255" s="723" t="s">
        <v>2044</v>
      </c>
      <c r="L1255" s="723">
        <v>16185265</v>
      </c>
      <c r="M1255" s="723" t="s">
        <v>2856</v>
      </c>
      <c r="N1255" s="746"/>
      <c r="O1255" s="746"/>
      <c r="P1255" s="746"/>
      <c r="Q1255" s="746"/>
      <c r="R1255" s="521"/>
      <c r="S1255" s="521"/>
    </row>
    <row r="1256" spans="1:19" ht="25.5">
      <c r="A1256" s="721">
        <v>201</v>
      </c>
      <c r="B1256" s="721">
        <v>20062295021</v>
      </c>
      <c r="C1256" s="721" t="s">
        <v>4542</v>
      </c>
      <c r="D1256" s="721">
        <v>295</v>
      </c>
      <c r="E1256" s="721" t="s">
        <v>4036</v>
      </c>
      <c r="F1256" s="721" t="s">
        <v>154</v>
      </c>
      <c r="G1256" s="721" t="s">
        <v>2546</v>
      </c>
      <c r="H1256" s="721" t="s">
        <v>2043</v>
      </c>
      <c r="I1256" s="721" t="s">
        <v>4543</v>
      </c>
      <c r="J1256" s="721" t="s">
        <v>4544</v>
      </c>
      <c r="K1256" s="721" t="s">
        <v>2044</v>
      </c>
      <c r="L1256" s="721">
        <v>79521822</v>
      </c>
      <c r="M1256" s="721" t="s">
        <v>2229</v>
      </c>
      <c r="N1256" s="746"/>
      <c r="O1256" s="746"/>
      <c r="P1256" s="746"/>
      <c r="Q1256" s="746"/>
      <c r="R1256" s="521"/>
      <c r="S1256" s="521"/>
    </row>
    <row r="1257" spans="1:19" ht="25.5">
      <c r="A1257" s="723">
        <v>202</v>
      </c>
      <c r="B1257" s="723">
        <v>20062295025</v>
      </c>
      <c r="C1257" s="723" t="s">
        <v>4545</v>
      </c>
      <c r="D1257" s="723">
        <v>295</v>
      </c>
      <c r="E1257" s="723" t="s">
        <v>4036</v>
      </c>
      <c r="F1257" s="723" t="s">
        <v>154</v>
      </c>
      <c r="G1257" s="723" t="s">
        <v>2546</v>
      </c>
      <c r="H1257" s="723" t="s">
        <v>2043</v>
      </c>
      <c r="I1257" s="723"/>
      <c r="J1257" s="723"/>
      <c r="K1257" s="723" t="s">
        <v>2044</v>
      </c>
      <c r="L1257" s="723">
        <v>16185791</v>
      </c>
      <c r="M1257" s="724" t="s">
        <v>955</v>
      </c>
      <c r="N1257" s="746"/>
      <c r="O1257" s="746"/>
      <c r="P1257" s="746"/>
      <c r="Q1257" s="746"/>
      <c r="R1257" s="521"/>
      <c r="S1257" s="521"/>
    </row>
    <row r="1258" spans="1:19" ht="25.5">
      <c r="A1258" s="721">
        <v>203</v>
      </c>
      <c r="B1258" s="721">
        <v>20062295026</v>
      </c>
      <c r="C1258" s="721" t="s">
        <v>4546</v>
      </c>
      <c r="D1258" s="721">
        <v>295</v>
      </c>
      <c r="E1258" s="721" t="s">
        <v>4036</v>
      </c>
      <c r="F1258" s="721" t="s">
        <v>154</v>
      </c>
      <c r="G1258" s="721" t="s">
        <v>2546</v>
      </c>
      <c r="H1258" s="721" t="s">
        <v>2043</v>
      </c>
      <c r="I1258" s="721" t="s">
        <v>4547</v>
      </c>
      <c r="J1258" s="721" t="s">
        <v>4548</v>
      </c>
      <c r="K1258" s="721" t="s">
        <v>2044</v>
      </c>
      <c r="L1258" s="721">
        <v>17655754</v>
      </c>
      <c r="M1258" s="721" t="s">
        <v>2229</v>
      </c>
      <c r="N1258" s="746"/>
      <c r="O1258" s="746"/>
      <c r="P1258" s="746"/>
      <c r="Q1258" s="746"/>
      <c r="R1258" s="521"/>
      <c r="S1258" s="521"/>
    </row>
    <row r="1259" spans="1:19" ht="25.5">
      <c r="A1259" s="723">
        <v>204</v>
      </c>
      <c r="B1259" s="723">
        <v>20062295027</v>
      </c>
      <c r="C1259" s="723" t="s">
        <v>4549</v>
      </c>
      <c r="D1259" s="723">
        <v>295</v>
      </c>
      <c r="E1259" s="723" t="s">
        <v>4036</v>
      </c>
      <c r="F1259" s="723" t="s">
        <v>154</v>
      </c>
      <c r="G1259" s="723" t="s">
        <v>2546</v>
      </c>
      <c r="H1259" s="723" t="s">
        <v>2043</v>
      </c>
      <c r="I1259" s="723"/>
      <c r="J1259" s="723"/>
      <c r="K1259" s="723" t="s">
        <v>2044</v>
      </c>
      <c r="L1259" s="723">
        <v>52538647</v>
      </c>
      <c r="M1259" s="724" t="s">
        <v>955</v>
      </c>
      <c r="N1259" s="746"/>
      <c r="O1259" s="746"/>
      <c r="P1259" s="746"/>
      <c r="Q1259" s="746"/>
      <c r="R1259" s="521"/>
      <c r="S1259" s="521"/>
    </row>
    <row r="1260" spans="1:19" ht="25.5">
      <c r="A1260" s="721">
        <v>205</v>
      </c>
      <c r="B1260" s="721">
        <v>20062295031</v>
      </c>
      <c r="C1260" s="721" t="s">
        <v>4550</v>
      </c>
      <c r="D1260" s="721">
        <v>295</v>
      </c>
      <c r="E1260" s="721" t="s">
        <v>4036</v>
      </c>
      <c r="F1260" s="721" t="s">
        <v>154</v>
      </c>
      <c r="G1260" s="721" t="s">
        <v>2546</v>
      </c>
      <c r="H1260" s="721" t="s">
        <v>2043</v>
      </c>
      <c r="I1260" s="721" t="s">
        <v>4551</v>
      </c>
      <c r="J1260" s="721" t="s">
        <v>4552</v>
      </c>
      <c r="K1260" s="721" t="s">
        <v>2044</v>
      </c>
      <c r="L1260" s="721">
        <v>46680610</v>
      </c>
      <c r="M1260" s="721" t="s">
        <v>2612</v>
      </c>
      <c r="N1260" s="746"/>
      <c r="O1260" s="746"/>
      <c r="P1260" s="746"/>
      <c r="Q1260" s="746"/>
      <c r="R1260" s="521"/>
      <c r="S1260" s="521"/>
    </row>
    <row r="1261" spans="1:19" ht="25.5">
      <c r="A1261" s="723">
        <v>206</v>
      </c>
      <c r="B1261" s="723">
        <v>20062295032</v>
      </c>
      <c r="C1261" s="723" t="s">
        <v>4553</v>
      </c>
      <c r="D1261" s="723">
        <v>295</v>
      </c>
      <c r="E1261" s="723" t="s">
        <v>4036</v>
      </c>
      <c r="F1261" s="723" t="s">
        <v>154</v>
      </c>
      <c r="G1261" s="723" t="s">
        <v>2546</v>
      </c>
      <c r="H1261" s="723" t="s">
        <v>2043</v>
      </c>
      <c r="I1261" s="723" t="s">
        <v>4554</v>
      </c>
      <c r="J1261" s="723" t="s">
        <v>4555</v>
      </c>
      <c r="K1261" s="723" t="s">
        <v>2044</v>
      </c>
      <c r="L1261" s="723">
        <v>74372451</v>
      </c>
      <c r="M1261" s="723" t="s">
        <v>2612</v>
      </c>
      <c r="N1261" s="746"/>
      <c r="O1261" s="746"/>
      <c r="P1261" s="746"/>
      <c r="Q1261" s="746"/>
      <c r="R1261" s="521"/>
      <c r="S1261" s="521"/>
    </row>
    <row r="1262" spans="1:19" ht="25.5">
      <c r="A1262" s="721">
        <v>207</v>
      </c>
      <c r="B1262" s="721">
        <v>20062295033</v>
      </c>
      <c r="C1262" s="721" t="s">
        <v>4556</v>
      </c>
      <c r="D1262" s="721">
        <v>295</v>
      </c>
      <c r="E1262" s="721" t="s">
        <v>4036</v>
      </c>
      <c r="F1262" s="721" t="s">
        <v>154</v>
      </c>
      <c r="G1262" s="721" t="s">
        <v>2546</v>
      </c>
      <c r="H1262" s="721" t="s">
        <v>2043</v>
      </c>
      <c r="I1262" s="721"/>
      <c r="J1262" s="721"/>
      <c r="K1262" s="721" t="s">
        <v>2044</v>
      </c>
      <c r="L1262" s="721">
        <v>74182805</v>
      </c>
      <c r="M1262" s="722" t="s">
        <v>955</v>
      </c>
      <c r="N1262" s="746"/>
      <c r="O1262" s="746"/>
      <c r="P1262" s="746"/>
      <c r="Q1262" s="746"/>
      <c r="R1262" s="521"/>
      <c r="S1262" s="521"/>
    </row>
    <row r="1263" spans="1:19" ht="25.5">
      <c r="A1263" s="723">
        <v>208</v>
      </c>
      <c r="B1263" s="723">
        <v>20062295034</v>
      </c>
      <c r="C1263" s="723" t="s">
        <v>4557</v>
      </c>
      <c r="D1263" s="723">
        <v>295</v>
      </c>
      <c r="E1263" s="723" t="s">
        <v>4036</v>
      </c>
      <c r="F1263" s="723" t="s">
        <v>154</v>
      </c>
      <c r="G1263" s="723" t="s">
        <v>2546</v>
      </c>
      <c r="H1263" s="723" t="s">
        <v>2043</v>
      </c>
      <c r="I1263" s="723"/>
      <c r="J1263" s="723"/>
      <c r="K1263" s="723" t="s">
        <v>2044</v>
      </c>
      <c r="L1263" s="723">
        <v>19289972</v>
      </c>
      <c r="M1263" s="724" t="s">
        <v>955</v>
      </c>
      <c r="N1263" s="746"/>
      <c r="O1263" s="746"/>
      <c r="P1263" s="746"/>
      <c r="Q1263" s="746"/>
      <c r="R1263" s="521"/>
      <c r="S1263" s="521"/>
    </row>
    <row r="1264" spans="1:19" ht="25.5">
      <c r="A1264" s="721">
        <v>209</v>
      </c>
      <c r="B1264" s="721">
        <v>20062295036</v>
      </c>
      <c r="C1264" s="721" t="s">
        <v>4558</v>
      </c>
      <c r="D1264" s="721">
        <v>295</v>
      </c>
      <c r="E1264" s="721" t="s">
        <v>4036</v>
      </c>
      <c r="F1264" s="721" t="s">
        <v>154</v>
      </c>
      <c r="G1264" s="721" t="s">
        <v>2546</v>
      </c>
      <c r="H1264" s="721" t="s">
        <v>2043</v>
      </c>
      <c r="I1264" s="721" t="s">
        <v>4559</v>
      </c>
      <c r="J1264" s="721" t="s">
        <v>4560</v>
      </c>
      <c r="K1264" s="721" t="s">
        <v>2044</v>
      </c>
      <c r="L1264" s="721">
        <v>7161396</v>
      </c>
      <c r="M1264" s="721" t="s">
        <v>2599</v>
      </c>
      <c r="N1264" s="746"/>
      <c r="O1264" s="746"/>
      <c r="P1264" s="746"/>
      <c r="Q1264" s="746"/>
      <c r="R1264" s="521"/>
      <c r="S1264" s="521"/>
    </row>
    <row r="1265" spans="1:19" ht="25.5">
      <c r="A1265" s="723">
        <v>210</v>
      </c>
      <c r="B1265" s="723">
        <v>20062295043</v>
      </c>
      <c r="C1265" s="723" t="s">
        <v>4561</v>
      </c>
      <c r="D1265" s="723">
        <v>295</v>
      </c>
      <c r="E1265" s="723" t="s">
        <v>4036</v>
      </c>
      <c r="F1265" s="723" t="s">
        <v>154</v>
      </c>
      <c r="G1265" s="723" t="s">
        <v>2546</v>
      </c>
      <c r="H1265" s="723" t="s">
        <v>2043</v>
      </c>
      <c r="I1265" s="723" t="s">
        <v>4562</v>
      </c>
      <c r="J1265" s="723" t="s">
        <v>4563</v>
      </c>
      <c r="K1265" s="723" t="s">
        <v>2044</v>
      </c>
      <c r="L1265" s="723">
        <v>9395625</v>
      </c>
      <c r="M1265" s="723" t="s">
        <v>2218</v>
      </c>
      <c r="N1265" s="746"/>
      <c r="O1265" s="746"/>
      <c r="P1265" s="746"/>
      <c r="Q1265" s="746"/>
      <c r="R1265" s="521"/>
      <c r="S1265" s="521"/>
    </row>
    <row r="1266" spans="1:19" ht="25.5">
      <c r="A1266" s="721">
        <v>211</v>
      </c>
      <c r="B1266" s="721">
        <v>20062295046</v>
      </c>
      <c r="C1266" s="721" t="s">
        <v>4564</v>
      </c>
      <c r="D1266" s="721">
        <v>295</v>
      </c>
      <c r="E1266" s="721" t="s">
        <v>4036</v>
      </c>
      <c r="F1266" s="721" t="s">
        <v>154</v>
      </c>
      <c r="G1266" s="721" t="s">
        <v>2546</v>
      </c>
      <c r="H1266" s="721" t="s">
        <v>2043</v>
      </c>
      <c r="I1266" s="721"/>
      <c r="J1266" s="721"/>
      <c r="K1266" s="721" t="s">
        <v>2044</v>
      </c>
      <c r="L1266" s="721">
        <v>7162138</v>
      </c>
      <c r="M1266" s="721" t="s">
        <v>2958</v>
      </c>
      <c r="N1266" s="746"/>
      <c r="O1266" s="746"/>
      <c r="P1266" s="746"/>
      <c r="Q1266" s="746"/>
      <c r="R1266" s="521"/>
      <c r="S1266" s="521"/>
    </row>
    <row r="1267" spans="1:19" ht="25.5">
      <c r="A1267" s="723">
        <v>212</v>
      </c>
      <c r="B1267" s="723">
        <v>20062295047</v>
      </c>
      <c r="C1267" s="723" t="s">
        <v>4565</v>
      </c>
      <c r="D1267" s="723">
        <v>295</v>
      </c>
      <c r="E1267" s="723" t="s">
        <v>4036</v>
      </c>
      <c r="F1267" s="723" t="s">
        <v>154</v>
      </c>
      <c r="G1267" s="723" t="s">
        <v>2546</v>
      </c>
      <c r="H1267" s="723" t="s">
        <v>2043</v>
      </c>
      <c r="I1267" s="723"/>
      <c r="J1267" s="723"/>
      <c r="K1267" s="723" t="s">
        <v>2044</v>
      </c>
      <c r="L1267" s="723">
        <v>80038059</v>
      </c>
      <c r="M1267" s="723" t="s">
        <v>2113</v>
      </c>
      <c r="N1267" s="746"/>
      <c r="O1267" s="746"/>
      <c r="P1267" s="746"/>
      <c r="Q1267" s="746"/>
      <c r="R1267" s="521"/>
      <c r="S1267" s="521"/>
    </row>
    <row r="1268" spans="1:19" ht="25.5">
      <c r="A1268" s="721">
        <v>213</v>
      </c>
      <c r="B1268" s="721">
        <v>20071295001</v>
      </c>
      <c r="C1268" s="721" t="s">
        <v>4566</v>
      </c>
      <c r="D1268" s="721">
        <v>295</v>
      </c>
      <c r="E1268" s="721" t="s">
        <v>4036</v>
      </c>
      <c r="F1268" s="721" t="s">
        <v>154</v>
      </c>
      <c r="G1268" s="721" t="s">
        <v>2546</v>
      </c>
      <c r="H1268" s="721" t="s">
        <v>2043</v>
      </c>
      <c r="I1268" s="721" t="s">
        <v>4567</v>
      </c>
      <c r="J1268" s="721" t="s">
        <v>4568</v>
      </c>
      <c r="K1268" s="721" t="s">
        <v>2044</v>
      </c>
      <c r="L1268" s="721">
        <v>52962545</v>
      </c>
      <c r="M1268" s="721" t="s">
        <v>2910</v>
      </c>
      <c r="N1268" s="746"/>
      <c r="O1268" s="746"/>
      <c r="P1268" s="746"/>
      <c r="Q1268" s="746"/>
      <c r="R1268" s="521"/>
      <c r="S1268" s="521"/>
    </row>
    <row r="1269" spans="1:19" ht="25.5">
      <c r="A1269" s="723">
        <v>214</v>
      </c>
      <c r="B1269" s="723">
        <v>20071295003</v>
      </c>
      <c r="C1269" s="723" t="s">
        <v>4569</v>
      </c>
      <c r="D1269" s="723">
        <v>295</v>
      </c>
      <c r="E1269" s="723" t="s">
        <v>4036</v>
      </c>
      <c r="F1269" s="723" t="s">
        <v>154</v>
      </c>
      <c r="G1269" s="723" t="s">
        <v>2546</v>
      </c>
      <c r="H1269" s="723" t="s">
        <v>2043</v>
      </c>
      <c r="I1269" s="723" t="s">
        <v>4570</v>
      </c>
      <c r="J1269" s="723" t="s">
        <v>4571</v>
      </c>
      <c r="K1269" s="723" t="s">
        <v>2044</v>
      </c>
      <c r="L1269" s="723">
        <v>46453607</v>
      </c>
      <c r="M1269" s="723" t="s">
        <v>2113</v>
      </c>
      <c r="N1269" s="746"/>
      <c r="O1269" s="746"/>
      <c r="P1269" s="746"/>
      <c r="Q1269" s="746"/>
      <c r="R1269" s="521"/>
      <c r="S1269" s="521"/>
    </row>
    <row r="1270" spans="1:19" ht="25.5">
      <c r="A1270" s="721">
        <v>215</v>
      </c>
      <c r="B1270" s="721">
        <v>20071295004</v>
      </c>
      <c r="C1270" s="721" t="s">
        <v>4572</v>
      </c>
      <c r="D1270" s="721">
        <v>295</v>
      </c>
      <c r="E1270" s="721" t="s">
        <v>4036</v>
      </c>
      <c r="F1270" s="721" t="s">
        <v>154</v>
      </c>
      <c r="G1270" s="721" t="s">
        <v>2546</v>
      </c>
      <c r="H1270" s="721" t="s">
        <v>2043</v>
      </c>
      <c r="I1270" s="721" t="s">
        <v>4573</v>
      </c>
      <c r="J1270" s="721" t="s">
        <v>4574</v>
      </c>
      <c r="K1270" s="721" t="s">
        <v>2044</v>
      </c>
      <c r="L1270" s="721">
        <v>52428767</v>
      </c>
      <c r="M1270" s="721" t="s">
        <v>2113</v>
      </c>
      <c r="N1270" s="746"/>
      <c r="O1270" s="746"/>
      <c r="P1270" s="746"/>
      <c r="Q1270" s="746"/>
      <c r="R1270" s="521"/>
      <c r="S1270" s="521"/>
    </row>
    <row r="1271" spans="1:19" ht="25.5">
      <c r="A1271" s="723">
        <v>216</v>
      </c>
      <c r="B1271" s="723">
        <v>20071295006</v>
      </c>
      <c r="C1271" s="723" t="s">
        <v>4575</v>
      </c>
      <c r="D1271" s="723">
        <v>295</v>
      </c>
      <c r="E1271" s="723" t="s">
        <v>4036</v>
      </c>
      <c r="F1271" s="723" t="s">
        <v>154</v>
      </c>
      <c r="G1271" s="723" t="s">
        <v>2546</v>
      </c>
      <c r="H1271" s="723" t="s">
        <v>2043</v>
      </c>
      <c r="I1271" s="723" t="s">
        <v>4576</v>
      </c>
      <c r="J1271" s="723" t="s">
        <v>4577</v>
      </c>
      <c r="K1271" s="723" t="s">
        <v>2044</v>
      </c>
      <c r="L1271" s="723">
        <v>52903269</v>
      </c>
      <c r="M1271" s="723" t="s">
        <v>2958</v>
      </c>
      <c r="N1271" s="746"/>
      <c r="O1271" s="746"/>
      <c r="P1271" s="746"/>
      <c r="Q1271" s="746"/>
      <c r="R1271" s="521"/>
      <c r="S1271" s="521"/>
    </row>
    <row r="1272" spans="1:19" ht="25.5">
      <c r="A1272" s="721">
        <v>217</v>
      </c>
      <c r="B1272" s="721">
        <v>20071295007</v>
      </c>
      <c r="C1272" s="721" t="s">
        <v>4578</v>
      </c>
      <c r="D1272" s="721">
        <v>295</v>
      </c>
      <c r="E1272" s="721" t="s">
        <v>4036</v>
      </c>
      <c r="F1272" s="721" t="s">
        <v>154</v>
      </c>
      <c r="G1272" s="721" t="s">
        <v>2546</v>
      </c>
      <c r="H1272" s="721" t="s">
        <v>2043</v>
      </c>
      <c r="I1272" s="721" t="s">
        <v>4579</v>
      </c>
      <c r="J1272" s="721" t="s">
        <v>4580</v>
      </c>
      <c r="K1272" s="721" t="s">
        <v>2044</v>
      </c>
      <c r="L1272" s="721">
        <v>19328278</v>
      </c>
      <c r="M1272" s="721" t="s">
        <v>2958</v>
      </c>
      <c r="N1272" s="746"/>
      <c r="O1272" s="746"/>
      <c r="P1272" s="746"/>
      <c r="Q1272" s="746"/>
      <c r="R1272" s="521"/>
      <c r="S1272" s="521"/>
    </row>
    <row r="1273" spans="1:19" ht="25.5">
      <c r="A1273" s="723">
        <v>218</v>
      </c>
      <c r="B1273" s="723">
        <v>20071295009</v>
      </c>
      <c r="C1273" s="723" t="s">
        <v>4581</v>
      </c>
      <c r="D1273" s="723">
        <v>295</v>
      </c>
      <c r="E1273" s="723" t="s">
        <v>4036</v>
      </c>
      <c r="F1273" s="723" t="s">
        <v>154</v>
      </c>
      <c r="G1273" s="723" t="s">
        <v>2546</v>
      </c>
      <c r="H1273" s="723" t="s">
        <v>2043</v>
      </c>
      <c r="I1273" s="723" t="s">
        <v>4582</v>
      </c>
      <c r="J1273" s="723" t="s">
        <v>4583</v>
      </c>
      <c r="K1273" s="723" t="s">
        <v>2044</v>
      </c>
      <c r="L1273" s="723">
        <v>79840738</v>
      </c>
      <c r="M1273" s="723" t="s">
        <v>2910</v>
      </c>
      <c r="N1273" s="746"/>
      <c r="O1273" s="746"/>
      <c r="P1273" s="746"/>
      <c r="Q1273" s="746"/>
      <c r="R1273" s="521"/>
      <c r="S1273" s="521"/>
    </row>
    <row r="1274" spans="1:19" ht="25.5">
      <c r="A1274" s="721">
        <v>219</v>
      </c>
      <c r="B1274" s="721">
        <v>20071295011</v>
      </c>
      <c r="C1274" s="721" t="s">
        <v>4584</v>
      </c>
      <c r="D1274" s="721">
        <v>295</v>
      </c>
      <c r="E1274" s="721" t="s">
        <v>4036</v>
      </c>
      <c r="F1274" s="721" t="s">
        <v>154</v>
      </c>
      <c r="G1274" s="721" t="s">
        <v>2546</v>
      </c>
      <c r="H1274" s="721" t="s">
        <v>2043</v>
      </c>
      <c r="I1274" s="721"/>
      <c r="J1274" s="721"/>
      <c r="K1274" s="721" t="s">
        <v>2044</v>
      </c>
      <c r="L1274" s="721">
        <v>79849589</v>
      </c>
      <c r="M1274" s="722" t="s">
        <v>955</v>
      </c>
      <c r="N1274" s="746"/>
      <c r="O1274" s="746"/>
      <c r="P1274" s="746"/>
      <c r="Q1274" s="746"/>
      <c r="R1274" s="521"/>
      <c r="S1274" s="521"/>
    </row>
    <row r="1275" spans="1:19" ht="25.5">
      <c r="A1275" s="723">
        <v>220</v>
      </c>
      <c r="B1275" s="723">
        <v>20071295012</v>
      </c>
      <c r="C1275" s="723" t="s">
        <v>4585</v>
      </c>
      <c r="D1275" s="723">
        <v>295</v>
      </c>
      <c r="E1275" s="723" t="s">
        <v>4036</v>
      </c>
      <c r="F1275" s="723" t="s">
        <v>154</v>
      </c>
      <c r="G1275" s="723" t="s">
        <v>2546</v>
      </c>
      <c r="H1275" s="723" t="s">
        <v>2043</v>
      </c>
      <c r="I1275" s="723"/>
      <c r="J1275" s="723"/>
      <c r="K1275" s="723" t="s">
        <v>2044</v>
      </c>
      <c r="L1275" s="723">
        <v>7700170</v>
      </c>
      <c r="M1275" s="724" t="s">
        <v>955</v>
      </c>
      <c r="N1275" s="746"/>
      <c r="O1275" s="746"/>
      <c r="P1275" s="746"/>
      <c r="Q1275" s="746"/>
      <c r="R1275" s="521"/>
      <c r="S1275" s="521"/>
    </row>
    <row r="1276" spans="1:19" ht="25.5">
      <c r="A1276" s="721">
        <v>221</v>
      </c>
      <c r="B1276" s="721">
        <v>20071295013</v>
      </c>
      <c r="C1276" s="721" t="s">
        <v>4586</v>
      </c>
      <c r="D1276" s="721">
        <v>295</v>
      </c>
      <c r="E1276" s="721" t="s">
        <v>4036</v>
      </c>
      <c r="F1276" s="721" t="s">
        <v>154</v>
      </c>
      <c r="G1276" s="721" t="s">
        <v>2546</v>
      </c>
      <c r="H1276" s="721" t="s">
        <v>2043</v>
      </c>
      <c r="I1276" s="721"/>
      <c r="J1276" s="721"/>
      <c r="K1276" s="721" t="s">
        <v>2044</v>
      </c>
      <c r="L1276" s="721">
        <v>79237264</v>
      </c>
      <c r="M1276" s="722" t="s">
        <v>955</v>
      </c>
      <c r="N1276" s="746"/>
      <c r="O1276" s="746"/>
      <c r="P1276" s="746"/>
      <c r="Q1276" s="746"/>
      <c r="R1276" s="521"/>
      <c r="S1276" s="521"/>
    </row>
    <row r="1277" spans="1:19" ht="25.5">
      <c r="A1277" s="723">
        <v>222</v>
      </c>
      <c r="B1277" s="723">
        <v>20071295014</v>
      </c>
      <c r="C1277" s="723" t="s">
        <v>4587</v>
      </c>
      <c r="D1277" s="723">
        <v>295</v>
      </c>
      <c r="E1277" s="723" t="s">
        <v>4036</v>
      </c>
      <c r="F1277" s="723" t="s">
        <v>154</v>
      </c>
      <c r="G1277" s="723" t="s">
        <v>2546</v>
      </c>
      <c r="H1277" s="723">
        <v>1</v>
      </c>
      <c r="I1277" s="723"/>
      <c r="J1277" s="723" t="s">
        <v>4588</v>
      </c>
      <c r="K1277" s="723" t="s">
        <v>2044</v>
      </c>
      <c r="L1277" s="723">
        <v>39287905</v>
      </c>
      <c r="M1277" s="723" t="s">
        <v>2896</v>
      </c>
      <c r="N1277" s="746"/>
      <c r="O1277" s="746"/>
      <c r="P1277" s="746"/>
      <c r="Q1277" s="746"/>
      <c r="R1277" s="521"/>
      <c r="S1277" s="521"/>
    </row>
    <row r="1278" spans="1:19" ht="25.5">
      <c r="A1278" s="721">
        <v>223</v>
      </c>
      <c r="B1278" s="721">
        <v>20071295015</v>
      </c>
      <c r="C1278" s="721" t="s">
        <v>4589</v>
      </c>
      <c r="D1278" s="721">
        <v>295</v>
      </c>
      <c r="E1278" s="721" t="s">
        <v>4036</v>
      </c>
      <c r="F1278" s="721" t="s">
        <v>154</v>
      </c>
      <c r="G1278" s="721" t="s">
        <v>2546</v>
      </c>
      <c r="H1278" s="721" t="s">
        <v>2043</v>
      </c>
      <c r="I1278" s="721" t="s">
        <v>4590</v>
      </c>
      <c r="J1278" s="721" t="s">
        <v>4591</v>
      </c>
      <c r="K1278" s="721" t="s">
        <v>2044</v>
      </c>
      <c r="L1278" s="721">
        <v>19377512</v>
      </c>
      <c r="M1278" s="721" t="s">
        <v>2113</v>
      </c>
      <c r="N1278" s="746"/>
      <c r="O1278" s="746"/>
      <c r="P1278" s="746"/>
      <c r="Q1278" s="746"/>
      <c r="R1278" s="521"/>
      <c r="S1278" s="521"/>
    </row>
    <row r="1279" spans="1:19" ht="25.5">
      <c r="A1279" s="723">
        <v>224</v>
      </c>
      <c r="B1279" s="723">
        <v>20071295016</v>
      </c>
      <c r="C1279" s="723" t="s">
        <v>4592</v>
      </c>
      <c r="D1279" s="723">
        <v>295</v>
      </c>
      <c r="E1279" s="723" t="s">
        <v>4036</v>
      </c>
      <c r="F1279" s="723" t="s">
        <v>154</v>
      </c>
      <c r="G1279" s="723" t="s">
        <v>2546</v>
      </c>
      <c r="H1279" s="723">
        <v>4</v>
      </c>
      <c r="I1279" s="723"/>
      <c r="J1279" s="723" t="s">
        <v>4593</v>
      </c>
      <c r="K1279" s="723" t="s">
        <v>2044</v>
      </c>
      <c r="L1279" s="723">
        <v>79100377</v>
      </c>
      <c r="M1279" s="723" t="s">
        <v>2599</v>
      </c>
      <c r="N1279" s="746"/>
      <c r="O1279" s="746"/>
      <c r="P1279" s="746"/>
      <c r="Q1279" s="746"/>
      <c r="R1279" s="521"/>
      <c r="S1279" s="521"/>
    </row>
    <row r="1280" spans="1:19" ht="25.5">
      <c r="A1280" s="721">
        <v>225</v>
      </c>
      <c r="B1280" s="721">
        <v>20071295017</v>
      </c>
      <c r="C1280" s="721" t="s">
        <v>4594</v>
      </c>
      <c r="D1280" s="721">
        <v>295</v>
      </c>
      <c r="E1280" s="721" t="s">
        <v>4036</v>
      </c>
      <c r="F1280" s="721" t="s">
        <v>154</v>
      </c>
      <c r="G1280" s="721" t="s">
        <v>2546</v>
      </c>
      <c r="H1280" s="721">
        <v>1</v>
      </c>
      <c r="I1280" s="721" t="s">
        <v>4595</v>
      </c>
      <c r="J1280" s="721" t="s">
        <v>4596</v>
      </c>
      <c r="K1280" s="721" t="s">
        <v>2044</v>
      </c>
      <c r="L1280" s="721">
        <v>17339472</v>
      </c>
      <c r="M1280" s="721" t="s">
        <v>2896</v>
      </c>
      <c r="N1280" s="746"/>
      <c r="O1280" s="746"/>
      <c r="P1280" s="746"/>
      <c r="Q1280" s="746"/>
      <c r="R1280" s="521"/>
      <c r="S1280" s="521"/>
    </row>
    <row r="1281" spans="1:19" ht="25.5">
      <c r="A1281" s="723">
        <v>226</v>
      </c>
      <c r="B1281" s="723">
        <v>20071295018</v>
      </c>
      <c r="C1281" s="723" t="s">
        <v>4597</v>
      </c>
      <c r="D1281" s="723">
        <v>295</v>
      </c>
      <c r="E1281" s="723" t="s">
        <v>4036</v>
      </c>
      <c r="F1281" s="723" t="s">
        <v>154</v>
      </c>
      <c r="G1281" s="723" t="s">
        <v>2546</v>
      </c>
      <c r="H1281" s="723" t="s">
        <v>2043</v>
      </c>
      <c r="I1281" s="723"/>
      <c r="J1281" s="723"/>
      <c r="K1281" s="723" t="s">
        <v>2044</v>
      </c>
      <c r="L1281" s="723">
        <v>79115234</v>
      </c>
      <c r="M1281" s="723" t="s">
        <v>2113</v>
      </c>
      <c r="N1281" s="746"/>
      <c r="O1281" s="746"/>
      <c r="P1281" s="746"/>
      <c r="Q1281" s="746"/>
      <c r="R1281" s="521"/>
      <c r="S1281" s="521"/>
    </row>
    <row r="1282" spans="1:19" ht="25.5">
      <c r="A1282" s="721">
        <v>227</v>
      </c>
      <c r="B1282" s="721">
        <v>20072295001</v>
      </c>
      <c r="C1282" s="721" t="s">
        <v>4598</v>
      </c>
      <c r="D1282" s="721">
        <v>295</v>
      </c>
      <c r="E1282" s="721" t="s">
        <v>4036</v>
      </c>
      <c r="F1282" s="721" t="s">
        <v>154</v>
      </c>
      <c r="G1282" s="721" t="s">
        <v>2546</v>
      </c>
      <c r="H1282" s="721" t="s">
        <v>2043</v>
      </c>
      <c r="I1282" s="721"/>
      <c r="J1282" s="721"/>
      <c r="K1282" s="721" t="s">
        <v>2044</v>
      </c>
      <c r="L1282" s="721">
        <v>19276334</v>
      </c>
      <c r="M1282" s="721" t="s">
        <v>2113</v>
      </c>
      <c r="N1282" s="746"/>
      <c r="O1282" s="746"/>
      <c r="P1282" s="746"/>
      <c r="Q1282" s="746"/>
      <c r="R1282" s="521"/>
      <c r="S1282" s="521"/>
    </row>
    <row r="1283" spans="1:19" ht="25.5">
      <c r="A1283" s="723">
        <v>228</v>
      </c>
      <c r="B1283" s="723">
        <v>20072295002</v>
      </c>
      <c r="C1283" s="723" t="s">
        <v>4599</v>
      </c>
      <c r="D1283" s="723">
        <v>295</v>
      </c>
      <c r="E1283" s="723" t="s">
        <v>4036</v>
      </c>
      <c r="F1283" s="723" t="s">
        <v>154</v>
      </c>
      <c r="G1283" s="723" t="s">
        <v>2546</v>
      </c>
      <c r="H1283" s="723" t="s">
        <v>2043</v>
      </c>
      <c r="I1283" s="723"/>
      <c r="J1283" s="723" t="s">
        <v>4600</v>
      </c>
      <c r="K1283" s="723" t="s">
        <v>2044</v>
      </c>
      <c r="L1283" s="723">
        <v>52120257</v>
      </c>
      <c r="M1283" s="723" t="s">
        <v>2131</v>
      </c>
      <c r="N1283" s="746"/>
      <c r="O1283" s="746"/>
      <c r="P1283" s="746"/>
      <c r="Q1283" s="746"/>
      <c r="R1283" s="521"/>
      <c r="S1283" s="521"/>
    </row>
    <row r="1284" spans="1:19" ht="25.5">
      <c r="A1284" s="721">
        <v>229</v>
      </c>
      <c r="B1284" s="721">
        <v>20072295003</v>
      </c>
      <c r="C1284" s="721" t="s">
        <v>4601</v>
      </c>
      <c r="D1284" s="721">
        <v>295</v>
      </c>
      <c r="E1284" s="721" t="s">
        <v>4036</v>
      </c>
      <c r="F1284" s="721" t="s">
        <v>154</v>
      </c>
      <c r="G1284" s="721" t="s">
        <v>2546</v>
      </c>
      <c r="H1284" s="721" t="s">
        <v>2043</v>
      </c>
      <c r="I1284" s="721"/>
      <c r="J1284" s="721"/>
      <c r="K1284" s="721" t="s">
        <v>2044</v>
      </c>
      <c r="L1284" s="721">
        <v>79724682</v>
      </c>
      <c r="M1284" s="722" t="s">
        <v>955</v>
      </c>
      <c r="N1284" s="746"/>
      <c r="O1284" s="746"/>
      <c r="P1284" s="746"/>
      <c r="Q1284" s="746"/>
      <c r="R1284" s="521"/>
      <c r="S1284" s="521"/>
    </row>
    <row r="1285" spans="1:19" ht="25.5">
      <c r="A1285" s="723">
        <v>230</v>
      </c>
      <c r="B1285" s="723">
        <v>20072295004</v>
      </c>
      <c r="C1285" s="723" t="s">
        <v>4602</v>
      </c>
      <c r="D1285" s="723">
        <v>295</v>
      </c>
      <c r="E1285" s="723" t="s">
        <v>4036</v>
      </c>
      <c r="F1285" s="723" t="s">
        <v>154</v>
      </c>
      <c r="G1285" s="723" t="s">
        <v>2546</v>
      </c>
      <c r="H1285" s="723" t="s">
        <v>2043</v>
      </c>
      <c r="I1285" s="723"/>
      <c r="J1285" s="723" t="s">
        <v>4603</v>
      </c>
      <c r="K1285" s="723" t="s">
        <v>2044</v>
      </c>
      <c r="L1285" s="723">
        <v>79750228</v>
      </c>
      <c r="M1285" s="723" t="s">
        <v>2113</v>
      </c>
      <c r="N1285" s="746"/>
      <c r="O1285" s="746"/>
      <c r="P1285" s="746"/>
      <c r="Q1285" s="746"/>
      <c r="R1285" s="521"/>
      <c r="S1285" s="521"/>
    </row>
    <row r="1286" spans="1:19" ht="25.5">
      <c r="A1286" s="721">
        <v>231</v>
      </c>
      <c r="B1286" s="721">
        <v>20072295006</v>
      </c>
      <c r="C1286" s="721" t="s">
        <v>4604</v>
      </c>
      <c r="D1286" s="721">
        <v>295</v>
      </c>
      <c r="E1286" s="721" t="s">
        <v>4036</v>
      </c>
      <c r="F1286" s="721" t="s">
        <v>154</v>
      </c>
      <c r="G1286" s="721" t="s">
        <v>2546</v>
      </c>
      <c r="H1286" s="721" t="s">
        <v>2043</v>
      </c>
      <c r="I1286" s="721"/>
      <c r="J1286" s="721" t="s">
        <v>4605</v>
      </c>
      <c r="K1286" s="721" t="s">
        <v>2044</v>
      </c>
      <c r="L1286" s="721">
        <v>52007866</v>
      </c>
      <c r="M1286" s="721" t="s">
        <v>2113</v>
      </c>
      <c r="N1286" s="746"/>
      <c r="O1286" s="746"/>
      <c r="P1286" s="746"/>
      <c r="Q1286" s="746"/>
      <c r="R1286" s="521"/>
      <c r="S1286" s="521"/>
    </row>
    <row r="1287" spans="1:19" ht="25.5">
      <c r="A1287" s="723">
        <v>232</v>
      </c>
      <c r="B1287" s="723">
        <v>20072295007</v>
      </c>
      <c r="C1287" s="723" t="s">
        <v>4606</v>
      </c>
      <c r="D1287" s="723">
        <v>295</v>
      </c>
      <c r="E1287" s="723" t="s">
        <v>4036</v>
      </c>
      <c r="F1287" s="723" t="s">
        <v>154</v>
      </c>
      <c r="G1287" s="723" t="s">
        <v>2546</v>
      </c>
      <c r="H1287" s="723" t="s">
        <v>2043</v>
      </c>
      <c r="I1287" s="723"/>
      <c r="J1287" s="723"/>
      <c r="K1287" s="723" t="s">
        <v>2044</v>
      </c>
      <c r="L1287" s="723">
        <v>40383178</v>
      </c>
      <c r="M1287" s="724" t="s">
        <v>955</v>
      </c>
      <c r="N1287" s="746"/>
      <c r="O1287" s="746"/>
      <c r="P1287" s="746"/>
      <c r="Q1287" s="746"/>
      <c r="R1287" s="521"/>
      <c r="S1287" s="521"/>
    </row>
    <row r="1288" spans="1:19" ht="25.5">
      <c r="A1288" s="721">
        <v>233</v>
      </c>
      <c r="B1288" s="721">
        <v>20072295008</v>
      </c>
      <c r="C1288" s="721" t="s">
        <v>4607</v>
      </c>
      <c r="D1288" s="721">
        <v>295</v>
      </c>
      <c r="E1288" s="721" t="s">
        <v>4036</v>
      </c>
      <c r="F1288" s="721" t="s">
        <v>154</v>
      </c>
      <c r="G1288" s="721" t="s">
        <v>2546</v>
      </c>
      <c r="H1288" s="721" t="s">
        <v>2043</v>
      </c>
      <c r="I1288" s="721"/>
      <c r="J1288" s="721" t="s">
        <v>4608</v>
      </c>
      <c r="K1288" s="721" t="s">
        <v>2044</v>
      </c>
      <c r="L1288" s="721">
        <v>79419658</v>
      </c>
      <c r="M1288" s="721" t="s">
        <v>2113</v>
      </c>
      <c r="N1288" s="746"/>
      <c r="O1288" s="746"/>
      <c r="P1288" s="746"/>
      <c r="Q1288" s="746"/>
      <c r="R1288" s="521"/>
      <c r="S1288" s="521"/>
    </row>
    <row r="1289" spans="1:19" ht="25.5">
      <c r="A1289" s="723">
        <v>234</v>
      </c>
      <c r="B1289" s="723">
        <v>20072295009</v>
      </c>
      <c r="C1289" s="723" t="s">
        <v>4609</v>
      </c>
      <c r="D1289" s="723">
        <v>295</v>
      </c>
      <c r="E1289" s="723" t="s">
        <v>4036</v>
      </c>
      <c r="F1289" s="723" t="s">
        <v>154</v>
      </c>
      <c r="G1289" s="723" t="s">
        <v>2546</v>
      </c>
      <c r="H1289" s="723" t="s">
        <v>2043</v>
      </c>
      <c r="I1289" s="723" t="s">
        <v>4610</v>
      </c>
      <c r="J1289" s="723" t="s">
        <v>4611</v>
      </c>
      <c r="K1289" s="723" t="s">
        <v>2044</v>
      </c>
      <c r="L1289" s="723">
        <v>79655465</v>
      </c>
      <c r="M1289" s="723" t="s">
        <v>2131</v>
      </c>
      <c r="N1289" s="746"/>
      <c r="O1289" s="746"/>
      <c r="P1289" s="746"/>
      <c r="Q1289" s="746"/>
      <c r="R1289" s="521"/>
      <c r="S1289" s="521"/>
    </row>
    <row r="1290" spans="1:19" ht="25.5">
      <c r="A1290" s="721">
        <v>235</v>
      </c>
      <c r="B1290" s="721">
        <v>20072295010</v>
      </c>
      <c r="C1290" s="721" t="s">
        <v>4612</v>
      </c>
      <c r="D1290" s="721">
        <v>295</v>
      </c>
      <c r="E1290" s="721" t="s">
        <v>4036</v>
      </c>
      <c r="F1290" s="721" t="s">
        <v>154</v>
      </c>
      <c r="G1290" s="721" t="s">
        <v>2546</v>
      </c>
      <c r="H1290" s="721" t="s">
        <v>2043</v>
      </c>
      <c r="I1290" s="721"/>
      <c r="J1290" s="721"/>
      <c r="K1290" s="721" t="s">
        <v>2044</v>
      </c>
      <c r="L1290" s="721">
        <v>80017826</v>
      </c>
      <c r="M1290" s="722" t="s">
        <v>955</v>
      </c>
      <c r="N1290" s="746"/>
      <c r="O1290" s="746"/>
      <c r="P1290" s="746"/>
      <c r="Q1290" s="746"/>
      <c r="R1290" s="521"/>
      <c r="S1290" s="521"/>
    </row>
    <row r="1291" spans="1:19" ht="25.5">
      <c r="A1291" s="723">
        <v>236</v>
      </c>
      <c r="B1291" s="723">
        <v>20081295001</v>
      </c>
      <c r="C1291" s="723" t="s">
        <v>4613</v>
      </c>
      <c r="D1291" s="723">
        <v>295</v>
      </c>
      <c r="E1291" s="723" t="s">
        <v>4036</v>
      </c>
      <c r="F1291" s="723" t="s">
        <v>154</v>
      </c>
      <c r="G1291" s="723" t="s">
        <v>2546</v>
      </c>
      <c r="H1291" s="723" t="s">
        <v>2043</v>
      </c>
      <c r="I1291" s="723"/>
      <c r="J1291" s="723" t="s">
        <v>4614</v>
      </c>
      <c r="K1291" s="723" t="s">
        <v>2044</v>
      </c>
      <c r="L1291" s="723">
        <v>35530329</v>
      </c>
      <c r="M1291" s="724" t="s">
        <v>955</v>
      </c>
      <c r="N1291" s="746"/>
      <c r="O1291" s="746"/>
      <c r="P1291" s="746"/>
      <c r="Q1291" s="746"/>
      <c r="R1291" s="521"/>
      <c r="S1291" s="521"/>
    </row>
    <row r="1292" spans="1:19" ht="25.5">
      <c r="A1292" s="721">
        <v>237</v>
      </c>
      <c r="B1292" s="721">
        <v>20081295005</v>
      </c>
      <c r="C1292" s="721" t="s">
        <v>4615</v>
      </c>
      <c r="D1292" s="721">
        <v>295</v>
      </c>
      <c r="E1292" s="721" t="s">
        <v>4036</v>
      </c>
      <c r="F1292" s="721" t="s">
        <v>154</v>
      </c>
      <c r="G1292" s="721" t="s">
        <v>2546</v>
      </c>
      <c r="H1292" s="721">
        <v>1</v>
      </c>
      <c r="I1292" s="721" t="s">
        <v>4616</v>
      </c>
      <c r="J1292" s="721" t="s">
        <v>4617</v>
      </c>
      <c r="K1292" s="721" t="s">
        <v>2044</v>
      </c>
      <c r="L1292" s="721">
        <v>79883987</v>
      </c>
      <c r="M1292" s="721" t="s">
        <v>2856</v>
      </c>
      <c r="N1292" s="746"/>
      <c r="O1292" s="746"/>
      <c r="P1292" s="746"/>
      <c r="Q1292" s="746"/>
      <c r="R1292" s="521"/>
      <c r="S1292" s="521"/>
    </row>
    <row r="1293" spans="1:19" ht="25.5">
      <c r="A1293" s="723">
        <v>238</v>
      </c>
      <c r="B1293" s="723">
        <v>20081295007</v>
      </c>
      <c r="C1293" s="723" t="s">
        <v>4618</v>
      </c>
      <c r="D1293" s="723">
        <v>295</v>
      </c>
      <c r="E1293" s="723" t="s">
        <v>4036</v>
      </c>
      <c r="F1293" s="723" t="s">
        <v>154</v>
      </c>
      <c r="G1293" s="723" t="s">
        <v>2546</v>
      </c>
      <c r="H1293" s="723" t="s">
        <v>2043</v>
      </c>
      <c r="I1293" s="723"/>
      <c r="J1293" s="723"/>
      <c r="K1293" s="723" t="s">
        <v>2044</v>
      </c>
      <c r="L1293" s="723">
        <v>79797298</v>
      </c>
      <c r="M1293" s="724" t="s">
        <v>955</v>
      </c>
      <c r="N1293" s="746"/>
      <c r="O1293" s="746"/>
      <c r="P1293" s="746"/>
      <c r="Q1293" s="746"/>
      <c r="R1293" s="521"/>
      <c r="S1293" s="521"/>
    </row>
    <row r="1294" spans="1:19" ht="25.5">
      <c r="A1294" s="721">
        <v>239</v>
      </c>
      <c r="B1294" s="721">
        <v>20081295009</v>
      </c>
      <c r="C1294" s="721" t="s">
        <v>4279</v>
      </c>
      <c r="D1294" s="721">
        <v>295</v>
      </c>
      <c r="E1294" s="721" t="s">
        <v>4036</v>
      </c>
      <c r="F1294" s="721" t="s">
        <v>154</v>
      </c>
      <c r="G1294" s="721" t="s">
        <v>2546</v>
      </c>
      <c r="H1294" s="721" t="s">
        <v>2043</v>
      </c>
      <c r="I1294" s="721"/>
      <c r="J1294" s="721"/>
      <c r="K1294" s="721" t="s">
        <v>2044</v>
      </c>
      <c r="L1294" s="721">
        <v>80130797</v>
      </c>
      <c r="M1294" s="722" t="s">
        <v>955</v>
      </c>
      <c r="N1294" s="746"/>
      <c r="O1294" s="746"/>
      <c r="P1294" s="746"/>
      <c r="Q1294" s="746"/>
      <c r="R1294" s="521"/>
      <c r="S1294" s="521"/>
    </row>
    <row r="1295" spans="1:19" ht="25.5">
      <c r="A1295" s="723">
        <v>240</v>
      </c>
      <c r="B1295" s="723">
        <v>20081295010</v>
      </c>
      <c r="C1295" s="723" t="s">
        <v>4619</v>
      </c>
      <c r="D1295" s="723">
        <v>295</v>
      </c>
      <c r="E1295" s="723" t="s">
        <v>4036</v>
      </c>
      <c r="F1295" s="723" t="s">
        <v>154</v>
      </c>
      <c r="G1295" s="723" t="s">
        <v>2546</v>
      </c>
      <c r="H1295" s="723" t="s">
        <v>2043</v>
      </c>
      <c r="I1295" s="723"/>
      <c r="J1295" s="723"/>
      <c r="K1295" s="723" t="s">
        <v>2044</v>
      </c>
      <c r="L1295" s="723">
        <v>80472617</v>
      </c>
      <c r="M1295" s="724" t="s">
        <v>955</v>
      </c>
      <c r="N1295" s="746"/>
      <c r="O1295" s="746"/>
      <c r="P1295" s="746"/>
      <c r="Q1295" s="746"/>
      <c r="R1295" s="521"/>
      <c r="S1295" s="521"/>
    </row>
    <row r="1296" spans="1:19" ht="25.5">
      <c r="A1296" s="721">
        <v>241</v>
      </c>
      <c r="B1296" s="721">
        <v>20081295011</v>
      </c>
      <c r="C1296" s="721" t="s">
        <v>4620</v>
      </c>
      <c r="D1296" s="721">
        <v>295</v>
      </c>
      <c r="E1296" s="721" t="s">
        <v>4036</v>
      </c>
      <c r="F1296" s="721" t="s">
        <v>154</v>
      </c>
      <c r="G1296" s="721" t="s">
        <v>2546</v>
      </c>
      <c r="H1296" s="721" t="s">
        <v>2043</v>
      </c>
      <c r="I1296" s="721"/>
      <c r="J1296" s="721"/>
      <c r="K1296" s="721" t="s">
        <v>2044</v>
      </c>
      <c r="L1296" s="721">
        <v>79522838</v>
      </c>
      <c r="M1296" s="722" t="s">
        <v>955</v>
      </c>
      <c r="N1296" s="746"/>
      <c r="O1296" s="746"/>
      <c r="P1296" s="746"/>
      <c r="Q1296" s="746"/>
      <c r="R1296" s="521"/>
      <c r="S1296" s="521"/>
    </row>
    <row r="1297" spans="1:19" ht="25.5">
      <c r="A1297" s="723">
        <v>242</v>
      </c>
      <c r="B1297" s="723">
        <v>20081295012</v>
      </c>
      <c r="C1297" s="723" t="s">
        <v>4621</v>
      </c>
      <c r="D1297" s="723">
        <v>295</v>
      </c>
      <c r="E1297" s="723" t="s">
        <v>4036</v>
      </c>
      <c r="F1297" s="723" t="s">
        <v>154</v>
      </c>
      <c r="G1297" s="723" t="s">
        <v>2546</v>
      </c>
      <c r="H1297" s="723" t="s">
        <v>2043</v>
      </c>
      <c r="I1297" s="723"/>
      <c r="J1297" s="723"/>
      <c r="K1297" s="723" t="s">
        <v>2044</v>
      </c>
      <c r="L1297" s="723">
        <v>86072123</v>
      </c>
      <c r="M1297" s="724" t="s">
        <v>955</v>
      </c>
      <c r="N1297" s="746"/>
      <c r="O1297" s="746"/>
      <c r="P1297" s="746"/>
      <c r="Q1297" s="746"/>
      <c r="R1297" s="521"/>
      <c r="S1297" s="521"/>
    </row>
    <row r="1298" spans="1:19" ht="25.5">
      <c r="A1298" s="721">
        <v>243</v>
      </c>
      <c r="B1298" s="721">
        <v>20081295013</v>
      </c>
      <c r="C1298" s="721" t="s">
        <v>4622</v>
      </c>
      <c r="D1298" s="721">
        <v>295</v>
      </c>
      <c r="E1298" s="721" t="s">
        <v>4036</v>
      </c>
      <c r="F1298" s="721" t="s">
        <v>154</v>
      </c>
      <c r="G1298" s="721" t="s">
        <v>2546</v>
      </c>
      <c r="H1298" s="721" t="s">
        <v>2043</v>
      </c>
      <c r="I1298" s="721" t="s">
        <v>4623</v>
      </c>
      <c r="J1298" s="721" t="s">
        <v>4624</v>
      </c>
      <c r="K1298" s="721" t="s">
        <v>2044</v>
      </c>
      <c r="L1298" s="721">
        <v>80825086</v>
      </c>
      <c r="M1298" s="721" t="s">
        <v>2910</v>
      </c>
      <c r="N1298" s="746"/>
      <c r="O1298" s="746"/>
      <c r="P1298" s="746"/>
      <c r="Q1298" s="746"/>
      <c r="R1298" s="521"/>
      <c r="S1298" s="521"/>
    </row>
    <row r="1299" spans="1:19" ht="25.5">
      <c r="A1299" s="723">
        <v>244</v>
      </c>
      <c r="B1299" s="723">
        <v>20081295015</v>
      </c>
      <c r="C1299" s="723" t="s">
        <v>4625</v>
      </c>
      <c r="D1299" s="723">
        <v>295</v>
      </c>
      <c r="E1299" s="723" t="s">
        <v>4036</v>
      </c>
      <c r="F1299" s="723" t="s">
        <v>154</v>
      </c>
      <c r="G1299" s="723" t="s">
        <v>2546</v>
      </c>
      <c r="H1299" s="723" t="s">
        <v>2043</v>
      </c>
      <c r="I1299" s="723"/>
      <c r="J1299" s="723" t="s">
        <v>4626</v>
      </c>
      <c r="K1299" s="723" t="s">
        <v>2044</v>
      </c>
      <c r="L1299" s="723">
        <v>55153214</v>
      </c>
      <c r="M1299" s="723" t="s">
        <v>2958</v>
      </c>
      <c r="N1299" s="746"/>
      <c r="O1299" s="746"/>
      <c r="P1299" s="746"/>
      <c r="Q1299" s="746"/>
      <c r="R1299" s="521"/>
      <c r="S1299" s="521"/>
    </row>
    <row r="1300" spans="1:19" ht="25.5">
      <c r="A1300" s="721">
        <v>245</v>
      </c>
      <c r="B1300" s="721">
        <v>20081295016</v>
      </c>
      <c r="C1300" s="721" t="s">
        <v>4627</v>
      </c>
      <c r="D1300" s="721">
        <v>295</v>
      </c>
      <c r="E1300" s="721" t="s">
        <v>4036</v>
      </c>
      <c r="F1300" s="721" t="s">
        <v>154</v>
      </c>
      <c r="G1300" s="721" t="s">
        <v>2546</v>
      </c>
      <c r="H1300" s="721" t="s">
        <v>2043</v>
      </c>
      <c r="I1300" s="721"/>
      <c r="J1300" s="721"/>
      <c r="K1300" s="721" t="s">
        <v>2044</v>
      </c>
      <c r="L1300" s="721">
        <v>80230426</v>
      </c>
      <c r="M1300" s="722" t="s">
        <v>955</v>
      </c>
      <c r="N1300" s="746"/>
      <c r="O1300" s="746"/>
      <c r="P1300" s="746"/>
      <c r="Q1300" s="746"/>
      <c r="R1300" s="521"/>
      <c r="S1300" s="521"/>
    </row>
    <row r="1301" spans="1:19" ht="25.5">
      <c r="A1301" s="723">
        <v>246</v>
      </c>
      <c r="B1301" s="723">
        <v>20081295017</v>
      </c>
      <c r="C1301" s="723" t="s">
        <v>3701</v>
      </c>
      <c r="D1301" s="723">
        <v>295</v>
      </c>
      <c r="E1301" s="723" t="s">
        <v>4036</v>
      </c>
      <c r="F1301" s="723" t="s">
        <v>154</v>
      </c>
      <c r="G1301" s="723" t="s">
        <v>2546</v>
      </c>
      <c r="H1301" s="723">
        <v>1</v>
      </c>
      <c r="I1301" s="723" t="s">
        <v>4628</v>
      </c>
      <c r="J1301" s="723" t="s">
        <v>4629</v>
      </c>
      <c r="K1301" s="723" t="s">
        <v>2044</v>
      </c>
      <c r="L1301" s="723">
        <v>52197232</v>
      </c>
      <c r="M1301" s="723" t="s">
        <v>3023</v>
      </c>
      <c r="N1301" s="746"/>
      <c r="O1301" s="746"/>
      <c r="P1301" s="746"/>
      <c r="Q1301" s="746"/>
      <c r="R1301" s="521"/>
      <c r="S1301" s="521"/>
    </row>
    <row r="1302" spans="1:19" ht="25.5">
      <c r="A1302" s="721">
        <v>247</v>
      </c>
      <c r="B1302" s="721">
        <v>20082195004</v>
      </c>
      <c r="C1302" s="721" t="s">
        <v>4630</v>
      </c>
      <c r="D1302" s="721">
        <v>295</v>
      </c>
      <c r="E1302" s="721" t="s">
        <v>4036</v>
      </c>
      <c r="F1302" s="721" t="s">
        <v>154</v>
      </c>
      <c r="G1302" s="721" t="s">
        <v>2546</v>
      </c>
      <c r="H1302" s="721" t="s">
        <v>2043</v>
      </c>
      <c r="I1302" s="721" t="s">
        <v>4631</v>
      </c>
      <c r="J1302" s="721" t="s">
        <v>4632</v>
      </c>
      <c r="K1302" s="721" t="s">
        <v>2044</v>
      </c>
      <c r="L1302" s="721">
        <v>52953096</v>
      </c>
      <c r="M1302" s="721" t="s">
        <v>2896</v>
      </c>
      <c r="N1302" s="746"/>
      <c r="O1302" s="746"/>
      <c r="P1302" s="746"/>
      <c r="Q1302" s="746"/>
      <c r="R1302" s="521"/>
      <c r="S1302" s="521"/>
    </row>
    <row r="1303" spans="1:19" ht="25.5">
      <c r="A1303" s="723">
        <v>248</v>
      </c>
      <c r="B1303" s="723">
        <v>20082195010</v>
      </c>
      <c r="C1303" s="723" t="s">
        <v>4633</v>
      </c>
      <c r="D1303" s="723">
        <v>295</v>
      </c>
      <c r="E1303" s="723" t="s">
        <v>4036</v>
      </c>
      <c r="F1303" s="723" t="s">
        <v>154</v>
      </c>
      <c r="G1303" s="723" t="s">
        <v>2546</v>
      </c>
      <c r="H1303" s="723" t="s">
        <v>2043</v>
      </c>
      <c r="I1303" s="723" t="s">
        <v>4634</v>
      </c>
      <c r="J1303" s="723" t="s">
        <v>4635</v>
      </c>
      <c r="K1303" s="723" t="s">
        <v>2044</v>
      </c>
      <c r="L1303" s="723">
        <v>14297306</v>
      </c>
      <c r="M1303" s="723" t="s">
        <v>2229</v>
      </c>
      <c r="N1303" s="746"/>
      <c r="O1303" s="746"/>
      <c r="P1303" s="746"/>
      <c r="Q1303" s="746"/>
      <c r="R1303" s="521"/>
      <c r="S1303" s="521"/>
    </row>
    <row r="1304" spans="1:19" ht="25.5">
      <c r="A1304" s="721">
        <v>249</v>
      </c>
      <c r="B1304" s="721">
        <v>20082295003</v>
      </c>
      <c r="C1304" s="721" t="s">
        <v>4636</v>
      </c>
      <c r="D1304" s="721">
        <v>295</v>
      </c>
      <c r="E1304" s="721" t="s">
        <v>4036</v>
      </c>
      <c r="F1304" s="721" t="s">
        <v>154</v>
      </c>
      <c r="G1304" s="721" t="s">
        <v>2546</v>
      </c>
      <c r="H1304" s="721" t="s">
        <v>2043</v>
      </c>
      <c r="I1304" s="721"/>
      <c r="J1304" s="721" t="s">
        <v>4637</v>
      </c>
      <c r="K1304" s="721" t="s">
        <v>2044</v>
      </c>
      <c r="L1304" s="721">
        <v>79483314</v>
      </c>
      <c r="M1304" s="721" t="s">
        <v>2958</v>
      </c>
      <c r="N1304" s="746"/>
      <c r="O1304" s="746"/>
      <c r="P1304" s="746"/>
      <c r="Q1304" s="746"/>
      <c r="R1304" s="521"/>
      <c r="S1304" s="521"/>
    </row>
    <row r="1305" spans="1:19" ht="25.5">
      <c r="A1305" s="723">
        <v>250</v>
      </c>
      <c r="B1305" s="723">
        <v>20082295005</v>
      </c>
      <c r="C1305" s="723" t="s">
        <v>4638</v>
      </c>
      <c r="D1305" s="723">
        <v>295</v>
      </c>
      <c r="E1305" s="723" t="s">
        <v>4036</v>
      </c>
      <c r="F1305" s="723" t="s">
        <v>154</v>
      </c>
      <c r="G1305" s="723" t="s">
        <v>2546</v>
      </c>
      <c r="H1305" s="723">
        <v>4</v>
      </c>
      <c r="I1305" s="723" t="s">
        <v>4639</v>
      </c>
      <c r="J1305" s="723" t="s">
        <v>4640</v>
      </c>
      <c r="K1305" s="723" t="s">
        <v>2044</v>
      </c>
      <c r="L1305" s="723">
        <v>79904257</v>
      </c>
      <c r="M1305" s="723" t="s">
        <v>2167</v>
      </c>
      <c r="N1305" s="746"/>
      <c r="O1305" s="746"/>
      <c r="P1305" s="746"/>
      <c r="Q1305" s="746"/>
      <c r="R1305" s="521"/>
      <c r="S1305" s="521"/>
    </row>
    <row r="1306" spans="1:19" ht="25.5">
      <c r="A1306" s="721">
        <v>251</v>
      </c>
      <c r="B1306" s="721">
        <v>20082295006</v>
      </c>
      <c r="C1306" s="721" t="s">
        <v>4641</v>
      </c>
      <c r="D1306" s="721">
        <v>295</v>
      </c>
      <c r="E1306" s="721" t="s">
        <v>4036</v>
      </c>
      <c r="F1306" s="721" t="s">
        <v>154</v>
      </c>
      <c r="G1306" s="721" t="s">
        <v>2546</v>
      </c>
      <c r="H1306" s="721" t="s">
        <v>2043</v>
      </c>
      <c r="I1306" s="721"/>
      <c r="J1306" s="721" t="s">
        <v>4642</v>
      </c>
      <c r="K1306" s="721" t="s">
        <v>2044</v>
      </c>
      <c r="L1306" s="721">
        <v>94372372</v>
      </c>
      <c r="M1306" s="721" t="s">
        <v>2958</v>
      </c>
      <c r="N1306" s="746"/>
      <c r="O1306" s="746"/>
      <c r="P1306" s="746"/>
      <c r="Q1306" s="746"/>
      <c r="R1306" s="521"/>
      <c r="S1306" s="521"/>
    </row>
    <row r="1307" spans="1:19" ht="25.5">
      <c r="A1307" s="723">
        <v>252</v>
      </c>
      <c r="B1307" s="723">
        <v>20082295008</v>
      </c>
      <c r="C1307" s="723" t="s">
        <v>4643</v>
      </c>
      <c r="D1307" s="723">
        <v>295</v>
      </c>
      <c r="E1307" s="723" t="s">
        <v>4036</v>
      </c>
      <c r="F1307" s="723" t="s">
        <v>154</v>
      </c>
      <c r="G1307" s="723" t="s">
        <v>2546</v>
      </c>
      <c r="H1307" s="723" t="s">
        <v>2043</v>
      </c>
      <c r="I1307" s="723"/>
      <c r="J1307" s="723" t="s">
        <v>4644</v>
      </c>
      <c r="K1307" s="723" t="s">
        <v>2044</v>
      </c>
      <c r="L1307" s="723">
        <v>79343926</v>
      </c>
      <c r="M1307" s="723" t="s">
        <v>2958</v>
      </c>
      <c r="N1307" s="746"/>
      <c r="O1307" s="746"/>
      <c r="P1307" s="746"/>
      <c r="Q1307" s="746"/>
      <c r="R1307" s="521"/>
      <c r="S1307" s="521"/>
    </row>
    <row r="1308" spans="1:19" ht="25.5">
      <c r="A1308" s="721">
        <v>253</v>
      </c>
      <c r="B1308" s="721">
        <v>20082295009</v>
      </c>
      <c r="C1308" s="721" t="s">
        <v>4645</v>
      </c>
      <c r="D1308" s="721">
        <v>295</v>
      </c>
      <c r="E1308" s="721" t="s">
        <v>4036</v>
      </c>
      <c r="F1308" s="721" t="s">
        <v>154</v>
      </c>
      <c r="G1308" s="721" t="s">
        <v>2546</v>
      </c>
      <c r="H1308" s="721" t="s">
        <v>2043</v>
      </c>
      <c r="I1308" s="721"/>
      <c r="J1308" s="721" t="s">
        <v>4646</v>
      </c>
      <c r="K1308" s="721" t="s">
        <v>2044</v>
      </c>
      <c r="L1308" s="721">
        <v>79917618</v>
      </c>
      <c r="M1308" s="722" t="s">
        <v>955</v>
      </c>
      <c r="N1308" s="746"/>
      <c r="O1308" s="746"/>
      <c r="P1308" s="746"/>
      <c r="Q1308" s="746"/>
      <c r="R1308" s="521"/>
      <c r="S1308" s="521"/>
    </row>
    <row r="1309" spans="1:19" ht="25.5">
      <c r="A1309" s="723">
        <v>254</v>
      </c>
      <c r="B1309" s="723">
        <v>20082295010</v>
      </c>
      <c r="C1309" s="723" t="s">
        <v>4647</v>
      </c>
      <c r="D1309" s="723">
        <v>295</v>
      </c>
      <c r="E1309" s="723" t="s">
        <v>4036</v>
      </c>
      <c r="F1309" s="723" t="s">
        <v>154</v>
      </c>
      <c r="G1309" s="723" t="s">
        <v>2546</v>
      </c>
      <c r="H1309" s="723" t="s">
        <v>2043</v>
      </c>
      <c r="I1309" s="723" t="s">
        <v>4648</v>
      </c>
      <c r="J1309" s="723" t="s">
        <v>4649</v>
      </c>
      <c r="K1309" s="723" t="s">
        <v>2044</v>
      </c>
      <c r="L1309" s="723">
        <v>79703666</v>
      </c>
      <c r="M1309" s="723" t="s">
        <v>2192</v>
      </c>
      <c r="N1309" s="746"/>
      <c r="O1309" s="746"/>
      <c r="P1309" s="746"/>
      <c r="Q1309" s="746"/>
      <c r="R1309" s="521"/>
      <c r="S1309" s="521"/>
    </row>
    <row r="1310" spans="1:19" ht="25.5">
      <c r="A1310" s="721">
        <v>255</v>
      </c>
      <c r="B1310" s="721">
        <v>20082295011</v>
      </c>
      <c r="C1310" s="721" t="s">
        <v>4650</v>
      </c>
      <c r="D1310" s="721">
        <v>295</v>
      </c>
      <c r="E1310" s="721" t="s">
        <v>4036</v>
      </c>
      <c r="F1310" s="721" t="s">
        <v>154</v>
      </c>
      <c r="G1310" s="721" t="s">
        <v>2546</v>
      </c>
      <c r="H1310" s="721" t="s">
        <v>2043</v>
      </c>
      <c r="I1310" s="721"/>
      <c r="J1310" s="721" t="s">
        <v>4651</v>
      </c>
      <c r="K1310" s="721" t="s">
        <v>2044</v>
      </c>
      <c r="L1310" s="721">
        <v>80832980</v>
      </c>
      <c r="M1310" s="721" t="s">
        <v>2958</v>
      </c>
      <c r="N1310" s="746"/>
      <c r="O1310" s="746"/>
      <c r="P1310" s="746"/>
      <c r="Q1310" s="746"/>
      <c r="R1310" s="521"/>
      <c r="S1310" s="521"/>
    </row>
    <row r="1311" spans="1:19" ht="25.5">
      <c r="A1311" s="723">
        <v>256</v>
      </c>
      <c r="B1311" s="723">
        <v>20082295013</v>
      </c>
      <c r="C1311" s="723" t="s">
        <v>4652</v>
      </c>
      <c r="D1311" s="723">
        <v>295</v>
      </c>
      <c r="E1311" s="723" t="s">
        <v>4036</v>
      </c>
      <c r="F1311" s="723" t="s">
        <v>154</v>
      </c>
      <c r="G1311" s="723" t="s">
        <v>2546</v>
      </c>
      <c r="H1311" s="723" t="s">
        <v>2043</v>
      </c>
      <c r="I1311" s="723"/>
      <c r="J1311" s="723" t="s">
        <v>4653</v>
      </c>
      <c r="K1311" s="723" t="s">
        <v>2044</v>
      </c>
      <c r="L1311" s="723">
        <v>14624451</v>
      </c>
      <c r="M1311" s="723" t="s">
        <v>2958</v>
      </c>
      <c r="N1311" s="746"/>
      <c r="O1311" s="746"/>
      <c r="P1311" s="746"/>
      <c r="Q1311" s="746"/>
      <c r="R1311" s="521"/>
      <c r="S1311" s="521"/>
    </row>
    <row r="1312" spans="1:19" ht="25.5">
      <c r="A1312" s="721">
        <v>257</v>
      </c>
      <c r="B1312" s="721">
        <v>20082295014</v>
      </c>
      <c r="C1312" s="721" t="s">
        <v>4654</v>
      </c>
      <c r="D1312" s="721">
        <v>295</v>
      </c>
      <c r="E1312" s="721" t="s">
        <v>4036</v>
      </c>
      <c r="F1312" s="721" t="s">
        <v>154</v>
      </c>
      <c r="G1312" s="721" t="s">
        <v>2546</v>
      </c>
      <c r="H1312" s="721" t="s">
        <v>2043</v>
      </c>
      <c r="I1312" s="721"/>
      <c r="J1312" s="721" t="s">
        <v>4655</v>
      </c>
      <c r="K1312" s="721" t="s">
        <v>2044</v>
      </c>
      <c r="L1312" s="721">
        <v>11256447</v>
      </c>
      <c r="M1312" s="722" t="s">
        <v>955</v>
      </c>
      <c r="N1312" s="746"/>
      <c r="O1312" s="746"/>
      <c r="P1312" s="746"/>
      <c r="Q1312" s="746"/>
      <c r="R1312" s="521"/>
      <c r="S1312" s="521"/>
    </row>
    <row r="1313" spans="1:19" ht="25.5">
      <c r="A1313" s="723">
        <v>258</v>
      </c>
      <c r="B1313" s="723">
        <v>20091295001</v>
      </c>
      <c r="C1313" s="723" t="s">
        <v>4656</v>
      </c>
      <c r="D1313" s="723">
        <v>295</v>
      </c>
      <c r="E1313" s="723" t="s">
        <v>4036</v>
      </c>
      <c r="F1313" s="723" t="s">
        <v>154</v>
      </c>
      <c r="G1313" s="723" t="s">
        <v>2546</v>
      </c>
      <c r="H1313" s="723" t="s">
        <v>2043</v>
      </c>
      <c r="I1313" s="723" t="s">
        <v>4657</v>
      </c>
      <c r="J1313" s="723" t="s">
        <v>4658</v>
      </c>
      <c r="K1313" s="723" t="s">
        <v>2044</v>
      </c>
      <c r="L1313" s="723">
        <v>51880693</v>
      </c>
      <c r="M1313" s="723" t="s">
        <v>3023</v>
      </c>
      <c r="N1313" s="746"/>
      <c r="O1313" s="746"/>
      <c r="P1313" s="746"/>
      <c r="Q1313" s="746"/>
      <c r="R1313" s="521"/>
      <c r="S1313" s="521"/>
    </row>
    <row r="1314" spans="1:19" ht="25.5">
      <c r="A1314" s="721">
        <v>259</v>
      </c>
      <c r="B1314" s="721">
        <v>20091295002</v>
      </c>
      <c r="C1314" s="721" t="s">
        <v>4659</v>
      </c>
      <c r="D1314" s="721">
        <v>295</v>
      </c>
      <c r="E1314" s="721" t="s">
        <v>4036</v>
      </c>
      <c r="F1314" s="721" t="s">
        <v>154</v>
      </c>
      <c r="G1314" s="721" t="s">
        <v>2546</v>
      </c>
      <c r="H1314" s="721">
        <v>1</v>
      </c>
      <c r="I1314" s="721" t="s">
        <v>4660</v>
      </c>
      <c r="J1314" s="721" t="s">
        <v>4661</v>
      </c>
      <c r="K1314" s="721" t="s">
        <v>2044</v>
      </c>
      <c r="L1314" s="721">
        <v>79635262</v>
      </c>
      <c r="M1314" s="721" t="s">
        <v>2900</v>
      </c>
      <c r="N1314" s="746"/>
      <c r="O1314" s="746"/>
      <c r="P1314" s="746"/>
      <c r="Q1314" s="746"/>
      <c r="R1314" s="521"/>
      <c r="S1314" s="521"/>
    </row>
    <row r="1315" spans="1:19" ht="25.5">
      <c r="A1315" s="723">
        <v>260</v>
      </c>
      <c r="B1315" s="723">
        <v>20091295003</v>
      </c>
      <c r="C1315" s="723" t="s">
        <v>4662</v>
      </c>
      <c r="D1315" s="723">
        <v>295</v>
      </c>
      <c r="E1315" s="723" t="s">
        <v>4036</v>
      </c>
      <c r="F1315" s="723" t="s">
        <v>154</v>
      </c>
      <c r="G1315" s="723" t="s">
        <v>2546</v>
      </c>
      <c r="H1315" s="723" t="s">
        <v>2043</v>
      </c>
      <c r="I1315" s="723" t="s">
        <v>4663</v>
      </c>
      <c r="J1315" s="723" t="s">
        <v>4664</v>
      </c>
      <c r="K1315" s="723" t="s">
        <v>2044</v>
      </c>
      <c r="L1315" s="723">
        <v>34320919</v>
      </c>
      <c r="M1315" s="723" t="s">
        <v>2229</v>
      </c>
      <c r="N1315" s="746"/>
      <c r="O1315" s="746"/>
      <c r="P1315" s="746"/>
      <c r="Q1315" s="746"/>
      <c r="R1315" s="521"/>
      <c r="S1315" s="521"/>
    </row>
    <row r="1316" spans="1:19" ht="25.5">
      <c r="A1316" s="721">
        <v>261</v>
      </c>
      <c r="B1316" s="721">
        <v>20091295004</v>
      </c>
      <c r="C1316" s="721" t="s">
        <v>4665</v>
      </c>
      <c r="D1316" s="721">
        <v>295</v>
      </c>
      <c r="E1316" s="721" t="s">
        <v>4036</v>
      </c>
      <c r="F1316" s="721" t="s">
        <v>154</v>
      </c>
      <c r="G1316" s="721" t="s">
        <v>2546</v>
      </c>
      <c r="H1316" s="721" t="s">
        <v>2043</v>
      </c>
      <c r="I1316" s="721" t="s">
        <v>4666</v>
      </c>
      <c r="J1316" s="721" t="s">
        <v>4667</v>
      </c>
      <c r="K1316" s="721" t="s">
        <v>2044</v>
      </c>
      <c r="L1316" s="721">
        <v>80162544</v>
      </c>
      <c r="M1316" s="721" t="s">
        <v>3023</v>
      </c>
      <c r="N1316" s="746"/>
      <c r="O1316" s="746"/>
      <c r="P1316" s="746"/>
      <c r="Q1316" s="746"/>
      <c r="R1316" s="521"/>
      <c r="S1316" s="521"/>
    </row>
    <row r="1317" spans="1:19" ht="25.5">
      <c r="A1317" s="723">
        <v>262</v>
      </c>
      <c r="B1317" s="723">
        <v>20091295005</v>
      </c>
      <c r="C1317" s="723" t="s">
        <v>4668</v>
      </c>
      <c r="D1317" s="723">
        <v>295</v>
      </c>
      <c r="E1317" s="723" t="s">
        <v>4036</v>
      </c>
      <c r="F1317" s="723" t="s">
        <v>154</v>
      </c>
      <c r="G1317" s="723" t="s">
        <v>2546</v>
      </c>
      <c r="H1317" s="723" t="s">
        <v>2043</v>
      </c>
      <c r="I1317" s="723" t="s">
        <v>4669</v>
      </c>
      <c r="J1317" s="723" t="s">
        <v>4670</v>
      </c>
      <c r="K1317" s="723" t="s">
        <v>2044</v>
      </c>
      <c r="L1317" s="723">
        <v>63514844</v>
      </c>
      <c r="M1317" s="724" t="s">
        <v>955</v>
      </c>
      <c r="N1317" s="746"/>
      <c r="O1317" s="746"/>
      <c r="P1317" s="746"/>
      <c r="Q1317" s="746"/>
      <c r="R1317" s="521"/>
      <c r="S1317" s="521"/>
    </row>
    <row r="1318" spans="1:19" ht="25.5">
      <c r="A1318" s="721">
        <v>263</v>
      </c>
      <c r="B1318" s="721">
        <v>20091295009</v>
      </c>
      <c r="C1318" s="721" t="s">
        <v>4671</v>
      </c>
      <c r="D1318" s="721">
        <v>295</v>
      </c>
      <c r="E1318" s="721" t="s">
        <v>4036</v>
      </c>
      <c r="F1318" s="721" t="s">
        <v>154</v>
      </c>
      <c r="G1318" s="721" t="s">
        <v>2546</v>
      </c>
      <c r="H1318" s="721" t="s">
        <v>2043</v>
      </c>
      <c r="I1318" s="721" t="s">
        <v>4672</v>
      </c>
      <c r="J1318" s="721" t="s">
        <v>4673</v>
      </c>
      <c r="K1318" s="721" t="s">
        <v>2044</v>
      </c>
      <c r="L1318" s="721">
        <v>94504280</v>
      </c>
      <c r="M1318" s="721" t="s">
        <v>2131</v>
      </c>
      <c r="N1318" s="746"/>
      <c r="O1318" s="746"/>
      <c r="P1318" s="746"/>
      <c r="Q1318" s="746"/>
      <c r="R1318" s="521"/>
      <c r="S1318" s="521"/>
    </row>
    <row r="1319" spans="1:19" ht="25.5">
      <c r="A1319" s="723">
        <v>264</v>
      </c>
      <c r="B1319" s="723">
        <v>20091295014</v>
      </c>
      <c r="C1319" s="723" t="s">
        <v>4674</v>
      </c>
      <c r="D1319" s="723">
        <v>295</v>
      </c>
      <c r="E1319" s="723" t="s">
        <v>4036</v>
      </c>
      <c r="F1319" s="723" t="s">
        <v>154</v>
      </c>
      <c r="G1319" s="723" t="s">
        <v>2546</v>
      </c>
      <c r="H1319" s="723" t="s">
        <v>2043</v>
      </c>
      <c r="I1319" s="723" t="s">
        <v>4675</v>
      </c>
      <c r="J1319" s="723" t="s">
        <v>4676</v>
      </c>
      <c r="K1319" s="723" t="s">
        <v>2044</v>
      </c>
      <c r="L1319" s="723">
        <v>16090419</v>
      </c>
      <c r="M1319" s="724" t="s">
        <v>955</v>
      </c>
      <c r="N1319" s="746"/>
      <c r="O1319" s="746"/>
      <c r="P1319" s="746"/>
      <c r="Q1319" s="746"/>
      <c r="R1319" s="521"/>
      <c r="S1319" s="521"/>
    </row>
    <row r="1320" spans="1:19" ht="25.5">
      <c r="A1320" s="721">
        <v>265</v>
      </c>
      <c r="B1320" s="721">
        <v>20091295015</v>
      </c>
      <c r="C1320" s="721" t="s">
        <v>4677</v>
      </c>
      <c r="D1320" s="721">
        <v>295</v>
      </c>
      <c r="E1320" s="721" t="s">
        <v>4036</v>
      </c>
      <c r="F1320" s="721" t="s">
        <v>154</v>
      </c>
      <c r="G1320" s="721" t="s">
        <v>2546</v>
      </c>
      <c r="H1320" s="721" t="s">
        <v>2043</v>
      </c>
      <c r="I1320" s="721" t="s">
        <v>4678</v>
      </c>
      <c r="J1320" s="721" t="s">
        <v>4679</v>
      </c>
      <c r="K1320" s="721" t="s">
        <v>2044</v>
      </c>
      <c r="L1320" s="721">
        <v>79812600</v>
      </c>
      <c r="M1320" s="722" t="s">
        <v>955</v>
      </c>
      <c r="N1320" s="746"/>
      <c r="O1320" s="746"/>
      <c r="P1320" s="746"/>
      <c r="Q1320" s="746"/>
      <c r="R1320" s="521"/>
      <c r="S1320" s="521"/>
    </row>
    <row r="1321" spans="1:19" ht="25.5">
      <c r="A1321" s="723">
        <v>266</v>
      </c>
      <c r="B1321" s="723">
        <v>20091295017</v>
      </c>
      <c r="C1321" s="723" t="s">
        <v>4680</v>
      </c>
      <c r="D1321" s="723">
        <v>295</v>
      </c>
      <c r="E1321" s="723" t="s">
        <v>4036</v>
      </c>
      <c r="F1321" s="723" t="s">
        <v>154</v>
      </c>
      <c r="G1321" s="723" t="s">
        <v>2546</v>
      </c>
      <c r="H1321" s="723" t="s">
        <v>2043</v>
      </c>
      <c r="I1321" s="723" t="s">
        <v>4681</v>
      </c>
      <c r="J1321" s="723" t="s">
        <v>4682</v>
      </c>
      <c r="K1321" s="723" t="s">
        <v>2044</v>
      </c>
      <c r="L1321" s="723">
        <v>1075210105</v>
      </c>
      <c r="M1321" s="724" t="s">
        <v>955</v>
      </c>
      <c r="N1321" s="746"/>
      <c r="O1321" s="746"/>
      <c r="P1321" s="746"/>
      <c r="Q1321" s="746"/>
      <c r="R1321" s="521"/>
      <c r="S1321" s="521"/>
    </row>
    <row r="1322" spans="1:19" ht="25.5">
      <c r="A1322" s="721">
        <v>267</v>
      </c>
      <c r="B1322" s="721">
        <v>20091295018</v>
      </c>
      <c r="C1322" s="721" t="s">
        <v>4683</v>
      </c>
      <c r="D1322" s="721">
        <v>295</v>
      </c>
      <c r="E1322" s="721" t="s">
        <v>4036</v>
      </c>
      <c r="F1322" s="721" t="s">
        <v>154</v>
      </c>
      <c r="G1322" s="721" t="s">
        <v>2546</v>
      </c>
      <c r="H1322" s="721" t="s">
        <v>2043</v>
      </c>
      <c r="I1322" s="721" t="s">
        <v>4684</v>
      </c>
      <c r="J1322" s="721" t="s">
        <v>4685</v>
      </c>
      <c r="K1322" s="721" t="s">
        <v>2044</v>
      </c>
      <c r="L1322" s="721">
        <v>79574777</v>
      </c>
      <c r="M1322" s="721" t="s">
        <v>2229</v>
      </c>
      <c r="N1322" s="746"/>
      <c r="O1322" s="746"/>
      <c r="P1322" s="746"/>
      <c r="Q1322" s="746"/>
      <c r="R1322" s="521"/>
      <c r="S1322" s="521"/>
    </row>
    <row r="1323" spans="1:19" ht="25.5">
      <c r="A1323" s="723">
        <v>268</v>
      </c>
      <c r="B1323" s="723">
        <v>20091295019</v>
      </c>
      <c r="C1323" s="723" t="s">
        <v>4686</v>
      </c>
      <c r="D1323" s="723">
        <v>295</v>
      </c>
      <c r="E1323" s="723" t="s">
        <v>4036</v>
      </c>
      <c r="F1323" s="723" t="s">
        <v>154</v>
      </c>
      <c r="G1323" s="723" t="s">
        <v>2546</v>
      </c>
      <c r="H1323" s="723" t="s">
        <v>2043</v>
      </c>
      <c r="I1323" s="723" t="s">
        <v>4687</v>
      </c>
      <c r="J1323" s="723" t="s">
        <v>4688</v>
      </c>
      <c r="K1323" s="723" t="s">
        <v>2044</v>
      </c>
      <c r="L1323" s="723">
        <v>80901903</v>
      </c>
      <c r="M1323" s="723" t="s">
        <v>2131</v>
      </c>
      <c r="N1323" s="746"/>
      <c r="O1323" s="746"/>
      <c r="P1323" s="746"/>
      <c r="Q1323" s="746"/>
      <c r="R1323" s="521"/>
      <c r="S1323" s="521"/>
    </row>
    <row r="1324" spans="1:19" ht="25.5">
      <c r="A1324" s="721">
        <v>269</v>
      </c>
      <c r="B1324" s="721">
        <v>20092295001</v>
      </c>
      <c r="C1324" s="721" t="s">
        <v>4689</v>
      </c>
      <c r="D1324" s="721">
        <v>295</v>
      </c>
      <c r="E1324" s="721" t="s">
        <v>4036</v>
      </c>
      <c r="F1324" s="721" t="s">
        <v>154</v>
      </c>
      <c r="G1324" s="721" t="s">
        <v>2546</v>
      </c>
      <c r="H1324" s="721">
        <v>3</v>
      </c>
      <c r="I1324" s="721" t="s">
        <v>4690</v>
      </c>
      <c r="J1324" s="721" t="s">
        <v>4691</v>
      </c>
      <c r="K1324" s="721" t="s">
        <v>2044</v>
      </c>
      <c r="L1324" s="721">
        <v>80834138</v>
      </c>
      <c r="M1324" s="721" t="s">
        <v>1223</v>
      </c>
      <c r="N1324" s="746"/>
      <c r="O1324" s="746"/>
      <c r="P1324" s="746"/>
      <c r="Q1324" s="746"/>
      <c r="R1324" s="521"/>
      <c r="S1324" s="521"/>
    </row>
    <row r="1325" spans="1:19" ht="25.5">
      <c r="A1325" s="723">
        <v>270</v>
      </c>
      <c r="B1325" s="723">
        <v>20092295003</v>
      </c>
      <c r="C1325" s="723" t="s">
        <v>4692</v>
      </c>
      <c r="D1325" s="723">
        <v>295</v>
      </c>
      <c r="E1325" s="723" t="s">
        <v>4036</v>
      </c>
      <c r="F1325" s="723" t="s">
        <v>154</v>
      </c>
      <c r="G1325" s="723" t="s">
        <v>2546</v>
      </c>
      <c r="H1325" s="723" t="s">
        <v>2043</v>
      </c>
      <c r="I1325" s="723"/>
      <c r="J1325" s="723" t="s">
        <v>4693</v>
      </c>
      <c r="K1325" s="723" t="s">
        <v>2044</v>
      </c>
      <c r="L1325" s="723">
        <v>79762066</v>
      </c>
      <c r="M1325" s="724" t="s">
        <v>955</v>
      </c>
      <c r="N1325" s="746"/>
      <c r="O1325" s="746"/>
      <c r="P1325" s="746"/>
      <c r="Q1325" s="746"/>
      <c r="R1325" s="521"/>
      <c r="S1325" s="521"/>
    </row>
    <row r="1326" spans="1:19" ht="25.5">
      <c r="A1326" s="721">
        <v>271</v>
      </c>
      <c r="B1326" s="721">
        <v>20092295005</v>
      </c>
      <c r="C1326" s="721" t="s">
        <v>4694</v>
      </c>
      <c r="D1326" s="721">
        <v>295</v>
      </c>
      <c r="E1326" s="721" t="s">
        <v>4036</v>
      </c>
      <c r="F1326" s="721" t="s">
        <v>154</v>
      </c>
      <c r="G1326" s="721" t="s">
        <v>2546</v>
      </c>
      <c r="H1326" s="721" t="s">
        <v>2043</v>
      </c>
      <c r="I1326" s="721" t="s">
        <v>4695</v>
      </c>
      <c r="J1326" s="721" t="s">
        <v>4696</v>
      </c>
      <c r="K1326" s="721" t="s">
        <v>2044</v>
      </c>
      <c r="L1326" s="721">
        <v>79750433</v>
      </c>
      <c r="M1326" s="721" t="s">
        <v>2229</v>
      </c>
      <c r="N1326" s="746"/>
      <c r="O1326" s="746"/>
      <c r="P1326" s="746"/>
      <c r="Q1326" s="746"/>
      <c r="R1326" s="521"/>
      <c r="S1326" s="521"/>
    </row>
    <row r="1327" spans="1:19" ht="25.5">
      <c r="A1327" s="723">
        <v>272</v>
      </c>
      <c r="B1327" s="723">
        <v>20092295006</v>
      </c>
      <c r="C1327" s="723" t="s">
        <v>4697</v>
      </c>
      <c r="D1327" s="723">
        <v>295</v>
      </c>
      <c r="E1327" s="723" t="s">
        <v>4036</v>
      </c>
      <c r="F1327" s="723" t="s">
        <v>154</v>
      </c>
      <c r="G1327" s="723" t="s">
        <v>2546</v>
      </c>
      <c r="H1327" s="723" t="s">
        <v>2043</v>
      </c>
      <c r="I1327" s="723" t="s">
        <v>4698</v>
      </c>
      <c r="J1327" s="723" t="s">
        <v>4699</v>
      </c>
      <c r="K1327" s="723" t="s">
        <v>2044</v>
      </c>
      <c r="L1327" s="723">
        <v>77154873</v>
      </c>
      <c r="M1327" s="723" t="s">
        <v>3023</v>
      </c>
      <c r="N1327" s="746"/>
      <c r="O1327" s="746"/>
      <c r="P1327" s="746"/>
      <c r="Q1327" s="746"/>
      <c r="R1327" s="521"/>
      <c r="S1327" s="521"/>
    </row>
    <row r="1328" spans="1:19" ht="25.5">
      <c r="A1328" s="721">
        <v>273</v>
      </c>
      <c r="B1328" s="721">
        <v>20092295008</v>
      </c>
      <c r="C1328" s="721" t="s">
        <v>4700</v>
      </c>
      <c r="D1328" s="721">
        <v>295</v>
      </c>
      <c r="E1328" s="721" t="s">
        <v>4036</v>
      </c>
      <c r="F1328" s="721" t="s">
        <v>154</v>
      </c>
      <c r="G1328" s="721" t="s">
        <v>2546</v>
      </c>
      <c r="H1328" s="721" t="s">
        <v>2043</v>
      </c>
      <c r="I1328" s="721" t="s">
        <v>4701</v>
      </c>
      <c r="J1328" s="721" t="s">
        <v>4702</v>
      </c>
      <c r="K1328" s="721" t="s">
        <v>2044</v>
      </c>
      <c r="L1328" s="721">
        <v>12139543</v>
      </c>
      <c r="M1328" s="721" t="s">
        <v>2229</v>
      </c>
      <c r="N1328" s="746"/>
      <c r="O1328" s="746"/>
      <c r="P1328" s="746"/>
      <c r="Q1328" s="746"/>
      <c r="R1328" s="521"/>
      <c r="S1328" s="521"/>
    </row>
    <row r="1329" spans="1:19" ht="25.5">
      <c r="A1329" s="723">
        <v>274</v>
      </c>
      <c r="B1329" s="723">
        <v>20092295009</v>
      </c>
      <c r="C1329" s="723" t="s">
        <v>4703</v>
      </c>
      <c r="D1329" s="723">
        <v>295</v>
      </c>
      <c r="E1329" s="723" t="s">
        <v>4036</v>
      </c>
      <c r="F1329" s="723" t="s">
        <v>154</v>
      </c>
      <c r="G1329" s="723" t="s">
        <v>2546</v>
      </c>
      <c r="H1329" s="723" t="s">
        <v>2043</v>
      </c>
      <c r="I1329" s="723" t="s">
        <v>4704</v>
      </c>
      <c r="J1329" s="723" t="s">
        <v>4705</v>
      </c>
      <c r="K1329" s="723" t="s">
        <v>2044</v>
      </c>
      <c r="L1329" s="723">
        <v>80087371</v>
      </c>
      <c r="M1329" s="723" t="s">
        <v>2229</v>
      </c>
      <c r="N1329" s="746"/>
      <c r="O1329" s="746"/>
      <c r="P1329" s="746"/>
      <c r="Q1329" s="746"/>
      <c r="R1329" s="521"/>
      <c r="S1329" s="521"/>
    </row>
    <row r="1330" spans="1:19" ht="25.5">
      <c r="A1330" s="721">
        <v>275</v>
      </c>
      <c r="B1330" s="721">
        <v>20092295012</v>
      </c>
      <c r="C1330" s="721" t="s">
        <v>4706</v>
      </c>
      <c r="D1330" s="721">
        <v>295</v>
      </c>
      <c r="E1330" s="721" t="s">
        <v>4036</v>
      </c>
      <c r="F1330" s="721" t="s">
        <v>154</v>
      </c>
      <c r="G1330" s="721" t="s">
        <v>2546</v>
      </c>
      <c r="H1330" s="721" t="s">
        <v>2043</v>
      </c>
      <c r="I1330" s="721"/>
      <c r="J1330" s="721" t="s">
        <v>4707</v>
      </c>
      <c r="K1330" s="721" t="s">
        <v>2044</v>
      </c>
      <c r="L1330" s="721">
        <v>85468581</v>
      </c>
      <c r="M1330" s="722" t="s">
        <v>955</v>
      </c>
      <c r="N1330" s="746"/>
      <c r="O1330" s="746"/>
      <c r="P1330" s="746"/>
      <c r="Q1330" s="746"/>
      <c r="R1330" s="521"/>
      <c r="S1330" s="521"/>
    </row>
    <row r="1331" spans="1:19" ht="25.5">
      <c r="A1331" s="723">
        <v>276</v>
      </c>
      <c r="B1331" s="723">
        <v>20092295013</v>
      </c>
      <c r="C1331" s="723" t="s">
        <v>4708</v>
      </c>
      <c r="D1331" s="723">
        <v>295</v>
      </c>
      <c r="E1331" s="723" t="s">
        <v>4036</v>
      </c>
      <c r="F1331" s="723" t="s">
        <v>154</v>
      </c>
      <c r="G1331" s="723" t="s">
        <v>2546</v>
      </c>
      <c r="H1331" s="723" t="s">
        <v>2043</v>
      </c>
      <c r="I1331" s="723" t="s">
        <v>4709</v>
      </c>
      <c r="J1331" s="723" t="s">
        <v>4710</v>
      </c>
      <c r="K1331" s="723" t="s">
        <v>2044</v>
      </c>
      <c r="L1331" s="723">
        <v>52810695</v>
      </c>
      <c r="M1331" s="723" t="s">
        <v>2229</v>
      </c>
      <c r="N1331" s="746"/>
      <c r="O1331" s="746"/>
      <c r="P1331" s="746"/>
      <c r="Q1331" s="746"/>
      <c r="R1331" s="521"/>
      <c r="S1331" s="521"/>
    </row>
    <row r="1332" spans="1:19" ht="25.5">
      <c r="A1332" s="721">
        <v>277</v>
      </c>
      <c r="B1332" s="721">
        <v>20092295014</v>
      </c>
      <c r="C1332" s="721" t="s">
        <v>4711</v>
      </c>
      <c r="D1332" s="721">
        <v>295</v>
      </c>
      <c r="E1332" s="721" t="s">
        <v>4036</v>
      </c>
      <c r="F1332" s="721" t="s">
        <v>154</v>
      </c>
      <c r="G1332" s="721" t="s">
        <v>2546</v>
      </c>
      <c r="H1332" s="721" t="s">
        <v>2043</v>
      </c>
      <c r="I1332" s="721" t="s">
        <v>4712</v>
      </c>
      <c r="J1332" s="721" t="s">
        <v>4713</v>
      </c>
      <c r="K1332" s="721" t="s">
        <v>2044</v>
      </c>
      <c r="L1332" s="721">
        <v>85470923</v>
      </c>
      <c r="M1332" s="721" t="s">
        <v>3023</v>
      </c>
      <c r="N1332" s="746"/>
      <c r="O1332" s="746"/>
      <c r="P1332" s="746"/>
      <c r="Q1332" s="746"/>
      <c r="R1332" s="521"/>
      <c r="S1332" s="521"/>
    </row>
    <row r="1333" spans="1:19" ht="25.5">
      <c r="A1333" s="723">
        <v>278</v>
      </c>
      <c r="B1333" s="723">
        <v>20092295016</v>
      </c>
      <c r="C1333" s="723" t="s">
        <v>4584</v>
      </c>
      <c r="D1333" s="723">
        <v>295</v>
      </c>
      <c r="E1333" s="723" t="s">
        <v>4036</v>
      </c>
      <c r="F1333" s="723" t="s">
        <v>154</v>
      </c>
      <c r="G1333" s="723" t="s">
        <v>2546</v>
      </c>
      <c r="H1333" s="723">
        <v>1</v>
      </c>
      <c r="I1333" s="723" t="s">
        <v>4714</v>
      </c>
      <c r="J1333" s="723" t="s">
        <v>4715</v>
      </c>
      <c r="K1333" s="723" t="s">
        <v>2044</v>
      </c>
      <c r="L1333" s="723">
        <v>79849589</v>
      </c>
      <c r="M1333" s="723" t="s">
        <v>2229</v>
      </c>
      <c r="N1333" s="746"/>
      <c r="O1333" s="746"/>
      <c r="P1333" s="746"/>
      <c r="Q1333" s="746"/>
      <c r="R1333" s="521"/>
      <c r="S1333" s="521"/>
    </row>
    <row r="1334" spans="1:19" ht="25.5">
      <c r="A1334" s="721">
        <v>279</v>
      </c>
      <c r="B1334" s="721">
        <v>20092295019</v>
      </c>
      <c r="C1334" s="721" t="s">
        <v>4716</v>
      </c>
      <c r="D1334" s="721">
        <v>295</v>
      </c>
      <c r="E1334" s="721" t="s">
        <v>4036</v>
      </c>
      <c r="F1334" s="721" t="s">
        <v>154</v>
      </c>
      <c r="G1334" s="721" t="s">
        <v>2546</v>
      </c>
      <c r="H1334" s="721">
        <v>1</v>
      </c>
      <c r="I1334" s="721" t="s">
        <v>4717</v>
      </c>
      <c r="J1334" s="721" t="s">
        <v>4718</v>
      </c>
      <c r="K1334" s="721" t="s">
        <v>2044</v>
      </c>
      <c r="L1334" s="721">
        <v>80095696</v>
      </c>
      <c r="M1334" s="721" t="s">
        <v>3023</v>
      </c>
      <c r="N1334" s="746"/>
      <c r="O1334" s="746"/>
      <c r="P1334" s="746"/>
      <c r="Q1334" s="746"/>
      <c r="R1334" s="521"/>
      <c r="S1334" s="521"/>
    </row>
    <row r="1335" spans="1:19" ht="25.5">
      <c r="A1335" s="723">
        <v>280</v>
      </c>
      <c r="B1335" s="723">
        <v>20092295020</v>
      </c>
      <c r="C1335" s="723" t="s">
        <v>4719</v>
      </c>
      <c r="D1335" s="723">
        <v>295</v>
      </c>
      <c r="E1335" s="723" t="s">
        <v>4036</v>
      </c>
      <c r="F1335" s="723" t="s">
        <v>154</v>
      </c>
      <c r="G1335" s="723" t="s">
        <v>2546</v>
      </c>
      <c r="H1335" s="723" t="s">
        <v>2043</v>
      </c>
      <c r="I1335" s="723" t="s">
        <v>4720</v>
      </c>
      <c r="J1335" s="723" t="s">
        <v>4721</v>
      </c>
      <c r="K1335" s="723" t="s">
        <v>2044</v>
      </c>
      <c r="L1335" s="723">
        <v>79962491</v>
      </c>
      <c r="M1335" s="723" t="s">
        <v>3023</v>
      </c>
      <c r="N1335" s="746"/>
      <c r="O1335" s="746"/>
      <c r="P1335" s="746"/>
      <c r="Q1335" s="746"/>
      <c r="R1335" s="521"/>
      <c r="S1335" s="521"/>
    </row>
    <row r="1336" spans="1:19" ht="25.5">
      <c r="A1336" s="721">
        <v>281</v>
      </c>
      <c r="B1336" s="721">
        <v>20101295001</v>
      </c>
      <c r="C1336" s="721" t="s">
        <v>4722</v>
      </c>
      <c r="D1336" s="721">
        <v>295</v>
      </c>
      <c r="E1336" s="721" t="s">
        <v>4036</v>
      </c>
      <c r="F1336" s="721" t="s">
        <v>154</v>
      </c>
      <c r="G1336" s="721" t="s">
        <v>2546</v>
      </c>
      <c r="H1336" s="721" t="s">
        <v>2043</v>
      </c>
      <c r="I1336" s="721" t="s">
        <v>4723</v>
      </c>
      <c r="J1336" s="721" t="s">
        <v>4724</v>
      </c>
      <c r="K1336" s="721" t="s">
        <v>2044</v>
      </c>
      <c r="L1336" s="721">
        <v>73573912</v>
      </c>
      <c r="M1336" s="722" t="s">
        <v>955</v>
      </c>
      <c r="N1336" s="746"/>
      <c r="O1336" s="746"/>
      <c r="P1336" s="746"/>
      <c r="Q1336" s="746"/>
      <c r="R1336" s="521"/>
      <c r="S1336" s="521"/>
    </row>
    <row r="1337" spans="1:19" ht="25.5">
      <c r="A1337" s="723">
        <v>282</v>
      </c>
      <c r="B1337" s="723">
        <v>20101295002</v>
      </c>
      <c r="C1337" s="723" t="s">
        <v>4725</v>
      </c>
      <c r="D1337" s="723">
        <v>295</v>
      </c>
      <c r="E1337" s="723" t="s">
        <v>4036</v>
      </c>
      <c r="F1337" s="723" t="s">
        <v>154</v>
      </c>
      <c r="G1337" s="723" t="s">
        <v>2546</v>
      </c>
      <c r="H1337" s="723" t="s">
        <v>2043</v>
      </c>
      <c r="I1337" s="723"/>
      <c r="J1337" s="723" t="s">
        <v>4726</v>
      </c>
      <c r="K1337" s="723" t="s">
        <v>2044</v>
      </c>
      <c r="L1337" s="723">
        <v>94506010</v>
      </c>
      <c r="M1337" s="724" t="s">
        <v>955</v>
      </c>
      <c r="N1337" s="746"/>
      <c r="O1337" s="746"/>
      <c r="P1337" s="746"/>
      <c r="Q1337" s="746"/>
      <c r="R1337" s="521"/>
      <c r="S1337" s="521"/>
    </row>
    <row r="1338" spans="1:19" ht="25.5">
      <c r="A1338" s="721">
        <v>283</v>
      </c>
      <c r="B1338" s="721">
        <v>20101295003</v>
      </c>
      <c r="C1338" s="721" t="s">
        <v>4727</v>
      </c>
      <c r="D1338" s="721">
        <v>295</v>
      </c>
      <c r="E1338" s="721" t="s">
        <v>4036</v>
      </c>
      <c r="F1338" s="721" t="s">
        <v>154</v>
      </c>
      <c r="G1338" s="721" t="s">
        <v>2546</v>
      </c>
      <c r="H1338" s="721">
        <v>1</v>
      </c>
      <c r="I1338" s="721" t="s">
        <v>4728</v>
      </c>
      <c r="J1338" s="721" t="s">
        <v>4729</v>
      </c>
      <c r="K1338" s="721" t="s">
        <v>2044</v>
      </c>
      <c r="L1338" s="721">
        <v>79250331</v>
      </c>
      <c r="M1338" s="721" t="s">
        <v>3023</v>
      </c>
      <c r="N1338" s="746"/>
      <c r="O1338" s="746"/>
      <c r="P1338" s="746"/>
      <c r="Q1338" s="746"/>
      <c r="R1338" s="521"/>
      <c r="S1338" s="521"/>
    </row>
    <row r="1339" spans="1:19" ht="25.5">
      <c r="A1339" s="723">
        <v>284</v>
      </c>
      <c r="B1339" s="723">
        <v>20101295004</v>
      </c>
      <c r="C1339" s="723" t="s">
        <v>4730</v>
      </c>
      <c r="D1339" s="723">
        <v>295</v>
      </c>
      <c r="E1339" s="723" t="s">
        <v>4036</v>
      </c>
      <c r="F1339" s="723" t="s">
        <v>154</v>
      </c>
      <c r="G1339" s="723" t="s">
        <v>2546</v>
      </c>
      <c r="H1339" s="723" t="s">
        <v>2043</v>
      </c>
      <c r="I1339" s="723" t="s">
        <v>4731</v>
      </c>
      <c r="J1339" s="723" t="s">
        <v>4732</v>
      </c>
      <c r="K1339" s="723" t="s">
        <v>2044</v>
      </c>
      <c r="L1339" s="723">
        <v>35254880</v>
      </c>
      <c r="M1339" s="724" t="s">
        <v>955</v>
      </c>
      <c r="N1339" s="746"/>
      <c r="O1339" s="746"/>
      <c r="P1339" s="746"/>
      <c r="Q1339" s="746"/>
      <c r="R1339" s="521"/>
      <c r="S1339" s="521"/>
    </row>
    <row r="1340" spans="1:19" ht="25.5">
      <c r="A1340" s="721">
        <v>285</v>
      </c>
      <c r="B1340" s="721">
        <v>20101295005</v>
      </c>
      <c r="C1340" s="721" t="s">
        <v>2527</v>
      </c>
      <c r="D1340" s="721">
        <v>295</v>
      </c>
      <c r="E1340" s="721" t="s">
        <v>4036</v>
      </c>
      <c r="F1340" s="721" t="s">
        <v>154</v>
      </c>
      <c r="G1340" s="721" t="s">
        <v>2546</v>
      </c>
      <c r="H1340" s="721">
        <v>3</v>
      </c>
      <c r="I1340" s="721" t="s">
        <v>4733</v>
      </c>
      <c r="J1340" s="721" t="s">
        <v>4734</v>
      </c>
      <c r="K1340" s="721" t="s">
        <v>2044</v>
      </c>
      <c r="L1340" s="721">
        <v>79634604</v>
      </c>
      <c r="M1340" s="721" t="s">
        <v>2860</v>
      </c>
      <c r="N1340" s="746"/>
      <c r="O1340" s="746"/>
      <c r="P1340" s="746"/>
      <c r="Q1340" s="746"/>
      <c r="R1340" s="521"/>
      <c r="S1340" s="521"/>
    </row>
    <row r="1341" spans="1:19" ht="25.5">
      <c r="A1341" s="723">
        <v>286</v>
      </c>
      <c r="B1341" s="723">
        <v>20101295006</v>
      </c>
      <c r="C1341" s="723" t="s">
        <v>4735</v>
      </c>
      <c r="D1341" s="723">
        <v>295</v>
      </c>
      <c r="E1341" s="723" t="s">
        <v>4036</v>
      </c>
      <c r="F1341" s="723" t="s">
        <v>154</v>
      </c>
      <c r="G1341" s="723" t="s">
        <v>2546</v>
      </c>
      <c r="H1341" s="723">
        <v>4</v>
      </c>
      <c r="I1341" s="723" t="s">
        <v>4736</v>
      </c>
      <c r="J1341" s="723" t="s">
        <v>4737</v>
      </c>
      <c r="K1341" s="723" t="s">
        <v>2044</v>
      </c>
      <c r="L1341" s="723">
        <v>86010655</v>
      </c>
      <c r="M1341" s="723" t="s">
        <v>2910</v>
      </c>
      <c r="N1341" s="746"/>
      <c r="O1341" s="746"/>
      <c r="P1341" s="746"/>
      <c r="Q1341" s="746"/>
      <c r="R1341" s="521"/>
      <c r="S1341" s="521"/>
    </row>
    <row r="1342" spans="1:19" ht="25.5">
      <c r="A1342" s="721">
        <v>287</v>
      </c>
      <c r="B1342" s="721">
        <v>20101295007</v>
      </c>
      <c r="C1342" s="721" t="s">
        <v>4738</v>
      </c>
      <c r="D1342" s="721">
        <v>295</v>
      </c>
      <c r="E1342" s="721" t="s">
        <v>4036</v>
      </c>
      <c r="F1342" s="721" t="s">
        <v>154</v>
      </c>
      <c r="G1342" s="721" t="s">
        <v>2546</v>
      </c>
      <c r="H1342" s="721">
        <v>1</v>
      </c>
      <c r="I1342" s="721" t="s">
        <v>4739</v>
      </c>
      <c r="J1342" s="721" t="s">
        <v>4740</v>
      </c>
      <c r="K1342" s="721" t="s">
        <v>2044</v>
      </c>
      <c r="L1342" s="721">
        <v>86056809</v>
      </c>
      <c r="M1342" s="721" t="s">
        <v>3023</v>
      </c>
      <c r="N1342" s="746"/>
      <c r="O1342" s="746"/>
      <c r="P1342" s="746"/>
      <c r="Q1342" s="746"/>
      <c r="R1342" s="521"/>
      <c r="S1342" s="521"/>
    </row>
    <row r="1343" spans="1:19" ht="25.5">
      <c r="A1343" s="723">
        <v>288</v>
      </c>
      <c r="B1343" s="723">
        <v>20101295008</v>
      </c>
      <c r="C1343" s="723" t="s">
        <v>4741</v>
      </c>
      <c r="D1343" s="723">
        <v>295</v>
      </c>
      <c r="E1343" s="723" t="s">
        <v>4036</v>
      </c>
      <c r="F1343" s="723" t="s">
        <v>154</v>
      </c>
      <c r="G1343" s="723" t="s">
        <v>2546</v>
      </c>
      <c r="H1343" s="723" t="s">
        <v>2043</v>
      </c>
      <c r="I1343" s="723" t="s">
        <v>4742</v>
      </c>
      <c r="J1343" s="723" t="s">
        <v>4743</v>
      </c>
      <c r="K1343" s="723" t="s">
        <v>2044</v>
      </c>
      <c r="L1343" s="723">
        <v>98669593</v>
      </c>
      <c r="M1343" s="723" t="s">
        <v>3023</v>
      </c>
      <c r="N1343" s="746"/>
      <c r="O1343" s="746"/>
      <c r="P1343" s="746"/>
      <c r="Q1343" s="746"/>
      <c r="R1343" s="521"/>
      <c r="S1343" s="521"/>
    </row>
    <row r="1344" spans="1:19" ht="25.5">
      <c r="A1344" s="721">
        <v>289</v>
      </c>
      <c r="B1344" s="721">
        <v>20101295009</v>
      </c>
      <c r="C1344" s="721" t="s">
        <v>4744</v>
      </c>
      <c r="D1344" s="721">
        <v>295</v>
      </c>
      <c r="E1344" s="721" t="s">
        <v>4036</v>
      </c>
      <c r="F1344" s="721" t="s">
        <v>154</v>
      </c>
      <c r="G1344" s="721" t="s">
        <v>2546</v>
      </c>
      <c r="H1344" s="721" t="s">
        <v>2043</v>
      </c>
      <c r="I1344" s="721" t="s">
        <v>4745</v>
      </c>
      <c r="J1344" s="721" t="s">
        <v>4676</v>
      </c>
      <c r="K1344" s="721" t="s">
        <v>2044</v>
      </c>
      <c r="L1344" s="721">
        <v>16090419</v>
      </c>
      <c r="M1344" s="722" t="s">
        <v>955</v>
      </c>
      <c r="N1344" s="746"/>
      <c r="O1344" s="746"/>
      <c r="P1344" s="746"/>
      <c r="Q1344" s="746"/>
      <c r="R1344" s="521"/>
      <c r="S1344" s="521"/>
    </row>
    <row r="1345" spans="1:19" ht="25.5">
      <c r="A1345" s="723">
        <v>290</v>
      </c>
      <c r="B1345" s="723">
        <v>20101295010</v>
      </c>
      <c r="C1345" s="723" t="s">
        <v>4746</v>
      </c>
      <c r="D1345" s="723">
        <v>295</v>
      </c>
      <c r="E1345" s="723" t="s">
        <v>4036</v>
      </c>
      <c r="F1345" s="723" t="s">
        <v>154</v>
      </c>
      <c r="G1345" s="723" t="s">
        <v>2546</v>
      </c>
      <c r="H1345" s="723" t="s">
        <v>2043</v>
      </c>
      <c r="I1345" s="723" t="s">
        <v>4747</v>
      </c>
      <c r="J1345" s="723" t="s">
        <v>4748</v>
      </c>
      <c r="K1345" s="723" t="s">
        <v>2044</v>
      </c>
      <c r="L1345" s="723">
        <v>91292466</v>
      </c>
      <c r="M1345" s="723" t="s">
        <v>3023</v>
      </c>
      <c r="N1345" s="746"/>
      <c r="O1345" s="746"/>
      <c r="P1345" s="746"/>
      <c r="Q1345" s="746"/>
      <c r="R1345" s="521"/>
      <c r="S1345" s="521"/>
    </row>
    <row r="1346" spans="1:19" ht="25.5">
      <c r="A1346" s="721">
        <v>291</v>
      </c>
      <c r="B1346" s="721">
        <v>20101295012</v>
      </c>
      <c r="C1346" s="721" t="s">
        <v>4749</v>
      </c>
      <c r="D1346" s="721">
        <v>295</v>
      </c>
      <c r="E1346" s="721" t="s">
        <v>4036</v>
      </c>
      <c r="F1346" s="721" t="s">
        <v>154</v>
      </c>
      <c r="G1346" s="721" t="s">
        <v>2546</v>
      </c>
      <c r="H1346" s="721" t="s">
        <v>2043</v>
      </c>
      <c r="I1346" s="721" t="s">
        <v>4750</v>
      </c>
      <c r="J1346" s="721" t="s">
        <v>4751</v>
      </c>
      <c r="K1346" s="721" t="s">
        <v>2044</v>
      </c>
      <c r="L1346" s="721">
        <v>80153034</v>
      </c>
      <c r="M1346" s="722" t="s">
        <v>955</v>
      </c>
      <c r="N1346" s="746"/>
      <c r="O1346" s="746"/>
      <c r="P1346" s="746"/>
      <c r="Q1346" s="746"/>
      <c r="R1346" s="521"/>
      <c r="S1346" s="521"/>
    </row>
    <row r="1347" spans="1:19" ht="25.5">
      <c r="A1347" s="723">
        <v>292</v>
      </c>
      <c r="B1347" s="723">
        <v>20101295015</v>
      </c>
      <c r="C1347" s="723" t="s">
        <v>4752</v>
      </c>
      <c r="D1347" s="723">
        <v>295</v>
      </c>
      <c r="E1347" s="723" t="s">
        <v>4036</v>
      </c>
      <c r="F1347" s="723" t="s">
        <v>154</v>
      </c>
      <c r="G1347" s="723" t="s">
        <v>2546</v>
      </c>
      <c r="H1347" s="723">
        <v>3</v>
      </c>
      <c r="I1347" s="723" t="s">
        <v>4753</v>
      </c>
      <c r="J1347" s="723" t="s">
        <v>4754</v>
      </c>
      <c r="K1347" s="723" t="s">
        <v>2044</v>
      </c>
      <c r="L1347" s="723">
        <v>79880563</v>
      </c>
      <c r="M1347" s="723" t="s">
        <v>3269</v>
      </c>
      <c r="N1347" s="746"/>
      <c r="O1347" s="746"/>
      <c r="P1347" s="746"/>
      <c r="Q1347" s="746"/>
      <c r="R1347" s="521"/>
      <c r="S1347" s="521"/>
    </row>
    <row r="1348" spans="1:19" ht="25.5">
      <c r="A1348" s="721">
        <v>293</v>
      </c>
      <c r="B1348" s="721">
        <v>20102295001</v>
      </c>
      <c r="C1348" s="721" t="s">
        <v>4755</v>
      </c>
      <c r="D1348" s="721">
        <v>295</v>
      </c>
      <c r="E1348" s="721" t="s">
        <v>4036</v>
      </c>
      <c r="F1348" s="721" t="s">
        <v>154</v>
      </c>
      <c r="G1348" s="721" t="s">
        <v>2546</v>
      </c>
      <c r="H1348" s="721">
        <v>1</v>
      </c>
      <c r="I1348" s="721" t="s">
        <v>4756</v>
      </c>
      <c r="J1348" s="721" t="s">
        <v>4757</v>
      </c>
      <c r="K1348" s="721" t="s">
        <v>2044</v>
      </c>
      <c r="L1348" s="721">
        <v>80816783</v>
      </c>
      <c r="M1348" s="721" t="s">
        <v>2914</v>
      </c>
      <c r="N1348" s="746"/>
      <c r="O1348" s="746"/>
      <c r="P1348" s="746"/>
      <c r="Q1348" s="746"/>
      <c r="R1348" s="521"/>
      <c r="S1348" s="521"/>
    </row>
    <row r="1349" spans="1:19" ht="25.5">
      <c r="A1349" s="723">
        <v>294</v>
      </c>
      <c r="B1349" s="723">
        <v>20102295003</v>
      </c>
      <c r="C1349" s="723" t="s">
        <v>4758</v>
      </c>
      <c r="D1349" s="723">
        <v>295</v>
      </c>
      <c r="E1349" s="723" t="s">
        <v>4036</v>
      </c>
      <c r="F1349" s="723" t="s">
        <v>154</v>
      </c>
      <c r="G1349" s="723" t="s">
        <v>2546</v>
      </c>
      <c r="H1349" s="723" t="s">
        <v>2043</v>
      </c>
      <c r="I1349" s="723" t="s">
        <v>4759</v>
      </c>
      <c r="J1349" s="723" t="s">
        <v>4760</v>
      </c>
      <c r="K1349" s="723" t="s">
        <v>2044</v>
      </c>
      <c r="L1349" s="723">
        <v>80818173</v>
      </c>
      <c r="M1349" s="723" t="s">
        <v>2856</v>
      </c>
      <c r="N1349" s="746"/>
      <c r="O1349" s="746"/>
      <c r="P1349" s="746"/>
      <c r="Q1349" s="746"/>
      <c r="R1349" s="521"/>
      <c r="S1349" s="521"/>
    </row>
    <row r="1350" spans="1:19" ht="25.5">
      <c r="A1350" s="721">
        <v>295</v>
      </c>
      <c r="B1350" s="721">
        <v>20102295005</v>
      </c>
      <c r="C1350" s="721" t="s">
        <v>4761</v>
      </c>
      <c r="D1350" s="721">
        <v>295</v>
      </c>
      <c r="E1350" s="721" t="s">
        <v>4036</v>
      </c>
      <c r="F1350" s="721" t="s">
        <v>154</v>
      </c>
      <c r="G1350" s="721" t="s">
        <v>2546</v>
      </c>
      <c r="H1350" s="721" t="s">
        <v>2043</v>
      </c>
      <c r="I1350" s="721" t="s">
        <v>4762</v>
      </c>
      <c r="J1350" s="721" t="s">
        <v>4763</v>
      </c>
      <c r="K1350" s="721" t="s">
        <v>2044</v>
      </c>
      <c r="L1350" s="721">
        <v>80724926</v>
      </c>
      <c r="M1350" s="721" t="s">
        <v>2192</v>
      </c>
      <c r="N1350" s="746"/>
      <c r="O1350" s="746"/>
      <c r="P1350" s="746"/>
      <c r="Q1350" s="746"/>
      <c r="R1350" s="521"/>
      <c r="S1350" s="521"/>
    </row>
    <row r="1351" spans="1:19" ht="25.5">
      <c r="A1351" s="723">
        <v>296</v>
      </c>
      <c r="B1351" s="723">
        <v>20111295001</v>
      </c>
      <c r="C1351" s="723" t="s">
        <v>4764</v>
      </c>
      <c r="D1351" s="723">
        <v>295</v>
      </c>
      <c r="E1351" s="723" t="s">
        <v>4036</v>
      </c>
      <c r="F1351" s="723" t="s">
        <v>154</v>
      </c>
      <c r="G1351" s="723" t="s">
        <v>2546</v>
      </c>
      <c r="H1351" s="723" t="s">
        <v>2043</v>
      </c>
      <c r="I1351" s="723" t="s">
        <v>4765</v>
      </c>
      <c r="J1351" s="723" t="s">
        <v>4766</v>
      </c>
      <c r="K1351" s="723" t="s">
        <v>2044</v>
      </c>
      <c r="L1351" s="723">
        <v>1022324022</v>
      </c>
      <c r="M1351" s="723" t="s">
        <v>2900</v>
      </c>
      <c r="N1351" s="746"/>
      <c r="O1351" s="746"/>
      <c r="P1351" s="746"/>
      <c r="Q1351" s="746"/>
      <c r="R1351" s="521"/>
      <c r="S1351" s="521"/>
    </row>
    <row r="1352" spans="1:19" ht="25.5">
      <c r="A1352" s="721">
        <v>297</v>
      </c>
      <c r="B1352" s="721">
        <v>20111295003</v>
      </c>
      <c r="C1352" s="721" t="s">
        <v>4767</v>
      </c>
      <c r="D1352" s="721">
        <v>295</v>
      </c>
      <c r="E1352" s="721" t="s">
        <v>4036</v>
      </c>
      <c r="F1352" s="721" t="s">
        <v>154</v>
      </c>
      <c r="G1352" s="721" t="s">
        <v>2546</v>
      </c>
      <c r="H1352" s="721">
        <v>1</v>
      </c>
      <c r="I1352" s="721" t="s">
        <v>4768</v>
      </c>
      <c r="J1352" s="721" t="s">
        <v>4769</v>
      </c>
      <c r="K1352" s="721" t="s">
        <v>2044</v>
      </c>
      <c r="L1352" s="721">
        <v>1129575338</v>
      </c>
      <c r="M1352" s="721" t="s">
        <v>2856</v>
      </c>
      <c r="N1352" s="746"/>
      <c r="O1352" s="746"/>
      <c r="P1352" s="746"/>
      <c r="Q1352" s="746"/>
      <c r="R1352" s="521"/>
      <c r="S1352" s="521"/>
    </row>
    <row r="1353" spans="1:19" ht="25.5">
      <c r="A1353" s="723">
        <v>298</v>
      </c>
      <c r="B1353" s="723">
        <v>20111295004</v>
      </c>
      <c r="C1353" s="723" t="s">
        <v>4770</v>
      </c>
      <c r="D1353" s="723">
        <v>295</v>
      </c>
      <c r="E1353" s="723" t="s">
        <v>4036</v>
      </c>
      <c r="F1353" s="723" t="s">
        <v>154</v>
      </c>
      <c r="G1353" s="723" t="s">
        <v>2546</v>
      </c>
      <c r="H1353" s="723" t="s">
        <v>2043</v>
      </c>
      <c r="I1353" s="723" t="s">
        <v>4771</v>
      </c>
      <c r="J1353" s="723" t="s">
        <v>4772</v>
      </c>
      <c r="K1353" s="723" t="s">
        <v>2044</v>
      </c>
      <c r="L1353" s="723">
        <v>3151525</v>
      </c>
      <c r="M1353" s="723" t="s">
        <v>3123</v>
      </c>
      <c r="N1353" s="746"/>
      <c r="O1353" s="746"/>
      <c r="P1353" s="746"/>
      <c r="Q1353" s="746"/>
      <c r="R1353" s="521"/>
      <c r="S1353" s="521"/>
    </row>
    <row r="1354" spans="1:19" ht="25.5">
      <c r="A1354" s="721">
        <v>299</v>
      </c>
      <c r="B1354" s="721">
        <v>20111295005</v>
      </c>
      <c r="C1354" s="721" t="s">
        <v>4773</v>
      </c>
      <c r="D1354" s="721">
        <v>295</v>
      </c>
      <c r="E1354" s="721" t="s">
        <v>4036</v>
      </c>
      <c r="F1354" s="721" t="s">
        <v>154</v>
      </c>
      <c r="G1354" s="721" t="s">
        <v>2546</v>
      </c>
      <c r="H1354" s="721" t="s">
        <v>2043</v>
      </c>
      <c r="I1354" s="721"/>
      <c r="J1354" s="721"/>
      <c r="K1354" s="721" t="s">
        <v>2044</v>
      </c>
      <c r="L1354" s="721">
        <v>94458664</v>
      </c>
      <c r="M1354" s="722" t="s">
        <v>955</v>
      </c>
      <c r="N1354" s="746"/>
      <c r="O1354" s="746"/>
      <c r="P1354" s="746"/>
      <c r="Q1354" s="746"/>
      <c r="R1354" s="521"/>
      <c r="S1354" s="521"/>
    </row>
    <row r="1355" spans="1:19" ht="25.5">
      <c r="A1355" s="723">
        <v>300</v>
      </c>
      <c r="B1355" s="723">
        <v>20111295008</v>
      </c>
      <c r="C1355" s="723" t="s">
        <v>4774</v>
      </c>
      <c r="D1355" s="723">
        <v>295</v>
      </c>
      <c r="E1355" s="723" t="s">
        <v>4036</v>
      </c>
      <c r="F1355" s="723" t="s">
        <v>154</v>
      </c>
      <c r="G1355" s="723" t="s">
        <v>2546</v>
      </c>
      <c r="H1355" s="723" t="s">
        <v>2043</v>
      </c>
      <c r="I1355" s="723" t="s">
        <v>4775</v>
      </c>
      <c r="J1355" s="723" t="s">
        <v>4776</v>
      </c>
      <c r="K1355" s="723" t="s">
        <v>2044</v>
      </c>
      <c r="L1355" s="723">
        <v>80074513</v>
      </c>
      <c r="M1355" s="723" t="s">
        <v>2910</v>
      </c>
      <c r="N1355" s="746"/>
      <c r="O1355" s="746"/>
      <c r="P1355" s="746"/>
      <c r="Q1355" s="746"/>
      <c r="R1355" s="521"/>
      <c r="S1355" s="521"/>
    </row>
    <row r="1356" spans="1:19" ht="25.5">
      <c r="A1356" s="721">
        <v>301</v>
      </c>
      <c r="B1356" s="721">
        <v>20112295001</v>
      </c>
      <c r="C1356" s="721" t="s">
        <v>4777</v>
      </c>
      <c r="D1356" s="721">
        <v>295</v>
      </c>
      <c r="E1356" s="721" t="s">
        <v>4036</v>
      </c>
      <c r="F1356" s="721" t="s">
        <v>154</v>
      </c>
      <c r="G1356" s="721" t="s">
        <v>2546</v>
      </c>
      <c r="H1356" s="721">
        <v>1</v>
      </c>
      <c r="I1356" s="721"/>
      <c r="J1356" s="721" t="s">
        <v>959</v>
      </c>
      <c r="K1356" s="721" t="s">
        <v>2044</v>
      </c>
      <c r="L1356" s="721">
        <v>45455721</v>
      </c>
      <c r="M1356" s="721" t="s">
        <v>2856</v>
      </c>
      <c r="N1356" s="746"/>
      <c r="O1356" s="746"/>
      <c r="P1356" s="746"/>
      <c r="Q1356" s="746"/>
      <c r="R1356" s="521"/>
      <c r="S1356" s="521"/>
    </row>
    <row r="1357" spans="1:19" ht="25.5">
      <c r="A1357" s="723">
        <v>302</v>
      </c>
      <c r="B1357" s="723">
        <v>20112295002</v>
      </c>
      <c r="C1357" s="723" t="s">
        <v>4778</v>
      </c>
      <c r="D1357" s="723">
        <v>295</v>
      </c>
      <c r="E1357" s="723" t="s">
        <v>4036</v>
      </c>
      <c r="F1357" s="723" t="s">
        <v>154</v>
      </c>
      <c r="G1357" s="723" t="s">
        <v>2546</v>
      </c>
      <c r="H1357" s="723" t="s">
        <v>2043</v>
      </c>
      <c r="I1357" s="723"/>
      <c r="J1357" s="723" t="s">
        <v>4779</v>
      </c>
      <c r="K1357" s="723" t="s">
        <v>2044</v>
      </c>
      <c r="L1357" s="723">
        <v>26391742</v>
      </c>
      <c r="M1357" s="723" t="s">
        <v>2860</v>
      </c>
      <c r="N1357" s="746"/>
      <c r="O1357" s="746"/>
      <c r="P1357" s="746"/>
      <c r="Q1357" s="746"/>
      <c r="R1357" s="521"/>
      <c r="S1357" s="521"/>
    </row>
    <row r="1358" spans="1:19" ht="25.5">
      <c r="A1358" s="721">
        <v>303</v>
      </c>
      <c r="B1358" s="721">
        <v>20112295003</v>
      </c>
      <c r="C1358" s="721" t="s">
        <v>4780</v>
      </c>
      <c r="D1358" s="721">
        <v>295</v>
      </c>
      <c r="E1358" s="721" t="s">
        <v>4036</v>
      </c>
      <c r="F1358" s="721" t="s">
        <v>154</v>
      </c>
      <c r="G1358" s="721" t="s">
        <v>2546</v>
      </c>
      <c r="H1358" s="721" t="s">
        <v>2043</v>
      </c>
      <c r="I1358" s="721"/>
      <c r="J1358" s="721" t="s">
        <v>4781</v>
      </c>
      <c r="K1358" s="721" t="s">
        <v>2044</v>
      </c>
      <c r="L1358" s="721">
        <v>79803093</v>
      </c>
      <c r="M1358" s="721" t="s">
        <v>2896</v>
      </c>
      <c r="N1358" s="746"/>
      <c r="O1358" s="746"/>
      <c r="P1358" s="746"/>
      <c r="Q1358" s="746"/>
      <c r="R1358" s="521"/>
      <c r="S1358" s="521"/>
    </row>
    <row r="1359" spans="1:19" ht="25.5">
      <c r="A1359" s="723">
        <v>304</v>
      </c>
      <c r="B1359" s="723">
        <v>20112295004</v>
      </c>
      <c r="C1359" s="723" t="s">
        <v>4782</v>
      </c>
      <c r="D1359" s="723">
        <v>295</v>
      </c>
      <c r="E1359" s="723" t="s">
        <v>4036</v>
      </c>
      <c r="F1359" s="723" t="s">
        <v>154</v>
      </c>
      <c r="G1359" s="723" t="s">
        <v>2546</v>
      </c>
      <c r="H1359" s="723" t="s">
        <v>2043</v>
      </c>
      <c r="I1359" s="723"/>
      <c r="J1359" s="723" t="s">
        <v>4783</v>
      </c>
      <c r="K1359" s="723" t="s">
        <v>2044</v>
      </c>
      <c r="L1359" s="723">
        <v>80849753</v>
      </c>
      <c r="M1359" s="724" t="s">
        <v>955</v>
      </c>
      <c r="N1359" s="746"/>
      <c r="O1359" s="746"/>
      <c r="P1359" s="746"/>
      <c r="Q1359" s="746"/>
      <c r="R1359" s="521"/>
      <c r="S1359" s="521"/>
    </row>
    <row r="1360" spans="1:19" ht="25.5">
      <c r="A1360" s="721">
        <v>305</v>
      </c>
      <c r="B1360" s="721">
        <v>20112295005</v>
      </c>
      <c r="C1360" s="721" t="s">
        <v>4784</v>
      </c>
      <c r="D1360" s="721">
        <v>295</v>
      </c>
      <c r="E1360" s="721" t="s">
        <v>4036</v>
      </c>
      <c r="F1360" s="721" t="s">
        <v>154</v>
      </c>
      <c r="G1360" s="721" t="s">
        <v>2546</v>
      </c>
      <c r="H1360" s="721">
        <v>3</v>
      </c>
      <c r="I1360" s="721"/>
      <c r="J1360" s="721" t="s">
        <v>4785</v>
      </c>
      <c r="K1360" s="721" t="s">
        <v>2044</v>
      </c>
      <c r="L1360" s="721">
        <v>51808342</v>
      </c>
      <c r="M1360" s="721" t="s">
        <v>2896</v>
      </c>
      <c r="N1360" s="746"/>
      <c r="O1360" s="746"/>
      <c r="P1360" s="746"/>
      <c r="Q1360" s="746"/>
      <c r="R1360" s="521"/>
      <c r="S1360" s="521"/>
    </row>
    <row r="1361" spans="1:19" ht="25.5">
      <c r="A1361" s="723">
        <v>306</v>
      </c>
      <c r="B1361" s="723">
        <v>20112295006</v>
      </c>
      <c r="C1361" s="723" t="s">
        <v>4786</v>
      </c>
      <c r="D1361" s="723">
        <v>295</v>
      </c>
      <c r="E1361" s="723" t="s">
        <v>4036</v>
      </c>
      <c r="F1361" s="723" t="s">
        <v>154</v>
      </c>
      <c r="G1361" s="723" t="s">
        <v>2546</v>
      </c>
      <c r="H1361" s="723" t="s">
        <v>2043</v>
      </c>
      <c r="I1361" s="723"/>
      <c r="J1361" s="723" t="s">
        <v>4787</v>
      </c>
      <c r="K1361" s="723" t="s">
        <v>2044</v>
      </c>
      <c r="L1361" s="723">
        <v>35537218</v>
      </c>
      <c r="M1361" s="723" t="s">
        <v>2856</v>
      </c>
      <c r="N1361" s="746"/>
      <c r="O1361" s="746"/>
      <c r="P1361" s="746"/>
      <c r="Q1361" s="746"/>
      <c r="R1361" s="521"/>
      <c r="S1361" s="521"/>
    </row>
    <row r="1362" spans="1:19" ht="25.5">
      <c r="A1362" s="721">
        <v>307</v>
      </c>
      <c r="B1362" s="721">
        <v>20112295007</v>
      </c>
      <c r="C1362" s="721" t="s">
        <v>4788</v>
      </c>
      <c r="D1362" s="721">
        <v>295</v>
      </c>
      <c r="E1362" s="721" t="s">
        <v>4036</v>
      </c>
      <c r="F1362" s="721" t="s">
        <v>154</v>
      </c>
      <c r="G1362" s="721" t="s">
        <v>2546</v>
      </c>
      <c r="H1362" s="721">
        <v>1</v>
      </c>
      <c r="I1362" s="721"/>
      <c r="J1362" s="721" t="s">
        <v>4789</v>
      </c>
      <c r="K1362" s="721" t="s">
        <v>2044</v>
      </c>
      <c r="L1362" s="721">
        <v>76356525</v>
      </c>
      <c r="M1362" s="721" t="s">
        <v>2856</v>
      </c>
      <c r="N1362" s="746"/>
      <c r="O1362" s="746"/>
      <c r="P1362" s="746"/>
      <c r="Q1362" s="746"/>
      <c r="R1362" s="521"/>
      <c r="S1362" s="521"/>
    </row>
    <row r="1363" spans="1:19" ht="25.5">
      <c r="A1363" s="723">
        <v>308</v>
      </c>
      <c r="B1363" s="723">
        <v>20112295008</v>
      </c>
      <c r="C1363" s="723" t="s">
        <v>4790</v>
      </c>
      <c r="D1363" s="723">
        <v>295</v>
      </c>
      <c r="E1363" s="723" t="s">
        <v>4036</v>
      </c>
      <c r="F1363" s="723" t="s">
        <v>154</v>
      </c>
      <c r="G1363" s="723" t="s">
        <v>2546</v>
      </c>
      <c r="H1363" s="723">
        <v>3</v>
      </c>
      <c r="I1363" s="723"/>
      <c r="J1363" s="723" t="s">
        <v>4791</v>
      </c>
      <c r="K1363" s="723" t="s">
        <v>2044</v>
      </c>
      <c r="L1363" s="723">
        <v>79875433</v>
      </c>
      <c r="M1363" s="723" t="s">
        <v>2856</v>
      </c>
      <c r="N1363" s="746"/>
      <c r="O1363" s="746"/>
      <c r="P1363" s="746"/>
      <c r="Q1363" s="746"/>
      <c r="R1363" s="521"/>
      <c r="S1363" s="521"/>
    </row>
    <row r="1364" spans="1:19" ht="25.5">
      <c r="A1364" s="721">
        <v>309</v>
      </c>
      <c r="B1364" s="721">
        <v>20112295010</v>
      </c>
      <c r="C1364" s="721" t="s">
        <v>4792</v>
      </c>
      <c r="D1364" s="721">
        <v>295</v>
      </c>
      <c r="E1364" s="721" t="s">
        <v>4036</v>
      </c>
      <c r="F1364" s="721" t="s">
        <v>154</v>
      </c>
      <c r="G1364" s="721" t="s">
        <v>2546</v>
      </c>
      <c r="H1364" s="721" t="s">
        <v>2043</v>
      </c>
      <c r="I1364" s="721"/>
      <c r="J1364" s="721" t="s">
        <v>3834</v>
      </c>
      <c r="K1364" s="721" t="s">
        <v>2044</v>
      </c>
      <c r="L1364" s="721">
        <v>79132721</v>
      </c>
      <c r="M1364" s="722" t="s">
        <v>955</v>
      </c>
      <c r="N1364" s="746"/>
      <c r="O1364" s="746"/>
      <c r="P1364" s="746"/>
      <c r="Q1364" s="746"/>
      <c r="R1364" s="521"/>
      <c r="S1364" s="521"/>
    </row>
    <row r="1365" spans="1:19" ht="25.5">
      <c r="A1365" s="723">
        <v>310</v>
      </c>
      <c r="B1365" s="723">
        <v>20121295001</v>
      </c>
      <c r="C1365" s="723" t="s">
        <v>4793</v>
      </c>
      <c r="D1365" s="723">
        <v>295</v>
      </c>
      <c r="E1365" s="723" t="s">
        <v>4036</v>
      </c>
      <c r="F1365" s="723" t="s">
        <v>154</v>
      </c>
      <c r="G1365" s="723" t="s">
        <v>2546</v>
      </c>
      <c r="H1365" s="723" t="s">
        <v>2043</v>
      </c>
      <c r="I1365" s="723"/>
      <c r="J1365" s="723" t="s">
        <v>4794</v>
      </c>
      <c r="K1365" s="723" t="s">
        <v>2044</v>
      </c>
      <c r="L1365" s="723">
        <v>16077914</v>
      </c>
      <c r="M1365" s="723" t="s">
        <v>2143</v>
      </c>
      <c r="N1365" s="746"/>
      <c r="O1365" s="746"/>
      <c r="P1365" s="746"/>
      <c r="Q1365" s="746"/>
      <c r="R1365" s="521"/>
      <c r="S1365" s="521"/>
    </row>
    <row r="1366" spans="1:19" ht="25.5">
      <c r="A1366" s="721">
        <v>311</v>
      </c>
      <c r="B1366" s="721">
        <v>20121295003</v>
      </c>
      <c r="C1366" s="721" t="s">
        <v>4782</v>
      </c>
      <c r="D1366" s="721">
        <v>295</v>
      </c>
      <c r="E1366" s="721" t="s">
        <v>4036</v>
      </c>
      <c r="F1366" s="721" t="s">
        <v>154</v>
      </c>
      <c r="G1366" s="721" t="s">
        <v>2546</v>
      </c>
      <c r="H1366" s="721" t="s">
        <v>2043</v>
      </c>
      <c r="I1366" s="721"/>
      <c r="J1366" s="721" t="s">
        <v>4783</v>
      </c>
      <c r="K1366" s="721" t="s">
        <v>2044</v>
      </c>
      <c r="L1366" s="721">
        <v>80849753</v>
      </c>
      <c r="M1366" s="721" t="s">
        <v>3104</v>
      </c>
      <c r="N1366" s="746"/>
      <c r="O1366" s="746"/>
      <c r="P1366" s="746"/>
      <c r="Q1366" s="746"/>
      <c r="R1366" s="521"/>
      <c r="S1366" s="521"/>
    </row>
    <row r="1367" spans="1:19" ht="25.5">
      <c r="A1367" s="723">
        <v>312</v>
      </c>
      <c r="B1367" s="723">
        <v>20121295004</v>
      </c>
      <c r="C1367" s="723" t="s">
        <v>4795</v>
      </c>
      <c r="D1367" s="723">
        <v>295</v>
      </c>
      <c r="E1367" s="723" t="s">
        <v>4036</v>
      </c>
      <c r="F1367" s="723" t="s">
        <v>154</v>
      </c>
      <c r="G1367" s="723" t="s">
        <v>2546</v>
      </c>
      <c r="H1367" s="723" t="s">
        <v>2043</v>
      </c>
      <c r="I1367" s="723"/>
      <c r="J1367" s="723" t="s">
        <v>4796</v>
      </c>
      <c r="K1367" s="723" t="s">
        <v>2044</v>
      </c>
      <c r="L1367" s="723">
        <v>51983082</v>
      </c>
      <c r="M1367" s="723" t="s">
        <v>2910</v>
      </c>
      <c r="N1367" s="746"/>
      <c r="O1367" s="746"/>
      <c r="P1367" s="746"/>
      <c r="Q1367" s="746"/>
      <c r="R1367" s="521"/>
      <c r="S1367" s="521"/>
    </row>
    <row r="1368" spans="1:19" ht="25.5">
      <c r="A1368" s="721">
        <v>313</v>
      </c>
      <c r="B1368" s="721">
        <v>20121295006</v>
      </c>
      <c r="C1368" s="721" t="s">
        <v>4797</v>
      </c>
      <c r="D1368" s="721">
        <v>295</v>
      </c>
      <c r="E1368" s="721" t="s">
        <v>4036</v>
      </c>
      <c r="F1368" s="721" t="s">
        <v>154</v>
      </c>
      <c r="G1368" s="721" t="s">
        <v>2546</v>
      </c>
      <c r="H1368" s="721" t="s">
        <v>2043</v>
      </c>
      <c r="I1368" s="721"/>
      <c r="J1368" s="721" t="s">
        <v>4798</v>
      </c>
      <c r="K1368" s="721" t="s">
        <v>2044</v>
      </c>
      <c r="L1368" s="721">
        <v>80224179</v>
      </c>
      <c r="M1368" s="722" t="s">
        <v>955</v>
      </c>
      <c r="N1368" s="746"/>
      <c r="O1368" s="746"/>
      <c r="P1368" s="746"/>
      <c r="Q1368" s="746"/>
      <c r="R1368" s="521"/>
      <c r="S1368" s="521"/>
    </row>
    <row r="1369" spans="1:19" ht="25.5">
      <c r="A1369" s="723">
        <v>314</v>
      </c>
      <c r="B1369" s="723">
        <v>20121295007</v>
      </c>
      <c r="C1369" s="723" t="s">
        <v>4612</v>
      </c>
      <c r="D1369" s="723">
        <v>295</v>
      </c>
      <c r="E1369" s="723" t="s">
        <v>4036</v>
      </c>
      <c r="F1369" s="723" t="s">
        <v>154</v>
      </c>
      <c r="G1369" s="723" t="s">
        <v>2546</v>
      </c>
      <c r="H1369" s="723" t="s">
        <v>2043</v>
      </c>
      <c r="I1369" s="723"/>
      <c r="J1369" s="723" t="s">
        <v>4799</v>
      </c>
      <c r="K1369" s="723" t="s">
        <v>2044</v>
      </c>
      <c r="L1369" s="723">
        <v>80017826</v>
      </c>
      <c r="M1369" s="724" t="s">
        <v>955</v>
      </c>
      <c r="N1369" s="746"/>
      <c r="O1369" s="746"/>
      <c r="P1369" s="746"/>
      <c r="Q1369" s="746"/>
      <c r="R1369" s="521"/>
      <c r="S1369" s="521"/>
    </row>
    <row r="1370" spans="1:19" ht="25.5">
      <c r="A1370" s="721">
        <v>315</v>
      </c>
      <c r="B1370" s="721">
        <v>20122295001</v>
      </c>
      <c r="C1370" s="721" t="s">
        <v>4800</v>
      </c>
      <c r="D1370" s="721">
        <v>295</v>
      </c>
      <c r="E1370" s="721" t="s">
        <v>4036</v>
      </c>
      <c r="F1370" s="721" t="s">
        <v>154</v>
      </c>
      <c r="G1370" s="721" t="s">
        <v>2546</v>
      </c>
      <c r="H1370" s="721" t="s">
        <v>2043</v>
      </c>
      <c r="I1370" s="721"/>
      <c r="J1370" s="721" t="s">
        <v>3858</v>
      </c>
      <c r="K1370" s="721" t="s">
        <v>2044</v>
      </c>
      <c r="L1370" s="721">
        <v>80727294</v>
      </c>
      <c r="M1370" s="721" t="s">
        <v>2910</v>
      </c>
      <c r="N1370" s="746"/>
      <c r="O1370" s="746"/>
      <c r="P1370" s="746"/>
      <c r="Q1370" s="746"/>
      <c r="R1370" s="521"/>
      <c r="S1370" s="521"/>
    </row>
    <row r="1371" spans="1:19" ht="25.5">
      <c r="A1371" s="723">
        <v>316</v>
      </c>
      <c r="B1371" s="723">
        <v>20122295002</v>
      </c>
      <c r="C1371" s="723" t="s">
        <v>4801</v>
      </c>
      <c r="D1371" s="723">
        <v>295</v>
      </c>
      <c r="E1371" s="723" t="s">
        <v>4036</v>
      </c>
      <c r="F1371" s="723" t="s">
        <v>154</v>
      </c>
      <c r="G1371" s="723" t="s">
        <v>2546</v>
      </c>
      <c r="H1371" s="723" t="s">
        <v>2043</v>
      </c>
      <c r="I1371" s="723"/>
      <c r="J1371" s="723" t="s">
        <v>4802</v>
      </c>
      <c r="K1371" s="723" t="s">
        <v>2044</v>
      </c>
      <c r="L1371" s="723">
        <v>80034881</v>
      </c>
      <c r="M1371" s="723" t="s">
        <v>2167</v>
      </c>
      <c r="N1371" s="746"/>
      <c r="O1371" s="746"/>
      <c r="P1371" s="746"/>
      <c r="Q1371" s="746"/>
      <c r="R1371" s="521"/>
      <c r="S1371" s="521"/>
    </row>
    <row r="1372" spans="1:19" ht="25.5">
      <c r="A1372" s="721">
        <v>317</v>
      </c>
      <c r="B1372" s="721">
        <v>20122295004</v>
      </c>
      <c r="C1372" s="721" t="s">
        <v>4803</v>
      </c>
      <c r="D1372" s="721">
        <v>295</v>
      </c>
      <c r="E1372" s="721" t="s">
        <v>4036</v>
      </c>
      <c r="F1372" s="721" t="s">
        <v>154</v>
      </c>
      <c r="G1372" s="721" t="s">
        <v>2546</v>
      </c>
      <c r="H1372" s="721">
        <v>1</v>
      </c>
      <c r="I1372" s="721"/>
      <c r="J1372" s="721" t="s">
        <v>4804</v>
      </c>
      <c r="K1372" s="721" t="s">
        <v>2044</v>
      </c>
      <c r="L1372" s="721">
        <v>16837611</v>
      </c>
      <c r="M1372" s="721" t="s">
        <v>3180</v>
      </c>
      <c r="N1372" s="746"/>
      <c r="O1372" s="746"/>
      <c r="P1372" s="746"/>
      <c r="Q1372" s="746"/>
      <c r="R1372" s="521"/>
      <c r="S1372" s="521"/>
    </row>
    <row r="1373" spans="1:19" ht="25.5">
      <c r="A1373" s="723">
        <v>318</v>
      </c>
      <c r="B1373" s="723">
        <v>20122295005</v>
      </c>
      <c r="C1373" s="723" t="s">
        <v>4805</v>
      </c>
      <c r="D1373" s="723">
        <v>295</v>
      </c>
      <c r="E1373" s="723" t="s">
        <v>4036</v>
      </c>
      <c r="F1373" s="723" t="s">
        <v>154</v>
      </c>
      <c r="G1373" s="723" t="s">
        <v>2546</v>
      </c>
      <c r="H1373" s="723" t="s">
        <v>2043</v>
      </c>
      <c r="I1373" s="723"/>
      <c r="J1373" s="723" t="s">
        <v>4806</v>
      </c>
      <c r="K1373" s="723" t="s">
        <v>2044</v>
      </c>
      <c r="L1373" s="723">
        <v>1022342164</v>
      </c>
      <c r="M1373" s="723" t="s">
        <v>2910</v>
      </c>
      <c r="N1373" s="746"/>
      <c r="O1373" s="746"/>
      <c r="P1373" s="746"/>
      <c r="Q1373" s="746"/>
      <c r="R1373" s="521"/>
      <c r="S1373" s="521"/>
    </row>
    <row r="1374" spans="1:19" ht="25.5">
      <c r="A1374" s="721">
        <v>319</v>
      </c>
      <c r="B1374" s="721">
        <v>20122295006</v>
      </c>
      <c r="C1374" s="721" t="s">
        <v>4807</v>
      </c>
      <c r="D1374" s="721">
        <v>295</v>
      </c>
      <c r="E1374" s="721" t="s">
        <v>4036</v>
      </c>
      <c r="F1374" s="721" t="s">
        <v>154</v>
      </c>
      <c r="G1374" s="721" t="s">
        <v>2546</v>
      </c>
      <c r="H1374" s="721" t="s">
        <v>2043</v>
      </c>
      <c r="I1374" s="721"/>
      <c r="J1374" s="721" t="s">
        <v>4808</v>
      </c>
      <c r="K1374" s="721" t="s">
        <v>2044</v>
      </c>
      <c r="L1374" s="721">
        <v>79712706</v>
      </c>
      <c r="M1374" s="721" t="s">
        <v>2192</v>
      </c>
      <c r="N1374" s="746"/>
      <c r="O1374" s="746"/>
      <c r="P1374" s="746"/>
      <c r="Q1374" s="746"/>
      <c r="R1374" s="521"/>
      <c r="S1374" s="521"/>
    </row>
    <row r="1375" spans="1:19" ht="25.5">
      <c r="A1375" s="723">
        <v>320</v>
      </c>
      <c r="B1375" s="723">
        <v>20131295001</v>
      </c>
      <c r="C1375" s="723" t="s">
        <v>4809</v>
      </c>
      <c r="D1375" s="723">
        <v>295</v>
      </c>
      <c r="E1375" s="723" t="s">
        <v>4036</v>
      </c>
      <c r="F1375" s="723" t="s">
        <v>154</v>
      </c>
      <c r="G1375" s="723" t="s">
        <v>2546</v>
      </c>
      <c r="H1375" s="723" t="s">
        <v>2043</v>
      </c>
      <c r="I1375" s="723" t="s">
        <v>4810</v>
      </c>
      <c r="J1375" s="723" t="s">
        <v>4811</v>
      </c>
      <c r="K1375" s="723" t="s">
        <v>2044</v>
      </c>
      <c r="L1375" s="723">
        <v>79047792</v>
      </c>
      <c r="M1375" s="723" t="s">
        <v>2612</v>
      </c>
      <c r="N1375" s="746"/>
      <c r="O1375" s="746"/>
      <c r="P1375" s="746"/>
      <c r="Q1375" s="746"/>
      <c r="R1375" s="521"/>
      <c r="S1375" s="521"/>
    </row>
    <row r="1376" spans="1:19" ht="25.5">
      <c r="A1376" s="721">
        <v>321</v>
      </c>
      <c r="B1376" s="721">
        <v>20131295003</v>
      </c>
      <c r="C1376" s="721" t="s">
        <v>4812</v>
      </c>
      <c r="D1376" s="721">
        <v>295</v>
      </c>
      <c r="E1376" s="721" t="s">
        <v>4036</v>
      </c>
      <c r="F1376" s="721" t="s">
        <v>154</v>
      </c>
      <c r="G1376" s="721" t="s">
        <v>2546</v>
      </c>
      <c r="H1376" s="721" t="s">
        <v>2043</v>
      </c>
      <c r="I1376" s="721" t="s">
        <v>4813</v>
      </c>
      <c r="J1376" s="721" t="s">
        <v>4814</v>
      </c>
      <c r="K1376" s="721" t="s">
        <v>2044</v>
      </c>
      <c r="L1376" s="721">
        <v>1075651472</v>
      </c>
      <c r="M1376" s="721" t="s">
        <v>2192</v>
      </c>
      <c r="N1376" s="746"/>
      <c r="O1376" s="746"/>
      <c r="P1376" s="746"/>
      <c r="Q1376" s="746"/>
      <c r="R1376" s="521"/>
      <c r="S1376" s="521"/>
    </row>
    <row r="1377" spans="1:19" ht="25.5">
      <c r="A1377" s="723">
        <v>322</v>
      </c>
      <c r="B1377" s="723">
        <v>20131295004</v>
      </c>
      <c r="C1377" s="723" t="s">
        <v>4815</v>
      </c>
      <c r="D1377" s="723">
        <v>295</v>
      </c>
      <c r="E1377" s="723" t="s">
        <v>4036</v>
      </c>
      <c r="F1377" s="723" t="s">
        <v>154</v>
      </c>
      <c r="G1377" s="723" t="s">
        <v>2546</v>
      </c>
      <c r="H1377" s="723" t="s">
        <v>2043</v>
      </c>
      <c r="I1377" s="723" t="s">
        <v>4816</v>
      </c>
      <c r="J1377" s="723" t="s">
        <v>4817</v>
      </c>
      <c r="K1377" s="723" t="s">
        <v>2044</v>
      </c>
      <c r="L1377" s="723">
        <v>13072389</v>
      </c>
      <c r="M1377" s="723" t="s">
        <v>2612</v>
      </c>
      <c r="N1377" s="746"/>
      <c r="O1377" s="746"/>
      <c r="P1377" s="746"/>
      <c r="Q1377" s="746"/>
      <c r="R1377" s="521"/>
      <c r="S1377" s="521"/>
    </row>
    <row r="1378" spans="1:19" ht="25.5">
      <c r="A1378" s="721">
        <v>323</v>
      </c>
      <c r="B1378" s="721">
        <v>20131295005</v>
      </c>
      <c r="C1378" s="721" t="s">
        <v>4818</v>
      </c>
      <c r="D1378" s="721">
        <v>295</v>
      </c>
      <c r="E1378" s="721" t="s">
        <v>4036</v>
      </c>
      <c r="F1378" s="721" t="s">
        <v>154</v>
      </c>
      <c r="G1378" s="721" t="s">
        <v>2546</v>
      </c>
      <c r="H1378" s="721" t="s">
        <v>2043</v>
      </c>
      <c r="I1378" s="721" t="s">
        <v>4819</v>
      </c>
      <c r="J1378" s="721" t="s">
        <v>4820</v>
      </c>
      <c r="K1378" s="721" t="s">
        <v>2044</v>
      </c>
      <c r="L1378" s="721">
        <v>80030579</v>
      </c>
      <c r="M1378" s="721" t="s">
        <v>2143</v>
      </c>
      <c r="N1378" s="746"/>
      <c r="O1378" s="746"/>
      <c r="P1378" s="746"/>
      <c r="Q1378" s="746"/>
      <c r="R1378" s="521"/>
      <c r="S1378" s="521"/>
    </row>
    <row r="1379" spans="1:19" ht="25.5">
      <c r="A1379" s="723">
        <v>324</v>
      </c>
      <c r="B1379" s="723">
        <v>20132295002</v>
      </c>
      <c r="C1379" s="723" t="s">
        <v>4821</v>
      </c>
      <c r="D1379" s="723">
        <v>295</v>
      </c>
      <c r="E1379" s="723" t="s">
        <v>4036</v>
      </c>
      <c r="F1379" s="723" t="s">
        <v>154</v>
      </c>
      <c r="G1379" s="723" t="s">
        <v>2546</v>
      </c>
      <c r="H1379" s="723" t="s">
        <v>2043</v>
      </c>
      <c r="I1379" s="723"/>
      <c r="J1379" s="723" t="s">
        <v>4822</v>
      </c>
      <c r="K1379" s="723" t="s">
        <v>2044</v>
      </c>
      <c r="L1379" s="723">
        <v>1016008566</v>
      </c>
      <c r="M1379" s="723" t="s">
        <v>3130</v>
      </c>
      <c r="N1379" s="746"/>
      <c r="O1379" s="746"/>
      <c r="P1379" s="746"/>
      <c r="Q1379" s="746"/>
      <c r="R1379" s="521"/>
      <c r="S1379" s="521"/>
    </row>
    <row r="1380" spans="1:19" ht="25.5">
      <c r="A1380" s="721">
        <v>325</v>
      </c>
      <c r="B1380" s="721">
        <v>20132295003</v>
      </c>
      <c r="C1380" s="721" t="s">
        <v>4823</v>
      </c>
      <c r="D1380" s="721">
        <v>295</v>
      </c>
      <c r="E1380" s="721" t="s">
        <v>4036</v>
      </c>
      <c r="F1380" s="721" t="s">
        <v>154</v>
      </c>
      <c r="G1380" s="721" t="s">
        <v>2546</v>
      </c>
      <c r="H1380" s="721" t="s">
        <v>2043</v>
      </c>
      <c r="I1380" s="721"/>
      <c r="J1380" s="721" t="s">
        <v>4824</v>
      </c>
      <c r="K1380" s="721" t="s">
        <v>2044</v>
      </c>
      <c r="L1380" s="721">
        <v>79138654</v>
      </c>
      <c r="M1380" s="721" t="s">
        <v>2192</v>
      </c>
      <c r="N1380" s="746"/>
      <c r="O1380" s="746"/>
      <c r="P1380" s="746"/>
      <c r="Q1380" s="746"/>
      <c r="R1380" s="521"/>
      <c r="S1380" s="521"/>
    </row>
    <row r="1381" spans="1:19" ht="25.5">
      <c r="A1381" s="723">
        <v>326</v>
      </c>
      <c r="B1381" s="723">
        <v>20132295004</v>
      </c>
      <c r="C1381" s="723" t="s">
        <v>4825</v>
      </c>
      <c r="D1381" s="723">
        <v>295</v>
      </c>
      <c r="E1381" s="723" t="s">
        <v>4036</v>
      </c>
      <c r="F1381" s="723" t="s">
        <v>154</v>
      </c>
      <c r="G1381" s="723" t="s">
        <v>2546</v>
      </c>
      <c r="H1381" s="723" t="s">
        <v>2043</v>
      </c>
      <c r="I1381" s="723"/>
      <c r="J1381" s="723" t="s">
        <v>4826</v>
      </c>
      <c r="K1381" s="723" t="s">
        <v>2044</v>
      </c>
      <c r="L1381" s="723">
        <v>1014190638</v>
      </c>
      <c r="M1381" s="723" t="s">
        <v>2143</v>
      </c>
      <c r="N1381" s="746"/>
      <c r="O1381" s="746"/>
      <c r="P1381" s="746"/>
      <c r="Q1381" s="746"/>
      <c r="R1381" s="521"/>
      <c r="S1381" s="521"/>
    </row>
    <row r="1382" spans="1:19" ht="25.5">
      <c r="A1382" s="721">
        <v>327</v>
      </c>
      <c r="B1382" s="721">
        <v>20132295005</v>
      </c>
      <c r="C1382" s="721" t="s">
        <v>4827</v>
      </c>
      <c r="D1382" s="721">
        <v>295</v>
      </c>
      <c r="E1382" s="721" t="s">
        <v>4036</v>
      </c>
      <c r="F1382" s="721" t="s">
        <v>154</v>
      </c>
      <c r="G1382" s="721" t="s">
        <v>2546</v>
      </c>
      <c r="H1382" s="721" t="s">
        <v>2043</v>
      </c>
      <c r="I1382" s="721"/>
      <c r="J1382" s="721" t="s">
        <v>4828</v>
      </c>
      <c r="K1382" s="721" t="s">
        <v>2044</v>
      </c>
      <c r="L1382" s="721">
        <v>2235404</v>
      </c>
      <c r="M1382" s="721" t="s">
        <v>2599</v>
      </c>
      <c r="N1382" s="746"/>
      <c r="O1382" s="746"/>
      <c r="P1382" s="746"/>
      <c r="Q1382" s="746"/>
      <c r="R1382" s="521"/>
      <c r="S1382" s="521"/>
    </row>
    <row r="1383" spans="1:19" ht="25.5">
      <c r="A1383" s="723">
        <v>328</v>
      </c>
      <c r="B1383" s="723">
        <v>20132295007</v>
      </c>
      <c r="C1383" s="723" t="s">
        <v>4829</v>
      </c>
      <c r="D1383" s="723">
        <v>295</v>
      </c>
      <c r="E1383" s="723" t="s">
        <v>4036</v>
      </c>
      <c r="F1383" s="723" t="s">
        <v>154</v>
      </c>
      <c r="G1383" s="723" t="s">
        <v>2546</v>
      </c>
      <c r="H1383" s="723" t="s">
        <v>2043</v>
      </c>
      <c r="I1383" s="723"/>
      <c r="J1383" s="723" t="s">
        <v>4830</v>
      </c>
      <c r="K1383" s="723" t="s">
        <v>2044</v>
      </c>
      <c r="L1383" s="723">
        <v>1032421209</v>
      </c>
      <c r="M1383" s="723" t="s">
        <v>3104</v>
      </c>
      <c r="N1383" s="746"/>
      <c r="O1383" s="746"/>
      <c r="P1383" s="746"/>
      <c r="Q1383" s="746"/>
      <c r="R1383" s="521"/>
      <c r="S1383" s="521"/>
    </row>
    <row r="1384" spans="1:19" ht="25.5">
      <c r="A1384" s="721">
        <v>329</v>
      </c>
      <c r="B1384" s="721">
        <v>20132295008</v>
      </c>
      <c r="C1384" s="721" t="s">
        <v>4831</v>
      </c>
      <c r="D1384" s="721">
        <v>295</v>
      </c>
      <c r="E1384" s="721" t="s">
        <v>4036</v>
      </c>
      <c r="F1384" s="721" t="s">
        <v>154</v>
      </c>
      <c r="G1384" s="721" t="s">
        <v>2546</v>
      </c>
      <c r="H1384" s="721" t="s">
        <v>2043</v>
      </c>
      <c r="I1384" s="721" t="s">
        <v>4832</v>
      </c>
      <c r="J1384" s="721" t="s">
        <v>4833</v>
      </c>
      <c r="K1384" s="721" t="s">
        <v>2044</v>
      </c>
      <c r="L1384" s="721">
        <v>80777868</v>
      </c>
      <c r="M1384" s="722" t="s">
        <v>955</v>
      </c>
      <c r="N1384" s="746"/>
      <c r="O1384" s="746"/>
      <c r="P1384" s="746"/>
      <c r="Q1384" s="746"/>
      <c r="R1384" s="521"/>
      <c r="S1384" s="521"/>
    </row>
    <row r="1385" spans="1:19" ht="25.5">
      <c r="A1385" s="723">
        <v>330</v>
      </c>
      <c r="B1385" s="723">
        <v>20132295010</v>
      </c>
      <c r="C1385" s="723" t="s">
        <v>4834</v>
      </c>
      <c r="D1385" s="723">
        <v>295</v>
      </c>
      <c r="E1385" s="723" t="s">
        <v>4036</v>
      </c>
      <c r="F1385" s="723" t="s">
        <v>154</v>
      </c>
      <c r="G1385" s="723" t="s">
        <v>2546</v>
      </c>
      <c r="H1385" s="723" t="s">
        <v>2043</v>
      </c>
      <c r="I1385" s="723"/>
      <c r="J1385" s="723" t="s">
        <v>4835</v>
      </c>
      <c r="K1385" s="723" t="s">
        <v>2044</v>
      </c>
      <c r="L1385" s="723">
        <v>79912427</v>
      </c>
      <c r="M1385" s="723" t="s">
        <v>2192</v>
      </c>
      <c r="N1385" s="746"/>
      <c r="O1385" s="746"/>
      <c r="P1385" s="746"/>
      <c r="Q1385" s="746"/>
      <c r="R1385" s="521"/>
      <c r="S1385" s="521"/>
    </row>
    <row r="1386" spans="1:19" ht="25.5">
      <c r="A1386" s="721">
        <v>331</v>
      </c>
      <c r="B1386" s="721">
        <v>20132295011</v>
      </c>
      <c r="C1386" s="721" t="s">
        <v>4836</v>
      </c>
      <c r="D1386" s="721">
        <v>295</v>
      </c>
      <c r="E1386" s="721" t="s">
        <v>4036</v>
      </c>
      <c r="F1386" s="721" t="s">
        <v>154</v>
      </c>
      <c r="G1386" s="721" t="s">
        <v>2546</v>
      </c>
      <c r="H1386" s="721" t="s">
        <v>2043</v>
      </c>
      <c r="I1386" s="721"/>
      <c r="J1386" s="721" t="s">
        <v>4837</v>
      </c>
      <c r="K1386" s="721" t="s">
        <v>2044</v>
      </c>
      <c r="L1386" s="721">
        <v>35196512</v>
      </c>
      <c r="M1386" s="721" t="s">
        <v>2192</v>
      </c>
      <c r="N1386" s="746"/>
      <c r="O1386" s="746"/>
      <c r="P1386" s="746"/>
      <c r="Q1386" s="746"/>
      <c r="R1386" s="521"/>
      <c r="S1386" s="521"/>
    </row>
    <row r="1387" spans="1:19" ht="25.5">
      <c r="A1387" s="723">
        <v>332</v>
      </c>
      <c r="B1387" s="723">
        <v>20141295003</v>
      </c>
      <c r="C1387" s="723" t="s">
        <v>4838</v>
      </c>
      <c r="D1387" s="723">
        <v>295</v>
      </c>
      <c r="E1387" s="723" t="s">
        <v>4036</v>
      </c>
      <c r="F1387" s="723" t="s">
        <v>154</v>
      </c>
      <c r="G1387" s="723" t="s">
        <v>2546</v>
      </c>
      <c r="H1387" s="723">
        <v>3</v>
      </c>
      <c r="I1387" s="723" t="s">
        <v>4839</v>
      </c>
      <c r="J1387" s="723" t="s">
        <v>4840</v>
      </c>
      <c r="K1387" s="723" t="s">
        <v>4841</v>
      </c>
      <c r="L1387" s="723">
        <v>10323622759</v>
      </c>
      <c r="M1387" s="723" t="s">
        <v>3155</v>
      </c>
      <c r="N1387" s="746"/>
      <c r="O1387" s="746"/>
      <c r="P1387" s="746"/>
      <c r="Q1387" s="746"/>
      <c r="R1387" s="521"/>
      <c r="S1387" s="521"/>
    </row>
    <row r="1388" spans="1:19" ht="25.5">
      <c r="A1388" s="721">
        <v>333</v>
      </c>
      <c r="B1388" s="721">
        <v>20141295006</v>
      </c>
      <c r="C1388" s="721" t="s">
        <v>4842</v>
      </c>
      <c r="D1388" s="721">
        <v>295</v>
      </c>
      <c r="E1388" s="721" t="s">
        <v>4036</v>
      </c>
      <c r="F1388" s="721" t="s">
        <v>154</v>
      </c>
      <c r="G1388" s="721" t="s">
        <v>2546</v>
      </c>
      <c r="H1388" s="721">
        <v>3</v>
      </c>
      <c r="I1388" s="721"/>
      <c r="J1388" s="721" t="s">
        <v>4843</v>
      </c>
      <c r="K1388" s="721" t="s">
        <v>2044</v>
      </c>
      <c r="L1388" s="721">
        <v>80248781</v>
      </c>
      <c r="M1388" s="721" t="s">
        <v>2143</v>
      </c>
      <c r="N1388" s="746"/>
      <c r="O1388" s="746"/>
      <c r="P1388" s="746"/>
      <c r="Q1388" s="746"/>
      <c r="R1388" s="521"/>
      <c r="S1388" s="521"/>
    </row>
    <row r="1389" spans="1:19" ht="25.5">
      <c r="A1389" s="723">
        <v>334</v>
      </c>
      <c r="B1389" s="723">
        <v>20151295001</v>
      </c>
      <c r="C1389" s="723" t="s">
        <v>4844</v>
      </c>
      <c r="D1389" s="723">
        <v>295</v>
      </c>
      <c r="E1389" s="723" t="s">
        <v>4036</v>
      </c>
      <c r="F1389" s="723" t="s">
        <v>154</v>
      </c>
      <c r="G1389" s="723" t="s">
        <v>2546</v>
      </c>
      <c r="H1389" s="723" t="s">
        <v>2043</v>
      </c>
      <c r="I1389" s="723"/>
      <c r="J1389" s="723" t="s">
        <v>4845</v>
      </c>
      <c r="K1389" s="723" t="s">
        <v>2044</v>
      </c>
      <c r="L1389" s="723">
        <v>1014184448</v>
      </c>
      <c r="M1389" s="723" t="s">
        <v>2167</v>
      </c>
      <c r="N1389" s="746"/>
      <c r="O1389" s="746"/>
      <c r="P1389" s="746"/>
      <c r="Q1389" s="746"/>
      <c r="R1389" s="521"/>
      <c r="S1389" s="521"/>
    </row>
    <row r="1390" spans="1:19" ht="25.5">
      <c r="A1390" s="721">
        <v>335</v>
      </c>
      <c r="B1390" s="721">
        <v>20151295005</v>
      </c>
      <c r="C1390" s="721" t="s">
        <v>4846</v>
      </c>
      <c r="D1390" s="721">
        <v>295</v>
      </c>
      <c r="E1390" s="721" t="s">
        <v>4036</v>
      </c>
      <c r="F1390" s="721" t="s">
        <v>154</v>
      </c>
      <c r="G1390" s="721" t="s">
        <v>2546</v>
      </c>
      <c r="H1390" s="721" t="s">
        <v>2043</v>
      </c>
      <c r="I1390" s="721"/>
      <c r="J1390" s="721" t="s">
        <v>4847</v>
      </c>
      <c r="K1390" s="721" t="s">
        <v>2044</v>
      </c>
      <c r="L1390" s="721">
        <v>1012326669</v>
      </c>
      <c r="M1390" s="721" t="s">
        <v>3130</v>
      </c>
      <c r="N1390" s="746"/>
      <c r="O1390" s="746"/>
      <c r="P1390" s="746"/>
      <c r="Q1390" s="746"/>
      <c r="R1390" s="521"/>
      <c r="S1390" s="521"/>
    </row>
    <row r="1391" spans="1:19" ht="25.5">
      <c r="A1391" s="723">
        <v>336</v>
      </c>
      <c r="B1391" s="723">
        <v>20151295008</v>
      </c>
      <c r="C1391" s="723" t="s">
        <v>4848</v>
      </c>
      <c r="D1391" s="723">
        <v>295</v>
      </c>
      <c r="E1391" s="723" t="s">
        <v>4036</v>
      </c>
      <c r="F1391" s="723" t="s">
        <v>154</v>
      </c>
      <c r="G1391" s="723" t="s">
        <v>2546</v>
      </c>
      <c r="H1391" s="723" t="s">
        <v>2043</v>
      </c>
      <c r="I1391" s="723"/>
      <c r="J1391" s="723" t="s">
        <v>4849</v>
      </c>
      <c r="K1391" s="723" t="s">
        <v>2044</v>
      </c>
      <c r="L1391" s="723">
        <v>7186324</v>
      </c>
      <c r="M1391" s="723" t="s">
        <v>2218</v>
      </c>
      <c r="N1391" s="746"/>
      <c r="O1391" s="746"/>
      <c r="P1391" s="746"/>
      <c r="Q1391" s="746"/>
      <c r="R1391" s="521"/>
      <c r="S1391" s="521"/>
    </row>
    <row r="1392" spans="1:19" ht="25.5">
      <c r="A1392" s="721">
        <v>337</v>
      </c>
      <c r="B1392" s="721">
        <v>20151295010</v>
      </c>
      <c r="C1392" s="721" t="s">
        <v>4850</v>
      </c>
      <c r="D1392" s="721">
        <v>295</v>
      </c>
      <c r="E1392" s="721" t="s">
        <v>4036</v>
      </c>
      <c r="F1392" s="721" t="s">
        <v>154</v>
      </c>
      <c r="G1392" s="721" t="s">
        <v>2546</v>
      </c>
      <c r="H1392" s="721" t="s">
        <v>2043</v>
      </c>
      <c r="I1392" s="721"/>
      <c r="J1392" s="721" t="s">
        <v>4851</v>
      </c>
      <c r="K1392" s="721" t="s">
        <v>2044</v>
      </c>
      <c r="L1392" s="721">
        <v>80811240</v>
      </c>
      <c r="M1392" s="721" t="s">
        <v>2167</v>
      </c>
      <c r="N1392" s="746"/>
      <c r="O1392" s="746"/>
      <c r="P1392" s="746"/>
      <c r="Q1392" s="746"/>
      <c r="R1392" s="521"/>
      <c r="S1392" s="521"/>
    </row>
    <row r="1393" spans="1:19">
      <c r="A1393" s="725" t="s">
        <v>2292</v>
      </c>
      <c r="B1393" s="725" t="s">
        <v>2292</v>
      </c>
      <c r="C1393" s="725" t="s">
        <v>2292</v>
      </c>
      <c r="D1393" s="725" t="s">
        <v>2292</v>
      </c>
      <c r="E1393" s="725" t="s">
        <v>2292</v>
      </c>
      <c r="F1393" s="725" t="s">
        <v>2292</v>
      </c>
      <c r="G1393" s="725" t="s">
        <v>2292</v>
      </c>
      <c r="H1393" s="725" t="s">
        <v>2292</v>
      </c>
      <c r="I1393" s="725" t="s">
        <v>2292</v>
      </c>
      <c r="J1393" s="725" t="s">
        <v>2292</v>
      </c>
      <c r="K1393" s="725" t="s">
        <v>2292</v>
      </c>
      <c r="L1393" s="725" t="s">
        <v>2292</v>
      </c>
      <c r="M1393" s="725" t="s">
        <v>2292</v>
      </c>
      <c r="N1393" s="746"/>
      <c r="O1393" s="746"/>
      <c r="P1393" s="746"/>
      <c r="Q1393" s="746"/>
      <c r="R1393" s="521"/>
      <c r="S1393" s="521"/>
    </row>
    <row r="1394" spans="1:19" ht="25.5">
      <c r="A1394" s="719" t="s">
        <v>2033</v>
      </c>
      <c r="B1394" s="719" t="s">
        <v>2819</v>
      </c>
      <c r="C1394"/>
      <c r="D1394"/>
      <c r="E1394"/>
      <c r="F1394"/>
      <c r="G1394"/>
      <c r="H1394"/>
      <c r="I1394"/>
      <c r="J1394"/>
      <c r="K1394"/>
      <c r="L1394"/>
      <c r="M1394"/>
      <c r="N1394" s="746"/>
      <c r="O1394" s="746"/>
      <c r="P1394" s="746"/>
      <c r="Q1394" s="746"/>
      <c r="R1394" s="521"/>
      <c r="S1394" s="521"/>
    </row>
    <row r="1395" spans="1:19" ht="25.5">
      <c r="A1395" s="720" t="s">
        <v>2035</v>
      </c>
      <c r="B1395" s="720" t="s">
        <v>2036</v>
      </c>
      <c r="C1395" s="720" t="s">
        <v>1</v>
      </c>
      <c r="D1395" s="720" t="s">
        <v>2037</v>
      </c>
      <c r="E1395" s="720" t="s">
        <v>3</v>
      </c>
      <c r="F1395" s="720" t="s">
        <v>4</v>
      </c>
      <c r="G1395" s="720" t="s">
        <v>2038</v>
      </c>
      <c r="H1395" s="720" t="s">
        <v>6</v>
      </c>
      <c r="I1395" s="720" t="s">
        <v>7</v>
      </c>
      <c r="J1395" s="720" t="s">
        <v>8</v>
      </c>
      <c r="K1395" s="720" t="s">
        <v>2039</v>
      </c>
      <c r="L1395" s="720" t="s">
        <v>10</v>
      </c>
      <c r="M1395" s="720" t="s">
        <v>2040</v>
      </c>
      <c r="N1395" s="746"/>
      <c r="O1395" s="746"/>
      <c r="P1395" s="746"/>
      <c r="Q1395" s="746"/>
      <c r="R1395" s="521"/>
      <c r="S1395" s="521"/>
    </row>
    <row r="1396" spans="1:19" ht="25.5">
      <c r="A1396" s="721">
        <v>338</v>
      </c>
      <c r="B1396" s="721">
        <v>20041295027</v>
      </c>
      <c r="C1396" s="721" t="s">
        <v>4852</v>
      </c>
      <c r="D1396" s="721">
        <v>295</v>
      </c>
      <c r="E1396" s="721" t="s">
        <v>4036</v>
      </c>
      <c r="F1396" s="721" t="s">
        <v>158</v>
      </c>
      <c r="G1396" s="721" t="s">
        <v>2820</v>
      </c>
      <c r="H1396" s="721" t="s">
        <v>2043</v>
      </c>
      <c r="I1396" s="721" t="s">
        <v>4853</v>
      </c>
      <c r="J1396" s="721" t="s">
        <v>4854</v>
      </c>
      <c r="K1396" s="721" t="s">
        <v>2044</v>
      </c>
      <c r="L1396" s="721">
        <v>19461640</v>
      </c>
      <c r="M1396" s="721" t="s">
        <v>2119</v>
      </c>
      <c r="N1396" s="746"/>
      <c r="O1396" s="746"/>
      <c r="P1396" s="746"/>
      <c r="Q1396" s="746"/>
      <c r="R1396" s="521"/>
      <c r="S1396" s="521"/>
    </row>
    <row r="1397" spans="1:19">
      <c r="A1397" s="729"/>
      <c r="B1397" s="729"/>
      <c r="C1397" s="729"/>
      <c r="D1397" s="729"/>
      <c r="E1397" s="729"/>
      <c r="F1397" s="729"/>
      <c r="G1397" s="729"/>
      <c r="H1397" s="729"/>
      <c r="I1397" s="729"/>
      <c r="J1397" s="729"/>
      <c r="K1397" s="729"/>
      <c r="L1397" s="729"/>
      <c r="M1397" s="729"/>
      <c r="N1397" s="746"/>
      <c r="O1397" s="746"/>
      <c r="P1397" s="746"/>
      <c r="Q1397" s="746"/>
      <c r="R1397" s="521"/>
      <c r="S1397" s="521"/>
    </row>
    <row r="1398" spans="1:19">
      <c r="A1398" s="719" t="s">
        <v>2033</v>
      </c>
      <c r="B1398" s="719" t="s">
        <v>2831</v>
      </c>
      <c r="C1398"/>
      <c r="D1398"/>
      <c r="E1398"/>
      <c r="F1398"/>
      <c r="G1398"/>
      <c r="H1398"/>
      <c r="I1398"/>
      <c r="J1398"/>
      <c r="K1398"/>
      <c r="L1398"/>
      <c r="M1398"/>
      <c r="N1398" s="746"/>
      <c r="O1398" s="746"/>
      <c r="P1398" s="746"/>
      <c r="Q1398" s="746"/>
      <c r="R1398" s="521"/>
      <c r="S1398" s="521"/>
    </row>
    <row r="1399" spans="1:19" ht="51">
      <c r="A1399" s="719" t="s">
        <v>3</v>
      </c>
      <c r="B1399" s="719" t="s">
        <v>4855</v>
      </c>
      <c r="C1399"/>
      <c r="D1399"/>
      <c r="E1399"/>
      <c r="F1399"/>
      <c r="G1399"/>
      <c r="H1399"/>
      <c r="I1399"/>
      <c r="J1399"/>
      <c r="K1399"/>
      <c r="L1399"/>
      <c r="M1399"/>
      <c r="N1399" s="746"/>
      <c r="O1399" s="746"/>
      <c r="P1399" s="746"/>
      <c r="Q1399" s="746"/>
      <c r="R1399" s="521"/>
      <c r="S1399" s="521"/>
    </row>
    <row r="1400" spans="1:19" ht="25.5">
      <c r="A1400" s="720" t="s">
        <v>2035</v>
      </c>
      <c r="B1400" s="720" t="s">
        <v>2036</v>
      </c>
      <c r="C1400" s="720" t="s">
        <v>1</v>
      </c>
      <c r="D1400" s="720" t="s">
        <v>2037</v>
      </c>
      <c r="E1400" s="720" t="s">
        <v>3</v>
      </c>
      <c r="F1400" s="720" t="s">
        <v>4</v>
      </c>
      <c r="G1400" s="720" t="s">
        <v>2038</v>
      </c>
      <c r="H1400" s="720" t="s">
        <v>6</v>
      </c>
      <c r="I1400" s="720" t="s">
        <v>7</v>
      </c>
      <c r="J1400" s="720" t="s">
        <v>8</v>
      </c>
      <c r="K1400" s="720" t="s">
        <v>2039</v>
      </c>
      <c r="L1400" s="720" t="s">
        <v>10</v>
      </c>
      <c r="M1400" s="720" t="s">
        <v>2040</v>
      </c>
      <c r="N1400" s="521"/>
      <c r="O1400" s="521"/>
      <c r="P1400" s="521"/>
      <c r="Q1400" s="521"/>
      <c r="R1400" s="521"/>
      <c r="S1400" s="521"/>
    </row>
    <row r="1401" spans="1:19">
      <c r="A1401" s="721">
        <v>1</v>
      </c>
      <c r="B1401" s="721">
        <v>20202395005</v>
      </c>
      <c r="C1401" s="721" t="s">
        <v>4856</v>
      </c>
      <c r="D1401" s="721">
        <v>395</v>
      </c>
      <c r="E1401" s="721" t="s">
        <v>4855</v>
      </c>
      <c r="F1401" s="721" t="s">
        <v>37</v>
      </c>
      <c r="G1401" s="721" t="s">
        <v>2834</v>
      </c>
      <c r="H1401" s="721">
        <v>2</v>
      </c>
      <c r="I1401" s="721" t="s">
        <v>4857</v>
      </c>
      <c r="J1401" s="721" t="s">
        <v>4858</v>
      </c>
      <c r="K1401" s="721" t="s">
        <v>2044</v>
      </c>
      <c r="L1401" s="721">
        <v>1018458470</v>
      </c>
      <c r="M1401" s="721" t="s">
        <v>2837</v>
      </c>
      <c r="N1401" s="746"/>
      <c r="O1401" s="746"/>
      <c r="P1401" s="746"/>
      <c r="Q1401" s="746"/>
      <c r="R1401" s="521"/>
      <c r="S1401" s="521"/>
    </row>
    <row r="1402" spans="1:19">
      <c r="A1402" s="723">
        <v>2</v>
      </c>
      <c r="B1402" s="723">
        <v>20221395009</v>
      </c>
      <c r="C1402" s="723" t="s">
        <v>4859</v>
      </c>
      <c r="D1402" s="723">
        <v>395</v>
      </c>
      <c r="E1402" s="723" t="s">
        <v>4855</v>
      </c>
      <c r="F1402" s="723" t="s">
        <v>37</v>
      </c>
      <c r="G1402" s="723" t="s">
        <v>2834</v>
      </c>
      <c r="H1402" s="723">
        <v>2</v>
      </c>
      <c r="I1402" s="723" t="s">
        <v>4860</v>
      </c>
      <c r="J1402" s="723" t="s">
        <v>4860</v>
      </c>
      <c r="K1402" s="723" t="s">
        <v>2044</v>
      </c>
      <c r="L1402" s="723">
        <v>1032501251</v>
      </c>
      <c r="M1402" s="723" t="s">
        <v>2837</v>
      </c>
      <c r="N1402" s="521"/>
      <c r="O1402" s="521"/>
      <c r="P1402" s="521"/>
      <c r="Q1402" s="521"/>
      <c r="R1402" s="521"/>
      <c r="S1402" s="521"/>
    </row>
    <row r="1403" spans="1:19">
      <c r="A1403" s="725" t="s">
        <v>2292</v>
      </c>
      <c r="B1403" s="725" t="s">
        <v>2292</v>
      </c>
      <c r="C1403" s="725" t="s">
        <v>2292</v>
      </c>
      <c r="D1403" s="725" t="s">
        <v>2292</v>
      </c>
      <c r="E1403" s="725" t="s">
        <v>2292</v>
      </c>
      <c r="F1403" s="725" t="s">
        <v>2292</v>
      </c>
      <c r="G1403" s="725" t="s">
        <v>2292</v>
      </c>
      <c r="H1403" s="725" t="s">
        <v>2292</v>
      </c>
      <c r="I1403" s="725" t="s">
        <v>2292</v>
      </c>
      <c r="J1403" s="725" t="s">
        <v>2292</v>
      </c>
      <c r="K1403" s="725" t="s">
        <v>2292</v>
      </c>
      <c r="L1403" s="725" t="s">
        <v>2292</v>
      </c>
      <c r="M1403" s="725" t="s">
        <v>2292</v>
      </c>
      <c r="N1403" s="521"/>
      <c r="O1403" s="521"/>
      <c r="P1403" s="521"/>
      <c r="Q1403" s="521"/>
      <c r="R1403" s="521"/>
      <c r="S1403" s="521"/>
    </row>
    <row r="1404" spans="1:19">
      <c r="A1404" s="719" t="s">
        <v>2033</v>
      </c>
      <c r="B1404" s="719" t="s">
        <v>2034</v>
      </c>
      <c r="C1404"/>
      <c r="D1404"/>
      <c r="E1404"/>
      <c r="F1404"/>
      <c r="G1404"/>
      <c r="H1404"/>
      <c r="I1404"/>
      <c r="J1404"/>
      <c r="K1404"/>
      <c r="L1404"/>
      <c r="M1404"/>
      <c r="N1404" s="521"/>
      <c r="O1404" s="521"/>
      <c r="P1404" s="521"/>
      <c r="Q1404" s="521"/>
      <c r="R1404" s="521"/>
      <c r="S1404" s="521"/>
    </row>
    <row r="1405" spans="1:19" ht="14.25" customHeight="1">
      <c r="A1405" s="720" t="s">
        <v>2035</v>
      </c>
      <c r="B1405" s="720" t="s">
        <v>2036</v>
      </c>
      <c r="C1405" s="720" t="s">
        <v>1</v>
      </c>
      <c r="D1405" s="720" t="s">
        <v>2037</v>
      </c>
      <c r="E1405" s="720" t="s">
        <v>3</v>
      </c>
      <c r="F1405" s="720" t="s">
        <v>4</v>
      </c>
      <c r="G1405" s="720" t="s">
        <v>2038</v>
      </c>
      <c r="H1405" s="720" t="s">
        <v>6</v>
      </c>
      <c r="I1405" s="720" t="s">
        <v>7</v>
      </c>
      <c r="J1405" s="720" t="s">
        <v>8</v>
      </c>
      <c r="K1405" s="720" t="s">
        <v>2039</v>
      </c>
      <c r="L1405" s="720" t="s">
        <v>10</v>
      </c>
      <c r="M1405" s="720" t="s">
        <v>2040</v>
      </c>
      <c r="N1405" s="746"/>
      <c r="O1405" s="746"/>
      <c r="P1405" s="746"/>
      <c r="Q1405" s="746"/>
      <c r="R1405" s="521"/>
      <c r="S1405" s="521"/>
    </row>
    <row r="1406" spans="1:19" ht="14.25" customHeight="1">
      <c r="A1406" s="721">
        <v>3</v>
      </c>
      <c r="B1406" s="721">
        <v>20081295008</v>
      </c>
      <c r="C1406" s="721" t="s">
        <v>4861</v>
      </c>
      <c r="D1406" s="721">
        <v>395</v>
      </c>
      <c r="E1406" s="721" t="s">
        <v>4855</v>
      </c>
      <c r="F1406" s="721" t="s">
        <v>84</v>
      </c>
      <c r="G1406" s="721" t="s">
        <v>2042</v>
      </c>
      <c r="H1406" s="721">
        <v>4</v>
      </c>
      <c r="I1406" s="721" t="s">
        <v>4862</v>
      </c>
      <c r="J1406" s="721" t="s">
        <v>4863</v>
      </c>
      <c r="K1406" s="721" t="s">
        <v>2044</v>
      </c>
      <c r="L1406" s="721">
        <v>79788977</v>
      </c>
      <c r="M1406" s="721" t="s">
        <v>3145</v>
      </c>
      <c r="N1406" s="746"/>
      <c r="O1406" s="746"/>
      <c r="P1406" s="746"/>
      <c r="Q1406" s="746"/>
      <c r="R1406" s="521"/>
      <c r="S1406" s="521"/>
    </row>
    <row r="1407" spans="1:19">
      <c r="A1407" s="723">
        <v>4</v>
      </c>
      <c r="B1407" s="723">
        <v>20101295013</v>
      </c>
      <c r="C1407" s="723" t="s">
        <v>4864</v>
      </c>
      <c r="D1407" s="723">
        <v>395</v>
      </c>
      <c r="E1407" s="723" t="s">
        <v>4855</v>
      </c>
      <c r="F1407" s="723" t="s">
        <v>84</v>
      </c>
      <c r="G1407" s="723" t="s">
        <v>2042</v>
      </c>
      <c r="H1407" s="723" t="s">
        <v>2043</v>
      </c>
      <c r="I1407" s="723" t="s">
        <v>4865</v>
      </c>
      <c r="J1407" s="723" t="s">
        <v>4866</v>
      </c>
      <c r="K1407" s="723" t="s">
        <v>2044</v>
      </c>
      <c r="L1407" s="723">
        <v>53120508</v>
      </c>
      <c r="M1407" s="723" t="s">
        <v>2143</v>
      </c>
      <c r="N1407" s="746"/>
      <c r="O1407" s="746"/>
      <c r="P1407" s="746"/>
      <c r="Q1407" s="746"/>
      <c r="R1407" s="521"/>
      <c r="S1407" s="521"/>
    </row>
    <row r="1408" spans="1:19">
      <c r="A1408" s="721">
        <v>5</v>
      </c>
      <c r="B1408" s="721">
        <v>20121395003</v>
      </c>
      <c r="C1408" s="721" t="s">
        <v>4867</v>
      </c>
      <c r="D1408" s="721">
        <v>395</v>
      </c>
      <c r="E1408" s="721" t="s">
        <v>4855</v>
      </c>
      <c r="F1408" s="721" t="s">
        <v>84</v>
      </c>
      <c r="G1408" s="721" t="s">
        <v>2042</v>
      </c>
      <c r="H1408" s="721" t="s">
        <v>2043</v>
      </c>
      <c r="I1408" s="721"/>
      <c r="J1408" s="721" t="s">
        <v>4868</v>
      </c>
      <c r="K1408" s="721" t="s">
        <v>2044</v>
      </c>
      <c r="L1408" s="721">
        <v>80202521</v>
      </c>
      <c r="M1408" s="721" t="s">
        <v>3139</v>
      </c>
      <c r="N1408" s="746"/>
      <c r="O1408" s="746"/>
      <c r="P1408" s="746"/>
      <c r="Q1408" s="746"/>
      <c r="R1408" s="521"/>
      <c r="S1408" s="521"/>
    </row>
    <row r="1409" spans="1:19" ht="14.25" customHeight="1">
      <c r="A1409" s="723">
        <v>6</v>
      </c>
      <c r="B1409" s="723">
        <v>20121395004</v>
      </c>
      <c r="C1409" s="723" t="s">
        <v>4869</v>
      </c>
      <c r="D1409" s="723">
        <v>395</v>
      </c>
      <c r="E1409" s="723" t="s">
        <v>4855</v>
      </c>
      <c r="F1409" s="723" t="s">
        <v>84</v>
      </c>
      <c r="G1409" s="723" t="s">
        <v>2042</v>
      </c>
      <c r="H1409" s="723">
        <v>2</v>
      </c>
      <c r="I1409" s="723"/>
      <c r="J1409" s="723" t="s">
        <v>4870</v>
      </c>
      <c r="K1409" s="723" t="s">
        <v>2044</v>
      </c>
      <c r="L1409" s="723">
        <v>52884117</v>
      </c>
      <c r="M1409" s="723" t="s">
        <v>3180</v>
      </c>
      <c r="N1409" s="746"/>
      <c r="O1409" s="746"/>
      <c r="P1409" s="746"/>
      <c r="Q1409" s="746"/>
      <c r="R1409" s="521"/>
      <c r="S1409" s="521"/>
    </row>
    <row r="1410" spans="1:19">
      <c r="A1410" s="721">
        <v>7</v>
      </c>
      <c r="B1410" s="721">
        <v>20121395011</v>
      </c>
      <c r="C1410" s="721" t="s">
        <v>4871</v>
      </c>
      <c r="D1410" s="721">
        <v>395</v>
      </c>
      <c r="E1410" s="721" t="s">
        <v>4855</v>
      </c>
      <c r="F1410" s="721" t="s">
        <v>84</v>
      </c>
      <c r="G1410" s="721" t="s">
        <v>2042</v>
      </c>
      <c r="H1410" s="721">
        <v>2</v>
      </c>
      <c r="I1410" s="721"/>
      <c r="J1410" s="721" t="s">
        <v>1067</v>
      </c>
      <c r="K1410" s="721" t="s">
        <v>2044</v>
      </c>
      <c r="L1410" s="721">
        <v>14235383</v>
      </c>
      <c r="M1410" s="721" t="s">
        <v>2143</v>
      </c>
      <c r="N1410" s="746"/>
      <c r="O1410" s="746"/>
      <c r="P1410" s="746"/>
      <c r="Q1410" s="746"/>
      <c r="R1410" s="521"/>
      <c r="S1410" s="521"/>
    </row>
    <row r="1411" spans="1:19">
      <c r="A1411" s="723">
        <v>8</v>
      </c>
      <c r="B1411" s="723">
        <v>20121395012</v>
      </c>
      <c r="C1411" s="723" t="s">
        <v>4872</v>
      </c>
      <c r="D1411" s="723">
        <v>395</v>
      </c>
      <c r="E1411" s="723" t="s">
        <v>4855</v>
      </c>
      <c r="F1411" s="723" t="s">
        <v>84</v>
      </c>
      <c r="G1411" s="723" t="s">
        <v>2042</v>
      </c>
      <c r="H1411" s="723" t="s">
        <v>2043</v>
      </c>
      <c r="I1411" s="723"/>
      <c r="J1411" s="723" t="s">
        <v>4873</v>
      </c>
      <c r="K1411" s="723" t="s">
        <v>2044</v>
      </c>
      <c r="L1411" s="723">
        <v>53091016</v>
      </c>
      <c r="M1411" s="723" t="s">
        <v>2143</v>
      </c>
      <c r="N1411" s="746"/>
      <c r="O1411" s="746"/>
      <c r="P1411" s="746"/>
      <c r="Q1411" s="746"/>
      <c r="R1411" s="521"/>
      <c r="S1411" s="521"/>
    </row>
    <row r="1412" spans="1:19" ht="14.25" customHeight="1">
      <c r="A1412" s="721">
        <v>9</v>
      </c>
      <c r="B1412" s="721">
        <v>20121395013</v>
      </c>
      <c r="C1412" s="721" t="s">
        <v>4874</v>
      </c>
      <c r="D1412" s="721">
        <v>395</v>
      </c>
      <c r="E1412" s="721" t="s">
        <v>4855</v>
      </c>
      <c r="F1412" s="721" t="s">
        <v>84</v>
      </c>
      <c r="G1412" s="721" t="s">
        <v>2042</v>
      </c>
      <c r="H1412" s="721" t="s">
        <v>2043</v>
      </c>
      <c r="I1412" s="721"/>
      <c r="J1412" s="721" t="s">
        <v>1189</v>
      </c>
      <c r="K1412" s="721" t="s">
        <v>2044</v>
      </c>
      <c r="L1412" s="721">
        <v>80052918</v>
      </c>
      <c r="M1412" s="721" t="s">
        <v>2218</v>
      </c>
      <c r="N1412" s="746"/>
      <c r="O1412" s="746"/>
      <c r="P1412" s="746"/>
      <c r="Q1412" s="746"/>
      <c r="R1412" s="521"/>
      <c r="S1412" s="521"/>
    </row>
    <row r="1413" spans="1:19" ht="14.25" customHeight="1">
      <c r="A1413" s="723">
        <v>10</v>
      </c>
      <c r="B1413" s="723">
        <v>20121395014</v>
      </c>
      <c r="C1413" s="723" t="s">
        <v>4875</v>
      </c>
      <c r="D1413" s="723">
        <v>395</v>
      </c>
      <c r="E1413" s="723" t="s">
        <v>4855</v>
      </c>
      <c r="F1413" s="723" t="s">
        <v>84</v>
      </c>
      <c r="G1413" s="723" t="s">
        <v>2042</v>
      </c>
      <c r="H1413" s="723" t="s">
        <v>2043</v>
      </c>
      <c r="I1413" s="723" t="s">
        <v>4876</v>
      </c>
      <c r="J1413" s="723" t="s">
        <v>4877</v>
      </c>
      <c r="K1413" s="723" t="s">
        <v>2044</v>
      </c>
      <c r="L1413" s="723">
        <v>53107576</v>
      </c>
      <c r="M1413" s="723" t="s">
        <v>3139</v>
      </c>
      <c r="N1413" s="746"/>
      <c r="O1413" s="746"/>
      <c r="P1413" s="746"/>
      <c r="Q1413" s="746"/>
      <c r="R1413" s="521"/>
      <c r="S1413" s="521"/>
    </row>
    <row r="1414" spans="1:19">
      <c r="A1414" s="721">
        <v>11</v>
      </c>
      <c r="B1414" s="721">
        <v>20121395017</v>
      </c>
      <c r="C1414" s="721" t="s">
        <v>4878</v>
      </c>
      <c r="D1414" s="721">
        <v>395</v>
      </c>
      <c r="E1414" s="721" t="s">
        <v>4855</v>
      </c>
      <c r="F1414" s="721" t="s">
        <v>84</v>
      </c>
      <c r="G1414" s="721" t="s">
        <v>2042</v>
      </c>
      <c r="H1414" s="721" t="s">
        <v>2043</v>
      </c>
      <c r="I1414" s="721"/>
      <c r="J1414" s="721" t="s">
        <v>4879</v>
      </c>
      <c r="K1414" s="721" t="s">
        <v>2044</v>
      </c>
      <c r="L1414" s="721">
        <v>80803723</v>
      </c>
      <c r="M1414" s="721" t="s">
        <v>3130</v>
      </c>
      <c r="N1414" s="746"/>
      <c r="O1414" s="746"/>
      <c r="P1414" s="746"/>
      <c r="Q1414" s="746"/>
      <c r="R1414" s="521"/>
      <c r="S1414" s="521"/>
    </row>
    <row r="1415" spans="1:19">
      <c r="A1415" s="723">
        <v>12</v>
      </c>
      <c r="B1415" s="723">
        <v>20122395004</v>
      </c>
      <c r="C1415" s="723" t="s">
        <v>4880</v>
      </c>
      <c r="D1415" s="723">
        <v>395</v>
      </c>
      <c r="E1415" s="723" t="s">
        <v>4855</v>
      </c>
      <c r="F1415" s="723" t="s">
        <v>84</v>
      </c>
      <c r="G1415" s="723" t="s">
        <v>2042</v>
      </c>
      <c r="H1415" s="723">
        <v>3</v>
      </c>
      <c r="I1415" s="723"/>
      <c r="J1415" s="723" t="s">
        <v>4881</v>
      </c>
      <c r="K1415" s="723" t="s">
        <v>2044</v>
      </c>
      <c r="L1415" s="723">
        <v>80725497</v>
      </c>
      <c r="M1415" s="723" t="s">
        <v>3104</v>
      </c>
      <c r="N1415" s="746"/>
      <c r="O1415" s="746"/>
      <c r="P1415" s="746"/>
      <c r="Q1415" s="746"/>
      <c r="R1415" s="521"/>
      <c r="S1415" s="521"/>
    </row>
    <row r="1416" spans="1:19">
      <c r="A1416" s="721">
        <v>13</v>
      </c>
      <c r="B1416" s="721">
        <v>20122395005</v>
      </c>
      <c r="C1416" s="721" t="s">
        <v>4882</v>
      </c>
      <c r="D1416" s="721">
        <v>395</v>
      </c>
      <c r="E1416" s="721" t="s">
        <v>4855</v>
      </c>
      <c r="F1416" s="721" t="s">
        <v>84</v>
      </c>
      <c r="G1416" s="721" t="s">
        <v>2042</v>
      </c>
      <c r="H1416" s="721">
        <v>3</v>
      </c>
      <c r="I1416" s="721"/>
      <c r="J1416" s="721" t="s">
        <v>4883</v>
      </c>
      <c r="K1416" s="721" t="s">
        <v>2044</v>
      </c>
      <c r="L1416" s="721">
        <v>52379603</v>
      </c>
      <c r="M1416" s="721" t="s">
        <v>3149</v>
      </c>
      <c r="N1416" s="746"/>
      <c r="O1416" s="746"/>
      <c r="P1416" s="746"/>
      <c r="Q1416" s="746"/>
      <c r="R1416" s="521"/>
      <c r="S1416" s="521"/>
    </row>
    <row r="1417" spans="1:19">
      <c r="A1417" s="723">
        <v>14</v>
      </c>
      <c r="B1417" s="723">
        <v>20122395006</v>
      </c>
      <c r="C1417" s="723" t="s">
        <v>4884</v>
      </c>
      <c r="D1417" s="723">
        <v>395</v>
      </c>
      <c r="E1417" s="723" t="s">
        <v>4855</v>
      </c>
      <c r="F1417" s="723" t="s">
        <v>84</v>
      </c>
      <c r="G1417" s="723" t="s">
        <v>2042</v>
      </c>
      <c r="H1417" s="723" t="s">
        <v>2043</v>
      </c>
      <c r="I1417" s="723"/>
      <c r="J1417" s="723" t="s">
        <v>4885</v>
      </c>
      <c r="K1417" s="723" t="s">
        <v>2044</v>
      </c>
      <c r="L1417" s="723">
        <v>1026274281</v>
      </c>
      <c r="M1417" s="723" t="s">
        <v>3202</v>
      </c>
      <c r="N1417" s="746"/>
      <c r="O1417" s="746"/>
      <c r="P1417" s="746"/>
      <c r="Q1417" s="746"/>
      <c r="R1417" s="521"/>
      <c r="S1417" s="521"/>
    </row>
    <row r="1418" spans="1:19">
      <c r="A1418" s="721">
        <v>15</v>
      </c>
      <c r="B1418" s="721">
        <v>20122395007</v>
      </c>
      <c r="C1418" s="721" t="s">
        <v>4886</v>
      </c>
      <c r="D1418" s="721">
        <v>395</v>
      </c>
      <c r="E1418" s="721" t="s">
        <v>4855</v>
      </c>
      <c r="F1418" s="721" t="s">
        <v>84</v>
      </c>
      <c r="G1418" s="721" t="s">
        <v>2042</v>
      </c>
      <c r="H1418" s="721" t="s">
        <v>2043</v>
      </c>
      <c r="I1418" s="721"/>
      <c r="J1418" s="721" t="s">
        <v>4887</v>
      </c>
      <c r="K1418" s="721" t="s">
        <v>2044</v>
      </c>
      <c r="L1418" s="721">
        <v>79754586</v>
      </c>
      <c r="M1418" s="721" t="s">
        <v>3139</v>
      </c>
      <c r="N1418" s="746"/>
      <c r="O1418" s="746"/>
      <c r="P1418" s="746"/>
      <c r="Q1418" s="746"/>
      <c r="R1418" s="521"/>
      <c r="S1418" s="521"/>
    </row>
    <row r="1419" spans="1:19">
      <c r="A1419" s="723">
        <v>16</v>
      </c>
      <c r="B1419" s="723">
        <v>20122395008</v>
      </c>
      <c r="C1419" s="723" t="s">
        <v>4888</v>
      </c>
      <c r="D1419" s="723">
        <v>395</v>
      </c>
      <c r="E1419" s="723" t="s">
        <v>4855</v>
      </c>
      <c r="F1419" s="723" t="s">
        <v>84</v>
      </c>
      <c r="G1419" s="723" t="s">
        <v>2042</v>
      </c>
      <c r="H1419" s="723">
        <v>4</v>
      </c>
      <c r="I1419" s="723"/>
      <c r="J1419" s="723" t="s">
        <v>1145</v>
      </c>
      <c r="K1419" s="723" t="s">
        <v>2044</v>
      </c>
      <c r="L1419" s="723">
        <v>79625956</v>
      </c>
      <c r="M1419" s="723" t="s">
        <v>3123</v>
      </c>
      <c r="N1419" s="746"/>
      <c r="O1419" s="746"/>
      <c r="P1419" s="746"/>
      <c r="Q1419" s="746"/>
      <c r="R1419" s="521"/>
      <c r="S1419" s="521"/>
    </row>
    <row r="1420" spans="1:19">
      <c r="A1420" s="721">
        <v>17</v>
      </c>
      <c r="B1420" s="721">
        <v>20131395002</v>
      </c>
      <c r="C1420" s="721" t="s">
        <v>4889</v>
      </c>
      <c r="D1420" s="721">
        <v>395</v>
      </c>
      <c r="E1420" s="721" t="s">
        <v>4855</v>
      </c>
      <c r="F1420" s="721" t="s">
        <v>84</v>
      </c>
      <c r="G1420" s="721" t="s">
        <v>2042</v>
      </c>
      <c r="H1420" s="721" t="s">
        <v>2043</v>
      </c>
      <c r="I1420" s="721" t="s">
        <v>4890</v>
      </c>
      <c r="J1420" s="721" t="s">
        <v>4891</v>
      </c>
      <c r="K1420" s="721" t="s">
        <v>2044</v>
      </c>
      <c r="L1420" s="721">
        <v>75107270</v>
      </c>
      <c r="M1420" s="721" t="s">
        <v>3139</v>
      </c>
      <c r="N1420" s="746"/>
      <c r="O1420" s="746"/>
      <c r="P1420" s="746"/>
      <c r="Q1420" s="746"/>
      <c r="R1420" s="521"/>
      <c r="S1420" s="521"/>
    </row>
    <row r="1421" spans="1:19">
      <c r="A1421" s="723">
        <v>18</v>
      </c>
      <c r="B1421" s="723">
        <v>20131395007</v>
      </c>
      <c r="C1421" s="723" t="s">
        <v>4892</v>
      </c>
      <c r="D1421" s="723">
        <v>395</v>
      </c>
      <c r="E1421" s="723" t="s">
        <v>4855</v>
      </c>
      <c r="F1421" s="723" t="s">
        <v>84</v>
      </c>
      <c r="G1421" s="723" t="s">
        <v>2042</v>
      </c>
      <c r="H1421" s="723">
        <v>1</v>
      </c>
      <c r="I1421" s="723" t="s">
        <v>4893</v>
      </c>
      <c r="J1421" s="723" t="s">
        <v>4894</v>
      </c>
      <c r="K1421" s="723" t="s">
        <v>2044</v>
      </c>
      <c r="L1421" s="723">
        <v>1023863636</v>
      </c>
      <c r="M1421" s="723" t="s">
        <v>1237</v>
      </c>
      <c r="N1421" s="746"/>
      <c r="O1421" s="746"/>
      <c r="P1421" s="746"/>
      <c r="Q1421" s="746"/>
      <c r="R1421" s="521"/>
      <c r="S1421" s="521"/>
    </row>
    <row r="1422" spans="1:19">
      <c r="A1422" s="721">
        <v>19</v>
      </c>
      <c r="B1422" s="721">
        <v>20131395009</v>
      </c>
      <c r="C1422" s="721" t="s">
        <v>4895</v>
      </c>
      <c r="D1422" s="721">
        <v>395</v>
      </c>
      <c r="E1422" s="721" t="s">
        <v>4855</v>
      </c>
      <c r="F1422" s="721" t="s">
        <v>84</v>
      </c>
      <c r="G1422" s="721" t="s">
        <v>2042</v>
      </c>
      <c r="H1422" s="721">
        <v>4</v>
      </c>
      <c r="I1422" s="721" t="s">
        <v>4896</v>
      </c>
      <c r="J1422" s="721" t="s">
        <v>4897</v>
      </c>
      <c r="K1422" s="721" t="s">
        <v>2044</v>
      </c>
      <c r="L1422" s="721">
        <v>1026258258</v>
      </c>
      <c r="M1422" s="721" t="s">
        <v>1237</v>
      </c>
      <c r="N1422" s="746"/>
      <c r="O1422" s="746"/>
      <c r="P1422" s="746"/>
      <c r="Q1422" s="746"/>
      <c r="R1422" s="521"/>
      <c r="S1422" s="521"/>
    </row>
    <row r="1423" spans="1:19">
      <c r="A1423" s="723">
        <v>20</v>
      </c>
      <c r="B1423" s="723">
        <v>20141395003</v>
      </c>
      <c r="C1423" s="723" t="s">
        <v>4898</v>
      </c>
      <c r="D1423" s="723">
        <v>395</v>
      </c>
      <c r="E1423" s="723" t="s">
        <v>4855</v>
      </c>
      <c r="F1423" s="723" t="s">
        <v>84</v>
      </c>
      <c r="G1423" s="723" t="s">
        <v>2042</v>
      </c>
      <c r="H1423" s="723">
        <v>3</v>
      </c>
      <c r="I1423" s="723"/>
      <c r="J1423" s="723" t="s">
        <v>4899</v>
      </c>
      <c r="K1423" s="723" t="s">
        <v>2044</v>
      </c>
      <c r="L1423" s="723">
        <v>80075955</v>
      </c>
      <c r="M1423" s="723" t="s">
        <v>3139</v>
      </c>
      <c r="N1423" s="746"/>
      <c r="O1423" s="746"/>
      <c r="P1423" s="746"/>
      <c r="Q1423" s="746"/>
      <c r="R1423" s="521"/>
      <c r="S1423" s="521"/>
    </row>
    <row r="1424" spans="1:19">
      <c r="A1424" s="721">
        <v>21</v>
      </c>
      <c r="B1424" s="721">
        <v>20142395004</v>
      </c>
      <c r="C1424" s="721" t="s">
        <v>4900</v>
      </c>
      <c r="D1424" s="721">
        <v>395</v>
      </c>
      <c r="E1424" s="721" t="s">
        <v>4855</v>
      </c>
      <c r="F1424" s="721" t="s">
        <v>84</v>
      </c>
      <c r="G1424" s="721" t="s">
        <v>2042</v>
      </c>
      <c r="H1424" s="721" t="s">
        <v>2043</v>
      </c>
      <c r="I1424" s="721" t="s">
        <v>4901</v>
      </c>
      <c r="J1424" s="721" t="s">
        <v>4902</v>
      </c>
      <c r="K1424" s="721" t="s">
        <v>2044</v>
      </c>
      <c r="L1424" s="721">
        <v>80896709</v>
      </c>
      <c r="M1424" s="721" t="s">
        <v>3180</v>
      </c>
      <c r="N1424" s="746"/>
      <c r="O1424" s="746"/>
      <c r="P1424" s="746"/>
      <c r="Q1424" s="746"/>
      <c r="R1424" s="521"/>
      <c r="S1424" s="521"/>
    </row>
    <row r="1425" spans="1:19">
      <c r="A1425" s="723">
        <v>22</v>
      </c>
      <c r="B1425" s="723">
        <v>20142395005</v>
      </c>
      <c r="C1425" s="723" t="s">
        <v>4903</v>
      </c>
      <c r="D1425" s="723">
        <v>395</v>
      </c>
      <c r="E1425" s="723" t="s">
        <v>4855</v>
      </c>
      <c r="F1425" s="723" t="s">
        <v>84</v>
      </c>
      <c r="G1425" s="723" t="s">
        <v>2042</v>
      </c>
      <c r="H1425" s="723" t="s">
        <v>2043</v>
      </c>
      <c r="I1425" s="723" t="s">
        <v>4904</v>
      </c>
      <c r="J1425" s="723" t="s">
        <v>4905</v>
      </c>
      <c r="K1425" s="723" t="s">
        <v>2044</v>
      </c>
      <c r="L1425" s="723">
        <v>1026269883</v>
      </c>
      <c r="M1425" s="723" t="s">
        <v>3269</v>
      </c>
      <c r="N1425" s="746"/>
      <c r="O1425" s="746"/>
      <c r="P1425" s="746"/>
      <c r="Q1425" s="746"/>
      <c r="R1425" s="521"/>
      <c r="S1425" s="521"/>
    </row>
    <row r="1426" spans="1:19">
      <c r="A1426" s="721">
        <v>23</v>
      </c>
      <c r="B1426" s="721">
        <v>20151295009</v>
      </c>
      <c r="C1426" s="721" t="s">
        <v>4906</v>
      </c>
      <c r="D1426" s="721">
        <v>395</v>
      </c>
      <c r="E1426" s="721" t="s">
        <v>4855</v>
      </c>
      <c r="F1426" s="721" t="s">
        <v>84</v>
      </c>
      <c r="G1426" s="721" t="s">
        <v>2042</v>
      </c>
      <c r="H1426" s="721" t="s">
        <v>2043</v>
      </c>
      <c r="I1426" s="721" t="s">
        <v>4907</v>
      </c>
      <c r="J1426" s="721" t="s">
        <v>4908</v>
      </c>
      <c r="K1426" s="721" t="s">
        <v>2044</v>
      </c>
      <c r="L1426" s="721">
        <v>1070951512</v>
      </c>
      <c r="M1426" s="721" t="s">
        <v>3202</v>
      </c>
      <c r="N1426" s="746"/>
      <c r="O1426" s="746"/>
      <c r="P1426" s="746"/>
      <c r="Q1426" s="746"/>
      <c r="R1426" s="521"/>
      <c r="S1426" s="521"/>
    </row>
    <row r="1427" spans="1:19">
      <c r="A1427" s="723">
        <v>24</v>
      </c>
      <c r="B1427" s="723">
        <v>20152395001</v>
      </c>
      <c r="C1427" s="723" t="s">
        <v>4909</v>
      </c>
      <c r="D1427" s="723">
        <v>395</v>
      </c>
      <c r="E1427" s="723" t="s">
        <v>4855</v>
      </c>
      <c r="F1427" s="723" t="s">
        <v>84</v>
      </c>
      <c r="G1427" s="723" t="s">
        <v>2042</v>
      </c>
      <c r="H1427" s="723">
        <v>2</v>
      </c>
      <c r="I1427" s="723" t="s">
        <v>4910</v>
      </c>
      <c r="J1427" s="723" t="s">
        <v>4911</v>
      </c>
      <c r="K1427" s="723" t="s">
        <v>2044</v>
      </c>
      <c r="L1427" s="723">
        <v>1014196634</v>
      </c>
      <c r="M1427" s="723" t="s">
        <v>2936</v>
      </c>
      <c r="N1427" s="746"/>
      <c r="O1427" s="746"/>
      <c r="P1427" s="746"/>
      <c r="Q1427" s="746"/>
      <c r="R1427" s="521"/>
      <c r="S1427" s="521"/>
    </row>
    <row r="1428" spans="1:19">
      <c r="A1428" s="721">
        <v>25</v>
      </c>
      <c r="B1428" s="721">
        <v>20152395002</v>
      </c>
      <c r="C1428" s="721" t="s">
        <v>4912</v>
      </c>
      <c r="D1428" s="721">
        <v>395</v>
      </c>
      <c r="E1428" s="721" t="s">
        <v>4855</v>
      </c>
      <c r="F1428" s="721" t="s">
        <v>84</v>
      </c>
      <c r="G1428" s="721" t="s">
        <v>2042</v>
      </c>
      <c r="H1428" s="721">
        <v>3</v>
      </c>
      <c r="I1428" s="721" t="s">
        <v>4913</v>
      </c>
      <c r="J1428" s="721" t="s">
        <v>4914</v>
      </c>
      <c r="K1428" s="721" t="s">
        <v>2044</v>
      </c>
      <c r="L1428" s="721">
        <v>1016034010</v>
      </c>
      <c r="M1428" s="721" t="s">
        <v>3155</v>
      </c>
      <c r="N1428" s="746"/>
      <c r="O1428" s="746"/>
      <c r="P1428" s="746"/>
      <c r="Q1428" s="746"/>
      <c r="R1428" s="521"/>
      <c r="S1428" s="521"/>
    </row>
    <row r="1429" spans="1:19">
      <c r="A1429" s="723">
        <v>26</v>
      </c>
      <c r="B1429" s="723">
        <v>20161395002</v>
      </c>
      <c r="C1429" s="723" t="s">
        <v>4915</v>
      </c>
      <c r="D1429" s="723">
        <v>395</v>
      </c>
      <c r="E1429" s="723" t="s">
        <v>4855</v>
      </c>
      <c r="F1429" s="723" t="s">
        <v>84</v>
      </c>
      <c r="G1429" s="723" t="s">
        <v>2042</v>
      </c>
      <c r="H1429" s="723">
        <v>2</v>
      </c>
      <c r="I1429" s="723" t="s">
        <v>4916</v>
      </c>
      <c r="J1429" s="723" t="s">
        <v>4917</v>
      </c>
      <c r="K1429" s="723" t="s">
        <v>2044</v>
      </c>
      <c r="L1429" s="723">
        <v>1019040864</v>
      </c>
      <c r="M1429" s="723" t="s">
        <v>3145</v>
      </c>
      <c r="N1429" s="746"/>
      <c r="O1429" s="746"/>
      <c r="P1429" s="746"/>
      <c r="Q1429" s="746"/>
      <c r="R1429" s="521"/>
      <c r="S1429" s="521"/>
    </row>
    <row r="1430" spans="1:19">
      <c r="A1430" s="721">
        <v>27</v>
      </c>
      <c r="B1430" s="721">
        <v>20161395004</v>
      </c>
      <c r="C1430" s="721" t="s">
        <v>4918</v>
      </c>
      <c r="D1430" s="721">
        <v>395</v>
      </c>
      <c r="E1430" s="721" t="s">
        <v>4855</v>
      </c>
      <c r="F1430" s="721" t="s">
        <v>84</v>
      </c>
      <c r="G1430" s="721" t="s">
        <v>2042</v>
      </c>
      <c r="H1430" s="721">
        <v>3</v>
      </c>
      <c r="I1430" s="721" t="s">
        <v>4919</v>
      </c>
      <c r="J1430" s="721" t="s">
        <v>4920</v>
      </c>
      <c r="K1430" s="721" t="s">
        <v>2044</v>
      </c>
      <c r="L1430" s="721">
        <v>1032408256</v>
      </c>
      <c r="M1430" s="721" t="s">
        <v>3155</v>
      </c>
      <c r="N1430" s="746"/>
      <c r="O1430" s="746"/>
      <c r="P1430" s="746"/>
      <c r="Q1430" s="746"/>
      <c r="R1430" s="521"/>
      <c r="S1430" s="521"/>
    </row>
    <row r="1431" spans="1:19">
      <c r="A1431" s="723">
        <v>28</v>
      </c>
      <c r="B1431" s="723">
        <v>20161395005</v>
      </c>
      <c r="C1431" s="723" t="s">
        <v>4921</v>
      </c>
      <c r="D1431" s="723">
        <v>395</v>
      </c>
      <c r="E1431" s="723" t="s">
        <v>4855</v>
      </c>
      <c r="F1431" s="723" t="s">
        <v>84</v>
      </c>
      <c r="G1431" s="723" t="s">
        <v>2042</v>
      </c>
      <c r="H1431" s="723">
        <v>3</v>
      </c>
      <c r="I1431" s="723" t="s">
        <v>4922</v>
      </c>
      <c r="J1431" s="723" t="s">
        <v>4923</v>
      </c>
      <c r="K1431" s="723" t="s">
        <v>2044</v>
      </c>
      <c r="L1431" s="723">
        <v>1032423220</v>
      </c>
      <c r="M1431" s="723" t="s">
        <v>3155</v>
      </c>
      <c r="N1431" s="746"/>
      <c r="O1431" s="746"/>
      <c r="P1431" s="746"/>
      <c r="Q1431" s="746"/>
      <c r="R1431" s="521"/>
      <c r="S1431" s="521"/>
    </row>
    <row r="1432" spans="1:19">
      <c r="A1432" s="721">
        <v>29</v>
      </c>
      <c r="B1432" s="721">
        <v>20161395006</v>
      </c>
      <c r="C1432" s="721" t="s">
        <v>4924</v>
      </c>
      <c r="D1432" s="721">
        <v>395</v>
      </c>
      <c r="E1432" s="721" t="s">
        <v>4855</v>
      </c>
      <c r="F1432" s="721" t="s">
        <v>84</v>
      </c>
      <c r="G1432" s="721" t="s">
        <v>2042</v>
      </c>
      <c r="H1432" s="721">
        <v>1</v>
      </c>
      <c r="I1432" s="721"/>
      <c r="J1432" s="721" t="s">
        <v>4925</v>
      </c>
      <c r="K1432" s="721" t="s">
        <v>2044</v>
      </c>
      <c r="L1432" s="721">
        <v>1018454644</v>
      </c>
      <c r="M1432" s="721" t="s">
        <v>1223</v>
      </c>
      <c r="N1432" s="746"/>
      <c r="O1432" s="746"/>
      <c r="P1432" s="746"/>
      <c r="Q1432" s="746"/>
      <c r="R1432" s="521"/>
      <c r="S1432" s="521"/>
    </row>
    <row r="1433" spans="1:19">
      <c r="A1433" s="723">
        <v>30</v>
      </c>
      <c r="B1433" s="723">
        <v>20161395008</v>
      </c>
      <c r="C1433" s="723" t="s">
        <v>4926</v>
      </c>
      <c r="D1433" s="723">
        <v>395</v>
      </c>
      <c r="E1433" s="723" t="s">
        <v>4855</v>
      </c>
      <c r="F1433" s="723" t="s">
        <v>84</v>
      </c>
      <c r="G1433" s="723" t="s">
        <v>2042</v>
      </c>
      <c r="H1433" s="723">
        <v>3</v>
      </c>
      <c r="I1433" s="723" t="s">
        <v>4927</v>
      </c>
      <c r="J1433" s="723" t="s">
        <v>4928</v>
      </c>
      <c r="K1433" s="723" t="s">
        <v>2044</v>
      </c>
      <c r="L1433" s="723">
        <v>1019008786</v>
      </c>
      <c r="M1433" s="723" t="s">
        <v>3269</v>
      </c>
      <c r="N1433" s="746"/>
      <c r="O1433" s="746"/>
      <c r="P1433" s="746"/>
      <c r="Q1433" s="746"/>
      <c r="R1433" s="521"/>
      <c r="S1433" s="521"/>
    </row>
    <row r="1434" spans="1:19">
      <c r="A1434" s="721">
        <v>31</v>
      </c>
      <c r="B1434" s="721">
        <v>20161395011</v>
      </c>
      <c r="C1434" s="721" t="s">
        <v>4929</v>
      </c>
      <c r="D1434" s="721">
        <v>395</v>
      </c>
      <c r="E1434" s="721" t="s">
        <v>4855</v>
      </c>
      <c r="F1434" s="721" t="s">
        <v>84</v>
      </c>
      <c r="G1434" s="721" t="s">
        <v>2042</v>
      </c>
      <c r="H1434" s="721">
        <v>4</v>
      </c>
      <c r="I1434" s="721"/>
      <c r="J1434" s="721" t="s">
        <v>4930</v>
      </c>
      <c r="K1434" s="721" t="s">
        <v>2044</v>
      </c>
      <c r="L1434" s="721">
        <v>1030576910</v>
      </c>
      <c r="M1434" s="721" t="s">
        <v>3145</v>
      </c>
      <c r="N1434" s="746"/>
      <c r="O1434" s="746"/>
      <c r="P1434" s="746"/>
      <c r="Q1434" s="746"/>
      <c r="R1434" s="521"/>
      <c r="S1434" s="521"/>
    </row>
    <row r="1435" spans="1:19">
      <c r="A1435" s="723">
        <v>32</v>
      </c>
      <c r="B1435" s="723">
        <v>20162395002</v>
      </c>
      <c r="C1435" s="723" t="s">
        <v>4931</v>
      </c>
      <c r="D1435" s="723">
        <v>395</v>
      </c>
      <c r="E1435" s="723" t="s">
        <v>4855</v>
      </c>
      <c r="F1435" s="723" t="s">
        <v>84</v>
      </c>
      <c r="G1435" s="723" t="s">
        <v>2042</v>
      </c>
      <c r="H1435" s="723" t="s">
        <v>2043</v>
      </c>
      <c r="I1435" s="723" t="s">
        <v>4932</v>
      </c>
      <c r="J1435" s="723" t="s">
        <v>4933</v>
      </c>
      <c r="K1435" s="723" t="s">
        <v>2044</v>
      </c>
      <c r="L1435" s="723">
        <v>1013648575</v>
      </c>
      <c r="M1435" s="723" t="s">
        <v>3139</v>
      </c>
      <c r="N1435" s="746"/>
      <c r="O1435" s="746"/>
      <c r="P1435" s="746"/>
      <c r="Q1435" s="746"/>
      <c r="R1435" s="521"/>
      <c r="S1435" s="521"/>
    </row>
    <row r="1436" spans="1:19">
      <c r="A1436" s="721">
        <v>33</v>
      </c>
      <c r="B1436" s="721">
        <v>20162395003</v>
      </c>
      <c r="C1436" s="721" t="s">
        <v>4934</v>
      </c>
      <c r="D1436" s="721">
        <v>395</v>
      </c>
      <c r="E1436" s="721" t="s">
        <v>4855</v>
      </c>
      <c r="F1436" s="721" t="s">
        <v>84</v>
      </c>
      <c r="G1436" s="721" t="s">
        <v>2042</v>
      </c>
      <c r="H1436" s="721">
        <v>1</v>
      </c>
      <c r="I1436" s="721" t="s">
        <v>4935</v>
      </c>
      <c r="J1436" s="721" t="s">
        <v>4936</v>
      </c>
      <c r="K1436" s="721" t="s">
        <v>2044</v>
      </c>
      <c r="L1436" s="721">
        <v>80734025</v>
      </c>
      <c r="M1436" s="721" t="s">
        <v>1348</v>
      </c>
      <c r="N1436" s="746"/>
      <c r="O1436" s="746"/>
      <c r="P1436" s="746"/>
      <c r="Q1436" s="746"/>
      <c r="R1436" s="521"/>
      <c r="S1436" s="521"/>
    </row>
    <row r="1437" spans="1:19">
      <c r="A1437" s="723">
        <v>34</v>
      </c>
      <c r="B1437" s="723">
        <v>20162395006</v>
      </c>
      <c r="C1437" s="723" t="s">
        <v>4937</v>
      </c>
      <c r="D1437" s="723">
        <v>395</v>
      </c>
      <c r="E1437" s="723" t="s">
        <v>4855</v>
      </c>
      <c r="F1437" s="723" t="s">
        <v>84</v>
      </c>
      <c r="G1437" s="723" t="s">
        <v>2042</v>
      </c>
      <c r="H1437" s="723">
        <v>3</v>
      </c>
      <c r="I1437" s="723" t="s">
        <v>4938</v>
      </c>
      <c r="J1437" s="723" t="s">
        <v>4939</v>
      </c>
      <c r="K1437" s="723" t="s">
        <v>2044</v>
      </c>
      <c r="L1437" s="723">
        <v>1121838201</v>
      </c>
      <c r="M1437" s="723" t="s">
        <v>1237</v>
      </c>
      <c r="N1437" s="746"/>
      <c r="O1437" s="746"/>
      <c r="P1437" s="746"/>
      <c r="Q1437" s="746"/>
      <c r="R1437" s="521"/>
      <c r="S1437" s="521"/>
    </row>
    <row r="1438" spans="1:19">
      <c r="A1438" s="721">
        <v>35</v>
      </c>
      <c r="B1438" s="721">
        <v>20162395007</v>
      </c>
      <c r="C1438" s="721" t="s">
        <v>4940</v>
      </c>
      <c r="D1438" s="721">
        <v>395</v>
      </c>
      <c r="E1438" s="721" t="s">
        <v>4855</v>
      </c>
      <c r="F1438" s="721" t="s">
        <v>84</v>
      </c>
      <c r="G1438" s="721" t="s">
        <v>2042</v>
      </c>
      <c r="H1438" s="721">
        <v>3</v>
      </c>
      <c r="I1438" s="721"/>
      <c r="J1438" s="721" t="s">
        <v>4941</v>
      </c>
      <c r="K1438" s="721" t="s">
        <v>2044</v>
      </c>
      <c r="L1438" s="721">
        <v>1026258763</v>
      </c>
      <c r="M1438" s="721" t="s">
        <v>2936</v>
      </c>
      <c r="N1438" s="746"/>
      <c r="O1438" s="746"/>
      <c r="P1438" s="746"/>
      <c r="Q1438" s="746"/>
      <c r="R1438" s="521"/>
      <c r="S1438" s="521"/>
    </row>
    <row r="1439" spans="1:19">
      <c r="A1439" s="723">
        <v>36</v>
      </c>
      <c r="B1439" s="723">
        <v>20162395009</v>
      </c>
      <c r="C1439" s="723" t="s">
        <v>4942</v>
      </c>
      <c r="D1439" s="723">
        <v>395</v>
      </c>
      <c r="E1439" s="723" t="s">
        <v>4855</v>
      </c>
      <c r="F1439" s="723" t="s">
        <v>84</v>
      </c>
      <c r="G1439" s="723" t="s">
        <v>2042</v>
      </c>
      <c r="H1439" s="723">
        <v>1</v>
      </c>
      <c r="I1439" s="723" t="s">
        <v>4943</v>
      </c>
      <c r="J1439" s="723" t="s">
        <v>4944</v>
      </c>
      <c r="K1439" s="723" t="s">
        <v>2044</v>
      </c>
      <c r="L1439" s="723">
        <v>1010191974</v>
      </c>
      <c r="M1439" s="723" t="s">
        <v>3155</v>
      </c>
      <c r="N1439" s="746"/>
      <c r="O1439" s="746"/>
      <c r="P1439" s="746"/>
      <c r="Q1439" s="746"/>
      <c r="R1439" s="521"/>
      <c r="S1439" s="521"/>
    </row>
    <row r="1440" spans="1:19">
      <c r="A1440" s="721">
        <v>37</v>
      </c>
      <c r="B1440" s="721">
        <v>20162395012</v>
      </c>
      <c r="C1440" s="721" t="s">
        <v>4945</v>
      </c>
      <c r="D1440" s="721">
        <v>395</v>
      </c>
      <c r="E1440" s="721" t="s">
        <v>4855</v>
      </c>
      <c r="F1440" s="721" t="s">
        <v>84</v>
      </c>
      <c r="G1440" s="721" t="s">
        <v>2042</v>
      </c>
      <c r="H1440" s="721">
        <v>1</v>
      </c>
      <c r="I1440" s="721" t="s">
        <v>4946</v>
      </c>
      <c r="J1440" s="721" t="s">
        <v>4947</v>
      </c>
      <c r="K1440" s="721" t="s">
        <v>2044</v>
      </c>
      <c r="L1440" s="721">
        <v>79992153</v>
      </c>
      <c r="M1440" s="721" t="s">
        <v>2936</v>
      </c>
      <c r="N1440" s="746"/>
      <c r="O1440" s="746"/>
      <c r="P1440" s="746"/>
      <c r="Q1440" s="746"/>
      <c r="R1440" s="521"/>
      <c r="S1440" s="521"/>
    </row>
    <row r="1441" spans="1:19">
      <c r="A1441" s="723">
        <v>38</v>
      </c>
      <c r="B1441" s="723">
        <v>20171395002</v>
      </c>
      <c r="C1441" s="723" t="s">
        <v>4948</v>
      </c>
      <c r="D1441" s="723">
        <v>395</v>
      </c>
      <c r="E1441" s="723" t="s">
        <v>4855</v>
      </c>
      <c r="F1441" s="723" t="s">
        <v>84</v>
      </c>
      <c r="G1441" s="723" t="s">
        <v>2042</v>
      </c>
      <c r="H1441" s="723">
        <v>2</v>
      </c>
      <c r="I1441" s="723" t="s">
        <v>4949</v>
      </c>
      <c r="J1441" s="723" t="s">
        <v>4950</v>
      </c>
      <c r="K1441" s="723" t="s">
        <v>2044</v>
      </c>
      <c r="L1441" s="723">
        <v>1026285580</v>
      </c>
      <c r="M1441" s="723" t="s">
        <v>3145</v>
      </c>
      <c r="N1441" s="746"/>
      <c r="O1441" s="746"/>
      <c r="P1441" s="746"/>
      <c r="Q1441" s="746"/>
      <c r="R1441" s="521"/>
      <c r="S1441" s="521"/>
    </row>
    <row r="1442" spans="1:19">
      <c r="A1442" s="721">
        <v>39</v>
      </c>
      <c r="B1442" s="721">
        <v>20171395004</v>
      </c>
      <c r="C1442" s="721" t="s">
        <v>4951</v>
      </c>
      <c r="D1442" s="721">
        <v>395</v>
      </c>
      <c r="E1442" s="721" t="s">
        <v>4855</v>
      </c>
      <c r="F1442" s="721" t="s">
        <v>84</v>
      </c>
      <c r="G1442" s="721" t="s">
        <v>2042</v>
      </c>
      <c r="H1442" s="721">
        <v>3</v>
      </c>
      <c r="I1442" s="721" t="s">
        <v>4952</v>
      </c>
      <c r="J1442" s="721" t="s">
        <v>4953</v>
      </c>
      <c r="K1442" s="721" t="s">
        <v>2044</v>
      </c>
      <c r="L1442" s="721">
        <v>1032433743</v>
      </c>
      <c r="M1442" s="721" t="s">
        <v>1237</v>
      </c>
      <c r="N1442" s="746"/>
      <c r="O1442" s="746"/>
      <c r="P1442" s="746"/>
      <c r="Q1442" s="746"/>
      <c r="R1442" s="521"/>
      <c r="S1442" s="521"/>
    </row>
    <row r="1443" spans="1:19">
      <c r="A1443" s="723">
        <v>40</v>
      </c>
      <c r="B1443" s="723">
        <v>20171395005</v>
      </c>
      <c r="C1443" s="723" t="s">
        <v>4954</v>
      </c>
      <c r="D1443" s="723">
        <v>395</v>
      </c>
      <c r="E1443" s="723" t="s">
        <v>4855</v>
      </c>
      <c r="F1443" s="723" t="s">
        <v>84</v>
      </c>
      <c r="G1443" s="723" t="s">
        <v>2042</v>
      </c>
      <c r="H1443" s="723">
        <v>1</v>
      </c>
      <c r="I1443" s="723" t="s">
        <v>4955</v>
      </c>
      <c r="J1443" s="723" t="s">
        <v>4956</v>
      </c>
      <c r="K1443" s="723" t="s">
        <v>2044</v>
      </c>
      <c r="L1443" s="723">
        <v>1002021534</v>
      </c>
      <c r="M1443" s="723" t="s">
        <v>1223</v>
      </c>
      <c r="N1443" s="746"/>
      <c r="O1443" s="746"/>
      <c r="P1443" s="746"/>
      <c r="Q1443" s="746"/>
      <c r="R1443" s="521"/>
      <c r="S1443" s="521"/>
    </row>
    <row r="1444" spans="1:19">
      <c r="A1444" s="721">
        <v>41</v>
      </c>
      <c r="B1444" s="721">
        <v>20171395007</v>
      </c>
      <c r="C1444" s="721" t="s">
        <v>4957</v>
      </c>
      <c r="D1444" s="721">
        <v>395</v>
      </c>
      <c r="E1444" s="721" t="s">
        <v>4855</v>
      </c>
      <c r="F1444" s="721" t="s">
        <v>84</v>
      </c>
      <c r="G1444" s="721" t="s">
        <v>2042</v>
      </c>
      <c r="H1444" s="721" t="s">
        <v>2043</v>
      </c>
      <c r="I1444" s="721" t="s">
        <v>4958</v>
      </c>
      <c r="J1444" s="721" t="s">
        <v>4959</v>
      </c>
      <c r="K1444" s="721" t="s">
        <v>2044</v>
      </c>
      <c r="L1444" s="721">
        <v>19486872</v>
      </c>
      <c r="M1444" s="721" t="s">
        <v>1237</v>
      </c>
      <c r="N1444" s="746"/>
      <c r="O1444" s="746"/>
      <c r="P1444" s="746"/>
      <c r="Q1444" s="746"/>
      <c r="R1444" s="521"/>
      <c r="S1444" s="521"/>
    </row>
    <row r="1445" spans="1:19">
      <c r="A1445" s="723">
        <v>42</v>
      </c>
      <c r="B1445" s="723">
        <v>20171395008</v>
      </c>
      <c r="C1445" s="723" t="s">
        <v>4960</v>
      </c>
      <c r="D1445" s="723">
        <v>395</v>
      </c>
      <c r="E1445" s="723" t="s">
        <v>4855</v>
      </c>
      <c r="F1445" s="723" t="s">
        <v>84</v>
      </c>
      <c r="G1445" s="723" t="s">
        <v>2042</v>
      </c>
      <c r="H1445" s="723">
        <v>3</v>
      </c>
      <c r="I1445" s="723" t="s">
        <v>4961</v>
      </c>
      <c r="J1445" s="723" t="s">
        <v>4962</v>
      </c>
      <c r="K1445" s="723" t="s">
        <v>2044</v>
      </c>
      <c r="L1445" s="723">
        <v>52546320</v>
      </c>
      <c r="M1445" s="723" t="s">
        <v>3155</v>
      </c>
      <c r="N1445" s="746"/>
      <c r="O1445" s="746"/>
      <c r="P1445" s="746"/>
      <c r="Q1445" s="746"/>
      <c r="R1445" s="521"/>
      <c r="S1445" s="521"/>
    </row>
    <row r="1446" spans="1:19">
      <c r="A1446" s="721">
        <v>43</v>
      </c>
      <c r="B1446" s="721">
        <v>20171395009</v>
      </c>
      <c r="C1446" s="721" t="s">
        <v>4963</v>
      </c>
      <c r="D1446" s="721">
        <v>395</v>
      </c>
      <c r="E1446" s="721" t="s">
        <v>4855</v>
      </c>
      <c r="F1446" s="721" t="s">
        <v>84</v>
      </c>
      <c r="G1446" s="721" t="s">
        <v>2042</v>
      </c>
      <c r="H1446" s="721">
        <v>2</v>
      </c>
      <c r="I1446" s="721" t="s">
        <v>4964</v>
      </c>
      <c r="J1446" s="721" t="s">
        <v>4965</v>
      </c>
      <c r="K1446" s="721" t="s">
        <v>2044</v>
      </c>
      <c r="L1446" s="721">
        <v>1023910593</v>
      </c>
      <c r="M1446" s="721" t="s">
        <v>3155</v>
      </c>
      <c r="N1446" s="746"/>
      <c r="O1446" s="746"/>
      <c r="P1446" s="746"/>
      <c r="Q1446" s="746"/>
      <c r="R1446" s="521"/>
      <c r="S1446" s="521"/>
    </row>
    <row r="1447" spans="1:19">
      <c r="A1447" s="723">
        <v>44</v>
      </c>
      <c r="B1447" s="723">
        <v>20171395010</v>
      </c>
      <c r="C1447" s="723" t="s">
        <v>4966</v>
      </c>
      <c r="D1447" s="723">
        <v>395</v>
      </c>
      <c r="E1447" s="723" t="s">
        <v>4855</v>
      </c>
      <c r="F1447" s="723" t="s">
        <v>84</v>
      </c>
      <c r="G1447" s="723" t="s">
        <v>2042</v>
      </c>
      <c r="H1447" s="723">
        <v>2</v>
      </c>
      <c r="I1447" s="723" t="s">
        <v>4967</v>
      </c>
      <c r="J1447" s="723" t="s">
        <v>4968</v>
      </c>
      <c r="K1447" s="723" t="s">
        <v>2044</v>
      </c>
      <c r="L1447" s="723">
        <v>1026267632</v>
      </c>
      <c r="M1447" s="723" t="s">
        <v>1237</v>
      </c>
      <c r="N1447" s="746"/>
      <c r="O1447" s="746"/>
      <c r="P1447" s="746"/>
      <c r="Q1447" s="746"/>
      <c r="R1447" s="521"/>
      <c r="S1447" s="521"/>
    </row>
    <row r="1448" spans="1:19">
      <c r="A1448" s="721">
        <v>45</v>
      </c>
      <c r="B1448" s="721">
        <v>20171395011</v>
      </c>
      <c r="C1448" s="721" t="s">
        <v>4969</v>
      </c>
      <c r="D1448" s="721">
        <v>395</v>
      </c>
      <c r="E1448" s="721" t="s">
        <v>4855</v>
      </c>
      <c r="F1448" s="721" t="s">
        <v>84</v>
      </c>
      <c r="G1448" s="721" t="s">
        <v>2042</v>
      </c>
      <c r="H1448" s="721">
        <v>2</v>
      </c>
      <c r="I1448" s="721" t="s">
        <v>4970</v>
      </c>
      <c r="J1448" s="721" t="s">
        <v>4971</v>
      </c>
      <c r="K1448" s="721" t="s">
        <v>2044</v>
      </c>
      <c r="L1448" s="721">
        <v>1018469957</v>
      </c>
      <c r="M1448" s="721" t="s">
        <v>1237</v>
      </c>
      <c r="N1448" s="746"/>
      <c r="O1448" s="746"/>
      <c r="P1448" s="746"/>
      <c r="Q1448" s="746"/>
      <c r="R1448" s="521"/>
      <c r="S1448" s="521"/>
    </row>
    <row r="1449" spans="1:19">
      <c r="A1449" s="723">
        <v>46</v>
      </c>
      <c r="B1449" s="723">
        <v>20172395002</v>
      </c>
      <c r="C1449" s="723" t="s">
        <v>4972</v>
      </c>
      <c r="D1449" s="723">
        <v>395</v>
      </c>
      <c r="E1449" s="723" t="s">
        <v>4855</v>
      </c>
      <c r="F1449" s="723" t="s">
        <v>84</v>
      </c>
      <c r="G1449" s="723" t="s">
        <v>2042</v>
      </c>
      <c r="H1449" s="723">
        <v>3</v>
      </c>
      <c r="I1449" s="723" t="s">
        <v>4973</v>
      </c>
      <c r="J1449" s="723" t="s">
        <v>4974</v>
      </c>
      <c r="K1449" s="723" t="s">
        <v>2044</v>
      </c>
      <c r="L1449" s="723">
        <v>1024554082</v>
      </c>
      <c r="M1449" s="723" t="s">
        <v>3145</v>
      </c>
      <c r="N1449" s="746"/>
      <c r="O1449" s="746"/>
      <c r="P1449" s="746"/>
      <c r="Q1449" s="746"/>
      <c r="R1449" s="521"/>
      <c r="S1449" s="521"/>
    </row>
    <row r="1450" spans="1:19">
      <c r="A1450" s="721">
        <v>47</v>
      </c>
      <c r="B1450" s="721">
        <v>20172395006</v>
      </c>
      <c r="C1450" s="721" t="s">
        <v>4975</v>
      </c>
      <c r="D1450" s="721">
        <v>395</v>
      </c>
      <c r="E1450" s="721" t="s">
        <v>4855</v>
      </c>
      <c r="F1450" s="721" t="s">
        <v>84</v>
      </c>
      <c r="G1450" s="721" t="s">
        <v>2042</v>
      </c>
      <c r="H1450" s="721">
        <v>3</v>
      </c>
      <c r="I1450" s="721" t="s">
        <v>4976</v>
      </c>
      <c r="J1450" s="721" t="s">
        <v>4977</v>
      </c>
      <c r="K1450" s="721" t="s">
        <v>2044</v>
      </c>
      <c r="L1450" s="721">
        <v>53014101</v>
      </c>
      <c r="M1450" s="721" t="s">
        <v>1223</v>
      </c>
      <c r="N1450" s="746"/>
      <c r="O1450" s="746"/>
      <c r="P1450" s="746"/>
      <c r="Q1450" s="746"/>
      <c r="R1450" s="521"/>
      <c r="S1450" s="521"/>
    </row>
    <row r="1451" spans="1:19">
      <c r="A1451" s="723">
        <v>48</v>
      </c>
      <c r="B1451" s="723">
        <v>20172395011</v>
      </c>
      <c r="C1451" s="723" t="s">
        <v>4978</v>
      </c>
      <c r="D1451" s="723">
        <v>395</v>
      </c>
      <c r="E1451" s="723" t="s">
        <v>4855</v>
      </c>
      <c r="F1451" s="723" t="s">
        <v>84</v>
      </c>
      <c r="G1451" s="723" t="s">
        <v>2042</v>
      </c>
      <c r="H1451" s="723">
        <v>2</v>
      </c>
      <c r="I1451" s="723" t="s">
        <v>4979</v>
      </c>
      <c r="J1451" s="723" t="s">
        <v>4980</v>
      </c>
      <c r="K1451" s="723" t="s">
        <v>2044</v>
      </c>
      <c r="L1451" s="723">
        <v>1014248221</v>
      </c>
      <c r="M1451" s="723" t="s">
        <v>3155</v>
      </c>
      <c r="N1451" s="746"/>
      <c r="O1451" s="746"/>
      <c r="P1451" s="746"/>
      <c r="Q1451" s="746"/>
      <c r="R1451" s="521"/>
      <c r="S1451" s="521"/>
    </row>
    <row r="1452" spans="1:19">
      <c r="A1452" s="721">
        <v>49</v>
      </c>
      <c r="B1452" s="721">
        <v>20172395014</v>
      </c>
      <c r="C1452" s="721" t="s">
        <v>4981</v>
      </c>
      <c r="D1452" s="721">
        <v>395</v>
      </c>
      <c r="E1452" s="721" t="s">
        <v>4855</v>
      </c>
      <c r="F1452" s="721" t="s">
        <v>84</v>
      </c>
      <c r="G1452" s="721" t="s">
        <v>2042</v>
      </c>
      <c r="H1452" s="721">
        <v>4</v>
      </c>
      <c r="I1452" s="721" t="s">
        <v>4982</v>
      </c>
      <c r="J1452" s="721" t="s">
        <v>4983</v>
      </c>
      <c r="K1452" s="721" t="s">
        <v>2044</v>
      </c>
      <c r="L1452" s="721">
        <v>1015411098</v>
      </c>
      <c r="M1452" s="721" t="s">
        <v>1348</v>
      </c>
      <c r="N1452" s="746"/>
      <c r="O1452" s="746"/>
      <c r="P1452" s="746"/>
      <c r="Q1452" s="746"/>
      <c r="R1452" s="521"/>
      <c r="S1452" s="521"/>
    </row>
    <row r="1453" spans="1:19">
      <c r="A1453" s="723">
        <v>50</v>
      </c>
      <c r="B1453" s="723">
        <v>20172395015</v>
      </c>
      <c r="C1453" s="723" t="s">
        <v>4984</v>
      </c>
      <c r="D1453" s="723">
        <v>395</v>
      </c>
      <c r="E1453" s="723" t="s">
        <v>4855</v>
      </c>
      <c r="F1453" s="723" t="s">
        <v>84</v>
      </c>
      <c r="G1453" s="723" t="s">
        <v>2042</v>
      </c>
      <c r="H1453" s="723">
        <v>3</v>
      </c>
      <c r="I1453" s="723" t="s">
        <v>4985</v>
      </c>
      <c r="J1453" s="723" t="s">
        <v>4986</v>
      </c>
      <c r="K1453" s="723" t="s">
        <v>2044</v>
      </c>
      <c r="L1453" s="723">
        <v>1018454307</v>
      </c>
      <c r="M1453" s="723" t="s">
        <v>1334</v>
      </c>
      <c r="N1453" s="746"/>
      <c r="O1453" s="746"/>
      <c r="P1453" s="746"/>
      <c r="Q1453" s="746"/>
      <c r="R1453" s="521"/>
      <c r="S1453" s="521"/>
    </row>
    <row r="1454" spans="1:19">
      <c r="A1454" s="721">
        <v>51</v>
      </c>
      <c r="B1454" s="721">
        <v>20172395016</v>
      </c>
      <c r="C1454" s="721" t="s">
        <v>4987</v>
      </c>
      <c r="D1454" s="721">
        <v>395</v>
      </c>
      <c r="E1454" s="721" t="s">
        <v>4855</v>
      </c>
      <c r="F1454" s="721" t="s">
        <v>84</v>
      </c>
      <c r="G1454" s="721" t="s">
        <v>2042</v>
      </c>
      <c r="H1454" s="721">
        <v>3</v>
      </c>
      <c r="I1454" s="721" t="s">
        <v>4988</v>
      </c>
      <c r="J1454" s="721" t="s">
        <v>4989</v>
      </c>
      <c r="K1454" s="721" t="s">
        <v>2044</v>
      </c>
      <c r="L1454" s="721">
        <v>1030612608</v>
      </c>
      <c r="M1454" s="721" t="s">
        <v>3279</v>
      </c>
      <c r="N1454" s="746"/>
      <c r="O1454" s="746"/>
      <c r="P1454" s="746"/>
      <c r="Q1454" s="746"/>
      <c r="R1454" s="521"/>
      <c r="S1454" s="521"/>
    </row>
    <row r="1455" spans="1:19">
      <c r="A1455" s="723">
        <v>52</v>
      </c>
      <c r="B1455" s="723">
        <v>20172395019</v>
      </c>
      <c r="C1455" s="723" t="s">
        <v>4990</v>
      </c>
      <c r="D1455" s="723">
        <v>395</v>
      </c>
      <c r="E1455" s="723" t="s">
        <v>4855</v>
      </c>
      <c r="F1455" s="723" t="s">
        <v>84</v>
      </c>
      <c r="G1455" s="723" t="s">
        <v>2042</v>
      </c>
      <c r="H1455" s="723">
        <v>3</v>
      </c>
      <c r="I1455" s="723" t="s">
        <v>4991</v>
      </c>
      <c r="J1455" s="723" t="s">
        <v>4992</v>
      </c>
      <c r="K1455" s="723" t="s">
        <v>2044</v>
      </c>
      <c r="L1455" s="723">
        <v>1030586151</v>
      </c>
      <c r="M1455" s="723" t="s">
        <v>1223</v>
      </c>
      <c r="N1455" s="746"/>
      <c r="O1455" s="746"/>
      <c r="P1455" s="746"/>
      <c r="Q1455" s="746"/>
      <c r="R1455" s="521"/>
      <c r="S1455" s="521"/>
    </row>
    <row r="1456" spans="1:19">
      <c r="A1456" s="721">
        <v>53</v>
      </c>
      <c r="B1456" s="721">
        <v>20172395020</v>
      </c>
      <c r="C1456" s="721" t="s">
        <v>4993</v>
      </c>
      <c r="D1456" s="721">
        <v>395</v>
      </c>
      <c r="E1456" s="721" t="s">
        <v>4855</v>
      </c>
      <c r="F1456" s="721" t="s">
        <v>84</v>
      </c>
      <c r="G1456" s="721" t="s">
        <v>2042</v>
      </c>
      <c r="H1456" s="721" t="s">
        <v>2043</v>
      </c>
      <c r="I1456" s="721" t="s">
        <v>4994</v>
      </c>
      <c r="J1456" s="721" t="s">
        <v>4995</v>
      </c>
      <c r="K1456" s="721" t="s">
        <v>2044</v>
      </c>
      <c r="L1456" s="721">
        <v>1018442787</v>
      </c>
      <c r="M1456" s="721" t="s">
        <v>2543</v>
      </c>
      <c r="N1456" s="746"/>
      <c r="O1456" s="746"/>
      <c r="P1456" s="746"/>
      <c r="Q1456" s="746"/>
      <c r="R1456" s="521"/>
      <c r="S1456" s="521"/>
    </row>
    <row r="1457" spans="1:19">
      <c r="A1457" s="723">
        <v>54</v>
      </c>
      <c r="B1457" s="723">
        <v>20181395004</v>
      </c>
      <c r="C1457" s="723" t="s">
        <v>4996</v>
      </c>
      <c r="D1457" s="723">
        <v>395</v>
      </c>
      <c r="E1457" s="723" t="s">
        <v>4855</v>
      </c>
      <c r="F1457" s="723" t="s">
        <v>84</v>
      </c>
      <c r="G1457" s="723" t="s">
        <v>2042</v>
      </c>
      <c r="H1457" s="723">
        <v>1</v>
      </c>
      <c r="I1457" s="723" t="s">
        <v>4997</v>
      </c>
      <c r="J1457" s="723" t="s">
        <v>4998</v>
      </c>
      <c r="K1457" s="723" t="s">
        <v>2044</v>
      </c>
      <c r="L1457" s="723">
        <v>1018454765</v>
      </c>
      <c r="M1457" s="723" t="s">
        <v>2936</v>
      </c>
      <c r="N1457" s="746"/>
      <c r="O1457" s="746"/>
      <c r="P1457" s="746"/>
      <c r="Q1457" s="746"/>
      <c r="R1457" s="521"/>
      <c r="S1457" s="521"/>
    </row>
    <row r="1458" spans="1:19">
      <c r="A1458" s="721">
        <v>55</v>
      </c>
      <c r="B1458" s="721">
        <v>20181395006</v>
      </c>
      <c r="C1458" s="721" t="s">
        <v>4999</v>
      </c>
      <c r="D1458" s="721">
        <v>395</v>
      </c>
      <c r="E1458" s="721" t="s">
        <v>4855</v>
      </c>
      <c r="F1458" s="721" t="s">
        <v>84</v>
      </c>
      <c r="G1458" s="721" t="s">
        <v>2042</v>
      </c>
      <c r="H1458" s="721">
        <v>3</v>
      </c>
      <c r="I1458" s="721" t="s">
        <v>5000</v>
      </c>
      <c r="J1458" s="721" t="s">
        <v>5001</v>
      </c>
      <c r="K1458" s="721" t="s">
        <v>2044</v>
      </c>
      <c r="L1458" s="721">
        <v>1010191260</v>
      </c>
      <c r="M1458" s="721" t="s">
        <v>3269</v>
      </c>
      <c r="N1458" s="746"/>
      <c r="O1458" s="746"/>
      <c r="P1458" s="746"/>
      <c r="Q1458" s="746"/>
      <c r="R1458" s="521"/>
      <c r="S1458" s="521"/>
    </row>
    <row r="1459" spans="1:19">
      <c r="A1459" s="723">
        <v>56</v>
      </c>
      <c r="B1459" s="723">
        <v>20182395005</v>
      </c>
      <c r="C1459" s="723" t="s">
        <v>5002</v>
      </c>
      <c r="D1459" s="723">
        <v>395</v>
      </c>
      <c r="E1459" s="723" t="s">
        <v>4855</v>
      </c>
      <c r="F1459" s="723" t="s">
        <v>84</v>
      </c>
      <c r="G1459" s="723" t="s">
        <v>2042</v>
      </c>
      <c r="H1459" s="723">
        <v>4</v>
      </c>
      <c r="I1459" s="723" t="s">
        <v>5003</v>
      </c>
      <c r="J1459" s="723" t="s">
        <v>5004</v>
      </c>
      <c r="K1459" s="723" t="s">
        <v>2044</v>
      </c>
      <c r="L1459" s="723">
        <v>1010208668</v>
      </c>
      <c r="M1459" s="723" t="s">
        <v>3279</v>
      </c>
      <c r="N1459" s="746"/>
      <c r="O1459" s="746"/>
      <c r="P1459" s="746"/>
      <c r="Q1459" s="746"/>
      <c r="R1459" s="521"/>
      <c r="S1459" s="521"/>
    </row>
    <row r="1460" spans="1:19">
      <c r="A1460" s="721">
        <v>57</v>
      </c>
      <c r="B1460" s="721">
        <v>20182395006</v>
      </c>
      <c r="C1460" s="721" t="s">
        <v>5005</v>
      </c>
      <c r="D1460" s="721">
        <v>395</v>
      </c>
      <c r="E1460" s="721" t="s">
        <v>4855</v>
      </c>
      <c r="F1460" s="721" t="s">
        <v>84</v>
      </c>
      <c r="G1460" s="721" t="s">
        <v>2042</v>
      </c>
      <c r="H1460" s="721">
        <v>1</v>
      </c>
      <c r="I1460" s="721" t="s">
        <v>5006</v>
      </c>
      <c r="J1460" s="721" t="s">
        <v>5006</v>
      </c>
      <c r="K1460" s="721" t="s">
        <v>2044</v>
      </c>
      <c r="L1460" s="721">
        <v>1016083013</v>
      </c>
      <c r="M1460" s="721" t="s">
        <v>2936</v>
      </c>
      <c r="N1460" s="746"/>
      <c r="O1460" s="746"/>
      <c r="P1460" s="746"/>
      <c r="Q1460" s="746"/>
      <c r="R1460" s="521"/>
      <c r="S1460" s="521"/>
    </row>
    <row r="1461" spans="1:19">
      <c r="A1461" s="723">
        <v>58</v>
      </c>
      <c r="B1461" s="723">
        <v>20182395009</v>
      </c>
      <c r="C1461" s="723" t="s">
        <v>5007</v>
      </c>
      <c r="D1461" s="723">
        <v>395</v>
      </c>
      <c r="E1461" s="723" t="s">
        <v>4855</v>
      </c>
      <c r="F1461" s="723" t="s">
        <v>84</v>
      </c>
      <c r="G1461" s="723" t="s">
        <v>2042</v>
      </c>
      <c r="H1461" s="723">
        <v>2</v>
      </c>
      <c r="I1461" s="723" t="s">
        <v>5008</v>
      </c>
      <c r="J1461" s="723" t="s">
        <v>5009</v>
      </c>
      <c r="K1461" s="723" t="s">
        <v>2044</v>
      </c>
      <c r="L1461" s="723">
        <v>1031159767</v>
      </c>
      <c r="M1461" s="723" t="s">
        <v>3269</v>
      </c>
      <c r="N1461" s="746"/>
      <c r="O1461" s="746"/>
      <c r="P1461" s="746"/>
      <c r="Q1461" s="746"/>
      <c r="R1461" s="521"/>
      <c r="S1461" s="521"/>
    </row>
    <row r="1462" spans="1:19">
      <c r="A1462" s="721">
        <v>59</v>
      </c>
      <c r="B1462" s="721">
        <v>20182395010</v>
      </c>
      <c r="C1462" s="721" t="s">
        <v>5010</v>
      </c>
      <c r="D1462" s="721">
        <v>395</v>
      </c>
      <c r="E1462" s="721" t="s">
        <v>4855</v>
      </c>
      <c r="F1462" s="721" t="s">
        <v>84</v>
      </c>
      <c r="G1462" s="721" t="s">
        <v>2042</v>
      </c>
      <c r="H1462" s="721">
        <v>3</v>
      </c>
      <c r="I1462" s="721" t="s">
        <v>5011</v>
      </c>
      <c r="J1462" s="721" t="s">
        <v>5012</v>
      </c>
      <c r="K1462" s="721" t="s">
        <v>2044</v>
      </c>
      <c r="L1462" s="721">
        <v>1032483850</v>
      </c>
      <c r="M1462" s="721" t="s">
        <v>1334</v>
      </c>
      <c r="N1462" s="746"/>
      <c r="O1462" s="746"/>
      <c r="P1462" s="746"/>
      <c r="Q1462" s="746"/>
      <c r="R1462" s="521"/>
      <c r="S1462" s="521"/>
    </row>
    <row r="1463" spans="1:19">
      <c r="A1463" s="723">
        <v>60</v>
      </c>
      <c r="B1463" s="723">
        <v>20182395011</v>
      </c>
      <c r="C1463" s="723" t="s">
        <v>5013</v>
      </c>
      <c r="D1463" s="723">
        <v>395</v>
      </c>
      <c r="E1463" s="723" t="s">
        <v>4855</v>
      </c>
      <c r="F1463" s="723" t="s">
        <v>84</v>
      </c>
      <c r="G1463" s="723" t="s">
        <v>2042</v>
      </c>
      <c r="H1463" s="723">
        <v>3</v>
      </c>
      <c r="I1463" s="723" t="s">
        <v>5014</v>
      </c>
      <c r="J1463" s="723" t="s">
        <v>5014</v>
      </c>
      <c r="K1463" s="723" t="s">
        <v>2044</v>
      </c>
      <c r="L1463" s="723">
        <v>1018484572</v>
      </c>
      <c r="M1463" s="723" t="s">
        <v>3279</v>
      </c>
      <c r="N1463" s="746"/>
      <c r="O1463" s="746"/>
      <c r="P1463" s="746"/>
      <c r="Q1463" s="746"/>
      <c r="R1463" s="521"/>
      <c r="S1463" s="521"/>
    </row>
    <row r="1464" spans="1:19">
      <c r="A1464" s="721">
        <v>61</v>
      </c>
      <c r="B1464" s="721">
        <v>20182395012</v>
      </c>
      <c r="C1464" s="721" t="s">
        <v>5015</v>
      </c>
      <c r="D1464" s="721">
        <v>395</v>
      </c>
      <c r="E1464" s="721" t="s">
        <v>4855</v>
      </c>
      <c r="F1464" s="721" t="s">
        <v>84</v>
      </c>
      <c r="G1464" s="721" t="s">
        <v>2042</v>
      </c>
      <c r="H1464" s="721">
        <v>3</v>
      </c>
      <c r="I1464" s="721" t="s">
        <v>5016</v>
      </c>
      <c r="J1464" s="721" t="s">
        <v>5017</v>
      </c>
      <c r="K1464" s="721" t="s">
        <v>2044</v>
      </c>
      <c r="L1464" s="721">
        <v>79499302</v>
      </c>
      <c r="M1464" s="721" t="s">
        <v>2936</v>
      </c>
      <c r="N1464" s="746"/>
      <c r="O1464" s="746"/>
      <c r="P1464" s="746"/>
      <c r="Q1464" s="746"/>
      <c r="R1464" s="521"/>
      <c r="S1464" s="521"/>
    </row>
    <row r="1465" spans="1:19">
      <c r="A1465" s="723">
        <v>62</v>
      </c>
      <c r="B1465" s="723">
        <v>20191395002</v>
      </c>
      <c r="C1465" s="723" t="s">
        <v>5018</v>
      </c>
      <c r="D1465" s="723">
        <v>395</v>
      </c>
      <c r="E1465" s="723" t="s">
        <v>4855</v>
      </c>
      <c r="F1465" s="723" t="s">
        <v>84</v>
      </c>
      <c r="G1465" s="723" t="s">
        <v>2042</v>
      </c>
      <c r="H1465" s="723">
        <v>2</v>
      </c>
      <c r="I1465" s="723" t="s">
        <v>5019</v>
      </c>
      <c r="J1465" s="723" t="s">
        <v>5020</v>
      </c>
      <c r="K1465" s="723" t="s">
        <v>2044</v>
      </c>
      <c r="L1465" s="723">
        <v>1077147477</v>
      </c>
      <c r="M1465" s="723" t="s">
        <v>2936</v>
      </c>
      <c r="N1465" s="746"/>
      <c r="O1465" s="746"/>
      <c r="P1465" s="746"/>
      <c r="Q1465" s="746"/>
      <c r="R1465" s="521"/>
      <c r="S1465" s="521"/>
    </row>
    <row r="1466" spans="1:19">
      <c r="A1466" s="721">
        <v>63</v>
      </c>
      <c r="B1466" s="721">
        <v>20191395003</v>
      </c>
      <c r="C1466" s="721" t="s">
        <v>5021</v>
      </c>
      <c r="D1466" s="721">
        <v>395</v>
      </c>
      <c r="E1466" s="721" t="s">
        <v>4855</v>
      </c>
      <c r="F1466" s="721" t="s">
        <v>84</v>
      </c>
      <c r="G1466" s="721" t="s">
        <v>2042</v>
      </c>
      <c r="H1466" s="721">
        <v>2</v>
      </c>
      <c r="I1466" s="721" t="s">
        <v>5022</v>
      </c>
      <c r="J1466" s="721" t="s">
        <v>5023</v>
      </c>
      <c r="K1466" s="721" t="s">
        <v>2044</v>
      </c>
      <c r="L1466" s="721">
        <v>1032469491</v>
      </c>
      <c r="M1466" s="721" t="s">
        <v>1237</v>
      </c>
      <c r="N1466" s="746"/>
      <c r="O1466" s="746"/>
      <c r="P1466" s="746"/>
      <c r="Q1466" s="746"/>
      <c r="R1466" s="521"/>
      <c r="S1466" s="521"/>
    </row>
    <row r="1467" spans="1:19">
      <c r="A1467" s="723">
        <v>64</v>
      </c>
      <c r="B1467" s="723">
        <v>20191395005</v>
      </c>
      <c r="C1467" s="723" t="s">
        <v>5024</v>
      </c>
      <c r="D1467" s="723">
        <v>395</v>
      </c>
      <c r="E1467" s="723" t="s">
        <v>4855</v>
      </c>
      <c r="F1467" s="723" t="s">
        <v>84</v>
      </c>
      <c r="G1467" s="723" t="s">
        <v>2042</v>
      </c>
      <c r="H1467" s="723">
        <v>4</v>
      </c>
      <c r="I1467" s="723" t="s">
        <v>5025</v>
      </c>
      <c r="J1467" s="723" t="s">
        <v>5026</v>
      </c>
      <c r="K1467" s="723" t="s">
        <v>2044</v>
      </c>
      <c r="L1467" s="723">
        <v>1018483105</v>
      </c>
      <c r="M1467" s="723" t="s">
        <v>1356</v>
      </c>
      <c r="N1467" s="746"/>
      <c r="O1467" s="746"/>
      <c r="P1467" s="746"/>
      <c r="Q1467" s="746"/>
      <c r="R1467" s="521"/>
      <c r="S1467" s="521"/>
    </row>
    <row r="1468" spans="1:19">
      <c r="A1468" s="721">
        <v>65</v>
      </c>
      <c r="B1468" s="721">
        <v>20191395006</v>
      </c>
      <c r="C1468" s="721" t="s">
        <v>5027</v>
      </c>
      <c r="D1468" s="721">
        <v>395</v>
      </c>
      <c r="E1468" s="721" t="s">
        <v>4855</v>
      </c>
      <c r="F1468" s="721" t="s">
        <v>84</v>
      </c>
      <c r="G1468" s="721" t="s">
        <v>2042</v>
      </c>
      <c r="H1468" s="721">
        <v>2</v>
      </c>
      <c r="I1468" s="721" t="s">
        <v>5028</v>
      </c>
      <c r="J1468" s="721" t="s">
        <v>5029</v>
      </c>
      <c r="K1468" s="721" t="s">
        <v>2044</v>
      </c>
      <c r="L1468" s="721">
        <v>1069304778</v>
      </c>
      <c r="M1468" s="721" t="s">
        <v>3269</v>
      </c>
      <c r="N1468" s="746"/>
      <c r="O1468" s="746"/>
      <c r="P1468" s="746"/>
      <c r="Q1468" s="746"/>
      <c r="R1468" s="521"/>
      <c r="S1468" s="521"/>
    </row>
    <row r="1469" spans="1:19">
      <c r="A1469" s="723">
        <v>66</v>
      </c>
      <c r="B1469" s="723">
        <v>20191395010</v>
      </c>
      <c r="C1469" s="723" t="s">
        <v>5030</v>
      </c>
      <c r="D1469" s="723">
        <v>395</v>
      </c>
      <c r="E1469" s="723" t="s">
        <v>4855</v>
      </c>
      <c r="F1469" s="723" t="s">
        <v>84</v>
      </c>
      <c r="G1469" s="723" t="s">
        <v>2042</v>
      </c>
      <c r="H1469" s="723">
        <v>2</v>
      </c>
      <c r="I1469" s="723" t="s">
        <v>5031</v>
      </c>
      <c r="J1469" s="723" t="s">
        <v>5032</v>
      </c>
      <c r="K1469" s="723" t="s">
        <v>2044</v>
      </c>
      <c r="L1469" s="723">
        <v>1023009167</v>
      </c>
      <c r="M1469" s="723" t="s">
        <v>3269</v>
      </c>
      <c r="N1469" s="746"/>
      <c r="O1469" s="746"/>
      <c r="P1469" s="746"/>
      <c r="Q1469" s="746"/>
      <c r="R1469" s="521"/>
      <c r="S1469" s="521"/>
    </row>
    <row r="1470" spans="1:19">
      <c r="A1470" s="721">
        <v>67</v>
      </c>
      <c r="B1470" s="721">
        <v>20191395011</v>
      </c>
      <c r="C1470" s="721" t="s">
        <v>5033</v>
      </c>
      <c r="D1470" s="721">
        <v>395</v>
      </c>
      <c r="E1470" s="721" t="s">
        <v>4855</v>
      </c>
      <c r="F1470" s="721" t="s">
        <v>84</v>
      </c>
      <c r="G1470" s="721" t="s">
        <v>2042</v>
      </c>
      <c r="H1470" s="721">
        <v>4</v>
      </c>
      <c r="I1470" s="721" t="s">
        <v>5034</v>
      </c>
      <c r="J1470" s="721" t="s">
        <v>5035</v>
      </c>
      <c r="K1470" s="721" t="s">
        <v>2044</v>
      </c>
      <c r="L1470" s="721">
        <v>1014267962</v>
      </c>
      <c r="M1470" s="721" t="s">
        <v>1364</v>
      </c>
      <c r="N1470" s="746"/>
      <c r="O1470" s="746"/>
      <c r="P1470" s="746"/>
      <c r="Q1470" s="746"/>
      <c r="R1470" s="521"/>
      <c r="S1470" s="521"/>
    </row>
    <row r="1471" spans="1:19">
      <c r="A1471" s="723">
        <v>68</v>
      </c>
      <c r="B1471" s="723">
        <v>20192395001</v>
      </c>
      <c r="C1471" s="723" t="s">
        <v>5036</v>
      </c>
      <c r="D1471" s="723">
        <v>395</v>
      </c>
      <c r="E1471" s="723" t="s">
        <v>4855</v>
      </c>
      <c r="F1471" s="723" t="s">
        <v>84</v>
      </c>
      <c r="G1471" s="723" t="s">
        <v>2042</v>
      </c>
      <c r="H1471" s="723">
        <v>4</v>
      </c>
      <c r="I1471" s="723" t="s">
        <v>5037</v>
      </c>
      <c r="J1471" s="723" t="s">
        <v>5038</v>
      </c>
      <c r="K1471" s="723" t="s">
        <v>2044</v>
      </c>
      <c r="L1471" s="723">
        <v>52897032</v>
      </c>
      <c r="M1471" s="723" t="s">
        <v>1237</v>
      </c>
      <c r="N1471" s="746"/>
      <c r="O1471" s="746"/>
      <c r="P1471" s="746"/>
      <c r="Q1471" s="746"/>
      <c r="R1471" s="521"/>
      <c r="S1471" s="521"/>
    </row>
    <row r="1472" spans="1:19">
      <c r="A1472" s="721">
        <v>69</v>
      </c>
      <c r="B1472" s="721">
        <v>20192395002</v>
      </c>
      <c r="C1472" s="721" t="s">
        <v>5039</v>
      </c>
      <c r="D1472" s="721">
        <v>395</v>
      </c>
      <c r="E1472" s="721" t="s">
        <v>4855</v>
      </c>
      <c r="F1472" s="721" t="s">
        <v>84</v>
      </c>
      <c r="G1472" s="721" t="s">
        <v>2042</v>
      </c>
      <c r="H1472" s="721">
        <v>4</v>
      </c>
      <c r="I1472" s="721" t="s">
        <v>5040</v>
      </c>
      <c r="J1472" s="721" t="s">
        <v>5041</v>
      </c>
      <c r="K1472" s="721" t="s">
        <v>2044</v>
      </c>
      <c r="L1472" s="721">
        <v>79365082</v>
      </c>
      <c r="M1472" s="721" t="s">
        <v>1364</v>
      </c>
      <c r="N1472" s="746"/>
      <c r="O1472" s="746"/>
      <c r="P1472" s="746"/>
      <c r="Q1472" s="746"/>
      <c r="R1472" s="521"/>
      <c r="S1472" s="521"/>
    </row>
    <row r="1473" spans="1:19">
      <c r="A1473" s="723">
        <v>70</v>
      </c>
      <c r="B1473" s="723">
        <v>20192395010</v>
      </c>
      <c r="C1473" s="723" t="s">
        <v>5042</v>
      </c>
      <c r="D1473" s="723">
        <v>395</v>
      </c>
      <c r="E1473" s="723" t="s">
        <v>4855</v>
      </c>
      <c r="F1473" s="723" t="s">
        <v>84</v>
      </c>
      <c r="G1473" s="723" t="s">
        <v>2042</v>
      </c>
      <c r="H1473" s="723">
        <v>2</v>
      </c>
      <c r="I1473" s="723" t="s">
        <v>5043</v>
      </c>
      <c r="J1473" s="723" t="s">
        <v>5044</v>
      </c>
      <c r="K1473" s="723" t="s">
        <v>2044</v>
      </c>
      <c r="L1473" s="723">
        <v>1013667943</v>
      </c>
      <c r="M1473" s="723" t="s">
        <v>3145</v>
      </c>
      <c r="N1473" s="746"/>
      <c r="O1473" s="746"/>
      <c r="P1473" s="746"/>
      <c r="Q1473" s="746"/>
      <c r="R1473" s="521"/>
      <c r="S1473" s="521"/>
    </row>
    <row r="1474" spans="1:19">
      <c r="A1474" s="721">
        <v>71</v>
      </c>
      <c r="B1474" s="721">
        <v>20192395011</v>
      </c>
      <c r="C1474" s="721" t="s">
        <v>5045</v>
      </c>
      <c r="D1474" s="721">
        <v>395</v>
      </c>
      <c r="E1474" s="721" t="s">
        <v>4855</v>
      </c>
      <c r="F1474" s="721" t="s">
        <v>84</v>
      </c>
      <c r="G1474" s="721" t="s">
        <v>2042</v>
      </c>
      <c r="H1474" s="721">
        <v>2</v>
      </c>
      <c r="I1474" s="721" t="s">
        <v>5046</v>
      </c>
      <c r="J1474" s="721" t="s">
        <v>5047</v>
      </c>
      <c r="K1474" s="721" t="s">
        <v>2044</v>
      </c>
      <c r="L1474" s="721">
        <v>1018480123</v>
      </c>
      <c r="M1474" s="721" t="s">
        <v>1364</v>
      </c>
      <c r="N1474" s="746"/>
      <c r="O1474" s="746"/>
      <c r="P1474" s="746"/>
      <c r="Q1474" s="746"/>
      <c r="R1474" s="521"/>
      <c r="S1474" s="521"/>
    </row>
    <row r="1475" spans="1:19">
      <c r="A1475" s="723">
        <v>72</v>
      </c>
      <c r="B1475" s="723">
        <v>20192395012</v>
      </c>
      <c r="C1475" s="723" t="s">
        <v>5048</v>
      </c>
      <c r="D1475" s="723">
        <v>395</v>
      </c>
      <c r="E1475" s="723" t="s">
        <v>4855</v>
      </c>
      <c r="F1475" s="723" t="s">
        <v>84</v>
      </c>
      <c r="G1475" s="723" t="s">
        <v>2042</v>
      </c>
      <c r="H1475" s="723">
        <v>3</v>
      </c>
      <c r="I1475" s="723" t="s">
        <v>5049</v>
      </c>
      <c r="J1475" s="723" t="s">
        <v>5050</v>
      </c>
      <c r="K1475" s="723" t="s">
        <v>2044</v>
      </c>
      <c r="L1475" s="723">
        <v>1013600362</v>
      </c>
      <c r="M1475" s="723" t="s">
        <v>3269</v>
      </c>
      <c r="N1475" s="746"/>
      <c r="O1475" s="746"/>
      <c r="P1475" s="746"/>
      <c r="Q1475" s="746"/>
      <c r="R1475" s="521"/>
      <c r="S1475" s="521"/>
    </row>
    <row r="1476" spans="1:19">
      <c r="A1476" s="721">
        <v>73</v>
      </c>
      <c r="B1476" s="721">
        <v>20192395014</v>
      </c>
      <c r="C1476" s="721" t="s">
        <v>5051</v>
      </c>
      <c r="D1476" s="721">
        <v>395</v>
      </c>
      <c r="E1476" s="721" t="s">
        <v>4855</v>
      </c>
      <c r="F1476" s="721" t="s">
        <v>84</v>
      </c>
      <c r="G1476" s="721" t="s">
        <v>2042</v>
      </c>
      <c r="H1476" s="721">
        <v>3</v>
      </c>
      <c r="I1476" s="721" t="s">
        <v>5052</v>
      </c>
      <c r="J1476" s="721" t="s">
        <v>5053</v>
      </c>
      <c r="K1476" s="721" t="s">
        <v>2044</v>
      </c>
      <c r="L1476" s="721">
        <v>79753758</v>
      </c>
      <c r="M1476" s="721" t="s">
        <v>1348</v>
      </c>
      <c r="N1476" s="746"/>
      <c r="O1476" s="746"/>
      <c r="P1476" s="746"/>
      <c r="Q1476" s="746"/>
      <c r="R1476" s="521"/>
      <c r="S1476" s="521"/>
    </row>
    <row r="1477" spans="1:19">
      <c r="A1477" s="723">
        <v>74</v>
      </c>
      <c r="B1477" s="723">
        <v>20201395002</v>
      </c>
      <c r="C1477" s="723" t="s">
        <v>5054</v>
      </c>
      <c r="D1477" s="723">
        <v>395</v>
      </c>
      <c r="E1477" s="723" t="s">
        <v>4855</v>
      </c>
      <c r="F1477" s="723" t="s">
        <v>84</v>
      </c>
      <c r="G1477" s="723" t="s">
        <v>2042</v>
      </c>
      <c r="H1477" s="723">
        <v>4</v>
      </c>
      <c r="I1477" s="723" t="s">
        <v>5055</v>
      </c>
      <c r="J1477" s="723" t="s">
        <v>5056</v>
      </c>
      <c r="K1477" s="723" t="s">
        <v>2044</v>
      </c>
      <c r="L1477" s="723">
        <v>1018486062</v>
      </c>
      <c r="M1477" s="723" t="s">
        <v>3322</v>
      </c>
      <c r="N1477" s="746"/>
      <c r="O1477" s="746"/>
      <c r="P1477" s="746"/>
      <c r="Q1477" s="746"/>
      <c r="R1477" s="521"/>
      <c r="S1477" s="521"/>
    </row>
    <row r="1478" spans="1:19">
      <c r="A1478" s="721">
        <v>75</v>
      </c>
      <c r="B1478" s="721">
        <v>20201395003</v>
      </c>
      <c r="C1478" s="721" t="s">
        <v>5057</v>
      </c>
      <c r="D1478" s="721">
        <v>395</v>
      </c>
      <c r="E1478" s="721" t="s">
        <v>4855</v>
      </c>
      <c r="F1478" s="721" t="s">
        <v>84</v>
      </c>
      <c r="G1478" s="721" t="s">
        <v>2042</v>
      </c>
      <c r="H1478" s="721">
        <v>3</v>
      </c>
      <c r="I1478" s="721" t="s">
        <v>5058</v>
      </c>
      <c r="J1478" s="721" t="s">
        <v>5059</v>
      </c>
      <c r="K1478" s="721" t="s">
        <v>2044</v>
      </c>
      <c r="L1478" s="721">
        <v>80779247</v>
      </c>
      <c r="M1478" s="721" t="s">
        <v>3269</v>
      </c>
      <c r="N1478" s="746"/>
      <c r="O1478" s="746"/>
      <c r="P1478" s="746"/>
      <c r="Q1478" s="746"/>
      <c r="R1478" s="521"/>
      <c r="S1478" s="521"/>
    </row>
    <row r="1479" spans="1:19">
      <c r="A1479" s="723">
        <v>76</v>
      </c>
      <c r="B1479" s="723">
        <v>20201395004</v>
      </c>
      <c r="C1479" s="723" t="s">
        <v>5060</v>
      </c>
      <c r="D1479" s="723">
        <v>395</v>
      </c>
      <c r="E1479" s="723" t="s">
        <v>4855</v>
      </c>
      <c r="F1479" s="723" t="s">
        <v>84</v>
      </c>
      <c r="G1479" s="723" t="s">
        <v>2042</v>
      </c>
      <c r="H1479" s="723">
        <v>3</v>
      </c>
      <c r="I1479" s="723" t="s">
        <v>5061</v>
      </c>
      <c r="J1479" s="723" t="s">
        <v>5062</v>
      </c>
      <c r="K1479" s="723" t="s">
        <v>2044</v>
      </c>
      <c r="L1479" s="723">
        <v>1022394052</v>
      </c>
      <c r="M1479" s="723" t="s">
        <v>1356</v>
      </c>
      <c r="N1479" s="746"/>
      <c r="O1479" s="746"/>
      <c r="P1479" s="746"/>
      <c r="Q1479" s="746"/>
      <c r="R1479" s="521"/>
      <c r="S1479" s="521"/>
    </row>
    <row r="1480" spans="1:19">
      <c r="A1480" s="721">
        <v>77</v>
      </c>
      <c r="B1480" s="721">
        <v>20201395005</v>
      </c>
      <c r="C1480" s="721" t="s">
        <v>5063</v>
      </c>
      <c r="D1480" s="721">
        <v>395</v>
      </c>
      <c r="E1480" s="721" t="s">
        <v>4855</v>
      </c>
      <c r="F1480" s="721" t="s">
        <v>84</v>
      </c>
      <c r="G1480" s="721" t="s">
        <v>2042</v>
      </c>
      <c r="H1480" s="721">
        <v>3</v>
      </c>
      <c r="I1480" s="721" t="s">
        <v>5064</v>
      </c>
      <c r="J1480" s="721" t="s">
        <v>5065</v>
      </c>
      <c r="K1480" s="721" t="s">
        <v>2044</v>
      </c>
      <c r="L1480" s="721">
        <v>1032471870</v>
      </c>
      <c r="M1480" s="721" t="s">
        <v>1356</v>
      </c>
      <c r="N1480" s="746"/>
      <c r="O1480" s="746"/>
      <c r="P1480" s="746"/>
      <c r="Q1480" s="746"/>
      <c r="R1480" s="521"/>
      <c r="S1480" s="521"/>
    </row>
    <row r="1481" spans="1:19">
      <c r="A1481" s="723">
        <v>78</v>
      </c>
      <c r="B1481" s="723">
        <v>20201395006</v>
      </c>
      <c r="C1481" s="723" t="s">
        <v>5066</v>
      </c>
      <c r="D1481" s="723">
        <v>395</v>
      </c>
      <c r="E1481" s="723" t="s">
        <v>4855</v>
      </c>
      <c r="F1481" s="723" t="s">
        <v>84</v>
      </c>
      <c r="G1481" s="723" t="s">
        <v>2042</v>
      </c>
      <c r="H1481" s="723">
        <v>2</v>
      </c>
      <c r="I1481" s="723" t="s">
        <v>5067</v>
      </c>
      <c r="J1481" s="723" t="s">
        <v>5068</v>
      </c>
      <c r="K1481" s="723" t="s">
        <v>2044</v>
      </c>
      <c r="L1481" s="723">
        <v>1015459449</v>
      </c>
      <c r="M1481" s="723" t="s">
        <v>1356</v>
      </c>
      <c r="N1481" s="746"/>
      <c r="O1481" s="746"/>
      <c r="P1481" s="746"/>
      <c r="Q1481" s="746"/>
      <c r="R1481" s="521"/>
      <c r="S1481" s="521"/>
    </row>
    <row r="1482" spans="1:19">
      <c r="A1482" s="721">
        <v>79</v>
      </c>
      <c r="B1482" s="721">
        <v>20201395008</v>
      </c>
      <c r="C1482" s="721" t="s">
        <v>5069</v>
      </c>
      <c r="D1482" s="721">
        <v>395</v>
      </c>
      <c r="E1482" s="721" t="s">
        <v>4855</v>
      </c>
      <c r="F1482" s="721" t="s">
        <v>84</v>
      </c>
      <c r="G1482" s="721" t="s">
        <v>2042</v>
      </c>
      <c r="H1482" s="721">
        <v>3</v>
      </c>
      <c r="I1482" s="721" t="s">
        <v>5070</v>
      </c>
      <c r="J1482" s="721" t="s">
        <v>5071</v>
      </c>
      <c r="K1482" s="721" t="s">
        <v>2044</v>
      </c>
      <c r="L1482" s="721">
        <v>1016086049</v>
      </c>
      <c r="M1482" s="721" t="s">
        <v>3279</v>
      </c>
      <c r="N1482" s="746"/>
      <c r="O1482" s="746"/>
      <c r="P1482" s="746"/>
      <c r="Q1482" s="746"/>
      <c r="R1482" s="521"/>
      <c r="S1482" s="521"/>
    </row>
    <row r="1483" spans="1:19">
      <c r="A1483" s="723">
        <v>80</v>
      </c>
      <c r="B1483" s="723">
        <v>20202395004</v>
      </c>
      <c r="C1483" s="723" t="s">
        <v>5072</v>
      </c>
      <c r="D1483" s="723">
        <v>395</v>
      </c>
      <c r="E1483" s="723" t="s">
        <v>4855</v>
      </c>
      <c r="F1483" s="723" t="s">
        <v>84</v>
      </c>
      <c r="G1483" s="723" t="s">
        <v>2042</v>
      </c>
      <c r="H1483" s="723">
        <v>3</v>
      </c>
      <c r="I1483" s="723" t="s">
        <v>5073</v>
      </c>
      <c r="J1483" s="723" t="s">
        <v>5074</v>
      </c>
      <c r="K1483" s="723" t="s">
        <v>2044</v>
      </c>
      <c r="L1483" s="723">
        <v>1018462472</v>
      </c>
      <c r="M1483" s="723" t="s">
        <v>3322</v>
      </c>
      <c r="N1483" s="746"/>
      <c r="O1483" s="746"/>
      <c r="P1483" s="746"/>
      <c r="Q1483" s="746"/>
      <c r="R1483" s="521"/>
      <c r="S1483" s="521"/>
    </row>
    <row r="1484" spans="1:19">
      <c r="A1484" s="721">
        <v>81</v>
      </c>
      <c r="B1484" s="721">
        <v>20202395006</v>
      </c>
      <c r="C1484" s="721" t="s">
        <v>5075</v>
      </c>
      <c r="D1484" s="721">
        <v>395</v>
      </c>
      <c r="E1484" s="721" t="s">
        <v>4855</v>
      </c>
      <c r="F1484" s="721" t="s">
        <v>84</v>
      </c>
      <c r="G1484" s="721" t="s">
        <v>2042</v>
      </c>
      <c r="H1484" s="721">
        <v>3</v>
      </c>
      <c r="I1484" s="721" t="s">
        <v>5076</v>
      </c>
      <c r="J1484" s="721" t="s">
        <v>5077</v>
      </c>
      <c r="K1484" s="721" t="s">
        <v>2044</v>
      </c>
      <c r="L1484" s="721">
        <v>1015440936</v>
      </c>
      <c r="M1484" s="721" t="s">
        <v>3322</v>
      </c>
      <c r="N1484" s="746"/>
      <c r="O1484" s="746"/>
      <c r="P1484" s="746"/>
      <c r="Q1484" s="746"/>
      <c r="R1484" s="521"/>
      <c r="S1484" s="521"/>
    </row>
    <row r="1485" spans="1:19">
      <c r="A1485" s="723">
        <v>82</v>
      </c>
      <c r="B1485" s="723">
        <v>20202395014</v>
      </c>
      <c r="C1485" s="723" t="s">
        <v>5078</v>
      </c>
      <c r="D1485" s="723">
        <v>395</v>
      </c>
      <c r="E1485" s="723" t="s">
        <v>4855</v>
      </c>
      <c r="F1485" s="723" t="s">
        <v>84</v>
      </c>
      <c r="G1485" s="723" t="s">
        <v>2042</v>
      </c>
      <c r="H1485" s="723">
        <v>2</v>
      </c>
      <c r="I1485" s="723" t="s">
        <v>5079</v>
      </c>
      <c r="J1485" s="723" t="s">
        <v>5080</v>
      </c>
      <c r="K1485" s="723" t="s">
        <v>2044</v>
      </c>
      <c r="L1485" s="723">
        <v>52268802</v>
      </c>
      <c r="M1485" s="723" t="s">
        <v>1348</v>
      </c>
      <c r="N1485" s="746"/>
      <c r="O1485" s="746"/>
      <c r="P1485" s="746"/>
      <c r="Q1485" s="746"/>
      <c r="R1485" s="521"/>
      <c r="S1485" s="521"/>
    </row>
    <row r="1486" spans="1:19">
      <c r="A1486" s="721">
        <v>83</v>
      </c>
      <c r="B1486" s="721">
        <v>20211395001</v>
      </c>
      <c r="C1486" s="721" t="s">
        <v>3347</v>
      </c>
      <c r="D1486" s="721">
        <v>395</v>
      </c>
      <c r="E1486" s="721" t="s">
        <v>4855</v>
      </c>
      <c r="F1486" s="721" t="s">
        <v>84</v>
      </c>
      <c r="G1486" s="721" t="s">
        <v>2042</v>
      </c>
      <c r="H1486" s="721">
        <v>2</v>
      </c>
      <c r="I1486" s="721" t="s">
        <v>5081</v>
      </c>
      <c r="J1486" s="721" t="s">
        <v>3348</v>
      </c>
      <c r="K1486" s="721" t="s">
        <v>2044</v>
      </c>
      <c r="L1486" s="721">
        <v>1018483537</v>
      </c>
      <c r="M1486" s="721" t="s">
        <v>3279</v>
      </c>
      <c r="N1486" s="746"/>
      <c r="O1486" s="746"/>
      <c r="P1486" s="746"/>
      <c r="Q1486" s="746"/>
      <c r="R1486" s="521"/>
      <c r="S1486" s="521"/>
    </row>
    <row r="1487" spans="1:19">
      <c r="A1487" s="723">
        <v>84</v>
      </c>
      <c r="B1487" s="723">
        <v>20211395004</v>
      </c>
      <c r="C1487" s="723" t="s">
        <v>5082</v>
      </c>
      <c r="D1487" s="723">
        <v>395</v>
      </c>
      <c r="E1487" s="723" t="s">
        <v>4855</v>
      </c>
      <c r="F1487" s="723" t="s">
        <v>84</v>
      </c>
      <c r="G1487" s="723" t="s">
        <v>2042</v>
      </c>
      <c r="H1487" s="723">
        <v>2</v>
      </c>
      <c r="I1487" s="723" t="s">
        <v>5083</v>
      </c>
      <c r="J1487" s="723" t="s">
        <v>5084</v>
      </c>
      <c r="K1487" s="723" t="s">
        <v>2044</v>
      </c>
      <c r="L1487" s="723">
        <v>1018466189</v>
      </c>
      <c r="M1487" s="723" t="s">
        <v>1364</v>
      </c>
      <c r="N1487" s="746"/>
      <c r="O1487" s="746"/>
      <c r="P1487" s="746"/>
      <c r="Q1487" s="746"/>
      <c r="R1487" s="521"/>
      <c r="S1487" s="521"/>
    </row>
    <row r="1488" spans="1:19">
      <c r="A1488" s="721">
        <v>85</v>
      </c>
      <c r="B1488" s="721">
        <v>20211395006</v>
      </c>
      <c r="C1488" s="721" t="s">
        <v>5085</v>
      </c>
      <c r="D1488" s="721">
        <v>395</v>
      </c>
      <c r="E1488" s="721" t="s">
        <v>4855</v>
      </c>
      <c r="F1488" s="721" t="s">
        <v>84</v>
      </c>
      <c r="G1488" s="721" t="s">
        <v>2042</v>
      </c>
      <c r="H1488" s="721">
        <v>3</v>
      </c>
      <c r="I1488" s="721" t="s">
        <v>5086</v>
      </c>
      <c r="J1488" s="721" t="s">
        <v>5087</v>
      </c>
      <c r="K1488" s="721" t="s">
        <v>2044</v>
      </c>
      <c r="L1488" s="721">
        <v>1032433435</v>
      </c>
      <c r="M1488" s="721" t="s">
        <v>3279</v>
      </c>
      <c r="N1488" s="746"/>
      <c r="O1488" s="746"/>
      <c r="P1488" s="746"/>
      <c r="Q1488" s="746"/>
      <c r="R1488" s="521"/>
      <c r="S1488" s="521"/>
    </row>
    <row r="1489" spans="1:19">
      <c r="A1489" s="723">
        <v>86</v>
      </c>
      <c r="B1489" s="723">
        <v>20211395008</v>
      </c>
      <c r="C1489" s="723" t="s">
        <v>5088</v>
      </c>
      <c r="D1489" s="723">
        <v>395</v>
      </c>
      <c r="E1489" s="723" t="s">
        <v>4855</v>
      </c>
      <c r="F1489" s="723" t="s">
        <v>84</v>
      </c>
      <c r="G1489" s="723" t="s">
        <v>2042</v>
      </c>
      <c r="H1489" s="723">
        <v>3</v>
      </c>
      <c r="I1489" s="723" t="s">
        <v>5079</v>
      </c>
      <c r="J1489" s="723" t="s">
        <v>5089</v>
      </c>
      <c r="K1489" s="723" t="s">
        <v>2044</v>
      </c>
      <c r="L1489" s="723">
        <v>1013679772</v>
      </c>
      <c r="M1489" s="723" t="s">
        <v>1334</v>
      </c>
      <c r="N1489" s="746"/>
      <c r="O1489" s="746"/>
      <c r="P1489" s="746"/>
      <c r="Q1489" s="746"/>
      <c r="R1489" s="521"/>
      <c r="S1489" s="521"/>
    </row>
    <row r="1490" spans="1:19">
      <c r="A1490" s="721">
        <v>87</v>
      </c>
      <c r="B1490" s="721">
        <v>20212395004</v>
      </c>
      <c r="C1490" s="721" t="s">
        <v>5090</v>
      </c>
      <c r="D1490" s="721">
        <v>395</v>
      </c>
      <c r="E1490" s="721" t="s">
        <v>4855</v>
      </c>
      <c r="F1490" s="721" t="s">
        <v>84</v>
      </c>
      <c r="G1490" s="721" t="s">
        <v>2042</v>
      </c>
      <c r="H1490" s="721">
        <v>4</v>
      </c>
      <c r="I1490" s="721" t="s">
        <v>5091</v>
      </c>
      <c r="J1490" s="721" t="s">
        <v>5091</v>
      </c>
      <c r="K1490" s="721" t="s">
        <v>2044</v>
      </c>
      <c r="L1490" s="721">
        <v>1018475010</v>
      </c>
      <c r="M1490" s="721" t="s">
        <v>1348</v>
      </c>
      <c r="N1490" s="746"/>
      <c r="O1490" s="746"/>
      <c r="P1490" s="746"/>
      <c r="Q1490" s="746"/>
      <c r="R1490" s="521"/>
      <c r="S1490" s="521"/>
    </row>
    <row r="1491" spans="1:19">
      <c r="A1491" s="723">
        <v>88</v>
      </c>
      <c r="B1491" s="723">
        <v>20221395002</v>
      </c>
      <c r="C1491" s="723" t="s">
        <v>5092</v>
      </c>
      <c r="D1491" s="723">
        <v>395</v>
      </c>
      <c r="E1491" s="723" t="s">
        <v>4855</v>
      </c>
      <c r="F1491" s="723" t="s">
        <v>84</v>
      </c>
      <c r="G1491" s="723" t="s">
        <v>2042</v>
      </c>
      <c r="H1491" s="723" t="s">
        <v>2043</v>
      </c>
      <c r="I1491" s="723" t="s">
        <v>5093</v>
      </c>
      <c r="J1491" s="723" t="s">
        <v>5094</v>
      </c>
      <c r="K1491" s="723" t="s">
        <v>2044</v>
      </c>
      <c r="L1491" s="723">
        <v>1018477001</v>
      </c>
      <c r="M1491" s="723" t="s">
        <v>1364</v>
      </c>
      <c r="N1491" s="746"/>
      <c r="O1491" s="746"/>
      <c r="P1491" s="746"/>
      <c r="Q1491" s="746"/>
      <c r="R1491" s="521"/>
      <c r="S1491" s="521"/>
    </row>
    <row r="1492" spans="1:19">
      <c r="A1492" s="721">
        <v>89</v>
      </c>
      <c r="B1492" s="721">
        <v>20221395003</v>
      </c>
      <c r="C1492" s="721" t="s">
        <v>5095</v>
      </c>
      <c r="D1492" s="721">
        <v>395</v>
      </c>
      <c r="E1492" s="721" t="s">
        <v>4855</v>
      </c>
      <c r="F1492" s="721" t="s">
        <v>84</v>
      </c>
      <c r="G1492" s="721" t="s">
        <v>2042</v>
      </c>
      <c r="H1492" s="721">
        <v>2</v>
      </c>
      <c r="I1492" s="721" t="s">
        <v>5096</v>
      </c>
      <c r="J1492" s="721" t="s">
        <v>5097</v>
      </c>
      <c r="K1492" s="721" t="s">
        <v>2044</v>
      </c>
      <c r="L1492" s="721">
        <v>1012391241</v>
      </c>
      <c r="M1492" s="721" t="s">
        <v>1364</v>
      </c>
      <c r="N1492" s="746"/>
      <c r="O1492" s="746"/>
      <c r="P1492" s="746"/>
      <c r="Q1492" s="746"/>
      <c r="R1492" s="521"/>
      <c r="S1492" s="521"/>
    </row>
    <row r="1493" spans="1:19">
      <c r="A1493" s="723">
        <v>90</v>
      </c>
      <c r="B1493" s="723">
        <v>20221395004</v>
      </c>
      <c r="C1493" s="723" t="s">
        <v>5098</v>
      </c>
      <c r="D1493" s="723">
        <v>395</v>
      </c>
      <c r="E1493" s="723" t="s">
        <v>4855</v>
      </c>
      <c r="F1493" s="723" t="s">
        <v>84</v>
      </c>
      <c r="G1493" s="723" t="s">
        <v>2042</v>
      </c>
      <c r="H1493" s="723">
        <v>3</v>
      </c>
      <c r="I1493" s="723" t="s">
        <v>5099</v>
      </c>
      <c r="J1493" s="723" t="s">
        <v>5099</v>
      </c>
      <c r="K1493" s="723" t="s">
        <v>2044</v>
      </c>
      <c r="L1493" s="723">
        <v>1030534583</v>
      </c>
      <c r="M1493" s="723" t="s">
        <v>1356</v>
      </c>
      <c r="N1493" s="746"/>
      <c r="O1493" s="746"/>
      <c r="P1493" s="746"/>
      <c r="Q1493" s="746"/>
      <c r="R1493" s="521"/>
      <c r="S1493" s="521"/>
    </row>
    <row r="1494" spans="1:19" ht="14.25" customHeight="1">
      <c r="A1494" s="725" t="s">
        <v>2292</v>
      </c>
      <c r="B1494" s="725" t="s">
        <v>2292</v>
      </c>
      <c r="C1494" s="725" t="s">
        <v>2292</v>
      </c>
      <c r="D1494" s="725" t="s">
        <v>2292</v>
      </c>
      <c r="E1494" s="725" t="s">
        <v>2292</v>
      </c>
      <c r="F1494" s="725" t="s">
        <v>2292</v>
      </c>
      <c r="G1494" s="725" t="s">
        <v>2292</v>
      </c>
      <c r="H1494" s="725" t="s">
        <v>2292</v>
      </c>
      <c r="I1494" s="725" t="s">
        <v>2292</v>
      </c>
      <c r="J1494" s="725" t="s">
        <v>2292</v>
      </c>
      <c r="K1494" s="725" t="s">
        <v>2292</v>
      </c>
      <c r="L1494" s="725" t="s">
        <v>2292</v>
      </c>
      <c r="M1494" s="725" t="s">
        <v>2292</v>
      </c>
      <c r="N1494" s="746"/>
      <c r="O1494" s="746"/>
      <c r="P1494" s="746"/>
      <c r="Q1494" s="746"/>
      <c r="R1494" s="521"/>
      <c r="S1494" s="521"/>
    </row>
    <row r="1495" spans="1:19">
      <c r="A1495" s="719" t="s">
        <v>2033</v>
      </c>
      <c r="B1495" s="719" t="s">
        <v>2293</v>
      </c>
      <c r="C1495"/>
      <c r="D1495"/>
      <c r="E1495"/>
      <c r="F1495"/>
      <c r="G1495"/>
      <c r="H1495"/>
      <c r="I1495"/>
      <c r="J1495"/>
      <c r="K1495"/>
      <c r="L1495"/>
      <c r="M1495"/>
      <c r="N1495" s="746"/>
      <c r="O1495" s="746"/>
      <c r="P1495" s="746"/>
      <c r="Q1495" s="746"/>
      <c r="R1495" s="521"/>
      <c r="S1495" s="521"/>
    </row>
    <row r="1496" spans="1:19" ht="25.5">
      <c r="A1496" s="720" t="s">
        <v>2035</v>
      </c>
      <c r="B1496" s="720" t="s">
        <v>2036</v>
      </c>
      <c r="C1496" s="720" t="s">
        <v>1</v>
      </c>
      <c r="D1496" s="720" t="s">
        <v>2037</v>
      </c>
      <c r="E1496" s="720" t="s">
        <v>3</v>
      </c>
      <c r="F1496" s="720" t="s">
        <v>4</v>
      </c>
      <c r="G1496" s="720" t="s">
        <v>2038</v>
      </c>
      <c r="H1496" s="720" t="s">
        <v>6</v>
      </c>
      <c r="I1496" s="720" t="s">
        <v>7</v>
      </c>
      <c r="J1496" s="720" t="s">
        <v>8</v>
      </c>
      <c r="K1496" s="720" t="s">
        <v>2039</v>
      </c>
      <c r="L1496" s="720" t="s">
        <v>10</v>
      </c>
      <c r="M1496" s="720" t="s">
        <v>2040</v>
      </c>
      <c r="N1496" s="746"/>
      <c r="O1496" s="746"/>
      <c r="P1496" s="746"/>
      <c r="Q1496" s="746"/>
      <c r="R1496" s="521"/>
      <c r="S1496" s="521"/>
    </row>
    <row r="1497" spans="1:19">
      <c r="A1497" s="721">
        <v>91</v>
      </c>
      <c r="B1497" s="721">
        <v>20201395007</v>
      </c>
      <c r="C1497" s="721" t="s">
        <v>5100</v>
      </c>
      <c r="D1497" s="721">
        <v>395</v>
      </c>
      <c r="E1497" s="721" t="s">
        <v>4855</v>
      </c>
      <c r="F1497" s="721" t="s">
        <v>107</v>
      </c>
      <c r="G1497" s="721" t="s">
        <v>108</v>
      </c>
      <c r="H1497" s="721" t="s">
        <v>2043</v>
      </c>
      <c r="I1497" s="721"/>
      <c r="J1497" s="721" t="s">
        <v>5087</v>
      </c>
      <c r="K1497" s="721" t="s">
        <v>2044</v>
      </c>
      <c r="L1497" s="721">
        <v>1032433435</v>
      </c>
      <c r="M1497" s="722" t="s">
        <v>955</v>
      </c>
      <c r="N1497" s="746"/>
      <c r="O1497" s="746"/>
      <c r="P1497" s="746"/>
      <c r="Q1497" s="746"/>
      <c r="R1497" s="521"/>
      <c r="S1497" s="521"/>
    </row>
    <row r="1498" spans="1:19">
      <c r="A1498" s="723">
        <v>92</v>
      </c>
      <c r="B1498" s="723">
        <v>20201395009</v>
      </c>
      <c r="C1498" s="723" t="s">
        <v>5101</v>
      </c>
      <c r="D1498" s="723">
        <v>395</v>
      </c>
      <c r="E1498" s="723" t="s">
        <v>4855</v>
      </c>
      <c r="F1498" s="723" t="s">
        <v>107</v>
      </c>
      <c r="G1498" s="723" t="s">
        <v>108</v>
      </c>
      <c r="H1498" s="723" t="s">
        <v>2043</v>
      </c>
      <c r="I1498" s="723"/>
      <c r="J1498" s="723" t="s">
        <v>5102</v>
      </c>
      <c r="K1498" s="723" t="s">
        <v>2044</v>
      </c>
      <c r="L1498" s="723">
        <v>1032431801</v>
      </c>
      <c r="M1498" s="724" t="s">
        <v>955</v>
      </c>
      <c r="N1498" s="746"/>
      <c r="O1498" s="746"/>
      <c r="P1498" s="746"/>
      <c r="Q1498" s="746"/>
      <c r="R1498" s="521"/>
      <c r="S1498" s="521"/>
    </row>
    <row r="1499" spans="1:19">
      <c r="A1499" s="721">
        <v>93</v>
      </c>
      <c r="B1499" s="721">
        <v>20211395002</v>
      </c>
      <c r="C1499" s="721" t="s">
        <v>5103</v>
      </c>
      <c r="D1499" s="721">
        <v>395</v>
      </c>
      <c r="E1499" s="721" t="s">
        <v>4855</v>
      </c>
      <c r="F1499" s="721" t="s">
        <v>107</v>
      </c>
      <c r="G1499" s="721" t="s">
        <v>108</v>
      </c>
      <c r="H1499" s="721" t="s">
        <v>2043</v>
      </c>
      <c r="I1499" s="721"/>
      <c r="J1499" s="721" t="s">
        <v>5104</v>
      </c>
      <c r="K1499" s="721" t="s">
        <v>2044</v>
      </c>
      <c r="L1499" s="721">
        <v>1014194801</v>
      </c>
      <c r="M1499" s="722" t="s">
        <v>955</v>
      </c>
      <c r="N1499" s="746"/>
      <c r="O1499" s="746"/>
      <c r="P1499" s="746"/>
      <c r="Q1499" s="746"/>
      <c r="R1499" s="521"/>
      <c r="S1499" s="521"/>
    </row>
    <row r="1500" spans="1:19">
      <c r="A1500" s="723">
        <v>94</v>
      </c>
      <c r="B1500" s="723">
        <v>20211395005</v>
      </c>
      <c r="C1500" s="723" t="s">
        <v>5105</v>
      </c>
      <c r="D1500" s="723">
        <v>395</v>
      </c>
      <c r="E1500" s="723" t="s">
        <v>4855</v>
      </c>
      <c r="F1500" s="723" t="s">
        <v>107</v>
      </c>
      <c r="G1500" s="723" t="s">
        <v>108</v>
      </c>
      <c r="H1500" s="723" t="s">
        <v>2043</v>
      </c>
      <c r="I1500" s="723" t="s">
        <v>5106</v>
      </c>
      <c r="J1500" s="723" t="s">
        <v>5107</v>
      </c>
      <c r="K1500" s="723" t="s">
        <v>2044</v>
      </c>
      <c r="L1500" s="723">
        <v>1024530028</v>
      </c>
      <c r="M1500" s="724" t="s">
        <v>955</v>
      </c>
      <c r="N1500" s="746"/>
      <c r="O1500" s="746"/>
      <c r="P1500" s="746"/>
      <c r="Q1500" s="746"/>
      <c r="R1500" s="521"/>
      <c r="S1500" s="521"/>
    </row>
    <row r="1501" spans="1:19" ht="14.25" customHeight="1">
      <c r="A1501" s="725" t="s">
        <v>2292</v>
      </c>
      <c r="B1501" s="725" t="s">
        <v>2292</v>
      </c>
      <c r="C1501" s="725" t="s">
        <v>2292</v>
      </c>
      <c r="D1501" s="725" t="s">
        <v>2292</v>
      </c>
      <c r="E1501" s="725" t="s">
        <v>2292</v>
      </c>
      <c r="F1501" s="725" t="s">
        <v>2292</v>
      </c>
      <c r="G1501" s="725" t="s">
        <v>2292</v>
      </c>
      <c r="H1501" s="725" t="s">
        <v>2292</v>
      </c>
      <c r="I1501" s="725" t="s">
        <v>2292</v>
      </c>
      <c r="J1501" s="725" t="s">
        <v>2292</v>
      </c>
      <c r="K1501" s="725" t="s">
        <v>2292</v>
      </c>
      <c r="L1501" s="725" t="s">
        <v>2292</v>
      </c>
      <c r="M1501" s="725" t="s">
        <v>2292</v>
      </c>
      <c r="N1501" s="746"/>
      <c r="O1501" s="746"/>
      <c r="P1501" s="746"/>
      <c r="Q1501" s="746"/>
      <c r="R1501" s="521"/>
      <c r="S1501" s="521"/>
    </row>
    <row r="1502" spans="1:19">
      <c r="A1502" s="719" t="s">
        <v>2033</v>
      </c>
      <c r="B1502" s="719" t="s">
        <v>2529</v>
      </c>
      <c r="C1502"/>
      <c r="D1502"/>
      <c r="E1502"/>
      <c r="F1502"/>
      <c r="G1502"/>
      <c r="H1502"/>
      <c r="I1502"/>
      <c r="J1502"/>
      <c r="K1502"/>
      <c r="L1502"/>
      <c r="M1502"/>
      <c r="N1502" s="746"/>
      <c r="O1502" s="746"/>
      <c r="P1502" s="746"/>
      <c r="Q1502" s="746"/>
      <c r="R1502" s="521"/>
      <c r="S1502" s="521"/>
    </row>
    <row r="1503" spans="1:19" ht="25.5">
      <c r="A1503" s="720" t="s">
        <v>2035</v>
      </c>
      <c r="B1503" s="720" t="s">
        <v>2036</v>
      </c>
      <c r="C1503" s="720" t="s">
        <v>1</v>
      </c>
      <c r="D1503" s="720" t="s">
        <v>2037</v>
      </c>
      <c r="E1503" s="720" t="s">
        <v>3</v>
      </c>
      <c r="F1503" s="720" t="s">
        <v>4</v>
      </c>
      <c r="G1503" s="720" t="s">
        <v>2038</v>
      </c>
      <c r="H1503" s="720" t="s">
        <v>6</v>
      </c>
      <c r="I1503" s="720" t="s">
        <v>7</v>
      </c>
      <c r="J1503" s="720" t="s">
        <v>8</v>
      </c>
      <c r="K1503" s="720" t="s">
        <v>2039</v>
      </c>
      <c r="L1503" s="720" t="s">
        <v>10</v>
      </c>
      <c r="M1503" s="720" t="s">
        <v>2040</v>
      </c>
      <c r="N1503" s="746"/>
      <c r="O1503" s="746"/>
      <c r="P1503" s="746"/>
      <c r="Q1503" s="746"/>
      <c r="R1503" s="521"/>
      <c r="S1503" s="521"/>
    </row>
    <row r="1504" spans="1:19">
      <c r="A1504" s="721">
        <v>95</v>
      </c>
      <c r="B1504" s="721">
        <v>20141395001</v>
      </c>
      <c r="C1504" s="721" t="s">
        <v>5108</v>
      </c>
      <c r="D1504" s="721">
        <v>395</v>
      </c>
      <c r="E1504" s="721" t="s">
        <v>4855</v>
      </c>
      <c r="F1504" s="721" t="s">
        <v>122</v>
      </c>
      <c r="G1504" s="721" t="s">
        <v>108</v>
      </c>
      <c r="H1504" s="721" t="s">
        <v>2043</v>
      </c>
      <c r="I1504" s="721"/>
      <c r="J1504" s="721" t="s">
        <v>5109</v>
      </c>
      <c r="K1504" s="721" t="s">
        <v>2044</v>
      </c>
      <c r="L1504" s="721">
        <v>1013611578</v>
      </c>
      <c r="M1504" s="721" t="s">
        <v>2218</v>
      </c>
      <c r="N1504" s="746"/>
      <c r="O1504" s="746"/>
      <c r="P1504" s="746"/>
      <c r="Q1504" s="746"/>
      <c r="R1504" s="521"/>
      <c r="S1504" s="521"/>
    </row>
    <row r="1505" spans="1:19">
      <c r="A1505" s="723">
        <v>96</v>
      </c>
      <c r="B1505" s="723">
        <v>20161395001</v>
      </c>
      <c r="C1505" s="723" t="s">
        <v>5110</v>
      </c>
      <c r="D1505" s="723">
        <v>395</v>
      </c>
      <c r="E1505" s="723" t="s">
        <v>4855</v>
      </c>
      <c r="F1505" s="723" t="s">
        <v>122</v>
      </c>
      <c r="G1505" s="723" t="s">
        <v>108</v>
      </c>
      <c r="H1505" s="723" t="s">
        <v>2043</v>
      </c>
      <c r="I1505" s="723"/>
      <c r="J1505" s="723" t="s">
        <v>5111</v>
      </c>
      <c r="K1505" s="723" t="s">
        <v>2044</v>
      </c>
      <c r="L1505" s="723">
        <v>1018449895</v>
      </c>
      <c r="M1505" s="724" t="s">
        <v>955</v>
      </c>
      <c r="N1505" s="746"/>
      <c r="O1505" s="746"/>
      <c r="P1505" s="746"/>
      <c r="Q1505" s="746"/>
      <c r="R1505" s="521"/>
      <c r="S1505" s="521"/>
    </row>
    <row r="1506" spans="1:19">
      <c r="A1506" s="721">
        <v>97</v>
      </c>
      <c r="B1506" s="721">
        <v>20162395001</v>
      </c>
      <c r="C1506" s="721" t="s">
        <v>4948</v>
      </c>
      <c r="D1506" s="721">
        <v>395</v>
      </c>
      <c r="E1506" s="721" t="s">
        <v>4855</v>
      </c>
      <c r="F1506" s="721" t="s">
        <v>122</v>
      </c>
      <c r="G1506" s="721" t="s">
        <v>108</v>
      </c>
      <c r="H1506" s="721" t="s">
        <v>2043</v>
      </c>
      <c r="I1506" s="721"/>
      <c r="J1506" s="721" t="s">
        <v>4950</v>
      </c>
      <c r="K1506" s="721" t="s">
        <v>2044</v>
      </c>
      <c r="L1506" s="721">
        <v>1026285580</v>
      </c>
      <c r="M1506" s="721" t="s">
        <v>3123</v>
      </c>
      <c r="N1506" s="746"/>
      <c r="O1506" s="746"/>
      <c r="P1506" s="746"/>
      <c r="Q1506" s="746"/>
      <c r="R1506" s="521"/>
      <c r="S1506" s="521"/>
    </row>
    <row r="1507" spans="1:19">
      <c r="A1507" s="723">
        <v>98</v>
      </c>
      <c r="B1507" s="723">
        <v>20162395010</v>
      </c>
      <c r="C1507" s="723" t="s">
        <v>4969</v>
      </c>
      <c r="D1507" s="723">
        <v>395</v>
      </c>
      <c r="E1507" s="723" t="s">
        <v>4855</v>
      </c>
      <c r="F1507" s="723" t="s">
        <v>122</v>
      </c>
      <c r="G1507" s="723" t="s">
        <v>108</v>
      </c>
      <c r="H1507" s="723" t="s">
        <v>2043</v>
      </c>
      <c r="I1507" s="723"/>
      <c r="J1507" s="723" t="s">
        <v>5112</v>
      </c>
      <c r="K1507" s="723" t="s">
        <v>2044</v>
      </c>
      <c r="L1507" s="723">
        <v>1018469957</v>
      </c>
      <c r="M1507" s="724" t="s">
        <v>955</v>
      </c>
      <c r="N1507" s="746"/>
      <c r="O1507" s="746"/>
      <c r="P1507" s="746"/>
      <c r="Q1507" s="746"/>
      <c r="R1507" s="521"/>
      <c r="S1507" s="521"/>
    </row>
    <row r="1508" spans="1:19">
      <c r="A1508" s="721">
        <v>99</v>
      </c>
      <c r="B1508" s="721">
        <v>20171395003</v>
      </c>
      <c r="C1508" s="721" t="s">
        <v>5113</v>
      </c>
      <c r="D1508" s="721">
        <v>395</v>
      </c>
      <c r="E1508" s="721" t="s">
        <v>4855</v>
      </c>
      <c r="F1508" s="721" t="s">
        <v>122</v>
      </c>
      <c r="G1508" s="721" t="s">
        <v>108</v>
      </c>
      <c r="H1508" s="721" t="s">
        <v>2043</v>
      </c>
      <c r="I1508" s="721" t="s">
        <v>5114</v>
      </c>
      <c r="J1508" s="721" t="s">
        <v>5115</v>
      </c>
      <c r="K1508" s="721" t="s">
        <v>2044</v>
      </c>
      <c r="L1508" s="721">
        <v>79791274</v>
      </c>
      <c r="M1508" s="722" t="s">
        <v>955</v>
      </c>
      <c r="N1508" s="746"/>
      <c r="O1508" s="746"/>
      <c r="P1508" s="746"/>
      <c r="Q1508" s="746"/>
      <c r="R1508" s="521"/>
      <c r="S1508" s="521"/>
    </row>
    <row r="1509" spans="1:19">
      <c r="A1509" s="723">
        <v>100</v>
      </c>
      <c r="B1509" s="723">
        <v>20172395003</v>
      </c>
      <c r="C1509" s="723" t="s">
        <v>5116</v>
      </c>
      <c r="D1509" s="723">
        <v>395</v>
      </c>
      <c r="E1509" s="723" t="s">
        <v>4855</v>
      </c>
      <c r="F1509" s="723" t="s">
        <v>122</v>
      </c>
      <c r="G1509" s="723" t="s">
        <v>108</v>
      </c>
      <c r="H1509" s="723" t="s">
        <v>2043</v>
      </c>
      <c r="I1509" s="723" t="s">
        <v>5117</v>
      </c>
      <c r="J1509" s="723" t="s">
        <v>5118</v>
      </c>
      <c r="K1509" s="723" t="s">
        <v>2044</v>
      </c>
      <c r="L1509" s="723">
        <v>1023904261</v>
      </c>
      <c r="M1509" s="724" t="s">
        <v>955</v>
      </c>
      <c r="N1509" s="746"/>
      <c r="O1509" s="746"/>
      <c r="P1509" s="746"/>
      <c r="Q1509" s="746"/>
      <c r="R1509" s="521"/>
      <c r="S1509" s="521"/>
    </row>
    <row r="1510" spans="1:19">
      <c r="A1510" s="721">
        <v>101</v>
      </c>
      <c r="B1510" s="721">
        <v>20172395005</v>
      </c>
      <c r="C1510" s="721" t="s">
        <v>5119</v>
      </c>
      <c r="D1510" s="721">
        <v>395</v>
      </c>
      <c r="E1510" s="721" t="s">
        <v>4855</v>
      </c>
      <c r="F1510" s="721" t="s">
        <v>122</v>
      </c>
      <c r="G1510" s="721" t="s">
        <v>108</v>
      </c>
      <c r="H1510" s="721" t="s">
        <v>2043</v>
      </c>
      <c r="I1510" s="721" t="s">
        <v>5120</v>
      </c>
      <c r="J1510" s="721" t="s">
        <v>5121</v>
      </c>
      <c r="K1510" s="721" t="s">
        <v>2044</v>
      </c>
      <c r="L1510" s="721">
        <v>1015432056</v>
      </c>
      <c r="M1510" s="722" t="s">
        <v>955</v>
      </c>
      <c r="N1510" s="746"/>
      <c r="O1510" s="746"/>
      <c r="P1510" s="746"/>
      <c r="Q1510" s="746"/>
      <c r="R1510" s="521"/>
      <c r="S1510" s="521"/>
    </row>
    <row r="1511" spans="1:19">
      <c r="A1511" s="723">
        <v>102</v>
      </c>
      <c r="B1511" s="723">
        <v>20172395018</v>
      </c>
      <c r="C1511" s="723" t="s">
        <v>5122</v>
      </c>
      <c r="D1511" s="723">
        <v>395</v>
      </c>
      <c r="E1511" s="723" t="s">
        <v>4855</v>
      </c>
      <c r="F1511" s="723" t="s">
        <v>122</v>
      </c>
      <c r="G1511" s="723" t="s">
        <v>108</v>
      </c>
      <c r="H1511" s="723" t="s">
        <v>2043</v>
      </c>
      <c r="I1511" s="723" t="s">
        <v>5123</v>
      </c>
      <c r="J1511" s="723" t="s">
        <v>5124</v>
      </c>
      <c r="K1511" s="723" t="s">
        <v>5125</v>
      </c>
      <c r="L1511" s="723">
        <v>41042251</v>
      </c>
      <c r="M1511" s="724" t="s">
        <v>955</v>
      </c>
      <c r="N1511" s="746"/>
      <c r="O1511" s="746"/>
      <c r="P1511" s="746"/>
      <c r="Q1511" s="746"/>
      <c r="R1511" s="521"/>
      <c r="S1511" s="521"/>
    </row>
    <row r="1512" spans="1:19">
      <c r="A1512" s="721">
        <v>103</v>
      </c>
      <c r="B1512" s="721">
        <v>20182395001</v>
      </c>
      <c r="C1512" s="721" t="s">
        <v>5126</v>
      </c>
      <c r="D1512" s="721">
        <v>395</v>
      </c>
      <c r="E1512" s="721" t="s">
        <v>4855</v>
      </c>
      <c r="F1512" s="721" t="s">
        <v>122</v>
      </c>
      <c r="G1512" s="721" t="s">
        <v>108</v>
      </c>
      <c r="H1512" s="721" t="s">
        <v>2043</v>
      </c>
      <c r="I1512" s="721" t="s">
        <v>5127</v>
      </c>
      <c r="J1512" s="721" t="s">
        <v>5128</v>
      </c>
      <c r="K1512" s="721" t="s">
        <v>2044</v>
      </c>
      <c r="L1512" s="721">
        <v>1020782617</v>
      </c>
      <c r="M1512" s="722" t="s">
        <v>955</v>
      </c>
      <c r="N1512" s="746"/>
      <c r="O1512" s="746"/>
      <c r="P1512" s="746"/>
      <c r="Q1512" s="746"/>
      <c r="R1512" s="521"/>
      <c r="S1512" s="521"/>
    </row>
    <row r="1513" spans="1:19">
      <c r="A1513" s="723">
        <v>104</v>
      </c>
      <c r="B1513" s="723">
        <v>20182395002</v>
      </c>
      <c r="C1513" s="723" t="s">
        <v>5129</v>
      </c>
      <c r="D1513" s="723">
        <v>395</v>
      </c>
      <c r="E1513" s="723" t="s">
        <v>4855</v>
      </c>
      <c r="F1513" s="723" t="s">
        <v>122</v>
      </c>
      <c r="G1513" s="723" t="s">
        <v>108</v>
      </c>
      <c r="H1513" s="723" t="s">
        <v>2043</v>
      </c>
      <c r="I1513" s="723" t="s">
        <v>5130</v>
      </c>
      <c r="J1513" s="723" t="s">
        <v>5131</v>
      </c>
      <c r="K1513" s="723" t="s">
        <v>2044</v>
      </c>
      <c r="L1513" s="723">
        <v>1012411066</v>
      </c>
      <c r="M1513" s="724" t="s">
        <v>955</v>
      </c>
      <c r="N1513" s="746"/>
      <c r="O1513" s="746"/>
      <c r="P1513" s="746"/>
      <c r="Q1513" s="746"/>
      <c r="R1513" s="521"/>
      <c r="S1513" s="521"/>
    </row>
    <row r="1514" spans="1:19">
      <c r="A1514" s="721">
        <v>105</v>
      </c>
      <c r="B1514" s="721">
        <v>20191395001</v>
      </c>
      <c r="C1514" s="721" t="s">
        <v>4618</v>
      </c>
      <c r="D1514" s="721">
        <v>395</v>
      </c>
      <c r="E1514" s="721" t="s">
        <v>4855</v>
      </c>
      <c r="F1514" s="721" t="s">
        <v>122</v>
      </c>
      <c r="G1514" s="721" t="s">
        <v>108</v>
      </c>
      <c r="H1514" s="721" t="s">
        <v>2043</v>
      </c>
      <c r="I1514" s="721" t="s">
        <v>5132</v>
      </c>
      <c r="J1514" s="721" t="s">
        <v>5133</v>
      </c>
      <c r="K1514" s="721" t="s">
        <v>2044</v>
      </c>
      <c r="L1514" s="721">
        <v>79797298</v>
      </c>
      <c r="M1514" s="722" t="s">
        <v>955</v>
      </c>
      <c r="N1514" s="746"/>
      <c r="O1514" s="746"/>
      <c r="P1514" s="746"/>
      <c r="Q1514" s="746"/>
      <c r="R1514" s="521"/>
      <c r="S1514" s="521"/>
    </row>
    <row r="1515" spans="1:19">
      <c r="A1515" s="723">
        <v>106</v>
      </c>
      <c r="B1515" s="723">
        <v>20191395007</v>
      </c>
      <c r="C1515" s="723" t="s">
        <v>5134</v>
      </c>
      <c r="D1515" s="723">
        <v>395</v>
      </c>
      <c r="E1515" s="723" t="s">
        <v>4855</v>
      </c>
      <c r="F1515" s="723" t="s">
        <v>122</v>
      </c>
      <c r="G1515" s="723" t="s">
        <v>108</v>
      </c>
      <c r="H1515" s="723" t="s">
        <v>2043</v>
      </c>
      <c r="I1515" s="723" t="s">
        <v>5135</v>
      </c>
      <c r="J1515" s="723" t="s">
        <v>5136</v>
      </c>
      <c r="K1515" s="723" t="s">
        <v>2044</v>
      </c>
      <c r="L1515" s="723">
        <v>1053607338</v>
      </c>
      <c r="M1515" s="724" t="s">
        <v>955</v>
      </c>
      <c r="N1515" s="746"/>
      <c r="O1515" s="746"/>
      <c r="P1515" s="746"/>
      <c r="Q1515" s="746"/>
      <c r="R1515" s="521"/>
      <c r="S1515" s="521"/>
    </row>
    <row r="1516" spans="1:19">
      <c r="A1516" s="721">
        <v>107</v>
      </c>
      <c r="B1516" s="721">
        <v>20191395008</v>
      </c>
      <c r="C1516" s="721" t="s">
        <v>5137</v>
      </c>
      <c r="D1516" s="721">
        <v>395</v>
      </c>
      <c r="E1516" s="721" t="s">
        <v>4855</v>
      </c>
      <c r="F1516" s="721" t="s">
        <v>122</v>
      </c>
      <c r="G1516" s="721" t="s">
        <v>108</v>
      </c>
      <c r="H1516" s="721" t="s">
        <v>2043</v>
      </c>
      <c r="I1516" s="721" t="s">
        <v>5138</v>
      </c>
      <c r="J1516" s="721" t="s">
        <v>5139</v>
      </c>
      <c r="K1516" s="721" t="s">
        <v>2044</v>
      </c>
      <c r="L1516" s="721">
        <v>74130897</v>
      </c>
      <c r="M1516" s="722" t="s">
        <v>955</v>
      </c>
      <c r="N1516" s="746"/>
      <c r="O1516" s="746"/>
      <c r="P1516" s="746"/>
      <c r="Q1516" s="746"/>
      <c r="R1516" s="521"/>
      <c r="S1516" s="521"/>
    </row>
    <row r="1517" spans="1:19">
      <c r="A1517" s="723">
        <v>108</v>
      </c>
      <c r="B1517" s="723">
        <v>20192395015</v>
      </c>
      <c r="C1517" s="723" t="s">
        <v>5054</v>
      </c>
      <c r="D1517" s="723">
        <v>395</v>
      </c>
      <c r="E1517" s="723" t="s">
        <v>4855</v>
      </c>
      <c r="F1517" s="723" t="s">
        <v>122</v>
      </c>
      <c r="G1517" s="723" t="s">
        <v>108</v>
      </c>
      <c r="H1517" s="723" t="s">
        <v>2043</v>
      </c>
      <c r="I1517" s="723" t="s">
        <v>5140</v>
      </c>
      <c r="J1517" s="723" t="s">
        <v>5141</v>
      </c>
      <c r="K1517" s="723" t="s">
        <v>2044</v>
      </c>
      <c r="L1517" s="723">
        <v>1018486062</v>
      </c>
      <c r="M1517" s="724" t="s">
        <v>955</v>
      </c>
      <c r="N1517" s="746"/>
      <c r="O1517" s="746"/>
      <c r="P1517" s="746"/>
      <c r="Q1517" s="746"/>
      <c r="R1517" s="521"/>
      <c r="S1517" s="521"/>
    </row>
    <row r="1518" spans="1:19">
      <c r="A1518" s="721">
        <v>109</v>
      </c>
      <c r="B1518" s="721">
        <v>20202395012</v>
      </c>
      <c r="C1518" s="721" t="s">
        <v>5142</v>
      </c>
      <c r="D1518" s="721">
        <v>395</v>
      </c>
      <c r="E1518" s="721" t="s">
        <v>4855</v>
      </c>
      <c r="F1518" s="721" t="s">
        <v>122</v>
      </c>
      <c r="G1518" s="721" t="s">
        <v>108</v>
      </c>
      <c r="H1518" s="721">
        <v>3</v>
      </c>
      <c r="I1518" s="721"/>
      <c r="J1518" s="721" t="s">
        <v>5143</v>
      </c>
      <c r="K1518" s="721" t="s">
        <v>2044</v>
      </c>
      <c r="L1518" s="721">
        <v>1018481617</v>
      </c>
      <c r="M1518" s="722" t="s">
        <v>955</v>
      </c>
      <c r="N1518" s="746"/>
      <c r="O1518" s="746"/>
      <c r="P1518" s="746"/>
      <c r="Q1518" s="746"/>
      <c r="R1518" s="521"/>
      <c r="S1518" s="521"/>
    </row>
    <row r="1519" spans="1:19">
      <c r="A1519" s="723">
        <v>110</v>
      </c>
      <c r="B1519" s="723">
        <v>20202395017</v>
      </c>
      <c r="C1519" s="723" t="s">
        <v>5144</v>
      </c>
      <c r="D1519" s="723">
        <v>395</v>
      </c>
      <c r="E1519" s="723" t="s">
        <v>4855</v>
      </c>
      <c r="F1519" s="723" t="s">
        <v>122</v>
      </c>
      <c r="G1519" s="723" t="s">
        <v>108</v>
      </c>
      <c r="H1519" s="723" t="s">
        <v>2043</v>
      </c>
      <c r="I1519" s="723"/>
      <c r="J1519" s="723" t="s">
        <v>5145</v>
      </c>
      <c r="K1519" s="723" t="s">
        <v>2044</v>
      </c>
      <c r="L1519" s="723">
        <v>0</v>
      </c>
      <c r="M1519" s="724" t="s">
        <v>955</v>
      </c>
      <c r="N1519" s="746"/>
      <c r="O1519" s="746"/>
      <c r="P1519" s="746"/>
      <c r="Q1519" s="746"/>
      <c r="R1519" s="521"/>
      <c r="S1519" s="521"/>
    </row>
    <row r="1520" spans="1:19">
      <c r="A1520" s="721">
        <v>111</v>
      </c>
      <c r="B1520" s="721">
        <v>20212395001</v>
      </c>
      <c r="C1520" s="721" t="s">
        <v>5146</v>
      </c>
      <c r="D1520" s="721">
        <v>395</v>
      </c>
      <c r="E1520" s="721" t="s">
        <v>4855</v>
      </c>
      <c r="F1520" s="721" t="s">
        <v>122</v>
      </c>
      <c r="G1520" s="721" t="s">
        <v>108</v>
      </c>
      <c r="H1520" s="721" t="s">
        <v>2043</v>
      </c>
      <c r="I1520" s="721"/>
      <c r="J1520" s="721" t="s">
        <v>5147</v>
      </c>
      <c r="K1520" s="721" t="s">
        <v>2044</v>
      </c>
      <c r="L1520" s="721">
        <v>1027885785</v>
      </c>
      <c r="M1520" s="722" t="s">
        <v>955</v>
      </c>
      <c r="N1520" s="746"/>
      <c r="O1520" s="746"/>
      <c r="P1520" s="746"/>
      <c r="Q1520" s="746"/>
      <c r="R1520" s="521"/>
      <c r="S1520" s="521"/>
    </row>
    <row r="1521" spans="1:19">
      <c r="A1521" s="723">
        <v>112</v>
      </c>
      <c r="B1521" s="723">
        <v>20221395006</v>
      </c>
      <c r="C1521" s="723" t="s">
        <v>5148</v>
      </c>
      <c r="D1521" s="723">
        <v>395</v>
      </c>
      <c r="E1521" s="723" t="s">
        <v>4855</v>
      </c>
      <c r="F1521" s="723" t="s">
        <v>122</v>
      </c>
      <c r="G1521" s="723" t="s">
        <v>108</v>
      </c>
      <c r="H1521" s="723" t="s">
        <v>2043</v>
      </c>
      <c r="I1521" s="723"/>
      <c r="J1521" s="723"/>
      <c r="K1521" s="723" t="s">
        <v>2044</v>
      </c>
      <c r="L1521" s="723">
        <v>1136882132</v>
      </c>
      <c r="M1521" s="724" t="s">
        <v>955</v>
      </c>
      <c r="N1521" s="746"/>
      <c r="O1521" s="746"/>
      <c r="P1521" s="746"/>
      <c r="Q1521" s="746"/>
      <c r="R1521" s="521"/>
      <c r="S1521" s="521"/>
    </row>
    <row r="1522" spans="1:19">
      <c r="A1522" s="721">
        <v>113</v>
      </c>
      <c r="B1522" s="721">
        <v>20221395007</v>
      </c>
      <c r="C1522" s="721" t="s">
        <v>5148</v>
      </c>
      <c r="D1522" s="721">
        <v>395</v>
      </c>
      <c r="E1522" s="721" t="s">
        <v>4855</v>
      </c>
      <c r="F1522" s="721" t="s">
        <v>122</v>
      </c>
      <c r="G1522" s="721" t="s">
        <v>108</v>
      </c>
      <c r="H1522" s="721" t="s">
        <v>2043</v>
      </c>
      <c r="I1522" s="721"/>
      <c r="J1522" s="721" t="s">
        <v>5149</v>
      </c>
      <c r="K1522" s="721" t="s">
        <v>2044</v>
      </c>
      <c r="L1522" s="721">
        <v>1136882132</v>
      </c>
      <c r="M1522" s="722" t="s">
        <v>955</v>
      </c>
      <c r="N1522" s="746"/>
      <c r="O1522" s="746"/>
      <c r="P1522" s="746"/>
      <c r="Q1522" s="746"/>
      <c r="R1522" s="521"/>
      <c r="S1522" s="521"/>
    </row>
    <row r="1523" spans="1:19">
      <c r="A1523" s="723">
        <v>114</v>
      </c>
      <c r="B1523" s="723">
        <v>20221395008</v>
      </c>
      <c r="C1523" s="723" t="s">
        <v>5150</v>
      </c>
      <c r="D1523" s="723">
        <v>395</v>
      </c>
      <c r="E1523" s="723" t="s">
        <v>4855</v>
      </c>
      <c r="F1523" s="723" t="s">
        <v>122</v>
      </c>
      <c r="G1523" s="723" t="s">
        <v>108</v>
      </c>
      <c r="H1523" s="723">
        <v>3</v>
      </c>
      <c r="I1523" s="723"/>
      <c r="J1523" s="723" t="s">
        <v>5151</v>
      </c>
      <c r="K1523" s="723" t="s">
        <v>2044</v>
      </c>
      <c r="L1523" s="723">
        <v>1016031602</v>
      </c>
      <c r="M1523" s="724" t="s">
        <v>955</v>
      </c>
      <c r="N1523" s="746"/>
      <c r="O1523" s="746"/>
      <c r="P1523" s="746"/>
      <c r="Q1523" s="746"/>
      <c r="R1523" s="521"/>
      <c r="S1523" s="521"/>
    </row>
    <row r="1524" spans="1:19" ht="14.25" customHeight="1">
      <c r="A1524" s="725" t="s">
        <v>2292</v>
      </c>
      <c r="B1524" s="725" t="s">
        <v>2292</v>
      </c>
      <c r="C1524" s="725" t="s">
        <v>2292</v>
      </c>
      <c r="D1524" s="725" t="s">
        <v>2292</v>
      </c>
      <c r="E1524" s="725" t="s">
        <v>2292</v>
      </c>
      <c r="F1524" s="725" t="s">
        <v>2292</v>
      </c>
      <c r="G1524" s="725" t="s">
        <v>2292</v>
      </c>
      <c r="H1524" s="725" t="s">
        <v>2292</v>
      </c>
      <c r="I1524" s="725" t="s">
        <v>2292</v>
      </c>
      <c r="J1524" s="725" t="s">
        <v>2292</v>
      </c>
      <c r="K1524" s="725" t="s">
        <v>2292</v>
      </c>
      <c r="L1524" s="725" t="s">
        <v>2292</v>
      </c>
      <c r="M1524" s="725" t="s">
        <v>2292</v>
      </c>
      <c r="N1524" s="746"/>
      <c r="O1524" s="746"/>
      <c r="P1524" s="746"/>
      <c r="Q1524" s="746"/>
      <c r="R1524" s="521"/>
      <c r="S1524" s="521"/>
    </row>
    <row r="1525" spans="1:19" ht="25.5">
      <c r="A1525" s="719" t="s">
        <v>2033</v>
      </c>
      <c r="B1525" s="719" t="s">
        <v>3404</v>
      </c>
      <c r="C1525"/>
      <c r="D1525"/>
      <c r="E1525"/>
      <c r="F1525"/>
      <c r="G1525"/>
      <c r="H1525"/>
      <c r="I1525"/>
      <c r="J1525"/>
      <c r="K1525"/>
      <c r="L1525"/>
      <c r="M1525"/>
      <c r="N1525" s="746"/>
      <c r="O1525" s="746"/>
      <c r="P1525" s="746"/>
      <c r="Q1525" s="746"/>
      <c r="R1525" s="521"/>
      <c r="S1525" s="521"/>
    </row>
    <row r="1526" spans="1:19" ht="25.5">
      <c r="A1526" s="720" t="s">
        <v>2035</v>
      </c>
      <c r="B1526" s="720" t="s">
        <v>2036</v>
      </c>
      <c r="C1526" s="720" t="s">
        <v>1</v>
      </c>
      <c r="D1526" s="720" t="s">
        <v>2037</v>
      </c>
      <c r="E1526" s="720" t="s">
        <v>3</v>
      </c>
      <c r="F1526" s="720" t="s">
        <v>4</v>
      </c>
      <c r="G1526" s="720" t="s">
        <v>2038</v>
      </c>
      <c r="H1526" s="720" t="s">
        <v>6</v>
      </c>
      <c r="I1526" s="720" t="s">
        <v>7</v>
      </c>
      <c r="J1526" s="720" t="s">
        <v>8</v>
      </c>
      <c r="K1526" s="720" t="s">
        <v>2039</v>
      </c>
      <c r="L1526" s="720" t="s">
        <v>10</v>
      </c>
      <c r="M1526" s="720" t="s">
        <v>2040</v>
      </c>
      <c r="N1526" s="746"/>
      <c r="O1526" s="746"/>
      <c r="P1526" s="746"/>
      <c r="Q1526" s="746"/>
      <c r="R1526" s="521"/>
      <c r="S1526" s="521"/>
    </row>
    <row r="1527" spans="1:19">
      <c r="A1527" s="721">
        <v>115</v>
      </c>
      <c r="B1527" s="721">
        <v>20202395001</v>
      </c>
      <c r="C1527" s="721" t="s">
        <v>5152</v>
      </c>
      <c r="D1527" s="721">
        <v>395</v>
      </c>
      <c r="E1527" s="721" t="s">
        <v>4855</v>
      </c>
      <c r="F1527" s="721" t="s">
        <v>147</v>
      </c>
      <c r="G1527" s="721" t="s">
        <v>3406</v>
      </c>
      <c r="H1527" s="721">
        <v>2</v>
      </c>
      <c r="I1527" s="721" t="s">
        <v>5153</v>
      </c>
      <c r="J1527" s="721" t="s">
        <v>5154</v>
      </c>
      <c r="K1527" s="721" t="s">
        <v>2044</v>
      </c>
      <c r="L1527" s="721">
        <v>80175138</v>
      </c>
      <c r="M1527" s="721" t="s">
        <v>3322</v>
      </c>
      <c r="N1527" s="746"/>
      <c r="O1527" s="746"/>
      <c r="P1527" s="746"/>
      <c r="Q1527" s="746"/>
      <c r="R1527" s="521"/>
      <c r="S1527" s="521"/>
    </row>
    <row r="1528" spans="1:19">
      <c r="A1528" s="723">
        <v>116</v>
      </c>
      <c r="B1528" s="723">
        <v>20221395010</v>
      </c>
      <c r="C1528" s="723" t="s">
        <v>5155</v>
      </c>
      <c r="D1528" s="723">
        <v>395</v>
      </c>
      <c r="E1528" s="723" t="s">
        <v>4855</v>
      </c>
      <c r="F1528" s="723" t="s">
        <v>147</v>
      </c>
      <c r="G1528" s="723" t="s">
        <v>3406</v>
      </c>
      <c r="H1528" s="723">
        <v>3</v>
      </c>
      <c r="I1528" s="723" t="s">
        <v>5156</v>
      </c>
      <c r="J1528" s="723" t="s">
        <v>5157</v>
      </c>
      <c r="K1528" s="723" t="s">
        <v>2044</v>
      </c>
      <c r="L1528" s="723">
        <v>80903757</v>
      </c>
      <c r="M1528" s="723" t="s">
        <v>3322</v>
      </c>
      <c r="N1528" s="746"/>
      <c r="O1528" s="746"/>
      <c r="P1528" s="746"/>
      <c r="Q1528" s="746"/>
      <c r="R1528" s="521"/>
      <c r="S1528" s="521"/>
    </row>
    <row r="1529" spans="1:19">
      <c r="A1529" s="725" t="s">
        <v>2292</v>
      </c>
      <c r="B1529" s="725" t="s">
        <v>2292</v>
      </c>
      <c r="C1529" s="725" t="s">
        <v>2292</v>
      </c>
      <c r="D1529" s="725" t="s">
        <v>2292</v>
      </c>
      <c r="E1529" s="725" t="s">
        <v>2292</v>
      </c>
      <c r="F1529" s="725" t="s">
        <v>2292</v>
      </c>
      <c r="G1529" s="725" t="s">
        <v>2292</v>
      </c>
      <c r="H1529" s="725" t="s">
        <v>2292</v>
      </c>
      <c r="I1529" s="725" t="s">
        <v>2292</v>
      </c>
      <c r="J1529" s="725" t="s">
        <v>2292</v>
      </c>
      <c r="K1529" s="725" t="s">
        <v>2292</v>
      </c>
      <c r="L1529" s="725" t="s">
        <v>2292</v>
      </c>
      <c r="M1529" s="725" t="s">
        <v>2292</v>
      </c>
      <c r="N1529" s="746"/>
      <c r="O1529" s="746"/>
      <c r="P1529" s="746"/>
      <c r="Q1529" s="746"/>
      <c r="R1529" s="521"/>
      <c r="S1529" s="521"/>
    </row>
    <row r="1530" spans="1:19" ht="25.5">
      <c r="A1530" s="719" t="s">
        <v>2033</v>
      </c>
      <c r="B1530" s="719" t="s">
        <v>2544</v>
      </c>
      <c r="C1530"/>
      <c r="D1530"/>
      <c r="E1530"/>
      <c r="F1530"/>
      <c r="G1530"/>
      <c r="H1530"/>
      <c r="I1530"/>
      <c r="J1530"/>
      <c r="K1530"/>
      <c r="L1530"/>
      <c r="M1530"/>
      <c r="N1530" s="746"/>
      <c r="O1530" s="746"/>
      <c r="P1530" s="746"/>
      <c r="Q1530" s="746"/>
      <c r="R1530" s="521"/>
      <c r="S1530" s="521"/>
    </row>
    <row r="1531" spans="1:19" ht="25.5">
      <c r="A1531" s="720" t="s">
        <v>2035</v>
      </c>
      <c r="B1531" s="720" t="s">
        <v>2036</v>
      </c>
      <c r="C1531" s="720" t="s">
        <v>1</v>
      </c>
      <c r="D1531" s="720" t="s">
        <v>2037</v>
      </c>
      <c r="E1531" s="720" t="s">
        <v>3</v>
      </c>
      <c r="F1531" s="720" t="s">
        <v>4</v>
      </c>
      <c r="G1531" s="720" t="s">
        <v>2038</v>
      </c>
      <c r="H1531" s="720" t="s">
        <v>6</v>
      </c>
      <c r="I1531" s="720" t="s">
        <v>7</v>
      </c>
      <c r="J1531" s="720" t="s">
        <v>8</v>
      </c>
      <c r="K1531" s="720" t="s">
        <v>2039</v>
      </c>
      <c r="L1531" s="720" t="s">
        <v>10</v>
      </c>
      <c r="M1531" s="720" t="s">
        <v>2040</v>
      </c>
      <c r="N1531" s="746"/>
      <c r="O1531" s="746"/>
      <c r="P1531" s="746"/>
      <c r="Q1531" s="746"/>
      <c r="R1531" s="521"/>
      <c r="S1531" s="521"/>
    </row>
    <row r="1532" spans="1:19" ht="25.5">
      <c r="A1532" s="721">
        <v>117</v>
      </c>
      <c r="B1532" s="721">
        <v>20121395001</v>
      </c>
      <c r="C1532" s="721" t="s">
        <v>5158</v>
      </c>
      <c r="D1532" s="721">
        <v>395</v>
      </c>
      <c r="E1532" s="721" t="s">
        <v>4855</v>
      </c>
      <c r="F1532" s="721" t="s">
        <v>154</v>
      </c>
      <c r="G1532" s="721" t="s">
        <v>2546</v>
      </c>
      <c r="H1532" s="721" t="s">
        <v>2043</v>
      </c>
      <c r="I1532" s="721"/>
      <c r="J1532" s="721" t="s">
        <v>5159</v>
      </c>
      <c r="K1532" s="721" t="s">
        <v>2044</v>
      </c>
      <c r="L1532" s="721">
        <v>80244451</v>
      </c>
      <c r="M1532" s="721" t="s">
        <v>2896</v>
      </c>
      <c r="N1532" s="746"/>
      <c r="O1532" s="746"/>
      <c r="P1532" s="746"/>
      <c r="Q1532" s="746"/>
      <c r="R1532" s="521"/>
      <c r="S1532" s="521"/>
    </row>
    <row r="1533" spans="1:19" ht="25.5">
      <c r="A1533" s="723">
        <v>118</v>
      </c>
      <c r="B1533" s="723">
        <v>20121395002</v>
      </c>
      <c r="C1533" s="723" t="s">
        <v>5160</v>
      </c>
      <c r="D1533" s="723">
        <v>395</v>
      </c>
      <c r="E1533" s="723" t="s">
        <v>4855</v>
      </c>
      <c r="F1533" s="723" t="s">
        <v>154</v>
      </c>
      <c r="G1533" s="723" t="s">
        <v>2546</v>
      </c>
      <c r="H1533" s="723" t="s">
        <v>2043</v>
      </c>
      <c r="I1533" s="723"/>
      <c r="J1533" s="723" t="s">
        <v>5161</v>
      </c>
      <c r="K1533" s="723" t="s">
        <v>2044</v>
      </c>
      <c r="L1533" s="723">
        <v>80002671</v>
      </c>
      <c r="M1533" s="723" t="s">
        <v>2896</v>
      </c>
      <c r="N1533" s="746"/>
      <c r="O1533" s="746"/>
      <c r="P1533" s="746"/>
      <c r="Q1533" s="746"/>
      <c r="R1533" s="521"/>
      <c r="S1533" s="521"/>
    </row>
    <row r="1534" spans="1:19" ht="25.5">
      <c r="A1534" s="721">
        <v>119</v>
      </c>
      <c r="B1534" s="721">
        <v>20121395005</v>
      </c>
      <c r="C1534" s="721" t="s">
        <v>5162</v>
      </c>
      <c r="D1534" s="721">
        <v>395</v>
      </c>
      <c r="E1534" s="721" t="s">
        <v>4855</v>
      </c>
      <c r="F1534" s="721" t="s">
        <v>154</v>
      </c>
      <c r="G1534" s="721" t="s">
        <v>2546</v>
      </c>
      <c r="H1534" s="721" t="s">
        <v>2043</v>
      </c>
      <c r="I1534" s="721"/>
      <c r="J1534" s="721" t="s">
        <v>5163</v>
      </c>
      <c r="K1534" s="721" t="s">
        <v>2044</v>
      </c>
      <c r="L1534" s="721">
        <v>89002983</v>
      </c>
      <c r="M1534" s="721" t="s">
        <v>2143</v>
      </c>
      <c r="N1534" s="746"/>
      <c r="O1534" s="746"/>
      <c r="P1534" s="746"/>
      <c r="Q1534" s="746"/>
      <c r="R1534" s="521"/>
      <c r="S1534" s="521"/>
    </row>
    <row r="1535" spans="1:19" ht="25.5">
      <c r="A1535" s="723">
        <v>120</v>
      </c>
      <c r="B1535" s="723">
        <v>20121395006</v>
      </c>
      <c r="C1535" s="723" t="s">
        <v>5164</v>
      </c>
      <c r="D1535" s="723">
        <v>395</v>
      </c>
      <c r="E1535" s="723" t="s">
        <v>4855</v>
      </c>
      <c r="F1535" s="723" t="s">
        <v>154</v>
      </c>
      <c r="G1535" s="723" t="s">
        <v>2546</v>
      </c>
      <c r="H1535" s="723" t="s">
        <v>2043</v>
      </c>
      <c r="I1535" s="723"/>
      <c r="J1535" s="723" t="s">
        <v>5165</v>
      </c>
      <c r="K1535" s="723" t="s">
        <v>2044</v>
      </c>
      <c r="L1535" s="723">
        <v>53154453</v>
      </c>
      <c r="M1535" s="723" t="s">
        <v>2896</v>
      </c>
      <c r="N1535" s="746"/>
      <c r="O1535" s="746"/>
      <c r="P1535" s="746"/>
      <c r="Q1535" s="746"/>
      <c r="R1535" s="521"/>
      <c r="S1535" s="521"/>
    </row>
    <row r="1536" spans="1:19" ht="25.5">
      <c r="A1536" s="721">
        <v>121</v>
      </c>
      <c r="B1536" s="721">
        <v>20121395007</v>
      </c>
      <c r="C1536" s="721" t="s">
        <v>5166</v>
      </c>
      <c r="D1536" s="721">
        <v>395</v>
      </c>
      <c r="E1536" s="721" t="s">
        <v>4855</v>
      </c>
      <c r="F1536" s="721" t="s">
        <v>154</v>
      </c>
      <c r="G1536" s="721" t="s">
        <v>2546</v>
      </c>
      <c r="H1536" s="721">
        <v>1</v>
      </c>
      <c r="I1536" s="721" t="s">
        <v>5167</v>
      </c>
      <c r="J1536" s="721" t="s">
        <v>5168</v>
      </c>
      <c r="K1536" s="721" t="s">
        <v>2044</v>
      </c>
      <c r="L1536" s="721">
        <v>1013581826</v>
      </c>
      <c r="M1536" s="721" t="s">
        <v>2167</v>
      </c>
      <c r="N1536" s="746"/>
      <c r="O1536" s="746"/>
      <c r="P1536" s="746"/>
      <c r="Q1536" s="746"/>
      <c r="R1536" s="521"/>
      <c r="S1536" s="521"/>
    </row>
    <row r="1537" spans="1:19" ht="25.5">
      <c r="A1537" s="723">
        <v>122</v>
      </c>
      <c r="B1537" s="723">
        <v>20121395008</v>
      </c>
      <c r="C1537" s="723" t="s">
        <v>5169</v>
      </c>
      <c r="D1537" s="723">
        <v>395</v>
      </c>
      <c r="E1537" s="723" t="s">
        <v>4855</v>
      </c>
      <c r="F1537" s="723" t="s">
        <v>154</v>
      </c>
      <c r="G1537" s="723" t="s">
        <v>2546</v>
      </c>
      <c r="H1537" s="723" t="s">
        <v>2043</v>
      </c>
      <c r="I1537" s="723"/>
      <c r="J1537" s="723" t="s">
        <v>5170</v>
      </c>
      <c r="K1537" s="723" t="s">
        <v>2044</v>
      </c>
      <c r="L1537" s="723">
        <v>80067157</v>
      </c>
      <c r="M1537" s="723" t="s">
        <v>2910</v>
      </c>
      <c r="N1537" s="746"/>
      <c r="O1537" s="746"/>
      <c r="P1537" s="746"/>
      <c r="Q1537" s="746"/>
      <c r="R1537" s="521"/>
      <c r="S1537" s="521"/>
    </row>
    <row r="1538" spans="1:19" ht="14.25" customHeight="1">
      <c r="A1538" s="721">
        <v>123</v>
      </c>
      <c r="B1538" s="721">
        <v>20121395009</v>
      </c>
      <c r="C1538" s="721" t="s">
        <v>5171</v>
      </c>
      <c r="D1538" s="721">
        <v>395</v>
      </c>
      <c r="E1538" s="721" t="s">
        <v>4855</v>
      </c>
      <c r="F1538" s="721" t="s">
        <v>154</v>
      </c>
      <c r="G1538" s="721" t="s">
        <v>2546</v>
      </c>
      <c r="H1538" s="721" t="s">
        <v>2043</v>
      </c>
      <c r="I1538" s="721"/>
      <c r="J1538" s="721" t="s">
        <v>5172</v>
      </c>
      <c r="K1538" s="721" t="s">
        <v>2044</v>
      </c>
      <c r="L1538" s="721">
        <v>79901357</v>
      </c>
      <c r="M1538" s="721" t="s">
        <v>2896</v>
      </c>
      <c r="N1538" s="746"/>
      <c r="O1538" s="746"/>
      <c r="P1538" s="746"/>
      <c r="Q1538" s="746"/>
      <c r="R1538" s="521"/>
      <c r="S1538" s="521"/>
    </row>
    <row r="1539" spans="1:19" ht="25.5">
      <c r="A1539" s="723">
        <v>124</v>
      </c>
      <c r="B1539" s="723">
        <v>20121395010</v>
      </c>
      <c r="C1539" s="723" t="s">
        <v>5173</v>
      </c>
      <c r="D1539" s="723">
        <v>395</v>
      </c>
      <c r="E1539" s="723" t="s">
        <v>4855</v>
      </c>
      <c r="F1539" s="723" t="s">
        <v>154</v>
      </c>
      <c r="G1539" s="723" t="s">
        <v>2546</v>
      </c>
      <c r="H1539" s="723">
        <v>3</v>
      </c>
      <c r="I1539" s="723"/>
      <c r="J1539" s="723" t="s">
        <v>5174</v>
      </c>
      <c r="K1539" s="723" t="s">
        <v>2044</v>
      </c>
      <c r="L1539" s="723">
        <v>77159265</v>
      </c>
      <c r="M1539" s="723" t="s">
        <v>3104</v>
      </c>
      <c r="N1539" s="746"/>
      <c r="O1539" s="746"/>
      <c r="P1539" s="746"/>
      <c r="Q1539" s="746"/>
      <c r="R1539" s="521"/>
      <c r="S1539" s="521"/>
    </row>
    <row r="1540" spans="1:19" ht="25.5">
      <c r="A1540" s="721">
        <v>125</v>
      </c>
      <c r="B1540" s="721">
        <v>20121395015</v>
      </c>
      <c r="C1540" s="721" t="s">
        <v>5175</v>
      </c>
      <c r="D1540" s="721">
        <v>395</v>
      </c>
      <c r="E1540" s="721" t="s">
        <v>4855</v>
      </c>
      <c r="F1540" s="721" t="s">
        <v>154</v>
      </c>
      <c r="G1540" s="721" t="s">
        <v>2546</v>
      </c>
      <c r="H1540" s="721">
        <v>3</v>
      </c>
      <c r="I1540" s="721"/>
      <c r="J1540" s="721" t="s">
        <v>5176</v>
      </c>
      <c r="K1540" s="721" t="s">
        <v>2044</v>
      </c>
      <c r="L1540" s="721">
        <v>79764993</v>
      </c>
      <c r="M1540" s="721" t="s">
        <v>3155</v>
      </c>
      <c r="N1540" s="746"/>
      <c r="O1540" s="746"/>
      <c r="P1540" s="746"/>
      <c r="Q1540" s="746"/>
      <c r="R1540" s="521"/>
      <c r="S1540" s="521"/>
    </row>
    <row r="1541" spans="1:19" ht="25.5">
      <c r="A1541" s="723">
        <v>126</v>
      </c>
      <c r="B1541" s="723">
        <v>20121395016</v>
      </c>
      <c r="C1541" s="723" t="s">
        <v>5177</v>
      </c>
      <c r="D1541" s="723">
        <v>395</v>
      </c>
      <c r="E1541" s="723" t="s">
        <v>4855</v>
      </c>
      <c r="F1541" s="723" t="s">
        <v>154</v>
      </c>
      <c r="G1541" s="723" t="s">
        <v>2546</v>
      </c>
      <c r="H1541" s="723" t="s">
        <v>2043</v>
      </c>
      <c r="I1541" s="723"/>
      <c r="J1541" s="723" t="s">
        <v>5178</v>
      </c>
      <c r="K1541" s="723" t="s">
        <v>2044</v>
      </c>
      <c r="L1541" s="723">
        <v>1014195384</v>
      </c>
      <c r="M1541" s="723" t="s">
        <v>2167</v>
      </c>
      <c r="N1541" s="746"/>
      <c r="O1541" s="746"/>
      <c r="P1541" s="746"/>
      <c r="Q1541" s="746"/>
      <c r="R1541" s="521"/>
      <c r="S1541" s="521"/>
    </row>
    <row r="1542" spans="1:19" ht="14.25" customHeight="1">
      <c r="A1542" s="721">
        <v>127</v>
      </c>
      <c r="B1542" s="721">
        <v>20122395001</v>
      </c>
      <c r="C1542" s="721" t="s">
        <v>5179</v>
      </c>
      <c r="D1542" s="721">
        <v>395</v>
      </c>
      <c r="E1542" s="721" t="s">
        <v>4855</v>
      </c>
      <c r="F1542" s="721" t="s">
        <v>154</v>
      </c>
      <c r="G1542" s="721" t="s">
        <v>2546</v>
      </c>
      <c r="H1542" s="721" t="s">
        <v>2043</v>
      </c>
      <c r="I1542" s="721"/>
      <c r="J1542" s="721" t="s">
        <v>4352</v>
      </c>
      <c r="K1542" s="721" t="s">
        <v>2044</v>
      </c>
      <c r="L1542" s="721">
        <v>79556501</v>
      </c>
      <c r="M1542" s="722" t="s">
        <v>955</v>
      </c>
      <c r="N1542" s="746"/>
      <c r="O1542" s="746"/>
      <c r="P1542" s="746"/>
      <c r="Q1542" s="746"/>
      <c r="R1542" s="521"/>
      <c r="S1542" s="521"/>
    </row>
    <row r="1543" spans="1:19" ht="25.5">
      <c r="A1543" s="723">
        <v>128</v>
      </c>
      <c r="B1543" s="723">
        <v>20122395002</v>
      </c>
      <c r="C1543" s="723" t="s">
        <v>5180</v>
      </c>
      <c r="D1543" s="723">
        <v>395</v>
      </c>
      <c r="E1543" s="723" t="s">
        <v>4855</v>
      </c>
      <c r="F1543" s="723" t="s">
        <v>154</v>
      </c>
      <c r="G1543" s="723" t="s">
        <v>2546</v>
      </c>
      <c r="H1543" s="723" t="s">
        <v>2043</v>
      </c>
      <c r="I1543" s="723"/>
      <c r="J1543" s="723" t="s">
        <v>5181</v>
      </c>
      <c r="K1543" s="723" t="s">
        <v>2044</v>
      </c>
      <c r="L1543" s="723">
        <v>79382169</v>
      </c>
      <c r="M1543" s="723" t="s">
        <v>2192</v>
      </c>
      <c r="N1543" s="746"/>
      <c r="O1543" s="746"/>
      <c r="P1543" s="746"/>
      <c r="Q1543" s="746"/>
      <c r="R1543" s="521"/>
      <c r="S1543" s="521"/>
    </row>
    <row r="1544" spans="1:19" ht="25.5">
      <c r="A1544" s="721">
        <v>129</v>
      </c>
      <c r="B1544" s="721">
        <v>20122395003</v>
      </c>
      <c r="C1544" s="721" t="s">
        <v>5182</v>
      </c>
      <c r="D1544" s="721">
        <v>395</v>
      </c>
      <c r="E1544" s="721" t="s">
        <v>4855</v>
      </c>
      <c r="F1544" s="721" t="s">
        <v>154</v>
      </c>
      <c r="G1544" s="721" t="s">
        <v>2546</v>
      </c>
      <c r="H1544" s="721">
        <v>1</v>
      </c>
      <c r="I1544" s="721"/>
      <c r="J1544" s="721" t="s">
        <v>5183</v>
      </c>
      <c r="K1544" s="721" t="s">
        <v>2044</v>
      </c>
      <c r="L1544" s="721">
        <v>80760880</v>
      </c>
      <c r="M1544" s="721" t="s">
        <v>3145</v>
      </c>
      <c r="N1544" s="746"/>
      <c r="O1544" s="746"/>
      <c r="P1544" s="746"/>
      <c r="Q1544" s="746"/>
      <c r="R1544" s="521"/>
      <c r="S1544" s="521"/>
    </row>
    <row r="1545" spans="1:19" ht="25.5">
      <c r="A1545" s="723">
        <v>130</v>
      </c>
      <c r="B1545" s="723">
        <v>20122395009</v>
      </c>
      <c r="C1545" s="723" t="s">
        <v>5184</v>
      </c>
      <c r="D1545" s="723">
        <v>395</v>
      </c>
      <c r="E1545" s="723" t="s">
        <v>4855</v>
      </c>
      <c r="F1545" s="723" t="s">
        <v>154</v>
      </c>
      <c r="G1545" s="723" t="s">
        <v>2546</v>
      </c>
      <c r="H1545" s="723" t="s">
        <v>2043</v>
      </c>
      <c r="I1545" s="723"/>
      <c r="J1545" s="723" t="s">
        <v>5185</v>
      </c>
      <c r="K1545" s="723" t="s">
        <v>2044</v>
      </c>
      <c r="L1545" s="723">
        <v>1019026671</v>
      </c>
      <c r="M1545" s="724" t="s">
        <v>955</v>
      </c>
      <c r="N1545" s="746"/>
      <c r="O1545" s="746"/>
      <c r="P1545" s="746"/>
      <c r="Q1545" s="746"/>
      <c r="R1545" s="521"/>
      <c r="S1545" s="521"/>
    </row>
    <row r="1546" spans="1:19" ht="14.25" customHeight="1">
      <c r="A1546" s="721">
        <v>131</v>
      </c>
      <c r="B1546" s="721">
        <v>20131395001</v>
      </c>
      <c r="C1546" s="721" t="s">
        <v>5186</v>
      </c>
      <c r="D1546" s="721">
        <v>395</v>
      </c>
      <c r="E1546" s="721" t="s">
        <v>4855</v>
      </c>
      <c r="F1546" s="721" t="s">
        <v>154</v>
      </c>
      <c r="G1546" s="721" t="s">
        <v>2546</v>
      </c>
      <c r="H1546" s="721" t="s">
        <v>2043</v>
      </c>
      <c r="I1546" s="721" t="s">
        <v>5187</v>
      </c>
      <c r="J1546" s="721" t="s">
        <v>5188</v>
      </c>
      <c r="K1546" s="721" t="s">
        <v>2044</v>
      </c>
      <c r="L1546" s="721">
        <v>30238482</v>
      </c>
      <c r="M1546" s="722" t="s">
        <v>955</v>
      </c>
      <c r="N1546" s="746"/>
      <c r="O1546" s="746"/>
      <c r="P1546" s="746"/>
      <c r="Q1546" s="746"/>
      <c r="R1546" s="521"/>
      <c r="S1546" s="521"/>
    </row>
    <row r="1547" spans="1:19" ht="25.5">
      <c r="A1547" s="723">
        <v>132</v>
      </c>
      <c r="B1547" s="723">
        <v>20131395003</v>
      </c>
      <c r="C1547" s="723" t="s">
        <v>5189</v>
      </c>
      <c r="D1547" s="723">
        <v>395</v>
      </c>
      <c r="E1547" s="723" t="s">
        <v>4855</v>
      </c>
      <c r="F1547" s="723" t="s">
        <v>154</v>
      </c>
      <c r="G1547" s="723" t="s">
        <v>2546</v>
      </c>
      <c r="H1547" s="723" t="s">
        <v>2043</v>
      </c>
      <c r="I1547" s="723" t="s">
        <v>5190</v>
      </c>
      <c r="J1547" s="723" t="s">
        <v>5191</v>
      </c>
      <c r="K1547" s="723" t="s">
        <v>2044</v>
      </c>
      <c r="L1547" s="723">
        <v>80213350</v>
      </c>
      <c r="M1547" s="723" t="s">
        <v>2192</v>
      </c>
      <c r="N1547" s="746"/>
      <c r="O1547" s="746"/>
      <c r="P1547" s="746"/>
      <c r="Q1547" s="746"/>
      <c r="R1547" s="521"/>
      <c r="S1547" s="521"/>
    </row>
    <row r="1548" spans="1:19" ht="25.5">
      <c r="A1548" s="721">
        <v>133</v>
      </c>
      <c r="B1548" s="721">
        <v>20131395004</v>
      </c>
      <c r="C1548" s="721" t="s">
        <v>5192</v>
      </c>
      <c r="D1548" s="721">
        <v>395</v>
      </c>
      <c r="E1548" s="721" t="s">
        <v>4855</v>
      </c>
      <c r="F1548" s="721" t="s">
        <v>154</v>
      </c>
      <c r="G1548" s="721" t="s">
        <v>2546</v>
      </c>
      <c r="H1548" s="721" t="s">
        <v>2043</v>
      </c>
      <c r="I1548" s="721" t="s">
        <v>5193</v>
      </c>
      <c r="J1548" s="721" t="s">
        <v>5194</v>
      </c>
      <c r="K1548" s="721" t="s">
        <v>2044</v>
      </c>
      <c r="L1548" s="721">
        <v>53139795</v>
      </c>
      <c r="M1548" s="722" t="s">
        <v>955</v>
      </c>
      <c r="N1548" s="746"/>
      <c r="O1548" s="746"/>
      <c r="P1548" s="746"/>
      <c r="Q1548" s="746"/>
      <c r="R1548" s="521"/>
      <c r="S1548" s="521"/>
    </row>
    <row r="1549" spans="1:19" ht="25.5">
      <c r="A1549" s="723">
        <v>134</v>
      </c>
      <c r="B1549" s="723">
        <v>20131395005</v>
      </c>
      <c r="C1549" s="723" t="s">
        <v>5195</v>
      </c>
      <c r="D1549" s="723">
        <v>395</v>
      </c>
      <c r="E1549" s="723" t="s">
        <v>4855</v>
      </c>
      <c r="F1549" s="723" t="s">
        <v>154</v>
      </c>
      <c r="G1549" s="723" t="s">
        <v>2546</v>
      </c>
      <c r="H1549" s="723" t="s">
        <v>2043</v>
      </c>
      <c r="I1549" s="723" t="s">
        <v>5196</v>
      </c>
      <c r="J1549" s="723" t="s">
        <v>5197</v>
      </c>
      <c r="K1549" s="723" t="s">
        <v>2044</v>
      </c>
      <c r="L1549" s="723">
        <v>53098264</v>
      </c>
      <c r="M1549" s="723" t="s">
        <v>2860</v>
      </c>
      <c r="N1549" s="746"/>
      <c r="O1549" s="746"/>
      <c r="P1549" s="746"/>
      <c r="Q1549" s="746"/>
      <c r="R1549" s="521"/>
      <c r="S1549" s="521"/>
    </row>
    <row r="1550" spans="1:19" ht="25.5">
      <c r="A1550" s="721">
        <v>135</v>
      </c>
      <c r="B1550" s="721">
        <v>20131395006</v>
      </c>
      <c r="C1550" s="721" t="s">
        <v>5198</v>
      </c>
      <c r="D1550" s="721">
        <v>395</v>
      </c>
      <c r="E1550" s="721" t="s">
        <v>4855</v>
      </c>
      <c r="F1550" s="721" t="s">
        <v>154</v>
      </c>
      <c r="G1550" s="721" t="s">
        <v>2546</v>
      </c>
      <c r="H1550" s="721">
        <v>4</v>
      </c>
      <c r="I1550" s="721" t="s">
        <v>5199</v>
      </c>
      <c r="J1550" s="721" t="s">
        <v>5200</v>
      </c>
      <c r="K1550" s="721" t="s">
        <v>2044</v>
      </c>
      <c r="L1550" s="721">
        <v>80075712</v>
      </c>
      <c r="M1550" s="721" t="s">
        <v>3130</v>
      </c>
      <c r="N1550" s="746"/>
      <c r="O1550" s="746"/>
      <c r="P1550" s="746"/>
      <c r="Q1550" s="746"/>
      <c r="R1550" s="521"/>
      <c r="S1550" s="521"/>
    </row>
    <row r="1551" spans="1:19" ht="25.5">
      <c r="A1551" s="723">
        <v>136</v>
      </c>
      <c r="B1551" s="723">
        <v>20131395008</v>
      </c>
      <c r="C1551" s="723" t="s">
        <v>5201</v>
      </c>
      <c r="D1551" s="723">
        <v>395</v>
      </c>
      <c r="E1551" s="723" t="s">
        <v>4855</v>
      </c>
      <c r="F1551" s="723" t="s">
        <v>154</v>
      </c>
      <c r="G1551" s="723" t="s">
        <v>2546</v>
      </c>
      <c r="H1551" s="723" t="s">
        <v>2043</v>
      </c>
      <c r="I1551" s="723" t="s">
        <v>5202</v>
      </c>
      <c r="J1551" s="723" t="s">
        <v>5203</v>
      </c>
      <c r="K1551" s="723" t="s">
        <v>2044</v>
      </c>
      <c r="L1551" s="723">
        <v>39819208</v>
      </c>
      <c r="M1551" s="724" t="s">
        <v>955</v>
      </c>
      <c r="N1551" s="746"/>
      <c r="O1551" s="746"/>
      <c r="P1551" s="746"/>
      <c r="Q1551" s="746"/>
      <c r="R1551" s="521"/>
      <c r="S1551" s="521"/>
    </row>
    <row r="1552" spans="1:19" ht="25.5">
      <c r="A1552" s="721">
        <v>137</v>
      </c>
      <c r="B1552" s="721">
        <v>20131395010</v>
      </c>
      <c r="C1552" s="721" t="s">
        <v>5204</v>
      </c>
      <c r="D1552" s="721">
        <v>395</v>
      </c>
      <c r="E1552" s="721" t="s">
        <v>4855</v>
      </c>
      <c r="F1552" s="721" t="s">
        <v>154</v>
      </c>
      <c r="G1552" s="721" t="s">
        <v>2546</v>
      </c>
      <c r="H1552" s="721" t="s">
        <v>2043</v>
      </c>
      <c r="I1552" s="721" t="s">
        <v>5156</v>
      </c>
      <c r="J1552" s="721" t="s">
        <v>5205</v>
      </c>
      <c r="K1552" s="721" t="s">
        <v>2044</v>
      </c>
      <c r="L1552" s="721">
        <v>80903757</v>
      </c>
      <c r="M1552" s="722" t="s">
        <v>955</v>
      </c>
      <c r="N1552" s="746"/>
      <c r="O1552" s="746"/>
      <c r="P1552" s="746"/>
      <c r="Q1552" s="746"/>
      <c r="R1552" s="521"/>
      <c r="S1552" s="521"/>
    </row>
    <row r="1553" spans="1:19" ht="25.5">
      <c r="A1553" s="723">
        <v>138</v>
      </c>
      <c r="B1553" s="723">
        <v>20131395011</v>
      </c>
      <c r="C1553" s="723" t="s">
        <v>5206</v>
      </c>
      <c r="D1553" s="723">
        <v>395</v>
      </c>
      <c r="E1553" s="723" t="s">
        <v>4855</v>
      </c>
      <c r="F1553" s="723" t="s">
        <v>154</v>
      </c>
      <c r="G1553" s="723" t="s">
        <v>2546</v>
      </c>
      <c r="H1553" s="723" t="s">
        <v>2043</v>
      </c>
      <c r="I1553" s="723" t="s">
        <v>5207</v>
      </c>
      <c r="J1553" s="723" t="s">
        <v>5185</v>
      </c>
      <c r="K1553" s="723" t="s">
        <v>2044</v>
      </c>
      <c r="L1553" s="723">
        <v>1019026671</v>
      </c>
      <c r="M1553" s="723" t="s">
        <v>2218</v>
      </c>
      <c r="N1553" s="746"/>
      <c r="O1553" s="746"/>
      <c r="P1553" s="746"/>
      <c r="Q1553" s="746"/>
      <c r="R1553" s="521"/>
      <c r="S1553" s="521"/>
    </row>
    <row r="1554" spans="1:19" ht="25.5">
      <c r="A1554" s="721">
        <v>139</v>
      </c>
      <c r="B1554" s="721">
        <v>20131395012</v>
      </c>
      <c r="C1554" s="721" t="s">
        <v>5208</v>
      </c>
      <c r="D1554" s="721">
        <v>395</v>
      </c>
      <c r="E1554" s="721" t="s">
        <v>4855</v>
      </c>
      <c r="F1554" s="721" t="s">
        <v>154</v>
      </c>
      <c r="G1554" s="721" t="s">
        <v>2546</v>
      </c>
      <c r="H1554" s="721" t="s">
        <v>2043</v>
      </c>
      <c r="I1554" s="721" t="s">
        <v>5209</v>
      </c>
      <c r="J1554" s="721" t="s">
        <v>5210</v>
      </c>
      <c r="K1554" s="721" t="s">
        <v>2044</v>
      </c>
      <c r="L1554" s="721">
        <v>1032376431</v>
      </c>
      <c r="M1554" s="721" t="s">
        <v>2860</v>
      </c>
      <c r="N1554" s="746"/>
      <c r="O1554" s="746"/>
      <c r="P1554" s="746"/>
      <c r="Q1554" s="746"/>
      <c r="R1554" s="521"/>
      <c r="S1554" s="521"/>
    </row>
    <row r="1555" spans="1:19" ht="25.5">
      <c r="A1555" s="723">
        <v>140</v>
      </c>
      <c r="B1555" s="723">
        <v>20141395002</v>
      </c>
      <c r="C1555" s="723" t="s">
        <v>5211</v>
      </c>
      <c r="D1555" s="723">
        <v>395</v>
      </c>
      <c r="E1555" s="723" t="s">
        <v>4855</v>
      </c>
      <c r="F1555" s="723" t="s">
        <v>154</v>
      </c>
      <c r="G1555" s="723" t="s">
        <v>2546</v>
      </c>
      <c r="H1555" s="723">
        <v>4</v>
      </c>
      <c r="I1555" s="723" t="s">
        <v>5212</v>
      </c>
      <c r="J1555" s="723" t="s">
        <v>5213</v>
      </c>
      <c r="K1555" s="723" t="s">
        <v>2044</v>
      </c>
      <c r="L1555" s="723">
        <v>1013607129</v>
      </c>
      <c r="M1555" s="723" t="s">
        <v>1237</v>
      </c>
      <c r="N1555" s="746"/>
      <c r="O1555" s="746"/>
      <c r="P1555" s="746"/>
      <c r="Q1555" s="746"/>
      <c r="R1555" s="521"/>
      <c r="S1555" s="521"/>
    </row>
    <row r="1556" spans="1:19" ht="25.5">
      <c r="A1556" s="721">
        <v>141</v>
      </c>
      <c r="B1556" s="721">
        <v>20141395004</v>
      </c>
      <c r="C1556" s="721" t="s">
        <v>5214</v>
      </c>
      <c r="D1556" s="721">
        <v>395</v>
      </c>
      <c r="E1556" s="721" t="s">
        <v>4855</v>
      </c>
      <c r="F1556" s="721" t="s">
        <v>154</v>
      </c>
      <c r="G1556" s="721" t="s">
        <v>2546</v>
      </c>
      <c r="H1556" s="721" t="s">
        <v>2043</v>
      </c>
      <c r="I1556" s="721"/>
      <c r="J1556" s="721" t="s">
        <v>5215</v>
      </c>
      <c r="K1556" s="721" t="s">
        <v>2044</v>
      </c>
      <c r="L1556" s="721">
        <v>80830221</v>
      </c>
      <c r="M1556" s="721" t="s">
        <v>2612</v>
      </c>
      <c r="N1556" s="746"/>
      <c r="O1556" s="746"/>
      <c r="P1556" s="746"/>
      <c r="Q1556" s="746"/>
      <c r="R1556" s="521"/>
      <c r="S1556" s="521"/>
    </row>
    <row r="1557" spans="1:19" ht="25.5">
      <c r="A1557" s="723">
        <v>142</v>
      </c>
      <c r="B1557" s="723">
        <v>20142395001</v>
      </c>
      <c r="C1557" s="723" t="s">
        <v>5216</v>
      </c>
      <c r="D1557" s="723">
        <v>395</v>
      </c>
      <c r="E1557" s="723" t="s">
        <v>4855</v>
      </c>
      <c r="F1557" s="723" t="s">
        <v>154</v>
      </c>
      <c r="G1557" s="723" t="s">
        <v>2546</v>
      </c>
      <c r="H1557" s="723">
        <v>3</v>
      </c>
      <c r="I1557" s="723"/>
      <c r="J1557" s="723" t="s">
        <v>5217</v>
      </c>
      <c r="K1557" s="723" t="s">
        <v>2044</v>
      </c>
      <c r="L1557" s="723">
        <v>52233650</v>
      </c>
      <c r="M1557" s="723" t="s">
        <v>1237</v>
      </c>
      <c r="N1557" s="746"/>
      <c r="O1557" s="746"/>
      <c r="P1557" s="746"/>
      <c r="Q1557" s="746"/>
      <c r="R1557" s="521"/>
      <c r="S1557" s="521"/>
    </row>
    <row r="1558" spans="1:19" ht="25.5">
      <c r="A1558" s="721">
        <v>143</v>
      </c>
      <c r="B1558" s="721">
        <v>20142395002</v>
      </c>
      <c r="C1558" s="721" t="s">
        <v>5218</v>
      </c>
      <c r="D1558" s="721">
        <v>395</v>
      </c>
      <c r="E1558" s="721" t="s">
        <v>4855</v>
      </c>
      <c r="F1558" s="721" t="s">
        <v>154</v>
      </c>
      <c r="G1558" s="721" t="s">
        <v>2546</v>
      </c>
      <c r="H1558" s="721">
        <v>3</v>
      </c>
      <c r="I1558" s="721"/>
      <c r="J1558" s="721" t="s">
        <v>5219</v>
      </c>
      <c r="K1558" s="721" t="s">
        <v>2044</v>
      </c>
      <c r="L1558" s="721">
        <v>79854687</v>
      </c>
      <c r="M1558" s="721" t="s">
        <v>3269</v>
      </c>
      <c r="N1558" s="746"/>
      <c r="O1558" s="746"/>
      <c r="P1558" s="746"/>
      <c r="Q1558" s="746"/>
      <c r="R1558" s="521"/>
      <c r="S1558" s="521"/>
    </row>
    <row r="1559" spans="1:19" ht="25.5">
      <c r="A1559" s="723">
        <v>144</v>
      </c>
      <c r="B1559" s="723">
        <v>20142395003</v>
      </c>
      <c r="C1559" s="723" t="s">
        <v>5220</v>
      </c>
      <c r="D1559" s="723">
        <v>395</v>
      </c>
      <c r="E1559" s="723" t="s">
        <v>4855</v>
      </c>
      <c r="F1559" s="723" t="s">
        <v>154</v>
      </c>
      <c r="G1559" s="723" t="s">
        <v>2546</v>
      </c>
      <c r="H1559" s="723" t="s">
        <v>2043</v>
      </c>
      <c r="I1559" s="723"/>
      <c r="J1559" s="723" t="s">
        <v>5221</v>
      </c>
      <c r="K1559" s="723" t="s">
        <v>2044</v>
      </c>
      <c r="L1559" s="723">
        <v>1030564407</v>
      </c>
      <c r="M1559" s="723" t="s">
        <v>2167</v>
      </c>
      <c r="N1559" s="746"/>
      <c r="O1559" s="746"/>
      <c r="P1559" s="746"/>
      <c r="Q1559" s="746"/>
      <c r="R1559" s="521"/>
      <c r="S1559" s="521"/>
    </row>
    <row r="1560" spans="1:19" ht="25.5">
      <c r="A1560" s="721">
        <v>145</v>
      </c>
      <c r="B1560" s="721">
        <v>20152395003</v>
      </c>
      <c r="C1560" s="721" t="s">
        <v>5222</v>
      </c>
      <c r="D1560" s="721">
        <v>395</v>
      </c>
      <c r="E1560" s="721" t="s">
        <v>4855</v>
      </c>
      <c r="F1560" s="721" t="s">
        <v>154</v>
      </c>
      <c r="G1560" s="721" t="s">
        <v>2546</v>
      </c>
      <c r="H1560" s="721" t="s">
        <v>2043</v>
      </c>
      <c r="I1560" s="721"/>
      <c r="J1560" s="721" t="s">
        <v>5223</v>
      </c>
      <c r="K1560" s="721" t="s">
        <v>2044</v>
      </c>
      <c r="L1560" s="721">
        <v>1022359431</v>
      </c>
      <c r="M1560" s="721" t="s">
        <v>3104</v>
      </c>
      <c r="N1560" s="746"/>
      <c r="O1560" s="746"/>
      <c r="P1560" s="746"/>
      <c r="Q1560" s="746"/>
      <c r="R1560" s="521"/>
      <c r="S1560" s="521"/>
    </row>
    <row r="1561" spans="1:19" ht="25.5">
      <c r="A1561" s="723">
        <v>146</v>
      </c>
      <c r="B1561" s="723">
        <v>20152395004</v>
      </c>
      <c r="C1561" s="723" t="s">
        <v>5224</v>
      </c>
      <c r="D1561" s="723">
        <v>395</v>
      </c>
      <c r="E1561" s="723" t="s">
        <v>4855</v>
      </c>
      <c r="F1561" s="723" t="s">
        <v>154</v>
      </c>
      <c r="G1561" s="723" t="s">
        <v>2546</v>
      </c>
      <c r="H1561" s="723">
        <v>2</v>
      </c>
      <c r="I1561" s="723" t="s">
        <v>5225</v>
      </c>
      <c r="J1561" s="723" t="s">
        <v>5226</v>
      </c>
      <c r="K1561" s="723" t="s">
        <v>2044</v>
      </c>
      <c r="L1561" s="723">
        <v>1024499165</v>
      </c>
      <c r="M1561" s="723" t="s">
        <v>2936</v>
      </c>
      <c r="N1561" s="746"/>
      <c r="O1561" s="746"/>
      <c r="P1561" s="746"/>
      <c r="Q1561" s="746"/>
      <c r="R1561" s="521"/>
      <c r="S1561" s="521"/>
    </row>
    <row r="1562" spans="1:19" ht="25.5">
      <c r="A1562" s="721">
        <v>147</v>
      </c>
      <c r="B1562" s="721">
        <v>20152395005</v>
      </c>
      <c r="C1562" s="721" t="s">
        <v>5227</v>
      </c>
      <c r="D1562" s="721">
        <v>395</v>
      </c>
      <c r="E1562" s="721" t="s">
        <v>4855</v>
      </c>
      <c r="F1562" s="721" t="s">
        <v>154</v>
      </c>
      <c r="G1562" s="721" t="s">
        <v>2546</v>
      </c>
      <c r="H1562" s="721">
        <v>3</v>
      </c>
      <c r="I1562" s="721" t="s">
        <v>5228</v>
      </c>
      <c r="J1562" s="721" t="s">
        <v>5229</v>
      </c>
      <c r="K1562" s="721" t="s">
        <v>2044</v>
      </c>
      <c r="L1562" s="721">
        <v>1049606086</v>
      </c>
      <c r="M1562" s="721" t="s">
        <v>3155</v>
      </c>
      <c r="N1562" s="746"/>
      <c r="O1562" s="746"/>
      <c r="P1562" s="746"/>
      <c r="Q1562" s="746"/>
      <c r="R1562" s="521"/>
      <c r="S1562" s="521"/>
    </row>
    <row r="1563" spans="1:19" ht="25.5">
      <c r="A1563" s="723">
        <v>148</v>
      </c>
      <c r="B1563" s="723">
        <v>20161395007</v>
      </c>
      <c r="C1563" s="723" t="s">
        <v>5230</v>
      </c>
      <c r="D1563" s="723">
        <v>395</v>
      </c>
      <c r="E1563" s="723" t="s">
        <v>4855</v>
      </c>
      <c r="F1563" s="723" t="s">
        <v>154</v>
      </c>
      <c r="G1563" s="723" t="s">
        <v>2546</v>
      </c>
      <c r="H1563" s="723" t="s">
        <v>2043</v>
      </c>
      <c r="I1563" s="723"/>
      <c r="J1563" s="723" t="s">
        <v>5231</v>
      </c>
      <c r="K1563" s="723" t="s">
        <v>2044</v>
      </c>
      <c r="L1563" s="723">
        <v>1015417822</v>
      </c>
      <c r="M1563" s="723" t="s">
        <v>2143</v>
      </c>
      <c r="N1563" s="746"/>
      <c r="O1563" s="746"/>
      <c r="P1563" s="746"/>
      <c r="Q1563" s="746"/>
      <c r="R1563" s="521"/>
      <c r="S1563" s="521"/>
    </row>
    <row r="1564" spans="1:19" ht="25.5">
      <c r="A1564" s="721">
        <v>149</v>
      </c>
      <c r="B1564" s="721">
        <v>20161395009</v>
      </c>
      <c r="C1564" s="721" t="s">
        <v>5232</v>
      </c>
      <c r="D1564" s="721">
        <v>395</v>
      </c>
      <c r="E1564" s="721" t="s">
        <v>4855</v>
      </c>
      <c r="F1564" s="721" t="s">
        <v>154</v>
      </c>
      <c r="G1564" s="721" t="s">
        <v>2546</v>
      </c>
      <c r="H1564" s="721" t="s">
        <v>2043</v>
      </c>
      <c r="I1564" s="721"/>
      <c r="J1564" s="721" t="s">
        <v>5233</v>
      </c>
      <c r="K1564" s="721" t="s">
        <v>2044</v>
      </c>
      <c r="L1564" s="721">
        <v>1015996221</v>
      </c>
      <c r="M1564" s="721" t="s">
        <v>3123</v>
      </c>
      <c r="N1564" s="746"/>
      <c r="O1564" s="746"/>
      <c r="P1564" s="746"/>
      <c r="Q1564" s="746"/>
      <c r="R1564" s="521"/>
      <c r="S1564" s="521"/>
    </row>
    <row r="1565" spans="1:19" ht="25.5">
      <c r="A1565" s="723">
        <v>150</v>
      </c>
      <c r="B1565" s="723">
        <v>20161395010</v>
      </c>
      <c r="C1565" s="723" t="s">
        <v>5234</v>
      </c>
      <c r="D1565" s="723">
        <v>395</v>
      </c>
      <c r="E1565" s="723" t="s">
        <v>4855</v>
      </c>
      <c r="F1565" s="723" t="s">
        <v>154</v>
      </c>
      <c r="G1565" s="723" t="s">
        <v>2546</v>
      </c>
      <c r="H1565" s="723" t="s">
        <v>2043</v>
      </c>
      <c r="I1565" s="723"/>
      <c r="J1565" s="723" t="s">
        <v>5235</v>
      </c>
      <c r="K1565" s="723" t="s">
        <v>2044</v>
      </c>
      <c r="L1565" s="723">
        <v>79734019</v>
      </c>
      <c r="M1565" s="723" t="s">
        <v>2143</v>
      </c>
      <c r="N1565" s="746"/>
      <c r="O1565" s="746"/>
      <c r="P1565" s="746"/>
      <c r="Q1565" s="746"/>
      <c r="R1565" s="521"/>
      <c r="S1565" s="521"/>
    </row>
    <row r="1566" spans="1:19" ht="25.5">
      <c r="A1566" s="721">
        <v>151</v>
      </c>
      <c r="B1566" s="721">
        <v>20161395012</v>
      </c>
      <c r="C1566" s="721" t="s">
        <v>4612</v>
      </c>
      <c r="D1566" s="721">
        <v>395</v>
      </c>
      <c r="E1566" s="721" t="s">
        <v>4855</v>
      </c>
      <c r="F1566" s="721" t="s">
        <v>154</v>
      </c>
      <c r="G1566" s="721" t="s">
        <v>2546</v>
      </c>
      <c r="H1566" s="721" t="s">
        <v>2043</v>
      </c>
      <c r="I1566" s="721"/>
      <c r="J1566" s="721" t="s">
        <v>4799</v>
      </c>
      <c r="K1566" s="721" t="s">
        <v>2044</v>
      </c>
      <c r="L1566" s="721">
        <v>80017826</v>
      </c>
      <c r="M1566" s="721" t="s">
        <v>2143</v>
      </c>
      <c r="N1566" s="746"/>
      <c r="O1566" s="746"/>
      <c r="P1566" s="746"/>
      <c r="Q1566" s="746"/>
      <c r="R1566" s="521"/>
      <c r="S1566" s="521"/>
    </row>
    <row r="1567" spans="1:19" ht="25.5">
      <c r="A1567" s="723">
        <v>152</v>
      </c>
      <c r="B1567" s="723">
        <v>20162395005</v>
      </c>
      <c r="C1567" s="723" t="s">
        <v>5236</v>
      </c>
      <c r="D1567" s="723">
        <v>395</v>
      </c>
      <c r="E1567" s="723" t="s">
        <v>4855</v>
      </c>
      <c r="F1567" s="723" t="s">
        <v>154</v>
      </c>
      <c r="G1567" s="723" t="s">
        <v>2546</v>
      </c>
      <c r="H1567" s="723" t="s">
        <v>2043</v>
      </c>
      <c r="I1567" s="723" t="s">
        <v>5237</v>
      </c>
      <c r="J1567" s="723" t="s">
        <v>5238</v>
      </c>
      <c r="K1567" s="723" t="s">
        <v>2044</v>
      </c>
      <c r="L1567" s="723">
        <v>79540779</v>
      </c>
      <c r="M1567" s="723" t="s">
        <v>3123</v>
      </c>
      <c r="N1567" s="746"/>
      <c r="O1567" s="746"/>
      <c r="P1567" s="746"/>
      <c r="Q1567" s="746"/>
      <c r="R1567" s="521"/>
      <c r="S1567" s="521"/>
    </row>
    <row r="1568" spans="1:19" ht="25.5">
      <c r="A1568" s="721">
        <v>153</v>
      </c>
      <c r="B1568" s="721">
        <v>20162395008</v>
      </c>
      <c r="C1568" s="721" t="s">
        <v>5239</v>
      </c>
      <c r="D1568" s="721">
        <v>395</v>
      </c>
      <c r="E1568" s="721" t="s">
        <v>4855</v>
      </c>
      <c r="F1568" s="721" t="s">
        <v>154</v>
      </c>
      <c r="G1568" s="721" t="s">
        <v>2546</v>
      </c>
      <c r="H1568" s="721" t="s">
        <v>2043</v>
      </c>
      <c r="I1568" s="721"/>
      <c r="J1568" s="721" t="s">
        <v>5240</v>
      </c>
      <c r="K1568" s="721" t="s">
        <v>2044</v>
      </c>
      <c r="L1568" s="721">
        <v>72125171</v>
      </c>
      <c r="M1568" s="721" t="s">
        <v>3130</v>
      </c>
      <c r="N1568" s="746"/>
      <c r="O1568" s="746"/>
      <c r="P1568" s="746"/>
      <c r="Q1568" s="746"/>
      <c r="R1568" s="521"/>
      <c r="S1568" s="521"/>
    </row>
    <row r="1569" spans="1:19" ht="25.5">
      <c r="A1569" s="723">
        <v>154</v>
      </c>
      <c r="B1569" s="723">
        <v>20162395011</v>
      </c>
      <c r="C1569" s="723" t="s">
        <v>5241</v>
      </c>
      <c r="D1569" s="723">
        <v>395</v>
      </c>
      <c r="E1569" s="723" t="s">
        <v>4855</v>
      </c>
      <c r="F1569" s="723" t="s">
        <v>154</v>
      </c>
      <c r="G1569" s="723" t="s">
        <v>2546</v>
      </c>
      <c r="H1569" s="723">
        <v>5</v>
      </c>
      <c r="I1569" s="723" t="s">
        <v>5242</v>
      </c>
      <c r="J1569" s="723" t="s">
        <v>5243</v>
      </c>
      <c r="K1569" s="723" t="s">
        <v>2044</v>
      </c>
      <c r="L1569" s="723">
        <v>79394142</v>
      </c>
      <c r="M1569" s="723" t="s">
        <v>3269</v>
      </c>
      <c r="N1569" s="746"/>
      <c r="O1569" s="746"/>
      <c r="P1569" s="746"/>
      <c r="Q1569" s="746"/>
      <c r="R1569" s="521"/>
      <c r="S1569" s="521"/>
    </row>
    <row r="1570" spans="1:19" ht="25.5">
      <c r="A1570" s="721">
        <v>155</v>
      </c>
      <c r="B1570" s="721">
        <v>20171395006</v>
      </c>
      <c r="C1570" s="721" t="s">
        <v>5244</v>
      </c>
      <c r="D1570" s="721">
        <v>395</v>
      </c>
      <c r="E1570" s="721" t="s">
        <v>4855</v>
      </c>
      <c r="F1570" s="721" t="s">
        <v>154</v>
      </c>
      <c r="G1570" s="721" t="s">
        <v>2546</v>
      </c>
      <c r="H1570" s="721" t="s">
        <v>2043</v>
      </c>
      <c r="I1570" s="721" t="s">
        <v>5245</v>
      </c>
      <c r="J1570" s="721" t="s">
        <v>5246</v>
      </c>
      <c r="K1570" s="721" t="s">
        <v>2044</v>
      </c>
      <c r="L1570" s="721">
        <v>33377617</v>
      </c>
      <c r="M1570" s="721" t="s">
        <v>3130</v>
      </c>
      <c r="N1570" s="746"/>
      <c r="O1570" s="746"/>
      <c r="P1570" s="746"/>
      <c r="Q1570" s="746"/>
      <c r="R1570" s="521"/>
      <c r="S1570" s="521"/>
    </row>
    <row r="1571" spans="1:19" ht="25.5">
      <c r="A1571" s="723">
        <v>156</v>
      </c>
      <c r="B1571" s="723">
        <v>20171395012</v>
      </c>
      <c r="C1571" s="723" t="s">
        <v>5247</v>
      </c>
      <c r="D1571" s="723">
        <v>395</v>
      </c>
      <c r="E1571" s="723" t="s">
        <v>4855</v>
      </c>
      <c r="F1571" s="723" t="s">
        <v>154</v>
      </c>
      <c r="G1571" s="723" t="s">
        <v>2546</v>
      </c>
      <c r="H1571" s="723" t="s">
        <v>2043</v>
      </c>
      <c r="I1571" s="723" t="s">
        <v>5248</v>
      </c>
      <c r="J1571" s="723" t="s">
        <v>5249</v>
      </c>
      <c r="K1571" s="723" t="s">
        <v>2044</v>
      </c>
      <c r="L1571" s="723">
        <v>80778345</v>
      </c>
      <c r="M1571" s="723" t="s">
        <v>3104</v>
      </c>
      <c r="N1571" s="746"/>
      <c r="O1571" s="746"/>
      <c r="P1571" s="746"/>
      <c r="Q1571" s="746"/>
      <c r="R1571" s="521"/>
      <c r="S1571" s="521"/>
    </row>
    <row r="1572" spans="1:19" ht="25.5">
      <c r="A1572" s="721">
        <v>157</v>
      </c>
      <c r="B1572" s="721">
        <v>20171395013</v>
      </c>
      <c r="C1572" s="721" t="s">
        <v>5250</v>
      </c>
      <c r="D1572" s="721">
        <v>395</v>
      </c>
      <c r="E1572" s="721" t="s">
        <v>4855</v>
      </c>
      <c r="F1572" s="721" t="s">
        <v>154</v>
      </c>
      <c r="G1572" s="721" t="s">
        <v>2546</v>
      </c>
      <c r="H1572" s="721" t="s">
        <v>2043</v>
      </c>
      <c r="I1572" s="721" t="s">
        <v>5251</v>
      </c>
      <c r="J1572" s="721" t="s">
        <v>5252</v>
      </c>
      <c r="K1572" s="721" t="s">
        <v>2044</v>
      </c>
      <c r="L1572" s="721">
        <v>79708519</v>
      </c>
      <c r="M1572" s="721" t="s">
        <v>3130</v>
      </c>
      <c r="N1572" s="746"/>
      <c r="O1572" s="746"/>
      <c r="P1572" s="746"/>
      <c r="Q1572" s="746"/>
      <c r="R1572" s="521"/>
      <c r="S1572" s="521"/>
    </row>
    <row r="1573" spans="1:19" ht="25.5">
      <c r="A1573" s="723">
        <v>158</v>
      </c>
      <c r="B1573" s="723">
        <v>20172395004</v>
      </c>
      <c r="C1573" s="723" t="s">
        <v>5253</v>
      </c>
      <c r="D1573" s="723">
        <v>395</v>
      </c>
      <c r="E1573" s="723" t="s">
        <v>4855</v>
      </c>
      <c r="F1573" s="723" t="s">
        <v>154</v>
      </c>
      <c r="G1573" s="723" t="s">
        <v>2546</v>
      </c>
      <c r="H1573" s="723">
        <v>4</v>
      </c>
      <c r="I1573" s="723" t="s">
        <v>5254</v>
      </c>
      <c r="J1573" s="723" t="s">
        <v>5255</v>
      </c>
      <c r="K1573" s="723" t="s">
        <v>2044</v>
      </c>
      <c r="L1573" s="723">
        <v>1013609700</v>
      </c>
      <c r="M1573" s="723" t="s">
        <v>1334</v>
      </c>
      <c r="N1573" s="746"/>
      <c r="O1573" s="746"/>
      <c r="P1573" s="746"/>
      <c r="Q1573" s="746"/>
      <c r="R1573" s="521"/>
      <c r="S1573" s="521"/>
    </row>
    <row r="1574" spans="1:19" ht="25.5">
      <c r="A1574" s="721">
        <v>159</v>
      </c>
      <c r="B1574" s="721">
        <v>20172395008</v>
      </c>
      <c r="C1574" s="721" t="s">
        <v>5256</v>
      </c>
      <c r="D1574" s="721">
        <v>395</v>
      </c>
      <c r="E1574" s="721" t="s">
        <v>4855</v>
      </c>
      <c r="F1574" s="721" t="s">
        <v>154</v>
      </c>
      <c r="G1574" s="721" t="s">
        <v>2546</v>
      </c>
      <c r="H1574" s="721" t="s">
        <v>2043</v>
      </c>
      <c r="I1574" s="721" t="s">
        <v>5257</v>
      </c>
      <c r="J1574" s="721" t="s">
        <v>5258</v>
      </c>
      <c r="K1574" s="721" t="s">
        <v>2044</v>
      </c>
      <c r="L1574" s="721">
        <v>1070961137</v>
      </c>
      <c r="M1574" s="721" t="s">
        <v>3104</v>
      </c>
      <c r="N1574" s="746"/>
      <c r="O1574" s="746"/>
      <c r="P1574" s="746"/>
      <c r="Q1574" s="746"/>
      <c r="R1574" s="521"/>
      <c r="S1574" s="521"/>
    </row>
    <row r="1575" spans="1:19" ht="25.5">
      <c r="A1575" s="723">
        <v>160</v>
      </c>
      <c r="B1575" s="723">
        <v>20172395010</v>
      </c>
      <c r="C1575" s="723" t="s">
        <v>5259</v>
      </c>
      <c r="D1575" s="723">
        <v>395</v>
      </c>
      <c r="E1575" s="723" t="s">
        <v>4855</v>
      </c>
      <c r="F1575" s="723" t="s">
        <v>154</v>
      </c>
      <c r="G1575" s="723" t="s">
        <v>2546</v>
      </c>
      <c r="H1575" s="723">
        <v>3</v>
      </c>
      <c r="I1575" s="723" t="s">
        <v>5260</v>
      </c>
      <c r="J1575" s="723" t="s">
        <v>5261</v>
      </c>
      <c r="K1575" s="723" t="s">
        <v>2044</v>
      </c>
      <c r="L1575" s="723">
        <v>1022365018</v>
      </c>
      <c r="M1575" s="723" t="s">
        <v>1334</v>
      </c>
      <c r="N1575" s="746"/>
      <c r="O1575" s="746"/>
      <c r="P1575" s="746"/>
      <c r="Q1575" s="746"/>
      <c r="R1575" s="521"/>
      <c r="S1575" s="521"/>
    </row>
    <row r="1576" spans="1:19" ht="25.5">
      <c r="A1576" s="721">
        <v>161</v>
      </c>
      <c r="B1576" s="721">
        <v>20172395012</v>
      </c>
      <c r="C1576" s="721" t="s">
        <v>5262</v>
      </c>
      <c r="D1576" s="721">
        <v>395</v>
      </c>
      <c r="E1576" s="721" t="s">
        <v>4855</v>
      </c>
      <c r="F1576" s="721" t="s">
        <v>154</v>
      </c>
      <c r="G1576" s="721" t="s">
        <v>2546</v>
      </c>
      <c r="H1576" s="721">
        <v>3</v>
      </c>
      <c r="I1576" s="721" t="s">
        <v>5263</v>
      </c>
      <c r="J1576" s="721" t="s">
        <v>5264</v>
      </c>
      <c r="K1576" s="721" t="s">
        <v>2044</v>
      </c>
      <c r="L1576" s="721">
        <v>1020745698</v>
      </c>
      <c r="M1576" s="721" t="s">
        <v>1237</v>
      </c>
      <c r="N1576" s="746"/>
      <c r="O1576" s="746"/>
      <c r="P1576" s="746"/>
      <c r="Q1576" s="746"/>
      <c r="R1576" s="521"/>
      <c r="S1576" s="521"/>
    </row>
    <row r="1577" spans="1:19" ht="25.5">
      <c r="A1577" s="723">
        <v>162</v>
      </c>
      <c r="B1577" s="723">
        <v>20172395013</v>
      </c>
      <c r="C1577" s="723" t="s">
        <v>5265</v>
      </c>
      <c r="D1577" s="723">
        <v>395</v>
      </c>
      <c r="E1577" s="723" t="s">
        <v>4855</v>
      </c>
      <c r="F1577" s="723" t="s">
        <v>154</v>
      </c>
      <c r="G1577" s="723" t="s">
        <v>2546</v>
      </c>
      <c r="H1577" s="723" t="s">
        <v>2043</v>
      </c>
      <c r="I1577" s="723" t="s">
        <v>5266</v>
      </c>
      <c r="J1577" s="723" t="s">
        <v>5267</v>
      </c>
      <c r="K1577" s="723" t="s">
        <v>2044</v>
      </c>
      <c r="L1577" s="723">
        <v>1014214639</v>
      </c>
      <c r="M1577" s="723" t="s">
        <v>3104</v>
      </c>
      <c r="N1577" s="746"/>
      <c r="O1577" s="746"/>
      <c r="P1577" s="746"/>
      <c r="Q1577" s="746"/>
      <c r="R1577" s="521"/>
      <c r="S1577" s="521"/>
    </row>
    <row r="1578" spans="1:19" ht="25.5">
      <c r="A1578" s="721">
        <v>163</v>
      </c>
      <c r="B1578" s="721">
        <v>20172395017</v>
      </c>
      <c r="C1578" s="721" t="s">
        <v>5268</v>
      </c>
      <c r="D1578" s="721">
        <v>395</v>
      </c>
      <c r="E1578" s="721" t="s">
        <v>4855</v>
      </c>
      <c r="F1578" s="721" t="s">
        <v>154</v>
      </c>
      <c r="G1578" s="721" t="s">
        <v>2546</v>
      </c>
      <c r="H1578" s="721">
        <v>4</v>
      </c>
      <c r="I1578" s="721" t="s">
        <v>5269</v>
      </c>
      <c r="J1578" s="721" t="s">
        <v>5270</v>
      </c>
      <c r="K1578" s="721" t="s">
        <v>2044</v>
      </c>
      <c r="L1578" s="721">
        <v>79808306</v>
      </c>
      <c r="M1578" s="721" t="s">
        <v>3180</v>
      </c>
      <c r="N1578" s="746"/>
      <c r="O1578" s="746"/>
      <c r="P1578" s="746"/>
      <c r="Q1578" s="746"/>
      <c r="R1578" s="521"/>
      <c r="S1578" s="521"/>
    </row>
    <row r="1579" spans="1:19" ht="25.5">
      <c r="A1579" s="723">
        <v>164</v>
      </c>
      <c r="B1579" s="723">
        <v>20181395002</v>
      </c>
      <c r="C1579" s="723" t="s">
        <v>5271</v>
      </c>
      <c r="D1579" s="723">
        <v>395</v>
      </c>
      <c r="E1579" s="723" t="s">
        <v>4855</v>
      </c>
      <c r="F1579" s="723" t="s">
        <v>154</v>
      </c>
      <c r="G1579" s="723" t="s">
        <v>2546</v>
      </c>
      <c r="H1579" s="723">
        <v>1</v>
      </c>
      <c r="I1579" s="723" t="s">
        <v>5114</v>
      </c>
      <c r="J1579" s="723" t="s">
        <v>5115</v>
      </c>
      <c r="K1579" s="723" t="s">
        <v>2044</v>
      </c>
      <c r="L1579" s="723">
        <v>79791274</v>
      </c>
      <c r="M1579" s="723" t="s">
        <v>3139</v>
      </c>
      <c r="N1579" s="746"/>
      <c r="O1579" s="746"/>
      <c r="P1579" s="746"/>
      <c r="Q1579" s="746"/>
      <c r="R1579" s="521"/>
      <c r="S1579" s="521"/>
    </row>
    <row r="1580" spans="1:19" ht="25.5">
      <c r="A1580" s="721">
        <v>165</v>
      </c>
      <c r="B1580" s="721">
        <v>20181395007</v>
      </c>
      <c r="C1580" s="721" t="s">
        <v>5272</v>
      </c>
      <c r="D1580" s="721">
        <v>395</v>
      </c>
      <c r="E1580" s="721" t="s">
        <v>4855</v>
      </c>
      <c r="F1580" s="721" t="s">
        <v>154</v>
      </c>
      <c r="G1580" s="721" t="s">
        <v>2546</v>
      </c>
      <c r="H1580" s="721">
        <v>3</v>
      </c>
      <c r="I1580" s="721" t="s">
        <v>5273</v>
      </c>
      <c r="J1580" s="721" t="s">
        <v>5274</v>
      </c>
      <c r="K1580" s="721" t="s">
        <v>2044</v>
      </c>
      <c r="L1580" s="721">
        <v>80795672</v>
      </c>
      <c r="M1580" s="721" t="s">
        <v>3269</v>
      </c>
      <c r="N1580" s="746"/>
      <c r="O1580" s="746"/>
      <c r="P1580" s="746"/>
      <c r="Q1580" s="746"/>
      <c r="R1580" s="521"/>
      <c r="S1580" s="521"/>
    </row>
    <row r="1581" spans="1:19" ht="25.5">
      <c r="A1581" s="723">
        <v>166</v>
      </c>
      <c r="B1581" s="723">
        <v>20182395004</v>
      </c>
      <c r="C1581" s="723" t="s">
        <v>5275</v>
      </c>
      <c r="D1581" s="723">
        <v>395</v>
      </c>
      <c r="E1581" s="723" t="s">
        <v>4855</v>
      </c>
      <c r="F1581" s="723" t="s">
        <v>154</v>
      </c>
      <c r="G1581" s="723" t="s">
        <v>2546</v>
      </c>
      <c r="H1581" s="723" t="s">
        <v>2043</v>
      </c>
      <c r="I1581" s="723" t="s">
        <v>5276</v>
      </c>
      <c r="J1581" s="723" t="s">
        <v>5277</v>
      </c>
      <c r="K1581" s="723" t="s">
        <v>2044</v>
      </c>
      <c r="L1581" s="723">
        <v>1094939426</v>
      </c>
      <c r="M1581" s="723" t="s">
        <v>3202</v>
      </c>
      <c r="N1581" s="746"/>
      <c r="O1581" s="746"/>
      <c r="P1581" s="746"/>
      <c r="Q1581" s="746"/>
      <c r="R1581" s="521"/>
      <c r="S1581" s="521"/>
    </row>
    <row r="1582" spans="1:19" ht="25.5">
      <c r="A1582" s="721">
        <v>167</v>
      </c>
      <c r="B1582" s="721">
        <v>20182395007</v>
      </c>
      <c r="C1582" s="721" t="s">
        <v>5278</v>
      </c>
      <c r="D1582" s="721">
        <v>395</v>
      </c>
      <c r="E1582" s="721" t="s">
        <v>4855</v>
      </c>
      <c r="F1582" s="721" t="s">
        <v>154</v>
      </c>
      <c r="G1582" s="721" t="s">
        <v>2546</v>
      </c>
      <c r="H1582" s="721">
        <v>2</v>
      </c>
      <c r="I1582" s="721" t="s">
        <v>5279</v>
      </c>
      <c r="J1582" s="721" t="s">
        <v>5279</v>
      </c>
      <c r="K1582" s="721" t="s">
        <v>2044</v>
      </c>
      <c r="L1582" s="721">
        <v>1026269815</v>
      </c>
      <c r="M1582" s="721" t="s">
        <v>3322</v>
      </c>
      <c r="N1582" s="746"/>
      <c r="O1582" s="746"/>
      <c r="P1582" s="746"/>
      <c r="Q1582" s="746"/>
      <c r="R1582" s="521"/>
      <c r="S1582" s="521"/>
    </row>
    <row r="1583" spans="1:19" ht="25.5">
      <c r="A1583" s="723">
        <v>168</v>
      </c>
      <c r="B1583" s="723">
        <v>20182395008</v>
      </c>
      <c r="C1583" s="723" t="s">
        <v>5280</v>
      </c>
      <c r="D1583" s="723">
        <v>395</v>
      </c>
      <c r="E1583" s="723" t="s">
        <v>4855</v>
      </c>
      <c r="F1583" s="723" t="s">
        <v>154</v>
      </c>
      <c r="G1583" s="723" t="s">
        <v>2546</v>
      </c>
      <c r="H1583" s="723">
        <v>1</v>
      </c>
      <c r="I1583" s="723" t="s">
        <v>5281</v>
      </c>
      <c r="J1583" s="723" t="s">
        <v>5282</v>
      </c>
      <c r="K1583" s="723" t="s">
        <v>2044</v>
      </c>
      <c r="L1583" s="723">
        <v>1032466689</v>
      </c>
      <c r="M1583" s="723" t="s">
        <v>3279</v>
      </c>
      <c r="N1583" s="746"/>
      <c r="O1583" s="746"/>
      <c r="P1583" s="746"/>
      <c r="Q1583" s="746"/>
      <c r="R1583" s="521"/>
      <c r="S1583" s="521"/>
    </row>
    <row r="1584" spans="1:19" ht="25.5">
      <c r="A1584" s="721">
        <v>169</v>
      </c>
      <c r="B1584" s="721">
        <v>20191395004</v>
      </c>
      <c r="C1584" s="721" t="s">
        <v>5283</v>
      </c>
      <c r="D1584" s="721">
        <v>395</v>
      </c>
      <c r="E1584" s="721" t="s">
        <v>4855</v>
      </c>
      <c r="F1584" s="721" t="s">
        <v>154</v>
      </c>
      <c r="G1584" s="721" t="s">
        <v>2546</v>
      </c>
      <c r="H1584" s="721">
        <v>1</v>
      </c>
      <c r="I1584" s="721" t="s">
        <v>5284</v>
      </c>
      <c r="J1584" s="721" t="s">
        <v>5284</v>
      </c>
      <c r="K1584" s="721" t="s">
        <v>2044</v>
      </c>
      <c r="L1584" s="721">
        <v>1016068098</v>
      </c>
      <c r="M1584" s="721" t="s">
        <v>3149</v>
      </c>
      <c r="N1584" s="746"/>
      <c r="O1584" s="746"/>
      <c r="P1584" s="746"/>
      <c r="Q1584" s="746"/>
      <c r="R1584" s="521"/>
      <c r="S1584" s="521"/>
    </row>
    <row r="1585" spans="1:19" ht="25.5">
      <c r="A1585" s="723">
        <v>170</v>
      </c>
      <c r="B1585" s="723">
        <v>20191395009</v>
      </c>
      <c r="C1585" s="723" t="s">
        <v>5285</v>
      </c>
      <c r="D1585" s="723">
        <v>395</v>
      </c>
      <c r="E1585" s="723" t="s">
        <v>4855</v>
      </c>
      <c r="F1585" s="723" t="s">
        <v>154</v>
      </c>
      <c r="G1585" s="723" t="s">
        <v>2546</v>
      </c>
      <c r="H1585" s="723">
        <v>4</v>
      </c>
      <c r="I1585" s="723" t="s">
        <v>5286</v>
      </c>
      <c r="J1585" s="723" t="s">
        <v>5286</v>
      </c>
      <c r="K1585" s="723" t="s">
        <v>2044</v>
      </c>
      <c r="L1585" s="723">
        <v>1020796840</v>
      </c>
      <c r="M1585" s="723" t="s">
        <v>3149</v>
      </c>
      <c r="N1585" s="746"/>
      <c r="O1585" s="746"/>
      <c r="P1585" s="746"/>
      <c r="Q1585" s="746"/>
      <c r="R1585" s="521"/>
      <c r="S1585" s="521"/>
    </row>
    <row r="1586" spans="1:19" ht="25.5">
      <c r="A1586" s="721">
        <v>171</v>
      </c>
      <c r="B1586" s="721">
        <v>20192395003</v>
      </c>
      <c r="C1586" s="721" t="s">
        <v>5287</v>
      </c>
      <c r="D1586" s="721">
        <v>395</v>
      </c>
      <c r="E1586" s="721" t="s">
        <v>4855</v>
      </c>
      <c r="F1586" s="721" t="s">
        <v>154</v>
      </c>
      <c r="G1586" s="721" t="s">
        <v>2546</v>
      </c>
      <c r="H1586" s="721">
        <v>2</v>
      </c>
      <c r="I1586" s="721" t="s">
        <v>5288</v>
      </c>
      <c r="J1586" s="721" t="s">
        <v>5289</v>
      </c>
      <c r="K1586" s="721" t="s">
        <v>2044</v>
      </c>
      <c r="L1586" s="721">
        <v>1022360349</v>
      </c>
      <c r="M1586" s="721" t="s">
        <v>3180</v>
      </c>
      <c r="N1586" s="746"/>
      <c r="O1586" s="746"/>
      <c r="P1586" s="746"/>
      <c r="Q1586" s="746"/>
      <c r="R1586" s="521"/>
      <c r="S1586" s="521"/>
    </row>
    <row r="1587" spans="1:19" ht="25.5">
      <c r="A1587" s="723">
        <v>172</v>
      </c>
      <c r="B1587" s="723">
        <v>20192395004</v>
      </c>
      <c r="C1587" s="723" t="s">
        <v>5290</v>
      </c>
      <c r="D1587" s="723">
        <v>395</v>
      </c>
      <c r="E1587" s="723" t="s">
        <v>4855</v>
      </c>
      <c r="F1587" s="723" t="s">
        <v>154</v>
      </c>
      <c r="G1587" s="723" t="s">
        <v>2546</v>
      </c>
      <c r="H1587" s="723">
        <v>3</v>
      </c>
      <c r="I1587" s="723" t="s">
        <v>5291</v>
      </c>
      <c r="J1587" s="723" t="s">
        <v>5292</v>
      </c>
      <c r="K1587" s="723" t="s">
        <v>2044</v>
      </c>
      <c r="L1587" s="723">
        <v>79429610</v>
      </c>
      <c r="M1587" s="723" t="s">
        <v>3180</v>
      </c>
      <c r="N1587" s="746"/>
      <c r="O1587" s="746"/>
      <c r="P1587" s="746"/>
      <c r="Q1587" s="746"/>
      <c r="R1587" s="521"/>
      <c r="S1587" s="521"/>
    </row>
    <row r="1588" spans="1:19" ht="25.5">
      <c r="A1588" s="721">
        <v>173</v>
      </c>
      <c r="B1588" s="721">
        <v>20192395005</v>
      </c>
      <c r="C1588" s="721" t="s">
        <v>5293</v>
      </c>
      <c r="D1588" s="721">
        <v>395</v>
      </c>
      <c r="E1588" s="721" t="s">
        <v>4855</v>
      </c>
      <c r="F1588" s="721" t="s">
        <v>154</v>
      </c>
      <c r="G1588" s="721" t="s">
        <v>2546</v>
      </c>
      <c r="H1588" s="721">
        <v>3</v>
      </c>
      <c r="I1588" s="721" t="s">
        <v>5294</v>
      </c>
      <c r="J1588" s="721" t="s">
        <v>5295</v>
      </c>
      <c r="K1588" s="721" t="s">
        <v>2044</v>
      </c>
      <c r="L1588" s="721">
        <v>1026273952</v>
      </c>
      <c r="M1588" s="721" t="s">
        <v>3322</v>
      </c>
      <c r="N1588" s="746"/>
      <c r="O1588" s="746"/>
      <c r="P1588" s="746"/>
      <c r="Q1588" s="746"/>
      <c r="R1588" s="521"/>
      <c r="S1588" s="521"/>
    </row>
    <row r="1589" spans="1:19" ht="25.5">
      <c r="A1589" s="723">
        <v>174</v>
      </c>
      <c r="B1589" s="723">
        <v>20192395006</v>
      </c>
      <c r="C1589" s="723" t="s">
        <v>5296</v>
      </c>
      <c r="D1589" s="723">
        <v>395</v>
      </c>
      <c r="E1589" s="723" t="s">
        <v>4855</v>
      </c>
      <c r="F1589" s="723" t="s">
        <v>154</v>
      </c>
      <c r="G1589" s="723" t="s">
        <v>2546</v>
      </c>
      <c r="H1589" s="723">
        <v>3</v>
      </c>
      <c r="I1589" s="723" t="s">
        <v>5297</v>
      </c>
      <c r="J1589" s="723" t="s">
        <v>5298</v>
      </c>
      <c r="K1589" s="723" t="s">
        <v>2044</v>
      </c>
      <c r="L1589" s="723">
        <v>80068987</v>
      </c>
      <c r="M1589" s="723" t="s">
        <v>3180</v>
      </c>
      <c r="N1589" s="746"/>
      <c r="O1589" s="746"/>
      <c r="P1589" s="746"/>
      <c r="Q1589" s="746"/>
      <c r="R1589" s="521"/>
      <c r="S1589" s="521"/>
    </row>
    <row r="1590" spans="1:19" ht="25.5">
      <c r="A1590" s="721">
        <v>175</v>
      </c>
      <c r="B1590" s="721">
        <v>20192395007</v>
      </c>
      <c r="C1590" s="721" t="s">
        <v>5299</v>
      </c>
      <c r="D1590" s="721">
        <v>395</v>
      </c>
      <c r="E1590" s="721" t="s">
        <v>4855</v>
      </c>
      <c r="F1590" s="721" t="s">
        <v>154</v>
      </c>
      <c r="G1590" s="721" t="s">
        <v>2546</v>
      </c>
      <c r="H1590" s="721">
        <v>3</v>
      </c>
      <c r="I1590" s="721" t="s">
        <v>5300</v>
      </c>
      <c r="J1590" s="721" t="s">
        <v>5301</v>
      </c>
      <c r="K1590" s="721" t="s">
        <v>2044</v>
      </c>
      <c r="L1590" s="721">
        <v>1022395401</v>
      </c>
      <c r="M1590" s="721" t="s">
        <v>1364</v>
      </c>
      <c r="N1590" s="746"/>
      <c r="O1590" s="746"/>
      <c r="P1590" s="746"/>
      <c r="Q1590" s="746"/>
      <c r="R1590" s="521"/>
      <c r="S1590" s="521"/>
    </row>
    <row r="1591" spans="1:19" ht="25.5">
      <c r="A1591" s="723">
        <v>176</v>
      </c>
      <c r="B1591" s="723">
        <v>20192395008</v>
      </c>
      <c r="C1591" s="723" t="s">
        <v>5302</v>
      </c>
      <c r="D1591" s="723">
        <v>395</v>
      </c>
      <c r="E1591" s="723" t="s">
        <v>4855</v>
      </c>
      <c r="F1591" s="723" t="s">
        <v>154</v>
      </c>
      <c r="G1591" s="723" t="s">
        <v>2546</v>
      </c>
      <c r="H1591" s="723">
        <v>3</v>
      </c>
      <c r="I1591" s="723" t="s">
        <v>510</v>
      </c>
      <c r="J1591" s="723" t="s">
        <v>5303</v>
      </c>
      <c r="K1591" s="723" t="s">
        <v>2044</v>
      </c>
      <c r="L1591" s="723">
        <v>1023923782</v>
      </c>
      <c r="M1591" s="723" t="s">
        <v>1364</v>
      </c>
      <c r="N1591" s="746"/>
      <c r="O1591" s="746"/>
      <c r="P1591" s="746"/>
      <c r="Q1591" s="746"/>
      <c r="R1591" s="521"/>
      <c r="S1591" s="521"/>
    </row>
    <row r="1592" spans="1:19" ht="25.5">
      <c r="A1592" s="721">
        <v>177</v>
      </c>
      <c r="B1592" s="721">
        <v>20192395009</v>
      </c>
      <c r="C1592" s="721" t="s">
        <v>5304</v>
      </c>
      <c r="D1592" s="721">
        <v>395</v>
      </c>
      <c r="E1592" s="721" t="s">
        <v>4855</v>
      </c>
      <c r="F1592" s="721" t="s">
        <v>154</v>
      </c>
      <c r="G1592" s="721" t="s">
        <v>2546</v>
      </c>
      <c r="H1592" s="721">
        <v>2</v>
      </c>
      <c r="I1592" s="721" t="s">
        <v>5305</v>
      </c>
      <c r="J1592" s="721" t="s">
        <v>5306</v>
      </c>
      <c r="K1592" s="721" t="s">
        <v>2044</v>
      </c>
      <c r="L1592" s="721">
        <v>1032440255</v>
      </c>
      <c r="M1592" s="721" t="s">
        <v>3180</v>
      </c>
      <c r="N1592" s="746"/>
      <c r="O1592" s="746"/>
      <c r="P1592" s="746"/>
      <c r="Q1592" s="746"/>
      <c r="R1592" s="521"/>
      <c r="S1592" s="521"/>
    </row>
    <row r="1593" spans="1:19" ht="25.5">
      <c r="A1593" s="723">
        <v>178</v>
      </c>
      <c r="B1593" s="723">
        <v>20192395013</v>
      </c>
      <c r="C1593" s="723" t="s">
        <v>5307</v>
      </c>
      <c r="D1593" s="723">
        <v>395</v>
      </c>
      <c r="E1593" s="723" t="s">
        <v>4855</v>
      </c>
      <c r="F1593" s="723" t="s">
        <v>154</v>
      </c>
      <c r="G1593" s="723" t="s">
        <v>2546</v>
      </c>
      <c r="H1593" s="723">
        <v>1</v>
      </c>
      <c r="I1593" s="723" t="s">
        <v>5308</v>
      </c>
      <c r="J1593" s="723" t="s">
        <v>5309</v>
      </c>
      <c r="K1593" s="723" t="s">
        <v>2044</v>
      </c>
      <c r="L1593" s="723">
        <v>53120904</v>
      </c>
      <c r="M1593" s="723" t="s">
        <v>3180</v>
      </c>
      <c r="N1593" s="746"/>
      <c r="O1593" s="746"/>
      <c r="P1593" s="746"/>
      <c r="Q1593" s="746"/>
      <c r="R1593" s="521"/>
      <c r="S1593" s="521"/>
    </row>
    <row r="1594" spans="1:19" ht="25.5">
      <c r="A1594" s="721">
        <v>179</v>
      </c>
      <c r="B1594" s="721">
        <v>20201395001</v>
      </c>
      <c r="C1594" s="721" t="s">
        <v>5310</v>
      </c>
      <c r="D1594" s="721">
        <v>395</v>
      </c>
      <c r="E1594" s="721" t="s">
        <v>4855</v>
      </c>
      <c r="F1594" s="721" t="s">
        <v>154</v>
      </c>
      <c r="G1594" s="721" t="s">
        <v>2546</v>
      </c>
      <c r="H1594" s="721">
        <v>4</v>
      </c>
      <c r="I1594" s="721" t="s">
        <v>5311</v>
      </c>
      <c r="J1594" s="721" t="s">
        <v>5312</v>
      </c>
      <c r="K1594" s="721" t="s">
        <v>2044</v>
      </c>
      <c r="L1594" s="721">
        <v>1018453825</v>
      </c>
      <c r="M1594" s="721" t="s">
        <v>1356</v>
      </c>
      <c r="N1594" s="746"/>
      <c r="O1594" s="746"/>
      <c r="P1594" s="746"/>
      <c r="Q1594" s="746"/>
      <c r="R1594" s="521"/>
      <c r="S1594" s="521"/>
    </row>
    <row r="1595" spans="1:19" ht="25.5">
      <c r="A1595" s="723">
        <v>180</v>
      </c>
      <c r="B1595" s="723">
        <v>20202395002</v>
      </c>
      <c r="C1595" s="723" t="s">
        <v>5313</v>
      </c>
      <c r="D1595" s="723">
        <v>395</v>
      </c>
      <c r="E1595" s="723" t="s">
        <v>4855</v>
      </c>
      <c r="F1595" s="723" t="s">
        <v>154</v>
      </c>
      <c r="G1595" s="723" t="s">
        <v>2546</v>
      </c>
      <c r="H1595" s="723">
        <v>3</v>
      </c>
      <c r="I1595" s="723"/>
      <c r="J1595" s="723" t="s">
        <v>5314</v>
      </c>
      <c r="K1595" s="723" t="s">
        <v>2044</v>
      </c>
      <c r="L1595" s="723">
        <v>1012345953</v>
      </c>
      <c r="M1595" s="723" t="s">
        <v>3155</v>
      </c>
      <c r="N1595" s="746"/>
      <c r="O1595" s="746"/>
      <c r="P1595" s="746"/>
      <c r="Q1595" s="746"/>
      <c r="R1595" s="521"/>
      <c r="S1595" s="521"/>
    </row>
    <row r="1596" spans="1:19" ht="25.5">
      <c r="A1596" s="721">
        <v>181</v>
      </c>
      <c r="B1596" s="721">
        <v>20202395003</v>
      </c>
      <c r="C1596" s="721" t="s">
        <v>5315</v>
      </c>
      <c r="D1596" s="721">
        <v>395</v>
      </c>
      <c r="E1596" s="721" t="s">
        <v>4855</v>
      </c>
      <c r="F1596" s="721" t="s">
        <v>154</v>
      </c>
      <c r="G1596" s="721" t="s">
        <v>2546</v>
      </c>
      <c r="H1596" s="721">
        <v>3</v>
      </c>
      <c r="I1596" s="721"/>
      <c r="J1596" s="721" t="s">
        <v>5316</v>
      </c>
      <c r="K1596" s="721" t="s">
        <v>2044</v>
      </c>
      <c r="L1596" s="721">
        <v>80097576</v>
      </c>
      <c r="M1596" s="721" t="s">
        <v>3155</v>
      </c>
      <c r="N1596" s="746"/>
      <c r="O1596" s="746"/>
      <c r="P1596" s="746"/>
      <c r="Q1596" s="746"/>
      <c r="R1596" s="521"/>
      <c r="S1596" s="521"/>
    </row>
    <row r="1597" spans="1:19" ht="25.5">
      <c r="A1597" s="723">
        <v>182</v>
      </c>
      <c r="B1597" s="723">
        <v>20202395007</v>
      </c>
      <c r="C1597" s="723" t="s">
        <v>5317</v>
      </c>
      <c r="D1597" s="723">
        <v>395</v>
      </c>
      <c r="E1597" s="723" t="s">
        <v>4855</v>
      </c>
      <c r="F1597" s="723" t="s">
        <v>154</v>
      </c>
      <c r="G1597" s="723" t="s">
        <v>2546</v>
      </c>
      <c r="H1597" s="723">
        <v>1</v>
      </c>
      <c r="I1597" s="723" t="s">
        <v>5318</v>
      </c>
      <c r="J1597" s="723" t="s">
        <v>5319</v>
      </c>
      <c r="K1597" s="723" t="s">
        <v>2044</v>
      </c>
      <c r="L1597" s="723">
        <v>1010214754</v>
      </c>
      <c r="M1597" s="723" t="s">
        <v>3322</v>
      </c>
      <c r="N1597" s="746"/>
      <c r="O1597" s="746"/>
      <c r="P1597" s="746"/>
      <c r="Q1597" s="746"/>
      <c r="R1597" s="521"/>
      <c r="S1597" s="521"/>
    </row>
    <row r="1598" spans="1:19" ht="25.5">
      <c r="A1598" s="721">
        <v>183</v>
      </c>
      <c r="B1598" s="721">
        <v>20202395008</v>
      </c>
      <c r="C1598" s="721" t="s">
        <v>5320</v>
      </c>
      <c r="D1598" s="721">
        <v>395</v>
      </c>
      <c r="E1598" s="721" t="s">
        <v>4855</v>
      </c>
      <c r="F1598" s="721" t="s">
        <v>154</v>
      </c>
      <c r="G1598" s="721" t="s">
        <v>2546</v>
      </c>
      <c r="H1598" s="721">
        <v>3</v>
      </c>
      <c r="I1598" s="721"/>
      <c r="J1598" s="721" t="s">
        <v>5321</v>
      </c>
      <c r="K1598" s="721" t="s">
        <v>2044</v>
      </c>
      <c r="L1598" s="721">
        <v>1136886605</v>
      </c>
      <c r="M1598" s="721" t="s">
        <v>2936</v>
      </c>
      <c r="N1598" s="746"/>
      <c r="O1598" s="746"/>
      <c r="P1598" s="746"/>
      <c r="Q1598" s="746"/>
      <c r="R1598" s="521"/>
      <c r="S1598" s="521"/>
    </row>
    <row r="1599" spans="1:19" ht="25.5">
      <c r="A1599" s="723">
        <v>184</v>
      </c>
      <c r="B1599" s="723">
        <v>20202395010</v>
      </c>
      <c r="C1599" s="723" t="s">
        <v>5322</v>
      </c>
      <c r="D1599" s="723">
        <v>395</v>
      </c>
      <c r="E1599" s="723" t="s">
        <v>4855</v>
      </c>
      <c r="F1599" s="723" t="s">
        <v>154</v>
      </c>
      <c r="G1599" s="723" t="s">
        <v>2546</v>
      </c>
      <c r="H1599" s="723">
        <v>3</v>
      </c>
      <c r="I1599" s="723"/>
      <c r="J1599" s="723" t="s">
        <v>5323</v>
      </c>
      <c r="K1599" s="723" t="s">
        <v>2044</v>
      </c>
      <c r="L1599" s="723">
        <v>1010173313</v>
      </c>
      <c r="M1599" s="723" t="s">
        <v>1223</v>
      </c>
      <c r="N1599" s="746"/>
      <c r="O1599" s="746"/>
      <c r="P1599" s="746"/>
      <c r="Q1599" s="746"/>
      <c r="R1599" s="521"/>
      <c r="S1599" s="521"/>
    </row>
    <row r="1600" spans="1:19" ht="25.5">
      <c r="A1600" s="721">
        <v>185</v>
      </c>
      <c r="B1600" s="721">
        <v>20202395011</v>
      </c>
      <c r="C1600" s="721" t="s">
        <v>5324</v>
      </c>
      <c r="D1600" s="721">
        <v>395</v>
      </c>
      <c r="E1600" s="721" t="s">
        <v>4855</v>
      </c>
      <c r="F1600" s="721" t="s">
        <v>154</v>
      </c>
      <c r="G1600" s="721" t="s">
        <v>2546</v>
      </c>
      <c r="H1600" s="721">
        <v>3</v>
      </c>
      <c r="I1600" s="721"/>
      <c r="J1600" s="721" t="s">
        <v>5325</v>
      </c>
      <c r="K1600" s="721" t="s">
        <v>2044</v>
      </c>
      <c r="L1600" s="721">
        <v>80740250</v>
      </c>
      <c r="M1600" s="721" t="s">
        <v>3155</v>
      </c>
      <c r="N1600" s="746"/>
      <c r="O1600" s="746"/>
      <c r="P1600" s="746"/>
      <c r="Q1600" s="746"/>
      <c r="R1600" s="521"/>
      <c r="S1600" s="521"/>
    </row>
    <row r="1601" spans="1:19" ht="25.5">
      <c r="A1601" s="723">
        <v>186</v>
      </c>
      <c r="B1601" s="723">
        <v>20202395013</v>
      </c>
      <c r="C1601" s="723" t="s">
        <v>5326</v>
      </c>
      <c r="D1601" s="723">
        <v>395</v>
      </c>
      <c r="E1601" s="723" t="s">
        <v>4855</v>
      </c>
      <c r="F1601" s="723" t="s">
        <v>154</v>
      </c>
      <c r="G1601" s="723" t="s">
        <v>2546</v>
      </c>
      <c r="H1601" s="723">
        <v>3</v>
      </c>
      <c r="I1601" s="723"/>
      <c r="J1601" s="723" t="s">
        <v>5327</v>
      </c>
      <c r="K1601" s="723" t="s">
        <v>2044</v>
      </c>
      <c r="L1601" s="723">
        <v>1013601603</v>
      </c>
      <c r="M1601" s="723" t="s">
        <v>1223</v>
      </c>
      <c r="N1601" s="746"/>
      <c r="O1601" s="746"/>
      <c r="P1601" s="746"/>
      <c r="Q1601" s="746"/>
      <c r="R1601" s="521"/>
      <c r="S1601" s="521"/>
    </row>
    <row r="1602" spans="1:19" ht="25.5">
      <c r="A1602" s="721">
        <v>187</v>
      </c>
      <c r="B1602" s="721">
        <v>20202395015</v>
      </c>
      <c r="C1602" s="721" t="s">
        <v>5328</v>
      </c>
      <c r="D1602" s="721">
        <v>395</v>
      </c>
      <c r="E1602" s="721" t="s">
        <v>4855</v>
      </c>
      <c r="F1602" s="721" t="s">
        <v>154</v>
      </c>
      <c r="G1602" s="721" t="s">
        <v>2546</v>
      </c>
      <c r="H1602" s="721">
        <v>2</v>
      </c>
      <c r="I1602" s="721"/>
      <c r="J1602" s="721" t="s">
        <v>5329</v>
      </c>
      <c r="K1602" s="721" t="s">
        <v>2044</v>
      </c>
      <c r="L1602" s="721">
        <v>1073234308</v>
      </c>
      <c r="M1602" s="721" t="s">
        <v>1223</v>
      </c>
      <c r="N1602" s="746"/>
      <c r="O1602" s="746"/>
      <c r="P1602" s="746"/>
      <c r="Q1602" s="746"/>
      <c r="R1602" s="521"/>
      <c r="S1602" s="521"/>
    </row>
    <row r="1603" spans="1:19" ht="25.5">
      <c r="A1603" s="723">
        <v>188</v>
      </c>
      <c r="B1603" s="723">
        <v>20202395016</v>
      </c>
      <c r="C1603" s="723" t="s">
        <v>5101</v>
      </c>
      <c r="D1603" s="723">
        <v>395</v>
      </c>
      <c r="E1603" s="723" t="s">
        <v>4855</v>
      </c>
      <c r="F1603" s="723" t="s">
        <v>154</v>
      </c>
      <c r="G1603" s="723" t="s">
        <v>2546</v>
      </c>
      <c r="H1603" s="723">
        <v>2</v>
      </c>
      <c r="I1603" s="723" t="s">
        <v>5330</v>
      </c>
      <c r="J1603" s="723" t="s">
        <v>5102</v>
      </c>
      <c r="K1603" s="723" t="s">
        <v>2044</v>
      </c>
      <c r="L1603" s="723">
        <v>1032431801</v>
      </c>
      <c r="M1603" s="723" t="s">
        <v>3322</v>
      </c>
      <c r="N1603" s="746"/>
      <c r="O1603" s="746"/>
      <c r="P1603" s="746"/>
      <c r="Q1603" s="746"/>
      <c r="R1603" s="521"/>
      <c r="S1603" s="521"/>
    </row>
    <row r="1604" spans="1:19" ht="25.5">
      <c r="A1604" s="721">
        <v>189</v>
      </c>
      <c r="B1604" s="721">
        <v>20211395003</v>
      </c>
      <c r="C1604" s="721" t="s">
        <v>5331</v>
      </c>
      <c r="D1604" s="721">
        <v>395</v>
      </c>
      <c r="E1604" s="721" t="s">
        <v>4855</v>
      </c>
      <c r="F1604" s="721" t="s">
        <v>154</v>
      </c>
      <c r="G1604" s="721" t="s">
        <v>2546</v>
      </c>
      <c r="H1604" s="721">
        <v>3</v>
      </c>
      <c r="I1604" s="721" t="s">
        <v>5332</v>
      </c>
      <c r="J1604" s="721" t="s">
        <v>5333</v>
      </c>
      <c r="K1604" s="721" t="s">
        <v>2044</v>
      </c>
      <c r="L1604" s="721">
        <v>1031147235</v>
      </c>
      <c r="M1604" s="721" t="s">
        <v>1237</v>
      </c>
      <c r="N1604" s="746"/>
      <c r="O1604" s="746"/>
      <c r="P1604" s="746"/>
      <c r="Q1604" s="746"/>
      <c r="R1604" s="521"/>
      <c r="S1604" s="521"/>
    </row>
    <row r="1605" spans="1:19" ht="25.5">
      <c r="A1605" s="723">
        <v>190</v>
      </c>
      <c r="B1605" s="723">
        <v>20212395002</v>
      </c>
      <c r="C1605" s="723" t="s">
        <v>5334</v>
      </c>
      <c r="D1605" s="723">
        <v>395</v>
      </c>
      <c r="E1605" s="723" t="s">
        <v>4855</v>
      </c>
      <c r="F1605" s="723" t="s">
        <v>154</v>
      </c>
      <c r="G1605" s="723" t="s">
        <v>2546</v>
      </c>
      <c r="H1605" s="723">
        <v>3</v>
      </c>
      <c r="I1605" s="723" t="s">
        <v>5335</v>
      </c>
      <c r="J1605" s="723" t="s">
        <v>5336</v>
      </c>
      <c r="K1605" s="723" t="s">
        <v>2044</v>
      </c>
      <c r="L1605" s="723">
        <v>1010227327</v>
      </c>
      <c r="M1605" s="723" t="s">
        <v>2936</v>
      </c>
      <c r="N1605" s="746"/>
      <c r="O1605" s="746"/>
      <c r="P1605" s="746"/>
      <c r="Q1605" s="746"/>
      <c r="R1605" s="521"/>
      <c r="S1605" s="521"/>
    </row>
    <row r="1606" spans="1:19" ht="25.5">
      <c r="A1606" s="721">
        <v>191</v>
      </c>
      <c r="B1606" s="721">
        <v>20212395005</v>
      </c>
      <c r="C1606" s="721" t="s">
        <v>5337</v>
      </c>
      <c r="D1606" s="721">
        <v>395</v>
      </c>
      <c r="E1606" s="721" t="s">
        <v>4855</v>
      </c>
      <c r="F1606" s="721" t="s">
        <v>154</v>
      </c>
      <c r="G1606" s="721" t="s">
        <v>2546</v>
      </c>
      <c r="H1606" s="721">
        <v>3</v>
      </c>
      <c r="I1606" s="721" t="s">
        <v>5338</v>
      </c>
      <c r="J1606" s="721" t="s">
        <v>5339</v>
      </c>
      <c r="K1606" s="721" t="s">
        <v>2044</v>
      </c>
      <c r="L1606" s="721">
        <v>79987510</v>
      </c>
      <c r="M1606" s="721" t="s">
        <v>3322</v>
      </c>
      <c r="N1606" s="746"/>
      <c r="O1606" s="746"/>
      <c r="P1606" s="746"/>
      <c r="Q1606" s="746"/>
      <c r="R1606" s="521"/>
      <c r="S1606" s="521"/>
    </row>
    <row r="1607" spans="1:19" ht="25.5">
      <c r="A1607" s="723">
        <v>192</v>
      </c>
      <c r="B1607" s="723">
        <v>20221395001</v>
      </c>
      <c r="C1607" s="723" t="s">
        <v>5340</v>
      </c>
      <c r="D1607" s="723">
        <v>395</v>
      </c>
      <c r="E1607" s="723" t="s">
        <v>4855</v>
      </c>
      <c r="F1607" s="723" t="s">
        <v>154</v>
      </c>
      <c r="G1607" s="723" t="s">
        <v>2546</v>
      </c>
      <c r="H1607" s="723">
        <v>3</v>
      </c>
      <c r="I1607" s="723" t="s">
        <v>5341</v>
      </c>
      <c r="J1607" s="723" t="s">
        <v>5342</v>
      </c>
      <c r="K1607" s="723" t="s">
        <v>2044</v>
      </c>
      <c r="L1607" s="723">
        <v>1030631243</v>
      </c>
      <c r="M1607" s="723" t="s">
        <v>1356</v>
      </c>
      <c r="N1607" s="746"/>
      <c r="O1607" s="746"/>
      <c r="P1607" s="746"/>
      <c r="Q1607" s="746"/>
      <c r="R1607" s="521"/>
      <c r="S1607" s="521"/>
    </row>
    <row r="1608" spans="1:19" ht="25.5">
      <c r="A1608" s="721">
        <v>193</v>
      </c>
      <c r="B1608" s="721">
        <v>20221395005</v>
      </c>
      <c r="C1608" s="721" t="s">
        <v>5343</v>
      </c>
      <c r="D1608" s="721">
        <v>395</v>
      </c>
      <c r="E1608" s="721" t="s">
        <v>4855</v>
      </c>
      <c r="F1608" s="721" t="s">
        <v>154</v>
      </c>
      <c r="G1608" s="721" t="s">
        <v>2546</v>
      </c>
      <c r="H1608" s="721">
        <v>3</v>
      </c>
      <c r="I1608" s="721"/>
      <c r="J1608" s="721" t="s">
        <v>5344</v>
      </c>
      <c r="K1608" s="721" t="s">
        <v>2044</v>
      </c>
      <c r="L1608" s="721">
        <v>4211815</v>
      </c>
      <c r="M1608" s="721" t="s">
        <v>2936</v>
      </c>
      <c r="N1608" s="746"/>
      <c r="O1608" s="746"/>
      <c r="P1608" s="746"/>
      <c r="Q1608" s="746"/>
      <c r="R1608" s="521"/>
      <c r="S1608" s="521"/>
    </row>
    <row r="1609" spans="1:19">
      <c r="A1609" s="729"/>
      <c r="B1609" s="729"/>
      <c r="C1609" s="729"/>
      <c r="D1609" s="729"/>
      <c r="E1609" s="729"/>
      <c r="F1609" s="729"/>
      <c r="G1609" s="729"/>
      <c r="H1609" s="729"/>
      <c r="I1609" s="729"/>
      <c r="J1609" s="729"/>
      <c r="K1609" s="729"/>
      <c r="L1609" s="729"/>
      <c r="M1609" s="729"/>
      <c r="N1609" s="746"/>
      <c r="O1609" s="746"/>
      <c r="P1609" s="746"/>
      <c r="Q1609" s="746"/>
      <c r="R1609" s="521"/>
      <c r="S1609" s="521"/>
    </row>
    <row r="1610" spans="1:19">
      <c r="A1610" s="719" t="s">
        <v>2033</v>
      </c>
      <c r="B1610" s="719" t="s">
        <v>2831</v>
      </c>
      <c r="C1610"/>
      <c r="D1610"/>
      <c r="E1610"/>
      <c r="F1610"/>
      <c r="G1610"/>
      <c r="H1610"/>
      <c r="I1610"/>
      <c r="J1610"/>
      <c r="K1610"/>
      <c r="L1610"/>
      <c r="M1610"/>
      <c r="N1610" s="521"/>
      <c r="O1610" s="521"/>
      <c r="P1610" s="521"/>
      <c r="Q1610" s="521"/>
      <c r="R1610" s="521"/>
      <c r="S1610" s="521"/>
    </row>
    <row r="1611" spans="1:19" ht="51">
      <c r="A1611" s="719" t="s">
        <v>3</v>
      </c>
      <c r="B1611" s="719" t="s">
        <v>5345</v>
      </c>
      <c r="C1611"/>
      <c r="D1611"/>
      <c r="E1611"/>
      <c r="F1611"/>
      <c r="G1611"/>
      <c r="H1611"/>
      <c r="I1611"/>
      <c r="J1611"/>
      <c r="K1611"/>
      <c r="L1611"/>
      <c r="M1611"/>
      <c r="N1611" s="746"/>
      <c r="O1611" s="746"/>
      <c r="P1611" s="746"/>
      <c r="Q1611" s="746"/>
      <c r="R1611" s="521"/>
      <c r="S1611" s="521"/>
    </row>
    <row r="1612" spans="1:19" ht="25.5">
      <c r="A1612" s="720" t="s">
        <v>2035</v>
      </c>
      <c r="B1612" s="720" t="s">
        <v>2036</v>
      </c>
      <c r="C1612" s="720" t="s">
        <v>1</v>
      </c>
      <c r="D1612" s="720" t="s">
        <v>2037</v>
      </c>
      <c r="E1612" s="720" t="s">
        <v>3</v>
      </c>
      <c r="F1612" s="720" t="s">
        <v>4</v>
      </c>
      <c r="G1612" s="720" t="s">
        <v>2038</v>
      </c>
      <c r="H1612" s="720" t="s">
        <v>6</v>
      </c>
      <c r="I1612" s="720" t="s">
        <v>7</v>
      </c>
      <c r="J1612" s="720" t="s">
        <v>8</v>
      </c>
      <c r="K1612" s="720" t="s">
        <v>2039</v>
      </c>
      <c r="L1612" s="720" t="s">
        <v>10</v>
      </c>
      <c r="M1612" s="720" t="s">
        <v>2040</v>
      </c>
      <c r="N1612" s="746"/>
      <c r="O1612" s="746"/>
      <c r="P1612" s="746"/>
      <c r="Q1612" s="746"/>
      <c r="R1612" s="521"/>
      <c r="S1612" s="521"/>
    </row>
    <row r="1613" spans="1:19">
      <c r="A1613" s="721">
        <v>1</v>
      </c>
      <c r="B1613" s="721">
        <v>20192495003</v>
      </c>
      <c r="C1613" s="721" t="s">
        <v>5346</v>
      </c>
      <c r="D1613" s="721">
        <v>495</v>
      </c>
      <c r="E1613" s="721" t="s">
        <v>5345</v>
      </c>
      <c r="F1613" s="721" t="s">
        <v>37</v>
      </c>
      <c r="G1613" s="721" t="s">
        <v>2834</v>
      </c>
      <c r="H1613" s="721">
        <v>2</v>
      </c>
      <c r="I1613" s="721" t="s">
        <v>5347</v>
      </c>
      <c r="J1613" s="721" t="s">
        <v>5348</v>
      </c>
      <c r="K1613" s="721" t="s">
        <v>2044</v>
      </c>
      <c r="L1613" s="721">
        <v>1023924156</v>
      </c>
      <c r="M1613" s="721" t="s">
        <v>2837</v>
      </c>
      <c r="N1613" s="746"/>
      <c r="O1613" s="746"/>
      <c r="P1613" s="746"/>
      <c r="Q1613" s="746"/>
      <c r="R1613" s="521"/>
      <c r="S1613" s="521"/>
    </row>
    <row r="1614" spans="1:19">
      <c r="A1614" s="723">
        <v>2</v>
      </c>
      <c r="B1614" s="723">
        <v>20201495002</v>
      </c>
      <c r="C1614" s="723" t="s">
        <v>5349</v>
      </c>
      <c r="D1614" s="723">
        <v>495</v>
      </c>
      <c r="E1614" s="723" t="s">
        <v>5345</v>
      </c>
      <c r="F1614" s="723" t="s">
        <v>37</v>
      </c>
      <c r="G1614" s="723" t="s">
        <v>2834</v>
      </c>
      <c r="H1614" s="723">
        <v>1</v>
      </c>
      <c r="I1614" s="723" t="s">
        <v>5350</v>
      </c>
      <c r="J1614" s="723" t="s">
        <v>5351</v>
      </c>
      <c r="K1614" s="723" t="s">
        <v>2044</v>
      </c>
      <c r="L1614" s="723">
        <v>1022944647</v>
      </c>
      <c r="M1614" s="723" t="s">
        <v>2837</v>
      </c>
      <c r="N1614" s="746"/>
      <c r="O1614" s="746"/>
      <c r="P1614" s="746"/>
      <c r="Q1614" s="746"/>
      <c r="R1614" s="521"/>
      <c r="S1614" s="521"/>
    </row>
    <row r="1615" spans="1:19">
      <c r="A1615" s="721">
        <v>3</v>
      </c>
      <c r="B1615" s="721">
        <v>20202495005</v>
      </c>
      <c r="C1615" s="721" t="s">
        <v>5352</v>
      </c>
      <c r="D1615" s="721">
        <v>495</v>
      </c>
      <c r="E1615" s="721" t="s">
        <v>5345</v>
      </c>
      <c r="F1615" s="721" t="s">
        <v>37</v>
      </c>
      <c r="G1615" s="721" t="s">
        <v>2834</v>
      </c>
      <c r="H1615" s="721">
        <v>2</v>
      </c>
      <c r="I1615" s="721" t="s">
        <v>5353</v>
      </c>
      <c r="J1615" s="721" t="s">
        <v>5354</v>
      </c>
      <c r="K1615" s="721" t="s">
        <v>2044</v>
      </c>
      <c r="L1615" s="721">
        <v>1022427432</v>
      </c>
      <c r="M1615" s="721" t="s">
        <v>2837</v>
      </c>
      <c r="N1615" s="746"/>
      <c r="O1615" s="746"/>
      <c r="P1615" s="746"/>
      <c r="Q1615" s="746"/>
      <c r="R1615" s="521"/>
      <c r="S1615" s="521"/>
    </row>
    <row r="1616" spans="1:19">
      <c r="A1616" s="723">
        <v>4</v>
      </c>
      <c r="B1616" s="723">
        <v>20211495001</v>
      </c>
      <c r="C1616" s="723" t="s">
        <v>5355</v>
      </c>
      <c r="D1616" s="723">
        <v>495</v>
      </c>
      <c r="E1616" s="723" t="s">
        <v>5345</v>
      </c>
      <c r="F1616" s="723" t="s">
        <v>37</v>
      </c>
      <c r="G1616" s="723" t="s">
        <v>2834</v>
      </c>
      <c r="H1616" s="723">
        <v>4</v>
      </c>
      <c r="I1616" s="723" t="s">
        <v>5356</v>
      </c>
      <c r="J1616" s="723" t="s">
        <v>5357</v>
      </c>
      <c r="K1616" s="723" t="s">
        <v>2044</v>
      </c>
      <c r="L1616" s="723">
        <v>1015407762</v>
      </c>
      <c r="M1616" s="723" t="s">
        <v>2837</v>
      </c>
      <c r="N1616" s="746"/>
      <c r="O1616" s="746"/>
      <c r="P1616" s="746"/>
      <c r="Q1616" s="746"/>
      <c r="R1616" s="521"/>
      <c r="S1616" s="521"/>
    </row>
    <row r="1617" spans="1:19">
      <c r="A1617" s="721">
        <v>5</v>
      </c>
      <c r="B1617" s="721">
        <v>20211495008</v>
      </c>
      <c r="C1617" s="721" t="s">
        <v>5358</v>
      </c>
      <c r="D1617" s="721">
        <v>495</v>
      </c>
      <c r="E1617" s="721" t="s">
        <v>5345</v>
      </c>
      <c r="F1617" s="721" t="s">
        <v>37</v>
      </c>
      <c r="G1617" s="721" t="s">
        <v>2834</v>
      </c>
      <c r="H1617" s="721">
        <v>3</v>
      </c>
      <c r="I1617" s="721" t="s">
        <v>5359</v>
      </c>
      <c r="J1617" s="721" t="s">
        <v>5360</v>
      </c>
      <c r="K1617" s="721" t="s">
        <v>2044</v>
      </c>
      <c r="L1617" s="721">
        <v>80230051</v>
      </c>
      <c r="M1617" s="721" t="s">
        <v>2837</v>
      </c>
      <c r="N1617" s="746"/>
      <c r="O1617" s="746"/>
      <c r="P1617" s="746"/>
      <c r="Q1617" s="746"/>
      <c r="R1617" s="521"/>
      <c r="S1617" s="521"/>
    </row>
    <row r="1618" spans="1:19">
      <c r="A1618" s="723">
        <v>6</v>
      </c>
      <c r="B1618" s="723">
        <v>20221495003</v>
      </c>
      <c r="C1618" s="723" t="s">
        <v>5361</v>
      </c>
      <c r="D1618" s="723">
        <v>495</v>
      </c>
      <c r="E1618" s="723" t="s">
        <v>5345</v>
      </c>
      <c r="F1618" s="723" t="s">
        <v>37</v>
      </c>
      <c r="G1618" s="723" t="s">
        <v>2834</v>
      </c>
      <c r="H1618" s="723">
        <v>3</v>
      </c>
      <c r="I1618" s="723" t="s">
        <v>5362</v>
      </c>
      <c r="J1618" s="723" t="s">
        <v>5363</v>
      </c>
      <c r="K1618" s="723" t="s">
        <v>2044</v>
      </c>
      <c r="L1618" s="723">
        <v>1024502937</v>
      </c>
      <c r="M1618" s="723" t="s">
        <v>2837</v>
      </c>
      <c r="N1618" s="746"/>
      <c r="O1618" s="746"/>
      <c r="P1618" s="746"/>
      <c r="Q1618" s="746"/>
      <c r="R1618" s="521"/>
      <c r="S1618" s="521"/>
    </row>
    <row r="1619" spans="1:19">
      <c r="A1619" s="721">
        <v>7</v>
      </c>
      <c r="B1619" s="721">
        <v>20221495010</v>
      </c>
      <c r="C1619" s="721" t="s">
        <v>5364</v>
      </c>
      <c r="D1619" s="721">
        <v>495</v>
      </c>
      <c r="E1619" s="721" t="s">
        <v>5345</v>
      </c>
      <c r="F1619" s="721" t="s">
        <v>37</v>
      </c>
      <c r="G1619" s="721" t="s">
        <v>2834</v>
      </c>
      <c r="H1619" s="721">
        <v>3</v>
      </c>
      <c r="I1619" s="721" t="s">
        <v>5365</v>
      </c>
      <c r="J1619" s="721" t="s">
        <v>5366</v>
      </c>
      <c r="K1619" s="721" t="s">
        <v>2044</v>
      </c>
      <c r="L1619" s="721">
        <v>1032492665</v>
      </c>
      <c r="M1619" s="721" t="s">
        <v>2837</v>
      </c>
      <c r="N1619" s="746"/>
      <c r="O1619" s="746"/>
      <c r="P1619" s="746"/>
      <c r="Q1619" s="746"/>
      <c r="R1619" s="521"/>
      <c r="S1619" s="521"/>
    </row>
    <row r="1620" spans="1:19">
      <c r="A1620" s="723">
        <v>8</v>
      </c>
      <c r="B1620" s="723">
        <v>20221495013</v>
      </c>
      <c r="C1620" s="723" t="s">
        <v>5367</v>
      </c>
      <c r="D1620" s="723">
        <v>495</v>
      </c>
      <c r="E1620" s="723" t="s">
        <v>5345</v>
      </c>
      <c r="F1620" s="723" t="s">
        <v>37</v>
      </c>
      <c r="G1620" s="723" t="s">
        <v>2834</v>
      </c>
      <c r="H1620" s="723">
        <v>3</v>
      </c>
      <c r="I1620" s="723" t="s">
        <v>5368</v>
      </c>
      <c r="J1620" s="723" t="s">
        <v>5369</v>
      </c>
      <c r="K1620" s="723" t="s">
        <v>2044</v>
      </c>
      <c r="L1620" s="723">
        <v>1013677336</v>
      </c>
      <c r="M1620" s="723" t="s">
        <v>2837</v>
      </c>
      <c r="N1620" s="746"/>
      <c r="O1620" s="746"/>
      <c r="P1620" s="746"/>
      <c r="Q1620" s="746"/>
      <c r="R1620" s="521"/>
      <c r="S1620" s="521"/>
    </row>
    <row r="1621" spans="1:19">
      <c r="A1621" s="725" t="s">
        <v>2292</v>
      </c>
      <c r="B1621" s="725" t="s">
        <v>2292</v>
      </c>
      <c r="C1621" s="725" t="s">
        <v>2292</v>
      </c>
      <c r="D1621" s="725" t="s">
        <v>2292</v>
      </c>
      <c r="E1621" s="725" t="s">
        <v>2292</v>
      </c>
      <c r="F1621" s="725" t="s">
        <v>2292</v>
      </c>
      <c r="G1621" s="725" t="s">
        <v>2292</v>
      </c>
      <c r="H1621" s="725" t="s">
        <v>2292</v>
      </c>
      <c r="I1621" s="725" t="s">
        <v>2292</v>
      </c>
      <c r="J1621" s="725" t="s">
        <v>2292</v>
      </c>
      <c r="K1621" s="725" t="s">
        <v>2292</v>
      </c>
      <c r="L1621" s="725" t="s">
        <v>2292</v>
      </c>
      <c r="M1621" s="725" t="s">
        <v>2292</v>
      </c>
      <c r="N1621" s="746"/>
      <c r="O1621" s="746"/>
      <c r="P1621" s="746"/>
      <c r="Q1621" s="746"/>
      <c r="R1621" s="521"/>
      <c r="S1621" s="521"/>
    </row>
    <row r="1622" spans="1:19" ht="14.25" customHeight="1">
      <c r="A1622" s="719" t="s">
        <v>2033</v>
      </c>
      <c r="B1622" s="719" t="s">
        <v>2034</v>
      </c>
      <c r="C1622"/>
      <c r="D1622"/>
      <c r="E1622"/>
      <c r="F1622"/>
      <c r="G1622"/>
      <c r="H1622"/>
      <c r="I1622"/>
      <c r="J1622"/>
      <c r="K1622"/>
      <c r="L1622"/>
      <c r="M1622"/>
      <c r="N1622" s="746"/>
      <c r="O1622" s="746"/>
      <c r="P1622" s="746"/>
      <c r="Q1622" s="746"/>
      <c r="R1622" s="521"/>
      <c r="S1622" s="521"/>
    </row>
    <row r="1623" spans="1:19" ht="14.25" customHeight="1">
      <c r="A1623" s="720" t="s">
        <v>2035</v>
      </c>
      <c r="B1623" s="720" t="s">
        <v>2036</v>
      </c>
      <c r="C1623" s="720" t="s">
        <v>1</v>
      </c>
      <c r="D1623" s="720" t="s">
        <v>2037</v>
      </c>
      <c r="E1623" s="720" t="s">
        <v>3</v>
      </c>
      <c r="F1623" s="720" t="s">
        <v>4</v>
      </c>
      <c r="G1623" s="720" t="s">
        <v>2038</v>
      </c>
      <c r="H1623" s="720" t="s">
        <v>6</v>
      </c>
      <c r="I1623" s="720" t="s">
        <v>7</v>
      </c>
      <c r="J1623" s="720" t="s">
        <v>8</v>
      </c>
      <c r="K1623" s="720" t="s">
        <v>2039</v>
      </c>
      <c r="L1623" s="720" t="s">
        <v>10</v>
      </c>
      <c r="M1623" s="720" t="s">
        <v>2040</v>
      </c>
      <c r="N1623" s="746"/>
      <c r="O1623" s="746"/>
      <c r="P1623" s="746"/>
      <c r="Q1623" s="746"/>
      <c r="R1623" s="521"/>
      <c r="S1623" s="521"/>
    </row>
    <row r="1624" spans="1:19">
      <c r="A1624" s="721">
        <v>9</v>
      </c>
      <c r="B1624" s="721">
        <v>20151295006</v>
      </c>
      <c r="C1624" s="721" t="s">
        <v>5370</v>
      </c>
      <c r="D1624" s="721">
        <v>495</v>
      </c>
      <c r="E1624" s="721" t="s">
        <v>5345</v>
      </c>
      <c r="F1624" s="721" t="s">
        <v>84</v>
      </c>
      <c r="G1624" s="721" t="s">
        <v>2042</v>
      </c>
      <c r="H1624" s="721">
        <v>3</v>
      </c>
      <c r="I1624" s="721" t="s">
        <v>5371</v>
      </c>
      <c r="J1624" s="721" t="s">
        <v>5372</v>
      </c>
      <c r="K1624" s="721" t="s">
        <v>2044</v>
      </c>
      <c r="L1624" s="721">
        <v>1018449456</v>
      </c>
      <c r="M1624" s="721" t="s">
        <v>3145</v>
      </c>
      <c r="N1624" s="746"/>
      <c r="O1624" s="746"/>
      <c r="P1624" s="746"/>
      <c r="Q1624" s="746"/>
      <c r="R1624" s="521"/>
      <c r="S1624" s="521"/>
    </row>
    <row r="1625" spans="1:19">
      <c r="A1625" s="723">
        <v>10</v>
      </c>
      <c r="B1625" s="723">
        <v>20152495001</v>
      </c>
      <c r="C1625" s="723" t="s">
        <v>5373</v>
      </c>
      <c r="D1625" s="723">
        <v>495</v>
      </c>
      <c r="E1625" s="723" t="s">
        <v>5345</v>
      </c>
      <c r="F1625" s="723" t="s">
        <v>84</v>
      </c>
      <c r="G1625" s="723" t="s">
        <v>2042</v>
      </c>
      <c r="H1625" s="723">
        <v>3</v>
      </c>
      <c r="I1625" s="723"/>
      <c r="J1625" s="723" t="s">
        <v>5374</v>
      </c>
      <c r="K1625" s="723" t="s">
        <v>2044</v>
      </c>
      <c r="L1625" s="723">
        <v>79498689</v>
      </c>
      <c r="M1625" s="723" t="s">
        <v>3269</v>
      </c>
      <c r="N1625" s="746"/>
      <c r="O1625" s="746"/>
      <c r="P1625" s="746"/>
      <c r="Q1625" s="746"/>
      <c r="R1625" s="521"/>
      <c r="S1625" s="521"/>
    </row>
    <row r="1626" spans="1:19">
      <c r="A1626" s="721">
        <v>11</v>
      </c>
      <c r="B1626" s="721">
        <v>20152495002</v>
      </c>
      <c r="C1626" s="721" t="s">
        <v>5375</v>
      </c>
      <c r="D1626" s="721">
        <v>495</v>
      </c>
      <c r="E1626" s="721" t="s">
        <v>5345</v>
      </c>
      <c r="F1626" s="721" t="s">
        <v>84</v>
      </c>
      <c r="G1626" s="721" t="s">
        <v>2042</v>
      </c>
      <c r="H1626" s="721">
        <v>2</v>
      </c>
      <c r="I1626" s="721" t="s">
        <v>5376</v>
      </c>
      <c r="J1626" s="721" t="s">
        <v>5377</v>
      </c>
      <c r="K1626" s="721" t="s">
        <v>2044</v>
      </c>
      <c r="L1626" s="721">
        <v>79703994</v>
      </c>
      <c r="M1626" s="721" t="s">
        <v>1223</v>
      </c>
      <c r="N1626" s="746"/>
      <c r="O1626" s="746"/>
      <c r="P1626" s="746"/>
      <c r="Q1626" s="746"/>
      <c r="R1626" s="521"/>
      <c r="S1626" s="521"/>
    </row>
    <row r="1627" spans="1:19">
      <c r="A1627" s="723">
        <v>12</v>
      </c>
      <c r="B1627" s="723">
        <v>20152495003</v>
      </c>
      <c r="C1627" s="723" t="s">
        <v>5378</v>
      </c>
      <c r="D1627" s="723">
        <v>495</v>
      </c>
      <c r="E1627" s="723" t="s">
        <v>5345</v>
      </c>
      <c r="F1627" s="723" t="s">
        <v>84</v>
      </c>
      <c r="G1627" s="723" t="s">
        <v>2042</v>
      </c>
      <c r="H1627" s="723">
        <v>3</v>
      </c>
      <c r="I1627" s="723" t="s">
        <v>5379</v>
      </c>
      <c r="J1627" s="723" t="s">
        <v>5380</v>
      </c>
      <c r="K1627" s="723" t="s">
        <v>2044</v>
      </c>
      <c r="L1627" s="723">
        <v>1018441667</v>
      </c>
      <c r="M1627" s="723" t="s">
        <v>1237</v>
      </c>
      <c r="N1627" s="746"/>
      <c r="O1627" s="746"/>
      <c r="P1627" s="746"/>
      <c r="Q1627" s="746"/>
      <c r="R1627" s="521"/>
      <c r="S1627" s="521"/>
    </row>
    <row r="1628" spans="1:19">
      <c r="A1628" s="721">
        <v>13</v>
      </c>
      <c r="B1628" s="721">
        <v>20152495008</v>
      </c>
      <c r="C1628" s="721" t="s">
        <v>5381</v>
      </c>
      <c r="D1628" s="721">
        <v>495</v>
      </c>
      <c r="E1628" s="721" t="s">
        <v>5345</v>
      </c>
      <c r="F1628" s="721" t="s">
        <v>84</v>
      </c>
      <c r="G1628" s="721" t="s">
        <v>2042</v>
      </c>
      <c r="H1628" s="721">
        <v>4</v>
      </c>
      <c r="I1628" s="721" t="s">
        <v>5382</v>
      </c>
      <c r="J1628" s="721" t="s">
        <v>5383</v>
      </c>
      <c r="K1628" s="721" t="s">
        <v>2044</v>
      </c>
      <c r="L1628" s="721">
        <v>1032437478</v>
      </c>
      <c r="M1628" s="721" t="s">
        <v>3155</v>
      </c>
      <c r="N1628" s="746"/>
      <c r="O1628" s="746"/>
      <c r="P1628" s="746"/>
      <c r="Q1628" s="746"/>
      <c r="R1628" s="521"/>
      <c r="S1628" s="521"/>
    </row>
    <row r="1629" spans="1:19">
      <c r="A1629" s="723">
        <v>14</v>
      </c>
      <c r="B1629" s="723">
        <v>20161495001</v>
      </c>
      <c r="C1629" s="723" t="s">
        <v>5384</v>
      </c>
      <c r="D1629" s="723">
        <v>495</v>
      </c>
      <c r="E1629" s="723" t="s">
        <v>5345</v>
      </c>
      <c r="F1629" s="723" t="s">
        <v>84</v>
      </c>
      <c r="G1629" s="723" t="s">
        <v>2042</v>
      </c>
      <c r="H1629" s="723">
        <v>2</v>
      </c>
      <c r="I1629" s="723" t="s">
        <v>5385</v>
      </c>
      <c r="J1629" s="723" t="s">
        <v>5386</v>
      </c>
      <c r="K1629" s="723" t="s">
        <v>2044</v>
      </c>
      <c r="L1629" s="723">
        <v>80747472</v>
      </c>
      <c r="M1629" s="723" t="s">
        <v>3145</v>
      </c>
      <c r="N1629" s="746"/>
      <c r="O1629" s="746"/>
      <c r="P1629" s="746"/>
      <c r="Q1629" s="746"/>
      <c r="R1629" s="521"/>
      <c r="S1629" s="521"/>
    </row>
    <row r="1630" spans="1:19" ht="14.25" customHeight="1">
      <c r="A1630" s="721">
        <v>15</v>
      </c>
      <c r="B1630" s="721">
        <v>20161495003</v>
      </c>
      <c r="C1630" s="721" t="s">
        <v>5387</v>
      </c>
      <c r="D1630" s="721">
        <v>495</v>
      </c>
      <c r="E1630" s="721" t="s">
        <v>5345</v>
      </c>
      <c r="F1630" s="721" t="s">
        <v>84</v>
      </c>
      <c r="G1630" s="721" t="s">
        <v>2042</v>
      </c>
      <c r="H1630" s="721">
        <v>3</v>
      </c>
      <c r="I1630" s="721" t="s">
        <v>5388</v>
      </c>
      <c r="J1630" s="721" t="s">
        <v>5389</v>
      </c>
      <c r="K1630" s="721" t="s">
        <v>2044</v>
      </c>
      <c r="L1630" s="721">
        <v>80730767</v>
      </c>
      <c r="M1630" s="721" t="s">
        <v>1237</v>
      </c>
      <c r="N1630" s="746"/>
      <c r="O1630" s="746"/>
      <c r="P1630" s="746"/>
      <c r="Q1630" s="746"/>
      <c r="R1630" s="521"/>
      <c r="S1630" s="521"/>
    </row>
    <row r="1631" spans="1:19" ht="14.25" customHeight="1">
      <c r="A1631" s="723">
        <v>16</v>
      </c>
      <c r="B1631" s="723">
        <v>20161495009</v>
      </c>
      <c r="C1631" s="723" t="s">
        <v>5390</v>
      </c>
      <c r="D1631" s="723">
        <v>495</v>
      </c>
      <c r="E1631" s="723" t="s">
        <v>5345</v>
      </c>
      <c r="F1631" s="723" t="s">
        <v>84</v>
      </c>
      <c r="G1631" s="723" t="s">
        <v>2042</v>
      </c>
      <c r="H1631" s="723">
        <v>3</v>
      </c>
      <c r="I1631" s="723" t="s">
        <v>5391</v>
      </c>
      <c r="J1631" s="723" t="s">
        <v>5392</v>
      </c>
      <c r="K1631" s="723" t="s">
        <v>2044</v>
      </c>
      <c r="L1631" s="723">
        <v>3217282</v>
      </c>
      <c r="M1631" s="723" t="s">
        <v>1348</v>
      </c>
      <c r="N1631" s="746"/>
      <c r="O1631" s="746"/>
      <c r="P1631" s="746"/>
      <c r="Q1631" s="746"/>
      <c r="R1631" s="521"/>
      <c r="S1631" s="521"/>
    </row>
    <row r="1632" spans="1:19">
      <c r="A1632" s="721">
        <v>17</v>
      </c>
      <c r="B1632" s="721">
        <v>20161495011</v>
      </c>
      <c r="C1632" s="721" t="s">
        <v>5393</v>
      </c>
      <c r="D1632" s="721">
        <v>495</v>
      </c>
      <c r="E1632" s="721" t="s">
        <v>5345</v>
      </c>
      <c r="F1632" s="721" t="s">
        <v>84</v>
      </c>
      <c r="G1632" s="721" t="s">
        <v>2042</v>
      </c>
      <c r="H1632" s="721">
        <v>1</v>
      </c>
      <c r="I1632" s="721"/>
      <c r="J1632" s="721" t="s">
        <v>5394</v>
      </c>
      <c r="K1632" s="721" t="s">
        <v>2044</v>
      </c>
      <c r="L1632" s="721">
        <v>1018442453</v>
      </c>
      <c r="M1632" s="721" t="s">
        <v>1237</v>
      </c>
      <c r="N1632" s="746"/>
      <c r="O1632" s="746"/>
      <c r="P1632" s="746"/>
      <c r="Q1632" s="746"/>
      <c r="R1632" s="521"/>
      <c r="S1632" s="521"/>
    </row>
    <row r="1633" spans="1:19">
      <c r="A1633" s="723">
        <v>18</v>
      </c>
      <c r="B1633" s="723">
        <v>20161495016</v>
      </c>
      <c r="C1633" s="723" t="s">
        <v>5395</v>
      </c>
      <c r="D1633" s="723">
        <v>495</v>
      </c>
      <c r="E1633" s="723" t="s">
        <v>5345</v>
      </c>
      <c r="F1633" s="723" t="s">
        <v>84</v>
      </c>
      <c r="G1633" s="723" t="s">
        <v>2042</v>
      </c>
      <c r="H1633" s="723">
        <v>3</v>
      </c>
      <c r="I1633" s="723" t="s">
        <v>5396</v>
      </c>
      <c r="J1633" s="723" t="s">
        <v>5397</v>
      </c>
      <c r="K1633" s="723" t="s">
        <v>2044</v>
      </c>
      <c r="L1633" s="723">
        <v>1018413339</v>
      </c>
      <c r="M1633" s="723" t="s">
        <v>3145</v>
      </c>
      <c r="N1633" s="746"/>
      <c r="O1633" s="746"/>
      <c r="P1633" s="746"/>
      <c r="Q1633" s="746"/>
      <c r="R1633" s="521"/>
      <c r="S1633" s="521"/>
    </row>
    <row r="1634" spans="1:19">
      <c r="A1634" s="721">
        <v>19</v>
      </c>
      <c r="B1634" s="721">
        <v>20161495018</v>
      </c>
      <c r="C1634" s="721" t="s">
        <v>5398</v>
      </c>
      <c r="D1634" s="721">
        <v>495</v>
      </c>
      <c r="E1634" s="721" t="s">
        <v>5345</v>
      </c>
      <c r="F1634" s="721" t="s">
        <v>84</v>
      </c>
      <c r="G1634" s="721" t="s">
        <v>2042</v>
      </c>
      <c r="H1634" s="721">
        <v>3</v>
      </c>
      <c r="I1634" s="721"/>
      <c r="J1634" s="721" t="s">
        <v>5399</v>
      </c>
      <c r="K1634" s="721" t="s">
        <v>2044</v>
      </c>
      <c r="L1634" s="721">
        <v>1033743011</v>
      </c>
      <c r="M1634" s="721" t="s">
        <v>3149</v>
      </c>
      <c r="N1634" s="746"/>
      <c r="O1634" s="746"/>
      <c r="P1634" s="746"/>
      <c r="Q1634" s="746"/>
      <c r="R1634" s="521"/>
      <c r="S1634" s="521"/>
    </row>
    <row r="1635" spans="1:19">
      <c r="A1635" s="723">
        <v>20</v>
      </c>
      <c r="B1635" s="723">
        <v>20161495019</v>
      </c>
      <c r="C1635" s="723" t="s">
        <v>5400</v>
      </c>
      <c r="D1635" s="723">
        <v>495</v>
      </c>
      <c r="E1635" s="723" t="s">
        <v>5345</v>
      </c>
      <c r="F1635" s="723" t="s">
        <v>84</v>
      </c>
      <c r="G1635" s="723" t="s">
        <v>2042</v>
      </c>
      <c r="H1635" s="723" t="s">
        <v>2043</v>
      </c>
      <c r="I1635" s="723" t="s">
        <v>5401</v>
      </c>
      <c r="J1635" s="723" t="s">
        <v>5402</v>
      </c>
      <c r="K1635" s="723" t="s">
        <v>2044</v>
      </c>
      <c r="L1635" s="723">
        <v>1022325102</v>
      </c>
      <c r="M1635" s="723" t="s">
        <v>1334</v>
      </c>
      <c r="N1635" s="746"/>
      <c r="O1635" s="746"/>
      <c r="P1635" s="746"/>
      <c r="Q1635" s="746"/>
      <c r="R1635" s="521"/>
      <c r="S1635" s="521"/>
    </row>
    <row r="1636" spans="1:19">
      <c r="A1636" s="721">
        <v>21</v>
      </c>
      <c r="B1636" s="721">
        <v>20161495023</v>
      </c>
      <c r="C1636" s="721" t="s">
        <v>5403</v>
      </c>
      <c r="D1636" s="721">
        <v>495</v>
      </c>
      <c r="E1636" s="721" t="s">
        <v>5345</v>
      </c>
      <c r="F1636" s="721" t="s">
        <v>84</v>
      </c>
      <c r="G1636" s="721" t="s">
        <v>2042</v>
      </c>
      <c r="H1636" s="721">
        <v>3</v>
      </c>
      <c r="I1636" s="721" t="s">
        <v>5404</v>
      </c>
      <c r="J1636" s="721" t="s">
        <v>5405</v>
      </c>
      <c r="K1636" s="721" t="s">
        <v>2044</v>
      </c>
      <c r="L1636" s="721">
        <v>1032373444</v>
      </c>
      <c r="M1636" s="721" t="s">
        <v>3145</v>
      </c>
      <c r="N1636" s="746"/>
      <c r="O1636" s="746"/>
      <c r="P1636" s="746"/>
      <c r="Q1636" s="746"/>
      <c r="R1636" s="521"/>
      <c r="S1636" s="521"/>
    </row>
    <row r="1637" spans="1:19">
      <c r="A1637" s="723">
        <v>22</v>
      </c>
      <c r="B1637" s="723">
        <v>20162495001</v>
      </c>
      <c r="C1637" s="723" t="s">
        <v>5406</v>
      </c>
      <c r="D1637" s="723">
        <v>495</v>
      </c>
      <c r="E1637" s="723" t="s">
        <v>5345</v>
      </c>
      <c r="F1637" s="723" t="s">
        <v>84</v>
      </c>
      <c r="G1637" s="723" t="s">
        <v>2042</v>
      </c>
      <c r="H1637" s="723">
        <v>3</v>
      </c>
      <c r="I1637" s="723" t="s">
        <v>5407</v>
      </c>
      <c r="J1637" s="723" t="s">
        <v>5408</v>
      </c>
      <c r="K1637" s="723" t="s">
        <v>2044</v>
      </c>
      <c r="L1637" s="723">
        <v>1031131535</v>
      </c>
      <c r="M1637" s="723" t="s">
        <v>1334</v>
      </c>
      <c r="N1637" s="746"/>
      <c r="O1637" s="746"/>
      <c r="P1637" s="746"/>
      <c r="Q1637" s="746"/>
      <c r="R1637" s="521"/>
      <c r="S1637" s="521"/>
    </row>
    <row r="1638" spans="1:19">
      <c r="A1638" s="721">
        <v>23</v>
      </c>
      <c r="B1638" s="721">
        <v>20162495004</v>
      </c>
      <c r="C1638" s="721" t="s">
        <v>5409</v>
      </c>
      <c r="D1638" s="721">
        <v>495</v>
      </c>
      <c r="E1638" s="721" t="s">
        <v>5345</v>
      </c>
      <c r="F1638" s="721" t="s">
        <v>84</v>
      </c>
      <c r="G1638" s="721" t="s">
        <v>2042</v>
      </c>
      <c r="H1638" s="721">
        <v>3</v>
      </c>
      <c r="I1638" s="721" t="s">
        <v>5410</v>
      </c>
      <c r="J1638" s="721" t="s">
        <v>5411</v>
      </c>
      <c r="K1638" s="721" t="s">
        <v>2044</v>
      </c>
      <c r="L1638" s="721">
        <v>1012352548</v>
      </c>
      <c r="M1638" s="721" t="s">
        <v>1223</v>
      </c>
      <c r="N1638" s="746"/>
      <c r="O1638" s="746"/>
      <c r="P1638" s="746"/>
      <c r="Q1638" s="746"/>
      <c r="R1638" s="521"/>
      <c r="S1638" s="521"/>
    </row>
    <row r="1639" spans="1:19">
      <c r="A1639" s="723">
        <v>24</v>
      </c>
      <c r="B1639" s="723">
        <v>20162495006</v>
      </c>
      <c r="C1639" s="723" t="s">
        <v>5412</v>
      </c>
      <c r="D1639" s="723">
        <v>495</v>
      </c>
      <c r="E1639" s="723" t="s">
        <v>5345</v>
      </c>
      <c r="F1639" s="723" t="s">
        <v>84</v>
      </c>
      <c r="G1639" s="723" t="s">
        <v>2042</v>
      </c>
      <c r="H1639" s="723">
        <v>3</v>
      </c>
      <c r="I1639" s="723" t="s">
        <v>5413</v>
      </c>
      <c r="J1639" s="723" t="s">
        <v>5414</v>
      </c>
      <c r="K1639" s="723" t="s">
        <v>2044</v>
      </c>
      <c r="L1639" s="723">
        <v>1022964650</v>
      </c>
      <c r="M1639" s="723" t="s">
        <v>1334</v>
      </c>
      <c r="N1639" s="746"/>
      <c r="O1639" s="746"/>
      <c r="P1639" s="746"/>
      <c r="Q1639" s="746"/>
      <c r="R1639" s="521"/>
      <c r="S1639" s="521"/>
    </row>
    <row r="1640" spans="1:19">
      <c r="A1640" s="721">
        <v>25</v>
      </c>
      <c r="B1640" s="721">
        <v>20162495008</v>
      </c>
      <c r="C1640" s="721" t="s">
        <v>5415</v>
      </c>
      <c r="D1640" s="721">
        <v>495</v>
      </c>
      <c r="E1640" s="721" t="s">
        <v>5345</v>
      </c>
      <c r="F1640" s="721" t="s">
        <v>84</v>
      </c>
      <c r="G1640" s="721" t="s">
        <v>2042</v>
      </c>
      <c r="H1640" s="721">
        <v>2</v>
      </c>
      <c r="I1640" s="721"/>
      <c r="J1640" s="721" t="s">
        <v>5416</v>
      </c>
      <c r="K1640" s="721" t="s">
        <v>2044</v>
      </c>
      <c r="L1640" s="721">
        <v>52859033</v>
      </c>
      <c r="M1640" s="721" t="s">
        <v>2936</v>
      </c>
      <c r="N1640" s="746"/>
      <c r="O1640" s="746"/>
      <c r="P1640" s="746"/>
      <c r="Q1640" s="746"/>
      <c r="R1640" s="521"/>
      <c r="S1640" s="521"/>
    </row>
    <row r="1641" spans="1:19">
      <c r="A1641" s="723">
        <v>26</v>
      </c>
      <c r="B1641" s="723">
        <v>20162495015</v>
      </c>
      <c r="C1641" s="723" t="s">
        <v>5417</v>
      </c>
      <c r="D1641" s="723">
        <v>495</v>
      </c>
      <c r="E1641" s="723" t="s">
        <v>5345</v>
      </c>
      <c r="F1641" s="723" t="s">
        <v>84</v>
      </c>
      <c r="G1641" s="723" t="s">
        <v>2042</v>
      </c>
      <c r="H1641" s="723" t="s">
        <v>2043</v>
      </c>
      <c r="I1641" s="723" t="s">
        <v>5418</v>
      </c>
      <c r="J1641" s="723" t="s">
        <v>5419</v>
      </c>
      <c r="K1641" s="723" t="s">
        <v>2044</v>
      </c>
      <c r="L1641" s="723">
        <v>1014193564</v>
      </c>
      <c r="M1641" s="723" t="s">
        <v>2543</v>
      </c>
      <c r="N1641" s="746"/>
      <c r="O1641" s="746"/>
      <c r="P1641" s="746"/>
      <c r="Q1641" s="746"/>
      <c r="R1641" s="521"/>
      <c r="S1641" s="521"/>
    </row>
    <row r="1642" spans="1:19">
      <c r="A1642" s="721">
        <v>27</v>
      </c>
      <c r="B1642" s="721">
        <v>20162495016</v>
      </c>
      <c r="C1642" s="721" t="s">
        <v>5420</v>
      </c>
      <c r="D1642" s="721">
        <v>495</v>
      </c>
      <c r="E1642" s="721" t="s">
        <v>5345</v>
      </c>
      <c r="F1642" s="721" t="s">
        <v>84</v>
      </c>
      <c r="G1642" s="721" t="s">
        <v>2042</v>
      </c>
      <c r="H1642" s="721">
        <v>4</v>
      </c>
      <c r="I1642" s="721" t="s">
        <v>5421</v>
      </c>
      <c r="J1642" s="721" t="s">
        <v>5422</v>
      </c>
      <c r="K1642" s="721" t="s">
        <v>2044</v>
      </c>
      <c r="L1642" s="721">
        <v>7170018</v>
      </c>
      <c r="M1642" s="721" t="s">
        <v>1223</v>
      </c>
      <c r="N1642" s="746"/>
      <c r="O1642" s="746"/>
      <c r="P1642" s="746"/>
      <c r="Q1642" s="746"/>
      <c r="R1642" s="521"/>
      <c r="S1642" s="521"/>
    </row>
    <row r="1643" spans="1:19">
      <c r="A1643" s="723">
        <v>28</v>
      </c>
      <c r="B1643" s="723">
        <v>20162495017</v>
      </c>
      <c r="C1643" s="723" t="s">
        <v>5423</v>
      </c>
      <c r="D1643" s="723">
        <v>495</v>
      </c>
      <c r="E1643" s="723" t="s">
        <v>5345</v>
      </c>
      <c r="F1643" s="723" t="s">
        <v>84</v>
      </c>
      <c r="G1643" s="723" t="s">
        <v>2042</v>
      </c>
      <c r="H1643" s="723">
        <v>2</v>
      </c>
      <c r="I1643" s="723"/>
      <c r="J1643" s="723" t="s">
        <v>5424</v>
      </c>
      <c r="K1643" s="723" t="s">
        <v>2044</v>
      </c>
      <c r="L1643" s="723">
        <v>1032417886</v>
      </c>
      <c r="M1643" s="723" t="s">
        <v>3269</v>
      </c>
      <c r="N1643" s="746"/>
      <c r="O1643" s="746"/>
      <c r="P1643" s="746"/>
      <c r="Q1643" s="746"/>
      <c r="R1643" s="521"/>
      <c r="S1643" s="521"/>
    </row>
    <row r="1644" spans="1:19">
      <c r="A1644" s="721">
        <v>29</v>
      </c>
      <c r="B1644" s="721">
        <v>20162495018</v>
      </c>
      <c r="C1644" s="721" t="s">
        <v>5425</v>
      </c>
      <c r="D1644" s="721">
        <v>495</v>
      </c>
      <c r="E1644" s="721" t="s">
        <v>5345</v>
      </c>
      <c r="F1644" s="721" t="s">
        <v>84</v>
      </c>
      <c r="G1644" s="721" t="s">
        <v>2042</v>
      </c>
      <c r="H1644" s="721">
        <v>1</v>
      </c>
      <c r="I1644" s="721" t="s">
        <v>5426</v>
      </c>
      <c r="J1644" s="721" t="s">
        <v>5427</v>
      </c>
      <c r="K1644" s="721" t="s">
        <v>2044</v>
      </c>
      <c r="L1644" s="721">
        <v>1070950958</v>
      </c>
      <c r="M1644" s="721" t="s">
        <v>1334</v>
      </c>
      <c r="N1644" s="746"/>
      <c r="O1644" s="746"/>
      <c r="P1644" s="746"/>
      <c r="Q1644" s="746"/>
      <c r="R1644" s="521"/>
      <c r="S1644" s="521"/>
    </row>
    <row r="1645" spans="1:19">
      <c r="A1645" s="723">
        <v>30</v>
      </c>
      <c r="B1645" s="723">
        <v>20162495019</v>
      </c>
      <c r="C1645" s="723" t="s">
        <v>5428</v>
      </c>
      <c r="D1645" s="723">
        <v>495</v>
      </c>
      <c r="E1645" s="723" t="s">
        <v>5345</v>
      </c>
      <c r="F1645" s="723" t="s">
        <v>84</v>
      </c>
      <c r="G1645" s="723" t="s">
        <v>2042</v>
      </c>
      <c r="H1645" s="723">
        <v>4</v>
      </c>
      <c r="I1645" s="723" t="s">
        <v>5429</v>
      </c>
      <c r="J1645" s="723" t="s">
        <v>5430</v>
      </c>
      <c r="K1645" s="723" t="s">
        <v>2044</v>
      </c>
      <c r="L1645" s="723">
        <v>53047662</v>
      </c>
      <c r="M1645" s="723" t="s">
        <v>3145</v>
      </c>
      <c r="N1645" s="746"/>
      <c r="O1645" s="746"/>
      <c r="P1645" s="746"/>
      <c r="Q1645" s="746"/>
      <c r="R1645" s="521"/>
      <c r="S1645" s="521"/>
    </row>
    <row r="1646" spans="1:19">
      <c r="A1646" s="721">
        <v>31</v>
      </c>
      <c r="B1646" s="721">
        <v>20171495001</v>
      </c>
      <c r="C1646" s="721" t="s">
        <v>5431</v>
      </c>
      <c r="D1646" s="721">
        <v>495</v>
      </c>
      <c r="E1646" s="721" t="s">
        <v>5345</v>
      </c>
      <c r="F1646" s="721" t="s">
        <v>84</v>
      </c>
      <c r="G1646" s="721" t="s">
        <v>2042</v>
      </c>
      <c r="H1646" s="721">
        <v>2</v>
      </c>
      <c r="I1646" s="721" t="s">
        <v>5432</v>
      </c>
      <c r="J1646" s="721" t="s">
        <v>5433</v>
      </c>
      <c r="K1646" s="721" t="s">
        <v>2044</v>
      </c>
      <c r="L1646" s="721">
        <v>80124664</v>
      </c>
      <c r="M1646" s="721" t="s">
        <v>2936</v>
      </c>
      <c r="N1646" s="746"/>
      <c r="O1646" s="746"/>
      <c r="P1646" s="746"/>
      <c r="Q1646" s="746"/>
      <c r="R1646" s="521"/>
      <c r="S1646" s="521"/>
    </row>
    <row r="1647" spans="1:19">
      <c r="A1647" s="723">
        <v>32</v>
      </c>
      <c r="B1647" s="723">
        <v>20171495011</v>
      </c>
      <c r="C1647" s="723" t="s">
        <v>5434</v>
      </c>
      <c r="D1647" s="723">
        <v>495</v>
      </c>
      <c r="E1647" s="723" t="s">
        <v>5345</v>
      </c>
      <c r="F1647" s="723" t="s">
        <v>84</v>
      </c>
      <c r="G1647" s="723" t="s">
        <v>2042</v>
      </c>
      <c r="H1647" s="723">
        <v>1</v>
      </c>
      <c r="I1647" s="723" t="s">
        <v>5435</v>
      </c>
      <c r="J1647" s="723" t="s">
        <v>5436</v>
      </c>
      <c r="K1647" s="723" t="s">
        <v>2044</v>
      </c>
      <c r="L1647" s="723">
        <v>79221631</v>
      </c>
      <c r="M1647" s="723" t="s">
        <v>3155</v>
      </c>
      <c r="N1647" s="746"/>
      <c r="O1647" s="746"/>
      <c r="P1647" s="746"/>
      <c r="Q1647" s="746"/>
      <c r="R1647" s="521"/>
      <c r="S1647" s="521"/>
    </row>
    <row r="1648" spans="1:19">
      <c r="A1648" s="721">
        <v>33</v>
      </c>
      <c r="B1648" s="721">
        <v>20171495014</v>
      </c>
      <c r="C1648" s="721" t="s">
        <v>5437</v>
      </c>
      <c r="D1648" s="721">
        <v>495</v>
      </c>
      <c r="E1648" s="721" t="s">
        <v>5345</v>
      </c>
      <c r="F1648" s="721" t="s">
        <v>84</v>
      </c>
      <c r="G1648" s="721" t="s">
        <v>2042</v>
      </c>
      <c r="H1648" s="721">
        <v>1</v>
      </c>
      <c r="I1648" s="721" t="s">
        <v>5438</v>
      </c>
      <c r="J1648" s="721" t="s">
        <v>5439</v>
      </c>
      <c r="K1648" s="721" t="s">
        <v>2044</v>
      </c>
      <c r="L1648" s="721">
        <v>79909021</v>
      </c>
      <c r="M1648" s="721" t="s">
        <v>1334</v>
      </c>
      <c r="N1648" s="746"/>
      <c r="O1648" s="746"/>
      <c r="P1648" s="746"/>
      <c r="Q1648" s="746"/>
      <c r="R1648" s="521"/>
      <c r="S1648" s="521"/>
    </row>
    <row r="1649" spans="1:19">
      <c r="A1649" s="723">
        <v>34</v>
      </c>
      <c r="B1649" s="723">
        <v>20171495015</v>
      </c>
      <c r="C1649" s="723" t="s">
        <v>5440</v>
      </c>
      <c r="D1649" s="723">
        <v>495</v>
      </c>
      <c r="E1649" s="723" t="s">
        <v>5345</v>
      </c>
      <c r="F1649" s="723" t="s">
        <v>84</v>
      </c>
      <c r="G1649" s="723" t="s">
        <v>2042</v>
      </c>
      <c r="H1649" s="723">
        <v>4</v>
      </c>
      <c r="I1649" s="723" t="s">
        <v>5441</v>
      </c>
      <c r="J1649" s="723" t="s">
        <v>5442</v>
      </c>
      <c r="K1649" s="723" t="s">
        <v>2044</v>
      </c>
      <c r="L1649" s="723">
        <v>80111613</v>
      </c>
      <c r="M1649" s="723" t="s">
        <v>3145</v>
      </c>
      <c r="N1649" s="746"/>
      <c r="O1649" s="746"/>
      <c r="P1649" s="746"/>
      <c r="Q1649" s="746"/>
      <c r="R1649" s="521"/>
      <c r="S1649" s="521"/>
    </row>
    <row r="1650" spans="1:19">
      <c r="A1650" s="721">
        <v>35</v>
      </c>
      <c r="B1650" s="721">
        <v>20171495018</v>
      </c>
      <c r="C1650" s="721" t="s">
        <v>5443</v>
      </c>
      <c r="D1650" s="721">
        <v>495</v>
      </c>
      <c r="E1650" s="721" t="s">
        <v>5345</v>
      </c>
      <c r="F1650" s="721" t="s">
        <v>84</v>
      </c>
      <c r="G1650" s="721" t="s">
        <v>2042</v>
      </c>
      <c r="H1650" s="721">
        <v>4</v>
      </c>
      <c r="I1650" s="721" t="s">
        <v>5444</v>
      </c>
      <c r="J1650" s="721" t="s">
        <v>5445</v>
      </c>
      <c r="K1650" s="721" t="s">
        <v>2044</v>
      </c>
      <c r="L1650" s="721">
        <v>11233164</v>
      </c>
      <c r="M1650" s="721" t="s">
        <v>1237</v>
      </c>
      <c r="N1650" s="746"/>
      <c r="O1650" s="746"/>
      <c r="P1650" s="746"/>
      <c r="Q1650" s="746"/>
      <c r="R1650" s="521"/>
      <c r="S1650" s="521"/>
    </row>
    <row r="1651" spans="1:19">
      <c r="A1651" s="723">
        <v>36</v>
      </c>
      <c r="B1651" s="723">
        <v>20171495021</v>
      </c>
      <c r="C1651" s="723" t="s">
        <v>5446</v>
      </c>
      <c r="D1651" s="723">
        <v>495</v>
      </c>
      <c r="E1651" s="723" t="s">
        <v>5345</v>
      </c>
      <c r="F1651" s="723" t="s">
        <v>84</v>
      </c>
      <c r="G1651" s="723" t="s">
        <v>2042</v>
      </c>
      <c r="H1651" s="723">
        <v>1</v>
      </c>
      <c r="I1651" s="723" t="s">
        <v>5447</v>
      </c>
      <c r="J1651" s="723" t="s">
        <v>5448</v>
      </c>
      <c r="K1651" s="723" t="s">
        <v>2044</v>
      </c>
      <c r="L1651" s="723">
        <v>74085494</v>
      </c>
      <c r="M1651" s="723" t="s">
        <v>1223</v>
      </c>
      <c r="N1651" s="746"/>
      <c r="O1651" s="746"/>
      <c r="P1651" s="746"/>
      <c r="Q1651" s="746"/>
      <c r="R1651" s="521"/>
      <c r="S1651" s="521"/>
    </row>
    <row r="1652" spans="1:19">
      <c r="A1652" s="721">
        <v>37</v>
      </c>
      <c r="B1652" s="721">
        <v>20171495022</v>
      </c>
      <c r="C1652" s="721" t="s">
        <v>5449</v>
      </c>
      <c r="D1652" s="721">
        <v>495</v>
      </c>
      <c r="E1652" s="721" t="s">
        <v>5345</v>
      </c>
      <c r="F1652" s="721" t="s">
        <v>84</v>
      </c>
      <c r="G1652" s="721" t="s">
        <v>2042</v>
      </c>
      <c r="H1652" s="721">
        <v>3</v>
      </c>
      <c r="I1652" s="721" t="s">
        <v>5450</v>
      </c>
      <c r="J1652" s="721" t="s">
        <v>5451</v>
      </c>
      <c r="K1652" s="721" t="s">
        <v>2044</v>
      </c>
      <c r="L1652" s="721">
        <v>1032390922</v>
      </c>
      <c r="M1652" s="721" t="s">
        <v>3145</v>
      </c>
      <c r="N1652" s="746"/>
      <c r="O1652" s="746"/>
      <c r="P1652" s="746"/>
      <c r="Q1652" s="746"/>
      <c r="R1652" s="521"/>
      <c r="S1652" s="521"/>
    </row>
    <row r="1653" spans="1:19">
      <c r="A1653" s="723">
        <v>38</v>
      </c>
      <c r="B1653" s="723">
        <v>20172495002</v>
      </c>
      <c r="C1653" s="723" t="s">
        <v>5452</v>
      </c>
      <c r="D1653" s="723">
        <v>495</v>
      </c>
      <c r="E1653" s="723" t="s">
        <v>5345</v>
      </c>
      <c r="F1653" s="723" t="s">
        <v>84</v>
      </c>
      <c r="G1653" s="723" t="s">
        <v>2042</v>
      </c>
      <c r="H1653" s="723">
        <v>1</v>
      </c>
      <c r="I1653" s="723" t="s">
        <v>5453</v>
      </c>
      <c r="J1653" s="723" t="s">
        <v>5454</v>
      </c>
      <c r="K1653" s="723" t="s">
        <v>2044</v>
      </c>
      <c r="L1653" s="723">
        <v>81720933</v>
      </c>
      <c r="M1653" s="723" t="s">
        <v>1364</v>
      </c>
      <c r="N1653" s="746"/>
      <c r="O1653" s="746"/>
      <c r="P1653" s="746"/>
      <c r="Q1653" s="746"/>
      <c r="R1653" s="521"/>
      <c r="S1653" s="521"/>
    </row>
    <row r="1654" spans="1:19">
      <c r="A1654" s="721">
        <v>39</v>
      </c>
      <c r="B1654" s="721">
        <v>20172495009</v>
      </c>
      <c r="C1654" s="721" t="s">
        <v>5455</v>
      </c>
      <c r="D1654" s="721">
        <v>495</v>
      </c>
      <c r="E1654" s="721" t="s">
        <v>5345</v>
      </c>
      <c r="F1654" s="721" t="s">
        <v>84</v>
      </c>
      <c r="G1654" s="721" t="s">
        <v>2042</v>
      </c>
      <c r="H1654" s="721">
        <v>3</v>
      </c>
      <c r="I1654" s="721" t="s">
        <v>5456</v>
      </c>
      <c r="J1654" s="721" t="s">
        <v>5457</v>
      </c>
      <c r="K1654" s="721" t="s">
        <v>2044</v>
      </c>
      <c r="L1654" s="721">
        <v>1015403717</v>
      </c>
      <c r="M1654" s="721" t="s">
        <v>1348</v>
      </c>
      <c r="N1654" s="746"/>
      <c r="O1654" s="746"/>
      <c r="P1654" s="746"/>
      <c r="Q1654" s="746"/>
      <c r="R1654" s="521"/>
      <c r="S1654" s="521"/>
    </row>
    <row r="1655" spans="1:19">
      <c r="A1655" s="723">
        <v>40</v>
      </c>
      <c r="B1655" s="723">
        <v>20172495010</v>
      </c>
      <c r="C1655" s="723" t="s">
        <v>5458</v>
      </c>
      <c r="D1655" s="723">
        <v>495</v>
      </c>
      <c r="E1655" s="723" t="s">
        <v>5345</v>
      </c>
      <c r="F1655" s="723" t="s">
        <v>84</v>
      </c>
      <c r="G1655" s="723" t="s">
        <v>2042</v>
      </c>
      <c r="H1655" s="723">
        <v>3</v>
      </c>
      <c r="I1655" s="723" t="s">
        <v>5459</v>
      </c>
      <c r="J1655" s="723" t="s">
        <v>5460</v>
      </c>
      <c r="K1655" s="723" t="s">
        <v>2044</v>
      </c>
      <c r="L1655" s="723">
        <v>1031124274</v>
      </c>
      <c r="M1655" s="723" t="s">
        <v>2543</v>
      </c>
      <c r="N1655" s="746"/>
      <c r="O1655" s="746"/>
      <c r="P1655" s="746"/>
      <c r="Q1655" s="746"/>
      <c r="R1655" s="521"/>
      <c r="S1655" s="521"/>
    </row>
    <row r="1656" spans="1:19">
      <c r="A1656" s="721">
        <v>41</v>
      </c>
      <c r="B1656" s="721">
        <v>20172495015</v>
      </c>
      <c r="C1656" s="721" t="s">
        <v>5461</v>
      </c>
      <c r="D1656" s="721">
        <v>495</v>
      </c>
      <c r="E1656" s="721" t="s">
        <v>5345</v>
      </c>
      <c r="F1656" s="721" t="s">
        <v>84</v>
      </c>
      <c r="G1656" s="721" t="s">
        <v>2042</v>
      </c>
      <c r="H1656" s="721">
        <v>1</v>
      </c>
      <c r="I1656" s="721" t="s">
        <v>5462</v>
      </c>
      <c r="J1656" s="721" t="s">
        <v>5463</v>
      </c>
      <c r="K1656" s="721" t="s">
        <v>2044</v>
      </c>
      <c r="L1656" s="721">
        <v>1030603923</v>
      </c>
      <c r="M1656" s="721" t="s">
        <v>2543</v>
      </c>
      <c r="N1656" s="746"/>
      <c r="O1656" s="746"/>
      <c r="P1656" s="746"/>
      <c r="Q1656" s="746"/>
      <c r="R1656" s="521"/>
      <c r="S1656" s="521"/>
    </row>
    <row r="1657" spans="1:19">
      <c r="A1657" s="723">
        <v>42</v>
      </c>
      <c r="B1657" s="723">
        <v>20181495003</v>
      </c>
      <c r="C1657" s="723" t="s">
        <v>5464</v>
      </c>
      <c r="D1657" s="723">
        <v>495</v>
      </c>
      <c r="E1657" s="723" t="s">
        <v>5345</v>
      </c>
      <c r="F1657" s="723" t="s">
        <v>84</v>
      </c>
      <c r="G1657" s="723" t="s">
        <v>2042</v>
      </c>
      <c r="H1657" s="723">
        <v>3</v>
      </c>
      <c r="I1657" s="723"/>
      <c r="J1657" s="723" t="s">
        <v>5465</v>
      </c>
      <c r="K1657" s="723" t="s">
        <v>2044</v>
      </c>
      <c r="L1657" s="723">
        <v>1018462268</v>
      </c>
      <c r="M1657" s="723" t="s">
        <v>3155</v>
      </c>
      <c r="N1657" s="746"/>
      <c r="O1657" s="746"/>
      <c r="P1657" s="746"/>
      <c r="Q1657" s="746"/>
      <c r="R1657" s="521"/>
      <c r="S1657" s="521"/>
    </row>
    <row r="1658" spans="1:19">
      <c r="A1658" s="721">
        <v>43</v>
      </c>
      <c r="B1658" s="721">
        <v>20181495005</v>
      </c>
      <c r="C1658" s="721" t="s">
        <v>5466</v>
      </c>
      <c r="D1658" s="721">
        <v>495</v>
      </c>
      <c r="E1658" s="721" t="s">
        <v>5345</v>
      </c>
      <c r="F1658" s="721" t="s">
        <v>84</v>
      </c>
      <c r="G1658" s="721" t="s">
        <v>2042</v>
      </c>
      <c r="H1658" s="721">
        <v>4</v>
      </c>
      <c r="I1658" s="721" t="s">
        <v>5467</v>
      </c>
      <c r="J1658" s="721" t="s">
        <v>5468</v>
      </c>
      <c r="K1658" s="721" t="s">
        <v>2044</v>
      </c>
      <c r="L1658" s="721">
        <v>80813753</v>
      </c>
      <c r="M1658" s="721" t="s">
        <v>1237</v>
      </c>
      <c r="N1658" s="746"/>
      <c r="O1658" s="746"/>
      <c r="P1658" s="746"/>
      <c r="Q1658" s="746"/>
      <c r="R1658" s="521"/>
      <c r="S1658" s="521"/>
    </row>
    <row r="1659" spans="1:19">
      <c r="A1659" s="723">
        <v>44</v>
      </c>
      <c r="B1659" s="723">
        <v>20181495006</v>
      </c>
      <c r="C1659" s="723" t="s">
        <v>5469</v>
      </c>
      <c r="D1659" s="723">
        <v>495</v>
      </c>
      <c r="E1659" s="723" t="s">
        <v>5345</v>
      </c>
      <c r="F1659" s="723" t="s">
        <v>84</v>
      </c>
      <c r="G1659" s="723" t="s">
        <v>2042</v>
      </c>
      <c r="H1659" s="723">
        <v>3</v>
      </c>
      <c r="I1659" s="723" t="s">
        <v>5470</v>
      </c>
      <c r="J1659" s="723" t="s">
        <v>5471</v>
      </c>
      <c r="K1659" s="723" t="s">
        <v>2044</v>
      </c>
      <c r="L1659" s="723">
        <v>1014197348</v>
      </c>
      <c r="M1659" s="723" t="s">
        <v>1356</v>
      </c>
      <c r="N1659" s="746"/>
      <c r="O1659" s="746"/>
      <c r="P1659" s="746"/>
      <c r="Q1659" s="746"/>
      <c r="R1659" s="521"/>
      <c r="S1659" s="521"/>
    </row>
    <row r="1660" spans="1:19">
      <c r="A1660" s="721">
        <v>45</v>
      </c>
      <c r="B1660" s="721">
        <v>20181495013</v>
      </c>
      <c r="C1660" s="721" t="s">
        <v>5472</v>
      </c>
      <c r="D1660" s="721">
        <v>495</v>
      </c>
      <c r="E1660" s="721" t="s">
        <v>5345</v>
      </c>
      <c r="F1660" s="721" t="s">
        <v>84</v>
      </c>
      <c r="G1660" s="721" t="s">
        <v>2042</v>
      </c>
      <c r="H1660" s="721">
        <v>3</v>
      </c>
      <c r="I1660" s="721" t="s">
        <v>5473</v>
      </c>
      <c r="J1660" s="721" t="s">
        <v>5474</v>
      </c>
      <c r="K1660" s="721" t="s">
        <v>2044</v>
      </c>
      <c r="L1660" s="721">
        <v>80810826</v>
      </c>
      <c r="M1660" s="721" t="s">
        <v>1334</v>
      </c>
      <c r="N1660" s="746"/>
      <c r="O1660" s="746"/>
      <c r="P1660" s="746"/>
      <c r="Q1660" s="746"/>
      <c r="R1660" s="521"/>
      <c r="S1660" s="521"/>
    </row>
    <row r="1661" spans="1:19">
      <c r="A1661" s="723">
        <v>46</v>
      </c>
      <c r="B1661" s="723">
        <v>20181495018</v>
      </c>
      <c r="C1661" s="723" t="s">
        <v>5475</v>
      </c>
      <c r="D1661" s="723">
        <v>495</v>
      </c>
      <c r="E1661" s="723" t="s">
        <v>5345</v>
      </c>
      <c r="F1661" s="723" t="s">
        <v>84</v>
      </c>
      <c r="G1661" s="723" t="s">
        <v>2042</v>
      </c>
      <c r="H1661" s="723">
        <v>3</v>
      </c>
      <c r="I1661" s="723" t="s">
        <v>5476</v>
      </c>
      <c r="J1661" s="723" t="s">
        <v>5477</v>
      </c>
      <c r="K1661" s="723" t="s">
        <v>2044</v>
      </c>
      <c r="L1661" s="723">
        <v>80211143</v>
      </c>
      <c r="M1661" s="723" t="s">
        <v>1356</v>
      </c>
      <c r="N1661" s="746"/>
      <c r="O1661" s="746"/>
      <c r="P1661" s="746"/>
      <c r="Q1661" s="746"/>
      <c r="R1661" s="521"/>
      <c r="S1661" s="521"/>
    </row>
    <row r="1662" spans="1:19" ht="14.25" customHeight="1">
      <c r="A1662" s="721">
        <v>47</v>
      </c>
      <c r="B1662" s="721">
        <v>20182495005</v>
      </c>
      <c r="C1662" s="721" t="s">
        <v>5478</v>
      </c>
      <c r="D1662" s="721">
        <v>495</v>
      </c>
      <c r="E1662" s="721" t="s">
        <v>5345</v>
      </c>
      <c r="F1662" s="721" t="s">
        <v>84</v>
      </c>
      <c r="G1662" s="721" t="s">
        <v>2042</v>
      </c>
      <c r="H1662" s="721">
        <v>3</v>
      </c>
      <c r="I1662" s="721" t="s">
        <v>5479</v>
      </c>
      <c r="J1662" s="721" t="s">
        <v>5480</v>
      </c>
      <c r="K1662" s="721" t="s">
        <v>2044</v>
      </c>
      <c r="L1662" s="721">
        <v>81754742</v>
      </c>
      <c r="M1662" s="721" t="s">
        <v>3145</v>
      </c>
      <c r="N1662" s="746"/>
      <c r="O1662" s="746"/>
      <c r="P1662" s="746"/>
      <c r="Q1662" s="746"/>
      <c r="R1662" s="521"/>
      <c r="S1662" s="521"/>
    </row>
    <row r="1663" spans="1:19">
      <c r="A1663" s="723">
        <v>48</v>
      </c>
      <c r="B1663" s="723">
        <v>20182495006</v>
      </c>
      <c r="C1663" s="723" t="s">
        <v>5481</v>
      </c>
      <c r="D1663" s="723">
        <v>495</v>
      </c>
      <c r="E1663" s="723" t="s">
        <v>5345</v>
      </c>
      <c r="F1663" s="723" t="s">
        <v>84</v>
      </c>
      <c r="G1663" s="723" t="s">
        <v>2042</v>
      </c>
      <c r="H1663" s="723">
        <v>3</v>
      </c>
      <c r="I1663" s="723" t="s">
        <v>5482</v>
      </c>
      <c r="J1663" s="723" t="s">
        <v>5483</v>
      </c>
      <c r="K1663" s="723" t="s">
        <v>2044</v>
      </c>
      <c r="L1663" s="723">
        <v>79595381</v>
      </c>
      <c r="M1663" s="723" t="s">
        <v>1356</v>
      </c>
      <c r="N1663" s="746"/>
      <c r="O1663" s="746"/>
      <c r="P1663" s="746"/>
      <c r="Q1663" s="746"/>
      <c r="R1663" s="521"/>
      <c r="S1663" s="521"/>
    </row>
    <row r="1664" spans="1:19">
      <c r="A1664" s="721">
        <v>49</v>
      </c>
      <c r="B1664" s="721">
        <v>20182495008</v>
      </c>
      <c r="C1664" s="721" t="s">
        <v>5484</v>
      </c>
      <c r="D1664" s="721">
        <v>495</v>
      </c>
      <c r="E1664" s="721" t="s">
        <v>5345</v>
      </c>
      <c r="F1664" s="721" t="s">
        <v>84</v>
      </c>
      <c r="G1664" s="721" t="s">
        <v>2042</v>
      </c>
      <c r="H1664" s="721">
        <v>4</v>
      </c>
      <c r="I1664" s="721" t="s">
        <v>5485</v>
      </c>
      <c r="J1664" s="721" t="s">
        <v>5486</v>
      </c>
      <c r="K1664" s="721" t="s">
        <v>2044</v>
      </c>
      <c r="L1664" s="721">
        <v>1010213044</v>
      </c>
      <c r="M1664" s="721" t="s">
        <v>1334</v>
      </c>
      <c r="N1664" s="746"/>
      <c r="O1664" s="746"/>
      <c r="P1664" s="746"/>
      <c r="Q1664" s="746"/>
      <c r="R1664" s="521"/>
      <c r="S1664" s="521"/>
    </row>
    <row r="1665" spans="1:19">
      <c r="A1665" s="723">
        <v>50</v>
      </c>
      <c r="B1665" s="723">
        <v>20182495011</v>
      </c>
      <c r="C1665" s="723" t="s">
        <v>5487</v>
      </c>
      <c r="D1665" s="723">
        <v>495</v>
      </c>
      <c r="E1665" s="723" t="s">
        <v>5345</v>
      </c>
      <c r="F1665" s="723" t="s">
        <v>84</v>
      </c>
      <c r="G1665" s="723" t="s">
        <v>2042</v>
      </c>
      <c r="H1665" s="723">
        <v>2</v>
      </c>
      <c r="I1665" s="723" t="s">
        <v>5488</v>
      </c>
      <c r="J1665" s="723" t="s">
        <v>5489</v>
      </c>
      <c r="K1665" s="723" t="s">
        <v>2044</v>
      </c>
      <c r="L1665" s="723">
        <v>1030678110</v>
      </c>
      <c r="M1665" s="723" t="s">
        <v>1356</v>
      </c>
      <c r="N1665" s="746"/>
      <c r="O1665" s="746"/>
      <c r="P1665" s="746"/>
      <c r="Q1665" s="746"/>
      <c r="R1665" s="521"/>
      <c r="S1665" s="521"/>
    </row>
    <row r="1666" spans="1:19">
      <c r="A1666" s="721">
        <v>51</v>
      </c>
      <c r="B1666" s="721">
        <v>20182495014</v>
      </c>
      <c r="C1666" s="721" t="s">
        <v>5490</v>
      </c>
      <c r="D1666" s="721">
        <v>495</v>
      </c>
      <c r="E1666" s="721" t="s">
        <v>5345</v>
      </c>
      <c r="F1666" s="721" t="s">
        <v>84</v>
      </c>
      <c r="G1666" s="721" t="s">
        <v>2042</v>
      </c>
      <c r="H1666" s="721">
        <v>3</v>
      </c>
      <c r="I1666" s="721" t="s">
        <v>5491</v>
      </c>
      <c r="J1666" s="721" t="s">
        <v>5492</v>
      </c>
      <c r="K1666" s="721" t="s">
        <v>2044</v>
      </c>
      <c r="L1666" s="721">
        <v>1022955756</v>
      </c>
      <c r="M1666" s="721" t="s">
        <v>1356</v>
      </c>
      <c r="N1666" s="746"/>
      <c r="O1666" s="746"/>
      <c r="P1666" s="746"/>
      <c r="Q1666" s="746"/>
      <c r="R1666" s="521"/>
      <c r="S1666" s="521"/>
    </row>
    <row r="1667" spans="1:19">
      <c r="A1667" s="723">
        <v>52</v>
      </c>
      <c r="B1667" s="723">
        <v>20191495006</v>
      </c>
      <c r="C1667" s="723" t="s">
        <v>5493</v>
      </c>
      <c r="D1667" s="723">
        <v>495</v>
      </c>
      <c r="E1667" s="723" t="s">
        <v>5345</v>
      </c>
      <c r="F1667" s="723" t="s">
        <v>84</v>
      </c>
      <c r="G1667" s="723" t="s">
        <v>2042</v>
      </c>
      <c r="H1667" s="723">
        <v>1</v>
      </c>
      <c r="I1667" s="723" t="s">
        <v>5494</v>
      </c>
      <c r="J1667" s="723" t="s">
        <v>5495</v>
      </c>
      <c r="K1667" s="723" t="s">
        <v>2044</v>
      </c>
      <c r="L1667" s="723">
        <v>1032470566</v>
      </c>
      <c r="M1667" s="723" t="s">
        <v>1364</v>
      </c>
      <c r="N1667" s="746"/>
      <c r="O1667" s="746"/>
      <c r="P1667" s="746"/>
      <c r="Q1667" s="746"/>
      <c r="R1667" s="521"/>
      <c r="S1667" s="521"/>
    </row>
    <row r="1668" spans="1:19">
      <c r="A1668" s="721">
        <v>53</v>
      </c>
      <c r="B1668" s="721">
        <v>20191495009</v>
      </c>
      <c r="C1668" s="721" t="s">
        <v>5496</v>
      </c>
      <c r="D1668" s="721">
        <v>495</v>
      </c>
      <c r="E1668" s="721" t="s">
        <v>5345</v>
      </c>
      <c r="F1668" s="721" t="s">
        <v>84</v>
      </c>
      <c r="G1668" s="721" t="s">
        <v>2042</v>
      </c>
      <c r="H1668" s="721">
        <v>3</v>
      </c>
      <c r="I1668" s="721" t="s">
        <v>5497</v>
      </c>
      <c r="J1668" s="721" t="s">
        <v>5498</v>
      </c>
      <c r="K1668" s="721" t="s">
        <v>2044</v>
      </c>
      <c r="L1668" s="721">
        <v>1024496366</v>
      </c>
      <c r="M1668" s="721" t="s">
        <v>1334</v>
      </c>
      <c r="N1668" s="746"/>
      <c r="O1668" s="746"/>
      <c r="P1668" s="746"/>
      <c r="Q1668" s="746"/>
      <c r="R1668" s="521"/>
      <c r="S1668" s="521"/>
    </row>
    <row r="1669" spans="1:19">
      <c r="A1669" s="723">
        <v>54</v>
      </c>
      <c r="B1669" s="723">
        <v>20191495010</v>
      </c>
      <c r="C1669" s="723" t="s">
        <v>5499</v>
      </c>
      <c r="D1669" s="723">
        <v>495</v>
      </c>
      <c r="E1669" s="723" t="s">
        <v>5345</v>
      </c>
      <c r="F1669" s="723" t="s">
        <v>84</v>
      </c>
      <c r="G1669" s="723" t="s">
        <v>2042</v>
      </c>
      <c r="H1669" s="723">
        <v>3</v>
      </c>
      <c r="I1669" s="723" t="s">
        <v>5500</v>
      </c>
      <c r="J1669" s="723" t="s">
        <v>5501</v>
      </c>
      <c r="K1669" s="723" t="s">
        <v>2044</v>
      </c>
      <c r="L1669" s="723">
        <v>1022395664</v>
      </c>
      <c r="M1669" s="723" t="s">
        <v>1364</v>
      </c>
      <c r="N1669" s="746"/>
      <c r="O1669" s="746"/>
      <c r="P1669" s="746"/>
      <c r="Q1669" s="746"/>
      <c r="R1669" s="521"/>
      <c r="S1669" s="521"/>
    </row>
    <row r="1670" spans="1:19">
      <c r="A1670" s="721">
        <v>55</v>
      </c>
      <c r="B1670" s="721">
        <v>20191495013</v>
      </c>
      <c r="C1670" s="721" t="s">
        <v>5502</v>
      </c>
      <c r="D1670" s="721">
        <v>495</v>
      </c>
      <c r="E1670" s="721" t="s">
        <v>5345</v>
      </c>
      <c r="F1670" s="721" t="s">
        <v>84</v>
      </c>
      <c r="G1670" s="721" t="s">
        <v>2042</v>
      </c>
      <c r="H1670" s="721">
        <v>3</v>
      </c>
      <c r="I1670" s="721" t="s">
        <v>5503</v>
      </c>
      <c r="J1670" s="721" t="s">
        <v>5504</v>
      </c>
      <c r="K1670" s="721" t="s">
        <v>2044</v>
      </c>
      <c r="L1670" s="721">
        <v>1014277134</v>
      </c>
      <c r="M1670" s="721" t="s">
        <v>1364</v>
      </c>
      <c r="N1670" s="746"/>
      <c r="O1670" s="746"/>
      <c r="P1670" s="746"/>
      <c r="Q1670" s="746"/>
      <c r="R1670" s="521"/>
      <c r="S1670" s="521"/>
    </row>
    <row r="1671" spans="1:19" ht="14.25" customHeight="1">
      <c r="A1671" s="723">
        <v>56</v>
      </c>
      <c r="B1671" s="723">
        <v>20191495016</v>
      </c>
      <c r="C1671" s="723" t="s">
        <v>5505</v>
      </c>
      <c r="D1671" s="723">
        <v>495</v>
      </c>
      <c r="E1671" s="723" t="s">
        <v>5345</v>
      </c>
      <c r="F1671" s="723" t="s">
        <v>84</v>
      </c>
      <c r="G1671" s="723" t="s">
        <v>2042</v>
      </c>
      <c r="H1671" s="723">
        <v>4</v>
      </c>
      <c r="I1671" s="723" t="s">
        <v>5506</v>
      </c>
      <c r="J1671" s="723" t="s">
        <v>5506</v>
      </c>
      <c r="K1671" s="723" t="s">
        <v>2044</v>
      </c>
      <c r="L1671" s="723">
        <v>1019112987</v>
      </c>
      <c r="M1671" s="723" t="s">
        <v>3155</v>
      </c>
      <c r="N1671" s="746"/>
      <c r="O1671" s="746"/>
      <c r="P1671" s="746"/>
      <c r="Q1671" s="746"/>
      <c r="R1671" s="521"/>
      <c r="S1671" s="521"/>
    </row>
    <row r="1672" spans="1:19">
      <c r="A1672" s="721">
        <v>57</v>
      </c>
      <c r="B1672" s="721">
        <v>20191495017</v>
      </c>
      <c r="C1672" s="721" t="s">
        <v>5507</v>
      </c>
      <c r="D1672" s="721">
        <v>495</v>
      </c>
      <c r="E1672" s="721" t="s">
        <v>5345</v>
      </c>
      <c r="F1672" s="721" t="s">
        <v>84</v>
      </c>
      <c r="G1672" s="721" t="s">
        <v>2042</v>
      </c>
      <c r="H1672" s="721">
        <v>3</v>
      </c>
      <c r="I1672" s="721" t="s">
        <v>5508</v>
      </c>
      <c r="J1672" s="721" t="s">
        <v>5509</v>
      </c>
      <c r="K1672" s="721" t="s">
        <v>2044</v>
      </c>
      <c r="L1672" s="721">
        <v>1026254497</v>
      </c>
      <c r="M1672" s="721" t="s">
        <v>1364</v>
      </c>
      <c r="N1672" s="746"/>
      <c r="O1672" s="746"/>
      <c r="P1672" s="746"/>
      <c r="Q1672" s="746"/>
      <c r="R1672" s="521"/>
      <c r="S1672" s="521"/>
    </row>
    <row r="1673" spans="1:19">
      <c r="A1673" s="723">
        <v>58</v>
      </c>
      <c r="B1673" s="723">
        <v>20191495019</v>
      </c>
      <c r="C1673" s="723" t="s">
        <v>5510</v>
      </c>
      <c r="D1673" s="723">
        <v>495</v>
      </c>
      <c r="E1673" s="723" t="s">
        <v>5345</v>
      </c>
      <c r="F1673" s="723" t="s">
        <v>84</v>
      </c>
      <c r="G1673" s="723" t="s">
        <v>2042</v>
      </c>
      <c r="H1673" s="723">
        <v>2</v>
      </c>
      <c r="I1673" s="723" t="s">
        <v>5511</v>
      </c>
      <c r="J1673" s="723" t="s">
        <v>5512</v>
      </c>
      <c r="K1673" s="723" t="s">
        <v>2044</v>
      </c>
      <c r="L1673" s="723">
        <v>1071167689</v>
      </c>
      <c r="M1673" s="723" t="s">
        <v>1348</v>
      </c>
      <c r="N1673" s="746"/>
      <c r="O1673" s="746"/>
      <c r="P1673" s="746"/>
      <c r="Q1673" s="746"/>
      <c r="R1673" s="521"/>
      <c r="S1673" s="521"/>
    </row>
    <row r="1674" spans="1:19">
      <c r="A1674" s="721">
        <v>59</v>
      </c>
      <c r="B1674" s="721">
        <v>20191495023</v>
      </c>
      <c r="C1674" s="721" t="s">
        <v>5513</v>
      </c>
      <c r="D1674" s="721">
        <v>495</v>
      </c>
      <c r="E1674" s="721" t="s">
        <v>5345</v>
      </c>
      <c r="F1674" s="721" t="s">
        <v>84</v>
      </c>
      <c r="G1674" s="721" t="s">
        <v>2042</v>
      </c>
      <c r="H1674" s="721">
        <v>2</v>
      </c>
      <c r="I1674" s="721" t="s">
        <v>5514</v>
      </c>
      <c r="J1674" s="721" t="s">
        <v>5515</v>
      </c>
      <c r="K1674" s="721" t="s">
        <v>2044</v>
      </c>
      <c r="L1674" s="721">
        <v>1015999367</v>
      </c>
      <c r="M1674" s="721" t="s">
        <v>3145</v>
      </c>
      <c r="N1674" s="746"/>
      <c r="O1674" s="746"/>
      <c r="P1674" s="746"/>
      <c r="Q1674" s="746"/>
      <c r="R1674" s="521"/>
      <c r="S1674" s="521"/>
    </row>
    <row r="1675" spans="1:19">
      <c r="A1675" s="723">
        <v>60</v>
      </c>
      <c r="B1675" s="723">
        <v>20191495025</v>
      </c>
      <c r="C1675" s="723" t="s">
        <v>5516</v>
      </c>
      <c r="D1675" s="723">
        <v>495</v>
      </c>
      <c r="E1675" s="723" t="s">
        <v>5345</v>
      </c>
      <c r="F1675" s="723" t="s">
        <v>84</v>
      </c>
      <c r="G1675" s="723" t="s">
        <v>2042</v>
      </c>
      <c r="H1675" s="723">
        <v>2</v>
      </c>
      <c r="I1675" s="723" t="s">
        <v>5517</v>
      </c>
      <c r="J1675" s="723" t="s">
        <v>5518</v>
      </c>
      <c r="K1675" s="723" t="s">
        <v>2044</v>
      </c>
      <c r="L1675" s="723">
        <v>1031150486</v>
      </c>
      <c r="M1675" s="723" t="s">
        <v>1356</v>
      </c>
      <c r="N1675" s="746"/>
      <c r="O1675" s="746"/>
      <c r="P1675" s="746"/>
      <c r="Q1675" s="746"/>
      <c r="R1675" s="521"/>
      <c r="S1675" s="521"/>
    </row>
    <row r="1676" spans="1:19">
      <c r="A1676" s="721">
        <v>61</v>
      </c>
      <c r="B1676" s="721">
        <v>20191495027</v>
      </c>
      <c r="C1676" s="721" t="s">
        <v>5519</v>
      </c>
      <c r="D1676" s="721">
        <v>495</v>
      </c>
      <c r="E1676" s="721" t="s">
        <v>5345</v>
      </c>
      <c r="F1676" s="721" t="s">
        <v>84</v>
      </c>
      <c r="G1676" s="721" t="s">
        <v>2042</v>
      </c>
      <c r="H1676" s="721">
        <v>3</v>
      </c>
      <c r="I1676" s="721" t="s">
        <v>5520</v>
      </c>
      <c r="J1676" s="721" t="s">
        <v>5521</v>
      </c>
      <c r="K1676" s="721" t="s">
        <v>2044</v>
      </c>
      <c r="L1676" s="721">
        <v>24042335</v>
      </c>
      <c r="M1676" s="721" t="s">
        <v>1348</v>
      </c>
      <c r="N1676" s="746"/>
      <c r="O1676" s="746"/>
      <c r="P1676" s="746"/>
      <c r="Q1676" s="746"/>
      <c r="R1676" s="521"/>
      <c r="S1676" s="521"/>
    </row>
    <row r="1677" spans="1:19">
      <c r="A1677" s="723">
        <v>62</v>
      </c>
      <c r="B1677" s="723">
        <v>20191495029</v>
      </c>
      <c r="C1677" s="723" t="s">
        <v>5522</v>
      </c>
      <c r="D1677" s="723">
        <v>495</v>
      </c>
      <c r="E1677" s="723" t="s">
        <v>5345</v>
      </c>
      <c r="F1677" s="723" t="s">
        <v>84</v>
      </c>
      <c r="G1677" s="723" t="s">
        <v>2042</v>
      </c>
      <c r="H1677" s="723">
        <v>3</v>
      </c>
      <c r="I1677" s="723" t="s">
        <v>5523</v>
      </c>
      <c r="J1677" s="723" t="s">
        <v>5524</v>
      </c>
      <c r="K1677" s="723" t="s">
        <v>2044</v>
      </c>
      <c r="L1677" s="723">
        <v>79810570</v>
      </c>
      <c r="M1677" s="723" t="s">
        <v>2936</v>
      </c>
      <c r="N1677" s="746"/>
      <c r="O1677" s="746"/>
      <c r="P1677" s="746"/>
      <c r="Q1677" s="746"/>
      <c r="R1677" s="521"/>
      <c r="S1677" s="521"/>
    </row>
    <row r="1678" spans="1:19">
      <c r="A1678" s="721">
        <v>63</v>
      </c>
      <c r="B1678" s="721">
        <v>20191495030</v>
      </c>
      <c r="C1678" s="721" t="s">
        <v>5525</v>
      </c>
      <c r="D1678" s="721">
        <v>495</v>
      </c>
      <c r="E1678" s="721" t="s">
        <v>5345</v>
      </c>
      <c r="F1678" s="721" t="s">
        <v>84</v>
      </c>
      <c r="G1678" s="721" t="s">
        <v>2042</v>
      </c>
      <c r="H1678" s="721">
        <v>4</v>
      </c>
      <c r="I1678" s="721" t="s">
        <v>5526</v>
      </c>
      <c r="J1678" s="721" t="s">
        <v>5527</v>
      </c>
      <c r="K1678" s="721" t="s">
        <v>2044</v>
      </c>
      <c r="L1678" s="721">
        <v>79410997</v>
      </c>
      <c r="M1678" s="721" t="s">
        <v>1356</v>
      </c>
      <c r="N1678" s="746"/>
      <c r="O1678" s="746"/>
      <c r="P1678" s="746"/>
      <c r="Q1678" s="746"/>
      <c r="R1678" s="521"/>
      <c r="S1678" s="521"/>
    </row>
    <row r="1679" spans="1:19">
      <c r="A1679" s="723">
        <v>64</v>
      </c>
      <c r="B1679" s="723">
        <v>20192495002</v>
      </c>
      <c r="C1679" s="723" t="s">
        <v>5528</v>
      </c>
      <c r="D1679" s="723">
        <v>495</v>
      </c>
      <c r="E1679" s="723" t="s">
        <v>5345</v>
      </c>
      <c r="F1679" s="723" t="s">
        <v>84</v>
      </c>
      <c r="G1679" s="723" t="s">
        <v>2042</v>
      </c>
      <c r="H1679" s="723">
        <v>3</v>
      </c>
      <c r="I1679" s="723" t="s">
        <v>5529</v>
      </c>
      <c r="J1679" s="723" t="s">
        <v>5530</v>
      </c>
      <c r="K1679" s="723" t="s">
        <v>2044</v>
      </c>
      <c r="L1679" s="723">
        <v>1013610921</v>
      </c>
      <c r="M1679" s="723" t="s">
        <v>1237</v>
      </c>
      <c r="N1679" s="746"/>
      <c r="O1679" s="746"/>
      <c r="P1679" s="746"/>
      <c r="Q1679" s="746"/>
      <c r="R1679" s="521"/>
      <c r="S1679" s="521"/>
    </row>
    <row r="1680" spans="1:19">
      <c r="A1680" s="721">
        <v>65</v>
      </c>
      <c r="B1680" s="721">
        <v>20192495006</v>
      </c>
      <c r="C1680" s="721" t="s">
        <v>5531</v>
      </c>
      <c r="D1680" s="721">
        <v>495</v>
      </c>
      <c r="E1680" s="721" t="s">
        <v>5345</v>
      </c>
      <c r="F1680" s="721" t="s">
        <v>84</v>
      </c>
      <c r="G1680" s="721" t="s">
        <v>2042</v>
      </c>
      <c r="H1680" s="721">
        <v>2</v>
      </c>
      <c r="I1680" s="721" t="s">
        <v>5532</v>
      </c>
      <c r="J1680" s="721" t="s">
        <v>5533</v>
      </c>
      <c r="K1680" s="721" t="s">
        <v>2044</v>
      </c>
      <c r="L1680" s="721">
        <v>1032479265</v>
      </c>
      <c r="M1680" s="721" t="s">
        <v>3269</v>
      </c>
      <c r="N1680" s="746"/>
      <c r="O1680" s="746"/>
      <c r="P1680" s="746"/>
      <c r="Q1680" s="746"/>
      <c r="R1680" s="521"/>
      <c r="S1680" s="521"/>
    </row>
    <row r="1681" spans="1:19">
      <c r="A1681" s="723">
        <v>66</v>
      </c>
      <c r="B1681" s="723">
        <v>20192495007</v>
      </c>
      <c r="C1681" s="723" t="s">
        <v>5534</v>
      </c>
      <c r="D1681" s="723">
        <v>495</v>
      </c>
      <c r="E1681" s="723" t="s">
        <v>5345</v>
      </c>
      <c r="F1681" s="723" t="s">
        <v>84</v>
      </c>
      <c r="G1681" s="723" t="s">
        <v>2042</v>
      </c>
      <c r="H1681" s="723">
        <v>1</v>
      </c>
      <c r="I1681" s="723" t="s">
        <v>5535</v>
      </c>
      <c r="J1681" s="723" t="s">
        <v>5536</v>
      </c>
      <c r="K1681" s="723" t="s">
        <v>2044</v>
      </c>
      <c r="L1681" s="723">
        <v>1013673538</v>
      </c>
      <c r="M1681" s="723" t="s">
        <v>3269</v>
      </c>
      <c r="N1681" s="746"/>
      <c r="O1681" s="746"/>
      <c r="P1681" s="746"/>
      <c r="Q1681" s="746"/>
      <c r="R1681" s="521"/>
      <c r="S1681" s="521"/>
    </row>
    <row r="1682" spans="1:19">
      <c r="A1682" s="721">
        <v>67</v>
      </c>
      <c r="B1682" s="721">
        <v>20192495011</v>
      </c>
      <c r="C1682" s="721" t="s">
        <v>5537</v>
      </c>
      <c r="D1682" s="721">
        <v>495</v>
      </c>
      <c r="E1682" s="721" t="s">
        <v>5345</v>
      </c>
      <c r="F1682" s="721" t="s">
        <v>84</v>
      </c>
      <c r="G1682" s="721" t="s">
        <v>2042</v>
      </c>
      <c r="H1682" s="721">
        <v>3</v>
      </c>
      <c r="I1682" s="721" t="s">
        <v>5538</v>
      </c>
      <c r="J1682" s="721" t="s">
        <v>5539</v>
      </c>
      <c r="K1682" s="721" t="s">
        <v>2044</v>
      </c>
      <c r="L1682" s="721">
        <v>1018465807</v>
      </c>
      <c r="M1682" s="721" t="s">
        <v>1334</v>
      </c>
      <c r="N1682" s="746"/>
      <c r="O1682" s="746"/>
      <c r="P1682" s="746"/>
      <c r="Q1682" s="746"/>
      <c r="R1682" s="521"/>
      <c r="S1682" s="521"/>
    </row>
    <row r="1683" spans="1:19">
      <c r="A1683" s="723">
        <v>68</v>
      </c>
      <c r="B1683" s="723">
        <v>20192495013</v>
      </c>
      <c r="C1683" s="723" t="s">
        <v>5540</v>
      </c>
      <c r="D1683" s="723">
        <v>495</v>
      </c>
      <c r="E1683" s="723" t="s">
        <v>5345</v>
      </c>
      <c r="F1683" s="723" t="s">
        <v>84</v>
      </c>
      <c r="G1683" s="723" t="s">
        <v>2042</v>
      </c>
      <c r="H1683" s="723">
        <v>3</v>
      </c>
      <c r="I1683" s="723" t="s">
        <v>5541</v>
      </c>
      <c r="J1683" s="723" t="s">
        <v>5542</v>
      </c>
      <c r="K1683" s="723" t="s">
        <v>2044</v>
      </c>
      <c r="L1683" s="723">
        <v>1022386417</v>
      </c>
      <c r="M1683" s="723" t="s">
        <v>1364</v>
      </c>
      <c r="N1683" s="746"/>
      <c r="O1683" s="746"/>
      <c r="P1683" s="746"/>
      <c r="Q1683" s="746"/>
      <c r="R1683" s="521"/>
      <c r="S1683" s="521"/>
    </row>
    <row r="1684" spans="1:19">
      <c r="A1684" s="721">
        <v>69</v>
      </c>
      <c r="B1684" s="721">
        <v>20192495014</v>
      </c>
      <c r="C1684" s="721" t="s">
        <v>5543</v>
      </c>
      <c r="D1684" s="721">
        <v>495</v>
      </c>
      <c r="E1684" s="721" t="s">
        <v>5345</v>
      </c>
      <c r="F1684" s="721" t="s">
        <v>84</v>
      </c>
      <c r="G1684" s="721" t="s">
        <v>2042</v>
      </c>
      <c r="H1684" s="721">
        <v>4</v>
      </c>
      <c r="I1684" s="721" t="s">
        <v>5544</v>
      </c>
      <c r="J1684" s="721" t="s">
        <v>5545</v>
      </c>
      <c r="K1684" s="721" t="s">
        <v>2044</v>
      </c>
      <c r="L1684" s="721">
        <v>1023948001</v>
      </c>
      <c r="M1684" s="721" t="s">
        <v>3269</v>
      </c>
      <c r="N1684" s="746"/>
      <c r="O1684" s="746"/>
      <c r="P1684" s="746"/>
      <c r="Q1684" s="746"/>
      <c r="R1684" s="521"/>
      <c r="S1684" s="521"/>
    </row>
    <row r="1685" spans="1:19">
      <c r="A1685" s="723">
        <v>70</v>
      </c>
      <c r="B1685" s="723">
        <v>20201495001</v>
      </c>
      <c r="C1685" s="723" t="s">
        <v>5546</v>
      </c>
      <c r="D1685" s="723">
        <v>495</v>
      </c>
      <c r="E1685" s="723" t="s">
        <v>5345</v>
      </c>
      <c r="F1685" s="723" t="s">
        <v>84</v>
      </c>
      <c r="G1685" s="723" t="s">
        <v>2042</v>
      </c>
      <c r="H1685" s="723">
        <v>3</v>
      </c>
      <c r="I1685" s="723" t="s">
        <v>5547</v>
      </c>
      <c r="J1685" s="723" t="s">
        <v>5548</v>
      </c>
      <c r="K1685" s="723" t="s">
        <v>2044</v>
      </c>
      <c r="L1685" s="723">
        <v>1024481940</v>
      </c>
      <c r="M1685" s="723" t="s">
        <v>1364</v>
      </c>
      <c r="N1685" s="746"/>
      <c r="O1685" s="746"/>
      <c r="P1685" s="746"/>
      <c r="Q1685" s="746"/>
      <c r="R1685" s="521"/>
      <c r="S1685" s="521"/>
    </row>
    <row r="1686" spans="1:19">
      <c r="A1686" s="721">
        <v>71</v>
      </c>
      <c r="B1686" s="721">
        <v>20202495009</v>
      </c>
      <c r="C1686" s="721" t="s">
        <v>5549</v>
      </c>
      <c r="D1686" s="721">
        <v>495</v>
      </c>
      <c r="E1686" s="721" t="s">
        <v>5345</v>
      </c>
      <c r="F1686" s="721" t="s">
        <v>84</v>
      </c>
      <c r="G1686" s="721" t="s">
        <v>2042</v>
      </c>
      <c r="H1686" s="721">
        <v>4</v>
      </c>
      <c r="I1686" s="721" t="s">
        <v>5550</v>
      </c>
      <c r="J1686" s="721" t="s">
        <v>5551</v>
      </c>
      <c r="K1686" s="721" t="s">
        <v>2044</v>
      </c>
      <c r="L1686" s="721">
        <v>1065581118</v>
      </c>
      <c r="M1686" s="721" t="s">
        <v>1364</v>
      </c>
      <c r="N1686" s="746"/>
      <c r="O1686" s="746"/>
      <c r="P1686" s="746"/>
      <c r="Q1686" s="746"/>
      <c r="R1686" s="521"/>
      <c r="S1686" s="521"/>
    </row>
    <row r="1687" spans="1:19">
      <c r="A1687" s="723">
        <v>72</v>
      </c>
      <c r="B1687" s="723">
        <v>20202495012</v>
      </c>
      <c r="C1687" s="723" t="s">
        <v>5552</v>
      </c>
      <c r="D1687" s="723">
        <v>495</v>
      </c>
      <c r="E1687" s="723" t="s">
        <v>5345</v>
      </c>
      <c r="F1687" s="723" t="s">
        <v>84</v>
      </c>
      <c r="G1687" s="723" t="s">
        <v>2042</v>
      </c>
      <c r="H1687" s="723">
        <v>4</v>
      </c>
      <c r="I1687" s="723" t="s">
        <v>5553</v>
      </c>
      <c r="J1687" s="723" t="s">
        <v>5553</v>
      </c>
      <c r="K1687" s="723" t="s">
        <v>2044</v>
      </c>
      <c r="L1687" s="723">
        <v>1016103685</v>
      </c>
      <c r="M1687" s="723" t="s">
        <v>2936</v>
      </c>
      <c r="N1687" s="746"/>
      <c r="O1687" s="746"/>
      <c r="P1687" s="746"/>
      <c r="Q1687" s="746"/>
      <c r="R1687" s="521"/>
      <c r="S1687" s="521"/>
    </row>
    <row r="1688" spans="1:19">
      <c r="A1688" s="721">
        <v>73</v>
      </c>
      <c r="B1688" s="721">
        <v>20202495019</v>
      </c>
      <c r="C1688" s="721" t="s">
        <v>5554</v>
      </c>
      <c r="D1688" s="721">
        <v>495</v>
      </c>
      <c r="E1688" s="721" t="s">
        <v>5345</v>
      </c>
      <c r="F1688" s="721" t="s">
        <v>84</v>
      </c>
      <c r="G1688" s="721" t="s">
        <v>2042</v>
      </c>
      <c r="H1688" s="721">
        <v>4</v>
      </c>
      <c r="I1688" s="721"/>
      <c r="J1688" s="721" t="s">
        <v>5555</v>
      </c>
      <c r="K1688" s="721" t="s">
        <v>2044</v>
      </c>
      <c r="L1688" s="721">
        <v>1026591661</v>
      </c>
      <c r="M1688" s="721" t="s">
        <v>2936</v>
      </c>
      <c r="N1688" s="746"/>
      <c r="O1688" s="746"/>
      <c r="P1688" s="746"/>
      <c r="Q1688" s="746"/>
      <c r="R1688" s="521"/>
      <c r="S1688" s="521"/>
    </row>
    <row r="1689" spans="1:19">
      <c r="A1689" s="723">
        <v>74</v>
      </c>
      <c r="B1689" s="723">
        <v>20202495020</v>
      </c>
      <c r="C1689" s="723" t="s">
        <v>5556</v>
      </c>
      <c r="D1689" s="723">
        <v>495</v>
      </c>
      <c r="E1689" s="723" t="s">
        <v>5345</v>
      </c>
      <c r="F1689" s="723" t="s">
        <v>84</v>
      </c>
      <c r="G1689" s="723" t="s">
        <v>2042</v>
      </c>
      <c r="H1689" s="723">
        <v>3</v>
      </c>
      <c r="I1689" s="723" t="s">
        <v>5557</v>
      </c>
      <c r="J1689" s="723" t="s">
        <v>5558</v>
      </c>
      <c r="K1689" s="723" t="s">
        <v>2044</v>
      </c>
      <c r="L1689" s="723">
        <v>1016024623</v>
      </c>
      <c r="M1689" s="723" t="s">
        <v>1356</v>
      </c>
      <c r="N1689" s="746"/>
      <c r="O1689" s="746"/>
      <c r="P1689" s="746"/>
      <c r="Q1689" s="746"/>
      <c r="R1689" s="521"/>
      <c r="S1689" s="521"/>
    </row>
    <row r="1690" spans="1:19">
      <c r="A1690" s="721">
        <v>75</v>
      </c>
      <c r="B1690" s="721">
        <v>20211395007</v>
      </c>
      <c r="C1690" s="721" t="s">
        <v>5559</v>
      </c>
      <c r="D1690" s="721">
        <v>495</v>
      </c>
      <c r="E1690" s="721" t="s">
        <v>5345</v>
      </c>
      <c r="F1690" s="721" t="s">
        <v>84</v>
      </c>
      <c r="G1690" s="721" t="s">
        <v>2042</v>
      </c>
      <c r="H1690" s="721">
        <v>1</v>
      </c>
      <c r="I1690" s="721" t="s">
        <v>5560</v>
      </c>
      <c r="J1690" s="721" t="s">
        <v>5561</v>
      </c>
      <c r="K1690" s="721" t="s">
        <v>2044</v>
      </c>
      <c r="L1690" s="721">
        <v>1019046050</v>
      </c>
      <c r="M1690" s="721" t="s">
        <v>3279</v>
      </c>
      <c r="N1690" s="746"/>
      <c r="O1690" s="746"/>
      <c r="P1690" s="746"/>
      <c r="Q1690" s="746"/>
      <c r="R1690" s="521"/>
      <c r="S1690" s="521"/>
    </row>
    <row r="1691" spans="1:19">
      <c r="A1691" s="723">
        <v>76</v>
      </c>
      <c r="B1691" s="723">
        <v>20211495004</v>
      </c>
      <c r="C1691" s="723" t="s">
        <v>5562</v>
      </c>
      <c r="D1691" s="723">
        <v>495</v>
      </c>
      <c r="E1691" s="723" t="s">
        <v>5345</v>
      </c>
      <c r="F1691" s="723" t="s">
        <v>84</v>
      </c>
      <c r="G1691" s="723" t="s">
        <v>2042</v>
      </c>
      <c r="H1691" s="723">
        <v>2</v>
      </c>
      <c r="I1691" s="723" t="s">
        <v>5563</v>
      </c>
      <c r="J1691" s="723" t="s">
        <v>5564</v>
      </c>
      <c r="K1691" s="723" t="s">
        <v>2044</v>
      </c>
      <c r="L1691" s="723">
        <v>1030649042</v>
      </c>
      <c r="M1691" s="723" t="s">
        <v>3145</v>
      </c>
      <c r="N1691" s="746"/>
      <c r="O1691" s="746"/>
      <c r="P1691" s="746"/>
      <c r="Q1691" s="746"/>
      <c r="R1691" s="521"/>
      <c r="S1691" s="521"/>
    </row>
    <row r="1692" spans="1:19">
      <c r="A1692" s="721">
        <v>77</v>
      </c>
      <c r="B1692" s="721">
        <v>20211495010</v>
      </c>
      <c r="C1692" s="721" t="s">
        <v>5565</v>
      </c>
      <c r="D1692" s="721">
        <v>495</v>
      </c>
      <c r="E1692" s="721" t="s">
        <v>5345</v>
      </c>
      <c r="F1692" s="721" t="s">
        <v>84</v>
      </c>
      <c r="G1692" s="721" t="s">
        <v>2042</v>
      </c>
      <c r="H1692" s="721">
        <v>3</v>
      </c>
      <c r="I1692" s="721" t="s">
        <v>5566</v>
      </c>
      <c r="J1692" s="721" t="s">
        <v>5566</v>
      </c>
      <c r="K1692" s="721" t="s">
        <v>2044</v>
      </c>
      <c r="L1692" s="721">
        <v>1022435418</v>
      </c>
      <c r="M1692" s="721" t="s">
        <v>3145</v>
      </c>
      <c r="N1692" s="746"/>
      <c r="O1692" s="746"/>
      <c r="P1692" s="746"/>
      <c r="Q1692" s="746"/>
      <c r="R1692" s="521"/>
      <c r="S1692" s="521"/>
    </row>
    <row r="1693" spans="1:19">
      <c r="A1693" s="723">
        <v>78</v>
      </c>
      <c r="B1693" s="723">
        <v>20211495013</v>
      </c>
      <c r="C1693" s="723" t="s">
        <v>5567</v>
      </c>
      <c r="D1693" s="723">
        <v>495</v>
      </c>
      <c r="E1693" s="723" t="s">
        <v>5345</v>
      </c>
      <c r="F1693" s="723" t="s">
        <v>84</v>
      </c>
      <c r="G1693" s="723" t="s">
        <v>2042</v>
      </c>
      <c r="H1693" s="723">
        <v>3</v>
      </c>
      <c r="I1693" s="723" t="s">
        <v>5568</v>
      </c>
      <c r="J1693" s="723" t="s">
        <v>5569</v>
      </c>
      <c r="K1693" s="723" t="s">
        <v>2044</v>
      </c>
      <c r="L1693" s="723">
        <v>1016098293</v>
      </c>
      <c r="M1693" s="723" t="s">
        <v>3145</v>
      </c>
      <c r="N1693" s="746"/>
      <c r="O1693" s="746"/>
      <c r="P1693" s="746"/>
      <c r="Q1693" s="746"/>
      <c r="R1693" s="521"/>
      <c r="S1693" s="521"/>
    </row>
    <row r="1694" spans="1:19">
      <c r="A1694" s="721">
        <v>79</v>
      </c>
      <c r="B1694" s="721">
        <v>20211495016</v>
      </c>
      <c r="C1694" s="721" t="s">
        <v>3343</v>
      </c>
      <c r="D1694" s="721">
        <v>495</v>
      </c>
      <c r="E1694" s="721" t="s">
        <v>5345</v>
      </c>
      <c r="F1694" s="721" t="s">
        <v>84</v>
      </c>
      <c r="G1694" s="721" t="s">
        <v>2042</v>
      </c>
      <c r="H1694" s="721">
        <v>2</v>
      </c>
      <c r="I1694" s="721" t="s">
        <v>5570</v>
      </c>
      <c r="J1694" s="721" t="s">
        <v>5571</v>
      </c>
      <c r="K1694" s="721" t="s">
        <v>2044</v>
      </c>
      <c r="L1694" s="721">
        <v>1033806084</v>
      </c>
      <c r="M1694" s="721" t="s">
        <v>3322</v>
      </c>
      <c r="N1694" s="746"/>
      <c r="O1694" s="746"/>
      <c r="P1694" s="746"/>
      <c r="Q1694" s="746"/>
      <c r="R1694" s="521"/>
      <c r="S1694" s="521"/>
    </row>
    <row r="1695" spans="1:19">
      <c r="A1695" s="723">
        <v>80</v>
      </c>
      <c r="B1695" s="723">
        <v>20211495017</v>
      </c>
      <c r="C1695" s="723" t="s">
        <v>3345</v>
      </c>
      <c r="D1695" s="723">
        <v>495</v>
      </c>
      <c r="E1695" s="723" t="s">
        <v>5345</v>
      </c>
      <c r="F1695" s="723" t="s">
        <v>84</v>
      </c>
      <c r="G1695" s="723" t="s">
        <v>2042</v>
      </c>
      <c r="H1695" s="723">
        <v>3</v>
      </c>
      <c r="I1695" s="723" t="s">
        <v>5572</v>
      </c>
      <c r="J1695" s="723" t="s">
        <v>3346</v>
      </c>
      <c r="K1695" s="723" t="s">
        <v>2044</v>
      </c>
      <c r="L1695" s="723">
        <v>1022429666</v>
      </c>
      <c r="M1695" s="723" t="s">
        <v>3279</v>
      </c>
      <c r="N1695" s="746"/>
      <c r="O1695" s="746"/>
      <c r="P1695" s="746"/>
      <c r="Q1695" s="746"/>
      <c r="R1695" s="521"/>
      <c r="S1695" s="521"/>
    </row>
    <row r="1696" spans="1:19">
      <c r="A1696" s="721">
        <v>81</v>
      </c>
      <c r="B1696" s="721">
        <v>20212395003</v>
      </c>
      <c r="C1696" s="721" t="s">
        <v>5573</v>
      </c>
      <c r="D1696" s="721">
        <v>495</v>
      </c>
      <c r="E1696" s="721" t="s">
        <v>5345</v>
      </c>
      <c r="F1696" s="721" t="s">
        <v>84</v>
      </c>
      <c r="G1696" s="721" t="s">
        <v>2042</v>
      </c>
      <c r="H1696" s="721">
        <v>2</v>
      </c>
      <c r="I1696" s="721" t="s">
        <v>5574</v>
      </c>
      <c r="J1696" s="721" t="s">
        <v>5575</v>
      </c>
      <c r="K1696" s="721" t="s">
        <v>2044</v>
      </c>
      <c r="L1696" s="721">
        <v>1035420008</v>
      </c>
      <c r="M1696" s="721" t="s">
        <v>3145</v>
      </c>
      <c r="N1696" s="746"/>
      <c r="O1696" s="746"/>
      <c r="P1696" s="746"/>
      <c r="Q1696" s="746"/>
      <c r="R1696" s="521"/>
      <c r="S1696" s="521"/>
    </row>
    <row r="1697" spans="1:19">
      <c r="A1697" s="723">
        <v>82</v>
      </c>
      <c r="B1697" s="723">
        <v>20212495001</v>
      </c>
      <c r="C1697" s="723" t="s">
        <v>5576</v>
      </c>
      <c r="D1697" s="723">
        <v>495</v>
      </c>
      <c r="E1697" s="723" t="s">
        <v>5345</v>
      </c>
      <c r="F1697" s="723" t="s">
        <v>84</v>
      </c>
      <c r="G1697" s="723" t="s">
        <v>2042</v>
      </c>
      <c r="H1697" s="723" t="s">
        <v>2043</v>
      </c>
      <c r="I1697" s="723" t="s">
        <v>5577</v>
      </c>
      <c r="J1697" s="723" t="s">
        <v>5578</v>
      </c>
      <c r="K1697" s="723" t="s">
        <v>2044</v>
      </c>
      <c r="L1697" s="723">
        <v>88197450</v>
      </c>
      <c r="M1697" s="723" t="s">
        <v>1334</v>
      </c>
      <c r="N1697" s="746"/>
      <c r="O1697" s="746"/>
      <c r="P1697" s="746"/>
      <c r="Q1697" s="746"/>
      <c r="R1697" s="521"/>
      <c r="S1697" s="521"/>
    </row>
    <row r="1698" spans="1:19">
      <c r="A1698" s="721">
        <v>83</v>
      </c>
      <c r="B1698" s="721">
        <v>20212495009</v>
      </c>
      <c r="C1698" s="721" t="s">
        <v>5579</v>
      </c>
      <c r="D1698" s="721">
        <v>495</v>
      </c>
      <c r="E1698" s="721" t="s">
        <v>5345</v>
      </c>
      <c r="F1698" s="721" t="s">
        <v>84</v>
      </c>
      <c r="G1698" s="721" t="s">
        <v>2042</v>
      </c>
      <c r="H1698" s="721">
        <v>3</v>
      </c>
      <c r="I1698" s="721" t="s">
        <v>5580</v>
      </c>
      <c r="J1698" s="721" t="s">
        <v>5581</v>
      </c>
      <c r="K1698" s="721" t="s">
        <v>2044</v>
      </c>
      <c r="L1698" s="721">
        <v>1072712551</v>
      </c>
      <c r="M1698" s="721" t="s">
        <v>3279</v>
      </c>
      <c r="N1698" s="746"/>
      <c r="O1698" s="746"/>
      <c r="P1698" s="746"/>
      <c r="Q1698" s="746"/>
      <c r="R1698" s="521"/>
      <c r="S1698" s="521"/>
    </row>
    <row r="1699" spans="1:19">
      <c r="A1699" s="723">
        <v>84</v>
      </c>
      <c r="B1699" s="723">
        <v>20221495005</v>
      </c>
      <c r="C1699" s="723" t="s">
        <v>5582</v>
      </c>
      <c r="D1699" s="723">
        <v>495</v>
      </c>
      <c r="E1699" s="723" t="s">
        <v>5345</v>
      </c>
      <c r="F1699" s="723" t="s">
        <v>84</v>
      </c>
      <c r="G1699" s="723" t="s">
        <v>2042</v>
      </c>
      <c r="H1699" s="723">
        <v>2</v>
      </c>
      <c r="I1699" s="723" t="s">
        <v>5583</v>
      </c>
      <c r="J1699" s="723" t="s">
        <v>5584</v>
      </c>
      <c r="K1699" s="723" t="s">
        <v>2044</v>
      </c>
      <c r="L1699" s="723">
        <v>1010219920</v>
      </c>
      <c r="M1699" s="723" t="s">
        <v>3322</v>
      </c>
      <c r="N1699" s="746"/>
      <c r="O1699" s="746"/>
      <c r="P1699" s="746"/>
      <c r="Q1699" s="746"/>
      <c r="R1699" s="521"/>
      <c r="S1699" s="521"/>
    </row>
    <row r="1700" spans="1:19" ht="14.25" customHeight="1">
      <c r="A1700" s="721">
        <v>85</v>
      </c>
      <c r="B1700" s="721">
        <v>20221495012</v>
      </c>
      <c r="C1700" s="721" t="s">
        <v>5585</v>
      </c>
      <c r="D1700" s="721">
        <v>495</v>
      </c>
      <c r="E1700" s="721" t="s">
        <v>5345</v>
      </c>
      <c r="F1700" s="721" t="s">
        <v>84</v>
      </c>
      <c r="G1700" s="721" t="s">
        <v>2042</v>
      </c>
      <c r="H1700" s="721">
        <v>1</v>
      </c>
      <c r="I1700" s="721" t="s">
        <v>5586</v>
      </c>
      <c r="J1700" s="721" t="s">
        <v>5587</v>
      </c>
      <c r="K1700" s="721" t="s">
        <v>2044</v>
      </c>
      <c r="L1700" s="721">
        <v>1010226431</v>
      </c>
      <c r="M1700" s="721" t="s">
        <v>3322</v>
      </c>
      <c r="N1700" s="746"/>
      <c r="O1700" s="746"/>
      <c r="P1700" s="746"/>
      <c r="Q1700" s="746"/>
      <c r="R1700" s="521"/>
      <c r="S1700" s="521"/>
    </row>
    <row r="1701" spans="1:19">
      <c r="A1701" s="723">
        <v>86</v>
      </c>
      <c r="B1701" s="723">
        <v>20221495016</v>
      </c>
      <c r="C1701" s="723" t="s">
        <v>5588</v>
      </c>
      <c r="D1701" s="723">
        <v>495</v>
      </c>
      <c r="E1701" s="723" t="s">
        <v>5345</v>
      </c>
      <c r="F1701" s="723" t="s">
        <v>84</v>
      </c>
      <c r="G1701" s="723" t="s">
        <v>2042</v>
      </c>
      <c r="H1701" s="723">
        <v>4</v>
      </c>
      <c r="I1701" s="723" t="s">
        <v>5589</v>
      </c>
      <c r="J1701" s="723" t="s">
        <v>5590</v>
      </c>
      <c r="K1701" s="723" t="s">
        <v>2044</v>
      </c>
      <c r="L1701" s="723">
        <v>1113514597</v>
      </c>
      <c r="M1701" s="723" t="s">
        <v>3322</v>
      </c>
      <c r="N1701" s="746"/>
      <c r="O1701" s="746"/>
      <c r="P1701" s="746"/>
      <c r="Q1701" s="746"/>
      <c r="R1701" s="521"/>
      <c r="S1701" s="521"/>
    </row>
    <row r="1702" spans="1:19">
      <c r="A1702" s="725" t="s">
        <v>2292</v>
      </c>
      <c r="B1702" s="725" t="s">
        <v>2292</v>
      </c>
      <c r="C1702" s="725" t="s">
        <v>2292</v>
      </c>
      <c r="D1702" s="725" t="s">
        <v>2292</v>
      </c>
      <c r="E1702" s="725" t="s">
        <v>2292</v>
      </c>
      <c r="F1702" s="725" t="s">
        <v>2292</v>
      </c>
      <c r="G1702" s="725" t="s">
        <v>2292</v>
      </c>
      <c r="H1702" s="725" t="s">
        <v>2292</v>
      </c>
      <c r="I1702" s="725" t="s">
        <v>2292</v>
      </c>
      <c r="J1702" s="725" t="s">
        <v>2292</v>
      </c>
      <c r="K1702" s="725" t="s">
        <v>2292</v>
      </c>
      <c r="L1702" s="725" t="s">
        <v>2292</v>
      </c>
      <c r="M1702" s="725" t="s">
        <v>2292</v>
      </c>
      <c r="N1702" s="746"/>
      <c r="O1702" s="746"/>
      <c r="P1702" s="746"/>
      <c r="Q1702" s="746"/>
      <c r="R1702" s="521"/>
      <c r="S1702" s="521"/>
    </row>
    <row r="1703" spans="1:19">
      <c r="A1703" s="719" t="s">
        <v>2033</v>
      </c>
      <c r="B1703" s="719" t="s">
        <v>2293</v>
      </c>
      <c r="C1703"/>
      <c r="D1703"/>
      <c r="E1703"/>
      <c r="F1703"/>
      <c r="G1703"/>
      <c r="H1703"/>
      <c r="I1703"/>
      <c r="J1703"/>
      <c r="K1703"/>
      <c r="L1703"/>
      <c r="M1703"/>
      <c r="N1703" s="746"/>
      <c r="O1703" s="746"/>
      <c r="P1703" s="746"/>
      <c r="Q1703" s="746"/>
      <c r="R1703" s="521"/>
      <c r="S1703" s="521"/>
    </row>
    <row r="1704" spans="1:19" ht="25.5">
      <c r="A1704" s="720" t="s">
        <v>2035</v>
      </c>
      <c r="B1704" s="720" t="s">
        <v>2036</v>
      </c>
      <c r="C1704" s="720" t="s">
        <v>1</v>
      </c>
      <c r="D1704" s="720" t="s">
        <v>2037</v>
      </c>
      <c r="E1704" s="720" t="s">
        <v>3</v>
      </c>
      <c r="F1704" s="720" t="s">
        <v>4</v>
      </c>
      <c r="G1704" s="720" t="s">
        <v>2038</v>
      </c>
      <c r="H1704" s="720" t="s">
        <v>6</v>
      </c>
      <c r="I1704" s="720" t="s">
        <v>7</v>
      </c>
      <c r="J1704" s="720" t="s">
        <v>8</v>
      </c>
      <c r="K1704" s="720" t="s">
        <v>2039</v>
      </c>
      <c r="L1704" s="720" t="s">
        <v>10</v>
      </c>
      <c r="M1704" s="720" t="s">
        <v>2040</v>
      </c>
      <c r="N1704" s="746"/>
      <c r="O1704" s="746"/>
      <c r="P1704" s="746"/>
      <c r="Q1704" s="746"/>
      <c r="R1704" s="521"/>
      <c r="S1704" s="521"/>
    </row>
    <row r="1705" spans="1:19">
      <c r="A1705" s="721">
        <v>87</v>
      </c>
      <c r="B1705" s="721">
        <v>20161495008</v>
      </c>
      <c r="C1705" s="721" t="s">
        <v>5591</v>
      </c>
      <c r="D1705" s="721">
        <v>495</v>
      </c>
      <c r="E1705" s="721" t="s">
        <v>5345</v>
      </c>
      <c r="F1705" s="721" t="s">
        <v>107</v>
      </c>
      <c r="G1705" s="721" t="s">
        <v>108</v>
      </c>
      <c r="H1705" s="721" t="s">
        <v>2043</v>
      </c>
      <c r="I1705" s="721"/>
      <c r="J1705" s="721" t="s">
        <v>5592</v>
      </c>
      <c r="K1705" s="721" t="s">
        <v>2044</v>
      </c>
      <c r="L1705" s="721">
        <v>16073312</v>
      </c>
      <c r="M1705" s="722" t="s">
        <v>955</v>
      </c>
      <c r="N1705" s="746"/>
      <c r="O1705" s="746"/>
      <c r="P1705" s="746"/>
      <c r="Q1705" s="746"/>
      <c r="R1705" s="521"/>
      <c r="S1705" s="521"/>
    </row>
    <row r="1706" spans="1:19">
      <c r="A1706" s="723">
        <v>88</v>
      </c>
      <c r="B1706" s="723">
        <v>20201495003</v>
      </c>
      <c r="C1706" s="723" t="s">
        <v>5593</v>
      </c>
      <c r="D1706" s="723">
        <v>495</v>
      </c>
      <c r="E1706" s="723" t="s">
        <v>5345</v>
      </c>
      <c r="F1706" s="723" t="s">
        <v>107</v>
      </c>
      <c r="G1706" s="723" t="s">
        <v>108</v>
      </c>
      <c r="H1706" s="723" t="s">
        <v>2043</v>
      </c>
      <c r="I1706" s="723"/>
      <c r="J1706" s="723" t="s">
        <v>5594</v>
      </c>
      <c r="K1706" s="723" t="s">
        <v>2044</v>
      </c>
      <c r="L1706" s="723">
        <v>1018475779</v>
      </c>
      <c r="M1706" s="724" t="s">
        <v>955</v>
      </c>
      <c r="N1706" s="746"/>
      <c r="O1706" s="746"/>
      <c r="P1706" s="746"/>
      <c r="Q1706" s="746"/>
      <c r="R1706" s="521"/>
      <c r="S1706" s="521"/>
    </row>
    <row r="1707" spans="1:19">
      <c r="A1707" s="721">
        <v>89</v>
      </c>
      <c r="B1707" s="721">
        <v>20221495001</v>
      </c>
      <c r="C1707" s="721" t="s">
        <v>5595</v>
      </c>
      <c r="D1707" s="721">
        <v>495</v>
      </c>
      <c r="E1707" s="721" t="s">
        <v>5345</v>
      </c>
      <c r="F1707" s="721" t="s">
        <v>107</v>
      </c>
      <c r="G1707" s="721" t="s">
        <v>108</v>
      </c>
      <c r="H1707" s="721" t="s">
        <v>2043</v>
      </c>
      <c r="I1707" s="721"/>
      <c r="J1707" s="721" t="s">
        <v>5596</v>
      </c>
      <c r="K1707" s="721" t="s">
        <v>2044</v>
      </c>
      <c r="L1707" s="721">
        <v>40215192</v>
      </c>
      <c r="M1707" s="722" t="s">
        <v>955</v>
      </c>
      <c r="N1707" s="746"/>
      <c r="O1707" s="746"/>
      <c r="P1707" s="746"/>
      <c r="Q1707" s="746"/>
      <c r="R1707" s="521"/>
      <c r="S1707" s="521"/>
    </row>
    <row r="1708" spans="1:19">
      <c r="A1708" s="723">
        <v>90</v>
      </c>
      <c r="B1708" s="723">
        <v>20221495004</v>
      </c>
      <c r="C1708" s="723" t="s">
        <v>5597</v>
      </c>
      <c r="D1708" s="723">
        <v>495</v>
      </c>
      <c r="E1708" s="723" t="s">
        <v>5345</v>
      </c>
      <c r="F1708" s="723" t="s">
        <v>107</v>
      </c>
      <c r="G1708" s="723" t="s">
        <v>108</v>
      </c>
      <c r="H1708" s="723" t="s">
        <v>2043</v>
      </c>
      <c r="I1708" s="723"/>
      <c r="J1708" s="723" t="s">
        <v>5598</v>
      </c>
      <c r="K1708" s="723" t="s">
        <v>2044</v>
      </c>
      <c r="L1708" s="723">
        <v>80085326</v>
      </c>
      <c r="M1708" s="724" t="s">
        <v>955</v>
      </c>
      <c r="N1708" s="746"/>
      <c r="O1708" s="746"/>
      <c r="P1708" s="746"/>
      <c r="Q1708" s="746"/>
      <c r="R1708" s="521"/>
      <c r="S1708" s="521"/>
    </row>
    <row r="1709" spans="1:19">
      <c r="A1709" s="721">
        <v>91</v>
      </c>
      <c r="B1709" s="721">
        <v>20221495007</v>
      </c>
      <c r="C1709" s="721" t="s">
        <v>5599</v>
      </c>
      <c r="D1709" s="721">
        <v>495</v>
      </c>
      <c r="E1709" s="721" t="s">
        <v>5345</v>
      </c>
      <c r="F1709" s="721" t="s">
        <v>107</v>
      </c>
      <c r="G1709" s="721" t="s">
        <v>108</v>
      </c>
      <c r="H1709" s="721">
        <v>3</v>
      </c>
      <c r="I1709" s="721"/>
      <c r="J1709" s="721" t="s">
        <v>5600</v>
      </c>
      <c r="K1709" s="721" t="s">
        <v>2044</v>
      </c>
      <c r="L1709" s="721">
        <v>79707916</v>
      </c>
      <c r="M1709" s="722" t="s">
        <v>955</v>
      </c>
      <c r="N1709" s="746"/>
      <c r="O1709" s="746"/>
      <c r="P1709" s="746"/>
      <c r="Q1709" s="746"/>
      <c r="R1709" s="521"/>
      <c r="S1709" s="521"/>
    </row>
    <row r="1710" spans="1:19">
      <c r="A1710" s="723">
        <v>92</v>
      </c>
      <c r="B1710" s="723">
        <v>20221495009</v>
      </c>
      <c r="C1710" s="723" t="s">
        <v>5601</v>
      </c>
      <c r="D1710" s="723">
        <v>495</v>
      </c>
      <c r="E1710" s="723" t="s">
        <v>5345</v>
      </c>
      <c r="F1710" s="723" t="s">
        <v>107</v>
      </c>
      <c r="G1710" s="723" t="s">
        <v>108</v>
      </c>
      <c r="H1710" s="723">
        <v>2</v>
      </c>
      <c r="I1710" s="723"/>
      <c r="J1710" s="723" t="s">
        <v>5602</v>
      </c>
      <c r="K1710" s="723" t="s">
        <v>2044</v>
      </c>
      <c r="L1710" s="723">
        <v>1010175170</v>
      </c>
      <c r="M1710" s="724" t="s">
        <v>955</v>
      </c>
      <c r="N1710" s="746"/>
      <c r="O1710" s="746"/>
      <c r="P1710" s="746"/>
      <c r="Q1710" s="746"/>
      <c r="R1710" s="521"/>
      <c r="S1710" s="521"/>
    </row>
    <row r="1711" spans="1:19" ht="14.25" customHeight="1">
      <c r="A1711" s="721">
        <v>93</v>
      </c>
      <c r="B1711" s="721">
        <v>20221495014</v>
      </c>
      <c r="C1711" s="721" t="s">
        <v>5603</v>
      </c>
      <c r="D1711" s="721">
        <v>495</v>
      </c>
      <c r="E1711" s="721" t="s">
        <v>5345</v>
      </c>
      <c r="F1711" s="721" t="s">
        <v>107</v>
      </c>
      <c r="G1711" s="721" t="s">
        <v>108</v>
      </c>
      <c r="H1711" s="721" t="s">
        <v>2043</v>
      </c>
      <c r="I1711" s="721"/>
      <c r="J1711" s="721" t="s">
        <v>5604</v>
      </c>
      <c r="K1711" s="721" t="s">
        <v>2044</v>
      </c>
      <c r="L1711" s="721">
        <v>80795249</v>
      </c>
      <c r="M1711" s="722" t="s">
        <v>955</v>
      </c>
      <c r="N1711" s="746"/>
      <c r="O1711" s="746"/>
      <c r="P1711" s="746"/>
      <c r="Q1711" s="746"/>
      <c r="R1711" s="521"/>
      <c r="S1711" s="521"/>
    </row>
    <row r="1712" spans="1:19">
      <c r="A1712" s="723">
        <v>94</v>
      </c>
      <c r="B1712" s="723">
        <v>20221495015</v>
      </c>
      <c r="C1712" s="723" t="s">
        <v>5605</v>
      </c>
      <c r="D1712" s="723">
        <v>495</v>
      </c>
      <c r="E1712" s="723" t="s">
        <v>5345</v>
      </c>
      <c r="F1712" s="723" t="s">
        <v>107</v>
      </c>
      <c r="G1712" s="723" t="s">
        <v>108</v>
      </c>
      <c r="H1712" s="723" t="s">
        <v>2043</v>
      </c>
      <c r="I1712" s="723"/>
      <c r="J1712" s="723" t="s">
        <v>5606</v>
      </c>
      <c r="K1712" s="723" t="s">
        <v>2044</v>
      </c>
      <c r="L1712" s="723">
        <v>1031139705</v>
      </c>
      <c r="M1712" s="724" t="s">
        <v>955</v>
      </c>
      <c r="N1712" s="746"/>
      <c r="O1712" s="746"/>
      <c r="P1712" s="746"/>
      <c r="Q1712" s="746"/>
      <c r="R1712" s="521"/>
      <c r="S1712" s="521"/>
    </row>
    <row r="1713" spans="1:19">
      <c r="A1713" s="725" t="s">
        <v>2292</v>
      </c>
      <c r="B1713" s="725" t="s">
        <v>2292</v>
      </c>
      <c r="C1713" s="725" t="s">
        <v>2292</v>
      </c>
      <c r="D1713" s="725" t="s">
        <v>2292</v>
      </c>
      <c r="E1713" s="725" t="s">
        <v>2292</v>
      </c>
      <c r="F1713" s="725" t="s">
        <v>2292</v>
      </c>
      <c r="G1713" s="725" t="s">
        <v>2292</v>
      </c>
      <c r="H1713" s="725" t="s">
        <v>2292</v>
      </c>
      <c r="I1713" s="725" t="s">
        <v>2292</v>
      </c>
      <c r="J1713" s="725" t="s">
        <v>2292</v>
      </c>
      <c r="K1713" s="725" t="s">
        <v>2292</v>
      </c>
      <c r="L1713" s="725" t="s">
        <v>2292</v>
      </c>
      <c r="M1713" s="725" t="s">
        <v>2292</v>
      </c>
      <c r="N1713" s="746"/>
      <c r="O1713" s="746"/>
      <c r="P1713" s="746"/>
      <c r="Q1713" s="746"/>
      <c r="R1713" s="521"/>
      <c r="S1713" s="521"/>
    </row>
    <row r="1714" spans="1:19">
      <c r="A1714" s="719" t="s">
        <v>2033</v>
      </c>
      <c r="B1714" s="719" t="s">
        <v>2529</v>
      </c>
      <c r="C1714"/>
      <c r="D1714"/>
      <c r="E1714"/>
      <c r="F1714"/>
      <c r="G1714"/>
      <c r="H1714"/>
      <c r="I1714"/>
      <c r="J1714"/>
      <c r="K1714"/>
      <c r="L1714"/>
      <c r="M1714"/>
      <c r="N1714" s="746"/>
      <c r="O1714" s="746"/>
      <c r="P1714" s="746"/>
      <c r="Q1714" s="746"/>
      <c r="R1714" s="521"/>
      <c r="S1714" s="521"/>
    </row>
    <row r="1715" spans="1:19" ht="25.5">
      <c r="A1715" s="720" t="s">
        <v>2035</v>
      </c>
      <c r="B1715" s="720" t="s">
        <v>2036</v>
      </c>
      <c r="C1715" s="720" t="s">
        <v>1</v>
      </c>
      <c r="D1715" s="720" t="s">
        <v>2037</v>
      </c>
      <c r="E1715" s="720" t="s">
        <v>3</v>
      </c>
      <c r="F1715" s="720" t="s">
        <v>4</v>
      </c>
      <c r="G1715" s="720" t="s">
        <v>2038</v>
      </c>
      <c r="H1715" s="720" t="s">
        <v>6</v>
      </c>
      <c r="I1715" s="720" t="s">
        <v>7</v>
      </c>
      <c r="J1715" s="720" t="s">
        <v>8</v>
      </c>
      <c r="K1715" s="720" t="s">
        <v>2039</v>
      </c>
      <c r="L1715" s="720" t="s">
        <v>10</v>
      </c>
      <c r="M1715" s="720" t="s">
        <v>2040</v>
      </c>
      <c r="N1715" s="746"/>
      <c r="O1715" s="746"/>
      <c r="P1715" s="746"/>
      <c r="Q1715" s="746"/>
      <c r="R1715" s="521"/>
      <c r="S1715" s="521"/>
    </row>
    <row r="1716" spans="1:19">
      <c r="A1716" s="721">
        <v>95</v>
      </c>
      <c r="B1716" s="721">
        <v>20152495004</v>
      </c>
      <c r="C1716" s="721" t="s">
        <v>5607</v>
      </c>
      <c r="D1716" s="721">
        <v>495</v>
      </c>
      <c r="E1716" s="721" t="s">
        <v>5345</v>
      </c>
      <c r="F1716" s="721" t="s">
        <v>122</v>
      </c>
      <c r="G1716" s="721" t="s">
        <v>108</v>
      </c>
      <c r="H1716" s="721" t="s">
        <v>2043</v>
      </c>
      <c r="I1716" s="721"/>
      <c r="J1716" s="721" t="s">
        <v>5608</v>
      </c>
      <c r="K1716" s="721" t="s">
        <v>2044</v>
      </c>
      <c r="L1716" s="721">
        <v>79990854</v>
      </c>
      <c r="M1716" s="722" t="s">
        <v>955</v>
      </c>
      <c r="N1716" s="746"/>
      <c r="O1716" s="746"/>
      <c r="P1716" s="746"/>
      <c r="Q1716" s="746"/>
      <c r="R1716" s="521"/>
      <c r="S1716" s="521"/>
    </row>
    <row r="1717" spans="1:19">
      <c r="A1717" s="723">
        <v>96</v>
      </c>
      <c r="B1717" s="723">
        <v>20152495009</v>
      </c>
      <c r="C1717" s="723" t="s">
        <v>5609</v>
      </c>
      <c r="D1717" s="723">
        <v>495</v>
      </c>
      <c r="E1717" s="723" t="s">
        <v>5345</v>
      </c>
      <c r="F1717" s="723" t="s">
        <v>122</v>
      </c>
      <c r="G1717" s="723" t="s">
        <v>108</v>
      </c>
      <c r="H1717" s="723" t="s">
        <v>2043</v>
      </c>
      <c r="I1717" s="723"/>
      <c r="J1717" s="723" t="s">
        <v>5610</v>
      </c>
      <c r="K1717" s="723" t="s">
        <v>2044</v>
      </c>
      <c r="L1717" s="723">
        <v>80075588</v>
      </c>
      <c r="M1717" s="724" t="s">
        <v>955</v>
      </c>
      <c r="N1717" s="746"/>
      <c r="O1717" s="746"/>
      <c r="P1717" s="746"/>
      <c r="Q1717" s="746"/>
      <c r="R1717" s="521"/>
      <c r="S1717" s="521"/>
    </row>
    <row r="1718" spans="1:19">
      <c r="A1718" s="721">
        <v>97</v>
      </c>
      <c r="B1718" s="721">
        <v>20161495017</v>
      </c>
      <c r="C1718" s="721" t="s">
        <v>5611</v>
      </c>
      <c r="D1718" s="721">
        <v>495</v>
      </c>
      <c r="E1718" s="721" t="s">
        <v>5345</v>
      </c>
      <c r="F1718" s="721" t="s">
        <v>122</v>
      </c>
      <c r="G1718" s="721" t="s">
        <v>108</v>
      </c>
      <c r="H1718" s="721" t="s">
        <v>2043</v>
      </c>
      <c r="I1718" s="721"/>
      <c r="J1718" s="721" t="s">
        <v>5612</v>
      </c>
      <c r="K1718" s="721" t="s">
        <v>2044</v>
      </c>
      <c r="L1718" s="721">
        <v>80096119</v>
      </c>
      <c r="M1718" s="722" t="s">
        <v>955</v>
      </c>
      <c r="N1718" s="746"/>
      <c r="O1718" s="746"/>
      <c r="P1718" s="746"/>
      <c r="Q1718" s="746"/>
      <c r="R1718" s="521"/>
      <c r="S1718" s="521"/>
    </row>
    <row r="1719" spans="1:19">
      <c r="A1719" s="723">
        <v>98</v>
      </c>
      <c r="B1719" s="723">
        <v>20162495005</v>
      </c>
      <c r="C1719" s="723" t="s">
        <v>5613</v>
      </c>
      <c r="D1719" s="723">
        <v>495</v>
      </c>
      <c r="E1719" s="723" t="s">
        <v>5345</v>
      </c>
      <c r="F1719" s="723" t="s">
        <v>122</v>
      </c>
      <c r="G1719" s="723" t="s">
        <v>108</v>
      </c>
      <c r="H1719" s="723" t="s">
        <v>2043</v>
      </c>
      <c r="I1719" s="723" t="s">
        <v>5614</v>
      </c>
      <c r="J1719" s="723" t="s">
        <v>5615</v>
      </c>
      <c r="K1719" s="723" t="s">
        <v>2044</v>
      </c>
      <c r="L1719" s="723">
        <v>12023405</v>
      </c>
      <c r="M1719" s="724" t="s">
        <v>955</v>
      </c>
      <c r="N1719" s="746"/>
      <c r="O1719" s="746"/>
      <c r="P1719" s="746"/>
      <c r="Q1719" s="746"/>
      <c r="R1719" s="521"/>
      <c r="S1719" s="521"/>
    </row>
    <row r="1720" spans="1:19">
      <c r="A1720" s="721">
        <v>99</v>
      </c>
      <c r="B1720" s="721">
        <v>20162495012</v>
      </c>
      <c r="C1720" s="721" t="s">
        <v>5616</v>
      </c>
      <c r="D1720" s="721">
        <v>495</v>
      </c>
      <c r="E1720" s="721" t="s">
        <v>5345</v>
      </c>
      <c r="F1720" s="721" t="s">
        <v>122</v>
      </c>
      <c r="G1720" s="721" t="s">
        <v>108</v>
      </c>
      <c r="H1720" s="721" t="s">
        <v>2043</v>
      </c>
      <c r="I1720" s="721"/>
      <c r="J1720" s="721" t="s">
        <v>5617</v>
      </c>
      <c r="K1720" s="721" t="s">
        <v>2044</v>
      </c>
      <c r="L1720" s="721">
        <v>1122648771</v>
      </c>
      <c r="M1720" s="722" t="s">
        <v>955</v>
      </c>
      <c r="N1720" s="746"/>
      <c r="O1720" s="746"/>
      <c r="P1720" s="746"/>
      <c r="Q1720" s="746"/>
      <c r="R1720" s="521"/>
      <c r="S1720" s="521"/>
    </row>
    <row r="1721" spans="1:19">
      <c r="A1721" s="723">
        <v>100</v>
      </c>
      <c r="B1721" s="723">
        <v>20171495004</v>
      </c>
      <c r="C1721" s="723" t="s">
        <v>3951</v>
      </c>
      <c r="D1721" s="723">
        <v>495</v>
      </c>
      <c r="E1721" s="723" t="s">
        <v>5345</v>
      </c>
      <c r="F1721" s="723" t="s">
        <v>122</v>
      </c>
      <c r="G1721" s="723" t="s">
        <v>108</v>
      </c>
      <c r="H1721" s="723" t="s">
        <v>2043</v>
      </c>
      <c r="I1721" s="723" t="s">
        <v>3952</v>
      </c>
      <c r="J1721" s="723" t="s">
        <v>3953</v>
      </c>
      <c r="K1721" s="723" t="s">
        <v>2044</v>
      </c>
      <c r="L1721" s="723">
        <v>1049627823</v>
      </c>
      <c r="M1721" s="724" t="s">
        <v>955</v>
      </c>
      <c r="N1721" s="746"/>
      <c r="O1721" s="746"/>
      <c r="P1721" s="746"/>
      <c r="Q1721" s="746"/>
      <c r="R1721" s="521"/>
      <c r="S1721" s="521"/>
    </row>
    <row r="1722" spans="1:19">
      <c r="A1722" s="721">
        <v>101</v>
      </c>
      <c r="B1722" s="721">
        <v>20171495008</v>
      </c>
      <c r="C1722" s="721" t="s">
        <v>5618</v>
      </c>
      <c r="D1722" s="721">
        <v>495</v>
      </c>
      <c r="E1722" s="721" t="s">
        <v>5345</v>
      </c>
      <c r="F1722" s="721" t="s">
        <v>122</v>
      </c>
      <c r="G1722" s="721" t="s">
        <v>108</v>
      </c>
      <c r="H1722" s="721" t="s">
        <v>2043</v>
      </c>
      <c r="I1722" s="721" t="s">
        <v>5619</v>
      </c>
      <c r="J1722" s="721" t="s">
        <v>5620</v>
      </c>
      <c r="K1722" s="721" t="s">
        <v>2044</v>
      </c>
      <c r="L1722" s="721">
        <v>1013619683</v>
      </c>
      <c r="M1722" s="722" t="s">
        <v>955</v>
      </c>
      <c r="N1722" s="746"/>
      <c r="O1722" s="746"/>
      <c r="P1722" s="746"/>
      <c r="Q1722" s="746"/>
      <c r="R1722" s="521"/>
      <c r="S1722" s="521"/>
    </row>
    <row r="1723" spans="1:19">
      <c r="A1723" s="723">
        <v>102</v>
      </c>
      <c r="B1723" s="723">
        <v>20181495007</v>
      </c>
      <c r="C1723" s="723" t="s">
        <v>5621</v>
      </c>
      <c r="D1723" s="723">
        <v>495</v>
      </c>
      <c r="E1723" s="723" t="s">
        <v>5345</v>
      </c>
      <c r="F1723" s="723" t="s">
        <v>122</v>
      </c>
      <c r="G1723" s="723" t="s">
        <v>108</v>
      </c>
      <c r="H1723" s="723" t="s">
        <v>2043</v>
      </c>
      <c r="I1723" s="723"/>
      <c r="J1723" s="723" t="s">
        <v>5622</v>
      </c>
      <c r="K1723" s="723" t="s">
        <v>2044</v>
      </c>
      <c r="L1723" s="723">
        <v>80221408</v>
      </c>
      <c r="M1723" s="724" t="s">
        <v>955</v>
      </c>
      <c r="N1723" s="746"/>
      <c r="O1723" s="746"/>
      <c r="P1723" s="746"/>
      <c r="Q1723" s="746"/>
      <c r="R1723" s="521"/>
      <c r="S1723" s="521"/>
    </row>
    <row r="1724" spans="1:19">
      <c r="A1724" s="721">
        <v>103</v>
      </c>
      <c r="B1724" s="721">
        <v>20181495014</v>
      </c>
      <c r="C1724" s="721" t="s">
        <v>5623</v>
      </c>
      <c r="D1724" s="721">
        <v>495</v>
      </c>
      <c r="E1724" s="721" t="s">
        <v>5345</v>
      </c>
      <c r="F1724" s="721" t="s">
        <v>122</v>
      </c>
      <c r="G1724" s="721" t="s">
        <v>108</v>
      </c>
      <c r="H1724" s="721" t="s">
        <v>2043</v>
      </c>
      <c r="I1724" s="721"/>
      <c r="J1724" s="721" t="s">
        <v>5624</v>
      </c>
      <c r="K1724" s="721" t="s">
        <v>2044</v>
      </c>
      <c r="L1724" s="721">
        <v>80020768</v>
      </c>
      <c r="M1724" s="722" t="s">
        <v>955</v>
      </c>
      <c r="N1724" s="746"/>
      <c r="O1724" s="746"/>
      <c r="P1724" s="746"/>
      <c r="Q1724" s="746"/>
      <c r="R1724" s="521"/>
      <c r="S1724" s="521"/>
    </row>
    <row r="1725" spans="1:19">
      <c r="A1725" s="723">
        <v>104</v>
      </c>
      <c r="B1725" s="723">
        <v>20191495005</v>
      </c>
      <c r="C1725" s="723" t="s">
        <v>5625</v>
      </c>
      <c r="D1725" s="723">
        <v>495</v>
      </c>
      <c r="E1725" s="723" t="s">
        <v>5345</v>
      </c>
      <c r="F1725" s="723" t="s">
        <v>122</v>
      </c>
      <c r="G1725" s="723" t="s">
        <v>108</v>
      </c>
      <c r="H1725" s="723" t="s">
        <v>2043</v>
      </c>
      <c r="I1725" s="723" t="s">
        <v>5626</v>
      </c>
      <c r="J1725" s="723" t="s">
        <v>5627</v>
      </c>
      <c r="K1725" s="723" t="s">
        <v>2044</v>
      </c>
      <c r="L1725" s="723">
        <v>1012365650</v>
      </c>
      <c r="M1725" s="724" t="s">
        <v>955</v>
      </c>
      <c r="N1725" s="746"/>
      <c r="O1725" s="746"/>
      <c r="P1725" s="746"/>
      <c r="Q1725" s="746"/>
      <c r="R1725" s="521"/>
      <c r="S1725" s="521"/>
    </row>
    <row r="1726" spans="1:19">
      <c r="A1726" s="721">
        <v>105</v>
      </c>
      <c r="B1726" s="721">
        <v>20191495022</v>
      </c>
      <c r="C1726" s="721" t="s">
        <v>5628</v>
      </c>
      <c r="D1726" s="721">
        <v>495</v>
      </c>
      <c r="E1726" s="721" t="s">
        <v>5345</v>
      </c>
      <c r="F1726" s="721" t="s">
        <v>122</v>
      </c>
      <c r="G1726" s="721" t="s">
        <v>108</v>
      </c>
      <c r="H1726" s="721" t="s">
        <v>2043</v>
      </c>
      <c r="I1726" s="721" t="s">
        <v>5629</v>
      </c>
      <c r="J1726" s="721" t="s">
        <v>5630</v>
      </c>
      <c r="K1726" s="721" t="s">
        <v>2044</v>
      </c>
      <c r="L1726" s="721">
        <v>1052401211</v>
      </c>
      <c r="M1726" s="722" t="s">
        <v>955</v>
      </c>
      <c r="N1726" s="746"/>
      <c r="O1726" s="746"/>
      <c r="P1726" s="746"/>
      <c r="Q1726" s="746"/>
      <c r="R1726" s="521"/>
      <c r="S1726" s="521"/>
    </row>
    <row r="1727" spans="1:19">
      <c r="A1727" s="723">
        <v>106</v>
      </c>
      <c r="B1727" s="723">
        <v>20192495012</v>
      </c>
      <c r="C1727" s="723" t="s">
        <v>5631</v>
      </c>
      <c r="D1727" s="723">
        <v>495</v>
      </c>
      <c r="E1727" s="723" t="s">
        <v>5345</v>
      </c>
      <c r="F1727" s="723" t="s">
        <v>122</v>
      </c>
      <c r="G1727" s="723" t="s">
        <v>108</v>
      </c>
      <c r="H1727" s="723" t="s">
        <v>2043</v>
      </c>
      <c r="I1727" s="723" t="s">
        <v>5632</v>
      </c>
      <c r="J1727" s="723" t="s">
        <v>5633</v>
      </c>
      <c r="K1727" s="723" t="s">
        <v>2044</v>
      </c>
      <c r="L1727" s="723">
        <v>1032455152</v>
      </c>
      <c r="M1727" s="724" t="s">
        <v>955</v>
      </c>
      <c r="N1727" s="746"/>
      <c r="O1727" s="746"/>
      <c r="P1727" s="746"/>
      <c r="Q1727" s="746"/>
      <c r="R1727" s="521"/>
      <c r="S1727" s="521"/>
    </row>
    <row r="1728" spans="1:19">
      <c r="A1728" s="721">
        <v>107</v>
      </c>
      <c r="B1728" s="721">
        <v>20201495008</v>
      </c>
      <c r="C1728" s="721" t="s">
        <v>5634</v>
      </c>
      <c r="D1728" s="721">
        <v>495</v>
      </c>
      <c r="E1728" s="721" t="s">
        <v>5345</v>
      </c>
      <c r="F1728" s="721" t="s">
        <v>122</v>
      </c>
      <c r="G1728" s="721" t="s">
        <v>108</v>
      </c>
      <c r="H1728" s="721" t="s">
        <v>2043</v>
      </c>
      <c r="I1728" s="721"/>
      <c r="J1728" s="721" t="s">
        <v>5635</v>
      </c>
      <c r="K1728" s="721" t="s">
        <v>2044</v>
      </c>
      <c r="L1728" s="721">
        <v>79132821</v>
      </c>
      <c r="M1728" s="722" t="s">
        <v>955</v>
      </c>
      <c r="N1728" s="746"/>
      <c r="O1728" s="746"/>
      <c r="P1728" s="746"/>
      <c r="Q1728" s="746"/>
      <c r="R1728" s="521"/>
      <c r="S1728" s="521"/>
    </row>
    <row r="1729" spans="1:19" ht="14.25" customHeight="1">
      <c r="A1729" s="723">
        <v>108</v>
      </c>
      <c r="B1729" s="723">
        <v>20202495017</v>
      </c>
      <c r="C1729" s="723" t="s">
        <v>5636</v>
      </c>
      <c r="D1729" s="723">
        <v>495</v>
      </c>
      <c r="E1729" s="723" t="s">
        <v>5345</v>
      </c>
      <c r="F1729" s="723" t="s">
        <v>122</v>
      </c>
      <c r="G1729" s="723" t="s">
        <v>108</v>
      </c>
      <c r="H1729" s="723">
        <v>2</v>
      </c>
      <c r="I1729" s="723"/>
      <c r="J1729" s="723" t="s">
        <v>5637</v>
      </c>
      <c r="K1729" s="723" t="s">
        <v>2044</v>
      </c>
      <c r="L1729" s="723">
        <v>11204462</v>
      </c>
      <c r="M1729" s="724" t="s">
        <v>955</v>
      </c>
      <c r="N1729" s="746"/>
      <c r="O1729" s="746"/>
      <c r="P1729" s="746"/>
      <c r="Q1729" s="746"/>
      <c r="R1729" s="521"/>
      <c r="S1729" s="521"/>
    </row>
    <row r="1730" spans="1:19">
      <c r="A1730" s="721">
        <v>109</v>
      </c>
      <c r="B1730" s="721">
        <v>20221495011</v>
      </c>
      <c r="C1730" s="721" t="s">
        <v>5638</v>
      </c>
      <c r="D1730" s="721">
        <v>495</v>
      </c>
      <c r="E1730" s="721" t="s">
        <v>5345</v>
      </c>
      <c r="F1730" s="721" t="s">
        <v>122</v>
      </c>
      <c r="G1730" s="721" t="s">
        <v>108</v>
      </c>
      <c r="H1730" s="721">
        <v>1</v>
      </c>
      <c r="I1730" s="721"/>
      <c r="J1730" s="721" t="s">
        <v>5639</v>
      </c>
      <c r="K1730" s="721" t="s">
        <v>2044</v>
      </c>
      <c r="L1730" s="721">
        <v>1012409872</v>
      </c>
      <c r="M1730" s="722" t="s">
        <v>955</v>
      </c>
      <c r="N1730" s="746"/>
      <c r="O1730" s="746"/>
      <c r="P1730" s="746"/>
      <c r="Q1730" s="746"/>
      <c r="R1730" s="521"/>
      <c r="S1730" s="521"/>
    </row>
    <row r="1731" spans="1:19">
      <c r="A1731" s="725" t="s">
        <v>2292</v>
      </c>
      <c r="B1731" s="725" t="s">
        <v>2292</v>
      </c>
      <c r="C1731" s="725" t="s">
        <v>2292</v>
      </c>
      <c r="D1731" s="725" t="s">
        <v>2292</v>
      </c>
      <c r="E1731" s="725" t="s">
        <v>2292</v>
      </c>
      <c r="F1731" s="725" t="s">
        <v>2292</v>
      </c>
      <c r="G1731" s="725" t="s">
        <v>2292</v>
      </c>
      <c r="H1731" s="725" t="s">
        <v>2292</v>
      </c>
      <c r="I1731" s="725" t="s">
        <v>2292</v>
      </c>
      <c r="J1731" s="725" t="s">
        <v>2292</v>
      </c>
      <c r="K1731" s="725" t="s">
        <v>2292</v>
      </c>
      <c r="L1731" s="725" t="s">
        <v>2292</v>
      </c>
      <c r="M1731" s="725" t="s">
        <v>2292</v>
      </c>
      <c r="N1731" s="746"/>
      <c r="O1731" s="746"/>
      <c r="P1731" s="746"/>
      <c r="Q1731" s="746"/>
      <c r="R1731" s="521"/>
      <c r="S1731" s="521"/>
    </row>
    <row r="1732" spans="1:19" ht="25.5">
      <c r="A1732" s="719" t="s">
        <v>2033</v>
      </c>
      <c r="B1732" s="719" t="s">
        <v>3404</v>
      </c>
      <c r="C1732"/>
      <c r="D1732"/>
      <c r="E1732"/>
      <c r="F1732"/>
      <c r="G1732"/>
      <c r="H1732"/>
      <c r="I1732"/>
      <c r="J1732"/>
      <c r="K1732"/>
      <c r="L1732"/>
      <c r="M1732"/>
      <c r="N1732" s="746"/>
      <c r="O1732" s="746"/>
      <c r="P1732" s="746"/>
      <c r="Q1732" s="746"/>
      <c r="R1732" s="521"/>
      <c r="S1732" s="521"/>
    </row>
    <row r="1733" spans="1:19" ht="25.5">
      <c r="A1733" s="720" t="s">
        <v>2035</v>
      </c>
      <c r="B1733" s="720" t="s">
        <v>2036</v>
      </c>
      <c r="C1733" s="720" t="s">
        <v>1</v>
      </c>
      <c r="D1733" s="720" t="s">
        <v>2037</v>
      </c>
      <c r="E1733" s="720" t="s">
        <v>3</v>
      </c>
      <c r="F1733" s="720" t="s">
        <v>4</v>
      </c>
      <c r="G1733" s="720" t="s">
        <v>2038</v>
      </c>
      <c r="H1733" s="720" t="s">
        <v>6</v>
      </c>
      <c r="I1733" s="720" t="s">
        <v>7</v>
      </c>
      <c r="J1733" s="720" t="s">
        <v>8</v>
      </c>
      <c r="K1733" s="720" t="s">
        <v>2039</v>
      </c>
      <c r="L1733" s="720" t="s">
        <v>10</v>
      </c>
      <c r="M1733" s="720" t="s">
        <v>2040</v>
      </c>
      <c r="N1733" s="746"/>
      <c r="O1733" s="746"/>
      <c r="P1733" s="746"/>
      <c r="Q1733" s="746"/>
      <c r="R1733" s="521"/>
      <c r="S1733" s="521"/>
    </row>
    <row r="1734" spans="1:19">
      <c r="A1734" s="721">
        <v>110</v>
      </c>
      <c r="B1734" s="721">
        <v>20191495031</v>
      </c>
      <c r="C1734" s="721" t="s">
        <v>5640</v>
      </c>
      <c r="D1734" s="721">
        <v>495</v>
      </c>
      <c r="E1734" s="721" t="s">
        <v>5345</v>
      </c>
      <c r="F1734" s="721" t="s">
        <v>147</v>
      </c>
      <c r="G1734" s="721" t="s">
        <v>3406</v>
      </c>
      <c r="H1734" s="721" t="s">
        <v>2043</v>
      </c>
      <c r="I1734" s="721" t="s">
        <v>5641</v>
      </c>
      <c r="J1734" s="721" t="s">
        <v>5642</v>
      </c>
      <c r="K1734" s="721" t="s">
        <v>2044</v>
      </c>
      <c r="L1734" s="721">
        <v>1024478452</v>
      </c>
      <c r="M1734" s="721" t="s">
        <v>3322</v>
      </c>
      <c r="N1734" s="746"/>
      <c r="O1734" s="746"/>
      <c r="P1734" s="746"/>
      <c r="Q1734" s="746"/>
      <c r="R1734" s="521"/>
      <c r="S1734" s="521"/>
    </row>
    <row r="1735" spans="1:19">
      <c r="A1735" s="723">
        <v>111</v>
      </c>
      <c r="B1735" s="723">
        <v>20212495002</v>
      </c>
      <c r="C1735" s="723" t="s">
        <v>5643</v>
      </c>
      <c r="D1735" s="723">
        <v>495</v>
      </c>
      <c r="E1735" s="723" t="s">
        <v>5345</v>
      </c>
      <c r="F1735" s="723" t="s">
        <v>147</v>
      </c>
      <c r="G1735" s="723" t="s">
        <v>3406</v>
      </c>
      <c r="H1735" s="723">
        <v>3</v>
      </c>
      <c r="I1735" s="723" t="s">
        <v>5644</v>
      </c>
      <c r="J1735" s="723" t="s">
        <v>5644</v>
      </c>
      <c r="K1735" s="723" t="s">
        <v>2044</v>
      </c>
      <c r="L1735" s="723">
        <v>1026587105</v>
      </c>
      <c r="M1735" s="723" t="s">
        <v>3322</v>
      </c>
      <c r="N1735" s="746"/>
      <c r="O1735" s="746"/>
      <c r="P1735" s="746"/>
      <c r="Q1735" s="746"/>
      <c r="R1735" s="521"/>
      <c r="S1735" s="521"/>
    </row>
    <row r="1736" spans="1:19">
      <c r="A1736" s="721">
        <v>112</v>
      </c>
      <c r="B1736" s="721">
        <v>20221495002</v>
      </c>
      <c r="C1736" s="721" t="s">
        <v>5645</v>
      </c>
      <c r="D1736" s="721">
        <v>495</v>
      </c>
      <c r="E1736" s="721" t="s">
        <v>5345</v>
      </c>
      <c r="F1736" s="721" t="s">
        <v>147</v>
      </c>
      <c r="G1736" s="721" t="s">
        <v>3406</v>
      </c>
      <c r="H1736" s="721">
        <v>3</v>
      </c>
      <c r="I1736" s="721" t="s">
        <v>5646</v>
      </c>
      <c r="J1736" s="721" t="s">
        <v>5647</v>
      </c>
      <c r="K1736" s="721" t="s">
        <v>2044</v>
      </c>
      <c r="L1736" s="721">
        <v>1030671497</v>
      </c>
      <c r="M1736" s="721" t="s">
        <v>1364</v>
      </c>
      <c r="N1736" s="746"/>
      <c r="O1736" s="746"/>
      <c r="P1736" s="746"/>
      <c r="Q1736" s="746"/>
      <c r="R1736" s="521"/>
      <c r="S1736" s="521"/>
    </row>
    <row r="1737" spans="1:19">
      <c r="A1737" s="725" t="s">
        <v>2292</v>
      </c>
      <c r="B1737" s="725" t="s">
        <v>2292</v>
      </c>
      <c r="C1737" s="725" t="s">
        <v>2292</v>
      </c>
      <c r="D1737" s="725" t="s">
        <v>2292</v>
      </c>
      <c r="E1737" s="725" t="s">
        <v>2292</v>
      </c>
      <c r="F1737" s="725" t="s">
        <v>2292</v>
      </c>
      <c r="G1737" s="725" t="s">
        <v>2292</v>
      </c>
      <c r="H1737" s="725" t="s">
        <v>2292</v>
      </c>
      <c r="I1737" s="725" t="s">
        <v>2292</v>
      </c>
      <c r="J1737" s="725" t="s">
        <v>2292</v>
      </c>
      <c r="K1737" s="725" t="s">
        <v>2292</v>
      </c>
      <c r="L1737" s="725" t="s">
        <v>2292</v>
      </c>
      <c r="M1737" s="725" t="s">
        <v>2292</v>
      </c>
      <c r="N1737" s="746"/>
      <c r="O1737" s="746"/>
      <c r="P1737" s="746"/>
      <c r="Q1737" s="746"/>
      <c r="R1737" s="521"/>
      <c r="S1737" s="521"/>
    </row>
    <row r="1738" spans="1:19" ht="25.5">
      <c r="A1738" s="719" t="s">
        <v>2033</v>
      </c>
      <c r="B1738" s="719" t="s">
        <v>2544</v>
      </c>
      <c r="C1738"/>
      <c r="D1738"/>
      <c r="E1738"/>
      <c r="F1738"/>
      <c r="G1738"/>
      <c r="H1738"/>
      <c r="I1738"/>
      <c r="J1738"/>
      <c r="K1738"/>
      <c r="L1738"/>
      <c r="M1738"/>
      <c r="N1738" s="746"/>
      <c r="O1738" s="746"/>
      <c r="P1738" s="746"/>
      <c r="Q1738" s="746"/>
      <c r="R1738" s="521"/>
      <c r="S1738" s="521"/>
    </row>
    <row r="1739" spans="1:19" ht="25.5">
      <c r="A1739" s="720" t="s">
        <v>2035</v>
      </c>
      <c r="B1739" s="720" t="s">
        <v>2036</v>
      </c>
      <c r="C1739" s="720" t="s">
        <v>1</v>
      </c>
      <c r="D1739" s="720" t="s">
        <v>2037</v>
      </c>
      <c r="E1739" s="720" t="s">
        <v>3</v>
      </c>
      <c r="F1739" s="720" t="s">
        <v>4</v>
      </c>
      <c r="G1739" s="720" t="s">
        <v>2038</v>
      </c>
      <c r="H1739" s="720" t="s">
        <v>6</v>
      </c>
      <c r="I1739" s="720" t="s">
        <v>7</v>
      </c>
      <c r="J1739" s="720" t="s">
        <v>8</v>
      </c>
      <c r="K1739" s="720" t="s">
        <v>2039</v>
      </c>
      <c r="L1739" s="720" t="s">
        <v>10</v>
      </c>
      <c r="M1739" s="720" t="s">
        <v>2040</v>
      </c>
      <c r="N1739" s="746"/>
      <c r="O1739" s="746"/>
      <c r="P1739" s="746"/>
      <c r="Q1739" s="746"/>
      <c r="R1739" s="521"/>
      <c r="S1739" s="521"/>
    </row>
    <row r="1740" spans="1:19" ht="25.5">
      <c r="A1740" s="721">
        <v>113</v>
      </c>
      <c r="B1740" s="721">
        <v>20141295001</v>
      </c>
      <c r="C1740" s="721" t="s">
        <v>5648</v>
      </c>
      <c r="D1740" s="721">
        <v>495</v>
      </c>
      <c r="E1740" s="721" t="s">
        <v>5345</v>
      </c>
      <c r="F1740" s="721" t="s">
        <v>154</v>
      </c>
      <c r="G1740" s="721" t="s">
        <v>2546</v>
      </c>
      <c r="H1740" s="721">
        <v>3</v>
      </c>
      <c r="I1740" s="721"/>
      <c r="J1740" s="721" t="s">
        <v>5649</v>
      </c>
      <c r="K1740" s="721" t="s">
        <v>2044</v>
      </c>
      <c r="L1740" s="721">
        <v>1026250325</v>
      </c>
      <c r="M1740" s="721" t="s">
        <v>3130</v>
      </c>
      <c r="N1740" s="746"/>
      <c r="O1740" s="746"/>
      <c r="P1740" s="746"/>
      <c r="Q1740" s="746"/>
      <c r="R1740" s="521"/>
      <c r="S1740" s="521"/>
    </row>
    <row r="1741" spans="1:19" ht="25.5">
      <c r="A1741" s="723">
        <v>114</v>
      </c>
      <c r="B1741" s="723">
        <v>20152495005</v>
      </c>
      <c r="C1741" s="723" t="s">
        <v>5650</v>
      </c>
      <c r="D1741" s="723">
        <v>495</v>
      </c>
      <c r="E1741" s="723" t="s">
        <v>5345</v>
      </c>
      <c r="F1741" s="723" t="s">
        <v>154</v>
      </c>
      <c r="G1741" s="723" t="s">
        <v>2546</v>
      </c>
      <c r="H1741" s="723">
        <v>1</v>
      </c>
      <c r="I1741" s="723" t="s">
        <v>5651</v>
      </c>
      <c r="J1741" s="723" t="s">
        <v>5652</v>
      </c>
      <c r="K1741" s="723" t="s">
        <v>2044</v>
      </c>
      <c r="L1741" s="723">
        <v>1033698113</v>
      </c>
      <c r="M1741" s="723" t="s">
        <v>3145</v>
      </c>
      <c r="N1741" s="746"/>
      <c r="O1741" s="746"/>
      <c r="P1741" s="746"/>
      <c r="Q1741" s="746"/>
      <c r="R1741" s="521"/>
      <c r="S1741" s="521"/>
    </row>
    <row r="1742" spans="1:19" ht="25.5">
      <c r="A1742" s="721">
        <v>115</v>
      </c>
      <c r="B1742" s="721">
        <v>20152495006</v>
      </c>
      <c r="C1742" s="721" t="s">
        <v>3355</v>
      </c>
      <c r="D1742" s="721">
        <v>495</v>
      </c>
      <c r="E1742" s="721" t="s">
        <v>5345</v>
      </c>
      <c r="F1742" s="721" t="s">
        <v>154</v>
      </c>
      <c r="G1742" s="721" t="s">
        <v>2546</v>
      </c>
      <c r="H1742" s="721">
        <v>1</v>
      </c>
      <c r="I1742" s="721" t="s">
        <v>3356</v>
      </c>
      <c r="J1742" s="721" t="s">
        <v>3357</v>
      </c>
      <c r="K1742" s="721" t="s">
        <v>2044</v>
      </c>
      <c r="L1742" s="721">
        <v>80854925</v>
      </c>
      <c r="M1742" s="721" t="s">
        <v>1223</v>
      </c>
      <c r="N1742" s="746"/>
      <c r="O1742" s="746"/>
      <c r="P1742" s="746"/>
      <c r="Q1742" s="746"/>
      <c r="R1742" s="521"/>
      <c r="S1742" s="521"/>
    </row>
    <row r="1743" spans="1:19" ht="25.5">
      <c r="A1743" s="723">
        <v>116</v>
      </c>
      <c r="B1743" s="723">
        <v>20152495007</v>
      </c>
      <c r="C1743" s="723" t="s">
        <v>5653</v>
      </c>
      <c r="D1743" s="723">
        <v>495</v>
      </c>
      <c r="E1743" s="723" t="s">
        <v>5345</v>
      </c>
      <c r="F1743" s="723" t="s">
        <v>154</v>
      </c>
      <c r="G1743" s="723" t="s">
        <v>2546</v>
      </c>
      <c r="H1743" s="723" t="s">
        <v>2043</v>
      </c>
      <c r="I1743" s="723"/>
      <c r="J1743" s="723" t="s">
        <v>5654</v>
      </c>
      <c r="K1743" s="723" t="s">
        <v>2044</v>
      </c>
      <c r="L1743" s="723">
        <v>53075321</v>
      </c>
      <c r="M1743" s="723" t="s">
        <v>2143</v>
      </c>
      <c r="N1743" s="746"/>
      <c r="O1743" s="746"/>
      <c r="P1743" s="746"/>
      <c r="Q1743" s="746"/>
      <c r="R1743" s="521"/>
      <c r="S1743" s="521"/>
    </row>
    <row r="1744" spans="1:19" ht="25.5">
      <c r="A1744" s="721">
        <v>117</v>
      </c>
      <c r="B1744" s="721">
        <v>20152495010</v>
      </c>
      <c r="C1744" s="721" t="s">
        <v>4774</v>
      </c>
      <c r="D1744" s="721">
        <v>495</v>
      </c>
      <c r="E1744" s="721" t="s">
        <v>5345</v>
      </c>
      <c r="F1744" s="721" t="s">
        <v>154</v>
      </c>
      <c r="G1744" s="721" t="s">
        <v>2546</v>
      </c>
      <c r="H1744" s="721" t="s">
        <v>2043</v>
      </c>
      <c r="I1744" s="721"/>
      <c r="J1744" s="721" t="s">
        <v>4776</v>
      </c>
      <c r="K1744" s="721" t="s">
        <v>2044</v>
      </c>
      <c r="L1744" s="721">
        <v>80074513</v>
      </c>
      <c r="M1744" s="721" t="s">
        <v>2167</v>
      </c>
      <c r="N1744" s="746"/>
      <c r="O1744" s="746"/>
      <c r="P1744" s="746"/>
      <c r="Q1744" s="746"/>
      <c r="R1744" s="521"/>
      <c r="S1744" s="521"/>
    </row>
    <row r="1745" spans="1:19" ht="25.5">
      <c r="A1745" s="723">
        <v>118</v>
      </c>
      <c r="B1745" s="723">
        <v>20152495011</v>
      </c>
      <c r="C1745" s="723" t="s">
        <v>5655</v>
      </c>
      <c r="D1745" s="723">
        <v>495</v>
      </c>
      <c r="E1745" s="723" t="s">
        <v>5345</v>
      </c>
      <c r="F1745" s="723" t="s">
        <v>154</v>
      </c>
      <c r="G1745" s="723" t="s">
        <v>2546</v>
      </c>
      <c r="H1745" s="723" t="s">
        <v>2043</v>
      </c>
      <c r="I1745" s="723"/>
      <c r="J1745" s="723" t="s">
        <v>5656</v>
      </c>
      <c r="K1745" s="723" t="s">
        <v>2044</v>
      </c>
      <c r="L1745" s="723">
        <v>19344689</v>
      </c>
      <c r="M1745" s="723" t="s">
        <v>2167</v>
      </c>
      <c r="N1745" s="746"/>
      <c r="O1745" s="746"/>
      <c r="P1745" s="746"/>
      <c r="Q1745" s="746"/>
      <c r="R1745" s="521"/>
      <c r="S1745" s="521"/>
    </row>
    <row r="1746" spans="1:19" ht="25.5">
      <c r="A1746" s="721">
        <v>119</v>
      </c>
      <c r="B1746" s="721">
        <v>20161495002</v>
      </c>
      <c r="C1746" s="721" t="s">
        <v>5657</v>
      </c>
      <c r="D1746" s="721">
        <v>495</v>
      </c>
      <c r="E1746" s="721" t="s">
        <v>5345</v>
      </c>
      <c r="F1746" s="721" t="s">
        <v>154</v>
      </c>
      <c r="G1746" s="721" t="s">
        <v>2546</v>
      </c>
      <c r="H1746" s="721">
        <v>3</v>
      </c>
      <c r="I1746" s="721" t="s">
        <v>5658</v>
      </c>
      <c r="J1746" s="721" t="s">
        <v>5659</v>
      </c>
      <c r="K1746" s="721" t="s">
        <v>2044</v>
      </c>
      <c r="L1746" s="721">
        <v>80027500</v>
      </c>
      <c r="M1746" s="721" t="s">
        <v>3269</v>
      </c>
      <c r="N1746" s="746"/>
      <c r="O1746" s="746"/>
      <c r="P1746" s="746"/>
      <c r="Q1746" s="746"/>
      <c r="R1746" s="521"/>
      <c r="S1746" s="521"/>
    </row>
    <row r="1747" spans="1:19" ht="25.5">
      <c r="A1747" s="723">
        <v>120</v>
      </c>
      <c r="B1747" s="723">
        <v>20161495004</v>
      </c>
      <c r="C1747" s="723" t="s">
        <v>5660</v>
      </c>
      <c r="D1747" s="723">
        <v>495</v>
      </c>
      <c r="E1747" s="723" t="s">
        <v>5345</v>
      </c>
      <c r="F1747" s="723" t="s">
        <v>154</v>
      </c>
      <c r="G1747" s="723" t="s">
        <v>2546</v>
      </c>
      <c r="H1747" s="723">
        <v>3</v>
      </c>
      <c r="I1747" s="723"/>
      <c r="J1747" s="723" t="s">
        <v>5661</v>
      </c>
      <c r="K1747" s="723" t="s">
        <v>2044</v>
      </c>
      <c r="L1747" s="723">
        <v>1023912985</v>
      </c>
      <c r="M1747" s="723" t="s">
        <v>1223</v>
      </c>
      <c r="N1747" s="746"/>
      <c r="O1747" s="746"/>
      <c r="P1747" s="746"/>
      <c r="Q1747" s="746"/>
      <c r="R1747" s="521"/>
      <c r="S1747" s="521"/>
    </row>
    <row r="1748" spans="1:19" ht="25.5">
      <c r="A1748" s="721">
        <v>121</v>
      </c>
      <c r="B1748" s="721">
        <v>20161495005</v>
      </c>
      <c r="C1748" s="721" t="s">
        <v>5662</v>
      </c>
      <c r="D1748" s="721">
        <v>495</v>
      </c>
      <c r="E1748" s="721" t="s">
        <v>5345</v>
      </c>
      <c r="F1748" s="721" t="s">
        <v>154</v>
      </c>
      <c r="G1748" s="721" t="s">
        <v>2546</v>
      </c>
      <c r="H1748" s="721">
        <v>2</v>
      </c>
      <c r="I1748" s="721"/>
      <c r="J1748" s="721" t="s">
        <v>5663</v>
      </c>
      <c r="K1748" s="721" t="s">
        <v>2044</v>
      </c>
      <c r="L1748" s="721">
        <v>1032455933</v>
      </c>
      <c r="M1748" s="721" t="s">
        <v>3269</v>
      </c>
      <c r="N1748" s="746"/>
      <c r="O1748" s="746"/>
      <c r="P1748" s="746"/>
      <c r="Q1748" s="746"/>
      <c r="R1748" s="521"/>
      <c r="S1748" s="521"/>
    </row>
    <row r="1749" spans="1:19" ht="25.5">
      <c r="A1749" s="723">
        <v>122</v>
      </c>
      <c r="B1749" s="723">
        <v>20161495006</v>
      </c>
      <c r="C1749" s="723" t="s">
        <v>5664</v>
      </c>
      <c r="D1749" s="723">
        <v>495</v>
      </c>
      <c r="E1749" s="723" t="s">
        <v>5345</v>
      </c>
      <c r="F1749" s="723" t="s">
        <v>154</v>
      </c>
      <c r="G1749" s="723" t="s">
        <v>2546</v>
      </c>
      <c r="H1749" s="723">
        <v>4</v>
      </c>
      <c r="I1749" s="723"/>
      <c r="J1749" s="723" t="s">
        <v>5665</v>
      </c>
      <c r="K1749" s="723" t="s">
        <v>2044</v>
      </c>
      <c r="L1749" s="723">
        <v>1032400717</v>
      </c>
      <c r="M1749" s="723" t="s">
        <v>2936</v>
      </c>
      <c r="N1749" s="746"/>
      <c r="O1749" s="746"/>
      <c r="P1749" s="746"/>
      <c r="Q1749" s="746"/>
      <c r="R1749" s="521"/>
      <c r="S1749" s="521"/>
    </row>
    <row r="1750" spans="1:19" ht="25.5">
      <c r="A1750" s="721">
        <v>123</v>
      </c>
      <c r="B1750" s="721">
        <v>20161495007</v>
      </c>
      <c r="C1750" s="721" t="s">
        <v>5666</v>
      </c>
      <c r="D1750" s="721">
        <v>495</v>
      </c>
      <c r="E1750" s="721" t="s">
        <v>5345</v>
      </c>
      <c r="F1750" s="721" t="s">
        <v>154</v>
      </c>
      <c r="G1750" s="721" t="s">
        <v>2546</v>
      </c>
      <c r="H1750" s="721">
        <v>3</v>
      </c>
      <c r="I1750" s="721"/>
      <c r="J1750" s="721" t="s">
        <v>5667</v>
      </c>
      <c r="K1750" s="721" t="s">
        <v>2044</v>
      </c>
      <c r="L1750" s="721">
        <v>1026567710</v>
      </c>
      <c r="M1750" s="721" t="s">
        <v>3180</v>
      </c>
      <c r="N1750" s="746"/>
      <c r="O1750" s="746"/>
      <c r="P1750" s="746"/>
      <c r="Q1750" s="746"/>
      <c r="R1750" s="521"/>
      <c r="S1750" s="521"/>
    </row>
    <row r="1751" spans="1:19" ht="25.5">
      <c r="A1751" s="723">
        <v>124</v>
      </c>
      <c r="B1751" s="723">
        <v>20161495010</v>
      </c>
      <c r="C1751" s="723" t="s">
        <v>5668</v>
      </c>
      <c r="D1751" s="723">
        <v>495</v>
      </c>
      <c r="E1751" s="723" t="s">
        <v>5345</v>
      </c>
      <c r="F1751" s="723" t="s">
        <v>154</v>
      </c>
      <c r="G1751" s="723" t="s">
        <v>2546</v>
      </c>
      <c r="H1751" s="723" t="s">
        <v>2043</v>
      </c>
      <c r="I1751" s="723"/>
      <c r="J1751" s="723" t="s">
        <v>5669</v>
      </c>
      <c r="K1751" s="723" t="s">
        <v>2044</v>
      </c>
      <c r="L1751" s="723">
        <v>80251403</v>
      </c>
      <c r="M1751" s="723" t="s">
        <v>1237</v>
      </c>
      <c r="N1751" s="746"/>
      <c r="O1751" s="746"/>
      <c r="P1751" s="746"/>
      <c r="Q1751" s="746"/>
      <c r="R1751" s="521"/>
      <c r="S1751" s="521"/>
    </row>
    <row r="1752" spans="1:19" ht="14.25" customHeight="1">
      <c r="A1752" s="721">
        <v>125</v>
      </c>
      <c r="B1752" s="721">
        <v>20161495012</v>
      </c>
      <c r="C1752" s="721" t="s">
        <v>5670</v>
      </c>
      <c r="D1752" s="721">
        <v>495</v>
      </c>
      <c r="E1752" s="721" t="s">
        <v>5345</v>
      </c>
      <c r="F1752" s="721" t="s">
        <v>154</v>
      </c>
      <c r="G1752" s="721" t="s">
        <v>2546</v>
      </c>
      <c r="H1752" s="721" t="s">
        <v>2043</v>
      </c>
      <c r="I1752" s="721" t="s">
        <v>5671</v>
      </c>
      <c r="J1752" s="721" t="s">
        <v>5672</v>
      </c>
      <c r="K1752" s="721" t="s">
        <v>2044</v>
      </c>
      <c r="L1752" s="721">
        <v>1022334127</v>
      </c>
      <c r="M1752" s="721" t="s">
        <v>3104</v>
      </c>
      <c r="N1752" s="746"/>
      <c r="O1752" s="746"/>
      <c r="P1752" s="746"/>
      <c r="Q1752" s="746"/>
      <c r="R1752" s="521"/>
      <c r="S1752" s="521"/>
    </row>
    <row r="1753" spans="1:19" ht="25.5">
      <c r="A1753" s="723">
        <v>126</v>
      </c>
      <c r="B1753" s="723">
        <v>20161495013</v>
      </c>
      <c r="C1753" s="723" t="s">
        <v>5673</v>
      </c>
      <c r="D1753" s="723">
        <v>495</v>
      </c>
      <c r="E1753" s="723" t="s">
        <v>5345</v>
      </c>
      <c r="F1753" s="723" t="s">
        <v>154</v>
      </c>
      <c r="G1753" s="723" t="s">
        <v>2546</v>
      </c>
      <c r="H1753" s="723" t="s">
        <v>2043</v>
      </c>
      <c r="I1753" s="723"/>
      <c r="J1753" s="723" t="s">
        <v>5674</v>
      </c>
      <c r="K1753" s="723" t="s">
        <v>2044</v>
      </c>
      <c r="L1753" s="723">
        <v>51882949</v>
      </c>
      <c r="M1753" s="723" t="s">
        <v>3155</v>
      </c>
      <c r="N1753" s="746"/>
      <c r="O1753" s="746"/>
      <c r="P1753" s="746"/>
      <c r="Q1753" s="746"/>
      <c r="R1753" s="521"/>
      <c r="S1753" s="521"/>
    </row>
    <row r="1754" spans="1:19" ht="25.5">
      <c r="A1754" s="721">
        <v>127</v>
      </c>
      <c r="B1754" s="721">
        <v>20161495014</v>
      </c>
      <c r="C1754" s="721" t="s">
        <v>5675</v>
      </c>
      <c r="D1754" s="721">
        <v>495</v>
      </c>
      <c r="E1754" s="721" t="s">
        <v>5345</v>
      </c>
      <c r="F1754" s="721" t="s">
        <v>154</v>
      </c>
      <c r="G1754" s="721" t="s">
        <v>2546</v>
      </c>
      <c r="H1754" s="721" t="s">
        <v>2043</v>
      </c>
      <c r="I1754" s="721"/>
      <c r="J1754" s="721" t="s">
        <v>5676</v>
      </c>
      <c r="K1754" s="721" t="s">
        <v>2044</v>
      </c>
      <c r="L1754" s="721">
        <v>1077851478</v>
      </c>
      <c r="M1754" s="721" t="s">
        <v>3104</v>
      </c>
      <c r="N1754" s="746"/>
      <c r="O1754" s="746"/>
      <c r="P1754" s="746"/>
      <c r="Q1754" s="746"/>
      <c r="R1754" s="521"/>
      <c r="S1754" s="521"/>
    </row>
    <row r="1755" spans="1:19" ht="25.5">
      <c r="A1755" s="723">
        <v>128</v>
      </c>
      <c r="B1755" s="723">
        <v>20161495015</v>
      </c>
      <c r="C1755" s="723" t="s">
        <v>5677</v>
      </c>
      <c r="D1755" s="723">
        <v>495</v>
      </c>
      <c r="E1755" s="723" t="s">
        <v>5345</v>
      </c>
      <c r="F1755" s="723" t="s">
        <v>154</v>
      </c>
      <c r="G1755" s="723" t="s">
        <v>2546</v>
      </c>
      <c r="H1755" s="723">
        <v>2</v>
      </c>
      <c r="I1755" s="723" t="s">
        <v>5678</v>
      </c>
      <c r="J1755" s="723" t="s">
        <v>5679</v>
      </c>
      <c r="K1755" s="723" t="s">
        <v>2044</v>
      </c>
      <c r="L1755" s="723">
        <v>94326504</v>
      </c>
      <c r="M1755" s="723" t="s">
        <v>3155</v>
      </c>
      <c r="N1755" s="746"/>
      <c r="O1755" s="746"/>
      <c r="P1755" s="746"/>
      <c r="Q1755" s="746"/>
      <c r="R1755" s="521"/>
      <c r="S1755" s="521"/>
    </row>
    <row r="1756" spans="1:19" ht="25.5">
      <c r="A1756" s="721">
        <v>129</v>
      </c>
      <c r="B1756" s="721">
        <v>20161495020</v>
      </c>
      <c r="C1756" s="721" t="s">
        <v>5680</v>
      </c>
      <c r="D1756" s="721">
        <v>495</v>
      </c>
      <c r="E1756" s="721" t="s">
        <v>5345</v>
      </c>
      <c r="F1756" s="721" t="s">
        <v>154</v>
      </c>
      <c r="G1756" s="721" t="s">
        <v>2546</v>
      </c>
      <c r="H1756" s="721" t="s">
        <v>2043</v>
      </c>
      <c r="I1756" s="721" t="s">
        <v>5681</v>
      </c>
      <c r="J1756" s="721" t="s">
        <v>5682</v>
      </c>
      <c r="K1756" s="721" t="s">
        <v>2044</v>
      </c>
      <c r="L1756" s="721">
        <v>80239286</v>
      </c>
      <c r="M1756" s="721" t="s">
        <v>1237</v>
      </c>
      <c r="N1756" s="746"/>
      <c r="O1756" s="746"/>
      <c r="P1756" s="746"/>
      <c r="Q1756" s="746"/>
      <c r="R1756" s="521"/>
      <c r="S1756" s="521"/>
    </row>
    <row r="1757" spans="1:19" ht="25.5">
      <c r="A1757" s="723">
        <v>130</v>
      </c>
      <c r="B1757" s="723">
        <v>20161495021</v>
      </c>
      <c r="C1757" s="723" t="s">
        <v>5683</v>
      </c>
      <c r="D1757" s="723">
        <v>495</v>
      </c>
      <c r="E1757" s="723" t="s">
        <v>5345</v>
      </c>
      <c r="F1757" s="723" t="s">
        <v>154</v>
      </c>
      <c r="G1757" s="723" t="s">
        <v>2546</v>
      </c>
      <c r="H1757" s="723" t="s">
        <v>2043</v>
      </c>
      <c r="I1757" s="723" t="s">
        <v>5684</v>
      </c>
      <c r="J1757" s="723" t="s">
        <v>5685</v>
      </c>
      <c r="K1757" s="723" t="s">
        <v>2044</v>
      </c>
      <c r="L1757" s="723">
        <v>79156398</v>
      </c>
      <c r="M1757" s="723" t="s">
        <v>3155</v>
      </c>
      <c r="N1757" s="746"/>
      <c r="O1757" s="746"/>
      <c r="P1757" s="746"/>
      <c r="Q1757" s="746"/>
      <c r="R1757" s="521"/>
      <c r="S1757" s="521"/>
    </row>
    <row r="1758" spans="1:19" ht="25.5">
      <c r="A1758" s="721">
        <v>131</v>
      </c>
      <c r="B1758" s="721">
        <v>20161495022</v>
      </c>
      <c r="C1758" s="721" t="s">
        <v>5686</v>
      </c>
      <c r="D1758" s="721">
        <v>495</v>
      </c>
      <c r="E1758" s="721" t="s">
        <v>5345</v>
      </c>
      <c r="F1758" s="721" t="s">
        <v>154</v>
      </c>
      <c r="G1758" s="721" t="s">
        <v>2546</v>
      </c>
      <c r="H1758" s="721">
        <v>3</v>
      </c>
      <c r="I1758" s="721" t="s">
        <v>5687</v>
      </c>
      <c r="J1758" s="721" t="s">
        <v>5688</v>
      </c>
      <c r="K1758" s="721" t="s">
        <v>2044</v>
      </c>
      <c r="L1758" s="721">
        <v>52529192</v>
      </c>
      <c r="M1758" s="721" t="s">
        <v>1223</v>
      </c>
      <c r="N1758" s="746"/>
      <c r="O1758" s="746"/>
      <c r="P1758" s="746"/>
      <c r="Q1758" s="746"/>
      <c r="R1758" s="521"/>
      <c r="S1758" s="521"/>
    </row>
    <row r="1759" spans="1:19" ht="25.5">
      <c r="A1759" s="723">
        <v>132</v>
      </c>
      <c r="B1759" s="723">
        <v>20162495002</v>
      </c>
      <c r="C1759" s="723" t="s">
        <v>5689</v>
      </c>
      <c r="D1759" s="723">
        <v>495</v>
      </c>
      <c r="E1759" s="723" t="s">
        <v>5345</v>
      </c>
      <c r="F1759" s="723" t="s">
        <v>154</v>
      </c>
      <c r="G1759" s="723" t="s">
        <v>2546</v>
      </c>
      <c r="H1759" s="723" t="s">
        <v>2043</v>
      </c>
      <c r="I1759" s="723"/>
      <c r="J1759" s="723" t="s">
        <v>5690</v>
      </c>
      <c r="K1759" s="723" t="s">
        <v>2044</v>
      </c>
      <c r="L1759" s="723">
        <v>80137363</v>
      </c>
      <c r="M1759" s="723" t="s">
        <v>3123</v>
      </c>
      <c r="N1759" s="746"/>
      <c r="O1759" s="746"/>
      <c r="P1759" s="746"/>
      <c r="Q1759" s="746"/>
      <c r="R1759" s="521"/>
      <c r="S1759" s="521"/>
    </row>
    <row r="1760" spans="1:19" ht="25.5">
      <c r="A1760" s="721">
        <v>133</v>
      </c>
      <c r="B1760" s="721">
        <v>20162495003</v>
      </c>
      <c r="C1760" s="721" t="s">
        <v>5691</v>
      </c>
      <c r="D1760" s="721">
        <v>495</v>
      </c>
      <c r="E1760" s="721" t="s">
        <v>5345</v>
      </c>
      <c r="F1760" s="721" t="s">
        <v>154</v>
      </c>
      <c r="G1760" s="721" t="s">
        <v>2546</v>
      </c>
      <c r="H1760" s="721">
        <v>3</v>
      </c>
      <c r="I1760" s="721" t="s">
        <v>5692</v>
      </c>
      <c r="J1760" s="721" t="s">
        <v>5693</v>
      </c>
      <c r="K1760" s="721" t="s">
        <v>2044</v>
      </c>
      <c r="L1760" s="721">
        <v>80544412</v>
      </c>
      <c r="M1760" s="721" t="s">
        <v>3202</v>
      </c>
      <c r="N1760" s="746"/>
      <c r="O1760" s="746"/>
      <c r="P1760" s="746"/>
      <c r="Q1760" s="746"/>
      <c r="R1760" s="521"/>
      <c r="S1760" s="521"/>
    </row>
    <row r="1761" spans="1:19" ht="25.5">
      <c r="A1761" s="723">
        <v>134</v>
      </c>
      <c r="B1761" s="723">
        <v>20162495007</v>
      </c>
      <c r="C1761" s="723" t="s">
        <v>5694</v>
      </c>
      <c r="D1761" s="723">
        <v>495</v>
      </c>
      <c r="E1761" s="723" t="s">
        <v>5345</v>
      </c>
      <c r="F1761" s="723" t="s">
        <v>154</v>
      </c>
      <c r="G1761" s="723" t="s">
        <v>2546</v>
      </c>
      <c r="H1761" s="723" t="s">
        <v>2043</v>
      </c>
      <c r="I1761" s="723"/>
      <c r="J1761" s="723" t="s">
        <v>5695</v>
      </c>
      <c r="K1761" s="723" t="s">
        <v>2044</v>
      </c>
      <c r="L1761" s="723">
        <v>1026569840</v>
      </c>
      <c r="M1761" s="723" t="s">
        <v>3123</v>
      </c>
      <c r="N1761" s="746"/>
      <c r="O1761" s="746"/>
      <c r="P1761" s="746"/>
      <c r="Q1761" s="746"/>
      <c r="R1761" s="521"/>
      <c r="S1761" s="521"/>
    </row>
    <row r="1762" spans="1:19" ht="25.5">
      <c r="A1762" s="721">
        <v>135</v>
      </c>
      <c r="B1762" s="721">
        <v>20162495011</v>
      </c>
      <c r="C1762" s="721" t="s">
        <v>5696</v>
      </c>
      <c r="D1762" s="721">
        <v>495</v>
      </c>
      <c r="E1762" s="721" t="s">
        <v>5345</v>
      </c>
      <c r="F1762" s="721" t="s">
        <v>154</v>
      </c>
      <c r="G1762" s="721" t="s">
        <v>2546</v>
      </c>
      <c r="H1762" s="721" t="s">
        <v>2043</v>
      </c>
      <c r="I1762" s="721" t="s">
        <v>5697</v>
      </c>
      <c r="J1762" s="721" t="s">
        <v>5698</v>
      </c>
      <c r="K1762" s="721" t="s">
        <v>2044</v>
      </c>
      <c r="L1762" s="721">
        <v>53124778</v>
      </c>
      <c r="M1762" s="721" t="s">
        <v>3269</v>
      </c>
      <c r="N1762" s="746"/>
      <c r="O1762" s="746"/>
      <c r="P1762" s="746"/>
      <c r="Q1762" s="746"/>
      <c r="R1762" s="521"/>
      <c r="S1762" s="521"/>
    </row>
    <row r="1763" spans="1:19" ht="25.5">
      <c r="A1763" s="723">
        <v>136</v>
      </c>
      <c r="B1763" s="723">
        <v>20162495014</v>
      </c>
      <c r="C1763" s="723" t="s">
        <v>5699</v>
      </c>
      <c r="D1763" s="723">
        <v>495</v>
      </c>
      <c r="E1763" s="723" t="s">
        <v>5345</v>
      </c>
      <c r="F1763" s="723" t="s">
        <v>154</v>
      </c>
      <c r="G1763" s="723" t="s">
        <v>2546</v>
      </c>
      <c r="H1763" s="723">
        <v>3</v>
      </c>
      <c r="I1763" s="723"/>
      <c r="J1763" s="723" t="s">
        <v>5700</v>
      </c>
      <c r="K1763" s="723" t="s">
        <v>2044</v>
      </c>
      <c r="L1763" s="723">
        <v>1018462073</v>
      </c>
      <c r="M1763" s="723" t="s">
        <v>3155</v>
      </c>
      <c r="N1763" s="746"/>
      <c r="O1763" s="746"/>
      <c r="P1763" s="746"/>
      <c r="Q1763" s="746"/>
      <c r="R1763" s="521"/>
      <c r="S1763" s="521"/>
    </row>
    <row r="1764" spans="1:19" ht="14.25" customHeight="1">
      <c r="A1764" s="721">
        <v>137</v>
      </c>
      <c r="B1764" s="721">
        <v>20171495003</v>
      </c>
      <c r="C1764" s="721" t="s">
        <v>5701</v>
      </c>
      <c r="D1764" s="721">
        <v>495</v>
      </c>
      <c r="E1764" s="721" t="s">
        <v>5345</v>
      </c>
      <c r="F1764" s="721" t="s">
        <v>154</v>
      </c>
      <c r="G1764" s="721" t="s">
        <v>2546</v>
      </c>
      <c r="H1764" s="721" t="s">
        <v>2043</v>
      </c>
      <c r="I1764" s="721" t="s">
        <v>5702</v>
      </c>
      <c r="J1764" s="721" t="s">
        <v>5703</v>
      </c>
      <c r="K1764" s="721" t="s">
        <v>2044</v>
      </c>
      <c r="L1764" s="721">
        <v>80198407</v>
      </c>
      <c r="M1764" s="721" t="s">
        <v>3104</v>
      </c>
      <c r="N1764" s="746"/>
      <c r="O1764" s="746"/>
      <c r="P1764" s="746"/>
      <c r="Q1764" s="746"/>
      <c r="R1764" s="521"/>
      <c r="S1764" s="521"/>
    </row>
    <row r="1765" spans="1:19" ht="25.5">
      <c r="A1765" s="723">
        <v>138</v>
      </c>
      <c r="B1765" s="723">
        <v>20171495005</v>
      </c>
      <c r="C1765" s="723" t="s">
        <v>5704</v>
      </c>
      <c r="D1765" s="723">
        <v>495</v>
      </c>
      <c r="E1765" s="723" t="s">
        <v>5345</v>
      </c>
      <c r="F1765" s="723" t="s">
        <v>154</v>
      </c>
      <c r="G1765" s="723" t="s">
        <v>2546</v>
      </c>
      <c r="H1765" s="723" t="s">
        <v>2043</v>
      </c>
      <c r="I1765" s="723" t="s">
        <v>5705</v>
      </c>
      <c r="J1765" s="723" t="s">
        <v>5706</v>
      </c>
      <c r="K1765" s="723" t="s">
        <v>2044</v>
      </c>
      <c r="L1765" s="723">
        <v>1030558261</v>
      </c>
      <c r="M1765" s="723" t="s">
        <v>3130</v>
      </c>
      <c r="N1765" s="746"/>
      <c r="O1765" s="746"/>
      <c r="P1765" s="746"/>
      <c r="Q1765" s="746"/>
      <c r="R1765" s="521"/>
      <c r="S1765" s="521"/>
    </row>
    <row r="1766" spans="1:19" ht="25.5">
      <c r="A1766" s="721">
        <v>139</v>
      </c>
      <c r="B1766" s="721">
        <v>20171495006</v>
      </c>
      <c r="C1766" s="721" t="s">
        <v>5707</v>
      </c>
      <c r="D1766" s="721">
        <v>495</v>
      </c>
      <c r="E1766" s="721" t="s">
        <v>5345</v>
      </c>
      <c r="F1766" s="721" t="s">
        <v>154</v>
      </c>
      <c r="G1766" s="721" t="s">
        <v>2546</v>
      </c>
      <c r="H1766" s="721">
        <v>3</v>
      </c>
      <c r="I1766" s="721" t="s">
        <v>5708</v>
      </c>
      <c r="J1766" s="721" t="s">
        <v>5709</v>
      </c>
      <c r="K1766" s="721" t="s">
        <v>2044</v>
      </c>
      <c r="L1766" s="721">
        <v>1144050548</v>
      </c>
      <c r="M1766" s="721" t="s">
        <v>3130</v>
      </c>
      <c r="N1766" s="746"/>
      <c r="O1766" s="746"/>
      <c r="P1766" s="746"/>
      <c r="Q1766" s="746"/>
      <c r="R1766" s="521"/>
      <c r="S1766" s="521"/>
    </row>
    <row r="1767" spans="1:19" ht="25.5">
      <c r="A1767" s="723">
        <v>140</v>
      </c>
      <c r="B1767" s="723">
        <v>20171495009</v>
      </c>
      <c r="C1767" s="723" t="s">
        <v>5710</v>
      </c>
      <c r="D1767" s="723">
        <v>495</v>
      </c>
      <c r="E1767" s="723" t="s">
        <v>5345</v>
      </c>
      <c r="F1767" s="723" t="s">
        <v>154</v>
      </c>
      <c r="G1767" s="723" t="s">
        <v>2546</v>
      </c>
      <c r="H1767" s="723" t="s">
        <v>2043</v>
      </c>
      <c r="I1767" s="723" t="s">
        <v>5711</v>
      </c>
      <c r="J1767" s="723" t="s">
        <v>5712</v>
      </c>
      <c r="K1767" s="723" t="s">
        <v>2044</v>
      </c>
      <c r="L1767" s="723">
        <v>1026276742</v>
      </c>
      <c r="M1767" s="723" t="s">
        <v>3130</v>
      </c>
      <c r="N1767" s="746"/>
      <c r="O1767" s="746"/>
      <c r="P1767" s="746"/>
      <c r="Q1767" s="746"/>
      <c r="R1767" s="521"/>
      <c r="S1767" s="521"/>
    </row>
    <row r="1768" spans="1:19" ht="25.5">
      <c r="A1768" s="721">
        <v>141</v>
      </c>
      <c r="B1768" s="721">
        <v>20171495010</v>
      </c>
      <c r="C1768" s="721" t="s">
        <v>5713</v>
      </c>
      <c r="D1768" s="721">
        <v>495</v>
      </c>
      <c r="E1768" s="721" t="s">
        <v>5345</v>
      </c>
      <c r="F1768" s="721" t="s">
        <v>154</v>
      </c>
      <c r="G1768" s="721" t="s">
        <v>2546</v>
      </c>
      <c r="H1768" s="721" t="s">
        <v>2043</v>
      </c>
      <c r="I1768" s="721" t="s">
        <v>5714</v>
      </c>
      <c r="J1768" s="721" t="s">
        <v>5715</v>
      </c>
      <c r="K1768" s="721" t="s">
        <v>2044</v>
      </c>
      <c r="L1768" s="721">
        <v>1014184735</v>
      </c>
      <c r="M1768" s="721" t="s">
        <v>3139</v>
      </c>
      <c r="N1768" s="746"/>
      <c r="O1768" s="746"/>
      <c r="P1768" s="746"/>
      <c r="Q1768" s="746"/>
      <c r="R1768" s="521"/>
      <c r="S1768" s="521"/>
    </row>
    <row r="1769" spans="1:19" ht="25.5">
      <c r="A1769" s="723">
        <v>142</v>
      </c>
      <c r="B1769" s="723">
        <v>20171495012</v>
      </c>
      <c r="C1769" s="723" t="s">
        <v>5716</v>
      </c>
      <c r="D1769" s="723">
        <v>495</v>
      </c>
      <c r="E1769" s="723" t="s">
        <v>5345</v>
      </c>
      <c r="F1769" s="723" t="s">
        <v>154</v>
      </c>
      <c r="G1769" s="723" t="s">
        <v>2546</v>
      </c>
      <c r="H1769" s="723">
        <v>4</v>
      </c>
      <c r="I1769" s="723" t="s">
        <v>5717</v>
      </c>
      <c r="J1769" s="723" t="s">
        <v>5718</v>
      </c>
      <c r="K1769" s="723" t="s">
        <v>2044</v>
      </c>
      <c r="L1769" s="723">
        <v>86083193</v>
      </c>
      <c r="M1769" s="723" t="s">
        <v>1223</v>
      </c>
      <c r="N1769" s="746"/>
      <c r="O1769" s="746"/>
      <c r="P1769" s="746"/>
      <c r="Q1769" s="746"/>
      <c r="R1769" s="521"/>
      <c r="S1769" s="521"/>
    </row>
    <row r="1770" spans="1:19" ht="25.5">
      <c r="A1770" s="721">
        <v>143</v>
      </c>
      <c r="B1770" s="721">
        <v>20171495013</v>
      </c>
      <c r="C1770" s="721" t="s">
        <v>5719</v>
      </c>
      <c r="D1770" s="721">
        <v>495</v>
      </c>
      <c r="E1770" s="721" t="s">
        <v>5345</v>
      </c>
      <c r="F1770" s="721" t="s">
        <v>154</v>
      </c>
      <c r="G1770" s="721" t="s">
        <v>2546</v>
      </c>
      <c r="H1770" s="721">
        <v>4</v>
      </c>
      <c r="I1770" s="721" t="s">
        <v>5720</v>
      </c>
      <c r="J1770" s="721" t="s">
        <v>5721</v>
      </c>
      <c r="K1770" s="721" t="s">
        <v>2044</v>
      </c>
      <c r="L1770" s="721">
        <v>72343919</v>
      </c>
      <c r="M1770" s="721" t="s">
        <v>2936</v>
      </c>
      <c r="N1770" s="746"/>
      <c r="O1770" s="746"/>
      <c r="P1770" s="746"/>
      <c r="Q1770" s="746"/>
      <c r="R1770" s="521"/>
      <c r="S1770" s="521"/>
    </row>
    <row r="1771" spans="1:19" ht="25.5">
      <c r="A1771" s="723">
        <v>144</v>
      </c>
      <c r="B1771" s="723">
        <v>20171495016</v>
      </c>
      <c r="C1771" s="723" t="s">
        <v>5722</v>
      </c>
      <c r="D1771" s="723">
        <v>495</v>
      </c>
      <c r="E1771" s="723" t="s">
        <v>5345</v>
      </c>
      <c r="F1771" s="723" t="s">
        <v>154</v>
      </c>
      <c r="G1771" s="723" t="s">
        <v>2546</v>
      </c>
      <c r="H1771" s="723" t="s">
        <v>2043</v>
      </c>
      <c r="I1771" s="723" t="s">
        <v>5723</v>
      </c>
      <c r="J1771" s="723" t="s">
        <v>5724</v>
      </c>
      <c r="K1771" s="723" t="s">
        <v>2044</v>
      </c>
      <c r="L1771" s="723">
        <v>37900122</v>
      </c>
      <c r="M1771" s="723" t="s">
        <v>3130</v>
      </c>
      <c r="N1771" s="746"/>
      <c r="O1771" s="746"/>
      <c r="P1771" s="746"/>
      <c r="Q1771" s="746"/>
      <c r="R1771" s="521"/>
      <c r="S1771" s="521"/>
    </row>
    <row r="1772" spans="1:19" ht="25.5">
      <c r="A1772" s="721">
        <v>145</v>
      </c>
      <c r="B1772" s="721">
        <v>20171495017</v>
      </c>
      <c r="C1772" s="721" t="s">
        <v>5725</v>
      </c>
      <c r="D1772" s="721">
        <v>495</v>
      </c>
      <c r="E1772" s="721" t="s">
        <v>5345</v>
      </c>
      <c r="F1772" s="721" t="s">
        <v>154</v>
      </c>
      <c r="G1772" s="721" t="s">
        <v>2546</v>
      </c>
      <c r="H1772" s="721" t="s">
        <v>2043</v>
      </c>
      <c r="I1772" s="721" t="s">
        <v>5726</v>
      </c>
      <c r="J1772" s="721" t="s">
        <v>5727</v>
      </c>
      <c r="K1772" s="721" t="s">
        <v>2044</v>
      </c>
      <c r="L1772" s="721">
        <v>1032428759</v>
      </c>
      <c r="M1772" s="721" t="s">
        <v>3104</v>
      </c>
      <c r="N1772" s="746"/>
      <c r="O1772" s="746"/>
      <c r="P1772" s="746"/>
      <c r="Q1772" s="746"/>
      <c r="R1772" s="521"/>
      <c r="S1772" s="521"/>
    </row>
    <row r="1773" spans="1:19" ht="25.5">
      <c r="A1773" s="723">
        <v>146</v>
      </c>
      <c r="B1773" s="723">
        <v>20171495023</v>
      </c>
      <c r="C1773" s="723" t="s">
        <v>5728</v>
      </c>
      <c r="D1773" s="723">
        <v>495</v>
      </c>
      <c r="E1773" s="723" t="s">
        <v>5345</v>
      </c>
      <c r="F1773" s="723" t="s">
        <v>154</v>
      </c>
      <c r="G1773" s="723" t="s">
        <v>2546</v>
      </c>
      <c r="H1773" s="723">
        <v>4</v>
      </c>
      <c r="I1773" s="723" t="s">
        <v>5729</v>
      </c>
      <c r="J1773" s="723" t="s">
        <v>5730</v>
      </c>
      <c r="K1773" s="723" t="s">
        <v>2044</v>
      </c>
      <c r="L1773" s="723">
        <v>1024501542</v>
      </c>
      <c r="M1773" s="723" t="s">
        <v>1237</v>
      </c>
      <c r="N1773" s="746"/>
      <c r="O1773" s="746"/>
      <c r="P1773" s="746"/>
      <c r="Q1773" s="746"/>
      <c r="R1773" s="521"/>
      <c r="S1773" s="521"/>
    </row>
    <row r="1774" spans="1:19" ht="25.5">
      <c r="A1774" s="721">
        <v>147</v>
      </c>
      <c r="B1774" s="721">
        <v>20172495001</v>
      </c>
      <c r="C1774" s="721" t="s">
        <v>3367</v>
      </c>
      <c r="D1774" s="721">
        <v>495</v>
      </c>
      <c r="E1774" s="721" t="s">
        <v>5345</v>
      </c>
      <c r="F1774" s="721" t="s">
        <v>154</v>
      </c>
      <c r="G1774" s="721" t="s">
        <v>2546</v>
      </c>
      <c r="H1774" s="721" t="s">
        <v>2043</v>
      </c>
      <c r="I1774" s="721" t="s">
        <v>5731</v>
      </c>
      <c r="J1774" s="721" t="s">
        <v>3369</v>
      </c>
      <c r="K1774" s="721" t="s">
        <v>2044</v>
      </c>
      <c r="L1774" s="721">
        <v>1015431562</v>
      </c>
      <c r="M1774" s="721" t="s">
        <v>3104</v>
      </c>
      <c r="N1774" s="746"/>
      <c r="O1774" s="746"/>
      <c r="P1774" s="746"/>
      <c r="Q1774" s="746"/>
      <c r="R1774" s="521"/>
      <c r="S1774" s="521"/>
    </row>
    <row r="1775" spans="1:19" ht="25.5">
      <c r="A1775" s="723">
        <v>148</v>
      </c>
      <c r="B1775" s="723">
        <v>20172495003</v>
      </c>
      <c r="C1775" s="723" t="s">
        <v>5732</v>
      </c>
      <c r="D1775" s="723">
        <v>495</v>
      </c>
      <c r="E1775" s="723" t="s">
        <v>5345</v>
      </c>
      <c r="F1775" s="723" t="s">
        <v>154</v>
      </c>
      <c r="G1775" s="723" t="s">
        <v>2546</v>
      </c>
      <c r="H1775" s="723">
        <v>1</v>
      </c>
      <c r="I1775" s="723" t="s">
        <v>5733</v>
      </c>
      <c r="J1775" s="723" t="s">
        <v>5734</v>
      </c>
      <c r="K1775" s="723" t="s">
        <v>2044</v>
      </c>
      <c r="L1775" s="723">
        <v>1018458364</v>
      </c>
      <c r="M1775" s="723" t="s">
        <v>3145</v>
      </c>
      <c r="N1775" s="746"/>
      <c r="O1775" s="746"/>
      <c r="P1775" s="746"/>
      <c r="Q1775" s="746"/>
      <c r="R1775" s="521"/>
      <c r="S1775" s="521"/>
    </row>
    <row r="1776" spans="1:19" ht="25.5">
      <c r="A1776" s="721">
        <v>149</v>
      </c>
      <c r="B1776" s="721">
        <v>20172495005</v>
      </c>
      <c r="C1776" s="721" t="s">
        <v>5735</v>
      </c>
      <c r="D1776" s="721">
        <v>495</v>
      </c>
      <c r="E1776" s="721" t="s">
        <v>5345</v>
      </c>
      <c r="F1776" s="721" t="s">
        <v>154</v>
      </c>
      <c r="G1776" s="721" t="s">
        <v>2546</v>
      </c>
      <c r="H1776" s="721" t="s">
        <v>2043</v>
      </c>
      <c r="I1776" s="721" t="s">
        <v>5736</v>
      </c>
      <c r="J1776" s="721" t="s">
        <v>5737</v>
      </c>
      <c r="K1776" s="721" t="s">
        <v>2044</v>
      </c>
      <c r="L1776" s="721">
        <v>1015438743</v>
      </c>
      <c r="M1776" s="721" t="s">
        <v>3139</v>
      </c>
      <c r="N1776" s="746"/>
      <c r="O1776" s="746"/>
      <c r="P1776" s="746"/>
      <c r="Q1776" s="746"/>
      <c r="R1776" s="521"/>
      <c r="S1776" s="521"/>
    </row>
    <row r="1777" spans="1:19" ht="25.5">
      <c r="A1777" s="723">
        <v>150</v>
      </c>
      <c r="B1777" s="723">
        <v>20172495006</v>
      </c>
      <c r="C1777" s="723" t="s">
        <v>5738</v>
      </c>
      <c r="D1777" s="723">
        <v>495</v>
      </c>
      <c r="E1777" s="723" t="s">
        <v>5345</v>
      </c>
      <c r="F1777" s="723" t="s">
        <v>154</v>
      </c>
      <c r="G1777" s="723" t="s">
        <v>2546</v>
      </c>
      <c r="H1777" s="723">
        <v>4</v>
      </c>
      <c r="I1777" s="723" t="s">
        <v>5739</v>
      </c>
      <c r="J1777" s="723" t="s">
        <v>5740</v>
      </c>
      <c r="K1777" s="723" t="s">
        <v>2044</v>
      </c>
      <c r="L1777" s="723">
        <v>91478822</v>
      </c>
      <c r="M1777" s="723" t="s">
        <v>1334</v>
      </c>
      <c r="N1777" s="746"/>
      <c r="O1777" s="746"/>
      <c r="P1777" s="746"/>
      <c r="Q1777" s="746"/>
      <c r="R1777" s="521"/>
      <c r="S1777" s="521"/>
    </row>
    <row r="1778" spans="1:19" ht="25.5">
      <c r="A1778" s="721">
        <v>151</v>
      </c>
      <c r="B1778" s="721">
        <v>20172495012</v>
      </c>
      <c r="C1778" s="721" t="s">
        <v>5741</v>
      </c>
      <c r="D1778" s="721">
        <v>495</v>
      </c>
      <c r="E1778" s="721" t="s">
        <v>5345</v>
      </c>
      <c r="F1778" s="721" t="s">
        <v>154</v>
      </c>
      <c r="G1778" s="721" t="s">
        <v>2546</v>
      </c>
      <c r="H1778" s="721" t="s">
        <v>2043</v>
      </c>
      <c r="I1778" s="721" t="s">
        <v>5742</v>
      </c>
      <c r="J1778" s="721" t="s">
        <v>5743</v>
      </c>
      <c r="K1778" s="721" t="s">
        <v>2044</v>
      </c>
      <c r="L1778" s="721">
        <v>80739439</v>
      </c>
      <c r="M1778" s="721" t="s">
        <v>3269</v>
      </c>
      <c r="N1778" s="746"/>
      <c r="O1778" s="746"/>
      <c r="P1778" s="746"/>
      <c r="Q1778" s="746"/>
      <c r="R1778" s="521"/>
      <c r="S1778" s="521"/>
    </row>
    <row r="1779" spans="1:19" ht="25.5">
      <c r="A1779" s="723">
        <v>152</v>
      </c>
      <c r="B1779" s="723">
        <v>20172495014</v>
      </c>
      <c r="C1779" s="723" t="s">
        <v>5744</v>
      </c>
      <c r="D1779" s="723">
        <v>495</v>
      </c>
      <c r="E1779" s="723" t="s">
        <v>5345</v>
      </c>
      <c r="F1779" s="723" t="s">
        <v>154</v>
      </c>
      <c r="G1779" s="723" t="s">
        <v>2546</v>
      </c>
      <c r="H1779" s="723">
        <v>1</v>
      </c>
      <c r="I1779" s="723" t="s">
        <v>5745</v>
      </c>
      <c r="J1779" s="723" t="s">
        <v>5746</v>
      </c>
      <c r="K1779" s="723" t="s">
        <v>2044</v>
      </c>
      <c r="L1779" s="723">
        <v>1012409108</v>
      </c>
      <c r="M1779" s="723" t="s">
        <v>3155</v>
      </c>
      <c r="N1779" s="746"/>
      <c r="O1779" s="746"/>
      <c r="P1779" s="746"/>
      <c r="Q1779" s="746"/>
      <c r="R1779" s="521"/>
      <c r="S1779" s="521"/>
    </row>
    <row r="1780" spans="1:19" ht="25.5">
      <c r="A1780" s="721">
        <v>153</v>
      </c>
      <c r="B1780" s="721">
        <v>20181495001</v>
      </c>
      <c r="C1780" s="721" t="s">
        <v>5747</v>
      </c>
      <c r="D1780" s="721">
        <v>495</v>
      </c>
      <c r="E1780" s="721" t="s">
        <v>5345</v>
      </c>
      <c r="F1780" s="721" t="s">
        <v>154</v>
      </c>
      <c r="G1780" s="721" t="s">
        <v>2546</v>
      </c>
      <c r="H1780" s="721">
        <v>3</v>
      </c>
      <c r="I1780" s="721" t="s">
        <v>5748</v>
      </c>
      <c r="J1780" s="721" t="s">
        <v>5749</v>
      </c>
      <c r="K1780" s="721" t="s">
        <v>2044</v>
      </c>
      <c r="L1780" s="721">
        <v>53153876</v>
      </c>
      <c r="M1780" s="721" t="s">
        <v>1348</v>
      </c>
      <c r="N1780" s="746"/>
      <c r="O1780" s="746"/>
      <c r="P1780" s="746"/>
      <c r="Q1780" s="746"/>
      <c r="R1780" s="521"/>
      <c r="S1780" s="521"/>
    </row>
    <row r="1781" spans="1:19" ht="25.5">
      <c r="A1781" s="723">
        <v>154</v>
      </c>
      <c r="B1781" s="723">
        <v>20181495004</v>
      </c>
      <c r="C1781" s="723" t="s">
        <v>5750</v>
      </c>
      <c r="D1781" s="723">
        <v>495</v>
      </c>
      <c r="E1781" s="723" t="s">
        <v>5345</v>
      </c>
      <c r="F1781" s="723" t="s">
        <v>154</v>
      </c>
      <c r="G1781" s="723" t="s">
        <v>2546</v>
      </c>
      <c r="H1781" s="723">
        <v>3</v>
      </c>
      <c r="I1781" s="723"/>
      <c r="J1781" s="723" t="s">
        <v>5751</v>
      </c>
      <c r="K1781" s="723" t="s">
        <v>2044</v>
      </c>
      <c r="L1781" s="723">
        <v>1061729487</v>
      </c>
      <c r="M1781" s="723" t="s">
        <v>3202</v>
      </c>
      <c r="N1781" s="746"/>
      <c r="O1781" s="746"/>
      <c r="P1781" s="746"/>
      <c r="Q1781" s="746"/>
      <c r="R1781" s="521"/>
      <c r="S1781" s="521"/>
    </row>
    <row r="1782" spans="1:19" ht="25.5">
      <c r="A1782" s="721">
        <v>155</v>
      </c>
      <c r="B1782" s="721">
        <v>20181495008</v>
      </c>
      <c r="C1782" s="721" t="s">
        <v>5752</v>
      </c>
      <c r="D1782" s="721">
        <v>495</v>
      </c>
      <c r="E1782" s="721" t="s">
        <v>5345</v>
      </c>
      <c r="F1782" s="721" t="s">
        <v>154</v>
      </c>
      <c r="G1782" s="721" t="s">
        <v>2546</v>
      </c>
      <c r="H1782" s="721">
        <v>1</v>
      </c>
      <c r="I1782" s="721" t="s">
        <v>5753</v>
      </c>
      <c r="J1782" s="721" t="s">
        <v>5754</v>
      </c>
      <c r="K1782" s="721" t="s">
        <v>2044</v>
      </c>
      <c r="L1782" s="721">
        <v>1026285169</v>
      </c>
      <c r="M1782" s="721" t="s">
        <v>1223</v>
      </c>
      <c r="N1782" s="746"/>
      <c r="O1782" s="746"/>
      <c r="P1782" s="746"/>
      <c r="Q1782" s="746"/>
      <c r="R1782" s="521"/>
      <c r="S1782" s="521"/>
    </row>
    <row r="1783" spans="1:19" ht="25.5">
      <c r="A1783" s="723">
        <v>156</v>
      </c>
      <c r="B1783" s="723">
        <v>20181495010</v>
      </c>
      <c r="C1783" s="723" t="s">
        <v>5755</v>
      </c>
      <c r="D1783" s="723">
        <v>495</v>
      </c>
      <c r="E1783" s="723" t="s">
        <v>5345</v>
      </c>
      <c r="F1783" s="723" t="s">
        <v>154</v>
      </c>
      <c r="G1783" s="723" t="s">
        <v>2546</v>
      </c>
      <c r="H1783" s="723">
        <v>3</v>
      </c>
      <c r="I1783" s="723" t="s">
        <v>5756</v>
      </c>
      <c r="J1783" s="723" t="s">
        <v>5757</v>
      </c>
      <c r="K1783" s="723" t="s">
        <v>2044</v>
      </c>
      <c r="L1783" s="723">
        <v>1013616905</v>
      </c>
      <c r="M1783" s="723" t="s">
        <v>1237</v>
      </c>
      <c r="N1783" s="746"/>
      <c r="O1783" s="746"/>
      <c r="P1783" s="746"/>
      <c r="Q1783" s="746"/>
      <c r="R1783" s="521"/>
      <c r="S1783" s="521"/>
    </row>
    <row r="1784" spans="1:19" ht="25.5">
      <c r="A1784" s="721">
        <v>157</v>
      </c>
      <c r="B1784" s="721">
        <v>20181495012</v>
      </c>
      <c r="C1784" s="721" t="s">
        <v>5758</v>
      </c>
      <c r="D1784" s="721">
        <v>495</v>
      </c>
      <c r="E1784" s="721" t="s">
        <v>5345</v>
      </c>
      <c r="F1784" s="721" t="s">
        <v>154</v>
      </c>
      <c r="G1784" s="721" t="s">
        <v>2546</v>
      </c>
      <c r="H1784" s="721" t="s">
        <v>2043</v>
      </c>
      <c r="I1784" s="721"/>
      <c r="J1784" s="721" t="s">
        <v>5759</v>
      </c>
      <c r="K1784" s="721" t="s">
        <v>2044</v>
      </c>
      <c r="L1784" s="721">
        <v>1026280933</v>
      </c>
      <c r="M1784" s="721" t="s">
        <v>3202</v>
      </c>
      <c r="N1784" s="746"/>
      <c r="O1784" s="746"/>
      <c r="P1784" s="746"/>
      <c r="Q1784" s="746"/>
      <c r="R1784" s="521"/>
      <c r="S1784" s="521"/>
    </row>
    <row r="1785" spans="1:19" ht="25.5">
      <c r="A1785" s="723">
        <v>158</v>
      </c>
      <c r="B1785" s="723">
        <v>20181495016</v>
      </c>
      <c r="C1785" s="723" t="s">
        <v>5760</v>
      </c>
      <c r="D1785" s="723">
        <v>495</v>
      </c>
      <c r="E1785" s="723" t="s">
        <v>5345</v>
      </c>
      <c r="F1785" s="723" t="s">
        <v>154</v>
      </c>
      <c r="G1785" s="723" t="s">
        <v>2546</v>
      </c>
      <c r="H1785" s="723">
        <v>1</v>
      </c>
      <c r="I1785" s="723" t="s">
        <v>5761</v>
      </c>
      <c r="J1785" s="723" t="s">
        <v>5762</v>
      </c>
      <c r="K1785" s="723" t="s">
        <v>2044</v>
      </c>
      <c r="L1785" s="723">
        <v>1019095988</v>
      </c>
      <c r="M1785" s="723" t="s">
        <v>1334</v>
      </c>
      <c r="N1785" s="746"/>
      <c r="O1785" s="746"/>
      <c r="P1785" s="746"/>
      <c r="Q1785" s="746"/>
      <c r="R1785" s="521"/>
      <c r="S1785" s="521"/>
    </row>
    <row r="1786" spans="1:19" ht="25.5">
      <c r="A1786" s="721">
        <v>159</v>
      </c>
      <c r="B1786" s="721">
        <v>20181495017</v>
      </c>
      <c r="C1786" s="721" t="s">
        <v>5763</v>
      </c>
      <c r="D1786" s="721">
        <v>495</v>
      </c>
      <c r="E1786" s="721" t="s">
        <v>5345</v>
      </c>
      <c r="F1786" s="721" t="s">
        <v>154</v>
      </c>
      <c r="G1786" s="721" t="s">
        <v>2546</v>
      </c>
      <c r="H1786" s="721">
        <v>3</v>
      </c>
      <c r="I1786" s="721"/>
      <c r="J1786" s="721" t="s">
        <v>5764</v>
      </c>
      <c r="K1786" s="721" t="s">
        <v>2044</v>
      </c>
      <c r="L1786" s="721">
        <v>1033732002</v>
      </c>
      <c r="M1786" s="721" t="s">
        <v>3202</v>
      </c>
      <c r="N1786" s="746"/>
      <c r="O1786" s="746"/>
      <c r="P1786" s="746"/>
      <c r="Q1786" s="746"/>
      <c r="R1786" s="521"/>
      <c r="S1786" s="521"/>
    </row>
    <row r="1787" spans="1:19" ht="25.5">
      <c r="A1787" s="723">
        <v>160</v>
      </c>
      <c r="B1787" s="723">
        <v>20181495019</v>
      </c>
      <c r="C1787" s="723" t="s">
        <v>5765</v>
      </c>
      <c r="D1787" s="723">
        <v>495</v>
      </c>
      <c r="E1787" s="723" t="s">
        <v>5345</v>
      </c>
      <c r="F1787" s="723" t="s">
        <v>154</v>
      </c>
      <c r="G1787" s="723" t="s">
        <v>2546</v>
      </c>
      <c r="H1787" s="723">
        <v>3</v>
      </c>
      <c r="I1787" s="723" t="s">
        <v>5766</v>
      </c>
      <c r="J1787" s="723" t="s">
        <v>5767</v>
      </c>
      <c r="K1787" s="723" t="s">
        <v>2044</v>
      </c>
      <c r="L1787" s="723">
        <v>80542985</v>
      </c>
      <c r="M1787" s="723" t="s">
        <v>1334</v>
      </c>
      <c r="N1787" s="746"/>
      <c r="O1787" s="746"/>
      <c r="P1787" s="746"/>
      <c r="Q1787" s="746"/>
      <c r="R1787" s="521"/>
      <c r="S1787" s="521"/>
    </row>
    <row r="1788" spans="1:19" ht="25.5">
      <c r="A1788" s="721">
        <v>161</v>
      </c>
      <c r="B1788" s="721">
        <v>20182495001</v>
      </c>
      <c r="C1788" s="721" t="s">
        <v>5768</v>
      </c>
      <c r="D1788" s="721">
        <v>495</v>
      </c>
      <c r="E1788" s="721" t="s">
        <v>5345</v>
      </c>
      <c r="F1788" s="721" t="s">
        <v>154</v>
      </c>
      <c r="G1788" s="721" t="s">
        <v>2546</v>
      </c>
      <c r="H1788" s="721">
        <v>2</v>
      </c>
      <c r="I1788" s="721" t="s">
        <v>5769</v>
      </c>
      <c r="J1788" s="721" t="s">
        <v>5770</v>
      </c>
      <c r="K1788" s="721" t="s">
        <v>2044</v>
      </c>
      <c r="L1788" s="721">
        <v>37551404</v>
      </c>
      <c r="M1788" s="721" t="s">
        <v>3155</v>
      </c>
      <c r="N1788" s="746"/>
      <c r="O1788" s="746"/>
      <c r="P1788" s="746"/>
      <c r="Q1788" s="746"/>
      <c r="R1788" s="521"/>
      <c r="S1788" s="521"/>
    </row>
    <row r="1789" spans="1:19" ht="25.5">
      <c r="A1789" s="723">
        <v>162</v>
      </c>
      <c r="B1789" s="723">
        <v>20182495002</v>
      </c>
      <c r="C1789" s="723" t="s">
        <v>5771</v>
      </c>
      <c r="D1789" s="723">
        <v>495</v>
      </c>
      <c r="E1789" s="723" t="s">
        <v>5345</v>
      </c>
      <c r="F1789" s="723" t="s">
        <v>154</v>
      </c>
      <c r="G1789" s="723" t="s">
        <v>2546</v>
      </c>
      <c r="H1789" s="723">
        <v>2</v>
      </c>
      <c r="I1789" s="723" t="s">
        <v>5772</v>
      </c>
      <c r="J1789" s="723" t="s">
        <v>5773</v>
      </c>
      <c r="K1789" s="723" t="s">
        <v>2044</v>
      </c>
      <c r="L1789" s="723">
        <v>1010180835</v>
      </c>
      <c r="M1789" s="723" t="s">
        <v>3180</v>
      </c>
      <c r="N1789" s="746"/>
      <c r="O1789" s="746"/>
      <c r="P1789" s="746"/>
      <c r="Q1789" s="746"/>
      <c r="R1789" s="521"/>
      <c r="S1789" s="521"/>
    </row>
    <row r="1790" spans="1:19" ht="25.5">
      <c r="A1790" s="721">
        <v>163</v>
      </c>
      <c r="B1790" s="721">
        <v>20182495003</v>
      </c>
      <c r="C1790" s="721" t="s">
        <v>5774</v>
      </c>
      <c r="D1790" s="721">
        <v>495</v>
      </c>
      <c r="E1790" s="721" t="s">
        <v>5345</v>
      </c>
      <c r="F1790" s="721" t="s">
        <v>154</v>
      </c>
      <c r="G1790" s="721" t="s">
        <v>2546</v>
      </c>
      <c r="H1790" s="721">
        <v>1</v>
      </c>
      <c r="I1790" s="721" t="s">
        <v>5775</v>
      </c>
      <c r="J1790" s="721" t="s">
        <v>5776</v>
      </c>
      <c r="K1790" s="721" t="s">
        <v>2044</v>
      </c>
      <c r="L1790" s="721">
        <v>1030567773</v>
      </c>
      <c r="M1790" s="721" t="s">
        <v>3279</v>
      </c>
      <c r="N1790" s="746"/>
      <c r="O1790" s="746"/>
      <c r="P1790" s="746"/>
      <c r="Q1790" s="746"/>
      <c r="R1790" s="521"/>
      <c r="S1790" s="521"/>
    </row>
    <row r="1791" spans="1:19" ht="25.5">
      <c r="A1791" s="723">
        <v>164</v>
      </c>
      <c r="B1791" s="723">
        <v>20182495004</v>
      </c>
      <c r="C1791" s="723" t="s">
        <v>5777</v>
      </c>
      <c r="D1791" s="723">
        <v>495</v>
      </c>
      <c r="E1791" s="723" t="s">
        <v>5345</v>
      </c>
      <c r="F1791" s="723" t="s">
        <v>154</v>
      </c>
      <c r="G1791" s="723" t="s">
        <v>2546</v>
      </c>
      <c r="H1791" s="723">
        <v>2</v>
      </c>
      <c r="I1791" s="723" t="s">
        <v>5778</v>
      </c>
      <c r="J1791" s="723" t="s">
        <v>5779</v>
      </c>
      <c r="K1791" s="723" t="s">
        <v>2044</v>
      </c>
      <c r="L1791" s="723">
        <v>1110537094</v>
      </c>
      <c r="M1791" s="723" t="s">
        <v>1356</v>
      </c>
      <c r="N1791" s="746"/>
      <c r="O1791" s="746"/>
      <c r="P1791" s="746"/>
      <c r="Q1791" s="746"/>
      <c r="R1791" s="521"/>
      <c r="S1791" s="521"/>
    </row>
    <row r="1792" spans="1:19" ht="25.5">
      <c r="A1792" s="721">
        <v>165</v>
      </c>
      <c r="B1792" s="721">
        <v>20182495007</v>
      </c>
      <c r="C1792" s="721" t="s">
        <v>5780</v>
      </c>
      <c r="D1792" s="721">
        <v>495</v>
      </c>
      <c r="E1792" s="721" t="s">
        <v>5345</v>
      </c>
      <c r="F1792" s="721" t="s">
        <v>154</v>
      </c>
      <c r="G1792" s="721" t="s">
        <v>2546</v>
      </c>
      <c r="H1792" s="721">
        <v>3</v>
      </c>
      <c r="I1792" s="721" t="s">
        <v>5781</v>
      </c>
      <c r="J1792" s="721" t="s">
        <v>5782</v>
      </c>
      <c r="K1792" s="721" t="s">
        <v>2044</v>
      </c>
      <c r="L1792" s="721">
        <v>1094161993</v>
      </c>
      <c r="M1792" s="721" t="s">
        <v>1237</v>
      </c>
      <c r="N1792" s="746"/>
      <c r="O1792" s="746"/>
      <c r="P1792" s="746"/>
      <c r="Q1792" s="746"/>
      <c r="R1792" s="521"/>
      <c r="S1792" s="521"/>
    </row>
    <row r="1793" spans="1:19" ht="25.5">
      <c r="A1793" s="723">
        <v>166</v>
      </c>
      <c r="B1793" s="723">
        <v>20182495009</v>
      </c>
      <c r="C1793" s="723" t="s">
        <v>5783</v>
      </c>
      <c r="D1793" s="723">
        <v>495</v>
      </c>
      <c r="E1793" s="723" t="s">
        <v>5345</v>
      </c>
      <c r="F1793" s="723" t="s">
        <v>154</v>
      </c>
      <c r="G1793" s="723" t="s">
        <v>2546</v>
      </c>
      <c r="H1793" s="723">
        <v>3</v>
      </c>
      <c r="I1793" s="723" t="s">
        <v>5784</v>
      </c>
      <c r="J1793" s="723" t="s">
        <v>5785</v>
      </c>
      <c r="K1793" s="723" t="s">
        <v>2044</v>
      </c>
      <c r="L1793" s="723">
        <v>1012398041</v>
      </c>
      <c r="M1793" s="723" t="s">
        <v>3155</v>
      </c>
      <c r="N1793" s="746"/>
      <c r="O1793" s="746"/>
      <c r="P1793" s="746"/>
      <c r="Q1793" s="746"/>
      <c r="R1793" s="521"/>
      <c r="S1793" s="521"/>
    </row>
    <row r="1794" spans="1:19" ht="25.5">
      <c r="A1794" s="721">
        <v>167</v>
      </c>
      <c r="B1794" s="721">
        <v>20182495010</v>
      </c>
      <c r="C1794" s="721" t="s">
        <v>5786</v>
      </c>
      <c r="D1794" s="721">
        <v>495</v>
      </c>
      <c r="E1794" s="721" t="s">
        <v>5345</v>
      </c>
      <c r="F1794" s="721" t="s">
        <v>154</v>
      </c>
      <c r="G1794" s="721" t="s">
        <v>2546</v>
      </c>
      <c r="H1794" s="721">
        <v>3</v>
      </c>
      <c r="I1794" s="721" t="s">
        <v>5787</v>
      </c>
      <c r="J1794" s="721" t="s">
        <v>5788</v>
      </c>
      <c r="K1794" s="721" t="s">
        <v>2044</v>
      </c>
      <c r="L1794" s="721">
        <v>1033728797</v>
      </c>
      <c r="M1794" s="721" t="s">
        <v>3155</v>
      </c>
      <c r="N1794" s="746"/>
      <c r="O1794" s="746"/>
      <c r="P1794" s="746"/>
      <c r="Q1794" s="746"/>
      <c r="R1794" s="521"/>
      <c r="S1794" s="521"/>
    </row>
    <row r="1795" spans="1:19" ht="25.5">
      <c r="A1795" s="723">
        <v>168</v>
      </c>
      <c r="B1795" s="723">
        <v>20182495012</v>
      </c>
      <c r="C1795" s="723" t="s">
        <v>5789</v>
      </c>
      <c r="D1795" s="723">
        <v>495</v>
      </c>
      <c r="E1795" s="723" t="s">
        <v>5345</v>
      </c>
      <c r="F1795" s="723" t="s">
        <v>154</v>
      </c>
      <c r="G1795" s="723" t="s">
        <v>2546</v>
      </c>
      <c r="H1795" s="723" t="s">
        <v>2043</v>
      </c>
      <c r="I1795" s="723" t="s">
        <v>5790</v>
      </c>
      <c r="J1795" s="723" t="s">
        <v>5790</v>
      </c>
      <c r="K1795" s="723" t="s">
        <v>2044</v>
      </c>
      <c r="L1795" s="723">
        <v>80876562</v>
      </c>
      <c r="M1795" s="723" t="s">
        <v>3202</v>
      </c>
      <c r="N1795" s="746"/>
      <c r="O1795" s="746"/>
      <c r="P1795" s="746"/>
      <c r="Q1795" s="746"/>
      <c r="R1795" s="521"/>
      <c r="S1795" s="521"/>
    </row>
    <row r="1796" spans="1:19" ht="25.5">
      <c r="A1796" s="721">
        <v>169</v>
      </c>
      <c r="B1796" s="721">
        <v>20182495013</v>
      </c>
      <c r="C1796" s="721" t="s">
        <v>5791</v>
      </c>
      <c r="D1796" s="721">
        <v>495</v>
      </c>
      <c r="E1796" s="721" t="s">
        <v>5345</v>
      </c>
      <c r="F1796" s="721" t="s">
        <v>154</v>
      </c>
      <c r="G1796" s="721" t="s">
        <v>2546</v>
      </c>
      <c r="H1796" s="721" t="s">
        <v>2043</v>
      </c>
      <c r="I1796" s="721" t="s">
        <v>5792</v>
      </c>
      <c r="J1796" s="721" t="s">
        <v>5793</v>
      </c>
      <c r="K1796" s="721" t="s">
        <v>2044</v>
      </c>
      <c r="L1796" s="721">
        <v>63537101</v>
      </c>
      <c r="M1796" s="721" t="s">
        <v>3279</v>
      </c>
      <c r="N1796" s="746"/>
      <c r="O1796" s="746"/>
      <c r="P1796" s="746"/>
      <c r="Q1796" s="746"/>
      <c r="R1796" s="521"/>
      <c r="S1796" s="521"/>
    </row>
    <row r="1797" spans="1:19" ht="25.5">
      <c r="A1797" s="723">
        <v>170</v>
      </c>
      <c r="B1797" s="723">
        <v>20182495015</v>
      </c>
      <c r="C1797" s="723" t="s">
        <v>5794</v>
      </c>
      <c r="D1797" s="723">
        <v>495</v>
      </c>
      <c r="E1797" s="723" t="s">
        <v>5345</v>
      </c>
      <c r="F1797" s="723" t="s">
        <v>154</v>
      </c>
      <c r="G1797" s="723" t="s">
        <v>2546</v>
      </c>
      <c r="H1797" s="723">
        <v>2</v>
      </c>
      <c r="I1797" s="723" t="s">
        <v>5795</v>
      </c>
      <c r="J1797" s="723" t="s">
        <v>5796</v>
      </c>
      <c r="K1797" s="723" t="s">
        <v>2044</v>
      </c>
      <c r="L1797" s="723">
        <v>80248572</v>
      </c>
      <c r="M1797" s="723" t="s">
        <v>1237</v>
      </c>
      <c r="N1797" s="746"/>
      <c r="O1797" s="746"/>
      <c r="P1797" s="746"/>
      <c r="Q1797" s="746"/>
      <c r="R1797" s="521"/>
      <c r="S1797" s="521"/>
    </row>
    <row r="1798" spans="1:19" ht="25.5">
      <c r="A1798" s="721">
        <v>171</v>
      </c>
      <c r="B1798" s="721">
        <v>20182495016</v>
      </c>
      <c r="C1798" s="721" t="s">
        <v>5797</v>
      </c>
      <c r="D1798" s="721">
        <v>495</v>
      </c>
      <c r="E1798" s="721" t="s">
        <v>5345</v>
      </c>
      <c r="F1798" s="721" t="s">
        <v>154</v>
      </c>
      <c r="G1798" s="721" t="s">
        <v>2546</v>
      </c>
      <c r="H1798" s="721">
        <v>3</v>
      </c>
      <c r="I1798" s="721" t="s">
        <v>5798</v>
      </c>
      <c r="J1798" s="721" t="s">
        <v>5799</v>
      </c>
      <c r="K1798" s="721" t="s">
        <v>2044</v>
      </c>
      <c r="L1798" s="721">
        <v>1018428147</v>
      </c>
      <c r="M1798" s="721" t="s">
        <v>1237</v>
      </c>
      <c r="N1798" s="746"/>
      <c r="O1798" s="746"/>
      <c r="P1798" s="746"/>
      <c r="Q1798" s="746"/>
      <c r="R1798" s="521"/>
      <c r="S1798" s="521"/>
    </row>
    <row r="1799" spans="1:19" ht="25.5">
      <c r="A1799" s="723">
        <v>172</v>
      </c>
      <c r="B1799" s="723">
        <v>20191495001</v>
      </c>
      <c r="C1799" s="723" t="s">
        <v>5800</v>
      </c>
      <c r="D1799" s="723">
        <v>495</v>
      </c>
      <c r="E1799" s="723" t="s">
        <v>5345</v>
      </c>
      <c r="F1799" s="723" t="s">
        <v>154</v>
      </c>
      <c r="G1799" s="723" t="s">
        <v>2546</v>
      </c>
      <c r="H1799" s="723">
        <v>4</v>
      </c>
      <c r="I1799" s="723" t="s">
        <v>5801</v>
      </c>
      <c r="J1799" s="723" t="s">
        <v>5802</v>
      </c>
      <c r="K1799" s="723" t="s">
        <v>2044</v>
      </c>
      <c r="L1799" s="723">
        <v>1010170891</v>
      </c>
      <c r="M1799" s="723" t="s">
        <v>1334</v>
      </c>
      <c r="N1799" s="746"/>
      <c r="O1799" s="746"/>
      <c r="P1799" s="746"/>
      <c r="Q1799" s="746"/>
      <c r="R1799" s="521"/>
      <c r="S1799" s="521"/>
    </row>
    <row r="1800" spans="1:19" ht="25.5">
      <c r="A1800" s="721">
        <v>173</v>
      </c>
      <c r="B1800" s="721">
        <v>20191495002</v>
      </c>
      <c r="C1800" s="721" t="s">
        <v>5803</v>
      </c>
      <c r="D1800" s="721">
        <v>495</v>
      </c>
      <c r="E1800" s="721" t="s">
        <v>5345</v>
      </c>
      <c r="F1800" s="721" t="s">
        <v>154</v>
      </c>
      <c r="G1800" s="721" t="s">
        <v>2546</v>
      </c>
      <c r="H1800" s="721">
        <v>2</v>
      </c>
      <c r="I1800" s="721" t="s">
        <v>5804</v>
      </c>
      <c r="J1800" s="721" t="s">
        <v>5805</v>
      </c>
      <c r="K1800" s="721" t="s">
        <v>2044</v>
      </c>
      <c r="L1800" s="721">
        <v>1012390507</v>
      </c>
      <c r="M1800" s="721" t="s">
        <v>3180</v>
      </c>
      <c r="N1800" s="746"/>
      <c r="O1800" s="746"/>
      <c r="P1800" s="746"/>
      <c r="Q1800" s="746"/>
      <c r="R1800" s="521"/>
      <c r="S1800" s="521"/>
    </row>
    <row r="1801" spans="1:19" ht="25.5">
      <c r="A1801" s="723">
        <v>174</v>
      </c>
      <c r="B1801" s="723">
        <v>20191495003</v>
      </c>
      <c r="C1801" s="723" t="s">
        <v>5806</v>
      </c>
      <c r="D1801" s="723">
        <v>495</v>
      </c>
      <c r="E1801" s="723" t="s">
        <v>5345</v>
      </c>
      <c r="F1801" s="723" t="s">
        <v>154</v>
      </c>
      <c r="G1801" s="723" t="s">
        <v>2546</v>
      </c>
      <c r="H1801" s="723">
        <v>4</v>
      </c>
      <c r="I1801" s="723" t="s">
        <v>5807</v>
      </c>
      <c r="J1801" s="723" t="s">
        <v>5808</v>
      </c>
      <c r="K1801" s="723" t="s">
        <v>2044</v>
      </c>
      <c r="L1801" s="723">
        <v>1026295788</v>
      </c>
      <c r="M1801" s="723" t="s">
        <v>1356</v>
      </c>
      <c r="N1801" s="746"/>
      <c r="O1801" s="746"/>
      <c r="P1801" s="746"/>
      <c r="Q1801" s="746"/>
      <c r="R1801" s="521"/>
      <c r="S1801" s="521"/>
    </row>
    <row r="1802" spans="1:19" ht="25.5">
      <c r="A1802" s="721">
        <v>175</v>
      </c>
      <c r="B1802" s="721">
        <v>20191495004</v>
      </c>
      <c r="C1802" s="721" t="s">
        <v>5809</v>
      </c>
      <c r="D1802" s="721">
        <v>495</v>
      </c>
      <c r="E1802" s="721" t="s">
        <v>5345</v>
      </c>
      <c r="F1802" s="721" t="s">
        <v>154</v>
      </c>
      <c r="G1802" s="721" t="s">
        <v>2546</v>
      </c>
      <c r="H1802" s="721">
        <v>3</v>
      </c>
      <c r="I1802" s="721" t="s">
        <v>5810</v>
      </c>
      <c r="J1802" s="721" t="s">
        <v>5811</v>
      </c>
      <c r="K1802" s="721" t="s">
        <v>2044</v>
      </c>
      <c r="L1802" s="721">
        <v>1067876861</v>
      </c>
      <c r="M1802" s="721" t="s">
        <v>3149</v>
      </c>
      <c r="N1802" s="746"/>
      <c r="O1802" s="746"/>
      <c r="P1802" s="746"/>
      <c r="Q1802" s="746"/>
      <c r="R1802" s="521"/>
      <c r="S1802" s="521"/>
    </row>
    <row r="1803" spans="1:19" ht="25.5">
      <c r="A1803" s="723">
        <v>176</v>
      </c>
      <c r="B1803" s="723">
        <v>20191495007</v>
      </c>
      <c r="C1803" s="723" t="s">
        <v>5812</v>
      </c>
      <c r="D1803" s="723">
        <v>495</v>
      </c>
      <c r="E1803" s="723" t="s">
        <v>5345</v>
      </c>
      <c r="F1803" s="723" t="s">
        <v>154</v>
      </c>
      <c r="G1803" s="723" t="s">
        <v>2546</v>
      </c>
      <c r="H1803" s="723">
        <v>3</v>
      </c>
      <c r="I1803" s="723" t="s">
        <v>5813</v>
      </c>
      <c r="J1803" s="723" t="s">
        <v>5814</v>
      </c>
      <c r="K1803" s="723" t="s">
        <v>2044</v>
      </c>
      <c r="L1803" s="723">
        <v>80817300</v>
      </c>
      <c r="M1803" s="723" t="s">
        <v>1356</v>
      </c>
      <c r="N1803" s="746"/>
      <c r="O1803" s="746"/>
      <c r="P1803" s="746"/>
      <c r="Q1803" s="746"/>
      <c r="R1803" s="521"/>
      <c r="S1803" s="521"/>
    </row>
    <row r="1804" spans="1:19" ht="25.5">
      <c r="A1804" s="721">
        <v>177</v>
      </c>
      <c r="B1804" s="721">
        <v>20191495008</v>
      </c>
      <c r="C1804" s="721" t="s">
        <v>5815</v>
      </c>
      <c r="D1804" s="721">
        <v>495</v>
      </c>
      <c r="E1804" s="721" t="s">
        <v>5345</v>
      </c>
      <c r="F1804" s="721" t="s">
        <v>154</v>
      </c>
      <c r="G1804" s="721" t="s">
        <v>2546</v>
      </c>
      <c r="H1804" s="721">
        <v>4</v>
      </c>
      <c r="I1804" s="721" t="s">
        <v>5816</v>
      </c>
      <c r="J1804" s="721" t="s">
        <v>5817</v>
      </c>
      <c r="K1804" s="721" t="s">
        <v>2044</v>
      </c>
      <c r="L1804" s="721">
        <v>1015460560</v>
      </c>
      <c r="M1804" s="721" t="s">
        <v>2936</v>
      </c>
      <c r="N1804" s="746"/>
      <c r="O1804" s="746"/>
      <c r="P1804" s="746"/>
      <c r="Q1804" s="746"/>
      <c r="R1804" s="521"/>
      <c r="S1804" s="521"/>
    </row>
    <row r="1805" spans="1:19" ht="25.5">
      <c r="A1805" s="723">
        <v>178</v>
      </c>
      <c r="B1805" s="723">
        <v>20191495011</v>
      </c>
      <c r="C1805" s="723" t="s">
        <v>5818</v>
      </c>
      <c r="D1805" s="723">
        <v>495</v>
      </c>
      <c r="E1805" s="723" t="s">
        <v>5345</v>
      </c>
      <c r="F1805" s="723" t="s">
        <v>154</v>
      </c>
      <c r="G1805" s="723" t="s">
        <v>2546</v>
      </c>
      <c r="H1805" s="723" t="s">
        <v>2043</v>
      </c>
      <c r="I1805" s="723" t="s">
        <v>5819</v>
      </c>
      <c r="J1805" s="723" t="s">
        <v>5820</v>
      </c>
      <c r="K1805" s="723" t="s">
        <v>2044</v>
      </c>
      <c r="L1805" s="723">
        <v>1121819760</v>
      </c>
      <c r="M1805" s="723" t="s">
        <v>3149</v>
      </c>
      <c r="N1805" s="746"/>
      <c r="O1805" s="746"/>
      <c r="P1805" s="746"/>
      <c r="Q1805" s="746"/>
      <c r="R1805" s="521"/>
      <c r="S1805" s="521"/>
    </row>
    <row r="1806" spans="1:19" ht="25.5">
      <c r="A1806" s="721">
        <v>179</v>
      </c>
      <c r="B1806" s="721">
        <v>20191495012</v>
      </c>
      <c r="C1806" s="721" t="s">
        <v>5821</v>
      </c>
      <c r="D1806" s="721">
        <v>495</v>
      </c>
      <c r="E1806" s="721" t="s">
        <v>5345</v>
      </c>
      <c r="F1806" s="721" t="s">
        <v>154</v>
      </c>
      <c r="G1806" s="721" t="s">
        <v>2546</v>
      </c>
      <c r="H1806" s="721">
        <v>3</v>
      </c>
      <c r="I1806" s="721" t="s">
        <v>5822</v>
      </c>
      <c r="J1806" s="721" t="s">
        <v>5823</v>
      </c>
      <c r="K1806" s="721" t="s">
        <v>2044</v>
      </c>
      <c r="L1806" s="721">
        <v>80818510</v>
      </c>
      <c r="M1806" s="721" t="s">
        <v>3149</v>
      </c>
      <c r="N1806" s="746"/>
      <c r="O1806" s="746"/>
      <c r="P1806" s="746"/>
      <c r="Q1806" s="746"/>
      <c r="R1806" s="521"/>
      <c r="S1806" s="521"/>
    </row>
    <row r="1807" spans="1:19" ht="25.5">
      <c r="A1807" s="723">
        <v>180</v>
      </c>
      <c r="B1807" s="723">
        <v>20191495014</v>
      </c>
      <c r="C1807" s="723" t="s">
        <v>5824</v>
      </c>
      <c r="D1807" s="723">
        <v>495</v>
      </c>
      <c r="E1807" s="723" t="s">
        <v>5345</v>
      </c>
      <c r="F1807" s="723" t="s">
        <v>154</v>
      </c>
      <c r="G1807" s="723" t="s">
        <v>2546</v>
      </c>
      <c r="H1807" s="723">
        <v>3</v>
      </c>
      <c r="I1807" s="723" t="s">
        <v>5825</v>
      </c>
      <c r="J1807" s="723" t="s">
        <v>5826</v>
      </c>
      <c r="K1807" s="723" t="s">
        <v>2044</v>
      </c>
      <c r="L1807" s="723">
        <v>1015439205</v>
      </c>
      <c r="M1807" s="723" t="s">
        <v>3149</v>
      </c>
      <c r="N1807" s="746"/>
      <c r="O1807" s="746"/>
      <c r="P1807" s="746"/>
      <c r="Q1807" s="746"/>
      <c r="R1807" s="521"/>
      <c r="S1807" s="521"/>
    </row>
    <row r="1808" spans="1:19" ht="25.5">
      <c r="A1808" s="721">
        <v>181</v>
      </c>
      <c r="B1808" s="721">
        <v>20191495015</v>
      </c>
      <c r="C1808" s="721" t="s">
        <v>5827</v>
      </c>
      <c r="D1808" s="721">
        <v>495</v>
      </c>
      <c r="E1808" s="721" t="s">
        <v>5345</v>
      </c>
      <c r="F1808" s="721" t="s">
        <v>154</v>
      </c>
      <c r="G1808" s="721" t="s">
        <v>2546</v>
      </c>
      <c r="H1808" s="721">
        <v>3</v>
      </c>
      <c r="I1808" s="721" t="s">
        <v>5828</v>
      </c>
      <c r="J1808" s="721" t="s">
        <v>5829</v>
      </c>
      <c r="K1808" s="721" t="s">
        <v>2044</v>
      </c>
      <c r="L1808" s="721">
        <v>1030595188</v>
      </c>
      <c r="M1808" s="721" t="s">
        <v>3149</v>
      </c>
      <c r="N1808" s="746"/>
      <c r="O1808" s="746"/>
      <c r="P1808" s="746"/>
      <c r="Q1808" s="746"/>
      <c r="R1808" s="521"/>
      <c r="S1808" s="521"/>
    </row>
    <row r="1809" spans="1:19" ht="25.5">
      <c r="A1809" s="723">
        <v>182</v>
      </c>
      <c r="B1809" s="723">
        <v>20191495018</v>
      </c>
      <c r="C1809" s="723" t="s">
        <v>5830</v>
      </c>
      <c r="D1809" s="723">
        <v>495</v>
      </c>
      <c r="E1809" s="723" t="s">
        <v>5345</v>
      </c>
      <c r="F1809" s="723" t="s">
        <v>154</v>
      </c>
      <c r="G1809" s="723" t="s">
        <v>2546</v>
      </c>
      <c r="H1809" s="723">
        <v>3</v>
      </c>
      <c r="I1809" s="723" t="s">
        <v>5831</v>
      </c>
      <c r="J1809" s="723" t="s">
        <v>5832</v>
      </c>
      <c r="K1809" s="723" t="s">
        <v>2044</v>
      </c>
      <c r="L1809" s="723">
        <v>1098675575</v>
      </c>
      <c r="M1809" s="723" t="s">
        <v>3269</v>
      </c>
      <c r="N1809" s="746"/>
      <c r="O1809" s="746"/>
      <c r="P1809" s="746"/>
      <c r="Q1809" s="746"/>
      <c r="R1809" s="521"/>
      <c r="S1809" s="521"/>
    </row>
    <row r="1810" spans="1:19" ht="25.5">
      <c r="A1810" s="721">
        <v>183</v>
      </c>
      <c r="B1810" s="721">
        <v>20191495020</v>
      </c>
      <c r="C1810" s="721" t="s">
        <v>5833</v>
      </c>
      <c r="D1810" s="721">
        <v>495</v>
      </c>
      <c r="E1810" s="721" t="s">
        <v>5345</v>
      </c>
      <c r="F1810" s="721" t="s">
        <v>154</v>
      </c>
      <c r="G1810" s="721" t="s">
        <v>2546</v>
      </c>
      <c r="H1810" s="721" t="s">
        <v>2043</v>
      </c>
      <c r="I1810" s="721" t="s">
        <v>5834</v>
      </c>
      <c r="J1810" s="721" t="s">
        <v>5835</v>
      </c>
      <c r="K1810" s="721" t="s">
        <v>2044</v>
      </c>
      <c r="L1810" s="721">
        <v>1102715888</v>
      </c>
      <c r="M1810" s="721" t="s">
        <v>3149</v>
      </c>
      <c r="N1810" s="746"/>
      <c r="O1810" s="746"/>
      <c r="P1810" s="746"/>
      <c r="Q1810" s="746"/>
      <c r="R1810" s="521"/>
      <c r="S1810" s="521"/>
    </row>
    <row r="1811" spans="1:19" ht="25.5">
      <c r="A1811" s="723">
        <v>184</v>
      </c>
      <c r="B1811" s="723">
        <v>20191495021</v>
      </c>
      <c r="C1811" s="723" t="s">
        <v>5836</v>
      </c>
      <c r="D1811" s="723">
        <v>495</v>
      </c>
      <c r="E1811" s="723" t="s">
        <v>5345</v>
      </c>
      <c r="F1811" s="723" t="s">
        <v>154</v>
      </c>
      <c r="G1811" s="723" t="s">
        <v>2546</v>
      </c>
      <c r="H1811" s="723">
        <v>2</v>
      </c>
      <c r="I1811" s="723" t="s">
        <v>5837</v>
      </c>
      <c r="J1811" s="723" t="s">
        <v>5838</v>
      </c>
      <c r="K1811" s="723" t="s">
        <v>2044</v>
      </c>
      <c r="L1811" s="723">
        <v>1012394674</v>
      </c>
      <c r="M1811" s="723" t="s">
        <v>3180</v>
      </c>
      <c r="N1811" s="746"/>
      <c r="O1811" s="746"/>
      <c r="P1811" s="746"/>
      <c r="Q1811" s="746"/>
      <c r="R1811" s="521"/>
      <c r="S1811" s="521"/>
    </row>
    <row r="1812" spans="1:19" ht="25.5">
      <c r="A1812" s="721">
        <v>185</v>
      </c>
      <c r="B1812" s="721">
        <v>20191495024</v>
      </c>
      <c r="C1812" s="721" t="s">
        <v>5839</v>
      </c>
      <c r="D1812" s="721">
        <v>495</v>
      </c>
      <c r="E1812" s="721" t="s">
        <v>5345</v>
      </c>
      <c r="F1812" s="721" t="s">
        <v>154</v>
      </c>
      <c r="G1812" s="721" t="s">
        <v>2546</v>
      </c>
      <c r="H1812" s="721">
        <v>2</v>
      </c>
      <c r="I1812" s="721" t="s">
        <v>5840</v>
      </c>
      <c r="J1812" s="721" t="s">
        <v>5841</v>
      </c>
      <c r="K1812" s="721" t="s">
        <v>2044</v>
      </c>
      <c r="L1812" s="721">
        <v>1018416659</v>
      </c>
      <c r="M1812" s="721" t="s">
        <v>3149</v>
      </c>
      <c r="N1812" s="746"/>
      <c r="O1812" s="746"/>
      <c r="P1812" s="746"/>
      <c r="Q1812" s="746"/>
      <c r="R1812" s="521"/>
      <c r="S1812" s="521"/>
    </row>
    <row r="1813" spans="1:19" ht="25.5">
      <c r="A1813" s="723">
        <v>186</v>
      </c>
      <c r="B1813" s="723">
        <v>20191495026</v>
      </c>
      <c r="C1813" s="723" t="s">
        <v>5842</v>
      </c>
      <c r="D1813" s="723">
        <v>495</v>
      </c>
      <c r="E1813" s="723" t="s">
        <v>5345</v>
      </c>
      <c r="F1813" s="723" t="s">
        <v>154</v>
      </c>
      <c r="G1813" s="723" t="s">
        <v>2546</v>
      </c>
      <c r="H1813" s="723">
        <v>3</v>
      </c>
      <c r="I1813" s="723" t="s">
        <v>5843</v>
      </c>
      <c r="J1813" s="723" t="s">
        <v>5844</v>
      </c>
      <c r="K1813" s="723" t="s">
        <v>2044</v>
      </c>
      <c r="L1813" s="723">
        <v>1018455214</v>
      </c>
      <c r="M1813" s="723" t="s">
        <v>3149</v>
      </c>
      <c r="N1813" s="746"/>
      <c r="O1813" s="746"/>
      <c r="P1813" s="746"/>
      <c r="Q1813" s="746"/>
      <c r="R1813" s="521"/>
      <c r="S1813" s="521"/>
    </row>
    <row r="1814" spans="1:19" ht="25.5">
      <c r="A1814" s="721">
        <v>187</v>
      </c>
      <c r="B1814" s="721">
        <v>20191495028</v>
      </c>
      <c r="C1814" s="721" t="s">
        <v>5845</v>
      </c>
      <c r="D1814" s="721">
        <v>495</v>
      </c>
      <c r="E1814" s="721" t="s">
        <v>5345</v>
      </c>
      <c r="F1814" s="721" t="s">
        <v>154</v>
      </c>
      <c r="G1814" s="721" t="s">
        <v>2546</v>
      </c>
      <c r="H1814" s="721">
        <v>3</v>
      </c>
      <c r="I1814" s="721" t="s">
        <v>5846</v>
      </c>
      <c r="J1814" s="721" t="s">
        <v>5847</v>
      </c>
      <c r="K1814" s="721" t="s">
        <v>2044</v>
      </c>
      <c r="L1814" s="721">
        <v>79212125</v>
      </c>
      <c r="M1814" s="721" t="s">
        <v>3269</v>
      </c>
      <c r="N1814" s="746"/>
      <c r="O1814" s="746"/>
      <c r="P1814" s="746"/>
      <c r="Q1814" s="746"/>
      <c r="R1814" s="521"/>
      <c r="S1814" s="521"/>
    </row>
    <row r="1815" spans="1:19" ht="25.5">
      <c r="A1815" s="723">
        <v>188</v>
      </c>
      <c r="B1815" s="723">
        <v>20192495001</v>
      </c>
      <c r="C1815" s="723" t="s">
        <v>5848</v>
      </c>
      <c r="D1815" s="723">
        <v>495</v>
      </c>
      <c r="E1815" s="723" t="s">
        <v>5345</v>
      </c>
      <c r="F1815" s="723" t="s">
        <v>154</v>
      </c>
      <c r="G1815" s="723" t="s">
        <v>2546</v>
      </c>
      <c r="H1815" s="723">
        <v>4</v>
      </c>
      <c r="I1815" s="723" t="s">
        <v>5849</v>
      </c>
      <c r="J1815" s="723" t="s">
        <v>5850</v>
      </c>
      <c r="K1815" s="723" t="s">
        <v>2044</v>
      </c>
      <c r="L1815" s="723">
        <v>1032449961</v>
      </c>
      <c r="M1815" s="723" t="s">
        <v>1364</v>
      </c>
      <c r="N1815" s="746"/>
      <c r="O1815" s="746"/>
      <c r="P1815" s="746"/>
      <c r="Q1815" s="746"/>
      <c r="R1815" s="521"/>
      <c r="S1815" s="521"/>
    </row>
    <row r="1816" spans="1:19" ht="25.5">
      <c r="A1816" s="721">
        <v>189</v>
      </c>
      <c r="B1816" s="721">
        <v>20192495004</v>
      </c>
      <c r="C1816" s="721" t="s">
        <v>5851</v>
      </c>
      <c r="D1816" s="721">
        <v>495</v>
      </c>
      <c r="E1816" s="721" t="s">
        <v>5345</v>
      </c>
      <c r="F1816" s="721" t="s">
        <v>154</v>
      </c>
      <c r="G1816" s="721" t="s">
        <v>2546</v>
      </c>
      <c r="H1816" s="721">
        <v>3</v>
      </c>
      <c r="I1816" s="721" t="s">
        <v>5852</v>
      </c>
      <c r="J1816" s="721" t="s">
        <v>5853</v>
      </c>
      <c r="K1816" s="721" t="s">
        <v>2044</v>
      </c>
      <c r="L1816" s="721">
        <v>1010204406</v>
      </c>
      <c r="M1816" s="721" t="s">
        <v>1364</v>
      </c>
      <c r="N1816" s="746"/>
      <c r="O1816" s="746"/>
      <c r="P1816" s="746"/>
      <c r="Q1816" s="746"/>
      <c r="R1816" s="521"/>
      <c r="S1816" s="521"/>
    </row>
    <row r="1817" spans="1:19" ht="25.5">
      <c r="A1817" s="723">
        <v>190</v>
      </c>
      <c r="B1817" s="723">
        <v>20192495005</v>
      </c>
      <c r="C1817" s="723" t="s">
        <v>5854</v>
      </c>
      <c r="D1817" s="723">
        <v>495</v>
      </c>
      <c r="E1817" s="723" t="s">
        <v>5345</v>
      </c>
      <c r="F1817" s="723" t="s">
        <v>154</v>
      </c>
      <c r="G1817" s="723" t="s">
        <v>2546</v>
      </c>
      <c r="H1817" s="723">
        <v>3</v>
      </c>
      <c r="I1817" s="723" t="s">
        <v>5855</v>
      </c>
      <c r="J1817" s="723" t="s">
        <v>5856</v>
      </c>
      <c r="K1817" s="723" t="s">
        <v>2044</v>
      </c>
      <c r="L1817" s="723">
        <v>1018460864</v>
      </c>
      <c r="M1817" s="723" t="s">
        <v>1364</v>
      </c>
      <c r="N1817" s="746"/>
      <c r="O1817" s="746"/>
      <c r="P1817" s="746"/>
      <c r="Q1817" s="746"/>
      <c r="R1817" s="521"/>
      <c r="S1817" s="521"/>
    </row>
    <row r="1818" spans="1:19" ht="25.5">
      <c r="A1818" s="721">
        <v>191</v>
      </c>
      <c r="B1818" s="721">
        <v>20192495008</v>
      </c>
      <c r="C1818" s="721" t="s">
        <v>5857</v>
      </c>
      <c r="D1818" s="721">
        <v>495</v>
      </c>
      <c r="E1818" s="721" t="s">
        <v>5345</v>
      </c>
      <c r="F1818" s="721" t="s">
        <v>154</v>
      </c>
      <c r="G1818" s="721" t="s">
        <v>2546</v>
      </c>
      <c r="H1818" s="721">
        <v>4</v>
      </c>
      <c r="I1818" s="721" t="s">
        <v>5858</v>
      </c>
      <c r="J1818" s="721" t="s">
        <v>5859</v>
      </c>
      <c r="K1818" s="721" t="s">
        <v>2044</v>
      </c>
      <c r="L1818" s="721">
        <v>1032449331</v>
      </c>
      <c r="M1818" s="721" t="s">
        <v>3180</v>
      </c>
      <c r="N1818" s="746"/>
      <c r="O1818" s="746"/>
      <c r="P1818" s="746"/>
      <c r="Q1818" s="746"/>
      <c r="R1818" s="521"/>
      <c r="S1818" s="521"/>
    </row>
    <row r="1819" spans="1:19" ht="25.5">
      <c r="A1819" s="723">
        <v>192</v>
      </c>
      <c r="B1819" s="723">
        <v>20192495009</v>
      </c>
      <c r="C1819" s="723" t="s">
        <v>5860</v>
      </c>
      <c r="D1819" s="723">
        <v>495</v>
      </c>
      <c r="E1819" s="723" t="s">
        <v>5345</v>
      </c>
      <c r="F1819" s="723" t="s">
        <v>154</v>
      </c>
      <c r="G1819" s="723" t="s">
        <v>2546</v>
      </c>
      <c r="H1819" s="723">
        <v>2</v>
      </c>
      <c r="I1819" s="723" t="s">
        <v>5861</v>
      </c>
      <c r="J1819" s="723" t="s">
        <v>5862</v>
      </c>
      <c r="K1819" s="723" t="s">
        <v>2044</v>
      </c>
      <c r="L1819" s="723">
        <v>1031148268</v>
      </c>
      <c r="M1819" s="723" t="s">
        <v>1364</v>
      </c>
      <c r="N1819" s="746"/>
      <c r="O1819" s="746"/>
      <c r="P1819" s="746"/>
      <c r="Q1819" s="746"/>
      <c r="R1819" s="521"/>
      <c r="S1819" s="521"/>
    </row>
    <row r="1820" spans="1:19" ht="25.5">
      <c r="A1820" s="721">
        <v>193</v>
      </c>
      <c r="B1820" s="721">
        <v>20192495010</v>
      </c>
      <c r="C1820" s="721" t="s">
        <v>5863</v>
      </c>
      <c r="D1820" s="721">
        <v>495</v>
      </c>
      <c r="E1820" s="721" t="s">
        <v>5345</v>
      </c>
      <c r="F1820" s="721" t="s">
        <v>154</v>
      </c>
      <c r="G1820" s="721" t="s">
        <v>2546</v>
      </c>
      <c r="H1820" s="721">
        <v>3</v>
      </c>
      <c r="I1820" s="721" t="s">
        <v>5864</v>
      </c>
      <c r="J1820" s="721" t="s">
        <v>5865</v>
      </c>
      <c r="K1820" s="721" t="s">
        <v>2044</v>
      </c>
      <c r="L1820" s="721">
        <v>1016011460</v>
      </c>
      <c r="M1820" s="721" t="s">
        <v>3180</v>
      </c>
      <c r="N1820" s="746"/>
      <c r="O1820" s="746"/>
      <c r="P1820" s="746"/>
      <c r="Q1820" s="746"/>
      <c r="R1820" s="521"/>
      <c r="S1820" s="521"/>
    </row>
    <row r="1821" spans="1:19" ht="25.5">
      <c r="A1821" s="723">
        <v>194</v>
      </c>
      <c r="B1821" s="723">
        <v>20201495004</v>
      </c>
      <c r="C1821" s="723" t="s">
        <v>5866</v>
      </c>
      <c r="D1821" s="723">
        <v>495</v>
      </c>
      <c r="E1821" s="723" t="s">
        <v>5345</v>
      </c>
      <c r="F1821" s="723" t="s">
        <v>154</v>
      </c>
      <c r="G1821" s="723" t="s">
        <v>2546</v>
      </c>
      <c r="H1821" s="723">
        <v>5</v>
      </c>
      <c r="I1821" s="723" t="s">
        <v>5867</v>
      </c>
      <c r="J1821" s="723" t="s">
        <v>5868</v>
      </c>
      <c r="K1821" s="723" t="s">
        <v>2044</v>
      </c>
      <c r="L1821" s="723">
        <v>2965707</v>
      </c>
      <c r="M1821" s="723" t="s">
        <v>3155</v>
      </c>
      <c r="N1821" s="746"/>
      <c r="O1821" s="746"/>
      <c r="P1821" s="746"/>
      <c r="Q1821" s="746"/>
      <c r="R1821" s="521"/>
      <c r="S1821" s="521"/>
    </row>
    <row r="1822" spans="1:19" ht="25.5">
      <c r="A1822" s="721">
        <v>195</v>
      </c>
      <c r="B1822" s="721">
        <v>20201495005</v>
      </c>
      <c r="C1822" s="721" t="s">
        <v>5869</v>
      </c>
      <c r="D1822" s="721">
        <v>495</v>
      </c>
      <c r="E1822" s="721" t="s">
        <v>5345</v>
      </c>
      <c r="F1822" s="721" t="s">
        <v>154</v>
      </c>
      <c r="G1822" s="721" t="s">
        <v>2546</v>
      </c>
      <c r="H1822" s="721">
        <v>1</v>
      </c>
      <c r="I1822" s="721" t="s">
        <v>5870</v>
      </c>
      <c r="J1822" s="721" t="s">
        <v>5871</v>
      </c>
      <c r="K1822" s="721" t="s">
        <v>2044</v>
      </c>
      <c r="L1822" s="721">
        <v>1010216119</v>
      </c>
      <c r="M1822" s="721" t="s">
        <v>3155</v>
      </c>
      <c r="N1822" s="746"/>
      <c r="O1822" s="746"/>
      <c r="P1822" s="746"/>
      <c r="Q1822" s="746"/>
      <c r="R1822" s="521"/>
      <c r="S1822" s="521"/>
    </row>
    <row r="1823" spans="1:19" ht="25.5">
      <c r="A1823" s="723">
        <v>196</v>
      </c>
      <c r="B1823" s="723">
        <v>20201495006</v>
      </c>
      <c r="C1823" s="723" t="s">
        <v>5872</v>
      </c>
      <c r="D1823" s="723">
        <v>495</v>
      </c>
      <c r="E1823" s="723" t="s">
        <v>5345</v>
      </c>
      <c r="F1823" s="723" t="s">
        <v>154</v>
      </c>
      <c r="G1823" s="723" t="s">
        <v>2546</v>
      </c>
      <c r="H1823" s="723">
        <v>3</v>
      </c>
      <c r="I1823" s="723" t="s">
        <v>5873</v>
      </c>
      <c r="J1823" s="723" t="s">
        <v>5873</v>
      </c>
      <c r="K1823" s="723" t="s">
        <v>2044</v>
      </c>
      <c r="L1823" s="723">
        <v>1136888127</v>
      </c>
      <c r="M1823" s="723" t="s">
        <v>3269</v>
      </c>
      <c r="N1823" s="746"/>
      <c r="O1823" s="746"/>
      <c r="P1823" s="746"/>
      <c r="Q1823" s="746"/>
      <c r="R1823" s="521"/>
      <c r="S1823" s="521"/>
    </row>
    <row r="1824" spans="1:19" ht="25.5">
      <c r="A1824" s="721">
        <v>197</v>
      </c>
      <c r="B1824" s="721">
        <v>20201495007</v>
      </c>
      <c r="C1824" s="721" t="s">
        <v>5874</v>
      </c>
      <c r="D1824" s="721">
        <v>495</v>
      </c>
      <c r="E1824" s="721" t="s">
        <v>5345</v>
      </c>
      <c r="F1824" s="721" t="s">
        <v>154</v>
      </c>
      <c r="G1824" s="721" t="s">
        <v>2546</v>
      </c>
      <c r="H1824" s="721">
        <v>3</v>
      </c>
      <c r="I1824" s="721" t="s">
        <v>5875</v>
      </c>
      <c r="J1824" s="721" t="s">
        <v>5876</v>
      </c>
      <c r="K1824" s="721" t="s">
        <v>2044</v>
      </c>
      <c r="L1824" s="721">
        <v>1016058200</v>
      </c>
      <c r="M1824" s="721" t="s">
        <v>1364</v>
      </c>
      <c r="N1824" s="746"/>
      <c r="O1824" s="746"/>
      <c r="P1824" s="746"/>
      <c r="Q1824" s="746"/>
      <c r="R1824" s="521"/>
      <c r="S1824" s="521"/>
    </row>
    <row r="1825" spans="1:19" ht="25.5">
      <c r="A1825" s="723">
        <v>198</v>
      </c>
      <c r="B1825" s="723">
        <v>20201495009</v>
      </c>
      <c r="C1825" s="723" t="s">
        <v>5877</v>
      </c>
      <c r="D1825" s="723">
        <v>495</v>
      </c>
      <c r="E1825" s="723" t="s">
        <v>5345</v>
      </c>
      <c r="F1825" s="723" t="s">
        <v>154</v>
      </c>
      <c r="G1825" s="723" t="s">
        <v>2546</v>
      </c>
      <c r="H1825" s="723">
        <v>4</v>
      </c>
      <c r="I1825" s="723"/>
      <c r="J1825" s="723" t="s">
        <v>5878</v>
      </c>
      <c r="K1825" s="723" t="s">
        <v>2044</v>
      </c>
      <c r="L1825" s="723">
        <v>1032417757</v>
      </c>
      <c r="M1825" s="723" t="s">
        <v>2543</v>
      </c>
      <c r="N1825" s="746"/>
      <c r="O1825" s="746"/>
      <c r="P1825" s="746"/>
      <c r="Q1825" s="746"/>
      <c r="R1825" s="521"/>
      <c r="S1825" s="521"/>
    </row>
    <row r="1826" spans="1:19" ht="25.5">
      <c r="A1826" s="721">
        <v>199</v>
      </c>
      <c r="B1826" s="721">
        <v>20202495001</v>
      </c>
      <c r="C1826" s="721" t="s">
        <v>5144</v>
      </c>
      <c r="D1826" s="721">
        <v>495</v>
      </c>
      <c r="E1826" s="721" t="s">
        <v>5345</v>
      </c>
      <c r="F1826" s="721" t="s">
        <v>154</v>
      </c>
      <c r="G1826" s="721" t="s">
        <v>2546</v>
      </c>
      <c r="H1826" s="721">
        <v>4</v>
      </c>
      <c r="I1826" s="721"/>
      <c r="J1826" s="721" t="s">
        <v>5145</v>
      </c>
      <c r="K1826" s="721" t="s">
        <v>2044</v>
      </c>
      <c r="L1826" s="721">
        <v>1030555964</v>
      </c>
      <c r="M1826" s="721" t="s">
        <v>3155</v>
      </c>
      <c r="N1826" s="746"/>
      <c r="O1826" s="746"/>
      <c r="P1826" s="746"/>
      <c r="Q1826" s="746"/>
      <c r="R1826" s="521"/>
      <c r="S1826" s="521"/>
    </row>
    <row r="1827" spans="1:19" ht="25.5">
      <c r="A1827" s="723">
        <v>200</v>
      </c>
      <c r="B1827" s="723">
        <v>20202495002</v>
      </c>
      <c r="C1827" s="723" t="s">
        <v>5879</v>
      </c>
      <c r="D1827" s="723">
        <v>495</v>
      </c>
      <c r="E1827" s="723" t="s">
        <v>5345</v>
      </c>
      <c r="F1827" s="723" t="s">
        <v>154</v>
      </c>
      <c r="G1827" s="723" t="s">
        <v>2546</v>
      </c>
      <c r="H1827" s="723">
        <v>2</v>
      </c>
      <c r="I1827" s="723" t="s">
        <v>5880</v>
      </c>
      <c r="J1827" s="723" t="s">
        <v>5881</v>
      </c>
      <c r="K1827" s="723" t="s">
        <v>2044</v>
      </c>
      <c r="L1827" s="723">
        <v>1075253426</v>
      </c>
      <c r="M1827" s="723" t="s">
        <v>1348</v>
      </c>
      <c r="N1827" s="746"/>
      <c r="O1827" s="746"/>
      <c r="P1827" s="746"/>
      <c r="Q1827" s="746"/>
      <c r="R1827" s="521"/>
      <c r="S1827" s="521"/>
    </row>
    <row r="1828" spans="1:19" ht="25.5">
      <c r="A1828" s="721">
        <v>201</v>
      </c>
      <c r="B1828" s="721">
        <v>20202495003</v>
      </c>
      <c r="C1828" s="721" t="s">
        <v>5882</v>
      </c>
      <c r="D1828" s="721">
        <v>495</v>
      </c>
      <c r="E1828" s="721" t="s">
        <v>5345</v>
      </c>
      <c r="F1828" s="721" t="s">
        <v>154</v>
      </c>
      <c r="G1828" s="721" t="s">
        <v>2546</v>
      </c>
      <c r="H1828" s="721">
        <v>3</v>
      </c>
      <c r="I1828" s="721" t="s">
        <v>5883</v>
      </c>
      <c r="J1828" s="721" t="s">
        <v>5883</v>
      </c>
      <c r="K1828" s="721" t="s">
        <v>2044</v>
      </c>
      <c r="L1828" s="721">
        <v>1013671289</v>
      </c>
      <c r="M1828" s="721" t="s">
        <v>3145</v>
      </c>
      <c r="N1828" s="746"/>
      <c r="O1828" s="746"/>
      <c r="P1828" s="746"/>
      <c r="Q1828" s="746"/>
      <c r="R1828" s="521"/>
      <c r="S1828" s="521"/>
    </row>
    <row r="1829" spans="1:19" ht="25.5">
      <c r="A1829" s="723">
        <v>202</v>
      </c>
      <c r="B1829" s="723">
        <v>20202495004</v>
      </c>
      <c r="C1829" s="723" t="s">
        <v>5884</v>
      </c>
      <c r="D1829" s="723">
        <v>495</v>
      </c>
      <c r="E1829" s="723" t="s">
        <v>5345</v>
      </c>
      <c r="F1829" s="723" t="s">
        <v>154</v>
      </c>
      <c r="G1829" s="723" t="s">
        <v>2546</v>
      </c>
      <c r="H1829" s="723">
        <v>3</v>
      </c>
      <c r="I1829" s="723" t="s">
        <v>5885</v>
      </c>
      <c r="J1829" s="723" t="s">
        <v>5886</v>
      </c>
      <c r="K1829" s="723" t="s">
        <v>2044</v>
      </c>
      <c r="L1829" s="723">
        <v>1012423093</v>
      </c>
      <c r="M1829" s="723" t="s">
        <v>1356</v>
      </c>
      <c r="N1829" s="746"/>
      <c r="O1829" s="746"/>
      <c r="P1829" s="746"/>
      <c r="Q1829" s="746"/>
      <c r="R1829" s="521"/>
      <c r="S1829" s="521"/>
    </row>
    <row r="1830" spans="1:19" ht="25.5">
      <c r="A1830" s="721">
        <v>203</v>
      </c>
      <c r="B1830" s="721">
        <v>20202495006</v>
      </c>
      <c r="C1830" s="721" t="s">
        <v>5887</v>
      </c>
      <c r="D1830" s="721">
        <v>495</v>
      </c>
      <c r="E1830" s="721" t="s">
        <v>5345</v>
      </c>
      <c r="F1830" s="721" t="s">
        <v>154</v>
      </c>
      <c r="G1830" s="721" t="s">
        <v>2546</v>
      </c>
      <c r="H1830" s="721">
        <v>2</v>
      </c>
      <c r="I1830" s="721"/>
      <c r="J1830" s="721" t="s">
        <v>5888</v>
      </c>
      <c r="K1830" s="721" t="s">
        <v>2044</v>
      </c>
      <c r="L1830" s="721">
        <v>1014218308</v>
      </c>
      <c r="M1830" s="721" t="s">
        <v>3155</v>
      </c>
      <c r="N1830" s="746"/>
      <c r="O1830" s="746"/>
      <c r="P1830" s="746"/>
      <c r="Q1830" s="746"/>
      <c r="R1830" s="521"/>
      <c r="S1830" s="521"/>
    </row>
    <row r="1831" spans="1:19" ht="25.5">
      <c r="A1831" s="723">
        <v>204</v>
      </c>
      <c r="B1831" s="723">
        <v>20202495007</v>
      </c>
      <c r="C1831" s="723" t="s">
        <v>5889</v>
      </c>
      <c r="D1831" s="723">
        <v>495</v>
      </c>
      <c r="E1831" s="723" t="s">
        <v>5345</v>
      </c>
      <c r="F1831" s="723" t="s">
        <v>154</v>
      </c>
      <c r="G1831" s="723" t="s">
        <v>2546</v>
      </c>
      <c r="H1831" s="723">
        <v>3</v>
      </c>
      <c r="I1831" s="723" t="s">
        <v>5890</v>
      </c>
      <c r="J1831" s="723" t="s">
        <v>5891</v>
      </c>
      <c r="K1831" s="723" t="s">
        <v>2044</v>
      </c>
      <c r="L1831" s="723">
        <v>80177612</v>
      </c>
      <c r="M1831" s="723" t="s">
        <v>1348</v>
      </c>
      <c r="N1831" s="746"/>
      <c r="O1831" s="746"/>
      <c r="P1831" s="746"/>
      <c r="Q1831" s="746"/>
      <c r="R1831" s="521"/>
      <c r="S1831" s="521"/>
    </row>
    <row r="1832" spans="1:19" ht="25.5">
      <c r="A1832" s="721">
        <v>205</v>
      </c>
      <c r="B1832" s="721">
        <v>20202495008</v>
      </c>
      <c r="C1832" s="721" t="s">
        <v>5892</v>
      </c>
      <c r="D1832" s="721">
        <v>495</v>
      </c>
      <c r="E1832" s="721" t="s">
        <v>5345</v>
      </c>
      <c r="F1832" s="721" t="s">
        <v>154</v>
      </c>
      <c r="G1832" s="721" t="s">
        <v>2546</v>
      </c>
      <c r="H1832" s="721">
        <v>3</v>
      </c>
      <c r="I1832" s="721" t="s">
        <v>5893</v>
      </c>
      <c r="J1832" s="721" t="s">
        <v>5893</v>
      </c>
      <c r="K1832" s="721" t="s">
        <v>2044</v>
      </c>
      <c r="L1832" s="721">
        <v>80055783</v>
      </c>
      <c r="M1832" s="721" t="s">
        <v>3155</v>
      </c>
      <c r="N1832" s="746"/>
      <c r="O1832" s="746"/>
      <c r="P1832" s="746"/>
      <c r="Q1832" s="746"/>
      <c r="R1832" s="521"/>
      <c r="S1832" s="521"/>
    </row>
    <row r="1833" spans="1:19" ht="25.5">
      <c r="A1833" s="723">
        <v>206</v>
      </c>
      <c r="B1833" s="723">
        <v>20202495010</v>
      </c>
      <c r="C1833" s="723" t="s">
        <v>5894</v>
      </c>
      <c r="D1833" s="723">
        <v>495</v>
      </c>
      <c r="E1833" s="723" t="s">
        <v>5345</v>
      </c>
      <c r="F1833" s="723" t="s">
        <v>154</v>
      </c>
      <c r="G1833" s="723" t="s">
        <v>2546</v>
      </c>
      <c r="H1833" s="723">
        <v>1</v>
      </c>
      <c r="I1833" s="723" t="s">
        <v>5895</v>
      </c>
      <c r="J1833" s="723" t="s">
        <v>5896</v>
      </c>
      <c r="K1833" s="723" t="s">
        <v>2044</v>
      </c>
      <c r="L1833" s="723">
        <v>79859667</v>
      </c>
      <c r="M1833" s="723" t="s">
        <v>1334</v>
      </c>
      <c r="N1833" s="746"/>
      <c r="O1833" s="746"/>
      <c r="P1833" s="746"/>
      <c r="Q1833" s="746"/>
      <c r="R1833" s="521"/>
      <c r="S1833" s="521"/>
    </row>
    <row r="1834" spans="1:19" ht="25.5">
      <c r="A1834" s="721">
        <v>207</v>
      </c>
      <c r="B1834" s="721">
        <v>20202495011</v>
      </c>
      <c r="C1834" s="721" t="s">
        <v>5897</v>
      </c>
      <c r="D1834" s="721">
        <v>495</v>
      </c>
      <c r="E1834" s="721" t="s">
        <v>5345</v>
      </c>
      <c r="F1834" s="721" t="s">
        <v>154</v>
      </c>
      <c r="G1834" s="721" t="s">
        <v>2546</v>
      </c>
      <c r="H1834" s="721">
        <v>3</v>
      </c>
      <c r="I1834" s="721"/>
      <c r="J1834" s="721" t="s">
        <v>5898</v>
      </c>
      <c r="K1834" s="721" t="s">
        <v>2044</v>
      </c>
      <c r="L1834" s="721">
        <v>1018431248</v>
      </c>
      <c r="M1834" s="721" t="s">
        <v>3155</v>
      </c>
      <c r="N1834" s="746"/>
      <c r="O1834" s="746"/>
      <c r="P1834" s="746"/>
      <c r="Q1834" s="746"/>
      <c r="R1834" s="521"/>
      <c r="S1834" s="521"/>
    </row>
    <row r="1835" spans="1:19" ht="25.5">
      <c r="A1835" s="723">
        <v>208</v>
      </c>
      <c r="B1835" s="723">
        <v>20202495015</v>
      </c>
      <c r="C1835" s="723" t="s">
        <v>5899</v>
      </c>
      <c r="D1835" s="723">
        <v>495</v>
      </c>
      <c r="E1835" s="723" t="s">
        <v>5345</v>
      </c>
      <c r="F1835" s="723" t="s">
        <v>154</v>
      </c>
      <c r="G1835" s="723" t="s">
        <v>2546</v>
      </c>
      <c r="H1835" s="723">
        <v>1</v>
      </c>
      <c r="I1835" s="723" t="s">
        <v>5900</v>
      </c>
      <c r="J1835" s="723" t="s">
        <v>5901</v>
      </c>
      <c r="K1835" s="723" t="s">
        <v>2044</v>
      </c>
      <c r="L1835" s="723">
        <v>84456696</v>
      </c>
      <c r="M1835" s="723" t="s">
        <v>1348</v>
      </c>
      <c r="N1835" s="746"/>
      <c r="O1835" s="746"/>
      <c r="P1835" s="746"/>
      <c r="Q1835" s="746"/>
      <c r="R1835" s="521"/>
      <c r="S1835" s="521"/>
    </row>
    <row r="1836" spans="1:19" ht="25.5">
      <c r="A1836" s="721">
        <v>209</v>
      </c>
      <c r="B1836" s="721">
        <v>20202495016</v>
      </c>
      <c r="C1836" s="721" t="s">
        <v>5902</v>
      </c>
      <c r="D1836" s="721">
        <v>495</v>
      </c>
      <c r="E1836" s="721" t="s">
        <v>5345</v>
      </c>
      <c r="F1836" s="721" t="s">
        <v>154</v>
      </c>
      <c r="G1836" s="721" t="s">
        <v>2546</v>
      </c>
      <c r="H1836" s="721">
        <v>3</v>
      </c>
      <c r="I1836" s="721"/>
      <c r="J1836" s="721" t="s">
        <v>5903</v>
      </c>
      <c r="K1836" s="721" t="s">
        <v>2044</v>
      </c>
      <c r="L1836" s="721">
        <v>1023936689</v>
      </c>
      <c r="M1836" s="721" t="s">
        <v>1237</v>
      </c>
      <c r="N1836" s="746"/>
      <c r="O1836" s="746"/>
      <c r="P1836" s="746"/>
      <c r="Q1836" s="746"/>
      <c r="R1836" s="521"/>
      <c r="S1836" s="521"/>
    </row>
    <row r="1837" spans="1:19" ht="25.5">
      <c r="A1837" s="723">
        <v>210</v>
      </c>
      <c r="B1837" s="723">
        <v>20202495018</v>
      </c>
      <c r="C1837" s="723" t="s">
        <v>5904</v>
      </c>
      <c r="D1837" s="723">
        <v>495</v>
      </c>
      <c r="E1837" s="723" t="s">
        <v>5345</v>
      </c>
      <c r="F1837" s="723" t="s">
        <v>154</v>
      </c>
      <c r="G1837" s="723" t="s">
        <v>2546</v>
      </c>
      <c r="H1837" s="723">
        <v>4</v>
      </c>
      <c r="I1837" s="723"/>
      <c r="J1837" s="723" t="s">
        <v>5905</v>
      </c>
      <c r="K1837" s="723" t="s">
        <v>2044</v>
      </c>
      <c r="L1837" s="723">
        <v>1020795740</v>
      </c>
      <c r="M1837" s="723" t="s">
        <v>3155</v>
      </c>
      <c r="N1837" s="746"/>
      <c r="O1837" s="746"/>
      <c r="P1837" s="746"/>
      <c r="Q1837" s="746"/>
      <c r="R1837" s="521"/>
      <c r="S1837" s="521"/>
    </row>
    <row r="1838" spans="1:19" ht="25.5">
      <c r="A1838" s="721">
        <v>211</v>
      </c>
      <c r="B1838" s="721">
        <v>20202495021</v>
      </c>
      <c r="C1838" s="721" t="s">
        <v>5906</v>
      </c>
      <c r="D1838" s="721">
        <v>495</v>
      </c>
      <c r="E1838" s="721" t="s">
        <v>5345</v>
      </c>
      <c r="F1838" s="721" t="s">
        <v>154</v>
      </c>
      <c r="G1838" s="721" t="s">
        <v>2546</v>
      </c>
      <c r="H1838" s="721">
        <v>3</v>
      </c>
      <c r="I1838" s="721" t="s">
        <v>5907</v>
      </c>
      <c r="J1838" s="721" t="s">
        <v>5908</v>
      </c>
      <c r="K1838" s="721" t="s">
        <v>2044</v>
      </c>
      <c r="L1838" s="721">
        <v>79754976</v>
      </c>
      <c r="M1838" s="721" t="s">
        <v>3145</v>
      </c>
      <c r="N1838" s="746"/>
      <c r="O1838" s="746"/>
      <c r="P1838" s="746"/>
      <c r="Q1838" s="746"/>
      <c r="R1838" s="521"/>
      <c r="S1838" s="521"/>
    </row>
    <row r="1839" spans="1:19" ht="25.5">
      <c r="A1839" s="723">
        <v>212</v>
      </c>
      <c r="B1839" s="723">
        <v>20202495022</v>
      </c>
      <c r="C1839" s="723" t="s">
        <v>5909</v>
      </c>
      <c r="D1839" s="723">
        <v>495</v>
      </c>
      <c r="E1839" s="723" t="s">
        <v>5345</v>
      </c>
      <c r="F1839" s="723" t="s">
        <v>154</v>
      </c>
      <c r="G1839" s="723" t="s">
        <v>2546</v>
      </c>
      <c r="H1839" s="723">
        <v>4</v>
      </c>
      <c r="I1839" s="723"/>
      <c r="J1839" s="723" t="s">
        <v>5910</v>
      </c>
      <c r="K1839" s="723" t="s">
        <v>2044</v>
      </c>
      <c r="L1839" s="723">
        <v>1020776836</v>
      </c>
      <c r="M1839" s="723" t="s">
        <v>1223</v>
      </c>
      <c r="N1839" s="746"/>
      <c r="O1839" s="746"/>
      <c r="P1839" s="746"/>
      <c r="Q1839" s="746"/>
      <c r="R1839" s="521"/>
      <c r="S1839" s="521"/>
    </row>
    <row r="1840" spans="1:19" ht="25.5">
      <c r="A1840" s="721">
        <v>213</v>
      </c>
      <c r="B1840" s="721">
        <v>20211495002</v>
      </c>
      <c r="C1840" s="721" t="s">
        <v>5911</v>
      </c>
      <c r="D1840" s="721">
        <v>495</v>
      </c>
      <c r="E1840" s="721" t="s">
        <v>5345</v>
      </c>
      <c r="F1840" s="721" t="s">
        <v>154</v>
      </c>
      <c r="G1840" s="721" t="s">
        <v>2546</v>
      </c>
      <c r="H1840" s="721">
        <v>3</v>
      </c>
      <c r="I1840" s="721" t="s">
        <v>5912</v>
      </c>
      <c r="J1840" s="721" t="s">
        <v>5913</v>
      </c>
      <c r="K1840" s="721" t="s">
        <v>2044</v>
      </c>
      <c r="L1840" s="721">
        <v>1030558690</v>
      </c>
      <c r="M1840" s="721" t="s">
        <v>1334</v>
      </c>
      <c r="N1840" s="746"/>
      <c r="O1840" s="746"/>
      <c r="P1840" s="746"/>
      <c r="Q1840" s="746"/>
      <c r="R1840" s="521"/>
      <c r="S1840" s="521"/>
    </row>
    <row r="1841" spans="1:19" ht="25.5">
      <c r="A1841" s="723">
        <v>214</v>
      </c>
      <c r="B1841" s="723">
        <v>20211495005</v>
      </c>
      <c r="C1841" s="723" t="s">
        <v>5914</v>
      </c>
      <c r="D1841" s="723">
        <v>495</v>
      </c>
      <c r="E1841" s="723" t="s">
        <v>5345</v>
      </c>
      <c r="F1841" s="723" t="s">
        <v>154</v>
      </c>
      <c r="G1841" s="723" t="s">
        <v>2546</v>
      </c>
      <c r="H1841" s="723">
        <v>4</v>
      </c>
      <c r="I1841" s="723" t="s">
        <v>5915</v>
      </c>
      <c r="J1841" s="723" t="s">
        <v>5916</v>
      </c>
      <c r="K1841" s="723" t="s">
        <v>2044</v>
      </c>
      <c r="L1841" s="723">
        <v>1081796843</v>
      </c>
      <c r="M1841" s="723" t="s">
        <v>1356</v>
      </c>
      <c r="N1841" s="746"/>
      <c r="O1841" s="746"/>
      <c r="P1841" s="746"/>
      <c r="Q1841" s="746"/>
      <c r="R1841" s="521"/>
      <c r="S1841" s="521"/>
    </row>
    <row r="1842" spans="1:19" ht="25.5">
      <c r="A1842" s="721">
        <v>215</v>
      </c>
      <c r="B1842" s="721">
        <v>20211495006</v>
      </c>
      <c r="C1842" s="721" t="s">
        <v>5917</v>
      </c>
      <c r="D1842" s="721">
        <v>495</v>
      </c>
      <c r="E1842" s="721" t="s">
        <v>5345</v>
      </c>
      <c r="F1842" s="721" t="s">
        <v>154</v>
      </c>
      <c r="G1842" s="721" t="s">
        <v>2546</v>
      </c>
      <c r="H1842" s="721">
        <v>3</v>
      </c>
      <c r="I1842" s="721" t="s">
        <v>5918</v>
      </c>
      <c r="J1842" s="721" t="s">
        <v>15</v>
      </c>
      <c r="K1842" s="721" t="s">
        <v>2044</v>
      </c>
      <c r="L1842" s="721">
        <v>1069099872</v>
      </c>
      <c r="M1842" s="721" t="s">
        <v>3155</v>
      </c>
      <c r="N1842" s="746"/>
      <c r="O1842" s="746"/>
      <c r="P1842" s="746"/>
      <c r="Q1842" s="746"/>
      <c r="R1842" s="521"/>
      <c r="S1842" s="521"/>
    </row>
    <row r="1843" spans="1:19" ht="25.5">
      <c r="A1843" s="723">
        <v>216</v>
      </c>
      <c r="B1843" s="723">
        <v>20211495007</v>
      </c>
      <c r="C1843" s="723" t="s">
        <v>5919</v>
      </c>
      <c r="D1843" s="723">
        <v>495</v>
      </c>
      <c r="E1843" s="723" t="s">
        <v>5345</v>
      </c>
      <c r="F1843" s="723" t="s">
        <v>154</v>
      </c>
      <c r="G1843" s="723" t="s">
        <v>2546</v>
      </c>
      <c r="H1843" s="723">
        <v>2</v>
      </c>
      <c r="I1843" s="723" t="s">
        <v>5920</v>
      </c>
      <c r="J1843" s="723" t="s">
        <v>5921</v>
      </c>
      <c r="K1843" s="723" t="s">
        <v>2044</v>
      </c>
      <c r="L1843" s="723">
        <v>80066827</v>
      </c>
      <c r="M1843" s="723" t="s">
        <v>3322</v>
      </c>
      <c r="N1843" s="746"/>
      <c r="O1843" s="746"/>
      <c r="P1843" s="746"/>
      <c r="Q1843" s="746"/>
      <c r="R1843" s="521"/>
      <c r="S1843" s="521"/>
    </row>
    <row r="1844" spans="1:19" ht="25.5">
      <c r="A1844" s="721">
        <v>217</v>
      </c>
      <c r="B1844" s="721">
        <v>20211495009</v>
      </c>
      <c r="C1844" s="721" t="s">
        <v>5922</v>
      </c>
      <c r="D1844" s="721">
        <v>495</v>
      </c>
      <c r="E1844" s="721" t="s">
        <v>5345</v>
      </c>
      <c r="F1844" s="721" t="s">
        <v>154</v>
      </c>
      <c r="G1844" s="721" t="s">
        <v>2546</v>
      </c>
      <c r="H1844" s="721" t="s">
        <v>2043</v>
      </c>
      <c r="I1844" s="721" t="s">
        <v>5923</v>
      </c>
      <c r="J1844" s="721" t="s">
        <v>5924</v>
      </c>
      <c r="K1844" s="721" t="s">
        <v>2044</v>
      </c>
      <c r="L1844" s="721">
        <v>88217405</v>
      </c>
      <c r="M1844" s="721" t="s">
        <v>3155</v>
      </c>
      <c r="N1844" s="746"/>
      <c r="O1844" s="746"/>
      <c r="P1844" s="746"/>
      <c r="Q1844" s="746"/>
      <c r="R1844" s="521"/>
      <c r="S1844" s="521"/>
    </row>
    <row r="1845" spans="1:19" ht="25.5">
      <c r="A1845" s="723">
        <v>218</v>
      </c>
      <c r="B1845" s="723">
        <v>20211495011</v>
      </c>
      <c r="C1845" s="723" t="s">
        <v>5925</v>
      </c>
      <c r="D1845" s="723">
        <v>495</v>
      </c>
      <c r="E1845" s="723" t="s">
        <v>5345</v>
      </c>
      <c r="F1845" s="723" t="s">
        <v>154</v>
      </c>
      <c r="G1845" s="723" t="s">
        <v>2546</v>
      </c>
      <c r="H1845" s="723">
        <v>2</v>
      </c>
      <c r="I1845" s="723" t="s">
        <v>5926</v>
      </c>
      <c r="J1845" s="723" t="s">
        <v>5927</v>
      </c>
      <c r="K1845" s="723" t="s">
        <v>2044</v>
      </c>
      <c r="L1845" s="723">
        <v>1010227156</v>
      </c>
      <c r="M1845" s="723" t="s">
        <v>3322</v>
      </c>
      <c r="N1845" s="746"/>
      <c r="O1845" s="746"/>
      <c r="P1845" s="746"/>
      <c r="Q1845" s="746"/>
      <c r="R1845" s="521"/>
      <c r="S1845" s="521"/>
    </row>
    <row r="1846" spans="1:19" ht="25.5">
      <c r="A1846" s="721">
        <v>219</v>
      </c>
      <c r="B1846" s="721">
        <v>20211495014</v>
      </c>
      <c r="C1846" s="721" t="s">
        <v>5928</v>
      </c>
      <c r="D1846" s="721">
        <v>495</v>
      </c>
      <c r="E1846" s="721" t="s">
        <v>5345</v>
      </c>
      <c r="F1846" s="721" t="s">
        <v>154</v>
      </c>
      <c r="G1846" s="721" t="s">
        <v>2546</v>
      </c>
      <c r="H1846" s="721">
        <v>3</v>
      </c>
      <c r="I1846" s="721" t="s">
        <v>5929</v>
      </c>
      <c r="J1846" s="721" t="s">
        <v>5930</v>
      </c>
      <c r="K1846" s="721" t="s">
        <v>2044</v>
      </c>
      <c r="L1846" s="721">
        <v>1026259673</v>
      </c>
      <c r="M1846" s="721" t="s">
        <v>3155</v>
      </c>
      <c r="N1846" s="746"/>
      <c r="O1846" s="746"/>
      <c r="P1846" s="746"/>
      <c r="Q1846" s="746"/>
      <c r="R1846" s="521"/>
      <c r="S1846" s="521"/>
    </row>
    <row r="1847" spans="1:19" ht="25.5">
      <c r="A1847" s="723">
        <v>220</v>
      </c>
      <c r="B1847" s="723">
        <v>20211495015</v>
      </c>
      <c r="C1847" s="723" t="s">
        <v>5931</v>
      </c>
      <c r="D1847" s="723">
        <v>495</v>
      </c>
      <c r="E1847" s="723" t="s">
        <v>5345</v>
      </c>
      <c r="F1847" s="723" t="s">
        <v>154</v>
      </c>
      <c r="G1847" s="723" t="s">
        <v>2546</v>
      </c>
      <c r="H1847" s="723">
        <v>2</v>
      </c>
      <c r="I1847" s="723" t="s">
        <v>5932</v>
      </c>
      <c r="J1847" s="723" t="s">
        <v>5933</v>
      </c>
      <c r="K1847" s="723" t="s">
        <v>2044</v>
      </c>
      <c r="L1847" s="723">
        <v>80188625</v>
      </c>
      <c r="M1847" s="723" t="s">
        <v>1356</v>
      </c>
      <c r="N1847" s="746"/>
      <c r="O1847" s="746"/>
      <c r="P1847" s="746"/>
      <c r="Q1847" s="746"/>
      <c r="R1847" s="521"/>
      <c r="S1847" s="521"/>
    </row>
    <row r="1848" spans="1:19" ht="25.5">
      <c r="A1848" s="721">
        <v>221</v>
      </c>
      <c r="B1848" s="721">
        <v>20212495003</v>
      </c>
      <c r="C1848" s="721" t="s">
        <v>5934</v>
      </c>
      <c r="D1848" s="721">
        <v>495</v>
      </c>
      <c r="E1848" s="721" t="s">
        <v>5345</v>
      </c>
      <c r="F1848" s="721" t="s">
        <v>154</v>
      </c>
      <c r="G1848" s="721" t="s">
        <v>2546</v>
      </c>
      <c r="H1848" s="721">
        <v>3</v>
      </c>
      <c r="I1848" s="721" t="s">
        <v>5935</v>
      </c>
      <c r="J1848" s="721" t="s">
        <v>5936</v>
      </c>
      <c r="K1848" s="721" t="s">
        <v>2044</v>
      </c>
      <c r="L1848" s="721">
        <v>4208901</v>
      </c>
      <c r="M1848" s="721" t="s">
        <v>1348</v>
      </c>
      <c r="N1848" s="746"/>
      <c r="O1848" s="746"/>
      <c r="P1848" s="746"/>
      <c r="Q1848" s="746"/>
      <c r="R1848" s="521"/>
      <c r="S1848" s="521"/>
    </row>
    <row r="1849" spans="1:19" ht="25.5">
      <c r="A1849" s="723">
        <v>222</v>
      </c>
      <c r="B1849" s="723">
        <v>20212495004</v>
      </c>
      <c r="C1849" s="723" t="s">
        <v>5937</v>
      </c>
      <c r="D1849" s="723">
        <v>495</v>
      </c>
      <c r="E1849" s="723" t="s">
        <v>5345</v>
      </c>
      <c r="F1849" s="723" t="s">
        <v>154</v>
      </c>
      <c r="G1849" s="723" t="s">
        <v>2546</v>
      </c>
      <c r="H1849" s="723">
        <v>3</v>
      </c>
      <c r="I1849" s="723" t="s">
        <v>5938</v>
      </c>
      <c r="J1849" s="723" t="s">
        <v>5939</v>
      </c>
      <c r="K1849" s="723" t="s">
        <v>2044</v>
      </c>
      <c r="L1849" s="723">
        <v>53114905</v>
      </c>
      <c r="M1849" s="723" t="s">
        <v>1237</v>
      </c>
      <c r="N1849" s="746"/>
      <c r="O1849" s="746"/>
      <c r="P1849" s="746"/>
      <c r="Q1849" s="746"/>
      <c r="R1849" s="521"/>
      <c r="S1849" s="521"/>
    </row>
    <row r="1850" spans="1:19" ht="25.5">
      <c r="A1850" s="721">
        <v>223</v>
      </c>
      <c r="B1850" s="721">
        <v>20212495005</v>
      </c>
      <c r="C1850" s="721" t="s">
        <v>5940</v>
      </c>
      <c r="D1850" s="721">
        <v>495</v>
      </c>
      <c r="E1850" s="721" t="s">
        <v>5345</v>
      </c>
      <c r="F1850" s="721" t="s">
        <v>154</v>
      </c>
      <c r="G1850" s="721" t="s">
        <v>2546</v>
      </c>
      <c r="H1850" s="721">
        <v>3</v>
      </c>
      <c r="I1850" s="721" t="s">
        <v>5941</v>
      </c>
      <c r="J1850" s="721" t="s">
        <v>5942</v>
      </c>
      <c r="K1850" s="721" t="s">
        <v>2044</v>
      </c>
      <c r="L1850" s="721">
        <v>84088422</v>
      </c>
      <c r="M1850" s="721" t="s">
        <v>1237</v>
      </c>
      <c r="N1850" s="746"/>
      <c r="O1850" s="746"/>
      <c r="P1850" s="746"/>
      <c r="Q1850" s="746"/>
      <c r="R1850" s="521"/>
      <c r="S1850" s="521"/>
    </row>
    <row r="1851" spans="1:19" ht="25.5">
      <c r="A1851" s="723">
        <v>224</v>
      </c>
      <c r="B1851" s="723">
        <v>20212495006</v>
      </c>
      <c r="C1851" s="723" t="s">
        <v>5943</v>
      </c>
      <c r="D1851" s="723">
        <v>495</v>
      </c>
      <c r="E1851" s="723" t="s">
        <v>5345</v>
      </c>
      <c r="F1851" s="723" t="s">
        <v>154</v>
      </c>
      <c r="G1851" s="723" t="s">
        <v>2546</v>
      </c>
      <c r="H1851" s="723">
        <v>3</v>
      </c>
      <c r="I1851" s="723" t="s">
        <v>5944</v>
      </c>
      <c r="J1851" s="723" t="s">
        <v>5945</v>
      </c>
      <c r="K1851" s="723" t="s">
        <v>2044</v>
      </c>
      <c r="L1851" s="723">
        <v>1018465748</v>
      </c>
      <c r="M1851" s="723" t="s">
        <v>1237</v>
      </c>
      <c r="N1851" s="746"/>
      <c r="O1851" s="746"/>
      <c r="P1851" s="746"/>
      <c r="Q1851" s="746"/>
      <c r="R1851" s="521"/>
      <c r="S1851" s="521"/>
    </row>
    <row r="1852" spans="1:19" ht="25.5">
      <c r="A1852" s="721">
        <v>225</v>
      </c>
      <c r="B1852" s="721">
        <v>20212495007</v>
      </c>
      <c r="C1852" s="721" t="s">
        <v>5946</v>
      </c>
      <c r="D1852" s="721">
        <v>495</v>
      </c>
      <c r="E1852" s="721" t="s">
        <v>5345</v>
      </c>
      <c r="F1852" s="721" t="s">
        <v>154</v>
      </c>
      <c r="G1852" s="721" t="s">
        <v>2546</v>
      </c>
      <c r="H1852" s="721">
        <v>3</v>
      </c>
      <c r="I1852" s="721" t="s">
        <v>5947</v>
      </c>
      <c r="J1852" s="721" t="s">
        <v>5948</v>
      </c>
      <c r="K1852" s="721" t="s">
        <v>2044</v>
      </c>
      <c r="L1852" s="721">
        <v>52970605</v>
      </c>
      <c r="M1852" s="721" t="s">
        <v>3322</v>
      </c>
      <c r="N1852" s="746"/>
      <c r="O1852" s="746"/>
      <c r="P1852" s="746"/>
      <c r="Q1852" s="746"/>
      <c r="R1852" s="521"/>
      <c r="S1852" s="521"/>
    </row>
    <row r="1853" spans="1:19" ht="25.5">
      <c r="A1853" s="723">
        <v>226</v>
      </c>
      <c r="B1853" s="723">
        <v>20212495008</v>
      </c>
      <c r="C1853" s="723" t="s">
        <v>5949</v>
      </c>
      <c r="D1853" s="723">
        <v>495</v>
      </c>
      <c r="E1853" s="723" t="s">
        <v>5345</v>
      </c>
      <c r="F1853" s="723" t="s">
        <v>154</v>
      </c>
      <c r="G1853" s="723" t="s">
        <v>2546</v>
      </c>
      <c r="H1853" s="723">
        <v>3</v>
      </c>
      <c r="I1853" s="723" t="s">
        <v>5950</v>
      </c>
      <c r="J1853" s="723" t="s">
        <v>5951</v>
      </c>
      <c r="K1853" s="723" t="s">
        <v>2044</v>
      </c>
      <c r="L1853" s="723">
        <v>1033701333</v>
      </c>
      <c r="M1853" s="723" t="s">
        <v>3322</v>
      </c>
      <c r="N1853" s="746"/>
      <c r="O1853" s="746"/>
      <c r="P1853" s="746"/>
      <c r="Q1853" s="746"/>
      <c r="R1853" s="521"/>
      <c r="S1853" s="521"/>
    </row>
    <row r="1854" spans="1:19" ht="25.5">
      <c r="A1854" s="721">
        <v>227</v>
      </c>
      <c r="B1854" s="721">
        <v>20221495006</v>
      </c>
      <c r="C1854" s="721" t="s">
        <v>5952</v>
      </c>
      <c r="D1854" s="721">
        <v>495</v>
      </c>
      <c r="E1854" s="721" t="s">
        <v>5345</v>
      </c>
      <c r="F1854" s="721" t="s">
        <v>154</v>
      </c>
      <c r="G1854" s="721" t="s">
        <v>2546</v>
      </c>
      <c r="H1854" s="721">
        <v>4</v>
      </c>
      <c r="I1854" s="721" t="s">
        <v>5953</v>
      </c>
      <c r="J1854" s="721" t="s">
        <v>5954</v>
      </c>
      <c r="K1854" s="721" t="s">
        <v>2044</v>
      </c>
      <c r="L1854" s="721">
        <v>1018460076</v>
      </c>
      <c r="M1854" s="721" t="s">
        <v>3145</v>
      </c>
      <c r="N1854" s="746"/>
      <c r="O1854" s="746"/>
      <c r="P1854" s="746"/>
      <c r="Q1854" s="746"/>
      <c r="R1854" s="521"/>
      <c r="S1854" s="521"/>
    </row>
    <row r="1855" spans="1:19" ht="25.5">
      <c r="A1855" s="723">
        <v>228</v>
      </c>
      <c r="B1855" s="723">
        <v>20221495008</v>
      </c>
      <c r="C1855" s="723" t="s">
        <v>5955</v>
      </c>
      <c r="D1855" s="723">
        <v>495</v>
      </c>
      <c r="E1855" s="723" t="s">
        <v>5345</v>
      </c>
      <c r="F1855" s="723" t="s">
        <v>154</v>
      </c>
      <c r="G1855" s="723" t="s">
        <v>2546</v>
      </c>
      <c r="H1855" s="723">
        <v>3</v>
      </c>
      <c r="I1855" s="723" t="s">
        <v>5956</v>
      </c>
      <c r="J1855" s="723" t="s">
        <v>5957</v>
      </c>
      <c r="K1855" s="723" t="s">
        <v>2044</v>
      </c>
      <c r="L1855" s="723">
        <v>1020734582</v>
      </c>
      <c r="M1855" s="723" t="s">
        <v>3322</v>
      </c>
      <c r="N1855" s="746"/>
      <c r="O1855" s="746"/>
      <c r="P1855" s="746"/>
      <c r="Q1855" s="746"/>
      <c r="R1855" s="521"/>
      <c r="S1855" s="521"/>
    </row>
    <row r="1856" spans="1:19" ht="25.5">
      <c r="A1856" s="721">
        <v>229</v>
      </c>
      <c r="B1856" s="721">
        <v>20221495017</v>
      </c>
      <c r="C1856" s="721" t="s">
        <v>5958</v>
      </c>
      <c r="D1856" s="721">
        <v>495</v>
      </c>
      <c r="E1856" s="721" t="s">
        <v>5345</v>
      </c>
      <c r="F1856" s="721" t="s">
        <v>154</v>
      </c>
      <c r="G1856" s="721" t="s">
        <v>2546</v>
      </c>
      <c r="H1856" s="721">
        <v>5</v>
      </c>
      <c r="I1856" s="721" t="s">
        <v>5959</v>
      </c>
      <c r="J1856" s="721" t="s">
        <v>5960</v>
      </c>
      <c r="K1856" s="721" t="s">
        <v>2044</v>
      </c>
      <c r="L1856" s="721">
        <v>1026284396</v>
      </c>
      <c r="M1856" s="721" t="s">
        <v>3145</v>
      </c>
      <c r="N1856" s="746"/>
      <c r="O1856" s="746"/>
      <c r="P1856" s="746"/>
      <c r="Q1856" s="746"/>
      <c r="R1856" s="521"/>
      <c r="S1856" s="521"/>
    </row>
    <row r="1857" spans="1:19">
      <c r="A1857" s="729"/>
      <c r="B1857" s="729"/>
      <c r="C1857" s="729"/>
      <c r="D1857" s="729"/>
      <c r="E1857" s="729"/>
      <c r="F1857" s="729"/>
      <c r="G1857" s="729"/>
      <c r="H1857" s="729"/>
      <c r="I1857" s="729"/>
      <c r="J1857" s="729"/>
      <c r="K1857" s="729"/>
      <c r="L1857" s="729"/>
      <c r="M1857" s="729"/>
      <c r="N1857" s="746"/>
      <c r="O1857" s="746"/>
      <c r="P1857" s="746"/>
      <c r="Q1857" s="746"/>
      <c r="R1857" s="521"/>
      <c r="S1857" s="521"/>
    </row>
    <row r="1858" spans="1:19">
      <c r="A1858" s="719" t="s">
        <v>2033</v>
      </c>
      <c r="B1858" s="719" t="s">
        <v>2831</v>
      </c>
      <c r="C1858"/>
      <c r="D1858"/>
      <c r="E1858"/>
      <c r="F1858"/>
      <c r="G1858"/>
      <c r="H1858"/>
      <c r="I1858"/>
      <c r="J1858"/>
      <c r="K1858"/>
      <c r="L1858"/>
      <c r="M1858"/>
      <c r="N1858" s="746"/>
      <c r="O1858" s="746"/>
      <c r="P1858" s="746"/>
      <c r="Q1858" s="746"/>
      <c r="R1858" s="521"/>
      <c r="S1858" s="521"/>
    </row>
    <row r="1859" spans="1:19" ht="38.25">
      <c r="A1859" s="719" t="s">
        <v>3</v>
      </c>
      <c r="B1859" s="719" t="s">
        <v>5961</v>
      </c>
      <c r="C1859"/>
      <c r="D1859"/>
      <c r="E1859"/>
      <c r="F1859"/>
      <c r="G1859"/>
      <c r="H1859"/>
      <c r="I1859"/>
      <c r="J1859"/>
      <c r="K1859"/>
      <c r="L1859"/>
      <c r="M1859"/>
      <c r="N1859" s="746"/>
      <c r="O1859" s="746"/>
      <c r="P1859" s="746"/>
      <c r="Q1859" s="746"/>
      <c r="R1859" s="521"/>
      <c r="S1859" s="521"/>
    </row>
    <row r="1860" spans="1:19" ht="25.5">
      <c r="A1860" s="720" t="s">
        <v>2035</v>
      </c>
      <c r="B1860" s="720" t="s">
        <v>2036</v>
      </c>
      <c r="C1860" s="720" t="s">
        <v>1</v>
      </c>
      <c r="D1860" s="720" t="s">
        <v>2037</v>
      </c>
      <c r="E1860" s="720" t="s">
        <v>3</v>
      </c>
      <c r="F1860" s="720" t="s">
        <v>4</v>
      </c>
      <c r="G1860" s="720" t="s">
        <v>2038</v>
      </c>
      <c r="H1860" s="720" t="s">
        <v>6</v>
      </c>
      <c r="I1860" s="720" t="s">
        <v>7</v>
      </c>
      <c r="J1860" s="720" t="s">
        <v>8</v>
      </c>
      <c r="K1860" s="720" t="s">
        <v>2039</v>
      </c>
      <c r="L1860" s="720" t="s">
        <v>10</v>
      </c>
      <c r="M1860" s="720" t="s">
        <v>2040</v>
      </c>
      <c r="N1860" s="746"/>
      <c r="O1860" s="746"/>
      <c r="P1860" s="746"/>
      <c r="Q1860" s="746"/>
      <c r="R1860" s="521"/>
      <c r="S1860" s="521"/>
    </row>
    <row r="1861" spans="1:19">
      <c r="A1861" s="721">
        <v>1</v>
      </c>
      <c r="B1861" s="721">
        <v>20151195002</v>
      </c>
      <c r="C1861" s="721" t="s">
        <v>5962</v>
      </c>
      <c r="D1861" s="721">
        <v>595</v>
      </c>
      <c r="E1861" s="721" t="s">
        <v>5961</v>
      </c>
      <c r="F1861" s="721" t="s">
        <v>37</v>
      </c>
      <c r="G1861" s="721" t="s">
        <v>2834</v>
      </c>
      <c r="H1861" s="721">
        <v>2</v>
      </c>
      <c r="I1861" s="721" t="s">
        <v>5963</v>
      </c>
      <c r="J1861" s="721" t="s">
        <v>5964</v>
      </c>
      <c r="K1861" s="721" t="s">
        <v>2044</v>
      </c>
      <c r="L1861" s="721">
        <v>1013601302</v>
      </c>
      <c r="M1861" s="721" t="s">
        <v>2837</v>
      </c>
      <c r="N1861" s="746"/>
      <c r="O1861" s="746"/>
      <c r="P1861" s="746"/>
      <c r="Q1861" s="746"/>
      <c r="R1861" s="521"/>
      <c r="S1861" s="521"/>
    </row>
    <row r="1862" spans="1:19">
      <c r="A1862" s="723">
        <v>2</v>
      </c>
      <c r="B1862" s="723">
        <v>20171495002</v>
      </c>
      <c r="C1862" s="723" t="s">
        <v>5965</v>
      </c>
      <c r="D1862" s="723">
        <v>595</v>
      </c>
      <c r="E1862" s="723" t="s">
        <v>5961</v>
      </c>
      <c r="F1862" s="723" t="s">
        <v>37</v>
      </c>
      <c r="G1862" s="723" t="s">
        <v>2834</v>
      </c>
      <c r="H1862" s="723">
        <v>3</v>
      </c>
      <c r="I1862" s="723" t="s">
        <v>5966</v>
      </c>
      <c r="J1862" s="723" t="s">
        <v>5967</v>
      </c>
      <c r="K1862" s="723" t="s">
        <v>2044</v>
      </c>
      <c r="L1862" s="723">
        <v>1030530500</v>
      </c>
      <c r="M1862" s="723" t="s">
        <v>2837</v>
      </c>
      <c r="N1862" s="746"/>
      <c r="O1862" s="746"/>
      <c r="P1862" s="746"/>
      <c r="Q1862" s="746"/>
      <c r="R1862" s="521"/>
      <c r="S1862" s="521"/>
    </row>
    <row r="1863" spans="1:19">
      <c r="A1863" s="721">
        <v>3</v>
      </c>
      <c r="B1863" s="721">
        <v>20171495020</v>
      </c>
      <c r="C1863" s="721" t="s">
        <v>5968</v>
      </c>
      <c r="D1863" s="721">
        <v>595</v>
      </c>
      <c r="E1863" s="721" t="s">
        <v>5961</v>
      </c>
      <c r="F1863" s="721" t="s">
        <v>37</v>
      </c>
      <c r="G1863" s="721" t="s">
        <v>2834</v>
      </c>
      <c r="H1863" s="721" t="s">
        <v>2043</v>
      </c>
      <c r="I1863" s="721" t="s">
        <v>5969</v>
      </c>
      <c r="J1863" s="721" t="s">
        <v>5970</v>
      </c>
      <c r="K1863" s="721" t="s">
        <v>2044</v>
      </c>
      <c r="L1863" s="721">
        <v>80742478</v>
      </c>
      <c r="M1863" s="721" t="s">
        <v>2837</v>
      </c>
      <c r="N1863" s="746"/>
      <c r="O1863" s="746"/>
      <c r="P1863" s="746"/>
      <c r="Q1863" s="746"/>
      <c r="R1863" s="521"/>
      <c r="S1863" s="521"/>
    </row>
    <row r="1864" spans="1:19">
      <c r="A1864" s="723">
        <v>4</v>
      </c>
      <c r="B1864" s="723">
        <v>20172495004</v>
      </c>
      <c r="C1864" s="723" t="s">
        <v>5971</v>
      </c>
      <c r="D1864" s="723">
        <v>595</v>
      </c>
      <c r="E1864" s="723" t="s">
        <v>5961</v>
      </c>
      <c r="F1864" s="723" t="s">
        <v>37</v>
      </c>
      <c r="G1864" s="723" t="s">
        <v>2834</v>
      </c>
      <c r="H1864" s="723">
        <v>4</v>
      </c>
      <c r="I1864" s="723" t="s">
        <v>5972</v>
      </c>
      <c r="J1864" s="723" t="s">
        <v>5973</v>
      </c>
      <c r="K1864" s="723" t="s">
        <v>2044</v>
      </c>
      <c r="L1864" s="723">
        <v>1015399142</v>
      </c>
      <c r="M1864" s="723" t="s">
        <v>2837</v>
      </c>
      <c r="N1864" s="746"/>
      <c r="O1864" s="746"/>
      <c r="P1864" s="746"/>
      <c r="Q1864" s="746"/>
      <c r="R1864" s="521"/>
      <c r="S1864" s="521"/>
    </row>
    <row r="1865" spans="1:19">
      <c r="A1865" s="721">
        <v>5</v>
      </c>
      <c r="B1865" s="721">
        <v>20172495013</v>
      </c>
      <c r="C1865" s="721" t="s">
        <v>5974</v>
      </c>
      <c r="D1865" s="721">
        <v>595</v>
      </c>
      <c r="E1865" s="721" t="s">
        <v>5961</v>
      </c>
      <c r="F1865" s="721" t="s">
        <v>37</v>
      </c>
      <c r="G1865" s="721" t="s">
        <v>2834</v>
      </c>
      <c r="H1865" s="721">
        <v>2</v>
      </c>
      <c r="I1865" s="721" t="s">
        <v>5975</v>
      </c>
      <c r="J1865" s="721" t="s">
        <v>5976</v>
      </c>
      <c r="K1865" s="721" t="s">
        <v>2044</v>
      </c>
      <c r="L1865" s="721">
        <v>1030593353</v>
      </c>
      <c r="M1865" s="721" t="s">
        <v>2837</v>
      </c>
      <c r="N1865" s="746"/>
      <c r="O1865" s="746"/>
      <c r="P1865" s="746"/>
      <c r="Q1865" s="746"/>
      <c r="R1865" s="521"/>
      <c r="S1865" s="521"/>
    </row>
    <row r="1866" spans="1:19">
      <c r="A1866" s="723">
        <v>6</v>
      </c>
      <c r="B1866" s="723">
        <v>20181195011</v>
      </c>
      <c r="C1866" s="723" t="s">
        <v>5977</v>
      </c>
      <c r="D1866" s="723">
        <v>595</v>
      </c>
      <c r="E1866" s="723" t="s">
        <v>5961</v>
      </c>
      <c r="F1866" s="723" t="s">
        <v>37</v>
      </c>
      <c r="G1866" s="723" t="s">
        <v>2834</v>
      </c>
      <c r="H1866" s="723" t="s">
        <v>2043</v>
      </c>
      <c r="I1866" s="723" t="s">
        <v>5978</v>
      </c>
      <c r="J1866" s="723" t="s">
        <v>5979</v>
      </c>
      <c r="K1866" s="723" t="s">
        <v>2044</v>
      </c>
      <c r="L1866" s="723">
        <v>10305394</v>
      </c>
      <c r="M1866" s="723" t="s">
        <v>2837</v>
      </c>
      <c r="N1866" s="746"/>
      <c r="O1866" s="746"/>
      <c r="P1866" s="746"/>
      <c r="Q1866" s="746"/>
      <c r="R1866" s="521"/>
      <c r="S1866" s="521"/>
    </row>
    <row r="1867" spans="1:19">
      <c r="A1867" s="721">
        <v>7</v>
      </c>
      <c r="B1867" s="721">
        <v>20181395001</v>
      </c>
      <c r="C1867" s="721" t="s">
        <v>5980</v>
      </c>
      <c r="D1867" s="721">
        <v>595</v>
      </c>
      <c r="E1867" s="721" t="s">
        <v>5961</v>
      </c>
      <c r="F1867" s="721" t="s">
        <v>37</v>
      </c>
      <c r="G1867" s="721" t="s">
        <v>2834</v>
      </c>
      <c r="H1867" s="721">
        <v>3</v>
      </c>
      <c r="I1867" s="721" t="s">
        <v>5981</v>
      </c>
      <c r="J1867" s="721" t="s">
        <v>5982</v>
      </c>
      <c r="K1867" s="721" t="s">
        <v>2044</v>
      </c>
      <c r="L1867" s="721">
        <v>1074135036</v>
      </c>
      <c r="M1867" s="721" t="s">
        <v>2837</v>
      </c>
      <c r="N1867" s="746"/>
      <c r="O1867" s="746"/>
      <c r="P1867" s="746"/>
      <c r="Q1867" s="746"/>
      <c r="R1867" s="521"/>
      <c r="S1867" s="521"/>
    </row>
    <row r="1868" spans="1:19">
      <c r="A1868" s="723">
        <v>8</v>
      </c>
      <c r="B1868" s="723">
        <v>20181395005</v>
      </c>
      <c r="C1868" s="723" t="s">
        <v>5983</v>
      </c>
      <c r="D1868" s="723">
        <v>595</v>
      </c>
      <c r="E1868" s="723" t="s">
        <v>5961</v>
      </c>
      <c r="F1868" s="723" t="s">
        <v>37</v>
      </c>
      <c r="G1868" s="723" t="s">
        <v>2834</v>
      </c>
      <c r="H1868" s="723">
        <v>3</v>
      </c>
      <c r="I1868" s="723" t="s">
        <v>5984</v>
      </c>
      <c r="J1868" s="723" t="s">
        <v>5985</v>
      </c>
      <c r="K1868" s="723" t="s">
        <v>2044</v>
      </c>
      <c r="L1868" s="723">
        <v>79986940</v>
      </c>
      <c r="M1868" s="723" t="s">
        <v>2837</v>
      </c>
      <c r="N1868" s="746"/>
      <c r="O1868" s="746"/>
      <c r="P1868" s="746"/>
      <c r="Q1868" s="746"/>
      <c r="R1868" s="521"/>
      <c r="S1868" s="521"/>
    </row>
    <row r="1869" spans="1:19">
      <c r="A1869" s="721">
        <v>9</v>
      </c>
      <c r="B1869" s="721">
        <v>20181495009</v>
      </c>
      <c r="C1869" s="721" t="s">
        <v>5986</v>
      </c>
      <c r="D1869" s="721">
        <v>595</v>
      </c>
      <c r="E1869" s="721" t="s">
        <v>5961</v>
      </c>
      <c r="F1869" s="721" t="s">
        <v>37</v>
      </c>
      <c r="G1869" s="721" t="s">
        <v>2834</v>
      </c>
      <c r="H1869" s="721">
        <v>4</v>
      </c>
      <c r="I1869" s="721" t="s">
        <v>5987</v>
      </c>
      <c r="J1869" s="721" t="s">
        <v>5988</v>
      </c>
      <c r="K1869" s="721" t="s">
        <v>2044</v>
      </c>
      <c r="L1869" s="721">
        <v>1088592425</v>
      </c>
      <c r="M1869" s="721" t="s">
        <v>2837</v>
      </c>
      <c r="N1869" s="746"/>
      <c r="O1869" s="746"/>
      <c r="P1869" s="746"/>
      <c r="Q1869" s="746"/>
      <c r="R1869" s="521"/>
      <c r="S1869" s="521"/>
    </row>
    <row r="1870" spans="1:19">
      <c r="A1870" s="723">
        <v>10</v>
      </c>
      <c r="B1870" s="723">
        <v>20181495011</v>
      </c>
      <c r="C1870" s="723" t="s">
        <v>5989</v>
      </c>
      <c r="D1870" s="723">
        <v>595</v>
      </c>
      <c r="E1870" s="723" t="s">
        <v>5961</v>
      </c>
      <c r="F1870" s="723" t="s">
        <v>37</v>
      </c>
      <c r="G1870" s="723" t="s">
        <v>2834</v>
      </c>
      <c r="H1870" s="723">
        <v>3</v>
      </c>
      <c r="I1870" s="723" t="s">
        <v>5990</v>
      </c>
      <c r="J1870" s="723" t="s">
        <v>5991</v>
      </c>
      <c r="K1870" s="723" t="s">
        <v>2044</v>
      </c>
      <c r="L1870" s="723">
        <v>1015438359</v>
      </c>
      <c r="M1870" s="723" t="s">
        <v>2837</v>
      </c>
      <c r="N1870" s="746"/>
      <c r="O1870" s="746"/>
      <c r="P1870" s="746"/>
      <c r="Q1870" s="746"/>
      <c r="R1870" s="521"/>
      <c r="S1870" s="521"/>
    </row>
    <row r="1871" spans="1:19">
      <c r="A1871" s="721">
        <v>11</v>
      </c>
      <c r="B1871" s="721">
        <v>20182195006</v>
      </c>
      <c r="C1871" s="721" t="s">
        <v>5992</v>
      </c>
      <c r="D1871" s="721">
        <v>595</v>
      </c>
      <c r="E1871" s="721" t="s">
        <v>5961</v>
      </c>
      <c r="F1871" s="721" t="s">
        <v>37</v>
      </c>
      <c r="G1871" s="721" t="s">
        <v>2834</v>
      </c>
      <c r="H1871" s="721">
        <v>3</v>
      </c>
      <c r="I1871" s="721" t="s">
        <v>5993</v>
      </c>
      <c r="J1871" s="721" t="s">
        <v>5994</v>
      </c>
      <c r="K1871" s="721" t="s">
        <v>2044</v>
      </c>
      <c r="L1871" s="721">
        <v>85475351</v>
      </c>
      <c r="M1871" s="721" t="s">
        <v>2837</v>
      </c>
      <c r="N1871" s="746"/>
      <c r="O1871" s="746"/>
      <c r="P1871" s="746"/>
      <c r="Q1871" s="746"/>
      <c r="R1871" s="521"/>
      <c r="S1871" s="521"/>
    </row>
    <row r="1872" spans="1:19">
      <c r="A1872" s="723">
        <v>12</v>
      </c>
      <c r="B1872" s="723">
        <v>20241595002</v>
      </c>
      <c r="C1872" s="723" t="s">
        <v>5995</v>
      </c>
      <c r="D1872" s="723">
        <v>595</v>
      </c>
      <c r="E1872" s="723" t="s">
        <v>5961</v>
      </c>
      <c r="F1872" s="723" t="s">
        <v>37</v>
      </c>
      <c r="G1872" s="723" t="s">
        <v>2834</v>
      </c>
      <c r="H1872" s="723">
        <v>2</v>
      </c>
      <c r="I1872" s="723" t="s">
        <v>5996</v>
      </c>
      <c r="J1872" s="723" t="s">
        <v>5997</v>
      </c>
      <c r="K1872" s="723" t="s">
        <v>2044</v>
      </c>
      <c r="L1872" s="723">
        <v>1014298952</v>
      </c>
      <c r="M1872" s="723" t="s">
        <v>2837</v>
      </c>
      <c r="N1872" s="746"/>
      <c r="O1872" s="746"/>
      <c r="P1872" s="746"/>
      <c r="Q1872" s="746"/>
      <c r="R1872" s="521"/>
      <c r="S1872" s="521"/>
    </row>
    <row r="1873" spans="1:19" ht="14.25" customHeight="1">
      <c r="A1873" s="721">
        <v>13</v>
      </c>
      <c r="B1873" s="721">
        <v>20241595003</v>
      </c>
      <c r="C1873" s="721" t="s">
        <v>5998</v>
      </c>
      <c r="D1873" s="721">
        <v>595</v>
      </c>
      <c r="E1873" s="721" t="s">
        <v>5961</v>
      </c>
      <c r="F1873" s="721" t="s">
        <v>37</v>
      </c>
      <c r="G1873" s="721" t="s">
        <v>2834</v>
      </c>
      <c r="H1873" s="721">
        <v>3</v>
      </c>
      <c r="I1873" s="721" t="s">
        <v>5999</v>
      </c>
      <c r="J1873" s="721" t="s">
        <v>6000</v>
      </c>
      <c r="K1873" s="721" t="s">
        <v>2044</v>
      </c>
      <c r="L1873" s="721">
        <v>1032457392</v>
      </c>
      <c r="M1873" s="721" t="s">
        <v>2837</v>
      </c>
      <c r="N1873" s="746"/>
      <c r="O1873" s="746"/>
      <c r="P1873" s="746"/>
      <c r="Q1873" s="746"/>
      <c r="R1873" s="521"/>
      <c r="S1873" s="521"/>
    </row>
    <row r="1874" spans="1:19" ht="14.25" customHeight="1">
      <c r="A1874" s="723">
        <v>14</v>
      </c>
      <c r="B1874" s="723">
        <v>20241595005</v>
      </c>
      <c r="C1874" s="723" t="s">
        <v>6001</v>
      </c>
      <c r="D1874" s="723">
        <v>595</v>
      </c>
      <c r="E1874" s="723" t="s">
        <v>5961</v>
      </c>
      <c r="F1874" s="723" t="s">
        <v>37</v>
      </c>
      <c r="G1874" s="723" t="s">
        <v>2834</v>
      </c>
      <c r="H1874" s="723">
        <v>3</v>
      </c>
      <c r="I1874" s="723" t="s">
        <v>6002</v>
      </c>
      <c r="J1874" s="723" t="s">
        <v>6003</v>
      </c>
      <c r="K1874" s="723" t="s">
        <v>2044</v>
      </c>
      <c r="L1874" s="723">
        <v>1031170176</v>
      </c>
      <c r="M1874" s="723" t="s">
        <v>2837</v>
      </c>
      <c r="N1874" s="746"/>
      <c r="O1874" s="746"/>
      <c r="P1874" s="746"/>
      <c r="Q1874" s="746"/>
      <c r="R1874" s="521"/>
      <c r="S1874" s="521"/>
    </row>
    <row r="1875" spans="1:19">
      <c r="A1875" s="721">
        <v>15</v>
      </c>
      <c r="B1875" s="721">
        <v>20241595007</v>
      </c>
      <c r="C1875" s="721" t="s">
        <v>6004</v>
      </c>
      <c r="D1875" s="721">
        <v>595</v>
      </c>
      <c r="E1875" s="721" t="s">
        <v>5961</v>
      </c>
      <c r="F1875" s="721" t="s">
        <v>37</v>
      </c>
      <c r="G1875" s="721" t="s">
        <v>2834</v>
      </c>
      <c r="H1875" s="721">
        <v>4</v>
      </c>
      <c r="I1875" s="721" t="s">
        <v>6005</v>
      </c>
      <c r="J1875" s="721" t="s">
        <v>6006</v>
      </c>
      <c r="K1875" s="721" t="s">
        <v>2044</v>
      </c>
      <c r="L1875" s="721">
        <v>1026264347</v>
      </c>
      <c r="M1875" s="721" t="s">
        <v>2837</v>
      </c>
      <c r="N1875" s="746"/>
      <c r="O1875" s="746"/>
      <c r="P1875" s="746"/>
      <c r="Q1875" s="746"/>
      <c r="R1875" s="521"/>
      <c r="S1875" s="521"/>
    </row>
    <row r="1876" spans="1:19">
      <c r="A1876" s="723">
        <v>16</v>
      </c>
      <c r="B1876" s="723">
        <v>20241595008</v>
      </c>
      <c r="C1876" s="723" t="s">
        <v>6007</v>
      </c>
      <c r="D1876" s="723">
        <v>595</v>
      </c>
      <c r="E1876" s="723" t="s">
        <v>5961</v>
      </c>
      <c r="F1876" s="723" t="s">
        <v>37</v>
      </c>
      <c r="G1876" s="723" t="s">
        <v>2834</v>
      </c>
      <c r="H1876" s="723">
        <v>1</v>
      </c>
      <c r="I1876" s="723" t="s">
        <v>6008</v>
      </c>
      <c r="J1876" s="723" t="s">
        <v>6009</v>
      </c>
      <c r="K1876" s="723" t="s">
        <v>2044</v>
      </c>
      <c r="L1876" s="723">
        <v>1022432262</v>
      </c>
      <c r="M1876" s="723" t="s">
        <v>2837</v>
      </c>
      <c r="N1876" s="746"/>
      <c r="O1876" s="746"/>
      <c r="P1876" s="746"/>
      <c r="Q1876" s="746"/>
      <c r="R1876" s="521"/>
      <c r="S1876" s="521"/>
    </row>
    <row r="1877" spans="1:19">
      <c r="A1877" s="721">
        <v>17</v>
      </c>
      <c r="B1877" s="721">
        <v>20241595012</v>
      </c>
      <c r="C1877" s="721" t="s">
        <v>6010</v>
      </c>
      <c r="D1877" s="721">
        <v>595</v>
      </c>
      <c r="E1877" s="721" t="s">
        <v>5961</v>
      </c>
      <c r="F1877" s="721" t="s">
        <v>37</v>
      </c>
      <c r="G1877" s="721" t="s">
        <v>2834</v>
      </c>
      <c r="H1877" s="721">
        <v>1</v>
      </c>
      <c r="I1877" s="721" t="s">
        <v>6011</v>
      </c>
      <c r="J1877" s="721" t="s">
        <v>6012</v>
      </c>
      <c r="K1877" s="721" t="s">
        <v>2044</v>
      </c>
      <c r="L1877" s="721">
        <v>1023005034</v>
      </c>
      <c r="M1877" s="721" t="s">
        <v>2837</v>
      </c>
      <c r="N1877" s="746"/>
      <c r="O1877" s="746"/>
      <c r="P1877" s="746"/>
      <c r="Q1877" s="746"/>
      <c r="R1877" s="521"/>
      <c r="S1877" s="521"/>
    </row>
    <row r="1878" spans="1:19">
      <c r="A1878" s="723">
        <v>18</v>
      </c>
      <c r="B1878" s="723">
        <v>20242595001</v>
      </c>
      <c r="C1878" s="723" t="s">
        <v>6013</v>
      </c>
      <c r="D1878" s="723">
        <v>595</v>
      </c>
      <c r="E1878" s="723" t="s">
        <v>5961</v>
      </c>
      <c r="F1878" s="723" t="s">
        <v>37</v>
      </c>
      <c r="G1878" s="723" t="s">
        <v>2834</v>
      </c>
      <c r="H1878" s="723">
        <v>2</v>
      </c>
      <c r="I1878" s="723" t="s">
        <v>6014</v>
      </c>
      <c r="J1878" s="723" t="s">
        <v>6015</v>
      </c>
      <c r="K1878" s="723" t="s">
        <v>2044</v>
      </c>
      <c r="L1878" s="723">
        <v>1000514921</v>
      </c>
      <c r="M1878" s="723" t="s">
        <v>2837</v>
      </c>
      <c r="N1878" s="746"/>
      <c r="O1878" s="746"/>
      <c r="P1878" s="746"/>
      <c r="Q1878" s="746"/>
      <c r="R1878" s="521"/>
      <c r="S1878" s="521"/>
    </row>
    <row r="1879" spans="1:19">
      <c r="A1879" s="721">
        <v>19</v>
      </c>
      <c r="B1879" s="721">
        <v>20242595002</v>
      </c>
      <c r="C1879" s="721" t="s">
        <v>6016</v>
      </c>
      <c r="D1879" s="721">
        <v>595</v>
      </c>
      <c r="E1879" s="721" t="s">
        <v>5961</v>
      </c>
      <c r="F1879" s="721" t="s">
        <v>37</v>
      </c>
      <c r="G1879" s="721" t="s">
        <v>2834</v>
      </c>
      <c r="H1879" s="721">
        <v>1</v>
      </c>
      <c r="I1879" s="721" t="s">
        <v>6017</v>
      </c>
      <c r="J1879" s="721" t="s">
        <v>6018</v>
      </c>
      <c r="K1879" s="721" t="s">
        <v>2044</v>
      </c>
      <c r="L1879" s="721">
        <v>1018462980</v>
      </c>
      <c r="M1879" s="721" t="s">
        <v>2837</v>
      </c>
      <c r="N1879" s="746"/>
      <c r="O1879" s="746"/>
      <c r="P1879" s="746"/>
      <c r="Q1879" s="746"/>
      <c r="R1879" s="521"/>
      <c r="S1879" s="521"/>
    </row>
    <row r="1880" spans="1:19">
      <c r="A1880" s="723">
        <v>20</v>
      </c>
      <c r="B1880" s="723">
        <v>20242595005</v>
      </c>
      <c r="C1880" s="723" t="s">
        <v>6019</v>
      </c>
      <c r="D1880" s="723">
        <v>595</v>
      </c>
      <c r="E1880" s="723" t="s">
        <v>5961</v>
      </c>
      <c r="F1880" s="723" t="s">
        <v>37</v>
      </c>
      <c r="G1880" s="723" t="s">
        <v>2834</v>
      </c>
      <c r="H1880" s="723">
        <v>2</v>
      </c>
      <c r="I1880" s="723" t="s">
        <v>6020</v>
      </c>
      <c r="J1880" s="723" t="s">
        <v>6021</v>
      </c>
      <c r="K1880" s="723" t="s">
        <v>2044</v>
      </c>
      <c r="L1880" s="723">
        <v>1033798653</v>
      </c>
      <c r="M1880" s="723" t="s">
        <v>2837</v>
      </c>
      <c r="N1880" s="746"/>
      <c r="O1880" s="746"/>
      <c r="P1880" s="746"/>
      <c r="Q1880" s="746"/>
      <c r="R1880" s="521"/>
      <c r="S1880" s="521"/>
    </row>
    <row r="1881" spans="1:19" ht="14.25" customHeight="1">
      <c r="A1881" s="721">
        <v>21</v>
      </c>
      <c r="B1881" s="721">
        <v>20251595001</v>
      </c>
      <c r="C1881" s="721" t="s">
        <v>6022</v>
      </c>
      <c r="D1881" s="721">
        <v>595</v>
      </c>
      <c r="E1881" s="721" t="s">
        <v>5961</v>
      </c>
      <c r="F1881" s="721" t="s">
        <v>37</v>
      </c>
      <c r="G1881" s="721" t="s">
        <v>2834</v>
      </c>
      <c r="H1881" s="721">
        <v>2</v>
      </c>
      <c r="I1881" s="721" t="s">
        <v>6023</v>
      </c>
      <c r="J1881" s="721" t="s">
        <v>6023</v>
      </c>
      <c r="K1881" s="721" t="s">
        <v>2044</v>
      </c>
      <c r="L1881" s="721">
        <v>1016060113</v>
      </c>
      <c r="M1881" s="721" t="s">
        <v>2837</v>
      </c>
      <c r="N1881" s="746"/>
      <c r="O1881" s="746"/>
      <c r="P1881" s="746"/>
      <c r="Q1881" s="746"/>
      <c r="R1881" s="521"/>
      <c r="S1881" s="521"/>
    </row>
    <row r="1882" spans="1:19">
      <c r="A1882" s="723">
        <v>22</v>
      </c>
      <c r="B1882" s="723">
        <v>20251595002</v>
      </c>
      <c r="C1882" s="723" t="s">
        <v>6024</v>
      </c>
      <c r="D1882" s="723">
        <v>595</v>
      </c>
      <c r="E1882" s="723" t="s">
        <v>5961</v>
      </c>
      <c r="F1882" s="723" t="s">
        <v>37</v>
      </c>
      <c r="G1882" s="723" t="s">
        <v>2834</v>
      </c>
      <c r="H1882" s="723">
        <v>4</v>
      </c>
      <c r="I1882" s="723"/>
      <c r="J1882" s="723" t="s">
        <v>6025</v>
      </c>
      <c r="K1882" s="723" t="s">
        <v>2044</v>
      </c>
      <c r="L1882" s="723">
        <v>1024543666</v>
      </c>
      <c r="M1882" s="723" t="s">
        <v>2837</v>
      </c>
      <c r="N1882" s="746"/>
      <c r="O1882" s="746"/>
      <c r="P1882" s="746"/>
      <c r="Q1882" s="746"/>
      <c r="R1882" s="521"/>
      <c r="S1882" s="521"/>
    </row>
    <row r="1883" spans="1:19">
      <c r="A1883" s="721">
        <v>23</v>
      </c>
      <c r="B1883" s="721">
        <v>20251595004</v>
      </c>
      <c r="C1883" s="721" t="s">
        <v>6026</v>
      </c>
      <c r="D1883" s="721">
        <v>595</v>
      </c>
      <c r="E1883" s="721" t="s">
        <v>5961</v>
      </c>
      <c r="F1883" s="721" t="s">
        <v>37</v>
      </c>
      <c r="G1883" s="721" t="s">
        <v>2834</v>
      </c>
      <c r="H1883" s="721">
        <v>3</v>
      </c>
      <c r="I1883" s="721" t="s">
        <v>6027</v>
      </c>
      <c r="J1883" s="721" t="s">
        <v>6027</v>
      </c>
      <c r="K1883" s="721" t="s">
        <v>2044</v>
      </c>
      <c r="L1883" s="721">
        <v>1233912172</v>
      </c>
      <c r="M1883" s="721" t="s">
        <v>2837</v>
      </c>
      <c r="N1883" s="746"/>
      <c r="O1883" s="746"/>
      <c r="P1883" s="746"/>
      <c r="Q1883" s="746"/>
      <c r="R1883" s="521"/>
      <c r="S1883" s="521"/>
    </row>
    <row r="1884" spans="1:19">
      <c r="A1884" s="723">
        <v>24</v>
      </c>
      <c r="B1884" s="723">
        <v>20251595006</v>
      </c>
      <c r="C1884" s="723" t="s">
        <v>6028</v>
      </c>
      <c r="D1884" s="723">
        <v>595</v>
      </c>
      <c r="E1884" s="723" t="s">
        <v>5961</v>
      </c>
      <c r="F1884" s="723" t="s">
        <v>37</v>
      </c>
      <c r="G1884" s="723" t="s">
        <v>2834</v>
      </c>
      <c r="H1884" s="723">
        <v>3</v>
      </c>
      <c r="I1884" s="723" t="s">
        <v>6029</v>
      </c>
      <c r="J1884" s="723" t="s">
        <v>6029</v>
      </c>
      <c r="K1884" s="723" t="s">
        <v>2044</v>
      </c>
      <c r="L1884" s="723">
        <v>1018511461</v>
      </c>
      <c r="M1884" s="723" t="s">
        <v>2837</v>
      </c>
      <c r="N1884" s="746"/>
      <c r="O1884" s="746"/>
      <c r="P1884" s="746"/>
      <c r="Q1884" s="746"/>
      <c r="R1884" s="521"/>
      <c r="S1884" s="521"/>
    </row>
    <row r="1885" spans="1:19">
      <c r="A1885" s="721">
        <v>25</v>
      </c>
      <c r="B1885" s="721">
        <v>20252595001</v>
      </c>
      <c r="C1885" s="721" t="s">
        <v>6030</v>
      </c>
      <c r="D1885" s="721">
        <v>595</v>
      </c>
      <c r="E1885" s="721" t="s">
        <v>5961</v>
      </c>
      <c r="F1885" s="721" t="s">
        <v>37</v>
      </c>
      <c r="G1885" s="721" t="s">
        <v>2834</v>
      </c>
      <c r="H1885" s="721" t="s">
        <v>2043</v>
      </c>
      <c r="I1885" s="721" t="s">
        <v>6031</v>
      </c>
      <c r="J1885" s="721" t="s">
        <v>6032</v>
      </c>
      <c r="K1885" s="721" t="s">
        <v>2044</v>
      </c>
      <c r="L1885" s="721">
        <v>1233501304</v>
      </c>
      <c r="M1885" s="721" t="s">
        <v>2837</v>
      </c>
      <c r="N1885" s="746"/>
      <c r="O1885" s="746"/>
      <c r="P1885" s="746"/>
      <c r="Q1885" s="746"/>
      <c r="R1885" s="521"/>
      <c r="S1885" s="521"/>
    </row>
    <row r="1886" spans="1:19">
      <c r="A1886" s="723">
        <v>26</v>
      </c>
      <c r="B1886" s="723">
        <v>20252595002</v>
      </c>
      <c r="C1886" s="723" t="s">
        <v>6033</v>
      </c>
      <c r="D1886" s="723">
        <v>595</v>
      </c>
      <c r="E1886" s="723" t="s">
        <v>5961</v>
      </c>
      <c r="F1886" s="723" t="s">
        <v>37</v>
      </c>
      <c r="G1886" s="723" t="s">
        <v>2834</v>
      </c>
      <c r="H1886" s="723" t="s">
        <v>2043</v>
      </c>
      <c r="I1886" s="723" t="s">
        <v>6034</v>
      </c>
      <c r="J1886" s="723" t="s">
        <v>6034</v>
      </c>
      <c r="K1886" s="723" t="s">
        <v>2044</v>
      </c>
      <c r="L1886" s="723">
        <v>1069756743</v>
      </c>
      <c r="M1886" s="723" t="s">
        <v>2837</v>
      </c>
      <c r="N1886" s="746"/>
      <c r="O1886" s="746"/>
      <c r="P1886" s="746"/>
      <c r="Q1886" s="746"/>
      <c r="R1886" s="521"/>
      <c r="S1886" s="521"/>
    </row>
    <row r="1887" spans="1:19" ht="14.25" customHeight="1">
      <c r="A1887" s="721">
        <v>27</v>
      </c>
      <c r="B1887" s="721">
        <v>20252595004</v>
      </c>
      <c r="C1887" s="721" t="s">
        <v>6035</v>
      </c>
      <c r="D1887" s="721">
        <v>595</v>
      </c>
      <c r="E1887" s="721" t="s">
        <v>5961</v>
      </c>
      <c r="F1887" s="721" t="s">
        <v>37</v>
      </c>
      <c r="G1887" s="721" t="s">
        <v>2834</v>
      </c>
      <c r="H1887" s="721" t="s">
        <v>2043</v>
      </c>
      <c r="I1887" s="721" t="s">
        <v>6036</v>
      </c>
      <c r="J1887" s="721" t="s">
        <v>6036</v>
      </c>
      <c r="K1887" s="721" t="s">
        <v>2044</v>
      </c>
      <c r="L1887" s="721">
        <v>1010226009</v>
      </c>
      <c r="M1887" s="721" t="s">
        <v>2837</v>
      </c>
      <c r="N1887" s="746"/>
      <c r="O1887" s="746"/>
      <c r="P1887" s="746"/>
      <c r="Q1887" s="746"/>
      <c r="R1887" s="521"/>
      <c r="S1887" s="521"/>
    </row>
    <row r="1888" spans="1:19" ht="14.25" customHeight="1">
      <c r="A1888" s="723">
        <v>28</v>
      </c>
      <c r="B1888" s="723">
        <v>20252595005</v>
      </c>
      <c r="C1888" s="723" t="s">
        <v>6037</v>
      </c>
      <c r="D1888" s="723">
        <v>595</v>
      </c>
      <c r="E1888" s="723" t="s">
        <v>5961</v>
      </c>
      <c r="F1888" s="723" t="s">
        <v>37</v>
      </c>
      <c r="G1888" s="723" t="s">
        <v>2834</v>
      </c>
      <c r="H1888" s="723" t="s">
        <v>2043</v>
      </c>
      <c r="I1888" s="723" t="s">
        <v>6038</v>
      </c>
      <c r="J1888" s="723" t="s">
        <v>6039</v>
      </c>
      <c r="K1888" s="723" t="s">
        <v>2044</v>
      </c>
      <c r="L1888" s="723">
        <v>1007652105</v>
      </c>
      <c r="M1888" s="723" t="s">
        <v>2837</v>
      </c>
      <c r="N1888" s="746"/>
      <c r="O1888" s="746"/>
      <c r="P1888" s="746"/>
      <c r="Q1888" s="746"/>
      <c r="R1888" s="521"/>
      <c r="S1888" s="521"/>
    </row>
    <row r="1889" spans="1:19">
      <c r="A1889" s="721">
        <v>29</v>
      </c>
      <c r="B1889" s="721">
        <v>20252595006</v>
      </c>
      <c r="C1889" s="721" t="s">
        <v>6040</v>
      </c>
      <c r="D1889" s="721">
        <v>595</v>
      </c>
      <c r="E1889" s="721" t="s">
        <v>5961</v>
      </c>
      <c r="F1889" s="721" t="s">
        <v>37</v>
      </c>
      <c r="G1889" s="721" t="s">
        <v>2834</v>
      </c>
      <c r="H1889" s="721" t="s">
        <v>2043</v>
      </c>
      <c r="I1889" s="721" t="s">
        <v>6041</v>
      </c>
      <c r="J1889" s="721" t="s">
        <v>6041</v>
      </c>
      <c r="K1889" s="721" t="s">
        <v>2044</v>
      </c>
      <c r="L1889" s="721">
        <v>1030565426</v>
      </c>
      <c r="M1889" s="721" t="s">
        <v>2837</v>
      </c>
      <c r="N1889" s="746"/>
      <c r="O1889" s="746"/>
      <c r="P1889" s="746"/>
      <c r="Q1889" s="746"/>
      <c r="R1889" s="521"/>
      <c r="S1889" s="521"/>
    </row>
    <row r="1890" spans="1:19">
      <c r="A1890" s="723">
        <v>30</v>
      </c>
      <c r="B1890" s="723">
        <v>20252595007</v>
      </c>
      <c r="C1890" s="723" t="s">
        <v>6042</v>
      </c>
      <c r="D1890" s="723">
        <v>595</v>
      </c>
      <c r="E1890" s="723" t="s">
        <v>5961</v>
      </c>
      <c r="F1890" s="723" t="s">
        <v>37</v>
      </c>
      <c r="G1890" s="723" t="s">
        <v>2834</v>
      </c>
      <c r="H1890" s="723" t="s">
        <v>2043</v>
      </c>
      <c r="I1890" s="723" t="s">
        <v>6043</v>
      </c>
      <c r="J1890" s="723" t="s">
        <v>6043</v>
      </c>
      <c r="K1890" s="723" t="s">
        <v>2044</v>
      </c>
      <c r="L1890" s="723">
        <v>1010068826</v>
      </c>
      <c r="M1890" s="723" t="s">
        <v>2837</v>
      </c>
      <c r="N1890" s="746"/>
      <c r="O1890" s="746"/>
      <c r="P1890" s="746"/>
      <c r="Q1890" s="746"/>
      <c r="R1890" s="521"/>
      <c r="S1890" s="521"/>
    </row>
    <row r="1891" spans="1:19">
      <c r="A1891" s="721">
        <v>31</v>
      </c>
      <c r="B1891" s="721">
        <v>20252595008</v>
      </c>
      <c r="C1891" s="721" t="s">
        <v>6044</v>
      </c>
      <c r="D1891" s="721">
        <v>595</v>
      </c>
      <c r="E1891" s="721" t="s">
        <v>5961</v>
      </c>
      <c r="F1891" s="721" t="s">
        <v>37</v>
      </c>
      <c r="G1891" s="721" t="s">
        <v>2834</v>
      </c>
      <c r="H1891" s="721" t="s">
        <v>2043</v>
      </c>
      <c r="I1891" s="721" t="s">
        <v>6045</v>
      </c>
      <c r="J1891" s="721" t="s">
        <v>6046</v>
      </c>
      <c r="K1891" s="721" t="s">
        <v>2044</v>
      </c>
      <c r="L1891" s="721">
        <v>1007228171</v>
      </c>
      <c r="M1891" s="721" t="s">
        <v>2837</v>
      </c>
      <c r="N1891" s="746"/>
      <c r="O1891" s="746"/>
      <c r="P1891" s="746"/>
      <c r="Q1891" s="746"/>
      <c r="R1891" s="521"/>
      <c r="S1891" s="521"/>
    </row>
    <row r="1892" spans="1:19">
      <c r="A1892" s="723">
        <v>32</v>
      </c>
      <c r="B1892" s="723">
        <v>20261595002</v>
      </c>
      <c r="C1892" s="723" t="s">
        <v>6047</v>
      </c>
      <c r="D1892" s="723">
        <v>595</v>
      </c>
      <c r="E1892" s="723" t="s">
        <v>5961</v>
      </c>
      <c r="F1892" s="723" t="s">
        <v>37</v>
      </c>
      <c r="G1892" s="723" t="s">
        <v>2834</v>
      </c>
      <c r="H1892" s="723" t="s">
        <v>2043</v>
      </c>
      <c r="I1892" s="723"/>
      <c r="J1892" s="723" t="s">
        <v>6048</v>
      </c>
      <c r="K1892" s="723" t="s">
        <v>2044</v>
      </c>
      <c r="L1892" s="723">
        <v>1007157323</v>
      </c>
      <c r="M1892" s="723" t="s">
        <v>2837</v>
      </c>
      <c r="N1892" s="746"/>
      <c r="O1892" s="746"/>
      <c r="P1892" s="746"/>
      <c r="Q1892" s="746"/>
      <c r="R1892" s="521"/>
      <c r="S1892" s="521"/>
    </row>
    <row r="1893" spans="1:19">
      <c r="A1893" s="721">
        <v>33</v>
      </c>
      <c r="B1893" s="721">
        <v>20261595003</v>
      </c>
      <c r="C1893" s="721" t="s">
        <v>6049</v>
      </c>
      <c r="D1893" s="721">
        <v>595</v>
      </c>
      <c r="E1893" s="721" t="s">
        <v>5961</v>
      </c>
      <c r="F1893" s="721" t="s">
        <v>37</v>
      </c>
      <c r="G1893" s="721" t="s">
        <v>2834</v>
      </c>
      <c r="H1893" s="721" t="s">
        <v>2043</v>
      </c>
      <c r="I1893" s="721"/>
      <c r="J1893" s="721" t="s">
        <v>6050</v>
      </c>
      <c r="K1893" s="721" t="s">
        <v>2044</v>
      </c>
      <c r="L1893" s="721">
        <v>1000320241</v>
      </c>
      <c r="M1893" s="721" t="s">
        <v>2837</v>
      </c>
      <c r="N1893" s="746"/>
      <c r="O1893" s="746"/>
      <c r="P1893" s="746"/>
      <c r="Q1893" s="746"/>
      <c r="R1893" s="521"/>
      <c r="S1893" s="521"/>
    </row>
    <row r="1894" spans="1:19">
      <c r="A1894" s="723">
        <v>34</v>
      </c>
      <c r="B1894" s="723">
        <v>20261595004</v>
      </c>
      <c r="C1894" s="723" t="s">
        <v>6051</v>
      </c>
      <c r="D1894" s="723">
        <v>595</v>
      </c>
      <c r="E1894" s="723" t="s">
        <v>5961</v>
      </c>
      <c r="F1894" s="723" t="s">
        <v>37</v>
      </c>
      <c r="G1894" s="723" t="s">
        <v>2834</v>
      </c>
      <c r="H1894" s="723">
        <v>2</v>
      </c>
      <c r="I1894" s="723"/>
      <c r="J1894" s="723" t="s">
        <v>6052</v>
      </c>
      <c r="K1894" s="723" t="s">
        <v>2044</v>
      </c>
      <c r="L1894" s="723">
        <v>1001088586</v>
      </c>
      <c r="M1894" s="723" t="s">
        <v>2837</v>
      </c>
      <c r="N1894" s="746"/>
      <c r="O1894" s="746"/>
      <c r="P1894" s="746"/>
      <c r="Q1894" s="746"/>
      <c r="R1894" s="521"/>
      <c r="S1894" s="521"/>
    </row>
    <row r="1895" spans="1:19">
      <c r="A1895" s="721">
        <v>35</v>
      </c>
      <c r="B1895" s="721">
        <v>20261595005</v>
      </c>
      <c r="C1895" s="721" t="s">
        <v>6053</v>
      </c>
      <c r="D1895" s="721">
        <v>595</v>
      </c>
      <c r="E1895" s="721" t="s">
        <v>5961</v>
      </c>
      <c r="F1895" s="721" t="s">
        <v>37</v>
      </c>
      <c r="G1895" s="721" t="s">
        <v>2834</v>
      </c>
      <c r="H1895" s="721" t="s">
        <v>2043</v>
      </c>
      <c r="I1895" s="721"/>
      <c r="J1895" s="721" t="s">
        <v>6054</v>
      </c>
      <c r="K1895" s="721" t="s">
        <v>2044</v>
      </c>
      <c r="L1895" s="721">
        <v>1001171278</v>
      </c>
      <c r="M1895" s="721" t="s">
        <v>2837</v>
      </c>
      <c r="N1895" s="746"/>
      <c r="O1895" s="746"/>
      <c r="P1895" s="746"/>
      <c r="Q1895" s="746"/>
      <c r="R1895" s="521"/>
      <c r="S1895" s="521"/>
    </row>
    <row r="1896" spans="1:19">
      <c r="A1896" s="723">
        <v>36</v>
      </c>
      <c r="B1896" s="723">
        <v>20261595006</v>
      </c>
      <c r="C1896" s="723" t="s">
        <v>6055</v>
      </c>
      <c r="D1896" s="723">
        <v>595</v>
      </c>
      <c r="E1896" s="723" t="s">
        <v>5961</v>
      </c>
      <c r="F1896" s="723" t="s">
        <v>37</v>
      </c>
      <c r="G1896" s="723" t="s">
        <v>2834</v>
      </c>
      <c r="H1896" s="723" t="s">
        <v>2043</v>
      </c>
      <c r="I1896" s="723" t="s">
        <v>6056</v>
      </c>
      <c r="J1896" s="723" t="s">
        <v>6057</v>
      </c>
      <c r="K1896" s="723" t="s">
        <v>2044</v>
      </c>
      <c r="L1896" s="723">
        <v>80882851</v>
      </c>
      <c r="M1896" s="723" t="s">
        <v>2837</v>
      </c>
      <c r="N1896" s="746"/>
      <c r="O1896" s="746"/>
      <c r="P1896" s="746"/>
      <c r="Q1896" s="746"/>
      <c r="R1896" s="521"/>
      <c r="S1896" s="521"/>
    </row>
    <row r="1897" spans="1:19">
      <c r="A1897" s="721">
        <v>37</v>
      </c>
      <c r="B1897" s="721">
        <v>20262595001</v>
      </c>
      <c r="C1897" s="721" t="s">
        <v>6058</v>
      </c>
      <c r="D1897" s="721">
        <v>595</v>
      </c>
      <c r="E1897" s="721" t="s">
        <v>5961</v>
      </c>
      <c r="F1897" s="721" t="s">
        <v>37</v>
      </c>
      <c r="G1897" s="721" t="s">
        <v>2834</v>
      </c>
      <c r="H1897" s="721" t="s">
        <v>2043</v>
      </c>
      <c r="I1897" s="721" t="s">
        <v>6059</v>
      </c>
      <c r="J1897" s="721" t="s">
        <v>6060</v>
      </c>
      <c r="K1897" s="721" t="s">
        <v>2044</v>
      </c>
      <c r="L1897" s="721">
        <v>1022322616</v>
      </c>
      <c r="M1897" s="721" t="s">
        <v>2837</v>
      </c>
      <c r="N1897" s="746"/>
      <c r="O1897" s="746"/>
      <c r="P1897" s="746"/>
      <c r="Q1897" s="746"/>
      <c r="R1897" s="521"/>
      <c r="S1897" s="521"/>
    </row>
    <row r="1898" spans="1:19">
      <c r="A1898" s="723">
        <v>38</v>
      </c>
      <c r="B1898" s="723">
        <v>20262595004</v>
      </c>
      <c r="C1898" s="723" t="s">
        <v>6061</v>
      </c>
      <c r="D1898" s="723">
        <v>595</v>
      </c>
      <c r="E1898" s="723" t="s">
        <v>5961</v>
      </c>
      <c r="F1898" s="723" t="s">
        <v>37</v>
      </c>
      <c r="G1898" s="723" t="s">
        <v>2834</v>
      </c>
      <c r="H1898" s="723" t="s">
        <v>2043</v>
      </c>
      <c r="I1898" s="723" t="s">
        <v>6062</v>
      </c>
      <c r="J1898" s="723" t="s">
        <v>6063</v>
      </c>
      <c r="K1898" s="723" t="s">
        <v>2044</v>
      </c>
      <c r="L1898" s="723">
        <v>1000380291</v>
      </c>
      <c r="M1898" s="723" t="s">
        <v>2837</v>
      </c>
      <c r="N1898" s="746"/>
      <c r="O1898" s="746"/>
      <c r="P1898" s="746"/>
      <c r="Q1898" s="746"/>
      <c r="R1898" s="521"/>
      <c r="S1898" s="521"/>
    </row>
    <row r="1899" spans="1:19">
      <c r="A1899" s="721">
        <v>39</v>
      </c>
      <c r="B1899" s="721">
        <v>20262595005</v>
      </c>
      <c r="C1899" s="721" t="s">
        <v>6064</v>
      </c>
      <c r="D1899" s="721">
        <v>595</v>
      </c>
      <c r="E1899" s="721" t="s">
        <v>5961</v>
      </c>
      <c r="F1899" s="721" t="s">
        <v>37</v>
      </c>
      <c r="G1899" s="721" t="s">
        <v>2834</v>
      </c>
      <c r="H1899" s="721" t="s">
        <v>2043</v>
      </c>
      <c r="I1899" s="721" t="s">
        <v>6065</v>
      </c>
      <c r="J1899" s="721" t="s">
        <v>6065</v>
      </c>
      <c r="K1899" s="721" t="s">
        <v>2044</v>
      </c>
      <c r="L1899" s="721">
        <v>1000063717</v>
      </c>
      <c r="M1899" s="721" t="s">
        <v>2837</v>
      </c>
      <c r="N1899" s="746"/>
      <c r="O1899" s="746"/>
      <c r="P1899" s="746"/>
      <c r="Q1899" s="746"/>
      <c r="R1899" s="521"/>
      <c r="S1899" s="521"/>
    </row>
    <row r="1900" spans="1:19">
      <c r="A1900" s="723">
        <v>40</v>
      </c>
      <c r="B1900" s="723">
        <v>20262595006</v>
      </c>
      <c r="C1900" s="723" t="s">
        <v>6066</v>
      </c>
      <c r="D1900" s="723">
        <v>595</v>
      </c>
      <c r="E1900" s="723" t="s">
        <v>5961</v>
      </c>
      <c r="F1900" s="723" t="s">
        <v>37</v>
      </c>
      <c r="G1900" s="723" t="s">
        <v>2834</v>
      </c>
      <c r="H1900" s="723" t="s">
        <v>2043</v>
      </c>
      <c r="I1900" s="723" t="s">
        <v>6067</v>
      </c>
      <c r="J1900" s="723" t="s">
        <v>6068</v>
      </c>
      <c r="K1900" s="723" t="s">
        <v>2044</v>
      </c>
      <c r="L1900" s="723">
        <v>1031167678</v>
      </c>
      <c r="M1900" s="723" t="s">
        <v>2837</v>
      </c>
      <c r="N1900" s="746"/>
      <c r="O1900" s="746"/>
      <c r="P1900" s="746"/>
      <c r="Q1900" s="746"/>
      <c r="R1900" s="521"/>
      <c r="S1900" s="521"/>
    </row>
    <row r="1901" spans="1:19">
      <c r="A1901" s="725" t="s">
        <v>2292</v>
      </c>
      <c r="B1901" s="725" t="s">
        <v>2292</v>
      </c>
      <c r="C1901" s="725" t="s">
        <v>2292</v>
      </c>
      <c r="D1901" s="725" t="s">
        <v>2292</v>
      </c>
      <c r="E1901" s="725" t="s">
        <v>2292</v>
      </c>
      <c r="F1901" s="725" t="s">
        <v>2292</v>
      </c>
      <c r="G1901" s="725" t="s">
        <v>2292</v>
      </c>
      <c r="H1901" s="725" t="s">
        <v>2292</v>
      </c>
      <c r="I1901" s="725" t="s">
        <v>2292</v>
      </c>
      <c r="J1901" s="725" t="s">
        <v>2292</v>
      </c>
      <c r="K1901" s="725" t="s">
        <v>2292</v>
      </c>
      <c r="L1901" s="725" t="s">
        <v>2292</v>
      </c>
      <c r="M1901" s="725" t="s">
        <v>2292</v>
      </c>
      <c r="N1901" s="746"/>
      <c r="O1901" s="746"/>
      <c r="P1901" s="746"/>
      <c r="Q1901" s="746"/>
      <c r="R1901" s="521"/>
      <c r="S1901" s="521"/>
    </row>
    <row r="1902" spans="1:19">
      <c r="A1902" s="719" t="s">
        <v>2033</v>
      </c>
      <c r="B1902" s="719" t="s">
        <v>2034</v>
      </c>
      <c r="C1902"/>
      <c r="D1902"/>
      <c r="E1902"/>
      <c r="F1902"/>
      <c r="G1902"/>
      <c r="H1902"/>
      <c r="I1902"/>
      <c r="J1902"/>
      <c r="K1902"/>
      <c r="L1902"/>
      <c r="M1902"/>
      <c r="N1902" s="746"/>
      <c r="O1902" s="746"/>
      <c r="P1902" s="746"/>
      <c r="Q1902" s="746"/>
      <c r="R1902" s="521"/>
      <c r="S1902" s="521"/>
    </row>
    <row r="1903" spans="1:19" ht="25.5">
      <c r="A1903" s="720" t="s">
        <v>2035</v>
      </c>
      <c r="B1903" s="720" t="s">
        <v>2036</v>
      </c>
      <c r="C1903" s="720" t="s">
        <v>1</v>
      </c>
      <c r="D1903" s="720" t="s">
        <v>2037</v>
      </c>
      <c r="E1903" s="720" t="s">
        <v>3</v>
      </c>
      <c r="F1903" s="720" t="s">
        <v>4</v>
      </c>
      <c r="G1903" s="720" t="s">
        <v>2038</v>
      </c>
      <c r="H1903" s="720" t="s">
        <v>6</v>
      </c>
      <c r="I1903" s="720" t="s">
        <v>7</v>
      </c>
      <c r="J1903" s="720" t="s">
        <v>8</v>
      </c>
      <c r="K1903" s="720" t="s">
        <v>2039</v>
      </c>
      <c r="L1903" s="720" t="s">
        <v>10</v>
      </c>
      <c r="M1903" s="720" t="s">
        <v>2040</v>
      </c>
      <c r="N1903" s="746"/>
      <c r="O1903" s="746"/>
      <c r="P1903" s="746"/>
      <c r="Q1903" s="746"/>
      <c r="R1903" s="521"/>
      <c r="S1903" s="521"/>
    </row>
    <row r="1904" spans="1:19">
      <c r="A1904" s="721">
        <v>41</v>
      </c>
      <c r="B1904" s="721">
        <v>20171495007</v>
      </c>
      <c r="C1904" s="721" t="s">
        <v>6069</v>
      </c>
      <c r="D1904" s="721">
        <v>595</v>
      </c>
      <c r="E1904" s="721" t="s">
        <v>5961</v>
      </c>
      <c r="F1904" s="721" t="s">
        <v>84</v>
      </c>
      <c r="G1904" s="721" t="s">
        <v>2042</v>
      </c>
      <c r="H1904" s="721">
        <v>3</v>
      </c>
      <c r="I1904" s="721" t="s">
        <v>6070</v>
      </c>
      <c r="J1904" s="721" t="s">
        <v>6071</v>
      </c>
      <c r="K1904" s="721" t="s">
        <v>2044</v>
      </c>
      <c r="L1904" s="721">
        <v>1016009768</v>
      </c>
      <c r="M1904" s="721" t="s">
        <v>1364</v>
      </c>
      <c r="N1904" s="746"/>
      <c r="O1904" s="746"/>
      <c r="P1904" s="746"/>
      <c r="Q1904" s="746"/>
      <c r="R1904" s="521"/>
      <c r="S1904" s="521"/>
    </row>
    <row r="1905" spans="1:19">
      <c r="A1905" s="723">
        <v>42</v>
      </c>
      <c r="B1905" s="723">
        <v>20171495019</v>
      </c>
      <c r="C1905" s="723" t="s">
        <v>6072</v>
      </c>
      <c r="D1905" s="723">
        <v>595</v>
      </c>
      <c r="E1905" s="723" t="s">
        <v>5961</v>
      </c>
      <c r="F1905" s="723" t="s">
        <v>84</v>
      </c>
      <c r="G1905" s="723" t="s">
        <v>2042</v>
      </c>
      <c r="H1905" s="723">
        <v>2</v>
      </c>
      <c r="I1905" s="723" t="s">
        <v>6073</v>
      </c>
      <c r="J1905" s="723" t="s">
        <v>6074</v>
      </c>
      <c r="K1905" s="723" t="s">
        <v>2044</v>
      </c>
      <c r="L1905" s="723">
        <v>1022925119</v>
      </c>
      <c r="M1905" s="723" t="s">
        <v>1364</v>
      </c>
      <c r="N1905" s="746"/>
      <c r="O1905" s="746"/>
      <c r="P1905" s="746"/>
      <c r="Q1905" s="746"/>
      <c r="R1905" s="521"/>
      <c r="S1905" s="521"/>
    </row>
    <row r="1906" spans="1:19">
      <c r="A1906" s="721">
        <v>43</v>
      </c>
      <c r="B1906" s="721">
        <v>20241595006</v>
      </c>
      <c r="C1906" s="721" t="s">
        <v>6075</v>
      </c>
      <c r="D1906" s="721">
        <v>595</v>
      </c>
      <c r="E1906" s="721" t="s">
        <v>5961</v>
      </c>
      <c r="F1906" s="721" t="s">
        <v>84</v>
      </c>
      <c r="G1906" s="721" t="s">
        <v>2042</v>
      </c>
      <c r="H1906" s="721" t="s">
        <v>2043</v>
      </c>
      <c r="I1906" s="721" t="s">
        <v>6076</v>
      </c>
      <c r="J1906" s="721" t="s">
        <v>6077</v>
      </c>
      <c r="K1906" s="721" t="s">
        <v>2044</v>
      </c>
      <c r="L1906" s="721">
        <v>1233492968</v>
      </c>
      <c r="M1906" s="721" t="s">
        <v>1364</v>
      </c>
      <c r="N1906" s="746"/>
      <c r="O1906" s="746"/>
      <c r="P1906" s="746"/>
      <c r="Q1906" s="746"/>
      <c r="R1906" s="521"/>
      <c r="S1906" s="521"/>
    </row>
    <row r="1907" spans="1:19">
      <c r="A1907" s="723">
        <v>44</v>
      </c>
      <c r="B1907" s="723">
        <v>20241595011</v>
      </c>
      <c r="C1907" s="723" t="s">
        <v>6078</v>
      </c>
      <c r="D1907" s="723">
        <v>595</v>
      </c>
      <c r="E1907" s="723" t="s">
        <v>5961</v>
      </c>
      <c r="F1907" s="723" t="s">
        <v>84</v>
      </c>
      <c r="G1907" s="723" t="s">
        <v>2042</v>
      </c>
      <c r="H1907" s="723" t="s">
        <v>2043</v>
      </c>
      <c r="I1907" s="723" t="s">
        <v>6079</v>
      </c>
      <c r="J1907" s="723" t="s">
        <v>6080</v>
      </c>
      <c r="K1907" s="723" t="s">
        <v>2044</v>
      </c>
      <c r="L1907" s="723">
        <v>1014294978</v>
      </c>
      <c r="M1907" s="723" t="s">
        <v>1364</v>
      </c>
      <c r="N1907" s="746"/>
      <c r="O1907" s="746"/>
      <c r="P1907" s="746"/>
      <c r="Q1907" s="746"/>
      <c r="R1907" s="521"/>
      <c r="S1907" s="521"/>
    </row>
    <row r="1908" spans="1:19">
      <c r="A1908" s="725" t="s">
        <v>2292</v>
      </c>
      <c r="B1908" s="725" t="s">
        <v>2292</v>
      </c>
      <c r="C1908" s="725" t="s">
        <v>2292</v>
      </c>
      <c r="D1908" s="725" t="s">
        <v>2292</v>
      </c>
      <c r="E1908" s="725" t="s">
        <v>2292</v>
      </c>
      <c r="F1908" s="725" t="s">
        <v>2292</v>
      </c>
      <c r="G1908" s="725" t="s">
        <v>2292</v>
      </c>
      <c r="H1908" s="725" t="s">
        <v>2292</v>
      </c>
      <c r="I1908" s="725" t="s">
        <v>2292</v>
      </c>
      <c r="J1908" s="725" t="s">
        <v>2292</v>
      </c>
      <c r="K1908" s="725" t="s">
        <v>2292</v>
      </c>
      <c r="L1908" s="725" t="s">
        <v>2292</v>
      </c>
      <c r="M1908" s="725" t="s">
        <v>2292</v>
      </c>
      <c r="N1908" s="746"/>
      <c r="O1908" s="746"/>
      <c r="P1908" s="746"/>
      <c r="Q1908" s="746"/>
      <c r="R1908" s="521"/>
      <c r="S1908" s="521"/>
    </row>
    <row r="1909" spans="1:19">
      <c r="A1909" s="719" t="s">
        <v>2033</v>
      </c>
      <c r="B1909" s="719" t="s">
        <v>2529</v>
      </c>
      <c r="C1909"/>
      <c r="D1909"/>
      <c r="E1909"/>
      <c r="F1909"/>
      <c r="G1909"/>
      <c r="H1909"/>
      <c r="I1909"/>
      <c r="J1909"/>
      <c r="K1909"/>
      <c r="L1909"/>
      <c r="M1909"/>
      <c r="N1909" s="746"/>
      <c r="O1909" s="746"/>
      <c r="P1909" s="746"/>
      <c r="Q1909" s="746"/>
      <c r="R1909" s="521"/>
      <c r="S1909" s="521"/>
    </row>
    <row r="1910" spans="1:19" ht="25.5">
      <c r="A1910" s="720" t="s">
        <v>2035</v>
      </c>
      <c r="B1910" s="720" t="s">
        <v>2036</v>
      </c>
      <c r="C1910" s="720" t="s">
        <v>1</v>
      </c>
      <c r="D1910" s="720" t="s">
        <v>2037</v>
      </c>
      <c r="E1910" s="720" t="s">
        <v>3</v>
      </c>
      <c r="F1910" s="720" t="s">
        <v>4</v>
      </c>
      <c r="G1910" s="720" t="s">
        <v>2038</v>
      </c>
      <c r="H1910" s="720" t="s">
        <v>6</v>
      </c>
      <c r="I1910" s="720" t="s">
        <v>7</v>
      </c>
      <c r="J1910" s="720" t="s">
        <v>8</v>
      </c>
      <c r="K1910" s="720" t="s">
        <v>2039</v>
      </c>
      <c r="L1910" s="720" t="s">
        <v>10</v>
      </c>
      <c r="M1910" s="720" t="s">
        <v>2040</v>
      </c>
      <c r="N1910" s="746"/>
      <c r="O1910" s="746"/>
      <c r="P1910" s="746"/>
      <c r="Q1910" s="746"/>
      <c r="R1910" s="521"/>
      <c r="S1910" s="521"/>
    </row>
    <row r="1911" spans="1:19">
      <c r="A1911" s="721">
        <v>45</v>
      </c>
      <c r="B1911" s="721">
        <v>20241595004</v>
      </c>
      <c r="C1911" s="721" t="s">
        <v>6081</v>
      </c>
      <c r="D1911" s="721">
        <v>595</v>
      </c>
      <c r="E1911" s="721" t="s">
        <v>5961</v>
      </c>
      <c r="F1911" s="721" t="s">
        <v>122</v>
      </c>
      <c r="G1911" s="721" t="s">
        <v>108</v>
      </c>
      <c r="H1911" s="721" t="s">
        <v>2043</v>
      </c>
      <c r="I1911" s="721"/>
      <c r="J1911" s="721" t="s">
        <v>6082</v>
      </c>
      <c r="K1911" s="721" t="s">
        <v>2044</v>
      </c>
      <c r="L1911" s="721">
        <v>1033749269</v>
      </c>
      <c r="M1911" s="722" t="s">
        <v>955</v>
      </c>
      <c r="N1911" s="746"/>
      <c r="O1911" s="746"/>
      <c r="P1911" s="746"/>
      <c r="Q1911" s="746"/>
      <c r="R1911" s="521"/>
      <c r="S1911" s="521"/>
    </row>
    <row r="1912" spans="1:19">
      <c r="A1912" s="723">
        <v>46</v>
      </c>
      <c r="B1912" s="723">
        <v>20241595010</v>
      </c>
      <c r="C1912" s="723" t="s">
        <v>6083</v>
      </c>
      <c r="D1912" s="723">
        <v>595</v>
      </c>
      <c r="E1912" s="723" t="s">
        <v>5961</v>
      </c>
      <c r="F1912" s="723" t="s">
        <v>122</v>
      </c>
      <c r="G1912" s="723" t="s">
        <v>108</v>
      </c>
      <c r="H1912" s="723" t="s">
        <v>2043</v>
      </c>
      <c r="I1912" s="723"/>
      <c r="J1912" s="723" t="s">
        <v>6084</v>
      </c>
      <c r="K1912" s="723" t="s">
        <v>2044</v>
      </c>
      <c r="L1912" s="723">
        <v>80828978</v>
      </c>
      <c r="M1912" s="724" t="s">
        <v>955</v>
      </c>
      <c r="N1912" s="746"/>
      <c r="O1912" s="746"/>
      <c r="P1912" s="746"/>
      <c r="Q1912" s="746"/>
      <c r="R1912" s="521"/>
      <c r="S1912" s="521"/>
    </row>
    <row r="1913" spans="1:19">
      <c r="A1913" s="721">
        <v>47</v>
      </c>
      <c r="B1913" s="721">
        <v>20251595005</v>
      </c>
      <c r="C1913" s="721" t="s">
        <v>6085</v>
      </c>
      <c r="D1913" s="721">
        <v>595</v>
      </c>
      <c r="E1913" s="721" t="s">
        <v>5961</v>
      </c>
      <c r="F1913" s="721" t="s">
        <v>122</v>
      </c>
      <c r="G1913" s="721" t="s">
        <v>108</v>
      </c>
      <c r="H1913" s="721" t="s">
        <v>2043</v>
      </c>
      <c r="I1913" s="721" t="s">
        <v>6086</v>
      </c>
      <c r="J1913" s="721" t="s">
        <v>6086</v>
      </c>
      <c r="K1913" s="721" t="s">
        <v>2044</v>
      </c>
      <c r="L1913" s="721">
        <v>1026590180</v>
      </c>
      <c r="M1913" s="722" t="s">
        <v>955</v>
      </c>
      <c r="N1913" s="746"/>
      <c r="O1913" s="746"/>
      <c r="P1913" s="746"/>
      <c r="Q1913" s="746"/>
      <c r="R1913" s="521"/>
      <c r="S1913" s="521"/>
    </row>
    <row r="1914" spans="1:19">
      <c r="A1914" s="723">
        <v>48</v>
      </c>
      <c r="B1914" s="723">
        <v>20252595003</v>
      </c>
      <c r="C1914" s="723" t="s">
        <v>6087</v>
      </c>
      <c r="D1914" s="723">
        <v>595</v>
      </c>
      <c r="E1914" s="723" t="s">
        <v>5961</v>
      </c>
      <c r="F1914" s="723" t="s">
        <v>122</v>
      </c>
      <c r="G1914" s="723" t="s">
        <v>108</v>
      </c>
      <c r="H1914" s="723" t="s">
        <v>2043</v>
      </c>
      <c r="I1914" s="723" t="s">
        <v>6088</v>
      </c>
      <c r="J1914" s="723" t="s">
        <v>6088</v>
      </c>
      <c r="K1914" s="723" t="s">
        <v>2044</v>
      </c>
      <c r="L1914" s="723">
        <v>1007719264</v>
      </c>
      <c r="M1914" s="724" t="s">
        <v>955</v>
      </c>
      <c r="N1914" s="746"/>
      <c r="O1914" s="746"/>
      <c r="P1914" s="746"/>
      <c r="Q1914" s="746"/>
      <c r="R1914" s="521"/>
      <c r="S1914" s="521"/>
    </row>
    <row r="1915" spans="1:19">
      <c r="A1915" s="725" t="s">
        <v>2292</v>
      </c>
      <c r="B1915" s="725" t="s">
        <v>2292</v>
      </c>
      <c r="C1915" s="725" t="s">
        <v>2292</v>
      </c>
      <c r="D1915" s="725" t="s">
        <v>2292</v>
      </c>
      <c r="E1915" s="725" t="s">
        <v>2292</v>
      </c>
      <c r="F1915" s="725" t="s">
        <v>2292</v>
      </c>
      <c r="G1915" s="725" t="s">
        <v>2292</v>
      </c>
      <c r="H1915" s="725" t="s">
        <v>2292</v>
      </c>
      <c r="I1915" s="725" t="s">
        <v>2292</v>
      </c>
      <c r="J1915" s="725" t="s">
        <v>2292</v>
      </c>
      <c r="K1915" s="725" t="s">
        <v>2292</v>
      </c>
      <c r="L1915" s="725" t="s">
        <v>2292</v>
      </c>
      <c r="M1915" s="725" t="s">
        <v>2292</v>
      </c>
      <c r="N1915" s="746"/>
      <c r="O1915" s="746"/>
      <c r="P1915" s="746"/>
      <c r="Q1915" s="746"/>
      <c r="R1915" s="521"/>
      <c r="S1915" s="521"/>
    </row>
    <row r="1916" spans="1:19" ht="25.5">
      <c r="A1916" s="719" t="s">
        <v>2033</v>
      </c>
      <c r="B1916" s="719" t="s">
        <v>3404</v>
      </c>
      <c r="C1916"/>
      <c r="D1916"/>
      <c r="E1916"/>
      <c r="F1916"/>
      <c r="G1916"/>
      <c r="H1916"/>
      <c r="I1916"/>
      <c r="J1916"/>
      <c r="K1916"/>
      <c r="L1916"/>
      <c r="M1916"/>
      <c r="N1916" s="746"/>
      <c r="O1916" s="746"/>
      <c r="P1916" s="746"/>
      <c r="Q1916" s="746"/>
      <c r="R1916" s="521"/>
      <c r="S1916" s="521"/>
    </row>
    <row r="1917" spans="1:19" ht="25.5">
      <c r="A1917" s="720" t="s">
        <v>2035</v>
      </c>
      <c r="B1917" s="720" t="s">
        <v>2036</v>
      </c>
      <c r="C1917" s="720" t="s">
        <v>1</v>
      </c>
      <c r="D1917" s="720" t="s">
        <v>2037</v>
      </c>
      <c r="E1917" s="720" t="s">
        <v>3</v>
      </c>
      <c r="F1917" s="720" t="s">
        <v>4</v>
      </c>
      <c r="G1917" s="720" t="s">
        <v>2038</v>
      </c>
      <c r="H1917" s="720" t="s">
        <v>6</v>
      </c>
      <c r="I1917" s="720" t="s">
        <v>7</v>
      </c>
      <c r="J1917" s="720" t="s">
        <v>8</v>
      </c>
      <c r="K1917" s="720" t="s">
        <v>2039</v>
      </c>
      <c r="L1917" s="720" t="s">
        <v>10</v>
      </c>
      <c r="M1917" s="720" t="s">
        <v>2040</v>
      </c>
      <c r="N1917" s="746"/>
      <c r="O1917" s="746"/>
      <c r="P1917" s="746"/>
      <c r="Q1917" s="746"/>
      <c r="R1917" s="521"/>
      <c r="S1917" s="521"/>
    </row>
    <row r="1918" spans="1:19">
      <c r="A1918" s="721">
        <v>49</v>
      </c>
      <c r="B1918" s="721">
        <v>20152195007</v>
      </c>
      <c r="C1918" s="721" t="s">
        <v>6089</v>
      </c>
      <c r="D1918" s="721">
        <v>595</v>
      </c>
      <c r="E1918" s="721" t="s">
        <v>5961</v>
      </c>
      <c r="F1918" s="721" t="s">
        <v>147</v>
      </c>
      <c r="G1918" s="721" t="s">
        <v>3406</v>
      </c>
      <c r="H1918" s="721">
        <v>1</v>
      </c>
      <c r="I1918" s="721" t="s">
        <v>6090</v>
      </c>
      <c r="J1918" s="721" t="s">
        <v>6091</v>
      </c>
      <c r="K1918" s="721" t="s">
        <v>2044</v>
      </c>
      <c r="L1918" s="721">
        <v>1018432208</v>
      </c>
      <c r="M1918" s="721" t="s">
        <v>3322</v>
      </c>
      <c r="N1918" s="746"/>
      <c r="O1918" s="746"/>
      <c r="P1918" s="746"/>
      <c r="Q1918" s="746"/>
      <c r="R1918" s="521"/>
      <c r="S1918" s="521"/>
    </row>
    <row r="1919" spans="1:19">
      <c r="A1919" s="723">
        <v>50</v>
      </c>
      <c r="B1919" s="723">
        <v>20162195001</v>
      </c>
      <c r="C1919" s="723" t="s">
        <v>6092</v>
      </c>
      <c r="D1919" s="723">
        <v>595</v>
      </c>
      <c r="E1919" s="723" t="s">
        <v>5961</v>
      </c>
      <c r="F1919" s="723" t="s">
        <v>147</v>
      </c>
      <c r="G1919" s="723" t="s">
        <v>3406</v>
      </c>
      <c r="H1919" s="723">
        <v>2</v>
      </c>
      <c r="I1919" s="723" t="s">
        <v>6093</v>
      </c>
      <c r="J1919" s="723" t="s">
        <v>6094</v>
      </c>
      <c r="K1919" s="723" t="s">
        <v>2044</v>
      </c>
      <c r="L1919" s="723">
        <v>80813731</v>
      </c>
      <c r="M1919" s="723" t="s">
        <v>3322</v>
      </c>
      <c r="N1919" s="746"/>
      <c r="O1919" s="746"/>
      <c r="P1919" s="746"/>
      <c r="Q1919" s="746"/>
      <c r="R1919" s="521"/>
      <c r="S1919" s="521"/>
    </row>
    <row r="1920" spans="1:19">
      <c r="A1920" s="721">
        <v>51</v>
      </c>
      <c r="B1920" s="721">
        <v>20162495010</v>
      </c>
      <c r="C1920" s="721" t="s">
        <v>4831</v>
      </c>
      <c r="D1920" s="721">
        <v>595</v>
      </c>
      <c r="E1920" s="721" t="s">
        <v>5961</v>
      </c>
      <c r="F1920" s="721" t="s">
        <v>147</v>
      </c>
      <c r="G1920" s="721" t="s">
        <v>3406</v>
      </c>
      <c r="H1920" s="721">
        <v>2</v>
      </c>
      <c r="I1920" s="721" t="s">
        <v>4832</v>
      </c>
      <c r="J1920" s="721" t="s">
        <v>6095</v>
      </c>
      <c r="K1920" s="721" t="s">
        <v>2044</v>
      </c>
      <c r="L1920" s="721">
        <v>80777868</v>
      </c>
      <c r="M1920" s="721" t="s">
        <v>3322</v>
      </c>
      <c r="N1920" s="746"/>
      <c r="O1920" s="746"/>
      <c r="P1920" s="746"/>
      <c r="Q1920" s="746"/>
      <c r="R1920" s="521"/>
      <c r="S1920" s="521"/>
    </row>
    <row r="1921" spans="1:19">
      <c r="A1921" s="723">
        <v>52</v>
      </c>
      <c r="B1921" s="723">
        <v>20171195003</v>
      </c>
      <c r="C1921" s="723" t="s">
        <v>6096</v>
      </c>
      <c r="D1921" s="723">
        <v>595</v>
      </c>
      <c r="E1921" s="723" t="s">
        <v>5961</v>
      </c>
      <c r="F1921" s="723" t="s">
        <v>147</v>
      </c>
      <c r="G1921" s="723" t="s">
        <v>3406</v>
      </c>
      <c r="H1921" s="723">
        <v>3</v>
      </c>
      <c r="I1921" s="723" t="s">
        <v>6097</v>
      </c>
      <c r="J1921" s="723" t="s">
        <v>6098</v>
      </c>
      <c r="K1921" s="723" t="s">
        <v>2044</v>
      </c>
      <c r="L1921" s="723">
        <v>1032367367</v>
      </c>
      <c r="M1921" s="723" t="s">
        <v>3322</v>
      </c>
      <c r="N1921" s="746"/>
      <c r="O1921" s="746"/>
      <c r="P1921" s="746"/>
      <c r="Q1921" s="746"/>
      <c r="R1921" s="521"/>
      <c r="S1921" s="521"/>
    </row>
    <row r="1922" spans="1:19">
      <c r="A1922" s="721">
        <v>53</v>
      </c>
      <c r="B1922" s="721">
        <v>20181195004</v>
      </c>
      <c r="C1922" s="721" t="s">
        <v>6099</v>
      </c>
      <c r="D1922" s="721">
        <v>595</v>
      </c>
      <c r="E1922" s="721" t="s">
        <v>5961</v>
      </c>
      <c r="F1922" s="721" t="s">
        <v>147</v>
      </c>
      <c r="G1922" s="721" t="s">
        <v>3406</v>
      </c>
      <c r="H1922" s="721">
        <v>3</v>
      </c>
      <c r="I1922" s="721" t="s">
        <v>6100</v>
      </c>
      <c r="J1922" s="721" t="s">
        <v>6101</v>
      </c>
      <c r="K1922" s="721" t="s">
        <v>2044</v>
      </c>
      <c r="L1922" s="721">
        <v>80852553</v>
      </c>
      <c r="M1922" s="721" t="s">
        <v>3322</v>
      </c>
      <c r="N1922" s="746"/>
      <c r="O1922" s="746"/>
      <c r="P1922" s="746"/>
      <c r="Q1922" s="746"/>
      <c r="R1922" s="521"/>
      <c r="S1922" s="521"/>
    </row>
    <row r="1923" spans="1:19">
      <c r="A1923" s="723">
        <v>54</v>
      </c>
      <c r="B1923" s="723">
        <v>20181195005</v>
      </c>
      <c r="C1923" s="723" t="s">
        <v>3379</v>
      </c>
      <c r="D1923" s="723">
        <v>595</v>
      </c>
      <c r="E1923" s="723" t="s">
        <v>5961</v>
      </c>
      <c r="F1923" s="723" t="s">
        <v>147</v>
      </c>
      <c r="G1923" s="723" t="s">
        <v>3406</v>
      </c>
      <c r="H1923" s="723">
        <v>4</v>
      </c>
      <c r="I1923" s="723" t="s">
        <v>3380</v>
      </c>
      <c r="J1923" s="723" t="s">
        <v>3380</v>
      </c>
      <c r="K1923" s="723" t="s">
        <v>2044</v>
      </c>
      <c r="L1923" s="723">
        <v>79854643</v>
      </c>
      <c r="M1923" s="723" t="s">
        <v>3322</v>
      </c>
      <c r="N1923" s="746"/>
      <c r="O1923" s="746"/>
      <c r="P1923" s="746"/>
      <c r="Q1923" s="746"/>
      <c r="R1923" s="521"/>
      <c r="S1923" s="521"/>
    </row>
    <row r="1924" spans="1:19">
      <c r="A1924" s="721">
        <v>55</v>
      </c>
      <c r="B1924" s="721">
        <v>20182495017</v>
      </c>
      <c r="C1924" s="721" t="s">
        <v>6102</v>
      </c>
      <c r="D1924" s="721">
        <v>595</v>
      </c>
      <c r="E1924" s="721" t="s">
        <v>5961</v>
      </c>
      <c r="F1924" s="721" t="s">
        <v>147</v>
      </c>
      <c r="G1924" s="721" t="s">
        <v>3406</v>
      </c>
      <c r="H1924" s="721">
        <v>2</v>
      </c>
      <c r="I1924" s="721" t="s">
        <v>6103</v>
      </c>
      <c r="J1924" s="721" t="s">
        <v>6104</v>
      </c>
      <c r="K1924" s="721" t="s">
        <v>2044</v>
      </c>
      <c r="L1924" s="721">
        <v>1012395661</v>
      </c>
      <c r="M1924" s="721" t="s">
        <v>3322</v>
      </c>
      <c r="N1924" s="746"/>
      <c r="O1924" s="746"/>
      <c r="P1924" s="746"/>
      <c r="Q1924" s="746"/>
      <c r="R1924" s="521"/>
      <c r="S1924" s="521"/>
    </row>
    <row r="1925" spans="1:19">
      <c r="A1925" s="723">
        <v>56</v>
      </c>
      <c r="B1925" s="723">
        <v>20241595001</v>
      </c>
      <c r="C1925" s="723" t="s">
        <v>6105</v>
      </c>
      <c r="D1925" s="723">
        <v>595</v>
      </c>
      <c r="E1925" s="723" t="s">
        <v>5961</v>
      </c>
      <c r="F1925" s="723" t="s">
        <v>147</v>
      </c>
      <c r="G1925" s="723" t="s">
        <v>3406</v>
      </c>
      <c r="H1925" s="723">
        <v>1</v>
      </c>
      <c r="I1925" s="723" t="s">
        <v>6106</v>
      </c>
      <c r="J1925" s="723" t="s">
        <v>6107</v>
      </c>
      <c r="K1925" s="723" t="s">
        <v>2044</v>
      </c>
      <c r="L1925" s="723">
        <v>1018489941</v>
      </c>
      <c r="M1925" s="723" t="s">
        <v>3322</v>
      </c>
      <c r="N1925" s="746"/>
      <c r="O1925" s="746"/>
      <c r="P1925" s="746"/>
      <c r="Q1925" s="746"/>
      <c r="R1925" s="521"/>
      <c r="S1925" s="521"/>
    </row>
    <row r="1926" spans="1:19">
      <c r="A1926" s="721">
        <v>57</v>
      </c>
      <c r="B1926" s="721">
        <v>20241595009</v>
      </c>
      <c r="C1926" s="721" t="s">
        <v>6108</v>
      </c>
      <c r="D1926" s="721">
        <v>595</v>
      </c>
      <c r="E1926" s="721" t="s">
        <v>5961</v>
      </c>
      <c r="F1926" s="721" t="s">
        <v>147</v>
      </c>
      <c r="G1926" s="721" t="s">
        <v>3406</v>
      </c>
      <c r="H1926" s="721">
        <v>3</v>
      </c>
      <c r="I1926" s="721" t="s">
        <v>6109</v>
      </c>
      <c r="J1926" s="721" t="s">
        <v>6110</v>
      </c>
      <c r="K1926" s="721" t="s">
        <v>2044</v>
      </c>
      <c r="L1926" s="721">
        <v>1233508093</v>
      </c>
      <c r="M1926" s="721" t="s">
        <v>3322</v>
      </c>
      <c r="N1926" s="746"/>
      <c r="O1926" s="746"/>
      <c r="P1926" s="746"/>
      <c r="Q1926" s="746"/>
      <c r="R1926" s="521"/>
      <c r="S1926" s="521"/>
    </row>
    <row r="1927" spans="1:19">
      <c r="A1927" s="723">
        <v>58</v>
      </c>
      <c r="B1927" s="723">
        <v>20242595003</v>
      </c>
      <c r="C1927" s="723" t="s">
        <v>6111</v>
      </c>
      <c r="D1927" s="723">
        <v>595</v>
      </c>
      <c r="E1927" s="723" t="s">
        <v>5961</v>
      </c>
      <c r="F1927" s="723" t="s">
        <v>147</v>
      </c>
      <c r="G1927" s="723" t="s">
        <v>3406</v>
      </c>
      <c r="H1927" s="723">
        <v>4</v>
      </c>
      <c r="I1927" s="723" t="s">
        <v>6112</v>
      </c>
      <c r="J1927" s="723" t="s">
        <v>6113</v>
      </c>
      <c r="K1927" s="723" t="s">
        <v>2044</v>
      </c>
      <c r="L1927" s="723">
        <v>1018472591</v>
      </c>
      <c r="M1927" s="723" t="s">
        <v>3322</v>
      </c>
      <c r="N1927" s="746"/>
      <c r="O1927" s="746"/>
      <c r="P1927" s="746"/>
      <c r="Q1927" s="746"/>
      <c r="R1927" s="521"/>
      <c r="S1927" s="521"/>
    </row>
    <row r="1928" spans="1:19">
      <c r="A1928" s="721">
        <v>59</v>
      </c>
      <c r="B1928" s="721">
        <v>20242595004</v>
      </c>
      <c r="C1928" s="721" t="s">
        <v>6114</v>
      </c>
      <c r="D1928" s="721">
        <v>595</v>
      </c>
      <c r="E1928" s="721" t="s">
        <v>5961</v>
      </c>
      <c r="F1928" s="721" t="s">
        <v>147</v>
      </c>
      <c r="G1928" s="721" t="s">
        <v>3406</v>
      </c>
      <c r="H1928" s="721" t="s">
        <v>2043</v>
      </c>
      <c r="I1928" s="721" t="s">
        <v>6115</v>
      </c>
      <c r="J1928" s="721" t="s">
        <v>6116</v>
      </c>
      <c r="K1928" s="721" t="s">
        <v>2044</v>
      </c>
      <c r="L1928" s="721">
        <v>1019145200</v>
      </c>
      <c r="M1928" s="721" t="s">
        <v>3322</v>
      </c>
      <c r="N1928" s="746"/>
      <c r="O1928" s="746"/>
      <c r="P1928" s="746"/>
      <c r="Q1928" s="746"/>
      <c r="R1928" s="521"/>
      <c r="S1928" s="521"/>
    </row>
    <row r="1929" spans="1:19">
      <c r="A1929" s="723">
        <v>60</v>
      </c>
      <c r="B1929" s="723">
        <v>20262595002</v>
      </c>
      <c r="C1929" s="723" t="s">
        <v>6117</v>
      </c>
      <c r="D1929" s="723">
        <v>595</v>
      </c>
      <c r="E1929" s="723" t="s">
        <v>5961</v>
      </c>
      <c r="F1929" s="723" t="s">
        <v>147</v>
      </c>
      <c r="G1929" s="723" t="s">
        <v>3406</v>
      </c>
      <c r="H1929" s="723" t="s">
        <v>2043</v>
      </c>
      <c r="I1929" s="723"/>
      <c r="J1929" s="723" t="s">
        <v>6118</v>
      </c>
      <c r="K1929" s="723" t="s">
        <v>2044</v>
      </c>
      <c r="L1929" s="723">
        <v>1073516276</v>
      </c>
      <c r="M1929" s="724" t="s">
        <v>955</v>
      </c>
      <c r="N1929" s="746"/>
      <c r="O1929" s="746"/>
      <c r="P1929" s="746"/>
      <c r="Q1929" s="746"/>
      <c r="R1929" s="521"/>
      <c r="S1929" s="521"/>
    </row>
    <row r="1930" spans="1:19">
      <c r="A1930" s="721">
        <v>61</v>
      </c>
      <c r="B1930" s="721">
        <v>20262595003</v>
      </c>
      <c r="C1930" s="721" t="s">
        <v>6119</v>
      </c>
      <c r="D1930" s="721">
        <v>595</v>
      </c>
      <c r="E1930" s="721" t="s">
        <v>5961</v>
      </c>
      <c r="F1930" s="721" t="s">
        <v>147</v>
      </c>
      <c r="G1930" s="721" t="s">
        <v>3406</v>
      </c>
      <c r="H1930" s="721" t="s">
        <v>2043</v>
      </c>
      <c r="I1930" s="721"/>
      <c r="J1930" s="721" t="s">
        <v>6120</v>
      </c>
      <c r="K1930" s="721" t="s">
        <v>2044</v>
      </c>
      <c r="L1930" s="721">
        <v>86073087</v>
      </c>
      <c r="M1930" s="722" t="s">
        <v>955</v>
      </c>
      <c r="N1930" s="746"/>
      <c r="O1930" s="746"/>
      <c r="P1930" s="746"/>
      <c r="Q1930" s="746"/>
      <c r="R1930" s="521"/>
      <c r="S1930" s="521"/>
    </row>
    <row r="1931" spans="1:19">
      <c r="A1931" s="725" t="s">
        <v>2292</v>
      </c>
      <c r="B1931" s="725" t="s">
        <v>2292</v>
      </c>
      <c r="C1931" s="725" t="s">
        <v>2292</v>
      </c>
      <c r="D1931" s="725" t="s">
        <v>2292</v>
      </c>
      <c r="E1931" s="725" t="s">
        <v>2292</v>
      </c>
      <c r="F1931" s="725" t="s">
        <v>2292</v>
      </c>
      <c r="G1931" s="725" t="s">
        <v>2292</v>
      </c>
      <c r="H1931" s="725" t="s">
        <v>2292</v>
      </c>
      <c r="I1931" s="725" t="s">
        <v>2292</v>
      </c>
      <c r="J1931" s="725" t="s">
        <v>2292</v>
      </c>
      <c r="K1931" s="725" t="s">
        <v>2292</v>
      </c>
      <c r="L1931" s="725" t="s">
        <v>2292</v>
      </c>
      <c r="M1931" s="725" t="s">
        <v>2292</v>
      </c>
      <c r="N1931" s="746"/>
      <c r="O1931" s="746"/>
      <c r="P1931" s="746"/>
      <c r="Q1931" s="746"/>
      <c r="R1931" s="521"/>
      <c r="S1931" s="521"/>
    </row>
    <row r="1932" spans="1:19" ht="25.5">
      <c r="A1932" s="719" t="s">
        <v>2033</v>
      </c>
      <c r="B1932" s="719" t="s">
        <v>2544</v>
      </c>
      <c r="C1932"/>
      <c r="D1932"/>
      <c r="E1932"/>
      <c r="F1932"/>
      <c r="G1932"/>
      <c r="H1932"/>
      <c r="I1932"/>
      <c r="J1932"/>
      <c r="K1932"/>
      <c r="L1932"/>
      <c r="M1932"/>
      <c r="N1932" s="746"/>
      <c r="O1932" s="746"/>
      <c r="P1932" s="746"/>
      <c r="Q1932" s="746"/>
      <c r="R1932" s="521"/>
      <c r="S1932" s="521"/>
    </row>
    <row r="1933" spans="1:19" ht="25.5">
      <c r="A1933" s="720" t="s">
        <v>2035</v>
      </c>
      <c r="B1933" s="720" t="s">
        <v>2036</v>
      </c>
      <c r="C1933" s="720" t="s">
        <v>1</v>
      </c>
      <c r="D1933" s="720" t="s">
        <v>2037</v>
      </c>
      <c r="E1933" s="720" t="s">
        <v>3</v>
      </c>
      <c r="F1933" s="720" t="s">
        <v>4</v>
      </c>
      <c r="G1933" s="720" t="s">
        <v>2038</v>
      </c>
      <c r="H1933" s="720" t="s">
        <v>6</v>
      </c>
      <c r="I1933" s="720" t="s">
        <v>7</v>
      </c>
      <c r="J1933" s="720" t="s">
        <v>8</v>
      </c>
      <c r="K1933" s="720" t="s">
        <v>2039</v>
      </c>
      <c r="L1933" s="720" t="s">
        <v>10</v>
      </c>
      <c r="M1933" s="720" t="s">
        <v>2040</v>
      </c>
      <c r="N1933" s="746"/>
      <c r="O1933" s="746"/>
      <c r="P1933" s="746"/>
      <c r="Q1933" s="746"/>
      <c r="R1933" s="521"/>
      <c r="S1933" s="521"/>
    </row>
    <row r="1934" spans="1:19" ht="25.5">
      <c r="A1934" s="721">
        <v>62</v>
      </c>
      <c r="B1934" s="721">
        <v>9029509</v>
      </c>
      <c r="C1934" s="721" t="s">
        <v>6121</v>
      </c>
      <c r="D1934" s="721">
        <v>595</v>
      </c>
      <c r="E1934" s="721" t="s">
        <v>5961</v>
      </c>
      <c r="F1934" s="721" t="s">
        <v>154</v>
      </c>
      <c r="G1934" s="721" t="s">
        <v>2546</v>
      </c>
      <c r="H1934" s="721">
        <v>4</v>
      </c>
      <c r="I1934" s="721" t="s">
        <v>6122</v>
      </c>
      <c r="J1934" s="721" t="s">
        <v>6123</v>
      </c>
      <c r="K1934" s="721" t="s">
        <v>2044</v>
      </c>
      <c r="L1934" s="721">
        <v>4999503</v>
      </c>
      <c r="M1934" s="721" t="s">
        <v>2936</v>
      </c>
      <c r="N1934" s="746"/>
      <c r="O1934" s="746"/>
      <c r="P1934" s="746"/>
      <c r="Q1934" s="746"/>
      <c r="R1934" s="521"/>
      <c r="S1934" s="521"/>
    </row>
    <row r="1935" spans="1:19" ht="25.5">
      <c r="A1935" s="723">
        <v>63</v>
      </c>
      <c r="B1935" s="723">
        <v>20152195023</v>
      </c>
      <c r="C1935" s="723" t="s">
        <v>6124</v>
      </c>
      <c r="D1935" s="723">
        <v>595</v>
      </c>
      <c r="E1935" s="723" t="s">
        <v>5961</v>
      </c>
      <c r="F1935" s="723" t="s">
        <v>154</v>
      </c>
      <c r="G1935" s="723" t="s">
        <v>2546</v>
      </c>
      <c r="H1935" s="723">
        <v>4</v>
      </c>
      <c r="I1935" s="723" t="s">
        <v>6125</v>
      </c>
      <c r="J1935" s="723" t="s">
        <v>6126</v>
      </c>
      <c r="K1935" s="723" t="s">
        <v>2044</v>
      </c>
      <c r="L1935" s="723">
        <v>80852726</v>
      </c>
      <c r="M1935" s="723" t="s">
        <v>1364</v>
      </c>
      <c r="N1935" s="746"/>
      <c r="O1935" s="746"/>
      <c r="P1935" s="746"/>
      <c r="Q1935" s="746"/>
      <c r="R1935" s="521"/>
      <c r="S1935" s="521"/>
    </row>
    <row r="1936" spans="1:19" ht="25.5">
      <c r="A1936" s="721">
        <v>64</v>
      </c>
      <c r="B1936" s="721">
        <v>20161195007</v>
      </c>
      <c r="C1936" s="721" t="s">
        <v>6127</v>
      </c>
      <c r="D1936" s="721">
        <v>595</v>
      </c>
      <c r="E1936" s="721" t="s">
        <v>5961</v>
      </c>
      <c r="F1936" s="721" t="s">
        <v>154</v>
      </c>
      <c r="G1936" s="721" t="s">
        <v>2546</v>
      </c>
      <c r="H1936" s="721">
        <v>4</v>
      </c>
      <c r="I1936" s="721" t="s">
        <v>6128</v>
      </c>
      <c r="J1936" s="721" t="s">
        <v>6129</v>
      </c>
      <c r="K1936" s="721" t="s">
        <v>2044</v>
      </c>
      <c r="L1936" s="721">
        <v>13747816</v>
      </c>
      <c r="M1936" s="721" t="s">
        <v>1364</v>
      </c>
      <c r="N1936" s="746"/>
      <c r="O1936" s="746"/>
      <c r="P1936" s="746"/>
      <c r="Q1936" s="746"/>
      <c r="R1936" s="521"/>
      <c r="S1936" s="521"/>
    </row>
    <row r="1937" spans="1:19" ht="25.5">
      <c r="A1937" s="723">
        <v>65</v>
      </c>
      <c r="B1937" s="723">
        <v>20162495009</v>
      </c>
      <c r="C1937" s="723" t="s">
        <v>6130</v>
      </c>
      <c r="D1937" s="723">
        <v>595</v>
      </c>
      <c r="E1937" s="723" t="s">
        <v>5961</v>
      </c>
      <c r="F1937" s="723" t="s">
        <v>154</v>
      </c>
      <c r="G1937" s="723" t="s">
        <v>2546</v>
      </c>
      <c r="H1937" s="723">
        <v>3</v>
      </c>
      <c r="I1937" s="723" t="s">
        <v>6131</v>
      </c>
      <c r="J1937" s="723" t="s">
        <v>6132</v>
      </c>
      <c r="K1937" s="723" t="s">
        <v>2044</v>
      </c>
      <c r="L1937" s="723">
        <v>52754073</v>
      </c>
      <c r="M1937" s="723" t="s">
        <v>1364</v>
      </c>
      <c r="N1937" s="746"/>
      <c r="O1937" s="746"/>
      <c r="P1937" s="746"/>
      <c r="Q1937" s="746"/>
      <c r="R1937" s="521"/>
      <c r="S1937" s="521"/>
    </row>
    <row r="1938" spans="1:19" ht="25.5">
      <c r="A1938" s="721">
        <v>66</v>
      </c>
      <c r="B1938" s="721">
        <v>20171395001</v>
      </c>
      <c r="C1938" s="721" t="s">
        <v>6133</v>
      </c>
      <c r="D1938" s="721">
        <v>595</v>
      </c>
      <c r="E1938" s="721" t="s">
        <v>5961</v>
      </c>
      <c r="F1938" s="721" t="s">
        <v>154</v>
      </c>
      <c r="G1938" s="721" t="s">
        <v>2546</v>
      </c>
      <c r="H1938" s="721">
        <v>4</v>
      </c>
      <c r="I1938" s="721" t="s">
        <v>6134</v>
      </c>
      <c r="J1938" s="721" t="s">
        <v>6135</v>
      </c>
      <c r="K1938" s="721" t="s">
        <v>2044</v>
      </c>
      <c r="L1938" s="721">
        <v>80223922</v>
      </c>
      <c r="M1938" s="721" t="s">
        <v>1356</v>
      </c>
      <c r="N1938" s="746"/>
      <c r="O1938" s="746"/>
      <c r="P1938" s="746"/>
      <c r="Q1938" s="746"/>
      <c r="R1938" s="521"/>
      <c r="S1938" s="521"/>
    </row>
    <row r="1939" spans="1:19" ht="14.25" customHeight="1">
      <c r="A1939" s="723">
        <v>67</v>
      </c>
      <c r="B1939" s="723">
        <v>20172195009</v>
      </c>
      <c r="C1939" s="723" t="s">
        <v>3873</v>
      </c>
      <c r="D1939" s="723">
        <v>595</v>
      </c>
      <c r="E1939" s="723" t="s">
        <v>5961</v>
      </c>
      <c r="F1939" s="723" t="s">
        <v>154</v>
      </c>
      <c r="G1939" s="723" t="s">
        <v>2546</v>
      </c>
      <c r="H1939" s="723">
        <v>2</v>
      </c>
      <c r="I1939" s="723" t="s">
        <v>6136</v>
      </c>
      <c r="J1939" s="723" t="s">
        <v>3874</v>
      </c>
      <c r="K1939" s="723" t="s">
        <v>2044</v>
      </c>
      <c r="L1939" s="723">
        <v>1032419237</v>
      </c>
      <c r="M1939" s="723" t="s">
        <v>1364</v>
      </c>
      <c r="N1939" s="746"/>
      <c r="O1939" s="746"/>
      <c r="P1939" s="746"/>
      <c r="Q1939" s="746"/>
      <c r="R1939" s="521"/>
      <c r="S1939" s="521"/>
    </row>
    <row r="1940" spans="1:19" ht="25.5">
      <c r="A1940" s="721">
        <v>68</v>
      </c>
      <c r="B1940" s="721">
        <v>20172395001</v>
      </c>
      <c r="C1940" s="721" t="s">
        <v>6137</v>
      </c>
      <c r="D1940" s="721">
        <v>595</v>
      </c>
      <c r="E1940" s="721" t="s">
        <v>5961</v>
      </c>
      <c r="F1940" s="721" t="s">
        <v>154</v>
      </c>
      <c r="G1940" s="721" t="s">
        <v>2546</v>
      </c>
      <c r="H1940" s="721">
        <v>3</v>
      </c>
      <c r="I1940" s="721" t="s">
        <v>6138</v>
      </c>
      <c r="J1940" s="721" t="s">
        <v>6139</v>
      </c>
      <c r="K1940" s="721" t="s">
        <v>2044</v>
      </c>
      <c r="L1940" s="721">
        <v>1031136781</v>
      </c>
      <c r="M1940" s="721" t="s">
        <v>3322</v>
      </c>
      <c r="N1940" s="746"/>
      <c r="O1940" s="746"/>
      <c r="P1940" s="746"/>
      <c r="Q1940" s="746"/>
      <c r="R1940" s="521"/>
      <c r="S1940" s="521"/>
    </row>
    <row r="1941" spans="1:19" ht="25.5">
      <c r="A1941" s="723">
        <v>69</v>
      </c>
      <c r="B1941" s="723">
        <v>20172395007</v>
      </c>
      <c r="C1941" s="723" t="s">
        <v>6140</v>
      </c>
      <c r="D1941" s="723">
        <v>595</v>
      </c>
      <c r="E1941" s="723" t="s">
        <v>5961</v>
      </c>
      <c r="F1941" s="723" t="s">
        <v>154</v>
      </c>
      <c r="G1941" s="723" t="s">
        <v>2546</v>
      </c>
      <c r="H1941" s="723">
        <v>3</v>
      </c>
      <c r="I1941" s="723" t="s">
        <v>6141</v>
      </c>
      <c r="J1941" s="723" t="s">
        <v>6142</v>
      </c>
      <c r="K1941" s="723" t="s">
        <v>2044</v>
      </c>
      <c r="L1941" s="723">
        <v>79957100</v>
      </c>
      <c r="M1941" s="723" t="s">
        <v>1356</v>
      </c>
      <c r="N1941" s="746"/>
      <c r="O1941" s="746"/>
      <c r="P1941" s="746"/>
      <c r="Q1941" s="746"/>
      <c r="R1941" s="521"/>
      <c r="S1941" s="521"/>
    </row>
    <row r="1942" spans="1:19" ht="25.5">
      <c r="A1942" s="721">
        <v>70</v>
      </c>
      <c r="B1942" s="721">
        <v>20172395009</v>
      </c>
      <c r="C1942" s="721" t="s">
        <v>6143</v>
      </c>
      <c r="D1942" s="721">
        <v>595</v>
      </c>
      <c r="E1942" s="721" t="s">
        <v>5961</v>
      </c>
      <c r="F1942" s="721" t="s">
        <v>154</v>
      </c>
      <c r="G1942" s="721" t="s">
        <v>2546</v>
      </c>
      <c r="H1942" s="721">
        <v>3</v>
      </c>
      <c r="I1942" s="721" t="s">
        <v>6144</v>
      </c>
      <c r="J1942" s="721" t="s">
        <v>6145</v>
      </c>
      <c r="K1942" s="721" t="s">
        <v>2044</v>
      </c>
      <c r="L1942" s="721">
        <v>80730975</v>
      </c>
      <c r="M1942" s="721" t="s">
        <v>1364</v>
      </c>
      <c r="N1942" s="746"/>
      <c r="O1942" s="746"/>
      <c r="P1942" s="746"/>
      <c r="Q1942" s="746"/>
      <c r="R1942" s="521"/>
      <c r="S1942" s="521"/>
    </row>
    <row r="1943" spans="1:19" ht="25.5">
      <c r="A1943" s="723">
        <v>71</v>
      </c>
      <c r="B1943" s="723">
        <v>20172495008</v>
      </c>
      <c r="C1943" s="723" t="s">
        <v>6146</v>
      </c>
      <c r="D1943" s="723">
        <v>595</v>
      </c>
      <c r="E1943" s="723" t="s">
        <v>5961</v>
      </c>
      <c r="F1943" s="723" t="s">
        <v>154</v>
      </c>
      <c r="G1943" s="723" t="s">
        <v>2546</v>
      </c>
      <c r="H1943" s="723" t="s">
        <v>2043</v>
      </c>
      <c r="I1943" s="723" t="s">
        <v>6147</v>
      </c>
      <c r="J1943" s="723" t="s">
        <v>6148</v>
      </c>
      <c r="K1943" s="723" t="s">
        <v>2044</v>
      </c>
      <c r="L1943" s="723">
        <v>13176614</v>
      </c>
      <c r="M1943" s="723" t="s">
        <v>1356</v>
      </c>
      <c r="N1943" s="746"/>
      <c r="O1943" s="746"/>
      <c r="P1943" s="746"/>
      <c r="Q1943" s="746"/>
      <c r="R1943" s="521"/>
      <c r="S1943" s="521"/>
    </row>
    <row r="1944" spans="1:19" ht="25.5">
      <c r="A1944" s="721">
        <v>72</v>
      </c>
      <c r="B1944" s="721">
        <v>20172495011</v>
      </c>
      <c r="C1944" s="721" t="s">
        <v>6149</v>
      </c>
      <c r="D1944" s="721">
        <v>595</v>
      </c>
      <c r="E1944" s="721" t="s">
        <v>5961</v>
      </c>
      <c r="F1944" s="721" t="s">
        <v>154</v>
      </c>
      <c r="G1944" s="721" t="s">
        <v>2546</v>
      </c>
      <c r="H1944" s="721">
        <v>3</v>
      </c>
      <c r="I1944" s="721" t="s">
        <v>6150</v>
      </c>
      <c r="J1944" s="721" t="s">
        <v>6151</v>
      </c>
      <c r="K1944" s="721" t="s">
        <v>2044</v>
      </c>
      <c r="L1944" s="721">
        <v>1018402781</v>
      </c>
      <c r="M1944" s="721" t="s">
        <v>1356</v>
      </c>
      <c r="N1944" s="746"/>
      <c r="O1944" s="746"/>
      <c r="P1944" s="746"/>
      <c r="Q1944" s="746"/>
      <c r="R1944" s="521"/>
      <c r="S1944" s="521"/>
    </row>
    <row r="1945" spans="1:19" ht="25.5">
      <c r="A1945" s="723">
        <v>73</v>
      </c>
      <c r="B1945" s="723">
        <v>20181495015</v>
      </c>
      <c r="C1945" s="723" t="s">
        <v>6152</v>
      </c>
      <c r="D1945" s="723">
        <v>595</v>
      </c>
      <c r="E1945" s="723" t="s">
        <v>5961</v>
      </c>
      <c r="F1945" s="723" t="s">
        <v>154</v>
      </c>
      <c r="G1945" s="723" t="s">
        <v>2546</v>
      </c>
      <c r="H1945" s="723">
        <v>2</v>
      </c>
      <c r="I1945" s="723" t="s">
        <v>6153</v>
      </c>
      <c r="J1945" s="723" t="s">
        <v>6154</v>
      </c>
      <c r="K1945" s="723" t="s">
        <v>2044</v>
      </c>
      <c r="L1945" s="723">
        <v>1015405675</v>
      </c>
      <c r="M1945" s="723" t="s">
        <v>1364</v>
      </c>
      <c r="N1945" s="746"/>
      <c r="O1945" s="746"/>
      <c r="P1945" s="746"/>
      <c r="Q1945" s="746"/>
      <c r="R1945" s="521"/>
      <c r="S1945" s="521"/>
    </row>
    <row r="1946" spans="1:19" ht="25.5">
      <c r="A1946" s="721">
        <v>74</v>
      </c>
      <c r="B1946" s="721">
        <v>20261595001</v>
      </c>
      <c r="C1946" s="721" t="s">
        <v>6155</v>
      </c>
      <c r="D1946" s="721">
        <v>595</v>
      </c>
      <c r="E1946" s="721" t="s">
        <v>5961</v>
      </c>
      <c r="F1946" s="721" t="s">
        <v>154</v>
      </c>
      <c r="G1946" s="721" t="s">
        <v>2546</v>
      </c>
      <c r="H1946" s="721" t="s">
        <v>2043</v>
      </c>
      <c r="I1946" s="721"/>
      <c r="J1946" s="721" t="s">
        <v>6156</v>
      </c>
      <c r="K1946" s="721" t="s">
        <v>2044</v>
      </c>
      <c r="L1946" s="721">
        <v>80771975</v>
      </c>
      <c r="M1946" s="722" t="s">
        <v>955</v>
      </c>
      <c r="N1946" s="746"/>
      <c r="O1946" s="746"/>
      <c r="P1946" s="746"/>
      <c r="Q1946" s="746"/>
      <c r="R1946" s="521"/>
      <c r="S1946" s="521"/>
    </row>
    <row r="1947" spans="1:19">
      <c r="A1947" s="729"/>
      <c r="B1947" s="729"/>
      <c r="C1947" s="729"/>
      <c r="D1947" s="729"/>
      <c r="E1947" s="729"/>
      <c r="F1947" s="729"/>
      <c r="G1947" s="729"/>
      <c r="H1947" s="729"/>
      <c r="I1947" s="729"/>
      <c r="J1947" s="729"/>
      <c r="K1947" s="729"/>
      <c r="L1947" s="729"/>
      <c r="M1947" s="729"/>
      <c r="N1947" s="746"/>
      <c r="O1947" s="746"/>
      <c r="P1947" s="746"/>
      <c r="Q1947" s="746"/>
      <c r="R1947" s="521"/>
      <c r="S1947" s="521"/>
    </row>
    <row r="1948" spans="1:19">
      <c r="A1948" s="719" t="s">
        <v>2033</v>
      </c>
      <c r="B1948" s="719" t="s">
        <v>2831</v>
      </c>
      <c r="C1948"/>
      <c r="D1948"/>
      <c r="E1948"/>
      <c r="F1948"/>
      <c r="G1948"/>
      <c r="H1948"/>
      <c r="I1948"/>
      <c r="J1948"/>
      <c r="K1948"/>
      <c r="L1948"/>
      <c r="M1948"/>
      <c r="N1948" s="746"/>
      <c r="O1948" s="746"/>
      <c r="P1948" s="746"/>
      <c r="Q1948" s="746"/>
      <c r="R1948" s="521"/>
      <c r="S1948" s="521"/>
    </row>
    <row r="1949" spans="1:19" ht="38.25">
      <c r="A1949" s="719" t="s">
        <v>3</v>
      </c>
      <c r="B1949" s="719" t="s">
        <v>5961</v>
      </c>
      <c r="C1949"/>
      <c r="D1949"/>
      <c r="E1949"/>
      <c r="F1949"/>
      <c r="G1949"/>
      <c r="H1949"/>
      <c r="I1949"/>
      <c r="J1949"/>
      <c r="K1949"/>
      <c r="L1949"/>
      <c r="M1949"/>
      <c r="N1949" s="746"/>
      <c r="O1949" s="746"/>
      <c r="P1949" s="746"/>
      <c r="Q1949" s="746"/>
      <c r="R1949" s="521"/>
      <c r="S1949" s="521"/>
    </row>
    <row r="1950" spans="1:19" ht="25.5">
      <c r="A1950" s="720" t="s">
        <v>2035</v>
      </c>
      <c r="B1950" s="720" t="s">
        <v>2036</v>
      </c>
      <c r="C1950" s="720" t="s">
        <v>1</v>
      </c>
      <c r="D1950" s="720" t="s">
        <v>2037</v>
      </c>
      <c r="E1950" s="720" t="s">
        <v>3</v>
      </c>
      <c r="F1950" s="720" t="s">
        <v>4</v>
      </c>
      <c r="G1950" s="720" t="s">
        <v>2038</v>
      </c>
      <c r="H1950" s="720" t="s">
        <v>6</v>
      </c>
      <c r="I1950" s="720" t="s">
        <v>7</v>
      </c>
      <c r="J1950" s="720" t="s">
        <v>8</v>
      </c>
      <c r="K1950" s="720" t="s">
        <v>2039</v>
      </c>
      <c r="L1950" s="720" t="s">
        <v>10</v>
      </c>
      <c r="M1950" s="720" t="s">
        <v>2040</v>
      </c>
      <c r="N1950"/>
      <c r="O1950" s="521"/>
      <c r="P1950" s="521"/>
      <c r="Q1950" s="521"/>
      <c r="R1950" s="521"/>
      <c r="S1950" s="521"/>
    </row>
    <row r="1951" spans="1:19">
      <c r="A1951" s="721">
        <v>1</v>
      </c>
      <c r="B1951" s="721">
        <v>20162195005</v>
      </c>
      <c r="C1951" s="721" t="s">
        <v>6157</v>
      </c>
      <c r="D1951" s="721">
        <v>695</v>
      </c>
      <c r="E1951" s="721" t="s">
        <v>5961</v>
      </c>
      <c r="F1951" s="721" t="s">
        <v>37</v>
      </c>
      <c r="G1951" s="721" t="s">
        <v>2834</v>
      </c>
      <c r="H1951" s="721">
        <v>2</v>
      </c>
      <c r="I1951" s="721" t="s">
        <v>6158</v>
      </c>
      <c r="J1951" s="721" t="s">
        <v>6159</v>
      </c>
      <c r="K1951" s="721" t="s">
        <v>2044</v>
      </c>
      <c r="L1951" s="721">
        <v>52211117</v>
      </c>
      <c r="M1951" s="721" t="s">
        <v>2837</v>
      </c>
      <c r="N1951" s="746"/>
      <c r="O1951" s="746"/>
      <c r="P1951" s="746"/>
      <c r="Q1951" s="746"/>
      <c r="R1951" s="521"/>
      <c r="S1951" s="521"/>
    </row>
    <row r="1952" spans="1:19">
      <c r="A1952" s="723">
        <v>2</v>
      </c>
      <c r="B1952" s="723">
        <v>20162495013</v>
      </c>
      <c r="C1952" s="723" t="s">
        <v>6160</v>
      </c>
      <c r="D1952" s="723">
        <v>695</v>
      </c>
      <c r="E1952" s="723" t="s">
        <v>5961</v>
      </c>
      <c r="F1952" s="723" t="s">
        <v>37</v>
      </c>
      <c r="G1952" s="723" t="s">
        <v>2834</v>
      </c>
      <c r="H1952" s="723">
        <v>4</v>
      </c>
      <c r="I1952" s="723" t="s">
        <v>6161</v>
      </c>
      <c r="J1952" s="723" t="s">
        <v>6162</v>
      </c>
      <c r="K1952" s="723" t="s">
        <v>2044</v>
      </c>
      <c r="L1952" s="723">
        <v>80727303</v>
      </c>
      <c r="M1952" s="723" t="s">
        <v>2837</v>
      </c>
      <c r="N1952" s="746"/>
      <c r="O1952" s="746"/>
      <c r="P1952" s="746"/>
      <c r="Q1952" s="746"/>
      <c r="R1952" s="521"/>
      <c r="S1952" s="521"/>
    </row>
    <row r="1953" spans="1:19">
      <c r="A1953" s="721">
        <v>3</v>
      </c>
      <c r="B1953" s="721">
        <v>20241695002</v>
      </c>
      <c r="C1953" s="721" t="s">
        <v>6163</v>
      </c>
      <c r="D1953" s="721">
        <v>695</v>
      </c>
      <c r="E1953" s="721" t="s">
        <v>5961</v>
      </c>
      <c r="F1953" s="721" t="s">
        <v>37</v>
      </c>
      <c r="G1953" s="721" t="s">
        <v>2834</v>
      </c>
      <c r="H1953" s="721">
        <v>3</v>
      </c>
      <c r="I1953" s="721" t="s">
        <v>6164</v>
      </c>
      <c r="J1953" s="721" t="s">
        <v>6165</v>
      </c>
      <c r="K1953" s="721" t="s">
        <v>2044</v>
      </c>
      <c r="L1953" s="721">
        <v>1013673044</v>
      </c>
      <c r="M1953" s="721" t="s">
        <v>2837</v>
      </c>
      <c r="N1953" s="746"/>
      <c r="O1953" s="746"/>
      <c r="P1953" s="746"/>
      <c r="Q1953" s="746"/>
      <c r="R1953" s="521"/>
      <c r="S1953" s="521"/>
    </row>
    <row r="1954" spans="1:19">
      <c r="A1954" s="723">
        <v>4</v>
      </c>
      <c r="B1954" s="723">
        <v>20241695004</v>
      </c>
      <c r="C1954" s="723" t="s">
        <v>6166</v>
      </c>
      <c r="D1954" s="723">
        <v>695</v>
      </c>
      <c r="E1954" s="723" t="s">
        <v>5961</v>
      </c>
      <c r="F1954" s="723" t="s">
        <v>37</v>
      </c>
      <c r="G1954" s="723" t="s">
        <v>2834</v>
      </c>
      <c r="H1954" s="723">
        <v>3</v>
      </c>
      <c r="I1954" s="723" t="s">
        <v>6167</v>
      </c>
      <c r="J1954" s="723" t="s">
        <v>6168</v>
      </c>
      <c r="K1954" s="723" t="s">
        <v>2044</v>
      </c>
      <c r="L1954" s="723">
        <v>1030683963</v>
      </c>
      <c r="M1954" s="723" t="s">
        <v>2837</v>
      </c>
      <c r="N1954" s="746"/>
      <c r="O1954" s="746"/>
      <c r="P1954" s="746"/>
      <c r="Q1954" s="746"/>
      <c r="R1954" s="521"/>
      <c r="S1954" s="521"/>
    </row>
    <row r="1955" spans="1:19">
      <c r="A1955" s="721">
        <v>5</v>
      </c>
      <c r="B1955" s="721">
        <v>20241695006</v>
      </c>
      <c r="C1955" s="721" t="s">
        <v>6169</v>
      </c>
      <c r="D1955" s="721">
        <v>695</v>
      </c>
      <c r="E1955" s="721" t="s">
        <v>5961</v>
      </c>
      <c r="F1955" s="721" t="s">
        <v>37</v>
      </c>
      <c r="G1955" s="721" t="s">
        <v>2834</v>
      </c>
      <c r="H1955" s="721">
        <v>2</v>
      </c>
      <c r="I1955" s="721" t="s">
        <v>6170</v>
      </c>
      <c r="J1955" s="721" t="s">
        <v>6171</v>
      </c>
      <c r="K1955" s="721" t="s">
        <v>2044</v>
      </c>
      <c r="L1955" s="721">
        <v>1000857931</v>
      </c>
      <c r="M1955" s="721" t="s">
        <v>2837</v>
      </c>
      <c r="N1955" s="746"/>
      <c r="O1955" s="746"/>
      <c r="P1955" s="746"/>
      <c r="Q1955" s="746"/>
      <c r="R1955" s="521"/>
      <c r="S1955" s="521"/>
    </row>
    <row r="1956" spans="1:19">
      <c r="A1956" s="723">
        <v>6</v>
      </c>
      <c r="B1956" s="723">
        <v>20241695007</v>
      </c>
      <c r="C1956" s="723" t="s">
        <v>6172</v>
      </c>
      <c r="D1956" s="723">
        <v>695</v>
      </c>
      <c r="E1956" s="723" t="s">
        <v>5961</v>
      </c>
      <c r="F1956" s="723" t="s">
        <v>37</v>
      </c>
      <c r="G1956" s="723" t="s">
        <v>2834</v>
      </c>
      <c r="H1956" s="723">
        <v>2</v>
      </c>
      <c r="I1956" s="723" t="s">
        <v>6173</v>
      </c>
      <c r="J1956" s="723" t="s">
        <v>6174</v>
      </c>
      <c r="K1956" s="723" t="s">
        <v>2044</v>
      </c>
      <c r="L1956" s="723">
        <v>1075687506</v>
      </c>
      <c r="M1956" s="723" t="s">
        <v>2837</v>
      </c>
      <c r="N1956" s="746"/>
      <c r="O1956" s="746"/>
      <c r="P1956" s="746"/>
      <c r="Q1956" s="746"/>
      <c r="R1956" s="521"/>
      <c r="S1956" s="521"/>
    </row>
    <row r="1957" spans="1:19">
      <c r="A1957" s="721">
        <v>7</v>
      </c>
      <c r="B1957" s="721">
        <v>20241695009</v>
      </c>
      <c r="C1957" s="721" t="s">
        <v>6175</v>
      </c>
      <c r="D1957" s="721">
        <v>695</v>
      </c>
      <c r="E1957" s="721" t="s">
        <v>5961</v>
      </c>
      <c r="F1957" s="721" t="s">
        <v>37</v>
      </c>
      <c r="G1957" s="721" t="s">
        <v>2834</v>
      </c>
      <c r="H1957" s="721">
        <v>2</v>
      </c>
      <c r="I1957" s="721" t="s">
        <v>6176</v>
      </c>
      <c r="J1957" s="721" t="s">
        <v>6177</v>
      </c>
      <c r="K1957" s="721" t="s">
        <v>2044</v>
      </c>
      <c r="L1957" s="721">
        <v>1024486322</v>
      </c>
      <c r="M1957" s="721" t="s">
        <v>2837</v>
      </c>
      <c r="N1957" s="746"/>
      <c r="O1957" s="746"/>
      <c r="P1957" s="746"/>
      <c r="Q1957" s="746"/>
      <c r="R1957" s="521"/>
      <c r="S1957" s="521"/>
    </row>
    <row r="1958" spans="1:19">
      <c r="A1958" s="723">
        <v>8</v>
      </c>
      <c r="B1958" s="723">
        <v>20241695012</v>
      </c>
      <c r="C1958" s="723" t="s">
        <v>6178</v>
      </c>
      <c r="D1958" s="723">
        <v>695</v>
      </c>
      <c r="E1958" s="723" t="s">
        <v>5961</v>
      </c>
      <c r="F1958" s="723" t="s">
        <v>37</v>
      </c>
      <c r="G1958" s="723" t="s">
        <v>2834</v>
      </c>
      <c r="H1958" s="723">
        <v>3</v>
      </c>
      <c r="I1958" s="723" t="s">
        <v>6179</v>
      </c>
      <c r="J1958" s="723" t="s">
        <v>6180</v>
      </c>
      <c r="K1958" s="723" t="s">
        <v>2044</v>
      </c>
      <c r="L1958" s="723">
        <v>1007727225</v>
      </c>
      <c r="M1958" s="723" t="s">
        <v>2837</v>
      </c>
      <c r="N1958" s="746"/>
      <c r="O1958" s="746"/>
      <c r="P1958" s="746"/>
      <c r="Q1958" s="746"/>
      <c r="R1958" s="521"/>
      <c r="S1958" s="521"/>
    </row>
    <row r="1959" spans="1:19" ht="14.25" customHeight="1">
      <c r="A1959" s="721">
        <v>9</v>
      </c>
      <c r="B1959" s="721">
        <v>20241695019</v>
      </c>
      <c r="C1959" s="721" t="s">
        <v>6181</v>
      </c>
      <c r="D1959" s="721">
        <v>695</v>
      </c>
      <c r="E1959" s="721" t="s">
        <v>5961</v>
      </c>
      <c r="F1959" s="721" t="s">
        <v>37</v>
      </c>
      <c r="G1959" s="721" t="s">
        <v>2834</v>
      </c>
      <c r="H1959" s="721">
        <v>1</v>
      </c>
      <c r="I1959" s="721" t="s">
        <v>6182</v>
      </c>
      <c r="J1959" s="721" t="s">
        <v>6183</v>
      </c>
      <c r="K1959" s="721" t="s">
        <v>2044</v>
      </c>
      <c r="L1959" s="721">
        <v>1022377565</v>
      </c>
      <c r="M1959" s="721" t="s">
        <v>2837</v>
      </c>
      <c r="N1959" s="746"/>
      <c r="O1959" s="746"/>
      <c r="P1959" s="746"/>
      <c r="Q1959" s="746"/>
      <c r="R1959" s="521"/>
      <c r="S1959" s="521"/>
    </row>
    <row r="1960" spans="1:19" ht="14.25" customHeight="1">
      <c r="A1960" s="723">
        <v>10</v>
      </c>
      <c r="B1960" s="723">
        <v>20242695001</v>
      </c>
      <c r="C1960" s="723" t="s">
        <v>6184</v>
      </c>
      <c r="D1960" s="723">
        <v>695</v>
      </c>
      <c r="E1960" s="723" t="s">
        <v>5961</v>
      </c>
      <c r="F1960" s="723" t="s">
        <v>37</v>
      </c>
      <c r="G1960" s="723" t="s">
        <v>2834</v>
      </c>
      <c r="H1960" s="723">
        <v>3</v>
      </c>
      <c r="I1960" s="723" t="s">
        <v>6185</v>
      </c>
      <c r="J1960" s="723" t="s">
        <v>6186</v>
      </c>
      <c r="K1960" s="723" t="s">
        <v>2044</v>
      </c>
      <c r="L1960" s="723">
        <v>1018491467</v>
      </c>
      <c r="M1960" s="723" t="s">
        <v>2837</v>
      </c>
      <c r="N1960" s="746"/>
      <c r="O1960" s="746"/>
      <c r="P1960" s="746"/>
      <c r="Q1960" s="746"/>
      <c r="R1960" s="521"/>
      <c r="S1960" s="521"/>
    </row>
    <row r="1961" spans="1:19">
      <c r="A1961" s="721">
        <v>11</v>
      </c>
      <c r="B1961" s="721">
        <v>20251595003</v>
      </c>
      <c r="C1961" s="721" t="s">
        <v>6187</v>
      </c>
      <c r="D1961" s="721">
        <v>695</v>
      </c>
      <c r="E1961" s="721" t="s">
        <v>5961</v>
      </c>
      <c r="F1961" s="721" t="s">
        <v>37</v>
      </c>
      <c r="G1961" s="721" t="s">
        <v>2834</v>
      </c>
      <c r="H1961" s="721">
        <v>3</v>
      </c>
      <c r="I1961" s="721" t="s">
        <v>6188</v>
      </c>
      <c r="J1961" s="721" t="s">
        <v>6189</v>
      </c>
      <c r="K1961" s="721" t="s">
        <v>2044</v>
      </c>
      <c r="L1961" s="721">
        <v>1014278347</v>
      </c>
      <c r="M1961" s="721" t="s">
        <v>2837</v>
      </c>
      <c r="N1961" s="746"/>
      <c r="O1961" s="746"/>
      <c r="P1961" s="746"/>
      <c r="Q1961" s="746"/>
      <c r="R1961" s="521"/>
      <c r="S1961" s="521"/>
    </row>
    <row r="1962" spans="1:19">
      <c r="A1962" s="723">
        <v>12</v>
      </c>
      <c r="B1962" s="723">
        <v>20251695001</v>
      </c>
      <c r="C1962" s="723" t="s">
        <v>6190</v>
      </c>
      <c r="D1962" s="723">
        <v>695</v>
      </c>
      <c r="E1962" s="723" t="s">
        <v>5961</v>
      </c>
      <c r="F1962" s="723" t="s">
        <v>37</v>
      </c>
      <c r="G1962" s="723" t="s">
        <v>2834</v>
      </c>
      <c r="H1962" s="723">
        <v>4</v>
      </c>
      <c r="I1962" s="723" t="s">
        <v>6191</v>
      </c>
      <c r="J1962" s="723" t="s">
        <v>6192</v>
      </c>
      <c r="K1962" s="723" t="s">
        <v>2044</v>
      </c>
      <c r="L1962" s="723">
        <v>52312050</v>
      </c>
      <c r="M1962" s="723" t="s">
        <v>2837</v>
      </c>
      <c r="N1962" s="746"/>
      <c r="O1962" s="746"/>
      <c r="P1962" s="746"/>
      <c r="Q1962" s="746"/>
      <c r="R1962" s="521"/>
      <c r="S1962" s="521"/>
    </row>
    <row r="1963" spans="1:19">
      <c r="A1963" s="721">
        <v>13</v>
      </c>
      <c r="B1963" s="721">
        <v>20251695002</v>
      </c>
      <c r="C1963" s="721" t="s">
        <v>6193</v>
      </c>
      <c r="D1963" s="721">
        <v>695</v>
      </c>
      <c r="E1963" s="721" t="s">
        <v>5961</v>
      </c>
      <c r="F1963" s="721" t="s">
        <v>37</v>
      </c>
      <c r="G1963" s="721" t="s">
        <v>2834</v>
      </c>
      <c r="H1963" s="721">
        <v>1</v>
      </c>
      <c r="I1963" s="721" t="s">
        <v>6194</v>
      </c>
      <c r="J1963" s="721" t="s">
        <v>6194</v>
      </c>
      <c r="K1963" s="721" t="s">
        <v>2044</v>
      </c>
      <c r="L1963" s="721">
        <v>1193509264</v>
      </c>
      <c r="M1963" s="721" t="s">
        <v>2837</v>
      </c>
      <c r="N1963" s="746"/>
      <c r="O1963" s="746"/>
      <c r="P1963" s="746"/>
      <c r="Q1963" s="746"/>
      <c r="R1963" s="521"/>
      <c r="S1963" s="521"/>
    </row>
    <row r="1964" spans="1:19" ht="14.25" customHeight="1">
      <c r="A1964" s="723">
        <v>14</v>
      </c>
      <c r="B1964" s="723">
        <v>20251695003</v>
      </c>
      <c r="C1964" s="723" t="s">
        <v>6195</v>
      </c>
      <c r="D1964" s="723">
        <v>695</v>
      </c>
      <c r="E1964" s="723" t="s">
        <v>5961</v>
      </c>
      <c r="F1964" s="723" t="s">
        <v>37</v>
      </c>
      <c r="G1964" s="723" t="s">
        <v>2834</v>
      </c>
      <c r="H1964" s="723" t="s">
        <v>2043</v>
      </c>
      <c r="I1964" s="723" t="s">
        <v>6196</v>
      </c>
      <c r="J1964" s="723" t="s">
        <v>6197</v>
      </c>
      <c r="K1964" s="723" t="s">
        <v>2044</v>
      </c>
      <c r="L1964" s="723">
        <v>80021923</v>
      </c>
      <c r="M1964" s="723" t="s">
        <v>2837</v>
      </c>
      <c r="N1964" s="746"/>
      <c r="O1964" s="746"/>
      <c r="P1964" s="746"/>
      <c r="Q1964" s="746"/>
      <c r="R1964" s="521"/>
      <c r="S1964" s="521"/>
    </row>
    <row r="1965" spans="1:19">
      <c r="A1965" s="721">
        <v>15</v>
      </c>
      <c r="B1965" s="721">
        <v>20251695004</v>
      </c>
      <c r="C1965" s="721" t="s">
        <v>6198</v>
      </c>
      <c r="D1965" s="721">
        <v>695</v>
      </c>
      <c r="E1965" s="721" t="s">
        <v>5961</v>
      </c>
      <c r="F1965" s="721" t="s">
        <v>37</v>
      </c>
      <c r="G1965" s="721" t="s">
        <v>2834</v>
      </c>
      <c r="H1965" s="721">
        <v>4</v>
      </c>
      <c r="I1965" s="721" t="s">
        <v>6199</v>
      </c>
      <c r="J1965" s="721" t="s">
        <v>6199</v>
      </c>
      <c r="K1965" s="721" t="s">
        <v>2044</v>
      </c>
      <c r="L1965" s="721">
        <v>1014263322</v>
      </c>
      <c r="M1965" s="721" t="s">
        <v>2837</v>
      </c>
      <c r="N1965" s="746"/>
      <c r="O1965" s="746"/>
      <c r="P1965" s="746"/>
      <c r="Q1965" s="746"/>
      <c r="R1965" s="521"/>
      <c r="S1965" s="521"/>
    </row>
    <row r="1966" spans="1:19" ht="14.25" customHeight="1">
      <c r="A1966" s="723">
        <v>16</v>
      </c>
      <c r="B1966" s="723">
        <v>20251695006</v>
      </c>
      <c r="C1966" s="723" t="s">
        <v>6200</v>
      </c>
      <c r="D1966" s="723">
        <v>695</v>
      </c>
      <c r="E1966" s="723" t="s">
        <v>5961</v>
      </c>
      <c r="F1966" s="723" t="s">
        <v>37</v>
      </c>
      <c r="G1966" s="723" t="s">
        <v>2834</v>
      </c>
      <c r="H1966" s="723">
        <v>2</v>
      </c>
      <c r="I1966" s="723" t="s">
        <v>6201</v>
      </c>
      <c r="J1966" s="723" t="s">
        <v>6202</v>
      </c>
      <c r="K1966" s="723" t="s">
        <v>2044</v>
      </c>
      <c r="L1966" s="723">
        <v>1032491017</v>
      </c>
      <c r="M1966" s="723" t="s">
        <v>2837</v>
      </c>
      <c r="N1966" s="746"/>
      <c r="O1966" s="746"/>
      <c r="P1966" s="746"/>
      <c r="Q1966" s="746"/>
      <c r="R1966" s="521"/>
      <c r="S1966" s="521"/>
    </row>
    <row r="1967" spans="1:19">
      <c r="A1967" s="721">
        <v>17</v>
      </c>
      <c r="B1967" s="721">
        <v>20251695007</v>
      </c>
      <c r="C1967" s="721" t="s">
        <v>6203</v>
      </c>
      <c r="D1967" s="721">
        <v>695</v>
      </c>
      <c r="E1967" s="721" t="s">
        <v>5961</v>
      </c>
      <c r="F1967" s="721" t="s">
        <v>37</v>
      </c>
      <c r="G1967" s="721" t="s">
        <v>2834</v>
      </c>
      <c r="H1967" s="721">
        <v>3</v>
      </c>
      <c r="I1967" s="721" t="s">
        <v>6204</v>
      </c>
      <c r="J1967" s="721" t="s">
        <v>6205</v>
      </c>
      <c r="K1967" s="721" t="s">
        <v>2044</v>
      </c>
      <c r="L1967" s="721">
        <v>1014273957</v>
      </c>
      <c r="M1967" s="721" t="s">
        <v>2837</v>
      </c>
      <c r="N1967" s="746"/>
      <c r="O1967" s="746"/>
      <c r="P1967" s="746"/>
      <c r="Q1967" s="746"/>
      <c r="R1967" s="521"/>
      <c r="S1967" s="521"/>
    </row>
    <row r="1968" spans="1:19">
      <c r="A1968" s="723">
        <v>18</v>
      </c>
      <c r="B1968" s="723">
        <v>20251695009</v>
      </c>
      <c r="C1968" s="723" t="s">
        <v>6206</v>
      </c>
      <c r="D1968" s="723">
        <v>695</v>
      </c>
      <c r="E1968" s="723" t="s">
        <v>5961</v>
      </c>
      <c r="F1968" s="723" t="s">
        <v>37</v>
      </c>
      <c r="G1968" s="723" t="s">
        <v>2834</v>
      </c>
      <c r="H1968" s="723">
        <v>3</v>
      </c>
      <c r="I1968" s="723" t="s">
        <v>6207</v>
      </c>
      <c r="J1968" s="723" t="s">
        <v>6207</v>
      </c>
      <c r="K1968" s="723" t="s">
        <v>2044</v>
      </c>
      <c r="L1968" s="723">
        <v>1014263483</v>
      </c>
      <c r="M1968" s="723" t="s">
        <v>2837</v>
      </c>
      <c r="N1968" s="746"/>
      <c r="O1968" s="746"/>
      <c r="P1968" s="746"/>
      <c r="Q1968" s="746"/>
      <c r="R1968" s="521"/>
      <c r="S1968" s="521"/>
    </row>
    <row r="1969" spans="1:19">
      <c r="A1969" s="721">
        <v>19</v>
      </c>
      <c r="B1969" s="721">
        <v>20251695011</v>
      </c>
      <c r="C1969" s="721" t="s">
        <v>6208</v>
      </c>
      <c r="D1969" s="721">
        <v>695</v>
      </c>
      <c r="E1969" s="721" t="s">
        <v>5961</v>
      </c>
      <c r="F1969" s="721" t="s">
        <v>37</v>
      </c>
      <c r="G1969" s="721" t="s">
        <v>2834</v>
      </c>
      <c r="H1969" s="721">
        <v>1</v>
      </c>
      <c r="I1969" s="721" t="s">
        <v>6209</v>
      </c>
      <c r="J1969" s="721" t="s">
        <v>6210</v>
      </c>
      <c r="K1969" s="721" t="s">
        <v>2044</v>
      </c>
      <c r="L1969" s="721">
        <v>1007295662</v>
      </c>
      <c r="M1969" s="721" t="s">
        <v>2837</v>
      </c>
      <c r="N1969" s="746"/>
      <c r="O1969" s="746"/>
      <c r="P1969" s="746"/>
      <c r="Q1969" s="746"/>
      <c r="R1969" s="521"/>
      <c r="S1969" s="521"/>
    </row>
    <row r="1970" spans="1:19">
      <c r="A1970" s="723">
        <v>20</v>
      </c>
      <c r="B1970" s="723">
        <v>20251695012</v>
      </c>
      <c r="C1970" s="723" t="s">
        <v>6211</v>
      </c>
      <c r="D1970" s="723">
        <v>695</v>
      </c>
      <c r="E1970" s="723" t="s">
        <v>5961</v>
      </c>
      <c r="F1970" s="723" t="s">
        <v>37</v>
      </c>
      <c r="G1970" s="723" t="s">
        <v>2834</v>
      </c>
      <c r="H1970" s="723" t="s">
        <v>2043</v>
      </c>
      <c r="I1970" s="723" t="s">
        <v>6212</v>
      </c>
      <c r="J1970" s="723" t="s">
        <v>6212</v>
      </c>
      <c r="K1970" s="723" t="s">
        <v>2044</v>
      </c>
      <c r="L1970" s="723">
        <v>1032492447</v>
      </c>
      <c r="M1970" s="723" t="s">
        <v>2837</v>
      </c>
      <c r="N1970" s="746"/>
      <c r="O1970" s="746"/>
      <c r="P1970" s="746"/>
      <c r="Q1970" s="746"/>
      <c r="R1970" s="521"/>
      <c r="S1970" s="521"/>
    </row>
    <row r="1971" spans="1:19" ht="14.25" customHeight="1">
      <c r="A1971" s="721">
        <v>21</v>
      </c>
      <c r="B1971" s="721">
        <v>20252695001</v>
      </c>
      <c r="C1971" s="721" t="s">
        <v>6213</v>
      </c>
      <c r="D1971" s="721">
        <v>695</v>
      </c>
      <c r="E1971" s="721" t="s">
        <v>5961</v>
      </c>
      <c r="F1971" s="721" t="s">
        <v>37</v>
      </c>
      <c r="G1971" s="721" t="s">
        <v>2834</v>
      </c>
      <c r="H1971" s="721">
        <v>2</v>
      </c>
      <c r="I1971" s="721" t="s">
        <v>6214</v>
      </c>
      <c r="J1971" s="721" t="s">
        <v>6214</v>
      </c>
      <c r="K1971" s="721" t="s">
        <v>2044</v>
      </c>
      <c r="L1971" s="721">
        <v>1007866370</v>
      </c>
      <c r="M1971" s="721" t="s">
        <v>2837</v>
      </c>
      <c r="N1971" s="746"/>
      <c r="O1971" s="746"/>
      <c r="P1971" s="746"/>
      <c r="Q1971" s="746"/>
      <c r="R1971" s="521"/>
      <c r="S1971" s="521"/>
    </row>
    <row r="1972" spans="1:19" ht="14.25" customHeight="1">
      <c r="A1972" s="723">
        <v>22</v>
      </c>
      <c r="B1972" s="723">
        <v>20252695002</v>
      </c>
      <c r="C1972" s="723" t="s">
        <v>6215</v>
      </c>
      <c r="D1972" s="723">
        <v>695</v>
      </c>
      <c r="E1972" s="723" t="s">
        <v>5961</v>
      </c>
      <c r="F1972" s="723" t="s">
        <v>37</v>
      </c>
      <c r="G1972" s="723" t="s">
        <v>2834</v>
      </c>
      <c r="H1972" s="723" t="s">
        <v>2043</v>
      </c>
      <c r="I1972" s="723" t="s">
        <v>6216</v>
      </c>
      <c r="J1972" s="723" t="s">
        <v>6217</v>
      </c>
      <c r="K1972" s="723" t="s">
        <v>2044</v>
      </c>
      <c r="L1972" s="723">
        <v>1072667960</v>
      </c>
      <c r="M1972" s="723" t="s">
        <v>2837</v>
      </c>
      <c r="N1972" s="746"/>
      <c r="O1972" s="746"/>
      <c r="P1972" s="746"/>
      <c r="Q1972" s="746"/>
      <c r="R1972" s="521"/>
      <c r="S1972" s="521"/>
    </row>
    <row r="1973" spans="1:19">
      <c r="A1973" s="721">
        <v>23</v>
      </c>
      <c r="B1973" s="721">
        <v>20252695003</v>
      </c>
      <c r="C1973" s="721" t="s">
        <v>6218</v>
      </c>
      <c r="D1973" s="721">
        <v>695</v>
      </c>
      <c r="E1973" s="721" t="s">
        <v>5961</v>
      </c>
      <c r="F1973" s="721" t="s">
        <v>37</v>
      </c>
      <c r="G1973" s="721" t="s">
        <v>2834</v>
      </c>
      <c r="H1973" s="721" t="s">
        <v>2043</v>
      </c>
      <c r="I1973" s="721" t="s">
        <v>6219</v>
      </c>
      <c r="J1973" s="721" t="s">
        <v>6220</v>
      </c>
      <c r="K1973" s="721" t="s">
        <v>2044</v>
      </c>
      <c r="L1973" s="721">
        <v>1024467318</v>
      </c>
      <c r="M1973" s="721" t="s">
        <v>2837</v>
      </c>
      <c r="N1973" s="746"/>
      <c r="O1973" s="746"/>
      <c r="P1973" s="746"/>
      <c r="Q1973" s="746"/>
      <c r="R1973" s="521"/>
      <c r="S1973" s="521"/>
    </row>
    <row r="1974" spans="1:19">
      <c r="A1974" s="723">
        <v>24</v>
      </c>
      <c r="B1974" s="723">
        <v>20252695004</v>
      </c>
      <c r="C1974" s="723" t="s">
        <v>6221</v>
      </c>
      <c r="D1974" s="723">
        <v>695</v>
      </c>
      <c r="E1974" s="723" t="s">
        <v>5961</v>
      </c>
      <c r="F1974" s="723" t="s">
        <v>37</v>
      </c>
      <c r="G1974" s="723" t="s">
        <v>2834</v>
      </c>
      <c r="H1974" s="723" t="s">
        <v>2043</v>
      </c>
      <c r="I1974" s="723" t="s">
        <v>6222</v>
      </c>
      <c r="J1974" s="723" t="s">
        <v>6223</v>
      </c>
      <c r="K1974" s="723" t="s">
        <v>2044</v>
      </c>
      <c r="L1974" s="723">
        <v>1022384967</v>
      </c>
      <c r="M1974" s="723" t="s">
        <v>2837</v>
      </c>
      <c r="N1974" s="746"/>
      <c r="O1974" s="746"/>
      <c r="P1974" s="746"/>
      <c r="Q1974" s="746"/>
      <c r="R1974" s="521"/>
      <c r="S1974" s="521"/>
    </row>
    <row r="1975" spans="1:19" ht="14.25" customHeight="1">
      <c r="A1975" s="721">
        <v>25</v>
      </c>
      <c r="B1975" s="721">
        <v>20252695005</v>
      </c>
      <c r="C1975" s="721" t="s">
        <v>6224</v>
      </c>
      <c r="D1975" s="721">
        <v>695</v>
      </c>
      <c r="E1975" s="721" t="s">
        <v>5961</v>
      </c>
      <c r="F1975" s="721" t="s">
        <v>37</v>
      </c>
      <c r="G1975" s="721" t="s">
        <v>2834</v>
      </c>
      <c r="H1975" s="721" t="s">
        <v>2043</v>
      </c>
      <c r="I1975" s="721" t="s">
        <v>6225</v>
      </c>
      <c r="J1975" s="721" t="s">
        <v>6226</v>
      </c>
      <c r="K1975" s="721" t="s">
        <v>2044</v>
      </c>
      <c r="L1975" s="721">
        <v>1000061110</v>
      </c>
      <c r="M1975" s="721" t="s">
        <v>2837</v>
      </c>
      <c r="N1975" s="746"/>
      <c r="O1975" s="746"/>
      <c r="P1975" s="746"/>
      <c r="Q1975" s="746"/>
      <c r="R1975" s="521"/>
      <c r="S1975" s="521"/>
    </row>
    <row r="1976" spans="1:19">
      <c r="A1976" s="723">
        <v>26</v>
      </c>
      <c r="B1976" s="723">
        <v>20252695006</v>
      </c>
      <c r="C1976" s="723" t="s">
        <v>6227</v>
      </c>
      <c r="D1976" s="723">
        <v>695</v>
      </c>
      <c r="E1976" s="723" t="s">
        <v>5961</v>
      </c>
      <c r="F1976" s="723" t="s">
        <v>37</v>
      </c>
      <c r="G1976" s="723" t="s">
        <v>2834</v>
      </c>
      <c r="H1976" s="723" t="s">
        <v>2043</v>
      </c>
      <c r="I1976" s="723" t="s">
        <v>6228</v>
      </c>
      <c r="J1976" s="723" t="s">
        <v>6229</v>
      </c>
      <c r="K1976" s="723" t="s">
        <v>2044</v>
      </c>
      <c r="L1976" s="723">
        <v>1014274192</v>
      </c>
      <c r="M1976" s="723" t="s">
        <v>2837</v>
      </c>
      <c r="N1976" s="746"/>
      <c r="O1976" s="746"/>
      <c r="P1976" s="746"/>
      <c r="Q1976" s="746"/>
      <c r="R1976" s="521"/>
      <c r="S1976" s="521"/>
    </row>
    <row r="1977" spans="1:19">
      <c r="A1977" s="721">
        <v>27</v>
      </c>
      <c r="B1977" s="721">
        <v>20252695007</v>
      </c>
      <c r="C1977" s="721" t="s">
        <v>6230</v>
      </c>
      <c r="D1977" s="721">
        <v>695</v>
      </c>
      <c r="E1977" s="721" t="s">
        <v>5961</v>
      </c>
      <c r="F1977" s="721" t="s">
        <v>37</v>
      </c>
      <c r="G1977" s="721" t="s">
        <v>2834</v>
      </c>
      <c r="H1977" s="721" t="s">
        <v>2043</v>
      </c>
      <c r="I1977" s="721" t="s">
        <v>6231</v>
      </c>
      <c r="J1977" s="721" t="s">
        <v>6231</v>
      </c>
      <c r="K1977" s="721" t="s">
        <v>2044</v>
      </c>
      <c r="L1977" s="721">
        <v>1032490577</v>
      </c>
      <c r="M1977" s="721" t="s">
        <v>2837</v>
      </c>
      <c r="N1977" s="746"/>
      <c r="O1977" s="746"/>
      <c r="P1977" s="746"/>
      <c r="Q1977" s="746"/>
      <c r="R1977" s="521"/>
      <c r="S1977" s="521"/>
    </row>
    <row r="1978" spans="1:19">
      <c r="A1978" s="723">
        <v>28</v>
      </c>
      <c r="B1978" s="723">
        <v>20252695008</v>
      </c>
      <c r="C1978" s="723" t="s">
        <v>6232</v>
      </c>
      <c r="D1978" s="723">
        <v>695</v>
      </c>
      <c r="E1978" s="723" t="s">
        <v>5961</v>
      </c>
      <c r="F1978" s="723" t="s">
        <v>37</v>
      </c>
      <c r="G1978" s="723" t="s">
        <v>2834</v>
      </c>
      <c r="H1978" s="723" t="s">
        <v>2043</v>
      </c>
      <c r="I1978" s="723" t="s">
        <v>6233</v>
      </c>
      <c r="J1978" s="723" t="s">
        <v>6233</v>
      </c>
      <c r="K1978" s="723" t="s">
        <v>2044</v>
      </c>
      <c r="L1978" s="723">
        <v>1003826526</v>
      </c>
      <c r="M1978" s="723" t="s">
        <v>2837</v>
      </c>
      <c r="N1978" s="746"/>
      <c r="O1978" s="746"/>
      <c r="P1978" s="746"/>
      <c r="Q1978" s="746"/>
      <c r="R1978" s="521"/>
      <c r="S1978" s="521"/>
    </row>
    <row r="1979" spans="1:19">
      <c r="A1979" s="721">
        <v>29</v>
      </c>
      <c r="B1979" s="721">
        <v>20252695009</v>
      </c>
      <c r="C1979" s="721" t="s">
        <v>6234</v>
      </c>
      <c r="D1979" s="721">
        <v>695</v>
      </c>
      <c r="E1979" s="721" t="s">
        <v>5961</v>
      </c>
      <c r="F1979" s="721" t="s">
        <v>37</v>
      </c>
      <c r="G1979" s="721" t="s">
        <v>2834</v>
      </c>
      <c r="H1979" s="721" t="s">
        <v>2043</v>
      </c>
      <c r="I1979" s="721" t="s">
        <v>6235</v>
      </c>
      <c r="J1979" s="721" t="s">
        <v>6236</v>
      </c>
      <c r="K1979" s="721" t="s">
        <v>2044</v>
      </c>
      <c r="L1979" s="721">
        <v>1001114977</v>
      </c>
      <c r="M1979" s="721" t="s">
        <v>2837</v>
      </c>
      <c r="N1979" s="746"/>
      <c r="O1979" s="746"/>
      <c r="P1979" s="746"/>
      <c r="Q1979" s="746"/>
      <c r="R1979" s="521"/>
      <c r="S1979" s="521"/>
    </row>
    <row r="1980" spans="1:19">
      <c r="A1980" s="723">
        <v>30</v>
      </c>
      <c r="B1980" s="723">
        <v>20252695010</v>
      </c>
      <c r="C1980" s="723" t="s">
        <v>6237</v>
      </c>
      <c r="D1980" s="723">
        <v>695</v>
      </c>
      <c r="E1980" s="723" t="s">
        <v>5961</v>
      </c>
      <c r="F1980" s="723" t="s">
        <v>37</v>
      </c>
      <c r="G1980" s="723" t="s">
        <v>2834</v>
      </c>
      <c r="H1980" s="723" t="s">
        <v>2043</v>
      </c>
      <c r="I1980" s="723" t="s">
        <v>6238</v>
      </c>
      <c r="J1980" s="723" t="s">
        <v>6238</v>
      </c>
      <c r="K1980" s="723" t="s">
        <v>2044</v>
      </c>
      <c r="L1980" s="723">
        <v>1014273160</v>
      </c>
      <c r="M1980" s="723" t="s">
        <v>2837</v>
      </c>
      <c r="N1980" s="746"/>
      <c r="O1980" s="746"/>
      <c r="P1980" s="746"/>
      <c r="Q1980" s="746"/>
      <c r="R1980" s="521"/>
      <c r="S1980" s="521"/>
    </row>
    <row r="1981" spans="1:19">
      <c r="A1981" s="721">
        <v>31</v>
      </c>
      <c r="B1981" s="721">
        <v>20261695001</v>
      </c>
      <c r="C1981" s="721" t="s">
        <v>6239</v>
      </c>
      <c r="D1981" s="721">
        <v>695</v>
      </c>
      <c r="E1981" s="721" t="s">
        <v>5961</v>
      </c>
      <c r="F1981" s="721" t="s">
        <v>37</v>
      </c>
      <c r="G1981" s="721" t="s">
        <v>2834</v>
      </c>
      <c r="H1981" s="721" t="s">
        <v>2043</v>
      </c>
      <c r="I1981" s="721"/>
      <c r="J1981" s="721" t="s">
        <v>6240</v>
      </c>
      <c r="K1981" s="721" t="s">
        <v>2044</v>
      </c>
      <c r="L1981" s="721">
        <v>1014300095</v>
      </c>
      <c r="M1981" s="721" t="s">
        <v>2837</v>
      </c>
      <c r="N1981" s="746"/>
      <c r="O1981" s="746"/>
      <c r="P1981" s="746"/>
      <c r="Q1981" s="746"/>
      <c r="R1981" s="521"/>
      <c r="S1981" s="521"/>
    </row>
    <row r="1982" spans="1:19">
      <c r="A1982" s="723">
        <v>32</v>
      </c>
      <c r="B1982" s="723">
        <v>20261695002</v>
      </c>
      <c r="C1982" s="723" t="s">
        <v>6241</v>
      </c>
      <c r="D1982" s="723">
        <v>695</v>
      </c>
      <c r="E1982" s="723" t="s">
        <v>5961</v>
      </c>
      <c r="F1982" s="723" t="s">
        <v>37</v>
      </c>
      <c r="G1982" s="723" t="s">
        <v>2834</v>
      </c>
      <c r="H1982" s="723" t="s">
        <v>2043</v>
      </c>
      <c r="I1982" s="723"/>
      <c r="J1982" s="723" t="s">
        <v>6242</v>
      </c>
      <c r="K1982" s="723" t="s">
        <v>2044</v>
      </c>
      <c r="L1982" s="723">
        <v>1030693285</v>
      </c>
      <c r="M1982" s="723" t="s">
        <v>2837</v>
      </c>
      <c r="N1982" s="746"/>
      <c r="O1982" s="746"/>
      <c r="P1982" s="746"/>
      <c r="Q1982" s="746"/>
      <c r="R1982" s="521"/>
      <c r="S1982" s="521"/>
    </row>
    <row r="1983" spans="1:19">
      <c r="A1983" s="721">
        <v>33</v>
      </c>
      <c r="B1983" s="721">
        <v>20261695003</v>
      </c>
      <c r="C1983" s="721" t="s">
        <v>6243</v>
      </c>
      <c r="D1983" s="721">
        <v>695</v>
      </c>
      <c r="E1983" s="721" t="s">
        <v>5961</v>
      </c>
      <c r="F1983" s="721" t="s">
        <v>37</v>
      </c>
      <c r="G1983" s="721" t="s">
        <v>2834</v>
      </c>
      <c r="H1983" s="721" t="s">
        <v>2043</v>
      </c>
      <c r="I1983" s="721" t="s">
        <v>6244</v>
      </c>
      <c r="J1983" s="721" t="s">
        <v>6245</v>
      </c>
      <c r="K1983" s="721" t="s">
        <v>2044</v>
      </c>
      <c r="L1983" s="721">
        <v>1030609618</v>
      </c>
      <c r="M1983" s="721" t="s">
        <v>2837</v>
      </c>
      <c r="N1983" s="746"/>
      <c r="O1983" s="746"/>
      <c r="P1983" s="746"/>
      <c r="Q1983" s="746"/>
      <c r="R1983" s="521"/>
      <c r="S1983" s="521"/>
    </row>
    <row r="1984" spans="1:19">
      <c r="A1984" s="723">
        <v>34</v>
      </c>
      <c r="B1984" s="723">
        <v>20261695004</v>
      </c>
      <c r="C1984" s="723" t="s">
        <v>6246</v>
      </c>
      <c r="D1984" s="723">
        <v>695</v>
      </c>
      <c r="E1984" s="723" t="s">
        <v>5961</v>
      </c>
      <c r="F1984" s="723" t="s">
        <v>37</v>
      </c>
      <c r="G1984" s="723" t="s">
        <v>2834</v>
      </c>
      <c r="H1984" s="723" t="s">
        <v>2043</v>
      </c>
      <c r="I1984" s="723"/>
      <c r="J1984" s="723" t="s">
        <v>6247</v>
      </c>
      <c r="K1984" s="723" t="s">
        <v>2044</v>
      </c>
      <c r="L1984" s="723">
        <v>1005051136</v>
      </c>
      <c r="M1984" s="723" t="s">
        <v>2837</v>
      </c>
      <c r="N1984" s="746"/>
      <c r="O1984" s="746"/>
      <c r="P1984" s="746"/>
      <c r="Q1984" s="746"/>
      <c r="R1984" s="521"/>
      <c r="S1984" s="521"/>
    </row>
    <row r="1985" spans="1:19">
      <c r="A1985" s="721">
        <v>35</v>
      </c>
      <c r="B1985" s="721">
        <v>20261695005</v>
      </c>
      <c r="C1985" s="721" t="s">
        <v>6248</v>
      </c>
      <c r="D1985" s="721">
        <v>695</v>
      </c>
      <c r="E1985" s="721" t="s">
        <v>5961</v>
      </c>
      <c r="F1985" s="721" t="s">
        <v>37</v>
      </c>
      <c r="G1985" s="721" t="s">
        <v>2834</v>
      </c>
      <c r="H1985" s="721" t="s">
        <v>2043</v>
      </c>
      <c r="I1985" s="721" t="s">
        <v>6249</v>
      </c>
      <c r="J1985" s="721" t="s">
        <v>6250</v>
      </c>
      <c r="K1985" s="721" t="s">
        <v>2044</v>
      </c>
      <c r="L1985" s="721">
        <v>1019121103</v>
      </c>
      <c r="M1985" s="721" t="s">
        <v>2837</v>
      </c>
      <c r="N1985" s="746"/>
      <c r="O1985" s="746"/>
      <c r="P1985" s="746"/>
      <c r="Q1985" s="746"/>
      <c r="R1985" s="521"/>
      <c r="S1985" s="521"/>
    </row>
    <row r="1986" spans="1:19">
      <c r="A1986" s="723">
        <v>36</v>
      </c>
      <c r="B1986" s="723">
        <v>20261695006</v>
      </c>
      <c r="C1986" s="723" t="s">
        <v>6251</v>
      </c>
      <c r="D1986" s="723">
        <v>695</v>
      </c>
      <c r="E1986" s="723" t="s">
        <v>5961</v>
      </c>
      <c r="F1986" s="723" t="s">
        <v>37</v>
      </c>
      <c r="G1986" s="723" t="s">
        <v>2834</v>
      </c>
      <c r="H1986" s="723" t="s">
        <v>2043</v>
      </c>
      <c r="I1986" s="723" t="s">
        <v>6252</v>
      </c>
      <c r="J1986" s="723" t="s">
        <v>6252</v>
      </c>
      <c r="K1986" s="723" t="s">
        <v>2044</v>
      </c>
      <c r="L1986" s="723">
        <v>1018471377</v>
      </c>
      <c r="M1986" s="723" t="s">
        <v>2837</v>
      </c>
      <c r="N1986" s="746"/>
      <c r="O1986" s="746"/>
      <c r="P1986" s="746"/>
      <c r="Q1986" s="746"/>
      <c r="R1986" s="521"/>
      <c r="S1986" s="521"/>
    </row>
    <row r="1987" spans="1:19">
      <c r="A1987" s="721">
        <v>37</v>
      </c>
      <c r="B1987" s="721">
        <v>20261695008</v>
      </c>
      <c r="C1987" s="721" t="s">
        <v>6253</v>
      </c>
      <c r="D1987" s="721">
        <v>695</v>
      </c>
      <c r="E1987" s="721" t="s">
        <v>5961</v>
      </c>
      <c r="F1987" s="721" t="s">
        <v>37</v>
      </c>
      <c r="G1987" s="721" t="s">
        <v>2834</v>
      </c>
      <c r="H1987" s="721" t="s">
        <v>2043</v>
      </c>
      <c r="I1987" s="721"/>
      <c r="J1987" s="721" t="s">
        <v>6254</v>
      </c>
      <c r="K1987" s="721" t="s">
        <v>2044</v>
      </c>
      <c r="L1987" s="721">
        <v>52839893</v>
      </c>
      <c r="M1987" s="721" t="s">
        <v>2837</v>
      </c>
      <c r="N1987" s="746"/>
      <c r="O1987" s="746"/>
      <c r="P1987" s="746"/>
      <c r="Q1987" s="746"/>
      <c r="R1987" s="521"/>
      <c r="S1987" s="521"/>
    </row>
    <row r="1988" spans="1:19">
      <c r="A1988" s="723">
        <v>38</v>
      </c>
      <c r="B1988" s="723">
        <v>20261695009</v>
      </c>
      <c r="C1988" s="723" t="s">
        <v>6255</v>
      </c>
      <c r="D1988" s="723">
        <v>695</v>
      </c>
      <c r="E1988" s="723" t="s">
        <v>5961</v>
      </c>
      <c r="F1988" s="723" t="s">
        <v>37</v>
      </c>
      <c r="G1988" s="723" t="s">
        <v>2834</v>
      </c>
      <c r="H1988" s="723" t="s">
        <v>2043</v>
      </c>
      <c r="I1988" s="723"/>
      <c r="J1988" s="723" t="s">
        <v>6256</v>
      </c>
      <c r="K1988" s="723" t="s">
        <v>2044</v>
      </c>
      <c r="L1988" s="723">
        <v>1010162128</v>
      </c>
      <c r="M1988" s="723" t="s">
        <v>2837</v>
      </c>
      <c r="N1988" s="746"/>
      <c r="O1988" s="746"/>
      <c r="P1988" s="746"/>
      <c r="Q1988" s="746"/>
      <c r="R1988" s="521"/>
      <c r="S1988" s="521"/>
    </row>
    <row r="1989" spans="1:19">
      <c r="A1989" s="721">
        <v>39</v>
      </c>
      <c r="B1989" s="721">
        <v>20261695011</v>
      </c>
      <c r="C1989" s="721" t="s">
        <v>6257</v>
      </c>
      <c r="D1989" s="721">
        <v>695</v>
      </c>
      <c r="E1989" s="721" t="s">
        <v>5961</v>
      </c>
      <c r="F1989" s="721" t="s">
        <v>37</v>
      </c>
      <c r="G1989" s="721" t="s">
        <v>2834</v>
      </c>
      <c r="H1989" s="721" t="s">
        <v>2043</v>
      </c>
      <c r="I1989" s="721"/>
      <c r="J1989" s="721" t="s">
        <v>6258</v>
      </c>
      <c r="K1989" s="721" t="s">
        <v>2044</v>
      </c>
      <c r="L1989" s="721">
        <v>1032475234</v>
      </c>
      <c r="M1989" s="721" t="s">
        <v>2837</v>
      </c>
      <c r="N1989" s="746"/>
      <c r="O1989" s="746"/>
      <c r="P1989" s="746"/>
      <c r="Q1989" s="746"/>
      <c r="R1989" s="521"/>
      <c r="S1989" s="521"/>
    </row>
    <row r="1990" spans="1:19">
      <c r="A1990" s="723">
        <v>40</v>
      </c>
      <c r="B1990" s="723">
        <v>20261695012</v>
      </c>
      <c r="C1990" s="723" t="s">
        <v>6259</v>
      </c>
      <c r="D1990" s="723">
        <v>695</v>
      </c>
      <c r="E1990" s="723" t="s">
        <v>5961</v>
      </c>
      <c r="F1990" s="723" t="s">
        <v>37</v>
      </c>
      <c r="G1990" s="723" t="s">
        <v>2834</v>
      </c>
      <c r="H1990" s="723" t="s">
        <v>2043</v>
      </c>
      <c r="I1990" s="723"/>
      <c r="J1990" s="723" t="s">
        <v>6260</v>
      </c>
      <c r="K1990" s="723" t="s">
        <v>2044</v>
      </c>
      <c r="L1990" s="723">
        <v>1000718302</v>
      </c>
      <c r="M1990" s="723" t="s">
        <v>2837</v>
      </c>
      <c r="N1990" s="746"/>
      <c r="O1990" s="746"/>
      <c r="P1990" s="746"/>
      <c r="Q1990" s="746"/>
      <c r="R1990" s="521"/>
      <c r="S1990" s="521"/>
    </row>
    <row r="1991" spans="1:19">
      <c r="A1991" s="721">
        <v>41</v>
      </c>
      <c r="B1991" s="721">
        <v>20261695014</v>
      </c>
      <c r="C1991" s="721" t="s">
        <v>6261</v>
      </c>
      <c r="D1991" s="721">
        <v>695</v>
      </c>
      <c r="E1991" s="721" t="s">
        <v>5961</v>
      </c>
      <c r="F1991" s="721" t="s">
        <v>37</v>
      </c>
      <c r="G1991" s="721" t="s">
        <v>2834</v>
      </c>
      <c r="H1991" s="721" t="s">
        <v>2043</v>
      </c>
      <c r="I1991" s="721"/>
      <c r="J1991" s="721" t="s">
        <v>6262</v>
      </c>
      <c r="K1991" s="721" t="s">
        <v>2044</v>
      </c>
      <c r="L1991" s="721">
        <v>1032436418</v>
      </c>
      <c r="M1991" s="721" t="s">
        <v>2837</v>
      </c>
      <c r="N1991" s="746"/>
      <c r="O1991" s="746"/>
      <c r="P1991" s="746"/>
      <c r="Q1991" s="746"/>
      <c r="R1991" s="521"/>
      <c r="S1991" s="521"/>
    </row>
    <row r="1992" spans="1:19">
      <c r="A1992" s="723">
        <v>42</v>
      </c>
      <c r="B1992" s="723">
        <v>20262695003</v>
      </c>
      <c r="C1992" s="723" t="s">
        <v>6263</v>
      </c>
      <c r="D1992" s="723">
        <v>695</v>
      </c>
      <c r="E1992" s="723" t="s">
        <v>5961</v>
      </c>
      <c r="F1992" s="723" t="s">
        <v>37</v>
      </c>
      <c r="G1992" s="723" t="s">
        <v>2834</v>
      </c>
      <c r="H1992" s="723" t="s">
        <v>2043</v>
      </c>
      <c r="I1992" s="723" t="s">
        <v>6264</v>
      </c>
      <c r="J1992" s="723" t="s">
        <v>6265</v>
      </c>
      <c r="K1992" s="723" t="s">
        <v>2044</v>
      </c>
      <c r="L1992" s="723">
        <v>1075625364</v>
      </c>
      <c r="M1992" s="723" t="s">
        <v>2837</v>
      </c>
      <c r="N1992" s="746"/>
      <c r="O1992" s="746"/>
      <c r="P1992" s="746"/>
      <c r="Q1992" s="746"/>
      <c r="R1992" s="521"/>
      <c r="S1992" s="521"/>
    </row>
    <row r="1993" spans="1:19">
      <c r="A1993" s="721">
        <v>43</v>
      </c>
      <c r="B1993" s="721">
        <v>20262695004</v>
      </c>
      <c r="C1993" s="721" t="s">
        <v>6266</v>
      </c>
      <c r="D1993" s="721">
        <v>695</v>
      </c>
      <c r="E1993" s="721" t="s">
        <v>5961</v>
      </c>
      <c r="F1993" s="721" t="s">
        <v>37</v>
      </c>
      <c r="G1993" s="721" t="s">
        <v>2834</v>
      </c>
      <c r="H1993" s="721" t="s">
        <v>2043</v>
      </c>
      <c r="I1993" s="721" t="s">
        <v>6267</v>
      </c>
      <c r="J1993" s="721" t="s">
        <v>6268</v>
      </c>
      <c r="K1993" s="721" t="s">
        <v>2044</v>
      </c>
      <c r="L1993" s="721">
        <v>1012400619</v>
      </c>
      <c r="M1993" s="721" t="s">
        <v>2837</v>
      </c>
      <c r="N1993" s="746"/>
      <c r="O1993" s="746"/>
      <c r="P1993" s="746"/>
      <c r="Q1993" s="746"/>
      <c r="R1993" s="521"/>
      <c r="S1993" s="521"/>
    </row>
    <row r="1994" spans="1:19">
      <c r="A1994" s="723">
        <v>44</v>
      </c>
      <c r="B1994" s="723">
        <v>20262695006</v>
      </c>
      <c r="C1994" s="723" t="s">
        <v>6269</v>
      </c>
      <c r="D1994" s="723">
        <v>695</v>
      </c>
      <c r="E1994" s="723" t="s">
        <v>5961</v>
      </c>
      <c r="F1994" s="723" t="s">
        <v>37</v>
      </c>
      <c r="G1994" s="723" t="s">
        <v>2834</v>
      </c>
      <c r="H1994" s="723" t="s">
        <v>2043</v>
      </c>
      <c r="I1994" s="723" t="s">
        <v>6270</v>
      </c>
      <c r="J1994" s="723" t="s">
        <v>6270</v>
      </c>
      <c r="K1994" s="723" t="s">
        <v>2044</v>
      </c>
      <c r="L1994" s="723">
        <v>1000971404</v>
      </c>
      <c r="M1994" s="723" t="s">
        <v>2837</v>
      </c>
      <c r="N1994" s="746"/>
      <c r="O1994" s="746"/>
      <c r="P1994" s="746"/>
      <c r="Q1994" s="746"/>
      <c r="R1994" s="521"/>
      <c r="S1994" s="521"/>
    </row>
    <row r="1995" spans="1:19">
      <c r="A1995" s="721">
        <v>45</v>
      </c>
      <c r="B1995" s="721">
        <v>20262695007</v>
      </c>
      <c r="C1995" s="721" t="s">
        <v>6271</v>
      </c>
      <c r="D1995" s="721">
        <v>695</v>
      </c>
      <c r="E1995" s="721" t="s">
        <v>5961</v>
      </c>
      <c r="F1995" s="721" t="s">
        <v>37</v>
      </c>
      <c r="G1995" s="721" t="s">
        <v>2834</v>
      </c>
      <c r="H1995" s="721" t="s">
        <v>2043</v>
      </c>
      <c r="I1995" s="721" t="s">
        <v>6272</v>
      </c>
      <c r="J1995" s="721" t="s">
        <v>6272</v>
      </c>
      <c r="K1995" s="721" t="s">
        <v>2044</v>
      </c>
      <c r="L1995" s="721">
        <v>1001205132</v>
      </c>
      <c r="M1995" s="721" t="s">
        <v>2837</v>
      </c>
      <c r="N1995" s="746"/>
      <c r="O1995" s="746"/>
      <c r="P1995" s="746"/>
      <c r="Q1995" s="746"/>
      <c r="R1995" s="521"/>
      <c r="S1995" s="521"/>
    </row>
    <row r="1996" spans="1:19">
      <c r="A1996" s="723">
        <v>46</v>
      </c>
      <c r="B1996" s="723">
        <v>20262695009</v>
      </c>
      <c r="C1996" s="723" t="s">
        <v>6273</v>
      </c>
      <c r="D1996" s="723">
        <v>695</v>
      </c>
      <c r="E1996" s="723" t="s">
        <v>5961</v>
      </c>
      <c r="F1996" s="723" t="s">
        <v>37</v>
      </c>
      <c r="G1996" s="723" t="s">
        <v>2834</v>
      </c>
      <c r="H1996" s="723" t="s">
        <v>2043</v>
      </c>
      <c r="I1996" s="723" t="s">
        <v>6274</v>
      </c>
      <c r="J1996" s="723" t="s">
        <v>6274</v>
      </c>
      <c r="K1996" s="723" t="s">
        <v>2044</v>
      </c>
      <c r="L1996" s="723">
        <v>1070979171</v>
      </c>
      <c r="M1996" s="723" t="s">
        <v>2837</v>
      </c>
      <c r="N1996" s="746"/>
      <c r="O1996" s="746"/>
      <c r="P1996" s="746"/>
      <c r="Q1996" s="746"/>
      <c r="R1996" s="521"/>
      <c r="S1996" s="521"/>
    </row>
    <row r="1997" spans="1:19">
      <c r="A1997" s="721">
        <v>47</v>
      </c>
      <c r="B1997" s="721">
        <v>20262695010</v>
      </c>
      <c r="C1997" s="721" t="s">
        <v>6275</v>
      </c>
      <c r="D1997" s="721">
        <v>695</v>
      </c>
      <c r="E1997" s="721" t="s">
        <v>5961</v>
      </c>
      <c r="F1997" s="721" t="s">
        <v>37</v>
      </c>
      <c r="G1997" s="721" t="s">
        <v>2834</v>
      </c>
      <c r="H1997" s="721" t="s">
        <v>2043</v>
      </c>
      <c r="I1997" s="721" t="s">
        <v>6276</v>
      </c>
      <c r="J1997" s="721" t="s">
        <v>6276</v>
      </c>
      <c r="K1997" s="721" t="s">
        <v>2044</v>
      </c>
      <c r="L1997" s="721">
        <v>1000470484</v>
      </c>
      <c r="M1997" s="721" t="s">
        <v>2837</v>
      </c>
      <c r="N1997" s="746"/>
      <c r="O1997" s="746"/>
      <c r="P1997" s="746"/>
      <c r="Q1997" s="746"/>
      <c r="R1997" s="521"/>
      <c r="S1997" s="521"/>
    </row>
    <row r="1998" spans="1:19">
      <c r="A1998" s="723">
        <v>48</v>
      </c>
      <c r="B1998" s="723">
        <v>20262695011</v>
      </c>
      <c r="C1998" s="723" t="s">
        <v>6277</v>
      </c>
      <c r="D1998" s="723">
        <v>695</v>
      </c>
      <c r="E1998" s="723" t="s">
        <v>5961</v>
      </c>
      <c r="F1998" s="723" t="s">
        <v>37</v>
      </c>
      <c r="G1998" s="723" t="s">
        <v>2834</v>
      </c>
      <c r="H1998" s="723" t="s">
        <v>2043</v>
      </c>
      <c r="I1998" s="723" t="s">
        <v>6278</v>
      </c>
      <c r="J1998" s="723" t="s">
        <v>6279</v>
      </c>
      <c r="K1998" s="723" t="s">
        <v>2044</v>
      </c>
      <c r="L1998" s="723">
        <v>1022406465</v>
      </c>
      <c r="M1998" s="723" t="s">
        <v>2837</v>
      </c>
      <c r="N1998" s="746"/>
      <c r="O1998" s="746"/>
      <c r="P1998" s="746"/>
      <c r="Q1998" s="746"/>
      <c r="R1998" s="521"/>
      <c r="S1998" s="521"/>
    </row>
    <row r="1999" spans="1:19">
      <c r="A1999" s="721">
        <v>49</v>
      </c>
      <c r="B1999" s="721">
        <v>20262695013</v>
      </c>
      <c r="C1999" s="721" t="s">
        <v>6280</v>
      </c>
      <c r="D1999" s="721">
        <v>695</v>
      </c>
      <c r="E1999" s="721" t="s">
        <v>5961</v>
      </c>
      <c r="F1999" s="721" t="s">
        <v>37</v>
      </c>
      <c r="G1999" s="721" t="s">
        <v>2834</v>
      </c>
      <c r="H1999" s="721" t="s">
        <v>2043</v>
      </c>
      <c r="I1999" s="721" t="s">
        <v>6281</v>
      </c>
      <c r="J1999" s="721" t="s">
        <v>6281</v>
      </c>
      <c r="K1999" s="721" t="s">
        <v>2044</v>
      </c>
      <c r="L1999" s="721">
        <v>1020787724</v>
      </c>
      <c r="M1999" s="721" t="s">
        <v>2837</v>
      </c>
      <c r="N1999" s="746"/>
      <c r="O1999" s="746"/>
      <c r="P1999" s="746"/>
      <c r="Q1999" s="746"/>
      <c r="R1999" s="521"/>
      <c r="S1999" s="521"/>
    </row>
    <row r="2000" spans="1:19">
      <c r="A2000" s="723">
        <v>50</v>
      </c>
      <c r="B2000" s="723">
        <v>20262695014</v>
      </c>
      <c r="C2000" s="723" t="s">
        <v>6282</v>
      </c>
      <c r="D2000" s="723">
        <v>695</v>
      </c>
      <c r="E2000" s="723" t="s">
        <v>5961</v>
      </c>
      <c r="F2000" s="723" t="s">
        <v>37</v>
      </c>
      <c r="G2000" s="723" t="s">
        <v>2834</v>
      </c>
      <c r="H2000" s="723" t="s">
        <v>2043</v>
      </c>
      <c r="I2000" s="723" t="s">
        <v>5560</v>
      </c>
      <c r="J2000" s="723" t="s">
        <v>5560</v>
      </c>
      <c r="K2000" s="723" t="s">
        <v>2044</v>
      </c>
      <c r="L2000" s="723">
        <v>1019046050</v>
      </c>
      <c r="M2000" s="723" t="s">
        <v>2837</v>
      </c>
      <c r="N2000" s="746"/>
      <c r="O2000" s="746"/>
      <c r="P2000" s="746"/>
      <c r="Q2000" s="746"/>
      <c r="R2000" s="521"/>
      <c r="S2000" s="521"/>
    </row>
    <row r="2001" spans="1:19">
      <c r="A2001" s="725" t="s">
        <v>2292</v>
      </c>
      <c r="B2001" s="725" t="s">
        <v>2292</v>
      </c>
      <c r="C2001" s="725" t="s">
        <v>2292</v>
      </c>
      <c r="D2001" s="725" t="s">
        <v>2292</v>
      </c>
      <c r="E2001" s="725" t="s">
        <v>2292</v>
      </c>
      <c r="F2001" s="725" t="s">
        <v>2292</v>
      </c>
      <c r="G2001" s="725" t="s">
        <v>2292</v>
      </c>
      <c r="H2001" s="725" t="s">
        <v>2292</v>
      </c>
      <c r="I2001" s="725" t="s">
        <v>2292</v>
      </c>
      <c r="J2001" s="725" t="s">
        <v>2292</v>
      </c>
      <c r="K2001" s="725" t="s">
        <v>2292</v>
      </c>
      <c r="L2001" s="725" t="s">
        <v>2292</v>
      </c>
      <c r="M2001" s="725" t="s">
        <v>2292</v>
      </c>
      <c r="N2001" s="746"/>
      <c r="O2001" s="746"/>
      <c r="P2001" s="746"/>
      <c r="Q2001" s="746"/>
      <c r="R2001" s="521"/>
      <c r="S2001" s="521"/>
    </row>
    <row r="2002" spans="1:19">
      <c r="A2002" s="719" t="s">
        <v>2033</v>
      </c>
      <c r="B2002" s="719" t="s">
        <v>2034</v>
      </c>
      <c r="C2002"/>
      <c r="D2002"/>
      <c r="E2002"/>
      <c r="F2002"/>
      <c r="G2002"/>
      <c r="H2002"/>
      <c r="I2002"/>
      <c r="J2002"/>
      <c r="K2002"/>
      <c r="L2002"/>
      <c r="M2002"/>
      <c r="N2002" s="746"/>
      <c r="O2002" s="746"/>
      <c r="P2002" s="746"/>
      <c r="Q2002" s="746"/>
      <c r="R2002" s="521"/>
      <c r="S2002" s="521"/>
    </row>
    <row r="2003" spans="1:19" ht="25.5">
      <c r="A2003" s="720" t="s">
        <v>2035</v>
      </c>
      <c r="B2003" s="720" t="s">
        <v>2036</v>
      </c>
      <c r="C2003" s="720" t="s">
        <v>1</v>
      </c>
      <c r="D2003" s="720" t="s">
        <v>2037</v>
      </c>
      <c r="E2003" s="720" t="s">
        <v>3</v>
      </c>
      <c r="F2003" s="720" t="s">
        <v>4</v>
      </c>
      <c r="G2003" s="720" t="s">
        <v>2038</v>
      </c>
      <c r="H2003" s="720" t="s">
        <v>6</v>
      </c>
      <c r="I2003" s="720" t="s">
        <v>7</v>
      </c>
      <c r="J2003" s="720" t="s">
        <v>8</v>
      </c>
      <c r="K2003" s="720" t="s">
        <v>2039</v>
      </c>
      <c r="L2003" s="720" t="s">
        <v>10</v>
      </c>
      <c r="M2003" s="720" t="s">
        <v>2040</v>
      </c>
      <c r="N2003" s="746"/>
      <c r="O2003" s="746"/>
      <c r="P2003" s="746"/>
      <c r="Q2003" s="746"/>
      <c r="R2003" s="521"/>
      <c r="S2003" s="521"/>
    </row>
    <row r="2004" spans="1:19">
      <c r="A2004" s="721">
        <v>51</v>
      </c>
      <c r="B2004" s="721">
        <v>20142295003</v>
      </c>
      <c r="C2004" s="721" t="s">
        <v>6283</v>
      </c>
      <c r="D2004" s="721">
        <v>695</v>
      </c>
      <c r="E2004" s="721" t="s">
        <v>5961</v>
      </c>
      <c r="F2004" s="721" t="s">
        <v>84</v>
      </c>
      <c r="G2004" s="721" t="s">
        <v>2042</v>
      </c>
      <c r="H2004" s="721">
        <v>1</v>
      </c>
      <c r="I2004" s="721" t="s">
        <v>6284</v>
      </c>
      <c r="J2004" s="721" t="s">
        <v>6285</v>
      </c>
      <c r="K2004" s="721" t="s">
        <v>2044</v>
      </c>
      <c r="L2004" s="721">
        <v>86079074</v>
      </c>
      <c r="M2004" s="721" t="s">
        <v>3322</v>
      </c>
      <c r="N2004" s="746"/>
      <c r="O2004" s="746"/>
      <c r="P2004" s="746"/>
      <c r="Q2004" s="746"/>
      <c r="R2004" s="521"/>
      <c r="S2004" s="521"/>
    </row>
    <row r="2005" spans="1:19">
      <c r="A2005" s="723">
        <v>52</v>
      </c>
      <c r="B2005" s="723">
        <v>20181495002</v>
      </c>
      <c r="C2005" s="723" t="s">
        <v>6286</v>
      </c>
      <c r="D2005" s="723">
        <v>695</v>
      </c>
      <c r="E2005" s="723" t="s">
        <v>5961</v>
      </c>
      <c r="F2005" s="723" t="s">
        <v>84</v>
      </c>
      <c r="G2005" s="723" t="s">
        <v>2042</v>
      </c>
      <c r="H2005" s="723">
        <v>3</v>
      </c>
      <c r="I2005" s="723" t="s">
        <v>6287</v>
      </c>
      <c r="J2005" s="723" t="s">
        <v>6288</v>
      </c>
      <c r="K2005" s="723" t="s">
        <v>2044</v>
      </c>
      <c r="L2005" s="723">
        <v>1014238861</v>
      </c>
      <c r="M2005" s="723" t="s">
        <v>3322</v>
      </c>
      <c r="N2005" s="746"/>
      <c r="O2005" s="746"/>
      <c r="P2005" s="746"/>
      <c r="Q2005" s="746"/>
      <c r="R2005" s="521"/>
      <c r="S2005" s="521"/>
    </row>
    <row r="2006" spans="1:19">
      <c r="A2006" s="721">
        <v>53</v>
      </c>
      <c r="B2006" s="721">
        <v>20241695010</v>
      </c>
      <c r="C2006" s="721" t="s">
        <v>6289</v>
      </c>
      <c r="D2006" s="721">
        <v>695</v>
      </c>
      <c r="E2006" s="721" t="s">
        <v>5961</v>
      </c>
      <c r="F2006" s="721" t="s">
        <v>84</v>
      </c>
      <c r="G2006" s="721" t="s">
        <v>2042</v>
      </c>
      <c r="H2006" s="721">
        <v>1</v>
      </c>
      <c r="I2006" s="721" t="s">
        <v>6290</v>
      </c>
      <c r="J2006" s="721" t="s">
        <v>6291</v>
      </c>
      <c r="K2006" s="721" t="s">
        <v>2044</v>
      </c>
      <c r="L2006" s="721">
        <v>1022414331</v>
      </c>
      <c r="M2006" s="721" t="s">
        <v>3322</v>
      </c>
      <c r="N2006" s="746"/>
      <c r="O2006" s="746"/>
      <c r="P2006" s="746"/>
      <c r="Q2006" s="746"/>
      <c r="R2006" s="521"/>
      <c r="S2006" s="521"/>
    </row>
    <row r="2007" spans="1:19">
      <c r="A2007" s="723">
        <v>54</v>
      </c>
      <c r="B2007" s="723">
        <v>20241695011</v>
      </c>
      <c r="C2007" s="723" t="s">
        <v>6292</v>
      </c>
      <c r="D2007" s="723">
        <v>695</v>
      </c>
      <c r="E2007" s="723" t="s">
        <v>5961</v>
      </c>
      <c r="F2007" s="723" t="s">
        <v>84</v>
      </c>
      <c r="G2007" s="723" t="s">
        <v>2042</v>
      </c>
      <c r="H2007" s="723">
        <v>1</v>
      </c>
      <c r="I2007" s="723" t="s">
        <v>6293</v>
      </c>
      <c r="J2007" s="723" t="s">
        <v>6294</v>
      </c>
      <c r="K2007" s="723" t="s">
        <v>2044</v>
      </c>
      <c r="L2007" s="723">
        <v>1022437869</v>
      </c>
      <c r="M2007" s="723" t="s">
        <v>1364</v>
      </c>
      <c r="N2007" s="746"/>
      <c r="O2007" s="746"/>
      <c r="P2007" s="746"/>
      <c r="Q2007" s="746"/>
      <c r="R2007" s="521"/>
      <c r="S2007" s="521"/>
    </row>
    <row r="2008" spans="1:19">
      <c r="A2008" s="721">
        <v>55</v>
      </c>
      <c r="B2008" s="721">
        <v>20241695013</v>
      </c>
      <c r="C2008" s="721" t="s">
        <v>6295</v>
      </c>
      <c r="D2008" s="721">
        <v>695</v>
      </c>
      <c r="E2008" s="721" t="s">
        <v>5961</v>
      </c>
      <c r="F2008" s="721" t="s">
        <v>84</v>
      </c>
      <c r="G2008" s="721" t="s">
        <v>2042</v>
      </c>
      <c r="H2008" s="721">
        <v>2</v>
      </c>
      <c r="I2008" s="721" t="s">
        <v>6296</v>
      </c>
      <c r="J2008" s="721" t="s">
        <v>6297</v>
      </c>
      <c r="K2008" s="721" t="s">
        <v>2044</v>
      </c>
      <c r="L2008" s="721">
        <v>1012432946</v>
      </c>
      <c r="M2008" s="721" t="s">
        <v>3322</v>
      </c>
      <c r="N2008" s="746"/>
      <c r="O2008" s="746"/>
      <c r="P2008" s="746"/>
      <c r="Q2008" s="746"/>
      <c r="R2008" s="521"/>
      <c r="S2008" s="521"/>
    </row>
    <row r="2009" spans="1:19">
      <c r="A2009" s="723">
        <v>56</v>
      </c>
      <c r="B2009" s="723">
        <v>20241695014</v>
      </c>
      <c r="C2009" s="723" t="s">
        <v>6298</v>
      </c>
      <c r="D2009" s="723">
        <v>695</v>
      </c>
      <c r="E2009" s="723" t="s">
        <v>5961</v>
      </c>
      <c r="F2009" s="723" t="s">
        <v>84</v>
      </c>
      <c r="G2009" s="723" t="s">
        <v>2042</v>
      </c>
      <c r="H2009" s="723">
        <v>1</v>
      </c>
      <c r="I2009" s="723" t="s">
        <v>6299</v>
      </c>
      <c r="J2009" s="723" t="s">
        <v>6300</v>
      </c>
      <c r="K2009" s="723" t="s">
        <v>2044</v>
      </c>
      <c r="L2009" s="723">
        <v>1030661057</v>
      </c>
      <c r="M2009" s="723" t="s">
        <v>3322</v>
      </c>
      <c r="N2009" s="746"/>
      <c r="O2009" s="746"/>
      <c r="P2009" s="746"/>
      <c r="Q2009" s="746"/>
      <c r="R2009" s="521"/>
      <c r="S2009" s="521"/>
    </row>
    <row r="2010" spans="1:19">
      <c r="A2010" s="721">
        <v>57</v>
      </c>
      <c r="B2010" s="721">
        <v>20241695015</v>
      </c>
      <c r="C2010" s="721" t="s">
        <v>6301</v>
      </c>
      <c r="D2010" s="721">
        <v>695</v>
      </c>
      <c r="E2010" s="721" t="s">
        <v>5961</v>
      </c>
      <c r="F2010" s="721" t="s">
        <v>84</v>
      </c>
      <c r="G2010" s="721" t="s">
        <v>2042</v>
      </c>
      <c r="H2010" s="721">
        <v>3</v>
      </c>
      <c r="I2010" s="721" t="s">
        <v>6302</v>
      </c>
      <c r="J2010" s="721" t="s">
        <v>6303</v>
      </c>
      <c r="K2010" s="721" t="s">
        <v>2044</v>
      </c>
      <c r="L2010" s="721">
        <v>1015416478</v>
      </c>
      <c r="M2010" s="721" t="s">
        <v>3322</v>
      </c>
      <c r="N2010" s="746"/>
      <c r="O2010" s="746"/>
      <c r="P2010" s="746"/>
      <c r="Q2010" s="746"/>
      <c r="R2010" s="521"/>
      <c r="S2010" s="521"/>
    </row>
    <row r="2011" spans="1:19">
      <c r="A2011" s="723">
        <v>58</v>
      </c>
      <c r="B2011" s="723">
        <v>20241695016</v>
      </c>
      <c r="C2011" s="723" t="s">
        <v>6304</v>
      </c>
      <c r="D2011" s="723">
        <v>695</v>
      </c>
      <c r="E2011" s="723" t="s">
        <v>5961</v>
      </c>
      <c r="F2011" s="723" t="s">
        <v>84</v>
      </c>
      <c r="G2011" s="723" t="s">
        <v>2042</v>
      </c>
      <c r="H2011" s="723">
        <v>1</v>
      </c>
      <c r="I2011" s="723" t="s">
        <v>6305</v>
      </c>
      <c r="J2011" s="723" t="s">
        <v>6306</v>
      </c>
      <c r="K2011" s="723" t="s">
        <v>2044</v>
      </c>
      <c r="L2011" s="723">
        <v>1023020594</v>
      </c>
      <c r="M2011" s="723" t="s">
        <v>1364</v>
      </c>
      <c r="N2011" s="746"/>
      <c r="O2011" s="746"/>
      <c r="P2011" s="746"/>
      <c r="Q2011" s="746"/>
      <c r="R2011" s="521"/>
      <c r="S2011" s="521"/>
    </row>
    <row r="2012" spans="1:19">
      <c r="A2012" s="721">
        <v>59</v>
      </c>
      <c r="B2012" s="721">
        <v>20241695017</v>
      </c>
      <c r="C2012" s="721" t="s">
        <v>6307</v>
      </c>
      <c r="D2012" s="721">
        <v>695</v>
      </c>
      <c r="E2012" s="721" t="s">
        <v>5961</v>
      </c>
      <c r="F2012" s="721" t="s">
        <v>84</v>
      </c>
      <c r="G2012" s="721" t="s">
        <v>2042</v>
      </c>
      <c r="H2012" s="721">
        <v>2</v>
      </c>
      <c r="I2012" s="721" t="s">
        <v>6308</v>
      </c>
      <c r="J2012" s="721" t="s">
        <v>6309</v>
      </c>
      <c r="K2012" s="721" t="s">
        <v>2044</v>
      </c>
      <c r="L2012" s="721">
        <v>1018489593</v>
      </c>
      <c r="M2012" s="721" t="s">
        <v>1364</v>
      </c>
      <c r="N2012" s="746"/>
      <c r="O2012" s="746"/>
      <c r="P2012" s="746"/>
      <c r="Q2012" s="746"/>
      <c r="R2012" s="521"/>
      <c r="S2012" s="521"/>
    </row>
    <row r="2013" spans="1:19">
      <c r="A2013" s="723">
        <v>60</v>
      </c>
      <c r="B2013" s="723">
        <v>20242695004</v>
      </c>
      <c r="C2013" s="723" t="s">
        <v>6310</v>
      </c>
      <c r="D2013" s="723">
        <v>695</v>
      </c>
      <c r="E2013" s="723" t="s">
        <v>5961</v>
      </c>
      <c r="F2013" s="723" t="s">
        <v>84</v>
      </c>
      <c r="G2013" s="723" t="s">
        <v>2042</v>
      </c>
      <c r="H2013" s="723">
        <v>2</v>
      </c>
      <c r="I2013" s="723" t="s">
        <v>6311</v>
      </c>
      <c r="J2013" s="723" t="s">
        <v>6311</v>
      </c>
      <c r="K2013" s="723" t="s">
        <v>2044</v>
      </c>
      <c r="L2013" s="723">
        <v>1010001829</v>
      </c>
      <c r="M2013" s="723" t="s">
        <v>3322</v>
      </c>
      <c r="N2013" s="746"/>
      <c r="O2013" s="746"/>
      <c r="P2013" s="746"/>
      <c r="Q2013" s="746"/>
      <c r="R2013" s="521"/>
      <c r="S2013" s="521"/>
    </row>
    <row r="2014" spans="1:19">
      <c r="A2014" s="725" t="s">
        <v>2292</v>
      </c>
      <c r="B2014" s="725" t="s">
        <v>2292</v>
      </c>
      <c r="C2014" s="725" t="s">
        <v>2292</v>
      </c>
      <c r="D2014" s="725" t="s">
        <v>2292</v>
      </c>
      <c r="E2014" s="725" t="s">
        <v>2292</v>
      </c>
      <c r="F2014" s="725" t="s">
        <v>2292</v>
      </c>
      <c r="G2014" s="725" t="s">
        <v>2292</v>
      </c>
      <c r="H2014" s="725" t="s">
        <v>2292</v>
      </c>
      <c r="I2014" s="725" t="s">
        <v>2292</v>
      </c>
      <c r="J2014" s="725" t="s">
        <v>2292</v>
      </c>
      <c r="K2014" s="725" t="s">
        <v>2292</v>
      </c>
      <c r="L2014" s="725" t="s">
        <v>2292</v>
      </c>
      <c r="M2014" s="725" t="s">
        <v>2292</v>
      </c>
      <c r="N2014" s="746"/>
      <c r="O2014" s="746"/>
      <c r="P2014" s="746"/>
      <c r="Q2014" s="746"/>
      <c r="R2014" s="521"/>
      <c r="S2014" s="521"/>
    </row>
    <row r="2015" spans="1:19">
      <c r="A2015" s="719" t="s">
        <v>2033</v>
      </c>
      <c r="B2015" s="719" t="s">
        <v>2529</v>
      </c>
      <c r="C2015"/>
      <c r="D2015"/>
      <c r="E2015"/>
      <c r="F2015"/>
      <c r="G2015"/>
      <c r="H2015"/>
      <c r="I2015"/>
      <c r="J2015"/>
      <c r="K2015"/>
      <c r="L2015"/>
      <c r="M2015"/>
      <c r="N2015" s="746"/>
      <c r="O2015" s="746"/>
      <c r="P2015" s="746"/>
      <c r="Q2015" s="746"/>
      <c r="R2015" s="521"/>
      <c r="S2015" s="521"/>
    </row>
    <row r="2016" spans="1:19" ht="25.5">
      <c r="A2016" s="720" t="s">
        <v>2035</v>
      </c>
      <c r="B2016" s="720" t="s">
        <v>2036</v>
      </c>
      <c r="C2016" s="720" t="s">
        <v>1</v>
      </c>
      <c r="D2016" s="720" t="s">
        <v>2037</v>
      </c>
      <c r="E2016" s="720" t="s">
        <v>3</v>
      </c>
      <c r="F2016" s="720" t="s">
        <v>4</v>
      </c>
      <c r="G2016" s="720" t="s">
        <v>2038</v>
      </c>
      <c r="H2016" s="720" t="s">
        <v>6</v>
      </c>
      <c r="I2016" s="720" t="s">
        <v>7</v>
      </c>
      <c r="J2016" s="720" t="s">
        <v>8</v>
      </c>
      <c r="K2016" s="720" t="s">
        <v>2039</v>
      </c>
      <c r="L2016" s="720" t="s">
        <v>10</v>
      </c>
      <c r="M2016" s="720" t="s">
        <v>2040</v>
      </c>
      <c r="N2016" s="746"/>
      <c r="O2016" s="746"/>
      <c r="P2016" s="746"/>
      <c r="Q2016" s="746"/>
      <c r="R2016" s="521"/>
      <c r="S2016" s="521"/>
    </row>
    <row r="2017" spans="1:19">
      <c r="A2017" s="721">
        <v>61</v>
      </c>
      <c r="B2017" s="721">
        <v>20241695003</v>
      </c>
      <c r="C2017" s="721" t="s">
        <v>6312</v>
      </c>
      <c r="D2017" s="721">
        <v>695</v>
      </c>
      <c r="E2017" s="721" t="s">
        <v>5961</v>
      </c>
      <c r="F2017" s="721" t="s">
        <v>122</v>
      </c>
      <c r="G2017" s="721" t="s">
        <v>108</v>
      </c>
      <c r="H2017" s="721" t="s">
        <v>2043</v>
      </c>
      <c r="I2017" s="721" t="s">
        <v>6313</v>
      </c>
      <c r="J2017" s="721" t="s">
        <v>6313</v>
      </c>
      <c r="K2017" s="721" t="s">
        <v>2044</v>
      </c>
      <c r="L2017" s="721">
        <v>1023932783</v>
      </c>
      <c r="M2017" s="722" t="s">
        <v>955</v>
      </c>
      <c r="N2017" s="746"/>
      <c r="O2017" s="746"/>
      <c r="P2017" s="746"/>
      <c r="Q2017" s="746"/>
      <c r="R2017" s="521"/>
      <c r="S2017" s="521"/>
    </row>
    <row r="2018" spans="1:19">
      <c r="A2018" s="723">
        <v>62</v>
      </c>
      <c r="B2018" s="723">
        <v>20241695005</v>
      </c>
      <c r="C2018" s="723" t="s">
        <v>6314</v>
      </c>
      <c r="D2018" s="723">
        <v>695</v>
      </c>
      <c r="E2018" s="723" t="s">
        <v>5961</v>
      </c>
      <c r="F2018" s="723" t="s">
        <v>122</v>
      </c>
      <c r="G2018" s="723" t="s">
        <v>108</v>
      </c>
      <c r="H2018" s="723" t="s">
        <v>2043</v>
      </c>
      <c r="I2018" s="723"/>
      <c r="J2018" s="723" t="s">
        <v>6315</v>
      </c>
      <c r="K2018" s="723" t="s">
        <v>2044</v>
      </c>
      <c r="L2018" s="723">
        <v>1014192914</v>
      </c>
      <c r="M2018" s="724" t="s">
        <v>955</v>
      </c>
      <c r="N2018" s="746"/>
      <c r="O2018" s="746"/>
      <c r="P2018" s="746"/>
      <c r="Q2018" s="746"/>
      <c r="R2018" s="521"/>
      <c r="S2018" s="521"/>
    </row>
    <row r="2019" spans="1:19">
      <c r="A2019" s="721">
        <v>63</v>
      </c>
      <c r="B2019" s="721">
        <v>20242695002</v>
      </c>
      <c r="C2019" s="721" t="s">
        <v>6316</v>
      </c>
      <c r="D2019" s="721">
        <v>695</v>
      </c>
      <c r="E2019" s="721" t="s">
        <v>5961</v>
      </c>
      <c r="F2019" s="721" t="s">
        <v>122</v>
      </c>
      <c r="G2019" s="721" t="s">
        <v>108</v>
      </c>
      <c r="H2019" s="721" t="s">
        <v>2043</v>
      </c>
      <c r="I2019" s="721" t="s">
        <v>6317</v>
      </c>
      <c r="J2019" s="721" t="s">
        <v>6318</v>
      </c>
      <c r="K2019" s="721" t="s">
        <v>2044</v>
      </c>
      <c r="L2019" s="721">
        <v>1014253304</v>
      </c>
      <c r="M2019" s="722" t="s">
        <v>955</v>
      </c>
      <c r="N2019" s="746"/>
      <c r="O2019" s="746"/>
      <c r="P2019" s="746"/>
      <c r="Q2019" s="746"/>
      <c r="R2019" s="521"/>
      <c r="S2019" s="521"/>
    </row>
    <row r="2020" spans="1:19">
      <c r="A2020" s="723">
        <v>64</v>
      </c>
      <c r="B2020" s="723">
        <v>20242695003</v>
      </c>
      <c r="C2020" s="723" t="s">
        <v>6319</v>
      </c>
      <c r="D2020" s="723">
        <v>695</v>
      </c>
      <c r="E2020" s="723" t="s">
        <v>5961</v>
      </c>
      <c r="F2020" s="723" t="s">
        <v>122</v>
      </c>
      <c r="G2020" s="723" t="s">
        <v>108</v>
      </c>
      <c r="H2020" s="723" t="s">
        <v>2043</v>
      </c>
      <c r="I2020" s="723" t="s">
        <v>6320</v>
      </c>
      <c r="J2020" s="723" t="s">
        <v>6321</v>
      </c>
      <c r="K2020" s="723" t="s">
        <v>2044</v>
      </c>
      <c r="L2020" s="723">
        <v>79041180</v>
      </c>
      <c r="M2020" s="724" t="s">
        <v>955</v>
      </c>
      <c r="N2020" s="746"/>
      <c r="O2020" s="746"/>
      <c r="P2020" s="746"/>
      <c r="Q2020" s="746"/>
      <c r="R2020" s="521"/>
      <c r="S2020" s="521"/>
    </row>
    <row r="2021" spans="1:19">
      <c r="A2021" s="721">
        <v>65</v>
      </c>
      <c r="B2021" s="721">
        <v>20242695006</v>
      </c>
      <c r="C2021" s="721" t="s">
        <v>6322</v>
      </c>
      <c r="D2021" s="721">
        <v>695</v>
      </c>
      <c r="E2021" s="721" t="s">
        <v>5961</v>
      </c>
      <c r="F2021" s="721" t="s">
        <v>122</v>
      </c>
      <c r="G2021" s="721" t="s">
        <v>108</v>
      </c>
      <c r="H2021" s="721" t="s">
        <v>2043</v>
      </c>
      <c r="I2021" s="721" t="s">
        <v>6323</v>
      </c>
      <c r="J2021" s="721" t="s">
        <v>6324</v>
      </c>
      <c r="K2021" s="721" t="s">
        <v>2044</v>
      </c>
      <c r="L2021" s="721">
        <v>1052380817</v>
      </c>
      <c r="M2021" s="722" t="s">
        <v>955</v>
      </c>
      <c r="N2021" s="746"/>
      <c r="O2021" s="746"/>
      <c r="P2021" s="746"/>
      <c r="Q2021" s="746"/>
      <c r="R2021" s="521"/>
      <c r="S2021" s="521"/>
    </row>
    <row r="2022" spans="1:19">
      <c r="A2022" s="723">
        <v>66</v>
      </c>
      <c r="B2022" s="723">
        <v>20251695005</v>
      </c>
      <c r="C2022" s="723" t="s">
        <v>6325</v>
      </c>
      <c r="D2022" s="723">
        <v>695</v>
      </c>
      <c r="E2022" s="723" t="s">
        <v>5961</v>
      </c>
      <c r="F2022" s="723" t="s">
        <v>122</v>
      </c>
      <c r="G2022" s="723" t="s">
        <v>108</v>
      </c>
      <c r="H2022" s="723" t="s">
        <v>2043</v>
      </c>
      <c r="I2022" s="723"/>
      <c r="J2022" s="723" t="s">
        <v>6326</v>
      </c>
      <c r="K2022" s="723" t="s">
        <v>2044</v>
      </c>
      <c r="L2022" s="723">
        <v>1019041131</v>
      </c>
      <c r="M2022" s="724" t="s">
        <v>955</v>
      </c>
      <c r="N2022" s="746"/>
      <c r="O2022" s="746"/>
      <c r="P2022" s="746"/>
      <c r="Q2022" s="746"/>
      <c r="R2022" s="521"/>
      <c r="S2022" s="521"/>
    </row>
    <row r="2023" spans="1:19">
      <c r="A2023" s="725" t="s">
        <v>2292</v>
      </c>
      <c r="B2023" s="725" t="s">
        <v>2292</v>
      </c>
      <c r="C2023" s="725" t="s">
        <v>2292</v>
      </c>
      <c r="D2023" s="725" t="s">
        <v>2292</v>
      </c>
      <c r="E2023" s="725" t="s">
        <v>2292</v>
      </c>
      <c r="F2023" s="725" t="s">
        <v>2292</v>
      </c>
      <c r="G2023" s="725" t="s">
        <v>2292</v>
      </c>
      <c r="H2023" s="725" t="s">
        <v>2292</v>
      </c>
      <c r="I2023" s="725" t="s">
        <v>2292</v>
      </c>
      <c r="J2023" s="725" t="s">
        <v>2292</v>
      </c>
      <c r="K2023" s="725" t="s">
        <v>2292</v>
      </c>
      <c r="L2023" s="725" t="s">
        <v>2292</v>
      </c>
      <c r="M2023" s="725" t="s">
        <v>2292</v>
      </c>
      <c r="N2023" s="746"/>
      <c r="O2023" s="746"/>
      <c r="P2023" s="746"/>
      <c r="Q2023" s="746"/>
      <c r="R2023" s="521"/>
      <c r="S2023" s="521"/>
    </row>
    <row r="2024" spans="1:19" ht="25.5">
      <c r="A2024" s="719" t="s">
        <v>2033</v>
      </c>
      <c r="B2024" s="719" t="s">
        <v>3404</v>
      </c>
      <c r="C2024"/>
      <c r="D2024"/>
      <c r="E2024"/>
      <c r="F2024"/>
      <c r="G2024"/>
      <c r="H2024"/>
      <c r="I2024"/>
      <c r="J2024"/>
      <c r="K2024"/>
      <c r="L2024"/>
      <c r="M2024"/>
      <c r="N2024" s="746"/>
      <c r="O2024" s="746"/>
      <c r="P2024" s="746"/>
      <c r="Q2024" s="746"/>
      <c r="R2024" s="521"/>
      <c r="S2024" s="521"/>
    </row>
    <row r="2025" spans="1:19" ht="25.5">
      <c r="A2025" s="720" t="s">
        <v>2035</v>
      </c>
      <c r="B2025" s="720" t="s">
        <v>2036</v>
      </c>
      <c r="C2025" s="720" t="s">
        <v>1</v>
      </c>
      <c r="D2025" s="720" t="s">
        <v>2037</v>
      </c>
      <c r="E2025" s="720" t="s">
        <v>3</v>
      </c>
      <c r="F2025" s="720" t="s">
        <v>4</v>
      </c>
      <c r="G2025" s="720" t="s">
        <v>2038</v>
      </c>
      <c r="H2025" s="720" t="s">
        <v>6</v>
      </c>
      <c r="I2025" s="720" t="s">
        <v>7</v>
      </c>
      <c r="J2025" s="720" t="s">
        <v>8</v>
      </c>
      <c r="K2025" s="720" t="s">
        <v>2039</v>
      </c>
      <c r="L2025" s="720" t="s">
        <v>10</v>
      </c>
      <c r="M2025" s="720" t="s">
        <v>2040</v>
      </c>
      <c r="N2025" s="746"/>
      <c r="O2025" s="746"/>
      <c r="P2025" s="746"/>
      <c r="Q2025" s="746"/>
      <c r="R2025" s="521"/>
      <c r="S2025" s="521"/>
    </row>
    <row r="2026" spans="1:19">
      <c r="A2026" s="721">
        <v>67</v>
      </c>
      <c r="B2026" s="721">
        <v>20172495007</v>
      </c>
      <c r="C2026" s="721" t="s">
        <v>6327</v>
      </c>
      <c r="D2026" s="721">
        <v>695</v>
      </c>
      <c r="E2026" s="721" t="s">
        <v>5961</v>
      </c>
      <c r="F2026" s="721" t="s">
        <v>147</v>
      </c>
      <c r="G2026" s="721" t="s">
        <v>3406</v>
      </c>
      <c r="H2026" s="721">
        <v>2</v>
      </c>
      <c r="I2026" s="721" t="s">
        <v>6328</v>
      </c>
      <c r="J2026" s="721" t="s">
        <v>6329</v>
      </c>
      <c r="K2026" s="721" t="s">
        <v>2044</v>
      </c>
      <c r="L2026" s="721">
        <v>1014251129</v>
      </c>
      <c r="M2026" s="721" t="s">
        <v>3322</v>
      </c>
      <c r="N2026" s="746"/>
      <c r="O2026" s="746"/>
      <c r="P2026" s="746"/>
      <c r="Q2026" s="746"/>
      <c r="R2026" s="521"/>
      <c r="S2026" s="521"/>
    </row>
    <row r="2027" spans="1:19" ht="14.25" customHeight="1">
      <c r="A2027" s="723">
        <v>68</v>
      </c>
      <c r="B2027" s="723">
        <v>20182395003</v>
      </c>
      <c r="C2027" s="723" t="s">
        <v>6330</v>
      </c>
      <c r="D2027" s="723">
        <v>695</v>
      </c>
      <c r="E2027" s="723" t="s">
        <v>5961</v>
      </c>
      <c r="F2027" s="723" t="s">
        <v>147</v>
      </c>
      <c r="G2027" s="723" t="s">
        <v>3406</v>
      </c>
      <c r="H2027" s="723">
        <v>2</v>
      </c>
      <c r="I2027" s="723" t="s">
        <v>6331</v>
      </c>
      <c r="J2027" s="723" t="s">
        <v>6332</v>
      </c>
      <c r="K2027" s="723" t="s">
        <v>2044</v>
      </c>
      <c r="L2027" s="723">
        <v>1032442160</v>
      </c>
      <c r="M2027" s="723" t="s">
        <v>3322</v>
      </c>
      <c r="N2027" s="746"/>
      <c r="O2027" s="746"/>
      <c r="P2027" s="746"/>
      <c r="Q2027" s="746"/>
      <c r="R2027" s="521"/>
      <c r="S2027" s="521"/>
    </row>
    <row r="2028" spans="1:19">
      <c r="A2028" s="721">
        <v>69</v>
      </c>
      <c r="B2028" s="721">
        <v>20202195005</v>
      </c>
      <c r="C2028" s="721" t="s">
        <v>6333</v>
      </c>
      <c r="D2028" s="721">
        <v>695</v>
      </c>
      <c r="E2028" s="721" t="s">
        <v>5961</v>
      </c>
      <c r="F2028" s="721" t="s">
        <v>147</v>
      </c>
      <c r="G2028" s="721" t="s">
        <v>3406</v>
      </c>
      <c r="H2028" s="721">
        <v>4</v>
      </c>
      <c r="I2028" s="721" t="s">
        <v>6334</v>
      </c>
      <c r="J2028" s="721" t="s">
        <v>6335</v>
      </c>
      <c r="K2028" s="721" t="s">
        <v>2044</v>
      </c>
      <c r="L2028" s="721">
        <v>1033736878</v>
      </c>
      <c r="M2028" s="721" t="s">
        <v>3322</v>
      </c>
      <c r="N2028" s="746"/>
      <c r="O2028" s="746"/>
      <c r="P2028" s="746"/>
      <c r="Q2028" s="746"/>
      <c r="R2028" s="521"/>
      <c r="S2028" s="521"/>
    </row>
    <row r="2029" spans="1:19">
      <c r="A2029" s="723">
        <v>70</v>
      </c>
      <c r="B2029" s="723">
        <v>20202495013</v>
      </c>
      <c r="C2029" s="723" t="s">
        <v>6336</v>
      </c>
      <c r="D2029" s="723">
        <v>695</v>
      </c>
      <c r="E2029" s="723" t="s">
        <v>5961</v>
      </c>
      <c r="F2029" s="723" t="s">
        <v>147</v>
      </c>
      <c r="G2029" s="723" t="s">
        <v>3406</v>
      </c>
      <c r="H2029" s="723">
        <v>3</v>
      </c>
      <c r="I2029" s="723" t="s">
        <v>6337</v>
      </c>
      <c r="J2029" s="723" t="s">
        <v>6338</v>
      </c>
      <c r="K2029" s="723" t="s">
        <v>2044</v>
      </c>
      <c r="L2029" s="723">
        <v>80726660</v>
      </c>
      <c r="M2029" s="723" t="s">
        <v>3322</v>
      </c>
      <c r="N2029" s="746"/>
      <c r="O2029" s="746"/>
      <c r="P2029" s="746"/>
      <c r="Q2029" s="746"/>
      <c r="R2029" s="521"/>
      <c r="S2029" s="521"/>
    </row>
    <row r="2030" spans="1:19">
      <c r="A2030" s="721">
        <v>71</v>
      </c>
      <c r="B2030" s="721">
        <v>20202495014</v>
      </c>
      <c r="C2030" s="721" t="s">
        <v>6339</v>
      </c>
      <c r="D2030" s="721">
        <v>695</v>
      </c>
      <c r="E2030" s="721" t="s">
        <v>5961</v>
      </c>
      <c r="F2030" s="721" t="s">
        <v>147</v>
      </c>
      <c r="G2030" s="721" t="s">
        <v>3406</v>
      </c>
      <c r="H2030" s="721">
        <v>3</v>
      </c>
      <c r="I2030" s="721" t="s">
        <v>6340</v>
      </c>
      <c r="J2030" s="721" t="s">
        <v>6341</v>
      </c>
      <c r="K2030" s="721" t="s">
        <v>2044</v>
      </c>
      <c r="L2030" s="721">
        <v>1032449379</v>
      </c>
      <c r="M2030" s="721" t="s">
        <v>3322</v>
      </c>
      <c r="N2030" s="746"/>
      <c r="O2030" s="746"/>
      <c r="P2030" s="746"/>
      <c r="Q2030" s="746"/>
      <c r="R2030" s="521"/>
      <c r="S2030" s="521"/>
    </row>
    <row r="2031" spans="1:19">
      <c r="A2031" s="723">
        <v>72</v>
      </c>
      <c r="B2031" s="723">
        <v>20211495012</v>
      </c>
      <c r="C2031" s="723" t="s">
        <v>6342</v>
      </c>
      <c r="D2031" s="723">
        <v>695</v>
      </c>
      <c r="E2031" s="723" t="s">
        <v>5961</v>
      </c>
      <c r="F2031" s="723" t="s">
        <v>147</v>
      </c>
      <c r="G2031" s="723" t="s">
        <v>3406</v>
      </c>
      <c r="H2031" s="723">
        <v>3</v>
      </c>
      <c r="I2031" s="723" t="s">
        <v>6343</v>
      </c>
      <c r="J2031" s="723" t="s">
        <v>6344</v>
      </c>
      <c r="K2031" s="723" t="s">
        <v>2044</v>
      </c>
      <c r="L2031" s="723">
        <v>1022329486</v>
      </c>
      <c r="M2031" s="723" t="s">
        <v>3322</v>
      </c>
      <c r="N2031" s="746"/>
      <c r="O2031" s="746"/>
      <c r="P2031" s="746"/>
      <c r="Q2031" s="746"/>
      <c r="R2031" s="521"/>
      <c r="S2031" s="521"/>
    </row>
    <row r="2032" spans="1:19">
      <c r="A2032" s="721">
        <v>73</v>
      </c>
      <c r="B2032" s="721">
        <v>20241695018</v>
      </c>
      <c r="C2032" s="721" t="s">
        <v>6345</v>
      </c>
      <c r="D2032" s="721">
        <v>695</v>
      </c>
      <c r="E2032" s="721" t="s">
        <v>5961</v>
      </c>
      <c r="F2032" s="721" t="s">
        <v>147</v>
      </c>
      <c r="G2032" s="721" t="s">
        <v>3406</v>
      </c>
      <c r="H2032" s="721">
        <v>1</v>
      </c>
      <c r="I2032" s="721" t="s">
        <v>6346</v>
      </c>
      <c r="J2032" s="721" t="s">
        <v>6346</v>
      </c>
      <c r="K2032" s="721" t="s">
        <v>2044</v>
      </c>
      <c r="L2032" s="721">
        <v>1020814693</v>
      </c>
      <c r="M2032" s="721" t="s">
        <v>3322</v>
      </c>
      <c r="N2032" s="746"/>
      <c r="O2032" s="746"/>
      <c r="P2032" s="746"/>
      <c r="Q2032" s="746"/>
      <c r="R2032" s="521"/>
      <c r="S2032" s="521"/>
    </row>
    <row r="2033" spans="1:19">
      <c r="A2033" s="723">
        <v>74</v>
      </c>
      <c r="B2033" s="723">
        <v>20251695010</v>
      </c>
      <c r="C2033" s="723" t="s">
        <v>6347</v>
      </c>
      <c r="D2033" s="723">
        <v>695</v>
      </c>
      <c r="E2033" s="723" t="s">
        <v>5961</v>
      </c>
      <c r="F2033" s="723" t="s">
        <v>147</v>
      </c>
      <c r="G2033" s="723" t="s">
        <v>3406</v>
      </c>
      <c r="H2033" s="723">
        <v>3</v>
      </c>
      <c r="I2033" s="723" t="s">
        <v>6348</v>
      </c>
      <c r="J2033" s="723" t="s">
        <v>6348</v>
      </c>
      <c r="K2033" s="723" t="s">
        <v>2044</v>
      </c>
      <c r="L2033" s="723">
        <v>1013619955</v>
      </c>
      <c r="M2033" s="723" t="s">
        <v>3322</v>
      </c>
      <c r="N2033" s="746"/>
      <c r="O2033" s="746"/>
      <c r="P2033" s="746"/>
      <c r="Q2033" s="746"/>
      <c r="R2033" s="521"/>
      <c r="S2033" s="521"/>
    </row>
    <row r="2034" spans="1:19">
      <c r="A2034" s="721">
        <v>75</v>
      </c>
      <c r="B2034" s="721">
        <v>20261695010</v>
      </c>
      <c r="C2034" s="721" t="s">
        <v>6349</v>
      </c>
      <c r="D2034" s="721">
        <v>695</v>
      </c>
      <c r="E2034" s="721" t="s">
        <v>5961</v>
      </c>
      <c r="F2034" s="721" t="s">
        <v>147</v>
      </c>
      <c r="G2034" s="721" t="s">
        <v>3406</v>
      </c>
      <c r="H2034" s="721" t="s">
        <v>2043</v>
      </c>
      <c r="I2034" s="721"/>
      <c r="J2034" s="721" t="s">
        <v>6350</v>
      </c>
      <c r="K2034" s="721" t="s">
        <v>2044</v>
      </c>
      <c r="L2034" s="721">
        <v>1000713687</v>
      </c>
      <c r="M2034" s="721" t="s">
        <v>3322</v>
      </c>
      <c r="N2034" s="746"/>
      <c r="O2034" s="746"/>
      <c r="P2034" s="746"/>
      <c r="Q2034" s="746"/>
      <c r="R2034" s="521"/>
      <c r="S2034" s="521"/>
    </row>
    <row r="2035" spans="1:19">
      <c r="A2035" s="723">
        <v>76</v>
      </c>
      <c r="B2035" s="723">
        <v>20262695001</v>
      </c>
      <c r="C2035" s="723" t="s">
        <v>6351</v>
      </c>
      <c r="D2035" s="723">
        <v>695</v>
      </c>
      <c r="E2035" s="723" t="s">
        <v>5961</v>
      </c>
      <c r="F2035" s="723" t="s">
        <v>147</v>
      </c>
      <c r="G2035" s="723" t="s">
        <v>3406</v>
      </c>
      <c r="H2035" s="723" t="s">
        <v>2043</v>
      </c>
      <c r="I2035" s="723"/>
      <c r="J2035" s="723" t="s">
        <v>6352</v>
      </c>
      <c r="K2035" s="723" t="s">
        <v>2044</v>
      </c>
      <c r="L2035" s="723">
        <v>52732381</v>
      </c>
      <c r="M2035" s="724" t="s">
        <v>955</v>
      </c>
      <c r="N2035" s="746"/>
      <c r="O2035" s="746"/>
      <c r="P2035" s="746"/>
      <c r="Q2035" s="746"/>
      <c r="R2035" s="521"/>
      <c r="S2035" s="521"/>
    </row>
    <row r="2036" spans="1:19">
      <c r="A2036" s="721">
        <v>77</v>
      </c>
      <c r="B2036" s="721">
        <v>20262695002</v>
      </c>
      <c r="C2036" s="721" t="s">
        <v>3969</v>
      </c>
      <c r="D2036" s="721">
        <v>695</v>
      </c>
      <c r="E2036" s="721" t="s">
        <v>5961</v>
      </c>
      <c r="F2036" s="721" t="s">
        <v>147</v>
      </c>
      <c r="G2036" s="721" t="s">
        <v>3406</v>
      </c>
      <c r="H2036" s="721" t="s">
        <v>2043</v>
      </c>
      <c r="I2036" s="721"/>
      <c r="J2036" s="721" t="s">
        <v>3971</v>
      </c>
      <c r="K2036" s="721" t="s">
        <v>2044</v>
      </c>
      <c r="L2036" s="721">
        <v>1032458403</v>
      </c>
      <c r="M2036" s="722" t="s">
        <v>955</v>
      </c>
      <c r="N2036" s="746"/>
      <c r="O2036" s="746"/>
      <c r="P2036" s="746"/>
      <c r="Q2036" s="746"/>
      <c r="R2036" s="521"/>
      <c r="S2036" s="521"/>
    </row>
    <row r="2037" spans="1:19">
      <c r="A2037" s="723">
        <v>78</v>
      </c>
      <c r="B2037" s="723">
        <v>20262695005</v>
      </c>
      <c r="C2037" s="723" t="s">
        <v>6353</v>
      </c>
      <c r="D2037" s="723">
        <v>695</v>
      </c>
      <c r="E2037" s="723" t="s">
        <v>5961</v>
      </c>
      <c r="F2037" s="723" t="s">
        <v>147</v>
      </c>
      <c r="G2037" s="723" t="s">
        <v>3406</v>
      </c>
      <c r="H2037" s="723" t="s">
        <v>2043</v>
      </c>
      <c r="I2037" s="723"/>
      <c r="J2037" s="723" t="s">
        <v>6354</v>
      </c>
      <c r="K2037" s="723" t="s">
        <v>2044</v>
      </c>
      <c r="L2037" s="723">
        <v>1032490174</v>
      </c>
      <c r="M2037" s="724" t="s">
        <v>955</v>
      </c>
      <c r="N2037" s="746"/>
      <c r="O2037" s="746"/>
      <c r="P2037" s="746"/>
      <c r="Q2037" s="746"/>
      <c r="R2037" s="521"/>
      <c r="S2037" s="521"/>
    </row>
    <row r="2038" spans="1:19">
      <c r="A2038" s="721">
        <v>79</v>
      </c>
      <c r="B2038" s="721">
        <v>20262695008</v>
      </c>
      <c r="C2038" s="721" t="s">
        <v>6087</v>
      </c>
      <c r="D2038" s="721">
        <v>695</v>
      </c>
      <c r="E2038" s="721" t="s">
        <v>5961</v>
      </c>
      <c r="F2038" s="721" t="s">
        <v>147</v>
      </c>
      <c r="G2038" s="721" t="s">
        <v>3406</v>
      </c>
      <c r="H2038" s="721" t="s">
        <v>2043</v>
      </c>
      <c r="I2038" s="721"/>
      <c r="J2038" s="721" t="s">
        <v>6088</v>
      </c>
      <c r="K2038" s="721" t="s">
        <v>2044</v>
      </c>
      <c r="L2038" s="721">
        <v>1007719264</v>
      </c>
      <c r="M2038" s="722" t="s">
        <v>955</v>
      </c>
      <c r="N2038" s="746"/>
      <c r="O2038" s="746"/>
      <c r="P2038" s="746"/>
      <c r="Q2038" s="746"/>
      <c r="R2038" s="521"/>
      <c r="S2038" s="521"/>
    </row>
    <row r="2039" spans="1:19">
      <c r="A2039" s="723">
        <v>80</v>
      </c>
      <c r="B2039" s="723">
        <v>20262695012</v>
      </c>
      <c r="C2039" s="723" t="s">
        <v>6355</v>
      </c>
      <c r="D2039" s="723">
        <v>695</v>
      </c>
      <c r="E2039" s="723" t="s">
        <v>5961</v>
      </c>
      <c r="F2039" s="723" t="s">
        <v>147</v>
      </c>
      <c r="G2039" s="723" t="s">
        <v>3406</v>
      </c>
      <c r="H2039" s="723" t="s">
        <v>2043</v>
      </c>
      <c r="I2039" s="723"/>
      <c r="J2039" s="723" t="s">
        <v>6356</v>
      </c>
      <c r="K2039" s="723" t="s">
        <v>2044</v>
      </c>
      <c r="L2039" s="723">
        <v>1192817453</v>
      </c>
      <c r="M2039" s="724" t="s">
        <v>955</v>
      </c>
      <c r="N2039" s="746"/>
      <c r="O2039" s="746"/>
      <c r="P2039" s="746"/>
      <c r="Q2039" s="746"/>
      <c r="R2039" s="521"/>
      <c r="S2039" s="521"/>
    </row>
    <row r="2040" spans="1:19">
      <c r="A2040" s="721">
        <v>81</v>
      </c>
      <c r="B2040" s="721">
        <v>20262695015</v>
      </c>
      <c r="C2040" s="721" t="s">
        <v>6066</v>
      </c>
      <c r="D2040" s="721">
        <v>695</v>
      </c>
      <c r="E2040" s="721" t="s">
        <v>5961</v>
      </c>
      <c r="F2040" s="721" t="s">
        <v>147</v>
      </c>
      <c r="G2040" s="721" t="s">
        <v>3406</v>
      </c>
      <c r="H2040" s="721" t="s">
        <v>2043</v>
      </c>
      <c r="I2040" s="721"/>
      <c r="J2040" s="721" t="s">
        <v>6068</v>
      </c>
      <c r="K2040" s="721" t="s">
        <v>2044</v>
      </c>
      <c r="L2040" s="721">
        <v>1031167678</v>
      </c>
      <c r="M2040" s="722" t="s">
        <v>955</v>
      </c>
      <c r="N2040" s="746"/>
      <c r="O2040" s="746"/>
      <c r="P2040" s="746"/>
      <c r="Q2040" s="746"/>
      <c r="R2040" s="521"/>
      <c r="S2040" s="521"/>
    </row>
    <row r="2041" spans="1:19">
      <c r="A2041" s="723">
        <v>82</v>
      </c>
      <c r="B2041" s="723">
        <v>20262695016</v>
      </c>
      <c r="C2041" s="723" t="s">
        <v>6064</v>
      </c>
      <c r="D2041" s="723">
        <v>695</v>
      </c>
      <c r="E2041" s="723" t="s">
        <v>5961</v>
      </c>
      <c r="F2041" s="723" t="s">
        <v>147</v>
      </c>
      <c r="G2041" s="723" t="s">
        <v>3406</v>
      </c>
      <c r="H2041" s="723" t="s">
        <v>2043</v>
      </c>
      <c r="I2041" s="723"/>
      <c r="J2041" s="723" t="s">
        <v>6065</v>
      </c>
      <c r="K2041" s="723" t="s">
        <v>2044</v>
      </c>
      <c r="L2041" s="723">
        <v>1000063717</v>
      </c>
      <c r="M2041" s="724" t="s">
        <v>955</v>
      </c>
      <c r="N2041" s="746"/>
      <c r="O2041" s="746"/>
      <c r="P2041" s="746"/>
      <c r="Q2041" s="746"/>
      <c r="R2041" s="521"/>
      <c r="S2041" s="521"/>
    </row>
    <row r="2042" spans="1:19">
      <c r="A2042" s="725" t="s">
        <v>2292</v>
      </c>
      <c r="B2042" s="725" t="s">
        <v>2292</v>
      </c>
      <c r="C2042" s="725" t="s">
        <v>2292</v>
      </c>
      <c r="D2042" s="725" t="s">
        <v>2292</v>
      </c>
      <c r="E2042" s="725" t="s">
        <v>2292</v>
      </c>
      <c r="F2042" s="725" t="s">
        <v>2292</v>
      </c>
      <c r="G2042" s="725" t="s">
        <v>2292</v>
      </c>
      <c r="H2042" s="725" t="s">
        <v>2292</v>
      </c>
      <c r="I2042" s="725" t="s">
        <v>2292</v>
      </c>
      <c r="J2042" s="725" t="s">
        <v>2292</v>
      </c>
      <c r="K2042" s="725" t="s">
        <v>2292</v>
      </c>
      <c r="L2042" s="725" t="s">
        <v>2292</v>
      </c>
      <c r="M2042" s="725" t="s">
        <v>2292</v>
      </c>
      <c r="N2042" s="746"/>
      <c r="O2042" s="746"/>
      <c r="P2042" s="746"/>
      <c r="Q2042" s="746"/>
      <c r="R2042" s="521"/>
      <c r="S2042" s="521"/>
    </row>
    <row r="2043" spans="1:19">
      <c r="A2043" s="719" t="s">
        <v>2033</v>
      </c>
      <c r="B2043" s="719" t="s">
        <v>2538</v>
      </c>
      <c r="C2043"/>
      <c r="D2043"/>
      <c r="E2043"/>
      <c r="F2043"/>
      <c r="G2043"/>
      <c r="H2043"/>
      <c r="I2043"/>
      <c r="J2043"/>
      <c r="K2043"/>
      <c r="L2043"/>
      <c r="M2043"/>
      <c r="N2043" s="746"/>
      <c r="O2043" s="746"/>
      <c r="P2043" s="746"/>
      <c r="Q2043" s="746"/>
      <c r="R2043" s="521"/>
      <c r="S2043" s="521"/>
    </row>
    <row r="2044" spans="1:19" ht="25.5">
      <c r="A2044" s="720" t="s">
        <v>2035</v>
      </c>
      <c r="B2044" s="720" t="s">
        <v>2036</v>
      </c>
      <c r="C2044" s="720" t="s">
        <v>1</v>
      </c>
      <c r="D2044" s="720" t="s">
        <v>2037</v>
      </c>
      <c r="E2044" s="720" t="s">
        <v>3</v>
      </c>
      <c r="F2044" s="720" t="s">
        <v>4</v>
      </c>
      <c r="G2044" s="720" t="s">
        <v>2038</v>
      </c>
      <c r="H2044" s="720" t="s">
        <v>6</v>
      </c>
      <c r="I2044" s="720" t="s">
        <v>7</v>
      </c>
      <c r="J2044" s="720" t="s">
        <v>8</v>
      </c>
      <c r="K2044" s="720" t="s">
        <v>2039</v>
      </c>
      <c r="L2044" s="720" t="s">
        <v>10</v>
      </c>
      <c r="M2044" s="720" t="s">
        <v>2040</v>
      </c>
      <c r="N2044" s="746"/>
      <c r="O2044" s="746"/>
      <c r="P2044" s="746"/>
      <c r="Q2044" s="746"/>
      <c r="R2044" s="521"/>
      <c r="S2044" s="521"/>
    </row>
    <row r="2045" spans="1:19">
      <c r="A2045" s="721">
        <v>83</v>
      </c>
      <c r="B2045" s="721">
        <v>20251695008</v>
      </c>
      <c r="C2045" s="721" t="s">
        <v>6357</v>
      </c>
      <c r="D2045" s="721">
        <v>695</v>
      </c>
      <c r="E2045" s="721" t="s">
        <v>5961</v>
      </c>
      <c r="F2045" s="721" t="s">
        <v>150</v>
      </c>
      <c r="G2045" s="721" t="s">
        <v>2540</v>
      </c>
      <c r="H2045" s="721">
        <v>3</v>
      </c>
      <c r="I2045" s="721" t="s">
        <v>6358</v>
      </c>
      <c r="J2045" s="721" t="s">
        <v>6359</v>
      </c>
      <c r="K2045" s="721" t="s">
        <v>2044</v>
      </c>
      <c r="L2045" s="721">
        <v>1014276639</v>
      </c>
      <c r="M2045" s="721" t="s">
        <v>1364</v>
      </c>
      <c r="N2045" s="746"/>
      <c r="O2045" s="746"/>
      <c r="P2045" s="746"/>
      <c r="Q2045" s="746"/>
      <c r="R2045" s="521"/>
      <c r="S2045" s="521"/>
    </row>
    <row r="2046" spans="1:19">
      <c r="A2046" s="725" t="s">
        <v>2292</v>
      </c>
      <c r="B2046" s="725" t="s">
        <v>2292</v>
      </c>
      <c r="C2046" s="725" t="s">
        <v>2292</v>
      </c>
      <c r="D2046" s="725" t="s">
        <v>2292</v>
      </c>
      <c r="E2046" s="725" t="s">
        <v>2292</v>
      </c>
      <c r="F2046" s="725" t="s">
        <v>2292</v>
      </c>
      <c r="G2046" s="725" t="s">
        <v>2292</v>
      </c>
      <c r="H2046" s="725" t="s">
        <v>2292</v>
      </c>
      <c r="I2046" s="725" t="s">
        <v>2292</v>
      </c>
      <c r="J2046" s="725" t="s">
        <v>2292</v>
      </c>
      <c r="K2046" s="725" t="s">
        <v>2292</v>
      </c>
      <c r="L2046" s="725" t="s">
        <v>2292</v>
      </c>
      <c r="M2046" s="725" t="s">
        <v>2292</v>
      </c>
      <c r="N2046" s="746"/>
      <c r="O2046" s="746"/>
      <c r="P2046" s="746"/>
      <c r="Q2046" s="746"/>
      <c r="R2046" s="521"/>
      <c r="S2046" s="521"/>
    </row>
    <row r="2047" spans="1:19" ht="25.5">
      <c r="A2047" s="719" t="s">
        <v>2033</v>
      </c>
      <c r="B2047" s="719" t="s">
        <v>2544</v>
      </c>
      <c r="C2047"/>
      <c r="D2047"/>
      <c r="E2047"/>
      <c r="F2047"/>
      <c r="G2047"/>
      <c r="H2047"/>
      <c r="I2047"/>
      <c r="J2047"/>
      <c r="K2047"/>
      <c r="L2047"/>
      <c r="M2047"/>
      <c r="N2047" s="746"/>
      <c r="O2047" s="746"/>
      <c r="P2047" s="746"/>
      <c r="Q2047" s="746"/>
      <c r="R2047" s="521"/>
      <c r="S2047" s="521"/>
    </row>
    <row r="2048" spans="1:19" ht="25.5">
      <c r="A2048" s="720" t="s">
        <v>2035</v>
      </c>
      <c r="B2048" s="720" t="s">
        <v>2036</v>
      </c>
      <c r="C2048" s="720" t="s">
        <v>1</v>
      </c>
      <c r="D2048" s="720" t="s">
        <v>2037</v>
      </c>
      <c r="E2048" s="720" t="s">
        <v>3</v>
      </c>
      <c r="F2048" s="720" t="s">
        <v>4</v>
      </c>
      <c r="G2048" s="720" t="s">
        <v>2038</v>
      </c>
      <c r="H2048" s="720" t="s">
        <v>6</v>
      </c>
      <c r="I2048" s="720" t="s">
        <v>7</v>
      </c>
      <c r="J2048" s="720" t="s">
        <v>8</v>
      </c>
      <c r="K2048" s="720" t="s">
        <v>2039</v>
      </c>
      <c r="L2048" s="720" t="s">
        <v>10</v>
      </c>
      <c r="M2048" s="720" t="s">
        <v>2040</v>
      </c>
      <c r="N2048" s="746"/>
      <c r="O2048" s="746"/>
      <c r="P2048" s="746"/>
      <c r="Q2048" s="746"/>
      <c r="R2048" s="521"/>
      <c r="S2048" s="521"/>
    </row>
    <row r="2049" spans="1:19" ht="25.5">
      <c r="A2049" s="721">
        <v>84</v>
      </c>
      <c r="B2049" s="721">
        <v>20151295004</v>
      </c>
      <c r="C2049" s="721" t="s">
        <v>6360</v>
      </c>
      <c r="D2049" s="721">
        <v>695</v>
      </c>
      <c r="E2049" s="721" t="s">
        <v>5961</v>
      </c>
      <c r="F2049" s="721" t="s">
        <v>154</v>
      </c>
      <c r="G2049" s="721" t="s">
        <v>2546</v>
      </c>
      <c r="H2049" s="721">
        <v>3</v>
      </c>
      <c r="I2049" s="721" t="s">
        <v>6361</v>
      </c>
      <c r="J2049" s="721" t="s">
        <v>6362</v>
      </c>
      <c r="K2049" s="721" t="s">
        <v>2044</v>
      </c>
      <c r="L2049" s="721">
        <v>6803449</v>
      </c>
      <c r="M2049" s="721" t="s">
        <v>3322</v>
      </c>
      <c r="N2049" s="746"/>
      <c r="O2049" s="746"/>
      <c r="P2049" s="746"/>
      <c r="Q2049" s="746"/>
      <c r="R2049" s="521"/>
      <c r="S2049" s="521"/>
    </row>
    <row r="2050" spans="1:19" ht="25.5">
      <c r="A2050" s="723">
        <v>85</v>
      </c>
      <c r="B2050" s="723">
        <v>20161195011</v>
      </c>
      <c r="C2050" s="723" t="s">
        <v>6363</v>
      </c>
      <c r="D2050" s="723">
        <v>695</v>
      </c>
      <c r="E2050" s="723" t="s">
        <v>5961</v>
      </c>
      <c r="F2050" s="723" t="s">
        <v>154</v>
      </c>
      <c r="G2050" s="723" t="s">
        <v>2546</v>
      </c>
      <c r="H2050" s="723">
        <v>3</v>
      </c>
      <c r="I2050" s="723" t="s">
        <v>6364</v>
      </c>
      <c r="J2050" s="723" t="s">
        <v>6365</v>
      </c>
      <c r="K2050" s="723" t="s">
        <v>2044</v>
      </c>
      <c r="L2050" s="723">
        <v>1019010283</v>
      </c>
      <c r="M2050" s="723" t="s">
        <v>3322</v>
      </c>
      <c r="N2050" s="746"/>
      <c r="O2050" s="746"/>
      <c r="P2050" s="746"/>
      <c r="Q2050" s="746"/>
      <c r="R2050" s="521"/>
      <c r="S2050" s="521"/>
    </row>
    <row r="2051" spans="1:19" ht="25.5">
      <c r="A2051" s="721">
        <v>86</v>
      </c>
      <c r="B2051" s="721">
        <v>20161395003</v>
      </c>
      <c r="C2051" s="721" t="s">
        <v>6366</v>
      </c>
      <c r="D2051" s="721">
        <v>695</v>
      </c>
      <c r="E2051" s="721" t="s">
        <v>5961</v>
      </c>
      <c r="F2051" s="721" t="s">
        <v>154</v>
      </c>
      <c r="G2051" s="721" t="s">
        <v>2546</v>
      </c>
      <c r="H2051" s="721">
        <v>3</v>
      </c>
      <c r="I2051" s="721" t="s">
        <v>6367</v>
      </c>
      <c r="J2051" s="721" t="s">
        <v>6368</v>
      </c>
      <c r="K2051" s="721" t="s">
        <v>2044</v>
      </c>
      <c r="L2051" s="721">
        <v>79532330</v>
      </c>
      <c r="M2051" s="721" t="s">
        <v>1356</v>
      </c>
      <c r="N2051" s="746"/>
      <c r="O2051" s="746"/>
      <c r="P2051" s="746"/>
      <c r="Q2051" s="746"/>
      <c r="R2051" s="521"/>
      <c r="S2051" s="521"/>
    </row>
    <row r="2052" spans="1:19" ht="26.25">
      <c r="A2052" s="723">
        <v>87</v>
      </c>
      <c r="B2052" s="723">
        <v>20162395004</v>
      </c>
      <c r="C2052" s="723" t="s">
        <v>6369</v>
      </c>
      <c r="D2052" s="723">
        <v>695</v>
      </c>
      <c r="E2052" s="723" t="s">
        <v>5961</v>
      </c>
      <c r="F2052" s="723" t="s">
        <v>154</v>
      </c>
      <c r="G2052" s="723" t="s">
        <v>2546</v>
      </c>
      <c r="H2052" s="723">
        <v>3</v>
      </c>
      <c r="I2052" s="723"/>
      <c r="J2052" s="723" t="s">
        <v>6370</v>
      </c>
      <c r="K2052" s="723" t="s">
        <v>2044</v>
      </c>
      <c r="L2052" s="723">
        <v>79837810</v>
      </c>
      <c r="M2052" s="723" t="s">
        <v>3279</v>
      </c>
      <c r="N2052" s="746"/>
      <c r="O2052" s="746"/>
      <c r="P2052" s="746"/>
      <c r="Q2052" s="746"/>
      <c r="R2052" s="520"/>
      <c r="S2052" s="520"/>
    </row>
    <row r="2053" spans="1:19" ht="26.25">
      <c r="A2053" s="721">
        <v>88</v>
      </c>
      <c r="B2053" s="721">
        <v>20171195005</v>
      </c>
      <c r="C2053" s="721" t="s">
        <v>6371</v>
      </c>
      <c r="D2053" s="721">
        <v>695</v>
      </c>
      <c r="E2053" s="721" t="s">
        <v>5961</v>
      </c>
      <c r="F2053" s="721" t="s">
        <v>154</v>
      </c>
      <c r="G2053" s="721" t="s">
        <v>2546</v>
      </c>
      <c r="H2053" s="721">
        <v>5</v>
      </c>
      <c r="I2053" s="721" t="s">
        <v>6372</v>
      </c>
      <c r="J2053" s="721" t="s">
        <v>6373</v>
      </c>
      <c r="K2053" s="721" t="s">
        <v>2044</v>
      </c>
      <c r="L2053" s="721">
        <v>1032366625</v>
      </c>
      <c r="M2053" s="721" t="s">
        <v>1364</v>
      </c>
      <c r="N2053" s="746"/>
      <c r="O2053" s="746"/>
      <c r="P2053" s="746"/>
      <c r="Q2053" s="746"/>
      <c r="R2053" s="520"/>
      <c r="S2053" s="520"/>
    </row>
    <row r="2054" spans="1:19" ht="26.25">
      <c r="A2054" s="723">
        <v>89</v>
      </c>
      <c r="B2054" s="723">
        <v>20172495016</v>
      </c>
      <c r="C2054" s="723" t="s">
        <v>6374</v>
      </c>
      <c r="D2054" s="723">
        <v>695</v>
      </c>
      <c r="E2054" s="723" t="s">
        <v>5961</v>
      </c>
      <c r="F2054" s="723" t="s">
        <v>154</v>
      </c>
      <c r="G2054" s="723" t="s">
        <v>2546</v>
      </c>
      <c r="H2054" s="723">
        <v>3</v>
      </c>
      <c r="I2054" s="723" t="s">
        <v>6375</v>
      </c>
      <c r="J2054" s="723" t="s">
        <v>6376</v>
      </c>
      <c r="K2054" s="723" t="s">
        <v>2044</v>
      </c>
      <c r="L2054" s="723">
        <v>1019098016</v>
      </c>
      <c r="M2054" s="723" t="s">
        <v>3322</v>
      </c>
      <c r="N2054" s="746"/>
      <c r="O2054" s="746"/>
      <c r="P2054" s="746"/>
      <c r="Q2054" s="746"/>
      <c r="R2054" s="520"/>
      <c r="S2054" s="520"/>
    </row>
    <row r="2055" spans="1:19" ht="26.25">
      <c r="A2055" s="721">
        <v>90</v>
      </c>
      <c r="B2055" s="721">
        <v>20172495017</v>
      </c>
      <c r="C2055" s="721" t="s">
        <v>6377</v>
      </c>
      <c r="D2055" s="721">
        <v>695</v>
      </c>
      <c r="E2055" s="721" t="s">
        <v>5961</v>
      </c>
      <c r="F2055" s="721" t="s">
        <v>154</v>
      </c>
      <c r="G2055" s="721" t="s">
        <v>2546</v>
      </c>
      <c r="H2055" s="721">
        <v>2</v>
      </c>
      <c r="I2055" s="721" t="s">
        <v>6378</v>
      </c>
      <c r="J2055" s="721" t="s">
        <v>6379</v>
      </c>
      <c r="K2055" s="721" t="s">
        <v>2044</v>
      </c>
      <c r="L2055" s="721">
        <v>1032458000</v>
      </c>
      <c r="M2055" s="721" t="s">
        <v>1364</v>
      </c>
      <c r="N2055" s="746"/>
      <c r="O2055" s="746"/>
      <c r="P2055" s="746"/>
      <c r="Q2055" s="746"/>
      <c r="R2055" s="520"/>
      <c r="S2055" s="520"/>
    </row>
    <row r="2056" spans="1:19" ht="26.25">
      <c r="A2056" s="723">
        <v>91</v>
      </c>
      <c r="B2056" s="723">
        <v>20181195014</v>
      </c>
      <c r="C2056" s="723" t="s">
        <v>6380</v>
      </c>
      <c r="D2056" s="723">
        <v>695</v>
      </c>
      <c r="E2056" s="723" t="s">
        <v>5961</v>
      </c>
      <c r="F2056" s="723" t="s">
        <v>154</v>
      </c>
      <c r="G2056" s="723" t="s">
        <v>2546</v>
      </c>
      <c r="H2056" s="723">
        <v>3</v>
      </c>
      <c r="I2056" s="723" t="s">
        <v>6381</v>
      </c>
      <c r="J2056" s="723" t="s">
        <v>6382</v>
      </c>
      <c r="K2056" s="723" t="s">
        <v>2044</v>
      </c>
      <c r="L2056" s="723">
        <v>1022966300</v>
      </c>
      <c r="M2056" s="723" t="s">
        <v>3322</v>
      </c>
      <c r="N2056" s="746"/>
      <c r="O2056" s="746"/>
      <c r="P2056" s="746"/>
      <c r="Q2056" s="746"/>
      <c r="R2056" s="520"/>
      <c r="S2056" s="520"/>
    </row>
    <row r="2057" spans="1:19" ht="26.25">
      <c r="A2057" s="721">
        <v>92</v>
      </c>
      <c r="B2057" s="721">
        <v>20182395013</v>
      </c>
      <c r="C2057" s="721" t="s">
        <v>6383</v>
      </c>
      <c r="D2057" s="721">
        <v>695</v>
      </c>
      <c r="E2057" s="721" t="s">
        <v>5961</v>
      </c>
      <c r="F2057" s="721" t="s">
        <v>154</v>
      </c>
      <c r="G2057" s="721" t="s">
        <v>2546</v>
      </c>
      <c r="H2057" s="721">
        <v>3</v>
      </c>
      <c r="I2057" s="721" t="s">
        <v>6384</v>
      </c>
      <c r="J2057" s="721" t="s">
        <v>6384</v>
      </c>
      <c r="K2057" s="721" t="s">
        <v>2044</v>
      </c>
      <c r="L2057" s="721">
        <v>79553943</v>
      </c>
      <c r="M2057" s="721" t="s">
        <v>3322</v>
      </c>
      <c r="N2057" s="746"/>
      <c r="O2057" s="746"/>
      <c r="P2057" s="746"/>
      <c r="Q2057" s="746"/>
      <c r="R2057" s="520"/>
      <c r="S2057" s="520"/>
    </row>
    <row r="2058" spans="1:19" ht="26.25">
      <c r="A2058" s="723">
        <v>93</v>
      </c>
      <c r="B2058" s="723">
        <v>20202395009</v>
      </c>
      <c r="C2058" s="723" t="s">
        <v>6385</v>
      </c>
      <c r="D2058" s="723">
        <v>695</v>
      </c>
      <c r="E2058" s="723" t="s">
        <v>5961</v>
      </c>
      <c r="F2058" s="723" t="s">
        <v>154</v>
      </c>
      <c r="G2058" s="723" t="s">
        <v>2546</v>
      </c>
      <c r="H2058" s="723">
        <v>4</v>
      </c>
      <c r="I2058" s="723" t="s">
        <v>6386</v>
      </c>
      <c r="J2058" s="723" t="s">
        <v>6387</v>
      </c>
      <c r="K2058" s="723" t="s">
        <v>2044</v>
      </c>
      <c r="L2058" s="723">
        <v>80874095</v>
      </c>
      <c r="M2058" s="723" t="s">
        <v>1356</v>
      </c>
      <c r="N2058" s="746"/>
      <c r="O2058" s="746"/>
      <c r="P2058" s="746"/>
      <c r="Q2058" s="746"/>
      <c r="R2058" s="520"/>
      <c r="S2058" s="520"/>
    </row>
    <row r="2059" spans="1:19" ht="25.5">
      <c r="A2059" s="721">
        <v>94</v>
      </c>
      <c r="B2059" s="721">
        <v>20211495003</v>
      </c>
      <c r="C2059" s="721" t="s">
        <v>6388</v>
      </c>
      <c r="D2059" s="721">
        <v>695</v>
      </c>
      <c r="E2059" s="721" t="s">
        <v>5961</v>
      </c>
      <c r="F2059" s="721" t="s">
        <v>154</v>
      </c>
      <c r="G2059" s="721" t="s">
        <v>2546</v>
      </c>
      <c r="H2059" s="721">
        <v>3</v>
      </c>
      <c r="I2059" s="721" t="s">
        <v>6389</v>
      </c>
      <c r="J2059" s="721" t="s">
        <v>6390</v>
      </c>
      <c r="K2059" s="721" t="s">
        <v>2044</v>
      </c>
      <c r="L2059" s="721">
        <v>1018493894</v>
      </c>
      <c r="M2059" s="721" t="s">
        <v>1364</v>
      </c>
      <c r="N2059" s="646"/>
      <c r="O2059" s="646"/>
      <c r="P2059" s="646"/>
      <c r="Q2059" s="647"/>
      <c r="R2059" s="647"/>
    </row>
    <row r="2060" spans="1:19" ht="25.5">
      <c r="A2060" s="723">
        <v>95</v>
      </c>
      <c r="B2060" s="723">
        <v>20212495010</v>
      </c>
      <c r="C2060" s="723" t="s">
        <v>6391</v>
      </c>
      <c r="D2060" s="723">
        <v>695</v>
      </c>
      <c r="E2060" s="723" t="s">
        <v>5961</v>
      </c>
      <c r="F2060" s="723" t="s">
        <v>154</v>
      </c>
      <c r="G2060" s="723" t="s">
        <v>2546</v>
      </c>
      <c r="H2060" s="723">
        <v>3</v>
      </c>
      <c r="I2060" s="723" t="s">
        <v>6392</v>
      </c>
      <c r="J2060" s="723" t="s">
        <v>6393</v>
      </c>
      <c r="K2060" s="723" t="s">
        <v>2044</v>
      </c>
      <c r="L2060" s="723">
        <v>93377853</v>
      </c>
      <c r="M2060" s="723" t="s">
        <v>1364</v>
      </c>
    </row>
    <row r="2061" spans="1:19" ht="25.5">
      <c r="A2061" s="721">
        <v>96</v>
      </c>
      <c r="B2061" s="721">
        <v>20241695001</v>
      </c>
      <c r="C2061" s="721" t="s">
        <v>6394</v>
      </c>
      <c r="D2061" s="721">
        <v>695</v>
      </c>
      <c r="E2061" s="721" t="s">
        <v>5961</v>
      </c>
      <c r="F2061" s="721" t="s">
        <v>154</v>
      </c>
      <c r="G2061" s="721" t="s">
        <v>2546</v>
      </c>
      <c r="H2061" s="721" t="s">
        <v>2043</v>
      </c>
      <c r="I2061" s="721" t="s">
        <v>6395</v>
      </c>
      <c r="J2061" s="721" t="s">
        <v>6396</v>
      </c>
      <c r="K2061" s="721" t="s">
        <v>2044</v>
      </c>
      <c r="L2061" s="721">
        <v>1022410193</v>
      </c>
      <c r="M2061" s="721" t="s">
        <v>1348</v>
      </c>
    </row>
    <row r="2062" spans="1:19" ht="25.5">
      <c r="A2062" s="723">
        <v>97</v>
      </c>
      <c r="B2062" s="723">
        <v>20241695008</v>
      </c>
      <c r="C2062" s="723" t="s">
        <v>6397</v>
      </c>
      <c r="D2062" s="723">
        <v>695</v>
      </c>
      <c r="E2062" s="723" t="s">
        <v>5961</v>
      </c>
      <c r="F2062" s="723" t="s">
        <v>154</v>
      </c>
      <c r="G2062" s="723" t="s">
        <v>2546</v>
      </c>
      <c r="H2062" s="723">
        <v>4</v>
      </c>
      <c r="I2062" s="723" t="s">
        <v>6398</v>
      </c>
      <c r="J2062" s="723" t="s">
        <v>6399</v>
      </c>
      <c r="K2062" s="723" t="s">
        <v>2044</v>
      </c>
      <c r="L2062" s="723">
        <v>1016080189</v>
      </c>
      <c r="M2062" s="723" t="s">
        <v>1348</v>
      </c>
    </row>
    <row r="2063" spans="1:19" ht="25.5">
      <c r="A2063" s="721">
        <v>98</v>
      </c>
      <c r="B2063" s="721">
        <v>20242695005</v>
      </c>
      <c r="C2063" s="721" t="s">
        <v>6400</v>
      </c>
      <c r="D2063" s="721">
        <v>695</v>
      </c>
      <c r="E2063" s="721" t="s">
        <v>5961</v>
      </c>
      <c r="F2063" s="721" t="s">
        <v>154</v>
      </c>
      <c r="G2063" s="721" t="s">
        <v>2546</v>
      </c>
      <c r="H2063" s="721">
        <v>4</v>
      </c>
      <c r="I2063" s="721" t="s">
        <v>6401</v>
      </c>
      <c r="J2063" s="721" t="s">
        <v>6402</v>
      </c>
      <c r="K2063" s="721" t="s">
        <v>2044</v>
      </c>
      <c r="L2063" s="721">
        <v>1031124831</v>
      </c>
      <c r="M2063" s="721" t="s">
        <v>3279</v>
      </c>
    </row>
    <row r="2064" spans="1:19" ht="25.5">
      <c r="A2064" s="723">
        <v>99</v>
      </c>
      <c r="B2064" s="723">
        <v>20261695007</v>
      </c>
      <c r="C2064" s="723" t="s">
        <v>6087</v>
      </c>
      <c r="D2064" s="723">
        <v>695</v>
      </c>
      <c r="E2064" s="723" t="s">
        <v>5961</v>
      </c>
      <c r="F2064" s="723" t="s">
        <v>154</v>
      </c>
      <c r="G2064" s="723" t="s">
        <v>2546</v>
      </c>
      <c r="H2064" s="723" t="s">
        <v>2043</v>
      </c>
      <c r="I2064" s="723"/>
      <c r="J2064" s="723" t="s">
        <v>6088</v>
      </c>
      <c r="K2064" s="723" t="s">
        <v>2044</v>
      </c>
      <c r="L2064" s="723">
        <v>1007719264</v>
      </c>
      <c r="M2064" s="724" t="s">
        <v>955</v>
      </c>
    </row>
    <row r="2065" spans="1:13" ht="25.5">
      <c r="A2065" s="721">
        <v>100</v>
      </c>
      <c r="B2065" s="721">
        <v>20261695013</v>
      </c>
      <c r="C2065" s="721" t="s">
        <v>6403</v>
      </c>
      <c r="D2065" s="721">
        <v>695</v>
      </c>
      <c r="E2065" s="721" t="s">
        <v>5961</v>
      </c>
      <c r="F2065" s="721" t="s">
        <v>154</v>
      </c>
      <c r="G2065" s="721" t="s">
        <v>2546</v>
      </c>
      <c r="H2065" s="721" t="s">
        <v>2043</v>
      </c>
      <c r="I2065" s="721"/>
      <c r="J2065" s="721" t="s">
        <v>6404</v>
      </c>
      <c r="K2065" s="721" t="s">
        <v>2044</v>
      </c>
      <c r="L2065" s="721">
        <v>1032417654</v>
      </c>
      <c r="M2065" s="722" t="s">
        <v>955</v>
      </c>
    </row>
    <row r="2066" spans="1:13">
      <c r="A2066" s="729"/>
      <c r="B2066" s="729"/>
      <c r="C2066" s="729"/>
      <c r="D2066" s="729"/>
      <c r="E2066" s="729"/>
      <c r="F2066" s="729"/>
      <c r="G2066" s="729"/>
      <c r="H2066" s="729"/>
      <c r="I2066" s="729"/>
      <c r="J2066" s="729"/>
      <c r="K2066" s="729"/>
      <c r="L2066" s="729"/>
      <c r="M2066" s="729"/>
    </row>
  </sheetData>
  <mergeCells count="2049">
    <mergeCell ref="N1:Q1"/>
    <mergeCell ref="N2034:Q2034"/>
    <mergeCell ref="N2028:Q2028"/>
    <mergeCell ref="N2029:Q2029"/>
    <mergeCell ref="N2030:Q2030"/>
    <mergeCell ref="N2031:Q2031"/>
    <mergeCell ref="N2032:Q2032"/>
    <mergeCell ref="N2033:Q2033"/>
    <mergeCell ref="N2022:Q2022"/>
    <mergeCell ref="N2023:Q2023"/>
    <mergeCell ref="N2024:Q2024"/>
    <mergeCell ref="N2025:Q2025"/>
    <mergeCell ref="N2026:Q2026"/>
    <mergeCell ref="N2027:Q2027"/>
    <mergeCell ref="N2016:Q2016"/>
    <mergeCell ref="N2017:Q2017"/>
    <mergeCell ref="N2018:Q2018"/>
    <mergeCell ref="N2019:Q2019"/>
    <mergeCell ref="N2020:Q2020"/>
    <mergeCell ref="N2021:Q2021"/>
    <mergeCell ref="N2010:Q2010"/>
    <mergeCell ref="N2011:Q2011"/>
    <mergeCell ref="N2012:Q2012"/>
    <mergeCell ref="N2013:Q2013"/>
    <mergeCell ref="N2014:Q2014"/>
    <mergeCell ref="N2015:Q2015"/>
    <mergeCell ref="N2004:Q2004"/>
    <mergeCell ref="N2005:Q2005"/>
    <mergeCell ref="N2006:Q2006"/>
    <mergeCell ref="N2007:Q2007"/>
    <mergeCell ref="N2008:Q2008"/>
    <mergeCell ref="N2009:Q2009"/>
    <mergeCell ref="N1998:Q1998"/>
    <mergeCell ref="N1999:Q1999"/>
    <mergeCell ref="N2000:Q2000"/>
    <mergeCell ref="N2001:Q2001"/>
    <mergeCell ref="N2002:Q2002"/>
    <mergeCell ref="N2003:Q2003"/>
    <mergeCell ref="N1992:Q1992"/>
    <mergeCell ref="N1993:Q1993"/>
    <mergeCell ref="N1994:Q1994"/>
    <mergeCell ref="N1995:Q1995"/>
    <mergeCell ref="N1996:Q1996"/>
    <mergeCell ref="N1997:Q1997"/>
    <mergeCell ref="N1986:Q1986"/>
    <mergeCell ref="N1987:Q1987"/>
    <mergeCell ref="N1988:Q1988"/>
    <mergeCell ref="N1989:Q1989"/>
    <mergeCell ref="N1990:Q1990"/>
    <mergeCell ref="N1991:Q1991"/>
    <mergeCell ref="N1980:Q1980"/>
    <mergeCell ref="N1981:Q1981"/>
    <mergeCell ref="N1982:Q1982"/>
    <mergeCell ref="N1983:Q1983"/>
    <mergeCell ref="N1984:Q1984"/>
    <mergeCell ref="N1985:Q1985"/>
    <mergeCell ref="N1974:Q1974"/>
    <mergeCell ref="N1975:Q1975"/>
    <mergeCell ref="N1976:Q1976"/>
    <mergeCell ref="N1977:Q1977"/>
    <mergeCell ref="N1978:Q1978"/>
    <mergeCell ref="N1979:Q1979"/>
    <mergeCell ref="N1968:Q1968"/>
    <mergeCell ref="N1969:Q1969"/>
    <mergeCell ref="N1970:Q1970"/>
    <mergeCell ref="N1971:Q1971"/>
    <mergeCell ref="N1972:Q1972"/>
    <mergeCell ref="N1973:Q1973"/>
    <mergeCell ref="N1962:Q1962"/>
    <mergeCell ref="N1963:Q1963"/>
    <mergeCell ref="N1964:Q1964"/>
    <mergeCell ref="N1965:Q1965"/>
    <mergeCell ref="N1966:Q1966"/>
    <mergeCell ref="N1967:Q1967"/>
    <mergeCell ref="N1944:Q1944"/>
    <mergeCell ref="N1945:Q1945"/>
    <mergeCell ref="N1946:Q1946"/>
    <mergeCell ref="N1959:Q1959"/>
    <mergeCell ref="N1960:Q1960"/>
    <mergeCell ref="N1961:Q1961"/>
    <mergeCell ref="N1938:Q1938"/>
    <mergeCell ref="N1939:Q1939"/>
    <mergeCell ref="N1940:Q1940"/>
    <mergeCell ref="N1941:Q1941"/>
    <mergeCell ref="N1942:Q1942"/>
    <mergeCell ref="N1943:Q1943"/>
    <mergeCell ref="N1932:Q1932"/>
    <mergeCell ref="N1933:Q1933"/>
    <mergeCell ref="N1934:Q1934"/>
    <mergeCell ref="N1935:Q1935"/>
    <mergeCell ref="N1936:Q1936"/>
    <mergeCell ref="N1937:Q1937"/>
    <mergeCell ref="N1947:Q1947"/>
    <mergeCell ref="N1948:Q1948"/>
    <mergeCell ref="N1949:Q1949"/>
    <mergeCell ref="N1951:Q1951"/>
    <mergeCell ref="N1952:Q1952"/>
    <mergeCell ref="N1953:Q1953"/>
    <mergeCell ref="N1954:Q1954"/>
    <mergeCell ref="N1955:Q1955"/>
    <mergeCell ref="N1956:Q1956"/>
    <mergeCell ref="N1957:Q1957"/>
    <mergeCell ref="N1958:Q1958"/>
    <mergeCell ref="N1926:Q1926"/>
    <mergeCell ref="N1927:Q1927"/>
    <mergeCell ref="N1928:Q1928"/>
    <mergeCell ref="N1929:Q1929"/>
    <mergeCell ref="N1930:Q1930"/>
    <mergeCell ref="N1931:Q1931"/>
    <mergeCell ref="N1920:Q1920"/>
    <mergeCell ref="N1921:Q1921"/>
    <mergeCell ref="N1922:Q1922"/>
    <mergeCell ref="N1923:Q1923"/>
    <mergeCell ref="N1924:Q1924"/>
    <mergeCell ref="N1925:Q1925"/>
    <mergeCell ref="N1914:Q1914"/>
    <mergeCell ref="N1915:Q1915"/>
    <mergeCell ref="N1916:Q1916"/>
    <mergeCell ref="N1917:Q1917"/>
    <mergeCell ref="N1918:Q1918"/>
    <mergeCell ref="N1919:Q1919"/>
    <mergeCell ref="N1908:Q1908"/>
    <mergeCell ref="N1909:Q1909"/>
    <mergeCell ref="N1910:Q1910"/>
    <mergeCell ref="N1911:Q1911"/>
    <mergeCell ref="N1912:Q1912"/>
    <mergeCell ref="N1913:Q1913"/>
    <mergeCell ref="N1902:Q1902"/>
    <mergeCell ref="N1903:Q1903"/>
    <mergeCell ref="N1904:Q1904"/>
    <mergeCell ref="N1905:Q1905"/>
    <mergeCell ref="N1906:Q1906"/>
    <mergeCell ref="N1907:Q1907"/>
    <mergeCell ref="N1896:Q1896"/>
    <mergeCell ref="N1897:Q1897"/>
    <mergeCell ref="N1898:Q1898"/>
    <mergeCell ref="N1899:Q1899"/>
    <mergeCell ref="N1900:Q1900"/>
    <mergeCell ref="N1901:Q1901"/>
    <mergeCell ref="N1890:Q1890"/>
    <mergeCell ref="N1891:Q1891"/>
    <mergeCell ref="N1892:Q1892"/>
    <mergeCell ref="N1893:Q1893"/>
    <mergeCell ref="N1894:Q1894"/>
    <mergeCell ref="N1895:Q1895"/>
    <mergeCell ref="N1884:Q1884"/>
    <mergeCell ref="N1885:Q1885"/>
    <mergeCell ref="N1886:Q1886"/>
    <mergeCell ref="N1887:Q1887"/>
    <mergeCell ref="N1888:Q1888"/>
    <mergeCell ref="N1889:Q1889"/>
    <mergeCell ref="N1878:Q1878"/>
    <mergeCell ref="N1879:Q1879"/>
    <mergeCell ref="N1880:Q1880"/>
    <mergeCell ref="N1881:Q1881"/>
    <mergeCell ref="N1882:Q1882"/>
    <mergeCell ref="N1883:Q1883"/>
    <mergeCell ref="N1864:Q1864"/>
    <mergeCell ref="N1873:Q1873"/>
    <mergeCell ref="N1874:Q1874"/>
    <mergeCell ref="N1875:Q1875"/>
    <mergeCell ref="N1876:Q1876"/>
    <mergeCell ref="N1877:Q1877"/>
    <mergeCell ref="N1860:Q1860"/>
    <mergeCell ref="N1861:Q1861"/>
    <mergeCell ref="N1862:Q1862"/>
    <mergeCell ref="N1863:Q1863"/>
    <mergeCell ref="N1855:Q1855"/>
    <mergeCell ref="N1856:Q1856"/>
    <mergeCell ref="N1857:Q1857"/>
    <mergeCell ref="N1858:Q1858"/>
    <mergeCell ref="N1859:Q1859"/>
    <mergeCell ref="N1865:Q1865"/>
    <mergeCell ref="N1866:Q1866"/>
    <mergeCell ref="N1867:Q1867"/>
    <mergeCell ref="N1868:Q1868"/>
    <mergeCell ref="N1869:Q1869"/>
    <mergeCell ref="N1870:Q1870"/>
    <mergeCell ref="N1871:Q1871"/>
    <mergeCell ref="N1872:Q1872"/>
    <mergeCell ref="N1849:Q1849"/>
    <mergeCell ref="N1850:Q1850"/>
    <mergeCell ref="N1851:Q1851"/>
    <mergeCell ref="N1852:Q1852"/>
    <mergeCell ref="N1853:Q1853"/>
    <mergeCell ref="N1854:Q1854"/>
    <mergeCell ref="N1843:Q1843"/>
    <mergeCell ref="N1844:Q1844"/>
    <mergeCell ref="N1845:Q1845"/>
    <mergeCell ref="N1846:Q1846"/>
    <mergeCell ref="N1847:Q1847"/>
    <mergeCell ref="N1848:Q1848"/>
    <mergeCell ref="N1837:Q1837"/>
    <mergeCell ref="N1838:Q1838"/>
    <mergeCell ref="N1839:Q1839"/>
    <mergeCell ref="N1840:Q1840"/>
    <mergeCell ref="N1841:Q1841"/>
    <mergeCell ref="N1842:Q1842"/>
    <mergeCell ref="N1831:Q1831"/>
    <mergeCell ref="N1832:Q1832"/>
    <mergeCell ref="N1833:Q1833"/>
    <mergeCell ref="N1834:Q1834"/>
    <mergeCell ref="N1836:Q1836"/>
    <mergeCell ref="N1825:Q1825"/>
    <mergeCell ref="N1826:Q1826"/>
    <mergeCell ref="N1827:Q1827"/>
    <mergeCell ref="N1828:Q1828"/>
    <mergeCell ref="N1829:Q1829"/>
    <mergeCell ref="N1830:Q1830"/>
    <mergeCell ref="N1819:Q1819"/>
    <mergeCell ref="N1820:Q1820"/>
    <mergeCell ref="N1821:Q1821"/>
    <mergeCell ref="N1822:Q1822"/>
    <mergeCell ref="N1823:Q1823"/>
    <mergeCell ref="N1824:Q1824"/>
    <mergeCell ref="N1835:Q1835"/>
    <mergeCell ref="N1813:Q1813"/>
    <mergeCell ref="N1814:Q1814"/>
    <mergeCell ref="N1815:Q1815"/>
    <mergeCell ref="N1816:Q1816"/>
    <mergeCell ref="N1817:Q1817"/>
    <mergeCell ref="N1818:Q1818"/>
    <mergeCell ref="N1807:Q1807"/>
    <mergeCell ref="N1808:Q1808"/>
    <mergeCell ref="N1809:Q1809"/>
    <mergeCell ref="N1810:Q1810"/>
    <mergeCell ref="N1811:Q1811"/>
    <mergeCell ref="N1812:Q1812"/>
    <mergeCell ref="N1801:Q1801"/>
    <mergeCell ref="N1802:Q1802"/>
    <mergeCell ref="N1803:Q1803"/>
    <mergeCell ref="N1804:Q1804"/>
    <mergeCell ref="N1805:Q1805"/>
    <mergeCell ref="N1806:Q1806"/>
    <mergeCell ref="N1795:Q1795"/>
    <mergeCell ref="N1796:Q1796"/>
    <mergeCell ref="N1797:Q1797"/>
    <mergeCell ref="N1798:Q1798"/>
    <mergeCell ref="N1799:Q1799"/>
    <mergeCell ref="N1800:Q1800"/>
    <mergeCell ref="N1789:Q1789"/>
    <mergeCell ref="N1790:Q1790"/>
    <mergeCell ref="N1791:Q1791"/>
    <mergeCell ref="N1792:Q1792"/>
    <mergeCell ref="N1793:Q1793"/>
    <mergeCell ref="N1794:Q1794"/>
    <mergeCell ref="N1783:Q1783"/>
    <mergeCell ref="N1784:Q1784"/>
    <mergeCell ref="N1785:Q1785"/>
    <mergeCell ref="N1786:Q1786"/>
    <mergeCell ref="N1787:Q1787"/>
    <mergeCell ref="N1788:Q1788"/>
    <mergeCell ref="N1777:Q1777"/>
    <mergeCell ref="N1778:Q1778"/>
    <mergeCell ref="N1779:Q1779"/>
    <mergeCell ref="N1780:Q1780"/>
    <mergeCell ref="N1781:Q1781"/>
    <mergeCell ref="N1782:Q1782"/>
    <mergeCell ref="N1771:Q1771"/>
    <mergeCell ref="N1772:Q1772"/>
    <mergeCell ref="N1773:Q1773"/>
    <mergeCell ref="N1774:Q1774"/>
    <mergeCell ref="N1775:Q1775"/>
    <mergeCell ref="N1776:Q1776"/>
    <mergeCell ref="N1765:Q1765"/>
    <mergeCell ref="N1766:Q1766"/>
    <mergeCell ref="N1767:Q1767"/>
    <mergeCell ref="N1768:Q1768"/>
    <mergeCell ref="N1769:Q1769"/>
    <mergeCell ref="N1770:Q1770"/>
    <mergeCell ref="N1759:Q1759"/>
    <mergeCell ref="N1760:Q1760"/>
    <mergeCell ref="N1761:Q1761"/>
    <mergeCell ref="N1762:Q1762"/>
    <mergeCell ref="N1763:Q1763"/>
    <mergeCell ref="N1764:Q1764"/>
    <mergeCell ref="N1753:Q1753"/>
    <mergeCell ref="N1754:Q1754"/>
    <mergeCell ref="N1755:Q1755"/>
    <mergeCell ref="N1756:Q1756"/>
    <mergeCell ref="N1757:Q1757"/>
    <mergeCell ref="N1758:Q1758"/>
    <mergeCell ref="N1747:Q1747"/>
    <mergeCell ref="N1748:Q1748"/>
    <mergeCell ref="N1749:Q1749"/>
    <mergeCell ref="N1750:Q1750"/>
    <mergeCell ref="N1751:Q1751"/>
    <mergeCell ref="N1752:Q1752"/>
    <mergeCell ref="N1741:Q1741"/>
    <mergeCell ref="N1742:Q1742"/>
    <mergeCell ref="N1743:Q1743"/>
    <mergeCell ref="N1744:Q1744"/>
    <mergeCell ref="N1745:Q1745"/>
    <mergeCell ref="N1746:Q1746"/>
    <mergeCell ref="N1735:Q1735"/>
    <mergeCell ref="N1736:Q1736"/>
    <mergeCell ref="N1737:Q1737"/>
    <mergeCell ref="N1738:Q1738"/>
    <mergeCell ref="N1739:Q1739"/>
    <mergeCell ref="N1740:Q1740"/>
    <mergeCell ref="N1729:Q1729"/>
    <mergeCell ref="N1730:Q1730"/>
    <mergeCell ref="N1731:Q1731"/>
    <mergeCell ref="N1732:Q1732"/>
    <mergeCell ref="N1733:Q1733"/>
    <mergeCell ref="N1734:Q1734"/>
    <mergeCell ref="N1723:Q1723"/>
    <mergeCell ref="N1724:Q1724"/>
    <mergeCell ref="N1725:Q1725"/>
    <mergeCell ref="N1726:Q1726"/>
    <mergeCell ref="N1727:Q1727"/>
    <mergeCell ref="N1728:Q1728"/>
    <mergeCell ref="N1717:Q1717"/>
    <mergeCell ref="N1718:Q1718"/>
    <mergeCell ref="N1719:Q1719"/>
    <mergeCell ref="N1720:Q1720"/>
    <mergeCell ref="N1721:Q1721"/>
    <mergeCell ref="N1722:Q1722"/>
    <mergeCell ref="N1711:Q1711"/>
    <mergeCell ref="N1712:Q1712"/>
    <mergeCell ref="N1713:Q1713"/>
    <mergeCell ref="N1714:Q1714"/>
    <mergeCell ref="N1715:Q1715"/>
    <mergeCell ref="N1716:Q1716"/>
    <mergeCell ref="N1705:Q1705"/>
    <mergeCell ref="N1706:Q1706"/>
    <mergeCell ref="N1707:Q1707"/>
    <mergeCell ref="N1708:Q1708"/>
    <mergeCell ref="N1709:Q1709"/>
    <mergeCell ref="N1710:Q1710"/>
    <mergeCell ref="N1699:Q1699"/>
    <mergeCell ref="N1700:Q1700"/>
    <mergeCell ref="N1701:Q1701"/>
    <mergeCell ref="N1702:Q1702"/>
    <mergeCell ref="N1703:Q1703"/>
    <mergeCell ref="N1704:Q1704"/>
    <mergeCell ref="N1693:Q1693"/>
    <mergeCell ref="N1694:Q1694"/>
    <mergeCell ref="N1695:Q1695"/>
    <mergeCell ref="N1696:Q1696"/>
    <mergeCell ref="N1697:Q1697"/>
    <mergeCell ref="N1698:Q1698"/>
    <mergeCell ref="N1687:Q1687"/>
    <mergeCell ref="N1688:Q1688"/>
    <mergeCell ref="N1689:Q1689"/>
    <mergeCell ref="N1690:Q1690"/>
    <mergeCell ref="N1691:Q1691"/>
    <mergeCell ref="N1692:Q1692"/>
    <mergeCell ref="N1681:Q1681"/>
    <mergeCell ref="N1682:Q1682"/>
    <mergeCell ref="N1683:Q1683"/>
    <mergeCell ref="N1684:Q1684"/>
    <mergeCell ref="N1685:Q1685"/>
    <mergeCell ref="N1686:Q1686"/>
    <mergeCell ref="N1675:Q1675"/>
    <mergeCell ref="N1676:Q1676"/>
    <mergeCell ref="N1677:Q1677"/>
    <mergeCell ref="N1678:Q1678"/>
    <mergeCell ref="N1679:Q1679"/>
    <mergeCell ref="N1680:Q1680"/>
    <mergeCell ref="N1669:Q1669"/>
    <mergeCell ref="N1670:Q1670"/>
    <mergeCell ref="N1671:Q1671"/>
    <mergeCell ref="N1672:Q1672"/>
    <mergeCell ref="N1673:Q1673"/>
    <mergeCell ref="N1674:Q1674"/>
    <mergeCell ref="N1663:Q1663"/>
    <mergeCell ref="N1664:Q1664"/>
    <mergeCell ref="N1665:Q1665"/>
    <mergeCell ref="N1666:Q1666"/>
    <mergeCell ref="N1667:Q1667"/>
    <mergeCell ref="N1668:Q1668"/>
    <mergeCell ref="N1657:Q1657"/>
    <mergeCell ref="N1658:Q1658"/>
    <mergeCell ref="N1659:Q1659"/>
    <mergeCell ref="N1660:Q1660"/>
    <mergeCell ref="N1661:Q1661"/>
    <mergeCell ref="N1662:Q1662"/>
    <mergeCell ref="N1651:Q1651"/>
    <mergeCell ref="N1652:Q1652"/>
    <mergeCell ref="N1653:Q1653"/>
    <mergeCell ref="N1654:Q1654"/>
    <mergeCell ref="N1655:Q1655"/>
    <mergeCell ref="N1656:Q1656"/>
    <mergeCell ref="N1645:Q1645"/>
    <mergeCell ref="N1646:Q1646"/>
    <mergeCell ref="N1647:Q1647"/>
    <mergeCell ref="N1648:Q1648"/>
    <mergeCell ref="N1649:Q1649"/>
    <mergeCell ref="N1650:Q1650"/>
    <mergeCell ref="N1639:Q1639"/>
    <mergeCell ref="N1640:Q1640"/>
    <mergeCell ref="N1641:Q1641"/>
    <mergeCell ref="N1642:Q1642"/>
    <mergeCell ref="N1643:Q1643"/>
    <mergeCell ref="N1644:Q1644"/>
    <mergeCell ref="N1633:Q1633"/>
    <mergeCell ref="N1634:Q1634"/>
    <mergeCell ref="N1635:Q1635"/>
    <mergeCell ref="N1636:Q1636"/>
    <mergeCell ref="N1637:Q1637"/>
    <mergeCell ref="N1638:Q1638"/>
    <mergeCell ref="N1627:Q1627"/>
    <mergeCell ref="N1628:Q1628"/>
    <mergeCell ref="N1629:Q1629"/>
    <mergeCell ref="N1630:Q1630"/>
    <mergeCell ref="N1631:Q1631"/>
    <mergeCell ref="N1632:Q1632"/>
    <mergeCell ref="N1616:Q1616"/>
    <mergeCell ref="N1622:Q1622"/>
    <mergeCell ref="N1623:Q1623"/>
    <mergeCell ref="N1624:Q1624"/>
    <mergeCell ref="N1625:Q1625"/>
    <mergeCell ref="N1626:Q1626"/>
    <mergeCell ref="N1609:Q1609"/>
    <mergeCell ref="N1611:Q1611"/>
    <mergeCell ref="N1612:Q1612"/>
    <mergeCell ref="N1613:Q1613"/>
    <mergeCell ref="N1614:Q1614"/>
    <mergeCell ref="N1615:Q1615"/>
    <mergeCell ref="N1603:Q1603"/>
    <mergeCell ref="N1604:Q1604"/>
    <mergeCell ref="N1605:Q1605"/>
    <mergeCell ref="N1606:Q1606"/>
    <mergeCell ref="N1607:Q1607"/>
    <mergeCell ref="N1608:Q1608"/>
    <mergeCell ref="N1597:Q1597"/>
    <mergeCell ref="N1598:Q1598"/>
    <mergeCell ref="N1599:Q1599"/>
    <mergeCell ref="N1600:Q1600"/>
    <mergeCell ref="N1601:Q1601"/>
    <mergeCell ref="N1602:Q1602"/>
    <mergeCell ref="N1591:Q1591"/>
    <mergeCell ref="N1592:Q1592"/>
    <mergeCell ref="N1593:Q1593"/>
    <mergeCell ref="N1594:Q1594"/>
    <mergeCell ref="N1595:Q1595"/>
    <mergeCell ref="N1596:Q1596"/>
    <mergeCell ref="N1585:Q1585"/>
    <mergeCell ref="N1586:Q1586"/>
    <mergeCell ref="N1587:Q1587"/>
    <mergeCell ref="N1588:Q1588"/>
    <mergeCell ref="N1589:Q1589"/>
    <mergeCell ref="N1590:Q1590"/>
    <mergeCell ref="N1579:Q1579"/>
    <mergeCell ref="N1580:Q1580"/>
    <mergeCell ref="N1581:Q1581"/>
    <mergeCell ref="N1582:Q1582"/>
    <mergeCell ref="N1583:Q1583"/>
    <mergeCell ref="N1584:Q1584"/>
    <mergeCell ref="N1573:Q1573"/>
    <mergeCell ref="N1574:Q1574"/>
    <mergeCell ref="N1575:Q1575"/>
    <mergeCell ref="N1576:Q1576"/>
    <mergeCell ref="N1577:Q1577"/>
    <mergeCell ref="N1578:Q1578"/>
    <mergeCell ref="N1567:Q1567"/>
    <mergeCell ref="N1568:Q1568"/>
    <mergeCell ref="N1569:Q1569"/>
    <mergeCell ref="N1570:Q1570"/>
    <mergeCell ref="N1571:Q1571"/>
    <mergeCell ref="N1572:Q1572"/>
    <mergeCell ref="N1561:Q1561"/>
    <mergeCell ref="N1562:Q1562"/>
    <mergeCell ref="N1563:Q1563"/>
    <mergeCell ref="N1564:Q1564"/>
    <mergeCell ref="N1565:Q1565"/>
    <mergeCell ref="N1566:Q1566"/>
    <mergeCell ref="N1555:Q1555"/>
    <mergeCell ref="N1556:Q1556"/>
    <mergeCell ref="N1557:Q1557"/>
    <mergeCell ref="N1558:Q1558"/>
    <mergeCell ref="N1559:Q1559"/>
    <mergeCell ref="N1560:Q1560"/>
    <mergeCell ref="N1549:Q1549"/>
    <mergeCell ref="N1550:Q1550"/>
    <mergeCell ref="N1551:Q1551"/>
    <mergeCell ref="N1552:Q1552"/>
    <mergeCell ref="N1553:Q1553"/>
    <mergeCell ref="N1554:Q1554"/>
    <mergeCell ref="N1543:Q1543"/>
    <mergeCell ref="N1544:Q1544"/>
    <mergeCell ref="N1545:Q1545"/>
    <mergeCell ref="N1546:Q1546"/>
    <mergeCell ref="N1547:Q1547"/>
    <mergeCell ref="N1548:Q1548"/>
    <mergeCell ref="N1537:Q1537"/>
    <mergeCell ref="N1538:Q1538"/>
    <mergeCell ref="N1539:Q1539"/>
    <mergeCell ref="N1540:Q1540"/>
    <mergeCell ref="N1541:Q1541"/>
    <mergeCell ref="N1542:Q1542"/>
    <mergeCell ref="N1531:Q1531"/>
    <mergeCell ref="N1532:Q1532"/>
    <mergeCell ref="N1533:Q1533"/>
    <mergeCell ref="N1534:Q1534"/>
    <mergeCell ref="N1535:Q1535"/>
    <mergeCell ref="N1536:Q1536"/>
    <mergeCell ref="N1525:Q1525"/>
    <mergeCell ref="N1526:Q1526"/>
    <mergeCell ref="N1527:Q1527"/>
    <mergeCell ref="N1528:Q1528"/>
    <mergeCell ref="N1529:Q1529"/>
    <mergeCell ref="N1530:Q1530"/>
    <mergeCell ref="N1519:Q1519"/>
    <mergeCell ref="N1520:Q1520"/>
    <mergeCell ref="N1521:Q1521"/>
    <mergeCell ref="N1522:Q1522"/>
    <mergeCell ref="N1523:Q1523"/>
    <mergeCell ref="N1524:Q1524"/>
    <mergeCell ref="N1513:Q1513"/>
    <mergeCell ref="N1514:Q1514"/>
    <mergeCell ref="N1515:Q1515"/>
    <mergeCell ref="N1516:Q1516"/>
    <mergeCell ref="N1517:Q1517"/>
    <mergeCell ref="N1518:Q1518"/>
    <mergeCell ref="N1507:Q1507"/>
    <mergeCell ref="N1508:Q1508"/>
    <mergeCell ref="N1509:Q1509"/>
    <mergeCell ref="N1510:Q1510"/>
    <mergeCell ref="N1511:Q1511"/>
    <mergeCell ref="N1512:Q1512"/>
    <mergeCell ref="N1501:Q1501"/>
    <mergeCell ref="N1502:Q1502"/>
    <mergeCell ref="N1503:Q1503"/>
    <mergeCell ref="N1504:Q1504"/>
    <mergeCell ref="N1505:Q1505"/>
    <mergeCell ref="N1506:Q1506"/>
    <mergeCell ref="N1495:Q1495"/>
    <mergeCell ref="N1496:Q1496"/>
    <mergeCell ref="N1497:Q1497"/>
    <mergeCell ref="N1498:Q1498"/>
    <mergeCell ref="N1499:Q1499"/>
    <mergeCell ref="N1500:Q1500"/>
    <mergeCell ref="N1489:Q1489"/>
    <mergeCell ref="N1490:Q1490"/>
    <mergeCell ref="N1491:Q1491"/>
    <mergeCell ref="N1492:Q1492"/>
    <mergeCell ref="N1493:Q1493"/>
    <mergeCell ref="N1494:Q1494"/>
    <mergeCell ref="N1483:Q1483"/>
    <mergeCell ref="N1484:Q1484"/>
    <mergeCell ref="N1485:Q1485"/>
    <mergeCell ref="N1486:Q1486"/>
    <mergeCell ref="N1487:Q1487"/>
    <mergeCell ref="N1488:Q1488"/>
    <mergeCell ref="N1477:Q1477"/>
    <mergeCell ref="N1478:Q1478"/>
    <mergeCell ref="N1479:Q1479"/>
    <mergeCell ref="N1480:Q1480"/>
    <mergeCell ref="N1481:Q1481"/>
    <mergeCell ref="N1482:Q1482"/>
    <mergeCell ref="N1471:Q1471"/>
    <mergeCell ref="N1472:Q1472"/>
    <mergeCell ref="N1473:Q1473"/>
    <mergeCell ref="N1474:Q1474"/>
    <mergeCell ref="N1475:Q1475"/>
    <mergeCell ref="N1476:Q1476"/>
    <mergeCell ref="N1465:Q1465"/>
    <mergeCell ref="N1466:Q1466"/>
    <mergeCell ref="N1467:Q1467"/>
    <mergeCell ref="N1468:Q1468"/>
    <mergeCell ref="N1469:Q1469"/>
    <mergeCell ref="N1470:Q1470"/>
    <mergeCell ref="N1459:Q1459"/>
    <mergeCell ref="N1460:Q1460"/>
    <mergeCell ref="N1461:Q1461"/>
    <mergeCell ref="N1462:Q1462"/>
    <mergeCell ref="N1463:Q1463"/>
    <mergeCell ref="N1464:Q1464"/>
    <mergeCell ref="N1453:Q1453"/>
    <mergeCell ref="N1454:Q1454"/>
    <mergeCell ref="N1455:Q1455"/>
    <mergeCell ref="N1456:Q1456"/>
    <mergeCell ref="N1457:Q1457"/>
    <mergeCell ref="N1458:Q1458"/>
    <mergeCell ref="N1447:Q1447"/>
    <mergeCell ref="N1448:Q1448"/>
    <mergeCell ref="N1449:Q1449"/>
    <mergeCell ref="N1450:Q1450"/>
    <mergeCell ref="N1451:Q1451"/>
    <mergeCell ref="N1452:Q1452"/>
    <mergeCell ref="N1441:Q1441"/>
    <mergeCell ref="N1442:Q1442"/>
    <mergeCell ref="N1443:Q1443"/>
    <mergeCell ref="N1444:Q1444"/>
    <mergeCell ref="N1445:Q1445"/>
    <mergeCell ref="N1446:Q1446"/>
    <mergeCell ref="N1435:Q1435"/>
    <mergeCell ref="N1436:Q1436"/>
    <mergeCell ref="N1437:Q1437"/>
    <mergeCell ref="N1438:Q1438"/>
    <mergeCell ref="N1439:Q1439"/>
    <mergeCell ref="N1440:Q1440"/>
    <mergeCell ref="N1429:Q1429"/>
    <mergeCell ref="N1430:Q1430"/>
    <mergeCell ref="N1431:Q1431"/>
    <mergeCell ref="N1432:Q1432"/>
    <mergeCell ref="N1433:Q1433"/>
    <mergeCell ref="N1434:Q1434"/>
    <mergeCell ref="N1423:Q1423"/>
    <mergeCell ref="N1424:Q1424"/>
    <mergeCell ref="N1425:Q1425"/>
    <mergeCell ref="N1426:Q1426"/>
    <mergeCell ref="N1427:Q1427"/>
    <mergeCell ref="N1428:Q1428"/>
    <mergeCell ref="N1417:Q1417"/>
    <mergeCell ref="N1418:Q1418"/>
    <mergeCell ref="N1419:Q1419"/>
    <mergeCell ref="N1420:Q1420"/>
    <mergeCell ref="N1421:Q1421"/>
    <mergeCell ref="N1422:Q1422"/>
    <mergeCell ref="N1411:Q1411"/>
    <mergeCell ref="N1412:Q1412"/>
    <mergeCell ref="N1413:Q1413"/>
    <mergeCell ref="N1414:Q1414"/>
    <mergeCell ref="N1415:Q1415"/>
    <mergeCell ref="N1416:Q1416"/>
    <mergeCell ref="N1405:Q1405"/>
    <mergeCell ref="N1406:Q1406"/>
    <mergeCell ref="N1407:Q1407"/>
    <mergeCell ref="N1408:Q1408"/>
    <mergeCell ref="N1409:Q1409"/>
    <mergeCell ref="N1410:Q1410"/>
    <mergeCell ref="N1394:Q1394"/>
    <mergeCell ref="N1395:Q1395"/>
    <mergeCell ref="N1397:Q1397"/>
    <mergeCell ref="N1401:Q1401"/>
    <mergeCell ref="N1396:Q1396"/>
    <mergeCell ref="N1399:Q1399"/>
    <mergeCell ref="N1398:Q1398"/>
    <mergeCell ref="N1388:Q1388"/>
    <mergeCell ref="N1389:Q1389"/>
    <mergeCell ref="N1390:Q1390"/>
    <mergeCell ref="N1391:Q1391"/>
    <mergeCell ref="N1392:Q1392"/>
    <mergeCell ref="N1393:Q1393"/>
    <mergeCell ref="N1382:Q1382"/>
    <mergeCell ref="N1383:Q1383"/>
    <mergeCell ref="N1384:Q1384"/>
    <mergeCell ref="N1385:Q1385"/>
    <mergeCell ref="N1386:Q1386"/>
    <mergeCell ref="N1387:Q1387"/>
    <mergeCell ref="N1376:Q1376"/>
    <mergeCell ref="N1377:Q1377"/>
    <mergeCell ref="N1378:Q1378"/>
    <mergeCell ref="N1379:Q1379"/>
    <mergeCell ref="N1380:Q1380"/>
    <mergeCell ref="N1381:Q1381"/>
    <mergeCell ref="N1370:Q1370"/>
    <mergeCell ref="N1371:Q1371"/>
    <mergeCell ref="N1372:Q1372"/>
    <mergeCell ref="N1373:Q1373"/>
    <mergeCell ref="N1374:Q1374"/>
    <mergeCell ref="N1375:Q1375"/>
    <mergeCell ref="N1364:Q1364"/>
    <mergeCell ref="N1365:Q1365"/>
    <mergeCell ref="N1366:Q1366"/>
    <mergeCell ref="N1367:Q1367"/>
    <mergeCell ref="N1368:Q1368"/>
    <mergeCell ref="N1369:Q1369"/>
    <mergeCell ref="N1358:Q1358"/>
    <mergeCell ref="N1359:Q1359"/>
    <mergeCell ref="N1360:Q1360"/>
    <mergeCell ref="N1361:Q1361"/>
    <mergeCell ref="N1362:Q1362"/>
    <mergeCell ref="N1363:Q1363"/>
    <mergeCell ref="N1352:Q1352"/>
    <mergeCell ref="N1353:Q1353"/>
    <mergeCell ref="N1354:Q1354"/>
    <mergeCell ref="N1355:Q1355"/>
    <mergeCell ref="N1356:Q1356"/>
    <mergeCell ref="N1357:Q1357"/>
    <mergeCell ref="N1346:Q1346"/>
    <mergeCell ref="N1347:Q1347"/>
    <mergeCell ref="N1348:Q1348"/>
    <mergeCell ref="N1349:Q1349"/>
    <mergeCell ref="N1350:Q1350"/>
    <mergeCell ref="N1351:Q1351"/>
    <mergeCell ref="N1340:Q1340"/>
    <mergeCell ref="N1341:Q1341"/>
    <mergeCell ref="N1342:Q1342"/>
    <mergeCell ref="N1343:Q1343"/>
    <mergeCell ref="N1344:Q1344"/>
    <mergeCell ref="N1345:Q1345"/>
    <mergeCell ref="N1334:Q1334"/>
    <mergeCell ref="N1335:Q1335"/>
    <mergeCell ref="N1336:Q1336"/>
    <mergeCell ref="N1337:Q1337"/>
    <mergeCell ref="N1338:Q1338"/>
    <mergeCell ref="N1339:Q1339"/>
    <mergeCell ref="N1328:Q1328"/>
    <mergeCell ref="N1329:Q1329"/>
    <mergeCell ref="N1330:Q1330"/>
    <mergeCell ref="N1331:Q1331"/>
    <mergeCell ref="N1332:Q1332"/>
    <mergeCell ref="N1333:Q1333"/>
    <mergeCell ref="N1322:Q1322"/>
    <mergeCell ref="N1323:Q1323"/>
    <mergeCell ref="N1324:Q1324"/>
    <mergeCell ref="N1325:Q1325"/>
    <mergeCell ref="N1326:Q1326"/>
    <mergeCell ref="N1327:Q1327"/>
    <mergeCell ref="N1316:Q1316"/>
    <mergeCell ref="N1317:Q1317"/>
    <mergeCell ref="N1318:Q1318"/>
    <mergeCell ref="N1319:Q1319"/>
    <mergeCell ref="N1320:Q1320"/>
    <mergeCell ref="N1321:Q1321"/>
    <mergeCell ref="N1310:Q1310"/>
    <mergeCell ref="N1311:Q1311"/>
    <mergeCell ref="N1312:Q1312"/>
    <mergeCell ref="N1313:Q1313"/>
    <mergeCell ref="N1314:Q1314"/>
    <mergeCell ref="N1315:Q1315"/>
    <mergeCell ref="N1304:Q1304"/>
    <mergeCell ref="N1305:Q1305"/>
    <mergeCell ref="N1306:Q1306"/>
    <mergeCell ref="N1307:Q1307"/>
    <mergeCell ref="N1308:Q1308"/>
    <mergeCell ref="N1309:Q1309"/>
    <mergeCell ref="N1298:Q1298"/>
    <mergeCell ref="N1299:Q1299"/>
    <mergeCell ref="N1300:Q1300"/>
    <mergeCell ref="N1301:Q1301"/>
    <mergeCell ref="N1302:Q1302"/>
    <mergeCell ref="N1303:Q1303"/>
    <mergeCell ref="N1292:Q1292"/>
    <mergeCell ref="N1293:Q1293"/>
    <mergeCell ref="N1294:Q1294"/>
    <mergeCell ref="N1295:Q1295"/>
    <mergeCell ref="N1296:Q1296"/>
    <mergeCell ref="N1297:Q1297"/>
    <mergeCell ref="N1286:Q1286"/>
    <mergeCell ref="N1287:Q1287"/>
    <mergeCell ref="N1288:Q1288"/>
    <mergeCell ref="N1289:Q1289"/>
    <mergeCell ref="N1290:Q1290"/>
    <mergeCell ref="N1291:Q1291"/>
    <mergeCell ref="N1280:Q1280"/>
    <mergeCell ref="N1281:Q1281"/>
    <mergeCell ref="N1282:Q1282"/>
    <mergeCell ref="N1283:Q1283"/>
    <mergeCell ref="N1284:Q1284"/>
    <mergeCell ref="N1285:Q1285"/>
    <mergeCell ref="N1274:Q1274"/>
    <mergeCell ref="N1275:Q1275"/>
    <mergeCell ref="N1276:Q1276"/>
    <mergeCell ref="N1277:Q1277"/>
    <mergeCell ref="N1278:Q1278"/>
    <mergeCell ref="N1279:Q1279"/>
    <mergeCell ref="N1268:Q1268"/>
    <mergeCell ref="N1269:Q1269"/>
    <mergeCell ref="N1270:Q1270"/>
    <mergeCell ref="N1271:Q1271"/>
    <mergeCell ref="N1272:Q1272"/>
    <mergeCell ref="N1273:Q1273"/>
    <mergeCell ref="N1262:Q1262"/>
    <mergeCell ref="N1263:Q1263"/>
    <mergeCell ref="N1264:Q1264"/>
    <mergeCell ref="N1265:Q1265"/>
    <mergeCell ref="N1266:Q1266"/>
    <mergeCell ref="N1267:Q1267"/>
    <mergeCell ref="N1256:Q1256"/>
    <mergeCell ref="N1257:Q1257"/>
    <mergeCell ref="N1258:Q1258"/>
    <mergeCell ref="N1259:Q1259"/>
    <mergeCell ref="N1260:Q1260"/>
    <mergeCell ref="N1261:Q1261"/>
    <mergeCell ref="N1250:Q1250"/>
    <mergeCell ref="N1251:Q1251"/>
    <mergeCell ref="N1252:Q1252"/>
    <mergeCell ref="N1253:Q1253"/>
    <mergeCell ref="N1254:Q1254"/>
    <mergeCell ref="N1255:Q1255"/>
    <mergeCell ref="N1244:Q1244"/>
    <mergeCell ref="N1245:Q1245"/>
    <mergeCell ref="N1246:Q1246"/>
    <mergeCell ref="N1247:Q1247"/>
    <mergeCell ref="N1248:Q1248"/>
    <mergeCell ref="N1249:Q1249"/>
    <mergeCell ref="N1238:Q1238"/>
    <mergeCell ref="N1239:Q1239"/>
    <mergeCell ref="N1240:Q1240"/>
    <mergeCell ref="N1241:Q1241"/>
    <mergeCell ref="N1242:Q1242"/>
    <mergeCell ref="N1243:Q1243"/>
    <mergeCell ref="N1232:Q1232"/>
    <mergeCell ref="N1233:Q1233"/>
    <mergeCell ref="N1234:Q1234"/>
    <mergeCell ref="N1235:Q1235"/>
    <mergeCell ref="N1236:Q1236"/>
    <mergeCell ref="N1237:Q1237"/>
    <mergeCell ref="N1226:Q1226"/>
    <mergeCell ref="N1227:Q1227"/>
    <mergeCell ref="N1228:Q1228"/>
    <mergeCell ref="N1229:Q1229"/>
    <mergeCell ref="N1230:Q1230"/>
    <mergeCell ref="N1231:Q1231"/>
    <mergeCell ref="N1220:Q1220"/>
    <mergeCell ref="N1221:Q1221"/>
    <mergeCell ref="N1222:Q1222"/>
    <mergeCell ref="N1223:Q1223"/>
    <mergeCell ref="N1224:Q1224"/>
    <mergeCell ref="N1225:Q1225"/>
    <mergeCell ref="N1214:Q1214"/>
    <mergeCell ref="N1215:Q1215"/>
    <mergeCell ref="N1216:Q1216"/>
    <mergeCell ref="N1217:Q1217"/>
    <mergeCell ref="N1218:Q1218"/>
    <mergeCell ref="N1219:Q1219"/>
    <mergeCell ref="N1208:Q1208"/>
    <mergeCell ref="N1209:Q1209"/>
    <mergeCell ref="N1210:Q1210"/>
    <mergeCell ref="N1211:Q1211"/>
    <mergeCell ref="N1212:Q1212"/>
    <mergeCell ref="N1213:Q1213"/>
    <mergeCell ref="N1202:Q1202"/>
    <mergeCell ref="N1203:Q1203"/>
    <mergeCell ref="N1204:Q1204"/>
    <mergeCell ref="N1205:Q1205"/>
    <mergeCell ref="N1206:Q1206"/>
    <mergeCell ref="N1207:Q1207"/>
    <mergeCell ref="N1196:Q1196"/>
    <mergeCell ref="N1197:Q1197"/>
    <mergeCell ref="N1198:Q1198"/>
    <mergeCell ref="N1199:Q1199"/>
    <mergeCell ref="N1200:Q1200"/>
    <mergeCell ref="N1201:Q1201"/>
    <mergeCell ref="N1190:Q1190"/>
    <mergeCell ref="N1191:Q1191"/>
    <mergeCell ref="N1192:Q1192"/>
    <mergeCell ref="N1193:Q1193"/>
    <mergeCell ref="N1194:Q1194"/>
    <mergeCell ref="N1195:Q1195"/>
    <mergeCell ref="N1184:Q1184"/>
    <mergeCell ref="N1185:Q1185"/>
    <mergeCell ref="N1186:Q1186"/>
    <mergeCell ref="N1187:Q1187"/>
    <mergeCell ref="N1188:Q1188"/>
    <mergeCell ref="N1189:Q1189"/>
    <mergeCell ref="N1178:Q1178"/>
    <mergeCell ref="N1179:Q1179"/>
    <mergeCell ref="N1180:Q1180"/>
    <mergeCell ref="N1181:Q1181"/>
    <mergeCell ref="N1182:Q1182"/>
    <mergeCell ref="N1183:Q1183"/>
    <mergeCell ref="N1172:Q1172"/>
    <mergeCell ref="N1173:Q1173"/>
    <mergeCell ref="N1174:Q1174"/>
    <mergeCell ref="N1175:Q1175"/>
    <mergeCell ref="N1176:Q1176"/>
    <mergeCell ref="N1177:Q1177"/>
    <mergeCell ref="N1166:Q1166"/>
    <mergeCell ref="N1167:Q1167"/>
    <mergeCell ref="N1168:Q1168"/>
    <mergeCell ref="N1169:Q1169"/>
    <mergeCell ref="N1170:Q1170"/>
    <mergeCell ref="N1171:Q1171"/>
    <mergeCell ref="N1160:Q1160"/>
    <mergeCell ref="N1161:Q1161"/>
    <mergeCell ref="N1162:Q1162"/>
    <mergeCell ref="N1163:Q1163"/>
    <mergeCell ref="N1164:Q1164"/>
    <mergeCell ref="N1165:Q1165"/>
    <mergeCell ref="N1154:Q1154"/>
    <mergeCell ref="N1155:Q1155"/>
    <mergeCell ref="N1156:Q1156"/>
    <mergeCell ref="N1157:Q1157"/>
    <mergeCell ref="N1158:Q1158"/>
    <mergeCell ref="N1159:Q1159"/>
    <mergeCell ref="N1148:Q1148"/>
    <mergeCell ref="N1149:Q1149"/>
    <mergeCell ref="N1150:Q1150"/>
    <mergeCell ref="N1151:Q1151"/>
    <mergeCell ref="N1152:Q1152"/>
    <mergeCell ref="N1153:Q1153"/>
    <mergeCell ref="N1142:Q1142"/>
    <mergeCell ref="N1143:Q1143"/>
    <mergeCell ref="N1144:Q1144"/>
    <mergeCell ref="N1145:Q1145"/>
    <mergeCell ref="N1146:Q1146"/>
    <mergeCell ref="N1147:Q1147"/>
    <mergeCell ref="N1136:Q1136"/>
    <mergeCell ref="N1137:Q1137"/>
    <mergeCell ref="N1138:Q1138"/>
    <mergeCell ref="N1139:Q1139"/>
    <mergeCell ref="N1140:Q1140"/>
    <mergeCell ref="N1141:Q1141"/>
    <mergeCell ref="N1130:Q1130"/>
    <mergeCell ref="N1131:Q1131"/>
    <mergeCell ref="N1132:Q1132"/>
    <mergeCell ref="N1133:Q1133"/>
    <mergeCell ref="N1134:Q1134"/>
    <mergeCell ref="N1135:Q1135"/>
    <mergeCell ref="N1124:Q1124"/>
    <mergeCell ref="N1125:Q1125"/>
    <mergeCell ref="N1126:Q1126"/>
    <mergeCell ref="N1127:Q1127"/>
    <mergeCell ref="N1128:Q1128"/>
    <mergeCell ref="N1129:Q1129"/>
    <mergeCell ref="N1118:Q1118"/>
    <mergeCell ref="N1119:Q1119"/>
    <mergeCell ref="N1120:Q1120"/>
    <mergeCell ref="N1121:Q1121"/>
    <mergeCell ref="N1122:Q1122"/>
    <mergeCell ref="N1123:Q1123"/>
    <mergeCell ref="N1112:Q1112"/>
    <mergeCell ref="N1113:Q1113"/>
    <mergeCell ref="N1114:Q1114"/>
    <mergeCell ref="N1115:Q1115"/>
    <mergeCell ref="N1116:Q1116"/>
    <mergeCell ref="N1117:Q1117"/>
    <mergeCell ref="N1106:Q1106"/>
    <mergeCell ref="N1107:Q1107"/>
    <mergeCell ref="N1108:Q1108"/>
    <mergeCell ref="N1109:Q1109"/>
    <mergeCell ref="N1110:Q1110"/>
    <mergeCell ref="N1111:Q1111"/>
    <mergeCell ref="N1100:Q1100"/>
    <mergeCell ref="N1101:Q1101"/>
    <mergeCell ref="N1102:Q1102"/>
    <mergeCell ref="N1103:Q1103"/>
    <mergeCell ref="N1104:Q1104"/>
    <mergeCell ref="N1105:Q1105"/>
    <mergeCell ref="N1094:Q1094"/>
    <mergeCell ref="N1095:Q1095"/>
    <mergeCell ref="N1096:Q1096"/>
    <mergeCell ref="N1097:Q1097"/>
    <mergeCell ref="N1098:Q1098"/>
    <mergeCell ref="N1099:Q1099"/>
    <mergeCell ref="N1088:Q1088"/>
    <mergeCell ref="N1089:Q1089"/>
    <mergeCell ref="N1090:Q1090"/>
    <mergeCell ref="N1091:Q1091"/>
    <mergeCell ref="N1092:Q1092"/>
    <mergeCell ref="N1093:Q1093"/>
    <mergeCell ref="N1083:Q1083"/>
    <mergeCell ref="N1084:Q1084"/>
    <mergeCell ref="N1085:Q1085"/>
    <mergeCell ref="N1086:Q1086"/>
    <mergeCell ref="N1087:Q1087"/>
    <mergeCell ref="N1076:Q1076"/>
    <mergeCell ref="N1077:Q1077"/>
    <mergeCell ref="N1078:Q1078"/>
    <mergeCell ref="N1079:Q1079"/>
    <mergeCell ref="N1080:Q1080"/>
    <mergeCell ref="N1081:Q1081"/>
    <mergeCell ref="N1070:Q1070"/>
    <mergeCell ref="N1071:Q1071"/>
    <mergeCell ref="N1072:Q1072"/>
    <mergeCell ref="N1073:Q1073"/>
    <mergeCell ref="N1074:Q1074"/>
    <mergeCell ref="N1075:Q1075"/>
    <mergeCell ref="N1066:Q1066"/>
    <mergeCell ref="N1067:Q1067"/>
    <mergeCell ref="N1068:Q1068"/>
    <mergeCell ref="N1069:Q1069"/>
    <mergeCell ref="N1058:Q1058"/>
    <mergeCell ref="N1059:Q1059"/>
    <mergeCell ref="N1060:Q1060"/>
    <mergeCell ref="N1061:Q1061"/>
    <mergeCell ref="N1062:Q1062"/>
    <mergeCell ref="N1063:Q1063"/>
    <mergeCell ref="N1052:Q1052"/>
    <mergeCell ref="N1053:Q1053"/>
    <mergeCell ref="N1054:Q1054"/>
    <mergeCell ref="N1055:Q1055"/>
    <mergeCell ref="N1056:Q1056"/>
    <mergeCell ref="N1057:Q1057"/>
    <mergeCell ref="N1082:Q1082"/>
    <mergeCell ref="N1041:Q1041"/>
    <mergeCell ref="N1047:Q1047"/>
    <mergeCell ref="N1048:Q1048"/>
    <mergeCell ref="N1049:Q1049"/>
    <mergeCell ref="N1050:Q1050"/>
    <mergeCell ref="N1051:Q1051"/>
    <mergeCell ref="N1035:Q1035"/>
    <mergeCell ref="N1036:Q1036"/>
    <mergeCell ref="N1037:Q1037"/>
    <mergeCell ref="N1038:Q1038"/>
    <mergeCell ref="N1039:Q1039"/>
    <mergeCell ref="N1040:Q1040"/>
    <mergeCell ref="N1029:Q1029"/>
    <mergeCell ref="N1030:Q1030"/>
    <mergeCell ref="N1031:Q1031"/>
    <mergeCell ref="N1032:Q1032"/>
    <mergeCell ref="N1033:Q1033"/>
    <mergeCell ref="N1034:Q1034"/>
    <mergeCell ref="N1042:Q1042"/>
    <mergeCell ref="N1043:Q1043"/>
    <mergeCell ref="N1044:Q1044"/>
    <mergeCell ref="N1023:Q1023"/>
    <mergeCell ref="N1024:Q1024"/>
    <mergeCell ref="N1025:Q1025"/>
    <mergeCell ref="N1026:Q1026"/>
    <mergeCell ref="N1027:Q1027"/>
    <mergeCell ref="N1028:Q1028"/>
    <mergeCell ref="N1017:Q1017"/>
    <mergeCell ref="N1018:Q1018"/>
    <mergeCell ref="N1019:Q1019"/>
    <mergeCell ref="N1020:Q1020"/>
    <mergeCell ref="N1021:Q1021"/>
    <mergeCell ref="N1022:Q1022"/>
    <mergeCell ref="N1011:Q1011"/>
    <mergeCell ref="N1012:Q1012"/>
    <mergeCell ref="N1013:Q1013"/>
    <mergeCell ref="N1014:Q1014"/>
    <mergeCell ref="N1015:Q1015"/>
    <mergeCell ref="N1016:Q1016"/>
    <mergeCell ref="N1005:Q1005"/>
    <mergeCell ref="N1006:Q1006"/>
    <mergeCell ref="N1007:Q1007"/>
    <mergeCell ref="N1008:Q1008"/>
    <mergeCell ref="N1009:Q1009"/>
    <mergeCell ref="N1010:Q1010"/>
    <mergeCell ref="N999:Q999"/>
    <mergeCell ref="N1000:Q1000"/>
    <mergeCell ref="N1001:Q1001"/>
    <mergeCell ref="N1002:Q1002"/>
    <mergeCell ref="N1003:Q1003"/>
    <mergeCell ref="N1004:Q1004"/>
    <mergeCell ref="N993:Q993"/>
    <mergeCell ref="N994:Q994"/>
    <mergeCell ref="N995:Q995"/>
    <mergeCell ref="N996:Q996"/>
    <mergeCell ref="N997:Q997"/>
    <mergeCell ref="N998:Q998"/>
    <mergeCell ref="N987:Q987"/>
    <mergeCell ref="N988:Q988"/>
    <mergeCell ref="N989:Q989"/>
    <mergeCell ref="N990:Q990"/>
    <mergeCell ref="N991:Q991"/>
    <mergeCell ref="N992:Q992"/>
    <mergeCell ref="N981:Q981"/>
    <mergeCell ref="N982:Q982"/>
    <mergeCell ref="N983:Q983"/>
    <mergeCell ref="N984:Q984"/>
    <mergeCell ref="N985:Q985"/>
    <mergeCell ref="N986:Q986"/>
    <mergeCell ref="N975:Q975"/>
    <mergeCell ref="N976:Q976"/>
    <mergeCell ref="N977:Q977"/>
    <mergeCell ref="N978:Q978"/>
    <mergeCell ref="N979:Q979"/>
    <mergeCell ref="N980:Q980"/>
    <mergeCell ref="N969:Q969"/>
    <mergeCell ref="N970:Q970"/>
    <mergeCell ref="N971:Q971"/>
    <mergeCell ref="N972:Q972"/>
    <mergeCell ref="N973:Q973"/>
    <mergeCell ref="N974:Q974"/>
    <mergeCell ref="N963:Q963"/>
    <mergeCell ref="N964:Q964"/>
    <mergeCell ref="N965:Q965"/>
    <mergeCell ref="N966:Q966"/>
    <mergeCell ref="N967:Q967"/>
    <mergeCell ref="N968:Q968"/>
    <mergeCell ref="N957:Q957"/>
    <mergeCell ref="N958:Q958"/>
    <mergeCell ref="N959:Q959"/>
    <mergeCell ref="N960:Q960"/>
    <mergeCell ref="N961:Q961"/>
    <mergeCell ref="N962:Q962"/>
    <mergeCell ref="N951:Q951"/>
    <mergeCell ref="N952:Q952"/>
    <mergeCell ref="N953:Q953"/>
    <mergeCell ref="N954:Q954"/>
    <mergeCell ref="N955:Q955"/>
    <mergeCell ref="N956:Q956"/>
    <mergeCell ref="N945:Q945"/>
    <mergeCell ref="N946:Q946"/>
    <mergeCell ref="N947:Q947"/>
    <mergeCell ref="N948:Q948"/>
    <mergeCell ref="N949:Q949"/>
    <mergeCell ref="N950:Q950"/>
    <mergeCell ref="N939:Q939"/>
    <mergeCell ref="N940:Q940"/>
    <mergeCell ref="N941:Q941"/>
    <mergeCell ref="N942:Q942"/>
    <mergeCell ref="N943:Q943"/>
    <mergeCell ref="N944:Q944"/>
    <mergeCell ref="N933:Q933"/>
    <mergeCell ref="N934:Q934"/>
    <mergeCell ref="N935:Q935"/>
    <mergeCell ref="N936:Q936"/>
    <mergeCell ref="N937:Q937"/>
    <mergeCell ref="N938:Q938"/>
    <mergeCell ref="N927:Q927"/>
    <mergeCell ref="N928:Q928"/>
    <mergeCell ref="N929:Q929"/>
    <mergeCell ref="N930:Q930"/>
    <mergeCell ref="N931:Q931"/>
    <mergeCell ref="N932:Q932"/>
    <mergeCell ref="N921:Q921"/>
    <mergeCell ref="N922:Q922"/>
    <mergeCell ref="N923:Q923"/>
    <mergeCell ref="N924:Q924"/>
    <mergeCell ref="N925:Q925"/>
    <mergeCell ref="N926:Q926"/>
    <mergeCell ref="N915:Q915"/>
    <mergeCell ref="N916:Q916"/>
    <mergeCell ref="N917:Q917"/>
    <mergeCell ref="N918:Q918"/>
    <mergeCell ref="N919:Q919"/>
    <mergeCell ref="N920:Q920"/>
    <mergeCell ref="N909:Q909"/>
    <mergeCell ref="N910:Q910"/>
    <mergeCell ref="N911:Q911"/>
    <mergeCell ref="N912:Q912"/>
    <mergeCell ref="N913:Q913"/>
    <mergeCell ref="N914:Q914"/>
    <mergeCell ref="N903:Q903"/>
    <mergeCell ref="N904:Q904"/>
    <mergeCell ref="N905:Q905"/>
    <mergeCell ref="N906:Q906"/>
    <mergeCell ref="N907:Q907"/>
    <mergeCell ref="N908:Q908"/>
    <mergeCell ref="N897:Q897"/>
    <mergeCell ref="N898:Q898"/>
    <mergeCell ref="N899:Q899"/>
    <mergeCell ref="N900:Q900"/>
    <mergeCell ref="N901:Q901"/>
    <mergeCell ref="N902:Q902"/>
    <mergeCell ref="N891:Q891"/>
    <mergeCell ref="N892:Q892"/>
    <mergeCell ref="N893:Q893"/>
    <mergeCell ref="N894:Q894"/>
    <mergeCell ref="N895:Q895"/>
    <mergeCell ref="N896:Q896"/>
    <mergeCell ref="N885:Q885"/>
    <mergeCell ref="N886:Q886"/>
    <mergeCell ref="N887:Q887"/>
    <mergeCell ref="N888:Q888"/>
    <mergeCell ref="N889:Q889"/>
    <mergeCell ref="N890:Q890"/>
    <mergeCell ref="N879:Q879"/>
    <mergeCell ref="N880:Q880"/>
    <mergeCell ref="N881:Q881"/>
    <mergeCell ref="N882:Q882"/>
    <mergeCell ref="N883:Q883"/>
    <mergeCell ref="N884:Q884"/>
    <mergeCell ref="N873:Q873"/>
    <mergeCell ref="N874:Q874"/>
    <mergeCell ref="N875:Q875"/>
    <mergeCell ref="N876:Q876"/>
    <mergeCell ref="N877:Q877"/>
    <mergeCell ref="N878:Q878"/>
    <mergeCell ref="N867:Q867"/>
    <mergeCell ref="N868:Q868"/>
    <mergeCell ref="N869:Q869"/>
    <mergeCell ref="N870:Q870"/>
    <mergeCell ref="N871:Q871"/>
    <mergeCell ref="N872:Q872"/>
    <mergeCell ref="N861:Q861"/>
    <mergeCell ref="N862:Q862"/>
    <mergeCell ref="N863:Q863"/>
    <mergeCell ref="N864:Q864"/>
    <mergeCell ref="N865:Q865"/>
    <mergeCell ref="N866:Q866"/>
    <mergeCell ref="N855:Q855"/>
    <mergeCell ref="N856:Q856"/>
    <mergeCell ref="N857:Q857"/>
    <mergeCell ref="N858:Q858"/>
    <mergeCell ref="N859:Q859"/>
    <mergeCell ref="N860:Q860"/>
    <mergeCell ref="N849:Q849"/>
    <mergeCell ref="N850:Q850"/>
    <mergeCell ref="N851:Q851"/>
    <mergeCell ref="N852:Q852"/>
    <mergeCell ref="N853:Q853"/>
    <mergeCell ref="N854:Q854"/>
    <mergeCell ref="N843:Q843"/>
    <mergeCell ref="N844:Q844"/>
    <mergeCell ref="N845:Q845"/>
    <mergeCell ref="N846:Q846"/>
    <mergeCell ref="N847:Q847"/>
    <mergeCell ref="N848:Q848"/>
    <mergeCell ref="N837:Q837"/>
    <mergeCell ref="N838:Q838"/>
    <mergeCell ref="N839:Q839"/>
    <mergeCell ref="N840:Q840"/>
    <mergeCell ref="N841:Q841"/>
    <mergeCell ref="N842:Q842"/>
    <mergeCell ref="N831:Q831"/>
    <mergeCell ref="N832:Q832"/>
    <mergeCell ref="N833:Q833"/>
    <mergeCell ref="N834:Q834"/>
    <mergeCell ref="N835:Q835"/>
    <mergeCell ref="N836:Q836"/>
    <mergeCell ref="N825:Q825"/>
    <mergeCell ref="N826:Q826"/>
    <mergeCell ref="N827:Q827"/>
    <mergeCell ref="N828:Q828"/>
    <mergeCell ref="N829:Q829"/>
    <mergeCell ref="N830:Q830"/>
    <mergeCell ref="N819:Q819"/>
    <mergeCell ref="N820:Q820"/>
    <mergeCell ref="N821:Q821"/>
    <mergeCell ref="N822:Q822"/>
    <mergeCell ref="N823:Q823"/>
    <mergeCell ref="N824:Q824"/>
    <mergeCell ref="N813:Q813"/>
    <mergeCell ref="N814:Q814"/>
    <mergeCell ref="N815:Q815"/>
    <mergeCell ref="N816:Q816"/>
    <mergeCell ref="N817:Q817"/>
    <mergeCell ref="N818:Q818"/>
    <mergeCell ref="N807:Q807"/>
    <mergeCell ref="N808:Q808"/>
    <mergeCell ref="N809:Q809"/>
    <mergeCell ref="N810:Q810"/>
    <mergeCell ref="N811:Q811"/>
    <mergeCell ref="N812:Q812"/>
    <mergeCell ref="N801:Q801"/>
    <mergeCell ref="N802:Q802"/>
    <mergeCell ref="N803:Q803"/>
    <mergeCell ref="N804:Q804"/>
    <mergeCell ref="N805:Q805"/>
    <mergeCell ref="N806:Q806"/>
    <mergeCell ref="N795:Q795"/>
    <mergeCell ref="N796:Q796"/>
    <mergeCell ref="N797:Q797"/>
    <mergeCell ref="N798:Q798"/>
    <mergeCell ref="N799:Q799"/>
    <mergeCell ref="N800:Q800"/>
    <mergeCell ref="N789:Q789"/>
    <mergeCell ref="N790:Q790"/>
    <mergeCell ref="N791:Q791"/>
    <mergeCell ref="N792:Q792"/>
    <mergeCell ref="N793:Q793"/>
    <mergeCell ref="N794:Q794"/>
    <mergeCell ref="N783:Q783"/>
    <mergeCell ref="N784:Q784"/>
    <mergeCell ref="N785:Q785"/>
    <mergeCell ref="N786:Q786"/>
    <mergeCell ref="N787:Q787"/>
    <mergeCell ref="N788:Q788"/>
    <mergeCell ref="N777:Q777"/>
    <mergeCell ref="N778:Q778"/>
    <mergeCell ref="N779:Q779"/>
    <mergeCell ref="N780:Q780"/>
    <mergeCell ref="N781:Q781"/>
    <mergeCell ref="N782:Q782"/>
    <mergeCell ref="N771:Q771"/>
    <mergeCell ref="N772:Q772"/>
    <mergeCell ref="N773:Q773"/>
    <mergeCell ref="N774:Q774"/>
    <mergeCell ref="N775:Q775"/>
    <mergeCell ref="N776:Q776"/>
    <mergeCell ref="N765:Q765"/>
    <mergeCell ref="N766:Q766"/>
    <mergeCell ref="N767:Q767"/>
    <mergeCell ref="N768:Q768"/>
    <mergeCell ref="N769:Q769"/>
    <mergeCell ref="N770:Q770"/>
    <mergeCell ref="N759:Q759"/>
    <mergeCell ref="N760:Q760"/>
    <mergeCell ref="N761:Q761"/>
    <mergeCell ref="N762:Q762"/>
    <mergeCell ref="N763:Q763"/>
    <mergeCell ref="N764:Q764"/>
    <mergeCell ref="N753:Q753"/>
    <mergeCell ref="N754:Q754"/>
    <mergeCell ref="N755:Q755"/>
    <mergeCell ref="N756:Q756"/>
    <mergeCell ref="N757:Q757"/>
    <mergeCell ref="N758:Q758"/>
    <mergeCell ref="N747:Q747"/>
    <mergeCell ref="N748:Q748"/>
    <mergeCell ref="N749:Q749"/>
    <mergeCell ref="N750:Q750"/>
    <mergeCell ref="N751:Q751"/>
    <mergeCell ref="N752:Q752"/>
    <mergeCell ref="N741:Q741"/>
    <mergeCell ref="N742:Q742"/>
    <mergeCell ref="N743:Q743"/>
    <mergeCell ref="N744:Q744"/>
    <mergeCell ref="N745:Q745"/>
    <mergeCell ref="N746:Q746"/>
    <mergeCell ref="N735:Q735"/>
    <mergeCell ref="N736:Q736"/>
    <mergeCell ref="N737:Q737"/>
    <mergeCell ref="N738:Q738"/>
    <mergeCell ref="N739:Q739"/>
    <mergeCell ref="N740:Q740"/>
    <mergeCell ref="N729:Q729"/>
    <mergeCell ref="N730:Q730"/>
    <mergeCell ref="N731:Q731"/>
    <mergeCell ref="N732:Q732"/>
    <mergeCell ref="N733:Q733"/>
    <mergeCell ref="N734:Q734"/>
    <mergeCell ref="N723:Q723"/>
    <mergeCell ref="N724:Q724"/>
    <mergeCell ref="N725:Q725"/>
    <mergeCell ref="N726:Q726"/>
    <mergeCell ref="N727:Q727"/>
    <mergeCell ref="N728:Q728"/>
    <mergeCell ref="N717:Q717"/>
    <mergeCell ref="N718:Q718"/>
    <mergeCell ref="N719:Q719"/>
    <mergeCell ref="N720:Q720"/>
    <mergeCell ref="N721:Q721"/>
    <mergeCell ref="N722:Q722"/>
    <mergeCell ref="N711:Q711"/>
    <mergeCell ref="N712:Q712"/>
    <mergeCell ref="N713:Q713"/>
    <mergeCell ref="N714:Q714"/>
    <mergeCell ref="N715:Q715"/>
    <mergeCell ref="N716:Q716"/>
    <mergeCell ref="N705:Q705"/>
    <mergeCell ref="N706:Q706"/>
    <mergeCell ref="N707:Q707"/>
    <mergeCell ref="N708:Q708"/>
    <mergeCell ref="N709:Q709"/>
    <mergeCell ref="N710:Q710"/>
    <mergeCell ref="N699:Q699"/>
    <mergeCell ref="N700:Q700"/>
    <mergeCell ref="N701:Q701"/>
    <mergeCell ref="N702:Q702"/>
    <mergeCell ref="N703:Q703"/>
    <mergeCell ref="N704:Q704"/>
    <mergeCell ref="N693:Q693"/>
    <mergeCell ref="N694:Q694"/>
    <mergeCell ref="N695:Q695"/>
    <mergeCell ref="N696:Q696"/>
    <mergeCell ref="N697:Q697"/>
    <mergeCell ref="N698:Q698"/>
    <mergeCell ref="N687:Q687"/>
    <mergeCell ref="N688:Q688"/>
    <mergeCell ref="N689:Q689"/>
    <mergeCell ref="N690:Q690"/>
    <mergeCell ref="N691:Q691"/>
    <mergeCell ref="N692:Q692"/>
    <mergeCell ref="N681:Q681"/>
    <mergeCell ref="N682:Q682"/>
    <mergeCell ref="N683:Q683"/>
    <mergeCell ref="N684:Q684"/>
    <mergeCell ref="N685:Q685"/>
    <mergeCell ref="N686:Q686"/>
    <mergeCell ref="N675:Q675"/>
    <mergeCell ref="N676:Q676"/>
    <mergeCell ref="N677:Q677"/>
    <mergeCell ref="N678:Q678"/>
    <mergeCell ref="N679:Q679"/>
    <mergeCell ref="N680:Q680"/>
    <mergeCell ref="N669:Q669"/>
    <mergeCell ref="N670:Q670"/>
    <mergeCell ref="N671:Q671"/>
    <mergeCell ref="N672:Q672"/>
    <mergeCell ref="N673:Q673"/>
    <mergeCell ref="N674:Q674"/>
    <mergeCell ref="N663:Q663"/>
    <mergeCell ref="N664:Q664"/>
    <mergeCell ref="N665:Q665"/>
    <mergeCell ref="N666:Q666"/>
    <mergeCell ref="N667:Q667"/>
    <mergeCell ref="N668:Q668"/>
    <mergeCell ref="N657:Q657"/>
    <mergeCell ref="N658:Q658"/>
    <mergeCell ref="N659:Q659"/>
    <mergeCell ref="N660:Q660"/>
    <mergeCell ref="N661:Q661"/>
    <mergeCell ref="N662:Q662"/>
    <mergeCell ref="N651:Q651"/>
    <mergeCell ref="N652:Q652"/>
    <mergeCell ref="N653:Q653"/>
    <mergeCell ref="N654:Q654"/>
    <mergeCell ref="N655:Q655"/>
    <mergeCell ref="N656:Q656"/>
    <mergeCell ref="N645:Q645"/>
    <mergeCell ref="N646:Q646"/>
    <mergeCell ref="N647:Q647"/>
    <mergeCell ref="N648:Q648"/>
    <mergeCell ref="N649:Q649"/>
    <mergeCell ref="N650:Q650"/>
    <mergeCell ref="N639:Q639"/>
    <mergeCell ref="N640:Q640"/>
    <mergeCell ref="N641:Q641"/>
    <mergeCell ref="N642:Q642"/>
    <mergeCell ref="N643:Q643"/>
    <mergeCell ref="N644:Q644"/>
    <mergeCell ref="N633:Q633"/>
    <mergeCell ref="N634:Q634"/>
    <mergeCell ref="N635:Q635"/>
    <mergeCell ref="N636:Q636"/>
    <mergeCell ref="N637:Q637"/>
    <mergeCell ref="N638:Q638"/>
    <mergeCell ref="N627:Q627"/>
    <mergeCell ref="N628:Q628"/>
    <mergeCell ref="N629:Q629"/>
    <mergeCell ref="N630:Q630"/>
    <mergeCell ref="N631:Q631"/>
    <mergeCell ref="N632:Q632"/>
    <mergeCell ref="N621:Q621"/>
    <mergeCell ref="N622:Q622"/>
    <mergeCell ref="N623:Q623"/>
    <mergeCell ref="N624:Q624"/>
    <mergeCell ref="N625:Q625"/>
    <mergeCell ref="N626:Q626"/>
    <mergeCell ref="N615:Q615"/>
    <mergeCell ref="N616:Q616"/>
    <mergeCell ref="N617:Q617"/>
    <mergeCell ref="N618:Q618"/>
    <mergeCell ref="N619:Q619"/>
    <mergeCell ref="N620:Q620"/>
    <mergeCell ref="N609:Q609"/>
    <mergeCell ref="N610:Q610"/>
    <mergeCell ref="N611:Q611"/>
    <mergeCell ref="N612:Q612"/>
    <mergeCell ref="N613:Q613"/>
    <mergeCell ref="N614:Q614"/>
    <mergeCell ref="N603:Q603"/>
    <mergeCell ref="N604:Q604"/>
    <mergeCell ref="N605:Q605"/>
    <mergeCell ref="N606:Q606"/>
    <mergeCell ref="N607:Q607"/>
    <mergeCell ref="N608:Q608"/>
    <mergeCell ref="N597:Q597"/>
    <mergeCell ref="N598:Q598"/>
    <mergeCell ref="N599:Q599"/>
    <mergeCell ref="N600:Q600"/>
    <mergeCell ref="N601:Q601"/>
    <mergeCell ref="N602:Q602"/>
    <mergeCell ref="N591:Q591"/>
    <mergeCell ref="N592:Q592"/>
    <mergeCell ref="N593:Q593"/>
    <mergeCell ref="N594:Q594"/>
    <mergeCell ref="N595:Q595"/>
    <mergeCell ref="N596:Q596"/>
    <mergeCell ref="N585:Q585"/>
    <mergeCell ref="N586:Q586"/>
    <mergeCell ref="N587:Q587"/>
    <mergeCell ref="N588:Q588"/>
    <mergeCell ref="N589:Q589"/>
    <mergeCell ref="N590:Q590"/>
    <mergeCell ref="N579:Q579"/>
    <mergeCell ref="N580:Q580"/>
    <mergeCell ref="N581:Q581"/>
    <mergeCell ref="N582:Q582"/>
    <mergeCell ref="N583:Q583"/>
    <mergeCell ref="N584:Q584"/>
    <mergeCell ref="N573:Q573"/>
    <mergeCell ref="N574:Q574"/>
    <mergeCell ref="N575:Q575"/>
    <mergeCell ref="N576:Q576"/>
    <mergeCell ref="N577:Q577"/>
    <mergeCell ref="N578:Q578"/>
    <mergeCell ref="N567:Q567"/>
    <mergeCell ref="N568:Q568"/>
    <mergeCell ref="N569:Q569"/>
    <mergeCell ref="N570:Q570"/>
    <mergeCell ref="N571:Q571"/>
    <mergeCell ref="N572:Q572"/>
    <mergeCell ref="N561:Q561"/>
    <mergeCell ref="N562:Q562"/>
    <mergeCell ref="N563:Q563"/>
    <mergeCell ref="N564:Q564"/>
    <mergeCell ref="N565:Q565"/>
    <mergeCell ref="N566:Q566"/>
    <mergeCell ref="N553:Q553"/>
    <mergeCell ref="N554:Q554"/>
    <mergeCell ref="N557:Q557"/>
    <mergeCell ref="N558:Q558"/>
    <mergeCell ref="N559:Q559"/>
    <mergeCell ref="N560:Q560"/>
    <mergeCell ref="N547:Q547"/>
    <mergeCell ref="N548:Q548"/>
    <mergeCell ref="N549:Q549"/>
    <mergeCell ref="N550:Q550"/>
    <mergeCell ref="N551:Q551"/>
    <mergeCell ref="N552:Q552"/>
    <mergeCell ref="N541:Q541"/>
    <mergeCell ref="N542:Q542"/>
    <mergeCell ref="N543:Q543"/>
    <mergeCell ref="N544:Q544"/>
    <mergeCell ref="N545:Q545"/>
    <mergeCell ref="N546:Q546"/>
    <mergeCell ref="N535:Q535"/>
    <mergeCell ref="N536:Q536"/>
    <mergeCell ref="N537:Q537"/>
    <mergeCell ref="N538:Q538"/>
    <mergeCell ref="N539:Q539"/>
    <mergeCell ref="N540:Q540"/>
    <mergeCell ref="N529:Q529"/>
    <mergeCell ref="N530:Q530"/>
    <mergeCell ref="N531:Q531"/>
    <mergeCell ref="N532:Q532"/>
    <mergeCell ref="N533:Q533"/>
    <mergeCell ref="N534:Q534"/>
    <mergeCell ref="N523:Q523"/>
    <mergeCell ref="N524:Q524"/>
    <mergeCell ref="N525:Q525"/>
    <mergeCell ref="N526:Q526"/>
    <mergeCell ref="N527:Q527"/>
    <mergeCell ref="N528:Q528"/>
    <mergeCell ref="N517:Q517"/>
    <mergeCell ref="N518:Q518"/>
    <mergeCell ref="N519:Q519"/>
    <mergeCell ref="N520:Q520"/>
    <mergeCell ref="N521:Q521"/>
    <mergeCell ref="N522:Q522"/>
    <mergeCell ref="N511:Q511"/>
    <mergeCell ref="N512:Q512"/>
    <mergeCell ref="N513:Q513"/>
    <mergeCell ref="N514:Q514"/>
    <mergeCell ref="N515:Q515"/>
    <mergeCell ref="N516:Q516"/>
    <mergeCell ref="N505:Q505"/>
    <mergeCell ref="N506:Q506"/>
    <mergeCell ref="N507:Q507"/>
    <mergeCell ref="N508:Q508"/>
    <mergeCell ref="N509:Q509"/>
    <mergeCell ref="N510:Q510"/>
    <mergeCell ref="N499:Q499"/>
    <mergeCell ref="N500:Q500"/>
    <mergeCell ref="N501:Q501"/>
    <mergeCell ref="N502:Q502"/>
    <mergeCell ref="N503:Q503"/>
    <mergeCell ref="N504:Q504"/>
    <mergeCell ref="N493:Q493"/>
    <mergeCell ref="N494:Q494"/>
    <mergeCell ref="N495:Q495"/>
    <mergeCell ref="N496:Q496"/>
    <mergeCell ref="N497:Q497"/>
    <mergeCell ref="N498:Q498"/>
    <mergeCell ref="N487:Q487"/>
    <mergeCell ref="N488:Q488"/>
    <mergeCell ref="N489:Q489"/>
    <mergeCell ref="N490:Q490"/>
    <mergeCell ref="N491:Q491"/>
    <mergeCell ref="N492:Q492"/>
    <mergeCell ref="N481:Q481"/>
    <mergeCell ref="N482:Q482"/>
    <mergeCell ref="N483:Q483"/>
    <mergeCell ref="N484:Q484"/>
    <mergeCell ref="N485:Q485"/>
    <mergeCell ref="N486:Q486"/>
    <mergeCell ref="N475:Q475"/>
    <mergeCell ref="N476:Q476"/>
    <mergeCell ref="N477:Q477"/>
    <mergeCell ref="N478:Q478"/>
    <mergeCell ref="N479:Q479"/>
    <mergeCell ref="N480:Q480"/>
    <mergeCell ref="N469:Q469"/>
    <mergeCell ref="N470:Q470"/>
    <mergeCell ref="N471:Q471"/>
    <mergeCell ref="N472:Q472"/>
    <mergeCell ref="N473:Q473"/>
    <mergeCell ref="N474:Q474"/>
    <mergeCell ref="N463:Q463"/>
    <mergeCell ref="N464:Q464"/>
    <mergeCell ref="N465:Q465"/>
    <mergeCell ref="N466:Q466"/>
    <mergeCell ref="N467:Q467"/>
    <mergeCell ref="N468:Q468"/>
    <mergeCell ref="N457:Q457"/>
    <mergeCell ref="N458:Q458"/>
    <mergeCell ref="N459:Q459"/>
    <mergeCell ref="N460:Q460"/>
    <mergeCell ref="N461:Q461"/>
    <mergeCell ref="N462:Q462"/>
    <mergeCell ref="N451:Q451"/>
    <mergeCell ref="N452:Q452"/>
    <mergeCell ref="N453:Q453"/>
    <mergeCell ref="N454:Q454"/>
    <mergeCell ref="N455:Q455"/>
    <mergeCell ref="N456:Q456"/>
    <mergeCell ref="N445:Q445"/>
    <mergeCell ref="N446:Q446"/>
    <mergeCell ref="N447:Q447"/>
    <mergeCell ref="N448:Q448"/>
    <mergeCell ref="N449:Q449"/>
    <mergeCell ref="N450:Q450"/>
    <mergeCell ref="N439:Q439"/>
    <mergeCell ref="N440:Q440"/>
    <mergeCell ref="N441:Q441"/>
    <mergeCell ref="N442:Q442"/>
    <mergeCell ref="N443:Q443"/>
    <mergeCell ref="N444:Q444"/>
    <mergeCell ref="N433:Q433"/>
    <mergeCell ref="N434:Q434"/>
    <mergeCell ref="N435:Q435"/>
    <mergeCell ref="N436:Q436"/>
    <mergeCell ref="N437:Q437"/>
    <mergeCell ref="N438:Q438"/>
    <mergeCell ref="N427:Q427"/>
    <mergeCell ref="N428:Q428"/>
    <mergeCell ref="N429:Q429"/>
    <mergeCell ref="N430:Q430"/>
    <mergeCell ref="N431:Q431"/>
    <mergeCell ref="N432:Q432"/>
    <mergeCell ref="N421:Q421"/>
    <mergeCell ref="N422:Q422"/>
    <mergeCell ref="N423:Q423"/>
    <mergeCell ref="N424:Q424"/>
    <mergeCell ref="N425:Q425"/>
    <mergeCell ref="N426:Q426"/>
    <mergeCell ref="N415:Q415"/>
    <mergeCell ref="N416:Q416"/>
    <mergeCell ref="N417:Q417"/>
    <mergeCell ref="N418:Q418"/>
    <mergeCell ref="N419:Q419"/>
    <mergeCell ref="N420:Q420"/>
    <mergeCell ref="N409:Q409"/>
    <mergeCell ref="N410:Q410"/>
    <mergeCell ref="N411:Q411"/>
    <mergeCell ref="N412:Q412"/>
    <mergeCell ref="N413:Q413"/>
    <mergeCell ref="N414:Q414"/>
    <mergeCell ref="N403:Q403"/>
    <mergeCell ref="N404:Q404"/>
    <mergeCell ref="N405:Q405"/>
    <mergeCell ref="N406:Q406"/>
    <mergeCell ref="N407:Q407"/>
    <mergeCell ref="N408:Q408"/>
    <mergeCell ref="N397:Q397"/>
    <mergeCell ref="N398:Q398"/>
    <mergeCell ref="N399:Q399"/>
    <mergeCell ref="N400:Q400"/>
    <mergeCell ref="N401:Q401"/>
    <mergeCell ref="N402:Q402"/>
    <mergeCell ref="N391:Q391"/>
    <mergeCell ref="N392:Q392"/>
    <mergeCell ref="N393:Q393"/>
    <mergeCell ref="N394:Q394"/>
    <mergeCell ref="N395:Q395"/>
    <mergeCell ref="N396:Q396"/>
    <mergeCell ref="N385:Q385"/>
    <mergeCell ref="N386:Q386"/>
    <mergeCell ref="N387:Q387"/>
    <mergeCell ref="N388:Q388"/>
    <mergeCell ref="N389:Q389"/>
    <mergeCell ref="N390:Q390"/>
    <mergeCell ref="N379:Q379"/>
    <mergeCell ref="N380:Q380"/>
    <mergeCell ref="N381:Q381"/>
    <mergeCell ref="N382:Q382"/>
    <mergeCell ref="N383:Q383"/>
    <mergeCell ref="N384:Q384"/>
    <mergeCell ref="N373:Q373"/>
    <mergeCell ref="N374:Q374"/>
    <mergeCell ref="N375:Q375"/>
    <mergeCell ref="N376:Q376"/>
    <mergeCell ref="N377:Q377"/>
    <mergeCell ref="N378:Q378"/>
    <mergeCell ref="N367:Q367"/>
    <mergeCell ref="N368:Q368"/>
    <mergeCell ref="N369:Q369"/>
    <mergeCell ref="N370:Q370"/>
    <mergeCell ref="N371:Q371"/>
    <mergeCell ref="N372:Q372"/>
    <mergeCell ref="N361:Q361"/>
    <mergeCell ref="N362:Q362"/>
    <mergeCell ref="N363:Q363"/>
    <mergeCell ref="N364:Q364"/>
    <mergeCell ref="N365:Q365"/>
    <mergeCell ref="N366:Q366"/>
    <mergeCell ref="N355:Q355"/>
    <mergeCell ref="N356:Q356"/>
    <mergeCell ref="N357:Q357"/>
    <mergeCell ref="N358:Q358"/>
    <mergeCell ref="N359:Q359"/>
    <mergeCell ref="N360:Q360"/>
    <mergeCell ref="N349:Q349"/>
    <mergeCell ref="N350:Q350"/>
    <mergeCell ref="N351:Q351"/>
    <mergeCell ref="N352:Q352"/>
    <mergeCell ref="N353:Q353"/>
    <mergeCell ref="N354:Q354"/>
    <mergeCell ref="N343:Q343"/>
    <mergeCell ref="N344:Q344"/>
    <mergeCell ref="N345:Q345"/>
    <mergeCell ref="N346:Q346"/>
    <mergeCell ref="N347:Q347"/>
    <mergeCell ref="N348:Q348"/>
    <mergeCell ref="N337:Q337"/>
    <mergeCell ref="N338:Q338"/>
    <mergeCell ref="N339:Q339"/>
    <mergeCell ref="N340:Q340"/>
    <mergeCell ref="N341:Q341"/>
    <mergeCell ref="N342:Q342"/>
    <mergeCell ref="N331:Q331"/>
    <mergeCell ref="N332:Q332"/>
    <mergeCell ref="N333:Q333"/>
    <mergeCell ref="N334:Q334"/>
    <mergeCell ref="N335:Q335"/>
    <mergeCell ref="N336:Q336"/>
    <mergeCell ref="N325:Q325"/>
    <mergeCell ref="N326:Q326"/>
    <mergeCell ref="N327:Q327"/>
    <mergeCell ref="N328:Q328"/>
    <mergeCell ref="N329:Q329"/>
    <mergeCell ref="N330:Q330"/>
    <mergeCell ref="N319:Q319"/>
    <mergeCell ref="N320:Q320"/>
    <mergeCell ref="N321:Q321"/>
    <mergeCell ref="N322:Q322"/>
    <mergeCell ref="N323:Q323"/>
    <mergeCell ref="N324:Q324"/>
    <mergeCell ref="N313:Q313"/>
    <mergeCell ref="N314:Q314"/>
    <mergeCell ref="N315:Q315"/>
    <mergeCell ref="N316:Q316"/>
    <mergeCell ref="N317:Q317"/>
    <mergeCell ref="N318:Q318"/>
    <mergeCell ref="N307:Q307"/>
    <mergeCell ref="N308:Q308"/>
    <mergeCell ref="N309:Q309"/>
    <mergeCell ref="N310:Q310"/>
    <mergeCell ref="N311:Q311"/>
    <mergeCell ref="N312:Q312"/>
    <mergeCell ref="N301:Q301"/>
    <mergeCell ref="N302:Q302"/>
    <mergeCell ref="N303:Q303"/>
    <mergeCell ref="N304:Q304"/>
    <mergeCell ref="N305:Q305"/>
    <mergeCell ref="N306:Q306"/>
    <mergeCell ref="N295:Q295"/>
    <mergeCell ref="N296:Q296"/>
    <mergeCell ref="N297:Q297"/>
    <mergeCell ref="N298:Q298"/>
    <mergeCell ref="N299:Q299"/>
    <mergeCell ref="N300:Q300"/>
    <mergeCell ref="N289:Q289"/>
    <mergeCell ref="N290:Q290"/>
    <mergeCell ref="N291:Q291"/>
    <mergeCell ref="N292:Q292"/>
    <mergeCell ref="N293:Q293"/>
    <mergeCell ref="N294:Q294"/>
    <mergeCell ref="N283:Q283"/>
    <mergeCell ref="N284:Q284"/>
    <mergeCell ref="N285:Q285"/>
    <mergeCell ref="N286:Q286"/>
    <mergeCell ref="N287:Q287"/>
    <mergeCell ref="N288:Q288"/>
    <mergeCell ref="N277:Q277"/>
    <mergeCell ref="N278:Q278"/>
    <mergeCell ref="N279:Q279"/>
    <mergeCell ref="N280:Q280"/>
    <mergeCell ref="N281:Q281"/>
    <mergeCell ref="N282:Q282"/>
    <mergeCell ref="N271:Q271"/>
    <mergeCell ref="N272:Q272"/>
    <mergeCell ref="N273:Q273"/>
    <mergeCell ref="N274:Q274"/>
    <mergeCell ref="N275:Q275"/>
    <mergeCell ref="N276:Q276"/>
    <mergeCell ref="N265:Q265"/>
    <mergeCell ref="N266:Q266"/>
    <mergeCell ref="N267:Q267"/>
    <mergeCell ref="N268:Q268"/>
    <mergeCell ref="N269:Q269"/>
    <mergeCell ref="N270:Q270"/>
    <mergeCell ref="N259:Q259"/>
    <mergeCell ref="N260:Q260"/>
    <mergeCell ref="N261:Q261"/>
    <mergeCell ref="N262:Q262"/>
    <mergeCell ref="N263:Q263"/>
    <mergeCell ref="N264:Q264"/>
    <mergeCell ref="N253:Q253"/>
    <mergeCell ref="N254:Q254"/>
    <mergeCell ref="N255:Q255"/>
    <mergeCell ref="N256:Q256"/>
    <mergeCell ref="N257:Q257"/>
    <mergeCell ref="N258:Q258"/>
    <mergeCell ref="N247:Q247"/>
    <mergeCell ref="N248:Q248"/>
    <mergeCell ref="N249:Q249"/>
    <mergeCell ref="N250:Q250"/>
    <mergeCell ref="N251:Q251"/>
    <mergeCell ref="N252:Q252"/>
    <mergeCell ref="N241:Q241"/>
    <mergeCell ref="N242:Q242"/>
    <mergeCell ref="N243:Q243"/>
    <mergeCell ref="N244:Q244"/>
    <mergeCell ref="N245:Q245"/>
    <mergeCell ref="N246:Q246"/>
    <mergeCell ref="N235:Q235"/>
    <mergeCell ref="N236:Q236"/>
    <mergeCell ref="N237:Q237"/>
    <mergeCell ref="N238:Q238"/>
    <mergeCell ref="N239:Q239"/>
    <mergeCell ref="N240:Q240"/>
    <mergeCell ref="N229:Q229"/>
    <mergeCell ref="N230:Q230"/>
    <mergeCell ref="N231:Q231"/>
    <mergeCell ref="N232:Q232"/>
    <mergeCell ref="N233:Q233"/>
    <mergeCell ref="N234:Q234"/>
    <mergeCell ref="N223:Q223"/>
    <mergeCell ref="N224:Q224"/>
    <mergeCell ref="N225:Q225"/>
    <mergeCell ref="N226:Q226"/>
    <mergeCell ref="N227:Q227"/>
    <mergeCell ref="N228:Q228"/>
    <mergeCell ref="N217:Q217"/>
    <mergeCell ref="N218:Q218"/>
    <mergeCell ref="N219:Q219"/>
    <mergeCell ref="N220:Q220"/>
    <mergeCell ref="N221:Q221"/>
    <mergeCell ref="N222:Q222"/>
    <mergeCell ref="N211:Q211"/>
    <mergeCell ref="N212:Q212"/>
    <mergeCell ref="N213:Q213"/>
    <mergeCell ref="N214:Q214"/>
    <mergeCell ref="N215:Q215"/>
    <mergeCell ref="N216:Q216"/>
    <mergeCell ref="N205:Q205"/>
    <mergeCell ref="N206:Q206"/>
    <mergeCell ref="N207:Q207"/>
    <mergeCell ref="N208:Q208"/>
    <mergeCell ref="N209:Q209"/>
    <mergeCell ref="N210:Q210"/>
    <mergeCell ref="N199:Q199"/>
    <mergeCell ref="N200:Q200"/>
    <mergeCell ref="N201:Q201"/>
    <mergeCell ref="N202:Q202"/>
    <mergeCell ref="N203:Q203"/>
    <mergeCell ref="N204:Q204"/>
    <mergeCell ref="N193:Q193"/>
    <mergeCell ref="N194:Q194"/>
    <mergeCell ref="N195:Q195"/>
    <mergeCell ref="N196:Q196"/>
    <mergeCell ref="N197:Q197"/>
    <mergeCell ref="N198:Q198"/>
    <mergeCell ref="N187:Q187"/>
    <mergeCell ref="N188:Q188"/>
    <mergeCell ref="N189:Q189"/>
    <mergeCell ref="N190:Q190"/>
    <mergeCell ref="N191:Q191"/>
    <mergeCell ref="N192:Q192"/>
    <mergeCell ref="N181:Q181"/>
    <mergeCell ref="N182:Q182"/>
    <mergeCell ref="N183:Q183"/>
    <mergeCell ref="N184:Q184"/>
    <mergeCell ref="N185:Q185"/>
    <mergeCell ref="N186:Q186"/>
    <mergeCell ref="N175:Q175"/>
    <mergeCell ref="N176:Q176"/>
    <mergeCell ref="N177:Q177"/>
    <mergeCell ref="N178:Q178"/>
    <mergeCell ref="N179:Q179"/>
    <mergeCell ref="N180:Q180"/>
    <mergeCell ref="N169:Q169"/>
    <mergeCell ref="N170:Q170"/>
    <mergeCell ref="N171:Q171"/>
    <mergeCell ref="N172:Q172"/>
    <mergeCell ref="N173:Q173"/>
    <mergeCell ref="N174:Q174"/>
    <mergeCell ref="N163:Q163"/>
    <mergeCell ref="N164:Q164"/>
    <mergeCell ref="N165:Q165"/>
    <mergeCell ref="N166:Q166"/>
    <mergeCell ref="N167:Q167"/>
    <mergeCell ref="N168:Q168"/>
    <mergeCell ref="N157:Q157"/>
    <mergeCell ref="N158:Q158"/>
    <mergeCell ref="N159:Q159"/>
    <mergeCell ref="N160:Q160"/>
    <mergeCell ref="N161:Q161"/>
    <mergeCell ref="N162:Q162"/>
    <mergeCell ref="N151:Q151"/>
    <mergeCell ref="N152:Q152"/>
    <mergeCell ref="N153:Q153"/>
    <mergeCell ref="N154:Q154"/>
    <mergeCell ref="N155:Q155"/>
    <mergeCell ref="N156:Q156"/>
    <mergeCell ref="N145:Q145"/>
    <mergeCell ref="N146:Q146"/>
    <mergeCell ref="N147:Q147"/>
    <mergeCell ref="N148:Q148"/>
    <mergeCell ref="N149:Q149"/>
    <mergeCell ref="N150:Q150"/>
    <mergeCell ref="N139:Q139"/>
    <mergeCell ref="N140:Q140"/>
    <mergeCell ref="N141:Q141"/>
    <mergeCell ref="N142:Q142"/>
    <mergeCell ref="N143:Q143"/>
    <mergeCell ref="N144:Q144"/>
    <mergeCell ref="N133:Q133"/>
    <mergeCell ref="N134:Q134"/>
    <mergeCell ref="N135:Q135"/>
    <mergeCell ref="N136:Q136"/>
    <mergeCell ref="N137:Q137"/>
    <mergeCell ref="N138:Q138"/>
    <mergeCell ref="N127:Q127"/>
    <mergeCell ref="N128:Q128"/>
    <mergeCell ref="N129:Q129"/>
    <mergeCell ref="N130:Q130"/>
    <mergeCell ref="N131:Q131"/>
    <mergeCell ref="N132:Q132"/>
    <mergeCell ref="N121:Q121"/>
    <mergeCell ref="N122:Q122"/>
    <mergeCell ref="N123:Q123"/>
    <mergeCell ref="N124:Q124"/>
    <mergeCell ref="N125:Q125"/>
    <mergeCell ref="N126:Q126"/>
    <mergeCell ref="N115:Q115"/>
    <mergeCell ref="N116:Q116"/>
    <mergeCell ref="N117:Q117"/>
    <mergeCell ref="N118:Q118"/>
    <mergeCell ref="N119:Q119"/>
    <mergeCell ref="N120:Q120"/>
    <mergeCell ref="N109:Q109"/>
    <mergeCell ref="N110:Q110"/>
    <mergeCell ref="N111:Q111"/>
    <mergeCell ref="N112:Q112"/>
    <mergeCell ref="N113:Q113"/>
    <mergeCell ref="N114:Q114"/>
    <mergeCell ref="N103:Q103"/>
    <mergeCell ref="N104:Q104"/>
    <mergeCell ref="N105:Q105"/>
    <mergeCell ref="N106:Q106"/>
    <mergeCell ref="N107:Q107"/>
    <mergeCell ref="N108:Q108"/>
    <mergeCell ref="N97:Q97"/>
    <mergeCell ref="N98:Q98"/>
    <mergeCell ref="N99:Q99"/>
    <mergeCell ref="N100:Q100"/>
    <mergeCell ref="N101:Q101"/>
    <mergeCell ref="N102:Q102"/>
    <mergeCell ref="N91:Q91"/>
    <mergeCell ref="N92:Q92"/>
    <mergeCell ref="N93:Q93"/>
    <mergeCell ref="N94:Q94"/>
    <mergeCell ref="N95:Q95"/>
    <mergeCell ref="N96:Q96"/>
    <mergeCell ref="N85:Q85"/>
    <mergeCell ref="N86:Q86"/>
    <mergeCell ref="N87:Q87"/>
    <mergeCell ref="N88:Q88"/>
    <mergeCell ref="N89:Q89"/>
    <mergeCell ref="N90:Q90"/>
    <mergeCell ref="N79:Q79"/>
    <mergeCell ref="N80:Q80"/>
    <mergeCell ref="N81:Q81"/>
    <mergeCell ref="N82:Q82"/>
    <mergeCell ref="N83:Q83"/>
    <mergeCell ref="N84:Q84"/>
    <mergeCell ref="N73:Q73"/>
    <mergeCell ref="N74:Q74"/>
    <mergeCell ref="N75:Q75"/>
    <mergeCell ref="N76:Q76"/>
    <mergeCell ref="N77:Q77"/>
    <mergeCell ref="N78:Q78"/>
    <mergeCell ref="N67:Q67"/>
    <mergeCell ref="N68:Q68"/>
    <mergeCell ref="N69:Q69"/>
    <mergeCell ref="N70:Q70"/>
    <mergeCell ref="N71:Q71"/>
    <mergeCell ref="N72:Q72"/>
    <mergeCell ref="N61:Q61"/>
    <mergeCell ref="N62:Q62"/>
    <mergeCell ref="N63:Q63"/>
    <mergeCell ref="N64:Q64"/>
    <mergeCell ref="N65:Q65"/>
    <mergeCell ref="N66:Q66"/>
    <mergeCell ref="N55:Q55"/>
    <mergeCell ref="N56:Q56"/>
    <mergeCell ref="N57:Q57"/>
    <mergeCell ref="N58:Q58"/>
    <mergeCell ref="N59:Q59"/>
    <mergeCell ref="N60:Q60"/>
    <mergeCell ref="N22:Q22"/>
    <mergeCell ref="N23:Q23"/>
    <mergeCell ref="N24:Q24"/>
    <mergeCell ref="N49:Q49"/>
    <mergeCell ref="N50:Q50"/>
    <mergeCell ref="N51:Q51"/>
    <mergeCell ref="N52:Q52"/>
    <mergeCell ref="N53:Q53"/>
    <mergeCell ref="N54:Q54"/>
    <mergeCell ref="N43:Q43"/>
    <mergeCell ref="N44:Q44"/>
    <mergeCell ref="N45:Q45"/>
    <mergeCell ref="N46:Q46"/>
    <mergeCell ref="N47:Q47"/>
    <mergeCell ref="N48:Q48"/>
    <mergeCell ref="N37:Q37"/>
    <mergeCell ref="N38:Q38"/>
    <mergeCell ref="N39:Q39"/>
    <mergeCell ref="N40:Q40"/>
    <mergeCell ref="N41:Q41"/>
    <mergeCell ref="N42:Q42"/>
    <mergeCell ref="N13:Q13"/>
    <mergeCell ref="N14:Q14"/>
    <mergeCell ref="N15:Q15"/>
    <mergeCell ref="N16:Q16"/>
    <mergeCell ref="N17:Q17"/>
    <mergeCell ref="N18:Q18"/>
    <mergeCell ref="N7:Q7"/>
    <mergeCell ref="N8:Q8"/>
    <mergeCell ref="N9:Q9"/>
    <mergeCell ref="N10:Q10"/>
    <mergeCell ref="N11:Q11"/>
    <mergeCell ref="N12:Q12"/>
    <mergeCell ref="N3:Q3"/>
    <mergeCell ref="N4:Q4"/>
    <mergeCell ref="N5:Q5"/>
    <mergeCell ref="N6:Q6"/>
    <mergeCell ref="N2052:Q2052"/>
    <mergeCell ref="N31:Q31"/>
    <mergeCell ref="N32:Q32"/>
    <mergeCell ref="N33:Q33"/>
    <mergeCell ref="N34:Q34"/>
    <mergeCell ref="N35:Q35"/>
    <mergeCell ref="N36:Q36"/>
    <mergeCell ref="N25:Q25"/>
    <mergeCell ref="N26:Q26"/>
    <mergeCell ref="N27:Q27"/>
    <mergeCell ref="N28:Q28"/>
    <mergeCell ref="N29:Q29"/>
    <mergeCell ref="N30:Q30"/>
    <mergeCell ref="N19:Q19"/>
    <mergeCell ref="N20:Q20"/>
    <mergeCell ref="N21:Q21"/>
    <mergeCell ref="N2053:Q2053"/>
    <mergeCell ref="N2054:Q2054"/>
    <mergeCell ref="N2055:Q2055"/>
    <mergeCell ref="N2056:Q2056"/>
    <mergeCell ref="N2057:Q2057"/>
    <mergeCell ref="N2058:Q2058"/>
    <mergeCell ref="N1045:Q1045"/>
    <mergeCell ref="N1046:Q1046"/>
    <mergeCell ref="N1617:Q1617"/>
    <mergeCell ref="N1618:Q1618"/>
    <mergeCell ref="N1619:Q1619"/>
    <mergeCell ref="N1620:Q1620"/>
    <mergeCell ref="N1621:Q1621"/>
    <mergeCell ref="N2035:Q2035"/>
    <mergeCell ref="N2036:Q2036"/>
    <mergeCell ref="N2037:Q2037"/>
    <mergeCell ref="N2038:Q2038"/>
    <mergeCell ref="N2039:Q2039"/>
    <mergeCell ref="N2040:Q2040"/>
    <mergeCell ref="N2041:Q2041"/>
    <mergeCell ref="N2042:Q2042"/>
    <mergeCell ref="N2043:Q2043"/>
    <mergeCell ref="N2044:Q2044"/>
    <mergeCell ref="N2045:Q2045"/>
    <mergeCell ref="N2046:Q2046"/>
    <mergeCell ref="N2047:Q2047"/>
    <mergeCell ref="N2048:Q2048"/>
    <mergeCell ref="N2049:Q2049"/>
    <mergeCell ref="N2050:Q2050"/>
    <mergeCell ref="N2051:Q2051"/>
    <mergeCell ref="N1064:Q1064"/>
    <mergeCell ref="N1065:Q106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1403A950870724FBC411EEB7EC1F630" ma:contentTypeVersion="17" ma:contentTypeDescription="Crear nuevo documento." ma:contentTypeScope="" ma:versionID="a052d5113f2b173e6dbc37c74ba07cf9">
  <xsd:schema xmlns:xsd="http://www.w3.org/2001/XMLSchema" xmlns:xs="http://www.w3.org/2001/XMLSchema" xmlns:p="http://schemas.microsoft.com/office/2006/metadata/properties" xmlns:ns3="1d885472-1b03-4c27-abea-e0b86428d9b9" xmlns:ns4="2d6b6581-d0cd-4f64-a2b3-c7ef1a89b301" targetNamespace="http://schemas.microsoft.com/office/2006/metadata/properties" ma:root="true" ma:fieldsID="b00ff23399ebe203d5828d70b14de3d9" ns3:_="" ns4:_="">
    <xsd:import namespace="1d885472-1b03-4c27-abea-e0b86428d9b9"/>
    <xsd:import namespace="2d6b6581-d0cd-4f64-a2b3-c7ef1a89b301"/>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ObjectDetectorVersions" minOccurs="0"/>
                <xsd:element ref="ns3:MediaServiceSystemTags"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885472-1b03-4c27-abea-e0b86428d9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6b6581-d0cd-4f64-a2b3-c7ef1a89b301"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SharingHintHash" ma:index="19"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activity xmlns="1d885472-1b03-4c27-abea-e0b86428d9b9"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CFCE0D-3204-4C56-8A8A-A0AC864AAA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885472-1b03-4c27-abea-e0b86428d9b9"/>
    <ds:schemaRef ds:uri="2d6b6581-d0cd-4f64-a2b3-c7ef1a89b3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3653055-C1E4-4335-AF4B-AC9946A44720}">
  <ds:schemaRefs>
    <ds:schemaRef ds:uri="http://schemas.microsoft.com/DataMashup"/>
  </ds:schemaRefs>
</ds:datastoreItem>
</file>

<file path=customXml/itemProps3.xml><?xml version="1.0" encoding="utf-8"?>
<ds:datastoreItem xmlns:ds="http://schemas.openxmlformats.org/officeDocument/2006/customXml" ds:itemID="{BD5687E7-613D-4889-B092-6C08FD2DC948}">
  <ds:schemaRefs>
    <ds:schemaRef ds:uri="http://schemas.microsoft.com/office/2006/metadata/properties"/>
    <ds:schemaRef ds:uri="http://schemas.microsoft.com/office/infopath/2007/PartnerControls"/>
    <ds:schemaRef ds:uri="1d885472-1b03-4c27-abea-e0b86428d9b9"/>
  </ds:schemaRefs>
</ds:datastoreItem>
</file>

<file path=customXml/itemProps4.xml><?xml version="1.0" encoding="utf-8"?>
<ds:datastoreItem xmlns:ds="http://schemas.openxmlformats.org/officeDocument/2006/customXml" ds:itemID="{7DD94094-7989-494A-A1BD-56A88415426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Datos Personales</vt:lpstr>
      <vt:lpstr>Listas</vt:lpstr>
      <vt:lpstr>N-A Investigación</vt:lpstr>
      <vt:lpstr>N-A Profundizacion</vt:lpstr>
      <vt:lpstr>DIRECTOR - REVISOR - JURADO</vt:lpstr>
      <vt:lpstr>Pasantías</vt:lpstr>
      <vt:lpstr>Acuerdo Antiguo</vt:lpstr>
      <vt:lpstr>ESTADOS ESTUDIANTES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Alison Katherine Rubiano Suarez</dc:creator>
  <cp:keywords/>
  <dc:description/>
  <cp:lastModifiedBy>MAESTRIA EN CIENCIAS DE LA INFORMACION Y LAS COMUNICAC</cp:lastModifiedBy>
  <cp:revision/>
  <dcterms:created xsi:type="dcterms:W3CDTF">2023-03-01T17:30:53Z</dcterms:created>
  <dcterms:modified xsi:type="dcterms:W3CDTF">2026-09-11T20:40:59Z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0x01010001403A950870724FBC411EEB7EC1F630</vt:lpwstr>
  </property>
</Properties>
</file>