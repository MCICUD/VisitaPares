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C:\Users\USER\OneDrive - Universidad Distrital Francisco José de Caldas\Maestria CIC\Acreditacion\AUTOEVALUACION 2025\Cuadros maestrso\"/>
    </mc:Choice>
  </mc:AlternateContent>
  <xr:revisionPtr revIDLastSave="740" documentId="8_{8CE6A8BC-37BF-4360-9C6E-8B4AEAA991B0}" xr6:coauthVersionLast="47" xr6:coauthVersionMax="47" xr10:uidLastSave="{82743957-1496-4DDB-B445-4AE4D317DC07}"/>
  <bookViews>
    <workbookView xWindow="-28920" yWindow="-120" windowWidth="29040" windowHeight="16440" xr2:uid="{F1BE4239-B45D-4423-9AF8-34B7889DA6DD}"/>
  </bookViews>
  <sheets>
    <sheet name="info 1" sheetId="1" r:id="rId1"/>
    <sheet name="DECANATURA  movilidad" sheetId="2" r:id="rId2"/>
  </sheets>
  <definedNames>
    <definedName name="_xlnm._FilterDatabase" localSheetId="1" hidden="1">'DECANATURA  movilidad'!$B$2:$P$54</definedName>
    <definedName name="_xlnm._FilterDatabase" localSheetId="0" hidden="1">'info 1'!$A$4:$J$46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 l="1"/>
  <c r="E31" i="1" s="1"/>
  <c r="P50" i="2"/>
  <c r="P49" i="2"/>
  <c r="P53" i="2"/>
  <c r="P54" i="2"/>
  <c r="P48" i="2"/>
  <c r="P47" i="2"/>
  <c r="P45" i="2"/>
  <c r="P46" i="2"/>
  <c r="P42" i="2"/>
  <c r="P43" i="2"/>
  <c r="P44" i="2"/>
  <c r="P38" i="2"/>
  <c r="P39" i="2"/>
  <c r="P40" i="2"/>
  <c r="P41" i="2"/>
  <c r="P23" i="2"/>
  <c r="P24" i="2"/>
  <c r="P25" i="2"/>
  <c r="P26" i="2"/>
  <c r="P27" i="2"/>
  <c r="P28" i="2"/>
  <c r="P29" i="2"/>
  <c r="P30" i="2"/>
  <c r="P31" i="2"/>
  <c r="P32" i="2"/>
  <c r="P33" i="2"/>
  <c r="P34" i="2"/>
  <c r="P35" i="2"/>
  <c r="P36" i="2"/>
  <c r="P37" i="2"/>
  <c r="P19" i="2" l="1"/>
  <c r="P20" i="2"/>
  <c r="P21" i="2"/>
  <c r="P22" i="2"/>
  <c r="P14" i="2"/>
  <c r="P15" i="2"/>
  <c r="P16" i="2"/>
  <c r="P17" i="2"/>
  <c r="P18" i="2"/>
  <c r="P6" i="2"/>
  <c r="P5" i="2"/>
  <c r="P7" i="2"/>
  <c r="P8" i="2"/>
  <c r="P9" i="2"/>
  <c r="P10" i="2"/>
  <c r="P11" i="2"/>
  <c r="P12" i="2"/>
  <c r="P13" i="2"/>
  <c r="P4" i="2"/>
</calcChain>
</file>

<file path=xl/sharedStrings.xml><?xml version="1.0" encoding="utf-8"?>
<sst xmlns="http://schemas.openxmlformats.org/spreadsheetml/2006/main" count="408" uniqueCount="212">
  <si>
    <t>DECANATURA</t>
  </si>
  <si>
    <t>OFICINA DE INVESTIGACIONES</t>
  </si>
  <si>
    <t>N°</t>
  </si>
  <si>
    <t>Cedula / identificación</t>
  </si>
  <si>
    <t>Nombres y Apellidos del Profesor</t>
  </si>
  <si>
    <t>Categoría en el Escalafón de la institución (vigente)</t>
  </si>
  <si>
    <t>Capacitaciones docentes</t>
  </si>
  <si>
    <t>Grupo de investigación  principal al que pertenece (incluir enlace)</t>
  </si>
  <si>
    <t>Categoría de investigador Minciencias (vigente) 1.Junior            2.Asociado 3. Senior</t>
  </si>
  <si>
    <t>CAPACITACION SCRUM</t>
  </si>
  <si>
    <t>AÑO (2022 - 2025)</t>
  </si>
  <si>
    <t>CAPACITACIONES SEGUNDA LENGUA ILUD</t>
  </si>
  <si>
    <t>ALZATE MONROY MARCO AURELIO</t>
  </si>
  <si>
    <t>TITULAR XXII</t>
  </si>
  <si>
    <t>APARICIO PICO LILIA EDITH</t>
  </si>
  <si>
    <t>PROFESOR TITULAR COMPLETO</t>
  </si>
  <si>
    <t>CURSÓ Y APROBÓ</t>
  </si>
  <si>
    <t>AVILA ANGULO MIGUEL ANTONIO</t>
  </si>
  <si>
    <t>BARRETO SANDOVAL MARIA LUISA</t>
  </si>
  <si>
    <t>TITULAR</t>
  </si>
  <si>
    <t>BOLAÑOS CASTRO SANDRO JAVIER</t>
  </si>
  <si>
    <t>PROFESOR ASOCIADO COMPLETO</t>
  </si>
  <si>
    <t>CALVO LONDOÑO JORGE MARIO</t>
  </si>
  <si>
    <t>CARDENAS CASTIBLANCO JOSE ROBERTO</t>
  </si>
  <si>
    <t>CARDENAS CONTRERAS ANDRES</t>
  </si>
  <si>
    <t xml:space="preserve">CURSÓ Y APROBÓ ESPECIALIZADO I Y II (2023-1) </t>
  </si>
  <si>
    <t>CASTILLO MENDEZ LUIS EDUARDO</t>
  </si>
  <si>
    <t>CHAVARRIAGA LOZANO JAIME ALBERTO</t>
  </si>
  <si>
    <t xml:space="preserve">CURSÓ Y REPROBÓ INTRODUCTORIO I Y II (2023-1) </t>
  </si>
  <si>
    <t>CORONADO SANCHEZ PAULO CESAR</t>
  </si>
  <si>
    <t>PROFESOR ASISTENTE COMPLETO</t>
  </si>
  <si>
    <t>DAZA CORREDOR ALEJANDRO PAOLO</t>
  </si>
  <si>
    <t>ASISTENTE</t>
  </si>
  <si>
    <t>DIOSA HENRY ALBERTO</t>
  </si>
  <si>
    <t>CULMINO PROCESO DEL PROGRAMA CON EL CURSO PREPARACIÓN A EXAMEN INTERNACIONAL EN EL 2025 - 1</t>
  </si>
  <si>
    <t>ESPINEL ORTEGA ALVARO</t>
  </si>
  <si>
    <t>FIGUEROA GARCIA JUAN CARLOS</t>
  </si>
  <si>
    <t>FLOREZ FERNANDEZ HECTOR ARTURO</t>
  </si>
  <si>
    <t>CURSO Y APROBO ESPECIALIZADO I Y II (2023-3)</t>
  </si>
  <si>
    <t>GAONA BARRERA ANDRES EDUARDO</t>
  </si>
  <si>
    <t>CURSO Y APROBO SUPERIOR I Y II (2023-1)</t>
  </si>
  <si>
    <t>GAONA GARCIA ELVIS EDUARDO</t>
  </si>
  <si>
    <t>GOMEZ VARGAS ERNESTO</t>
  </si>
  <si>
    <t xml:space="preserve">Aprobo SUFICIENCIA I Y II 2025 - 1 </t>
  </si>
  <si>
    <t>JACINTO GOMEZ EDWARD</t>
  </si>
  <si>
    <t>JUTINICO ALARCON ANDRES LEONARDO</t>
  </si>
  <si>
    <t>LOPEZ CHAVEZ HANS IGOR</t>
  </si>
  <si>
    <t>MEDINA DAZA RUBEN JAVIER</t>
  </si>
  <si>
    <t>MENDOZA PRIESSENG CARLOS LEONARDO</t>
  </si>
  <si>
    <t>ASOCIADO</t>
  </si>
  <si>
    <t xml:space="preserve">REPROBO PREPARACIÓN A EXAMEN 2024 - 1 </t>
  </si>
  <si>
    <t>MUÑOZ QUIÑONES GERARDO ALCIDES</t>
  </si>
  <si>
    <t>ORTIZ DAVILA ALVARO ENRIQUE</t>
  </si>
  <si>
    <t>PERDOMO CHARRY CESAR ANDREY</t>
  </si>
  <si>
    <t>PLAZAS NOSSA LEONARDO</t>
  </si>
  <si>
    <t>Aprobo SUFICIENCIA I Y II 2024-1</t>
  </si>
  <si>
    <t>POVEDA CHAVES ROBERTO MANUEL</t>
  </si>
  <si>
    <t>ROCHA SALAMANCA LUZ ANGELA</t>
  </si>
  <si>
    <t>RODRIGUEZ RODRIGUEZ JORGE ENRIQUE</t>
  </si>
  <si>
    <t>CURSO Y APROBO SUFICIENCIA I Y II (2023-3)</t>
  </si>
  <si>
    <t>ROJAS GALEANO SERGIO ANDRES</t>
  </si>
  <si>
    <t>SALCEDO PARRA OCTAVIO JOSE</t>
  </si>
  <si>
    <t>TORRIJOS CADENA GERMAN</t>
  </si>
  <si>
    <t>VALERO MEDINA JOSE ANTONIO</t>
  </si>
  <si>
    <t>VERA PARRA NELSON ENRIQUE</t>
  </si>
  <si>
    <t>CURSO Y APROBO ESPECIALIZADO I Y II 2023-1</t>
  </si>
  <si>
    <t xml:space="preserve">No. </t>
  </si>
  <si>
    <t>ID (documento)</t>
  </si>
  <si>
    <t>Nombre completo</t>
  </si>
  <si>
    <t>Entidad de origen/Evento al que se dirige</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</si>
  <si>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</si>
  <si>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</si>
  <si>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</si>
  <si>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</si>
  <si>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</si>
  <si>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</si>
  <si>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</si>
  <si>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</si>
  <si>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</si>
  <si>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Nacional</t>
  </si>
  <si>
    <t>Extranjero</t>
  </si>
  <si>
    <t xml:space="preserve">Nacional </t>
  </si>
  <si>
    <t>LATIN AMERICAN AND CARIBBEAN CONSORTIUM OF ENGINEERING
INSTITUTIONS</t>
  </si>
  <si>
    <t>Buenos Aires, Argentina</t>
  </si>
  <si>
    <t>Presentar ponencia: A Systematic Review For Design Of A Vital Signs Telemonitoring Cloud Solution In Real Time</t>
  </si>
  <si>
    <t>1. Presencial</t>
  </si>
  <si>
    <t>X</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</si>
  <si>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</si>
  <si>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</si>
  <si>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</si>
  <si>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</si>
  <si>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</si>
  <si>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</si>
  <si>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</si>
  <si>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</si>
  <si>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</si>
  <si>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</si>
  <si>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</si>
  <si>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</si>
  <si>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CURSO TALLER MOTORES DE CUATRO TIEMPOS</t>
  </si>
  <si>
    <t xml:space="preserve">Participar en el curso taller motores de cuatro tiempos </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</si>
  <si>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</si>
  <si>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</si>
  <si>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</si>
  <si>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</si>
  <si>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</si>
  <si>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</si>
  <si>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</si>
  <si>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</si>
  <si>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</si>
  <si>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</si>
  <si>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</si>
  <si>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</si>
  <si>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</si>
  <si>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</si>
  <si>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</si>
  <si>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</si>
  <si>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N/A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</si>
  <si>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</si>
  <si>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</si>
  <si>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</si>
  <si>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</si>
  <si>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</si>
  <si>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</si>
  <si>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</si>
  <si>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</si>
  <si>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</si>
  <si>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</si>
  <si>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</si>
  <si>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</si>
  <si>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GISciencie 2023</t>
  </si>
  <si>
    <t>West Yorkshire, Inglaterra</t>
  </si>
  <si>
    <t>participar como ponente del trabajo “Implementation and assessment of mathematical algorithms for the fusion of Ikonos satellite images in Matlab”,</t>
  </si>
  <si>
    <t>x</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</si>
  <si>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</si>
  <si>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</si>
  <si>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</si>
  <si>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</si>
  <si>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</si>
  <si>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</si>
  <si>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</si>
  <si>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</si>
  <si>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</si>
  <si>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</si>
  <si>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</si>
  <si>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</si>
  <si>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</si>
  <si>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</si>
  <si>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</si>
  <si>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</si>
  <si>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</si>
  <si>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</si>
  <si>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</si>
  <si>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</si>
  <si>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</si>
  <si>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</si>
  <si>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</si>
  <si>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</si>
  <si>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</si>
  <si>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</si>
  <si>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</si>
  <si>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</si>
  <si>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</si>
  <si>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</si>
  <si>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</si>
  <si>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</si>
  <si>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</si>
  <si>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</si>
  <si>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</si>
  <si>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</si>
  <si>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</si>
  <si>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</si>
  <si>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</si>
  <si>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Doctorado en Ingeniería</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</si>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</sst>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sz val="11"/>
      <name val="Century Gothic"/>
      <family val="2"/>
    </font>
    <font>
      <b/>
      <sz val="10"/>
      <color theme="1"/>
      <name val="Century Gothic"/>
      <family val="1"/>
    </font>
    <font>
      <sz val="10"/>
      <color theme="1"/>
      <name val="Century Gothic"/>
      <family val="1"/>
    </font>
    <font>
      <sz val="11"/>
      <color theme="1"/>
      <name val="Calibri"/>
      <family val="2"/>
    </font>
    <font>
      <b/>
      <sz val="8"/>
      <color theme="1"/>
      <name val="Century Gothic"/>
      <family val="1"/>
    </font>
    <font>
      <sz val="8"/>
      <color theme="1"/>
      <name val="Century Gothic"/>
      <family val="1"/>
    </font>
    <font>
      <b/>
      <sz val="8"/>
      <color theme="1"/>
      <name val="Century Gothic"/>
      <family val="2"/>
    </font>
    <font>
      <sz val="11"/>
      <color rgb="FF000000"/>
      <name val="Calibri"/>
      <family val="2"/>
    </font>
    <font>
      <sz val="10"/>
      <color rgb="FF000000"/>
      <name val="Century Gothic"/>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25">
    <border>
      <left/>
      <right/>
      <top/>
      <bottom/>
      <diagonal/>
    </border>
    <border>
      <left style="medium">
        <color rgb="FF000000"/>
      </left>
      <right style="medium">
        <color rgb="FF000000"/>
      </right>
      <top style="medium">
        <color rgb="FF000000"/>
      </top>
      <bottom style="thin">
        <color rgb="FF000000"/>
      </bottom>
      <diagonal/>
    </border>
    <border>
      <left/>
      <right style="thin">
        <color indexed="64"/>
      </right>
      <top style="medium">
        <color indexed="64"/>
      </top>
      <bottom style="thin">
        <color indexed="64"/>
      </bottom>
      <diagonal/>
    </border>
    <border>
      <left style="medium">
        <color rgb="FF000000"/>
      </left>
      <right style="medium">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1" fillId="0" borderId="0"/>
    <xf numFmtId="0" fontId="4" fillId="0" borderId="0"/>
  </cellStyleXfs>
  <cellXfs count="65">
    <xf numFmtId="0" fontId="0" fillId="0" borderId="0" xfId="0"/>
    <xf numFmtId="0" fontId="3" fillId="0" borderId="3" xfId="2" applyFont="1" applyBorder="1" applyAlignment="1" applyProtection="1">
      <alignment horizontal="center" vertical="center" wrapText="1"/>
      <protection locked="0"/>
    </xf>
    <xf numFmtId="49" fontId="3" fillId="0" borderId="5" xfId="2" applyNumberFormat="1" applyFont="1" applyBorder="1" applyAlignment="1">
      <alignment vertical="center" wrapText="1"/>
    </xf>
    <xf numFmtId="0" fontId="0" fillId="2" borderId="7" xfId="0" applyFill="1" applyBorder="1"/>
    <xf numFmtId="49" fontId="3" fillId="0" borderId="10" xfId="2" applyNumberFormat="1" applyFont="1" applyBorder="1" applyAlignment="1">
      <alignment vertical="center" wrapText="1"/>
    </xf>
    <xf numFmtId="0" fontId="0" fillId="0" borderId="7" xfId="0" applyBorder="1"/>
    <xf numFmtId="0" fontId="5" fillId="0" borderId="6" xfId="3" applyFont="1" applyBorder="1" applyAlignment="1">
      <alignment horizontal="center" vertical="center" wrapText="1"/>
    </xf>
    <xf numFmtId="14" fontId="6" fillId="0" borderId="11" xfId="3" applyNumberFormat="1" applyFont="1" applyBorder="1" applyAlignment="1">
      <alignment horizontal="left" vertical="center" wrapText="1"/>
    </xf>
    <xf numFmtId="1" fontId="6" fillId="3" borderId="11" xfId="3" applyNumberFormat="1" applyFont="1" applyFill="1" applyBorder="1" applyAlignment="1">
      <alignment horizontal="center" vertical="center" wrapText="1"/>
    </xf>
    <xf numFmtId="49" fontId="5" fillId="0" borderId="7" xfId="3" applyNumberFormat="1" applyFont="1" applyBorder="1" applyAlignment="1">
      <alignment horizontal="center" vertical="center" wrapText="1"/>
    </xf>
    <xf numFmtId="0" fontId="2" fillId="0" borderId="13" xfId="2" applyFont="1" applyBorder="1" applyAlignment="1" applyProtection="1">
      <alignment horizontal="center" vertical="center" wrapText="1"/>
      <protection locked="0"/>
    </xf>
    <xf numFmtId="0" fontId="5" fillId="0" borderId="11" xfId="3" applyFont="1" applyBorder="1" applyAlignment="1">
      <alignment horizontal="center" vertical="center" wrapText="1"/>
    </xf>
    <xf numFmtId="49" fontId="6" fillId="0" borderId="11" xfId="3" applyNumberFormat="1" applyFont="1" applyBorder="1" applyAlignment="1">
      <alignment horizontal="left" vertical="center" wrapText="1"/>
    </xf>
    <xf numFmtId="164" fontId="6" fillId="0" borderId="11" xfId="3" applyNumberFormat="1" applyFont="1" applyBorder="1" applyAlignment="1">
      <alignment horizontal="left" vertical="center" wrapText="1"/>
    </xf>
    <xf numFmtId="4" fontId="6" fillId="0" borderId="11" xfId="3" applyNumberFormat="1" applyFont="1" applyBorder="1" applyAlignment="1">
      <alignment horizontal="left" vertical="center" wrapText="1"/>
    </xf>
    <xf numFmtId="1" fontId="5" fillId="0" borderId="7" xfId="3" applyNumberFormat="1" applyFont="1" applyBorder="1" applyAlignment="1">
      <alignment horizontal="center" vertical="center" wrapText="1"/>
    </xf>
    <xf numFmtId="49" fontId="6" fillId="0" borderId="11" xfId="3" applyNumberFormat="1" applyFont="1" applyBorder="1" applyAlignment="1">
      <alignment horizontal="center" vertical="center" wrapText="1"/>
    </xf>
    <xf numFmtId="0" fontId="0" fillId="0" borderId="0" xfId="0" applyAlignment="1">
      <alignment horizontal="center" vertical="center"/>
    </xf>
    <xf numFmtId="1" fontId="3" fillId="0" borderId="5" xfId="2" applyNumberFormat="1" applyFont="1" applyBorder="1" applyAlignment="1">
      <alignment horizontal="center" vertical="center" wrapText="1"/>
    </xf>
    <xf numFmtId="164" fontId="6" fillId="0" borderId="16" xfId="3" applyNumberFormat="1" applyFont="1" applyBorder="1" applyAlignment="1">
      <alignment horizontal="left" vertical="center" wrapText="1"/>
    </xf>
    <xf numFmtId="1" fontId="3" fillId="0" borderId="17" xfId="2" applyNumberFormat="1" applyFont="1" applyBorder="1" applyAlignment="1">
      <alignment horizontal="center" vertical="center" wrapText="1"/>
    </xf>
    <xf numFmtId="49" fontId="3" fillId="0" borderId="18" xfId="2" applyNumberFormat="1" applyFont="1" applyBorder="1" applyAlignment="1">
      <alignment vertical="center" wrapText="1"/>
    </xf>
    <xf numFmtId="1" fontId="3" fillId="0" borderId="16" xfId="2" applyNumberFormat="1" applyFont="1" applyBorder="1" applyAlignment="1">
      <alignment horizontal="center" vertical="center" wrapText="1"/>
    </xf>
    <xf numFmtId="49" fontId="3" fillId="0" borderId="19" xfId="2" applyNumberFormat="1" applyFont="1" applyBorder="1" applyAlignment="1">
      <alignment vertical="center" wrapText="1"/>
    </xf>
    <xf numFmtId="49" fontId="6" fillId="0" borderId="16" xfId="3" applyNumberFormat="1" applyFont="1" applyBorder="1" applyAlignment="1">
      <alignment horizontal="left" vertical="center" wrapText="1"/>
    </xf>
    <xf numFmtId="164" fontId="6" fillId="0" borderId="20" xfId="3" applyNumberFormat="1" applyFont="1" applyBorder="1" applyAlignment="1">
      <alignment horizontal="left" vertical="center" wrapText="1"/>
    </xf>
    <xf numFmtId="4" fontId="6" fillId="0" borderId="20" xfId="3" applyNumberFormat="1" applyFont="1" applyBorder="1" applyAlignment="1">
      <alignment horizontal="left" vertical="center" wrapText="1"/>
    </xf>
    <xf numFmtId="49" fontId="3" fillId="0" borderId="7" xfId="2" applyNumberFormat="1" applyFont="1" applyBorder="1" applyAlignment="1">
      <alignment vertical="center" wrapText="1"/>
    </xf>
    <xf numFmtId="164" fontId="6" fillId="0" borderId="7" xfId="3" applyNumberFormat="1" applyFont="1" applyBorder="1" applyAlignment="1">
      <alignment horizontal="left" vertical="center" wrapText="1"/>
    </xf>
    <xf numFmtId="4" fontId="6" fillId="0" borderId="7" xfId="3" applyNumberFormat="1" applyFont="1" applyBorder="1" applyAlignment="1">
      <alignment horizontal="left" vertical="center" wrapText="1"/>
    </xf>
    <xf numFmtId="0" fontId="5" fillId="0" borderId="21" xfId="3" applyFont="1" applyBorder="1" applyAlignment="1">
      <alignment horizontal="center" vertical="center" wrapText="1"/>
    </xf>
    <xf numFmtId="0" fontId="5" fillId="0" borderId="7" xfId="3" applyFont="1" applyBorder="1" applyAlignment="1">
      <alignment horizontal="center" vertical="center" wrapText="1"/>
    </xf>
    <xf numFmtId="1" fontId="3" fillId="0" borderId="7" xfId="2" applyNumberFormat="1" applyFont="1" applyBorder="1" applyAlignment="1">
      <alignment horizontal="center" vertical="center" wrapText="1"/>
    </xf>
    <xf numFmtId="4" fontId="6" fillId="0" borderId="16" xfId="3" applyNumberFormat="1" applyFont="1" applyBorder="1" applyAlignment="1">
      <alignment horizontal="left" vertical="center" wrapText="1"/>
    </xf>
    <xf numFmtId="0" fontId="5" fillId="0" borderId="23" xfId="3" applyFont="1" applyBorder="1" applyAlignment="1">
      <alignment horizontal="center" vertical="center" wrapText="1"/>
    </xf>
    <xf numFmtId="1" fontId="3" fillId="0" borderId="24" xfId="2" applyNumberFormat="1" applyFont="1" applyBorder="1" applyAlignment="1">
      <alignment horizontal="center" vertical="center" wrapText="1"/>
    </xf>
    <xf numFmtId="49" fontId="3" fillId="0" borderId="24" xfId="2" applyNumberFormat="1" applyFont="1" applyBorder="1" applyAlignment="1">
      <alignment vertical="center" wrapText="1"/>
    </xf>
    <xf numFmtId="164" fontId="6" fillId="0" borderId="22" xfId="3" applyNumberFormat="1" applyFont="1" applyBorder="1" applyAlignment="1">
      <alignment horizontal="left" vertical="center" wrapText="1"/>
    </xf>
    <xf numFmtId="1" fontId="3" fillId="0" borderId="13" xfId="2" applyNumberFormat="1" applyFont="1" applyBorder="1" applyAlignment="1">
      <alignment horizontal="center" vertical="center" wrapText="1"/>
    </xf>
    <xf numFmtId="49" fontId="3" fillId="0" borderId="13" xfId="2" applyNumberFormat="1" applyFont="1" applyBorder="1" applyAlignment="1">
      <alignment vertical="center" wrapText="1"/>
    </xf>
    <xf numFmtId="164" fontId="6" fillId="0" borderId="19" xfId="3" applyNumberFormat="1" applyFont="1" applyBorder="1" applyAlignment="1">
      <alignment horizontal="left" vertical="center" wrapText="1"/>
    </xf>
    <xf numFmtId="0" fontId="0" fillId="0" borderId="13" xfId="0" applyBorder="1"/>
    <xf numFmtId="0" fontId="8" fillId="4" borderId="7" xfId="0" applyFont="1" applyFill="1" applyBorder="1" applyAlignment="1">
      <alignment wrapText="1"/>
    </xf>
    <xf numFmtId="0" fontId="8" fillId="4" borderId="13" xfId="0" applyFont="1" applyFill="1" applyBorder="1" applyAlignment="1">
      <alignment wrapText="1"/>
    </xf>
    <xf numFmtId="0" fontId="9" fillId="4" borderId="13" xfId="0" applyFont="1" applyFill="1" applyBorder="1" applyAlignment="1">
      <alignment wrapText="1"/>
    </xf>
    <xf numFmtId="0" fontId="9" fillId="4" borderId="13" xfId="0" applyFont="1" applyFill="1" applyBorder="1"/>
    <xf numFmtId="49" fontId="7" fillId="0" borderId="11" xfId="3" applyNumberFormat="1" applyFont="1" applyBorder="1" applyAlignment="1">
      <alignment horizontal="center" vertical="center" wrapText="1"/>
    </xf>
    <xf numFmtId="0" fontId="0" fillId="2" borderId="12" xfId="0" applyFill="1" applyBorder="1" applyAlignment="1">
      <alignment horizontal="center"/>
    </xf>
    <xf numFmtId="0" fontId="0" fillId="2" borderId="14" xfId="0" applyFill="1" applyBorder="1" applyAlignment="1">
      <alignment horizontal="center"/>
    </xf>
    <xf numFmtId="0" fontId="2" fillId="0" borderId="9" xfId="2" applyFont="1" applyBorder="1" applyAlignment="1" applyProtection="1">
      <alignment horizontal="center" vertical="center" wrapText="1"/>
      <protection locked="0"/>
    </xf>
    <xf numFmtId="0" fontId="2" fillId="0" borderId="15" xfId="2" applyFont="1" applyBorder="1" applyAlignment="1" applyProtection="1">
      <alignment horizontal="center" vertical="center" wrapText="1"/>
      <protection locked="0"/>
    </xf>
    <xf numFmtId="9" fontId="2" fillId="0" borderId="7" xfId="1" applyNumberFormat="1" applyFont="1" applyBorder="1" applyAlignment="1" applyProtection="1">
      <alignment horizontal="center" vertical="center" wrapText="1"/>
      <protection locked="0"/>
    </xf>
    <xf numFmtId="49" fontId="2" fillId="0" borderId="1" xfId="1" applyNumberFormat="1" applyFont="1" applyBorder="1" applyAlignment="1" applyProtection="1">
      <alignment horizontal="center" vertical="center" wrapText="1"/>
      <protection locked="0"/>
    </xf>
    <xf numFmtId="49" fontId="2" fillId="0" borderId="3" xfId="1" applyNumberFormat="1" applyFont="1" applyBorder="1" applyAlignment="1" applyProtection="1">
      <alignment horizontal="center" vertical="center" wrapText="1"/>
      <protection locked="0"/>
    </xf>
    <xf numFmtId="49" fontId="2" fillId="0" borderId="2" xfId="1" applyNumberFormat="1" applyFont="1" applyBorder="1" applyAlignment="1" applyProtection="1">
      <alignment horizontal="center" vertical="center" wrapText="1"/>
      <protection locked="0"/>
    </xf>
    <xf numFmtId="49" fontId="2" fillId="0" borderId="4" xfId="1" applyNumberFormat="1" applyFont="1" applyBorder="1" applyAlignment="1" applyProtection="1">
      <alignment horizontal="center" vertical="center" wrapText="1"/>
      <protection locked="0"/>
    </xf>
    <xf numFmtId="49" fontId="2" fillId="0" borderId="8" xfId="1" applyNumberFormat="1" applyFont="1" applyBorder="1" applyAlignment="1" applyProtection="1">
      <alignment horizontal="center" vertical="center" wrapText="1"/>
      <protection locked="0"/>
    </xf>
    <xf numFmtId="49" fontId="2" fillId="0" borderId="9" xfId="1" applyNumberFormat="1" applyFont="1" applyBorder="1" applyAlignment="1" applyProtection="1">
      <alignment horizontal="center" vertical="center" wrapText="1"/>
      <protection locked="0"/>
    </xf>
    <xf numFmtId="0" fontId="2" fillId="0" borderId="7" xfId="2" applyFont="1" applyBorder="1" applyAlignment="1" applyProtection="1">
      <alignment horizontal="center" vertical="center" wrapText="1"/>
      <protection locked="0"/>
    </xf>
    <xf numFmtId="49" fontId="5" fillId="0" borderId="7" xfId="3" applyNumberFormat="1" applyFont="1" applyBorder="1" applyAlignment="1">
      <alignment horizontal="center" vertical="center" wrapText="1"/>
    </xf>
    <xf numFmtId="49" fontId="7" fillId="0" borderId="7" xfId="3" applyNumberFormat="1" applyFont="1" applyBorder="1" applyAlignment="1">
      <alignment horizontal="center" vertical="center" wrapText="1"/>
    </xf>
    <xf numFmtId="49" fontId="5" fillId="3" borderId="7" xfId="3" applyNumberFormat="1" applyFont="1" applyFill="1" applyBorder="1" applyAlignment="1">
      <alignment horizontal="center" vertical="center" wrapText="1"/>
    </xf>
    <xf numFmtId="0" fontId="6" fillId="0" borderId="7" xfId="3" applyFont="1" applyBorder="1" applyAlignment="1">
      <alignment horizontal="center" vertical="center"/>
    </xf>
    <xf numFmtId="0" fontId="6" fillId="0" borderId="7" xfId="3" applyFont="1" applyBorder="1" applyAlignment="1"/>
    <xf numFmtId="0" fontId="7" fillId="0" borderId="7" xfId="3" applyFont="1" applyBorder="1" applyAlignment="1"/>
  </cellXfs>
  <cellStyles count="4">
    <cellStyle name="Normal" xfId="0" builtinId="0"/>
    <cellStyle name="Normal 2" xfId="2" xr:uid="{80B61A05-8DFD-4348-AF63-E8FACE22CB88}"/>
    <cellStyle name="Normal 3" xfId="1" xr:uid="{97325A76-108F-49F4-8CF7-B4B87EEE15DB}"/>
    <cellStyle name="Normal 5" xfId="3" xr:uid="{0D4A2B14-64B6-4149-AEA1-6FFCA7C78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1094-8E0A-48B8-A010-485D4A03BA3D}">
  <dimension ref="A2:J49"/>
  <sheetViews>
    <sheetView tabSelected="1" workbookViewId="0">
      <selection activeCell="K4" sqref="K4"/>
    </sheetView>
  </sheetViews>
  <sheetFormatPr defaultColWidth="38.28515625" defaultRowHeight="15"/>
  <cols>
    <col min="1" max="1" width="3.140625" bestFit="1" customWidth="1"/>
    <col min="2" max="2" width="23" bestFit="1" customWidth="1"/>
    <col min="3" max="3" width="51.42578125" customWidth="1"/>
    <col min="4" max="4" width="38.28515625" hidden="1" customWidth="1"/>
    <col min="6" max="6" width="20.5703125" customWidth="1"/>
    <col min="8" max="8" width="22.28515625" customWidth="1"/>
    <col min="9" max="10" width="0" hidden="1" customWidth="1"/>
  </cols>
  <sheetData>
    <row r="2" spans="1:10">
      <c r="D2" s="47" t="s">
        <v>0</v>
      </c>
      <c r="E2" s="48"/>
      <c r="F2" s="48"/>
      <c r="G2" s="48"/>
      <c r="H2" s="48"/>
      <c r="I2" s="3" t="s">
        <v>1</v>
      </c>
      <c r="J2" s="3" t="s">
        <v>1</v>
      </c>
    </row>
    <row r="3" spans="1:10">
      <c r="A3" s="52" t="s">
        <v>2</v>
      </c>
      <c r="B3" s="54" t="s">
        <v>3</v>
      </c>
      <c r="C3" s="56" t="s">
        <v>4</v>
      </c>
      <c r="D3" s="58" t="s">
        <v>5</v>
      </c>
      <c r="E3" s="49" t="s">
        <v>6</v>
      </c>
      <c r="F3" s="50"/>
      <c r="G3" s="49" t="s">
        <v>6</v>
      </c>
      <c r="H3" s="50"/>
      <c r="I3" s="58" t="s">
        <v>7</v>
      </c>
      <c r="J3" s="51" t="s">
        <v>8</v>
      </c>
    </row>
    <row r="4" spans="1:10" ht="25.5">
      <c r="A4" s="53"/>
      <c r="B4" s="55"/>
      <c r="C4" s="57"/>
      <c r="D4" s="58"/>
      <c r="E4" s="10" t="s">
        <v>9</v>
      </c>
      <c r="F4" s="10" t="s">
        <v>10</v>
      </c>
      <c r="G4" s="10" t="s">
        <v>11</v>
      </c>
      <c r="H4" s="10" t="s">
        <v>10</v>
      </c>
      <c r="I4" s="58"/>
      <c r="J4" s="51"/>
    </row>
    <row r="5" spans="1:10">
      <c r="A5" s="1">
        <v>1</v>
      </c>
      <c r="B5" s="18">
        <v>79312869</v>
      </c>
      <c r="C5" s="4" t="s">
        <v>12</v>
      </c>
      <c r="D5" s="5" t="s">
        <v>13</v>
      </c>
      <c r="E5" s="5"/>
      <c r="F5" s="5"/>
      <c r="G5" s="42"/>
      <c r="H5" s="5"/>
      <c r="I5" s="5"/>
      <c r="J5" s="5"/>
    </row>
    <row r="6" spans="1:10">
      <c r="A6" s="1">
        <v>2</v>
      </c>
      <c r="B6" s="18">
        <v>51703985</v>
      </c>
      <c r="C6" s="4" t="s">
        <v>14</v>
      </c>
      <c r="D6" s="5" t="s">
        <v>15</v>
      </c>
      <c r="E6" s="41" t="s">
        <v>16</v>
      </c>
      <c r="F6" s="41">
        <v>2024</v>
      </c>
      <c r="G6" s="43"/>
      <c r="H6" s="5"/>
      <c r="I6" s="5"/>
      <c r="J6" s="5"/>
    </row>
    <row r="7" spans="1:10">
      <c r="A7" s="1">
        <v>3</v>
      </c>
      <c r="B7" s="18">
        <v>79397454</v>
      </c>
      <c r="C7" s="4" t="s">
        <v>17</v>
      </c>
      <c r="D7" s="5" t="s">
        <v>15</v>
      </c>
      <c r="E7" s="41"/>
      <c r="F7" s="41"/>
      <c r="G7" s="44"/>
      <c r="H7" s="5"/>
      <c r="I7" s="5"/>
      <c r="J7" s="5"/>
    </row>
    <row r="8" spans="1:10">
      <c r="A8" s="1">
        <v>4</v>
      </c>
      <c r="B8" s="18">
        <v>52426307</v>
      </c>
      <c r="C8" s="4" t="s">
        <v>18</v>
      </c>
      <c r="D8" s="5" t="s">
        <v>19</v>
      </c>
      <c r="E8" s="41"/>
      <c r="F8" s="41"/>
      <c r="G8" s="43"/>
      <c r="H8" s="5"/>
      <c r="I8" s="5"/>
      <c r="J8" s="5"/>
    </row>
    <row r="9" spans="1:10">
      <c r="A9" s="1">
        <v>5</v>
      </c>
      <c r="B9" s="18">
        <v>12237136</v>
      </c>
      <c r="C9" s="4" t="s">
        <v>20</v>
      </c>
      <c r="D9" s="5" t="s">
        <v>21</v>
      </c>
      <c r="E9" s="41"/>
      <c r="F9" s="41"/>
      <c r="G9" s="43"/>
      <c r="H9" s="5"/>
      <c r="I9" s="5"/>
      <c r="J9" s="5"/>
    </row>
    <row r="10" spans="1:10">
      <c r="A10" s="1">
        <v>6</v>
      </c>
      <c r="B10" s="18">
        <v>79378140</v>
      </c>
      <c r="C10" s="4" t="s">
        <v>22</v>
      </c>
      <c r="D10" s="5" t="s">
        <v>19</v>
      </c>
      <c r="E10" s="41"/>
      <c r="F10" s="41"/>
      <c r="G10" s="43"/>
      <c r="H10" s="5"/>
      <c r="I10" s="5"/>
      <c r="J10" s="5"/>
    </row>
    <row r="11" spans="1:10">
      <c r="A11" s="1">
        <v>7</v>
      </c>
      <c r="B11" s="18">
        <v>19289020</v>
      </c>
      <c r="C11" s="4" t="s">
        <v>23</v>
      </c>
      <c r="D11" s="5" t="s">
        <v>15</v>
      </c>
      <c r="E11" s="41"/>
      <c r="F11" s="41"/>
      <c r="G11" s="43"/>
      <c r="H11" s="5"/>
      <c r="I11" s="5"/>
      <c r="J11" s="5"/>
    </row>
    <row r="12" spans="1:10" ht="27">
      <c r="A12" s="1">
        <v>8</v>
      </c>
      <c r="B12" s="18">
        <v>79752717</v>
      </c>
      <c r="C12" s="4" t="s">
        <v>24</v>
      </c>
      <c r="D12" s="5" t="s">
        <v>21</v>
      </c>
      <c r="E12" s="41"/>
      <c r="F12" s="41"/>
      <c r="G12" s="44" t="s">
        <v>25</v>
      </c>
      <c r="H12" s="5">
        <v>2023</v>
      </c>
      <c r="I12" s="5"/>
      <c r="J12" s="5"/>
    </row>
    <row r="13" spans="1:10">
      <c r="A13" s="1">
        <v>9</v>
      </c>
      <c r="B13" s="18">
        <v>93401117</v>
      </c>
      <c r="C13" s="4" t="s">
        <v>26</v>
      </c>
      <c r="D13" s="5" t="s">
        <v>15</v>
      </c>
      <c r="E13" s="41"/>
      <c r="F13" s="41"/>
      <c r="G13" s="43"/>
      <c r="H13" s="5"/>
      <c r="I13" s="5"/>
      <c r="J13" s="5"/>
    </row>
    <row r="14" spans="1:10" ht="27">
      <c r="A14" s="1">
        <v>10</v>
      </c>
      <c r="B14" s="18">
        <v>94411259</v>
      </c>
      <c r="C14" s="4" t="s">
        <v>27</v>
      </c>
      <c r="D14" s="5" t="s">
        <v>19</v>
      </c>
      <c r="E14" s="41"/>
      <c r="F14" s="41"/>
      <c r="G14" s="44" t="s">
        <v>28</v>
      </c>
      <c r="H14" s="5">
        <v>2023</v>
      </c>
      <c r="I14" s="5"/>
      <c r="J14" s="5"/>
    </row>
    <row r="15" spans="1:10">
      <c r="A15" s="1">
        <v>11</v>
      </c>
      <c r="B15" s="18">
        <v>79708124</v>
      </c>
      <c r="C15" s="4" t="s">
        <v>29</v>
      </c>
      <c r="D15" s="5" t="s">
        <v>30</v>
      </c>
      <c r="E15" s="41"/>
      <c r="F15" s="41"/>
      <c r="G15" s="43"/>
      <c r="H15" s="5"/>
      <c r="I15" s="5"/>
      <c r="J15" s="5"/>
    </row>
    <row r="16" spans="1:10">
      <c r="A16" s="1">
        <v>12</v>
      </c>
      <c r="B16" s="18">
        <v>79777053</v>
      </c>
      <c r="C16" s="4" t="s">
        <v>31</v>
      </c>
      <c r="D16" s="5" t="s">
        <v>32</v>
      </c>
      <c r="E16" s="41"/>
      <c r="F16" s="41"/>
      <c r="G16" s="44"/>
      <c r="H16" s="5"/>
      <c r="I16" s="5"/>
      <c r="J16" s="5"/>
    </row>
    <row r="17" spans="1:10" ht="40.5">
      <c r="A17" s="1">
        <v>13</v>
      </c>
      <c r="B17" s="18">
        <v>80264735</v>
      </c>
      <c r="C17" s="4" t="s">
        <v>33</v>
      </c>
      <c r="D17" s="5" t="s">
        <v>21</v>
      </c>
      <c r="E17" s="41"/>
      <c r="F17" s="41"/>
      <c r="G17" s="44" t="s">
        <v>34</v>
      </c>
      <c r="H17" s="5">
        <v>2025</v>
      </c>
      <c r="I17" s="5"/>
      <c r="J17" s="5"/>
    </row>
    <row r="18" spans="1:10">
      <c r="A18" s="1">
        <v>14</v>
      </c>
      <c r="B18" s="18">
        <v>19483708</v>
      </c>
      <c r="C18" s="4" t="s">
        <v>35</v>
      </c>
      <c r="D18" s="5" t="s">
        <v>15</v>
      </c>
      <c r="E18" s="41"/>
      <c r="F18" s="41"/>
      <c r="G18" s="43"/>
      <c r="H18" s="5"/>
      <c r="I18" s="5"/>
      <c r="J18" s="5"/>
    </row>
    <row r="19" spans="1:10">
      <c r="A19" s="1">
        <v>15</v>
      </c>
      <c r="B19" s="18">
        <v>79973967</v>
      </c>
      <c r="C19" s="4" t="s">
        <v>36</v>
      </c>
      <c r="D19" s="5" t="s">
        <v>21</v>
      </c>
      <c r="E19" s="41"/>
      <c r="F19" s="41"/>
      <c r="G19" s="44"/>
      <c r="H19" s="5"/>
      <c r="I19" s="5"/>
      <c r="J19" s="5"/>
    </row>
    <row r="20" spans="1:10" ht="27">
      <c r="A20" s="1">
        <v>16</v>
      </c>
      <c r="B20" s="18">
        <v>80180279</v>
      </c>
      <c r="C20" s="4" t="s">
        <v>37</v>
      </c>
      <c r="D20" s="5" t="s">
        <v>15</v>
      </c>
      <c r="E20" s="41"/>
      <c r="F20" s="41"/>
      <c r="G20" s="44" t="s">
        <v>38</v>
      </c>
      <c r="H20" s="5">
        <v>2023</v>
      </c>
      <c r="I20" s="5"/>
      <c r="J20" s="5"/>
    </row>
    <row r="21" spans="1:10">
      <c r="A21" s="1">
        <v>17</v>
      </c>
      <c r="B21" s="18">
        <v>7181718</v>
      </c>
      <c r="C21" s="4" t="s">
        <v>39</v>
      </c>
      <c r="D21" s="5" t="s">
        <v>30</v>
      </c>
      <c r="E21" s="41"/>
      <c r="F21" s="41"/>
      <c r="G21" s="45" t="s">
        <v>40</v>
      </c>
      <c r="H21" s="5">
        <v>2023</v>
      </c>
      <c r="I21" s="5"/>
      <c r="J21" s="5"/>
    </row>
    <row r="22" spans="1:10">
      <c r="A22" s="1">
        <v>18</v>
      </c>
      <c r="B22" s="18">
        <v>79950025</v>
      </c>
      <c r="C22" s="4" t="s">
        <v>41</v>
      </c>
      <c r="D22" s="5" t="s">
        <v>15</v>
      </c>
      <c r="E22" s="41" t="str">
        <f>+E6</f>
        <v>CURSÓ Y APROBÓ</v>
      </c>
      <c r="F22" s="41">
        <v>2024</v>
      </c>
      <c r="G22" s="43"/>
      <c r="H22" s="5"/>
      <c r="I22" s="5"/>
      <c r="J22" s="5"/>
    </row>
    <row r="23" spans="1:10">
      <c r="A23" s="1">
        <v>19</v>
      </c>
      <c r="B23" s="18">
        <v>74373175</v>
      </c>
      <c r="C23" s="4" t="s">
        <v>42</v>
      </c>
      <c r="D23" s="5" t="s">
        <v>15</v>
      </c>
      <c r="E23" s="41"/>
      <c r="F23" s="41"/>
      <c r="G23" s="44" t="s">
        <v>43</v>
      </c>
      <c r="H23" s="5">
        <v>2025</v>
      </c>
      <c r="I23" s="5"/>
      <c r="J23" s="5"/>
    </row>
    <row r="24" spans="1:10">
      <c r="A24" s="1">
        <v>20</v>
      </c>
      <c r="B24" s="18">
        <v>79974667</v>
      </c>
      <c r="C24" s="4" t="s">
        <v>44</v>
      </c>
      <c r="D24" s="5" t="s">
        <v>21</v>
      </c>
      <c r="E24" s="41"/>
      <c r="F24" s="41"/>
      <c r="G24" s="43"/>
      <c r="H24" s="5"/>
      <c r="I24" s="5"/>
      <c r="J24" s="5"/>
    </row>
    <row r="25" spans="1:10">
      <c r="A25" s="1">
        <v>21</v>
      </c>
      <c r="B25" s="18">
        <v>79956820</v>
      </c>
      <c r="C25" s="4" t="s">
        <v>45</v>
      </c>
      <c r="D25" s="5" t="s">
        <v>21</v>
      </c>
      <c r="E25" s="41"/>
      <c r="F25" s="41"/>
      <c r="G25" s="43"/>
      <c r="H25" s="5"/>
      <c r="I25" s="5"/>
      <c r="J25" s="5"/>
    </row>
    <row r="26" spans="1:10">
      <c r="A26" s="1">
        <v>22</v>
      </c>
      <c r="B26" s="18">
        <v>80033827</v>
      </c>
      <c r="C26" s="4" t="s">
        <v>46</v>
      </c>
      <c r="D26" s="5" t="s">
        <v>15</v>
      </c>
      <c r="E26" s="41"/>
      <c r="F26" s="41"/>
      <c r="G26" s="43"/>
      <c r="H26" s="5"/>
      <c r="I26" s="5"/>
      <c r="J26" s="5"/>
    </row>
    <row r="27" spans="1:10">
      <c r="A27" s="1">
        <v>23</v>
      </c>
      <c r="B27" s="18">
        <v>79572003</v>
      </c>
      <c r="C27" s="4" t="s">
        <v>47</v>
      </c>
      <c r="D27" s="5" t="s">
        <v>15</v>
      </c>
      <c r="E27" s="41"/>
      <c r="F27" s="41"/>
      <c r="G27" s="43"/>
      <c r="H27" s="5"/>
      <c r="I27" s="5"/>
      <c r="J27" s="5"/>
    </row>
    <row r="28" spans="1:10" ht="27">
      <c r="A28" s="1">
        <v>24</v>
      </c>
      <c r="B28" s="18">
        <v>3228052</v>
      </c>
      <c r="C28" s="4" t="s">
        <v>48</v>
      </c>
      <c r="D28" s="5" t="s">
        <v>49</v>
      </c>
      <c r="E28" s="41"/>
      <c r="F28" s="41"/>
      <c r="G28" s="44" t="s">
        <v>50</v>
      </c>
      <c r="H28" s="5">
        <v>2024</v>
      </c>
      <c r="I28" s="5"/>
      <c r="J28" s="5"/>
    </row>
    <row r="29" spans="1:10">
      <c r="A29" s="1">
        <v>25</v>
      </c>
      <c r="B29" s="18">
        <v>79553193</v>
      </c>
      <c r="C29" s="4" t="s">
        <v>51</v>
      </c>
      <c r="D29" s="5" t="s">
        <v>30</v>
      </c>
      <c r="E29" s="41"/>
      <c r="F29" s="41"/>
      <c r="G29" s="43"/>
      <c r="H29" s="5"/>
      <c r="I29" s="5"/>
      <c r="J29" s="5"/>
    </row>
    <row r="30" spans="1:10">
      <c r="A30" s="1">
        <v>26</v>
      </c>
      <c r="B30" s="18">
        <v>79367935</v>
      </c>
      <c r="C30" s="4" t="s">
        <v>52</v>
      </c>
      <c r="D30" s="5" t="s">
        <v>21</v>
      </c>
      <c r="E30" s="41"/>
      <c r="F30" s="41"/>
      <c r="G30" s="43"/>
      <c r="H30" s="5"/>
      <c r="I30" s="5"/>
      <c r="J30" s="5"/>
    </row>
    <row r="31" spans="1:10">
      <c r="A31" s="1">
        <v>27</v>
      </c>
      <c r="B31" s="18">
        <v>7724669</v>
      </c>
      <c r="C31" s="4" t="s">
        <v>53</v>
      </c>
      <c r="D31" s="5" t="s">
        <v>15</v>
      </c>
      <c r="E31" s="41" t="str">
        <f>+E22</f>
        <v>CURSÓ Y APROBÓ</v>
      </c>
      <c r="F31" s="41">
        <v>2024</v>
      </c>
      <c r="G31" s="44"/>
      <c r="H31" s="5"/>
      <c r="I31" s="5"/>
      <c r="J31" s="5"/>
    </row>
    <row r="32" spans="1:10">
      <c r="A32" s="1">
        <v>28</v>
      </c>
      <c r="B32" s="18">
        <v>9395122</v>
      </c>
      <c r="C32" s="4" t="s">
        <v>54</v>
      </c>
      <c r="D32" s="5" t="s">
        <v>15</v>
      </c>
      <c r="E32" s="41"/>
      <c r="F32" s="41"/>
      <c r="G32" s="44" t="s">
        <v>55</v>
      </c>
      <c r="H32" s="5">
        <v>2024</v>
      </c>
      <c r="I32" s="5"/>
      <c r="J32" s="5"/>
    </row>
    <row r="33" spans="1:10">
      <c r="A33" s="1">
        <v>29</v>
      </c>
      <c r="B33" s="18">
        <v>79563205</v>
      </c>
      <c r="C33" s="4" t="s">
        <v>56</v>
      </c>
      <c r="D33" s="5" t="s">
        <v>30</v>
      </c>
      <c r="E33" s="41"/>
      <c r="F33" s="41"/>
      <c r="G33" s="43"/>
      <c r="H33" s="5"/>
      <c r="I33" s="5"/>
      <c r="J33" s="5"/>
    </row>
    <row r="34" spans="1:10">
      <c r="A34" s="1">
        <v>30</v>
      </c>
      <c r="B34" s="18">
        <v>51610577</v>
      </c>
      <c r="C34" s="4" t="s">
        <v>57</v>
      </c>
      <c r="D34" s="5" t="s">
        <v>21</v>
      </c>
      <c r="E34" s="41"/>
      <c r="F34" s="41"/>
      <c r="G34" s="43"/>
      <c r="H34" s="5"/>
      <c r="I34" s="5"/>
      <c r="J34" s="5"/>
    </row>
    <row r="35" spans="1:10" ht="27">
      <c r="A35" s="1">
        <v>31</v>
      </c>
      <c r="B35" s="18">
        <v>7165116</v>
      </c>
      <c r="C35" s="4" t="s">
        <v>58</v>
      </c>
      <c r="D35" s="5" t="s">
        <v>15</v>
      </c>
      <c r="E35" s="41"/>
      <c r="F35" s="41"/>
      <c r="G35" s="44" t="s">
        <v>59</v>
      </c>
      <c r="H35" s="5">
        <v>2023</v>
      </c>
      <c r="I35" s="5"/>
      <c r="J35" s="5"/>
    </row>
    <row r="36" spans="1:10">
      <c r="A36" s="1">
        <v>32</v>
      </c>
      <c r="B36" s="18">
        <v>79757342</v>
      </c>
      <c r="C36" s="4" t="s">
        <v>60</v>
      </c>
      <c r="D36" s="5" t="s">
        <v>30</v>
      </c>
      <c r="E36" s="41"/>
      <c r="F36" s="41"/>
      <c r="G36" s="43"/>
      <c r="H36" s="5"/>
      <c r="I36" s="5"/>
      <c r="J36" s="5"/>
    </row>
    <row r="37" spans="1:10">
      <c r="A37" s="1">
        <v>33</v>
      </c>
      <c r="B37" s="18">
        <v>79508767</v>
      </c>
      <c r="C37" s="4" t="s">
        <v>61</v>
      </c>
      <c r="D37" s="5" t="s">
        <v>15</v>
      </c>
      <c r="E37" s="41"/>
      <c r="F37" s="41"/>
      <c r="G37" s="43"/>
      <c r="H37" s="5"/>
      <c r="I37" s="5"/>
      <c r="J37" s="5"/>
    </row>
    <row r="38" spans="1:10">
      <c r="A38" s="1">
        <v>34</v>
      </c>
      <c r="B38" s="18">
        <v>19440276</v>
      </c>
      <c r="C38" s="4" t="s">
        <v>62</v>
      </c>
      <c r="D38" s="5" t="s">
        <v>15</v>
      </c>
      <c r="E38" s="41"/>
      <c r="F38" s="41"/>
      <c r="G38" s="43"/>
      <c r="H38" s="5"/>
      <c r="I38" s="5"/>
      <c r="J38" s="5"/>
    </row>
    <row r="39" spans="1:10">
      <c r="A39" s="1">
        <v>35</v>
      </c>
      <c r="B39" s="18">
        <v>79390069</v>
      </c>
      <c r="C39" s="4" t="s">
        <v>63</v>
      </c>
      <c r="D39" s="5" t="s">
        <v>15</v>
      </c>
      <c r="E39" s="41"/>
      <c r="F39" s="41"/>
      <c r="G39" s="43"/>
      <c r="H39" s="5"/>
      <c r="I39" s="5"/>
      <c r="J39" s="5"/>
    </row>
    <row r="40" spans="1:10" ht="27">
      <c r="A40" s="1">
        <v>36</v>
      </c>
      <c r="B40" s="18">
        <v>93414671</v>
      </c>
      <c r="C40" s="4" t="s">
        <v>64</v>
      </c>
      <c r="D40" s="5" t="s">
        <v>15</v>
      </c>
      <c r="E40" s="41"/>
      <c r="F40" s="41"/>
      <c r="G40" s="44" t="s">
        <v>65</v>
      </c>
      <c r="H40" s="5">
        <v>2023</v>
      </c>
      <c r="I40" s="5"/>
      <c r="J40" s="5"/>
    </row>
    <row r="41" spans="1:10">
      <c r="A41" s="1">
        <v>37</v>
      </c>
      <c r="B41" s="2"/>
      <c r="C41" s="4"/>
      <c r="D41" s="5"/>
      <c r="E41" s="41"/>
      <c r="F41" s="41"/>
      <c r="G41" s="43"/>
      <c r="H41" s="5"/>
      <c r="I41" s="5"/>
      <c r="J41" s="5"/>
    </row>
    <row r="42" spans="1:10">
      <c r="A42" s="1">
        <v>38</v>
      </c>
      <c r="B42" s="2"/>
      <c r="C42" s="4"/>
      <c r="D42" s="5"/>
      <c r="E42" s="41"/>
      <c r="F42" s="41"/>
      <c r="G42" s="44"/>
      <c r="H42" s="5"/>
      <c r="I42" s="5"/>
      <c r="J42" s="5"/>
    </row>
    <row r="43" spans="1:10">
      <c r="A43" s="1">
        <v>39</v>
      </c>
      <c r="B43" s="2"/>
      <c r="C43" s="4"/>
      <c r="D43" s="5"/>
      <c r="E43" s="41"/>
      <c r="F43" s="41"/>
      <c r="G43" s="43"/>
      <c r="H43" s="5"/>
      <c r="I43" s="5"/>
      <c r="J43" s="5"/>
    </row>
    <row r="44" spans="1:10">
      <c r="A44" s="1">
        <v>40</v>
      </c>
      <c r="B44" s="2"/>
      <c r="C44" s="4"/>
      <c r="D44" s="5"/>
      <c r="E44" s="41"/>
      <c r="F44" s="41"/>
      <c r="G44" s="43"/>
      <c r="H44" s="5"/>
      <c r="I44" s="5"/>
      <c r="J44" s="5"/>
    </row>
    <row r="45" spans="1:10">
      <c r="A45" s="1">
        <v>41</v>
      </c>
      <c r="B45" s="2"/>
      <c r="C45" s="4"/>
      <c r="D45" s="5"/>
      <c r="E45" s="41"/>
      <c r="F45" s="41"/>
      <c r="G45" s="43"/>
      <c r="H45" s="5"/>
      <c r="I45" s="5"/>
      <c r="J45" s="5"/>
    </row>
    <row r="46" spans="1:10">
      <c r="A46" s="1">
        <v>42</v>
      </c>
      <c r="B46" s="2"/>
      <c r="C46" s="4"/>
      <c r="D46" s="5"/>
      <c r="E46" s="41"/>
      <c r="F46" s="41"/>
      <c r="G46" s="43"/>
      <c r="H46" s="5"/>
      <c r="I46" s="5"/>
      <c r="J46" s="5"/>
    </row>
    <row r="47" spans="1:10">
      <c r="G47" s="43"/>
    </row>
    <row r="48" spans="1:10">
      <c r="G48" s="43"/>
    </row>
    <row r="49" spans="7:7">
      <c r="G49" s="43"/>
    </row>
  </sheetData>
  <autoFilter ref="A4:J46" xr:uid="{D6D19C1A-4924-4C8B-8E47-71E6650FACAA}"/>
  <sortState xmlns:xlrd2="http://schemas.microsoft.com/office/spreadsheetml/2017/richdata2" ref="B5:C46">
    <sortCondition ref="C46"/>
  </sortState>
  <mergeCells count="9">
    <mergeCell ref="D2:H2"/>
    <mergeCell ref="G3:H3"/>
    <mergeCell ref="J3:J4"/>
    <mergeCell ref="A3:A4"/>
    <mergeCell ref="B3:B4"/>
    <mergeCell ref="C3:C4"/>
    <mergeCell ref="D3:D4"/>
    <mergeCell ref="I3:I4"/>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5D6D-3F77-4AF9-B334-9D127AF3C1F2}">
  <dimension ref="B2:P54"/>
  <sheetViews>
    <sheetView zoomScale="115" zoomScaleNormal="115" workbookViewId="0">
      <selection activeCell="A7" sqref="A7"/>
    </sheetView>
  </sheetViews>
  <sheetFormatPr defaultColWidth="11.42578125" defaultRowHeight="15"/>
  <cols>
    <col min="2" max="2" width="4.140625" customWidth="1"/>
    <col min="4" max="4" width="24.42578125" bestFit="1" customWidth="1"/>
    <col min="5" max="5" width="28.42578125" customWidth="1"/>
    <col min="6" max="6" width="19" customWidth="1"/>
    <col min="7" max="7" width="44" bestFit="1" customWidth="1"/>
    <col min="9" max="9" width="20.5703125" bestFit="1" customWidth="1"/>
    <col min="12" max="13" width="11.42578125" style="17"/>
    <col min="14" max="14" width="12.7109375" customWidth="1"/>
    <col min="15" max="15" width="13.28515625" customWidth="1"/>
    <col min="16" max="16" width="14.140625" customWidth="1"/>
  </cols>
  <sheetData>
    <row r="2" spans="2:16" ht="15.75">
      <c r="B2" s="59" t="s">
        <v>66</v>
      </c>
      <c r="C2" s="59" t="s">
        <v>67</v>
      </c>
      <c r="D2" s="59" t="s">
        <v>68</v>
      </c>
      <c r="E2" s="60" t="s">
        <v>69</v>
      </c>
      <c r="F2" s="59" t="s">
        <v>70</v>
      </c>
      <c r="G2" s="59" t="s">
        <v>71</v>
      </c>
      <c r="H2" s="59" t="s">
        <v>72</v>
      </c>
      <c r="I2" s="59" t="s">
        <v>73</v>
      </c>
      <c r="J2" s="59" t="s">
        <v>74</v>
      </c>
      <c r="K2" s="63"/>
      <c r="L2" s="59" t="s">
        <v>75</v>
      </c>
      <c r="M2" s="62"/>
      <c r="N2" s="59" t="s">
        <v>76</v>
      </c>
      <c r="O2" s="59" t="s">
        <v>77</v>
      </c>
      <c r="P2" s="61" t="s">
        <v>78</v>
      </c>
    </row>
    <row r="3" spans="2:16">
      <c r="B3" s="63"/>
      <c r="C3" s="59"/>
      <c r="D3" s="63"/>
      <c r="E3" s="64"/>
      <c r="F3" s="63"/>
      <c r="G3" s="63"/>
      <c r="H3" s="63"/>
      <c r="I3" s="63"/>
      <c r="J3" s="9" t="s">
        <v>79</v>
      </c>
      <c r="K3" s="9" t="s">
        <v>80</v>
      </c>
      <c r="L3" s="15" t="s">
        <v>81</v>
      </c>
      <c r="M3" s="9" t="s">
        <v>80</v>
      </c>
      <c r="N3" s="63"/>
      <c r="O3" s="63"/>
      <c r="P3" s="61"/>
    </row>
    <row r="4" spans="2:16" ht="40.5">
      <c r="B4" s="11">
        <v>1</v>
      </c>
      <c r="C4" s="18">
        <v>51703985</v>
      </c>
      <c r="D4" s="4" t="s">
        <v>14</v>
      </c>
      <c r="E4" s="13" t="s">
        <v>82</v>
      </c>
      <c r="F4" s="14" t="s">
        <v>83</v>
      </c>
      <c r="G4" s="12" t="s">
        <v>84</v>
      </c>
      <c r="H4" s="12"/>
      <c r="I4" s="12" t="s">
        <v>85</v>
      </c>
      <c r="J4" s="12"/>
      <c r="K4" s="12"/>
      <c r="L4" s="16"/>
      <c r="M4" s="16" t="s">
        <v>86</v>
      </c>
      <c r="N4" s="7">
        <v>45124</v>
      </c>
      <c r="O4" s="7">
        <v>45128</v>
      </c>
      <c r="P4" s="8">
        <f>+_xlfn.DAYS(O4,N4)+1</f>
        <v>5</v>
      </c>
    </row>
    <row r="5" spans="2:16" ht="40.5">
      <c r="B5" s="6">
        <v>2</v>
      </c>
      <c r="C5" s="18">
        <v>51703985</v>
      </c>
      <c r="D5" s="4" t="s">
        <v>14</v>
      </c>
      <c r="E5" s="13" t="s">
        <v>87</v>
      </c>
      <c r="F5" s="14" t="s">
        <v>88</v>
      </c>
      <c r="G5" s="12" t="s">
        <v>89</v>
      </c>
      <c r="H5" s="12"/>
      <c r="I5" s="12" t="s">
        <v>85</v>
      </c>
      <c r="J5" s="12"/>
      <c r="K5" s="12"/>
      <c r="L5" s="16" t="s">
        <v>86</v>
      </c>
      <c r="M5" s="16"/>
      <c r="N5" s="7">
        <v>45232</v>
      </c>
      <c r="O5" s="7">
        <v>45234</v>
      </c>
      <c r="P5" s="8">
        <f t="shared" ref="P5:P13" si="0">+_xlfn.DAYS(O5,N5)+1</f>
        <v>3</v>
      </c>
    </row>
    <row r="6" spans="2:16" ht="27">
      <c r="B6" s="6">
        <v>3</v>
      </c>
      <c r="C6" s="18">
        <v>51703985</v>
      </c>
      <c r="D6" s="4" t="s">
        <v>14</v>
      </c>
      <c r="E6" s="13" t="s">
        <v>90</v>
      </c>
      <c r="F6" s="14" t="s">
        <v>91</v>
      </c>
      <c r="G6" s="12" t="s">
        <v>92</v>
      </c>
      <c r="H6" s="12"/>
      <c r="I6" s="12" t="s">
        <v>85</v>
      </c>
      <c r="J6" s="12"/>
      <c r="K6" s="12"/>
      <c r="L6" s="16" t="s">
        <v>86</v>
      </c>
      <c r="M6" s="16"/>
      <c r="N6" s="7">
        <v>45722</v>
      </c>
      <c r="O6" s="7">
        <v>45724</v>
      </c>
      <c r="P6" s="8">
        <f t="shared" si="0"/>
        <v>3</v>
      </c>
    </row>
    <row r="7" spans="2:16" ht="40.5">
      <c r="B7" s="6">
        <v>4</v>
      </c>
      <c r="C7" s="18">
        <v>79708124</v>
      </c>
      <c r="D7" s="4" t="s">
        <v>29</v>
      </c>
      <c r="E7" s="13" t="s">
        <v>93</v>
      </c>
      <c r="F7" s="14" t="s">
        <v>94</v>
      </c>
      <c r="G7" s="12" t="s">
        <v>95</v>
      </c>
      <c r="H7" s="12"/>
      <c r="I7" s="12" t="s">
        <v>85</v>
      </c>
      <c r="J7" s="12"/>
      <c r="K7" s="12"/>
      <c r="L7" s="16" t="s">
        <v>86</v>
      </c>
      <c r="M7" s="16"/>
      <c r="N7" s="7">
        <v>45050</v>
      </c>
      <c r="O7" s="7">
        <v>45052</v>
      </c>
      <c r="P7" s="8">
        <f t="shared" si="0"/>
        <v>3</v>
      </c>
    </row>
    <row r="8" spans="2:16" ht="54">
      <c r="B8" s="6">
        <v>5</v>
      </c>
      <c r="C8" s="18">
        <v>79708124</v>
      </c>
      <c r="D8" s="4" t="s">
        <v>29</v>
      </c>
      <c r="E8" s="13" t="s">
        <v>96</v>
      </c>
      <c r="F8" s="14" t="s">
        <v>97</v>
      </c>
      <c r="G8" s="12" t="s">
        <v>98</v>
      </c>
      <c r="H8" s="12"/>
      <c r="I8" s="12" t="s">
        <v>85</v>
      </c>
      <c r="J8" s="12"/>
      <c r="K8" s="12"/>
      <c r="L8" s="16" t="s">
        <v>86</v>
      </c>
      <c r="M8" s="16"/>
      <c r="N8" s="7">
        <v>45889</v>
      </c>
      <c r="O8" s="7">
        <v>45891</v>
      </c>
      <c r="P8" s="8">
        <f t="shared" si="0"/>
        <v>3</v>
      </c>
    </row>
    <row r="9" spans="2:16" ht="27">
      <c r="B9" s="6">
        <v>6</v>
      </c>
      <c r="C9" s="18">
        <v>19483708</v>
      </c>
      <c r="D9" s="4" t="s">
        <v>35</v>
      </c>
      <c r="E9" s="13" t="s">
        <v>99</v>
      </c>
      <c r="F9" s="14" t="s">
        <v>91</v>
      </c>
      <c r="G9" s="12" t="s">
        <v>100</v>
      </c>
      <c r="H9" s="12"/>
      <c r="I9" s="12" t="s">
        <v>85</v>
      </c>
      <c r="J9" s="12"/>
      <c r="K9" s="12"/>
      <c r="L9" s="16" t="s">
        <v>86</v>
      </c>
      <c r="M9" s="16"/>
      <c r="N9" s="7">
        <v>45038</v>
      </c>
      <c r="O9" s="7">
        <v>45042</v>
      </c>
      <c r="P9" s="8">
        <f t="shared" si="0"/>
        <v>5</v>
      </c>
    </row>
    <row r="10" spans="2:16" ht="40.5">
      <c r="B10" s="6">
        <v>7</v>
      </c>
      <c r="C10" s="2">
        <v>79973967</v>
      </c>
      <c r="D10" s="4" t="s">
        <v>36</v>
      </c>
      <c r="E10" s="13" t="s">
        <v>101</v>
      </c>
      <c r="F10" s="14" t="s">
        <v>102</v>
      </c>
      <c r="G10" s="12" t="s">
        <v>103</v>
      </c>
      <c r="H10" s="12"/>
      <c r="I10" s="12" t="s">
        <v>85</v>
      </c>
      <c r="J10" s="12"/>
      <c r="K10" s="12"/>
      <c r="L10" s="16"/>
      <c r="M10" s="16" t="s">
        <v>86</v>
      </c>
      <c r="N10" s="7">
        <v>45077</v>
      </c>
      <c r="O10" s="7">
        <v>45079</v>
      </c>
      <c r="P10" s="8">
        <f t="shared" si="0"/>
        <v>3</v>
      </c>
    </row>
    <row r="11" spans="2:16" ht="40.5">
      <c r="B11" s="6">
        <v>8</v>
      </c>
      <c r="C11" s="2">
        <v>79973968</v>
      </c>
      <c r="D11" s="4" t="s">
        <v>36</v>
      </c>
      <c r="E11" s="13" t="s">
        <v>104</v>
      </c>
      <c r="F11" s="14" t="s">
        <v>105</v>
      </c>
      <c r="G11" s="12" t="s">
        <v>106</v>
      </c>
      <c r="H11" s="12"/>
      <c r="I11" s="12" t="s">
        <v>85</v>
      </c>
      <c r="J11" s="12"/>
      <c r="K11" s="12"/>
      <c r="L11" s="16"/>
      <c r="M11" s="16" t="s">
        <v>86</v>
      </c>
      <c r="N11" s="7">
        <v>45478</v>
      </c>
      <c r="O11" s="7">
        <v>45480</v>
      </c>
      <c r="P11" s="8">
        <f t="shared" si="0"/>
        <v>3</v>
      </c>
    </row>
    <row r="12" spans="2:16" ht="40.5">
      <c r="B12" s="6">
        <v>9</v>
      </c>
      <c r="C12" s="2">
        <v>79973969</v>
      </c>
      <c r="D12" s="4" t="s">
        <v>36</v>
      </c>
      <c r="E12" s="13" t="s">
        <v>107</v>
      </c>
      <c r="F12" s="14" t="s">
        <v>108</v>
      </c>
      <c r="G12" s="12" t="s">
        <v>109</v>
      </c>
      <c r="H12" s="12"/>
      <c r="I12" s="12" t="s">
        <v>85</v>
      </c>
      <c r="J12" s="12"/>
      <c r="K12" s="12"/>
      <c r="L12" s="16"/>
      <c r="M12" s="16" t="s">
        <v>86</v>
      </c>
      <c r="N12" s="7">
        <v>45607</v>
      </c>
      <c r="O12" s="7">
        <v>45611</v>
      </c>
      <c r="P12" s="8">
        <f t="shared" si="0"/>
        <v>5</v>
      </c>
    </row>
    <row r="13" spans="2:16" ht="27">
      <c r="B13" s="6">
        <v>10</v>
      </c>
      <c r="C13" s="2">
        <v>79973970</v>
      </c>
      <c r="D13" s="4" t="s">
        <v>36</v>
      </c>
      <c r="E13" s="13" t="s">
        <v>110</v>
      </c>
      <c r="F13" s="14" t="s">
        <v>111</v>
      </c>
      <c r="G13" s="12" t="s">
        <v>112</v>
      </c>
      <c r="H13" s="12"/>
      <c r="I13" s="12" t="s">
        <v>85</v>
      </c>
      <c r="J13" s="12"/>
      <c r="K13" s="12"/>
      <c r="L13" s="16"/>
      <c r="M13" s="16" t="s">
        <v>86</v>
      </c>
      <c r="N13" s="7">
        <v>45885</v>
      </c>
      <c r="O13" s="7">
        <v>45888</v>
      </c>
      <c r="P13" s="8">
        <f t="shared" si="0"/>
        <v>4</v>
      </c>
    </row>
    <row r="14" spans="2:16" ht="40.5">
      <c r="B14" s="6">
        <v>11</v>
      </c>
      <c r="C14" s="2">
        <v>79950025</v>
      </c>
      <c r="D14" s="4" t="s">
        <v>41</v>
      </c>
      <c r="E14" s="13" t="s">
        <v>113</v>
      </c>
      <c r="F14" s="14" t="s">
        <v>114</v>
      </c>
      <c r="G14" s="12" t="s">
        <v>115</v>
      </c>
      <c r="H14" s="12"/>
      <c r="I14" s="12" t="s">
        <v>85</v>
      </c>
      <c r="J14" s="12"/>
      <c r="K14" s="12"/>
      <c r="L14" s="16"/>
      <c r="M14" s="16" t="s">
        <v>86</v>
      </c>
      <c r="N14" s="7">
        <v>45383</v>
      </c>
      <c r="O14" s="7">
        <v>45387</v>
      </c>
      <c r="P14" s="8">
        <f t="shared" ref="P14:P18" si="1">+_xlfn.DAYS(O14,N14)+1</f>
        <v>5</v>
      </c>
    </row>
    <row r="15" spans="2:16" ht="67.5">
      <c r="B15" s="6">
        <v>12</v>
      </c>
      <c r="C15" s="2">
        <v>79950026</v>
      </c>
      <c r="D15" s="4" t="s">
        <v>41</v>
      </c>
      <c r="E15" s="13" t="s">
        <v>116</v>
      </c>
      <c r="F15" s="14" t="s">
        <v>117</v>
      </c>
      <c r="G15" s="12" t="s">
        <v>118</v>
      </c>
      <c r="H15" s="12"/>
      <c r="I15" s="12" t="s">
        <v>119</v>
      </c>
      <c r="J15" s="12"/>
      <c r="K15" s="12"/>
      <c r="L15" s="16"/>
      <c r="M15" s="16"/>
      <c r="N15" s="7">
        <v>45712</v>
      </c>
      <c r="O15" s="7">
        <v>45716</v>
      </c>
      <c r="P15" s="8">
        <f t="shared" si="1"/>
        <v>5</v>
      </c>
    </row>
    <row r="16" spans="2:16" ht="40.5">
      <c r="B16" s="6">
        <v>13</v>
      </c>
      <c r="C16" s="18">
        <v>74373175</v>
      </c>
      <c r="D16" s="4" t="s">
        <v>42</v>
      </c>
      <c r="E16" s="13" t="s">
        <v>120</v>
      </c>
      <c r="F16" s="14" t="s">
        <v>121</v>
      </c>
      <c r="G16" s="12" t="s">
        <v>122</v>
      </c>
      <c r="H16" s="12"/>
      <c r="I16" s="12" t="s">
        <v>85</v>
      </c>
      <c r="J16" s="12"/>
      <c r="K16" s="12"/>
      <c r="L16" s="16"/>
      <c r="M16" s="16" t="s">
        <v>86</v>
      </c>
      <c r="N16" s="7">
        <v>45468</v>
      </c>
      <c r="O16" s="7">
        <v>45471</v>
      </c>
      <c r="P16" s="8">
        <f t="shared" si="1"/>
        <v>4</v>
      </c>
    </row>
    <row r="17" spans="2:16" ht="40.5">
      <c r="B17" s="6">
        <v>14</v>
      </c>
      <c r="C17" s="18">
        <v>74373175</v>
      </c>
      <c r="D17" s="4" t="s">
        <v>42</v>
      </c>
      <c r="E17" s="13" t="s">
        <v>123</v>
      </c>
      <c r="F17" s="14" t="s">
        <v>91</v>
      </c>
      <c r="G17" s="12" t="s">
        <v>124</v>
      </c>
      <c r="H17" s="12"/>
      <c r="I17" s="12" t="s">
        <v>85</v>
      </c>
      <c r="J17" s="12"/>
      <c r="K17" s="12"/>
      <c r="L17" s="16" t="s">
        <v>86</v>
      </c>
      <c r="M17" s="16"/>
      <c r="N17" s="7">
        <v>45581</v>
      </c>
      <c r="O17" s="7">
        <v>45583</v>
      </c>
      <c r="P17" s="8">
        <f t="shared" si="1"/>
        <v>3</v>
      </c>
    </row>
    <row r="18" spans="2:16" ht="54">
      <c r="B18" s="6">
        <v>15</v>
      </c>
      <c r="C18" s="18">
        <v>79956820</v>
      </c>
      <c r="D18" s="4" t="s">
        <v>45</v>
      </c>
      <c r="E18" s="13" t="s">
        <v>125</v>
      </c>
      <c r="F18" s="14" t="s">
        <v>126</v>
      </c>
      <c r="G18" s="12" t="s">
        <v>127</v>
      </c>
      <c r="H18" s="12"/>
      <c r="I18" s="12" t="s">
        <v>85</v>
      </c>
      <c r="J18" s="12"/>
      <c r="K18" s="12"/>
      <c r="L18" s="16"/>
      <c r="M18" s="16" t="s">
        <v>86</v>
      </c>
      <c r="N18" s="7">
        <v>45250</v>
      </c>
      <c r="O18" s="7">
        <v>45254</v>
      </c>
      <c r="P18" s="8">
        <f t="shared" si="1"/>
        <v>5</v>
      </c>
    </row>
    <row r="19" spans="2:16" ht="54">
      <c r="B19" s="6">
        <v>16</v>
      </c>
      <c r="C19" s="18">
        <v>79956820</v>
      </c>
      <c r="D19" s="4" t="s">
        <v>45</v>
      </c>
      <c r="E19" s="13" t="s">
        <v>128</v>
      </c>
      <c r="F19" s="14" t="s">
        <v>83</v>
      </c>
      <c r="G19" s="12" t="s">
        <v>129</v>
      </c>
      <c r="H19" s="12"/>
      <c r="I19" s="12" t="s">
        <v>85</v>
      </c>
      <c r="J19" s="12"/>
      <c r="K19" s="12"/>
      <c r="L19" s="16"/>
      <c r="M19" s="16" t="s">
        <v>86</v>
      </c>
      <c r="N19" s="7">
        <v>45126</v>
      </c>
      <c r="O19" s="7">
        <v>45128</v>
      </c>
      <c r="P19" s="8">
        <f t="shared" ref="P19:P22" si="2">+_xlfn.DAYS(O19,N19)+1</f>
        <v>3</v>
      </c>
    </row>
    <row r="20" spans="2:16" ht="54">
      <c r="B20" s="6">
        <v>17</v>
      </c>
      <c r="C20" s="18">
        <v>79572003</v>
      </c>
      <c r="D20" s="4" t="s">
        <v>47</v>
      </c>
      <c r="E20" s="13" t="s">
        <v>130</v>
      </c>
      <c r="F20" s="14" t="s">
        <v>131</v>
      </c>
      <c r="G20" s="12" t="s">
        <v>132</v>
      </c>
      <c r="H20" s="12"/>
      <c r="I20" s="12" t="s">
        <v>85</v>
      </c>
      <c r="J20" s="12"/>
      <c r="K20" s="12"/>
      <c r="L20" s="16"/>
      <c r="M20" s="16" t="s">
        <v>133</v>
      </c>
      <c r="N20" s="7">
        <v>45181</v>
      </c>
      <c r="O20" s="7">
        <v>45184</v>
      </c>
      <c r="P20" s="8">
        <f t="shared" si="2"/>
        <v>4</v>
      </c>
    </row>
    <row r="21" spans="2:16" ht="54">
      <c r="B21" s="6">
        <v>18</v>
      </c>
      <c r="C21" s="18">
        <v>79572003</v>
      </c>
      <c r="D21" s="4" t="s">
        <v>47</v>
      </c>
      <c r="E21" s="13" t="s">
        <v>134</v>
      </c>
      <c r="F21" s="14" t="s">
        <v>135</v>
      </c>
      <c r="G21" s="12" t="s">
        <v>136</v>
      </c>
      <c r="H21" s="12"/>
      <c r="I21" s="12" t="s">
        <v>85</v>
      </c>
      <c r="J21" s="12"/>
      <c r="K21" s="12"/>
      <c r="L21" s="16"/>
      <c r="M21" s="16" t="s">
        <v>133</v>
      </c>
      <c r="N21" s="7">
        <v>45447</v>
      </c>
      <c r="O21" s="7">
        <v>45450</v>
      </c>
      <c r="P21" s="8">
        <f t="shared" si="2"/>
        <v>4</v>
      </c>
    </row>
    <row r="22" spans="2:16" ht="40.5">
      <c r="B22" s="6">
        <v>19</v>
      </c>
      <c r="C22" s="18">
        <v>79367935</v>
      </c>
      <c r="D22" s="4" t="s">
        <v>52</v>
      </c>
      <c r="E22" s="13" t="s">
        <v>137</v>
      </c>
      <c r="F22" s="14" t="s">
        <v>138</v>
      </c>
      <c r="G22" s="12" t="s">
        <v>139</v>
      </c>
      <c r="H22" s="12"/>
      <c r="I22" s="12" t="s">
        <v>85</v>
      </c>
      <c r="J22" s="12"/>
      <c r="K22" s="12"/>
      <c r="L22" s="16"/>
      <c r="M22" s="16" t="s">
        <v>86</v>
      </c>
      <c r="N22" s="7">
        <v>45074</v>
      </c>
      <c r="O22" s="7">
        <v>45078</v>
      </c>
      <c r="P22" s="8">
        <f t="shared" si="2"/>
        <v>5</v>
      </c>
    </row>
    <row r="23" spans="2:16" ht="54">
      <c r="B23" s="6">
        <v>20</v>
      </c>
      <c r="C23" s="18">
        <v>79367935</v>
      </c>
      <c r="D23" s="4" t="s">
        <v>52</v>
      </c>
      <c r="E23" s="13" t="s">
        <v>140</v>
      </c>
      <c r="F23" s="14" t="s">
        <v>141</v>
      </c>
      <c r="G23" s="12" t="s">
        <v>142</v>
      </c>
      <c r="H23" s="12"/>
      <c r="I23" s="12" t="s">
        <v>85</v>
      </c>
      <c r="J23" s="12"/>
      <c r="K23" s="12"/>
      <c r="L23" s="16"/>
      <c r="M23" s="16" t="s">
        <v>86</v>
      </c>
      <c r="N23" s="7">
        <v>45600</v>
      </c>
      <c r="O23" s="7">
        <v>45604</v>
      </c>
      <c r="P23" s="8">
        <f t="shared" ref="P23:P37" si="3">+_xlfn.DAYS(O23,N23)+1</f>
        <v>5</v>
      </c>
    </row>
    <row r="24" spans="2:16" ht="54">
      <c r="B24" s="6">
        <v>21</v>
      </c>
      <c r="C24" s="18">
        <v>7724669</v>
      </c>
      <c r="D24" s="4" t="s">
        <v>53</v>
      </c>
      <c r="E24" s="13" t="s">
        <v>143</v>
      </c>
      <c r="F24" s="14" t="s">
        <v>144</v>
      </c>
      <c r="G24" s="12" t="s">
        <v>145</v>
      </c>
      <c r="H24" s="12"/>
      <c r="I24" s="12" t="s">
        <v>85</v>
      </c>
      <c r="J24" s="12"/>
      <c r="K24" s="12"/>
      <c r="L24" s="16" t="s">
        <v>86</v>
      </c>
      <c r="M24" s="16"/>
      <c r="N24" s="7">
        <v>45224</v>
      </c>
      <c r="O24" s="7">
        <v>45226</v>
      </c>
      <c r="P24" s="8">
        <f t="shared" si="3"/>
        <v>3</v>
      </c>
    </row>
    <row r="25" spans="2:16" ht="40.5">
      <c r="B25" s="30">
        <v>22</v>
      </c>
      <c r="C25" s="20">
        <v>7724669</v>
      </c>
      <c r="D25" s="21" t="s">
        <v>53</v>
      </c>
      <c r="E25" s="25" t="s">
        <v>146</v>
      </c>
      <c r="F25" s="26" t="s">
        <v>147</v>
      </c>
      <c r="G25" s="12" t="s">
        <v>148</v>
      </c>
      <c r="H25" s="12"/>
      <c r="I25" s="12" t="s">
        <v>85</v>
      </c>
      <c r="J25" s="12"/>
      <c r="K25" s="12"/>
      <c r="L25" s="16" t="s">
        <v>86</v>
      </c>
      <c r="M25" s="16"/>
      <c r="N25" s="7">
        <v>45188</v>
      </c>
      <c r="O25" s="7">
        <v>45191</v>
      </c>
      <c r="P25" s="8">
        <f t="shared" si="3"/>
        <v>4</v>
      </c>
    </row>
    <row r="26" spans="2:16" ht="54">
      <c r="B26" s="31">
        <v>23</v>
      </c>
      <c r="C26" s="32">
        <v>7724669</v>
      </c>
      <c r="D26" s="27" t="s">
        <v>53</v>
      </c>
      <c r="E26" s="28" t="s">
        <v>149</v>
      </c>
      <c r="F26" s="29" t="s">
        <v>147</v>
      </c>
      <c r="G26" s="24" t="s">
        <v>150</v>
      </c>
      <c r="H26" s="12"/>
      <c r="I26" s="12" t="s">
        <v>85</v>
      </c>
      <c r="J26" s="12"/>
      <c r="K26" s="12"/>
      <c r="L26" s="16" t="s">
        <v>86</v>
      </c>
      <c r="M26" s="16"/>
      <c r="N26" s="7">
        <v>45559</v>
      </c>
      <c r="O26" s="7">
        <v>45562</v>
      </c>
      <c r="P26" s="8">
        <f t="shared" si="3"/>
        <v>4</v>
      </c>
    </row>
    <row r="27" spans="2:16" ht="54">
      <c r="B27" s="34">
        <v>24</v>
      </c>
      <c r="C27" s="35">
        <v>9395122</v>
      </c>
      <c r="D27" s="36" t="s">
        <v>54</v>
      </c>
      <c r="E27" s="28" t="s">
        <v>151</v>
      </c>
      <c r="F27" s="33" t="s">
        <v>117</v>
      </c>
      <c r="G27" s="12" t="s">
        <v>152</v>
      </c>
      <c r="H27" s="12"/>
      <c r="I27" s="12" t="s">
        <v>119</v>
      </c>
      <c r="J27" s="12"/>
      <c r="K27" s="12"/>
      <c r="L27" s="16"/>
      <c r="M27" s="16"/>
      <c r="N27" s="7">
        <v>45048</v>
      </c>
      <c r="O27" s="7">
        <v>45138</v>
      </c>
      <c r="P27" s="8">
        <f t="shared" si="3"/>
        <v>91</v>
      </c>
    </row>
    <row r="28" spans="2:16" ht="67.5">
      <c r="B28" s="31">
        <v>25</v>
      </c>
      <c r="C28" s="32">
        <v>9395122</v>
      </c>
      <c r="D28" s="27" t="s">
        <v>54</v>
      </c>
      <c r="E28" s="19" t="s">
        <v>153</v>
      </c>
      <c r="F28" s="14" t="s">
        <v>154</v>
      </c>
      <c r="G28" s="12" t="s">
        <v>155</v>
      </c>
      <c r="H28" s="12"/>
      <c r="I28" s="12" t="s">
        <v>85</v>
      </c>
      <c r="J28" s="12"/>
      <c r="K28" s="12"/>
      <c r="L28" s="16"/>
      <c r="M28" s="16" t="s">
        <v>86</v>
      </c>
      <c r="N28" s="7">
        <v>45712</v>
      </c>
      <c r="O28" s="7">
        <v>45723</v>
      </c>
      <c r="P28" s="8">
        <f t="shared" si="3"/>
        <v>12</v>
      </c>
    </row>
    <row r="29" spans="2:16" ht="67.5">
      <c r="B29" s="31">
        <v>26</v>
      </c>
      <c r="C29" s="32">
        <v>51610577</v>
      </c>
      <c r="D29" s="27" t="s">
        <v>57</v>
      </c>
      <c r="E29" s="19" t="s">
        <v>156</v>
      </c>
      <c r="F29" s="14" t="s">
        <v>157</v>
      </c>
      <c r="G29" s="12" t="s">
        <v>158</v>
      </c>
      <c r="H29" s="12"/>
      <c r="I29" s="12" t="s">
        <v>85</v>
      </c>
      <c r="J29" s="12"/>
      <c r="K29" s="12"/>
      <c r="L29" s="16"/>
      <c r="M29" s="16" t="s">
        <v>86</v>
      </c>
      <c r="N29" s="7">
        <v>45486</v>
      </c>
      <c r="O29" s="7">
        <v>45489</v>
      </c>
      <c r="P29" s="8">
        <f t="shared" si="3"/>
        <v>4</v>
      </c>
    </row>
    <row r="30" spans="2:16" ht="40.5">
      <c r="B30" s="31">
        <v>27</v>
      </c>
      <c r="C30" s="32">
        <v>51610577</v>
      </c>
      <c r="D30" s="27" t="s">
        <v>57</v>
      </c>
      <c r="E30" s="19" t="s">
        <v>159</v>
      </c>
      <c r="F30" s="14" t="s">
        <v>141</v>
      </c>
      <c r="G30" s="12" t="s">
        <v>160</v>
      </c>
      <c r="H30" s="12"/>
      <c r="I30" s="12" t="s">
        <v>85</v>
      </c>
      <c r="J30" s="12"/>
      <c r="K30" s="12"/>
      <c r="L30" s="16"/>
      <c r="M30" s="16" t="s">
        <v>86</v>
      </c>
      <c r="N30" s="7">
        <v>45600</v>
      </c>
      <c r="O30" s="7">
        <v>45604</v>
      </c>
      <c r="P30" s="8">
        <f t="shared" si="3"/>
        <v>5</v>
      </c>
    </row>
    <row r="31" spans="2:16" ht="40.5">
      <c r="B31" s="31">
        <v>28</v>
      </c>
      <c r="C31" s="32">
        <v>79757342</v>
      </c>
      <c r="D31" s="27" t="s">
        <v>60</v>
      </c>
      <c r="E31" s="19" t="s">
        <v>161</v>
      </c>
      <c r="F31" s="14" t="s">
        <v>162</v>
      </c>
      <c r="G31" s="12" t="s">
        <v>163</v>
      </c>
      <c r="H31" s="12"/>
      <c r="I31" s="12" t="s">
        <v>85</v>
      </c>
      <c r="J31" s="12"/>
      <c r="K31" s="12"/>
      <c r="L31" s="16" t="s">
        <v>86</v>
      </c>
      <c r="M31" s="16"/>
      <c r="N31" s="7">
        <v>45588</v>
      </c>
      <c r="O31" s="7">
        <v>45590</v>
      </c>
      <c r="P31" s="8">
        <f t="shared" si="3"/>
        <v>3</v>
      </c>
    </row>
    <row r="32" spans="2:16" ht="40.5">
      <c r="B32" s="31">
        <v>29</v>
      </c>
      <c r="C32" s="35">
        <v>79390069</v>
      </c>
      <c r="D32" s="36" t="s">
        <v>63</v>
      </c>
      <c r="E32" s="37" t="s">
        <v>164</v>
      </c>
      <c r="F32" s="14" t="s">
        <v>165</v>
      </c>
      <c r="G32" s="12" t="s">
        <v>166</v>
      </c>
      <c r="H32" s="12"/>
      <c r="I32" s="12" t="s">
        <v>85</v>
      </c>
      <c r="J32" s="16"/>
      <c r="K32" s="16"/>
      <c r="L32" s="16"/>
      <c r="M32" s="16" t="s">
        <v>86</v>
      </c>
      <c r="N32" s="7">
        <v>45431</v>
      </c>
      <c r="O32" s="7">
        <v>45436</v>
      </c>
      <c r="P32" s="8">
        <f t="shared" si="3"/>
        <v>6</v>
      </c>
    </row>
    <row r="33" spans="2:16" ht="27">
      <c r="B33" s="31">
        <v>30</v>
      </c>
      <c r="C33" s="32">
        <v>172648167</v>
      </c>
      <c r="D33" s="27" t="s">
        <v>167</v>
      </c>
      <c r="E33" s="28" t="s">
        <v>168</v>
      </c>
      <c r="F33" s="33" t="s">
        <v>169</v>
      </c>
      <c r="G33" s="12" t="s">
        <v>170</v>
      </c>
      <c r="H33" s="12"/>
      <c r="I33" s="12" t="s">
        <v>85</v>
      </c>
      <c r="J33" s="16"/>
      <c r="K33" s="16" t="s">
        <v>86</v>
      </c>
      <c r="L33" s="16"/>
      <c r="M33" s="16"/>
      <c r="N33" s="7">
        <v>45216</v>
      </c>
      <c r="O33" s="7">
        <v>45219</v>
      </c>
      <c r="P33" s="8">
        <f t="shared" si="3"/>
        <v>4</v>
      </c>
    </row>
    <row r="34" spans="2:16" ht="27">
      <c r="B34" s="31">
        <v>31</v>
      </c>
      <c r="C34" s="38" t="s">
        <v>171</v>
      </c>
      <c r="D34" s="39" t="s">
        <v>172</v>
      </c>
      <c r="E34" s="19" t="s">
        <v>173</v>
      </c>
      <c r="F34" s="14" t="s">
        <v>174</v>
      </c>
      <c r="G34" s="12" t="s">
        <v>175</v>
      </c>
      <c r="H34" s="12"/>
      <c r="I34" s="12" t="s">
        <v>85</v>
      </c>
      <c r="J34" s="16"/>
      <c r="K34" s="16" t="s">
        <v>86</v>
      </c>
      <c r="L34" s="16"/>
      <c r="M34" s="16"/>
      <c r="N34" s="7">
        <v>45237</v>
      </c>
      <c r="O34" s="7">
        <v>45240</v>
      </c>
      <c r="P34" s="8">
        <f t="shared" si="3"/>
        <v>4</v>
      </c>
    </row>
    <row r="35" spans="2:16" ht="27">
      <c r="B35" s="31">
        <v>32</v>
      </c>
      <c r="C35" s="32">
        <v>551759610</v>
      </c>
      <c r="D35" s="27" t="s">
        <v>176</v>
      </c>
      <c r="E35" s="19" t="s">
        <v>173</v>
      </c>
      <c r="F35" s="14" t="s">
        <v>174</v>
      </c>
      <c r="G35" s="12" t="s">
        <v>175</v>
      </c>
      <c r="H35" s="12"/>
      <c r="I35" s="12" t="s">
        <v>85</v>
      </c>
      <c r="J35" s="16"/>
      <c r="K35" s="16" t="s">
        <v>86</v>
      </c>
      <c r="L35" s="16"/>
      <c r="M35" s="16"/>
      <c r="N35" s="7">
        <v>45237</v>
      </c>
      <c r="O35" s="7">
        <v>45240</v>
      </c>
      <c r="P35" s="8">
        <f t="shared" si="3"/>
        <v>4</v>
      </c>
    </row>
    <row r="36" spans="2:16" ht="27">
      <c r="B36" s="31">
        <v>33</v>
      </c>
      <c r="C36" s="32" t="s">
        <v>177</v>
      </c>
      <c r="D36" s="27" t="s">
        <v>178</v>
      </c>
      <c r="E36" s="19" t="s">
        <v>173</v>
      </c>
      <c r="F36" s="14" t="s">
        <v>174</v>
      </c>
      <c r="G36" s="12" t="s">
        <v>175</v>
      </c>
      <c r="H36" s="12"/>
      <c r="I36" s="12" t="s">
        <v>85</v>
      </c>
      <c r="J36" s="16"/>
      <c r="K36" s="16" t="s">
        <v>86</v>
      </c>
      <c r="L36" s="16"/>
      <c r="M36" s="16"/>
      <c r="N36" s="7">
        <v>45237</v>
      </c>
      <c r="O36" s="7">
        <v>45247</v>
      </c>
      <c r="P36" s="8">
        <f t="shared" si="3"/>
        <v>11</v>
      </c>
    </row>
    <row r="37" spans="2:16" ht="54">
      <c r="B37" s="11">
        <v>34</v>
      </c>
      <c r="C37" s="22" t="s">
        <v>117</v>
      </c>
      <c r="D37" s="23" t="s">
        <v>179</v>
      </c>
      <c r="E37" s="13" t="s">
        <v>180</v>
      </c>
      <c r="F37" s="14" t="s">
        <v>174</v>
      </c>
      <c r="G37" s="12" t="s">
        <v>181</v>
      </c>
      <c r="H37" s="12"/>
      <c r="I37" s="12" t="s">
        <v>85</v>
      </c>
      <c r="J37" s="16" t="s">
        <v>86</v>
      </c>
      <c r="K37" s="16"/>
      <c r="L37" s="16"/>
      <c r="M37" s="16"/>
      <c r="N37" s="7">
        <v>45253</v>
      </c>
      <c r="O37" s="7">
        <v>45254</v>
      </c>
      <c r="P37" s="8">
        <f t="shared" si="3"/>
        <v>2</v>
      </c>
    </row>
    <row r="38" spans="2:16" ht="54">
      <c r="B38" s="11">
        <v>35</v>
      </c>
      <c r="C38" s="22" t="s">
        <v>117</v>
      </c>
      <c r="D38" s="23" t="s">
        <v>182</v>
      </c>
      <c r="E38" s="13" t="s">
        <v>180</v>
      </c>
      <c r="F38" s="14" t="s">
        <v>174</v>
      </c>
      <c r="G38" s="12" t="s">
        <v>183</v>
      </c>
      <c r="H38" s="12"/>
      <c r="I38" s="12" t="s">
        <v>85</v>
      </c>
      <c r="J38" s="16" t="s">
        <v>86</v>
      </c>
      <c r="K38" s="16"/>
      <c r="L38" s="16"/>
      <c r="M38" s="16"/>
      <c r="N38" s="7">
        <v>45253</v>
      </c>
      <c r="O38" s="7">
        <v>45254</v>
      </c>
      <c r="P38" s="8">
        <f t="shared" ref="P38:P41" si="4">+_xlfn.DAYS(O38,N38)+1</f>
        <v>2</v>
      </c>
    </row>
    <row r="39" spans="2:16" ht="54">
      <c r="B39" s="11">
        <v>36</v>
      </c>
      <c r="C39" s="22" t="s">
        <v>117</v>
      </c>
      <c r="D39" s="23" t="s">
        <v>184</v>
      </c>
      <c r="E39" s="13" t="s">
        <v>180</v>
      </c>
      <c r="F39" s="14" t="s">
        <v>174</v>
      </c>
      <c r="G39" s="12" t="s">
        <v>185</v>
      </c>
      <c r="H39" s="12"/>
      <c r="I39" s="12" t="s">
        <v>85</v>
      </c>
      <c r="J39" s="16" t="s">
        <v>86</v>
      </c>
      <c r="K39" s="16"/>
      <c r="L39" s="16"/>
      <c r="M39" s="16"/>
      <c r="N39" s="7">
        <v>45253</v>
      </c>
      <c r="O39" s="7">
        <v>45254</v>
      </c>
      <c r="P39" s="8">
        <f t="shared" si="4"/>
        <v>2</v>
      </c>
    </row>
    <row r="40" spans="2:16" ht="67.5">
      <c r="B40" s="11">
        <v>37</v>
      </c>
      <c r="C40" s="22" t="s">
        <v>117</v>
      </c>
      <c r="D40" s="23" t="s">
        <v>186</v>
      </c>
      <c r="E40" s="13" t="s">
        <v>180</v>
      </c>
      <c r="F40" s="14" t="s">
        <v>174</v>
      </c>
      <c r="G40" s="12" t="s">
        <v>187</v>
      </c>
      <c r="H40" s="12"/>
      <c r="I40" s="12" t="s">
        <v>85</v>
      </c>
      <c r="J40" s="16" t="s">
        <v>86</v>
      </c>
      <c r="K40" s="16"/>
      <c r="L40" s="16"/>
      <c r="M40" s="16"/>
      <c r="N40" s="7">
        <v>45253</v>
      </c>
      <c r="O40" s="7">
        <v>45254</v>
      </c>
      <c r="P40" s="8">
        <f t="shared" si="4"/>
        <v>2</v>
      </c>
    </row>
    <row r="41" spans="2:16" ht="54">
      <c r="B41" s="11">
        <v>38</v>
      </c>
      <c r="C41" s="22" t="s">
        <v>117</v>
      </c>
      <c r="D41" s="23" t="s">
        <v>188</v>
      </c>
      <c r="E41" s="13" t="s">
        <v>180</v>
      </c>
      <c r="F41" s="14" t="s">
        <v>174</v>
      </c>
      <c r="G41" s="12" t="s">
        <v>189</v>
      </c>
      <c r="H41" s="12"/>
      <c r="I41" s="12" t="s">
        <v>85</v>
      </c>
      <c r="J41" s="16" t="s">
        <v>86</v>
      </c>
      <c r="K41" s="16"/>
      <c r="L41" s="16"/>
      <c r="M41" s="16"/>
      <c r="N41" s="7">
        <v>45253</v>
      </c>
      <c r="O41" s="7">
        <v>45254</v>
      </c>
      <c r="P41" s="8">
        <f t="shared" si="4"/>
        <v>2</v>
      </c>
    </row>
    <row r="42" spans="2:16" ht="27">
      <c r="B42" s="11">
        <v>39</v>
      </c>
      <c r="C42" s="22" t="s">
        <v>117</v>
      </c>
      <c r="D42" s="23" t="s">
        <v>190</v>
      </c>
      <c r="E42" s="13" t="s">
        <v>191</v>
      </c>
      <c r="F42" s="14" t="s">
        <v>174</v>
      </c>
      <c r="G42" s="12" t="s">
        <v>192</v>
      </c>
      <c r="H42" s="12"/>
      <c r="I42" s="12" t="s">
        <v>85</v>
      </c>
      <c r="J42" s="16" t="s">
        <v>86</v>
      </c>
      <c r="K42" s="16"/>
      <c r="L42" s="16"/>
      <c r="M42" s="16"/>
      <c r="N42" s="7">
        <v>45257</v>
      </c>
      <c r="O42" s="7">
        <v>45257</v>
      </c>
      <c r="P42" s="8">
        <f t="shared" ref="P42:P44" si="5">+_xlfn.DAYS(O42,N42)+1</f>
        <v>1</v>
      </c>
    </row>
    <row r="43" spans="2:16" ht="54">
      <c r="B43" s="11">
        <v>40</v>
      </c>
      <c r="C43" s="22" t="s">
        <v>193</v>
      </c>
      <c r="D43" s="23" t="s">
        <v>194</v>
      </c>
      <c r="E43" s="13" t="s">
        <v>191</v>
      </c>
      <c r="F43" s="14" t="s">
        <v>174</v>
      </c>
      <c r="G43" s="12" t="s">
        <v>195</v>
      </c>
      <c r="H43" s="12"/>
      <c r="I43" s="12" t="s">
        <v>85</v>
      </c>
      <c r="J43" s="16"/>
      <c r="K43" s="16" t="s">
        <v>133</v>
      </c>
      <c r="L43" s="16"/>
      <c r="M43" s="16"/>
      <c r="N43" s="7">
        <v>45481</v>
      </c>
      <c r="O43" s="7">
        <v>45492</v>
      </c>
      <c r="P43" s="8">
        <f t="shared" si="5"/>
        <v>12</v>
      </c>
    </row>
    <row r="44" spans="2:16" ht="27">
      <c r="B44" s="11">
        <v>41</v>
      </c>
      <c r="C44" s="22" t="s">
        <v>117</v>
      </c>
      <c r="D44" s="23" t="s">
        <v>196</v>
      </c>
      <c r="E44" s="13" t="s">
        <v>191</v>
      </c>
      <c r="F44" s="14" t="s">
        <v>174</v>
      </c>
      <c r="G44" s="12" t="s">
        <v>197</v>
      </c>
      <c r="H44" s="12"/>
      <c r="I44" s="12" t="s">
        <v>85</v>
      </c>
      <c r="J44" s="16"/>
      <c r="K44" s="16" t="s">
        <v>86</v>
      </c>
      <c r="L44" s="16"/>
      <c r="M44" s="16"/>
      <c r="N44" s="7">
        <v>45580</v>
      </c>
      <c r="O44" s="7">
        <v>45591</v>
      </c>
      <c r="P44" s="8">
        <f t="shared" si="5"/>
        <v>12</v>
      </c>
    </row>
    <row r="45" spans="2:16" ht="54">
      <c r="B45" s="11">
        <v>42</v>
      </c>
      <c r="C45" s="22" t="s">
        <v>117</v>
      </c>
      <c r="D45" s="23" t="s">
        <v>198</v>
      </c>
      <c r="E45" s="13" t="s">
        <v>191</v>
      </c>
      <c r="F45" s="14" t="s">
        <v>174</v>
      </c>
      <c r="G45" s="12" t="s">
        <v>199</v>
      </c>
      <c r="H45" s="12"/>
      <c r="I45" s="12" t="s">
        <v>85</v>
      </c>
      <c r="J45" s="16"/>
      <c r="K45" s="16" t="s">
        <v>86</v>
      </c>
      <c r="L45" s="16"/>
      <c r="M45" s="16"/>
      <c r="N45" s="7">
        <v>45839</v>
      </c>
      <c r="O45" s="7">
        <v>45841</v>
      </c>
      <c r="P45" s="8">
        <f t="shared" ref="P45:P46" si="6">+_xlfn.DAYS(O45,N45)+1</f>
        <v>3</v>
      </c>
    </row>
    <row r="46" spans="2:16" ht="67.5">
      <c r="B46" s="11">
        <v>43</v>
      </c>
      <c r="C46" s="22" t="s">
        <v>117</v>
      </c>
      <c r="D46" s="23" t="s">
        <v>200</v>
      </c>
      <c r="E46" s="13" t="s">
        <v>191</v>
      </c>
      <c r="F46" s="14" t="s">
        <v>174</v>
      </c>
      <c r="G46" s="12" t="s">
        <v>201</v>
      </c>
      <c r="H46" s="12"/>
      <c r="I46" s="12" t="s">
        <v>85</v>
      </c>
      <c r="J46" s="16"/>
      <c r="K46" s="16" t="s">
        <v>86</v>
      </c>
      <c r="L46" s="16"/>
      <c r="M46" s="16"/>
      <c r="N46" s="7">
        <v>45852</v>
      </c>
      <c r="O46" s="7">
        <v>45863</v>
      </c>
      <c r="P46" s="8">
        <f t="shared" si="6"/>
        <v>12</v>
      </c>
    </row>
    <row r="47" spans="2:16" ht="67.5">
      <c r="B47" s="11">
        <v>44</v>
      </c>
      <c r="C47" s="22" t="s">
        <v>117</v>
      </c>
      <c r="D47" s="23" t="s">
        <v>202</v>
      </c>
      <c r="E47" s="13" t="s">
        <v>191</v>
      </c>
      <c r="F47" s="14" t="s">
        <v>174</v>
      </c>
      <c r="G47" s="12" t="s">
        <v>203</v>
      </c>
      <c r="H47" s="12"/>
      <c r="I47" s="12" t="s">
        <v>85</v>
      </c>
      <c r="J47" s="16"/>
      <c r="K47" s="46" t="s">
        <v>86</v>
      </c>
      <c r="L47" s="16"/>
      <c r="M47" s="16"/>
      <c r="N47" s="7">
        <v>45855</v>
      </c>
      <c r="O47" s="7">
        <v>45864</v>
      </c>
      <c r="P47" s="8">
        <f t="shared" ref="P47:P54" si="7">+_xlfn.DAYS(O47,N47)+1</f>
        <v>10</v>
      </c>
    </row>
    <row r="48" spans="2:16" ht="40.5">
      <c r="B48" s="11">
        <v>45</v>
      </c>
      <c r="C48" s="22">
        <v>79973967</v>
      </c>
      <c r="D48" s="23" t="s">
        <v>36</v>
      </c>
      <c r="E48" s="13" t="s">
        <v>204</v>
      </c>
      <c r="F48" s="14" t="s">
        <v>205</v>
      </c>
      <c r="G48" s="12" t="s">
        <v>206</v>
      </c>
      <c r="H48" s="12"/>
      <c r="I48" s="12" t="s">
        <v>85</v>
      </c>
      <c r="J48" s="16"/>
      <c r="K48" s="16"/>
      <c r="L48" s="16"/>
      <c r="M48" s="16" t="s">
        <v>133</v>
      </c>
      <c r="N48" s="7">
        <v>44641</v>
      </c>
      <c r="O48" s="7">
        <v>44645</v>
      </c>
      <c r="P48" s="8">
        <f t="shared" si="7"/>
        <v>5</v>
      </c>
    </row>
    <row r="49" spans="2:16" ht="40.5">
      <c r="B49" s="11">
        <v>46</v>
      </c>
      <c r="C49" s="22">
        <v>79973967</v>
      </c>
      <c r="D49" s="23" t="s">
        <v>36</v>
      </c>
      <c r="E49" s="25" t="s">
        <v>207</v>
      </c>
      <c r="F49" s="14" t="s">
        <v>208</v>
      </c>
      <c r="G49" s="12" t="s">
        <v>209</v>
      </c>
      <c r="H49" s="12"/>
      <c r="I49" s="12" t="s">
        <v>85</v>
      </c>
      <c r="J49" s="16"/>
      <c r="K49" s="16"/>
      <c r="L49" s="16"/>
      <c r="M49" s="16" t="s">
        <v>86</v>
      </c>
      <c r="N49" s="7">
        <v>44680</v>
      </c>
      <c r="O49" s="7">
        <v>44690</v>
      </c>
      <c r="P49" s="8">
        <f t="shared" si="7"/>
        <v>11</v>
      </c>
    </row>
    <row r="50" spans="2:16" ht="189">
      <c r="B50" s="11">
        <v>47</v>
      </c>
      <c r="C50" s="22">
        <v>9395122</v>
      </c>
      <c r="D50" s="23" t="s">
        <v>54</v>
      </c>
      <c r="E50" s="28" t="s">
        <v>210</v>
      </c>
      <c r="F50" s="33" t="s">
        <v>174</v>
      </c>
      <c r="G50" s="12" t="s">
        <v>211</v>
      </c>
      <c r="H50" s="12"/>
      <c r="I50" s="12" t="s">
        <v>119</v>
      </c>
      <c r="J50" s="16"/>
      <c r="K50" s="16"/>
      <c r="L50" s="16" t="s">
        <v>86</v>
      </c>
      <c r="M50" s="16"/>
      <c r="N50" s="7">
        <v>44620</v>
      </c>
      <c r="O50" s="7">
        <v>44681</v>
      </c>
      <c r="P50" s="8">
        <f t="shared" si="7"/>
        <v>62</v>
      </c>
    </row>
    <row r="51" spans="2:16">
      <c r="B51" s="11">
        <v>48</v>
      </c>
      <c r="C51" s="23"/>
      <c r="D51" s="40"/>
      <c r="E51" s="29"/>
      <c r="F51" s="33"/>
      <c r="G51" s="12"/>
      <c r="H51" s="12"/>
      <c r="I51" s="12"/>
      <c r="J51" s="16"/>
      <c r="K51" s="16"/>
      <c r="L51" s="16"/>
      <c r="M51" s="16"/>
      <c r="N51" s="7"/>
      <c r="O51" s="7"/>
      <c r="P51" s="8"/>
    </row>
    <row r="52" spans="2:16">
      <c r="B52" s="11">
        <v>49</v>
      </c>
      <c r="C52" s="22"/>
      <c r="D52" s="23"/>
      <c r="E52" s="13"/>
      <c r="F52" s="14"/>
      <c r="G52" s="12"/>
      <c r="H52" s="12"/>
      <c r="I52" s="12"/>
      <c r="J52" s="16"/>
      <c r="K52" s="16"/>
      <c r="L52" s="16"/>
      <c r="M52" s="16"/>
      <c r="N52" s="7"/>
      <c r="O52" s="7"/>
      <c r="P52" s="8"/>
    </row>
    <row r="53" spans="2:16">
      <c r="B53" s="11">
        <v>50</v>
      </c>
      <c r="C53" s="22"/>
      <c r="D53" s="23"/>
      <c r="E53" s="13"/>
      <c r="F53" s="14"/>
      <c r="G53" s="12"/>
      <c r="H53" s="12"/>
      <c r="I53" s="12"/>
      <c r="J53" s="16"/>
      <c r="K53" s="16"/>
      <c r="L53" s="16"/>
      <c r="M53" s="16"/>
      <c r="N53" s="7"/>
      <c r="O53" s="7"/>
      <c r="P53" s="8">
        <f t="shared" si="7"/>
        <v>1</v>
      </c>
    </row>
    <row r="54" spans="2:16">
      <c r="B54" s="11">
        <v>51</v>
      </c>
      <c r="C54" s="22"/>
      <c r="D54" s="23"/>
      <c r="E54" s="13"/>
      <c r="F54" s="14"/>
      <c r="G54" s="12"/>
      <c r="H54" s="12"/>
      <c r="I54" s="12"/>
      <c r="J54" s="16"/>
      <c r="K54" s="16"/>
      <c r="L54" s="16"/>
      <c r="M54" s="16"/>
      <c r="N54" s="7"/>
      <c r="O54" s="7"/>
      <c r="P54" s="8">
        <f t="shared" si="7"/>
        <v>1</v>
      </c>
    </row>
  </sheetData>
  <autoFilter ref="B2:P54" xr:uid="{A4355D6D-3F77-4AF9-B334-9D127AF3C1F2}">
    <filterColumn colId="8" showButton="0"/>
    <filterColumn colId="10" showButton="0"/>
  </autoFilter>
  <mergeCells count="13">
    <mergeCell ref="P2:P3"/>
    <mergeCell ref="H2:H3"/>
    <mergeCell ref="I2:I3"/>
    <mergeCell ref="J2:K2"/>
    <mergeCell ref="L2:M2"/>
    <mergeCell ref="N2:N3"/>
    <mergeCell ref="O2:O3"/>
    <mergeCell ref="G2:G3"/>
    <mergeCell ref="B2:B3"/>
    <mergeCell ref="C2:C3"/>
    <mergeCell ref="D2:D3"/>
    <mergeCell ref="E2:E3"/>
    <mergeCell ref="F2:F3"/>
  </mergeCells>
  <dataValidations count="2">
    <dataValidation type="date" allowBlank="1" showInputMessage="1" showErrorMessage="1" sqref="O6 N4:N54 O37:O42" xr:uid="{CCA9E0AD-4AAD-48ED-99E6-69BCDC1E8AA7}">
      <formula1>40179</formula1>
      <formula2>47848</formula2>
    </dataValidation>
    <dataValidation type="list" allowBlank="1" showInputMessage="1" showErrorMessage="1" sqref="I4:I54" xr:uid="{C2F59112-9C78-42FD-9F1D-C5F3A0922383}">
      <formula1>"1. Presencial,2. Virtual"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CF34BEB5-2F40-4805-9D2F-24833C044906}"/>
</file>

<file path=customXml/itemProps2.xml><?xml version="1.0" encoding="utf-8"?>
<ds:datastoreItem xmlns:ds="http://schemas.openxmlformats.org/officeDocument/2006/customXml" ds:itemID="{B2AE36AA-D0B0-40B6-A335-CA0A566E75C9}"/>
</file>

<file path=customXml/itemProps3.xml><?xml version="1.0" encoding="utf-8"?>
<ds:datastoreItem xmlns:ds="http://schemas.openxmlformats.org/officeDocument/2006/customXml" ds:itemID="{110F6632-841A-4B3A-8411-8FD25B40D0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Emiro Campo Rodriguez</dc:creator>
  <cp:keywords/>
  <dc:description/>
  <cp:lastModifiedBy>MAESTRIA EN CIENCIAS DE LA INFORMACION Y LAS COMUNICACIONES</cp:lastModifiedBy>
  <cp:revision/>
  <dcterms:created xsi:type="dcterms:W3CDTF">2021-09-14T20:25:45Z</dcterms:created>
  <dcterms:modified xsi:type="dcterms:W3CDTF">2025-10-14T15:00:09Z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