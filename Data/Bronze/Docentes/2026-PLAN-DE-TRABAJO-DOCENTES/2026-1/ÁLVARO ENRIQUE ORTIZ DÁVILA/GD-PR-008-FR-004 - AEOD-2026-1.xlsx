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filterPrivacy="1" defaultThemeVersion="124226"/>
  <xr:revisionPtr revIDLastSave="0" documentId="13_ncr:1_{8DB30D95-6C2D-4243-84B6-3A7FFBF2398F}" xr6:coauthVersionLast="47" xr6:coauthVersionMax="47" xr10:uidLastSave="{00000000-0000-0000-0000-000000000000}"/>
  <bookViews>
    <workbookView xWindow="0" yWindow="0" windowWidth="28800" windowHeight="12105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AY7" i="1"/>
  <c r="BD7" i="1" s="1"/>
  <c r="CU7" i="1" l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sharedStrings.xml><?xml version="1.0" encoding="utf-8"?>
<sst xmlns="http://schemas.openxmlformats.org/spreadsheetml/2006/main" count="188" uniqueCount="83">
  <si>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</si>
  <si>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</si>
  <si>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</si>
  <si>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</si>
  <si>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</si>
  <si>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</si>
  <si>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</si>
  <si>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</si>
  <si>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</si>
  <si>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</si>
  <si>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</si>
  <si>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</si>
  <si>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</si>
  <si>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</si>
  <si>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</si>
  <si>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</si>
  <si>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</si>
  <si>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</si>
  <si>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</si>
  <si>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</si>
  <si>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</si>
  <si>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</si>
  <si>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</si>
  <si>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</si>
  <si>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</si>
  <si>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</si>
  <si>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</si>
  <si>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</si>
  <si>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</si>
  <si>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</si>
  <si>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</si>
  <si>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</si>
  <si>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</si>
  <si>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</si>
  <si>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</si>
  <si>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</si>
  <si>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</si>
  <si>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</si>
  <si>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</si>
  <si>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</si>
  <si>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</si>
  <si>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</si>
  <si>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</si>
  <si>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</si>
  <si>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</si>
  <si>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</si>
  <si>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</si>
  <si>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</si>
  <si>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</si>
  <si>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</si>
  <si>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</si>
  <si>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</si>
  <si>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</si>
  <si>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</si>
  <si>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</si>
  <si>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</si>
  <si>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</si>
  <si>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</si>
  <si>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</si>
  <si>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</si>
  <si>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</si>
  <si>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</si>
  <si>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</si>
  <si>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</si>
  <si>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</si>
  <si>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</si>
  <si>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</si>
  <si>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</si>
  <si>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</si>
  <si>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</si>
  <si>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</si>
  <si>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</si>
  <si>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</si>
  <si>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</si>
  <si>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Alvaro Enrique Ortiz Dávila</t>
  </si>
  <si>
    <t>Docente de carrera tiempo completo</t>
  </si>
  <si>
    <t>Maestría en Ciencias de la Información y las Comunicaciones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</si>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</sst>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1392873</xdr:colOff>
      <xdr:row>3</xdr:row>
      <xdr:rowOff>283480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1429036</xdr:colOff>
      <xdr:row>3</xdr:row>
      <xdr:rowOff>172245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5"/>
  <sheetViews>
    <sheetView tabSelected="1" topLeftCell="AS1" zoomScaleNormal="100" workbookViewId="0">
      <selection activeCell="A7" sqref="A7"/>
    </sheetView>
  </sheetViews>
  <sheetFormatPr defaultColWidth="11.42578125" defaultRowHeight="15"/>
  <cols>
    <col min="1" max="1" width="3.5703125" style="12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1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6384" width="11.42578125" style="12"/>
  </cols>
  <sheetData>
    <row r="1" spans="2:103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3" ht="34.5" customHeight="1">
      <c r="B2" s="42"/>
      <c r="C2" s="40" t="s">
        <v>0</v>
      </c>
      <c r="D2" s="41"/>
      <c r="E2" s="41"/>
      <c r="F2" s="41"/>
      <c r="G2" s="14" t="s">
        <v>1</v>
      </c>
      <c r="H2" s="44"/>
      <c r="I2" s="4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3" ht="26.25" customHeight="1">
      <c r="B3" s="42"/>
      <c r="C3" s="43" t="s">
        <v>3</v>
      </c>
      <c r="D3" s="43"/>
      <c r="E3" s="43"/>
      <c r="F3" s="43"/>
      <c r="G3" s="14" t="s">
        <v>4</v>
      </c>
      <c r="H3" s="46"/>
      <c r="I3" s="4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3" ht="26.25" customHeight="1" thickBot="1">
      <c r="B4" s="42"/>
      <c r="C4" s="43" t="s">
        <v>6</v>
      </c>
      <c r="D4" s="43"/>
      <c r="E4" s="43"/>
      <c r="F4" s="43"/>
      <c r="G4" s="14" t="s">
        <v>7</v>
      </c>
      <c r="H4" s="48"/>
      <c r="I4" s="4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29"/>
      <c r="AT4" s="29"/>
      <c r="AU4" s="29"/>
      <c r="AV4" s="29"/>
      <c r="AW4" s="29"/>
      <c r="AX4" s="15"/>
      <c r="AY4" s="29"/>
      <c r="AZ4" s="29"/>
      <c r="BA4" s="39"/>
      <c r="BB4" s="39"/>
      <c r="BC4" s="39"/>
      <c r="BD4" s="39"/>
      <c r="BE4" s="39"/>
      <c r="BF4" s="21" t="s">
        <v>8</v>
      </c>
      <c r="BG4" s="21"/>
      <c r="BH4" s="21"/>
      <c r="BI4" s="21"/>
      <c r="BJ4" s="21"/>
      <c r="BK4" s="21"/>
      <c r="BL4" s="21"/>
    </row>
    <row r="5" spans="2:103" s="38" customFormat="1" ht="11.25" customHeight="1" thickBot="1"/>
    <row r="6" spans="2:103" s="32" customFormat="1" ht="120.75" thickBot="1">
      <c r="B6" s="31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18</v>
      </c>
      <c r="L6" s="30" t="s">
        <v>19</v>
      </c>
      <c r="M6" s="30" t="s">
        <v>20</v>
      </c>
      <c r="N6" s="30" t="s">
        <v>21</v>
      </c>
      <c r="O6" s="30" t="s">
        <v>22</v>
      </c>
      <c r="P6" s="30" t="s">
        <v>23</v>
      </c>
      <c r="Q6" s="30" t="s">
        <v>24</v>
      </c>
      <c r="R6" s="30" t="s">
        <v>25</v>
      </c>
      <c r="S6" s="30" t="s">
        <v>26</v>
      </c>
      <c r="T6" s="30" t="s">
        <v>27</v>
      </c>
      <c r="U6" s="30" t="s">
        <v>28</v>
      </c>
      <c r="V6" s="30" t="s">
        <v>29</v>
      </c>
      <c r="W6" s="30" t="s">
        <v>30</v>
      </c>
      <c r="X6" s="30" t="s">
        <v>31</v>
      </c>
      <c r="Y6" s="30" t="s">
        <v>32</v>
      </c>
      <c r="Z6" s="30" t="s">
        <v>33</v>
      </c>
      <c r="AA6" s="30" t="s">
        <v>34</v>
      </c>
      <c r="AB6" s="30" t="s">
        <v>35</v>
      </c>
      <c r="AC6" s="30" t="s">
        <v>36</v>
      </c>
      <c r="AD6" s="30" t="s">
        <v>37</v>
      </c>
      <c r="AE6" s="30" t="s">
        <v>38</v>
      </c>
      <c r="AF6" s="30" t="s">
        <v>39</v>
      </c>
      <c r="AG6" s="30" t="s">
        <v>40</v>
      </c>
      <c r="AH6" s="30" t="s">
        <v>41</v>
      </c>
      <c r="AI6" s="30" t="s">
        <v>42</v>
      </c>
      <c r="AJ6" s="30" t="s">
        <v>43</v>
      </c>
      <c r="AK6" s="30" t="s">
        <v>44</v>
      </c>
      <c r="AL6" s="30" t="s">
        <v>45</v>
      </c>
      <c r="AM6" s="30" t="s">
        <v>46</v>
      </c>
      <c r="AN6" s="30" t="s">
        <v>47</v>
      </c>
      <c r="AO6" s="30" t="s">
        <v>48</v>
      </c>
      <c r="AP6" s="30" t="s">
        <v>49</v>
      </c>
      <c r="AQ6" s="30" t="s">
        <v>50</v>
      </c>
      <c r="AR6" s="30" t="s">
        <v>51</v>
      </c>
      <c r="AS6" s="30" t="s">
        <v>52</v>
      </c>
      <c r="AT6" s="30" t="s">
        <v>53</v>
      </c>
      <c r="AU6" s="30" t="s">
        <v>54</v>
      </c>
      <c r="AV6" s="30" t="s">
        <v>55</v>
      </c>
      <c r="AW6" s="30" t="s">
        <v>56</v>
      </c>
      <c r="AX6" s="30" t="s">
        <v>57</v>
      </c>
      <c r="AY6" s="30" t="s">
        <v>58</v>
      </c>
      <c r="AZ6" s="30" t="s">
        <v>59</v>
      </c>
      <c r="BA6" s="30" t="s">
        <v>60</v>
      </c>
      <c r="BB6" s="30" t="s">
        <v>61</v>
      </c>
      <c r="BC6" s="30" t="s">
        <v>62</v>
      </c>
      <c r="BD6" s="30" t="s">
        <v>63</v>
      </c>
      <c r="BE6" s="30" t="s">
        <v>64</v>
      </c>
      <c r="BF6" s="30" t="s">
        <v>65</v>
      </c>
      <c r="BG6" s="30" t="s">
        <v>66</v>
      </c>
      <c r="BH6" s="30" t="s">
        <v>67</v>
      </c>
      <c r="BI6" s="30" t="s">
        <v>68</v>
      </c>
      <c r="BJ6" s="30" t="s">
        <v>69</v>
      </c>
      <c r="BK6" s="30" t="s">
        <v>70</v>
      </c>
      <c r="BL6" s="30" t="s">
        <v>71</v>
      </c>
      <c r="BM6" s="30" t="s">
        <v>20</v>
      </c>
      <c r="BN6" s="30" t="s">
        <v>21</v>
      </c>
      <c r="BO6" s="30" t="s">
        <v>22</v>
      </c>
      <c r="BP6" s="30" t="s">
        <v>23</v>
      </c>
      <c r="BQ6" s="30" t="s">
        <v>24</v>
      </c>
      <c r="BR6" s="30" t="s">
        <v>25</v>
      </c>
      <c r="BS6" s="30" t="s">
        <v>26</v>
      </c>
      <c r="BT6" s="30" t="s">
        <v>28</v>
      </c>
      <c r="BU6" s="30" t="s">
        <v>29</v>
      </c>
      <c r="BV6" s="30" t="s">
        <v>30</v>
      </c>
      <c r="BW6" s="30" t="s">
        <v>31</v>
      </c>
      <c r="BX6" s="30" t="s">
        <v>32</v>
      </c>
      <c r="BY6" s="30" t="s">
        <v>33</v>
      </c>
      <c r="BZ6" s="30" t="s">
        <v>34</v>
      </c>
      <c r="CA6" s="30" t="s">
        <v>36</v>
      </c>
      <c r="CB6" s="30" t="s">
        <v>37</v>
      </c>
      <c r="CC6" s="30" t="s">
        <v>38</v>
      </c>
      <c r="CD6" s="30" t="s">
        <v>39</v>
      </c>
      <c r="CE6" s="30" t="s">
        <v>40</v>
      </c>
      <c r="CF6" s="30" t="s">
        <v>41</v>
      </c>
      <c r="CG6" s="30" t="s">
        <v>42</v>
      </c>
      <c r="CH6" s="30" t="s">
        <v>72</v>
      </c>
      <c r="CI6" s="30" t="s">
        <v>73</v>
      </c>
      <c r="CJ6" s="30" t="s">
        <v>46</v>
      </c>
      <c r="CK6" s="30" t="s">
        <v>47</v>
      </c>
      <c r="CL6" s="30" t="s">
        <v>48</v>
      </c>
      <c r="CM6" s="30" t="s">
        <v>49</v>
      </c>
      <c r="CN6" s="30" t="s">
        <v>51</v>
      </c>
      <c r="CO6" s="30" t="s">
        <v>52</v>
      </c>
      <c r="CP6" s="30" t="s">
        <v>53</v>
      </c>
      <c r="CQ6" s="30" t="s">
        <v>54</v>
      </c>
      <c r="CR6" s="30" t="s">
        <v>55</v>
      </c>
      <c r="CS6" s="30" t="s">
        <v>56</v>
      </c>
      <c r="CT6" s="30" t="s">
        <v>57</v>
      </c>
      <c r="CU6" s="30" t="s">
        <v>50</v>
      </c>
      <c r="CV6" s="30" t="s">
        <v>27</v>
      </c>
      <c r="CW6" s="30" t="s">
        <v>35</v>
      </c>
      <c r="CX6" s="30" t="s">
        <v>18</v>
      </c>
      <c r="CY6" s="30" t="s">
        <v>19</v>
      </c>
    </row>
    <row r="7" spans="2:103">
      <c r="B7" s="16" t="s">
        <v>74</v>
      </c>
      <c r="C7" s="17">
        <v>79367935</v>
      </c>
      <c r="D7" s="18" t="s">
        <v>75</v>
      </c>
      <c r="E7" s="18" t="s">
        <v>76</v>
      </c>
      <c r="F7" s="19">
        <v>4</v>
      </c>
      <c r="G7" s="19">
        <v>4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>
        <v>2</v>
      </c>
      <c r="T7" s="19"/>
      <c r="U7" s="19">
        <v>2</v>
      </c>
      <c r="V7" s="19"/>
      <c r="W7" s="19"/>
      <c r="X7" s="19"/>
      <c r="Y7" s="19"/>
      <c r="Z7" s="19"/>
      <c r="AA7" s="19"/>
      <c r="AB7" s="19"/>
      <c r="AC7" s="19">
        <v>2</v>
      </c>
      <c r="AD7" s="19">
        <v>1</v>
      </c>
      <c r="AE7" s="19"/>
      <c r="AF7" s="19"/>
      <c r="AG7" s="19"/>
      <c r="AH7" s="19"/>
      <c r="AI7" s="19">
        <v>2</v>
      </c>
      <c r="AJ7" s="19"/>
      <c r="AK7" s="19"/>
      <c r="AL7" s="19">
        <v>6</v>
      </c>
      <c r="AM7" s="8">
        <v>3</v>
      </c>
      <c r="AN7" s="8"/>
      <c r="AO7" s="8"/>
      <c r="AP7" s="8"/>
      <c r="AQ7" s="8"/>
      <c r="AR7" s="8"/>
      <c r="AS7" s="8"/>
      <c r="AT7" s="8"/>
      <c r="AU7" s="8"/>
      <c r="AV7" s="8"/>
      <c r="AW7" s="8">
        <v>2</v>
      </c>
      <c r="AX7" s="19"/>
      <c r="AY7" s="19">
        <f>SUM(F7:AX7)</f>
        <v>28</v>
      </c>
      <c r="AZ7" s="20">
        <v>12</v>
      </c>
      <c r="BA7" s="20">
        <v>3</v>
      </c>
      <c r="BB7" s="20">
        <v>3</v>
      </c>
      <c r="BC7" s="20"/>
      <c r="BD7" s="20">
        <f>AY7+AZ7</f>
        <v>40</v>
      </c>
      <c r="BE7" s="16"/>
      <c r="BF7" s="16" t="str">
        <f t="shared" ref="BF7:BF38" si="0">IF(BD7=40,"Cumple",IF(BD7&gt;40,"Mas Horas","Menos Horas"))</f>
        <v>Cumple</v>
      </c>
      <c r="BG7" s="16" t="str">
        <f t="shared" ref="BG7:BG38" si="1">IF(BA7=1,IF(AZ7&gt;18,"Exceso Carga Lectiva",IF(AZ7&lt;16,"Carga Lectiva Insuficiente","Cumple")),IF(AZ7&gt;14,"Exceso Carga Lectiva",IF(AZ7&lt;12,"Carga Lectiva Insuficiente","Cumple")))</f>
        <v>Cumple</v>
      </c>
      <c r="BH7" s="16" t="str">
        <f t="shared" ref="BH7:BH38" si="2">IF(AL7&gt;(AZ7/2),"Exceso Horas","Cumple")</f>
        <v>Cumple</v>
      </c>
      <c r="BI7" s="16" t="str">
        <f t="shared" ref="BI7:BI38" si="3">IF(F7&gt;8,"Exceso Horas","Cumple")</f>
        <v>Cumple</v>
      </c>
      <c r="BJ7" s="16" t="str">
        <f t="shared" ref="BJ7:BJ38" si="4">IF(G7&gt;4,"Exceso Horas","Cumple")</f>
        <v>Cumple</v>
      </c>
      <c r="BK7" s="16" t="str">
        <f t="shared" ref="BK7:BK38" si="5">IF(H7=0,"N/A",IF(H7&gt;8,"Exceso Horas","Cumple"))</f>
        <v>N/A</v>
      </c>
      <c r="BL7" s="16" t="str">
        <f t="shared" ref="BL7:BL38" si="6">IF(J7=0,"N/A",IF(J7&gt;2,"Exceso Horas","Cumple"))</f>
        <v>N/A</v>
      </c>
      <c r="BM7" s="16" t="str">
        <f t="shared" ref="BM7:BM38" si="7">IF(M7=0,"N/A",IF(M7&gt;20,"Exceso Horas","Cumple"))</f>
        <v>N/A</v>
      </c>
      <c r="BN7" s="16" t="str">
        <f t="shared" ref="BN7:BN38" si="8">IF(N7=0,"N/A",IF(N7&gt;20,"Exceso Horas","Cumple"))</f>
        <v>N/A</v>
      </c>
      <c r="BO7" s="16" t="str">
        <f t="shared" ref="BO7:BO38" si="9">IF(O7=0,"N/A",IF(O7&gt;20,"Exceso Horas","Cumple"))</f>
        <v>N/A</v>
      </c>
      <c r="BP7" s="16" t="str">
        <f t="shared" ref="BP7:BP38" si="10">IF(P7=0,"N/A",IF(P7&gt;20,"Exceso Horas","Cumple"))</f>
        <v>N/A</v>
      </c>
      <c r="BQ7" s="16" t="str">
        <f t="shared" ref="BQ7:BQ38" si="11">IF(Q7=0,"N/A",IF(Q7&gt;20,"Exceso Horas","Cumple"))</f>
        <v>N/A</v>
      </c>
      <c r="BR7" s="16" t="str">
        <f t="shared" ref="BR7:BR38" si="12">IF(R7=0,"N/A",IF(R7&gt;20,"Exceso Horas","Cumple"))</f>
        <v>N/A</v>
      </c>
      <c r="BS7" s="16" t="str">
        <f t="shared" ref="BS7:BS38" si="13">IF(S7=0,"N/A",IF(S7&gt;8,"Exceso Horas","Cumple"))</f>
        <v>Cumple</v>
      </c>
      <c r="BT7" s="16" t="str">
        <f t="shared" ref="BT7:BT38" si="14">IF(U7=0,"N/A",IF(U7&gt;2,"Exceso Horas","Cumple"))</f>
        <v>Cumple</v>
      </c>
      <c r="BU7" s="16" t="str">
        <f t="shared" ref="BU7:BU38" si="15">IF(V7=0,"N/A",IF(V7&gt;12,"Exceso Horas","Cumple"))</f>
        <v>N/A</v>
      </c>
      <c r="BV7" s="16" t="str">
        <f t="shared" ref="BV7:BV38" si="16">IF(W7=0,"N/A",IF(W7&gt;12,"Exceso Horas","Cumple"))</f>
        <v>N/A</v>
      </c>
      <c r="BW7" s="16" t="str">
        <f t="shared" ref="BW7:BW38" si="17">IF(X7=0,"N/A",IF(X7&gt;4,"Exceso Horas","Cumple"))</f>
        <v>N/A</v>
      </c>
      <c r="BX7" s="16" t="str">
        <f t="shared" ref="BX7:BX38" si="18">IF(Y7=0,"N/A",IF(Y7&gt;2,"Exceso Horas","Cumple"))</f>
        <v>N/A</v>
      </c>
      <c r="BY7" s="16" t="str">
        <f t="shared" ref="BY7:BY38" si="19">IF(Z7=0,"N/A",IF(Z7&gt;10,"Exceso Horas","Cumple"))</f>
        <v>N/A</v>
      </c>
      <c r="BZ7" s="16" t="str">
        <f t="shared" ref="BZ7:BZ38" si="20">IF(AA7=0,"N/A",IF(AA7&gt;8,"Exceso Horas","Cumple"))</f>
        <v>N/A</v>
      </c>
      <c r="CA7" s="16" t="str">
        <f t="shared" ref="CA7:CA38" si="21">IF(AC7=0,"N/A",IF(AC7&gt;4,"Exceso Horas","Cumple"))</f>
        <v>Cumple</v>
      </c>
      <c r="CB7" s="16" t="str">
        <f t="shared" ref="CB7:CB38" si="22">IF(AD7=0,"N/A",IF(AD7&gt;8,"Exceso Horas","Cumple"))</f>
        <v>Cumple</v>
      </c>
      <c r="CC7" s="16" t="str">
        <f t="shared" ref="CC7:CC38" si="23">IF(AE7=0,"N/A",IF(AE7&gt;2,"Exceso Horas","Cumple"))</f>
        <v>N/A</v>
      </c>
      <c r="CD7" s="16" t="str">
        <f t="shared" ref="CD7:CD38" si="24">IF(AF7=0,"N/A",IF(AF7&gt;2,"Exceso Horas","Cumple"))</f>
        <v>N/A</v>
      </c>
      <c r="CE7" s="16" t="str">
        <f t="shared" ref="CE7:CE38" si="25">IF(AG7=0,"N/A",IF(AG7&gt;2,"Exceso Horas","Cumple"))</f>
        <v>N/A</v>
      </c>
      <c r="CF7" s="16" t="str">
        <f t="shared" ref="CF7:CF38" si="26">IF(AH7=0,"N/A",IF(AH7&gt;2,"Exceso Horas","Cumple"))</f>
        <v>N/A</v>
      </c>
      <c r="CG7" s="16" t="str">
        <f t="shared" ref="CG7:CG38" si="27">IF(AI7=0,"N/A",IF(AI7&gt;2,"Exceso Horas","Cumple"))</f>
        <v>Cumple</v>
      </c>
      <c r="CH7" s="16" t="str">
        <f t="shared" ref="CH7:CH38" si="28">IF(AJ7=0,"N/A",IF(AJ7&gt;4,"Exceso Horas","Cumple"))</f>
        <v>N/A</v>
      </c>
      <c r="CI7" s="16" t="str">
        <f t="shared" ref="CI7:CI38" si="29">IF(AK7=0,"N/A",IF(AK7&gt;4,"Exceso Horas","Cumple"))</f>
        <v>N/A</v>
      </c>
      <c r="CJ7" s="16" t="str">
        <f t="shared" ref="CJ7:CJ38" si="30">IF(AM7=0,"N/A",IF(AM7&gt;4,"Exceso Horas","Cumple"))</f>
        <v>Cumple</v>
      </c>
      <c r="CK7" s="16" t="str">
        <f t="shared" ref="CK7:CK38" si="31">IF(AN7=0,"N/A",IF(AN7&gt;14,"Exceso Horas","Cumple"))</f>
        <v>N/A</v>
      </c>
      <c r="CL7" s="16" t="str">
        <f t="shared" ref="CL7:CL38" si="32">IF(AO7=0,"N/A",IF(A7&gt;10,"Exceso Horas","Cumple"))</f>
        <v>N/A</v>
      </c>
      <c r="CM7" s="16" t="str">
        <f t="shared" ref="CM7:CM38" si="33">IF(AP7=0,"N/A",IF(AP7&gt;6,"Exceso Horas","Cumple"))</f>
        <v>N/A</v>
      </c>
      <c r="CN7" s="16" t="str">
        <f t="shared" ref="CN7:CN38" si="34">IF(AR7=0,"N/A",IF(AR7&gt;4,"Exceso Horas","Cumple"))</f>
        <v>N/A</v>
      </c>
      <c r="CO7" s="16" t="str">
        <f t="shared" ref="CO7:CO38" si="35">IF(AS7=0,"N/A",IF(AS7&gt;8,"Exceso Horas","Cumple"))</f>
        <v>N/A</v>
      </c>
      <c r="CP7" s="16" t="str">
        <f t="shared" ref="CP7:CP38" si="36">IF(AT7=0,"N/A",IF(AT7&gt;4,"Exceso Horas","Cumple"))</f>
        <v>N/A</v>
      </c>
      <c r="CQ7" s="16" t="str">
        <f t="shared" ref="CQ7:CQ38" si="37">IF(AU7=0,"N/A",IF(AU7&gt;4,"Exceso Horas","Cumple"))</f>
        <v>N/A</v>
      </c>
      <c r="CR7" s="16" t="str">
        <f t="shared" ref="CR7:CR38" si="38">IF(AV7=0,"N/A",IF(AV7&gt;8,"Exceso Horas","Cumple"))</f>
        <v>N/A</v>
      </c>
      <c r="CS7" s="16" t="str">
        <f t="shared" ref="CS7:CS38" si="39">IF(AW7=0,"N/A",IF(AW7&gt;2,"Exceso Horas","Cumple"))</f>
        <v>Cumple</v>
      </c>
      <c r="CT7" s="16" t="str">
        <f t="shared" ref="CT7:CT38" si="40">IF(AX7=0,"N/A",IF(AX7&gt;4,"Exceso Horas","Cumple"))</f>
        <v>N/A</v>
      </c>
      <c r="CU7" s="16" t="str">
        <f>IF(AD7=0,"N/A",IF(AY7&gt;40,"Exceso Horas","Cumple"))</f>
        <v>Cumple</v>
      </c>
      <c r="CV7" s="16" t="str">
        <f>IF(AE7=0,"N/A",IF(AZ7&gt;40,"Exceso Horas","Cumple"))</f>
        <v>N/A</v>
      </c>
      <c r="CW7" s="16" t="str">
        <f>IF(AF7=0,"N/A",IF(BA7&gt;40,"Exceso Horas","Cumple"))</f>
        <v>N/A</v>
      </c>
      <c r="CX7" s="16" t="str">
        <f>IF(AG7=0,"N/A",IF(K7&gt;40,"Exceso Horas","Cumple"))</f>
        <v>N/A</v>
      </c>
      <c r="CY7" s="16" t="str">
        <f>IF(AH7=0,"N/A",IF(L7&gt;40,"Exceso Horas","Cumple"))</f>
        <v>N/A</v>
      </c>
    </row>
    <row r="8" spans="2:103">
      <c r="B8" s="2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5"/>
      <c r="BA8" s="5"/>
      <c r="BB8" s="5"/>
      <c r="BC8" s="5"/>
      <c r="BD8" s="5">
        <f t="shared" ref="BD8:BD38" si="41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N/A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N/A</v>
      </c>
      <c r="CB8" s="16" t="str">
        <f t="shared" si="22"/>
        <v>N/A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N/A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N/A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ref="CU8:CU71" si="42">IF(AD8=0,"N/A",IF(AY8&gt;40,"Exceso Horas","Cumple"))</f>
        <v>N/A</v>
      </c>
      <c r="CV8" s="16" t="str">
        <f t="shared" ref="CV8:CV71" si="43">IF(AE8=0,"N/A",IF(AZ8&gt;40,"Exceso Horas","Cumple"))</f>
        <v>N/A</v>
      </c>
      <c r="CW8" s="16" t="str">
        <f t="shared" ref="CW8:CW71" si="44">IF(AF8=0,"N/A",IF(BA8&gt;40,"Exceso Horas","Cumple"))</f>
        <v>N/A</v>
      </c>
      <c r="CX8" s="16" t="str">
        <f t="shared" ref="CX8:CX71" si="45">IF(AG8=0,"N/A",IF(K8&gt;40,"Exceso Horas","Cumple"))</f>
        <v>N/A</v>
      </c>
      <c r="CY8" s="16" t="str">
        <f t="shared" ref="CY8:CY71" si="46">IF(AH8=0,"N/A",IF(L8&gt;40,"Exceso Horas","Cumple"))</f>
        <v>N/A</v>
      </c>
    </row>
    <row r="9" spans="2:103">
      <c r="B9" s="2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5"/>
      <c r="BA9" s="5"/>
      <c r="BB9" s="5"/>
      <c r="BC9" s="5"/>
      <c r="BD9" s="5">
        <f t="shared" si="41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N/A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N/A</v>
      </c>
      <c r="CK9" s="16" t="str">
        <f t="shared" si="31"/>
        <v>N/A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2"/>
        <v>N/A</v>
      </c>
      <c r="CV9" s="16" t="str">
        <f t="shared" si="43"/>
        <v>N/A</v>
      </c>
      <c r="CW9" s="16" t="str">
        <f t="shared" si="44"/>
        <v>N/A</v>
      </c>
      <c r="CX9" s="16" t="str">
        <f t="shared" si="45"/>
        <v>N/A</v>
      </c>
      <c r="CY9" s="16" t="str">
        <f t="shared" si="46"/>
        <v>N/A</v>
      </c>
    </row>
    <row r="10" spans="2:103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2"/>
        <v>N/A</v>
      </c>
      <c r="CV10" s="16" t="str">
        <f t="shared" si="43"/>
        <v>N/A</v>
      </c>
      <c r="CW10" s="16" t="str">
        <f t="shared" si="44"/>
        <v>N/A</v>
      </c>
      <c r="CX10" s="16" t="str">
        <f t="shared" si="45"/>
        <v>N/A</v>
      </c>
      <c r="CY10" s="16" t="str">
        <f t="shared" si="46"/>
        <v>N/A</v>
      </c>
    </row>
    <row r="11" spans="2:103">
      <c r="B11" s="2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2"/>
        <v>N/A</v>
      </c>
      <c r="CV11" s="16" t="str">
        <f t="shared" si="43"/>
        <v>N/A</v>
      </c>
      <c r="CW11" s="16" t="str">
        <f t="shared" si="44"/>
        <v>N/A</v>
      </c>
      <c r="CX11" s="16" t="str">
        <f t="shared" si="45"/>
        <v>N/A</v>
      </c>
      <c r="CY11" s="16" t="str">
        <f t="shared" si="46"/>
        <v>N/A</v>
      </c>
    </row>
    <row r="12" spans="2:103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2"/>
        <v>N/A</v>
      </c>
      <c r="CV12" s="16" t="str">
        <f t="shared" si="43"/>
        <v>N/A</v>
      </c>
      <c r="CW12" s="16" t="str">
        <f t="shared" si="44"/>
        <v>N/A</v>
      </c>
      <c r="CX12" s="16" t="str">
        <f t="shared" si="45"/>
        <v>N/A</v>
      </c>
      <c r="CY12" s="16" t="str">
        <f t="shared" si="46"/>
        <v>N/A</v>
      </c>
    </row>
    <row r="13" spans="2:103">
      <c r="B13" s="2"/>
      <c r="C13" s="6"/>
      <c r="D13" s="6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2"/>
        <v>N/A</v>
      </c>
      <c r="CV13" s="16" t="str">
        <f t="shared" si="43"/>
        <v>N/A</v>
      </c>
      <c r="CW13" s="16" t="str">
        <f t="shared" si="44"/>
        <v>N/A</v>
      </c>
      <c r="CX13" s="16" t="str">
        <f t="shared" si="45"/>
        <v>N/A</v>
      </c>
      <c r="CY13" s="16" t="str">
        <f t="shared" si="46"/>
        <v>N/A</v>
      </c>
    </row>
    <row r="14" spans="2:103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2"/>
        <v>N/A</v>
      </c>
      <c r="CV14" s="16" t="str">
        <f t="shared" si="43"/>
        <v>N/A</v>
      </c>
      <c r="CW14" s="16" t="str">
        <f t="shared" si="44"/>
        <v>N/A</v>
      </c>
      <c r="CX14" s="16" t="str">
        <f t="shared" si="45"/>
        <v>N/A</v>
      </c>
      <c r="CY14" s="16" t="str">
        <f t="shared" si="46"/>
        <v>N/A</v>
      </c>
    </row>
    <row r="15" spans="2:103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2"/>
        <v>N/A</v>
      </c>
      <c r="CV15" s="16" t="str">
        <f t="shared" si="43"/>
        <v>N/A</v>
      </c>
      <c r="CW15" s="16" t="str">
        <f t="shared" si="44"/>
        <v>N/A</v>
      </c>
      <c r="CX15" s="16" t="str">
        <f t="shared" si="45"/>
        <v>N/A</v>
      </c>
      <c r="CY15" s="16" t="str">
        <f t="shared" si="46"/>
        <v>N/A</v>
      </c>
    </row>
    <row r="16" spans="2:103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2"/>
        <v>N/A</v>
      </c>
      <c r="CV16" s="16" t="str">
        <f t="shared" si="43"/>
        <v>N/A</v>
      </c>
      <c r="CW16" s="16" t="str">
        <f t="shared" si="44"/>
        <v>N/A</v>
      </c>
      <c r="CX16" s="16" t="str">
        <f t="shared" si="45"/>
        <v>N/A</v>
      </c>
      <c r="CY16" s="16" t="str">
        <f t="shared" si="46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2"/>
        <v>N/A</v>
      </c>
      <c r="CV17" s="16" t="str">
        <f t="shared" si="43"/>
        <v>N/A</v>
      </c>
      <c r="CW17" s="16" t="str">
        <f t="shared" si="44"/>
        <v>N/A</v>
      </c>
      <c r="CX17" s="16" t="str">
        <f t="shared" si="45"/>
        <v>N/A</v>
      </c>
      <c r="CY17" s="16" t="str">
        <f t="shared" si="46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2"/>
        <v>N/A</v>
      </c>
      <c r="CV18" s="16" t="str">
        <f t="shared" si="43"/>
        <v>N/A</v>
      </c>
      <c r="CW18" s="16" t="str">
        <f t="shared" si="44"/>
        <v>N/A</v>
      </c>
      <c r="CX18" s="16" t="str">
        <f t="shared" si="45"/>
        <v>N/A</v>
      </c>
      <c r="CY18" s="16" t="str">
        <f t="shared" si="46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2"/>
        <v>N/A</v>
      </c>
      <c r="CV19" s="16" t="str">
        <f t="shared" si="43"/>
        <v>N/A</v>
      </c>
      <c r="CW19" s="16" t="str">
        <f t="shared" si="44"/>
        <v>N/A</v>
      </c>
      <c r="CX19" s="16" t="str">
        <f t="shared" si="45"/>
        <v>N/A</v>
      </c>
      <c r="CY19" s="16" t="str">
        <f t="shared" si="46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2"/>
        <v>N/A</v>
      </c>
      <c r="CV20" s="16" t="str">
        <f t="shared" si="43"/>
        <v>N/A</v>
      </c>
      <c r="CW20" s="16" t="str">
        <f t="shared" si="44"/>
        <v>N/A</v>
      </c>
      <c r="CX20" s="16" t="str">
        <f t="shared" si="45"/>
        <v>N/A</v>
      </c>
      <c r="CY20" s="16" t="str">
        <f t="shared" si="46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2"/>
        <v>N/A</v>
      </c>
      <c r="CV21" s="16" t="str">
        <f t="shared" si="43"/>
        <v>N/A</v>
      </c>
      <c r="CW21" s="16" t="str">
        <f t="shared" si="44"/>
        <v>N/A</v>
      </c>
      <c r="CX21" s="16" t="str">
        <f t="shared" si="45"/>
        <v>N/A</v>
      </c>
      <c r="CY21" s="16" t="str">
        <f t="shared" si="46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2"/>
        <v>N/A</v>
      </c>
      <c r="CV22" s="16" t="str">
        <f t="shared" si="43"/>
        <v>N/A</v>
      </c>
      <c r="CW22" s="16" t="str">
        <f t="shared" si="44"/>
        <v>N/A</v>
      </c>
      <c r="CX22" s="16" t="str">
        <f t="shared" si="45"/>
        <v>N/A</v>
      </c>
      <c r="CY22" s="16" t="str">
        <f t="shared" si="46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2"/>
        <v>N/A</v>
      </c>
      <c r="CV23" s="16" t="str">
        <f t="shared" si="43"/>
        <v>N/A</v>
      </c>
      <c r="CW23" s="16" t="str">
        <f t="shared" si="44"/>
        <v>N/A</v>
      </c>
      <c r="CX23" s="16" t="str">
        <f t="shared" si="45"/>
        <v>N/A</v>
      </c>
      <c r="CY23" s="16" t="str">
        <f t="shared" si="46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2"/>
        <v>N/A</v>
      </c>
      <c r="CV24" s="16" t="str">
        <f t="shared" si="43"/>
        <v>N/A</v>
      </c>
      <c r="CW24" s="16" t="str">
        <f t="shared" si="44"/>
        <v>N/A</v>
      </c>
      <c r="CX24" s="16" t="str">
        <f t="shared" si="45"/>
        <v>N/A</v>
      </c>
      <c r="CY24" s="16" t="str">
        <f t="shared" si="46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2"/>
        <v>N/A</v>
      </c>
      <c r="CV25" s="16" t="str">
        <f t="shared" si="43"/>
        <v>N/A</v>
      </c>
      <c r="CW25" s="16" t="str">
        <f t="shared" si="44"/>
        <v>N/A</v>
      </c>
      <c r="CX25" s="16" t="str">
        <f t="shared" si="45"/>
        <v>N/A</v>
      </c>
      <c r="CY25" s="16" t="str">
        <f t="shared" si="46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2"/>
        <v>N/A</v>
      </c>
      <c r="CV26" s="16" t="str">
        <f t="shared" si="43"/>
        <v>N/A</v>
      </c>
      <c r="CW26" s="16" t="str">
        <f t="shared" si="44"/>
        <v>N/A</v>
      </c>
      <c r="CX26" s="16" t="str">
        <f t="shared" si="45"/>
        <v>N/A</v>
      </c>
      <c r="CY26" s="16" t="str">
        <f t="shared" si="46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2"/>
        <v>N/A</v>
      </c>
      <c r="CV27" s="16" t="str">
        <f t="shared" si="43"/>
        <v>N/A</v>
      </c>
      <c r="CW27" s="16" t="str">
        <f t="shared" si="44"/>
        <v>N/A</v>
      </c>
      <c r="CX27" s="16" t="str">
        <f t="shared" si="45"/>
        <v>N/A</v>
      </c>
      <c r="CY27" s="16" t="str">
        <f t="shared" si="46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2"/>
        <v>N/A</v>
      </c>
      <c r="CV28" s="16" t="str">
        <f t="shared" si="43"/>
        <v>N/A</v>
      </c>
      <c r="CW28" s="16" t="str">
        <f t="shared" si="44"/>
        <v>N/A</v>
      </c>
      <c r="CX28" s="16" t="str">
        <f t="shared" si="45"/>
        <v>N/A</v>
      </c>
      <c r="CY28" s="16" t="str">
        <f t="shared" si="46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2"/>
        <v>N/A</v>
      </c>
      <c r="CV29" s="16" t="str">
        <f t="shared" si="43"/>
        <v>N/A</v>
      </c>
      <c r="CW29" s="16" t="str">
        <f t="shared" si="44"/>
        <v>N/A</v>
      </c>
      <c r="CX29" s="16" t="str">
        <f t="shared" si="45"/>
        <v>N/A</v>
      </c>
      <c r="CY29" s="16" t="str">
        <f t="shared" si="46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2"/>
        <v>N/A</v>
      </c>
      <c r="CV30" s="16" t="str">
        <f t="shared" si="43"/>
        <v>N/A</v>
      </c>
      <c r="CW30" s="16" t="str">
        <f t="shared" si="44"/>
        <v>N/A</v>
      </c>
      <c r="CX30" s="16" t="str">
        <f t="shared" si="45"/>
        <v>N/A</v>
      </c>
      <c r="CY30" s="16" t="str">
        <f t="shared" si="46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2"/>
        <v>N/A</v>
      </c>
      <c r="CV31" s="16" t="str">
        <f t="shared" si="43"/>
        <v>N/A</v>
      </c>
      <c r="CW31" s="16" t="str">
        <f t="shared" si="44"/>
        <v>N/A</v>
      </c>
      <c r="CX31" s="16" t="str">
        <f t="shared" si="45"/>
        <v>N/A</v>
      </c>
      <c r="CY31" s="16" t="str">
        <f t="shared" si="46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2"/>
        <v>N/A</v>
      </c>
      <c r="CV32" s="16" t="str">
        <f t="shared" si="43"/>
        <v>N/A</v>
      </c>
      <c r="CW32" s="16" t="str">
        <f t="shared" si="44"/>
        <v>N/A</v>
      </c>
      <c r="CX32" s="16" t="str">
        <f t="shared" si="45"/>
        <v>N/A</v>
      </c>
      <c r="CY32" s="16" t="str">
        <f t="shared" si="46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2"/>
        <v>N/A</v>
      </c>
      <c r="CV33" s="16" t="str">
        <f t="shared" si="43"/>
        <v>N/A</v>
      </c>
      <c r="CW33" s="16" t="str">
        <f t="shared" si="44"/>
        <v>N/A</v>
      </c>
      <c r="CX33" s="16" t="str">
        <f t="shared" si="45"/>
        <v>N/A</v>
      </c>
      <c r="CY33" s="16" t="str">
        <f t="shared" si="46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2"/>
        <v>N/A</v>
      </c>
      <c r="CV34" s="16" t="str">
        <f t="shared" si="43"/>
        <v>N/A</v>
      </c>
      <c r="CW34" s="16" t="str">
        <f t="shared" si="44"/>
        <v>N/A</v>
      </c>
      <c r="CX34" s="16" t="str">
        <f t="shared" si="45"/>
        <v>N/A</v>
      </c>
      <c r="CY34" s="16" t="str">
        <f t="shared" si="46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2"/>
        <v>N/A</v>
      </c>
      <c r="CV35" s="16" t="str">
        <f t="shared" si="43"/>
        <v>N/A</v>
      </c>
      <c r="CW35" s="16" t="str">
        <f t="shared" si="44"/>
        <v>N/A</v>
      </c>
      <c r="CX35" s="16" t="str">
        <f t="shared" si="45"/>
        <v>N/A</v>
      </c>
      <c r="CY35" s="16" t="str">
        <f t="shared" si="46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2"/>
        <v>N/A</v>
      </c>
      <c r="CV36" s="16" t="str">
        <f t="shared" si="43"/>
        <v>N/A</v>
      </c>
      <c r="CW36" s="16" t="str">
        <f t="shared" si="44"/>
        <v>N/A</v>
      </c>
      <c r="CX36" s="16" t="str">
        <f t="shared" si="45"/>
        <v>N/A</v>
      </c>
      <c r="CY36" s="16" t="str">
        <f t="shared" si="46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2"/>
        <v>N/A</v>
      </c>
      <c r="CV37" s="16" t="str">
        <f t="shared" si="43"/>
        <v>N/A</v>
      </c>
      <c r="CW37" s="16" t="str">
        <f t="shared" si="44"/>
        <v>N/A</v>
      </c>
      <c r="CX37" s="16" t="str">
        <f t="shared" si="45"/>
        <v>N/A</v>
      </c>
      <c r="CY37" s="16" t="str">
        <f t="shared" si="46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6" t="str">
        <f t="shared" si="2"/>
        <v>Cumple</v>
      </c>
      <c r="BI38" s="2" t="str">
        <f t="shared" si="3"/>
        <v>Cumple</v>
      </c>
      <c r="BJ38" s="16" t="str">
        <f t="shared" si="4"/>
        <v>Cumple</v>
      </c>
      <c r="BK38" s="16" t="str">
        <f t="shared" si="5"/>
        <v>N/A</v>
      </c>
      <c r="BL38" s="16" t="str">
        <f t="shared" si="6"/>
        <v>N/A</v>
      </c>
      <c r="BM38" s="16" t="str">
        <f t="shared" si="7"/>
        <v>N/A</v>
      </c>
      <c r="BN38" s="16" t="str">
        <f t="shared" si="8"/>
        <v>N/A</v>
      </c>
      <c r="BO38" s="16" t="str">
        <f t="shared" si="9"/>
        <v>N/A</v>
      </c>
      <c r="BP38" s="16" t="str">
        <f t="shared" si="10"/>
        <v>N/A</v>
      </c>
      <c r="BQ38" s="16" t="str">
        <f t="shared" si="11"/>
        <v>N/A</v>
      </c>
      <c r="BR38" s="16" t="str">
        <f t="shared" si="12"/>
        <v>N/A</v>
      </c>
      <c r="BS38" s="16" t="str">
        <f t="shared" si="13"/>
        <v>N/A</v>
      </c>
      <c r="BT38" s="16" t="str">
        <f t="shared" si="14"/>
        <v>N/A</v>
      </c>
      <c r="BU38" s="16" t="str">
        <f t="shared" si="15"/>
        <v>N/A</v>
      </c>
      <c r="BV38" s="16" t="str">
        <f t="shared" si="16"/>
        <v>N/A</v>
      </c>
      <c r="BW38" s="16" t="str">
        <f t="shared" si="17"/>
        <v>N/A</v>
      </c>
      <c r="BX38" s="16" t="str">
        <f t="shared" si="18"/>
        <v>N/A</v>
      </c>
      <c r="BY38" s="16" t="str">
        <f t="shared" si="19"/>
        <v>N/A</v>
      </c>
      <c r="BZ38" s="16" t="str">
        <f t="shared" si="20"/>
        <v>N/A</v>
      </c>
      <c r="CA38" s="16" t="str">
        <f t="shared" si="21"/>
        <v>N/A</v>
      </c>
      <c r="CB38" s="16" t="str">
        <f t="shared" si="22"/>
        <v>N/A</v>
      </c>
      <c r="CC38" s="16" t="str">
        <f t="shared" si="23"/>
        <v>N/A</v>
      </c>
      <c r="CD38" s="16" t="str">
        <f t="shared" si="24"/>
        <v>N/A</v>
      </c>
      <c r="CE38" s="16" t="str">
        <f t="shared" si="25"/>
        <v>N/A</v>
      </c>
      <c r="CF38" s="16" t="str">
        <f t="shared" si="26"/>
        <v>N/A</v>
      </c>
      <c r="CG38" s="16" t="str">
        <f t="shared" si="27"/>
        <v>N/A</v>
      </c>
      <c r="CH38" s="16" t="str">
        <f t="shared" si="28"/>
        <v>N/A</v>
      </c>
      <c r="CI38" s="16" t="str">
        <f t="shared" si="29"/>
        <v>N/A</v>
      </c>
      <c r="CJ38" s="16" t="str">
        <f t="shared" si="30"/>
        <v>N/A</v>
      </c>
      <c r="CK38" s="16" t="str">
        <f t="shared" si="31"/>
        <v>N/A</v>
      </c>
      <c r="CL38" s="16" t="str">
        <f t="shared" si="32"/>
        <v>N/A</v>
      </c>
      <c r="CM38" s="16" t="str">
        <f t="shared" si="33"/>
        <v>N/A</v>
      </c>
      <c r="CN38" s="16" t="str">
        <f t="shared" si="34"/>
        <v>N/A</v>
      </c>
      <c r="CO38" s="16" t="str">
        <f t="shared" si="35"/>
        <v>N/A</v>
      </c>
      <c r="CP38" s="16" t="str">
        <f t="shared" si="36"/>
        <v>N/A</v>
      </c>
      <c r="CQ38" s="16" t="str">
        <f t="shared" si="37"/>
        <v>N/A</v>
      </c>
      <c r="CR38" s="16" t="str">
        <f t="shared" si="38"/>
        <v>N/A</v>
      </c>
      <c r="CS38" s="16" t="str">
        <f t="shared" si="39"/>
        <v>N/A</v>
      </c>
      <c r="CT38" s="16" t="str">
        <f t="shared" si="40"/>
        <v>N/A</v>
      </c>
      <c r="CU38" s="16" t="str">
        <f t="shared" si="42"/>
        <v>N/A</v>
      </c>
      <c r="CV38" s="16" t="str">
        <f t="shared" si="43"/>
        <v>N/A</v>
      </c>
      <c r="CW38" s="16" t="str">
        <f t="shared" si="44"/>
        <v>N/A</v>
      </c>
      <c r="CX38" s="16" t="str">
        <f t="shared" si="45"/>
        <v>N/A</v>
      </c>
      <c r="CY38" s="16" t="str">
        <f t="shared" si="46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6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6" t="str">
        <f t="shared" ref="BJ39:BJ70" si="52">IF(G39&gt;4,"Exceso Horas","Cumple")</f>
        <v>Cumple</v>
      </c>
      <c r="BK39" s="16" t="str">
        <f t="shared" ref="BK39:BK70" si="53">IF(H39=0,"N/A",IF(H39&gt;8,"Exceso Horas","Cumple"))</f>
        <v>N/A</v>
      </c>
      <c r="BL39" s="16" t="str">
        <f t="shared" ref="BL39:BL70" si="54">IF(J39=0,"N/A",IF(J39&gt;2,"Exceso Horas","Cumple"))</f>
        <v>N/A</v>
      </c>
      <c r="BM39" s="16" t="str">
        <f t="shared" ref="BM39:BM70" si="55">IF(M39=0,"N/A",IF(M39&gt;20,"Exceso Horas","Cumple"))</f>
        <v>N/A</v>
      </c>
      <c r="BN39" s="16" t="str">
        <f t="shared" ref="BN39:BN70" si="56">IF(N39=0,"N/A",IF(N39&gt;20,"Exceso Horas","Cumple"))</f>
        <v>N/A</v>
      </c>
      <c r="BO39" s="16" t="str">
        <f t="shared" ref="BO39:BO70" si="57">IF(O39=0,"N/A",IF(O39&gt;20,"Exceso Horas","Cumple"))</f>
        <v>N/A</v>
      </c>
      <c r="BP39" s="16" t="str">
        <f t="shared" ref="BP39:BP70" si="58">IF(P39=0,"N/A",IF(P39&gt;20,"Exceso Horas","Cumple"))</f>
        <v>N/A</v>
      </c>
      <c r="BQ39" s="16" t="str">
        <f t="shared" ref="BQ39:BQ70" si="59">IF(Q39=0,"N/A",IF(Q39&gt;20,"Exceso Horas","Cumple"))</f>
        <v>N/A</v>
      </c>
      <c r="BR39" s="16" t="str">
        <f t="shared" ref="BR39:BR70" si="60">IF(R39=0,"N/A",IF(R39&gt;20,"Exceso Horas","Cumple"))</f>
        <v>N/A</v>
      </c>
      <c r="BS39" s="16" t="str">
        <f t="shared" ref="BS39:BS70" si="61">IF(S39=0,"N/A",IF(S39&gt;8,"Exceso Horas","Cumple"))</f>
        <v>N/A</v>
      </c>
      <c r="BT39" s="16" t="str">
        <f t="shared" ref="BT39:BT70" si="62">IF(U39=0,"N/A",IF(U39&gt;2,"Exceso Horas","Cumple"))</f>
        <v>N/A</v>
      </c>
      <c r="BU39" s="16" t="str">
        <f t="shared" ref="BU39:BU70" si="63">IF(V39=0,"N/A",IF(V39&gt;12,"Exceso Horas","Cumple"))</f>
        <v>N/A</v>
      </c>
      <c r="BV39" s="16" t="str">
        <f t="shared" ref="BV39:BV70" si="64">IF(W39=0,"N/A",IF(W39&gt;12,"Exceso Horas","Cumple"))</f>
        <v>N/A</v>
      </c>
      <c r="BW39" s="16" t="str">
        <f t="shared" ref="BW39:BW70" si="65">IF(X39=0,"N/A",IF(X39&gt;4,"Exceso Horas","Cumple"))</f>
        <v>N/A</v>
      </c>
      <c r="BX39" s="16" t="str">
        <f t="shared" ref="BX39:BX70" si="66">IF(Y39=0,"N/A",IF(Y39&gt;2,"Exceso Horas","Cumple"))</f>
        <v>N/A</v>
      </c>
      <c r="BY39" s="16" t="str">
        <f t="shared" ref="BY39:BY70" si="67">IF(Z39=0,"N/A",IF(Z39&gt;10,"Exceso Horas","Cumple"))</f>
        <v>N/A</v>
      </c>
      <c r="BZ39" s="16" t="str">
        <f t="shared" ref="BZ39:BZ70" si="68">IF(AA39=0,"N/A",IF(AA39&gt;8,"Exceso Horas","Cumple"))</f>
        <v>N/A</v>
      </c>
      <c r="CA39" s="16" t="str">
        <f t="shared" ref="CA39:CA70" si="69">IF(AC39=0,"N/A",IF(AC39&gt;4,"Exceso Horas","Cumple"))</f>
        <v>N/A</v>
      </c>
      <c r="CB39" s="16" t="str">
        <f t="shared" ref="CB39:CB70" si="70">IF(AD39=0,"N/A",IF(AD39&gt;8,"Exceso Horas","Cumple"))</f>
        <v>N/A</v>
      </c>
      <c r="CC39" s="16" t="str">
        <f t="shared" ref="CC39:CC70" si="71">IF(AE39=0,"N/A",IF(AE39&gt;2,"Exceso Horas","Cumple"))</f>
        <v>N/A</v>
      </c>
      <c r="CD39" s="16" t="str">
        <f t="shared" ref="CD39:CD70" si="72">IF(AF39=0,"N/A",IF(AF39&gt;2,"Exceso Horas","Cumple"))</f>
        <v>N/A</v>
      </c>
      <c r="CE39" s="16" t="str">
        <f t="shared" ref="CE39:CE70" si="73">IF(AG39=0,"N/A",IF(AG39&gt;2,"Exceso Horas","Cumple"))</f>
        <v>N/A</v>
      </c>
      <c r="CF39" s="16" t="str">
        <f t="shared" ref="CF39:CF70" si="74">IF(AH39=0,"N/A",IF(AH39&gt;2,"Exceso Horas","Cumple"))</f>
        <v>N/A</v>
      </c>
      <c r="CG39" s="16" t="str">
        <f t="shared" ref="CG39:CG70" si="75">IF(AI39=0,"N/A",IF(AI39&gt;2,"Exceso Horas","Cumple"))</f>
        <v>N/A</v>
      </c>
      <c r="CH39" s="16" t="str">
        <f t="shared" ref="CH39:CH70" si="76">IF(AJ39=0,"N/A",IF(AJ39&gt;4,"Exceso Horas","Cumple"))</f>
        <v>N/A</v>
      </c>
      <c r="CI39" s="16" t="str">
        <f t="shared" ref="CI39:CI70" si="77">IF(AK39=0,"N/A",IF(AK39&gt;4,"Exceso Horas","Cumple"))</f>
        <v>N/A</v>
      </c>
      <c r="CJ39" s="16" t="str">
        <f t="shared" ref="CJ39:CJ70" si="78">IF(AM39=0,"N/A",IF(AM39&gt;4,"Exceso Horas","Cumple"))</f>
        <v>N/A</v>
      </c>
      <c r="CK39" s="16" t="str">
        <f t="shared" ref="CK39:CK70" si="79">IF(AN39=0,"N/A",IF(AN39&gt;14,"Exceso Horas","Cumple"))</f>
        <v>N/A</v>
      </c>
      <c r="CL39" s="16" t="str">
        <f t="shared" ref="CL39:CL70" si="80">IF(AO39=0,"N/A",IF(A39&gt;10,"Exceso Horas","Cumple"))</f>
        <v>N/A</v>
      </c>
      <c r="CM39" s="16" t="str">
        <f t="shared" ref="CM39:CM70" si="81">IF(AP39=0,"N/A",IF(AP39&gt;6,"Exceso Horas","Cumple"))</f>
        <v>N/A</v>
      </c>
      <c r="CN39" s="16" t="str">
        <f t="shared" ref="CN39:CN70" si="82">IF(AR39=0,"N/A",IF(AR39&gt;4,"Exceso Horas","Cumple"))</f>
        <v>N/A</v>
      </c>
      <c r="CO39" s="16" t="str">
        <f t="shared" ref="CO39:CO70" si="83">IF(AS39=0,"N/A",IF(AS39&gt;8,"Exceso Horas","Cumple"))</f>
        <v>N/A</v>
      </c>
      <c r="CP39" s="16" t="str">
        <f t="shared" ref="CP39:CP70" si="84">IF(AT39=0,"N/A",IF(AT39&gt;4,"Exceso Horas","Cumple"))</f>
        <v>N/A</v>
      </c>
      <c r="CQ39" s="16" t="str">
        <f t="shared" ref="CQ39:CQ70" si="85">IF(AU39=0,"N/A",IF(AU39&gt;4,"Exceso Horas","Cumple"))</f>
        <v>N/A</v>
      </c>
      <c r="CR39" s="16" t="str">
        <f t="shared" ref="CR39:CR70" si="86">IF(AV39=0,"N/A",IF(AV39&gt;8,"Exceso Horas","Cumple"))</f>
        <v>N/A</v>
      </c>
      <c r="CS39" s="16" t="str">
        <f t="shared" ref="CS39:CS70" si="87">IF(AW39=0,"N/A",IF(AW39&gt;2,"Exceso Horas","Cumple"))</f>
        <v>N/A</v>
      </c>
      <c r="CT39" s="16" t="str">
        <f t="shared" ref="CT39:CT70" si="88">IF(AX39=0,"N/A",IF(AX39&gt;4,"Exceso Horas","Cumple"))</f>
        <v>N/A</v>
      </c>
      <c r="CU39" s="16" t="str">
        <f t="shared" si="42"/>
        <v>N/A</v>
      </c>
      <c r="CV39" s="16" t="str">
        <f t="shared" si="43"/>
        <v>N/A</v>
      </c>
      <c r="CW39" s="16" t="str">
        <f t="shared" si="44"/>
        <v>N/A</v>
      </c>
      <c r="CX39" s="16" t="str">
        <f t="shared" si="45"/>
        <v>N/A</v>
      </c>
      <c r="CY39" s="16" t="str">
        <f t="shared" si="46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2"/>
        <v>N/A</v>
      </c>
      <c r="CV40" s="16" t="str">
        <f t="shared" si="43"/>
        <v>N/A</v>
      </c>
      <c r="CW40" s="16" t="str">
        <f t="shared" si="44"/>
        <v>N/A</v>
      </c>
      <c r="CX40" s="16" t="str">
        <f t="shared" si="45"/>
        <v>N/A</v>
      </c>
      <c r="CY40" s="16" t="str">
        <f t="shared" si="46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2"/>
        <v>N/A</v>
      </c>
      <c r="CV41" s="16" t="str">
        <f t="shared" si="43"/>
        <v>N/A</v>
      </c>
      <c r="CW41" s="16" t="str">
        <f t="shared" si="44"/>
        <v>N/A</v>
      </c>
      <c r="CX41" s="16" t="str">
        <f t="shared" si="45"/>
        <v>N/A</v>
      </c>
      <c r="CY41" s="16" t="str">
        <f t="shared" si="46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2"/>
        <v>N/A</v>
      </c>
      <c r="CV42" s="16" t="str">
        <f t="shared" si="43"/>
        <v>N/A</v>
      </c>
      <c r="CW42" s="16" t="str">
        <f t="shared" si="44"/>
        <v>N/A</v>
      </c>
      <c r="CX42" s="16" t="str">
        <f t="shared" si="45"/>
        <v>N/A</v>
      </c>
      <c r="CY42" s="16" t="str">
        <f t="shared" si="46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2"/>
        <v>N/A</v>
      </c>
      <c r="CV43" s="16" t="str">
        <f t="shared" si="43"/>
        <v>N/A</v>
      </c>
      <c r="CW43" s="16" t="str">
        <f t="shared" si="44"/>
        <v>N/A</v>
      </c>
      <c r="CX43" s="16" t="str">
        <f t="shared" si="45"/>
        <v>N/A</v>
      </c>
      <c r="CY43" s="16" t="str">
        <f t="shared" si="46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2"/>
        <v>N/A</v>
      </c>
      <c r="CV44" s="16" t="str">
        <f t="shared" si="43"/>
        <v>N/A</v>
      </c>
      <c r="CW44" s="16" t="str">
        <f t="shared" si="44"/>
        <v>N/A</v>
      </c>
      <c r="CX44" s="16" t="str">
        <f t="shared" si="45"/>
        <v>N/A</v>
      </c>
      <c r="CY44" s="16" t="str">
        <f t="shared" si="46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2"/>
        <v>N/A</v>
      </c>
      <c r="CV45" s="16" t="str">
        <f t="shared" si="43"/>
        <v>N/A</v>
      </c>
      <c r="CW45" s="16" t="str">
        <f t="shared" si="44"/>
        <v>N/A</v>
      </c>
      <c r="CX45" s="16" t="str">
        <f t="shared" si="45"/>
        <v>N/A</v>
      </c>
      <c r="CY45" s="16" t="str">
        <f t="shared" si="46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2"/>
        <v>N/A</v>
      </c>
      <c r="CV46" s="16" t="str">
        <f t="shared" si="43"/>
        <v>N/A</v>
      </c>
      <c r="CW46" s="16" t="str">
        <f t="shared" si="44"/>
        <v>N/A</v>
      </c>
      <c r="CX46" s="16" t="str">
        <f t="shared" si="45"/>
        <v>N/A</v>
      </c>
      <c r="CY46" s="16" t="str">
        <f t="shared" si="46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2"/>
        <v>N/A</v>
      </c>
      <c r="CV47" s="16" t="str">
        <f t="shared" si="43"/>
        <v>N/A</v>
      </c>
      <c r="CW47" s="16" t="str">
        <f t="shared" si="44"/>
        <v>N/A</v>
      </c>
      <c r="CX47" s="16" t="str">
        <f t="shared" si="45"/>
        <v>N/A</v>
      </c>
      <c r="CY47" s="16" t="str">
        <f t="shared" si="46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2"/>
        <v>N/A</v>
      </c>
      <c r="CV48" s="16" t="str">
        <f t="shared" si="43"/>
        <v>N/A</v>
      </c>
      <c r="CW48" s="16" t="str">
        <f t="shared" si="44"/>
        <v>N/A</v>
      </c>
      <c r="CX48" s="16" t="str">
        <f t="shared" si="45"/>
        <v>N/A</v>
      </c>
      <c r="CY48" s="16" t="str">
        <f t="shared" si="46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2"/>
        <v>N/A</v>
      </c>
      <c r="CV49" s="16" t="str">
        <f t="shared" si="43"/>
        <v>N/A</v>
      </c>
      <c r="CW49" s="16" t="str">
        <f t="shared" si="44"/>
        <v>N/A</v>
      </c>
      <c r="CX49" s="16" t="str">
        <f t="shared" si="45"/>
        <v>N/A</v>
      </c>
      <c r="CY49" s="16" t="str">
        <f t="shared" si="46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2"/>
        <v>N/A</v>
      </c>
      <c r="CV50" s="16" t="str">
        <f t="shared" si="43"/>
        <v>N/A</v>
      </c>
      <c r="CW50" s="16" t="str">
        <f t="shared" si="44"/>
        <v>N/A</v>
      </c>
      <c r="CX50" s="16" t="str">
        <f t="shared" si="45"/>
        <v>N/A</v>
      </c>
      <c r="CY50" s="16" t="str">
        <f t="shared" si="46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2"/>
        <v>N/A</v>
      </c>
      <c r="CV51" s="16" t="str">
        <f t="shared" si="43"/>
        <v>N/A</v>
      </c>
      <c r="CW51" s="16" t="str">
        <f t="shared" si="44"/>
        <v>N/A</v>
      </c>
      <c r="CX51" s="16" t="str">
        <f t="shared" si="45"/>
        <v>N/A</v>
      </c>
      <c r="CY51" s="16" t="str">
        <f t="shared" si="46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2"/>
        <v>N/A</v>
      </c>
      <c r="CV52" s="16" t="str">
        <f t="shared" si="43"/>
        <v>N/A</v>
      </c>
      <c r="CW52" s="16" t="str">
        <f t="shared" si="44"/>
        <v>N/A</v>
      </c>
      <c r="CX52" s="16" t="str">
        <f t="shared" si="45"/>
        <v>N/A</v>
      </c>
      <c r="CY52" s="16" t="str">
        <f t="shared" si="46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2"/>
        <v>N/A</v>
      </c>
      <c r="CV53" s="16" t="str">
        <f t="shared" si="43"/>
        <v>N/A</v>
      </c>
      <c r="CW53" s="16" t="str">
        <f t="shared" si="44"/>
        <v>N/A</v>
      </c>
      <c r="CX53" s="16" t="str">
        <f t="shared" si="45"/>
        <v>N/A</v>
      </c>
      <c r="CY53" s="16" t="str">
        <f t="shared" si="46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2"/>
        <v>N/A</v>
      </c>
      <c r="CV54" s="16" t="str">
        <f t="shared" si="43"/>
        <v>N/A</v>
      </c>
      <c r="CW54" s="16" t="str">
        <f t="shared" si="44"/>
        <v>N/A</v>
      </c>
      <c r="CX54" s="16" t="str">
        <f t="shared" si="45"/>
        <v>N/A</v>
      </c>
      <c r="CY54" s="16" t="str">
        <f t="shared" si="46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2"/>
        <v>N/A</v>
      </c>
      <c r="CV55" s="16" t="str">
        <f t="shared" si="43"/>
        <v>N/A</v>
      </c>
      <c r="CW55" s="16" t="str">
        <f t="shared" si="44"/>
        <v>N/A</v>
      </c>
      <c r="CX55" s="16" t="str">
        <f t="shared" si="45"/>
        <v>N/A</v>
      </c>
      <c r="CY55" s="16" t="str">
        <f t="shared" si="46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2"/>
        <v>N/A</v>
      </c>
      <c r="CV56" s="16" t="str">
        <f t="shared" si="43"/>
        <v>N/A</v>
      </c>
      <c r="CW56" s="16" t="str">
        <f t="shared" si="44"/>
        <v>N/A</v>
      </c>
      <c r="CX56" s="16" t="str">
        <f t="shared" si="45"/>
        <v>N/A</v>
      </c>
      <c r="CY56" s="16" t="str">
        <f t="shared" si="46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2"/>
        <v>N/A</v>
      </c>
      <c r="CV57" s="16" t="str">
        <f t="shared" si="43"/>
        <v>N/A</v>
      </c>
      <c r="CW57" s="16" t="str">
        <f t="shared" si="44"/>
        <v>N/A</v>
      </c>
      <c r="CX57" s="16" t="str">
        <f t="shared" si="45"/>
        <v>N/A</v>
      </c>
      <c r="CY57" s="16" t="str">
        <f t="shared" si="46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2"/>
        <v>N/A</v>
      </c>
      <c r="CV58" s="16" t="str">
        <f t="shared" si="43"/>
        <v>N/A</v>
      </c>
      <c r="CW58" s="16" t="str">
        <f t="shared" si="44"/>
        <v>N/A</v>
      </c>
      <c r="CX58" s="16" t="str">
        <f t="shared" si="45"/>
        <v>N/A</v>
      </c>
      <c r="CY58" s="16" t="str">
        <f t="shared" si="46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2"/>
        <v>N/A</v>
      </c>
      <c r="CV59" s="16" t="str">
        <f t="shared" si="43"/>
        <v>N/A</v>
      </c>
      <c r="CW59" s="16" t="str">
        <f t="shared" si="44"/>
        <v>N/A</v>
      </c>
      <c r="CX59" s="16" t="str">
        <f t="shared" si="45"/>
        <v>N/A</v>
      </c>
      <c r="CY59" s="16" t="str">
        <f t="shared" si="46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2"/>
        <v>N/A</v>
      </c>
      <c r="CV60" s="16" t="str">
        <f t="shared" si="43"/>
        <v>N/A</v>
      </c>
      <c r="CW60" s="16" t="str">
        <f t="shared" si="44"/>
        <v>N/A</v>
      </c>
      <c r="CX60" s="16" t="str">
        <f t="shared" si="45"/>
        <v>N/A</v>
      </c>
      <c r="CY60" s="16" t="str">
        <f t="shared" si="46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2"/>
        <v>N/A</v>
      </c>
      <c r="CV61" s="16" t="str">
        <f t="shared" si="43"/>
        <v>N/A</v>
      </c>
      <c r="CW61" s="16" t="str">
        <f t="shared" si="44"/>
        <v>N/A</v>
      </c>
      <c r="CX61" s="16" t="str">
        <f t="shared" si="45"/>
        <v>N/A</v>
      </c>
      <c r="CY61" s="16" t="str">
        <f t="shared" si="46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2"/>
        <v>N/A</v>
      </c>
      <c r="CV62" s="16" t="str">
        <f t="shared" si="43"/>
        <v>N/A</v>
      </c>
      <c r="CW62" s="16" t="str">
        <f t="shared" si="44"/>
        <v>N/A</v>
      </c>
      <c r="CX62" s="16" t="str">
        <f t="shared" si="45"/>
        <v>N/A</v>
      </c>
      <c r="CY62" s="16" t="str">
        <f t="shared" si="46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2"/>
        <v>N/A</v>
      </c>
      <c r="CV63" s="16" t="str">
        <f t="shared" si="43"/>
        <v>N/A</v>
      </c>
      <c r="CW63" s="16" t="str">
        <f t="shared" si="44"/>
        <v>N/A</v>
      </c>
      <c r="CX63" s="16" t="str">
        <f t="shared" si="45"/>
        <v>N/A</v>
      </c>
      <c r="CY63" s="16" t="str">
        <f t="shared" si="46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2"/>
        <v>N/A</v>
      </c>
      <c r="CV64" s="16" t="str">
        <f t="shared" si="43"/>
        <v>N/A</v>
      </c>
      <c r="CW64" s="16" t="str">
        <f t="shared" si="44"/>
        <v>N/A</v>
      </c>
      <c r="CX64" s="16" t="str">
        <f t="shared" si="45"/>
        <v>N/A</v>
      </c>
      <c r="CY64" s="16" t="str">
        <f t="shared" si="46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2"/>
        <v>N/A</v>
      </c>
      <c r="CV65" s="16" t="str">
        <f t="shared" si="43"/>
        <v>N/A</v>
      </c>
      <c r="CW65" s="16" t="str">
        <f t="shared" si="44"/>
        <v>N/A</v>
      </c>
      <c r="CX65" s="16" t="str">
        <f t="shared" si="45"/>
        <v>N/A</v>
      </c>
      <c r="CY65" s="16" t="str">
        <f t="shared" si="46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2"/>
        <v>N/A</v>
      </c>
      <c r="CV66" s="16" t="str">
        <f t="shared" si="43"/>
        <v>N/A</v>
      </c>
      <c r="CW66" s="16" t="str">
        <f t="shared" si="44"/>
        <v>N/A</v>
      </c>
      <c r="CX66" s="16" t="str">
        <f t="shared" si="45"/>
        <v>N/A</v>
      </c>
      <c r="CY66" s="16" t="str">
        <f t="shared" si="46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2"/>
        <v>N/A</v>
      </c>
      <c r="CV67" s="16" t="str">
        <f t="shared" si="43"/>
        <v>N/A</v>
      </c>
      <c r="CW67" s="16" t="str">
        <f t="shared" si="44"/>
        <v>N/A</v>
      </c>
      <c r="CX67" s="16" t="str">
        <f t="shared" si="45"/>
        <v>N/A</v>
      </c>
      <c r="CY67" s="16" t="str">
        <f t="shared" si="46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2"/>
        <v>N/A</v>
      </c>
      <c r="CV68" s="16" t="str">
        <f t="shared" si="43"/>
        <v>N/A</v>
      </c>
      <c r="CW68" s="16" t="str">
        <f t="shared" si="44"/>
        <v>N/A</v>
      </c>
      <c r="CX68" s="16" t="str">
        <f t="shared" si="45"/>
        <v>N/A</v>
      </c>
      <c r="CY68" s="16" t="str">
        <f t="shared" si="46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2"/>
        <v>N/A</v>
      </c>
      <c r="CV69" s="16" t="str">
        <f t="shared" si="43"/>
        <v>N/A</v>
      </c>
      <c r="CW69" s="16" t="str">
        <f t="shared" si="44"/>
        <v>N/A</v>
      </c>
      <c r="CX69" s="16" t="str">
        <f t="shared" si="45"/>
        <v>N/A</v>
      </c>
      <c r="CY69" s="16" t="str">
        <f t="shared" si="46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6" t="str">
        <f t="shared" si="50"/>
        <v>Cumple</v>
      </c>
      <c r="BI70" s="2" t="str">
        <f t="shared" si="51"/>
        <v>Cumple</v>
      </c>
      <c r="BJ70" s="16" t="str">
        <f t="shared" si="52"/>
        <v>Cumple</v>
      </c>
      <c r="BK70" s="16" t="str">
        <f t="shared" si="53"/>
        <v>N/A</v>
      </c>
      <c r="BL70" s="16" t="str">
        <f t="shared" si="54"/>
        <v>N/A</v>
      </c>
      <c r="BM70" s="16" t="str">
        <f t="shared" si="55"/>
        <v>N/A</v>
      </c>
      <c r="BN70" s="16" t="str">
        <f t="shared" si="56"/>
        <v>N/A</v>
      </c>
      <c r="BO70" s="16" t="str">
        <f t="shared" si="57"/>
        <v>N/A</v>
      </c>
      <c r="BP70" s="16" t="str">
        <f t="shared" si="58"/>
        <v>N/A</v>
      </c>
      <c r="BQ70" s="16" t="str">
        <f t="shared" si="59"/>
        <v>N/A</v>
      </c>
      <c r="BR70" s="16" t="str">
        <f t="shared" si="60"/>
        <v>N/A</v>
      </c>
      <c r="BS70" s="16" t="str">
        <f t="shared" si="61"/>
        <v>N/A</v>
      </c>
      <c r="BT70" s="16" t="str">
        <f t="shared" si="62"/>
        <v>N/A</v>
      </c>
      <c r="BU70" s="16" t="str">
        <f t="shared" si="63"/>
        <v>N/A</v>
      </c>
      <c r="BV70" s="16" t="str">
        <f t="shared" si="64"/>
        <v>N/A</v>
      </c>
      <c r="BW70" s="16" t="str">
        <f t="shared" si="65"/>
        <v>N/A</v>
      </c>
      <c r="BX70" s="16" t="str">
        <f t="shared" si="66"/>
        <v>N/A</v>
      </c>
      <c r="BY70" s="16" t="str">
        <f t="shared" si="67"/>
        <v>N/A</v>
      </c>
      <c r="BZ70" s="16" t="str">
        <f t="shared" si="68"/>
        <v>N/A</v>
      </c>
      <c r="CA70" s="16" t="str">
        <f t="shared" si="69"/>
        <v>N/A</v>
      </c>
      <c r="CB70" s="16" t="str">
        <f t="shared" si="70"/>
        <v>N/A</v>
      </c>
      <c r="CC70" s="16" t="str">
        <f t="shared" si="71"/>
        <v>N/A</v>
      </c>
      <c r="CD70" s="16" t="str">
        <f t="shared" si="72"/>
        <v>N/A</v>
      </c>
      <c r="CE70" s="16" t="str">
        <f t="shared" si="73"/>
        <v>N/A</v>
      </c>
      <c r="CF70" s="16" t="str">
        <f t="shared" si="74"/>
        <v>N/A</v>
      </c>
      <c r="CG70" s="16" t="str">
        <f t="shared" si="75"/>
        <v>N/A</v>
      </c>
      <c r="CH70" s="16" t="str">
        <f t="shared" si="76"/>
        <v>N/A</v>
      </c>
      <c r="CI70" s="16" t="str">
        <f t="shared" si="77"/>
        <v>N/A</v>
      </c>
      <c r="CJ70" s="16" t="str">
        <f t="shared" si="78"/>
        <v>N/A</v>
      </c>
      <c r="CK70" s="16" t="str">
        <f t="shared" si="79"/>
        <v>N/A</v>
      </c>
      <c r="CL70" s="16" t="str">
        <f t="shared" si="80"/>
        <v>N/A</v>
      </c>
      <c r="CM70" s="16" t="str">
        <f t="shared" si="81"/>
        <v>N/A</v>
      </c>
      <c r="CN70" s="16" t="str">
        <f t="shared" si="82"/>
        <v>N/A</v>
      </c>
      <c r="CO70" s="16" t="str">
        <f t="shared" si="83"/>
        <v>N/A</v>
      </c>
      <c r="CP70" s="16" t="str">
        <f t="shared" si="84"/>
        <v>N/A</v>
      </c>
      <c r="CQ70" s="16" t="str">
        <f t="shared" si="85"/>
        <v>N/A</v>
      </c>
      <c r="CR70" s="16" t="str">
        <f t="shared" si="86"/>
        <v>N/A</v>
      </c>
      <c r="CS70" s="16" t="str">
        <f t="shared" si="87"/>
        <v>N/A</v>
      </c>
      <c r="CT70" s="16" t="str">
        <f t="shared" si="88"/>
        <v>N/A</v>
      </c>
      <c r="CU70" s="16" t="str">
        <f t="shared" si="42"/>
        <v>N/A</v>
      </c>
      <c r="CV70" s="16" t="str">
        <f t="shared" si="43"/>
        <v>N/A</v>
      </c>
      <c r="CW70" s="16" t="str">
        <f t="shared" si="44"/>
        <v>N/A</v>
      </c>
      <c r="CX70" s="16" t="str">
        <f t="shared" si="45"/>
        <v>N/A</v>
      </c>
      <c r="CY70" s="16" t="str">
        <f t="shared" si="46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6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6" t="str">
        <f t="shared" ref="BJ71:BJ102" si="94">IF(G71&gt;4,"Exceso Horas","Cumple")</f>
        <v>Cumple</v>
      </c>
      <c r="BK71" s="16" t="str">
        <f t="shared" ref="BK71:BK102" si="95">IF(H71=0,"N/A",IF(H71&gt;8,"Exceso Horas","Cumple"))</f>
        <v>N/A</v>
      </c>
      <c r="BL71" s="16" t="str">
        <f t="shared" ref="BL71:BL102" si="96">IF(J71=0,"N/A",IF(J71&gt;2,"Exceso Horas","Cumple"))</f>
        <v>N/A</v>
      </c>
      <c r="BM71" s="16" t="str">
        <f t="shared" ref="BM71:BM102" si="97">IF(M71=0,"N/A",IF(M71&gt;20,"Exceso Horas","Cumple"))</f>
        <v>N/A</v>
      </c>
      <c r="BN71" s="16" t="str">
        <f t="shared" ref="BN71:BN102" si="98">IF(N71=0,"N/A",IF(N71&gt;20,"Exceso Horas","Cumple"))</f>
        <v>N/A</v>
      </c>
      <c r="BO71" s="16" t="str">
        <f t="shared" ref="BO71:BO102" si="99">IF(O71=0,"N/A",IF(O71&gt;20,"Exceso Horas","Cumple"))</f>
        <v>N/A</v>
      </c>
      <c r="BP71" s="16" t="str">
        <f t="shared" ref="BP71:BP102" si="100">IF(P71=0,"N/A",IF(P71&gt;20,"Exceso Horas","Cumple"))</f>
        <v>N/A</v>
      </c>
      <c r="BQ71" s="16" t="str">
        <f t="shared" ref="BQ71:BQ102" si="101">IF(Q71=0,"N/A",IF(Q71&gt;20,"Exceso Horas","Cumple"))</f>
        <v>N/A</v>
      </c>
      <c r="BR71" s="16" t="str">
        <f t="shared" ref="BR71:BR102" si="102">IF(R71=0,"N/A",IF(R71&gt;20,"Exceso Horas","Cumple"))</f>
        <v>N/A</v>
      </c>
      <c r="BS71" s="16" t="str">
        <f t="shared" ref="BS71:BS102" si="103">IF(S71=0,"N/A",IF(S71&gt;8,"Exceso Horas","Cumple"))</f>
        <v>N/A</v>
      </c>
      <c r="BT71" s="16" t="str">
        <f t="shared" ref="BT71:BT102" si="104">IF(U71=0,"N/A",IF(U71&gt;2,"Exceso Horas","Cumple"))</f>
        <v>N/A</v>
      </c>
      <c r="BU71" s="16" t="str">
        <f t="shared" ref="BU71:BU102" si="105">IF(V71=0,"N/A",IF(V71&gt;12,"Exceso Horas","Cumple"))</f>
        <v>N/A</v>
      </c>
      <c r="BV71" s="16" t="str">
        <f t="shared" ref="BV71:BV102" si="106">IF(W71=0,"N/A",IF(W71&gt;12,"Exceso Horas","Cumple"))</f>
        <v>N/A</v>
      </c>
      <c r="BW71" s="16" t="str">
        <f t="shared" ref="BW71:BW102" si="107">IF(X71=0,"N/A",IF(X71&gt;4,"Exceso Horas","Cumple"))</f>
        <v>N/A</v>
      </c>
      <c r="BX71" s="16" t="str">
        <f t="shared" ref="BX71:BX102" si="108">IF(Y71=0,"N/A",IF(Y71&gt;2,"Exceso Horas","Cumple"))</f>
        <v>N/A</v>
      </c>
      <c r="BY71" s="16" t="str">
        <f t="shared" ref="BY71:BY102" si="109">IF(Z71=0,"N/A",IF(Z71&gt;10,"Exceso Horas","Cumple"))</f>
        <v>N/A</v>
      </c>
      <c r="BZ71" s="16" t="str">
        <f t="shared" ref="BZ71:BZ102" si="110">IF(AA71=0,"N/A",IF(AA71&gt;8,"Exceso Horas","Cumple"))</f>
        <v>N/A</v>
      </c>
      <c r="CA71" s="16" t="str">
        <f t="shared" ref="CA71:CA102" si="111">IF(AC71=0,"N/A",IF(AC71&gt;4,"Exceso Horas","Cumple"))</f>
        <v>N/A</v>
      </c>
      <c r="CB71" s="16" t="str">
        <f t="shared" ref="CB71:CB102" si="112">IF(AD71=0,"N/A",IF(AD71&gt;8,"Exceso Horas","Cumple"))</f>
        <v>N/A</v>
      </c>
      <c r="CC71" s="16" t="str">
        <f t="shared" ref="CC71:CC102" si="113">IF(AE71=0,"N/A",IF(AE71&gt;2,"Exceso Horas","Cumple"))</f>
        <v>N/A</v>
      </c>
      <c r="CD71" s="16" t="str">
        <f t="shared" ref="CD71:CD102" si="114">IF(AF71=0,"N/A",IF(AF71&gt;2,"Exceso Horas","Cumple"))</f>
        <v>N/A</v>
      </c>
      <c r="CE71" s="16" t="str">
        <f t="shared" ref="CE71:CE102" si="115">IF(AG71=0,"N/A",IF(AG71&gt;2,"Exceso Horas","Cumple"))</f>
        <v>N/A</v>
      </c>
      <c r="CF71" s="16" t="str">
        <f t="shared" ref="CF71:CF102" si="116">IF(AH71=0,"N/A",IF(AH71&gt;2,"Exceso Horas","Cumple"))</f>
        <v>N/A</v>
      </c>
      <c r="CG71" s="16" t="str">
        <f t="shared" ref="CG71:CG102" si="117">IF(AI71=0,"N/A",IF(AI71&gt;2,"Exceso Horas","Cumple"))</f>
        <v>N/A</v>
      </c>
      <c r="CH71" s="16" t="str">
        <f t="shared" ref="CH71:CH102" si="118">IF(AJ71=0,"N/A",IF(AJ71&gt;4,"Exceso Horas","Cumple"))</f>
        <v>N/A</v>
      </c>
      <c r="CI71" s="16" t="str">
        <f t="shared" ref="CI71:CI102" si="119">IF(AK71=0,"N/A",IF(AK71&gt;4,"Exceso Horas","Cumple"))</f>
        <v>N/A</v>
      </c>
      <c r="CJ71" s="16" t="str">
        <f t="shared" ref="CJ71:CJ102" si="120">IF(AM71=0,"N/A",IF(AM71&gt;4,"Exceso Horas","Cumple"))</f>
        <v>N/A</v>
      </c>
      <c r="CK71" s="16" t="str">
        <f t="shared" ref="CK71:CK102" si="121">IF(AN71=0,"N/A",IF(AN71&gt;14,"Exceso Horas","Cumple"))</f>
        <v>N/A</v>
      </c>
      <c r="CL71" s="16" t="str">
        <f t="shared" ref="CL71:CL102" si="122">IF(AO71=0,"N/A",IF(A71&gt;10,"Exceso Horas","Cumple"))</f>
        <v>N/A</v>
      </c>
      <c r="CM71" s="16" t="str">
        <f t="shared" ref="CM71:CM102" si="123">IF(AP71=0,"N/A",IF(AP71&gt;6,"Exceso Horas","Cumple"))</f>
        <v>N/A</v>
      </c>
      <c r="CN71" s="16" t="str">
        <f t="shared" ref="CN71:CN102" si="124">IF(AR71=0,"N/A",IF(AR71&gt;4,"Exceso Horas","Cumple"))</f>
        <v>N/A</v>
      </c>
      <c r="CO71" s="16" t="str">
        <f t="shared" ref="CO71:CO102" si="125">IF(AS71=0,"N/A",IF(AS71&gt;8,"Exceso Horas","Cumple"))</f>
        <v>N/A</v>
      </c>
      <c r="CP71" s="16" t="str">
        <f t="shared" ref="CP71:CP102" si="126">IF(AT71=0,"N/A",IF(AT71&gt;4,"Exceso Horas","Cumple"))</f>
        <v>N/A</v>
      </c>
      <c r="CQ71" s="16" t="str">
        <f t="shared" ref="CQ71:CQ102" si="127">IF(AU71=0,"N/A",IF(AU71&gt;4,"Exceso Horas","Cumple"))</f>
        <v>N/A</v>
      </c>
      <c r="CR71" s="16" t="str">
        <f t="shared" ref="CR71:CR102" si="128">IF(AV71=0,"N/A",IF(AV71&gt;8,"Exceso Horas","Cumple"))</f>
        <v>N/A</v>
      </c>
      <c r="CS71" s="16" t="str">
        <f t="shared" ref="CS71:CS102" si="129">IF(AW71=0,"N/A",IF(AW71&gt;2,"Exceso Horas","Cumple"))</f>
        <v>N/A</v>
      </c>
      <c r="CT71" s="16" t="str">
        <f t="shared" ref="CT71:CT102" si="130">IF(AX71=0,"N/A",IF(AX71&gt;4,"Exceso Horas","Cumple"))</f>
        <v>N/A</v>
      </c>
      <c r="CU71" s="16" t="str">
        <f t="shared" si="42"/>
        <v>N/A</v>
      </c>
      <c r="CV71" s="16" t="str">
        <f t="shared" si="43"/>
        <v>N/A</v>
      </c>
      <c r="CW71" s="16" t="str">
        <f t="shared" si="44"/>
        <v>N/A</v>
      </c>
      <c r="CX71" s="16" t="str">
        <f t="shared" si="45"/>
        <v>N/A</v>
      </c>
      <c r="CY71" s="16" t="str">
        <f t="shared" si="46"/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ref="CU72:CU135" si="131">IF(AD72=0,"N/A",IF(AY72&gt;40,"Exceso Horas","Cumple"))</f>
        <v>N/A</v>
      </c>
      <c r="CV72" s="16" t="str">
        <f t="shared" ref="CV72:CV135" si="132">IF(AE72=0,"N/A",IF(AZ72&gt;40,"Exceso Horas","Cumple"))</f>
        <v>N/A</v>
      </c>
      <c r="CW72" s="16" t="str">
        <f t="shared" ref="CW72:CW135" si="133">IF(AF72=0,"N/A",IF(BA72&gt;40,"Exceso Horas","Cumple"))</f>
        <v>N/A</v>
      </c>
      <c r="CX72" s="16" t="str">
        <f t="shared" ref="CX72:CX135" si="134">IF(AG72=0,"N/A",IF(K72&gt;40,"Exceso Horas","Cumple"))</f>
        <v>N/A</v>
      </c>
      <c r="CY72" s="16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6" t="str">
        <f t="shared" si="92"/>
        <v>Cumple</v>
      </c>
      <c r="BI102" s="2" t="str">
        <f t="shared" si="93"/>
        <v>Cumple</v>
      </c>
      <c r="BJ102" s="16" t="str">
        <f t="shared" si="94"/>
        <v>Cumple</v>
      </c>
      <c r="BK102" s="16" t="str">
        <f t="shared" si="95"/>
        <v>N/A</v>
      </c>
      <c r="BL102" s="16" t="str">
        <f t="shared" si="96"/>
        <v>N/A</v>
      </c>
      <c r="BM102" s="16" t="str">
        <f t="shared" si="97"/>
        <v>N/A</v>
      </c>
      <c r="BN102" s="16" t="str">
        <f t="shared" si="98"/>
        <v>N/A</v>
      </c>
      <c r="BO102" s="16" t="str">
        <f t="shared" si="99"/>
        <v>N/A</v>
      </c>
      <c r="BP102" s="16" t="str">
        <f t="shared" si="100"/>
        <v>N/A</v>
      </c>
      <c r="BQ102" s="16" t="str">
        <f t="shared" si="101"/>
        <v>N/A</v>
      </c>
      <c r="BR102" s="16" t="str">
        <f t="shared" si="102"/>
        <v>N/A</v>
      </c>
      <c r="BS102" s="16" t="str">
        <f t="shared" si="103"/>
        <v>N/A</v>
      </c>
      <c r="BT102" s="16" t="str">
        <f t="shared" si="104"/>
        <v>N/A</v>
      </c>
      <c r="BU102" s="16" t="str">
        <f t="shared" si="105"/>
        <v>N/A</v>
      </c>
      <c r="BV102" s="16" t="str">
        <f t="shared" si="106"/>
        <v>N/A</v>
      </c>
      <c r="BW102" s="16" t="str">
        <f t="shared" si="107"/>
        <v>N/A</v>
      </c>
      <c r="BX102" s="16" t="str">
        <f t="shared" si="108"/>
        <v>N/A</v>
      </c>
      <c r="BY102" s="16" t="str">
        <f t="shared" si="109"/>
        <v>N/A</v>
      </c>
      <c r="BZ102" s="16" t="str">
        <f t="shared" si="110"/>
        <v>N/A</v>
      </c>
      <c r="CA102" s="16" t="str">
        <f t="shared" si="111"/>
        <v>N/A</v>
      </c>
      <c r="CB102" s="16" t="str">
        <f t="shared" si="112"/>
        <v>N/A</v>
      </c>
      <c r="CC102" s="16" t="str">
        <f t="shared" si="113"/>
        <v>N/A</v>
      </c>
      <c r="CD102" s="16" t="str">
        <f t="shared" si="114"/>
        <v>N/A</v>
      </c>
      <c r="CE102" s="16" t="str">
        <f t="shared" si="115"/>
        <v>N/A</v>
      </c>
      <c r="CF102" s="16" t="str">
        <f t="shared" si="116"/>
        <v>N/A</v>
      </c>
      <c r="CG102" s="16" t="str">
        <f t="shared" si="117"/>
        <v>N/A</v>
      </c>
      <c r="CH102" s="16" t="str">
        <f t="shared" si="118"/>
        <v>N/A</v>
      </c>
      <c r="CI102" s="16" t="str">
        <f t="shared" si="119"/>
        <v>N/A</v>
      </c>
      <c r="CJ102" s="16" t="str">
        <f t="shared" si="120"/>
        <v>N/A</v>
      </c>
      <c r="CK102" s="16" t="str">
        <f t="shared" si="121"/>
        <v>N/A</v>
      </c>
      <c r="CL102" s="16" t="str">
        <f t="shared" si="122"/>
        <v>N/A</v>
      </c>
      <c r="CM102" s="16" t="str">
        <f t="shared" si="123"/>
        <v>N/A</v>
      </c>
      <c r="CN102" s="16" t="str">
        <f t="shared" si="124"/>
        <v>N/A</v>
      </c>
      <c r="CO102" s="16" t="str">
        <f t="shared" si="125"/>
        <v>N/A</v>
      </c>
      <c r="CP102" s="16" t="str">
        <f t="shared" si="126"/>
        <v>N/A</v>
      </c>
      <c r="CQ102" s="16" t="str">
        <f t="shared" si="127"/>
        <v>N/A</v>
      </c>
      <c r="CR102" s="16" t="str">
        <f t="shared" si="128"/>
        <v>N/A</v>
      </c>
      <c r="CS102" s="16" t="str">
        <f t="shared" si="129"/>
        <v>N/A</v>
      </c>
      <c r="CT102" s="16" t="str">
        <f t="shared" si="130"/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6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6" t="str">
        <f t="shared" ref="BJ103:BJ134" si="141">IF(G103&gt;4,"Exceso Horas","Cumple")</f>
        <v>Cumple</v>
      </c>
      <c r="BK103" s="16" t="str">
        <f t="shared" ref="BK103:BK134" si="142">IF(H103=0,"N/A",IF(H103&gt;8,"Exceso Horas","Cumple"))</f>
        <v>N/A</v>
      </c>
      <c r="BL103" s="16" t="str">
        <f t="shared" ref="BL103:BL134" si="143">IF(J103=0,"N/A",IF(J103&gt;2,"Exceso Horas","Cumple"))</f>
        <v>N/A</v>
      </c>
      <c r="BM103" s="16" t="str">
        <f t="shared" ref="BM103:BM134" si="144">IF(M103=0,"N/A",IF(M103&gt;20,"Exceso Horas","Cumple"))</f>
        <v>N/A</v>
      </c>
      <c r="BN103" s="16" t="str">
        <f t="shared" ref="BN103:BN134" si="145">IF(N103=0,"N/A",IF(N103&gt;20,"Exceso Horas","Cumple"))</f>
        <v>N/A</v>
      </c>
      <c r="BO103" s="16" t="str">
        <f t="shared" ref="BO103:BO134" si="146">IF(O103=0,"N/A",IF(O103&gt;20,"Exceso Horas","Cumple"))</f>
        <v>N/A</v>
      </c>
      <c r="BP103" s="16" t="str">
        <f t="shared" ref="BP103:BP134" si="147">IF(P103=0,"N/A",IF(P103&gt;20,"Exceso Horas","Cumple"))</f>
        <v>N/A</v>
      </c>
      <c r="BQ103" s="16" t="str">
        <f t="shared" ref="BQ103:BQ134" si="148">IF(Q103=0,"N/A",IF(Q103&gt;20,"Exceso Horas","Cumple"))</f>
        <v>N/A</v>
      </c>
      <c r="BR103" s="16" t="str">
        <f t="shared" ref="BR103:BR134" si="149">IF(R103=0,"N/A",IF(R103&gt;20,"Exceso Horas","Cumple"))</f>
        <v>N/A</v>
      </c>
      <c r="BS103" s="16" t="str">
        <f t="shared" ref="BS103:BS134" si="150">IF(S103=0,"N/A",IF(S103&gt;8,"Exceso Horas","Cumple"))</f>
        <v>N/A</v>
      </c>
      <c r="BT103" s="16" t="str">
        <f t="shared" ref="BT103:BT134" si="151">IF(U103=0,"N/A",IF(U103&gt;2,"Exceso Horas","Cumple"))</f>
        <v>N/A</v>
      </c>
      <c r="BU103" s="16" t="str">
        <f t="shared" ref="BU103:BU134" si="152">IF(V103=0,"N/A",IF(V103&gt;12,"Exceso Horas","Cumple"))</f>
        <v>N/A</v>
      </c>
      <c r="BV103" s="16" t="str">
        <f t="shared" ref="BV103:BV134" si="153">IF(W103=0,"N/A",IF(W103&gt;12,"Exceso Horas","Cumple"))</f>
        <v>N/A</v>
      </c>
      <c r="BW103" s="16" t="str">
        <f t="shared" ref="BW103:BW134" si="154">IF(X103=0,"N/A",IF(X103&gt;4,"Exceso Horas","Cumple"))</f>
        <v>N/A</v>
      </c>
      <c r="BX103" s="16" t="str">
        <f t="shared" ref="BX103:BX134" si="155">IF(Y103=0,"N/A",IF(Y103&gt;2,"Exceso Horas","Cumple"))</f>
        <v>N/A</v>
      </c>
      <c r="BY103" s="16" t="str">
        <f t="shared" ref="BY103:BY134" si="156">IF(Z103=0,"N/A",IF(Z103&gt;10,"Exceso Horas","Cumple"))</f>
        <v>N/A</v>
      </c>
      <c r="BZ103" s="16" t="str">
        <f t="shared" ref="BZ103:BZ134" si="157">IF(AA103=0,"N/A",IF(AA103&gt;8,"Exceso Horas","Cumple"))</f>
        <v>N/A</v>
      </c>
      <c r="CA103" s="16" t="str">
        <f t="shared" ref="CA103:CA134" si="158">IF(AC103=0,"N/A",IF(AC103&gt;4,"Exceso Horas","Cumple"))</f>
        <v>N/A</v>
      </c>
      <c r="CB103" s="16" t="str">
        <f t="shared" ref="CB103:CB134" si="159">IF(AD103=0,"N/A",IF(AD103&gt;8,"Exceso Horas","Cumple"))</f>
        <v>N/A</v>
      </c>
      <c r="CC103" s="16" t="str">
        <f t="shared" ref="CC103:CC134" si="160">IF(AE103=0,"N/A",IF(AE103&gt;2,"Exceso Horas","Cumple"))</f>
        <v>N/A</v>
      </c>
      <c r="CD103" s="16" t="str">
        <f t="shared" ref="CD103:CD134" si="161">IF(AF103=0,"N/A",IF(AF103&gt;2,"Exceso Horas","Cumple"))</f>
        <v>N/A</v>
      </c>
      <c r="CE103" s="16" t="str">
        <f t="shared" ref="CE103:CE134" si="162">IF(AG103=0,"N/A",IF(AG103&gt;2,"Exceso Horas","Cumple"))</f>
        <v>N/A</v>
      </c>
      <c r="CF103" s="16" t="str">
        <f t="shared" ref="CF103:CF134" si="163">IF(AH103=0,"N/A",IF(AH103&gt;2,"Exceso Horas","Cumple"))</f>
        <v>N/A</v>
      </c>
      <c r="CG103" s="16" t="str">
        <f t="shared" ref="CG103:CG134" si="164">IF(AI103=0,"N/A",IF(AI103&gt;2,"Exceso Horas","Cumple"))</f>
        <v>N/A</v>
      </c>
      <c r="CH103" s="16" t="str">
        <f t="shared" ref="CH103:CH134" si="165">IF(AJ103=0,"N/A",IF(AJ103&gt;4,"Exceso Horas","Cumple"))</f>
        <v>N/A</v>
      </c>
      <c r="CI103" s="16" t="str">
        <f t="shared" ref="CI103:CI134" si="166">IF(AK103=0,"N/A",IF(AK103&gt;4,"Exceso Horas","Cumple"))</f>
        <v>N/A</v>
      </c>
      <c r="CJ103" s="16" t="str">
        <f t="shared" ref="CJ103:CJ134" si="167">IF(AM103=0,"N/A",IF(AM103&gt;4,"Exceso Horas","Cumple"))</f>
        <v>N/A</v>
      </c>
      <c r="CK103" s="16" t="str">
        <f t="shared" ref="CK103:CK134" si="168">IF(AN103=0,"N/A",IF(AN103&gt;14,"Exceso Horas","Cumple"))</f>
        <v>N/A</v>
      </c>
      <c r="CL103" s="16" t="str">
        <f t="shared" ref="CL103:CL134" si="169">IF(AO103=0,"N/A",IF(A103&gt;10,"Exceso Horas","Cumple"))</f>
        <v>N/A</v>
      </c>
      <c r="CM103" s="16" t="str">
        <f t="shared" ref="CM103:CM134" si="170">IF(AP103=0,"N/A",IF(AP103&gt;6,"Exceso Horas","Cumple"))</f>
        <v>N/A</v>
      </c>
      <c r="CN103" s="16" t="str">
        <f t="shared" ref="CN103:CN134" si="171">IF(AR103=0,"N/A",IF(AR103&gt;4,"Exceso Horas","Cumple"))</f>
        <v>N/A</v>
      </c>
      <c r="CO103" s="16" t="str">
        <f t="shared" ref="CO103:CO134" si="172">IF(AS103=0,"N/A",IF(AS103&gt;8,"Exceso Horas","Cumple"))</f>
        <v>N/A</v>
      </c>
      <c r="CP103" s="16" t="str">
        <f t="shared" ref="CP103:CP134" si="173">IF(AT103=0,"N/A",IF(AT103&gt;4,"Exceso Horas","Cumple"))</f>
        <v>N/A</v>
      </c>
      <c r="CQ103" s="16" t="str">
        <f t="shared" ref="CQ103:CQ134" si="174">IF(AU103=0,"N/A",IF(AU103&gt;4,"Exceso Horas","Cumple"))</f>
        <v>N/A</v>
      </c>
      <c r="CR103" s="16" t="str">
        <f t="shared" ref="CR103:CR134" si="175">IF(AV103=0,"N/A",IF(AV103&gt;8,"Exceso Horas","Cumple"))</f>
        <v>N/A</v>
      </c>
      <c r="CS103" s="16" t="str">
        <f t="shared" ref="CS103:CS134" si="176">IF(AW103=0,"N/A",IF(AW103&gt;2,"Exceso Horas","Cumple"))</f>
        <v>N/A</v>
      </c>
      <c r="CT103" s="16" t="str">
        <f t="shared" ref="CT103:CT134" si="177">IF(AX103=0,"N/A",IF(AX103&gt;4,"Exceso Horas","Cumple"))</f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6" t="str">
        <f t="shared" si="139"/>
        <v>Cumple</v>
      </c>
      <c r="BI134" s="2" t="str">
        <f t="shared" si="140"/>
        <v>Cumple</v>
      </c>
      <c r="BJ134" s="16" t="str">
        <f t="shared" si="141"/>
        <v>Cumple</v>
      </c>
      <c r="BK134" s="16" t="str">
        <f t="shared" si="142"/>
        <v>N/A</v>
      </c>
      <c r="BL134" s="16" t="str">
        <f t="shared" si="143"/>
        <v>N/A</v>
      </c>
      <c r="BM134" s="16" t="str">
        <f t="shared" si="144"/>
        <v>N/A</v>
      </c>
      <c r="BN134" s="16" t="str">
        <f t="shared" si="145"/>
        <v>N/A</v>
      </c>
      <c r="BO134" s="16" t="str">
        <f t="shared" si="146"/>
        <v>N/A</v>
      </c>
      <c r="BP134" s="16" t="str">
        <f t="shared" si="147"/>
        <v>N/A</v>
      </c>
      <c r="BQ134" s="16" t="str">
        <f t="shared" si="148"/>
        <v>N/A</v>
      </c>
      <c r="BR134" s="16" t="str">
        <f t="shared" si="149"/>
        <v>N/A</v>
      </c>
      <c r="BS134" s="16" t="str">
        <f t="shared" si="150"/>
        <v>N/A</v>
      </c>
      <c r="BT134" s="16" t="str">
        <f t="shared" si="151"/>
        <v>N/A</v>
      </c>
      <c r="BU134" s="16" t="str">
        <f t="shared" si="152"/>
        <v>N/A</v>
      </c>
      <c r="BV134" s="16" t="str">
        <f t="shared" si="153"/>
        <v>N/A</v>
      </c>
      <c r="BW134" s="16" t="str">
        <f t="shared" si="154"/>
        <v>N/A</v>
      </c>
      <c r="BX134" s="16" t="str">
        <f t="shared" si="155"/>
        <v>N/A</v>
      </c>
      <c r="BY134" s="16" t="str">
        <f t="shared" si="156"/>
        <v>N/A</v>
      </c>
      <c r="BZ134" s="16" t="str">
        <f t="shared" si="157"/>
        <v>N/A</v>
      </c>
      <c r="CA134" s="16" t="str">
        <f t="shared" si="158"/>
        <v>N/A</v>
      </c>
      <c r="CB134" s="16" t="str">
        <f t="shared" si="159"/>
        <v>N/A</v>
      </c>
      <c r="CC134" s="16" t="str">
        <f t="shared" si="160"/>
        <v>N/A</v>
      </c>
      <c r="CD134" s="16" t="str">
        <f t="shared" si="161"/>
        <v>N/A</v>
      </c>
      <c r="CE134" s="16" t="str">
        <f t="shared" si="162"/>
        <v>N/A</v>
      </c>
      <c r="CF134" s="16" t="str">
        <f t="shared" si="163"/>
        <v>N/A</v>
      </c>
      <c r="CG134" s="16" t="str">
        <f t="shared" si="164"/>
        <v>N/A</v>
      </c>
      <c r="CH134" s="16" t="str">
        <f t="shared" si="165"/>
        <v>N/A</v>
      </c>
      <c r="CI134" s="16" t="str">
        <f t="shared" si="166"/>
        <v>N/A</v>
      </c>
      <c r="CJ134" s="16" t="str">
        <f t="shared" si="167"/>
        <v>N/A</v>
      </c>
      <c r="CK134" s="16" t="str">
        <f t="shared" si="168"/>
        <v>N/A</v>
      </c>
      <c r="CL134" s="16" t="str">
        <f t="shared" si="169"/>
        <v>N/A</v>
      </c>
      <c r="CM134" s="16" t="str">
        <f t="shared" si="170"/>
        <v>N/A</v>
      </c>
      <c r="CN134" s="16" t="str">
        <f t="shared" si="171"/>
        <v>N/A</v>
      </c>
      <c r="CO134" s="16" t="str">
        <f t="shared" si="172"/>
        <v>N/A</v>
      </c>
      <c r="CP134" s="16" t="str">
        <f t="shared" si="173"/>
        <v>N/A</v>
      </c>
      <c r="CQ134" s="16" t="str">
        <f t="shared" si="174"/>
        <v>N/A</v>
      </c>
      <c r="CR134" s="16" t="str">
        <f t="shared" si="175"/>
        <v>N/A</v>
      </c>
      <c r="CS134" s="16" t="str">
        <f t="shared" si="176"/>
        <v>N/A</v>
      </c>
      <c r="CT134" s="16" t="str">
        <f t="shared" si="177"/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6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6" t="str">
        <f t="shared" ref="BJ135:BJ166" si="183">IF(G135&gt;4,"Exceso Horas","Cumple")</f>
        <v>Cumple</v>
      </c>
      <c r="BK135" s="16" t="str">
        <f t="shared" ref="BK135:BK166" si="184">IF(H135=0,"N/A",IF(H135&gt;8,"Exceso Horas","Cumple"))</f>
        <v>N/A</v>
      </c>
      <c r="BL135" s="16" t="str">
        <f t="shared" ref="BL135:BL166" si="185">IF(J135=0,"N/A",IF(J135&gt;2,"Exceso Horas","Cumple"))</f>
        <v>N/A</v>
      </c>
      <c r="BM135" s="16" t="str">
        <f t="shared" ref="BM135:BM166" si="186">IF(M135=0,"N/A",IF(M135&gt;20,"Exceso Horas","Cumple"))</f>
        <v>N/A</v>
      </c>
      <c r="BN135" s="16" t="str">
        <f t="shared" ref="BN135:BN166" si="187">IF(N135=0,"N/A",IF(N135&gt;20,"Exceso Horas","Cumple"))</f>
        <v>N/A</v>
      </c>
      <c r="BO135" s="16" t="str">
        <f t="shared" ref="BO135:BO166" si="188">IF(O135=0,"N/A",IF(O135&gt;20,"Exceso Horas","Cumple"))</f>
        <v>N/A</v>
      </c>
      <c r="BP135" s="16" t="str">
        <f t="shared" ref="BP135:BP166" si="189">IF(P135=0,"N/A",IF(P135&gt;20,"Exceso Horas","Cumple"))</f>
        <v>N/A</v>
      </c>
      <c r="BQ135" s="16" t="str">
        <f t="shared" ref="BQ135:BQ166" si="190">IF(Q135=0,"N/A",IF(Q135&gt;20,"Exceso Horas","Cumple"))</f>
        <v>N/A</v>
      </c>
      <c r="BR135" s="16" t="str">
        <f t="shared" ref="BR135:BR166" si="191">IF(R135=0,"N/A",IF(R135&gt;20,"Exceso Horas","Cumple"))</f>
        <v>N/A</v>
      </c>
      <c r="BS135" s="16" t="str">
        <f t="shared" ref="BS135:BS166" si="192">IF(S135=0,"N/A",IF(S135&gt;8,"Exceso Horas","Cumple"))</f>
        <v>N/A</v>
      </c>
      <c r="BT135" s="16" t="str">
        <f t="shared" ref="BT135:BT166" si="193">IF(U135=0,"N/A",IF(U135&gt;2,"Exceso Horas","Cumple"))</f>
        <v>N/A</v>
      </c>
      <c r="BU135" s="16" t="str">
        <f t="shared" ref="BU135:BU166" si="194">IF(V135=0,"N/A",IF(V135&gt;12,"Exceso Horas","Cumple"))</f>
        <v>N/A</v>
      </c>
      <c r="BV135" s="16" t="str">
        <f t="shared" ref="BV135:BV166" si="195">IF(W135=0,"N/A",IF(W135&gt;12,"Exceso Horas","Cumple"))</f>
        <v>N/A</v>
      </c>
      <c r="BW135" s="16" t="str">
        <f t="shared" ref="BW135:BW166" si="196">IF(X135=0,"N/A",IF(X135&gt;4,"Exceso Horas","Cumple"))</f>
        <v>N/A</v>
      </c>
      <c r="BX135" s="16" t="str">
        <f t="shared" ref="BX135:BX166" si="197">IF(Y135=0,"N/A",IF(Y135&gt;2,"Exceso Horas","Cumple"))</f>
        <v>N/A</v>
      </c>
      <c r="BY135" s="16" t="str">
        <f t="shared" ref="BY135:BY166" si="198">IF(Z135=0,"N/A",IF(Z135&gt;10,"Exceso Horas","Cumple"))</f>
        <v>N/A</v>
      </c>
      <c r="BZ135" s="16" t="str">
        <f t="shared" ref="BZ135:BZ166" si="199">IF(AA135=0,"N/A",IF(AA135&gt;8,"Exceso Horas","Cumple"))</f>
        <v>N/A</v>
      </c>
      <c r="CA135" s="16" t="str">
        <f t="shared" ref="CA135:CA166" si="200">IF(AC135=0,"N/A",IF(AC135&gt;4,"Exceso Horas","Cumple"))</f>
        <v>N/A</v>
      </c>
      <c r="CB135" s="16" t="str">
        <f t="shared" ref="CB135:CB166" si="201">IF(AD135=0,"N/A",IF(AD135&gt;8,"Exceso Horas","Cumple"))</f>
        <v>N/A</v>
      </c>
      <c r="CC135" s="16" t="str">
        <f t="shared" ref="CC135:CC166" si="202">IF(AE135=0,"N/A",IF(AE135&gt;2,"Exceso Horas","Cumple"))</f>
        <v>N/A</v>
      </c>
      <c r="CD135" s="16" t="str">
        <f t="shared" ref="CD135:CD166" si="203">IF(AF135=0,"N/A",IF(AF135&gt;2,"Exceso Horas","Cumple"))</f>
        <v>N/A</v>
      </c>
      <c r="CE135" s="16" t="str">
        <f t="shared" ref="CE135:CE166" si="204">IF(AG135=0,"N/A",IF(AG135&gt;2,"Exceso Horas","Cumple"))</f>
        <v>N/A</v>
      </c>
      <c r="CF135" s="16" t="str">
        <f t="shared" ref="CF135:CF166" si="205">IF(AH135=0,"N/A",IF(AH135&gt;2,"Exceso Horas","Cumple"))</f>
        <v>N/A</v>
      </c>
      <c r="CG135" s="16" t="str">
        <f t="shared" ref="CG135:CG166" si="206">IF(AI135=0,"N/A",IF(AI135&gt;2,"Exceso Horas","Cumple"))</f>
        <v>N/A</v>
      </c>
      <c r="CH135" s="16" t="str">
        <f t="shared" ref="CH135:CH166" si="207">IF(AJ135=0,"N/A",IF(AJ135&gt;4,"Exceso Horas","Cumple"))</f>
        <v>N/A</v>
      </c>
      <c r="CI135" s="16" t="str">
        <f t="shared" ref="CI135:CI166" si="208">IF(AK135=0,"N/A",IF(AK135&gt;4,"Exceso Horas","Cumple"))</f>
        <v>N/A</v>
      </c>
      <c r="CJ135" s="16" t="str">
        <f t="shared" ref="CJ135:CJ166" si="209">IF(AM135=0,"N/A",IF(AM135&gt;4,"Exceso Horas","Cumple"))</f>
        <v>N/A</v>
      </c>
      <c r="CK135" s="16" t="str">
        <f t="shared" ref="CK135:CK166" si="210">IF(AN135=0,"N/A",IF(AN135&gt;14,"Exceso Horas","Cumple"))</f>
        <v>N/A</v>
      </c>
      <c r="CL135" s="16" t="str">
        <f t="shared" ref="CL135:CL166" si="211">IF(AO135=0,"N/A",IF(A135&gt;10,"Exceso Horas","Cumple"))</f>
        <v>N/A</v>
      </c>
      <c r="CM135" s="16" t="str">
        <f t="shared" ref="CM135:CM166" si="212">IF(AP135=0,"N/A",IF(AP135&gt;6,"Exceso Horas","Cumple"))</f>
        <v>N/A</v>
      </c>
      <c r="CN135" s="16" t="str">
        <f t="shared" ref="CN135:CN166" si="213">IF(AR135=0,"N/A",IF(AR135&gt;4,"Exceso Horas","Cumple"))</f>
        <v>N/A</v>
      </c>
      <c r="CO135" s="16" t="str">
        <f t="shared" ref="CO135:CO166" si="214">IF(AS135=0,"N/A",IF(AS135&gt;8,"Exceso Horas","Cumple"))</f>
        <v>N/A</v>
      </c>
      <c r="CP135" s="16" t="str">
        <f t="shared" ref="CP135:CP166" si="215">IF(AT135=0,"N/A",IF(AT135&gt;4,"Exceso Horas","Cumple"))</f>
        <v>N/A</v>
      </c>
      <c r="CQ135" s="16" t="str">
        <f t="shared" ref="CQ135:CQ166" si="216">IF(AU135=0,"N/A",IF(AU135&gt;4,"Exceso Horas","Cumple"))</f>
        <v>N/A</v>
      </c>
      <c r="CR135" s="16" t="str">
        <f t="shared" ref="CR135:CR166" si="217">IF(AV135=0,"N/A",IF(AV135&gt;8,"Exceso Horas","Cumple"))</f>
        <v>N/A</v>
      </c>
      <c r="CS135" s="16" t="str">
        <f t="shared" ref="CS135:CS166" si="218">IF(AW135=0,"N/A",IF(AW135&gt;2,"Exceso Horas","Cumple"))</f>
        <v>N/A</v>
      </c>
      <c r="CT135" s="16" t="str">
        <f t="shared" ref="CT135:CT166" si="219">IF(AX135=0,"N/A",IF(AX135&gt;4,"Exceso Horas","Cumple"))</f>
        <v>N/A</v>
      </c>
      <c r="CU135" s="16" t="str">
        <f t="shared" si="131"/>
        <v>N/A</v>
      </c>
      <c r="CV135" s="16" t="str">
        <f t="shared" si="132"/>
        <v>N/A</v>
      </c>
      <c r="CW135" s="16" t="str">
        <f t="shared" si="133"/>
        <v>N/A</v>
      </c>
      <c r="CX135" s="16" t="str">
        <f t="shared" si="134"/>
        <v>N/A</v>
      </c>
      <c r="CY135" s="16" t="str">
        <f t="shared" si="135"/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ref="CU136:CU175" si="220">IF(AD136=0,"N/A",IF(AY136&gt;40,"Exceso Horas","Cumple"))</f>
        <v>N/A</v>
      </c>
      <c r="CV136" s="16" t="str">
        <f t="shared" ref="CV136:CV175" si="221">IF(AE136=0,"N/A",IF(AZ136&gt;40,"Exceso Horas","Cumple"))</f>
        <v>N/A</v>
      </c>
      <c r="CW136" s="16" t="str">
        <f t="shared" ref="CW136:CW175" si="222">IF(AF136=0,"N/A",IF(BA136&gt;40,"Exceso Horas","Cumple"))</f>
        <v>N/A</v>
      </c>
      <c r="CX136" s="16" t="str">
        <f t="shared" ref="CX136:CX175" si="223">IF(AG136=0,"N/A",IF(K136&gt;40,"Exceso Horas","Cumple"))</f>
        <v>N/A</v>
      </c>
      <c r="CY136" s="16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9" t="s">
        <v>77</v>
      </c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9" t="s">
        <v>77</v>
      </c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2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11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6" t="str">
        <f t="shared" si="181"/>
        <v>Cumple</v>
      </c>
      <c r="BI166" s="2" t="str">
        <f t="shared" si="182"/>
        <v>Cumple</v>
      </c>
      <c r="BJ166" s="16" t="str">
        <f t="shared" si="183"/>
        <v>Cumple</v>
      </c>
      <c r="BK166" s="16" t="str">
        <f t="shared" si="184"/>
        <v>N/A</v>
      </c>
      <c r="BL166" s="16" t="str">
        <f t="shared" si="185"/>
        <v>N/A</v>
      </c>
      <c r="BM166" s="16" t="str">
        <f t="shared" si="186"/>
        <v>N/A</v>
      </c>
      <c r="BN166" s="16" t="str">
        <f t="shared" si="187"/>
        <v>N/A</v>
      </c>
      <c r="BO166" s="16" t="str">
        <f t="shared" si="188"/>
        <v>N/A</v>
      </c>
      <c r="BP166" s="16" t="str">
        <f t="shared" si="189"/>
        <v>N/A</v>
      </c>
      <c r="BQ166" s="16" t="str">
        <f t="shared" si="190"/>
        <v>N/A</v>
      </c>
      <c r="BR166" s="16" t="str">
        <f t="shared" si="191"/>
        <v>N/A</v>
      </c>
      <c r="BS166" s="16" t="str">
        <f t="shared" si="192"/>
        <v>N/A</v>
      </c>
      <c r="BT166" s="16" t="str">
        <f t="shared" si="193"/>
        <v>N/A</v>
      </c>
      <c r="BU166" s="16" t="str">
        <f t="shared" si="194"/>
        <v>N/A</v>
      </c>
      <c r="BV166" s="16" t="str">
        <f t="shared" si="195"/>
        <v>N/A</v>
      </c>
      <c r="BW166" s="16" t="str">
        <f t="shared" si="196"/>
        <v>N/A</v>
      </c>
      <c r="BX166" s="16" t="str">
        <f t="shared" si="197"/>
        <v>N/A</v>
      </c>
      <c r="BY166" s="16" t="str">
        <f t="shared" si="198"/>
        <v>N/A</v>
      </c>
      <c r="BZ166" s="16" t="str">
        <f t="shared" si="199"/>
        <v>N/A</v>
      </c>
      <c r="CA166" s="16" t="str">
        <f t="shared" si="200"/>
        <v>N/A</v>
      </c>
      <c r="CB166" s="16" t="str">
        <f t="shared" si="201"/>
        <v>N/A</v>
      </c>
      <c r="CC166" s="16" t="str">
        <f t="shared" si="202"/>
        <v>N/A</v>
      </c>
      <c r="CD166" s="16" t="str">
        <f t="shared" si="203"/>
        <v>N/A</v>
      </c>
      <c r="CE166" s="16" t="str">
        <f t="shared" si="204"/>
        <v>N/A</v>
      </c>
      <c r="CF166" s="16" t="str">
        <f t="shared" si="205"/>
        <v>N/A</v>
      </c>
      <c r="CG166" s="16" t="str">
        <f t="shared" si="206"/>
        <v>N/A</v>
      </c>
      <c r="CH166" s="16" t="str">
        <f t="shared" si="207"/>
        <v>N/A</v>
      </c>
      <c r="CI166" s="16" t="str">
        <f t="shared" si="208"/>
        <v>N/A</v>
      </c>
      <c r="CJ166" s="16" t="str">
        <f t="shared" si="209"/>
        <v>N/A</v>
      </c>
      <c r="CK166" s="16" t="str">
        <f t="shared" si="210"/>
        <v>N/A</v>
      </c>
      <c r="CL166" s="16" t="str">
        <f t="shared" si="211"/>
        <v>N/A</v>
      </c>
      <c r="CM166" s="16" t="str">
        <f t="shared" si="212"/>
        <v>N/A</v>
      </c>
      <c r="CN166" s="16" t="str">
        <f t="shared" si="213"/>
        <v>N/A</v>
      </c>
      <c r="CO166" s="16" t="str">
        <f t="shared" si="214"/>
        <v>N/A</v>
      </c>
      <c r="CP166" s="16" t="str">
        <f t="shared" si="215"/>
        <v>N/A</v>
      </c>
      <c r="CQ166" s="16" t="str">
        <f t="shared" si="216"/>
        <v>N/A</v>
      </c>
      <c r="CR166" s="16" t="str">
        <f t="shared" si="217"/>
        <v>N/A</v>
      </c>
      <c r="CS166" s="16" t="str">
        <f t="shared" si="218"/>
        <v>N/A</v>
      </c>
      <c r="CT166" s="16" t="str">
        <f t="shared" si="219"/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ref="BD167:BD175" si="225">AY167+AZ167</f>
        <v>0</v>
      </c>
      <c r="BE167" s="9" t="s">
        <v>77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6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6" t="str">
        <f t="shared" ref="BJ167:BJ175" si="230">IF(G167&gt;4,"Exceso Horas","Cumple")</f>
        <v>Cumple</v>
      </c>
      <c r="BK167" s="16" t="str">
        <f t="shared" ref="BK167:BK175" si="231">IF(H167=0,"N/A",IF(H167&gt;8,"Exceso Horas","Cumple"))</f>
        <v>N/A</v>
      </c>
      <c r="BL167" s="16" t="str">
        <f t="shared" ref="BL167:BL175" si="232">IF(J167=0,"N/A",IF(J167&gt;2,"Exceso Horas","Cumple"))</f>
        <v>N/A</v>
      </c>
      <c r="BM167" s="16" t="str">
        <f t="shared" ref="BM167:BM175" si="233">IF(M167=0,"N/A",IF(M167&gt;20,"Exceso Horas","Cumple"))</f>
        <v>N/A</v>
      </c>
      <c r="BN167" s="16" t="str">
        <f t="shared" ref="BN167:BN175" si="234">IF(N167=0,"N/A",IF(N167&gt;20,"Exceso Horas","Cumple"))</f>
        <v>N/A</v>
      </c>
      <c r="BO167" s="16" t="str">
        <f t="shared" ref="BO167:BO175" si="235">IF(O167=0,"N/A",IF(O167&gt;20,"Exceso Horas","Cumple"))</f>
        <v>N/A</v>
      </c>
      <c r="BP167" s="16" t="str">
        <f t="shared" ref="BP167:BP175" si="236">IF(P167=0,"N/A",IF(P167&gt;20,"Exceso Horas","Cumple"))</f>
        <v>N/A</v>
      </c>
      <c r="BQ167" s="16" t="str">
        <f t="shared" ref="BQ167:BQ175" si="237">IF(Q167=0,"N/A",IF(Q167&gt;20,"Exceso Horas","Cumple"))</f>
        <v>N/A</v>
      </c>
      <c r="BR167" s="16" t="str">
        <f t="shared" ref="BR167:BR175" si="238">IF(R167=0,"N/A",IF(R167&gt;20,"Exceso Horas","Cumple"))</f>
        <v>N/A</v>
      </c>
      <c r="BS167" s="16" t="str">
        <f t="shared" ref="BS167:BS175" si="239">IF(S167=0,"N/A",IF(S167&gt;8,"Exceso Horas","Cumple"))</f>
        <v>N/A</v>
      </c>
      <c r="BT167" s="16" t="str">
        <f t="shared" ref="BT167:BT175" si="240">IF(U167=0,"N/A",IF(U167&gt;2,"Exceso Horas","Cumple"))</f>
        <v>N/A</v>
      </c>
      <c r="BU167" s="16" t="str">
        <f t="shared" ref="BU167:BU175" si="241">IF(V167=0,"N/A",IF(V167&gt;12,"Exceso Horas","Cumple"))</f>
        <v>N/A</v>
      </c>
      <c r="BV167" s="16" t="str">
        <f t="shared" ref="BV167:BV175" si="242">IF(W167=0,"N/A",IF(W167&gt;12,"Exceso Horas","Cumple"))</f>
        <v>N/A</v>
      </c>
      <c r="BW167" s="16" t="str">
        <f t="shared" ref="BW167:BW175" si="243">IF(X167=0,"N/A",IF(X167&gt;4,"Exceso Horas","Cumple"))</f>
        <v>N/A</v>
      </c>
      <c r="BX167" s="16" t="str">
        <f t="shared" ref="BX167:BX175" si="244">IF(Y167=0,"N/A",IF(Y167&gt;2,"Exceso Horas","Cumple"))</f>
        <v>N/A</v>
      </c>
      <c r="BY167" s="16" t="str">
        <f t="shared" ref="BY167:BY175" si="245">IF(Z167=0,"N/A",IF(Z167&gt;10,"Exceso Horas","Cumple"))</f>
        <v>N/A</v>
      </c>
      <c r="BZ167" s="16" t="str">
        <f t="shared" ref="BZ167:BZ175" si="246">IF(AA167=0,"N/A",IF(AA167&gt;8,"Exceso Horas","Cumple"))</f>
        <v>N/A</v>
      </c>
      <c r="CA167" s="16" t="str">
        <f t="shared" ref="CA167:CA175" si="247">IF(AC167=0,"N/A",IF(AC167&gt;4,"Exceso Horas","Cumple"))</f>
        <v>N/A</v>
      </c>
      <c r="CB167" s="16" t="str">
        <f t="shared" ref="CB167:CB175" si="248">IF(AD167=0,"N/A",IF(AD167&gt;8,"Exceso Horas","Cumple"))</f>
        <v>N/A</v>
      </c>
      <c r="CC167" s="16" t="str">
        <f t="shared" ref="CC167:CC175" si="249">IF(AE167=0,"N/A",IF(AE167&gt;2,"Exceso Horas","Cumple"))</f>
        <v>N/A</v>
      </c>
      <c r="CD167" s="16" t="str">
        <f t="shared" ref="CD167:CD175" si="250">IF(AF167=0,"N/A",IF(AF167&gt;2,"Exceso Horas","Cumple"))</f>
        <v>N/A</v>
      </c>
      <c r="CE167" s="16" t="str">
        <f t="shared" ref="CE167:CE175" si="251">IF(AG167=0,"N/A",IF(AG167&gt;2,"Exceso Horas","Cumple"))</f>
        <v>N/A</v>
      </c>
      <c r="CF167" s="16" t="str">
        <f t="shared" ref="CF167:CF175" si="252">IF(AH167=0,"N/A",IF(AH167&gt;2,"Exceso Horas","Cumple"))</f>
        <v>N/A</v>
      </c>
      <c r="CG167" s="16" t="str">
        <f t="shared" ref="CG167:CG175" si="253">IF(AI167=0,"N/A",IF(AI167&gt;2,"Exceso Horas","Cumple"))</f>
        <v>N/A</v>
      </c>
      <c r="CH167" s="16" t="str">
        <f t="shared" ref="CH167:CH175" si="254">IF(AJ167=0,"N/A",IF(AJ167&gt;4,"Exceso Horas","Cumple"))</f>
        <v>N/A</v>
      </c>
      <c r="CI167" s="16" t="str">
        <f t="shared" ref="CI167:CI175" si="255">IF(AK167=0,"N/A",IF(AK167&gt;4,"Exceso Horas","Cumple"))</f>
        <v>N/A</v>
      </c>
      <c r="CJ167" s="16" t="str">
        <f t="shared" ref="CJ167:CJ175" si="256">IF(AM167=0,"N/A",IF(AM167&gt;4,"Exceso Horas","Cumple"))</f>
        <v>N/A</v>
      </c>
      <c r="CK167" s="16" t="str">
        <f t="shared" ref="CK167:CK175" si="257">IF(AN167=0,"N/A",IF(AN167&gt;14,"Exceso Horas","Cumple"))</f>
        <v>N/A</v>
      </c>
      <c r="CL167" s="16" t="str">
        <f t="shared" ref="CL167:CL175" si="258">IF(AO167=0,"N/A",IF(A167&gt;10,"Exceso Horas","Cumple"))</f>
        <v>N/A</v>
      </c>
      <c r="CM167" s="16" t="str">
        <f t="shared" ref="CM167:CM175" si="259">IF(AP167=0,"N/A",IF(AP167&gt;6,"Exceso Horas","Cumple"))</f>
        <v>N/A</v>
      </c>
      <c r="CN167" s="16" t="str">
        <f t="shared" ref="CN167:CN175" si="260">IF(AR167=0,"N/A",IF(AR167&gt;4,"Exceso Horas","Cumple"))</f>
        <v>N/A</v>
      </c>
      <c r="CO167" s="16" t="str">
        <f t="shared" ref="CO167:CO175" si="261">IF(AS167=0,"N/A",IF(AS167&gt;8,"Exceso Horas","Cumple"))</f>
        <v>N/A</v>
      </c>
      <c r="CP167" s="16" t="str">
        <f t="shared" ref="CP167:CP175" si="262">IF(AT167=0,"N/A",IF(AT167&gt;4,"Exceso Horas","Cumple"))</f>
        <v>N/A</v>
      </c>
      <c r="CQ167" s="16" t="str">
        <f t="shared" ref="CQ167:CQ175" si="263">IF(AU167=0,"N/A",IF(AU167&gt;4,"Exceso Horas","Cumple"))</f>
        <v>N/A</v>
      </c>
      <c r="CR167" s="16" t="str">
        <f t="shared" ref="CR167:CR175" si="264">IF(AV167=0,"N/A",IF(AV167&gt;8,"Exceso Horas","Cumple"))</f>
        <v>N/A</v>
      </c>
      <c r="CS167" s="16" t="str">
        <f t="shared" ref="CS167:CS175" si="265">IF(AW167=0,"N/A",IF(AW167&gt;2,"Exceso Horas","Cumple"))</f>
        <v>N/A</v>
      </c>
      <c r="CT167" s="16" t="str">
        <f t="shared" ref="CT167:CT175" si="266">IF(AX167=0,"N/A",IF(AX167&gt;4,"Exceso Horas","Cumple"))</f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9" t="s">
        <v>77</v>
      </c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2"/>
      <c r="C175" s="6"/>
      <c r="D175" s="6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6" t="str">
        <f t="shared" si="228"/>
        <v>Cumple</v>
      </c>
      <c r="BI175" s="2" t="str">
        <f t="shared" si="229"/>
        <v>Cumple</v>
      </c>
      <c r="BJ175" s="16" t="str">
        <f t="shared" si="230"/>
        <v>Cumple</v>
      </c>
      <c r="BK175" s="16" t="str">
        <f t="shared" si="231"/>
        <v>N/A</v>
      </c>
      <c r="BL175" s="16" t="str">
        <f t="shared" si="232"/>
        <v>N/A</v>
      </c>
      <c r="BM175" s="16" t="str">
        <f t="shared" si="233"/>
        <v>N/A</v>
      </c>
      <c r="BN175" s="16" t="str">
        <f t="shared" si="234"/>
        <v>N/A</v>
      </c>
      <c r="BO175" s="16" t="str">
        <f t="shared" si="235"/>
        <v>N/A</v>
      </c>
      <c r="BP175" s="16" t="str">
        <f t="shared" si="236"/>
        <v>N/A</v>
      </c>
      <c r="BQ175" s="16" t="str">
        <f t="shared" si="237"/>
        <v>N/A</v>
      </c>
      <c r="BR175" s="16" t="str">
        <f t="shared" si="238"/>
        <v>N/A</v>
      </c>
      <c r="BS175" s="16" t="str">
        <f t="shared" si="239"/>
        <v>N/A</v>
      </c>
      <c r="BT175" s="16" t="str">
        <f t="shared" si="240"/>
        <v>N/A</v>
      </c>
      <c r="BU175" s="16" t="str">
        <f t="shared" si="241"/>
        <v>N/A</v>
      </c>
      <c r="BV175" s="16" t="str">
        <f t="shared" si="242"/>
        <v>N/A</v>
      </c>
      <c r="BW175" s="16" t="str">
        <f t="shared" si="243"/>
        <v>N/A</v>
      </c>
      <c r="BX175" s="16" t="str">
        <f t="shared" si="244"/>
        <v>N/A</v>
      </c>
      <c r="BY175" s="16" t="str">
        <f t="shared" si="245"/>
        <v>N/A</v>
      </c>
      <c r="BZ175" s="16" t="str">
        <f t="shared" si="246"/>
        <v>N/A</v>
      </c>
      <c r="CA175" s="16" t="str">
        <f t="shared" si="247"/>
        <v>N/A</v>
      </c>
      <c r="CB175" s="16" t="str">
        <f t="shared" si="248"/>
        <v>N/A</v>
      </c>
      <c r="CC175" s="16" t="str">
        <f t="shared" si="249"/>
        <v>N/A</v>
      </c>
      <c r="CD175" s="16" t="str">
        <f t="shared" si="250"/>
        <v>N/A</v>
      </c>
      <c r="CE175" s="16" t="str">
        <f t="shared" si="251"/>
        <v>N/A</v>
      </c>
      <c r="CF175" s="16" t="str">
        <f t="shared" si="252"/>
        <v>N/A</v>
      </c>
      <c r="CG175" s="16" t="str">
        <f t="shared" si="253"/>
        <v>N/A</v>
      </c>
      <c r="CH175" s="16" t="str">
        <f t="shared" si="254"/>
        <v>N/A</v>
      </c>
      <c r="CI175" s="16" t="str">
        <f t="shared" si="255"/>
        <v>N/A</v>
      </c>
      <c r="CJ175" s="16" t="str">
        <f t="shared" si="256"/>
        <v>N/A</v>
      </c>
      <c r="CK175" s="16" t="str">
        <f t="shared" si="257"/>
        <v>N/A</v>
      </c>
      <c r="CL175" s="16" t="str">
        <f t="shared" si="258"/>
        <v>N/A</v>
      </c>
      <c r="CM175" s="16" t="str">
        <f t="shared" si="259"/>
        <v>N/A</v>
      </c>
      <c r="CN175" s="16" t="str">
        <f t="shared" si="260"/>
        <v>N/A</v>
      </c>
      <c r="CO175" s="16" t="str">
        <f t="shared" si="261"/>
        <v>N/A</v>
      </c>
      <c r="CP175" s="16" t="str">
        <f t="shared" si="262"/>
        <v>N/A</v>
      </c>
      <c r="CQ175" s="16" t="str">
        <f t="shared" si="263"/>
        <v>N/A</v>
      </c>
      <c r="CR175" s="16" t="str">
        <f t="shared" si="264"/>
        <v>N/A</v>
      </c>
      <c r="CS175" s="16" t="str">
        <f t="shared" si="265"/>
        <v>N/A</v>
      </c>
      <c r="CT175" s="16" t="str">
        <f t="shared" si="266"/>
        <v>N/A</v>
      </c>
      <c r="CU175" s="16" t="str">
        <f t="shared" si="220"/>
        <v>N/A</v>
      </c>
      <c r="CV175" s="16" t="str">
        <f t="shared" si="221"/>
        <v>N/A</v>
      </c>
      <c r="CW175" s="16" t="str">
        <f t="shared" si="222"/>
        <v>N/A</v>
      </c>
      <c r="CX175" s="16" t="str">
        <f t="shared" si="223"/>
        <v>N/A</v>
      </c>
      <c r="CY175" s="16" t="str">
        <f t="shared" si="224"/>
        <v>N/A</v>
      </c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Z284164" s="12"/>
      <c r="AA284164" s="12"/>
      <c r="AB284164" s="12"/>
      <c r="AC284164" s="12"/>
      <c r="AD284164" s="12"/>
      <c r="AE284164" s="12"/>
      <c r="AF284164" s="12"/>
      <c r="AG284164" s="12"/>
      <c r="AH284164" s="12"/>
      <c r="AI284164" s="12"/>
      <c r="AJ284164" s="12"/>
      <c r="AK284164" s="12"/>
      <c r="AL284164" s="12"/>
      <c r="AM284164" s="12"/>
      <c r="AN284164" s="12"/>
      <c r="AO284164" s="12"/>
      <c r="AP284164" s="12"/>
      <c r="AQ284164" s="12"/>
      <c r="AR284164" s="12"/>
      <c r="AS284164" s="12"/>
      <c r="AT284164" s="12"/>
      <c r="AU284164" s="12"/>
      <c r="AV284164" s="12"/>
      <c r="AW284164" s="12"/>
      <c r="AX284164" s="12"/>
      <c r="AY284164" s="12"/>
      <c r="AZ284164" s="12"/>
      <c r="BA284164" s="12"/>
      <c r="BB284164" s="12"/>
      <c r="BC284164" s="12"/>
      <c r="BD284164" s="12"/>
      <c r="BE284164" s="12"/>
      <c r="BF284164" s="12"/>
      <c r="BG284164" s="12"/>
      <c r="BH284164" s="12"/>
      <c r="BI284164" s="12"/>
      <c r="BJ284164" s="12"/>
      <c r="BK284164" s="12"/>
      <c r="BL284164" s="12"/>
    </row>
    <row r="284165" spans="2:64">
      <c r="B284165" s="12"/>
      <c r="C284165" s="12"/>
      <c r="D284165" s="12"/>
      <c r="E284165" s="12"/>
      <c r="F284165" s="12"/>
      <c r="G284165" s="12"/>
      <c r="H284165" s="12"/>
      <c r="I284165" s="12"/>
      <c r="J284165" s="12"/>
      <c r="K284165" s="12"/>
      <c r="L284165" s="12"/>
      <c r="M284165" s="12"/>
      <c r="N284165" s="12"/>
      <c r="O284165" s="12"/>
      <c r="P284165" s="12"/>
      <c r="Q284165" s="12"/>
      <c r="R284165" s="12"/>
      <c r="S284165" s="12"/>
      <c r="T284165" s="12"/>
      <c r="U284165" s="12"/>
      <c r="V284165" s="12"/>
      <c r="W284165" s="12"/>
      <c r="X284165" s="12"/>
      <c r="Y284165" s="12"/>
      <c r="AX284165" s="12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51" t="s">
        <v>78</v>
      </c>
      <c r="C2" s="51"/>
      <c r="D2" s="51"/>
      <c r="E2" s="51"/>
      <c r="F2" s="51"/>
      <c r="G2" s="51"/>
    </row>
    <row r="4" spans="2:33" ht="15.75" thickBot="1">
      <c r="B4" s="50" t="s">
        <v>79</v>
      </c>
      <c r="C4" s="50"/>
      <c r="D4" s="50"/>
      <c r="E4" s="50"/>
      <c r="F4" s="50"/>
      <c r="G4" s="50"/>
      <c r="AE4" s="24" t="s">
        <v>8</v>
      </c>
    </row>
    <row r="5" spans="2:33" s="36" customFormat="1" ht="105.75" thickBot="1"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80</v>
      </c>
      <c r="AF5" s="34" t="s">
        <v>81</v>
      </c>
      <c r="AG5" s="35" t="s">
        <v>67</v>
      </c>
    </row>
    <row r="6" spans="2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8"/>
      <c r="T6" s="28"/>
      <c r="U6" s="27"/>
      <c r="V6" s="27"/>
      <c r="W6" s="27"/>
      <c r="X6" s="27"/>
      <c r="Y6" s="27">
        <f t="shared" ref="Y6:Y15" si="0">SUM(F6:X6)</f>
        <v>0</v>
      </c>
      <c r="Z6" s="27"/>
      <c r="AA6" s="27"/>
      <c r="AB6" s="27"/>
      <c r="AC6" s="27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23"/>
      <c r="T7" s="23"/>
      <c r="U7" s="22"/>
      <c r="V7" s="22"/>
      <c r="W7" s="22"/>
      <c r="X7" s="22"/>
      <c r="Y7" s="27">
        <f t="shared" si="0"/>
        <v>0</v>
      </c>
      <c r="Z7" s="22"/>
      <c r="AA7" s="22"/>
      <c r="AB7" s="22"/>
      <c r="AC7" s="22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  <c r="S8" s="23"/>
      <c r="T8" s="23"/>
      <c r="U8" s="22"/>
      <c r="V8" s="22"/>
      <c r="W8" s="22"/>
      <c r="X8" s="22"/>
      <c r="Y8" s="27">
        <f t="shared" si="0"/>
        <v>0</v>
      </c>
      <c r="Z8" s="22"/>
      <c r="AA8" s="22"/>
      <c r="AB8" s="22"/>
      <c r="AC8" s="22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2"/>
      <c r="V9" s="22"/>
      <c r="W9" s="22"/>
      <c r="X9" s="22"/>
      <c r="Y9" s="27">
        <f t="shared" si="0"/>
        <v>0</v>
      </c>
      <c r="Z9" s="22"/>
      <c r="AA9" s="22"/>
      <c r="AB9" s="22"/>
      <c r="AC9" s="22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S10" s="23"/>
      <c r="T10" s="23"/>
      <c r="U10" s="22"/>
      <c r="V10" s="22"/>
      <c r="W10" s="22"/>
      <c r="X10" s="22"/>
      <c r="Y10" s="27">
        <f t="shared" si="0"/>
        <v>0</v>
      </c>
      <c r="Z10" s="22"/>
      <c r="AA10" s="22"/>
      <c r="AB10" s="22"/>
      <c r="AC10" s="22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S11" s="23"/>
      <c r="T11" s="23"/>
      <c r="U11" s="22"/>
      <c r="V11" s="22"/>
      <c r="W11" s="22"/>
      <c r="X11" s="22"/>
      <c r="Y11" s="27">
        <f t="shared" si="0"/>
        <v>0</v>
      </c>
      <c r="Z11" s="22"/>
      <c r="AA11" s="22"/>
      <c r="AB11" s="22"/>
      <c r="AC11" s="22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  <c r="S12" s="23"/>
      <c r="T12" s="23"/>
      <c r="U12" s="22"/>
      <c r="V12" s="22"/>
      <c r="W12" s="22"/>
      <c r="X12" s="22"/>
      <c r="Y12" s="27">
        <f t="shared" si="0"/>
        <v>0</v>
      </c>
      <c r="Z12" s="22"/>
      <c r="AA12" s="22"/>
      <c r="AB12" s="22"/>
      <c r="AC12" s="22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2"/>
      <c r="V13" s="22"/>
      <c r="W13" s="22"/>
      <c r="X13" s="22"/>
      <c r="Y13" s="27">
        <f t="shared" si="0"/>
        <v>0</v>
      </c>
      <c r="Z13" s="22"/>
      <c r="AA13" s="22"/>
      <c r="AB13" s="22"/>
      <c r="AC13" s="22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2"/>
      <c r="V14" s="22"/>
      <c r="W14" s="22"/>
      <c r="X14" s="22"/>
      <c r="Y14" s="27">
        <f t="shared" si="0"/>
        <v>0</v>
      </c>
      <c r="Z14" s="22"/>
      <c r="AA14" s="22"/>
      <c r="AB14" s="22"/>
      <c r="AC14" s="22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2"/>
      <c r="V15" s="22"/>
      <c r="W15" s="22"/>
      <c r="X15" s="22"/>
      <c r="Y15" s="27">
        <f t="shared" si="0"/>
        <v>0</v>
      </c>
      <c r="Z15" s="22"/>
      <c r="AA15" s="22"/>
      <c r="AB15" s="22"/>
      <c r="AC15" s="22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51" t="s">
        <v>82</v>
      </c>
      <c r="C2" s="51"/>
      <c r="D2" s="51"/>
      <c r="E2" s="51"/>
      <c r="F2" s="51"/>
      <c r="G2" s="51"/>
      <c r="H2" s="51"/>
      <c r="I2" s="51"/>
    </row>
    <row r="4" spans="1:33" ht="15.75" thickBot="1">
      <c r="B4" s="50" t="s">
        <v>79</v>
      </c>
      <c r="C4" s="50"/>
      <c r="D4" s="50"/>
      <c r="E4" s="50"/>
      <c r="F4" s="50"/>
      <c r="G4" s="50"/>
      <c r="H4" s="50"/>
      <c r="I4" s="50"/>
      <c r="AE4" s="24" t="s">
        <v>8</v>
      </c>
    </row>
    <row r="5" spans="1:33" s="36" customFormat="1" ht="105.75" thickBot="1">
      <c r="A5" s="37"/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65</v>
      </c>
      <c r="AF5" s="34" t="s">
        <v>81</v>
      </c>
      <c r="AG5" s="35" t="s">
        <v>67</v>
      </c>
    </row>
    <row r="6" spans="1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>
        <f>SUM(F6:X6)</f>
        <v>0</v>
      </c>
      <c r="Z6" s="27"/>
      <c r="AA6" s="27"/>
      <c r="AB6" s="27"/>
      <c r="AC6" s="27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7">
        <f t="shared" ref="Y7:Y19" si="1">SUM(F7:X7)</f>
        <v>0</v>
      </c>
      <c r="Z7" s="22"/>
      <c r="AA7" s="22"/>
      <c r="AB7" s="22"/>
      <c r="AC7" s="22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7">
        <f t="shared" si="1"/>
        <v>0</v>
      </c>
      <c r="Z8" s="22"/>
      <c r="AA8" s="22"/>
      <c r="AB8" s="22"/>
      <c r="AC8" s="22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7">
        <f t="shared" si="1"/>
        <v>0</v>
      </c>
      <c r="Z9" s="22"/>
      <c r="AA9" s="22"/>
      <c r="AB9" s="22"/>
      <c r="AC9" s="22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7">
        <f t="shared" si="1"/>
        <v>0</v>
      </c>
      <c r="Z10" s="22"/>
      <c r="AA10" s="22"/>
      <c r="AB10" s="22"/>
      <c r="AC10" s="22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7">
        <f t="shared" si="1"/>
        <v>0</v>
      </c>
      <c r="Z11" s="22"/>
      <c r="AA11" s="22"/>
      <c r="AB11" s="22"/>
      <c r="AC11" s="22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7">
        <f t="shared" si="1"/>
        <v>0</v>
      </c>
      <c r="Z12" s="22"/>
      <c r="AA12" s="22"/>
      <c r="AB12" s="22"/>
      <c r="AC12" s="22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7">
        <f t="shared" si="1"/>
        <v>0</v>
      </c>
      <c r="Z13" s="22"/>
      <c r="AA13" s="22"/>
      <c r="AB13" s="22"/>
      <c r="AC13" s="22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7">
        <f t="shared" si="1"/>
        <v>0</v>
      </c>
      <c r="Z14" s="22"/>
      <c r="AA14" s="22"/>
      <c r="AB14" s="22"/>
      <c r="AC14" s="22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7">
        <f t="shared" si="1"/>
        <v>0</v>
      </c>
      <c r="Z15" s="22"/>
      <c r="AA15" s="22"/>
      <c r="AB15" s="22"/>
      <c r="AC15" s="22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7">
        <f t="shared" si="1"/>
        <v>0</v>
      </c>
      <c r="Z16" s="22"/>
      <c r="AA16" s="22"/>
      <c r="AB16" s="22"/>
      <c r="AC16" s="22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7">
        <f t="shared" si="1"/>
        <v>0</v>
      </c>
      <c r="Z17" s="22"/>
      <c r="AA17" s="22"/>
      <c r="AB17" s="22"/>
      <c r="AC17" s="22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7">
        <f t="shared" si="1"/>
        <v>0</v>
      </c>
      <c r="Z18" s="22"/>
      <c r="AA18" s="22"/>
      <c r="AB18" s="22"/>
      <c r="AC18" s="22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7">
        <f t="shared" si="1"/>
        <v>0</v>
      </c>
      <c r="Z19" s="22"/>
      <c r="AA19" s="22"/>
      <c r="AB19" s="22"/>
      <c r="AC19" s="22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MAESTRIA EN CIENCIAS DE LA INFORMACION Y LAS COMUNICACIONES</cp:lastModifiedBy>
  <cp:revision/>
  <dcterms:created xsi:type="dcterms:W3CDTF">2006-09-16T00:00:00Z</dcterms:created>
  <dcterms:modified xsi:type="dcterms:W3CDTF">2026-08-18T14:20:09Z</dcterms:modified>
  <cp:category/>
  <cp:contentStatus/>
</cp:coreProperties>
</file>