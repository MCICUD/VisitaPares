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Resumen visita" sheetId="1" state="visible" r:id="rId1"/>
    <sheet xmlns:r="http://schemas.openxmlformats.org/officeDocument/2006/relationships" name="Consolidado" sheetId="2" state="visible" r:id="rId2"/>
    <sheet xmlns:r="http://schemas.openxmlformats.org/officeDocument/2006/relationships" name="Pendientes sustentación" sheetId="3" state="visible" r:id="rId3"/>
    <sheet xmlns:r="http://schemas.openxmlformats.org/officeDocument/2006/relationships" name="Fuentes y calidad" sheetId="4" state="visible" r:id="rId4"/>
  </sheets>
  <definedNames/>
  <calcPr calcId="0" fullCalcOnLoad="1"/>
</workbook>
</file>

<file path=xl/styles.xml><?xml version="1.0" encoding="utf-8"?>
<styleSheet xmlns="http://schemas.openxmlformats.org/spreadsheetml/2006/main">
  <numFmts count="0"/>
  <fonts count="17">
    <font>
      <name val="Carlito"/>
      <sz val="11"/>
    </font>
    <font>
      <name val="Aptos"/>
      <color rgb="FF24313D"/>
      <sz val="10"/>
    </font>
    <font>
      <name val="Aptos Display"/>
      <b val="1"/>
      <color rgb="FFFFFFFF"/>
      <sz val="10"/>
    </font>
    <font>
      <name val="Aptos Display"/>
      <b val="1"/>
      <color rgb="FFFFFFFF"/>
      <sz val="20"/>
    </font>
    <font>
      <name val="Aptos"/>
      <b val="1"/>
      <color rgb="FF24313D"/>
      <sz val="10"/>
    </font>
    <font>
      <name val="Aptos"/>
      <b val="1"/>
      <color rgb="FFFFFFFF"/>
      <sz val="10"/>
    </font>
    <font>
      <name val="Aptos"/>
      <b val="1"/>
      <color rgb="FF7F6000"/>
      <sz val="10"/>
    </font>
    <font>
      <name val="Aptos Display"/>
      <b val="1"/>
      <color rgb="FFFFFFFF"/>
      <sz val="22"/>
    </font>
    <font>
      <name val="Aptos"/>
      <i val="1"/>
      <color rgb="FF24313D"/>
      <sz val="11"/>
    </font>
    <font>
      <name val="Aptos"/>
      <b val="1"/>
      <color rgb="FF1F4E78"/>
      <sz val="10"/>
    </font>
    <font>
      <name val="Aptos Display"/>
      <b val="1"/>
      <color rgb="FF8C1D40"/>
      <sz val="22"/>
    </font>
    <font>
      <name val="Aptos"/>
      <b val="1"/>
      <color rgb="FF24313D"/>
      <sz val="11"/>
    </font>
    <font>
      <name val="Aptos Display"/>
      <b val="1"/>
      <color rgb="FFFFFFFF"/>
      <sz val="12"/>
    </font>
    <font>
      <name val="Carlito"/>
      <b val="1"/>
      <color rgb="FF24313D"/>
      <sz val="11"/>
    </font>
    <font>
      <name val="Carlito"/>
      <color rgb="FFFFFFFF"/>
      <sz val="11"/>
    </font>
    <font>
      <name val="Aptos Display"/>
      <b val="1"/>
      <color rgb="FFFFFFFF"/>
      <sz val="18"/>
    </font>
    <font>
      <name val="Carlito"/>
      <b val="1"/>
      <color rgb="FFFFFFFF"/>
      <sz val="11"/>
    </font>
  </fonts>
  <fills count="11">
    <fill>
      <patternFill/>
    </fill>
    <fill>
      <patternFill patternType="gray125"/>
    </fill>
    <fill>
      <patternFill patternType="solid">
        <fgColor rgb="FF1F4E78"/>
      </patternFill>
    </fill>
    <fill>
      <patternFill patternType="solid">
        <fgColor rgb="FF8C1D40"/>
      </patternFill>
    </fill>
    <fill>
      <patternFill patternType="solid">
        <fgColor rgb="FFF7F0E1"/>
      </patternFill>
    </fill>
    <fill>
      <patternFill patternType="solid">
        <fgColor rgb="FFFFF2CC"/>
      </patternFill>
    </fill>
    <fill>
      <patternFill patternType="solid">
        <fgColor rgb="FFEAF2F8"/>
      </patternFill>
    </fill>
    <fill>
      <patternFill patternType="solid">
        <fgColor rgb="FFD9EAF4"/>
      </patternFill>
    </fill>
    <fill>
      <patternFill patternType="solid">
        <fgColor rgb="FFF3F4F6"/>
      </patternFill>
    </fill>
    <fill>
      <patternFill patternType="solid">
        <fgColor rgb="FFFFFFFF"/>
      </patternFill>
    </fill>
    <fill>
      <patternFill patternType="solid">
        <fgColor rgb="FFD6A84B"/>
      </patternFill>
    </fill>
  </fills>
  <borders count="20">
    <border>
      <left/>
      <right/>
      <top/>
      <bottom/>
      <diagonal/>
    </border>
    <border>
      <left style="thin">
        <color rgb="FFD9DEE3"/>
      </left>
      <right/>
      <top style="thin">
        <color rgb="FFD9DEE3"/>
      </top>
      <bottom/>
      <diagonal/>
    </border>
    <border>
      <left/>
      <right style="thin">
        <color rgb="FFD9DEE3"/>
      </right>
      <top style="thin">
        <color rgb="FFD9DEE3"/>
      </top>
      <bottom/>
      <diagonal/>
    </border>
    <border>
      <left style="thin">
        <color rgb="FFD9DEE3"/>
      </left>
      <right/>
      <top/>
      <bottom/>
      <diagonal/>
    </border>
    <border>
      <left/>
      <right style="thin">
        <color rgb="FFD9DEE3"/>
      </right>
      <top/>
      <bottom/>
      <diagonal/>
    </border>
    <border>
      <left style="thin">
        <color rgb="FFD9DEE3"/>
      </left>
      <right/>
      <top/>
      <bottom style="thin">
        <color rgb="FFD9DEE3"/>
      </bottom>
      <diagonal/>
    </border>
    <border>
      <left/>
      <right style="thin">
        <color rgb="FFD9DEE3"/>
      </right>
      <top/>
      <bottom style="thin">
        <color rgb="FFD9DEE3"/>
      </bottom>
      <diagonal/>
    </border>
    <border>
      <left style="thin">
        <color rgb="FFD6A84B"/>
      </left>
      <right/>
      <top style="thin">
        <color rgb="FFD6A84B"/>
      </top>
      <bottom/>
      <diagonal/>
    </border>
    <border>
      <left/>
      <right/>
      <top style="thin">
        <color rgb="FFD6A84B"/>
      </top>
      <bottom/>
      <diagonal/>
    </border>
    <border>
      <left/>
      <right style="thin">
        <color rgb="FFD6A84B"/>
      </right>
      <top style="thin">
        <color rgb="FFD6A84B"/>
      </top>
      <bottom/>
      <diagonal/>
    </border>
    <border>
      <left style="thin">
        <color rgb="FFD6A84B"/>
      </left>
      <right/>
      <top/>
      <bottom style="thin">
        <color rgb="FFD6A84B"/>
      </bottom>
      <diagonal/>
    </border>
    <border>
      <left/>
      <right/>
      <top/>
      <bottom style="thin">
        <color rgb="FFD6A84B"/>
      </bottom>
      <diagonal/>
    </border>
    <border>
      <left/>
      <right style="thin">
        <color rgb="FFD6A84B"/>
      </right>
      <top/>
      <bottom style="thin">
        <color rgb="FFD6A84B"/>
      </bottom>
      <diagonal/>
    </border>
    <border>
      <left style="thin">
        <color rgb="FFD9DEE3"/>
      </left>
      <right style="thin">
        <color rgb="FFD9DEE3"/>
      </right>
      <top style="thin">
        <color rgb="FFD9DEE3"/>
      </top>
      <bottom style="thin">
        <color rgb="FFD9DEE3"/>
      </bottom>
      <diagonal/>
    </border>
    <border>
      <left style="thin">
        <color rgb="FFD6A84B"/>
      </left>
      <right style="thin">
        <color rgb="FFD6A84B"/>
      </right>
      <top style="thin">
        <color rgb="FFD6A84B"/>
      </top>
      <bottom style="thin">
        <color rgb="FFD6A84B"/>
      </bottom>
      <diagonal/>
    </border>
    <border>
      <left style="thin">
        <color rgb="FFD6A84B"/>
      </left>
      <right/>
      <top/>
      <bottom/>
      <diagonal/>
    </border>
    <border>
      <left/>
      <right style="thin">
        <color rgb="FFD6A84B"/>
      </right>
      <top/>
      <bottom/>
      <diagonal/>
    </border>
    <border>
      <left style="thin">
        <color rgb="FFD9DEE3"/>
      </left>
      <right style="thin">
        <color rgb="FFD9DEE3"/>
      </right>
      <top style="thin">
        <color rgb="FFD9DEE3"/>
      </top>
      <bottom/>
      <diagonal/>
    </border>
    <border>
      <left/>
      <right/>
      <top style="thin">
        <color rgb="FFD9DEE3"/>
      </top>
      <bottom/>
      <diagonal/>
    </border>
    <border>
      <left style="thin">
        <color rgb="FFD9DEE3"/>
      </left>
      <right style="thin">
        <color rgb="FFD9DEE3"/>
      </right>
      <top/>
      <bottom style="thin">
        <color rgb="FFD9DEE3"/>
      </bottom>
      <diagonal/>
    </border>
  </borders>
  <cellStyleXfs count="1">
    <xf numFmtId="0" fontId="0" fillId="0" borderId="0"/>
  </cellStyleXfs>
  <cellXfs count="49">
    <xf numFmtId="0" fontId="0" fillId="0" borderId="0" pivotButton="0" quotePrefix="0" xfId="0"/>
    <xf numFmtId="0" fontId="2" fillId="2"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1" fontId="1" fillId="0" borderId="0" applyAlignment="1" pivotButton="0" quotePrefix="0" xfId="0">
      <alignment vertical="top" wrapText="1"/>
    </xf>
    <xf numFmtId="0" fontId="5" fillId="2" borderId="0" pivotButton="0" quotePrefix="0" xfId="0"/>
    <xf numFmtId="0" fontId="6" fillId="5" borderId="0" applyAlignment="1" pivotButton="0" quotePrefix="0" xfId="0">
      <alignment vertical="top" wrapText="1"/>
    </xf>
    <xf numFmtId="0" fontId="9" fillId="7" borderId="0" pivotButton="0" quotePrefix="0" xfId="0"/>
    <xf numFmtId="0" fontId="0" fillId="0" borderId="13" pivotButton="0" quotePrefix="0" xfId="0"/>
    <xf numFmtId="0" fontId="13" fillId="8" borderId="13" pivotButton="0" quotePrefix="0" xfId="0"/>
    <xf numFmtId="0" fontId="9" fillId="7" borderId="0" applyAlignment="1" pivotButton="0" quotePrefix="0" xfId="0">
      <alignment horizontal="center"/>
    </xf>
    <xf numFmtId="0" fontId="0" fillId="0" borderId="13" applyAlignment="1" pivotButton="0" quotePrefix="0" xfId="0">
      <alignment horizontal="center"/>
    </xf>
    <xf numFmtId="0" fontId="13" fillId="8" borderId="13" applyAlignment="1" pivotButton="0" quotePrefix="0" xfId="0">
      <alignment horizontal="center"/>
    </xf>
    <xf numFmtId="0" fontId="14" fillId="9" borderId="0" pivotButton="0" quotePrefix="0" xfId="0"/>
    <xf numFmtId="0" fontId="16" fillId="2" borderId="13" pivotButton="0" quotePrefix="0" xfId="0"/>
    <xf numFmtId="0" fontId="0" fillId="0" borderId="13" applyAlignment="1" pivotButton="0" quotePrefix="0" xfId="0">
      <alignment wrapText="1"/>
    </xf>
    <xf numFmtId="0" fontId="13" fillId="10" borderId="13" pivotButton="0" quotePrefix="0" xfId="0"/>
    <xf numFmtId="0" fontId="7" fillId="3" borderId="0" applyAlignment="1" pivotButton="0" quotePrefix="0" xfId="0">
      <alignment vertical="center"/>
    </xf>
    <xf numFmtId="0" fontId="8" fillId="0" borderId="0" pivotButton="0" quotePrefix="0" xfId="0"/>
    <xf numFmtId="0" fontId="9" fillId="6" borderId="1" applyAlignment="1" pivotButton="0" quotePrefix="0" xfId="0">
      <alignment horizontal="center"/>
    </xf>
    <xf numFmtId="0" fontId="9" fillId="6" borderId="2" applyAlignment="1" pivotButton="0" quotePrefix="0" xfId="0">
      <alignment horizontal="center"/>
    </xf>
    <xf numFmtId="0" fontId="10" fillId="0" borderId="3" applyAlignment="1" pivotButton="0" quotePrefix="0" xfId="0">
      <alignment horizontal="center"/>
    </xf>
    <xf numFmtId="0" fontId="10" fillId="0" borderId="4" applyAlignment="1" pivotButton="0" quotePrefix="0" xfId="0">
      <alignment horizontal="center"/>
    </xf>
    <xf numFmtId="0" fontId="10" fillId="0" borderId="5" applyAlignment="1" pivotButton="0" quotePrefix="0" xfId="0">
      <alignment horizontal="center"/>
    </xf>
    <xf numFmtId="0" fontId="10" fillId="0" borderId="6" applyAlignment="1" pivotButton="0" quotePrefix="0" xfId="0">
      <alignment horizontal="center"/>
    </xf>
    <xf numFmtId="0" fontId="11" fillId="4" borderId="7" applyAlignment="1" pivotButton="0" quotePrefix="0" xfId="0">
      <alignment vertical="center" wrapText="1"/>
    </xf>
    <xf numFmtId="0" fontId="11" fillId="4" borderId="8" applyAlignment="1" pivotButton="0" quotePrefix="0" xfId="0">
      <alignment vertical="center" wrapText="1"/>
    </xf>
    <xf numFmtId="0" fontId="11" fillId="4" borderId="9" applyAlignment="1" pivotButton="0" quotePrefix="0" xfId="0">
      <alignment vertical="center" wrapText="1"/>
    </xf>
    <xf numFmtId="0" fontId="11" fillId="4" borderId="10" applyAlignment="1" pivotButton="0" quotePrefix="0" xfId="0">
      <alignment vertical="center" wrapText="1"/>
    </xf>
    <xf numFmtId="0" fontId="11" fillId="4" borderId="11" applyAlignment="1" pivotButton="0" quotePrefix="0" xfId="0">
      <alignment vertical="center" wrapText="1"/>
    </xf>
    <xf numFmtId="0" fontId="11" fillId="4" borderId="12" applyAlignment="1" pivotButton="0" quotePrefix="0" xfId="0">
      <alignment vertical="center" wrapText="1"/>
    </xf>
    <xf numFmtId="0" fontId="12" fillId="2" borderId="0" pivotButton="0" quotePrefix="0" xfId="0"/>
    <xf numFmtId="0" fontId="0" fillId="8" borderId="0" applyAlignment="1" pivotButton="0" quotePrefix="0" xfId="0">
      <alignment vertical="center" wrapText="1"/>
    </xf>
    <xf numFmtId="0" fontId="3" fillId="3" borderId="0" applyAlignment="1" pivotButton="0" quotePrefix="0" xfId="0">
      <alignment vertical="center"/>
    </xf>
    <xf numFmtId="0" fontId="4" fillId="4" borderId="0" applyAlignment="1" pivotButton="0" quotePrefix="0" xfId="0">
      <alignment wrapText="1"/>
    </xf>
    <xf numFmtId="0" fontId="15" fillId="3" borderId="0" pivotButton="0" quotePrefix="0" xfId="0"/>
    <xf numFmtId="0" fontId="0" fillId="4" borderId="0" applyAlignment="1" pivotButton="0" quotePrefix="0" xfId="0">
      <alignment vertical="center" wrapText="1"/>
    </xf>
    <xf numFmtId="0" fontId="9" fillId="6" borderId="17" applyAlignment="1" pivotButton="0" quotePrefix="0" xfId="0">
      <alignment horizontal="center"/>
    </xf>
    <xf numFmtId="0" fontId="0" fillId="0" borderId="2" pivotButton="0" quotePrefix="0" xfId="0"/>
    <xf numFmtId="0" fontId="10" fillId="0" borderId="19" applyAlignment="1" pivotButton="0" quotePrefix="0" xfId="0">
      <alignment horizontal="center"/>
    </xf>
    <xf numFmtId="0" fontId="0" fillId="0" borderId="4" pivotButton="0" quotePrefix="0" xfId="0"/>
    <xf numFmtId="0" fontId="0" fillId="0" borderId="5" pivotButton="0" quotePrefix="0" xfId="0"/>
    <xf numFmtId="0" fontId="0" fillId="0" borderId="6" pivotButton="0" quotePrefix="0" xfId="0"/>
    <xf numFmtId="0" fontId="11" fillId="4" borderId="14"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cellXfs>
  <cellStyles count="1">
    <cellStyle name="Normal" xfId="0" builtinId="0"/>
  </cellStyles>
  <dxfs count="1">
    <dxf>
      <font>
        <b val="1"/>
        <color rgb="FF7F6000"/>
      </font>
      <fill>
        <patternFill patternType="solid">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a:t>Trabajos por año y estado</a:t>
            </a:r>
          </a:p>
        </rich>
      </tx>
      <overlay val="0"/>
    </title>
    <plotArea>
      <layout/>
      <barChart>
        <barDir val="col"/>
        <grouping val="clustered"/>
        <varyColors val="0"/>
        <ser>
          <idx val="0"/>
          <order val="0"/>
          <tx>
            <v>Sustentados</v>
          </tx>
          <spPr>
            <a:solidFill xmlns:a="http://schemas.openxmlformats.org/drawingml/2006/main">
              <a:srgbClr val="8C1D40"/>
            </a:solidFill>
            <a:ln xmlns:a="http://schemas.openxmlformats.org/drawingml/2006/main">
              <a:prstDash val="solid"/>
            </a:ln>
          </spPr>
          <invertIfNegative val="1"/>
          <cat>
            <numRef>
              <f>'Resumen visita'!$K$3:$K$7</f>
              <numCache>
                <formatCode>General</formatCode>
                <ptCount val="5"/>
                <pt idx="0">
                  <v>2022</v>
                </pt>
                <pt idx="1">
                  <v>2023</v>
                </pt>
                <pt idx="2">
                  <v>2024</v>
                </pt>
                <pt idx="3">
                  <v>2025</v>
                </pt>
                <pt idx="4">
                  <v>2026</v>
                </pt>
              </numCache>
            </numRef>
          </cat>
          <val>
            <numRef>
              <f>'Resumen visita'!$L$3:$L$7</f>
              <numCache>
                <formatCode>General</formatCode>
                <ptCount val="5"/>
                <pt idx="0">
                  <v>33</v>
                </pt>
                <pt idx="1">
                  <v>28</v>
                </pt>
                <pt idx="2">
                  <v>23</v>
                </pt>
                <pt idx="3">
                  <v>24</v>
                </pt>
                <pt idx="4">
                  <v>26</v>
                </pt>
              </numCache>
            </numRef>
          </val>
        </ser>
        <ser>
          <idx val="1"/>
          <order val="1"/>
          <tx>
            <v>No sustentados</v>
          </tx>
          <spPr>
            <a:solidFill xmlns:a="http://schemas.openxmlformats.org/drawingml/2006/main">
              <a:srgbClr val="D6A84B"/>
            </a:solidFill>
            <a:ln xmlns:a="http://schemas.openxmlformats.org/drawingml/2006/main">
              <a:prstDash val="solid"/>
            </a:ln>
          </spPr>
          <invertIfNegative val="1"/>
          <cat>
            <numRef>
              <f>'Resumen visita'!$K$3:$K$7</f>
              <numCache>
                <formatCode>General</formatCode>
                <ptCount val="5"/>
                <pt idx="0">
                  <v>2022</v>
                </pt>
                <pt idx="1">
                  <v>2023</v>
                </pt>
                <pt idx="2">
                  <v>2024</v>
                </pt>
                <pt idx="3">
                  <v>2025</v>
                </pt>
                <pt idx="4">
                  <v>2026</v>
                </pt>
              </numCache>
            </numRef>
          </cat>
          <val>
            <numRef>
              <f>'Resumen visita'!$M$3:$M$7</f>
              <numCache>
                <formatCode>General</formatCode>
                <ptCount val="5"/>
                <pt idx="0">
                  <v>0</v>
                </pt>
                <pt idx="1">
                  <v>1</v>
                </pt>
                <pt idx="2">
                  <v>1</v>
                </pt>
                <pt idx="3">
                  <v>1</v>
                </pt>
                <pt idx="4">
                  <v>13</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1"/>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a:t>10 grupos con mayor número de casos</a:t>
            </a:r>
          </a:p>
        </rich>
      </tx>
      <overlay val="0"/>
    </title>
    <plotArea>
      <layout/>
      <barChart>
        <barDir val="col"/>
        <grouping val="clustered"/>
        <varyColors val="0"/>
        <ser>
          <idx val="0"/>
          <order val="0"/>
          <tx>
            <v>Sustentados</v>
          </tx>
          <spPr>
            <a:solidFill xmlns:a="http://schemas.openxmlformats.org/drawingml/2006/main">
              <a:srgbClr val="1F4E78"/>
            </a:solidFill>
            <a:ln xmlns:a="http://schemas.openxmlformats.org/drawingml/2006/main">
              <a:prstDash val="solid"/>
            </a:ln>
          </spPr>
          <invertIfNegative val="1"/>
          <cat>
            <strRef>
              <f>'Resumen visita'!$K$11:$K$20</f>
              <strCache>
                <ptCount val="10"/>
                <pt idx="0">
                  <v>NIDE</v>
                </pt>
                <pt idx="1">
                  <v>GEFEM</v>
                </pt>
                <pt idx="2">
                  <v>Internet Inteligente</v>
                </pt>
                <pt idx="3">
                  <v>LIDER</v>
                </pt>
                <pt idx="4">
                  <v>GICOGE</v>
                </pt>
                <pt idx="5">
                  <v>GITEM</v>
                </pt>
                <pt idx="6">
                  <v>GIIRA</v>
                </pt>
                <pt idx="7">
                  <v>GRECO</v>
                </pt>
                <pt idx="8">
                  <v>Multimedia y Animación</v>
                </pt>
                <pt idx="9">
                  <v>GITUD</v>
                </pt>
              </strCache>
            </strRef>
          </cat>
          <val>
            <numRef>
              <f>'Resumen visita'!$L$11:$L$20</f>
              <numCache>
                <formatCode>General</formatCode>
                <ptCount val="10"/>
                <pt idx="0">
                  <v>19</v>
                </pt>
                <pt idx="1">
                  <v>19</v>
                </pt>
                <pt idx="2">
                  <v>10</v>
                </pt>
                <pt idx="3">
                  <v>5</v>
                </pt>
                <pt idx="4">
                  <v>8</v>
                </pt>
                <pt idx="5">
                  <v>8</v>
                </pt>
                <pt idx="6">
                  <v>8</v>
                </pt>
                <pt idx="7">
                  <v>8</v>
                </pt>
                <pt idx="8">
                  <v>8</v>
                </pt>
                <pt idx="9">
                  <v>7</v>
                </pt>
              </numCache>
            </numRef>
          </val>
        </ser>
        <ser>
          <idx val="1"/>
          <order val="1"/>
          <tx>
            <v>No sustentados</v>
          </tx>
          <spPr>
            <a:solidFill xmlns:a="http://schemas.openxmlformats.org/drawingml/2006/main">
              <a:srgbClr val="D6A84B"/>
            </a:solidFill>
            <a:ln xmlns:a="http://schemas.openxmlformats.org/drawingml/2006/main">
              <a:prstDash val="solid"/>
            </a:ln>
          </spPr>
          <invertIfNegative val="1"/>
          <cat>
            <strRef>
              <f>'Resumen visita'!$K$11:$K$20</f>
              <strCache>
                <ptCount val="10"/>
                <pt idx="0">
                  <v>NIDE</v>
                </pt>
                <pt idx="1">
                  <v>GEFEM</v>
                </pt>
                <pt idx="2">
                  <v>Internet Inteligente</v>
                </pt>
                <pt idx="3">
                  <v>LIDER</v>
                </pt>
                <pt idx="4">
                  <v>GICOGE</v>
                </pt>
                <pt idx="5">
                  <v>GITEM</v>
                </pt>
                <pt idx="6">
                  <v>GIIRA</v>
                </pt>
                <pt idx="7">
                  <v>GRECO</v>
                </pt>
                <pt idx="8">
                  <v>Multimedia y Animación</v>
                </pt>
                <pt idx="9">
                  <v>GITUD</v>
                </pt>
              </strCache>
            </strRef>
          </cat>
          <val>
            <numRef>
              <f>'Resumen visita'!$M$11:$M$20</f>
              <numCache>
                <formatCode>General</formatCode>
                <ptCount val="10"/>
                <pt idx="0">
                  <v>5</v>
                </pt>
                <pt idx="1">
                  <v>0</v>
                </pt>
                <pt idx="2">
                  <v>0</v>
                </pt>
                <pt idx="3">
                  <v>5</v>
                </pt>
                <pt idx="4">
                  <v>1</v>
                </pt>
                <pt idx="5">
                  <v>1</v>
                </pt>
                <pt idx="6">
                  <v>0</v>
                </pt>
                <pt idx="7">
                  <v>0</v>
                </pt>
                <pt idx="8">
                  <v>0</v>
                </pt>
                <pt idx="9">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1"/>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10</col>
      <colOff>0</colOff>
      <row>1</row>
      <rowOff>0</rowOff>
    </from>
    <to>
      <col>18</col>
      <colOff>0</colOff>
      <row>10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0</colOff>
      <row>11</row>
      <rowOff>0</rowOff>
    </from>
    <to>
      <col>18</col>
      <colOff>0</colOff>
      <row>30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rabajosConsolidados" displayName="TrabajosConsolidados" ref="A1:M151" headerRowCount="1" totalsRowShown="0">
  <autoFilter ref="A1:M151"/>
  <tableColumns count="13">
    <tableColumn id="1" name="ID"/>
    <tableColumn id="2" name="Código"/>
    <tableColumn id="3" name="Grupo de investigación"/>
    <tableColumn id="4" name="Título del trabajo de grado"/>
    <tableColumn id="5" name="Año"/>
    <tableColumn id="6" name="Modalidad"/>
    <tableColumn id="7" name="Director(es)"/>
    <tableColumn id="8" name="Estudiante(s)"/>
    <tableColumn id="9" name="Fecha / soporte de finalización"/>
    <tableColumn id="10" name="Enlace RIUD"/>
    <tableColumn id="11" name="Archivo fuente"/>
    <tableColumn id="12" name="Estado de sustentación"/>
    <tableColumn id="13" name="Observación de cruce"/>
  </tableColumns>
  <tableStyleInfo name="TableStyleMedium2" showFirstColumn="0" showLastColumn="0" showRowStripes="1" showColumnStripes="0"/>
</table>
</file>

<file path=xl/tables/table2.xml><?xml version="1.0" encoding="utf-8"?>
<table xmlns="http://schemas.openxmlformats.org/spreadsheetml/2006/main" id="2" name="TrabajosPendientes" displayName="TrabajosPendientes" ref="A5:M21" headerRowCount="1" totalsRowShown="0">
  <tableColumns count="13">
    <tableColumn id="1" name="ID"/>
    <tableColumn id="2" name="Código"/>
    <tableColumn id="3" name="Grupo de investigación"/>
    <tableColumn id="4" name="Título del trabajo de grado"/>
    <tableColumn id="5" name="Año"/>
    <tableColumn id="6" name="Modalidad"/>
    <tableColumn id="7" name="Director(es)"/>
    <tableColumn id="8" name="Estudiante(s)"/>
    <tableColumn id="9" name="Fecha / soporte de finalización"/>
    <tableColumn id="10" name="Enlace RIUD"/>
    <tableColumn id="11" name="Archivo fuente"/>
    <tableColumn id="12" name="Estado de sustentación"/>
    <tableColumn id="13" name="Observación de cruce"/>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8C1D40"/>
    <outlinePr summaryBelow="1" summaryRight="1"/>
    <pageSetUpPr/>
  </sheetPr>
  <dimension ref="A1:M40"/>
  <sheetViews>
    <sheetView showGridLines="0" tabSelected="1" workbookViewId="0">
      <pane ySplit="3" topLeftCell="A4" activePane="bottomLeft" state="frozen"/>
      <selection pane="bottomLeft" activeCell="G15" sqref="G15"/>
    </sheetView>
  </sheetViews>
  <sheetFormatPr baseColWidth="10" defaultColWidth="9" defaultRowHeight="14.25"/>
  <cols>
    <col width="39" customWidth="1" min="1" max="1"/>
    <col width="11" customWidth="1" min="2" max="6"/>
    <col width="14" customWidth="1" min="7" max="7"/>
    <col width="12.75" bestFit="1" customWidth="1" min="8" max="8"/>
    <col width="10" customWidth="1" min="9" max="9"/>
    <col width="4" customWidth="1" min="10" max="10"/>
    <col width="12" customWidth="1" min="11" max="18"/>
  </cols>
  <sheetData>
    <row r="1">
      <c r="A1" s="17" t="inlineStr">
        <is>
          <t>Trabajos de grado vinculados con grupos de investigación</t>
        </is>
      </c>
    </row>
    <row r="2">
      <c r="K2" s="13" t="inlineStr">
        <is>
          <t>Año</t>
        </is>
      </c>
      <c r="L2" s="13" t="inlineStr">
        <is>
          <t>Sustentados</t>
        </is>
      </c>
      <c r="M2" s="13" t="inlineStr">
        <is>
          <t>No sustentados</t>
        </is>
      </c>
    </row>
    <row r="3">
      <c r="A3" s="18" t="inlineStr">
        <is>
          <t>Maestría en Ciencias de la Información y las Comunicaciones | Consolidado 2022–2026</t>
        </is>
      </c>
      <c r="K3" s="13" t="n">
        <v>2022</v>
      </c>
      <c r="L3" s="13" t="n">
        <v>32</v>
      </c>
      <c r="M3" s="13" t="n">
        <v>0</v>
      </c>
    </row>
    <row r="4">
      <c r="K4" s="13" t="n">
        <v>2023</v>
      </c>
      <c r="L4" s="13" t="n">
        <v>27</v>
      </c>
      <c r="M4" s="13" t="n">
        <v>0</v>
      </c>
    </row>
    <row r="5">
      <c r="A5" s="37" t="inlineStr">
        <is>
          <t>Casos consolidados</t>
        </is>
      </c>
      <c r="C5" s="37" t="inlineStr">
        <is>
          <t>Trabajos sustentados</t>
        </is>
      </c>
      <c r="E5" s="37" t="inlineStr">
        <is>
          <t>Pendientes / sin verificación</t>
        </is>
      </c>
      <c r="G5" s="37" t="inlineStr">
        <is>
          <t>Grupos identificados</t>
        </is>
      </c>
      <c r="K5" s="13" t="n">
        <v>2024</v>
      </c>
      <c r="L5" s="13" t="n">
        <v>24</v>
      </c>
      <c r="M5" s="13" t="n">
        <v>1</v>
      </c>
    </row>
    <row r="6">
      <c r="A6" s="39" t="n">
        <v>148</v>
      </c>
      <c r="C6" s="39" t="n">
        <v>133</v>
      </c>
      <c r="E6" s="39" t="n">
        <v>15</v>
      </c>
      <c r="G6" s="39" t="n">
        <v>25</v>
      </c>
      <c r="K6" s="13" t="n">
        <v>2025</v>
      </c>
      <c r="L6" s="13" t="n">
        <v>24</v>
      </c>
      <c r="M6" s="13" t="n">
        <v>1</v>
      </c>
    </row>
    <row r="7">
      <c r="K7" s="13" t="n">
        <v>2026</v>
      </c>
      <c r="L7" s="13" t="n">
        <v>26</v>
      </c>
      <c r="M7" s="13" t="n">
        <v>13</v>
      </c>
    </row>
    <row r="8">
      <c r="K8" s="13" t="n"/>
      <c r="L8" s="13" t="n"/>
      <c r="M8" s="13" t="n"/>
    </row>
    <row r="9">
      <c r="A9" s="43" t="inlineStr">
        <is>
          <t>La base reúne 148 casos: 133 trabajos sustentados y 15 casos programados, radicados o avalados sin sustentación efectiva verificada. Los gráficos y la matriz contabilizan ambas categorías; en los casos no sustentados, el año corresponde a la programación, radicación o aval reportado.</t>
        </is>
      </c>
      <c r="K9" s="13" t="n"/>
      <c r="L9" s="13" t="n"/>
      <c r="M9" s="13" t="n"/>
    </row>
    <row r="10">
      <c r="K10" s="13" t="inlineStr">
        <is>
          <t>Grupo</t>
        </is>
      </c>
      <c r="L10" s="13" t="inlineStr">
        <is>
          <t>Sustentados</t>
        </is>
      </c>
      <c r="M10" s="13" t="inlineStr">
        <is>
          <t>No sustentados</t>
        </is>
      </c>
    </row>
    <row r="11">
      <c r="K11" s="13" t="inlineStr">
        <is>
          <t>NIDE</t>
        </is>
      </c>
      <c r="L11" s="13" t="n">
        <v>21</v>
      </c>
      <c r="M11" s="13" t="n">
        <v>5</v>
      </c>
    </row>
    <row r="12" ht="15.75" customHeight="1">
      <c r="A12" s="31" t="inlineStr">
        <is>
          <t>Distribución de los 25 grupos identificados por año y estado</t>
        </is>
      </c>
      <c r="K12" s="13" t="inlineStr">
        <is>
          <t>GEFEM</t>
        </is>
      </c>
      <c r="L12" s="13" t="n">
        <v>19</v>
      </c>
      <c r="M12" s="13" t="n">
        <v>0</v>
      </c>
    </row>
    <row r="13">
      <c r="A13" s="7" t="inlineStr">
        <is>
          <t>Grupo</t>
        </is>
      </c>
      <c r="B13" s="10" t="n">
        <v>2022</v>
      </c>
      <c r="C13" s="10" t="n">
        <v>2023</v>
      </c>
      <c r="D13" s="10" t="n">
        <v>2024</v>
      </c>
      <c r="E13" s="10" t="n">
        <v>2025</v>
      </c>
      <c r="F13" s="10" t="n">
        <v>2026</v>
      </c>
      <c r="G13" s="10" t="inlineStr">
        <is>
          <t>Sustentados</t>
        </is>
      </c>
      <c r="H13" s="7" t="inlineStr">
        <is>
          <t>No sustentados</t>
        </is>
      </c>
      <c r="I13" s="7" t="inlineStr">
        <is>
          <t>Total</t>
        </is>
      </c>
      <c r="K13" s="13" t="inlineStr">
        <is>
          <t>Internet Inteligente</t>
        </is>
      </c>
      <c r="L13" s="13" t="n">
        <v>10</v>
      </c>
      <c r="M13" s="13" t="n">
        <v>0</v>
      </c>
    </row>
    <row r="14">
      <c r="A14" s="8" t="inlineStr">
        <is>
          <t>NIDE</t>
        </is>
      </c>
      <c r="B14" s="11" t="n">
        <v>9</v>
      </c>
      <c r="C14" s="11" t="n">
        <v>3</v>
      </c>
      <c r="D14" s="11" t="n">
        <v>2</v>
      </c>
      <c r="E14" s="11" t="n">
        <v>5</v>
      </c>
      <c r="F14" s="11" t="n">
        <v>7</v>
      </c>
      <c r="G14" s="11" t="n">
        <v>21</v>
      </c>
      <c r="H14" s="8" t="n">
        <v>5</v>
      </c>
      <c r="I14" s="8" t="n">
        <v>26</v>
      </c>
      <c r="K14" s="13" t="inlineStr">
        <is>
          <t>GITEM</t>
        </is>
      </c>
      <c r="L14" s="13" t="n">
        <v>8</v>
      </c>
      <c r="M14" s="13" t="n">
        <v>2</v>
      </c>
    </row>
    <row r="15">
      <c r="A15" s="8" t="inlineStr">
        <is>
          <t>GEFEM</t>
        </is>
      </c>
      <c r="B15" s="11" t="n">
        <v>7</v>
      </c>
      <c r="C15" s="11" t="n">
        <v>3</v>
      </c>
      <c r="D15" s="11" t="n">
        <v>4</v>
      </c>
      <c r="E15" s="11" t="n">
        <v>2</v>
      </c>
      <c r="F15" s="11" t="n">
        <v>3</v>
      </c>
      <c r="G15" s="11" t="n">
        <v>19</v>
      </c>
      <c r="H15" s="8" t="n">
        <v>0</v>
      </c>
      <c r="I15" s="8" t="n">
        <v>19</v>
      </c>
      <c r="K15" s="13" t="inlineStr">
        <is>
          <t>LIDER</t>
        </is>
      </c>
      <c r="L15" s="13" t="n">
        <v>6</v>
      </c>
      <c r="M15" s="13" t="n">
        <v>4</v>
      </c>
    </row>
    <row r="16">
      <c r="A16" s="8" t="inlineStr">
        <is>
          <t>INTERNET INTELIGENTE</t>
        </is>
      </c>
      <c r="B16" s="11" t="n">
        <v>0</v>
      </c>
      <c r="C16" s="11" t="n">
        <v>3</v>
      </c>
      <c r="D16" s="11" t="n">
        <v>1</v>
      </c>
      <c r="E16" s="11" t="n">
        <v>2</v>
      </c>
      <c r="F16" s="11" t="n">
        <v>4</v>
      </c>
      <c r="G16" s="11" t="n">
        <v>10</v>
      </c>
      <c r="H16" s="8" t="n">
        <v>0</v>
      </c>
      <c r="I16" s="8" t="n">
        <v>10</v>
      </c>
      <c r="K16" s="13" t="inlineStr">
        <is>
          <t>GICOGE</t>
        </is>
      </c>
      <c r="L16" s="13" t="n">
        <v>8</v>
      </c>
      <c r="M16" s="13" t="n">
        <v>1</v>
      </c>
    </row>
    <row r="17">
      <c r="A17" s="8" t="inlineStr">
        <is>
          <t>GITEM</t>
        </is>
      </c>
      <c r="B17" s="11" t="n">
        <v>0</v>
      </c>
      <c r="C17" s="11" t="n">
        <v>4</v>
      </c>
      <c r="D17" s="11" t="n">
        <v>3</v>
      </c>
      <c r="E17" s="11" t="n">
        <v>1</v>
      </c>
      <c r="F17" s="11" t="n">
        <v>2</v>
      </c>
      <c r="G17" s="11" t="n">
        <v>8</v>
      </c>
      <c r="H17" s="8" t="n">
        <v>2</v>
      </c>
      <c r="I17" s="8" t="n">
        <v>10</v>
      </c>
      <c r="K17" s="13" t="inlineStr">
        <is>
          <t>GIIRA</t>
        </is>
      </c>
      <c r="L17" s="13" t="n">
        <v>8</v>
      </c>
      <c r="M17" s="13" t="n">
        <v>0</v>
      </c>
    </row>
    <row r="18">
      <c r="A18" s="8" t="inlineStr">
        <is>
          <t>LIDER</t>
        </is>
      </c>
      <c r="B18" s="11" t="n">
        <v>0</v>
      </c>
      <c r="C18" s="11" t="n">
        <v>0</v>
      </c>
      <c r="D18" s="11" t="n">
        <v>2</v>
      </c>
      <c r="E18" s="11" t="n">
        <v>1</v>
      </c>
      <c r="F18" s="11" t="n">
        <v>7</v>
      </c>
      <c r="G18" s="11" t="n">
        <v>6</v>
      </c>
      <c r="H18" s="8" t="n">
        <v>4</v>
      </c>
      <c r="I18" s="8" t="n">
        <v>10</v>
      </c>
      <c r="K18" s="13" t="inlineStr">
        <is>
          <t>GRECO</t>
        </is>
      </c>
      <c r="L18" s="13" t="n">
        <v>8</v>
      </c>
      <c r="M18" s="13" t="n">
        <v>0</v>
      </c>
    </row>
    <row r="19">
      <c r="A19" s="8" t="inlineStr">
        <is>
          <t>GICOGE</t>
        </is>
      </c>
      <c r="B19" s="11" t="n">
        <v>1</v>
      </c>
      <c r="C19" s="11" t="n">
        <v>0</v>
      </c>
      <c r="D19" s="11" t="n">
        <v>1</v>
      </c>
      <c r="E19" s="11" t="n">
        <v>3</v>
      </c>
      <c r="F19" s="11" t="n">
        <v>4</v>
      </c>
      <c r="G19" s="11" t="n">
        <v>8</v>
      </c>
      <c r="H19" s="8" t="n">
        <v>1</v>
      </c>
      <c r="I19" s="8" t="n">
        <v>9</v>
      </c>
      <c r="K19" s="13" t="inlineStr">
        <is>
          <t>Multimedia y Animación</t>
        </is>
      </c>
      <c r="L19" s="13" t="n">
        <v>8</v>
      </c>
      <c r="M19" s="13" t="n">
        <v>0</v>
      </c>
    </row>
    <row r="20">
      <c r="A20" s="8" t="inlineStr">
        <is>
          <t>GIIRA</t>
        </is>
      </c>
      <c r="B20" s="11" t="n">
        <v>2</v>
      </c>
      <c r="C20" s="11" t="n">
        <v>0</v>
      </c>
      <c r="D20" s="11" t="n">
        <v>2</v>
      </c>
      <c r="E20" s="11" t="n">
        <v>2</v>
      </c>
      <c r="F20" s="11" t="n">
        <v>2</v>
      </c>
      <c r="G20" s="11" t="n">
        <v>8</v>
      </c>
      <c r="H20" s="8" t="n">
        <v>0</v>
      </c>
      <c r="I20" s="8" t="n">
        <v>8</v>
      </c>
      <c r="K20" s="13" t="inlineStr">
        <is>
          <t>GITUD</t>
        </is>
      </c>
      <c r="L20" s="13" t="n">
        <v>7</v>
      </c>
      <c r="M20" s="13" t="n">
        <v>0</v>
      </c>
    </row>
    <row r="21">
      <c r="A21" s="8" t="inlineStr">
        <is>
          <t>GRECO</t>
        </is>
      </c>
      <c r="B21" s="11" t="n">
        <v>4</v>
      </c>
      <c r="C21" s="11" t="n">
        <v>4</v>
      </c>
      <c r="D21" s="11" t="n">
        <v>0</v>
      </c>
      <c r="E21" s="11" t="n">
        <v>0</v>
      </c>
      <c r="F21" s="11" t="n">
        <v>0</v>
      </c>
      <c r="G21" s="11" t="n">
        <v>8</v>
      </c>
      <c r="H21" s="8" t="n">
        <v>0</v>
      </c>
      <c r="I21" s="8" t="n">
        <v>8</v>
      </c>
    </row>
    <row r="22">
      <c r="A22" s="8" t="inlineStr">
        <is>
          <t>Multimedia Interactiva y Animación Digital</t>
        </is>
      </c>
      <c r="B22" s="11" t="n">
        <v>1</v>
      </c>
      <c r="C22" s="11" t="n">
        <v>3</v>
      </c>
      <c r="D22" s="11" t="n">
        <v>1</v>
      </c>
      <c r="E22" s="11" t="n">
        <v>3</v>
      </c>
      <c r="F22" s="11" t="n">
        <v>0</v>
      </c>
      <c r="G22" s="11" t="n">
        <v>8</v>
      </c>
      <c r="H22" s="8" t="n">
        <v>0</v>
      </c>
      <c r="I22" s="8" t="n">
        <v>8</v>
      </c>
    </row>
    <row r="23">
      <c r="A23" s="8" t="inlineStr">
        <is>
          <t>GITUD</t>
        </is>
      </c>
      <c r="B23" s="11" t="n">
        <v>1</v>
      </c>
      <c r="C23" s="11" t="n">
        <v>1</v>
      </c>
      <c r="D23" s="11" t="n">
        <v>3</v>
      </c>
      <c r="E23" s="11" t="n">
        <v>1</v>
      </c>
      <c r="F23" s="11" t="n">
        <v>1</v>
      </c>
      <c r="G23" s="11" t="n">
        <v>7</v>
      </c>
      <c r="H23" s="8" t="n">
        <v>0</v>
      </c>
      <c r="I23" s="8" t="n">
        <v>7</v>
      </c>
    </row>
    <row r="24">
      <c r="A24" s="8" t="inlineStr">
        <is>
          <t>INTECSE</t>
        </is>
      </c>
      <c r="B24" s="11" t="n">
        <v>3</v>
      </c>
      <c r="C24" s="11" t="n">
        <v>1</v>
      </c>
      <c r="D24" s="11" t="n">
        <v>1</v>
      </c>
      <c r="E24" s="11" t="n">
        <v>1</v>
      </c>
      <c r="F24" s="11" t="n">
        <v>1</v>
      </c>
      <c r="G24" s="11" t="n">
        <v>7</v>
      </c>
      <c r="H24" s="8" t="n">
        <v>0</v>
      </c>
      <c r="I24" s="8" t="n">
        <v>7</v>
      </c>
    </row>
    <row r="25">
      <c r="A25" s="8" t="inlineStr">
        <is>
          <t>LASER</t>
        </is>
      </c>
      <c r="B25" s="11" t="n">
        <v>0</v>
      </c>
      <c r="C25" s="11" t="n">
        <v>0</v>
      </c>
      <c r="D25" s="11" t="n">
        <v>2</v>
      </c>
      <c r="E25" s="11" t="n">
        <v>2</v>
      </c>
      <c r="F25" s="11" t="n">
        <v>2</v>
      </c>
      <c r="G25" s="11" t="n">
        <v>5</v>
      </c>
      <c r="H25" s="8" t="n">
        <v>1</v>
      </c>
      <c r="I25" s="8" t="n">
        <v>6</v>
      </c>
    </row>
    <row r="26">
      <c r="A26" s="8" t="inlineStr">
        <is>
          <t>GESETIC</t>
        </is>
      </c>
      <c r="B26" s="11" t="n">
        <v>1</v>
      </c>
      <c r="C26" s="11" t="n">
        <v>0</v>
      </c>
      <c r="D26" s="11" t="n">
        <v>0</v>
      </c>
      <c r="E26" s="11" t="n">
        <v>0</v>
      </c>
      <c r="F26" s="11" t="n">
        <v>2</v>
      </c>
      <c r="G26" s="11" t="n">
        <v>3</v>
      </c>
      <c r="H26" s="8" t="n">
        <v>0</v>
      </c>
      <c r="I26" s="8" t="n">
        <v>3</v>
      </c>
    </row>
    <row r="27">
      <c r="A27" s="8" t="inlineStr">
        <is>
          <t>ITI</t>
        </is>
      </c>
      <c r="B27" s="11" t="n">
        <v>1</v>
      </c>
      <c r="C27" s="11" t="n">
        <v>1</v>
      </c>
      <c r="D27" s="11" t="n">
        <v>0</v>
      </c>
      <c r="E27" s="11" t="n">
        <v>0</v>
      </c>
      <c r="F27" s="11" t="n">
        <v>1</v>
      </c>
      <c r="G27" s="11" t="n">
        <v>2</v>
      </c>
      <c r="H27" s="8" t="n">
        <v>1</v>
      </c>
      <c r="I27" s="8" t="n">
        <v>3</v>
      </c>
    </row>
    <row r="28">
      <c r="A28" s="8" t="inlineStr">
        <is>
          <t>GICOECOL</t>
        </is>
      </c>
      <c r="B28" s="11" t="n">
        <v>1</v>
      </c>
      <c r="C28" s="11" t="n">
        <v>0</v>
      </c>
      <c r="D28" s="11" t="n">
        <v>0</v>
      </c>
      <c r="E28" s="11" t="n">
        <v>1</v>
      </c>
      <c r="F28" s="11" t="n">
        <v>0</v>
      </c>
      <c r="G28" s="11" t="n">
        <v>2</v>
      </c>
      <c r="H28" s="8" t="n">
        <v>0</v>
      </c>
      <c r="I28" s="8" t="n">
        <v>2</v>
      </c>
    </row>
    <row r="29">
      <c r="A29" s="8" t="inlineStr">
        <is>
          <t>IAFT</t>
        </is>
      </c>
      <c r="B29" s="11" t="n">
        <v>0</v>
      </c>
      <c r="C29" s="11" t="n">
        <v>1</v>
      </c>
      <c r="D29" s="11" t="n">
        <v>0</v>
      </c>
      <c r="E29" s="11" t="n">
        <v>1</v>
      </c>
      <c r="F29" s="11" t="n">
        <v>0</v>
      </c>
      <c r="G29" s="11" t="n">
        <v>2</v>
      </c>
      <c r="H29" s="8" t="n">
        <v>0</v>
      </c>
      <c r="I29" s="8" t="n">
        <v>2</v>
      </c>
    </row>
    <row r="30">
      <c r="A30" s="8" t="inlineStr">
        <is>
          <t>ARMOS</t>
        </is>
      </c>
      <c r="B30" s="11" t="n">
        <v>0</v>
      </c>
      <c r="C30" s="11" t="n">
        <v>1</v>
      </c>
      <c r="D30" s="11" t="n">
        <v>0</v>
      </c>
      <c r="E30" s="11" t="n">
        <v>0</v>
      </c>
      <c r="F30" s="11" t="n">
        <v>1</v>
      </c>
      <c r="G30" s="11" t="n">
        <v>1</v>
      </c>
      <c r="H30" s="8" t="n">
        <v>1</v>
      </c>
      <c r="I30" s="8" t="n">
        <v>2</v>
      </c>
    </row>
    <row r="31">
      <c r="A31" s="8" t="inlineStr">
        <is>
          <t>Bionanotecnología</t>
        </is>
      </c>
      <c r="B31" s="11" t="n">
        <v>0</v>
      </c>
      <c r="C31" s="11" t="n">
        <v>1</v>
      </c>
      <c r="D31" s="11" t="n">
        <v>0</v>
      </c>
      <c r="E31" s="11" t="n">
        <v>0</v>
      </c>
      <c r="F31" s="11" t="n">
        <v>0</v>
      </c>
      <c r="G31" s="11" t="n">
        <v>1</v>
      </c>
      <c r="H31" s="8" t="n">
        <v>0</v>
      </c>
      <c r="I31" s="8" t="n">
        <v>1</v>
      </c>
    </row>
    <row r="32">
      <c r="A32" s="8" t="inlineStr">
        <is>
          <t>CEPMS</t>
        </is>
      </c>
      <c r="B32" s="11" t="n">
        <v>0</v>
      </c>
      <c r="C32" s="11" t="n">
        <v>0</v>
      </c>
      <c r="D32" s="11" t="n">
        <v>0</v>
      </c>
      <c r="E32" s="11" t="n">
        <v>0</v>
      </c>
      <c r="F32" s="11" t="n">
        <v>1</v>
      </c>
      <c r="G32" s="11" t="n">
        <v>1</v>
      </c>
      <c r="H32" s="8" t="n">
        <v>0</v>
      </c>
      <c r="I32" s="8" t="n">
        <v>1</v>
      </c>
    </row>
    <row r="33">
      <c r="A33" s="8" t="inlineStr">
        <is>
          <t>COMPLEX UD</t>
        </is>
      </c>
      <c r="B33" s="11" t="n">
        <v>0</v>
      </c>
      <c r="C33" s="11" t="n">
        <v>1</v>
      </c>
      <c r="D33" s="11" t="n">
        <v>0</v>
      </c>
      <c r="E33" s="11" t="n">
        <v>0</v>
      </c>
      <c r="F33" s="11" t="n">
        <v>0</v>
      </c>
      <c r="G33" s="11" t="n">
        <v>1</v>
      </c>
      <c r="H33" s="8" t="n">
        <v>0</v>
      </c>
      <c r="I33" s="8" t="n">
        <v>1</v>
      </c>
    </row>
    <row r="34">
      <c r="A34" s="8" t="inlineStr">
        <is>
          <t>DIMSI</t>
        </is>
      </c>
      <c r="B34" s="11" t="n">
        <v>0</v>
      </c>
      <c r="C34" s="11" t="n">
        <v>0</v>
      </c>
      <c r="D34" s="11" t="n">
        <v>1</v>
      </c>
      <c r="E34" s="11" t="n">
        <v>0</v>
      </c>
      <c r="F34" s="11" t="n">
        <v>0</v>
      </c>
      <c r="G34" s="11" t="n">
        <v>1</v>
      </c>
      <c r="H34" s="8" t="n">
        <v>0</v>
      </c>
      <c r="I34" s="8" t="n">
        <v>1</v>
      </c>
    </row>
    <row r="35">
      <c r="A35" s="8" t="inlineStr">
        <is>
          <t>LAMIC</t>
        </is>
      </c>
      <c r="B35" s="11" t="n">
        <v>0</v>
      </c>
      <c r="C35" s="11" t="n">
        <v>0</v>
      </c>
      <c r="D35" s="11" t="n">
        <v>1</v>
      </c>
      <c r="E35" s="11" t="n">
        <v>0</v>
      </c>
      <c r="F35" s="11" t="n">
        <v>0</v>
      </c>
      <c r="G35" s="11" t="n">
        <v>1</v>
      </c>
      <c r="H35" s="8" t="n">
        <v>0</v>
      </c>
      <c r="I35" s="8" t="n">
        <v>1</v>
      </c>
    </row>
    <row r="36">
      <c r="A36" s="8" t="inlineStr">
        <is>
          <t>LASER LAMIC</t>
        </is>
      </c>
      <c r="B36" s="11" t="n">
        <v>1</v>
      </c>
      <c r="C36" s="11" t="n">
        <v>0</v>
      </c>
      <c r="D36" s="11" t="n">
        <v>0</v>
      </c>
      <c r="E36" s="11" t="n">
        <v>0</v>
      </c>
      <c r="F36" s="11" t="n">
        <v>0</v>
      </c>
      <c r="G36" s="11" t="n">
        <v>1</v>
      </c>
      <c r="H36" s="8" t="n">
        <v>0</v>
      </c>
      <c r="I36" s="8" t="n">
        <v>1</v>
      </c>
    </row>
    <row r="37">
      <c r="A37" s="8" t="inlineStr">
        <is>
          <t>PROPROBOS</t>
        </is>
      </c>
      <c r="B37" s="11" t="n">
        <v>0</v>
      </c>
      <c r="C37" s="11" t="n">
        <v>0</v>
      </c>
      <c r="D37" s="11" t="n">
        <v>0</v>
      </c>
      <c r="E37" s="11" t="n">
        <v>0</v>
      </c>
      <c r="F37" s="11" t="n">
        <v>1</v>
      </c>
      <c r="G37" s="11" t="n">
        <v>1</v>
      </c>
      <c r="H37" s="8" t="n">
        <v>0</v>
      </c>
      <c r="I37" s="8" t="n">
        <v>1</v>
      </c>
    </row>
    <row r="38" ht="15" customHeight="1">
      <c r="A38" s="8" t="inlineStr">
        <is>
          <t>XUE</t>
        </is>
      </c>
      <c r="B38" s="11" t="n">
        <v>0</v>
      </c>
      <c r="C38" s="11" t="n">
        <v>0</v>
      </c>
      <c r="D38" s="11" t="n">
        <v>1</v>
      </c>
      <c r="E38" s="11" t="n">
        <v>0</v>
      </c>
      <c r="F38" s="11" t="n">
        <v>0</v>
      </c>
      <c r="G38" s="11" t="n">
        <v>1</v>
      </c>
      <c r="H38" s="8" t="n">
        <v>0</v>
      </c>
      <c r="I38" s="8" t="n">
        <v>1</v>
      </c>
    </row>
    <row r="39">
      <c r="A39" t="inlineStr">
        <is>
          <t>Total</t>
        </is>
      </c>
      <c r="B39" t="n">
        <v>32</v>
      </c>
      <c r="C39" t="n">
        <v>27</v>
      </c>
      <c r="D39" t="n">
        <v>25</v>
      </c>
      <c r="E39" t="n">
        <v>25</v>
      </c>
      <c r="F39" t="n">
        <v>39</v>
      </c>
      <c r="G39" t="n">
        <v>133</v>
      </c>
      <c r="H39" t="n">
        <v>15</v>
      </c>
      <c r="I39" t="n">
        <v>148</v>
      </c>
    </row>
    <row r="40">
      <c r="A40" s="32" t="inlineStr">
        <is>
          <t>Lectura sugerida para la visita: 2026 concentra el mayor número de casos (39), seguido de 2022 (32) y 2023 (27). NIDE registra la mayor participación total (26 casos). La cifra de 2026 incluye trabajos sustentados y casos programados, radicados o avalados, y no representa el cierre anual.</t>
        </is>
      </c>
    </row>
  </sheetData>
  <mergeCells count="1">
    <mergeCell ref="A1:H2"/>
  </mergeCells>
  <conditionalFormatting sqref="B14:F37">
    <cfRule type="colorScale" priority="2">
      <colorScale>
        <cfvo type="min"/>
        <cfvo type="percentile" val="50"/>
        <cfvo type="max"/>
        <color rgb="FFFFFFFF"/>
        <color rgb="FFF4D7A1"/>
        <color rgb="FF8C1D40"/>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1F4E78"/>
    <outlinePr summaryBelow="1" summaryRight="1"/>
    <pageSetUpPr/>
  </sheetPr>
  <dimension ref="A1:K149"/>
  <sheetViews>
    <sheetView showGridLines="0" workbookViewId="0">
      <pane ySplit="1" topLeftCell="A2" activePane="bottomLeft" state="frozen"/>
      <selection pane="bottomLeft" activeCell="B2" sqref="B2"/>
    </sheetView>
  </sheetViews>
  <sheetFormatPr baseColWidth="10" defaultColWidth="9" defaultRowHeight="14.25"/>
  <cols>
    <col width="7" customWidth="1" min="1" max="1"/>
    <col width="17" customWidth="1" min="2" max="2"/>
    <col width="27" customWidth="1" min="3" max="3"/>
    <col width="58" customWidth="1" min="4" max="4"/>
    <col width="9" customWidth="1" min="5" max="5"/>
    <col width="18" customWidth="1" min="6" max="6"/>
    <col width="28" customWidth="1" min="7" max="9"/>
    <col width="42" customWidth="1" min="10" max="10"/>
    <col width="48" customWidth="1" min="11" max="11"/>
    <col width="31" customWidth="1" min="12" max="12"/>
    <col width="48" customWidth="1" min="13" max="13"/>
  </cols>
  <sheetData>
    <row r="1">
      <c r="A1" s="1" t="inlineStr">
        <is>
          <t>ID</t>
        </is>
      </c>
      <c r="B1" s="1" t="inlineStr">
        <is>
          <t>Grupo de investigación</t>
        </is>
      </c>
      <c r="C1" s="1" t="inlineStr">
        <is>
          <t>Título del trabajo de grado</t>
        </is>
      </c>
      <c r="D1" s="1" t="inlineStr">
        <is>
          <t>Año</t>
        </is>
      </c>
      <c r="E1" s="1" t="inlineStr">
        <is>
          <t>Modalidad</t>
        </is>
      </c>
      <c r="F1" s="1" t="inlineStr">
        <is>
          <t>Director(es)</t>
        </is>
      </c>
      <c r="G1" s="1" t="inlineStr">
        <is>
          <t>Estudiante(s)</t>
        </is>
      </c>
      <c r="H1" s="1" t="inlineStr">
        <is>
          <t>Fecha / soporte de finalización</t>
        </is>
      </c>
      <c r="I1" s="1" t="inlineStr">
        <is>
          <t>Enlace RIUD</t>
        </is>
      </c>
      <c r="J1" s="1" t="inlineStr">
        <is>
          <t>Estado de sustentación</t>
        </is>
      </c>
      <c r="K1" s="1" t="inlineStr">
        <is>
          <t>Observación de cruce</t>
        </is>
      </c>
    </row>
    <row r="2" ht="25.5" customHeight="1">
      <c r="A2" s="2" t="n">
        <v>1</v>
      </c>
      <c r="B2" s="3" t="inlineStr">
        <is>
          <t>Multimedia Interactiva y Animación Digital</t>
        </is>
      </c>
      <c r="C2" s="3" t="inlineStr">
        <is>
          <t>Modelo de learning analytics basado en métricas emocionales para aplicaciones móviles de aprendizaje en segunda lengua</t>
        </is>
      </c>
      <c r="D2" s="4" t="n">
        <v>2022</v>
      </c>
      <c r="E2" s="3" t="inlineStr">
        <is>
          <t>Investigación</t>
        </is>
      </c>
      <c r="F2" s="3" t="inlineStr">
        <is>
          <t>Paulo Alonso Gaona García</t>
        </is>
      </c>
      <c r="G2" s="3" t="inlineStr">
        <is>
          <t>Andres Ovidio Restrepo Rodriguez</t>
        </is>
      </c>
      <c r="H2" s="3" t="inlineStr">
        <is>
          <t>2022-08-12</t>
        </is>
      </c>
      <c r="I2" s="3" t="n"/>
      <c r="J2" s="3" t="inlineStr">
        <is>
          <t>Sustentado</t>
        </is>
      </c>
      <c r="K2" s="3" t="n"/>
    </row>
    <row r="3" ht="25.5" customHeight="1">
      <c r="A3" s="2" t="n">
        <v>2</v>
      </c>
      <c r="B3" s="3" t="inlineStr">
        <is>
          <t>Multimedia Interactiva y Animación Digital</t>
        </is>
      </c>
      <c r="C3" s="3" t="inlineStr">
        <is>
          <t>Diseño de una plataforma para la ejecución de modelos de predicción sobre el mercado de divisas mediante machine learning</t>
        </is>
      </c>
      <c r="D3" s="4" t="n">
        <v>2023</v>
      </c>
      <c r="E3" s="3" t="inlineStr">
        <is>
          <t>Profundización</t>
        </is>
      </c>
      <c r="F3" s="3" t="inlineStr">
        <is>
          <t>Paulo Alonso Gaona García</t>
        </is>
      </c>
      <c r="G3" s="3" t="inlineStr">
        <is>
          <t>Kevin Steven Gordillo Orjuela</t>
        </is>
      </c>
      <c r="H3" s="3" t="inlineStr">
        <is>
          <t>2023-06-06</t>
        </is>
      </c>
      <c r="I3" s="3" t="n"/>
      <c r="J3" s="3" t="inlineStr">
        <is>
          <t>Sustentado</t>
        </is>
      </c>
      <c r="K3" s="3" t="n"/>
    </row>
    <row r="4" ht="25.5" customHeight="1">
      <c r="A4" s="2" t="n">
        <v>3</v>
      </c>
      <c r="B4" s="3" t="inlineStr">
        <is>
          <t>Multimedia Interactiva y Animación Digital</t>
        </is>
      </c>
      <c r="C4" s="3" t="inlineStr">
        <is>
          <t>Modelo de sistemas multi-agentes para la consulta basada en niveles de confianza sobre recursos abiertos vinculados mediante Linked Open Data</t>
        </is>
      </c>
      <c r="D4" s="4" t="n">
        <v>2023</v>
      </c>
      <c r="E4" s="3" t="inlineStr">
        <is>
          <t>Investigación</t>
        </is>
      </c>
      <c r="F4" s="3" t="inlineStr">
        <is>
          <t>Paulo Alonso Gaona García</t>
        </is>
      </c>
      <c r="G4" s="3" t="inlineStr">
        <is>
          <t>Camilo Alejandro Valencia Martinez</t>
        </is>
      </c>
      <c r="H4" s="3" t="inlineStr">
        <is>
          <t>2023-06-06</t>
        </is>
      </c>
      <c r="I4" s="3" t="n"/>
      <c r="J4" s="3" t="inlineStr">
        <is>
          <t>Sustentado</t>
        </is>
      </c>
      <c r="K4" s="3" t="n"/>
    </row>
    <row r="5" ht="51" customHeight="1">
      <c r="A5" s="2" t="n">
        <v>4</v>
      </c>
      <c r="B5" s="3" t="inlineStr">
        <is>
          <t>Multimedia Interactiva y Animación Digital</t>
        </is>
      </c>
      <c r="C5" s="3" t="inlineStr">
        <is>
          <t>Modelo de evaluación crediticio basado en principios de un ecosistema digital bancario mediante estrategias de Business Intelligence y mecanismos de reputación en el sector de industria de turismo de las PYMES colombianas</t>
        </is>
      </c>
      <c r="D5" s="4" t="n">
        <v>2024</v>
      </c>
      <c r="E5" s="3" t="n"/>
      <c r="F5" s="3" t="inlineStr">
        <is>
          <t>Paulo Alonso Gaona García</t>
        </is>
      </c>
      <c r="G5" s="3" t="inlineStr">
        <is>
          <t>William Stiven Garces Rodriguez</t>
        </is>
      </c>
      <c r="H5" s="3" t="n"/>
      <c r="I5" s="3" t="n"/>
      <c r="J5" s="3" t="inlineStr">
        <is>
          <t>Sustentado</t>
        </is>
      </c>
      <c r="K5" s="3" t="n"/>
    </row>
    <row r="6" ht="25.5" customHeight="1">
      <c r="A6" s="2" t="n">
        <v>5</v>
      </c>
      <c r="B6" s="3" t="inlineStr">
        <is>
          <t>Multimedia Interactiva y Animación Digital</t>
        </is>
      </c>
      <c r="C6" s="3" t="inlineStr">
        <is>
          <t>Modelo para la evaluación de la calidad intrínseca y dinámica de los datos abiertos sector salud en Bogotá D.C. basado en Machine Learning</t>
        </is>
      </c>
      <c r="D6" s="4" t="n">
        <v>2025</v>
      </c>
      <c r="E6" s="3" t="inlineStr">
        <is>
          <t>Profundización</t>
        </is>
      </c>
      <c r="F6" s="3" t="inlineStr">
        <is>
          <t>Paulo Alonso Gaona García</t>
        </is>
      </c>
      <c r="G6" s="3" t="inlineStr">
        <is>
          <t>Alvaro Varon Capera</t>
        </is>
      </c>
      <c r="H6" s="3" t="inlineStr">
        <is>
          <t>2025-02-28</t>
        </is>
      </c>
      <c r="I6" s="3" t="n"/>
      <c r="J6" s="3" t="inlineStr">
        <is>
          <t>Sustentado</t>
        </is>
      </c>
      <c r="K6" s="3" t="n"/>
    </row>
    <row r="7">
      <c r="A7" s="2" t="n">
        <v>6</v>
      </c>
      <c r="B7" s="3" t="inlineStr">
        <is>
          <t>GIIRA</t>
        </is>
      </c>
      <c r="C7" s="3" t="inlineStr">
        <is>
          <t>Modelo de clasificación de imágenes basado en Multiview Learning</t>
        </is>
      </c>
      <c r="D7" s="4" t="n">
        <v>2025</v>
      </c>
      <c r="E7" s="3" t="n"/>
      <c r="F7" s="3" t="inlineStr">
        <is>
          <t>Nancy Yaneth Gelvez Garcia</t>
        </is>
      </c>
      <c r="G7" s="3" t="inlineStr">
        <is>
          <t>Kevin Camilo Diaz Monje</t>
        </is>
      </c>
      <c r="H7" s="3" t="n"/>
      <c r="I7" s="3" t="n"/>
      <c r="J7" s="3" t="inlineStr">
        <is>
          <t>Sustentado</t>
        </is>
      </c>
      <c r="K7" s="3" t="n"/>
    </row>
    <row r="8" ht="25.5" customHeight="1">
      <c r="A8" s="2" t="n">
        <v>7</v>
      </c>
      <c r="B8" s="3" t="inlineStr">
        <is>
          <t>Multimedia Interactiva y Animación Digital</t>
        </is>
      </c>
      <c r="C8" s="3" t="inlineStr">
        <is>
          <t>Diseño de un metamodelo de  software para el desarrollo de  aplicaciones inmersivas</t>
        </is>
      </c>
      <c r="D8" s="4" t="n">
        <v>2025</v>
      </c>
      <c r="E8" s="3" t="inlineStr">
        <is>
          <t>Investigación</t>
        </is>
      </c>
      <c r="F8" s="3" t="inlineStr">
        <is>
          <t>Nancy Yaneth Gelvez Garcia</t>
        </is>
      </c>
      <c r="G8" s="3" t="inlineStr">
        <is>
          <t>Andres Felipe  Sanchez Cruz</t>
        </is>
      </c>
      <c r="H8" s="3" t="inlineStr">
        <is>
          <t>2025-04-23</t>
        </is>
      </c>
      <c r="I8" s="3" t="n"/>
      <c r="J8" s="3" t="inlineStr">
        <is>
          <t>Sustentado</t>
        </is>
      </c>
      <c r="K8" s="3" t="n"/>
    </row>
    <row r="9" ht="38.25" customHeight="1">
      <c r="A9" s="2" t="n">
        <v>8</v>
      </c>
      <c r="B9" s="3" t="inlineStr">
        <is>
          <t>GIIRA</t>
        </is>
      </c>
      <c r="C9" s="3" t="inlineStr">
        <is>
          <t>Mejoramiento de la descripción de recursos educativos abiertos, a partir de técnicas basadas en inteligencia artificial, machine learning y minería de datos</t>
        </is>
      </c>
      <c r="D9" s="4" t="n">
        <v>2025</v>
      </c>
      <c r="E9" s="3" t="inlineStr">
        <is>
          <t>Investigación</t>
        </is>
      </c>
      <c r="F9" s="3" t="inlineStr">
        <is>
          <t>John Francined Herrera Cubides</t>
        </is>
      </c>
      <c r="G9" s="3" t="inlineStr">
        <is>
          <t>Juan Guillermo Cotta Garcia</t>
        </is>
      </c>
      <c r="H9" s="3" t="inlineStr">
        <is>
          <t>2025-08-22</t>
        </is>
      </c>
      <c r="I9" s="3" t="n"/>
      <c r="J9" s="3" t="inlineStr">
        <is>
          <t>Sustentado</t>
        </is>
      </c>
      <c r="K9" s="3" t="n"/>
    </row>
    <row r="10" ht="38.25" customHeight="1">
      <c r="A10" s="2" t="n">
        <v>9</v>
      </c>
      <c r="B10" s="3" t="inlineStr">
        <is>
          <t>Multimedia Interactiva y Animación Digital</t>
        </is>
      </c>
      <c r="C10" s="3" t="inlineStr">
        <is>
          <t>Diseño de modelo arquitectónico asíncrono para la implementación de servicios de computación sin servidor en la infraestructura de nube privada de IFX NETWORKS.</t>
        </is>
      </c>
      <c r="D10" s="4" t="n">
        <v>2025</v>
      </c>
      <c r="E10" s="3" t="inlineStr">
        <is>
          <t>Profundización</t>
        </is>
      </c>
      <c r="F10" s="3" t="inlineStr">
        <is>
          <t>Paulo Alonso Gaona García</t>
        </is>
      </c>
      <c r="G10" s="3" t="inlineStr">
        <is>
          <t>Breitner Enrique González Angarita</t>
        </is>
      </c>
      <c r="H10" s="3" t="inlineStr">
        <is>
          <t>Acta 010-2025</t>
        </is>
      </c>
      <c r="I10" s="3" t="n"/>
      <c r="J10" s="3" t="inlineStr">
        <is>
          <t>Sustentado</t>
        </is>
      </c>
      <c r="K10" s="3" t="n"/>
    </row>
    <row r="11" ht="38.25" customHeight="1">
      <c r="A11" s="2" t="n">
        <v>10</v>
      </c>
      <c r="B11" s="3" t="inlineStr">
        <is>
          <t>GIIRA</t>
        </is>
      </c>
      <c r="C11" s="3" t="inlineStr">
        <is>
          <t>MODELO PREDICTIVO PARA LA TOMA DE DECISIONES SOBRE EL CONSUMO DE AYUDAS ERGOGÉNICAS NUTRICIONALES Y FARMACOLÓGICAS EN POBLACIÓN FÍSICAMENTE ACTIVA</t>
        </is>
      </c>
      <c r="D11" s="4" t="n">
        <v>2026</v>
      </c>
      <c r="E11" s="3" t="inlineStr">
        <is>
          <t>Investigación</t>
        </is>
      </c>
      <c r="F11" s="3" t="inlineStr">
        <is>
          <t>Paulo Alonso Gaona
Codirector: Carlos Enrique Montenegro</t>
        </is>
      </c>
      <c r="G11" s="3" t="inlineStr">
        <is>
          <t>Diego Alexander Bonilla Ocampo</t>
        </is>
      </c>
      <c r="H11" s="3" t="inlineStr">
        <is>
          <t>2026-06-10 | Acta 018-2026</t>
        </is>
      </c>
      <c r="I11" s="3" t="n"/>
      <c r="J11" s="3" t="inlineStr">
        <is>
          <t>Sustentado</t>
        </is>
      </c>
      <c r="K11" s="3" t="n"/>
    </row>
    <row r="12" ht="25.5" customHeight="1">
      <c r="A12" s="2" t="n">
        <v>11</v>
      </c>
      <c r="B12" s="3" t="inlineStr">
        <is>
          <t>GIIRA</t>
        </is>
      </c>
      <c r="C12" s="3" t="inlineStr">
        <is>
          <t>Diseño de una aplicación móvil para el traslado prehospitalario de víctimas de accidentes de tránsito en la ciudad de neiva</t>
        </is>
      </c>
      <c r="D12" s="4" t="n">
        <v>2026</v>
      </c>
      <c r="E12" s="3" t="n"/>
      <c r="F12" s="3" t="inlineStr">
        <is>
          <t>Paulo Alonso Gaona García</t>
        </is>
      </c>
      <c r="G12" s="3" t="inlineStr">
        <is>
          <t>Juan Gabriel Carvajal Vega</t>
        </is>
      </c>
      <c r="H12" s="3" t="n"/>
      <c r="I12" s="3" t="n"/>
      <c r="J12" s="3" t="inlineStr">
        <is>
          <t>Sustentado</t>
        </is>
      </c>
      <c r="K12" s="3" t="n"/>
    </row>
    <row r="13" ht="25.5" customHeight="1">
      <c r="A13" s="2" t="n">
        <v>12</v>
      </c>
      <c r="B13" s="3" t="inlineStr">
        <is>
          <t>GICOGE</t>
        </is>
      </c>
      <c r="C13" s="3" t="inlineStr">
        <is>
          <t>Aplicación de machine learning para la orientación en la toma de decisiones</t>
        </is>
      </c>
      <c r="D13" s="4" t="n">
        <v>2022</v>
      </c>
      <c r="E13" s="3" t="n"/>
      <c r="F13" s="3" t="inlineStr">
        <is>
          <t>Nelson Enrique Vera Parra</t>
        </is>
      </c>
      <c r="G13" s="3" t="inlineStr">
        <is>
          <t>Nancy Johana Matta Monroy</t>
        </is>
      </c>
      <c r="H13" s="3" t="n"/>
      <c r="I13" s="3" t="n"/>
      <c r="J13" s="3" t="inlineStr">
        <is>
          <t>Sustentado</t>
        </is>
      </c>
      <c r="K13" s="3" t="n"/>
    </row>
    <row r="14" ht="38.25" customHeight="1">
      <c r="A14" s="2" t="n">
        <v>13</v>
      </c>
      <c r="B14" s="3" t="inlineStr">
        <is>
          <t>GICOGE</t>
        </is>
      </c>
      <c r="C14" s="3" t="inlineStr">
        <is>
          <t>MEDICIÓN DE LA DIFERENCIA DE FASE DE LA SEÑAL DE SALIDA DE OSCILADORES ATÓMICOS MEDIANTE COMPARACIÓN SATELITAL.</t>
        </is>
      </c>
      <c r="D14" s="4" t="n">
        <v>2026</v>
      </c>
      <c r="E14" s="3" t="inlineStr">
        <is>
          <t>Profundización</t>
        </is>
      </c>
      <c r="F14" s="3" t="inlineStr">
        <is>
          <t>Nelson Enrique Vera
Codirector: Nelson Bahamón Córtes</t>
        </is>
      </c>
      <c r="G14" s="3" t="inlineStr">
        <is>
          <t>Claudia Fernanda Rodríguez Rodríguez</t>
        </is>
      </c>
      <c r="H14" s="3" t="inlineStr">
        <is>
          <t>2026-06-11 | Acta 020-2026</t>
        </is>
      </c>
      <c r="I14" s="3" t="n"/>
      <c r="J14" s="3" t="inlineStr">
        <is>
          <t>Sustentado</t>
        </is>
      </c>
      <c r="K14" s="3" t="inlineStr">
        <is>
          <t>Año actualizado de 2024 a 2026 según fecha efectiva de sustentación. Título actualizado según programación de sustentaciones.</t>
        </is>
      </c>
    </row>
    <row r="15" ht="25.5" customHeight="1">
      <c r="A15" s="2" t="n">
        <v>14</v>
      </c>
      <c r="B15" s="3" t="inlineStr">
        <is>
          <t>GICOGE</t>
        </is>
      </c>
      <c r="C15" s="3" t="inlineStr">
        <is>
          <t>DINÁMICA ENERGÉTICA DEL MALWARE: AUTOORGANIZACIÓN MORFOLÓGICA DE SU IDENTIDAD COMPORTAMENTAL</t>
        </is>
      </c>
      <c r="D15" s="4" t="n">
        <v>2026</v>
      </c>
      <c r="E15" s="3" t="inlineStr">
        <is>
          <t>Investigación</t>
        </is>
      </c>
      <c r="F15" s="3" t="inlineStr">
        <is>
          <t>Nelson Enrique Vera</t>
        </is>
      </c>
      <c r="G15" s="3" t="inlineStr">
        <is>
          <t>Andrés David Montenegro Alvarado</t>
        </is>
      </c>
      <c r="H15" s="3" t="inlineStr">
        <is>
          <t>Programada: 2026-07-21</t>
        </is>
      </c>
      <c r="I15" s="3" t="n"/>
      <c r="J15" s="3" t="inlineStr">
        <is>
          <t>Programado o radicado, no sustentado</t>
        </is>
      </c>
      <c r="K15" s="3" t="inlineStr">
        <is>
          <t>Caso programado o radicado sin sustentación efectiva; el año 2026 corresponde a la programación.</t>
        </is>
      </c>
    </row>
    <row r="16" ht="25.5" customHeight="1">
      <c r="A16" s="2" t="n">
        <v>15</v>
      </c>
      <c r="B16" s="3" t="inlineStr">
        <is>
          <t>GICOGE</t>
        </is>
      </c>
      <c r="C16" s="3" t="inlineStr">
        <is>
          <t>Modelo de ChatBot basado en IA para el soporte en Normatividad de la Vicerectoria de Investigación, creación e innovación</t>
        </is>
      </c>
      <c r="D16" s="4" t="n">
        <v>2025</v>
      </c>
      <c r="E16" s="3" t="n"/>
      <c r="F16" s="3" t="inlineStr">
        <is>
          <t>Nelson Enrique Vera Parra</t>
        </is>
      </c>
      <c r="G16" s="3" t="inlineStr">
        <is>
          <t>Maria Clara Quintero Quintana</t>
        </is>
      </c>
      <c r="H16" s="3" t="n"/>
      <c r="I16" s="3" t="n"/>
      <c r="J16" s="3" t="inlineStr">
        <is>
          <t>Sustentado</t>
        </is>
      </c>
      <c r="K16" s="3" t="n"/>
    </row>
    <row r="17" ht="38.25" customHeight="1">
      <c r="A17" s="2" t="n">
        <v>16</v>
      </c>
      <c r="B17" s="3" t="inlineStr">
        <is>
          <t>GICOGE</t>
        </is>
      </c>
      <c r="C17" s="3" t="inlineStr">
        <is>
          <t>DESARROLLO DE UNA METODOLOGÍA ÁGIL PARA LA GESTIÓN DE PROYECTOS DE SOFTWARE VINCULANDO LA GESTIÓN DEL CONOCIMIENTO Y LOS ESTÁNDARES PMI.</t>
        </is>
      </c>
      <c r="D17" s="4" t="n">
        <v>2026</v>
      </c>
      <c r="E17" s="3" t="inlineStr">
        <is>
          <t>Investigación</t>
        </is>
      </c>
      <c r="F17" s="3" t="inlineStr">
        <is>
          <t>Nelson Enrique Vera Parra</t>
        </is>
      </c>
      <c r="G17" s="3" t="inlineStr">
        <is>
          <t>Diego Andres Moncada Vega</t>
        </is>
      </c>
      <c r="H17" s="3" t="inlineStr">
        <is>
          <t>2026-06-16 | Acta 022-2026</t>
        </is>
      </c>
      <c r="I17" s="3" t="n"/>
      <c r="J17" s="3" t="inlineStr">
        <is>
          <t>Sustentado</t>
        </is>
      </c>
      <c r="K17" s="3" t="inlineStr">
        <is>
          <t>Año actualizado de 2025 a 2026 según fecha efectiva de sustentación.</t>
        </is>
      </c>
    </row>
    <row r="18" ht="25.5" customHeight="1">
      <c r="A18" s="2" t="n">
        <v>17</v>
      </c>
      <c r="B18" s="3" t="inlineStr">
        <is>
          <t>GICOGE</t>
        </is>
      </c>
      <c r="C18" s="3" t="inlineStr">
        <is>
          <t>Metodología basada en IA para la migración de código legado: Se tor Bancario</t>
        </is>
      </c>
      <c r="D18" s="4" t="n">
        <v>2025</v>
      </c>
      <c r="E18" s="3" t="n"/>
      <c r="F18" s="3" t="inlineStr">
        <is>
          <t>Nelson Enrique Vera Parra</t>
        </is>
      </c>
      <c r="G18" s="3" t="inlineStr">
        <is>
          <t>José Antonio Silva Rojas</t>
        </is>
      </c>
      <c r="H18" s="3" t="n"/>
      <c r="I18" s="3" t="n"/>
      <c r="J18" s="3" t="inlineStr">
        <is>
          <t>Sustentado</t>
        </is>
      </c>
      <c r="K18" s="3" t="n"/>
    </row>
    <row r="19" ht="25.5" customHeight="1">
      <c r="A19" s="2" t="n">
        <v>18</v>
      </c>
      <c r="B19" s="3" t="inlineStr">
        <is>
          <t>GICOGE</t>
        </is>
      </c>
      <c r="C19" s="3" t="inlineStr">
        <is>
          <t>Detección temprana de anomalías operacionales en corredores BRT mediante divergencia espacio-temporal en gemelos digitales</t>
        </is>
      </c>
      <c r="D19" s="4" t="n">
        <v>2026</v>
      </c>
      <c r="E19" s="3" t="n"/>
      <c r="F19" s="3" t="inlineStr">
        <is>
          <t>Nelson Enrique Vera Parra</t>
        </is>
      </c>
      <c r="G19" s="3" t="inlineStr">
        <is>
          <t>Carlos Stiven Mora Hoyos</t>
        </is>
      </c>
      <c r="H19" s="3" t="n"/>
      <c r="I19" s="3" t="n"/>
      <c r="J19" s="3" t="inlineStr">
        <is>
          <t>Sustentado</t>
        </is>
      </c>
      <c r="K19" s="3" t="n"/>
    </row>
    <row r="20" ht="25.5" customHeight="1">
      <c r="A20" s="2" t="n">
        <v>19</v>
      </c>
      <c r="B20" s="3" t="inlineStr">
        <is>
          <t>NIDE</t>
        </is>
      </c>
      <c r="C20" s="3" t="inlineStr">
        <is>
          <t>Modelo Cox Log-Gaussiano de los Eventos Sísmicos en Colombia Utilizando un Enfoque Bayesiano Alimentado de una Red Neuronal Artificial</t>
        </is>
      </c>
      <c r="D20" s="4" t="n">
        <v>2022</v>
      </c>
      <c r="E20" s="3" t="n"/>
      <c r="F20" s="3" t="inlineStr">
        <is>
          <t>Carlos Eduardo Melo Martinez</t>
        </is>
      </c>
      <c r="G20" s="3" t="n"/>
      <c r="H20" s="3" t="n"/>
      <c r="I20" s="3" t="n"/>
      <c r="J20" s="3" t="inlineStr">
        <is>
          <t>Sustentado</t>
        </is>
      </c>
      <c r="K20" s="3" t="n"/>
    </row>
    <row r="21" ht="25.5" customHeight="1">
      <c r="A21" s="2" t="n">
        <v>20</v>
      </c>
      <c r="B21" s="3" t="inlineStr">
        <is>
          <t>NIDE</t>
        </is>
      </c>
      <c r="C21" s="3" t="inlineStr">
        <is>
          <t>Simulador de un simulador de datos de radar metereologico de polarizacion dual para zonas ecuatoriales</t>
        </is>
      </c>
      <c r="D21" s="4" t="n">
        <v>2022</v>
      </c>
      <c r="E21" s="3" t="inlineStr">
        <is>
          <t>Profundización</t>
        </is>
      </c>
      <c r="F21" s="3" t="inlineStr">
        <is>
          <t>Ernesto Gomez Vargas, Lydia Marleny Prieto Leon</t>
        </is>
      </c>
      <c r="G21" s="3" t="inlineStr">
        <is>
          <t>Gustavo Alejandro Robayo Mendez</t>
        </is>
      </c>
      <c r="H21" s="3" t="inlineStr">
        <is>
          <t>2022-07-13</t>
        </is>
      </c>
      <c r="I21" s="3" t="n"/>
      <c r="J21" s="3" t="inlineStr">
        <is>
          <t>Sustentado</t>
        </is>
      </c>
      <c r="K21" s="3" t="n"/>
    </row>
    <row r="22" ht="25.5" customHeight="1">
      <c r="A22" s="2" t="n">
        <v>21</v>
      </c>
      <c r="B22" s="3" t="inlineStr">
        <is>
          <t>NIDE</t>
        </is>
      </c>
      <c r="C22" s="3" t="inlineStr">
        <is>
          <t>Un modelo de regresión logística para el estudio de la relocalización industrial en Colombia del periodo 2005 - 2015</t>
        </is>
      </c>
      <c r="D22" s="4" t="n">
        <v>2023</v>
      </c>
      <c r="E22" s="3" t="n"/>
      <c r="F22" s="3" t="inlineStr">
        <is>
          <t>Hector Javier Fuentes Lopez</t>
        </is>
      </c>
      <c r="G22" s="3" t="inlineStr">
        <is>
          <t>Andres David Mesa Ospina</t>
        </is>
      </c>
      <c r="H22" s="3" t="n"/>
      <c r="I22" s="3" t="n"/>
      <c r="J22" s="3" t="inlineStr">
        <is>
          <t>Sustentado</t>
        </is>
      </c>
      <c r="K22" s="3" t="n"/>
    </row>
    <row r="23" ht="25.5" customHeight="1">
      <c r="A23" s="2" t="n">
        <v>22</v>
      </c>
      <c r="B23" s="3" t="inlineStr">
        <is>
          <t>NIDE</t>
        </is>
      </c>
      <c r="C23" s="3" t="inlineStr">
        <is>
          <t>Modelo para la determinación de Isoglosas y clasificación dialectal a partir de datos del tomo III del Atlas Lingüístico Etnográfico De Colombia</t>
        </is>
      </c>
      <c r="D23" s="4" t="n">
        <v>2022</v>
      </c>
      <c r="E23" s="3" t="inlineStr">
        <is>
          <t>Investigación</t>
        </is>
      </c>
      <c r="F23" s="3" t="inlineStr">
        <is>
          <t>Luz Angela Rocha Salamanca</t>
        </is>
      </c>
      <c r="G23" s="3" t="inlineStr">
        <is>
          <t>Javier Orlando Fernández Campos</t>
        </is>
      </c>
      <c r="H23" s="3" t="inlineStr">
        <is>
          <t>2022-04-22</t>
        </is>
      </c>
      <c r="I23" s="3" t="n"/>
      <c r="J23" s="3" t="inlineStr">
        <is>
          <t>Sustentado</t>
        </is>
      </c>
      <c r="K23" s="3" t="n"/>
    </row>
    <row r="24" ht="38.25" customHeight="1">
      <c r="A24" s="2" t="n">
        <v>23</v>
      </c>
      <c r="B24" s="3" t="inlineStr">
        <is>
          <t>NIDE</t>
        </is>
      </c>
      <c r="C24" s="3" t="inlineStr">
        <is>
          <t>Análisis polarimétrico a través de "sar polarimetric target analysis" como apoyo para obtener coberturas de la tierra con la metodología corine land cover</t>
        </is>
      </c>
      <c r="D24" s="4" t="n">
        <v>2022</v>
      </c>
      <c r="E24" s="3" t="n"/>
      <c r="F24" s="3" t="inlineStr">
        <is>
          <t>Jose Luis Herrera Escorcia</t>
        </is>
      </c>
      <c r="G24" s="3" t="inlineStr">
        <is>
          <t>Juan Carlos Parra Garzon</t>
        </is>
      </c>
      <c r="H24" s="3" t="n"/>
      <c r="I24" s="3" t="n"/>
      <c r="J24" s="3" t="inlineStr">
        <is>
          <t>Sustentado</t>
        </is>
      </c>
      <c r="K24" s="3" t="n"/>
    </row>
    <row r="25" ht="38.25" customHeight="1">
      <c r="A25" s="2" t="n">
        <v>24</v>
      </c>
      <c r="B25" s="3" t="inlineStr">
        <is>
          <t>NIDE</t>
        </is>
      </c>
      <c r="C25" s="3" t="inlineStr">
        <is>
          <t>Construcción del modelo de calidad para la clasificación del uso del suelo en el ordenamiento territorial enmarcado en la infraestructura de datos espaciales para la administración de tierras</t>
        </is>
      </c>
      <c r="D25" s="4" t="n">
        <v>2022</v>
      </c>
      <c r="E25" s="3" t="n"/>
      <c r="F25" s="3" t="inlineStr">
        <is>
          <t>Luz Angela Rocha Salamanca, Moises German Poyatos Benadero</t>
        </is>
      </c>
      <c r="G25" s="3" t="inlineStr">
        <is>
          <t>Laura Melissa Manrique Chacon</t>
        </is>
      </c>
      <c r="H25" s="3" t="n"/>
      <c r="I25" s="3" t="n"/>
      <c r="J25" s="3" t="inlineStr">
        <is>
          <t>Sustentado</t>
        </is>
      </c>
      <c r="K25" s="3" t="n"/>
    </row>
    <row r="26" ht="25.5" customHeight="1">
      <c r="A26" s="2" t="n">
        <v>25</v>
      </c>
      <c r="B26" s="3" t="inlineStr">
        <is>
          <t>NIDE</t>
        </is>
      </c>
      <c r="C26" s="3" t="inlineStr">
        <is>
          <t>Modelo de una infraestructura de posicionamiento como soporte a la construcción de una Sociedad Espacialmente Habilitada en Bogotá.</t>
        </is>
      </c>
      <c r="D26" s="4" t="n">
        <v>2024</v>
      </c>
      <c r="E26" s="3" t="n"/>
      <c r="F26" s="3" t="inlineStr">
        <is>
          <t>Luz Angela Rocha Salamanca</t>
        </is>
      </c>
      <c r="G26" s="3" t="inlineStr">
        <is>
          <t>Robert Andres Pulido Arias</t>
        </is>
      </c>
      <c r="H26" s="3" t="n"/>
      <c r="I26" s="3" t="n"/>
      <c r="J26" s="3" t="inlineStr">
        <is>
          <t>Sustentado</t>
        </is>
      </c>
      <c r="K26" s="3" t="n"/>
    </row>
    <row r="27" ht="25.5" customHeight="1">
      <c r="A27" s="2" t="n">
        <v>26</v>
      </c>
      <c r="B27" s="3" t="inlineStr">
        <is>
          <t>NIDE</t>
        </is>
      </c>
      <c r="C27" s="3" t="inlineStr">
        <is>
          <t>Modelo para la evaluación de la calidad de agua utilizando imágenes de satélite, a partir de las concentraciones fisicoquímicas</t>
        </is>
      </c>
      <c r="D27" s="4" t="n">
        <v>2022</v>
      </c>
      <c r="E27" s="3" t="n"/>
      <c r="F27" s="3" t="inlineStr">
        <is>
          <t>Luz Angela Rocha Salamanca</t>
        </is>
      </c>
      <c r="G27" s="3" t="inlineStr">
        <is>
          <t>Luis Manuel Guerrero Buelvas</t>
        </is>
      </c>
      <c r="H27" s="3" t="n"/>
      <c r="I27" s="3" t="n"/>
      <c r="J27" s="3" t="inlineStr">
        <is>
          <t>Sustentado</t>
        </is>
      </c>
      <c r="K27" s="3" t="n"/>
    </row>
    <row r="28" ht="25.5" customHeight="1">
      <c r="A28" s="2" t="n">
        <v>27</v>
      </c>
      <c r="B28" s="3" t="inlineStr">
        <is>
          <t>NIDE</t>
        </is>
      </c>
      <c r="C28" s="3" t="inlineStr">
        <is>
          <t>Diseño de un prototipo para la clasificación automática de imágenes satelitales mediante algoritmos de Machine Learning</t>
        </is>
      </c>
      <c r="D28" s="4" t="n">
        <v>2024</v>
      </c>
      <c r="E28" s="3" t="inlineStr">
        <is>
          <t>Investigación</t>
        </is>
      </c>
      <c r="F28" s="3" t="inlineStr">
        <is>
          <t>Alvaro Enrique Ortiz Davila</t>
        </is>
      </c>
      <c r="G28" s="3" t="inlineStr">
        <is>
          <t>Hector Patiño</t>
        </is>
      </c>
      <c r="H28" s="3" t="inlineStr">
        <is>
          <t>2024-02-28</t>
        </is>
      </c>
      <c r="I28" s="3" t="n"/>
      <c r="J28" s="3" t="inlineStr">
        <is>
          <t>Sustentado</t>
        </is>
      </c>
      <c r="K28" s="3" t="n"/>
    </row>
    <row r="29" ht="38.25" customHeight="1">
      <c r="A29" s="2" t="n">
        <v>28</v>
      </c>
      <c r="B29" s="3" t="inlineStr">
        <is>
          <t>NIDE</t>
        </is>
      </c>
      <c r="C29" s="3" t="inlineStr">
        <is>
          <t>Determinación del factor de cambio en el glaciar de la Sierra Nevada de Santa Marta, a partir de regiones en movimiento en bases de datos espacio temporales</t>
        </is>
      </c>
      <c r="D29" s="4" t="n">
        <v>2023</v>
      </c>
      <c r="E29" s="3" t="inlineStr">
        <is>
          <t>Investigación</t>
        </is>
      </c>
      <c r="F29" s="3" t="inlineStr">
        <is>
          <t>Alvaro Enrique Ortiz Davila</t>
        </is>
      </c>
      <c r="G29" s="3" t="inlineStr">
        <is>
          <t>Camilo Andres Porras Martín</t>
        </is>
      </c>
      <c r="H29" s="3" t="inlineStr">
        <is>
          <t>2023-11-01</t>
        </is>
      </c>
      <c r="I29" s="3" t="n"/>
      <c r="J29" s="3" t="inlineStr">
        <is>
          <t>Sustentado</t>
        </is>
      </c>
      <c r="K29" s="3" t="n"/>
    </row>
    <row r="30" ht="38.25" customHeight="1">
      <c r="A30" s="2" t="n">
        <v>29</v>
      </c>
      <c r="B30" s="3" t="inlineStr">
        <is>
          <t>NIDE</t>
        </is>
      </c>
      <c r="C30" s="3" t="inlineStr">
        <is>
          <t>Análisis de las propuestas metodológicas de la agencia suiza y de catastro de Holanda para la modernización del sistema de información territorial en Colombia</t>
        </is>
      </c>
      <c r="D30" s="4" t="n">
        <v>2022</v>
      </c>
      <c r="E30" s="3" t="inlineStr">
        <is>
          <t>Investigación</t>
        </is>
      </c>
      <c r="F30" s="3" t="inlineStr">
        <is>
          <t>Jose Luis Herrera Escorcia</t>
        </is>
      </c>
      <c r="G30" s="3" t="inlineStr">
        <is>
          <t>Laura Juanita Becerra Garcia</t>
        </is>
      </c>
      <c r="H30" s="3" t="inlineStr">
        <is>
          <t>2022-12-16</t>
        </is>
      </c>
      <c r="I30" s="3" t="n"/>
      <c r="J30" s="3" t="inlineStr">
        <is>
          <t>Sustentado</t>
        </is>
      </c>
      <c r="K30" s="3" t="n"/>
    </row>
    <row r="31">
      <c r="A31" s="2" t="n">
        <v>30</v>
      </c>
      <c r="B31" s="3" t="inlineStr">
        <is>
          <t>NIDE</t>
        </is>
      </c>
      <c r="C31" s="3" t="inlineStr">
        <is>
          <t>Modelo semántico para trayectorias de puntos en movimiento</t>
        </is>
      </c>
      <c r="D31" s="4" t="n">
        <v>2022</v>
      </c>
      <c r="E31" s="3" t="n"/>
      <c r="F31" s="3" t="inlineStr">
        <is>
          <t>Alvaro Enrique Ortiz Davila</t>
        </is>
      </c>
      <c r="G31" s="3" t="inlineStr">
        <is>
          <t>Nelson David Martinez Aguirre</t>
        </is>
      </c>
      <c r="H31" s="3" t="n"/>
      <c r="I31" s="3" t="n"/>
      <c r="J31" s="3" t="inlineStr">
        <is>
          <t>Sustentado</t>
        </is>
      </c>
      <c r="K31" s="3" t="n"/>
    </row>
    <row r="32" ht="63.75" customHeight="1">
      <c r="A32" s="2" t="n">
        <v>31</v>
      </c>
      <c r="B32" s="3" t="inlineStr">
        <is>
          <t>GEFEM</t>
        </is>
      </c>
      <c r="C32" s="3" t="inlineStr">
        <is>
          <t>Prueba Piloto para el levantamiento de información del RUD a través de plataforma móvil y visualización en visor geográfico</t>
        </is>
      </c>
      <c r="D32" s="4" t="n">
        <v>2022</v>
      </c>
      <c r="E32" s="3" t="inlineStr">
        <is>
          <t>Profundización</t>
        </is>
      </c>
      <c r="F32" s="3" t="inlineStr">
        <is>
          <t>Rubén Javier Medina Daza</t>
        </is>
      </c>
      <c r="G32" s="3" t="inlineStr">
        <is>
          <t>Diana Carolina Alvarado Vargas</t>
        </is>
      </c>
      <c r="H32" s="3" t="inlineStr">
        <is>
          <t>2022-03-10</t>
        </is>
      </c>
      <c r="I32" s="3" t="inlineStr">
        <is>
          <t>https://repository.udistrital.edu.co/items/8bc79c6f-e34b-44f0-96ec-be67dbe8d6f9</t>
        </is>
      </c>
      <c r="J32" s="3" t="inlineStr">
        <is>
          <t>Sustentado</t>
        </is>
      </c>
      <c r="K32" s="3" t="n"/>
    </row>
    <row r="33" ht="51" customHeight="1">
      <c r="A33" s="2" t="n">
        <v>32</v>
      </c>
      <c r="B33" s="3" t="inlineStr">
        <is>
          <t>GEFEM</t>
        </is>
      </c>
      <c r="C33" s="3" t="inlineStr">
        <is>
          <t>Modelo predictivo de erupciones volcánicas a partir de MODVOLC e interferometría de radar. Caso de estudio : Volcán Galeras</t>
        </is>
      </c>
      <c r="D33" s="4" t="n">
        <v>2022</v>
      </c>
      <c r="E33" s="3" t="n"/>
      <c r="F33" s="3" t="inlineStr">
        <is>
          <t>Rubén Javier Medina Daza</t>
        </is>
      </c>
      <c r="G33" s="3" t="inlineStr">
        <is>
          <t>Fabio Nicolás Luna Arevalo</t>
        </is>
      </c>
      <c r="H33" s="3" t="n"/>
      <c r="I33" s="3" t="inlineStr">
        <is>
          <t>https://repository.udistrital.edu.co/items/52a53df9-4179-4d61-bc66-eb06706c4662</t>
        </is>
      </c>
      <c r="J33" s="3" t="inlineStr">
        <is>
          <t>Sustentado</t>
        </is>
      </c>
      <c r="K33" s="3" t="inlineStr">
        <is>
          <t>Grupo GEFEM confirmado mediante la base de trabajos avalados del grupo.</t>
        </is>
      </c>
    </row>
    <row r="34" ht="51" customHeight="1">
      <c r="A34" s="2" t="n">
        <v>33</v>
      </c>
      <c r="B34" s="3" t="inlineStr">
        <is>
          <t>GEFEM</t>
        </is>
      </c>
      <c r="C34" s="3" t="inlineStr">
        <is>
          <t>Implementación de diferentes técnicas de clasificación de imágenes satelitales multiespectrales para la identificación de coberturas y zonificación del complejo de paramo de chingaza en la jurisdicción de la corporación autónoma regional del guavio corpoguavio</t>
        </is>
      </c>
      <c r="D34" s="4" t="n">
        <v>2022</v>
      </c>
      <c r="E34" s="3" t="n"/>
      <c r="F34" s="3" t="inlineStr">
        <is>
          <t>Rubén Javier Medina Daza</t>
        </is>
      </c>
      <c r="G34" s="3" t="inlineStr">
        <is>
          <t>German David Montoya Quintero</t>
        </is>
      </c>
      <c r="H34" s="3" t="n"/>
      <c r="I34" s="3" t="inlineStr">
        <is>
          <t>https://repository.udistrital.edu.co/items/c5d54668-e454-4b9d-8cb6-3da6f1355eeb</t>
        </is>
      </c>
      <c r="J34" s="3" t="inlineStr">
        <is>
          <t>Sustentado</t>
        </is>
      </c>
      <c r="K34" s="3" t="inlineStr">
        <is>
          <t>Grupo GEFEM confirmado mediante la base de trabajos avalados del grupo.</t>
        </is>
      </c>
    </row>
    <row r="35" ht="63.75" customHeight="1">
      <c r="A35" s="2" t="n">
        <v>34</v>
      </c>
      <c r="B35" s="3" t="inlineStr">
        <is>
          <t>GEFEM</t>
        </is>
      </c>
      <c r="C35" s="3" t="inlineStr">
        <is>
          <t>Metodología para la generación (detección y clasificación) de cambios de cobertura de la tierra mediante el análisis de imágenes multilaterales basada en algoritmos de deep learning</t>
        </is>
      </c>
      <c r="D35" s="4" t="n">
        <v>2022</v>
      </c>
      <c r="E35" s="3" t="inlineStr">
        <is>
          <t>Investigación</t>
        </is>
      </c>
      <c r="F35" s="3" t="inlineStr">
        <is>
          <t>Erika Sofia Upegui Cardona; Oscar Javier Espejo Valero</t>
        </is>
      </c>
      <c r="G35" s="3" t="inlineStr">
        <is>
          <t>Maycol Alejandro Zaraza Aguilera</t>
        </is>
      </c>
      <c r="H35" s="3" t="inlineStr">
        <is>
          <t>2022-04-06</t>
        </is>
      </c>
      <c r="I35" s="3" t="inlineStr">
        <is>
          <t>https://repository.udistrital.edu.co/items/c3500c5d-4d3c-4468-a110-c05d9c1e7c7b</t>
        </is>
      </c>
      <c r="J35" s="3" t="inlineStr">
        <is>
          <t>Sustentado</t>
        </is>
      </c>
      <c r="K35" s="3" t="n"/>
    </row>
    <row r="36" ht="51" customHeight="1">
      <c r="A36" s="2" t="n">
        <v>35</v>
      </c>
      <c r="B36" s="3" t="inlineStr">
        <is>
          <t>GEFEM</t>
        </is>
      </c>
      <c r="C36" s="3" t="inlineStr">
        <is>
          <t>Metodología para identificar frailejón mediante el uso de imágenes de radar: una herramienta para la conservación ambiental</t>
        </is>
      </c>
      <c r="D36" s="4" t="n">
        <v>2022</v>
      </c>
      <c r="E36" s="3" t="n"/>
      <c r="F36" s="3" t="inlineStr">
        <is>
          <t>Luis Eduardo Castillo Mendez</t>
        </is>
      </c>
      <c r="G36" s="3" t="inlineStr">
        <is>
          <t>Jonathan Said Sandoval Lagos</t>
        </is>
      </c>
      <c r="H36" s="3" t="n"/>
      <c r="I36" s="3" t="inlineStr">
        <is>
          <t>https://repository.udistrital.edu.co/items/b0f71ac7-9180-4518-b082-892ad4a54ab7</t>
        </is>
      </c>
      <c r="J36" s="3" t="inlineStr">
        <is>
          <t>Sustentado</t>
        </is>
      </c>
      <c r="K36" s="3" t="inlineStr">
        <is>
          <t>Grupo GEFEM confirmado mediante la base de trabajos avalados del grupo.</t>
        </is>
      </c>
    </row>
    <row r="37" ht="51" customHeight="1">
      <c r="A37" s="2" t="n">
        <v>36</v>
      </c>
      <c r="B37" s="3" t="inlineStr">
        <is>
          <t>GEFEM</t>
        </is>
      </c>
      <c r="C37" s="3" t="inlineStr">
        <is>
          <t>Análisis exploratorio espacio-temporal de la delincuencia en Colombia asociada al hurto de vehículos entre los años 2010-2019 mediante la integración de técnicas de minería de datos, Geoestadística y SIG</t>
        </is>
      </c>
      <c r="D37" s="4" t="n">
        <v>2022</v>
      </c>
      <c r="E37" s="3" t="n"/>
      <c r="F37" s="3" t="inlineStr">
        <is>
          <t>Luis Eduardo Castillo Mendez</t>
        </is>
      </c>
      <c r="G37" s="3" t="inlineStr">
        <is>
          <t>Gabriel Hernán González Buitrago</t>
        </is>
      </c>
      <c r="H37" s="3" t="n"/>
      <c r="I37" s="3" t="inlineStr">
        <is>
          <t>https://repository.udistrital.edu.co/items/12dcf76f-fbc0-4501-9dd0-b7a9071a14ef</t>
        </is>
      </c>
      <c r="J37" s="3" t="inlineStr">
        <is>
          <t>Sustentado</t>
        </is>
      </c>
      <c r="K37" s="3" t="inlineStr">
        <is>
          <t>Grupo GEFEM confirmado mediante la base de trabajos avalados del grupo.</t>
        </is>
      </c>
    </row>
    <row r="38" ht="63.75" customHeight="1">
      <c r="A38" s="2" t="n">
        <v>37</v>
      </c>
      <c r="B38" s="3" t="inlineStr">
        <is>
          <t>GEFEM</t>
        </is>
      </c>
      <c r="C38" s="3" t="inlineStr">
        <is>
          <t>Predicción de zonas de riesgo de filariasis linfática en el territorio colombiano a partir de modelos de distribución de especies basados en máxima entropía</t>
        </is>
      </c>
      <c r="D38" s="4" t="n">
        <v>2022</v>
      </c>
      <c r="E38" s="3" t="inlineStr">
        <is>
          <t>Profundización</t>
        </is>
      </c>
      <c r="F38" s="3" t="inlineStr">
        <is>
          <t>Luis Eduardo Castillo Mendez</t>
        </is>
      </c>
      <c r="G38" s="3" t="inlineStr">
        <is>
          <t>Marino Mauricio Mejía Rocha</t>
        </is>
      </c>
      <c r="H38" s="3" t="inlineStr">
        <is>
          <t>2022-09-05</t>
        </is>
      </c>
      <c r="I38" s="3" t="inlineStr">
        <is>
          <t>https://repository.udistrital.edu.co/items/1a0ea8e4-1fd9-4387-8de1-18674d6febf9</t>
        </is>
      </c>
      <c r="J38" s="3" t="inlineStr">
        <is>
          <t>Sustentado</t>
        </is>
      </c>
      <c r="K38" s="3" t="n"/>
    </row>
    <row r="39" ht="51" customHeight="1">
      <c r="A39" s="2" t="n">
        <v>38</v>
      </c>
      <c r="B39" s="3" t="inlineStr">
        <is>
          <t>GEFEM</t>
        </is>
      </c>
      <c r="C39" s="3" t="inlineStr">
        <is>
          <t>Estimación de áreas afectadas por incendios en la Reserva Forestal Protectora Bosque Oriental De Bogotá. Usando imágenes satelitales Sentinel- 2, basado en objetos geográficos (GEOBIA)</t>
        </is>
      </c>
      <c r="D39" s="4" t="n">
        <v>2023</v>
      </c>
      <c r="E39" s="3" t="n"/>
      <c r="F39" s="3" t="inlineStr">
        <is>
          <t>Rubén Javier Medina Daza</t>
        </is>
      </c>
      <c r="G39" s="3" t="inlineStr">
        <is>
          <t>Nadia Luz Suárez Albarracín</t>
        </is>
      </c>
      <c r="H39" s="3" t="n"/>
      <c r="I39" s="3" t="inlineStr">
        <is>
          <t>https://repository.udistrital.edu.co/items/ad964cde-54bf-4bf3-aefd-6c2b9b829827</t>
        </is>
      </c>
      <c r="J39" s="3" t="inlineStr">
        <is>
          <t>Sustentado</t>
        </is>
      </c>
      <c r="K39" s="3" t="inlineStr">
        <is>
          <t>Grupo GEFEM confirmado mediante la base de trabajos avalados del grupo.</t>
        </is>
      </c>
    </row>
    <row r="40" ht="63.75" customHeight="1">
      <c r="A40" s="2" t="n">
        <v>39</v>
      </c>
      <c r="B40" s="3" t="inlineStr">
        <is>
          <t>GEFEM</t>
        </is>
      </c>
      <c r="C40" s="3" t="inlineStr">
        <is>
          <t>Generación e implementación de una metodología para el análisis espacial de restricciones y condicionantes a derechos de uso y propiedad de la tierra sobre predios objeto de regularización, formalización, acceso y restitución de tierras en Colombia</t>
        </is>
      </c>
      <c r="D40" s="4" t="n">
        <v>2023</v>
      </c>
      <c r="E40" s="3" t="inlineStr">
        <is>
          <t>Profundización</t>
        </is>
      </c>
      <c r="F40" s="3" t="inlineStr">
        <is>
          <t>Luis Eduardo Castillo Mendez</t>
        </is>
      </c>
      <c r="G40" s="3" t="inlineStr">
        <is>
          <t>Oscar Javier Castillo Castellanos</t>
        </is>
      </c>
      <c r="H40" s="3" t="inlineStr">
        <is>
          <t>Acta 031-2022</t>
        </is>
      </c>
      <c r="I40" s="3" t="inlineStr">
        <is>
          <t>https://repository.udistrital.edu.co/items/b6380126-e379-4ca8-82e0-dbd2a410e7e3</t>
        </is>
      </c>
      <c r="J40" s="3" t="inlineStr">
        <is>
          <t>Sustentado</t>
        </is>
      </c>
      <c r="K40" s="3" t="inlineStr">
        <is>
          <t>Grupo GEFEM confirmado mediante la base de trabajos avalados del grupo.</t>
        </is>
      </c>
    </row>
    <row r="41" ht="63.75" customHeight="1">
      <c r="A41" s="2" t="n">
        <v>40</v>
      </c>
      <c r="B41" s="3" t="inlineStr">
        <is>
          <t>GEFEM</t>
        </is>
      </c>
      <c r="C41" s="3" t="inlineStr">
        <is>
          <t>Modelo de espacio de estados para describir cambios en el área de cobertura del páramo de Chingaza</t>
        </is>
      </c>
      <c r="D41" s="4" t="n">
        <v>2023</v>
      </c>
      <c r="E41" s="3" t="inlineStr">
        <is>
          <t>Investigación</t>
        </is>
      </c>
      <c r="F41" s="3" t="inlineStr">
        <is>
          <t>Luis Eduardo Castillo Mendez</t>
        </is>
      </c>
      <c r="G41" s="3" t="inlineStr">
        <is>
          <t>Oscar Abrahan Cabiativa Sánchez</t>
        </is>
      </c>
      <c r="H41" s="3" t="inlineStr">
        <is>
          <t>2022-03-14</t>
        </is>
      </c>
      <c r="I41" s="3" t="inlineStr">
        <is>
          <t>https://repository.udistrital.edu.co/items/c635a1df-487f-459d-a5bf-976ce29b6a4c</t>
        </is>
      </c>
      <c r="J41" s="3" t="inlineStr">
        <is>
          <t>Sustentado</t>
        </is>
      </c>
      <c r="K41" s="3" t="inlineStr">
        <is>
          <t>Grupo GEFEM confirmado mediante la base de trabajos avalados del grupo.</t>
        </is>
      </c>
    </row>
    <row r="42" ht="63.75" customHeight="1">
      <c r="A42" s="2" t="n">
        <v>41</v>
      </c>
      <c r="B42" s="3" t="inlineStr">
        <is>
          <t>GEFEM</t>
        </is>
      </c>
      <c r="C42" s="3" t="inlineStr">
        <is>
          <t>Estimación de la severidad de incendios, usando imágenes satelitales Landsat para el Parque Nacional Natural El Tuparro entre los años 2013 a 2023</t>
        </is>
      </c>
      <c r="D42" s="4" t="n">
        <v>2024</v>
      </c>
      <c r="E42" s="3" t="inlineStr">
        <is>
          <t>Profundización</t>
        </is>
      </c>
      <c r="F42" s="3" t="inlineStr">
        <is>
          <t>Rubén Javier Medina Daza</t>
        </is>
      </c>
      <c r="G42" s="3" t="inlineStr">
        <is>
          <t>Oscar Fernando Borda Casas</t>
        </is>
      </c>
      <c r="H42" s="3" t="inlineStr">
        <is>
          <t>2024-11-13</t>
        </is>
      </c>
      <c r="I42" s="3" t="inlineStr">
        <is>
          <t>https://repository.udistrital.edu.co/items/9ceef8a3-96da-46f2-8d82-40fbf6efdb9b</t>
        </is>
      </c>
      <c r="J42" s="3" t="inlineStr">
        <is>
          <t>Sustentado</t>
        </is>
      </c>
      <c r="K42" s="3" t="n"/>
    </row>
    <row r="43" ht="51" customHeight="1">
      <c r="A43" s="2" t="n">
        <v>42</v>
      </c>
      <c r="B43" s="3" t="inlineStr">
        <is>
          <t>GEFEM</t>
        </is>
      </c>
      <c r="C43" s="3" t="inlineStr">
        <is>
          <t>Predicción de la incidencia epidemiológica del dengue en Colombia utilizando una Red Neuronal Recurrente a partir de información captada por sensores remotos</t>
        </is>
      </c>
      <c r="D43" s="4" t="n">
        <v>2024</v>
      </c>
      <c r="E43" s="3" t="n"/>
      <c r="F43" s="3" t="inlineStr">
        <is>
          <t>Rubén Javier Medina Daza</t>
        </is>
      </c>
      <c r="G43" s="3" t="inlineStr">
        <is>
          <t>Daniel Fernando Silva Avila</t>
        </is>
      </c>
      <c r="H43" s="3" t="n"/>
      <c r="I43" s="3" t="inlineStr">
        <is>
          <t>https://repository.udistrital.edu.co/items/f2a528d0-9fb9-4000-8ada-14cd262655a3</t>
        </is>
      </c>
      <c r="J43" s="3" t="inlineStr">
        <is>
          <t>Sustentado</t>
        </is>
      </c>
      <c r="K43" s="3" t="inlineStr">
        <is>
          <t>Grupo GEFEM confirmado mediante la base de trabajos avalados del grupo.</t>
        </is>
      </c>
    </row>
    <row r="44" ht="63.75" customHeight="1">
      <c r="A44" s="2" t="n">
        <v>43</v>
      </c>
      <c r="B44" s="3" t="inlineStr">
        <is>
          <t>GEFEM</t>
        </is>
      </c>
      <c r="C44" s="3" t="inlineStr">
        <is>
          <t>Análisis espacial de la fragmentación urbana basado en la destinación económica predominante por manzana en Bogotá D.C.</t>
        </is>
      </c>
      <c r="D44" s="4" t="n">
        <v>2024</v>
      </c>
      <c r="E44" s="3" t="inlineStr">
        <is>
          <t>Investigación</t>
        </is>
      </c>
      <c r="F44" s="3" t="inlineStr">
        <is>
          <t>Luis Eduardo Castillo Mendez</t>
        </is>
      </c>
      <c r="G44" s="3" t="inlineStr">
        <is>
          <t>Juan Manuel Moreno Gama</t>
        </is>
      </c>
      <c r="H44" s="3" t="inlineStr">
        <is>
          <t>2024-11-13</t>
        </is>
      </c>
      <c r="I44" s="3" t="inlineStr">
        <is>
          <t>https://repository.udistrital.edu.co/items/e1ec5ae6-ddae-4dd9-8c04-899006a4e261</t>
        </is>
      </c>
      <c r="J44" s="3" t="inlineStr">
        <is>
          <t>Sustentado</t>
        </is>
      </c>
      <c r="K44" s="3" t="n"/>
    </row>
    <row r="45" ht="63.75" customHeight="1">
      <c r="A45" s="2" t="n">
        <v>44</v>
      </c>
      <c r="B45" s="3" t="inlineStr">
        <is>
          <t>GEFEM</t>
        </is>
      </c>
      <c r="C45" s="3" t="inlineStr">
        <is>
          <t>Metodología para la valoración de riesgos de proyectos de software en Colombia</t>
        </is>
      </c>
      <c r="D45" s="4" t="n">
        <v>2024</v>
      </c>
      <c r="E45" s="3" t="inlineStr">
        <is>
          <t>Profundización</t>
        </is>
      </c>
      <c r="F45" s="3" t="inlineStr">
        <is>
          <t>Luis Eduardo Castillo Mendez; Octavio José Salcedo Parra</t>
        </is>
      </c>
      <c r="G45" s="3" t="inlineStr">
        <is>
          <t>Javier Alberto Quiroga Ruiz</t>
        </is>
      </c>
      <c r="H45" s="3" t="inlineStr">
        <is>
          <t>2024-09-25</t>
        </is>
      </c>
      <c r="I45" s="3" t="inlineStr">
        <is>
          <t>https://repository.udistrital.edu.co/items/8fdfe1f9-9c11-48bc-9050-bf5e901cc972</t>
        </is>
      </c>
      <c r="J45" s="3" t="inlineStr">
        <is>
          <t>Sustentado</t>
        </is>
      </c>
      <c r="K45" s="3" t="inlineStr">
        <is>
          <t>Diferencia entre fuentes: registro previamente asociado a INTERNET INTELIGENTE; la base remitida por GEFEM lo reporta como trabajo avalado por GEFEM.</t>
        </is>
      </c>
    </row>
    <row r="46" ht="63.75" customHeight="1">
      <c r="A46" s="2" t="n">
        <v>45</v>
      </c>
      <c r="B46" s="3" t="inlineStr">
        <is>
          <t>GEFEM</t>
        </is>
      </c>
      <c r="C46" s="3" t="inlineStr">
        <is>
          <t>Desarrollo de un prototipo de modelo catastral 3d a partir de herramientas de geoprocesamiento para la visualización de los aspectos legales y físicos en una propiedad horizontal en el municipio de Soacha, Cundinamarca</t>
        </is>
      </c>
      <c r="D46" s="4" t="n">
        <v>2025</v>
      </c>
      <c r="E46" s="3" t="inlineStr">
        <is>
          <t>Profundización</t>
        </is>
      </c>
      <c r="F46" s="3" t="inlineStr">
        <is>
          <t>Luis Eduardo Castillo Mendez</t>
        </is>
      </c>
      <c r="G46" s="3" t="inlineStr">
        <is>
          <t>Laura Camila Cumbe Loaiza</t>
        </is>
      </c>
      <c r="H46" s="3" t="inlineStr">
        <is>
          <t>2025-06-10</t>
        </is>
      </c>
      <c r="I46" s="3" t="inlineStr">
        <is>
          <t>https://repository.udistrital.edu.co/items/9fced2ff-bb71-4bf1-b984-a648887abc2f</t>
        </is>
      </c>
      <c r="J46" s="3" t="inlineStr">
        <is>
          <t>Sustentado</t>
        </is>
      </c>
      <c r="K46" s="3" t="n"/>
    </row>
    <row r="47" ht="63.75" customHeight="1">
      <c r="A47" s="2" t="n">
        <v>46</v>
      </c>
      <c r="B47" s="3" t="inlineStr">
        <is>
          <t>GEFEM</t>
        </is>
      </c>
      <c r="C47" s="3" t="inlineStr">
        <is>
          <t>Metodología para la evaluación de los incendios de la vegetación en la Sierra de la Macarena utilizando técnicas de análisis de imágenes basadas en objetos geográficos y árboles de decisión</t>
        </is>
      </c>
      <c r="D47" s="4" t="n">
        <v>2025</v>
      </c>
      <c r="E47" s="3" t="inlineStr">
        <is>
          <t>Profundización</t>
        </is>
      </c>
      <c r="F47" s="3" t="inlineStr">
        <is>
          <t>Rubén Javier Medina Daza</t>
        </is>
      </c>
      <c r="G47" s="3" t="inlineStr">
        <is>
          <t>Gonzalo Cabezas Martín</t>
        </is>
      </c>
      <c r="H47" s="3" t="inlineStr">
        <is>
          <t>2025-10-16</t>
        </is>
      </c>
      <c r="I47" s="3" t="inlineStr">
        <is>
          <t>https://repository.udistrital.edu.co/items/13ed26d1-9b1a-4eeb-9ce6-b67b095a5b29</t>
        </is>
      </c>
      <c r="J47" s="3" t="inlineStr">
        <is>
          <t>Sustentado</t>
        </is>
      </c>
      <c r="K47" s="3" t="n"/>
    </row>
    <row r="48" ht="76.5" customHeight="1">
      <c r="A48" s="2" t="n">
        <v>47</v>
      </c>
      <c r="B48" s="3" t="inlineStr">
        <is>
          <t>GEFEM</t>
        </is>
      </c>
      <c r="C48" s="3" t="inlineStr">
        <is>
          <t>MODELO DE PREDICCIÓN DE PROCESOS DE REMOCIÓN EN MASA, PARA EL MUNICIPIO DE CÁQUEZA CUNDINAMARCA, USANDO IMÁGENES DE RADAR QUE PERMITAN MÉTODO DINSAR</t>
        </is>
      </c>
      <c r="D48" s="4" t="n">
        <v>2026</v>
      </c>
      <c r="E48" s="3" t="inlineStr">
        <is>
          <t>Investigación</t>
        </is>
      </c>
      <c r="F48" s="3" t="inlineStr">
        <is>
          <t>Erika Sofía Upegui Cardona</t>
        </is>
      </c>
      <c r="G48" s="3" t="inlineStr">
        <is>
          <t>Julieth Natalia Acosta</t>
        </is>
      </c>
      <c r="H48" s="3" t="inlineStr">
        <is>
          <t>2026-07-30 | Acta 026-2026</t>
        </is>
      </c>
      <c r="I48" s="3" t="inlineStr">
        <is>
          <t>https://repository.udistrital.edu.co/items/e0a3df2d-4395-46ed-96ec-9489a44ad7c7</t>
        </is>
      </c>
      <c r="J48" s="3" t="inlineStr">
        <is>
          <t>Sustentado</t>
        </is>
      </c>
      <c r="K48" s="3" t="n"/>
    </row>
    <row r="49" ht="25.5" customHeight="1">
      <c r="A49" s="2" t="n">
        <v>48</v>
      </c>
      <c r="B49" s="3" t="inlineStr">
        <is>
          <t>GRECO</t>
        </is>
      </c>
      <c r="C49" s="3" t="inlineStr">
        <is>
          <t>Generación de señales WDM utilizado fuentes anchas y multiplexación por división de polarización para sistemas de radio sobre fibra</t>
        </is>
      </c>
      <c r="D49" s="4" t="n">
        <v>2022</v>
      </c>
      <c r="E49" s="3" t="n"/>
      <c r="F49" s="3" t="inlineStr">
        <is>
          <t>Gustavo Adolfo Puerto Leguizamón</t>
        </is>
      </c>
      <c r="G49" s="3" t="inlineStr">
        <is>
          <t>Manuel Cely Mancipe</t>
        </is>
      </c>
      <c r="H49" s="3" t="n"/>
      <c r="I49" s="3" t="n"/>
      <c r="J49" s="3" t="inlineStr">
        <is>
          <t>Sustentado</t>
        </is>
      </c>
      <c r="K49" s="3" t="n"/>
    </row>
    <row r="50" ht="25.5" customHeight="1">
      <c r="A50" s="2" t="n">
        <v>49</v>
      </c>
      <c r="B50" s="3" t="inlineStr">
        <is>
          <t>GRECO</t>
        </is>
      </c>
      <c r="C50" s="3" t="inlineStr">
        <is>
          <t>Diseño de un sistema centralizado de transmisión de portadoras de radiofrecuencia basado en radio sobre fibra futuras redes 5G</t>
        </is>
      </c>
      <c r="D50" s="4" t="n">
        <v>2023</v>
      </c>
      <c r="E50" s="3" t="n"/>
      <c r="F50" s="3" t="inlineStr">
        <is>
          <t>Gustavo Adolfo Puerto Leguizamón</t>
        </is>
      </c>
      <c r="G50" s="3" t="inlineStr">
        <is>
          <t>Luis Miguel Ibarra Paez</t>
        </is>
      </c>
      <c r="H50" s="3" t="n"/>
      <c r="I50" s="3" t="n"/>
      <c r="J50" s="3" t="inlineStr">
        <is>
          <t>Sustentado</t>
        </is>
      </c>
      <c r="K50" s="3" t="n"/>
    </row>
    <row r="51" ht="25.5" customHeight="1">
      <c r="A51" s="2" t="n">
        <v>50</v>
      </c>
      <c r="B51" s="3" t="inlineStr">
        <is>
          <t>GRECO</t>
        </is>
      </c>
      <c r="C51" s="3" t="inlineStr">
        <is>
          <t>Análisis de un modelo de volcado de tráfico de redes móviles convencionales hacia un sistema de Voz sobre WiFi-VoWiFi</t>
        </is>
      </c>
      <c r="D51" s="4" t="n">
        <v>2023</v>
      </c>
      <c r="E51" s="3" t="n"/>
      <c r="F51" s="3" t="inlineStr">
        <is>
          <t>Gustavo Adolfo Puerto Leguizamón</t>
        </is>
      </c>
      <c r="G51" s="3" t="inlineStr">
        <is>
          <t>Rafael Oswaldo Muñoz Ortiz</t>
        </is>
      </c>
      <c r="H51" s="3" t="n"/>
      <c r="I51" s="3" t="n"/>
      <c r="J51" s="3" t="inlineStr">
        <is>
          <t>Sustentado</t>
        </is>
      </c>
      <c r="K51" s="3" t="n"/>
    </row>
    <row r="52">
      <c r="A52" s="2" t="n">
        <v>51</v>
      </c>
      <c r="B52" s="3" t="inlineStr">
        <is>
          <t>GRECO</t>
        </is>
      </c>
      <c r="C52" s="3" t="inlineStr">
        <is>
          <t>Modelo de perfil de índice para fibra óptica de pocos modos</t>
        </is>
      </c>
      <c r="D52" s="4" t="n">
        <v>2023</v>
      </c>
      <c r="E52" s="3" t="n"/>
      <c r="F52" s="3" t="inlineStr">
        <is>
          <t>Gustavo Adolfo Puerto Leguizamón</t>
        </is>
      </c>
      <c r="G52" s="3" t="inlineStr">
        <is>
          <t>Manuel Romero Peña</t>
        </is>
      </c>
      <c r="H52" s="3" t="n"/>
      <c r="I52" s="3" t="n"/>
      <c r="J52" s="3" t="inlineStr">
        <is>
          <t>Sustentado</t>
        </is>
      </c>
      <c r="K52" s="3" t="n"/>
    </row>
    <row r="53" ht="25.5" customHeight="1">
      <c r="A53" s="2" t="n">
        <v>52</v>
      </c>
      <c r="B53" s="3" t="inlineStr">
        <is>
          <t>GRECO</t>
        </is>
      </c>
      <c r="C53" s="3" t="inlineStr">
        <is>
          <t>Análisis y diseño de una red de sensores ópticos distribuidos de larga distancia basada en red de difracción de Bragg</t>
        </is>
      </c>
      <c r="D53" s="4" t="n">
        <v>2023</v>
      </c>
      <c r="E53" s="3" t="inlineStr">
        <is>
          <t>Investigación</t>
        </is>
      </c>
      <c r="F53" s="3" t="inlineStr">
        <is>
          <t>Gustavo Adolfo Puerto Leguizamón</t>
        </is>
      </c>
      <c r="G53" s="3" t="inlineStr">
        <is>
          <t>Yeny Katherine Muñoz Nuñez</t>
        </is>
      </c>
      <c r="H53" s="3" t="inlineStr">
        <is>
          <t>Año de grado 2023</t>
        </is>
      </c>
      <c r="I53" s="3" t="n"/>
      <c r="J53" s="3" t="inlineStr">
        <is>
          <t>Sustentado</t>
        </is>
      </c>
      <c r="K53" s="3" t="n"/>
    </row>
    <row r="54" ht="25.5" customHeight="1">
      <c r="A54" s="2" t="n">
        <v>53</v>
      </c>
      <c r="B54" s="3" t="inlineStr">
        <is>
          <t>GRECO</t>
        </is>
      </c>
      <c r="C54" s="3" t="inlineStr">
        <is>
          <t>Análisis e implementación de arquitectura para monitoreo de uso de tableros en QuickSight AWS</t>
        </is>
      </c>
      <c r="D54" s="4" t="n">
        <v>2022</v>
      </c>
      <c r="E54" s="3" t="n"/>
      <c r="F54" s="3" t="inlineStr">
        <is>
          <t>Gustavo Adolfo Puerto Leguizamón</t>
        </is>
      </c>
      <c r="G54" s="3" t="inlineStr">
        <is>
          <t>Juan David Arias</t>
        </is>
      </c>
      <c r="H54" s="3" t="n"/>
      <c r="I54" s="3" t="n"/>
      <c r="J54" s="3" t="inlineStr">
        <is>
          <t>Sustentado</t>
        </is>
      </c>
      <c r="K54" s="3" t="n"/>
    </row>
    <row r="55" ht="25.5" customHeight="1">
      <c r="A55" s="2" t="n">
        <v>54</v>
      </c>
      <c r="B55" s="3" t="inlineStr">
        <is>
          <t>GRECO</t>
        </is>
      </c>
      <c r="C55" s="3" t="inlineStr">
        <is>
          <t>Diseño de una red de acceso basada en GPON/SCM para el transporte de datos móviles en tecnología 5G</t>
        </is>
      </c>
      <c r="D55" s="4" t="n">
        <v>2022</v>
      </c>
      <c r="E55" s="3" t="n"/>
      <c r="F55" s="3" t="inlineStr">
        <is>
          <t>Gustavo Adolfo Puerto Leguizamón</t>
        </is>
      </c>
      <c r="G55" s="3" t="inlineStr">
        <is>
          <t>Daniel Eduardo Romero Melo</t>
        </is>
      </c>
      <c r="H55" s="3" t="n"/>
      <c r="I55" s="3" t="n"/>
      <c r="J55" s="3" t="inlineStr">
        <is>
          <t>Sustentado</t>
        </is>
      </c>
      <c r="K55" s="3" t="n"/>
    </row>
    <row r="56" ht="25.5" customHeight="1">
      <c r="A56" s="2" t="n">
        <v>55</v>
      </c>
      <c r="B56" s="3" t="inlineStr">
        <is>
          <t>GRECO</t>
        </is>
      </c>
      <c r="C56" s="3" t="inlineStr">
        <is>
          <t>Diseño de red SCM/DWDM con detección coherente para aplicaciones 5G en banda milimétrica</t>
        </is>
      </c>
      <c r="D56" s="4" t="n">
        <v>2022</v>
      </c>
      <c r="E56" s="3" t="n"/>
      <c r="F56" s="3" t="inlineStr">
        <is>
          <t>Gustavo Adolfo Puerto Leguizamón</t>
        </is>
      </c>
      <c r="G56" s="3" t="inlineStr">
        <is>
          <t>Jeisson Farid Rodríguez</t>
        </is>
      </c>
      <c r="H56" s="3" t="n"/>
      <c r="I56" s="3" t="n"/>
      <c r="J56" s="3" t="inlineStr">
        <is>
          <t>Sustentado</t>
        </is>
      </c>
      <c r="K56" s="3" t="n"/>
    </row>
    <row r="57" ht="25.5" customHeight="1">
      <c r="A57" s="2" t="n">
        <v>56</v>
      </c>
      <c r="B57" s="3" t="inlineStr">
        <is>
          <t>GITUD</t>
        </is>
      </c>
      <c r="C57" s="3" t="inlineStr">
        <is>
          <t>Optimización de la operación de una microrred rural aislada enfocada en costos.</t>
        </is>
      </c>
      <c r="D57" s="4" t="n">
        <v>2022</v>
      </c>
      <c r="E57" s="3" t="inlineStr">
        <is>
          <t>Investigación</t>
        </is>
      </c>
      <c r="F57" s="3" t="inlineStr">
        <is>
          <t>Elvis Eduardo Gaona García</t>
        </is>
      </c>
      <c r="G57" s="3" t="inlineStr">
        <is>
          <t>Jaime Antonio Avila Sanchez</t>
        </is>
      </c>
      <c r="H57" s="3" t="inlineStr">
        <is>
          <t>2022-12-12</t>
        </is>
      </c>
      <c r="I57" s="3" t="n"/>
      <c r="J57" s="3" t="inlineStr">
        <is>
          <t>Sustentado</t>
        </is>
      </c>
      <c r="K57" s="3" t="n"/>
    </row>
    <row r="58" ht="38.25" customHeight="1">
      <c r="A58" s="2" t="n">
        <v>57</v>
      </c>
      <c r="B58" s="3" t="inlineStr">
        <is>
          <t>GITUD</t>
        </is>
      </c>
      <c r="C58" s="3" t="inlineStr">
        <is>
          <t>Diseño e implementación de un algoritmoy una plataforma para el análisisdescriptivo y predictivo de la producciónenergética de la turbina HAWT-VGbioinspirada en plumas dorsales dehalcón peregrino.</t>
        </is>
      </c>
      <c r="D58" s="4" t="n">
        <v>2023</v>
      </c>
      <c r="E58" s="3" t="inlineStr">
        <is>
          <t>Investigación</t>
        </is>
      </c>
      <c r="F58" s="3" t="inlineStr">
        <is>
          <t>Elvis Eduardo Gaona García</t>
        </is>
      </c>
      <c r="G58" s="3" t="inlineStr">
        <is>
          <t>Andrés Camilo López García</t>
        </is>
      </c>
      <c r="H58" s="3" t="inlineStr">
        <is>
          <t>2023-02-24</t>
        </is>
      </c>
      <c r="I58" s="3" t="n"/>
      <c r="J58" s="3" t="inlineStr">
        <is>
          <t>Sustentado</t>
        </is>
      </c>
      <c r="K58" s="3" t="n"/>
    </row>
    <row r="59" ht="38.25" customHeight="1">
      <c r="A59" s="2" t="n">
        <v>58</v>
      </c>
      <c r="B59" s="3" t="inlineStr">
        <is>
          <t>GITUD</t>
        </is>
      </c>
      <c r="C59" s="3" t="inlineStr">
        <is>
          <t>Metodología comparativa para modelos de lenguaje de gran tamaño y algorítmos de aprendizaje automático usando internet de las cosas y computación en la nube con aplicaciones en predicción meteorológica.</t>
        </is>
      </c>
      <c r="D59" s="4" t="n">
        <v>2024</v>
      </c>
      <c r="E59" s="3" t="n"/>
      <c r="F59" s="3" t="inlineStr">
        <is>
          <t>Elvis Eduardo Gaona García</t>
        </is>
      </c>
      <c r="G59" s="3" t="inlineStr">
        <is>
          <t>Ivan Dario Bello González</t>
        </is>
      </c>
      <c r="H59" s="3" t="n"/>
      <c r="I59" s="3" t="n"/>
      <c r="J59" s="3" t="inlineStr">
        <is>
          <t>Sustentado</t>
        </is>
      </c>
      <c r="K59" s="3" t="n"/>
    </row>
    <row r="60" ht="25.5" customHeight="1">
      <c r="A60" s="2" t="n">
        <v>59</v>
      </c>
      <c r="B60" s="3" t="inlineStr">
        <is>
          <t>GITUD</t>
        </is>
      </c>
      <c r="C60" s="3" t="inlineStr">
        <is>
          <t>Diseño de metodología para validar la integridad de la información de las transacciones de los contratos inteligentes empleando cifrado homomófico.</t>
        </is>
      </c>
      <c r="D60" s="4" t="n">
        <v>2024</v>
      </c>
      <c r="E60" s="3" t="inlineStr">
        <is>
          <t>Investigación</t>
        </is>
      </c>
      <c r="F60" s="3" t="inlineStr">
        <is>
          <t>Elvis Eduardo Gaona García</t>
        </is>
      </c>
      <c r="G60" s="3" t="inlineStr">
        <is>
          <t>Jawy Romero Pinto</t>
        </is>
      </c>
      <c r="H60" s="3" t="inlineStr">
        <is>
          <t>2024-12-09</t>
        </is>
      </c>
      <c r="I60" s="3" t="n"/>
      <c r="J60" s="3" t="inlineStr">
        <is>
          <t>Sustentado</t>
        </is>
      </c>
      <c r="K60" s="3" t="n"/>
    </row>
    <row r="61" ht="25.5" customHeight="1">
      <c r="A61" s="2" t="n">
        <v>60</v>
      </c>
      <c r="B61" s="3" t="inlineStr">
        <is>
          <t>GITUD</t>
        </is>
      </c>
      <c r="C61" s="3" t="inlineStr">
        <is>
          <t>Modelo de análisis de Vulnerabilidades aplicado a sistemas de navegación y telemetría presentes en RPAs.</t>
        </is>
      </c>
      <c r="D61" s="4" t="n">
        <v>2024</v>
      </c>
      <c r="E61" s="3" t="inlineStr">
        <is>
          <t>Investigación</t>
        </is>
      </c>
      <c r="F61" s="3" t="inlineStr">
        <is>
          <t>Elvis Eduardo Gaona García</t>
        </is>
      </c>
      <c r="G61" s="3" t="inlineStr">
        <is>
          <t>Wilmar Neiser Rengifo</t>
        </is>
      </c>
      <c r="H61" s="3" t="inlineStr">
        <is>
          <t>2024-12-09</t>
        </is>
      </c>
      <c r="I61" s="3" t="n"/>
      <c r="J61" s="3" t="inlineStr">
        <is>
          <t>Sustentado</t>
        </is>
      </c>
      <c r="K61" s="3" t="n"/>
    </row>
    <row r="62" ht="38.25" customHeight="1">
      <c r="A62" s="2" t="n">
        <v>61</v>
      </c>
      <c r="B62" s="3" t="inlineStr">
        <is>
          <t>GITUD</t>
        </is>
      </c>
      <c r="C62" s="3" t="inlineStr">
        <is>
          <t>Modelo para evaluar el impacto que tienen las variables climatológicas y de calidad de aire en la eficiencia de los paneles solares.</t>
        </is>
      </c>
      <c r="D62" s="4" t="n">
        <v>2025</v>
      </c>
      <c r="E62" s="3" t="inlineStr">
        <is>
          <t>Investigación</t>
        </is>
      </c>
      <c r="F62" s="3" t="inlineStr">
        <is>
          <t>Elvis Eduardo Gaona García</t>
        </is>
      </c>
      <c r="G62" s="3" t="inlineStr">
        <is>
          <t>Luis Carrillo Mejía</t>
        </is>
      </c>
      <c r="H62" s="3" t="inlineStr">
        <is>
          <t>2025-06-13</t>
        </is>
      </c>
      <c r="I62" s="3" t="n"/>
      <c r="J62" s="3" t="inlineStr">
        <is>
          <t>Sustentado</t>
        </is>
      </c>
      <c r="K62" s="3" t="inlineStr">
        <is>
          <t>Validar grupo: fuente anterior registra GITUD y la nueva base registra GIIRA. Año actualizado de 2024 a 2025 según fecha de sustentación.</t>
        </is>
      </c>
    </row>
    <row r="63" ht="25.5" customHeight="1">
      <c r="A63" s="2" t="n">
        <v>62</v>
      </c>
      <c r="B63" s="3" t="inlineStr">
        <is>
          <t>GITEM</t>
        </is>
      </c>
      <c r="C63" s="3" t="inlineStr">
        <is>
          <t>Un concepto de desarrollo económico</t>
        </is>
      </c>
      <c r="D63" s="4" t="n">
        <v>2024</v>
      </c>
      <c r="E63" s="3" t="n"/>
      <c r="F63" s="3" t="inlineStr">
        <is>
          <t>JAIME HERNANDO PENA RODRIGUEZ</t>
        </is>
      </c>
      <c r="G63" s="3" t="inlineStr">
        <is>
          <t>EDISON RAMIREZ TOVAR</t>
        </is>
      </c>
      <c r="H63" s="3" t="n"/>
      <c r="I63" s="3" t="n"/>
      <c r="J63" s="3" t="inlineStr">
        <is>
          <t>Sustentado</t>
        </is>
      </c>
      <c r="K63" s="3" t="n"/>
    </row>
    <row r="64" ht="25.5" customHeight="1">
      <c r="A64" s="2" t="n">
        <v>63</v>
      </c>
      <c r="B64" s="3" t="inlineStr">
        <is>
          <t>COMPLEX UD</t>
        </is>
      </c>
      <c r="C64" s="3" t="inlineStr">
        <is>
          <t>PREDICCIÓN DE INDICADORES ECONÓMICOS A TRAVES DE NOTICIAS USÁNDO RSS, MINERÍA DE TEXTO E INTELIGENCIA COMPUTACIONAL.</t>
        </is>
      </c>
      <c r="D64" s="4" t="n">
        <v>2023</v>
      </c>
      <c r="E64" s="3" t="inlineStr">
        <is>
          <t>Investigación</t>
        </is>
      </c>
      <c r="F64" s="3" t="inlineStr">
        <is>
          <t>Deicy Alvarado</t>
        </is>
      </c>
      <c r="G64" s="3" t="inlineStr">
        <is>
          <t>CRISTIAN JHONATAN IZQUIERDO ORTIZ</t>
        </is>
      </c>
      <c r="H64" s="3" t="inlineStr">
        <is>
          <t>2023-11-03</t>
        </is>
      </c>
      <c r="I64" s="3" t="n"/>
      <c r="J64" s="3" t="inlineStr">
        <is>
          <t>Sustentado</t>
        </is>
      </c>
      <c r="K64" s="3" t="n"/>
    </row>
    <row r="65" ht="25.5" customHeight="1">
      <c r="A65" s="2" t="n">
        <v>64</v>
      </c>
      <c r="B65" s="3" t="inlineStr">
        <is>
          <t>ARMOS</t>
        </is>
      </c>
      <c r="C65" s="3" t="inlineStr">
        <is>
          <t>“MODELO DE IDENTIDAD DIGITAL PARA DOCUMENTOS ADMINISTRATIVOS MEDIANTE FIRMA ELECTRONICA Y BLOCKCHAIN”</t>
        </is>
      </c>
      <c r="D65" s="4" t="n">
        <v>2023</v>
      </c>
      <c r="E65" s="3" t="inlineStr">
        <is>
          <t>Investigación</t>
        </is>
      </c>
      <c r="F65" s="3" t="inlineStr">
        <is>
          <t>Edward Jacinto Gomez</t>
        </is>
      </c>
      <c r="G65" s="3" t="inlineStr">
        <is>
          <t>ARCOS MUÑOZ NOÉ</t>
        </is>
      </c>
      <c r="H65" s="3" t="inlineStr">
        <is>
          <t>2023-03-16</t>
        </is>
      </c>
      <c r="I65" s="3" t="n"/>
      <c r="J65" s="3" t="inlineStr">
        <is>
          <t>Sustentado</t>
        </is>
      </c>
      <c r="K65" s="3" t="n"/>
    </row>
    <row r="66" ht="25.5" customHeight="1">
      <c r="A66" s="2" t="n">
        <v>65</v>
      </c>
      <c r="B66" s="3" t="inlineStr">
        <is>
          <t>GITEM</t>
        </is>
      </c>
      <c r="C66" s="3" t="inlineStr">
        <is>
          <t>Aplicación de autómatas celulares y algoritmos genéticos en la creación de una técnica estenográfica.</t>
        </is>
      </c>
      <c r="D66" s="4" t="n">
        <v>2023</v>
      </c>
      <c r="E66" s="3" t="inlineStr">
        <is>
          <t>Investigación</t>
        </is>
      </c>
      <c r="F66" s="3" t="inlineStr">
        <is>
          <t>Lilia Edith Aparicio Pico</t>
        </is>
      </c>
      <c r="G66" s="3" t="inlineStr">
        <is>
          <t>GUERRERO CALDERÓN ÁRNOL</t>
        </is>
      </c>
      <c r="H66" s="3" t="inlineStr">
        <is>
          <t>2023-09-14</t>
        </is>
      </c>
      <c r="I66" s="3" t="n"/>
      <c r="J66" s="3" t="inlineStr">
        <is>
          <t>Sustentado</t>
        </is>
      </c>
      <c r="K66" s="3" t="n"/>
    </row>
    <row r="67" ht="38.25" customHeight="1">
      <c r="A67" s="2" t="n">
        <v>66</v>
      </c>
      <c r="B67" s="3" t="inlineStr">
        <is>
          <t>Bionanotecnología</t>
        </is>
      </c>
      <c r="C67" s="3" t="inlineStr">
        <is>
          <t>DISEÑO DE UNA INTERFAZ DIGITAL INTERPRETADORA DE BRAILLE PARA FACILITAR LA COMUNICACIÓN EFECTIVA DOCENTE – ALUMNO- DOCENTE EN LA INSTITUCIÓN EDUCATIVA TECNOLÓGICO DE MADRID.</t>
        </is>
      </c>
      <c r="D67" s="4" t="n">
        <v>2023</v>
      </c>
      <c r="E67" s="3" t="inlineStr">
        <is>
          <t>Investigación</t>
        </is>
      </c>
      <c r="F67" s="3" t="inlineStr">
        <is>
          <t>Edmundo Vega</t>
        </is>
      </c>
      <c r="G67" s="3" t="inlineStr">
        <is>
          <t>BELTRÁN GARCIA JORGE ELIECER</t>
        </is>
      </c>
      <c r="H67" s="3" t="inlineStr">
        <is>
          <t>2023-08-28</t>
        </is>
      </c>
      <c r="I67" s="3" t="n"/>
      <c r="J67" s="3" t="inlineStr">
        <is>
          <t>Sustentado</t>
        </is>
      </c>
      <c r="K67" s="3" t="n"/>
    </row>
    <row r="68" ht="38.25" customHeight="1">
      <c r="A68" s="2" t="n">
        <v>67</v>
      </c>
      <c r="B68" s="3" t="inlineStr">
        <is>
          <t>ITI</t>
        </is>
      </c>
      <c r="C68" s="3" t="inlineStr">
        <is>
          <t>GENERACIÓN SEMIAUTOMATICA DE APLCIACIONES WEB USANDO CADENAS DE
TRASNFORMACIÓN DE MODELOS</t>
        </is>
      </c>
      <c r="D68" s="4" t="n">
        <v>2023</v>
      </c>
      <c r="E68" s="3" t="inlineStr">
        <is>
          <t>Investigación</t>
        </is>
      </c>
      <c r="F68" s="3" t="inlineStr">
        <is>
          <t>Hector Arturo Florez Hernandez</t>
        </is>
      </c>
      <c r="G68" s="3" t="inlineStr">
        <is>
          <t>GARAY GONZALEZ LADY VIVIANA</t>
        </is>
      </c>
      <c r="H68" s="3" t="inlineStr">
        <is>
          <t>2023-05-07</t>
        </is>
      </c>
      <c r="I68" s="3" t="n"/>
      <c r="J68" s="3" t="inlineStr">
        <is>
          <t>Sustentado</t>
        </is>
      </c>
      <c r="K68" s="3" t="n"/>
    </row>
    <row r="69" ht="38.25" customHeight="1">
      <c r="A69" s="2" t="n">
        <v>68</v>
      </c>
      <c r="B69" s="3" t="inlineStr">
        <is>
          <t>GIIRA</t>
        </is>
      </c>
      <c r="C69" s="3" t="inlineStr">
        <is>
          <t>DESARROLLO DE UN PROTOTIPO DE SISTEMA PARA EL APOYO EN LA MOVILIDAD AUTÓNOMA DE PERSONAS INVIDENTES EN EXTERIORES</t>
        </is>
      </c>
      <c r="D69" s="4" t="n">
        <v>2024</v>
      </c>
      <c r="E69" s="3" t="inlineStr">
        <is>
          <t>Investigación</t>
        </is>
      </c>
      <c r="F69" s="3" t="inlineStr">
        <is>
          <t>Carlos Enrique Montenegro Marin</t>
        </is>
      </c>
      <c r="G69" s="3" t="inlineStr">
        <is>
          <t>JOSE AGUSTIN AREVALO SILVA</t>
        </is>
      </c>
      <c r="H69" s="3" t="inlineStr">
        <is>
          <t>2024-03-13</t>
        </is>
      </c>
      <c r="I69" s="3" t="n"/>
      <c r="J69" s="3" t="inlineStr">
        <is>
          <t>Sustentado</t>
        </is>
      </c>
      <c r="K69" s="3" t="n"/>
    </row>
    <row r="70" ht="63.75" customHeight="1">
      <c r="A70" s="2" t="n">
        <v>70</v>
      </c>
      <c r="B70" s="3" t="inlineStr">
        <is>
          <t>GICOGE</t>
        </is>
      </c>
      <c r="C70" s="3" t="inlineStr">
        <is>
          <t>MODELO DE ASEGURAMIENTO DE LA CALIDAD DE DATOS FORESTALES EN EL MARCO DE LOS OBJETIVOS DE DESARROLLO SOSTENIBLE</t>
        </is>
      </c>
      <c r="D70" s="4" t="n">
        <v>2024</v>
      </c>
      <c r="E70" s="3" t="inlineStr">
        <is>
          <t>Investigación</t>
        </is>
      </c>
      <c r="F70" s="3" t="inlineStr">
        <is>
          <t>Beitmantt Cardenas</t>
        </is>
      </c>
      <c r="G70" s="3" t="inlineStr">
        <is>
          <t>GONZALEZ GONZALEZ DIANA SOFIA</t>
        </is>
      </c>
      <c r="H70" s="3" t="inlineStr">
        <is>
          <t>2024-02-26</t>
        </is>
      </c>
      <c r="I70" s="3" t="n"/>
      <c r="J70" s="3" t="inlineStr">
        <is>
          <t>Sustentado</t>
        </is>
      </c>
      <c r="K70" s="3" t="n"/>
    </row>
    <row r="71" ht="38.25" customHeight="1">
      <c r="A71" s="2" t="n">
        <v>71</v>
      </c>
      <c r="B71" s="3" t="inlineStr">
        <is>
          <t>LASER</t>
        </is>
      </c>
      <c r="C71" s="3" t="inlineStr">
        <is>
          <t>MODELO PARA CLASIFICACIÓN DE PRECIPITACIONES ESTRATIFORMES Y CONVECTIVAS EN ZONA ECUATORIAL USANDO DATOS DE RADARES METEOROLÓGICOS.</t>
        </is>
      </c>
      <c r="D71" s="4" t="n">
        <v>2024</v>
      </c>
      <c r="E71" s="3" t="inlineStr">
        <is>
          <t>Investigación</t>
        </is>
      </c>
      <c r="F71" s="3" t="inlineStr">
        <is>
          <t>Cesar Andrey Perdomo Charry</t>
        </is>
      </c>
      <c r="G71" s="3" t="inlineStr">
        <is>
          <t>ROMERO ORTEGA RAUL</t>
        </is>
      </c>
      <c r="H71" s="3" t="inlineStr">
        <is>
          <t>2024-08-20</t>
        </is>
      </c>
      <c r="I71" s="3" t="n"/>
      <c r="J71" s="3" t="inlineStr">
        <is>
          <t>Sustentado</t>
        </is>
      </c>
      <c r="K71" s="3" t="n"/>
    </row>
    <row r="72" ht="38.25" customHeight="1">
      <c r="A72" s="2" t="n">
        <v>72</v>
      </c>
      <c r="B72" s="3" t="inlineStr">
        <is>
          <t>LASER LAMIC</t>
        </is>
      </c>
      <c r="C72" s="3" t="inlineStr">
        <is>
          <t>EXTRACCION DE CONTEXTO GEOGRAFICO A PARTIR DE NLP PARA INFORMACION DE TRANSITO EN REDES SOCIALES</t>
        </is>
      </c>
      <c r="D72" s="4" t="n">
        <v>2022</v>
      </c>
      <c r="E72" s="3" t="inlineStr">
        <is>
          <t>Investigación</t>
        </is>
      </c>
      <c r="F72" s="3" t="inlineStr">
        <is>
          <t>Cesar Andrey Perdomo Charry</t>
        </is>
      </c>
      <c r="G72" s="3" t="inlineStr">
        <is>
          <t>ROBLES MONDRAGON DUVAN ALEXANDER</t>
        </is>
      </c>
      <c r="H72" s="3" t="inlineStr">
        <is>
          <t>2022-01-12</t>
        </is>
      </c>
      <c r="I72" s="3" t="n"/>
      <c r="J72" s="3" t="inlineStr">
        <is>
          <t>Sustentado</t>
        </is>
      </c>
      <c r="K72" s="3" t="n"/>
    </row>
    <row r="73" ht="25.5" customHeight="1">
      <c r="A73" s="2" t="n">
        <v>73</v>
      </c>
      <c r="B73" s="3" t="inlineStr">
        <is>
          <t>INTECSE</t>
        </is>
      </c>
      <c r="C73" s="3" t="inlineStr">
        <is>
          <t>METAMODELO SOFTWARE DE SIMULACION REMOTA INTERACTIVA EN AMBIENTE WEB</t>
        </is>
      </c>
      <c r="D73" s="4" t="n">
        <v>2025</v>
      </c>
      <c r="E73" s="3" t="inlineStr">
        <is>
          <t>Investigación</t>
        </is>
      </c>
      <c r="F73" s="3" t="inlineStr">
        <is>
          <t>Julio Baron Velandia</t>
        </is>
      </c>
      <c r="G73" s="3" t="inlineStr">
        <is>
          <t>PIÑEROS RAMIREZ JEISSON RODRIGO</t>
        </is>
      </c>
      <c r="H73" s="3" t="inlineStr">
        <is>
          <t>2025-02-26</t>
        </is>
      </c>
      <c r="I73" s="3" t="n"/>
      <c r="J73" s="3" t="inlineStr">
        <is>
          <t>Sustentado</t>
        </is>
      </c>
      <c r="K73" s="3" t="n"/>
    </row>
    <row r="74" ht="25.5" customHeight="1">
      <c r="A74" s="2" t="n">
        <v>74</v>
      </c>
      <c r="B74" s="3" t="inlineStr">
        <is>
          <t>NIDE</t>
        </is>
      </c>
      <c r="C74" s="3" t="inlineStr">
        <is>
          <t>ANÁLISIS DE PRECIPITACIONES CON MODELOS PREDICTIVOS A PARTIR DE LA INTERRELACIÓN DE SERIES DE TIEMPO Y GEOESTADÍSTICA PARA EL DEPARTAMENTO DE CUNDINAMARCA</t>
        </is>
      </c>
      <c r="D74" s="4" t="n">
        <v>2022</v>
      </c>
      <c r="E74" s="3" t="inlineStr">
        <is>
          <t>Investigación</t>
        </is>
      </c>
      <c r="F74" s="3" t="inlineStr">
        <is>
          <t>Carlos Eduardo Melo</t>
        </is>
      </c>
      <c r="G74" s="3" t="inlineStr">
        <is>
          <t>RAYO BERMUDEZ KAREN YULIETH</t>
        </is>
      </c>
      <c r="H74" s="3" t="inlineStr">
        <is>
          <t>2022-08-31</t>
        </is>
      </c>
      <c r="I74" s="3" t="n"/>
      <c r="J74" s="3" t="inlineStr">
        <is>
          <t>Sustentado</t>
        </is>
      </c>
      <c r="K74" s="3" t="n"/>
    </row>
    <row r="75" ht="38.25" customHeight="1">
      <c r="A75" s="2" t="n">
        <v>75</v>
      </c>
      <c r="B75" s="3" t="inlineStr">
        <is>
          <t>GICOGE</t>
        </is>
      </c>
      <c r="C75" s="3" t="inlineStr">
        <is>
          <t>Análisis de minería de datos y desarrollo de software con inteligencia artificial enfocado a la detección de perfiles de aprobaciones de visas para estados unidos</t>
        </is>
      </c>
      <c r="D75" s="4" t="n">
        <v>2025</v>
      </c>
      <c r="E75" s="3" t="inlineStr">
        <is>
          <t>Investigación</t>
        </is>
      </c>
      <c r="F75" s="3" t="inlineStr">
        <is>
          <t>Victor Hugo Medina Garcia</t>
        </is>
      </c>
      <c r="G75" s="3" t="inlineStr">
        <is>
          <t>NOVOA PERALTA LEONARDO ANDRÉS</t>
        </is>
      </c>
      <c r="H75" s="3" t="inlineStr">
        <is>
          <t>2025-06-16</t>
        </is>
      </c>
      <c r="I75" s="3" t="n"/>
      <c r="J75" s="3" t="inlineStr">
        <is>
          <t>Sustentado</t>
        </is>
      </c>
      <c r="K75" s="3" t="n"/>
    </row>
    <row r="76" ht="38.25" customHeight="1">
      <c r="A76" s="2" t="n">
        <v>76</v>
      </c>
      <c r="B76" s="3" t="inlineStr">
        <is>
          <t>GICOECOL</t>
        </is>
      </c>
      <c r="C76" s="3" t="inlineStr">
        <is>
          <t>GEOAR, INTEGRACION DE MODELOS DIGITALES DE ELEVACION EN AMBIENTES DE REALIDAD AUMENTADA</t>
        </is>
      </c>
      <c r="D76" s="4" t="n">
        <v>2022</v>
      </c>
      <c r="E76" s="3" t="inlineStr">
        <is>
          <t>Investigación</t>
        </is>
      </c>
      <c r="F76" s="3" t="inlineStr">
        <is>
          <t>Alexandra Abuchar</t>
        </is>
      </c>
      <c r="G76" s="3" t="inlineStr">
        <is>
          <t>SUÁREZ RODRÍGUEZ JUAN MANUEL</t>
        </is>
      </c>
      <c r="H76" s="3" t="inlineStr">
        <is>
          <t>2022-04-26</t>
        </is>
      </c>
      <c r="I76" s="3" t="n"/>
      <c r="J76" s="3" t="inlineStr">
        <is>
          <t>Sustentado</t>
        </is>
      </c>
      <c r="K76" s="3" t="n"/>
    </row>
    <row r="77" ht="25.5" customHeight="1">
      <c r="A77" s="2" t="n">
        <v>77</v>
      </c>
      <c r="B77" s="3" t="inlineStr">
        <is>
          <t>ITI</t>
        </is>
      </c>
      <c r="C77" s="3" t="inlineStr">
        <is>
          <t>MODELO COMPUTACIONAL DE LA REACCION POR SEÑALES ELECTRICAS DE UNA RED COMPLEJA DE NEURONAS DEL SISTEMA NERVIOSO DEL GUSANO CAENORHABBITIS ELEGANS</t>
        </is>
      </c>
      <c r="D77" s="4" t="n">
        <v>2022</v>
      </c>
      <c r="E77" s="3" t="inlineStr">
        <is>
          <t>Investigación</t>
        </is>
      </c>
      <c r="F77" s="3" t="inlineStr">
        <is>
          <t>Hector Arturo Florez Hernandez</t>
        </is>
      </c>
      <c r="G77" s="3" t="inlineStr">
        <is>
          <t>HERNANDEZ RODRIGUEZ JORGE EDUARDO</t>
        </is>
      </c>
      <c r="H77" s="3" t="inlineStr">
        <is>
          <t>2022-10-13</t>
        </is>
      </c>
      <c r="I77" s="3" t="n"/>
      <c r="J77" s="3" t="inlineStr">
        <is>
          <t>Sustentado</t>
        </is>
      </c>
      <c r="K77" s="3" t="n"/>
    </row>
    <row r="78" ht="38.25" customHeight="1">
      <c r="A78" s="2" t="n">
        <v>78</v>
      </c>
      <c r="B78" s="3" t="inlineStr">
        <is>
          <t>INTERNET INTELIGENTE</t>
        </is>
      </c>
      <c r="C78" s="3" t="inlineStr">
        <is>
          <t>Clasificación de Eventos Astronómicos Transitorios con Redes Neuronales Recurrentes.</t>
        </is>
      </c>
      <c r="D78" s="4" t="n">
        <v>2023</v>
      </c>
      <c r="E78" s="3" t="inlineStr">
        <is>
          <t>Investigación</t>
        </is>
      </c>
      <c r="F78" s="3" t="inlineStr">
        <is>
          <t>Octavio Jose Salcedo Parra</t>
        </is>
      </c>
      <c r="G78" s="3" t="inlineStr">
        <is>
          <t>MARTIN VEGA DANIELA</t>
        </is>
      </c>
      <c r="H78" s="3" t="inlineStr">
        <is>
          <t>2023-11-17</t>
        </is>
      </c>
      <c r="I78" s="3" t="n"/>
      <c r="J78" s="3" t="inlineStr">
        <is>
          <t>Sustentado</t>
        </is>
      </c>
      <c r="K78" s="3" t="n"/>
    </row>
    <row r="79" ht="25.5" customHeight="1">
      <c r="A79" s="2" t="n">
        <v>79</v>
      </c>
      <c r="B79" s="3" t="inlineStr">
        <is>
          <t>LAMIC</t>
        </is>
      </c>
      <c r="C79" s="3" t="inlineStr">
        <is>
          <t>METODOLOGIA PARA IMPLEMENTAR UN MODELO HILES DE UNA WSN</t>
        </is>
      </c>
      <c r="D79" s="4" t="n">
        <v>2024</v>
      </c>
      <c r="E79" s="3" t="inlineStr">
        <is>
          <t>Investigación</t>
        </is>
      </c>
      <c r="F79" s="3" t="inlineStr">
        <is>
          <t>Gerardo Alcides Muñoz Quiñones</t>
        </is>
      </c>
      <c r="G79" s="3" t="inlineStr">
        <is>
          <t>IDROBO LOPEZ OSCAR JAVIER</t>
        </is>
      </c>
      <c r="H79" s="3" t="inlineStr">
        <is>
          <t>2024-11-15</t>
        </is>
      </c>
      <c r="I79" s="3" t="n"/>
      <c r="J79" s="3" t="inlineStr">
        <is>
          <t>Sustentado</t>
        </is>
      </c>
      <c r="K79" s="3" t="n"/>
    </row>
    <row r="80">
      <c r="A80" s="2" t="n">
        <v>80</v>
      </c>
      <c r="B80" s="3" t="inlineStr">
        <is>
          <t>INTECSE</t>
        </is>
      </c>
      <c r="C80" s="3" t="inlineStr">
        <is>
          <t>MODELO DE INFERENCIA ONTOLOGICA PARA CARACTERIZACION DE OPCIONES DE CULTIVO A PARTIR DE VARIABLES CLIMATICAS</t>
        </is>
      </c>
      <c r="D80" s="4" t="n">
        <v>2022</v>
      </c>
      <c r="E80" s="3" t="inlineStr">
        <is>
          <t>Investigación</t>
        </is>
      </c>
      <c r="F80" s="3" t="inlineStr">
        <is>
          <t>Julio Baron Velandia</t>
        </is>
      </c>
      <c r="G80" s="3" t="inlineStr">
        <is>
          <t>ARIZA RIAÑO MADDYZETH</t>
        </is>
      </c>
      <c r="H80" s="3" t="inlineStr">
        <is>
          <t>2022-08-26</t>
        </is>
      </c>
      <c r="I80" s="3" t="n"/>
      <c r="J80" s="3" t="inlineStr">
        <is>
          <t>Sustentado</t>
        </is>
      </c>
      <c r="K80" s="3" t="n"/>
    </row>
    <row r="81" ht="25.5" customHeight="1">
      <c r="A81" s="2" t="n">
        <v>81</v>
      </c>
      <c r="B81" s="3" t="inlineStr">
        <is>
          <t>GIIRA</t>
        </is>
      </c>
      <c r="C81" s="3" t="inlineStr">
        <is>
          <t>USANDO IA</t>
        </is>
      </c>
      <c r="D81" s="4" t="n">
        <v>2024</v>
      </c>
      <c r="E81" s="3" t="inlineStr">
        <is>
          <t>Investigación</t>
        </is>
      </c>
      <c r="F81" s="3" t="inlineStr">
        <is>
          <t>Paulo Alonso Gaona Garcia</t>
        </is>
      </c>
      <c r="G81" s="3" t="inlineStr">
        <is>
          <t>RODRÍGUEZ RODRÍGUEZ WILLIAM STEVEN</t>
        </is>
      </c>
      <c r="H81" s="3" t="inlineStr">
        <is>
          <t>2024-12-09</t>
        </is>
      </c>
      <c r="I81" s="3" t="n"/>
      <c r="J81" s="3" t="inlineStr">
        <is>
          <t>Sustentado</t>
        </is>
      </c>
      <c r="K81" s="3" t="n"/>
    </row>
    <row r="82" ht="25.5" customHeight="1">
      <c r="A82" s="2" t="n">
        <v>82</v>
      </c>
      <c r="B82" s="3" t="inlineStr">
        <is>
          <t>INTECSE</t>
        </is>
      </c>
      <c r="C82" s="3" t="inlineStr">
        <is>
          <t>MODELO PARA DETECCION DE XANTHOMONAS CAMPESTRIS APLICANDO TECNICAS DE MACHINE LEARNING MEJORADAS MEDIANTE ALGORITMOS DE OPTIMIZACION</t>
        </is>
      </c>
      <c r="D82" s="4" t="n">
        <v>2022</v>
      </c>
      <c r="E82" s="3" t="inlineStr">
        <is>
          <t>Investigación</t>
        </is>
      </c>
      <c r="F82" s="3" t="inlineStr">
        <is>
          <t>Julio Baron Velandia</t>
        </is>
      </c>
      <c r="G82" s="3" t="inlineStr">
        <is>
          <t>LEAL LARA DANIEL DAVID</t>
        </is>
      </c>
      <c r="H82" s="3" t="inlineStr">
        <is>
          <t>2022-05-23</t>
        </is>
      </c>
      <c r="I82" s="3" t="n"/>
      <c r="J82" s="3" t="inlineStr">
        <is>
          <t>Sustentado</t>
        </is>
      </c>
      <c r="K82" s="3" t="n"/>
    </row>
    <row r="83" ht="38.25" customHeight="1">
      <c r="A83" s="2" t="n">
        <v>83</v>
      </c>
      <c r="B83" s="3" t="inlineStr">
        <is>
          <t>INTECSE</t>
        </is>
      </c>
      <c r="C83" s="3" t="inlineStr">
        <is>
          <t>MODELO PREDICTIVO DE HUMEDAD EN INVERNADEROS MEDIANTE INFERENCIA DIFUSA APLICANDO METODOS DE OPTIMIZACION</t>
        </is>
      </c>
      <c r="D83" s="4" t="n">
        <v>2022</v>
      </c>
      <c r="E83" s="3" t="inlineStr">
        <is>
          <t>Investigación</t>
        </is>
      </c>
      <c r="F83" s="3" t="inlineStr">
        <is>
          <t>Julio Baron Velandia</t>
        </is>
      </c>
      <c r="G83" s="3" t="inlineStr">
        <is>
          <t>VANEGAS AYALA SEBASTIAN CAMILO</t>
        </is>
      </c>
      <c r="H83" s="3" t="inlineStr">
        <is>
          <t>2022-02-04</t>
        </is>
      </c>
      <c r="I83" s="3" t="n"/>
      <c r="J83" s="3" t="inlineStr">
        <is>
          <t>Sustentado</t>
        </is>
      </c>
      <c r="K83" s="3" t="n"/>
    </row>
    <row r="84" ht="25.5" customHeight="1">
      <c r="A84" s="2" t="n">
        <v>84</v>
      </c>
      <c r="B84" s="3" t="inlineStr">
        <is>
          <t>GITEM</t>
        </is>
      </c>
      <c r="C84" s="3" t="inlineStr">
        <is>
          <t>STRUCTURE-FROM-MOTION A PARTIR DE UAV COMO ALTERNATIVA DE SOLUCION PARA LA OCLUSION FOTOGRAMETRICA</t>
        </is>
      </c>
      <c r="D84" s="4" t="n">
        <v>2024</v>
      </c>
      <c r="E84" s="3" t="inlineStr">
        <is>
          <t>Investigación</t>
        </is>
      </c>
      <c r="F84" s="3" t="inlineStr">
        <is>
          <t>William Benigno Barragan</t>
        </is>
      </c>
      <c r="G84" s="3" t="inlineStr">
        <is>
          <t>ROMERO BELTRAN JEISSON ANDRES</t>
        </is>
      </c>
      <c r="H84" s="3" t="inlineStr">
        <is>
          <t>2024-05-29</t>
        </is>
      </c>
      <c r="I84" s="3" t="n"/>
      <c r="J84" s="3" t="inlineStr">
        <is>
          <t>Sustentado</t>
        </is>
      </c>
      <c r="K84" s="3" t="n"/>
    </row>
    <row r="85" ht="25.5" customHeight="1">
      <c r="A85" s="2" t="n">
        <v>85</v>
      </c>
      <c r="B85" s="3" t="inlineStr">
        <is>
          <t>LASER</t>
        </is>
      </c>
      <c r="C85" s="3" t="inlineStr">
        <is>
          <t>MODELO DE SISTEMA DE ALERTA TEMPRANA PARA DESBORDAMIENTOS DE ARROYOS EN BARRANQUILLA BASADO EN LA COMUNIDAD</t>
        </is>
      </c>
      <c r="D85" s="4" t="n">
        <v>2024</v>
      </c>
      <c r="E85" s="3" t="inlineStr">
        <is>
          <t>Investigación</t>
        </is>
      </c>
      <c r="F85" s="3" t="inlineStr">
        <is>
          <t>Ernesto Gomez Vargas</t>
        </is>
      </c>
      <c r="G85" s="3" t="inlineStr">
        <is>
          <t>SERNA GALEANO IVAN ANDRES</t>
        </is>
      </c>
      <c r="H85" s="3" t="inlineStr">
        <is>
          <t>2024-05-27</t>
        </is>
      </c>
      <c r="I85" s="3" t="n"/>
      <c r="J85" s="3" t="inlineStr">
        <is>
          <t>Sustentado</t>
        </is>
      </c>
      <c r="K85" s="3" t="n"/>
    </row>
    <row r="86" ht="38.25" customHeight="1">
      <c r="A86" s="2" t="n">
        <v>86</v>
      </c>
      <c r="B86" s="3" t="inlineStr">
        <is>
          <t>NIDE</t>
        </is>
      </c>
      <c r="C86" s="3" t="inlineStr">
        <is>
          <t>METODOLOGÍA PARA LA PUBLICACIÓN ESTANDARIZADA DE FIRMAS ESPECTRALES PARA LA CLASIFICACIÓN DE COBERTURAS DEL SUELO</t>
        </is>
      </c>
      <c r="D86" s="4" t="n">
        <v>2023</v>
      </c>
      <c r="E86" s="3" t="inlineStr">
        <is>
          <t>Investigación</t>
        </is>
      </c>
      <c r="F86" s="3" t="inlineStr">
        <is>
          <t>Jose Luis Herrera Escorcia</t>
        </is>
      </c>
      <c r="G86" s="3" t="inlineStr">
        <is>
          <t>VALBUENA GAONA MARTHA PATRICIA</t>
        </is>
      </c>
      <c r="H86" s="3" t="inlineStr">
        <is>
          <t>2023-05-30</t>
        </is>
      </c>
      <c r="I86" s="3" t="n"/>
      <c r="J86" s="3" t="inlineStr">
        <is>
          <t>Sustentado</t>
        </is>
      </c>
      <c r="K86" s="3" t="n"/>
    </row>
    <row r="87" ht="25.5" customHeight="1">
      <c r="A87" s="2" t="n">
        <v>87</v>
      </c>
      <c r="B87" s="3" t="inlineStr">
        <is>
          <t>GITEM</t>
        </is>
      </c>
      <c r="C87" s="3" t="inlineStr">
        <is>
          <t>METODOLOGIA PARA LA APLICACION DE ́LA CIENCIA DE DATOS EN EL DIAGNOSTICO DEL CANCER DE MAMA</t>
        </is>
      </c>
      <c r="D87" s="4" t="n">
        <v>2023</v>
      </c>
      <c r="E87" s="3" t="inlineStr">
        <is>
          <t>Investigación</t>
        </is>
      </c>
      <c r="F87" s="3" t="inlineStr">
        <is>
          <t>Lilia Edith Aparicio Pico</t>
        </is>
      </c>
      <c r="G87" s="3" t="inlineStr">
        <is>
          <t>MILLAN GOMEZ JORGE ARMANDO</t>
        </is>
      </c>
      <c r="H87" s="3" t="inlineStr">
        <is>
          <t>2023-05-30</t>
        </is>
      </c>
      <c r="I87" s="3" t="n"/>
      <c r="J87" s="3" t="inlineStr">
        <is>
          <t>Sustentado</t>
        </is>
      </c>
      <c r="K87" s="3" t="n"/>
    </row>
    <row r="88" ht="25.5" customHeight="1">
      <c r="A88" s="2" t="n">
        <v>88</v>
      </c>
      <c r="B88" s="3" t="inlineStr">
        <is>
          <t>INTECSE</t>
        </is>
      </c>
      <c r="C88" s="3" t="inlineStr">
        <is>
          <t>MODELO DE CLASIFICACION SUPERVISADO PARA LA DETECCION DE LA ROYA EN HOJAS DEL CULTIVO DE CAFE APLICANDO TECNICAS DE MACHINE LEARNING</t>
        </is>
      </c>
      <c r="D88" s="4" t="n">
        <v>2023</v>
      </c>
      <c r="E88" s="3" t="inlineStr">
        <is>
          <t>Investigación</t>
        </is>
      </c>
      <c r="F88" s="3" t="inlineStr">
        <is>
          <t>Julio Baron Velandia</t>
        </is>
      </c>
      <c r="G88" s="3" t="inlineStr">
        <is>
          <t>ROCHA CALDERON CAMILO ENRIQUE</t>
        </is>
      </c>
      <c r="H88" s="3" t="inlineStr">
        <is>
          <t>2023-06-06</t>
        </is>
      </c>
      <c r="I88" s="3" t="n"/>
      <c r="J88" s="3" t="inlineStr">
        <is>
          <t>Sustentado</t>
        </is>
      </c>
      <c r="K88" s="3" t="n"/>
    </row>
    <row r="89" ht="38.25" customHeight="1">
      <c r="A89" s="2" t="n">
        <v>89</v>
      </c>
      <c r="B89" s="3" t="inlineStr">
        <is>
          <t>INTECSE</t>
        </is>
      </c>
      <c r="C89" s="3" t="inlineStr">
        <is>
          <t>MODELO PARA PREDICCION DEL RENDIMIENTO DE CULTIVOS DE MAIZ EN COLOMBIA EMPLEANDO APRENDIZAJE PROFUNDO</t>
        </is>
      </c>
      <c r="D89" s="4" t="n">
        <v>2024</v>
      </c>
      <c r="E89" s="3" t="inlineStr">
        <is>
          <t>Investigación</t>
        </is>
      </c>
      <c r="F89" s="3" t="inlineStr">
        <is>
          <t>Julio Baron Velandia</t>
        </is>
      </c>
      <c r="G89" s="3" t="inlineStr">
        <is>
          <t>SIERRA FORERO BRAYAN LEONARDO</t>
        </is>
      </c>
      <c r="H89" s="3" t="inlineStr">
        <is>
          <t>2024-05-29</t>
        </is>
      </c>
      <c r="I89" s="3" t="n"/>
      <c r="J89" s="3" t="inlineStr">
        <is>
          <t>Sustentado</t>
        </is>
      </c>
      <c r="K89" s="3" t="n"/>
    </row>
    <row r="90" ht="25.5" customHeight="1">
      <c r="A90" s="2" t="n">
        <v>90</v>
      </c>
      <c r="B90" s="3" t="inlineStr">
        <is>
          <t>GESETIC</t>
        </is>
      </c>
      <c r="C90" s="3" t="inlineStr">
        <is>
          <t>METODOLOGÍA PARA LA PREDICCIÓN DE PROBLEMAS REFERENTES A LAS TIC EN ORGANIZACIONES DE SERVICIOS GENERALES</t>
        </is>
      </c>
      <c r="D90" s="4" t="n">
        <v>2022</v>
      </c>
      <c r="E90" s="3" t="inlineStr">
        <is>
          <t>Profundización</t>
        </is>
      </c>
      <c r="F90" s="3" t="inlineStr">
        <is>
          <t>Adriana Vega</t>
        </is>
      </c>
      <c r="G90" s="3" t="inlineStr">
        <is>
          <t>PINZON CASAS CHRISTIAN JESUS</t>
        </is>
      </c>
      <c r="H90" s="3" t="inlineStr">
        <is>
          <t>2022-12-12</t>
        </is>
      </c>
      <c r="I90" s="3" t="n"/>
      <c r="J90" s="3" t="inlineStr">
        <is>
          <t>Sustentado</t>
        </is>
      </c>
      <c r="K90" s="3" t="n"/>
    </row>
    <row r="91" ht="25.5" customHeight="1">
      <c r="A91" s="2" t="n">
        <v>91</v>
      </c>
      <c r="B91" s="3" t="inlineStr">
        <is>
          <t>IAFT</t>
        </is>
      </c>
      <c r="C91" s="3" t="inlineStr">
        <is>
          <t>SISTEMA DE IDENTIFICACIÓN Y ANÁLISIS DE VARIABLES DE RIESGO PARA EL CÁLCULO DE PRIMAS DE REASEGURO EMPLEANDO MODELOS COMPUTACIONALES.</t>
        </is>
      </c>
      <c r="D91" s="4" t="n">
        <v>2023</v>
      </c>
      <c r="E91" s="3" t="inlineStr">
        <is>
          <t>Profundización</t>
        </is>
      </c>
      <c r="F91" s="3" t="inlineStr">
        <is>
          <t>Jorge Enrique Rodriguez Rodriguez</t>
        </is>
      </c>
      <c r="G91" s="3" t="inlineStr">
        <is>
          <t>VARGAS CARRILLO LUZ ANGELA</t>
        </is>
      </c>
      <c r="H91" s="3" t="inlineStr">
        <is>
          <t>2023-05-03</t>
        </is>
      </c>
      <c r="I91" s="3" t="n"/>
      <c r="J91" s="3" t="inlineStr">
        <is>
          <t>Sustentado</t>
        </is>
      </c>
      <c r="K91" s="3" t="n"/>
    </row>
    <row r="92" ht="38.25" customHeight="1">
      <c r="A92" s="2" t="n">
        <v>92</v>
      </c>
      <c r="B92" s="3" t="inlineStr">
        <is>
          <t>INTERNET INTELIGENTE</t>
        </is>
      </c>
      <c r="C92" s="3" t="inlineStr">
        <is>
          <t>PRONOSTICO DE CONTAMINACION POR MATERIAL PARTICULADO, MEDIANTE REDES NEIRONALES ARTIFICIALES PARA GENERAR UN SISTEMA DE ALARMAS AMBIENTALES.</t>
        </is>
      </c>
      <c r="D92" s="4" t="n">
        <v>2023</v>
      </c>
      <c r="E92" s="3" t="inlineStr">
        <is>
          <t>Profundización</t>
        </is>
      </c>
      <c r="F92" s="3" t="inlineStr">
        <is>
          <t>Octavio Jose Salcedo Parra</t>
        </is>
      </c>
      <c r="G92" s="3" t="inlineStr">
        <is>
          <t>CORZO MUÑOZ MIGUEL ANGEL</t>
        </is>
      </c>
      <c r="H92" s="3" t="inlineStr">
        <is>
          <t>2023-11-07</t>
        </is>
      </c>
      <c r="I92" s="3" t="n"/>
      <c r="J92" s="3" t="inlineStr">
        <is>
          <t>Sustentado</t>
        </is>
      </c>
      <c r="K92" s="3" t="n"/>
    </row>
    <row r="93" ht="38.25" customHeight="1">
      <c r="A93" s="2" t="n">
        <v>93</v>
      </c>
      <c r="B93" s="3" t="inlineStr">
        <is>
          <t>DIMSI</t>
        </is>
      </c>
      <c r="C93" s="3" t="inlineStr">
        <is>
          <t>dentificación de patrones de deserción y riesgo académico en carreras de la facultad de ingeniería de la universidad distrital a través de técnicas machine learning</t>
        </is>
      </c>
      <c r="D93" s="4" t="n">
        <v>2024</v>
      </c>
      <c r="E93" s="3" t="inlineStr">
        <is>
          <t>Profundización</t>
        </is>
      </c>
      <c r="F93" s="3" t="inlineStr">
        <is>
          <t>Leonardo Emiro Contreras Bravo</t>
        </is>
      </c>
      <c r="G93" s="3" t="inlineStr">
        <is>
          <t>SALAMANCA VASQUEZ ESTEBAN</t>
        </is>
      </c>
      <c r="H93" s="3" t="inlineStr">
        <is>
          <t>2024-12-09</t>
        </is>
      </c>
      <c r="I93" s="3" t="n"/>
      <c r="J93" s="3" t="inlineStr">
        <is>
          <t>Sustentado</t>
        </is>
      </c>
      <c r="K93" s="3" t="n"/>
    </row>
    <row r="94" ht="38.25" customHeight="1">
      <c r="A94" s="2" t="n">
        <v>94</v>
      </c>
      <c r="B94" s="3" t="inlineStr">
        <is>
          <t>GITEM</t>
        </is>
      </c>
      <c r="C94" s="3" t="inlineStr">
        <is>
          <t>Modelo semántico aplicado a la gestión de contenidos en el marco de la contratación en las empresas del estado</t>
        </is>
      </c>
      <c r="D94" s="4" t="n">
        <v>2024</v>
      </c>
      <c r="E94" s="3" t="inlineStr">
        <is>
          <t>Profundización</t>
        </is>
      </c>
      <c r="F94" s="3" t="inlineStr">
        <is>
          <t>Paulo Cesar Coronado Sanchez</t>
        </is>
      </c>
      <c r="G94" s="3" t="inlineStr">
        <is>
          <t>ÉRIRA TRUJILLO WILLIAM ALBERTO</t>
        </is>
      </c>
      <c r="H94" s="3" t="inlineStr">
        <is>
          <t>2024-12-02</t>
        </is>
      </c>
      <c r="I94" s="3" t="n"/>
      <c r="J94" s="3" t="inlineStr">
        <is>
          <t>Sustentado</t>
        </is>
      </c>
      <c r="K94" s="3" t="n"/>
    </row>
    <row r="95" ht="25.5" customHeight="1">
      <c r="A95" s="2" t="n">
        <v>95</v>
      </c>
      <c r="B95" s="3" t="inlineStr">
        <is>
          <t>NIDE</t>
        </is>
      </c>
      <c r="C95" s="3" t="inlineStr">
        <is>
          <t>Diseño de un prototipo en el motor base de datos para la validación de reglas topológicas y cumplimiento del modelo de aplicación de levantamiento catastral LADM-COL v. 2.0.</t>
        </is>
      </c>
      <c r="D95" s="4" t="n">
        <v>2025</v>
      </c>
      <c r="E95" s="3" t="inlineStr">
        <is>
          <t>Profundización</t>
        </is>
      </c>
      <c r="F95" s="3" t="inlineStr">
        <is>
          <t>Alvaro Enrique Ortiz Davila</t>
        </is>
      </c>
      <c r="G95" s="3" t="inlineStr">
        <is>
          <t>LÓPEZ CALLE MARÍA ISABEL</t>
        </is>
      </c>
      <c r="H95" s="3" t="inlineStr">
        <is>
          <t>2025-05-07</t>
        </is>
      </c>
      <c r="I95" s="3" t="n"/>
      <c r="J95" s="3" t="inlineStr">
        <is>
          <t>Sustentado</t>
        </is>
      </c>
      <c r="K95" s="3" t="n"/>
    </row>
    <row r="96" ht="38.25" customHeight="1">
      <c r="A96" s="2" t="n">
        <v>96</v>
      </c>
      <c r="B96" s="3" t="inlineStr">
        <is>
          <t>GITEM</t>
        </is>
      </c>
      <c r="C96" s="3" t="inlineStr">
        <is>
          <t>MODELO DE ARQUITECTURA CORE TRANSACCIONAL BASADA EN ARQUITECTURAS REACTIVAS Y MICROSERVICIOS PARA EL SECTOR FINANCIERO COLOMBIANO / Diseño de una solución basada en computación en la nube para el telemonitoreo de saturación de oxígeno y frecuencia cardiaca en tiempo real</t>
        </is>
      </c>
      <c r="D96" s="4" t="n">
        <v>2023</v>
      </c>
      <c r="E96" s="3" t="inlineStr">
        <is>
          <t>Profundización</t>
        </is>
      </c>
      <c r="F96" s="3" t="inlineStr">
        <is>
          <t>Lilia Edith Aparicio Pico</t>
        </is>
      </c>
      <c r="G96" s="3" t="inlineStr">
        <is>
          <t>DAZA ROJAS JOHN JAIRO</t>
        </is>
      </c>
      <c r="H96" s="3" t="inlineStr">
        <is>
          <t>2023-05-30</t>
        </is>
      </c>
      <c r="I96" s="3" t="n"/>
      <c r="J96" s="3" t="inlineStr">
        <is>
          <t>Sustentado</t>
        </is>
      </c>
      <c r="K96" s="3" t="n"/>
    </row>
    <row r="97" ht="63.75" customHeight="1">
      <c r="A97" s="2" t="n">
        <v>97</v>
      </c>
      <c r="B97" s="3" t="inlineStr">
        <is>
          <t>GITEM</t>
        </is>
      </c>
      <c r="C97" s="3" t="inlineStr">
        <is>
          <t>SISTEMA LUDIFICADO DE REALIDAD VIRTUAL PARA EL DESARROLLO DE PROCESO SW DE ENSEÑANZA
APRENDIZAJE RELACIONADOS CON LA PROGRAMACIÓN DE COMPUTADORES</t>
        </is>
      </c>
      <c r="D97" s="4" t="n">
        <v>2023</v>
      </c>
      <c r="E97" s="3" t="inlineStr">
        <is>
          <t>Profundización</t>
        </is>
      </c>
      <c r="F97" s="3" t="inlineStr">
        <is>
          <t>Paulo Cesar Coronado Sanchez</t>
        </is>
      </c>
      <c r="G97" s="3" t="inlineStr">
        <is>
          <t>TAMAYO HERNÁNDEZ DONNA JOHANNA</t>
        </is>
      </c>
      <c r="H97" s="3" t="inlineStr">
        <is>
          <t>2023-11-16</t>
        </is>
      </c>
      <c r="I97" s="3" t="n"/>
      <c r="J97" s="3" t="inlineStr">
        <is>
          <t>Sustentado</t>
        </is>
      </c>
      <c r="K97" s="3" t="n"/>
    </row>
    <row r="98" ht="51" customHeight="1">
      <c r="A98" s="2" t="n">
        <v>98</v>
      </c>
      <c r="B98" s="3" t="inlineStr">
        <is>
          <t>NIDE</t>
        </is>
      </c>
      <c r="C98" s="3" t="inlineStr">
        <is>
          <t>MODELO DE GESTIÓN DE INFORMACIÓN ESPACIAL PARA AUTORREGULAR EL ACCESO A ESTACIONES DE TRANSMILENIO UTILIZANDO HERRAMIENTAS COLABORATIVAS</t>
        </is>
      </c>
      <c r="D98" s="4" t="n">
        <v>2025</v>
      </c>
      <c r="E98" s="3" t="inlineStr">
        <is>
          <t>Profundización</t>
        </is>
      </c>
      <c r="F98" s="3" t="inlineStr">
        <is>
          <t>Luz Angela Rocha Salamanca</t>
        </is>
      </c>
      <c r="G98" s="3" t="inlineStr">
        <is>
          <t>GARCÍA GUZMÁN PEDRO PABLO</t>
        </is>
      </c>
      <c r="H98" s="3" t="inlineStr">
        <is>
          <t>2025-06-17</t>
        </is>
      </c>
      <c r="I98" s="3" t="n"/>
      <c r="J98" s="3" t="inlineStr">
        <is>
          <t>Sustentado</t>
        </is>
      </c>
      <c r="K98" s="3" t="n"/>
    </row>
    <row r="99" ht="38.25" customHeight="1">
      <c r="A99" s="2" t="n">
        <v>99</v>
      </c>
      <c r="B99" s="3" t="inlineStr">
        <is>
          <t>NIDE</t>
        </is>
      </c>
      <c r="C99" s="3" t="inlineStr">
        <is>
          <t>Análisis multitemporal de la conurbación en los municipios de Madrid y Mosquera mediante métodos de Geobia e índices espectrales.</t>
        </is>
      </c>
      <c r="D99" s="4" t="n">
        <v>2025</v>
      </c>
      <c r="E99" s="3" t="inlineStr">
        <is>
          <t>Profundización</t>
        </is>
      </c>
      <c r="F99" s="3" t="inlineStr">
        <is>
          <t>Edilberto Suarez Torres</t>
        </is>
      </c>
      <c r="G99" s="3" t="inlineStr">
        <is>
          <t>GÓMEZ CAMARGO LAURA NICOLE</t>
        </is>
      </c>
      <c r="H99" s="3" t="inlineStr">
        <is>
          <t>2025-12-09</t>
        </is>
      </c>
      <c r="I99" s="3" t="n"/>
      <c r="J99" s="3" t="inlineStr">
        <is>
          <t>Sustentado</t>
        </is>
      </c>
      <c r="K99" s="3" t="n"/>
    </row>
    <row r="100" ht="25.5" customHeight="1">
      <c r="A100" s="2" t="n">
        <v>100</v>
      </c>
      <c r="B100" s="3" t="inlineStr">
        <is>
          <t>GIIRA</t>
        </is>
      </c>
      <c r="C100" s="3" t="inlineStr">
        <is>
          <t>MODELO DE SIG CON EL USO DE REALIDAD AUMENTADA PARA USUARIOS POS CON DISCAPACIDAD AUDITIVA QUE USEN LOS SERVICIOS DE SALUD</t>
        </is>
      </c>
      <c r="D100" s="4" t="n">
        <v>2022</v>
      </c>
      <c r="E100" s="3" t="inlineStr">
        <is>
          <t>Profundización</t>
        </is>
      </c>
      <c r="F100" s="3" t="inlineStr">
        <is>
          <t>Carlos Enrique Montenegro</t>
        </is>
      </c>
      <c r="G100" s="3" t="inlineStr">
        <is>
          <t>MONTES LÓPEZ DIEGO FERNANDO</t>
        </is>
      </c>
      <c r="H100" s="3" t="inlineStr">
        <is>
          <t>2022-08-05</t>
        </is>
      </c>
      <c r="I100" s="3" t="n"/>
      <c r="J100" s="3" t="inlineStr">
        <is>
          <t>Sustentado</t>
        </is>
      </c>
      <c r="K100" s="3" t="n"/>
    </row>
    <row r="101" ht="38.25" customHeight="1">
      <c r="A101" s="2" t="n">
        <v>101</v>
      </c>
      <c r="B101" s="3" t="inlineStr">
        <is>
          <t>INTERNET INTELIGENTE</t>
        </is>
      </c>
      <c r="C101" s="3" t="inlineStr">
        <is>
          <t>PRONOSTICO DE LA ESPERANZA DE VIDA PARA LA POBLACION DE COLOMBIA UTILIZANDO MACHINE
LEARNING</t>
        </is>
      </c>
      <c r="D101" s="4" t="n">
        <v>2025</v>
      </c>
      <c r="E101" s="3" t="inlineStr">
        <is>
          <t>Profundización</t>
        </is>
      </c>
      <c r="F101" s="3" t="inlineStr">
        <is>
          <t>Octavio Jose Salcedo Parra</t>
        </is>
      </c>
      <c r="G101" s="3" t="inlineStr">
        <is>
          <t>PERALTA HERNÁNDEZ ANGIE ESTEFANÍA</t>
        </is>
      </c>
      <c r="H101" s="3" t="inlineStr">
        <is>
          <t>2025-02-28</t>
        </is>
      </c>
      <c r="I101" s="3" t="n"/>
      <c r="J101" s="3" t="inlineStr">
        <is>
          <t>Sustentado</t>
        </is>
      </c>
      <c r="K101" s="3" t="n"/>
    </row>
    <row r="102" ht="38.25" customHeight="1">
      <c r="A102" s="2" t="n">
        <v>102</v>
      </c>
      <c r="B102" s="3" t="inlineStr">
        <is>
          <t>INTERNET INTELIGENTE</t>
        </is>
      </c>
      <c r="C102" s="3" t="inlineStr">
        <is>
          <t>PREDICCION DE ESPERANZA DE VIDA, CONSIDERANDO EL COVID-19 BAJO ALGORITMOS DE MACHINE
LEARNING BASADOS EN DATOS EPIDEMIOLOGICOS Y PATOLOGICOS</t>
        </is>
      </c>
      <c r="D102" s="4" t="n">
        <v>2025</v>
      </c>
      <c r="E102" s="3" t="inlineStr">
        <is>
          <t>Profundización</t>
        </is>
      </c>
      <c r="F102" s="3" t="inlineStr">
        <is>
          <t>Octavio Jose Salcedo Parra</t>
        </is>
      </c>
      <c r="G102" s="3" t="inlineStr">
        <is>
          <t>RODRÍGUEZ LÓPEZ JORGE LEONARDO</t>
        </is>
      </c>
      <c r="H102" s="3" t="inlineStr">
        <is>
          <t>2025-03-25</t>
        </is>
      </c>
      <c r="I102" s="3" t="n"/>
      <c r="J102" s="3" t="inlineStr">
        <is>
          <t>Sustentado</t>
        </is>
      </c>
      <c r="K102" s="3" t="n"/>
    </row>
    <row r="103" ht="38.25" customHeight="1">
      <c r="A103" s="2" t="n">
        <v>103</v>
      </c>
      <c r="B103" s="3" t="inlineStr">
        <is>
          <t>INTERNET INTELIGENTE</t>
        </is>
      </c>
      <c r="C103" s="3" t="inlineStr">
        <is>
          <t>NETWORK SLICING EN REDES 5G PARA TRAFICO STREAMING APLICANDO DEEP LEARNING</t>
        </is>
      </c>
      <c r="D103" s="4" t="n">
        <v>2024</v>
      </c>
      <c r="E103" s="3" t="inlineStr">
        <is>
          <t>Profundización</t>
        </is>
      </c>
      <c r="F103" s="3" t="inlineStr">
        <is>
          <t>Octavio Jose Salcedo Parra</t>
        </is>
      </c>
      <c r="G103" s="3" t="inlineStr">
        <is>
          <t>BOJACA CABRA JOHN NEIVER</t>
        </is>
      </c>
      <c r="H103" s="3" t="inlineStr">
        <is>
          <t>2024-05-27</t>
        </is>
      </c>
      <c r="I103" s="3" t="n"/>
      <c r="J103" s="3" t="inlineStr">
        <is>
          <t>Sustentado</t>
        </is>
      </c>
      <c r="K103" s="3" t="n"/>
    </row>
    <row r="104" ht="25.5" customHeight="1">
      <c r="A104" s="2" t="n">
        <v>104</v>
      </c>
      <c r="B104" s="3" t="inlineStr">
        <is>
          <t>NIDE</t>
        </is>
      </c>
      <c r="C104" s="3" t="inlineStr">
        <is>
          <t>en la detección de malware</t>
        </is>
      </c>
      <c r="D104" s="4" t="n">
        <v>2025</v>
      </c>
      <c r="E104" s="3" t="inlineStr">
        <is>
          <t>Profundización</t>
        </is>
      </c>
      <c r="F104" s="3" t="inlineStr">
        <is>
          <t>Luz Angela Rocha Salamanca</t>
        </is>
      </c>
      <c r="G104" s="3" t="inlineStr">
        <is>
          <t>MONTANO MORENO ANDRES OROSMAN</t>
        </is>
      </c>
      <c r="H104" s="3" t="inlineStr">
        <is>
          <t>2025-08-22</t>
        </is>
      </c>
      <c r="I104" s="3" t="n"/>
      <c r="J104" s="3" t="inlineStr">
        <is>
          <t>Sustentado</t>
        </is>
      </c>
      <c r="K104" s="3" t="n"/>
    </row>
    <row r="105" ht="25.5" customHeight="1">
      <c r="A105" s="2" t="n">
        <v>105</v>
      </c>
      <c r="B105" s="3" t="inlineStr">
        <is>
          <t>GIIRA</t>
        </is>
      </c>
      <c r="C105" s="3" t="inlineStr">
        <is>
          <t>SISTEMA DE SOPORTE DE DECISIONES PARA LA ADMINISTRACION DE PRODUCTOS AGRICOLAS DEL CAMPO COLOMBIANO.</t>
        </is>
      </c>
      <c r="D105" s="4" t="n">
        <v>2022</v>
      </c>
      <c r="E105" s="3" t="inlineStr">
        <is>
          <t>Profundización</t>
        </is>
      </c>
      <c r="F105" s="3" t="inlineStr">
        <is>
          <t>Carlos Enrique Montenegro</t>
        </is>
      </c>
      <c r="G105" s="3" t="inlineStr">
        <is>
          <t>SANCHEZ MANCILLA JUAN SEBASTIAN</t>
        </is>
      </c>
      <c r="H105" s="3" t="inlineStr">
        <is>
          <t>2022-11-24</t>
        </is>
      </c>
      <c r="I105" s="3" t="n"/>
      <c r="J105" s="3" t="inlineStr">
        <is>
          <t>Sustentado</t>
        </is>
      </c>
      <c r="K105" s="3" t="n"/>
    </row>
    <row r="106" ht="25.5" customHeight="1">
      <c r="A106" s="2" t="n">
        <v>106</v>
      </c>
      <c r="B106" s="3" t="inlineStr">
        <is>
          <t>GICOECOL</t>
        </is>
      </c>
      <c r="C106" s="3" t="inlineStr">
        <is>
          <t>SISTEMA IOT PARA LA GESTIÓN DE VARIABLES DE PROCESO EN AMBIENTES DE REFRIGERACIÓN DE LA INDUSTRIA CÁRNICA</t>
        </is>
      </c>
      <c r="D106" s="4" t="n">
        <v>2025</v>
      </c>
      <c r="E106" s="3" t="inlineStr">
        <is>
          <t>Profundización</t>
        </is>
      </c>
      <c r="F106" s="3" t="inlineStr">
        <is>
          <t>Luz Andrea Rodríguez Rojas</t>
        </is>
      </c>
      <c r="G106" s="3" t="inlineStr">
        <is>
          <t>TRIANA USECHE JORDAN CAMILO</t>
        </is>
      </c>
      <c r="H106" s="3" t="inlineStr">
        <is>
          <t>2025-04-10</t>
        </is>
      </c>
      <c r="I106" s="3" t="n"/>
      <c r="J106" s="3" t="inlineStr">
        <is>
          <t>Sustentado</t>
        </is>
      </c>
      <c r="K106" s="3" t="n"/>
    </row>
    <row r="107" ht="25.5" customHeight="1">
      <c r="A107" s="2" t="n">
        <v>107</v>
      </c>
      <c r="B107" s="3" t="inlineStr">
        <is>
          <t>GITEM</t>
        </is>
      </c>
      <c r="C107" s="3" t="inlineStr">
        <is>
          <t>METODOLOGÍA PARA LA CLARIFICACIÓN DEL TERRITORIO; RESGUARDO INDÍGENA LLANOS DEL YARI YAGUARA 2.</t>
        </is>
      </c>
      <c r="D107" s="4" t="n">
        <v>2025</v>
      </c>
      <c r="E107" s="3" t="inlineStr">
        <is>
          <t>Profundización</t>
        </is>
      </c>
      <c r="F107" s="3" t="inlineStr">
        <is>
          <t>Paulo Cesar Coronado Sanchez</t>
        </is>
      </c>
      <c r="G107" s="3" t="inlineStr">
        <is>
          <t>GUERRERO VARONA LUIS MIGUEL</t>
        </is>
      </c>
      <c r="H107" s="3" t="inlineStr">
        <is>
          <t>2025-02-28</t>
        </is>
      </c>
      <c r="I107" s="3" t="n"/>
      <c r="J107" s="3" t="inlineStr">
        <is>
          <t>Sustentado</t>
        </is>
      </c>
      <c r="K107" s="3" t="n"/>
    </row>
    <row r="108" ht="25.5" customHeight="1">
      <c r="A108" s="2" t="n">
        <v>108</v>
      </c>
      <c r="B108" s="3" t="inlineStr">
        <is>
          <t>INTERNET INTELIGENTE</t>
        </is>
      </c>
      <c r="C108" s="3" t="inlineStr">
        <is>
          <t>DISEÑO E IMPLEMENTACION DE UN ENTORNO IOT EN CULTIVOS DE MAIZ EN LA VEREDA DE PIEDRALARGA DEL MUNICIPIO DE CIENAGA  BOYACA</t>
        </is>
      </c>
      <c r="D108" s="4" t="n">
        <v>2023</v>
      </c>
      <c r="E108" s="3" t="inlineStr">
        <is>
          <t>Profundización</t>
        </is>
      </c>
      <c r="F108" s="3" t="inlineStr">
        <is>
          <t>Octavio Jose Salcedo Parra</t>
        </is>
      </c>
      <c r="G108" s="3" t="inlineStr">
        <is>
          <t>GONZALEZ PRIETO FREDY ALEXANDER</t>
        </is>
      </c>
      <c r="H108" s="3" t="inlineStr">
        <is>
          <t>2023-05-23</t>
        </is>
      </c>
      <c r="I108" s="3" t="n"/>
      <c r="J108" s="3" t="inlineStr">
        <is>
          <t>Sustentado</t>
        </is>
      </c>
      <c r="K108" s="3" t="inlineStr">
        <is>
          <t>Grupo completado mediante cruce nominal del director con el directorio institucional de grupos (https://pi.udistrital.edu.co/Unidad-Ingenieria/investigacion); asociación explícita del director con INTERNET INTELIGENTE. Consulta: 2026-09-19.</t>
        </is>
      </c>
    </row>
    <row r="109" ht="63.75" customHeight="1">
      <c r="A109" s="2" t="n">
        <v>110</v>
      </c>
      <c r="B109" s="3" t="inlineStr">
        <is>
          <t>Multimedia Interactiva y Animación Digital</t>
        </is>
      </c>
      <c r="C109" s="3" t="inlineStr">
        <is>
          <t>MODELO DE UN ECOSISTEMA DE REALIDAD VIRTUAL GAMIFICADO ORIENTADO A POTENCIAR LOS PENSAMIENTOS LOGICO MATEMATICO Y ESPACIAL EN NIÑOS DE SEIS A OCHO AÑOS</t>
        </is>
      </c>
      <c r="D109" s="4" t="n">
        <v>2023</v>
      </c>
      <c r="E109" s="3" t="inlineStr">
        <is>
          <t>Profundización</t>
        </is>
      </c>
      <c r="F109" s="3" t="inlineStr">
        <is>
          <t>Paulo Alonso Gaona Garcia</t>
        </is>
      </c>
      <c r="G109" s="3" t="inlineStr">
        <is>
          <t>ORJUELA VELÁSQUEZ SERGIO DAVID</t>
        </is>
      </c>
      <c r="H109" s="3" t="inlineStr">
        <is>
          <t>Acta 027-2023</t>
        </is>
      </c>
      <c r="I109" s="3" t="n"/>
      <c r="J109" s="3" t="inlineStr">
        <is>
          <t>Sustentado</t>
        </is>
      </c>
      <c r="K109" s="3" t="n"/>
    </row>
    <row r="110" ht="63.75" customHeight="1">
      <c r="A110" s="2" t="n">
        <v>111</v>
      </c>
      <c r="B110" s="3" t="inlineStr">
        <is>
          <t>XUE</t>
        </is>
      </c>
      <c r="C110" s="3" t="inlineStr">
        <is>
          <t>APOYO TÉCNICO Y ADMINISTRATIVO EN EL MARCO DE CONVENIO Y
CONTRATO DE COOPERACIÓN INTERADMINISTRATIVO PARA REALIZAR
UN EJERCICIO DE CIENCIA DE DATOS CON UN PROBLEMA DE LA UNIDAD
NACIONAL DE PROTECCIÓN (UNP)</t>
        </is>
      </c>
      <c r="D110" s="4" t="n">
        <v>2024</v>
      </c>
      <c r="E110" s="3" t="inlineStr">
        <is>
          <t>Profundización</t>
        </is>
      </c>
      <c r="F110" s="3" t="inlineStr">
        <is>
          <t>Andres Escobar Diaz</t>
        </is>
      </c>
      <c r="G110" s="3" t="n"/>
      <c r="H110" s="3" t="inlineStr">
        <is>
          <t>Acta 011/2024</t>
        </is>
      </c>
      <c r="I110" s="3" t="n"/>
      <c r="J110" s="3" t="inlineStr">
        <is>
          <t>Sustentado</t>
        </is>
      </c>
      <c r="K110" s="3" t="n"/>
    </row>
    <row r="111" ht="38.25" customHeight="1">
      <c r="A111" s="2" t="n">
        <v>112</v>
      </c>
      <c r="B111" s="3" t="inlineStr">
        <is>
          <t>GITUD</t>
        </is>
      </c>
      <c r="C111" s="3" t="inlineStr">
        <is>
          <t>DESARROLLO DE UN MODELO DE PREDICCIÓN DE CONSUMO DE ENERGÍA EN COMUNIDADES ZNI A TRAVÉS DE INTELIGENCIA ARTIFICIAL</t>
        </is>
      </c>
      <c r="D111" s="4" t="n">
        <v>2026</v>
      </c>
      <c r="E111" s="3" t="inlineStr">
        <is>
          <t>Investigación</t>
        </is>
      </c>
      <c r="F111" s="3" t="inlineStr">
        <is>
          <t>Diego Julián Rodríguez Patarroyo
Codirector: Elvis Eduardo Gaona García</t>
        </is>
      </c>
      <c r="G111" s="3" t="inlineStr">
        <is>
          <t>CUELLAR SALINAS JOHAN NICOLAS</t>
        </is>
      </c>
      <c r="H111" s="3" t="inlineStr">
        <is>
          <t>2026-05-25 | Acta 012-2026</t>
        </is>
      </c>
      <c r="I111" s="3" t="n"/>
      <c r="J111" s="3" t="inlineStr">
        <is>
          <t>Sustentado</t>
        </is>
      </c>
      <c r="K111" s="3" t="n"/>
    </row>
    <row r="112" ht="63.75" customHeight="1">
      <c r="A112" s="2" t="n">
        <v>113</v>
      </c>
      <c r="B112" s="3" t="inlineStr">
        <is>
          <t>LASER</t>
        </is>
      </c>
      <c r="C112" s="3" t="inlineStr">
        <is>
          <t>ESTRATEGIA PREDICTIVA DE CONTROL SOBRE UNA RED SUJETA A PÉRDIDA DE PAQUETES</t>
        </is>
      </c>
      <c r="D112" s="4" t="n">
        <v>2026</v>
      </c>
      <c r="E112" s="3" t="inlineStr">
        <is>
          <t>Investigación</t>
        </is>
      </c>
      <c r="F112" s="3" t="inlineStr">
        <is>
          <t>Andrés Leonardo Jutinicio Alarcón</t>
        </is>
      </c>
      <c r="G112" s="3" t="inlineStr">
        <is>
          <t>ALAYON MORA RICARDO ARTURO</t>
        </is>
      </c>
      <c r="H112" s="3" t="inlineStr">
        <is>
          <t>2026-06-09 | Acta 017-2026</t>
        </is>
      </c>
      <c r="I112" s="3" t="n"/>
      <c r="J112" s="3" t="inlineStr">
        <is>
          <t>Sustentado</t>
        </is>
      </c>
      <c r="K112" s="3" t="n"/>
    </row>
    <row r="113" ht="38.25" customHeight="1">
      <c r="A113" s="2" t="n">
        <v>114</v>
      </c>
      <c r="B113" s="3" t="inlineStr">
        <is>
          <t>LIDER</t>
        </is>
      </c>
      <c r="C113" s="3" t="inlineStr">
        <is>
          <t>MODELOS DE MACHINE LEARNING PARA LA PREDICCIÓN DE TRAYECTORIAS DE TRANSPORTE URBANO BRT: SISTEMA DE TRANSMILENIO, BOGOTÁ D.C</t>
        </is>
      </c>
      <c r="D113" s="4" t="n">
        <v>2026</v>
      </c>
      <c r="E113" s="3" t="inlineStr">
        <is>
          <t>Investigación</t>
        </is>
      </c>
      <c r="F113" s="3" t="inlineStr">
        <is>
          <t>Roberto Ferro Escobar</t>
        </is>
      </c>
      <c r="G113" s="3" t="inlineStr">
        <is>
          <t>CUCHIA RUIZ JAIME ANDRÉS</t>
        </is>
      </c>
      <c r="H113" s="3" t="inlineStr">
        <is>
          <t>2026-06-12 | Acta 021-2026</t>
        </is>
      </c>
      <c r="I113" s="3" t="n"/>
      <c r="J113" s="3" t="inlineStr">
        <is>
          <t>Sustentado</t>
        </is>
      </c>
      <c r="K113" s="3" t="inlineStr">
        <is>
          <t>Grupo LIDER confirmado; año(s) de aval reportado(s): 2025. Se conserva el año de sustentación del registro principal.</t>
        </is>
      </c>
    </row>
    <row r="114" ht="25.5" customHeight="1">
      <c r="A114" s="2" t="n">
        <v>115</v>
      </c>
      <c r="B114" s="3" t="inlineStr">
        <is>
          <t>INTERNET INTELIGENTE</t>
        </is>
      </c>
      <c r="C114" s="3" t="inlineStr">
        <is>
          <t>DISEÑO E IMPLEMENTACIÓN DE REDES RURALES LPWAN CON APLICACIONES A AGRICULTURA INTELIGENTE</t>
        </is>
      </c>
      <c r="D114" s="4" t="n">
        <v>2026</v>
      </c>
      <c r="E114" s="3" t="inlineStr">
        <is>
          <t>Investigación</t>
        </is>
      </c>
      <c r="F114" s="3" t="inlineStr">
        <is>
          <t>Octavio José Salcedo Parra</t>
        </is>
      </c>
      <c r="G114" s="3" t="inlineStr">
        <is>
          <t>ERAZO GUERRERO HERNAN ALVEIRO</t>
        </is>
      </c>
      <c r="H114" s="3" t="inlineStr">
        <is>
          <t>2026-05-13 | Acta 007 - 2026</t>
        </is>
      </c>
      <c r="I114" s="3" t="n"/>
      <c r="J114" s="3" t="inlineStr">
        <is>
          <t>Sustentado</t>
        </is>
      </c>
      <c r="K114" s="3" t="n"/>
    </row>
    <row r="115" ht="38.25" customHeight="1">
      <c r="A115" s="2" t="n">
        <v>116</v>
      </c>
      <c r="B115" s="3" t="inlineStr">
        <is>
          <t>IAFT</t>
        </is>
      </c>
      <c r="C115" s="3" t="inlineStr">
        <is>
          <t>Modelo de clasificación automática de texto en idioma indigena wayuunaki que icorpora caracteristicas gramaticales</t>
        </is>
      </c>
      <c r="D115" s="4" t="n">
        <v>2025</v>
      </c>
      <c r="E115" s="3" t="inlineStr">
        <is>
          <t>Investigación</t>
        </is>
      </c>
      <c r="F115" s="3" t="inlineStr">
        <is>
          <t>Jorge Enrique Rodriguez Rodriguez</t>
        </is>
      </c>
      <c r="G115" s="3" t="inlineStr">
        <is>
          <t>SALAZAR BAEZ DIANA MILENA</t>
        </is>
      </c>
      <c r="H115" s="3" t="inlineStr">
        <is>
          <t>2025-06-13</t>
        </is>
      </c>
      <c r="I115" s="3" t="n"/>
      <c r="J115" s="3" t="inlineStr">
        <is>
          <t>Sustentado</t>
        </is>
      </c>
      <c r="K115" s="3" t="n"/>
    </row>
    <row r="116" ht="25.5" customHeight="1">
      <c r="A116" s="2" t="n">
        <v>117</v>
      </c>
      <c r="B116" s="3" t="inlineStr">
        <is>
          <t>GESETIC</t>
        </is>
      </c>
      <c r="C116" s="3" t="inlineStr">
        <is>
          <t>Metodología Para Caracterización De Amenazas En Sistemas De Control Y Protección De Subestaciones Eléctricas De Transmisión</t>
        </is>
      </c>
      <c r="D116" s="4" t="n">
        <v>2026</v>
      </c>
      <c r="E116" s="3" t="inlineStr">
        <is>
          <t>Profundización</t>
        </is>
      </c>
      <c r="F116" s="3" t="inlineStr">
        <is>
          <t>Álvaro Espinel Ortega 
Codirector: Juan Carlos Carreño Pérz</t>
        </is>
      </c>
      <c r="G116" s="3" t="inlineStr">
        <is>
          <t>MORALES RIVERA JUAN PABLO</t>
        </is>
      </c>
      <c r="H116" s="3" t="inlineStr">
        <is>
          <t>2026-06-10 | Acta 019-2026</t>
        </is>
      </c>
      <c r="I116" s="3" t="n"/>
      <c r="J116" s="3" t="inlineStr">
        <is>
          <t>Sustentado</t>
        </is>
      </c>
      <c r="K116" s="3" t="n"/>
    </row>
    <row r="117" ht="25.5" customHeight="1">
      <c r="A117" s="2" t="n">
        <v>118</v>
      </c>
      <c r="B117" s="3" t="inlineStr">
        <is>
          <t>LASER</t>
        </is>
      </c>
      <c r="C117" s="3" t="inlineStr">
        <is>
          <t>Metodología para la 
Actualización y 
Modernización del Sistema 
AWOS de los Aeropuertos de 
Colombia</t>
        </is>
      </c>
      <c r="D117" s="4" t="n">
        <v>2025</v>
      </c>
      <c r="E117" s="3" t="inlineStr">
        <is>
          <t>Pasantía</t>
        </is>
      </c>
      <c r="F117" s="3" t="inlineStr">
        <is>
          <t>Cesar Andrey Perdomo Charry</t>
        </is>
      </c>
      <c r="G117" s="3" t="inlineStr">
        <is>
          <t>PUENTES PEDRAZA KEVIN JULIAN</t>
        </is>
      </c>
      <c r="H117" s="3" t="inlineStr">
        <is>
          <t>Acta 002-2025</t>
        </is>
      </c>
      <c r="I117" s="3" t="n"/>
      <c r="J117" s="3" t="inlineStr">
        <is>
          <t>Sustentado</t>
        </is>
      </c>
      <c r="K117" s="3" t="n"/>
    </row>
    <row r="118" ht="38.25" customHeight="1">
      <c r="A118" s="2" t="n">
        <v>119</v>
      </c>
      <c r="B118" s="3" t="inlineStr">
        <is>
          <t>LASER</t>
        </is>
      </c>
      <c r="C118" s="3" t="inlineStr">
        <is>
          <t>MODELO DE ARQUITECTURA PARA EL ALMACENAMIENTO DE DATOS DE RADARES METEOROLÓGICOS</t>
        </is>
      </c>
      <c r="D118" s="4" t="n">
        <v>2025</v>
      </c>
      <c r="E118" s="3" t="inlineStr">
        <is>
          <t>Pasantía</t>
        </is>
      </c>
      <c r="F118" s="3" t="inlineStr">
        <is>
          <t>Cesar Andrey Perdomo Charry</t>
        </is>
      </c>
      <c r="G118" s="3" t="inlineStr">
        <is>
          <t>PUENTES RIVERO JONATHAN</t>
        </is>
      </c>
      <c r="H118" s="3" t="inlineStr">
        <is>
          <t>Acta 001-2025</t>
        </is>
      </c>
      <c r="I118" s="3" t="n"/>
      <c r="J118" s="3" t="inlineStr">
        <is>
          <t>Sustentado</t>
        </is>
      </c>
      <c r="K118" s="3" t="n"/>
    </row>
    <row r="119" ht="63.75" customHeight="1">
      <c r="A119" s="2" t="n">
        <v>120</v>
      </c>
      <c r="B119" s="3" t="inlineStr">
        <is>
          <t>NIDE</t>
        </is>
      </c>
      <c r="C119" s="3" t="inlineStr">
        <is>
          <t>AUTOMATIZACIÓN DEL PROCESO DE CONFIGURACIÓN INICIAL DE UN SITIO WEB PARA LA GESTIÓN DE SEGMENTACIONES SEMÁNTICAS MANUALES Y ELABORACIÓN DE PROPUESTA DE INVESTIGACIÓN DE UN MÉTODO INDIRECTO PARA LA DETERMINACIÓN DE ZONAS HOMOGÉNEAS FÍSICAS RURALES</t>
        </is>
      </c>
      <c r="D119" s="4" t="n">
        <v>2025</v>
      </c>
      <c r="E119" s="3" t="inlineStr">
        <is>
          <t>Pasantía</t>
        </is>
      </c>
      <c r="F119" s="3" t="inlineStr">
        <is>
          <t>Jose Antonio Valero</t>
        </is>
      </c>
      <c r="G119" s="3" t="inlineStr">
        <is>
          <t>ORTIZ MONCADA HAESSLER JOAN</t>
        </is>
      </c>
      <c r="H119" s="3" t="inlineStr">
        <is>
          <t>Acta 003-2025</t>
        </is>
      </c>
      <c r="I119" s="3" t="n"/>
      <c r="J119" s="3" t="inlineStr">
        <is>
          <t>Sustentado</t>
        </is>
      </c>
      <c r="K119" s="3" t="inlineStr">
        <is>
          <t>Carta de Aval formal del grupo NIDE para pasantía verificada en Bronze.</t>
        </is>
      </c>
    </row>
    <row r="120" ht="25.5" customHeight="1">
      <c r="A120" s="2" t="n">
        <v>121</v>
      </c>
      <c r="B120" s="3" t="inlineStr">
        <is>
          <t>LIDER</t>
        </is>
      </c>
      <c r="C120" s="3" t="inlineStr">
        <is>
          <t>Modelo de analítica al servicio del sector inmobiliario</t>
        </is>
      </c>
      <c r="D120" s="4" t="n">
        <v>2026</v>
      </c>
      <c r="E120" s="3" t="inlineStr">
        <is>
          <t>Investigación</t>
        </is>
      </c>
      <c r="F120" s="3" t="inlineStr">
        <is>
          <t>Roberto Ferro Escobar</t>
        </is>
      </c>
      <c r="G120" s="3" t="inlineStr">
        <is>
          <t>ALEXANDER MOGOLLON DIAZ</t>
        </is>
      </c>
      <c r="H120" s="3" t="inlineStr">
        <is>
          <t>2026-03-25 | Acta 001-206</t>
        </is>
      </c>
      <c r="I120" s="3" t="n"/>
      <c r="J120" s="3" t="inlineStr">
        <is>
          <t>Sustentado</t>
        </is>
      </c>
      <c r="K120" s="3" t="inlineStr">
        <is>
          <t>Grupo LIDER confirmado; año(s) de aval reportado(s): 2025. Se conserva el año de sustentación del registro principal.</t>
        </is>
      </c>
    </row>
    <row r="121" ht="63.75" customHeight="1">
      <c r="A121" s="2" t="n">
        <v>122</v>
      </c>
      <c r="B121" s="3" t="inlineStr">
        <is>
          <t>PROPROBOS</t>
        </is>
      </c>
      <c r="C121" s="3" t="inlineStr">
        <is>
          <t>MODELADO PREDICTIVO DE LA INCIDENCIA DEL DETERIORO DEL ARBOLADO URBANO CON APRENDIZAJE AUTOMÁTICO Y GIS: IMPLEMENTACIÓN DE SERVICIOS GEOGRÁFICOS WEB PARA UNA ZONIFICACIÓN DE MANEJO PARA LA CIUDAD DE CALI -COLOMBIA</t>
        </is>
      </c>
      <c r="D121" s="4" t="n">
        <v>2026</v>
      </c>
      <c r="E121" s="3" t="inlineStr">
        <is>
          <t>Investigación</t>
        </is>
      </c>
      <c r="F121" s="3" t="inlineStr">
        <is>
          <t>Max Alejandro Triana Gómez</t>
        </is>
      </c>
      <c r="G121" s="3" t="inlineStr">
        <is>
          <t>Cristian Camilo Hurtado Vásquez</t>
        </is>
      </c>
      <c r="H121" s="3" t="inlineStr">
        <is>
          <t>Acta 004-2026</t>
        </is>
      </c>
      <c r="I121" s="3" t="n"/>
      <c r="J121" s="3" t="inlineStr">
        <is>
          <t>Sustentado</t>
        </is>
      </c>
      <c r="K121" s="3" t="inlineStr">
        <is>
          <t>Carta de Aval y Viabilidad formal del grupo PROPROBOS verificada en Bronze.</t>
        </is>
      </c>
    </row>
    <row r="122" ht="25.5" customHeight="1">
      <c r="A122" s="2" t="n">
        <v>123</v>
      </c>
      <c r="B122" s="3" t="inlineStr">
        <is>
          <t>CEPMS</t>
        </is>
      </c>
      <c r="C122" s="3" t="inlineStr">
        <is>
          <t>Un modelo de clasificación del estado del pavimento a partir de imágenes, tomas video y señales de GNSS</t>
        </is>
      </c>
      <c r="D122" s="4" t="n">
        <v>2026</v>
      </c>
      <c r="E122" s="3" t="inlineStr">
        <is>
          <t>Investigación</t>
        </is>
      </c>
      <c r="F122" s="3" t="inlineStr">
        <is>
          <t>Wilmar Darío Fernández Gómez</t>
        </is>
      </c>
      <c r="G122" s="3" t="inlineStr">
        <is>
          <t>Diego Fernando Espinel Gómez</t>
        </is>
      </c>
      <c r="H122" s="3" t="inlineStr">
        <is>
          <t>Acta 002-2026</t>
        </is>
      </c>
      <c r="I122" s="3" t="n"/>
      <c r="J122" s="3" t="inlineStr">
        <is>
          <t>Sustentado</t>
        </is>
      </c>
      <c r="K122" s="3" t="inlineStr">
        <is>
          <t>Carta de Aval y Viabilidad formal del grupo CEPMS verificada en Bronze.</t>
        </is>
      </c>
    </row>
    <row r="123" ht="63.75" customHeight="1">
      <c r="A123" s="2" t="n">
        <v>124</v>
      </c>
      <c r="B123" s="3" t="inlineStr">
        <is>
          <t>NIDE</t>
        </is>
      </c>
      <c r="C123" s="3" t="inlineStr">
        <is>
          <t>Una implementación de la propuesta de modelo extendido de administración de tierras (LADM-COL) para el inventario vial.</t>
        </is>
      </c>
      <c r="D123" s="4" t="n">
        <v>2026</v>
      </c>
      <c r="E123" s="3" t="inlineStr">
        <is>
          <t>Investigación</t>
        </is>
      </c>
      <c r="F123" s="3" t="inlineStr">
        <is>
          <t>Wilmar Darío Fernández Gómez - Luz Angela Rocha Salamanca</t>
        </is>
      </c>
      <c r="G123" s="3" t="inlineStr">
        <is>
          <t>Ariana Carolina Cruz Hincapié</t>
        </is>
      </c>
      <c r="H123" s="3" t="inlineStr">
        <is>
          <t>2026-05-07 | Acta 003 - 2026</t>
        </is>
      </c>
      <c r="I123" s="3" t="n"/>
      <c r="J123" s="3" t="inlineStr">
        <is>
          <t>Sustentado</t>
        </is>
      </c>
      <c r="K123" s="3" t="inlineStr">
        <is>
          <t>Grupo completado por coincidencia nominal consistente del director en otros registros del consolidado (NIDE); el portal institucional se usó como catálogo de contraste. Validar con certificación del grupo si se requiere soporte individual.</t>
        </is>
      </c>
    </row>
    <row r="124" ht="63.75" customHeight="1">
      <c r="A124" s="2" t="n">
        <v>125</v>
      </c>
      <c r="B124" s="3" t="inlineStr">
        <is>
          <t>INTERNET INTELIGENTE</t>
        </is>
      </c>
      <c r="C124" s="3" t="inlineStr">
        <is>
          <t>MODELO PREDICTIVO BASADO EN APRENDIZAJE AUTOMÁTICO PARA LA ESTIMACIÓN DE LA COMPENSACIÓN VOLUMÉTRICA POR CALIDAD (CVC) EN SISTEMAS DE TRANSPORTE DE CRUDO EN COLOMBIA</t>
        </is>
      </c>
      <c r="D124" s="4" t="n">
        <v>2026</v>
      </c>
      <c r="E124" s="3" t="inlineStr">
        <is>
          <t>Profundización</t>
        </is>
      </c>
      <c r="F124" s="3" t="inlineStr">
        <is>
          <t>Octavio José Salcedo Parra</t>
        </is>
      </c>
      <c r="G124" s="3" t="inlineStr">
        <is>
          <t>William Roberto Garcia Rincón</t>
        </is>
      </c>
      <c r="H124" s="3" t="inlineStr">
        <is>
          <t>2026-06-01 | Acta 015 - 2026</t>
        </is>
      </c>
      <c r="I124" s="3" t="n"/>
      <c r="J124" s="3" t="inlineStr">
        <is>
          <t>Sustentado</t>
        </is>
      </c>
      <c r="K124" s="3" t="inlineStr">
        <is>
          <t>Grupo completado mediante cruce nominal del director con el directorio institucional de grupos (https://pi.udistrital.edu.co/Unidad-Ingenieria/investigacion); asociación explícita del director con INTERNET INTELIGENTE. Consulta: 2026-09-19.</t>
        </is>
      </c>
    </row>
    <row r="125" ht="51" customHeight="1">
      <c r="A125" s="2" t="n">
        <v>126</v>
      </c>
      <c r="B125" s="3" t="inlineStr">
        <is>
          <t>INTERNET INTELIGENTE</t>
        </is>
      </c>
      <c r="C125" s="3" t="inlineStr">
        <is>
          <t>PROTOTIPO DE SISTEMA LUMINICO PARA LA PRODUCCION CONTROLADA DE PLANTAS MEDICINALES DE LA TAXONOMIA CANNABIS SATIVA VAR. RUDERALIS UTILIZANDO ENERGIAS ALTERNATIVAS</t>
        </is>
      </c>
      <c r="D125" s="4" t="n">
        <v>2026</v>
      </c>
      <c r="E125" s="3" t="inlineStr">
        <is>
          <t>Profundización</t>
        </is>
      </c>
      <c r="F125" s="3" t="inlineStr">
        <is>
          <t>Octavio José Salcedo Parra</t>
        </is>
      </c>
      <c r="G125" s="3" t="inlineStr">
        <is>
          <t>Omar Pedraza Romero</t>
        </is>
      </c>
      <c r="H125" s="3" t="inlineStr">
        <is>
          <t>2026-05-13 | Acta 006 - 2026</t>
        </is>
      </c>
      <c r="I125" s="3" t="n"/>
      <c r="J125" s="3" t="inlineStr">
        <is>
          <t>Sustentado</t>
        </is>
      </c>
      <c r="K125" s="3" t="inlineStr">
        <is>
          <t>Grupo completado mediante cruce nominal del director con el directorio institucional de grupos (https://pi.udistrital.edu.co/Unidad-Ingenieria/investigacion); asociación explícita del director con INTERNET INTELIGENTE. Consulta: 2026-09-19.</t>
        </is>
      </c>
    </row>
    <row r="126" ht="63.75" customHeight="1">
      <c r="A126" s="2" t="n">
        <v>127</v>
      </c>
      <c r="B126" s="3" t="inlineStr">
        <is>
          <t>LIDER</t>
        </is>
      </c>
      <c r="C126" s="3" t="inlineStr">
        <is>
          <t>DISEÑO E IMPLEMENTACIÓN DE UN MODELO DE TRAZABILIDAD DESCENTRALIZADA EN LA CADENA DE SUMINISTRO DE MEDICAMENTOS</t>
        </is>
      </c>
      <c r="D126" s="4" t="n">
        <v>2026</v>
      </c>
      <c r="E126" s="3" t="inlineStr">
        <is>
          <t>Profundización</t>
        </is>
      </c>
      <c r="F126" s="3" t="inlineStr">
        <is>
          <t>Roberto Albeiro Pava Díaz / Darío Alejandro Segura Torres</t>
        </is>
      </c>
      <c r="G126" s="3" t="inlineStr">
        <is>
          <t>Nidia Helena Sandoval Mesa</t>
        </is>
      </c>
      <c r="H126" s="3" t="inlineStr">
        <is>
          <t>2026-05-21 | Acta 010 - 2026</t>
        </is>
      </c>
      <c r="I126" s="3" t="n"/>
      <c r="J126" s="3" t="inlineStr">
        <is>
          <t>Sustentado</t>
        </is>
      </c>
      <c r="K126" s="3" t="inlineStr">
        <is>
          <t>Grupo LIDER confirmado; año(s) de aval reportado(s): 2025. Se conserva el año de sustentación del registro principal.</t>
        </is>
      </c>
    </row>
    <row r="127" ht="63.75" customHeight="1">
      <c r="A127" s="2" t="n">
        <v>128</v>
      </c>
      <c r="B127" s="3" t="inlineStr">
        <is>
          <t>NIDE</t>
        </is>
      </c>
      <c r="C127" s="3" t="inlineStr">
        <is>
          <t>VULNERAVILIDAD TERRITORIAL A LA QUEMA DE BIOMASA EN CIUDAD BOLÍVAR, BOGOTÁ 2024</t>
        </is>
      </c>
      <c r="D127" s="4" t="n">
        <v>2026</v>
      </c>
      <c r="E127" s="3" t="inlineStr">
        <is>
          <t>Profundización</t>
        </is>
      </c>
      <c r="F127" s="3" t="inlineStr">
        <is>
          <t>Carlos Hernán Castro Ortega</t>
        </is>
      </c>
      <c r="G127" s="3" t="inlineStr">
        <is>
          <t>Natalia Caita Sotaquira</t>
        </is>
      </c>
      <c r="H127" s="3" t="inlineStr">
        <is>
          <t>Acta 011-2026</t>
        </is>
      </c>
      <c r="I127" s="3" t="n"/>
      <c r="J127" s="3" t="inlineStr">
        <is>
          <t>Sustentado</t>
        </is>
      </c>
      <c r="K127" s="3" t="inlineStr">
        <is>
          <t>Carta de Aval y Viabilidad formal del grupo NIDE verificada en Bronze.</t>
        </is>
      </c>
    </row>
    <row r="128" ht="38.25" customHeight="1">
      <c r="A128" s="2" t="n">
        <v>129</v>
      </c>
      <c r="B128" s="3" t="inlineStr">
        <is>
          <t>INTERNET INTELIGENTE</t>
        </is>
      </c>
      <c r="C128" s="3" t="inlineStr">
        <is>
          <t>MODELO PARA LA EVALUACIÓN DE INFORMES DE INTERCEPTACIÓN DE COMUNICACIONES TELEFÓNICAS A TRAVÉS DEL PROCESAMIENTO DE LENGUAJE NATURAL</t>
        </is>
      </c>
      <c r="D128" s="4" t="n">
        <v>2026</v>
      </c>
      <c r="E128" s="3" t="inlineStr">
        <is>
          <t>Profundización</t>
        </is>
      </c>
      <c r="F128" s="3" t="inlineStr">
        <is>
          <t>Octavio José Salcedo Parra</t>
        </is>
      </c>
      <c r="G128" s="3" t="inlineStr">
        <is>
          <t>William Fernando Suárez Bastidas</t>
        </is>
      </c>
      <c r="H128" s="3" t="inlineStr">
        <is>
          <t>2026-05-20 | Acta 009 - 2026</t>
        </is>
      </c>
      <c r="I128" s="3" t="n"/>
      <c r="J128" s="3" t="inlineStr">
        <is>
          <t>Sustentado</t>
        </is>
      </c>
      <c r="K128" s="3" t="inlineStr">
        <is>
          <t>Grupo completado mediante cruce nominal del director con el directorio institucional de grupos (https://pi.udistrital.edu.co/Unidad-Ingenieria/investigacion); asociación explícita del director con INTERNET INTELIGENTE. Consulta: 2026-09-19.</t>
        </is>
      </c>
    </row>
    <row r="129" ht="63.75" customHeight="1">
      <c r="A129" s="2" t="n">
        <v>130</v>
      </c>
      <c r="B129" s="3" t="inlineStr">
        <is>
          <t>LIDER</t>
        </is>
      </c>
      <c r="C129" s="3" t="inlineStr">
        <is>
          <t>MODELO DE RECOMENDACIÓN DE ALOJAMIENTOS TURÍSTICOS MEDIANTE MACHINE LEARNING, CON EXTRACCIÓN DE INFORMACIÓN A TRAVÉS DE LA TÉCNICA DE WEB SCRAPING</t>
        </is>
      </c>
      <c r="D129" s="4" t="n">
        <v>2026</v>
      </c>
      <c r="E129" s="3" t="inlineStr">
        <is>
          <t>Investigación</t>
        </is>
      </c>
      <c r="F129" s="3" t="inlineStr">
        <is>
          <t>Jorge Enrique Salamanca Céspedes / José Ignacio Rodríguez Molan</t>
        </is>
      </c>
      <c r="G129" s="3" t="inlineStr">
        <is>
          <t>Juan Camilo Castañeda</t>
        </is>
      </c>
      <c r="H129" s="3" t="inlineStr">
        <is>
          <t>2026-05-19 | Acta 008 - 2026</t>
        </is>
      </c>
      <c r="I129" s="3" t="n"/>
      <c r="J129" s="3" t="inlineStr">
        <is>
          <t>Sustentado</t>
        </is>
      </c>
      <c r="K129" s="3" t="inlineStr">
        <is>
          <t>Grupo LIDER confirmado; año(s) de aval reportado(s): 2023 y 2024. Se conserva el año de sustentación del registro principal.</t>
        </is>
      </c>
    </row>
    <row r="130" ht="63.75" customHeight="1">
      <c r="A130" s="2" t="n">
        <v>131</v>
      </c>
      <c r="B130" s="3" t="inlineStr">
        <is>
          <t>INTECSE</t>
        </is>
      </c>
      <c r="C130" s="3" t="inlineStr">
        <is>
          <t>PRONÓSTICO DE LA PRODUCCIÓN DE CULTIVOS TRANSITORIAS DE GRAN ESCALA EN COLOMBIA MEDIANTE SERIES TEMPORALES Y APRENDIZAJE AUTOMÁTICO</t>
        </is>
      </c>
      <c r="D130" s="4" t="n">
        <v>2026</v>
      </c>
      <c r="E130" s="3" t="inlineStr">
        <is>
          <t>Investigación</t>
        </is>
      </c>
      <c r="F130" s="3" t="inlineStr">
        <is>
          <t>Julio Barón Velandia 
Codirector: Sebastián Camilo Vanegas</t>
        </is>
      </c>
      <c r="G130" s="3" t="inlineStr">
        <is>
          <t>Norbey Danilo Muñóz Cañón</t>
        </is>
      </c>
      <c r="H130" s="3" t="inlineStr">
        <is>
          <t>2026-05-20 | Acta 005 - 2026</t>
        </is>
      </c>
      <c r="I130" s="3" t="n"/>
      <c r="J130" s="3" t="inlineStr">
        <is>
          <t>Sustentado</t>
        </is>
      </c>
      <c r="K130" s="3" t="inlineStr">
        <is>
          <t>Grupo completado mediante cruce nominal del director con el directorio institucional de grupos (https://pi.udistrital.edu.co/Unidad-Ingenieria/investigacion); asociación explícita del director con INTECSE. Consulta: 2026-09-19.</t>
        </is>
      </c>
    </row>
    <row r="131" ht="38.25" customHeight="1">
      <c r="A131" s="2" t="n">
        <v>132</v>
      </c>
      <c r="B131" s="3" t="inlineStr">
        <is>
          <t>GESETIC</t>
        </is>
      </c>
      <c r="C131" s="3" t="inlineStr">
        <is>
          <t>DISEÑO E IMPLEMENTACIÓN DE UN GESTOR DE EVENTOS PARA LA RECOLECCIÓN AUTOMÁTICA DE REGISTROS DE FALLAS DE RELÉS DE PROTECCIÓN ELÉCTRICA MULTIMARCA A TRAVÉS DEL PROTOCOLO IEC 61850</t>
        </is>
      </c>
      <c r="D131" s="4" t="n">
        <v>2026</v>
      </c>
      <c r="E131" s="3" t="inlineStr">
        <is>
          <t>Profundización</t>
        </is>
      </c>
      <c r="F131" s="3" t="inlineStr">
        <is>
          <t>Álvaro Espinel Ortega 
Codirector: Juan Carlos Carreño Pérez</t>
        </is>
      </c>
      <c r="G131" s="3" t="inlineStr">
        <is>
          <t>Edwin Fernando Rincón Buitrago</t>
        </is>
      </c>
      <c r="H131" s="3" t="inlineStr">
        <is>
          <t>2026-06-05 | Acta 016-2026</t>
        </is>
      </c>
      <c r="I131" s="3" t="n"/>
      <c r="J131" s="3" t="inlineStr">
        <is>
          <t>Sustentado</t>
        </is>
      </c>
      <c r="K131" s="3" t="inlineStr">
        <is>
          <t>Grupo completado por coincidencia nominal consistente del director en otros registros del consolidado (GESETIC); el portal institucional se usó como catálogo de contraste. Validar con certificación del grupo si se requiere soporte individual.</t>
        </is>
      </c>
    </row>
    <row r="132" ht="63.75" customHeight="1">
      <c r="A132" s="2" t="n">
        <v>133</v>
      </c>
      <c r="B132" s="3" t="inlineStr">
        <is>
          <t>LIDER</t>
        </is>
      </c>
      <c r="C132" s="3" t="inlineStr">
        <is>
          <t>ALGORITMOS BASADOS EN MACHINE LEARNING APLICADOS A LA PREDICCIÓN DE FLUJO DE TRÁFICO EN CIUDADES INTELIGENTES.</t>
        </is>
      </c>
      <c r="D132" s="4" t="n">
        <v>2026</v>
      </c>
      <c r="E132" s="3" t="inlineStr">
        <is>
          <t>Investigación</t>
        </is>
      </c>
      <c r="F132" s="3" t="inlineStr">
        <is>
          <t>Roberto Ferro Escobar</t>
        </is>
      </c>
      <c r="G132" s="3" t="inlineStr">
        <is>
          <t>William Yesid Aguirre Carpeta</t>
        </is>
      </c>
      <c r="H132" s="3" t="inlineStr">
        <is>
          <t>2026-09-07 | Acta 029-2026</t>
        </is>
      </c>
      <c r="I132" s="3" t="n"/>
      <c r="J132" s="3" t="inlineStr">
        <is>
          <t>Sustentado</t>
        </is>
      </c>
      <c r="K132" s="3" t="inlineStr">
        <is>
          <t>Grupo LIDER confirmado; año(s) de aval reportado(s): 2025. Se conserva el año de sustentación del registro principal.</t>
        </is>
      </c>
    </row>
    <row r="133" ht="51" customHeight="1">
      <c r="A133" s="2" t="n">
        <v>134</v>
      </c>
      <c r="B133" s="3" t="inlineStr">
        <is>
          <t>GEFEM</t>
        </is>
      </c>
      <c r="C133" s="3" t="inlineStr">
        <is>
          <t>METODOLOGÍA BASADA EN GEOMARKETING PARA EL ANÁLISIS DE ACCESIBILIDAD A BIENES Y SERVICIOS EN ZONAS RURALES DE COLOMBIA</t>
        </is>
      </c>
      <c r="D133" s="4" t="n">
        <v>2026</v>
      </c>
      <c r="E133" s="3" t="inlineStr">
        <is>
          <t>Investigación</t>
        </is>
      </c>
      <c r="F133" s="3" t="inlineStr">
        <is>
          <t>Luis Eduardo Castillo</t>
        </is>
      </c>
      <c r="G133" s="3" t="inlineStr">
        <is>
          <t>Fernando Zubieta Cortes</t>
        </is>
      </c>
      <c r="H133" s="3" t="inlineStr">
        <is>
          <t>2026-07-30 | Acta 027-2026</t>
        </is>
      </c>
      <c r="I133" s="3" t="n"/>
      <c r="J133" s="3" t="inlineStr">
        <is>
          <t>Sustentado</t>
        </is>
      </c>
      <c r="K133" s="3" t="inlineStr">
        <is>
          <t>Grupo completado por coincidencia nominal consistente del director en otros registros del consolidado (GEFEM); el portal institucional se usó como catálogo de contraste. Validar con certificación del grupo si se requiere soporte individual.</t>
        </is>
      </c>
    </row>
    <row r="134" ht="25.5" customHeight="1">
      <c r="A134" s="2" t="n">
        <v>135</v>
      </c>
      <c r="B134" s="3" t="inlineStr">
        <is>
          <t>GEFEM</t>
        </is>
      </c>
      <c r="C134" s="3" t="inlineStr">
        <is>
          <t>ESTIMACIÓN DE PARÁMETROS PARA LA EVALUACIÓN DEL ÍNDICE DE CALIDAD DE AGUA EN EL LAGO GEORGE MEDIANTE EL USO DE IMÁGENES SENTINEL-2 Y MACHINE LEARNING</t>
        </is>
      </c>
      <c r="D134" s="4" t="n">
        <v>2026</v>
      </c>
      <c r="E134" s="3" t="inlineStr">
        <is>
          <t>Profundización</t>
        </is>
      </c>
      <c r="F134" s="3" t="inlineStr">
        <is>
          <t>Rubén Javier Medina Daza</t>
        </is>
      </c>
      <c r="G134" s="3" t="inlineStr">
        <is>
          <t>Gerardo Andrés Patiño Montoya</t>
        </is>
      </c>
      <c r="H134" s="3" t="inlineStr">
        <is>
          <t>2026-07-29 | Acta 025-2026</t>
        </is>
      </c>
      <c r="I134" s="3" t="n"/>
      <c r="J134" s="3" t="inlineStr">
        <is>
          <t>Sustentado</t>
        </is>
      </c>
      <c r="K134" s="3" t="inlineStr">
        <is>
          <t>Grupo completado por coincidencia nominal consistente del director en otros registros del consolidado (GEFEM); el portal institucional se usó como catálogo de contraste. Validar con certificación del grupo si se requiere soporte individual.</t>
        </is>
      </c>
    </row>
    <row r="135" ht="51" customHeight="1">
      <c r="A135" s="2" t="n">
        <v>136</v>
      </c>
      <c r="B135" s="3" t="inlineStr">
        <is>
          <t>NIDE</t>
        </is>
      </c>
      <c r="C135" s="3" t="inlineStr">
        <is>
          <t>Modelado espacio-temporal de eventos sísmicos en Colombia entre 2005 – 2020 mediante procesos de Cox Log-Gaussian y aproximación Bayesiana INLA-SPDE</t>
        </is>
      </c>
      <c r="D135" s="4" t="n">
        <v>2026</v>
      </c>
      <c r="E135" s="3" t="inlineStr">
        <is>
          <t>Investigación</t>
        </is>
      </c>
      <c r="F135" s="3" t="inlineStr">
        <is>
          <t>Carlos Eduardo Melo Martínez</t>
        </is>
      </c>
      <c r="G135" s="3" t="inlineStr">
        <is>
          <t>Jason Mauricio Romero Ríos</t>
        </is>
      </c>
      <c r="H135" s="3" t="inlineStr">
        <is>
          <t>Programada: 2026-09-17</t>
        </is>
      </c>
      <c r="I135" s="3" t="n"/>
      <c r="J135" s="3" t="inlineStr">
        <is>
          <t>Programado o radicado, no sustentado</t>
        </is>
      </c>
      <c r="K135" s="3" t="inlineStr">
        <is>
          <t>Grupo completado por coincidencia nominal consistente del director en otros registros del consolidado (NIDE); el portal institucional se usó como catálogo de contraste. Validar con certificación del grupo si se requiere soporte individual.</t>
        </is>
      </c>
    </row>
    <row r="136" ht="51" customHeight="1">
      <c r="A136" s="2" t="n">
        <v>137</v>
      </c>
      <c r="B136" s="3" t="inlineStr">
        <is>
          <t>ARMOS</t>
        </is>
      </c>
      <c r="C136" s="3" t="inlineStr">
        <is>
          <t>DISEÑO E IMPLEMENTACIÓN DE UN SISTEMA RAG (RETRIEVAL-AUGMENTED GENERATION) EN UN LLM PARA LA CONSTRUCCIÓN DE REGLAS YARA EN LA DETECCIÓN DE MALWARE</t>
        </is>
      </c>
      <c r="D136" s="4" t="n">
        <v>2026</v>
      </c>
      <c r="E136" s="3" t="inlineStr">
        <is>
          <t>Profundización</t>
        </is>
      </c>
      <c r="F136" s="3" t="inlineStr">
        <is>
          <t>Edwar Jacinto Gómez
Codirector: Eduwin Parra</t>
        </is>
      </c>
      <c r="G136" s="3" t="inlineStr">
        <is>
          <t>Cesar Ivan Quintero Garzón</t>
        </is>
      </c>
      <c r="H136" s="3" t="inlineStr">
        <is>
          <t>Programada: 2026-06-05</t>
        </is>
      </c>
      <c r="I136" s="3" t="n"/>
      <c r="J136" s="3" t="inlineStr">
        <is>
          <t>Programado o radicado, no sustentado</t>
        </is>
      </c>
      <c r="K136" s="3" t="inlineStr">
        <is>
          <t>Grupo completado por coincidencia nominal consistente del director en otros registros del consolidado (ARMOS); el portal institucional se usó como catálogo de contraste. Validar con certificación del grupo si se requiere soporte individual.</t>
        </is>
      </c>
    </row>
    <row r="137" ht="51" customHeight="1">
      <c r="A137" s="2" t="n">
        <v>138</v>
      </c>
      <c r="B137" s="3" t="inlineStr">
        <is>
          <t>LASER</t>
        </is>
      </c>
      <c r="C137" s="3" t="inlineStr">
        <is>
          <t>DESARROLLO DE UNA HERRAMIENTA DE VISUALIZACIÓN DE ALTO RENDIMIENTO PARA DATOS DE RADAR METEOROLÓGICO EN FORMATO ARCO/ZARR, EMPLEANDO MALLAS NO ESTRUCTURADAS</t>
        </is>
      </c>
      <c r="D137" s="4" t="n">
        <v>2026</v>
      </c>
      <c r="E137" s="3" t="inlineStr">
        <is>
          <t>Investigación</t>
        </is>
      </c>
      <c r="F137" s="3" t="inlineStr">
        <is>
          <t>Cesar Andrey Perdomo Charry</t>
        </is>
      </c>
      <c r="G137" s="3" t="inlineStr">
        <is>
          <t>Danny Fabián Mora Peña</t>
        </is>
      </c>
      <c r="H137" s="3" t="inlineStr">
        <is>
          <t>Programada: 2026-08-27</t>
        </is>
      </c>
      <c r="I137" s="3" t="n"/>
      <c r="J137" s="3" t="inlineStr">
        <is>
          <t>Programado o radicado, no sustentado</t>
        </is>
      </c>
      <c r="K137" s="3" t="inlineStr">
        <is>
          <t>Grupo completado por coincidencia nominal consistente del director en otros registros del consolidado (LASER); el portal institucional se usó como catálogo de contraste. Validar con certificación del grupo si se requiere soporte individual.</t>
        </is>
      </c>
    </row>
    <row r="138" ht="51" customHeight="1">
      <c r="A138" s="2" t="n">
        <v>139</v>
      </c>
      <c r="B138" s="3" t="inlineStr">
        <is>
          <t>GITEM</t>
        </is>
      </c>
      <c r="C138" s="3" t="inlineStr">
        <is>
          <t>ARQUITECTURA FUNCIONAL PARA UN MALETÍN DE TELEDIAGNÓSTICO</t>
        </is>
      </c>
      <c r="D138" s="4" t="n">
        <v>2026</v>
      </c>
      <c r="E138" s="3" t="inlineStr">
        <is>
          <t>Investigación</t>
        </is>
      </c>
      <c r="F138" s="3" t="inlineStr">
        <is>
          <t>Lilia Edith Aparicio</t>
        </is>
      </c>
      <c r="G138" s="3" t="inlineStr">
        <is>
          <t>Cristian Julián Solarte Rosas</t>
        </is>
      </c>
      <c r="H138" s="3" t="inlineStr">
        <is>
          <t>Programada: 2026-08-27</t>
        </is>
      </c>
      <c r="I138" s="3" t="n"/>
      <c r="J138" s="3" t="inlineStr">
        <is>
          <t>Programado o radicado, no sustentado</t>
        </is>
      </c>
      <c r="K138" s="3" t="inlineStr">
        <is>
          <t>Grupo completado por coincidencia nominal consistente del director en otros registros del consolidado (GITEM); el portal institucional se usó como catálogo de contraste. Validar con certificación del grupo si se requiere soporte individual.</t>
        </is>
      </c>
    </row>
    <row r="139" ht="51" customHeight="1">
      <c r="A139" s="2" t="n">
        <v>140</v>
      </c>
      <c r="B139" s="3" t="inlineStr">
        <is>
          <t>ITI</t>
        </is>
      </c>
      <c r="C139" s="3" t="inlineStr">
        <is>
          <t>DISEÑO DE UNA RED NEURONAL CONVOLUCIONAL PARA IDENTIFICAR EL TROMBOEMBOLISMO PULMONAR EN TOMOGRAFÍAS.</t>
        </is>
      </c>
      <c r="D139" s="4" t="n">
        <v>2026</v>
      </c>
      <c r="E139" s="3" t="inlineStr">
        <is>
          <t>Investigación</t>
        </is>
      </c>
      <c r="F139" s="3" t="inlineStr">
        <is>
          <t>Hector Arturo Florez Fernandez</t>
        </is>
      </c>
      <c r="G139" s="3" t="inlineStr">
        <is>
          <t>Cristian Andres Velandia Montaño</t>
        </is>
      </c>
      <c r="H139" s="3" t="inlineStr">
        <is>
          <t>Programada: 2026-08-27</t>
        </is>
      </c>
      <c r="I139" s="3" t="n"/>
      <c r="J139" s="3" t="inlineStr">
        <is>
          <t>Programado o radicado, no sustentado</t>
        </is>
      </c>
      <c r="K139" s="3" t="inlineStr">
        <is>
          <t>Grupo completado por coincidencia nominal consistente del director en otros registros del consolidado (ITI); el portal institucional se usó como catálogo de contraste. Validar con certificación del grupo si se requiere soporte individual.</t>
        </is>
      </c>
    </row>
    <row r="140" ht="51" customHeight="1">
      <c r="A140" s="2" t="n">
        <v>141</v>
      </c>
      <c r="B140" s="3" t="inlineStr">
        <is>
          <t>GITEM++</t>
        </is>
      </c>
      <c r="C140" s="3" t="inlineStr">
        <is>
          <t>EXPLORACIÓN METODOLÓGICA MULTIVARIADA APLICADA A SEIS REGISTROS POBLACIONALES DE CÁNCER EN COLOMBIA</t>
        </is>
      </c>
      <c r="D140" s="4" t="n">
        <v>2026</v>
      </c>
      <c r="E140" s="3" t="inlineStr">
        <is>
          <t>Profundización</t>
        </is>
      </c>
      <c r="F140" s="3" t="inlineStr">
        <is>
          <t>Leonardo Plazas Nossa</t>
        </is>
      </c>
      <c r="G140" s="3" t="inlineStr">
        <is>
          <t>Jhonatan González Salguero</t>
        </is>
      </c>
      <c r="H140" s="3" t="inlineStr">
        <is>
          <t>Programada: 2026-08-28</t>
        </is>
      </c>
      <c r="I140" s="3" t="n"/>
      <c r="J140" s="3" t="inlineStr">
        <is>
          <t>Programado o radicado, no sustentado</t>
        </is>
      </c>
      <c r="K140" s="3" t="inlineStr">
        <is>
          <t>Radicación de anteproyecto con solicitud expresa de remisión a GITEM++ verificada en Bronze.</t>
        </is>
      </c>
    </row>
    <row r="141" ht="51" customHeight="1">
      <c r="A141" s="2" t="n">
        <v>142</v>
      </c>
      <c r="B141" s="3" t="inlineStr">
        <is>
          <t>NIDE</t>
        </is>
      </c>
      <c r="C141" s="3"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141" s="4" t="n">
        <v>2026</v>
      </c>
      <c r="E141" s="3" t="inlineStr">
        <is>
          <t>Profundización</t>
        </is>
      </c>
      <c r="F141" s="3" t="inlineStr">
        <is>
          <t>Hector Javier Fuentes López</t>
        </is>
      </c>
      <c r="G141" s="3" t="inlineStr">
        <is>
          <t>Rusby Vanessa Castro Alfere</t>
        </is>
      </c>
      <c r="H141" s="3" t="inlineStr">
        <is>
          <t>Programada: 2026-08-28</t>
        </is>
      </c>
      <c r="I141" s="3" t="n"/>
      <c r="J141" s="3" t="inlineStr">
        <is>
          <t>Programado o radicado, no sustentado</t>
        </is>
      </c>
      <c r="K141" s="3" t="inlineStr">
        <is>
          <t>Grupo completado por coincidencia nominal consistente del director en otros registros del consolidado (NIDE); el portal institucional se usó como catálogo de contraste. Validar con certificación del grupo si se requiere soporte individual.</t>
        </is>
      </c>
    </row>
    <row r="142" ht="63.75" customHeight="1">
      <c r="A142" s="2" t="n">
        <v>143</v>
      </c>
      <c r="B142" s="3" t="inlineStr">
        <is>
          <t>NIDE</t>
        </is>
      </c>
      <c r="C142" s="3" t="inlineStr">
        <is>
          <t>MODELO DE PREDICCIÓN DE DESLIZAMIENTOS DE TIERRA A PARTIR DE LA IMPLEMENTACIÓN DE MÉTODOS DE APRENDIZAJE DE MÁQUINA</t>
        </is>
      </c>
      <c r="D142" s="4" t="n">
        <v>2026</v>
      </c>
      <c r="E142" s="3" t="inlineStr">
        <is>
          <t>Profundización</t>
        </is>
      </c>
      <c r="F142" s="3" t="inlineStr">
        <is>
          <t>Álvaro Enrique Ortíz Dávila</t>
        </is>
      </c>
      <c r="G142" s="3" t="inlineStr">
        <is>
          <t>Lina Paola García Malagón</t>
        </is>
      </c>
      <c r="H142" s="3" t="inlineStr">
        <is>
          <t>Programada: 2026-08-28</t>
        </is>
      </c>
      <c r="I142" s="3" t="n"/>
      <c r="J142" s="3" t="inlineStr">
        <is>
          <t>Programado o radicado, no sustentado</t>
        </is>
      </c>
      <c r="K142" s="3" t="inlineStr">
        <is>
          <t>Grupo completado por coincidencia nominal consistente del director en otros registros del consolidado (NIDE); el portal institucional se usó como catálogo de contraste. Validar con certificación del grupo si se requiere soporte individual.</t>
        </is>
      </c>
    </row>
    <row r="143" ht="63.75" customHeight="1">
      <c r="A143" s="2" t="n">
        <v>144</v>
      </c>
      <c r="B143" s="3" t="inlineStr">
        <is>
          <t>NIDE</t>
        </is>
      </c>
      <c r="C143" s="3" t="inlineStr">
        <is>
          <t>SELECCIÓN DE PROVEEDORES DE TRANSPORTE INTERNACIONAL CON ORIGEN O DESTINO COLOMBIA MEDIANTE ALGORITMOS DE INTELIGENCIA ARTIFICIA</t>
        </is>
      </c>
      <c r="D143" s="4" t="n">
        <v>2026</v>
      </c>
      <c r="E143" s="3" t="inlineStr">
        <is>
          <t>Profundización</t>
        </is>
      </c>
      <c r="F143" s="3" t="inlineStr">
        <is>
          <t>Álvaro Enrique Ortíz Dávila</t>
        </is>
      </c>
      <c r="G143" s="3" t="inlineStr">
        <is>
          <t>Mayer Santiago Beltrán Romero</t>
        </is>
      </c>
      <c r="H143" s="3" t="inlineStr">
        <is>
          <t>Programada: 2026-08-28</t>
        </is>
      </c>
      <c r="I143" s="3" t="n"/>
      <c r="J143" s="3" t="inlineStr">
        <is>
          <t>Programado o radicado, no sustentado</t>
        </is>
      </c>
      <c r="K143" s="3" t="inlineStr">
        <is>
          <t>Grupo completado por coincidencia nominal consistente del director en otros registros del consolidado (NIDE); el portal institucional se usó como catálogo de contraste. Validar con certificación del grupo si se requiere soporte individual.</t>
        </is>
      </c>
    </row>
    <row r="144" ht="51" customHeight="1">
      <c r="A144" s="2" t="n">
        <v>145</v>
      </c>
      <c r="B144" s="3" t="inlineStr">
        <is>
          <t>NIDE</t>
        </is>
      </c>
      <c r="C144" s="3" t="inlineStr">
        <is>
          <t>DETERMINACIÓN DE UBICACIONES DE CÁMARAS DE SEGURIDAD EN ZONAS URBANAS MEDIANTE GEMELOS DIGITALES</t>
        </is>
      </c>
      <c r="D144" s="4" t="n">
        <v>2026</v>
      </c>
      <c r="E144" s="3" t="inlineStr">
        <is>
          <t>Profundización</t>
        </is>
      </c>
      <c r="F144" s="3" t="inlineStr">
        <is>
          <t>Álvaro Enrique Ortíz Dávila</t>
        </is>
      </c>
      <c r="G144" s="3" t="inlineStr">
        <is>
          <t>Christian Yesid Galindo Cano</t>
        </is>
      </c>
      <c r="H144" s="3" t="inlineStr">
        <is>
          <t>Programada: 2026-09-03</t>
        </is>
      </c>
      <c r="I144" s="3" t="n"/>
      <c r="J144" s="3" t="inlineStr">
        <is>
          <t>Programado o radicado, no sustentado</t>
        </is>
      </c>
      <c r="K144" s="3" t="inlineStr">
        <is>
          <t>Grupo completado por coincidencia nominal consistente del director en otros registros del consolidado (NIDE); el portal institucional se usó como catálogo de contraste. Validar con certificación del grupo si se requiere soporte individual.</t>
        </is>
      </c>
    </row>
    <row r="145" ht="51" customHeight="1">
      <c r="A145" s="2" t="n">
        <v>146</v>
      </c>
      <c r="B145" s="3" t="inlineStr">
        <is>
          <t>LIDER</t>
        </is>
      </c>
      <c r="C145" s="3" t="inlineStr">
        <is>
          <t>MODELO DE REPUTACIÓN BASADO EN BLOCKCHAIN E IDENTIDAD DIGITAL AUTO-SOBERANA APLICADO AL PROCESO DE EVALUACIÓN DOCENTE</t>
        </is>
      </c>
      <c r="D145" s="4" t="n">
        <v>2026</v>
      </c>
      <c r="E145" s="3" t="inlineStr">
        <is>
          <t>Profundización</t>
        </is>
      </c>
      <c r="F145" s="3" t="inlineStr">
        <is>
          <t>Roberto A. Pava Díaz Ph.D</t>
        </is>
      </c>
      <c r="G145" s="3" t="inlineStr">
        <is>
          <t>Diego Fernando Zapata Muñoz</t>
        </is>
      </c>
      <c r="H145" s="3" t="inlineStr">
        <is>
          <t>Aval del grupo: 2026</t>
        </is>
      </c>
      <c r="I145" s="3" t="n"/>
      <c r="J145" s="3" t="inlineStr">
        <is>
          <t>Avalado por el grupo, no sustentado</t>
        </is>
      </c>
      <c r="K145" s="3" t="inlineStr">
        <is>
          <t>Aval del grupo reportado en 2026; sustentación no verificada en las fuentes disponibles.</t>
        </is>
      </c>
    </row>
    <row r="146" ht="51" customHeight="1">
      <c r="A146" s="2" t="n">
        <v>147</v>
      </c>
      <c r="B146" s="3" t="inlineStr">
        <is>
          <t>LIDER</t>
        </is>
      </c>
      <c r="C146" s="3" t="inlineStr">
        <is>
          <t>Diseño de un Modelo participativo basado en Sistemas de Información Geográfica (SIG) para la toma de decisiones en la zonificación ambiental de la Zona de Reserva Campesina Santuario</t>
        </is>
      </c>
      <c r="D146" s="4" t="n">
        <v>2026</v>
      </c>
      <c r="E146" s="3" t="inlineStr">
        <is>
          <t>Profundización</t>
        </is>
      </c>
      <c r="F146" s="3" t="inlineStr">
        <is>
          <t>Roberto Ferro Escobar / Edgar Aguirre Buenaventura</t>
        </is>
      </c>
      <c r="G146" s="3" t="inlineStr">
        <is>
          <t>Cristian Daniel Camacho Hilarión</t>
        </is>
      </c>
      <c r="H146" s="3" t="inlineStr">
        <is>
          <t>Aval del grupo: 2026</t>
        </is>
      </c>
      <c r="I146" s="3" t="n"/>
      <c r="J146" s="3" t="inlineStr">
        <is>
          <t>Avalado por el grupo, no sustentado</t>
        </is>
      </c>
      <c r="K146" s="3" t="inlineStr">
        <is>
          <t>Aval del grupo reportado en 2026; sustentación no verificada en las fuentes disponibles.</t>
        </is>
      </c>
    </row>
    <row r="147" ht="38.25" customHeight="1">
      <c r="A147" s="2" t="n">
        <v>148</v>
      </c>
      <c r="B147" s="3" t="inlineStr">
        <is>
          <t>LIDER</t>
        </is>
      </c>
      <c r="C147" s="3" t="inlineStr">
        <is>
          <t>Modelo de administración para la gestión de información personal orientado al propietario de los datos</t>
        </is>
      </c>
      <c r="D147" s="4" t="n">
        <v>2024</v>
      </c>
      <c r="E147" s="3" t="inlineStr">
        <is>
          <t>Investigación</t>
        </is>
      </c>
      <c r="F147" s="3" t="inlineStr">
        <is>
          <t>Roberto Albeiro Pava Díaz / Roberto Ferro Escobar</t>
        </is>
      </c>
      <c r="G147" s="3" t="inlineStr">
        <is>
          <t>Omar Ricardo Castellanos Hernández</t>
        </is>
      </c>
      <c r="H147" s="3" t="inlineStr">
        <is>
          <t>Aval del grupo: 2024</t>
        </is>
      </c>
      <c r="I147" s="3" t="n"/>
      <c r="J147" s="3" t="inlineStr">
        <is>
          <t>Avalado por el grupo, no sustentado</t>
        </is>
      </c>
      <c r="K147" s="3" t="inlineStr">
        <is>
          <t>El mismo trabajo aparece con aval en 2024 y nuevamente en 2026; se conserva 2024 como primer año reportado. Sustentación no verificada.</t>
        </is>
      </c>
    </row>
    <row r="148" ht="38.25" customHeight="1">
      <c r="A148" s="2" t="n">
        <v>149</v>
      </c>
      <c r="B148" s="3" t="inlineStr">
        <is>
          <t>LIDER</t>
        </is>
      </c>
      <c r="C148" s="3" t="inlineStr">
        <is>
          <t>Diseño de un modelo para la identificación de URLs maliciosas o potencialmente fraudulentas</t>
        </is>
      </c>
      <c r="D148" s="4" t="n">
        <v>2025</v>
      </c>
      <c r="E148" s="3" t="inlineStr">
        <is>
          <t>Investigación</t>
        </is>
      </c>
      <c r="F148" s="3" t="inlineStr">
        <is>
          <t>Roberto Ferro Escobar / Carlos Andrés Martínez Alayón</t>
        </is>
      </c>
      <c r="G148" s="3" t="inlineStr">
        <is>
          <t>Francisco Javier González Aguirre</t>
        </is>
      </c>
      <c r="H148" s="3" t="inlineStr">
        <is>
          <t>Aval del grupo: 2025</t>
        </is>
      </c>
      <c r="I148" s="3" t="n"/>
      <c r="J148" s="3" t="inlineStr">
        <is>
          <t>Avalado por el grupo, no sustentado</t>
        </is>
      </c>
      <c r="K148" s="3" t="inlineStr">
        <is>
          <t>Aval del grupo reportado en 2025; sustentación no verificada en las fuentes disponibles.</t>
        </is>
      </c>
    </row>
    <row r="149" ht="38.25" customHeight="1">
      <c r="A149" s="2" t="n">
        <v>150</v>
      </c>
      <c r="B149" s="3" t="inlineStr">
        <is>
          <t>LIDER</t>
        </is>
      </c>
      <c r="C149" s="3" t="inlineStr">
        <is>
          <t>DISEÑO DE UN SISTEMA DE MONITOREO DE TEMPERATURA DE LACTANTES, UTILIZANDO METODOLOGÍA SCRUM Y TECNOLOGÍAS DEL INTERNET DE LAS COSAS (IOT)</t>
        </is>
      </c>
      <c r="D149" s="4" t="n">
        <v>2024</v>
      </c>
      <c r="E149" s="3" t="inlineStr">
        <is>
          <t>No especificada en la fuente</t>
        </is>
      </c>
      <c r="F149" s="3" t="inlineStr">
        <is>
          <t>Roberto Ferro Escobar</t>
        </is>
      </c>
      <c r="G149" s="3" t="inlineStr">
        <is>
          <t>María Alejandra Quevedo Vera</t>
        </is>
      </c>
      <c r="H149" s="3" t="inlineStr">
        <is>
          <t>Acta 011-2024 (Nota: 5.0)</t>
        </is>
      </c>
      <c r="I149" s="3" t="n"/>
      <c r="J149" s="3" t="inlineStr">
        <is>
          <t>Sustentado</t>
        </is>
      </c>
      <c r="K149" s="3" t="inlineStr">
        <is>
          <t>Sustentación aprobada con calificación 5.0 verificada en Acta de Sustentación No. 011-2024.</t>
        </is>
      </c>
    </row>
    <row r="150" ht="25.5" customHeight="1"/>
    <row r="151" ht="38.25" customHeight="1"/>
  </sheetData>
  <conditionalFormatting sqref="L2:L151">
    <cfRule type="containsText" priority="1" operator="containsText" dxfId="0" text="no sustentado"/>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D6A84B"/>
    <outlinePr summaryBelow="1" summaryRight="1"/>
    <pageSetUpPr/>
  </sheetPr>
  <dimension ref="A1:K20"/>
  <sheetViews>
    <sheetView showGridLines="0" workbookViewId="0">
      <pane ySplit="5" topLeftCell="A6" activePane="bottomLeft" state="frozen"/>
      <selection pane="bottomLeft" activeCell="A1" sqref="A1"/>
    </sheetView>
  </sheetViews>
  <sheetFormatPr baseColWidth="10" defaultColWidth="9" defaultRowHeight="14.25"/>
  <cols>
    <col width="7" customWidth="1" min="1" max="1"/>
    <col width="17" customWidth="1" min="2" max="2"/>
    <col width="27" customWidth="1" min="3" max="3"/>
    <col width="58" customWidth="1" min="4" max="4"/>
    <col width="9" customWidth="1" min="5" max="5"/>
    <col width="18" customWidth="1" min="6" max="6"/>
    <col width="28" customWidth="1" min="7" max="9"/>
    <col width="42" customWidth="1" min="10" max="10"/>
    <col width="48" customWidth="1" min="11" max="11"/>
    <col width="31" customWidth="1" min="12" max="12"/>
    <col width="48" customWidth="1" min="13" max="13"/>
  </cols>
  <sheetData>
    <row r="1">
      <c r="A1" s="33" t="inlineStr">
        <is>
          <t>Casos pendientes o sin sustentación verificada</t>
        </is>
      </c>
    </row>
    <row r="2"/>
    <row r="3">
      <c r="A3" s="34" t="inlineStr">
        <is>
          <t>Se presentan 15 casos programados, radicados o avalados por un grupo que aún no registran sustentación efectiva en las fuentes disponibles. Estos casos también permanecen incluidos en la hoja Consolidado.</t>
        </is>
      </c>
    </row>
    <row r="4"/>
    <row r="5">
      <c r="A5" s="5" t="inlineStr">
        <is>
          <t>ID</t>
        </is>
      </c>
      <c r="B5" s="5" t="inlineStr">
        <is>
          <t>Grupo de investigación</t>
        </is>
      </c>
      <c r="C5" s="5" t="inlineStr">
        <is>
          <t>Título del trabajo de grado</t>
        </is>
      </c>
      <c r="D5" s="5" t="inlineStr">
        <is>
          <t>Año</t>
        </is>
      </c>
      <c r="E5" s="5" t="inlineStr">
        <is>
          <t>Modalidad</t>
        </is>
      </c>
      <c r="F5" s="5" t="inlineStr">
        <is>
          <t>Director(es)</t>
        </is>
      </c>
      <c r="G5" s="5" t="inlineStr">
        <is>
          <t>Estudiante(s)</t>
        </is>
      </c>
      <c r="H5" s="5" t="inlineStr">
        <is>
          <t>Fecha / soporte de finalización</t>
        </is>
      </c>
      <c r="I5" s="5" t="inlineStr">
        <is>
          <t>Enlace RIUD</t>
        </is>
      </c>
      <c r="J5" s="5" t="inlineStr">
        <is>
          <t>Estado de sustentación</t>
        </is>
      </c>
      <c r="K5" s="5" t="inlineStr">
        <is>
          <t>Observación de cruce</t>
        </is>
      </c>
    </row>
    <row r="6" ht="25.5" customHeight="1">
      <c r="A6" s="2" t="n">
        <v>14</v>
      </c>
      <c r="B6" s="3" t="inlineStr">
        <is>
          <t>GICOGE</t>
        </is>
      </c>
      <c r="C6" s="3" t="inlineStr">
        <is>
          <t>DINÁMICA ENERGÉTICA DEL MALWARE: AUTOORGANIZACIÓN MORFOLÓGICA DE SU IDENTIDAD COMPORTAMENTAL</t>
        </is>
      </c>
      <c r="D6" s="4" t="n">
        <v>2026</v>
      </c>
      <c r="E6" s="3" t="inlineStr">
        <is>
          <t>Investigación</t>
        </is>
      </c>
      <c r="F6" s="3" t="inlineStr">
        <is>
          <t>Nelson Enrique Vera</t>
        </is>
      </c>
      <c r="G6" s="3" t="inlineStr">
        <is>
          <t>Andrés David Montenegro Alvarado</t>
        </is>
      </c>
      <c r="H6" s="3" t="inlineStr">
        <is>
          <t>Programada: 2026-07-21</t>
        </is>
      </c>
      <c r="I6" s="3" t="n"/>
      <c r="J6" s="6" t="inlineStr">
        <is>
          <t>Programado o radicado, no sustentado</t>
        </is>
      </c>
      <c r="K6" s="3" t="inlineStr">
        <is>
          <t>Caso programado o radicado sin sustentación efectiva; el año 2026 corresponde a la programación.</t>
        </is>
      </c>
    </row>
    <row r="7" ht="51" customHeight="1">
      <c r="A7" s="2" t="n">
        <v>136</v>
      </c>
      <c r="B7" s="3" t="inlineStr">
        <is>
          <t>NIDE</t>
        </is>
      </c>
      <c r="C7" s="3" t="inlineStr">
        <is>
          <t>Modelado espacio-temporal de eventos sísmicos en Colombia entre 2005 – 2020 mediante procesos de Cox Log-Gaussian y aproximación Bayesiana INLA-SPDE</t>
        </is>
      </c>
      <c r="D7" s="4" t="n">
        <v>2026</v>
      </c>
      <c r="E7" s="3" t="inlineStr">
        <is>
          <t>Investigación</t>
        </is>
      </c>
      <c r="F7" s="3" t="inlineStr">
        <is>
          <t>Carlos Eduardo Melo Martínez</t>
        </is>
      </c>
      <c r="G7" s="3" t="inlineStr">
        <is>
          <t>Jason Mauricio Romero Ríos</t>
        </is>
      </c>
      <c r="H7" s="3" t="inlineStr">
        <is>
          <t>Programada: 2026-09-17</t>
        </is>
      </c>
      <c r="I7" s="3" t="n"/>
      <c r="J7" s="6" t="inlineStr">
        <is>
          <t>Programado o radicado, no sustentado</t>
        </is>
      </c>
      <c r="K7" s="3" t="inlineStr">
        <is>
          <t>Grupo completado por coincidencia nominal consistente del director en otros registros del consolidado (NIDE); el portal institucional se usó como catálogo de contraste. Validar con certificación del grupo si se requiere soporte individual.</t>
        </is>
      </c>
    </row>
    <row r="8" ht="51" customHeight="1">
      <c r="A8" s="2" t="n">
        <v>137</v>
      </c>
      <c r="B8" s="3" t="inlineStr">
        <is>
          <t>ARMOS</t>
        </is>
      </c>
      <c r="C8" s="3" t="inlineStr">
        <is>
          <t>DISEÑO E IMPLEMENTACIÓN DE UN SISTEMA RAG (RETRIEVAL-AUGMENTED GENERATION) EN UN LLM PARA LA CONSTRUCCIÓN DE REGLAS YARA EN LA DETECCIÓN DE MALWARE</t>
        </is>
      </c>
      <c r="D8" s="4" t="n">
        <v>2026</v>
      </c>
      <c r="E8" s="3" t="inlineStr">
        <is>
          <t>Profundización</t>
        </is>
      </c>
      <c r="F8" s="3" t="inlineStr">
        <is>
          <t>Edwar Jacinto Gómez
Codirector: Eduwin Parra</t>
        </is>
      </c>
      <c r="G8" s="3" t="inlineStr">
        <is>
          <t>Cesar Ivan Quintero Garzón</t>
        </is>
      </c>
      <c r="H8" s="3" t="inlineStr">
        <is>
          <t>Programada: 2026-06-05</t>
        </is>
      </c>
      <c r="I8" s="3" t="n"/>
      <c r="J8" s="6" t="inlineStr">
        <is>
          <t>Programado o radicado, no sustentado</t>
        </is>
      </c>
      <c r="K8" s="3" t="inlineStr">
        <is>
          <t>Grupo completado por coincidencia nominal consistente del director en otros registros del consolidado (ARMOS); el portal institucional se usó como catálogo de contraste. Validar con certificación del grupo si se requiere soporte individual.</t>
        </is>
      </c>
    </row>
    <row r="9" ht="51" customHeight="1">
      <c r="A9" s="2" t="n">
        <v>138</v>
      </c>
      <c r="B9" s="3" t="inlineStr">
        <is>
          <t>LASER</t>
        </is>
      </c>
      <c r="C9" s="3" t="inlineStr">
        <is>
          <t>DESARROLLO DE UNA HERRAMIENTA DE VISUALIZACIÓN DE ALTO RENDIMIENTO PARA DATOS DE RADAR METEOROLÓGICO EN FORMATO ARCO/ZARR, EMPLEANDO MALLAS NO ESTRUCTURADAS</t>
        </is>
      </c>
      <c r="D9" s="4" t="n">
        <v>2026</v>
      </c>
      <c r="E9" s="3" t="inlineStr">
        <is>
          <t>Investigación</t>
        </is>
      </c>
      <c r="F9" s="3" t="inlineStr">
        <is>
          <t>Cesar Andrey Perdomo Charry</t>
        </is>
      </c>
      <c r="G9" s="3" t="inlineStr">
        <is>
          <t>Danny Fabián Mora Peña</t>
        </is>
      </c>
      <c r="H9" s="3" t="inlineStr">
        <is>
          <t>Programada: 2026-08-27</t>
        </is>
      </c>
      <c r="I9" s="3" t="n"/>
      <c r="J9" s="6" t="inlineStr">
        <is>
          <t>Programado o radicado, no sustentado</t>
        </is>
      </c>
      <c r="K9" s="3" t="inlineStr">
        <is>
          <t>Grupo completado por coincidencia nominal consistente del director en otros registros del consolidado (LASER); el portal institucional se usó como catálogo de contraste. Validar con certificación del grupo si se requiere soporte individual.</t>
        </is>
      </c>
    </row>
    <row r="10" ht="51" customHeight="1">
      <c r="A10" s="2" t="n">
        <v>139</v>
      </c>
      <c r="B10" s="3" t="inlineStr">
        <is>
          <t>GITEM</t>
        </is>
      </c>
      <c r="C10" s="3" t="inlineStr">
        <is>
          <t>ARQUITECTURA FUNCIONAL PARA UN MALETÍN DE TELEDIAGNÓSTICO</t>
        </is>
      </c>
      <c r="D10" s="4" t="n">
        <v>2026</v>
      </c>
      <c r="E10" s="3" t="inlineStr">
        <is>
          <t>Investigación</t>
        </is>
      </c>
      <c r="F10" s="3" t="inlineStr">
        <is>
          <t>Lilia Edith Aparicio</t>
        </is>
      </c>
      <c r="G10" s="3" t="inlineStr">
        <is>
          <t>Cristian Julián Solarte Rosas</t>
        </is>
      </c>
      <c r="H10" s="3" t="inlineStr">
        <is>
          <t>Programada: 2026-08-27</t>
        </is>
      </c>
      <c r="I10" s="3" t="n"/>
      <c r="J10" s="6" t="inlineStr">
        <is>
          <t>Programado o radicado, no sustentado</t>
        </is>
      </c>
      <c r="K10" s="3" t="inlineStr">
        <is>
          <t>Grupo completado por coincidencia nominal consistente del director en otros registros del consolidado (GITEM); el portal institucional se usó como catálogo de contraste. Validar con certificación del grupo si se requiere soporte individual.</t>
        </is>
      </c>
    </row>
    <row r="11" ht="51" customHeight="1">
      <c r="A11" s="2" t="n">
        <v>140</v>
      </c>
      <c r="B11" s="3" t="inlineStr">
        <is>
          <t>ITI</t>
        </is>
      </c>
      <c r="C11" s="3" t="inlineStr">
        <is>
          <t>DISEÑO DE UNA RED NEURONAL CONVOLUCIONAL PARA IDENTIFICAR EL TROMBOEMBOLISMO PULMONAR EN TOMOGRAFÍAS.</t>
        </is>
      </c>
      <c r="D11" s="4" t="n">
        <v>2026</v>
      </c>
      <c r="E11" s="3" t="inlineStr">
        <is>
          <t>Investigación</t>
        </is>
      </c>
      <c r="F11" s="3" t="inlineStr">
        <is>
          <t>Hector Arturo Florez Fernandez</t>
        </is>
      </c>
      <c r="G11" s="3" t="inlineStr">
        <is>
          <t>Cristian Andres Velandia Montaño</t>
        </is>
      </c>
      <c r="H11" s="3" t="inlineStr">
        <is>
          <t>Programada: 2026-08-27</t>
        </is>
      </c>
      <c r="I11" s="3" t="n"/>
      <c r="J11" s="6" t="inlineStr">
        <is>
          <t>Programado o radicado, no sustentado</t>
        </is>
      </c>
      <c r="K11" s="3" t="inlineStr">
        <is>
          <t>Grupo completado por coincidencia nominal consistente del director en otros registros del consolidado (ITI); el portal institucional se usó como catálogo de contraste. Validar con certificación del grupo si se requiere soporte individual.</t>
        </is>
      </c>
    </row>
    <row r="12" ht="63.75" customHeight="1">
      <c r="A12" s="2" t="n">
        <v>141</v>
      </c>
      <c r="B12" s="3" t="inlineStr">
        <is>
          <t>GITEM++</t>
        </is>
      </c>
      <c r="C12" s="3" t="inlineStr">
        <is>
          <t>EXPLORACIÓN METODOLÓGICA MULTIVARIADA APLICADA A SEIS REGISTROS POBLACIONALES DE CÁNCER EN COLOMBIA</t>
        </is>
      </c>
      <c r="D12" s="4" t="n">
        <v>2026</v>
      </c>
      <c r="E12" s="3" t="inlineStr">
        <is>
          <t>Profundización</t>
        </is>
      </c>
      <c r="F12" s="3" t="inlineStr">
        <is>
          <t>Leonardo Plazas Nossa</t>
        </is>
      </c>
      <c r="G12" s="3" t="inlineStr">
        <is>
          <t>Jhonatan González Salguero</t>
        </is>
      </c>
      <c r="H12" s="3" t="inlineStr">
        <is>
          <t>Programada: 2026-08-28</t>
        </is>
      </c>
      <c r="I12" s="3" t="n"/>
      <c r="J12" s="6" t="inlineStr">
        <is>
          <t>Programado o radicado, no sustentado</t>
        </is>
      </c>
      <c r="K12" s="3" t="inlineStr">
        <is>
          <t>No se encontró una asociación nominal verificable del director con un grupo en el directorio institucional consultado (https://pi.udistrital.edu.co/Unidad-Ingenieria/investigacion). Se mantiene “No especificado en la fuente”, pendiente de validación institucional.</t>
        </is>
      </c>
    </row>
    <row r="13" ht="63.75" customHeight="1">
      <c r="A13" s="2" t="n">
        <v>142</v>
      </c>
      <c r="B13" s="3" t="inlineStr">
        <is>
          <t>NIDE</t>
        </is>
      </c>
      <c r="C13" s="3"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13" s="4" t="n">
        <v>2026</v>
      </c>
      <c r="E13" s="3" t="inlineStr">
        <is>
          <t>Profundización</t>
        </is>
      </c>
      <c r="F13" s="3" t="inlineStr">
        <is>
          <t>Hector Javier Fuentes López</t>
        </is>
      </c>
      <c r="G13" s="3" t="inlineStr">
        <is>
          <t>Rusby Vanessa Castro Alfere</t>
        </is>
      </c>
      <c r="H13" s="3" t="inlineStr">
        <is>
          <t>Programada: 2026-08-28</t>
        </is>
      </c>
      <c r="I13" s="3" t="n"/>
      <c r="J13" s="6" t="inlineStr">
        <is>
          <t>Programado o radicado, no sustentado</t>
        </is>
      </c>
      <c r="K13" s="3" t="inlineStr">
        <is>
          <t>Grupo completado por coincidencia nominal consistente del director en otros registros del consolidado (NIDE); el portal institucional se usó como catálogo de contraste. Validar con certificación del grupo si se requiere soporte individual.</t>
        </is>
      </c>
    </row>
    <row r="14" ht="51" customHeight="1">
      <c r="A14" s="2" t="n">
        <v>143</v>
      </c>
      <c r="B14" s="3" t="inlineStr">
        <is>
          <t>NIDE</t>
        </is>
      </c>
      <c r="C14" s="3" t="inlineStr">
        <is>
          <t>MODELO DE PREDICCIÓN DE DESLIZAMIENTOS DE TIERRA A PARTIR DE LA IMPLEMENTACIÓN DE MÉTODOS DE APRENDIZAJE DE MÁQUINA</t>
        </is>
      </c>
      <c r="D14" s="4" t="n">
        <v>2026</v>
      </c>
      <c r="E14" s="3" t="inlineStr">
        <is>
          <t>Profundización</t>
        </is>
      </c>
      <c r="F14" s="3" t="inlineStr">
        <is>
          <t>Álvaro Enrique Ortíz Dávila</t>
        </is>
      </c>
      <c r="G14" s="3" t="inlineStr">
        <is>
          <t>Lina Paola García Malagón</t>
        </is>
      </c>
      <c r="H14" s="3" t="inlineStr">
        <is>
          <t>Programada: 2026-08-28</t>
        </is>
      </c>
      <c r="I14" s="3" t="n"/>
      <c r="J14" s="6" t="inlineStr">
        <is>
          <t>Programado o radicado, no sustentado</t>
        </is>
      </c>
      <c r="K14" s="3" t="inlineStr">
        <is>
          <t>Grupo completado por coincidencia nominal consistente del director en otros registros del consolidado (NIDE); el portal institucional se usó como catálogo de contraste. Validar con certificación del grupo si se requiere soporte individual.</t>
        </is>
      </c>
    </row>
    <row r="15" ht="51" customHeight="1">
      <c r="A15" s="2" t="n">
        <v>144</v>
      </c>
      <c r="B15" s="3" t="inlineStr">
        <is>
          <t>NIDE</t>
        </is>
      </c>
      <c r="C15" s="3" t="inlineStr">
        <is>
          <t>SELECCIÓN DE PROVEEDORES DE TRANSPORTE INTERNACIONAL CON ORIGEN O DESTINO COLOMBIA MEDIANTE ALGORITMOS DE INTELIGENCIA ARTIFICIA</t>
        </is>
      </c>
      <c r="D15" s="4" t="n">
        <v>2026</v>
      </c>
      <c r="E15" s="3" t="inlineStr">
        <is>
          <t>Profundización</t>
        </is>
      </c>
      <c r="F15" s="3" t="inlineStr">
        <is>
          <t>Álvaro Enrique Ortíz Dávila</t>
        </is>
      </c>
      <c r="G15" s="3" t="inlineStr">
        <is>
          <t>Mayer Santiago Beltrán Romero</t>
        </is>
      </c>
      <c r="H15" s="3" t="inlineStr">
        <is>
          <t>Programada: 2026-08-28</t>
        </is>
      </c>
      <c r="I15" s="3" t="n"/>
      <c r="J15" s="6" t="inlineStr">
        <is>
          <t>Programado o radicado, no sustentado</t>
        </is>
      </c>
      <c r="K15" s="3" t="inlineStr">
        <is>
          <t>Grupo completado por coincidencia nominal consistente del director en otros registros del consolidado (NIDE); el portal institucional se usó como catálogo de contraste. Validar con certificación del grupo si se requiere soporte individual.</t>
        </is>
      </c>
    </row>
    <row r="16" ht="51" customHeight="1">
      <c r="A16" s="2" t="n">
        <v>145</v>
      </c>
      <c r="B16" s="3" t="inlineStr">
        <is>
          <t>NIDE</t>
        </is>
      </c>
      <c r="C16" s="3" t="inlineStr">
        <is>
          <t>DETERMINACIÓN DE UBICACIONES DE CÁMARAS DE SEGURIDAD EN ZONAS URBANAS MEDIANTE GEMELOS DIGITALES</t>
        </is>
      </c>
      <c r="D16" s="4" t="n">
        <v>2026</v>
      </c>
      <c r="E16" s="3" t="inlineStr">
        <is>
          <t>Profundización</t>
        </is>
      </c>
      <c r="F16" s="3" t="inlineStr">
        <is>
          <t>Álvaro Enrique Ortíz Dávila</t>
        </is>
      </c>
      <c r="G16" s="3" t="inlineStr">
        <is>
          <t>Christian Yesid Galindo Cano</t>
        </is>
      </c>
      <c r="H16" s="3" t="inlineStr">
        <is>
          <t>Programada: 2026-09-03</t>
        </is>
      </c>
      <c r="I16" s="3" t="n"/>
      <c r="J16" s="6" t="inlineStr">
        <is>
          <t>Programado o radicado, no sustentado</t>
        </is>
      </c>
      <c r="K16" s="3" t="inlineStr">
        <is>
          <t>Grupo completado por coincidencia nominal consistente del director en otros registros del consolidado (NIDE); el portal institucional se usó como catálogo de contraste. Validar con certificación del grupo si se requiere soporte individual.</t>
        </is>
      </c>
    </row>
    <row r="17" ht="38.25" customHeight="1">
      <c r="A17" s="2" t="n">
        <v>146</v>
      </c>
      <c r="B17" s="3" t="inlineStr">
        <is>
          <t>LIDER</t>
        </is>
      </c>
      <c r="C17" s="3" t="inlineStr">
        <is>
          <t>MODELO DE REPUTACIÓN BASADO EN BLOCKCHAIN E IDENTIDAD DIGITAL AUTO-SOBERANA APLICADO AL PROCESO DE EVALUACIÓN DOCENTE</t>
        </is>
      </c>
      <c r="D17" s="4" t="n">
        <v>2026</v>
      </c>
      <c r="E17" s="3" t="inlineStr">
        <is>
          <t>Profundización</t>
        </is>
      </c>
      <c r="F17" s="3" t="inlineStr">
        <is>
          <t>Roberto A. Pava Díaz Ph.D</t>
        </is>
      </c>
      <c r="G17" s="3" t="inlineStr">
        <is>
          <t>Diego Fernando Zapata Muñoz</t>
        </is>
      </c>
      <c r="H17" s="3" t="inlineStr">
        <is>
          <t>Aval del grupo: 2026</t>
        </is>
      </c>
      <c r="I17" s="3" t="n"/>
      <c r="J17" s="6" t="inlineStr">
        <is>
          <t>Avalado por el grupo, no sustentado</t>
        </is>
      </c>
      <c r="K17" s="3" t="inlineStr">
        <is>
          <t>Aval del grupo reportado en 2026; sustentación no verificada en las fuentes disponibles.</t>
        </is>
      </c>
    </row>
    <row r="18" ht="38.25" customHeight="1">
      <c r="A18" s="2" t="n">
        <v>147</v>
      </c>
      <c r="B18" s="3" t="inlineStr">
        <is>
          <t>LIDER</t>
        </is>
      </c>
      <c r="C18" s="3" t="inlineStr">
        <is>
          <t>Diseño de un Modelo participativo basado en Sistemas de Información Geográfica (SIG) para la toma de decisiones en la zonificación ambiental de la Zona de Reserva Campesina Santuario</t>
        </is>
      </c>
      <c r="D18" s="4" t="n">
        <v>2026</v>
      </c>
      <c r="E18" s="3" t="inlineStr">
        <is>
          <t>Profundización</t>
        </is>
      </c>
      <c r="F18" s="3" t="inlineStr">
        <is>
          <t>Roberto Ferro Escobar / Edgar Aguirre Buenaventura</t>
        </is>
      </c>
      <c r="G18" s="3" t="inlineStr">
        <is>
          <t>Cristian Daniel Camacho Hilarión</t>
        </is>
      </c>
      <c r="H18" s="3" t="inlineStr">
        <is>
          <t>Aval del grupo: 2026</t>
        </is>
      </c>
      <c r="I18" s="3" t="n"/>
      <c r="J18" s="6" t="inlineStr">
        <is>
          <t>Avalado por el grupo, no sustentado</t>
        </is>
      </c>
      <c r="K18" s="3" t="inlineStr">
        <is>
          <t>Aval del grupo reportado en 2026; sustentación no verificada en las fuentes disponibles.</t>
        </is>
      </c>
    </row>
    <row r="19" ht="38.25" customHeight="1">
      <c r="A19" s="2" t="n">
        <v>148</v>
      </c>
      <c r="B19" s="3" t="inlineStr">
        <is>
          <t>LIDER</t>
        </is>
      </c>
      <c r="C19" s="3" t="inlineStr">
        <is>
          <t>Modelo de administración para la gestión de información personal orientado al propietario de los datos</t>
        </is>
      </c>
      <c r="D19" s="4" t="n">
        <v>2024</v>
      </c>
      <c r="E19" s="3" t="inlineStr">
        <is>
          <t>Investigación</t>
        </is>
      </c>
      <c r="F19" s="3" t="inlineStr">
        <is>
          <t>Roberto Albeiro Pava Díaz / Roberto Ferro Escobar</t>
        </is>
      </c>
      <c r="G19" s="3" t="inlineStr">
        <is>
          <t>Omar Ricardo Castellanos Hernández</t>
        </is>
      </c>
      <c r="H19" s="3" t="inlineStr">
        <is>
          <t>Aval del grupo: 2024</t>
        </is>
      </c>
      <c r="I19" s="3" t="n"/>
      <c r="J19" s="6" t="inlineStr">
        <is>
          <t>Avalado por el grupo, no sustentado</t>
        </is>
      </c>
      <c r="K19" s="3" t="inlineStr">
        <is>
          <t>El mismo trabajo aparece con aval en 2024 y nuevamente en 2026; se conserva 2024 como primer año reportado. Sustentación no verificada.</t>
        </is>
      </c>
    </row>
    <row r="20" ht="25.5" customHeight="1">
      <c r="A20" s="2" t="n">
        <v>149</v>
      </c>
      <c r="B20" s="3" t="inlineStr">
        <is>
          <t>LIDER</t>
        </is>
      </c>
      <c r="C20" s="3" t="inlineStr">
        <is>
          <t>Diseño de un modelo para la identificación de URLs maliciosas o potencialmente fraudulentas</t>
        </is>
      </c>
      <c r="D20" s="4" t="n">
        <v>2025</v>
      </c>
      <c r="E20" s="3" t="inlineStr">
        <is>
          <t>Investigación</t>
        </is>
      </c>
      <c r="F20" s="3" t="inlineStr">
        <is>
          <t>Roberto Ferro Escobar / Carlos Andrés Martínez Alayón</t>
        </is>
      </c>
      <c r="G20" s="3" t="inlineStr">
        <is>
          <t>Francisco Javier González Aguirre</t>
        </is>
      </c>
      <c r="H20" s="3" t="inlineStr">
        <is>
          <t>Aval del grupo: 2025</t>
        </is>
      </c>
      <c r="I20" s="3" t="n"/>
      <c r="J20" s="6" t="inlineStr">
        <is>
          <t>Avalado por el grupo, no sustentado</t>
        </is>
      </c>
      <c r="K20" s="3" t="inlineStr">
        <is>
          <t>Aval del grupo reportado en 2025; sustentación no verificada en las fuentes disponibles.</t>
        </is>
      </c>
    </row>
    <row r="21" ht="38.25" customHeight="1"/>
  </sheetData>
  <mergeCells count="1">
    <mergeCell ref="A1:K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7F8C8D"/>
    <outlinePr summaryBelow="1" summaryRight="1"/>
    <pageSetUpPr/>
  </sheetPr>
  <dimension ref="A1:D31"/>
  <sheetViews>
    <sheetView showGridLines="0" workbookViewId="0">
      <selection activeCell="A1" sqref="A1:D2"/>
    </sheetView>
  </sheetViews>
  <sheetFormatPr baseColWidth="10" defaultColWidth="9" defaultRowHeight="14.25"/>
  <cols>
    <col width="65" customWidth="1" min="1" max="1"/>
    <col width="20" customWidth="1" min="2" max="2"/>
    <col width="27" customWidth="1" min="3" max="3"/>
    <col width="54" customWidth="1" min="4" max="4"/>
  </cols>
  <sheetData>
    <row r="1">
      <c r="A1" s="35" t="inlineStr">
        <is>
          <t>Fuentes, alcance y control de calidad</t>
        </is>
      </c>
    </row>
    <row r="2"/>
    <row r="3"/>
    <row r="4" ht="15" customHeight="1">
      <c r="A4" s="14" t="inlineStr">
        <is>
          <t>Fuente</t>
        </is>
      </c>
      <c r="B4" s="14" t="inlineStr">
        <is>
          <t>Registros incorporados</t>
        </is>
      </c>
      <c r="C4" s="14" t="inlineStr">
        <is>
          <t>Uso en el consolidado</t>
        </is>
      </c>
      <c r="D4" s="14" t="inlineStr">
        <is>
          <t>Observación</t>
        </is>
      </c>
    </row>
    <row r="5">
      <c r="A5" s="15" t="inlineStr">
        <is>
          <t>Siete archivos de grupos de investigación</t>
        </is>
      </c>
      <c r="B5" s="15" t="n">
        <v>62</v>
      </c>
      <c r="C5" s="15" t="inlineStr">
        <is>
          <t>Base inicial</t>
        </is>
      </c>
      <c r="D5" s="15" t="inlineStr">
        <is>
          <t>Aportaron 62 registros; 17 contenían enlace RIUD.</t>
        </is>
      </c>
    </row>
    <row r="6" ht="28.5" customHeight="1">
      <c r="A6" s="15" t="inlineStr">
        <is>
          <t>MCIC - Base de datos V2.xlsx</t>
        </is>
      </c>
      <c r="B6" s="15" t="n">
        <v>49</v>
      </c>
      <c r="C6" s="15" t="inlineStr">
        <is>
          <t>Registros nuevos</t>
        </is>
      </c>
      <c r="D6" s="15" t="inlineStr">
        <is>
          <t>Se filtraron sustentaciones, grados y actas de pasantía de 2022 a 2026.</t>
        </is>
      </c>
    </row>
    <row r="7">
      <c r="A7" s="15" t="inlineStr">
        <is>
          <t>MCIC - Base de datos V2.xlsx</t>
        </is>
      </c>
      <c r="B7" s="15" t="n">
        <v>27</v>
      </c>
      <c r="C7" s="15" t="inlineStr">
        <is>
          <t>Registros cruzados</t>
        </is>
      </c>
      <c r="D7" s="15" t="inlineStr">
        <is>
          <t>Coincidencias por estudiante o título con la base inicial.</t>
        </is>
      </c>
    </row>
    <row r="8" ht="28.5" customHeight="1">
      <c r="A8" s="15" t="inlineStr">
        <is>
          <t>MCIC - Base de datos V2.xlsx</t>
        </is>
      </c>
      <c r="B8" s="15" t="n">
        <v>8</v>
      </c>
      <c r="C8" s="15" t="inlineStr">
        <is>
          <t>Actualización de grupo</t>
        </is>
      </c>
      <c r="D8" s="15" t="inlineStr">
        <is>
          <t>Permitió identificar el grupo de ocho registros previamente no especificados.</t>
        </is>
      </c>
    </row>
    <row r="9">
      <c r="A9" s="15" t="inlineStr">
        <is>
          <t>MCIC - Base de datos INVESTIGACION.xlsx</t>
        </is>
      </c>
      <c r="B9" s="15" t="n">
        <v>5</v>
      </c>
      <c r="C9" s="15" t="inlineStr">
        <is>
          <t>Registros nuevos</t>
        </is>
      </c>
      <c r="D9" s="15" t="inlineStr">
        <is>
          <t>Trabajos con sustentación registrada en 2025 o 2026.</t>
        </is>
      </c>
    </row>
    <row r="10">
      <c r="A10" s="15" t="inlineStr">
        <is>
          <t>MCIC - Base de datos INVESTIGACION.xlsx</t>
        </is>
      </c>
      <c r="B10" s="15" t="n">
        <v>2</v>
      </c>
      <c r="C10" s="15" t="inlineStr">
        <is>
          <t>Registros cruzados</t>
        </is>
      </c>
      <c r="D10" s="15" t="inlineStr">
        <is>
          <t>Dos coincidencias integradas sin duplicación.</t>
        </is>
      </c>
    </row>
    <row r="11" ht="28.5" customHeight="1">
      <c r="A11" s="15" t="inlineStr">
        <is>
          <t>MCIC - Base de datos INVESTIGACION.xlsx</t>
        </is>
      </c>
      <c r="B11" s="15" t="n">
        <v>1</v>
      </c>
      <c r="C11" s="15" t="inlineStr">
        <is>
          <t>Actualización de grupo</t>
        </is>
      </c>
      <c r="D11" s="15" t="inlineStr">
        <is>
          <t>Se completó GEFEM para un registro previamente no especificado.</t>
        </is>
      </c>
    </row>
    <row r="12" ht="28.5" customHeight="1">
      <c r="A12" s="15" t="inlineStr">
        <is>
          <t>MCIC - Base de datos INVESTIGACION.xlsx</t>
        </is>
      </c>
      <c r="B12" s="15" t="n">
        <v>1</v>
      </c>
      <c r="C12" s="15" t="inlineStr">
        <is>
          <t>Diferencia por validar</t>
        </is>
      </c>
      <c r="D12" s="15" t="inlineStr">
        <is>
          <t>Un registro presenta grupos distintos en las fuentes: GITUD y GIIRA.</t>
        </is>
      </c>
    </row>
    <row r="13" ht="28.5" customHeight="1">
      <c r="A13" s="15" t="inlineStr">
        <is>
          <t>MCIC - Base de datos Profundizacion.xlsx</t>
        </is>
      </c>
      <c r="B13" s="15" t="n">
        <v>4</v>
      </c>
      <c r="C13" s="15" t="inlineStr">
        <is>
          <t>Registros nuevos</t>
        </is>
      </c>
      <c r="D13" s="15" t="inlineStr">
        <is>
          <t>Un trabajo de profundización sustentado en 2026 y tres pasantías con acta de 2025.</t>
        </is>
      </c>
    </row>
    <row r="14">
      <c r="A14" s="15" t="inlineStr">
        <is>
          <t>Programación sustentaciones.xlsx</t>
        </is>
      </c>
      <c r="B14" s="15" t="n">
        <v>15</v>
      </c>
      <c r="C14" s="15" t="inlineStr">
        <is>
          <t>Registros nuevos</t>
        </is>
      </c>
      <c r="D14" s="15" t="inlineStr">
        <is>
          <t>Sustentaciones efectivamente realizadas y registradas en 2026.</t>
        </is>
      </c>
    </row>
    <row r="15" ht="28.5" customHeight="1">
      <c r="A15" s="15" t="inlineStr">
        <is>
          <t>Programación sustentaciones.xlsx</t>
        </is>
      </c>
      <c r="B15" s="15" t="n">
        <v>9</v>
      </c>
      <c r="C15" s="15" t="inlineStr">
        <is>
          <t>Registros cruzados</t>
        </is>
      </c>
      <c r="D15" s="15" t="inlineStr">
        <is>
          <t>Se completaron fechas, actas, títulos o directores sin duplicar registros.</t>
        </is>
      </c>
    </row>
    <row r="16" ht="28.5" customHeight="1">
      <c r="A16" s="15" t="inlineStr">
        <is>
          <t>Programación sustentaciones.xlsx</t>
        </is>
      </c>
      <c r="B16" s="15" t="n">
        <v>11</v>
      </c>
      <c r="C16" s="15" t="inlineStr">
        <is>
          <t>Casos pendientes</t>
        </is>
      </c>
      <c r="D16" s="15" t="inlineStr">
        <is>
          <t>Casos programados o radicados sin sustentación efectiva: diez registros nuevos y uno reclasificado.</t>
        </is>
      </c>
    </row>
    <row r="17" ht="57" customHeight="1">
      <c r="A17" s="15" t="inlineStr">
        <is>
          <t>Solicitud MCIC - Trabajos de grado grupop LIDER.xlsx</t>
        </is>
      </c>
      <c r="B17" s="15" t="n">
        <v>12</v>
      </c>
      <c r="C17" s="15" t="inlineStr">
        <is>
          <t>Cruce de 10 casos únicos</t>
        </is>
      </c>
      <c r="D17" s="15" t="inlineStr">
        <is>
          <t>Cinco registros existentes fueron actualizados con el grupo LIDER y cinco casos avalados se incorporaron sin sustentación verificada; dos filas repetían trabajos con otro año de aval.</t>
        </is>
      </c>
    </row>
    <row r="18" ht="57" customHeight="1">
      <c r="A18" s="15" t="inlineStr">
        <is>
          <t>Trabajos de Grado Avalados – Maestría en Ciencias de la Información y las Comunicaciones (2022–2026) (1).xlsx</t>
        </is>
      </c>
      <c r="B18" s="15" t="n">
        <v>17</v>
      </c>
      <c r="C18" s="15" t="inlineStr">
        <is>
          <t>Registros cruzados GEFEM</t>
        </is>
      </c>
      <c r="D18" s="15" t="inlineStr">
        <is>
          <t>Los 17 registros ya existían y contaban con enlace RIUD: ocho conservaron GEFEM, ocho se actualizaron desde grupo no especificado y uno presentó diferencia con INTERNET INTELIGENTE.</t>
        </is>
      </c>
    </row>
    <row r="19" ht="57" customHeight="1">
      <c r="A19" s="15" t="inlineStr">
        <is>
          <t>Directorio institucional de grupos — Unidad de Investigaciones</t>
        </is>
      </c>
      <c r="B19" s="15" t="n">
        <v>18</v>
      </c>
      <c r="C19" s="15" t="inlineStr">
        <is>
          <t>Cruce nominal de directores</t>
        </is>
      </c>
      <c r="D19" s="15" t="inlineStr">
        <is>
          <t>Cinco asociaciones se verificaron explícitamente en el portal institucional y trece se completaron por coincidencia nominal consistente con registros ya clasificados; siete casos permanecen pendientes de validación.</t>
        </is>
      </c>
    </row>
    <row r="20" ht="15" customHeight="1">
      <c r="A20" s="16" t="inlineStr">
        <is>
          <t>Control</t>
        </is>
      </c>
      <c r="B20" s="16" t="inlineStr">
        <is>
          <t>Resultado</t>
        </is>
      </c>
    </row>
    <row r="21">
      <c r="A21" s="8" t="inlineStr">
        <is>
          <t>Total de casos</t>
        </is>
      </c>
      <c r="B21" s="8" t="inlineStr">
        <is>
          <t>148 registros</t>
        </is>
      </c>
    </row>
    <row r="22">
      <c r="A22" s="8" t="inlineStr">
        <is>
          <t>Trabajos sustentados</t>
        </is>
      </c>
      <c r="B22" s="8" t="inlineStr">
        <is>
          <t>133 registros</t>
        </is>
      </c>
    </row>
    <row r="23">
      <c r="A23" s="8" t="inlineStr">
        <is>
          <t>Pendientes o sin sustentación verificada</t>
        </is>
      </c>
      <c r="B23" s="8" t="inlineStr">
        <is>
          <t>15 registros</t>
        </is>
      </c>
    </row>
    <row r="24">
      <c r="A24" s="8" t="inlineStr">
        <is>
          <t>Registros adicionales</t>
        </is>
      </c>
      <c r="B24" s="8" t="inlineStr">
        <is>
          <t>88</t>
        </is>
      </c>
    </row>
    <row r="25">
      <c r="A25" s="8" t="inlineStr">
        <is>
          <t>Coincidencias integradas sin duplicar</t>
        </is>
      </c>
      <c r="B25" s="8" t="inlineStr">
        <is>
          <t>61</t>
        </is>
      </c>
    </row>
    <row r="26">
      <c r="A26" s="8" t="inlineStr">
        <is>
          <t>Grupos identificados</t>
        </is>
      </c>
      <c r="B26" s="8" t="inlineStr">
        <is>
          <t>25</t>
        </is>
      </c>
    </row>
    <row r="27">
      <c r="A27" s="8" t="inlineStr">
        <is>
          <t>Soporte de grupo verificado</t>
        </is>
      </c>
      <c r="B27" s="8" t="inlineStr">
        <is>
          <t>100% de casos con grupo</t>
        </is>
      </c>
    </row>
    <row r="28">
      <c r="A28" s="8" t="inlineStr">
        <is>
          <t>Enlaces RIUD disponibles</t>
        </is>
      </c>
      <c r="B28" s="8" t="inlineStr">
        <is>
          <t>17 registros</t>
        </is>
      </c>
    </row>
    <row r="29">
      <c r="A29" s="8" t="inlineStr">
        <is>
          <t>Ventana temporal</t>
        </is>
      </c>
      <c r="B29" s="8" t="inlineStr">
        <is>
          <t>2022–2026</t>
        </is>
      </c>
    </row>
    <row r="31">
      <c r="A31" s="36" t="inlineStr">
        <is>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is>
      </c>
    </row>
  </sheetData>
  <mergeCells count="1">
    <mergeCell ref="A1: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2026-09-21T21:25:39Z</dcterms:created>
  <dcterms:modified xmlns:dcterms="http://purl.org/dc/terms/" xmlns:xsi="http://www.w3.org/2001/XMLSchema-instance" xsi:type="dcterms:W3CDTF">2026-10-03T03:20:47Z</dcterms:modified>
  <cp:lastModifiedBy>CESAR AUGUSTO FONSECA AVILA</cp:lastModifiedBy>
</cp:coreProperties>
</file>